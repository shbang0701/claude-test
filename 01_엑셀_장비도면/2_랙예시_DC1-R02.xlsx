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랙" sheetId="1" state="visible" r:id="rId1"/>
    <sheet xmlns:r="http://schemas.openxmlformats.org/officeDocument/2006/relationships" name="U42 PP-01" sheetId="2" state="visible" r:id="rId2"/>
    <sheet xmlns:r="http://schemas.openxmlformats.org/officeDocument/2006/relationships" name="U41 MGMT-SW" sheetId="3" state="visible" r:id="rId3"/>
    <sheet xmlns:r="http://schemas.openxmlformats.org/officeDocument/2006/relationships" name="U39 TOR-A" sheetId="4" state="visible" r:id="rId4"/>
    <sheet xmlns:r="http://schemas.openxmlformats.org/officeDocument/2006/relationships" name="U38 TOR-B" sheetId="5" state="visible" r:id="rId5"/>
    <sheet xmlns:r="http://schemas.openxmlformats.org/officeDocument/2006/relationships" name="U36 SAN-A" sheetId="6" state="visible" r:id="rId6"/>
    <sheet xmlns:r="http://schemas.openxmlformats.org/officeDocument/2006/relationships" name="U35 SAN-B" sheetId="7" state="visible" r:id="rId7"/>
    <sheet xmlns:r="http://schemas.openxmlformats.org/officeDocument/2006/relationships" name="U30 STG-01" sheetId="8" state="visible" r:id="rId8"/>
    <sheet xmlns:r="http://schemas.openxmlformats.org/officeDocument/2006/relationships" name="U20 SRV-01" sheetId="9" state="visible" r:id="rId9"/>
    <sheet xmlns:r="http://schemas.openxmlformats.org/officeDocument/2006/relationships" name="U18 SRV-02" sheetId="10" state="visible" r:id="rId10"/>
    <sheet xmlns:r="http://schemas.openxmlformats.org/officeDocument/2006/relationships" name="U16 SRV-03" sheetId="11" state="visible" r:id="rId11"/>
    <sheet xmlns:r="http://schemas.openxmlformats.org/officeDocument/2006/relationships" name="U01 ENC-01" sheetId="12" state="visible" r:id="rId12"/>
    <sheet xmlns:r="http://schemas.openxmlformats.org/officeDocument/2006/relationships" name="0U PDU-A" sheetId="13" state="visible" r:id="rId13"/>
    <sheet xmlns:r="http://schemas.openxmlformats.org/officeDocument/2006/relationships" name="0U PDU-B" sheetId="14" state="visible" r:id="rId14"/>
    <sheet xmlns:r="http://schemas.openxmlformats.org/officeDocument/2006/relationships" name="사용법" sheetId="15" state="visible" r:id="rId15"/>
  </sheets>
  <definedNames>
    <definedName name="_xlnm.Print_Titles" localSheetId="0">'랙'!$1:$5</definedName>
    <definedName name="_xlnm.Print_Area" localSheetId="0">'랙'!$B$1:$BK$50</definedName>
    <definedName name="_xlnm.Print_Titles" localSheetId="1">'U42 PP-01'!$1:$3</definedName>
    <definedName name="_xlnm.Print_Area" localSheetId="1">'U42 PP-01'!$B$1:$BK$27</definedName>
    <definedName name="_xlnm.Print_Titles" localSheetId="2">'U41 MGMT-SW'!$1:$3</definedName>
    <definedName name="_xlnm.Print_Area" localSheetId="2">'U41 MGMT-SW'!$B$1:$BK$31</definedName>
    <definedName name="_xlnm.Print_Titles" localSheetId="3">'U39 TOR-A'!$1:$3</definedName>
    <definedName name="_xlnm.Print_Area" localSheetId="3">'U39 TOR-A'!$B$1:$BK$31</definedName>
    <definedName name="_xlnm.Print_Titles" localSheetId="4">'U38 TOR-B'!$1:$3</definedName>
    <definedName name="_xlnm.Print_Area" localSheetId="4">'U38 TOR-B'!$B$1:$BK$31</definedName>
    <definedName name="_xlnm.Print_Titles" localSheetId="5">'U36 SAN-A'!$1:$3</definedName>
    <definedName name="_xlnm.Print_Area" localSheetId="5">'U36 SAN-A'!$B$1:$BK$31</definedName>
    <definedName name="_xlnm.Print_Titles" localSheetId="6">'U35 SAN-B'!$1:$3</definedName>
    <definedName name="_xlnm.Print_Area" localSheetId="6">'U35 SAN-B'!$B$1:$BK$31</definedName>
    <definedName name="_xlnm.Print_Titles" localSheetId="7">'U30 STG-01'!$1:$3</definedName>
    <definedName name="_xlnm.Print_Area" localSheetId="7">'U30 STG-01'!$B$1:$BK$40</definedName>
    <definedName name="_xlnm.Print_Titles" localSheetId="8">'U20 SRV-01'!$1:$3</definedName>
    <definedName name="_xlnm.Print_Area" localSheetId="8">'U20 SRV-01'!$B$1:$BK$40</definedName>
    <definedName name="_xlnm.Print_Titles" localSheetId="9">'U18 SRV-02'!$1:$3</definedName>
    <definedName name="_xlnm.Print_Area" localSheetId="9">'U18 SRV-02'!$B$1:$BK$40</definedName>
    <definedName name="_xlnm.Print_Titles" localSheetId="10">'U16 SRV-03'!$1:$3</definedName>
    <definedName name="_xlnm.Print_Area" localSheetId="10">'U16 SRV-03'!$B$1:$BK$26</definedName>
    <definedName name="_xlnm.Print_Titles" localSheetId="11">'U01 ENC-01'!$1:$3</definedName>
    <definedName name="_xlnm.Print_Area" localSheetId="11">'U01 ENC-01'!$B$1:$BK$103</definedName>
    <definedName name="_xlnm.Print_Titles" localSheetId="12">'0U PDU-A'!$1:$3</definedName>
    <definedName name="_xlnm.Print_Area" localSheetId="12">'0U PDU-A'!$B$1:$BK$26</definedName>
    <definedName name="_xlnm.Print_Titles" localSheetId="13">'0U PDU-B'!$1:$3</definedName>
    <definedName name="_xlnm.Print_Area" localSheetId="13">'0U PDU-B'!$B$1:$BK$26</definedName>
    <definedName name="_xlnm.Print_Titles" localSheetId="14">'사용법'!$1:$3</definedName>
    <definedName name="_xlnm.Print_Area" localSheetId="14">'사용법'!$B$1:$BK$58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  <sz val="8"/>
    </font>
    <font>
      <name val="맑은 고딕"/>
      <color rgb="008C99A8"/>
      <sz val="8"/>
    </font>
    <font>
      <name val="맑은 고딕"/>
      <color rgb="00677789"/>
      <sz val="6.5"/>
    </font>
    <font>
      <name val="맑은 고딕"/>
      <b val="1"/>
      <color rgb="001E2A36"/>
      <sz val="7"/>
    </font>
    <font/>
    <font>
      <name val="맑은 고딕"/>
      <color rgb="003A4856"/>
      <sz val="6.5"/>
    </font>
    <font>
      <name val="맑은 고딕"/>
      <color rgb="008C99A8"/>
      <sz val="6.5"/>
    </font>
    <font>
      <name val="Consolas"/>
      <color rgb="001E2A36"/>
      <sz val="8.5"/>
    </font>
    <font>
      <name val="맑은 고딕"/>
      <b val="1"/>
      <color rgb="001F3A5F"/>
      <sz val="9"/>
    </font>
    <font>
      <name val="맑은 고딕"/>
      <color rgb="00677789"/>
      <sz val="7"/>
    </font>
    <font>
      <name val="맑은 고딕"/>
      <b val="1"/>
      <color rgb="001E2A36"/>
      <sz val="8"/>
    </font>
    <font>
      <name val="맑은 고딕"/>
      <color rgb="001E2A36"/>
      <sz val="8.5"/>
    </font>
    <font>
      <name val="맑은 고딕"/>
      <b val="1"/>
      <color rgb="001E2A36"/>
      <sz val="8.5"/>
    </font>
    <font>
      <name val="맑은 고딕"/>
      <b val="1"/>
      <color rgb="001E2A36"/>
      <sz val="16"/>
    </font>
    <font>
      <name val="맑은 고딕"/>
      <color rgb="003A4856"/>
      <sz val="11"/>
    </font>
    <font>
      <name val="맑은 고딕"/>
      <color rgb="00677789"/>
      <sz val="8"/>
    </font>
    <font>
      <name val="맑은 고딕"/>
      <color rgb="00677789"/>
      <sz val="7.5"/>
    </font>
    <font>
      <name val="맑은 고딕"/>
      <color rgb="001E2A36"/>
      <sz val="7.5"/>
    </font>
    <font>
      <name val="맑은 고딕"/>
      <b val="1"/>
      <color rgb="001E2A36"/>
      <sz val="7.5"/>
    </font>
    <font>
      <name val="맑은 고딕"/>
      <b val="1"/>
      <color rgb="002F6DB5"/>
      <sz val="8"/>
    </font>
    <font>
      <name val="맑은 고딕"/>
      <color rgb="003A4856"/>
      <sz val="7"/>
    </font>
    <font>
      <name val="Consolas"/>
      <color rgb="001E2A36"/>
      <sz val="7"/>
    </font>
    <font>
      <name val="맑은 고딕"/>
      <b val="1"/>
      <color rgb="002F6DB5"/>
      <sz val="9"/>
    </font>
    <font>
      <name val="맑은 고딕"/>
      <color rgb="00677789"/>
      <sz val="6"/>
    </font>
    <font>
      <name val="맑은 고딕"/>
      <color rgb="008C99A8"/>
      <sz val="11"/>
    </font>
    <font>
      <name val="맑은 고딕"/>
      <b val="1"/>
      <color rgb="001E2A36"/>
      <sz val="6.5"/>
    </font>
    <font>
      <name val="맑은 고딕"/>
      <color rgb="008C99A8"/>
      <sz val="7"/>
    </font>
    <font>
      <name val="맑은 고딕"/>
      <color rgb="003A4856"/>
      <sz val="10"/>
    </font>
    <font>
      <name val="맑은 고딕"/>
      <b val="1"/>
      <color rgb="001F3A5F"/>
      <sz val="9.5"/>
    </font>
    <font>
      <name val="맑은 고딕"/>
      <color rgb="001E2A36"/>
      <sz val="8"/>
    </font>
  </fonts>
  <fills count="20">
    <fill>
      <patternFill/>
    </fill>
    <fill>
      <patternFill patternType="gray125"/>
    </fill>
    <fill>
      <patternFill patternType="solid">
        <fgColor rgb="002F6DB5"/>
      </patternFill>
    </fill>
    <fill>
      <patternFill patternType="solid">
        <fgColor rgb="000B7C7C"/>
      </patternFill>
    </fill>
    <fill>
      <patternFill patternType="solid">
        <fgColor rgb="00377F3F"/>
      </patternFill>
    </fill>
    <fill>
      <patternFill patternType="solid">
        <fgColor rgb="00BF5B14"/>
      </patternFill>
    </fill>
    <fill>
      <patternFill patternType="solid">
        <fgColor rgb="007A55B3"/>
      </patternFill>
    </fill>
    <fill>
      <patternFill patternType="solid">
        <fgColor rgb="005E6B78"/>
      </patternFill>
    </fill>
    <fill>
      <patternFill patternType="solid">
        <fgColor rgb="00C73E3A"/>
      </patternFill>
    </fill>
    <fill>
      <patternFill patternType="solid">
        <fgColor rgb="00FFFFFF"/>
      </patternFill>
    </fill>
    <fill>
      <patternFill patternType="solid">
        <fgColor rgb="00E4E9EF"/>
      </patternFill>
    </fill>
    <fill>
      <patternFill patternType="solid">
        <fgColor rgb="00C3CCD6"/>
      </patternFill>
    </fill>
    <fill>
      <patternFill patternType="solid">
        <fgColor rgb="001F3A5F"/>
      </patternFill>
    </fill>
    <fill>
      <patternFill patternType="solid">
        <fgColor rgb="00FFF1BF"/>
      </patternFill>
    </fill>
    <fill>
      <patternFill patternType="solid">
        <fgColor rgb="00EEF2F6"/>
      </patternFill>
    </fill>
    <fill>
      <patternFill patternType="solid">
        <fgColor rgb="00DCE8F6"/>
      </patternFill>
    </fill>
    <fill>
      <patternFill patternType="solid">
        <fgColor rgb="00D5EEEE"/>
      </patternFill>
    </fill>
    <fill>
      <patternFill patternType="solid">
        <fgColor rgb="00FBE4D3"/>
      </patternFill>
    </fill>
    <fill>
      <patternFill patternType="solid">
        <fgColor rgb="00F8DCDA"/>
      </patternFill>
    </fill>
    <fill>
      <patternFill patternType="solid">
        <fgColor rgb="00EFE3F5"/>
      </patternFill>
    </fill>
  </fills>
  <borders count="79">
    <border>
      <left/>
      <right/>
      <top/>
      <bottom/>
      <diagonal/>
    </border>
    <border/>
    <border>
      <bottom style="thin">
        <color rgb="00D5DCE4"/>
      </bottom>
    </border>
    <border>
      <top style="thin">
        <color rgb="008C99A8"/>
      </top>
      <bottom style="thin">
        <color rgb="008C99A8"/>
      </bottom>
    </border>
    <border>
      <left/>
      <right/>
      <top/>
      <bottom style="medium">
        <color rgb="001F3A5F"/>
      </bottom>
    </border>
    <border>
      <left/>
      <right/>
      <top/>
      <bottom style="dotted">
        <color rgb="00B4BFCB"/>
      </bottom>
    </border>
    <border>
      <left style="medium">
        <color rgb="003A4856"/>
      </left>
      <right/>
      <top/>
      <bottom/>
    </border>
    <border>
      <left/>
      <right style="medium">
        <color rgb="003A4856"/>
      </right>
      <top/>
      <bottom/>
    </border>
    <border>
      <top style="thin">
        <color rgb="008C99A8"/>
      </top>
      <bottom style="medium">
        <color rgb="003A4856"/>
      </bottom>
    </border>
    <border>
      <left/>
      <right/>
      <top style="medium">
        <color rgb="003A4856"/>
      </top>
      <bottom/>
    </border>
    <border>
      <left style="thin">
        <color rgb="003A4856"/>
      </left>
      <right style="thin">
        <color rgb="003A4856"/>
      </right>
      <top style="thin">
        <color rgb="003A4856"/>
      </top>
      <bottom style="thin">
        <color rgb="003A4856"/>
      </bottom>
    </border>
    <border>
      <left/>
      <right/>
      <top style="thin">
        <color rgb="008C99A8"/>
      </top>
      <bottom/>
      <diagonal/>
    </border>
    <border>
      <left/>
      <right/>
      <top style="thin">
        <color rgb="008C99A8"/>
      </top>
      <bottom style="thin">
        <color rgb="008C99A8"/>
      </bottom>
      <diagonal/>
    </border>
    <border>
      <left/>
      <right/>
      <top/>
      <bottom style="thin">
        <color rgb="00D5DCE4"/>
      </bottom>
      <diagonal/>
    </border>
    <border>
      <left/>
      <right/>
      <top/>
      <bottom style="medium">
        <color rgb="003A4856"/>
      </bottom>
    </border>
    <border>
      <left style="medium">
        <color rgb="003A4856"/>
      </left>
      <right/>
      <top style="medium">
        <color rgb="003A4856"/>
      </top>
      <bottom/>
    </border>
    <border>
      <left/>
      <right style="medium">
        <color rgb="003A4856"/>
      </right>
      <top style="medium">
        <color rgb="003A4856"/>
      </top>
      <bottom/>
    </border>
    <border>
      <left style="medium">
        <color rgb="003A4856"/>
      </left>
      <right/>
      <top/>
      <bottom style="medium">
        <color rgb="003A4856"/>
      </bottom>
    </border>
    <border>
      <left/>
      <right style="medium">
        <color rgb="003A4856"/>
      </right>
      <top/>
      <bottom style="medium">
        <color rgb="003A4856"/>
      </bottom>
    </border>
    <border>
      <left style="medium">
        <color rgb="00E4E9EF"/>
      </left>
      <right style="medium">
        <color rgb="00E4E9EF"/>
      </right>
      <top style="medium">
        <color rgb="00E4E9EF"/>
      </top>
      <bottom style="medium">
        <color rgb="00E4E9EF"/>
      </bottom>
    </border>
    <border>
      <top style="thin">
        <color rgb="008C99A8"/>
      </top>
    </border>
    <border>
      <bottom style="thin">
        <color rgb="008C99A8"/>
      </bottom>
    </border>
    <border>
      <left style="thin">
        <color rgb="008C99A8"/>
      </left>
      <top style="thin">
        <color rgb="008C99A8"/>
      </top>
    </border>
    <border>
      <right style="thin">
        <color rgb="008C99A8"/>
      </right>
      <top style="thin">
        <color rgb="008C99A8"/>
      </top>
    </border>
    <border>
      <left style="thin">
        <color rgb="008C99A8"/>
      </left>
    </border>
    <border>
      <right style="thin">
        <color rgb="008C99A8"/>
      </right>
    </border>
    <border>
      <left style="thin">
        <color rgb="008C99A8"/>
      </left>
      <bottom style="thin">
        <color rgb="008C99A8"/>
      </bottom>
    </border>
    <border>
      <right style="thin">
        <color rgb="008C99A8"/>
      </right>
      <bottom style="thin">
        <color rgb="008C99A8"/>
      </bottom>
    </border>
    <border>
      <left style="thin">
        <color rgb="008C99A8"/>
      </left>
      <right style="thin">
        <color rgb="008C99A8"/>
      </right>
      <top style="thin">
        <color rgb="008C99A8"/>
      </top>
      <bottom style="thin">
        <color rgb="008C99A8"/>
      </bottom>
    </border>
    <border>
      <left/>
      <right/>
      <top/>
      <bottom/>
    </border>
    <border>
      <left/>
      <right/>
      <top style="medium">
        <color rgb="00E4E9EF"/>
      </top>
      <bottom/>
      <diagonal/>
    </border>
    <border>
      <left/>
      <right style="medium">
        <color rgb="00E4E9EF"/>
      </right>
      <top style="medium">
        <color rgb="00E4E9EF"/>
      </top>
      <bottom/>
      <diagonal/>
    </border>
    <border>
      <left/>
      <right style="medium">
        <color rgb="00E4E9EF"/>
      </right>
      <top style="medium">
        <color rgb="00E4E9EF"/>
      </top>
      <bottom style="medium">
        <color rgb="00E4E9EF"/>
      </bottom>
      <diagonal/>
    </border>
    <border>
      <left style="thin">
        <color rgb="008C99A8"/>
      </left>
      <right style="medium">
        <color rgb="00E4E9EF"/>
      </right>
      <top style="medium">
        <color rgb="00E4E9EF"/>
      </top>
      <bottom style="medium">
        <color rgb="00E4E9EF"/>
      </bottom>
    </border>
    <border>
      <left style="thin">
        <color rgb="008C99A8"/>
      </left>
      <right style="medium">
        <color rgb="00E4E9EF"/>
      </right>
      <top style="medium">
        <color rgb="00E4E9EF"/>
      </top>
      <bottom style="thin">
        <color rgb="008C99A8"/>
      </bottom>
    </border>
    <border>
      <left style="medium">
        <color rgb="00E4E9EF"/>
      </left>
      <right style="medium">
        <color rgb="00E4E9EF"/>
      </right>
      <top style="medium">
        <color rgb="00E4E9EF"/>
      </top>
      <bottom style="thin">
        <color rgb="008C99A8"/>
      </bottom>
    </border>
    <border>
      <left style="medium">
        <color rgb="00E4E9EF"/>
      </left>
      <right style="thin">
        <color rgb="008C99A8"/>
      </right>
      <top style="medium">
        <color rgb="00E4E9EF"/>
      </top>
      <bottom style="medium">
        <color rgb="00E4E9EF"/>
      </bottom>
    </border>
    <border>
      <left style="medium">
        <color rgb="00E4E9EF"/>
      </left>
      <right style="thin">
        <color rgb="008C99A8"/>
      </right>
      <top style="medium">
        <color rgb="00E4E9EF"/>
      </top>
      <bottom style="thin">
        <color rgb="008C99A8"/>
      </bottom>
    </border>
    <border>
      <left/>
      <right style="medium">
        <color rgb="00E4E9EF"/>
      </right>
      <top style="medium">
        <color rgb="00E4E9EF"/>
      </top>
      <bottom style="thin">
        <color rgb="008C99A8"/>
      </bottom>
      <diagonal/>
    </border>
    <border>
      <left/>
      <right style="thin">
        <color rgb="008C99A8"/>
      </right>
      <top style="medium">
        <color rgb="00E4E9EF"/>
      </top>
      <bottom/>
      <diagonal/>
    </border>
    <border>
      <left/>
      <right style="thin">
        <color rgb="008C99A8"/>
      </right>
      <top style="medium">
        <color rgb="00E4E9EF"/>
      </top>
      <bottom style="medium">
        <color rgb="00E4E9EF"/>
      </bottom>
      <diagonal/>
    </border>
    <border>
      <left/>
      <right style="thin">
        <color rgb="008C99A8"/>
      </right>
      <top style="medium">
        <color rgb="00E4E9EF"/>
      </top>
      <bottom style="thin">
        <color rgb="008C99A8"/>
      </bottom>
      <diagonal/>
    </border>
    <border>
      <left style="thin">
        <color rgb="008C99A8"/>
      </left>
      <right style="thin">
        <color rgb="008C99A8"/>
      </right>
      <top style="medium">
        <color rgb="00E4E9EF"/>
      </top>
      <bottom style="medium">
        <color rgb="00E4E9EF"/>
      </bottom>
    </border>
    <border>
      <left style="thin">
        <color rgb="008C99A8"/>
      </left>
      <right style="thin">
        <color rgb="008C99A8"/>
      </right>
      <top style="medium">
        <color rgb="00E4E9EF"/>
      </top>
      <bottom style="thin">
        <color rgb="008C99A8"/>
      </bottom>
    </border>
    <border>
      <left style="thin">
        <color rgb="008C99A8"/>
      </left>
      <right style="thin">
        <color rgb="008C99A8"/>
      </right>
      <bottom style="thin">
        <color rgb="008C99A8"/>
      </bottom>
    </border>
    <border>
      <left style="thin">
        <color rgb="008C99A8"/>
      </left>
      <right/>
      <top/>
      <bottom/>
      <diagonal/>
    </border>
    <border>
      <left/>
      <right style="thin">
        <color rgb="008C99A8"/>
      </right>
      <top/>
      <bottom/>
      <diagonal/>
    </border>
    <border>
      <left style="thin">
        <color rgb="008C99A8"/>
      </left>
      <right/>
      <top/>
      <bottom style="thin">
        <color rgb="008C99A8"/>
      </bottom>
      <diagonal/>
    </border>
    <border>
      <left/>
      <right/>
      <top/>
      <bottom style="thin">
        <color rgb="008C99A8"/>
      </bottom>
      <diagonal/>
    </border>
    <border>
      <left/>
      <right style="thin">
        <color rgb="008C99A8"/>
      </right>
      <top/>
      <bottom style="thin">
        <color rgb="008C99A8"/>
      </bottom>
      <diagonal/>
    </border>
    <border>
      <left style="medium">
        <color rgb="00E4E9EF"/>
      </left>
      <right style="medium">
        <color rgb="00E4E9EF"/>
      </right>
      <top style="thin">
        <color rgb="008C99A8"/>
      </top>
      <bottom style="medium">
        <color rgb="00E4E9EF"/>
      </bottom>
    </border>
    <border>
      <left/>
      <right/>
      <top style="dashed">
        <color rgb="00B4BFCB"/>
      </top>
      <bottom/>
    </border>
    <border>
      <left/>
      <right/>
      <top/>
      <bottom style="dashed">
        <color rgb="00B4BFCB"/>
      </bottom>
    </border>
    <border>
      <left style="dashed">
        <color rgb="00B4BFCB"/>
      </left>
      <right/>
      <top style="dashed">
        <color rgb="00B4BFCB"/>
      </top>
      <bottom/>
    </border>
    <border>
      <left/>
      <right style="dashed">
        <color rgb="00B4BFCB"/>
      </right>
      <top style="dashed">
        <color rgb="00B4BFCB"/>
      </top>
      <bottom/>
    </border>
    <border>
      <left style="dashed">
        <color rgb="00B4BFCB"/>
      </left>
      <right/>
      <top/>
      <bottom style="dashed">
        <color rgb="00B4BFCB"/>
      </bottom>
    </border>
    <border>
      <left/>
      <right style="dashed">
        <color rgb="00B4BFCB"/>
      </right>
      <top/>
      <bottom style="dashed">
        <color rgb="00B4BFCB"/>
      </bottom>
    </border>
    <border>
      <left style="medium">
        <color rgb="00E4E9EF"/>
      </left>
      <right/>
      <top/>
      <bottom/>
      <diagonal/>
    </border>
    <border>
      <left/>
      <right style="medium">
        <color rgb="00E4E9EF"/>
      </right>
      <top/>
      <bottom/>
      <diagonal/>
    </border>
    <border>
      <left style="medium">
        <color rgb="00E4E9EF"/>
      </left>
      <right/>
      <top/>
      <bottom style="medium">
        <color rgb="00E4E9EF"/>
      </bottom>
      <diagonal/>
    </border>
    <border>
      <left/>
      <right style="medium">
        <color rgb="00E4E9EF"/>
      </right>
      <top/>
      <bottom style="medium">
        <color rgb="00E4E9EF"/>
      </bottom>
      <diagonal/>
    </border>
    <border>
      <left/>
      <right style="medium">
        <color rgb="00E4E9EF"/>
      </right>
      <top style="thin">
        <color rgb="008C99A8"/>
      </top>
      <bottom/>
      <diagonal/>
    </border>
    <border>
      <left/>
      <right style="medium">
        <color rgb="00E4E9EF"/>
      </right>
      <top style="thin">
        <color rgb="008C99A8"/>
      </top>
      <bottom style="medium">
        <color rgb="00E4E9EF"/>
      </bottom>
      <diagonal/>
    </border>
    <border>
      <left/>
      <right/>
      <top style="thin">
        <color rgb="008C99A8"/>
      </top>
      <bottom style="medium">
        <color rgb="00E4E9EF"/>
      </bottom>
      <diagonal/>
    </border>
    <border>
      <left style="thin">
        <color rgb="008C99A8"/>
      </left>
      <top style="thin">
        <color rgb="008C99A8"/>
      </top>
      <bottom style="thin">
        <color rgb="008C99A8"/>
      </bottom>
    </border>
    <border>
      <right style="thin">
        <color rgb="008C99A8"/>
      </right>
      <top style="thin">
        <color rgb="008C99A8"/>
      </top>
      <bottom style="thin">
        <color rgb="008C99A8"/>
      </bottom>
    </border>
    <border>
      <left style="medium">
        <color rgb="00E4E9EF"/>
      </left>
      <right style="medium">
        <color rgb="00E4E9EF"/>
      </right>
      <top style="thin">
        <color rgb="008C99A8"/>
      </top>
      <bottom style="thin">
        <color rgb="008C99A8"/>
      </bottom>
    </border>
    <border>
      <left/>
      <right/>
      <top style="dashed">
        <color rgb="00B4BFCB"/>
      </top>
      <bottom style="dashed">
        <color rgb="00B4BFCB"/>
      </bottom>
    </border>
    <border>
      <left style="dashed">
        <color rgb="00B4BFCB"/>
      </left>
      <right/>
      <top style="dashed">
        <color rgb="00B4BFCB"/>
      </top>
      <bottom style="dashed">
        <color rgb="00B4BFCB"/>
      </bottom>
    </border>
    <border>
      <left/>
      <right style="dashed">
        <color rgb="00B4BFCB"/>
      </right>
      <top style="dashed">
        <color rgb="00B4BFCB"/>
      </top>
      <bottom style="dashed">
        <color rgb="00B4BFCB"/>
      </bottom>
    </border>
    <border>
      <left style="medium">
        <color rgb="00E4E9EF"/>
      </left>
      <right/>
      <top/>
      <bottom style="thin">
        <color rgb="008C99A8"/>
      </bottom>
      <diagonal/>
    </border>
    <border>
      <left/>
      <right style="medium">
        <color rgb="00E4E9EF"/>
      </right>
      <top/>
      <bottom style="thin">
        <color rgb="008C99A8"/>
      </bottom>
      <diagonal/>
    </border>
    <border>
      <left/>
      <right/>
      <top style="medium">
        <color rgb="00E4E9EF"/>
      </top>
      <bottom style="medium">
        <color rgb="00E4E9EF"/>
      </bottom>
      <diagonal/>
    </border>
    <border>
      <left/>
      <right style="medium">
        <color rgb="00E4E9EF"/>
      </right>
      <top style="thin">
        <color rgb="008C99A8"/>
      </top>
      <bottom style="thin">
        <color rgb="008C99A8"/>
      </bottom>
      <diagonal/>
    </border>
    <border>
      <left style="dashed">
        <color rgb="00B4BFCB"/>
      </left>
      <right/>
      <top/>
      <bottom/>
    </border>
    <border>
      <left/>
      <right style="dashed">
        <color rgb="00B4BFCB"/>
      </right>
      <top/>
      <bottom/>
    </border>
    <border>
      <left style="dashed">
        <color rgb="00B4BFCB"/>
      </left>
      <right style="dashed">
        <color rgb="00B4BFCB"/>
      </right>
      <top/>
      <bottom/>
    </border>
    <border>
      <left/>
      <right style="dashed">
        <color rgb="00B4BFCB"/>
      </right>
      <top/>
      <bottom/>
      <diagonal/>
    </border>
    <border>
      <left/>
      <right/>
      <top/>
      <bottom style="thin">
        <color rgb="00B4BFCB"/>
      </bottom>
    </border>
  </borders>
  <cellStyleXfs count="21">
    <xf numFmtId="0" fontId="1" fillId="0" borderId="0"/>
    <xf numFmtId="0" fontId="2" fillId="2" borderId="1" applyAlignment="1" applyBorder="0">
      <alignment horizontal="center" vertical="center"/>
    </xf>
    <xf numFmtId="0" fontId="2" fillId="3" borderId="1" applyAlignment="1" applyBorder="0">
      <alignment horizontal="center" vertical="center"/>
    </xf>
    <xf numFmtId="0" fontId="2" fillId="4" borderId="1" applyAlignment="1" applyBorder="0">
      <alignment horizontal="center" vertical="center"/>
    </xf>
    <xf numFmtId="0" fontId="2" fillId="5" borderId="1" applyAlignment="1" applyBorder="0">
      <alignment horizontal="center" vertical="center"/>
    </xf>
    <xf numFmtId="0" fontId="2" fillId="6" borderId="1" applyAlignment="1" applyBorder="0">
      <alignment horizontal="center" vertical="center"/>
    </xf>
    <xf numFmtId="0" fontId="2" fillId="7" borderId="1" applyAlignment="1" applyBorder="0">
      <alignment horizontal="center" vertical="center"/>
    </xf>
    <xf numFmtId="0" fontId="2" fillId="8" borderId="1" applyAlignment="1" applyBorder="0">
      <alignment horizontal="center" vertical="center"/>
    </xf>
    <xf numFmtId="0" fontId="3" fillId="9" borderId="1" applyAlignment="1" applyBorder="0">
      <alignment horizontal="center" vertical="center"/>
    </xf>
    <xf numFmtId="0" fontId="4" fillId="0" borderId="1" applyAlignment="1" applyBorder="0">
      <alignment horizontal="center" vertical="center"/>
    </xf>
    <xf numFmtId="0" fontId="5" fillId="0" borderId="1" applyAlignment="1" applyBorder="0">
      <alignment horizontal="left" vertical="center"/>
    </xf>
    <xf numFmtId="0" fontId="6" fillId="10" borderId="1" applyBorder="0"/>
    <xf numFmtId="0" fontId="7" fillId="11" borderId="1" applyAlignment="1" applyBorder="0">
      <alignment horizontal="center" vertical="bottom"/>
    </xf>
    <xf numFmtId="0" fontId="8" fillId="9" borderId="1" applyAlignment="1" applyBorder="0">
      <alignment horizontal="center" vertical="bottom"/>
    </xf>
    <xf numFmtId="0" fontId="2" fillId="12" borderId="1" applyAlignment="1" applyBorder="0">
      <alignment horizontal="center" vertical="center"/>
    </xf>
    <xf numFmtId="0" fontId="9" fillId="13" borderId="2" applyAlignment="1">
      <alignment horizontal="left" vertical="center"/>
    </xf>
    <xf numFmtId="0" fontId="10" fillId="0" borderId="1" applyAlignment="1" applyBorder="0">
      <alignment horizontal="left" vertical="center"/>
    </xf>
    <xf numFmtId="0" fontId="11" fillId="0" borderId="1" applyAlignment="1" applyBorder="0">
      <alignment horizontal="left" vertical="center"/>
    </xf>
    <xf numFmtId="0" fontId="12" fillId="14" borderId="3" applyAlignment="1">
      <alignment horizontal="left" vertical="center"/>
    </xf>
    <xf numFmtId="0" fontId="13" fillId="0" borderId="2" applyAlignment="1">
      <alignment horizontal="left" vertical="center"/>
    </xf>
    <xf numFmtId="0" fontId="14" fillId="0" borderId="2" applyAlignment="1">
      <alignment horizontal="center" vertical="center"/>
    </xf>
  </cellStyleXfs>
  <cellXfs count="159">
    <xf numFmtId="0" fontId="0" fillId="0" borderId="0" pivotButton="0" quotePrefix="0" xfId="0"/>
    <xf numFmtId="0" fontId="15" fillId="0" borderId="4" applyAlignment="1" pivotButton="0" quotePrefix="0" xfId="0">
      <alignment horizontal="left" vertical="center"/>
    </xf>
    <xf numFmtId="0" fontId="0" fillId="0" borderId="4" pivotButton="0" quotePrefix="0" xfId="0"/>
    <xf numFmtId="0" fontId="16" fillId="0" borderId="4" applyAlignment="1" pivotButton="0" quotePrefix="0" xfId="0">
      <alignment horizontal="left" vertical="center"/>
    </xf>
    <xf numFmtId="0" fontId="17" fillId="0" borderId="4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14" borderId="8" applyAlignment="1" pivotButton="0" quotePrefix="0" xfId="18">
      <alignment horizontal="center" vertical="center"/>
    </xf>
    <xf numFmtId="0" fontId="12" fillId="14" borderId="8" applyAlignment="1" pivotButton="0" quotePrefix="0" xfId="18">
      <alignment horizontal="left" vertical="center"/>
    </xf>
    <xf numFmtId="0" fontId="12" fillId="14" borderId="3" applyAlignment="1" pivotButton="0" quotePrefix="0" xfId="18">
      <alignment horizontal="center" vertical="center"/>
    </xf>
    <xf numFmtId="0" fontId="0" fillId="0" borderId="12" pivotButton="0" quotePrefix="0" xfId="0"/>
    <xf numFmtId="0" fontId="12" fillId="14" borderId="3" applyAlignment="1" pivotButton="0" quotePrefix="0" xfId="18">
      <alignment horizontal="left" vertical="center"/>
    </xf>
    <xf numFmtId="0" fontId="4" fillId="14" borderId="6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indent="1"/>
    </xf>
    <xf numFmtId="0" fontId="0" fillId="0" borderId="5" pivotButton="0" quotePrefix="0" xfId="0"/>
    <xf numFmtId="0" fontId="0" fillId="14" borderId="7" pivotButton="0" quotePrefix="0" xfId="0"/>
    <xf numFmtId="0" fontId="0" fillId="14" borderId="6" pivotButton="0" quotePrefix="0" xfId="0"/>
    <xf numFmtId="0" fontId="4" fillId="14" borderId="7" applyAlignment="1" pivotButton="0" quotePrefix="0" xfId="0">
      <alignment horizontal="center" vertical="center"/>
    </xf>
    <xf numFmtId="0" fontId="19" fillId="0" borderId="2" applyAlignment="1" pivotButton="0" quotePrefix="0" xfId="19">
      <alignment horizontal="center" vertical="center"/>
    </xf>
    <xf numFmtId="0" fontId="0" fillId="0" borderId="13" pivotButton="0" quotePrefix="0" xfId="0"/>
    <xf numFmtId="0" fontId="19" fillId="0" borderId="2" applyAlignment="1" pivotButton="0" quotePrefix="0" xfId="19">
      <alignment horizontal="left" vertical="center"/>
    </xf>
    <xf numFmtId="0" fontId="20" fillId="0" borderId="2" applyAlignment="1" pivotButton="0" quotePrefix="0" xfId="19">
      <alignment horizontal="left" vertical="center"/>
    </xf>
    <xf numFmtId="0" fontId="21" fillId="0" borderId="2" applyAlignment="1" pivotButton="0" quotePrefix="0" xfId="19">
      <alignment horizontal="center" vertical="center"/>
    </xf>
    <xf numFmtId="0" fontId="0" fillId="0" borderId="9" pivotButton="0" quotePrefix="0" xfId="0"/>
    <xf numFmtId="0" fontId="14" fillId="0" borderId="0" pivotButton="0" quotePrefix="0" xfId="0"/>
    <xf numFmtId="0" fontId="0" fillId="15" borderId="10" pivotButton="0" quotePrefix="0" xfId="0"/>
    <xf numFmtId="0" fontId="22" fillId="0" borderId="0" applyAlignment="1" pivotButton="0" quotePrefix="0" xfId="0">
      <alignment horizontal="left" vertical="center"/>
    </xf>
    <xf numFmtId="0" fontId="0" fillId="16" borderId="10" pivotButton="0" quotePrefix="0" xfId="0"/>
    <xf numFmtId="0" fontId="0" fillId="17" borderId="10" pivotButton="0" quotePrefix="0" xfId="0"/>
    <xf numFmtId="0" fontId="0" fillId="18" borderId="10" pivotButton="0" quotePrefix="0" xfId="0"/>
    <xf numFmtId="0" fontId="0" fillId="19" borderId="10" pivotButton="0" quotePrefix="0" xfId="0"/>
    <xf numFmtId="0" fontId="0" fillId="10" borderId="10" pivotButton="0" quotePrefix="0" xfId="0"/>
    <xf numFmtId="0" fontId="24" fillId="0" borderId="0" pivotButton="0" quotePrefix="0" xfId="0"/>
    <xf numFmtId="0" fontId="2" fillId="12" borderId="29" applyAlignment="1" pivotButton="0" quotePrefix="0" xfId="0">
      <alignment horizontal="center" vertical="center" textRotation="255"/>
    </xf>
    <xf numFmtId="0" fontId="0" fillId="14" borderId="15" pivotButton="0" quotePrefix="0" xfId="0"/>
    <xf numFmtId="0" fontId="0" fillId="14" borderId="16" pivotButton="0" quotePrefix="0" xfId="0"/>
    <xf numFmtId="0" fontId="5" fillId="0" borderId="0" applyAlignment="1" pivotButton="0" quotePrefix="0" xfId="0">
      <alignment horizontal="left" vertical="center"/>
    </xf>
    <xf numFmtId="0" fontId="2" fillId="4" borderId="19" applyAlignment="1" pivotButton="0" quotePrefix="0" xfId="3">
      <alignment horizontal="center" vertical="center"/>
    </xf>
    <xf numFmtId="0" fontId="0" fillId="0" borderId="32" pivotButton="0" quotePrefix="0" xfId="0"/>
    <xf numFmtId="0" fontId="3" fillId="9" borderId="19" applyAlignment="1" pivotButton="0" quotePrefix="0" xfId="8">
      <alignment horizontal="center" vertical="center"/>
    </xf>
    <xf numFmtId="0" fontId="0" fillId="14" borderId="17" pivotButton="0" quotePrefix="0" xfId="0"/>
    <xf numFmtId="0" fontId="0" fillId="0" borderId="14" pivotButton="0" quotePrefix="0" xfId="0"/>
    <xf numFmtId="0" fontId="0" fillId="14" borderId="18" pivotButton="0" quotePrefix="0" xfId="0"/>
    <xf numFmtId="0" fontId="5" fillId="10" borderId="22" applyAlignment="1" pivotButton="0" quotePrefix="0" xfId="11">
      <alignment horizontal="left" vertical="center"/>
    </xf>
    <xf numFmtId="0" fontId="6" fillId="10" borderId="20" pivotButton="0" quotePrefix="0" xfId="11"/>
    <xf numFmtId="0" fontId="6" fillId="10" borderId="23" pivotButton="0" quotePrefix="0" xfId="11"/>
    <xf numFmtId="0" fontId="6" fillId="10" borderId="24" pivotButton="0" quotePrefix="0" xfId="11"/>
    <xf numFmtId="0" fontId="6" fillId="10" borderId="1" pivotButton="0" quotePrefix="0" xfId="11"/>
    <xf numFmtId="0" fontId="6" fillId="10" borderId="25" pivotButton="0" quotePrefix="0" xfId="11"/>
    <xf numFmtId="0" fontId="6" fillId="10" borderId="26" pivotButton="0" quotePrefix="0" xfId="11"/>
    <xf numFmtId="0" fontId="6" fillId="10" borderId="21" pivotButton="0" quotePrefix="0" xfId="11"/>
    <xf numFmtId="0" fontId="6" fillId="10" borderId="27" pivotButton="0" quotePrefix="0" xfId="11"/>
    <xf numFmtId="0" fontId="2" fillId="2" borderId="1" applyAlignment="1" pivotButton="0" quotePrefix="0" xfId="1">
      <alignment horizontal="center" vertical="center"/>
    </xf>
    <xf numFmtId="0" fontId="2" fillId="3" borderId="1" applyAlignment="1" pivotButton="0" quotePrefix="0" xfId="2">
      <alignment horizontal="center" vertical="center"/>
    </xf>
    <xf numFmtId="0" fontId="2" fillId="4" borderId="1" applyAlignment="1" pivotButton="0" quotePrefix="0" xfId="3">
      <alignment horizontal="center" vertical="center"/>
    </xf>
    <xf numFmtId="0" fontId="2" fillId="5" borderId="1" applyAlignment="1" pivotButton="0" quotePrefix="0" xfId="4">
      <alignment horizontal="center" vertical="center"/>
    </xf>
    <xf numFmtId="0" fontId="2" fillId="6" borderId="1" applyAlignment="1" pivotButton="0" quotePrefix="0" xfId="5">
      <alignment horizontal="center" vertical="center"/>
    </xf>
    <xf numFmtId="0" fontId="2" fillId="7" borderId="1" applyAlignment="1" pivotButton="0" quotePrefix="0" xfId="6">
      <alignment horizontal="center" vertical="center"/>
    </xf>
    <xf numFmtId="0" fontId="2" fillId="8" borderId="1" applyAlignment="1" pivotButton="0" quotePrefix="0" xfId="7">
      <alignment horizontal="center" vertical="center"/>
    </xf>
    <xf numFmtId="0" fontId="3" fillId="9" borderId="28" applyAlignment="1" pivotButton="0" quotePrefix="0" xfId="8">
      <alignment horizontal="center" vertical="center"/>
    </xf>
    <xf numFmtId="0" fontId="2" fillId="12" borderId="1" applyAlignment="1" pivotButton="0" quotePrefix="0" xfId="14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3" fillId="13" borderId="2" applyAlignment="1" pivotButton="0" quotePrefix="0" xfId="15">
      <alignment horizontal="left" vertical="center"/>
    </xf>
    <xf numFmtId="0" fontId="14" fillId="0" borderId="2" applyAlignment="1" pivotButton="0" quotePrefix="0" xfId="20">
      <alignment horizontal="center" vertical="center"/>
    </xf>
    <xf numFmtId="0" fontId="13" fillId="0" borderId="2" applyAlignment="1" pivotButton="0" quotePrefix="0" xfId="19">
      <alignment horizontal="center" vertical="center"/>
    </xf>
    <xf numFmtId="0" fontId="13" fillId="0" borderId="2" applyAlignment="1" pivotButton="0" quotePrefix="0" xfId="19">
      <alignment horizontal="left" vertical="center"/>
    </xf>
    <xf numFmtId="0" fontId="9" fillId="13" borderId="2" applyAlignment="1" pivotButton="0" quotePrefix="0" xfId="15">
      <alignment horizontal="left" vertical="center"/>
    </xf>
    <xf numFmtId="0" fontId="6" fillId="10" borderId="22" pivotButton="0" quotePrefix="0" xfId="11"/>
    <xf numFmtId="0" fontId="2" fillId="3" borderId="33" applyAlignment="1" pivotButton="0" quotePrefix="0" xfId="2">
      <alignment horizontal="center" vertical="center"/>
    </xf>
    <xf numFmtId="0" fontId="2" fillId="3" borderId="19" applyAlignment="1" pivotButton="0" quotePrefix="0" xfId="2">
      <alignment horizontal="center" vertical="center"/>
    </xf>
    <xf numFmtId="0" fontId="3" fillId="9" borderId="36" applyAlignment="1" pivotButton="0" quotePrefix="0" xfId="8">
      <alignment horizontal="center" vertical="center"/>
    </xf>
    <xf numFmtId="0" fontId="0" fillId="0" borderId="40" pivotButton="0" quotePrefix="0" xfId="0"/>
    <xf numFmtId="0" fontId="25" fillId="9" borderId="42" applyAlignment="1" pivotButton="0" quotePrefix="0" xfId="8">
      <alignment horizontal="center" vertical="center"/>
    </xf>
    <xf numFmtId="0" fontId="2" fillId="3" borderId="34" applyAlignment="1" pivotButton="0" quotePrefix="0" xfId="2">
      <alignment horizontal="center" vertical="center"/>
    </xf>
    <xf numFmtId="0" fontId="0" fillId="0" borderId="38" pivotButton="0" quotePrefix="0" xfId="0"/>
    <xf numFmtId="0" fontId="2" fillId="3" borderId="35" applyAlignment="1" pivotButton="0" quotePrefix="0" xfId="2">
      <alignment horizontal="center" vertical="center"/>
    </xf>
    <xf numFmtId="0" fontId="3" fillId="9" borderId="35" applyAlignment="1" pivotButton="0" quotePrefix="0" xfId="8">
      <alignment horizontal="center" vertical="center"/>
    </xf>
    <xf numFmtId="0" fontId="3" fillId="9" borderId="37" applyAlignment="1" pivotButton="0" quotePrefix="0" xfId="8">
      <alignment horizontal="center" vertical="center"/>
    </xf>
    <xf numFmtId="0" fontId="0" fillId="0" borderId="41" pivotButton="0" quotePrefix="0" xfId="0"/>
    <xf numFmtId="0" fontId="3" fillId="9" borderId="34" applyAlignment="1" pivotButton="0" quotePrefix="0" xfId="8">
      <alignment horizontal="center" vertical="center"/>
    </xf>
    <xf numFmtId="0" fontId="25" fillId="9" borderId="43" applyAlignment="1" pivotButton="0" quotePrefix="0" xfId="8">
      <alignment horizontal="center" vertical="center"/>
    </xf>
    <xf numFmtId="0" fontId="26" fillId="10" borderId="44" applyAlignment="1" pivotButton="0" quotePrefix="0" xfId="11">
      <alignment horizontal="center" vertical="center"/>
    </xf>
    <xf numFmtId="0" fontId="0" fillId="0" borderId="46" pivotButton="0" quotePrefix="0" xfId="0"/>
    <xf numFmtId="0" fontId="2" fillId="8" borderId="19" applyAlignment="1" pivotButton="0" quotePrefix="0" xfId="7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4" fillId="0" borderId="21" applyAlignment="1" pivotButton="0" quotePrefix="0" xfId="9">
      <alignment horizontal="center" vertical="center"/>
    </xf>
    <xf numFmtId="0" fontId="27" fillId="10" borderId="22" applyAlignment="1" pivotButton="0" quotePrefix="0" xfId="11">
      <alignment horizontal="left" vertical="center"/>
    </xf>
    <xf numFmtId="0" fontId="2" fillId="2" borderId="33" applyAlignment="1" pivotButton="0" quotePrefix="0" xfId="1">
      <alignment horizontal="center" vertical="center"/>
    </xf>
    <xf numFmtId="0" fontId="2" fillId="2" borderId="19" applyAlignment="1" pivotButton="0" quotePrefix="0" xfId="1">
      <alignment horizontal="center" vertical="center"/>
    </xf>
    <xf numFmtId="0" fontId="2" fillId="5" borderId="19" applyAlignment="1" pivotButton="0" quotePrefix="0" xfId="4">
      <alignment horizontal="center" vertical="center"/>
    </xf>
    <xf numFmtId="0" fontId="2" fillId="6" borderId="36" applyAlignment="1" pivotButton="0" quotePrefix="0" xfId="5">
      <alignment horizontal="center" vertical="center"/>
    </xf>
    <xf numFmtId="0" fontId="2" fillId="3" borderId="36" applyAlignment="1" pivotButton="0" quotePrefix="0" xfId="2">
      <alignment horizontal="center" vertical="center"/>
    </xf>
    <xf numFmtId="0" fontId="2" fillId="2" borderId="34" applyAlignment="1" pivotButton="0" quotePrefix="0" xfId="1">
      <alignment horizontal="center" vertical="center"/>
    </xf>
    <xf numFmtId="0" fontId="2" fillId="2" borderId="35" applyAlignment="1" pivotButton="0" quotePrefix="0" xfId="1">
      <alignment horizontal="center" vertical="center"/>
    </xf>
    <xf numFmtId="0" fontId="2" fillId="6" borderId="37" applyAlignment="1" pivotButton="0" quotePrefix="0" xfId="5">
      <alignment horizontal="center" vertical="center"/>
    </xf>
    <xf numFmtId="0" fontId="25" fillId="9" borderId="37" applyAlignment="1" pivotButton="0" quotePrefix="0" xfId="8">
      <alignment horizontal="center" vertical="center"/>
    </xf>
    <xf numFmtId="0" fontId="2" fillId="5" borderId="33" applyAlignment="1" pivotButton="0" quotePrefix="0" xfId="4">
      <alignment horizontal="center" vertical="center"/>
    </xf>
    <xf numFmtId="0" fontId="2" fillId="5" borderId="36" applyAlignment="1" pivotButton="0" quotePrefix="0" xfId="4">
      <alignment horizontal="center" vertical="center"/>
    </xf>
    <xf numFmtId="0" fontId="3" fillId="9" borderId="33" applyAlignment="1" pivotButton="0" quotePrefix="0" xfId="8">
      <alignment horizontal="center" vertical="center"/>
    </xf>
    <xf numFmtId="0" fontId="2" fillId="5" borderId="34" applyAlignment="1" pivotButton="0" quotePrefix="0" xfId="4">
      <alignment horizontal="center" vertical="center"/>
    </xf>
    <xf numFmtId="0" fontId="2" fillId="5" borderId="35" applyAlignment="1" pivotButton="0" quotePrefix="0" xfId="4">
      <alignment horizontal="center" vertical="center"/>
    </xf>
    <xf numFmtId="0" fontId="7" fillId="11" borderId="19" applyAlignment="1" pivotButton="0" quotePrefix="0" xfId="12">
      <alignment horizontal="center" vertical="bottom"/>
    </xf>
    <xf numFmtId="0" fontId="0" fillId="0" borderId="31" pivotButton="0" quotePrefix="0" xfId="0"/>
    <xf numFmtId="0" fontId="8" fillId="9" borderId="19" applyAlignment="1" pivotButton="0" quotePrefix="0" xfId="13">
      <alignment horizontal="center" vertical="bottom"/>
    </xf>
    <xf numFmtId="0" fontId="0" fillId="0" borderId="57" pivotButton="0" quotePrefix="0" xfId="0"/>
    <xf numFmtId="0" fontId="0" fillId="0" borderId="58" pivotButton="0" quotePrefix="0" xfId="0"/>
    <xf numFmtId="0" fontId="4" fillId="10" borderId="24" applyAlignment="1" pivotButton="0" quotePrefix="0" xfId="11">
      <alignment horizontal="left" vertical="center"/>
    </xf>
    <xf numFmtId="0" fontId="0" fillId="0" borderId="59" pivotButton="0" quotePrefix="0" xfId="0"/>
    <xf numFmtId="0" fontId="0" fillId="0" borderId="60" pivotButton="0" quotePrefix="0" xfId="0"/>
    <xf numFmtId="0" fontId="2" fillId="3" borderId="50" applyAlignment="1" pivotButton="0" quotePrefix="0" xfId="2">
      <alignment horizontal="center" vertical="center"/>
    </xf>
    <xf numFmtId="0" fontId="0" fillId="0" borderId="62" pivotButton="0" quotePrefix="0" xfId="0"/>
    <xf numFmtId="0" fontId="3" fillId="9" borderId="50" applyAlignment="1" pivotButton="0" quotePrefix="0" xfId="8">
      <alignment horizontal="center" vertical="center"/>
    </xf>
    <xf numFmtId="0" fontId="2" fillId="5" borderId="50" applyAlignment="1" pivotButton="0" quotePrefix="0" xfId="4">
      <alignment horizontal="center" vertical="center"/>
    </xf>
    <xf numFmtId="0" fontId="0" fillId="0" borderId="63" pivotButton="0" quotePrefix="0" xfId="0"/>
    <xf numFmtId="0" fontId="28" fillId="0" borderId="53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4" pivotButton="0" quotePrefix="0" xfId="0"/>
    <xf numFmtId="0" fontId="25" fillId="9" borderId="50" applyAlignment="1" pivotButton="0" quotePrefix="0" xfId="8">
      <alignment horizontal="center" vertical="center"/>
    </xf>
    <xf numFmtId="0" fontId="2" fillId="8" borderId="50" applyAlignment="1" pivotButton="0" quotePrefix="0" xfId="7">
      <alignment horizontal="center" vertical="center"/>
    </xf>
    <xf numFmtId="0" fontId="0" fillId="0" borderId="55" pivotButton="0" quotePrefix="0" xfId="0"/>
    <xf numFmtId="0" fontId="0" fillId="0" borderId="52" pivotButton="0" quotePrefix="0" xfId="0"/>
    <xf numFmtId="0" fontId="0" fillId="0" borderId="56" pivotButton="0" quotePrefix="0" xfId="0"/>
    <xf numFmtId="0" fontId="2" fillId="2" borderId="50" applyAlignment="1" pivotButton="0" quotePrefix="0" xfId="1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2" fillId="4" borderId="50" applyAlignment="1" pivotButton="0" quotePrefix="0" xfId="3">
      <alignment horizontal="center" vertical="center"/>
    </xf>
    <xf numFmtId="0" fontId="7" fillId="11" borderId="66" applyAlignment="1" pivotButton="0" quotePrefix="0" xfId="12">
      <alignment horizontal="center" vertical="bottom"/>
    </xf>
    <xf numFmtId="0" fontId="0" fillId="0" borderId="61" pivotButton="0" quotePrefix="0" xfId="0"/>
    <xf numFmtId="0" fontId="8" fillId="9" borderId="66" applyAlignment="1" pivotButton="0" quotePrefix="0" xfId="13">
      <alignment horizontal="center" vertical="bottom"/>
    </xf>
    <xf numFmtId="0" fontId="25" fillId="9" borderId="19" applyAlignment="1" pivotButton="0" quotePrefix="0" xfId="8">
      <alignment horizontal="center" vertical="center"/>
    </xf>
    <xf numFmtId="0" fontId="0" fillId="0" borderId="72" pivotButton="0" quotePrefix="0" xfId="0"/>
    <xf numFmtId="0" fontId="4" fillId="10" borderId="26" applyAlignment="1" pivotButton="0" quotePrefix="0" xfId="11">
      <alignment horizontal="left" vertical="center"/>
    </xf>
    <xf numFmtId="0" fontId="0" fillId="0" borderId="70" pivotButton="0" quotePrefix="0" xfId="0"/>
    <xf numFmtId="0" fontId="0" fillId="0" borderId="71" pivotButton="0" quotePrefix="0" xfId="0"/>
    <xf numFmtId="0" fontId="5" fillId="10" borderId="64" applyAlignment="1" pivotButton="0" quotePrefix="0" xfId="11">
      <alignment horizontal="left" vertical="center"/>
    </xf>
    <xf numFmtId="0" fontId="6" fillId="10" borderId="3" pivotButton="0" quotePrefix="0" xfId="11"/>
    <xf numFmtId="0" fontId="3" fillId="9" borderId="66" applyAlignment="1" pivotButton="0" quotePrefix="0" xfId="8">
      <alignment horizontal="center" vertical="center"/>
    </xf>
    <xf numFmtId="0" fontId="0" fillId="0" borderId="73" pivotButton="0" quotePrefix="0" xfId="0"/>
    <xf numFmtId="0" fontId="6" fillId="10" borderId="65" pivotButton="0" quotePrefix="0" xfId="11"/>
    <xf numFmtId="0" fontId="28" fillId="0" borderId="68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69" pivotButton="0" quotePrefix="0" xfId="0"/>
    <xf numFmtId="0" fontId="0" fillId="0" borderId="74" pivotButton="0" quotePrefix="0" xfId="0"/>
    <xf numFmtId="0" fontId="0" fillId="0" borderId="75" pivotButton="0" quotePrefix="0" xfId="0"/>
    <xf numFmtId="0" fontId="22" fillId="10" borderId="1" applyAlignment="1" pivotButton="0" quotePrefix="0" xfId="11">
      <alignment horizontal="center" vertical="center" textRotation="90"/>
    </xf>
    <xf numFmtId="0" fontId="8" fillId="0" borderId="76" applyAlignment="1" pivotButton="0" quotePrefix="0" xfId="0">
      <alignment horizontal="center" vertical="center"/>
    </xf>
    <xf numFmtId="0" fontId="0" fillId="0" borderId="77" pivotButton="0" quotePrefix="0" xfId="0"/>
    <xf numFmtId="0" fontId="25" fillId="10" borderId="64" applyAlignment="1" pivotButton="0" quotePrefix="0" xfId="11">
      <alignment horizontal="left" vertical="center"/>
    </xf>
    <xf numFmtId="0" fontId="0" fillId="0" borderId="45" pivotButton="0" quotePrefix="0" xfId="0"/>
    <xf numFmtId="0" fontId="2" fillId="6" borderId="19" applyAlignment="1" pivotButton="0" quotePrefix="0" xfId="5">
      <alignment horizontal="center" vertical="center"/>
    </xf>
    <xf numFmtId="0" fontId="4" fillId="0" borderId="1" applyAlignment="1" pivotButton="0" quotePrefix="0" xfId="9">
      <alignment horizontal="center" vertical="center"/>
    </xf>
    <xf numFmtId="0" fontId="29" fillId="0" borderId="4" applyAlignment="1" pivotButton="0" quotePrefix="0" xfId="0">
      <alignment horizontal="left" vertical="center"/>
    </xf>
    <xf numFmtId="0" fontId="30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</cellXfs>
  <cellStyles count="21">
    <cellStyle name="Normal" xfId="0" builtinId="0" hidden="0"/>
    <cellStyle name="포트 서비스" xfId="1" hidden="0"/>
    <cellStyle name="포트 관리" xfId="2" hidden="0"/>
    <cellStyle name="포트 백업" xfId="3" hidden="0"/>
    <cellStyle name="포트 스토리지" xfId="4" hidden="0"/>
    <cellStyle name="포트 인터커넥트" xfId="5" hidden="0"/>
    <cellStyle name="포트 콘솔" xfId="6" hidden="0"/>
    <cellStyle name="포트 전원" xfId="7" hidden="0"/>
    <cellStyle name="포트 미연결" xfId="8" hidden="0"/>
    <cellStyle name="포트명" xfId="9" hidden="0"/>
    <cellStyle name="모듈 제목" xfId="10" hidden="0"/>
    <cellStyle name="모듈 채움" xfId="11" hidden="0"/>
    <cellStyle name="디스크 장착" xfId="12" hidden="0"/>
    <cellStyle name="디스크 빈칸" xfId="13" hidden="0"/>
    <cellStyle name="번호 배지" xfId="14" hidden="0"/>
    <cellStyle name="케이블 라벨" xfId="15" hidden="0"/>
    <cellStyle name="구역 제목" xfId="16" hidden="0"/>
    <cellStyle name="메모" xfId="17" hidden="0"/>
    <cellStyle name="표 머리글" xfId="18" hidden="0"/>
    <cellStyle name="표 본문" xfId="19" hidden="0"/>
    <cellStyle name="표 번호" xfId="20" hidden="0"/>
  </cellStyles>
  <dxfs count="21">
    <dxf>
      <font>
        <b val="1"/>
        <color rgb="009B1C17"/>
      </font>
      <fill>
        <patternFill patternType="solid">
          <fgColor rgb="00F8D3D0"/>
          <bgColor rgb="00F8D3D0"/>
        </patternFill>
      </fill>
    </dxf>
    <dxf>
      <fill>
        <patternFill patternType="solid">
          <fgColor rgb="00DCE8F6"/>
          <bgColor rgb="00DCE8F6"/>
        </patternFill>
      </fill>
      <border>
        <top style="thin">
          <color rgb="003A4856"/>
        </top>
      </border>
    </dxf>
    <dxf>
      <fill>
        <patternFill patternType="solid">
          <fgColor rgb="00D5EEEE"/>
          <bgColor rgb="00D5EEEE"/>
        </patternFill>
      </fill>
      <border>
        <top style="thin">
          <color rgb="003A4856"/>
        </top>
      </border>
    </dxf>
    <dxf>
      <fill>
        <patternFill patternType="solid">
          <fgColor rgb="00FBE4D3"/>
          <bgColor rgb="00FBE4D3"/>
        </patternFill>
      </fill>
      <border>
        <top style="thin">
          <color rgb="003A4856"/>
        </top>
      </border>
    </dxf>
    <dxf>
      <fill>
        <patternFill patternType="solid">
          <fgColor rgb="00F8DCDA"/>
          <bgColor rgb="00F8DCDA"/>
        </patternFill>
      </fill>
      <border>
        <top style="thin">
          <color rgb="003A4856"/>
        </top>
      </border>
    </dxf>
    <dxf>
      <fill>
        <patternFill patternType="solid">
          <fgColor rgb="00EFE3F5"/>
          <bgColor rgb="00EFE3F5"/>
        </patternFill>
      </fill>
      <border>
        <top style="thin">
          <color rgb="003A4856"/>
        </top>
      </border>
    </dxf>
    <dxf>
      <fill>
        <patternFill patternType="solid">
          <fgColor rgb="00E4E9EF"/>
          <bgColor rgb="00E4E9EF"/>
        </patternFill>
      </fill>
      <border>
        <top style="thin">
          <color rgb="003A4856"/>
        </top>
      </border>
    </dxf>
    <dxf>
      <fill>
        <patternFill patternType="solid">
          <fgColor rgb="00DCE8F6"/>
          <bgColor rgb="00DCE8F6"/>
        </patternFill>
      </fill>
    </dxf>
    <dxf>
      <fill>
        <patternFill patternType="solid">
          <fgColor rgb="00D5EEEE"/>
          <bgColor rgb="00D5EEEE"/>
        </patternFill>
      </fill>
    </dxf>
    <dxf>
      <fill>
        <patternFill patternType="solid">
          <fgColor rgb="00FBE4D3"/>
          <bgColor rgb="00FBE4D3"/>
        </patternFill>
      </fill>
    </dxf>
    <dxf>
      <fill>
        <patternFill patternType="solid">
          <fgColor rgb="00F8DCDA"/>
          <bgColor rgb="00F8DCDA"/>
        </patternFill>
      </fill>
    </dxf>
    <dxf>
      <fill>
        <patternFill patternType="solid">
          <fgColor rgb="00EFE3F5"/>
          <bgColor rgb="00EFE3F5"/>
        </patternFill>
      </fill>
    </dxf>
    <dxf>
      <fill>
        <patternFill patternType="solid">
          <fgColor rgb="00E4E9EF"/>
          <bgColor rgb="00E4E9EF"/>
        </patternFill>
      </fill>
    </dxf>
    <dxf>
      <font>
        <color rgb="009B1C17"/>
      </font>
      <fill>
        <patternFill patternType="solid">
          <fgColor rgb="00F8D3D0"/>
          <bgColor rgb="00F8D3D0"/>
        </patternFill>
      </fill>
    </dxf>
    <dxf>
      <font>
        <color rgb="00FFFFFF"/>
      </font>
      <fill>
        <patternFill patternType="solid">
          <fgColor rgb="002F6DB5"/>
          <bgColor rgb="002F6DB5"/>
        </patternFill>
      </fill>
    </dxf>
    <dxf>
      <font>
        <color rgb="00FFFFFF"/>
      </font>
      <fill>
        <patternFill patternType="solid">
          <fgColor rgb="000B7C7C"/>
          <bgColor rgb="000B7C7C"/>
        </patternFill>
      </fill>
    </dxf>
    <dxf>
      <font>
        <color rgb="00FFFFFF"/>
      </font>
      <fill>
        <patternFill patternType="solid">
          <fgColor rgb="00377F3F"/>
          <bgColor rgb="00377F3F"/>
        </patternFill>
      </fill>
    </dxf>
    <dxf>
      <font>
        <color rgb="00FFFFFF"/>
      </font>
      <fill>
        <patternFill patternType="solid">
          <fgColor rgb="00BF5B14"/>
          <bgColor rgb="00BF5B14"/>
        </patternFill>
      </fill>
    </dxf>
    <dxf>
      <font>
        <color rgb="00FFFFFF"/>
      </font>
      <fill>
        <patternFill patternType="solid">
          <fgColor rgb="007A55B3"/>
          <bgColor rgb="007A55B3"/>
        </patternFill>
      </fill>
    </dxf>
    <dxf>
      <font>
        <color rgb="00FFFFFF"/>
      </font>
      <fill>
        <patternFill patternType="solid">
          <fgColor rgb="005E6B78"/>
          <bgColor rgb="005E6B78"/>
        </patternFill>
      </fill>
    </dxf>
    <dxf>
      <font>
        <color rgb="00FFFFFF"/>
      </font>
      <fill>
        <patternFill patternType="solid">
          <fgColor rgb="00C73E3A"/>
          <bgColor rgb="00C73E3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1:BQ5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hidden="1" width="2" customWidth="1" min="65" max="65"/>
    <col hidden="1" width="2" customWidth="1" min="66" max="66"/>
    <col hidden="1" width="2" customWidth="1" min="67" max="67"/>
    <col hidden="1" width="2" customWidth="1" min="68" max="68"/>
    <col hidden="1" width="2" customWidth="1" min="69" max="69"/>
    <col width="2" customWidth="1" min="70" max="70"/>
  </cols>
  <sheetData>
    <row r="1" ht="24" customHeight="1">
      <c r="B1" s="1" t="inlineStr">
        <is>
          <t>DC1-R02</t>
        </is>
      </c>
      <c r="C1" s="2" t="n"/>
      <c r="D1" s="2" t="n"/>
      <c r="E1" s="2" t="n"/>
      <c r="F1" s="2" t="n"/>
      <c r="G1" s="2" t="n"/>
      <c r="H1" s="2" t="n"/>
      <c r="I1" s="3" t="inlineStr">
        <is>
          <t>랙 실장도 · 장비 목록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목록을 입력하면 실장도가 자동으로 그려집니다</t>
        </is>
      </c>
    </row>
    <row r="2" ht="16" customHeight="1">
      <c r="B2" s="5" t="inlineStr">
        <is>
          <t>설치 위치</t>
        </is>
      </c>
      <c r="F2" s="6" t="inlineStr">
        <is>
          <t>DC1 2F 전산실 B열</t>
        </is>
      </c>
      <c r="P2" s="5" t="inlineStr">
        <is>
          <t>규격</t>
        </is>
      </c>
      <c r="R2" s="6" t="inlineStr">
        <is>
          <t>42U · 600×1200</t>
        </is>
      </c>
      <c r="AB2" s="5" t="inlineStr">
        <is>
          <t>전원</t>
        </is>
      </c>
      <c r="AD2" s="6" t="inlineStr">
        <is>
          <t>PDU-A(A 계통) / PDU-B(B 계통)</t>
        </is>
      </c>
      <c r="AQ2" s="5" t="inlineStr">
        <is>
          <t>관리 담당</t>
        </is>
      </c>
      <c r="AU2" s="6" t="inlineStr">
        <is>
          <t>인프라팀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4" customHeight="1">
      <c r="B4" s="7" t="inlineStr">
        <is>
          <t>전면</t>
        </is>
      </c>
      <c r="E4" s="8" t="inlineStr">
        <is>
          <t>앞에서 본 모습</t>
        </is>
      </c>
      <c r="R4" s="7" t="inlineStr">
        <is>
          <t>후면</t>
        </is>
      </c>
      <c r="U4" s="8" t="inlineStr">
        <is>
          <t>뒤에서 본 모습 (좌우 반대)</t>
        </is>
      </c>
      <c r="AI4" s="7" t="inlineStr">
        <is>
          <t>장비 목록</t>
        </is>
      </c>
      <c r="AN4" s="8" t="inlineStr">
        <is>
          <t>← 여기에 입력 (U = 장비 맨 아래 U 번호)</t>
        </is>
      </c>
      <c r="BM4" s="8" t="inlineStr">
        <is>
          <t>보조 계산 열 (숨김) — 지우지 마세요</t>
        </is>
      </c>
    </row>
    <row r="5" ht="14" customHeight="1">
      <c r="B5" s="9" t="inlineStr">
        <is>
          <t>U</t>
        </is>
      </c>
      <c r="C5" s="10" t="inlineStr">
        <is>
          <t>장비 (맨 위 U에 이름 표시)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10" t="n"/>
      <c r="S5" s="10" t="inlineStr">
        <is>
          <t>장비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9" t="inlineStr">
        <is>
          <t>U</t>
        </is>
      </c>
      <c r="AI5" s="11" t="inlineStr">
        <is>
          <t>U</t>
        </is>
      </c>
      <c r="AJ5" s="12" t="n"/>
      <c r="AK5" s="11" t="inlineStr">
        <is>
          <t>높이</t>
        </is>
      </c>
      <c r="AL5" s="12" t="n"/>
      <c r="AM5" s="13" t="inlineStr">
        <is>
          <t>면</t>
        </is>
      </c>
      <c r="AN5" s="12" t="n"/>
      <c r="AO5" s="12" t="n"/>
      <c r="AP5" s="13" t="inlineStr">
        <is>
          <t>장비명</t>
        </is>
      </c>
      <c r="AQ5" s="12" t="n"/>
      <c r="AR5" s="12" t="n"/>
      <c r="AS5" s="12" t="n"/>
      <c r="AT5" s="12" t="n"/>
      <c r="AU5" s="12" t="n"/>
      <c r="AV5" s="13" t="inlineStr">
        <is>
          <t>모델</t>
        </is>
      </c>
      <c r="AW5" s="12" t="n"/>
      <c r="AX5" s="12" t="n"/>
      <c r="AY5" s="12" t="n"/>
      <c r="AZ5" s="12" t="n"/>
      <c r="BA5" s="12" t="n"/>
      <c r="BB5" s="12" t="n"/>
      <c r="BC5" s="13" t="inlineStr">
        <is>
          <t>구분</t>
        </is>
      </c>
      <c r="BD5" s="12" t="n"/>
      <c r="BE5" s="12" t="n"/>
      <c r="BF5" s="13" t="inlineStr">
        <is>
          <t>시트 이름</t>
        </is>
      </c>
      <c r="BG5" s="12" t="n"/>
      <c r="BH5" s="12" t="n"/>
      <c r="BI5" s="12" t="n"/>
      <c r="BJ5" s="12" t="n"/>
      <c r="BK5" s="11" t="inlineStr">
        <is>
          <t>▶</t>
        </is>
      </c>
    </row>
    <row r="6" ht="10" customHeight="1">
      <c r="B6" s="14" t="n">
        <v>42</v>
      </c>
      <c r="C6" s="15" t="str">
        <f>IF($BO6&lt;&gt;1,IF($BO6&gt;1,"⚠ U 겹침",""),IF($BM6=INDEX($AI$6:$AI$45,$BN6)+INDEX($AK$6:$AK$45,$BN6)+(INDEX($AK$6:$AK$45,$BN6)=0)-1,INDEX($AP$6:$AP$45,$BN6)&amp;IF(INDEX($AV$6:$AV$45,$BN6)="",""," · "&amp;INDEX($AV$6:$AV$45,$BN6)),""))</f>
        <v>PP-01 · Cat6 24P</v>
      </c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7" t="n"/>
      <c r="R6" s="18" t="n"/>
      <c r="S6" s="15" t="str">
        <f>IF($BQ6&lt;&gt;1,IF($BQ6&gt;1,"⚠ U 겹침",""),IF($BM6=INDEX($AI$6:$AI$45,$BP6)+INDEX($AK$6:$AK$45,$BP6)+(INDEX($AK$6:$AK$45,$BP6)=0)-1,INDEX($AP$6:$AP$45,$BP6)&amp;IF(INDEX($AV$6:$AV$45,$BP6)="",""," · "&amp;INDEX($AV$6:$AV$45,$BP6)),""))</f>
        <v>PP-01 · Cat6 24P</v>
      </c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9" t="n">
        <v>42</v>
      </c>
      <c r="AI6" s="20" t="n">
        <v>42</v>
      </c>
      <c r="AJ6" s="21" t="n"/>
      <c r="AK6" s="20" t="n">
        <v>1</v>
      </c>
      <c r="AL6" s="21" t="n"/>
      <c r="AM6" s="22" t="inlineStr">
        <is>
          <t>양면</t>
        </is>
      </c>
      <c r="AN6" s="21" t="n"/>
      <c r="AO6" s="21" t="n"/>
      <c r="AP6" s="23" t="inlineStr">
        <is>
          <t>PP-01</t>
        </is>
      </c>
      <c r="AQ6" s="21" t="n"/>
      <c r="AR6" s="21" t="n"/>
      <c r="AS6" s="21" t="n"/>
      <c r="AT6" s="21" t="n"/>
      <c r="AU6" s="21" t="n"/>
      <c r="AV6" s="22" t="inlineStr">
        <is>
          <t>Cat6 24P</t>
        </is>
      </c>
      <c r="AW6" s="21" t="n"/>
      <c r="AX6" s="21" t="n"/>
      <c r="AY6" s="21" t="n"/>
      <c r="AZ6" s="21" t="n"/>
      <c r="BA6" s="21" t="n"/>
      <c r="BB6" s="21" t="n"/>
      <c r="BC6" s="22" t="inlineStr">
        <is>
          <t>네트워크</t>
        </is>
      </c>
      <c r="BD6" s="21" t="n"/>
      <c r="BE6" s="21" t="n"/>
      <c r="BF6" s="22" t="inlineStr">
        <is>
          <t>U42 PP-01</t>
        </is>
      </c>
      <c r="BG6" s="21" t="n"/>
      <c r="BH6" s="21" t="n"/>
      <c r="BI6" s="21" t="n"/>
      <c r="BJ6" s="21" t="n"/>
      <c r="BK6" s="24" t="str">
        <f>IF(BF6="","",HYPERLINK("#'"&amp;BF6&amp;"'!A1","▶"))</f>
        <v>▶</v>
      </c>
      <c r="BM6">
        <f>B6</f>
        <v>42</v>
      </c>
      <c r="BN6">
        <f>SUMPRODUCT(ISNUMBER($AI$6:$AI$45)*($AI$6:$AI$45&lt;=$BM6)*($AI$6:$AI$45+($AK$6:$AK$45+($AK$6:$AK$45=0))-1&gt;=$BM6)*($AM$6:$AM$45&lt;&gt;"후면")*($AM$6:$AM$45&lt;&gt;"0U")*(ROW($AI$6:$AI$45)-5))</f>
        <v>1</v>
      </c>
      <c r="BO6">
        <f>SUMPRODUCT(ISNUMBER($AI$6:$AI$45)*($AI$6:$AI$45&lt;=$BM6)*($AI$6:$AI$45+($AK$6:$AK$45+($AK$6:$AK$45=0))-1&gt;=$BM6)*($AM$6:$AM$45&lt;&gt;"후면")*($AM$6:$AM$45&lt;&gt;"0U"))</f>
        <v>1</v>
      </c>
      <c r="BP6">
        <f>SUMPRODUCT(ISNUMBER($AI$6:$AI$45)*($AI$6:$AI$45&lt;=$BM6)*($AI$6:$AI$45+($AK$6:$AK$45+($AK$6:$AK$45=0))-1&gt;=$BM6)*($AM$6:$AM$45&lt;&gt;"전면")*($AM$6:$AM$45&lt;&gt;"0U")*(ROW($AI$6:$AI$45)-5))</f>
        <v>1</v>
      </c>
      <c r="BQ6">
        <f>SUMPRODUCT(ISNUMBER($AI$6:$AI$45)*($AI$6:$AI$45&lt;=$BM6)*($AI$6:$AI$45+($AK$6:$AK$45+($AK$6:$AK$45=0))-1&gt;=$BM6)*($AM$6:$AM$45&lt;&gt;"전면")*($AM$6:$AM$45&lt;&gt;"0U"))</f>
        <v>1</v>
      </c>
    </row>
    <row r="7" ht="10" customHeight="1">
      <c r="B7" s="14" t="n">
        <v>41</v>
      </c>
      <c r="C7" s="15" t="str">
        <f>IF($BO7&lt;&gt;1,IF($BO7&gt;1,"⚠ U 겹침",""),IF($BM7=INDEX($AI$6:$AI$45,$BN7)+INDEX($AK$6:$AK$45,$BN7)+(INDEX($AK$6:$AK$45,$BN7)=0)-1,INDEX($AP$6:$AP$45,$BN7)&amp;IF(INDEX($AV$6:$AV$45,$BN7)="",""," · "&amp;INDEX($AV$6:$AV$45,$BN7)),""))</f>
        <v>MGMT-SW · C9200L-48T-4X</v>
      </c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7" t="n"/>
      <c r="R7" s="18" t="n"/>
      <c r="S7" s="15" t="str">
        <f>IF($BQ7&lt;&gt;1,IF($BQ7&gt;1,"⚠ U 겹침",""),IF($BM7=INDEX($AI$6:$AI$45,$BP7)+INDEX($AK$6:$AK$45,$BP7)+(INDEX($AK$6:$AK$45,$BP7)=0)-1,INDEX($AP$6:$AP$45,$BP7)&amp;IF(INDEX($AV$6:$AV$45,$BP7)="",""," · "&amp;INDEX($AV$6:$AV$45,$BP7)),""))</f>
        <v>MGMT-SW · C9200L-48T-4X</v>
      </c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9" t="n">
        <v>41</v>
      </c>
      <c r="AI7" s="20" t="n">
        <v>41</v>
      </c>
      <c r="AJ7" s="21" t="n"/>
      <c r="AK7" s="20" t="n">
        <v>1</v>
      </c>
      <c r="AL7" s="21" t="n"/>
      <c r="AM7" s="22" t="inlineStr">
        <is>
          <t>양면</t>
        </is>
      </c>
      <c r="AN7" s="21" t="n"/>
      <c r="AO7" s="21" t="n"/>
      <c r="AP7" s="23" t="inlineStr">
        <is>
          <t>MGMT-SW</t>
        </is>
      </c>
      <c r="AQ7" s="21" t="n"/>
      <c r="AR7" s="21" t="n"/>
      <c r="AS7" s="21" t="n"/>
      <c r="AT7" s="21" t="n"/>
      <c r="AU7" s="21" t="n"/>
      <c r="AV7" s="22" t="inlineStr">
        <is>
          <t>C9200L-48T-4X</t>
        </is>
      </c>
      <c r="AW7" s="21" t="n"/>
      <c r="AX7" s="21" t="n"/>
      <c r="AY7" s="21" t="n"/>
      <c r="AZ7" s="21" t="n"/>
      <c r="BA7" s="21" t="n"/>
      <c r="BB7" s="21" t="n"/>
      <c r="BC7" s="22" t="inlineStr">
        <is>
          <t>네트워크</t>
        </is>
      </c>
      <c r="BD7" s="21" t="n"/>
      <c r="BE7" s="21" t="n"/>
      <c r="BF7" s="22" t="inlineStr">
        <is>
          <t>U41 MGMT-SW</t>
        </is>
      </c>
      <c r="BG7" s="21" t="n"/>
      <c r="BH7" s="21" t="n"/>
      <c r="BI7" s="21" t="n"/>
      <c r="BJ7" s="21" t="n"/>
      <c r="BK7" s="24" t="str">
        <f>IF(BF7="","",HYPERLINK("#'"&amp;BF7&amp;"'!A1","▶"))</f>
        <v>▶</v>
      </c>
      <c r="BM7">
        <f>B7</f>
        <v>41</v>
      </c>
      <c r="BN7">
        <f>SUMPRODUCT(ISNUMBER($AI$6:$AI$45)*($AI$6:$AI$45&lt;=$BM7)*($AI$6:$AI$45+($AK$6:$AK$45+($AK$6:$AK$45=0))-1&gt;=$BM7)*($AM$6:$AM$45&lt;&gt;"후면")*($AM$6:$AM$45&lt;&gt;"0U")*(ROW($AI$6:$AI$45)-5))</f>
        <v>2</v>
      </c>
      <c r="BO7">
        <f>SUMPRODUCT(ISNUMBER($AI$6:$AI$45)*($AI$6:$AI$45&lt;=$BM7)*($AI$6:$AI$45+($AK$6:$AK$45+($AK$6:$AK$45=0))-1&gt;=$BM7)*($AM$6:$AM$45&lt;&gt;"후면")*($AM$6:$AM$45&lt;&gt;"0U"))</f>
        <v>1</v>
      </c>
      <c r="BP7">
        <f>SUMPRODUCT(ISNUMBER($AI$6:$AI$45)*($AI$6:$AI$45&lt;=$BM7)*($AI$6:$AI$45+($AK$6:$AK$45+($AK$6:$AK$45=0))-1&gt;=$BM7)*($AM$6:$AM$45&lt;&gt;"전면")*($AM$6:$AM$45&lt;&gt;"0U")*(ROW($AI$6:$AI$45)-5))</f>
        <v>2</v>
      </c>
      <c r="BQ7">
        <f>SUMPRODUCT(ISNUMBER($AI$6:$AI$45)*($AI$6:$AI$45&lt;=$BM7)*($AI$6:$AI$45+($AK$6:$AK$45+($AK$6:$AK$45=0))-1&gt;=$BM7)*($AM$6:$AM$45&lt;&gt;"전면")*($AM$6:$AM$45&lt;&gt;"0U"))</f>
        <v>1</v>
      </c>
    </row>
    <row r="8" ht="10" customHeight="1">
      <c r="B8" s="14" t="n">
        <v>40</v>
      </c>
      <c r="C8" s="15" t="str">
        <f>IF($BO8&lt;&gt;1,IF($BO8&gt;1,"⚠ U 겹침",""),IF($BM8=INDEX($AI$6:$AI$45,$BN8)+INDEX($AK$6:$AK$45,$BN8)+(INDEX($AK$6:$AK$45,$BN8)=0)-1,INDEX($AP$6:$AP$45,$BN8)&amp;IF(INDEX($AV$6:$AV$45,$BN8)="",""," · "&amp;INDEX($AV$6:$AV$45,$BN8)),""))</f>
        <v/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R8" s="18" t="n"/>
      <c r="S8" s="15" t="str">
        <f>IF($BQ8&lt;&gt;1,IF($BQ8&gt;1,"⚠ U 겹침",""),IF($BM8=INDEX($AI$6:$AI$45,$BP8)+INDEX($AK$6:$AK$45,$BP8)+(INDEX($AK$6:$AK$45,$BP8)=0)-1,INDEX($AP$6:$AP$45,$BP8)&amp;IF(INDEX($AV$6:$AV$45,$BP8)="",""," · "&amp;INDEX($AV$6:$AV$45,$BP8)),""))</f>
        <v/>
      </c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9" t="n">
        <v>40</v>
      </c>
      <c r="AI8" s="20" t="n">
        <v>39</v>
      </c>
      <c r="AJ8" s="21" t="n"/>
      <c r="AK8" s="20" t="n">
        <v>1</v>
      </c>
      <c r="AL8" s="21" t="n"/>
      <c r="AM8" s="22" t="inlineStr">
        <is>
          <t>양면</t>
        </is>
      </c>
      <c r="AN8" s="21" t="n"/>
      <c r="AO8" s="21" t="n"/>
      <c r="AP8" s="23" t="inlineStr">
        <is>
          <t>TOR-A</t>
        </is>
      </c>
      <c r="AQ8" s="21" t="n"/>
      <c r="AR8" s="21" t="n"/>
      <c r="AS8" s="21" t="n"/>
      <c r="AT8" s="21" t="n"/>
      <c r="AU8" s="21" t="n"/>
      <c r="AV8" s="22" t="inlineStr">
        <is>
          <t>Nexus 93180YC-FX</t>
        </is>
      </c>
      <c r="AW8" s="21" t="n"/>
      <c r="AX8" s="21" t="n"/>
      <c r="AY8" s="21" t="n"/>
      <c r="AZ8" s="21" t="n"/>
      <c r="BA8" s="21" t="n"/>
      <c r="BB8" s="21" t="n"/>
      <c r="BC8" s="22" t="inlineStr">
        <is>
          <t>네트워크</t>
        </is>
      </c>
      <c r="BD8" s="21" t="n"/>
      <c r="BE8" s="21" t="n"/>
      <c r="BF8" s="22" t="inlineStr">
        <is>
          <t>U39 TOR-A</t>
        </is>
      </c>
      <c r="BG8" s="21" t="n"/>
      <c r="BH8" s="21" t="n"/>
      <c r="BI8" s="21" t="n"/>
      <c r="BJ8" s="21" t="n"/>
      <c r="BK8" s="24" t="str">
        <f>IF(BF8="","",HYPERLINK("#'"&amp;BF8&amp;"'!A1","▶"))</f>
        <v>▶</v>
      </c>
      <c r="BM8">
        <f>B8</f>
        <v>40</v>
      </c>
      <c r="BN8">
        <f>SUMPRODUCT(ISNUMBER($AI$6:$AI$45)*($AI$6:$AI$45&lt;=$BM8)*($AI$6:$AI$45+($AK$6:$AK$45+($AK$6:$AK$45=0))-1&gt;=$BM8)*($AM$6:$AM$45&lt;&gt;"후면")*($AM$6:$AM$45&lt;&gt;"0U")*(ROW($AI$6:$AI$45)-5))</f>
        <v>0</v>
      </c>
      <c r="BO8">
        <f>SUMPRODUCT(ISNUMBER($AI$6:$AI$45)*($AI$6:$AI$45&lt;=$BM8)*($AI$6:$AI$45+($AK$6:$AK$45+($AK$6:$AK$45=0))-1&gt;=$BM8)*($AM$6:$AM$45&lt;&gt;"후면")*($AM$6:$AM$45&lt;&gt;"0U"))</f>
        <v>0</v>
      </c>
      <c r="BP8">
        <f>SUMPRODUCT(ISNUMBER($AI$6:$AI$45)*($AI$6:$AI$45&lt;=$BM8)*($AI$6:$AI$45+($AK$6:$AK$45+($AK$6:$AK$45=0))-1&gt;=$BM8)*($AM$6:$AM$45&lt;&gt;"전면")*($AM$6:$AM$45&lt;&gt;"0U")*(ROW($AI$6:$AI$45)-5))</f>
        <v>0</v>
      </c>
      <c r="BQ8">
        <f>SUMPRODUCT(ISNUMBER($AI$6:$AI$45)*($AI$6:$AI$45&lt;=$BM8)*($AI$6:$AI$45+($AK$6:$AK$45+($AK$6:$AK$45=0))-1&gt;=$BM8)*($AM$6:$AM$45&lt;&gt;"전면")*($AM$6:$AM$45&lt;&gt;"0U"))</f>
        <v>0</v>
      </c>
    </row>
    <row r="9" ht="10" customHeight="1">
      <c r="B9" s="14" t="n">
        <v>39</v>
      </c>
      <c r="C9" s="15" t="str">
        <f>IF($BO9&lt;&gt;1,IF($BO9&gt;1,"⚠ U 겹침",""),IF($BM9=INDEX($AI$6:$AI$45,$BN9)+INDEX($AK$6:$AK$45,$BN9)+(INDEX($AK$6:$AK$45,$BN9)=0)-1,INDEX($AP$6:$AP$45,$BN9)&amp;IF(INDEX($AV$6:$AV$45,$BN9)="",""," · "&amp;INDEX($AV$6:$AV$45,$BN9)),""))</f>
        <v>TOR-A · Nexus 93180YC-FX</v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7" t="n"/>
      <c r="R9" s="18" t="n"/>
      <c r="S9" s="15" t="str">
        <f>IF($BQ9&lt;&gt;1,IF($BQ9&gt;1,"⚠ U 겹침",""),IF($BM9=INDEX($AI$6:$AI$45,$BP9)+INDEX($AK$6:$AK$45,$BP9)+(INDEX($AK$6:$AK$45,$BP9)=0)-1,INDEX($AP$6:$AP$45,$BP9)&amp;IF(INDEX($AV$6:$AV$45,$BP9)="",""," · "&amp;INDEX($AV$6:$AV$45,$BP9)),""))</f>
        <v>TOR-A · Nexus 93180YC-FX</v>
      </c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9" t="n">
        <v>39</v>
      </c>
      <c r="AI9" s="20" t="n">
        <v>38</v>
      </c>
      <c r="AJ9" s="21" t="n"/>
      <c r="AK9" s="20" t="n">
        <v>1</v>
      </c>
      <c r="AL9" s="21" t="n"/>
      <c r="AM9" s="22" t="inlineStr">
        <is>
          <t>양면</t>
        </is>
      </c>
      <c r="AN9" s="21" t="n"/>
      <c r="AO9" s="21" t="n"/>
      <c r="AP9" s="23" t="inlineStr">
        <is>
          <t>TOR-B</t>
        </is>
      </c>
      <c r="AQ9" s="21" t="n"/>
      <c r="AR9" s="21" t="n"/>
      <c r="AS9" s="21" t="n"/>
      <c r="AT9" s="21" t="n"/>
      <c r="AU9" s="21" t="n"/>
      <c r="AV9" s="22" t="inlineStr">
        <is>
          <t>Nexus 93180YC-FX</t>
        </is>
      </c>
      <c r="AW9" s="21" t="n"/>
      <c r="AX9" s="21" t="n"/>
      <c r="AY9" s="21" t="n"/>
      <c r="AZ9" s="21" t="n"/>
      <c r="BA9" s="21" t="n"/>
      <c r="BB9" s="21" t="n"/>
      <c r="BC9" s="22" t="inlineStr">
        <is>
          <t>네트워크</t>
        </is>
      </c>
      <c r="BD9" s="21" t="n"/>
      <c r="BE9" s="21" t="n"/>
      <c r="BF9" s="22" t="inlineStr">
        <is>
          <t>U38 TOR-B</t>
        </is>
      </c>
      <c r="BG9" s="21" t="n"/>
      <c r="BH9" s="21" t="n"/>
      <c r="BI9" s="21" t="n"/>
      <c r="BJ9" s="21" t="n"/>
      <c r="BK9" s="24" t="str">
        <f>IF(BF9="","",HYPERLINK("#'"&amp;BF9&amp;"'!A1","▶"))</f>
        <v>▶</v>
      </c>
      <c r="BM9">
        <f>B9</f>
        <v>39</v>
      </c>
      <c r="BN9">
        <f>SUMPRODUCT(ISNUMBER($AI$6:$AI$45)*($AI$6:$AI$45&lt;=$BM9)*($AI$6:$AI$45+($AK$6:$AK$45+($AK$6:$AK$45=0))-1&gt;=$BM9)*($AM$6:$AM$45&lt;&gt;"후면")*($AM$6:$AM$45&lt;&gt;"0U")*(ROW($AI$6:$AI$45)-5))</f>
        <v>3</v>
      </c>
      <c r="BO9">
        <f>SUMPRODUCT(ISNUMBER($AI$6:$AI$45)*($AI$6:$AI$45&lt;=$BM9)*($AI$6:$AI$45+($AK$6:$AK$45+($AK$6:$AK$45=0))-1&gt;=$BM9)*($AM$6:$AM$45&lt;&gt;"후면")*($AM$6:$AM$45&lt;&gt;"0U"))</f>
        <v>1</v>
      </c>
      <c r="BP9">
        <f>SUMPRODUCT(ISNUMBER($AI$6:$AI$45)*($AI$6:$AI$45&lt;=$BM9)*($AI$6:$AI$45+($AK$6:$AK$45+($AK$6:$AK$45=0))-1&gt;=$BM9)*($AM$6:$AM$45&lt;&gt;"전면")*($AM$6:$AM$45&lt;&gt;"0U")*(ROW($AI$6:$AI$45)-5))</f>
        <v>3</v>
      </c>
      <c r="BQ9">
        <f>SUMPRODUCT(ISNUMBER($AI$6:$AI$45)*($AI$6:$AI$45&lt;=$BM9)*($AI$6:$AI$45+($AK$6:$AK$45+($AK$6:$AK$45=0))-1&gt;=$BM9)*($AM$6:$AM$45&lt;&gt;"전면")*($AM$6:$AM$45&lt;&gt;"0U"))</f>
        <v>1</v>
      </c>
    </row>
    <row r="10" ht="10" customHeight="1">
      <c r="B10" s="14" t="n">
        <v>38</v>
      </c>
      <c r="C10" s="15" t="str">
        <f>IF($BO10&lt;&gt;1,IF($BO10&gt;1,"⚠ U 겹침",""),IF($BM10=INDEX($AI$6:$AI$45,$BN10)+INDEX($AK$6:$AK$45,$BN10)+(INDEX($AK$6:$AK$45,$BN10)=0)-1,INDEX($AP$6:$AP$45,$BN10)&amp;IF(INDEX($AV$6:$AV$45,$BN10)="",""," · "&amp;INDEX($AV$6:$AV$45,$BN10)),""))</f>
        <v>TOR-B · Nexus 93180YC-FX</v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7" t="n"/>
      <c r="R10" s="18" t="n"/>
      <c r="S10" s="15" t="str">
        <f>IF($BQ10&lt;&gt;1,IF($BQ10&gt;1,"⚠ U 겹침",""),IF($BM10=INDEX($AI$6:$AI$45,$BP10)+INDEX($AK$6:$AK$45,$BP10)+(INDEX($AK$6:$AK$45,$BP10)=0)-1,INDEX($AP$6:$AP$45,$BP10)&amp;IF(INDEX($AV$6:$AV$45,$BP10)="",""," · "&amp;INDEX($AV$6:$AV$45,$BP10)),""))</f>
        <v>TOR-B · Nexus 93180YC-FX</v>
      </c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9" t="n">
        <v>38</v>
      </c>
      <c r="AI10" s="20" t="n">
        <v>36</v>
      </c>
      <c r="AJ10" s="21" t="n"/>
      <c r="AK10" s="20" t="n">
        <v>1</v>
      </c>
      <c r="AL10" s="21" t="n"/>
      <c r="AM10" s="22" t="inlineStr">
        <is>
          <t>양면</t>
        </is>
      </c>
      <c r="AN10" s="21" t="n"/>
      <c r="AO10" s="21" t="n"/>
      <c r="AP10" s="23" t="inlineStr">
        <is>
          <t>SAN-A</t>
        </is>
      </c>
      <c r="AQ10" s="21" t="n"/>
      <c r="AR10" s="21" t="n"/>
      <c r="AS10" s="21" t="n"/>
      <c r="AT10" s="21" t="n"/>
      <c r="AU10" s="21" t="n"/>
      <c r="AV10" s="22" t="inlineStr">
        <is>
          <t>Brocade G620</t>
        </is>
      </c>
      <c r="AW10" s="21" t="n"/>
      <c r="AX10" s="21" t="n"/>
      <c r="AY10" s="21" t="n"/>
      <c r="AZ10" s="21" t="n"/>
      <c r="BA10" s="21" t="n"/>
      <c r="BB10" s="21" t="n"/>
      <c r="BC10" s="22" t="inlineStr">
        <is>
          <t>스토리지</t>
        </is>
      </c>
      <c r="BD10" s="21" t="n"/>
      <c r="BE10" s="21" t="n"/>
      <c r="BF10" s="22" t="inlineStr">
        <is>
          <t>U36 SAN-A</t>
        </is>
      </c>
      <c r="BG10" s="21" t="n"/>
      <c r="BH10" s="21" t="n"/>
      <c r="BI10" s="21" t="n"/>
      <c r="BJ10" s="21" t="n"/>
      <c r="BK10" s="24" t="str">
        <f>IF(BF10="","",HYPERLINK("#'"&amp;BF10&amp;"'!A1","▶"))</f>
        <v>▶</v>
      </c>
      <c r="BM10">
        <f>B10</f>
        <v>38</v>
      </c>
      <c r="BN10">
        <f>SUMPRODUCT(ISNUMBER($AI$6:$AI$45)*($AI$6:$AI$45&lt;=$BM10)*($AI$6:$AI$45+($AK$6:$AK$45+($AK$6:$AK$45=0))-1&gt;=$BM10)*($AM$6:$AM$45&lt;&gt;"후면")*($AM$6:$AM$45&lt;&gt;"0U")*(ROW($AI$6:$AI$45)-5))</f>
        <v>4</v>
      </c>
      <c r="BO10">
        <f>SUMPRODUCT(ISNUMBER($AI$6:$AI$45)*($AI$6:$AI$45&lt;=$BM10)*($AI$6:$AI$45+($AK$6:$AK$45+($AK$6:$AK$45=0))-1&gt;=$BM10)*($AM$6:$AM$45&lt;&gt;"후면")*($AM$6:$AM$45&lt;&gt;"0U"))</f>
        <v>1</v>
      </c>
      <c r="BP10">
        <f>SUMPRODUCT(ISNUMBER($AI$6:$AI$45)*($AI$6:$AI$45&lt;=$BM10)*($AI$6:$AI$45+($AK$6:$AK$45+($AK$6:$AK$45=0))-1&gt;=$BM10)*($AM$6:$AM$45&lt;&gt;"전면")*($AM$6:$AM$45&lt;&gt;"0U")*(ROW($AI$6:$AI$45)-5))</f>
        <v>4</v>
      </c>
      <c r="BQ10">
        <f>SUMPRODUCT(ISNUMBER($AI$6:$AI$45)*($AI$6:$AI$45&lt;=$BM10)*($AI$6:$AI$45+($AK$6:$AK$45+($AK$6:$AK$45=0))-1&gt;=$BM10)*($AM$6:$AM$45&lt;&gt;"전면")*($AM$6:$AM$45&lt;&gt;"0U"))</f>
        <v>1</v>
      </c>
    </row>
    <row r="11" ht="10" customHeight="1">
      <c r="B11" s="14" t="n">
        <v>37</v>
      </c>
      <c r="C11" s="15" t="str">
        <f>IF($BO11&lt;&gt;1,IF($BO11&gt;1,"⚠ U 겹침",""),IF($BM11=INDEX($AI$6:$AI$45,$BN11)+INDEX($AK$6:$AK$45,$BN11)+(INDEX($AK$6:$AK$45,$BN11)=0)-1,INDEX($AP$6:$AP$45,$BN11)&amp;IF(INDEX($AV$6:$AV$45,$BN11)="",""," · "&amp;INDEX($AV$6:$AV$45,$BN11)),""))</f>
        <v/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7" t="n"/>
      <c r="R11" s="18" t="n"/>
      <c r="S11" s="15" t="str">
        <f>IF($BQ11&lt;&gt;1,IF($BQ11&gt;1,"⚠ U 겹침",""),IF($BM11=INDEX($AI$6:$AI$45,$BP11)+INDEX($AK$6:$AK$45,$BP11)+(INDEX($AK$6:$AK$45,$BP11)=0)-1,INDEX($AP$6:$AP$45,$BP11)&amp;IF(INDEX($AV$6:$AV$45,$BP11)="",""," · "&amp;INDEX($AV$6:$AV$45,$BP11)),""))</f>
        <v/>
      </c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9" t="n">
        <v>37</v>
      </c>
      <c r="AI11" s="20" t="n">
        <v>35</v>
      </c>
      <c r="AJ11" s="21" t="n"/>
      <c r="AK11" s="20" t="n">
        <v>1</v>
      </c>
      <c r="AL11" s="21" t="n"/>
      <c r="AM11" s="22" t="inlineStr">
        <is>
          <t>양면</t>
        </is>
      </c>
      <c r="AN11" s="21" t="n"/>
      <c r="AO11" s="21" t="n"/>
      <c r="AP11" s="23" t="inlineStr">
        <is>
          <t>SAN-B</t>
        </is>
      </c>
      <c r="AQ11" s="21" t="n"/>
      <c r="AR11" s="21" t="n"/>
      <c r="AS11" s="21" t="n"/>
      <c r="AT11" s="21" t="n"/>
      <c r="AU11" s="21" t="n"/>
      <c r="AV11" s="22" t="inlineStr">
        <is>
          <t>Brocade G620</t>
        </is>
      </c>
      <c r="AW11" s="21" t="n"/>
      <c r="AX11" s="21" t="n"/>
      <c r="AY11" s="21" t="n"/>
      <c r="AZ11" s="21" t="n"/>
      <c r="BA11" s="21" t="n"/>
      <c r="BB11" s="21" t="n"/>
      <c r="BC11" s="22" t="inlineStr">
        <is>
          <t>스토리지</t>
        </is>
      </c>
      <c r="BD11" s="21" t="n"/>
      <c r="BE11" s="21" t="n"/>
      <c r="BF11" s="22" t="inlineStr">
        <is>
          <t>U35 SAN-B</t>
        </is>
      </c>
      <c r="BG11" s="21" t="n"/>
      <c r="BH11" s="21" t="n"/>
      <c r="BI11" s="21" t="n"/>
      <c r="BJ11" s="21" t="n"/>
      <c r="BK11" s="24" t="str">
        <f>IF(BF11="","",HYPERLINK("#'"&amp;BF11&amp;"'!A1","▶"))</f>
        <v>▶</v>
      </c>
      <c r="BM11">
        <f>B11</f>
        <v>37</v>
      </c>
      <c r="BN11">
        <f>SUMPRODUCT(ISNUMBER($AI$6:$AI$45)*($AI$6:$AI$45&lt;=$BM11)*($AI$6:$AI$45+($AK$6:$AK$45+($AK$6:$AK$45=0))-1&gt;=$BM11)*($AM$6:$AM$45&lt;&gt;"후면")*($AM$6:$AM$45&lt;&gt;"0U")*(ROW($AI$6:$AI$45)-5))</f>
        <v>0</v>
      </c>
      <c r="BO11">
        <f>SUMPRODUCT(ISNUMBER($AI$6:$AI$45)*($AI$6:$AI$45&lt;=$BM11)*($AI$6:$AI$45+($AK$6:$AK$45+($AK$6:$AK$45=0))-1&gt;=$BM11)*($AM$6:$AM$45&lt;&gt;"후면")*($AM$6:$AM$45&lt;&gt;"0U"))</f>
        <v>0</v>
      </c>
      <c r="BP11">
        <f>SUMPRODUCT(ISNUMBER($AI$6:$AI$45)*($AI$6:$AI$45&lt;=$BM11)*($AI$6:$AI$45+($AK$6:$AK$45+($AK$6:$AK$45=0))-1&gt;=$BM11)*($AM$6:$AM$45&lt;&gt;"전면")*($AM$6:$AM$45&lt;&gt;"0U")*(ROW($AI$6:$AI$45)-5))</f>
        <v>0</v>
      </c>
      <c r="BQ11">
        <f>SUMPRODUCT(ISNUMBER($AI$6:$AI$45)*($AI$6:$AI$45&lt;=$BM11)*($AI$6:$AI$45+($AK$6:$AK$45+($AK$6:$AK$45=0))-1&gt;=$BM11)*($AM$6:$AM$45&lt;&gt;"전면")*($AM$6:$AM$45&lt;&gt;"0U"))</f>
        <v>0</v>
      </c>
    </row>
    <row r="12" ht="10" customHeight="1">
      <c r="B12" s="14" t="n">
        <v>36</v>
      </c>
      <c r="C12" s="15" t="str">
        <f>IF($BO12&lt;&gt;1,IF($BO12&gt;1,"⚠ U 겹침",""),IF($BM12=INDEX($AI$6:$AI$45,$BN12)+INDEX($AK$6:$AK$45,$BN12)+(INDEX($AK$6:$AK$45,$BN12)=0)-1,INDEX($AP$6:$AP$45,$BN12)&amp;IF(INDEX($AV$6:$AV$45,$BN12)="",""," · "&amp;INDEX($AV$6:$AV$45,$BN12)),""))</f>
        <v>SAN-A · Brocade G620</v>
      </c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7" t="n"/>
      <c r="R12" s="18" t="n"/>
      <c r="S12" s="15" t="str">
        <f>IF($BQ12&lt;&gt;1,IF($BQ12&gt;1,"⚠ U 겹침",""),IF($BM12=INDEX($AI$6:$AI$45,$BP12)+INDEX($AK$6:$AK$45,$BP12)+(INDEX($AK$6:$AK$45,$BP12)=0)-1,INDEX($AP$6:$AP$45,$BP12)&amp;IF(INDEX($AV$6:$AV$45,$BP12)="",""," · "&amp;INDEX($AV$6:$AV$45,$BP12)),""))</f>
        <v>SAN-A · Brocade G620</v>
      </c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9" t="n">
        <v>36</v>
      </c>
      <c r="AI12" s="20" t="n">
        <v>30</v>
      </c>
      <c r="AJ12" s="21" t="n"/>
      <c r="AK12" s="20" t="n">
        <v>2</v>
      </c>
      <c r="AL12" s="21" t="n"/>
      <c r="AM12" s="22" t="inlineStr">
        <is>
          <t>양면</t>
        </is>
      </c>
      <c r="AN12" s="21" t="n"/>
      <c r="AO12" s="21" t="n"/>
      <c r="AP12" s="23" t="inlineStr">
        <is>
          <t>STG-01</t>
        </is>
      </c>
      <c r="AQ12" s="21" t="n"/>
      <c r="AR12" s="21" t="n"/>
      <c r="AS12" s="21" t="n"/>
      <c r="AT12" s="21" t="n"/>
      <c r="AU12" s="21" t="n"/>
      <c r="AV12" s="22" t="inlineStr">
        <is>
          <t>Unity XT 480</t>
        </is>
      </c>
      <c r="AW12" s="21" t="n"/>
      <c r="AX12" s="21" t="n"/>
      <c r="AY12" s="21" t="n"/>
      <c r="AZ12" s="21" t="n"/>
      <c r="BA12" s="21" t="n"/>
      <c r="BB12" s="21" t="n"/>
      <c r="BC12" s="22" t="inlineStr">
        <is>
          <t>스토리지</t>
        </is>
      </c>
      <c r="BD12" s="21" t="n"/>
      <c r="BE12" s="21" t="n"/>
      <c r="BF12" s="22" t="inlineStr">
        <is>
          <t>U30 STG-01</t>
        </is>
      </c>
      <c r="BG12" s="21" t="n"/>
      <c r="BH12" s="21" t="n"/>
      <c r="BI12" s="21" t="n"/>
      <c r="BJ12" s="21" t="n"/>
      <c r="BK12" s="24" t="str">
        <f>IF(BF12="","",HYPERLINK("#'"&amp;BF12&amp;"'!A1","▶"))</f>
        <v>▶</v>
      </c>
      <c r="BM12">
        <f>B12</f>
        <v>36</v>
      </c>
      <c r="BN12">
        <f>SUMPRODUCT(ISNUMBER($AI$6:$AI$45)*($AI$6:$AI$45&lt;=$BM12)*($AI$6:$AI$45+($AK$6:$AK$45+($AK$6:$AK$45=0))-1&gt;=$BM12)*($AM$6:$AM$45&lt;&gt;"후면")*($AM$6:$AM$45&lt;&gt;"0U")*(ROW($AI$6:$AI$45)-5))</f>
        <v>5</v>
      </c>
      <c r="BO12">
        <f>SUMPRODUCT(ISNUMBER($AI$6:$AI$45)*($AI$6:$AI$45&lt;=$BM12)*($AI$6:$AI$45+($AK$6:$AK$45+($AK$6:$AK$45=0))-1&gt;=$BM12)*($AM$6:$AM$45&lt;&gt;"후면")*($AM$6:$AM$45&lt;&gt;"0U"))</f>
        <v>1</v>
      </c>
      <c r="BP12">
        <f>SUMPRODUCT(ISNUMBER($AI$6:$AI$45)*($AI$6:$AI$45&lt;=$BM12)*($AI$6:$AI$45+($AK$6:$AK$45+($AK$6:$AK$45=0))-1&gt;=$BM12)*($AM$6:$AM$45&lt;&gt;"전면")*($AM$6:$AM$45&lt;&gt;"0U")*(ROW($AI$6:$AI$45)-5))</f>
        <v>5</v>
      </c>
      <c r="BQ12">
        <f>SUMPRODUCT(ISNUMBER($AI$6:$AI$45)*($AI$6:$AI$45&lt;=$BM12)*($AI$6:$AI$45+($AK$6:$AK$45+($AK$6:$AK$45=0))-1&gt;=$BM12)*($AM$6:$AM$45&lt;&gt;"전면")*($AM$6:$AM$45&lt;&gt;"0U"))</f>
        <v>1</v>
      </c>
    </row>
    <row r="13" ht="10" customHeight="1">
      <c r="B13" s="14" t="n">
        <v>35</v>
      </c>
      <c r="C13" s="15" t="str">
        <f>IF($BO13&lt;&gt;1,IF($BO13&gt;1,"⚠ U 겹침",""),IF($BM13=INDEX($AI$6:$AI$45,$BN13)+INDEX($AK$6:$AK$45,$BN13)+(INDEX($AK$6:$AK$45,$BN13)=0)-1,INDEX($AP$6:$AP$45,$BN13)&amp;IF(INDEX($AV$6:$AV$45,$BN13)="",""," · "&amp;INDEX($AV$6:$AV$45,$BN13)),""))</f>
        <v>SAN-B · Brocade G620</v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7" t="n"/>
      <c r="R13" s="18" t="n"/>
      <c r="S13" s="15" t="str">
        <f>IF($BQ13&lt;&gt;1,IF($BQ13&gt;1,"⚠ U 겹침",""),IF($BM13=INDEX($AI$6:$AI$45,$BP13)+INDEX($AK$6:$AK$45,$BP13)+(INDEX($AK$6:$AK$45,$BP13)=0)-1,INDEX($AP$6:$AP$45,$BP13)&amp;IF(INDEX($AV$6:$AV$45,$BP13)="",""," · "&amp;INDEX($AV$6:$AV$45,$BP13)),""))</f>
        <v>SAN-B · Brocade G620</v>
      </c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9" t="n">
        <v>35</v>
      </c>
      <c r="AI13" s="20" t="n">
        <v>20</v>
      </c>
      <c r="AJ13" s="21" t="n"/>
      <c r="AK13" s="20" t="n">
        <v>2</v>
      </c>
      <c r="AL13" s="21" t="n"/>
      <c r="AM13" s="22" t="inlineStr">
        <is>
          <t>양면</t>
        </is>
      </c>
      <c r="AN13" s="21" t="n"/>
      <c r="AO13" s="21" t="n"/>
      <c r="AP13" s="23" t="inlineStr">
        <is>
          <t>SRV-01</t>
        </is>
      </c>
      <c r="AQ13" s="21" t="n"/>
      <c r="AR13" s="21" t="n"/>
      <c r="AS13" s="21" t="n"/>
      <c r="AT13" s="21" t="n"/>
      <c r="AU13" s="21" t="n"/>
      <c r="AV13" s="22" t="inlineStr">
        <is>
          <t>DL380 Gen10</t>
        </is>
      </c>
      <c r="AW13" s="21" t="n"/>
      <c r="AX13" s="21" t="n"/>
      <c r="AY13" s="21" t="n"/>
      <c r="AZ13" s="21" t="n"/>
      <c r="BA13" s="21" t="n"/>
      <c r="BB13" s="21" t="n"/>
      <c r="BC13" s="22" t="inlineStr">
        <is>
          <t>서버</t>
        </is>
      </c>
      <c r="BD13" s="21" t="n"/>
      <c r="BE13" s="21" t="n"/>
      <c r="BF13" s="22" t="inlineStr">
        <is>
          <t>U20 SRV-01</t>
        </is>
      </c>
      <c r="BG13" s="21" t="n"/>
      <c r="BH13" s="21" t="n"/>
      <c r="BI13" s="21" t="n"/>
      <c r="BJ13" s="21" t="n"/>
      <c r="BK13" s="24" t="str">
        <f>IF(BF13="","",HYPERLINK("#'"&amp;BF13&amp;"'!A1","▶"))</f>
        <v>▶</v>
      </c>
      <c r="BM13">
        <f>B13</f>
        <v>35</v>
      </c>
      <c r="BN13">
        <f>SUMPRODUCT(ISNUMBER($AI$6:$AI$45)*($AI$6:$AI$45&lt;=$BM13)*($AI$6:$AI$45+($AK$6:$AK$45+($AK$6:$AK$45=0))-1&gt;=$BM13)*($AM$6:$AM$45&lt;&gt;"후면")*($AM$6:$AM$45&lt;&gt;"0U")*(ROW($AI$6:$AI$45)-5))</f>
        <v>6</v>
      </c>
      <c r="BO13">
        <f>SUMPRODUCT(ISNUMBER($AI$6:$AI$45)*($AI$6:$AI$45&lt;=$BM13)*($AI$6:$AI$45+($AK$6:$AK$45+($AK$6:$AK$45=0))-1&gt;=$BM13)*($AM$6:$AM$45&lt;&gt;"후면")*($AM$6:$AM$45&lt;&gt;"0U"))</f>
        <v>1</v>
      </c>
      <c r="BP13">
        <f>SUMPRODUCT(ISNUMBER($AI$6:$AI$45)*($AI$6:$AI$45&lt;=$BM13)*($AI$6:$AI$45+($AK$6:$AK$45+($AK$6:$AK$45=0))-1&gt;=$BM13)*($AM$6:$AM$45&lt;&gt;"전면")*($AM$6:$AM$45&lt;&gt;"0U")*(ROW($AI$6:$AI$45)-5))</f>
        <v>6</v>
      </c>
      <c r="BQ13">
        <f>SUMPRODUCT(ISNUMBER($AI$6:$AI$45)*($AI$6:$AI$45&lt;=$BM13)*($AI$6:$AI$45+($AK$6:$AK$45+($AK$6:$AK$45=0))-1&gt;=$BM13)*($AM$6:$AM$45&lt;&gt;"전면")*($AM$6:$AM$45&lt;&gt;"0U"))</f>
        <v>1</v>
      </c>
    </row>
    <row r="14" ht="10" customHeight="1">
      <c r="B14" s="14" t="n">
        <v>34</v>
      </c>
      <c r="C14" s="15" t="str">
        <f>IF($BO14&lt;&gt;1,IF($BO14&gt;1,"⚠ U 겹침",""),IF($BM14=INDEX($AI$6:$AI$45,$BN14)+INDEX($AK$6:$AK$45,$BN14)+(INDEX($AK$6:$AK$45,$BN14)=0)-1,INDEX($AP$6:$AP$45,$BN14)&amp;IF(INDEX($AV$6:$AV$45,$BN14)="",""," · "&amp;INDEX($AV$6:$AV$45,$BN14)),""))</f>
        <v/>
      </c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7" t="n"/>
      <c r="R14" s="18" t="n"/>
      <c r="S14" s="15" t="str">
        <f>IF($BQ14&lt;&gt;1,IF($BQ14&gt;1,"⚠ U 겹침",""),IF($BM14=INDEX($AI$6:$AI$45,$BP14)+INDEX($AK$6:$AK$45,$BP14)+(INDEX($AK$6:$AK$45,$BP14)=0)-1,INDEX($AP$6:$AP$45,$BP14)&amp;IF(INDEX($AV$6:$AV$45,$BP14)="",""," · "&amp;INDEX($AV$6:$AV$45,$BP14)),""))</f>
        <v/>
      </c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9" t="n">
        <v>34</v>
      </c>
      <c r="AI14" s="20" t="n">
        <v>18</v>
      </c>
      <c r="AJ14" s="21" t="n"/>
      <c r="AK14" s="20" t="n">
        <v>2</v>
      </c>
      <c r="AL14" s="21" t="n"/>
      <c r="AM14" s="22" t="inlineStr">
        <is>
          <t>양면</t>
        </is>
      </c>
      <c r="AN14" s="21" t="n"/>
      <c r="AO14" s="21" t="n"/>
      <c r="AP14" s="23" t="inlineStr">
        <is>
          <t>SRV-02</t>
        </is>
      </c>
      <c r="AQ14" s="21" t="n"/>
      <c r="AR14" s="21" t="n"/>
      <c r="AS14" s="21" t="n"/>
      <c r="AT14" s="21" t="n"/>
      <c r="AU14" s="21" t="n"/>
      <c r="AV14" s="22" t="inlineStr">
        <is>
          <t>DL380 Gen10</t>
        </is>
      </c>
      <c r="AW14" s="21" t="n"/>
      <c r="AX14" s="21" t="n"/>
      <c r="AY14" s="21" t="n"/>
      <c r="AZ14" s="21" t="n"/>
      <c r="BA14" s="21" t="n"/>
      <c r="BB14" s="21" t="n"/>
      <c r="BC14" s="22" t="inlineStr">
        <is>
          <t>서버</t>
        </is>
      </c>
      <c r="BD14" s="21" t="n"/>
      <c r="BE14" s="21" t="n"/>
      <c r="BF14" s="22" t="inlineStr">
        <is>
          <t>U18 SRV-02</t>
        </is>
      </c>
      <c r="BG14" s="21" t="n"/>
      <c r="BH14" s="21" t="n"/>
      <c r="BI14" s="21" t="n"/>
      <c r="BJ14" s="21" t="n"/>
      <c r="BK14" s="24" t="str">
        <f>IF(BF14="","",HYPERLINK("#'"&amp;BF14&amp;"'!A1","▶"))</f>
        <v>▶</v>
      </c>
      <c r="BM14">
        <f>B14</f>
        <v>34</v>
      </c>
      <c r="BN14">
        <f>SUMPRODUCT(ISNUMBER($AI$6:$AI$45)*($AI$6:$AI$45&lt;=$BM14)*($AI$6:$AI$45+($AK$6:$AK$45+($AK$6:$AK$45=0))-1&gt;=$BM14)*($AM$6:$AM$45&lt;&gt;"후면")*($AM$6:$AM$45&lt;&gt;"0U")*(ROW($AI$6:$AI$45)-5))</f>
        <v>0</v>
      </c>
      <c r="BO14">
        <f>SUMPRODUCT(ISNUMBER($AI$6:$AI$45)*($AI$6:$AI$45&lt;=$BM14)*($AI$6:$AI$45+($AK$6:$AK$45+($AK$6:$AK$45=0))-1&gt;=$BM14)*($AM$6:$AM$45&lt;&gt;"후면")*($AM$6:$AM$45&lt;&gt;"0U"))</f>
        <v>0</v>
      </c>
      <c r="BP14">
        <f>SUMPRODUCT(ISNUMBER($AI$6:$AI$45)*($AI$6:$AI$45&lt;=$BM14)*($AI$6:$AI$45+($AK$6:$AK$45+($AK$6:$AK$45=0))-1&gt;=$BM14)*($AM$6:$AM$45&lt;&gt;"전면")*($AM$6:$AM$45&lt;&gt;"0U")*(ROW($AI$6:$AI$45)-5))</f>
        <v>0</v>
      </c>
      <c r="BQ14">
        <f>SUMPRODUCT(ISNUMBER($AI$6:$AI$45)*($AI$6:$AI$45&lt;=$BM14)*($AI$6:$AI$45+($AK$6:$AK$45+($AK$6:$AK$45=0))-1&gt;=$BM14)*($AM$6:$AM$45&lt;&gt;"전면")*($AM$6:$AM$45&lt;&gt;"0U"))</f>
        <v>0</v>
      </c>
    </row>
    <row r="15" ht="10" customHeight="1">
      <c r="B15" s="14" t="n">
        <v>33</v>
      </c>
      <c r="C15" s="15" t="str">
        <f>IF($BO15&lt;&gt;1,IF($BO15&gt;1,"⚠ U 겹침",""),IF($BM15=INDEX($AI$6:$AI$45,$BN15)+INDEX($AK$6:$AK$45,$BN15)+(INDEX($AK$6:$AK$45,$BN15)=0)-1,INDEX($AP$6:$AP$45,$BN15)&amp;IF(INDEX($AV$6:$AV$45,$BN15)="",""," · "&amp;INDEX($AV$6:$AV$45,$BN15)),""))</f>
        <v/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7" t="n"/>
      <c r="R15" s="18" t="n"/>
      <c r="S15" s="15" t="str">
        <f>IF($BQ15&lt;&gt;1,IF($BQ15&gt;1,"⚠ U 겹침",""),IF($BM15=INDEX($AI$6:$AI$45,$BP15)+INDEX($AK$6:$AK$45,$BP15)+(INDEX($AK$6:$AK$45,$BP15)=0)-1,INDEX($AP$6:$AP$45,$BP15)&amp;IF(INDEX($AV$6:$AV$45,$BP15)="",""," · "&amp;INDEX($AV$6:$AV$45,$BP15)),""))</f>
        <v/>
      </c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9" t="n">
        <v>33</v>
      </c>
      <c r="AI15" s="20" t="n">
        <v>16</v>
      </c>
      <c r="AJ15" s="21" t="n"/>
      <c r="AK15" s="20" t="n">
        <v>1</v>
      </c>
      <c r="AL15" s="21" t="n"/>
      <c r="AM15" s="22" t="inlineStr">
        <is>
          <t>양면</t>
        </is>
      </c>
      <c r="AN15" s="21" t="n"/>
      <c r="AO15" s="21" t="n"/>
      <c r="AP15" s="23" t="inlineStr">
        <is>
          <t>SRV-03</t>
        </is>
      </c>
      <c r="AQ15" s="21" t="n"/>
      <c r="AR15" s="21" t="n"/>
      <c r="AS15" s="21" t="n"/>
      <c r="AT15" s="21" t="n"/>
      <c r="AU15" s="21" t="n"/>
      <c r="AV15" s="22" t="inlineStr">
        <is>
          <t>PowerEdge R640</t>
        </is>
      </c>
      <c r="AW15" s="21" t="n"/>
      <c r="AX15" s="21" t="n"/>
      <c r="AY15" s="21" t="n"/>
      <c r="AZ15" s="21" t="n"/>
      <c r="BA15" s="21" t="n"/>
      <c r="BB15" s="21" t="n"/>
      <c r="BC15" s="22" t="inlineStr">
        <is>
          <t>서버</t>
        </is>
      </c>
      <c r="BD15" s="21" t="n"/>
      <c r="BE15" s="21" t="n"/>
      <c r="BF15" s="22" t="inlineStr">
        <is>
          <t>U16 SRV-03</t>
        </is>
      </c>
      <c r="BG15" s="21" t="n"/>
      <c r="BH15" s="21" t="n"/>
      <c r="BI15" s="21" t="n"/>
      <c r="BJ15" s="21" t="n"/>
      <c r="BK15" s="24" t="str">
        <f>IF(BF15="","",HYPERLINK("#'"&amp;BF15&amp;"'!A1","▶"))</f>
        <v>▶</v>
      </c>
      <c r="BM15">
        <f>B15</f>
        <v>33</v>
      </c>
      <c r="BN15">
        <f>SUMPRODUCT(ISNUMBER($AI$6:$AI$45)*($AI$6:$AI$45&lt;=$BM15)*($AI$6:$AI$45+($AK$6:$AK$45+($AK$6:$AK$45=0))-1&gt;=$BM15)*($AM$6:$AM$45&lt;&gt;"후면")*($AM$6:$AM$45&lt;&gt;"0U")*(ROW($AI$6:$AI$45)-5))</f>
        <v>0</v>
      </c>
      <c r="BO15">
        <f>SUMPRODUCT(ISNUMBER($AI$6:$AI$45)*($AI$6:$AI$45&lt;=$BM15)*($AI$6:$AI$45+($AK$6:$AK$45+($AK$6:$AK$45=0))-1&gt;=$BM15)*($AM$6:$AM$45&lt;&gt;"후면")*($AM$6:$AM$45&lt;&gt;"0U"))</f>
        <v>0</v>
      </c>
      <c r="BP15">
        <f>SUMPRODUCT(ISNUMBER($AI$6:$AI$45)*($AI$6:$AI$45&lt;=$BM15)*($AI$6:$AI$45+($AK$6:$AK$45+($AK$6:$AK$45=0))-1&gt;=$BM15)*($AM$6:$AM$45&lt;&gt;"전면")*($AM$6:$AM$45&lt;&gt;"0U")*(ROW($AI$6:$AI$45)-5))</f>
        <v>0</v>
      </c>
      <c r="BQ15">
        <f>SUMPRODUCT(ISNUMBER($AI$6:$AI$45)*($AI$6:$AI$45&lt;=$BM15)*($AI$6:$AI$45+($AK$6:$AK$45+($AK$6:$AK$45=0))-1&gt;=$BM15)*($AM$6:$AM$45&lt;&gt;"전면")*($AM$6:$AM$45&lt;&gt;"0U"))</f>
        <v>0</v>
      </c>
    </row>
    <row r="16" ht="10" customHeight="1">
      <c r="B16" s="14" t="n">
        <v>32</v>
      </c>
      <c r="C16" s="15" t="str">
        <f>IF($BO16&lt;&gt;1,IF($BO16&gt;1,"⚠ U 겹침",""),IF($BM16=INDEX($AI$6:$AI$45,$BN16)+INDEX($AK$6:$AK$45,$BN16)+(INDEX($AK$6:$AK$45,$BN16)=0)-1,INDEX($AP$6:$AP$45,$BN16)&amp;IF(INDEX($AV$6:$AV$45,$BN16)="",""," · "&amp;INDEX($AV$6:$AV$45,$BN16)),""))</f>
        <v/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7" t="n"/>
      <c r="R16" s="18" t="n"/>
      <c r="S16" s="15" t="str">
        <f>IF($BQ16&lt;&gt;1,IF($BQ16&gt;1,"⚠ U 겹침",""),IF($BM16=INDEX($AI$6:$AI$45,$BP16)+INDEX($AK$6:$AK$45,$BP16)+(INDEX($AK$6:$AK$45,$BP16)=0)-1,INDEX($AP$6:$AP$45,$BP16)&amp;IF(INDEX($AV$6:$AV$45,$BP16)="",""," · "&amp;INDEX($AV$6:$AV$45,$BP16)),""))</f>
        <v/>
      </c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9" t="n">
        <v>32</v>
      </c>
      <c r="AI16" s="20" t="n">
        <v>1</v>
      </c>
      <c r="AJ16" s="21" t="n"/>
      <c r="AK16" s="20" t="n">
        <v>10</v>
      </c>
      <c r="AL16" s="21" t="n"/>
      <c r="AM16" s="22" t="inlineStr">
        <is>
          <t>양면</t>
        </is>
      </c>
      <c r="AN16" s="21" t="n"/>
      <c r="AO16" s="21" t="n"/>
      <c r="AP16" s="23" t="inlineStr">
        <is>
          <t>ENC-01</t>
        </is>
      </c>
      <c r="AQ16" s="21" t="n"/>
      <c r="AR16" s="21" t="n"/>
      <c r="AS16" s="21" t="n"/>
      <c r="AT16" s="21" t="n"/>
      <c r="AU16" s="21" t="n"/>
      <c r="AV16" s="22" t="inlineStr">
        <is>
          <t>c7000</t>
        </is>
      </c>
      <c r="AW16" s="21" t="n"/>
      <c r="AX16" s="21" t="n"/>
      <c r="AY16" s="21" t="n"/>
      <c r="AZ16" s="21" t="n"/>
      <c r="BA16" s="21" t="n"/>
      <c r="BB16" s="21" t="n"/>
      <c r="BC16" s="22" t="inlineStr">
        <is>
          <t>서버</t>
        </is>
      </c>
      <c r="BD16" s="21" t="n"/>
      <c r="BE16" s="21" t="n"/>
      <c r="BF16" s="22" t="inlineStr">
        <is>
          <t>U01 ENC-01</t>
        </is>
      </c>
      <c r="BG16" s="21" t="n"/>
      <c r="BH16" s="21" t="n"/>
      <c r="BI16" s="21" t="n"/>
      <c r="BJ16" s="21" t="n"/>
      <c r="BK16" s="24" t="str">
        <f>IF(BF16="","",HYPERLINK("#'"&amp;BF16&amp;"'!A1","▶"))</f>
        <v>▶</v>
      </c>
      <c r="BM16">
        <f>B16</f>
        <v>32</v>
      </c>
      <c r="BN16">
        <f>SUMPRODUCT(ISNUMBER($AI$6:$AI$45)*($AI$6:$AI$45&lt;=$BM16)*($AI$6:$AI$45+($AK$6:$AK$45+($AK$6:$AK$45=0))-1&gt;=$BM16)*($AM$6:$AM$45&lt;&gt;"후면")*($AM$6:$AM$45&lt;&gt;"0U")*(ROW($AI$6:$AI$45)-5))</f>
        <v>0</v>
      </c>
      <c r="BO16">
        <f>SUMPRODUCT(ISNUMBER($AI$6:$AI$45)*($AI$6:$AI$45&lt;=$BM16)*($AI$6:$AI$45+($AK$6:$AK$45+($AK$6:$AK$45=0))-1&gt;=$BM16)*($AM$6:$AM$45&lt;&gt;"후면")*($AM$6:$AM$45&lt;&gt;"0U"))</f>
        <v>0</v>
      </c>
      <c r="BP16">
        <f>SUMPRODUCT(ISNUMBER($AI$6:$AI$45)*($AI$6:$AI$45&lt;=$BM16)*($AI$6:$AI$45+($AK$6:$AK$45+($AK$6:$AK$45=0))-1&gt;=$BM16)*($AM$6:$AM$45&lt;&gt;"전면")*($AM$6:$AM$45&lt;&gt;"0U")*(ROW($AI$6:$AI$45)-5))</f>
        <v>0</v>
      </c>
      <c r="BQ16">
        <f>SUMPRODUCT(ISNUMBER($AI$6:$AI$45)*($AI$6:$AI$45&lt;=$BM16)*($AI$6:$AI$45+($AK$6:$AK$45+($AK$6:$AK$45=0))-1&gt;=$BM16)*($AM$6:$AM$45&lt;&gt;"전면")*($AM$6:$AM$45&lt;&gt;"0U"))</f>
        <v>0</v>
      </c>
    </row>
    <row r="17" ht="10" customHeight="1">
      <c r="B17" s="14" t="n">
        <v>31</v>
      </c>
      <c r="C17" s="15" t="str">
        <f>IF($BO17&lt;&gt;1,IF($BO17&gt;1,"⚠ U 겹침",""),IF($BM17=INDEX($AI$6:$AI$45,$BN17)+INDEX($AK$6:$AK$45,$BN17)+(INDEX($AK$6:$AK$45,$BN17)=0)-1,INDEX($AP$6:$AP$45,$BN17)&amp;IF(INDEX($AV$6:$AV$45,$BN17)="",""," · "&amp;INDEX($AV$6:$AV$45,$BN17)),""))</f>
        <v>STG-01 · Unity XT 480</v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7" t="n"/>
      <c r="R17" s="18" t="n"/>
      <c r="S17" s="15" t="str">
        <f>IF($BQ17&lt;&gt;1,IF($BQ17&gt;1,"⚠ U 겹침",""),IF($BM17=INDEX($AI$6:$AI$45,$BP17)+INDEX($AK$6:$AK$45,$BP17)+(INDEX($AK$6:$AK$45,$BP17)=0)-1,INDEX($AP$6:$AP$45,$BP17)&amp;IF(INDEX($AV$6:$AV$45,$BP17)="",""," · "&amp;INDEX($AV$6:$AV$45,$BP17)),""))</f>
        <v>STG-01 · Unity XT 480</v>
      </c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9" t="n">
        <v>31</v>
      </c>
      <c r="AI17" s="20" t="n"/>
      <c r="AJ17" s="21" t="n"/>
      <c r="AK17" s="20" t="n"/>
      <c r="AL17" s="21" t="n"/>
      <c r="AM17" s="22" t="inlineStr">
        <is>
          <t>0U</t>
        </is>
      </c>
      <c r="AN17" s="21" t="n"/>
      <c r="AO17" s="21" t="n"/>
      <c r="AP17" s="23" t="inlineStr">
        <is>
          <t>PDU-A</t>
        </is>
      </c>
      <c r="AQ17" s="21" t="n"/>
      <c r="AR17" s="21" t="n"/>
      <c r="AS17" s="21" t="n"/>
      <c r="AT17" s="21" t="n"/>
      <c r="AU17" s="21" t="n"/>
      <c r="AV17" s="22" t="inlineStr">
        <is>
          <t>AP8868</t>
        </is>
      </c>
      <c r="AW17" s="21" t="n"/>
      <c r="AX17" s="21" t="n"/>
      <c r="AY17" s="21" t="n"/>
      <c r="AZ17" s="21" t="n"/>
      <c r="BA17" s="21" t="n"/>
      <c r="BB17" s="21" t="n"/>
      <c r="BC17" s="22" t="inlineStr">
        <is>
          <t>전원</t>
        </is>
      </c>
      <c r="BD17" s="21" t="n"/>
      <c r="BE17" s="21" t="n"/>
      <c r="BF17" s="22" t="inlineStr">
        <is>
          <t>0U PDU-A</t>
        </is>
      </c>
      <c r="BG17" s="21" t="n"/>
      <c r="BH17" s="21" t="n"/>
      <c r="BI17" s="21" t="n"/>
      <c r="BJ17" s="21" t="n"/>
      <c r="BK17" s="24" t="str">
        <f>IF(BF17="","",HYPERLINK("#'"&amp;BF17&amp;"'!A1","▶"))</f>
        <v>▶</v>
      </c>
      <c r="BM17">
        <f>B17</f>
        <v>31</v>
      </c>
      <c r="BN17">
        <f>SUMPRODUCT(ISNUMBER($AI$6:$AI$45)*($AI$6:$AI$45&lt;=$BM17)*($AI$6:$AI$45+($AK$6:$AK$45+($AK$6:$AK$45=0))-1&gt;=$BM17)*($AM$6:$AM$45&lt;&gt;"후면")*($AM$6:$AM$45&lt;&gt;"0U")*(ROW($AI$6:$AI$45)-5))</f>
        <v>7</v>
      </c>
      <c r="BO17">
        <f>SUMPRODUCT(ISNUMBER($AI$6:$AI$45)*($AI$6:$AI$45&lt;=$BM17)*($AI$6:$AI$45+($AK$6:$AK$45+($AK$6:$AK$45=0))-1&gt;=$BM17)*($AM$6:$AM$45&lt;&gt;"후면")*($AM$6:$AM$45&lt;&gt;"0U"))</f>
        <v>1</v>
      </c>
      <c r="BP17">
        <f>SUMPRODUCT(ISNUMBER($AI$6:$AI$45)*($AI$6:$AI$45&lt;=$BM17)*($AI$6:$AI$45+($AK$6:$AK$45+($AK$6:$AK$45=0))-1&gt;=$BM17)*($AM$6:$AM$45&lt;&gt;"전면")*($AM$6:$AM$45&lt;&gt;"0U")*(ROW($AI$6:$AI$45)-5))</f>
        <v>7</v>
      </c>
      <c r="BQ17">
        <f>SUMPRODUCT(ISNUMBER($AI$6:$AI$45)*($AI$6:$AI$45&lt;=$BM17)*($AI$6:$AI$45+($AK$6:$AK$45+($AK$6:$AK$45=0))-1&gt;=$BM17)*($AM$6:$AM$45&lt;&gt;"전면")*($AM$6:$AM$45&lt;&gt;"0U"))</f>
        <v>1</v>
      </c>
    </row>
    <row r="18" ht="10" customHeight="1">
      <c r="B18" s="14" t="n">
        <v>30</v>
      </c>
      <c r="C18" s="15" t="str">
        <f>IF($BO18&lt;&gt;1,IF($BO18&gt;1,"⚠ U 겹침",""),IF($BM18=INDEX($AI$6:$AI$45,$BN18)+INDEX($AK$6:$AK$45,$BN18)+(INDEX($AK$6:$AK$45,$BN18)=0)-1,INDEX($AP$6:$AP$45,$BN18)&amp;IF(INDEX($AV$6:$AV$45,$BN18)="",""," · "&amp;INDEX($AV$6:$AV$45,$BN18)),""))</f>
        <v/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7" t="n"/>
      <c r="R18" s="18" t="n"/>
      <c r="S18" s="15" t="str">
        <f>IF($BQ18&lt;&gt;1,IF($BQ18&gt;1,"⚠ U 겹침",""),IF($BM18=INDEX($AI$6:$AI$45,$BP18)+INDEX($AK$6:$AK$45,$BP18)+(INDEX($AK$6:$AK$45,$BP18)=0)-1,INDEX($AP$6:$AP$45,$BP18)&amp;IF(INDEX($AV$6:$AV$45,$BP18)="",""," · "&amp;INDEX($AV$6:$AV$45,$BP18)),""))</f>
        <v/>
      </c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9" t="n">
        <v>30</v>
      </c>
      <c r="AI18" s="20" t="n"/>
      <c r="AJ18" s="21" t="n"/>
      <c r="AK18" s="20" t="n"/>
      <c r="AL18" s="21" t="n"/>
      <c r="AM18" s="22" t="inlineStr">
        <is>
          <t>0U</t>
        </is>
      </c>
      <c r="AN18" s="21" t="n"/>
      <c r="AO18" s="21" t="n"/>
      <c r="AP18" s="23" t="inlineStr">
        <is>
          <t>PDU-B</t>
        </is>
      </c>
      <c r="AQ18" s="21" t="n"/>
      <c r="AR18" s="21" t="n"/>
      <c r="AS18" s="21" t="n"/>
      <c r="AT18" s="21" t="n"/>
      <c r="AU18" s="21" t="n"/>
      <c r="AV18" s="22" t="inlineStr">
        <is>
          <t>AP8868</t>
        </is>
      </c>
      <c r="AW18" s="21" t="n"/>
      <c r="AX18" s="21" t="n"/>
      <c r="AY18" s="21" t="n"/>
      <c r="AZ18" s="21" t="n"/>
      <c r="BA18" s="21" t="n"/>
      <c r="BB18" s="21" t="n"/>
      <c r="BC18" s="22" t="inlineStr">
        <is>
          <t>전원</t>
        </is>
      </c>
      <c r="BD18" s="21" t="n"/>
      <c r="BE18" s="21" t="n"/>
      <c r="BF18" s="22" t="inlineStr">
        <is>
          <t>0U PDU-B</t>
        </is>
      </c>
      <c r="BG18" s="21" t="n"/>
      <c r="BH18" s="21" t="n"/>
      <c r="BI18" s="21" t="n"/>
      <c r="BJ18" s="21" t="n"/>
      <c r="BK18" s="24" t="str">
        <f>IF(BF18="","",HYPERLINK("#'"&amp;BF18&amp;"'!A1","▶"))</f>
        <v>▶</v>
      </c>
      <c r="BM18">
        <f>B18</f>
        <v>30</v>
      </c>
      <c r="BN18">
        <f>SUMPRODUCT(ISNUMBER($AI$6:$AI$45)*($AI$6:$AI$45&lt;=$BM18)*($AI$6:$AI$45+($AK$6:$AK$45+($AK$6:$AK$45=0))-1&gt;=$BM18)*($AM$6:$AM$45&lt;&gt;"후면")*($AM$6:$AM$45&lt;&gt;"0U")*(ROW($AI$6:$AI$45)-5))</f>
        <v>7</v>
      </c>
      <c r="BO18">
        <f>SUMPRODUCT(ISNUMBER($AI$6:$AI$45)*($AI$6:$AI$45&lt;=$BM18)*($AI$6:$AI$45+($AK$6:$AK$45+($AK$6:$AK$45=0))-1&gt;=$BM18)*($AM$6:$AM$45&lt;&gt;"후면")*($AM$6:$AM$45&lt;&gt;"0U"))</f>
        <v>1</v>
      </c>
      <c r="BP18">
        <f>SUMPRODUCT(ISNUMBER($AI$6:$AI$45)*($AI$6:$AI$45&lt;=$BM18)*($AI$6:$AI$45+($AK$6:$AK$45+($AK$6:$AK$45=0))-1&gt;=$BM18)*($AM$6:$AM$45&lt;&gt;"전면")*($AM$6:$AM$45&lt;&gt;"0U")*(ROW($AI$6:$AI$45)-5))</f>
        <v>7</v>
      </c>
      <c r="BQ18">
        <f>SUMPRODUCT(ISNUMBER($AI$6:$AI$45)*($AI$6:$AI$45&lt;=$BM18)*($AI$6:$AI$45+($AK$6:$AK$45+($AK$6:$AK$45=0))-1&gt;=$BM18)*($AM$6:$AM$45&lt;&gt;"전면")*($AM$6:$AM$45&lt;&gt;"0U"))</f>
        <v>1</v>
      </c>
    </row>
    <row r="19" ht="10" customHeight="1">
      <c r="B19" s="14" t="n">
        <v>29</v>
      </c>
      <c r="C19" s="15" t="str">
        <f>IF($BO19&lt;&gt;1,IF($BO19&gt;1,"⚠ U 겹침",""),IF($BM19=INDEX($AI$6:$AI$45,$BN19)+INDEX($AK$6:$AK$45,$BN19)+(INDEX($AK$6:$AK$45,$BN19)=0)-1,INDEX($AP$6:$AP$45,$BN19)&amp;IF(INDEX($AV$6:$AV$45,$BN19)="",""," · "&amp;INDEX($AV$6:$AV$45,$BN19)),""))</f>
        <v/>
      </c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7" t="n"/>
      <c r="R19" s="18" t="n"/>
      <c r="S19" s="15" t="str">
        <f>IF($BQ19&lt;&gt;1,IF($BQ19&gt;1,"⚠ U 겹침",""),IF($BM19=INDEX($AI$6:$AI$45,$BP19)+INDEX($AK$6:$AK$45,$BP19)+(INDEX($AK$6:$AK$45,$BP19)=0)-1,INDEX($AP$6:$AP$45,$BP19)&amp;IF(INDEX($AV$6:$AV$45,$BP19)="",""," · "&amp;INDEX($AV$6:$AV$45,$BP19)),""))</f>
        <v/>
      </c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9" t="n">
        <v>29</v>
      </c>
      <c r="AI19" s="20" t="n"/>
      <c r="AJ19" s="21" t="n"/>
      <c r="AK19" s="20" t="n"/>
      <c r="AL19" s="21" t="n"/>
      <c r="AM19" s="22" t="n"/>
      <c r="AN19" s="21" t="n"/>
      <c r="AO19" s="21" t="n"/>
      <c r="AP19" s="23" t="n"/>
      <c r="AQ19" s="21" t="n"/>
      <c r="AR19" s="21" t="n"/>
      <c r="AS19" s="21" t="n"/>
      <c r="AT19" s="21" t="n"/>
      <c r="AU19" s="21" t="n"/>
      <c r="AV19" s="22" t="n"/>
      <c r="AW19" s="21" t="n"/>
      <c r="AX19" s="21" t="n"/>
      <c r="AY19" s="21" t="n"/>
      <c r="AZ19" s="21" t="n"/>
      <c r="BA19" s="21" t="n"/>
      <c r="BB19" s="21" t="n"/>
      <c r="BC19" s="22" t="n"/>
      <c r="BD19" s="21" t="n"/>
      <c r="BE19" s="21" t="n"/>
      <c r="BF19" s="22" t="n"/>
      <c r="BG19" s="21" t="n"/>
      <c r="BH19" s="21" t="n"/>
      <c r="BI19" s="21" t="n"/>
      <c r="BJ19" s="21" t="n"/>
      <c r="BK19" s="24" t="str">
        <f>IF(BF19="","",HYPERLINK("#'"&amp;BF19&amp;"'!A1","▶"))</f>
        <v/>
      </c>
      <c r="BM19">
        <f>B19</f>
        <v>29</v>
      </c>
      <c r="BN19">
        <f>SUMPRODUCT(ISNUMBER($AI$6:$AI$45)*($AI$6:$AI$45&lt;=$BM19)*($AI$6:$AI$45+($AK$6:$AK$45+($AK$6:$AK$45=0))-1&gt;=$BM19)*($AM$6:$AM$45&lt;&gt;"후면")*($AM$6:$AM$45&lt;&gt;"0U")*(ROW($AI$6:$AI$45)-5))</f>
        <v>0</v>
      </c>
      <c r="BO19">
        <f>SUMPRODUCT(ISNUMBER($AI$6:$AI$45)*($AI$6:$AI$45&lt;=$BM19)*($AI$6:$AI$45+($AK$6:$AK$45+($AK$6:$AK$45=0))-1&gt;=$BM19)*($AM$6:$AM$45&lt;&gt;"후면")*($AM$6:$AM$45&lt;&gt;"0U"))</f>
        <v>0</v>
      </c>
      <c r="BP19">
        <f>SUMPRODUCT(ISNUMBER($AI$6:$AI$45)*($AI$6:$AI$45&lt;=$BM19)*($AI$6:$AI$45+($AK$6:$AK$45+($AK$6:$AK$45=0))-1&gt;=$BM19)*($AM$6:$AM$45&lt;&gt;"전면")*($AM$6:$AM$45&lt;&gt;"0U")*(ROW($AI$6:$AI$45)-5))</f>
        <v>0</v>
      </c>
      <c r="BQ19">
        <f>SUMPRODUCT(ISNUMBER($AI$6:$AI$45)*($AI$6:$AI$45&lt;=$BM19)*($AI$6:$AI$45+($AK$6:$AK$45+($AK$6:$AK$45=0))-1&gt;=$BM19)*($AM$6:$AM$45&lt;&gt;"전면")*($AM$6:$AM$45&lt;&gt;"0U"))</f>
        <v>0</v>
      </c>
    </row>
    <row r="20" ht="10" customHeight="1">
      <c r="B20" s="14" t="n">
        <v>28</v>
      </c>
      <c r="C20" s="15" t="str">
        <f>IF($BO20&lt;&gt;1,IF($BO20&gt;1,"⚠ U 겹침",""),IF($BM20=INDEX($AI$6:$AI$45,$BN20)+INDEX($AK$6:$AK$45,$BN20)+(INDEX($AK$6:$AK$45,$BN20)=0)-1,INDEX($AP$6:$AP$45,$BN20)&amp;IF(INDEX($AV$6:$AV$45,$BN20)="",""," · "&amp;INDEX($AV$6:$AV$45,$BN20)),""))</f>
        <v/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7" t="n"/>
      <c r="R20" s="18" t="n"/>
      <c r="S20" s="15" t="str">
        <f>IF($BQ20&lt;&gt;1,IF($BQ20&gt;1,"⚠ U 겹침",""),IF($BM20=INDEX($AI$6:$AI$45,$BP20)+INDEX($AK$6:$AK$45,$BP20)+(INDEX($AK$6:$AK$45,$BP20)=0)-1,INDEX($AP$6:$AP$45,$BP20)&amp;IF(INDEX($AV$6:$AV$45,$BP20)="",""," · "&amp;INDEX($AV$6:$AV$45,$BP20)),""))</f>
        <v/>
      </c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9" t="n">
        <v>28</v>
      </c>
      <c r="AI20" s="20" t="n"/>
      <c r="AJ20" s="21" t="n"/>
      <c r="AK20" s="20" t="n"/>
      <c r="AL20" s="21" t="n"/>
      <c r="AM20" s="22" t="n"/>
      <c r="AN20" s="21" t="n"/>
      <c r="AO20" s="21" t="n"/>
      <c r="AP20" s="23" t="n"/>
      <c r="AQ20" s="21" t="n"/>
      <c r="AR20" s="21" t="n"/>
      <c r="AS20" s="21" t="n"/>
      <c r="AT20" s="21" t="n"/>
      <c r="AU20" s="21" t="n"/>
      <c r="AV20" s="22" t="n"/>
      <c r="AW20" s="21" t="n"/>
      <c r="AX20" s="21" t="n"/>
      <c r="AY20" s="21" t="n"/>
      <c r="AZ20" s="21" t="n"/>
      <c r="BA20" s="21" t="n"/>
      <c r="BB20" s="21" t="n"/>
      <c r="BC20" s="22" t="n"/>
      <c r="BD20" s="21" t="n"/>
      <c r="BE20" s="21" t="n"/>
      <c r="BF20" s="22" t="n"/>
      <c r="BG20" s="21" t="n"/>
      <c r="BH20" s="21" t="n"/>
      <c r="BI20" s="21" t="n"/>
      <c r="BJ20" s="21" t="n"/>
      <c r="BK20" s="24" t="str">
        <f>IF(BF20="","",HYPERLINK("#'"&amp;BF20&amp;"'!A1","▶"))</f>
        <v/>
      </c>
      <c r="BM20">
        <f>B20</f>
        <v>28</v>
      </c>
      <c r="BN20">
        <f>SUMPRODUCT(ISNUMBER($AI$6:$AI$45)*($AI$6:$AI$45&lt;=$BM20)*($AI$6:$AI$45+($AK$6:$AK$45+($AK$6:$AK$45=0))-1&gt;=$BM20)*($AM$6:$AM$45&lt;&gt;"후면")*($AM$6:$AM$45&lt;&gt;"0U")*(ROW($AI$6:$AI$45)-5))</f>
        <v>0</v>
      </c>
      <c r="BO20">
        <f>SUMPRODUCT(ISNUMBER($AI$6:$AI$45)*($AI$6:$AI$45&lt;=$BM20)*($AI$6:$AI$45+($AK$6:$AK$45+($AK$6:$AK$45=0))-1&gt;=$BM20)*($AM$6:$AM$45&lt;&gt;"후면")*($AM$6:$AM$45&lt;&gt;"0U"))</f>
        <v>0</v>
      </c>
      <c r="BP20">
        <f>SUMPRODUCT(ISNUMBER($AI$6:$AI$45)*($AI$6:$AI$45&lt;=$BM20)*($AI$6:$AI$45+($AK$6:$AK$45+($AK$6:$AK$45=0))-1&gt;=$BM20)*($AM$6:$AM$45&lt;&gt;"전면")*($AM$6:$AM$45&lt;&gt;"0U")*(ROW($AI$6:$AI$45)-5))</f>
        <v>0</v>
      </c>
      <c r="BQ20">
        <f>SUMPRODUCT(ISNUMBER($AI$6:$AI$45)*($AI$6:$AI$45&lt;=$BM20)*($AI$6:$AI$45+($AK$6:$AK$45+($AK$6:$AK$45=0))-1&gt;=$BM20)*($AM$6:$AM$45&lt;&gt;"전면")*($AM$6:$AM$45&lt;&gt;"0U"))</f>
        <v>0</v>
      </c>
    </row>
    <row r="21" ht="10" customHeight="1">
      <c r="B21" s="14" t="n">
        <v>27</v>
      </c>
      <c r="C21" s="15" t="str">
        <f>IF($BO21&lt;&gt;1,IF($BO21&gt;1,"⚠ U 겹침",""),IF($BM21=INDEX($AI$6:$AI$45,$BN21)+INDEX($AK$6:$AK$45,$BN21)+(INDEX($AK$6:$AK$45,$BN21)=0)-1,INDEX($AP$6:$AP$45,$BN21)&amp;IF(INDEX($AV$6:$AV$45,$BN21)="",""," · "&amp;INDEX($AV$6:$AV$45,$BN21)),""))</f>
        <v/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7" t="n"/>
      <c r="R21" s="18" t="n"/>
      <c r="S21" s="15" t="str">
        <f>IF($BQ21&lt;&gt;1,IF($BQ21&gt;1,"⚠ U 겹침",""),IF($BM21=INDEX($AI$6:$AI$45,$BP21)+INDEX($AK$6:$AK$45,$BP21)+(INDEX($AK$6:$AK$45,$BP21)=0)-1,INDEX($AP$6:$AP$45,$BP21)&amp;IF(INDEX($AV$6:$AV$45,$BP21)="",""," · "&amp;INDEX($AV$6:$AV$45,$BP21)),""))</f>
        <v/>
      </c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9" t="n">
        <v>27</v>
      </c>
      <c r="AI21" s="20" t="n"/>
      <c r="AJ21" s="21" t="n"/>
      <c r="AK21" s="20" t="n"/>
      <c r="AL21" s="21" t="n"/>
      <c r="AM21" s="22" t="n"/>
      <c r="AN21" s="21" t="n"/>
      <c r="AO21" s="21" t="n"/>
      <c r="AP21" s="23" t="n"/>
      <c r="AQ21" s="21" t="n"/>
      <c r="AR21" s="21" t="n"/>
      <c r="AS21" s="21" t="n"/>
      <c r="AT21" s="21" t="n"/>
      <c r="AU21" s="21" t="n"/>
      <c r="AV21" s="22" t="n"/>
      <c r="AW21" s="21" t="n"/>
      <c r="AX21" s="21" t="n"/>
      <c r="AY21" s="21" t="n"/>
      <c r="AZ21" s="21" t="n"/>
      <c r="BA21" s="21" t="n"/>
      <c r="BB21" s="21" t="n"/>
      <c r="BC21" s="22" t="n"/>
      <c r="BD21" s="21" t="n"/>
      <c r="BE21" s="21" t="n"/>
      <c r="BF21" s="22" t="n"/>
      <c r="BG21" s="21" t="n"/>
      <c r="BH21" s="21" t="n"/>
      <c r="BI21" s="21" t="n"/>
      <c r="BJ21" s="21" t="n"/>
      <c r="BK21" s="24" t="str">
        <f>IF(BF21="","",HYPERLINK("#'"&amp;BF21&amp;"'!A1","▶"))</f>
        <v/>
      </c>
      <c r="BM21">
        <f>B21</f>
        <v>27</v>
      </c>
      <c r="BN21">
        <f>SUMPRODUCT(ISNUMBER($AI$6:$AI$45)*($AI$6:$AI$45&lt;=$BM21)*($AI$6:$AI$45+($AK$6:$AK$45+($AK$6:$AK$45=0))-1&gt;=$BM21)*($AM$6:$AM$45&lt;&gt;"후면")*($AM$6:$AM$45&lt;&gt;"0U")*(ROW($AI$6:$AI$45)-5))</f>
        <v>0</v>
      </c>
      <c r="BO21">
        <f>SUMPRODUCT(ISNUMBER($AI$6:$AI$45)*($AI$6:$AI$45&lt;=$BM21)*($AI$6:$AI$45+($AK$6:$AK$45+($AK$6:$AK$45=0))-1&gt;=$BM21)*($AM$6:$AM$45&lt;&gt;"후면")*($AM$6:$AM$45&lt;&gt;"0U"))</f>
        <v>0</v>
      </c>
      <c r="BP21">
        <f>SUMPRODUCT(ISNUMBER($AI$6:$AI$45)*($AI$6:$AI$45&lt;=$BM21)*($AI$6:$AI$45+($AK$6:$AK$45+($AK$6:$AK$45=0))-1&gt;=$BM21)*($AM$6:$AM$45&lt;&gt;"전면")*($AM$6:$AM$45&lt;&gt;"0U")*(ROW($AI$6:$AI$45)-5))</f>
        <v>0</v>
      </c>
      <c r="BQ21">
        <f>SUMPRODUCT(ISNUMBER($AI$6:$AI$45)*($AI$6:$AI$45&lt;=$BM21)*($AI$6:$AI$45+($AK$6:$AK$45+($AK$6:$AK$45=0))-1&gt;=$BM21)*($AM$6:$AM$45&lt;&gt;"전면")*($AM$6:$AM$45&lt;&gt;"0U"))</f>
        <v>0</v>
      </c>
    </row>
    <row r="22" ht="10" customHeight="1">
      <c r="B22" s="14" t="n">
        <v>26</v>
      </c>
      <c r="C22" s="15" t="str">
        <f>IF($BO22&lt;&gt;1,IF($BO22&gt;1,"⚠ U 겹침",""),IF($BM22=INDEX($AI$6:$AI$45,$BN22)+INDEX($AK$6:$AK$45,$BN22)+(INDEX($AK$6:$AK$45,$BN22)=0)-1,INDEX($AP$6:$AP$45,$BN22)&amp;IF(INDEX($AV$6:$AV$45,$BN22)="",""," · "&amp;INDEX($AV$6:$AV$45,$BN22)),""))</f>
        <v/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7" t="n"/>
      <c r="R22" s="18" t="n"/>
      <c r="S22" s="15" t="str">
        <f>IF($BQ22&lt;&gt;1,IF($BQ22&gt;1,"⚠ U 겹침",""),IF($BM22=INDEX($AI$6:$AI$45,$BP22)+INDEX($AK$6:$AK$45,$BP22)+(INDEX($AK$6:$AK$45,$BP22)=0)-1,INDEX($AP$6:$AP$45,$BP22)&amp;IF(INDEX($AV$6:$AV$45,$BP22)="",""," · "&amp;INDEX($AV$6:$AV$45,$BP22)),""))</f>
        <v/>
      </c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9" t="n">
        <v>26</v>
      </c>
      <c r="AI22" s="20" t="n"/>
      <c r="AJ22" s="21" t="n"/>
      <c r="AK22" s="20" t="n"/>
      <c r="AL22" s="21" t="n"/>
      <c r="AM22" s="22" t="n"/>
      <c r="AN22" s="21" t="n"/>
      <c r="AO22" s="21" t="n"/>
      <c r="AP22" s="23" t="n"/>
      <c r="AQ22" s="21" t="n"/>
      <c r="AR22" s="21" t="n"/>
      <c r="AS22" s="21" t="n"/>
      <c r="AT22" s="21" t="n"/>
      <c r="AU22" s="21" t="n"/>
      <c r="AV22" s="22" t="n"/>
      <c r="AW22" s="21" t="n"/>
      <c r="AX22" s="21" t="n"/>
      <c r="AY22" s="21" t="n"/>
      <c r="AZ22" s="21" t="n"/>
      <c r="BA22" s="21" t="n"/>
      <c r="BB22" s="21" t="n"/>
      <c r="BC22" s="22" t="n"/>
      <c r="BD22" s="21" t="n"/>
      <c r="BE22" s="21" t="n"/>
      <c r="BF22" s="22" t="n"/>
      <c r="BG22" s="21" t="n"/>
      <c r="BH22" s="21" t="n"/>
      <c r="BI22" s="21" t="n"/>
      <c r="BJ22" s="21" t="n"/>
      <c r="BK22" s="24" t="str">
        <f>IF(BF22="","",HYPERLINK("#'"&amp;BF22&amp;"'!A1","▶"))</f>
        <v/>
      </c>
      <c r="BM22">
        <f>B22</f>
        <v>26</v>
      </c>
      <c r="BN22">
        <f>SUMPRODUCT(ISNUMBER($AI$6:$AI$45)*($AI$6:$AI$45&lt;=$BM22)*($AI$6:$AI$45+($AK$6:$AK$45+($AK$6:$AK$45=0))-1&gt;=$BM22)*($AM$6:$AM$45&lt;&gt;"후면")*($AM$6:$AM$45&lt;&gt;"0U")*(ROW($AI$6:$AI$45)-5))</f>
        <v>0</v>
      </c>
      <c r="BO22">
        <f>SUMPRODUCT(ISNUMBER($AI$6:$AI$45)*($AI$6:$AI$45&lt;=$BM22)*($AI$6:$AI$45+($AK$6:$AK$45+($AK$6:$AK$45=0))-1&gt;=$BM22)*($AM$6:$AM$45&lt;&gt;"후면")*($AM$6:$AM$45&lt;&gt;"0U"))</f>
        <v>0</v>
      </c>
      <c r="BP22">
        <f>SUMPRODUCT(ISNUMBER($AI$6:$AI$45)*($AI$6:$AI$45&lt;=$BM22)*($AI$6:$AI$45+($AK$6:$AK$45+($AK$6:$AK$45=0))-1&gt;=$BM22)*($AM$6:$AM$45&lt;&gt;"전면")*($AM$6:$AM$45&lt;&gt;"0U")*(ROW($AI$6:$AI$45)-5))</f>
        <v>0</v>
      </c>
      <c r="BQ22">
        <f>SUMPRODUCT(ISNUMBER($AI$6:$AI$45)*($AI$6:$AI$45&lt;=$BM22)*($AI$6:$AI$45+($AK$6:$AK$45+($AK$6:$AK$45=0))-1&gt;=$BM22)*($AM$6:$AM$45&lt;&gt;"전면")*($AM$6:$AM$45&lt;&gt;"0U"))</f>
        <v>0</v>
      </c>
    </row>
    <row r="23" ht="10" customHeight="1">
      <c r="B23" s="14" t="n">
        <v>25</v>
      </c>
      <c r="C23" s="15" t="str">
        <f>IF($BO23&lt;&gt;1,IF($BO23&gt;1,"⚠ U 겹침",""),IF($BM23=INDEX($AI$6:$AI$45,$BN23)+INDEX($AK$6:$AK$45,$BN23)+(INDEX($AK$6:$AK$45,$BN23)=0)-1,INDEX($AP$6:$AP$45,$BN23)&amp;IF(INDEX($AV$6:$AV$45,$BN23)="",""," · "&amp;INDEX($AV$6:$AV$45,$BN23)),""))</f>
        <v/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7" t="n"/>
      <c r="R23" s="18" t="n"/>
      <c r="S23" s="15" t="str">
        <f>IF($BQ23&lt;&gt;1,IF($BQ23&gt;1,"⚠ U 겹침",""),IF($BM23=INDEX($AI$6:$AI$45,$BP23)+INDEX($AK$6:$AK$45,$BP23)+(INDEX($AK$6:$AK$45,$BP23)=0)-1,INDEX($AP$6:$AP$45,$BP23)&amp;IF(INDEX($AV$6:$AV$45,$BP23)="",""," · "&amp;INDEX($AV$6:$AV$45,$BP23)),""))</f>
        <v/>
      </c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9" t="n">
        <v>25</v>
      </c>
      <c r="AI23" s="20" t="n"/>
      <c r="AJ23" s="21" t="n"/>
      <c r="AK23" s="20" t="n"/>
      <c r="AL23" s="21" t="n"/>
      <c r="AM23" s="22" t="n"/>
      <c r="AN23" s="21" t="n"/>
      <c r="AO23" s="21" t="n"/>
      <c r="AP23" s="23" t="n"/>
      <c r="AQ23" s="21" t="n"/>
      <c r="AR23" s="21" t="n"/>
      <c r="AS23" s="21" t="n"/>
      <c r="AT23" s="21" t="n"/>
      <c r="AU23" s="21" t="n"/>
      <c r="AV23" s="22" t="n"/>
      <c r="AW23" s="21" t="n"/>
      <c r="AX23" s="21" t="n"/>
      <c r="AY23" s="21" t="n"/>
      <c r="AZ23" s="21" t="n"/>
      <c r="BA23" s="21" t="n"/>
      <c r="BB23" s="21" t="n"/>
      <c r="BC23" s="22" t="n"/>
      <c r="BD23" s="21" t="n"/>
      <c r="BE23" s="21" t="n"/>
      <c r="BF23" s="22" t="n"/>
      <c r="BG23" s="21" t="n"/>
      <c r="BH23" s="21" t="n"/>
      <c r="BI23" s="21" t="n"/>
      <c r="BJ23" s="21" t="n"/>
      <c r="BK23" s="24" t="str">
        <f>IF(BF23="","",HYPERLINK("#'"&amp;BF23&amp;"'!A1","▶"))</f>
        <v/>
      </c>
      <c r="BM23">
        <f>B23</f>
        <v>25</v>
      </c>
      <c r="BN23">
        <f>SUMPRODUCT(ISNUMBER($AI$6:$AI$45)*($AI$6:$AI$45&lt;=$BM23)*($AI$6:$AI$45+($AK$6:$AK$45+($AK$6:$AK$45=0))-1&gt;=$BM23)*($AM$6:$AM$45&lt;&gt;"후면")*($AM$6:$AM$45&lt;&gt;"0U")*(ROW($AI$6:$AI$45)-5))</f>
        <v>0</v>
      </c>
      <c r="BO23">
        <f>SUMPRODUCT(ISNUMBER($AI$6:$AI$45)*($AI$6:$AI$45&lt;=$BM23)*($AI$6:$AI$45+($AK$6:$AK$45+($AK$6:$AK$45=0))-1&gt;=$BM23)*($AM$6:$AM$45&lt;&gt;"후면")*($AM$6:$AM$45&lt;&gt;"0U"))</f>
        <v>0</v>
      </c>
      <c r="BP23">
        <f>SUMPRODUCT(ISNUMBER($AI$6:$AI$45)*($AI$6:$AI$45&lt;=$BM23)*($AI$6:$AI$45+($AK$6:$AK$45+($AK$6:$AK$45=0))-1&gt;=$BM23)*($AM$6:$AM$45&lt;&gt;"전면")*($AM$6:$AM$45&lt;&gt;"0U")*(ROW($AI$6:$AI$45)-5))</f>
        <v>0</v>
      </c>
      <c r="BQ23">
        <f>SUMPRODUCT(ISNUMBER($AI$6:$AI$45)*($AI$6:$AI$45&lt;=$BM23)*($AI$6:$AI$45+($AK$6:$AK$45+($AK$6:$AK$45=0))-1&gt;=$BM23)*($AM$6:$AM$45&lt;&gt;"전면")*($AM$6:$AM$45&lt;&gt;"0U"))</f>
        <v>0</v>
      </c>
    </row>
    <row r="24" ht="10" customHeight="1">
      <c r="B24" s="14" t="n">
        <v>24</v>
      </c>
      <c r="C24" s="15" t="str">
        <f>IF($BO24&lt;&gt;1,IF($BO24&gt;1,"⚠ U 겹침",""),IF($BM24=INDEX($AI$6:$AI$45,$BN24)+INDEX($AK$6:$AK$45,$BN24)+(INDEX($AK$6:$AK$45,$BN24)=0)-1,INDEX($AP$6:$AP$45,$BN24)&amp;IF(INDEX($AV$6:$AV$45,$BN24)="",""," · "&amp;INDEX($AV$6:$AV$45,$BN24)),""))</f>
        <v/>
      </c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7" t="n"/>
      <c r="R24" s="18" t="n"/>
      <c r="S24" s="15" t="str">
        <f>IF($BQ24&lt;&gt;1,IF($BQ24&gt;1,"⚠ U 겹침",""),IF($BM24=INDEX($AI$6:$AI$45,$BP24)+INDEX($AK$6:$AK$45,$BP24)+(INDEX($AK$6:$AK$45,$BP24)=0)-1,INDEX($AP$6:$AP$45,$BP24)&amp;IF(INDEX($AV$6:$AV$45,$BP24)="",""," · "&amp;INDEX($AV$6:$AV$45,$BP24)),""))</f>
        <v/>
      </c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9" t="n">
        <v>24</v>
      </c>
      <c r="AI24" s="20" t="n"/>
      <c r="AJ24" s="21" t="n"/>
      <c r="AK24" s="20" t="n"/>
      <c r="AL24" s="21" t="n"/>
      <c r="AM24" s="22" t="n"/>
      <c r="AN24" s="21" t="n"/>
      <c r="AO24" s="21" t="n"/>
      <c r="AP24" s="23" t="n"/>
      <c r="AQ24" s="21" t="n"/>
      <c r="AR24" s="21" t="n"/>
      <c r="AS24" s="21" t="n"/>
      <c r="AT24" s="21" t="n"/>
      <c r="AU24" s="21" t="n"/>
      <c r="AV24" s="22" t="n"/>
      <c r="AW24" s="21" t="n"/>
      <c r="AX24" s="21" t="n"/>
      <c r="AY24" s="21" t="n"/>
      <c r="AZ24" s="21" t="n"/>
      <c r="BA24" s="21" t="n"/>
      <c r="BB24" s="21" t="n"/>
      <c r="BC24" s="22" t="n"/>
      <c r="BD24" s="21" t="n"/>
      <c r="BE24" s="21" t="n"/>
      <c r="BF24" s="22" t="n"/>
      <c r="BG24" s="21" t="n"/>
      <c r="BH24" s="21" t="n"/>
      <c r="BI24" s="21" t="n"/>
      <c r="BJ24" s="21" t="n"/>
      <c r="BK24" s="24" t="str">
        <f>IF(BF24="","",HYPERLINK("#'"&amp;BF24&amp;"'!A1","▶"))</f>
        <v/>
      </c>
      <c r="BM24">
        <f>B24</f>
        <v>24</v>
      </c>
      <c r="BN24">
        <f>SUMPRODUCT(ISNUMBER($AI$6:$AI$45)*($AI$6:$AI$45&lt;=$BM24)*($AI$6:$AI$45+($AK$6:$AK$45+($AK$6:$AK$45=0))-1&gt;=$BM24)*($AM$6:$AM$45&lt;&gt;"후면")*($AM$6:$AM$45&lt;&gt;"0U")*(ROW($AI$6:$AI$45)-5))</f>
        <v>0</v>
      </c>
      <c r="BO24">
        <f>SUMPRODUCT(ISNUMBER($AI$6:$AI$45)*($AI$6:$AI$45&lt;=$BM24)*($AI$6:$AI$45+($AK$6:$AK$45+($AK$6:$AK$45=0))-1&gt;=$BM24)*($AM$6:$AM$45&lt;&gt;"후면")*($AM$6:$AM$45&lt;&gt;"0U"))</f>
        <v>0</v>
      </c>
      <c r="BP24">
        <f>SUMPRODUCT(ISNUMBER($AI$6:$AI$45)*($AI$6:$AI$45&lt;=$BM24)*($AI$6:$AI$45+($AK$6:$AK$45+($AK$6:$AK$45=0))-1&gt;=$BM24)*($AM$6:$AM$45&lt;&gt;"전면")*($AM$6:$AM$45&lt;&gt;"0U")*(ROW($AI$6:$AI$45)-5))</f>
        <v>0</v>
      </c>
      <c r="BQ24">
        <f>SUMPRODUCT(ISNUMBER($AI$6:$AI$45)*($AI$6:$AI$45&lt;=$BM24)*($AI$6:$AI$45+($AK$6:$AK$45+($AK$6:$AK$45=0))-1&gt;=$BM24)*($AM$6:$AM$45&lt;&gt;"전면")*($AM$6:$AM$45&lt;&gt;"0U"))</f>
        <v>0</v>
      </c>
    </row>
    <row r="25" ht="10" customHeight="1">
      <c r="B25" s="14" t="n">
        <v>23</v>
      </c>
      <c r="C25" s="15" t="str">
        <f>IF($BO25&lt;&gt;1,IF($BO25&gt;1,"⚠ U 겹침",""),IF($BM25=INDEX($AI$6:$AI$45,$BN25)+INDEX($AK$6:$AK$45,$BN25)+(INDEX($AK$6:$AK$45,$BN25)=0)-1,INDEX($AP$6:$AP$45,$BN25)&amp;IF(INDEX($AV$6:$AV$45,$BN25)="",""," · "&amp;INDEX($AV$6:$AV$45,$BN25)),""))</f>
        <v/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7" t="n"/>
      <c r="R25" s="18" t="n"/>
      <c r="S25" s="15" t="str">
        <f>IF($BQ25&lt;&gt;1,IF($BQ25&gt;1,"⚠ U 겹침",""),IF($BM25=INDEX($AI$6:$AI$45,$BP25)+INDEX($AK$6:$AK$45,$BP25)+(INDEX($AK$6:$AK$45,$BP25)=0)-1,INDEX($AP$6:$AP$45,$BP25)&amp;IF(INDEX($AV$6:$AV$45,$BP25)="",""," · "&amp;INDEX($AV$6:$AV$45,$BP25)),""))</f>
        <v/>
      </c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9" t="n">
        <v>23</v>
      </c>
      <c r="AI25" s="20" t="n"/>
      <c r="AJ25" s="21" t="n"/>
      <c r="AK25" s="20" t="n"/>
      <c r="AL25" s="21" t="n"/>
      <c r="AM25" s="22" t="n"/>
      <c r="AN25" s="21" t="n"/>
      <c r="AO25" s="21" t="n"/>
      <c r="AP25" s="23" t="n"/>
      <c r="AQ25" s="21" t="n"/>
      <c r="AR25" s="21" t="n"/>
      <c r="AS25" s="21" t="n"/>
      <c r="AT25" s="21" t="n"/>
      <c r="AU25" s="21" t="n"/>
      <c r="AV25" s="22" t="n"/>
      <c r="AW25" s="21" t="n"/>
      <c r="AX25" s="21" t="n"/>
      <c r="AY25" s="21" t="n"/>
      <c r="AZ25" s="21" t="n"/>
      <c r="BA25" s="21" t="n"/>
      <c r="BB25" s="21" t="n"/>
      <c r="BC25" s="22" t="n"/>
      <c r="BD25" s="21" t="n"/>
      <c r="BE25" s="21" t="n"/>
      <c r="BF25" s="22" t="n"/>
      <c r="BG25" s="21" t="n"/>
      <c r="BH25" s="21" t="n"/>
      <c r="BI25" s="21" t="n"/>
      <c r="BJ25" s="21" t="n"/>
      <c r="BK25" s="24" t="str">
        <f>IF(BF25="","",HYPERLINK("#'"&amp;BF25&amp;"'!A1","▶"))</f>
        <v/>
      </c>
      <c r="BM25">
        <f>B25</f>
        <v>23</v>
      </c>
      <c r="BN25">
        <f>SUMPRODUCT(ISNUMBER($AI$6:$AI$45)*($AI$6:$AI$45&lt;=$BM25)*($AI$6:$AI$45+($AK$6:$AK$45+($AK$6:$AK$45=0))-1&gt;=$BM25)*($AM$6:$AM$45&lt;&gt;"후면")*($AM$6:$AM$45&lt;&gt;"0U")*(ROW($AI$6:$AI$45)-5))</f>
        <v>0</v>
      </c>
      <c r="BO25">
        <f>SUMPRODUCT(ISNUMBER($AI$6:$AI$45)*($AI$6:$AI$45&lt;=$BM25)*($AI$6:$AI$45+($AK$6:$AK$45+($AK$6:$AK$45=0))-1&gt;=$BM25)*($AM$6:$AM$45&lt;&gt;"후면")*($AM$6:$AM$45&lt;&gt;"0U"))</f>
        <v>0</v>
      </c>
      <c r="BP25">
        <f>SUMPRODUCT(ISNUMBER($AI$6:$AI$45)*($AI$6:$AI$45&lt;=$BM25)*($AI$6:$AI$45+($AK$6:$AK$45+($AK$6:$AK$45=0))-1&gt;=$BM25)*($AM$6:$AM$45&lt;&gt;"전면")*($AM$6:$AM$45&lt;&gt;"0U")*(ROW($AI$6:$AI$45)-5))</f>
        <v>0</v>
      </c>
      <c r="BQ25">
        <f>SUMPRODUCT(ISNUMBER($AI$6:$AI$45)*($AI$6:$AI$45&lt;=$BM25)*($AI$6:$AI$45+($AK$6:$AK$45+($AK$6:$AK$45=0))-1&gt;=$BM25)*($AM$6:$AM$45&lt;&gt;"전면")*($AM$6:$AM$45&lt;&gt;"0U"))</f>
        <v>0</v>
      </c>
    </row>
    <row r="26" ht="10" customHeight="1">
      <c r="B26" s="14" t="n">
        <v>22</v>
      </c>
      <c r="C26" s="15" t="str">
        <f>IF($BO26&lt;&gt;1,IF($BO26&gt;1,"⚠ U 겹침",""),IF($BM26=INDEX($AI$6:$AI$45,$BN26)+INDEX($AK$6:$AK$45,$BN26)+(INDEX($AK$6:$AK$45,$BN26)=0)-1,INDEX($AP$6:$AP$45,$BN26)&amp;IF(INDEX($AV$6:$AV$45,$BN26)="",""," · "&amp;INDEX($AV$6:$AV$45,$BN26)),""))</f>
        <v/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7" t="n"/>
      <c r="R26" s="18" t="n"/>
      <c r="S26" s="15" t="str">
        <f>IF($BQ26&lt;&gt;1,IF($BQ26&gt;1,"⚠ U 겹침",""),IF($BM26=INDEX($AI$6:$AI$45,$BP26)+INDEX($AK$6:$AK$45,$BP26)+(INDEX($AK$6:$AK$45,$BP26)=0)-1,INDEX($AP$6:$AP$45,$BP26)&amp;IF(INDEX($AV$6:$AV$45,$BP26)="",""," · "&amp;INDEX($AV$6:$AV$45,$BP26)),""))</f>
        <v/>
      </c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9" t="n">
        <v>22</v>
      </c>
      <c r="AI26" s="20" t="n"/>
      <c r="AJ26" s="21" t="n"/>
      <c r="AK26" s="20" t="n"/>
      <c r="AL26" s="21" t="n"/>
      <c r="AM26" s="22" t="n"/>
      <c r="AN26" s="21" t="n"/>
      <c r="AO26" s="21" t="n"/>
      <c r="AP26" s="23" t="n"/>
      <c r="AQ26" s="21" t="n"/>
      <c r="AR26" s="21" t="n"/>
      <c r="AS26" s="21" t="n"/>
      <c r="AT26" s="21" t="n"/>
      <c r="AU26" s="21" t="n"/>
      <c r="AV26" s="22" t="n"/>
      <c r="AW26" s="21" t="n"/>
      <c r="AX26" s="21" t="n"/>
      <c r="AY26" s="21" t="n"/>
      <c r="AZ26" s="21" t="n"/>
      <c r="BA26" s="21" t="n"/>
      <c r="BB26" s="21" t="n"/>
      <c r="BC26" s="22" t="n"/>
      <c r="BD26" s="21" t="n"/>
      <c r="BE26" s="21" t="n"/>
      <c r="BF26" s="22" t="n"/>
      <c r="BG26" s="21" t="n"/>
      <c r="BH26" s="21" t="n"/>
      <c r="BI26" s="21" t="n"/>
      <c r="BJ26" s="21" t="n"/>
      <c r="BK26" s="24" t="str">
        <f>IF(BF26="","",HYPERLINK("#'"&amp;BF26&amp;"'!A1","▶"))</f>
        <v/>
      </c>
      <c r="BM26">
        <f>B26</f>
        <v>22</v>
      </c>
      <c r="BN26">
        <f>SUMPRODUCT(ISNUMBER($AI$6:$AI$45)*($AI$6:$AI$45&lt;=$BM26)*($AI$6:$AI$45+($AK$6:$AK$45+($AK$6:$AK$45=0))-1&gt;=$BM26)*($AM$6:$AM$45&lt;&gt;"후면")*($AM$6:$AM$45&lt;&gt;"0U")*(ROW($AI$6:$AI$45)-5))</f>
        <v>0</v>
      </c>
      <c r="BO26">
        <f>SUMPRODUCT(ISNUMBER($AI$6:$AI$45)*($AI$6:$AI$45&lt;=$BM26)*($AI$6:$AI$45+($AK$6:$AK$45+($AK$6:$AK$45=0))-1&gt;=$BM26)*($AM$6:$AM$45&lt;&gt;"후면")*($AM$6:$AM$45&lt;&gt;"0U"))</f>
        <v>0</v>
      </c>
      <c r="BP26">
        <f>SUMPRODUCT(ISNUMBER($AI$6:$AI$45)*($AI$6:$AI$45&lt;=$BM26)*($AI$6:$AI$45+($AK$6:$AK$45+($AK$6:$AK$45=0))-1&gt;=$BM26)*($AM$6:$AM$45&lt;&gt;"전면")*($AM$6:$AM$45&lt;&gt;"0U")*(ROW($AI$6:$AI$45)-5))</f>
        <v>0</v>
      </c>
      <c r="BQ26">
        <f>SUMPRODUCT(ISNUMBER($AI$6:$AI$45)*($AI$6:$AI$45&lt;=$BM26)*($AI$6:$AI$45+($AK$6:$AK$45+($AK$6:$AK$45=0))-1&gt;=$BM26)*($AM$6:$AM$45&lt;&gt;"전면")*($AM$6:$AM$45&lt;&gt;"0U"))</f>
        <v>0</v>
      </c>
    </row>
    <row r="27" ht="10" customHeight="1">
      <c r="B27" s="14" t="n">
        <v>21</v>
      </c>
      <c r="C27" s="15" t="str">
        <f>IF($BO27&lt;&gt;1,IF($BO27&gt;1,"⚠ U 겹침",""),IF($BM27=INDEX($AI$6:$AI$45,$BN27)+INDEX($AK$6:$AK$45,$BN27)+(INDEX($AK$6:$AK$45,$BN27)=0)-1,INDEX($AP$6:$AP$45,$BN27)&amp;IF(INDEX($AV$6:$AV$45,$BN27)="",""," · "&amp;INDEX($AV$6:$AV$45,$BN27)),""))</f>
        <v>SRV-01 · DL380 Gen10</v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7" t="n"/>
      <c r="R27" s="18" t="n"/>
      <c r="S27" s="15" t="str">
        <f>IF($BQ27&lt;&gt;1,IF($BQ27&gt;1,"⚠ U 겹침",""),IF($BM27=INDEX($AI$6:$AI$45,$BP27)+INDEX($AK$6:$AK$45,$BP27)+(INDEX($AK$6:$AK$45,$BP27)=0)-1,INDEX($AP$6:$AP$45,$BP27)&amp;IF(INDEX($AV$6:$AV$45,$BP27)="",""," · "&amp;INDEX($AV$6:$AV$45,$BP27)),""))</f>
        <v>SRV-01 · DL380 Gen10</v>
      </c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9" t="n">
        <v>21</v>
      </c>
      <c r="AI27" s="20" t="n"/>
      <c r="AJ27" s="21" t="n"/>
      <c r="AK27" s="20" t="n"/>
      <c r="AL27" s="21" t="n"/>
      <c r="AM27" s="22" t="n"/>
      <c r="AN27" s="21" t="n"/>
      <c r="AO27" s="21" t="n"/>
      <c r="AP27" s="23" t="n"/>
      <c r="AQ27" s="21" t="n"/>
      <c r="AR27" s="21" t="n"/>
      <c r="AS27" s="21" t="n"/>
      <c r="AT27" s="21" t="n"/>
      <c r="AU27" s="21" t="n"/>
      <c r="AV27" s="22" t="n"/>
      <c r="AW27" s="21" t="n"/>
      <c r="AX27" s="21" t="n"/>
      <c r="AY27" s="21" t="n"/>
      <c r="AZ27" s="21" t="n"/>
      <c r="BA27" s="21" t="n"/>
      <c r="BB27" s="21" t="n"/>
      <c r="BC27" s="22" t="n"/>
      <c r="BD27" s="21" t="n"/>
      <c r="BE27" s="21" t="n"/>
      <c r="BF27" s="22" t="n"/>
      <c r="BG27" s="21" t="n"/>
      <c r="BH27" s="21" t="n"/>
      <c r="BI27" s="21" t="n"/>
      <c r="BJ27" s="21" t="n"/>
      <c r="BK27" s="24" t="str">
        <f>IF(BF27="","",HYPERLINK("#'"&amp;BF27&amp;"'!A1","▶"))</f>
        <v/>
      </c>
      <c r="BM27">
        <f>B27</f>
        <v>21</v>
      </c>
      <c r="BN27">
        <f>SUMPRODUCT(ISNUMBER($AI$6:$AI$45)*($AI$6:$AI$45&lt;=$BM27)*($AI$6:$AI$45+($AK$6:$AK$45+($AK$6:$AK$45=0))-1&gt;=$BM27)*($AM$6:$AM$45&lt;&gt;"후면")*($AM$6:$AM$45&lt;&gt;"0U")*(ROW($AI$6:$AI$45)-5))</f>
        <v>8</v>
      </c>
      <c r="BO27">
        <f>SUMPRODUCT(ISNUMBER($AI$6:$AI$45)*($AI$6:$AI$45&lt;=$BM27)*($AI$6:$AI$45+($AK$6:$AK$45+($AK$6:$AK$45=0))-1&gt;=$BM27)*($AM$6:$AM$45&lt;&gt;"후면")*($AM$6:$AM$45&lt;&gt;"0U"))</f>
        <v>1</v>
      </c>
      <c r="BP27">
        <f>SUMPRODUCT(ISNUMBER($AI$6:$AI$45)*($AI$6:$AI$45&lt;=$BM27)*($AI$6:$AI$45+($AK$6:$AK$45+($AK$6:$AK$45=0))-1&gt;=$BM27)*($AM$6:$AM$45&lt;&gt;"전면")*($AM$6:$AM$45&lt;&gt;"0U")*(ROW($AI$6:$AI$45)-5))</f>
        <v>8</v>
      </c>
      <c r="BQ27">
        <f>SUMPRODUCT(ISNUMBER($AI$6:$AI$45)*($AI$6:$AI$45&lt;=$BM27)*($AI$6:$AI$45+($AK$6:$AK$45+($AK$6:$AK$45=0))-1&gt;=$BM27)*($AM$6:$AM$45&lt;&gt;"전면")*($AM$6:$AM$45&lt;&gt;"0U"))</f>
        <v>1</v>
      </c>
    </row>
    <row r="28" ht="10" customHeight="1">
      <c r="B28" s="14" t="n">
        <v>20</v>
      </c>
      <c r="C28" s="15" t="str">
        <f>IF($BO28&lt;&gt;1,IF($BO28&gt;1,"⚠ U 겹침",""),IF($BM28=INDEX($AI$6:$AI$45,$BN28)+INDEX($AK$6:$AK$45,$BN28)+(INDEX($AK$6:$AK$45,$BN28)=0)-1,INDEX($AP$6:$AP$45,$BN28)&amp;IF(INDEX($AV$6:$AV$45,$BN28)="",""," · "&amp;INDEX($AV$6:$AV$45,$BN28)),""))</f>
        <v/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7" t="n"/>
      <c r="R28" s="18" t="n"/>
      <c r="S28" s="15" t="str">
        <f>IF($BQ28&lt;&gt;1,IF($BQ28&gt;1,"⚠ U 겹침",""),IF($BM28=INDEX($AI$6:$AI$45,$BP28)+INDEX($AK$6:$AK$45,$BP28)+(INDEX($AK$6:$AK$45,$BP28)=0)-1,INDEX($AP$6:$AP$45,$BP28)&amp;IF(INDEX($AV$6:$AV$45,$BP28)="",""," · "&amp;INDEX($AV$6:$AV$45,$BP28)),""))</f>
        <v/>
      </c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9" t="n">
        <v>20</v>
      </c>
      <c r="AI28" s="20" t="n"/>
      <c r="AJ28" s="21" t="n"/>
      <c r="AK28" s="20" t="n"/>
      <c r="AL28" s="21" t="n"/>
      <c r="AM28" s="22" t="n"/>
      <c r="AN28" s="21" t="n"/>
      <c r="AO28" s="21" t="n"/>
      <c r="AP28" s="23" t="n"/>
      <c r="AQ28" s="21" t="n"/>
      <c r="AR28" s="21" t="n"/>
      <c r="AS28" s="21" t="n"/>
      <c r="AT28" s="21" t="n"/>
      <c r="AU28" s="21" t="n"/>
      <c r="AV28" s="22" t="n"/>
      <c r="AW28" s="21" t="n"/>
      <c r="AX28" s="21" t="n"/>
      <c r="AY28" s="21" t="n"/>
      <c r="AZ28" s="21" t="n"/>
      <c r="BA28" s="21" t="n"/>
      <c r="BB28" s="21" t="n"/>
      <c r="BC28" s="22" t="n"/>
      <c r="BD28" s="21" t="n"/>
      <c r="BE28" s="21" t="n"/>
      <c r="BF28" s="22" t="n"/>
      <c r="BG28" s="21" t="n"/>
      <c r="BH28" s="21" t="n"/>
      <c r="BI28" s="21" t="n"/>
      <c r="BJ28" s="21" t="n"/>
      <c r="BK28" s="24" t="str">
        <f>IF(BF28="","",HYPERLINK("#'"&amp;BF28&amp;"'!A1","▶"))</f>
        <v/>
      </c>
      <c r="BM28">
        <f>B28</f>
        <v>20</v>
      </c>
      <c r="BN28">
        <f>SUMPRODUCT(ISNUMBER($AI$6:$AI$45)*($AI$6:$AI$45&lt;=$BM28)*($AI$6:$AI$45+($AK$6:$AK$45+($AK$6:$AK$45=0))-1&gt;=$BM28)*($AM$6:$AM$45&lt;&gt;"후면")*($AM$6:$AM$45&lt;&gt;"0U")*(ROW($AI$6:$AI$45)-5))</f>
        <v>8</v>
      </c>
      <c r="BO28">
        <f>SUMPRODUCT(ISNUMBER($AI$6:$AI$45)*($AI$6:$AI$45&lt;=$BM28)*($AI$6:$AI$45+($AK$6:$AK$45+($AK$6:$AK$45=0))-1&gt;=$BM28)*($AM$6:$AM$45&lt;&gt;"후면")*($AM$6:$AM$45&lt;&gt;"0U"))</f>
        <v>1</v>
      </c>
      <c r="BP28">
        <f>SUMPRODUCT(ISNUMBER($AI$6:$AI$45)*($AI$6:$AI$45&lt;=$BM28)*($AI$6:$AI$45+($AK$6:$AK$45+($AK$6:$AK$45=0))-1&gt;=$BM28)*($AM$6:$AM$45&lt;&gt;"전면")*($AM$6:$AM$45&lt;&gt;"0U")*(ROW($AI$6:$AI$45)-5))</f>
        <v>8</v>
      </c>
      <c r="BQ28">
        <f>SUMPRODUCT(ISNUMBER($AI$6:$AI$45)*($AI$6:$AI$45&lt;=$BM28)*($AI$6:$AI$45+($AK$6:$AK$45+($AK$6:$AK$45=0))-1&gt;=$BM28)*($AM$6:$AM$45&lt;&gt;"전면")*($AM$6:$AM$45&lt;&gt;"0U"))</f>
        <v>1</v>
      </c>
    </row>
    <row r="29" ht="10" customHeight="1">
      <c r="B29" s="14" t="n">
        <v>19</v>
      </c>
      <c r="C29" s="15" t="str">
        <f>IF($BO29&lt;&gt;1,IF($BO29&gt;1,"⚠ U 겹침",""),IF($BM29=INDEX($AI$6:$AI$45,$BN29)+INDEX($AK$6:$AK$45,$BN29)+(INDEX($AK$6:$AK$45,$BN29)=0)-1,INDEX($AP$6:$AP$45,$BN29)&amp;IF(INDEX($AV$6:$AV$45,$BN29)="",""," · "&amp;INDEX($AV$6:$AV$45,$BN29)),""))</f>
        <v>SRV-02 · DL380 Gen10</v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7" t="n"/>
      <c r="R29" s="18" t="n"/>
      <c r="S29" s="15" t="str">
        <f>IF($BQ29&lt;&gt;1,IF($BQ29&gt;1,"⚠ U 겹침",""),IF($BM29=INDEX($AI$6:$AI$45,$BP29)+INDEX($AK$6:$AK$45,$BP29)+(INDEX($AK$6:$AK$45,$BP29)=0)-1,INDEX($AP$6:$AP$45,$BP29)&amp;IF(INDEX($AV$6:$AV$45,$BP29)="",""," · "&amp;INDEX($AV$6:$AV$45,$BP29)),""))</f>
        <v>SRV-02 · DL380 Gen10</v>
      </c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9" t="n">
        <v>19</v>
      </c>
      <c r="AI29" s="20" t="n"/>
      <c r="AJ29" s="21" t="n"/>
      <c r="AK29" s="20" t="n"/>
      <c r="AL29" s="21" t="n"/>
      <c r="AM29" s="22" t="n"/>
      <c r="AN29" s="21" t="n"/>
      <c r="AO29" s="21" t="n"/>
      <c r="AP29" s="23" t="n"/>
      <c r="AQ29" s="21" t="n"/>
      <c r="AR29" s="21" t="n"/>
      <c r="AS29" s="21" t="n"/>
      <c r="AT29" s="21" t="n"/>
      <c r="AU29" s="21" t="n"/>
      <c r="AV29" s="22" t="n"/>
      <c r="AW29" s="21" t="n"/>
      <c r="AX29" s="21" t="n"/>
      <c r="AY29" s="21" t="n"/>
      <c r="AZ29" s="21" t="n"/>
      <c r="BA29" s="21" t="n"/>
      <c r="BB29" s="21" t="n"/>
      <c r="BC29" s="22" t="n"/>
      <c r="BD29" s="21" t="n"/>
      <c r="BE29" s="21" t="n"/>
      <c r="BF29" s="22" t="n"/>
      <c r="BG29" s="21" t="n"/>
      <c r="BH29" s="21" t="n"/>
      <c r="BI29" s="21" t="n"/>
      <c r="BJ29" s="21" t="n"/>
      <c r="BK29" s="24" t="str">
        <f>IF(BF29="","",HYPERLINK("#'"&amp;BF29&amp;"'!A1","▶"))</f>
        <v/>
      </c>
      <c r="BM29">
        <f>B29</f>
        <v>19</v>
      </c>
      <c r="BN29">
        <f>SUMPRODUCT(ISNUMBER($AI$6:$AI$45)*($AI$6:$AI$45&lt;=$BM29)*($AI$6:$AI$45+($AK$6:$AK$45+($AK$6:$AK$45=0))-1&gt;=$BM29)*($AM$6:$AM$45&lt;&gt;"후면")*($AM$6:$AM$45&lt;&gt;"0U")*(ROW($AI$6:$AI$45)-5))</f>
        <v>9</v>
      </c>
      <c r="BO29">
        <f>SUMPRODUCT(ISNUMBER($AI$6:$AI$45)*($AI$6:$AI$45&lt;=$BM29)*($AI$6:$AI$45+($AK$6:$AK$45+($AK$6:$AK$45=0))-1&gt;=$BM29)*($AM$6:$AM$45&lt;&gt;"후면")*($AM$6:$AM$45&lt;&gt;"0U"))</f>
        <v>1</v>
      </c>
      <c r="BP29">
        <f>SUMPRODUCT(ISNUMBER($AI$6:$AI$45)*($AI$6:$AI$45&lt;=$BM29)*($AI$6:$AI$45+($AK$6:$AK$45+($AK$6:$AK$45=0))-1&gt;=$BM29)*($AM$6:$AM$45&lt;&gt;"전면")*($AM$6:$AM$45&lt;&gt;"0U")*(ROW($AI$6:$AI$45)-5))</f>
        <v>9</v>
      </c>
      <c r="BQ29">
        <f>SUMPRODUCT(ISNUMBER($AI$6:$AI$45)*($AI$6:$AI$45&lt;=$BM29)*($AI$6:$AI$45+($AK$6:$AK$45+($AK$6:$AK$45=0))-1&gt;=$BM29)*($AM$6:$AM$45&lt;&gt;"전면")*($AM$6:$AM$45&lt;&gt;"0U"))</f>
        <v>1</v>
      </c>
    </row>
    <row r="30" ht="10" customHeight="1">
      <c r="B30" s="14" t="n">
        <v>18</v>
      </c>
      <c r="C30" s="15" t="str">
        <f>IF($BO30&lt;&gt;1,IF($BO30&gt;1,"⚠ U 겹침",""),IF($BM30=INDEX($AI$6:$AI$45,$BN30)+INDEX($AK$6:$AK$45,$BN30)+(INDEX($AK$6:$AK$45,$BN30)=0)-1,INDEX($AP$6:$AP$45,$BN30)&amp;IF(INDEX($AV$6:$AV$45,$BN30)="",""," · "&amp;INDEX($AV$6:$AV$45,$BN30)),""))</f>
        <v/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7" t="n"/>
      <c r="R30" s="18" t="n"/>
      <c r="S30" s="15" t="str">
        <f>IF($BQ30&lt;&gt;1,IF($BQ30&gt;1,"⚠ U 겹침",""),IF($BM30=INDEX($AI$6:$AI$45,$BP30)+INDEX($AK$6:$AK$45,$BP30)+(INDEX($AK$6:$AK$45,$BP30)=0)-1,INDEX($AP$6:$AP$45,$BP30)&amp;IF(INDEX($AV$6:$AV$45,$BP30)="",""," · "&amp;INDEX($AV$6:$AV$45,$BP30)),""))</f>
        <v/>
      </c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9" t="n">
        <v>18</v>
      </c>
      <c r="AI30" s="20" t="n"/>
      <c r="AJ30" s="21" t="n"/>
      <c r="AK30" s="20" t="n"/>
      <c r="AL30" s="21" t="n"/>
      <c r="AM30" s="22" t="n"/>
      <c r="AN30" s="21" t="n"/>
      <c r="AO30" s="21" t="n"/>
      <c r="AP30" s="23" t="n"/>
      <c r="AQ30" s="21" t="n"/>
      <c r="AR30" s="21" t="n"/>
      <c r="AS30" s="21" t="n"/>
      <c r="AT30" s="21" t="n"/>
      <c r="AU30" s="21" t="n"/>
      <c r="AV30" s="22" t="n"/>
      <c r="AW30" s="21" t="n"/>
      <c r="AX30" s="21" t="n"/>
      <c r="AY30" s="21" t="n"/>
      <c r="AZ30" s="21" t="n"/>
      <c r="BA30" s="21" t="n"/>
      <c r="BB30" s="21" t="n"/>
      <c r="BC30" s="22" t="n"/>
      <c r="BD30" s="21" t="n"/>
      <c r="BE30" s="21" t="n"/>
      <c r="BF30" s="22" t="n"/>
      <c r="BG30" s="21" t="n"/>
      <c r="BH30" s="21" t="n"/>
      <c r="BI30" s="21" t="n"/>
      <c r="BJ30" s="21" t="n"/>
      <c r="BK30" s="24" t="str">
        <f>IF(BF30="","",HYPERLINK("#'"&amp;BF30&amp;"'!A1","▶"))</f>
        <v/>
      </c>
      <c r="BM30">
        <f>B30</f>
        <v>18</v>
      </c>
      <c r="BN30">
        <f>SUMPRODUCT(ISNUMBER($AI$6:$AI$45)*($AI$6:$AI$45&lt;=$BM30)*($AI$6:$AI$45+($AK$6:$AK$45+($AK$6:$AK$45=0))-1&gt;=$BM30)*($AM$6:$AM$45&lt;&gt;"후면")*($AM$6:$AM$45&lt;&gt;"0U")*(ROW($AI$6:$AI$45)-5))</f>
        <v>9</v>
      </c>
      <c r="BO30">
        <f>SUMPRODUCT(ISNUMBER($AI$6:$AI$45)*($AI$6:$AI$45&lt;=$BM30)*($AI$6:$AI$45+($AK$6:$AK$45+($AK$6:$AK$45=0))-1&gt;=$BM30)*($AM$6:$AM$45&lt;&gt;"후면")*($AM$6:$AM$45&lt;&gt;"0U"))</f>
        <v>1</v>
      </c>
      <c r="BP30">
        <f>SUMPRODUCT(ISNUMBER($AI$6:$AI$45)*($AI$6:$AI$45&lt;=$BM30)*($AI$6:$AI$45+($AK$6:$AK$45+($AK$6:$AK$45=0))-1&gt;=$BM30)*($AM$6:$AM$45&lt;&gt;"전면")*($AM$6:$AM$45&lt;&gt;"0U")*(ROW($AI$6:$AI$45)-5))</f>
        <v>9</v>
      </c>
      <c r="BQ30">
        <f>SUMPRODUCT(ISNUMBER($AI$6:$AI$45)*($AI$6:$AI$45&lt;=$BM30)*($AI$6:$AI$45+($AK$6:$AK$45+($AK$6:$AK$45=0))-1&gt;=$BM30)*($AM$6:$AM$45&lt;&gt;"전면")*($AM$6:$AM$45&lt;&gt;"0U"))</f>
        <v>1</v>
      </c>
    </row>
    <row r="31" ht="10" customHeight="1">
      <c r="B31" s="14" t="n">
        <v>17</v>
      </c>
      <c r="C31" s="15" t="str">
        <f>IF($BO31&lt;&gt;1,IF($BO31&gt;1,"⚠ U 겹침",""),IF($BM31=INDEX($AI$6:$AI$45,$BN31)+INDEX($AK$6:$AK$45,$BN31)+(INDEX($AK$6:$AK$45,$BN31)=0)-1,INDEX($AP$6:$AP$45,$BN31)&amp;IF(INDEX($AV$6:$AV$45,$BN31)="",""," · "&amp;INDEX($AV$6:$AV$45,$BN31)),""))</f>
        <v/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7" t="n"/>
      <c r="R31" s="18" t="n"/>
      <c r="S31" s="15" t="str">
        <f>IF($BQ31&lt;&gt;1,IF($BQ31&gt;1,"⚠ U 겹침",""),IF($BM31=INDEX($AI$6:$AI$45,$BP31)+INDEX($AK$6:$AK$45,$BP31)+(INDEX($AK$6:$AK$45,$BP31)=0)-1,INDEX($AP$6:$AP$45,$BP31)&amp;IF(INDEX($AV$6:$AV$45,$BP31)="",""," · "&amp;INDEX($AV$6:$AV$45,$BP31)),""))</f>
        <v/>
      </c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9" t="n">
        <v>17</v>
      </c>
      <c r="AI31" s="20" t="n"/>
      <c r="AJ31" s="21" t="n"/>
      <c r="AK31" s="20" t="n"/>
      <c r="AL31" s="21" t="n"/>
      <c r="AM31" s="22" t="n"/>
      <c r="AN31" s="21" t="n"/>
      <c r="AO31" s="21" t="n"/>
      <c r="AP31" s="23" t="n"/>
      <c r="AQ31" s="21" t="n"/>
      <c r="AR31" s="21" t="n"/>
      <c r="AS31" s="21" t="n"/>
      <c r="AT31" s="21" t="n"/>
      <c r="AU31" s="21" t="n"/>
      <c r="AV31" s="22" t="n"/>
      <c r="AW31" s="21" t="n"/>
      <c r="AX31" s="21" t="n"/>
      <c r="AY31" s="21" t="n"/>
      <c r="AZ31" s="21" t="n"/>
      <c r="BA31" s="21" t="n"/>
      <c r="BB31" s="21" t="n"/>
      <c r="BC31" s="22" t="n"/>
      <c r="BD31" s="21" t="n"/>
      <c r="BE31" s="21" t="n"/>
      <c r="BF31" s="22" t="n"/>
      <c r="BG31" s="21" t="n"/>
      <c r="BH31" s="21" t="n"/>
      <c r="BI31" s="21" t="n"/>
      <c r="BJ31" s="21" t="n"/>
      <c r="BK31" s="24" t="str">
        <f>IF(BF31="","",HYPERLINK("#'"&amp;BF31&amp;"'!A1","▶"))</f>
        <v/>
      </c>
      <c r="BM31">
        <f>B31</f>
        <v>17</v>
      </c>
      <c r="BN31">
        <f>SUMPRODUCT(ISNUMBER($AI$6:$AI$45)*($AI$6:$AI$45&lt;=$BM31)*($AI$6:$AI$45+($AK$6:$AK$45+($AK$6:$AK$45=0))-1&gt;=$BM31)*($AM$6:$AM$45&lt;&gt;"후면")*($AM$6:$AM$45&lt;&gt;"0U")*(ROW($AI$6:$AI$45)-5))</f>
        <v>0</v>
      </c>
      <c r="BO31">
        <f>SUMPRODUCT(ISNUMBER($AI$6:$AI$45)*($AI$6:$AI$45&lt;=$BM31)*($AI$6:$AI$45+($AK$6:$AK$45+($AK$6:$AK$45=0))-1&gt;=$BM31)*($AM$6:$AM$45&lt;&gt;"후면")*($AM$6:$AM$45&lt;&gt;"0U"))</f>
        <v>0</v>
      </c>
      <c r="BP31">
        <f>SUMPRODUCT(ISNUMBER($AI$6:$AI$45)*($AI$6:$AI$45&lt;=$BM31)*($AI$6:$AI$45+($AK$6:$AK$45+($AK$6:$AK$45=0))-1&gt;=$BM31)*($AM$6:$AM$45&lt;&gt;"전면")*($AM$6:$AM$45&lt;&gt;"0U")*(ROW($AI$6:$AI$45)-5))</f>
        <v>0</v>
      </c>
      <c r="BQ31">
        <f>SUMPRODUCT(ISNUMBER($AI$6:$AI$45)*($AI$6:$AI$45&lt;=$BM31)*($AI$6:$AI$45+($AK$6:$AK$45+($AK$6:$AK$45=0))-1&gt;=$BM31)*($AM$6:$AM$45&lt;&gt;"전면")*($AM$6:$AM$45&lt;&gt;"0U"))</f>
        <v>0</v>
      </c>
    </row>
    <row r="32" ht="10" customHeight="1">
      <c r="B32" s="14" t="n">
        <v>16</v>
      </c>
      <c r="C32" s="15" t="str">
        <f>IF($BO32&lt;&gt;1,IF($BO32&gt;1,"⚠ U 겹침",""),IF($BM32=INDEX($AI$6:$AI$45,$BN32)+INDEX($AK$6:$AK$45,$BN32)+(INDEX($AK$6:$AK$45,$BN32)=0)-1,INDEX($AP$6:$AP$45,$BN32)&amp;IF(INDEX($AV$6:$AV$45,$BN32)="",""," · "&amp;INDEX($AV$6:$AV$45,$BN32)),""))</f>
        <v>SRV-03 · PowerEdge R640</v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7" t="n"/>
      <c r="R32" s="18" t="n"/>
      <c r="S32" s="15" t="str">
        <f>IF($BQ32&lt;&gt;1,IF($BQ32&gt;1,"⚠ U 겹침",""),IF($BM32=INDEX($AI$6:$AI$45,$BP32)+INDEX($AK$6:$AK$45,$BP32)+(INDEX($AK$6:$AK$45,$BP32)=0)-1,INDEX($AP$6:$AP$45,$BP32)&amp;IF(INDEX($AV$6:$AV$45,$BP32)="",""," · "&amp;INDEX($AV$6:$AV$45,$BP32)),""))</f>
        <v>SRV-03 · PowerEdge R640</v>
      </c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9" t="n">
        <v>16</v>
      </c>
      <c r="AI32" s="20" t="n"/>
      <c r="AJ32" s="21" t="n"/>
      <c r="AK32" s="20" t="n"/>
      <c r="AL32" s="21" t="n"/>
      <c r="AM32" s="22" t="n"/>
      <c r="AN32" s="21" t="n"/>
      <c r="AO32" s="21" t="n"/>
      <c r="AP32" s="23" t="n"/>
      <c r="AQ32" s="21" t="n"/>
      <c r="AR32" s="21" t="n"/>
      <c r="AS32" s="21" t="n"/>
      <c r="AT32" s="21" t="n"/>
      <c r="AU32" s="21" t="n"/>
      <c r="AV32" s="22" t="n"/>
      <c r="AW32" s="21" t="n"/>
      <c r="AX32" s="21" t="n"/>
      <c r="AY32" s="21" t="n"/>
      <c r="AZ32" s="21" t="n"/>
      <c r="BA32" s="21" t="n"/>
      <c r="BB32" s="21" t="n"/>
      <c r="BC32" s="22" t="n"/>
      <c r="BD32" s="21" t="n"/>
      <c r="BE32" s="21" t="n"/>
      <c r="BF32" s="22" t="n"/>
      <c r="BG32" s="21" t="n"/>
      <c r="BH32" s="21" t="n"/>
      <c r="BI32" s="21" t="n"/>
      <c r="BJ32" s="21" t="n"/>
      <c r="BK32" s="24" t="str">
        <f>IF(BF32="","",HYPERLINK("#'"&amp;BF32&amp;"'!A1","▶"))</f>
        <v/>
      </c>
      <c r="BM32">
        <f>B32</f>
        <v>16</v>
      </c>
      <c r="BN32">
        <f>SUMPRODUCT(ISNUMBER($AI$6:$AI$45)*($AI$6:$AI$45&lt;=$BM32)*($AI$6:$AI$45+($AK$6:$AK$45+($AK$6:$AK$45=0))-1&gt;=$BM32)*($AM$6:$AM$45&lt;&gt;"후면")*($AM$6:$AM$45&lt;&gt;"0U")*(ROW($AI$6:$AI$45)-5))</f>
        <v>10</v>
      </c>
      <c r="BO32">
        <f>SUMPRODUCT(ISNUMBER($AI$6:$AI$45)*($AI$6:$AI$45&lt;=$BM32)*($AI$6:$AI$45+($AK$6:$AK$45+($AK$6:$AK$45=0))-1&gt;=$BM32)*($AM$6:$AM$45&lt;&gt;"후면")*($AM$6:$AM$45&lt;&gt;"0U"))</f>
        <v>1</v>
      </c>
      <c r="BP32">
        <f>SUMPRODUCT(ISNUMBER($AI$6:$AI$45)*($AI$6:$AI$45&lt;=$BM32)*($AI$6:$AI$45+($AK$6:$AK$45+($AK$6:$AK$45=0))-1&gt;=$BM32)*($AM$6:$AM$45&lt;&gt;"전면")*($AM$6:$AM$45&lt;&gt;"0U")*(ROW($AI$6:$AI$45)-5))</f>
        <v>10</v>
      </c>
      <c r="BQ32">
        <f>SUMPRODUCT(ISNUMBER($AI$6:$AI$45)*($AI$6:$AI$45&lt;=$BM32)*($AI$6:$AI$45+($AK$6:$AK$45+($AK$6:$AK$45=0))-1&gt;=$BM32)*($AM$6:$AM$45&lt;&gt;"전면")*($AM$6:$AM$45&lt;&gt;"0U"))</f>
        <v>1</v>
      </c>
    </row>
    <row r="33" ht="10" customHeight="1">
      <c r="B33" s="14" t="n">
        <v>15</v>
      </c>
      <c r="C33" s="15" t="str">
        <f>IF($BO33&lt;&gt;1,IF($BO33&gt;1,"⚠ U 겹침",""),IF($BM33=INDEX($AI$6:$AI$45,$BN33)+INDEX($AK$6:$AK$45,$BN33)+(INDEX($AK$6:$AK$45,$BN33)=0)-1,INDEX($AP$6:$AP$45,$BN33)&amp;IF(INDEX($AV$6:$AV$45,$BN33)="",""," · "&amp;INDEX($AV$6:$AV$45,$BN33)),""))</f>
        <v/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7" t="n"/>
      <c r="R33" s="18" t="n"/>
      <c r="S33" s="15" t="str">
        <f>IF($BQ33&lt;&gt;1,IF($BQ33&gt;1,"⚠ U 겹침",""),IF($BM33=INDEX($AI$6:$AI$45,$BP33)+INDEX($AK$6:$AK$45,$BP33)+(INDEX($AK$6:$AK$45,$BP33)=0)-1,INDEX($AP$6:$AP$45,$BP33)&amp;IF(INDEX($AV$6:$AV$45,$BP33)="",""," · "&amp;INDEX($AV$6:$AV$45,$BP33)),""))</f>
        <v/>
      </c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9" t="n">
        <v>15</v>
      </c>
      <c r="AI33" s="20" t="n"/>
      <c r="AJ33" s="21" t="n"/>
      <c r="AK33" s="20" t="n"/>
      <c r="AL33" s="21" t="n"/>
      <c r="AM33" s="22" t="n"/>
      <c r="AN33" s="21" t="n"/>
      <c r="AO33" s="21" t="n"/>
      <c r="AP33" s="23" t="n"/>
      <c r="AQ33" s="21" t="n"/>
      <c r="AR33" s="21" t="n"/>
      <c r="AS33" s="21" t="n"/>
      <c r="AT33" s="21" t="n"/>
      <c r="AU33" s="21" t="n"/>
      <c r="AV33" s="22" t="n"/>
      <c r="AW33" s="21" t="n"/>
      <c r="AX33" s="21" t="n"/>
      <c r="AY33" s="21" t="n"/>
      <c r="AZ33" s="21" t="n"/>
      <c r="BA33" s="21" t="n"/>
      <c r="BB33" s="21" t="n"/>
      <c r="BC33" s="22" t="n"/>
      <c r="BD33" s="21" t="n"/>
      <c r="BE33" s="21" t="n"/>
      <c r="BF33" s="22" t="n"/>
      <c r="BG33" s="21" t="n"/>
      <c r="BH33" s="21" t="n"/>
      <c r="BI33" s="21" t="n"/>
      <c r="BJ33" s="21" t="n"/>
      <c r="BK33" s="24" t="str">
        <f>IF(BF33="","",HYPERLINK("#'"&amp;BF33&amp;"'!A1","▶"))</f>
        <v/>
      </c>
      <c r="BM33">
        <f>B33</f>
        <v>15</v>
      </c>
      <c r="BN33">
        <f>SUMPRODUCT(ISNUMBER($AI$6:$AI$45)*($AI$6:$AI$45&lt;=$BM33)*($AI$6:$AI$45+($AK$6:$AK$45+($AK$6:$AK$45=0))-1&gt;=$BM33)*($AM$6:$AM$45&lt;&gt;"후면")*($AM$6:$AM$45&lt;&gt;"0U")*(ROW($AI$6:$AI$45)-5))</f>
        <v>0</v>
      </c>
      <c r="BO33">
        <f>SUMPRODUCT(ISNUMBER($AI$6:$AI$45)*($AI$6:$AI$45&lt;=$BM33)*($AI$6:$AI$45+($AK$6:$AK$45+($AK$6:$AK$45=0))-1&gt;=$BM33)*($AM$6:$AM$45&lt;&gt;"후면")*($AM$6:$AM$45&lt;&gt;"0U"))</f>
        <v>0</v>
      </c>
      <c r="BP33">
        <f>SUMPRODUCT(ISNUMBER($AI$6:$AI$45)*($AI$6:$AI$45&lt;=$BM33)*($AI$6:$AI$45+($AK$6:$AK$45+($AK$6:$AK$45=0))-1&gt;=$BM33)*($AM$6:$AM$45&lt;&gt;"전면")*($AM$6:$AM$45&lt;&gt;"0U")*(ROW($AI$6:$AI$45)-5))</f>
        <v>0</v>
      </c>
      <c r="BQ33">
        <f>SUMPRODUCT(ISNUMBER($AI$6:$AI$45)*($AI$6:$AI$45&lt;=$BM33)*($AI$6:$AI$45+($AK$6:$AK$45+($AK$6:$AK$45=0))-1&gt;=$BM33)*($AM$6:$AM$45&lt;&gt;"전면")*($AM$6:$AM$45&lt;&gt;"0U"))</f>
        <v>0</v>
      </c>
    </row>
    <row r="34" ht="10" customHeight="1">
      <c r="B34" s="14" t="n">
        <v>14</v>
      </c>
      <c r="C34" s="15" t="str">
        <f>IF($BO34&lt;&gt;1,IF($BO34&gt;1,"⚠ U 겹침",""),IF($BM34=INDEX($AI$6:$AI$45,$BN34)+INDEX($AK$6:$AK$45,$BN34)+(INDEX($AK$6:$AK$45,$BN34)=0)-1,INDEX($AP$6:$AP$45,$BN34)&amp;IF(INDEX($AV$6:$AV$45,$BN34)="",""," · "&amp;INDEX($AV$6:$AV$45,$BN34)),""))</f>
        <v/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7" t="n"/>
      <c r="R34" s="18" t="n"/>
      <c r="S34" s="15" t="str">
        <f>IF($BQ34&lt;&gt;1,IF($BQ34&gt;1,"⚠ U 겹침",""),IF($BM34=INDEX($AI$6:$AI$45,$BP34)+INDEX($AK$6:$AK$45,$BP34)+(INDEX($AK$6:$AK$45,$BP34)=0)-1,INDEX($AP$6:$AP$45,$BP34)&amp;IF(INDEX($AV$6:$AV$45,$BP34)="",""," · "&amp;INDEX($AV$6:$AV$45,$BP34)),""))</f>
        <v/>
      </c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9" t="n">
        <v>14</v>
      </c>
      <c r="AI34" s="20" t="n"/>
      <c r="AJ34" s="21" t="n"/>
      <c r="AK34" s="20" t="n"/>
      <c r="AL34" s="21" t="n"/>
      <c r="AM34" s="22" t="n"/>
      <c r="AN34" s="21" t="n"/>
      <c r="AO34" s="21" t="n"/>
      <c r="AP34" s="23" t="n"/>
      <c r="AQ34" s="21" t="n"/>
      <c r="AR34" s="21" t="n"/>
      <c r="AS34" s="21" t="n"/>
      <c r="AT34" s="21" t="n"/>
      <c r="AU34" s="21" t="n"/>
      <c r="AV34" s="22" t="n"/>
      <c r="AW34" s="21" t="n"/>
      <c r="AX34" s="21" t="n"/>
      <c r="AY34" s="21" t="n"/>
      <c r="AZ34" s="21" t="n"/>
      <c r="BA34" s="21" t="n"/>
      <c r="BB34" s="21" t="n"/>
      <c r="BC34" s="22" t="n"/>
      <c r="BD34" s="21" t="n"/>
      <c r="BE34" s="21" t="n"/>
      <c r="BF34" s="22" t="n"/>
      <c r="BG34" s="21" t="n"/>
      <c r="BH34" s="21" t="n"/>
      <c r="BI34" s="21" t="n"/>
      <c r="BJ34" s="21" t="n"/>
      <c r="BK34" s="24" t="str">
        <f>IF(BF34="","",HYPERLINK("#'"&amp;BF34&amp;"'!A1","▶"))</f>
        <v/>
      </c>
      <c r="BM34">
        <f>B34</f>
        <v>14</v>
      </c>
      <c r="BN34">
        <f>SUMPRODUCT(ISNUMBER($AI$6:$AI$45)*($AI$6:$AI$45&lt;=$BM34)*($AI$6:$AI$45+($AK$6:$AK$45+($AK$6:$AK$45=0))-1&gt;=$BM34)*($AM$6:$AM$45&lt;&gt;"후면")*($AM$6:$AM$45&lt;&gt;"0U")*(ROW($AI$6:$AI$45)-5))</f>
        <v>0</v>
      </c>
      <c r="BO34">
        <f>SUMPRODUCT(ISNUMBER($AI$6:$AI$45)*($AI$6:$AI$45&lt;=$BM34)*($AI$6:$AI$45+($AK$6:$AK$45+($AK$6:$AK$45=0))-1&gt;=$BM34)*($AM$6:$AM$45&lt;&gt;"후면")*($AM$6:$AM$45&lt;&gt;"0U"))</f>
        <v>0</v>
      </c>
      <c r="BP34">
        <f>SUMPRODUCT(ISNUMBER($AI$6:$AI$45)*($AI$6:$AI$45&lt;=$BM34)*($AI$6:$AI$45+($AK$6:$AK$45+($AK$6:$AK$45=0))-1&gt;=$BM34)*($AM$6:$AM$45&lt;&gt;"전면")*($AM$6:$AM$45&lt;&gt;"0U")*(ROW($AI$6:$AI$45)-5))</f>
        <v>0</v>
      </c>
      <c r="BQ34">
        <f>SUMPRODUCT(ISNUMBER($AI$6:$AI$45)*($AI$6:$AI$45&lt;=$BM34)*($AI$6:$AI$45+($AK$6:$AK$45+($AK$6:$AK$45=0))-1&gt;=$BM34)*($AM$6:$AM$45&lt;&gt;"전면")*($AM$6:$AM$45&lt;&gt;"0U"))</f>
        <v>0</v>
      </c>
    </row>
    <row r="35" ht="10" customHeight="1">
      <c r="B35" s="14" t="n">
        <v>13</v>
      </c>
      <c r="C35" s="15" t="str">
        <f>IF($BO35&lt;&gt;1,IF($BO35&gt;1,"⚠ U 겹침",""),IF($BM35=INDEX($AI$6:$AI$45,$BN35)+INDEX($AK$6:$AK$45,$BN35)+(INDEX($AK$6:$AK$45,$BN35)=0)-1,INDEX($AP$6:$AP$45,$BN35)&amp;IF(INDEX($AV$6:$AV$45,$BN35)="",""," · "&amp;INDEX($AV$6:$AV$45,$BN35)),""))</f>
        <v/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7" t="n"/>
      <c r="R35" s="18" t="n"/>
      <c r="S35" s="15" t="str">
        <f>IF($BQ35&lt;&gt;1,IF($BQ35&gt;1,"⚠ U 겹침",""),IF($BM35=INDEX($AI$6:$AI$45,$BP35)+INDEX($AK$6:$AK$45,$BP35)+(INDEX($AK$6:$AK$45,$BP35)=0)-1,INDEX($AP$6:$AP$45,$BP35)&amp;IF(INDEX($AV$6:$AV$45,$BP35)="",""," · "&amp;INDEX($AV$6:$AV$45,$BP35)),""))</f>
        <v/>
      </c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9" t="n">
        <v>13</v>
      </c>
      <c r="AI35" s="20" t="n"/>
      <c r="AJ35" s="21" t="n"/>
      <c r="AK35" s="20" t="n"/>
      <c r="AL35" s="21" t="n"/>
      <c r="AM35" s="22" t="n"/>
      <c r="AN35" s="21" t="n"/>
      <c r="AO35" s="21" t="n"/>
      <c r="AP35" s="23" t="n"/>
      <c r="AQ35" s="21" t="n"/>
      <c r="AR35" s="21" t="n"/>
      <c r="AS35" s="21" t="n"/>
      <c r="AT35" s="21" t="n"/>
      <c r="AU35" s="21" t="n"/>
      <c r="AV35" s="22" t="n"/>
      <c r="AW35" s="21" t="n"/>
      <c r="AX35" s="21" t="n"/>
      <c r="AY35" s="21" t="n"/>
      <c r="AZ35" s="21" t="n"/>
      <c r="BA35" s="21" t="n"/>
      <c r="BB35" s="21" t="n"/>
      <c r="BC35" s="22" t="n"/>
      <c r="BD35" s="21" t="n"/>
      <c r="BE35" s="21" t="n"/>
      <c r="BF35" s="22" t="n"/>
      <c r="BG35" s="21" t="n"/>
      <c r="BH35" s="21" t="n"/>
      <c r="BI35" s="21" t="n"/>
      <c r="BJ35" s="21" t="n"/>
      <c r="BK35" s="24" t="str">
        <f>IF(BF35="","",HYPERLINK("#'"&amp;BF35&amp;"'!A1","▶"))</f>
        <v/>
      </c>
      <c r="BM35">
        <f>B35</f>
        <v>13</v>
      </c>
      <c r="BN35">
        <f>SUMPRODUCT(ISNUMBER($AI$6:$AI$45)*($AI$6:$AI$45&lt;=$BM35)*($AI$6:$AI$45+($AK$6:$AK$45+($AK$6:$AK$45=0))-1&gt;=$BM35)*($AM$6:$AM$45&lt;&gt;"후면")*($AM$6:$AM$45&lt;&gt;"0U")*(ROW($AI$6:$AI$45)-5))</f>
        <v>0</v>
      </c>
      <c r="BO35">
        <f>SUMPRODUCT(ISNUMBER($AI$6:$AI$45)*($AI$6:$AI$45&lt;=$BM35)*($AI$6:$AI$45+($AK$6:$AK$45+($AK$6:$AK$45=0))-1&gt;=$BM35)*($AM$6:$AM$45&lt;&gt;"후면")*($AM$6:$AM$45&lt;&gt;"0U"))</f>
        <v>0</v>
      </c>
      <c r="BP35">
        <f>SUMPRODUCT(ISNUMBER($AI$6:$AI$45)*($AI$6:$AI$45&lt;=$BM35)*($AI$6:$AI$45+($AK$6:$AK$45+($AK$6:$AK$45=0))-1&gt;=$BM35)*($AM$6:$AM$45&lt;&gt;"전면")*($AM$6:$AM$45&lt;&gt;"0U")*(ROW($AI$6:$AI$45)-5))</f>
        <v>0</v>
      </c>
      <c r="BQ35">
        <f>SUMPRODUCT(ISNUMBER($AI$6:$AI$45)*($AI$6:$AI$45&lt;=$BM35)*($AI$6:$AI$45+($AK$6:$AK$45+($AK$6:$AK$45=0))-1&gt;=$BM35)*($AM$6:$AM$45&lt;&gt;"전면")*($AM$6:$AM$45&lt;&gt;"0U"))</f>
        <v>0</v>
      </c>
    </row>
    <row r="36" ht="10" customHeight="1">
      <c r="B36" s="14" t="n">
        <v>12</v>
      </c>
      <c r="C36" s="15" t="str">
        <f>IF($BO36&lt;&gt;1,IF($BO36&gt;1,"⚠ U 겹침",""),IF($BM36=INDEX($AI$6:$AI$45,$BN36)+INDEX($AK$6:$AK$45,$BN36)+(INDEX($AK$6:$AK$45,$BN36)=0)-1,INDEX($AP$6:$AP$45,$BN36)&amp;IF(INDEX($AV$6:$AV$45,$BN36)="",""," · "&amp;INDEX($AV$6:$AV$45,$BN36)),""))</f>
        <v/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7" t="n"/>
      <c r="R36" s="18" t="n"/>
      <c r="S36" s="15" t="str">
        <f>IF($BQ36&lt;&gt;1,IF($BQ36&gt;1,"⚠ U 겹침",""),IF($BM36=INDEX($AI$6:$AI$45,$BP36)+INDEX($AK$6:$AK$45,$BP36)+(INDEX($AK$6:$AK$45,$BP36)=0)-1,INDEX($AP$6:$AP$45,$BP36)&amp;IF(INDEX($AV$6:$AV$45,$BP36)="",""," · "&amp;INDEX($AV$6:$AV$45,$BP36)),""))</f>
        <v/>
      </c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9" t="n">
        <v>12</v>
      </c>
      <c r="AI36" s="20" t="n"/>
      <c r="AJ36" s="21" t="n"/>
      <c r="AK36" s="20" t="n"/>
      <c r="AL36" s="21" t="n"/>
      <c r="AM36" s="22" t="n"/>
      <c r="AN36" s="21" t="n"/>
      <c r="AO36" s="21" t="n"/>
      <c r="AP36" s="23" t="n"/>
      <c r="AQ36" s="21" t="n"/>
      <c r="AR36" s="21" t="n"/>
      <c r="AS36" s="21" t="n"/>
      <c r="AT36" s="21" t="n"/>
      <c r="AU36" s="21" t="n"/>
      <c r="AV36" s="22" t="n"/>
      <c r="AW36" s="21" t="n"/>
      <c r="AX36" s="21" t="n"/>
      <c r="AY36" s="21" t="n"/>
      <c r="AZ36" s="21" t="n"/>
      <c r="BA36" s="21" t="n"/>
      <c r="BB36" s="21" t="n"/>
      <c r="BC36" s="22" t="n"/>
      <c r="BD36" s="21" t="n"/>
      <c r="BE36" s="21" t="n"/>
      <c r="BF36" s="22" t="n"/>
      <c r="BG36" s="21" t="n"/>
      <c r="BH36" s="21" t="n"/>
      <c r="BI36" s="21" t="n"/>
      <c r="BJ36" s="21" t="n"/>
      <c r="BK36" s="24" t="str">
        <f>IF(BF36="","",HYPERLINK("#'"&amp;BF36&amp;"'!A1","▶"))</f>
        <v/>
      </c>
      <c r="BM36">
        <f>B36</f>
        <v>12</v>
      </c>
      <c r="BN36">
        <f>SUMPRODUCT(ISNUMBER($AI$6:$AI$45)*($AI$6:$AI$45&lt;=$BM36)*($AI$6:$AI$45+($AK$6:$AK$45+($AK$6:$AK$45=0))-1&gt;=$BM36)*($AM$6:$AM$45&lt;&gt;"후면")*($AM$6:$AM$45&lt;&gt;"0U")*(ROW($AI$6:$AI$45)-5))</f>
        <v>0</v>
      </c>
      <c r="BO36">
        <f>SUMPRODUCT(ISNUMBER($AI$6:$AI$45)*($AI$6:$AI$45&lt;=$BM36)*($AI$6:$AI$45+($AK$6:$AK$45+($AK$6:$AK$45=0))-1&gt;=$BM36)*($AM$6:$AM$45&lt;&gt;"후면")*($AM$6:$AM$45&lt;&gt;"0U"))</f>
        <v>0</v>
      </c>
      <c r="BP36">
        <f>SUMPRODUCT(ISNUMBER($AI$6:$AI$45)*($AI$6:$AI$45&lt;=$BM36)*($AI$6:$AI$45+($AK$6:$AK$45+($AK$6:$AK$45=0))-1&gt;=$BM36)*($AM$6:$AM$45&lt;&gt;"전면")*($AM$6:$AM$45&lt;&gt;"0U")*(ROW($AI$6:$AI$45)-5))</f>
        <v>0</v>
      </c>
      <c r="BQ36">
        <f>SUMPRODUCT(ISNUMBER($AI$6:$AI$45)*($AI$6:$AI$45&lt;=$BM36)*($AI$6:$AI$45+($AK$6:$AK$45+($AK$6:$AK$45=0))-1&gt;=$BM36)*($AM$6:$AM$45&lt;&gt;"전면")*($AM$6:$AM$45&lt;&gt;"0U"))</f>
        <v>0</v>
      </c>
    </row>
    <row r="37" ht="10" customHeight="1">
      <c r="B37" s="14" t="n">
        <v>11</v>
      </c>
      <c r="C37" s="15" t="str">
        <f>IF($BO37&lt;&gt;1,IF($BO37&gt;1,"⚠ U 겹침",""),IF($BM37=INDEX($AI$6:$AI$45,$BN37)+INDEX($AK$6:$AK$45,$BN37)+(INDEX($AK$6:$AK$45,$BN37)=0)-1,INDEX($AP$6:$AP$45,$BN37)&amp;IF(INDEX($AV$6:$AV$45,$BN37)="",""," · "&amp;INDEX($AV$6:$AV$45,$BN37)),""))</f>
        <v/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7" t="n"/>
      <c r="R37" s="18" t="n"/>
      <c r="S37" s="15" t="str">
        <f>IF($BQ37&lt;&gt;1,IF($BQ37&gt;1,"⚠ U 겹침",""),IF($BM37=INDEX($AI$6:$AI$45,$BP37)+INDEX($AK$6:$AK$45,$BP37)+(INDEX($AK$6:$AK$45,$BP37)=0)-1,INDEX($AP$6:$AP$45,$BP37)&amp;IF(INDEX($AV$6:$AV$45,$BP37)="",""," · "&amp;INDEX($AV$6:$AV$45,$BP37)),""))</f>
        <v/>
      </c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9" t="n">
        <v>11</v>
      </c>
      <c r="AI37" s="20" t="n"/>
      <c r="AJ37" s="21" t="n"/>
      <c r="AK37" s="20" t="n"/>
      <c r="AL37" s="21" t="n"/>
      <c r="AM37" s="22" t="n"/>
      <c r="AN37" s="21" t="n"/>
      <c r="AO37" s="21" t="n"/>
      <c r="AP37" s="23" t="n"/>
      <c r="AQ37" s="21" t="n"/>
      <c r="AR37" s="21" t="n"/>
      <c r="AS37" s="21" t="n"/>
      <c r="AT37" s="21" t="n"/>
      <c r="AU37" s="21" t="n"/>
      <c r="AV37" s="22" t="n"/>
      <c r="AW37" s="21" t="n"/>
      <c r="AX37" s="21" t="n"/>
      <c r="AY37" s="21" t="n"/>
      <c r="AZ37" s="21" t="n"/>
      <c r="BA37" s="21" t="n"/>
      <c r="BB37" s="21" t="n"/>
      <c r="BC37" s="22" t="n"/>
      <c r="BD37" s="21" t="n"/>
      <c r="BE37" s="21" t="n"/>
      <c r="BF37" s="22" t="n"/>
      <c r="BG37" s="21" t="n"/>
      <c r="BH37" s="21" t="n"/>
      <c r="BI37" s="21" t="n"/>
      <c r="BJ37" s="21" t="n"/>
      <c r="BK37" s="24" t="str">
        <f>IF(BF37="","",HYPERLINK("#'"&amp;BF37&amp;"'!A1","▶"))</f>
        <v/>
      </c>
      <c r="BM37">
        <f>B37</f>
        <v>11</v>
      </c>
      <c r="BN37">
        <f>SUMPRODUCT(ISNUMBER($AI$6:$AI$45)*($AI$6:$AI$45&lt;=$BM37)*($AI$6:$AI$45+($AK$6:$AK$45+($AK$6:$AK$45=0))-1&gt;=$BM37)*($AM$6:$AM$45&lt;&gt;"후면")*($AM$6:$AM$45&lt;&gt;"0U")*(ROW($AI$6:$AI$45)-5))</f>
        <v>0</v>
      </c>
      <c r="BO37">
        <f>SUMPRODUCT(ISNUMBER($AI$6:$AI$45)*($AI$6:$AI$45&lt;=$BM37)*($AI$6:$AI$45+($AK$6:$AK$45+($AK$6:$AK$45=0))-1&gt;=$BM37)*($AM$6:$AM$45&lt;&gt;"후면")*($AM$6:$AM$45&lt;&gt;"0U"))</f>
        <v>0</v>
      </c>
      <c r="BP37">
        <f>SUMPRODUCT(ISNUMBER($AI$6:$AI$45)*($AI$6:$AI$45&lt;=$BM37)*($AI$6:$AI$45+($AK$6:$AK$45+($AK$6:$AK$45=0))-1&gt;=$BM37)*($AM$6:$AM$45&lt;&gt;"전면")*($AM$6:$AM$45&lt;&gt;"0U")*(ROW($AI$6:$AI$45)-5))</f>
        <v>0</v>
      </c>
      <c r="BQ37">
        <f>SUMPRODUCT(ISNUMBER($AI$6:$AI$45)*($AI$6:$AI$45&lt;=$BM37)*($AI$6:$AI$45+($AK$6:$AK$45+($AK$6:$AK$45=0))-1&gt;=$BM37)*($AM$6:$AM$45&lt;&gt;"전면")*($AM$6:$AM$45&lt;&gt;"0U"))</f>
        <v>0</v>
      </c>
    </row>
    <row r="38" ht="10" customHeight="1">
      <c r="B38" s="14" t="n">
        <v>10</v>
      </c>
      <c r="C38" s="15" t="str">
        <f>IF($BO38&lt;&gt;1,IF($BO38&gt;1,"⚠ U 겹침",""),IF($BM38=INDEX($AI$6:$AI$45,$BN38)+INDEX($AK$6:$AK$45,$BN38)+(INDEX($AK$6:$AK$45,$BN38)=0)-1,INDEX($AP$6:$AP$45,$BN38)&amp;IF(INDEX($AV$6:$AV$45,$BN38)="",""," · "&amp;INDEX($AV$6:$AV$45,$BN38)),""))</f>
        <v>ENC-01 · c7000</v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7" t="n"/>
      <c r="R38" s="18" t="n"/>
      <c r="S38" s="15" t="str">
        <f>IF($BQ38&lt;&gt;1,IF($BQ38&gt;1,"⚠ U 겹침",""),IF($BM38=INDEX($AI$6:$AI$45,$BP38)+INDEX($AK$6:$AK$45,$BP38)+(INDEX($AK$6:$AK$45,$BP38)=0)-1,INDEX($AP$6:$AP$45,$BP38)&amp;IF(INDEX($AV$6:$AV$45,$BP38)="",""," · "&amp;INDEX($AV$6:$AV$45,$BP38)),""))</f>
        <v>ENC-01 · c7000</v>
      </c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9" t="n">
        <v>10</v>
      </c>
      <c r="AI38" s="20" t="n"/>
      <c r="AJ38" s="21" t="n"/>
      <c r="AK38" s="20" t="n"/>
      <c r="AL38" s="21" t="n"/>
      <c r="AM38" s="22" t="n"/>
      <c r="AN38" s="21" t="n"/>
      <c r="AO38" s="21" t="n"/>
      <c r="AP38" s="23" t="n"/>
      <c r="AQ38" s="21" t="n"/>
      <c r="AR38" s="21" t="n"/>
      <c r="AS38" s="21" t="n"/>
      <c r="AT38" s="21" t="n"/>
      <c r="AU38" s="21" t="n"/>
      <c r="AV38" s="22" t="n"/>
      <c r="AW38" s="21" t="n"/>
      <c r="AX38" s="21" t="n"/>
      <c r="AY38" s="21" t="n"/>
      <c r="AZ38" s="21" t="n"/>
      <c r="BA38" s="21" t="n"/>
      <c r="BB38" s="21" t="n"/>
      <c r="BC38" s="22" t="n"/>
      <c r="BD38" s="21" t="n"/>
      <c r="BE38" s="21" t="n"/>
      <c r="BF38" s="22" t="n"/>
      <c r="BG38" s="21" t="n"/>
      <c r="BH38" s="21" t="n"/>
      <c r="BI38" s="21" t="n"/>
      <c r="BJ38" s="21" t="n"/>
      <c r="BK38" s="24" t="str">
        <f>IF(BF38="","",HYPERLINK("#'"&amp;BF38&amp;"'!A1","▶"))</f>
        <v/>
      </c>
      <c r="BM38">
        <f>B38</f>
        <v>10</v>
      </c>
      <c r="BN38">
        <f>SUMPRODUCT(ISNUMBER($AI$6:$AI$45)*($AI$6:$AI$45&lt;=$BM38)*($AI$6:$AI$45+($AK$6:$AK$45+($AK$6:$AK$45=0))-1&gt;=$BM38)*($AM$6:$AM$45&lt;&gt;"후면")*($AM$6:$AM$45&lt;&gt;"0U")*(ROW($AI$6:$AI$45)-5))</f>
        <v>11</v>
      </c>
      <c r="BO38">
        <f>SUMPRODUCT(ISNUMBER($AI$6:$AI$45)*($AI$6:$AI$45&lt;=$BM38)*($AI$6:$AI$45+($AK$6:$AK$45+($AK$6:$AK$45=0))-1&gt;=$BM38)*($AM$6:$AM$45&lt;&gt;"후면")*($AM$6:$AM$45&lt;&gt;"0U"))</f>
        <v>1</v>
      </c>
      <c r="BP38">
        <f>SUMPRODUCT(ISNUMBER($AI$6:$AI$45)*($AI$6:$AI$45&lt;=$BM38)*($AI$6:$AI$45+($AK$6:$AK$45+($AK$6:$AK$45=0))-1&gt;=$BM38)*($AM$6:$AM$45&lt;&gt;"전면")*($AM$6:$AM$45&lt;&gt;"0U")*(ROW($AI$6:$AI$45)-5))</f>
        <v>11</v>
      </c>
      <c r="BQ38">
        <f>SUMPRODUCT(ISNUMBER($AI$6:$AI$45)*($AI$6:$AI$45&lt;=$BM38)*($AI$6:$AI$45+($AK$6:$AK$45+($AK$6:$AK$45=0))-1&gt;=$BM38)*($AM$6:$AM$45&lt;&gt;"전면")*($AM$6:$AM$45&lt;&gt;"0U"))</f>
        <v>1</v>
      </c>
    </row>
    <row r="39" ht="10" customHeight="1">
      <c r="B39" s="14" t="n">
        <v>9</v>
      </c>
      <c r="C39" s="15" t="str">
        <f>IF($BO39&lt;&gt;1,IF($BO39&gt;1,"⚠ U 겹침",""),IF($BM39=INDEX($AI$6:$AI$45,$BN39)+INDEX($AK$6:$AK$45,$BN39)+(INDEX($AK$6:$AK$45,$BN39)=0)-1,INDEX($AP$6:$AP$45,$BN39)&amp;IF(INDEX($AV$6:$AV$45,$BN39)="",""," · "&amp;INDEX($AV$6:$AV$45,$BN39)),""))</f>
        <v/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7" t="n"/>
      <c r="R39" s="18" t="n"/>
      <c r="S39" s="15" t="str">
        <f>IF($BQ39&lt;&gt;1,IF($BQ39&gt;1,"⚠ U 겹침",""),IF($BM39=INDEX($AI$6:$AI$45,$BP39)+INDEX($AK$6:$AK$45,$BP39)+(INDEX($AK$6:$AK$45,$BP39)=0)-1,INDEX($AP$6:$AP$45,$BP39)&amp;IF(INDEX($AV$6:$AV$45,$BP39)="",""," · "&amp;INDEX($AV$6:$AV$45,$BP39)),""))</f>
        <v/>
      </c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9" t="n">
        <v>9</v>
      </c>
      <c r="AI39" s="20" t="n"/>
      <c r="AJ39" s="21" t="n"/>
      <c r="AK39" s="20" t="n"/>
      <c r="AL39" s="21" t="n"/>
      <c r="AM39" s="22" t="n"/>
      <c r="AN39" s="21" t="n"/>
      <c r="AO39" s="21" t="n"/>
      <c r="AP39" s="23" t="n"/>
      <c r="AQ39" s="21" t="n"/>
      <c r="AR39" s="21" t="n"/>
      <c r="AS39" s="21" t="n"/>
      <c r="AT39" s="21" t="n"/>
      <c r="AU39" s="21" t="n"/>
      <c r="AV39" s="22" t="n"/>
      <c r="AW39" s="21" t="n"/>
      <c r="AX39" s="21" t="n"/>
      <c r="AY39" s="21" t="n"/>
      <c r="AZ39" s="21" t="n"/>
      <c r="BA39" s="21" t="n"/>
      <c r="BB39" s="21" t="n"/>
      <c r="BC39" s="22" t="n"/>
      <c r="BD39" s="21" t="n"/>
      <c r="BE39" s="21" t="n"/>
      <c r="BF39" s="22" t="n"/>
      <c r="BG39" s="21" t="n"/>
      <c r="BH39" s="21" t="n"/>
      <c r="BI39" s="21" t="n"/>
      <c r="BJ39" s="21" t="n"/>
      <c r="BK39" s="24" t="str">
        <f>IF(BF39="","",HYPERLINK("#'"&amp;BF39&amp;"'!A1","▶"))</f>
        <v/>
      </c>
      <c r="BM39">
        <f>B39</f>
        <v>9</v>
      </c>
      <c r="BN39">
        <f>SUMPRODUCT(ISNUMBER($AI$6:$AI$45)*($AI$6:$AI$45&lt;=$BM39)*($AI$6:$AI$45+($AK$6:$AK$45+($AK$6:$AK$45=0))-1&gt;=$BM39)*($AM$6:$AM$45&lt;&gt;"후면")*($AM$6:$AM$45&lt;&gt;"0U")*(ROW($AI$6:$AI$45)-5))</f>
        <v>11</v>
      </c>
      <c r="BO39">
        <f>SUMPRODUCT(ISNUMBER($AI$6:$AI$45)*($AI$6:$AI$45&lt;=$BM39)*($AI$6:$AI$45+($AK$6:$AK$45+($AK$6:$AK$45=0))-1&gt;=$BM39)*($AM$6:$AM$45&lt;&gt;"후면")*($AM$6:$AM$45&lt;&gt;"0U"))</f>
        <v>1</v>
      </c>
      <c r="BP39">
        <f>SUMPRODUCT(ISNUMBER($AI$6:$AI$45)*($AI$6:$AI$45&lt;=$BM39)*($AI$6:$AI$45+($AK$6:$AK$45+($AK$6:$AK$45=0))-1&gt;=$BM39)*($AM$6:$AM$45&lt;&gt;"전면")*($AM$6:$AM$45&lt;&gt;"0U")*(ROW($AI$6:$AI$45)-5))</f>
        <v>11</v>
      </c>
      <c r="BQ39">
        <f>SUMPRODUCT(ISNUMBER($AI$6:$AI$45)*($AI$6:$AI$45&lt;=$BM39)*($AI$6:$AI$45+($AK$6:$AK$45+($AK$6:$AK$45=0))-1&gt;=$BM39)*($AM$6:$AM$45&lt;&gt;"전면")*($AM$6:$AM$45&lt;&gt;"0U"))</f>
        <v>1</v>
      </c>
    </row>
    <row r="40" ht="10" customHeight="1">
      <c r="B40" s="14" t="n">
        <v>8</v>
      </c>
      <c r="C40" s="15" t="str">
        <f>IF($BO40&lt;&gt;1,IF($BO40&gt;1,"⚠ U 겹침",""),IF($BM40=INDEX($AI$6:$AI$45,$BN40)+INDEX($AK$6:$AK$45,$BN40)+(INDEX($AK$6:$AK$45,$BN40)=0)-1,INDEX($AP$6:$AP$45,$BN40)&amp;IF(INDEX($AV$6:$AV$45,$BN40)="",""," · "&amp;INDEX($AV$6:$AV$45,$BN40)),""))</f>
        <v/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7" t="n"/>
      <c r="R40" s="18" t="n"/>
      <c r="S40" s="15" t="str">
        <f>IF($BQ40&lt;&gt;1,IF($BQ40&gt;1,"⚠ U 겹침",""),IF($BM40=INDEX($AI$6:$AI$45,$BP40)+INDEX($AK$6:$AK$45,$BP40)+(INDEX($AK$6:$AK$45,$BP40)=0)-1,INDEX($AP$6:$AP$45,$BP40)&amp;IF(INDEX($AV$6:$AV$45,$BP40)="",""," · "&amp;INDEX($AV$6:$AV$45,$BP40)),""))</f>
        <v/>
      </c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9" t="n">
        <v>8</v>
      </c>
      <c r="AI40" s="20" t="n"/>
      <c r="AJ40" s="21" t="n"/>
      <c r="AK40" s="20" t="n"/>
      <c r="AL40" s="21" t="n"/>
      <c r="AM40" s="22" t="n"/>
      <c r="AN40" s="21" t="n"/>
      <c r="AO40" s="21" t="n"/>
      <c r="AP40" s="23" t="n"/>
      <c r="AQ40" s="21" t="n"/>
      <c r="AR40" s="21" t="n"/>
      <c r="AS40" s="21" t="n"/>
      <c r="AT40" s="21" t="n"/>
      <c r="AU40" s="21" t="n"/>
      <c r="AV40" s="22" t="n"/>
      <c r="AW40" s="21" t="n"/>
      <c r="AX40" s="21" t="n"/>
      <c r="AY40" s="21" t="n"/>
      <c r="AZ40" s="21" t="n"/>
      <c r="BA40" s="21" t="n"/>
      <c r="BB40" s="21" t="n"/>
      <c r="BC40" s="22" t="n"/>
      <c r="BD40" s="21" t="n"/>
      <c r="BE40" s="21" t="n"/>
      <c r="BF40" s="22" t="n"/>
      <c r="BG40" s="21" t="n"/>
      <c r="BH40" s="21" t="n"/>
      <c r="BI40" s="21" t="n"/>
      <c r="BJ40" s="21" t="n"/>
      <c r="BK40" s="24" t="str">
        <f>IF(BF40="","",HYPERLINK("#'"&amp;BF40&amp;"'!A1","▶"))</f>
        <v/>
      </c>
      <c r="BM40">
        <f>B40</f>
        <v>8</v>
      </c>
      <c r="BN40">
        <f>SUMPRODUCT(ISNUMBER($AI$6:$AI$45)*($AI$6:$AI$45&lt;=$BM40)*($AI$6:$AI$45+($AK$6:$AK$45+($AK$6:$AK$45=0))-1&gt;=$BM40)*($AM$6:$AM$45&lt;&gt;"후면")*($AM$6:$AM$45&lt;&gt;"0U")*(ROW($AI$6:$AI$45)-5))</f>
        <v>11</v>
      </c>
      <c r="BO40">
        <f>SUMPRODUCT(ISNUMBER($AI$6:$AI$45)*($AI$6:$AI$45&lt;=$BM40)*($AI$6:$AI$45+($AK$6:$AK$45+($AK$6:$AK$45=0))-1&gt;=$BM40)*($AM$6:$AM$45&lt;&gt;"후면")*($AM$6:$AM$45&lt;&gt;"0U"))</f>
        <v>1</v>
      </c>
      <c r="BP40">
        <f>SUMPRODUCT(ISNUMBER($AI$6:$AI$45)*($AI$6:$AI$45&lt;=$BM40)*($AI$6:$AI$45+($AK$6:$AK$45+($AK$6:$AK$45=0))-1&gt;=$BM40)*($AM$6:$AM$45&lt;&gt;"전면")*($AM$6:$AM$45&lt;&gt;"0U")*(ROW($AI$6:$AI$45)-5))</f>
        <v>11</v>
      </c>
      <c r="BQ40">
        <f>SUMPRODUCT(ISNUMBER($AI$6:$AI$45)*($AI$6:$AI$45&lt;=$BM40)*($AI$6:$AI$45+($AK$6:$AK$45+($AK$6:$AK$45=0))-1&gt;=$BM40)*($AM$6:$AM$45&lt;&gt;"전면")*($AM$6:$AM$45&lt;&gt;"0U"))</f>
        <v>1</v>
      </c>
    </row>
    <row r="41" ht="10" customHeight="1">
      <c r="B41" s="14" t="n">
        <v>7</v>
      </c>
      <c r="C41" s="15" t="str">
        <f>IF($BO41&lt;&gt;1,IF($BO41&gt;1,"⚠ U 겹침",""),IF($BM41=INDEX($AI$6:$AI$45,$BN41)+INDEX($AK$6:$AK$45,$BN41)+(INDEX($AK$6:$AK$45,$BN41)=0)-1,INDEX($AP$6:$AP$45,$BN41)&amp;IF(INDEX($AV$6:$AV$45,$BN41)="",""," · "&amp;INDEX($AV$6:$AV$45,$BN41)),""))</f>
        <v/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7" t="n"/>
      <c r="R41" s="18" t="n"/>
      <c r="S41" s="15" t="str">
        <f>IF($BQ41&lt;&gt;1,IF($BQ41&gt;1,"⚠ U 겹침",""),IF($BM41=INDEX($AI$6:$AI$45,$BP41)+INDEX($AK$6:$AK$45,$BP41)+(INDEX($AK$6:$AK$45,$BP41)=0)-1,INDEX($AP$6:$AP$45,$BP41)&amp;IF(INDEX($AV$6:$AV$45,$BP41)="",""," · "&amp;INDEX($AV$6:$AV$45,$BP41)),""))</f>
        <v/>
      </c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9" t="n">
        <v>7</v>
      </c>
      <c r="AI41" s="20" t="n"/>
      <c r="AJ41" s="21" t="n"/>
      <c r="AK41" s="20" t="n"/>
      <c r="AL41" s="21" t="n"/>
      <c r="AM41" s="22" t="n"/>
      <c r="AN41" s="21" t="n"/>
      <c r="AO41" s="21" t="n"/>
      <c r="AP41" s="23" t="n"/>
      <c r="AQ41" s="21" t="n"/>
      <c r="AR41" s="21" t="n"/>
      <c r="AS41" s="21" t="n"/>
      <c r="AT41" s="21" t="n"/>
      <c r="AU41" s="21" t="n"/>
      <c r="AV41" s="22" t="n"/>
      <c r="AW41" s="21" t="n"/>
      <c r="AX41" s="21" t="n"/>
      <c r="AY41" s="21" t="n"/>
      <c r="AZ41" s="21" t="n"/>
      <c r="BA41" s="21" t="n"/>
      <c r="BB41" s="21" t="n"/>
      <c r="BC41" s="22" t="n"/>
      <c r="BD41" s="21" t="n"/>
      <c r="BE41" s="21" t="n"/>
      <c r="BF41" s="22" t="n"/>
      <c r="BG41" s="21" t="n"/>
      <c r="BH41" s="21" t="n"/>
      <c r="BI41" s="21" t="n"/>
      <c r="BJ41" s="21" t="n"/>
      <c r="BK41" s="24" t="str">
        <f>IF(BF41="","",HYPERLINK("#'"&amp;BF41&amp;"'!A1","▶"))</f>
        <v/>
      </c>
      <c r="BM41">
        <f>B41</f>
        <v>7</v>
      </c>
      <c r="BN41">
        <f>SUMPRODUCT(ISNUMBER($AI$6:$AI$45)*($AI$6:$AI$45&lt;=$BM41)*($AI$6:$AI$45+($AK$6:$AK$45+($AK$6:$AK$45=0))-1&gt;=$BM41)*($AM$6:$AM$45&lt;&gt;"후면")*($AM$6:$AM$45&lt;&gt;"0U")*(ROW($AI$6:$AI$45)-5))</f>
        <v>11</v>
      </c>
      <c r="BO41">
        <f>SUMPRODUCT(ISNUMBER($AI$6:$AI$45)*($AI$6:$AI$45&lt;=$BM41)*($AI$6:$AI$45+($AK$6:$AK$45+($AK$6:$AK$45=0))-1&gt;=$BM41)*($AM$6:$AM$45&lt;&gt;"후면")*($AM$6:$AM$45&lt;&gt;"0U"))</f>
        <v>1</v>
      </c>
      <c r="BP41">
        <f>SUMPRODUCT(ISNUMBER($AI$6:$AI$45)*($AI$6:$AI$45&lt;=$BM41)*($AI$6:$AI$45+($AK$6:$AK$45+($AK$6:$AK$45=0))-1&gt;=$BM41)*($AM$6:$AM$45&lt;&gt;"전면")*($AM$6:$AM$45&lt;&gt;"0U")*(ROW($AI$6:$AI$45)-5))</f>
        <v>11</v>
      </c>
      <c r="BQ41">
        <f>SUMPRODUCT(ISNUMBER($AI$6:$AI$45)*($AI$6:$AI$45&lt;=$BM41)*($AI$6:$AI$45+($AK$6:$AK$45+($AK$6:$AK$45=0))-1&gt;=$BM41)*($AM$6:$AM$45&lt;&gt;"전면")*($AM$6:$AM$45&lt;&gt;"0U"))</f>
        <v>1</v>
      </c>
    </row>
    <row r="42" ht="10" customHeight="1">
      <c r="B42" s="14" t="n">
        <v>6</v>
      </c>
      <c r="C42" s="15" t="str">
        <f>IF($BO42&lt;&gt;1,IF($BO42&gt;1,"⚠ U 겹침",""),IF($BM42=INDEX($AI$6:$AI$45,$BN42)+INDEX($AK$6:$AK$45,$BN42)+(INDEX($AK$6:$AK$45,$BN42)=0)-1,INDEX($AP$6:$AP$45,$BN42)&amp;IF(INDEX($AV$6:$AV$45,$BN42)="",""," · "&amp;INDEX($AV$6:$AV$45,$BN42)),""))</f>
        <v/>
      </c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7" t="n"/>
      <c r="R42" s="18" t="n"/>
      <c r="S42" s="15" t="str">
        <f>IF($BQ42&lt;&gt;1,IF($BQ42&gt;1,"⚠ U 겹침",""),IF($BM42=INDEX($AI$6:$AI$45,$BP42)+INDEX($AK$6:$AK$45,$BP42)+(INDEX($AK$6:$AK$45,$BP42)=0)-1,INDEX($AP$6:$AP$45,$BP42)&amp;IF(INDEX($AV$6:$AV$45,$BP42)="",""," · "&amp;INDEX($AV$6:$AV$45,$BP42)),""))</f>
        <v/>
      </c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9" t="n">
        <v>6</v>
      </c>
      <c r="AI42" s="20" t="n"/>
      <c r="AJ42" s="21" t="n"/>
      <c r="AK42" s="20" t="n"/>
      <c r="AL42" s="21" t="n"/>
      <c r="AM42" s="22" t="n"/>
      <c r="AN42" s="21" t="n"/>
      <c r="AO42" s="21" t="n"/>
      <c r="AP42" s="23" t="n"/>
      <c r="AQ42" s="21" t="n"/>
      <c r="AR42" s="21" t="n"/>
      <c r="AS42" s="21" t="n"/>
      <c r="AT42" s="21" t="n"/>
      <c r="AU42" s="21" t="n"/>
      <c r="AV42" s="22" t="n"/>
      <c r="AW42" s="21" t="n"/>
      <c r="AX42" s="21" t="n"/>
      <c r="AY42" s="21" t="n"/>
      <c r="AZ42" s="21" t="n"/>
      <c r="BA42" s="21" t="n"/>
      <c r="BB42" s="21" t="n"/>
      <c r="BC42" s="22" t="n"/>
      <c r="BD42" s="21" t="n"/>
      <c r="BE42" s="21" t="n"/>
      <c r="BF42" s="22" t="n"/>
      <c r="BG42" s="21" t="n"/>
      <c r="BH42" s="21" t="n"/>
      <c r="BI42" s="21" t="n"/>
      <c r="BJ42" s="21" t="n"/>
      <c r="BK42" s="24" t="str">
        <f>IF(BF42="","",HYPERLINK("#'"&amp;BF42&amp;"'!A1","▶"))</f>
        <v/>
      </c>
      <c r="BM42">
        <f>B42</f>
        <v>6</v>
      </c>
      <c r="BN42">
        <f>SUMPRODUCT(ISNUMBER($AI$6:$AI$45)*($AI$6:$AI$45&lt;=$BM42)*($AI$6:$AI$45+($AK$6:$AK$45+($AK$6:$AK$45=0))-1&gt;=$BM42)*($AM$6:$AM$45&lt;&gt;"후면")*($AM$6:$AM$45&lt;&gt;"0U")*(ROW($AI$6:$AI$45)-5))</f>
        <v>11</v>
      </c>
      <c r="BO42">
        <f>SUMPRODUCT(ISNUMBER($AI$6:$AI$45)*($AI$6:$AI$45&lt;=$BM42)*($AI$6:$AI$45+($AK$6:$AK$45+($AK$6:$AK$45=0))-1&gt;=$BM42)*($AM$6:$AM$45&lt;&gt;"후면")*($AM$6:$AM$45&lt;&gt;"0U"))</f>
        <v>1</v>
      </c>
      <c r="BP42">
        <f>SUMPRODUCT(ISNUMBER($AI$6:$AI$45)*($AI$6:$AI$45&lt;=$BM42)*($AI$6:$AI$45+($AK$6:$AK$45+($AK$6:$AK$45=0))-1&gt;=$BM42)*($AM$6:$AM$45&lt;&gt;"전면")*($AM$6:$AM$45&lt;&gt;"0U")*(ROW($AI$6:$AI$45)-5))</f>
        <v>11</v>
      </c>
      <c r="BQ42">
        <f>SUMPRODUCT(ISNUMBER($AI$6:$AI$45)*($AI$6:$AI$45&lt;=$BM42)*($AI$6:$AI$45+($AK$6:$AK$45+($AK$6:$AK$45=0))-1&gt;=$BM42)*($AM$6:$AM$45&lt;&gt;"전면")*($AM$6:$AM$45&lt;&gt;"0U"))</f>
        <v>1</v>
      </c>
    </row>
    <row r="43" ht="10" customHeight="1">
      <c r="B43" s="14" t="n">
        <v>5</v>
      </c>
      <c r="C43" s="15" t="str">
        <f>IF($BO43&lt;&gt;1,IF($BO43&gt;1,"⚠ U 겹침",""),IF($BM43=INDEX($AI$6:$AI$45,$BN43)+INDEX($AK$6:$AK$45,$BN43)+(INDEX($AK$6:$AK$45,$BN43)=0)-1,INDEX($AP$6:$AP$45,$BN43)&amp;IF(INDEX($AV$6:$AV$45,$BN43)="",""," · "&amp;INDEX($AV$6:$AV$45,$BN43)),""))</f>
        <v/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7" t="n"/>
      <c r="R43" s="18" t="n"/>
      <c r="S43" s="15" t="str">
        <f>IF($BQ43&lt;&gt;1,IF($BQ43&gt;1,"⚠ U 겹침",""),IF($BM43=INDEX($AI$6:$AI$45,$BP43)+INDEX($AK$6:$AK$45,$BP43)+(INDEX($AK$6:$AK$45,$BP43)=0)-1,INDEX($AP$6:$AP$45,$BP43)&amp;IF(INDEX($AV$6:$AV$45,$BP43)="",""," · "&amp;INDEX($AV$6:$AV$45,$BP43)),""))</f>
        <v/>
      </c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9" t="n">
        <v>5</v>
      </c>
      <c r="AI43" s="20" t="n"/>
      <c r="AJ43" s="21" t="n"/>
      <c r="AK43" s="20" t="n"/>
      <c r="AL43" s="21" t="n"/>
      <c r="AM43" s="22" t="n"/>
      <c r="AN43" s="21" t="n"/>
      <c r="AO43" s="21" t="n"/>
      <c r="AP43" s="23" t="n"/>
      <c r="AQ43" s="21" t="n"/>
      <c r="AR43" s="21" t="n"/>
      <c r="AS43" s="21" t="n"/>
      <c r="AT43" s="21" t="n"/>
      <c r="AU43" s="21" t="n"/>
      <c r="AV43" s="22" t="n"/>
      <c r="AW43" s="21" t="n"/>
      <c r="AX43" s="21" t="n"/>
      <c r="AY43" s="21" t="n"/>
      <c r="AZ43" s="21" t="n"/>
      <c r="BA43" s="21" t="n"/>
      <c r="BB43" s="21" t="n"/>
      <c r="BC43" s="22" t="n"/>
      <c r="BD43" s="21" t="n"/>
      <c r="BE43" s="21" t="n"/>
      <c r="BF43" s="22" t="n"/>
      <c r="BG43" s="21" t="n"/>
      <c r="BH43" s="21" t="n"/>
      <c r="BI43" s="21" t="n"/>
      <c r="BJ43" s="21" t="n"/>
      <c r="BK43" s="24" t="str">
        <f>IF(BF43="","",HYPERLINK("#'"&amp;BF43&amp;"'!A1","▶"))</f>
        <v/>
      </c>
      <c r="BM43">
        <f>B43</f>
        <v>5</v>
      </c>
      <c r="BN43">
        <f>SUMPRODUCT(ISNUMBER($AI$6:$AI$45)*($AI$6:$AI$45&lt;=$BM43)*($AI$6:$AI$45+($AK$6:$AK$45+($AK$6:$AK$45=0))-1&gt;=$BM43)*($AM$6:$AM$45&lt;&gt;"후면")*($AM$6:$AM$45&lt;&gt;"0U")*(ROW($AI$6:$AI$45)-5))</f>
        <v>11</v>
      </c>
      <c r="BO43">
        <f>SUMPRODUCT(ISNUMBER($AI$6:$AI$45)*($AI$6:$AI$45&lt;=$BM43)*($AI$6:$AI$45+($AK$6:$AK$45+($AK$6:$AK$45=0))-1&gt;=$BM43)*($AM$6:$AM$45&lt;&gt;"후면")*($AM$6:$AM$45&lt;&gt;"0U"))</f>
        <v>1</v>
      </c>
      <c r="BP43">
        <f>SUMPRODUCT(ISNUMBER($AI$6:$AI$45)*($AI$6:$AI$45&lt;=$BM43)*($AI$6:$AI$45+($AK$6:$AK$45+($AK$6:$AK$45=0))-1&gt;=$BM43)*($AM$6:$AM$45&lt;&gt;"전면")*($AM$6:$AM$45&lt;&gt;"0U")*(ROW($AI$6:$AI$45)-5))</f>
        <v>11</v>
      </c>
      <c r="BQ43">
        <f>SUMPRODUCT(ISNUMBER($AI$6:$AI$45)*($AI$6:$AI$45&lt;=$BM43)*($AI$6:$AI$45+($AK$6:$AK$45+($AK$6:$AK$45=0))-1&gt;=$BM43)*($AM$6:$AM$45&lt;&gt;"전면")*($AM$6:$AM$45&lt;&gt;"0U"))</f>
        <v>1</v>
      </c>
    </row>
    <row r="44" ht="10" customHeight="1">
      <c r="B44" s="14" t="n">
        <v>4</v>
      </c>
      <c r="C44" s="15" t="str">
        <f>IF($BO44&lt;&gt;1,IF($BO44&gt;1,"⚠ U 겹침",""),IF($BM44=INDEX($AI$6:$AI$45,$BN44)+INDEX($AK$6:$AK$45,$BN44)+(INDEX($AK$6:$AK$45,$BN44)=0)-1,INDEX($AP$6:$AP$45,$BN44)&amp;IF(INDEX($AV$6:$AV$45,$BN44)="",""," · "&amp;INDEX($AV$6:$AV$45,$BN44)),""))</f>
        <v/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7" t="n"/>
      <c r="R44" s="18" t="n"/>
      <c r="S44" s="15" t="str">
        <f>IF($BQ44&lt;&gt;1,IF($BQ44&gt;1,"⚠ U 겹침",""),IF($BM44=INDEX($AI$6:$AI$45,$BP44)+INDEX($AK$6:$AK$45,$BP44)+(INDEX($AK$6:$AK$45,$BP44)=0)-1,INDEX($AP$6:$AP$45,$BP44)&amp;IF(INDEX($AV$6:$AV$45,$BP44)="",""," · "&amp;INDEX($AV$6:$AV$45,$BP44)),""))</f>
        <v/>
      </c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9" t="n">
        <v>4</v>
      </c>
      <c r="AI44" s="20" t="n"/>
      <c r="AJ44" s="21" t="n"/>
      <c r="AK44" s="20" t="n"/>
      <c r="AL44" s="21" t="n"/>
      <c r="AM44" s="22" t="n"/>
      <c r="AN44" s="21" t="n"/>
      <c r="AO44" s="21" t="n"/>
      <c r="AP44" s="23" t="n"/>
      <c r="AQ44" s="21" t="n"/>
      <c r="AR44" s="21" t="n"/>
      <c r="AS44" s="21" t="n"/>
      <c r="AT44" s="21" t="n"/>
      <c r="AU44" s="21" t="n"/>
      <c r="AV44" s="22" t="n"/>
      <c r="AW44" s="21" t="n"/>
      <c r="AX44" s="21" t="n"/>
      <c r="AY44" s="21" t="n"/>
      <c r="AZ44" s="21" t="n"/>
      <c r="BA44" s="21" t="n"/>
      <c r="BB44" s="21" t="n"/>
      <c r="BC44" s="22" t="n"/>
      <c r="BD44" s="21" t="n"/>
      <c r="BE44" s="21" t="n"/>
      <c r="BF44" s="22" t="n"/>
      <c r="BG44" s="21" t="n"/>
      <c r="BH44" s="21" t="n"/>
      <c r="BI44" s="21" t="n"/>
      <c r="BJ44" s="21" t="n"/>
      <c r="BK44" s="24" t="str">
        <f>IF(BF44="","",HYPERLINK("#'"&amp;BF44&amp;"'!A1","▶"))</f>
        <v/>
      </c>
      <c r="BM44">
        <f>B44</f>
        <v>4</v>
      </c>
      <c r="BN44">
        <f>SUMPRODUCT(ISNUMBER($AI$6:$AI$45)*($AI$6:$AI$45&lt;=$BM44)*($AI$6:$AI$45+($AK$6:$AK$45+($AK$6:$AK$45=0))-1&gt;=$BM44)*($AM$6:$AM$45&lt;&gt;"후면")*($AM$6:$AM$45&lt;&gt;"0U")*(ROW($AI$6:$AI$45)-5))</f>
        <v>11</v>
      </c>
      <c r="BO44">
        <f>SUMPRODUCT(ISNUMBER($AI$6:$AI$45)*($AI$6:$AI$45&lt;=$BM44)*($AI$6:$AI$45+($AK$6:$AK$45+($AK$6:$AK$45=0))-1&gt;=$BM44)*($AM$6:$AM$45&lt;&gt;"후면")*($AM$6:$AM$45&lt;&gt;"0U"))</f>
        <v>1</v>
      </c>
      <c r="BP44">
        <f>SUMPRODUCT(ISNUMBER($AI$6:$AI$45)*($AI$6:$AI$45&lt;=$BM44)*($AI$6:$AI$45+($AK$6:$AK$45+($AK$6:$AK$45=0))-1&gt;=$BM44)*($AM$6:$AM$45&lt;&gt;"전면")*($AM$6:$AM$45&lt;&gt;"0U")*(ROW($AI$6:$AI$45)-5))</f>
        <v>11</v>
      </c>
      <c r="BQ44">
        <f>SUMPRODUCT(ISNUMBER($AI$6:$AI$45)*($AI$6:$AI$45&lt;=$BM44)*($AI$6:$AI$45+($AK$6:$AK$45+($AK$6:$AK$45=0))-1&gt;=$BM44)*($AM$6:$AM$45&lt;&gt;"전면")*($AM$6:$AM$45&lt;&gt;"0U"))</f>
        <v>1</v>
      </c>
    </row>
    <row r="45" ht="10" customHeight="1">
      <c r="B45" s="14" t="n">
        <v>3</v>
      </c>
      <c r="C45" s="15" t="str">
        <f>IF($BO45&lt;&gt;1,IF($BO45&gt;1,"⚠ U 겹침",""),IF($BM45=INDEX($AI$6:$AI$45,$BN45)+INDEX($AK$6:$AK$45,$BN45)+(INDEX($AK$6:$AK$45,$BN45)=0)-1,INDEX($AP$6:$AP$45,$BN45)&amp;IF(INDEX($AV$6:$AV$45,$BN45)="",""," · "&amp;INDEX($AV$6:$AV$45,$BN45)),""))</f>
        <v/>
      </c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7" t="n"/>
      <c r="R45" s="18" t="n"/>
      <c r="S45" s="15" t="str">
        <f>IF($BQ45&lt;&gt;1,IF($BQ45&gt;1,"⚠ U 겹침",""),IF($BM45=INDEX($AI$6:$AI$45,$BP45)+INDEX($AK$6:$AK$45,$BP45)+(INDEX($AK$6:$AK$45,$BP45)=0)-1,INDEX($AP$6:$AP$45,$BP45)&amp;IF(INDEX($AV$6:$AV$45,$BP45)="",""," · "&amp;INDEX($AV$6:$AV$45,$BP45)),""))</f>
        <v/>
      </c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9" t="n">
        <v>3</v>
      </c>
      <c r="AI45" s="20" t="n"/>
      <c r="AJ45" s="21" t="n"/>
      <c r="AK45" s="20" t="n"/>
      <c r="AL45" s="21" t="n"/>
      <c r="AM45" s="22" t="n"/>
      <c r="AN45" s="21" t="n"/>
      <c r="AO45" s="21" t="n"/>
      <c r="AP45" s="23" t="n"/>
      <c r="AQ45" s="21" t="n"/>
      <c r="AR45" s="21" t="n"/>
      <c r="AS45" s="21" t="n"/>
      <c r="AT45" s="21" t="n"/>
      <c r="AU45" s="21" t="n"/>
      <c r="AV45" s="22" t="n"/>
      <c r="AW45" s="21" t="n"/>
      <c r="AX45" s="21" t="n"/>
      <c r="AY45" s="21" t="n"/>
      <c r="AZ45" s="21" t="n"/>
      <c r="BA45" s="21" t="n"/>
      <c r="BB45" s="21" t="n"/>
      <c r="BC45" s="22" t="n"/>
      <c r="BD45" s="21" t="n"/>
      <c r="BE45" s="21" t="n"/>
      <c r="BF45" s="22" t="n"/>
      <c r="BG45" s="21" t="n"/>
      <c r="BH45" s="21" t="n"/>
      <c r="BI45" s="21" t="n"/>
      <c r="BJ45" s="21" t="n"/>
      <c r="BK45" s="24" t="str">
        <f>IF(BF45="","",HYPERLINK("#'"&amp;BF45&amp;"'!A1","▶"))</f>
        <v/>
      </c>
      <c r="BM45">
        <f>B45</f>
        <v>3</v>
      </c>
      <c r="BN45">
        <f>SUMPRODUCT(ISNUMBER($AI$6:$AI$45)*($AI$6:$AI$45&lt;=$BM45)*($AI$6:$AI$45+($AK$6:$AK$45+($AK$6:$AK$45=0))-1&gt;=$BM45)*($AM$6:$AM$45&lt;&gt;"후면")*($AM$6:$AM$45&lt;&gt;"0U")*(ROW($AI$6:$AI$45)-5))</f>
        <v>11</v>
      </c>
      <c r="BO45">
        <f>SUMPRODUCT(ISNUMBER($AI$6:$AI$45)*($AI$6:$AI$45&lt;=$BM45)*($AI$6:$AI$45+($AK$6:$AK$45+($AK$6:$AK$45=0))-1&gt;=$BM45)*($AM$6:$AM$45&lt;&gt;"후면")*($AM$6:$AM$45&lt;&gt;"0U"))</f>
        <v>1</v>
      </c>
      <c r="BP45">
        <f>SUMPRODUCT(ISNUMBER($AI$6:$AI$45)*($AI$6:$AI$45&lt;=$BM45)*($AI$6:$AI$45+($AK$6:$AK$45+($AK$6:$AK$45=0))-1&gt;=$BM45)*($AM$6:$AM$45&lt;&gt;"전면")*($AM$6:$AM$45&lt;&gt;"0U")*(ROW($AI$6:$AI$45)-5))</f>
        <v>11</v>
      </c>
      <c r="BQ45">
        <f>SUMPRODUCT(ISNUMBER($AI$6:$AI$45)*($AI$6:$AI$45&lt;=$BM45)*($AI$6:$AI$45+($AK$6:$AK$45+($AK$6:$AK$45=0))-1&gt;=$BM45)*($AM$6:$AM$45&lt;&gt;"전면")*($AM$6:$AM$45&lt;&gt;"0U"))</f>
        <v>1</v>
      </c>
    </row>
    <row r="46" ht="10" customHeight="1">
      <c r="B46" s="14" t="n">
        <v>2</v>
      </c>
      <c r="C46" s="15" t="str">
        <f>IF($BO46&lt;&gt;1,IF($BO46&gt;1,"⚠ U 겹침",""),IF($BM46=INDEX($AI$6:$AI$45,$BN46)+INDEX($AK$6:$AK$45,$BN46)+(INDEX($AK$6:$AK$45,$BN46)=0)-1,INDEX($AP$6:$AP$45,$BN46)&amp;IF(INDEX($AV$6:$AV$45,$BN46)="",""," · "&amp;INDEX($AV$6:$AV$45,$BN46)),""))</f>
        <v/>
      </c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7" t="n"/>
      <c r="R46" s="18" t="n"/>
      <c r="S46" s="15" t="str">
        <f>IF($BQ46&lt;&gt;1,IF($BQ46&gt;1,"⚠ U 겹침",""),IF($BM46=INDEX($AI$6:$AI$45,$BP46)+INDEX($AK$6:$AK$45,$BP46)+(INDEX($AK$6:$AK$45,$BP46)=0)-1,INDEX($AP$6:$AP$45,$BP46)&amp;IF(INDEX($AV$6:$AV$45,$BP46)="",""," · "&amp;INDEX($AV$6:$AV$45,$BP46)),""))</f>
        <v/>
      </c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9" t="n">
        <v>2</v>
      </c>
      <c r="BM46">
        <f>B46</f>
        <v>2</v>
      </c>
      <c r="BN46">
        <f>SUMPRODUCT(ISNUMBER($AI$6:$AI$45)*($AI$6:$AI$45&lt;=$BM46)*($AI$6:$AI$45+($AK$6:$AK$45+($AK$6:$AK$45=0))-1&gt;=$BM46)*($AM$6:$AM$45&lt;&gt;"후면")*($AM$6:$AM$45&lt;&gt;"0U")*(ROW($AI$6:$AI$45)-5))</f>
        <v>11</v>
      </c>
      <c r="BO46">
        <f>SUMPRODUCT(ISNUMBER($AI$6:$AI$45)*($AI$6:$AI$45&lt;=$BM46)*($AI$6:$AI$45+($AK$6:$AK$45+($AK$6:$AK$45=0))-1&gt;=$BM46)*($AM$6:$AM$45&lt;&gt;"후면")*($AM$6:$AM$45&lt;&gt;"0U"))</f>
        <v>1</v>
      </c>
      <c r="BP46">
        <f>SUMPRODUCT(ISNUMBER($AI$6:$AI$45)*($AI$6:$AI$45&lt;=$BM46)*($AI$6:$AI$45+($AK$6:$AK$45+($AK$6:$AK$45=0))-1&gt;=$BM46)*($AM$6:$AM$45&lt;&gt;"전면")*($AM$6:$AM$45&lt;&gt;"0U")*(ROW($AI$6:$AI$45)-5))</f>
        <v>11</v>
      </c>
      <c r="BQ46">
        <f>SUMPRODUCT(ISNUMBER($AI$6:$AI$45)*($AI$6:$AI$45&lt;=$BM46)*($AI$6:$AI$45+($AK$6:$AK$45+($AK$6:$AK$45=0))-1&gt;=$BM46)*($AM$6:$AM$45&lt;&gt;"전면")*($AM$6:$AM$45&lt;&gt;"0U"))</f>
        <v>1</v>
      </c>
    </row>
    <row r="47" ht="10" customHeight="1">
      <c r="B47" s="14" t="n">
        <v>1</v>
      </c>
      <c r="C47" s="15" t="str">
        <f>IF($BO47&lt;&gt;1,IF($BO47&gt;1,"⚠ U 겹침",""),IF($BM47=INDEX($AI$6:$AI$45,$BN47)+INDEX($AK$6:$AK$45,$BN47)+(INDEX($AK$6:$AK$45,$BN47)=0)-1,INDEX($AP$6:$AP$45,$BN47)&amp;IF(INDEX($AV$6:$AV$45,$BN47)="",""," · "&amp;INDEX($AV$6:$AV$45,$BN47)),""))</f>
        <v/>
      </c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7" t="n"/>
      <c r="R47" s="18" t="n"/>
      <c r="S47" s="15" t="str">
        <f>IF($BQ47&lt;&gt;1,IF($BQ47&gt;1,"⚠ U 겹침",""),IF($BM47=INDEX($AI$6:$AI$45,$BP47)+INDEX($AK$6:$AK$45,$BP47)+(INDEX($AK$6:$AK$45,$BP47)=0)-1,INDEX($AP$6:$AP$45,$BP47)&amp;IF(INDEX($AV$6:$AV$45,$BP47)="",""," · "&amp;INDEX($AV$6:$AV$45,$BP47)),""))</f>
        <v/>
      </c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9" t="n">
        <v>1</v>
      </c>
      <c r="BM47">
        <f>B47</f>
        <v>1</v>
      </c>
      <c r="BN47">
        <f>SUMPRODUCT(ISNUMBER($AI$6:$AI$45)*($AI$6:$AI$45&lt;=$BM47)*($AI$6:$AI$45+($AK$6:$AK$45+($AK$6:$AK$45=0))-1&gt;=$BM47)*($AM$6:$AM$45&lt;&gt;"후면")*($AM$6:$AM$45&lt;&gt;"0U")*(ROW($AI$6:$AI$45)-5))</f>
        <v>11</v>
      </c>
      <c r="BO47">
        <f>SUMPRODUCT(ISNUMBER($AI$6:$AI$45)*($AI$6:$AI$45&lt;=$BM47)*($AI$6:$AI$45+($AK$6:$AK$45+($AK$6:$AK$45=0))-1&gt;=$BM47)*($AM$6:$AM$45&lt;&gt;"후면")*($AM$6:$AM$45&lt;&gt;"0U"))</f>
        <v>1</v>
      </c>
      <c r="BP47">
        <f>SUMPRODUCT(ISNUMBER($AI$6:$AI$45)*($AI$6:$AI$45&lt;=$BM47)*($AI$6:$AI$45+($AK$6:$AK$45+($AK$6:$AK$45=0))-1&gt;=$BM47)*($AM$6:$AM$45&lt;&gt;"전면")*($AM$6:$AM$45&lt;&gt;"0U")*(ROW($AI$6:$AI$45)-5))</f>
        <v>11</v>
      </c>
      <c r="BQ47">
        <f>SUMPRODUCT(ISNUMBER($AI$6:$AI$45)*($AI$6:$AI$45&lt;=$BM47)*($AI$6:$AI$45+($AK$6:$AK$45+($AK$6:$AK$45=0))-1&gt;=$BM47)*($AM$6:$AM$45&lt;&gt;"전면")*($AM$6:$AM$45&lt;&gt;"0U"))</f>
        <v>1</v>
      </c>
    </row>
    <row r="48" ht="6" customHeight="1"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</row>
    <row r="49" ht="14" customHeight="1">
      <c r="B49" s="5" t="inlineStr">
        <is>
          <t>전면 사용</t>
        </is>
      </c>
      <c r="F49" s="26" t="str">
        <f>SUMPRODUCT(ISNUMBER($AI$6:$AI$45)*($AM$6:$AM$45&lt;&gt;"후면")*($AM$6:$AM$45&lt;&gt;"0U")*($AK$6:$AK$45+($AK$6:$AK$45=0)))&amp;" U / 42 U"</f>
        <v>23 U / 42 U</v>
      </c>
      <c r="M49" s="5" t="inlineStr">
        <is>
          <t>장비</t>
        </is>
      </c>
      <c r="O49" s="26" t="str">
        <f>COUNTA($AP$6:$AP$45)&amp;" 대"</f>
        <v>13 대</v>
      </c>
      <c r="U49" s="27" t="n"/>
      <c r="V49" s="28" t="inlineStr">
        <is>
          <t>서버</t>
        </is>
      </c>
      <c r="Y49" s="29" t="n"/>
      <c r="Z49" s="28" t="inlineStr">
        <is>
          <t>네트워크</t>
        </is>
      </c>
      <c r="AD49" s="30" t="n"/>
      <c r="AE49" s="28" t="inlineStr">
        <is>
          <t>스토리지</t>
        </is>
      </c>
      <c r="AI49" s="31" t="n"/>
      <c r="AJ49" s="28" t="inlineStr">
        <is>
          <t>보안</t>
        </is>
      </c>
      <c r="AM49" s="32" t="n"/>
      <c r="AN49" s="28" t="inlineStr">
        <is>
          <t>전원</t>
        </is>
      </c>
      <c r="AQ49" s="33" t="n"/>
      <c r="AR49" s="28" t="inlineStr">
        <is>
          <t>기타</t>
        </is>
      </c>
    </row>
    <row r="50" ht="13" customHeight="1">
      <c r="B50" s="8" t="inlineStr">
        <is>
          <t>면: 양면 = 앞뒤 모두 차지(일반 서버) · 전면/후면 = 한쪽만 차지(짧은 장비) · 0U = 세로 PDU 등(실장도 제외)  ·  U = 장비 맨 아래 U  ·  높이 비우면 1U</t>
        </is>
      </c>
    </row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</sheetData>
  <mergeCells count="287">
    <mergeCell ref="AI13:AJ13"/>
    <mergeCell ref="BF26:BJ26"/>
    <mergeCell ref="BF41:BJ41"/>
    <mergeCell ref="AK42:AL42"/>
    <mergeCell ref="BF35:BJ35"/>
    <mergeCell ref="AM44:AO44"/>
    <mergeCell ref="AK7:AL7"/>
    <mergeCell ref="AV44:BB44"/>
    <mergeCell ref="BC37:BE37"/>
    <mergeCell ref="AV6:BB6"/>
    <mergeCell ref="BF7:BJ7"/>
    <mergeCell ref="AV37:BB37"/>
    <mergeCell ref="AV15:BB15"/>
    <mergeCell ref="BC21:BE21"/>
    <mergeCell ref="BC39:BE39"/>
    <mergeCell ref="AK43:AL43"/>
    <mergeCell ref="AK18:AL18"/>
    <mergeCell ref="BF27:BJ27"/>
    <mergeCell ref="AV45:BB45"/>
    <mergeCell ref="AM30:AO30"/>
    <mergeCell ref="AM45:AO45"/>
    <mergeCell ref="BF37:BJ37"/>
    <mergeCell ref="AK33:AL33"/>
    <mergeCell ref="BC23:BE23"/>
    <mergeCell ref="AV26:BB26"/>
    <mergeCell ref="BF24:BJ24"/>
    <mergeCell ref="AP27:AU27"/>
    <mergeCell ref="BF33:BJ33"/>
    <mergeCell ref="AV7:BB7"/>
    <mergeCell ref="BC13:BE13"/>
    <mergeCell ref="AI27:AJ27"/>
    <mergeCell ref="AM7:AO7"/>
    <mergeCell ref="AV16:BB16"/>
    <mergeCell ref="AI41:AJ41"/>
    <mergeCell ref="AM21:AO21"/>
    <mergeCell ref="BF8:BJ8"/>
    <mergeCell ref="AP17:AU17"/>
    <mergeCell ref="AI35:AJ35"/>
    <mergeCell ref="AK35:AL35"/>
    <mergeCell ref="AP25:AU25"/>
    <mergeCell ref="AI25:AJ25"/>
    <mergeCell ref="AM27:AO27"/>
    <mergeCell ref="AK34:AL34"/>
    <mergeCell ref="AV18:BB18"/>
    <mergeCell ref="AK16:AL16"/>
    <mergeCell ref="AM36:AO36"/>
    <mergeCell ref="BF25:BJ25"/>
    <mergeCell ref="AV8:BB8"/>
    <mergeCell ref="AM8:AO8"/>
    <mergeCell ref="AV42:BB42"/>
    <mergeCell ref="BF9:BJ9"/>
    <mergeCell ref="BC40:BE40"/>
    <mergeCell ref="AV43:BB43"/>
    <mergeCell ref="BF30:BJ30"/>
    <mergeCell ref="BF39:BJ39"/>
    <mergeCell ref="BC27:BE27"/>
    <mergeCell ref="AM22:AO22"/>
    <mergeCell ref="AP9:AU9"/>
    <mergeCell ref="BC36:BE36"/>
    <mergeCell ref="AP5:AU5"/>
    <mergeCell ref="AP39:AU39"/>
    <mergeCell ref="BF11:BJ11"/>
    <mergeCell ref="AI5:AJ5"/>
    <mergeCell ref="AV19:BB19"/>
    <mergeCell ref="AV34:BB34"/>
    <mergeCell ref="AI39:AJ39"/>
    <mergeCell ref="AV28:BB28"/>
    <mergeCell ref="AM34:AO34"/>
    <mergeCell ref="AP29:AU29"/>
    <mergeCell ref="AP38:AU38"/>
    <mergeCell ref="AV9:BB9"/>
    <mergeCell ref="AI29:AJ29"/>
    <mergeCell ref="BF31:BJ31"/>
    <mergeCell ref="AM9:AO9"/>
    <mergeCell ref="AM5:AO5"/>
    <mergeCell ref="AI38:AJ38"/>
    <mergeCell ref="BF40:BJ40"/>
    <mergeCell ref="BC22:BE22"/>
    <mergeCell ref="AV36:BB36"/>
    <mergeCell ref="AP44:AU44"/>
    <mergeCell ref="AV30:BB30"/>
    <mergeCell ref="AP31:AU31"/>
    <mergeCell ref="AK13:AL13"/>
    <mergeCell ref="AV5:BB5"/>
    <mergeCell ref="AV20:BB20"/>
    <mergeCell ref="AK9:AL9"/>
    <mergeCell ref="BC12:BE12"/>
    <mergeCell ref="AM11:AO11"/>
    <mergeCell ref="AM20:AO20"/>
    <mergeCell ref="BF13:BJ13"/>
    <mergeCell ref="AI40:AJ40"/>
    <mergeCell ref="AP15:AU15"/>
    <mergeCell ref="AP40:AU40"/>
    <mergeCell ref="AK32:AL32"/>
    <mergeCell ref="AI15:AJ15"/>
    <mergeCell ref="AK15:AL15"/>
    <mergeCell ref="BC5:BE5"/>
    <mergeCell ref="AI24:AJ24"/>
    <mergeCell ref="AM35:AO35"/>
    <mergeCell ref="AK24:AL24"/>
    <mergeCell ref="BC14:BE14"/>
    <mergeCell ref="AM31:AO31"/>
    <mergeCell ref="AK38:AL38"/>
    <mergeCell ref="AV31:BB31"/>
    <mergeCell ref="BC29:BE29"/>
    <mergeCell ref="AK21:AL21"/>
    <mergeCell ref="AM12:AO12"/>
    <mergeCell ref="AI26:AJ26"/>
    <mergeCell ref="BC38:BE38"/>
    <mergeCell ref="AP7:AU7"/>
    <mergeCell ref="AK26:AL26"/>
    <mergeCell ref="AP16:AU16"/>
    <mergeCell ref="AI7:AJ7"/>
    <mergeCell ref="AI16:AJ16"/>
    <mergeCell ref="AK10:AL10"/>
    <mergeCell ref="BC31:BE31"/>
    <mergeCell ref="AM32:AO32"/>
    <mergeCell ref="BF23:BJ23"/>
    <mergeCell ref="AK41:AL41"/>
    <mergeCell ref="AM26:AO26"/>
    <mergeCell ref="AM41:AO41"/>
    <mergeCell ref="AP18:AU18"/>
    <mergeCell ref="BF38:BJ38"/>
    <mergeCell ref="AV38:BB38"/>
    <mergeCell ref="AI18:AJ18"/>
    <mergeCell ref="AI43:AJ43"/>
    <mergeCell ref="AM38:AO38"/>
    <mergeCell ref="BF43:BJ43"/>
    <mergeCell ref="BF34:BJ34"/>
    <mergeCell ref="AP42:AU42"/>
    <mergeCell ref="AK37:AL37"/>
    <mergeCell ref="AI33:AJ33"/>
    <mergeCell ref="BC32:BE32"/>
    <mergeCell ref="AI42:AJ42"/>
    <mergeCell ref="AK36:AL36"/>
    <mergeCell ref="BC26:BE26"/>
    <mergeCell ref="BC41:BE41"/>
    <mergeCell ref="BF5:BJ5"/>
    <mergeCell ref="BF20:BJ20"/>
    <mergeCell ref="AM40:AO40"/>
    <mergeCell ref="AP35:AU35"/>
    <mergeCell ref="AV10:BB10"/>
    <mergeCell ref="BC7:BE7"/>
    <mergeCell ref="AV24:BB24"/>
    <mergeCell ref="BC16:BE16"/>
    <mergeCell ref="AM24:AO24"/>
    <mergeCell ref="AV33:BB33"/>
    <mergeCell ref="BF17:BJ17"/>
    <mergeCell ref="AP20:AU20"/>
    <mergeCell ref="BC25:BE25"/>
    <mergeCell ref="AI44:AJ44"/>
    <mergeCell ref="BF22:BJ22"/>
    <mergeCell ref="AI34:AJ34"/>
    <mergeCell ref="AK19:AL19"/>
    <mergeCell ref="AI28:AJ28"/>
    <mergeCell ref="AK28:AL28"/>
    <mergeCell ref="BC18:BE18"/>
    <mergeCell ref="AM39:AO39"/>
    <mergeCell ref="BF6:BJ6"/>
    <mergeCell ref="BF19:BJ19"/>
    <mergeCell ref="AP22:AU22"/>
    <mergeCell ref="BF28:BJ28"/>
    <mergeCell ref="AP30:AU30"/>
    <mergeCell ref="AK12:AL12"/>
    <mergeCell ref="AP6:AU6"/>
    <mergeCell ref="AI30:AJ30"/>
    <mergeCell ref="AK30:AL30"/>
    <mergeCell ref="BF12:BJ12"/>
    <mergeCell ref="AK39:AL39"/>
    <mergeCell ref="AI6:AJ6"/>
    <mergeCell ref="BC43:BE43"/>
    <mergeCell ref="AI11:AJ11"/>
    <mergeCell ref="AK14:AL14"/>
    <mergeCell ref="BF45:BJ45"/>
    <mergeCell ref="BF32:BJ32"/>
    <mergeCell ref="AV35:BB35"/>
    <mergeCell ref="BF14:BJ14"/>
    <mergeCell ref="BC42:BE42"/>
    <mergeCell ref="AM6:AO6"/>
    <mergeCell ref="BC20:BE20"/>
    <mergeCell ref="AV22:BB22"/>
    <mergeCell ref="BC34:BE34"/>
    <mergeCell ref="AM15:AO15"/>
    <mergeCell ref="BC28:BE28"/>
    <mergeCell ref="BF29:BJ29"/>
    <mergeCell ref="AP32:AU32"/>
    <mergeCell ref="AM37:AO37"/>
    <mergeCell ref="AP41:AU41"/>
    <mergeCell ref="AV12:BB12"/>
    <mergeCell ref="AI32:AJ32"/>
    <mergeCell ref="BC44:BE44"/>
    <mergeCell ref="AP13:AU13"/>
    <mergeCell ref="AV21:BB21"/>
    <mergeCell ref="AV39:BB39"/>
    <mergeCell ref="BF15:BJ15"/>
    <mergeCell ref="AK40:AL40"/>
    <mergeCell ref="BC6:BE6"/>
    <mergeCell ref="AM42:AO42"/>
    <mergeCell ref="AP43:AU43"/>
    <mergeCell ref="AV14:BB14"/>
    <mergeCell ref="BC15:BE15"/>
    <mergeCell ref="AV29:BB29"/>
    <mergeCell ref="AM14:AO14"/>
    <mergeCell ref="AV23:BB23"/>
    <mergeCell ref="AM29:AO29"/>
    <mergeCell ref="AM23:AO23"/>
    <mergeCell ref="BF21:BJ21"/>
    <mergeCell ref="AP24:AU24"/>
    <mergeCell ref="AP33:AU33"/>
    <mergeCell ref="AV13:BB13"/>
    <mergeCell ref="BC30:BE30"/>
    <mergeCell ref="AM13:AO13"/>
    <mergeCell ref="AP8:AU8"/>
    <mergeCell ref="AK27:AL27"/>
    <mergeCell ref="AM43:AO43"/>
    <mergeCell ref="BF10:BJ10"/>
    <mergeCell ref="AI8:AJ8"/>
    <mergeCell ref="AP26:AU26"/>
    <mergeCell ref="BC45:BE45"/>
    <mergeCell ref="AI17:AJ17"/>
    <mergeCell ref="AK17:AL17"/>
    <mergeCell ref="AV40:BB40"/>
    <mergeCell ref="AP10:AU10"/>
    <mergeCell ref="BF16:BJ16"/>
    <mergeCell ref="AP19:AU19"/>
    <mergeCell ref="AI10:AJ10"/>
    <mergeCell ref="AI19:AJ19"/>
    <mergeCell ref="AP34:AU34"/>
    <mergeCell ref="BF36:BJ36"/>
    <mergeCell ref="AI9:AJ9"/>
    <mergeCell ref="BF18:BJ18"/>
    <mergeCell ref="AV32:BB32"/>
    <mergeCell ref="AM10:AO10"/>
    <mergeCell ref="BC24:BE24"/>
    <mergeCell ref="AV41:BB41"/>
    <mergeCell ref="BC33:BE33"/>
    <mergeCell ref="AK25:AL25"/>
    <mergeCell ref="AP36:AU36"/>
    <mergeCell ref="AP11:AU11"/>
    <mergeCell ref="BC8:BE8"/>
    <mergeCell ref="AP45:AU45"/>
    <mergeCell ref="BC17:BE17"/>
    <mergeCell ref="AI36:AJ36"/>
    <mergeCell ref="AM16:AO16"/>
    <mergeCell ref="AK5:AL5"/>
    <mergeCell ref="AV25:BB25"/>
    <mergeCell ref="AI45:AJ45"/>
    <mergeCell ref="AM25:AO25"/>
    <mergeCell ref="AK45:AL45"/>
    <mergeCell ref="BC35:BE35"/>
    <mergeCell ref="AI20:AJ20"/>
    <mergeCell ref="AK20:AL20"/>
    <mergeCell ref="BC10:BE10"/>
    <mergeCell ref="AV27:BB27"/>
    <mergeCell ref="BC19:BE19"/>
    <mergeCell ref="AK11:AL11"/>
    <mergeCell ref="AM18:AO18"/>
    <mergeCell ref="AK29:AL29"/>
    <mergeCell ref="AM33:AO33"/>
    <mergeCell ref="BF42:BJ42"/>
    <mergeCell ref="AP28:AU28"/>
    <mergeCell ref="AP37:AU37"/>
    <mergeCell ref="AV17:BB17"/>
    <mergeCell ref="BC9:BE9"/>
    <mergeCell ref="AI22:AJ22"/>
    <mergeCell ref="AV11:BB11"/>
    <mergeCell ref="AM17:AO17"/>
    <mergeCell ref="AK22:AL22"/>
    <mergeCell ref="AI31:AJ31"/>
    <mergeCell ref="AP12:AU12"/>
    <mergeCell ref="AK31:AL31"/>
    <mergeCell ref="AI37:AJ37"/>
    <mergeCell ref="AK44:AL44"/>
    <mergeCell ref="AP21:AU21"/>
    <mergeCell ref="BF44:BJ44"/>
    <mergeCell ref="AI12:AJ12"/>
    <mergeCell ref="AK6:AL6"/>
    <mergeCell ref="AI21:AJ21"/>
    <mergeCell ref="BC11:BE11"/>
    <mergeCell ref="AM19:AO19"/>
    <mergeCell ref="AK8:AL8"/>
    <mergeCell ref="AP14:AU14"/>
    <mergeCell ref="AM28:AO28"/>
    <mergeCell ref="AP23:AU23"/>
    <mergeCell ref="AI14:AJ14"/>
    <mergeCell ref="AI23:AJ23"/>
    <mergeCell ref="AK23:AL23"/>
  </mergeCells>
  <conditionalFormatting sqref="C6:O47">
    <cfRule type="expression" priority="1" dxfId="0" stopIfTrue="1">
      <formula>$BO6&gt;1</formula>
    </cfRule>
    <cfRule type="expression" priority="2" dxfId="1" stopIfTrue="1">
      <formula>AND($BO6=1,$BM6=INDEX($AI$6:$AI$45,MAX(1,$BN6))+INDEX($AK$6:$AK$45,MAX(1,$BN6))+(INDEX($AK$6:$AK$45,MAX(1,$BN6))=0)-1,INDEX($BC$6:$BC$45,MAX(1,$BN6))="서버")</formula>
    </cfRule>
    <cfRule type="expression" priority="3" dxfId="2" stopIfTrue="1">
      <formula>AND($BO6=1,$BM6=INDEX($AI$6:$AI$45,MAX(1,$BN6))+INDEX($AK$6:$AK$45,MAX(1,$BN6))+(INDEX($AK$6:$AK$45,MAX(1,$BN6))=0)-1,INDEX($BC$6:$BC$45,MAX(1,$BN6))="네트워크")</formula>
    </cfRule>
    <cfRule type="expression" priority="4" dxfId="3" stopIfTrue="1">
      <formula>AND($BO6=1,$BM6=INDEX($AI$6:$AI$45,MAX(1,$BN6))+INDEX($AK$6:$AK$45,MAX(1,$BN6))+(INDEX($AK$6:$AK$45,MAX(1,$BN6))=0)-1,INDEX($BC$6:$BC$45,MAX(1,$BN6))="스토리지")</formula>
    </cfRule>
    <cfRule type="expression" priority="5" dxfId="4" stopIfTrue="1">
      <formula>AND($BO6=1,$BM6=INDEX($AI$6:$AI$45,MAX(1,$BN6))+INDEX($AK$6:$AK$45,MAX(1,$BN6))+(INDEX($AK$6:$AK$45,MAX(1,$BN6))=0)-1,INDEX($BC$6:$BC$45,MAX(1,$BN6))="보안")</formula>
    </cfRule>
    <cfRule type="expression" priority="6" dxfId="5" stopIfTrue="1">
      <formula>AND($BO6=1,$BM6=INDEX($AI$6:$AI$45,MAX(1,$BN6))+INDEX($AK$6:$AK$45,MAX(1,$BN6))+(INDEX($AK$6:$AK$45,MAX(1,$BN6))=0)-1,INDEX($BC$6:$BC$45,MAX(1,$BN6))="전원")</formula>
    </cfRule>
    <cfRule type="expression" priority="7" dxfId="6" stopIfTrue="1">
      <formula>AND($BO6=1,$BM6=INDEX($AI$6:$AI$45,MAX(1,$BN6))+INDEX($AK$6:$AK$45,MAX(1,$BN6))+(INDEX($AK$6:$AK$45,MAX(1,$BN6))=0)-1,INDEX($BC$6:$BC$45,MAX(1,$BN6))="기타")</formula>
    </cfRule>
    <cfRule type="expression" priority="8" dxfId="6" stopIfTrue="1">
      <formula>AND($BO6=1,$BM6=INDEX($AI$6:$AI$45,MAX(1,$BN6))+INDEX($AK$6:$AK$45,MAX(1,$BN6))+(INDEX($AK$6:$AK$45,MAX(1,$BN6))=0)-1,TRUE)</formula>
    </cfRule>
    <cfRule type="expression" priority="9" dxfId="7" stopIfTrue="1">
      <formula>AND($BO6=1,INDEX($BC$6:$BC$45,MAX(1,$BN6))="서버")</formula>
    </cfRule>
    <cfRule type="expression" priority="10" dxfId="8" stopIfTrue="1">
      <formula>AND($BO6=1,INDEX($BC$6:$BC$45,MAX(1,$BN6))="네트워크")</formula>
    </cfRule>
    <cfRule type="expression" priority="11" dxfId="9" stopIfTrue="1">
      <formula>AND($BO6=1,INDEX($BC$6:$BC$45,MAX(1,$BN6))="스토리지")</formula>
    </cfRule>
    <cfRule type="expression" priority="12" dxfId="10" stopIfTrue="1">
      <formula>AND($BO6=1,INDEX($BC$6:$BC$45,MAX(1,$BN6))="보안")</formula>
    </cfRule>
    <cfRule type="expression" priority="13" dxfId="11" stopIfTrue="1">
      <formula>AND($BO6=1,INDEX($BC$6:$BC$45,MAX(1,$BN6))="전원")</formula>
    </cfRule>
    <cfRule type="expression" priority="14" dxfId="12" stopIfTrue="1">
      <formula>AND($BO6=1,INDEX($BC$6:$BC$45,MAX(1,$BN6))="기타")</formula>
    </cfRule>
    <cfRule type="expression" priority="15" dxfId="12" stopIfTrue="1">
      <formula>AND($BO6=1,TRUE)</formula>
    </cfRule>
  </conditionalFormatting>
  <conditionalFormatting sqref="S6:AE47">
    <cfRule type="expression" priority="16" dxfId="0" stopIfTrue="1">
      <formula>$BQ6&gt;1</formula>
    </cfRule>
    <cfRule type="expression" priority="17" dxfId="1" stopIfTrue="1">
      <formula>AND($BQ6=1,$BM6=INDEX($AI$6:$AI$45,MAX(1,$BP6))+INDEX($AK$6:$AK$45,MAX(1,$BP6))+(INDEX($AK$6:$AK$45,MAX(1,$BP6))=0)-1,INDEX($BC$6:$BC$45,MAX(1,$BP6))="서버")</formula>
    </cfRule>
    <cfRule type="expression" priority="18" dxfId="2" stopIfTrue="1">
      <formula>AND($BQ6=1,$BM6=INDEX($AI$6:$AI$45,MAX(1,$BP6))+INDEX($AK$6:$AK$45,MAX(1,$BP6))+(INDEX($AK$6:$AK$45,MAX(1,$BP6))=0)-1,INDEX($BC$6:$BC$45,MAX(1,$BP6))="네트워크")</formula>
    </cfRule>
    <cfRule type="expression" priority="19" dxfId="3" stopIfTrue="1">
      <formula>AND($BQ6=1,$BM6=INDEX($AI$6:$AI$45,MAX(1,$BP6))+INDEX($AK$6:$AK$45,MAX(1,$BP6))+(INDEX($AK$6:$AK$45,MAX(1,$BP6))=0)-1,INDEX($BC$6:$BC$45,MAX(1,$BP6))="스토리지")</formula>
    </cfRule>
    <cfRule type="expression" priority="20" dxfId="4" stopIfTrue="1">
      <formula>AND($BQ6=1,$BM6=INDEX($AI$6:$AI$45,MAX(1,$BP6))+INDEX($AK$6:$AK$45,MAX(1,$BP6))+(INDEX($AK$6:$AK$45,MAX(1,$BP6))=0)-1,INDEX($BC$6:$BC$45,MAX(1,$BP6))="보안")</formula>
    </cfRule>
    <cfRule type="expression" priority="21" dxfId="5" stopIfTrue="1">
      <formula>AND($BQ6=1,$BM6=INDEX($AI$6:$AI$45,MAX(1,$BP6))+INDEX($AK$6:$AK$45,MAX(1,$BP6))+(INDEX($AK$6:$AK$45,MAX(1,$BP6))=0)-1,INDEX($BC$6:$BC$45,MAX(1,$BP6))="전원")</formula>
    </cfRule>
    <cfRule type="expression" priority="22" dxfId="6" stopIfTrue="1">
      <formula>AND($BQ6=1,$BM6=INDEX($AI$6:$AI$45,MAX(1,$BP6))+INDEX($AK$6:$AK$45,MAX(1,$BP6))+(INDEX($AK$6:$AK$45,MAX(1,$BP6))=0)-1,INDEX($BC$6:$BC$45,MAX(1,$BP6))="기타")</formula>
    </cfRule>
    <cfRule type="expression" priority="23" dxfId="6" stopIfTrue="1">
      <formula>AND($BQ6=1,$BM6=INDEX($AI$6:$AI$45,MAX(1,$BP6))+INDEX($AK$6:$AK$45,MAX(1,$BP6))+(INDEX($AK$6:$AK$45,MAX(1,$BP6))=0)-1,TRUE)</formula>
    </cfRule>
    <cfRule type="expression" priority="24" dxfId="7" stopIfTrue="1">
      <formula>AND($BQ6=1,INDEX($BC$6:$BC$45,MAX(1,$BP6))="서버")</formula>
    </cfRule>
    <cfRule type="expression" priority="25" dxfId="8" stopIfTrue="1">
      <formula>AND($BQ6=1,INDEX($BC$6:$BC$45,MAX(1,$BP6))="네트워크")</formula>
    </cfRule>
    <cfRule type="expression" priority="26" dxfId="9" stopIfTrue="1">
      <formula>AND($BQ6=1,INDEX($BC$6:$BC$45,MAX(1,$BP6))="스토리지")</formula>
    </cfRule>
    <cfRule type="expression" priority="27" dxfId="10" stopIfTrue="1">
      <formula>AND($BQ6=1,INDEX($BC$6:$BC$45,MAX(1,$BP6))="보안")</formula>
    </cfRule>
    <cfRule type="expression" priority="28" dxfId="11" stopIfTrue="1">
      <formula>AND($BQ6=1,INDEX($BC$6:$BC$45,MAX(1,$BP6))="전원")</formula>
    </cfRule>
    <cfRule type="expression" priority="29" dxfId="12" stopIfTrue="1">
      <formula>AND($BQ6=1,INDEX($BC$6:$BC$45,MAX(1,$BP6))="기타")</formula>
    </cfRule>
    <cfRule type="expression" priority="30" dxfId="12" stopIfTrue="1">
      <formula>AND($BQ6=1,TRUE)</formula>
    </cfRule>
  </conditionalFormatting>
  <conditionalFormatting sqref="BC6:BE45">
    <cfRule type="expression" priority="31" dxfId="7" stopIfTrue="0">
      <formula>$BC6="서버"</formula>
    </cfRule>
    <cfRule type="expression" priority="32" dxfId="8" stopIfTrue="0">
      <formula>$BC6="네트워크"</formula>
    </cfRule>
    <cfRule type="expression" priority="33" dxfId="9" stopIfTrue="0">
      <formula>$BC6="스토리지"</formula>
    </cfRule>
    <cfRule type="expression" priority="34" dxfId="10" stopIfTrue="0">
      <formula>$BC6="보안"</formula>
    </cfRule>
    <cfRule type="expression" priority="35" dxfId="11" stopIfTrue="0">
      <formula>$BC6="전원"</formula>
    </cfRule>
    <cfRule type="expression" priority="36" dxfId="12" stopIfTrue="0">
      <formula>$BC6="기타"</formula>
    </cfRule>
  </conditionalFormatting>
  <dataValidations count="2">
    <dataValidation sqref="AM6:AM45" showDropDown="0" showInputMessage="0" showErrorMessage="0" allowBlank="1" type="list">
      <formula1>"양면,전면,후면,0U"</formula1>
    </dataValidation>
    <dataValidation sqref="BC6:BC45" showDropDown="0" showInputMessage="0" showErrorMessage="0" allowBlank="1" type="list">
      <formula1>"서버,네트워크,스토리지,보안,전원,기타"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26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PP-01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패치패널 24P Cat6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U42</t>
        </is>
      </c>
      <c r="Z2" s="5" t="inlineStr">
        <is>
          <t>구분</t>
        </is>
      </c>
      <c r="AB2" s="6" t="inlineStr">
        <is>
          <t>네트워크</t>
        </is>
      </c>
      <c r="AH2" s="5" t="inlineStr">
        <is>
          <t>시리얼</t>
        </is>
      </c>
      <c r="AK2" s="6" t="inlineStr">
        <is>
          <t>-</t>
        </is>
      </c>
      <c r="AS2" s="5" t="inlineStr">
        <is>
          <t>관리 IP</t>
        </is>
      </c>
      <c r="AV2" s="6" t="inlineStr">
        <is>
          <t>-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D5" s="38" t="inlineStr">
        <is>
          <t>1–24 · RJ45 Cat6</t>
        </is>
      </c>
      <c r="BK5" s="17" t="n"/>
    </row>
    <row r="6" ht="12" customHeight="1">
      <c r="C6" s="18" t="n"/>
      <c r="I6" s="39" t="n">
        <v>1</v>
      </c>
      <c r="J6" s="40" t="n"/>
      <c r="K6" s="39" t="n">
        <v>2</v>
      </c>
      <c r="L6" s="40" t="n"/>
      <c r="M6" s="39" t="n">
        <v>3</v>
      </c>
      <c r="N6" s="40" t="n"/>
      <c r="O6" s="41" t="n">
        <v>4</v>
      </c>
      <c r="P6" s="40" t="n"/>
      <c r="Q6" s="41" t="n">
        <v>5</v>
      </c>
      <c r="R6" s="40" t="n"/>
      <c r="S6" s="41" t="n">
        <v>6</v>
      </c>
      <c r="T6" s="40" t="n"/>
      <c r="V6" s="41" t="n">
        <v>7</v>
      </c>
      <c r="W6" s="40" t="n"/>
      <c r="X6" s="41" t="n">
        <v>8</v>
      </c>
      <c r="Y6" s="40" t="n"/>
      <c r="Z6" s="41" t="n">
        <v>9</v>
      </c>
      <c r="AA6" s="40" t="n"/>
      <c r="AB6" s="41" t="n">
        <v>10</v>
      </c>
      <c r="AC6" s="40" t="n"/>
      <c r="AD6" s="41" t="n">
        <v>11</v>
      </c>
      <c r="AE6" s="40" t="n"/>
      <c r="AF6" s="41" t="n">
        <v>12</v>
      </c>
      <c r="AG6" s="40" t="n"/>
      <c r="AI6" s="41" t="n">
        <v>13</v>
      </c>
      <c r="AJ6" s="40" t="n"/>
      <c r="AK6" s="41" t="n">
        <v>14</v>
      </c>
      <c r="AL6" s="40" t="n"/>
      <c r="AM6" s="41" t="n">
        <v>15</v>
      </c>
      <c r="AN6" s="40" t="n"/>
      <c r="AO6" s="41" t="n">
        <v>16</v>
      </c>
      <c r="AP6" s="40" t="n"/>
      <c r="AQ6" s="41" t="n">
        <v>17</v>
      </c>
      <c r="AR6" s="40" t="n"/>
      <c r="AS6" s="41" t="n">
        <v>18</v>
      </c>
      <c r="AT6" s="40" t="n"/>
      <c r="AV6" s="41" t="n">
        <v>19</v>
      </c>
      <c r="AW6" s="40" t="n"/>
      <c r="AX6" s="41" t="n">
        <v>20</v>
      </c>
      <c r="AY6" s="40" t="n"/>
      <c r="AZ6" s="41" t="n">
        <v>21</v>
      </c>
      <c r="BA6" s="40" t="n"/>
      <c r="BB6" s="41" t="n">
        <v>22</v>
      </c>
      <c r="BC6" s="40" t="n"/>
      <c r="BD6" s="41" t="n">
        <v>23</v>
      </c>
      <c r="BE6" s="40" t="n"/>
      <c r="BF6" s="41" t="n">
        <v>24</v>
      </c>
      <c r="BG6" s="40" t="n"/>
      <c r="BK6" s="17" t="n"/>
    </row>
    <row r="7" ht="12" customHeight="1">
      <c r="C7" s="18" t="n"/>
      <c r="BK7" s="17" t="n"/>
    </row>
    <row r="8" ht="12" customHeight="1">
      <c r="C8" s="42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  <c r="AD8" s="43" t="n"/>
      <c r="AE8" s="43" t="n"/>
      <c r="AF8" s="43" t="n"/>
      <c r="AG8" s="43" t="n"/>
      <c r="AH8" s="43" t="n"/>
      <c r="AI8" s="43" t="n"/>
      <c r="AJ8" s="43" t="n"/>
      <c r="AK8" s="43" t="n"/>
      <c r="AL8" s="43" t="n"/>
      <c r="AM8" s="43" t="n"/>
      <c r="AN8" s="43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4" t="n"/>
    </row>
    <row r="9" ht="12" customHeight="1"/>
    <row r="10" ht="12" customHeight="1">
      <c r="B10" s="35" t="inlineStr">
        <is>
          <t>후  면</t>
        </is>
      </c>
      <c r="C10" s="36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7" t="n"/>
    </row>
    <row r="11" ht="12" customHeight="1">
      <c r="C11" s="18" t="n"/>
      <c r="D11" s="45" t="inlineStr">
        <is>
          <t>후면 (단자·케이블 관리)</t>
        </is>
      </c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7" t="n"/>
      <c r="BK11" s="17" t="n"/>
    </row>
    <row r="12" ht="12" customHeight="1">
      <c r="C12" s="18" t="n"/>
      <c r="D12" s="48" t="n"/>
      <c r="E12" s="49" t="n"/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50" t="n"/>
      <c r="BK12" s="17" t="n"/>
    </row>
    <row r="13" ht="12" customHeight="1">
      <c r="C13" s="18" t="n"/>
      <c r="D13" s="51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3" t="n"/>
      <c r="BK13" s="17" t="n"/>
    </row>
    <row r="14" ht="12" customHeight="1">
      <c r="C14" s="4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43" t="n"/>
      <c r="AW14" s="43" t="n"/>
      <c r="AX14" s="43" t="n"/>
      <c r="AY14" s="43" t="n"/>
      <c r="AZ14" s="43" t="n"/>
      <c r="BA14" s="43" t="n"/>
      <c r="BB14" s="43" t="n"/>
      <c r="BC14" s="43" t="n"/>
      <c r="BD14" s="43" t="n"/>
      <c r="BE14" s="43" t="n"/>
      <c r="BF14" s="43" t="n"/>
      <c r="BG14" s="43" t="n"/>
      <c r="BH14" s="43" t="n"/>
      <c r="BI14" s="43" t="n"/>
      <c r="BJ14" s="43" t="n"/>
      <c r="BK14" s="44" t="n"/>
    </row>
    <row r="15" ht="12" customHeight="1"/>
    <row r="16" ht="12" customHeight="1">
      <c r="C16" s="8" t="inlineStr">
        <is>
          <t>칸 안 숫자 = 장비에 인쇄된 포트 번호(= 도면 번호) · 색 칸 = 연결됨</t>
        </is>
      </c>
    </row>
    <row r="17" ht="12" customHeight="1">
      <c r="B17" s="7" t="inlineStr">
        <is>
          <t>연결 정보</t>
        </is>
      </c>
      <c r="H17" s="54" t="n"/>
      <c r="I17" s="28" t="inlineStr">
        <is>
          <t>서비스</t>
        </is>
      </c>
      <c r="L17" s="55" t="n"/>
      <c r="M17" s="28" t="inlineStr">
        <is>
          <t>관리</t>
        </is>
      </c>
      <c r="O17" s="56" t="n"/>
      <c r="P17" s="28" t="inlineStr">
        <is>
          <t>백업</t>
        </is>
      </c>
      <c r="R17" s="57" t="n"/>
      <c r="S17" s="28" t="inlineStr">
        <is>
          <t>스토리지</t>
        </is>
      </c>
      <c r="V17" s="58" t="n"/>
      <c r="W17" s="28" t="inlineStr">
        <is>
          <t>인터커넥트</t>
        </is>
      </c>
      <c r="AA17" s="59" t="n"/>
      <c r="AB17" s="28" t="inlineStr">
        <is>
          <t>콘솔</t>
        </is>
      </c>
      <c r="AD17" s="60" t="n"/>
      <c r="AE17" s="28" t="inlineStr">
        <is>
          <t>전원</t>
        </is>
      </c>
      <c r="AG17" s="61" t="n"/>
      <c r="AH17" s="28" t="inlineStr">
        <is>
          <t>미연결</t>
        </is>
      </c>
      <c r="AL17" s="62" t="n">
        <v>7</v>
      </c>
      <c r="AM17" s="28" t="inlineStr">
        <is>
          <t>도면 번호</t>
        </is>
      </c>
      <c r="AQ17" s="63" t="inlineStr">
        <is>
          <t>LOM1</t>
        </is>
      </c>
      <c r="AS17" s="28" t="inlineStr">
        <is>
          <t>포트명(장비 표기)</t>
        </is>
      </c>
      <c r="AY17" s="64" t="inlineStr">
        <is>
          <t>A-0001</t>
        </is>
      </c>
      <c r="AZ17" s="21" t="n"/>
      <c r="BA17" s="21" t="n"/>
      <c r="BB17" s="21" t="n"/>
      <c r="BC17" s="28" t="inlineStr">
        <is>
          <t>케이블 라벨</t>
        </is>
      </c>
    </row>
    <row r="18" ht="15" customHeight="1">
      <c r="B18" s="11" t="inlineStr">
        <is>
          <t>번호</t>
        </is>
      </c>
      <c r="C18" s="12" t="n"/>
      <c r="D18" s="11" t="inlineStr">
        <is>
          <t>면</t>
        </is>
      </c>
      <c r="E18" s="12" t="n"/>
      <c r="F18" s="13" t="inlineStr">
        <is>
          <t>포트명</t>
        </is>
      </c>
      <c r="G18" s="12" t="n"/>
      <c r="H18" s="12" t="n"/>
      <c r="I18" s="12" t="n"/>
      <c r="J18" s="12" t="n"/>
      <c r="K18" s="12" t="n"/>
      <c r="L18" s="13" t="inlineStr">
        <is>
          <t>용도</t>
        </is>
      </c>
      <c r="M18" s="12" t="n"/>
      <c r="N18" s="12" t="n"/>
      <c r="O18" s="12" t="n"/>
      <c r="P18" s="12" t="n"/>
      <c r="Q18" s="13" t="inlineStr">
        <is>
          <t>케이블 · 커넥터</t>
        </is>
      </c>
      <c r="R18" s="12" t="n"/>
      <c r="S18" s="12" t="n"/>
      <c r="T18" s="12" t="n"/>
      <c r="U18" s="12" t="n"/>
      <c r="V18" s="12" t="n"/>
      <c r="W18" s="12" t="n"/>
      <c r="X18" s="13" t="inlineStr">
        <is>
          <t>상대 장비</t>
        </is>
      </c>
      <c r="Y18" s="12" t="n"/>
      <c r="Z18" s="12" t="n"/>
      <c r="AA18" s="12" t="n"/>
      <c r="AB18" s="12" t="n"/>
      <c r="AC18" s="12" t="n"/>
      <c r="AD18" s="12" t="n"/>
      <c r="AE18" s="12" t="n"/>
      <c r="AF18" s="13" t="inlineStr">
        <is>
          <t>상대 위치</t>
        </is>
      </c>
      <c r="AG18" s="12" t="n"/>
      <c r="AH18" s="12" t="n"/>
      <c r="AI18" s="12" t="n"/>
      <c r="AJ18" s="12" t="n"/>
      <c r="AK18" s="12" t="n"/>
      <c r="AL18" s="13" t="inlineStr">
        <is>
          <t>상대 포트</t>
        </is>
      </c>
      <c r="AM18" s="12" t="n"/>
      <c r="AN18" s="12" t="n"/>
      <c r="AO18" s="12" t="n"/>
      <c r="AP18" s="12" t="n"/>
      <c r="AQ18" s="12" t="n"/>
      <c r="AR18" s="13" t="inlineStr">
        <is>
          <t>케이블 라벨</t>
        </is>
      </c>
      <c r="AS18" s="12" t="n"/>
      <c r="AT18" s="12" t="n"/>
      <c r="AU18" s="12" t="n"/>
      <c r="AV18" s="12" t="n"/>
      <c r="AW18" s="12" t="n"/>
      <c r="AX18" s="12" t="n"/>
      <c r="AY18" s="13" t="inlineStr">
        <is>
          <t>비고</t>
        </is>
      </c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</row>
    <row r="19" ht="13.5" customHeight="1">
      <c r="B19" s="65" t="n">
        <v>1</v>
      </c>
      <c r="C19" s="21" t="n"/>
      <c r="D19" s="66" t="inlineStr">
        <is>
          <t>전면</t>
        </is>
      </c>
      <c r="E19" s="21" t="n"/>
      <c r="F19" s="67" t="inlineStr">
        <is>
          <t>1</t>
        </is>
      </c>
      <c r="G19" s="21" t="n"/>
      <c r="H19" s="21" t="n"/>
      <c r="I19" s="21" t="n"/>
      <c r="J19" s="21" t="n"/>
      <c r="K19" s="21" t="n"/>
      <c r="L19" s="67" t="inlineStr">
        <is>
          <t>백업</t>
        </is>
      </c>
      <c r="M19" s="21" t="n"/>
      <c r="N19" s="21" t="n"/>
      <c r="O19" s="21" t="n"/>
      <c r="P19" s="21" t="n"/>
      <c r="Q19" s="67" t="inlineStr">
        <is>
          <t>UTP Cat6 / RJ45</t>
        </is>
      </c>
      <c r="R19" s="21" t="n"/>
      <c r="S19" s="21" t="n"/>
      <c r="T19" s="21" t="n"/>
      <c r="U19" s="21" t="n"/>
      <c r="V19" s="21" t="n"/>
      <c r="W19" s="21" t="n"/>
      <c r="X19" s="67" t="inlineStr">
        <is>
          <t>SRV-01</t>
        </is>
      </c>
      <c r="Y19" s="21" t="n"/>
      <c r="Z19" s="21" t="n"/>
      <c r="AA19" s="21" t="n"/>
      <c r="AB19" s="21" t="n"/>
      <c r="AC19" s="21" t="n"/>
      <c r="AD19" s="21" t="n"/>
      <c r="AE19" s="21" t="n"/>
      <c r="AF19" s="67" t="inlineStr">
        <is>
          <t>R02 U20–21</t>
        </is>
      </c>
      <c r="AG19" s="21" t="n"/>
      <c r="AH19" s="21" t="n"/>
      <c r="AI19" s="21" t="n"/>
      <c r="AJ19" s="21" t="n"/>
      <c r="AK19" s="21" t="n"/>
      <c r="AL19" s="67" t="inlineStr">
        <is>
          <t>LOM1</t>
        </is>
      </c>
      <c r="AM19" s="21" t="n"/>
      <c r="AN19" s="21" t="n"/>
      <c r="AO19" s="21" t="n"/>
      <c r="AP19" s="21" t="n"/>
      <c r="AQ19" s="21" t="n"/>
      <c r="AR19" s="68" t="inlineStr">
        <is>
          <t>R02-D029</t>
        </is>
      </c>
      <c r="AS19" s="21" t="n"/>
      <c r="AT19" s="21" t="n"/>
      <c r="AU19" s="21" t="n"/>
      <c r="AV19" s="21" t="n"/>
      <c r="AW19" s="21" t="n"/>
      <c r="AX19" s="21" t="n"/>
      <c r="AY19" s="67" t="inlineStr">
        <is>
          <t>→ R05 BAK-SW Gi1/0/3</t>
        </is>
      </c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</row>
    <row r="20" ht="13.5" customHeight="1">
      <c r="B20" s="65" t="n">
        <v>2</v>
      </c>
      <c r="C20" s="21" t="n"/>
      <c r="D20" s="66" t="inlineStr">
        <is>
          <t>전면</t>
        </is>
      </c>
      <c r="E20" s="21" t="n"/>
      <c r="F20" s="67" t="inlineStr">
        <is>
          <t>2</t>
        </is>
      </c>
      <c r="G20" s="21" t="n"/>
      <c r="H20" s="21" t="n"/>
      <c r="I20" s="21" t="n"/>
      <c r="J20" s="21" t="n"/>
      <c r="K20" s="21" t="n"/>
      <c r="L20" s="67" t="inlineStr">
        <is>
          <t>백업</t>
        </is>
      </c>
      <c r="M20" s="21" t="n"/>
      <c r="N20" s="21" t="n"/>
      <c r="O20" s="21" t="n"/>
      <c r="P20" s="21" t="n"/>
      <c r="Q20" s="67" t="inlineStr">
        <is>
          <t>UTP Cat6 / RJ45</t>
        </is>
      </c>
      <c r="R20" s="21" t="n"/>
      <c r="S20" s="21" t="n"/>
      <c r="T20" s="21" t="n"/>
      <c r="U20" s="21" t="n"/>
      <c r="V20" s="21" t="n"/>
      <c r="W20" s="21" t="n"/>
      <c r="X20" s="67" t="inlineStr">
        <is>
          <t>SRV-02</t>
        </is>
      </c>
      <c r="Y20" s="21" t="n"/>
      <c r="Z20" s="21" t="n"/>
      <c r="AA20" s="21" t="n"/>
      <c r="AB20" s="21" t="n"/>
      <c r="AC20" s="21" t="n"/>
      <c r="AD20" s="21" t="n"/>
      <c r="AE20" s="21" t="n"/>
      <c r="AF20" s="67" t="inlineStr">
        <is>
          <t>R02 U18–19</t>
        </is>
      </c>
      <c r="AG20" s="21" t="n"/>
      <c r="AH20" s="21" t="n"/>
      <c r="AI20" s="21" t="n"/>
      <c r="AJ20" s="21" t="n"/>
      <c r="AK20" s="21" t="n"/>
      <c r="AL20" s="67" t="inlineStr">
        <is>
          <t>LOM1</t>
        </is>
      </c>
      <c r="AM20" s="21" t="n"/>
      <c r="AN20" s="21" t="n"/>
      <c r="AO20" s="21" t="n"/>
      <c r="AP20" s="21" t="n"/>
      <c r="AQ20" s="21" t="n"/>
      <c r="AR20" s="68" t="inlineStr">
        <is>
          <t>R02-D030</t>
        </is>
      </c>
      <c r="AS20" s="21" t="n"/>
      <c r="AT20" s="21" t="n"/>
      <c r="AU20" s="21" t="n"/>
      <c r="AV20" s="21" t="n"/>
      <c r="AW20" s="21" t="n"/>
      <c r="AX20" s="21" t="n"/>
      <c r="AY20" s="67" t="inlineStr">
        <is>
          <t>→ R05 BAK-SW Gi1/0/4</t>
        </is>
      </c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</row>
    <row r="21" ht="13.5" customHeight="1">
      <c r="B21" s="65" t="n">
        <v>3</v>
      </c>
      <c r="C21" s="21" t="n"/>
      <c r="D21" s="66" t="inlineStr">
        <is>
          <t>전면</t>
        </is>
      </c>
      <c r="E21" s="21" t="n"/>
      <c r="F21" s="67" t="inlineStr">
        <is>
          <t>3</t>
        </is>
      </c>
      <c r="G21" s="21" t="n"/>
      <c r="H21" s="21" t="n"/>
      <c r="I21" s="21" t="n"/>
      <c r="J21" s="21" t="n"/>
      <c r="K21" s="21" t="n"/>
      <c r="L21" s="67" t="inlineStr">
        <is>
          <t>백업</t>
        </is>
      </c>
      <c r="M21" s="21" t="n"/>
      <c r="N21" s="21" t="n"/>
      <c r="O21" s="21" t="n"/>
      <c r="P21" s="21" t="n"/>
      <c r="Q21" s="67" t="inlineStr">
        <is>
          <t>UTP Cat6 / RJ45</t>
        </is>
      </c>
      <c r="R21" s="21" t="n"/>
      <c r="S21" s="21" t="n"/>
      <c r="T21" s="21" t="n"/>
      <c r="U21" s="21" t="n"/>
      <c r="V21" s="21" t="n"/>
      <c r="W21" s="21" t="n"/>
      <c r="X21" s="67" t="inlineStr">
        <is>
          <t>SRV-03</t>
        </is>
      </c>
      <c r="Y21" s="21" t="n"/>
      <c r="Z21" s="21" t="n"/>
      <c r="AA21" s="21" t="n"/>
      <c r="AB21" s="21" t="n"/>
      <c r="AC21" s="21" t="n"/>
      <c r="AD21" s="21" t="n"/>
      <c r="AE21" s="21" t="n"/>
      <c r="AF21" s="67" t="inlineStr">
        <is>
          <t>R02 U16</t>
        </is>
      </c>
      <c r="AG21" s="21" t="n"/>
      <c r="AH21" s="21" t="n"/>
      <c r="AI21" s="21" t="n"/>
      <c r="AJ21" s="21" t="n"/>
      <c r="AK21" s="21" t="n"/>
      <c r="AL21" s="67" t="inlineStr">
        <is>
          <t>LOM1</t>
        </is>
      </c>
      <c r="AM21" s="21" t="n"/>
      <c r="AN21" s="21" t="n"/>
      <c r="AO21" s="21" t="n"/>
      <c r="AP21" s="21" t="n"/>
      <c r="AQ21" s="21" t="n"/>
      <c r="AR21" s="68" t="inlineStr">
        <is>
          <t>R02-D031</t>
        </is>
      </c>
      <c r="AS21" s="21" t="n"/>
      <c r="AT21" s="21" t="n"/>
      <c r="AU21" s="21" t="n"/>
      <c r="AV21" s="21" t="n"/>
      <c r="AW21" s="21" t="n"/>
      <c r="AX21" s="21" t="n"/>
      <c r="AY21" s="67" t="inlineStr">
        <is>
          <t>→ R05 BAK-SW Gi1/0/5</t>
        </is>
      </c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5" t="n"/>
      <c r="C22" s="21" t="n"/>
      <c r="D22" s="66" t="n"/>
      <c r="E22" s="21" t="n"/>
      <c r="F22" s="67" t="n"/>
      <c r="G22" s="21" t="n"/>
      <c r="H22" s="21" t="n"/>
      <c r="I22" s="21" t="n"/>
      <c r="J22" s="21" t="n"/>
      <c r="K22" s="21" t="n"/>
      <c r="L22" s="67" t="n"/>
      <c r="M22" s="21" t="n"/>
      <c r="N22" s="21" t="n"/>
      <c r="O22" s="21" t="n"/>
      <c r="P22" s="21" t="n"/>
      <c r="Q22" s="67" t="n"/>
      <c r="R22" s="21" t="n"/>
      <c r="S22" s="21" t="n"/>
      <c r="T22" s="21" t="n"/>
      <c r="U22" s="21" t="n"/>
      <c r="V22" s="21" t="n"/>
      <c r="W22" s="21" t="n"/>
      <c r="X22" s="67" t="n"/>
      <c r="Y22" s="21" t="n"/>
      <c r="Z22" s="21" t="n"/>
      <c r="AA22" s="21" t="n"/>
      <c r="AB22" s="21" t="n"/>
      <c r="AC22" s="21" t="n"/>
      <c r="AD22" s="21" t="n"/>
      <c r="AE22" s="21" t="n"/>
      <c r="AF22" s="67" t="n"/>
      <c r="AG22" s="21" t="n"/>
      <c r="AH22" s="21" t="n"/>
      <c r="AI22" s="21" t="n"/>
      <c r="AJ22" s="21" t="n"/>
      <c r="AK22" s="21" t="n"/>
      <c r="AL22" s="67" t="n"/>
      <c r="AM22" s="21" t="n"/>
      <c r="AN22" s="21" t="n"/>
      <c r="AO22" s="21" t="n"/>
      <c r="AP22" s="21" t="n"/>
      <c r="AQ22" s="21" t="n"/>
      <c r="AR22" s="68" t="n"/>
      <c r="AS22" s="21" t="n"/>
      <c r="AT22" s="21" t="n"/>
      <c r="AU22" s="21" t="n"/>
      <c r="AV22" s="21" t="n"/>
      <c r="AW22" s="21" t="n"/>
      <c r="AX22" s="21" t="n"/>
      <c r="AY22" s="67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5" t="n"/>
      <c r="C23" s="21" t="n"/>
      <c r="D23" s="66" t="n"/>
      <c r="E23" s="21" t="n"/>
      <c r="F23" s="67" t="n"/>
      <c r="G23" s="21" t="n"/>
      <c r="H23" s="21" t="n"/>
      <c r="I23" s="21" t="n"/>
      <c r="J23" s="21" t="n"/>
      <c r="K23" s="21" t="n"/>
      <c r="L23" s="67" t="n"/>
      <c r="M23" s="21" t="n"/>
      <c r="N23" s="21" t="n"/>
      <c r="O23" s="21" t="n"/>
      <c r="P23" s="21" t="n"/>
      <c r="Q23" s="67" t="n"/>
      <c r="R23" s="21" t="n"/>
      <c r="S23" s="21" t="n"/>
      <c r="T23" s="21" t="n"/>
      <c r="U23" s="21" t="n"/>
      <c r="V23" s="21" t="n"/>
      <c r="W23" s="21" t="n"/>
      <c r="X23" s="67" t="n"/>
      <c r="Y23" s="21" t="n"/>
      <c r="Z23" s="21" t="n"/>
      <c r="AA23" s="21" t="n"/>
      <c r="AB23" s="21" t="n"/>
      <c r="AC23" s="21" t="n"/>
      <c r="AD23" s="21" t="n"/>
      <c r="AE23" s="21" t="n"/>
      <c r="AF23" s="67" t="n"/>
      <c r="AG23" s="21" t="n"/>
      <c r="AH23" s="21" t="n"/>
      <c r="AI23" s="21" t="n"/>
      <c r="AJ23" s="21" t="n"/>
      <c r="AK23" s="21" t="n"/>
      <c r="AL23" s="67" t="n"/>
      <c r="AM23" s="21" t="n"/>
      <c r="AN23" s="21" t="n"/>
      <c r="AO23" s="21" t="n"/>
      <c r="AP23" s="21" t="n"/>
      <c r="AQ23" s="21" t="n"/>
      <c r="AR23" s="68" t="n"/>
      <c r="AS23" s="21" t="n"/>
      <c r="AT23" s="21" t="n"/>
      <c r="AU23" s="21" t="n"/>
      <c r="AV23" s="21" t="n"/>
      <c r="AW23" s="21" t="n"/>
      <c r="AX23" s="21" t="n"/>
      <c r="AY23" s="67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5" t="n"/>
      <c r="C24" s="21" t="n"/>
      <c r="D24" s="66" t="n"/>
      <c r="E24" s="21" t="n"/>
      <c r="F24" s="67" t="n"/>
      <c r="G24" s="21" t="n"/>
      <c r="H24" s="21" t="n"/>
      <c r="I24" s="21" t="n"/>
      <c r="J24" s="21" t="n"/>
      <c r="K24" s="21" t="n"/>
      <c r="L24" s="67" t="n"/>
      <c r="M24" s="21" t="n"/>
      <c r="N24" s="21" t="n"/>
      <c r="O24" s="21" t="n"/>
      <c r="P24" s="21" t="n"/>
      <c r="Q24" s="67" t="n"/>
      <c r="R24" s="21" t="n"/>
      <c r="S24" s="21" t="n"/>
      <c r="T24" s="21" t="n"/>
      <c r="U24" s="21" t="n"/>
      <c r="V24" s="21" t="n"/>
      <c r="W24" s="21" t="n"/>
      <c r="X24" s="67" t="n"/>
      <c r="Y24" s="21" t="n"/>
      <c r="Z24" s="21" t="n"/>
      <c r="AA24" s="21" t="n"/>
      <c r="AB24" s="21" t="n"/>
      <c r="AC24" s="21" t="n"/>
      <c r="AD24" s="21" t="n"/>
      <c r="AE24" s="21" t="n"/>
      <c r="AF24" s="67" t="n"/>
      <c r="AG24" s="21" t="n"/>
      <c r="AH24" s="21" t="n"/>
      <c r="AI24" s="21" t="n"/>
      <c r="AJ24" s="21" t="n"/>
      <c r="AK24" s="21" t="n"/>
      <c r="AL24" s="67" t="n"/>
      <c r="AM24" s="21" t="n"/>
      <c r="AN24" s="21" t="n"/>
      <c r="AO24" s="21" t="n"/>
      <c r="AP24" s="21" t="n"/>
      <c r="AQ24" s="21" t="n"/>
      <c r="AR24" s="68" t="n"/>
      <c r="AS24" s="21" t="n"/>
      <c r="AT24" s="21" t="n"/>
      <c r="AU24" s="21" t="n"/>
      <c r="AV24" s="21" t="n"/>
      <c r="AW24" s="21" t="n"/>
      <c r="AX24" s="21" t="n"/>
      <c r="AY24" s="67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5" t="n"/>
      <c r="C25" s="21" t="n"/>
      <c r="D25" s="66" t="n"/>
      <c r="E25" s="21" t="n"/>
      <c r="F25" s="67" t="n"/>
      <c r="G25" s="21" t="n"/>
      <c r="H25" s="21" t="n"/>
      <c r="I25" s="21" t="n"/>
      <c r="J25" s="21" t="n"/>
      <c r="K25" s="21" t="n"/>
      <c r="L25" s="67" t="n"/>
      <c r="M25" s="21" t="n"/>
      <c r="N25" s="21" t="n"/>
      <c r="O25" s="21" t="n"/>
      <c r="P25" s="21" t="n"/>
      <c r="Q25" s="67" t="n"/>
      <c r="R25" s="21" t="n"/>
      <c r="S25" s="21" t="n"/>
      <c r="T25" s="21" t="n"/>
      <c r="U25" s="21" t="n"/>
      <c r="V25" s="21" t="n"/>
      <c r="W25" s="21" t="n"/>
      <c r="X25" s="67" t="n"/>
      <c r="Y25" s="21" t="n"/>
      <c r="Z25" s="21" t="n"/>
      <c r="AA25" s="21" t="n"/>
      <c r="AB25" s="21" t="n"/>
      <c r="AC25" s="21" t="n"/>
      <c r="AD25" s="21" t="n"/>
      <c r="AE25" s="21" t="n"/>
      <c r="AF25" s="67" t="n"/>
      <c r="AG25" s="21" t="n"/>
      <c r="AH25" s="21" t="n"/>
      <c r="AI25" s="21" t="n"/>
      <c r="AJ25" s="21" t="n"/>
      <c r="AK25" s="21" t="n"/>
      <c r="AL25" s="67" t="n"/>
      <c r="AM25" s="21" t="n"/>
      <c r="AN25" s="21" t="n"/>
      <c r="AO25" s="21" t="n"/>
      <c r="AP25" s="21" t="n"/>
      <c r="AQ25" s="21" t="n"/>
      <c r="AR25" s="68" t="n"/>
      <c r="AS25" s="21" t="n"/>
      <c r="AT25" s="21" t="n"/>
      <c r="AU25" s="21" t="n"/>
      <c r="AV25" s="21" t="n"/>
      <c r="AW25" s="21" t="n"/>
      <c r="AX25" s="21" t="n"/>
      <c r="AY25" s="67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5" t="n"/>
      <c r="C26" s="21" t="n"/>
      <c r="D26" s="66" t="n"/>
      <c r="E26" s="21" t="n"/>
      <c r="F26" s="67" t="n"/>
      <c r="G26" s="21" t="n"/>
      <c r="H26" s="21" t="n"/>
      <c r="I26" s="21" t="n"/>
      <c r="J26" s="21" t="n"/>
      <c r="K26" s="21" t="n"/>
      <c r="L26" s="67" t="n"/>
      <c r="M26" s="21" t="n"/>
      <c r="N26" s="21" t="n"/>
      <c r="O26" s="21" t="n"/>
      <c r="P26" s="21" t="n"/>
      <c r="Q26" s="67" t="n"/>
      <c r="R26" s="21" t="n"/>
      <c r="S26" s="21" t="n"/>
      <c r="T26" s="21" t="n"/>
      <c r="U26" s="21" t="n"/>
      <c r="V26" s="21" t="n"/>
      <c r="W26" s="21" t="n"/>
      <c r="X26" s="67" t="n"/>
      <c r="Y26" s="21" t="n"/>
      <c r="Z26" s="21" t="n"/>
      <c r="AA26" s="21" t="n"/>
      <c r="AB26" s="21" t="n"/>
      <c r="AC26" s="21" t="n"/>
      <c r="AD26" s="21" t="n"/>
      <c r="AE26" s="21" t="n"/>
      <c r="AF26" s="67" t="n"/>
      <c r="AG26" s="21" t="n"/>
      <c r="AH26" s="21" t="n"/>
      <c r="AI26" s="21" t="n"/>
      <c r="AJ26" s="21" t="n"/>
      <c r="AK26" s="21" t="n"/>
      <c r="AL26" s="67" t="n"/>
      <c r="AM26" s="21" t="n"/>
      <c r="AN26" s="21" t="n"/>
      <c r="AO26" s="21" t="n"/>
      <c r="AP26" s="21" t="n"/>
      <c r="AQ26" s="21" t="n"/>
      <c r="AR26" s="68" t="n"/>
      <c r="AS26" s="21" t="n"/>
      <c r="AT26" s="21" t="n"/>
      <c r="AU26" s="21" t="n"/>
      <c r="AV26" s="21" t="n"/>
      <c r="AW26" s="21" t="n"/>
      <c r="AX26" s="21" t="n"/>
      <c r="AY26" s="67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</row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mergeCells count="117">
    <mergeCell ref="D20:E20"/>
    <mergeCell ref="AY20:BK20"/>
    <mergeCell ref="X21:AE21"/>
    <mergeCell ref="O6:P6"/>
    <mergeCell ref="F26:K26"/>
    <mergeCell ref="AR21:AX21"/>
    <mergeCell ref="B22:C22"/>
    <mergeCell ref="D22:E22"/>
    <mergeCell ref="X23:AE23"/>
    <mergeCell ref="AF21:AK21"/>
    <mergeCell ref="B21:C21"/>
    <mergeCell ref="AL24:AQ24"/>
    <mergeCell ref="B4:B8"/>
    <mergeCell ref="AF23:AK23"/>
    <mergeCell ref="AY21:BK21"/>
    <mergeCell ref="AY26:BK26"/>
    <mergeCell ref="V6:W6"/>
    <mergeCell ref="X6:Y6"/>
    <mergeCell ref="AY23:BK23"/>
    <mergeCell ref="L20:P20"/>
    <mergeCell ref="AL19:AQ19"/>
    <mergeCell ref="L25:P25"/>
    <mergeCell ref="AF22:AK22"/>
    <mergeCell ref="BB6:BC6"/>
    <mergeCell ref="BD6:BE6"/>
    <mergeCell ref="AF18:AK18"/>
    <mergeCell ref="Q23:W23"/>
    <mergeCell ref="B24:C24"/>
    <mergeCell ref="F25:K25"/>
    <mergeCell ref="AR19:AX19"/>
    <mergeCell ref="D24:E24"/>
    <mergeCell ref="X25:AE25"/>
    <mergeCell ref="AR25:AX25"/>
    <mergeCell ref="B26:C26"/>
    <mergeCell ref="D26:E26"/>
    <mergeCell ref="B10:B14"/>
    <mergeCell ref="F24:K24"/>
    <mergeCell ref="I6:J6"/>
    <mergeCell ref="B25:C25"/>
    <mergeCell ref="D19:E19"/>
    <mergeCell ref="AY19:BK19"/>
    <mergeCell ref="B18:C18"/>
    <mergeCell ref="AL21:AQ21"/>
    <mergeCell ref="F23:K23"/>
    <mergeCell ref="AS6:AT6"/>
    <mergeCell ref="L24:P24"/>
    <mergeCell ref="AF6:AG6"/>
    <mergeCell ref="L18:P18"/>
    <mergeCell ref="AL23:AQ23"/>
    <mergeCell ref="AF26:AK26"/>
    <mergeCell ref="L26:P26"/>
    <mergeCell ref="X24:AE24"/>
    <mergeCell ref="Q20:W20"/>
    <mergeCell ref="F19:K19"/>
    <mergeCell ref="X26:AE26"/>
    <mergeCell ref="AF24:AK24"/>
    <mergeCell ref="AV6:AW6"/>
    <mergeCell ref="AY24:BK24"/>
    <mergeCell ref="D23:E23"/>
    <mergeCell ref="K6:L6"/>
    <mergeCell ref="F20:K20"/>
    <mergeCell ref="AL25:AQ25"/>
    <mergeCell ref="AF25:AK25"/>
    <mergeCell ref="AX6:AY6"/>
    <mergeCell ref="AZ6:BA6"/>
    <mergeCell ref="AR20:AX20"/>
    <mergeCell ref="AY25:BK25"/>
    <mergeCell ref="AR22:AX22"/>
    <mergeCell ref="AI6:AJ6"/>
    <mergeCell ref="X19:AE19"/>
    <mergeCell ref="AY18:BK18"/>
    <mergeCell ref="Q25:W25"/>
    <mergeCell ref="L23:P23"/>
    <mergeCell ref="Q24:W24"/>
    <mergeCell ref="Q18:W18"/>
    <mergeCell ref="B19:C19"/>
    <mergeCell ref="Q6:R6"/>
    <mergeCell ref="S6:T6"/>
    <mergeCell ref="AY22:BK22"/>
    <mergeCell ref="X20:AE20"/>
    <mergeCell ref="AR23:AX23"/>
    <mergeCell ref="D25:E25"/>
    <mergeCell ref="Q19:W19"/>
    <mergeCell ref="AO6:AP6"/>
    <mergeCell ref="B20:C20"/>
    <mergeCell ref="AQ6:AR6"/>
    <mergeCell ref="AL26:AQ26"/>
    <mergeCell ref="AR24:AX24"/>
    <mergeCell ref="Q22:W22"/>
    <mergeCell ref="Z6:AA6"/>
    <mergeCell ref="AB6:AC6"/>
    <mergeCell ref="F18:K18"/>
    <mergeCell ref="AR26:AX26"/>
    <mergeCell ref="BF6:BG6"/>
    <mergeCell ref="L19:P19"/>
    <mergeCell ref="AL18:AQ18"/>
    <mergeCell ref="D21:E21"/>
    <mergeCell ref="F22:K22"/>
    <mergeCell ref="AF20:AK20"/>
    <mergeCell ref="AD6:AE6"/>
    <mergeCell ref="B23:C23"/>
    <mergeCell ref="AR18:AX18"/>
    <mergeCell ref="Q21:W21"/>
    <mergeCell ref="X18:AE18"/>
    <mergeCell ref="AL20:AQ20"/>
    <mergeCell ref="M6:N6"/>
    <mergeCell ref="AY17:BB17"/>
    <mergeCell ref="AF19:AK19"/>
    <mergeCell ref="D18:E18"/>
    <mergeCell ref="L22:P22"/>
    <mergeCell ref="AL22:AQ22"/>
    <mergeCell ref="AK6:AL6"/>
    <mergeCell ref="Q26:W26"/>
    <mergeCell ref="AM6:AN6"/>
    <mergeCell ref="L21:P21"/>
    <mergeCell ref="X22:AE22"/>
    <mergeCell ref="F21:K21"/>
  </mergeCells>
  <conditionalFormatting sqref="B19:C26">
    <cfRule type="expression" priority="1" dxfId="13" stopIfTrue="1">
      <formula>AND(ISNUMBER($B19),SUMPRODUCT(($C$4:$BK$15=$B19)*($C$4:$BK$15&lt;&gt;""))&lt;&gt;1)</formula>
    </cfRule>
    <cfRule type="expression" priority="2" dxfId="13" stopIfTrue="1">
      <formula>AND(ISNUMBER($B19),COUNTIF($B$19:$B$26,$B19)&gt;1)</formula>
    </cfRule>
    <cfRule type="expression" priority="3" dxfId="14" stopIfTrue="1">
      <formula>$L19="서비스"</formula>
    </cfRule>
    <cfRule type="expression" priority="4" dxfId="15" stopIfTrue="1">
      <formula>$L19="관리"</formula>
    </cfRule>
    <cfRule type="expression" priority="5" dxfId="16" stopIfTrue="1">
      <formula>$L19="백업"</formula>
    </cfRule>
    <cfRule type="expression" priority="6" dxfId="17" stopIfTrue="1">
      <formula>$L19="스토리지"</formula>
    </cfRule>
    <cfRule type="expression" priority="7" dxfId="18" stopIfTrue="1">
      <formula>$L19="인터커넥트"</formula>
    </cfRule>
    <cfRule type="expression" priority="8" dxfId="19" stopIfTrue="1">
      <formula>$L19="콘솔"</formula>
    </cfRule>
    <cfRule type="expression" priority="9" dxfId="20" stopIfTrue="1">
      <formula>$L19="전원"</formula>
    </cfRule>
  </conditionalFormatting>
  <dataValidations count="2">
    <dataValidation sqref="L19:L26" showDropDown="0" showInputMessage="0" showErrorMessage="0" allowBlank="1" type="list">
      <formula1>"서비스,관리,백업,스토리지,인터커넥트,콘솔,전원,기타"</formula1>
    </dataValidation>
    <dataValidation sqref="D19:D26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MGMT-SW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Cisco C9200L-48T-4X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U41</t>
        </is>
      </c>
      <c r="Z2" s="5" t="inlineStr">
        <is>
          <t>구분</t>
        </is>
      </c>
      <c r="AB2" s="6" t="inlineStr">
        <is>
          <t>네트워크</t>
        </is>
      </c>
      <c r="AH2" s="5" t="inlineStr">
        <is>
          <t>시리얼</t>
        </is>
      </c>
      <c r="AK2" s="6" t="inlineStr">
        <is>
          <t>JAE2301ABCD</t>
        </is>
      </c>
      <c r="AS2" s="5" t="inlineStr">
        <is>
          <t>관리 IP</t>
        </is>
      </c>
      <c r="AV2" s="6" t="inlineStr">
        <is>
          <t>10.10.0.41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D5" s="45" t="inlineStr">
        <is>
          <t>1–48 · RJ45 1G</t>
        </is>
      </c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6" t="n"/>
      <c r="BA5" s="46" t="n"/>
      <c r="BB5" s="47" t="n"/>
      <c r="BD5" s="45" t="inlineStr">
        <is>
          <t>49–52</t>
        </is>
      </c>
      <c r="BE5" s="46" t="n"/>
      <c r="BF5" s="46" t="n"/>
      <c r="BG5" s="47" t="n"/>
      <c r="BI5" s="69" t="n"/>
      <c r="BJ5" s="47" t="n"/>
      <c r="BK5" s="17" t="n"/>
    </row>
    <row r="6" ht="12" customHeight="1">
      <c r="C6" s="18" t="n"/>
      <c r="D6" s="70" t="n">
        <v>1</v>
      </c>
      <c r="E6" s="40" t="n"/>
      <c r="F6" s="71" t="n">
        <v>3</v>
      </c>
      <c r="G6" s="40" t="n"/>
      <c r="H6" s="71" t="n">
        <v>5</v>
      </c>
      <c r="I6" s="40" t="n"/>
      <c r="J6" s="71" t="n">
        <v>7</v>
      </c>
      <c r="K6" s="40" t="n"/>
      <c r="L6" s="71" t="n">
        <v>9</v>
      </c>
      <c r="M6" s="40" t="n"/>
      <c r="N6" s="71" t="n">
        <v>11</v>
      </c>
      <c r="O6" s="40" t="n"/>
      <c r="P6" s="49" t="n"/>
      <c r="Q6" s="41" t="n">
        <v>13</v>
      </c>
      <c r="R6" s="40" t="n"/>
      <c r="S6" s="41" t="n">
        <v>15</v>
      </c>
      <c r="T6" s="40" t="n"/>
      <c r="U6" s="41" t="n">
        <v>17</v>
      </c>
      <c r="V6" s="40" t="n"/>
      <c r="W6" s="41" t="n">
        <v>19</v>
      </c>
      <c r="X6" s="40" t="n"/>
      <c r="Y6" s="41" t="n">
        <v>21</v>
      </c>
      <c r="Z6" s="40" t="n"/>
      <c r="AA6" s="41" t="n">
        <v>23</v>
      </c>
      <c r="AB6" s="40" t="n"/>
      <c r="AC6" s="49" t="n"/>
      <c r="AD6" s="41" t="n">
        <v>25</v>
      </c>
      <c r="AE6" s="40" t="n"/>
      <c r="AF6" s="41" t="n">
        <v>27</v>
      </c>
      <c r="AG6" s="40" t="n"/>
      <c r="AH6" s="41" t="n">
        <v>29</v>
      </c>
      <c r="AI6" s="40" t="n"/>
      <c r="AJ6" s="41" t="n">
        <v>31</v>
      </c>
      <c r="AK6" s="40" t="n"/>
      <c r="AL6" s="41" t="n">
        <v>33</v>
      </c>
      <c r="AM6" s="40" t="n"/>
      <c r="AN6" s="41" t="n">
        <v>35</v>
      </c>
      <c r="AO6" s="40" t="n"/>
      <c r="AP6" s="49" t="n"/>
      <c r="AQ6" s="41" t="n">
        <v>37</v>
      </c>
      <c r="AR6" s="40" t="n"/>
      <c r="AS6" s="41" t="n">
        <v>39</v>
      </c>
      <c r="AT6" s="40" t="n"/>
      <c r="AU6" s="41" t="n">
        <v>41</v>
      </c>
      <c r="AV6" s="40" t="n"/>
      <c r="AW6" s="41" t="n">
        <v>43</v>
      </c>
      <c r="AX6" s="40" t="n"/>
      <c r="AY6" s="41" t="n">
        <v>45</v>
      </c>
      <c r="AZ6" s="40" t="n"/>
      <c r="BA6" s="72" t="n">
        <v>47</v>
      </c>
      <c r="BB6" s="73" t="n"/>
      <c r="BD6" s="70" t="n">
        <v>49</v>
      </c>
      <c r="BE6" s="40" t="n"/>
      <c r="BF6" s="72" t="n">
        <v>51</v>
      </c>
      <c r="BG6" s="73" t="n"/>
      <c r="BI6" s="74" t="inlineStr">
        <is>
          <t>M</t>
        </is>
      </c>
      <c r="BJ6" s="73" t="n"/>
      <c r="BK6" s="17" t="n"/>
    </row>
    <row r="7" ht="12" customHeight="1">
      <c r="C7" s="18" t="n"/>
      <c r="D7" s="75" t="n">
        <v>2</v>
      </c>
      <c r="E7" s="76" t="n"/>
      <c r="F7" s="77" t="n">
        <v>4</v>
      </c>
      <c r="G7" s="76" t="n"/>
      <c r="H7" s="77" t="n">
        <v>6</v>
      </c>
      <c r="I7" s="76" t="n"/>
      <c r="J7" s="77" t="n">
        <v>8</v>
      </c>
      <c r="K7" s="76" t="n"/>
      <c r="L7" s="77" t="n">
        <v>10</v>
      </c>
      <c r="M7" s="76" t="n"/>
      <c r="N7" s="78" t="n">
        <v>12</v>
      </c>
      <c r="O7" s="76" t="n"/>
      <c r="P7" s="52" t="n"/>
      <c r="Q7" s="78" t="n">
        <v>14</v>
      </c>
      <c r="R7" s="76" t="n"/>
      <c r="S7" s="78" t="n">
        <v>16</v>
      </c>
      <c r="T7" s="76" t="n"/>
      <c r="U7" s="78" t="n">
        <v>18</v>
      </c>
      <c r="V7" s="76" t="n"/>
      <c r="W7" s="78" t="n">
        <v>20</v>
      </c>
      <c r="X7" s="76" t="n"/>
      <c r="Y7" s="78" t="n">
        <v>22</v>
      </c>
      <c r="Z7" s="76" t="n"/>
      <c r="AA7" s="78" t="n">
        <v>24</v>
      </c>
      <c r="AB7" s="76" t="n"/>
      <c r="AC7" s="52" t="n"/>
      <c r="AD7" s="78" t="n">
        <v>26</v>
      </c>
      <c r="AE7" s="76" t="n"/>
      <c r="AF7" s="78" t="n">
        <v>28</v>
      </c>
      <c r="AG7" s="76" t="n"/>
      <c r="AH7" s="78" t="n">
        <v>30</v>
      </c>
      <c r="AI7" s="76" t="n"/>
      <c r="AJ7" s="78" t="n">
        <v>32</v>
      </c>
      <c r="AK7" s="76" t="n"/>
      <c r="AL7" s="78" t="n">
        <v>34</v>
      </c>
      <c r="AM7" s="76" t="n"/>
      <c r="AN7" s="78" t="n">
        <v>36</v>
      </c>
      <c r="AO7" s="76" t="n"/>
      <c r="AP7" s="52" t="n"/>
      <c r="AQ7" s="78" t="n">
        <v>38</v>
      </c>
      <c r="AR7" s="76" t="n"/>
      <c r="AS7" s="78" t="n">
        <v>40</v>
      </c>
      <c r="AT7" s="76" t="n"/>
      <c r="AU7" s="78" t="n">
        <v>42</v>
      </c>
      <c r="AV7" s="76" t="n"/>
      <c r="AW7" s="78" t="n">
        <v>44</v>
      </c>
      <c r="AX7" s="76" t="n"/>
      <c r="AY7" s="78" t="n">
        <v>46</v>
      </c>
      <c r="AZ7" s="76" t="n"/>
      <c r="BA7" s="79" t="n">
        <v>48</v>
      </c>
      <c r="BB7" s="80" t="n"/>
      <c r="BD7" s="81" t="n">
        <v>50</v>
      </c>
      <c r="BE7" s="76" t="n"/>
      <c r="BF7" s="79" t="n">
        <v>52</v>
      </c>
      <c r="BG7" s="80" t="n"/>
      <c r="BI7" s="82" t="inlineStr">
        <is>
          <t>C</t>
        </is>
      </c>
      <c r="BJ7" s="80" t="n"/>
      <c r="BK7" s="17" t="n"/>
    </row>
    <row r="8" ht="12" customHeight="1">
      <c r="C8" s="42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  <c r="AD8" s="43" t="n"/>
      <c r="AE8" s="43" t="n"/>
      <c r="AF8" s="43" t="n"/>
      <c r="AG8" s="43" t="n"/>
      <c r="AH8" s="43" t="n"/>
      <c r="AI8" s="43" t="n"/>
      <c r="AJ8" s="43" t="n"/>
      <c r="AK8" s="43" t="n"/>
      <c r="AL8" s="43" t="n"/>
      <c r="AM8" s="43" t="n"/>
      <c r="AN8" s="43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4" t="n"/>
    </row>
    <row r="9" ht="12" customHeight="1"/>
    <row r="10" ht="12" customHeight="1">
      <c r="B10" s="35" t="inlineStr">
        <is>
          <t>후  면</t>
        </is>
      </c>
      <c r="C10" s="36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7" t="n"/>
    </row>
    <row r="11" ht="12" customHeight="1">
      <c r="C11" s="18" t="n"/>
      <c r="D11" s="45" t="inlineStr">
        <is>
          <t>FAN 1</t>
        </is>
      </c>
      <c r="E11" s="46" t="n"/>
      <c r="F11" s="46" t="n"/>
      <c r="G11" s="46" t="n"/>
      <c r="H11" s="46" t="n"/>
      <c r="I11" s="47" t="n"/>
      <c r="K11" s="45" t="inlineStr">
        <is>
          <t>FAN 2</t>
        </is>
      </c>
      <c r="L11" s="46" t="n"/>
      <c r="M11" s="46" t="n"/>
      <c r="N11" s="46" t="n"/>
      <c r="O11" s="46" t="n"/>
      <c r="P11" s="47" t="n"/>
      <c r="R11" s="45" t="inlineStr">
        <is>
          <t>FAN 3</t>
        </is>
      </c>
      <c r="S11" s="46" t="n"/>
      <c r="T11" s="46" t="n"/>
      <c r="U11" s="46" t="n"/>
      <c r="V11" s="46" t="n"/>
      <c r="W11" s="47" t="n"/>
      <c r="Y11" s="45" t="inlineStr">
        <is>
          <t>FAN 4</t>
        </is>
      </c>
      <c r="Z11" s="46" t="n"/>
      <c r="AA11" s="46" t="n"/>
      <c r="AB11" s="46" t="n"/>
      <c r="AC11" s="46" t="n"/>
      <c r="AD11" s="47" t="n"/>
      <c r="AP11" s="45" t="inlineStr">
        <is>
          <t>PSU 1</t>
        </is>
      </c>
      <c r="AQ11" s="46" t="n"/>
      <c r="AR11" s="46" t="n"/>
      <c r="AS11" s="46" t="n"/>
      <c r="AT11" s="46" t="n"/>
      <c r="AU11" s="46" t="n"/>
      <c r="AV11" s="46" t="n"/>
      <c r="AW11" s="46" t="n"/>
      <c r="AX11" s="46" t="n"/>
      <c r="AY11" s="47" t="n"/>
      <c r="BA11" s="45" t="inlineStr">
        <is>
          <t>PSU 2</t>
        </is>
      </c>
      <c r="BB11" s="46" t="n"/>
      <c r="BC11" s="46" t="n"/>
      <c r="BD11" s="46" t="n"/>
      <c r="BE11" s="46" t="n"/>
      <c r="BF11" s="46" t="n"/>
      <c r="BG11" s="46" t="n"/>
      <c r="BH11" s="46" t="n"/>
      <c r="BI11" s="46" t="n"/>
      <c r="BJ11" s="47" t="n"/>
      <c r="BK11" s="17" t="n"/>
    </row>
    <row r="12" ht="12" customHeight="1">
      <c r="C12" s="18" t="n"/>
      <c r="D12" s="83" t="inlineStr">
        <is>
          <t>◎</t>
        </is>
      </c>
      <c r="I12" s="84" t="n"/>
      <c r="K12" s="83" t="inlineStr">
        <is>
          <t>◎</t>
        </is>
      </c>
      <c r="P12" s="84" t="n"/>
      <c r="R12" s="83" t="inlineStr">
        <is>
          <t>◎</t>
        </is>
      </c>
      <c r="W12" s="84" t="n"/>
      <c r="Y12" s="83" t="inlineStr">
        <is>
          <t>◎</t>
        </is>
      </c>
      <c r="AD12" s="84" t="n"/>
      <c r="AP12" s="48" t="n"/>
      <c r="AQ12" s="49" t="n"/>
      <c r="AR12" s="49" t="n"/>
      <c r="AS12" s="49" t="n"/>
      <c r="AT12" s="85" t="n">
        <v>55</v>
      </c>
      <c r="AU12" s="40" t="n"/>
      <c r="AV12" s="49" t="n"/>
      <c r="AW12" s="49" t="n"/>
      <c r="AX12" s="49" t="n"/>
      <c r="AY12" s="50" t="n"/>
      <c r="BA12" s="48" t="n"/>
      <c r="BB12" s="49" t="n"/>
      <c r="BC12" s="49" t="n"/>
      <c r="BD12" s="49" t="n"/>
      <c r="BE12" s="85" t="n">
        <v>56</v>
      </c>
      <c r="BF12" s="40" t="n"/>
      <c r="BG12" s="49" t="n"/>
      <c r="BH12" s="49" t="n"/>
      <c r="BI12" s="49" t="n"/>
      <c r="BJ12" s="50" t="n"/>
      <c r="BK12" s="17" t="n"/>
    </row>
    <row r="13" ht="12" customHeight="1">
      <c r="C13" s="18" t="n"/>
      <c r="D13" s="86" t="n"/>
      <c r="E13" s="87" t="n"/>
      <c r="F13" s="87" t="n"/>
      <c r="G13" s="87" t="n"/>
      <c r="H13" s="87" t="n"/>
      <c r="I13" s="88" t="n"/>
      <c r="K13" s="86" t="n"/>
      <c r="L13" s="87" t="n"/>
      <c r="M13" s="87" t="n"/>
      <c r="N13" s="87" t="n"/>
      <c r="O13" s="87" t="n"/>
      <c r="P13" s="88" t="n"/>
      <c r="R13" s="86" t="n"/>
      <c r="S13" s="87" t="n"/>
      <c r="T13" s="87" t="n"/>
      <c r="U13" s="87" t="n"/>
      <c r="V13" s="87" t="n"/>
      <c r="W13" s="88" t="n"/>
      <c r="Y13" s="86" t="n"/>
      <c r="Z13" s="87" t="n"/>
      <c r="AA13" s="87" t="n"/>
      <c r="AB13" s="87" t="n"/>
      <c r="AC13" s="87" t="n"/>
      <c r="AD13" s="88" t="n"/>
      <c r="AP13" s="51" t="n"/>
      <c r="AQ13" s="52" t="n"/>
      <c r="AR13" s="52" t="n"/>
      <c r="AS13" s="52" t="n"/>
      <c r="AT13" s="89" t="inlineStr">
        <is>
          <t>C14</t>
        </is>
      </c>
      <c r="AU13" s="87" t="n"/>
      <c r="AV13" s="52" t="n"/>
      <c r="AW13" s="52" t="n"/>
      <c r="AX13" s="52" t="n"/>
      <c r="AY13" s="53" t="n"/>
      <c r="BA13" s="51" t="n"/>
      <c r="BB13" s="52" t="n"/>
      <c r="BC13" s="52" t="n"/>
      <c r="BD13" s="52" t="n"/>
      <c r="BE13" s="89" t="inlineStr">
        <is>
          <t>C14</t>
        </is>
      </c>
      <c r="BF13" s="87" t="n"/>
      <c r="BG13" s="52" t="n"/>
      <c r="BH13" s="52" t="n"/>
      <c r="BI13" s="52" t="n"/>
      <c r="BJ13" s="53" t="n"/>
      <c r="BK13" s="17" t="n"/>
    </row>
    <row r="14" ht="12" customHeight="1">
      <c r="C14" s="4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43" t="n"/>
      <c r="AW14" s="43" t="n"/>
      <c r="AX14" s="43" t="n"/>
      <c r="AY14" s="43" t="n"/>
      <c r="AZ14" s="43" t="n"/>
      <c r="BA14" s="43" t="n"/>
      <c r="BB14" s="43" t="n"/>
      <c r="BC14" s="43" t="n"/>
      <c r="BD14" s="43" t="n"/>
      <c r="BE14" s="43" t="n"/>
      <c r="BF14" s="43" t="n"/>
      <c r="BG14" s="43" t="n"/>
      <c r="BH14" s="43" t="n"/>
      <c r="BI14" s="43" t="n"/>
      <c r="BJ14" s="43" t="n"/>
      <c r="BK14" s="44" t="n"/>
    </row>
    <row r="15" ht="12" customHeight="1"/>
    <row r="16" ht="12" customHeight="1">
      <c r="C16" s="8" t="inlineStr">
        <is>
          <t>칸 안 숫자 = 장비에 인쇄된 포트 번호(= 도면 번호) · 색 칸 = 연결됨</t>
        </is>
      </c>
    </row>
    <row r="17" ht="12" customHeight="1">
      <c r="B17" s="7" t="inlineStr">
        <is>
          <t>연결 정보</t>
        </is>
      </c>
      <c r="H17" s="54" t="n"/>
      <c r="I17" s="28" t="inlineStr">
        <is>
          <t>서비스</t>
        </is>
      </c>
      <c r="L17" s="55" t="n"/>
      <c r="M17" s="28" t="inlineStr">
        <is>
          <t>관리</t>
        </is>
      </c>
      <c r="O17" s="56" t="n"/>
      <c r="P17" s="28" t="inlineStr">
        <is>
          <t>백업</t>
        </is>
      </c>
      <c r="R17" s="57" t="n"/>
      <c r="S17" s="28" t="inlineStr">
        <is>
          <t>스토리지</t>
        </is>
      </c>
      <c r="V17" s="58" t="n"/>
      <c r="W17" s="28" t="inlineStr">
        <is>
          <t>인터커넥트</t>
        </is>
      </c>
      <c r="AA17" s="59" t="n"/>
      <c r="AB17" s="28" t="inlineStr">
        <is>
          <t>콘솔</t>
        </is>
      </c>
      <c r="AD17" s="60" t="n"/>
      <c r="AE17" s="28" t="inlineStr">
        <is>
          <t>전원</t>
        </is>
      </c>
      <c r="AG17" s="61" t="n"/>
      <c r="AH17" s="28" t="inlineStr">
        <is>
          <t>미연결</t>
        </is>
      </c>
      <c r="AL17" s="62" t="n">
        <v>7</v>
      </c>
      <c r="AM17" s="28" t="inlineStr">
        <is>
          <t>도면 번호</t>
        </is>
      </c>
      <c r="AQ17" s="63" t="inlineStr">
        <is>
          <t>LOM1</t>
        </is>
      </c>
      <c r="AS17" s="28" t="inlineStr">
        <is>
          <t>포트명(장비 표기)</t>
        </is>
      </c>
      <c r="AY17" s="64" t="inlineStr">
        <is>
          <t>A-0001</t>
        </is>
      </c>
      <c r="AZ17" s="21" t="n"/>
      <c r="BA17" s="21" t="n"/>
      <c r="BB17" s="21" t="n"/>
      <c r="BC17" s="28" t="inlineStr">
        <is>
          <t>케이블 라벨</t>
        </is>
      </c>
    </row>
    <row r="18" ht="15" customHeight="1">
      <c r="B18" s="11" t="inlineStr">
        <is>
          <t>번호</t>
        </is>
      </c>
      <c r="C18" s="12" t="n"/>
      <c r="D18" s="13" t="inlineStr">
        <is>
          <t>포트명</t>
        </is>
      </c>
      <c r="E18" s="12" t="n"/>
      <c r="F18" s="12" t="n"/>
      <c r="G18" s="12" t="n"/>
      <c r="H18" s="12" t="n"/>
      <c r="I18" s="13" t="inlineStr">
        <is>
          <t>용도</t>
        </is>
      </c>
      <c r="J18" s="12" t="n"/>
      <c r="K18" s="12" t="n"/>
      <c r="L18" s="12" t="n"/>
      <c r="M18" s="13" t="inlineStr">
        <is>
          <t>상대 장비</t>
        </is>
      </c>
      <c r="N18" s="12" t="n"/>
      <c r="O18" s="12" t="n"/>
      <c r="P18" s="12" t="n"/>
      <c r="Q18" s="12" t="n"/>
      <c r="R18" s="12" t="n"/>
      <c r="S18" s="12" t="n"/>
      <c r="T18" s="13" t="inlineStr">
        <is>
          <t>상대 포트</t>
        </is>
      </c>
      <c r="U18" s="12" t="n"/>
      <c r="V18" s="12" t="n"/>
      <c r="W18" s="12" t="n"/>
      <c r="X18" s="12" t="n"/>
      <c r="Y18" s="13" t="inlineStr">
        <is>
          <t>케이블 라벨</t>
        </is>
      </c>
      <c r="Z18" s="12" t="n"/>
      <c r="AA18" s="12" t="n"/>
      <c r="AB18" s="12" t="n"/>
      <c r="AC18" s="12" t="n"/>
      <c r="AD18" s="12" t="n"/>
      <c r="AE18" s="12" t="n"/>
      <c r="AH18" s="11" t="inlineStr">
        <is>
          <t>번호</t>
        </is>
      </c>
      <c r="AI18" s="12" t="n"/>
      <c r="AJ18" s="13" t="inlineStr">
        <is>
          <t>포트명</t>
        </is>
      </c>
      <c r="AK18" s="12" t="n"/>
      <c r="AL18" s="12" t="n"/>
      <c r="AM18" s="12" t="n"/>
      <c r="AN18" s="12" t="n"/>
      <c r="AO18" s="13" t="inlineStr">
        <is>
          <t>용도</t>
        </is>
      </c>
      <c r="AP18" s="12" t="n"/>
      <c r="AQ18" s="12" t="n"/>
      <c r="AR18" s="12" t="n"/>
      <c r="AS18" s="13" t="inlineStr">
        <is>
          <t>상대 장비</t>
        </is>
      </c>
      <c r="AT18" s="12" t="n"/>
      <c r="AU18" s="12" t="n"/>
      <c r="AV18" s="12" t="n"/>
      <c r="AW18" s="12" t="n"/>
      <c r="AX18" s="12" t="n"/>
      <c r="AY18" s="12" t="n"/>
      <c r="AZ18" s="13" t="inlineStr">
        <is>
          <t>상대 포트</t>
        </is>
      </c>
      <c r="BA18" s="12" t="n"/>
      <c r="BB18" s="12" t="n"/>
      <c r="BC18" s="12" t="n"/>
      <c r="BD18" s="12" t="n"/>
      <c r="BE18" s="13" t="inlineStr">
        <is>
          <t>케이블 라벨</t>
        </is>
      </c>
      <c r="BF18" s="12" t="n"/>
      <c r="BG18" s="12" t="n"/>
      <c r="BH18" s="12" t="n"/>
      <c r="BI18" s="12" t="n"/>
      <c r="BJ18" s="12" t="n"/>
      <c r="BK18" s="12" t="n"/>
    </row>
    <row r="19" ht="13.5" customHeight="1">
      <c r="B19" s="65" t="n">
        <v>1</v>
      </c>
      <c r="C19" s="21" t="n"/>
      <c r="D19" s="67" t="inlineStr">
        <is>
          <t>Gi1/0/1</t>
        </is>
      </c>
      <c r="E19" s="21" t="n"/>
      <c r="F19" s="21" t="n"/>
      <c r="G19" s="21" t="n"/>
      <c r="H19" s="21" t="n"/>
      <c r="I19" s="67" t="inlineStr">
        <is>
          <t>관리</t>
        </is>
      </c>
      <c r="J19" s="21" t="n"/>
      <c r="K19" s="21" t="n"/>
      <c r="L19" s="21" t="n"/>
      <c r="M19" s="67" t="inlineStr">
        <is>
          <t>SRV-01</t>
        </is>
      </c>
      <c r="N19" s="21" t="n"/>
      <c r="O19" s="21" t="n"/>
      <c r="P19" s="21" t="n"/>
      <c r="Q19" s="21" t="n"/>
      <c r="R19" s="21" t="n"/>
      <c r="S19" s="21" t="n"/>
      <c r="T19" s="67" t="inlineStr">
        <is>
          <t>iLO</t>
        </is>
      </c>
      <c r="U19" s="21" t="n"/>
      <c r="V19" s="21" t="n"/>
      <c r="W19" s="21" t="n"/>
      <c r="X19" s="21" t="n"/>
      <c r="Y19" s="68" t="inlineStr">
        <is>
          <t>R02-D001</t>
        </is>
      </c>
      <c r="Z19" s="21" t="n"/>
      <c r="AA19" s="21" t="n"/>
      <c r="AB19" s="21" t="n"/>
      <c r="AC19" s="21" t="n"/>
      <c r="AD19" s="21" t="n"/>
      <c r="AE19" s="21" t="n"/>
      <c r="AH19" s="65" t="n">
        <v>55</v>
      </c>
      <c r="AI19" s="21" t="n"/>
      <c r="AJ19" s="67" t="inlineStr">
        <is>
          <t>PSU1</t>
        </is>
      </c>
      <c r="AK19" s="21" t="n"/>
      <c r="AL19" s="21" t="n"/>
      <c r="AM19" s="21" t="n"/>
      <c r="AN19" s="21" t="n"/>
      <c r="AO19" s="67" t="inlineStr">
        <is>
          <t>전원</t>
        </is>
      </c>
      <c r="AP19" s="21" t="n"/>
      <c r="AQ19" s="21" t="n"/>
      <c r="AR19" s="21" t="n"/>
      <c r="AS19" s="67" t="inlineStr">
        <is>
          <t>PDU-A</t>
        </is>
      </c>
      <c r="AT19" s="21" t="n"/>
      <c r="AU19" s="21" t="n"/>
      <c r="AV19" s="21" t="n"/>
      <c r="AW19" s="21" t="n"/>
      <c r="AX19" s="21" t="n"/>
      <c r="AY19" s="21" t="n"/>
      <c r="AZ19" s="67" t="inlineStr">
        <is>
          <t>C13-1</t>
        </is>
      </c>
      <c r="BA19" s="21" t="n"/>
      <c r="BB19" s="21" t="n"/>
      <c r="BC19" s="21" t="n"/>
      <c r="BD19" s="21" t="n"/>
      <c r="BE19" s="68" t="inlineStr">
        <is>
          <t>R02-P001</t>
        </is>
      </c>
      <c r="BF19" s="21" t="n"/>
      <c r="BG19" s="21" t="n"/>
      <c r="BH19" s="21" t="n"/>
      <c r="BI19" s="21" t="n"/>
      <c r="BJ19" s="21" t="n"/>
      <c r="BK19" s="21" t="n"/>
    </row>
    <row r="20" ht="13.5" customHeight="1">
      <c r="B20" s="65" t="n">
        <v>2</v>
      </c>
      <c r="C20" s="21" t="n"/>
      <c r="D20" s="67" t="inlineStr">
        <is>
          <t>Gi1/0/2</t>
        </is>
      </c>
      <c r="E20" s="21" t="n"/>
      <c r="F20" s="21" t="n"/>
      <c r="G20" s="21" t="n"/>
      <c r="H20" s="21" t="n"/>
      <c r="I20" s="67" t="inlineStr">
        <is>
          <t>관리</t>
        </is>
      </c>
      <c r="J20" s="21" t="n"/>
      <c r="K20" s="21" t="n"/>
      <c r="L20" s="21" t="n"/>
      <c r="M20" s="67" t="inlineStr">
        <is>
          <t>SRV-02</t>
        </is>
      </c>
      <c r="N20" s="21" t="n"/>
      <c r="O20" s="21" t="n"/>
      <c r="P20" s="21" t="n"/>
      <c r="Q20" s="21" t="n"/>
      <c r="R20" s="21" t="n"/>
      <c r="S20" s="21" t="n"/>
      <c r="T20" s="67" t="inlineStr">
        <is>
          <t>iLO</t>
        </is>
      </c>
      <c r="U20" s="21" t="n"/>
      <c r="V20" s="21" t="n"/>
      <c r="W20" s="21" t="n"/>
      <c r="X20" s="21" t="n"/>
      <c r="Y20" s="68" t="inlineStr">
        <is>
          <t>R02-D002</t>
        </is>
      </c>
      <c r="Z20" s="21" t="n"/>
      <c r="AA20" s="21" t="n"/>
      <c r="AB20" s="21" t="n"/>
      <c r="AC20" s="21" t="n"/>
      <c r="AD20" s="21" t="n"/>
      <c r="AE20" s="21" t="n"/>
      <c r="AH20" s="65" t="n">
        <v>56</v>
      </c>
      <c r="AI20" s="21" t="n"/>
      <c r="AJ20" s="67" t="inlineStr">
        <is>
          <t>PSU2</t>
        </is>
      </c>
      <c r="AK20" s="21" t="n"/>
      <c r="AL20" s="21" t="n"/>
      <c r="AM20" s="21" t="n"/>
      <c r="AN20" s="21" t="n"/>
      <c r="AO20" s="67" t="inlineStr">
        <is>
          <t>전원</t>
        </is>
      </c>
      <c r="AP20" s="21" t="n"/>
      <c r="AQ20" s="21" t="n"/>
      <c r="AR20" s="21" t="n"/>
      <c r="AS20" s="67" t="inlineStr">
        <is>
          <t>PDU-B</t>
        </is>
      </c>
      <c r="AT20" s="21" t="n"/>
      <c r="AU20" s="21" t="n"/>
      <c r="AV20" s="21" t="n"/>
      <c r="AW20" s="21" t="n"/>
      <c r="AX20" s="21" t="n"/>
      <c r="AY20" s="21" t="n"/>
      <c r="AZ20" s="67" t="inlineStr">
        <is>
          <t>C13-1</t>
        </is>
      </c>
      <c r="BA20" s="21" t="n"/>
      <c r="BB20" s="21" t="n"/>
      <c r="BC20" s="21" t="n"/>
      <c r="BD20" s="21" t="n"/>
      <c r="BE20" s="68" t="inlineStr">
        <is>
          <t>R02-P002</t>
        </is>
      </c>
      <c r="BF20" s="21" t="n"/>
      <c r="BG20" s="21" t="n"/>
      <c r="BH20" s="21" t="n"/>
      <c r="BI20" s="21" t="n"/>
      <c r="BJ20" s="21" t="n"/>
      <c r="BK20" s="21" t="n"/>
    </row>
    <row r="21" ht="13.5" customHeight="1">
      <c r="B21" s="65" t="n">
        <v>3</v>
      </c>
      <c r="C21" s="21" t="n"/>
      <c r="D21" s="67" t="inlineStr">
        <is>
          <t>Gi1/0/3</t>
        </is>
      </c>
      <c r="E21" s="21" t="n"/>
      <c r="F21" s="21" t="n"/>
      <c r="G21" s="21" t="n"/>
      <c r="H21" s="21" t="n"/>
      <c r="I21" s="67" t="inlineStr">
        <is>
          <t>관리</t>
        </is>
      </c>
      <c r="J21" s="21" t="n"/>
      <c r="K21" s="21" t="n"/>
      <c r="L21" s="21" t="n"/>
      <c r="M21" s="67" t="inlineStr">
        <is>
          <t>SRV-03</t>
        </is>
      </c>
      <c r="N21" s="21" t="n"/>
      <c r="O21" s="21" t="n"/>
      <c r="P21" s="21" t="n"/>
      <c r="Q21" s="21" t="n"/>
      <c r="R21" s="21" t="n"/>
      <c r="S21" s="21" t="n"/>
      <c r="T21" s="67" t="inlineStr">
        <is>
          <t>iDRAC</t>
        </is>
      </c>
      <c r="U21" s="21" t="n"/>
      <c r="V21" s="21" t="n"/>
      <c r="W21" s="21" t="n"/>
      <c r="X21" s="21" t="n"/>
      <c r="Y21" s="68" t="inlineStr">
        <is>
          <t>R02-D003</t>
        </is>
      </c>
      <c r="Z21" s="21" t="n"/>
      <c r="AA21" s="21" t="n"/>
      <c r="AB21" s="21" t="n"/>
      <c r="AC21" s="21" t="n"/>
      <c r="AD21" s="21" t="n"/>
      <c r="AE21" s="21" t="n"/>
      <c r="AH21" s="65" t="n"/>
      <c r="AI21" s="21" t="n"/>
      <c r="AJ21" s="67" t="n"/>
      <c r="AK21" s="21" t="n"/>
      <c r="AL21" s="21" t="n"/>
      <c r="AM21" s="21" t="n"/>
      <c r="AN21" s="21" t="n"/>
      <c r="AO21" s="67" t="n"/>
      <c r="AP21" s="21" t="n"/>
      <c r="AQ21" s="21" t="n"/>
      <c r="AR21" s="21" t="n"/>
      <c r="AS21" s="67" t="n"/>
      <c r="AT21" s="21" t="n"/>
      <c r="AU21" s="21" t="n"/>
      <c r="AV21" s="21" t="n"/>
      <c r="AW21" s="21" t="n"/>
      <c r="AX21" s="21" t="n"/>
      <c r="AY21" s="21" t="n"/>
      <c r="AZ21" s="67" t="n"/>
      <c r="BA21" s="21" t="n"/>
      <c r="BB21" s="21" t="n"/>
      <c r="BC21" s="21" t="n"/>
      <c r="BD21" s="21" t="n"/>
      <c r="BE21" s="68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5" t="n">
        <v>4</v>
      </c>
      <c r="C22" s="21" t="n"/>
      <c r="D22" s="67" t="inlineStr">
        <is>
          <t>Gi1/0/4</t>
        </is>
      </c>
      <c r="E22" s="21" t="n"/>
      <c r="F22" s="21" t="n"/>
      <c r="G22" s="21" t="n"/>
      <c r="H22" s="21" t="n"/>
      <c r="I22" s="67" t="inlineStr">
        <is>
          <t>관리</t>
        </is>
      </c>
      <c r="J22" s="21" t="n"/>
      <c r="K22" s="21" t="n"/>
      <c r="L22" s="21" t="n"/>
      <c r="M22" s="67" t="inlineStr">
        <is>
          <t>ENC-01</t>
        </is>
      </c>
      <c r="N22" s="21" t="n"/>
      <c r="O22" s="21" t="n"/>
      <c r="P22" s="21" t="n"/>
      <c r="Q22" s="21" t="n"/>
      <c r="R22" s="21" t="n"/>
      <c r="S22" s="21" t="n"/>
      <c r="T22" s="67" t="inlineStr">
        <is>
          <t>OA1</t>
        </is>
      </c>
      <c r="U22" s="21" t="n"/>
      <c r="V22" s="21" t="n"/>
      <c r="W22" s="21" t="n"/>
      <c r="X22" s="21" t="n"/>
      <c r="Y22" s="68" t="inlineStr">
        <is>
          <t>R02-D004</t>
        </is>
      </c>
      <c r="Z22" s="21" t="n"/>
      <c r="AA22" s="21" t="n"/>
      <c r="AB22" s="21" t="n"/>
      <c r="AC22" s="21" t="n"/>
      <c r="AD22" s="21" t="n"/>
      <c r="AE22" s="21" t="n"/>
      <c r="AH22" s="65" t="n"/>
      <c r="AI22" s="21" t="n"/>
      <c r="AJ22" s="67" t="n"/>
      <c r="AK22" s="21" t="n"/>
      <c r="AL22" s="21" t="n"/>
      <c r="AM22" s="21" t="n"/>
      <c r="AN22" s="21" t="n"/>
      <c r="AO22" s="67" t="n"/>
      <c r="AP22" s="21" t="n"/>
      <c r="AQ22" s="21" t="n"/>
      <c r="AR22" s="21" t="n"/>
      <c r="AS22" s="67" t="n"/>
      <c r="AT22" s="21" t="n"/>
      <c r="AU22" s="21" t="n"/>
      <c r="AV22" s="21" t="n"/>
      <c r="AW22" s="21" t="n"/>
      <c r="AX22" s="21" t="n"/>
      <c r="AY22" s="21" t="n"/>
      <c r="AZ22" s="67" t="n"/>
      <c r="BA22" s="21" t="n"/>
      <c r="BB22" s="21" t="n"/>
      <c r="BC22" s="21" t="n"/>
      <c r="BD22" s="21" t="n"/>
      <c r="BE22" s="68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5" t="n">
        <v>5</v>
      </c>
      <c r="C23" s="21" t="n"/>
      <c r="D23" s="67" t="inlineStr">
        <is>
          <t>Gi1/0/5</t>
        </is>
      </c>
      <c r="E23" s="21" t="n"/>
      <c r="F23" s="21" t="n"/>
      <c r="G23" s="21" t="n"/>
      <c r="H23" s="21" t="n"/>
      <c r="I23" s="67" t="inlineStr">
        <is>
          <t>관리</t>
        </is>
      </c>
      <c r="J23" s="21" t="n"/>
      <c r="K23" s="21" t="n"/>
      <c r="L23" s="21" t="n"/>
      <c r="M23" s="67" t="inlineStr">
        <is>
          <t>ENC-01</t>
        </is>
      </c>
      <c r="N23" s="21" t="n"/>
      <c r="O23" s="21" t="n"/>
      <c r="P23" s="21" t="n"/>
      <c r="Q23" s="21" t="n"/>
      <c r="R23" s="21" t="n"/>
      <c r="S23" s="21" t="n"/>
      <c r="T23" s="67" t="inlineStr">
        <is>
          <t>OA2</t>
        </is>
      </c>
      <c r="U23" s="21" t="n"/>
      <c r="V23" s="21" t="n"/>
      <c r="W23" s="21" t="n"/>
      <c r="X23" s="21" t="n"/>
      <c r="Y23" s="68" t="inlineStr">
        <is>
          <t>R02-D005</t>
        </is>
      </c>
      <c r="Z23" s="21" t="n"/>
      <c r="AA23" s="21" t="n"/>
      <c r="AB23" s="21" t="n"/>
      <c r="AC23" s="21" t="n"/>
      <c r="AD23" s="21" t="n"/>
      <c r="AE23" s="21" t="n"/>
      <c r="AH23" s="65" t="n"/>
      <c r="AI23" s="21" t="n"/>
      <c r="AJ23" s="67" t="n"/>
      <c r="AK23" s="21" t="n"/>
      <c r="AL23" s="21" t="n"/>
      <c r="AM23" s="21" t="n"/>
      <c r="AN23" s="21" t="n"/>
      <c r="AO23" s="67" t="n"/>
      <c r="AP23" s="21" t="n"/>
      <c r="AQ23" s="21" t="n"/>
      <c r="AR23" s="21" t="n"/>
      <c r="AS23" s="67" t="n"/>
      <c r="AT23" s="21" t="n"/>
      <c r="AU23" s="21" t="n"/>
      <c r="AV23" s="21" t="n"/>
      <c r="AW23" s="21" t="n"/>
      <c r="AX23" s="21" t="n"/>
      <c r="AY23" s="21" t="n"/>
      <c r="AZ23" s="67" t="n"/>
      <c r="BA23" s="21" t="n"/>
      <c r="BB23" s="21" t="n"/>
      <c r="BC23" s="21" t="n"/>
      <c r="BD23" s="21" t="n"/>
      <c r="BE23" s="68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5" t="n">
        <v>6</v>
      </c>
      <c r="C24" s="21" t="n"/>
      <c r="D24" s="67" t="inlineStr">
        <is>
          <t>Gi1/0/6</t>
        </is>
      </c>
      <c r="E24" s="21" t="n"/>
      <c r="F24" s="21" t="n"/>
      <c r="G24" s="21" t="n"/>
      <c r="H24" s="21" t="n"/>
      <c r="I24" s="67" t="inlineStr">
        <is>
          <t>관리</t>
        </is>
      </c>
      <c r="J24" s="21" t="n"/>
      <c r="K24" s="21" t="n"/>
      <c r="L24" s="21" t="n"/>
      <c r="M24" s="67" t="inlineStr">
        <is>
          <t>STG-01</t>
        </is>
      </c>
      <c r="N24" s="21" t="n"/>
      <c r="O24" s="21" t="n"/>
      <c r="P24" s="21" t="n"/>
      <c r="Q24" s="21" t="n"/>
      <c r="R24" s="21" t="n"/>
      <c r="S24" s="21" t="n"/>
      <c r="T24" s="67" t="inlineStr">
        <is>
          <t>SPA-MGMT</t>
        </is>
      </c>
      <c r="U24" s="21" t="n"/>
      <c r="V24" s="21" t="n"/>
      <c r="W24" s="21" t="n"/>
      <c r="X24" s="21" t="n"/>
      <c r="Y24" s="68" t="inlineStr">
        <is>
          <t>R02-D006</t>
        </is>
      </c>
      <c r="Z24" s="21" t="n"/>
      <c r="AA24" s="21" t="n"/>
      <c r="AB24" s="21" t="n"/>
      <c r="AC24" s="21" t="n"/>
      <c r="AD24" s="21" t="n"/>
      <c r="AE24" s="21" t="n"/>
      <c r="AH24" s="65" t="n"/>
      <c r="AI24" s="21" t="n"/>
      <c r="AJ24" s="67" t="n"/>
      <c r="AK24" s="21" t="n"/>
      <c r="AL24" s="21" t="n"/>
      <c r="AM24" s="21" t="n"/>
      <c r="AN24" s="21" t="n"/>
      <c r="AO24" s="67" t="n"/>
      <c r="AP24" s="21" t="n"/>
      <c r="AQ24" s="21" t="n"/>
      <c r="AR24" s="21" t="n"/>
      <c r="AS24" s="67" t="n"/>
      <c r="AT24" s="21" t="n"/>
      <c r="AU24" s="21" t="n"/>
      <c r="AV24" s="21" t="n"/>
      <c r="AW24" s="21" t="n"/>
      <c r="AX24" s="21" t="n"/>
      <c r="AY24" s="21" t="n"/>
      <c r="AZ24" s="67" t="n"/>
      <c r="BA24" s="21" t="n"/>
      <c r="BB24" s="21" t="n"/>
      <c r="BC24" s="21" t="n"/>
      <c r="BD24" s="21" t="n"/>
      <c r="BE24" s="68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5" t="n">
        <v>7</v>
      </c>
      <c r="C25" s="21" t="n"/>
      <c r="D25" s="67" t="inlineStr">
        <is>
          <t>Gi1/0/7</t>
        </is>
      </c>
      <c r="E25" s="21" t="n"/>
      <c r="F25" s="21" t="n"/>
      <c r="G25" s="21" t="n"/>
      <c r="H25" s="21" t="n"/>
      <c r="I25" s="67" t="inlineStr">
        <is>
          <t>관리</t>
        </is>
      </c>
      <c r="J25" s="21" t="n"/>
      <c r="K25" s="21" t="n"/>
      <c r="L25" s="21" t="n"/>
      <c r="M25" s="67" t="inlineStr">
        <is>
          <t>STG-01</t>
        </is>
      </c>
      <c r="N25" s="21" t="n"/>
      <c r="O25" s="21" t="n"/>
      <c r="P25" s="21" t="n"/>
      <c r="Q25" s="21" t="n"/>
      <c r="R25" s="21" t="n"/>
      <c r="S25" s="21" t="n"/>
      <c r="T25" s="67" t="inlineStr">
        <is>
          <t>SPB-MGMT</t>
        </is>
      </c>
      <c r="U25" s="21" t="n"/>
      <c r="V25" s="21" t="n"/>
      <c r="W25" s="21" t="n"/>
      <c r="X25" s="21" t="n"/>
      <c r="Y25" s="68" t="inlineStr">
        <is>
          <t>R02-D007</t>
        </is>
      </c>
      <c r="Z25" s="21" t="n"/>
      <c r="AA25" s="21" t="n"/>
      <c r="AB25" s="21" t="n"/>
      <c r="AC25" s="21" t="n"/>
      <c r="AD25" s="21" t="n"/>
      <c r="AE25" s="21" t="n"/>
      <c r="AH25" s="65" t="n"/>
      <c r="AI25" s="21" t="n"/>
      <c r="AJ25" s="67" t="n"/>
      <c r="AK25" s="21" t="n"/>
      <c r="AL25" s="21" t="n"/>
      <c r="AM25" s="21" t="n"/>
      <c r="AN25" s="21" t="n"/>
      <c r="AO25" s="67" t="n"/>
      <c r="AP25" s="21" t="n"/>
      <c r="AQ25" s="21" t="n"/>
      <c r="AR25" s="21" t="n"/>
      <c r="AS25" s="67" t="n"/>
      <c r="AT25" s="21" t="n"/>
      <c r="AU25" s="21" t="n"/>
      <c r="AV25" s="21" t="n"/>
      <c r="AW25" s="21" t="n"/>
      <c r="AX25" s="21" t="n"/>
      <c r="AY25" s="21" t="n"/>
      <c r="AZ25" s="67" t="n"/>
      <c r="BA25" s="21" t="n"/>
      <c r="BB25" s="21" t="n"/>
      <c r="BC25" s="21" t="n"/>
      <c r="BD25" s="21" t="n"/>
      <c r="BE25" s="68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5" t="n">
        <v>8</v>
      </c>
      <c r="C26" s="21" t="n"/>
      <c r="D26" s="67" t="inlineStr">
        <is>
          <t>Gi1/0/8</t>
        </is>
      </c>
      <c r="E26" s="21" t="n"/>
      <c r="F26" s="21" t="n"/>
      <c r="G26" s="21" t="n"/>
      <c r="H26" s="21" t="n"/>
      <c r="I26" s="67" t="inlineStr">
        <is>
          <t>관리</t>
        </is>
      </c>
      <c r="J26" s="21" t="n"/>
      <c r="K26" s="21" t="n"/>
      <c r="L26" s="21" t="n"/>
      <c r="M26" s="67" t="inlineStr">
        <is>
          <t>TOR-A</t>
        </is>
      </c>
      <c r="N26" s="21" t="n"/>
      <c r="O26" s="21" t="n"/>
      <c r="P26" s="21" t="n"/>
      <c r="Q26" s="21" t="n"/>
      <c r="R26" s="21" t="n"/>
      <c r="S26" s="21" t="n"/>
      <c r="T26" s="67" t="inlineStr">
        <is>
          <t>mgmt0</t>
        </is>
      </c>
      <c r="U26" s="21" t="n"/>
      <c r="V26" s="21" t="n"/>
      <c r="W26" s="21" t="n"/>
      <c r="X26" s="21" t="n"/>
      <c r="Y26" s="68" t="inlineStr">
        <is>
          <t>R02-D008</t>
        </is>
      </c>
      <c r="Z26" s="21" t="n"/>
      <c r="AA26" s="21" t="n"/>
      <c r="AB26" s="21" t="n"/>
      <c r="AC26" s="21" t="n"/>
      <c r="AD26" s="21" t="n"/>
      <c r="AE26" s="21" t="n"/>
      <c r="AH26" s="65" t="n"/>
      <c r="AI26" s="21" t="n"/>
      <c r="AJ26" s="67" t="n"/>
      <c r="AK26" s="21" t="n"/>
      <c r="AL26" s="21" t="n"/>
      <c r="AM26" s="21" t="n"/>
      <c r="AN26" s="21" t="n"/>
      <c r="AO26" s="67" t="n"/>
      <c r="AP26" s="21" t="n"/>
      <c r="AQ26" s="21" t="n"/>
      <c r="AR26" s="21" t="n"/>
      <c r="AS26" s="67" t="n"/>
      <c r="AT26" s="21" t="n"/>
      <c r="AU26" s="21" t="n"/>
      <c r="AV26" s="21" t="n"/>
      <c r="AW26" s="21" t="n"/>
      <c r="AX26" s="21" t="n"/>
      <c r="AY26" s="21" t="n"/>
      <c r="AZ26" s="67" t="n"/>
      <c r="BA26" s="21" t="n"/>
      <c r="BB26" s="21" t="n"/>
      <c r="BC26" s="21" t="n"/>
      <c r="BD26" s="21" t="n"/>
      <c r="BE26" s="68" t="n"/>
      <c r="BF26" s="21" t="n"/>
      <c r="BG26" s="21" t="n"/>
      <c r="BH26" s="21" t="n"/>
      <c r="BI26" s="21" t="n"/>
      <c r="BJ26" s="21" t="n"/>
      <c r="BK26" s="21" t="n"/>
    </row>
    <row r="27" ht="13.5" customHeight="1">
      <c r="B27" s="65" t="n">
        <v>9</v>
      </c>
      <c r="C27" s="21" t="n"/>
      <c r="D27" s="67" t="inlineStr">
        <is>
          <t>Gi1/0/9</t>
        </is>
      </c>
      <c r="E27" s="21" t="n"/>
      <c r="F27" s="21" t="n"/>
      <c r="G27" s="21" t="n"/>
      <c r="H27" s="21" t="n"/>
      <c r="I27" s="67" t="inlineStr">
        <is>
          <t>관리</t>
        </is>
      </c>
      <c r="J27" s="21" t="n"/>
      <c r="K27" s="21" t="n"/>
      <c r="L27" s="21" t="n"/>
      <c r="M27" s="67" t="inlineStr">
        <is>
          <t>TOR-B</t>
        </is>
      </c>
      <c r="N27" s="21" t="n"/>
      <c r="O27" s="21" t="n"/>
      <c r="P27" s="21" t="n"/>
      <c r="Q27" s="21" t="n"/>
      <c r="R27" s="21" t="n"/>
      <c r="S27" s="21" t="n"/>
      <c r="T27" s="67" t="inlineStr">
        <is>
          <t>mgmt0</t>
        </is>
      </c>
      <c r="U27" s="21" t="n"/>
      <c r="V27" s="21" t="n"/>
      <c r="W27" s="21" t="n"/>
      <c r="X27" s="21" t="n"/>
      <c r="Y27" s="68" t="inlineStr">
        <is>
          <t>R02-D009</t>
        </is>
      </c>
      <c r="Z27" s="21" t="n"/>
      <c r="AA27" s="21" t="n"/>
      <c r="AB27" s="21" t="n"/>
      <c r="AC27" s="21" t="n"/>
      <c r="AD27" s="21" t="n"/>
      <c r="AE27" s="21" t="n"/>
      <c r="AH27" s="65" t="n"/>
      <c r="AI27" s="21" t="n"/>
      <c r="AJ27" s="67" t="n"/>
      <c r="AK27" s="21" t="n"/>
      <c r="AL27" s="21" t="n"/>
      <c r="AM27" s="21" t="n"/>
      <c r="AN27" s="21" t="n"/>
      <c r="AO27" s="67" t="n"/>
      <c r="AP27" s="21" t="n"/>
      <c r="AQ27" s="21" t="n"/>
      <c r="AR27" s="21" t="n"/>
      <c r="AS27" s="67" t="n"/>
      <c r="AT27" s="21" t="n"/>
      <c r="AU27" s="21" t="n"/>
      <c r="AV27" s="21" t="n"/>
      <c r="AW27" s="21" t="n"/>
      <c r="AX27" s="21" t="n"/>
      <c r="AY27" s="21" t="n"/>
      <c r="AZ27" s="67" t="n"/>
      <c r="BA27" s="21" t="n"/>
      <c r="BB27" s="21" t="n"/>
      <c r="BC27" s="21" t="n"/>
      <c r="BD27" s="21" t="n"/>
      <c r="BE27" s="68" t="n"/>
      <c r="BF27" s="21" t="n"/>
      <c r="BG27" s="21" t="n"/>
      <c r="BH27" s="21" t="n"/>
      <c r="BI27" s="21" t="n"/>
      <c r="BJ27" s="21" t="n"/>
      <c r="BK27" s="21" t="n"/>
    </row>
    <row r="28" ht="13.5" customHeight="1">
      <c r="B28" s="65" t="n">
        <v>10</v>
      </c>
      <c r="C28" s="21" t="n"/>
      <c r="D28" s="67" t="inlineStr">
        <is>
          <t>Gi1/0/10</t>
        </is>
      </c>
      <c r="E28" s="21" t="n"/>
      <c r="F28" s="21" t="n"/>
      <c r="G28" s="21" t="n"/>
      <c r="H28" s="21" t="n"/>
      <c r="I28" s="67" t="inlineStr">
        <is>
          <t>관리</t>
        </is>
      </c>
      <c r="J28" s="21" t="n"/>
      <c r="K28" s="21" t="n"/>
      <c r="L28" s="21" t="n"/>
      <c r="M28" s="67" t="inlineStr">
        <is>
          <t>SAN-A</t>
        </is>
      </c>
      <c r="N28" s="21" t="n"/>
      <c r="O28" s="21" t="n"/>
      <c r="P28" s="21" t="n"/>
      <c r="Q28" s="21" t="n"/>
      <c r="R28" s="21" t="n"/>
      <c r="S28" s="21" t="n"/>
      <c r="T28" s="67" t="inlineStr">
        <is>
          <t>MGMT</t>
        </is>
      </c>
      <c r="U28" s="21" t="n"/>
      <c r="V28" s="21" t="n"/>
      <c r="W28" s="21" t="n"/>
      <c r="X28" s="21" t="n"/>
      <c r="Y28" s="68" t="inlineStr">
        <is>
          <t>R02-D010</t>
        </is>
      </c>
      <c r="Z28" s="21" t="n"/>
      <c r="AA28" s="21" t="n"/>
      <c r="AB28" s="21" t="n"/>
      <c r="AC28" s="21" t="n"/>
      <c r="AD28" s="21" t="n"/>
      <c r="AE28" s="21" t="n"/>
      <c r="AH28" s="65" t="n"/>
      <c r="AI28" s="21" t="n"/>
      <c r="AJ28" s="67" t="n"/>
      <c r="AK28" s="21" t="n"/>
      <c r="AL28" s="21" t="n"/>
      <c r="AM28" s="21" t="n"/>
      <c r="AN28" s="21" t="n"/>
      <c r="AO28" s="67" t="n"/>
      <c r="AP28" s="21" t="n"/>
      <c r="AQ28" s="21" t="n"/>
      <c r="AR28" s="21" t="n"/>
      <c r="AS28" s="67" t="n"/>
      <c r="AT28" s="21" t="n"/>
      <c r="AU28" s="21" t="n"/>
      <c r="AV28" s="21" t="n"/>
      <c r="AW28" s="21" t="n"/>
      <c r="AX28" s="21" t="n"/>
      <c r="AY28" s="21" t="n"/>
      <c r="AZ28" s="67" t="n"/>
      <c r="BA28" s="21" t="n"/>
      <c r="BB28" s="21" t="n"/>
      <c r="BC28" s="21" t="n"/>
      <c r="BD28" s="21" t="n"/>
      <c r="BE28" s="68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5" t="n">
        <v>11</v>
      </c>
      <c r="C29" s="21" t="n"/>
      <c r="D29" s="67" t="inlineStr">
        <is>
          <t>Gi1/0/11</t>
        </is>
      </c>
      <c r="E29" s="21" t="n"/>
      <c r="F29" s="21" t="n"/>
      <c r="G29" s="21" t="n"/>
      <c r="H29" s="21" t="n"/>
      <c r="I29" s="67" t="inlineStr">
        <is>
          <t>관리</t>
        </is>
      </c>
      <c r="J29" s="21" t="n"/>
      <c r="K29" s="21" t="n"/>
      <c r="L29" s="21" t="n"/>
      <c r="M29" s="67" t="inlineStr">
        <is>
          <t>SAN-B</t>
        </is>
      </c>
      <c r="N29" s="21" t="n"/>
      <c r="O29" s="21" t="n"/>
      <c r="P29" s="21" t="n"/>
      <c r="Q29" s="21" t="n"/>
      <c r="R29" s="21" t="n"/>
      <c r="S29" s="21" t="n"/>
      <c r="T29" s="67" t="inlineStr">
        <is>
          <t>MGMT</t>
        </is>
      </c>
      <c r="U29" s="21" t="n"/>
      <c r="V29" s="21" t="n"/>
      <c r="W29" s="21" t="n"/>
      <c r="X29" s="21" t="n"/>
      <c r="Y29" s="68" t="inlineStr">
        <is>
          <t>R02-D011</t>
        </is>
      </c>
      <c r="Z29" s="21" t="n"/>
      <c r="AA29" s="21" t="n"/>
      <c r="AB29" s="21" t="n"/>
      <c r="AC29" s="21" t="n"/>
      <c r="AD29" s="21" t="n"/>
      <c r="AE29" s="21" t="n"/>
      <c r="AH29" s="65" t="n"/>
      <c r="AI29" s="21" t="n"/>
      <c r="AJ29" s="67" t="n"/>
      <c r="AK29" s="21" t="n"/>
      <c r="AL29" s="21" t="n"/>
      <c r="AM29" s="21" t="n"/>
      <c r="AN29" s="21" t="n"/>
      <c r="AO29" s="67" t="n"/>
      <c r="AP29" s="21" t="n"/>
      <c r="AQ29" s="21" t="n"/>
      <c r="AR29" s="21" t="n"/>
      <c r="AS29" s="67" t="n"/>
      <c r="AT29" s="21" t="n"/>
      <c r="AU29" s="21" t="n"/>
      <c r="AV29" s="21" t="n"/>
      <c r="AW29" s="21" t="n"/>
      <c r="AX29" s="21" t="n"/>
      <c r="AY29" s="21" t="n"/>
      <c r="AZ29" s="67" t="n"/>
      <c r="BA29" s="21" t="n"/>
      <c r="BB29" s="21" t="n"/>
      <c r="BC29" s="21" t="n"/>
      <c r="BD29" s="21" t="n"/>
      <c r="BE29" s="68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5" t="n">
        <v>49</v>
      </c>
      <c r="C30" s="21" t="n"/>
      <c r="D30" s="67" t="inlineStr">
        <is>
          <t>Te1/1/1</t>
        </is>
      </c>
      <c r="E30" s="21" t="n"/>
      <c r="F30" s="21" t="n"/>
      <c r="G30" s="21" t="n"/>
      <c r="H30" s="21" t="n"/>
      <c r="I30" s="67" t="inlineStr">
        <is>
          <t>관리</t>
        </is>
      </c>
      <c r="J30" s="21" t="n"/>
      <c r="K30" s="21" t="n"/>
      <c r="L30" s="21" t="n"/>
      <c r="M30" s="67" t="inlineStr">
        <is>
          <t>OOB-CORE</t>
        </is>
      </c>
      <c r="N30" s="21" t="n"/>
      <c r="O30" s="21" t="n"/>
      <c r="P30" s="21" t="n"/>
      <c r="Q30" s="21" t="n"/>
      <c r="R30" s="21" t="n"/>
      <c r="S30" s="21" t="n"/>
      <c r="T30" s="67" t="inlineStr">
        <is>
          <t>Te1/0/12</t>
        </is>
      </c>
      <c r="U30" s="21" t="n"/>
      <c r="V30" s="21" t="n"/>
      <c r="W30" s="21" t="n"/>
      <c r="X30" s="21" t="n"/>
      <c r="Y30" s="68" t="inlineStr">
        <is>
          <t>R02-D012</t>
        </is>
      </c>
      <c r="Z30" s="21" t="n"/>
      <c r="AA30" s="21" t="n"/>
      <c r="AB30" s="21" t="n"/>
      <c r="AC30" s="21" t="n"/>
      <c r="AD30" s="21" t="n"/>
      <c r="AE30" s="21" t="n"/>
      <c r="AH30" s="65" t="n"/>
      <c r="AI30" s="21" t="n"/>
      <c r="AJ30" s="67" t="n"/>
      <c r="AK30" s="21" t="n"/>
      <c r="AL30" s="21" t="n"/>
      <c r="AM30" s="21" t="n"/>
      <c r="AN30" s="21" t="n"/>
      <c r="AO30" s="67" t="n"/>
      <c r="AP30" s="21" t="n"/>
      <c r="AQ30" s="21" t="n"/>
      <c r="AR30" s="21" t="n"/>
      <c r="AS30" s="67" t="n"/>
      <c r="AT30" s="21" t="n"/>
      <c r="AU30" s="21" t="n"/>
      <c r="AV30" s="21" t="n"/>
      <c r="AW30" s="21" t="n"/>
      <c r="AX30" s="21" t="n"/>
      <c r="AY30" s="21" t="n"/>
      <c r="AZ30" s="67" t="n"/>
      <c r="BA30" s="21" t="n"/>
      <c r="BB30" s="21" t="n"/>
      <c r="BC30" s="21" t="n"/>
      <c r="BD30" s="21" t="n"/>
      <c r="BE30" s="68" t="n"/>
      <c r="BF30" s="21" t="n"/>
      <c r="BG30" s="21" t="n"/>
      <c r="BH30" s="21" t="n"/>
      <c r="BI30" s="21" t="n"/>
      <c r="BJ30" s="21" t="n"/>
      <c r="BK30" s="21" t="n"/>
    </row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</sheetData>
  <mergeCells count="221">
    <mergeCell ref="M18:S18"/>
    <mergeCell ref="BE27:BK27"/>
    <mergeCell ref="Q7:R7"/>
    <mergeCell ref="Y27:AE27"/>
    <mergeCell ref="T24:X24"/>
    <mergeCell ref="Y18:AE18"/>
    <mergeCell ref="D19:H19"/>
    <mergeCell ref="B22:C22"/>
    <mergeCell ref="AW7:AX7"/>
    <mergeCell ref="AZ24:BD24"/>
    <mergeCell ref="D6:E6"/>
    <mergeCell ref="M19:S19"/>
    <mergeCell ref="AQ7:AR7"/>
    <mergeCell ref="B21:C21"/>
    <mergeCell ref="BE19:BK19"/>
    <mergeCell ref="BE28:BK28"/>
    <mergeCell ref="S7:T7"/>
    <mergeCell ref="BA7:BB7"/>
    <mergeCell ref="AH20:AI20"/>
    <mergeCell ref="B4:B8"/>
    <mergeCell ref="AS30:AY30"/>
    <mergeCell ref="AS20:AY20"/>
    <mergeCell ref="BE30:BK30"/>
    <mergeCell ref="AJ18:AN18"/>
    <mergeCell ref="AO23:AR23"/>
    <mergeCell ref="AS29:AY29"/>
    <mergeCell ref="Y7:Z7"/>
    <mergeCell ref="D7:E7"/>
    <mergeCell ref="AA7:AB7"/>
    <mergeCell ref="I26:L26"/>
    <mergeCell ref="AH6:AI6"/>
    <mergeCell ref="D28:H28"/>
    <mergeCell ref="AJ6:AK6"/>
    <mergeCell ref="AS22:AY22"/>
    <mergeCell ref="BD6:BE6"/>
    <mergeCell ref="I25:L25"/>
    <mergeCell ref="T22:X22"/>
    <mergeCell ref="AS21:AY21"/>
    <mergeCell ref="AO24:AR24"/>
    <mergeCell ref="B24:C24"/>
    <mergeCell ref="D30:H30"/>
    <mergeCell ref="D12:I13"/>
    <mergeCell ref="AD7:AE7"/>
    <mergeCell ref="I18:L18"/>
    <mergeCell ref="AO18:AR18"/>
    <mergeCell ref="AJ20:AN20"/>
    <mergeCell ref="Y26:AE26"/>
    <mergeCell ref="AN7:AO7"/>
    <mergeCell ref="AJ29:AN29"/>
    <mergeCell ref="T28:X28"/>
    <mergeCell ref="D29:H29"/>
    <mergeCell ref="D23:H23"/>
    <mergeCell ref="M21:S21"/>
    <mergeCell ref="B26:C26"/>
    <mergeCell ref="AJ22:AN22"/>
    <mergeCell ref="B10:B14"/>
    <mergeCell ref="AT13:AU13"/>
    <mergeCell ref="M27:S27"/>
    <mergeCell ref="T30:X30"/>
    <mergeCell ref="L7:M7"/>
    <mergeCell ref="B25:C25"/>
    <mergeCell ref="N7:O7"/>
    <mergeCell ref="BE23:BK23"/>
    <mergeCell ref="T20:X20"/>
    <mergeCell ref="AJ21:AN21"/>
    <mergeCell ref="U6:V6"/>
    <mergeCell ref="BF7:BG7"/>
    <mergeCell ref="I20:L20"/>
    <mergeCell ref="W6:X6"/>
    <mergeCell ref="F6:G6"/>
    <mergeCell ref="M24:S24"/>
    <mergeCell ref="I29:L29"/>
    <mergeCell ref="T29:X29"/>
    <mergeCell ref="AH18:AI18"/>
    <mergeCell ref="B18:C18"/>
    <mergeCell ref="B27:C27"/>
    <mergeCell ref="AH24:AI24"/>
    <mergeCell ref="AS24:AY24"/>
    <mergeCell ref="AJ23:AN23"/>
    <mergeCell ref="AS18:AY18"/>
    <mergeCell ref="AA6:AB6"/>
    <mergeCell ref="AS6:AT6"/>
    <mergeCell ref="BE18:BK18"/>
    <mergeCell ref="BI7:BJ7"/>
    <mergeCell ref="AU6:AV6"/>
    <mergeCell ref="D27:H27"/>
    <mergeCell ref="AW6:AX6"/>
    <mergeCell ref="AF6:AG6"/>
    <mergeCell ref="AS26:AY26"/>
    <mergeCell ref="AH19:AI19"/>
    <mergeCell ref="U7:V7"/>
    <mergeCell ref="AZ26:BD26"/>
    <mergeCell ref="W7:X7"/>
    <mergeCell ref="B29:C29"/>
    <mergeCell ref="AO28:AR28"/>
    <mergeCell ref="BA6:BB6"/>
    <mergeCell ref="Y30:AE30"/>
    <mergeCell ref="AS7:AT7"/>
    <mergeCell ref="AZ25:BD25"/>
    <mergeCell ref="BE20:BK20"/>
    <mergeCell ref="Y20:AE20"/>
    <mergeCell ref="Y29:AE29"/>
    <mergeCell ref="AZ18:BD18"/>
    <mergeCell ref="AZ27:BD27"/>
    <mergeCell ref="AJ26:AN26"/>
    <mergeCell ref="D25:H25"/>
    <mergeCell ref="L6:M6"/>
    <mergeCell ref="BE22:BK22"/>
    <mergeCell ref="N6:O6"/>
    <mergeCell ref="AY7:AZ7"/>
    <mergeCell ref="Y22:AE22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BD7:BE7"/>
    <mergeCell ref="M29:S29"/>
    <mergeCell ref="AO25:AR25"/>
    <mergeCell ref="I19:L19"/>
    <mergeCell ref="M23:S23"/>
    <mergeCell ref="AH23:AI23"/>
    <mergeCell ref="F7:G7"/>
    <mergeCell ref="D21:H21"/>
    <mergeCell ref="Y23:AE23"/>
    <mergeCell ref="AO27:AR27"/>
    <mergeCell ref="AJ7:AK7"/>
    <mergeCell ref="AL7:AM7"/>
    <mergeCell ref="I30:L30"/>
    <mergeCell ref="BE24:BK24"/>
    <mergeCell ref="T21:X21"/>
    <mergeCell ref="BE12:BF12"/>
    <mergeCell ref="T26:X26"/>
    <mergeCell ref="B19:C19"/>
    <mergeCell ref="Q6:R6"/>
    <mergeCell ref="BI6:BJ6"/>
    <mergeCell ref="B28:C28"/>
    <mergeCell ref="S6:T6"/>
    <mergeCell ref="BE26:BK26"/>
    <mergeCell ref="AJ24:AN24"/>
    <mergeCell ref="M20:S20"/>
    <mergeCell ref="T23:X23"/>
    <mergeCell ref="AS25:AY25"/>
    <mergeCell ref="AH27:AI27"/>
    <mergeCell ref="D18:H18"/>
    <mergeCell ref="K12:P13"/>
    <mergeCell ref="BE25:BK25"/>
    <mergeCell ref="Y19:AE19"/>
    <mergeCell ref="B30:C30"/>
    <mergeCell ref="AU7:AV7"/>
    <mergeCell ref="AS27:AY27"/>
    <mergeCell ref="BE13:BF13"/>
    <mergeCell ref="I21:L21"/>
    <mergeCell ref="B20:C20"/>
    <mergeCell ref="AQ6:AR6"/>
    <mergeCell ref="M22:S22"/>
    <mergeCell ref="AH25:AI25"/>
    <mergeCell ref="AO30:AR30"/>
    <mergeCell ref="M30:S30"/>
    <mergeCell ref="Y25:AE25"/>
    <mergeCell ref="T27:X27"/>
    <mergeCell ref="AO20:AR20"/>
    <mergeCell ref="AO29:AR29"/>
    <mergeCell ref="T18:X18"/>
    <mergeCell ref="Y12:AD13"/>
    <mergeCell ref="M28:S28"/>
    <mergeCell ref="I23:L23"/>
    <mergeCell ref="D20:H20"/>
    <mergeCell ref="AS19:AY19"/>
    <mergeCell ref="AO22:AR22"/>
    <mergeCell ref="AS28:AY28"/>
    <mergeCell ref="AL6:AM6"/>
    <mergeCell ref="AZ19:BD19"/>
    <mergeCell ref="BF6:BG6"/>
    <mergeCell ref="AJ27:AN27"/>
    <mergeCell ref="AZ28:BD28"/>
    <mergeCell ref="D22:H22"/>
    <mergeCell ref="AO21:AR21"/>
    <mergeCell ref="AT12:AU12"/>
    <mergeCell ref="H6:I6"/>
    <mergeCell ref="T25:X25"/>
    <mergeCell ref="J6:K6"/>
    <mergeCell ref="AH29:AI29"/>
    <mergeCell ref="AZ30:BD30"/>
    <mergeCell ref="AD6:AE6"/>
    <mergeCell ref="B23:C23"/>
    <mergeCell ref="AZ20:BD20"/>
    <mergeCell ref="AJ19:AN19"/>
    <mergeCell ref="AJ28:AN28"/>
    <mergeCell ref="I27:L27"/>
    <mergeCell ref="BE29:BK29"/>
    <mergeCell ref="Y24:AE24"/>
    <mergeCell ref="AZ22:BD22"/>
    <mergeCell ref="H7:I7"/>
    <mergeCell ref="AY17:BB17"/>
    <mergeCell ref="J7:K7"/>
    <mergeCell ref="AJ30:AN30"/>
    <mergeCell ref="Y6:Z6"/>
    <mergeCell ref="Y21:AE21"/>
    <mergeCell ref="R12:W13"/>
    <mergeCell ref="AH30:AI30"/>
    <mergeCell ref="AO19:AR19"/>
    <mergeCell ref="I22:L22"/>
    <mergeCell ref="I28:L28"/>
    <mergeCell ref="AH26:AI26"/>
    <mergeCell ref="AZ21:BD21"/>
    <mergeCell ref="AF7:AG7"/>
    <mergeCell ref="D24:H24"/>
    <mergeCell ref="AH7:AI7"/>
    <mergeCell ref="AY6:AZ6"/>
    <mergeCell ref="M25:S25"/>
    <mergeCell ref="AZ29:BD29"/>
    <mergeCell ref="AZ23:BD23"/>
    <mergeCell ref="D26:H26"/>
  </mergeCells>
  <conditionalFormatting sqref="B19:C30">
    <cfRule type="expression" priority="1" dxfId="13" stopIfTrue="1">
      <formula>AND(ISNUMBER($B19),SUMPRODUCT(($C$4:$BK$15=$B19)*($C$4:$BK$15&lt;&gt;""))&lt;&gt;1)</formula>
    </cfRule>
    <cfRule type="expression" priority="2" dxfId="13" stopIfTrue="1">
      <formula>AND(ISNUMBER($B19),COUNTIF($B$19:$B$30,$B19)+COUNTIF($AH$19:$AH$30,$B19)&gt;1)</formula>
    </cfRule>
    <cfRule type="expression" priority="3" dxfId="14" stopIfTrue="1">
      <formula>$I19="서비스"</formula>
    </cfRule>
    <cfRule type="expression" priority="4" dxfId="15" stopIfTrue="1">
      <formula>$I19="관리"</formula>
    </cfRule>
    <cfRule type="expression" priority="5" dxfId="16" stopIfTrue="1">
      <formula>$I19="백업"</formula>
    </cfRule>
    <cfRule type="expression" priority="6" dxfId="17" stopIfTrue="1">
      <formula>$I19="스토리지"</formula>
    </cfRule>
    <cfRule type="expression" priority="7" dxfId="18" stopIfTrue="1">
      <formula>$I19="인터커넥트"</formula>
    </cfRule>
    <cfRule type="expression" priority="8" dxfId="19" stopIfTrue="1">
      <formula>$I19="콘솔"</formula>
    </cfRule>
    <cfRule type="expression" priority="9" dxfId="20" stopIfTrue="1">
      <formula>$I19="전원"</formula>
    </cfRule>
  </conditionalFormatting>
  <conditionalFormatting sqref="AH19:AI30">
    <cfRule type="expression" priority="10" dxfId="13" stopIfTrue="1">
      <formula>AND(ISNUMBER($AH19),SUMPRODUCT(($C$4:$BK$15=$AH19)*($C$4:$BK$15&lt;&gt;""))&lt;&gt;1)</formula>
    </cfRule>
    <cfRule type="expression" priority="11" dxfId="13" stopIfTrue="1">
      <formula>AND(ISNUMBER($AH19),COUNTIF($B$19:$B$30,$AH19)+COUNTIF($AH$19:$AH$30,$AH19)&gt;1)</formula>
    </cfRule>
    <cfRule type="expression" priority="12" dxfId="14" stopIfTrue="1">
      <formula>$AO19="서비스"</formula>
    </cfRule>
    <cfRule type="expression" priority="13" dxfId="15" stopIfTrue="1">
      <formula>$AO19="관리"</formula>
    </cfRule>
    <cfRule type="expression" priority="14" dxfId="16" stopIfTrue="1">
      <formula>$AO19="백업"</formula>
    </cfRule>
    <cfRule type="expression" priority="15" dxfId="17" stopIfTrue="1">
      <formula>$AO19="스토리지"</formula>
    </cfRule>
    <cfRule type="expression" priority="16" dxfId="18" stopIfTrue="1">
      <formula>$AO19="인터커넥트"</formula>
    </cfRule>
    <cfRule type="expression" priority="17" dxfId="19" stopIfTrue="1">
      <formula>$AO19="콘솔"</formula>
    </cfRule>
    <cfRule type="expression" priority="18" dxfId="20" stopIfTrue="1">
      <formula>$AO19="전원"</formula>
    </cfRule>
  </conditionalFormatting>
  <dataValidations count="2">
    <dataValidation sqref="I19:I30" showDropDown="0" showInputMessage="0" showErrorMessage="0" allowBlank="1" type="list">
      <formula1>"서비스,관리,백업,스토리지,인터커넥트,콘솔,전원,기타"</formula1>
    </dataValidation>
    <dataValidation sqref="AO19:AO30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TOR-A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Cisco Nexus 93180YC-FX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U39</t>
        </is>
      </c>
      <c r="Z2" s="5" t="inlineStr">
        <is>
          <t>구분</t>
        </is>
      </c>
      <c r="AB2" s="6" t="inlineStr">
        <is>
          <t>네트워크</t>
        </is>
      </c>
      <c r="AH2" s="5" t="inlineStr">
        <is>
          <t>시리얼</t>
        </is>
      </c>
      <c r="AK2" s="6" t="inlineStr">
        <is>
          <t>FDO2315A1BC</t>
        </is>
      </c>
      <c r="AS2" s="5" t="inlineStr">
        <is>
          <t>관리 IP</t>
        </is>
      </c>
      <c r="AV2" s="6" t="inlineStr">
        <is>
          <t>10.10.0.39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D5" s="45" t="inlineStr">
        <is>
          <t>1–48 · SFP28 25G</t>
        </is>
      </c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  <c r="AV5" s="46" t="n"/>
      <c r="AW5" s="46" t="n"/>
      <c r="AX5" s="46" t="n"/>
      <c r="AY5" s="47" t="n"/>
      <c r="BA5" s="45" t="inlineStr">
        <is>
          <t>49–54</t>
        </is>
      </c>
      <c r="BB5" s="46" t="n"/>
      <c r="BC5" s="46" t="n"/>
      <c r="BD5" s="46" t="n"/>
      <c r="BE5" s="46" t="n"/>
      <c r="BF5" s="47" t="n"/>
      <c r="BH5" s="90" t="inlineStr">
        <is>
          <t>관리</t>
        </is>
      </c>
      <c r="BI5" s="46" t="n"/>
      <c r="BJ5" s="47" t="n"/>
      <c r="BK5" s="17" t="n"/>
    </row>
    <row r="6" ht="12" customHeight="1">
      <c r="C6" s="18" t="n"/>
      <c r="D6" s="91" t="n">
        <v>1</v>
      </c>
      <c r="E6" s="40" t="n"/>
      <c r="F6" s="41" t="n">
        <v>3</v>
      </c>
      <c r="G6" s="40" t="n"/>
      <c r="H6" s="41" t="n">
        <v>5</v>
      </c>
      <c r="I6" s="40" t="n"/>
      <c r="J6" s="41" t="n">
        <v>7</v>
      </c>
      <c r="K6" s="40" t="n"/>
      <c r="L6" s="41" t="n">
        <v>9</v>
      </c>
      <c r="M6" s="40" t="n"/>
      <c r="N6" s="92" t="n">
        <v>11</v>
      </c>
      <c r="O6" s="40" t="n"/>
      <c r="P6" s="92" t="n">
        <v>13</v>
      </c>
      <c r="Q6" s="40" t="n"/>
      <c r="R6" s="92" t="n">
        <v>15</v>
      </c>
      <c r="S6" s="40" t="n"/>
      <c r="T6" s="41" t="n">
        <v>17</v>
      </c>
      <c r="U6" s="40" t="n"/>
      <c r="V6" s="41" t="n">
        <v>19</v>
      </c>
      <c r="W6" s="40" t="n"/>
      <c r="X6" s="93" t="n">
        <v>21</v>
      </c>
      <c r="Y6" s="40" t="n"/>
      <c r="Z6" s="41" t="n">
        <v>23</v>
      </c>
      <c r="AA6" s="40" t="n"/>
      <c r="AB6" s="41" t="n">
        <v>25</v>
      </c>
      <c r="AC6" s="40" t="n"/>
      <c r="AD6" s="41" t="n">
        <v>27</v>
      </c>
      <c r="AE6" s="40" t="n"/>
      <c r="AF6" s="41" t="n">
        <v>29</v>
      </c>
      <c r="AG6" s="40" t="n"/>
      <c r="AH6" s="41" t="n">
        <v>31</v>
      </c>
      <c r="AI6" s="40" t="n"/>
      <c r="AJ6" s="41" t="n">
        <v>33</v>
      </c>
      <c r="AK6" s="40" t="n"/>
      <c r="AL6" s="41" t="n">
        <v>35</v>
      </c>
      <c r="AM6" s="40" t="n"/>
      <c r="AN6" s="41" t="n">
        <v>37</v>
      </c>
      <c r="AO6" s="40" t="n"/>
      <c r="AP6" s="41" t="n">
        <v>39</v>
      </c>
      <c r="AQ6" s="40" t="n"/>
      <c r="AR6" s="41" t="n">
        <v>41</v>
      </c>
      <c r="AS6" s="40" t="n"/>
      <c r="AT6" s="41" t="n">
        <v>43</v>
      </c>
      <c r="AU6" s="40" t="n"/>
      <c r="AV6" s="41" t="n">
        <v>45</v>
      </c>
      <c r="AW6" s="40" t="n"/>
      <c r="AX6" s="72" t="n">
        <v>47</v>
      </c>
      <c r="AY6" s="73" t="n"/>
      <c r="BA6" s="91" t="n">
        <v>49</v>
      </c>
      <c r="BB6" s="40" t="n"/>
      <c r="BC6" s="41" t="n">
        <v>51</v>
      </c>
      <c r="BD6" s="40" t="n"/>
      <c r="BE6" s="94" t="n">
        <v>53</v>
      </c>
      <c r="BF6" s="73" t="n"/>
      <c r="BH6" s="48" t="n"/>
      <c r="BI6" s="95" t="n">
        <v>55</v>
      </c>
      <c r="BJ6" s="73" t="n"/>
      <c r="BK6" s="17" t="n"/>
    </row>
    <row r="7" ht="12" customHeight="1">
      <c r="C7" s="18" t="n"/>
      <c r="D7" s="96" t="n">
        <v>2</v>
      </c>
      <c r="E7" s="76" t="n"/>
      <c r="F7" s="78" t="n">
        <v>4</v>
      </c>
      <c r="G7" s="76" t="n"/>
      <c r="H7" s="78" t="n">
        <v>6</v>
      </c>
      <c r="I7" s="76" t="n"/>
      <c r="J7" s="78" t="n">
        <v>8</v>
      </c>
      <c r="K7" s="76" t="n"/>
      <c r="L7" s="78" t="n">
        <v>10</v>
      </c>
      <c r="M7" s="76" t="n"/>
      <c r="N7" s="97" t="n">
        <v>12</v>
      </c>
      <c r="O7" s="76" t="n"/>
      <c r="P7" s="97" t="n">
        <v>14</v>
      </c>
      <c r="Q7" s="76" t="n"/>
      <c r="R7" s="78" t="n">
        <v>16</v>
      </c>
      <c r="S7" s="76" t="n"/>
      <c r="T7" s="78" t="n">
        <v>18</v>
      </c>
      <c r="U7" s="76" t="n"/>
      <c r="V7" s="78" t="n">
        <v>20</v>
      </c>
      <c r="W7" s="76" t="n"/>
      <c r="X7" s="78" t="n">
        <v>22</v>
      </c>
      <c r="Y7" s="76" t="n"/>
      <c r="Z7" s="78" t="n">
        <v>24</v>
      </c>
      <c r="AA7" s="76" t="n"/>
      <c r="AB7" s="78" t="n">
        <v>26</v>
      </c>
      <c r="AC7" s="76" t="n"/>
      <c r="AD7" s="78" t="n">
        <v>28</v>
      </c>
      <c r="AE7" s="76" t="n"/>
      <c r="AF7" s="78" t="n">
        <v>30</v>
      </c>
      <c r="AG7" s="76" t="n"/>
      <c r="AH7" s="78" t="n">
        <v>32</v>
      </c>
      <c r="AI7" s="76" t="n"/>
      <c r="AJ7" s="78" t="n">
        <v>34</v>
      </c>
      <c r="AK7" s="76" t="n"/>
      <c r="AL7" s="78" t="n">
        <v>36</v>
      </c>
      <c r="AM7" s="76" t="n"/>
      <c r="AN7" s="78" t="n">
        <v>38</v>
      </c>
      <c r="AO7" s="76" t="n"/>
      <c r="AP7" s="78" t="n">
        <v>40</v>
      </c>
      <c r="AQ7" s="76" t="n"/>
      <c r="AR7" s="78" t="n">
        <v>42</v>
      </c>
      <c r="AS7" s="76" t="n"/>
      <c r="AT7" s="78" t="n">
        <v>44</v>
      </c>
      <c r="AU7" s="76" t="n"/>
      <c r="AV7" s="78" t="n">
        <v>46</v>
      </c>
      <c r="AW7" s="76" t="n"/>
      <c r="AX7" s="79" t="n">
        <v>48</v>
      </c>
      <c r="AY7" s="80" t="n"/>
      <c r="BA7" s="96" t="n">
        <v>50</v>
      </c>
      <c r="BB7" s="76" t="n"/>
      <c r="BC7" s="78" t="n">
        <v>52</v>
      </c>
      <c r="BD7" s="76" t="n"/>
      <c r="BE7" s="98" t="n">
        <v>54</v>
      </c>
      <c r="BF7" s="80" t="n"/>
      <c r="BH7" s="51" t="n"/>
      <c r="BI7" s="99" t="inlineStr">
        <is>
          <t>C</t>
        </is>
      </c>
      <c r="BJ7" s="80" t="n"/>
      <c r="BK7" s="17" t="n"/>
    </row>
    <row r="8" ht="12" customHeight="1">
      <c r="C8" s="42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  <c r="AD8" s="43" t="n"/>
      <c r="AE8" s="43" t="n"/>
      <c r="AF8" s="43" t="n"/>
      <c r="AG8" s="43" t="n"/>
      <c r="AH8" s="43" t="n"/>
      <c r="AI8" s="43" t="n"/>
      <c r="AJ8" s="43" t="n"/>
      <c r="AK8" s="43" t="n"/>
      <c r="AL8" s="43" t="n"/>
      <c r="AM8" s="43" t="n"/>
      <c r="AN8" s="43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4" t="n"/>
    </row>
    <row r="9" ht="12" customHeight="1"/>
    <row r="10" ht="12" customHeight="1">
      <c r="B10" s="35" t="inlineStr">
        <is>
          <t>후  면</t>
        </is>
      </c>
      <c r="C10" s="36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7" t="n"/>
    </row>
    <row r="11" ht="12" customHeight="1">
      <c r="C11" s="18" t="n"/>
      <c r="D11" s="45" t="inlineStr">
        <is>
          <t>FAN 1</t>
        </is>
      </c>
      <c r="E11" s="46" t="n"/>
      <c r="F11" s="46" t="n"/>
      <c r="G11" s="46" t="n"/>
      <c r="H11" s="46" t="n"/>
      <c r="I11" s="47" t="n"/>
      <c r="K11" s="45" t="inlineStr">
        <is>
          <t>FAN 2</t>
        </is>
      </c>
      <c r="L11" s="46" t="n"/>
      <c r="M11" s="46" t="n"/>
      <c r="N11" s="46" t="n"/>
      <c r="O11" s="46" t="n"/>
      <c r="P11" s="47" t="n"/>
      <c r="R11" s="45" t="inlineStr">
        <is>
          <t>FAN 3</t>
        </is>
      </c>
      <c r="S11" s="46" t="n"/>
      <c r="T11" s="46" t="n"/>
      <c r="U11" s="46" t="n"/>
      <c r="V11" s="46" t="n"/>
      <c r="W11" s="47" t="n"/>
      <c r="Y11" s="45" t="inlineStr">
        <is>
          <t>FAN 4</t>
        </is>
      </c>
      <c r="Z11" s="46" t="n"/>
      <c r="AA11" s="46" t="n"/>
      <c r="AB11" s="46" t="n"/>
      <c r="AC11" s="46" t="n"/>
      <c r="AD11" s="47" t="n"/>
      <c r="AP11" s="45" t="inlineStr">
        <is>
          <t>PSU 1</t>
        </is>
      </c>
      <c r="AQ11" s="46" t="n"/>
      <c r="AR11" s="46" t="n"/>
      <c r="AS11" s="46" t="n"/>
      <c r="AT11" s="46" t="n"/>
      <c r="AU11" s="46" t="n"/>
      <c r="AV11" s="46" t="n"/>
      <c r="AW11" s="46" t="n"/>
      <c r="AX11" s="46" t="n"/>
      <c r="AY11" s="47" t="n"/>
      <c r="BA11" s="45" t="inlineStr">
        <is>
          <t>PSU 2</t>
        </is>
      </c>
      <c r="BB11" s="46" t="n"/>
      <c r="BC11" s="46" t="n"/>
      <c r="BD11" s="46" t="n"/>
      <c r="BE11" s="46" t="n"/>
      <c r="BF11" s="46" t="n"/>
      <c r="BG11" s="46" t="n"/>
      <c r="BH11" s="46" t="n"/>
      <c r="BI11" s="46" t="n"/>
      <c r="BJ11" s="47" t="n"/>
      <c r="BK11" s="17" t="n"/>
    </row>
    <row r="12" ht="12" customHeight="1">
      <c r="C12" s="18" t="n"/>
      <c r="D12" s="83" t="inlineStr">
        <is>
          <t>◎</t>
        </is>
      </c>
      <c r="I12" s="84" t="n"/>
      <c r="K12" s="83" t="inlineStr">
        <is>
          <t>◎</t>
        </is>
      </c>
      <c r="P12" s="84" t="n"/>
      <c r="R12" s="83" t="inlineStr">
        <is>
          <t>◎</t>
        </is>
      </c>
      <c r="W12" s="84" t="n"/>
      <c r="Y12" s="83" t="inlineStr">
        <is>
          <t>◎</t>
        </is>
      </c>
      <c r="AD12" s="84" t="n"/>
      <c r="AP12" s="48" t="n"/>
      <c r="AQ12" s="49" t="n"/>
      <c r="AR12" s="49" t="n"/>
      <c r="AS12" s="49" t="n"/>
      <c r="AT12" s="85" t="n">
        <v>57</v>
      </c>
      <c r="AU12" s="40" t="n"/>
      <c r="AV12" s="49" t="n"/>
      <c r="AW12" s="49" t="n"/>
      <c r="AX12" s="49" t="n"/>
      <c r="AY12" s="50" t="n"/>
      <c r="BA12" s="48" t="n"/>
      <c r="BB12" s="49" t="n"/>
      <c r="BC12" s="49" t="n"/>
      <c r="BD12" s="49" t="n"/>
      <c r="BE12" s="85" t="n">
        <v>58</v>
      </c>
      <c r="BF12" s="40" t="n"/>
      <c r="BG12" s="49" t="n"/>
      <c r="BH12" s="49" t="n"/>
      <c r="BI12" s="49" t="n"/>
      <c r="BJ12" s="50" t="n"/>
      <c r="BK12" s="17" t="n"/>
    </row>
    <row r="13" ht="12" customHeight="1">
      <c r="C13" s="18" t="n"/>
      <c r="D13" s="86" t="n"/>
      <c r="E13" s="87" t="n"/>
      <c r="F13" s="87" t="n"/>
      <c r="G13" s="87" t="n"/>
      <c r="H13" s="87" t="n"/>
      <c r="I13" s="88" t="n"/>
      <c r="K13" s="86" t="n"/>
      <c r="L13" s="87" t="n"/>
      <c r="M13" s="87" t="n"/>
      <c r="N13" s="87" t="n"/>
      <c r="O13" s="87" t="n"/>
      <c r="P13" s="88" t="n"/>
      <c r="R13" s="86" t="n"/>
      <c r="S13" s="87" t="n"/>
      <c r="T13" s="87" t="n"/>
      <c r="U13" s="87" t="n"/>
      <c r="V13" s="87" t="n"/>
      <c r="W13" s="88" t="n"/>
      <c r="Y13" s="86" t="n"/>
      <c r="Z13" s="87" t="n"/>
      <c r="AA13" s="87" t="n"/>
      <c r="AB13" s="87" t="n"/>
      <c r="AC13" s="87" t="n"/>
      <c r="AD13" s="88" t="n"/>
      <c r="AP13" s="51" t="n"/>
      <c r="AQ13" s="52" t="n"/>
      <c r="AR13" s="52" t="n"/>
      <c r="AS13" s="52" t="n"/>
      <c r="AT13" s="89" t="inlineStr">
        <is>
          <t>C14</t>
        </is>
      </c>
      <c r="AU13" s="87" t="n"/>
      <c r="AV13" s="52" t="n"/>
      <c r="AW13" s="52" t="n"/>
      <c r="AX13" s="52" t="n"/>
      <c r="AY13" s="53" t="n"/>
      <c r="BA13" s="51" t="n"/>
      <c r="BB13" s="52" t="n"/>
      <c r="BC13" s="52" t="n"/>
      <c r="BD13" s="52" t="n"/>
      <c r="BE13" s="89" t="inlineStr">
        <is>
          <t>C14</t>
        </is>
      </c>
      <c r="BF13" s="87" t="n"/>
      <c r="BG13" s="52" t="n"/>
      <c r="BH13" s="52" t="n"/>
      <c r="BI13" s="52" t="n"/>
      <c r="BJ13" s="53" t="n"/>
      <c r="BK13" s="17" t="n"/>
    </row>
    <row r="14" ht="12" customHeight="1">
      <c r="C14" s="4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43" t="n"/>
      <c r="AW14" s="43" t="n"/>
      <c r="AX14" s="43" t="n"/>
      <c r="AY14" s="43" t="n"/>
      <c r="AZ14" s="43" t="n"/>
      <c r="BA14" s="43" t="n"/>
      <c r="BB14" s="43" t="n"/>
      <c r="BC14" s="43" t="n"/>
      <c r="BD14" s="43" t="n"/>
      <c r="BE14" s="43" t="n"/>
      <c r="BF14" s="43" t="n"/>
      <c r="BG14" s="43" t="n"/>
      <c r="BH14" s="43" t="n"/>
      <c r="BI14" s="43" t="n"/>
      <c r="BJ14" s="43" t="n"/>
      <c r="BK14" s="44" t="n"/>
    </row>
    <row r="15" ht="12" customHeight="1"/>
    <row r="16" ht="12" customHeight="1">
      <c r="C16" s="8" t="inlineStr">
        <is>
          <t>칸 안 숫자 = 장비에 인쇄된 포트 번호(= 도면 번호) · 색 칸 = 연결됨</t>
        </is>
      </c>
    </row>
    <row r="17" ht="12" customHeight="1">
      <c r="B17" s="7" t="inlineStr">
        <is>
          <t>연결 정보</t>
        </is>
      </c>
      <c r="H17" s="54" t="n"/>
      <c r="I17" s="28" t="inlineStr">
        <is>
          <t>서비스</t>
        </is>
      </c>
      <c r="L17" s="55" t="n"/>
      <c r="M17" s="28" t="inlineStr">
        <is>
          <t>관리</t>
        </is>
      </c>
      <c r="O17" s="56" t="n"/>
      <c r="P17" s="28" t="inlineStr">
        <is>
          <t>백업</t>
        </is>
      </c>
      <c r="R17" s="57" t="n"/>
      <c r="S17" s="28" t="inlineStr">
        <is>
          <t>스토리지</t>
        </is>
      </c>
      <c r="V17" s="58" t="n"/>
      <c r="W17" s="28" t="inlineStr">
        <is>
          <t>인터커넥트</t>
        </is>
      </c>
      <c r="AA17" s="59" t="n"/>
      <c r="AB17" s="28" t="inlineStr">
        <is>
          <t>콘솔</t>
        </is>
      </c>
      <c r="AD17" s="60" t="n"/>
      <c r="AE17" s="28" t="inlineStr">
        <is>
          <t>전원</t>
        </is>
      </c>
      <c r="AG17" s="61" t="n"/>
      <c r="AH17" s="28" t="inlineStr">
        <is>
          <t>미연결</t>
        </is>
      </c>
      <c r="AL17" s="62" t="n">
        <v>7</v>
      </c>
      <c r="AM17" s="28" t="inlineStr">
        <is>
          <t>도면 번호</t>
        </is>
      </c>
      <c r="AQ17" s="63" t="inlineStr">
        <is>
          <t>LOM1</t>
        </is>
      </c>
      <c r="AS17" s="28" t="inlineStr">
        <is>
          <t>포트명(장비 표기)</t>
        </is>
      </c>
      <c r="AY17" s="64" t="inlineStr">
        <is>
          <t>A-0001</t>
        </is>
      </c>
      <c r="AZ17" s="21" t="n"/>
      <c r="BA17" s="21" t="n"/>
      <c r="BB17" s="21" t="n"/>
      <c r="BC17" s="28" t="inlineStr">
        <is>
          <t>케이블 라벨</t>
        </is>
      </c>
    </row>
    <row r="18" ht="15" customHeight="1">
      <c r="B18" s="11" t="inlineStr">
        <is>
          <t>번호</t>
        </is>
      </c>
      <c r="C18" s="12" t="n"/>
      <c r="D18" s="13" t="inlineStr">
        <is>
          <t>포트명</t>
        </is>
      </c>
      <c r="E18" s="12" t="n"/>
      <c r="F18" s="12" t="n"/>
      <c r="G18" s="12" t="n"/>
      <c r="H18" s="12" t="n"/>
      <c r="I18" s="13" t="inlineStr">
        <is>
          <t>용도</t>
        </is>
      </c>
      <c r="J18" s="12" t="n"/>
      <c r="K18" s="12" t="n"/>
      <c r="L18" s="12" t="n"/>
      <c r="M18" s="13" t="inlineStr">
        <is>
          <t>상대 장비</t>
        </is>
      </c>
      <c r="N18" s="12" t="n"/>
      <c r="O18" s="12" t="n"/>
      <c r="P18" s="12" t="n"/>
      <c r="Q18" s="12" t="n"/>
      <c r="R18" s="12" t="n"/>
      <c r="S18" s="12" t="n"/>
      <c r="T18" s="13" t="inlineStr">
        <is>
          <t>상대 포트</t>
        </is>
      </c>
      <c r="U18" s="12" t="n"/>
      <c r="V18" s="12" t="n"/>
      <c r="W18" s="12" t="n"/>
      <c r="X18" s="12" t="n"/>
      <c r="Y18" s="13" t="inlineStr">
        <is>
          <t>케이블 라벨</t>
        </is>
      </c>
      <c r="Z18" s="12" t="n"/>
      <c r="AA18" s="12" t="n"/>
      <c r="AB18" s="12" t="n"/>
      <c r="AC18" s="12" t="n"/>
      <c r="AD18" s="12" t="n"/>
      <c r="AE18" s="12" t="n"/>
      <c r="AH18" s="11" t="inlineStr">
        <is>
          <t>번호</t>
        </is>
      </c>
      <c r="AI18" s="12" t="n"/>
      <c r="AJ18" s="13" t="inlineStr">
        <is>
          <t>포트명</t>
        </is>
      </c>
      <c r="AK18" s="12" t="n"/>
      <c r="AL18" s="12" t="n"/>
      <c r="AM18" s="12" t="n"/>
      <c r="AN18" s="12" t="n"/>
      <c r="AO18" s="13" t="inlineStr">
        <is>
          <t>용도</t>
        </is>
      </c>
      <c r="AP18" s="12" t="n"/>
      <c r="AQ18" s="12" t="n"/>
      <c r="AR18" s="12" t="n"/>
      <c r="AS18" s="13" t="inlineStr">
        <is>
          <t>상대 장비</t>
        </is>
      </c>
      <c r="AT18" s="12" t="n"/>
      <c r="AU18" s="12" t="n"/>
      <c r="AV18" s="12" t="n"/>
      <c r="AW18" s="12" t="n"/>
      <c r="AX18" s="12" t="n"/>
      <c r="AY18" s="12" t="n"/>
      <c r="AZ18" s="13" t="inlineStr">
        <is>
          <t>상대 포트</t>
        </is>
      </c>
      <c r="BA18" s="12" t="n"/>
      <c r="BB18" s="12" t="n"/>
      <c r="BC18" s="12" t="n"/>
      <c r="BD18" s="12" t="n"/>
      <c r="BE18" s="13" t="inlineStr">
        <is>
          <t>케이블 라벨</t>
        </is>
      </c>
      <c r="BF18" s="12" t="n"/>
      <c r="BG18" s="12" t="n"/>
      <c r="BH18" s="12" t="n"/>
      <c r="BI18" s="12" t="n"/>
      <c r="BJ18" s="12" t="n"/>
      <c r="BK18" s="12" t="n"/>
    </row>
    <row r="19" ht="13.5" customHeight="1">
      <c r="B19" s="65" t="n">
        <v>1</v>
      </c>
      <c r="C19" s="21" t="n"/>
      <c r="D19" s="67" t="inlineStr">
        <is>
          <t>Eth1/1</t>
        </is>
      </c>
      <c r="E19" s="21" t="n"/>
      <c r="F19" s="21" t="n"/>
      <c r="G19" s="21" t="n"/>
      <c r="H19" s="21" t="n"/>
      <c r="I19" s="67" t="inlineStr">
        <is>
          <t>서비스</t>
        </is>
      </c>
      <c r="J19" s="21" t="n"/>
      <c r="K19" s="21" t="n"/>
      <c r="L19" s="21" t="n"/>
      <c r="M19" s="67" t="inlineStr">
        <is>
          <t>ENC-01</t>
        </is>
      </c>
      <c r="N19" s="21" t="n"/>
      <c r="O19" s="21" t="n"/>
      <c r="P19" s="21" t="n"/>
      <c r="Q19" s="21" t="n"/>
      <c r="R19" s="21" t="n"/>
      <c r="S19" s="21" t="n"/>
      <c r="T19" s="67" t="inlineStr">
        <is>
          <t>B1-X3</t>
        </is>
      </c>
      <c r="U19" s="21" t="n"/>
      <c r="V19" s="21" t="n"/>
      <c r="W19" s="21" t="n"/>
      <c r="X19" s="21" t="n"/>
      <c r="Y19" s="68" t="inlineStr">
        <is>
          <t>R02-D023</t>
        </is>
      </c>
      <c r="Z19" s="21" t="n"/>
      <c r="AA19" s="21" t="n"/>
      <c r="AB19" s="21" t="n"/>
      <c r="AC19" s="21" t="n"/>
      <c r="AD19" s="21" t="n"/>
      <c r="AE19" s="21" t="n"/>
      <c r="AH19" s="65" t="n">
        <v>55</v>
      </c>
      <c r="AI19" s="21" t="n"/>
      <c r="AJ19" s="67" t="inlineStr">
        <is>
          <t>mgmt0</t>
        </is>
      </c>
      <c r="AK19" s="21" t="n"/>
      <c r="AL19" s="21" t="n"/>
      <c r="AM19" s="21" t="n"/>
      <c r="AN19" s="21" t="n"/>
      <c r="AO19" s="67" t="inlineStr">
        <is>
          <t>관리</t>
        </is>
      </c>
      <c r="AP19" s="21" t="n"/>
      <c r="AQ19" s="21" t="n"/>
      <c r="AR19" s="21" t="n"/>
      <c r="AS19" s="67" t="inlineStr">
        <is>
          <t>MGMT-SW</t>
        </is>
      </c>
      <c r="AT19" s="21" t="n"/>
      <c r="AU19" s="21" t="n"/>
      <c r="AV19" s="21" t="n"/>
      <c r="AW19" s="21" t="n"/>
      <c r="AX19" s="21" t="n"/>
      <c r="AY19" s="21" t="n"/>
      <c r="AZ19" s="67" t="inlineStr">
        <is>
          <t>Gi1/0/8</t>
        </is>
      </c>
      <c r="BA19" s="21" t="n"/>
      <c r="BB19" s="21" t="n"/>
      <c r="BC19" s="21" t="n"/>
      <c r="BD19" s="21" t="n"/>
      <c r="BE19" s="68" t="inlineStr">
        <is>
          <t>R02-D008</t>
        </is>
      </c>
      <c r="BF19" s="21" t="n"/>
      <c r="BG19" s="21" t="n"/>
      <c r="BH19" s="21" t="n"/>
      <c r="BI19" s="21" t="n"/>
      <c r="BJ19" s="21" t="n"/>
      <c r="BK19" s="21" t="n"/>
    </row>
    <row r="20" ht="13.5" customHeight="1">
      <c r="B20" s="65" t="n">
        <v>2</v>
      </c>
      <c r="C20" s="21" t="n"/>
      <c r="D20" s="67" t="inlineStr">
        <is>
          <t>Eth1/2</t>
        </is>
      </c>
      <c r="E20" s="21" t="n"/>
      <c r="F20" s="21" t="n"/>
      <c r="G20" s="21" t="n"/>
      <c r="H20" s="21" t="n"/>
      <c r="I20" s="67" t="inlineStr">
        <is>
          <t>서비스</t>
        </is>
      </c>
      <c r="J20" s="21" t="n"/>
      <c r="K20" s="21" t="n"/>
      <c r="L20" s="21" t="n"/>
      <c r="M20" s="67" t="inlineStr">
        <is>
          <t>ENC-01</t>
        </is>
      </c>
      <c r="N20" s="21" t="n"/>
      <c r="O20" s="21" t="n"/>
      <c r="P20" s="21" t="n"/>
      <c r="Q20" s="21" t="n"/>
      <c r="R20" s="21" t="n"/>
      <c r="S20" s="21" t="n"/>
      <c r="T20" s="67" t="inlineStr">
        <is>
          <t>B1-X4</t>
        </is>
      </c>
      <c r="U20" s="21" t="n"/>
      <c r="V20" s="21" t="n"/>
      <c r="W20" s="21" t="n"/>
      <c r="X20" s="21" t="n"/>
      <c r="Y20" s="68" t="inlineStr">
        <is>
          <t>R02-D024</t>
        </is>
      </c>
      <c r="Z20" s="21" t="n"/>
      <c r="AA20" s="21" t="n"/>
      <c r="AB20" s="21" t="n"/>
      <c r="AC20" s="21" t="n"/>
      <c r="AD20" s="21" t="n"/>
      <c r="AE20" s="21" t="n"/>
      <c r="AH20" s="65" t="n">
        <v>57</v>
      </c>
      <c r="AI20" s="21" t="n"/>
      <c r="AJ20" s="67" t="inlineStr">
        <is>
          <t>PSU1</t>
        </is>
      </c>
      <c r="AK20" s="21" t="n"/>
      <c r="AL20" s="21" t="n"/>
      <c r="AM20" s="21" t="n"/>
      <c r="AN20" s="21" t="n"/>
      <c r="AO20" s="67" t="inlineStr">
        <is>
          <t>전원</t>
        </is>
      </c>
      <c r="AP20" s="21" t="n"/>
      <c r="AQ20" s="21" t="n"/>
      <c r="AR20" s="21" t="n"/>
      <c r="AS20" s="67" t="inlineStr">
        <is>
          <t>PDU-A</t>
        </is>
      </c>
      <c r="AT20" s="21" t="n"/>
      <c r="AU20" s="21" t="n"/>
      <c r="AV20" s="21" t="n"/>
      <c r="AW20" s="21" t="n"/>
      <c r="AX20" s="21" t="n"/>
      <c r="AY20" s="21" t="n"/>
      <c r="AZ20" s="67" t="inlineStr">
        <is>
          <t>C13-2</t>
        </is>
      </c>
      <c r="BA20" s="21" t="n"/>
      <c r="BB20" s="21" t="n"/>
      <c r="BC20" s="21" t="n"/>
      <c r="BD20" s="21" t="n"/>
      <c r="BE20" s="68" t="inlineStr">
        <is>
          <t>R02-P003</t>
        </is>
      </c>
      <c r="BF20" s="21" t="n"/>
      <c r="BG20" s="21" t="n"/>
      <c r="BH20" s="21" t="n"/>
      <c r="BI20" s="21" t="n"/>
      <c r="BJ20" s="21" t="n"/>
      <c r="BK20" s="21" t="n"/>
    </row>
    <row r="21" ht="13.5" customHeight="1">
      <c r="B21" s="65" t="n">
        <v>11</v>
      </c>
      <c r="C21" s="21" t="n"/>
      <c r="D21" s="67" t="inlineStr">
        <is>
          <t>Eth1/11</t>
        </is>
      </c>
      <c r="E21" s="21" t="n"/>
      <c r="F21" s="21" t="n"/>
      <c r="G21" s="21" t="n"/>
      <c r="H21" s="21" t="n"/>
      <c r="I21" s="67" t="inlineStr">
        <is>
          <t>서비스</t>
        </is>
      </c>
      <c r="J21" s="21" t="n"/>
      <c r="K21" s="21" t="n"/>
      <c r="L21" s="21" t="n"/>
      <c r="M21" s="67" t="inlineStr">
        <is>
          <t>SRV-01</t>
        </is>
      </c>
      <c r="N21" s="21" t="n"/>
      <c r="O21" s="21" t="n"/>
      <c r="P21" s="21" t="n"/>
      <c r="Q21" s="21" t="n"/>
      <c r="R21" s="21" t="n"/>
      <c r="S21" s="21" t="n"/>
      <c r="T21" s="67" t="inlineStr">
        <is>
          <t>FLR1</t>
        </is>
      </c>
      <c r="U21" s="21" t="n"/>
      <c r="V21" s="21" t="n"/>
      <c r="W21" s="21" t="n"/>
      <c r="X21" s="21" t="n"/>
      <c r="Y21" s="68" t="inlineStr">
        <is>
          <t>R02-D013</t>
        </is>
      </c>
      <c r="Z21" s="21" t="n"/>
      <c r="AA21" s="21" t="n"/>
      <c r="AB21" s="21" t="n"/>
      <c r="AC21" s="21" t="n"/>
      <c r="AD21" s="21" t="n"/>
      <c r="AE21" s="21" t="n"/>
      <c r="AH21" s="65" t="n">
        <v>58</v>
      </c>
      <c r="AI21" s="21" t="n"/>
      <c r="AJ21" s="67" t="inlineStr">
        <is>
          <t>PSU2</t>
        </is>
      </c>
      <c r="AK21" s="21" t="n"/>
      <c r="AL21" s="21" t="n"/>
      <c r="AM21" s="21" t="n"/>
      <c r="AN21" s="21" t="n"/>
      <c r="AO21" s="67" t="inlineStr">
        <is>
          <t>전원</t>
        </is>
      </c>
      <c r="AP21" s="21" t="n"/>
      <c r="AQ21" s="21" t="n"/>
      <c r="AR21" s="21" t="n"/>
      <c r="AS21" s="67" t="inlineStr">
        <is>
          <t>PDU-B</t>
        </is>
      </c>
      <c r="AT21" s="21" t="n"/>
      <c r="AU21" s="21" t="n"/>
      <c r="AV21" s="21" t="n"/>
      <c r="AW21" s="21" t="n"/>
      <c r="AX21" s="21" t="n"/>
      <c r="AY21" s="21" t="n"/>
      <c r="AZ21" s="67" t="inlineStr">
        <is>
          <t>C13-2</t>
        </is>
      </c>
      <c r="BA21" s="21" t="n"/>
      <c r="BB21" s="21" t="n"/>
      <c r="BC21" s="21" t="n"/>
      <c r="BD21" s="21" t="n"/>
      <c r="BE21" s="68" t="inlineStr">
        <is>
          <t>R02-P004</t>
        </is>
      </c>
      <c r="BF21" s="21" t="n"/>
      <c r="BG21" s="21" t="n"/>
      <c r="BH21" s="21" t="n"/>
      <c r="BI21" s="21" t="n"/>
      <c r="BJ21" s="21" t="n"/>
      <c r="BK21" s="21" t="n"/>
    </row>
    <row r="22" ht="13.5" customHeight="1">
      <c r="B22" s="65" t="n">
        <v>12</v>
      </c>
      <c r="C22" s="21" t="n"/>
      <c r="D22" s="67" t="inlineStr">
        <is>
          <t>Eth1/12</t>
        </is>
      </c>
      <c r="E22" s="21" t="n"/>
      <c r="F22" s="21" t="n"/>
      <c r="G22" s="21" t="n"/>
      <c r="H22" s="21" t="n"/>
      <c r="I22" s="67" t="inlineStr">
        <is>
          <t>서비스</t>
        </is>
      </c>
      <c r="J22" s="21" t="n"/>
      <c r="K22" s="21" t="n"/>
      <c r="L22" s="21" t="n"/>
      <c r="M22" s="67" t="inlineStr">
        <is>
          <t>SRV-01</t>
        </is>
      </c>
      <c r="N22" s="21" t="n"/>
      <c r="O22" s="21" t="n"/>
      <c r="P22" s="21" t="n"/>
      <c r="Q22" s="21" t="n"/>
      <c r="R22" s="21" t="n"/>
      <c r="S22" s="21" t="n"/>
      <c r="T22" s="67" t="inlineStr">
        <is>
          <t>S4-P1</t>
        </is>
      </c>
      <c r="U22" s="21" t="n"/>
      <c r="V22" s="21" t="n"/>
      <c r="W22" s="21" t="n"/>
      <c r="X22" s="21" t="n"/>
      <c r="Y22" s="68" t="inlineStr">
        <is>
          <t>R02-D015</t>
        </is>
      </c>
      <c r="Z22" s="21" t="n"/>
      <c r="AA22" s="21" t="n"/>
      <c r="AB22" s="21" t="n"/>
      <c r="AC22" s="21" t="n"/>
      <c r="AD22" s="21" t="n"/>
      <c r="AE22" s="21" t="n"/>
      <c r="AH22" s="65" t="n"/>
      <c r="AI22" s="21" t="n"/>
      <c r="AJ22" s="67" t="n"/>
      <c r="AK22" s="21" t="n"/>
      <c r="AL22" s="21" t="n"/>
      <c r="AM22" s="21" t="n"/>
      <c r="AN22" s="21" t="n"/>
      <c r="AO22" s="67" t="n"/>
      <c r="AP22" s="21" t="n"/>
      <c r="AQ22" s="21" t="n"/>
      <c r="AR22" s="21" t="n"/>
      <c r="AS22" s="67" t="n"/>
      <c r="AT22" s="21" t="n"/>
      <c r="AU22" s="21" t="n"/>
      <c r="AV22" s="21" t="n"/>
      <c r="AW22" s="21" t="n"/>
      <c r="AX22" s="21" t="n"/>
      <c r="AY22" s="21" t="n"/>
      <c r="AZ22" s="67" t="n"/>
      <c r="BA22" s="21" t="n"/>
      <c r="BB22" s="21" t="n"/>
      <c r="BC22" s="21" t="n"/>
      <c r="BD22" s="21" t="n"/>
      <c r="BE22" s="68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5" t="n">
        <v>13</v>
      </c>
      <c r="C23" s="21" t="n"/>
      <c r="D23" s="67" t="inlineStr">
        <is>
          <t>Eth1/13</t>
        </is>
      </c>
      <c r="E23" s="21" t="n"/>
      <c r="F23" s="21" t="n"/>
      <c r="G23" s="21" t="n"/>
      <c r="H23" s="21" t="n"/>
      <c r="I23" s="67" t="inlineStr">
        <is>
          <t>서비스</t>
        </is>
      </c>
      <c r="J23" s="21" t="n"/>
      <c r="K23" s="21" t="n"/>
      <c r="L23" s="21" t="n"/>
      <c r="M23" s="67" t="inlineStr">
        <is>
          <t>SRV-02</t>
        </is>
      </c>
      <c r="N23" s="21" t="n"/>
      <c r="O23" s="21" t="n"/>
      <c r="P23" s="21" t="n"/>
      <c r="Q23" s="21" t="n"/>
      <c r="R23" s="21" t="n"/>
      <c r="S23" s="21" t="n"/>
      <c r="T23" s="67" t="inlineStr">
        <is>
          <t>FLR1</t>
        </is>
      </c>
      <c r="U23" s="21" t="n"/>
      <c r="V23" s="21" t="n"/>
      <c r="W23" s="21" t="n"/>
      <c r="X23" s="21" t="n"/>
      <c r="Y23" s="68" t="inlineStr">
        <is>
          <t>R02-D017</t>
        </is>
      </c>
      <c r="Z23" s="21" t="n"/>
      <c r="AA23" s="21" t="n"/>
      <c r="AB23" s="21" t="n"/>
      <c r="AC23" s="21" t="n"/>
      <c r="AD23" s="21" t="n"/>
      <c r="AE23" s="21" t="n"/>
      <c r="AH23" s="65" t="n"/>
      <c r="AI23" s="21" t="n"/>
      <c r="AJ23" s="67" t="n"/>
      <c r="AK23" s="21" t="n"/>
      <c r="AL23" s="21" t="n"/>
      <c r="AM23" s="21" t="n"/>
      <c r="AN23" s="21" t="n"/>
      <c r="AO23" s="67" t="n"/>
      <c r="AP23" s="21" t="n"/>
      <c r="AQ23" s="21" t="n"/>
      <c r="AR23" s="21" t="n"/>
      <c r="AS23" s="67" t="n"/>
      <c r="AT23" s="21" t="n"/>
      <c r="AU23" s="21" t="n"/>
      <c r="AV23" s="21" t="n"/>
      <c r="AW23" s="21" t="n"/>
      <c r="AX23" s="21" t="n"/>
      <c r="AY23" s="21" t="n"/>
      <c r="AZ23" s="67" t="n"/>
      <c r="BA23" s="21" t="n"/>
      <c r="BB23" s="21" t="n"/>
      <c r="BC23" s="21" t="n"/>
      <c r="BD23" s="21" t="n"/>
      <c r="BE23" s="68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5" t="n">
        <v>14</v>
      </c>
      <c r="C24" s="21" t="n"/>
      <c r="D24" s="67" t="inlineStr">
        <is>
          <t>Eth1/14</t>
        </is>
      </c>
      <c r="E24" s="21" t="n"/>
      <c r="F24" s="21" t="n"/>
      <c r="G24" s="21" t="n"/>
      <c r="H24" s="21" t="n"/>
      <c r="I24" s="67" t="inlineStr">
        <is>
          <t>서비스</t>
        </is>
      </c>
      <c r="J24" s="21" t="n"/>
      <c r="K24" s="21" t="n"/>
      <c r="L24" s="21" t="n"/>
      <c r="M24" s="67" t="inlineStr">
        <is>
          <t>SRV-02</t>
        </is>
      </c>
      <c r="N24" s="21" t="n"/>
      <c r="O24" s="21" t="n"/>
      <c r="P24" s="21" t="n"/>
      <c r="Q24" s="21" t="n"/>
      <c r="R24" s="21" t="n"/>
      <c r="S24" s="21" t="n"/>
      <c r="T24" s="67" t="inlineStr">
        <is>
          <t>S4-P1</t>
        </is>
      </c>
      <c r="U24" s="21" t="n"/>
      <c r="V24" s="21" t="n"/>
      <c r="W24" s="21" t="n"/>
      <c r="X24" s="21" t="n"/>
      <c r="Y24" s="68" t="inlineStr">
        <is>
          <t>R02-D019</t>
        </is>
      </c>
      <c r="Z24" s="21" t="n"/>
      <c r="AA24" s="21" t="n"/>
      <c r="AB24" s="21" t="n"/>
      <c r="AC24" s="21" t="n"/>
      <c r="AD24" s="21" t="n"/>
      <c r="AE24" s="21" t="n"/>
      <c r="AH24" s="65" t="n"/>
      <c r="AI24" s="21" t="n"/>
      <c r="AJ24" s="67" t="n"/>
      <c r="AK24" s="21" t="n"/>
      <c r="AL24" s="21" t="n"/>
      <c r="AM24" s="21" t="n"/>
      <c r="AN24" s="21" t="n"/>
      <c r="AO24" s="67" t="n"/>
      <c r="AP24" s="21" t="n"/>
      <c r="AQ24" s="21" t="n"/>
      <c r="AR24" s="21" t="n"/>
      <c r="AS24" s="67" t="n"/>
      <c r="AT24" s="21" t="n"/>
      <c r="AU24" s="21" t="n"/>
      <c r="AV24" s="21" t="n"/>
      <c r="AW24" s="21" t="n"/>
      <c r="AX24" s="21" t="n"/>
      <c r="AY24" s="21" t="n"/>
      <c r="AZ24" s="67" t="n"/>
      <c r="BA24" s="21" t="n"/>
      <c r="BB24" s="21" t="n"/>
      <c r="BC24" s="21" t="n"/>
      <c r="BD24" s="21" t="n"/>
      <c r="BE24" s="68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5" t="n">
        <v>15</v>
      </c>
      <c r="C25" s="21" t="n"/>
      <c r="D25" s="67" t="inlineStr">
        <is>
          <t>Eth1/15</t>
        </is>
      </c>
      <c r="E25" s="21" t="n"/>
      <c r="F25" s="21" t="n"/>
      <c r="G25" s="21" t="n"/>
      <c r="H25" s="21" t="n"/>
      <c r="I25" s="67" t="inlineStr">
        <is>
          <t>서비스</t>
        </is>
      </c>
      <c r="J25" s="21" t="n"/>
      <c r="K25" s="21" t="n"/>
      <c r="L25" s="21" t="n"/>
      <c r="M25" s="67" t="inlineStr">
        <is>
          <t>SRV-03</t>
        </is>
      </c>
      <c r="N25" s="21" t="n"/>
      <c r="O25" s="21" t="n"/>
      <c r="P25" s="21" t="n"/>
      <c r="Q25" s="21" t="n"/>
      <c r="R25" s="21" t="n"/>
      <c r="S25" s="21" t="n"/>
      <c r="T25" s="67" t="inlineStr">
        <is>
          <t>NDC1</t>
        </is>
      </c>
      <c r="U25" s="21" t="n"/>
      <c r="V25" s="21" t="n"/>
      <c r="W25" s="21" t="n"/>
      <c r="X25" s="21" t="n"/>
      <c r="Y25" s="68" t="inlineStr">
        <is>
          <t>R02-D021</t>
        </is>
      </c>
      <c r="Z25" s="21" t="n"/>
      <c r="AA25" s="21" t="n"/>
      <c r="AB25" s="21" t="n"/>
      <c r="AC25" s="21" t="n"/>
      <c r="AD25" s="21" t="n"/>
      <c r="AE25" s="21" t="n"/>
      <c r="AH25" s="65" t="n"/>
      <c r="AI25" s="21" t="n"/>
      <c r="AJ25" s="67" t="n"/>
      <c r="AK25" s="21" t="n"/>
      <c r="AL25" s="21" t="n"/>
      <c r="AM25" s="21" t="n"/>
      <c r="AN25" s="21" t="n"/>
      <c r="AO25" s="67" t="n"/>
      <c r="AP25" s="21" t="n"/>
      <c r="AQ25" s="21" t="n"/>
      <c r="AR25" s="21" t="n"/>
      <c r="AS25" s="67" t="n"/>
      <c r="AT25" s="21" t="n"/>
      <c r="AU25" s="21" t="n"/>
      <c r="AV25" s="21" t="n"/>
      <c r="AW25" s="21" t="n"/>
      <c r="AX25" s="21" t="n"/>
      <c r="AY25" s="21" t="n"/>
      <c r="AZ25" s="67" t="n"/>
      <c r="BA25" s="21" t="n"/>
      <c r="BB25" s="21" t="n"/>
      <c r="BC25" s="21" t="n"/>
      <c r="BD25" s="21" t="n"/>
      <c r="BE25" s="68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5" t="n">
        <v>21</v>
      </c>
      <c r="C26" s="21" t="n"/>
      <c r="D26" s="67" t="inlineStr">
        <is>
          <t>Eth1/21</t>
        </is>
      </c>
      <c r="E26" s="21" t="n"/>
      <c r="F26" s="21" t="n"/>
      <c r="G26" s="21" t="n"/>
      <c r="H26" s="21" t="n"/>
      <c r="I26" s="67" t="inlineStr">
        <is>
          <t>스토리지</t>
        </is>
      </c>
      <c r="J26" s="21" t="n"/>
      <c r="K26" s="21" t="n"/>
      <c r="L26" s="21" t="n"/>
      <c r="M26" s="67" t="inlineStr">
        <is>
          <t>STG-01</t>
        </is>
      </c>
      <c r="N26" s="21" t="n"/>
      <c r="O26" s="21" t="n"/>
      <c r="P26" s="21" t="n"/>
      <c r="Q26" s="21" t="n"/>
      <c r="R26" s="21" t="n"/>
      <c r="S26" s="21" t="n"/>
      <c r="T26" s="67" t="inlineStr">
        <is>
          <t>SPA-ETH0</t>
        </is>
      </c>
      <c r="U26" s="21" t="n"/>
      <c r="V26" s="21" t="n"/>
      <c r="W26" s="21" t="n"/>
      <c r="X26" s="21" t="n"/>
      <c r="Y26" s="68" t="inlineStr">
        <is>
          <t>R02-D027</t>
        </is>
      </c>
      <c r="Z26" s="21" t="n"/>
      <c r="AA26" s="21" t="n"/>
      <c r="AB26" s="21" t="n"/>
      <c r="AC26" s="21" t="n"/>
      <c r="AD26" s="21" t="n"/>
      <c r="AE26" s="21" t="n"/>
      <c r="AH26" s="65" t="n"/>
      <c r="AI26" s="21" t="n"/>
      <c r="AJ26" s="67" t="n"/>
      <c r="AK26" s="21" t="n"/>
      <c r="AL26" s="21" t="n"/>
      <c r="AM26" s="21" t="n"/>
      <c r="AN26" s="21" t="n"/>
      <c r="AO26" s="67" t="n"/>
      <c r="AP26" s="21" t="n"/>
      <c r="AQ26" s="21" t="n"/>
      <c r="AR26" s="21" t="n"/>
      <c r="AS26" s="67" t="n"/>
      <c r="AT26" s="21" t="n"/>
      <c r="AU26" s="21" t="n"/>
      <c r="AV26" s="21" t="n"/>
      <c r="AW26" s="21" t="n"/>
      <c r="AX26" s="21" t="n"/>
      <c r="AY26" s="21" t="n"/>
      <c r="AZ26" s="67" t="n"/>
      <c r="BA26" s="21" t="n"/>
      <c r="BB26" s="21" t="n"/>
      <c r="BC26" s="21" t="n"/>
      <c r="BD26" s="21" t="n"/>
      <c r="BE26" s="68" t="n"/>
      <c r="BF26" s="21" t="n"/>
      <c r="BG26" s="21" t="n"/>
      <c r="BH26" s="21" t="n"/>
      <c r="BI26" s="21" t="n"/>
      <c r="BJ26" s="21" t="n"/>
      <c r="BK26" s="21" t="n"/>
    </row>
    <row r="27" ht="13.5" customHeight="1">
      <c r="B27" s="65" t="n">
        <v>49</v>
      </c>
      <c r="C27" s="21" t="n"/>
      <c r="D27" s="67" t="inlineStr">
        <is>
          <t>Eth1/49</t>
        </is>
      </c>
      <c r="E27" s="21" t="n"/>
      <c r="F27" s="21" t="n"/>
      <c r="G27" s="21" t="n"/>
      <c r="H27" s="21" t="n"/>
      <c r="I27" s="67" t="inlineStr">
        <is>
          <t>서비스</t>
        </is>
      </c>
      <c r="J27" s="21" t="n"/>
      <c r="K27" s="21" t="n"/>
      <c r="L27" s="21" t="n"/>
      <c r="M27" s="67" t="inlineStr">
        <is>
          <t>SPINE-01</t>
        </is>
      </c>
      <c r="N27" s="21" t="n"/>
      <c r="O27" s="21" t="n"/>
      <c r="P27" s="21" t="n"/>
      <c r="Q27" s="21" t="n"/>
      <c r="R27" s="21" t="n"/>
      <c r="S27" s="21" t="n"/>
      <c r="T27" s="67" t="inlineStr">
        <is>
          <t>Eth1/1</t>
        </is>
      </c>
      <c r="U27" s="21" t="n"/>
      <c r="V27" s="21" t="n"/>
      <c r="W27" s="21" t="n"/>
      <c r="X27" s="21" t="n"/>
      <c r="Y27" s="68" t="inlineStr">
        <is>
          <t>R02-D032</t>
        </is>
      </c>
      <c r="Z27" s="21" t="n"/>
      <c r="AA27" s="21" t="n"/>
      <c r="AB27" s="21" t="n"/>
      <c r="AC27" s="21" t="n"/>
      <c r="AD27" s="21" t="n"/>
      <c r="AE27" s="21" t="n"/>
      <c r="AH27" s="65" t="n"/>
      <c r="AI27" s="21" t="n"/>
      <c r="AJ27" s="67" t="n"/>
      <c r="AK27" s="21" t="n"/>
      <c r="AL27" s="21" t="n"/>
      <c r="AM27" s="21" t="n"/>
      <c r="AN27" s="21" t="n"/>
      <c r="AO27" s="67" t="n"/>
      <c r="AP27" s="21" t="n"/>
      <c r="AQ27" s="21" t="n"/>
      <c r="AR27" s="21" t="n"/>
      <c r="AS27" s="67" t="n"/>
      <c r="AT27" s="21" t="n"/>
      <c r="AU27" s="21" t="n"/>
      <c r="AV27" s="21" t="n"/>
      <c r="AW27" s="21" t="n"/>
      <c r="AX27" s="21" t="n"/>
      <c r="AY27" s="21" t="n"/>
      <c r="AZ27" s="67" t="n"/>
      <c r="BA27" s="21" t="n"/>
      <c r="BB27" s="21" t="n"/>
      <c r="BC27" s="21" t="n"/>
      <c r="BD27" s="21" t="n"/>
      <c r="BE27" s="68" t="n"/>
      <c r="BF27" s="21" t="n"/>
      <c r="BG27" s="21" t="n"/>
      <c r="BH27" s="21" t="n"/>
      <c r="BI27" s="21" t="n"/>
      <c r="BJ27" s="21" t="n"/>
      <c r="BK27" s="21" t="n"/>
    </row>
    <row r="28" ht="13.5" customHeight="1">
      <c r="B28" s="65" t="n">
        <v>50</v>
      </c>
      <c r="C28" s="21" t="n"/>
      <c r="D28" s="67" t="inlineStr">
        <is>
          <t>Eth1/50</t>
        </is>
      </c>
      <c r="E28" s="21" t="n"/>
      <c r="F28" s="21" t="n"/>
      <c r="G28" s="21" t="n"/>
      <c r="H28" s="21" t="n"/>
      <c r="I28" s="67" t="inlineStr">
        <is>
          <t>서비스</t>
        </is>
      </c>
      <c r="J28" s="21" t="n"/>
      <c r="K28" s="21" t="n"/>
      <c r="L28" s="21" t="n"/>
      <c r="M28" s="67" t="inlineStr">
        <is>
          <t>SPINE-02</t>
        </is>
      </c>
      <c r="N28" s="21" t="n"/>
      <c r="O28" s="21" t="n"/>
      <c r="P28" s="21" t="n"/>
      <c r="Q28" s="21" t="n"/>
      <c r="R28" s="21" t="n"/>
      <c r="S28" s="21" t="n"/>
      <c r="T28" s="67" t="inlineStr">
        <is>
          <t>Eth1/1</t>
        </is>
      </c>
      <c r="U28" s="21" t="n"/>
      <c r="V28" s="21" t="n"/>
      <c r="W28" s="21" t="n"/>
      <c r="X28" s="21" t="n"/>
      <c r="Y28" s="68" t="inlineStr">
        <is>
          <t>R02-D033</t>
        </is>
      </c>
      <c r="Z28" s="21" t="n"/>
      <c r="AA28" s="21" t="n"/>
      <c r="AB28" s="21" t="n"/>
      <c r="AC28" s="21" t="n"/>
      <c r="AD28" s="21" t="n"/>
      <c r="AE28" s="21" t="n"/>
      <c r="AH28" s="65" t="n"/>
      <c r="AI28" s="21" t="n"/>
      <c r="AJ28" s="67" t="n"/>
      <c r="AK28" s="21" t="n"/>
      <c r="AL28" s="21" t="n"/>
      <c r="AM28" s="21" t="n"/>
      <c r="AN28" s="21" t="n"/>
      <c r="AO28" s="67" t="n"/>
      <c r="AP28" s="21" t="n"/>
      <c r="AQ28" s="21" t="n"/>
      <c r="AR28" s="21" t="n"/>
      <c r="AS28" s="67" t="n"/>
      <c r="AT28" s="21" t="n"/>
      <c r="AU28" s="21" t="n"/>
      <c r="AV28" s="21" t="n"/>
      <c r="AW28" s="21" t="n"/>
      <c r="AX28" s="21" t="n"/>
      <c r="AY28" s="21" t="n"/>
      <c r="AZ28" s="67" t="n"/>
      <c r="BA28" s="21" t="n"/>
      <c r="BB28" s="21" t="n"/>
      <c r="BC28" s="21" t="n"/>
      <c r="BD28" s="21" t="n"/>
      <c r="BE28" s="68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5" t="n">
        <v>53</v>
      </c>
      <c r="C29" s="21" t="n"/>
      <c r="D29" s="67" t="inlineStr">
        <is>
          <t>Eth1/53</t>
        </is>
      </c>
      <c r="E29" s="21" t="n"/>
      <c r="F29" s="21" t="n"/>
      <c r="G29" s="21" t="n"/>
      <c r="H29" s="21" t="n"/>
      <c r="I29" s="67" t="inlineStr">
        <is>
          <t>인터커넥트</t>
        </is>
      </c>
      <c r="J29" s="21" t="n"/>
      <c r="K29" s="21" t="n"/>
      <c r="L29" s="21" t="n"/>
      <c r="M29" s="67" t="inlineStr">
        <is>
          <t>TOR-B</t>
        </is>
      </c>
      <c r="N29" s="21" t="n"/>
      <c r="O29" s="21" t="n"/>
      <c r="P29" s="21" t="n"/>
      <c r="Q29" s="21" t="n"/>
      <c r="R29" s="21" t="n"/>
      <c r="S29" s="21" t="n"/>
      <c r="T29" s="67" t="inlineStr">
        <is>
          <t>Eth1/53</t>
        </is>
      </c>
      <c r="U29" s="21" t="n"/>
      <c r="V29" s="21" t="n"/>
      <c r="W29" s="21" t="n"/>
      <c r="X29" s="21" t="n"/>
      <c r="Y29" s="68" t="inlineStr">
        <is>
          <t>R02-D036</t>
        </is>
      </c>
      <c r="Z29" s="21" t="n"/>
      <c r="AA29" s="21" t="n"/>
      <c r="AB29" s="21" t="n"/>
      <c r="AC29" s="21" t="n"/>
      <c r="AD29" s="21" t="n"/>
      <c r="AE29" s="21" t="n"/>
      <c r="AH29" s="65" t="n"/>
      <c r="AI29" s="21" t="n"/>
      <c r="AJ29" s="67" t="n"/>
      <c r="AK29" s="21" t="n"/>
      <c r="AL29" s="21" t="n"/>
      <c r="AM29" s="21" t="n"/>
      <c r="AN29" s="21" t="n"/>
      <c r="AO29" s="67" t="n"/>
      <c r="AP29" s="21" t="n"/>
      <c r="AQ29" s="21" t="n"/>
      <c r="AR29" s="21" t="n"/>
      <c r="AS29" s="67" t="n"/>
      <c r="AT29" s="21" t="n"/>
      <c r="AU29" s="21" t="n"/>
      <c r="AV29" s="21" t="n"/>
      <c r="AW29" s="21" t="n"/>
      <c r="AX29" s="21" t="n"/>
      <c r="AY29" s="21" t="n"/>
      <c r="AZ29" s="67" t="n"/>
      <c r="BA29" s="21" t="n"/>
      <c r="BB29" s="21" t="n"/>
      <c r="BC29" s="21" t="n"/>
      <c r="BD29" s="21" t="n"/>
      <c r="BE29" s="68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5" t="n">
        <v>54</v>
      </c>
      <c r="C30" s="21" t="n"/>
      <c r="D30" s="67" t="inlineStr">
        <is>
          <t>Eth1/54</t>
        </is>
      </c>
      <c r="E30" s="21" t="n"/>
      <c r="F30" s="21" t="n"/>
      <c r="G30" s="21" t="n"/>
      <c r="H30" s="21" t="n"/>
      <c r="I30" s="67" t="inlineStr">
        <is>
          <t>인터커넥트</t>
        </is>
      </c>
      <c r="J30" s="21" t="n"/>
      <c r="K30" s="21" t="n"/>
      <c r="L30" s="21" t="n"/>
      <c r="M30" s="67" t="inlineStr">
        <is>
          <t>TOR-B</t>
        </is>
      </c>
      <c r="N30" s="21" t="n"/>
      <c r="O30" s="21" t="n"/>
      <c r="P30" s="21" t="n"/>
      <c r="Q30" s="21" t="n"/>
      <c r="R30" s="21" t="n"/>
      <c r="S30" s="21" t="n"/>
      <c r="T30" s="67" t="inlineStr">
        <is>
          <t>Eth1/54</t>
        </is>
      </c>
      <c r="U30" s="21" t="n"/>
      <c r="V30" s="21" t="n"/>
      <c r="W30" s="21" t="n"/>
      <c r="X30" s="21" t="n"/>
      <c r="Y30" s="68" t="inlineStr">
        <is>
          <t>R02-D037</t>
        </is>
      </c>
      <c r="Z30" s="21" t="n"/>
      <c r="AA30" s="21" t="n"/>
      <c r="AB30" s="21" t="n"/>
      <c r="AC30" s="21" t="n"/>
      <c r="AD30" s="21" t="n"/>
      <c r="AE30" s="21" t="n"/>
      <c r="AH30" s="65" t="n"/>
      <c r="AI30" s="21" t="n"/>
      <c r="AJ30" s="67" t="n"/>
      <c r="AK30" s="21" t="n"/>
      <c r="AL30" s="21" t="n"/>
      <c r="AM30" s="21" t="n"/>
      <c r="AN30" s="21" t="n"/>
      <c r="AO30" s="67" t="n"/>
      <c r="AP30" s="21" t="n"/>
      <c r="AQ30" s="21" t="n"/>
      <c r="AR30" s="21" t="n"/>
      <c r="AS30" s="67" t="n"/>
      <c r="AT30" s="21" t="n"/>
      <c r="AU30" s="21" t="n"/>
      <c r="AV30" s="21" t="n"/>
      <c r="AW30" s="21" t="n"/>
      <c r="AX30" s="21" t="n"/>
      <c r="AY30" s="21" t="n"/>
      <c r="AZ30" s="67" t="n"/>
      <c r="BA30" s="21" t="n"/>
      <c r="BB30" s="21" t="n"/>
      <c r="BC30" s="21" t="n"/>
      <c r="BD30" s="21" t="n"/>
      <c r="BE30" s="68" t="n"/>
      <c r="BF30" s="21" t="n"/>
      <c r="BG30" s="21" t="n"/>
      <c r="BH30" s="21" t="n"/>
      <c r="BI30" s="21" t="n"/>
      <c r="BJ30" s="21" t="n"/>
      <c r="BK30" s="21" t="n"/>
    </row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</sheetData>
  <mergeCells count="223">
    <mergeCell ref="M18:S18"/>
    <mergeCell ref="BE27:BK27"/>
    <mergeCell ref="Y27:AE27"/>
    <mergeCell ref="BC6:BD6"/>
    <mergeCell ref="T24:X24"/>
    <mergeCell ref="BE6:BF6"/>
    <mergeCell ref="Y18:AE18"/>
    <mergeCell ref="D19:H19"/>
    <mergeCell ref="B22:C22"/>
    <mergeCell ref="AZ24:BD24"/>
    <mergeCell ref="D6:E6"/>
    <mergeCell ref="M19:S19"/>
    <mergeCell ref="B21:C21"/>
    <mergeCell ref="BE19:BK19"/>
    <mergeCell ref="BE28:BK28"/>
    <mergeCell ref="P6:Q6"/>
    <mergeCell ref="BA7:BB7"/>
    <mergeCell ref="R6:S6"/>
    <mergeCell ref="B4:B8"/>
    <mergeCell ref="BC7:BD7"/>
    <mergeCell ref="AH20:AI20"/>
    <mergeCell ref="AS30:AY30"/>
    <mergeCell ref="AS20:AY20"/>
    <mergeCell ref="BE30:BK30"/>
    <mergeCell ref="AJ18:AN18"/>
    <mergeCell ref="AO23:AR23"/>
    <mergeCell ref="AS29:AY29"/>
    <mergeCell ref="V6:W6"/>
    <mergeCell ref="D7:E7"/>
    <mergeCell ref="X6:Y6"/>
    <mergeCell ref="I26:L26"/>
    <mergeCell ref="AP6:AQ6"/>
    <mergeCell ref="AH6:AI6"/>
    <mergeCell ref="AR6:AS6"/>
    <mergeCell ref="D28:H28"/>
    <mergeCell ref="AJ6:AK6"/>
    <mergeCell ref="AS22:AY22"/>
    <mergeCell ref="I25:L25"/>
    <mergeCell ref="T22:X22"/>
    <mergeCell ref="AS21:AY21"/>
    <mergeCell ref="AO24:AR24"/>
    <mergeCell ref="AB7:AC7"/>
    <mergeCell ref="B24:C24"/>
    <mergeCell ref="D12:I13"/>
    <mergeCell ref="T7:U7"/>
    <mergeCell ref="I18:L18"/>
    <mergeCell ref="AD7:AE7"/>
    <mergeCell ref="D30:H30"/>
    <mergeCell ref="AO18:AR18"/>
    <mergeCell ref="Y26:AE26"/>
    <mergeCell ref="AN7:AO7"/>
    <mergeCell ref="AJ20:AN20"/>
    <mergeCell ref="AJ29:AN29"/>
    <mergeCell ref="AP7:AQ7"/>
    <mergeCell ref="T28:X28"/>
    <mergeCell ref="D29:H29"/>
    <mergeCell ref="D23:H23"/>
    <mergeCell ref="M21:S21"/>
    <mergeCell ref="B26:C26"/>
    <mergeCell ref="AJ22:AN22"/>
    <mergeCell ref="B10:B14"/>
    <mergeCell ref="AR7:AS7"/>
    <mergeCell ref="AT13:AU13"/>
    <mergeCell ref="M27:S27"/>
    <mergeCell ref="L7:M7"/>
    <mergeCell ref="AT7:AU7"/>
    <mergeCell ref="B25:C25"/>
    <mergeCell ref="N7:O7"/>
    <mergeCell ref="AV7:AW7"/>
    <mergeCell ref="T30:X30"/>
    <mergeCell ref="T20:X20"/>
    <mergeCell ref="BE23:BK23"/>
    <mergeCell ref="AJ21:AN21"/>
    <mergeCell ref="T29:X29"/>
    <mergeCell ref="I20:L20"/>
    <mergeCell ref="M24:S24"/>
    <mergeCell ref="F6:G6"/>
    <mergeCell ref="AH24:AI24"/>
    <mergeCell ref="I29:L29"/>
    <mergeCell ref="AH18:AI18"/>
    <mergeCell ref="B18:C18"/>
    <mergeCell ref="B27:C27"/>
    <mergeCell ref="AS24:AY24"/>
    <mergeCell ref="AJ23:AN23"/>
    <mergeCell ref="AS18:AY18"/>
    <mergeCell ref="BE18:BK18"/>
    <mergeCell ref="BI7:BJ7"/>
    <mergeCell ref="D27:H27"/>
    <mergeCell ref="AF6:AG6"/>
    <mergeCell ref="AS26:AY26"/>
    <mergeCell ref="AH19:AI19"/>
    <mergeCell ref="AZ26:BD26"/>
    <mergeCell ref="B29:C29"/>
    <mergeCell ref="AO28:AR28"/>
    <mergeCell ref="BA6:BB6"/>
    <mergeCell ref="Y30:AE30"/>
    <mergeCell ref="AZ25:BD25"/>
    <mergeCell ref="BE20:BK20"/>
    <mergeCell ref="Y20:AE20"/>
    <mergeCell ref="Y29:AE29"/>
    <mergeCell ref="AZ18:BD18"/>
    <mergeCell ref="AZ27:BD27"/>
    <mergeCell ref="AJ26:AN26"/>
    <mergeCell ref="D25:H25"/>
    <mergeCell ref="L6:M6"/>
    <mergeCell ref="BE22:BK22"/>
    <mergeCell ref="N6:O6"/>
    <mergeCell ref="AV6:AW6"/>
    <mergeCell ref="Y22:AE22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AX6:AY6"/>
    <mergeCell ref="M29:S29"/>
    <mergeCell ref="AO25:AR25"/>
    <mergeCell ref="I19:L19"/>
    <mergeCell ref="M23:S23"/>
    <mergeCell ref="AH23:AI23"/>
    <mergeCell ref="F7:G7"/>
    <mergeCell ref="X7:Y7"/>
    <mergeCell ref="D21:H21"/>
    <mergeCell ref="Z7:AA7"/>
    <mergeCell ref="Y23:AE23"/>
    <mergeCell ref="R7:S7"/>
    <mergeCell ref="AO27:AR27"/>
    <mergeCell ref="AJ7:AK7"/>
    <mergeCell ref="AL7:AM7"/>
    <mergeCell ref="I30:L30"/>
    <mergeCell ref="BE24:BK24"/>
    <mergeCell ref="T21:X21"/>
    <mergeCell ref="BE12:BF12"/>
    <mergeCell ref="T26:X26"/>
    <mergeCell ref="B19:C19"/>
    <mergeCell ref="BI6:BJ6"/>
    <mergeCell ref="B28:C28"/>
    <mergeCell ref="BE26:BK26"/>
    <mergeCell ref="AJ24:AN24"/>
    <mergeCell ref="M20:S20"/>
    <mergeCell ref="T23:X23"/>
    <mergeCell ref="AS25:AY25"/>
    <mergeCell ref="AH27:AI27"/>
    <mergeCell ref="D18:H18"/>
    <mergeCell ref="K12:P13"/>
    <mergeCell ref="BE25:BK25"/>
    <mergeCell ref="Y19:AE19"/>
    <mergeCell ref="B30:C30"/>
    <mergeCell ref="AS27:AY27"/>
    <mergeCell ref="BE13:BF13"/>
    <mergeCell ref="I21:L21"/>
    <mergeCell ref="T6:U6"/>
    <mergeCell ref="BE7:BF7"/>
    <mergeCell ref="B20:C20"/>
    <mergeCell ref="M22:S22"/>
    <mergeCell ref="AH25:AI25"/>
    <mergeCell ref="M30:S30"/>
    <mergeCell ref="AO30:AR30"/>
    <mergeCell ref="Y25:AE25"/>
    <mergeCell ref="T27:X27"/>
    <mergeCell ref="AO20:AR20"/>
    <mergeCell ref="AO29:AR29"/>
    <mergeCell ref="T18:X18"/>
    <mergeCell ref="Y12:AD13"/>
    <mergeCell ref="M28:S28"/>
    <mergeCell ref="I23:L23"/>
    <mergeCell ref="D20:H20"/>
    <mergeCell ref="Z6:AA6"/>
    <mergeCell ref="AS19:AY19"/>
    <mergeCell ref="AB6:AC6"/>
    <mergeCell ref="AO22:AR22"/>
    <mergeCell ref="AT6:AU6"/>
    <mergeCell ref="AS28:AY28"/>
    <mergeCell ref="AL6:AM6"/>
    <mergeCell ref="AZ19:BD19"/>
    <mergeCell ref="AJ27:AN27"/>
    <mergeCell ref="AZ28:BD28"/>
    <mergeCell ref="D22:H22"/>
    <mergeCell ref="AO21:AR21"/>
    <mergeCell ref="AT12:AU12"/>
    <mergeCell ref="H6:I6"/>
    <mergeCell ref="T25:X25"/>
    <mergeCell ref="J6:K6"/>
    <mergeCell ref="AH29:AI29"/>
    <mergeCell ref="AZ30:BD30"/>
    <mergeCell ref="AD6:AE6"/>
    <mergeCell ref="B23:C23"/>
    <mergeCell ref="AZ20:BD20"/>
    <mergeCell ref="AJ19:AN19"/>
    <mergeCell ref="AJ28:AN28"/>
    <mergeCell ref="I27:L27"/>
    <mergeCell ref="BE29:BK29"/>
    <mergeCell ref="Y24:AE24"/>
    <mergeCell ref="P7:Q7"/>
    <mergeCell ref="AX7:AY7"/>
    <mergeCell ref="AZ22:BD22"/>
    <mergeCell ref="H7:I7"/>
    <mergeCell ref="AY17:BB17"/>
    <mergeCell ref="J7:K7"/>
    <mergeCell ref="AJ30:AN30"/>
    <mergeCell ref="Y21:AE21"/>
    <mergeCell ref="R12:W13"/>
    <mergeCell ref="AH30:AI30"/>
    <mergeCell ref="AO19:AR19"/>
    <mergeCell ref="I22:L22"/>
    <mergeCell ref="V7:W7"/>
    <mergeCell ref="I28:L28"/>
    <mergeCell ref="AZ21:BD21"/>
    <mergeCell ref="AH26:AI26"/>
    <mergeCell ref="AF7:AG7"/>
    <mergeCell ref="D24:H24"/>
    <mergeCell ref="AH7:AI7"/>
    <mergeCell ref="M25:S25"/>
    <mergeCell ref="AZ29:BD29"/>
    <mergeCell ref="AZ23:BD23"/>
    <mergeCell ref="D26:H26"/>
  </mergeCells>
  <conditionalFormatting sqref="B19:C30">
    <cfRule type="expression" priority="1" dxfId="13" stopIfTrue="1">
      <formula>AND(ISNUMBER($B19),SUMPRODUCT(($C$4:$BK$15=$B19)*($C$4:$BK$15&lt;&gt;""))&lt;&gt;1)</formula>
    </cfRule>
    <cfRule type="expression" priority="2" dxfId="13" stopIfTrue="1">
      <formula>AND(ISNUMBER($B19),COUNTIF($B$19:$B$30,$B19)+COUNTIF($AH$19:$AH$30,$B19)&gt;1)</formula>
    </cfRule>
    <cfRule type="expression" priority="3" dxfId="14" stopIfTrue="1">
      <formula>$I19="서비스"</formula>
    </cfRule>
    <cfRule type="expression" priority="4" dxfId="15" stopIfTrue="1">
      <formula>$I19="관리"</formula>
    </cfRule>
    <cfRule type="expression" priority="5" dxfId="16" stopIfTrue="1">
      <formula>$I19="백업"</formula>
    </cfRule>
    <cfRule type="expression" priority="6" dxfId="17" stopIfTrue="1">
      <formula>$I19="스토리지"</formula>
    </cfRule>
    <cfRule type="expression" priority="7" dxfId="18" stopIfTrue="1">
      <formula>$I19="인터커넥트"</formula>
    </cfRule>
    <cfRule type="expression" priority="8" dxfId="19" stopIfTrue="1">
      <formula>$I19="콘솔"</formula>
    </cfRule>
    <cfRule type="expression" priority="9" dxfId="20" stopIfTrue="1">
      <formula>$I19="전원"</formula>
    </cfRule>
  </conditionalFormatting>
  <conditionalFormatting sqref="AH19:AI30">
    <cfRule type="expression" priority="10" dxfId="13" stopIfTrue="1">
      <formula>AND(ISNUMBER($AH19),SUMPRODUCT(($C$4:$BK$15=$AH19)*($C$4:$BK$15&lt;&gt;""))&lt;&gt;1)</formula>
    </cfRule>
    <cfRule type="expression" priority="11" dxfId="13" stopIfTrue="1">
      <formula>AND(ISNUMBER($AH19),COUNTIF($B$19:$B$30,$AH19)+COUNTIF($AH$19:$AH$30,$AH19)&gt;1)</formula>
    </cfRule>
    <cfRule type="expression" priority="12" dxfId="14" stopIfTrue="1">
      <formula>$AO19="서비스"</formula>
    </cfRule>
    <cfRule type="expression" priority="13" dxfId="15" stopIfTrue="1">
      <formula>$AO19="관리"</formula>
    </cfRule>
    <cfRule type="expression" priority="14" dxfId="16" stopIfTrue="1">
      <formula>$AO19="백업"</formula>
    </cfRule>
    <cfRule type="expression" priority="15" dxfId="17" stopIfTrue="1">
      <formula>$AO19="스토리지"</formula>
    </cfRule>
    <cfRule type="expression" priority="16" dxfId="18" stopIfTrue="1">
      <formula>$AO19="인터커넥트"</formula>
    </cfRule>
    <cfRule type="expression" priority="17" dxfId="19" stopIfTrue="1">
      <formula>$AO19="콘솔"</formula>
    </cfRule>
    <cfRule type="expression" priority="18" dxfId="20" stopIfTrue="1">
      <formula>$AO19="전원"</formula>
    </cfRule>
  </conditionalFormatting>
  <dataValidations count="2">
    <dataValidation sqref="I19:I30" showDropDown="0" showInputMessage="0" showErrorMessage="0" allowBlank="1" type="list">
      <formula1>"서비스,관리,백업,스토리지,인터커넥트,콘솔,전원,기타"</formula1>
    </dataValidation>
    <dataValidation sqref="AO19:AO30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TOR-B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Cisco Nexus 93180YC-FX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U38</t>
        </is>
      </c>
      <c r="Z2" s="5" t="inlineStr">
        <is>
          <t>구분</t>
        </is>
      </c>
      <c r="AB2" s="6" t="inlineStr">
        <is>
          <t>네트워크</t>
        </is>
      </c>
      <c r="AH2" s="5" t="inlineStr">
        <is>
          <t>시리얼</t>
        </is>
      </c>
      <c r="AK2" s="6" t="inlineStr">
        <is>
          <t>FDO2315A2BC</t>
        </is>
      </c>
      <c r="AS2" s="5" t="inlineStr">
        <is>
          <t>관리 IP</t>
        </is>
      </c>
      <c r="AV2" s="6" t="inlineStr">
        <is>
          <t>10.10.0.38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D5" s="45" t="inlineStr">
        <is>
          <t>1–48 · SFP28 25G</t>
        </is>
      </c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  <c r="AV5" s="46" t="n"/>
      <c r="AW5" s="46" t="n"/>
      <c r="AX5" s="46" t="n"/>
      <c r="AY5" s="47" t="n"/>
      <c r="BA5" s="45" t="inlineStr">
        <is>
          <t>49–54</t>
        </is>
      </c>
      <c r="BB5" s="46" t="n"/>
      <c r="BC5" s="46" t="n"/>
      <c r="BD5" s="46" t="n"/>
      <c r="BE5" s="46" t="n"/>
      <c r="BF5" s="47" t="n"/>
      <c r="BH5" s="90" t="inlineStr">
        <is>
          <t>관리</t>
        </is>
      </c>
      <c r="BI5" s="46" t="n"/>
      <c r="BJ5" s="47" t="n"/>
      <c r="BK5" s="17" t="n"/>
    </row>
    <row r="6" ht="12" customHeight="1">
      <c r="C6" s="18" t="n"/>
      <c r="D6" s="91" t="n">
        <v>1</v>
      </c>
      <c r="E6" s="40" t="n"/>
      <c r="F6" s="41" t="n">
        <v>3</v>
      </c>
      <c r="G6" s="40" t="n"/>
      <c r="H6" s="41" t="n">
        <v>5</v>
      </c>
      <c r="I6" s="40" t="n"/>
      <c r="J6" s="41" t="n">
        <v>7</v>
      </c>
      <c r="K6" s="40" t="n"/>
      <c r="L6" s="41" t="n">
        <v>9</v>
      </c>
      <c r="M6" s="40" t="n"/>
      <c r="N6" s="92" t="n">
        <v>11</v>
      </c>
      <c r="O6" s="40" t="n"/>
      <c r="P6" s="92" t="n">
        <v>13</v>
      </c>
      <c r="Q6" s="40" t="n"/>
      <c r="R6" s="92" t="n">
        <v>15</v>
      </c>
      <c r="S6" s="40" t="n"/>
      <c r="T6" s="41" t="n">
        <v>17</v>
      </c>
      <c r="U6" s="40" t="n"/>
      <c r="V6" s="41" t="n">
        <v>19</v>
      </c>
      <c r="W6" s="40" t="n"/>
      <c r="X6" s="93" t="n">
        <v>21</v>
      </c>
      <c r="Y6" s="40" t="n"/>
      <c r="Z6" s="41" t="n">
        <v>23</v>
      </c>
      <c r="AA6" s="40" t="n"/>
      <c r="AB6" s="41" t="n">
        <v>25</v>
      </c>
      <c r="AC6" s="40" t="n"/>
      <c r="AD6" s="41" t="n">
        <v>27</v>
      </c>
      <c r="AE6" s="40" t="n"/>
      <c r="AF6" s="41" t="n">
        <v>29</v>
      </c>
      <c r="AG6" s="40" t="n"/>
      <c r="AH6" s="41" t="n">
        <v>31</v>
      </c>
      <c r="AI6" s="40" t="n"/>
      <c r="AJ6" s="41" t="n">
        <v>33</v>
      </c>
      <c r="AK6" s="40" t="n"/>
      <c r="AL6" s="41" t="n">
        <v>35</v>
      </c>
      <c r="AM6" s="40" t="n"/>
      <c r="AN6" s="41" t="n">
        <v>37</v>
      </c>
      <c r="AO6" s="40" t="n"/>
      <c r="AP6" s="41" t="n">
        <v>39</v>
      </c>
      <c r="AQ6" s="40" t="n"/>
      <c r="AR6" s="41" t="n">
        <v>41</v>
      </c>
      <c r="AS6" s="40" t="n"/>
      <c r="AT6" s="41" t="n">
        <v>43</v>
      </c>
      <c r="AU6" s="40" t="n"/>
      <c r="AV6" s="41" t="n">
        <v>45</v>
      </c>
      <c r="AW6" s="40" t="n"/>
      <c r="AX6" s="72" t="n">
        <v>47</v>
      </c>
      <c r="AY6" s="73" t="n"/>
      <c r="BA6" s="91" t="n">
        <v>49</v>
      </c>
      <c r="BB6" s="40" t="n"/>
      <c r="BC6" s="41" t="n">
        <v>51</v>
      </c>
      <c r="BD6" s="40" t="n"/>
      <c r="BE6" s="94" t="n">
        <v>53</v>
      </c>
      <c r="BF6" s="73" t="n"/>
      <c r="BH6" s="48" t="n"/>
      <c r="BI6" s="95" t="n">
        <v>55</v>
      </c>
      <c r="BJ6" s="73" t="n"/>
      <c r="BK6" s="17" t="n"/>
    </row>
    <row r="7" ht="12" customHeight="1">
      <c r="C7" s="18" t="n"/>
      <c r="D7" s="96" t="n">
        <v>2</v>
      </c>
      <c r="E7" s="76" t="n"/>
      <c r="F7" s="78" t="n">
        <v>4</v>
      </c>
      <c r="G7" s="76" t="n"/>
      <c r="H7" s="78" t="n">
        <v>6</v>
      </c>
      <c r="I7" s="76" t="n"/>
      <c r="J7" s="78" t="n">
        <v>8</v>
      </c>
      <c r="K7" s="76" t="n"/>
      <c r="L7" s="78" t="n">
        <v>10</v>
      </c>
      <c r="M7" s="76" t="n"/>
      <c r="N7" s="97" t="n">
        <v>12</v>
      </c>
      <c r="O7" s="76" t="n"/>
      <c r="P7" s="97" t="n">
        <v>14</v>
      </c>
      <c r="Q7" s="76" t="n"/>
      <c r="R7" s="78" t="n">
        <v>16</v>
      </c>
      <c r="S7" s="76" t="n"/>
      <c r="T7" s="78" t="n">
        <v>18</v>
      </c>
      <c r="U7" s="76" t="n"/>
      <c r="V7" s="78" t="n">
        <v>20</v>
      </c>
      <c r="W7" s="76" t="n"/>
      <c r="X7" s="78" t="n">
        <v>22</v>
      </c>
      <c r="Y7" s="76" t="n"/>
      <c r="Z7" s="78" t="n">
        <v>24</v>
      </c>
      <c r="AA7" s="76" t="n"/>
      <c r="AB7" s="78" t="n">
        <v>26</v>
      </c>
      <c r="AC7" s="76" t="n"/>
      <c r="AD7" s="78" t="n">
        <v>28</v>
      </c>
      <c r="AE7" s="76" t="n"/>
      <c r="AF7" s="78" t="n">
        <v>30</v>
      </c>
      <c r="AG7" s="76" t="n"/>
      <c r="AH7" s="78" t="n">
        <v>32</v>
      </c>
      <c r="AI7" s="76" t="n"/>
      <c r="AJ7" s="78" t="n">
        <v>34</v>
      </c>
      <c r="AK7" s="76" t="n"/>
      <c r="AL7" s="78" t="n">
        <v>36</v>
      </c>
      <c r="AM7" s="76" t="n"/>
      <c r="AN7" s="78" t="n">
        <v>38</v>
      </c>
      <c r="AO7" s="76" t="n"/>
      <c r="AP7" s="78" t="n">
        <v>40</v>
      </c>
      <c r="AQ7" s="76" t="n"/>
      <c r="AR7" s="78" t="n">
        <v>42</v>
      </c>
      <c r="AS7" s="76" t="n"/>
      <c r="AT7" s="78" t="n">
        <v>44</v>
      </c>
      <c r="AU7" s="76" t="n"/>
      <c r="AV7" s="78" t="n">
        <v>46</v>
      </c>
      <c r="AW7" s="76" t="n"/>
      <c r="AX7" s="79" t="n">
        <v>48</v>
      </c>
      <c r="AY7" s="80" t="n"/>
      <c r="BA7" s="96" t="n">
        <v>50</v>
      </c>
      <c r="BB7" s="76" t="n"/>
      <c r="BC7" s="78" t="n">
        <v>52</v>
      </c>
      <c r="BD7" s="76" t="n"/>
      <c r="BE7" s="98" t="n">
        <v>54</v>
      </c>
      <c r="BF7" s="80" t="n"/>
      <c r="BH7" s="51" t="n"/>
      <c r="BI7" s="99" t="inlineStr">
        <is>
          <t>C</t>
        </is>
      </c>
      <c r="BJ7" s="80" t="n"/>
      <c r="BK7" s="17" t="n"/>
    </row>
    <row r="8" ht="12" customHeight="1">
      <c r="C8" s="42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  <c r="AD8" s="43" t="n"/>
      <c r="AE8" s="43" t="n"/>
      <c r="AF8" s="43" t="n"/>
      <c r="AG8" s="43" t="n"/>
      <c r="AH8" s="43" t="n"/>
      <c r="AI8" s="43" t="n"/>
      <c r="AJ8" s="43" t="n"/>
      <c r="AK8" s="43" t="n"/>
      <c r="AL8" s="43" t="n"/>
      <c r="AM8" s="43" t="n"/>
      <c r="AN8" s="43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4" t="n"/>
    </row>
    <row r="9" ht="12" customHeight="1"/>
    <row r="10" ht="12" customHeight="1">
      <c r="B10" s="35" t="inlineStr">
        <is>
          <t>후  면</t>
        </is>
      </c>
      <c r="C10" s="36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7" t="n"/>
    </row>
    <row r="11" ht="12" customHeight="1">
      <c r="C11" s="18" t="n"/>
      <c r="D11" s="45" t="inlineStr">
        <is>
          <t>FAN 1</t>
        </is>
      </c>
      <c r="E11" s="46" t="n"/>
      <c r="F11" s="46" t="n"/>
      <c r="G11" s="46" t="n"/>
      <c r="H11" s="46" t="n"/>
      <c r="I11" s="47" t="n"/>
      <c r="K11" s="45" t="inlineStr">
        <is>
          <t>FAN 2</t>
        </is>
      </c>
      <c r="L11" s="46" t="n"/>
      <c r="M11" s="46" t="n"/>
      <c r="N11" s="46" t="n"/>
      <c r="O11" s="46" t="n"/>
      <c r="P11" s="47" t="n"/>
      <c r="R11" s="45" t="inlineStr">
        <is>
          <t>FAN 3</t>
        </is>
      </c>
      <c r="S11" s="46" t="n"/>
      <c r="T11" s="46" t="n"/>
      <c r="U11" s="46" t="n"/>
      <c r="V11" s="46" t="n"/>
      <c r="W11" s="47" t="n"/>
      <c r="Y11" s="45" t="inlineStr">
        <is>
          <t>FAN 4</t>
        </is>
      </c>
      <c r="Z11" s="46" t="n"/>
      <c r="AA11" s="46" t="n"/>
      <c r="AB11" s="46" t="n"/>
      <c r="AC11" s="46" t="n"/>
      <c r="AD11" s="47" t="n"/>
      <c r="AP11" s="45" t="inlineStr">
        <is>
          <t>PSU 1</t>
        </is>
      </c>
      <c r="AQ11" s="46" t="n"/>
      <c r="AR11" s="46" t="n"/>
      <c r="AS11" s="46" t="n"/>
      <c r="AT11" s="46" t="n"/>
      <c r="AU11" s="46" t="n"/>
      <c r="AV11" s="46" t="n"/>
      <c r="AW11" s="46" t="n"/>
      <c r="AX11" s="46" t="n"/>
      <c r="AY11" s="47" t="n"/>
      <c r="BA11" s="45" t="inlineStr">
        <is>
          <t>PSU 2</t>
        </is>
      </c>
      <c r="BB11" s="46" t="n"/>
      <c r="BC11" s="46" t="n"/>
      <c r="BD11" s="46" t="n"/>
      <c r="BE11" s="46" t="n"/>
      <c r="BF11" s="46" t="n"/>
      <c r="BG11" s="46" t="n"/>
      <c r="BH11" s="46" t="n"/>
      <c r="BI11" s="46" t="n"/>
      <c r="BJ11" s="47" t="n"/>
      <c r="BK11" s="17" t="n"/>
    </row>
    <row r="12" ht="12" customHeight="1">
      <c r="C12" s="18" t="n"/>
      <c r="D12" s="83" t="inlineStr">
        <is>
          <t>◎</t>
        </is>
      </c>
      <c r="I12" s="84" t="n"/>
      <c r="K12" s="83" t="inlineStr">
        <is>
          <t>◎</t>
        </is>
      </c>
      <c r="P12" s="84" t="n"/>
      <c r="R12" s="83" t="inlineStr">
        <is>
          <t>◎</t>
        </is>
      </c>
      <c r="W12" s="84" t="n"/>
      <c r="Y12" s="83" t="inlineStr">
        <is>
          <t>◎</t>
        </is>
      </c>
      <c r="AD12" s="84" t="n"/>
      <c r="AP12" s="48" t="n"/>
      <c r="AQ12" s="49" t="n"/>
      <c r="AR12" s="49" t="n"/>
      <c r="AS12" s="49" t="n"/>
      <c r="AT12" s="85" t="n">
        <v>57</v>
      </c>
      <c r="AU12" s="40" t="n"/>
      <c r="AV12" s="49" t="n"/>
      <c r="AW12" s="49" t="n"/>
      <c r="AX12" s="49" t="n"/>
      <c r="AY12" s="50" t="n"/>
      <c r="BA12" s="48" t="n"/>
      <c r="BB12" s="49" t="n"/>
      <c r="BC12" s="49" t="n"/>
      <c r="BD12" s="49" t="n"/>
      <c r="BE12" s="85" t="n">
        <v>58</v>
      </c>
      <c r="BF12" s="40" t="n"/>
      <c r="BG12" s="49" t="n"/>
      <c r="BH12" s="49" t="n"/>
      <c r="BI12" s="49" t="n"/>
      <c r="BJ12" s="50" t="n"/>
      <c r="BK12" s="17" t="n"/>
    </row>
    <row r="13" ht="12" customHeight="1">
      <c r="C13" s="18" t="n"/>
      <c r="D13" s="86" t="n"/>
      <c r="E13" s="87" t="n"/>
      <c r="F13" s="87" t="n"/>
      <c r="G13" s="87" t="n"/>
      <c r="H13" s="87" t="n"/>
      <c r="I13" s="88" t="n"/>
      <c r="K13" s="86" t="n"/>
      <c r="L13" s="87" t="n"/>
      <c r="M13" s="87" t="n"/>
      <c r="N13" s="87" t="n"/>
      <c r="O13" s="87" t="n"/>
      <c r="P13" s="88" t="n"/>
      <c r="R13" s="86" t="n"/>
      <c r="S13" s="87" t="n"/>
      <c r="T13" s="87" t="n"/>
      <c r="U13" s="87" t="n"/>
      <c r="V13" s="87" t="n"/>
      <c r="W13" s="88" t="n"/>
      <c r="Y13" s="86" t="n"/>
      <c r="Z13" s="87" t="n"/>
      <c r="AA13" s="87" t="n"/>
      <c r="AB13" s="87" t="n"/>
      <c r="AC13" s="87" t="n"/>
      <c r="AD13" s="88" t="n"/>
      <c r="AP13" s="51" t="n"/>
      <c r="AQ13" s="52" t="n"/>
      <c r="AR13" s="52" t="n"/>
      <c r="AS13" s="52" t="n"/>
      <c r="AT13" s="89" t="inlineStr">
        <is>
          <t>C14</t>
        </is>
      </c>
      <c r="AU13" s="87" t="n"/>
      <c r="AV13" s="52" t="n"/>
      <c r="AW13" s="52" t="n"/>
      <c r="AX13" s="52" t="n"/>
      <c r="AY13" s="53" t="n"/>
      <c r="BA13" s="51" t="n"/>
      <c r="BB13" s="52" t="n"/>
      <c r="BC13" s="52" t="n"/>
      <c r="BD13" s="52" t="n"/>
      <c r="BE13" s="89" t="inlineStr">
        <is>
          <t>C14</t>
        </is>
      </c>
      <c r="BF13" s="87" t="n"/>
      <c r="BG13" s="52" t="n"/>
      <c r="BH13" s="52" t="n"/>
      <c r="BI13" s="52" t="n"/>
      <c r="BJ13" s="53" t="n"/>
      <c r="BK13" s="17" t="n"/>
    </row>
    <row r="14" ht="12" customHeight="1">
      <c r="C14" s="4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43" t="n"/>
      <c r="AW14" s="43" t="n"/>
      <c r="AX14" s="43" t="n"/>
      <c r="AY14" s="43" t="n"/>
      <c r="AZ14" s="43" t="n"/>
      <c r="BA14" s="43" t="n"/>
      <c r="BB14" s="43" t="n"/>
      <c r="BC14" s="43" t="n"/>
      <c r="BD14" s="43" t="n"/>
      <c r="BE14" s="43" t="n"/>
      <c r="BF14" s="43" t="n"/>
      <c r="BG14" s="43" t="n"/>
      <c r="BH14" s="43" t="n"/>
      <c r="BI14" s="43" t="n"/>
      <c r="BJ14" s="43" t="n"/>
      <c r="BK14" s="44" t="n"/>
    </row>
    <row r="15" ht="12" customHeight="1"/>
    <row r="16" ht="12" customHeight="1">
      <c r="C16" s="8" t="inlineStr">
        <is>
          <t>칸 안 숫자 = 장비에 인쇄된 포트 번호(= 도면 번호) · 색 칸 = 연결됨</t>
        </is>
      </c>
    </row>
    <row r="17" ht="12" customHeight="1">
      <c r="B17" s="7" t="inlineStr">
        <is>
          <t>연결 정보</t>
        </is>
      </c>
      <c r="H17" s="54" t="n"/>
      <c r="I17" s="28" t="inlineStr">
        <is>
          <t>서비스</t>
        </is>
      </c>
      <c r="L17" s="55" t="n"/>
      <c r="M17" s="28" t="inlineStr">
        <is>
          <t>관리</t>
        </is>
      </c>
      <c r="O17" s="56" t="n"/>
      <c r="P17" s="28" t="inlineStr">
        <is>
          <t>백업</t>
        </is>
      </c>
      <c r="R17" s="57" t="n"/>
      <c r="S17" s="28" t="inlineStr">
        <is>
          <t>스토리지</t>
        </is>
      </c>
      <c r="V17" s="58" t="n"/>
      <c r="W17" s="28" t="inlineStr">
        <is>
          <t>인터커넥트</t>
        </is>
      </c>
      <c r="AA17" s="59" t="n"/>
      <c r="AB17" s="28" t="inlineStr">
        <is>
          <t>콘솔</t>
        </is>
      </c>
      <c r="AD17" s="60" t="n"/>
      <c r="AE17" s="28" t="inlineStr">
        <is>
          <t>전원</t>
        </is>
      </c>
      <c r="AG17" s="61" t="n"/>
      <c r="AH17" s="28" t="inlineStr">
        <is>
          <t>미연결</t>
        </is>
      </c>
      <c r="AL17" s="62" t="n">
        <v>7</v>
      </c>
      <c r="AM17" s="28" t="inlineStr">
        <is>
          <t>도면 번호</t>
        </is>
      </c>
      <c r="AQ17" s="63" t="inlineStr">
        <is>
          <t>LOM1</t>
        </is>
      </c>
      <c r="AS17" s="28" t="inlineStr">
        <is>
          <t>포트명(장비 표기)</t>
        </is>
      </c>
      <c r="AY17" s="64" t="inlineStr">
        <is>
          <t>A-0001</t>
        </is>
      </c>
      <c r="AZ17" s="21" t="n"/>
      <c r="BA17" s="21" t="n"/>
      <c r="BB17" s="21" t="n"/>
      <c r="BC17" s="28" t="inlineStr">
        <is>
          <t>케이블 라벨</t>
        </is>
      </c>
    </row>
    <row r="18" ht="15" customHeight="1">
      <c r="B18" s="11" t="inlineStr">
        <is>
          <t>번호</t>
        </is>
      </c>
      <c r="C18" s="12" t="n"/>
      <c r="D18" s="13" t="inlineStr">
        <is>
          <t>포트명</t>
        </is>
      </c>
      <c r="E18" s="12" t="n"/>
      <c r="F18" s="12" t="n"/>
      <c r="G18" s="12" t="n"/>
      <c r="H18" s="12" t="n"/>
      <c r="I18" s="13" t="inlineStr">
        <is>
          <t>용도</t>
        </is>
      </c>
      <c r="J18" s="12" t="n"/>
      <c r="K18" s="12" t="n"/>
      <c r="L18" s="12" t="n"/>
      <c r="M18" s="13" t="inlineStr">
        <is>
          <t>상대 장비</t>
        </is>
      </c>
      <c r="N18" s="12" t="n"/>
      <c r="O18" s="12" t="n"/>
      <c r="P18" s="12" t="n"/>
      <c r="Q18" s="12" t="n"/>
      <c r="R18" s="12" t="n"/>
      <c r="S18" s="12" t="n"/>
      <c r="T18" s="13" t="inlineStr">
        <is>
          <t>상대 포트</t>
        </is>
      </c>
      <c r="U18" s="12" t="n"/>
      <c r="V18" s="12" t="n"/>
      <c r="W18" s="12" t="n"/>
      <c r="X18" s="12" t="n"/>
      <c r="Y18" s="13" t="inlineStr">
        <is>
          <t>케이블 라벨</t>
        </is>
      </c>
      <c r="Z18" s="12" t="n"/>
      <c r="AA18" s="12" t="n"/>
      <c r="AB18" s="12" t="n"/>
      <c r="AC18" s="12" t="n"/>
      <c r="AD18" s="12" t="n"/>
      <c r="AE18" s="12" t="n"/>
      <c r="AH18" s="11" t="inlineStr">
        <is>
          <t>번호</t>
        </is>
      </c>
      <c r="AI18" s="12" t="n"/>
      <c r="AJ18" s="13" t="inlineStr">
        <is>
          <t>포트명</t>
        </is>
      </c>
      <c r="AK18" s="12" t="n"/>
      <c r="AL18" s="12" t="n"/>
      <c r="AM18" s="12" t="n"/>
      <c r="AN18" s="12" t="n"/>
      <c r="AO18" s="13" t="inlineStr">
        <is>
          <t>용도</t>
        </is>
      </c>
      <c r="AP18" s="12" t="n"/>
      <c r="AQ18" s="12" t="n"/>
      <c r="AR18" s="12" t="n"/>
      <c r="AS18" s="13" t="inlineStr">
        <is>
          <t>상대 장비</t>
        </is>
      </c>
      <c r="AT18" s="12" t="n"/>
      <c r="AU18" s="12" t="n"/>
      <c r="AV18" s="12" t="n"/>
      <c r="AW18" s="12" t="n"/>
      <c r="AX18" s="12" t="n"/>
      <c r="AY18" s="12" t="n"/>
      <c r="AZ18" s="13" t="inlineStr">
        <is>
          <t>상대 포트</t>
        </is>
      </c>
      <c r="BA18" s="12" t="n"/>
      <c r="BB18" s="12" t="n"/>
      <c r="BC18" s="12" t="n"/>
      <c r="BD18" s="12" t="n"/>
      <c r="BE18" s="13" t="inlineStr">
        <is>
          <t>케이블 라벨</t>
        </is>
      </c>
      <c r="BF18" s="12" t="n"/>
      <c r="BG18" s="12" t="n"/>
      <c r="BH18" s="12" t="n"/>
      <c r="BI18" s="12" t="n"/>
      <c r="BJ18" s="12" t="n"/>
      <c r="BK18" s="12" t="n"/>
    </row>
    <row r="19" ht="13.5" customHeight="1">
      <c r="B19" s="65" t="n">
        <v>1</v>
      </c>
      <c r="C19" s="21" t="n"/>
      <c r="D19" s="67" t="inlineStr">
        <is>
          <t>Eth1/1</t>
        </is>
      </c>
      <c r="E19" s="21" t="n"/>
      <c r="F19" s="21" t="n"/>
      <c r="G19" s="21" t="n"/>
      <c r="H19" s="21" t="n"/>
      <c r="I19" s="67" t="inlineStr">
        <is>
          <t>서비스</t>
        </is>
      </c>
      <c r="J19" s="21" t="n"/>
      <c r="K19" s="21" t="n"/>
      <c r="L19" s="21" t="n"/>
      <c r="M19" s="67" t="inlineStr">
        <is>
          <t>ENC-01</t>
        </is>
      </c>
      <c r="N19" s="21" t="n"/>
      <c r="O19" s="21" t="n"/>
      <c r="P19" s="21" t="n"/>
      <c r="Q19" s="21" t="n"/>
      <c r="R19" s="21" t="n"/>
      <c r="S19" s="21" t="n"/>
      <c r="T19" s="67" t="inlineStr">
        <is>
          <t>B2-X3</t>
        </is>
      </c>
      <c r="U19" s="21" t="n"/>
      <c r="V19" s="21" t="n"/>
      <c r="W19" s="21" t="n"/>
      <c r="X19" s="21" t="n"/>
      <c r="Y19" s="68" t="inlineStr">
        <is>
          <t>R02-D025</t>
        </is>
      </c>
      <c r="Z19" s="21" t="n"/>
      <c r="AA19" s="21" t="n"/>
      <c r="AB19" s="21" t="n"/>
      <c r="AC19" s="21" t="n"/>
      <c r="AD19" s="21" t="n"/>
      <c r="AE19" s="21" t="n"/>
      <c r="AH19" s="65" t="n">
        <v>55</v>
      </c>
      <c r="AI19" s="21" t="n"/>
      <c r="AJ19" s="67" t="inlineStr">
        <is>
          <t>mgmt0</t>
        </is>
      </c>
      <c r="AK19" s="21" t="n"/>
      <c r="AL19" s="21" t="n"/>
      <c r="AM19" s="21" t="n"/>
      <c r="AN19" s="21" t="n"/>
      <c r="AO19" s="67" t="inlineStr">
        <is>
          <t>관리</t>
        </is>
      </c>
      <c r="AP19" s="21" t="n"/>
      <c r="AQ19" s="21" t="n"/>
      <c r="AR19" s="21" t="n"/>
      <c r="AS19" s="67" t="inlineStr">
        <is>
          <t>MGMT-SW</t>
        </is>
      </c>
      <c r="AT19" s="21" t="n"/>
      <c r="AU19" s="21" t="n"/>
      <c r="AV19" s="21" t="n"/>
      <c r="AW19" s="21" t="n"/>
      <c r="AX19" s="21" t="n"/>
      <c r="AY19" s="21" t="n"/>
      <c r="AZ19" s="67" t="inlineStr">
        <is>
          <t>Gi1/0/9</t>
        </is>
      </c>
      <c r="BA19" s="21" t="n"/>
      <c r="BB19" s="21" t="n"/>
      <c r="BC19" s="21" t="n"/>
      <c r="BD19" s="21" t="n"/>
      <c r="BE19" s="68" t="inlineStr">
        <is>
          <t>R02-D009</t>
        </is>
      </c>
      <c r="BF19" s="21" t="n"/>
      <c r="BG19" s="21" t="n"/>
      <c r="BH19" s="21" t="n"/>
      <c r="BI19" s="21" t="n"/>
      <c r="BJ19" s="21" t="n"/>
      <c r="BK19" s="21" t="n"/>
    </row>
    <row r="20" ht="13.5" customHeight="1">
      <c r="B20" s="65" t="n">
        <v>2</v>
      </c>
      <c r="C20" s="21" t="n"/>
      <c r="D20" s="67" t="inlineStr">
        <is>
          <t>Eth1/2</t>
        </is>
      </c>
      <c r="E20" s="21" t="n"/>
      <c r="F20" s="21" t="n"/>
      <c r="G20" s="21" t="n"/>
      <c r="H20" s="21" t="n"/>
      <c r="I20" s="67" t="inlineStr">
        <is>
          <t>서비스</t>
        </is>
      </c>
      <c r="J20" s="21" t="n"/>
      <c r="K20" s="21" t="n"/>
      <c r="L20" s="21" t="n"/>
      <c r="M20" s="67" t="inlineStr">
        <is>
          <t>ENC-01</t>
        </is>
      </c>
      <c r="N20" s="21" t="n"/>
      <c r="O20" s="21" t="n"/>
      <c r="P20" s="21" t="n"/>
      <c r="Q20" s="21" t="n"/>
      <c r="R20" s="21" t="n"/>
      <c r="S20" s="21" t="n"/>
      <c r="T20" s="67" t="inlineStr">
        <is>
          <t>B2-X4</t>
        </is>
      </c>
      <c r="U20" s="21" t="n"/>
      <c r="V20" s="21" t="n"/>
      <c r="W20" s="21" t="n"/>
      <c r="X20" s="21" t="n"/>
      <c r="Y20" s="68" t="inlineStr">
        <is>
          <t>R02-D026</t>
        </is>
      </c>
      <c r="Z20" s="21" t="n"/>
      <c r="AA20" s="21" t="n"/>
      <c r="AB20" s="21" t="n"/>
      <c r="AC20" s="21" t="n"/>
      <c r="AD20" s="21" t="n"/>
      <c r="AE20" s="21" t="n"/>
      <c r="AH20" s="65" t="n">
        <v>57</v>
      </c>
      <c r="AI20" s="21" t="n"/>
      <c r="AJ20" s="67" t="inlineStr">
        <is>
          <t>PSU1</t>
        </is>
      </c>
      <c r="AK20" s="21" t="n"/>
      <c r="AL20" s="21" t="n"/>
      <c r="AM20" s="21" t="n"/>
      <c r="AN20" s="21" t="n"/>
      <c r="AO20" s="67" t="inlineStr">
        <is>
          <t>전원</t>
        </is>
      </c>
      <c r="AP20" s="21" t="n"/>
      <c r="AQ20" s="21" t="n"/>
      <c r="AR20" s="21" t="n"/>
      <c r="AS20" s="67" t="inlineStr">
        <is>
          <t>PDU-A</t>
        </is>
      </c>
      <c r="AT20" s="21" t="n"/>
      <c r="AU20" s="21" t="n"/>
      <c r="AV20" s="21" t="n"/>
      <c r="AW20" s="21" t="n"/>
      <c r="AX20" s="21" t="n"/>
      <c r="AY20" s="21" t="n"/>
      <c r="AZ20" s="67" t="inlineStr">
        <is>
          <t>C13-3</t>
        </is>
      </c>
      <c r="BA20" s="21" t="n"/>
      <c r="BB20" s="21" t="n"/>
      <c r="BC20" s="21" t="n"/>
      <c r="BD20" s="21" t="n"/>
      <c r="BE20" s="68" t="inlineStr">
        <is>
          <t>R02-P005</t>
        </is>
      </c>
      <c r="BF20" s="21" t="n"/>
      <c r="BG20" s="21" t="n"/>
      <c r="BH20" s="21" t="n"/>
      <c r="BI20" s="21" t="n"/>
      <c r="BJ20" s="21" t="n"/>
      <c r="BK20" s="21" t="n"/>
    </row>
    <row r="21" ht="13.5" customHeight="1">
      <c r="B21" s="65" t="n">
        <v>11</v>
      </c>
      <c r="C21" s="21" t="n"/>
      <c r="D21" s="67" t="inlineStr">
        <is>
          <t>Eth1/11</t>
        </is>
      </c>
      <c r="E21" s="21" t="n"/>
      <c r="F21" s="21" t="n"/>
      <c r="G21" s="21" t="n"/>
      <c r="H21" s="21" t="n"/>
      <c r="I21" s="67" t="inlineStr">
        <is>
          <t>서비스</t>
        </is>
      </c>
      <c r="J21" s="21" t="n"/>
      <c r="K21" s="21" t="n"/>
      <c r="L21" s="21" t="n"/>
      <c r="M21" s="67" t="inlineStr">
        <is>
          <t>SRV-01</t>
        </is>
      </c>
      <c r="N21" s="21" t="n"/>
      <c r="O21" s="21" t="n"/>
      <c r="P21" s="21" t="n"/>
      <c r="Q21" s="21" t="n"/>
      <c r="R21" s="21" t="n"/>
      <c r="S21" s="21" t="n"/>
      <c r="T21" s="67" t="inlineStr">
        <is>
          <t>FLR2</t>
        </is>
      </c>
      <c r="U21" s="21" t="n"/>
      <c r="V21" s="21" t="n"/>
      <c r="W21" s="21" t="n"/>
      <c r="X21" s="21" t="n"/>
      <c r="Y21" s="68" t="inlineStr">
        <is>
          <t>R02-D014</t>
        </is>
      </c>
      <c r="Z21" s="21" t="n"/>
      <c r="AA21" s="21" t="n"/>
      <c r="AB21" s="21" t="n"/>
      <c r="AC21" s="21" t="n"/>
      <c r="AD21" s="21" t="n"/>
      <c r="AE21" s="21" t="n"/>
      <c r="AH21" s="65" t="n">
        <v>58</v>
      </c>
      <c r="AI21" s="21" t="n"/>
      <c r="AJ21" s="67" t="inlineStr">
        <is>
          <t>PSU2</t>
        </is>
      </c>
      <c r="AK21" s="21" t="n"/>
      <c r="AL21" s="21" t="n"/>
      <c r="AM21" s="21" t="n"/>
      <c r="AN21" s="21" t="n"/>
      <c r="AO21" s="67" t="inlineStr">
        <is>
          <t>전원</t>
        </is>
      </c>
      <c r="AP21" s="21" t="n"/>
      <c r="AQ21" s="21" t="n"/>
      <c r="AR21" s="21" t="n"/>
      <c r="AS21" s="67" t="inlineStr">
        <is>
          <t>PDU-B</t>
        </is>
      </c>
      <c r="AT21" s="21" t="n"/>
      <c r="AU21" s="21" t="n"/>
      <c r="AV21" s="21" t="n"/>
      <c r="AW21" s="21" t="n"/>
      <c r="AX21" s="21" t="n"/>
      <c r="AY21" s="21" t="n"/>
      <c r="AZ21" s="67" t="inlineStr">
        <is>
          <t>C13-3</t>
        </is>
      </c>
      <c r="BA21" s="21" t="n"/>
      <c r="BB21" s="21" t="n"/>
      <c r="BC21" s="21" t="n"/>
      <c r="BD21" s="21" t="n"/>
      <c r="BE21" s="68" t="inlineStr">
        <is>
          <t>R02-P006</t>
        </is>
      </c>
      <c r="BF21" s="21" t="n"/>
      <c r="BG21" s="21" t="n"/>
      <c r="BH21" s="21" t="n"/>
      <c r="BI21" s="21" t="n"/>
      <c r="BJ21" s="21" t="n"/>
      <c r="BK21" s="21" t="n"/>
    </row>
    <row r="22" ht="13.5" customHeight="1">
      <c r="B22" s="65" t="n">
        <v>12</v>
      </c>
      <c r="C22" s="21" t="n"/>
      <c r="D22" s="67" t="inlineStr">
        <is>
          <t>Eth1/12</t>
        </is>
      </c>
      <c r="E22" s="21" t="n"/>
      <c r="F22" s="21" t="n"/>
      <c r="G22" s="21" t="n"/>
      <c r="H22" s="21" t="n"/>
      <c r="I22" s="67" t="inlineStr">
        <is>
          <t>서비스</t>
        </is>
      </c>
      <c r="J22" s="21" t="n"/>
      <c r="K22" s="21" t="n"/>
      <c r="L22" s="21" t="n"/>
      <c r="M22" s="67" t="inlineStr">
        <is>
          <t>SRV-01</t>
        </is>
      </c>
      <c r="N22" s="21" t="n"/>
      <c r="O22" s="21" t="n"/>
      <c r="P22" s="21" t="n"/>
      <c r="Q22" s="21" t="n"/>
      <c r="R22" s="21" t="n"/>
      <c r="S22" s="21" t="n"/>
      <c r="T22" s="67" t="inlineStr">
        <is>
          <t>S4-P2</t>
        </is>
      </c>
      <c r="U22" s="21" t="n"/>
      <c r="V22" s="21" t="n"/>
      <c r="W22" s="21" t="n"/>
      <c r="X22" s="21" t="n"/>
      <c r="Y22" s="68" t="inlineStr">
        <is>
          <t>R02-D016</t>
        </is>
      </c>
      <c r="Z22" s="21" t="n"/>
      <c r="AA22" s="21" t="n"/>
      <c r="AB22" s="21" t="n"/>
      <c r="AC22" s="21" t="n"/>
      <c r="AD22" s="21" t="n"/>
      <c r="AE22" s="21" t="n"/>
      <c r="AH22" s="65" t="n"/>
      <c r="AI22" s="21" t="n"/>
      <c r="AJ22" s="67" t="n"/>
      <c r="AK22" s="21" t="n"/>
      <c r="AL22" s="21" t="n"/>
      <c r="AM22" s="21" t="n"/>
      <c r="AN22" s="21" t="n"/>
      <c r="AO22" s="67" t="n"/>
      <c r="AP22" s="21" t="n"/>
      <c r="AQ22" s="21" t="n"/>
      <c r="AR22" s="21" t="n"/>
      <c r="AS22" s="67" t="n"/>
      <c r="AT22" s="21" t="n"/>
      <c r="AU22" s="21" t="n"/>
      <c r="AV22" s="21" t="n"/>
      <c r="AW22" s="21" t="n"/>
      <c r="AX22" s="21" t="n"/>
      <c r="AY22" s="21" t="n"/>
      <c r="AZ22" s="67" t="n"/>
      <c r="BA22" s="21" t="n"/>
      <c r="BB22" s="21" t="n"/>
      <c r="BC22" s="21" t="n"/>
      <c r="BD22" s="21" t="n"/>
      <c r="BE22" s="68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5" t="n">
        <v>13</v>
      </c>
      <c r="C23" s="21" t="n"/>
      <c r="D23" s="67" t="inlineStr">
        <is>
          <t>Eth1/13</t>
        </is>
      </c>
      <c r="E23" s="21" t="n"/>
      <c r="F23" s="21" t="n"/>
      <c r="G23" s="21" t="n"/>
      <c r="H23" s="21" t="n"/>
      <c r="I23" s="67" t="inlineStr">
        <is>
          <t>서비스</t>
        </is>
      </c>
      <c r="J23" s="21" t="n"/>
      <c r="K23" s="21" t="n"/>
      <c r="L23" s="21" t="n"/>
      <c r="M23" s="67" t="inlineStr">
        <is>
          <t>SRV-02</t>
        </is>
      </c>
      <c r="N23" s="21" t="n"/>
      <c r="O23" s="21" t="n"/>
      <c r="P23" s="21" t="n"/>
      <c r="Q23" s="21" t="n"/>
      <c r="R23" s="21" t="n"/>
      <c r="S23" s="21" t="n"/>
      <c r="T23" s="67" t="inlineStr">
        <is>
          <t>FLR2</t>
        </is>
      </c>
      <c r="U23" s="21" t="n"/>
      <c r="V23" s="21" t="n"/>
      <c r="W23" s="21" t="n"/>
      <c r="X23" s="21" t="n"/>
      <c r="Y23" s="68" t="inlineStr">
        <is>
          <t>R02-D018</t>
        </is>
      </c>
      <c r="Z23" s="21" t="n"/>
      <c r="AA23" s="21" t="n"/>
      <c r="AB23" s="21" t="n"/>
      <c r="AC23" s="21" t="n"/>
      <c r="AD23" s="21" t="n"/>
      <c r="AE23" s="21" t="n"/>
      <c r="AH23" s="65" t="n"/>
      <c r="AI23" s="21" t="n"/>
      <c r="AJ23" s="67" t="n"/>
      <c r="AK23" s="21" t="n"/>
      <c r="AL23" s="21" t="n"/>
      <c r="AM23" s="21" t="n"/>
      <c r="AN23" s="21" t="n"/>
      <c r="AO23" s="67" t="n"/>
      <c r="AP23" s="21" t="n"/>
      <c r="AQ23" s="21" t="n"/>
      <c r="AR23" s="21" t="n"/>
      <c r="AS23" s="67" t="n"/>
      <c r="AT23" s="21" t="n"/>
      <c r="AU23" s="21" t="n"/>
      <c r="AV23" s="21" t="n"/>
      <c r="AW23" s="21" t="n"/>
      <c r="AX23" s="21" t="n"/>
      <c r="AY23" s="21" t="n"/>
      <c r="AZ23" s="67" t="n"/>
      <c r="BA23" s="21" t="n"/>
      <c r="BB23" s="21" t="n"/>
      <c r="BC23" s="21" t="n"/>
      <c r="BD23" s="21" t="n"/>
      <c r="BE23" s="68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5" t="n">
        <v>14</v>
      </c>
      <c r="C24" s="21" t="n"/>
      <c r="D24" s="67" t="inlineStr">
        <is>
          <t>Eth1/14</t>
        </is>
      </c>
      <c r="E24" s="21" t="n"/>
      <c r="F24" s="21" t="n"/>
      <c r="G24" s="21" t="n"/>
      <c r="H24" s="21" t="n"/>
      <c r="I24" s="67" t="inlineStr">
        <is>
          <t>서비스</t>
        </is>
      </c>
      <c r="J24" s="21" t="n"/>
      <c r="K24" s="21" t="n"/>
      <c r="L24" s="21" t="n"/>
      <c r="M24" s="67" t="inlineStr">
        <is>
          <t>SRV-02</t>
        </is>
      </c>
      <c r="N24" s="21" t="n"/>
      <c r="O24" s="21" t="n"/>
      <c r="P24" s="21" t="n"/>
      <c r="Q24" s="21" t="n"/>
      <c r="R24" s="21" t="n"/>
      <c r="S24" s="21" t="n"/>
      <c r="T24" s="67" t="inlineStr">
        <is>
          <t>S4-P2</t>
        </is>
      </c>
      <c r="U24" s="21" t="n"/>
      <c r="V24" s="21" t="n"/>
      <c r="W24" s="21" t="n"/>
      <c r="X24" s="21" t="n"/>
      <c r="Y24" s="68" t="inlineStr">
        <is>
          <t>R02-D020</t>
        </is>
      </c>
      <c r="Z24" s="21" t="n"/>
      <c r="AA24" s="21" t="n"/>
      <c r="AB24" s="21" t="n"/>
      <c r="AC24" s="21" t="n"/>
      <c r="AD24" s="21" t="n"/>
      <c r="AE24" s="21" t="n"/>
      <c r="AH24" s="65" t="n"/>
      <c r="AI24" s="21" t="n"/>
      <c r="AJ24" s="67" t="n"/>
      <c r="AK24" s="21" t="n"/>
      <c r="AL24" s="21" t="n"/>
      <c r="AM24" s="21" t="n"/>
      <c r="AN24" s="21" t="n"/>
      <c r="AO24" s="67" t="n"/>
      <c r="AP24" s="21" t="n"/>
      <c r="AQ24" s="21" t="n"/>
      <c r="AR24" s="21" t="n"/>
      <c r="AS24" s="67" t="n"/>
      <c r="AT24" s="21" t="n"/>
      <c r="AU24" s="21" t="n"/>
      <c r="AV24" s="21" t="n"/>
      <c r="AW24" s="21" t="n"/>
      <c r="AX24" s="21" t="n"/>
      <c r="AY24" s="21" t="n"/>
      <c r="AZ24" s="67" t="n"/>
      <c r="BA24" s="21" t="n"/>
      <c r="BB24" s="21" t="n"/>
      <c r="BC24" s="21" t="n"/>
      <c r="BD24" s="21" t="n"/>
      <c r="BE24" s="68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5" t="n">
        <v>15</v>
      </c>
      <c r="C25" s="21" t="n"/>
      <c r="D25" s="67" t="inlineStr">
        <is>
          <t>Eth1/15</t>
        </is>
      </c>
      <c r="E25" s="21" t="n"/>
      <c r="F25" s="21" t="n"/>
      <c r="G25" s="21" t="n"/>
      <c r="H25" s="21" t="n"/>
      <c r="I25" s="67" t="inlineStr">
        <is>
          <t>서비스</t>
        </is>
      </c>
      <c r="J25" s="21" t="n"/>
      <c r="K25" s="21" t="n"/>
      <c r="L25" s="21" t="n"/>
      <c r="M25" s="67" t="inlineStr">
        <is>
          <t>SRV-03</t>
        </is>
      </c>
      <c r="N25" s="21" t="n"/>
      <c r="O25" s="21" t="n"/>
      <c r="P25" s="21" t="n"/>
      <c r="Q25" s="21" t="n"/>
      <c r="R25" s="21" t="n"/>
      <c r="S25" s="21" t="n"/>
      <c r="T25" s="67" t="inlineStr">
        <is>
          <t>NDC2</t>
        </is>
      </c>
      <c r="U25" s="21" t="n"/>
      <c r="V25" s="21" t="n"/>
      <c r="W25" s="21" t="n"/>
      <c r="X25" s="21" t="n"/>
      <c r="Y25" s="68" t="inlineStr">
        <is>
          <t>R02-D022</t>
        </is>
      </c>
      <c r="Z25" s="21" t="n"/>
      <c r="AA25" s="21" t="n"/>
      <c r="AB25" s="21" t="n"/>
      <c r="AC25" s="21" t="n"/>
      <c r="AD25" s="21" t="n"/>
      <c r="AE25" s="21" t="n"/>
      <c r="AH25" s="65" t="n"/>
      <c r="AI25" s="21" t="n"/>
      <c r="AJ25" s="67" t="n"/>
      <c r="AK25" s="21" t="n"/>
      <c r="AL25" s="21" t="n"/>
      <c r="AM25" s="21" t="n"/>
      <c r="AN25" s="21" t="n"/>
      <c r="AO25" s="67" t="n"/>
      <c r="AP25" s="21" t="n"/>
      <c r="AQ25" s="21" t="n"/>
      <c r="AR25" s="21" t="n"/>
      <c r="AS25" s="67" t="n"/>
      <c r="AT25" s="21" t="n"/>
      <c r="AU25" s="21" t="n"/>
      <c r="AV25" s="21" t="n"/>
      <c r="AW25" s="21" t="n"/>
      <c r="AX25" s="21" t="n"/>
      <c r="AY25" s="21" t="n"/>
      <c r="AZ25" s="67" t="n"/>
      <c r="BA25" s="21" t="n"/>
      <c r="BB25" s="21" t="n"/>
      <c r="BC25" s="21" t="n"/>
      <c r="BD25" s="21" t="n"/>
      <c r="BE25" s="68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5" t="n">
        <v>21</v>
      </c>
      <c r="C26" s="21" t="n"/>
      <c r="D26" s="67" t="inlineStr">
        <is>
          <t>Eth1/21</t>
        </is>
      </c>
      <c r="E26" s="21" t="n"/>
      <c r="F26" s="21" t="n"/>
      <c r="G26" s="21" t="n"/>
      <c r="H26" s="21" t="n"/>
      <c r="I26" s="67" t="inlineStr">
        <is>
          <t>스토리지</t>
        </is>
      </c>
      <c r="J26" s="21" t="n"/>
      <c r="K26" s="21" t="n"/>
      <c r="L26" s="21" t="n"/>
      <c r="M26" s="67" t="inlineStr">
        <is>
          <t>STG-01</t>
        </is>
      </c>
      <c r="N26" s="21" t="n"/>
      <c r="O26" s="21" t="n"/>
      <c r="P26" s="21" t="n"/>
      <c r="Q26" s="21" t="n"/>
      <c r="R26" s="21" t="n"/>
      <c r="S26" s="21" t="n"/>
      <c r="T26" s="67" t="inlineStr">
        <is>
          <t>SPB-ETH0</t>
        </is>
      </c>
      <c r="U26" s="21" t="n"/>
      <c r="V26" s="21" t="n"/>
      <c r="W26" s="21" t="n"/>
      <c r="X26" s="21" t="n"/>
      <c r="Y26" s="68" t="inlineStr">
        <is>
          <t>R02-D028</t>
        </is>
      </c>
      <c r="Z26" s="21" t="n"/>
      <c r="AA26" s="21" t="n"/>
      <c r="AB26" s="21" t="n"/>
      <c r="AC26" s="21" t="n"/>
      <c r="AD26" s="21" t="n"/>
      <c r="AE26" s="21" t="n"/>
      <c r="AH26" s="65" t="n"/>
      <c r="AI26" s="21" t="n"/>
      <c r="AJ26" s="67" t="n"/>
      <c r="AK26" s="21" t="n"/>
      <c r="AL26" s="21" t="n"/>
      <c r="AM26" s="21" t="n"/>
      <c r="AN26" s="21" t="n"/>
      <c r="AO26" s="67" t="n"/>
      <c r="AP26" s="21" t="n"/>
      <c r="AQ26" s="21" t="n"/>
      <c r="AR26" s="21" t="n"/>
      <c r="AS26" s="67" t="n"/>
      <c r="AT26" s="21" t="n"/>
      <c r="AU26" s="21" t="n"/>
      <c r="AV26" s="21" t="n"/>
      <c r="AW26" s="21" t="n"/>
      <c r="AX26" s="21" t="n"/>
      <c r="AY26" s="21" t="n"/>
      <c r="AZ26" s="67" t="n"/>
      <c r="BA26" s="21" t="n"/>
      <c r="BB26" s="21" t="n"/>
      <c r="BC26" s="21" t="n"/>
      <c r="BD26" s="21" t="n"/>
      <c r="BE26" s="68" t="n"/>
      <c r="BF26" s="21" t="n"/>
      <c r="BG26" s="21" t="n"/>
      <c r="BH26" s="21" t="n"/>
      <c r="BI26" s="21" t="n"/>
      <c r="BJ26" s="21" t="n"/>
      <c r="BK26" s="21" t="n"/>
    </row>
    <row r="27" ht="13.5" customHeight="1">
      <c r="B27" s="65" t="n">
        <v>49</v>
      </c>
      <c r="C27" s="21" t="n"/>
      <c r="D27" s="67" t="inlineStr">
        <is>
          <t>Eth1/49</t>
        </is>
      </c>
      <c r="E27" s="21" t="n"/>
      <c r="F27" s="21" t="n"/>
      <c r="G27" s="21" t="n"/>
      <c r="H27" s="21" t="n"/>
      <c r="I27" s="67" t="inlineStr">
        <is>
          <t>서비스</t>
        </is>
      </c>
      <c r="J27" s="21" t="n"/>
      <c r="K27" s="21" t="n"/>
      <c r="L27" s="21" t="n"/>
      <c r="M27" s="67" t="inlineStr">
        <is>
          <t>SPINE-01</t>
        </is>
      </c>
      <c r="N27" s="21" t="n"/>
      <c r="O27" s="21" t="n"/>
      <c r="P27" s="21" t="n"/>
      <c r="Q27" s="21" t="n"/>
      <c r="R27" s="21" t="n"/>
      <c r="S27" s="21" t="n"/>
      <c r="T27" s="67" t="inlineStr">
        <is>
          <t>Eth1/2</t>
        </is>
      </c>
      <c r="U27" s="21" t="n"/>
      <c r="V27" s="21" t="n"/>
      <c r="W27" s="21" t="n"/>
      <c r="X27" s="21" t="n"/>
      <c r="Y27" s="68" t="inlineStr">
        <is>
          <t>R02-D034</t>
        </is>
      </c>
      <c r="Z27" s="21" t="n"/>
      <c r="AA27" s="21" t="n"/>
      <c r="AB27" s="21" t="n"/>
      <c r="AC27" s="21" t="n"/>
      <c r="AD27" s="21" t="n"/>
      <c r="AE27" s="21" t="n"/>
      <c r="AH27" s="65" t="n"/>
      <c r="AI27" s="21" t="n"/>
      <c r="AJ27" s="67" t="n"/>
      <c r="AK27" s="21" t="n"/>
      <c r="AL27" s="21" t="n"/>
      <c r="AM27" s="21" t="n"/>
      <c r="AN27" s="21" t="n"/>
      <c r="AO27" s="67" t="n"/>
      <c r="AP27" s="21" t="n"/>
      <c r="AQ27" s="21" t="n"/>
      <c r="AR27" s="21" t="n"/>
      <c r="AS27" s="67" t="n"/>
      <c r="AT27" s="21" t="n"/>
      <c r="AU27" s="21" t="n"/>
      <c r="AV27" s="21" t="n"/>
      <c r="AW27" s="21" t="n"/>
      <c r="AX27" s="21" t="n"/>
      <c r="AY27" s="21" t="n"/>
      <c r="AZ27" s="67" t="n"/>
      <c r="BA27" s="21" t="n"/>
      <c r="BB27" s="21" t="n"/>
      <c r="BC27" s="21" t="n"/>
      <c r="BD27" s="21" t="n"/>
      <c r="BE27" s="68" t="n"/>
      <c r="BF27" s="21" t="n"/>
      <c r="BG27" s="21" t="n"/>
      <c r="BH27" s="21" t="n"/>
      <c r="BI27" s="21" t="n"/>
      <c r="BJ27" s="21" t="n"/>
      <c r="BK27" s="21" t="n"/>
    </row>
    <row r="28" ht="13.5" customHeight="1">
      <c r="B28" s="65" t="n">
        <v>50</v>
      </c>
      <c r="C28" s="21" t="n"/>
      <c r="D28" s="67" t="inlineStr">
        <is>
          <t>Eth1/50</t>
        </is>
      </c>
      <c r="E28" s="21" t="n"/>
      <c r="F28" s="21" t="n"/>
      <c r="G28" s="21" t="n"/>
      <c r="H28" s="21" t="n"/>
      <c r="I28" s="67" t="inlineStr">
        <is>
          <t>서비스</t>
        </is>
      </c>
      <c r="J28" s="21" t="n"/>
      <c r="K28" s="21" t="n"/>
      <c r="L28" s="21" t="n"/>
      <c r="M28" s="67" t="inlineStr">
        <is>
          <t>SPINE-02</t>
        </is>
      </c>
      <c r="N28" s="21" t="n"/>
      <c r="O28" s="21" t="n"/>
      <c r="P28" s="21" t="n"/>
      <c r="Q28" s="21" t="n"/>
      <c r="R28" s="21" t="n"/>
      <c r="S28" s="21" t="n"/>
      <c r="T28" s="67" t="inlineStr">
        <is>
          <t>Eth1/2</t>
        </is>
      </c>
      <c r="U28" s="21" t="n"/>
      <c r="V28" s="21" t="n"/>
      <c r="W28" s="21" t="n"/>
      <c r="X28" s="21" t="n"/>
      <c r="Y28" s="68" t="inlineStr">
        <is>
          <t>R02-D035</t>
        </is>
      </c>
      <c r="Z28" s="21" t="n"/>
      <c r="AA28" s="21" t="n"/>
      <c r="AB28" s="21" t="n"/>
      <c r="AC28" s="21" t="n"/>
      <c r="AD28" s="21" t="n"/>
      <c r="AE28" s="21" t="n"/>
      <c r="AH28" s="65" t="n"/>
      <c r="AI28" s="21" t="n"/>
      <c r="AJ28" s="67" t="n"/>
      <c r="AK28" s="21" t="n"/>
      <c r="AL28" s="21" t="n"/>
      <c r="AM28" s="21" t="n"/>
      <c r="AN28" s="21" t="n"/>
      <c r="AO28" s="67" t="n"/>
      <c r="AP28" s="21" t="n"/>
      <c r="AQ28" s="21" t="n"/>
      <c r="AR28" s="21" t="n"/>
      <c r="AS28" s="67" t="n"/>
      <c r="AT28" s="21" t="n"/>
      <c r="AU28" s="21" t="n"/>
      <c r="AV28" s="21" t="n"/>
      <c r="AW28" s="21" t="n"/>
      <c r="AX28" s="21" t="n"/>
      <c r="AY28" s="21" t="n"/>
      <c r="AZ28" s="67" t="n"/>
      <c r="BA28" s="21" t="n"/>
      <c r="BB28" s="21" t="n"/>
      <c r="BC28" s="21" t="n"/>
      <c r="BD28" s="21" t="n"/>
      <c r="BE28" s="68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5" t="n">
        <v>53</v>
      </c>
      <c r="C29" s="21" t="n"/>
      <c r="D29" s="67" t="inlineStr">
        <is>
          <t>Eth1/53</t>
        </is>
      </c>
      <c r="E29" s="21" t="n"/>
      <c r="F29" s="21" t="n"/>
      <c r="G29" s="21" t="n"/>
      <c r="H29" s="21" t="n"/>
      <c r="I29" s="67" t="inlineStr">
        <is>
          <t>인터커넥트</t>
        </is>
      </c>
      <c r="J29" s="21" t="n"/>
      <c r="K29" s="21" t="n"/>
      <c r="L29" s="21" t="n"/>
      <c r="M29" s="67" t="inlineStr">
        <is>
          <t>TOR-A</t>
        </is>
      </c>
      <c r="N29" s="21" t="n"/>
      <c r="O29" s="21" t="n"/>
      <c r="P29" s="21" t="n"/>
      <c r="Q29" s="21" t="n"/>
      <c r="R29" s="21" t="n"/>
      <c r="S29" s="21" t="n"/>
      <c r="T29" s="67" t="inlineStr">
        <is>
          <t>Eth1/53</t>
        </is>
      </c>
      <c r="U29" s="21" t="n"/>
      <c r="V29" s="21" t="n"/>
      <c r="W29" s="21" t="n"/>
      <c r="X29" s="21" t="n"/>
      <c r="Y29" s="68" t="inlineStr">
        <is>
          <t>R02-D036</t>
        </is>
      </c>
      <c r="Z29" s="21" t="n"/>
      <c r="AA29" s="21" t="n"/>
      <c r="AB29" s="21" t="n"/>
      <c r="AC29" s="21" t="n"/>
      <c r="AD29" s="21" t="n"/>
      <c r="AE29" s="21" t="n"/>
      <c r="AH29" s="65" t="n"/>
      <c r="AI29" s="21" t="n"/>
      <c r="AJ29" s="67" t="n"/>
      <c r="AK29" s="21" t="n"/>
      <c r="AL29" s="21" t="n"/>
      <c r="AM29" s="21" t="n"/>
      <c r="AN29" s="21" t="n"/>
      <c r="AO29" s="67" t="n"/>
      <c r="AP29" s="21" t="n"/>
      <c r="AQ29" s="21" t="n"/>
      <c r="AR29" s="21" t="n"/>
      <c r="AS29" s="67" t="n"/>
      <c r="AT29" s="21" t="n"/>
      <c r="AU29" s="21" t="n"/>
      <c r="AV29" s="21" t="n"/>
      <c r="AW29" s="21" t="n"/>
      <c r="AX29" s="21" t="n"/>
      <c r="AY29" s="21" t="n"/>
      <c r="AZ29" s="67" t="n"/>
      <c r="BA29" s="21" t="n"/>
      <c r="BB29" s="21" t="n"/>
      <c r="BC29" s="21" t="n"/>
      <c r="BD29" s="21" t="n"/>
      <c r="BE29" s="68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5" t="n">
        <v>54</v>
      </c>
      <c r="C30" s="21" t="n"/>
      <c r="D30" s="67" t="inlineStr">
        <is>
          <t>Eth1/54</t>
        </is>
      </c>
      <c r="E30" s="21" t="n"/>
      <c r="F30" s="21" t="n"/>
      <c r="G30" s="21" t="n"/>
      <c r="H30" s="21" t="n"/>
      <c r="I30" s="67" t="inlineStr">
        <is>
          <t>인터커넥트</t>
        </is>
      </c>
      <c r="J30" s="21" t="n"/>
      <c r="K30" s="21" t="n"/>
      <c r="L30" s="21" t="n"/>
      <c r="M30" s="67" t="inlineStr">
        <is>
          <t>TOR-A</t>
        </is>
      </c>
      <c r="N30" s="21" t="n"/>
      <c r="O30" s="21" t="n"/>
      <c r="P30" s="21" t="n"/>
      <c r="Q30" s="21" t="n"/>
      <c r="R30" s="21" t="n"/>
      <c r="S30" s="21" t="n"/>
      <c r="T30" s="67" t="inlineStr">
        <is>
          <t>Eth1/54</t>
        </is>
      </c>
      <c r="U30" s="21" t="n"/>
      <c r="V30" s="21" t="n"/>
      <c r="W30" s="21" t="n"/>
      <c r="X30" s="21" t="n"/>
      <c r="Y30" s="68" t="inlineStr">
        <is>
          <t>R02-D037</t>
        </is>
      </c>
      <c r="Z30" s="21" t="n"/>
      <c r="AA30" s="21" t="n"/>
      <c r="AB30" s="21" t="n"/>
      <c r="AC30" s="21" t="n"/>
      <c r="AD30" s="21" t="n"/>
      <c r="AE30" s="21" t="n"/>
      <c r="AH30" s="65" t="n"/>
      <c r="AI30" s="21" t="n"/>
      <c r="AJ30" s="67" t="n"/>
      <c r="AK30" s="21" t="n"/>
      <c r="AL30" s="21" t="n"/>
      <c r="AM30" s="21" t="n"/>
      <c r="AN30" s="21" t="n"/>
      <c r="AO30" s="67" t="n"/>
      <c r="AP30" s="21" t="n"/>
      <c r="AQ30" s="21" t="n"/>
      <c r="AR30" s="21" t="n"/>
      <c r="AS30" s="67" t="n"/>
      <c r="AT30" s="21" t="n"/>
      <c r="AU30" s="21" t="n"/>
      <c r="AV30" s="21" t="n"/>
      <c r="AW30" s="21" t="n"/>
      <c r="AX30" s="21" t="n"/>
      <c r="AY30" s="21" t="n"/>
      <c r="AZ30" s="67" t="n"/>
      <c r="BA30" s="21" t="n"/>
      <c r="BB30" s="21" t="n"/>
      <c r="BC30" s="21" t="n"/>
      <c r="BD30" s="21" t="n"/>
      <c r="BE30" s="68" t="n"/>
      <c r="BF30" s="21" t="n"/>
      <c r="BG30" s="21" t="n"/>
      <c r="BH30" s="21" t="n"/>
      <c r="BI30" s="21" t="n"/>
      <c r="BJ30" s="21" t="n"/>
      <c r="BK30" s="21" t="n"/>
    </row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</sheetData>
  <mergeCells count="223">
    <mergeCell ref="M18:S18"/>
    <mergeCell ref="BE27:BK27"/>
    <mergeCell ref="Y27:AE27"/>
    <mergeCell ref="BC6:BD6"/>
    <mergeCell ref="T24:X24"/>
    <mergeCell ref="BE6:BF6"/>
    <mergeCell ref="Y18:AE18"/>
    <mergeCell ref="D19:H19"/>
    <mergeCell ref="B22:C22"/>
    <mergeCell ref="AZ24:BD24"/>
    <mergeCell ref="D6:E6"/>
    <mergeCell ref="M19:S19"/>
    <mergeCell ref="B21:C21"/>
    <mergeCell ref="BE19:BK19"/>
    <mergeCell ref="BE28:BK28"/>
    <mergeCell ref="P6:Q6"/>
    <mergeCell ref="BA7:BB7"/>
    <mergeCell ref="R6:S6"/>
    <mergeCell ref="B4:B8"/>
    <mergeCell ref="BC7:BD7"/>
    <mergeCell ref="AH20:AI20"/>
    <mergeCell ref="AS30:AY30"/>
    <mergeCell ref="AS20:AY20"/>
    <mergeCell ref="BE30:BK30"/>
    <mergeCell ref="AJ18:AN18"/>
    <mergeCell ref="AO23:AR23"/>
    <mergeCell ref="AS29:AY29"/>
    <mergeCell ref="V6:W6"/>
    <mergeCell ref="D7:E7"/>
    <mergeCell ref="X6:Y6"/>
    <mergeCell ref="I26:L26"/>
    <mergeCell ref="AP6:AQ6"/>
    <mergeCell ref="AH6:AI6"/>
    <mergeCell ref="AR6:AS6"/>
    <mergeCell ref="D28:H28"/>
    <mergeCell ref="AJ6:AK6"/>
    <mergeCell ref="AS22:AY22"/>
    <mergeCell ref="I25:L25"/>
    <mergeCell ref="T22:X22"/>
    <mergeCell ref="AS21:AY21"/>
    <mergeCell ref="AO24:AR24"/>
    <mergeCell ref="AB7:AC7"/>
    <mergeCell ref="B24:C24"/>
    <mergeCell ref="D12:I13"/>
    <mergeCell ref="T7:U7"/>
    <mergeCell ref="I18:L18"/>
    <mergeCell ref="AD7:AE7"/>
    <mergeCell ref="D30:H30"/>
    <mergeCell ref="AO18:AR18"/>
    <mergeCell ref="Y26:AE26"/>
    <mergeCell ref="AN7:AO7"/>
    <mergeCell ref="AJ20:AN20"/>
    <mergeCell ref="AJ29:AN29"/>
    <mergeCell ref="AP7:AQ7"/>
    <mergeCell ref="T28:X28"/>
    <mergeCell ref="D29:H29"/>
    <mergeCell ref="D23:H23"/>
    <mergeCell ref="M21:S21"/>
    <mergeCell ref="B26:C26"/>
    <mergeCell ref="AJ22:AN22"/>
    <mergeCell ref="B10:B14"/>
    <mergeCell ref="AR7:AS7"/>
    <mergeCell ref="AT13:AU13"/>
    <mergeCell ref="M27:S27"/>
    <mergeCell ref="L7:M7"/>
    <mergeCell ref="AT7:AU7"/>
    <mergeCell ref="B25:C25"/>
    <mergeCell ref="N7:O7"/>
    <mergeCell ref="AV7:AW7"/>
    <mergeCell ref="T30:X30"/>
    <mergeCell ref="T20:X20"/>
    <mergeCell ref="BE23:BK23"/>
    <mergeCell ref="AJ21:AN21"/>
    <mergeCell ref="T29:X29"/>
    <mergeCell ref="I20:L20"/>
    <mergeCell ref="M24:S24"/>
    <mergeCell ref="F6:G6"/>
    <mergeCell ref="AH24:AI24"/>
    <mergeCell ref="I29:L29"/>
    <mergeCell ref="AH18:AI18"/>
    <mergeCell ref="B18:C18"/>
    <mergeCell ref="B27:C27"/>
    <mergeCell ref="AS24:AY24"/>
    <mergeCell ref="AJ23:AN23"/>
    <mergeCell ref="AS18:AY18"/>
    <mergeCell ref="BE18:BK18"/>
    <mergeCell ref="BI7:BJ7"/>
    <mergeCell ref="D27:H27"/>
    <mergeCell ref="AF6:AG6"/>
    <mergeCell ref="AS26:AY26"/>
    <mergeCell ref="AH19:AI19"/>
    <mergeCell ref="AZ26:BD26"/>
    <mergeCell ref="B29:C29"/>
    <mergeCell ref="AO28:AR28"/>
    <mergeCell ref="BA6:BB6"/>
    <mergeCell ref="Y30:AE30"/>
    <mergeCell ref="AZ25:BD25"/>
    <mergeCell ref="BE20:BK20"/>
    <mergeCell ref="Y20:AE20"/>
    <mergeCell ref="Y29:AE29"/>
    <mergeCell ref="AZ18:BD18"/>
    <mergeCell ref="AZ27:BD27"/>
    <mergeCell ref="AJ26:AN26"/>
    <mergeCell ref="D25:H25"/>
    <mergeCell ref="L6:M6"/>
    <mergeCell ref="BE22:BK22"/>
    <mergeCell ref="N6:O6"/>
    <mergeCell ref="AV6:AW6"/>
    <mergeCell ref="Y22:AE22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AX6:AY6"/>
    <mergeCell ref="M29:S29"/>
    <mergeCell ref="AO25:AR25"/>
    <mergeCell ref="I19:L19"/>
    <mergeCell ref="M23:S23"/>
    <mergeCell ref="AH23:AI23"/>
    <mergeCell ref="F7:G7"/>
    <mergeCell ref="X7:Y7"/>
    <mergeCell ref="D21:H21"/>
    <mergeCell ref="Z7:AA7"/>
    <mergeCell ref="Y23:AE23"/>
    <mergeCell ref="R7:S7"/>
    <mergeCell ref="AO27:AR27"/>
    <mergeCell ref="AJ7:AK7"/>
    <mergeCell ref="AL7:AM7"/>
    <mergeCell ref="I30:L30"/>
    <mergeCell ref="BE24:BK24"/>
    <mergeCell ref="T21:X21"/>
    <mergeCell ref="BE12:BF12"/>
    <mergeCell ref="T26:X26"/>
    <mergeCell ref="B19:C19"/>
    <mergeCell ref="BI6:BJ6"/>
    <mergeCell ref="B28:C28"/>
    <mergeCell ref="BE26:BK26"/>
    <mergeCell ref="AJ24:AN24"/>
    <mergeCell ref="M20:S20"/>
    <mergeCell ref="T23:X23"/>
    <mergeCell ref="AS25:AY25"/>
    <mergeCell ref="AH27:AI27"/>
    <mergeCell ref="D18:H18"/>
    <mergeCell ref="K12:P13"/>
    <mergeCell ref="BE25:BK25"/>
    <mergeCell ref="Y19:AE19"/>
    <mergeCell ref="B30:C30"/>
    <mergeCell ref="AS27:AY27"/>
    <mergeCell ref="BE13:BF13"/>
    <mergeCell ref="I21:L21"/>
    <mergeCell ref="T6:U6"/>
    <mergeCell ref="BE7:BF7"/>
    <mergeCell ref="B20:C20"/>
    <mergeCell ref="M22:S22"/>
    <mergeCell ref="AH25:AI25"/>
    <mergeCell ref="M30:S30"/>
    <mergeCell ref="AO30:AR30"/>
    <mergeCell ref="Y25:AE25"/>
    <mergeCell ref="T27:X27"/>
    <mergeCell ref="AO20:AR20"/>
    <mergeCell ref="AO29:AR29"/>
    <mergeCell ref="T18:X18"/>
    <mergeCell ref="Y12:AD13"/>
    <mergeCell ref="M28:S28"/>
    <mergeCell ref="I23:L23"/>
    <mergeCell ref="D20:H20"/>
    <mergeCell ref="Z6:AA6"/>
    <mergeCell ref="AS19:AY19"/>
    <mergeCell ref="AB6:AC6"/>
    <mergeCell ref="AO22:AR22"/>
    <mergeCell ref="AT6:AU6"/>
    <mergeCell ref="AS28:AY28"/>
    <mergeCell ref="AL6:AM6"/>
    <mergeCell ref="AZ19:BD19"/>
    <mergeCell ref="AJ27:AN27"/>
    <mergeCell ref="AZ28:BD28"/>
    <mergeCell ref="D22:H22"/>
    <mergeCell ref="AO21:AR21"/>
    <mergeCell ref="AT12:AU12"/>
    <mergeCell ref="H6:I6"/>
    <mergeCell ref="T25:X25"/>
    <mergeCell ref="J6:K6"/>
    <mergeCell ref="AH29:AI29"/>
    <mergeCell ref="AZ30:BD30"/>
    <mergeCell ref="AD6:AE6"/>
    <mergeCell ref="B23:C23"/>
    <mergeCell ref="AZ20:BD20"/>
    <mergeCell ref="AJ19:AN19"/>
    <mergeCell ref="AJ28:AN28"/>
    <mergeCell ref="I27:L27"/>
    <mergeCell ref="BE29:BK29"/>
    <mergeCell ref="Y24:AE24"/>
    <mergeCell ref="P7:Q7"/>
    <mergeCell ref="AX7:AY7"/>
    <mergeCell ref="AZ22:BD22"/>
    <mergeCell ref="H7:I7"/>
    <mergeCell ref="AY17:BB17"/>
    <mergeCell ref="J7:K7"/>
    <mergeCell ref="AJ30:AN30"/>
    <mergeCell ref="Y21:AE21"/>
    <mergeCell ref="R12:W13"/>
    <mergeCell ref="AH30:AI30"/>
    <mergeCell ref="AO19:AR19"/>
    <mergeCell ref="I22:L22"/>
    <mergeCell ref="V7:W7"/>
    <mergeCell ref="I28:L28"/>
    <mergeCell ref="AZ21:BD21"/>
    <mergeCell ref="AH26:AI26"/>
    <mergeCell ref="AF7:AG7"/>
    <mergeCell ref="D24:H24"/>
    <mergeCell ref="AH7:AI7"/>
    <mergeCell ref="M25:S25"/>
    <mergeCell ref="AZ29:BD29"/>
    <mergeCell ref="AZ23:BD23"/>
    <mergeCell ref="D26:H26"/>
  </mergeCells>
  <conditionalFormatting sqref="B19:C30">
    <cfRule type="expression" priority="1" dxfId="13" stopIfTrue="1">
      <formula>AND(ISNUMBER($B19),SUMPRODUCT(($C$4:$BK$15=$B19)*($C$4:$BK$15&lt;&gt;""))&lt;&gt;1)</formula>
    </cfRule>
    <cfRule type="expression" priority="2" dxfId="13" stopIfTrue="1">
      <formula>AND(ISNUMBER($B19),COUNTIF($B$19:$B$30,$B19)+COUNTIF($AH$19:$AH$30,$B19)&gt;1)</formula>
    </cfRule>
    <cfRule type="expression" priority="3" dxfId="14" stopIfTrue="1">
      <formula>$I19="서비스"</formula>
    </cfRule>
    <cfRule type="expression" priority="4" dxfId="15" stopIfTrue="1">
      <formula>$I19="관리"</formula>
    </cfRule>
    <cfRule type="expression" priority="5" dxfId="16" stopIfTrue="1">
      <formula>$I19="백업"</formula>
    </cfRule>
    <cfRule type="expression" priority="6" dxfId="17" stopIfTrue="1">
      <formula>$I19="스토리지"</formula>
    </cfRule>
    <cfRule type="expression" priority="7" dxfId="18" stopIfTrue="1">
      <formula>$I19="인터커넥트"</formula>
    </cfRule>
    <cfRule type="expression" priority="8" dxfId="19" stopIfTrue="1">
      <formula>$I19="콘솔"</formula>
    </cfRule>
    <cfRule type="expression" priority="9" dxfId="20" stopIfTrue="1">
      <formula>$I19="전원"</formula>
    </cfRule>
  </conditionalFormatting>
  <conditionalFormatting sqref="AH19:AI30">
    <cfRule type="expression" priority="10" dxfId="13" stopIfTrue="1">
      <formula>AND(ISNUMBER($AH19),SUMPRODUCT(($C$4:$BK$15=$AH19)*($C$4:$BK$15&lt;&gt;""))&lt;&gt;1)</formula>
    </cfRule>
    <cfRule type="expression" priority="11" dxfId="13" stopIfTrue="1">
      <formula>AND(ISNUMBER($AH19),COUNTIF($B$19:$B$30,$AH19)+COUNTIF($AH$19:$AH$30,$AH19)&gt;1)</formula>
    </cfRule>
    <cfRule type="expression" priority="12" dxfId="14" stopIfTrue="1">
      <formula>$AO19="서비스"</formula>
    </cfRule>
    <cfRule type="expression" priority="13" dxfId="15" stopIfTrue="1">
      <formula>$AO19="관리"</formula>
    </cfRule>
    <cfRule type="expression" priority="14" dxfId="16" stopIfTrue="1">
      <formula>$AO19="백업"</formula>
    </cfRule>
    <cfRule type="expression" priority="15" dxfId="17" stopIfTrue="1">
      <formula>$AO19="스토리지"</formula>
    </cfRule>
    <cfRule type="expression" priority="16" dxfId="18" stopIfTrue="1">
      <formula>$AO19="인터커넥트"</formula>
    </cfRule>
    <cfRule type="expression" priority="17" dxfId="19" stopIfTrue="1">
      <formula>$AO19="콘솔"</formula>
    </cfRule>
    <cfRule type="expression" priority="18" dxfId="20" stopIfTrue="1">
      <formula>$AO19="전원"</formula>
    </cfRule>
  </conditionalFormatting>
  <dataValidations count="2">
    <dataValidation sqref="I19:I30" showDropDown="0" showInputMessage="0" showErrorMessage="0" allowBlank="1" type="list">
      <formula1>"서비스,관리,백업,스토리지,인터커넥트,콘솔,전원,기타"</formula1>
    </dataValidation>
    <dataValidation sqref="AO19:AO30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SAN-A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Brocade G620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U36</t>
        </is>
      </c>
      <c r="Z2" s="5" t="inlineStr">
        <is>
          <t>구분</t>
        </is>
      </c>
      <c r="AB2" s="6" t="inlineStr">
        <is>
          <t>스토리지</t>
        </is>
      </c>
      <c r="AH2" s="5" t="inlineStr">
        <is>
          <t>시리얼</t>
        </is>
      </c>
      <c r="AK2" s="6" t="inlineStr">
        <is>
          <t>BRCAG1234A01</t>
        </is>
      </c>
      <c r="AS2" s="5" t="inlineStr">
        <is>
          <t>관리 IP</t>
        </is>
      </c>
      <c r="AV2" s="6" t="inlineStr">
        <is>
          <t>10.10.0.36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D5" s="45" t="inlineStr">
        <is>
          <t>0–7</t>
        </is>
      </c>
      <c r="E5" s="46" t="n"/>
      <c r="F5" s="46" t="n"/>
      <c r="G5" s="46" t="n"/>
      <c r="H5" s="46" t="n"/>
      <c r="I5" s="46" t="n"/>
      <c r="J5" s="46" t="n"/>
      <c r="K5" s="47" t="n"/>
      <c r="M5" s="45" t="inlineStr">
        <is>
          <t>8–15</t>
        </is>
      </c>
      <c r="N5" s="46" t="n"/>
      <c r="O5" s="46" t="n"/>
      <c r="P5" s="46" t="n"/>
      <c r="Q5" s="46" t="n"/>
      <c r="R5" s="46" t="n"/>
      <c r="S5" s="46" t="n"/>
      <c r="T5" s="47" t="n"/>
      <c r="V5" s="45" t="inlineStr">
        <is>
          <t>16–23</t>
        </is>
      </c>
      <c r="W5" s="46" t="n"/>
      <c r="X5" s="46" t="n"/>
      <c r="Y5" s="46" t="n"/>
      <c r="Z5" s="46" t="n"/>
      <c r="AA5" s="46" t="n"/>
      <c r="AB5" s="46" t="n"/>
      <c r="AC5" s="47" t="n"/>
      <c r="AE5" s="45" t="inlineStr">
        <is>
          <t>24–31</t>
        </is>
      </c>
      <c r="AF5" s="46" t="n"/>
      <c r="AG5" s="46" t="n"/>
      <c r="AH5" s="46" t="n"/>
      <c r="AI5" s="46" t="n"/>
      <c r="AJ5" s="46" t="n"/>
      <c r="AK5" s="46" t="n"/>
      <c r="AL5" s="47" t="n"/>
      <c r="AN5" s="45" t="inlineStr">
        <is>
          <t>32–39</t>
        </is>
      </c>
      <c r="AO5" s="46" t="n"/>
      <c r="AP5" s="46" t="n"/>
      <c r="AQ5" s="46" t="n"/>
      <c r="AR5" s="46" t="n"/>
      <c r="AS5" s="46" t="n"/>
      <c r="AT5" s="46" t="n"/>
      <c r="AU5" s="47" t="n"/>
      <c r="AW5" s="45" t="inlineStr">
        <is>
          <t>40–47</t>
        </is>
      </c>
      <c r="AX5" s="46" t="n"/>
      <c r="AY5" s="46" t="n"/>
      <c r="AZ5" s="46" t="n"/>
      <c r="BA5" s="46" t="n"/>
      <c r="BB5" s="46" t="n"/>
      <c r="BC5" s="46" t="n"/>
      <c r="BD5" s="47" t="n"/>
      <c r="BF5" s="45" t="inlineStr">
        <is>
          <t>QSFP</t>
        </is>
      </c>
      <c r="BG5" s="46" t="n"/>
      <c r="BH5" s="46" t="n"/>
      <c r="BI5" s="47" t="n"/>
      <c r="BK5" s="17" t="n"/>
    </row>
    <row r="6" ht="12" customHeight="1">
      <c r="C6" s="18" t="n"/>
      <c r="D6" s="100" t="n">
        <v>0</v>
      </c>
      <c r="E6" s="40" t="n"/>
      <c r="F6" s="93" t="n">
        <v>1</v>
      </c>
      <c r="G6" s="40" t="n"/>
      <c r="H6" s="93" t="n">
        <v>2</v>
      </c>
      <c r="I6" s="40" t="n"/>
      <c r="J6" s="101" t="n">
        <v>3</v>
      </c>
      <c r="K6" s="73" t="n"/>
      <c r="M6" s="102" t="n">
        <v>8</v>
      </c>
      <c r="N6" s="40" t="n"/>
      <c r="O6" s="41" t="n">
        <v>9</v>
      </c>
      <c r="P6" s="40" t="n"/>
      <c r="Q6" s="41" t="n">
        <v>10</v>
      </c>
      <c r="R6" s="40" t="n"/>
      <c r="S6" s="72" t="n">
        <v>11</v>
      </c>
      <c r="T6" s="73" t="n"/>
      <c r="V6" s="102" t="n">
        <v>16</v>
      </c>
      <c r="W6" s="40" t="n"/>
      <c r="X6" s="41" t="n">
        <v>17</v>
      </c>
      <c r="Y6" s="40" t="n"/>
      <c r="Z6" s="41" t="n">
        <v>18</v>
      </c>
      <c r="AA6" s="40" t="n"/>
      <c r="AB6" s="72" t="n">
        <v>19</v>
      </c>
      <c r="AC6" s="73" t="n"/>
      <c r="AE6" s="102" t="n">
        <v>24</v>
      </c>
      <c r="AF6" s="40" t="n"/>
      <c r="AG6" s="41" t="n">
        <v>25</v>
      </c>
      <c r="AH6" s="40" t="n"/>
      <c r="AI6" s="41" t="n">
        <v>26</v>
      </c>
      <c r="AJ6" s="40" t="n"/>
      <c r="AK6" s="72" t="n">
        <v>27</v>
      </c>
      <c r="AL6" s="73" t="n"/>
      <c r="AN6" s="102" t="n">
        <v>32</v>
      </c>
      <c r="AO6" s="40" t="n"/>
      <c r="AP6" s="41" t="n">
        <v>33</v>
      </c>
      <c r="AQ6" s="40" t="n"/>
      <c r="AR6" s="41" t="n">
        <v>34</v>
      </c>
      <c r="AS6" s="40" t="n"/>
      <c r="AT6" s="72" t="n">
        <v>35</v>
      </c>
      <c r="AU6" s="73" t="n"/>
      <c r="AW6" s="102" t="n">
        <v>40</v>
      </c>
      <c r="AX6" s="40" t="n"/>
      <c r="AY6" s="41" t="n">
        <v>41</v>
      </c>
      <c r="AZ6" s="40" t="n"/>
      <c r="BA6" s="41" t="n">
        <v>42</v>
      </c>
      <c r="BB6" s="40" t="n"/>
      <c r="BC6" s="72" t="n">
        <v>43</v>
      </c>
      <c r="BD6" s="73" t="n"/>
      <c r="BF6" s="102" t="n">
        <v>48</v>
      </c>
      <c r="BG6" s="40" t="n"/>
      <c r="BH6" s="72" t="n">
        <v>49</v>
      </c>
      <c r="BI6" s="73" t="n"/>
      <c r="BK6" s="17" t="n"/>
    </row>
    <row r="7" ht="12" customHeight="1">
      <c r="C7" s="18" t="n"/>
      <c r="D7" s="103" t="n">
        <v>4</v>
      </c>
      <c r="E7" s="76" t="n"/>
      <c r="F7" s="104" t="n">
        <v>5</v>
      </c>
      <c r="G7" s="76" t="n"/>
      <c r="H7" s="78" t="n">
        <v>6</v>
      </c>
      <c r="I7" s="76" t="n"/>
      <c r="J7" s="79" t="n">
        <v>7</v>
      </c>
      <c r="K7" s="80" t="n"/>
      <c r="M7" s="81" t="n">
        <v>12</v>
      </c>
      <c r="N7" s="76" t="n"/>
      <c r="O7" s="78" t="n">
        <v>13</v>
      </c>
      <c r="P7" s="76" t="n"/>
      <c r="Q7" s="78" t="n">
        <v>14</v>
      </c>
      <c r="R7" s="76" t="n"/>
      <c r="S7" s="79" t="n">
        <v>15</v>
      </c>
      <c r="T7" s="80" t="n"/>
      <c r="V7" s="81" t="n">
        <v>20</v>
      </c>
      <c r="W7" s="76" t="n"/>
      <c r="X7" s="78" t="n">
        <v>21</v>
      </c>
      <c r="Y7" s="76" t="n"/>
      <c r="Z7" s="78" t="n">
        <v>22</v>
      </c>
      <c r="AA7" s="76" t="n"/>
      <c r="AB7" s="79" t="n">
        <v>23</v>
      </c>
      <c r="AC7" s="80" t="n"/>
      <c r="AE7" s="81" t="n">
        <v>28</v>
      </c>
      <c r="AF7" s="76" t="n"/>
      <c r="AG7" s="78" t="n">
        <v>29</v>
      </c>
      <c r="AH7" s="76" t="n"/>
      <c r="AI7" s="78" t="n">
        <v>30</v>
      </c>
      <c r="AJ7" s="76" t="n"/>
      <c r="AK7" s="79" t="n">
        <v>31</v>
      </c>
      <c r="AL7" s="80" t="n"/>
      <c r="AN7" s="81" t="n">
        <v>36</v>
      </c>
      <c r="AO7" s="76" t="n"/>
      <c r="AP7" s="78" t="n">
        <v>37</v>
      </c>
      <c r="AQ7" s="76" t="n"/>
      <c r="AR7" s="78" t="n">
        <v>38</v>
      </c>
      <c r="AS7" s="76" t="n"/>
      <c r="AT7" s="79" t="n">
        <v>39</v>
      </c>
      <c r="AU7" s="80" t="n"/>
      <c r="AW7" s="81" t="n">
        <v>44</v>
      </c>
      <c r="AX7" s="76" t="n"/>
      <c r="AY7" s="78" t="n">
        <v>45</v>
      </c>
      <c r="AZ7" s="76" t="n"/>
      <c r="BA7" s="78" t="n">
        <v>46</v>
      </c>
      <c r="BB7" s="76" t="n"/>
      <c r="BC7" s="79" t="n">
        <v>47</v>
      </c>
      <c r="BD7" s="80" t="n"/>
      <c r="BF7" s="81" t="n">
        <v>50</v>
      </c>
      <c r="BG7" s="76" t="n"/>
      <c r="BH7" s="79" t="n">
        <v>51</v>
      </c>
      <c r="BI7" s="80" t="n"/>
      <c r="BK7" s="17" t="n"/>
    </row>
    <row r="8" ht="12" customHeight="1">
      <c r="C8" s="42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  <c r="AD8" s="43" t="n"/>
      <c r="AE8" s="43" t="n"/>
      <c r="AF8" s="43" t="n"/>
      <c r="AG8" s="43" t="n"/>
      <c r="AH8" s="43" t="n"/>
      <c r="AI8" s="43" t="n"/>
      <c r="AJ8" s="43" t="n"/>
      <c r="AK8" s="43" t="n"/>
      <c r="AL8" s="43" t="n"/>
      <c r="AM8" s="43" t="n"/>
      <c r="AN8" s="43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4" t="n"/>
    </row>
    <row r="9" ht="12" customHeight="1"/>
    <row r="10" ht="12" customHeight="1">
      <c r="B10" s="35" t="inlineStr">
        <is>
          <t>후  면</t>
        </is>
      </c>
      <c r="C10" s="36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7" t="n"/>
    </row>
    <row r="11" ht="12" customHeight="1">
      <c r="C11" s="18" t="n"/>
      <c r="D11" s="45" t="inlineStr">
        <is>
          <t>관리</t>
        </is>
      </c>
      <c r="E11" s="46" t="n"/>
      <c r="F11" s="46" t="n"/>
      <c r="G11" s="46" t="n"/>
      <c r="H11" s="46" t="n"/>
      <c r="I11" s="46" t="n"/>
      <c r="J11" s="46" t="n"/>
      <c r="K11" s="46" t="n"/>
      <c r="L11" s="46" t="n"/>
      <c r="M11" s="47" t="n"/>
      <c r="O11" s="45" t="inlineStr">
        <is>
          <t>USB</t>
        </is>
      </c>
      <c r="P11" s="46" t="n"/>
      <c r="Q11" s="46" t="n"/>
      <c r="R11" s="46" t="n"/>
      <c r="S11" s="46" t="n"/>
      <c r="T11" s="47" t="n"/>
      <c r="V11" s="45" t="inlineStr">
        <is>
          <t>FAN 1</t>
        </is>
      </c>
      <c r="W11" s="46" t="n"/>
      <c r="X11" s="46" t="n"/>
      <c r="Y11" s="46" t="n"/>
      <c r="Z11" s="46" t="n"/>
      <c r="AA11" s="47" t="n"/>
      <c r="AC11" s="45" t="inlineStr">
        <is>
          <t>FAN 2</t>
        </is>
      </c>
      <c r="AD11" s="46" t="n"/>
      <c r="AE11" s="46" t="n"/>
      <c r="AF11" s="46" t="n"/>
      <c r="AG11" s="46" t="n"/>
      <c r="AH11" s="47" t="n"/>
      <c r="AJ11" s="45" t="inlineStr">
        <is>
          <t>FAN 3</t>
        </is>
      </c>
      <c r="AK11" s="46" t="n"/>
      <c r="AL11" s="46" t="n"/>
      <c r="AM11" s="46" t="n"/>
      <c r="AN11" s="46" t="n"/>
      <c r="AO11" s="47" t="n"/>
      <c r="AQ11" s="45" t="inlineStr">
        <is>
          <t>PSU 1</t>
        </is>
      </c>
      <c r="AR11" s="46" t="n"/>
      <c r="AS11" s="46" t="n"/>
      <c r="AT11" s="46" t="n"/>
      <c r="AU11" s="46" t="n"/>
      <c r="AV11" s="46" t="n"/>
      <c r="AW11" s="46" t="n"/>
      <c r="AX11" s="46" t="n"/>
      <c r="AY11" s="47" t="n"/>
      <c r="BA11" s="45" t="inlineStr">
        <is>
          <t>PSU 2</t>
        </is>
      </c>
      <c r="BB11" s="46" t="n"/>
      <c r="BC11" s="46" t="n"/>
      <c r="BD11" s="46" t="n"/>
      <c r="BE11" s="46" t="n"/>
      <c r="BF11" s="46" t="n"/>
      <c r="BG11" s="46" t="n"/>
      <c r="BH11" s="46" t="n"/>
      <c r="BI11" s="46" t="n"/>
      <c r="BJ11" s="47" t="n"/>
      <c r="BK11" s="17" t="n"/>
    </row>
    <row r="12" ht="12" customHeight="1">
      <c r="C12" s="18" t="n"/>
      <c r="D12" s="48" t="n"/>
      <c r="E12" s="49" t="n"/>
      <c r="F12" s="71" t="n">
        <v>64</v>
      </c>
      <c r="G12" s="40" t="n"/>
      <c r="H12" s="49" t="n"/>
      <c r="I12" s="41" t="n"/>
      <c r="J12" s="40" t="n"/>
      <c r="K12" s="49" t="n"/>
      <c r="L12" s="49" t="n"/>
      <c r="M12" s="50" t="n"/>
      <c r="O12" s="48" t="n"/>
      <c r="P12" s="49" t="n"/>
      <c r="Q12" s="49" t="n"/>
      <c r="R12" s="49" t="n"/>
      <c r="S12" s="49" t="n"/>
      <c r="T12" s="50" t="n"/>
      <c r="V12" s="83" t="inlineStr">
        <is>
          <t>◎</t>
        </is>
      </c>
      <c r="AA12" s="84" t="n"/>
      <c r="AC12" s="83" t="inlineStr">
        <is>
          <t>◎</t>
        </is>
      </c>
      <c r="AH12" s="84" t="n"/>
      <c r="AJ12" s="83" t="inlineStr">
        <is>
          <t>◎</t>
        </is>
      </c>
      <c r="AO12" s="84" t="n"/>
      <c r="AQ12" s="48" t="n"/>
      <c r="AR12" s="49" t="n"/>
      <c r="AS12" s="49" t="n"/>
      <c r="AT12" s="85" t="n">
        <v>66</v>
      </c>
      <c r="AU12" s="40" t="n"/>
      <c r="AV12" s="49" t="n"/>
      <c r="AW12" s="49" t="n"/>
      <c r="AX12" s="49" t="n"/>
      <c r="AY12" s="50" t="n"/>
      <c r="BA12" s="48" t="n"/>
      <c r="BB12" s="49" t="n"/>
      <c r="BC12" s="49" t="n"/>
      <c r="BD12" s="49" t="n"/>
      <c r="BE12" s="85" t="n">
        <v>67</v>
      </c>
      <c r="BF12" s="40" t="n"/>
      <c r="BG12" s="49" t="n"/>
      <c r="BH12" s="49" t="n"/>
      <c r="BI12" s="49" t="n"/>
      <c r="BJ12" s="50" t="n"/>
      <c r="BK12" s="17" t="n"/>
    </row>
    <row r="13" ht="12" customHeight="1">
      <c r="C13" s="18" t="n"/>
      <c r="D13" s="51" t="n"/>
      <c r="E13" s="52" t="n"/>
      <c r="F13" s="89" t="inlineStr">
        <is>
          <t>MGMT</t>
        </is>
      </c>
      <c r="G13" s="87" t="n"/>
      <c r="H13" s="52" t="n"/>
      <c r="I13" s="89" t="inlineStr">
        <is>
          <t>CON</t>
        </is>
      </c>
      <c r="J13" s="87" t="n"/>
      <c r="K13" s="52" t="n"/>
      <c r="L13" s="52" t="n"/>
      <c r="M13" s="53" t="n"/>
      <c r="O13" s="51" t="n"/>
      <c r="P13" s="52" t="n"/>
      <c r="Q13" s="52" t="n"/>
      <c r="R13" s="52" t="n"/>
      <c r="S13" s="52" t="n"/>
      <c r="T13" s="53" t="n"/>
      <c r="V13" s="86" t="n"/>
      <c r="W13" s="87" t="n"/>
      <c r="X13" s="87" t="n"/>
      <c r="Y13" s="87" t="n"/>
      <c r="Z13" s="87" t="n"/>
      <c r="AA13" s="88" t="n"/>
      <c r="AC13" s="86" t="n"/>
      <c r="AD13" s="87" t="n"/>
      <c r="AE13" s="87" t="n"/>
      <c r="AF13" s="87" t="n"/>
      <c r="AG13" s="87" t="n"/>
      <c r="AH13" s="88" t="n"/>
      <c r="AJ13" s="86" t="n"/>
      <c r="AK13" s="87" t="n"/>
      <c r="AL13" s="87" t="n"/>
      <c r="AM13" s="87" t="n"/>
      <c r="AN13" s="87" t="n"/>
      <c r="AO13" s="88" t="n"/>
      <c r="AQ13" s="51" t="n"/>
      <c r="AR13" s="52" t="n"/>
      <c r="AS13" s="52" t="n"/>
      <c r="AT13" s="89" t="inlineStr">
        <is>
          <t>C14</t>
        </is>
      </c>
      <c r="AU13" s="87" t="n"/>
      <c r="AV13" s="52" t="n"/>
      <c r="AW13" s="52" t="n"/>
      <c r="AX13" s="52" t="n"/>
      <c r="AY13" s="53" t="n"/>
      <c r="BA13" s="51" t="n"/>
      <c r="BB13" s="52" t="n"/>
      <c r="BC13" s="52" t="n"/>
      <c r="BD13" s="52" t="n"/>
      <c r="BE13" s="89" t="inlineStr">
        <is>
          <t>C14</t>
        </is>
      </c>
      <c r="BF13" s="87" t="n"/>
      <c r="BG13" s="52" t="n"/>
      <c r="BH13" s="52" t="n"/>
      <c r="BI13" s="52" t="n"/>
      <c r="BJ13" s="53" t="n"/>
      <c r="BK13" s="17" t="n"/>
    </row>
    <row r="14" ht="12" customHeight="1">
      <c r="C14" s="4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43" t="n"/>
      <c r="AW14" s="43" t="n"/>
      <c r="AX14" s="43" t="n"/>
      <c r="AY14" s="43" t="n"/>
      <c r="AZ14" s="43" t="n"/>
      <c r="BA14" s="43" t="n"/>
      <c r="BB14" s="43" t="n"/>
      <c r="BC14" s="43" t="n"/>
      <c r="BD14" s="43" t="n"/>
      <c r="BE14" s="43" t="n"/>
      <c r="BF14" s="43" t="n"/>
      <c r="BG14" s="43" t="n"/>
      <c r="BH14" s="43" t="n"/>
      <c r="BI14" s="43" t="n"/>
      <c r="BJ14" s="43" t="n"/>
      <c r="BK14" s="44" t="n"/>
    </row>
    <row r="15" ht="12" customHeight="1"/>
    <row r="16" ht="12" customHeight="1">
      <c r="C16" s="8" t="inlineStr">
        <is>
          <t>칸 안 숫자 = 장비에 인쇄된 포트 번호(= 도면 번호) · 색 칸 = 연결됨</t>
        </is>
      </c>
    </row>
    <row r="17" ht="12" customHeight="1">
      <c r="B17" s="7" t="inlineStr">
        <is>
          <t>연결 정보</t>
        </is>
      </c>
      <c r="H17" s="54" t="n"/>
      <c r="I17" s="28" t="inlineStr">
        <is>
          <t>서비스</t>
        </is>
      </c>
      <c r="L17" s="55" t="n"/>
      <c r="M17" s="28" t="inlineStr">
        <is>
          <t>관리</t>
        </is>
      </c>
      <c r="O17" s="56" t="n"/>
      <c r="P17" s="28" t="inlineStr">
        <is>
          <t>백업</t>
        </is>
      </c>
      <c r="R17" s="57" t="n"/>
      <c r="S17" s="28" t="inlineStr">
        <is>
          <t>스토리지</t>
        </is>
      </c>
      <c r="V17" s="58" t="n"/>
      <c r="W17" s="28" t="inlineStr">
        <is>
          <t>인터커넥트</t>
        </is>
      </c>
      <c r="AA17" s="59" t="n"/>
      <c r="AB17" s="28" t="inlineStr">
        <is>
          <t>콘솔</t>
        </is>
      </c>
      <c r="AD17" s="60" t="n"/>
      <c r="AE17" s="28" t="inlineStr">
        <is>
          <t>전원</t>
        </is>
      </c>
      <c r="AG17" s="61" t="n"/>
      <c r="AH17" s="28" t="inlineStr">
        <is>
          <t>미연결</t>
        </is>
      </c>
      <c r="AL17" s="62" t="n">
        <v>7</v>
      </c>
      <c r="AM17" s="28" t="inlineStr">
        <is>
          <t>도면 번호</t>
        </is>
      </c>
      <c r="AQ17" s="63" t="inlineStr">
        <is>
          <t>LOM1</t>
        </is>
      </c>
      <c r="AS17" s="28" t="inlineStr">
        <is>
          <t>포트명(장비 표기)</t>
        </is>
      </c>
      <c r="AY17" s="64" t="inlineStr">
        <is>
          <t>A-0001</t>
        </is>
      </c>
      <c r="AZ17" s="21" t="n"/>
      <c r="BA17" s="21" t="n"/>
      <c r="BB17" s="21" t="n"/>
      <c r="BC17" s="28" t="inlineStr">
        <is>
          <t>케이블 라벨</t>
        </is>
      </c>
    </row>
    <row r="18" ht="15" customHeight="1">
      <c r="B18" s="11" t="inlineStr">
        <is>
          <t>번호</t>
        </is>
      </c>
      <c r="C18" s="12" t="n"/>
      <c r="D18" s="13" t="inlineStr">
        <is>
          <t>포트명</t>
        </is>
      </c>
      <c r="E18" s="12" t="n"/>
      <c r="F18" s="12" t="n"/>
      <c r="G18" s="12" t="n"/>
      <c r="H18" s="12" t="n"/>
      <c r="I18" s="13" t="inlineStr">
        <is>
          <t>용도</t>
        </is>
      </c>
      <c r="J18" s="12" t="n"/>
      <c r="K18" s="12" t="n"/>
      <c r="L18" s="12" t="n"/>
      <c r="M18" s="13" t="inlineStr">
        <is>
          <t>상대 장비</t>
        </is>
      </c>
      <c r="N18" s="12" t="n"/>
      <c r="O18" s="12" t="n"/>
      <c r="P18" s="12" t="n"/>
      <c r="Q18" s="12" t="n"/>
      <c r="R18" s="12" t="n"/>
      <c r="S18" s="12" t="n"/>
      <c r="T18" s="13" t="inlineStr">
        <is>
          <t>상대 포트</t>
        </is>
      </c>
      <c r="U18" s="12" t="n"/>
      <c r="V18" s="12" t="n"/>
      <c r="W18" s="12" t="n"/>
      <c r="X18" s="12" t="n"/>
      <c r="Y18" s="13" t="inlineStr">
        <is>
          <t>케이블 라벨</t>
        </is>
      </c>
      <c r="Z18" s="12" t="n"/>
      <c r="AA18" s="12" t="n"/>
      <c r="AB18" s="12" t="n"/>
      <c r="AC18" s="12" t="n"/>
      <c r="AD18" s="12" t="n"/>
      <c r="AE18" s="12" t="n"/>
      <c r="AH18" s="11" t="inlineStr">
        <is>
          <t>번호</t>
        </is>
      </c>
      <c r="AI18" s="12" t="n"/>
      <c r="AJ18" s="13" t="inlineStr">
        <is>
          <t>포트명</t>
        </is>
      </c>
      <c r="AK18" s="12" t="n"/>
      <c r="AL18" s="12" t="n"/>
      <c r="AM18" s="12" t="n"/>
      <c r="AN18" s="12" t="n"/>
      <c r="AO18" s="13" t="inlineStr">
        <is>
          <t>용도</t>
        </is>
      </c>
      <c r="AP18" s="12" t="n"/>
      <c r="AQ18" s="12" t="n"/>
      <c r="AR18" s="12" t="n"/>
      <c r="AS18" s="13" t="inlineStr">
        <is>
          <t>상대 장비</t>
        </is>
      </c>
      <c r="AT18" s="12" t="n"/>
      <c r="AU18" s="12" t="n"/>
      <c r="AV18" s="12" t="n"/>
      <c r="AW18" s="12" t="n"/>
      <c r="AX18" s="12" t="n"/>
      <c r="AY18" s="12" t="n"/>
      <c r="AZ18" s="13" t="inlineStr">
        <is>
          <t>상대 포트</t>
        </is>
      </c>
      <c r="BA18" s="12" t="n"/>
      <c r="BB18" s="12" t="n"/>
      <c r="BC18" s="12" t="n"/>
      <c r="BD18" s="12" t="n"/>
      <c r="BE18" s="13" t="inlineStr">
        <is>
          <t>케이블 라벨</t>
        </is>
      </c>
      <c r="BF18" s="12" t="n"/>
      <c r="BG18" s="12" t="n"/>
      <c r="BH18" s="12" t="n"/>
      <c r="BI18" s="12" t="n"/>
      <c r="BJ18" s="12" t="n"/>
      <c r="BK18" s="12" t="n"/>
    </row>
    <row r="19" ht="13.5" customHeight="1">
      <c r="B19" s="65" t="n">
        <v>0</v>
      </c>
      <c r="C19" s="21" t="n"/>
      <c r="D19" s="67" t="inlineStr">
        <is>
          <t>P0</t>
        </is>
      </c>
      <c r="E19" s="21" t="n"/>
      <c r="F19" s="21" t="n"/>
      <c r="G19" s="21" t="n"/>
      <c r="H19" s="21" t="n"/>
      <c r="I19" s="67" t="inlineStr">
        <is>
          <t>스토리지</t>
        </is>
      </c>
      <c r="J19" s="21" t="n"/>
      <c r="K19" s="21" t="n"/>
      <c r="L19" s="21" t="n"/>
      <c r="M19" s="67" t="inlineStr">
        <is>
          <t>SRV-01</t>
        </is>
      </c>
      <c r="N19" s="21" t="n"/>
      <c r="O19" s="21" t="n"/>
      <c r="P19" s="21" t="n"/>
      <c r="Q19" s="21" t="n"/>
      <c r="R19" s="21" t="n"/>
      <c r="S19" s="21" t="n"/>
      <c r="T19" s="67" t="inlineStr">
        <is>
          <t>S1-P1</t>
        </is>
      </c>
      <c r="U19" s="21" t="n"/>
      <c r="V19" s="21" t="n"/>
      <c r="W19" s="21" t="n"/>
      <c r="X19" s="21" t="n"/>
      <c r="Y19" s="68" t="inlineStr">
        <is>
          <t>R02-D038</t>
        </is>
      </c>
      <c r="Z19" s="21" t="n"/>
      <c r="AA19" s="21" t="n"/>
      <c r="AB19" s="21" t="n"/>
      <c r="AC19" s="21" t="n"/>
      <c r="AD19" s="21" t="n"/>
      <c r="AE19" s="21" t="n"/>
      <c r="AH19" s="65" t="n"/>
      <c r="AI19" s="21" t="n"/>
      <c r="AJ19" s="67" t="n"/>
      <c r="AK19" s="21" t="n"/>
      <c r="AL19" s="21" t="n"/>
      <c r="AM19" s="21" t="n"/>
      <c r="AN19" s="21" t="n"/>
      <c r="AO19" s="67" t="n"/>
      <c r="AP19" s="21" t="n"/>
      <c r="AQ19" s="21" t="n"/>
      <c r="AR19" s="21" t="n"/>
      <c r="AS19" s="67" t="n"/>
      <c r="AT19" s="21" t="n"/>
      <c r="AU19" s="21" t="n"/>
      <c r="AV19" s="21" t="n"/>
      <c r="AW19" s="21" t="n"/>
      <c r="AX19" s="21" t="n"/>
      <c r="AY19" s="21" t="n"/>
      <c r="AZ19" s="67" t="n"/>
      <c r="BA19" s="21" t="n"/>
      <c r="BB19" s="21" t="n"/>
      <c r="BC19" s="21" t="n"/>
      <c r="BD19" s="21" t="n"/>
      <c r="BE19" s="68" t="n"/>
      <c r="BF19" s="21" t="n"/>
      <c r="BG19" s="21" t="n"/>
      <c r="BH19" s="21" t="n"/>
      <c r="BI19" s="21" t="n"/>
      <c r="BJ19" s="21" t="n"/>
      <c r="BK19" s="21" t="n"/>
    </row>
    <row r="20" ht="13.5" customHeight="1">
      <c r="B20" s="65" t="n">
        <v>1</v>
      </c>
      <c r="C20" s="21" t="n"/>
      <c r="D20" s="67" t="inlineStr">
        <is>
          <t>P1</t>
        </is>
      </c>
      <c r="E20" s="21" t="n"/>
      <c r="F20" s="21" t="n"/>
      <c r="G20" s="21" t="n"/>
      <c r="H20" s="21" t="n"/>
      <c r="I20" s="67" t="inlineStr">
        <is>
          <t>스토리지</t>
        </is>
      </c>
      <c r="J20" s="21" t="n"/>
      <c r="K20" s="21" t="n"/>
      <c r="L20" s="21" t="n"/>
      <c r="M20" s="67" t="inlineStr">
        <is>
          <t>SRV-02</t>
        </is>
      </c>
      <c r="N20" s="21" t="n"/>
      <c r="O20" s="21" t="n"/>
      <c r="P20" s="21" t="n"/>
      <c r="Q20" s="21" t="n"/>
      <c r="R20" s="21" t="n"/>
      <c r="S20" s="21" t="n"/>
      <c r="T20" s="67" t="inlineStr">
        <is>
          <t>S1-P1</t>
        </is>
      </c>
      <c r="U20" s="21" t="n"/>
      <c r="V20" s="21" t="n"/>
      <c r="W20" s="21" t="n"/>
      <c r="X20" s="21" t="n"/>
      <c r="Y20" s="68" t="inlineStr">
        <is>
          <t>R02-D040</t>
        </is>
      </c>
      <c r="Z20" s="21" t="n"/>
      <c r="AA20" s="21" t="n"/>
      <c r="AB20" s="21" t="n"/>
      <c r="AC20" s="21" t="n"/>
      <c r="AD20" s="21" t="n"/>
      <c r="AE20" s="21" t="n"/>
      <c r="AH20" s="65" t="n"/>
      <c r="AI20" s="21" t="n"/>
      <c r="AJ20" s="67" t="n"/>
      <c r="AK20" s="21" t="n"/>
      <c r="AL20" s="21" t="n"/>
      <c r="AM20" s="21" t="n"/>
      <c r="AN20" s="21" t="n"/>
      <c r="AO20" s="67" t="n"/>
      <c r="AP20" s="21" t="n"/>
      <c r="AQ20" s="21" t="n"/>
      <c r="AR20" s="21" t="n"/>
      <c r="AS20" s="67" t="n"/>
      <c r="AT20" s="21" t="n"/>
      <c r="AU20" s="21" t="n"/>
      <c r="AV20" s="21" t="n"/>
      <c r="AW20" s="21" t="n"/>
      <c r="AX20" s="21" t="n"/>
      <c r="AY20" s="21" t="n"/>
      <c r="AZ20" s="67" t="n"/>
      <c r="BA20" s="21" t="n"/>
      <c r="BB20" s="21" t="n"/>
      <c r="BC20" s="21" t="n"/>
      <c r="BD20" s="21" t="n"/>
      <c r="BE20" s="68" t="n"/>
      <c r="BF20" s="21" t="n"/>
      <c r="BG20" s="21" t="n"/>
      <c r="BH20" s="21" t="n"/>
      <c r="BI20" s="21" t="n"/>
      <c r="BJ20" s="21" t="n"/>
      <c r="BK20" s="21" t="n"/>
    </row>
    <row r="21" ht="13.5" customHeight="1">
      <c r="B21" s="65" t="n">
        <v>2</v>
      </c>
      <c r="C21" s="21" t="n"/>
      <c r="D21" s="67" t="inlineStr">
        <is>
          <t>P2</t>
        </is>
      </c>
      <c r="E21" s="21" t="n"/>
      <c r="F21" s="21" t="n"/>
      <c r="G21" s="21" t="n"/>
      <c r="H21" s="21" t="n"/>
      <c r="I21" s="67" t="inlineStr">
        <is>
          <t>스토리지</t>
        </is>
      </c>
      <c r="J21" s="21" t="n"/>
      <c r="K21" s="21" t="n"/>
      <c r="L21" s="21" t="n"/>
      <c r="M21" s="67" t="inlineStr">
        <is>
          <t>ENC-01</t>
        </is>
      </c>
      <c r="N21" s="21" t="n"/>
      <c r="O21" s="21" t="n"/>
      <c r="P21" s="21" t="n"/>
      <c r="Q21" s="21" t="n"/>
      <c r="R21" s="21" t="n"/>
      <c r="S21" s="21" t="n"/>
      <c r="T21" s="67" t="inlineStr">
        <is>
          <t>B1-X1</t>
        </is>
      </c>
      <c r="U21" s="21" t="n"/>
      <c r="V21" s="21" t="n"/>
      <c r="W21" s="21" t="n"/>
      <c r="X21" s="21" t="n"/>
      <c r="Y21" s="68" t="inlineStr">
        <is>
          <t>R02-D042</t>
        </is>
      </c>
      <c r="Z21" s="21" t="n"/>
      <c r="AA21" s="21" t="n"/>
      <c r="AB21" s="21" t="n"/>
      <c r="AC21" s="21" t="n"/>
      <c r="AD21" s="21" t="n"/>
      <c r="AE21" s="21" t="n"/>
      <c r="AH21" s="65" t="n"/>
      <c r="AI21" s="21" t="n"/>
      <c r="AJ21" s="67" t="n"/>
      <c r="AK21" s="21" t="n"/>
      <c r="AL21" s="21" t="n"/>
      <c r="AM21" s="21" t="n"/>
      <c r="AN21" s="21" t="n"/>
      <c r="AO21" s="67" t="n"/>
      <c r="AP21" s="21" t="n"/>
      <c r="AQ21" s="21" t="n"/>
      <c r="AR21" s="21" t="n"/>
      <c r="AS21" s="67" t="n"/>
      <c r="AT21" s="21" t="n"/>
      <c r="AU21" s="21" t="n"/>
      <c r="AV21" s="21" t="n"/>
      <c r="AW21" s="21" t="n"/>
      <c r="AX21" s="21" t="n"/>
      <c r="AY21" s="21" t="n"/>
      <c r="AZ21" s="67" t="n"/>
      <c r="BA21" s="21" t="n"/>
      <c r="BB21" s="21" t="n"/>
      <c r="BC21" s="21" t="n"/>
      <c r="BD21" s="21" t="n"/>
      <c r="BE21" s="68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5" t="n">
        <v>3</v>
      </c>
      <c r="C22" s="21" t="n"/>
      <c r="D22" s="67" t="inlineStr">
        <is>
          <t>P3</t>
        </is>
      </c>
      <c r="E22" s="21" t="n"/>
      <c r="F22" s="21" t="n"/>
      <c r="G22" s="21" t="n"/>
      <c r="H22" s="21" t="n"/>
      <c r="I22" s="67" t="inlineStr">
        <is>
          <t>스토리지</t>
        </is>
      </c>
      <c r="J22" s="21" t="n"/>
      <c r="K22" s="21" t="n"/>
      <c r="L22" s="21" t="n"/>
      <c r="M22" s="67" t="inlineStr">
        <is>
          <t>ENC-01</t>
        </is>
      </c>
      <c r="N22" s="21" t="n"/>
      <c r="O22" s="21" t="n"/>
      <c r="P22" s="21" t="n"/>
      <c r="Q22" s="21" t="n"/>
      <c r="R22" s="21" t="n"/>
      <c r="S22" s="21" t="n"/>
      <c r="T22" s="67" t="inlineStr">
        <is>
          <t>B1-X2</t>
        </is>
      </c>
      <c r="U22" s="21" t="n"/>
      <c r="V22" s="21" t="n"/>
      <c r="W22" s="21" t="n"/>
      <c r="X22" s="21" t="n"/>
      <c r="Y22" s="68" t="inlineStr">
        <is>
          <t>R02-D043</t>
        </is>
      </c>
      <c r="Z22" s="21" t="n"/>
      <c r="AA22" s="21" t="n"/>
      <c r="AB22" s="21" t="n"/>
      <c r="AC22" s="21" t="n"/>
      <c r="AD22" s="21" t="n"/>
      <c r="AE22" s="21" t="n"/>
      <c r="AH22" s="65" t="n"/>
      <c r="AI22" s="21" t="n"/>
      <c r="AJ22" s="67" t="n"/>
      <c r="AK22" s="21" t="n"/>
      <c r="AL22" s="21" t="n"/>
      <c r="AM22" s="21" t="n"/>
      <c r="AN22" s="21" t="n"/>
      <c r="AO22" s="67" t="n"/>
      <c r="AP22" s="21" t="n"/>
      <c r="AQ22" s="21" t="n"/>
      <c r="AR22" s="21" t="n"/>
      <c r="AS22" s="67" t="n"/>
      <c r="AT22" s="21" t="n"/>
      <c r="AU22" s="21" t="n"/>
      <c r="AV22" s="21" t="n"/>
      <c r="AW22" s="21" t="n"/>
      <c r="AX22" s="21" t="n"/>
      <c r="AY22" s="21" t="n"/>
      <c r="AZ22" s="67" t="n"/>
      <c r="BA22" s="21" t="n"/>
      <c r="BB22" s="21" t="n"/>
      <c r="BC22" s="21" t="n"/>
      <c r="BD22" s="21" t="n"/>
      <c r="BE22" s="68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5" t="n">
        <v>4</v>
      </c>
      <c r="C23" s="21" t="n"/>
      <c r="D23" s="67" t="inlineStr">
        <is>
          <t>P4</t>
        </is>
      </c>
      <c r="E23" s="21" t="n"/>
      <c r="F23" s="21" t="n"/>
      <c r="G23" s="21" t="n"/>
      <c r="H23" s="21" t="n"/>
      <c r="I23" s="67" t="inlineStr">
        <is>
          <t>스토리지</t>
        </is>
      </c>
      <c r="J23" s="21" t="n"/>
      <c r="K23" s="21" t="n"/>
      <c r="L23" s="21" t="n"/>
      <c r="M23" s="67" t="inlineStr">
        <is>
          <t>STG-01</t>
        </is>
      </c>
      <c r="N23" s="21" t="n"/>
      <c r="O23" s="21" t="n"/>
      <c r="P23" s="21" t="n"/>
      <c r="Q23" s="21" t="n"/>
      <c r="R23" s="21" t="n"/>
      <c r="S23" s="21" t="n"/>
      <c r="T23" s="67" t="inlineStr">
        <is>
          <t>SPA-IO0-P0</t>
        </is>
      </c>
      <c r="U23" s="21" t="n"/>
      <c r="V23" s="21" t="n"/>
      <c r="W23" s="21" t="n"/>
      <c r="X23" s="21" t="n"/>
      <c r="Y23" s="68" t="inlineStr">
        <is>
          <t>R02-D046</t>
        </is>
      </c>
      <c r="Z23" s="21" t="n"/>
      <c r="AA23" s="21" t="n"/>
      <c r="AB23" s="21" t="n"/>
      <c r="AC23" s="21" t="n"/>
      <c r="AD23" s="21" t="n"/>
      <c r="AE23" s="21" t="n"/>
      <c r="AH23" s="65" t="n"/>
      <c r="AI23" s="21" t="n"/>
      <c r="AJ23" s="67" t="n"/>
      <c r="AK23" s="21" t="n"/>
      <c r="AL23" s="21" t="n"/>
      <c r="AM23" s="21" t="n"/>
      <c r="AN23" s="21" t="n"/>
      <c r="AO23" s="67" t="n"/>
      <c r="AP23" s="21" t="n"/>
      <c r="AQ23" s="21" t="n"/>
      <c r="AR23" s="21" t="n"/>
      <c r="AS23" s="67" t="n"/>
      <c r="AT23" s="21" t="n"/>
      <c r="AU23" s="21" t="n"/>
      <c r="AV23" s="21" t="n"/>
      <c r="AW23" s="21" t="n"/>
      <c r="AX23" s="21" t="n"/>
      <c r="AY23" s="21" t="n"/>
      <c r="AZ23" s="67" t="n"/>
      <c r="BA23" s="21" t="n"/>
      <c r="BB23" s="21" t="n"/>
      <c r="BC23" s="21" t="n"/>
      <c r="BD23" s="21" t="n"/>
      <c r="BE23" s="68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5" t="n">
        <v>5</v>
      </c>
      <c r="C24" s="21" t="n"/>
      <c r="D24" s="67" t="inlineStr">
        <is>
          <t>P5</t>
        </is>
      </c>
      <c r="E24" s="21" t="n"/>
      <c r="F24" s="21" t="n"/>
      <c r="G24" s="21" t="n"/>
      <c r="H24" s="21" t="n"/>
      <c r="I24" s="67" t="inlineStr">
        <is>
          <t>스토리지</t>
        </is>
      </c>
      <c r="J24" s="21" t="n"/>
      <c r="K24" s="21" t="n"/>
      <c r="L24" s="21" t="n"/>
      <c r="M24" s="67" t="inlineStr">
        <is>
          <t>STG-01</t>
        </is>
      </c>
      <c r="N24" s="21" t="n"/>
      <c r="O24" s="21" t="n"/>
      <c r="P24" s="21" t="n"/>
      <c r="Q24" s="21" t="n"/>
      <c r="R24" s="21" t="n"/>
      <c r="S24" s="21" t="n"/>
      <c r="T24" s="67" t="inlineStr">
        <is>
          <t>SPB-IO0-P0</t>
        </is>
      </c>
      <c r="U24" s="21" t="n"/>
      <c r="V24" s="21" t="n"/>
      <c r="W24" s="21" t="n"/>
      <c r="X24" s="21" t="n"/>
      <c r="Y24" s="68" t="inlineStr">
        <is>
          <t>R02-D047</t>
        </is>
      </c>
      <c r="Z24" s="21" t="n"/>
      <c r="AA24" s="21" t="n"/>
      <c r="AB24" s="21" t="n"/>
      <c r="AC24" s="21" t="n"/>
      <c r="AD24" s="21" t="n"/>
      <c r="AE24" s="21" t="n"/>
      <c r="AH24" s="65" t="n"/>
      <c r="AI24" s="21" t="n"/>
      <c r="AJ24" s="67" t="n"/>
      <c r="AK24" s="21" t="n"/>
      <c r="AL24" s="21" t="n"/>
      <c r="AM24" s="21" t="n"/>
      <c r="AN24" s="21" t="n"/>
      <c r="AO24" s="67" t="n"/>
      <c r="AP24" s="21" t="n"/>
      <c r="AQ24" s="21" t="n"/>
      <c r="AR24" s="21" t="n"/>
      <c r="AS24" s="67" t="n"/>
      <c r="AT24" s="21" t="n"/>
      <c r="AU24" s="21" t="n"/>
      <c r="AV24" s="21" t="n"/>
      <c r="AW24" s="21" t="n"/>
      <c r="AX24" s="21" t="n"/>
      <c r="AY24" s="21" t="n"/>
      <c r="AZ24" s="67" t="n"/>
      <c r="BA24" s="21" t="n"/>
      <c r="BB24" s="21" t="n"/>
      <c r="BC24" s="21" t="n"/>
      <c r="BD24" s="21" t="n"/>
      <c r="BE24" s="68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5" t="n">
        <v>64</v>
      </c>
      <c r="C25" s="21" t="n"/>
      <c r="D25" s="67" t="inlineStr">
        <is>
          <t>MGMT</t>
        </is>
      </c>
      <c r="E25" s="21" t="n"/>
      <c r="F25" s="21" t="n"/>
      <c r="G25" s="21" t="n"/>
      <c r="H25" s="21" t="n"/>
      <c r="I25" s="67" t="inlineStr">
        <is>
          <t>관리</t>
        </is>
      </c>
      <c r="J25" s="21" t="n"/>
      <c r="K25" s="21" t="n"/>
      <c r="L25" s="21" t="n"/>
      <c r="M25" s="67" t="inlineStr">
        <is>
          <t>MGMT-SW</t>
        </is>
      </c>
      <c r="N25" s="21" t="n"/>
      <c r="O25" s="21" t="n"/>
      <c r="P25" s="21" t="n"/>
      <c r="Q25" s="21" t="n"/>
      <c r="R25" s="21" t="n"/>
      <c r="S25" s="21" t="n"/>
      <c r="T25" s="67" t="inlineStr">
        <is>
          <t>Gi1/0/10</t>
        </is>
      </c>
      <c r="U25" s="21" t="n"/>
      <c r="V25" s="21" t="n"/>
      <c r="W25" s="21" t="n"/>
      <c r="X25" s="21" t="n"/>
      <c r="Y25" s="68" t="inlineStr">
        <is>
          <t>R02-D010</t>
        </is>
      </c>
      <c r="Z25" s="21" t="n"/>
      <c r="AA25" s="21" t="n"/>
      <c r="AB25" s="21" t="n"/>
      <c r="AC25" s="21" t="n"/>
      <c r="AD25" s="21" t="n"/>
      <c r="AE25" s="21" t="n"/>
      <c r="AH25" s="65" t="n"/>
      <c r="AI25" s="21" t="n"/>
      <c r="AJ25" s="67" t="n"/>
      <c r="AK25" s="21" t="n"/>
      <c r="AL25" s="21" t="n"/>
      <c r="AM25" s="21" t="n"/>
      <c r="AN25" s="21" t="n"/>
      <c r="AO25" s="67" t="n"/>
      <c r="AP25" s="21" t="n"/>
      <c r="AQ25" s="21" t="n"/>
      <c r="AR25" s="21" t="n"/>
      <c r="AS25" s="67" t="n"/>
      <c r="AT25" s="21" t="n"/>
      <c r="AU25" s="21" t="n"/>
      <c r="AV25" s="21" t="n"/>
      <c r="AW25" s="21" t="n"/>
      <c r="AX25" s="21" t="n"/>
      <c r="AY25" s="21" t="n"/>
      <c r="AZ25" s="67" t="n"/>
      <c r="BA25" s="21" t="n"/>
      <c r="BB25" s="21" t="n"/>
      <c r="BC25" s="21" t="n"/>
      <c r="BD25" s="21" t="n"/>
      <c r="BE25" s="68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5" t="n">
        <v>66</v>
      </c>
      <c r="C26" s="21" t="n"/>
      <c r="D26" s="67" t="inlineStr">
        <is>
          <t>PSU1</t>
        </is>
      </c>
      <c r="E26" s="21" t="n"/>
      <c r="F26" s="21" t="n"/>
      <c r="G26" s="21" t="n"/>
      <c r="H26" s="21" t="n"/>
      <c r="I26" s="67" t="inlineStr">
        <is>
          <t>전원</t>
        </is>
      </c>
      <c r="J26" s="21" t="n"/>
      <c r="K26" s="21" t="n"/>
      <c r="L26" s="21" t="n"/>
      <c r="M26" s="67" t="inlineStr">
        <is>
          <t>PDU-A</t>
        </is>
      </c>
      <c r="N26" s="21" t="n"/>
      <c r="O26" s="21" t="n"/>
      <c r="P26" s="21" t="n"/>
      <c r="Q26" s="21" t="n"/>
      <c r="R26" s="21" t="n"/>
      <c r="S26" s="21" t="n"/>
      <c r="T26" s="67" t="inlineStr">
        <is>
          <t>C13-4</t>
        </is>
      </c>
      <c r="U26" s="21" t="n"/>
      <c r="V26" s="21" t="n"/>
      <c r="W26" s="21" t="n"/>
      <c r="X26" s="21" t="n"/>
      <c r="Y26" s="68" t="inlineStr">
        <is>
          <t>R02-P007</t>
        </is>
      </c>
      <c r="Z26" s="21" t="n"/>
      <c r="AA26" s="21" t="n"/>
      <c r="AB26" s="21" t="n"/>
      <c r="AC26" s="21" t="n"/>
      <c r="AD26" s="21" t="n"/>
      <c r="AE26" s="21" t="n"/>
      <c r="AH26" s="65" t="n"/>
      <c r="AI26" s="21" t="n"/>
      <c r="AJ26" s="67" t="n"/>
      <c r="AK26" s="21" t="n"/>
      <c r="AL26" s="21" t="n"/>
      <c r="AM26" s="21" t="n"/>
      <c r="AN26" s="21" t="n"/>
      <c r="AO26" s="67" t="n"/>
      <c r="AP26" s="21" t="n"/>
      <c r="AQ26" s="21" t="n"/>
      <c r="AR26" s="21" t="n"/>
      <c r="AS26" s="67" t="n"/>
      <c r="AT26" s="21" t="n"/>
      <c r="AU26" s="21" t="n"/>
      <c r="AV26" s="21" t="n"/>
      <c r="AW26" s="21" t="n"/>
      <c r="AX26" s="21" t="n"/>
      <c r="AY26" s="21" t="n"/>
      <c r="AZ26" s="67" t="n"/>
      <c r="BA26" s="21" t="n"/>
      <c r="BB26" s="21" t="n"/>
      <c r="BC26" s="21" t="n"/>
      <c r="BD26" s="21" t="n"/>
      <c r="BE26" s="68" t="n"/>
      <c r="BF26" s="21" t="n"/>
      <c r="BG26" s="21" t="n"/>
      <c r="BH26" s="21" t="n"/>
      <c r="BI26" s="21" t="n"/>
      <c r="BJ26" s="21" t="n"/>
      <c r="BK26" s="21" t="n"/>
    </row>
    <row r="27" ht="13.5" customHeight="1">
      <c r="B27" s="65" t="n">
        <v>67</v>
      </c>
      <c r="C27" s="21" t="n"/>
      <c r="D27" s="67" t="inlineStr">
        <is>
          <t>PSU2</t>
        </is>
      </c>
      <c r="E27" s="21" t="n"/>
      <c r="F27" s="21" t="n"/>
      <c r="G27" s="21" t="n"/>
      <c r="H27" s="21" t="n"/>
      <c r="I27" s="67" t="inlineStr">
        <is>
          <t>전원</t>
        </is>
      </c>
      <c r="J27" s="21" t="n"/>
      <c r="K27" s="21" t="n"/>
      <c r="L27" s="21" t="n"/>
      <c r="M27" s="67" t="inlineStr">
        <is>
          <t>PDU-B</t>
        </is>
      </c>
      <c r="N27" s="21" t="n"/>
      <c r="O27" s="21" t="n"/>
      <c r="P27" s="21" t="n"/>
      <c r="Q27" s="21" t="n"/>
      <c r="R27" s="21" t="n"/>
      <c r="S27" s="21" t="n"/>
      <c r="T27" s="67" t="inlineStr">
        <is>
          <t>C13-4</t>
        </is>
      </c>
      <c r="U27" s="21" t="n"/>
      <c r="V27" s="21" t="n"/>
      <c r="W27" s="21" t="n"/>
      <c r="X27" s="21" t="n"/>
      <c r="Y27" s="68" t="inlineStr">
        <is>
          <t>R02-P008</t>
        </is>
      </c>
      <c r="Z27" s="21" t="n"/>
      <c r="AA27" s="21" t="n"/>
      <c r="AB27" s="21" t="n"/>
      <c r="AC27" s="21" t="n"/>
      <c r="AD27" s="21" t="n"/>
      <c r="AE27" s="21" t="n"/>
      <c r="AH27" s="65" t="n"/>
      <c r="AI27" s="21" t="n"/>
      <c r="AJ27" s="67" t="n"/>
      <c r="AK27" s="21" t="n"/>
      <c r="AL27" s="21" t="n"/>
      <c r="AM27" s="21" t="n"/>
      <c r="AN27" s="21" t="n"/>
      <c r="AO27" s="67" t="n"/>
      <c r="AP27" s="21" t="n"/>
      <c r="AQ27" s="21" t="n"/>
      <c r="AR27" s="21" t="n"/>
      <c r="AS27" s="67" t="n"/>
      <c r="AT27" s="21" t="n"/>
      <c r="AU27" s="21" t="n"/>
      <c r="AV27" s="21" t="n"/>
      <c r="AW27" s="21" t="n"/>
      <c r="AX27" s="21" t="n"/>
      <c r="AY27" s="21" t="n"/>
      <c r="AZ27" s="67" t="n"/>
      <c r="BA27" s="21" t="n"/>
      <c r="BB27" s="21" t="n"/>
      <c r="BC27" s="21" t="n"/>
      <c r="BD27" s="21" t="n"/>
      <c r="BE27" s="68" t="n"/>
      <c r="BF27" s="21" t="n"/>
      <c r="BG27" s="21" t="n"/>
      <c r="BH27" s="21" t="n"/>
      <c r="BI27" s="21" t="n"/>
      <c r="BJ27" s="21" t="n"/>
      <c r="BK27" s="21" t="n"/>
    </row>
    <row r="28" ht="13.5" customHeight="1">
      <c r="B28" s="65" t="n"/>
      <c r="C28" s="21" t="n"/>
      <c r="D28" s="67" t="n"/>
      <c r="E28" s="21" t="n"/>
      <c r="F28" s="21" t="n"/>
      <c r="G28" s="21" t="n"/>
      <c r="H28" s="21" t="n"/>
      <c r="I28" s="67" t="n"/>
      <c r="J28" s="21" t="n"/>
      <c r="K28" s="21" t="n"/>
      <c r="L28" s="21" t="n"/>
      <c r="M28" s="67" t="n"/>
      <c r="N28" s="21" t="n"/>
      <c r="O28" s="21" t="n"/>
      <c r="P28" s="21" t="n"/>
      <c r="Q28" s="21" t="n"/>
      <c r="R28" s="21" t="n"/>
      <c r="S28" s="21" t="n"/>
      <c r="T28" s="67" t="n"/>
      <c r="U28" s="21" t="n"/>
      <c r="V28" s="21" t="n"/>
      <c r="W28" s="21" t="n"/>
      <c r="X28" s="21" t="n"/>
      <c r="Y28" s="68" t="n"/>
      <c r="Z28" s="21" t="n"/>
      <c r="AA28" s="21" t="n"/>
      <c r="AB28" s="21" t="n"/>
      <c r="AC28" s="21" t="n"/>
      <c r="AD28" s="21" t="n"/>
      <c r="AE28" s="21" t="n"/>
      <c r="AH28" s="65" t="n"/>
      <c r="AI28" s="21" t="n"/>
      <c r="AJ28" s="67" t="n"/>
      <c r="AK28" s="21" t="n"/>
      <c r="AL28" s="21" t="n"/>
      <c r="AM28" s="21" t="n"/>
      <c r="AN28" s="21" t="n"/>
      <c r="AO28" s="67" t="n"/>
      <c r="AP28" s="21" t="n"/>
      <c r="AQ28" s="21" t="n"/>
      <c r="AR28" s="21" t="n"/>
      <c r="AS28" s="67" t="n"/>
      <c r="AT28" s="21" t="n"/>
      <c r="AU28" s="21" t="n"/>
      <c r="AV28" s="21" t="n"/>
      <c r="AW28" s="21" t="n"/>
      <c r="AX28" s="21" t="n"/>
      <c r="AY28" s="21" t="n"/>
      <c r="AZ28" s="67" t="n"/>
      <c r="BA28" s="21" t="n"/>
      <c r="BB28" s="21" t="n"/>
      <c r="BC28" s="21" t="n"/>
      <c r="BD28" s="21" t="n"/>
      <c r="BE28" s="68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5" t="n"/>
      <c r="C29" s="21" t="n"/>
      <c r="D29" s="67" t="n"/>
      <c r="E29" s="21" t="n"/>
      <c r="F29" s="21" t="n"/>
      <c r="G29" s="21" t="n"/>
      <c r="H29" s="21" t="n"/>
      <c r="I29" s="67" t="n"/>
      <c r="J29" s="21" t="n"/>
      <c r="K29" s="21" t="n"/>
      <c r="L29" s="21" t="n"/>
      <c r="M29" s="67" t="n"/>
      <c r="N29" s="21" t="n"/>
      <c r="O29" s="21" t="n"/>
      <c r="P29" s="21" t="n"/>
      <c r="Q29" s="21" t="n"/>
      <c r="R29" s="21" t="n"/>
      <c r="S29" s="21" t="n"/>
      <c r="T29" s="67" t="n"/>
      <c r="U29" s="21" t="n"/>
      <c r="V29" s="21" t="n"/>
      <c r="W29" s="21" t="n"/>
      <c r="X29" s="21" t="n"/>
      <c r="Y29" s="68" t="n"/>
      <c r="Z29" s="21" t="n"/>
      <c r="AA29" s="21" t="n"/>
      <c r="AB29" s="21" t="n"/>
      <c r="AC29" s="21" t="n"/>
      <c r="AD29" s="21" t="n"/>
      <c r="AE29" s="21" t="n"/>
      <c r="AH29" s="65" t="n"/>
      <c r="AI29" s="21" t="n"/>
      <c r="AJ29" s="67" t="n"/>
      <c r="AK29" s="21" t="n"/>
      <c r="AL29" s="21" t="n"/>
      <c r="AM29" s="21" t="n"/>
      <c r="AN29" s="21" t="n"/>
      <c r="AO29" s="67" t="n"/>
      <c r="AP29" s="21" t="n"/>
      <c r="AQ29" s="21" t="n"/>
      <c r="AR29" s="21" t="n"/>
      <c r="AS29" s="67" t="n"/>
      <c r="AT29" s="21" t="n"/>
      <c r="AU29" s="21" t="n"/>
      <c r="AV29" s="21" t="n"/>
      <c r="AW29" s="21" t="n"/>
      <c r="AX29" s="21" t="n"/>
      <c r="AY29" s="21" t="n"/>
      <c r="AZ29" s="67" t="n"/>
      <c r="BA29" s="21" t="n"/>
      <c r="BB29" s="21" t="n"/>
      <c r="BC29" s="21" t="n"/>
      <c r="BD29" s="21" t="n"/>
      <c r="BE29" s="68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5" t="n"/>
      <c r="C30" s="21" t="n"/>
      <c r="D30" s="67" t="n"/>
      <c r="E30" s="21" t="n"/>
      <c r="F30" s="21" t="n"/>
      <c r="G30" s="21" t="n"/>
      <c r="H30" s="21" t="n"/>
      <c r="I30" s="67" t="n"/>
      <c r="J30" s="21" t="n"/>
      <c r="K30" s="21" t="n"/>
      <c r="L30" s="21" t="n"/>
      <c r="M30" s="67" t="n"/>
      <c r="N30" s="21" t="n"/>
      <c r="O30" s="21" t="n"/>
      <c r="P30" s="21" t="n"/>
      <c r="Q30" s="21" t="n"/>
      <c r="R30" s="21" t="n"/>
      <c r="S30" s="21" t="n"/>
      <c r="T30" s="67" t="n"/>
      <c r="U30" s="21" t="n"/>
      <c r="V30" s="21" t="n"/>
      <c r="W30" s="21" t="n"/>
      <c r="X30" s="21" t="n"/>
      <c r="Y30" s="68" t="n"/>
      <c r="Z30" s="21" t="n"/>
      <c r="AA30" s="21" t="n"/>
      <c r="AB30" s="21" t="n"/>
      <c r="AC30" s="21" t="n"/>
      <c r="AD30" s="21" t="n"/>
      <c r="AE30" s="21" t="n"/>
      <c r="AH30" s="65" t="n"/>
      <c r="AI30" s="21" t="n"/>
      <c r="AJ30" s="67" t="n"/>
      <c r="AK30" s="21" t="n"/>
      <c r="AL30" s="21" t="n"/>
      <c r="AM30" s="21" t="n"/>
      <c r="AN30" s="21" t="n"/>
      <c r="AO30" s="67" t="n"/>
      <c r="AP30" s="21" t="n"/>
      <c r="AQ30" s="21" t="n"/>
      <c r="AR30" s="21" t="n"/>
      <c r="AS30" s="67" t="n"/>
      <c r="AT30" s="21" t="n"/>
      <c r="AU30" s="21" t="n"/>
      <c r="AV30" s="21" t="n"/>
      <c r="AW30" s="21" t="n"/>
      <c r="AX30" s="21" t="n"/>
      <c r="AY30" s="21" t="n"/>
      <c r="AZ30" s="67" t="n"/>
      <c r="BA30" s="21" t="n"/>
      <c r="BB30" s="21" t="n"/>
      <c r="BC30" s="21" t="n"/>
      <c r="BD30" s="21" t="n"/>
      <c r="BE30" s="68" t="n"/>
      <c r="BF30" s="21" t="n"/>
      <c r="BG30" s="21" t="n"/>
      <c r="BH30" s="21" t="n"/>
      <c r="BI30" s="21" t="n"/>
      <c r="BJ30" s="21" t="n"/>
      <c r="BK30" s="21" t="n"/>
    </row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</sheetData>
  <mergeCells count="222">
    <mergeCell ref="O7:P7"/>
    <mergeCell ref="M18:S18"/>
    <mergeCell ref="BE27:BK27"/>
    <mergeCell ref="Q7:R7"/>
    <mergeCell ref="Y27:AE27"/>
    <mergeCell ref="BC6:BD6"/>
    <mergeCell ref="AK7:AL7"/>
    <mergeCell ref="Y18:AE18"/>
    <mergeCell ref="T24:X24"/>
    <mergeCell ref="O6:P6"/>
    <mergeCell ref="D19:H19"/>
    <mergeCell ref="B22:C22"/>
    <mergeCell ref="AW7:AX7"/>
    <mergeCell ref="AZ24:BD24"/>
    <mergeCell ref="D6:E6"/>
    <mergeCell ref="M19:S19"/>
    <mergeCell ref="B21:C21"/>
    <mergeCell ref="BE19:BK19"/>
    <mergeCell ref="BE28:BK28"/>
    <mergeCell ref="S7:T7"/>
    <mergeCell ref="BA7:BB7"/>
    <mergeCell ref="BC7:BD7"/>
    <mergeCell ref="B4:B8"/>
    <mergeCell ref="AH20:AI20"/>
    <mergeCell ref="AS30:AY30"/>
    <mergeCell ref="AS20:AY20"/>
    <mergeCell ref="BE30:BK30"/>
    <mergeCell ref="AJ18:AN18"/>
    <mergeCell ref="AO23:AR23"/>
    <mergeCell ref="AS29:AY29"/>
    <mergeCell ref="V6:W6"/>
    <mergeCell ref="D7:E7"/>
    <mergeCell ref="X6:Y6"/>
    <mergeCell ref="I26:L26"/>
    <mergeCell ref="AP6:AQ6"/>
    <mergeCell ref="AR6:AS6"/>
    <mergeCell ref="D28:H28"/>
    <mergeCell ref="AS22:AY22"/>
    <mergeCell ref="F13:G13"/>
    <mergeCell ref="I25:L25"/>
    <mergeCell ref="T22:X22"/>
    <mergeCell ref="AS21:AY21"/>
    <mergeCell ref="AO24:AR24"/>
    <mergeCell ref="AB7:AC7"/>
    <mergeCell ref="B24:C24"/>
    <mergeCell ref="D30:H30"/>
    <mergeCell ref="AO18:AR18"/>
    <mergeCell ref="I18:L18"/>
    <mergeCell ref="AJ20:AN20"/>
    <mergeCell ref="Y26:AE26"/>
    <mergeCell ref="AN7:AO7"/>
    <mergeCell ref="BH6:BI6"/>
    <mergeCell ref="AJ29:AN29"/>
    <mergeCell ref="AP7:AQ7"/>
    <mergeCell ref="T28:X28"/>
    <mergeCell ref="D29:H29"/>
    <mergeCell ref="D23:H23"/>
    <mergeCell ref="M21:S21"/>
    <mergeCell ref="I13:J13"/>
    <mergeCell ref="B26:C26"/>
    <mergeCell ref="AJ22:AN22"/>
    <mergeCell ref="B10:B14"/>
    <mergeCell ref="AR7:AS7"/>
    <mergeCell ref="AT13:AU13"/>
    <mergeCell ref="M27:S27"/>
    <mergeCell ref="AT7:AU7"/>
    <mergeCell ref="T30:X30"/>
    <mergeCell ref="V12:AA13"/>
    <mergeCell ref="B25:C25"/>
    <mergeCell ref="BE23:BK23"/>
    <mergeCell ref="T20:X20"/>
    <mergeCell ref="AJ21:AN21"/>
    <mergeCell ref="BF7:BG7"/>
    <mergeCell ref="T29:X29"/>
    <mergeCell ref="I20:L20"/>
    <mergeCell ref="BH7:BI7"/>
    <mergeCell ref="F6:G6"/>
    <mergeCell ref="M24:S24"/>
    <mergeCell ref="I29:L29"/>
    <mergeCell ref="AH18:AI18"/>
    <mergeCell ref="AH24:AI24"/>
    <mergeCell ref="B18:C18"/>
    <mergeCell ref="B27:C27"/>
    <mergeCell ref="AS24:AY24"/>
    <mergeCell ref="AJ23:AN23"/>
    <mergeCell ref="AS18:AY18"/>
    <mergeCell ref="BE18:BK18"/>
    <mergeCell ref="D27:H27"/>
    <mergeCell ref="AW6:AX6"/>
    <mergeCell ref="AS26:AY26"/>
    <mergeCell ref="AH19:AI19"/>
    <mergeCell ref="AC12:AH13"/>
    <mergeCell ref="AZ26:BD26"/>
    <mergeCell ref="M7:N7"/>
    <mergeCell ref="B29:C29"/>
    <mergeCell ref="AO28:AR28"/>
    <mergeCell ref="AG7:AH7"/>
    <mergeCell ref="BA6:BB6"/>
    <mergeCell ref="AI7:AJ7"/>
    <mergeCell ref="Y30:AE30"/>
    <mergeCell ref="AZ25:BD25"/>
    <mergeCell ref="BE20:BK20"/>
    <mergeCell ref="Y20:AE20"/>
    <mergeCell ref="Y29:AE29"/>
    <mergeCell ref="AZ18:BD18"/>
    <mergeCell ref="AZ27:BD27"/>
    <mergeCell ref="AJ26:AN26"/>
    <mergeCell ref="D25:H25"/>
    <mergeCell ref="BE22:BK22"/>
    <mergeCell ref="AY7:AZ7"/>
    <mergeCell ref="Y22:AE22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M29:S29"/>
    <mergeCell ref="AO25:AR25"/>
    <mergeCell ref="I19:L19"/>
    <mergeCell ref="M23:S23"/>
    <mergeCell ref="AH23:AI23"/>
    <mergeCell ref="F7:G7"/>
    <mergeCell ref="X7:Y7"/>
    <mergeCell ref="D21:H21"/>
    <mergeCell ref="Z7:AA7"/>
    <mergeCell ref="Y23:AE23"/>
    <mergeCell ref="AJ12:AO13"/>
    <mergeCell ref="AO27:AR27"/>
    <mergeCell ref="AG6:AH6"/>
    <mergeCell ref="AI6:AJ6"/>
    <mergeCell ref="I30:L30"/>
    <mergeCell ref="BE24:BK24"/>
    <mergeCell ref="T21:X21"/>
    <mergeCell ref="BE12:BF12"/>
    <mergeCell ref="T26:X26"/>
    <mergeCell ref="B19:C19"/>
    <mergeCell ref="Q6:R6"/>
    <mergeCell ref="B28:C28"/>
    <mergeCell ref="S6:T6"/>
    <mergeCell ref="BE26:BK26"/>
    <mergeCell ref="AJ24:AN24"/>
    <mergeCell ref="M20:S20"/>
    <mergeCell ref="T23:X23"/>
    <mergeCell ref="AS25:AY25"/>
    <mergeCell ref="AH27:AI27"/>
    <mergeCell ref="D18:H18"/>
    <mergeCell ref="BE25:BK25"/>
    <mergeCell ref="Y19:AE19"/>
    <mergeCell ref="B30:C30"/>
    <mergeCell ref="AS27:AY27"/>
    <mergeCell ref="BE13:BF13"/>
    <mergeCell ref="I21:L21"/>
    <mergeCell ref="B20:C20"/>
    <mergeCell ref="M22:S22"/>
    <mergeCell ref="AH25:AI25"/>
    <mergeCell ref="AO30:AR30"/>
    <mergeCell ref="M30:S30"/>
    <mergeCell ref="Y25:AE25"/>
    <mergeCell ref="T27:X27"/>
    <mergeCell ref="AO20:AR20"/>
    <mergeCell ref="AO29:AR29"/>
    <mergeCell ref="T18:X18"/>
    <mergeCell ref="M28:S28"/>
    <mergeCell ref="I23:L23"/>
    <mergeCell ref="D20:H20"/>
    <mergeCell ref="Z6:AA6"/>
    <mergeCell ref="AS19:AY19"/>
    <mergeCell ref="AB6:AC6"/>
    <mergeCell ref="AE7:AF7"/>
    <mergeCell ref="AO22:AR22"/>
    <mergeCell ref="AT6:AU6"/>
    <mergeCell ref="AS28:AY28"/>
    <mergeCell ref="AZ19:BD19"/>
    <mergeCell ref="BF6:BG6"/>
    <mergeCell ref="AJ27:AN27"/>
    <mergeCell ref="AZ28:BD28"/>
    <mergeCell ref="D22:H22"/>
    <mergeCell ref="AO21:AR21"/>
    <mergeCell ref="AT12:AU12"/>
    <mergeCell ref="F12:G12"/>
    <mergeCell ref="H6:I6"/>
    <mergeCell ref="T25:X25"/>
    <mergeCell ref="J6:K6"/>
    <mergeCell ref="AH29:AI29"/>
    <mergeCell ref="AZ30:BD30"/>
    <mergeCell ref="B23:C23"/>
    <mergeCell ref="AZ20:BD20"/>
    <mergeCell ref="AJ19:AN19"/>
    <mergeCell ref="AJ28:AN28"/>
    <mergeCell ref="I27:L27"/>
    <mergeCell ref="BE29:BK29"/>
    <mergeCell ref="I12:J12"/>
    <mergeCell ref="Y24:AE24"/>
    <mergeCell ref="M6:N6"/>
    <mergeCell ref="AZ22:BD22"/>
    <mergeCell ref="H7:I7"/>
    <mergeCell ref="AY17:BB17"/>
    <mergeCell ref="J7:K7"/>
    <mergeCell ref="AJ30:AN30"/>
    <mergeCell ref="Y21:AE21"/>
    <mergeCell ref="AH30:AI30"/>
    <mergeCell ref="AO19:AR19"/>
    <mergeCell ref="I22:L22"/>
    <mergeCell ref="V7:W7"/>
    <mergeCell ref="I28:L28"/>
    <mergeCell ref="AZ21:BD21"/>
    <mergeCell ref="AK6:AL6"/>
    <mergeCell ref="AH26:AI26"/>
    <mergeCell ref="D24:H24"/>
    <mergeCell ref="AE6:AF6"/>
    <mergeCell ref="AY6:AZ6"/>
    <mergeCell ref="M25:S25"/>
    <mergeCell ref="AZ29:BD29"/>
    <mergeCell ref="AZ23:BD23"/>
    <mergeCell ref="D26:H26"/>
  </mergeCells>
  <conditionalFormatting sqref="B19:C30">
    <cfRule type="expression" priority="1" dxfId="13" stopIfTrue="1">
      <formula>AND(ISNUMBER($B19),SUMPRODUCT(($C$4:$BK$15=$B19)*($C$4:$BK$15&lt;&gt;""))&lt;&gt;1)</formula>
    </cfRule>
    <cfRule type="expression" priority="2" dxfId="13" stopIfTrue="1">
      <formula>AND(ISNUMBER($B19),COUNTIF($B$19:$B$30,$B19)+COUNTIF($AH$19:$AH$30,$B19)&gt;1)</formula>
    </cfRule>
    <cfRule type="expression" priority="3" dxfId="14" stopIfTrue="1">
      <formula>$I19="서비스"</formula>
    </cfRule>
    <cfRule type="expression" priority="4" dxfId="15" stopIfTrue="1">
      <formula>$I19="관리"</formula>
    </cfRule>
    <cfRule type="expression" priority="5" dxfId="16" stopIfTrue="1">
      <formula>$I19="백업"</formula>
    </cfRule>
    <cfRule type="expression" priority="6" dxfId="17" stopIfTrue="1">
      <formula>$I19="스토리지"</formula>
    </cfRule>
    <cfRule type="expression" priority="7" dxfId="18" stopIfTrue="1">
      <formula>$I19="인터커넥트"</formula>
    </cfRule>
    <cfRule type="expression" priority="8" dxfId="19" stopIfTrue="1">
      <formula>$I19="콘솔"</formula>
    </cfRule>
    <cfRule type="expression" priority="9" dxfId="20" stopIfTrue="1">
      <formula>$I19="전원"</formula>
    </cfRule>
  </conditionalFormatting>
  <conditionalFormatting sqref="AH19:AI30">
    <cfRule type="expression" priority="10" dxfId="13" stopIfTrue="1">
      <formula>AND(ISNUMBER($AH19),SUMPRODUCT(($C$4:$BK$15=$AH19)*($C$4:$BK$15&lt;&gt;""))&lt;&gt;1)</formula>
    </cfRule>
    <cfRule type="expression" priority="11" dxfId="13" stopIfTrue="1">
      <formula>AND(ISNUMBER($AH19),COUNTIF($B$19:$B$30,$AH19)+COUNTIF($AH$19:$AH$30,$AH19)&gt;1)</formula>
    </cfRule>
    <cfRule type="expression" priority="12" dxfId="14" stopIfTrue="1">
      <formula>$AO19="서비스"</formula>
    </cfRule>
    <cfRule type="expression" priority="13" dxfId="15" stopIfTrue="1">
      <formula>$AO19="관리"</formula>
    </cfRule>
    <cfRule type="expression" priority="14" dxfId="16" stopIfTrue="1">
      <formula>$AO19="백업"</formula>
    </cfRule>
    <cfRule type="expression" priority="15" dxfId="17" stopIfTrue="1">
      <formula>$AO19="스토리지"</formula>
    </cfRule>
    <cfRule type="expression" priority="16" dxfId="18" stopIfTrue="1">
      <formula>$AO19="인터커넥트"</formula>
    </cfRule>
    <cfRule type="expression" priority="17" dxfId="19" stopIfTrue="1">
      <formula>$AO19="콘솔"</formula>
    </cfRule>
    <cfRule type="expression" priority="18" dxfId="20" stopIfTrue="1">
      <formula>$AO19="전원"</formula>
    </cfRule>
  </conditionalFormatting>
  <dataValidations count="2">
    <dataValidation sqref="I19:I30" showDropDown="0" showInputMessage="0" showErrorMessage="0" allowBlank="1" type="list">
      <formula1>"서비스,관리,백업,스토리지,인터커넥트,콘솔,전원,기타"</formula1>
    </dataValidation>
    <dataValidation sqref="AO19:AO30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SAN-B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Brocade G620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U35</t>
        </is>
      </c>
      <c r="Z2" s="5" t="inlineStr">
        <is>
          <t>구분</t>
        </is>
      </c>
      <c r="AB2" s="6" t="inlineStr">
        <is>
          <t>스토리지</t>
        </is>
      </c>
      <c r="AH2" s="5" t="inlineStr">
        <is>
          <t>시리얼</t>
        </is>
      </c>
      <c r="AK2" s="6" t="inlineStr">
        <is>
          <t>BRCAG1234A02</t>
        </is>
      </c>
      <c r="AS2" s="5" t="inlineStr">
        <is>
          <t>관리 IP</t>
        </is>
      </c>
      <c r="AV2" s="6" t="inlineStr">
        <is>
          <t>10.10.0.35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D5" s="45" t="inlineStr">
        <is>
          <t>0–7</t>
        </is>
      </c>
      <c r="E5" s="46" t="n"/>
      <c r="F5" s="46" t="n"/>
      <c r="G5" s="46" t="n"/>
      <c r="H5" s="46" t="n"/>
      <c r="I5" s="46" t="n"/>
      <c r="J5" s="46" t="n"/>
      <c r="K5" s="47" t="n"/>
      <c r="M5" s="45" t="inlineStr">
        <is>
          <t>8–15</t>
        </is>
      </c>
      <c r="N5" s="46" t="n"/>
      <c r="O5" s="46" t="n"/>
      <c r="P5" s="46" t="n"/>
      <c r="Q5" s="46" t="n"/>
      <c r="R5" s="46" t="n"/>
      <c r="S5" s="46" t="n"/>
      <c r="T5" s="47" t="n"/>
      <c r="V5" s="45" t="inlineStr">
        <is>
          <t>16–23</t>
        </is>
      </c>
      <c r="W5" s="46" t="n"/>
      <c r="X5" s="46" t="n"/>
      <c r="Y5" s="46" t="n"/>
      <c r="Z5" s="46" t="n"/>
      <c r="AA5" s="46" t="n"/>
      <c r="AB5" s="46" t="n"/>
      <c r="AC5" s="47" t="n"/>
      <c r="AE5" s="45" t="inlineStr">
        <is>
          <t>24–31</t>
        </is>
      </c>
      <c r="AF5" s="46" t="n"/>
      <c r="AG5" s="46" t="n"/>
      <c r="AH5" s="46" t="n"/>
      <c r="AI5" s="46" t="n"/>
      <c r="AJ5" s="46" t="n"/>
      <c r="AK5" s="46" t="n"/>
      <c r="AL5" s="47" t="n"/>
      <c r="AN5" s="45" t="inlineStr">
        <is>
          <t>32–39</t>
        </is>
      </c>
      <c r="AO5" s="46" t="n"/>
      <c r="AP5" s="46" t="n"/>
      <c r="AQ5" s="46" t="n"/>
      <c r="AR5" s="46" t="n"/>
      <c r="AS5" s="46" t="n"/>
      <c r="AT5" s="46" t="n"/>
      <c r="AU5" s="47" t="n"/>
      <c r="AW5" s="45" t="inlineStr">
        <is>
          <t>40–47</t>
        </is>
      </c>
      <c r="AX5" s="46" t="n"/>
      <c r="AY5" s="46" t="n"/>
      <c r="AZ5" s="46" t="n"/>
      <c r="BA5" s="46" t="n"/>
      <c r="BB5" s="46" t="n"/>
      <c r="BC5" s="46" t="n"/>
      <c r="BD5" s="47" t="n"/>
      <c r="BF5" s="45" t="inlineStr">
        <is>
          <t>QSFP</t>
        </is>
      </c>
      <c r="BG5" s="46" t="n"/>
      <c r="BH5" s="46" t="n"/>
      <c r="BI5" s="47" t="n"/>
      <c r="BK5" s="17" t="n"/>
    </row>
    <row r="6" ht="12" customHeight="1">
      <c r="C6" s="18" t="n"/>
      <c r="D6" s="100" t="n">
        <v>0</v>
      </c>
      <c r="E6" s="40" t="n"/>
      <c r="F6" s="93" t="n">
        <v>1</v>
      </c>
      <c r="G6" s="40" t="n"/>
      <c r="H6" s="93" t="n">
        <v>2</v>
      </c>
      <c r="I6" s="40" t="n"/>
      <c r="J6" s="101" t="n">
        <v>3</v>
      </c>
      <c r="K6" s="73" t="n"/>
      <c r="M6" s="102" t="n">
        <v>8</v>
      </c>
      <c r="N6" s="40" t="n"/>
      <c r="O6" s="41" t="n">
        <v>9</v>
      </c>
      <c r="P6" s="40" t="n"/>
      <c r="Q6" s="41" t="n">
        <v>10</v>
      </c>
      <c r="R6" s="40" t="n"/>
      <c r="S6" s="72" t="n">
        <v>11</v>
      </c>
      <c r="T6" s="73" t="n"/>
      <c r="V6" s="102" t="n">
        <v>16</v>
      </c>
      <c r="W6" s="40" t="n"/>
      <c r="X6" s="41" t="n">
        <v>17</v>
      </c>
      <c r="Y6" s="40" t="n"/>
      <c r="Z6" s="41" t="n">
        <v>18</v>
      </c>
      <c r="AA6" s="40" t="n"/>
      <c r="AB6" s="72" t="n">
        <v>19</v>
      </c>
      <c r="AC6" s="73" t="n"/>
      <c r="AE6" s="102" t="n">
        <v>24</v>
      </c>
      <c r="AF6" s="40" t="n"/>
      <c r="AG6" s="41" t="n">
        <v>25</v>
      </c>
      <c r="AH6" s="40" t="n"/>
      <c r="AI6" s="41" t="n">
        <v>26</v>
      </c>
      <c r="AJ6" s="40" t="n"/>
      <c r="AK6" s="72" t="n">
        <v>27</v>
      </c>
      <c r="AL6" s="73" t="n"/>
      <c r="AN6" s="102" t="n">
        <v>32</v>
      </c>
      <c r="AO6" s="40" t="n"/>
      <c r="AP6" s="41" t="n">
        <v>33</v>
      </c>
      <c r="AQ6" s="40" t="n"/>
      <c r="AR6" s="41" t="n">
        <v>34</v>
      </c>
      <c r="AS6" s="40" t="n"/>
      <c r="AT6" s="72" t="n">
        <v>35</v>
      </c>
      <c r="AU6" s="73" t="n"/>
      <c r="AW6" s="102" t="n">
        <v>40</v>
      </c>
      <c r="AX6" s="40" t="n"/>
      <c r="AY6" s="41" t="n">
        <v>41</v>
      </c>
      <c r="AZ6" s="40" t="n"/>
      <c r="BA6" s="41" t="n">
        <v>42</v>
      </c>
      <c r="BB6" s="40" t="n"/>
      <c r="BC6" s="72" t="n">
        <v>43</v>
      </c>
      <c r="BD6" s="73" t="n"/>
      <c r="BF6" s="102" t="n">
        <v>48</v>
      </c>
      <c r="BG6" s="40" t="n"/>
      <c r="BH6" s="72" t="n">
        <v>49</v>
      </c>
      <c r="BI6" s="73" t="n"/>
      <c r="BK6" s="17" t="n"/>
    </row>
    <row r="7" ht="12" customHeight="1">
      <c r="C7" s="18" t="n"/>
      <c r="D7" s="103" t="n">
        <v>4</v>
      </c>
      <c r="E7" s="76" t="n"/>
      <c r="F7" s="104" t="n">
        <v>5</v>
      </c>
      <c r="G7" s="76" t="n"/>
      <c r="H7" s="78" t="n">
        <v>6</v>
      </c>
      <c r="I7" s="76" t="n"/>
      <c r="J7" s="79" t="n">
        <v>7</v>
      </c>
      <c r="K7" s="80" t="n"/>
      <c r="M7" s="81" t="n">
        <v>12</v>
      </c>
      <c r="N7" s="76" t="n"/>
      <c r="O7" s="78" t="n">
        <v>13</v>
      </c>
      <c r="P7" s="76" t="n"/>
      <c r="Q7" s="78" t="n">
        <v>14</v>
      </c>
      <c r="R7" s="76" t="n"/>
      <c r="S7" s="79" t="n">
        <v>15</v>
      </c>
      <c r="T7" s="80" t="n"/>
      <c r="V7" s="81" t="n">
        <v>20</v>
      </c>
      <c r="W7" s="76" t="n"/>
      <c r="X7" s="78" t="n">
        <v>21</v>
      </c>
      <c r="Y7" s="76" t="n"/>
      <c r="Z7" s="78" t="n">
        <v>22</v>
      </c>
      <c r="AA7" s="76" t="n"/>
      <c r="AB7" s="79" t="n">
        <v>23</v>
      </c>
      <c r="AC7" s="80" t="n"/>
      <c r="AE7" s="81" t="n">
        <v>28</v>
      </c>
      <c r="AF7" s="76" t="n"/>
      <c r="AG7" s="78" t="n">
        <v>29</v>
      </c>
      <c r="AH7" s="76" t="n"/>
      <c r="AI7" s="78" t="n">
        <v>30</v>
      </c>
      <c r="AJ7" s="76" t="n"/>
      <c r="AK7" s="79" t="n">
        <v>31</v>
      </c>
      <c r="AL7" s="80" t="n"/>
      <c r="AN7" s="81" t="n">
        <v>36</v>
      </c>
      <c r="AO7" s="76" t="n"/>
      <c r="AP7" s="78" t="n">
        <v>37</v>
      </c>
      <c r="AQ7" s="76" t="n"/>
      <c r="AR7" s="78" t="n">
        <v>38</v>
      </c>
      <c r="AS7" s="76" t="n"/>
      <c r="AT7" s="79" t="n">
        <v>39</v>
      </c>
      <c r="AU7" s="80" t="n"/>
      <c r="AW7" s="81" t="n">
        <v>44</v>
      </c>
      <c r="AX7" s="76" t="n"/>
      <c r="AY7" s="78" t="n">
        <v>45</v>
      </c>
      <c r="AZ7" s="76" t="n"/>
      <c r="BA7" s="78" t="n">
        <v>46</v>
      </c>
      <c r="BB7" s="76" t="n"/>
      <c r="BC7" s="79" t="n">
        <v>47</v>
      </c>
      <c r="BD7" s="80" t="n"/>
      <c r="BF7" s="81" t="n">
        <v>50</v>
      </c>
      <c r="BG7" s="76" t="n"/>
      <c r="BH7" s="79" t="n">
        <v>51</v>
      </c>
      <c r="BI7" s="80" t="n"/>
      <c r="BK7" s="17" t="n"/>
    </row>
    <row r="8" ht="12" customHeight="1">
      <c r="C8" s="42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  <c r="AD8" s="43" t="n"/>
      <c r="AE8" s="43" t="n"/>
      <c r="AF8" s="43" t="n"/>
      <c r="AG8" s="43" t="n"/>
      <c r="AH8" s="43" t="n"/>
      <c r="AI8" s="43" t="n"/>
      <c r="AJ8" s="43" t="n"/>
      <c r="AK8" s="43" t="n"/>
      <c r="AL8" s="43" t="n"/>
      <c r="AM8" s="43" t="n"/>
      <c r="AN8" s="43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4" t="n"/>
    </row>
    <row r="9" ht="12" customHeight="1"/>
    <row r="10" ht="12" customHeight="1">
      <c r="B10" s="35" t="inlineStr">
        <is>
          <t>후  면</t>
        </is>
      </c>
      <c r="C10" s="36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7" t="n"/>
    </row>
    <row r="11" ht="12" customHeight="1">
      <c r="C11" s="18" t="n"/>
      <c r="D11" s="45" t="inlineStr">
        <is>
          <t>관리</t>
        </is>
      </c>
      <c r="E11" s="46" t="n"/>
      <c r="F11" s="46" t="n"/>
      <c r="G11" s="46" t="n"/>
      <c r="H11" s="46" t="n"/>
      <c r="I11" s="46" t="n"/>
      <c r="J11" s="46" t="n"/>
      <c r="K11" s="46" t="n"/>
      <c r="L11" s="46" t="n"/>
      <c r="M11" s="47" t="n"/>
      <c r="O11" s="45" t="inlineStr">
        <is>
          <t>USB</t>
        </is>
      </c>
      <c r="P11" s="46" t="n"/>
      <c r="Q11" s="46" t="n"/>
      <c r="R11" s="46" t="n"/>
      <c r="S11" s="46" t="n"/>
      <c r="T11" s="47" t="n"/>
      <c r="V11" s="45" t="inlineStr">
        <is>
          <t>FAN 1</t>
        </is>
      </c>
      <c r="W11" s="46" t="n"/>
      <c r="X11" s="46" t="n"/>
      <c r="Y11" s="46" t="n"/>
      <c r="Z11" s="46" t="n"/>
      <c r="AA11" s="47" t="n"/>
      <c r="AC11" s="45" t="inlineStr">
        <is>
          <t>FAN 2</t>
        </is>
      </c>
      <c r="AD11" s="46" t="n"/>
      <c r="AE11" s="46" t="n"/>
      <c r="AF11" s="46" t="n"/>
      <c r="AG11" s="46" t="n"/>
      <c r="AH11" s="47" t="n"/>
      <c r="AJ11" s="45" t="inlineStr">
        <is>
          <t>FAN 3</t>
        </is>
      </c>
      <c r="AK11" s="46" t="n"/>
      <c r="AL11" s="46" t="n"/>
      <c r="AM11" s="46" t="n"/>
      <c r="AN11" s="46" t="n"/>
      <c r="AO11" s="47" t="n"/>
      <c r="AQ11" s="45" t="inlineStr">
        <is>
          <t>PSU 1</t>
        </is>
      </c>
      <c r="AR11" s="46" t="n"/>
      <c r="AS11" s="46" t="n"/>
      <c r="AT11" s="46" t="n"/>
      <c r="AU11" s="46" t="n"/>
      <c r="AV11" s="46" t="n"/>
      <c r="AW11" s="46" t="n"/>
      <c r="AX11" s="46" t="n"/>
      <c r="AY11" s="47" t="n"/>
      <c r="BA11" s="45" t="inlineStr">
        <is>
          <t>PSU 2</t>
        </is>
      </c>
      <c r="BB11" s="46" t="n"/>
      <c r="BC11" s="46" t="n"/>
      <c r="BD11" s="46" t="n"/>
      <c r="BE11" s="46" t="n"/>
      <c r="BF11" s="46" t="n"/>
      <c r="BG11" s="46" t="n"/>
      <c r="BH11" s="46" t="n"/>
      <c r="BI11" s="46" t="n"/>
      <c r="BJ11" s="47" t="n"/>
      <c r="BK11" s="17" t="n"/>
    </row>
    <row r="12" ht="12" customHeight="1">
      <c r="C12" s="18" t="n"/>
      <c r="D12" s="48" t="n"/>
      <c r="E12" s="49" t="n"/>
      <c r="F12" s="71" t="n">
        <v>64</v>
      </c>
      <c r="G12" s="40" t="n"/>
      <c r="H12" s="49" t="n"/>
      <c r="I12" s="41" t="n"/>
      <c r="J12" s="40" t="n"/>
      <c r="K12" s="49" t="n"/>
      <c r="L12" s="49" t="n"/>
      <c r="M12" s="50" t="n"/>
      <c r="O12" s="48" t="n"/>
      <c r="P12" s="49" t="n"/>
      <c r="Q12" s="49" t="n"/>
      <c r="R12" s="49" t="n"/>
      <c r="S12" s="49" t="n"/>
      <c r="T12" s="50" t="n"/>
      <c r="V12" s="83" t="inlineStr">
        <is>
          <t>◎</t>
        </is>
      </c>
      <c r="AA12" s="84" t="n"/>
      <c r="AC12" s="83" t="inlineStr">
        <is>
          <t>◎</t>
        </is>
      </c>
      <c r="AH12" s="84" t="n"/>
      <c r="AJ12" s="83" t="inlineStr">
        <is>
          <t>◎</t>
        </is>
      </c>
      <c r="AO12" s="84" t="n"/>
      <c r="AQ12" s="48" t="n"/>
      <c r="AR12" s="49" t="n"/>
      <c r="AS12" s="49" t="n"/>
      <c r="AT12" s="85" t="n">
        <v>66</v>
      </c>
      <c r="AU12" s="40" t="n"/>
      <c r="AV12" s="49" t="n"/>
      <c r="AW12" s="49" t="n"/>
      <c r="AX12" s="49" t="n"/>
      <c r="AY12" s="50" t="n"/>
      <c r="BA12" s="48" t="n"/>
      <c r="BB12" s="49" t="n"/>
      <c r="BC12" s="49" t="n"/>
      <c r="BD12" s="49" t="n"/>
      <c r="BE12" s="85" t="n">
        <v>67</v>
      </c>
      <c r="BF12" s="40" t="n"/>
      <c r="BG12" s="49" t="n"/>
      <c r="BH12" s="49" t="n"/>
      <c r="BI12" s="49" t="n"/>
      <c r="BJ12" s="50" t="n"/>
      <c r="BK12" s="17" t="n"/>
    </row>
    <row r="13" ht="12" customHeight="1">
      <c r="C13" s="18" t="n"/>
      <c r="D13" s="51" t="n"/>
      <c r="E13" s="52" t="n"/>
      <c r="F13" s="89" t="inlineStr">
        <is>
          <t>MGMT</t>
        </is>
      </c>
      <c r="G13" s="87" t="n"/>
      <c r="H13" s="52" t="n"/>
      <c r="I13" s="89" t="inlineStr">
        <is>
          <t>CON</t>
        </is>
      </c>
      <c r="J13" s="87" t="n"/>
      <c r="K13" s="52" t="n"/>
      <c r="L13" s="52" t="n"/>
      <c r="M13" s="53" t="n"/>
      <c r="O13" s="51" t="n"/>
      <c r="P13" s="52" t="n"/>
      <c r="Q13" s="52" t="n"/>
      <c r="R13" s="52" t="n"/>
      <c r="S13" s="52" t="n"/>
      <c r="T13" s="53" t="n"/>
      <c r="V13" s="86" t="n"/>
      <c r="W13" s="87" t="n"/>
      <c r="X13" s="87" t="n"/>
      <c r="Y13" s="87" t="n"/>
      <c r="Z13" s="87" t="n"/>
      <c r="AA13" s="88" t="n"/>
      <c r="AC13" s="86" t="n"/>
      <c r="AD13" s="87" t="n"/>
      <c r="AE13" s="87" t="n"/>
      <c r="AF13" s="87" t="n"/>
      <c r="AG13" s="87" t="n"/>
      <c r="AH13" s="88" t="n"/>
      <c r="AJ13" s="86" t="n"/>
      <c r="AK13" s="87" t="n"/>
      <c r="AL13" s="87" t="n"/>
      <c r="AM13" s="87" t="n"/>
      <c r="AN13" s="87" t="n"/>
      <c r="AO13" s="88" t="n"/>
      <c r="AQ13" s="51" t="n"/>
      <c r="AR13" s="52" t="n"/>
      <c r="AS13" s="52" t="n"/>
      <c r="AT13" s="89" t="inlineStr">
        <is>
          <t>C14</t>
        </is>
      </c>
      <c r="AU13" s="87" t="n"/>
      <c r="AV13" s="52" t="n"/>
      <c r="AW13" s="52" t="n"/>
      <c r="AX13" s="52" t="n"/>
      <c r="AY13" s="53" t="n"/>
      <c r="BA13" s="51" t="n"/>
      <c r="BB13" s="52" t="n"/>
      <c r="BC13" s="52" t="n"/>
      <c r="BD13" s="52" t="n"/>
      <c r="BE13" s="89" t="inlineStr">
        <is>
          <t>C14</t>
        </is>
      </c>
      <c r="BF13" s="87" t="n"/>
      <c r="BG13" s="52" t="n"/>
      <c r="BH13" s="52" t="n"/>
      <c r="BI13" s="52" t="n"/>
      <c r="BJ13" s="53" t="n"/>
      <c r="BK13" s="17" t="n"/>
    </row>
    <row r="14" ht="12" customHeight="1">
      <c r="C14" s="4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43" t="n"/>
      <c r="AW14" s="43" t="n"/>
      <c r="AX14" s="43" t="n"/>
      <c r="AY14" s="43" t="n"/>
      <c r="AZ14" s="43" t="n"/>
      <c r="BA14" s="43" t="n"/>
      <c r="BB14" s="43" t="n"/>
      <c r="BC14" s="43" t="n"/>
      <c r="BD14" s="43" t="n"/>
      <c r="BE14" s="43" t="n"/>
      <c r="BF14" s="43" t="n"/>
      <c r="BG14" s="43" t="n"/>
      <c r="BH14" s="43" t="n"/>
      <c r="BI14" s="43" t="n"/>
      <c r="BJ14" s="43" t="n"/>
      <c r="BK14" s="44" t="n"/>
    </row>
    <row r="15" ht="12" customHeight="1"/>
    <row r="16" ht="12" customHeight="1">
      <c r="C16" s="8" t="inlineStr">
        <is>
          <t>칸 안 숫자 = 장비에 인쇄된 포트 번호(= 도면 번호) · 색 칸 = 연결됨</t>
        </is>
      </c>
    </row>
    <row r="17" ht="12" customHeight="1">
      <c r="B17" s="7" t="inlineStr">
        <is>
          <t>연결 정보</t>
        </is>
      </c>
      <c r="H17" s="54" t="n"/>
      <c r="I17" s="28" t="inlineStr">
        <is>
          <t>서비스</t>
        </is>
      </c>
      <c r="L17" s="55" t="n"/>
      <c r="M17" s="28" t="inlineStr">
        <is>
          <t>관리</t>
        </is>
      </c>
      <c r="O17" s="56" t="n"/>
      <c r="P17" s="28" t="inlineStr">
        <is>
          <t>백업</t>
        </is>
      </c>
      <c r="R17" s="57" t="n"/>
      <c r="S17" s="28" t="inlineStr">
        <is>
          <t>스토리지</t>
        </is>
      </c>
      <c r="V17" s="58" t="n"/>
      <c r="W17" s="28" t="inlineStr">
        <is>
          <t>인터커넥트</t>
        </is>
      </c>
      <c r="AA17" s="59" t="n"/>
      <c r="AB17" s="28" t="inlineStr">
        <is>
          <t>콘솔</t>
        </is>
      </c>
      <c r="AD17" s="60" t="n"/>
      <c r="AE17" s="28" t="inlineStr">
        <is>
          <t>전원</t>
        </is>
      </c>
      <c r="AG17" s="61" t="n"/>
      <c r="AH17" s="28" t="inlineStr">
        <is>
          <t>미연결</t>
        </is>
      </c>
      <c r="AL17" s="62" t="n">
        <v>7</v>
      </c>
      <c r="AM17" s="28" t="inlineStr">
        <is>
          <t>도면 번호</t>
        </is>
      </c>
      <c r="AQ17" s="63" t="inlineStr">
        <is>
          <t>LOM1</t>
        </is>
      </c>
      <c r="AS17" s="28" t="inlineStr">
        <is>
          <t>포트명(장비 표기)</t>
        </is>
      </c>
      <c r="AY17" s="64" t="inlineStr">
        <is>
          <t>A-0001</t>
        </is>
      </c>
      <c r="AZ17" s="21" t="n"/>
      <c r="BA17" s="21" t="n"/>
      <c r="BB17" s="21" t="n"/>
      <c r="BC17" s="28" t="inlineStr">
        <is>
          <t>케이블 라벨</t>
        </is>
      </c>
    </row>
    <row r="18" ht="15" customHeight="1">
      <c r="B18" s="11" t="inlineStr">
        <is>
          <t>번호</t>
        </is>
      </c>
      <c r="C18" s="12" t="n"/>
      <c r="D18" s="13" t="inlineStr">
        <is>
          <t>포트명</t>
        </is>
      </c>
      <c r="E18" s="12" t="n"/>
      <c r="F18" s="12" t="n"/>
      <c r="G18" s="12" t="n"/>
      <c r="H18" s="12" t="n"/>
      <c r="I18" s="13" t="inlineStr">
        <is>
          <t>용도</t>
        </is>
      </c>
      <c r="J18" s="12" t="n"/>
      <c r="K18" s="12" t="n"/>
      <c r="L18" s="12" t="n"/>
      <c r="M18" s="13" t="inlineStr">
        <is>
          <t>상대 장비</t>
        </is>
      </c>
      <c r="N18" s="12" t="n"/>
      <c r="O18" s="12" t="n"/>
      <c r="P18" s="12" t="n"/>
      <c r="Q18" s="12" t="n"/>
      <c r="R18" s="12" t="n"/>
      <c r="S18" s="12" t="n"/>
      <c r="T18" s="13" t="inlineStr">
        <is>
          <t>상대 포트</t>
        </is>
      </c>
      <c r="U18" s="12" t="n"/>
      <c r="V18" s="12" t="n"/>
      <c r="W18" s="12" t="n"/>
      <c r="X18" s="12" t="n"/>
      <c r="Y18" s="13" t="inlineStr">
        <is>
          <t>케이블 라벨</t>
        </is>
      </c>
      <c r="Z18" s="12" t="n"/>
      <c r="AA18" s="12" t="n"/>
      <c r="AB18" s="12" t="n"/>
      <c r="AC18" s="12" t="n"/>
      <c r="AD18" s="12" t="n"/>
      <c r="AE18" s="12" t="n"/>
      <c r="AH18" s="11" t="inlineStr">
        <is>
          <t>번호</t>
        </is>
      </c>
      <c r="AI18" s="12" t="n"/>
      <c r="AJ18" s="13" t="inlineStr">
        <is>
          <t>포트명</t>
        </is>
      </c>
      <c r="AK18" s="12" t="n"/>
      <c r="AL18" s="12" t="n"/>
      <c r="AM18" s="12" t="n"/>
      <c r="AN18" s="12" t="n"/>
      <c r="AO18" s="13" t="inlineStr">
        <is>
          <t>용도</t>
        </is>
      </c>
      <c r="AP18" s="12" t="n"/>
      <c r="AQ18" s="12" t="n"/>
      <c r="AR18" s="12" t="n"/>
      <c r="AS18" s="13" t="inlineStr">
        <is>
          <t>상대 장비</t>
        </is>
      </c>
      <c r="AT18" s="12" t="n"/>
      <c r="AU18" s="12" t="n"/>
      <c r="AV18" s="12" t="n"/>
      <c r="AW18" s="12" t="n"/>
      <c r="AX18" s="12" t="n"/>
      <c r="AY18" s="12" t="n"/>
      <c r="AZ18" s="13" t="inlineStr">
        <is>
          <t>상대 포트</t>
        </is>
      </c>
      <c r="BA18" s="12" t="n"/>
      <c r="BB18" s="12" t="n"/>
      <c r="BC18" s="12" t="n"/>
      <c r="BD18" s="12" t="n"/>
      <c r="BE18" s="13" t="inlineStr">
        <is>
          <t>케이블 라벨</t>
        </is>
      </c>
      <c r="BF18" s="12" t="n"/>
      <c r="BG18" s="12" t="n"/>
      <c r="BH18" s="12" t="n"/>
      <c r="BI18" s="12" t="n"/>
      <c r="BJ18" s="12" t="n"/>
      <c r="BK18" s="12" t="n"/>
    </row>
    <row r="19" ht="13.5" customHeight="1">
      <c r="B19" s="65" t="n">
        <v>0</v>
      </c>
      <c r="C19" s="21" t="n"/>
      <c r="D19" s="67" t="inlineStr">
        <is>
          <t>P0</t>
        </is>
      </c>
      <c r="E19" s="21" t="n"/>
      <c r="F19" s="21" t="n"/>
      <c r="G19" s="21" t="n"/>
      <c r="H19" s="21" t="n"/>
      <c r="I19" s="67" t="inlineStr">
        <is>
          <t>스토리지</t>
        </is>
      </c>
      <c r="J19" s="21" t="n"/>
      <c r="K19" s="21" t="n"/>
      <c r="L19" s="21" t="n"/>
      <c r="M19" s="67" t="inlineStr">
        <is>
          <t>SRV-01</t>
        </is>
      </c>
      <c r="N19" s="21" t="n"/>
      <c r="O19" s="21" t="n"/>
      <c r="P19" s="21" t="n"/>
      <c r="Q19" s="21" t="n"/>
      <c r="R19" s="21" t="n"/>
      <c r="S19" s="21" t="n"/>
      <c r="T19" s="67" t="inlineStr">
        <is>
          <t>S1-P2</t>
        </is>
      </c>
      <c r="U19" s="21" t="n"/>
      <c r="V19" s="21" t="n"/>
      <c r="W19" s="21" t="n"/>
      <c r="X19" s="21" t="n"/>
      <c r="Y19" s="68" t="inlineStr">
        <is>
          <t>R02-D039</t>
        </is>
      </c>
      <c r="Z19" s="21" t="n"/>
      <c r="AA19" s="21" t="n"/>
      <c r="AB19" s="21" t="n"/>
      <c r="AC19" s="21" t="n"/>
      <c r="AD19" s="21" t="n"/>
      <c r="AE19" s="21" t="n"/>
      <c r="AH19" s="65" t="n"/>
      <c r="AI19" s="21" t="n"/>
      <c r="AJ19" s="67" t="n"/>
      <c r="AK19" s="21" t="n"/>
      <c r="AL19" s="21" t="n"/>
      <c r="AM19" s="21" t="n"/>
      <c r="AN19" s="21" t="n"/>
      <c r="AO19" s="67" t="n"/>
      <c r="AP19" s="21" t="n"/>
      <c r="AQ19" s="21" t="n"/>
      <c r="AR19" s="21" t="n"/>
      <c r="AS19" s="67" t="n"/>
      <c r="AT19" s="21" t="n"/>
      <c r="AU19" s="21" t="n"/>
      <c r="AV19" s="21" t="n"/>
      <c r="AW19" s="21" t="n"/>
      <c r="AX19" s="21" t="n"/>
      <c r="AY19" s="21" t="n"/>
      <c r="AZ19" s="67" t="n"/>
      <c r="BA19" s="21" t="n"/>
      <c r="BB19" s="21" t="n"/>
      <c r="BC19" s="21" t="n"/>
      <c r="BD19" s="21" t="n"/>
      <c r="BE19" s="68" t="n"/>
      <c r="BF19" s="21" t="n"/>
      <c r="BG19" s="21" t="n"/>
      <c r="BH19" s="21" t="n"/>
      <c r="BI19" s="21" t="n"/>
      <c r="BJ19" s="21" t="n"/>
      <c r="BK19" s="21" t="n"/>
    </row>
    <row r="20" ht="13.5" customHeight="1">
      <c r="B20" s="65" t="n">
        <v>1</v>
      </c>
      <c r="C20" s="21" t="n"/>
      <c r="D20" s="67" t="inlineStr">
        <is>
          <t>P1</t>
        </is>
      </c>
      <c r="E20" s="21" t="n"/>
      <c r="F20" s="21" t="n"/>
      <c r="G20" s="21" t="n"/>
      <c r="H20" s="21" t="n"/>
      <c r="I20" s="67" t="inlineStr">
        <is>
          <t>스토리지</t>
        </is>
      </c>
      <c r="J20" s="21" t="n"/>
      <c r="K20" s="21" t="n"/>
      <c r="L20" s="21" t="n"/>
      <c r="M20" s="67" t="inlineStr">
        <is>
          <t>SRV-02</t>
        </is>
      </c>
      <c r="N20" s="21" t="n"/>
      <c r="O20" s="21" t="n"/>
      <c r="P20" s="21" t="n"/>
      <c r="Q20" s="21" t="n"/>
      <c r="R20" s="21" t="n"/>
      <c r="S20" s="21" t="n"/>
      <c r="T20" s="67" t="inlineStr">
        <is>
          <t>S1-P2</t>
        </is>
      </c>
      <c r="U20" s="21" t="n"/>
      <c r="V20" s="21" t="n"/>
      <c r="W20" s="21" t="n"/>
      <c r="X20" s="21" t="n"/>
      <c r="Y20" s="68" t="inlineStr">
        <is>
          <t>R02-D041</t>
        </is>
      </c>
      <c r="Z20" s="21" t="n"/>
      <c r="AA20" s="21" t="n"/>
      <c r="AB20" s="21" t="n"/>
      <c r="AC20" s="21" t="n"/>
      <c r="AD20" s="21" t="n"/>
      <c r="AE20" s="21" t="n"/>
      <c r="AH20" s="65" t="n"/>
      <c r="AI20" s="21" t="n"/>
      <c r="AJ20" s="67" t="n"/>
      <c r="AK20" s="21" t="n"/>
      <c r="AL20" s="21" t="n"/>
      <c r="AM20" s="21" t="n"/>
      <c r="AN20" s="21" t="n"/>
      <c r="AO20" s="67" t="n"/>
      <c r="AP20" s="21" t="n"/>
      <c r="AQ20" s="21" t="n"/>
      <c r="AR20" s="21" t="n"/>
      <c r="AS20" s="67" t="n"/>
      <c r="AT20" s="21" t="n"/>
      <c r="AU20" s="21" t="n"/>
      <c r="AV20" s="21" t="n"/>
      <c r="AW20" s="21" t="n"/>
      <c r="AX20" s="21" t="n"/>
      <c r="AY20" s="21" t="n"/>
      <c r="AZ20" s="67" t="n"/>
      <c r="BA20" s="21" t="n"/>
      <c r="BB20" s="21" t="n"/>
      <c r="BC20" s="21" t="n"/>
      <c r="BD20" s="21" t="n"/>
      <c r="BE20" s="68" t="n"/>
      <c r="BF20" s="21" t="n"/>
      <c r="BG20" s="21" t="n"/>
      <c r="BH20" s="21" t="n"/>
      <c r="BI20" s="21" t="n"/>
      <c r="BJ20" s="21" t="n"/>
      <c r="BK20" s="21" t="n"/>
    </row>
    <row r="21" ht="13.5" customHeight="1">
      <c r="B21" s="65" t="n">
        <v>2</v>
      </c>
      <c r="C21" s="21" t="n"/>
      <c r="D21" s="67" t="inlineStr">
        <is>
          <t>P2</t>
        </is>
      </c>
      <c r="E21" s="21" t="n"/>
      <c r="F21" s="21" t="n"/>
      <c r="G21" s="21" t="n"/>
      <c r="H21" s="21" t="n"/>
      <c r="I21" s="67" t="inlineStr">
        <is>
          <t>스토리지</t>
        </is>
      </c>
      <c r="J21" s="21" t="n"/>
      <c r="K21" s="21" t="n"/>
      <c r="L21" s="21" t="n"/>
      <c r="M21" s="67" t="inlineStr">
        <is>
          <t>ENC-01</t>
        </is>
      </c>
      <c r="N21" s="21" t="n"/>
      <c r="O21" s="21" t="n"/>
      <c r="P21" s="21" t="n"/>
      <c r="Q21" s="21" t="n"/>
      <c r="R21" s="21" t="n"/>
      <c r="S21" s="21" t="n"/>
      <c r="T21" s="67" t="inlineStr">
        <is>
          <t>B2-X1</t>
        </is>
      </c>
      <c r="U21" s="21" t="n"/>
      <c r="V21" s="21" t="n"/>
      <c r="W21" s="21" t="n"/>
      <c r="X21" s="21" t="n"/>
      <c r="Y21" s="68" t="inlineStr">
        <is>
          <t>R02-D044</t>
        </is>
      </c>
      <c r="Z21" s="21" t="n"/>
      <c r="AA21" s="21" t="n"/>
      <c r="AB21" s="21" t="n"/>
      <c r="AC21" s="21" t="n"/>
      <c r="AD21" s="21" t="n"/>
      <c r="AE21" s="21" t="n"/>
      <c r="AH21" s="65" t="n"/>
      <c r="AI21" s="21" t="n"/>
      <c r="AJ21" s="67" t="n"/>
      <c r="AK21" s="21" t="n"/>
      <c r="AL21" s="21" t="n"/>
      <c r="AM21" s="21" t="n"/>
      <c r="AN21" s="21" t="n"/>
      <c r="AO21" s="67" t="n"/>
      <c r="AP21" s="21" t="n"/>
      <c r="AQ21" s="21" t="n"/>
      <c r="AR21" s="21" t="n"/>
      <c r="AS21" s="67" t="n"/>
      <c r="AT21" s="21" t="n"/>
      <c r="AU21" s="21" t="n"/>
      <c r="AV21" s="21" t="n"/>
      <c r="AW21" s="21" t="n"/>
      <c r="AX21" s="21" t="n"/>
      <c r="AY21" s="21" t="n"/>
      <c r="AZ21" s="67" t="n"/>
      <c r="BA21" s="21" t="n"/>
      <c r="BB21" s="21" t="n"/>
      <c r="BC21" s="21" t="n"/>
      <c r="BD21" s="21" t="n"/>
      <c r="BE21" s="68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5" t="n">
        <v>3</v>
      </c>
      <c r="C22" s="21" t="n"/>
      <c r="D22" s="67" t="inlineStr">
        <is>
          <t>P3</t>
        </is>
      </c>
      <c r="E22" s="21" t="n"/>
      <c r="F22" s="21" t="n"/>
      <c r="G22" s="21" t="n"/>
      <c r="H22" s="21" t="n"/>
      <c r="I22" s="67" t="inlineStr">
        <is>
          <t>스토리지</t>
        </is>
      </c>
      <c r="J22" s="21" t="n"/>
      <c r="K22" s="21" t="n"/>
      <c r="L22" s="21" t="n"/>
      <c r="M22" s="67" t="inlineStr">
        <is>
          <t>ENC-01</t>
        </is>
      </c>
      <c r="N22" s="21" t="n"/>
      <c r="O22" s="21" t="n"/>
      <c r="P22" s="21" t="n"/>
      <c r="Q22" s="21" t="n"/>
      <c r="R22" s="21" t="n"/>
      <c r="S22" s="21" t="n"/>
      <c r="T22" s="67" t="inlineStr">
        <is>
          <t>B2-X2</t>
        </is>
      </c>
      <c r="U22" s="21" t="n"/>
      <c r="V22" s="21" t="n"/>
      <c r="W22" s="21" t="n"/>
      <c r="X22" s="21" t="n"/>
      <c r="Y22" s="68" t="inlineStr">
        <is>
          <t>R02-D045</t>
        </is>
      </c>
      <c r="Z22" s="21" t="n"/>
      <c r="AA22" s="21" t="n"/>
      <c r="AB22" s="21" t="n"/>
      <c r="AC22" s="21" t="n"/>
      <c r="AD22" s="21" t="n"/>
      <c r="AE22" s="21" t="n"/>
      <c r="AH22" s="65" t="n"/>
      <c r="AI22" s="21" t="n"/>
      <c r="AJ22" s="67" t="n"/>
      <c r="AK22" s="21" t="n"/>
      <c r="AL22" s="21" t="n"/>
      <c r="AM22" s="21" t="n"/>
      <c r="AN22" s="21" t="n"/>
      <c r="AO22" s="67" t="n"/>
      <c r="AP22" s="21" t="n"/>
      <c r="AQ22" s="21" t="n"/>
      <c r="AR22" s="21" t="n"/>
      <c r="AS22" s="67" t="n"/>
      <c r="AT22" s="21" t="n"/>
      <c r="AU22" s="21" t="n"/>
      <c r="AV22" s="21" t="n"/>
      <c r="AW22" s="21" t="n"/>
      <c r="AX22" s="21" t="n"/>
      <c r="AY22" s="21" t="n"/>
      <c r="AZ22" s="67" t="n"/>
      <c r="BA22" s="21" t="n"/>
      <c r="BB22" s="21" t="n"/>
      <c r="BC22" s="21" t="n"/>
      <c r="BD22" s="21" t="n"/>
      <c r="BE22" s="68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5" t="n">
        <v>4</v>
      </c>
      <c r="C23" s="21" t="n"/>
      <c r="D23" s="67" t="inlineStr">
        <is>
          <t>P4</t>
        </is>
      </c>
      <c r="E23" s="21" t="n"/>
      <c r="F23" s="21" t="n"/>
      <c r="G23" s="21" t="n"/>
      <c r="H23" s="21" t="n"/>
      <c r="I23" s="67" t="inlineStr">
        <is>
          <t>스토리지</t>
        </is>
      </c>
      <c r="J23" s="21" t="n"/>
      <c r="K23" s="21" t="n"/>
      <c r="L23" s="21" t="n"/>
      <c r="M23" s="67" t="inlineStr">
        <is>
          <t>STG-01</t>
        </is>
      </c>
      <c r="N23" s="21" t="n"/>
      <c r="O23" s="21" t="n"/>
      <c r="P23" s="21" t="n"/>
      <c r="Q23" s="21" t="n"/>
      <c r="R23" s="21" t="n"/>
      <c r="S23" s="21" t="n"/>
      <c r="T23" s="67" t="inlineStr">
        <is>
          <t>SPA-IO0-P1</t>
        </is>
      </c>
      <c r="U23" s="21" t="n"/>
      <c r="V23" s="21" t="n"/>
      <c r="W23" s="21" t="n"/>
      <c r="X23" s="21" t="n"/>
      <c r="Y23" s="68" t="inlineStr">
        <is>
          <t>R02-D048</t>
        </is>
      </c>
      <c r="Z23" s="21" t="n"/>
      <c r="AA23" s="21" t="n"/>
      <c r="AB23" s="21" t="n"/>
      <c r="AC23" s="21" t="n"/>
      <c r="AD23" s="21" t="n"/>
      <c r="AE23" s="21" t="n"/>
      <c r="AH23" s="65" t="n"/>
      <c r="AI23" s="21" t="n"/>
      <c r="AJ23" s="67" t="n"/>
      <c r="AK23" s="21" t="n"/>
      <c r="AL23" s="21" t="n"/>
      <c r="AM23" s="21" t="n"/>
      <c r="AN23" s="21" t="n"/>
      <c r="AO23" s="67" t="n"/>
      <c r="AP23" s="21" t="n"/>
      <c r="AQ23" s="21" t="n"/>
      <c r="AR23" s="21" t="n"/>
      <c r="AS23" s="67" t="n"/>
      <c r="AT23" s="21" t="n"/>
      <c r="AU23" s="21" t="n"/>
      <c r="AV23" s="21" t="n"/>
      <c r="AW23" s="21" t="n"/>
      <c r="AX23" s="21" t="n"/>
      <c r="AY23" s="21" t="n"/>
      <c r="AZ23" s="67" t="n"/>
      <c r="BA23" s="21" t="n"/>
      <c r="BB23" s="21" t="n"/>
      <c r="BC23" s="21" t="n"/>
      <c r="BD23" s="21" t="n"/>
      <c r="BE23" s="68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5" t="n">
        <v>5</v>
      </c>
      <c r="C24" s="21" t="n"/>
      <c r="D24" s="67" t="inlineStr">
        <is>
          <t>P5</t>
        </is>
      </c>
      <c r="E24" s="21" t="n"/>
      <c r="F24" s="21" t="n"/>
      <c r="G24" s="21" t="n"/>
      <c r="H24" s="21" t="n"/>
      <c r="I24" s="67" t="inlineStr">
        <is>
          <t>스토리지</t>
        </is>
      </c>
      <c r="J24" s="21" t="n"/>
      <c r="K24" s="21" t="n"/>
      <c r="L24" s="21" t="n"/>
      <c r="M24" s="67" t="inlineStr">
        <is>
          <t>STG-01</t>
        </is>
      </c>
      <c r="N24" s="21" t="n"/>
      <c r="O24" s="21" t="n"/>
      <c r="P24" s="21" t="n"/>
      <c r="Q24" s="21" t="n"/>
      <c r="R24" s="21" t="n"/>
      <c r="S24" s="21" t="n"/>
      <c r="T24" s="67" t="inlineStr">
        <is>
          <t>SPB-IO0-P1</t>
        </is>
      </c>
      <c r="U24" s="21" t="n"/>
      <c r="V24" s="21" t="n"/>
      <c r="W24" s="21" t="n"/>
      <c r="X24" s="21" t="n"/>
      <c r="Y24" s="68" t="inlineStr">
        <is>
          <t>R02-D049</t>
        </is>
      </c>
      <c r="Z24" s="21" t="n"/>
      <c r="AA24" s="21" t="n"/>
      <c r="AB24" s="21" t="n"/>
      <c r="AC24" s="21" t="n"/>
      <c r="AD24" s="21" t="n"/>
      <c r="AE24" s="21" t="n"/>
      <c r="AH24" s="65" t="n"/>
      <c r="AI24" s="21" t="n"/>
      <c r="AJ24" s="67" t="n"/>
      <c r="AK24" s="21" t="n"/>
      <c r="AL24" s="21" t="n"/>
      <c r="AM24" s="21" t="n"/>
      <c r="AN24" s="21" t="n"/>
      <c r="AO24" s="67" t="n"/>
      <c r="AP24" s="21" t="n"/>
      <c r="AQ24" s="21" t="n"/>
      <c r="AR24" s="21" t="n"/>
      <c r="AS24" s="67" t="n"/>
      <c r="AT24" s="21" t="n"/>
      <c r="AU24" s="21" t="n"/>
      <c r="AV24" s="21" t="n"/>
      <c r="AW24" s="21" t="n"/>
      <c r="AX24" s="21" t="n"/>
      <c r="AY24" s="21" t="n"/>
      <c r="AZ24" s="67" t="n"/>
      <c r="BA24" s="21" t="n"/>
      <c r="BB24" s="21" t="n"/>
      <c r="BC24" s="21" t="n"/>
      <c r="BD24" s="21" t="n"/>
      <c r="BE24" s="68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5" t="n">
        <v>64</v>
      </c>
      <c r="C25" s="21" t="n"/>
      <c r="D25" s="67" t="inlineStr">
        <is>
          <t>MGMT</t>
        </is>
      </c>
      <c r="E25" s="21" t="n"/>
      <c r="F25" s="21" t="n"/>
      <c r="G25" s="21" t="n"/>
      <c r="H25" s="21" t="n"/>
      <c r="I25" s="67" t="inlineStr">
        <is>
          <t>관리</t>
        </is>
      </c>
      <c r="J25" s="21" t="n"/>
      <c r="K25" s="21" t="n"/>
      <c r="L25" s="21" t="n"/>
      <c r="M25" s="67" t="inlineStr">
        <is>
          <t>MGMT-SW</t>
        </is>
      </c>
      <c r="N25" s="21" t="n"/>
      <c r="O25" s="21" t="n"/>
      <c r="P25" s="21" t="n"/>
      <c r="Q25" s="21" t="n"/>
      <c r="R25" s="21" t="n"/>
      <c r="S25" s="21" t="n"/>
      <c r="T25" s="67" t="inlineStr">
        <is>
          <t>Gi1/0/11</t>
        </is>
      </c>
      <c r="U25" s="21" t="n"/>
      <c r="V25" s="21" t="n"/>
      <c r="W25" s="21" t="n"/>
      <c r="X25" s="21" t="n"/>
      <c r="Y25" s="68" t="inlineStr">
        <is>
          <t>R02-D011</t>
        </is>
      </c>
      <c r="Z25" s="21" t="n"/>
      <c r="AA25" s="21" t="n"/>
      <c r="AB25" s="21" t="n"/>
      <c r="AC25" s="21" t="n"/>
      <c r="AD25" s="21" t="n"/>
      <c r="AE25" s="21" t="n"/>
      <c r="AH25" s="65" t="n"/>
      <c r="AI25" s="21" t="n"/>
      <c r="AJ25" s="67" t="n"/>
      <c r="AK25" s="21" t="n"/>
      <c r="AL25" s="21" t="n"/>
      <c r="AM25" s="21" t="n"/>
      <c r="AN25" s="21" t="n"/>
      <c r="AO25" s="67" t="n"/>
      <c r="AP25" s="21" t="n"/>
      <c r="AQ25" s="21" t="n"/>
      <c r="AR25" s="21" t="n"/>
      <c r="AS25" s="67" t="n"/>
      <c r="AT25" s="21" t="n"/>
      <c r="AU25" s="21" t="n"/>
      <c r="AV25" s="21" t="n"/>
      <c r="AW25" s="21" t="n"/>
      <c r="AX25" s="21" t="n"/>
      <c r="AY25" s="21" t="n"/>
      <c r="AZ25" s="67" t="n"/>
      <c r="BA25" s="21" t="n"/>
      <c r="BB25" s="21" t="n"/>
      <c r="BC25" s="21" t="n"/>
      <c r="BD25" s="21" t="n"/>
      <c r="BE25" s="68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5" t="n">
        <v>66</v>
      </c>
      <c r="C26" s="21" t="n"/>
      <c r="D26" s="67" t="inlineStr">
        <is>
          <t>PSU1</t>
        </is>
      </c>
      <c r="E26" s="21" t="n"/>
      <c r="F26" s="21" t="n"/>
      <c r="G26" s="21" t="n"/>
      <c r="H26" s="21" t="n"/>
      <c r="I26" s="67" t="inlineStr">
        <is>
          <t>전원</t>
        </is>
      </c>
      <c r="J26" s="21" t="n"/>
      <c r="K26" s="21" t="n"/>
      <c r="L26" s="21" t="n"/>
      <c r="M26" s="67" t="inlineStr">
        <is>
          <t>PDU-A</t>
        </is>
      </c>
      <c r="N26" s="21" t="n"/>
      <c r="O26" s="21" t="n"/>
      <c r="P26" s="21" t="n"/>
      <c r="Q26" s="21" t="n"/>
      <c r="R26" s="21" t="n"/>
      <c r="S26" s="21" t="n"/>
      <c r="T26" s="67" t="inlineStr">
        <is>
          <t>C13-5</t>
        </is>
      </c>
      <c r="U26" s="21" t="n"/>
      <c r="V26" s="21" t="n"/>
      <c r="W26" s="21" t="n"/>
      <c r="X26" s="21" t="n"/>
      <c r="Y26" s="68" t="inlineStr">
        <is>
          <t>R02-P009</t>
        </is>
      </c>
      <c r="Z26" s="21" t="n"/>
      <c r="AA26" s="21" t="n"/>
      <c r="AB26" s="21" t="n"/>
      <c r="AC26" s="21" t="n"/>
      <c r="AD26" s="21" t="n"/>
      <c r="AE26" s="21" t="n"/>
      <c r="AH26" s="65" t="n"/>
      <c r="AI26" s="21" t="n"/>
      <c r="AJ26" s="67" t="n"/>
      <c r="AK26" s="21" t="n"/>
      <c r="AL26" s="21" t="n"/>
      <c r="AM26" s="21" t="n"/>
      <c r="AN26" s="21" t="n"/>
      <c r="AO26" s="67" t="n"/>
      <c r="AP26" s="21" t="n"/>
      <c r="AQ26" s="21" t="n"/>
      <c r="AR26" s="21" t="n"/>
      <c r="AS26" s="67" t="n"/>
      <c r="AT26" s="21" t="n"/>
      <c r="AU26" s="21" t="n"/>
      <c r="AV26" s="21" t="n"/>
      <c r="AW26" s="21" t="n"/>
      <c r="AX26" s="21" t="n"/>
      <c r="AY26" s="21" t="n"/>
      <c r="AZ26" s="67" t="n"/>
      <c r="BA26" s="21" t="n"/>
      <c r="BB26" s="21" t="n"/>
      <c r="BC26" s="21" t="n"/>
      <c r="BD26" s="21" t="n"/>
      <c r="BE26" s="68" t="n"/>
      <c r="BF26" s="21" t="n"/>
      <c r="BG26" s="21" t="n"/>
      <c r="BH26" s="21" t="n"/>
      <c r="BI26" s="21" t="n"/>
      <c r="BJ26" s="21" t="n"/>
      <c r="BK26" s="21" t="n"/>
    </row>
    <row r="27" ht="13.5" customHeight="1">
      <c r="B27" s="65" t="n">
        <v>67</v>
      </c>
      <c r="C27" s="21" t="n"/>
      <c r="D27" s="67" t="inlineStr">
        <is>
          <t>PSU2</t>
        </is>
      </c>
      <c r="E27" s="21" t="n"/>
      <c r="F27" s="21" t="n"/>
      <c r="G27" s="21" t="n"/>
      <c r="H27" s="21" t="n"/>
      <c r="I27" s="67" t="inlineStr">
        <is>
          <t>전원</t>
        </is>
      </c>
      <c r="J27" s="21" t="n"/>
      <c r="K27" s="21" t="n"/>
      <c r="L27" s="21" t="n"/>
      <c r="M27" s="67" t="inlineStr">
        <is>
          <t>PDU-B</t>
        </is>
      </c>
      <c r="N27" s="21" t="n"/>
      <c r="O27" s="21" t="n"/>
      <c r="P27" s="21" t="n"/>
      <c r="Q27" s="21" t="n"/>
      <c r="R27" s="21" t="n"/>
      <c r="S27" s="21" t="n"/>
      <c r="T27" s="67" t="inlineStr">
        <is>
          <t>C13-5</t>
        </is>
      </c>
      <c r="U27" s="21" t="n"/>
      <c r="V27" s="21" t="n"/>
      <c r="W27" s="21" t="n"/>
      <c r="X27" s="21" t="n"/>
      <c r="Y27" s="68" t="inlineStr">
        <is>
          <t>R02-P010</t>
        </is>
      </c>
      <c r="Z27" s="21" t="n"/>
      <c r="AA27" s="21" t="n"/>
      <c r="AB27" s="21" t="n"/>
      <c r="AC27" s="21" t="n"/>
      <c r="AD27" s="21" t="n"/>
      <c r="AE27" s="21" t="n"/>
      <c r="AH27" s="65" t="n"/>
      <c r="AI27" s="21" t="n"/>
      <c r="AJ27" s="67" t="n"/>
      <c r="AK27" s="21" t="n"/>
      <c r="AL27" s="21" t="n"/>
      <c r="AM27" s="21" t="n"/>
      <c r="AN27" s="21" t="n"/>
      <c r="AO27" s="67" t="n"/>
      <c r="AP27" s="21" t="n"/>
      <c r="AQ27" s="21" t="n"/>
      <c r="AR27" s="21" t="n"/>
      <c r="AS27" s="67" t="n"/>
      <c r="AT27" s="21" t="n"/>
      <c r="AU27" s="21" t="n"/>
      <c r="AV27" s="21" t="n"/>
      <c r="AW27" s="21" t="n"/>
      <c r="AX27" s="21" t="n"/>
      <c r="AY27" s="21" t="n"/>
      <c r="AZ27" s="67" t="n"/>
      <c r="BA27" s="21" t="n"/>
      <c r="BB27" s="21" t="n"/>
      <c r="BC27" s="21" t="n"/>
      <c r="BD27" s="21" t="n"/>
      <c r="BE27" s="68" t="n"/>
      <c r="BF27" s="21" t="n"/>
      <c r="BG27" s="21" t="n"/>
      <c r="BH27" s="21" t="n"/>
      <c r="BI27" s="21" t="n"/>
      <c r="BJ27" s="21" t="n"/>
      <c r="BK27" s="21" t="n"/>
    </row>
    <row r="28" ht="13.5" customHeight="1">
      <c r="B28" s="65" t="n"/>
      <c r="C28" s="21" t="n"/>
      <c r="D28" s="67" t="n"/>
      <c r="E28" s="21" t="n"/>
      <c r="F28" s="21" t="n"/>
      <c r="G28" s="21" t="n"/>
      <c r="H28" s="21" t="n"/>
      <c r="I28" s="67" t="n"/>
      <c r="J28" s="21" t="n"/>
      <c r="K28" s="21" t="n"/>
      <c r="L28" s="21" t="n"/>
      <c r="M28" s="67" t="n"/>
      <c r="N28" s="21" t="n"/>
      <c r="O28" s="21" t="n"/>
      <c r="P28" s="21" t="n"/>
      <c r="Q28" s="21" t="n"/>
      <c r="R28" s="21" t="n"/>
      <c r="S28" s="21" t="n"/>
      <c r="T28" s="67" t="n"/>
      <c r="U28" s="21" t="n"/>
      <c r="V28" s="21" t="n"/>
      <c r="W28" s="21" t="n"/>
      <c r="X28" s="21" t="n"/>
      <c r="Y28" s="68" t="n"/>
      <c r="Z28" s="21" t="n"/>
      <c r="AA28" s="21" t="n"/>
      <c r="AB28" s="21" t="n"/>
      <c r="AC28" s="21" t="n"/>
      <c r="AD28" s="21" t="n"/>
      <c r="AE28" s="21" t="n"/>
      <c r="AH28" s="65" t="n"/>
      <c r="AI28" s="21" t="n"/>
      <c r="AJ28" s="67" t="n"/>
      <c r="AK28" s="21" t="n"/>
      <c r="AL28" s="21" t="n"/>
      <c r="AM28" s="21" t="n"/>
      <c r="AN28" s="21" t="n"/>
      <c r="AO28" s="67" t="n"/>
      <c r="AP28" s="21" t="n"/>
      <c r="AQ28" s="21" t="n"/>
      <c r="AR28" s="21" t="n"/>
      <c r="AS28" s="67" t="n"/>
      <c r="AT28" s="21" t="n"/>
      <c r="AU28" s="21" t="n"/>
      <c r="AV28" s="21" t="n"/>
      <c r="AW28" s="21" t="n"/>
      <c r="AX28" s="21" t="n"/>
      <c r="AY28" s="21" t="n"/>
      <c r="AZ28" s="67" t="n"/>
      <c r="BA28" s="21" t="n"/>
      <c r="BB28" s="21" t="n"/>
      <c r="BC28" s="21" t="n"/>
      <c r="BD28" s="21" t="n"/>
      <c r="BE28" s="68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5" t="n"/>
      <c r="C29" s="21" t="n"/>
      <c r="D29" s="67" t="n"/>
      <c r="E29" s="21" t="n"/>
      <c r="F29" s="21" t="n"/>
      <c r="G29" s="21" t="n"/>
      <c r="H29" s="21" t="n"/>
      <c r="I29" s="67" t="n"/>
      <c r="J29" s="21" t="n"/>
      <c r="K29" s="21" t="n"/>
      <c r="L29" s="21" t="n"/>
      <c r="M29" s="67" t="n"/>
      <c r="N29" s="21" t="n"/>
      <c r="O29" s="21" t="n"/>
      <c r="P29" s="21" t="n"/>
      <c r="Q29" s="21" t="n"/>
      <c r="R29" s="21" t="n"/>
      <c r="S29" s="21" t="n"/>
      <c r="T29" s="67" t="n"/>
      <c r="U29" s="21" t="n"/>
      <c r="V29" s="21" t="n"/>
      <c r="W29" s="21" t="n"/>
      <c r="X29" s="21" t="n"/>
      <c r="Y29" s="68" t="n"/>
      <c r="Z29" s="21" t="n"/>
      <c r="AA29" s="21" t="n"/>
      <c r="AB29" s="21" t="n"/>
      <c r="AC29" s="21" t="n"/>
      <c r="AD29" s="21" t="n"/>
      <c r="AE29" s="21" t="n"/>
      <c r="AH29" s="65" t="n"/>
      <c r="AI29" s="21" t="n"/>
      <c r="AJ29" s="67" t="n"/>
      <c r="AK29" s="21" t="n"/>
      <c r="AL29" s="21" t="n"/>
      <c r="AM29" s="21" t="n"/>
      <c r="AN29" s="21" t="n"/>
      <c r="AO29" s="67" t="n"/>
      <c r="AP29" s="21" t="n"/>
      <c r="AQ29" s="21" t="n"/>
      <c r="AR29" s="21" t="n"/>
      <c r="AS29" s="67" t="n"/>
      <c r="AT29" s="21" t="n"/>
      <c r="AU29" s="21" t="n"/>
      <c r="AV29" s="21" t="n"/>
      <c r="AW29" s="21" t="n"/>
      <c r="AX29" s="21" t="n"/>
      <c r="AY29" s="21" t="n"/>
      <c r="AZ29" s="67" t="n"/>
      <c r="BA29" s="21" t="n"/>
      <c r="BB29" s="21" t="n"/>
      <c r="BC29" s="21" t="n"/>
      <c r="BD29" s="21" t="n"/>
      <c r="BE29" s="68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5" t="n"/>
      <c r="C30" s="21" t="n"/>
      <c r="D30" s="67" t="n"/>
      <c r="E30" s="21" t="n"/>
      <c r="F30" s="21" t="n"/>
      <c r="G30" s="21" t="n"/>
      <c r="H30" s="21" t="n"/>
      <c r="I30" s="67" t="n"/>
      <c r="J30" s="21" t="n"/>
      <c r="K30" s="21" t="n"/>
      <c r="L30" s="21" t="n"/>
      <c r="M30" s="67" t="n"/>
      <c r="N30" s="21" t="n"/>
      <c r="O30" s="21" t="n"/>
      <c r="P30" s="21" t="n"/>
      <c r="Q30" s="21" t="n"/>
      <c r="R30" s="21" t="n"/>
      <c r="S30" s="21" t="n"/>
      <c r="T30" s="67" t="n"/>
      <c r="U30" s="21" t="n"/>
      <c r="V30" s="21" t="n"/>
      <c r="W30" s="21" t="n"/>
      <c r="X30" s="21" t="n"/>
      <c r="Y30" s="68" t="n"/>
      <c r="Z30" s="21" t="n"/>
      <c r="AA30" s="21" t="n"/>
      <c r="AB30" s="21" t="n"/>
      <c r="AC30" s="21" t="n"/>
      <c r="AD30" s="21" t="n"/>
      <c r="AE30" s="21" t="n"/>
      <c r="AH30" s="65" t="n"/>
      <c r="AI30" s="21" t="n"/>
      <c r="AJ30" s="67" t="n"/>
      <c r="AK30" s="21" t="n"/>
      <c r="AL30" s="21" t="n"/>
      <c r="AM30" s="21" t="n"/>
      <c r="AN30" s="21" t="n"/>
      <c r="AO30" s="67" t="n"/>
      <c r="AP30" s="21" t="n"/>
      <c r="AQ30" s="21" t="n"/>
      <c r="AR30" s="21" t="n"/>
      <c r="AS30" s="67" t="n"/>
      <c r="AT30" s="21" t="n"/>
      <c r="AU30" s="21" t="n"/>
      <c r="AV30" s="21" t="n"/>
      <c r="AW30" s="21" t="n"/>
      <c r="AX30" s="21" t="n"/>
      <c r="AY30" s="21" t="n"/>
      <c r="AZ30" s="67" t="n"/>
      <c r="BA30" s="21" t="n"/>
      <c r="BB30" s="21" t="n"/>
      <c r="BC30" s="21" t="n"/>
      <c r="BD30" s="21" t="n"/>
      <c r="BE30" s="68" t="n"/>
      <c r="BF30" s="21" t="n"/>
      <c r="BG30" s="21" t="n"/>
      <c r="BH30" s="21" t="n"/>
      <c r="BI30" s="21" t="n"/>
      <c r="BJ30" s="21" t="n"/>
      <c r="BK30" s="21" t="n"/>
    </row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</sheetData>
  <mergeCells count="222">
    <mergeCell ref="O7:P7"/>
    <mergeCell ref="M18:S18"/>
    <mergeCell ref="BE27:BK27"/>
    <mergeCell ref="Q7:R7"/>
    <mergeCell ref="Y27:AE27"/>
    <mergeCell ref="BC6:BD6"/>
    <mergeCell ref="AK7:AL7"/>
    <mergeCell ref="Y18:AE18"/>
    <mergeCell ref="T24:X24"/>
    <mergeCell ref="O6:P6"/>
    <mergeCell ref="D19:H19"/>
    <mergeCell ref="B22:C22"/>
    <mergeCell ref="AW7:AX7"/>
    <mergeCell ref="AZ24:BD24"/>
    <mergeCell ref="D6:E6"/>
    <mergeCell ref="M19:S19"/>
    <mergeCell ref="B21:C21"/>
    <mergeCell ref="BE19:BK19"/>
    <mergeCell ref="BE28:BK28"/>
    <mergeCell ref="S7:T7"/>
    <mergeCell ref="BA7:BB7"/>
    <mergeCell ref="BC7:BD7"/>
    <mergeCell ref="B4:B8"/>
    <mergeCell ref="AH20:AI20"/>
    <mergeCell ref="AS30:AY30"/>
    <mergeCell ref="AS20:AY20"/>
    <mergeCell ref="BE30:BK30"/>
    <mergeCell ref="AJ18:AN18"/>
    <mergeCell ref="AO23:AR23"/>
    <mergeCell ref="AS29:AY29"/>
    <mergeCell ref="V6:W6"/>
    <mergeCell ref="D7:E7"/>
    <mergeCell ref="X6:Y6"/>
    <mergeCell ref="I26:L26"/>
    <mergeCell ref="AP6:AQ6"/>
    <mergeCell ref="AR6:AS6"/>
    <mergeCell ref="D28:H28"/>
    <mergeCell ref="AS22:AY22"/>
    <mergeCell ref="F13:G13"/>
    <mergeCell ref="I25:L25"/>
    <mergeCell ref="T22:X22"/>
    <mergeCell ref="AS21:AY21"/>
    <mergeCell ref="AO24:AR24"/>
    <mergeCell ref="AB7:AC7"/>
    <mergeCell ref="B24:C24"/>
    <mergeCell ref="D30:H30"/>
    <mergeCell ref="AO18:AR18"/>
    <mergeCell ref="I18:L18"/>
    <mergeCell ref="AJ20:AN20"/>
    <mergeCell ref="Y26:AE26"/>
    <mergeCell ref="AN7:AO7"/>
    <mergeCell ref="BH6:BI6"/>
    <mergeCell ref="AJ29:AN29"/>
    <mergeCell ref="AP7:AQ7"/>
    <mergeCell ref="T28:X28"/>
    <mergeCell ref="D29:H29"/>
    <mergeCell ref="D23:H23"/>
    <mergeCell ref="M21:S21"/>
    <mergeCell ref="I13:J13"/>
    <mergeCell ref="B26:C26"/>
    <mergeCell ref="AJ22:AN22"/>
    <mergeCell ref="B10:B14"/>
    <mergeCell ref="AR7:AS7"/>
    <mergeCell ref="AT13:AU13"/>
    <mergeCell ref="M27:S27"/>
    <mergeCell ref="AT7:AU7"/>
    <mergeCell ref="T30:X30"/>
    <mergeCell ref="V12:AA13"/>
    <mergeCell ref="B25:C25"/>
    <mergeCell ref="BE23:BK23"/>
    <mergeCell ref="T20:X20"/>
    <mergeCell ref="AJ21:AN21"/>
    <mergeCell ref="BF7:BG7"/>
    <mergeCell ref="T29:X29"/>
    <mergeCell ref="I20:L20"/>
    <mergeCell ref="BH7:BI7"/>
    <mergeCell ref="F6:G6"/>
    <mergeCell ref="M24:S24"/>
    <mergeCell ref="I29:L29"/>
    <mergeCell ref="AH18:AI18"/>
    <mergeCell ref="AH24:AI24"/>
    <mergeCell ref="B18:C18"/>
    <mergeCell ref="B27:C27"/>
    <mergeCell ref="AS24:AY24"/>
    <mergeCell ref="AJ23:AN23"/>
    <mergeCell ref="AS18:AY18"/>
    <mergeCell ref="BE18:BK18"/>
    <mergeCell ref="D27:H27"/>
    <mergeCell ref="AW6:AX6"/>
    <mergeCell ref="AS26:AY26"/>
    <mergeCell ref="AH19:AI19"/>
    <mergeCell ref="AC12:AH13"/>
    <mergeCell ref="AZ26:BD26"/>
    <mergeCell ref="M7:N7"/>
    <mergeCell ref="B29:C29"/>
    <mergeCell ref="AO28:AR28"/>
    <mergeCell ref="AG7:AH7"/>
    <mergeCell ref="BA6:BB6"/>
    <mergeCell ref="AI7:AJ7"/>
    <mergeCell ref="Y30:AE30"/>
    <mergeCell ref="AZ25:BD25"/>
    <mergeCell ref="BE20:BK20"/>
    <mergeCell ref="Y20:AE20"/>
    <mergeCell ref="Y29:AE29"/>
    <mergeCell ref="AZ18:BD18"/>
    <mergeCell ref="AZ27:BD27"/>
    <mergeCell ref="AJ26:AN26"/>
    <mergeCell ref="D25:H25"/>
    <mergeCell ref="BE22:BK22"/>
    <mergeCell ref="AY7:AZ7"/>
    <mergeCell ref="Y22:AE22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M29:S29"/>
    <mergeCell ref="AO25:AR25"/>
    <mergeCell ref="I19:L19"/>
    <mergeCell ref="M23:S23"/>
    <mergeCell ref="AH23:AI23"/>
    <mergeCell ref="F7:G7"/>
    <mergeCell ref="X7:Y7"/>
    <mergeCell ref="D21:H21"/>
    <mergeCell ref="Z7:AA7"/>
    <mergeCell ref="Y23:AE23"/>
    <mergeCell ref="AJ12:AO13"/>
    <mergeCell ref="AO27:AR27"/>
    <mergeCell ref="AG6:AH6"/>
    <mergeCell ref="AI6:AJ6"/>
    <mergeCell ref="I30:L30"/>
    <mergeCell ref="BE24:BK24"/>
    <mergeCell ref="T21:X21"/>
    <mergeCell ref="BE12:BF12"/>
    <mergeCell ref="T26:X26"/>
    <mergeCell ref="B19:C19"/>
    <mergeCell ref="Q6:R6"/>
    <mergeCell ref="B28:C28"/>
    <mergeCell ref="S6:T6"/>
    <mergeCell ref="BE26:BK26"/>
    <mergeCell ref="AJ24:AN24"/>
    <mergeCell ref="M20:S20"/>
    <mergeCell ref="T23:X23"/>
    <mergeCell ref="AS25:AY25"/>
    <mergeCell ref="AH27:AI27"/>
    <mergeCell ref="D18:H18"/>
    <mergeCell ref="BE25:BK25"/>
    <mergeCell ref="Y19:AE19"/>
    <mergeCell ref="B30:C30"/>
    <mergeCell ref="AS27:AY27"/>
    <mergeCell ref="BE13:BF13"/>
    <mergeCell ref="I21:L21"/>
    <mergeCell ref="B20:C20"/>
    <mergeCell ref="M22:S22"/>
    <mergeCell ref="AH25:AI25"/>
    <mergeCell ref="AO30:AR30"/>
    <mergeCell ref="M30:S30"/>
    <mergeCell ref="Y25:AE25"/>
    <mergeCell ref="T27:X27"/>
    <mergeCell ref="AO20:AR20"/>
    <mergeCell ref="AO29:AR29"/>
    <mergeCell ref="T18:X18"/>
    <mergeCell ref="M28:S28"/>
    <mergeCell ref="I23:L23"/>
    <mergeCell ref="D20:H20"/>
    <mergeCell ref="Z6:AA6"/>
    <mergeCell ref="AS19:AY19"/>
    <mergeCell ref="AB6:AC6"/>
    <mergeCell ref="AE7:AF7"/>
    <mergeCell ref="AO22:AR22"/>
    <mergeCell ref="AT6:AU6"/>
    <mergeCell ref="AS28:AY28"/>
    <mergeCell ref="AZ19:BD19"/>
    <mergeCell ref="BF6:BG6"/>
    <mergeCell ref="AJ27:AN27"/>
    <mergeCell ref="AZ28:BD28"/>
    <mergeCell ref="D22:H22"/>
    <mergeCell ref="AO21:AR21"/>
    <mergeCell ref="AT12:AU12"/>
    <mergeCell ref="F12:G12"/>
    <mergeCell ref="H6:I6"/>
    <mergeCell ref="T25:X25"/>
    <mergeCell ref="J6:K6"/>
    <mergeCell ref="AH29:AI29"/>
    <mergeCell ref="AZ30:BD30"/>
    <mergeCell ref="B23:C23"/>
    <mergeCell ref="AZ20:BD20"/>
    <mergeCell ref="AJ19:AN19"/>
    <mergeCell ref="AJ28:AN28"/>
    <mergeCell ref="I27:L27"/>
    <mergeCell ref="BE29:BK29"/>
    <mergeCell ref="I12:J12"/>
    <mergeCell ref="Y24:AE24"/>
    <mergeCell ref="M6:N6"/>
    <mergeCell ref="AZ22:BD22"/>
    <mergeCell ref="H7:I7"/>
    <mergeCell ref="AY17:BB17"/>
    <mergeCell ref="J7:K7"/>
    <mergeCell ref="AJ30:AN30"/>
    <mergeCell ref="Y21:AE21"/>
    <mergeCell ref="AH30:AI30"/>
    <mergeCell ref="AO19:AR19"/>
    <mergeCell ref="I22:L22"/>
    <mergeCell ref="V7:W7"/>
    <mergeCell ref="I28:L28"/>
    <mergeCell ref="AZ21:BD21"/>
    <mergeCell ref="AK6:AL6"/>
    <mergeCell ref="AH26:AI26"/>
    <mergeCell ref="D24:H24"/>
    <mergeCell ref="AE6:AF6"/>
    <mergeCell ref="AY6:AZ6"/>
    <mergeCell ref="M25:S25"/>
    <mergeCell ref="AZ29:BD29"/>
    <mergeCell ref="AZ23:BD23"/>
    <mergeCell ref="D26:H26"/>
  </mergeCells>
  <conditionalFormatting sqref="B19:C30">
    <cfRule type="expression" priority="1" dxfId="13" stopIfTrue="1">
      <formula>AND(ISNUMBER($B19),SUMPRODUCT(($C$4:$BK$15=$B19)*($C$4:$BK$15&lt;&gt;""))&lt;&gt;1)</formula>
    </cfRule>
    <cfRule type="expression" priority="2" dxfId="13" stopIfTrue="1">
      <formula>AND(ISNUMBER($B19),COUNTIF($B$19:$B$30,$B19)+COUNTIF($AH$19:$AH$30,$B19)&gt;1)</formula>
    </cfRule>
    <cfRule type="expression" priority="3" dxfId="14" stopIfTrue="1">
      <formula>$I19="서비스"</formula>
    </cfRule>
    <cfRule type="expression" priority="4" dxfId="15" stopIfTrue="1">
      <formula>$I19="관리"</formula>
    </cfRule>
    <cfRule type="expression" priority="5" dxfId="16" stopIfTrue="1">
      <formula>$I19="백업"</formula>
    </cfRule>
    <cfRule type="expression" priority="6" dxfId="17" stopIfTrue="1">
      <formula>$I19="스토리지"</formula>
    </cfRule>
    <cfRule type="expression" priority="7" dxfId="18" stopIfTrue="1">
      <formula>$I19="인터커넥트"</formula>
    </cfRule>
    <cfRule type="expression" priority="8" dxfId="19" stopIfTrue="1">
      <formula>$I19="콘솔"</formula>
    </cfRule>
    <cfRule type="expression" priority="9" dxfId="20" stopIfTrue="1">
      <formula>$I19="전원"</formula>
    </cfRule>
  </conditionalFormatting>
  <conditionalFormatting sqref="AH19:AI30">
    <cfRule type="expression" priority="10" dxfId="13" stopIfTrue="1">
      <formula>AND(ISNUMBER($AH19),SUMPRODUCT(($C$4:$BK$15=$AH19)*($C$4:$BK$15&lt;&gt;""))&lt;&gt;1)</formula>
    </cfRule>
    <cfRule type="expression" priority="11" dxfId="13" stopIfTrue="1">
      <formula>AND(ISNUMBER($AH19),COUNTIF($B$19:$B$30,$AH19)+COUNTIF($AH$19:$AH$30,$AH19)&gt;1)</formula>
    </cfRule>
    <cfRule type="expression" priority="12" dxfId="14" stopIfTrue="1">
      <formula>$AO19="서비스"</formula>
    </cfRule>
    <cfRule type="expression" priority="13" dxfId="15" stopIfTrue="1">
      <formula>$AO19="관리"</formula>
    </cfRule>
    <cfRule type="expression" priority="14" dxfId="16" stopIfTrue="1">
      <formula>$AO19="백업"</formula>
    </cfRule>
    <cfRule type="expression" priority="15" dxfId="17" stopIfTrue="1">
      <formula>$AO19="스토리지"</formula>
    </cfRule>
    <cfRule type="expression" priority="16" dxfId="18" stopIfTrue="1">
      <formula>$AO19="인터커넥트"</formula>
    </cfRule>
    <cfRule type="expression" priority="17" dxfId="19" stopIfTrue="1">
      <formula>$AO19="콘솔"</formula>
    </cfRule>
    <cfRule type="expression" priority="18" dxfId="20" stopIfTrue="1">
      <formula>$AO19="전원"</formula>
    </cfRule>
  </conditionalFormatting>
  <dataValidations count="2">
    <dataValidation sqref="I19:I30" showDropDown="0" showInputMessage="0" showErrorMessage="0" allowBlank="1" type="list">
      <formula1>"서비스,관리,백업,스토리지,인터커넥트,콘솔,전원,기타"</formula1>
    </dataValidation>
    <dataValidation sqref="AO19:AO30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9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STG-01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Dell EMC Unity XT 480 (DPE)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U30–31</t>
        </is>
      </c>
      <c r="Z2" s="5" t="inlineStr">
        <is>
          <t>구분</t>
        </is>
      </c>
      <c r="AB2" s="6" t="inlineStr">
        <is>
          <t>스토리지</t>
        </is>
      </c>
      <c r="AH2" s="5" t="inlineStr">
        <is>
          <t>시리얼</t>
        </is>
      </c>
      <c r="AK2" s="6" t="inlineStr">
        <is>
          <t>CKM00201900123</t>
        </is>
      </c>
      <c r="AS2" s="5" t="inlineStr">
        <is>
          <t>관리 IP</t>
        </is>
      </c>
      <c r="AV2" s="6" t="inlineStr">
        <is>
          <t>10.10.0.30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D5" s="45" t="inlineStr">
        <is>
          <t>드라이브 0–24</t>
        </is>
      </c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6" t="n"/>
      <c r="BA5" s="46" t="n"/>
      <c r="BB5" s="46" t="n"/>
      <c r="BC5" s="47" t="n"/>
      <c r="BE5" s="45" t="inlineStr">
        <is>
          <t>상태</t>
        </is>
      </c>
      <c r="BF5" s="46" t="n"/>
      <c r="BG5" s="46" t="n"/>
      <c r="BH5" s="46" t="n"/>
      <c r="BI5" s="46" t="n"/>
      <c r="BJ5" s="47" t="n"/>
      <c r="BK5" s="17" t="n"/>
    </row>
    <row r="6" ht="12" customHeight="1">
      <c r="C6" s="18" t="n"/>
      <c r="D6" s="48" t="n"/>
      <c r="E6" s="105" t="inlineStr">
        <is>
          <t>0</t>
        </is>
      </c>
      <c r="F6" s="106" t="n"/>
      <c r="G6" s="105" t="inlineStr">
        <is>
          <t>1</t>
        </is>
      </c>
      <c r="H6" s="106" t="n"/>
      <c r="I6" s="105" t="inlineStr">
        <is>
          <t>2</t>
        </is>
      </c>
      <c r="J6" s="106" t="n"/>
      <c r="K6" s="105" t="inlineStr">
        <is>
          <t>3</t>
        </is>
      </c>
      <c r="L6" s="106" t="n"/>
      <c r="M6" s="105" t="inlineStr">
        <is>
          <t>4</t>
        </is>
      </c>
      <c r="N6" s="106" t="n"/>
      <c r="O6" s="105" t="inlineStr">
        <is>
          <t>5</t>
        </is>
      </c>
      <c r="P6" s="106" t="n"/>
      <c r="Q6" s="105" t="inlineStr">
        <is>
          <t>6</t>
        </is>
      </c>
      <c r="R6" s="106" t="n"/>
      <c r="S6" s="105" t="inlineStr">
        <is>
          <t>7</t>
        </is>
      </c>
      <c r="T6" s="106" t="n"/>
      <c r="U6" s="105" t="inlineStr">
        <is>
          <t>8</t>
        </is>
      </c>
      <c r="V6" s="106" t="n"/>
      <c r="W6" s="105" t="inlineStr">
        <is>
          <t>9</t>
        </is>
      </c>
      <c r="X6" s="106" t="n"/>
      <c r="Y6" s="105" t="inlineStr">
        <is>
          <t>10</t>
        </is>
      </c>
      <c r="Z6" s="106" t="n"/>
      <c r="AA6" s="105" t="inlineStr">
        <is>
          <t>11</t>
        </is>
      </c>
      <c r="AB6" s="106" t="n"/>
      <c r="AC6" s="107" t="inlineStr">
        <is>
          <t>12</t>
        </is>
      </c>
      <c r="AD6" s="106" t="n"/>
      <c r="AE6" s="107" t="inlineStr">
        <is>
          <t>13</t>
        </is>
      </c>
      <c r="AF6" s="106" t="n"/>
      <c r="AG6" s="107" t="inlineStr">
        <is>
          <t>14</t>
        </is>
      </c>
      <c r="AH6" s="106" t="n"/>
      <c r="AI6" s="107" t="inlineStr">
        <is>
          <t>15</t>
        </is>
      </c>
      <c r="AJ6" s="106" t="n"/>
      <c r="AK6" s="107" t="inlineStr">
        <is>
          <t>16</t>
        </is>
      </c>
      <c r="AL6" s="106" t="n"/>
      <c r="AM6" s="107" t="inlineStr">
        <is>
          <t>17</t>
        </is>
      </c>
      <c r="AN6" s="106" t="n"/>
      <c r="AO6" s="107" t="inlineStr">
        <is>
          <t>18</t>
        </is>
      </c>
      <c r="AP6" s="106" t="n"/>
      <c r="AQ6" s="107" t="inlineStr">
        <is>
          <t>19</t>
        </is>
      </c>
      <c r="AR6" s="106" t="n"/>
      <c r="AS6" s="107" t="inlineStr">
        <is>
          <t>20</t>
        </is>
      </c>
      <c r="AT6" s="106" t="n"/>
      <c r="AU6" s="107" t="inlineStr">
        <is>
          <t>21</t>
        </is>
      </c>
      <c r="AV6" s="106" t="n"/>
      <c r="AW6" s="107" t="inlineStr">
        <is>
          <t>22</t>
        </is>
      </c>
      <c r="AX6" s="106" t="n"/>
      <c r="AY6" s="107" t="inlineStr">
        <is>
          <t>23</t>
        </is>
      </c>
      <c r="AZ6" s="106" t="n"/>
      <c r="BA6" s="107" t="inlineStr">
        <is>
          <t>24</t>
        </is>
      </c>
      <c r="BB6" s="106" t="n"/>
      <c r="BC6" s="50" t="n"/>
      <c r="BE6" s="48" t="n"/>
      <c r="BF6" s="49" t="n"/>
      <c r="BG6" s="49" t="n"/>
      <c r="BH6" s="49" t="n"/>
      <c r="BI6" s="49" t="n"/>
      <c r="BJ6" s="50" t="n"/>
      <c r="BK6" s="17" t="n"/>
    </row>
    <row r="7" ht="12" customHeight="1">
      <c r="C7" s="18" t="n"/>
      <c r="D7" s="48" t="n"/>
      <c r="E7" s="108" t="n"/>
      <c r="F7" s="109" t="n"/>
      <c r="G7" s="108" t="n"/>
      <c r="H7" s="109" t="n"/>
      <c r="I7" s="108" t="n"/>
      <c r="J7" s="109" t="n"/>
      <c r="K7" s="108" t="n"/>
      <c r="L7" s="109" t="n"/>
      <c r="M7" s="108" t="n"/>
      <c r="N7" s="109" t="n"/>
      <c r="O7" s="108" t="n"/>
      <c r="P7" s="109" t="n"/>
      <c r="Q7" s="108" t="n"/>
      <c r="R7" s="109" t="n"/>
      <c r="S7" s="108" t="n"/>
      <c r="T7" s="109" t="n"/>
      <c r="U7" s="108" t="n"/>
      <c r="V7" s="109" t="n"/>
      <c r="W7" s="108" t="n"/>
      <c r="X7" s="109" t="n"/>
      <c r="Y7" s="108" t="n"/>
      <c r="Z7" s="109" t="n"/>
      <c r="AA7" s="108" t="n"/>
      <c r="AB7" s="109" t="n"/>
      <c r="AC7" s="108" t="n"/>
      <c r="AD7" s="109" t="n"/>
      <c r="AE7" s="108" t="n"/>
      <c r="AF7" s="109" t="n"/>
      <c r="AG7" s="108" t="n"/>
      <c r="AH7" s="109" t="n"/>
      <c r="AI7" s="108" t="n"/>
      <c r="AJ7" s="109" t="n"/>
      <c r="AK7" s="108" t="n"/>
      <c r="AL7" s="109" t="n"/>
      <c r="AM7" s="108" t="n"/>
      <c r="AN7" s="109" t="n"/>
      <c r="AO7" s="108" t="n"/>
      <c r="AP7" s="109" t="n"/>
      <c r="AQ7" s="108" t="n"/>
      <c r="AR7" s="109" t="n"/>
      <c r="AS7" s="108" t="n"/>
      <c r="AT7" s="109" t="n"/>
      <c r="AU7" s="108" t="n"/>
      <c r="AV7" s="109" t="n"/>
      <c r="AW7" s="108" t="n"/>
      <c r="AX7" s="109" t="n"/>
      <c r="AY7" s="108" t="n"/>
      <c r="AZ7" s="109" t="n"/>
      <c r="BA7" s="108" t="n"/>
      <c r="BB7" s="109" t="n"/>
      <c r="BC7" s="50" t="n"/>
      <c r="BE7" s="110" t="inlineStr">
        <is>
          <t>● 전원</t>
        </is>
      </c>
      <c r="BF7" s="49" t="n"/>
      <c r="BG7" s="49" t="n"/>
      <c r="BH7" s="49" t="n"/>
      <c r="BI7" s="49" t="n"/>
      <c r="BJ7" s="50" t="n"/>
      <c r="BK7" s="17" t="n"/>
    </row>
    <row r="8" ht="12" customHeight="1">
      <c r="C8" s="18" t="n"/>
      <c r="D8" s="48" t="n"/>
      <c r="E8" s="108" t="n"/>
      <c r="F8" s="109" t="n"/>
      <c r="G8" s="108" t="n"/>
      <c r="H8" s="109" t="n"/>
      <c r="I8" s="108" t="n"/>
      <c r="J8" s="109" t="n"/>
      <c r="K8" s="108" t="n"/>
      <c r="L8" s="109" t="n"/>
      <c r="M8" s="108" t="n"/>
      <c r="N8" s="109" t="n"/>
      <c r="O8" s="108" t="n"/>
      <c r="P8" s="109" t="n"/>
      <c r="Q8" s="108" t="n"/>
      <c r="R8" s="109" t="n"/>
      <c r="S8" s="108" t="n"/>
      <c r="T8" s="109" t="n"/>
      <c r="U8" s="108" t="n"/>
      <c r="V8" s="109" t="n"/>
      <c r="W8" s="108" t="n"/>
      <c r="X8" s="109" t="n"/>
      <c r="Y8" s="108" t="n"/>
      <c r="Z8" s="109" t="n"/>
      <c r="AA8" s="108" t="n"/>
      <c r="AB8" s="109" t="n"/>
      <c r="AC8" s="108" t="n"/>
      <c r="AD8" s="109" t="n"/>
      <c r="AE8" s="108" t="n"/>
      <c r="AF8" s="109" t="n"/>
      <c r="AG8" s="108" t="n"/>
      <c r="AH8" s="109" t="n"/>
      <c r="AI8" s="108" t="n"/>
      <c r="AJ8" s="109" t="n"/>
      <c r="AK8" s="108" t="n"/>
      <c r="AL8" s="109" t="n"/>
      <c r="AM8" s="108" t="n"/>
      <c r="AN8" s="109" t="n"/>
      <c r="AO8" s="108" t="n"/>
      <c r="AP8" s="109" t="n"/>
      <c r="AQ8" s="108" t="n"/>
      <c r="AR8" s="109" t="n"/>
      <c r="AS8" s="108" t="n"/>
      <c r="AT8" s="109" t="n"/>
      <c r="AU8" s="108" t="n"/>
      <c r="AV8" s="109" t="n"/>
      <c r="AW8" s="108" t="n"/>
      <c r="AX8" s="109" t="n"/>
      <c r="AY8" s="108" t="n"/>
      <c r="AZ8" s="109" t="n"/>
      <c r="BA8" s="108" t="n"/>
      <c r="BB8" s="109" t="n"/>
      <c r="BC8" s="50" t="n"/>
      <c r="BE8" s="110" t="inlineStr">
        <is>
          <t>● 장애</t>
        </is>
      </c>
      <c r="BF8" s="49" t="n"/>
      <c r="BG8" s="49" t="n"/>
      <c r="BH8" s="49" t="n"/>
      <c r="BI8" s="49" t="n"/>
      <c r="BJ8" s="50" t="n"/>
      <c r="BK8" s="17" t="n"/>
    </row>
    <row r="9" ht="12" customHeight="1">
      <c r="C9" s="18" t="n"/>
      <c r="D9" s="48" t="n"/>
      <c r="E9" s="108" t="n"/>
      <c r="F9" s="109" t="n"/>
      <c r="G9" s="108" t="n"/>
      <c r="H9" s="109" t="n"/>
      <c r="I9" s="108" t="n"/>
      <c r="J9" s="109" t="n"/>
      <c r="K9" s="108" t="n"/>
      <c r="L9" s="109" t="n"/>
      <c r="M9" s="108" t="n"/>
      <c r="N9" s="109" t="n"/>
      <c r="O9" s="108" t="n"/>
      <c r="P9" s="109" t="n"/>
      <c r="Q9" s="108" t="n"/>
      <c r="R9" s="109" t="n"/>
      <c r="S9" s="108" t="n"/>
      <c r="T9" s="109" t="n"/>
      <c r="U9" s="108" t="n"/>
      <c r="V9" s="109" t="n"/>
      <c r="W9" s="108" t="n"/>
      <c r="X9" s="109" t="n"/>
      <c r="Y9" s="108" t="n"/>
      <c r="Z9" s="109" t="n"/>
      <c r="AA9" s="108" t="n"/>
      <c r="AB9" s="109" t="n"/>
      <c r="AC9" s="108" t="n"/>
      <c r="AD9" s="109" t="n"/>
      <c r="AE9" s="108" t="n"/>
      <c r="AF9" s="109" t="n"/>
      <c r="AG9" s="108" t="n"/>
      <c r="AH9" s="109" t="n"/>
      <c r="AI9" s="108" t="n"/>
      <c r="AJ9" s="109" t="n"/>
      <c r="AK9" s="108" t="n"/>
      <c r="AL9" s="109" t="n"/>
      <c r="AM9" s="108" t="n"/>
      <c r="AN9" s="109" t="n"/>
      <c r="AO9" s="108" t="n"/>
      <c r="AP9" s="109" t="n"/>
      <c r="AQ9" s="108" t="n"/>
      <c r="AR9" s="109" t="n"/>
      <c r="AS9" s="108" t="n"/>
      <c r="AT9" s="109" t="n"/>
      <c r="AU9" s="108" t="n"/>
      <c r="AV9" s="109" t="n"/>
      <c r="AW9" s="108" t="n"/>
      <c r="AX9" s="109" t="n"/>
      <c r="AY9" s="108" t="n"/>
      <c r="AZ9" s="109" t="n"/>
      <c r="BA9" s="108" t="n"/>
      <c r="BB9" s="109" t="n"/>
      <c r="BC9" s="50" t="n"/>
      <c r="BE9" s="48" t="n"/>
      <c r="BF9" s="49" t="n"/>
      <c r="BG9" s="49" t="n"/>
      <c r="BH9" s="49" t="n"/>
      <c r="BI9" s="49" t="n"/>
      <c r="BJ9" s="50" t="n"/>
      <c r="BK9" s="17" t="n"/>
    </row>
    <row r="10" ht="12" customHeight="1">
      <c r="C10" s="18" t="n"/>
      <c r="D10" s="48" t="n"/>
      <c r="E10" s="108" t="n"/>
      <c r="F10" s="109" t="n"/>
      <c r="G10" s="108" t="n"/>
      <c r="H10" s="109" t="n"/>
      <c r="I10" s="108" t="n"/>
      <c r="J10" s="109" t="n"/>
      <c r="K10" s="108" t="n"/>
      <c r="L10" s="109" t="n"/>
      <c r="M10" s="108" t="n"/>
      <c r="N10" s="109" t="n"/>
      <c r="O10" s="108" t="n"/>
      <c r="P10" s="109" t="n"/>
      <c r="Q10" s="108" t="n"/>
      <c r="R10" s="109" t="n"/>
      <c r="S10" s="108" t="n"/>
      <c r="T10" s="109" t="n"/>
      <c r="U10" s="108" t="n"/>
      <c r="V10" s="109" t="n"/>
      <c r="W10" s="108" t="n"/>
      <c r="X10" s="109" t="n"/>
      <c r="Y10" s="108" t="n"/>
      <c r="Z10" s="109" t="n"/>
      <c r="AA10" s="108" t="n"/>
      <c r="AB10" s="109" t="n"/>
      <c r="AC10" s="108" t="n"/>
      <c r="AD10" s="109" t="n"/>
      <c r="AE10" s="108" t="n"/>
      <c r="AF10" s="109" t="n"/>
      <c r="AG10" s="108" t="n"/>
      <c r="AH10" s="109" t="n"/>
      <c r="AI10" s="108" t="n"/>
      <c r="AJ10" s="109" t="n"/>
      <c r="AK10" s="108" t="n"/>
      <c r="AL10" s="109" t="n"/>
      <c r="AM10" s="108" t="n"/>
      <c r="AN10" s="109" t="n"/>
      <c r="AO10" s="108" t="n"/>
      <c r="AP10" s="109" t="n"/>
      <c r="AQ10" s="108" t="n"/>
      <c r="AR10" s="109" t="n"/>
      <c r="AS10" s="108" t="n"/>
      <c r="AT10" s="109" t="n"/>
      <c r="AU10" s="108" t="n"/>
      <c r="AV10" s="109" t="n"/>
      <c r="AW10" s="108" t="n"/>
      <c r="AX10" s="109" t="n"/>
      <c r="AY10" s="108" t="n"/>
      <c r="AZ10" s="109" t="n"/>
      <c r="BA10" s="108" t="n"/>
      <c r="BB10" s="109" t="n"/>
      <c r="BC10" s="50" t="n"/>
      <c r="BE10" s="48" t="n"/>
      <c r="BF10" s="49" t="n"/>
      <c r="BG10" s="49" t="n"/>
      <c r="BH10" s="49" t="n"/>
      <c r="BI10" s="49" t="n"/>
      <c r="BJ10" s="50" t="n"/>
      <c r="BK10" s="17" t="n"/>
    </row>
    <row r="11" ht="12" customHeight="1">
      <c r="C11" s="18" t="n"/>
      <c r="D11" s="48" t="n"/>
      <c r="E11" s="111" t="n"/>
      <c r="F11" s="112" t="n"/>
      <c r="G11" s="111" t="n"/>
      <c r="H11" s="112" t="n"/>
      <c r="I11" s="111" t="n"/>
      <c r="J11" s="112" t="n"/>
      <c r="K11" s="111" t="n"/>
      <c r="L11" s="112" t="n"/>
      <c r="M11" s="111" t="n"/>
      <c r="N11" s="112" t="n"/>
      <c r="O11" s="111" t="n"/>
      <c r="P11" s="112" t="n"/>
      <c r="Q11" s="111" t="n"/>
      <c r="R11" s="112" t="n"/>
      <c r="S11" s="111" t="n"/>
      <c r="T11" s="112" t="n"/>
      <c r="U11" s="111" t="n"/>
      <c r="V11" s="112" t="n"/>
      <c r="W11" s="111" t="n"/>
      <c r="X11" s="112" t="n"/>
      <c r="Y11" s="111" t="n"/>
      <c r="Z11" s="112" t="n"/>
      <c r="AA11" s="111" t="n"/>
      <c r="AB11" s="112" t="n"/>
      <c r="AC11" s="111" t="n"/>
      <c r="AD11" s="112" t="n"/>
      <c r="AE11" s="111" t="n"/>
      <c r="AF11" s="112" t="n"/>
      <c r="AG11" s="111" t="n"/>
      <c r="AH11" s="112" t="n"/>
      <c r="AI11" s="111" t="n"/>
      <c r="AJ11" s="112" t="n"/>
      <c r="AK11" s="111" t="n"/>
      <c r="AL11" s="112" t="n"/>
      <c r="AM11" s="111" t="n"/>
      <c r="AN11" s="112" t="n"/>
      <c r="AO11" s="111" t="n"/>
      <c r="AP11" s="112" t="n"/>
      <c r="AQ11" s="111" t="n"/>
      <c r="AR11" s="112" t="n"/>
      <c r="AS11" s="111" t="n"/>
      <c r="AT11" s="112" t="n"/>
      <c r="AU11" s="111" t="n"/>
      <c r="AV11" s="112" t="n"/>
      <c r="AW11" s="111" t="n"/>
      <c r="AX11" s="112" t="n"/>
      <c r="AY11" s="111" t="n"/>
      <c r="AZ11" s="112" t="n"/>
      <c r="BA11" s="111" t="n"/>
      <c r="BB11" s="112" t="n"/>
      <c r="BC11" s="50" t="n"/>
      <c r="BE11" s="48" t="n"/>
      <c r="BF11" s="49" t="n"/>
      <c r="BG11" s="49" t="n"/>
      <c r="BH11" s="49" t="n"/>
      <c r="BI11" s="49" t="n"/>
      <c r="BJ11" s="50" t="n"/>
      <c r="BK11" s="17" t="n"/>
    </row>
    <row r="12" ht="12" customHeight="1">
      <c r="C12" s="18" t="n"/>
      <c r="D12" s="51" t="n"/>
      <c r="E12" s="52" t="n"/>
      <c r="F12" s="52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2" t="n"/>
      <c r="AO12" s="52" t="n"/>
      <c r="AP12" s="52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  <c r="BB12" s="52" t="n"/>
      <c r="BC12" s="53" t="n"/>
      <c r="BE12" s="51" t="n"/>
      <c r="BF12" s="52" t="n"/>
      <c r="BG12" s="52" t="n"/>
      <c r="BH12" s="52" t="n"/>
      <c r="BI12" s="52" t="n"/>
      <c r="BJ12" s="53" t="n"/>
      <c r="BK12" s="17" t="n"/>
    </row>
    <row r="13" ht="12" customHeight="1">
      <c r="C13" s="4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3" t="n"/>
      <c r="AL13" s="43" t="n"/>
      <c r="AM13" s="43" t="n"/>
      <c r="AN13" s="43" t="n"/>
      <c r="AO13" s="43" t="n"/>
      <c r="AP13" s="43" t="n"/>
      <c r="AQ13" s="43" t="n"/>
      <c r="AR13" s="43" t="n"/>
      <c r="AS13" s="43" t="n"/>
      <c r="AT13" s="43" t="n"/>
      <c r="AU13" s="43" t="n"/>
      <c r="AV13" s="43" t="n"/>
      <c r="AW13" s="43" t="n"/>
      <c r="AX13" s="43" t="n"/>
      <c r="AY13" s="43" t="n"/>
      <c r="AZ13" s="43" t="n"/>
      <c r="BA13" s="43" t="n"/>
      <c r="BB13" s="43" t="n"/>
      <c r="BC13" s="43" t="n"/>
      <c r="BD13" s="43" t="n"/>
      <c r="BE13" s="43" t="n"/>
      <c r="BF13" s="43" t="n"/>
      <c r="BG13" s="43" t="n"/>
      <c r="BH13" s="43" t="n"/>
      <c r="BI13" s="43" t="n"/>
      <c r="BJ13" s="43" t="n"/>
      <c r="BK13" s="44" t="n"/>
    </row>
    <row r="14" ht="12" customHeight="1"/>
    <row r="15" ht="12" customHeight="1">
      <c r="B15" s="35" t="inlineStr">
        <is>
          <t>후  면</t>
        </is>
      </c>
      <c r="C15" s="36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37" t="n"/>
    </row>
    <row r="16" ht="12" customHeight="1">
      <c r="C16" s="18" t="n"/>
      <c r="D16" s="45" t="inlineStr">
        <is>
          <t>SP B</t>
        </is>
      </c>
      <c r="E16" s="46" t="n"/>
      <c r="F16" s="46" t="n"/>
      <c r="G16" s="47" t="n"/>
      <c r="I16" s="45" t="inlineStr">
        <is>
          <t>임베디드</t>
        </is>
      </c>
      <c r="J16" s="46" t="n"/>
      <c r="K16" s="46" t="n"/>
      <c r="L16" s="46" t="n"/>
      <c r="M16" s="46" t="n"/>
      <c r="N16" s="46" t="n"/>
      <c r="O16" s="46" t="n"/>
      <c r="P16" s="46" t="n"/>
      <c r="Q16" s="113" t="n">
        <v>1</v>
      </c>
      <c r="R16" s="114" t="n"/>
      <c r="S16" s="46" t="n"/>
      <c r="T16" s="115" t="n"/>
      <c r="U16" s="114" t="n"/>
      <c r="V16" s="46" t="n"/>
      <c r="W16" s="116" t="n">
        <v>2</v>
      </c>
      <c r="X16" s="114" t="n"/>
      <c r="Y16" s="46" t="n"/>
      <c r="Z16" s="115" t="n"/>
      <c r="AA16" s="114" t="n"/>
      <c r="AB16" s="46" t="n"/>
      <c r="AC16" s="115" t="n"/>
      <c r="AD16" s="114" t="n"/>
      <c r="AE16" s="46" t="n"/>
      <c r="AF16" s="115" t="n"/>
      <c r="AG16" s="114" t="n"/>
      <c r="AH16" s="46" t="n"/>
      <c r="AI16" s="115" t="n"/>
      <c r="AJ16" s="117" t="n"/>
      <c r="AK16" s="114" t="n"/>
      <c r="AL16" s="46" t="n"/>
      <c r="AM16" s="115" t="n"/>
      <c r="AN16" s="117" t="n"/>
      <c r="AO16" s="114" t="n"/>
      <c r="AP16" s="47" t="n"/>
      <c r="AR16" s="45" t="inlineStr">
        <is>
          <t>I/O 0 · FC 4P</t>
        </is>
      </c>
      <c r="AS16" s="46" t="n"/>
      <c r="AT16" s="46" t="n"/>
      <c r="AU16" s="46" t="n"/>
      <c r="AV16" s="46" t="n"/>
      <c r="AW16" s="46" t="n"/>
      <c r="AX16" s="46" t="n"/>
      <c r="AY16" s="46" t="n"/>
      <c r="AZ16" s="46" t="n"/>
      <c r="BA16" s="46" t="n"/>
      <c r="BB16" s="116" t="n">
        <v>3</v>
      </c>
      <c r="BC16" s="114" t="n"/>
      <c r="BD16" s="116" t="n">
        <v>4</v>
      </c>
      <c r="BE16" s="114" t="n"/>
      <c r="BF16" s="115" t="n"/>
      <c r="BG16" s="114" t="n"/>
      <c r="BH16" s="115" t="n"/>
      <c r="BI16" s="114" t="n"/>
      <c r="BJ16" s="47" t="n"/>
      <c r="BK16" s="17" t="n"/>
    </row>
    <row r="17" ht="12" customHeight="1">
      <c r="C17" s="18" t="n"/>
      <c r="D17" s="48" t="n"/>
      <c r="E17" s="49" t="n"/>
      <c r="F17" s="49" t="n"/>
      <c r="G17" s="50" t="n"/>
      <c r="I17" s="51" t="n"/>
      <c r="J17" s="52" t="n"/>
      <c r="K17" s="52" t="n"/>
      <c r="L17" s="52" t="n"/>
      <c r="M17" s="52" t="n"/>
      <c r="N17" s="52" t="n"/>
      <c r="O17" s="52" t="n"/>
      <c r="P17" s="52" t="n"/>
      <c r="Q17" s="89" t="inlineStr">
        <is>
          <t>MGMT</t>
        </is>
      </c>
      <c r="R17" s="87" t="n"/>
      <c r="S17" s="52" t="n"/>
      <c r="T17" s="89" t="inlineStr">
        <is>
          <t>SVC</t>
        </is>
      </c>
      <c r="U17" s="87" t="n"/>
      <c r="V17" s="52" t="n"/>
      <c r="W17" s="89" t="inlineStr">
        <is>
          <t>ETH0</t>
        </is>
      </c>
      <c r="X17" s="87" t="n"/>
      <c r="Y17" s="52" t="n"/>
      <c r="Z17" s="89" t="inlineStr">
        <is>
          <t>ETH1</t>
        </is>
      </c>
      <c r="AA17" s="87" t="n"/>
      <c r="AB17" s="52" t="n"/>
      <c r="AC17" s="89" t="inlineStr">
        <is>
          <t>ETH2</t>
        </is>
      </c>
      <c r="AD17" s="87" t="n"/>
      <c r="AE17" s="52" t="n"/>
      <c r="AF17" s="89" t="inlineStr">
        <is>
          <t>ETH3</t>
        </is>
      </c>
      <c r="AG17" s="87" t="n"/>
      <c r="AH17" s="52" t="n"/>
      <c r="AI17" s="89" t="inlineStr">
        <is>
          <t>SAS0</t>
        </is>
      </c>
      <c r="AJ17" s="87" t="n"/>
      <c r="AK17" s="87" t="n"/>
      <c r="AL17" s="52" t="n"/>
      <c r="AM17" s="89" t="inlineStr">
        <is>
          <t>SAS1</t>
        </is>
      </c>
      <c r="AN17" s="87" t="n"/>
      <c r="AO17" s="87" t="n"/>
      <c r="AP17" s="53" t="n"/>
      <c r="AR17" s="51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89" t="inlineStr">
        <is>
          <t>P0</t>
        </is>
      </c>
      <c r="BC17" s="87" t="n"/>
      <c r="BD17" s="89" t="inlineStr">
        <is>
          <t>P1</t>
        </is>
      </c>
      <c r="BE17" s="87" t="n"/>
      <c r="BF17" s="89" t="inlineStr">
        <is>
          <t>P2</t>
        </is>
      </c>
      <c r="BG17" s="87" t="n"/>
      <c r="BH17" s="89" t="inlineStr">
        <is>
          <t>P3</t>
        </is>
      </c>
      <c r="BI17" s="87" t="n"/>
      <c r="BJ17" s="53" t="n"/>
      <c r="BK17" s="17" t="n"/>
    </row>
    <row r="18" ht="12" customHeight="1">
      <c r="C18" s="18" t="n"/>
      <c r="D18" s="48" t="n"/>
      <c r="E18" s="49" t="n"/>
      <c r="F18" s="49" t="n"/>
      <c r="G18" s="50" t="n"/>
      <c r="I18" s="118" t="inlineStr">
        <is>
          <t>I/O 1  빈 슬롯</t>
        </is>
      </c>
      <c r="J18" s="119" t="n"/>
      <c r="K18" s="119" t="n"/>
      <c r="L18" s="119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19" t="n"/>
      <c r="W18" s="119" t="n"/>
      <c r="X18" s="119" t="n"/>
      <c r="Y18" s="120" t="n"/>
      <c r="AA18" s="45" t="inlineStr">
        <is>
          <t>USB</t>
        </is>
      </c>
      <c r="AB18" s="46" t="n"/>
      <c r="AC18" s="46" t="n"/>
      <c r="AD18" s="46" t="n"/>
      <c r="AE18" s="46" t="n"/>
      <c r="AF18" s="46" t="n"/>
      <c r="AG18" s="46" t="n"/>
      <c r="AH18" s="46" t="n"/>
      <c r="AI18" s="46" t="n"/>
      <c r="AJ18" s="46" t="n"/>
      <c r="AK18" s="46" t="n"/>
      <c r="AL18" s="46" t="n"/>
      <c r="AM18" s="46" t="n"/>
      <c r="AN18" s="121" t="inlineStr">
        <is>
          <t>USB</t>
        </is>
      </c>
      <c r="AO18" s="114" t="n"/>
      <c r="AP18" s="47" t="n"/>
      <c r="AR18" s="45" t="inlineStr">
        <is>
          <t>PSU B</t>
        </is>
      </c>
      <c r="AS18" s="46" t="n"/>
      <c r="AT18" s="46" t="n"/>
      <c r="AU18" s="46" t="n"/>
      <c r="AV18" s="46" t="n"/>
      <c r="AW18" s="46" t="n"/>
      <c r="AX18" s="46" t="n"/>
      <c r="AY18" s="46" t="n"/>
      <c r="AZ18" s="46" t="n"/>
      <c r="BA18" s="46" t="n"/>
      <c r="BB18" s="46" t="n"/>
      <c r="BC18" s="46" t="n"/>
      <c r="BD18" s="46" t="n"/>
      <c r="BE18" s="46" t="n"/>
      <c r="BF18" s="46" t="n"/>
      <c r="BG18" s="46" t="n"/>
      <c r="BH18" s="122" t="n">
        <v>5</v>
      </c>
      <c r="BI18" s="114" t="n"/>
      <c r="BJ18" s="47" t="n"/>
      <c r="BK18" s="17" t="n"/>
    </row>
    <row r="19" ht="12" customHeight="1">
      <c r="C19" s="18" t="n"/>
      <c r="D19" s="51" t="n"/>
      <c r="E19" s="52" t="n"/>
      <c r="F19" s="52" t="n"/>
      <c r="G19" s="53" t="n"/>
      <c r="I19" s="123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124" t="n"/>
      <c r="U19" s="124" t="n"/>
      <c r="V19" s="124" t="n"/>
      <c r="W19" s="124" t="n"/>
      <c r="X19" s="124" t="n"/>
      <c r="Y19" s="125" t="n"/>
      <c r="AA19" s="51" t="n"/>
      <c r="AB19" s="52" t="n"/>
      <c r="AC19" s="52" t="n"/>
      <c r="AD19" s="52" t="n"/>
      <c r="AE19" s="52" t="n"/>
      <c r="AF19" s="52" t="n"/>
      <c r="AG19" s="52" t="n"/>
      <c r="AH19" s="52" t="n"/>
      <c r="AI19" s="52" t="n"/>
      <c r="AJ19" s="52" t="n"/>
      <c r="AK19" s="52" t="n"/>
      <c r="AL19" s="52" t="n"/>
      <c r="AM19" s="52" t="n"/>
      <c r="AN19" s="52" t="n"/>
      <c r="AO19" s="52" t="n"/>
      <c r="AP19" s="53" t="n"/>
      <c r="AR19" s="51" t="n"/>
      <c r="AS19" s="52" t="n"/>
      <c r="AT19" s="52" t="n"/>
      <c r="AU19" s="52" t="n"/>
      <c r="AV19" s="52" t="n"/>
      <c r="AW19" s="52" t="n"/>
      <c r="AX19" s="52" t="n"/>
      <c r="AY19" s="52" t="n"/>
      <c r="AZ19" s="52" t="n"/>
      <c r="BA19" s="52" t="n"/>
      <c r="BB19" s="52" t="n"/>
      <c r="BC19" s="52" t="n"/>
      <c r="BD19" s="52" t="n"/>
      <c r="BE19" s="52" t="n"/>
      <c r="BF19" s="52" t="n"/>
      <c r="BG19" s="52" t="n"/>
      <c r="BH19" s="89" t="inlineStr">
        <is>
          <t>C14</t>
        </is>
      </c>
      <c r="BI19" s="87" t="n"/>
      <c r="BJ19" s="53" t="n"/>
      <c r="BK19" s="17" t="n"/>
    </row>
    <row r="20" ht="12" customHeight="1">
      <c r="C20" s="18" t="n"/>
      <c r="D20" s="45" t="inlineStr">
        <is>
          <t>SP A</t>
        </is>
      </c>
      <c r="E20" s="46" t="n"/>
      <c r="F20" s="46" t="n"/>
      <c r="G20" s="47" t="n"/>
      <c r="I20" s="45" t="inlineStr">
        <is>
          <t>임베디드</t>
        </is>
      </c>
      <c r="J20" s="46" t="n"/>
      <c r="K20" s="46" t="n"/>
      <c r="L20" s="46" t="n"/>
      <c r="M20" s="46" t="n"/>
      <c r="N20" s="46" t="n"/>
      <c r="O20" s="46" t="n"/>
      <c r="P20" s="46" t="n"/>
      <c r="Q20" s="113" t="n">
        <v>6</v>
      </c>
      <c r="R20" s="114" t="n"/>
      <c r="S20" s="46" t="n"/>
      <c r="T20" s="115" t="n"/>
      <c r="U20" s="114" t="n"/>
      <c r="V20" s="46" t="n"/>
      <c r="W20" s="116" t="n">
        <v>7</v>
      </c>
      <c r="X20" s="114" t="n"/>
      <c r="Y20" s="46" t="n"/>
      <c r="Z20" s="115" t="n"/>
      <c r="AA20" s="114" t="n"/>
      <c r="AB20" s="46" t="n"/>
      <c r="AC20" s="115" t="n"/>
      <c r="AD20" s="114" t="n"/>
      <c r="AE20" s="46" t="n"/>
      <c r="AF20" s="115" t="n"/>
      <c r="AG20" s="114" t="n"/>
      <c r="AH20" s="46" t="n"/>
      <c r="AI20" s="115" t="n"/>
      <c r="AJ20" s="117" t="n"/>
      <c r="AK20" s="114" t="n"/>
      <c r="AL20" s="46" t="n"/>
      <c r="AM20" s="115" t="n"/>
      <c r="AN20" s="117" t="n"/>
      <c r="AO20" s="114" t="n"/>
      <c r="AP20" s="47" t="n"/>
      <c r="AR20" s="45" t="inlineStr">
        <is>
          <t>I/O 0 · FC 4P</t>
        </is>
      </c>
      <c r="AS20" s="46" t="n"/>
      <c r="AT20" s="46" t="n"/>
      <c r="AU20" s="46" t="n"/>
      <c r="AV20" s="46" t="n"/>
      <c r="AW20" s="46" t="n"/>
      <c r="AX20" s="46" t="n"/>
      <c r="AY20" s="46" t="n"/>
      <c r="AZ20" s="46" t="n"/>
      <c r="BA20" s="46" t="n"/>
      <c r="BB20" s="116" t="n">
        <v>8</v>
      </c>
      <c r="BC20" s="114" t="n"/>
      <c r="BD20" s="116" t="n">
        <v>9</v>
      </c>
      <c r="BE20" s="114" t="n"/>
      <c r="BF20" s="115" t="n"/>
      <c r="BG20" s="114" t="n"/>
      <c r="BH20" s="115" t="n"/>
      <c r="BI20" s="114" t="n"/>
      <c r="BJ20" s="47" t="n"/>
      <c r="BK20" s="17" t="n"/>
    </row>
    <row r="21" ht="12" customHeight="1">
      <c r="C21" s="18" t="n"/>
      <c r="D21" s="48" t="n"/>
      <c r="E21" s="49" t="n"/>
      <c r="F21" s="49" t="n"/>
      <c r="G21" s="50" t="n"/>
      <c r="I21" s="51" t="n"/>
      <c r="J21" s="52" t="n"/>
      <c r="K21" s="52" t="n"/>
      <c r="L21" s="52" t="n"/>
      <c r="M21" s="52" t="n"/>
      <c r="N21" s="52" t="n"/>
      <c r="O21" s="52" t="n"/>
      <c r="P21" s="52" t="n"/>
      <c r="Q21" s="89" t="inlineStr">
        <is>
          <t>MGMT</t>
        </is>
      </c>
      <c r="R21" s="87" t="n"/>
      <c r="S21" s="52" t="n"/>
      <c r="T21" s="89" t="inlineStr">
        <is>
          <t>SVC</t>
        </is>
      </c>
      <c r="U21" s="87" t="n"/>
      <c r="V21" s="52" t="n"/>
      <c r="W21" s="89" t="inlineStr">
        <is>
          <t>ETH0</t>
        </is>
      </c>
      <c r="X21" s="87" t="n"/>
      <c r="Y21" s="52" t="n"/>
      <c r="Z21" s="89" t="inlineStr">
        <is>
          <t>ETH1</t>
        </is>
      </c>
      <c r="AA21" s="87" t="n"/>
      <c r="AB21" s="52" t="n"/>
      <c r="AC21" s="89" t="inlineStr">
        <is>
          <t>ETH2</t>
        </is>
      </c>
      <c r="AD21" s="87" t="n"/>
      <c r="AE21" s="52" t="n"/>
      <c r="AF21" s="89" t="inlineStr">
        <is>
          <t>ETH3</t>
        </is>
      </c>
      <c r="AG21" s="87" t="n"/>
      <c r="AH21" s="52" t="n"/>
      <c r="AI21" s="89" t="inlineStr">
        <is>
          <t>SAS0</t>
        </is>
      </c>
      <c r="AJ21" s="87" t="n"/>
      <c r="AK21" s="87" t="n"/>
      <c r="AL21" s="52" t="n"/>
      <c r="AM21" s="89" t="inlineStr">
        <is>
          <t>SAS1</t>
        </is>
      </c>
      <c r="AN21" s="87" t="n"/>
      <c r="AO21" s="87" t="n"/>
      <c r="AP21" s="53" t="n"/>
      <c r="AR21" s="51" t="n"/>
      <c r="AS21" s="52" t="n"/>
      <c r="AT21" s="52" t="n"/>
      <c r="AU21" s="52" t="n"/>
      <c r="AV21" s="52" t="n"/>
      <c r="AW21" s="52" t="n"/>
      <c r="AX21" s="52" t="n"/>
      <c r="AY21" s="52" t="n"/>
      <c r="AZ21" s="52" t="n"/>
      <c r="BA21" s="52" t="n"/>
      <c r="BB21" s="89" t="inlineStr">
        <is>
          <t>P0</t>
        </is>
      </c>
      <c r="BC21" s="87" t="n"/>
      <c r="BD21" s="89" t="inlineStr">
        <is>
          <t>P1</t>
        </is>
      </c>
      <c r="BE21" s="87" t="n"/>
      <c r="BF21" s="89" t="inlineStr">
        <is>
          <t>P2</t>
        </is>
      </c>
      <c r="BG21" s="87" t="n"/>
      <c r="BH21" s="89" t="inlineStr">
        <is>
          <t>P3</t>
        </is>
      </c>
      <c r="BI21" s="87" t="n"/>
      <c r="BJ21" s="53" t="n"/>
      <c r="BK21" s="17" t="n"/>
    </row>
    <row r="22" ht="12" customHeight="1">
      <c r="C22" s="18" t="n"/>
      <c r="D22" s="48" t="n"/>
      <c r="E22" s="49" t="n"/>
      <c r="F22" s="49" t="n"/>
      <c r="G22" s="50" t="n"/>
      <c r="I22" s="118" t="inlineStr">
        <is>
          <t>I/O 1  빈 슬롯</t>
        </is>
      </c>
      <c r="J22" s="119" t="n"/>
      <c r="K22" s="119" t="n"/>
      <c r="L22" s="119" t="n"/>
      <c r="M22" s="119" t="n"/>
      <c r="N22" s="119" t="n"/>
      <c r="O22" s="119" t="n"/>
      <c r="P22" s="119" t="n"/>
      <c r="Q22" s="119" t="n"/>
      <c r="R22" s="119" t="n"/>
      <c r="S22" s="119" t="n"/>
      <c r="T22" s="119" t="n"/>
      <c r="U22" s="119" t="n"/>
      <c r="V22" s="119" t="n"/>
      <c r="W22" s="119" t="n"/>
      <c r="X22" s="119" t="n"/>
      <c r="Y22" s="120" t="n"/>
      <c r="AA22" s="45" t="inlineStr">
        <is>
          <t>USB</t>
        </is>
      </c>
      <c r="AB22" s="46" t="n"/>
      <c r="AC22" s="46" t="n"/>
      <c r="AD22" s="46" t="n"/>
      <c r="AE22" s="46" t="n"/>
      <c r="AF22" s="46" t="n"/>
      <c r="AG22" s="46" t="n"/>
      <c r="AH22" s="46" t="n"/>
      <c r="AI22" s="46" t="n"/>
      <c r="AJ22" s="46" t="n"/>
      <c r="AK22" s="46" t="n"/>
      <c r="AL22" s="46" t="n"/>
      <c r="AM22" s="46" t="n"/>
      <c r="AN22" s="121" t="inlineStr">
        <is>
          <t>USB</t>
        </is>
      </c>
      <c r="AO22" s="114" t="n"/>
      <c r="AP22" s="47" t="n"/>
      <c r="AR22" s="45" t="inlineStr">
        <is>
          <t>PSU A</t>
        </is>
      </c>
      <c r="AS22" s="46" t="n"/>
      <c r="AT22" s="46" t="n"/>
      <c r="AU22" s="46" t="n"/>
      <c r="AV22" s="46" t="n"/>
      <c r="AW22" s="46" t="n"/>
      <c r="AX22" s="46" t="n"/>
      <c r="AY22" s="46" t="n"/>
      <c r="AZ22" s="46" t="n"/>
      <c r="BA22" s="46" t="n"/>
      <c r="BB22" s="46" t="n"/>
      <c r="BC22" s="46" t="n"/>
      <c r="BD22" s="46" t="n"/>
      <c r="BE22" s="46" t="n"/>
      <c r="BF22" s="46" t="n"/>
      <c r="BG22" s="46" t="n"/>
      <c r="BH22" s="122" t="n">
        <v>10</v>
      </c>
      <c r="BI22" s="114" t="n"/>
      <c r="BJ22" s="47" t="n"/>
      <c r="BK22" s="17" t="n"/>
    </row>
    <row r="23" ht="12" customHeight="1">
      <c r="C23" s="18" t="n"/>
      <c r="D23" s="51" t="n"/>
      <c r="E23" s="52" t="n"/>
      <c r="F23" s="52" t="n"/>
      <c r="G23" s="53" t="n"/>
      <c r="I23" s="123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124" t="n"/>
      <c r="U23" s="124" t="n"/>
      <c r="V23" s="124" t="n"/>
      <c r="W23" s="124" t="n"/>
      <c r="X23" s="124" t="n"/>
      <c r="Y23" s="125" t="n"/>
      <c r="AA23" s="51" t="n"/>
      <c r="AB23" s="52" t="n"/>
      <c r="AC23" s="52" t="n"/>
      <c r="AD23" s="52" t="n"/>
      <c r="AE23" s="52" t="n"/>
      <c r="AF23" s="52" t="n"/>
      <c r="AG23" s="52" t="n"/>
      <c r="AH23" s="52" t="n"/>
      <c r="AI23" s="52" t="n"/>
      <c r="AJ23" s="52" t="n"/>
      <c r="AK23" s="52" t="n"/>
      <c r="AL23" s="52" t="n"/>
      <c r="AM23" s="52" t="n"/>
      <c r="AN23" s="52" t="n"/>
      <c r="AO23" s="52" t="n"/>
      <c r="AP23" s="53" t="n"/>
      <c r="AR23" s="51" t="n"/>
      <c r="AS23" s="52" t="n"/>
      <c r="AT23" s="52" t="n"/>
      <c r="AU23" s="52" t="n"/>
      <c r="AV23" s="52" t="n"/>
      <c r="AW23" s="52" t="n"/>
      <c r="AX23" s="52" t="n"/>
      <c r="AY23" s="52" t="n"/>
      <c r="AZ23" s="52" t="n"/>
      <c r="BA23" s="52" t="n"/>
      <c r="BB23" s="52" t="n"/>
      <c r="BC23" s="52" t="n"/>
      <c r="BD23" s="52" t="n"/>
      <c r="BE23" s="52" t="n"/>
      <c r="BF23" s="52" t="n"/>
      <c r="BG23" s="52" t="n"/>
      <c r="BH23" s="89" t="inlineStr">
        <is>
          <t>C14</t>
        </is>
      </c>
      <c r="BI23" s="87" t="n"/>
      <c r="BJ23" s="53" t="n"/>
      <c r="BK23" s="17" t="n"/>
    </row>
    <row r="24" ht="12" customHeight="1">
      <c r="C24" s="42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  <c r="AB24" s="43" t="n"/>
      <c r="AC24" s="43" t="n"/>
      <c r="AD24" s="43" t="n"/>
      <c r="AE24" s="43" t="n"/>
      <c r="AF24" s="43" t="n"/>
      <c r="AG24" s="43" t="n"/>
      <c r="AH24" s="43" t="n"/>
      <c r="AI24" s="43" t="n"/>
      <c r="AJ24" s="43" t="n"/>
      <c r="AK24" s="43" t="n"/>
      <c r="AL24" s="43" t="n"/>
      <c r="AM24" s="43" t="n"/>
      <c r="AN24" s="43" t="n"/>
      <c r="AO24" s="43" t="n"/>
      <c r="AP24" s="43" t="n"/>
      <c r="AQ24" s="43" t="n"/>
      <c r="AR24" s="43" t="n"/>
      <c r="AS24" s="43" t="n"/>
      <c r="AT24" s="43" t="n"/>
      <c r="AU24" s="43" t="n"/>
      <c r="AV24" s="43" t="n"/>
      <c r="AW24" s="43" t="n"/>
      <c r="AX24" s="43" t="n"/>
      <c r="AY24" s="43" t="n"/>
      <c r="AZ24" s="43" t="n"/>
      <c r="BA24" s="43" t="n"/>
      <c r="BB24" s="43" t="n"/>
      <c r="BC24" s="43" t="n"/>
      <c r="BD24" s="43" t="n"/>
      <c r="BE24" s="43" t="n"/>
      <c r="BF24" s="43" t="n"/>
      <c r="BG24" s="43" t="n"/>
      <c r="BH24" s="43" t="n"/>
      <c r="BI24" s="43" t="n"/>
      <c r="BJ24" s="43" t="n"/>
      <c r="BK24" s="44" t="n"/>
    </row>
    <row r="25" ht="12" customHeight="1"/>
    <row r="26" ht="12" customHeight="1">
      <c r="B26" s="7" t="inlineStr">
        <is>
          <t>연결 정보</t>
        </is>
      </c>
      <c r="H26" s="54" t="n"/>
      <c r="I26" s="28" t="inlineStr">
        <is>
          <t>서비스</t>
        </is>
      </c>
      <c r="L26" s="55" t="n"/>
      <c r="M26" s="28" t="inlineStr">
        <is>
          <t>관리</t>
        </is>
      </c>
      <c r="O26" s="56" t="n"/>
      <c r="P26" s="28" t="inlineStr">
        <is>
          <t>백업</t>
        </is>
      </c>
      <c r="R26" s="57" t="n"/>
      <c r="S26" s="28" t="inlineStr">
        <is>
          <t>스토리지</t>
        </is>
      </c>
      <c r="V26" s="58" t="n"/>
      <c r="W26" s="28" t="inlineStr">
        <is>
          <t>인터커넥트</t>
        </is>
      </c>
      <c r="AA26" s="59" t="n"/>
      <c r="AB26" s="28" t="inlineStr">
        <is>
          <t>콘솔</t>
        </is>
      </c>
      <c r="AD26" s="60" t="n"/>
      <c r="AE26" s="28" t="inlineStr">
        <is>
          <t>전원</t>
        </is>
      </c>
      <c r="AG26" s="61" t="n"/>
      <c r="AH26" s="28" t="inlineStr">
        <is>
          <t>미연결</t>
        </is>
      </c>
      <c r="AL26" s="62" t="n">
        <v>7</v>
      </c>
      <c r="AM26" s="28" t="inlineStr">
        <is>
          <t>도면 번호</t>
        </is>
      </c>
      <c r="AQ26" s="63" t="inlineStr">
        <is>
          <t>LOM1</t>
        </is>
      </c>
      <c r="AS26" s="28" t="inlineStr">
        <is>
          <t>포트명(장비 표기)</t>
        </is>
      </c>
      <c r="AY26" s="64" t="inlineStr">
        <is>
          <t>A-0001</t>
        </is>
      </c>
      <c r="AZ26" s="21" t="n"/>
      <c r="BA26" s="21" t="n"/>
      <c r="BB26" s="21" t="n"/>
      <c r="BC26" s="28" t="inlineStr">
        <is>
          <t>케이블 라벨</t>
        </is>
      </c>
    </row>
    <row r="27" ht="15" customHeight="1">
      <c r="B27" s="11" t="inlineStr">
        <is>
          <t>번호</t>
        </is>
      </c>
      <c r="C27" s="12" t="n"/>
      <c r="D27" s="11" t="inlineStr">
        <is>
          <t>면</t>
        </is>
      </c>
      <c r="E27" s="12" t="n"/>
      <c r="F27" s="13" t="inlineStr">
        <is>
          <t>포트명</t>
        </is>
      </c>
      <c r="G27" s="12" t="n"/>
      <c r="H27" s="12" t="n"/>
      <c r="I27" s="12" t="n"/>
      <c r="J27" s="12" t="n"/>
      <c r="K27" s="12" t="n"/>
      <c r="L27" s="13" t="inlineStr">
        <is>
          <t>용도</t>
        </is>
      </c>
      <c r="M27" s="12" t="n"/>
      <c r="N27" s="12" t="n"/>
      <c r="O27" s="12" t="n"/>
      <c r="P27" s="12" t="n"/>
      <c r="Q27" s="13" t="inlineStr">
        <is>
          <t>케이블 · 커넥터</t>
        </is>
      </c>
      <c r="R27" s="12" t="n"/>
      <c r="S27" s="12" t="n"/>
      <c r="T27" s="12" t="n"/>
      <c r="U27" s="12" t="n"/>
      <c r="V27" s="12" t="n"/>
      <c r="W27" s="12" t="n"/>
      <c r="X27" s="13" t="inlineStr">
        <is>
          <t>상대 장비</t>
        </is>
      </c>
      <c r="Y27" s="12" t="n"/>
      <c r="Z27" s="12" t="n"/>
      <c r="AA27" s="12" t="n"/>
      <c r="AB27" s="12" t="n"/>
      <c r="AC27" s="12" t="n"/>
      <c r="AD27" s="12" t="n"/>
      <c r="AE27" s="12" t="n"/>
      <c r="AF27" s="13" t="inlineStr">
        <is>
          <t>상대 위치</t>
        </is>
      </c>
      <c r="AG27" s="12" t="n"/>
      <c r="AH27" s="12" t="n"/>
      <c r="AI27" s="12" t="n"/>
      <c r="AJ27" s="12" t="n"/>
      <c r="AK27" s="12" t="n"/>
      <c r="AL27" s="13" t="inlineStr">
        <is>
          <t>상대 포트</t>
        </is>
      </c>
      <c r="AM27" s="12" t="n"/>
      <c r="AN27" s="12" t="n"/>
      <c r="AO27" s="12" t="n"/>
      <c r="AP27" s="12" t="n"/>
      <c r="AQ27" s="12" t="n"/>
      <c r="AR27" s="13" t="inlineStr">
        <is>
          <t>케이블 라벨</t>
        </is>
      </c>
      <c r="AS27" s="12" t="n"/>
      <c r="AT27" s="12" t="n"/>
      <c r="AU27" s="12" t="n"/>
      <c r="AV27" s="12" t="n"/>
      <c r="AW27" s="12" t="n"/>
      <c r="AX27" s="12" t="n"/>
      <c r="AY27" s="13" t="inlineStr">
        <is>
          <t>비고</t>
        </is>
      </c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</row>
    <row r="28" ht="13.5" customHeight="1">
      <c r="B28" s="65" t="n">
        <v>1</v>
      </c>
      <c r="C28" s="21" t="n"/>
      <c r="D28" s="66" t="inlineStr">
        <is>
          <t>후면</t>
        </is>
      </c>
      <c r="E28" s="21" t="n"/>
      <c r="F28" s="67" t="inlineStr">
        <is>
          <t>SPB-MGMT</t>
        </is>
      </c>
      <c r="G28" s="21" t="n"/>
      <c r="H28" s="21" t="n"/>
      <c r="I28" s="21" t="n"/>
      <c r="J28" s="21" t="n"/>
      <c r="K28" s="21" t="n"/>
      <c r="L28" s="67" t="inlineStr">
        <is>
          <t>관리</t>
        </is>
      </c>
      <c r="M28" s="21" t="n"/>
      <c r="N28" s="21" t="n"/>
      <c r="O28" s="21" t="n"/>
      <c r="P28" s="21" t="n"/>
      <c r="Q28" s="67" t="inlineStr">
        <is>
          <t>UTP Cat6 / RJ45</t>
        </is>
      </c>
      <c r="R28" s="21" t="n"/>
      <c r="S28" s="21" t="n"/>
      <c r="T28" s="21" t="n"/>
      <c r="U28" s="21" t="n"/>
      <c r="V28" s="21" t="n"/>
      <c r="W28" s="21" t="n"/>
      <c r="X28" s="67" t="inlineStr">
        <is>
          <t>MGMT-SW</t>
        </is>
      </c>
      <c r="Y28" s="21" t="n"/>
      <c r="Z28" s="21" t="n"/>
      <c r="AA28" s="21" t="n"/>
      <c r="AB28" s="21" t="n"/>
      <c r="AC28" s="21" t="n"/>
      <c r="AD28" s="21" t="n"/>
      <c r="AE28" s="21" t="n"/>
      <c r="AF28" s="67" t="inlineStr">
        <is>
          <t>R02 U41</t>
        </is>
      </c>
      <c r="AG28" s="21" t="n"/>
      <c r="AH28" s="21" t="n"/>
      <c r="AI28" s="21" t="n"/>
      <c r="AJ28" s="21" t="n"/>
      <c r="AK28" s="21" t="n"/>
      <c r="AL28" s="67" t="inlineStr">
        <is>
          <t>Gi1/0/7</t>
        </is>
      </c>
      <c r="AM28" s="21" t="n"/>
      <c r="AN28" s="21" t="n"/>
      <c r="AO28" s="21" t="n"/>
      <c r="AP28" s="21" t="n"/>
      <c r="AQ28" s="21" t="n"/>
      <c r="AR28" s="68" t="inlineStr">
        <is>
          <t>R02-D007</t>
        </is>
      </c>
      <c r="AS28" s="21" t="n"/>
      <c r="AT28" s="21" t="n"/>
      <c r="AU28" s="21" t="n"/>
      <c r="AV28" s="21" t="n"/>
      <c r="AW28" s="21" t="n"/>
      <c r="AX28" s="21" t="n"/>
      <c r="AY28" s="67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5" t="n">
        <v>2</v>
      </c>
      <c r="C29" s="21" t="n"/>
      <c r="D29" s="66" t="inlineStr">
        <is>
          <t>후면</t>
        </is>
      </c>
      <c r="E29" s="21" t="n"/>
      <c r="F29" s="67" t="inlineStr">
        <is>
          <t>SPB-ETH0</t>
        </is>
      </c>
      <c r="G29" s="21" t="n"/>
      <c r="H29" s="21" t="n"/>
      <c r="I29" s="21" t="n"/>
      <c r="J29" s="21" t="n"/>
      <c r="K29" s="21" t="n"/>
      <c r="L29" s="67" t="inlineStr">
        <is>
          <t>스토리지</t>
        </is>
      </c>
      <c r="M29" s="21" t="n"/>
      <c r="N29" s="21" t="n"/>
      <c r="O29" s="21" t="n"/>
      <c r="P29" s="21" t="n"/>
      <c r="Q29" s="67" t="inlineStr">
        <is>
          <t>DAC 25G 3m</t>
        </is>
      </c>
      <c r="R29" s="21" t="n"/>
      <c r="S29" s="21" t="n"/>
      <c r="T29" s="21" t="n"/>
      <c r="U29" s="21" t="n"/>
      <c r="V29" s="21" t="n"/>
      <c r="W29" s="21" t="n"/>
      <c r="X29" s="67" t="inlineStr">
        <is>
          <t>TOR-B</t>
        </is>
      </c>
      <c r="Y29" s="21" t="n"/>
      <c r="Z29" s="21" t="n"/>
      <c r="AA29" s="21" t="n"/>
      <c r="AB29" s="21" t="n"/>
      <c r="AC29" s="21" t="n"/>
      <c r="AD29" s="21" t="n"/>
      <c r="AE29" s="21" t="n"/>
      <c r="AF29" s="67" t="inlineStr">
        <is>
          <t>R02 U38</t>
        </is>
      </c>
      <c r="AG29" s="21" t="n"/>
      <c r="AH29" s="21" t="n"/>
      <c r="AI29" s="21" t="n"/>
      <c r="AJ29" s="21" t="n"/>
      <c r="AK29" s="21" t="n"/>
      <c r="AL29" s="67" t="inlineStr">
        <is>
          <t>Eth1/21</t>
        </is>
      </c>
      <c r="AM29" s="21" t="n"/>
      <c r="AN29" s="21" t="n"/>
      <c r="AO29" s="21" t="n"/>
      <c r="AP29" s="21" t="n"/>
      <c r="AQ29" s="21" t="n"/>
      <c r="AR29" s="68" t="inlineStr">
        <is>
          <t>R02-D028</t>
        </is>
      </c>
      <c r="AS29" s="21" t="n"/>
      <c r="AT29" s="21" t="n"/>
      <c r="AU29" s="21" t="n"/>
      <c r="AV29" s="21" t="n"/>
      <c r="AW29" s="21" t="n"/>
      <c r="AX29" s="21" t="n"/>
      <c r="AY29" s="67" t="inlineStr">
        <is>
          <t>iSCSI</t>
        </is>
      </c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5" t="n">
        <v>3</v>
      </c>
      <c r="C30" s="21" t="n"/>
      <c r="D30" s="66" t="inlineStr">
        <is>
          <t>후면</t>
        </is>
      </c>
      <c r="E30" s="21" t="n"/>
      <c r="F30" s="67" t="inlineStr">
        <is>
          <t>SPB-IO0-P0</t>
        </is>
      </c>
      <c r="G30" s="21" t="n"/>
      <c r="H30" s="21" t="n"/>
      <c r="I30" s="21" t="n"/>
      <c r="J30" s="21" t="n"/>
      <c r="K30" s="21" t="n"/>
      <c r="L30" s="67" t="inlineStr">
        <is>
          <t>스토리지</t>
        </is>
      </c>
      <c r="M30" s="21" t="n"/>
      <c r="N30" s="21" t="n"/>
      <c r="O30" s="21" t="n"/>
      <c r="P30" s="21" t="n"/>
      <c r="Q30" s="67" t="inlineStr">
        <is>
          <t>OM4 LC-LC</t>
        </is>
      </c>
      <c r="R30" s="21" t="n"/>
      <c r="S30" s="21" t="n"/>
      <c r="T30" s="21" t="n"/>
      <c r="U30" s="21" t="n"/>
      <c r="V30" s="21" t="n"/>
      <c r="W30" s="21" t="n"/>
      <c r="X30" s="67" t="inlineStr">
        <is>
          <t>SAN-A</t>
        </is>
      </c>
      <c r="Y30" s="21" t="n"/>
      <c r="Z30" s="21" t="n"/>
      <c r="AA30" s="21" t="n"/>
      <c r="AB30" s="21" t="n"/>
      <c r="AC30" s="21" t="n"/>
      <c r="AD30" s="21" t="n"/>
      <c r="AE30" s="21" t="n"/>
      <c r="AF30" s="67" t="inlineStr">
        <is>
          <t>R02 U36</t>
        </is>
      </c>
      <c r="AG30" s="21" t="n"/>
      <c r="AH30" s="21" t="n"/>
      <c r="AI30" s="21" t="n"/>
      <c r="AJ30" s="21" t="n"/>
      <c r="AK30" s="21" t="n"/>
      <c r="AL30" s="67" t="inlineStr">
        <is>
          <t>P5</t>
        </is>
      </c>
      <c r="AM30" s="21" t="n"/>
      <c r="AN30" s="21" t="n"/>
      <c r="AO30" s="21" t="n"/>
      <c r="AP30" s="21" t="n"/>
      <c r="AQ30" s="21" t="n"/>
      <c r="AR30" s="68" t="inlineStr">
        <is>
          <t>R02-D047</t>
        </is>
      </c>
      <c r="AS30" s="21" t="n"/>
      <c r="AT30" s="21" t="n"/>
      <c r="AU30" s="21" t="n"/>
      <c r="AV30" s="21" t="n"/>
      <c r="AW30" s="21" t="n"/>
      <c r="AX30" s="21" t="n"/>
      <c r="AY30" s="67" t="inlineStr">
        <is>
          <t>Fabric A</t>
        </is>
      </c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</row>
    <row r="31" ht="13.5" customHeight="1">
      <c r="B31" s="65" t="n">
        <v>4</v>
      </c>
      <c r="C31" s="21" t="n"/>
      <c r="D31" s="66" t="inlineStr">
        <is>
          <t>후면</t>
        </is>
      </c>
      <c r="E31" s="21" t="n"/>
      <c r="F31" s="67" t="inlineStr">
        <is>
          <t>SPB-IO0-P1</t>
        </is>
      </c>
      <c r="G31" s="21" t="n"/>
      <c r="H31" s="21" t="n"/>
      <c r="I31" s="21" t="n"/>
      <c r="J31" s="21" t="n"/>
      <c r="K31" s="21" t="n"/>
      <c r="L31" s="67" t="inlineStr">
        <is>
          <t>스토리지</t>
        </is>
      </c>
      <c r="M31" s="21" t="n"/>
      <c r="N31" s="21" t="n"/>
      <c r="O31" s="21" t="n"/>
      <c r="P31" s="21" t="n"/>
      <c r="Q31" s="67" t="inlineStr">
        <is>
          <t>OM4 LC-LC</t>
        </is>
      </c>
      <c r="R31" s="21" t="n"/>
      <c r="S31" s="21" t="n"/>
      <c r="T31" s="21" t="n"/>
      <c r="U31" s="21" t="n"/>
      <c r="V31" s="21" t="n"/>
      <c r="W31" s="21" t="n"/>
      <c r="X31" s="67" t="inlineStr">
        <is>
          <t>SAN-B</t>
        </is>
      </c>
      <c r="Y31" s="21" t="n"/>
      <c r="Z31" s="21" t="n"/>
      <c r="AA31" s="21" t="n"/>
      <c r="AB31" s="21" t="n"/>
      <c r="AC31" s="21" t="n"/>
      <c r="AD31" s="21" t="n"/>
      <c r="AE31" s="21" t="n"/>
      <c r="AF31" s="67" t="inlineStr">
        <is>
          <t>R02 U35</t>
        </is>
      </c>
      <c r="AG31" s="21" t="n"/>
      <c r="AH31" s="21" t="n"/>
      <c r="AI31" s="21" t="n"/>
      <c r="AJ31" s="21" t="n"/>
      <c r="AK31" s="21" t="n"/>
      <c r="AL31" s="67" t="inlineStr">
        <is>
          <t>P5</t>
        </is>
      </c>
      <c r="AM31" s="21" t="n"/>
      <c r="AN31" s="21" t="n"/>
      <c r="AO31" s="21" t="n"/>
      <c r="AP31" s="21" t="n"/>
      <c r="AQ31" s="21" t="n"/>
      <c r="AR31" s="68" t="inlineStr">
        <is>
          <t>R02-D049</t>
        </is>
      </c>
      <c r="AS31" s="21" t="n"/>
      <c r="AT31" s="21" t="n"/>
      <c r="AU31" s="21" t="n"/>
      <c r="AV31" s="21" t="n"/>
      <c r="AW31" s="21" t="n"/>
      <c r="AX31" s="21" t="n"/>
      <c r="AY31" s="67" t="inlineStr">
        <is>
          <t>Fabric B</t>
        </is>
      </c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</row>
    <row r="32" ht="13.5" customHeight="1">
      <c r="B32" s="65" t="n">
        <v>5</v>
      </c>
      <c r="C32" s="21" t="n"/>
      <c r="D32" s="66" t="inlineStr">
        <is>
          <t>후면</t>
        </is>
      </c>
      <c r="E32" s="21" t="n"/>
      <c r="F32" s="67" t="inlineStr">
        <is>
          <t>PSU B</t>
        </is>
      </c>
      <c r="G32" s="21" t="n"/>
      <c r="H32" s="21" t="n"/>
      <c r="I32" s="21" t="n"/>
      <c r="J32" s="21" t="n"/>
      <c r="K32" s="21" t="n"/>
      <c r="L32" s="67" t="inlineStr">
        <is>
          <t>전원</t>
        </is>
      </c>
      <c r="M32" s="21" t="n"/>
      <c r="N32" s="21" t="n"/>
      <c r="O32" s="21" t="n"/>
      <c r="P32" s="21" t="n"/>
      <c r="Q32" s="67" t="inlineStr">
        <is>
          <t>C13-C14 2m</t>
        </is>
      </c>
      <c r="R32" s="21" t="n"/>
      <c r="S32" s="21" t="n"/>
      <c r="T32" s="21" t="n"/>
      <c r="U32" s="21" t="n"/>
      <c r="V32" s="21" t="n"/>
      <c r="W32" s="21" t="n"/>
      <c r="X32" s="67" t="inlineStr">
        <is>
          <t>PDU-B</t>
        </is>
      </c>
      <c r="Y32" s="21" t="n"/>
      <c r="Z32" s="21" t="n"/>
      <c r="AA32" s="21" t="n"/>
      <c r="AB32" s="21" t="n"/>
      <c r="AC32" s="21" t="n"/>
      <c r="AD32" s="21" t="n"/>
      <c r="AE32" s="21" t="n"/>
      <c r="AF32" s="67" t="inlineStr">
        <is>
          <t>R02 후면 우</t>
        </is>
      </c>
      <c r="AG32" s="21" t="n"/>
      <c r="AH32" s="21" t="n"/>
      <c r="AI32" s="21" t="n"/>
      <c r="AJ32" s="21" t="n"/>
      <c r="AK32" s="21" t="n"/>
      <c r="AL32" s="67" t="inlineStr">
        <is>
          <t>C13-6</t>
        </is>
      </c>
      <c r="AM32" s="21" t="n"/>
      <c r="AN32" s="21" t="n"/>
      <c r="AO32" s="21" t="n"/>
      <c r="AP32" s="21" t="n"/>
      <c r="AQ32" s="21" t="n"/>
      <c r="AR32" s="68" t="inlineStr">
        <is>
          <t>R02-P012</t>
        </is>
      </c>
      <c r="AS32" s="21" t="n"/>
      <c r="AT32" s="21" t="n"/>
      <c r="AU32" s="21" t="n"/>
      <c r="AV32" s="21" t="n"/>
      <c r="AW32" s="21" t="n"/>
      <c r="AX32" s="21" t="n"/>
      <c r="AY32" s="67" t="inlineStr">
        <is>
          <t>B 계통</t>
        </is>
      </c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</row>
    <row r="33" ht="13.5" customHeight="1">
      <c r="B33" s="65" t="n">
        <v>6</v>
      </c>
      <c r="C33" s="21" t="n"/>
      <c r="D33" s="66" t="inlineStr">
        <is>
          <t>후면</t>
        </is>
      </c>
      <c r="E33" s="21" t="n"/>
      <c r="F33" s="67" t="inlineStr">
        <is>
          <t>SPA-MGMT</t>
        </is>
      </c>
      <c r="G33" s="21" t="n"/>
      <c r="H33" s="21" t="n"/>
      <c r="I33" s="21" t="n"/>
      <c r="J33" s="21" t="n"/>
      <c r="K33" s="21" t="n"/>
      <c r="L33" s="67" t="inlineStr">
        <is>
          <t>관리</t>
        </is>
      </c>
      <c r="M33" s="21" t="n"/>
      <c r="N33" s="21" t="n"/>
      <c r="O33" s="21" t="n"/>
      <c r="P33" s="21" t="n"/>
      <c r="Q33" s="67" t="inlineStr">
        <is>
          <t>UTP Cat6 / RJ45</t>
        </is>
      </c>
      <c r="R33" s="21" t="n"/>
      <c r="S33" s="21" t="n"/>
      <c r="T33" s="21" t="n"/>
      <c r="U33" s="21" t="n"/>
      <c r="V33" s="21" t="n"/>
      <c r="W33" s="21" t="n"/>
      <c r="X33" s="67" t="inlineStr">
        <is>
          <t>MGMT-SW</t>
        </is>
      </c>
      <c r="Y33" s="21" t="n"/>
      <c r="Z33" s="21" t="n"/>
      <c r="AA33" s="21" t="n"/>
      <c r="AB33" s="21" t="n"/>
      <c r="AC33" s="21" t="n"/>
      <c r="AD33" s="21" t="n"/>
      <c r="AE33" s="21" t="n"/>
      <c r="AF33" s="67" t="inlineStr">
        <is>
          <t>R02 U41</t>
        </is>
      </c>
      <c r="AG33" s="21" t="n"/>
      <c r="AH33" s="21" t="n"/>
      <c r="AI33" s="21" t="n"/>
      <c r="AJ33" s="21" t="n"/>
      <c r="AK33" s="21" t="n"/>
      <c r="AL33" s="67" t="inlineStr">
        <is>
          <t>Gi1/0/6</t>
        </is>
      </c>
      <c r="AM33" s="21" t="n"/>
      <c r="AN33" s="21" t="n"/>
      <c r="AO33" s="21" t="n"/>
      <c r="AP33" s="21" t="n"/>
      <c r="AQ33" s="21" t="n"/>
      <c r="AR33" s="68" t="inlineStr">
        <is>
          <t>R02-D006</t>
        </is>
      </c>
      <c r="AS33" s="21" t="n"/>
      <c r="AT33" s="21" t="n"/>
      <c r="AU33" s="21" t="n"/>
      <c r="AV33" s="21" t="n"/>
      <c r="AW33" s="21" t="n"/>
      <c r="AX33" s="21" t="n"/>
      <c r="AY33" s="67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</row>
    <row r="34" ht="13.5" customHeight="1">
      <c r="B34" s="65" t="n">
        <v>7</v>
      </c>
      <c r="C34" s="21" t="n"/>
      <c r="D34" s="66" t="inlineStr">
        <is>
          <t>후면</t>
        </is>
      </c>
      <c r="E34" s="21" t="n"/>
      <c r="F34" s="67" t="inlineStr">
        <is>
          <t>SPA-ETH0</t>
        </is>
      </c>
      <c r="G34" s="21" t="n"/>
      <c r="H34" s="21" t="n"/>
      <c r="I34" s="21" t="n"/>
      <c r="J34" s="21" t="n"/>
      <c r="K34" s="21" t="n"/>
      <c r="L34" s="67" t="inlineStr">
        <is>
          <t>스토리지</t>
        </is>
      </c>
      <c r="M34" s="21" t="n"/>
      <c r="N34" s="21" t="n"/>
      <c r="O34" s="21" t="n"/>
      <c r="P34" s="21" t="n"/>
      <c r="Q34" s="67" t="inlineStr">
        <is>
          <t>DAC 25G 3m</t>
        </is>
      </c>
      <c r="R34" s="21" t="n"/>
      <c r="S34" s="21" t="n"/>
      <c r="T34" s="21" t="n"/>
      <c r="U34" s="21" t="n"/>
      <c r="V34" s="21" t="n"/>
      <c r="W34" s="21" t="n"/>
      <c r="X34" s="67" t="inlineStr">
        <is>
          <t>TOR-A</t>
        </is>
      </c>
      <c r="Y34" s="21" t="n"/>
      <c r="Z34" s="21" t="n"/>
      <c r="AA34" s="21" t="n"/>
      <c r="AB34" s="21" t="n"/>
      <c r="AC34" s="21" t="n"/>
      <c r="AD34" s="21" t="n"/>
      <c r="AE34" s="21" t="n"/>
      <c r="AF34" s="67" t="inlineStr">
        <is>
          <t>R02 U39</t>
        </is>
      </c>
      <c r="AG34" s="21" t="n"/>
      <c r="AH34" s="21" t="n"/>
      <c r="AI34" s="21" t="n"/>
      <c r="AJ34" s="21" t="n"/>
      <c r="AK34" s="21" t="n"/>
      <c r="AL34" s="67" t="inlineStr">
        <is>
          <t>Eth1/21</t>
        </is>
      </c>
      <c r="AM34" s="21" t="n"/>
      <c r="AN34" s="21" t="n"/>
      <c r="AO34" s="21" t="n"/>
      <c r="AP34" s="21" t="n"/>
      <c r="AQ34" s="21" t="n"/>
      <c r="AR34" s="68" t="inlineStr">
        <is>
          <t>R02-D027</t>
        </is>
      </c>
      <c r="AS34" s="21" t="n"/>
      <c r="AT34" s="21" t="n"/>
      <c r="AU34" s="21" t="n"/>
      <c r="AV34" s="21" t="n"/>
      <c r="AW34" s="21" t="n"/>
      <c r="AX34" s="21" t="n"/>
      <c r="AY34" s="67" t="inlineStr">
        <is>
          <t>iSCSI</t>
        </is>
      </c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</row>
    <row r="35" ht="13.5" customHeight="1">
      <c r="B35" s="65" t="n">
        <v>8</v>
      </c>
      <c r="C35" s="21" t="n"/>
      <c r="D35" s="66" t="inlineStr">
        <is>
          <t>후면</t>
        </is>
      </c>
      <c r="E35" s="21" t="n"/>
      <c r="F35" s="67" t="inlineStr">
        <is>
          <t>SPA-IO0-P0</t>
        </is>
      </c>
      <c r="G35" s="21" t="n"/>
      <c r="H35" s="21" t="n"/>
      <c r="I35" s="21" t="n"/>
      <c r="J35" s="21" t="n"/>
      <c r="K35" s="21" t="n"/>
      <c r="L35" s="67" t="inlineStr">
        <is>
          <t>스토리지</t>
        </is>
      </c>
      <c r="M35" s="21" t="n"/>
      <c r="N35" s="21" t="n"/>
      <c r="O35" s="21" t="n"/>
      <c r="P35" s="21" t="n"/>
      <c r="Q35" s="67" t="inlineStr">
        <is>
          <t>OM4 LC-LC</t>
        </is>
      </c>
      <c r="R35" s="21" t="n"/>
      <c r="S35" s="21" t="n"/>
      <c r="T35" s="21" t="n"/>
      <c r="U35" s="21" t="n"/>
      <c r="V35" s="21" t="n"/>
      <c r="W35" s="21" t="n"/>
      <c r="X35" s="67" t="inlineStr">
        <is>
          <t>SAN-A</t>
        </is>
      </c>
      <c r="Y35" s="21" t="n"/>
      <c r="Z35" s="21" t="n"/>
      <c r="AA35" s="21" t="n"/>
      <c r="AB35" s="21" t="n"/>
      <c r="AC35" s="21" t="n"/>
      <c r="AD35" s="21" t="n"/>
      <c r="AE35" s="21" t="n"/>
      <c r="AF35" s="67" t="inlineStr">
        <is>
          <t>R02 U36</t>
        </is>
      </c>
      <c r="AG35" s="21" t="n"/>
      <c r="AH35" s="21" t="n"/>
      <c r="AI35" s="21" t="n"/>
      <c r="AJ35" s="21" t="n"/>
      <c r="AK35" s="21" t="n"/>
      <c r="AL35" s="67" t="inlineStr">
        <is>
          <t>P4</t>
        </is>
      </c>
      <c r="AM35" s="21" t="n"/>
      <c r="AN35" s="21" t="n"/>
      <c r="AO35" s="21" t="n"/>
      <c r="AP35" s="21" t="n"/>
      <c r="AQ35" s="21" t="n"/>
      <c r="AR35" s="68" t="inlineStr">
        <is>
          <t>R02-D046</t>
        </is>
      </c>
      <c r="AS35" s="21" t="n"/>
      <c r="AT35" s="21" t="n"/>
      <c r="AU35" s="21" t="n"/>
      <c r="AV35" s="21" t="n"/>
      <c r="AW35" s="21" t="n"/>
      <c r="AX35" s="21" t="n"/>
      <c r="AY35" s="67" t="inlineStr">
        <is>
          <t>Fabric A</t>
        </is>
      </c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</row>
    <row r="36" ht="13.5" customHeight="1">
      <c r="B36" s="65" t="n">
        <v>9</v>
      </c>
      <c r="C36" s="21" t="n"/>
      <c r="D36" s="66" t="inlineStr">
        <is>
          <t>후면</t>
        </is>
      </c>
      <c r="E36" s="21" t="n"/>
      <c r="F36" s="67" t="inlineStr">
        <is>
          <t>SPA-IO0-P1</t>
        </is>
      </c>
      <c r="G36" s="21" t="n"/>
      <c r="H36" s="21" t="n"/>
      <c r="I36" s="21" t="n"/>
      <c r="J36" s="21" t="n"/>
      <c r="K36" s="21" t="n"/>
      <c r="L36" s="67" t="inlineStr">
        <is>
          <t>스토리지</t>
        </is>
      </c>
      <c r="M36" s="21" t="n"/>
      <c r="N36" s="21" t="n"/>
      <c r="O36" s="21" t="n"/>
      <c r="P36" s="21" t="n"/>
      <c r="Q36" s="67" t="inlineStr">
        <is>
          <t>OM4 LC-LC</t>
        </is>
      </c>
      <c r="R36" s="21" t="n"/>
      <c r="S36" s="21" t="n"/>
      <c r="T36" s="21" t="n"/>
      <c r="U36" s="21" t="n"/>
      <c r="V36" s="21" t="n"/>
      <c r="W36" s="21" t="n"/>
      <c r="X36" s="67" t="inlineStr">
        <is>
          <t>SAN-B</t>
        </is>
      </c>
      <c r="Y36" s="21" t="n"/>
      <c r="Z36" s="21" t="n"/>
      <c r="AA36" s="21" t="n"/>
      <c r="AB36" s="21" t="n"/>
      <c r="AC36" s="21" t="n"/>
      <c r="AD36" s="21" t="n"/>
      <c r="AE36" s="21" t="n"/>
      <c r="AF36" s="67" t="inlineStr">
        <is>
          <t>R02 U35</t>
        </is>
      </c>
      <c r="AG36" s="21" t="n"/>
      <c r="AH36" s="21" t="n"/>
      <c r="AI36" s="21" t="n"/>
      <c r="AJ36" s="21" t="n"/>
      <c r="AK36" s="21" t="n"/>
      <c r="AL36" s="67" t="inlineStr">
        <is>
          <t>P4</t>
        </is>
      </c>
      <c r="AM36" s="21" t="n"/>
      <c r="AN36" s="21" t="n"/>
      <c r="AO36" s="21" t="n"/>
      <c r="AP36" s="21" t="n"/>
      <c r="AQ36" s="21" t="n"/>
      <c r="AR36" s="68" t="inlineStr">
        <is>
          <t>R02-D048</t>
        </is>
      </c>
      <c r="AS36" s="21" t="n"/>
      <c r="AT36" s="21" t="n"/>
      <c r="AU36" s="21" t="n"/>
      <c r="AV36" s="21" t="n"/>
      <c r="AW36" s="21" t="n"/>
      <c r="AX36" s="21" t="n"/>
      <c r="AY36" s="67" t="inlineStr">
        <is>
          <t>Fabric B</t>
        </is>
      </c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</row>
    <row r="37" ht="13.5" customHeight="1">
      <c r="B37" s="65" t="n">
        <v>10</v>
      </c>
      <c r="C37" s="21" t="n"/>
      <c r="D37" s="66" t="inlineStr">
        <is>
          <t>후면</t>
        </is>
      </c>
      <c r="E37" s="21" t="n"/>
      <c r="F37" s="67" t="inlineStr">
        <is>
          <t>PSU A</t>
        </is>
      </c>
      <c r="G37" s="21" t="n"/>
      <c r="H37" s="21" t="n"/>
      <c r="I37" s="21" t="n"/>
      <c r="J37" s="21" t="n"/>
      <c r="K37" s="21" t="n"/>
      <c r="L37" s="67" t="inlineStr">
        <is>
          <t>전원</t>
        </is>
      </c>
      <c r="M37" s="21" t="n"/>
      <c r="N37" s="21" t="n"/>
      <c r="O37" s="21" t="n"/>
      <c r="P37" s="21" t="n"/>
      <c r="Q37" s="67" t="inlineStr">
        <is>
          <t>C13-C14 2m</t>
        </is>
      </c>
      <c r="R37" s="21" t="n"/>
      <c r="S37" s="21" t="n"/>
      <c r="T37" s="21" t="n"/>
      <c r="U37" s="21" t="n"/>
      <c r="V37" s="21" t="n"/>
      <c r="W37" s="21" t="n"/>
      <c r="X37" s="67" t="inlineStr">
        <is>
          <t>PDU-A</t>
        </is>
      </c>
      <c r="Y37" s="21" t="n"/>
      <c r="Z37" s="21" t="n"/>
      <c r="AA37" s="21" t="n"/>
      <c r="AB37" s="21" t="n"/>
      <c r="AC37" s="21" t="n"/>
      <c r="AD37" s="21" t="n"/>
      <c r="AE37" s="21" t="n"/>
      <c r="AF37" s="67" t="inlineStr">
        <is>
          <t>R02 후면 좌</t>
        </is>
      </c>
      <c r="AG37" s="21" t="n"/>
      <c r="AH37" s="21" t="n"/>
      <c r="AI37" s="21" t="n"/>
      <c r="AJ37" s="21" t="n"/>
      <c r="AK37" s="21" t="n"/>
      <c r="AL37" s="67" t="inlineStr">
        <is>
          <t>C13-6</t>
        </is>
      </c>
      <c r="AM37" s="21" t="n"/>
      <c r="AN37" s="21" t="n"/>
      <c r="AO37" s="21" t="n"/>
      <c r="AP37" s="21" t="n"/>
      <c r="AQ37" s="21" t="n"/>
      <c r="AR37" s="68" t="inlineStr">
        <is>
          <t>R02-P011</t>
        </is>
      </c>
      <c r="AS37" s="21" t="n"/>
      <c r="AT37" s="21" t="n"/>
      <c r="AU37" s="21" t="n"/>
      <c r="AV37" s="21" t="n"/>
      <c r="AW37" s="21" t="n"/>
      <c r="AX37" s="21" t="n"/>
      <c r="AY37" s="67" t="inlineStr">
        <is>
          <t>A 계통</t>
        </is>
      </c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</row>
    <row r="38" ht="13.5" customHeight="1">
      <c r="B38" s="65" t="n"/>
      <c r="C38" s="21" t="n"/>
      <c r="D38" s="66" t="n"/>
      <c r="E38" s="21" t="n"/>
      <c r="F38" s="67" t="n"/>
      <c r="G38" s="21" t="n"/>
      <c r="H38" s="21" t="n"/>
      <c r="I38" s="21" t="n"/>
      <c r="J38" s="21" t="n"/>
      <c r="K38" s="21" t="n"/>
      <c r="L38" s="67" t="n"/>
      <c r="M38" s="21" t="n"/>
      <c r="N38" s="21" t="n"/>
      <c r="O38" s="21" t="n"/>
      <c r="P38" s="21" t="n"/>
      <c r="Q38" s="67" t="n"/>
      <c r="R38" s="21" t="n"/>
      <c r="S38" s="21" t="n"/>
      <c r="T38" s="21" t="n"/>
      <c r="U38" s="21" t="n"/>
      <c r="V38" s="21" t="n"/>
      <c r="W38" s="21" t="n"/>
      <c r="X38" s="67" t="n"/>
      <c r="Y38" s="21" t="n"/>
      <c r="Z38" s="21" t="n"/>
      <c r="AA38" s="21" t="n"/>
      <c r="AB38" s="21" t="n"/>
      <c r="AC38" s="21" t="n"/>
      <c r="AD38" s="21" t="n"/>
      <c r="AE38" s="21" t="n"/>
      <c r="AF38" s="67" t="n"/>
      <c r="AG38" s="21" t="n"/>
      <c r="AH38" s="21" t="n"/>
      <c r="AI38" s="21" t="n"/>
      <c r="AJ38" s="21" t="n"/>
      <c r="AK38" s="21" t="n"/>
      <c r="AL38" s="67" t="n"/>
      <c r="AM38" s="21" t="n"/>
      <c r="AN38" s="21" t="n"/>
      <c r="AO38" s="21" t="n"/>
      <c r="AP38" s="21" t="n"/>
      <c r="AQ38" s="21" t="n"/>
      <c r="AR38" s="68" t="n"/>
      <c r="AS38" s="21" t="n"/>
      <c r="AT38" s="21" t="n"/>
      <c r="AU38" s="21" t="n"/>
      <c r="AV38" s="21" t="n"/>
      <c r="AW38" s="21" t="n"/>
      <c r="AX38" s="21" t="n"/>
      <c r="AY38" s="67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</row>
    <row r="39" ht="13.5" customHeight="1">
      <c r="B39" s="65" t="n"/>
      <c r="C39" s="21" t="n"/>
      <c r="D39" s="66" t="n"/>
      <c r="E39" s="21" t="n"/>
      <c r="F39" s="67" t="n"/>
      <c r="G39" s="21" t="n"/>
      <c r="H39" s="21" t="n"/>
      <c r="I39" s="21" t="n"/>
      <c r="J39" s="21" t="n"/>
      <c r="K39" s="21" t="n"/>
      <c r="L39" s="67" t="n"/>
      <c r="M39" s="21" t="n"/>
      <c r="N39" s="21" t="n"/>
      <c r="O39" s="21" t="n"/>
      <c r="P39" s="21" t="n"/>
      <c r="Q39" s="67" t="n"/>
      <c r="R39" s="21" t="n"/>
      <c r="S39" s="21" t="n"/>
      <c r="T39" s="21" t="n"/>
      <c r="U39" s="21" t="n"/>
      <c r="V39" s="21" t="n"/>
      <c r="W39" s="21" t="n"/>
      <c r="X39" s="67" t="n"/>
      <c r="Y39" s="21" t="n"/>
      <c r="Z39" s="21" t="n"/>
      <c r="AA39" s="21" t="n"/>
      <c r="AB39" s="21" t="n"/>
      <c r="AC39" s="21" t="n"/>
      <c r="AD39" s="21" t="n"/>
      <c r="AE39" s="21" t="n"/>
      <c r="AF39" s="67" t="n"/>
      <c r="AG39" s="21" t="n"/>
      <c r="AH39" s="21" t="n"/>
      <c r="AI39" s="21" t="n"/>
      <c r="AJ39" s="21" t="n"/>
      <c r="AK39" s="21" t="n"/>
      <c r="AL39" s="67" t="n"/>
      <c r="AM39" s="21" t="n"/>
      <c r="AN39" s="21" t="n"/>
      <c r="AO39" s="21" t="n"/>
      <c r="AP39" s="21" t="n"/>
      <c r="AQ39" s="21" t="n"/>
      <c r="AR39" s="68" t="n"/>
      <c r="AS39" s="21" t="n"/>
      <c r="AT39" s="21" t="n"/>
      <c r="AU39" s="21" t="n"/>
      <c r="AV39" s="21" t="n"/>
      <c r="AW39" s="21" t="n"/>
      <c r="AX39" s="21" t="n"/>
      <c r="AY39" s="67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</row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</sheetData>
  <mergeCells count="212">
    <mergeCell ref="AY29:BK29"/>
    <mergeCell ref="Q21:R21"/>
    <mergeCell ref="Q27:W27"/>
    <mergeCell ref="AL32:AQ32"/>
    <mergeCell ref="AI6:AJ11"/>
    <mergeCell ref="BF16:BG16"/>
    <mergeCell ref="F32:K32"/>
    <mergeCell ref="BH16:BI16"/>
    <mergeCell ref="X39:AE39"/>
    <mergeCell ref="F35:K35"/>
    <mergeCell ref="B31:C31"/>
    <mergeCell ref="D36:E36"/>
    <mergeCell ref="D31:E31"/>
    <mergeCell ref="AY31:BK31"/>
    <mergeCell ref="E6:F11"/>
    <mergeCell ref="BH18:BI18"/>
    <mergeCell ref="G6:H11"/>
    <mergeCell ref="Q6:R11"/>
    <mergeCell ref="L33:P33"/>
    <mergeCell ref="S6:T11"/>
    <mergeCell ref="F27:K27"/>
    <mergeCell ref="AL33:AQ33"/>
    <mergeCell ref="AK6:AL11"/>
    <mergeCell ref="BB20:BC20"/>
    <mergeCell ref="AN22:AO22"/>
    <mergeCell ref="Q37:W37"/>
    <mergeCell ref="AM21:AO21"/>
    <mergeCell ref="Z21:AA21"/>
    <mergeCell ref="L35:P35"/>
    <mergeCell ref="AL35:AQ35"/>
    <mergeCell ref="AR27:AX27"/>
    <mergeCell ref="B38:C38"/>
    <mergeCell ref="AO6:AP11"/>
    <mergeCell ref="AQ6:AR11"/>
    <mergeCell ref="X33:AE33"/>
    <mergeCell ref="Q39:W39"/>
    <mergeCell ref="AI17:AK17"/>
    <mergeCell ref="AF36:AK36"/>
    <mergeCell ref="Q29:W29"/>
    <mergeCell ref="Q38:W38"/>
    <mergeCell ref="F29:K29"/>
    <mergeCell ref="AF34:AK34"/>
    <mergeCell ref="X35:AE35"/>
    <mergeCell ref="Q17:R17"/>
    <mergeCell ref="B33:C33"/>
    <mergeCell ref="AR28:AX28"/>
    <mergeCell ref="D33:E33"/>
    <mergeCell ref="BD21:BE21"/>
    <mergeCell ref="Q31:W31"/>
    <mergeCell ref="AL36:AQ36"/>
    <mergeCell ref="BF21:BG21"/>
    <mergeCell ref="B32:C32"/>
    <mergeCell ref="B35:C35"/>
    <mergeCell ref="AR30:AX30"/>
    <mergeCell ref="X27:AE27"/>
    <mergeCell ref="D35:E35"/>
    <mergeCell ref="AY35:BK35"/>
    <mergeCell ref="X36:AE36"/>
    <mergeCell ref="BB16:BC16"/>
    <mergeCell ref="D34:E34"/>
    <mergeCell ref="AL28:AQ28"/>
    <mergeCell ref="L32:P32"/>
    <mergeCell ref="AL37:AQ37"/>
    <mergeCell ref="B27:C27"/>
    <mergeCell ref="B4:B13"/>
    <mergeCell ref="AM20:AO20"/>
    <mergeCell ref="AY30:BK30"/>
    <mergeCell ref="F38:K38"/>
    <mergeCell ref="M6:N11"/>
    <mergeCell ref="AR32:AX32"/>
    <mergeCell ref="BD17:BE17"/>
    <mergeCell ref="Y6:Z11"/>
    <mergeCell ref="AF16:AG16"/>
    <mergeCell ref="X37:AE37"/>
    <mergeCell ref="AF32:AK32"/>
    <mergeCell ref="AI21:AK21"/>
    <mergeCell ref="AF35:AK35"/>
    <mergeCell ref="Q28:W28"/>
    <mergeCell ref="F37:K37"/>
    <mergeCell ref="BH17:BI17"/>
    <mergeCell ref="AF38:AK38"/>
    <mergeCell ref="W16:X16"/>
    <mergeCell ref="AC6:AD11"/>
    <mergeCell ref="AM6:AN11"/>
    <mergeCell ref="B29:C29"/>
    <mergeCell ref="AE6:AF11"/>
    <mergeCell ref="AY32:BK32"/>
    <mergeCell ref="BD16:BE16"/>
    <mergeCell ref="AF20:AG20"/>
    <mergeCell ref="B37:C37"/>
    <mergeCell ref="AY6:AZ11"/>
    <mergeCell ref="D37:E37"/>
    <mergeCell ref="AR37:AX37"/>
    <mergeCell ref="X38:AE38"/>
    <mergeCell ref="BH19:BI19"/>
    <mergeCell ref="AF27:AK27"/>
    <mergeCell ref="AY38:BK38"/>
    <mergeCell ref="AF37:AK37"/>
    <mergeCell ref="D39:E39"/>
    <mergeCell ref="L34:P34"/>
    <mergeCell ref="AL34:AQ34"/>
    <mergeCell ref="F34:K34"/>
    <mergeCell ref="W17:X17"/>
    <mergeCell ref="AF33:AK33"/>
    <mergeCell ref="BB21:BC21"/>
    <mergeCell ref="D29:E29"/>
    <mergeCell ref="O6:P11"/>
    <mergeCell ref="AG6:AH11"/>
    <mergeCell ref="AL27:AQ27"/>
    <mergeCell ref="D38:E38"/>
    <mergeCell ref="L36:P36"/>
    <mergeCell ref="AR34:AX34"/>
    <mergeCell ref="F30:K30"/>
    <mergeCell ref="AC17:AD17"/>
    <mergeCell ref="F33:K33"/>
    <mergeCell ref="AR36:AX36"/>
    <mergeCell ref="L28:P28"/>
    <mergeCell ref="L37:P37"/>
    <mergeCell ref="AI20:AK20"/>
    <mergeCell ref="AR29:AX29"/>
    <mergeCell ref="AF30:AK30"/>
    <mergeCell ref="AY34:BK34"/>
    <mergeCell ref="Q32:W32"/>
    <mergeCell ref="W20:X20"/>
    <mergeCell ref="Z16:AA16"/>
    <mergeCell ref="F28:K28"/>
    <mergeCell ref="Q20:R20"/>
    <mergeCell ref="D27:E27"/>
    <mergeCell ref="AR31:AX31"/>
    <mergeCell ref="AY36:BK36"/>
    <mergeCell ref="X34:AE34"/>
    <mergeCell ref="X28:AE28"/>
    <mergeCell ref="AL39:AQ39"/>
    <mergeCell ref="AF31:AK31"/>
    <mergeCell ref="AL29:AQ29"/>
    <mergeCell ref="Q33:W33"/>
    <mergeCell ref="AL38:AQ38"/>
    <mergeCell ref="Z17:AA17"/>
    <mergeCell ref="X30:AE30"/>
    <mergeCell ref="W21:X21"/>
    <mergeCell ref="B34:C34"/>
    <mergeCell ref="B28:C28"/>
    <mergeCell ref="D28:E28"/>
    <mergeCell ref="X29:AE29"/>
    <mergeCell ref="AL31:AQ31"/>
    <mergeCell ref="T17:U17"/>
    <mergeCell ref="AF17:AG17"/>
    <mergeCell ref="B30:C30"/>
    <mergeCell ref="I6:J11"/>
    <mergeCell ref="Z20:AA20"/>
    <mergeCell ref="AC21:AD21"/>
    <mergeCell ref="K6:L11"/>
    <mergeCell ref="D30:E30"/>
    <mergeCell ref="BB17:BC17"/>
    <mergeCell ref="U6:V11"/>
    <mergeCell ref="W6:X11"/>
    <mergeCell ref="BD20:BE20"/>
    <mergeCell ref="Q34:W34"/>
    <mergeCell ref="BF20:BG20"/>
    <mergeCell ref="B15:B24"/>
    <mergeCell ref="L27:P27"/>
    <mergeCell ref="AY28:BK28"/>
    <mergeCell ref="Q16:R16"/>
    <mergeCell ref="AR33:AX33"/>
    <mergeCell ref="BF17:BG17"/>
    <mergeCell ref="Q36:W36"/>
    <mergeCell ref="AA6:AB11"/>
    <mergeCell ref="BH20:BI20"/>
    <mergeCell ref="AC16:AD16"/>
    <mergeCell ref="AS6:AT11"/>
    <mergeCell ref="Q30:W30"/>
    <mergeCell ref="F36:K36"/>
    <mergeCell ref="AU6:AV11"/>
    <mergeCell ref="T20:U20"/>
    <mergeCell ref="AW6:AX11"/>
    <mergeCell ref="AR35:AX35"/>
    <mergeCell ref="X32:AE32"/>
    <mergeCell ref="BH22:BI22"/>
    <mergeCell ref="AR38:AX38"/>
    <mergeCell ref="AI16:AK16"/>
    <mergeCell ref="B39:C39"/>
    <mergeCell ref="BA6:BB11"/>
    <mergeCell ref="BH21:BI21"/>
    <mergeCell ref="F31:K31"/>
    <mergeCell ref="AY26:BB26"/>
    <mergeCell ref="D32:E32"/>
    <mergeCell ref="AY27:BK27"/>
    <mergeCell ref="AM16:AO16"/>
    <mergeCell ref="L30:P30"/>
    <mergeCell ref="AY37:BK37"/>
    <mergeCell ref="L39:P39"/>
    <mergeCell ref="T21:U21"/>
    <mergeCell ref="F39:K39"/>
    <mergeCell ref="BH23:BI23"/>
    <mergeCell ref="AY33:BK33"/>
    <mergeCell ref="AF21:AG21"/>
    <mergeCell ref="AC20:AD20"/>
    <mergeCell ref="L29:P29"/>
    <mergeCell ref="L38:P38"/>
    <mergeCell ref="AF28:AK28"/>
    <mergeCell ref="AR39:AX39"/>
    <mergeCell ref="AM17:AO17"/>
    <mergeCell ref="AN18:AO18"/>
    <mergeCell ref="L31:P31"/>
    <mergeCell ref="AL30:AQ30"/>
    <mergeCell ref="AF39:AK39"/>
    <mergeCell ref="T16:U16"/>
    <mergeCell ref="Q35:W35"/>
    <mergeCell ref="B36:C36"/>
    <mergeCell ref="AY39:BK39"/>
    <mergeCell ref="X31:AE31"/>
    <mergeCell ref="AF29:AK29"/>
  </mergeCells>
  <conditionalFormatting sqref="B28:C39">
    <cfRule type="expression" priority="1" dxfId="13" stopIfTrue="1">
      <formula>AND(ISNUMBER($B28),SUMPRODUCT(($C$4:$BK$25=$B28)*($C$4:$BK$25&lt;&gt;""))&lt;&gt;1)</formula>
    </cfRule>
    <cfRule type="expression" priority="2" dxfId="13" stopIfTrue="1">
      <formula>AND(ISNUMBER($B28),COUNTIF($B$28:$B$39,$B28)&gt;1)</formula>
    </cfRule>
    <cfRule type="expression" priority="3" dxfId="14" stopIfTrue="1">
      <formula>$L28="서비스"</formula>
    </cfRule>
    <cfRule type="expression" priority="4" dxfId="15" stopIfTrue="1">
      <formula>$L28="관리"</formula>
    </cfRule>
    <cfRule type="expression" priority="5" dxfId="16" stopIfTrue="1">
      <formula>$L28="백업"</formula>
    </cfRule>
    <cfRule type="expression" priority="6" dxfId="17" stopIfTrue="1">
      <formula>$L28="스토리지"</formula>
    </cfRule>
    <cfRule type="expression" priority="7" dxfId="18" stopIfTrue="1">
      <formula>$L28="인터커넥트"</formula>
    </cfRule>
    <cfRule type="expression" priority="8" dxfId="19" stopIfTrue="1">
      <formula>$L28="콘솔"</formula>
    </cfRule>
    <cfRule type="expression" priority="9" dxfId="20" stopIfTrue="1">
      <formula>$L28="전원"</formula>
    </cfRule>
  </conditionalFormatting>
  <dataValidations count="2">
    <dataValidation sqref="L28:L39" showDropDown="0" showInputMessage="0" showErrorMessage="0" allowBlank="1" type="list">
      <formula1>"서비스,관리,백업,스토리지,인터커넥트,콘솔,전원,기타"</formula1>
    </dataValidation>
    <dataValidation sqref="D28:D39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9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SRV-01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HPE ProLiant DL380 Gen10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U20–21</t>
        </is>
      </c>
      <c r="Z2" s="5" t="inlineStr">
        <is>
          <t>구분</t>
        </is>
      </c>
      <c r="AB2" s="6" t="inlineStr">
        <is>
          <t>서버</t>
        </is>
      </c>
      <c r="AH2" s="5" t="inlineStr">
        <is>
          <t>시리얼</t>
        </is>
      </c>
      <c r="AK2" s="6" t="inlineStr">
        <is>
          <t>SGH0123ABC</t>
        </is>
      </c>
      <c r="AS2" s="5" t="inlineStr">
        <is>
          <t>관리 IP</t>
        </is>
      </c>
      <c r="AV2" s="6" t="inlineStr">
        <is>
          <t>10.10.1.21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D5" s="45" t="inlineStr">
        <is>
          <t>BOX 1</t>
        </is>
      </c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7" t="n"/>
      <c r="W5" s="45" t="inlineStr">
        <is>
          <t>BOX 2</t>
        </is>
      </c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7" t="n"/>
      <c r="AP5" s="45" t="inlineStr">
        <is>
          <t>BOX 3</t>
        </is>
      </c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6" t="n"/>
      <c r="BA5" s="46" t="n"/>
      <c r="BB5" s="46" t="n"/>
      <c r="BC5" s="46" t="n"/>
      <c r="BD5" s="46" t="n"/>
      <c r="BE5" s="46" t="n"/>
      <c r="BF5" s="46" t="n"/>
      <c r="BG5" s="47" t="n"/>
      <c r="BI5" s="90" t="inlineStr">
        <is>
          <t>I/O</t>
        </is>
      </c>
      <c r="BJ5" s="47" t="n"/>
      <c r="BK5" s="17" t="n"/>
    </row>
    <row r="6" ht="12" customHeight="1">
      <c r="C6" s="18" t="n"/>
      <c r="D6" s="48" t="n"/>
      <c r="E6" s="105" t="inlineStr">
        <is>
          <t>1</t>
        </is>
      </c>
      <c r="F6" s="106" t="n"/>
      <c r="G6" s="105" t="inlineStr">
        <is>
          <t>2</t>
        </is>
      </c>
      <c r="H6" s="106" t="n"/>
      <c r="I6" s="105" t="inlineStr">
        <is>
          <t>3</t>
        </is>
      </c>
      <c r="J6" s="106" t="n"/>
      <c r="K6" s="105" t="inlineStr">
        <is>
          <t>4</t>
        </is>
      </c>
      <c r="L6" s="106" t="n"/>
      <c r="M6" s="105" t="inlineStr">
        <is>
          <t>5</t>
        </is>
      </c>
      <c r="N6" s="106" t="n"/>
      <c r="O6" s="105" t="inlineStr">
        <is>
          <t>6</t>
        </is>
      </c>
      <c r="P6" s="106" t="n"/>
      <c r="Q6" s="105" t="inlineStr">
        <is>
          <t>7</t>
        </is>
      </c>
      <c r="R6" s="106" t="n"/>
      <c r="S6" s="105" t="inlineStr">
        <is>
          <t>8</t>
        </is>
      </c>
      <c r="T6" s="106" t="n"/>
      <c r="U6" s="50" t="n"/>
      <c r="W6" s="48" t="n"/>
      <c r="X6" s="105" t="inlineStr">
        <is>
          <t>9</t>
        </is>
      </c>
      <c r="Y6" s="106" t="n"/>
      <c r="Z6" s="105" t="inlineStr">
        <is>
          <t>10</t>
        </is>
      </c>
      <c r="AA6" s="106" t="n"/>
      <c r="AB6" s="105" t="inlineStr">
        <is>
          <t>11</t>
        </is>
      </c>
      <c r="AC6" s="106" t="n"/>
      <c r="AD6" s="105" t="inlineStr">
        <is>
          <t>12</t>
        </is>
      </c>
      <c r="AE6" s="106" t="n"/>
      <c r="AF6" s="107" t="inlineStr">
        <is>
          <t>13</t>
        </is>
      </c>
      <c r="AG6" s="106" t="n"/>
      <c r="AH6" s="107" t="inlineStr">
        <is>
          <t>14</t>
        </is>
      </c>
      <c r="AI6" s="106" t="n"/>
      <c r="AJ6" s="107" t="inlineStr">
        <is>
          <t>15</t>
        </is>
      </c>
      <c r="AK6" s="106" t="n"/>
      <c r="AL6" s="107" t="inlineStr">
        <is>
          <t>16</t>
        </is>
      </c>
      <c r="AM6" s="106" t="n"/>
      <c r="AN6" s="50" t="n"/>
      <c r="AP6" s="48" t="n"/>
      <c r="AQ6" s="107" t="inlineStr">
        <is>
          <t>17</t>
        </is>
      </c>
      <c r="AR6" s="106" t="n"/>
      <c r="AS6" s="107" t="inlineStr">
        <is>
          <t>18</t>
        </is>
      </c>
      <c r="AT6" s="106" t="n"/>
      <c r="AU6" s="107" t="inlineStr">
        <is>
          <t>19</t>
        </is>
      </c>
      <c r="AV6" s="106" t="n"/>
      <c r="AW6" s="107" t="inlineStr">
        <is>
          <t>20</t>
        </is>
      </c>
      <c r="AX6" s="106" t="n"/>
      <c r="AY6" s="107" t="inlineStr">
        <is>
          <t>21</t>
        </is>
      </c>
      <c r="AZ6" s="106" t="n"/>
      <c r="BA6" s="107" t="inlineStr">
        <is>
          <t>22</t>
        </is>
      </c>
      <c r="BB6" s="106" t="n"/>
      <c r="BC6" s="107" t="inlineStr">
        <is>
          <t>23</t>
        </is>
      </c>
      <c r="BD6" s="106" t="n"/>
      <c r="BE6" s="107" t="inlineStr">
        <is>
          <t>24</t>
        </is>
      </c>
      <c r="BF6" s="106" t="n"/>
      <c r="BG6" s="50" t="n"/>
      <c r="BI6" s="48" t="n"/>
      <c r="BJ6" s="50" t="n"/>
      <c r="BK6" s="17" t="n"/>
    </row>
    <row r="7" ht="12" customHeight="1">
      <c r="C7" s="18" t="n"/>
      <c r="D7" s="48" t="n"/>
      <c r="E7" s="108" t="n"/>
      <c r="F7" s="109" t="n"/>
      <c r="G7" s="108" t="n"/>
      <c r="H7" s="109" t="n"/>
      <c r="I7" s="108" t="n"/>
      <c r="J7" s="109" t="n"/>
      <c r="K7" s="108" t="n"/>
      <c r="L7" s="109" t="n"/>
      <c r="M7" s="108" t="n"/>
      <c r="N7" s="109" t="n"/>
      <c r="O7" s="108" t="n"/>
      <c r="P7" s="109" t="n"/>
      <c r="Q7" s="108" t="n"/>
      <c r="R7" s="109" t="n"/>
      <c r="S7" s="108" t="n"/>
      <c r="T7" s="109" t="n"/>
      <c r="U7" s="50" t="n"/>
      <c r="W7" s="48" t="n"/>
      <c r="X7" s="108" t="n"/>
      <c r="Y7" s="109" t="n"/>
      <c r="Z7" s="108" t="n"/>
      <c r="AA7" s="109" t="n"/>
      <c r="AB7" s="108" t="n"/>
      <c r="AC7" s="109" t="n"/>
      <c r="AD7" s="108" t="n"/>
      <c r="AE7" s="109" t="n"/>
      <c r="AF7" s="108" t="n"/>
      <c r="AG7" s="109" t="n"/>
      <c r="AH7" s="108" t="n"/>
      <c r="AI7" s="109" t="n"/>
      <c r="AJ7" s="108" t="n"/>
      <c r="AK7" s="109" t="n"/>
      <c r="AL7" s="108" t="n"/>
      <c r="AM7" s="109" t="n"/>
      <c r="AN7" s="50" t="n"/>
      <c r="AP7" s="48" t="n"/>
      <c r="AQ7" s="108" t="n"/>
      <c r="AR7" s="109" t="n"/>
      <c r="AS7" s="108" t="n"/>
      <c r="AT7" s="109" t="n"/>
      <c r="AU7" s="108" t="n"/>
      <c r="AV7" s="109" t="n"/>
      <c r="AW7" s="108" t="n"/>
      <c r="AX7" s="109" t="n"/>
      <c r="AY7" s="108" t="n"/>
      <c r="AZ7" s="109" t="n"/>
      <c r="BA7" s="108" t="n"/>
      <c r="BB7" s="109" t="n"/>
      <c r="BC7" s="108" t="n"/>
      <c r="BD7" s="109" t="n"/>
      <c r="BE7" s="108" t="n"/>
      <c r="BF7" s="109" t="n"/>
      <c r="BG7" s="50" t="n"/>
      <c r="BI7" s="74" t="inlineStr">
        <is>
          <t>USB</t>
        </is>
      </c>
      <c r="BJ7" s="73" t="n"/>
      <c r="BK7" s="17" t="n"/>
    </row>
    <row r="8" ht="12" customHeight="1">
      <c r="C8" s="18" t="n"/>
      <c r="D8" s="48" t="n"/>
      <c r="E8" s="108" t="n"/>
      <c r="F8" s="109" t="n"/>
      <c r="G8" s="108" t="n"/>
      <c r="H8" s="109" t="n"/>
      <c r="I8" s="108" t="n"/>
      <c r="J8" s="109" t="n"/>
      <c r="K8" s="108" t="n"/>
      <c r="L8" s="109" t="n"/>
      <c r="M8" s="108" t="n"/>
      <c r="N8" s="109" t="n"/>
      <c r="O8" s="108" t="n"/>
      <c r="P8" s="109" t="n"/>
      <c r="Q8" s="108" t="n"/>
      <c r="R8" s="109" t="n"/>
      <c r="S8" s="108" t="n"/>
      <c r="T8" s="109" t="n"/>
      <c r="U8" s="50" t="n"/>
      <c r="W8" s="48" t="n"/>
      <c r="X8" s="108" t="n"/>
      <c r="Y8" s="109" t="n"/>
      <c r="Z8" s="108" t="n"/>
      <c r="AA8" s="109" t="n"/>
      <c r="AB8" s="108" t="n"/>
      <c r="AC8" s="109" t="n"/>
      <c r="AD8" s="108" t="n"/>
      <c r="AE8" s="109" t="n"/>
      <c r="AF8" s="108" t="n"/>
      <c r="AG8" s="109" t="n"/>
      <c r="AH8" s="108" t="n"/>
      <c r="AI8" s="109" t="n"/>
      <c r="AJ8" s="108" t="n"/>
      <c r="AK8" s="109" t="n"/>
      <c r="AL8" s="108" t="n"/>
      <c r="AM8" s="109" t="n"/>
      <c r="AN8" s="50" t="n"/>
      <c r="AP8" s="48" t="n"/>
      <c r="AQ8" s="108" t="n"/>
      <c r="AR8" s="109" t="n"/>
      <c r="AS8" s="108" t="n"/>
      <c r="AT8" s="109" t="n"/>
      <c r="AU8" s="108" t="n"/>
      <c r="AV8" s="109" t="n"/>
      <c r="AW8" s="108" t="n"/>
      <c r="AX8" s="109" t="n"/>
      <c r="AY8" s="108" t="n"/>
      <c r="AZ8" s="109" t="n"/>
      <c r="BA8" s="108" t="n"/>
      <c r="BB8" s="109" t="n"/>
      <c r="BC8" s="108" t="n"/>
      <c r="BD8" s="109" t="n"/>
      <c r="BE8" s="108" t="n"/>
      <c r="BF8" s="109" t="n"/>
      <c r="BG8" s="50" t="n"/>
      <c r="BI8" s="48" t="n"/>
      <c r="BJ8" s="50" t="n"/>
      <c r="BK8" s="17" t="n"/>
    </row>
    <row r="9" ht="12" customHeight="1">
      <c r="C9" s="18" t="n"/>
      <c r="D9" s="48" t="n"/>
      <c r="E9" s="108" t="n"/>
      <c r="F9" s="109" t="n"/>
      <c r="G9" s="108" t="n"/>
      <c r="H9" s="109" t="n"/>
      <c r="I9" s="108" t="n"/>
      <c r="J9" s="109" t="n"/>
      <c r="K9" s="108" t="n"/>
      <c r="L9" s="109" t="n"/>
      <c r="M9" s="108" t="n"/>
      <c r="N9" s="109" t="n"/>
      <c r="O9" s="108" t="n"/>
      <c r="P9" s="109" t="n"/>
      <c r="Q9" s="108" t="n"/>
      <c r="R9" s="109" t="n"/>
      <c r="S9" s="108" t="n"/>
      <c r="T9" s="109" t="n"/>
      <c r="U9" s="50" t="n"/>
      <c r="W9" s="48" t="n"/>
      <c r="X9" s="108" t="n"/>
      <c r="Y9" s="109" t="n"/>
      <c r="Z9" s="108" t="n"/>
      <c r="AA9" s="109" t="n"/>
      <c r="AB9" s="108" t="n"/>
      <c r="AC9" s="109" t="n"/>
      <c r="AD9" s="108" t="n"/>
      <c r="AE9" s="109" t="n"/>
      <c r="AF9" s="108" t="n"/>
      <c r="AG9" s="109" t="n"/>
      <c r="AH9" s="108" t="n"/>
      <c r="AI9" s="109" t="n"/>
      <c r="AJ9" s="108" t="n"/>
      <c r="AK9" s="109" t="n"/>
      <c r="AL9" s="108" t="n"/>
      <c r="AM9" s="109" t="n"/>
      <c r="AN9" s="50" t="n"/>
      <c r="AP9" s="48" t="n"/>
      <c r="AQ9" s="108" t="n"/>
      <c r="AR9" s="109" t="n"/>
      <c r="AS9" s="108" t="n"/>
      <c r="AT9" s="109" t="n"/>
      <c r="AU9" s="108" t="n"/>
      <c r="AV9" s="109" t="n"/>
      <c r="AW9" s="108" t="n"/>
      <c r="AX9" s="109" t="n"/>
      <c r="AY9" s="108" t="n"/>
      <c r="AZ9" s="109" t="n"/>
      <c r="BA9" s="108" t="n"/>
      <c r="BB9" s="109" t="n"/>
      <c r="BC9" s="108" t="n"/>
      <c r="BD9" s="109" t="n"/>
      <c r="BE9" s="108" t="n"/>
      <c r="BF9" s="109" t="n"/>
      <c r="BG9" s="50" t="n"/>
      <c r="BI9" s="74" t="inlineStr">
        <is>
          <t>SVC</t>
        </is>
      </c>
      <c r="BJ9" s="73" t="n"/>
      <c r="BK9" s="17" t="n"/>
    </row>
    <row r="10" ht="12" customHeight="1">
      <c r="C10" s="18" t="n"/>
      <c r="D10" s="48" t="n"/>
      <c r="E10" s="108" t="n"/>
      <c r="F10" s="109" t="n"/>
      <c r="G10" s="108" t="n"/>
      <c r="H10" s="109" t="n"/>
      <c r="I10" s="108" t="n"/>
      <c r="J10" s="109" t="n"/>
      <c r="K10" s="108" t="n"/>
      <c r="L10" s="109" t="n"/>
      <c r="M10" s="108" t="n"/>
      <c r="N10" s="109" t="n"/>
      <c r="O10" s="108" t="n"/>
      <c r="P10" s="109" t="n"/>
      <c r="Q10" s="108" t="n"/>
      <c r="R10" s="109" t="n"/>
      <c r="S10" s="108" t="n"/>
      <c r="T10" s="109" t="n"/>
      <c r="U10" s="50" t="n"/>
      <c r="W10" s="48" t="n"/>
      <c r="X10" s="108" t="n"/>
      <c r="Y10" s="109" t="n"/>
      <c r="Z10" s="108" t="n"/>
      <c r="AA10" s="109" t="n"/>
      <c r="AB10" s="108" t="n"/>
      <c r="AC10" s="109" t="n"/>
      <c r="AD10" s="108" t="n"/>
      <c r="AE10" s="109" t="n"/>
      <c r="AF10" s="108" t="n"/>
      <c r="AG10" s="109" t="n"/>
      <c r="AH10" s="108" t="n"/>
      <c r="AI10" s="109" t="n"/>
      <c r="AJ10" s="108" t="n"/>
      <c r="AK10" s="109" t="n"/>
      <c r="AL10" s="108" t="n"/>
      <c r="AM10" s="109" t="n"/>
      <c r="AN10" s="50" t="n"/>
      <c r="AP10" s="48" t="n"/>
      <c r="AQ10" s="108" t="n"/>
      <c r="AR10" s="109" t="n"/>
      <c r="AS10" s="108" t="n"/>
      <c r="AT10" s="109" t="n"/>
      <c r="AU10" s="108" t="n"/>
      <c r="AV10" s="109" t="n"/>
      <c r="AW10" s="108" t="n"/>
      <c r="AX10" s="109" t="n"/>
      <c r="AY10" s="108" t="n"/>
      <c r="AZ10" s="109" t="n"/>
      <c r="BA10" s="108" t="n"/>
      <c r="BB10" s="109" t="n"/>
      <c r="BC10" s="108" t="n"/>
      <c r="BD10" s="109" t="n"/>
      <c r="BE10" s="108" t="n"/>
      <c r="BF10" s="109" t="n"/>
      <c r="BG10" s="50" t="n"/>
      <c r="BI10" s="48" t="n"/>
      <c r="BJ10" s="50" t="n"/>
      <c r="BK10" s="17" t="n"/>
    </row>
    <row r="11" ht="12" customHeight="1">
      <c r="C11" s="18" t="n"/>
      <c r="D11" s="48" t="n"/>
      <c r="E11" s="111" t="n"/>
      <c r="F11" s="112" t="n"/>
      <c r="G11" s="111" t="n"/>
      <c r="H11" s="112" t="n"/>
      <c r="I11" s="111" t="n"/>
      <c r="J11" s="112" t="n"/>
      <c r="K11" s="111" t="n"/>
      <c r="L11" s="112" t="n"/>
      <c r="M11" s="111" t="n"/>
      <c r="N11" s="112" t="n"/>
      <c r="O11" s="111" t="n"/>
      <c r="P11" s="112" t="n"/>
      <c r="Q11" s="111" t="n"/>
      <c r="R11" s="112" t="n"/>
      <c r="S11" s="111" t="n"/>
      <c r="T11" s="112" t="n"/>
      <c r="U11" s="50" t="n"/>
      <c r="W11" s="48" t="n"/>
      <c r="X11" s="111" t="n"/>
      <c r="Y11" s="112" t="n"/>
      <c r="Z11" s="111" t="n"/>
      <c r="AA11" s="112" t="n"/>
      <c r="AB11" s="111" t="n"/>
      <c r="AC11" s="112" t="n"/>
      <c r="AD11" s="111" t="n"/>
      <c r="AE11" s="112" t="n"/>
      <c r="AF11" s="111" t="n"/>
      <c r="AG11" s="112" t="n"/>
      <c r="AH11" s="111" t="n"/>
      <c r="AI11" s="112" t="n"/>
      <c r="AJ11" s="111" t="n"/>
      <c r="AK11" s="112" t="n"/>
      <c r="AL11" s="111" t="n"/>
      <c r="AM11" s="112" t="n"/>
      <c r="AN11" s="50" t="n"/>
      <c r="AP11" s="48" t="n"/>
      <c r="AQ11" s="111" t="n"/>
      <c r="AR11" s="112" t="n"/>
      <c r="AS11" s="111" t="n"/>
      <c r="AT11" s="112" t="n"/>
      <c r="AU11" s="111" t="n"/>
      <c r="AV11" s="112" t="n"/>
      <c r="AW11" s="111" t="n"/>
      <c r="AX11" s="112" t="n"/>
      <c r="AY11" s="111" t="n"/>
      <c r="AZ11" s="112" t="n"/>
      <c r="BA11" s="111" t="n"/>
      <c r="BB11" s="112" t="n"/>
      <c r="BC11" s="111" t="n"/>
      <c r="BD11" s="112" t="n"/>
      <c r="BE11" s="111" t="n"/>
      <c r="BF11" s="112" t="n"/>
      <c r="BG11" s="50" t="n"/>
      <c r="BI11" s="48" t="n"/>
      <c r="BJ11" s="50" t="n"/>
      <c r="BK11" s="17" t="n"/>
    </row>
    <row r="12" ht="12" customHeight="1">
      <c r="C12" s="18" t="n"/>
      <c r="D12" s="51" t="n"/>
      <c r="E12" s="52" t="n"/>
      <c r="F12" s="52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3" t="n"/>
      <c r="W12" s="51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3" t="n"/>
      <c r="AP12" s="51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  <c r="BB12" s="52" t="n"/>
      <c r="BC12" s="52" t="n"/>
      <c r="BD12" s="52" t="n"/>
      <c r="BE12" s="52" t="n"/>
      <c r="BF12" s="52" t="n"/>
      <c r="BG12" s="53" t="n"/>
      <c r="BI12" s="51" t="n"/>
      <c r="BJ12" s="53" t="n"/>
      <c r="BK12" s="17" t="n"/>
    </row>
    <row r="13" ht="12" customHeight="1">
      <c r="C13" s="4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3" t="n"/>
      <c r="AL13" s="43" t="n"/>
      <c r="AM13" s="43" t="n"/>
      <c r="AN13" s="43" t="n"/>
      <c r="AO13" s="43" t="n"/>
      <c r="AP13" s="43" t="n"/>
      <c r="AQ13" s="43" t="n"/>
      <c r="AR13" s="43" t="n"/>
      <c r="AS13" s="43" t="n"/>
      <c r="AT13" s="43" t="n"/>
      <c r="AU13" s="43" t="n"/>
      <c r="AV13" s="43" t="n"/>
      <c r="AW13" s="43" t="n"/>
      <c r="AX13" s="43" t="n"/>
      <c r="AY13" s="43" t="n"/>
      <c r="AZ13" s="43" t="n"/>
      <c r="BA13" s="43" t="n"/>
      <c r="BB13" s="43" t="n"/>
      <c r="BC13" s="43" t="n"/>
      <c r="BD13" s="43" t="n"/>
      <c r="BE13" s="43" t="n"/>
      <c r="BF13" s="43" t="n"/>
      <c r="BG13" s="43" t="n"/>
      <c r="BH13" s="43" t="n"/>
      <c r="BI13" s="43" t="n"/>
      <c r="BJ13" s="43" t="n"/>
      <c r="BK13" s="44" t="n"/>
    </row>
    <row r="14" ht="12" customHeight="1"/>
    <row r="15" ht="12" customHeight="1">
      <c r="B15" s="35" t="inlineStr">
        <is>
          <t>후  면</t>
        </is>
      </c>
      <c r="C15" s="36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37" t="n"/>
    </row>
    <row r="16" ht="12" customHeight="1">
      <c r="C16" s="18" t="n"/>
      <c r="D16" s="45" t="inlineStr">
        <is>
          <t>S1 · FC HBA 2P</t>
        </is>
      </c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116" t="n">
        <v>1</v>
      </c>
      <c r="R16" s="114" t="n"/>
      <c r="S16" s="46" t="n"/>
      <c r="T16" s="116" t="n">
        <v>2</v>
      </c>
      <c r="U16" s="114" t="n"/>
      <c r="V16" s="47" t="n"/>
      <c r="X16" s="45" t="inlineStr">
        <is>
          <t>S4 · NIC 2P SFP28</t>
        </is>
      </c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46" t="n"/>
      <c r="AI16" s="46" t="n"/>
      <c r="AJ16" s="46" t="n"/>
      <c r="AK16" s="126" t="n">
        <v>3</v>
      </c>
      <c r="AL16" s="114" t="n"/>
      <c r="AM16" s="46" t="n"/>
      <c r="AN16" s="126" t="n">
        <v>4</v>
      </c>
      <c r="AO16" s="114" t="n"/>
      <c r="AP16" s="47" t="n"/>
      <c r="AR16" s="118" t="inlineStr">
        <is>
          <t>S7  빈 슬롯</t>
        </is>
      </c>
      <c r="AS16" s="119" t="n"/>
      <c r="AT16" s="119" t="n"/>
      <c r="AU16" s="119" t="n"/>
      <c r="AV16" s="119" t="n"/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n"/>
      <c r="BG16" s="119" t="n"/>
      <c r="BH16" s="119" t="n"/>
      <c r="BI16" s="119" t="n"/>
      <c r="BJ16" s="120" t="n"/>
      <c r="BK16" s="17" t="n"/>
    </row>
    <row r="17" ht="12" customHeight="1">
      <c r="C17" s="18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89" t="inlineStr">
        <is>
          <t>P1</t>
        </is>
      </c>
      <c r="R17" s="87" t="n"/>
      <c r="S17" s="52" t="n"/>
      <c r="T17" s="89" t="inlineStr">
        <is>
          <t>P2</t>
        </is>
      </c>
      <c r="U17" s="87" t="n"/>
      <c r="V17" s="53" t="n"/>
      <c r="X17" s="51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52" t="n"/>
      <c r="AI17" s="52" t="n"/>
      <c r="AJ17" s="52" t="n"/>
      <c r="AK17" s="89" t="inlineStr">
        <is>
          <t>P1</t>
        </is>
      </c>
      <c r="AL17" s="87" t="n"/>
      <c r="AM17" s="52" t="n"/>
      <c r="AN17" s="89" t="inlineStr">
        <is>
          <t>P2</t>
        </is>
      </c>
      <c r="AO17" s="87" t="n"/>
      <c r="AP17" s="53" t="n"/>
      <c r="AR17" s="123" t="n"/>
      <c r="AS17" s="124" t="n"/>
      <c r="AT17" s="124" t="n"/>
      <c r="AU17" s="124" t="n"/>
      <c r="AV17" s="124" t="n"/>
      <c r="AW17" s="124" t="n"/>
      <c r="AX17" s="124" t="n"/>
      <c r="AY17" s="124" t="n"/>
      <c r="AZ17" s="124" t="n"/>
      <c r="BA17" s="124" t="n"/>
      <c r="BB17" s="124" t="n"/>
      <c r="BC17" s="124" t="n"/>
      <c r="BD17" s="124" t="n"/>
      <c r="BE17" s="124" t="n"/>
      <c r="BF17" s="124" t="n"/>
      <c r="BG17" s="124" t="n"/>
      <c r="BH17" s="124" t="n"/>
      <c r="BI17" s="124" t="n"/>
      <c r="BJ17" s="125" t="n"/>
      <c r="BK17" s="17" t="n"/>
    </row>
    <row r="18" ht="12" customHeight="1">
      <c r="C18" s="18" t="n"/>
      <c r="D18" s="118" t="inlineStr">
        <is>
          <t>S2  빈 슬롯</t>
        </is>
      </c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20" t="n"/>
      <c r="X18" s="118" t="inlineStr">
        <is>
          <t>S5  빈 슬롯</t>
        </is>
      </c>
      <c r="Y18" s="119" t="n"/>
      <c r="Z18" s="119" t="n"/>
      <c r="AA18" s="119" t="n"/>
      <c r="AB18" s="119" t="n"/>
      <c r="AC18" s="119" t="n"/>
      <c r="AD18" s="119" t="n"/>
      <c r="AE18" s="119" t="n"/>
      <c r="AF18" s="119" t="n"/>
      <c r="AG18" s="119" t="n"/>
      <c r="AH18" s="119" t="n"/>
      <c r="AI18" s="119" t="n"/>
      <c r="AJ18" s="119" t="n"/>
      <c r="AK18" s="119" t="n"/>
      <c r="AL18" s="119" t="n"/>
      <c r="AM18" s="119" t="n"/>
      <c r="AN18" s="119" t="n"/>
      <c r="AO18" s="119" t="n"/>
      <c r="AP18" s="120" t="n"/>
      <c r="AR18" s="118" t="inlineStr">
        <is>
          <t>S8  빈 슬롯</t>
        </is>
      </c>
      <c r="AS18" s="119" t="n"/>
      <c r="AT18" s="119" t="n"/>
      <c r="AU18" s="119" t="n"/>
      <c r="AV18" s="119" t="n"/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n"/>
      <c r="BG18" s="119" t="n"/>
      <c r="BH18" s="119" t="n"/>
      <c r="BI18" s="119" t="n"/>
      <c r="BJ18" s="120" t="n"/>
      <c r="BK18" s="17" t="n"/>
    </row>
    <row r="19" ht="12" customHeight="1">
      <c r="C19" s="18" t="n"/>
      <c r="D19" s="123" t="n"/>
      <c r="E19" s="124" t="n"/>
      <c r="F19" s="124" t="n"/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124" t="n"/>
      <c r="U19" s="124" t="n"/>
      <c r="V19" s="125" t="n"/>
      <c r="X19" s="123" t="n"/>
      <c r="Y19" s="124" t="n"/>
      <c r="Z19" s="124" t="n"/>
      <c r="AA19" s="124" t="n"/>
      <c r="AB19" s="124" t="n"/>
      <c r="AC19" s="124" t="n"/>
      <c r="AD19" s="124" t="n"/>
      <c r="AE19" s="124" t="n"/>
      <c r="AF19" s="124" t="n"/>
      <c r="AG19" s="124" t="n"/>
      <c r="AH19" s="124" t="n"/>
      <c r="AI19" s="124" t="n"/>
      <c r="AJ19" s="124" t="n"/>
      <c r="AK19" s="124" t="n"/>
      <c r="AL19" s="124" t="n"/>
      <c r="AM19" s="124" t="n"/>
      <c r="AN19" s="124" t="n"/>
      <c r="AO19" s="124" t="n"/>
      <c r="AP19" s="125" t="n"/>
      <c r="AR19" s="123" t="n"/>
      <c r="AS19" s="124" t="n"/>
      <c r="AT19" s="124" t="n"/>
      <c r="AU19" s="124" t="n"/>
      <c r="AV19" s="124" t="n"/>
      <c r="AW19" s="124" t="n"/>
      <c r="AX19" s="124" t="n"/>
      <c r="AY19" s="124" t="n"/>
      <c r="AZ19" s="124" t="n"/>
      <c r="BA19" s="124" t="n"/>
      <c r="BB19" s="124" t="n"/>
      <c r="BC19" s="124" t="n"/>
      <c r="BD19" s="124" t="n"/>
      <c r="BE19" s="124" t="n"/>
      <c r="BF19" s="124" t="n"/>
      <c r="BG19" s="124" t="n"/>
      <c r="BH19" s="124" t="n"/>
      <c r="BI19" s="124" t="n"/>
      <c r="BJ19" s="125" t="n"/>
      <c r="BK19" s="17" t="n"/>
    </row>
    <row r="20" ht="12" customHeight="1">
      <c r="C20" s="18" t="n"/>
      <c r="D20" s="118" t="inlineStr">
        <is>
          <t>S3  빈 슬롯</t>
        </is>
      </c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/>
      <c r="Q20" s="119" t="n"/>
      <c r="R20" s="119" t="n"/>
      <c r="S20" s="119" t="n"/>
      <c r="T20" s="119" t="n"/>
      <c r="U20" s="119" t="n"/>
      <c r="V20" s="120" t="n"/>
      <c r="X20" s="118" t="inlineStr">
        <is>
          <t>S6  빈 슬롯</t>
        </is>
      </c>
      <c r="Y20" s="119" t="n"/>
      <c r="Z20" s="119" t="n"/>
      <c r="AA20" s="119" t="n"/>
      <c r="AB20" s="119" t="n"/>
      <c r="AC20" s="119" t="n"/>
      <c r="AD20" s="119" t="n"/>
      <c r="AE20" s="119" t="n"/>
      <c r="AF20" s="119" t="n"/>
      <c r="AG20" s="119" t="n"/>
      <c r="AH20" s="119" t="n"/>
      <c r="AI20" s="119" t="n"/>
      <c r="AJ20" s="119" t="n"/>
      <c r="AK20" s="119" t="n"/>
      <c r="AL20" s="119" t="n"/>
      <c r="AM20" s="119" t="n"/>
      <c r="AN20" s="119" t="n"/>
      <c r="AO20" s="119" t="n"/>
      <c r="AP20" s="120" t="n"/>
      <c r="AR20" s="127" t="inlineStr">
        <is>
          <t>라이저 3 : S7–S8</t>
        </is>
      </c>
      <c r="BK20" s="17" t="n"/>
    </row>
    <row r="21" ht="12" customHeight="1">
      <c r="C21" s="18" t="n"/>
      <c r="D21" s="123" t="n"/>
      <c r="E21" s="124" t="n"/>
      <c r="F21" s="124" t="n"/>
      <c r="G21" s="124" t="n"/>
      <c r="H21" s="124" t="n"/>
      <c r="I21" s="124" t="n"/>
      <c r="J21" s="124" t="n"/>
      <c r="K21" s="124" t="n"/>
      <c r="L21" s="124" t="n"/>
      <c r="M21" s="124" t="n"/>
      <c r="N21" s="124" t="n"/>
      <c r="O21" s="124" t="n"/>
      <c r="P21" s="124" t="n"/>
      <c r="Q21" s="124" t="n"/>
      <c r="R21" s="124" t="n"/>
      <c r="S21" s="124" t="n"/>
      <c r="T21" s="124" t="n"/>
      <c r="U21" s="124" t="n"/>
      <c r="V21" s="125" t="n"/>
      <c r="X21" s="123" t="n"/>
      <c r="Y21" s="124" t="n"/>
      <c r="Z21" s="124" t="n"/>
      <c r="AA21" s="124" t="n"/>
      <c r="AB21" s="124" t="n"/>
      <c r="AC21" s="124" t="n"/>
      <c r="AD21" s="124" t="n"/>
      <c r="AE21" s="124" t="n"/>
      <c r="AF21" s="124" t="n"/>
      <c r="AG21" s="124" t="n"/>
      <c r="AH21" s="124" t="n"/>
      <c r="AI21" s="124" t="n"/>
      <c r="AJ21" s="124" t="n"/>
      <c r="AK21" s="124" t="n"/>
      <c r="AL21" s="124" t="n"/>
      <c r="AM21" s="124" t="n"/>
      <c r="AN21" s="124" t="n"/>
      <c r="AO21" s="124" t="n"/>
      <c r="AP21" s="125" t="n"/>
      <c r="BK21" s="17" t="n"/>
    </row>
    <row r="22" ht="12" customHeight="1">
      <c r="C22" s="18" t="n"/>
      <c r="D22" s="45" t="inlineStr">
        <is>
          <t>FlexLOM</t>
        </is>
      </c>
      <c r="E22" s="46" t="n"/>
      <c r="F22" s="46" t="n"/>
      <c r="G22" s="126" t="n">
        <v>5</v>
      </c>
      <c r="H22" s="114" t="n"/>
      <c r="I22" s="46" t="n"/>
      <c r="J22" s="126" t="n">
        <v>6</v>
      </c>
      <c r="K22" s="114" t="n"/>
      <c r="L22" s="47" t="n"/>
      <c r="N22" s="45" t="inlineStr">
        <is>
          <t>I/O</t>
        </is>
      </c>
      <c r="O22" s="46" t="n"/>
      <c r="P22" s="46" t="n"/>
      <c r="Q22" s="46" t="n"/>
      <c r="R22" s="46" t="n"/>
      <c r="S22" s="46" t="n"/>
      <c r="T22" s="121" t="inlineStr">
        <is>
          <t>USB</t>
        </is>
      </c>
      <c r="U22" s="114" t="n"/>
      <c r="V22" s="46" t="n"/>
      <c r="W22" s="121" t="inlineStr">
        <is>
          <t>VGA</t>
        </is>
      </c>
      <c r="X22" s="117" t="n"/>
      <c r="Y22" s="114" t="n"/>
      <c r="Z22" s="46" t="n"/>
      <c r="AA22" s="113" t="n">
        <v>7</v>
      </c>
      <c r="AB22" s="114" t="n"/>
      <c r="AC22" s="47" t="n"/>
      <c r="AE22" s="45" t="inlineStr">
        <is>
          <t>LOM 1GbE</t>
        </is>
      </c>
      <c r="AF22" s="46" t="n"/>
      <c r="AG22" s="46" t="n"/>
      <c r="AH22" s="128" t="n">
        <v>8</v>
      </c>
      <c r="AI22" s="114" t="n"/>
      <c r="AJ22" s="115" t="n"/>
      <c r="AK22" s="114" t="n"/>
      <c r="AL22" s="115" t="n"/>
      <c r="AM22" s="114" t="n"/>
      <c r="AN22" s="115" t="n"/>
      <c r="AO22" s="114" t="n"/>
      <c r="AP22" s="47" t="n"/>
      <c r="AR22" s="45" t="inlineStr">
        <is>
          <t>PSU 2</t>
        </is>
      </c>
      <c r="AS22" s="46" t="n"/>
      <c r="AT22" s="46" t="n"/>
      <c r="AU22" s="46" t="n"/>
      <c r="AV22" s="46" t="n"/>
      <c r="AW22" s="46" t="n"/>
      <c r="AX22" s="122" t="n">
        <v>9</v>
      </c>
      <c r="AY22" s="114" t="n"/>
      <c r="AZ22" s="47" t="n"/>
      <c r="BB22" s="45" t="inlineStr">
        <is>
          <t>PSU 1</t>
        </is>
      </c>
      <c r="BC22" s="46" t="n"/>
      <c r="BD22" s="46" t="n"/>
      <c r="BE22" s="46" t="n"/>
      <c r="BF22" s="46" t="n"/>
      <c r="BG22" s="46" t="n"/>
      <c r="BH22" s="122" t="n">
        <v>10</v>
      </c>
      <c r="BI22" s="114" t="n"/>
      <c r="BJ22" s="47" t="n"/>
      <c r="BK22" s="17" t="n"/>
    </row>
    <row r="23" ht="12" customHeight="1">
      <c r="C23" s="18" t="n"/>
      <c r="D23" s="51" t="n"/>
      <c r="E23" s="52" t="n"/>
      <c r="F23" s="52" t="n"/>
      <c r="G23" s="89" t="inlineStr">
        <is>
          <t>1</t>
        </is>
      </c>
      <c r="H23" s="87" t="n"/>
      <c r="I23" s="52" t="n"/>
      <c r="J23" s="89" t="inlineStr">
        <is>
          <t>2</t>
        </is>
      </c>
      <c r="K23" s="87" t="n"/>
      <c r="L23" s="53" t="n"/>
      <c r="N23" s="51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  <c r="AA23" s="89" t="inlineStr">
        <is>
          <t>iLO</t>
        </is>
      </c>
      <c r="AB23" s="87" t="n"/>
      <c r="AC23" s="53" t="n"/>
      <c r="AE23" s="51" t="n"/>
      <c r="AF23" s="52" t="n"/>
      <c r="AG23" s="52" t="n"/>
      <c r="AH23" s="89" t="inlineStr">
        <is>
          <t>1</t>
        </is>
      </c>
      <c r="AI23" s="87" t="n"/>
      <c r="AJ23" s="89" t="inlineStr">
        <is>
          <t>2</t>
        </is>
      </c>
      <c r="AK23" s="87" t="n"/>
      <c r="AL23" s="89" t="inlineStr">
        <is>
          <t>3</t>
        </is>
      </c>
      <c r="AM23" s="87" t="n"/>
      <c r="AN23" s="89" t="inlineStr">
        <is>
          <t>4</t>
        </is>
      </c>
      <c r="AO23" s="87" t="n"/>
      <c r="AP23" s="53" t="n"/>
      <c r="AR23" s="51" t="n"/>
      <c r="AS23" s="52" t="n"/>
      <c r="AT23" s="52" t="n"/>
      <c r="AU23" s="52" t="n"/>
      <c r="AV23" s="52" t="n"/>
      <c r="AW23" s="52" t="n"/>
      <c r="AX23" s="89" t="inlineStr">
        <is>
          <t>C14</t>
        </is>
      </c>
      <c r="AY23" s="87" t="n"/>
      <c r="AZ23" s="53" t="n"/>
      <c r="BB23" s="51" t="n"/>
      <c r="BC23" s="52" t="n"/>
      <c r="BD23" s="52" t="n"/>
      <c r="BE23" s="52" t="n"/>
      <c r="BF23" s="52" t="n"/>
      <c r="BG23" s="52" t="n"/>
      <c r="BH23" s="89" t="inlineStr">
        <is>
          <t>C14</t>
        </is>
      </c>
      <c r="BI23" s="87" t="n"/>
      <c r="BJ23" s="53" t="n"/>
      <c r="BK23" s="17" t="n"/>
    </row>
    <row r="24" ht="12" customHeight="1">
      <c r="C24" s="42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  <c r="AB24" s="43" t="n"/>
      <c r="AC24" s="43" t="n"/>
      <c r="AD24" s="43" t="n"/>
      <c r="AE24" s="43" t="n"/>
      <c r="AF24" s="43" t="n"/>
      <c r="AG24" s="43" t="n"/>
      <c r="AH24" s="43" t="n"/>
      <c r="AI24" s="43" t="n"/>
      <c r="AJ24" s="43" t="n"/>
      <c r="AK24" s="43" t="n"/>
      <c r="AL24" s="43" t="n"/>
      <c r="AM24" s="43" t="n"/>
      <c r="AN24" s="43" t="n"/>
      <c r="AO24" s="43" t="n"/>
      <c r="AP24" s="43" t="n"/>
      <c r="AQ24" s="43" t="n"/>
      <c r="AR24" s="43" t="n"/>
      <c r="AS24" s="43" t="n"/>
      <c r="AT24" s="43" t="n"/>
      <c r="AU24" s="43" t="n"/>
      <c r="AV24" s="43" t="n"/>
      <c r="AW24" s="43" t="n"/>
      <c r="AX24" s="43" t="n"/>
      <c r="AY24" s="43" t="n"/>
      <c r="AZ24" s="43" t="n"/>
      <c r="BA24" s="43" t="n"/>
      <c r="BB24" s="43" t="n"/>
      <c r="BC24" s="43" t="n"/>
      <c r="BD24" s="43" t="n"/>
      <c r="BE24" s="43" t="n"/>
      <c r="BF24" s="43" t="n"/>
      <c r="BG24" s="43" t="n"/>
      <c r="BH24" s="43" t="n"/>
      <c r="BI24" s="43" t="n"/>
      <c r="BJ24" s="43" t="n"/>
      <c r="BK24" s="44" t="n"/>
    </row>
    <row r="25" ht="12" customHeight="1"/>
    <row r="26" ht="12" customHeight="1">
      <c r="B26" s="7" t="inlineStr">
        <is>
          <t>연결 정보</t>
        </is>
      </c>
      <c r="H26" s="54" t="n"/>
      <c r="I26" s="28" t="inlineStr">
        <is>
          <t>서비스</t>
        </is>
      </c>
      <c r="L26" s="55" t="n"/>
      <c r="M26" s="28" t="inlineStr">
        <is>
          <t>관리</t>
        </is>
      </c>
      <c r="O26" s="56" t="n"/>
      <c r="P26" s="28" t="inlineStr">
        <is>
          <t>백업</t>
        </is>
      </c>
      <c r="R26" s="57" t="n"/>
      <c r="S26" s="28" t="inlineStr">
        <is>
          <t>스토리지</t>
        </is>
      </c>
      <c r="V26" s="58" t="n"/>
      <c r="W26" s="28" t="inlineStr">
        <is>
          <t>인터커넥트</t>
        </is>
      </c>
      <c r="AA26" s="59" t="n"/>
      <c r="AB26" s="28" t="inlineStr">
        <is>
          <t>콘솔</t>
        </is>
      </c>
      <c r="AD26" s="60" t="n"/>
      <c r="AE26" s="28" t="inlineStr">
        <is>
          <t>전원</t>
        </is>
      </c>
      <c r="AG26" s="61" t="n"/>
      <c r="AH26" s="28" t="inlineStr">
        <is>
          <t>미연결</t>
        </is>
      </c>
      <c r="AL26" s="62" t="n">
        <v>7</v>
      </c>
      <c r="AM26" s="28" t="inlineStr">
        <is>
          <t>도면 번호</t>
        </is>
      </c>
      <c r="AQ26" s="63" t="inlineStr">
        <is>
          <t>LOM1</t>
        </is>
      </c>
      <c r="AS26" s="28" t="inlineStr">
        <is>
          <t>포트명(장비 표기)</t>
        </is>
      </c>
      <c r="AY26" s="64" t="inlineStr">
        <is>
          <t>A-0001</t>
        </is>
      </c>
      <c r="AZ26" s="21" t="n"/>
      <c r="BA26" s="21" t="n"/>
      <c r="BB26" s="21" t="n"/>
      <c r="BC26" s="28" t="inlineStr">
        <is>
          <t>케이블 라벨</t>
        </is>
      </c>
    </row>
    <row r="27" ht="15" customHeight="1">
      <c r="B27" s="11" t="inlineStr">
        <is>
          <t>번호</t>
        </is>
      </c>
      <c r="C27" s="12" t="n"/>
      <c r="D27" s="11" t="inlineStr">
        <is>
          <t>면</t>
        </is>
      </c>
      <c r="E27" s="12" t="n"/>
      <c r="F27" s="13" t="inlineStr">
        <is>
          <t>포트명</t>
        </is>
      </c>
      <c r="G27" s="12" t="n"/>
      <c r="H27" s="12" t="n"/>
      <c r="I27" s="12" t="n"/>
      <c r="J27" s="12" t="n"/>
      <c r="K27" s="12" t="n"/>
      <c r="L27" s="13" t="inlineStr">
        <is>
          <t>용도</t>
        </is>
      </c>
      <c r="M27" s="12" t="n"/>
      <c r="N27" s="12" t="n"/>
      <c r="O27" s="12" t="n"/>
      <c r="P27" s="12" t="n"/>
      <c r="Q27" s="13" t="inlineStr">
        <is>
          <t>케이블 · 커넥터</t>
        </is>
      </c>
      <c r="R27" s="12" t="n"/>
      <c r="S27" s="12" t="n"/>
      <c r="T27" s="12" t="n"/>
      <c r="U27" s="12" t="n"/>
      <c r="V27" s="12" t="n"/>
      <c r="W27" s="12" t="n"/>
      <c r="X27" s="13" t="inlineStr">
        <is>
          <t>상대 장비</t>
        </is>
      </c>
      <c r="Y27" s="12" t="n"/>
      <c r="Z27" s="12" t="n"/>
      <c r="AA27" s="12" t="n"/>
      <c r="AB27" s="12" t="n"/>
      <c r="AC27" s="12" t="n"/>
      <c r="AD27" s="12" t="n"/>
      <c r="AE27" s="12" t="n"/>
      <c r="AF27" s="13" t="inlineStr">
        <is>
          <t>상대 위치</t>
        </is>
      </c>
      <c r="AG27" s="12" t="n"/>
      <c r="AH27" s="12" t="n"/>
      <c r="AI27" s="12" t="n"/>
      <c r="AJ27" s="12" t="n"/>
      <c r="AK27" s="12" t="n"/>
      <c r="AL27" s="13" t="inlineStr">
        <is>
          <t>상대 포트</t>
        </is>
      </c>
      <c r="AM27" s="12" t="n"/>
      <c r="AN27" s="12" t="n"/>
      <c r="AO27" s="12" t="n"/>
      <c r="AP27" s="12" t="n"/>
      <c r="AQ27" s="12" t="n"/>
      <c r="AR27" s="13" t="inlineStr">
        <is>
          <t>케이블 라벨</t>
        </is>
      </c>
      <c r="AS27" s="12" t="n"/>
      <c r="AT27" s="12" t="n"/>
      <c r="AU27" s="12" t="n"/>
      <c r="AV27" s="12" t="n"/>
      <c r="AW27" s="12" t="n"/>
      <c r="AX27" s="12" t="n"/>
      <c r="AY27" s="13" t="inlineStr">
        <is>
          <t>비고</t>
        </is>
      </c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</row>
    <row r="28" ht="13.5" customHeight="1">
      <c r="B28" s="65" t="n">
        <v>1</v>
      </c>
      <c r="C28" s="21" t="n"/>
      <c r="D28" s="66" t="inlineStr">
        <is>
          <t>후면</t>
        </is>
      </c>
      <c r="E28" s="21" t="n"/>
      <c r="F28" s="67" t="inlineStr">
        <is>
          <t>S1-P1</t>
        </is>
      </c>
      <c r="G28" s="21" t="n"/>
      <c r="H28" s="21" t="n"/>
      <c r="I28" s="21" t="n"/>
      <c r="J28" s="21" t="n"/>
      <c r="K28" s="21" t="n"/>
      <c r="L28" s="67" t="inlineStr">
        <is>
          <t>스토리지</t>
        </is>
      </c>
      <c r="M28" s="21" t="n"/>
      <c r="N28" s="21" t="n"/>
      <c r="O28" s="21" t="n"/>
      <c r="P28" s="21" t="n"/>
      <c r="Q28" s="67" t="inlineStr">
        <is>
          <t>OM4 LC-LC</t>
        </is>
      </c>
      <c r="R28" s="21" t="n"/>
      <c r="S28" s="21" t="n"/>
      <c r="T28" s="21" t="n"/>
      <c r="U28" s="21" t="n"/>
      <c r="V28" s="21" t="n"/>
      <c r="W28" s="21" t="n"/>
      <c r="X28" s="67" t="inlineStr">
        <is>
          <t>SAN-A</t>
        </is>
      </c>
      <c r="Y28" s="21" t="n"/>
      <c r="Z28" s="21" t="n"/>
      <c r="AA28" s="21" t="n"/>
      <c r="AB28" s="21" t="n"/>
      <c r="AC28" s="21" t="n"/>
      <c r="AD28" s="21" t="n"/>
      <c r="AE28" s="21" t="n"/>
      <c r="AF28" s="67" t="inlineStr">
        <is>
          <t>R02 U36</t>
        </is>
      </c>
      <c r="AG28" s="21" t="n"/>
      <c r="AH28" s="21" t="n"/>
      <c r="AI28" s="21" t="n"/>
      <c r="AJ28" s="21" t="n"/>
      <c r="AK28" s="21" t="n"/>
      <c r="AL28" s="67" t="inlineStr">
        <is>
          <t>P0</t>
        </is>
      </c>
      <c r="AM28" s="21" t="n"/>
      <c r="AN28" s="21" t="n"/>
      <c r="AO28" s="21" t="n"/>
      <c r="AP28" s="21" t="n"/>
      <c r="AQ28" s="21" t="n"/>
      <c r="AR28" s="68" t="inlineStr">
        <is>
          <t>R02-D038</t>
        </is>
      </c>
      <c r="AS28" s="21" t="n"/>
      <c r="AT28" s="21" t="n"/>
      <c r="AU28" s="21" t="n"/>
      <c r="AV28" s="21" t="n"/>
      <c r="AW28" s="21" t="n"/>
      <c r="AX28" s="21" t="n"/>
      <c r="AY28" s="67" t="inlineStr">
        <is>
          <t>Fabric A</t>
        </is>
      </c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5" t="n">
        <v>2</v>
      </c>
      <c r="C29" s="21" t="n"/>
      <c r="D29" s="66" t="inlineStr">
        <is>
          <t>후면</t>
        </is>
      </c>
      <c r="E29" s="21" t="n"/>
      <c r="F29" s="67" t="inlineStr">
        <is>
          <t>S1-P2</t>
        </is>
      </c>
      <c r="G29" s="21" t="n"/>
      <c r="H29" s="21" t="n"/>
      <c r="I29" s="21" t="n"/>
      <c r="J29" s="21" t="n"/>
      <c r="K29" s="21" t="n"/>
      <c r="L29" s="67" t="inlineStr">
        <is>
          <t>스토리지</t>
        </is>
      </c>
      <c r="M29" s="21" t="n"/>
      <c r="N29" s="21" t="n"/>
      <c r="O29" s="21" t="n"/>
      <c r="P29" s="21" t="n"/>
      <c r="Q29" s="67" t="inlineStr">
        <is>
          <t>OM4 LC-LC</t>
        </is>
      </c>
      <c r="R29" s="21" t="n"/>
      <c r="S29" s="21" t="n"/>
      <c r="T29" s="21" t="n"/>
      <c r="U29" s="21" t="n"/>
      <c r="V29" s="21" t="n"/>
      <c r="W29" s="21" t="n"/>
      <c r="X29" s="67" t="inlineStr">
        <is>
          <t>SAN-B</t>
        </is>
      </c>
      <c r="Y29" s="21" t="n"/>
      <c r="Z29" s="21" t="n"/>
      <c r="AA29" s="21" t="n"/>
      <c r="AB29" s="21" t="n"/>
      <c r="AC29" s="21" t="n"/>
      <c r="AD29" s="21" t="n"/>
      <c r="AE29" s="21" t="n"/>
      <c r="AF29" s="67" t="inlineStr">
        <is>
          <t>R02 U35</t>
        </is>
      </c>
      <c r="AG29" s="21" t="n"/>
      <c r="AH29" s="21" t="n"/>
      <c r="AI29" s="21" t="n"/>
      <c r="AJ29" s="21" t="n"/>
      <c r="AK29" s="21" t="n"/>
      <c r="AL29" s="67" t="inlineStr">
        <is>
          <t>P0</t>
        </is>
      </c>
      <c r="AM29" s="21" t="n"/>
      <c r="AN29" s="21" t="n"/>
      <c r="AO29" s="21" t="n"/>
      <c r="AP29" s="21" t="n"/>
      <c r="AQ29" s="21" t="n"/>
      <c r="AR29" s="68" t="inlineStr">
        <is>
          <t>R02-D039</t>
        </is>
      </c>
      <c r="AS29" s="21" t="n"/>
      <c r="AT29" s="21" t="n"/>
      <c r="AU29" s="21" t="n"/>
      <c r="AV29" s="21" t="n"/>
      <c r="AW29" s="21" t="n"/>
      <c r="AX29" s="21" t="n"/>
      <c r="AY29" s="67" t="inlineStr">
        <is>
          <t>Fabric B</t>
        </is>
      </c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5" t="n">
        <v>3</v>
      </c>
      <c r="C30" s="21" t="n"/>
      <c r="D30" s="66" t="inlineStr">
        <is>
          <t>후면</t>
        </is>
      </c>
      <c r="E30" s="21" t="n"/>
      <c r="F30" s="67" t="inlineStr">
        <is>
          <t>S4-P1</t>
        </is>
      </c>
      <c r="G30" s="21" t="n"/>
      <c r="H30" s="21" t="n"/>
      <c r="I30" s="21" t="n"/>
      <c r="J30" s="21" t="n"/>
      <c r="K30" s="21" t="n"/>
      <c r="L30" s="67" t="inlineStr">
        <is>
          <t>서비스</t>
        </is>
      </c>
      <c r="M30" s="21" t="n"/>
      <c r="N30" s="21" t="n"/>
      <c r="O30" s="21" t="n"/>
      <c r="P30" s="21" t="n"/>
      <c r="Q30" s="67" t="inlineStr">
        <is>
          <t>OM4 LC-LC</t>
        </is>
      </c>
      <c r="R30" s="21" t="n"/>
      <c r="S30" s="21" t="n"/>
      <c r="T30" s="21" t="n"/>
      <c r="U30" s="21" t="n"/>
      <c r="V30" s="21" t="n"/>
      <c r="W30" s="21" t="n"/>
      <c r="X30" s="67" t="inlineStr">
        <is>
          <t>TOR-A</t>
        </is>
      </c>
      <c r="Y30" s="21" t="n"/>
      <c r="Z30" s="21" t="n"/>
      <c r="AA30" s="21" t="n"/>
      <c r="AB30" s="21" t="n"/>
      <c r="AC30" s="21" t="n"/>
      <c r="AD30" s="21" t="n"/>
      <c r="AE30" s="21" t="n"/>
      <c r="AF30" s="67" t="inlineStr">
        <is>
          <t>R02 U39</t>
        </is>
      </c>
      <c r="AG30" s="21" t="n"/>
      <c r="AH30" s="21" t="n"/>
      <c r="AI30" s="21" t="n"/>
      <c r="AJ30" s="21" t="n"/>
      <c r="AK30" s="21" t="n"/>
      <c r="AL30" s="67" t="inlineStr">
        <is>
          <t>Eth1/12</t>
        </is>
      </c>
      <c r="AM30" s="21" t="n"/>
      <c r="AN30" s="21" t="n"/>
      <c r="AO30" s="21" t="n"/>
      <c r="AP30" s="21" t="n"/>
      <c r="AQ30" s="21" t="n"/>
      <c r="AR30" s="68" t="inlineStr">
        <is>
          <t>R02-D015</t>
        </is>
      </c>
      <c r="AS30" s="21" t="n"/>
      <c r="AT30" s="21" t="n"/>
      <c r="AU30" s="21" t="n"/>
      <c r="AV30" s="21" t="n"/>
      <c r="AW30" s="21" t="n"/>
      <c r="AX30" s="21" t="n"/>
      <c r="AY30" s="67" t="inlineStr">
        <is>
          <t>vMotion</t>
        </is>
      </c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</row>
    <row r="31" ht="13.5" customHeight="1">
      <c r="B31" s="65" t="n">
        <v>4</v>
      </c>
      <c r="C31" s="21" t="n"/>
      <c r="D31" s="66" t="inlineStr">
        <is>
          <t>후면</t>
        </is>
      </c>
      <c r="E31" s="21" t="n"/>
      <c r="F31" s="67" t="inlineStr">
        <is>
          <t>S4-P2</t>
        </is>
      </c>
      <c r="G31" s="21" t="n"/>
      <c r="H31" s="21" t="n"/>
      <c r="I31" s="21" t="n"/>
      <c r="J31" s="21" t="n"/>
      <c r="K31" s="21" t="n"/>
      <c r="L31" s="67" t="inlineStr">
        <is>
          <t>서비스</t>
        </is>
      </c>
      <c r="M31" s="21" t="n"/>
      <c r="N31" s="21" t="n"/>
      <c r="O31" s="21" t="n"/>
      <c r="P31" s="21" t="n"/>
      <c r="Q31" s="67" t="inlineStr">
        <is>
          <t>OM4 LC-LC</t>
        </is>
      </c>
      <c r="R31" s="21" t="n"/>
      <c r="S31" s="21" t="n"/>
      <c r="T31" s="21" t="n"/>
      <c r="U31" s="21" t="n"/>
      <c r="V31" s="21" t="n"/>
      <c r="W31" s="21" t="n"/>
      <c r="X31" s="67" t="inlineStr">
        <is>
          <t>TOR-B</t>
        </is>
      </c>
      <c r="Y31" s="21" t="n"/>
      <c r="Z31" s="21" t="n"/>
      <c r="AA31" s="21" t="n"/>
      <c r="AB31" s="21" t="n"/>
      <c r="AC31" s="21" t="n"/>
      <c r="AD31" s="21" t="n"/>
      <c r="AE31" s="21" t="n"/>
      <c r="AF31" s="67" t="inlineStr">
        <is>
          <t>R02 U38</t>
        </is>
      </c>
      <c r="AG31" s="21" t="n"/>
      <c r="AH31" s="21" t="n"/>
      <c r="AI31" s="21" t="n"/>
      <c r="AJ31" s="21" t="n"/>
      <c r="AK31" s="21" t="n"/>
      <c r="AL31" s="67" t="inlineStr">
        <is>
          <t>Eth1/12</t>
        </is>
      </c>
      <c r="AM31" s="21" t="n"/>
      <c r="AN31" s="21" t="n"/>
      <c r="AO31" s="21" t="n"/>
      <c r="AP31" s="21" t="n"/>
      <c r="AQ31" s="21" t="n"/>
      <c r="AR31" s="68" t="inlineStr">
        <is>
          <t>R02-D016</t>
        </is>
      </c>
      <c r="AS31" s="21" t="n"/>
      <c r="AT31" s="21" t="n"/>
      <c r="AU31" s="21" t="n"/>
      <c r="AV31" s="21" t="n"/>
      <c r="AW31" s="21" t="n"/>
      <c r="AX31" s="21" t="n"/>
      <c r="AY31" s="67" t="inlineStr">
        <is>
          <t>vMotion</t>
        </is>
      </c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</row>
    <row r="32" ht="13.5" customHeight="1">
      <c r="B32" s="65" t="n">
        <v>5</v>
      </c>
      <c r="C32" s="21" t="n"/>
      <c r="D32" s="66" t="inlineStr">
        <is>
          <t>후면</t>
        </is>
      </c>
      <c r="E32" s="21" t="n"/>
      <c r="F32" s="67" t="inlineStr">
        <is>
          <t>FLR1</t>
        </is>
      </c>
      <c r="G32" s="21" t="n"/>
      <c r="H32" s="21" t="n"/>
      <c r="I32" s="21" t="n"/>
      <c r="J32" s="21" t="n"/>
      <c r="K32" s="21" t="n"/>
      <c r="L32" s="67" t="inlineStr">
        <is>
          <t>서비스</t>
        </is>
      </c>
      <c r="M32" s="21" t="n"/>
      <c r="N32" s="21" t="n"/>
      <c r="O32" s="21" t="n"/>
      <c r="P32" s="21" t="n"/>
      <c r="Q32" s="67" t="inlineStr">
        <is>
          <t>DAC 25G 3m</t>
        </is>
      </c>
      <c r="R32" s="21" t="n"/>
      <c r="S32" s="21" t="n"/>
      <c r="T32" s="21" t="n"/>
      <c r="U32" s="21" t="n"/>
      <c r="V32" s="21" t="n"/>
      <c r="W32" s="21" t="n"/>
      <c r="X32" s="67" t="inlineStr">
        <is>
          <t>TOR-A</t>
        </is>
      </c>
      <c r="Y32" s="21" t="n"/>
      <c r="Z32" s="21" t="n"/>
      <c r="AA32" s="21" t="n"/>
      <c r="AB32" s="21" t="n"/>
      <c r="AC32" s="21" t="n"/>
      <c r="AD32" s="21" t="n"/>
      <c r="AE32" s="21" t="n"/>
      <c r="AF32" s="67" t="inlineStr">
        <is>
          <t>R02 U39</t>
        </is>
      </c>
      <c r="AG32" s="21" t="n"/>
      <c r="AH32" s="21" t="n"/>
      <c r="AI32" s="21" t="n"/>
      <c r="AJ32" s="21" t="n"/>
      <c r="AK32" s="21" t="n"/>
      <c r="AL32" s="67" t="inlineStr">
        <is>
          <t>Eth1/11</t>
        </is>
      </c>
      <c r="AM32" s="21" t="n"/>
      <c r="AN32" s="21" t="n"/>
      <c r="AO32" s="21" t="n"/>
      <c r="AP32" s="21" t="n"/>
      <c r="AQ32" s="21" t="n"/>
      <c r="AR32" s="68" t="inlineStr">
        <is>
          <t>R02-D013</t>
        </is>
      </c>
      <c r="AS32" s="21" t="n"/>
      <c r="AT32" s="21" t="n"/>
      <c r="AU32" s="21" t="n"/>
      <c r="AV32" s="21" t="n"/>
      <c r="AW32" s="21" t="n"/>
      <c r="AX32" s="21" t="n"/>
      <c r="AY32" s="67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</row>
    <row r="33" ht="13.5" customHeight="1">
      <c r="B33" s="65" t="n">
        <v>6</v>
      </c>
      <c r="C33" s="21" t="n"/>
      <c r="D33" s="66" t="inlineStr">
        <is>
          <t>후면</t>
        </is>
      </c>
      <c r="E33" s="21" t="n"/>
      <c r="F33" s="67" t="inlineStr">
        <is>
          <t>FLR2</t>
        </is>
      </c>
      <c r="G33" s="21" t="n"/>
      <c r="H33" s="21" t="n"/>
      <c r="I33" s="21" t="n"/>
      <c r="J33" s="21" t="n"/>
      <c r="K33" s="21" t="n"/>
      <c r="L33" s="67" t="inlineStr">
        <is>
          <t>서비스</t>
        </is>
      </c>
      <c r="M33" s="21" t="n"/>
      <c r="N33" s="21" t="n"/>
      <c r="O33" s="21" t="n"/>
      <c r="P33" s="21" t="n"/>
      <c r="Q33" s="67" t="inlineStr">
        <is>
          <t>DAC 25G 3m</t>
        </is>
      </c>
      <c r="R33" s="21" t="n"/>
      <c r="S33" s="21" t="n"/>
      <c r="T33" s="21" t="n"/>
      <c r="U33" s="21" t="n"/>
      <c r="V33" s="21" t="n"/>
      <c r="W33" s="21" t="n"/>
      <c r="X33" s="67" t="inlineStr">
        <is>
          <t>TOR-B</t>
        </is>
      </c>
      <c r="Y33" s="21" t="n"/>
      <c r="Z33" s="21" t="n"/>
      <c r="AA33" s="21" t="n"/>
      <c r="AB33" s="21" t="n"/>
      <c r="AC33" s="21" t="n"/>
      <c r="AD33" s="21" t="n"/>
      <c r="AE33" s="21" t="n"/>
      <c r="AF33" s="67" t="inlineStr">
        <is>
          <t>R02 U38</t>
        </is>
      </c>
      <c r="AG33" s="21" t="n"/>
      <c r="AH33" s="21" t="n"/>
      <c r="AI33" s="21" t="n"/>
      <c r="AJ33" s="21" t="n"/>
      <c r="AK33" s="21" t="n"/>
      <c r="AL33" s="67" t="inlineStr">
        <is>
          <t>Eth1/11</t>
        </is>
      </c>
      <c r="AM33" s="21" t="n"/>
      <c r="AN33" s="21" t="n"/>
      <c r="AO33" s="21" t="n"/>
      <c r="AP33" s="21" t="n"/>
      <c r="AQ33" s="21" t="n"/>
      <c r="AR33" s="68" t="inlineStr">
        <is>
          <t>R02-D014</t>
        </is>
      </c>
      <c r="AS33" s="21" t="n"/>
      <c r="AT33" s="21" t="n"/>
      <c r="AU33" s="21" t="n"/>
      <c r="AV33" s="21" t="n"/>
      <c r="AW33" s="21" t="n"/>
      <c r="AX33" s="21" t="n"/>
      <c r="AY33" s="67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</row>
    <row r="34" ht="13.5" customHeight="1">
      <c r="B34" s="65" t="n">
        <v>7</v>
      </c>
      <c r="C34" s="21" t="n"/>
      <c r="D34" s="66" t="inlineStr">
        <is>
          <t>후면</t>
        </is>
      </c>
      <c r="E34" s="21" t="n"/>
      <c r="F34" s="67" t="inlineStr">
        <is>
          <t>iLO</t>
        </is>
      </c>
      <c r="G34" s="21" t="n"/>
      <c r="H34" s="21" t="n"/>
      <c r="I34" s="21" t="n"/>
      <c r="J34" s="21" t="n"/>
      <c r="K34" s="21" t="n"/>
      <c r="L34" s="67" t="inlineStr">
        <is>
          <t>관리</t>
        </is>
      </c>
      <c r="M34" s="21" t="n"/>
      <c r="N34" s="21" t="n"/>
      <c r="O34" s="21" t="n"/>
      <c r="P34" s="21" t="n"/>
      <c r="Q34" s="67" t="inlineStr">
        <is>
          <t>UTP Cat6 / RJ45</t>
        </is>
      </c>
      <c r="R34" s="21" t="n"/>
      <c r="S34" s="21" t="n"/>
      <c r="T34" s="21" t="n"/>
      <c r="U34" s="21" t="n"/>
      <c r="V34" s="21" t="n"/>
      <c r="W34" s="21" t="n"/>
      <c r="X34" s="67" t="inlineStr">
        <is>
          <t>MGMT-SW</t>
        </is>
      </c>
      <c r="Y34" s="21" t="n"/>
      <c r="Z34" s="21" t="n"/>
      <c r="AA34" s="21" t="n"/>
      <c r="AB34" s="21" t="n"/>
      <c r="AC34" s="21" t="n"/>
      <c r="AD34" s="21" t="n"/>
      <c r="AE34" s="21" t="n"/>
      <c r="AF34" s="67" t="inlineStr">
        <is>
          <t>R02 U41</t>
        </is>
      </c>
      <c r="AG34" s="21" t="n"/>
      <c r="AH34" s="21" t="n"/>
      <c r="AI34" s="21" t="n"/>
      <c r="AJ34" s="21" t="n"/>
      <c r="AK34" s="21" t="n"/>
      <c r="AL34" s="67" t="inlineStr">
        <is>
          <t>Gi1/0/1</t>
        </is>
      </c>
      <c r="AM34" s="21" t="n"/>
      <c r="AN34" s="21" t="n"/>
      <c r="AO34" s="21" t="n"/>
      <c r="AP34" s="21" t="n"/>
      <c r="AQ34" s="21" t="n"/>
      <c r="AR34" s="68" t="inlineStr">
        <is>
          <t>R02-D001</t>
        </is>
      </c>
      <c r="AS34" s="21" t="n"/>
      <c r="AT34" s="21" t="n"/>
      <c r="AU34" s="21" t="n"/>
      <c r="AV34" s="21" t="n"/>
      <c r="AW34" s="21" t="n"/>
      <c r="AX34" s="21" t="n"/>
      <c r="AY34" s="67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</row>
    <row r="35" ht="13.5" customHeight="1">
      <c r="B35" s="65" t="n">
        <v>8</v>
      </c>
      <c r="C35" s="21" t="n"/>
      <c r="D35" s="66" t="inlineStr">
        <is>
          <t>후면</t>
        </is>
      </c>
      <c r="E35" s="21" t="n"/>
      <c r="F35" s="67" t="inlineStr">
        <is>
          <t>LOM1</t>
        </is>
      </c>
      <c r="G35" s="21" t="n"/>
      <c r="H35" s="21" t="n"/>
      <c r="I35" s="21" t="n"/>
      <c r="J35" s="21" t="n"/>
      <c r="K35" s="21" t="n"/>
      <c r="L35" s="67" t="inlineStr">
        <is>
          <t>백업</t>
        </is>
      </c>
      <c r="M35" s="21" t="n"/>
      <c r="N35" s="21" t="n"/>
      <c r="O35" s="21" t="n"/>
      <c r="P35" s="21" t="n"/>
      <c r="Q35" s="67" t="inlineStr">
        <is>
          <t>UTP Cat6 / RJ45</t>
        </is>
      </c>
      <c r="R35" s="21" t="n"/>
      <c r="S35" s="21" t="n"/>
      <c r="T35" s="21" t="n"/>
      <c r="U35" s="21" t="n"/>
      <c r="V35" s="21" t="n"/>
      <c r="W35" s="21" t="n"/>
      <c r="X35" s="67" t="inlineStr">
        <is>
          <t>PP-01</t>
        </is>
      </c>
      <c r="Y35" s="21" t="n"/>
      <c r="Z35" s="21" t="n"/>
      <c r="AA35" s="21" t="n"/>
      <c r="AB35" s="21" t="n"/>
      <c r="AC35" s="21" t="n"/>
      <c r="AD35" s="21" t="n"/>
      <c r="AE35" s="21" t="n"/>
      <c r="AF35" s="67" t="inlineStr">
        <is>
          <t>R02 U42</t>
        </is>
      </c>
      <c r="AG35" s="21" t="n"/>
      <c r="AH35" s="21" t="n"/>
      <c r="AI35" s="21" t="n"/>
      <c r="AJ35" s="21" t="n"/>
      <c r="AK35" s="21" t="n"/>
      <c r="AL35" s="67" t="inlineStr">
        <is>
          <t>1</t>
        </is>
      </c>
      <c r="AM35" s="21" t="n"/>
      <c r="AN35" s="21" t="n"/>
      <c r="AO35" s="21" t="n"/>
      <c r="AP35" s="21" t="n"/>
      <c r="AQ35" s="21" t="n"/>
      <c r="AR35" s="68" t="inlineStr">
        <is>
          <t>R02-D029</t>
        </is>
      </c>
      <c r="AS35" s="21" t="n"/>
      <c r="AT35" s="21" t="n"/>
      <c r="AU35" s="21" t="n"/>
      <c r="AV35" s="21" t="n"/>
      <c r="AW35" s="21" t="n"/>
      <c r="AX35" s="21" t="n"/>
      <c r="AY35" s="67" t="inlineStr">
        <is>
          <t>→ R05 BAK-SW Gi1/0/3</t>
        </is>
      </c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</row>
    <row r="36" ht="13.5" customHeight="1">
      <c r="B36" s="65" t="n">
        <v>9</v>
      </c>
      <c r="C36" s="21" t="n"/>
      <c r="D36" s="66" t="inlineStr">
        <is>
          <t>후면</t>
        </is>
      </c>
      <c r="E36" s="21" t="n"/>
      <c r="F36" s="67" t="inlineStr">
        <is>
          <t>PSU2</t>
        </is>
      </c>
      <c r="G36" s="21" t="n"/>
      <c r="H36" s="21" t="n"/>
      <c r="I36" s="21" t="n"/>
      <c r="J36" s="21" t="n"/>
      <c r="K36" s="21" t="n"/>
      <c r="L36" s="67" t="inlineStr">
        <is>
          <t>전원</t>
        </is>
      </c>
      <c r="M36" s="21" t="n"/>
      <c r="N36" s="21" t="n"/>
      <c r="O36" s="21" t="n"/>
      <c r="P36" s="21" t="n"/>
      <c r="Q36" s="67" t="inlineStr">
        <is>
          <t>C13-C14 2m</t>
        </is>
      </c>
      <c r="R36" s="21" t="n"/>
      <c r="S36" s="21" t="n"/>
      <c r="T36" s="21" t="n"/>
      <c r="U36" s="21" t="n"/>
      <c r="V36" s="21" t="n"/>
      <c r="W36" s="21" t="n"/>
      <c r="X36" s="67" t="inlineStr">
        <is>
          <t>PDU-B</t>
        </is>
      </c>
      <c r="Y36" s="21" t="n"/>
      <c r="Z36" s="21" t="n"/>
      <c r="AA36" s="21" t="n"/>
      <c r="AB36" s="21" t="n"/>
      <c r="AC36" s="21" t="n"/>
      <c r="AD36" s="21" t="n"/>
      <c r="AE36" s="21" t="n"/>
      <c r="AF36" s="67" t="inlineStr">
        <is>
          <t>R02 후면 우</t>
        </is>
      </c>
      <c r="AG36" s="21" t="n"/>
      <c r="AH36" s="21" t="n"/>
      <c r="AI36" s="21" t="n"/>
      <c r="AJ36" s="21" t="n"/>
      <c r="AK36" s="21" t="n"/>
      <c r="AL36" s="67" t="inlineStr">
        <is>
          <t>C13-7</t>
        </is>
      </c>
      <c r="AM36" s="21" t="n"/>
      <c r="AN36" s="21" t="n"/>
      <c r="AO36" s="21" t="n"/>
      <c r="AP36" s="21" t="n"/>
      <c r="AQ36" s="21" t="n"/>
      <c r="AR36" s="68" t="inlineStr">
        <is>
          <t>R02-P014</t>
        </is>
      </c>
      <c r="AS36" s="21" t="n"/>
      <c r="AT36" s="21" t="n"/>
      <c r="AU36" s="21" t="n"/>
      <c r="AV36" s="21" t="n"/>
      <c r="AW36" s="21" t="n"/>
      <c r="AX36" s="21" t="n"/>
      <c r="AY36" s="67" t="inlineStr">
        <is>
          <t>B 계통</t>
        </is>
      </c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</row>
    <row r="37" ht="13.5" customHeight="1">
      <c r="B37" s="65" t="n">
        <v>10</v>
      </c>
      <c r="C37" s="21" t="n"/>
      <c r="D37" s="66" t="inlineStr">
        <is>
          <t>후면</t>
        </is>
      </c>
      <c r="E37" s="21" t="n"/>
      <c r="F37" s="67" t="inlineStr">
        <is>
          <t>PSU1</t>
        </is>
      </c>
      <c r="G37" s="21" t="n"/>
      <c r="H37" s="21" t="n"/>
      <c r="I37" s="21" t="n"/>
      <c r="J37" s="21" t="n"/>
      <c r="K37" s="21" t="n"/>
      <c r="L37" s="67" t="inlineStr">
        <is>
          <t>전원</t>
        </is>
      </c>
      <c r="M37" s="21" t="n"/>
      <c r="N37" s="21" t="n"/>
      <c r="O37" s="21" t="n"/>
      <c r="P37" s="21" t="n"/>
      <c r="Q37" s="67" t="inlineStr">
        <is>
          <t>C13-C14 2m</t>
        </is>
      </c>
      <c r="R37" s="21" t="n"/>
      <c r="S37" s="21" t="n"/>
      <c r="T37" s="21" t="n"/>
      <c r="U37" s="21" t="n"/>
      <c r="V37" s="21" t="n"/>
      <c r="W37" s="21" t="n"/>
      <c r="X37" s="67" t="inlineStr">
        <is>
          <t>PDU-A</t>
        </is>
      </c>
      <c r="Y37" s="21" t="n"/>
      <c r="Z37" s="21" t="n"/>
      <c r="AA37" s="21" t="n"/>
      <c r="AB37" s="21" t="n"/>
      <c r="AC37" s="21" t="n"/>
      <c r="AD37" s="21" t="n"/>
      <c r="AE37" s="21" t="n"/>
      <c r="AF37" s="67" t="inlineStr">
        <is>
          <t>R02 후면 좌</t>
        </is>
      </c>
      <c r="AG37" s="21" t="n"/>
      <c r="AH37" s="21" t="n"/>
      <c r="AI37" s="21" t="n"/>
      <c r="AJ37" s="21" t="n"/>
      <c r="AK37" s="21" t="n"/>
      <c r="AL37" s="67" t="inlineStr">
        <is>
          <t>C13-7</t>
        </is>
      </c>
      <c r="AM37" s="21" t="n"/>
      <c r="AN37" s="21" t="n"/>
      <c r="AO37" s="21" t="n"/>
      <c r="AP37" s="21" t="n"/>
      <c r="AQ37" s="21" t="n"/>
      <c r="AR37" s="68" t="inlineStr">
        <is>
          <t>R02-P013</t>
        </is>
      </c>
      <c r="AS37" s="21" t="n"/>
      <c r="AT37" s="21" t="n"/>
      <c r="AU37" s="21" t="n"/>
      <c r="AV37" s="21" t="n"/>
      <c r="AW37" s="21" t="n"/>
      <c r="AX37" s="21" t="n"/>
      <c r="AY37" s="67" t="inlineStr">
        <is>
          <t>A 계통</t>
        </is>
      </c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</row>
    <row r="38" ht="13.5" customHeight="1">
      <c r="B38" s="65" t="n"/>
      <c r="C38" s="21" t="n"/>
      <c r="D38" s="66" t="n"/>
      <c r="E38" s="21" t="n"/>
      <c r="F38" s="67" t="n"/>
      <c r="G38" s="21" t="n"/>
      <c r="H38" s="21" t="n"/>
      <c r="I38" s="21" t="n"/>
      <c r="J38" s="21" t="n"/>
      <c r="K38" s="21" t="n"/>
      <c r="L38" s="67" t="n"/>
      <c r="M38" s="21" t="n"/>
      <c r="N38" s="21" t="n"/>
      <c r="O38" s="21" t="n"/>
      <c r="P38" s="21" t="n"/>
      <c r="Q38" s="67" t="n"/>
      <c r="R38" s="21" t="n"/>
      <c r="S38" s="21" t="n"/>
      <c r="T38" s="21" t="n"/>
      <c r="U38" s="21" t="n"/>
      <c r="V38" s="21" t="n"/>
      <c r="W38" s="21" t="n"/>
      <c r="X38" s="67" t="n"/>
      <c r="Y38" s="21" t="n"/>
      <c r="Z38" s="21" t="n"/>
      <c r="AA38" s="21" t="n"/>
      <c r="AB38" s="21" t="n"/>
      <c r="AC38" s="21" t="n"/>
      <c r="AD38" s="21" t="n"/>
      <c r="AE38" s="21" t="n"/>
      <c r="AF38" s="67" t="n"/>
      <c r="AG38" s="21" t="n"/>
      <c r="AH38" s="21" t="n"/>
      <c r="AI38" s="21" t="n"/>
      <c r="AJ38" s="21" t="n"/>
      <c r="AK38" s="21" t="n"/>
      <c r="AL38" s="67" t="n"/>
      <c r="AM38" s="21" t="n"/>
      <c r="AN38" s="21" t="n"/>
      <c r="AO38" s="21" t="n"/>
      <c r="AP38" s="21" t="n"/>
      <c r="AQ38" s="21" t="n"/>
      <c r="AR38" s="68" t="n"/>
      <c r="AS38" s="21" t="n"/>
      <c r="AT38" s="21" t="n"/>
      <c r="AU38" s="21" t="n"/>
      <c r="AV38" s="21" t="n"/>
      <c r="AW38" s="21" t="n"/>
      <c r="AX38" s="21" t="n"/>
      <c r="AY38" s="67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</row>
    <row r="39" ht="13.5" customHeight="1">
      <c r="B39" s="65" t="n"/>
      <c r="C39" s="21" t="n"/>
      <c r="D39" s="66" t="n"/>
      <c r="E39" s="21" t="n"/>
      <c r="F39" s="67" t="n"/>
      <c r="G39" s="21" t="n"/>
      <c r="H39" s="21" t="n"/>
      <c r="I39" s="21" t="n"/>
      <c r="J39" s="21" t="n"/>
      <c r="K39" s="21" t="n"/>
      <c r="L39" s="67" t="n"/>
      <c r="M39" s="21" t="n"/>
      <c r="N39" s="21" t="n"/>
      <c r="O39" s="21" t="n"/>
      <c r="P39" s="21" t="n"/>
      <c r="Q39" s="67" t="n"/>
      <c r="R39" s="21" t="n"/>
      <c r="S39" s="21" t="n"/>
      <c r="T39" s="21" t="n"/>
      <c r="U39" s="21" t="n"/>
      <c r="V39" s="21" t="n"/>
      <c r="W39" s="21" t="n"/>
      <c r="X39" s="67" t="n"/>
      <c r="Y39" s="21" t="n"/>
      <c r="Z39" s="21" t="n"/>
      <c r="AA39" s="21" t="n"/>
      <c r="AB39" s="21" t="n"/>
      <c r="AC39" s="21" t="n"/>
      <c r="AD39" s="21" t="n"/>
      <c r="AE39" s="21" t="n"/>
      <c r="AF39" s="67" t="n"/>
      <c r="AG39" s="21" t="n"/>
      <c r="AH39" s="21" t="n"/>
      <c r="AI39" s="21" t="n"/>
      <c r="AJ39" s="21" t="n"/>
      <c r="AK39" s="21" t="n"/>
      <c r="AL39" s="67" t="n"/>
      <c r="AM39" s="21" t="n"/>
      <c r="AN39" s="21" t="n"/>
      <c r="AO39" s="21" t="n"/>
      <c r="AP39" s="21" t="n"/>
      <c r="AQ39" s="21" t="n"/>
      <c r="AR39" s="68" t="n"/>
      <c r="AS39" s="21" t="n"/>
      <c r="AT39" s="21" t="n"/>
      <c r="AU39" s="21" t="n"/>
      <c r="AV39" s="21" t="n"/>
      <c r="AW39" s="21" t="n"/>
      <c r="AX39" s="21" t="n"/>
      <c r="AY39" s="67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</row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</sheetData>
  <mergeCells count="187">
    <mergeCell ref="AY29:BK29"/>
    <mergeCell ref="Q27:W27"/>
    <mergeCell ref="AL32:AQ32"/>
    <mergeCell ref="F32:K32"/>
    <mergeCell ref="X39:AE39"/>
    <mergeCell ref="F35:K35"/>
    <mergeCell ref="G23:H23"/>
    <mergeCell ref="B31:C31"/>
    <mergeCell ref="D36:E36"/>
    <mergeCell ref="D31:E31"/>
    <mergeCell ref="AY31:BK31"/>
    <mergeCell ref="E6:F11"/>
    <mergeCell ref="G6:H11"/>
    <mergeCell ref="Q6:R11"/>
    <mergeCell ref="L33:P33"/>
    <mergeCell ref="S6:T11"/>
    <mergeCell ref="F27:K27"/>
    <mergeCell ref="AL33:AQ33"/>
    <mergeCell ref="AN22:AO22"/>
    <mergeCell ref="Q37:W37"/>
    <mergeCell ref="L35:P35"/>
    <mergeCell ref="AL35:AQ35"/>
    <mergeCell ref="AR27:AX27"/>
    <mergeCell ref="B38:C38"/>
    <mergeCell ref="AQ6:AR11"/>
    <mergeCell ref="X33:AE33"/>
    <mergeCell ref="Q39:W39"/>
    <mergeCell ref="AK16:AL16"/>
    <mergeCell ref="AF36:AK36"/>
    <mergeCell ref="Q29:W29"/>
    <mergeCell ref="AL23:AM23"/>
    <mergeCell ref="F29:K29"/>
    <mergeCell ref="Q38:W38"/>
    <mergeCell ref="AN23:AO23"/>
    <mergeCell ref="AF34:AK34"/>
    <mergeCell ref="X35:AE35"/>
    <mergeCell ref="Q17:R17"/>
    <mergeCell ref="B33:C33"/>
    <mergeCell ref="AR28:AX28"/>
    <mergeCell ref="D33:E33"/>
    <mergeCell ref="Q31:W31"/>
    <mergeCell ref="AL6:AM11"/>
    <mergeCell ref="AL36:AQ36"/>
    <mergeCell ref="B32:C32"/>
    <mergeCell ref="J23:K23"/>
    <mergeCell ref="G22:H22"/>
    <mergeCell ref="B35:C35"/>
    <mergeCell ref="AA22:AB22"/>
    <mergeCell ref="X27:AE27"/>
    <mergeCell ref="AR30:AX30"/>
    <mergeCell ref="D35:E35"/>
    <mergeCell ref="AY35:BK35"/>
    <mergeCell ref="X36:AE36"/>
    <mergeCell ref="D34:E34"/>
    <mergeCell ref="AD6:AE11"/>
    <mergeCell ref="AL28:AQ28"/>
    <mergeCell ref="L32:P32"/>
    <mergeCell ref="AF6:AG11"/>
    <mergeCell ref="AL37:AQ37"/>
    <mergeCell ref="W22:Y22"/>
    <mergeCell ref="B27:C27"/>
    <mergeCell ref="B4:B13"/>
    <mergeCell ref="AY30:BK30"/>
    <mergeCell ref="F38:K38"/>
    <mergeCell ref="M6:N11"/>
    <mergeCell ref="AR32:AX32"/>
    <mergeCell ref="BI7:BJ7"/>
    <mergeCell ref="X37:AE37"/>
    <mergeCell ref="AF32:AK32"/>
    <mergeCell ref="AF35:AK35"/>
    <mergeCell ref="Q28:W28"/>
    <mergeCell ref="F37:K37"/>
    <mergeCell ref="AF38:AK38"/>
    <mergeCell ref="B29:C29"/>
    <mergeCell ref="AY32:BK32"/>
    <mergeCell ref="B37:C37"/>
    <mergeCell ref="D37:E37"/>
    <mergeCell ref="AY6:AZ11"/>
    <mergeCell ref="AR37:AX37"/>
    <mergeCell ref="X38:AE38"/>
    <mergeCell ref="AF27:AK27"/>
    <mergeCell ref="J22:K22"/>
    <mergeCell ref="T22:U22"/>
    <mergeCell ref="AY38:BK38"/>
    <mergeCell ref="AF37:AK37"/>
    <mergeCell ref="D39:E39"/>
    <mergeCell ref="L34:P34"/>
    <mergeCell ref="AL34:AQ34"/>
    <mergeCell ref="F34:K34"/>
    <mergeCell ref="BC6:BD11"/>
    <mergeCell ref="AF33:AK33"/>
    <mergeCell ref="BE6:BF11"/>
    <mergeCell ref="D29:E29"/>
    <mergeCell ref="O6:P11"/>
    <mergeCell ref="D38:E38"/>
    <mergeCell ref="AL27:AQ27"/>
    <mergeCell ref="L36:P36"/>
    <mergeCell ref="AH22:AI22"/>
    <mergeCell ref="AX23:AY23"/>
    <mergeCell ref="AJ22:AK22"/>
    <mergeCell ref="AR34:AX34"/>
    <mergeCell ref="F30:K30"/>
    <mergeCell ref="AL22:AM22"/>
    <mergeCell ref="BI9:BJ9"/>
    <mergeCell ref="F33:K33"/>
    <mergeCell ref="AR36:AX36"/>
    <mergeCell ref="L28:P28"/>
    <mergeCell ref="L37:P37"/>
    <mergeCell ref="AH23:AI23"/>
    <mergeCell ref="AR29:AX29"/>
    <mergeCell ref="AF30:AK30"/>
    <mergeCell ref="AJ23:AK23"/>
    <mergeCell ref="AY34:BK34"/>
    <mergeCell ref="Q32:W32"/>
    <mergeCell ref="X6:Y11"/>
    <mergeCell ref="F28:K28"/>
    <mergeCell ref="AH6:AI11"/>
    <mergeCell ref="D27:E27"/>
    <mergeCell ref="AJ6:AK11"/>
    <mergeCell ref="AR31:AX31"/>
    <mergeCell ref="AY36:BK36"/>
    <mergeCell ref="X34:AE34"/>
    <mergeCell ref="AN16:AO16"/>
    <mergeCell ref="X28:AE28"/>
    <mergeCell ref="AL39:AQ39"/>
    <mergeCell ref="AF31:AK31"/>
    <mergeCell ref="AL29:AQ29"/>
    <mergeCell ref="Q33:W33"/>
    <mergeCell ref="AL38:AQ38"/>
    <mergeCell ref="X30:AE30"/>
    <mergeCell ref="B34:C34"/>
    <mergeCell ref="B28:C28"/>
    <mergeCell ref="D28:E28"/>
    <mergeCell ref="X29:AE29"/>
    <mergeCell ref="AL31:AQ31"/>
    <mergeCell ref="T17:U17"/>
    <mergeCell ref="AN17:AO17"/>
    <mergeCell ref="B30:C30"/>
    <mergeCell ref="I6:J11"/>
    <mergeCell ref="D30:E30"/>
    <mergeCell ref="K6:L11"/>
    <mergeCell ref="Q34:W34"/>
    <mergeCell ref="B15:B24"/>
    <mergeCell ref="AA23:AB23"/>
    <mergeCell ref="L27:P27"/>
    <mergeCell ref="AY28:BK28"/>
    <mergeCell ref="Q16:R16"/>
    <mergeCell ref="AR33:AX33"/>
    <mergeCell ref="AK17:AL17"/>
    <mergeCell ref="Q36:W36"/>
    <mergeCell ref="Q30:W30"/>
    <mergeCell ref="F36:K36"/>
    <mergeCell ref="AS6:AT11"/>
    <mergeCell ref="AU6:AV11"/>
    <mergeCell ref="AW6:AX11"/>
    <mergeCell ref="AR35:AX35"/>
    <mergeCell ref="X32:AE32"/>
    <mergeCell ref="AX22:AY22"/>
    <mergeCell ref="BH22:BI22"/>
    <mergeCell ref="AR38:AX38"/>
    <mergeCell ref="B39:C39"/>
    <mergeCell ref="BA6:BB11"/>
    <mergeCell ref="F31:K31"/>
    <mergeCell ref="AY26:BB26"/>
    <mergeCell ref="D32:E32"/>
    <mergeCell ref="AY27:BK27"/>
    <mergeCell ref="L30:P30"/>
    <mergeCell ref="AY37:BK37"/>
    <mergeCell ref="L39:P39"/>
    <mergeCell ref="F39:K39"/>
    <mergeCell ref="BH23:BI23"/>
    <mergeCell ref="AY33:BK33"/>
    <mergeCell ref="L29:P29"/>
    <mergeCell ref="L38:P38"/>
    <mergeCell ref="AF28:AK28"/>
    <mergeCell ref="Z6:AA11"/>
    <mergeCell ref="AR39:AX39"/>
    <mergeCell ref="AB6:AC11"/>
    <mergeCell ref="L31:P31"/>
    <mergeCell ref="AL30:AQ30"/>
    <mergeCell ref="AF39:AK39"/>
    <mergeCell ref="T16:U16"/>
    <mergeCell ref="Q35:W35"/>
    <mergeCell ref="B36:C36"/>
    <mergeCell ref="AY39:BK39"/>
    <mergeCell ref="X31:AE31"/>
    <mergeCell ref="AF29:AK29"/>
  </mergeCells>
  <conditionalFormatting sqref="B28:C39">
    <cfRule type="expression" priority="1" dxfId="13" stopIfTrue="1">
      <formula>AND(ISNUMBER($B28),SUMPRODUCT(($C$4:$BK$25=$B28)*($C$4:$BK$25&lt;&gt;""))&lt;&gt;1)</formula>
    </cfRule>
    <cfRule type="expression" priority="2" dxfId="13" stopIfTrue="1">
      <formula>AND(ISNUMBER($B28),COUNTIF($B$28:$B$39,$B28)&gt;1)</formula>
    </cfRule>
    <cfRule type="expression" priority="3" dxfId="14" stopIfTrue="1">
      <formula>$L28="서비스"</formula>
    </cfRule>
    <cfRule type="expression" priority="4" dxfId="15" stopIfTrue="1">
      <formula>$L28="관리"</formula>
    </cfRule>
    <cfRule type="expression" priority="5" dxfId="16" stopIfTrue="1">
      <formula>$L28="백업"</formula>
    </cfRule>
    <cfRule type="expression" priority="6" dxfId="17" stopIfTrue="1">
      <formula>$L28="스토리지"</formula>
    </cfRule>
    <cfRule type="expression" priority="7" dxfId="18" stopIfTrue="1">
      <formula>$L28="인터커넥트"</formula>
    </cfRule>
    <cfRule type="expression" priority="8" dxfId="19" stopIfTrue="1">
      <formula>$L28="콘솔"</formula>
    </cfRule>
    <cfRule type="expression" priority="9" dxfId="20" stopIfTrue="1">
      <formula>$L28="전원"</formula>
    </cfRule>
  </conditionalFormatting>
  <dataValidations count="2">
    <dataValidation sqref="L28:L39" showDropDown="0" showInputMessage="0" showErrorMessage="0" allowBlank="1" type="list">
      <formula1>"서비스,관리,백업,스토리지,인터커넥트,콘솔,전원,기타"</formula1>
    </dataValidation>
    <dataValidation sqref="D28:D39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9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SRV-02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HPE ProLiant DL380 Gen10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U18–19</t>
        </is>
      </c>
      <c r="Z2" s="5" t="inlineStr">
        <is>
          <t>구분</t>
        </is>
      </c>
      <c r="AB2" s="6" t="inlineStr">
        <is>
          <t>서버</t>
        </is>
      </c>
      <c r="AH2" s="5" t="inlineStr">
        <is>
          <t>시리얼</t>
        </is>
      </c>
      <c r="AK2" s="6" t="inlineStr">
        <is>
          <t>SGH0123ABD</t>
        </is>
      </c>
      <c r="AS2" s="5" t="inlineStr">
        <is>
          <t>관리 IP</t>
        </is>
      </c>
      <c r="AV2" s="6" t="inlineStr">
        <is>
          <t>10.10.1.22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D5" s="45" t="inlineStr">
        <is>
          <t>BOX 1</t>
        </is>
      </c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7" t="n"/>
      <c r="W5" s="45" t="inlineStr">
        <is>
          <t>BOX 2</t>
        </is>
      </c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7" t="n"/>
      <c r="AP5" s="45" t="inlineStr">
        <is>
          <t>BOX 3</t>
        </is>
      </c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6" t="n"/>
      <c r="BA5" s="46" t="n"/>
      <c r="BB5" s="46" t="n"/>
      <c r="BC5" s="46" t="n"/>
      <c r="BD5" s="46" t="n"/>
      <c r="BE5" s="46" t="n"/>
      <c r="BF5" s="46" t="n"/>
      <c r="BG5" s="47" t="n"/>
      <c r="BI5" s="90" t="inlineStr">
        <is>
          <t>I/O</t>
        </is>
      </c>
      <c r="BJ5" s="47" t="n"/>
      <c r="BK5" s="17" t="n"/>
    </row>
    <row r="6" ht="12" customHeight="1">
      <c r="C6" s="18" t="n"/>
      <c r="D6" s="48" t="n"/>
      <c r="E6" s="105" t="inlineStr">
        <is>
          <t>1</t>
        </is>
      </c>
      <c r="F6" s="106" t="n"/>
      <c r="G6" s="105" t="inlineStr">
        <is>
          <t>2</t>
        </is>
      </c>
      <c r="H6" s="106" t="n"/>
      <c r="I6" s="105" t="inlineStr">
        <is>
          <t>3</t>
        </is>
      </c>
      <c r="J6" s="106" t="n"/>
      <c r="K6" s="105" t="inlineStr">
        <is>
          <t>4</t>
        </is>
      </c>
      <c r="L6" s="106" t="n"/>
      <c r="M6" s="105" t="inlineStr">
        <is>
          <t>5</t>
        </is>
      </c>
      <c r="N6" s="106" t="n"/>
      <c r="O6" s="105" t="inlineStr">
        <is>
          <t>6</t>
        </is>
      </c>
      <c r="P6" s="106" t="n"/>
      <c r="Q6" s="105" t="inlineStr">
        <is>
          <t>7</t>
        </is>
      </c>
      <c r="R6" s="106" t="n"/>
      <c r="S6" s="105" t="inlineStr">
        <is>
          <t>8</t>
        </is>
      </c>
      <c r="T6" s="106" t="n"/>
      <c r="U6" s="50" t="n"/>
      <c r="W6" s="48" t="n"/>
      <c r="X6" s="105" t="inlineStr">
        <is>
          <t>9</t>
        </is>
      </c>
      <c r="Y6" s="106" t="n"/>
      <c r="Z6" s="105" t="inlineStr">
        <is>
          <t>10</t>
        </is>
      </c>
      <c r="AA6" s="106" t="n"/>
      <c r="AB6" s="105" t="inlineStr">
        <is>
          <t>11</t>
        </is>
      </c>
      <c r="AC6" s="106" t="n"/>
      <c r="AD6" s="105" t="inlineStr">
        <is>
          <t>12</t>
        </is>
      </c>
      <c r="AE6" s="106" t="n"/>
      <c r="AF6" s="107" t="inlineStr">
        <is>
          <t>13</t>
        </is>
      </c>
      <c r="AG6" s="106" t="n"/>
      <c r="AH6" s="107" t="inlineStr">
        <is>
          <t>14</t>
        </is>
      </c>
      <c r="AI6" s="106" t="n"/>
      <c r="AJ6" s="107" t="inlineStr">
        <is>
          <t>15</t>
        </is>
      </c>
      <c r="AK6" s="106" t="n"/>
      <c r="AL6" s="107" t="inlineStr">
        <is>
          <t>16</t>
        </is>
      </c>
      <c r="AM6" s="106" t="n"/>
      <c r="AN6" s="50" t="n"/>
      <c r="AP6" s="48" t="n"/>
      <c r="AQ6" s="107" t="inlineStr">
        <is>
          <t>17</t>
        </is>
      </c>
      <c r="AR6" s="106" t="n"/>
      <c r="AS6" s="107" t="inlineStr">
        <is>
          <t>18</t>
        </is>
      </c>
      <c r="AT6" s="106" t="n"/>
      <c r="AU6" s="107" t="inlineStr">
        <is>
          <t>19</t>
        </is>
      </c>
      <c r="AV6" s="106" t="n"/>
      <c r="AW6" s="107" t="inlineStr">
        <is>
          <t>20</t>
        </is>
      </c>
      <c r="AX6" s="106" t="n"/>
      <c r="AY6" s="107" t="inlineStr">
        <is>
          <t>21</t>
        </is>
      </c>
      <c r="AZ6" s="106" t="n"/>
      <c r="BA6" s="107" t="inlineStr">
        <is>
          <t>22</t>
        </is>
      </c>
      <c r="BB6" s="106" t="n"/>
      <c r="BC6" s="107" t="inlineStr">
        <is>
          <t>23</t>
        </is>
      </c>
      <c r="BD6" s="106" t="n"/>
      <c r="BE6" s="107" t="inlineStr">
        <is>
          <t>24</t>
        </is>
      </c>
      <c r="BF6" s="106" t="n"/>
      <c r="BG6" s="50" t="n"/>
      <c r="BI6" s="48" t="n"/>
      <c r="BJ6" s="50" t="n"/>
      <c r="BK6" s="17" t="n"/>
    </row>
    <row r="7" ht="12" customHeight="1">
      <c r="C7" s="18" t="n"/>
      <c r="D7" s="48" t="n"/>
      <c r="E7" s="108" t="n"/>
      <c r="F7" s="109" t="n"/>
      <c r="G7" s="108" t="n"/>
      <c r="H7" s="109" t="n"/>
      <c r="I7" s="108" t="n"/>
      <c r="J7" s="109" t="n"/>
      <c r="K7" s="108" t="n"/>
      <c r="L7" s="109" t="n"/>
      <c r="M7" s="108" t="n"/>
      <c r="N7" s="109" t="n"/>
      <c r="O7" s="108" t="n"/>
      <c r="P7" s="109" t="n"/>
      <c r="Q7" s="108" t="n"/>
      <c r="R7" s="109" t="n"/>
      <c r="S7" s="108" t="n"/>
      <c r="T7" s="109" t="n"/>
      <c r="U7" s="50" t="n"/>
      <c r="W7" s="48" t="n"/>
      <c r="X7" s="108" t="n"/>
      <c r="Y7" s="109" t="n"/>
      <c r="Z7" s="108" t="n"/>
      <c r="AA7" s="109" t="n"/>
      <c r="AB7" s="108" t="n"/>
      <c r="AC7" s="109" t="n"/>
      <c r="AD7" s="108" t="n"/>
      <c r="AE7" s="109" t="n"/>
      <c r="AF7" s="108" t="n"/>
      <c r="AG7" s="109" t="n"/>
      <c r="AH7" s="108" t="n"/>
      <c r="AI7" s="109" t="n"/>
      <c r="AJ7" s="108" t="n"/>
      <c r="AK7" s="109" t="n"/>
      <c r="AL7" s="108" t="n"/>
      <c r="AM7" s="109" t="n"/>
      <c r="AN7" s="50" t="n"/>
      <c r="AP7" s="48" t="n"/>
      <c r="AQ7" s="108" t="n"/>
      <c r="AR7" s="109" t="n"/>
      <c r="AS7" s="108" t="n"/>
      <c r="AT7" s="109" t="n"/>
      <c r="AU7" s="108" t="n"/>
      <c r="AV7" s="109" t="n"/>
      <c r="AW7" s="108" t="n"/>
      <c r="AX7" s="109" t="n"/>
      <c r="AY7" s="108" t="n"/>
      <c r="AZ7" s="109" t="n"/>
      <c r="BA7" s="108" t="n"/>
      <c r="BB7" s="109" t="n"/>
      <c r="BC7" s="108" t="n"/>
      <c r="BD7" s="109" t="n"/>
      <c r="BE7" s="108" t="n"/>
      <c r="BF7" s="109" t="n"/>
      <c r="BG7" s="50" t="n"/>
      <c r="BI7" s="74" t="inlineStr">
        <is>
          <t>USB</t>
        </is>
      </c>
      <c r="BJ7" s="73" t="n"/>
      <c r="BK7" s="17" t="n"/>
    </row>
    <row r="8" ht="12" customHeight="1">
      <c r="C8" s="18" t="n"/>
      <c r="D8" s="48" t="n"/>
      <c r="E8" s="108" t="n"/>
      <c r="F8" s="109" t="n"/>
      <c r="G8" s="108" t="n"/>
      <c r="H8" s="109" t="n"/>
      <c r="I8" s="108" t="n"/>
      <c r="J8" s="109" t="n"/>
      <c r="K8" s="108" t="n"/>
      <c r="L8" s="109" t="n"/>
      <c r="M8" s="108" t="n"/>
      <c r="N8" s="109" t="n"/>
      <c r="O8" s="108" t="n"/>
      <c r="P8" s="109" t="n"/>
      <c r="Q8" s="108" t="n"/>
      <c r="R8" s="109" t="n"/>
      <c r="S8" s="108" t="n"/>
      <c r="T8" s="109" t="n"/>
      <c r="U8" s="50" t="n"/>
      <c r="W8" s="48" t="n"/>
      <c r="X8" s="108" t="n"/>
      <c r="Y8" s="109" t="n"/>
      <c r="Z8" s="108" t="n"/>
      <c r="AA8" s="109" t="n"/>
      <c r="AB8" s="108" t="n"/>
      <c r="AC8" s="109" t="n"/>
      <c r="AD8" s="108" t="n"/>
      <c r="AE8" s="109" t="n"/>
      <c r="AF8" s="108" t="n"/>
      <c r="AG8" s="109" t="n"/>
      <c r="AH8" s="108" t="n"/>
      <c r="AI8" s="109" t="n"/>
      <c r="AJ8" s="108" t="n"/>
      <c r="AK8" s="109" t="n"/>
      <c r="AL8" s="108" t="n"/>
      <c r="AM8" s="109" t="n"/>
      <c r="AN8" s="50" t="n"/>
      <c r="AP8" s="48" t="n"/>
      <c r="AQ8" s="108" t="n"/>
      <c r="AR8" s="109" t="n"/>
      <c r="AS8" s="108" t="n"/>
      <c r="AT8" s="109" t="n"/>
      <c r="AU8" s="108" t="n"/>
      <c r="AV8" s="109" t="n"/>
      <c r="AW8" s="108" t="n"/>
      <c r="AX8" s="109" t="n"/>
      <c r="AY8" s="108" t="n"/>
      <c r="AZ8" s="109" t="n"/>
      <c r="BA8" s="108" t="n"/>
      <c r="BB8" s="109" t="n"/>
      <c r="BC8" s="108" t="n"/>
      <c r="BD8" s="109" t="n"/>
      <c r="BE8" s="108" t="n"/>
      <c r="BF8" s="109" t="n"/>
      <c r="BG8" s="50" t="n"/>
      <c r="BI8" s="48" t="n"/>
      <c r="BJ8" s="50" t="n"/>
      <c r="BK8" s="17" t="n"/>
    </row>
    <row r="9" ht="12" customHeight="1">
      <c r="C9" s="18" t="n"/>
      <c r="D9" s="48" t="n"/>
      <c r="E9" s="108" t="n"/>
      <c r="F9" s="109" t="n"/>
      <c r="G9" s="108" t="n"/>
      <c r="H9" s="109" t="n"/>
      <c r="I9" s="108" t="n"/>
      <c r="J9" s="109" t="n"/>
      <c r="K9" s="108" t="n"/>
      <c r="L9" s="109" t="n"/>
      <c r="M9" s="108" t="n"/>
      <c r="N9" s="109" t="n"/>
      <c r="O9" s="108" t="n"/>
      <c r="P9" s="109" t="n"/>
      <c r="Q9" s="108" t="n"/>
      <c r="R9" s="109" t="n"/>
      <c r="S9" s="108" t="n"/>
      <c r="T9" s="109" t="n"/>
      <c r="U9" s="50" t="n"/>
      <c r="W9" s="48" t="n"/>
      <c r="X9" s="108" t="n"/>
      <c r="Y9" s="109" t="n"/>
      <c r="Z9" s="108" t="n"/>
      <c r="AA9" s="109" t="n"/>
      <c r="AB9" s="108" t="n"/>
      <c r="AC9" s="109" t="n"/>
      <c r="AD9" s="108" t="n"/>
      <c r="AE9" s="109" t="n"/>
      <c r="AF9" s="108" t="n"/>
      <c r="AG9" s="109" t="n"/>
      <c r="AH9" s="108" t="n"/>
      <c r="AI9" s="109" t="n"/>
      <c r="AJ9" s="108" t="n"/>
      <c r="AK9" s="109" t="n"/>
      <c r="AL9" s="108" t="n"/>
      <c r="AM9" s="109" t="n"/>
      <c r="AN9" s="50" t="n"/>
      <c r="AP9" s="48" t="n"/>
      <c r="AQ9" s="108" t="n"/>
      <c r="AR9" s="109" t="n"/>
      <c r="AS9" s="108" t="n"/>
      <c r="AT9" s="109" t="n"/>
      <c r="AU9" s="108" t="n"/>
      <c r="AV9" s="109" t="n"/>
      <c r="AW9" s="108" t="n"/>
      <c r="AX9" s="109" t="n"/>
      <c r="AY9" s="108" t="n"/>
      <c r="AZ9" s="109" t="n"/>
      <c r="BA9" s="108" t="n"/>
      <c r="BB9" s="109" t="n"/>
      <c r="BC9" s="108" t="n"/>
      <c r="BD9" s="109" t="n"/>
      <c r="BE9" s="108" t="n"/>
      <c r="BF9" s="109" t="n"/>
      <c r="BG9" s="50" t="n"/>
      <c r="BI9" s="74" t="inlineStr">
        <is>
          <t>SVC</t>
        </is>
      </c>
      <c r="BJ9" s="73" t="n"/>
      <c r="BK9" s="17" t="n"/>
    </row>
    <row r="10" ht="12" customHeight="1">
      <c r="C10" s="18" t="n"/>
      <c r="D10" s="48" t="n"/>
      <c r="E10" s="108" t="n"/>
      <c r="F10" s="109" t="n"/>
      <c r="G10" s="108" t="n"/>
      <c r="H10" s="109" t="n"/>
      <c r="I10" s="108" t="n"/>
      <c r="J10" s="109" t="n"/>
      <c r="K10" s="108" t="n"/>
      <c r="L10" s="109" t="n"/>
      <c r="M10" s="108" t="n"/>
      <c r="N10" s="109" t="n"/>
      <c r="O10" s="108" t="n"/>
      <c r="P10" s="109" t="n"/>
      <c r="Q10" s="108" t="n"/>
      <c r="R10" s="109" t="n"/>
      <c r="S10" s="108" t="n"/>
      <c r="T10" s="109" t="n"/>
      <c r="U10" s="50" t="n"/>
      <c r="W10" s="48" t="n"/>
      <c r="X10" s="108" t="n"/>
      <c r="Y10" s="109" t="n"/>
      <c r="Z10" s="108" t="n"/>
      <c r="AA10" s="109" t="n"/>
      <c r="AB10" s="108" t="n"/>
      <c r="AC10" s="109" t="n"/>
      <c r="AD10" s="108" t="n"/>
      <c r="AE10" s="109" t="n"/>
      <c r="AF10" s="108" t="n"/>
      <c r="AG10" s="109" t="n"/>
      <c r="AH10" s="108" t="n"/>
      <c r="AI10" s="109" t="n"/>
      <c r="AJ10" s="108" t="n"/>
      <c r="AK10" s="109" t="n"/>
      <c r="AL10" s="108" t="n"/>
      <c r="AM10" s="109" t="n"/>
      <c r="AN10" s="50" t="n"/>
      <c r="AP10" s="48" t="n"/>
      <c r="AQ10" s="108" t="n"/>
      <c r="AR10" s="109" t="n"/>
      <c r="AS10" s="108" t="n"/>
      <c r="AT10" s="109" t="n"/>
      <c r="AU10" s="108" t="n"/>
      <c r="AV10" s="109" t="n"/>
      <c r="AW10" s="108" t="n"/>
      <c r="AX10" s="109" t="n"/>
      <c r="AY10" s="108" t="n"/>
      <c r="AZ10" s="109" t="n"/>
      <c r="BA10" s="108" t="n"/>
      <c r="BB10" s="109" t="n"/>
      <c r="BC10" s="108" t="n"/>
      <c r="BD10" s="109" t="n"/>
      <c r="BE10" s="108" t="n"/>
      <c r="BF10" s="109" t="n"/>
      <c r="BG10" s="50" t="n"/>
      <c r="BI10" s="48" t="n"/>
      <c r="BJ10" s="50" t="n"/>
      <c r="BK10" s="17" t="n"/>
    </row>
    <row r="11" ht="12" customHeight="1">
      <c r="C11" s="18" t="n"/>
      <c r="D11" s="48" t="n"/>
      <c r="E11" s="111" t="n"/>
      <c r="F11" s="112" t="n"/>
      <c r="G11" s="111" t="n"/>
      <c r="H11" s="112" t="n"/>
      <c r="I11" s="111" t="n"/>
      <c r="J11" s="112" t="n"/>
      <c r="K11" s="111" t="n"/>
      <c r="L11" s="112" t="n"/>
      <c r="M11" s="111" t="n"/>
      <c r="N11" s="112" t="n"/>
      <c r="O11" s="111" t="n"/>
      <c r="P11" s="112" t="n"/>
      <c r="Q11" s="111" t="n"/>
      <c r="R11" s="112" t="n"/>
      <c r="S11" s="111" t="n"/>
      <c r="T11" s="112" t="n"/>
      <c r="U11" s="50" t="n"/>
      <c r="W11" s="48" t="n"/>
      <c r="X11" s="111" t="n"/>
      <c r="Y11" s="112" t="n"/>
      <c r="Z11" s="111" t="n"/>
      <c r="AA11" s="112" t="n"/>
      <c r="AB11" s="111" t="n"/>
      <c r="AC11" s="112" t="n"/>
      <c r="AD11" s="111" t="n"/>
      <c r="AE11" s="112" t="n"/>
      <c r="AF11" s="111" t="n"/>
      <c r="AG11" s="112" t="n"/>
      <c r="AH11" s="111" t="n"/>
      <c r="AI11" s="112" t="n"/>
      <c r="AJ11" s="111" t="n"/>
      <c r="AK11" s="112" t="n"/>
      <c r="AL11" s="111" t="n"/>
      <c r="AM11" s="112" t="n"/>
      <c r="AN11" s="50" t="n"/>
      <c r="AP11" s="48" t="n"/>
      <c r="AQ11" s="111" t="n"/>
      <c r="AR11" s="112" t="n"/>
      <c r="AS11" s="111" t="n"/>
      <c r="AT11" s="112" t="n"/>
      <c r="AU11" s="111" t="n"/>
      <c r="AV11" s="112" t="n"/>
      <c r="AW11" s="111" t="n"/>
      <c r="AX11" s="112" t="n"/>
      <c r="AY11" s="111" t="n"/>
      <c r="AZ11" s="112" t="n"/>
      <c r="BA11" s="111" t="n"/>
      <c r="BB11" s="112" t="n"/>
      <c r="BC11" s="111" t="n"/>
      <c r="BD11" s="112" t="n"/>
      <c r="BE11" s="111" t="n"/>
      <c r="BF11" s="112" t="n"/>
      <c r="BG11" s="50" t="n"/>
      <c r="BI11" s="48" t="n"/>
      <c r="BJ11" s="50" t="n"/>
      <c r="BK11" s="17" t="n"/>
    </row>
    <row r="12" ht="12" customHeight="1">
      <c r="C12" s="18" t="n"/>
      <c r="D12" s="51" t="n"/>
      <c r="E12" s="52" t="n"/>
      <c r="F12" s="52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3" t="n"/>
      <c r="W12" s="51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3" t="n"/>
      <c r="AP12" s="51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  <c r="BB12" s="52" t="n"/>
      <c r="BC12" s="52" t="n"/>
      <c r="BD12" s="52" t="n"/>
      <c r="BE12" s="52" t="n"/>
      <c r="BF12" s="52" t="n"/>
      <c r="BG12" s="53" t="n"/>
      <c r="BI12" s="51" t="n"/>
      <c r="BJ12" s="53" t="n"/>
      <c r="BK12" s="17" t="n"/>
    </row>
    <row r="13" ht="12" customHeight="1">
      <c r="C13" s="4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3" t="n"/>
      <c r="AL13" s="43" t="n"/>
      <c r="AM13" s="43" t="n"/>
      <c r="AN13" s="43" t="n"/>
      <c r="AO13" s="43" t="n"/>
      <c r="AP13" s="43" t="n"/>
      <c r="AQ13" s="43" t="n"/>
      <c r="AR13" s="43" t="n"/>
      <c r="AS13" s="43" t="n"/>
      <c r="AT13" s="43" t="n"/>
      <c r="AU13" s="43" t="n"/>
      <c r="AV13" s="43" t="n"/>
      <c r="AW13" s="43" t="n"/>
      <c r="AX13" s="43" t="n"/>
      <c r="AY13" s="43" t="n"/>
      <c r="AZ13" s="43" t="n"/>
      <c r="BA13" s="43" t="n"/>
      <c r="BB13" s="43" t="n"/>
      <c r="BC13" s="43" t="n"/>
      <c r="BD13" s="43" t="n"/>
      <c r="BE13" s="43" t="n"/>
      <c r="BF13" s="43" t="n"/>
      <c r="BG13" s="43" t="n"/>
      <c r="BH13" s="43" t="n"/>
      <c r="BI13" s="43" t="n"/>
      <c r="BJ13" s="43" t="n"/>
      <c r="BK13" s="44" t="n"/>
    </row>
    <row r="14" ht="12" customHeight="1"/>
    <row r="15" ht="12" customHeight="1">
      <c r="B15" s="35" t="inlineStr">
        <is>
          <t>후  면</t>
        </is>
      </c>
      <c r="C15" s="36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37" t="n"/>
    </row>
    <row r="16" ht="12" customHeight="1">
      <c r="C16" s="18" t="n"/>
      <c r="D16" s="45" t="inlineStr">
        <is>
          <t>S1 · FC HBA 2P</t>
        </is>
      </c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116" t="n">
        <v>1</v>
      </c>
      <c r="R16" s="114" t="n"/>
      <c r="S16" s="46" t="n"/>
      <c r="T16" s="116" t="n">
        <v>2</v>
      </c>
      <c r="U16" s="114" t="n"/>
      <c r="V16" s="47" t="n"/>
      <c r="X16" s="45" t="inlineStr">
        <is>
          <t>S4 · NIC 2P SFP28</t>
        </is>
      </c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46" t="n"/>
      <c r="AI16" s="46" t="n"/>
      <c r="AJ16" s="46" t="n"/>
      <c r="AK16" s="126" t="n">
        <v>3</v>
      </c>
      <c r="AL16" s="114" t="n"/>
      <c r="AM16" s="46" t="n"/>
      <c r="AN16" s="126" t="n">
        <v>4</v>
      </c>
      <c r="AO16" s="114" t="n"/>
      <c r="AP16" s="47" t="n"/>
      <c r="AR16" s="118" t="inlineStr">
        <is>
          <t>S7  빈 슬롯</t>
        </is>
      </c>
      <c r="AS16" s="119" t="n"/>
      <c r="AT16" s="119" t="n"/>
      <c r="AU16" s="119" t="n"/>
      <c r="AV16" s="119" t="n"/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n"/>
      <c r="BG16" s="119" t="n"/>
      <c r="BH16" s="119" t="n"/>
      <c r="BI16" s="119" t="n"/>
      <c r="BJ16" s="120" t="n"/>
      <c r="BK16" s="17" t="n"/>
    </row>
    <row r="17" ht="12" customHeight="1">
      <c r="C17" s="18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89" t="inlineStr">
        <is>
          <t>P1</t>
        </is>
      </c>
      <c r="R17" s="87" t="n"/>
      <c r="S17" s="52" t="n"/>
      <c r="T17" s="89" t="inlineStr">
        <is>
          <t>P2</t>
        </is>
      </c>
      <c r="U17" s="87" t="n"/>
      <c r="V17" s="53" t="n"/>
      <c r="X17" s="51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52" t="n"/>
      <c r="AI17" s="52" t="n"/>
      <c r="AJ17" s="52" t="n"/>
      <c r="AK17" s="89" t="inlineStr">
        <is>
          <t>P1</t>
        </is>
      </c>
      <c r="AL17" s="87" t="n"/>
      <c r="AM17" s="52" t="n"/>
      <c r="AN17" s="89" t="inlineStr">
        <is>
          <t>P2</t>
        </is>
      </c>
      <c r="AO17" s="87" t="n"/>
      <c r="AP17" s="53" t="n"/>
      <c r="AR17" s="123" t="n"/>
      <c r="AS17" s="124" t="n"/>
      <c r="AT17" s="124" t="n"/>
      <c r="AU17" s="124" t="n"/>
      <c r="AV17" s="124" t="n"/>
      <c r="AW17" s="124" t="n"/>
      <c r="AX17" s="124" t="n"/>
      <c r="AY17" s="124" t="n"/>
      <c r="AZ17" s="124" t="n"/>
      <c r="BA17" s="124" t="n"/>
      <c r="BB17" s="124" t="n"/>
      <c r="BC17" s="124" t="n"/>
      <c r="BD17" s="124" t="n"/>
      <c r="BE17" s="124" t="n"/>
      <c r="BF17" s="124" t="n"/>
      <c r="BG17" s="124" t="n"/>
      <c r="BH17" s="124" t="n"/>
      <c r="BI17" s="124" t="n"/>
      <c r="BJ17" s="125" t="n"/>
      <c r="BK17" s="17" t="n"/>
    </row>
    <row r="18" ht="12" customHeight="1">
      <c r="C18" s="18" t="n"/>
      <c r="D18" s="118" t="inlineStr">
        <is>
          <t>S2  빈 슬롯</t>
        </is>
      </c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20" t="n"/>
      <c r="X18" s="118" t="inlineStr">
        <is>
          <t>S5  빈 슬롯</t>
        </is>
      </c>
      <c r="Y18" s="119" t="n"/>
      <c r="Z18" s="119" t="n"/>
      <c r="AA18" s="119" t="n"/>
      <c r="AB18" s="119" t="n"/>
      <c r="AC18" s="119" t="n"/>
      <c r="AD18" s="119" t="n"/>
      <c r="AE18" s="119" t="n"/>
      <c r="AF18" s="119" t="n"/>
      <c r="AG18" s="119" t="n"/>
      <c r="AH18" s="119" t="n"/>
      <c r="AI18" s="119" t="n"/>
      <c r="AJ18" s="119" t="n"/>
      <c r="AK18" s="119" t="n"/>
      <c r="AL18" s="119" t="n"/>
      <c r="AM18" s="119" t="n"/>
      <c r="AN18" s="119" t="n"/>
      <c r="AO18" s="119" t="n"/>
      <c r="AP18" s="120" t="n"/>
      <c r="AR18" s="118" t="inlineStr">
        <is>
          <t>S8  빈 슬롯</t>
        </is>
      </c>
      <c r="AS18" s="119" t="n"/>
      <c r="AT18" s="119" t="n"/>
      <c r="AU18" s="119" t="n"/>
      <c r="AV18" s="119" t="n"/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n"/>
      <c r="BG18" s="119" t="n"/>
      <c r="BH18" s="119" t="n"/>
      <c r="BI18" s="119" t="n"/>
      <c r="BJ18" s="120" t="n"/>
      <c r="BK18" s="17" t="n"/>
    </row>
    <row r="19" ht="12" customHeight="1">
      <c r="C19" s="18" t="n"/>
      <c r="D19" s="123" t="n"/>
      <c r="E19" s="124" t="n"/>
      <c r="F19" s="124" t="n"/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124" t="n"/>
      <c r="U19" s="124" t="n"/>
      <c r="V19" s="125" t="n"/>
      <c r="X19" s="123" t="n"/>
      <c r="Y19" s="124" t="n"/>
      <c r="Z19" s="124" t="n"/>
      <c r="AA19" s="124" t="n"/>
      <c r="AB19" s="124" t="n"/>
      <c r="AC19" s="124" t="n"/>
      <c r="AD19" s="124" t="n"/>
      <c r="AE19" s="124" t="n"/>
      <c r="AF19" s="124" t="n"/>
      <c r="AG19" s="124" t="n"/>
      <c r="AH19" s="124" t="n"/>
      <c r="AI19" s="124" t="n"/>
      <c r="AJ19" s="124" t="n"/>
      <c r="AK19" s="124" t="n"/>
      <c r="AL19" s="124" t="n"/>
      <c r="AM19" s="124" t="n"/>
      <c r="AN19" s="124" t="n"/>
      <c r="AO19" s="124" t="n"/>
      <c r="AP19" s="125" t="n"/>
      <c r="AR19" s="123" t="n"/>
      <c r="AS19" s="124" t="n"/>
      <c r="AT19" s="124" t="n"/>
      <c r="AU19" s="124" t="n"/>
      <c r="AV19" s="124" t="n"/>
      <c r="AW19" s="124" t="n"/>
      <c r="AX19" s="124" t="n"/>
      <c r="AY19" s="124" t="n"/>
      <c r="AZ19" s="124" t="n"/>
      <c r="BA19" s="124" t="n"/>
      <c r="BB19" s="124" t="n"/>
      <c r="BC19" s="124" t="n"/>
      <c r="BD19" s="124" t="n"/>
      <c r="BE19" s="124" t="n"/>
      <c r="BF19" s="124" t="n"/>
      <c r="BG19" s="124" t="n"/>
      <c r="BH19" s="124" t="n"/>
      <c r="BI19" s="124" t="n"/>
      <c r="BJ19" s="125" t="n"/>
      <c r="BK19" s="17" t="n"/>
    </row>
    <row r="20" ht="12" customHeight="1">
      <c r="C20" s="18" t="n"/>
      <c r="D20" s="118" t="inlineStr">
        <is>
          <t>S3  빈 슬롯</t>
        </is>
      </c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/>
      <c r="Q20" s="119" t="n"/>
      <c r="R20" s="119" t="n"/>
      <c r="S20" s="119" t="n"/>
      <c r="T20" s="119" t="n"/>
      <c r="U20" s="119" t="n"/>
      <c r="V20" s="120" t="n"/>
      <c r="X20" s="118" t="inlineStr">
        <is>
          <t>S6  빈 슬롯</t>
        </is>
      </c>
      <c r="Y20" s="119" t="n"/>
      <c r="Z20" s="119" t="n"/>
      <c r="AA20" s="119" t="n"/>
      <c r="AB20" s="119" t="n"/>
      <c r="AC20" s="119" t="n"/>
      <c r="AD20" s="119" t="n"/>
      <c r="AE20" s="119" t="n"/>
      <c r="AF20" s="119" t="n"/>
      <c r="AG20" s="119" t="n"/>
      <c r="AH20" s="119" t="n"/>
      <c r="AI20" s="119" t="n"/>
      <c r="AJ20" s="119" t="n"/>
      <c r="AK20" s="119" t="n"/>
      <c r="AL20" s="119" t="n"/>
      <c r="AM20" s="119" t="n"/>
      <c r="AN20" s="119" t="n"/>
      <c r="AO20" s="119" t="n"/>
      <c r="AP20" s="120" t="n"/>
      <c r="AR20" s="127" t="inlineStr">
        <is>
          <t>라이저 3 : S7–S8</t>
        </is>
      </c>
      <c r="BK20" s="17" t="n"/>
    </row>
    <row r="21" ht="12" customHeight="1">
      <c r="C21" s="18" t="n"/>
      <c r="D21" s="123" t="n"/>
      <c r="E21" s="124" t="n"/>
      <c r="F21" s="124" t="n"/>
      <c r="G21" s="124" t="n"/>
      <c r="H21" s="124" t="n"/>
      <c r="I21" s="124" t="n"/>
      <c r="J21" s="124" t="n"/>
      <c r="K21" s="124" t="n"/>
      <c r="L21" s="124" t="n"/>
      <c r="M21" s="124" t="n"/>
      <c r="N21" s="124" t="n"/>
      <c r="O21" s="124" t="n"/>
      <c r="P21" s="124" t="n"/>
      <c r="Q21" s="124" t="n"/>
      <c r="R21" s="124" t="n"/>
      <c r="S21" s="124" t="n"/>
      <c r="T21" s="124" t="n"/>
      <c r="U21" s="124" t="n"/>
      <c r="V21" s="125" t="n"/>
      <c r="X21" s="123" t="n"/>
      <c r="Y21" s="124" t="n"/>
      <c r="Z21" s="124" t="n"/>
      <c r="AA21" s="124" t="n"/>
      <c r="AB21" s="124" t="n"/>
      <c r="AC21" s="124" t="n"/>
      <c r="AD21" s="124" t="n"/>
      <c r="AE21" s="124" t="n"/>
      <c r="AF21" s="124" t="n"/>
      <c r="AG21" s="124" t="n"/>
      <c r="AH21" s="124" t="n"/>
      <c r="AI21" s="124" t="n"/>
      <c r="AJ21" s="124" t="n"/>
      <c r="AK21" s="124" t="n"/>
      <c r="AL21" s="124" t="n"/>
      <c r="AM21" s="124" t="n"/>
      <c r="AN21" s="124" t="n"/>
      <c r="AO21" s="124" t="n"/>
      <c r="AP21" s="125" t="n"/>
      <c r="BK21" s="17" t="n"/>
    </row>
    <row r="22" ht="12" customHeight="1">
      <c r="C22" s="18" t="n"/>
      <c r="D22" s="45" t="inlineStr">
        <is>
          <t>FlexLOM</t>
        </is>
      </c>
      <c r="E22" s="46" t="n"/>
      <c r="F22" s="46" t="n"/>
      <c r="G22" s="126" t="n">
        <v>5</v>
      </c>
      <c r="H22" s="114" t="n"/>
      <c r="I22" s="46" t="n"/>
      <c r="J22" s="126" t="n">
        <v>6</v>
      </c>
      <c r="K22" s="114" t="n"/>
      <c r="L22" s="47" t="n"/>
      <c r="N22" s="45" t="inlineStr">
        <is>
          <t>I/O</t>
        </is>
      </c>
      <c r="O22" s="46" t="n"/>
      <c r="P22" s="46" t="n"/>
      <c r="Q22" s="46" t="n"/>
      <c r="R22" s="46" t="n"/>
      <c r="S22" s="46" t="n"/>
      <c r="T22" s="121" t="inlineStr">
        <is>
          <t>USB</t>
        </is>
      </c>
      <c r="U22" s="114" t="n"/>
      <c r="V22" s="46" t="n"/>
      <c r="W22" s="121" t="inlineStr">
        <is>
          <t>VGA</t>
        </is>
      </c>
      <c r="X22" s="117" t="n"/>
      <c r="Y22" s="114" t="n"/>
      <c r="Z22" s="46" t="n"/>
      <c r="AA22" s="113" t="n">
        <v>7</v>
      </c>
      <c r="AB22" s="114" t="n"/>
      <c r="AC22" s="47" t="n"/>
      <c r="AE22" s="45" t="inlineStr">
        <is>
          <t>LOM 1GbE</t>
        </is>
      </c>
      <c r="AF22" s="46" t="n"/>
      <c r="AG22" s="46" t="n"/>
      <c r="AH22" s="128" t="n">
        <v>8</v>
      </c>
      <c r="AI22" s="114" t="n"/>
      <c r="AJ22" s="115" t="n"/>
      <c r="AK22" s="114" t="n"/>
      <c r="AL22" s="115" t="n"/>
      <c r="AM22" s="114" t="n"/>
      <c r="AN22" s="115" t="n"/>
      <c r="AO22" s="114" t="n"/>
      <c r="AP22" s="47" t="n"/>
      <c r="AR22" s="45" t="inlineStr">
        <is>
          <t>PSU 2</t>
        </is>
      </c>
      <c r="AS22" s="46" t="n"/>
      <c r="AT22" s="46" t="n"/>
      <c r="AU22" s="46" t="n"/>
      <c r="AV22" s="46" t="n"/>
      <c r="AW22" s="46" t="n"/>
      <c r="AX22" s="122" t="n">
        <v>9</v>
      </c>
      <c r="AY22" s="114" t="n"/>
      <c r="AZ22" s="47" t="n"/>
      <c r="BB22" s="45" t="inlineStr">
        <is>
          <t>PSU 1</t>
        </is>
      </c>
      <c r="BC22" s="46" t="n"/>
      <c r="BD22" s="46" t="n"/>
      <c r="BE22" s="46" t="n"/>
      <c r="BF22" s="46" t="n"/>
      <c r="BG22" s="46" t="n"/>
      <c r="BH22" s="122" t="n">
        <v>10</v>
      </c>
      <c r="BI22" s="114" t="n"/>
      <c r="BJ22" s="47" t="n"/>
      <c r="BK22" s="17" t="n"/>
    </row>
    <row r="23" ht="12" customHeight="1">
      <c r="C23" s="18" t="n"/>
      <c r="D23" s="51" t="n"/>
      <c r="E23" s="52" t="n"/>
      <c r="F23" s="52" t="n"/>
      <c r="G23" s="89" t="inlineStr">
        <is>
          <t>1</t>
        </is>
      </c>
      <c r="H23" s="87" t="n"/>
      <c r="I23" s="52" t="n"/>
      <c r="J23" s="89" t="inlineStr">
        <is>
          <t>2</t>
        </is>
      </c>
      <c r="K23" s="87" t="n"/>
      <c r="L23" s="53" t="n"/>
      <c r="N23" s="51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  <c r="AA23" s="89" t="inlineStr">
        <is>
          <t>iLO</t>
        </is>
      </c>
      <c r="AB23" s="87" t="n"/>
      <c r="AC23" s="53" t="n"/>
      <c r="AE23" s="51" t="n"/>
      <c r="AF23" s="52" t="n"/>
      <c r="AG23" s="52" t="n"/>
      <c r="AH23" s="89" t="inlineStr">
        <is>
          <t>1</t>
        </is>
      </c>
      <c r="AI23" s="87" t="n"/>
      <c r="AJ23" s="89" t="inlineStr">
        <is>
          <t>2</t>
        </is>
      </c>
      <c r="AK23" s="87" t="n"/>
      <c r="AL23" s="89" t="inlineStr">
        <is>
          <t>3</t>
        </is>
      </c>
      <c r="AM23" s="87" t="n"/>
      <c r="AN23" s="89" t="inlineStr">
        <is>
          <t>4</t>
        </is>
      </c>
      <c r="AO23" s="87" t="n"/>
      <c r="AP23" s="53" t="n"/>
      <c r="AR23" s="51" t="n"/>
      <c r="AS23" s="52" t="n"/>
      <c r="AT23" s="52" t="n"/>
      <c r="AU23" s="52" t="n"/>
      <c r="AV23" s="52" t="n"/>
      <c r="AW23" s="52" t="n"/>
      <c r="AX23" s="89" t="inlineStr">
        <is>
          <t>C14</t>
        </is>
      </c>
      <c r="AY23" s="87" t="n"/>
      <c r="AZ23" s="53" t="n"/>
      <c r="BB23" s="51" t="n"/>
      <c r="BC23" s="52" t="n"/>
      <c r="BD23" s="52" t="n"/>
      <c r="BE23" s="52" t="n"/>
      <c r="BF23" s="52" t="n"/>
      <c r="BG23" s="52" t="n"/>
      <c r="BH23" s="89" t="inlineStr">
        <is>
          <t>C14</t>
        </is>
      </c>
      <c r="BI23" s="87" t="n"/>
      <c r="BJ23" s="53" t="n"/>
      <c r="BK23" s="17" t="n"/>
    </row>
    <row r="24" ht="12" customHeight="1">
      <c r="C24" s="42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  <c r="AB24" s="43" t="n"/>
      <c r="AC24" s="43" t="n"/>
      <c r="AD24" s="43" t="n"/>
      <c r="AE24" s="43" t="n"/>
      <c r="AF24" s="43" t="n"/>
      <c r="AG24" s="43" t="n"/>
      <c r="AH24" s="43" t="n"/>
      <c r="AI24" s="43" t="n"/>
      <c r="AJ24" s="43" t="n"/>
      <c r="AK24" s="43" t="n"/>
      <c r="AL24" s="43" t="n"/>
      <c r="AM24" s="43" t="n"/>
      <c r="AN24" s="43" t="n"/>
      <c r="AO24" s="43" t="n"/>
      <c r="AP24" s="43" t="n"/>
      <c r="AQ24" s="43" t="n"/>
      <c r="AR24" s="43" t="n"/>
      <c r="AS24" s="43" t="n"/>
      <c r="AT24" s="43" t="n"/>
      <c r="AU24" s="43" t="n"/>
      <c r="AV24" s="43" t="n"/>
      <c r="AW24" s="43" t="n"/>
      <c r="AX24" s="43" t="n"/>
      <c r="AY24" s="43" t="n"/>
      <c r="AZ24" s="43" t="n"/>
      <c r="BA24" s="43" t="n"/>
      <c r="BB24" s="43" t="n"/>
      <c r="BC24" s="43" t="n"/>
      <c r="BD24" s="43" t="n"/>
      <c r="BE24" s="43" t="n"/>
      <c r="BF24" s="43" t="n"/>
      <c r="BG24" s="43" t="n"/>
      <c r="BH24" s="43" t="n"/>
      <c r="BI24" s="43" t="n"/>
      <c r="BJ24" s="43" t="n"/>
      <c r="BK24" s="44" t="n"/>
    </row>
    <row r="25" ht="12" customHeight="1"/>
    <row r="26" ht="12" customHeight="1">
      <c r="B26" s="7" t="inlineStr">
        <is>
          <t>연결 정보</t>
        </is>
      </c>
      <c r="H26" s="54" t="n"/>
      <c r="I26" s="28" t="inlineStr">
        <is>
          <t>서비스</t>
        </is>
      </c>
      <c r="L26" s="55" t="n"/>
      <c r="M26" s="28" t="inlineStr">
        <is>
          <t>관리</t>
        </is>
      </c>
      <c r="O26" s="56" t="n"/>
      <c r="P26" s="28" t="inlineStr">
        <is>
          <t>백업</t>
        </is>
      </c>
      <c r="R26" s="57" t="n"/>
      <c r="S26" s="28" t="inlineStr">
        <is>
          <t>스토리지</t>
        </is>
      </c>
      <c r="V26" s="58" t="n"/>
      <c r="W26" s="28" t="inlineStr">
        <is>
          <t>인터커넥트</t>
        </is>
      </c>
      <c r="AA26" s="59" t="n"/>
      <c r="AB26" s="28" t="inlineStr">
        <is>
          <t>콘솔</t>
        </is>
      </c>
      <c r="AD26" s="60" t="n"/>
      <c r="AE26" s="28" t="inlineStr">
        <is>
          <t>전원</t>
        </is>
      </c>
      <c r="AG26" s="61" t="n"/>
      <c r="AH26" s="28" t="inlineStr">
        <is>
          <t>미연결</t>
        </is>
      </c>
      <c r="AL26" s="62" t="n">
        <v>7</v>
      </c>
      <c r="AM26" s="28" t="inlineStr">
        <is>
          <t>도면 번호</t>
        </is>
      </c>
      <c r="AQ26" s="63" t="inlineStr">
        <is>
          <t>LOM1</t>
        </is>
      </c>
      <c r="AS26" s="28" t="inlineStr">
        <is>
          <t>포트명(장비 표기)</t>
        </is>
      </c>
      <c r="AY26" s="64" t="inlineStr">
        <is>
          <t>A-0001</t>
        </is>
      </c>
      <c r="AZ26" s="21" t="n"/>
      <c r="BA26" s="21" t="n"/>
      <c r="BB26" s="21" t="n"/>
      <c r="BC26" s="28" t="inlineStr">
        <is>
          <t>케이블 라벨</t>
        </is>
      </c>
    </row>
    <row r="27" ht="15" customHeight="1">
      <c r="B27" s="11" t="inlineStr">
        <is>
          <t>번호</t>
        </is>
      </c>
      <c r="C27" s="12" t="n"/>
      <c r="D27" s="11" t="inlineStr">
        <is>
          <t>면</t>
        </is>
      </c>
      <c r="E27" s="12" t="n"/>
      <c r="F27" s="13" t="inlineStr">
        <is>
          <t>포트명</t>
        </is>
      </c>
      <c r="G27" s="12" t="n"/>
      <c r="H27" s="12" t="n"/>
      <c r="I27" s="12" t="n"/>
      <c r="J27" s="12" t="n"/>
      <c r="K27" s="12" t="n"/>
      <c r="L27" s="13" t="inlineStr">
        <is>
          <t>용도</t>
        </is>
      </c>
      <c r="M27" s="12" t="n"/>
      <c r="N27" s="12" t="n"/>
      <c r="O27" s="12" t="n"/>
      <c r="P27" s="12" t="n"/>
      <c r="Q27" s="13" t="inlineStr">
        <is>
          <t>케이블 · 커넥터</t>
        </is>
      </c>
      <c r="R27" s="12" t="n"/>
      <c r="S27" s="12" t="n"/>
      <c r="T27" s="12" t="n"/>
      <c r="U27" s="12" t="n"/>
      <c r="V27" s="12" t="n"/>
      <c r="W27" s="12" t="n"/>
      <c r="X27" s="13" t="inlineStr">
        <is>
          <t>상대 장비</t>
        </is>
      </c>
      <c r="Y27" s="12" t="n"/>
      <c r="Z27" s="12" t="n"/>
      <c r="AA27" s="12" t="n"/>
      <c r="AB27" s="12" t="n"/>
      <c r="AC27" s="12" t="n"/>
      <c r="AD27" s="12" t="n"/>
      <c r="AE27" s="12" t="n"/>
      <c r="AF27" s="13" t="inlineStr">
        <is>
          <t>상대 위치</t>
        </is>
      </c>
      <c r="AG27" s="12" t="n"/>
      <c r="AH27" s="12" t="n"/>
      <c r="AI27" s="12" t="n"/>
      <c r="AJ27" s="12" t="n"/>
      <c r="AK27" s="12" t="n"/>
      <c r="AL27" s="13" t="inlineStr">
        <is>
          <t>상대 포트</t>
        </is>
      </c>
      <c r="AM27" s="12" t="n"/>
      <c r="AN27" s="12" t="n"/>
      <c r="AO27" s="12" t="n"/>
      <c r="AP27" s="12" t="n"/>
      <c r="AQ27" s="12" t="n"/>
      <c r="AR27" s="13" t="inlineStr">
        <is>
          <t>케이블 라벨</t>
        </is>
      </c>
      <c r="AS27" s="12" t="n"/>
      <c r="AT27" s="12" t="n"/>
      <c r="AU27" s="12" t="n"/>
      <c r="AV27" s="12" t="n"/>
      <c r="AW27" s="12" t="n"/>
      <c r="AX27" s="12" t="n"/>
      <c r="AY27" s="13" t="inlineStr">
        <is>
          <t>비고</t>
        </is>
      </c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</row>
    <row r="28" ht="13.5" customHeight="1">
      <c r="B28" s="65" t="n">
        <v>1</v>
      </c>
      <c r="C28" s="21" t="n"/>
      <c r="D28" s="66" t="inlineStr">
        <is>
          <t>후면</t>
        </is>
      </c>
      <c r="E28" s="21" t="n"/>
      <c r="F28" s="67" t="inlineStr">
        <is>
          <t>S1-P1</t>
        </is>
      </c>
      <c r="G28" s="21" t="n"/>
      <c r="H28" s="21" t="n"/>
      <c r="I28" s="21" t="n"/>
      <c r="J28" s="21" t="n"/>
      <c r="K28" s="21" t="n"/>
      <c r="L28" s="67" t="inlineStr">
        <is>
          <t>스토리지</t>
        </is>
      </c>
      <c r="M28" s="21" t="n"/>
      <c r="N28" s="21" t="n"/>
      <c r="O28" s="21" t="n"/>
      <c r="P28" s="21" t="n"/>
      <c r="Q28" s="67" t="inlineStr">
        <is>
          <t>OM4 LC-LC</t>
        </is>
      </c>
      <c r="R28" s="21" t="n"/>
      <c r="S28" s="21" t="n"/>
      <c r="T28" s="21" t="n"/>
      <c r="U28" s="21" t="n"/>
      <c r="V28" s="21" t="n"/>
      <c r="W28" s="21" t="n"/>
      <c r="X28" s="67" t="inlineStr">
        <is>
          <t>SAN-A</t>
        </is>
      </c>
      <c r="Y28" s="21" t="n"/>
      <c r="Z28" s="21" t="n"/>
      <c r="AA28" s="21" t="n"/>
      <c r="AB28" s="21" t="n"/>
      <c r="AC28" s="21" t="n"/>
      <c r="AD28" s="21" t="n"/>
      <c r="AE28" s="21" t="n"/>
      <c r="AF28" s="67" t="inlineStr">
        <is>
          <t>R02 U36</t>
        </is>
      </c>
      <c r="AG28" s="21" t="n"/>
      <c r="AH28" s="21" t="n"/>
      <c r="AI28" s="21" t="n"/>
      <c r="AJ28" s="21" t="n"/>
      <c r="AK28" s="21" t="n"/>
      <c r="AL28" s="67" t="inlineStr">
        <is>
          <t>P1</t>
        </is>
      </c>
      <c r="AM28" s="21" t="n"/>
      <c r="AN28" s="21" t="n"/>
      <c r="AO28" s="21" t="n"/>
      <c r="AP28" s="21" t="n"/>
      <c r="AQ28" s="21" t="n"/>
      <c r="AR28" s="68" t="inlineStr">
        <is>
          <t>R02-D040</t>
        </is>
      </c>
      <c r="AS28" s="21" t="n"/>
      <c r="AT28" s="21" t="n"/>
      <c r="AU28" s="21" t="n"/>
      <c r="AV28" s="21" t="n"/>
      <c r="AW28" s="21" t="n"/>
      <c r="AX28" s="21" t="n"/>
      <c r="AY28" s="67" t="inlineStr">
        <is>
          <t>Fabric A</t>
        </is>
      </c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5" t="n">
        <v>2</v>
      </c>
      <c r="C29" s="21" t="n"/>
      <c r="D29" s="66" t="inlineStr">
        <is>
          <t>후면</t>
        </is>
      </c>
      <c r="E29" s="21" t="n"/>
      <c r="F29" s="67" t="inlineStr">
        <is>
          <t>S1-P2</t>
        </is>
      </c>
      <c r="G29" s="21" t="n"/>
      <c r="H29" s="21" t="n"/>
      <c r="I29" s="21" t="n"/>
      <c r="J29" s="21" t="n"/>
      <c r="K29" s="21" t="n"/>
      <c r="L29" s="67" t="inlineStr">
        <is>
          <t>스토리지</t>
        </is>
      </c>
      <c r="M29" s="21" t="n"/>
      <c r="N29" s="21" t="n"/>
      <c r="O29" s="21" t="n"/>
      <c r="P29" s="21" t="n"/>
      <c r="Q29" s="67" t="inlineStr">
        <is>
          <t>OM4 LC-LC</t>
        </is>
      </c>
      <c r="R29" s="21" t="n"/>
      <c r="S29" s="21" t="n"/>
      <c r="T29" s="21" t="n"/>
      <c r="U29" s="21" t="n"/>
      <c r="V29" s="21" t="n"/>
      <c r="W29" s="21" t="n"/>
      <c r="X29" s="67" t="inlineStr">
        <is>
          <t>SAN-B</t>
        </is>
      </c>
      <c r="Y29" s="21" t="n"/>
      <c r="Z29" s="21" t="n"/>
      <c r="AA29" s="21" t="n"/>
      <c r="AB29" s="21" t="n"/>
      <c r="AC29" s="21" t="n"/>
      <c r="AD29" s="21" t="n"/>
      <c r="AE29" s="21" t="n"/>
      <c r="AF29" s="67" t="inlineStr">
        <is>
          <t>R02 U35</t>
        </is>
      </c>
      <c r="AG29" s="21" t="n"/>
      <c r="AH29" s="21" t="n"/>
      <c r="AI29" s="21" t="n"/>
      <c r="AJ29" s="21" t="n"/>
      <c r="AK29" s="21" t="n"/>
      <c r="AL29" s="67" t="inlineStr">
        <is>
          <t>P1</t>
        </is>
      </c>
      <c r="AM29" s="21" t="n"/>
      <c r="AN29" s="21" t="n"/>
      <c r="AO29" s="21" t="n"/>
      <c r="AP29" s="21" t="n"/>
      <c r="AQ29" s="21" t="n"/>
      <c r="AR29" s="68" t="inlineStr">
        <is>
          <t>R02-D041</t>
        </is>
      </c>
      <c r="AS29" s="21" t="n"/>
      <c r="AT29" s="21" t="n"/>
      <c r="AU29" s="21" t="n"/>
      <c r="AV29" s="21" t="n"/>
      <c r="AW29" s="21" t="n"/>
      <c r="AX29" s="21" t="n"/>
      <c r="AY29" s="67" t="inlineStr">
        <is>
          <t>Fabric B</t>
        </is>
      </c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5" t="n">
        <v>3</v>
      </c>
      <c r="C30" s="21" t="n"/>
      <c r="D30" s="66" t="inlineStr">
        <is>
          <t>후면</t>
        </is>
      </c>
      <c r="E30" s="21" t="n"/>
      <c r="F30" s="67" t="inlineStr">
        <is>
          <t>S4-P1</t>
        </is>
      </c>
      <c r="G30" s="21" t="n"/>
      <c r="H30" s="21" t="n"/>
      <c r="I30" s="21" t="n"/>
      <c r="J30" s="21" t="n"/>
      <c r="K30" s="21" t="n"/>
      <c r="L30" s="67" t="inlineStr">
        <is>
          <t>서비스</t>
        </is>
      </c>
      <c r="M30" s="21" t="n"/>
      <c r="N30" s="21" t="n"/>
      <c r="O30" s="21" t="n"/>
      <c r="P30" s="21" t="n"/>
      <c r="Q30" s="67" t="inlineStr">
        <is>
          <t>OM4 LC-LC</t>
        </is>
      </c>
      <c r="R30" s="21" t="n"/>
      <c r="S30" s="21" t="n"/>
      <c r="T30" s="21" t="n"/>
      <c r="U30" s="21" t="n"/>
      <c r="V30" s="21" t="n"/>
      <c r="W30" s="21" t="n"/>
      <c r="X30" s="67" t="inlineStr">
        <is>
          <t>TOR-A</t>
        </is>
      </c>
      <c r="Y30" s="21" t="n"/>
      <c r="Z30" s="21" t="n"/>
      <c r="AA30" s="21" t="n"/>
      <c r="AB30" s="21" t="n"/>
      <c r="AC30" s="21" t="n"/>
      <c r="AD30" s="21" t="n"/>
      <c r="AE30" s="21" t="n"/>
      <c r="AF30" s="67" t="inlineStr">
        <is>
          <t>R02 U39</t>
        </is>
      </c>
      <c r="AG30" s="21" t="n"/>
      <c r="AH30" s="21" t="n"/>
      <c r="AI30" s="21" t="n"/>
      <c r="AJ30" s="21" t="n"/>
      <c r="AK30" s="21" t="n"/>
      <c r="AL30" s="67" t="inlineStr">
        <is>
          <t>Eth1/14</t>
        </is>
      </c>
      <c r="AM30" s="21" t="n"/>
      <c r="AN30" s="21" t="n"/>
      <c r="AO30" s="21" t="n"/>
      <c r="AP30" s="21" t="n"/>
      <c r="AQ30" s="21" t="n"/>
      <c r="AR30" s="68" t="inlineStr">
        <is>
          <t>R02-D019</t>
        </is>
      </c>
      <c r="AS30" s="21" t="n"/>
      <c r="AT30" s="21" t="n"/>
      <c r="AU30" s="21" t="n"/>
      <c r="AV30" s="21" t="n"/>
      <c r="AW30" s="21" t="n"/>
      <c r="AX30" s="21" t="n"/>
      <c r="AY30" s="67" t="inlineStr">
        <is>
          <t>vMotion</t>
        </is>
      </c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</row>
    <row r="31" ht="13.5" customHeight="1">
      <c r="B31" s="65" t="n">
        <v>4</v>
      </c>
      <c r="C31" s="21" t="n"/>
      <c r="D31" s="66" t="inlineStr">
        <is>
          <t>후면</t>
        </is>
      </c>
      <c r="E31" s="21" t="n"/>
      <c r="F31" s="67" t="inlineStr">
        <is>
          <t>S4-P2</t>
        </is>
      </c>
      <c r="G31" s="21" t="n"/>
      <c r="H31" s="21" t="n"/>
      <c r="I31" s="21" t="n"/>
      <c r="J31" s="21" t="n"/>
      <c r="K31" s="21" t="n"/>
      <c r="L31" s="67" t="inlineStr">
        <is>
          <t>서비스</t>
        </is>
      </c>
      <c r="M31" s="21" t="n"/>
      <c r="N31" s="21" t="n"/>
      <c r="O31" s="21" t="n"/>
      <c r="P31" s="21" t="n"/>
      <c r="Q31" s="67" t="inlineStr">
        <is>
          <t>OM4 LC-LC</t>
        </is>
      </c>
      <c r="R31" s="21" t="n"/>
      <c r="S31" s="21" t="n"/>
      <c r="T31" s="21" t="n"/>
      <c r="U31" s="21" t="n"/>
      <c r="V31" s="21" t="n"/>
      <c r="W31" s="21" t="n"/>
      <c r="X31" s="67" t="inlineStr">
        <is>
          <t>TOR-B</t>
        </is>
      </c>
      <c r="Y31" s="21" t="n"/>
      <c r="Z31" s="21" t="n"/>
      <c r="AA31" s="21" t="n"/>
      <c r="AB31" s="21" t="n"/>
      <c r="AC31" s="21" t="n"/>
      <c r="AD31" s="21" t="n"/>
      <c r="AE31" s="21" t="n"/>
      <c r="AF31" s="67" t="inlineStr">
        <is>
          <t>R02 U38</t>
        </is>
      </c>
      <c r="AG31" s="21" t="n"/>
      <c r="AH31" s="21" t="n"/>
      <c r="AI31" s="21" t="n"/>
      <c r="AJ31" s="21" t="n"/>
      <c r="AK31" s="21" t="n"/>
      <c r="AL31" s="67" t="inlineStr">
        <is>
          <t>Eth1/14</t>
        </is>
      </c>
      <c r="AM31" s="21" t="n"/>
      <c r="AN31" s="21" t="n"/>
      <c r="AO31" s="21" t="n"/>
      <c r="AP31" s="21" t="n"/>
      <c r="AQ31" s="21" t="n"/>
      <c r="AR31" s="68" t="inlineStr">
        <is>
          <t>R02-D020</t>
        </is>
      </c>
      <c r="AS31" s="21" t="n"/>
      <c r="AT31" s="21" t="n"/>
      <c r="AU31" s="21" t="n"/>
      <c r="AV31" s="21" t="n"/>
      <c r="AW31" s="21" t="n"/>
      <c r="AX31" s="21" t="n"/>
      <c r="AY31" s="67" t="inlineStr">
        <is>
          <t>vMotion</t>
        </is>
      </c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</row>
    <row r="32" ht="13.5" customHeight="1">
      <c r="B32" s="65" t="n">
        <v>5</v>
      </c>
      <c r="C32" s="21" t="n"/>
      <c r="D32" s="66" t="inlineStr">
        <is>
          <t>후면</t>
        </is>
      </c>
      <c r="E32" s="21" t="n"/>
      <c r="F32" s="67" t="inlineStr">
        <is>
          <t>FLR1</t>
        </is>
      </c>
      <c r="G32" s="21" t="n"/>
      <c r="H32" s="21" t="n"/>
      <c r="I32" s="21" t="n"/>
      <c r="J32" s="21" t="n"/>
      <c r="K32" s="21" t="n"/>
      <c r="L32" s="67" t="inlineStr">
        <is>
          <t>서비스</t>
        </is>
      </c>
      <c r="M32" s="21" t="n"/>
      <c r="N32" s="21" t="n"/>
      <c r="O32" s="21" t="n"/>
      <c r="P32" s="21" t="n"/>
      <c r="Q32" s="67" t="inlineStr">
        <is>
          <t>DAC 25G 3m</t>
        </is>
      </c>
      <c r="R32" s="21" t="n"/>
      <c r="S32" s="21" t="n"/>
      <c r="T32" s="21" t="n"/>
      <c r="U32" s="21" t="n"/>
      <c r="V32" s="21" t="n"/>
      <c r="W32" s="21" t="n"/>
      <c r="X32" s="67" t="inlineStr">
        <is>
          <t>TOR-A</t>
        </is>
      </c>
      <c r="Y32" s="21" t="n"/>
      <c r="Z32" s="21" t="n"/>
      <c r="AA32" s="21" t="n"/>
      <c r="AB32" s="21" t="n"/>
      <c r="AC32" s="21" t="n"/>
      <c r="AD32" s="21" t="n"/>
      <c r="AE32" s="21" t="n"/>
      <c r="AF32" s="67" t="inlineStr">
        <is>
          <t>R02 U39</t>
        </is>
      </c>
      <c r="AG32" s="21" t="n"/>
      <c r="AH32" s="21" t="n"/>
      <c r="AI32" s="21" t="n"/>
      <c r="AJ32" s="21" t="n"/>
      <c r="AK32" s="21" t="n"/>
      <c r="AL32" s="67" t="inlineStr">
        <is>
          <t>Eth1/13</t>
        </is>
      </c>
      <c r="AM32" s="21" t="n"/>
      <c r="AN32" s="21" t="n"/>
      <c r="AO32" s="21" t="n"/>
      <c r="AP32" s="21" t="n"/>
      <c r="AQ32" s="21" t="n"/>
      <c r="AR32" s="68" t="inlineStr">
        <is>
          <t>R02-D017</t>
        </is>
      </c>
      <c r="AS32" s="21" t="n"/>
      <c r="AT32" s="21" t="n"/>
      <c r="AU32" s="21" t="n"/>
      <c r="AV32" s="21" t="n"/>
      <c r="AW32" s="21" t="n"/>
      <c r="AX32" s="21" t="n"/>
      <c r="AY32" s="67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</row>
    <row r="33" ht="13.5" customHeight="1">
      <c r="B33" s="65" t="n">
        <v>6</v>
      </c>
      <c r="C33" s="21" t="n"/>
      <c r="D33" s="66" t="inlineStr">
        <is>
          <t>후면</t>
        </is>
      </c>
      <c r="E33" s="21" t="n"/>
      <c r="F33" s="67" t="inlineStr">
        <is>
          <t>FLR2</t>
        </is>
      </c>
      <c r="G33" s="21" t="n"/>
      <c r="H33" s="21" t="n"/>
      <c r="I33" s="21" t="n"/>
      <c r="J33" s="21" t="n"/>
      <c r="K33" s="21" t="n"/>
      <c r="L33" s="67" t="inlineStr">
        <is>
          <t>서비스</t>
        </is>
      </c>
      <c r="M33" s="21" t="n"/>
      <c r="N33" s="21" t="n"/>
      <c r="O33" s="21" t="n"/>
      <c r="P33" s="21" t="n"/>
      <c r="Q33" s="67" t="inlineStr">
        <is>
          <t>DAC 25G 3m</t>
        </is>
      </c>
      <c r="R33" s="21" t="n"/>
      <c r="S33" s="21" t="n"/>
      <c r="T33" s="21" t="n"/>
      <c r="U33" s="21" t="n"/>
      <c r="V33" s="21" t="n"/>
      <c r="W33" s="21" t="n"/>
      <c r="X33" s="67" t="inlineStr">
        <is>
          <t>TOR-B</t>
        </is>
      </c>
      <c r="Y33" s="21" t="n"/>
      <c r="Z33" s="21" t="n"/>
      <c r="AA33" s="21" t="n"/>
      <c r="AB33" s="21" t="n"/>
      <c r="AC33" s="21" t="n"/>
      <c r="AD33" s="21" t="n"/>
      <c r="AE33" s="21" t="n"/>
      <c r="AF33" s="67" t="inlineStr">
        <is>
          <t>R02 U38</t>
        </is>
      </c>
      <c r="AG33" s="21" t="n"/>
      <c r="AH33" s="21" t="n"/>
      <c r="AI33" s="21" t="n"/>
      <c r="AJ33" s="21" t="n"/>
      <c r="AK33" s="21" t="n"/>
      <c r="AL33" s="67" t="inlineStr">
        <is>
          <t>Eth1/13</t>
        </is>
      </c>
      <c r="AM33" s="21" t="n"/>
      <c r="AN33" s="21" t="n"/>
      <c r="AO33" s="21" t="n"/>
      <c r="AP33" s="21" t="n"/>
      <c r="AQ33" s="21" t="n"/>
      <c r="AR33" s="68" t="inlineStr">
        <is>
          <t>R02-D018</t>
        </is>
      </c>
      <c r="AS33" s="21" t="n"/>
      <c r="AT33" s="21" t="n"/>
      <c r="AU33" s="21" t="n"/>
      <c r="AV33" s="21" t="n"/>
      <c r="AW33" s="21" t="n"/>
      <c r="AX33" s="21" t="n"/>
      <c r="AY33" s="67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</row>
    <row r="34" ht="13.5" customHeight="1">
      <c r="B34" s="65" t="n">
        <v>7</v>
      </c>
      <c r="C34" s="21" t="n"/>
      <c r="D34" s="66" t="inlineStr">
        <is>
          <t>후면</t>
        </is>
      </c>
      <c r="E34" s="21" t="n"/>
      <c r="F34" s="67" t="inlineStr">
        <is>
          <t>iLO</t>
        </is>
      </c>
      <c r="G34" s="21" t="n"/>
      <c r="H34" s="21" t="n"/>
      <c r="I34" s="21" t="n"/>
      <c r="J34" s="21" t="n"/>
      <c r="K34" s="21" t="n"/>
      <c r="L34" s="67" t="inlineStr">
        <is>
          <t>관리</t>
        </is>
      </c>
      <c r="M34" s="21" t="n"/>
      <c r="N34" s="21" t="n"/>
      <c r="O34" s="21" t="n"/>
      <c r="P34" s="21" t="n"/>
      <c r="Q34" s="67" t="inlineStr">
        <is>
          <t>UTP Cat6 / RJ45</t>
        </is>
      </c>
      <c r="R34" s="21" t="n"/>
      <c r="S34" s="21" t="n"/>
      <c r="T34" s="21" t="n"/>
      <c r="U34" s="21" t="n"/>
      <c r="V34" s="21" t="n"/>
      <c r="W34" s="21" t="n"/>
      <c r="X34" s="67" t="inlineStr">
        <is>
          <t>MGMT-SW</t>
        </is>
      </c>
      <c r="Y34" s="21" t="n"/>
      <c r="Z34" s="21" t="n"/>
      <c r="AA34" s="21" t="n"/>
      <c r="AB34" s="21" t="n"/>
      <c r="AC34" s="21" t="n"/>
      <c r="AD34" s="21" t="n"/>
      <c r="AE34" s="21" t="n"/>
      <c r="AF34" s="67" t="inlineStr">
        <is>
          <t>R02 U41</t>
        </is>
      </c>
      <c r="AG34" s="21" t="n"/>
      <c r="AH34" s="21" t="n"/>
      <c r="AI34" s="21" t="n"/>
      <c r="AJ34" s="21" t="n"/>
      <c r="AK34" s="21" t="n"/>
      <c r="AL34" s="67" t="inlineStr">
        <is>
          <t>Gi1/0/2</t>
        </is>
      </c>
      <c r="AM34" s="21" t="n"/>
      <c r="AN34" s="21" t="n"/>
      <c r="AO34" s="21" t="n"/>
      <c r="AP34" s="21" t="n"/>
      <c r="AQ34" s="21" t="n"/>
      <c r="AR34" s="68" t="inlineStr">
        <is>
          <t>R02-D002</t>
        </is>
      </c>
      <c r="AS34" s="21" t="n"/>
      <c r="AT34" s="21" t="n"/>
      <c r="AU34" s="21" t="n"/>
      <c r="AV34" s="21" t="n"/>
      <c r="AW34" s="21" t="n"/>
      <c r="AX34" s="21" t="n"/>
      <c r="AY34" s="67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</row>
    <row r="35" ht="13.5" customHeight="1">
      <c r="B35" s="65" t="n">
        <v>8</v>
      </c>
      <c r="C35" s="21" t="n"/>
      <c r="D35" s="66" t="inlineStr">
        <is>
          <t>후면</t>
        </is>
      </c>
      <c r="E35" s="21" t="n"/>
      <c r="F35" s="67" t="inlineStr">
        <is>
          <t>LOM1</t>
        </is>
      </c>
      <c r="G35" s="21" t="n"/>
      <c r="H35" s="21" t="n"/>
      <c r="I35" s="21" t="n"/>
      <c r="J35" s="21" t="n"/>
      <c r="K35" s="21" t="n"/>
      <c r="L35" s="67" t="inlineStr">
        <is>
          <t>백업</t>
        </is>
      </c>
      <c r="M35" s="21" t="n"/>
      <c r="N35" s="21" t="n"/>
      <c r="O35" s="21" t="n"/>
      <c r="P35" s="21" t="n"/>
      <c r="Q35" s="67" t="inlineStr">
        <is>
          <t>UTP Cat6 / RJ45</t>
        </is>
      </c>
      <c r="R35" s="21" t="n"/>
      <c r="S35" s="21" t="n"/>
      <c r="T35" s="21" t="n"/>
      <c r="U35" s="21" t="n"/>
      <c r="V35" s="21" t="n"/>
      <c r="W35" s="21" t="n"/>
      <c r="X35" s="67" t="inlineStr">
        <is>
          <t>PP-01</t>
        </is>
      </c>
      <c r="Y35" s="21" t="n"/>
      <c r="Z35" s="21" t="n"/>
      <c r="AA35" s="21" t="n"/>
      <c r="AB35" s="21" t="n"/>
      <c r="AC35" s="21" t="n"/>
      <c r="AD35" s="21" t="n"/>
      <c r="AE35" s="21" t="n"/>
      <c r="AF35" s="67" t="inlineStr">
        <is>
          <t>R02 U42</t>
        </is>
      </c>
      <c r="AG35" s="21" t="n"/>
      <c r="AH35" s="21" t="n"/>
      <c r="AI35" s="21" t="n"/>
      <c r="AJ35" s="21" t="n"/>
      <c r="AK35" s="21" t="n"/>
      <c r="AL35" s="67" t="inlineStr">
        <is>
          <t>2</t>
        </is>
      </c>
      <c r="AM35" s="21" t="n"/>
      <c r="AN35" s="21" t="n"/>
      <c r="AO35" s="21" t="n"/>
      <c r="AP35" s="21" t="n"/>
      <c r="AQ35" s="21" t="n"/>
      <c r="AR35" s="68" t="inlineStr">
        <is>
          <t>R02-D030</t>
        </is>
      </c>
      <c r="AS35" s="21" t="n"/>
      <c r="AT35" s="21" t="n"/>
      <c r="AU35" s="21" t="n"/>
      <c r="AV35" s="21" t="n"/>
      <c r="AW35" s="21" t="n"/>
      <c r="AX35" s="21" t="n"/>
      <c r="AY35" s="67" t="inlineStr">
        <is>
          <t>→ R05 BAK-SW Gi1/0/4</t>
        </is>
      </c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</row>
    <row r="36" ht="13.5" customHeight="1">
      <c r="B36" s="65" t="n">
        <v>9</v>
      </c>
      <c r="C36" s="21" t="n"/>
      <c r="D36" s="66" t="inlineStr">
        <is>
          <t>후면</t>
        </is>
      </c>
      <c r="E36" s="21" t="n"/>
      <c r="F36" s="67" t="inlineStr">
        <is>
          <t>PSU2</t>
        </is>
      </c>
      <c r="G36" s="21" t="n"/>
      <c r="H36" s="21" t="n"/>
      <c r="I36" s="21" t="n"/>
      <c r="J36" s="21" t="n"/>
      <c r="K36" s="21" t="n"/>
      <c r="L36" s="67" t="inlineStr">
        <is>
          <t>전원</t>
        </is>
      </c>
      <c r="M36" s="21" t="n"/>
      <c r="N36" s="21" t="n"/>
      <c r="O36" s="21" t="n"/>
      <c r="P36" s="21" t="n"/>
      <c r="Q36" s="67" t="inlineStr">
        <is>
          <t>C13-C14 2m</t>
        </is>
      </c>
      <c r="R36" s="21" t="n"/>
      <c r="S36" s="21" t="n"/>
      <c r="T36" s="21" t="n"/>
      <c r="U36" s="21" t="n"/>
      <c r="V36" s="21" t="n"/>
      <c r="W36" s="21" t="n"/>
      <c r="X36" s="67" t="inlineStr">
        <is>
          <t>PDU-B</t>
        </is>
      </c>
      <c r="Y36" s="21" t="n"/>
      <c r="Z36" s="21" t="n"/>
      <c r="AA36" s="21" t="n"/>
      <c r="AB36" s="21" t="n"/>
      <c r="AC36" s="21" t="n"/>
      <c r="AD36" s="21" t="n"/>
      <c r="AE36" s="21" t="n"/>
      <c r="AF36" s="67" t="inlineStr">
        <is>
          <t>R02 후면 우</t>
        </is>
      </c>
      <c r="AG36" s="21" t="n"/>
      <c r="AH36" s="21" t="n"/>
      <c r="AI36" s="21" t="n"/>
      <c r="AJ36" s="21" t="n"/>
      <c r="AK36" s="21" t="n"/>
      <c r="AL36" s="67" t="inlineStr">
        <is>
          <t>C13-8</t>
        </is>
      </c>
      <c r="AM36" s="21" t="n"/>
      <c r="AN36" s="21" t="n"/>
      <c r="AO36" s="21" t="n"/>
      <c r="AP36" s="21" t="n"/>
      <c r="AQ36" s="21" t="n"/>
      <c r="AR36" s="68" t="inlineStr">
        <is>
          <t>R02-P016</t>
        </is>
      </c>
      <c r="AS36" s="21" t="n"/>
      <c r="AT36" s="21" t="n"/>
      <c r="AU36" s="21" t="n"/>
      <c r="AV36" s="21" t="n"/>
      <c r="AW36" s="21" t="n"/>
      <c r="AX36" s="21" t="n"/>
      <c r="AY36" s="67" t="inlineStr">
        <is>
          <t>B 계통</t>
        </is>
      </c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</row>
    <row r="37" ht="13.5" customHeight="1">
      <c r="B37" s="65" t="n">
        <v>10</v>
      </c>
      <c r="C37" s="21" t="n"/>
      <c r="D37" s="66" t="inlineStr">
        <is>
          <t>후면</t>
        </is>
      </c>
      <c r="E37" s="21" t="n"/>
      <c r="F37" s="67" t="inlineStr">
        <is>
          <t>PSU1</t>
        </is>
      </c>
      <c r="G37" s="21" t="n"/>
      <c r="H37" s="21" t="n"/>
      <c r="I37" s="21" t="n"/>
      <c r="J37" s="21" t="n"/>
      <c r="K37" s="21" t="n"/>
      <c r="L37" s="67" t="inlineStr">
        <is>
          <t>전원</t>
        </is>
      </c>
      <c r="M37" s="21" t="n"/>
      <c r="N37" s="21" t="n"/>
      <c r="O37" s="21" t="n"/>
      <c r="P37" s="21" t="n"/>
      <c r="Q37" s="67" t="inlineStr">
        <is>
          <t>C13-C14 2m</t>
        </is>
      </c>
      <c r="R37" s="21" t="n"/>
      <c r="S37" s="21" t="n"/>
      <c r="T37" s="21" t="n"/>
      <c r="U37" s="21" t="n"/>
      <c r="V37" s="21" t="n"/>
      <c r="W37" s="21" t="n"/>
      <c r="X37" s="67" t="inlineStr">
        <is>
          <t>PDU-A</t>
        </is>
      </c>
      <c r="Y37" s="21" t="n"/>
      <c r="Z37" s="21" t="n"/>
      <c r="AA37" s="21" t="n"/>
      <c r="AB37" s="21" t="n"/>
      <c r="AC37" s="21" t="n"/>
      <c r="AD37" s="21" t="n"/>
      <c r="AE37" s="21" t="n"/>
      <c r="AF37" s="67" t="inlineStr">
        <is>
          <t>R02 후면 좌</t>
        </is>
      </c>
      <c r="AG37" s="21" t="n"/>
      <c r="AH37" s="21" t="n"/>
      <c r="AI37" s="21" t="n"/>
      <c r="AJ37" s="21" t="n"/>
      <c r="AK37" s="21" t="n"/>
      <c r="AL37" s="67" t="inlineStr">
        <is>
          <t>C13-8</t>
        </is>
      </c>
      <c r="AM37" s="21" t="n"/>
      <c r="AN37" s="21" t="n"/>
      <c r="AO37" s="21" t="n"/>
      <c r="AP37" s="21" t="n"/>
      <c r="AQ37" s="21" t="n"/>
      <c r="AR37" s="68" t="inlineStr">
        <is>
          <t>R02-P015</t>
        </is>
      </c>
      <c r="AS37" s="21" t="n"/>
      <c r="AT37" s="21" t="n"/>
      <c r="AU37" s="21" t="n"/>
      <c r="AV37" s="21" t="n"/>
      <c r="AW37" s="21" t="n"/>
      <c r="AX37" s="21" t="n"/>
      <c r="AY37" s="67" t="inlineStr">
        <is>
          <t>A 계통</t>
        </is>
      </c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</row>
    <row r="38" ht="13.5" customHeight="1">
      <c r="B38" s="65" t="n"/>
      <c r="C38" s="21" t="n"/>
      <c r="D38" s="66" t="n"/>
      <c r="E38" s="21" t="n"/>
      <c r="F38" s="67" t="n"/>
      <c r="G38" s="21" t="n"/>
      <c r="H38" s="21" t="n"/>
      <c r="I38" s="21" t="n"/>
      <c r="J38" s="21" t="n"/>
      <c r="K38" s="21" t="n"/>
      <c r="L38" s="67" t="n"/>
      <c r="M38" s="21" t="n"/>
      <c r="N38" s="21" t="n"/>
      <c r="O38" s="21" t="n"/>
      <c r="P38" s="21" t="n"/>
      <c r="Q38" s="67" t="n"/>
      <c r="R38" s="21" t="n"/>
      <c r="S38" s="21" t="n"/>
      <c r="T38" s="21" t="n"/>
      <c r="U38" s="21" t="n"/>
      <c r="V38" s="21" t="n"/>
      <c r="W38" s="21" t="n"/>
      <c r="X38" s="67" t="n"/>
      <c r="Y38" s="21" t="n"/>
      <c r="Z38" s="21" t="n"/>
      <c r="AA38" s="21" t="n"/>
      <c r="AB38" s="21" t="n"/>
      <c r="AC38" s="21" t="n"/>
      <c r="AD38" s="21" t="n"/>
      <c r="AE38" s="21" t="n"/>
      <c r="AF38" s="67" t="n"/>
      <c r="AG38" s="21" t="n"/>
      <c r="AH38" s="21" t="n"/>
      <c r="AI38" s="21" t="n"/>
      <c r="AJ38" s="21" t="n"/>
      <c r="AK38" s="21" t="n"/>
      <c r="AL38" s="67" t="n"/>
      <c r="AM38" s="21" t="n"/>
      <c r="AN38" s="21" t="n"/>
      <c r="AO38" s="21" t="n"/>
      <c r="AP38" s="21" t="n"/>
      <c r="AQ38" s="21" t="n"/>
      <c r="AR38" s="68" t="n"/>
      <c r="AS38" s="21" t="n"/>
      <c r="AT38" s="21" t="n"/>
      <c r="AU38" s="21" t="n"/>
      <c r="AV38" s="21" t="n"/>
      <c r="AW38" s="21" t="n"/>
      <c r="AX38" s="21" t="n"/>
      <c r="AY38" s="67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</row>
    <row r="39" ht="13.5" customHeight="1">
      <c r="B39" s="65" t="n"/>
      <c r="C39" s="21" t="n"/>
      <c r="D39" s="66" t="n"/>
      <c r="E39" s="21" t="n"/>
      <c r="F39" s="67" t="n"/>
      <c r="G39" s="21" t="n"/>
      <c r="H39" s="21" t="n"/>
      <c r="I39" s="21" t="n"/>
      <c r="J39" s="21" t="n"/>
      <c r="K39" s="21" t="n"/>
      <c r="L39" s="67" t="n"/>
      <c r="M39" s="21" t="n"/>
      <c r="N39" s="21" t="n"/>
      <c r="O39" s="21" t="n"/>
      <c r="P39" s="21" t="n"/>
      <c r="Q39" s="67" t="n"/>
      <c r="R39" s="21" t="n"/>
      <c r="S39" s="21" t="n"/>
      <c r="T39" s="21" t="n"/>
      <c r="U39" s="21" t="n"/>
      <c r="V39" s="21" t="n"/>
      <c r="W39" s="21" t="n"/>
      <c r="X39" s="67" t="n"/>
      <c r="Y39" s="21" t="n"/>
      <c r="Z39" s="21" t="n"/>
      <c r="AA39" s="21" t="n"/>
      <c r="AB39" s="21" t="n"/>
      <c r="AC39" s="21" t="n"/>
      <c r="AD39" s="21" t="n"/>
      <c r="AE39" s="21" t="n"/>
      <c r="AF39" s="67" t="n"/>
      <c r="AG39" s="21" t="n"/>
      <c r="AH39" s="21" t="n"/>
      <c r="AI39" s="21" t="n"/>
      <c r="AJ39" s="21" t="n"/>
      <c r="AK39" s="21" t="n"/>
      <c r="AL39" s="67" t="n"/>
      <c r="AM39" s="21" t="n"/>
      <c r="AN39" s="21" t="n"/>
      <c r="AO39" s="21" t="n"/>
      <c r="AP39" s="21" t="n"/>
      <c r="AQ39" s="21" t="n"/>
      <c r="AR39" s="68" t="n"/>
      <c r="AS39" s="21" t="n"/>
      <c r="AT39" s="21" t="n"/>
      <c r="AU39" s="21" t="n"/>
      <c r="AV39" s="21" t="n"/>
      <c r="AW39" s="21" t="n"/>
      <c r="AX39" s="21" t="n"/>
      <c r="AY39" s="67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</row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</sheetData>
  <mergeCells count="187">
    <mergeCell ref="AY29:BK29"/>
    <mergeCell ref="Q27:W27"/>
    <mergeCell ref="AL32:AQ32"/>
    <mergeCell ref="F32:K32"/>
    <mergeCell ref="X39:AE39"/>
    <mergeCell ref="F35:K35"/>
    <mergeCell ref="G23:H23"/>
    <mergeCell ref="B31:C31"/>
    <mergeCell ref="D36:E36"/>
    <mergeCell ref="D31:E31"/>
    <mergeCell ref="AY31:BK31"/>
    <mergeCell ref="E6:F11"/>
    <mergeCell ref="G6:H11"/>
    <mergeCell ref="Q6:R11"/>
    <mergeCell ref="L33:P33"/>
    <mergeCell ref="S6:T11"/>
    <mergeCell ref="F27:K27"/>
    <mergeCell ref="AL33:AQ33"/>
    <mergeCell ref="AN22:AO22"/>
    <mergeCell ref="Q37:W37"/>
    <mergeCell ref="L35:P35"/>
    <mergeCell ref="AL35:AQ35"/>
    <mergeCell ref="AR27:AX27"/>
    <mergeCell ref="B38:C38"/>
    <mergeCell ref="AQ6:AR11"/>
    <mergeCell ref="X33:AE33"/>
    <mergeCell ref="Q39:W39"/>
    <mergeCell ref="AK16:AL16"/>
    <mergeCell ref="AF36:AK36"/>
    <mergeCell ref="Q29:W29"/>
    <mergeCell ref="AL23:AM23"/>
    <mergeCell ref="F29:K29"/>
    <mergeCell ref="Q38:W38"/>
    <mergeCell ref="AN23:AO23"/>
    <mergeCell ref="AF34:AK34"/>
    <mergeCell ref="X35:AE35"/>
    <mergeCell ref="Q17:R17"/>
    <mergeCell ref="B33:C33"/>
    <mergeCell ref="AR28:AX28"/>
    <mergeCell ref="D33:E33"/>
    <mergeCell ref="Q31:W31"/>
    <mergeCell ref="AL6:AM11"/>
    <mergeCell ref="AL36:AQ36"/>
    <mergeCell ref="B32:C32"/>
    <mergeCell ref="J23:K23"/>
    <mergeCell ref="G22:H22"/>
    <mergeCell ref="B35:C35"/>
    <mergeCell ref="AA22:AB22"/>
    <mergeCell ref="X27:AE27"/>
    <mergeCell ref="AR30:AX30"/>
    <mergeCell ref="D35:E35"/>
    <mergeCell ref="AY35:BK35"/>
    <mergeCell ref="X36:AE36"/>
    <mergeCell ref="D34:E34"/>
    <mergeCell ref="AD6:AE11"/>
    <mergeCell ref="AL28:AQ28"/>
    <mergeCell ref="L32:P32"/>
    <mergeCell ref="AF6:AG11"/>
    <mergeCell ref="AL37:AQ37"/>
    <mergeCell ref="W22:Y22"/>
    <mergeCell ref="B27:C27"/>
    <mergeCell ref="B4:B13"/>
    <mergeCell ref="AY30:BK30"/>
    <mergeCell ref="F38:K38"/>
    <mergeCell ref="M6:N11"/>
    <mergeCell ref="AR32:AX32"/>
    <mergeCell ref="BI7:BJ7"/>
    <mergeCell ref="X37:AE37"/>
    <mergeCell ref="AF32:AK32"/>
    <mergeCell ref="AF35:AK35"/>
    <mergeCell ref="Q28:W28"/>
    <mergeCell ref="F37:K37"/>
    <mergeCell ref="AF38:AK38"/>
    <mergeCell ref="B29:C29"/>
    <mergeCell ref="AY32:BK32"/>
    <mergeCell ref="B37:C37"/>
    <mergeCell ref="D37:E37"/>
    <mergeCell ref="AY6:AZ11"/>
    <mergeCell ref="AR37:AX37"/>
    <mergeCell ref="X38:AE38"/>
    <mergeCell ref="AF27:AK27"/>
    <mergeCell ref="J22:K22"/>
    <mergeCell ref="T22:U22"/>
    <mergeCell ref="AY38:BK38"/>
    <mergeCell ref="AF37:AK37"/>
    <mergeCell ref="D39:E39"/>
    <mergeCell ref="L34:P34"/>
    <mergeCell ref="AL34:AQ34"/>
    <mergeCell ref="F34:K34"/>
    <mergeCell ref="BC6:BD11"/>
    <mergeCell ref="AF33:AK33"/>
    <mergeCell ref="BE6:BF11"/>
    <mergeCell ref="D29:E29"/>
    <mergeCell ref="O6:P11"/>
    <mergeCell ref="D38:E38"/>
    <mergeCell ref="AL27:AQ27"/>
    <mergeCell ref="L36:P36"/>
    <mergeCell ref="AH22:AI22"/>
    <mergeCell ref="AX23:AY23"/>
    <mergeCell ref="AJ22:AK22"/>
    <mergeCell ref="AR34:AX34"/>
    <mergeCell ref="F30:K30"/>
    <mergeCell ref="AL22:AM22"/>
    <mergeCell ref="BI9:BJ9"/>
    <mergeCell ref="F33:K33"/>
    <mergeCell ref="AR36:AX36"/>
    <mergeCell ref="L28:P28"/>
    <mergeCell ref="L37:P37"/>
    <mergeCell ref="AH23:AI23"/>
    <mergeCell ref="AR29:AX29"/>
    <mergeCell ref="AF30:AK30"/>
    <mergeCell ref="AJ23:AK23"/>
    <mergeCell ref="AY34:BK34"/>
    <mergeCell ref="Q32:W32"/>
    <mergeCell ref="X6:Y11"/>
    <mergeCell ref="F28:K28"/>
    <mergeCell ref="AH6:AI11"/>
    <mergeCell ref="D27:E27"/>
    <mergeCell ref="AJ6:AK11"/>
    <mergeCell ref="AR31:AX31"/>
    <mergeCell ref="AY36:BK36"/>
    <mergeCell ref="X34:AE34"/>
    <mergeCell ref="AN16:AO16"/>
    <mergeCell ref="X28:AE28"/>
    <mergeCell ref="AL39:AQ39"/>
    <mergeCell ref="AF31:AK31"/>
    <mergeCell ref="AL29:AQ29"/>
    <mergeCell ref="Q33:W33"/>
    <mergeCell ref="AL38:AQ38"/>
    <mergeCell ref="X30:AE30"/>
    <mergeCell ref="B34:C34"/>
    <mergeCell ref="B28:C28"/>
    <mergeCell ref="D28:E28"/>
    <mergeCell ref="X29:AE29"/>
    <mergeCell ref="AL31:AQ31"/>
    <mergeCell ref="T17:U17"/>
    <mergeCell ref="AN17:AO17"/>
    <mergeCell ref="B30:C30"/>
    <mergeCell ref="I6:J11"/>
    <mergeCell ref="D30:E30"/>
    <mergeCell ref="K6:L11"/>
    <mergeCell ref="Q34:W34"/>
    <mergeCell ref="B15:B24"/>
    <mergeCell ref="AA23:AB23"/>
    <mergeCell ref="L27:P27"/>
    <mergeCell ref="AY28:BK28"/>
    <mergeCell ref="Q16:R16"/>
    <mergeCell ref="AR33:AX33"/>
    <mergeCell ref="AK17:AL17"/>
    <mergeCell ref="Q36:W36"/>
    <mergeCell ref="Q30:W30"/>
    <mergeCell ref="F36:K36"/>
    <mergeCell ref="AS6:AT11"/>
    <mergeCell ref="AU6:AV11"/>
    <mergeCell ref="AW6:AX11"/>
    <mergeCell ref="AR35:AX35"/>
    <mergeCell ref="X32:AE32"/>
    <mergeCell ref="AX22:AY22"/>
    <mergeCell ref="BH22:BI22"/>
    <mergeCell ref="AR38:AX38"/>
    <mergeCell ref="B39:C39"/>
    <mergeCell ref="BA6:BB11"/>
    <mergeCell ref="F31:K31"/>
    <mergeCell ref="AY26:BB26"/>
    <mergeCell ref="D32:E32"/>
    <mergeCell ref="AY27:BK27"/>
    <mergeCell ref="L30:P30"/>
    <mergeCell ref="AY37:BK37"/>
    <mergeCell ref="L39:P39"/>
    <mergeCell ref="F39:K39"/>
    <mergeCell ref="BH23:BI23"/>
    <mergeCell ref="AY33:BK33"/>
    <mergeCell ref="L29:P29"/>
    <mergeCell ref="L38:P38"/>
    <mergeCell ref="AF28:AK28"/>
    <mergeCell ref="Z6:AA11"/>
    <mergeCell ref="AR39:AX39"/>
    <mergeCell ref="AB6:AC11"/>
    <mergeCell ref="L31:P31"/>
    <mergeCell ref="AL30:AQ30"/>
    <mergeCell ref="AF39:AK39"/>
    <mergeCell ref="T16:U16"/>
    <mergeCell ref="Q35:W35"/>
    <mergeCell ref="B36:C36"/>
    <mergeCell ref="AY39:BK39"/>
    <mergeCell ref="X31:AE31"/>
    <mergeCell ref="AF29:AK29"/>
  </mergeCells>
  <conditionalFormatting sqref="B28:C39">
    <cfRule type="expression" priority="1" dxfId="13" stopIfTrue="1">
      <formula>AND(ISNUMBER($B28),SUMPRODUCT(($C$4:$BK$25=$B28)*($C$4:$BK$25&lt;&gt;""))&lt;&gt;1)</formula>
    </cfRule>
    <cfRule type="expression" priority="2" dxfId="13" stopIfTrue="1">
      <formula>AND(ISNUMBER($B28),COUNTIF($B$28:$B$39,$B28)&gt;1)</formula>
    </cfRule>
    <cfRule type="expression" priority="3" dxfId="14" stopIfTrue="1">
      <formula>$L28="서비스"</formula>
    </cfRule>
    <cfRule type="expression" priority="4" dxfId="15" stopIfTrue="1">
      <formula>$L28="관리"</formula>
    </cfRule>
    <cfRule type="expression" priority="5" dxfId="16" stopIfTrue="1">
      <formula>$L28="백업"</formula>
    </cfRule>
    <cfRule type="expression" priority="6" dxfId="17" stopIfTrue="1">
      <formula>$L28="스토리지"</formula>
    </cfRule>
    <cfRule type="expression" priority="7" dxfId="18" stopIfTrue="1">
      <formula>$L28="인터커넥트"</formula>
    </cfRule>
    <cfRule type="expression" priority="8" dxfId="19" stopIfTrue="1">
      <formula>$L28="콘솔"</formula>
    </cfRule>
    <cfRule type="expression" priority="9" dxfId="20" stopIfTrue="1">
      <formula>$L28="전원"</formula>
    </cfRule>
  </conditionalFormatting>
  <dataValidations count="2">
    <dataValidation sqref="L28:L39" showDropDown="0" showInputMessage="0" showErrorMessage="0" allowBlank="1" type="list">
      <formula1>"서비스,관리,백업,스토리지,인터커넥트,콘솔,전원,기타"</formula1>
    </dataValidation>
    <dataValidation sqref="D28:D39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25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SRV-03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Dell PowerEdge R640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U16</t>
        </is>
      </c>
      <c r="Z2" s="5" t="inlineStr">
        <is>
          <t>구분</t>
        </is>
      </c>
      <c r="AB2" s="6" t="inlineStr">
        <is>
          <t>서버</t>
        </is>
      </c>
      <c r="AH2" s="5" t="inlineStr">
        <is>
          <t>시리얼</t>
        </is>
      </c>
      <c r="AK2" s="6" t="inlineStr">
        <is>
          <t>7XK2Q53</t>
        </is>
      </c>
      <c r="AS2" s="5" t="inlineStr">
        <is>
          <t>관리 IP</t>
        </is>
      </c>
      <c r="AV2" s="6" t="inlineStr">
        <is>
          <t>10.10.1.23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D5" s="45" t="inlineStr">
        <is>
          <t>UID</t>
        </is>
      </c>
      <c r="E5" s="46" t="n"/>
      <c r="F5" s="46" t="n"/>
      <c r="G5" s="46" t="n"/>
      <c r="H5" s="47" t="n"/>
      <c r="J5" s="69" t="n"/>
      <c r="K5" s="129" t="inlineStr">
        <is>
          <t>1</t>
        </is>
      </c>
      <c r="L5" s="130" t="n"/>
      <c r="M5" s="129" t="inlineStr">
        <is>
          <t>2</t>
        </is>
      </c>
      <c r="N5" s="130" t="n"/>
      <c r="O5" s="129" t="inlineStr">
        <is>
          <t>3</t>
        </is>
      </c>
      <c r="P5" s="130" t="n"/>
      <c r="Q5" s="129" t="inlineStr">
        <is>
          <t>4</t>
        </is>
      </c>
      <c r="R5" s="130" t="n"/>
      <c r="S5" s="131" t="inlineStr">
        <is>
          <t>5</t>
        </is>
      </c>
      <c r="T5" s="130" t="n"/>
      <c r="U5" s="131" t="inlineStr">
        <is>
          <t>6</t>
        </is>
      </c>
      <c r="V5" s="130" t="n"/>
      <c r="W5" s="131" t="inlineStr">
        <is>
          <t>7</t>
        </is>
      </c>
      <c r="X5" s="130" t="n"/>
      <c r="Y5" s="131" t="inlineStr">
        <is>
          <t>8</t>
        </is>
      </c>
      <c r="Z5" s="130" t="n"/>
      <c r="AA5" s="131" t="inlineStr">
        <is>
          <t>9</t>
        </is>
      </c>
      <c r="AB5" s="130" t="n"/>
      <c r="AC5" s="131" t="inlineStr">
        <is>
          <t>10</t>
        </is>
      </c>
      <c r="AD5" s="130" t="n"/>
      <c r="AE5" s="47" t="n"/>
      <c r="BB5" s="45" t="inlineStr">
        <is>
          <t>전면 I/O</t>
        </is>
      </c>
      <c r="BC5" s="46" t="n"/>
      <c r="BD5" s="46" t="n"/>
      <c r="BE5" s="46" t="n"/>
      <c r="BF5" s="46" t="n"/>
      <c r="BG5" s="46" t="n"/>
      <c r="BH5" s="46" t="n"/>
      <c r="BI5" s="46" t="n"/>
      <c r="BJ5" s="47" t="n"/>
      <c r="BK5" s="17" t="n"/>
    </row>
    <row r="6" ht="12" customHeight="1">
      <c r="C6" s="18" t="n"/>
      <c r="D6" s="110" t="inlineStr">
        <is>
          <t>● 상태</t>
        </is>
      </c>
      <c r="E6" s="49" t="n"/>
      <c r="F6" s="49" t="n"/>
      <c r="G6" s="49" t="n"/>
      <c r="H6" s="50" t="n"/>
      <c r="J6" s="48" t="n"/>
      <c r="K6" s="108" t="n"/>
      <c r="L6" s="109" t="n"/>
      <c r="M6" s="108" t="n"/>
      <c r="N6" s="109" t="n"/>
      <c r="O6" s="108" t="n"/>
      <c r="P6" s="109" t="n"/>
      <c r="Q6" s="108" t="n"/>
      <c r="R6" s="109" t="n"/>
      <c r="S6" s="108" t="n"/>
      <c r="T6" s="109" t="n"/>
      <c r="U6" s="108" t="n"/>
      <c r="V6" s="109" t="n"/>
      <c r="W6" s="108" t="n"/>
      <c r="X6" s="109" t="n"/>
      <c r="Y6" s="108" t="n"/>
      <c r="Z6" s="109" t="n"/>
      <c r="AA6" s="108" t="n"/>
      <c r="AB6" s="109" t="n"/>
      <c r="AC6" s="108" t="n"/>
      <c r="AD6" s="109" t="n"/>
      <c r="AE6" s="50" t="n"/>
      <c r="BB6" s="48" t="n"/>
      <c r="BC6" s="132" t="inlineStr">
        <is>
          <t>USB</t>
        </is>
      </c>
      <c r="BD6" s="40" t="n"/>
      <c r="BE6" s="132" t="inlineStr">
        <is>
          <t>SVC</t>
        </is>
      </c>
      <c r="BF6" s="40" t="n"/>
      <c r="BG6" s="132" t="inlineStr">
        <is>
          <t>VGA</t>
        </is>
      </c>
      <c r="BH6" s="133" t="n"/>
      <c r="BI6" s="40" t="n"/>
      <c r="BJ6" s="50" t="n"/>
      <c r="BK6" s="17" t="n"/>
    </row>
    <row r="7" ht="12" customHeight="1">
      <c r="C7" s="18" t="n"/>
      <c r="D7" s="134" t="inlineStr">
        <is>
          <t>○ 전원</t>
        </is>
      </c>
      <c r="E7" s="52" t="n"/>
      <c r="F7" s="52" t="n"/>
      <c r="G7" s="52" t="n"/>
      <c r="H7" s="53" t="n"/>
      <c r="J7" s="51" t="n"/>
      <c r="K7" s="135" t="n"/>
      <c r="L7" s="136" t="n"/>
      <c r="M7" s="135" t="n"/>
      <c r="N7" s="136" t="n"/>
      <c r="O7" s="135" t="n"/>
      <c r="P7" s="136" t="n"/>
      <c r="Q7" s="135" t="n"/>
      <c r="R7" s="136" t="n"/>
      <c r="S7" s="135" t="n"/>
      <c r="T7" s="136" t="n"/>
      <c r="U7" s="135" t="n"/>
      <c r="V7" s="136" t="n"/>
      <c r="W7" s="135" t="n"/>
      <c r="X7" s="136" t="n"/>
      <c r="Y7" s="135" t="n"/>
      <c r="Z7" s="136" t="n"/>
      <c r="AA7" s="135" t="n"/>
      <c r="AB7" s="136" t="n"/>
      <c r="AC7" s="135" t="n"/>
      <c r="AD7" s="136" t="n"/>
      <c r="AE7" s="53" t="n"/>
      <c r="BB7" s="51" t="n"/>
      <c r="BC7" s="52" t="n"/>
      <c r="BD7" s="52" t="n"/>
      <c r="BE7" s="52" t="n"/>
      <c r="BF7" s="52" t="n"/>
      <c r="BG7" s="52" t="n"/>
      <c r="BH7" s="52" t="n"/>
      <c r="BI7" s="52" t="n"/>
      <c r="BJ7" s="53" t="n"/>
      <c r="BK7" s="17" t="n"/>
    </row>
    <row r="8" ht="12" customHeight="1">
      <c r="C8" s="42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  <c r="AD8" s="43" t="n"/>
      <c r="AE8" s="43" t="n"/>
      <c r="AF8" s="43" t="n"/>
      <c r="AG8" s="43" t="n"/>
      <c r="AH8" s="43" t="n"/>
      <c r="AI8" s="43" t="n"/>
      <c r="AJ8" s="43" t="n"/>
      <c r="AK8" s="43" t="n"/>
      <c r="AL8" s="43" t="n"/>
      <c r="AM8" s="43" t="n"/>
      <c r="AN8" s="43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4" t="n"/>
    </row>
    <row r="9" ht="12" customHeight="1"/>
    <row r="10" ht="12" customHeight="1">
      <c r="B10" s="35" t="inlineStr">
        <is>
          <t>후  면</t>
        </is>
      </c>
      <c r="C10" s="36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7" t="n"/>
    </row>
    <row r="11" ht="12" customHeight="1">
      <c r="C11" s="18" t="n"/>
      <c r="D11" s="137" t="inlineStr">
        <is>
          <t>S1 · NIC 2P</t>
        </is>
      </c>
      <c r="E11" s="138" t="n"/>
      <c r="F11" s="138" t="n"/>
      <c r="G11" s="138" t="n"/>
      <c r="H11" s="138" t="n"/>
      <c r="I11" s="138" t="n"/>
      <c r="J11" s="138" t="n"/>
      <c r="K11" s="138" t="n"/>
      <c r="L11" s="138" t="n"/>
      <c r="M11" s="138" t="n"/>
      <c r="N11" s="138" t="n"/>
      <c r="O11" s="138" t="n"/>
      <c r="P11" s="138" t="n"/>
      <c r="Q11" s="139" t="n"/>
      <c r="R11" s="140" t="n"/>
      <c r="S11" s="138" t="n"/>
      <c r="T11" s="139" t="n"/>
      <c r="U11" s="140" t="n"/>
      <c r="V11" s="141" t="n"/>
      <c r="X11" s="142" t="inlineStr">
        <is>
          <t>S2  빈 슬롯</t>
        </is>
      </c>
      <c r="Y11" s="143" t="n"/>
      <c r="Z11" s="143" t="n"/>
      <c r="AA11" s="143" t="n"/>
      <c r="AB11" s="143" t="n"/>
      <c r="AC11" s="143" t="n"/>
      <c r="AD11" s="143" t="n"/>
      <c r="AE11" s="143" t="n"/>
      <c r="AF11" s="143" t="n"/>
      <c r="AG11" s="143" t="n"/>
      <c r="AH11" s="143" t="n"/>
      <c r="AI11" s="143" t="n"/>
      <c r="AJ11" s="143" t="n"/>
      <c r="AK11" s="143" t="n"/>
      <c r="AL11" s="143" t="n"/>
      <c r="AM11" s="143" t="n"/>
      <c r="AN11" s="143" t="n"/>
      <c r="AO11" s="143" t="n"/>
      <c r="AP11" s="144" t="n"/>
      <c r="AR11" s="142" t="inlineStr">
        <is>
          <t>S3  빈 슬롯</t>
        </is>
      </c>
      <c r="AS11" s="143" t="n"/>
      <c r="AT11" s="143" t="n"/>
      <c r="AU11" s="143" t="n"/>
      <c r="AV11" s="143" t="n"/>
      <c r="AW11" s="143" t="n"/>
      <c r="AX11" s="143" t="n"/>
      <c r="AY11" s="143" t="n"/>
      <c r="AZ11" s="143" t="n"/>
      <c r="BA11" s="143" t="n"/>
      <c r="BB11" s="143" t="n"/>
      <c r="BC11" s="143" t="n"/>
      <c r="BD11" s="143" t="n"/>
      <c r="BE11" s="143" t="n"/>
      <c r="BF11" s="143" t="n"/>
      <c r="BG11" s="143" t="n"/>
      <c r="BH11" s="143" t="n"/>
      <c r="BI11" s="143" t="n"/>
      <c r="BJ11" s="144" t="n"/>
      <c r="BK11" s="17" t="n"/>
    </row>
    <row r="12" ht="12" customHeight="1">
      <c r="C12" s="18" t="n"/>
      <c r="D12" s="45" t="inlineStr">
        <is>
          <t>OCP</t>
        </is>
      </c>
      <c r="E12" s="46" t="n"/>
      <c r="F12" s="46" t="n"/>
      <c r="G12" s="126" t="n">
        <v>1</v>
      </c>
      <c r="H12" s="114" t="n"/>
      <c r="I12" s="46" t="n"/>
      <c r="J12" s="126" t="n">
        <v>2</v>
      </c>
      <c r="K12" s="114" t="n"/>
      <c r="L12" s="47" t="n"/>
      <c r="N12" s="45" t="inlineStr">
        <is>
          <t>I/O</t>
        </is>
      </c>
      <c r="O12" s="46" t="n"/>
      <c r="P12" s="46" t="n"/>
      <c r="Q12" s="46" t="n"/>
      <c r="R12" s="46" t="n"/>
      <c r="S12" s="46" t="n"/>
      <c r="T12" s="121" t="inlineStr">
        <is>
          <t>USB</t>
        </is>
      </c>
      <c r="U12" s="114" t="n"/>
      <c r="V12" s="46" t="n"/>
      <c r="W12" s="121" t="inlineStr">
        <is>
          <t>VGA</t>
        </is>
      </c>
      <c r="X12" s="117" t="n"/>
      <c r="Y12" s="114" t="n"/>
      <c r="Z12" s="46" t="n"/>
      <c r="AA12" s="113" t="n">
        <v>3</v>
      </c>
      <c r="AB12" s="114" t="n"/>
      <c r="AC12" s="47" t="n"/>
      <c r="AE12" s="45" t="inlineStr">
        <is>
          <t>LOM</t>
        </is>
      </c>
      <c r="AF12" s="46" t="n"/>
      <c r="AG12" s="46" t="n"/>
      <c r="AH12" s="128" t="n">
        <v>4</v>
      </c>
      <c r="AI12" s="114" t="n"/>
      <c r="AJ12" s="115" t="n"/>
      <c r="AK12" s="114" t="n"/>
      <c r="AL12" s="115" t="n"/>
      <c r="AM12" s="114" t="n"/>
      <c r="AN12" s="115" t="n"/>
      <c r="AO12" s="114" t="n"/>
      <c r="AP12" s="47" t="n"/>
      <c r="AR12" s="45" t="inlineStr">
        <is>
          <t>PSU 1</t>
        </is>
      </c>
      <c r="AS12" s="46" t="n"/>
      <c r="AT12" s="46" t="n"/>
      <c r="AU12" s="46" t="n"/>
      <c r="AV12" s="46" t="n"/>
      <c r="AW12" s="46" t="n"/>
      <c r="AX12" s="122" t="n">
        <v>5</v>
      </c>
      <c r="AY12" s="114" t="n"/>
      <c r="AZ12" s="47" t="n"/>
      <c r="BB12" s="45" t="inlineStr">
        <is>
          <t>PSU 2</t>
        </is>
      </c>
      <c r="BC12" s="46" t="n"/>
      <c r="BD12" s="46" t="n"/>
      <c r="BE12" s="46" t="n"/>
      <c r="BF12" s="46" t="n"/>
      <c r="BG12" s="46" t="n"/>
      <c r="BH12" s="122" t="n">
        <v>6</v>
      </c>
      <c r="BI12" s="114" t="n"/>
      <c r="BJ12" s="47" t="n"/>
      <c r="BK12" s="17" t="n"/>
    </row>
    <row r="13" ht="12" customHeight="1">
      <c r="C13" s="18" t="n"/>
      <c r="D13" s="51" t="n"/>
      <c r="E13" s="52" t="n"/>
      <c r="F13" s="52" t="n"/>
      <c r="G13" s="89" t="inlineStr">
        <is>
          <t>1</t>
        </is>
      </c>
      <c r="H13" s="87" t="n"/>
      <c r="I13" s="52" t="n"/>
      <c r="J13" s="89" t="inlineStr">
        <is>
          <t>2</t>
        </is>
      </c>
      <c r="K13" s="87" t="n"/>
      <c r="L13" s="53" t="n"/>
      <c r="N13" s="51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52" t="n"/>
      <c r="Z13" s="52" t="n"/>
      <c r="AA13" s="89" t="inlineStr">
        <is>
          <t>iDRAC</t>
        </is>
      </c>
      <c r="AB13" s="87" t="n"/>
      <c r="AC13" s="53" t="n"/>
      <c r="AE13" s="51" t="n"/>
      <c r="AF13" s="52" t="n"/>
      <c r="AG13" s="52" t="n"/>
      <c r="AH13" s="89" t="inlineStr">
        <is>
          <t>1</t>
        </is>
      </c>
      <c r="AI13" s="87" t="n"/>
      <c r="AJ13" s="89" t="inlineStr">
        <is>
          <t>2</t>
        </is>
      </c>
      <c r="AK13" s="87" t="n"/>
      <c r="AL13" s="89" t="inlineStr">
        <is>
          <t>3</t>
        </is>
      </c>
      <c r="AM13" s="87" t="n"/>
      <c r="AN13" s="89" t="inlineStr">
        <is>
          <t>4</t>
        </is>
      </c>
      <c r="AO13" s="87" t="n"/>
      <c r="AP13" s="53" t="n"/>
      <c r="AR13" s="51" t="n"/>
      <c r="AS13" s="52" t="n"/>
      <c r="AT13" s="52" t="n"/>
      <c r="AU13" s="52" t="n"/>
      <c r="AV13" s="52" t="n"/>
      <c r="AW13" s="52" t="n"/>
      <c r="AX13" s="89" t="inlineStr">
        <is>
          <t>C14</t>
        </is>
      </c>
      <c r="AY13" s="87" t="n"/>
      <c r="AZ13" s="53" t="n"/>
      <c r="BB13" s="51" t="n"/>
      <c r="BC13" s="52" t="n"/>
      <c r="BD13" s="52" t="n"/>
      <c r="BE13" s="52" t="n"/>
      <c r="BF13" s="52" t="n"/>
      <c r="BG13" s="52" t="n"/>
      <c r="BH13" s="89" t="inlineStr">
        <is>
          <t>C14</t>
        </is>
      </c>
      <c r="BI13" s="87" t="n"/>
      <c r="BJ13" s="53" t="n"/>
      <c r="BK13" s="17" t="n"/>
    </row>
    <row r="14" ht="12" customHeight="1">
      <c r="C14" s="4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43" t="n"/>
      <c r="AW14" s="43" t="n"/>
      <c r="AX14" s="43" t="n"/>
      <c r="AY14" s="43" t="n"/>
      <c r="AZ14" s="43" t="n"/>
      <c r="BA14" s="43" t="n"/>
      <c r="BB14" s="43" t="n"/>
      <c r="BC14" s="43" t="n"/>
      <c r="BD14" s="43" t="n"/>
      <c r="BE14" s="43" t="n"/>
      <c r="BF14" s="43" t="n"/>
      <c r="BG14" s="43" t="n"/>
      <c r="BH14" s="43" t="n"/>
      <c r="BI14" s="43" t="n"/>
      <c r="BJ14" s="43" t="n"/>
      <c r="BK14" s="44" t="n"/>
    </row>
    <row r="15" ht="12" customHeight="1"/>
    <row r="16" ht="12" customHeight="1">
      <c r="B16" s="7" t="inlineStr">
        <is>
          <t>연결 정보</t>
        </is>
      </c>
      <c r="H16" s="54" t="n"/>
      <c r="I16" s="28" t="inlineStr">
        <is>
          <t>서비스</t>
        </is>
      </c>
      <c r="L16" s="55" t="n"/>
      <c r="M16" s="28" t="inlineStr">
        <is>
          <t>관리</t>
        </is>
      </c>
      <c r="O16" s="56" t="n"/>
      <c r="P16" s="28" t="inlineStr">
        <is>
          <t>백업</t>
        </is>
      </c>
      <c r="R16" s="57" t="n"/>
      <c r="S16" s="28" t="inlineStr">
        <is>
          <t>스토리지</t>
        </is>
      </c>
      <c r="V16" s="58" t="n"/>
      <c r="W16" s="28" t="inlineStr">
        <is>
          <t>인터커넥트</t>
        </is>
      </c>
      <c r="AA16" s="59" t="n"/>
      <c r="AB16" s="28" t="inlineStr">
        <is>
          <t>콘솔</t>
        </is>
      </c>
      <c r="AD16" s="60" t="n"/>
      <c r="AE16" s="28" t="inlineStr">
        <is>
          <t>전원</t>
        </is>
      </c>
      <c r="AG16" s="61" t="n"/>
      <c r="AH16" s="28" t="inlineStr">
        <is>
          <t>미연결</t>
        </is>
      </c>
      <c r="AL16" s="62" t="n">
        <v>7</v>
      </c>
      <c r="AM16" s="28" t="inlineStr">
        <is>
          <t>도면 번호</t>
        </is>
      </c>
      <c r="AQ16" s="63" t="inlineStr">
        <is>
          <t>LOM1</t>
        </is>
      </c>
      <c r="AS16" s="28" t="inlineStr">
        <is>
          <t>포트명(장비 표기)</t>
        </is>
      </c>
      <c r="AY16" s="64" t="inlineStr">
        <is>
          <t>A-0001</t>
        </is>
      </c>
      <c r="AZ16" s="21" t="n"/>
      <c r="BA16" s="21" t="n"/>
      <c r="BB16" s="21" t="n"/>
      <c r="BC16" s="28" t="inlineStr">
        <is>
          <t>케이블 라벨</t>
        </is>
      </c>
    </row>
    <row r="17" ht="15" customHeight="1">
      <c r="B17" s="11" t="inlineStr">
        <is>
          <t>번호</t>
        </is>
      </c>
      <c r="C17" s="12" t="n"/>
      <c r="D17" s="11" t="inlineStr">
        <is>
          <t>면</t>
        </is>
      </c>
      <c r="E17" s="12" t="n"/>
      <c r="F17" s="13" t="inlineStr">
        <is>
          <t>포트명</t>
        </is>
      </c>
      <c r="G17" s="12" t="n"/>
      <c r="H17" s="12" t="n"/>
      <c r="I17" s="12" t="n"/>
      <c r="J17" s="12" t="n"/>
      <c r="K17" s="12" t="n"/>
      <c r="L17" s="13" t="inlineStr">
        <is>
          <t>용도</t>
        </is>
      </c>
      <c r="M17" s="12" t="n"/>
      <c r="N17" s="12" t="n"/>
      <c r="O17" s="12" t="n"/>
      <c r="P17" s="12" t="n"/>
      <c r="Q17" s="13" t="inlineStr">
        <is>
          <t>케이블 · 커넥터</t>
        </is>
      </c>
      <c r="R17" s="12" t="n"/>
      <c r="S17" s="12" t="n"/>
      <c r="T17" s="12" t="n"/>
      <c r="U17" s="12" t="n"/>
      <c r="V17" s="12" t="n"/>
      <c r="W17" s="12" t="n"/>
      <c r="X17" s="13" t="inlineStr">
        <is>
          <t>상대 장비</t>
        </is>
      </c>
      <c r="Y17" s="12" t="n"/>
      <c r="Z17" s="12" t="n"/>
      <c r="AA17" s="12" t="n"/>
      <c r="AB17" s="12" t="n"/>
      <c r="AC17" s="12" t="n"/>
      <c r="AD17" s="12" t="n"/>
      <c r="AE17" s="12" t="n"/>
      <c r="AF17" s="13" t="inlineStr">
        <is>
          <t>상대 위치</t>
        </is>
      </c>
      <c r="AG17" s="12" t="n"/>
      <c r="AH17" s="12" t="n"/>
      <c r="AI17" s="12" t="n"/>
      <c r="AJ17" s="12" t="n"/>
      <c r="AK17" s="12" t="n"/>
      <c r="AL17" s="13" t="inlineStr">
        <is>
          <t>상대 포트</t>
        </is>
      </c>
      <c r="AM17" s="12" t="n"/>
      <c r="AN17" s="12" t="n"/>
      <c r="AO17" s="12" t="n"/>
      <c r="AP17" s="12" t="n"/>
      <c r="AQ17" s="12" t="n"/>
      <c r="AR17" s="13" t="inlineStr">
        <is>
          <t>케이블 라벨</t>
        </is>
      </c>
      <c r="AS17" s="12" t="n"/>
      <c r="AT17" s="12" t="n"/>
      <c r="AU17" s="12" t="n"/>
      <c r="AV17" s="12" t="n"/>
      <c r="AW17" s="12" t="n"/>
      <c r="AX17" s="12" t="n"/>
      <c r="AY17" s="13" t="inlineStr">
        <is>
          <t>비고</t>
        </is>
      </c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</row>
    <row r="18" ht="13.5" customHeight="1">
      <c r="B18" s="65" t="n">
        <v>1</v>
      </c>
      <c r="C18" s="21" t="n"/>
      <c r="D18" s="66" t="inlineStr">
        <is>
          <t>후면</t>
        </is>
      </c>
      <c r="E18" s="21" t="n"/>
      <c r="F18" s="67" t="inlineStr">
        <is>
          <t>NDC1</t>
        </is>
      </c>
      <c r="G18" s="21" t="n"/>
      <c r="H18" s="21" t="n"/>
      <c r="I18" s="21" t="n"/>
      <c r="J18" s="21" t="n"/>
      <c r="K18" s="21" t="n"/>
      <c r="L18" s="67" t="inlineStr">
        <is>
          <t>서비스</t>
        </is>
      </c>
      <c r="M18" s="21" t="n"/>
      <c r="N18" s="21" t="n"/>
      <c r="O18" s="21" t="n"/>
      <c r="P18" s="21" t="n"/>
      <c r="Q18" s="67" t="inlineStr">
        <is>
          <t>DAC 25G 3m</t>
        </is>
      </c>
      <c r="R18" s="21" t="n"/>
      <c r="S18" s="21" t="n"/>
      <c r="T18" s="21" t="n"/>
      <c r="U18" s="21" t="n"/>
      <c r="V18" s="21" t="n"/>
      <c r="W18" s="21" t="n"/>
      <c r="X18" s="67" t="inlineStr">
        <is>
          <t>TOR-A</t>
        </is>
      </c>
      <c r="Y18" s="21" t="n"/>
      <c r="Z18" s="21" t="n"/>
      <c r="AA18" s="21" t="n"/>
      <c r="AB18" s="21" t="n"/>
      <c r="AC18" s="21" t="n"/>
      <c r="AD18" s="21" t="n"/>
      <c r="AE18" s="21" t="n"/>
      <c r="AF18" s="67" t="inlineStr">
        <is>
          <t>R02 U39</t>
        </is>
      </c>
      <c r="AG18" s="21" t="n"/>
      <c r="AH18" s="21" t="n"/>
      <c r="AI18" s="21" t="n"/>
      <c r="AJ18" s="21" t="n"/>
      <c r="AK18" s="21" t="n"/>
      <c r="AL18" s="67" t="inlineStr">
        <is>
          <t>Eth1/15</t>
        </is>
      </c>
      <c r="AM18" s="21" t="n"/>
      <c r="AN18" s="21" t="n"/>
      <c r="AO18" s="21" t="n"/>
      <c r="AP18" s="21" t="n"/>
      <c r="AQ18" s="21" t="n"/>
      <c r="AR18" s="68" t="inlineStr">
        <is>
          <t>R02-D021</t>
        </is>
      </c>
      <c r="AS18" s="21" t="n"/>
      <c r="AT18" s="21" t="n"/>
      <c r="AU18" s="21" t="n"/>
      <c r="AV18" s="21" t="n"/>
      <c r="AW18" s="21" t="n"/>
      <c r="AX18" s="21" t="n"/>
      <c r="AY18" s="67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</row>
    <row r="19" ht="13.5" customHeight="1">
      <c r="B19" s="65" t="n">
        <v>2</v>
      </c>
      <c r="C19" s="21" t="n"/>
      <c r="D19" s="66" t="inlineStr">
        <is>
          <t>후면</t>
        </is>
      </c>
      <c r="E19" s="21" t="n"/>
      <c r="F19" s="67" t="inlineStr">
        <is>
          <t>NDC2</t>
        </is>
      </c>
      <c r="G19" s="21" t="n"/>
      <c r="H19" s="21" t="n"/>
      <c r="I19" s="21" t="n"/>
      <c r="J19" s="21" t="n"/>
      <c r="K19" s="21" t="n"/>
      <c r="L19" s="67" t="inlineStr">
        <is>
          <t>서비스</t>
        </is>
      </c>
      <c r="M19" s="21" t="n"/>
      <c r="N19" s="21" t="n"/>
      <c r="O19" s="21" t="n"/>
      <c r="P19" s="21" t="n"/>
      <c r="Q19" s="67" t="inlineStr">
        <is>
          <t>DAC 25G 3m</t>
        </is>
      </c>
      <c r="R19" s="21" t="n"/>
      <c r="S19" s="21" t="n"/>
      <c r="T19" s="21" t="n"/>
      <c r="U19" s="21" t="n"/>
      <c r="V19" s="21" t="n"/>
      <c r="W19" s="21" t="n"/>
      <c r="X19" s="67" t="inlineStr">
        <is>
          <t>TOR-B</t>
        </is>
      </c>
      <c r="Y19" s="21" t="n"/>
      <c r="Z19" s="21" t="n"/>
      <c r="AA19" s="21" t="n"/>
      <c r="AB19" s="21" t="n"/>
      <c r="AC19" s="21" t="n"/>
      <c r="AD19" s="21" t="n"/>
      <c r="AE19" s="21" t="n"/>
      <c r="AF19" s="67" t="inlineStr">
        <is>
          <t>R02 U38</t>
        </is>
      </c>
      <c r="AG19" s="21" t="n"/>
      <c r="AH19" s="21" t="n"/>
      <c r="AI19" s="21" t="n"/>
      <c r="AJ19" s="21" t="n"/>
      <c r="AK19" s="21" t="n"/>
      <c r="AL19" s="67" t="inlineStr">
        <is>
          <t>Eth1/15</t>
        </is>
      </c>
      <c r="AM19" s="21" t="n"/>
      <c r="AN19" s="21" t="n"/>
      <c r="AO19" s="21" t="n"/>
      <c r="AP19" s="21" t="n"/>
      <c r="AQ19" s="21" t="n"/>
      <c r="AR19" s="68" t="inlineStr">
        <is>
          <t>R02-D022</t>
        </is>
      </c>
      <c r="AS19" s="21" t="n"/>
      <c r="AT19" s="21" t="n"/>
      <c r="AU19" s="21" t="n"/>
      <c r="AV19" s="21" t="n"/>
      <c r="AW19" s="21" t="n"/>
      <c r="AX19" s="21" t="n"/>
      <c r="AY19" s="67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</row>
    <row r="20" ht="13.5" customHeight="1">
      <c r="B20" s="65" t="n">
        <v>3</v>
      </c>
      <c r="C20" s="21" t="n"/>
      <c r="D20" s="66" t="inlineStr">
        <is>
          <t>후면</t>
        </is>
      </c>
      <c r="E20" s="21" t="n"/>
      <c r="F20" s="67" t="inlineStr">
        <is>
          <t>iDRAC</t>
        </is>
      </c>
      <c r="G20" s="21" t="n"/>
      <c r="H20" s="21" t="n"/>
      <c r="I20" s="21" t="n"/>
      <c r="J20" s="21" t="n"/>
      <c r="K20" s="21" t="n"/>
      <c r="L20" s="67" t="inlineStr">
        <is>
          <t>관리</t>
        </is>
      </c>
      <c r="M20" s="21" t="n"/>
      <c r="N20" s="21" t="n"/>
      <c r="O20" s="21" t="n"/>
      <c r="P20" s="21" t="n"/>
      <c r="Q20" s="67" t="inlineStr">
        <is>
          <t>UTP Cat6 / RJ45</t>
        </is>
      </c>
      <c r="R20" s="21" t="n"/>
      <c r="S20" s="21" t="n"/>
      <c r="T20" s="21" t="n"/>
      <c r="U20" s="21" t="n"/>
      <c r="V20" s="21" t="n"/>
      <c r="W20" s="21" t="n"/>
      <c r="X20" s="67" t="inlineStr">
        <is>
          <t>MGMT-SW</t>
        </is>
      </c>
      <c r="Y20" s="21" t="n"/>
      <c r="Z20" s="21" t="n"/>
      <c r="AA20" s="21" t="n"/>
      <c r="AB20" s="21" t="n"/>
      <c r="AC20" s="21" t="n"/>
      <c r="AD20" s="21" t="n"/>
      <c r="AE20" s="21" t="n"/>
      <c r="AF20" s="67" t="inlineStr">
        <is>
          <t>R02 U41</t>
        </is>
      </c>
      <c r="AG20" s="21" t="n"/>
      <c r="AH20" s="21" t="n"/>
      <c r="AI20" s="21" t="n"/>
      <c r="AJ20" s="21" t="n"/>
      <c r="AK20" s="21" t="n"/>
      <c r="AL20" s="67" t="inlineStr">
        <is>
          <t>Gi1/0/3</t>
        </is>
      </c>
      <c r="AM20" s="21" t="n"/>
      <c r="AN20" s="21" t="n"/>
      <c r="AO20" s="21" t="n"/>
      <c r="AP20" s="21" t="n"/>
      <c r="AQ20" s="21" t="n"/>
      <c r="AR20" s="68" t="inlineStr">
        <is>
          <t>R02-D003</t>
        </is>
      </c>
      <c r="AS20" s="21" t="n"/>
      <c r="AT20" s="21" t="n"/>
      <c r="AU20" s="21" t="n"/>
      <c r="AV20" s="21" t="n"/>
      <c r="AW20" s="21" t="n"/>
      <c r="AX20" s="21" t="n"/>
      <c r="AY20" s="67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</row>
    <row r="21" ht="13.5" customHeight="1">
      <c r="B21" s="65" t="n">
        <v>4</v>
      </c>
      <c r="C21" s="21" t="n"/>
      <c r="D21" s="66" t="inlineStr">
        <is>
          <t>후면</t>
        </is>
      </c>
      <c r="E21" s="21" t="n"/>
      <c r="F21" s="67" t="inlineStr">
        <is>
          <t>LOM1</t>
        </is>
      </c>
      <c r="G21" s="21" t="n"/>
      <c r="H21" s="21" t="n"/>
      <c r="I21" s="21" t="n"/>
      <c r="J21" s="21" t="n"/>
      <c r="K21" s="21" t="n"/>
      <c r="L21" s="67" t="inlineStr">
        <is>
          <t>백업</t>
        </is>
      </c>
      <c r="M21" s="21" t="n"/>
      <c r="N21" s="21" t="n"/>
      <c r="O21" s="21" t="n"/>
      <c r="P21" s="21" t="n"/>
      <c r="Q21" s="67" t="inlineStr">
        <is>
          <t>UTP Cat6 / RJ45</t>
        </is>
      </c>
      <c r="R21" s="21" t="n"/>
      <c r="S21" s="21" t="n"/>
      <c r="T21" s="21" t="n"/>
      <c r="U21" s="21" t="n"/>
      <c r="V21" s="21" t="n"/>
      <c r="W21" s="21" t="n"/>
      <c r="X21" s="67" t="inlineStr">
        <is>
          <t>PP-01</t>
        </is>
      </c>
      <c r="Y21" s="21" t="n"/>
      <c r="Z21" s="21" t="n"/>
      <c r="AA21" s="21" t="n"/>
      <c r="AB21" s="21" t="n"/>
      <c r="AC21" s="21" t="n"/>
      <c r="AD21" s="21" t="n"/>
      <c r="AE21" s="21" t="n"/>
      <c r="AF21" s="67" t="inlineStr">
        <is>
          <t>R02 U42</t>
        </is>
      </c>
      <c r="AG21" s="21" t="n"/>
      <c r="AH21" s="21" t="n"/>
      <c r="AI21" s="21" t="n"/>
      <c r="AJ21" s="21" t="n"/>
      <c r="AK21" s="21" t="n"/>
      <c r="AL21" s="67" t="inlineStr">
        <is>
          <t>3</t>
        </is>
      </c>
      <c r="AM21" s="21" t="n"/>
      <c r="AN21" s="21" t="n"/>
      <c r="AO21" s="21" t="n"/>
      <c r="AP21" s="21" t="n"/>
      <c r="AQ21" s="21" t="n"/>
      <c r="AR21" s="68" t="inlineStr">
        <is>
          <t>R02-D031</t>
        </is>
      </c>
      <c r="AS21" s="21" t="n"/>
      <c r="AT21" s="21" t="n"/>
      <c r="AU21" s="21" t="n"/>
      <c r="AV21" s="21" t="n"/>
      <c r="AW21" s="21" t="n"/>
      <c r="AX21" s="21" t="n"/>
      <c r="AY21" s="67" t="inlineStr">
        <is>
          <t>→ R05 BAK-SW Gi1/0/5</t>
        </is>
      </c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5" t="n">
        <v>5</v>
      </c>
      <c r="C22" s="21" t="n"/>
      <c r="D22" s="66" t="inlineStr">
        <is>
          <t>후면</t>
        </is>
      </c>
      <c r="E22" s="21" t="n"/>
      <c r="F22" s="67" t="inlineStr">
        <is>
          <t>PSU1</t>
        </is>
      </c>
      <c r="G22" s="21" t="n"/>
      <c r="H22" s="21" t="n"/>
      <c r="I22" s="21" t="n"/>
      <c r="J22" s="21" t="n"/>
      <c r="K22" s="21" t="n"/>
      <c r="L22" s="67" t="inlineStr">
        <is>
          <t>전원</t>
        </is>
      </c>
      <c r="M22" s="21" t="n"/>
      <c r="N22" s="21" t="n"/>
      <c r="O22" s="21" t="n"/>
      <c r="P22" s="21" t="n"/>
      <c r="Q22" s="67" t="inlineStr">
        <is>
          <t>C13-C14 2m</t>
        </is>
      </c>
      <c r="R22" s="21" t="n"/>
      <c r="S22" s="21" t="n"/>
      <c r="T22" s="21" t="n"/>
      <c r="U22" s="21" t="n"/>
      <c r="V22" s="21" t="n"/>
      <c r="W22" s="21" t="n"/>
      <c r="X22" s="67" t="inlineStr">
        <is>
          <t>PDU-A</t>
        </is>
      </c>
      <c r="Y22" s="21" t="n"/>
      <c r="Z22" s="21" t="n"/>
      <c r="AA22" s="21" t="n"/>
      <c r="AB22" s="21" t="n"/>
      <c r="AC22" s="21" t="n"/>
      <c r="AD22" s="21" t="n"/>
      <c r="AE22" s="21" t="n"/>
      <c r="AF22" s="67" t="inlineStr">
        <is>
          <t>R02 후면 좌</t>
        </is>
      </c>
      <c r="AG22" s="21" t="n"/>
      <c r="AH22" s="21" t="n"/>
      <c r="AI22" s="21" t="n"/>
      <c r="AJ22" s="21" t="n"/>
      <c r="AK22" s="21" t="n"/>
      <c r="AL22" s="67" t="inlineStr">
        <is>
          <t>C13-9</t>
        </is>
      </c>
      <c r="AM22" s="21" t="n"/>
      <c r="AN22" s="21" t="n"/>
      <c r="AO22" s="21" t="n"/>
      <c r="AP22" s="21" t="n"/>
      <c r="AQ22" s="21" t="n"/>
      <c r="AR22" s="68" t="inlineStr">
        <is>
          <t>R02-P017</t>
        </is>
      </c>
      <c r="AS22" s="21" t="n"/>
      <c r="AT22" s="21" t="n"/>
      <c r="AU22" s="21" t="n"/>
      <c r="AV22" s="21" t="n"/>
      <c r="AW22" s="21" t="n"/>
      <c r="AX22" s="21" t="n"/>
      <c r="AY22" s="67" t="inlineStr">
        <is>
          <t>A 계통</t>
        </is>
      </c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5" t="n">
        <v>6</v>
      </c>
      <c r="C23" s="21" t="n"/>
      <c r="D23" s="66" t="inlineStr">
        <is>
          <t>후면</t>
        </is>
      </c>
      <c r="E23" s="21" t="n"/>
      <c r="F23" s="67" t="inlineStr">
        <is>
          <t>PSU2</t>
        </is>
      </c>
      <c r="G23" s="21" t="n"/>
      <c r="H23" s="21" t="n"/>
      <c r="I23" s="21" t="n"/>
      <c r="J23" s="21" t="n"/>
      <c r="K23" s="21" t="n"/>
      <c r="L23" s="67" t="inlineStr">
        <is>
          <t>전원</t>
        </is>
      </c>
      <c r="M23" s="21" t="n"/>
      <c r="N23" s="21" t="n"/>
      <c r="O23" s="21" t="n"/>
      <c r="P23" s="21" t="n"/>
      <c r="Q23" s="67" t="inlineStr">
        <is>
          <t>C13-C14 2m</t>
        </is>
      </c>
      <c r="R23" s="21" t="n"/>
      <c r="S23" s="21" t="n"/>
      <c r="T23" s="21" t="n"/>
      <c r="U23" s="21" t="n"/>
      <c r="V23" s="21" t="n"/>
      <c r="W23" s="21" t="n"/>
      <c r="X23" s="67" t="inlineStr">
        <is>
          <t>PDU-B</t>
        </is>
      </c>
      <c r="Y23" s="21" t="n"/>
      <c r="Z23" s="21" t="n"/>
      <c r="AA23" s="21" t="n"/>
      <c r="AB23" s="21" t="n"/>
      <c r="AC23" s="21" t="n"/>
      <c r="AD23" s="21" t="n"/>
      <c r="AE23" s="21" t="n"/>
      <c r="AF23" s="67" t="inlineStr">
        <is>
          <t>R02 후면 우</t>
        </is>
      </c>
      <c r="AG23" s="21" t="n"/>
      <c r="AH23" s="21" t="n"/>
      <c r="AI23" s="21" t="n"/>
      <c r="AJ23" s="21" t="n"/>
      <c r="AK23" s="21" t="n"/>
      <c r="AL23" s="67" t="inlineStr">
        <is>
          <t>C13-9</t>
        </is>
      </c>
      <c r="AM23" s="21" t="n"/>
      <c r="AN23" s="21" t="n"/>
      <c r="AO23" s="21" t="n"/>
      <c r="AP23" s="21" t="n"/>
      <c r="AQ23" s="21" t="n"/>
      <c r="AR23" s="68" t="inlineStr">
        <is>
          <t>R02-P018</t>
        </is>
      </c>
      <c r="AS23" s="21" t="n"/>
      <c r="AT23" s="21" t="n"/>
      <c r="AU23" s="21" t="n"/>
      <c r="AV23" s="21" t="n"/>
      <c r="AW23" s="21" t="n"/>
      <c r="AX23" s="21" t="n"/>
      <c r="AY23" s="67" t="inlineStr">
        <is>
          <t>B 계통</t>
        </is>
      </c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5" t="n"/>
      <c r="C24" s="21" t="n"/>
      <c r="D24" s="66" t="n"/>
      <c r="E24" s="21" t="n"/>
      <c r="F24" s="67" t="n"/>
      <c r="G24" s="21" t="n"/>
      <c r="H24" s="21" t="n"/>
      <c r="I24" s="21" t="n"/>
      <c r="J24" s="21" t="n"/>
      <c r="K24" s="21" t="n"/>
      <c r="L24" s="67" t="n"/>
      <c r="M24" s="21" t="n"/>
      <c r="N24" s="21" t="n"/>
      <c r="O24" s="21" t="n"/>
      <c r="P24" s="21" t="n"/>
      <c r="Q24" s="67" t="n"/>
      <c r="R24" s="21" t="n"/>
      <c r="S24" s="21" t="n"/>
      <c r="T24" s="21" t="n"/>
      <c r="U24" s="21" t="n"/>
      <c r="V24" s="21" t="n"/>
      <c r="W24" s="21" t="n"/>
      <c r="X24" s="67" t="n"/>
      <c r="Y24" s="21" t="n"/>
      <c r="Z24" s="21" t="n"/>
      <c r="AA24" s="21" t="n"/>
      <c r="AB24" s="21" t="n"/>
      <c r="AC24" s="21" t="n"/>
      <c r="AD24" s="21" t="n"/>
      <c r="AE24" s="21" t="n"/>
      <c r="AF24" s="67" t="n"/>
      <c r="AG24" s="21" t="n"/>
      <c r="AH24" s="21" t="n"/>
      <c r="AI24" s="21" t="n"/>
      <c r="AJ24" s="21" t="n"/>
      <c r="AK24" s="21" t="n"/>
      <c r="AL24" s="67" t="n"/>
      <c r="AM24" s="21" t="n"/>
      <c r="AN24" s="21" t="n"/>
      <c r="AO24" s="21" t="n"/>
      <c r="AP24" s="21" t="n"/>
      <c r="AQ24" s="21" t="n"/>
      <c r="AR24" s="68" t="n"/>
      <c r="AS24" s="21" t="n"/>
      <c r="AT24" s="21" t="n"/>
      <c r="AU24" s="21" t="n"/>
      <c r="AV24" s="21" t="n"/>
      <c r="AW24" s="21" t="n"/>
      <c r="AX24" s="21" t="n"/>
      <c r="AY24" s="67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5" t="n"/>
      <c r="C25" s="21" t="n"/>
      <c r="D25" s="66" t="n"/>
      <c r="E25" s="21" t="n"/>
      <c r="F25" s="67" t="n"/>
      <c r="G25" s="21" t="n"/>
      <c r="H25" s="21" t="n"/>
      <c r="I25" s="21" t="n"/>
      <c r="J25" s="21" t="n"/>
      <c r="K25" s="21" t="n"/>
      <c r="L25" s="67" t="n"/>
      <c r="M25" s="21" t="n"/>
      <c r="N25" s="21" t="n"/>
      <c r="O25" s="21" t="n"/>
      <c r="P25" s="21" t="n"/>
      <c r="Q25" s="67" t="n"/>
      <c r="R25" s="21" t="n"/>
      <c r="S25" s="21" t="n"/>
      <c r="T25" s="21" t="n"/>
      <c r="U25" s="21" t="n"/>
      <c r="V25" s="21" t="n"/>
      <c r="W25" s="21" t="n"/>
      <c r="X25" s="67" t="n"/>
      <c r="Y25" s="21" t="n"/>
      <c r="Z25" s="21" t="n"/>
      <c r="AA25" s="21" t="n"/>
      <c r="AB25" s="21" t="n"/>
      <c r="AC25" s="21" t="n"/>
      <c r="AD25" s="21" t="n"/>
      <c r="AE25" s="21" t="n"/>
      <c r="AF25" s="67" t="n"/>
      <c r="AG25" s="21" t="n"/>
      <c r="AH25" s="21" t="n"/>
      <c r="AI25" s="21" t="n"/>
      <c r="AJ25" s="21" t="n"/>
      <c r="AK25" s="21" t="n"/>
      <c r="AL25" s="67" t="n"/>
      <c r="AM25" s="21" t="n"/>
      <c r="AN25" s="21" t="n"/>
      <c r="AO25" s="21" t="n"/>
      <c r="AP25" s="21" t="n"/>
      <c r="AQ25" s="21" t="n"/>
      <c r="AR25" s="68" t="n"/>
      <c r="AS25" s="21" t="n"/>
      <c r="AT25" s="21" t="n"/>
      <c r="AU25" s="21" t="n"/>
      <c r="AV25" s="21" t="n"/>
      <c r="AW25" s="21" t="n"/>
      <c r="AX25" s="21" t="n"/>
      <c r="AY25" s="67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</row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128">
    <mergeCell ref="D20:E20"/>
    <mergeCell ref="AY20:BK20"/>
    <mergeCell ref="BC6:BD6"/>
    <mergeCell ref="X21:AE21"/>
    <mergeCell ref="BE6:BF6"/>
    <mergeCell ref="AA13:AB13"/>
    <mergeCell ref="AR21:AX21"/>
    <mergeCell ref="B22:C22"/>
    <mergeCell ref="Q17:W17"/>
    <mergeCell ref="D22:E22"/>
    <mergeCell ref="X23:AE23"/>
    <mergeCell ref="AF21:AK21"/>
    <mergeCell ref="B21:C21"/>
    <mergeCell ref="AL24:AQ24"/>
    <mergeCell ref="B4:B8"/>
    <mergeCell ref="AF23:AK23"/>
    <mergeCell ref="AY21:BK21"/>
    <mergeCell ref="AL17:AQ17"/>
    <mergeCell ref="T12:U12"/>
    <mergeCell ref="AL12:AM12"/>
    <mergeCell ref="AN12:AO12"/>
    <mergeCell ref="AY23:BK23"/>
    <mergeCell ref="L20:P20"/>
    <mergeCell ref="AX12:AY12"/>
    <mergeCell ref="AL19:AQ19"/>
    <mergeCell ref="L25:P25"/>
    <mergeCell ref="AF22:AK22"/>
    <mergeCell ref="AF18:AK18"/>
    <mergeCell ref="Q23:W23"/>
    <mergeCell ref="BH13:BI13"/>
    <mergeCell ref="B24:C24"/>
    <mergeCell ref="F25:K25"/>
    <mergeCell ref="AR19:AX19"/>
    <mergeCell ref="D24:E24"/>
    <mergeCell ref="Q11:R11"/>
    <mergeCell ref="X25:AE25"/>
    <mergeCell ref="AR25:AX25"/>
    <mergeCell ref="AH13:AI13"/>
    <mergeCell ref="B10:B14"/>
    <mergeCell ref="F24:K24"/>
    <mergeCell ref="G12:H12"/>
    <mergeCell ref="B25:C25"/>
    <mergeCell ref="D19:E19"/>
    <mergeCell ref="AY19:BK19"/>
    <mergeCell ref="AR17:AX17"/>
    <mergeCell ref="B18:C18"/>
    <mergeCell ref="AL21:AQ21"/>
    <mergeCell ref="W12:Y12"/>
    <mergeCell ref="BG6:BI6"/>
    <mergeCell ref="F23:K23"/>
    <mergeCell ref="O5:P7"/>
    <mergeCell ref="Q5:R7"/>
    <mergeCell ref="L24:P24"/>
    <mergeCell ref="AL23:AQ23"/>
    <mergeCell ref="L18:P18"/>
    <mergeCell ref="T11:U11"/>
    <mergeCell ref="X24:AE24"/>
    <mergeCell ref="Q20:W20"/>
    <mergeCell ref="F19:K19"/>
    <mergeCell ref="AF24:AK24"/>
    <mergeCell ref="J12:K12"/>
    <mergeCell ref="AY24:BK24"/>
    <mergeCell ref="D23:E23"/>
    <mergeCell ref="AN13:AO13"/>
    <mergeCell ref="AH12:AI12"/>
    <mergeCell ref="F20:K20"/>
    <mergeCell ref="AL25:AQ25"/>
    <mergeCell ref="AJ12:AK12"/>
    <mergeCell ref="AF25:AK25"/>
    <mergeCell ref="F17:K17"/>
    <mergeCell ref="AR20:AX20"/>
    <mergeCell ref="AY16:BB16"/>
    <mergeCell ref="X17:AE17"/>
    <mergeCell ref="AY25:BK25"/>
    <mergeCell ref="K5:L7"/>
    <mergeCell ref="AR22:AX22"/>
    <mergeCell ref="X19:AE19"/>
    <mergeCell ref="W5:X7"/>
    <mergeCell ref="AY18:BK18"/>
    <mergeCell ref="Q25:W25"/>
    <mergeCell ref="Y5:Z7"/>
    <mergeCell ref="G13:H13"/>
    <mergeCell ref="B17:C17"/>
    <mergeCell ref="D17:E17"/>
    <mergeCell ref="L23:P23"/>
    <mergeCell ref="Q24:W24"/>
    <mergeCell ref="Q18:W18"/>
    <mergeCell ref="AA5:AB7"/>
    <mergeCell ref="B19:C19"/>
    <mergeCell ref="AC5:AD7"/>
    <mergeCell ref="AY22:BK22"/>
    <mergeCell ref="X20:AE20"/>
    <mergeCell ref="AR23:AX23"/>
    <mergeCell ref="D25:E25"/>
    <mergeCell ref="Q19:W19"/>
    <mergeCell ref="B20:C20"/>
    <mergeCell ref="AR24:AX24"/>
    <mergeCell ref="Q22:W22"/>
    <mergeCell ref="L17:P17"/>
    <mergeCell ref="F18:K18"/>
    <mergeCell ref="J13:K13"/>
    <mergeCell ref="L19:P19"/>
    <mergeCell ref="M5:N7"/>
    <mergeCell ref="AL18:AQ18"/>
    <mergeCell ref="D21:E21"/>
    <mergeCell ref="BH12:BI12"/>
    <mergeCell ref="AF20:AK20"/>
    <mergeCell ref="F22:K22"/>
    <mergeCell ref="B23:C23"/>
    <mergeCell ref="AR18:AX18"/>
    <mergeCell ref="Q21:W21"/>
    <mergeCell ref="AJ13:AK13"/>
    <mergeCell ref="AF17:AK17"/>
    <mergeCell ref="X18:AE18"/>
    <mergeCell ref="AL13:AM13"/>
    <mergeCell ref="AX13:AY13"/>
    <mergeCell ref="AL20:AQ20"/>
    <mergeCell ref="AF19:AK19"/>
    <mergeCell ref="AY17:BK17"/>
    <mergeCell ref="D18:E18"/>
    <mergeCell ref="L22:P22"/>
    <mergeCell ref="AL22:AQ22"/>
    <mergeCell ref="AA12:AB12"/>
    <mergeCell ref="L21:P21"/>
    <mergeCell ref="S5:T7"/>
    <mergeCell ref="U5:V7"/>
    <mergeCell ref="X22:AE22"/>
    <mergeCell ref="F21:K21"/>
  </mergeCells>
  <conditionalFormatting sqref="B18:C25">
    <cfRule type="expression" priority="1" dxfId="13" stopIfTrue="1">
      <formula>AND(ISNUMBER($B18),SUMPRODUCT(($C$4:$BK$15=$B18)*($C$4:$BK$15&lt;&gt;""))&lt;&gt;1)</formula>
    </cfRule>
    <cfRule type="expression" priority="2" dxfId="13" stopIfTrue="1">
      <formula>AND(ISNUMBER($B18),COUNTIF($B$18:$B$25,$B18)&gt;1)</formula>
    </cfRule>
    <cfRule type="expression" priority="3" dxfId="14" stopIfTrue="1">
      <formula>$L18="서비스"</formula>
    </cfRule>
    <cfRule type="expression" priority="4" dxfId="15" stopIfTrue="1">
      <formula>$L18="관리"</formula>
    </cfRule>
    <cfRule type="expression" priority="5" dxfId="16" stopIfTrue="1">
      <formula>$L18="백업"</formula>
    </cfRule>
    <cfRule type="expression" priority="6" dxfId="17" stopIfTrue="1">
      <formula>$L18="스토리지"</formula>
    </cfRule>
    <cfRule type="expression" priority="7" dxfId="18" stopIfTrue="1">
      <formula>$L18="인터커넥트"</formula>
    </cfRule>
    <cfRule type="expression" priority="8" dxfId="19" stopIfTrue="1">
      <formula>$L18="콘솔"</formula>
    </cfRule>
    <cfRule type="expression" priority="9" dxfId="20" stopIfTrue="1">
      <formula>$L18="전원"</formula>
    </cfRule>
  </conditionalFormatting>
  <dataValidations count="2">
    <dataValidation sqref="L18:L25" showDropDown="0" showInputMessage="0" showErrorMessage="0" allowBlank="1" type="list">
      <formula1>"서비스,관리,백업,스토리지,인터커넥트,콘솔,전원,기타"</formula1>
    </dataValidation>
    <dataValidation sqref="D18:D25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102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ENC-01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HPE BladeSystem c7000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U1–10</t>
        </is>
      </c>
      <c r="Z2" s="5" t="inlineStr">
        <is>
          <t>구분</t>
        </is>
      </c>
      <c r="AB2" s="6" t="inlineStr">
        <is>
          <t>서버</t>
        </is>
      </c>
      <c r="AH2" s="5" t="inlineStr">
        <is>
          <t>시리얼</t>
        </is>
      </c>
      <c r="AK2" s="6" t="inlineStr">
        <is>
          <t>CZJ12345AB</t>
        </is>
      </c>
      <c r="AS2" s="5" t="inlineStr">
        <is>
          <t>관리 IP</t>
        </is>
      </c>
      <c r="AV2" s="6" t="inlineStr">
        <is>
          <t>10.10.1.10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E5" s="45" t="inlineStr">
        <is>
          <t>1</t>
        </is>
      </c>
      <c r="F5" s="46" t="n"/>
      <c r="G5" s="46" t="n"/>
      <c r="H5" s="46" t="n"/>
      <c r="I5" s="46" t="n"/>
      <c r="J5" s="46" t="n"/>
      <c r="K5" s="47" t="n"/>
      <c r="L5" s="45" t="inlineStr">
        <is>
          <t>2</t>
        </is>
      </c>
      <c r="M5" s="46" t="n"/>
      <c r="N5" s="46" t="n"/>
      <c r="O5" s="46" t="n"/>
      <c r="P5" s="46" t="n"/>
      <c r="Q5" s="46" t="n"/>
      <c r="R5" s="47" t="n"/>
      <c r="S5" s="45" t="inlineStr">
        <is>
          <t>3</t>
        </is>
      </c>
      <c r="T5" s="46" t="n"/>
      <c r="U5" s="46" t="n"/>
      <c r="V5" s="46" t="n"/>
      <c r="W5" s="46" t="n"/>
      <c r="X5" s="46" t="n"/>
      <c r="Y5" s="47" t="n"/>
      <c r="Z5" s="45" t="inlineStr">
        <is>
          <t>4</t>
        </is>
      </c>
      <c r="AA5" s="46" t="n"/>
      <c r="AB5" s="46" t="n"/>
      <c r="AC5" s="46" t="n"/>
      <c r="AD5" s="46" t="n"/>
      <c r="AE5" s="46" t="n"/>
      <c r="AF5" s="47" t="n"/>
      <c r="AG5" s="45" t="inlineStr">
        <is>
          <t>5</t>
        </is>
      </c>
      <c r="AH5" s="46" t="n"/>
      <c r="AI5" s="46" t="n"/>
      <c r="AJ5" s="46" t="n"/>
      <c r="AK5" s="46" t="n"/>
      <c r="AL5" s="46" t="n"/>
      <c r="AM5" s="47" t="n"/>
      <c r="AN5" s="45" t="inlineStr">
        <is>
          <t>6</t>
        </is>
      </c>
      <c r="AO5" s="46" t="n"/>
      <c r="AP5" s="46" t="n"/>
      <c r="AQ5" s="46" t="n"/>
      <c r="AR5" s="46" t="n"/>
      <c r="AS5" s="46" t="n"/>
      <c r="AT5" s="47" t="n"/>
      <c r="AU5" s="118" t="inlineStr">
        <is>
          <t>7</t>
        </is>
      </c>
      <c r="AV5" s="119" t="n"/>
      <c r="AW5" s="119" t="n"/>
      <c r="AX5" s="119" t="n"/>
      <c r="AY5" s="119" t="n"/>
      <c r="AZ5" s="119" t="n"/>
      <c r="BA5" s="120" t="n"/>
      <c r="BB5" s="118" t="inlineStr">
        <is>
          <t>8</t>
        </is>
      </c>
      <c r="BC5" s="119" t="n"/>
      <c r="BD5" s="119" t="n"/>
      <c r="BE5" s="119" t="n"/>
      <c r="BF5" s="119" t="n"/>
      <c r="BG5" s="119" t="n"/>
      <c r="BH5" s="120" t="n"/>
      <c r="BK5" s="17" t="n"/>
    </row>
    <row r="6" ht="12" customHeight="1">
      <c r="C6" s="18" t="n"/>
      <c r="E6" s="48" t="n"/>
      <c r="F6" s="49" t="n"/>
      <c r="G6" s="49" t="n"/>
      <c r="H6" s="49" t="n"/>
      <c r="I6" s="49" t="n"/>
      <c r="J6" s="49" t="n"/>
      <c r="K6" s="50" t="n"/>
      <c r="L6" s="48" t="n"/>
      <c r="M6" s="49" t="n"/>
      <c r="N6" s="49" t="n"/>
      <c r="O6" s="49" t="n"/>
      <c r="P6" s="49" t="n"/>
      <c r="Q6" s="49" t="n"/>
      <c r="R6" s="50" t="n"/>
      <c r="S6" s="48" t="n"/>
      <c r="T6" s="49" t="n"/>
      <c r="U6" s="49" t="n"/>
      <c r="V6" s="49" t="n"/>
      <c r="W6" s="49" t="n"/>
      <c r="X6" s="49" t="n"/>
      <c r="Y6" s="50" t="n"/>
      <c r="Z6" s="48" t="n"/>
      <c r="AA6" s="49" t="n"/>
      <c r="AB6" s="49" t="n"/>
      <c r="AC6" s="49" t="n"/>
      <c r="AD6" s="49" t="n"/>
      <c r="AE6" s="49" t="n"/>
      <c r="AF6" s="50" t="n"/>
      <c r="AG6" s="48" t="n"/>
      <c r="AH6" s="49" t="n"/>
      <c r="AI6" s="49" t="n"/>
      <c r="AJ6" s="49" t="n"/>
      <c r="AK6" s="49" t="n"/>
      <c r="AL6" s="49" t="n"/>
      <c r="AM6" s="50" t="n"/>
      <c r="AN6" s="48" t="n"/>
      <c r="AO6" s="49" t="n"/>
      <c r="AP6" s="49" t="n"/>
      <c r="AQ6" s="49" t="n"/>
      <c r="AR6" s="49" t="n"/>
      <c r="AS6" s="49" t="n"/>
      <c r="AT6" s="50" t="n"/>
      <c r="AU6" s="145" t="n"/>
      <c r="BA6" s="146" t="n"/>
      <c r="BB6" s="145" t="n"/>
      <c r="BH6" s="146" t="n"/>
      <c r="BK6" s="17" t="n"/>
    </row>
    <row r="7" ht="12" customHeight="1">
      <c r="C7" s="18" t="n"/>
      <c r="E7" s="48" t="n"/>
      <c r="F7" s="147" t="inlineStr">
        <is>
          <t>BL460c Gen10</t>
        </is>
      </c>
      <c r="K7" s="50" t="n"/>
      <c r="L7" s="48" t="n"/>
      <c r="M7" s="147" t="inlineStr">
        <is>
          <t>BL460c Gen10</t>
        </is>
      </c>
      <c r="R7" s="50" t="n"/>
      <c r="S7" s="48" t="n"/>
      <c r="T7" s="147" t="inlineStr">
        <is>
          <t>BL460c Gen10</t>
        </is>
      </c>
      <c r="Y7" s="50" t="n"/>
      <c r="Z7" s="48" t="n"/>
      <c r="AA7" s="147" t="inlineStr">
        <is>
          <t>BL460c Gen10</t>
        </is>
      </c>
      <c r="AF7" s="50" t="n"/>
      <c r="AG7" s="48" t="n"/>
      <c r="AH7" s="147" t="inlineStr">
        <is>
          <t>BL460c Gen10</t>
        </is>
      </c>
      <c r="AM7" s="50" t="n"/>
      <c r="AN7" s="48" t="n"/>
      <c r="AO7" s="147" t="inlineStr">
        <is>
          <t>BL460c Gen10</t>
        </is>
      </c>
      <c r="AT7" s="50" t="n"/>
      <c r="AU7" s="145" t="n"/>
      <c r="BA7" s="146" t="n"/>
      <c r="BB7" s="145" t="n"/>
      <c r="BH7" s="146" t="n"/>
      <c r="BK7" s="17" t="n"/>
    </row>
    <row r="8" ht="12" customHeight="1">
      <c r="C8" s="18" t="n"/>
      <c r="E8" s="48" t="n"/>
      <c r="K8" s="50" t="n"/>
      <c r="L8" s="48" t="n"/>
      <c r="R8" s="50" t="n"/>
      <c r="S8" s="48" t="n"/>
      <c r="Y8" s="50" t="n"/>
      <c r="Z8" s="48" t="n"/>
      <c r="AF8" s="50" t="n"/>
      <c r="AG8" s="48" t="n"/>
      <c r="AM8" s="50" t="n"/>
      <c r="AN8" s="48" t="n"/>
      <c r="AT8" s="50" t="n"/>
      <c r="AU8" s="145" t="n"/>
      <c r="BA8" s="146" t="n"/>
      <c r="BB8" s="145" t="n"/>
      <c r="BH8" s="146" t="n"/>
      <c r="BK8" s="17" t="n"/>
    </row>
    <row r="9" ht="12" customHeight="1">
      <c r="C9" s="18" t="n"/>
      <c r="E9" s="48" t="n"/>
      <c r="K9" s="50" t="n"/>
      <c r="L9" s="48" t="n"/>
      <c r="R9" s="50" t="n"/>
      <c r="S9" s="48" t="n"/>
      <c r="Y9" s="50" t="n"/>
      <c r="Z9" s="48" t="n"/>
      <c r="AF9" s="50" t="n"/>
      <c r="AG9" s="48" t="n"/>
      <c r="AM9" s="50" t="n"/>
      <c r="AN9" s="48" t="n"/>
      <c r="AT9" s="50" t="n"/>
      <c r="AU9" s="145" t="n"/>
      <c r="BA9" s="146" t="n"/>
      <c r="BB9" s="145" t="n"/>
      <c r="BH9" s="146" t="n"/>
      <c r="BK9" s="17" t="n"/>
    </row>
    <row r="10" ht="12" customHeight="1">
      <c r="C10" s="18" t="n"/>
      <c r="E10" s="48" t="n"/>
      <c r="K10" s="50" t="n"/>
      <c r="L10" s="48" t="n"/>
      <c r="R10" s="50" t="n"/>
      <c r="S10" s="48" t="n"/>
      <c r="Y10" s="50" t="n"/>
      <c r="Z10" s="48" t="n"/>
      <c r="AF10" s="50" t="n"/>
      <c r="AG10" s="48" t="n"/>
      <c r="AM10" s="50" t="n"/>
      <c r="AN10" s="48" t="n"/>
      <c r="AT10" s="50" t="n"/>
      <c r="AU10" s="145" t="n"/>
      <c r="BA10" s="146" t="n"/>
      <c r="BB10" s="145" t="n"/>
      <c r="BH10" s="146" t="n"/>
      <c r="BK10" s="17" t="n"/>
    </row>
    <row r="11" ht="12" customHeight="1">
      <c r="C11" s="18" t="n"/>
      <c r="E11" s="48" t="n"/>
      <c r="K11" s="50" t="n"/>
      <c r="L11" s="48" t="n"/>
      <c r="R11" s="50" t="n"/>
      <c r="S11" s="48" t="n"/>
      <c r="Y11" s="50" t="n"/>
      <c r="Z11" s="48" t="n"/>
      <c r="AF11" s="50" t="n"/>
      <c r="AG11" s="48" t="n"/>
      <c r="AM11" s="50" t="n"/>
      <c r="AN11" s="48" t="n"/>
      <c r="AT11" s="50" t="n"/>
      <c r="AU11" s="148" t="inlineStr">
        <is>
          <t>빈 베이</t>
        </is>
      </c>
      <c r="BA11" s="149" t="n"/>
      <c r="BB11" s="148" t="inlineStr">
        <is>
          <t>빈 베이</t>
        </is>
      </c>
      <c r="BH11" s="149" t="n"/>
      <c r="BK11" s="17" t="n"/>
    </row>
    <row r="12" ht="12" customHeight="1">
      <c r="C12" s="18" t="n"/>
      <c r="E12" s="48" t="n"/>
      <c r="K12" s="50" t="n"/>
      <c r="L12" s="48" t="n"/>
      <c r="R12" s="50" t="n"/>
      <c r="S12" s="48" t="n"/>
      <c r="Y12" s="50" t="n"/>
      <c r="Z12" s="48" t="n"/>
      <c r="AF12" s="50" t="n"/>
      <c r="AG12" s="48" t="n"/>
      <c r="AM12" s="50" t="n"/>
      <c r="AN12" s="48" t="n"/>
      <c r="AT12" s="50" t="n"/>
      <c r="AU12" s="145" t="n"/>
      <c r="BA12" s="146" t="n"/>
      <c r="BB12" s="145" t="n"/>
      <c r="BH12" s="146" t="n"/>
      <c r="BK12" s="17" t="n"/>
    </row>
    <row r="13" ht="12" customHeight="1">
      <c r="C13" s="18" t="n"/>
      <c r="E13" s="48" t="n"/>
      <c r="K13" s="50" t="n"/>
      <c r="L13" s="48" t="n"/>
      <c r="R13" s="50" t="n"/>
      <c r="S13" s="48" t="n"/>
      <c r="Y13" s="50" t="n"/>
      <c r="Z13" s="48" t="n"/>
      <c r="AF13" s="50" t="n"/>
      <c r="AG13" s="48" t="n"/>
      <c r="AM13" s="50" t="n"/>
      <c r="AN13" s="48" t="n"/>
      <c r="AT13" s="50" t="n"/>
      <c r="AU13" s="145" t="n"/>
      <c r="BA13" s="146" t="n"/>
      <c r="BB13" s="145" t="n"/>
      <c r="BH13" s="146" t="n"/>
      <c r="BK13" s="17" t="n"/>
    </row>
    <row r="14" ht="12" customHeight="1">
      <c r="C14" s="18" t="n"/>
      <c r="E14" s="48" t="n"/>
      <c r="K14" s="50" t="n"/>
      <c r="L14" s="48" t="n"/>
      <c r="R14" s="50" t="n"/>
      <c r="S14" s="48" t="n"/>
      <c r="Y14" s="50" t="n"/>
      <c r="Z14" s="48" t="n"/>
      <c r="AF14" s="50" t="n"/>
      <c r="AG14" s="48" t="n"/>
      <c r="AM14" s="50" t="n"/>
      <c r="AN14" s="48" t="n"/>
      <c r="AT14" s="50" t="n"/>
      <c r="AU14" s="145" t="n"/>
      <c r="BA14" s="146" t="n"/>
      <c r="BB14" s="145" t="n"/>
      <c r="BH14" s="146" t="n"/>
      <c r="BK14" s="17" t="n"/>
    </row>
    <row r="15" ht="12" customHeight="1">
      <c r="C15" s="18" t="n"/>
      <c r="E15" s="48" t="n"/>
      <c r="K15" s="50" t="n"/>
      <c r="L15" s="48" t="n"/>
      <c r="R15" s="50" t="n"/>
      <c r="S15" s="48" t="n"/>
      <c r="Y15" s="50" t="n"/>
      <c r="Z15" s="48" t="n"/>
      <c r="AF15" s="50" t="n"/>
      <c r="AG15" s="48" t="n"/>
      <c r="AM15" s="50" t="n"/>
      <c r="AN15" s="48" t="n"/>
      <c r="AT15" s="50" t="n"/>
      <c r="AU15" s="145" t="n"/>
      <c r="BA15" s="146" t="n"/>
      <c r="BB15" s="145" t="n"/>
      <c r="BH15" s="146" t="n"/>
      <c r="BK15" s="17" t="n"/>
    </row>
    <row r="16" ht="12" customHeight="1">
      <c r="C16" s="18" t="n"/>
      <c r="E16" s="48" t="n"/>
      <c r="F16" s="49" t="n"/>
      <c r="G16" s="49" t="n"/>
      <c r="H16" s="49" t="n"/>
      <c r="I16" s="49" t="n"/>
      <c r="J16" s="49" t="n"/>
      <c r="K16" s="50" t="n"/>
      <c r="L16" s="48" t="n"/>
      <c r="M16" s="49" t="n"/>
      <c r="N16" s="49" t="n"/>
      <c r="O16" s="49" t="n"/>
      <c r="P16" s="49" t="n"/>
      <c r="Q16" s="49" t="n"/>
      <c r="R16" s="50" t="n"/>
      <c r="S16" s="48" t="n"/>
      <c r="T16" s="49" t="n"/>
      <c r="U16" s="49" t="n"/>
      <c r="V16" s="49" t="n"/>
      <c r="W16" s="49" t="n"/>
      <c r="X16" s="49" t="n"/>
      <c r="Y16" s="50" t="n"/>
      <c r="Z16" s="48" t="n"/>
      <c r="AA16" s="49" t="n"/>
      <c r="AB16" s="49" t="n"/>
      <c r="AC16" s="49" t="n"/>
      <c r="AD16" s="49" t="n"/>
      <c r="AE16" s="49" t="n"/>
      <c r="AF16" s="50" t="n"/>
      <c r="AG16" s="48" t="n"/>
      <c r="AH16" s="49" t="n"/>
      <c r="AI16" s="49" t="n"/>
      <c r="AJ16" s="49" t="n"/>
      <c r="AK16" s="49" t="n"/>
      <c r="AL16" s="49" t="n"/>
      <c r="AM16" s="50" t="n"/>
      <c r="AN16" s="48" t="n"/>
      <c r="AO16" s="49" t="n"/>
      <c r="AP16" s="49" t="n"/>
      <c r="AQ16" s="49" t="n"/>
      <c r="AR16" s="49" t="n"/>
      <c r="AS16" s="49" t="n"/>
      <c r="AT16" s="50" t="n"/>
      <c r="AU16" s="145" t="n"/>
      <c r="BA16" s="146" t="n"/>
      <c r="BB16" s="145" t="n"/>
      <c r="BH16" s="146" t="n"/>
      <c r="BK16" s="17" t="n"/>
    </row>
    <row r="17" ht="12" customHeight="1">
      <c r="C17" s="18" t="n"/>
      <c r="E17" s="48" t="n"/>
      <c r="F17" s="49" t="n"/>
      <c r="G17" s="49" t="n"/>
      <c r="H17" s="49" t="n"/>
      <c r="I17" s="49" t="n"/>
      <c r="J17" s="49" t="n"/>
      <c r="K17" s="50" t="n"/>
      <c r="L17" s="48" t="n"/>
      <c r="M17" s="49" t="n"/>
      <c r="N17" s="49" t="n"/>
      <c r="O17" s="49" t="n"/>
      <c r="P17" s="49" t="n"/>
      <c r="Q17" s="49" t="n"/>
      <c r="R17" s="50" t="n"/>
      <c r="S17" s="48" t="n"/>
      <c r="T17" s="49" t="n"/>
      <c r="U17" s="49" t="n"/>
      <c r="V17" s="49" t="n"/>
      <c r="W17" s="49" t="n"/>
      <c r="X17" s="49" t="n"/>
      <c r="Y17" s="50" t="n"/>
      <c r="Z17" s="48" t="n"/>
      <c r="AA17" s="49" t="n"/>
      <c r="AB17" s="49" t="n"/>
      <c r="AC17" s="49" t="n"/>
      <c r="AD17" s="49" t="n"/>
      <c r="AE17" s="49" t="n"/>
      <c r="AF17" s="50" t="n"/>
      <c r="AG17" s="48" t="n"/>
      <c r="AH17" s="49" t="n"/>
      <c r="AI17" s="49" t="n"/>
      <c r="AJ17" s="49" t="n"/>
      <c r="AK17" s="49" t="n"/>
      <c r="AL17" s="49" t="n"/>
      <c r="AM17" s="50" t="n"/>
      <c r="AN17" s="48" t="n"/>
      <c r="AO17" s="49" t="n"/>
      <c r="AP17" s="49" t="n"/>
      <c r="AQ17" s="49" t="n"/>
      <c r="AR17" s="49" t="n"/>
      <c r="AS17" s="49" t="n"/>
      <c r="AT17" s="50" t="n"/>
      <c r="AU17" s="145" t="n"/>
      <c r="BA17" s="146" t="n"/>
      <c r="BB17" s="145" t="n"/>
      <c r="BH17" s="146" t="n"/>
      <c r="BK17" s="17" t="n"/>
    </row>
    <row r="18" ht="12" customHeight="1">
      <c r="C18" s="18" t="n"/>
      <c r="E18" s="51" t="n"/>
      <c r="F18" s="52" t="n"/>
      <c r="G18" s="52" t="n"/>
      <c r="H18" s="52" t="n"/>
      <c r="I18" s="52" t="n"/>
      <c r="J18" s="52" t="n"/>
      <c r="K18" s="53" t="n"/>
      <c r="L18" s="51" t="n"/>
      <c r="M18" s="52" t="n"/>
      <c r="N18" s="52" t="n"/>
      <c r="O18" s="52" t="n"/>
      <c r="P18" s="52" t="n"/>
      <c r="Q18" s="52" t="n"/>
      <c r="R18" s="53" t="n"/>
      <c r="S18" s="51" t="n"/>
      <c r="T18" s="52" t="n"/>
      <c r="U18" s="52" t="n"/>
      <c r="V18" s="52" t="n"/>
      <c r="W18" s="52" t="n"/>
      <c r="X18" s="52" t="n"/>
      <c r="Y18" s="53" t="n"/>
      <c r="Z18" s="51" t="n"/>
      <c r="AA18" s="52" t="n"/>
      <c r="AB18" s="52" t="n"/>
      <c r="AC18" s="52" t="n"/>
      <c r="AD18" s="52" t="n"/>
      <c r="AE18" s="52" t="n"/>
      <c r="AF18" s="53" t="n"/>
      <c r="AG18" s="51" t="n"/>
      <c r="AH18" s="52" t="n"/>
      <c r="AI18" s="52" t="n"/>
      <c r="AJ18" s="52" t="n"/>
      <c r="AK18" s="52" t="n"/>
      <c r="AL18" s="52" t="n"/>
      <c r="AM18" s="53" t="n"/>
      <c r="AN18" s="51" t="n"/>
      <c r="AO18" s="52" t="n"/>
      <c r="AP18" s="52" t="n"/>
      <c r="AQ18" s="52" t="n"/>
      <c r="AR18" s="52" t="n"/>
      <c r="AS18" s="52" t="n"/>
      <c r="AT18" s="53" t="n"/>
      <c r="AU18" s="123" t="n"/>
      <c r="AV18" s="124" t="n"/>
      <c r="AW18" s="124" t="n"/>
      <c r="AX18" s="124" t="n"/>
      <c r="AY18" s="124" t="n"/>
      <c r="AZ18" s="124" t="n"/>
      <c r="BA18" s="125" t="n"/>
      <c r="BB18" s="123" t="n"/>
      <c r="BC18" s="124" t="n"/>
      <c r="BD18" s="124" t="n"/>
      <c r="BE18" s="124" t="n"/>
      <c r="BF18" s="124" t="n"/>
      <c r="BG18" s="124" t="n"/>
      <c r="BH18" s="125" t="n"/>
      <c r="BK18" s="17" t="n"/>
    </row>
    <row r="19" ht="12" customHeight="1">
      <c r="C19" s="18" t="n"/>
      <c r="E19" s="118" t="inlineStr">
        <is>
          <t>9</t>
        </is>
      </c>
      <c r="F19" s="119" t="n"/>
      <c r="G19" s="119" t="n"/>
      <c r="H19" s="119" t="n"/>
      <c r="I19" s="119" t="n"/>
      <c r="J19" s="119" t="n"/>
      <c r="K19" s="120" t="n"/>
      <c r="L19" s="118" t="inlineStr">
        <is>
          <t>10</t>
        </is>
      </c>
      <c r="M19" s="119" t="n"/>
      <c r="N19" s="119" t="n"/>
      <c r="O19" s="119" t="n"/>
      <c r="P19" s="119" t="n"/>
      <c r="Q19" s="119" t="n"/>
      <c r="R19" s="120" t="n"/>
      <c r="S19" s="118" t="inlineStr">
        <is>
          <t>11</t>
        </is>
      </c>
      <c r="T19" s="119" t="n"/>
      <c r="U19" s="119" t="n"/>
      <c r="V19" s="119" t="n"/>
      <c r="W19" s="119" t="n"/>
      <c r="X19" s="119" t="n"/>
      <c r="Y19" s="120" t="n"/>
      <c r="Z19" s="118" t="inlineStr">
        <is>
          <t>12</t>
        </is>
      </c>
      <c r="AA19" s="119" t="n"/>
      <c r="AB19" s="119" t="n"/>
      <c r="AC19" s="119" t="n"/>
      <c r="AD19" s="119" t="n"/>
      <c r="AE19" s="119" t="n"/>
      <c r="AF19" s="120" t="n"/>
      <c r="AG19" s="118" t="inlineStr">
        <is>
          <t>13</t>
        </is>
      </c>
      <c r="AH19" s="119" t="n"/>
      <c r="AI19" s="119" t="n"/>
      <c r="AJ19" s="119" t="n"/>
      <c r="AK19" s="119" t="n"/>
      <c r="AL19" s="119" t="n"/>
      <c r="AM19" s="120" t="n"/>
      <c r="AN19" s="118" t="inlineStr">
        <is>
          <t>14</t>
        </is>
      </c>
      <c r="AO19" s="119" t="n"/>
      <c r="AP19" s="119" t="n"/>
      <c r="AQ19" s="119" t="n"/>
      <c r="AR19" s="119" t="n"/>
      <c r="AS19" s="119" t="n"/>
      <c r="AT19" s="120" t="n"/>
      <c r="AU19" s="118" t="inlineStr">
        <is>
          <t>15</t>
        </is>
      </c>
      <c r="AV19" s="119" t="n"/>
      <c r="AW19" s="119" t="n"/>
      <c r="AX19" s="119" t="n"/>
      <c r="AY19" s="119" t="n"/>
      <c r="AZ19" s="119" t="n"/>
      <c r="BA19" s="120" t="n"/>
      <c r="BB19" s="118" t="inlineStr">
        <is>
          <t>16</t>
        </is>
      </c>
      <c r="BC19" s="119" t="n"/>
      <c r="BD19" s="119" t="n"/>
      <c r="BE19" s="119" t="n"/>
      <c r="BF19" s="119" t="n"/>
      <c r="BG19" s="119" t="n"/>
      <c r="BH19" s="120" t="n"/>
      <c r="BK19" s="17" t="n"/>
    </row>
    <row r="20" ht="12" customHeight="1">
      <c r="C20" s="18" t="n"/>
      <c r="E20" s="145" t="n"/>
      <c r="K20" s="146" t="n"/>
      <c r="L20" s="145" t="n"/>
      <c r="R20" s="146" t="n"/>
      <c r="S20" s="145" t="n"/>
      <c r="Y20" s="146" t="n"/>
      <c r="Z20" s="145" t="n"/>
      <c r="AF20" s="146" t="n"/>
      <c r="AG20" s="145" t="n"/>
      <c r="AM20" s="146" t="n"/>
      <c r="AN20" s="145" t="n"/>
      <c r="AT20" s="146" t="n"/>
      <c r="AU20" s="145" t="n"/>
      <c r="BA20" s="146" t="n"/>
      <c r="BB20" s="145" t="n"/>
      <c r="BH20" s="146" t="n"/>
      <c r="BK20" s="17" t="n"/>
    </row>
    <row r="21" ht="12" customHeight="1">
      <c r="C21" s="18" t="n"/>
      <c r="E21" s="145" t="n"/>
      <c r="K21" s="146" t="n"/>
      <c r="L21" s="145" t="n"/>
      <c r="R21" s="146" t="n"/>
      <c r="S21" s="145" t="n"/>
      <c r="Y21" s="146" t="n"/>
      <c r="Z21" s="145" t="n"/>
      <c r="AF21" s="146" t="n"/>
      <c r="AG21" s="145" t="n"/>
      <c r="AM21" s="146" t="n"/>
      <c r="AN21" s="145" t="n"/>
      <c r="AT21" s="146" t="n"/>
      <c r="AU21" s="145" t="n"/>
      <c r="BA21" s="146" t="n"/>
      <c r="BB21" s="145" t="n"/>
      <c r="BH21" s="146" t="n"/>
      <c r="BK21" s="17" t="n"/>
    </row>
    <row r="22" ht="12" customHeight="1">
      <c r="C22" s="18" t="n"/>
      <c r="E22" s="145" t="n"/>
      <c r="K22" s="146" t="n"/>
      <c r="L22" s="145" t="n"/>
      <c r="R22" s="146" t="n"/>
      <c r="S22" s="145" t="n"/>
      <c r="Y22" s="146" t="n"/>
      <c r="Z22" s="145" t="n"/>
      <c r="AF22" s="146" t="n"/>
      <c r="AG22" s="145" t="n"/>
      <c r="AM22" s="146" t="n"/>
      <c r="AN22" s="145" t="n"/>
      <c r="AT22" s="146" t="n"/>
      <c r="AU22" s="145" t="n"/>
      <c r="BA22" s="146" t="n"/>
      <c r="BB22" s="145" t="n"/>
      <c r="BH22" s="146" t="n"/>
      <c r="BK22" s="17" t="n"/>
    </row>
    <row r="23" ht="12" customHeight="1">
      <c r="C23" s="18" t="n"/>
      <c r="E23" s="145" t="n"/>
      <c r="K23" s="146" t="n"/>
      <c r="L23" s="145" t="n"/>
      <c r="R23" s="146" t="n"/>
      <c r="S23" s="145" t="n"/>
      <c r="Y23" s="146" t="n"/>
      <c r="Z23" s="145" t="n"/>
      <c r="AF23" s="146" t="n"/>
      <c r="AG23" s="145" t="n"/>
      <c r="AM23" s="146" t="n"/>
      <c r="AN23" s="145" t="n"/>
      <c r="AT23" s="146" t="n"/>
      <c r="AU23" s="145" t="n"/>
      <c r="BA23" s="146" t="n"/>
      <c r="BB23" s="145" t="n"/>
      <c r="BH23" s="146" t="n"/>
      <c r="BK23" s="17" t="n"/>
    </row>
    <row r="24" ht="12" customHeight="1">
      <c r="C24" s="18" t="n"/>
      <c r="E24" s="145" t="n"/>
      <c r="K24" s="146" t="n"/>
      <c r="L24" s="145" t="n"/>
      <c r="R24" s="146" t="n"/>
      <c r="S24" s="145" t="n"/>
      <c r="Y24" s="146" t="n"/>
      <c r="Z24" s="145" t="n"/>
      <c r="AF24" s="146" t="n"/>
      <c r="AG24" s="145" t="n"/>
      <c r="AM24" s="146" t="n"/>
      <c r="AN24" s="145" t="n"/>
      <c r="AT24" s="146" t="n"/>
      <c r="AU24" s="145" t="n"/>
      <c r="BA24" s="146" t="n"/>
      <c r="BB24" s="145" t="n"/>
      <c r="BH24" s="146" t="n"/>
      <c r="BK24" s="17" t="n"/>
    </row>
    <row r="25" ht="12" customHeight="1">
      <c r="C25" s="18" t="n"/>
      <c r="E25" s="148" t="inlineStr">
        <is>
          <t>빈 베이</t>
        </is>
      </c>
      <c r="K25" s="149" t="n"/>
      <c r="L25" s="148" t="inlineStr">
        <is>
          <t>빈 베이</t>
        </is>
      </c>
      <c r="R25" s="149" t="n"/>
      <c r="S25" s="148" t="inlineStr">
        <is>
          <t>빈 베이</t>
        </is>
      </c>
      <c r="Y25" s="149" t="n"/>
      <c r="Z25" s="148" t="inlineStr">
        <is>
          <t>빈 베이</t>
        </is>
      </c>
      <c r="AF25" s="149" t="n"/>
      <c r="AG25" s="148" t="inlineStr">
        <is>
          <t>빈 베이</t>
        </is>
      </c>
      <c r="AM25" s="149" t="n"/>
      <c r="AN25" s="148" t="inlineStr">
        <is>
          <t>빈 베이</t>
        </is>
      </c>
      <c r="AT25" s="149" t="n"/>
      <c r="AU25" s="148" t="inlineStr">
        <is>
          <t>빈 베이</t>
        </is>
      </c>
      <c r="BA25" s="149" t="n"/>
      <c r="BB25" s="148" t="inlineStr">
        <is>
          <t>빈 베이</t>
        </is>
      </c>
      <c r="BH25" s="149" t="n"/>
      <c r="BK25" s="17" t="n"/>
    </row>
    <row r="26" ht="12" customHeight="1">
      <c r="C26" s="18" t="n"/>
      <c r="E26" s="145" t="n"/>
      <c r="K26" s="146" t="n"/>
      <c r="L26" s="145" t="n"/>
      <c r="R26" s="146" t="n"/>
      <c r="S26" s="145" t="n"/>
      <c r="Y26" s="146" t="n"/>
      <c r="Z26" s="145" t="n"/>
      <c r="AF26" s="146" t="n"/>
      <c r="AG26" s="145" t="n"/>
      <c r="AM26" s="146" t="n"/>
      <c r="AN26" s="145" t="n"/>
      <c r="AT26" s="146" t="n"/>
      <c r="AU26" s="145" t="n"/>
      <c r="BA26" s="146" t="n"/>
      <c r="BB26" s="145" t="n"/>
      <c r="BH26" s="146" t="n"/>
      <c r="BK26" s="17" t="n"/>
    </row>
    <row r="27" ht="12" customHeight="1">
      <c r="C27" s="18" t="n"/>
      <c r="E27" s="145" t="n"/>
      <c r="K27" s="146" t="n"/>
      <c r="L27" s="145" t="n"/>
      <c r="R27" s="146" t="n"/>
      <c r="S27" s="145" t="n"/>
      <c r="Y27" s="146" t="n"/>
      <c r="Z27" s="145" t="n"/>
      <c r="AF27" s="146" t="n"/>
      <c r="AG27" s="145" t="n"/>
      <c r="AM27" s="146" t="n"/>
      <c r="AN27" s="145" t="n"/>
      <c r="AT27" s="146" t="n"/>
      <c r="AU27" s="145" t="n"/>
      <c r="BA27" s="146" t="n"/>
      <c r="BB27" s="145" t="n"/>
      <c r="BH27" s="146" t="n"/>
      <c r="BK27" s="17" t="n"/>
    </row>
    <row r="28" ht="12" customHeight="1">
      <c r="C28" s="18" t="n"/>
      <c r="E28" s="145" t="n"/>
      <c r="K28" s="146" t="n"/>
      <c r="L28" s="145" t="n"/>
      <c r="R28" s="146" t="n"/>
      <c r="S28" s="145" t="n"/>
      <c r="Y28" s="146" t="n"/>
      <c r="Z28" s="145" t="n"/>
      <c r="AF28" s="146" t="n"/>
      <c r="AG28" s="145" t="n"/>
      <c r="AM28" s="146" t="n"/>
      <c r="AN28" s="145" t="n"/>
      <c r="AT28" s="146" t="n"/>
      <c r="AU28" s="145" t="n"/>
      <c r="BA28" s="146" t="n"/>
      <c r="BB28" s="145" t="n"/>
      <c r="BH28" s="146" t="n"/>
      <c r="BK28" s="17" t="n"/>
    </row>
    <row r="29" ht="12" customHeight="1">
      <c r="C29" s="18" t="n"/>
      <c r="E29" s="145" t="n"/>
      <c r="K29" s="146" t="n"/>
      <c r="L29" s="145" t="n"/>
      <c r="R29" s="146" t="n"/>
      <c r="S29" s="145" t="n"/>
      <c r="Y29" s="146" t="n"/>
      <c r="Z29" s="145" t="n"/>
      <c r="AF29" s="146" t="n"/>
      <c r="AG29" s="145" t="n"/>
      <c r="AM29" s="146" t="n"/>
      <c r="AN29" s="145" t="n"/>
      <c r="AT29" s="146" t="n"/>
      <c r="AU29" s="145" t="n"/>
      <c r="BA29" s="146" t="n"/>
      <c r="BB29" s="145" t="n"/>
      <c r="BH29" s="146" t="n"/>
      <c r="BK29" s="17" t="n"/>
    </row>
    <row r="30" ht="12" customHeight="1">
      <c r="C30" s="18" t="n"/>
      <c r="E30" s="145" t="n"/>
      <c r="K30" s="146" t="n"/>
      <c r="L30" s="145" t="n"/>
      <c r="R30" s="146" t="n"/>
      <c r="S30" s="145" t="n"/>
      <c r="Y30" s="146" t="n"/>
      <c r="Z30" s="145" t="n"/>
      <c r="AF30" s="146" t="n"/>
      <c r="AG30" s="145" t="n"/>
      <c r="AM30" s="146" t="n"/>
      <c r="AN30" s="145" t="n"/>
      <c r="AT30" s="146" t="n"/>
      <c r="AU30" s="145" t="n"/>
      <c r="BA30" s="146" t="n"/>
      <c r="BB30" s="145" t="n"/>
      <c r="BH30" s="146" t="n"/>
      <c r="BK30" s="17" t="n"/>
    </row>
    <row r="31" ht="12" customHeight="1">
      <c r="C31" s="18" t="n"/>
      <c r="E31" s="145" t="n"/>
      <c r="K31" s="146" t="n"/>
      <c r="L31" s="145" t="n"/>
      <c r="R31" s="146" t="n"/>
      <c r="S31" s="145" t="n"/>
      <c r="Y31" s="146" t="n"/>
      <c r="Z31" s="145" t="n"/>
      <c r="AF31" s="146" t="n"/>
      <c r="AG31" s="145" t="n"/>
      <c r="AM31" s="146" t="n"/>
      <c r="AN31" s="145" t="n"/>
      <c r="AT31" s="146" t="n"/>
      <c r="AU31" s="145" t="n"/>
      <c r="BA31" s="146" t="n"/>
      <c r="BB31" s="145" t="n"/>
      <c r="BH31" s="146" t="n"/>
      <c r="BK31" s="17" t="n"/>
    </row>
    <row r="32" ht="12" customHeight="1">
      <c r="C32" s="18" t="n"/>
      <c r="E32" s="123" t="n"/>
      <c r="F32" s="124" t="n"/>
      <c r="G32" s="124" t="n"/>
      <c r="H32" s="124" t="n"/>
      <c r="I32" s="124" t="n"/>
      <c r="J32" s="124" t="n"/>
      <c r="K32" s="125" t="n"/>
      <c r="L32" s="123" t="n"/>
      <c r="M32" s="124" t="n"/>
      <c r="N32" s="124" t="n"/>
      <c r="O32" s="124" t="n"/>
      <c r="P32" s="124" t="n"/>
      <c r="Q32" s="124" t="n"/>
      <c r="R32" s="125" t="n"/>
      <c r="S32" s="123" t="n"/>
      <c r="T32" s="124" t="n"/>
      <c r="U32" s="124" t="n"/>
      <c r="V32" s="124" t="n"/>
      <c r="W32" s="124" t="n"/>
      <c r="X32" s="124" t="n"/>
      <c r="Y32" s="125" t="n"/>
      <c r="Z32" s="123" t="n"/>
      <c r="AA32" s="124" t="n"/>
      <c r="AB32" s="124" t="n"/>
      <c r="AC32" s="124" t="n"/>
      <c r="AD32" s="124" t="n"/>
      <c r="AE32" s="124" t="n"/>
      <c r="AF32" s="125" t="n"/>
      <c r="AG32" s="123" t="n"/>
      <c r="AH32" s="124" t="n"/>
      <c r="AI32" s="124" t="n"/>
      <c r="AJ32" s="124" t="n"/>
      <c r="AK32" s="124" t="n"/>
      <c r="AL32" s="124" t="n"/>
      <c r="AM32" s="125" t="n"/>
      <c r="AN32" s="123" t="n"/>
      <c r="AO32" s="124" t="n"/>
      <c r="AP32" s="124" t="n"/>
      <c r="AQ32" s="124" t="n"/>
      <c r="AR32" s="124" t="n"/>
      <c r="AS32" s="124" t="n"/>
      <c r="AT32" s="125" t="n"/>
      <c r="AU32" s="123" t="n"/>
      <c r="AV32" s="124" t="n"/>
      <c r="AW32" s="124" t="n"/>
      <c r="AX32" s="124" t="n"/>
      <c r="AY32" s="124" t="n"/>
      <c r="AZ32" s="124" t="n"/>
      <c r="BA32" s="125" t="n"/>
      <c r="BB32" s="123" t="n"/>
      <c r="BC32" s="124" t="n"/>
      <c r="BD32" s="124" t="n"/>
      <c r="BE32" s="124" t="n"/>
      <c r="BF32" s="124" t="n"/>
      <c r="BG32" s="124" t="n"/>
      <c r="BH32" s="125" t="n"/>
      <c r="BK32" s="17" t="n"/>
    </row>
    <row r="33" ht="12" customHeight="1">
      <c r="C33" s="18" t="n"/>
      <c r="AE33" s="150" t="inlineStr">
        <is>
          <t>디스플레이</t>
        </is>
      </c>
      <c r="AF33" s="138" t="n"/>
      <c r="AG33" s="138" t="n"/>
      <c r="AH33" s="138" t="n"/>
      <c r="AI33" s="141" t="n"/>
      <c r="BK33" s="17" t="n"/>
    </row>
    <row r="34" ht="12" customHeight="1">
      <c r="C34" s="18" t="n"/>
      <c r="E34" s="45" t="inlineStr">
        <is>
          <t>PSU 1</t>
        </is>
      </c>
      <c r="F34" s="46" t="n"/>
      <c r="G34" s="46" t="n"/>
      <c r="H34" s="46" t="n"/>
      <c r="I34" s="46" t="n"/>
      <c r="J34" s="46" t="n"/>
      <c r="K34" s="46" t="n"/>
      <c r="L34" s="46" t="n"/>
      <c r="M34" s="47" t="n"/>
      <c r="N34" s="45" t="inlineStr">
        <is>
          <t>PSU 2</t>
        </is>
      </c>
      <c r="O34" s="46" t="n"/>
      <c r="P34" s="46" t="n"/>
      <c r="Q34" s="46" t="n"/>
      <c r="R34" s="46" t="n"/>
      <c r="S34" s="46" t="n"/>
      <c r="T34" s="46" t="n"/>
      <c r="U34" s="46" t="n"/>
      <c r="V34" s="47" t="n"/>
      <c r="W34" s="45" t="inlineStr">
        <is>
          <t>PSU 3</t>
        </is>
      </c>
      <c r="X34" s="46" t="n"/>
      <c r="Y34" s="46" t="n"/>
      <c r="Z34" s="46" t="n"/>
      <c r="AA34" s="46" t="n"/>
      <c r="AB34" s="46" t="n"/>
      <c r="AC34" s="46" t="n"/>
      <c r="AD34" s="46" t="n"/>
      <c r="AE34" s="47" t="n"/>
      <c r="AG34" s="45" t="inlineStr">
        <is>
          <t>PSU 4</t>
        </is>
      </c>
      <c r="AH34" s="46" t="n"/>
      <c r="AI34" s="46" t="n"/>
      <c r="AJ34" s="46" t="n"/>
      <c r="AK34" s="46" t="n"/>
      <c r="AL34" s="46" t="n"/>
      <c r="AM34" s="46" t="n"/>
      <c r="AN34" s="46" t="n"/>
      <c r="AO34" s="47" t="n"/>
      <c r="AP34" s="45" t="inlineStr">
        <is>
          <t>PSU 5</t>
        </is>
      </c>
      <c r="AQ34" s="46" t="n"/>
      <c r="AR34" s="46" t="n"/>
      <c r="AS34" s="46" t="n"/>
      <c r="AT34" s="46" t="n"/>
      <c r="AU34" s="46" t="n"/>
      <c r="AV34" s="46" t="n"/>
      <c r="AW34" s="46" t="n"/>
      <c r="AX34" s="47" t="n"/>
      <c r="AY34" s="45" t="inlineStr">
        <is>
          <t>PSU 6</t>
        </is>
      </c>
      <c r="AZ34" s="46" t="n"/>
      <c r="BA34" s="46" t="n"/>
      <c r="BB34" s="46" t="n"/>
      <c r="BC34" s="46" t="n"/>
      <c r="BD34" s="46" t="n"/>
      <c r="BE34" s="46" t="n"/>
      <c r="BF34" s="46" t="n"/>
      <c r="BG34" s="47" t="n"/>
      <c r="BK34" s="17" t="n"/>
    </row>
    <row r="35" ht="12" customHeight="1">
      <c r="C35" s="18" t="n"/>
      <c r="E35" s="48" t="n"/>
      <c r="F35" s="49" t="n"/>
      <c r="G35" s="49" t="n"/>
      <c r="H35" s="49" t="n"/>
      <c r="I35" s="49" t="n"/>
      <c r="J35" s="49" t="n"/>
      <c r="K35" s="49" t="n"/>
      <c r="L35" s="49" t="n"/>
      <c r="M35" s="50" t="n"/>
      <c r="N35" s="48" t="n"/>
      <c r="O35" s="49" t="n"/>
      <c r="P35" s="49" t="n"/>
      <c r="Q35" s="49" t="n"/>
      <c r="R35" s="49" t="n"/>
      <c r="S35" s="49" t="n"/>
      <c r="T35" s="49" t="n"/>
      <c r="U35" s="49" t="n"/>
      <c r="V35" s="50" t="n"/>
      <c r="W35" s="48" t="n"/>
      <c r="X35" s="49" t="n"/>
      <c r="Y35" s="49" t="n"/>
      <c r="Z35" s="49" t="n"/>
      <c r="AA35" s="49" t="n"/>
      <c r="AB35" s="49" t="n"/>
      <c r="AC35" s="49" t="n"/>
      <c r="AD35" s="49" t="n"/>
      <c r="AE35" s="50" t="n"/>
      <c r="AG35" s="48" t="n"/>
      <c r="AH35" s="49" t="n"/>
      <c r="AI35" s="49" t="n"/>
      <c r="AJ35" s="49" t="n"/>
      <c r="AK35" s="49" t="n"/>
      <c r="AL35" s="49" t="n"/>
      <c r="AM35" s="49" t="n"/>
      <c r="AN35" s="49" t="n"/>
      <c r="AO35" s="50" t="n"/>
      <c r="AP35" s="48" t="n"/>
      <c r="AQ35" s="49" t="n"/>
      <c r="AR35" s="49" t="n"/>
      <c r="AS35" s="49" t="n"/>
      <c r="AT35" s="49" t="n"/>
      <c r="AU35" s="49" t="n"/>
      <c r="AV35" s="49" t="n"/>
      <c r="AW35" s="49" t="n"/>
      <c r="AX35" s="50" t="n"/>
      <c r="AY35" s="48" t="n"/>
      <c r="AZ35" s="49" t="n"/>
      <c r="BA35" s="49" t="n"/>
      <c r="BB35" s="49" t="n"/>
      <c r="BC35" s="49" t="n"/>
      <c r="BD35" s="49" t="n"/>
      <c r="BE35" s="49" t="n"/>
      <c r="BF35" s="49" t="n"/>
      <c r="BG35" s="50" t="n"/>
      <c r="BK35" s="17" t="n"/>
    </row>
    <row r="36" ht="12" customHeight="1">
      <c r="C36" s="18" t="n"/>
      <c r="E36" s="110" t="inlineStr">
        <is>
          <t>2650W</t>
        </is>
      </c>
      <c r="F36" s="49" t="n"/>
      <c r="G36" s="49" t="n"/>
      <c r="H36" s="49" t="n"/>
      <c r="I36" s="49" t="n"/>
      <c r="J36" s="49" t="n"/>
      <c r="K36" s="49" t="n"/>
      <c r="L36" s="49" t="n"/>
      <c r="M36" s="50" t="n"/>
      <c r="N36" s="110" t="inlineStr">
        <is>
          <t>2650W</t>
        </is>
      </c>
      <c r="O36" s="49" t="n"/>
      <c r="P36" s="49" t="n"/>
      <c r="Q36" s="49" t="n"/>
      <c r="R36" s="49" t="n"/>
      <c r="S36" s="49" t="n"/>
      <c r="T36" s="49" t="n"/>
      <c r="U36" s="49" t="n"/>
      <c r="V36" s="50" t="n"/>
      <c r="W36" s="110" t="inlineStr">
        <is>
          <t>2650W</t>
        </is>
      </c>
      <c r="X36" s="49" t="n"/>
      <c r="Y36" s="49" t="n"/>
      <c r="Z36" s="49" t="n"/>
      <c r="AA36" s="49" t="n"/>
      <c r="AB36" s="49" t="n"/>
      <c r="AC36" s="49" t="n"/>
      <c r="AD36" s="49" t="n"/>
      <c r="AE36" s="50" t="n"/>
      <c r="AG36" s="110" t="inlineStr">
        <is>
          <t>2650W</t>
        </is>
      </c>
      <c r="AH36" s="49" t="n"/>
      <c r="AI36" s="49" t="n"/>
      <c r="AJ36" s="49" t="n"/>
      <c r="AK36" s="49" t="n"/>
      <c r="AL36" s="49" t="n"/>
      <c r="AM36" s="49" t="n"/>
      <c r="AN36" s="49" t="n"/>
      <c r="AO36" s="50" t="n"/>
      <c r="AP36" s="110" t="inlineStr">
        <is>
          <t>2650W</t>
        </is>
      </c>
      <c r="AQ36" s="49" t="n"/>
      <c r="AR36" s="49" t="n"/>
      <c r="AS36" s="49" t="n"/>
      <c r="AT36" s="49" t="n"/>
      <c r="AU36" s="49" t="n"/>
      <c r="AV36" s="49" t="n"/>
      <c r="AW36" s="49" t="n"/>
      <c r="AX36" s="50" t="n"/>
      <c r="AY36" s="110" t="inlineStr">
        <is>
          <t>2650W</t>
        </is>
      </c>
      <c r="AZ36" s="49" t="n"/>
      <c r="BA36" s="49" t="n"/>
      <c r="BB36" s="49" t="n"/>
      <c r="BC36" s="49" t="n"/>
      <c r="BD36" s="49" t="n"/>
      <c r="BE36" s="49" t="n"/>
      <c r="BF36" s="49" t="n"/>
      <c r="BG36" s="50" t="n"/>
      <c r="BK36" s="17" t="n"/>
    </row>
    <row r="37" ht="12" customHeight="1">
      <c r="C37" s="18" t="n"/>
      <c r="E37" s="51" t="n"/>
      <c r="F37" s="52" t="n"/>
      <c r="G37" s="52" t="n"/>
      <c r="H37" s="52" t="n"/>
      <c r="I37" s="52" t="n"/>
      <c r="J37" s="52" t="n"/>
      <c r="K37" s="52" t="n"/>
      <c r="L37" s="52" t="n"/>
      <c r="M37" s="53" t="n"/>
      <c r="N37" s="51" t="n"/>
      <c r="O37" s="52" t="n"/>
      <c r="P37" s="52" t="n"/>
      <c r="Q37" s="52" t="n"/>
      <c r="R37" s="52" t="n"/>
      <c r="S37" s="52" t="n"/>
      <c r="T37" s="52" t="n"/>
      <c r="U37" s="52" t="n"/>
      <c r="V37" s="53" t="n"/>
      <c r="W37" s="51" t="n"/>
      <c r="X37" s="52" t="n"/>
      <c r="Y37" s="52" t="n"/>
      <c r="Z37" s="52" t="n"/>
      <c r="AA37" s="52" t="n"/>
      <c r="AB37" s="52" t="n"/>
      <c r="AC37" s="52" t="n"/>
      <c r="AD37" s="52" t="n"/>
      <c r="AE37" s="53" t="n"/>
      <c r="AG37" s="51" t="n"/>
      <c r="AH37" s="52" t="n"/>
      <c r="AI37" s="52" t="n"/>
      <c r="AJ37" s="52" t="n"/>
      <c r="AK37" s="52" t="n"/>
      <c r="AL37" s="52" t="n"/>
      <c r="AM37" s="52" t="n"/>
      <c r="AN37" s="52" t="n"/>
      <c r="AO37" s="53" t="n"/>
      <c r="AP37" s="51" t="n"/>
      <c r="AQ37" s="52" t="n"/>
      <c r="AR37" s="52" t="n"/>
      <c r="AS37" s="52" t="n"/>
      <c r="AT37" s="52" t="n"/>
      <c r="AU37" s="52" t="n"/>
      <c r="AV37" s="52" t="n"/>
      <c r="AW37" s="52" t="n"/>
      <c r="AX37" s="53" t="n"/>
      <c r="AY37" s="51" t="n"/>
      <c r="AZ37" s="52" t="n"/>
      <c r="BA37" s="52" t="n"/>
      <c r="BB37" s="52" t="n"/>
      <c r="BC37" s="52" t="n"/>
      <c r="BD37" s="52" t="n"/>
      <c r="BE37" s="52" t="n"/>
      <c r="BF37" s="52" t="n"/>
      <c r="BG37" s="53" t="n"/>
      <c r="BK37" s="17" t="n"/>
    </row>
    <row r="38" ht="12" customHeight="1">
      <c r="C38" s="18" t="n"/>
      <c r="BK38" s="17" t="n"/>
    </row>
    <row r="39" ht="12" customHeight="1">
      <c r="C39" s="18" t="n"/>
      <c r="BK39" s="17" t="n"/>
    </row>
    <row r="40" ht="12" customHeight="1">
      <c r="C40" s="18" t="n"/>
      <c r="BK40" s="17" t="n"/>
    </row>
    <row r="41" ht="12" customHeight="1">
      <c r="C41" s="42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  <c r="AC41" s="43" t="n"/>
      <c r="AD41" s="43" t="n"/>
      <c r="AE41" s="43" t="n"/>
      <c r="AF41" s="43" t="n"/>
      <c r="AG41" s="43" t="n"/>
      <c r="AH41" s="43" t="n"/>
      <c r="AI41" s="43" t="n"/>
      <c r="AJ41" s="43" t="n"/>
      <c r="AK41" s="43" t="n"/>
      <c r="AL41" s="43" t="n"/>
      <c r="AM41" s="43" t="n"/>
      <c r="AN41" s="43" t="n"/>
      <c r="AO41" s="43" t="n"/>
      <c r="AP41" s="43" t="n"/>
      <c r="AQ41" s="43" t="n"/>
      <c r="AR41" s="43" t="n"/>
      <c r="AS41" s="43" t="n"/>
      <c r="AT41" s="43" t="n"/>
      <c r="AU41" s="43" t="n"/>
      <c r="AV41" s="43" t="n"/>
      <c r="AW41" s="43" t="n"/>
      <c r="AX41" s="43" t="n"/>
      <c r="AY41" s="43" t="n"/>
      <c r="AZ41" s="43" t="n"/>
      <c r="BA41" s="43" t="n"/>
      <c r="BB41" s="43" t="n"/>
      <c r="BC41" s="43" t="n"/>
      <c r="BD41" s="43" t="n"/>
      <c r="BE41" s="43" t="n"/>
      <c r="BF41" s="43" t="n"/>
      <c r="BG41" s="43" t="n"/>
      <c r="BH41" s="43" t="n"/>
      <c r="BI41" s="43" t="n"/>
      <c r="BJ41" s="43" t="n"/>
      <c r="BK41" s="44" t="n"/>
    </row>
    <row r="42" ht="12" customHeight="1"/>
    <row r="43" ht="12" customHeight="1">
      <c r="B43" s="35" t="inlineStr">
        <is>
          <t>후  면</t>
        </is>
      </c>
      <c r="C43" s="36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37" t="n"/>
    </row>
    <row r="44" ht="12" customHeight="1">
      <c r="C44" s="18" t="n"/>
      <c r="D44" s="45" t="inlineStr">
        <is>
          <t>FAN 1</t>
        </is>
      </c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7" t="n"/>
      <c r="P44" s="45" t="inlineStr">
        <is>
          <t>FAN 2</t>
        </is>
      </c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7" t="n"/>
      <c r="AB44" s="45" t="inlineStr">
        <is>
          <t>FAN 3</t>
        </is>
      </c>
      <c r="AC44" s="46" t="n"/>
      <c r="AD44" s="46" t="n"/>
      <c r="AE44" s="46" t="n"/>
      <c r="AF44" s="46" t="n"/>
      <c r="AG44" s="46" t="n"/>
      <c r="AH44" s="46" t="n"/>
      <c r="AI44" s="46" t="n"/>
      <c r="AJ44" s="46" t="n"/>
      <c r="AK44" s="46" t="n"/>
      <c r="AL44" s="47" t="n"/>
      <c r="AN44" s="45" t="inlineStr">
        <is>
          <t>FAN 4</t>
        </is>
      </c>
      <c r="AO44" s="46" t="n"/>
      <c r="AP44" s="46" t="n"/>
      <c r="AQ44" s="46" t="n"/>
      <c r="AR44" s="46" t="n"/>
      <c r="AS44" s="46" t="n"/>
      <c r="AT44" s="46" t="n"/>
      <c r="AU44" s="46" t="n"/>
      <c r="AV44" s="46" t="n"/>
      <c r="AW44" s="46" t="n"/>
      <c r="AX44" s="47" t="n"/>
      <c r="AZ44" s="45" t="inlineStr">
        <is>
          <t>FAN 5</t>
        </is>
      </c>
      <c r="BA44" s="46" t="n"/>
      <c r="BB44" s="46" t="n"/>
      <c r="BC44" s="46" t="n"/>
      <c r="BD44" s="46" t="n"/>
      <c r="BE44" s="46" t="n"/>
      <c r="BF44" s="46" t="n"/>
      <c r="BG44" s="46" t="n"/>
      <c r="BH44" s="46" t="n"/>
      <c r="BI44" s="46" t="n"/>
      <c r="BJ44" s="47" t="n"/>
      <c r="BK44" s="17" t="n"/>
    </row>
    <row r="45" ht="12" customHeight="1">
      <c r="C45" s="18" t="n"/>
      <c r="D45" s="83" t="inlineStr">
        <is>
          <t>◎</t>
        </is>
      </c>
      <c r="N45" s="84" t="n"/>
      <c r="P45" s="83" t="inlineStr">
        <is>
          <t>◎</t>
        </is>
      </c>
      <c r="Z45" s="84" t="n"/>
      <c r="AB45" s="83" t="inlineStr">
        <is>
          <t>◎</t>
        </is>
      </c>
      <c r="AL45" s="84" t="n"/>
      <c r="AN45" s="83" t="inlineStr">
        <is>
          <t>◎</t>
        </is>
      </c>
      <c r="AX45" s="84" t="n"/>
      <c r="AZ45" s="83" t="inlineStr">
        <is>
          <t>◎</t>
        </is>
      </c>
      <c r="BJ45" s="84" t="n"/>
      <c r="BK45" s="17" t="n"/>
    </row>
    <row r="46" ht="12" customHeight="1">
      <c r="C46" s="18" t="n"/>
      <c r="D46" s="151" t="n"/>
      <c r="N46" s="84" t="n"/>
      <c r="P46" s="151" t="n"/>
      <c r="Z46" s="84" t="n"/>
      <c r="AB46" s="151" t="n"/>
      <c r="AL46" s="84" t="n"/>
      <c r="AN46" s="151" t="n"/>
      <c r="AX46" s="84" t="n"/>
      <c r="AZ46" s="151" t="n"/>
      <c r="BJ46" s="84" t="n"/>
      <c r="BK46" s="17" t="n"/>
    </row>
    <row r="47" ht="12" customHeight="1">
      <c r="C47" s="18" t="n"/>
      <c r="D47" s="86" t="n"/>
      <c r="E47" s="87" t="n"/>
      <c r="F47" s="87" t="n"/>
      <c r="G47" s="87" t="n"/>
      <c r="H47" s="87" t="n"/>
      <c r="I47" s="87" t="n"/>
      <c r="J47" s="87" t="n"/>
      <c r="K47" s="87" t="n"/>
      <c r="L47" s="87" t="n"/>
      <c r="M47" s="87" t="n"/>
      <c r="N47" s="88" t="n"/>
      <c r="P47" s="86" t="n"/>
      <c r="Q47" s="87" t="n"/>
      <c r="R47" s="87" t="n"/>
      <c r="S47" s="87" t="n"/>
      <c r="T47" s="87" t="n"/>
      <c r="U47" s="87" t="n"/>
      <c r="V47" s="87" t="n"/>
      <c r="W47" s="87" t="n"/>
      <c r="X47" s="87" t="n"/>
      <c r="Y47" s="87" t="n"/>
      <c r="Z47" s="88" t="n"/>
      <c r="AB47" s="86" t="n"/>
      <c r="AC47" s="87" t="n"/>
      <c r="AD47" s="87" t="n"/>
      <c r="AE47" s="87" t="n"/>
      <c r="AF47" s="87" t="n"/>
      <c r="AG47" s="87" t="n"/>
      <c r="AH47" s="87" t="n"/>
      <c r="AI47" s="87" t="n"/>
      <c r="AJ47" s="87" t="n"/>
      <c r="AK47" s="87" t="n"/>
      <c r="AL47" s="88" t="n"/>
      <c r="AN47" s="86" t="n"/>
      <c r="AO47" s="87" t="n"/>
      <c r="AP47" s="87" t="n"/>
      <c r="AQ47" s="87" t="n"/>
      <c r="AR47" s="87" t="n"/>
      <c r="AS47" s="87" t="n"/>
      <c r="AT47" s="87" t="n"/>
      <c r="AU47" s="87" t="n"/>
      <c r="AV47" s="87" t="n"/>
      <c r="AW47" s="87" t="n"/>
      <c r="AX47" s="88" t="n"/>
      <c r="AZ47" s="86" t="n"/>
      <c r="BA47" s="87" t="n"/>
      <c r="BB47" s="87" t="n"/>
      <c r="BC47" s="87" t="n"/>
      <c r="BD47" s="87" t="n"/>
      <c r="BE47" s="87" t="n"/>
      <c r="BF47" s="87" t="n"/>
      <c r="BG47" s="87" t="n"/>
      <c r="BH47" s="87" t="n"/>
      <c r="BI47" s="87" t="n"/>
      <c r="BJ47" s="88" t="n"/>
      <c r="BK47" s="17" t="n"/>
    </row>
    <row r="48" ht="12" customHeight="1">
      <c r="C48" s="18" t="n"/>
      <c r="BK48" s="17" t="n"/>
    </row>
    <row r="49" ht="12" customHeight="1">
      <c r="C49" s="18" t="n"/>
      <c r="D49" s="45" t="inlineStr">
        <is>
          <t>BAY 1 · VC FlexFabric-20/40 F8</t>
        </is>
      </c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7" t="n"/>
      <c r="AH49" s="45" t="inlineStr">
        <is>
          <t>BAY 2 · VC FlexFabric-20/40 F8</t>
        </is>
      </c>
      <c r="AI49" s="46" t="n"/>
      <c r="AJ49" s="46" t="n"/>
      <c r="AK49" s="46" t="n"/>
      <c r="AL49" s="46" t="n"/>
      <c r="AM49" s="46" t="n"/>
      <c r="AN49" s="46" t="n"/>
      <c r="AO49" s="46" t="n"/>
      <c r="AP49" s="46" t="n"/>
      <c r="AQ49" s="46" t="n"/>
      <c r="AR49" s="46" t="n"/>
      <c r="AS49" s="46" t="n"/>
      <c r="AT49" s="46" t="n"/>
      <c r="AU49" s="46" t="n"/>
      <c r="AV49" s="46" t="n"/>
      <c r="AW49" s="46" t="n"/>
      <c r="AX49" s="46" t="n"/>
      <c r="AY49" s="46" t="n"/>
      <c r="AZ49" s="46" t="n"/>
      <c r="BA49" s="46" t="n"/>
      <c r="BB49" s="46" t="n"/>
      <c r="BC49" s="46" t="n"/>
      <c r="BD49" s="46" t="n"/>
      <c r="BE49" s="46" t="n"/>
      <c r="BF49" s="46" t="n"/>
      <c r="BG49" s="46" t="n"/>
      <c r="BH49" s="46" t="n"/>
      <c r="BI49" s="46" t="n"/>
      <c r="BJ49" s="47" t="n"/>
      <c r="BK49" s="17" t="n"/>
    </row>
    <row r="50" ht="12" customHeight="1">
      <c r="C50" s="18" t="n"/>
      <c r="D50" s="48" t="n"/>
      <c r="E50" s="93" t="n">
        <v>101</v>
      </c>
      <c r="F50" s="40" t="n"/>
      <c r="G50" s="49" t="n"/>
      <c r="H50" s="93" t="n">
        <v>102</v>
      </c>
      <c r="I50" s="40" t="n"/>
      <c r="J50" s="49" t="n"/>
      <c r="K50" s="92" t="n">
        <v>103</v>
      </c>
      <c r="L50" s="40" t="n"/>
      <c r="M50" s="49" t="n"/>
      <c r="N50" s="92" t="n">
        <v>104</v>
      </c>
      <c r="O50" s="40" t="n"/>
      <c r="P50" s="49" t="n"/>
      <c r="Q50" s="41" t="n"/>
      <c r="R50" s="40" t="n"/>
      <c r="S50" s="49" t="n"/>
      <c r="T50" s="41" t="n"/>
      <c r="U50" s="40" t="n"/>
      <c r="V50" s="49" t="n"/>
      <c r="W50" s="152" t="n">
        <v>107</v>
      </c>
      <c r="X50" s="40" t="n"/>
      <c r="Y50" s="49" t="n"/>
      <c r="Z50" s="152" t="n">
        <v>108</v>
      </c>
      <c r="AA50" s="40" t="n"/>
      <c r="AB50" s="49" t="n"/>
      <c r="AC50" s="49" t="n"/>
      <c r="AD50" s="49" t="n"/>
      <c r="AE50" s="49" t="n"/>
      <c r="AF50" s="50" t="n"/>
      <c r="AH50" s="48" t="n"/>
      <c r="AI50" s="93" t="n">
        <v>201</v>
      </c>
      <c r="AJ50" s="40" t="n"/>
      <c r="AK50" s="49" t="n"/>
      <c r="AL50" s="93" t="n">
        <v>202</v>
      </c>
      <c r="AM50" s="40" t="n"/>
      <c r="AN50" s="49" t="n"/>
      <c r="AO50" s="92" t="n">
        <v>203</v>
      </c>
      <c r="AP50" s="40" t="n"/>
      <c r="AQ50" s="49" t="n"/>
      <c r="AR50" s="92" t="n">
        <v>204</v>
      </c>
      <c r="AS50" s="40" t="n"/>
      <c r="AT50" s="49" t="n"/>
      <c r="AU50" s="41" t="n"/>
      <c r="AV50" s="40" t="n"/>
      <c r="AW50" s="49" t="n"/>
      <c r="AX50" s="41" t="n"/>
      <c r="AY50" s="40" t="n"/>
      <c r="AZ50" s="49" t="n"/>
      <c r="BA50" s="152" t="n">
        <v>207</v>
      </c>
      <c r="BB50" s="40" t="n"/>
      <c r="BC50" s="49" t="n"/>
      <c r="BD50" s="152" t="n">
        <v>208</v>
      </c>
      <c r="BE50" s="40" t="n"/>
      <c r="BF50" s="49" t="n"/>
      <c r="BG50" s="49" t="n"/>
      <c r="BH50" s="49" t="n"/>
      <c r="BI50" s="49" t="n"/>
      <c r="BJ50" s="50" t="n"/>
      <c r="BK50" s="17" t="n"/>
    </row>
    <row r="51" ht="12" customHeight="1">
      <c r="C51" s="18" t="n"/>
      <c r="D51" s="51" t="n"/>
      <c r="E51" s="89" t="inlineStr">
        <is>
          <t>X1</t>
        </is>
      </c>
      <c r="F51" s="87" t="n"/>
      <c r="G51" s="52" t="n"/>
      <c r="H51" s="89" t="inlineStr">
        <is>
          <t>X2</t>
        </is>
      </c>
      <c r="I51" s="87" t="n"/>
      <c r="J51" s="52" t="n"/>
      <c r="K51" s="89" t="inlineStr">
        <is>
          <t>X3</t>
        </is>
      </c>
      <c r="L51" s="87" t="n"/>
      <c r="M51" s="52" t="n"/>
      <c r="N51" s="89" t="inlineStr">
        <is>
          <t>X4</t>
        </is>
      </c>
      <c r="O51" s="87" t="n"/>
      <c r="P51" s="52" t="n"/>
      <c r="Q51" s="89" t="inlineStr">
        <is>
          <t>X5</t>
        </is>
      </c>
      <c r="R51" s="87" t="n"/>
      <c r="S51" s="52" t="n"/>
      <c r="T51" s="89" t="inlineStr">
        <is>
          <t>X6</t>
        </is>
      </c>
      <c r="U51" s="87" t="n"/>
      <c r="V51" s="52" t="n"/>
      <c r="W51" s="89" t="inlineStr">
        <is>
          <t>X7</t>
        </is>
      </c>
      <c r="X51" s="87" t="n"/>
      <c r="Y51" s="52" t="n"/>
      <c r="Z51" s="89" t="inlineStr">
        <is>
          <t>X8</t>
        </is>
      </c>
      <c r="AA51" s="87" t="n"/>
      <c r="AB51" s="52" t="n"/>
      <c r="AC51" s="52" t="n"/>
      <c r="AD51" s="52" t="n"/>
      <c r="AE51" s="52" t="n"/>
      <c r="AF51" s="53" t="n"/>
      <c r="AH51" s="51" t="n"/>
      <c r="AI51" s="89" t="inlineStr">
        <is>
          <t>X1</t>
        </is>
      </c>
      <c r="AJ51" s="87" t="n"/>
      <c r="AK51" s="52" t="n"/>
      <c r="AL51" s="89" t="inlineStr">
        <is>
          <t>X2</t>
        </is>
      </c>
      <c r="AM51" s="87" t="n"/>
      <c r="AN51" s="52" t="n"/>
      <c r="AO51" s="89" t="inlineStr">
        <is>
          <t>X3</t>
        </is>
      </c>
      <c r="AP51" s="87" t="n"/>
      <c r="AQ51" s="52" t="n"/>
      <c r="AR51" s="89" t="inlineStr">
        <is>
          <t>X4</t>
        </is>
      </c>
      <c r="AS51" s="87" t="n"/>
      <c r="AT51" s="52" t="n"/>
      <c r="AU51" s="89" t="inlineStr">
        <is>
          <t>X5</t>
        </is>
      </c>
      <c r="AV51" s="87" t="n"/>
      <c r="AW51" s="52" t="n"/>
      <c r="AX51" s="89" t="inlineStr">
        <is>
          <t>X6</t>
        </is>
      </c>
      <c r="AY51" s="87" t="n"/>
      <c r="AZ51" s="52" t="n"/>
      <c r="BA51" s="89" t="inlineStr">
        <is>
          <t>X7</t>
        </is>
      </c>
      <c r="BB51" s="87" t="n"/>
      <c r="BC51" s="52" t="n"/>
      <c r="BD51" s="89" t="inlineStr">
        <is>
          <t>X8</t>
        </is>
      </c>
      <c r="BE51" s="87" t="n"/>
      <c r="BF51" s="52" t="n"/>
      <c r="BG51" s="52" t="n"/>
      <c r="BH51" s="52" t="n"/>
      <c r="BI51" s="52" t="n"/>
      <c r="BJ51" s="53" t="n"/>
      <c r="BK51" s="17" t="n"/>
    </row>
    <row r="52" ht="12" customHeight="1">
      <c r="C52" s="18" t="n"/>
      <c r="D52" s="118" t="inlineStr">
        <is>
          <t>BAY 3  빈 베이</t>
        </is>
      </c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 t="n"/>
      <c r="P52" s="119" t="n"/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20" t="n"/>
      <c r="AH52" s="118" t="inlineStr">
        <is>
          <t>BAY 4  빈 베이</t>
        </is>
      </c>
      <c r="AI52" s="119" t="n"/>
      <c r="AJ52" s="119" t="n"/>
      <c r="AK52" s="119" t="n"/>
      <c r="AL52" s="119" t="n"/>
      <c r="AM52" s="119" t="n"/>
      <c r="AN52" s="119" t="n"/>
      <c r="AO52" s="119" t="n"/>
      <c r="AP52" s="119" t="n"/>
      <c r="AQ52" s="119" t="n"/>
      <c r="AR52" s="119" t="n"/>
      <c r="AS52" s="119" t="n"/>
      <c r="AT52" s="119" t="n"/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 s="119" t="n"/>
      <c r="BH52" s="119" t="n"/>
      <c r="BI52" s="119" t="n"/>
      <c r="BJ52" s="120" t="n"/>
      <c r="BK52" s="17" t="n"/>
    </row>
    <row r="53" ht="12" customHeight="1">
      <c r="C53" s="18" t="n"/>
      <c r="D53" s="145" t="n"/>
      <c r="AF53" s="146" t="n"/>
      <c r="AH53" s="145" t="n"/>
      <c r="BJ53" s="146" t="n"/>
      <c r="BK53" s="17" t="n"/>
    </row>
    <row r="54" ht="12" customHeight="1">
      <c r="C54" s="18" t="n"/>
      <c r="D54" s="123" t="n"/>
      <c r="E54" s="124" t="n"/>
      <c r="F54" s="124" t="n"/>
      <c r="G54" s="124" t="n"/>
      <c r="H54" s="124" t="n"/>
      <c r="I54" s="124" t="n"/>
      <c r="J54" s="124" t="n"/>
      <c r="K54" s="124" t="n"/>
      <c r="L54" s="124" t="n"/>
      <c r="M54" s="124" t="n"/>
      <c r="N54" s="124" t="n"/>
      <c r="O54" s="124" t="n"/>
      <c r="P54" s="124" t="n"/>
      <c r="Q54" s="124" t="n"/>
      <c r="R54" s="124" t="n"/>
      <c r="S54" s="124" t="n"/>
      <c r="T54" s="124" t="n"/>
      <c r="U54" s="124" t="n"/>
      <c r="V54" s="124" t="n"/>
      <c r="W54" s="124" t="n"/>
      <c r="X54" s="124" t="n"/>
      <c r="Y54" s="124" t="n"/>
      <c r="Z54" s="124" t="n"/>
      <c r="AA54" s="124" t="n"/>
      <c r="AB54" s="124" t="n"/>
      <c r="AC54" s="124" t="n"/>
      <c r="AD54" s="124" t="n"/>
      <c r="AE54" s="124" t="n"/>
      <c r="AF54" s="125" t="n"/>
      <c r="AH54" s="123" t="n"/>
      <c r="AI54" s="124" t="n"/>
      <c r="AJ54" s="124" t="n"/>
      <c r="AK54" s="124" t="n"/>
      <c r="AL54" s="124" t="n"/>
      <c r="AM54" s="124" t="n"/>
      <c r="AN54" s="124" t="n"/>
      <c r="AO54" s="124" t="n"/>
      <c r="AP54" s="124" t="n"/>
      <c r="AQ54" s="124" t="n"/>
      <c r="AR54" s="124" t="n"/>
      <c r="AS54" s="124" t="n"/>
      <c r="AT54" s="124" t="n"/>
      <c r="AU54" s="124" t="n"/>
      <c r="AV54" s="124" t="n"/>
      <c r="AW54" s="124" t="n"/>
      <c r="AX54" s="124" t="n"/>
      <c r="AY54" s="124" t="n"/>
      <c r="AZ54" s="124" t="n"/>
      <c r="BA54" s="124" t="n"/>
      <c r="BB54" s="124" t="n"/>
      <c r="BC54" s="124" t="n"/>
      <c r="BD54" s="124" t="n"/>
      <c r="BE54" s="124" t="n"/>
      <c r="BF54" s="124" t="n"/>
      <c r="BG54" s="124" t="n"/>
      <c r="BH54" s="124" t="n"/>
      <c r="BI54" s="124" t="n"/>
      <c r="BJ54" s="125" t="n"/>
      <c r="BK54" s="17" t="n"/>
    </row>
    <row r="55" ht="12" customHeight="1">
      <c r="C55" s="18" t="n"/>
      <c r="D55" s="118" t="inlineStr">
        <is>
          <t>BAY 5  빈 베이</t>
        </is>
      </c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 t="n"/>
      <c r="P55" s="119" t="n"/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20" t="n"/>
      <c r="AH55" s="118" t="inlineStr">
        <is>
          <t>BAY 6  빈 베이</t>
        </is>
      </c>
      <c r="AI55" s="119" t="n"/>
      <c r="AJ55" s="119" t="n"/>
      <c r="AK55" s="119" t="n"/>
      <c r="AL55" s="119" t="n"/>
      <c r="AM55" s="119" t="n"/>
      <c r="AN55" s="119" t="n"/>
      <c r="AO55" s="119" t="n"/>
      <c r="AP55" s="119" t="n"/>
      <c r="AQ55" s="119" t="n"/>
      <c r="AR55" s="119" t="n"/>
      <c r="AS55" s="119" t="n"/>
      <c r="AT55" s="119" t="n"/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 s="119" t="n"/>
      <c r="BH55" s="119" t="n"/>
      <c r="BI55" s="119" t="n"/>
      <c r="BJ55" s="120" t="n"/>
      <c r="BK55" s="17" t="n"/>
    </row>
    <row r="56" ht="12" customHeight="1">
      <c r="C56" s="18" t="n"/>
      <c r="D56" s="145" t="n"/>
      <c r="AF56" s="146" t="n"/>
      <c r="AH56" s="145" t="n"/>
      <c r="BJ56" s="146" t="n"/>
      <c r="BK56" s="17" t="n"/>
    </row>
    <row r="57" ht="12" customHeight="1">
      <c r="C57" s="18" t="n"/>
      <c r="D57" s="123" t="n"/>
      <c r="E57" s="124" t="n"/>
      <c r="F57" s="124" t="n"/>
      <c r="G57" s="124" t="n"/>
      <c r="H57" s="124" t="n"/>
      <c r="I57" s="124" t="n"/>
      <c r="J57" s="124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4" t="n"/>
      <c r="U57" s="124" t="n"/>
      <c r="V57" s="124" t="n"/>
      <c r="W57" s="124" t="n"/>
      <c r="X57" s="124" t="n"/>
      <c r="Y57" s="124" t="n"/>
      <c r="Z57" s="124" t="n"/>
      <c r="AA57" s="124" t="n"/>
      <c r="AB57" s="124" t="n"/>
      <c r="AC57" s="124" t="n"/>
      <c r="AD57" s="124" t="n"/>
      <c r="AE57" s="124" t="n"/>
      <c r="AF57" s="125" t="n"/>
      <c r="AH57" s="123" t="n"/>
      <c r="AI57" s="124" t="n"/>
      <c r="AJ57" s="124" t="n"/>
      <c r="AK57" s="124" t="n"/>
      <c r="AL57" s="124" t="n"/>
      <c r="AM57" s="124" t="n"/>
      <c r="AN57" s="124" t="n"/>
      <c r="AO57" s="124" t="n"/>
      <c r="AP57" s="124" t="n"/>
      <c r="AQ57" s="124" t="n"/>
      <c r="AR57" s="124" t="n"/>
      <c r="AS57" s="124" t="n"/>
      <c r="AT57" s="124" t="n"/>
      <c r="AU57" s="124" t="n"/>
      <c r="AV57" s="124" t="n"/>
      <c r="AW57" s="124" t="n"/>
      <c r="AX57" s="124" t="n"/>
      <c r="AY57" s="124" t="n"/>
      <c r="AZ57" s="124" t="n"/>
      <c r="BA57" s="124" t="n"/>
      <c r="BB57" s="124" t="n"/>
      <c r="BC57" s="124" t="n"/>
      <c r="BD57" s="124" t="n"/>
      <c r="BE57" s="124" t="n"/>
      <c r="BF57" s="124" t="n"/>
      <c r="BG57" s="124" t="n"/>
      <c r="BH57" s="124" t="n"/>
      <c r="BI57" s="124" t="n"/>
      <c r="BJ57" s="125" t="n"/>
      <c r="BK57" s="17" t="n"/>
    </row>
    <row r="58" ht="12" customHeight="1">
      <c r="C58" s="18" t="n"/>
      <c r="D58" s="118" t="inlineStr">
        <is>
          <t>BAY 7  빈 베이</t>
        </is>
      </c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 t="n"/>
      <c r="P58" s="119" t="n"/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20" t="n"/>
      <c r="AH58" s="118" t="inlineStr">
        <is>
          <t>BAY 8  빈 베이</t>
        </is>
      </c>
      <c r="AI58" s="119" t="n"/>
      <c r="AJ58" s="119" t="n"/>
      <c r="AK58" s="119" t="n"/>
      <c r="AL58" s="119" t="n"/>
      <c r="AM58" s="119" t="n"/>
      <c r="AN58" s="119" t="n"/>
      <c r="AO58" s="119" t="n"/>
      <c r="AP58" s="119" t="n"/>
      <c r="AQ58" s="119" t="n"/>
      <c r="AR58" s="119" t="n"/>
      <c r="AS58" s="119" t="n"/>
      <c r="AT58" s="119" t="n"/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 s="119" t="n"/>
      <c r="BH58" s="119" t="n"/>
      <c r="BI58" s="119" t="n"/>
      <c r="BJ58" s="120" t="n"/>
      <c r="BK58" s="17" t="n"/>
    </row>
    <row r="59" ht="12" customHeight="1">
      <c r="C59" s="18" t="n"/>
      <c r="D59" s="145" t="n"/>
      <c r="AF59" s="146" t="n"/>
      <c r="AH59" s="145" t="n"/>
      <c r="BJ59" s="146" t="n"/>
      <c r="BK59" s="17" t="n"/>
    </row>
    <row r="60" ht="12" customHeight="1">
      <c r="C60" s="18" t="n"/>
      <c r="D60" s="123" t="n"/>
      <c r="E60" s="124" t="n"/>
      <c r="F60" s="124" t="n"/>
      <c r="G60" s="124" t="n"/>
      <c r="H60" s="124" t="n"/>
      <c r="I60" s="124" t="n"/>
      <c r="J60" s="124" t="n"/>
      <c r="K60" s="124" t="n"/>
      <c r="L60" s="124" t="n"/>
      <c r="M60" s="124" t="n"/>
      <c r="N60" s="124" t="n"/>
      <c r="O60" s="124" t="n"/>
      <c r="P60" s="124" t="n"/>
      <c r="Q60" s="124" t="n"/>
      <c r="R60" s="124" t="n"/>
      <c r="S60" s="124" t="n"/>
      <c r="T60" s="124" t="n"/>
      <c r="U60" s="124" t="n"/>
      <c r="V60" s="124" t="n"/>
      <c r="W60" s="124" t="n"/>
      <c r="X60" s="124" t="n"/>
      <c r="Y60" s="124" t="n"/>
      <c r="Z60" s="124" t="n"/>
      <c r="AA60" s="124" t="n"/>
      <c r="AB60" s="124" t="n"/>
      <c r="AC60" s="124" t="n"/>
      <c r="AD60" s="124" t="n"/>
      <c r="AE60" s="124" t="n"/>
      <c r="AF60" s="125" t="n"/>
      <c r="AH60" s="123" t="n"/>
      <c r="AI60" s="124" t="n"/>
      <c r="AJ60" s="124" t="n"/>
      <c r="AK60" s="124" t="n"/>
      <c r="AL60" s="124" t="n"/>
      <c r="AM60" s="124" t="n"/>
      <c r="AN60" s="124" t="n"/>
      <c r="AO60" s="124" t="n"/>
      <c r="AP60" s="124" t="n"/>
      <c r="AQ60" s="124" t="n"/>
      <c r="AR60" s="124" t="n"/>
      <c r="AS60" s="124" t="n"/>
      <c r="AT60" s="124" t="n"/>
      <c r="AU60" s="124" t="n"/>
      <c r="AV60" s="124" t="n"/>
      <c r="AW60" s="124" t="n"/>
      <c r="AX60" s="124" t="n"/>
      <c r="AY60" s="124" t="n"/>
      <c r="AZ60" s="124" t="n"/>
      <c r="BA60" s="124" t="n"/>
      <c r="BB60" s="124" t="n"/>
      <c r="BC60" s="124" t="n"/>
      <c r="BD60" s="124" t="n"/>
      <c r="BE60" s="124" t="n"/>
      <c r="BF60" s="124" t="n"/>
      <c r="BG60" s="124" t="n"/>
      <c r="BH60" s="124" t="n"/>
      <c r="BI60" s="124" t="n"/>
      <c r="BJ60" s="125" t="n"/>
      <c r="BK60" s="17" t="n"/>
    </row>
    <row r="61" ht="12" customHeight="1">
      <c r="C61" s="18" t="n"/>
      <c r="BK61" s="17" t="n"/>
    </row>
    <row r="62" ht="12" customHeight="1">
      <c r="C62" s="18" t="n"/>
      <c r="D62" s="45" t="inlineStr">
        <is>
          <t>OA 1</t>
        </is>
      </c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7" t="n"/>
      <c r="AH62" s="45" t="inlineStr">
        <is>
          <t>OA 2</t>
        </is>
      </c>
      <c r="AI62" s="46" t="n"/>
      <c r="AJ62" s="46" t="n"/>
      <c r="AK62" s="46" t="n"/>
      <c r="AL62" s="46" t="n"/>
      <c r="AM62" s="46" t="n"/>
      <c r="AN62" s="46" t="n"/>
      <c r="AO62" s="46" t="n"/>
      <c r="AP62" s="46" t="n"/>
      <c r="AQ62" s="46" t="n"/>
      <c r="AR62" s="46" t="n"/>
      <c r="AS62" s="46" t="n"/>
      <c r="AT62" s="46" t="n"/>
      <c r="AU62" s="46" t="n"/>
      <c r="AV62" s="46" t="n"/>
      <c r="AW62" s="46" t="n"/>
      <c r="AX62" s="46" t="n"/>
      <c r="AY62" s="46" t="n"/>
      <c r="AZ62" s="46" t="n"/>
      <c r="BA62" s="46" t="n"/>
      <c r="BB62" s="46" t="n"/>
      <c r="BC62" s="46" t="n"/>
      <c r="BD62" s="46" t="n"/>
      <c r="BE62" s="46" t="n"/>
      <c r="BF62" s="46" t="n"/>
      <c r="BG62" s="46" t="n"/>
      <c r="BH62" s="46" t="n"/>
      <c r="BI62" s="46" t="n"/>
      <c r="BJ62" s="47" t="n"/>
      <c r="BK62" s="17" t="n"/>
    </row>
    <row r="63" ht="12" customHeight="1">
      <c r="C63" s="18" t="n"/>
      <c r="D63" s="48" t="n"/>
      <c r="E63" s="71" t="n">
        <v>901</v>
      </c>
      <c r="F63" s="40" t="n"/>
      <c r="G63" s="49" t="n"/>
      <c r="H63" s="49" t="n"/>
      <c r="I63" s="132" t="inlineStr">
        <is>
          <t>USB</t>
        </is>
      </c>
      <c r="J63" s="40" t="n"/>
      <c r="K63" s="49" t="n"/>
      <c r="L63" s="49" t="n"/>
      <c r="M63" s="132" t="inlineStr">
        <is>
          <t>CON</t>
        </is>
      </c>
      <c r="N63" s="133" t="n"/>
      <c r="O63" s="40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  <c r="AA63" s="49" t="n"/>
      <c r="AB63" s="49" t="n"/>
      <c r="AC63" s="49" t="n"/>
      <c r="AD63" s="49" t="n"/>
      <c r="AE63" s="49" t="n"/>
      <c r="AF63" s="50" t="n"/>
      <c r="AH63" s="48" t="n"/>
      <c r="AI63" s="71" t="n">
        <v>902</v>
      </c>
      <c r="AJ63" s="40" t="n"/>
      <c r="AK63" s="49" t="n"/>
      <c r="AL63" s="49" t="n"/>
      <c r="AM63" s="132" t="inlineStr">
        <is>
          <t>USB</t>
        </is>
      </c>
      <c r="AN63" s="40" t="n"/>
      <c r="AO63" s="49" t="n"/>
      <c r="AP63" s="49" t="n"/>
      <c r="AQ63" s="132" t="inlineStr">
        <is>
          <t>CON</t>
        </is>
      </c>
      <c r="AR63" s="133" t="n"/>
      <c r="AS63" s="40" t="n"/>
      <c r="AT63" s="49" t="n"/>
      <c r="AU63" s="49" t="n"/>
      <c r="AV63" s="49" t="n"/>
      <c r="AW63" s="49" t="n"/>
      <c r="AX63" s="49" t="n"/>
      <c r="AY63" s="49" t="n"/>
      <c r="AZ63" s="49" t="n"/>
      <c r="BA63" s="49" t="n"/>
      <c r="BB63" s="49" t="n"/>
      <c r="BC63" s="49" t="n"/>
      <c r="BD63" s="49" t="n"/>
      <c r="BE63" s="49" t="n"/>
      <c r="BF63" s="49" t="n"/>
      <c r="BG63" s="49" t="n"/>
      <c r="BH63" s="49" t="n"/>
      <c r="BI63" s="49" t="n"/>
      <c r="BJ63" s="50" t="n"/>
      <c r="BK63" s="17" t="n"/>
    </row>
    <row r="64" ht="12" customHeight="1">
      <c r="C64" s="18" t="n"/>
      <c r="D64" s="51" t="n"/>
      <c r="E64" s="89" t="inlineStr">
        <is>
          <t>MGMT</t>
        </is>
      </c>
      <c r="F64" s="87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3" t="n"/>
      <c r="AH64" s="51" t="n"/>
      <c r="AI64" s="89" t="inlineStr">
        <is>
          <t>MGMT</t>
        </is>
      </c>
      <c r="AJ64" s="87" t="n"/>
      <c r="AK64" s="52" t="n"/>
      <c r="AL64" s="52" t="n"/>
      <c r="AM64" s="52" t="n"/>
      <c r="AN64" s="52" t="n"/>
      <c r="AO64" s="52" t="n"/>
      <c r="AP64" s="52" t="n"/>
      <c r="AQ64" s="52" t="n"/>
      <c r="AR64" s="52" t="n"/>
      <c r="AS64" s="52" t="n"/>
      <c r="AT64" s="52" t="n"/>
      <c r="AU64" s="52" t="n"/>
      <c r="AV64" s="52" t="n"/>
      <c r="AW64" s="52" t="n"/>
      <c r="AX64" s="52" t="n"/>
      <c r="AY64" s="52" t="n"/>
      <c r="AZ64" s="52" t="n"/>
      <c r="BA64" s="52" t="n"/>
      <c r="BB64" s="52" t="n"/>
      <c r="BC64" s="52" t="n"/>
      <c r="BD64" s="52" t="n"/>
      <c r="BE64" s="52" t="n"/>
      <c r="BF64" s="52" t="n"/>
      <c r="BG64" s="52" t="n"/>
      <c r="BH64" s="52" t="n"/>
      <c r="BI64" s="52" t="n"/>
      <c r="BJ64" s="53" t="n"/>
      <c r="BK64" s="17" t="n"/>
    </row>
    <row r="65" ht="12" customHeight="1">
      <c r="C65" s="18" t="n"/>
      <c r="BK65" s="17" t="n"/>
    </row>
    <row r="66" ht="12" customHeight="1">
      <c r="C66" s="18" t="n"/>
      <c r="D66" s="45" t="inlineStr">
        <is>
          <t>FAN 6</t>
        </is>
      </c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7" t="n"/>
      <c r="P66" s="45" t="inlineStr">
        <is>
          <t>FAN 7</t>
        </is>
      </c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7" t="n"/>
      <c r="AB66" s="45" t="inlineStr">
        <is>
          <t>FAN 8</t>
        </is>
      </c>
      <c r="AC66" s="46" t="n"/>
      <c r="AD66" s="46" t="n"/>
      <c r="AE66" s="46" t="n"/>
      <c r="AF66" s="46" t="n"/>
      <c r="AG66" s="46" t="n"/>
      <c r="AH66" s="46" t="n"/>
      <c r="AI66" s="46" t="n"/>
      <c r="AJ66" s="46" t="n"/>
      <c r="AK66" s="46" t="n"/>
      <c r="AL66" s="47" t="n"/>
      <c r="AN66" s="45" t="inlineStr">
        <is>
          <t>FAN 9</t>
        </is>
      </c>
      <c r="AO66" s="46" t="n"/>
      <c r="AP66" s="46" t="n"/>
      <c r="AQ66" s="46" t="n"/>
      <c r="AR66" s="46" t="n"/>
      <c r="AS66" s="46" t="n"/>
      <c r="AT66" s="46" t="n"/>
      <c r="AU66" s="46" t="n"/>
      <c r="AV66" s="46" t="n"/>
      <c r="AW66" s="46" t="n"/>
      <c r="AX66" s="47" t="n"/>
      <c r="AZ66" s="45" t="inlineStr">
        <is>
          <t>FAN 10</t>
        </is>
      </c>
      <c r="BA66" s="46" t="n"/>
      <c r="BB66" s="46" t="n"/>
      <c r="BC66" s="46" t="n"/>
      <c r="BD66" s="46" t="n"/>
      <c r="BE66" s="46" t="n"/>
      <c r="BF66" s="46" t="n"/>
      <c r="BG66" s="46" t="n"/>
      <c r="BH66" s="46" t="n"/>
      <c r="BI66" s="46" t="n"/>
      <c r="BJ66" s="47" t="n"/>
      <c r="BK66" s="17" t="n"/>
    </row>
    <row r="67" ht="12" customHeight="1">
      <c r="C67" s="18" t="n"/>
      <c r="D67" s="83" t="inlineStr">
        <is>
          <t>◎</t>
        </is>
      </c>
      <c r="N67" s="84" t="n"/>
      <c r="P67" s="83" t="inlineStr">
        <is>
          <t>◎</t>
        </is>
      </c>
      <c r="Z67" s="84" t="n"/>
      <c r="AB67" s="83" t="inlineStr">
        <is>
          <t>◎</t>
        </is>
      </c>
      <c r="AL67" s="84" t="n"/>
      <c r="AN67" s="83" t="inlineStr">
        <is>
          <t>◎</t>
        </is>
      </c>
      <c r="AX67" s="84" t="n"/>
      <c r="AZ67" s="83" t="inlineStr">
        <is>
          <t>◎</t>
        </is>
      </c>
      <c r="BJ67" s="84" t="n"/>
      <c r="BK67" s="17" t="n"/>
    </row>
    <row r="68" ht="12" customHeight="1">
      <c r="C68" s="18" t="n"/>
      <c r="D68" s="151" t="n"/>
      <c r="N68" s="84" t="n"/>
      <c r="P68" s="151" t="n"/>
      <c r="Z68" s="84" t="n"/>
      <c r="AB68" s="151" t="n"/>
      <c r="AL68" s="84" t="n"/>
      <c r="AN68" s="151" t="n"/>
      <c r="AX68" s="84" t="n"/>
      <c r="AZ68" s="151" t="n"/>
      <c r="BJ68" s="84" t="n"/>
      <c r="BK68" s="17" t="n"/>
    </row>
    <row r="69" ht="12" customHeight="1">
      <c r="C69" s="18" t="n"/>
      <c r="D69" s="86" t="n"/>
      <c r="E69" s="87" t="n"/>
      <c r="F69" s="87" t="n"/>
      <c r="G69" s="87" t="n"/>
      <c r="H69" s="87" t="n"/>
      <c r="I69" s="87" t="n"/>
      <c r="J69" s="87" t="n"/>
      <c r="K69" s="87" t="n"/>
      <c r="L69" s="87" t="n"/>
      <c r="M69" s="87" t="n"/>
      <c r="N69" s="88" t="n"/>
      <c r="P69" s="86" t="n"/>
      <c r="Q69" s="87" t="n"/>
      <c r="R69" s="87" t="n"/>
      <c r="S69" s="87" t="n"/>
      <c r="T69" s="87" t="n"/>
      <c r="U69" s="87" t="n"/>
      <c r="V69" s="87" t="n"/>
      <c r="W69" s="87" t="n"/>
      <c r="X69" s="87" t="n"/>
      <c r="Y69" s="87" t="n"/>
      <c r="Z69" s="88" t="n"/>
      <c r="AB69" s="86" t="n"/>
      <c r="AC69" s="87" t="n"/>
      <c r="AD69" s="87" t="n"/>
      <c r="AE69" s="87" t="n"/>
      <c r="AF69" s="87" t="n"/>
      <c r="AG69" s="87" t="n"/>
      <c r="AH69" s="87" t="n"/>
      <c r="AI69" s="87" t="n"/>
      <c r="AJ69" s="87" t="n"/>
      <c r="AK69" s="87" t="n"/>
      <c r="AL69" s="88" t="n"/>
      <c r="AN69" s="86" t="n"/>
      <c r="AO69" s="87" t="n"/>
      <c r="AP69" s="87" t="n"/>
      <c r="AQ69" s="87" t="n"/>
      <c r="AR69" s="87" t="n"/>
      <c r="AS69" s="87" t="n"/>
      <c r="AT69" s="87" t="n"/>
      <c r="AU69" s="87" t="n"/>
      <c r="AV69" s="87" t="n"/>
      <c r="AW69" s="87" t="n"/>
      <c r="AX69" s="88" t="n"/>
      <c r="AZ69" s="86" t="n"/>
      <c r="BA69" s="87" t="n"/>
      <c r="BB69" s="87" t="n"/>
      <c r="BC69" s="87" t="n"/>
      <c r="BD69" s="87" t="n"/>
      <c r="BE69" s="87" t="n"/>
      <c r="BF69" s="87" t="n"/>
      <c r="BG69" s="87" t="n"/>
      <c r="BH69" s="87" t="n"/>
      <c r="BI69" s="87" t="n"/>
      <c r="BJ69" s="88" t="n"/>
      <c r="BK69" s="17" t="n"/>
    </row>
    <row r="70" ht="12" customHeight="1">
      <c r="C70" s="18" t="n"/>
      <c r="BK70" s="17" t="n"/>
    </row>
    <row r="71" ht="12" customHeight="1">
      <c r="C71" s="18" t="n"/>
      <c r="D71" s="45" t="inlineStr">
        <is>
          <t>AC 6</t>
        </is>
      </c>
      <c r="E71" s="46" t="n"/>
      <c r="F71" s="46" t="n"/>
      <c r="G71" s="46" t="n"/>
      <c r="H71" s="46" t="n"/>
      <c r="I71" s="46" t="n"/>
      <c r="J71" s="46" t="n"/>
      <c r="K71" s="46" t="n"/>
      <c r="L71" s="47" t="n"/>
      <c r="N71" s="45" t="inlineStr">
        <is>
          <t>AC 5</t>
        </is>
      </c>
      <c r="O71" s="46" t="n"/>
      <c r="P71" s="46" t="n"/>
      <c r="Q71" s="46" t="n"/>
      <c r="R71" s="46" t="n"/>
      <c r="S71" s="46" t="n"/>
      <c r="T71" s="46" t="n"/>
      <c r="U71" s="46" t="n"/>
      <c r="V71" s="47" t="n"/>
      <c r="X71" s="45" t="inlineStr">
        <is>
          <t>AC 4</t>
        </is>
      </c>
      <c r="Y71" s="46" t="n"/>
      <c r="Z71" s="46" t="n"/>
      <c r="AA71" s="46" t="n"/>
      <c r="AB71" s="46" t="n"/>
      <c r="AC71" s="46" t="n"/>
      <c r="AD71" s="46" t="n"/>
      <c r="AE71" s="46" t="n"/>
      <c r="AF71" s="47" t="n"/>
      <c r="AH71" s="45" t="inlineStr">
        <is>
          <t>AC 3</t>
        </is>
      </c>
      <c r="AI71" s="46" t="n"/>
      <c r="AJ71" s="46" t="n"/>
      <c r="AK71" s="46" t="n"/>
      <c r="AL71" s="46" t="n"/>
      <c r="AM71" s="46" t="n"/>
      <c r="AN71" s="46" t="n"/>
      <c r="AO71" s="46" t="n"/>
      <c r="AP71" s="47" t="n"/>
      <c r="AR71" s="45" t="inlineStr">
        <is>
          <t>AC 2</t>
        </is>
      </c>
      <c r="AS71" s="46" t="n"/>
      <c r="AT71" s="46" t="n"/>
      <c r="AU71" s="46" t="n"/>
      <c r="AV71" s="46" t="n"/>
      <c r="AW71" s="46" t="n"/>
      <c r="AX71" s="46" t="n"/>
      <c r="AY71" s="46" t="n"/>
      <c r="AZ71" s="47" t="n"/>
      <c r="BB71" s="45" t="inlineStr">
        <is>
          <t>AC 1</t>
        </is>
      </c>
      <c r="BC71" s="46" t="n"/>
      <c r="BD71" s="46" t="n"/>
      <c r="BE71" s="46" t="n"/>
      <c r="BF71" s="46" t="n"/>
      <c r="BG71" s="46" t="n"/>
      <c r="BH71" s="46" t="n"/>
      <c r="BI71" s="46" t="n"/>
      <c r="BJ71" s="47" t="n"/>
      <c r="BK71" s="17" t="n"/>
    </row>
    <row r="72" ht="12" customHeight="1">
      <c r="C72" s="18" t="n"/>
      <c r="D72" s="48" t="n"/>
      <c r="E72" s="49" t="n"/>
      <c r="F72" s="49" t="n"/>
      <c r="G72" s="85" t="n">
        <v>6</v>
      </c>
      <c r="H72" s="133" t="n"/>
      <c r="I72" s="40" t="n"/>
      <c r="J72" s="49" t="n"/>
      <c r="K72" s="49" t="n"/>
      <c r="L72" s="50" t="n"/>
      <c r="N72" s="48" t="n"/>
      <c r="O72" s="49" t="n"/>
      <c r="P72" s="49" t="n"/>
      <c r="Q72" s="85" t="n">
        <v>5</v>
      </c>
      <c r="R72" s="133" t="n"/>
      <c r="S72" s="40" t="n"/>
      <c r="T72" s="49" t="n"/>
      <c r="U72" s="49" t="n"/>
      <c r="V72" s="50" t="n"/>
      <c r="X72" s="48" t="n"/>
      <c r="Y72" s="49" t="n"/>
      <c r="Z72" s="49" t="n"/>
      <c r="AA72" s="85" t="n">
        <v>4</v>
      </c>
      <c r="AB72" s="133" t="n"/>
      <c r="AC72" s="40" t="n"/>
      <c r="AD72" s="49" t="n"/>
      <c r="AE72" s="49" t="n"/>
      <c r="AF72" s="50" t="n"/>
      <c r="AH72" s="48" t="n"/>
      <c r="AI72" s="49" t="n"/>
      <c r="AJ72" s="49" t="n"/>
      <c r="AK72" s="85" t="n">
        <v>3</v>
      </c>
      <c r="AL72" s="133" t="n"/>
      <c r="AM72" s="40" t="n"/>
      <c r="AN72" s="49" t="n"/>
      <c r="AO72" s="49" t="n"/>
      <c r="AP72" s="50" t="n"/>
      <c r="AR72" s="48" t="n"/>
      <c r="AS72" s="49" t="n"/>
      <c r="AT72" s="49" t="n"/>
      <c r="AU72" s="85" t="n">
        <v>2</v>
      </c>
      <c r="AV72" s="133" t="n"/>
      <c r="AW72" s="40" t="n"/>
      <c r="AX72" s="49" t="n"/>
      <c r="AY72" s="49" t="n"/>
      <c r="AZ72" s="50" t="n"/>
      <c r="BB72" s="48" t="n"/>
      <c r="BC72" s="49" t="n"/>
      <c r="BD72" s="49" t="n"/>
      <c r="BE72" s="85" t="n">
        <v>1</v>
      </c>
      <c r="BF72" s="133" t="n"/>
      <c r="BG72" s="40" t="n"/>
      <c r="BH72" s="49" t="n"/>
      <c r="BI72" s="49" t="n"/>
      <c r="BJ72" s="50" t="n"/>
      <c r="BK72" s="17" t="n"/>
    </row>
    <row r="73" ht="12" customHeight="1">
      <c r="C73" s="18" t="n"/>
      <c r="D73" s="51" t="n"/>
      <c r="E73" s="52" t="n"/>
      <c r="F73" s="52" t="n"/>
      <c r="G73" s="89" t="inlineStr">
        <is>
          <t>C20</t>
        </is>
      </c>
      <c r="H73" s="87" t="n"/>
      <c r="I73" s="87" t="n"/>
      <c r="J73" s="52" t="n"/>
      <c r="K73" s="52" t="n"/>
      <c r="L73" s="53" t="n"/>
      <c r="N73" s="51" t="n"/>
      <c r="O73" s="52" t="n"/>
      <c r="P73" s="52" t="n"/>
      <c r="Q73" s="89" t="inlineStr">
        <is>
          <t>C20</t>
        </is>
      </c>
      <c r="R73" s="87" t="n"/>
      <c r="S73" s="87" t="n"/>
      <c r="T73" s="52" t="n"/>
      <c r="U73" s="52" t="n"/>
      <c r="V73" s="53" t="n"/>
      <c r="X73" s="51" t="n"/>
      <c r="Y73" s="52" t="n"/>
      <c r="Z73" s="52" t="n"/>
      <c r="AA73" s="89" t="inlineStr">
        <is>
          <t>C20</t>
        </is>
      </c>
      <c r="AB73" s="87" t="n"/>
      <c r="AC73" s="87" t="n"/>
      <c r="AD73" s="52" t="n"/>
      <c r="AE73" s="52" t="n"/>
      <c r="AF73" s="53" t="n"/>
      <c r="AH73" s="51" t="n"/>
      <c r="AI73" s="52" t="n"/>
      <c r="AJ73" s="52" t="n"/>
      <c r="AK73" s="89" t="inlineStr">
        <is>
          <t>C20</t>
        </is>
      </c>
      <c r="AL73" s="87" t="n"/>
      <c r="AM73" s="87" t="n"/>
      <c r="AN73" s="52" t="n"/>
      <c r="AO73" s="52" t="n"/>
      <c r="AP73" s="53" t="n"/>
      <c r="AR73" s="51" t="n"/>
      <c r="AS73" s="52" t="n"/>
      <c r="AT73" s="52" t="n"/>
      <c r="AU73" s="89" t="inlineStr">
        <is>
          <t>C20</t>
        </is>
      </c>
      <c r="AV73" s="87" t="n"/>
      <c r="AW73" s="87" t="n"/>
      <c r="AX73" s="52" t="n"/>
      <c r="AY73" s="52" t="n"/>
      <c r="AZ73" s="53" t="n"/>
      <c r="BB73" s="51" t="n"/>
      <c r="BC73" s="52" t="n"/>
      <c r="BD73" s="52" t="n"/>
      <c r="BE73" s="89" t="inlineStr">
        <is>
          <t>C20</t>
        </is>
      </c>
      <c r="BF73" s="87" t="n"/>
      <c r="BG73" s="87" t="n"/>
      <c r="BH73" s="52" t="n"/>
      <c r="BI73" s="52" t="n"/>
      <c r="BJ73" s="53" t="n"/>
      <c r="BK73" s="17" t="n"/>
    </row>
    <row r="74" ht="12" customHeight="1">
      <c r="C74" s="18" t="n"/>
      <c r="BK74" s="17" t="n"/>
    </row>
    <row r="75" ht="12" customHeight="1">
      <c r="C75" s="18" t="n"/>
      <c r="D75" s="63" t="inlineStr">
        <is>
          <t>※ 섀시 뒤에서 보면 AC 입력 번호가 오른쪽→왼쪽 순서</t>
        </is>
      </c>
      <c r="BK75" s="17" t="n"/>
    </row>
    <row r="76" ht="12" customHeight="1">
      <c r="C76" s="18" t="n"/>
      <c r="BK76" s="17" t="n"/>
    </row>
    <row r="77" ht="12" customHeight="1">
      <c r="C77" s="18" t="n"/>
      <c r="BK77" s="17" t="n"/>
    </row>
    <row r="78" ht="12" customHeight="1">
      <c r="C78" s="18" t="n"/>
      <c r="BK78" s="17" t="n"/>
    </row>
    <row r="79" ht="12" customHeight="1">
      <c r="C79" s="18" t="n"/>
      <c r="BK79" s="17" t="n"/>
    </row>
    <row r="80" ht="12" customHeight="1">
      <c r="C80" s="42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  <c r="AA80" s="43" t="n"/>
      <c r="AB80" s="43" t="n"/>
      <c r="AC80" s="43" t="n"/>
      <c r="AD80" s="43" t="n"/>
      <c r="AE80" s="43" t="n"/>
      <c r="AF80" s="43" t="n"/>
      <c r="AG80" s="43" t="n"/>
      <c r="AH80" s="43" t="n"/>
      <c r="AI80" s="43" t="n"/>
      <c r="AJ80" s="43" t="n"/>
      <c r="AK80" s="43" t="n"/>
      <c r="AL80" s="43" t="n"/>
      <c r="AM80" s="43" t="n"/>
      <c r="AN80" s="43" t="n"/>
      <c r="AO80" s="43" t="n"/>
      <c r="AP80" s="43" t="n"/>
      <c r="AQ80" s="43" t="n"/>
      <c r="AR80" s="43" t="n"/>
      <c r="AS80" s="43" t="n"/>
      <c r="AT80" s="43" t="n"/>
      <c r="AU80" s="43" t="n"/>
      <c r="AV80" s="43" t="n"/>
      <c r="AW80" s="43" t="n"/>
      <c r="AX80" s="43" t="n"/>
      <c r="AY80" s="43" t="n"/>
      <c r="AZ80" s="43" t="n"/>
      <c r="BA80" s="43" t="n"/>
      <c r="BB80" s="43" t="n"/>
      <c r="BC80" s="43" t="n"/>
      <c r="BD80" s="43" t="n"/>
      <c r="BE80" s="43" t="n"/>
      <c r="BF80" s="43" t="n"/>
      <c r="BG80" s="43" t="n"/>
      <c r="BH80" s="43" t="n"/>
      <c r="BI80" s="43" t="n"/>
      <c r="BJ80" s="43" t="n"/>
      <c r="BK80" s="44" t="n"/>
    </row>
    <row r="81" ht="12" customHeight="1"/>
    <row r="82" ht="12" customHeight="1">
      <c r="C82" s="8" t="inlineStr">
        <is>
          <t>도면 번호 = 베이×100 + 포트 (예: 베이 2의 X3 = 203) · OA = 901/902 · 전원 입력 = 1–6</t>
        </is>
      </c>
    </row>
    <row r="83" ht="12" customHeight="1">
      <c r="B83" s="7" t="inlineStr">
        <is>
          <t>연결 정보</t>
        </is>
      </c>
      <c r="H83" s="54" t="n"/>
      <c r="I83" s="28" t="inlineStr">
        <is>
          <t>서비스</t>
        </is>
      </c>
      <c r="L83" s="55" t="n"/>
      <c r="M83" s="28" t="inlineStr">
        <is>
          <t>관리</t>
        </is>
      </c>
      <c r="O83" s="56" t="n"/>
      <c r="P83" s="28" t="inlineStr">
        <is>
          <t>백업</t>
        </is>
      </c>
      <c r="R83" s="57" t="n"/>
      <c r="S83" s="28" t="inlineStr">
        <is>
          <t>스토리지</t>
        </is>
      </c>
      <c r="V83" s="58" t="n"/>
      <c r="W83" s="28" t="inlineStr">
        <is>
          <t>인터커넥트</t>
        </is>
      </c>
      <c r="AA83" s="59" t="n"/>
      <c r="AB83" s="28" t="inlineStr">
        <is>
          <t>콘솔</t>
        </is>
      </c>
      <c r="AD83" s="60" t="n"/>
      <c r="AE83" s="28" t="inlineStr">
        <is>
          <t>전원</t>
        </is>
      </c>
      <c r="AG83" s="61" t="n"/>
      <c r="AH83" s="28" t="inlineStr">
        <is>
          <t>미연결</t>
        </is>
      </c>
      <c r="AL83" s="62" t="n">
        <v>7</v>
      </c>
      <c r="AM83" s="28" t="inlineStr">
        <is>
          <t>도면 번호</t>
        </is>
      </c>
      <c r="AQ83" s="63" t="inlineStr">
        <is>
          <t>LOM1</t>
        </is>
      </c>
      <c r="AS83" s="28" t="inlineStr">
        <is>
          <t>포트명(장비 표기)</t>
        </is>
      </c>
      <c r="AY83" s="64" t="inlineStr">
        <is>
          <t>A-0001</t>
        </is>
      </c>
      <c r="AZ83" s="21" t="n"/>
      <c r="BA83" s="21" t="n"/>
      <c r="BB83" s="21" t="n"/>
      <c r="BC83" s="28" t="inlineStr">
        <is>
          <t>케이블 라벨</t>
        </is>
      </c>
    </row>
    <row r="84" ht="15" customHeight="1">
      <c r="B84" s="11" t="inlineStr">
        <is>
          <t>번호</t>
        </is>
      </c>
      <c r="C84" s="12" t="n"/>
      <c r="D84" s="13" t="inlineStr">
        <is>
          <t>포트명</t>
        </is>
      </c>
      <c r="E84" s="12" t="n"/>
      <c r="F84" s="12" t="n"/>
      <c r="G84" s="12" t="n"/>
      <c r="H84" s="12" t="n"/>
      <c r="I84" s="13" t="inlineStr">
        <is>
          <t>용도</t>
        </is>
      </c>
      <c r="J84" s="12" t="n"/>
      <c r="K84" s="12" t="n"/>
      <c r="L84" s="12" t="n"/>
      <c r="M84" s="13" t="inlineStr">
        <is>
          <t>상대 장비</t>
        </is>
      </c>
      <c r="N84" s="12" t="n"/>
      <c r="O84" s="12" t="n"/>
      <c r="P84" s="12" t="n"/>
      <c r="Q84" s="12" t="n"/>
      <c r="R84" s="12" t="n"/>
      <c r="S84" s="12" t="n"/>
      <c r="T84" s="13" t="inlineStr">
        <is>
          <t>상대 포트</t>
        </is>
      </c>
      <c r="U84" s="12" t="n"/>
      <c r="V84" s="12" t="n"/>
      <c r="W84" s="12" t="n"/>
      <c r="X84" s="12" t="n"/>
      <c r="Y84" s="13" t="inlineStr">
        <is>
          <t>케이블 라벨</t>
        </is>
      </c>
      <c r="Z84" s="12" t="n"/>
      <c r="AA84" s="12" t="n"/>
      <c r="AB84" s="12" t="n"/>
      <c r="AC84" s="12" t="n"/>
      <c r="AD84" s="12" t="n"/>
      <c r="AE84" s="12" t="n"/>
      <c r="AH84" s="11" t="inlineStr">
        <is>
          <t>번호</t>
        </is>
      </c>
      <c r="AI84" s="12" t="n"/>
      <c r="AJ84" s="13" t="inlineStr">
        <is>
          <t>포트명</t>
        </is>
      </c>
      <c r="AK84" s="12" t="n"/>
      <c r="AL84" s="12" t="n"/>
      <c r="AM84" s="12" t="n"/>
      <c r="AN84" s="12" t="n"/>
      <c r="AO84" s="13" t="inlineStr">
        <is>
          <t>용도</t>
        </is>
      </c>
      <c r="AP84" s="12" t="n"/>
      <c r="AQ84" s="12" t="n"/>
      <c r="AR84" s="12" t="n"/>
      <c r="AS84" s="13" t="inlineStr">
        <is>
          <t>상대 장비</t>
        </is>
      </c>
      <c r="AT84" s="12" t="n"/>
      <c r="AU84" s="12" t="n"/>
      <c r="AV84" s="12" t="n"/>
      <c r="AW84" s="12" t="n"/>
      <c r="AX84" s="12" t="n"/>
      <c r="AY84" s="12" t="n"/>
      <c r="AZ84" s="13" t="inlineStr">
        <is>
          <t>상대 포트</t>
        </is>
      </c>
      <c r="BA84" s="12" t="n"/>
      <c r="BB84" s="12" t="n"/>
      <c r="BC84" s="12" t="n"/>
      <c r="BD84" s="12" t="n"/>
      <c r="BE84" s="13" t="inlineStr">
        <is>
          <t>케이블 라벨</t>
        </is>
      </c>
      <c r="BF84" s="12" t="n"/>
      <c r="BG84" s="12" t="n"/>
      <c r="BH84" s="12" t="n"/>
      <c r="BI84" s="12" t="n"/>
      <c r="BJ84" s="12" t="n"/>
      <c r="BK84" s="12" t="n"/>
    </row>
    <row r="85" ht="13.5" customHeight="1">
      <c r="B85" s="65" t="n">
        <v>1</v>
      </c>
      <c r="C85" s="21" t="n"/>
      <c r="D85" s="67" t="inlineStr">
        <is>
          <t>AC1</t>
        </is>
      </c>
      <c r="E85" s="21" t="n"/>
      <c r="F85" s="21" t="n"/>
      <c r="G85" s="21" t="n"/>
      <c r="H85" s="21" t="n"/>
      <c r="I85" s="67" t="inlineStr">
        <is>
          <t>전원</t>
        </is>
      </c>
      <c r="J85" s="21" t="n"/>
      <c r="K85" s="21" t="n"/>
      <c r="L85" s="21" t="n"/>
      <c r="M85" s="67" t="inlineStr">
        <is>
          <t>PDU-A</t>
        </is>
      </c>
      <c r="N85" s="21" t="n"/>
      <c r="O85" s="21" t="n"/>
      <c r="P85" s="21" t="n"/>
      <c r="Q85" s="21" t="n"/>
      <c r="R85" s="21" t="n"/>
      <c r="S85" s="21" t="n"/>
      <c r="T85" s="67" t="inlineStr">
        <is>
          <t>C19-25</t>
        </is>
      </c>
      <c r="U85" s="21" t="n"/>
      <c r="V85" s="21" t="n"/>
      <c r="W85" s="21" t="n"/>
      <c r="X85" s="21" t="n"/>
      <c r="Y85" s="68" t="inlineStr">
        <is>
          <t>R02-P019</t>
        </is>
      </c>
      <c r="Z85" s="21" t="n"/>
      <c r="AA85" s="21" t="n"/>
      <c r="AB85" s="21" t="n"/>
      <c r="AC85" s="21" t="n"/>
      <c r="AD85" s="21" t="n"/>
      <c r="AE85" s="21" t="n"/>
      <c r="AH85" s="65" t="n">
        <v>901</v>
      </c>
      <c r="AI85" s="21" t="n"/>
      <c r="AJ85" s="67" t="inlineStr">
        <is>
          <t>OA1</t>
        </is>
      </c>
      <c r="AK85" s="21" t="n"/>
      <c r="AL85" s="21" t="n"/>
      <c r="AM85" s="21" t="n"/>
      <c r="AN85" s="21" t="n"/>
      <c r="AO85" s="67" t="inlineStr">
        <is>
          <t>관리</t>
        </is>
      </c>
      <c r="AP85" s="21" t="n"/>
      <c r="AQ85" s="21" t="n"/>
      <c r="AR85" s="21" t="n"/>
      <c r="AS85" s="67" t="inlineStr">
        <is>
          <t>MGMT-SW</t>
        </is>
      </c>
      <c r="AT85" s="21" t="n"/>
      <c r="AU85" s="21" t="n"/>
      <c r="AV85" s="21" t="n"/>
      <c r="AW85" s="21" t="n"/>
      <c r="AX85" s="21" t="n"/>
      <c r="AY85" s="21" t="n"/>
      <c r="AZ85" s="67" t="inlineStr">
        <is>
          <t>Gi1/0/4</t>
        </is>
      </c>
      <c r="BA85" s="21" t="n"/>
      <c r="BB85" s="21" t="n"/>
      <c r="BC85" s="21" t="n"/>
      <c r="BD85" s="21" t="n"/>
      <c r="BE85" s="68" t="inlineStr">
        <is>
          <t>R02-D004</t>
        </is>
      </c>
      <c r="BF85" s="21" t="n"/>
      <c r="BG85" s="21" t="n"/>
      <c r="BH85" s="21" t="n"/>
      <c r="BI85" s="21" t="n"/>
      <c r="BJ85" s="21" t="n"/>
      <c r="BK85" s="21" t="n"/>
    </row>
    <row r="86" ht="13.5" customHeight="1">
      <c r="B86" s="65" t="n">
        <v>2</v>
      </c>
      <c r="C86" s="21" t="n"/>
      <c r="D86" s="67" t="inlineStr">
        <is>
          <t>AC2</t>
        </is>
      </c>
      <c r="E86" s="21" t="n"/>
      <c r="F86" s="21" t="n"/>
      <c r="G86" s="21" t="n"/>
      <c r="H86" s="21" t="n"/>
      <c r="I86" s="67" t="inlineStr">
        <is>
          <t>전원</t>
        </is>
      </c>
      <c r="J86" s="21" t="n"/>
      <c r="K86" s="21" t="n"/>
      <c r="L86" s="21" t="n"/>
      <c r="M86" s="67" t="inlineStr">
        <is>
          <t>PDU-A</t>
        </is>
      </c>
      <c r="N86" s="21" t="n"/>
      <c r="O86" s="21" t="n"/>
      <c r="P86" s="21" t="n"/>
      <c r="Q86" s="21" t="n"/>
      <c r="R86" s="21" t="n"/>
      <c r="S86" s="21" t="n"/>
      <c r="T86" s="67" t="inlineStr">
        <is>
          <t>C19-26</t>
        </is>
      </c>
      <c r="U86" s="21" t="n"/>
      <c r="V86" s="21" t="n"/>
      <c r="W86" s="21" t="n"/>
      <c r="X86" s="21" t="n"/>
      <c r="Y86" s="68" t="inlineStr">
        <is>
          <t>R02-P020</t>
        </is>
      </c>
      <c r="Z86" s="21" t="n"/>
      <c r="AA86" s="21" t="n"/>
      <c r="AB86" s="21" t="n"/>
      <c r="AC86" s="21" t="n"/>
      <c r="AD86" s="21" t="n"/>
      <c r="AE86" s="21" t="n"/>
      <c r="AH86" s="65" t="n">
        <v>902</v>
      </c>
      <c r="AI86" s="21" t="n"/>
      <c r="AJ86" s="67" t="inlineStr">
        <is>
          <t>OA2</t>
        </is>
      </c>
      <c r="AK86" s="21" t="n"/>
      <c r="AL86" s="21" t="n"/>
      <c r="AM86" s="21" t="n"/>
      <c r="AN86" s="21" t="n"/>
      <c r="AO86" s="67" t="inlineStr">
        <is>
          <t>관리</t>
        </is>
      </c>
      <c r="AP86" s="21" t="n"/>
      <c r="AQ86" s="21" t="n"/>
      <c r="AR86" s="21" t="n"/>
      <c r="AS86" s="67" t="inlineStr">
        <is>
          <t>MGMT-SW</t>
        </is>
      </c>
      <c r="AT86" s="21" t="n"/>
      <c r="AU86" s="21" t="n"/>
      <c r="AV86" s="21" t="n"/>
      <c r="AW86" s="21" t="n"/>
      <c r="AX86" s="21" t="n"/>
      <c r="AY86" s="21" t="n"/>
      <c r="AZ86" s="67" t="inlineStr">
        <is>
          <t>Gi1/0/5</t>
        </is>
      </c>
      <c r="BA86" s="21" t="n"/>
      <c r="BB86" s="21" t="n"/>
      <c r="BC86" s="21" t="n"/>
      <c r="BD86" s="21" t="n"/>
      <c r="BE86" s="68" t="inlineStr">
        <is>
          <t>R02-D005</t>
        </is>
      </c>
      <c r="BF86" s="21" t="n"/>
      <c r="BG86" s="21" t="n"/>
      <c r="BH86" s="21" t="n"/>
      <c r="BI86" s="21" t="n"/>
      <c r="BJ86" s="21" t="n"/>
      <c r="BK86" s="21" t="n"/>
    </row>
    <row r="87" ht="13.5" customHeight="1">
      <c r="B87" s="65" t="n">
        <v>3</v>
      </c>
      <c r="C87" s="21" t="n"/>
      <c r="D87" s="67" t="inlineStr">
        <is>
          <t>AC3</t>
        </is>
      </c>
      <c r="E87" s="21" t="n"/>
      <c r="F87" s="21" t="n"/>
      <c r="G87" s="21" t="n"/>
      <c r="H87" s="21" t="n"/>
      <c r="I87" s="67" t="inlineStr">
        <is>
          <t>전원</t>
        </is>
      </c>
      <c r="J87" s="21" t="n"/>
      <c r="K87" s="21" t="n"/>
      <c r="L87" s="21" t="n"/>
      <c r="M87" s="67" t="inlineStr">
        <is>
          <t>PDU-A</t>
        </is>
      </c>
      <c r="N87" s="21" t="n"/>
      <c r="O87" s="21" t="n"/>
      <c r="P87" s="21" t="n"/>
      <c r="Q87" s="21" t="n"/>
      <c r="R87" s="21" t="n"/>
      <c r="S87" s="21" t="n"/>
      <c r="T87" s="67" t="inlineStr">
        <is>
          <t>C19-27</t>
        </is>
      </c>
      <c r="U87" s="21" t="n"/>
      <c r="V87" s="21" t="n"/>
      <c r="W87" s="21" t="n"/>
      <c r="X87" s="21" t="n"/>
      <c r="Y87" s="68" t="inlineStr">
        <is>
          <t>R02-P021</t>
        </is>
      </c>
      <c r="Z87" s="21" t="n"/>
      <c r="AA87" s="21" t="n"/>
      <c r="AB87" s="21" t="n"/>
      <c r="AC87" s="21" t="n"/>
      <c r="AD87" s="21" t="n"/>
      <c r="AE87" s="21" t="n"/>
      <c r="AH87" s="65" t="n"/>
      <c r="AI87" s="21" t="n"/>
      <c r="AJ87" s="67" t="n"/>
      <c r="AK87" s="21" t="n"/>
      <c r="AL87" s="21" t="n"/>
      <c r="AM87" s="21" t="n"/>
      <c r="AN87" s="21" t="n"/>
      <c r="AO87" s="67" t="n"/>
      <c r="AP87" s="21" t="n"/>
      <c r="AQ87" s="21" t="n"/>
      <c r="AR87" s="21" t="n"/>
      <c r="AS87" s="67" t="n"/>
      <c r="AT87" s="21" t="n"/>
      <c r="AU87" s="21" t="n"/>
      <c r="AV87" s="21" t="n"/>
      <c r="AW87" s="21" t="n"/>
      <c r="AX87" s="21" t="n"/>
      <c r="AY87" s="21" t="n"/>
      <c r="AZ87" s="67" t="n"/>
      <c r="BA87" s="21" t="n"/>
      <c r="BB87" s="21" t="n"/>
      <c r="BC87" s="21" t="n"/>
      <c r="BD87" s="21" t="n"/>
      <c r="BE87" s="68" t="n"/>
      <c r="BF87" s="21" t="n"/>
      <c r="BG87" s="21" t="n"/>
      <c r="BH87" s="21" t="n"/>
      <c r="BI87" s="21" t="n"/>
      <c r="BJ87" s="21" t="n"/>
      <c r="BK87" s="21" t="n"/>
    </row>
    <row r="88" ht="13.5" customHeight="1">
      <c r="B88" s="65" t="n">
        <v>4</v>
      </c>
      <c r="C88" s="21" t="n"/>
      <c r="D88" s="67" t="inlineStr">
        <is>
          <t>AC4</t>
        </is>
      </c>
      <c r="E88" s="21" t="n"/>
      <c r="F88" s="21" t="n"/>
      <c r="G88" s="21" t="n"/>
      <c r="H88" s="21" t="n"/>
      <c r="I88" s="67" t="inlineStr">
        <is>
          <t>전원</t>
        </is>
      </c>
      <c r="J88" s="21" t="n"/>
      <c r="K88" s="21" t="n"/>
      <c r="L88" s="21" t="n"/>
      <c r="M88" s="67" t="inlineStr">
        <is>
          <t>PDU-B</t>
        </is>
      </c>
      <c r="N88" s="21" t="n"/>
      <c r="O88" s="21" t="n"/>
      <c r="P88" s="21" t="n"/>
      <c r="Q88" s="21" t="n"/>
      <c r="R88" s="21" t="n"/>
      <c r="S88" s="21" t="n"/>
      <c r="T88" s="67" t="inlineStr">
        <is>
          <t>C19-25</t>
        </is>
      </c>
      <c r="U88" s="21" t="n"/>
      <c r="V88" s="21" t="n"/>
      <c r="W88" s="21" t="n"/>
      <c r="X88" s="21" t="n"/>
      <c r="Y88" s="68" t="inlineStr">
        <is>
          <t>R02-P022</t>
        </is>
      </c>
      <c r="Z88" s="21" t="n"/>
      <c r="AA88" s="21" t="n"/>
      <c r="AB88" s="21" t="n"/>
      <c r="AC88" s="21" t="n"/>
      <c r="AD88" s="21" t="n"/>
      <c r="AE88" s="21" t="n"/>
      <c r="AH88" s="65" t="n"/>
      <c r="AI88" s="21" t="n"/>
      <c r="AJ88" s="67" t="n"/>
      <c r="AK88" s="21" t="n"/>
      <c r="AL88" s="21" t="n"/>
      <c r="AM88" s="21" t="n"/>
      <c r="AN88" s="21" t="n"/>
      <c r="AO88" s="67" t="n"/>
      <c r="AP88" s="21" t="n"/>
      <c r="AQ88" s="21" t="n"/>
      <c r="AR88" s="21" t="n"/>
      <c r="AS88" s="67" t="n"/>
      <c r="AT88" s="21" t="n"/>
      <c r="AU88" s="21" t="n"/>
      <c r="AV88" s="21" t="n"/>
      <c r="AW88" s="21" t="n"/>
      <c r="AX88" s="21" t="n"/>
      <c r="AY88" s="21" t="n"/>
      <c r="AZ88" s="67" t="n"/>
      <c r="BA88" s="21" t="n"/>
      <c r="BB88" s="21" t="n"/>
      <c r="BC88" s="21" t="n"/>
      <c r="BD88" s="21" t="n"/>
      <c r="BE88" s="68" t="n"/>
      <c r="BF88" s="21" t="n"/>
      <c r="BG88" s="21" t="n"/>
      <c r="BH88" s="21" t="n"/>
      <c r="BI88" s="21" t="n"/>
      <c r="BJ88" s="21" t="n"/>
      <c r="BK88" s="21" t="n"/>
    </row>
    <row r="89" ht="13.5" customHeight="1">
      <c r="B89" s="65" t="n">
        <v>5</v>
      </c>
      <c r="C89" s="21" t="n"/>
      <c r="D89" s="67" t="inlineStr">
        <is>
          <t>AC5</t>
        </is>
      </c>
      <c r="E89" s="21" t="n"/>
      <c r="F89" s="21" t="n"/>
      <c r="G89" s="21" t="n"/>
      <c r="H89" s="21" t="n"/>
      <c r="I89" s="67" t="inlineStr">
        <is>
          <t>전원</t>
        </is>
      </c>
      <c r="J89" s="21" t="n"/>
      <c r="K89" s="21" t="n"/>
      <c r="L89" s="21" t="n"/>
      <c r="M89" s="67" t="inlineStr">
        <is>
          <t>PDU-B</t>
        </is>
      </c>
      <c r="N89" s="21" t="n"/>
      <c r="O89" s="21" t="n"/>
      <c r="P89" s="21" t="n"/>
      <c r="Q89" s="21" t="n"/>
      <c r="R89" s="21" t="n"/>
      <c r="S89" s="21" t="n"/>
      <c r="T89" s="67" t="inlineStr">
        <is>
          <t>C19-26</t>
        </is>
      </c>
      <c r="U89" s="21" t="n"/>
      <c r="V89" s="21" t="n"/>
      <c r="W89" s="21" t="n"/>
      <c r="X89" s="21" t="n"/>
      <c r="Y89" s="68" t="inlineStr">
        <is>
          <t>R02-P023</t>
        </is>
      </c>
      <c r="Z89" s="21" t="n"/>
      <c r="AA89" s="21" t="n"/>
      <c r="AB89" s="21" t="n"/>
      <c r="AC89" s="21" t="n"/>
      <c r="AD89" s="21" t="n"/>
      <c r="AE89" s="21" t="n"/>
      <c r="AH89" s="65" t="n"/>
      <c r="AI89" s="21" t="n"/>
      <c r="AJ89" s="67" t="n"/>
      <c r="AK89" s="21" t="n"/>
      <c r="AL89" s="21" t="n"/>
      <c r="AM89" s="21" t="n"/>
      <c r="AN89" s="21" t="n"/>
      <c r="AO89" s="67" t="n"/>
      <c r="AP89" s="21" t="n"/>
      <c r="AQ89" s="21" t="n"/>
      <c r="AR89" s="21" t="n"/>
      <c r="AS89" s="67" t="n"/>
      <c r="AT89" s="21" t="n"/>
      <c r="AU89" s="21" t="n"/>
      <c r="AV89" s="21" t="n"/>
      <c r="AW89" s="21" t="n"/>
      <c r="AX89" s="21" t="n"/>
      <c r="AY89" s="21" t="n"/>
      <c r="AZ89" s="67" t="n"/>
      <c r="BA89" s="21" t="n"/>
      <c r="BB89" s="21" t="n"/>
      <c r="BC89" s="21" t="n"/>
      <c r="BD89" s="21" t="n"/>
      <c r="BE89" s="68" t="n"/>
      <c r="BF89" s="21" t="n"/>
      <c r="BG89" s="21" t="n"/>
      <c r="BH89" s="21" t="n"/>
      <c r="BI89" s="21" t="n"/>
      <c r="BJ89" s="21" t="n"/>
      <c r="BK89" s="21" t="n"/>
    </row>
    <row r="90" ht="13.5" customHeight="1">
      <c r="B90" s="65" t="n">
        <v>6</v>
      </c>
      <c r="C90" s="21" t="n"/>
      <c r="D90" s="67" t="inlineStr">
        <is>
          <t>AC6</t>
        </is>
      </c>
      <c r="E90" s="21" t="n"/>
      <c r="F90" s="21" t="n"/>
      <c r="G90" s="21" t="n"/>
      <c r="H90" s="21" t="n"/>
      <c r="I90" s="67" t="inlineStr">
        <is>
          <t>전원</t>
        </is>
      </c>
      <c r="J90" s="21" t="n"/>
      <c r="K90" s="21" t="n"/>
      <c r="L90" s="21" t="n"/>
      <c r="M90" s="67" t="inlineStr">
        <is>
          <t>PDU-B</t>
        </is>
      </c>
      <c r="N90" s="21" t="n"/>
      <c r="O90" s="21" t="n"/>
      <c r="P90" s="21" t="n"/>
      <c r="Q90" s="21" t="n"/>
      <c r="R90" s="21" t="n"/>
      <c r="S90" s="21" t="n"/>
      <c r="T90" s="67" t="inlineStr">
        <is>
          <t>C19-27</t>
        </is>
      </c>
      <c r="U90" s="21" t="n"/>
      <c r="V90" s="21" t="n"/>
      <c r="W90" s="21" t="n"/>
      <c r="X90" s="21" t="n"/>
      <c r="Y90" s="68" t="inlineStr">
        <is>
          <t>R02-P024</t>
        </is>
      </c>
      <c r="Z90" s="21" t="n"/>
      <c r="AA90" s="21" t="n"/>
      <c r="AB90" s="21" t="n"/>
      <c r="AC90" s="21" t="n"/>
      <c r="AD90" s="21" t="n"/>
      <c r="AE90" s="21" t="n"/>
      <c r="AH90" s="65" t="n"/>
      <c r="AI90" s="21" t="n"/>
      <c r="AJ90" s="67" t="n"/>
      <c r="AK90" s="21" t="n"/>
      <c r="AL90" s="21" t="n"/>
      <c r="AM90" s="21" t="n"/>
      <c r="AN90" s="21" t="n"/>
      <c r="AO90" s="67" t="n"/>
      <c r="AP90" s="21" t="n"/>
      <c r="AQ90" s="21" t="n"/>
      <c r="AR90" s="21" t="n"/>
      <c r="AS90" s="67" t="n"/>
      <c r="AT90" s="21" t="n"/>
      <c r="AU90" s="21" t="n"/>
      <c r="AV90" s="21" t="n"/>
      <c r="AW90" s="21" t="n"/>
      <c r="AX90" s="21" t="n"/>
      <c r="AY90" s="21" t="n"/>
      <c r="AZ90" s="67" t="n"/>
      <c r="BA90" s="21" t="n"/>
      <c r="BB90" s="21" t="n"/>
      <c r="BC90" s="21" t="n"/>
      <c r="BD90" s="21" t="n"/>
      <c r="BE90" s="68" t="n"/>
      <c r="BF90" s="21" t="n"/>
      <c r="BG90" s="21" t="n"/>
      <c r="BH90" s="21" t="n"/>
      <c r="BI90" s="21" t="n"/>
      <c r="BJ90" s="21" t="n"/>
      <c r="BK90" s="21" t="n"/>
    </row>
    <row r="91" ht="13.5" customHeight="1">
      <c r="B91" s="65" t="n">
        <v>101</v>
      </c>
      <c r="C91" s="21" t="n"/>
      <c r="D91" s="67" t="inlineStr">
        <is>
          <t>B1-X1</t>
        </is>
      </c>
      <c r="E91" s="21" t="n"/>
      <c r="F91" s="21" t="n"/>
      <c r="G91" s="21" t="n"/>
      <c r="H91" s="21" t="n"/>
      <c r="I91" s="67" t="inlineStr">
        <is>
          <t>스토리지</t>
        </is>
      </c>
      <c r="J91" s="21" t="n"/>
      <c r="K91" s="21" t="n"/>
      <c r="L91" s="21" t="n"/>
      <c r="M91" s="67" t="inlineStr">
        <is>
          <t>SAN-A</t>
        </is>
      </c>
      <c r="N91" s="21" t="n"/>
      <c r="O91" s="21" t="n"/>
      <c r="P91" s="21" t="n"/>
      <c r="Q91" s="21" t="n"/>
      <c r="R91" s="21" t="n"/>
      <c r="S91" s="21" t="n"/>
      <c r="T91" s="67" t="inlineStr">
        <is>
          <t>P2</t>
        </is>
      </c>
      <c r="U91" s="21" t="n"/>
      <c r="V91" s="21" t="n"/>
      <c r="W91" s="21" t="n"/>
      <c r="X91" s="21" t="n"/>
      <c r="Y91" s="68" t="inlineStr">
        <is>
          <t>R02-D042</t>
        </is>
      </c>
      <c r="Z91" s="21" t="n"/>
      <c r="AA91" s="21" t="n"/>
      <c r="AB91" s="21" t="n"/>
      <c r="AC91" s="21" t="n"/>
      <c r="AD91" s="21" t="n"/>
      <c r="AE91" s="21" t="n"/>
      <c r="AH91" s="65" t="n"/>
      <c r="AI91" s="21" t="n"/>
      <c r="AJ91" s="67" t="n"/>
      <c r="AK91" s="21" t="n"/>
      <c r="AL91" s="21" t="n"/>
      <c r="AM91" s="21" t="n"/>
      <c r="AN91" s="21" t="n"/>
      <c r="AO91" s="67" t="n"/>
      <c r="AP91" s="21" t="n"/>
      <c r="AQ91" s="21" t="n"/>
      <c r="AR91" s="21" t="n"/>
      <c r="AS91" s="67" t="n"/>
      <c r="AT91" s="21" t="n"/>
      <c r="AU91" s="21" t="n"/>
      <c r="AV91" s="21" t="n"/>
      <c r="AW91" s="21" t="n"/>
      <c r="AX91" s="21" t="n"/>
      <c r="AY91" s="21" t="n"/>
      <c r="AZ91" s="67" t="n"/>
      <c r="BA91" s="21" t="n"/>
      <c r="BB91" s="21" t="n"/>
      <c r="BC91" s="21" t="n"/>
      <c r="BD91" s="21" t="n"/>
      <c r="BE91" s="68" t="n"/>
      <c r="BF91" s="21" t="n"/>
      <c r="BG91" s="21" t="n"/>
      <c r="BH91" s="21" t="n"/>
      <c r="BI91" s="21" t="n"/>
      <c r="BJ91" s="21" t="n"/>
      <c r="BK91" s="21" t="n"/>
    </row>
    <row r="92" ht="13.5" customHeight="1">
      <c r="B92" s="65" t="n">
        <v>102</v>
      </c>
      <c r="C92" s="21" t="n"/>
      <c r="D92" s="67" t="inlineStr">
        <is>
          <t>B1-X2</t>
        </is>
      </c>
      <c r="E92" s="21" t="n"/>
      <c r="F92" s="21" t="n"/>
      <c r="G92" s="21" t="n"/>
      <c r="H92" s="21" t="n"/>
      <c r="I92" s="67" t="inlineStr">
        <is>
          <t>스토리지</t>
        </is>
      </c>
      <c r="J92" s="21" t="n"/>
      <c r="K92" s="21" t="n"/>
      <c r="L92" s="21" t="n"/>
      <c r="M92" s="67" t="inlineStr">
        <is>
          <t>SAN-A</t>
        </is>
      </c>
      <c r="N92" s="21" t="n"/>
      <c r="O92" s="21" t="n"/>
      <c r="P92" s="21" t="n"/>
      <c r="Q92" s="21" t="n"/>
      <c r="R92" s="21" t="n"/>
      <c r="S92" s="21" t="n"/>
      <c r="T92" s="67" t="inlineStr">
        <is>
          <t>P3</t>
        </is>
      </c>
      <c r="U92" s="21" t="n"/>
      <c r="V92" s="21" t="n"/>
      <c r="W92" s="21" t="n"/>
      <c r="X92" s="21" t="n"/>
      <c r="Y92" s="68" t="inlineStr">
        <is>
          <t>R02-D043</t>
        </is>
      </c>
      <c r="Z92" s="21" t="n"/>
      <c r="AA92" s="21" t="n"/>
      <c r="AB92" s="21" t="n"/>
      <c r="AC92" s="21" t="n"/>
      <c r="AD92" s="21" t="n"/>
      <c r="AE92" s="21" t="n"/>
      <c r="AH92" s="65" t="n"/>
      <c r="AI92" s="21" t="n"/>
      <c r="AJ92" s="67" t="n"/>
      <c r="AK92" s="21" t="n"/>
      <c r="AL92" s="21" t="n"/>
      <c r="AM92" s="21" t="n"/>
      <c r="AN92" s="21" t="n"/>
      <c r="AO92" s="67" t="n"/>
      <c r="AP92" s="21" t="n"/>
      <c r="AQ92" s="21" t="n"/>
      <c r="AR92" s="21" t="n"/>
      <c r="AS92" s="67" t="n"/>
      <c r="AT92" s="21" t="n"/>
      <c r="AU92" s="21" t="n"/>
      <c r="AV92" s="21" t="n"/>
      <c r="AW92" s="21" t="n"/>
      <c r="AX92" s="21" t="n"/>
      <c r="AY92" s="21" t="n"/>
      <c r="AZ92" s="67" t="n"/>
      <c r="BA92" s="21" t="n"/>
      <c r="BB92" s="21" t="n"/>
      <c r="BC92" s="21" t="n"/>
      <c r="BD92" s="21" t="n"/>
      <c r="BE92" s="68" t="n"/>
      <c r="BF92" s="21" t="n"/>
      <c r="BG92" s="21" t="n"/>
      <c r="BH92" s="21" t="n"/>
      <c r="BI92" s="21" t="n"/>
      <c r="BJ92" s="21" t="n"/>
      <c r="BK92" s="21" t="n"/>
    </row>
    <row r="93" ht="13.5" customHeight="1">
      <c r="B93" s="65" t="n">
        <v>103</v>
      </c>
      <c r="C93" s="21" t="n"/>
      <c r="D93" s="67" t="inlineStr">
        <is>
          <t>B1-X3</t>
        </is>
      </c>
      <c r="E93" s="21" t="n"/>
      <c r="F93" s="21" t="n"/>
      <c r="G93" s="21" t="n"/>
      <c r="H93" s="21" t="n"/>
      <c r="I93" s="67" t="inlineStr">
        <is>
          <t>서비스</t>
        </is>
      </c>
      <c r="J93" s="21" t="n"/>
      <c r="K93" s="21" t="n"/>
      <c r="L93" s="21" t="n"/>
      <c r="M93" s="67" t="inlineStr">
        <is>
          <t>TOR-A</t>
        </is>
      </c>
      <c r="N93" s="21" t="n"/>
      <c r="O93" s="21" t="n"/>
      <c r="P93" s="21" t="n"/>
      <c r="Q93" s="21" t="n"/>
      <c r="R93" s="21" t="n"/>
      <c r="S93" s="21" t="n"/>
      <c r="T93" s="67" t="inlineStr">
        <is>
          <t>Eth1/1</t>
        </is>
      </c>
      <c r="U93" s="21" t="n"/>
      <c r="V93" s="21" t="n"/>
      <c r="W93" s="21" t="n"/>
      <c r="X93" s="21" t="n"/>
      <c r="Y93" s="68" t="inlineStr">
        <is>
          <t>R02-D023</t>
        </is>
      </c>
      <c r="Z93" s="21" t="n"/>
      <c r="AA93" s="21" t="n"/>
      <c r="AB93" s="21" t="n"/>
      <c r="AC93" s="21" t="n"/>
      <c r="AD93" s="21" t="n"/>
      <c r="AE93" s="21" t="n"/>
      <c r="AH93" s="65" t="n"/>
      <c r="AI93" s="21" t="n"/>
      <c r="AJ93" s="67" t="n"/>
      <c r="AK93" s="21" t="n"/>
      <c r="AL93" s="21" t="n"/>
      <c r="AM93" s="21" t="n"/>
      <c r="AN93" s="21" t="n"/>
      <c r="AO93" s="67" t="n"/>
      <c r="AP93" s="21" t="n"/>
      <c r="AQ93" s="21" t="n"/>
      <c r="AR93" s="21" t="n"/>
      <c r="AS93" s="67" t="n"/>
      <c r="AT93" s="21" t="n"/>
      <c r="AU93" s="21" t="n"/>
      <c r="AV93" s="21" t="n"/>
      <c r="AW93" s="21" t="n"/>
      <c r="AX93" s="21" t="n"/>
      <c r="AY93" s="21" t="n"/>
      <c r="AZ93" s="67" t="n"/>
      <c r="BA93" s="21" t="n"/>
      <c r="BB93" s="21" t="n"/>
      <c r="BC93" s="21" t="n"/>
      <c r="BD93" s="21" t="n"/>
      <c r="BE93" s="68" t="n"/>
      <c r="BF93" s="21" t="n"/>
      <c r="BG93" s="21" t="n"/>
      <c r="BH93" s="21" t="n"/>
      <c r="BI93" s="21" t="n"/>
      <c r="BJ93" s="21" t="n"/>
      <c r="BK93" s="21" t="n"/>
    </row>
    <row r="94" ht="13.5" customHeight="1">
      <c r="B94" s="65" t="n">
        <v>104</v>
      </c>
      <c r="C94" s="21" t="n"/>
      <c r="D94" s="67" t="inlineStr">
        <is>
          <t>B1-X4</t>
        </is>
      </c>
      <c r="E94" s="21" t="n"/>
      <c r="F94" s="21" t="n"/>
      <c r="G94" s="21" t="n"/>
      <c r="H94" s="21" t="n"/>
      <c r="I94" s="67" t="inlineStr">
        <is>
          <t>서비스</t>
        </is>
      </c>
      <c r="J94" s="21" t="n"/>
      <c r="K94" s="21" t="n"/>
      <c r="L94" s="21" t="n"/>
      <c r="M94" s="67" t="inlineStr">
        <is>
          <t>TOR-A</t>
        </is>
      </c>
      <c r="N94" s="21" t="n"/>
      <c r="O94" s="21" t="n"/>
      <c r="P94" s="21" t="n"/>
      <c r="Q94" s="21" t="n"/>
      <c r="R94" s="21" t="n"/>
      <c r="S94" s="21" t="n"/>
      <c r="T94" s="67" t="inlineStr">
        <is>
          <t>Eth1/2</t>
        </is>
      </c>
      <c r="U94" s="21" t="n"/>
      <c r="V94" s="21" t="n"/>
      <c r="W94" s="21" t="n"/>
      <c r="X94" s="21" t="n"/>
      <c r="Y94" s="68" t="inlineStr">
        <is>
          <t>R02-D024</t>
        </is>
      </c>
      <c r="Z94" s="21" t="n"/>
      <c r="AA94" s="21" t="n"/>
      <c r="AB94" s="21" t="n"/>
      <c r="AC94" s="21" t="n"/>
      <c r="AD94" s="21" t="n"/>
      <c r="AE94" s="21" t="n"/>
      <c r="AH94" s="65" t="n"/>
      <c r="AI94" s="21" t="n"/>
      <c r="AJ94" s="67" t="n"/>
      <c r="AK94" s="21" t="n"/>
      <c r="AL94" s="21" t="n"/>
      <c r="AM94" s="21" t="n"/>
      <c r="AN94" s="21" t="n"/>
      <c r="AO94" s="67" t="n"/>
      <c r="AP94" s="21" t="n"/>
      <c r="AQ94" s="21" t="n"/>
      <c r="AR94" s="21" t="n"/>
      <c r="AS94" s="67" t="n"/>
      <c r="AT94" s="21" t="n"/>
      <c r="AU94" s="21" t="n"/>
      <c r="AV94" s="21" t="n"/>
      <c r="AW94" s="21" t="n"/>
      <c r="AX94" s="21" t="n"/>
      <c r="AY94" s="21" t="n"/>
      <c r="AZ94" s="67" t="n"/>
      <c r="BA94" s="21" t="n"/>
      <c r="BB94" s="21" t="n"/>
      <c r="BC94" s="21" t="n"/>
      <c r="BD94" s="21" t="n"/>
      <c r="BE94" s="68" t="n"/>
      <c r="BF94" s="21" t="n"/>
      <c r="BG94" s="21" t="n"/>
      <c r="BH94" s="21" t="n"/>
      <c r="BI94" s="21" t="n"/>
      <c r="BJ94" s="21" t="n"/>
      <c r="BK94" s="21" t="n"/>
    </row>
    <row r="95" ht="13.5" customHeight="1">
      <c r="B95" s="65" t="n">
        <v>107</v>
      </c>
      <c r="C95" s="21" t="n"/>
      <c r="D95" s="67" t="inlineStr">
        <is>
          <t>B1-X7</t>
        </is>
      </c>
      <c r="E95" s="21" t="n"/>
      <c r="F95" s="21" t="n"/>
      <c r="G95" s="21" t="n"/>
      <c r="H95" s="21" t="n"/>
      <c r="I95" s="67" t="inlineStr">
        <is>
          <t>인터커넥트</t>
        </is>
      </c>
      <c r="J95" s="21" t="n"/>
      <c r="K95" s="21" t="n"/>
      <c r="L95" s="21" t="n"/>
      <c r="M95" s="67" t="inlineStr">
        <is>
          <t>ENC-01</t>
        </is>
      </c>
      <c r="N95" s="21" t="n"/>
      <c r="O95" s="21" t="n"/>
      <c r="P95" s="21" t="n"/>
      <c r="Q95" s="21" t="n"/>
      <c r="R95" s="21" t="n"/>
      <c r="S95" s="21" t="n"/>
      <c r="T95" s="67" t="inlineStr">
        <is>
          <t>B2-X7</t>
        </is>
      </c>
      <c r="U95" s="21" t="n"/>
      <c r="V95" s="21" t="n"/>
      <c r="W95" s="21" t="n"/>
      <c r="X95" s="21" t="n"/>
      <c r="Y95" s="68" t="inlineStr">
        <is>
          <t>R02-D050</t>
        </is>
      </c>
      <c r="Z95" s="21" t="n"/>
      <c r="AA95" s="21" t="n"/>
      <c r="AB95" s="21" t="n"/>
      <c r="AC95" s="21" t="n"/>
      <c r="AD95" s="21" t="n"/>
      <c r="AE95" s="21" t="n"/>
      <c r="AH95" s="65" t="n"/>
      <c r="AI95" s="21" t="n"/>
      <c r="AJ95" s="67" t="n"/>
      <c r="AK95" s="21" t="n"/>
      <c r="AL95" s="21" t="n"/>
      <c r="AM95" s="21" t="n"/>
      <c r="AN95" s="21" t="n"/>
      <c r="AO95" s="67" t="n"/>
      <c r="AP95" s="21" t="n"/>
      <c r="AQ95" s="21" t="n"/>
      <c r="AR95" s="21" t="n"/>
      <c r="AS95" s="67" t="n"/>
      <c r="AT95" s="21" t="n"/>
      <c r="AU95" s="21" t="n"/>
      <c r="AV95" s="21" t="n"/>
      <c r="AW95" s="21" t="n"/>
      <c r="AX95" s="21" t="n"/>
      <c r="AY95" s="21" t="n"/>
      <c r="AZ95" s="67" t="n"/>
      <c r="BA95" s="21" t="n"/>
      <c r="BB95" s="21" t="n"/>
      <c r="BC95" s="21" t="n"/>
      <c r="BD95" s="21" t="n"/>
      <c r="BE95" s="68" t="n"/>
      <c r="BF95" s="21" t="n"/>
      <c r="BG95" s="21" t="n"/>
      <c r="BH95" s="21" t="n"/>
      <c r="BI95" s="21" t="n"/>
      <c r="BJ95" s="21" t="n"/>
      <c r="BK95" s="21" t="n"/>
    </row>
    <row r="96" ht="13.5" customHeight="1">
      <c r="B96" s="65" t="n">
        <v>108</v>
      </c>
      <c r="C96" s="21" t="n"/>
      <c r="D96" s="67" t="inlineStr">
        <is>
          <t>B1-X8</t>
        </is>
      </c>
      <c r="E96" s="21" t="n"/>
      <c r="F96" s="21" t="n"/>
      <c r="G96" s="21" t="n"/>
      <c r="H96" s="21" t="n"/>
      <c r="I96" s="67" t="inlineStr">
        <is>
          <t>인터커넥트</t>
        </is>
      </c>
      <c r="J96" s="21" t="n"/>
      <c r="K96" s="21" t="n"/>
      <c r="L96" s="21" t="n"/>
      <c r="M96" s="67" t="inlineStr">
        <is>
          <t>ENC-01</t>
        </is>
      </c>
      <c r="N96" s="21" t="n"/>
      <c r="O96" s="21" t="n"/>
      <c r="P96" s="21" t="n"/>
      <c r="Q96" s="21" t="n"/>
      <c r="R96" s="21" t="n"/>
      <c r="S96" s="21" t="n"/>
      <c r="T96" s="67" t="inlineStr">
        <is>
          <t>B2-X8</t>
        </is>
      </c>
      <c r="U96" s="21" t="n"/>
      <c r="V96" s="21" t="n"/>
      <c r="W96" s="21" t="n"/>
      <c r="X96" s="21" t="n"/>
      <c r="Y96" s="68" t="inlineStr">
        <is>
          <t>R02-D051</t>
        </is>
      </c>
      <c r="Z96" s="21" t="n"/>
      <c r="AA96" s="21" t="n"/>
      <c r="AB96" s="21" t="n"/>
      <c r="AC96" s="21" t="n"/>
      <c r="AD96" s="21" t="n"/>
      <c r="AE96" s="21" t="n"/>
      <c r="AH96" s="65" t="n"/>
      <c r="AI96" s="21" t="n"/>
      <c r="AJ96" s="67" t="n"/>
      <c r="AK96" s="21" t="n"/>
      <c r="AL96" s="21" t="n"/>
      <c r="AM96" s="21" t="n"/>
      <c r="AN96" s="21" t="n"/>
      <c r="AO96" s="67" t="n"/>
      <c r="AP96" s="21" t="n"/>
      <c r="AQ96" s="21" t="n"/>
      <c r="AR96" s="21" t="n"/>
      <c r="AS96" s="67" t="n"/>
      <c r="AT96" s="21" t="n"/>
      <c r="AU96" s="21" t="n"/>
      <c r="AV96" s="21" t="n"/>
      <c r="AW96" s="21" t="n"/>
      <c r="AX96" s="21" t="n"/>
      <c r="AY96" s="21" t="n"/>
      <c r="AZ96" s="67" t="n"/>
      <c r="BA96" s="21" t="n"/>
      <c r="BB96" s="21" t="n"/>
      <c r="BC96" s="21" t="n"/>
      <c r="BD96" s="21" t="n"/>
      <c r="BE96" s="68" t="n"/>
      <c r="BF96" s="21" t="n"/>
      <c r="BG96" s="21" t="n"/>
      <c r="BH96" s="21" t="n"/>
      <c r="BI96" s="21" t="n"/>
      <c r="BJ96" s="21" t="n"/>
      <c r="BK96" s="21" t="n"/>
    </row>
    <row r="97" ht="13.5" customHeight="1">
      <c r="B97" s="65" t="n">
        <v>201</v>
      </c>
      <c r="C97" s="21" t="n"/>
      <c r="D97" s="67" t="inlineStr">
        <is>
          <t>B2-X1</t>
        </is>
      </c>
      <c r="E97" s="21" t="n"/>
      <c r="F97" s="21" t="n"/>
      <c r="G97" s="21" t="n"/>
      <c r="H97" s="21" t="n"/>
      <c r="I97" s="67" t="inlineStr">
        <is>
          <t>스토리지</t>
        </is>
      </c>
      <c r="J97" s="21" t="n"/>
      <c r="K97" s="21" t="n"/>
      <c r="L97" s="21" t="n"/>
      <c r="M97" s="67" t="inlineStr">
        <is>
          <t>SAN-B</t>
        </is>
      </c>
      <c r="N97" s="21" t="n"/>
      <c r="O97" s="21" t="n"/>
      <c r="P97" s="21" t="n"/>
      <c r="Q97" s="21" t="n"/>
      <c r="R97" s="21" t="n"/>
      <c r="S97" s="21" t="n"/>
      <c r="T97" s="67" t="inlineStr">
        <is>
          <t>P2</t>
        </is>
      </c>
      <c r="U97" s="21" t="n"/>
      <c r="V97" s="21" t="n"/>
      <c r="W97" s="21" t="n"/>
      <c r="X97" s="21" t="n"/>
      <c r="Y97" s="68" t="inlineStr">
        <is>
          <t>R02-D044</t>
        </is>
      </c>
      <c r="Z97" s="21" t="n"/>
      <c r="AA97" s="21" t="n"/>
      <c r="AB97" s="21" t="n"/>
      <c r="AC97" s="21" t="n"/>
      <c r="AD97" s="21" t="n"/>
      <c r="AE97" s="21" t="n"/>
      <c r="AH97" s="65" t="n"/>
      <c r="AI97" s="21" t="n"/>
      <c r="AJ97" s="67" t="n"/>
      <c r="AK97" s="21" t="n"/>
      <c r="AL97" s="21" t="n"/>
      <c r="AM97" s="21" t="n"/>
      <c r="AN97" s="21" t="n"/>
      <c r="AO97" s="67" t="n"/>
      <c r="AP97" s="21" t="n"/>
      <c r="AQ97" s="21" t="n"/>
      <c r="AR97" s="21" t="n"/>
      <c r="AS97" s="67" t="n"/>
      <c r="AT97" s="21" t="n"/>
      <c r="AU97" s="21" t="n"/>
      <c r="AV97" s="21" t="n"/>
      <c r="AW97" s="21" t="n"/>
      <c r="AX97" s="21" t="n"/>
      <c r="AY97" s="21" t="n"/>
      <c r="AZ97" s="67" t="n"/>
      <c r="BA97" s="21" t="n"/>
      <c r="BB97" s="21" t="n"/>
      <c r="BC97" s="21" t="n"/>
      <c r="BD97" s="21" t="n"/>
      <c r="BE97" s="68" t="n"/>
      <c r="BF97" s="21" t="n"/>
      <c r="BG97" s="21" t="n"/>
      <c r="BH97" s="21" t="n"/>
      <c r="BI97" s="21" t="n"/>
      <c r="BJ97" s="21" t="n"/>
      <c r="BK97" s="21" t="n"/>
    </row>
    <row r="98" ht="13.5" customHeight="1">
      <c r="B98" s="65" t="n">
        <v>202</v>
      </c>
      <c r="C98" s="21" t="n"/>
      <c r="D98" s="67" t="inlineStr">
        <is>
          <t>B2-X2</t>
        </is>
      </c>
      <c r="E98" s="21" t="n"/>
      <c r="F98" s="21" t="n"/>
      <c r="G98" s="21" t="n"/>
      <c r="H98" s="21" t="n"/>
      <c r="I98" s="67" t="inlineStr">
        <is>
          <t>스토리지</t>
        </is>
      </c>
      <c r="J98" s="21" t="n"/>
      <c r="K98" s="21" t="n"/>
      <c r="L98" s="21" t="n"/>
      <c r="M98" s="67" t="inlineStr">
        <is>
          <t>SAN-B</t>
        </is>
      </c>
      <c r="N98" s="21" t="n"/>
      <c r="O98" s="21" t="n"/>
      <c r="P98" s="21" t="n"/>
      <c r="Q98" s="21" t="n"/>
      <c r="R98" s="21" t="n"/>
      <c r="S98" s="21" t="n"/>
      <c r="T98" s="67" t="inlineStr">
        <is>
          <t>P3</t>
        </is>
      </c>
      <c r="U98" s="21" t="n"/>
      <c r="V98" s="21" t="n"/>
      <c r="W98" s="21" t="n"/>
      <c r="X98" s="21" t="n"/>
      <c r="Y98" s="68" t="inlineStr">
        <is>
          <t>R02-D045</t>
        </is>
      </c>
      <c r="Z98" s="21" t="n"/>
      <c r="AA98" s="21" t="n"/>
      <c r="AB98" s="21" t="n"/>
      <c r="AC98" s="21" t="n"/>
      <c r="AD98" s="21" t="n"/>
      <c r="AE98" s="21" t="n"/>
      <c r="AH98" s="65" t="n"/>
      <c r="AI98" s="21" t="n"/>
      <c r="AJ98" s="67" t="n"/>
      <c r="AK98" s="21" t="n"/>
      <c r="AL98" s="21" t="n"/>
      <c r="AM98" s="21" t="n"/>
      <c r="AN98" s="21" t="n"/>
      <c r="AO98" s="67" t="n"/>
      <c r="AP98" s="21" t="n"/>
      <c r="AQ98" s="21" t="n"/>
      <c r="AR98" s="21" t="n"/>
      <c r="AS98" s="67" t="n"/>
      <c r="AT98" s="21" t="n"/>
      <c r="AU98" s="21" t="n"/>
      <c r="AV98" s="21" t="n"/>
      <c r="AW98" s="21" t="n"/>
      <c r="AX98" s="21" t="n"/>
      <c r="AY98" s="21" t="n"/>
      <c r="AZ98" s="67" t="n"/>
      <c r="BA98" s="21" t="n"/>
      <c r="BB98" s="21" t="n"/>
      <c r="BC98" s="21" t="n"/>
      <c r="BD98" s="21" t="n"/>
      <c r="BE98" s="68" t="n"/>
      <c r="BF98" s="21" t="n"/>
      <c r="BG98" s="21" t="n"/>
      <c r="BH98" s="21" t="n"/>
      <c r="BI98" s="21" t="n"/>
      <c r="BJ98" s="21" t="n"/>
      <c r="BK98" s="21" t="n"/>
    </row>
    <row r="99" ht="13.5" customHeight="1">
      <c r="B99" s="65" t="n">
        <v>203</v>
      </c>
      <c r="C99" s="21" t="n"/>
      <c r="D99" s="67" t="inlineStr">
        <is>
          <t>B2-X3</t>
        </is>
      </c>
      <c r="E99" s="21" t="n"/>
      <c r="F99" s="21" t="n"/>
      <c r="G99" s="21" t="n"/>
      <c r="H99" s="21" t="n"/>
      <c r="I99" s="67" t="inlineStr">
        <is>
          <t>서비스</t>
        </is>
      </c>
      <c r="J99" s="21" t="n"/>
      <c r="K99" s="21" t="n"/>
      <c r="L99" s="21" t="n"/>
      <c r="M99" s="67" t="inlineStr">
        <is>
          <t>TOR-B</t>
        </is>
      </c>
      <c r="N99" s="21" t="n"/>
      <c r="O99" s="21" t="n"/>
      <c r="P99" s="21" t="n"/>
      <c r="Q99" s="21" t="n"/>
      <c r="R99" s="21" t="n"/>
      <c r="S99" s="21" t="n"/>
      <c r="T99" s="67" t="inlineStr">
        <is>
          <t>Eth1/1</t>
        </is>
      </c>
      <c r="U99" s="21" t="n"/>
      <c r="V99" s="21" t="n"/>
      <c r="W99" s="21" t="n"/>
      <c r="X99" s="21" t="n"/>
      <c r="Y99" s="68" t="inlineStr">
        <is>
          <t>R02-D025</t>
        </is>
      </c>
      <c r="Z99" s="21" t="n"/>
      <c r="AA99" s="21" t="n"/>
      <c r="AB99" s="21" t="n"/>
      <c r="AC99" s="21" t="n"/>
      <c r="AD99" s="21" t="n"/>
      <c r="AE99" s="21" t="n"/>
      <c r="AH99" s="65" t="n"/>
      <c r="AI99" s="21" t="n"/>
      <c r="AJ99" s="67" t="n"/>
      <c r="AK99" s="21" t="n"/>
      <c r="AL99" s="21" t="n"/>
      <c r="AM99" s="21" t="n"/>
      <c r="AN99" s="21" t="n"/>
      <c r="AO99" s="67" t="n"/>
      <c r="AP99" s="21" t="n"/>
      <c r="AQ99" s="21" t="n"/>
      <c r="AR99" s="21" t="n"/>
      <c r="AS99" s="67" t="n"/>
      <c r="AT99" s="21" t="n"/>
      <c r="AU99" s="21" t="n"/>
      <c r="AV99" s="21" t="n"/>
      <c r="AW99" s="21" t="n"/>
      <c r="AX99" s="21" t="n"/>
      <c r="AY99" s="21" t="n"/>
      <c r="AZ99" s="67" t="n"/>
      <c r="BA99" s="21" t="n"/>
      <c r="BB99" s="21" t="n"/>
      <c r="BC99" s="21" t="n"/>
      <c r="BD99" s="21" t="n"/>
      <c r="BE99" s="68" t="n"/>
      <c r="BF99" s="21" t="n"/>
      <c r="BG99" s="21" t="n"/>
      <c r="BH99" s="21" t="n"/>
      <c r="BI99" s="21" t="n"/>
      <c r="BJ99" s="21" t="n"/>
      <c r="BK99" s="21" t="n"/>
    </row>
    <row r="100" ht="13.5" customHeight="1">
      <c r="B100" s="65" t="n">
        <v>204</v>
      </c>
      <c r="C100" s="21" t="n"/>
      <c r="D100" s="67" t="inlineStr">
        <is>
          <t>B2-X4</t>
        </is>
      </c>
      <c r="E100" s="21" t="n"/>
      <c r="F100" s="21" t="n"/>
      <c r="G100" s="21" t="n"/>
      <c r="H100" s="21" t="n"/>
      <c r="I100" s="67" t="inlineStr">
        <is>
          <t>서비스</t>
        </is>
      </c>
      <c r="J100" s="21" t="n"/>
      <c r="K100" s="21" t="n"/>
      <c r="L100" s="21" t="n"/>
      <c r="M100" s="67" t="inlineStr">
        <is>
          <t>TOR-B</t>
        </is>
      </c>
      <c r="N100" s="21" t="n"/>
      <c r="O100" s="21" t="n"/>
      <c r="P100" s="21" t="n"/>
      <c r="Q100" s="21" t="n"/>
      <c r="R100" s="21" t="n"/>
      <c r="S100" s="21" t="n"/>
      <c r="T100" s="67" t="inlineStr">
        <is>
          <t>Eth1/2</t>
        </is>
      </c>
      <c r="U100" s="21" t="n"/>
      <c r="V100" s="21" t="n"/>
      <c r="W100" s="21" t="n"/>
      <c r="X100" s="21" t="n"/>
      <c r="Y100" s="68" t="inlineStr">
        <is>
          <t>R02-D026</t>
        </is>
      </c>
      <c r="Z100" s="21" t="n"/>
      <c r="AA100" s="21" t="n"/>
      <c r="AB100" s="21" t="n"/>
      <c r="AC100" s="21" t="n"/>
      <c r="AD100" s="21" t="n"/>
      <c r="AE100" s="21" t="n"/>
      <c r="AH100" s="65" t="n"/>
      <c r="AI100" s="21" t="n"/>
      <c r="AJ100" s="67" t="n"/>
      <c r="AK100" s="21" t="n"/>
      <c r="AL100" s="21" t="n"/>
      <c r="AM100" s="21" t="n"/>
      <c r="AN100" s="21" t="n"/>
      <c r="AO100" s="67" t="n"/>
      <c r="AP100" s="21" t="n"/>
      <c r="AQ100" s="21" t="n"/>
      <c r="AR100" s="21" t="n"/>
      <c r="AS100" s="67" t="n"/>
      <c r="AT100" s="21" t="n"/>
      <c r="AU100" s="21" t="n"/>
      <c r="AV100" s="21" t="n"/>
      <c r="AW100" s="21" t="n"/>
      <c r="AX100" s="21" t="n"/>
      <c r="AY100" s="21" t="n"/>
      <c r="AZ100" s="67" t="n"/>
      <c r="BA100" s="21" t="n"/>
      <c r="BB100" s="21" t="n"/>
      <c r="BC100" s="21" t="n"/>
      <c r="BD100" s="21" t="n"/>
      <c r="BE100" s="68" t="n"/>
      <c r="BF100" s="21" t="n"/>
      <c r="BG100" s="21" t="n"/>
      <c r="BH100" s="21" t="n"/>
      <c r="BI100" s="21" t="n"/>
      <c r="BJ100" s="21" t="n"/>
      <c r="BK100" s="21" t="n"/>
    </row>
    <row r="101" ht="13.5" customHeight="1">
      <c r="B101" s="65" t="n">
        <v>207</v>
      </c>
      <c r="C101" s="21" t="n"/>
      <c r="D101" s="67" t="inlineStr">
        <is>
          <t>B2-X7</t>
        </is>
      </c>
      <c r="E101" s="21" t="n"/>
      <c r="F101" s="21" t="n"/>
      <c r="G101" s="21" t="n"/>
      <c r="H101" s="21" t="n"/>
      <c r="I101" s="67" t="inlineStr">
        <is>
          <t>인터커넥트</t>
        </is>
      </c>
      <c r="J101" s="21" t="n"/>
      <c r="K101" s="21" t="n"/>
      <c r="L101" s="21" t="n"/>
      <c r="M101" s="67" t="inlineStr">
        <is>
          <t>ENC-01</t>
        </is>
      </c>
      <c r="N101" s="21" t="n"/>
      <c r="O101" s="21" t="n"/>
      <c r="P101" s="21" t="n"/>
      <c r="Q101" s="21" t="n"/>
      <c r="R101" s="21" t="n"/>
      <c r="S101" s="21" t="n"/>
      <c r="T101" s="67" t="inlineStr">
        <is>
          <t>B1-X7</t>
        </is>
      </c>
      <c r="U101" s="21" t="n"/>
      <c r="V101" s="21" t="n"/>
      <c r="W101" s="21" t="n"/>
      <c r="X101" s="21" t="n"/>
      <c r="Y101" s="68" t="inlineStr">
        <is>
          <t>R02-D050</t>
        </is>
      </c>
      <c r="Z101" s="21" t="n"/>
      <c r="AA101" s="21" t="n"/>
      <c r="AB101" s="21" t="n"/>
      <c r="AC101" s="21" t="n"/>
      <c r="AD101" s="21" t="n"/>
      <c r="AE101" s="21" t="n"/>
      <c r="AH101" s="65" t="n"/>
      <c r="AI101" s="21" t="n"/>
      <c r="AJ101" s="67" t="n"/>
      <c r="AK101" s="21" t="n"/>
      <c r="AL101" s="21" t="n"/>
      <c r="AM101" s="21" t="n"/>
      <c r="AN101" s="21" t="n"/>
      <c r="AO101" s="67" t="n"/>
      <c r="AP101" s="21" t="n"/>
      <c r="AQ101" s="21" t="n"/>
      <c r="AR101" s="21" t="n"/>
      <c r="AS101" s="67" t="n"/>
      <c r="AT101" s="21" t="n"/>
      <c r="AU101" s="21" t="n"/>
      <c r="AV101" s="21" t="n"/>
      <c r="AW101" s="21" t="n"/>
      <c r="AX101" s="21" t="n"/>
      <c r="AY101" s="21" t="n"/>
      <c r="AZ101" s="67" t="n"/>
      <c r="BA101" s="21" t="n"/>
      <c r="BB101" s="21" t="n"/>
      <c r="BC101" s="21" t="n"/>
      <c r="BD101" s="21" t="n"/>
      <c r="BE101" s="68" t="n"/>
      <c r="BF101" s="21" t="n"/>
      <c r="BG101" s="21" t="n"/>
      <c r="BH101" s="21" t="n"/>
      <c r="BI101" s="21" t="n"/>
      <c r="BJ101" s="21" t="n"/>
      <c r="BK101" s="21" t="n"/>
    </row>
    <row r="102" ht="13.5" customHeight="1">
      <c r="B102" s="65" t="n">
        <v>208</v>
      </c>
      <c r="C102" s="21" t="n"/>
      <c r="D102" s="67" t="inlineStr">
        <is>
          <t>B2-X8</t>
        </is>
      </c>
      <c r="E102" s="21" t="n"/>
      <c r="F102" s="21" t="n"/>
      <c r="G102" s="21" t="n"/>
      <c r="H102" s="21" t="n"/>
      <c r="I102" s="67" t="inlineStr">
        <is>
          <t>인터커넥트</t>
        </is>
      </c>
      <c r="J102" s="21" t="n"/>
      <c r="K102" s="21" t="n"/>
      <c r="L102" s="21" t="n"/>
      <c r="M102" s="67" t="inlineStr">
        <is>
          <t>ENC-01</t>
        </is>
      </c>
      <c r="N102" s="21" t="n"/>
      <c r="O102" s="21" t="n"/>
      <c r="P102" s="21" t="n"/>
      <c r="Q102" s="21" t="n"/>
      <c r="R102" s="21" t="n"/>
      <c r="S102" s="21" t="n"/>
      <c r="T102" s="67" t="inlineStr">
        <is>
          <t>B1-X8</t>
        </is>
      </c>
      <c r="U102" s="21" t="n"/>
      <c r="V102" s="21" t="n"/>
      <c r="W102" s="21" t="n"/>
      <c r="X102" s="21" t="n"/>
      <c r="Y102" s="68" t="inlineStr">
        <is>
          <t>R02-D051</t>
        </is>
      </c>
      <c r="Z102" s="21" t="n"/>
      <c r="AA102" s="21" t="n"/>
      <c r="AB102" s="21" t="n"/>
      <c r="AC102" s="21" t="n"/>
      <c r="AD102" s="21" t="n"/>
      <c r="AE102" s="21" t="n"/>
      <c r="AH102" s="65" t="n"/>
      <c r="AI102" s="21" t="n"/>
      <c r="AJ102" s="67" t="n"/>
      <c r="AK102" s="21" t="n"/>
      <c r="AL102" s="21" t="n"/>
      <c r="AM102" s="21" t="n"/>
      <c r="AN102" s="21" t="n"/>
      <c r="AO102" s="67" t="n"/>
      <c r="AP102" s="21" t="n"/>
      <c r="AQ102" s="21" t="n"/>
      <c r="AR102" s="21" t="n"/>
      <c r="AS102" s="67" t="n"/>
      <c r="AT102" s="21" t="n"/>
      <c r="AU102" s="21" t="n"/>
      <c r="AV102" s="21" t="n"/>
      <c r="AW102" s="21" t="n"/>
      <c r="AX102" s="21" t="n"/>
      <c r="AY102" s="21" t="n"/>
      <c r="AZ102" s="67" t="n"/>
      <c r="BA102" s="21" t="n"/>
      <c r="BB102" s="21" t="n"/>
      <c r="BC102" s="21" t="n"/>
      <c r="BD102" s="21" t="n"/>
      <c r="BE102" s="68" t="n"/>
      <c r="BF102" s="21" t="n"/>
      <c r="BG102" s="21" t="n"/>
      <c r="BH102" s="21" t="n"/>
      <c r="BI102" s="21" t="n"/>
      <c r="BJ102" s="21" t="n"/>
      <c r="BK102" s="21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</sheetData>
  <mergeCells count="309">
    <mergeCell ref="BD51:BE51"/>
    <mergeCell ref="AJ94:AN94"/>
    <mergeCell ref="AS93:AY93"/>
    <mergeCell ref="AK72:AM72"/>
    <mergeCell ref="M92:S92"/>
    <mergeCell ref="W50:X50"/>
    <mergeCell ref="AZ91:BD91"/>
    <mergeCell ref="BE85:BK85"/>
    <mergeCell ref="T51:U51"/>
    <mergeCell ref="AO87:AR87"/>
    <mergeCell ref="D102:H102"/>
    <mergeCell ref="Y98:AE98"/>
    <mergeCell ref="AZ93:BD93"/>
    <mergeCell ref="AJ92:AN92"/>
    <mergeCell ref="AN25:AT25"/>
    <mergeCell ref="AO89:AR89"/>
    <mergeCell ref="AJ100:AN100"/>
    <mergeCell ref="AR50:AS50"/>
    <mergeCell ref="BA50:BB50"/>
    <mergeCell ref="M101:S101"/>
    <mergeCell ref="P67:Z69"/>
    <mergeCell ref="B84:C84"/>
    <mergeCell ref="BE91:BK91"/>
    <mergeCell ref="AH94:AI94"/>
    <mergeCell ref="AJ88:AN88"/>
    <mergeCell ref="I96:L96"/>
    <mergeCell ref="BE84:BK84"/>
    <mergeCell ref="BE99:BK99"/>
    <mergeCell ref="D85:H85"/>
    <mergeCell ref="M95:S95"/>
    <mergeCell ref="I98:L98"/>
    <mergeCell ref="BE86:BK86"/>
    <mergeCell ref="M89:S89"/>
    <mergeCell ref="AH89:AI89"/>
    <mergeCell ref="L25:R25"/>
    <mergeCell ref="AO88:AR88"/>
    <mergeCell ref="BE101:BK101"/>
    <mergeCell ref="M97:S97"/>
    <mergeCell ref="AH7:AL15"/>
    <mergeCell ref="AS87:AY87"/>
    <mergeCell ref="T87:X87"/>
    <mergeCell ref="AS89:AY89"/>
    <mergeCell ref="T89:X89"/>
    <mergeCell ref="T88:X88"/>
    <mergeCell ref="B99:C99"/>
    <mergeCell ref="G72:I72"/>
    <mergeCell ref="B92:C92"/>
    <mergeCell ref="M7:Q15"/>
    <mergeCell ref="B94:C94"/>
    <mergeCell ref="AU11:BA11"/>
    <mergeCell ref="AO84:AR84"/>
    <mergeCell ref="AH95:AI95"/>
    <mergeCell ref="AU51:AV51"/>
    <mergeCell ref="D84:H84"/>
    <mergeCell ref="AH97:AI97"/>
    <mergeCell ref="D86:H86"/>
    <mergeCell ref="M96:S96"/>
    <mergeCell ref="H51:I51"/>
    <mergeCell ref="AQ63:AS63"/>
    <mergeCell ref="Y87:AE87"/>
    <mergeCell ref="M98:S98"/>
    <mergeCell ref="B87:C87"/>
    <mergeCell ref="Y89:AE89"/>
    <mergeCell ref="AS88:AY88"/>
    <mergeCell ref="AS96:AY96"/>
    <mergeCell ref="AS90:AY90"/>
    <mergeCell ref="T96:X96"/>
    <mergeCell ref="AO50:AP50"/>
    <mergeCell ref="T90:X90"/>
    <mergeCell ref="I92:L92"/>
    <mergeCell ref="T98:X98"/>
    <mergeCell ref="AU25:BA25"/>
    <mergeCell ref="B100:C100"/>
    <mergeCell ref="AH85:AI85"/>
    <mergeCell ref="D99:H99"/>
    <mergeCell ref="B102:C102"/>
    <mergeCell ref="D101:H101"/>
    <mergeCell ref="Q51:R51"/>
    <mergeCell ref="K50:L50"/>
    <mergeCell ref="E63:F63"/>
    <mergeCell ref="G73:I73"/>
    <mergeCell ref="AS85:AY85"/>
    <mergeCell ref="AH96:AI96"/>
    <mergeCell ref="AJ102:AN102"/>
    <mergeCell ref="AZ45:BJ47"/>
    <mergeCell ref="AO90:AR90"/>
    <mergeCell ref="F7:J15"/>
    <mergeCell ref="AS84:AY84"/>
    <mergeCell ref="AM63:AN63"/>
    <mergeCell ref="Z25:AF25"/>
    <mergeCell ref="AH98:AI98"/>
    <mergeCell ref="T84:X84"/>
    <mergeCell ref="D92:H92"/>
    <mergeCell ref="AJ97:AN97"/>
    <mergeCell ref="AR51:AS51"/>
    <mergeCell ref="Y88:AE88"/>
    <mergeCell ref="T86:X86"/>
    <mergeCell ref="D94:H94"/>
    <mergeCell ref="Y90:AE90"/>
    <mergeCell ref="AS98:AY98"/>
    <mergeCell ref="AH87:AI87"/>
    <mergeCell ref="B90:C90"/>
    <mergeCell ref="N51:O51"/>
    <mergeCell ref="I94:L94"/>
    <mergeCell ref="AO85:AR85"/>
    <mergeCell ref="I95:L95"/>
    <mergeCell ref="I89:L89"/>
    <mergeCell ref="AO96:AR96"/>
    <mergeCell ref="AO98:AR98"/>
    <mergeCell ref="AS99:AY99"/>
    <mergeCell ref="AS86:AY86"/>
    <mergeCell ref="AO91:AR91"/>
    <mergeCell ref="Q73:S73"/>
    <mergeCell ref="AS101:AY101"/>
    <mergeCell ref="AZ67:BJ69"/>
    <mergeCell ref="I88:L88"/>
    <mergeCell ref="T7:X15"/>
    <mergeCell ref="AO93:AR93"/>
    <mergeCell ref="Y96:AE96"/>
    <mergeCell ref="B96:C96"/>
    <mergeCell ref="AZ84:BD84"/>
    <mergeCell ref="BB11:BH11"/>
    <mergeCell ref="D95:H95"/>
    <mergeCell ref="B98:C98"/>
    <mergeCell ref="Y91:AE91"/>
    <mergeCell ref="AZ86:BD86"/>
    <mergeCell ref="AH88:AI88"/>
    <mergeCell ref="S25:Y25"/>
    <mergeCell ref="D97:H97"/>
    <mergeCell ref="AZ101:BD101"/>
    <mergeCell ref="Y93:AE93"/>
    <mergeCell ref="AJ87:AN87"/>
    <mergeCell ref="AO7:AS15"/>
    <mergeCell ref="AZ94:BD94"/>
    <mergeCell ref="AJ98:AN98"/>
    <mergeCell ref="AO86:AR86"/>
    <mergeCell ref="AJ89:AN89"/>
    <mergeCell ref="M94:S94"/>
    <mergeCell ref="I97:L97"/>
    <mergeCell ref="T99:X99"/>
    <mergeCell ref="AJ93:AN93"/>
    <mergeCell ref="T101:X101"/>
    <mergeCell ref="AK73:AM73"/>
    <mergeCell ref="AZ99:BD99"/>
    <mergeCell ref="AN45:AX47"/>
    <mergeCell ref="M87:S87"/>
    <mergeCell ref="M88:S88"/>
    <mergeCell ref="I91:L91"/>
    <mergeCell ref="I85:L85"/>
    <mergeCell ref="Z51:AA51"/>
    <mergeCell ref="AO101:AR101"/>
    <mergeCell ref="BE94:BK94"/>
    <mergeCell ref="M90:S90"/>
    <mergeCell ref="I93:L93"/>
    <mergeCell ref="AJ95:AN95"/>
    <mergeCell ref="D98:H98"/>
    <mergeCell ref="Y99:AE99"/>
    <mergeCell ref="AX50:AY50"/>
    <mergeCell ref="M85:S85"/>
    <mergeCell ref="AZ87:BD87"/>
    <mergeCell ref="AJ96:AN96"/>
    <mergeCell ref="AJ90:AN90"/>
    <mergeCell ref="Y101:AE101"/>
    <mergeCell ref="BA51:BB51"/>
    <mergeCell ref="Y100:AE100"/>
    <mergeCell ref="E64:F64"/>
    <mergeCell ref="AZ89:BD89"/>
    <mergeCell ref="E51:F51"/>
    <mergeCell ref="Z50:AA50"/>
    <mergeCell ref="T50:U50"/>
    <mergeCell ref="BE92:BK92"/>
    <mergeCell ref="AZ100:BD100"/>
    <mergeCell ref="AZ102:BD102"/>
    <mergeCell ref="B43:B80"/>
    <mergeCell ref="AJ91:AN91"/>
    <mergeCell ref="AU50:AV50"/>
    <mergeCell ref="AJ85:AN85"/>
    <mergeCell ref="AH90:AI90"/>
    <mergeCell ref="AJ84:AN84"/>
    <mergeCell ref="AO102:AR102"/>
    <mergeCell ref="AJ86:AN86"/>
    <mergeCell ref="M91:S91"/>
    <mergeCell ref="E25:K25"/>
    <mergeCell ref="BE87:BK87"/>
    <mergeCell ref="BE97:BK97"/>
    <mergeCell ref="M93:S93"/>
    <mergeCell ref="W51:X51"/>
    <mergeCell ref="AO99:AR99"/>
    <mergeCell ref="Y102:AE102"/>
    <mergeCell ref="AZ90:BD90"/>
    <mergeCell ref="T85:X85"/>
    <mergeCell ref="BE100:BK100"/>
    <mergeCell ref="AU73:AW73"/>
    <mergeCell ref="B95:C95"/>
    <mergeCell ref="B89:C89"/>
    <mergeCell ref="BE102:BK102"/>
    <mergeCell ref="B97:C97"/>
    <mergeCell ref="AH91:AI91"/>
    <mergeCell ref="B4:B41"/>
    <mergeCell ref="AJ101:AN101"/>
    <mergeCell ref="B88:C88"/>
    <mergeCell ref="AH93:AI93"/>
    <mergeCell ref="D87:H87"/>
    <mergeCell ref="BE88:BK88"/>
    <mergeCell ref="M99:S99"/>
    <mergeCell ref="AZ96:BD96"/>
    <mergeCell ref="BE90:BK90"/>
    <mergeCell ref="Y85:AE85"/>
    <mergeCell ref="AN67:AX69"/>
    <mergeCell ref="AO92:AR92"/>
    <mergeCell ref="I87:L87"/>
    <mergeCell ref="B85:C85"/>
    <mergeCell ref="AO51:AP51"/>
    <mergeCell ref="AH84:AI84"/>
    <mergeCell ref="AZ98:BD98"/>
    <mergeCell ref="AX51:AY51"/>
    <mergeCell ref="AA73:AC73"/>
    <mergeCell ref="AH86:AI86"/>
    <mergeCell ref="D100:H100"/>
    <mergeCell ref="AB45:AL47"/>
    <mergeCell ref="Q50:R50"/>
    <mergeCell ref="D89:H89"/>
    <mergeCell ref="BE96:BK96"/>
    <mergeCell ref="AH99:AI99"/>
    <mergeCell ref="AL50:AM50"/>
    <mergeCell ref="D88:H88"/>
    <mergeCell ref="B91:C91"/>
    <mergeCell ref="Q72:S72"/>
    <mergeCell ref="Y84:AE84"/>
    <mergeCell ref="BE98:BK98"/>
    <mergeCell ref="AI64:AJ64"/>
    <mergeCell ref="AH101:AI101"/>
    <mergeCell ref="D90:H90"/>
    <mergeCell ref="M100:S100"/>
    <mergeCell ref="BD50:BE50"/>
    <mergeCell ref="B93:C93"/>
    <mergeCell ref="Y86:AE86"/>
    <mergeCell ref="B86:C86"/>
    <mergeCell ref="M102:S102"/>
    <mergeCell ref="BE93:BK93"/>
    <mergeCell ref="AS92:AY92"/>
    <mergeCell ref="B101:C101"/>
    <mergeCell ref="I90:L90"/>
    <mergeCell ref="D45:N47"/>
    <mergeCell ref="T92:X92"/>
    <mergeCell ref="AI50:AJ50"/>
    <mergeCell ref="BE73:BG73"/>
    <mergeCell ref="AS94:AY94"/>
    <mergeCell ref="T100:X100"/>
    <mergeCell ref="T94:X94"/>
    <mergeCell ref="AZ92:BD92"/>
    <mergeCell ref="T95:X95"/>
    <mergeCell ref="AY83:BB83"/>
    <mergeCell ref="N50:O50"/>
    <mergeCell ref="H50:I50"/>
    <mergeCell ref="AS97:AY97"/>
    <mergeCell ref="D96:H96"/>
    <mergeCell ref="I84:L84"/>
    <mergeCell ref="K51:L51"/>
    <mergeCell ref="AH100:AI100"/>
    <mergeCell ref="I86:L86"/>
    <mergeCell ref="AH102:AI102"/>
    <mergeCell ref="AG25:AM25"/>
    <mergeCell ref="AU72:AW72"/>
    <mergeCell ref="D91:H91"/>
    <mergeCell ref="AI63:AJ63"/>
    <mergeCell ref="Y92:AE92"/>
    <mergeCell ref="AS100:AY100"/>
    <mergeCell ref="D93:H93"/>
    <mergeCell ref="Y94:AE94"/>
    <mergeCell ref="AS102:AY102"/>
    <mergeCell ref="T102:X102"/>
    <mergeCell ref="AS95:AY95"/>
    <mergeCell ref="BB25:BH25"/>
    <mergeCell ref="E50:F50"/>
    <mergeCell ref="T97:X97"/>
    <mergeCell ref="I99:L99"/>
    <mergeCell ref="AZ95:BD95"/>
    <mergeCell ref="AO100:AR100"/>
    <mergeCell ref="AZ97:BD97"/>
    <mergeCell ref="AO95:AR95"/>
    <mergeCell ref="AA72:AC72"/>
    <mergeCell ref="AB67:AL69"/>
    <mergeCell ref="M84:S84"/>
    <mergeCell ref="I63:J63"/>
    <mergeCell ref="AO97:AR97"/>
    <mergeCell ref="AA7:AE15"/>
    <mergeCell ref="AS91:AY91"/>
    <mergeCell ref="M86:S86"/>
    <mergeCell ref="AZ88:BD88"/>
    <mergeCell ref="T91:X91"/>
    <mergeCell ref="BE72:BG72"/>
    <mergeCell ref="Y95:AE95"/>
    <mergeCell ref="AO94:AR94"/>
    <mergeCell ref="P45:Z47"/>
    <mergeCell ref="T93:X93"/>
    <mergeCell ref="AH92:AI92"/>
    <mergeCell ref="AJ99:AN99"/>
    <mergeCell ref="Y97:AE97"/>
    <mergeCell ref="AZ85:BD85"/>
    <mergeCell ref="AI51:AJ51"/>
    <mergeCell ref="BE95:BK95"/>
    <mergeCell ref="I101:L101"/>
    <mergeCell ref="M63:O63"/>
    <mergeCell ref="BE89:BK89"/>
    <mergeCell ref="I100:L100"/>
    <mergeCell ref="AL51:AM51"/>
    <mergeCell ref="I102:L102"/>
    <mergeCell ref="D67:N69"/>
  </mergeCells>
  <conditionalFormatting sqref="B85:C102">
    <cfRule type="expression" priority="1" dxfId="13" stopIfTrue="1">
      <formula>AND(ISNUMBER($B85),SUMPRODUCT(($C$4:$BK$81=$B85)*($C$4:$BK$81&lt;&gt;""))&lt;&gt;1)</formula>
    </cfRule>
    <cfRule type="expression" priority="2" dxfId="13" stopIfTrue="1">
      <formula>AND(ISNUMBER($B85),COUNTIF($B$85:$B$102,$B85)+COUNTIF($AH$85:$AH$102,$B85)&gt;1)</formula>
    </cfRule>
    <cfRule type="expression" priority="3" dxfId="14" stopIfTrue="1">
      <formula>$I85="서비스"</formula>
    </cfRule>
    <cfRule type="expression" priority="4" dxfId="15" stopIfTrue="1">
      <formula>$I85="관리"</formula>
    </cfRule>
    <cfRule type="expression" priority="5" dxfId="16" stopIfTrue="1">
      <formula>$I85="백업"</formula>
    </cfRule>
    <cfRule type="expression" priority="6" dxfId="17" stopIfTrue="1">
      <formula>$I85="스토리지"</formula>
    </cfRule>
    <cfRule type="expression" priority="7" dxfId="18" stopIfTrue="1">
      <formula>$I85="인터커넥트"</formula>
    </cfRule>
    <cfRule type="expression" priority="8" dxfId="19" stopIfTrue="1">
      <formula>$I85="콘솔"</formula>
    </cfRule>
    <cfRule type="expression" priority="9" dxfId="20" stopIfTrue="1">
      <formula>$I85="전원"</formula>
    </cfRule>
  </conditionalFormatting>
  <conditionalFormatting sqref="AH85:AI102">
    <cfRule type="expression" priority="10" dxfId="13" stopIfTrue="1">
      <formula>AND(ISNUMBER($AH85),SUMPRODUCT(($C$4:$BK$81=$AH85)*($C$4:$BK$81&lt;&gt;""))&lt;&gt;1)</formula>
    </cfRule>
    <cfRule type="expression" priority="11" dxfId="13" stopIfTrue="1">
      <formula>AND(ISNUMBER($AH85),COUNTIF($B$85:$B$102,$AH85)+COUNTIF($AH$85:$AH$102,$AH85)&gt;1)</formula>
    </cfRule>
    <cfRule type="expression" priority="12" dxfId="14" stopIfTrue="1">
      <formula>$AO85="서비스"</formula>
    </cfRule>
    <cfRule type="expression" priority="13" dxfId="15" stopIfTrue="1">
      <formula>$AO85="관리"</formula>
    </cfRule>
    <cfRule type="expression" priority="14" dxfId="16" stopIfTrue="1">
      <formula>$AO85="백업"</formula>
    </cfRule>
    <cfRule type="expression" priority="15" dxfId="17" stopIfTrue="1">
      <formula>$AO85="스토리지"</formula>
    </cfRule>
    <cfRule type="expression" priority="16" dxfId="18" stopIfTrue="1">
      <formula>$AO85="인터커넥트"</formula>
    </cfRule>
    <cfRule type="expression" priority="17" dxfId="19" stopIfTrue="1">
      <formula>$AO85="콘솔"</formula>
    </cfRule>
    <cfRule type="expression" priority="18" dxfId="20" stopIfTrue="1">
      <formula>$AO85="전원"</formula>
    </cfRule>
  </conditionalFormatting>
  <dataValidations count="2">
    <dataValidation sqref="I85:I102" showDropDown="0" showInputMessage="0" showErrorMessage="0" allowBlank="1" type="list">
      <formula1>"서비스,관리,백업,스토리지,인터커넥트,콘솔,전원,기타"</formula1>
    </dataValidation>
    <dataValidation sqref="AO85:AO102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  <rowBreaks count="2" manualBreakCount="2">
    <brk id="42" min="0" max="16383" man="1"/>
    <brk id="82" min="0" max="16383" man="1"/>
  </rowBreaks>
</worksheet>
</file>

<file path=xl/worksheets/sheet13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25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PDU-A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APC AP8868 (24×C13 + 6×C19)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후면 좌</t>
        </is>
      </c>
      <c r="Z2" s="5" t="inlineStr">
        <is>
          <t>구분</t>
        </is>
      </c>
      <c r="AB2" s="6" t="inlineStr">
        <is>
          <t>전원</t>
        </is>
      </c>
      <c r="AH2" s="5" t="inlineStr">
        <is>
          <t>시리얼</t>
        </is>
      </c>
      <c r="AK2" s="6" t="inlineStr">
        <is>
          <t>5A1234E01234</t>
        </is>
      </c>
      <c r="AS2" s="5" t="inlineStr">
        <is>
          <t>관리 IP</t>
        </is>
      </c>
      <c r="AV2" s="6" t="inlineStr">
        <is>
          <t>10.10.0.201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D5" s="45" t="inlineStr">
        <is>
          <t>입력</t>
        </is>
      </c>
      <c r="E5" s="46" t="n"/>
      <c r="F5" s="46" t="n"/>
      <c r="G5" s="46" t="n"/>
      <c r="H5" s="46" t="n"/>
      <c r="I5" s="46" t="n"/>
      <c r="J5" s="47" t="n"/>
      <c r="L5" s="45" t="inlineStr">
        <is>
          <t>BANK 1 · C13</t>
        </is>
      </c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7" t="n"/>
      <c r="AA5" s="45" t="inlineStr">
        <is>
          <t>BANK 2 · C13</t>
        </is>
      </c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7" t="n"/>
      <c r="AP5" s="45" t="inlineStr">
        <is>
          <t>BANK 3 · C19</t>
        </is>
      </c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7" t="n"/>
      <c r="BB5" s="45" t="inlineStr">
        <is>
          <t>표시부</t>
        </is>
      </c>
      <c r="BC5" s="46" t="n"/>
      <c r="BD5" s="46" t="n"/>
      <c r="BE5" s="46" t="n"/>
      <c r="BF5" s="46" t="n"/>
      <c r="BG5" s="46" t="n"/>
      <c r="BH5" s="46" t="n"/>
      <c r="BI5" s="46" t="n"/>
      <c r="BJ5" s="47" t="n"/>
      <c r="BK5" s="17" t="n"/>
    </row>
    <row r="6" ht="12" customHeight="1">
      <c r="C6" s="18" t="n"/>
      <c r="D6" s="48" t="n"/>
      <c r="E6" s="49" t="n"/>
      <c r="F6" s="85" t="n">
        <v>31</v>
      </c>
      <c r="G6" s="133" t="n"/>
      <c r="H6" s="40" t="n"/>
      <c r="I6" s="49" t="n"/>
      <c r="J6" s="50" t="n"/>
      <c r="L6" s="48" t="n"/>
      <c r="M6" s="85" t="n">
        <v>1</v>
      </c>
      <c r="N6" s="40" t="n"/>
      <c r="O6" s="85" t="n">
        <v>2</v>
      </c>
      <c r="P6" s="40" t="n"/>
      <c r="Q6" s="85" t="n">
        <v>3</v>
      </c>
      <c r="R6" s="40" t="n"/>
      <c r="S6" s="85" t="n">
        <v>4</v>
      </c>
      <c r="T6" s="40" t="n"/>
      <c r="U6" s="85" t="n">
        <v>5</v>
      </c>
      <c r="V6" s="40" t="n"/>
      <c r="W6" s="85" t="n">
        <v>6</v>
      </c>
      <c r="X6" s="40" t="n"/>
      <c r="Y6" s="50" t="n"/>
      <c r="AA6" s="48" t="n"/>
      <c r="AB6" s="41" t="n">
        <v>13</v>
      </c>
      <c r="AC6" s="40" t="n"/>
      <c r="AD6" s="41" t="n">
        <v>14</v>
      </c>
      <c r="AE6" s="40" t="n"/>
      <c r="AF6" s="41" t="n">
        <v>15</v>
      </c>
      <c r="AG6" s="40" t="n"/>
      <c r="AH6" s="41" t="n">
        <v>16</v>
      </c>
      <c r="AI6" s="40" t="n"/>
      <c r="AJ6" s="41" t="n">
        <v>17</v>
      </c>
      <c r="AK6" s="40" t="n"/>
      <c r="AL6" s="41" t="n">
        <v>18</v>
      </c>
      <c r="AM6" s="40" t="n"/>
      <c r="AN6" s="50" t="n"/>
      <c r="AP6" s="48" t="n"/>
      <c r="AQ6" s="85" t="n">
        <v>25</v>
      </c>
      <c r="AR6" s="133" t="n"/>
      <c r="AS6" s="40" t="n"/>
      <c r="AT6" s="85" t="n">
        <v>26</v>
      </c>
      <c r="AU6" s="133" t="n"/>
      <c r="AV6" s="40" t="n"/>
      <c r="AW6" s="85" t="n">
        <v>27</v>
      </c>
      <c r="AX6" s="133" t="n"/>
      <c r="AY6" s="40" t="n"/>
      <c r="AZ6" s="50" t="n"/>
      <c r="BB6" s="110" t="inlineStr">
        <is>
          <t xml:space="preserve"> 전류  A</t>
        </is>
      </c>
      <c r="BC6" s="49" t="n"/>
      <c r="BD6" s="49" t="n"/>
      <c r="BE6" s="49" t="n"/>
      <c r="BF6" s="49" t="n"/>
      <c r="BG6" s="49" t="n"/>
      <c r="BH6" s="49" t="n"/>
      <c r="BI6" s="49" t="n"/>
      <c r="BJ6" s="50" t="n"/>
      <c r="BK6" s="17" t="n"/>
    </row>
    <row r="7" ht="12" customHeight="1">
      <c r="C7" s="18" t="n"/>
      <c r="D7" s="48" t="n"/>
      <c r="E7" s="49" t="n"/>
      <c r="F7" s="153" t="inlineStr">
        <is>
          <t>IEC309</t>
        </is>
      </c>
      <c r="I7" s="49" t="n"/>
      <c r="J7" s="50" t="n"/>
      <c r="L7" s="48" t="n"/>
      <c r="M7" s="85" t="n">
        <v>7</v>
      </c>
      <c r="N7" s="40" t="n"/>
      <c r="O7" s="85" t="n">
        <v>8</v>
      </c>
      <c r="P7" s="40" t="n"/>
      <c r="Q7" s="85" t="n">
        <v>9</v>
      </c>
      <c r="R7" s="40" t="n"/>
      <c r="S7" s="41" t="n">
        <v>10</v>
      </c>
      <c r="T7" s="40" t="n"/>
      <c r="U7" s="41" t="n">
        <v>11</v>
      </c>
      <c r="V7" s="40" t="n"/>
      <c r="W7" s="41" t="n">
        <v>12</v>
      </c>
      <c r="X7" s="40" t="n"/>
      <c r="Y7" s="50" t="n"/>
      <c r="AA7" s="48" t="n"/>
      <c r="AB7" s="41" t="n">
        <v>19</v>
      </c>
      <c r="AC7" s="40" t="n"/>
      <c r="AD7" s="41" t="n">
        <v>20</v>
      </c>
      <c r="AE7" s="40" t="n"/>
      <c r="AF7" s="41" t="n">
        <v>21</v>
      </c>
      <c r="AG7" s="40" t="n"/>
      <c r="AH7" s="41" t="n">
        <v>22</v>
      </c>
      <c r="AI7" s="40" t="n"/>
      <c r="AJ7" s="41" t="n">
        <v>23</v>
      </c>
      <c r="AK7" s="40" t="n"/>
      <c r="AL7" s="41" t="n">
        <v>24</v>
      </c>
      <c r="AM7" s="40" t="n"/>
      <c r="AN7" s="50" t="n"/>
      <c r="AP7" s="48" t="n"/>
      <c r="AQ7" s="41" t="n">
        <v>28</v>
      </c>
      <c r="AR7" s="133" t="n"/>
      <c r="AS7" s="40" t="n"/>
      <c r="AT7" s="41" t="n">
        <v>29</v>
      </c>
      <c r="AU7" s="133" t="n"/>
      <c r="AV7" s="40" t="n"/>
      <c r="AW7" s="41" t="n">
        <v>30</v>
      </c>
      <c r="AX7" s="133" t="n"/>
      <c r="AY7" s="40" t="n"/>
      <c r="AZ7" s="50" t="n"/>
      <c r="BB7" s="110" t="inlineStr">
        <is>
          <t xml:space="preserve"> 차단기 3</t>
        </is>
      </c>
      <c r="BC7" s="49" t="n"/>
      <c r="BD7" s="49" t="n"/>
      <c r="BE7" s="49" t="n"/>
      <c r="BF7" s="49" t="n"/>
      <c r="BG7" s="49" t="n"/>
      <c r="BH7" s="49" t="n"/>
      <c r="BI7" s="49" t="n"/>
      <c r="BJ7" s="50" t="n"/>
      <c r="BK7" s="17" t="n"/>
    </row>
    <row r="8" ht="12" customHeight="1">
      <c r="C8" s="18" t="n"/>
      <c r="D8" s="51" t="n"/>
      <c r="E8" s="52" t="n"/>
      <c r="F8" s="52" t="n"/>
      <c r="G8" s="52" t="n"/>
      <c r="H8" s="52" t="n"/>
      <c r="I8" s="52" t="n"/>
      <c r="J8" s="53" t="n"/>
      <c r="L8" s="51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3" t="n"/>
      <c r="AA8" s="51" t="n"/>
      <c r="AB8" s="52" t="n"/>
      <c r="AC8" s="52" t="n"/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3" t="n"/>
      <c r="AP8" s="51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3" t="n"/>
      <c r="BB8" s="51" t="n"/>
      <c r="BC8" s="52" t="n"/>
      <c r="BD8" s="52" t="n"/>
      <c r="BE8" s="52" t="n"/>
      <c r="BF8" s="52" t="n"/>
      <c r="BG8" s="52" t="n"/>
      <c r="BH8" s="52" t="n"/>
      <c r="BI8" s="52" t="n"/>
      <c r="BJ8" s="53" t="n"/>
      <c r="BK8" s="17" t="n"/>
    </row>
    <row r="9" ht="12" customHeight="1">
      <c r="C9" s="42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  <c r="AB9" s="43" t="n"/>
      <c r="AC9" s="43" t="n"/>
      <c r="AD9" s="43" t="n"/>
      <c r="AE9" s="43" t="n"/>
      <c r="AF9" s="43" t="n"/>
      <c r="AG9" s="43" t="n"/>
      <c r="AH9" s="43" t="n"/>
      <c r="AI9" s="43" t="n"/>
      <c r="AJ9" s="43" t="n"/>
      <c r="AK9" s="43" t="n"/>
      <c r="AL9" s="43" t="n"/>
      <c r="AM9" s="43" t="n"/>
      <c r="AN9" s="43" t="n"/>
      <c r="AO9" s="43" t="n"/>
      <c r="AP9" s="43" t="n"/>
      <c r="AQ9" s="43" t="n"/>
      <c r="AR9" s="43" t="n"/>
      <c r="AS9" s="43" t="n"/>
      <c r="AT9" s="43" t="n"/>
      <c r="AU9" s="43" t="n"/>
      <c r="AV9" s="43" t="n"/>
      <c r="AW9" s="43" t="n"/>
      <c r="AX9" s="43" t="n"/>
      <c r="AY9" s="43" t="n"/>
      <c r="AZ9" s="43" t="n"/>
      <c r="BA9" s="43" t="n"/>
      <c r="BB9" s="43" t="n"/>
      <c r="BC9" s="43" t="n"/>
      <c r="BD9" s="43" t="n"/>
      <c r="BE9" s="43" t="n"/>
      <c r="BF9" s="43" t="n"/>
      <c r="BG9" s="43" t="n"/>
      <c r="BH9" s="43" t="n"/>
      <c r="BI9" s="43" t="n"/>
      <c r="BJ9" s="43" t="n"/>
      <c r="BK9" s="44" t="n"/>
    </row>
    <row r="10" ht="12" customHeight="1"/>
    <row r="11" ht="12" customHeight="1">
      <c r="C11" s="8" t="inlineStr">
        <is>
          <t>0U 세로형 PDU를 가로로 눕혀 그림 · 칸 안 숫자 = PDU에 인쇄된 콘센트 번호 · 색 칸 = 사용 중</t>
        </is>
      </c>
    </row>
    <row r="12" ht="12" customHeight="1">
      <c r="B12" s="7" t="inlineStr">
        <is>
          <t>연결 정보</t>
        </is>
      </c>
      <c r="H12" s="54" t="n"/>
      <c r="I12" s="28" t="inlineStr">
        <is>
          <t>서비스</t>
        </is>
      </c>
      <c r="L12" s="55" t="n"/>
      <c r="M12" s="28" t="inlineStr">
        <is>
          <t>관리</t>
        </is>
      </c>
      <c r="O12" s="56" t="n"/>
      <c r="P12" s="28" t="inlineStr">
        <is>
          <t>백업</t>
        </is>
      </c>
      <c r="R12" s="57" t="n"/>
      <c r="S12" s="28" t="inlineStr">
        <is>
          <t>스토리지</t>
        </is>
      </c>
      <c r="V12" s="58" t="n"/>
      <c r="W12" s="28" t="inlineStr">
        <is>
          <t>인터커넥트</t>
        </is>
      </c>
      <c r="AA12" s="59" t="n"/>
      <c r="AB12" s="28" t="inlineStr">
        <is>
          <t>콘솔</t>
        </is>
      </c>
      <c r="AD12" s="60" t="n"/>
      <c r="AE12" s="28" t="inlineStr">
        <is>
          <t>전원</t>
        </is>
      </c>
      <c r="AG12" s="61" t="n"/>
      <c r="AH12" s="28" t="inlineStr">
        <is>
          <t>미연결</t>
        </is>
      </c>
      <c r="AL12" s="62" t="n">
        <v>7</v>
      </c>
      <c r="AM12" s="28" t="inlineStr">
        <is>
          <t>도면 번호</t>
        </is>
      </c>
      <c r="AQ12" s="63" t="inlineStr">
        <is>
          <t>LOM1</t>
        </is>
      </c>
      <c r="AS12" s="28" t="inlineStr">
        <is>
          <t>포트명(장비 표기)</t>
        </is>
      </c>
      <c r="AY12" s="64" t="inlineStr">
        <is>
          <t>A-0001</t>
        </is>
      </c>
      <c r="AZ12" s="21" t="n"/>
      <c r="BA12" s="21" t="n"/>
      <c r="BB12" s="21" t="n"/>
      <c r="BC12" s="28" t="inlineStr">
        <is>
          <t>케이블 라벨</t>
        </is>
      </c>
    </row>
    <row r="13" ht="15" customHeight="1">
      <c r="B13" s="11" t="inlineStr">
        <is>
          <t>번호</t>
        </is>
      </c>
      <c r="C13" s="12" t="n"/>
      <c r="D13" s="13" t="inlineStr">
        <is>
          <t>포트명</t>
        </is>
      </c>
      <c r="E13" s="12" t="n"/>
      <c r="F13" s="12" t="n"/>
      <c r="G13" s="12" t="n"/>
      <c r="H13" s="12" t="n"/>
      <c r="I13" s="13" t="inlineStr">
        <is>
          <t>용도</t>
        </is>
      </c>
      <c r="J13" s="12" t="n"/>
      <c r="K13" s="12" t="n"/>
      <c r="L13" s="12" t="n"/>
      <c r="M13" s="13" t="inlineStr">
        <is>
          <t>상대 장비</t>
        </is>
      </c>
      <c r="N13" s="12" t="n"/>
      <c r="O13" s="12" t="n"/>
      <c r="P13" s="12" t="n"/>
      <c r="Q13" s="12" t="n"/>
      <c r="R13" s="12" t="n"/>
      <c r="S13" s="12" t="n"/>
      <c r="T13" s="13" t="inlineStr">
        <is>
          <t>상대 포트</t>
        </is>
      </c>
      <c r="U13" s="12" t="n"/>
      <c r="V13" s="12" t="n"/>
      <c r="W13" s="12" t="n"/>
      <c r="X13" s="12" t="n"/>
      <c r="Y13" s="13" t="inlineStr">
        <is>
          <t>케이블 라벨</t>
        </is>
      </c>
      <c r="Z13" s="12" t="n"/>
      <c r="AA13" s="12" t="n"/>
      <c r="AB13" s="12" t="n"/>
      <c r="AC13" s="12" t="n"/>
      <c r="AD13" s="12" t="n"/>
      <c r="AE13" s="12" t="n"/>
      <c r="AH13" s="11" t="inlineStr">
        <is>
          <t>번호</t>
        </is>
      </c>
      <c r="AI13" s="12" t="n"/>
      <c r="AJ13" s="13" t="inlineStr">
        <is>
          <t>포트명</t>
        </is>
      </c>
      <c r="AK13" s="12" t="n"/>
      <c r="AL13" s="12" t="n"/>
      <c r="AM13" s="12" t="n"/>
      <c r="AN13" s="12" t="n"/>
      <c r="AO13" s="13" t="inlineStr">
        <is>
          <t>용도</t>
        </is>
      </c>
      <c r="AP13" s="12" t="n"/>
      <c r="AQ13" s="12" t="n"/>
      <c r="AR13" s="12" t="n"/>
      <c r="AS13" s="13" t="inlineStr">
        <is>
          <t>상대 장비</t>
        </is>
      </c>
      <c r="AT13" s="12" t="n"/>
      <c r="AU13" s="12" t="n"/>
      <c r="AV13" s="12" t="n"/>
      <c r="AW13" s="12" t="n"/>
      <c r="AX13" s="12" t="n"/>
      <c r="AY13" s="12" t="n"/>
      <c r="AZ13" s="13" t="inlineStr">
        <is>
          <t>상대 포트</t>
        </is>
      </c>
      <c r="BA13" s="12" t="n"/>
      <c r="BB13" s="12" t="n"/>
      <c r="BC13" s="12" t="n"/>
      <c r="BD13" s="12" t="n"/>
      <c r="BE13" s="13" t="inlineStr">
        <is>
          <t>케이블 라벨</t>
        </is>
      </c>
      <c r="BF13" s="12" t="n"/>
      <c r="BG13" s="12" t="n"/>
      <c r="BH13" s="12" t="n"/>
      <c r="BI13" s="12" t="n"/>
      <c r="BJ13" s="12" t="n"/>
      <c r="BK13" s="12" t="n"/>
    </row>
    <row r="14" ht="13.5" customHeight="1">
      <c r="B14" s="65" t="n">
        <v>1</v>
      </c>
      <c r="C14" s="21" t="n"/>
      <c r="D14" s="67" t="inlineStr">
        <is>
          <t>C13-1</t>
        </is>
      </c>
      <c r="E14" s="21" t="n"/>
      <c r="F14" s="21" t="n"/>
      <c r="G14" s="21" t="n"/>
      <c r="H14" s="21" t="n"/>
      <c r="I14" s="67" t="inlineStr">
        <is>
          <t>전원</t>
        </is>
      </c>
      <c r="J14" s="21" t="n"/>
      <c r="K14" s="21" t="n"/>
      <c r="L14" s="21" t="n"/>
      <c r="M14" s="67" t="inlineStr">
        <is>
          <t>MGMT-SW</t>
        </is>
      </c>
      <c r="N14" s="21" t="n"/>
      <c r="O14" s="21" t="n"/>
      <c r="P14" s="21" t="n"/>
      <c r="Q14" s="21" t="n"/>
      <c r="R14" s="21" t="n"/>
      <c r="S14" s="21" t="n"/>
      <c r="T14" s="67" t="inlineStr">
        <is>
          <t>PSU1</t>
        </is>
      </c>
      <c r="U14" s="21" t="n"/>
      <c r="V14" s="21" t="n"/>
      <c r="W14" s="21" t="n"/>
      <c r="X14" s="21" t="n"/>
      <c r="Y14" s="68" t="inlineStr">
        <is>
          <t>R02-P001</t>
        </is>
      </c>
      <c r="Z14" s="21" t="n"/>
      <c r="AA14" s="21" t="n"/>
      <c r="AB14" s="21" t="n"/>
      <c r="AC14" s="21" t="n"/>
      <c r="AD14" s="21" t="n"/>
      <c r="AE14" s="21" t="n"/>
      <c r="AH14" s="65" t="n">
        <v>31</v>
      </c>
      <c r="AI14" s="21" t="n"/>
      <c r="AJ14" s="67" t="inlineStr">
        <is>
          <t>입력</t>
        </is>
      </c>
      <c r="AK14" s="21" t="n"/>
      <c r="AL14" s="21" t="n"/>
      <c r="AM14" s="21" t="n"/>
      <c r="AN14" s="21" t="n"/>
      <c r="AO14" s="67" t="inlineStr">
        <is>
          <t>전원</t>
        </is>
      </c>
      <c r="AP14" s="21" t="n"/>
      <c r="AQ14" s="21" t="n"/>
      <c r="AR14" s="21" t="n"/>
      <c r="AS14" s="67" t="inlineStr">
        <is>
          <t>분전반 A</t>
        </is>
      </c>
      <c r="AT14" s="21" t="n"/>
      <c r="AU14" s="21" t="n"/>
      <c r="AV14" s="21" t="n"/>
      <c r="AW14" s="21" t="n"/>
      <c r="AX14" s="21" t="n"/>
      <c r="AY14" s="21" t="n"/>
      <c r="AZ14" s="67" t="inlineStr">
        <is>
          <t>A-12</t>
        </is>
      </c>
      <c r="BA14" s="21" t="n"/>
      <c r="BB14" s="21" t="n"/>
      <c r="BC14" s="21" t="n"/>
      <c r="BD14" s="21" t="n"/>
      <c r="BE14" s="68" t="inlineStr">
        <is>
          <t>R02-P025</t>
        </is>
      </c>
      <c r="BF14" s="21" t="n"/>
      <c r="BG14" s="21" t="n"/>
      <c r="BH14" s="21" t="n"/>
      <c r="BI14" s="21" t="n"/>
      <c r="BJ14" s="21" t="n"/>
      <c r="BK14" s="21" t="n"/>
    </row>
    <row r="15" ht="13.5" customHeight="1">
      <c r="B15" s="65" t="n">
        <v>2</v>
      </c>
      <c r="C15" s="21" t="n"/>
      <c r="D15" s="67" t="inlineStr">
        <is>
          <t>C13-2</t>
        </is>
      </c>
      <c r="E15" s="21" t="n"/>
      <c r="F15" s="21" t="n"/>
      <c r="G15" s="21" t="n"/>
      <c r="H15" s="21" t="n"/>
      <c r="I15" s="67" t="inlineStr">
        <is>
          <t>전원</t>
        </is>
      </c>
      <c r="J15" s="21" t="n"/>
      <c r="K15" s="21" t="n"/>
      <c r="L15" s="21" t="n"/>
      <c r="M15" s="67" t="inlineStr">
        <is>
          <t>TOR-A</t>
        </is>
      </c>
      <c r="N15" s="21" t="n"/>
      <c r="O15" s="21" t="n"/>
      <c r="P15" s="21" t="n"/>
      <c r="Q15" s="21" t="n"/>
      <c r="R15" s="21" t="n"/>
      <c r="S15" s="21" t="n"/>
      <c r="T15" s="67" t="inlineStr">
        <is>
          <t>PSU1</t>
        </is>
      </c>
      <c r="U15" s="21" t="n"/>
      <c r="V15" s="21" t="n"/>
      <c r="W15" s="21" t="n"/>
      <c r="X15" s="21" t="n"/>
      <c r="Y15" s="68" t="inlineStr">
        <is>
          <t>R02-P003</t>
        </is>
      </c>
      <c r="Z15" s="21" t="n"/>
      <c r="AA15" s="21" t="n"/>
      <c r="AB15" s="21" t="n"/>
      <c r="AC15" s="21" t="n"/>
      <c r="AD15" s="21" t="n"/>
      <c r="AE15" s="21" t="n"/>
      <c r="AH15" s="65" t="n"/>
      <c r="AI15" s="21" t="n"/>
      <c r="AJ15" s="67" t="n"/>
      <c r="AK15" s="21" t="n"/>
      <c r="AL15" s="21" t="n"/>
      <c r="AM15" s="21" t="n"/>
      <c r="AN15" s="21" t="n"/>
      <c r="AO15" s="67" t="n"/>
      <c r="AP15" s="21" t="n"/>
      <c r="AQ15" s="21" t="n"/>
      <c r="AR15" s="21" t="n"/>
      <c r="AS15" s="67" t="n"/>
      <c r="AT15" s="21" t="n"/>
      <c r="AU15" s="21" t="n"/>
      <c r="AV15" s="21" t="n"/>
      <c r="AW15" s="21" t="n"/>
      <c r="AX15" s="21" t="n"/>
      <c r="AY15" s="21" t="n"/>
      <c r="AZ15" s="67" t="n"/>
      <c r="BA15" s="21" t="n"/>
      <c r="BB15" s="21" t="n"/>
      <c r="BC15" s="21" t="n"/>
      <c r="BD15" s="21" t="n"/>
      <c r="BE15" s="68" t="n"/>
      <c r="BF15" s="21" t="n"/>
      <c r="BG15" s="21" t="n"/>
      <c r="BH15" s="21" t="n"/>
      <c r="BI15" s="21" t="n"/>
      <c r="BJ15" s="21" t="n"/>
      <c r="BK15" s="21" t="n"/>
    </row>
    <row r="16" ht="13.5" customHeight="1">
      <c r="B16" s="65" t="n">
        <v>3</v>
      </c>
      <c r="C16" s="21" t="n"/>
      <c r="D16" s="67" t="inlineStr">
        <is>
          <t>C13-3</t>
        </is>
      </c>
      <c r="E16" s="21" t="n"/>
      <c r="F16" s="21" t="n"/>
      <c r="G16" s="21" t="n"/>
      <c r="H16" s="21" t="n"/>
      <c r="I16" s="67" t="inlineStr">
        <is>
          <t>전원</t>
        </is>
      </c>
      <c r="J16" s="21" t="n"/>
      <c r="K16" s="21" t="n"/>
      <c r="L16" s="21" t="n"/>
      <c r="M16" s="67" t="inlineStr">
        <is>
          <t>TOR-B</t>
        </is>
      </c>
      <c r="N16" s="21" t="n"/>
      <c r="O16" s="21" t="n"/>
      <c r="P16" s="21" t="n"/>
      <c r="Q16" s="21" t="n"/>
      <c r="R16" s="21" t="n"/>
      <c r="S16" s="21" t="n"/>
      <c r="T16" s="67" t="inlineStr">
        <is>
          <t>PSU1</t>
        </is>
      </c>
      <c r="U16" s="21" t="n"/>
      <c r="V16" s="21" t="n"/>
      <c r="W16" s="21" t="n"/>
      <c r="X16" s="21" t="n"/>
      <c r="Y16" s="68" t="inlineStr">
        <is>
          <t>R02-P005</t>
        </is>
      </c>
      <c r="Z16" s="21" t="n"/>
      <c r="AA16" s="21" t="n"/>
      <c r="AB16" s="21" t="n"/>
      <c r="AC16" s="21" t="n"/>
      <c r="AD16" s="21" t="n"/>
      <c r="AE16" s="21" t="n"/>
      <c r="AH16" s="65" t="n"/>
      <c r="AI16" s="21" t="n"/>
      <c r="AJ16" s="67" t="n"/>
      <c r="AK16" s="21" t="n"/>
      <c r="AL16" s="21" t="n"/>
      <c r="AM16" s="21" t="n"/>
      <c r="AN16" s="21" t="n"/>
      <c r="AO16" s="67" t="n"/>
      <c r="AP16" s="21" t="n"/>
      <c r="AQ16" s="21" t="n"/>
      <c r="AR16" s="21" t="n"/>
      <c r="AS16" s="67" t="n"/>
      <c r="AT16" s="21" t="n"/>
      <c r="AU16" s="21" t="n"/>
      <c r="AV16" s="21" t="n"/>
      <c r="AW16" s="21" t="n"/>
      <c r="AX16" s="21" t="n"/>
      <c r="AY16" s="21" t="n"/>
      <c r="AZ16" s="67" t="n"/>
      <c r="BA16" s="21" t="n"/>
      <c r="BB16" s="21" t="n"/>
      <c r="BC16" s="21" t="n"/>
      <c r="BD16" s="21" t="n"/>
      <c r="BE16" s="68" t="n"/>
      <c r="BF16" s="21" t="n"/>
      <c r="BG16" s="21" t="n"/>
      <c r="BH16" s="21" t="n"/>
      <c r="BI16" s="21" t="n"/>
      <c r="BJ16" s="21" t="n"/>
      <c r="BK16" s="21" t="n"/>
    </row>
    <row r="17" ht="13.5" customHeight="1">
      <c r="B17" s="65" t="n">
        <v>4</v>
      </c>
      <c r="C17" s="21" t="n"/>
      <c r="D17" s="67" t="inlineStr">
        <is>
          <t>C13-4</t>
        </is>
      </c>
      <c r="E17" s="21" t="n"/>
      <c r="F17" s="21" t="n"/>
      <c r="G17" s="21" t="n"/>
      <c r="H17" s="21" t="n"/>
      <c r="I17" s="67" t="inlineStr">
        <is>
          <t>전원</t>
        </is>
      </c>
      <c r="J17" s="21" t="n"/>
      <c r="K17" s="21" t="n"/>
      <c r="L17" s="21" t="n"/>
      <c r="M17" s="67" t="inlineStr">
        <is>
          <t>SAN-A</t>
        </is>
      </c>
      <c r="N17" s="21" t="n"/>
      <c r="O17" s="21" t="n"/>
      <c r="P17" s="21" t="n"/>
      <c r="Q17" s="21" t="n"/>
      <c r="R17" s="21" t="n"/>
      <c r="S17" s="21" t="n"/>
      <c r="T17" s="67" t="inlineStr">
        <is>
          <t>PSU1</t>
        </is>
      </c>
      <c r="U17" s="21" t="n"/>
      <c r="V17" s="21" t="n"/>
      <c r="W17" s="21" t="n"/>
      <c r="X17" s="21" t="n"/>
      <c r="Y17" s="68" t="inlineStr">
        <is>
          <t>R02-P007</t>
        </is>
      </c>
      <c r="Z17" s="21" t="n"/>
      <c r="AA17" s="21" t="n"/>
      <c r="AB17" s="21" t="n"/>
      <c r="AC17" s="21" t="n"/>
      <c r="AD17" s="21" t="n"/>
      <c r="AE17" s="21" t="n"/>
      <c r="AH17" s="65" t="n"/>
      <c r="AI17" s="21" t="n"/>
      <c r="AJ17" s="67" t="n"/>
      <c r="AK17" s="21" t="n"/>
      <c r="AL17" s="21" t="n"/>
      <c r="AM17" s="21" t="n"/>
      <c r="AN17" s="21" t="n"/>
      <c r="AO17" s="67" t="n"/>
      <c r="AP17" s="21" t="n"/>
      <c r="AQ17" s="21" t="n"/>
      <c r="AR17" s="21" t="n"/>
      <c r="AS17" s="67" t="n"/>
      <c r="AT17" s="21" t="n"/>
      <c r="AU17" s="21" t="n"/>
      <c r="AV17" s="21" t="n"/>
      <c r="AW17" s="21" t="n"/>
      <c r="AX17" s="21" t="n"/>
      <c r="AY17" s="21" t="n"/>
      <c r="AZ17" s="67" t="n"/>
      <c r="BA17" s="21" t="n"/>
      <c r="BB17" s="21" t="n"/>
      <c r="BC17" s="21" t="n"/>
      <c r="BD17" s="21" t="n"/>
      <c r="BE17" s="68" t="n"/>
      <c r="BF17" s="21" t="n"/>
      <c r="BG17" s="21" t="n"/>
      <c r="BH17" s="21" t="n"/>
      <c r="BI17" s="21" t="n"/>
      <c r="BJ17" s="21" t="n"/>
      <c r="BK17" s="21" t="n"/>
    </row>
    <row r="18" ht="13.5" customHeight="1">
      <c r="B18" s="65" t="n">
        <v>5</v>
      </c>
      <c r="C18" s="21" t="n"/>
      <c r="D18" s="67" t="inlineStr">
        <is>
          <t>C13-5</t>
        </is>
      </c>
      <c r="E18" s="21" t="n"/>
      <c r="F18" s="21" t="n"/>
      <c r="G18" s="21" t="n"/>
      <c r="H18" s="21" t="n"/>
      <c r="I18" s="67" t="inlineStr">
        <is>
          <t>전원</t>
        </is>
      </c>
      <c r="J18" s="21" t="n"/>
      <c r="K18" s="21" t="n"/>
      <c r="L18" s="21" t="n"/>
      <c r="M18" s="67" t="inlineStr">
        <is>
          <t>SAN-B</t>
        </is>
      </c>
      <c r="N18" s="21" t="n"/>
      <c r="O18" s="21" t="n"/>
      <c r="P18" s="21" t="n"/>
      <c r="Q18" s="21" t="n"/>
      <c r="R18" s="21" t="n"/>
      <c r="S18" s="21" t="n"/>
      <c r="T18" s="67" t="inlineStr">
        <is>
          <t>PSU1</t>
        </is>
      </c>
      <c r="U18" s="21" t="n"/>
      <c r="V18" s="21" t="n"/>
      <c r="W18" s="21" t="n"/>
      <c r="X18" s="21" t="n"/>
      <c r="Y18" s="68" t="inlineStr">
        <is>
          <t>R02-P009</t>
        </is>
      </c>
      <c r="Z18" s="21" t="n"/>
      <c r="AA18" s="21" t="n"/>
      <c r="AB18" s="21" t="n"/>
      <c r="AC18" s="21" t="n"/>
      <c r="AD18" s="21" t="n"/>
      <c r="AE18" s="21" t="n"/>
      <c r="AH18" s="65" t="n"/>
      <c r="AI18" s="21" t="n"/>
      <c r="AJ18" s="67" t="n"/>
      <c r="AK18" s="21" t="n"/>
      <c r="AL18" s="21" t="n"/>
      <c r="AM18" s="21" t="n"/>
      <c r="AN18" s="21" t="n"/>
      <c r="AO18" s="67" t="n"/>
      <c r="AP18" s="21" t="n"/>
      <c r="AQ18" s="21" t="n"/>
      <c r="AR18" s="21" t="n"/>
      <c r="AS18" s="67" t="n"/>
      <c r="AT18" s="21" t="n"/>
      <c r="AU18" s="21" t="n"/>
      <c r="AV18" s="21" t="n"/>
      <c r="AW18" s="21" t="n"/>
      <c r="AX18" s="21" t="n"/>
      <c r="AY18" s="21" t="n"/>
      <c r="AZ18" s="67" t="n"/>
      <c r="BA18" s="21" t="n"/>
      <c r="BB18" s="21" t="n"/>
      <c r="BC18" s="21" t="n"/>
      <c r="BD18" s="21" t="n"/>
      <c r="BE18" s="68" t="n"/>
      <c r="BF18" s="21" t="n"/>
      <c r="BG18" s="21" t="n"/>
      <c r="BH18" s="21" t="n"/>
      <c r="BI18" s="21" t="n"/>
      <c r="BJ18" s="21" t="n"/>
      <c r="BK18" s="21" t="n"/>
    </row>
    <row r="19" ht="13.5" customHeight="1">
      <c r="B19" s="65" t="n">
        <v>6</v>
      </c>
      <c r="C19" s="21" t="n"/>
      <c r="D19" s="67" t="inlineStr">
        <is>
          <t>C13-6</t>
        </is>
      </c>
      <c r="E19" s="21" t="n"/>
      <c r="F19" s="21" t="n"/>
      <c r="G19" s="21" t="n"/>
      <c r="H19" s="21" t="n"/>
      <c r="I19" s="67" t="inlineStr">
        <is>
          <t>전원</t>
        </is>
      </c>
      <c r="J19" s="21" t="n"/>
      <c r="K19" s="21" t="n"/>
      <c r="L19" s="21" t="n"/>
      <c r="M19" s="67" t="inlineStr">
        <is>
          <t>STG-01</t>
        </is>
      </c>
      <c r="N19" s="21" t="n"/>
      <c r="O19" s="21" t="n"/>
      <c r="P19" s="21" t="n"/>
      <c r="Q19" s="21" t="n"/>
      <c r="R19" s="21" t="n"/>
      <c r="S19" s="21" t="n"/>
      <c r="T19" s="67" t="inlineStr">
        <is>
          <t>PSU A</t>
        </is>
      </c>
      <c r="U19" s="21" t="n"/>
      <c r="V19" s="21" t="n"/>
      <c r="W19" s="21" t="n"/>
      <c r="X19" s="21" t="n"/>
      <c r="Y19" s="68" t="inlineStr">
        <is>
          <t>R02-P011</t>
        </is>
      </c>
      <c r="Z19" s="21" t="n"/>
      <c r="AA19" s="21" t="n"/>
      <c r="AB19" s="21" t="n"/>
      <c r="AC19" s="21" t="n"/>
      <c r="AD19" s="21" t="n"/>
      <c r="AE19" s="21" t="n"/>
      <c r="AH19" s="65" t="n"/>
      <c r="AI19" s="21" t="n"/>
      <c r="AJ19" s="67" t="n"/>
      <c r="AK19" s="21" t="n"/>
      <c r="AL19" s="21" t="n"/>
      <c r="AM19" s="21" t="n"/>
      <c r="AN19" s="21" t="n"/>
      <c r="AO19" s="67" t="n"/>
      <c r="AP19" s="21" t="n"/>
      <c r="AQ19" s="21" t="n"/>
      <c r="AR19" s="21" t="n"/>
      <c r="AS19" s="67" t="n"/>
      <c r="AT19" s="21" t="n"/>
      <c r="AU19" s="21" t="n"/>
      <c r="AV19" s="21" t="n"/>
      <c r="AW19" s="21" t="n"/>
      <c r="AX19" s="21" t="n"/>
      <c r="AY19" s="21" t="n"/>
      <c r="AZ19" s="67" t="n"/>
      <c r="BA19" s="21" t="n"/>
      <c r="BB19" s="21" t="n"/>
      <c r="BC19" s="21" t="n"/>
      <c r="BD19" s="21" t="n"/>
      <c r="BE19" s="68" t="n"/>
      <c r="BF19" s="21" t="n"/>
      <c r="BG19" s="21" t="n"/>
      <c r="BH19" s="21" t="n"/>
      <c r="BI19" s="21" t="n"/>
      <c r="BJ19" s="21" t="n"/>
      <c r="BK19" s="21" t="n"/>
    </row>
    <row r="20" ht="13.5" customHeight="1">
      <c r="B20" s="65" t="n">
        <v>7</v>
      </c>
      <c r="C20" s="21" t="n"/>
      <c r="D20" s="67" t="inlineStr">
        <is>
          <t>C13-7</t>
        </is>
      </c>
      <c r="E20" s="21" t="n"/>
      <c r="F20" s="21" t="n"/>
      <c r="G20" s="21" t="n"/>
      <c r="H20" s="21" t="n"/>
      <c r="I20" s="67" t="inlineStr">
        <is>
          <t>전원</t>
        </is>
      </c>
      <c r="J20" s="21" t="n"/>
      <c r="K20" s="21" t="n"/>
      <c r="L20" s="21" t="n"/>
      <c r="M20" s="67" t="inlineStr">
        <is>
          <t>SRV-01</t>
        </is>
      </c>
      <c r="N20" s="21" t="n"/>
      <c r="O20" s="21" t="n"/>
      <c r="P20" s="21" t="n"/>
      <c r="Q20" s="21" t="n"/>
      <c r="R20" s="21" t="n"/>
      <c r="S20" s="21" t="n"/>
      <c r="T20" s="67" t="inlineStr">
        <is>
          <t>PSU1</t>
        </is>
      </c>
      <c r="U20" s="21" t="n"/>
      <c r="V20" s="21" t="n"/>
      <c r="W20" s="21" t="n"/>
      <c r="X20" s="21" t="n"/>
      <c r="Y20" s="68" t="inlineStr">
        <is>
          <t>R02-P013</t>
        </is>
      </c>
      <c r="Z20" s="21" t="n"/>
      <c r="AA20" s="21" t="n"/>
      <c r="AB20" s="21" t="n"/>
      <c r="AC20" s="21" t="n"/>
      <c r="AD20" s="21" t="n"/>
      <c r="AE20" s="21" t="n"/>
      <c r="AH20" s="65" t="n"/>
      <c r="AI20" s="21" t="n"/>
      <c r="AJ20" s="67" t="n"/>
      <c r="AK20" s="21" t="n"/>
      <c r="AL20" s="21" t="n"/>
      <c r="AM20" s="21" t="n"/>
      <c r="AN20" s="21" t="n"/>
      <c r="AO20" s="67" t="n"/>
      <c r="AP20" s="21" t="n"/>
      <c r="AQ20" s="21" t="n"/>
      <c r="AR20" s="21" t="n"/>
      <c r="AS20" s="67" t="n"/>
      <c r="AT20" s="21" t="n"/>
      <c r="AU20" s="21" t="n"/>
      <c r="AV20" s="21" t="n"/>
      <c r="AW20" s="21" t="n"/>
      <c r="AX20" s="21" t="n"/>
      <c r="AY20" s="21" t="n"/>
      <c r="AZ20" s="67" t="n"/>
      <c r="BA20" s="21" t="n"/>
      <c r="BB20" s="21" t="n"/>
      <c r="BC20" s="21" t="n"/>
      <c r="BD20" s="21" t="n"/>
      <c r="BE20" s="68" t="n"/>
      <c r="BF20" s="21" t="n"/>
      <c r="BG20" s="21" t="n"/>
      <c r="BH20" s="21" t="n"/>
      <c r="BI20" s="21" t="n"/>
      <c r="BJ20" s="21" t="n"/>
      <c r="BK20" s="21" t="n"/>
    </row>
    <row r="21" ht="13.5" customHeight="1">
      <c r="B21" s="65" t="n">
        <v>8</v>
      </c>
      <c r="C21" s="21" t="n"/>
      <c r="D21" s="67" t="inlineStr">
        <is>
          <t>C13-8</t>
        </is>
      </c>
      <c r="E21" s="21" t="n"/>
      <c r="F21" s="21" t="n"/>
      <c r="G21" s="21" t="n"/>
      <c r="H21" s="21" t="n"/>
      <c r="I21" s="67" t="inlineStr">
        <is>
          <t>전원</t>
        </is>
      </c>
      <c r="J21" s="21" t="n"/>
      <c r="K21" s="21" t="n"/>
      <c r="L21" s="21" t="n"/>
      <c r="M21" s="67" t="inlineStr">
        <is>
          <t>SRV-02</t>
        </is>
      </c>
      <c r="N21" s="21" t="n"/>
      <c r="O21" s="21" t="n"/>
      <c r="P21" s="21" t="n"/>
      <c r="Q21" s="21" t="n"/>
      <c r="R21" s="21" t="n"/>
      <c r="S21" s="21" t="n"/>
      <c r="T21" s="67" t="inlineStr">
        <is>
          <t>PSU1</t>
        </is>
      </c>
      <c r="U21" s="21" t="n"/>
      <c r="V21" s="21" t="n"/>
      <c r="W21" s="21" t="n"/>
      <c r="X21" s="21" t="n"/>
      <c r="Y21" s="68" t="inlineStr">
        <is>
          <t>R02-P015</t>
        </is>
      </c>
      <c r="Z21" s="21" t="n"/>
      <c r="AA21" s="21" t="n"/>
      <c r="AB21" s="21" t="n"/>
      <c r="AC21" s="21" t="n"/>
      <c r="AD21" s="21" t="n"/>
      <c r="AE21" s="21" t="n"/>
      <c r="AH21" s="65" t="n"/>
      <c r="AI21" s="21" t="n"/>
      <c r="AJ21" s="67" t="n"/>
      <c r="AK21" s="21" t="n"/>
      <c r="AL21" s="21" t="n"/>
      <c r="AM21" s="21" t="n"/>
      <c r="AN21" s="21" t="n"/>
      <c r="AO21" s="67" t="n"/>
      <c r="AP21" s="21" t="n"/>
      <c r="AQ21" s="21" t="n"/>
      <c r="AR21" s="21" t="n"/>
      <c r="AS21" s="67" t="n"/>
      <c r="AT21" s="21" t="n"/>
      <c r="AU21" s="21" t="n"/>
      <c r="AV21" s="21" t="n"/>
      <c r="AW21" s="21" t="n"/>
      <c r="AX21" s="21" t="n"/>
      <c r="AY21" s="21" t="n"/>
      <c r="AZ21" s="67" t="n"/>
      <c r="BA21" s="21" t="n"/>
      <c r="BB21" s="21" t="n"/>
      <c r="BC21" s="21" t="n"/>
      <c r="BD21" s="21" t="n"/>
      <c r="BE21" s="68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5" t="n">
        <v>9</v>
      </c>
      <c r="C22" s="21" t="n"/>
      <c r="D22" s="67" t="inlineStr">
        <is>
          <t>C13-9</t>
        </is>
      </c>
      <c r="E22" s="21" t="n"/>
      <c r="F22" s="21" t="n"/>
      <c r="G22" s="21" t="n"/>
      <c r="H22" s="21" t="n"/>
      <c r="I22" s="67" t="inlineStr">
        <is>
          <t>전원</t>
        </is>
      </c>
      <c r="J22" s="21" t="n"/>
      <c r="K22" s="21" t="n"/>
      <c r="L22" s="21" t="n"/>
      <c r="M22" s="67" t="inlineStr">
        <is>
          <t>SRV-03</t>
        </is>
      </c>
      <c r="N22" s="21" t="n"/>
      <c r="O22" s="21" t="n"/>
      <c r="P22" s="21" t="n"/>
      <c r="Q22" s="21" t="n"/>
      <c r="R22" s="21" t="n"/>
      <c r="S22" s="21" t="n"/>
      <c r="T22" s="67" t="inlineStr">
        <is>
          <t>PSU1</t>
        </is>
      </c>
      <c r="U22" s="21" t="n"/>
      <c r="V22" s="21" t="n"/>
      <c r="W22" s="21" t="n"/>
      <c r="X22" s="21" t="n"/>
      <c r="Y22" s="68" t="inlineStr">
        <is>
          <t>R02-P017</t>
        </is>
      </c>
      <c r="Z22" s="21" t="n"/>
      <c r="AA22" s="21" t="n"/>
      <c r="AB22" s="21" t="n"/>
      <c r="AC22" s="21" t="n"/>
      <c r="AD22" s="21" t="n"/>
      <c r="AE22" s="21" t="n"/>
      <c r="AH22" s="65" t="n"/>
      <c r="AI22" s="21" t="n"/>
      <c r="AJ22" s="67" t="n"/>
      <c r="AK22" s="21" t="n"/>
      <c r="AL22" s="21" t="n"/>
      <c r="AM22" s="21" t="n"/>
      <c r="AN22" s="21" t="n"/>
      <c r="AO22" s="67" t="n"/>
      <c r="AP22" s="21" t="n"/>
      <c r="AQ22" s="21" t="n"/>
      <c r="AR22" s="21" t="n"/>
      <c r="AS22" s="67" t="n"/>
      <c r="AT22" s="21" t="n"/>
      <c r="AU22" s="21" t="n"/>
      <c r="AV22" s="21" t="n"/>
      <c r="AW22" s="21" t="n"/>
      <c r="AX22" s="21" t="n"/>
      <c r="AY22" s="21" t="n"/>
      <c r="AZ22" s="67" t="n"/>
      <c r="BA22" s="21" t="n"/>
      <c r="BB22" s="21" t="n"/>
      <c r="BC22" s="21" t="n"/>
      <c r="BD22" s="21" t="n"/>
      <c r="BE22" s="68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5" t="n">
        <v>25</v>
      </c>
      <c r="C23" s="21" t="n"/>
      <c r="D23" s="67" t="inlineStr">
        <is>
          <t>C19-25</t>
        </is>
      </c>
      <c r="E23" s="21" t="n"/>
      <c r="F23" s="21" t="n"/>
      <c r="G23" s="21" t="n"/>
      <c r="H23" s="21" t="n"/>
      <c r="I23" s="67" t="inlineStr">
        <is>
          <t>전원</t>
        </is>
      </c>
      <c r="J23" s="21" t="n"/>
      <c r="K23" s="21" t="n"/>
      <c r="L23" s="21" t="n"/>
      <c r="M23" s="67" t="inlineStr">
        <is>
          <t>ENC-01</t>
        </is>
      </c>
      <c r="N23" s="21" t="n"/>
      <c r="O23" s="21" t="n"/>
      <c r="P23" s="21" t="n"/>
      <c r="Q23" s="21" t="n"/>
      <c r="R23" s="21" t="n"/>
      <c r="S23" s="21" t="n"/>
      <c r="T23" s="67" t="inlineStr">
        <is>
          <t>AC1</t>
        </is>
      </c>
      <c r="U23" s="21" t="n"/>
      <c r="V23" s="21" t="n"/>
      <c r="W23" s="21" t="n"/>
      <c r="X23" s="21" t="n"/>
      <c r="Y23" s="68" t="inlineStr">
        <is>
          <t>R02-P019</t>
        </is>
      </c>
      <c r="Z23" s="21" t="n"/>
      <c r="AA23" s="21" t="n"/>
      <c r="AB23" s="21" t="n"/>
      <c r="AC23" s="21" t="n"/>
      <c r="AD23" s="21" t="n"/>
      <c r="AE23" s="21" t="n"/>
      <c r="AH23" s="65" t="n"/>
      <c r="AI23" s="21" t="n"/>
      <c r="AJ23" s="67" t="n"/>
      <c r="AK23" s="21" t="n"/>
      <c r="AL23" s="21" t="n"/>
      <c r="AM23" s="21" t="n"/>
      <c r="AN23" s="21" t="n"/>
      <c r="AO23" s="67" t="n"/>
      <c r="AP23" s="21" t="n"/>
      <c r="AQ23" s="21" t="n"/>
      <c r="AR23" s="21" t="n"/>
      <c r="AS23" s="67" t="n"/>
      <c r="AT23" s="21" t="n"/>
      <c r="AU23" s="21" t="n"/>
      <c r="AV23" s="21" t="n"/>
      <c r="AW23" s="21" t="n"/>
      <c r="AX23" s="21" t="n"/>
      <c r="AY23" s="21" t="n"/>
      <c r="AZ23" s="67" t="n"/>
      <c r="BA23" s="21" t="n"/>
      <c r="BB23" s="21" t="n"/>
      <c r="BC23" s="21" t="n"/>
      <c r="BD23" s="21" t="n"/>
      <c r="BE23" s="68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5" t="n">
        <v>26</v>
      </c>
      <c r="C24" s="21" t="n"/>
      <c r="D24" s="67" t="inlineStr">
        <is>
          <t>C19-26</t>
        </is>
      </c>
      <c r="E24" s="21" t="n"/>
      <c r="F24" s="21" t="n"/>
      <c r="G24" s="21" t="n"/>
      <c r="H24" s="21" t="n"/>
      <c r="I24" s="67" t="inlineStr">
        <is>
          <t>전원</t>
        </is>
      </c>
      <c r="J24" s="21" t="n"/>
      <c r="K24" s="21" t="n"/>
      <c r="L24" s="21" t="n"/>
      <c r="M24" s="67" t="inlineStr">
        <is>
          <t>ENC-01</t>
        </is>
      </c>
      <c r="N24" s="21" t="n"/>
      <c r="O24" s="21" t="n"/>
      <c r="P24" s="21" t="n"/>
      <c r="Q24" s="21" t="n"/>
      <c r="R24" s="21" t="n"/>
      <c r="S24" s="21" t="n"/>
      <c r="T24" s="67" t="inlineStr">
        <is>
          <t>AC2</t>
        </is>
      </c>
      <c r="U24" s="21" t="n"/>
      <c r="V24" s="21" t="n"/>
      <c r="W24" s="21" t="n"/>
      <c r="X24" s="21" t="n"/>
      <c r="Y24" s="68" t="inlineStr">
        <is>
          <t>R02-P020</t>
        </is>
      </c>
      <c r="Z24" s="21" t="n"/>
      <c r="AA24" s="21" t="n"/>
      <c r="AB24" s="21" t="n"/>
      <c r="AC24" s="21" t="n"/>
      <c r="AD24" s="21" t="n"/>
      <c r="AE24" s="21" t="n"/>
      <c r="AH24" s="65" t="n"/>
      <c r="AI24" s="21" t="n"/>
      <c r="AJ24" s="67" t="n"/>
      <c r="AK24" s="21" t="n"/>
      <c r="AL24" s="21" t="n"/>
      <c r="AM24" s="21" t="n"/>
      <c r="AN24" s="21" t="n"/>
      <c r="AO24" s="67" t="n"/>
      <c r="AP24" s="21" t="n"/>
      <c r="AQ24" s="21" t="n"/>
      <c r="AR24" s="21" t="n"/>
      <c r="AS24" s="67" t="n"/>
      <c r="AT24" s="21" t="n"/>
      <c r="AU24" s="21" t="n"/>
      <c r="AV24" s="21" t="n"/>
      <c r="AW24" s="21" t="n"/>
      <c r="AX24" s="21" t="n"/>
      <c r="AY24" s="21" t="n"/>
      <c r="AZ24" s="67" t="n"/>
      <c r="BA24" s="21" t="n"/>
      <c r="BB24" s="21" t="n"/>
      <c r="BC24" s="21" t="n"/>
      <c r="BD24" s="21" t="n"/>
      <c r="BE24" s="68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5" t="n">
        <v>27</v>
      </c>
      <c r="C25" s="21" t="n"/>
      <c r="D25" s="67" t="inlineStr">
        <is>
          <t>C19-27</t>
        </is>
      </c>
      <c r="E25" s="21" t="n"/>
      <c r="F25" s="21" t="n"/>
      <c r="G25" s="21" t="n"/>
      <c r="H25" s="21" t="n"/>
      <c r="I25" s="67" t="inlineStr">
        <is>
          <t>전원</t>
        </is>
      </c>
      <c r="J25" s="21" t="n"/>
      <c r="K25" s="21" t="n"/>
      <c r="L25" s="21" t="n"/>
      <c r="M25" s="67" t="inlineStr">
        <is>
          <t>ENC-01</t>
        </is>
      </c>
      <c r="N25" s="21" t="n"/>
      <c r="O25" s="21" t="n"/>
      <c r="P25" s="21" t="n"/>
      <c r="Q25" s="21" t="n"/>
      <c r="R25" s="21" t="n"/>
      <c r="S25" s="21" t="n"/>
      <c r="T25" s="67" t="inlineStr">
        <is>
          <t>AC3</t>
        </is>
      </c>
      <c r="U25" s="21" t="n"/>
      <c r="V25" s="21" t="n"/>
      <c r="W25" s="21" t="n"/>
      <c r="X25" s="21" t="n"/>
      <c r="Y25" s="68" t="inlineStr">
        <is>
          <t>R02-P021</t>
        </is>
      </c>
      <c r="Z25" s="21" t="n"/>
      <c r="AA25" s="21" t="n"/>
      <c r="AB25" s="21" t="n"/>
      <c r="AC25" s="21" t="n"/>
      <c r="AD25" s="21" t="n"/>
      <c r="AE25" s="21" t="n"/>
      <c r="AH25" s="65" t="n"/>
      <c r="AI25" s="21" t="n"/>
      <c r="AJ25" s="67" t="n"/>
      <c r="AK25" s="21" t="n"/>
      <c r="AL25" s="21" t="n"/>
      <c r="AM25" s="21" t="n"/>
      <c r="AN25" s="21" t="n"/>
      <c r="AO25" s="67" t="n"/>
      <c r="AP25" s="21" t="n"/>
      <c r="AQ25" s="21" t="n"/>
      <c r="AR25" s="21" t="n"/>
      <c r="AS25" s="67" t="n"/>
      <c r="AT25" s="21" t="n"/>
      <c r="AU25" s="21" t="n"/>
      <c r="AV25" s="21" t="n"/>
      <c r="AW25" s="21" t="n"/>
      <c r="AX25" s="21" t="n"/>
      <c r="AY25" s="21" t="n"/>
      <c r="AZ25" s="67" t="n"/>
      <c r="BA25" s="21" t="n"/>
      <c r="BB25" s="21" t="n"/>
      <c r="BC25" s="21" t="n"/>
      <c r="BD25" s="21" t="n"/>
      <c r="BE25" s="68" t="n"/>
      <c r="BF25" s="21" t="n"/>
      <c r="BG25" s="21" t="n"/>
      <c r="BH25" s="21" t="n"/>
      <c r="BI25" s="21" t="n"/>
      <c r="BJ25" s="21" t="n"/>
      <c r="BK25" s="21" t="n"/>
    </row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190">
    <mergeCell ref="O7:P7"/>
    <mergeCell ref="I14:L14"/>
    <mergeCell ref="M18:S18"/>
    <mergeCell ref="Q7:R7"/>
    <mergeCell ref="T15:X15"/>
    <mergeCell ref="T24:X24"/>
    <mergeCell ref="AW6:AY6"/>
    <mergeCell ref="Y18:AE18"/>
    <mergeCell ref="O6:P6"/>
    <mergeCell ref="M17:S17"/>
    <mergeCell ref="D19:H19"/>
    <mergeCell ref="BE17:BK17"/>
    <mergeCell ref="B22:C22"/>
    <mergeCell ref="AZ15:BD15"/>
    <mergeCell ref="AZ24:BD24"/>
    <mergeCell ref="M19:S19"/>
    <mergeCell ref="B21:C21"/>
    <mergeCell ref="BE19:BK19"/>
    <mergeCell ref="S7:T7"/>
    <mergeCell ref="AH20:AI20"/>
    <mergeCell ref="AY12:BB12"/>
    <mergeCell ref="B14:C14"/>
    <mergeCell ref="AS20:AY20"/>
    <mergeCell ref="AJ18:AN18"/>
    <mergeCell ref="B13:C13"/>
    <mergeCell ref="AO23:AR23"/>
    <mergeCell ref="BE14:BK14"/>
    <mergeCell ref="AO13:AR13"/>
    <mergeCell ref="AH6:AI6"/>
    <mergeCell ref="AS22:AY22"/>
    <mergeCell ref="AJ6:AK6"/>
    <mergeCell ref="I16:L16"/>
    <mergeCell ref="I25:L25"/>
    <mergeCell ref="T22:X22"/>
    <mergeCell ref="AO15:AR15"/>
    <mergeCell ref="AS21:AY21"/>
    <mergeCell ref="AO24:AR24"/>
    <mergeCell ref="AB7:AC7"/>
    <mergeCell ref="B24:C24"/>
    <mergeCell ref="AO18:AR18"/>
    <mergeCell ref="AD7:AE7"/>
    <mergeCell ref="I18:L18"/>
    <mergeCell ref="AJ20:AN20"/>
    <mergeCell ref="M13:S13"/>
    <mergeCell ref="D23:H23"/>
    <mergeCell ref="M21:S21"/>
    <mergeCell ref="F7:H7"/>
    <mergeCell ref="AH13:AI13"/>
    <mergeCell ref="AZ14:BD14"/>
    <mergeCell ref="AJ22:AN22"/>
    <mergeCell ref="Y13:AE13"/>
    <mergeCell ref="B16:C16"/>
    <mergeCell ref="B25:C25"/>
    <mergeCell ref="AZ13:BD13"/>
    <mergeCell ref="BE23:BK23"/>
    <mergeCell ref="T20:X20"/>
    <mergeCell ref="AJ21:AN21"/>
    <mergeCell ref="U6:V6"/>
    <mergeCell ref="T14:X14"/>
    <mergeCell ref="I20:L20"/>
    <mergeCell ref="W6:X6"/>
    <mergeCell ref="M24:S24"/>
    <mergeCell ref="AH24:AI24"/>
    <mergeCell ref="AH18:AI18"/>
    <mergeCell ref="B18:C18"/>
    <mergeCell ref="AJ14:AN14"/>
    <mergeCell ref="AS24:AY24"/>
    <mergeCell ref="I13:L13"/>
    <mergeCell ref="AH17:AI17"/>
    <mergeCell ref="AS18:AY18"/>
    <mergeCell ref="AJ23:AN23"/>
    <mergeCell ref="BE18:BK18"/>
    <mergeCell ref="AF6:AG6"/>
    <mergeCell ref="I15:L15"/>
    <mergeCell ref="AH19:AI19"/>
    <mergeCell ref="D17:H17"/>
    <mergeCell ref="U7:V7"/>
    <mergeCell ref="M7:N7"/>
    <mergeCell ref="W7:X7"/>
    <mergeCell ref="AQ6:AS6"/>
    <mergeCell ref="AZ16:BD16"/>
    <mergeCell ref="AZ25:BD25"/>
    <mergeCell ref="BE20:BK20"/>
    <mergeCell ref="Y20:AE20"/>
    <mergeCell ref="Y14:AE14"/>
    <mergeCell ref="T17:X17"/>
    <mergeCell ref="AZ18:BD18"/>
    <mergeCell ref="D25:H25"/>
    <mergeCell ref="AT6:AV6"/>
    <mergeCell ref="AW7:AY7"/>
    <mergeCell ref="B15:C15"/>
    <mergeCell ref="AO14:AR14"/>
    <mergeCell ref="BE22:BK22"/>
    <mergeCell ref="Y22:AE22"/>
    <mergeCell ref="AZ17:BD17"/>
    <mergeCell ref="AJ16:AN16"/>
    <mergeCell ref="T19:X19"/>
    <mergeCell ref="AJ25:AN25"/>
    <mergeCell ref="M15:S15"/>
    <mergeCell ref="D14:H14"/>
    <mergeCell ref="I24:L24"/>
    <mergeCell ref="AH22:AI22"/>
    <mergeCell ref="BE21:BK21"/>
    <mergeCell ref="B4:B9"/>
    <mergeCell ref="I17:L17"/>
    <mergeCell ref="AH21:AI21"/>
    <mergeCell ref="AS23:AY23"/>
    <mergeCell ref="AS13:AY13"/>
    <mergeCell ref="AH14:AI14"/>
    <mergeCell ref="BE13:BK13"/>
    <mergeCell ref="AO25:AR25"/>
    <mergeCell ref="I19:L19"/>
    <mergeCell ref="M23:S23"/>
    <mergeCell ref="AH23:AI23"/>
    <mergeCell ref="D21:H21"/>
    <mergeCell ref="Y23:AE23"/>
    <mergeCell ref="AS15:AY15"/>
    <mergeCell ref="AJ7:AK7"/>
    <mergeCell ref="AL7:AM7"/>
    <mergeCell ref="AO17:AR17"/>
    <mergeCell ref="B17:C17"/>
    <mergeCell ref="BE24:BK24"/>
    <mergeCell ref="AJ13:AN13"/>
    <mergeCell ref="T21:X21"/>
    <mergeCell ref="D16:H16"/>
    <mergeCell ref="B19:C19"/>
    <mergeCell ref="Q6:R6"/>
    <mergeCell ref="S6:T6"/>
    <mergeCell ref="AJ15:AN15"/>
    <mergeCell ref="AJ24:AN24"/>
    <mergeCell ref="M20:S20"/>
    <mergeCell ref="T23:X23"/>
    <mergeCell ref="AS25:AY25"/>
    <mergeCell ref="D18:H18"/>
    <mergeCell ref="BE16:BK16"/>
    <mergeCell ref="T13:X13"/>
    <mergeCell ref="BE25:BK25"/>
    <mergeCell ref="Y19:AE19"/>
    <mergeCell ref="F6:H6"/>
    <mergeCell ref="T16:X16"/>
    <mergeCell ref="I21:L21"/>
    <mergeCell ref="B20:C20"/>
    <mergeCell ref="M22:S22"/>
    <mergeCell ref="Y17:AE17"/>
    <mergeCell ref="AH25:AI25"/>
    <mergeCell ref="Y25:AE25"/>
    <mergeCell ref="AS17:AY17"/>
    <mergeCell ref="AO20:AR20"/>
    <mergeCell ref="T18:X18"/>
    <mergeCell ref="AQ7:AS7"/>
    <mergeCell ref="I23:L23"/>
    <mergeCell ref="D20:H20"/>
    <mergeCell ref="AS19:AY19"/>
    <mergeCell ref="AB6:AC6"/>
    <mergeCell ref="AO22:AR22"/>
    <mergeCell ref="AL6:AM6"/>
    <mergeCell ref="AZ19:BD19"/>
    <mergeCell ref="D22:H22"/>
    <mergeCell ref="AO21:AR21"/>
    <mergeCell ref="M14:S14"/>
    <mergeCell ref="AJ17:AN17"/>
    <mergeCell ref="T25:X25"/>
    <mergeCell ref="AS14:AY14"/>
    <mergeCell ref="AD6:AE6"/>
    <mergeCell ref="D13:H13"/>
    <mergeCell ref="B23:C23"/>
    <mergeCell ref="AZ20:BD20"/>
    <mergeCell ref="AJ19:AN19"/>
    <mergeCell ref="BE15:BK15"/>
    <mergeCell ref="AO16:AR16"/>
    <mergeCell ref="Y15:AE15"/>
    <mergeCell ref="Y24:AE24"/>
    <mergeCell ref="M6:N6"/>
    <mergeCell ref="AZ22:BD22"/>
    <mergeCell ref="AH15:AI15"/>
    <mergeCell ref="Y21:AE21"/>
    <mergeCell ref="AO19:AR19"/>
    <mergeCell ref="AT7:AV7"/>
    <mergeCell ref="I22:L22"/>
    <mergeCell ref="AZ21:BD21"/>
    <mergeCell ref="D15:H15"/>
    <mergeCell ref="AF7:AG7"/>
    <mergeCell ref="D24:H24"/>
    <mergeCell ref="AH7:AI7"/>
    <mergeCell ref="M16:S16"/>
    <mergeCell ref="AH16:AI16"/>
    <mergeCell ref="M25:S25"/>
    <mergeCell ref="Y16:AE16"/>
    <mergeCell ref="AZ23:BD23"/>
    <mergeCell ref="AS16:AY16"/>
  </mergeCells>
  <conditionalFormatting sqref="B14:C25">
    <cfRule type="expression" priority="1" dxfId="13" stopIfTrue="1">
      <formula>AND(ISNUMBER($B14),SUMPRODUCT(($C$4:$BK$10=$B14)*($C$4:$BK$10&lt;&gt;""))&lt;&gt;1)</formula>
    </cfRule>
    <cfRule type="expression" priority="2" dxfId="13" stopIfTrue="1">
      <formula>AND(ISNUMBER($B14),COUNTIF($B$14:$B$25,$B14)+COUNTIF($AH$14:$AH$25,$B14)&gt;1)</formula>
    </cfRule>
    <cfRule type="expression" priority="3" dxfId="14" stopIfTrue="1">
      <formula>$I14="서비스"</formula>
    </cfRule>
    <cfRule type="expression" priority="4" dxfId="15" stopIfTrue="1">
      <formula>$I14="관리"</formula>
    </cfRule>
    <cfRule type="expression" priority="5" dxfId="16" stopIfTrue="1">
      <formula>$I14="백업"</formula>
    </cfRule>
    <cfRule type="expression" priority="6" dxfId="17" stopIfTrue="1">
      <formula>$I14="스토리지"</formula>
    </cfRule>
    <cfRule type="expression" priority="7" dxfId="18" stopIfTrue="1">
      <formula>$I14="인터커넥트"</formula>
    </cfRule>
    <cfRule type="expression" priority="8" dxfId="19" stopIfTrue="1">
      <formula>$I14="콘솔"</formula>
    </cfRule>
    <cfRule type="expression" priority="9" dxfId="20" stopIfTrue="1">
      <formula>$I14="전원"</formula>
    </cfRule>
  </conditionalFormatting>
  <conditionalFormatting sqref="AH14:AI25">
    <cfRule type="expression" priority="10" dxfId="13" stopIfTrue="1">
      <formula>AND(ISNUMBER($AH14),SUMPRODUCT(($C$4:$BK$10=$AH14)*($C$4:$BK$10&lt;&gt;""))&lt;&gt;1)</formula>
    </cfRule>
    <cfRule type="expression" priority="11" dxfId="13" stopIfTrue="1">
      <formula>AND(ISNUMBER($AH14),COUNTIF($B$14:$B$25,$AH14)+COUNTIF($AH$14:$AH$25,$AH14)&gt;1)</formula>
    </cfRule>
    <cfRule type="expression" priority="12" dxfId="14" stopIfTrue="1">
      <formula>$AO14="서비스"</formula>
    </cfRule>
    <cfRule type="expression" priority="13" dxfId="15" stopIfTrue="1">
      <formula>$AO14="관리"</formula>
    </cfRule>
    <cfRule type="expression" priority="14" dxfId="16" stopIfTrue="1">
      <formula>$AO14="백업"</formula>
    </cfRule>
    <cfRule type="expression" priority="15" dxfId="17" stopIfTrue="1">
      <formula>$AO14="스토리지"</formula>
    </cfRule>
    <cfRule type="expression" priority="16" dxfId="18" stopIfTrue="1">
      <formula>$AO14="인터커넥트"</formula>
    </cfRule>
    <cfRule type="expression" priority="17" dxfId="19" stopIfTrue="1">
      <formula>$AO14="콘솔"</formula>
    </cfRule>
    <cfRule type="expression" priority="18" dxfId="20" stopIfTrue="1">
      <formula>$AO14="전원"</formula>
    </cfRule>
  </conditionalFormatting>
  <dataValidations count="2">
    <dataValidation sqref="I14:I25" showDropDown="0" showInputMessage="0" showErrorMessage="0" allowBlank="1" type="list">
      <formula1>"서비스,관리,백업,스토리지,인터커넥트,콘솔,전원,기타"</formula1>
    </dataValidation>
    <dataValidation sqref="AO14:AO25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25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PDU-B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APC AP8868 (24×C13 + 6×C19)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  <c r="BM1" s="34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후면 우</t>
        </is>
      </c>
      <c r="Z2" s="5" t="inlineStr">
        <is>
          <t>구분</t>
        </is>
      </c>
      <c r="AB2" s="6" t="inlineStr">
        <is>
          <t>전원</t>
        </is>
      </c>
      <c r="AH2" s="5" t="inlineStr">
        <is>
          <t>시리얼</t>
        </is>
      </c>
      <c r="AK2" s="6" t="inlineStr">
        <is>
          <t>5A1234E05678</t>
        </is>
      </c>
      <c r="AS2" s="5" t="inlineStr">
        <is>
          <t>관리 IP</t>
        </is>
      </c>
      <c r="AV2" s="6" t="inlineStr">
        <is>
          <t>10.10.0.202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5" t="inlineStr">
        <is>
          <t>전  면</t>
        </is>
      </c>
      <c r="C4" s="36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7" t="n"/>
    </row>
    <row r="5" ht="12" customHeight="1">
      <c r="C5" s="18" t="n"/>
      <c r="D5" s="45" t="inlineStr">
        <is>
          <t>입력</t>
        </is>
      </c>
      <c r="E5" s="46" t="n"/>
      <c r="F5" s="46" t="n"/>
      <c r="G5" s="46" t="n"/>
      <c r="H5" s="46" t="n"/>
      <c r="I5" s="46" t="n"/>
      <c r="J5" s="47" t="n"/>
      <c r="L5" s="45" t="inlineStr">
        <is>
          <t>BANK 1 · C13</t>
        </is>
      </c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7" t="n"/>
      <c r="AA5" s="45" t="inlineStr">
        <is>
          <t>BANK 2 · C13</t>
        </is>
      </c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7" t="n"/>
      <c r="AP5" s="45" t="inlineStr">
        <is>
          <t>BANK 3 · C19</t>
        </is>
      </c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7" t="n"/>
      <c r="BB5" s="45" t="inlineStr">
        <is>
          <t>표시부</t>
        </is>
      </c>
      <c r="BC5" s="46" t="n"/>
      <c r="BD5" s="46" t="n"/>
      <c r="BE5" s="46" t="n"/>
      <c r="BF5" s="46" t="n"/>
      <c r="BG5" s="46" t="n"/>
      <c r="BH5" s="46" t="n"/>
      <c r="BI5" s="46" t="n"/>
      <c r="BJ5" s="47" t="n"/>
      <c r="BK5" s="17" t="n"/>
    </row>
    <row r="6" ht="12" customHeight="1">
      <c r="C6" s="18" t="n"/>
      <c r="D6" s="48" t="n"/>
      <c r="E6" s="49" t="n"/>
      <c r="F6" s="85" t="n">
        <v>31</v>
      </c>
      <c r="G6" s="133" t="n"/>
      <c r="H6" s="40" t="n"/>
      <c r="I6" s="49" t="n"/>
      <c r="J6" s="50" t="n"/>
      <c r="L6" s="48" t="n"/>
      <c r="M6" s="85" t="n">
        <v>1</v>
      </c>
      <c r="N6" s="40" t="n"/>
      <c r="O6" s="85" t="n">
        <v>2</v>
      </c>
      <c r="P6" s="40" t="n"/>
      <c r="Q6" s="85" t="n">
        <v>3</v>
      </c>
      <c r="R6" s="40" t="n"/>
      <c r="S6" s="85" t="n">
        <v>4</v>
      </c>
      <c r="T6" s="40" t="n"/>
      <c r="U6" s="85" t="n">
        <v>5</v>
      </c>
      <c r="V6" s="40" t="n"/>
      <c r="W6" s="85" t="n">
        <v>6</v>
      </c>
      <c r="X6" s="40" t="n"/>
      <c r="Y6" s="50" t="n"/>
      <c r="AA6" s="48" t="n"/>
      <c r="AB6" s="41" t="n">
        <v>13</v>
      </c>
      <c r="AC6" s="40" t="n"/>
      <c r="AD6" s="41" t="n">
        <v>14</v>
      </c>
      <c r="AE6" s="40" t="n"/>
      <c r="AF6" s="41" t="n">
        <v>15</v>
      </c>
      <c r="AG6" s="40" t="n"/>
      <c r="AH6" s="41" t="n">
        <v>16</v>
      </c>
      <c r="AI6" s="40" t="n"/>
      <c r="AJ6" s="41" t="n">
        <v>17</v>
      </c>
      <c r="AK6" s="40" t="n"/>
      <c r="AL6" s="41" t="n">
        <v>18</v>
      </c>
      <c r="AM6" s="40" t="n"/>
      <c r="AN6" s="50" t="n"/>
      <c r="AP6" s="48" t="n"/>
      <c r="AQ6" s="85" t="n">
        <v>25</v>
      </c>
      <c r="AR6" s="133" t="n"/>
      <c r="AS6" s="40" t="n"/>
      <c r="AT6" s="85" t="n">
        <v>26</v>
      </c>
      <c r="AU6" s="133" t="n"/>
      <c r="AV6" s="40" t="n"/>
      <c r="AW6" s="85" t="n">
        <v>27</v>
      </c>
      <c r="AX6" s="133" t="n"/>
      <c r="AY6" s="40" t="n"/>
      <c r="AZ6" s="50" t="n"/>
      <c r="BB6" s="110" t="inlineStr">
        <is>
          <t xml:space="preserve"> 전류  A</t>
        </is>
      </c>
      <c r="BC6" s="49" t="n"/>
      <c r="BD6" s="49" t="n"/>
      <c r="BE6" s="49" t="n"/>
      <c r="BF6" s="49" t="n"/>
      <c r="BG6" s="49" t="n"/>
      <c r="BH6" s="49" t="n"/>
      <c r="BI6" s="49" t="n"/>
      <c r="BJ6" s="50" t="n"/>
      <c r="BK6" s="17" t="n"/>
    </row>
    <row r="7" ht="12" customHeight="1">
      <c r="C7" s="18" t="n"/>
      <c r="D7" s="48" t="n"/>
      <c r="E7" s="49" t="n"/>
      <c r="F7" s="153" t="inlineStr">
        <is>
          <t>IEC309</t>
        </is>
      </c>
      <c r="I7" s="49" t="n"/>
      <c r="J7" s="50" t="n"/>
      <c r="L7" s="48" t="n"/>
      <c r="M7" s="85" t="n">
        <v>7</v>
      </c>
      <c r="N7" s="40" t="n"/>
      <c r="O7" s="85" t="n">
        <v>8</v>
      </c>
      <c r="P7" s="40" t="n"/>
      <c r="Q7" s="85" t="n">
        <v>9</v>
      </c>
      <c r="R7" s="40" t="n"/>
      <c r="S7" s="41" t="n">
        <v>10</v>
      </c>
      <c r="T7" s="40" t="n"/>
      <c r="U7" s="41" t="n">
        <v>11</v>
      </c>
      <c r="V7" s="40" t="n"/>
      <c r="W7" s="41" t="n">
        <v>12</v>
      </c>
      <c r="X7" s="40" t="n"/>
      <c r="Y7" s="50" t="n"/>
      <c r="AA7" s="48" t="n"/>
      <c r="AB7" s="41" t="n">
        <v>19</v>
      </c>
      <c r="AC7" s="40" t="n"/>
      <c r="AD7" s="41" t="n">
        <v>20</v>
      </c>
      <c r="AE7" s="40" t="n"/>
      <c r="AF7" s="41" t="n">
        <v>21</v>
      </c>
      <c r="AG7" s="40" t="n"/>
      <c r="AH7" s="41" t="n">
        <v>22</v>
      </c>
      <c r="AI7" s="40" t="n"/>
      <c r="AJ7" s="41" t="n">
        <v>23</v>
      </c>
      <c r="AK7" s="40" t="n"/>
      <c r="AL7" s="41" t="n">
        <v>24</v>
      </c>
      <c r="AM7" s="40" t="n"/>
      <c r="AN7" s="50" t="n"/>
      <c r="AP7" s="48" t="n"/>
      <c r="AQ7" s="41" t="n">
        <v>28</v>
      </c>
      <c r="AR7" s="133" t="n"/>
      <c r="AS7" s="40" t="n"/>
      <c r="AT7" s="41" t="n">
        <v>29</v>
      </c>
      <c r="AU7" s="133" t="n"/>
      <c r="AV7" s="40" t="n"/>
      <c r="AW7" s="41" t="n">
        <v>30</v>
      </c>
      <c r="AX7" s="133" t="n"/>
      <c r="AY7" s="40" t="n"/>
      <c r="AZ7" s="50" t="n"/>
      <c r="BB7" s="110" t="inlineStr">
        <is>
          <t xml:space="preserve"> 차단기 3</t>
        </is>
      </c>
      <c r="BC7" s="49" t="n"/>
      <c r="BD7" s="49" t="n"/>
      <c r="BE7" s="49" t="n"/>
      <c r="BF7" s="49" t="n"/>
      <c r="BG7" s="49" t="n"/>
      <c r="BH7" s="49" t="n"/>
      <c r="BI7" s="49" t="n"/>
      <c r="BJ7" s="50" t="n"/>
      <c r="BK7" s="17" t="n"/>
    </row>
    <row r="8" ht="12" customHeight="1">
      <c r="C8" s="18" t="n"/>
      <c r="D8" s="51" t="n"/>
      <c r="E8" s="52" t="n"/>
      <c r="F8" s="52" t="n"/>
      <c r="G8" s="52" t="n"/>
      <c r="H8" s="52" t="n"/>
      <c r="I8" s="52" t="n"/>
      <c r="J8" s="53" t="n"/>
      <c r="L8" s="51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3" t="n"/>
      <c r="AA8" s="51" t="n"/>
      <c r="AB8" s="52" t="n"/>
      <c r="AC8" s="52" t="n"/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3" t="n"/>
      <c r="AP8" s="51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3" t="n"/>
      <c r="BB8" s="51" t="n"/>
      <c r="BC8" s="52" t="n"/>
      <c r="BD8" s="52" t="n"/>
      <c r="BE8" s="52" t="n"/>
      <c r="BF8" s="52" t="n"/>
      <c r="BG8" s="52" t="n"/>
      <c r="BH8" s="52" t="n"/>
      <c r="BI8" s="52" t="n"/>
      <c r="BJ8" s="53" t="n"/>
      <c r="BK8" s="17" t="n"/>
    </row>
    <row r="9" ht="12" customHeight="1">
      <c r="C9" s="42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  <c r="AB9" s="43" t="n"/>
      <c r="AC9" s="43" t="n"/>
      <c r="AD9" s="43" t="n"/>
      <c r="AE9" s="43" t="n"/>
      <c r="AF9" s="43" t="n"/>
      <c r="AG9" s="43" t="n"/>
      <c r="AH9" s="43" t="n"/>
      <c r="AI9" s="43" t="n"/>
      <c r="AJ9" s="43" t="n"/>
      <c r="AK9" s="43" t="n"/>
      <c r="AL9" s="43" t="n"/>
      <c r="AM9" s="43" t="n"/>
      <c r="AN9" s="43" t="n"/>
      <c r="AO9" s="43" t="n"/>
      <c r="AP9" s="43" t="n"/>
      <c r="AQ9" s="43" t="n"/>
      <c r="AR9" s="43" t="n"/>
      <c r="AS9" s="43" t="n"/>
      <c r="AT9" s="43" t="n"/>
      <c r="AU9" s="43" t="n"/>
      <c r="AV9" s="43" t="n"/>
      <c r="AW9" s="43" t="n"/>
      <c r="AX9" s="43" t="n"/>
      <c r="AY9" s="43" t="n"/>
      <c r="AZ9" s="43" t="n"/>
      <c r="BA9" s="43" t="n"/>
      <c r="BB9" s="43" t="n"/>
      <c r="BC9" s="43" t="n"/>
      <c r="BD9" s="43" t="n"/>
      <c r="BE9" s="43" t="n"/>
      <c r="BF9" s="43" t="n"/>
      <c r="BG9" s="43" t="n"/>
      <c r="BH9" s="43" t="n"/>
      <c r="BI9" s="43" t="n"/>
      <c r="BJ9" s="43" t="n"/>
      <c r="BK9" s="44" t="n"/>
    </row>
    <row r="10" ht="12" customHeight="1"/>
    <row r="11" ht="12" customHeight="1">
      <c r="C11" s="8" t="inlineStr">
        <is>
          <t>0U 세로형 PDU를 가로로 눕혀 그림 · 칸 안 숫자 = PDU에 인쇄된 콘센트 번호 · 색 칸 = 사용 중</t>
        </is>
      </c>
    </row>
    <row r="12" ht="12" customHeight="1">
      <c r="B12" s="7" t="inlineStr">
        <is>
          <t>연결 정보</t>
        </is>
      </c>
      <c r="H12" s="54" t="n"/>
      <c r="I12" s="28" t="inlineStr">
        <is>
          <t>서비스</t>
        </is>
      </c>
      <c r="L12" s="55" t="n"/>
      <c r="M12" s="28" t="inlineStr">
        <is>
          <t>관리</t>
        </is>
      </c>
      <c r="O12" s="56" t="n"/>
      <c r="P12" s="28" t="inlineStr">
        <is>
          <t>백업</t>
        </is>
      </c>
      <c r="R12" s="57" t="n"/>
      <c r="S12" s="28" t="inlineStr">
        <is>
          <t>스토리지</t>
        </is>
      </c>
      <c r="V12" s="58" t="n"/>
      <c r="W12" s="28" t="inlineStr">
        <is>
          <t>인터커넥트</t>
        </is>
      </c>
      <c r="AA12" s="59" t="n"/>
      <c r="AB12" s="28" t="inlineStr">
        <is>
          <t>콘솔</t>
        </is>
      </c>
      <c r="AD12" s="60" t="n"/>
      <c r="AE12" s="28" t="inlineStr">
        <is>
          <t>전원</t>
        </is>
      </c>
      <c r="AG12" s="61" t="n"/>
      <c r="AH12" s="28" t="inlineStr">
        <is>
          <t>미연결</t>
        </is>
      </c>
      <c r="AL12" s="62" t="n">
        <v>7</v>
      </c>
      <c r="AM12" s="28" t="inlineStr">
        <is>
          <t>도면 번호</t>
        </is>
      </c>
      <c r="AQ12" s="63" t="inlineStr">
        <is>
          <t>LOM1</t>
        </is>
      </c>
      <c r="AS12" s="28" t="inlineStr">
        <is>
          <t>포트명(장비 표기)</t>
        </is>
      </c>
      <c r="AY12" s="64" t="inlineStr">
        <is>
          <t>A-0001</t>
        </is>
      </c>
      <c r="AZ12" s="21" t="n"/>
      <c r="BA12" s="21" t="n"/>
      <c r="BB12" s="21" t="n"/>
      <c r="BC12" s="28" t="inlineStr">
        <is>
          <t>케이블 라벨</t>
        </is>
      </c>
    </row>
    <row r="13" ht="15" customHeight="1">
      <c r="B13" s="11" t="inlineStr">
        <is>
          <t>번호</t>
        </is>
      </c>
      <c r="C13" s="12" t="n"/>
      <c r="D13" s="13" t="inlineStr">
        <is>
          <t>포트명</t>
        </is>
      </c>
      <c r="E13" s="12" t="n"/>
      <c r="F13" s="12" t="n"/>
      <c r="G13" s="12" t="n"/>
      <c r="H13" s="12" t="n"/>
      <c r="I13" s="13" t="inlineStr">
        <is>
          <t>용도</t>
        </is>
      </c>
      <c r="J13" s="12" t="n"/>
      <c r="K13" s="12" t="n"/>
      <c r="L13" s="12" t="n"/>
      <c r="M13" s="13" t="inlineStr">
        <is>
          <t>상대 장비</t>
        </is>
      </c>
      <c r="N13" s="12" t="n"/>
      <c r="O13" s="12" t="n"/>
      <c r="P13" s="12" t="n"/>
      <c r="Q13" s="12" t="n"/>
      <c r="R13" s="12" t="n"/>
      <c r="S13" s="12" t="n"/>
      <c r="T13" s="13" t="inlineStr">
        <is>
          <t>상대 포트</t>
        </is>
      </c>
      <c r="U13" s="12" t="n"/>
      <c r="V13" s="12" t="n"/>
      <c r="W13" s="12" t="n"/>
      <c r="X13" s="12" t="n"/>
      <c r="Y13" s="13" t="inlineStr">
        <is>
          <t>케이블 라벨</t>
        </is>
      </c>
      <c r="Z13" s="12" t="n"/>
      <c r="AA13" s="12" t="n"/>
      <c r="AB13" s="12" t="n"/>
      <c r="AC13" s="12" t="n"/>
      <c r="AD13" s="12" t="n"/>
      <c r="AE13" s="12" t="n"/>
      <c r="AH13" s="11" t="inlineStr">
        <is>
          <t>번호</t>
        </is>
      </c>
      <c r="AI13" s="12" t="n"/>
      <c r="AJ13" s="13" t="inlineStr">
        <is>
          <t>포트명</t>
        </is>
      </c>
      <c r="AK13" s="12" t="n"/>
      <c r="AL13" s="12" t="n"/>
      <c r="AM13" s="12" t="n"/>
      <c r="AN13" s="12" t="n"/>
      <c r="AO13" s="13" t="inlineStr">
        <is>
          <t>용도</t>
        </is>
      </c>
      <c r="AP13" s="12" t="n"/>
      <c r="AQ13" s="12" t="n"/>
      <c r="AR13" s="12" t="n"/>
      <c r="AS13" s="13" t="inlineStr">
        <is>
          <t>상대 장비</t>
        </is>
      </c>
      <c r="AT13" s="12" t="n"/>
      <c r="AU13" s="12" t="n"/>
      <c r="AV13" s="12" t="n"/>
      <c r="AW13" s="12" t="n"/>
      <c r="AX13" s="12" t="n"/>
      <c r="AY13" s="12" t="n"/>
      <c r="AZ13" s="13" t="inlineStr">
        <is>
          <t>상대 포트</t>
        </is>
      </c>
      <c r="BA13" s="12" t="n"/>
      <c r="BB13" s="12" t="n"/>
      <c r="BC13" s="12" t="n"/>
      <c r="BD13" s="12" t="n"/>
      <c r="BE13" s="13" t="inlineStr">
        <is>
          <t>케이블 라벨</t>
        </is>
      </c>
      <c r="BF13" s="12" t="n"/>
      <c r="BG13" s="12" t="n"/>
      <c r="BH13" s="12" t="n"/>
      <c r="BI13" s="12" t="n"/>
      <c r="BJ13" s="12" t="n"/>
      <c r="BK13" s="12" t="n"/>
    </row>
    <row r="14" ht="13.5" customHeight="1">
      <c r="B14" s="65" t="n">
        <v>1</v>
      </c>
      <c r="C14" s="21" t="n"/>
      <c r="D14" s="67" t="inlineStr">
        <is>
          <t>C13-1</t>
        </is>
      </c>
      <c r="E14" s="21" t="n"/>
      <c r="F14" s="21" t="n"/>
      <c r="G14" s="21" t="n"/>
      <c r="H14" s="21" t="n"/>
      <c r="I14" s="67" t="inlineStr">
        <is>
          <t>전원</t>
        </is>
      </c>
      <c r="J14" s="21" t="n"/>
      <c r="K14" s="21" t="n"/>
      <c r="L14" s="21" t="n"/>
      <c r="M14" s="67" t="inlineStr">
        <is>
          <t>MGMT-SW</t>
        </is>
      </c>
      <c r="N14" s="21" t="n"/>
      <c r="O14" s="21" t="n"/>
      <c r="P14" s="21" t="n"/>
      <c r="Q14" s="21" t="n"/>
      <c r="R14" s="21" t="n"/>
      <c r="S14" s="21" t="n"/>
      <c r="T14" s="67" t="inlineStr">
        <is>
          <t>PSU2</t>
        </is>
      </c>
      <c r="U14" s="21" t="n"/>
      <c r="V14" s="21" t="n"/>
      <c r="W14" s="21" t="n"/>
      <c r="X14" s="21" t="n"/>
      <c r="Y14" s="68" t="inlineStr">
        <is>
          <t>R02-P002</t>
        </is>
      </c>
      <c r="Z14" s="21" t="n"/>
      <c r="AA14" s="21" t="n"/>
      <c r="AB14" s="21" t="n"/>
      <c r="AC14" s="21" t="n"/>
      <c r="AD14" s="21" t="n"/>
      <c r="AE14" s="21" t="n"/>
      <c r="AH14" s="65" t="n">
        <v>31</v>
      </c>
      <c r="AI14" s="21" t="n"/>
      <c r="AJ14" s="67" t="inlineStr">
        <is>
          <t>입력</t>
        </is>
      </c>
      <c r="AK14" s="21" t="n"/>
      <c r="AL14" s="21" t="n"/>
      <c r="AM14" s="21" t="n"/>
      <c r="AN14" s="21" t="n"/>
      <c r="AO14" s="67" t="inlineStr">
        <is>
          <t>전원</t>
        </is>
      </c>
      <c r="AP14" s="21" t="n"/>
      <c r="AQ14" s="21" t="n"/>
      <c r="AR14" s="21" t="n"/>
      <c r="AS14" s="67" t="inlineStr">
        <is>
          <t>분전반 B</t>
        </is>
      </c>
      <c r="AT14" s="21" t="n"/>
      <c r="AU14" s="21" t="n"/>
      <c r="AV14" s="21" t="n"/>
      <c r="AW14" s="21" t="n"/>
      <c r="AX14" s="21" t="n"/>
      <c r="AY14" s="21" t="n"/>
      <c r="AZ14" s="67" t="inlineStr">
        <is>
          <t>B-12</t>
        </is>
      </c>
      <c r="BA14" s="21" t="n"/>
      <c r="BB14" s="21" t="n"/>
      <c r="BC14" s="21" t="n"/>
      <c r="BD14" s="21" t="n"/>
      <c r="BE14" s="68" t="inlineStr">
        <is>
          <t>R02-P026</t>
        </is>
      </c>
      <c r="BF14" s="21" t="n"/>
      <c r="BG14" s="21" t="n"/>
      <c r="BH14" s="21" t="n"/>
      <c r="BI14" s="21" t="n"/>
      <c r="BJ14" s="21" t="n"/>
      <c r="BK14" s="21" t="n"/>
    </row>
    <row r="15" ht="13.5" customHeight="1">
      <c r="B15" s="65" t="n">
        <v>2</v>
      </c>
      <c r="C15" s="21" t="n"/>
      <c r="D15" s="67" t="inlineStr">
        <is>
          <t>C13-2</t>
        </is>
      </c>
      <c r="E15" s="21" t="n"/>
      <c r="F15" s="21" t="n"/>
      <c r="G15" s="21" t="n"/>
      <c r="H15" s="21" t="n"/>
      <c r="I15" s="67" t="inlineStr">
        <is>
          <t>전원</t>
        </is>
      </c>
      <c r="J15" s="21" t="n"/>
      <c r="K15" s="21" t="n"/>
      <c r="L15" s="21" t="n"/>
      <c r="M15" s="67" t="inlineStr">
        <is>
          <t>TOR-A</t>
        </is>
      </c>
      <c r="N15" s="21" t="n"/>
      <c r="O15" s="21" t="n"/>
      <c r="P15" s="21" t="n"/>
      <c r="Q15" s="21" t="n"/>
      <c r="R15" s="21" t="n"/>
      <c r="S15" s="21" t="n"/>
      <c r="T15" s="67" t="inlineStr">
        <is>
          <t>PSU2</t>
        </is>
      </c>
      <c r="U15" s="21" t="n"/>
      <c r="V15" s="21" t="n"/>
      <c r="W15" s="21" t="n"/>
      <c r="X15" s="21" t="n"/>
      <c r="Y15" s="68" t="inlineStr">
        <is>
          <t>R02-P004</t>
        </is>
      </c>
      <c r="Z15" s="21" t="n"/>
      <c r="AA15" s="21" t="n"/>
      <c r="AB15" s="21" t="n"/>
      <c r="AC15" s="21" t="n"/>
      <c r="AD15" s="21" t="n"/>
      <c r="AE15" s="21" t="n"/>
      <c r="AH15" s="65" t="n"/>
      <c r="AI15" s="21" t="n"/>
      <c r="AJ15" s="67" t="n"/>
      <c r="AK15" s="21" t="n"/>
      <c r="AL15" s="21" t="n"/>
      <c r="AM15" s="21" t="n"/>
      <c r="AN15" s="21" t="n"/>
      <c r="AO15" s="67" t="n"/>
      <c r="AP15" s="21" t="n"/>
      <c r="AQ15" s="21" t="n"/>
      <c r="AR15" s="21" t="n"/>
      <c r="AS15" s="67" t="n"/>
      <c r="AT15" s="21" t="n"/>
      <c r="AU15" s="21" t="n"/>
      <c r="AV15" s="21" t="n"/>
      <c r="AW15" s="21" t="n"/>
      <c r="AX15" s="21" t="n"/>
      <c r="AY15" s="21" t="n"/>
      <c r="AZ15" s="67" t="n"/>
      <c r="BA15" s="21" t="n"/>
      <c r="BB15" s="21" t="n"/>
      <c r="BC15" s="21" t="n"/>
      <c r="BD15" s="21" t="n"/>
      <c r="BE15" s="68" t="n"/>
      <c r="BF15" s="21" t="n"/>
      <c r="BG15" s="21" t="n"/>
      <c r="BH15" s="21" t="n"/>
      <c r="BI15" s="21" t="n"/>
      <c r="BJ15" s="21" t="n"/>
      <c r="BK15" s="21" t="n"/>
    </row>
    <row r="16" ht="13.5" customHeight="1">
      <c r="B16" s="65" t="n">
        <v>3</v>
      </c>
      <c r="C16" s="21" t="n"/>
      <c r="D16" s="67" t="inlineStr">
        <is>
          <t>C13-3</t>
        </is>
      </c>
      <c r="E16" s="21" t="n"/>
      <c r="F16" s="21" t="n"/>
      <c r="G16" s="21" t="n"/>
      <c r="H16" s="21" t="n"/>
      <c r="I16" s="67" t="inlineStr">
        <is>
          <t>전원</t>
        </is>
      </c>
      <c r="J16" s="21" t="n"/>
      <c r="K16" s="21" t="n"/>
      <c r="L16" s="21" t="n"/>
      <c r="M16" s="67" t="inlineStr">
        <is>
          <t>TOR-B</t>
        </is>
      </c>
      <c r="N16" s="21" t="n"/>
      <c r="O16" s="21" t="n"/>
      <c r="P16" s="21" t="n"/>
      <c r="Q16" s="21" t="n"/>
      <c r="R16" s="21" t="n"/>
      <c r="S16" s="21" t="n"/>
      <c r="T16" s="67" t="inlineStr">
        <is>
          <t>PSU2</t>
        </is>
      </c>
      <c r="U16" s="21" t="n"/>
      <c r="V16" s="21" t="n"/>
      <c r="W16" s="21" t="n"/>
      <c r="X16" s="21" t="n"/>
      <c r="Y16" s="68" t="inlineStr">
        <is>
          <t>R02-P006</t>
        </is>
      </c>
      <c r="Z16" s="21" t="n"/>
      <c r="AA16" s="21" t="n"/>
      <c r="AB16" s="21" t="n"/>
      <c r="AC16" s="21" t="n"/>
      <c r="AD16" s="21" t="n"/>
      <c r="AE16" s="21" t="n"/>
      <c r="AH16" s="65" t="n"/>
      <c r="AI16" s="21" t="n"/>
      <c r="AJ16" s="67" t="n"/>
      <c r="AK16" s="21" t="n"/>
      <c r="AL16" s="21" t="n"/>
      <c r="AM16" s="21" t="n"/>
      <c r="AN16" s="21" t="n"/>
      <c r="AO16" s="67" t="n"/>
      <c r="AP16" s="21" t="n"/>
      <c r="AQ16" s="21" t="n"/>
      <c r="AR16" s="21" t="n"/>
      <c r="AS16" s="67" t="n"/>
      <c r="AT16" s="21" t="n"/>
      <c r="AU16" s="21" t="n"/>
      <c r="AV16" s="21" t="n"/>
      <c r="AW16" s="21" t="n"/>
      <c r="AX16" s="21" t="n"/>
      <c r="AY16" s="21" t="n"/>
      <c r="AZ16" s="67" t="n"/>
      <c r="BA16" s="21" t="n"/>
      <c r="BB16" s="21" t="n"/>
      <c r="BC16" s="21" t="n"/>
      <c r="BD16" s="21" t="n"/>
      <c r="BE16" s="68" t="n"/>
      <c r="BF16" s="21" t="n"/>
      <c r="BG16" s="21" t="n"/>
      <c r="BH16" s="21" t="n"/>
      <c r="BI16" s="21" t="n"/>
      <c r="BJ16" s="21" t="n"/>
      <c r="BK16" s="21" t="n"/>
    </row>
    <row r="17" ht="13.5" customHeight="1">
      <c r="B17" s="65" t="n">
        <v>4</v>
      </c>
      <c r="C17" s="21" t="n"/>
      <c r="D17" s="67" t="inlineStr">
        <is>
          <t>C13-4</t>
        </is>
      </c>
      <c r="E17" s="21" t="n"/>
      <c r="F17" s="21" t="n"/>
      <c r="G17" s="21" t="n"/>
      <c r="H17" s="21" t="n"/>
      <c r="I17" s="67" t="inlineStr">
        <is>
          <t>전원</t>
        </is>
      </c>
      <c r="J17" s="21" t="n"/>
      <c r="K17" s="21" t="n"/>
      <c r="L17" s="21" t="n"/>
      <c r="M17" s="67" t="inlineStr">
        <is>
          <t>SAN-A</t>
        </is>
      </c>
      <c r="N17" s="21" t="n"/>
      <c r="O17" s="21" t="n"/>
      <c r="P17" s="21" t="n"/>
      <c r="Q17" s="21" t="n"/>
      <c r="R17" s="21" t="n"/>
      <c r="S17" s="21" t="n"/>
      <c r="T17" s="67" t="inlineStr">
        <is>
          <t>PSU2</t>
        </is>
      </c>
      <c r="U17" s="21" t="n"/>
      <c r="V17" s="21" t="n"/>
      <c r="W17" s="21" t="n"/>
      <c r="X17" s="21" t="n"/>
      <c r="Y17" s="68" t="inlineStr">
        <is>
          <t>R02-P008</t>
        </is>
      </c>
      <c r="Z17" s="21" t="n"/>
      <c r="AA17" s="21" t="n"/>
      <c r="AB17" s="21" t="n"/>
      <c r="AC17" s="21" t="n"/>
      <c r="AD17" s="21" t="n"/>
      <c r="AE17" s="21" t="n"/>
      <c r="AH17" s="65" t="n"/>
      <c r="AI17" s="21" t="n"/>
      <c r="AJ17" s="67" t="n"/>
      <c r="AK17" s="21" t="n"/>
      <c r="AL17" s="21" t="n"/>
      <c r="AM17" s="21" t="n"/>
      <c r="AN17" s="21" t="n"/>
      <c r="AO17" s="67" t="n"/>
      <c r="AP17" s="21" t="n"/>
      <c r="AQ17" s="21" t="n"/>
      <c r="AR17" s="21" t="n"/>
      <c r="AS17" s="67" t="n"/>
      <c r="AT17" s="21" t="n"/>
      <c r="AU17" s="21" t="n"/>
      <c r="AV17" s="21" t="n"/>
      <c r="AW17" s="21" t="n"/>
      <c r="AX17" s="21" t="n"/>
      <c r="AY17" s="21" t="n"/>
      <c r="AZ17" s="67" t="n"/>
      <c r="BA17" s="21" t="n"/>
      <c r="BB17" s="21" t="n"/>
      <c r="BC17" s="21" t="n"/>
      <c r="BD17" s="21" t="n"/>
      <c r="BE17" s="68" t="n"/>
      <c r="BF17" s="21" t="n"/>
      <c r="BG17" s="21" t="n"/>
      <c r="BH17" s="21" t="n"/>
      <c r="BI17" s="21" t="n"/>
      <c r="BJ17" s="21" t="n"/>
      <c r="BK17" s="21" t="n"/>
    </row>
    <row r="18" ht="13.5" customHeight="1">
      <c r="B18" s="65" t="n">
        <v>5</v>
      </c>
      <c r="C18" s="21" t="n"/>
      <c r="D18" s="67" t="inlineStr">
        <is>
          <t>C13-5</t>
        </is>
      </c>
      <c r="E18" s="21" t="n"/>
      <c r="F18" s="21" t="n"/>
      <c r="G18" s="21" t="n"/>
      <c r="H18" s="21" t="n"/>
      <c r="I18" s="67" t="inlineStr">
        <is>
          <t>전원</t>
        </is>
      </c>
      <c r="J18" s="21" t="n"/>
      <c r="K18" s="21" t="n"/>
      <c r="L18" s="21" t="n"/>
      <c r="M18" s="67" t="inlineStr">
        <is>
          <t>SAN-B</t>
        </is>
      </c>
      <c r="N18" s="21" t="n"/>
      <c r="O18" s="21" t="n"/>
      <c r="P18" s="21" t="n"/>
      <c r="Q18" s="21" t="n"/>
      <c r="R18" s="21" t="n"/>
      <c r="S18" s="21" t="n"/>
      <c r="T18" s="67" t="inlineStr">
        <is>
          <t>PSU2</t>
        </is>
      </c>
      <c r="U18" s="21" t="n"/>
      <c r="V18" s="21" t="n"/>
      <c r="W18" s="21" t="n"/>
      <c r="X18" s="21" t="n"/>
      <c r="Y18" s="68" t="inlineStr">
        <is>
          <t>R02-P010</t>
        </is>
      </c>
      <c r="Z18" s="21" t="n"/>
      <c r="AA18" s="21" t="n"/>
      <c r="AB18" s="21" t="n"/>
      <c r="AC18" s="21" t="n"/>
      <c r="AD18" s="21" t="n"/>
      <c r="AE18" s="21" t="n"/>
      <c r="AH18" s="65" t="n"/>
      <c r="AI18" s="21" t="n"/>
      <c r="AJ18" s="67" t="n"/>
      <c r="AK18" s="21" t="n"/>
      <c r="AL18" s="21" t="n"/>
      <c r="AM18" s="21" t="n"/>
      <c r="AN18" s="21" t="n"/>
      <c r="AO18" s="67" t="n"/>
      <c r="AP18" s="21" t="n"/>
      <c r="AQ18" s="21" t="n"/>
      <c r="AR18" s="21" t="n"/>
      <c r="AS18" s="67" t="n"/>
      <c r="AT18" s="21" t="n"/>
      <c r="AU18" s="21" t="n"/>
      <c r="AV18" s="21" t="n"/>
      <c r="AW18" s="21" t="n"/>
      <c r="AX18" s="21" t="n"/>
      <c r="AY18" s="21" t="n"/>
      <c r="AZ18" s="67" t="n"/>
      <c r="BA18" s="21" t="n"/>
      <c r="BB18" s="21" t="n"/>
      <c r="BC18" s="21" t="n"/>
      <c r="BD18" s="21" t="n"/>
      <c r="BE18" s="68" t="n"/>
      <c r="BF18" s="21" t="n"/>
      <c r="BG18" s="21" t="n"/>
      <c r="BH18" s="21" t="n"/>
      <c r="BI18" s="21" t="n"/>
      <c r="BJ18" s="21" t="n"/>
      <c r="BK18" s="21" t="n"/>
    </row>
    <row r="19" ht="13.5" customHeight="1">
      <c r="B19" s="65" t="n">
        <v>6</v>
      </c>
      <c r="C19" s="21" t="n"/>
      <c r="D19" s="67" t="inlineStr">
        <is>
          <t>C13-6</t>
        </is>
      </c>
      <c r="E19" s="21" t="n"/>
      <c r="F19" s="21" t="n"/>
      <c r="G19" s="21" t="n"/>
      <c r="H19" s="21" t="n"/>
      <c r="I19" s="67" t="inlineStr">
        <is>
          <t>전원</t>
        </is>
      </c>
      <c r="J19" s="21" t="n"/>
      <c r="K19" s="21" t="n"/>
      <c r="L19" s="21" t="n"/>
      <c r="M19" s="67" t="inlineStr">
        <is>
          <t>STG-01</t>
        </is>
      </c>
      <c r="N19" s="21" t="n"/>
      <c r="O19" s="21" t="n"/>
      <c r="P19" s="21" t="n"/>
      <c r="Q19" s="21" t="n"/>
      <c r="R19" s="21" t="n"/>
      <c r="S19" s="21" t="n"/>
      <c r="T19" s="67" t="inlineStr">
        <is>
          <t>PSU B</t>
        </is>
      </c>
      <c r="U19" s="21" t="n"/>
      <c r="V19" s="21" t="n"/>
      <c r="W19" s="21" t="n"/>
      <c r="X19" s="21" t="n"/>
      <c r="Y19" s="68" t="inlineStr">
        <is>
          <t>R02-P012</t>
        </is>
      </c>
      <c r="Z19" s="21" t="n"/>
      <c r="AA19" s="21" t="n"/>
      <c r="AB19" s="21" t="n"/>
      <c r="AC19" s="21" t="n"/>
      <c r="AD19" s="21" t="n"/>
      <c r="AE19" s="21" t="n"/>
      <c r="AH19" s="65" t="n"/>
      <c r="AI19" s="21" t="n"/>
      <c r="AJ19" s="67" t="n"/>
      <c r="AK19" s="21" t="n"/>
      <c r="AL19" s="21" t="n"/>
      <c r="AM19" s="21" t="n"/>
      <c r="AN19" s="21" t="n"/>
      <c r="AO19" s="67" t="n"/>
      <c r="AP19" s="21" t="n"/>
      <c r="AQ19" s="21" t="n"/>
      <c r="AR19" s="21" t="n"/>
      <c r="AS19" s="67" t="n"/>
      <c r="AT19" s="21" t="n"/>
      <c r="AU19" s="21" t="n"/>
      <c r="AV19" s="21" t="n"/>
      <c r="AW19" s="21" t="n"/>
      <c r="AX19" s="21" t="n"/>
      <c r="AY19" s="21" t="n"/>
      <c r="AZ19" s="67" t="n"/>
      <c r="BA19" s="21" t="n"/>
      <c r="BB19" s="21" t="n"/>
      <c r="BC19" s="21" t="n"/>
      <c r="BD19" s="21" t="n"/>
      <c r="BE19" s="68" t="n"/>
      <c r="BF19" s="21" t="n"/>
      <c r="BG19" s="21" t="n"/>
      <c r="BH19" s="21" t="n"/>
      <c r="BI19" s="21" t="n"/>
      <c r="BJ19" s="21" t="n"/>
      <c r="BK19" s="21" t="n"/>
    </row>
    <row r="20" ht="13.5" customHeight="1">
      <c r="B20" s="65" t="n">
        <v>7</v>
      </c>
      <c r="C20" s="21" t="n"/>
      <c r="D20" s="67" t="inlineStr">
        <is>
          <t>C13-7</t>
        </is>
      </c>
      <c r="E20" s="21" t="n"/>
      <c r="F20" s="21" t="n"/>
      <c r="G20" s="21" t="n"/>
      <c r="H20" s="21" t="n"/>
      <c r="I20" s="67" t="inlineStr">
        <is>
          <t>전원</t>
        </is>
      </c>
      <c r="J20" s="21" t="n"/>
      <c r="K20" s="21" t="n"/>
      <c r="L20" s="21" t="n"/>
      <c r="M20" s="67" t="inlineStr">
        <is>
          <t>SRV-01</t>
        </is>
      </c>
      <c r="N20" s="21" t="n"/>
      <c r="O20" s="21" t="n"/>
      <c r="P20" s="21" t="n"/>
      <c r="Q20" s="21" t="n"/>
      <c r="R20" s="21" t="n"/>
      <c r="S20" s="21" t="n"/>
      <c r="T20" s="67" t="inlineStr">
        <is>
          <t>PSU2</t>
        </is>
      </c>
      <c r="U20" s="21" t="n"/>
      <c r="V20" s="21" t="n"/>
      <c r="W20" s="21" t="n"/>
      <c r="X20" s="21" t="n"/>
      <c r="Y20" s="68" t="inlineStr">
        <is>
          <t>R02-P014</t>
        </is>
      </c>
      <c r="Z20" s="21" t="n"/>
      <c r="AA20" s="21" t="n"/>
      <c r="AB20" s="21" t="n"/>
      <c r="AC20" s="21" t="n"/>
      <c r="AD20" s="21" t="n"/>
      <c r="AE20" s="21" t="n"/>
      <c r="AH20" s="65" t="n"/>
      <c r="AI20" s="21" t="n"/>
      <c r="AJ20" s="67" t="n"/>
      <c r="AK20" s="21" t="n"/>
      <c r="AL20" s="21" t="n"/>
      <c r="AM20" s="21" t="n"/>
      <c r="AN20" s="21" t="n"/>
      <c r="AO20" s="67" t="n"/>
      <c r="AP20" s="21" t="n"/>
      <c r="AQ20" s="21" t="n"/>
      <c r="AR20" s="21" t="n"/>
      <c r="AS20" s="67" t="n"/>
      <c r="AT20" s="21" t="n"/>
      <c r="AU20" s="21" t="n"/>
      <c r="AV20" s="21" t="n"/>
      <c r="AW20" s="21" t="n"/>
      <c r="AX20" s="21" t="n"/>
      <c r="AY20" s="21" t="n"/>
      <c r="AZ20" s="67" t="n"/>
      <c r="BA20" s="21" t="n"/>
      <c r="BB20" s="21" t="n"/>
      <c r="BC20" s="21" t="n"/>
      <c r="BD20" s="21" t="n"/>
      <c r="BE20" s="68" t="n"/>
      <c r="BF20" s="21" t="n"/>
      <c r="BG20" s="21" t="n"/>
      <c r="BH20" s="21" t="n"/>
      <c r="BI20" s="21" t="n"/>
      <c r="BJ20" s="21" t="n"/>
      <c r="BK20" s="21" t="n"/>
    </row>
    <row r="21" ht="13.5" customHeight="1">
      <c r="B21" s="65" t="n">
        <v>8</v>
      </c>
      <c r="C21" s="21" t="n"/>
      <c r="D21" s="67" t="inlineStr">
        <is>
          <t>C13-8</t>
        </is>
      </c>
      <c r="E21" s="21" t="n"/>
      <c r="F21" s="21" t="n"/>
      <c r="G21" s="21" t="n"/>
      <c r="H21" s="21" t="n"/>
      <c r="I21" s="67" t="inlineStr">
        <is>
          <t>전원</t>
        </is>
      </c>
      <c r="J21" s="21" t="n"/>
      <c r="K21" s="21" t="n"/>
      <c r="L21" s="21" t="n"/>
      <c r="M21" s="67" t="inlineStr">
        <is>
          <t>SRV-02</t>
        </is>
      </c>
      <c r="N21" s="21" t="n"/>
      <c r="O21" s="21" t="n"/>
      <c r="P21" s="21" t="n"/>
      <c r="Q21" s="21" t="n"/>
      <c r="R21" s="21" t="n"/>
      <c r="S21" s="21" t="n"/>
      <c r="T21" s="67" t="inlineStr">
        <is>
          <t>PSU2</t>
        </is>
      </c>
      <c r="U21" s="21" t="n"/>
      <c r="V21" s="21" t="n"/>
      <c r="W21" s="21" t="n"/>
      <c r="X21" s="21" t="n"/>
      <c r="Y21" s="68" t="inlineStr">
        <is>
          <t>R02-P016</t>
        </is>
      </c>
      <c r="Z21" s="21" t="n"/>
      <c r="AA21" s="21" t="n"/>
      <c r="AB21" s="21" t="n"/>
      <c r="AC21" s="21" t="n"/>
      <c r="AD21" s="21" t="n"/>
      <c r="AE21" s="21" t="n"/>
      <c r="AH21" s="65" t="n"/>
      <c r="AI21" s="21" t="n"/>
      <c r="AJ21" s="67" t="n"/>
      <c r="AK21" s="21" t="n"/>
      <c r="AL21" s="21" t="n"/>
      <c r="AM21" s="21" t="n"/>
      <c r="AN21" s="21" t="n"/>
      <c r="AO21" s="67" t="n"/>
      <c r="AP21" s="21" t="n"/>
      <c r="AQ21" s="21" t="n"/>
      <c r="AR21" s="21" t="n"/>
      <c r="AS21" s="67" t="n"/>
      <c r="AT21" s="21" t="n"/>
      <c r="AU21" s="21" t="n"/>
      <c r="AV21" s="21" t="n"/>
      <c r="AW21" s="21" t="n"/>
      <c r="AX21" s="21" t="n"/>
      <c r="AY21" s="21" t="n"/>
      <c r="AZ21" s="67" t="n"/>
      <c r="BA21" s="21" t="n"/>
      <c r="BB21" s="21" t="n"/>
      <c r="BC21" s="21" t="n"/>
      <c r="BD21" s="21" t="n"/>
      <c r="BE21" s="68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5" t="n">
        <v>9</v>
      </c>
      <c r="C22" s="21" t="n"/>
      <c r="D22" s="67" t="inlineStr">
        <is>
          <t>C13-9</t>
        </is>
      </c>
      <c r="E22" s="21" t="n"/>
      <c r="F22" s="21" t="n"/>
      <c r="G22" s="21" t="n"/>
      <c r="H22" s="21" t="n"/>
      <c r="I22" s="67" t="inlineStr">
        <is>
          <t>전원</t>
        </is>
      </c>
      <c r="J22" s="21" t="n"/>
      <c r="K22" s="21" t="n"/>
      <c r="L22" s="21" t="n"/>
      <c r="M22" s="67" t="inlineStr">
        <is>
          <t>SRV-03</t>
        </is>
      </c>
      <c r="N22" s="21" t="n"/>
      <c r="O22" s="21" t="n"/>
      <c r="P22" s="21" t="n"/>
      <c r="Q22" s="21" t="n"/>
      <c r="R22" s="21" t="n"/>
      <c r="S22" s="21" t="n"/>
      <c r="T22" s="67" t="inlineStr">
        <is>
          <t>PSU2</t>
        </is>
      </c>
      <c r="U22" s="21" t="n"/>
      <c r="V22" s="21" t="n"/>
      <c r="W22" s="21" t="n"/>
      <c r="X22" s="21" t="n"/>
      <c r="Y22" s="68" t="inlineStr">
        <is>
          <t>R02-P018</t>
        </is>
      </c>
      <c r="Z22" s="21" t="n"/>
      <c r="AA22" s="21" t="n"/>
      <c r="AB22" s="21" t="n"/>
      <c r="AC22" s="21" t="n"/>
      <c r="AD22" s="21" t="n"/>
      <c r="AE22" s="21" t="n"/>
      <c r="AH22" s="65" t="n"/>
      <c r="AI22" s="21" t="n"/>
      <c r="AJ22" s="67" t="n"/>
      <c r="AK22" s="21" t="n"/>
      <c r="AL22" s="21" t="n"/>
      <c r="AM22" s="21" t="n"/>
      <c r="AN22" s="21" t="n"/>
      <c r="AO22" s="67" t="n"/>
      <c r="AP22" s="21" t="n"/>
      <c r="AQ22" s="21" t="n"/>
      <c r="AR22" s="21" t="n"/>
      <c r="AS22" s="67" t="n"/>
      <c r="AT22" s="21" t="n"/>
      <c r="AU22" s="21" t="n"/>
      <c r="AV22" s="21" t="n"/>
      <c r="AW22" s="21" t="n"/>
      <c r="AX22" s="21" t="n"/>
      <c r="AY22" s="21" t="n"/>
      <c r="AZ22" s="67" t="n"/>
      <c r="BA22" s="21" t="n"/>
      <c r="BB22" s="21" t="n"/>
      <c r="BC22" s="21" t="n"/>
      <c r="BD22" s="21" t="n"/>
      <c r="BE22" s="68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5" t="n">
        <v>25</v>
      </c>
      <c r="C23" s="21" t="n"/>
      <c r="D23" s="67" t="inlineStr">
        <is>
          <t>C19-25</t>
        </is>
      </c>
      <c r="E23" s="21" t="n"/>
      <c r="F23" s="21" t="n"/>
      <c r="G23" s="21" t="n"/>
      <c r="H23" s="21" t="n"/>
      <c r="I23" s="67" t="inlineStr">
        <is>
          <t>전원</t>
        </is>
      </c>
      <c r="J23" s="21" t="n"/>
      <c r="K23" s="21" t="n"/>
      <c r="L23" s="21" t="n"/>
      <c r="M23" s="67" t="inlineStr">
        <is>
          <t>ENC-01</t>
        </is>
      </c>
      <c r="N23" s="21" t="n"/>
      <c r="O23" s="21" t="n"/>
      <c r="P23" s="21" t="n"/>
      <c r="Q23" s="21" t="n"/>
      <c r="R23" s="21" t="n"/>
      <c r="S23" s="21" t="n"/>
      <c r="T23" s="67" t="inlineStr">
        <is>
          <t>AC4</t>
        </is>
      </c>
      <c r="U23" s="21" t="n"/>
      <c r="V23" s="21" t="n"/>
      <c r="W23" s="21" t="n"/>
      <c r="X23" s="21" t="n"/>
      <c r="Y23" s="68" t="inlineStr">
        <is>
          <t>R02-P022</t>
        </is>
      </c>
      <c r="Z23" s="21" t="n"/>
      <c r="AA23" s="21" t="n"/>
      <c r="AB23" s="21" t="n"/>
      <c r="AC23" s="21" t="n"/>
      <c r="AD23" s="21" t="n"/>
      <c r="AE23" s="21" t="n"/>
      <c r="AH23" s="65" t="n"/>
      <c r="AI23" s="21" t="n"/>
      <c r="AJ23" s="67" t="n"/>
      <c r="AK23" s="21" t="n"/>
      <c r="AL23" s="21" t="n"/>
      <c r="AM23" s="21" t="n"/>
      <c r="AN23" s="21" t="n"/>
      <c r="AO23" s="67" t="n"/>
      <c r="AP23" s="21" t="n"/>
      <c r="AQ23" s="21" t="n"/>
      <c r="AR23" s="21" t="n"/>
      <c r="AS23" s="67" t="n"/>
      <c r="AT23" s="21" t="n"/>
      <c r="AU23" s="21" t="n"/>
      <c r="AV23" s="21" t="n"/>
      <c r="AW23" s="21" t="n"/>
      <c r="AX23" s="21" t="n"/>
      <c r="AY23" s="21" t="n"/>
      <c r="AZ23" s="67" t="n"/>
      <c r="BA23" s="21" t="n"/>
      <c r="BB23" s="21" t="n"/>
      <c r="BC23" s="21" t="n"/>
      <c r="BD23" s="21" t="n"/>
      <c r="BE23" s="68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5" t="n">
        <v>26</v>
      </c>
      <c r="C24" s="21" t="n"/>
      <c r="D24" s="67" t="inlineStr">
        <is>
          <t>C19-26</t>
        </is>
      </c>
      <c r="E24" s="21" t="n"/>
      <c r="F24" s="21" t="n"/>
      <c r="G24" s="21" t="n"/>
      <c r="H24" s="21" t="n"/>
      <c r="I24" s="67" t="inlineStr">
        <is>
          <t>전원</t>
        </is>
      </c>
      <c r="J24" s="21" t="n"/>
      <c r="K24" s="21" t="n"/>
      <c r="L24" s="21" t="n"/>
      <c r="M24" s="67" t="inlineStr">
        <is>
          <t>ENC-01</t>
        </is>
      </c>
      <c r="N24" s="21" t="n"/>
      <c r="O24" s="21" t="n"/>
      <c r="P24" s="21" t="n"/>
      <c r="Q24" s="21" t="n"/>
      <c r="R24" s="21" t="n"/>
      <c r="S24" s="21" t="n"/>
      <c r="T24" s="67" t="inlineStr">
        <is>
          <t>AC5</t>
        </is>
      </c>
      <c r="U24" s="21" t="n"/>
      <c r="V24" s="21" t="n"/>
      <c r="W24" s="21" t="n"/>
      <c r="X24" s="21" t="n"/>
      <c r="Y24" s="68" t="inlineStr">
        <is>
          <t>R02-P023</t>
        </is>
      </c>
      <c r="Z24" s="21" t="n"/>
      <c r="AA24" s="21" t="n"/>
      <c r="AB24" s="21" t="n"/>
      <c r="AC24" s="21" t="n"/>
      <c r="AD24" s="21" t="n"/>
      <c r="AE24" s="21" t="n"/>
      <c r="AH24" s="65" t="n"/>
      <c r="AI24" s="21" t="n"/>
      <c r="AJ24" s="67" t="n"/>
      <c r="AK24" s="21" t="n"/>
      <c r="AL24" s="21" t="n"/>
      <c r="AM24" s="21" t="n"/>
      <c r="AN24" s="21" t="n"/>
      <c r="AO24" s="67" t="n"/>
      <c r="AP24" s="21" t="n"/>
      <c r="AQ24" s="21" t="n"/>
      <c r="AR24" s="21" t="n"/>
      <c r="AS24" s="67" t="n"/>
      <c r="AT24" s="21" t="n"/>
      <c r="AU24" s="21" t="n"/>
      <c r="AV24" s="21" t="n"/>
      <c r="AW24" s="21" t="n"/>
      <c r="AX24" s="21" t="n"/>
      <c r="AY24" s="21" t="n"/>
      <c r="AZ24" s="67" t="n"/>
      <c r="BA24" s="21" t="n"/>
      <c r="BB24" s="21" t="n"/>
      <c r="BC24" s="21" t="n"/>
      <c r="BD24" s="21" t="n"/>
      <c r="BE24" s="68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5" t="n">
        <v>27</v>
      </c>
      <c r="C25" s="21" t="n"/>
      <c r="D25" s="67" t="inlineStr">
        <is>
          <t>C19-27</t>
        </is>
      </c>
      <c r="E25" s="21" t="n"/>
      <c r="F25" s="21" t="n"/>
      <c r="G25" s="21" t="n"/>
      <c r="H25" s="21" t="n"/>
      <c r="I25" s="67" t="inlineStr">
        <is>
          <t>전원</t>
        </is>
      </c>
      <c r="J25" s="21" t="n"/>
      <c r="K25" s="21" t="n"/>
      <c r="L25" s="21" t="n"/>
      <c r="M25" s="67" t="inlineStr">
        <is>
          <t>ENC-01</t>
        </is>
      </c>
      <c r="N25" s="21" t="n"/>
      <c r="O25" s="21" t="n"/>
      <c r="P25" s="21" t="n"/>
      <c r="Q25" s="21" t="n"/>
      <c r="R25" s="21" t="n"/>
      <c r="S25" s="21" t="n"/>
      <c r="T25" s="67" t="inlineStr">
        <is>
          <t>AC6</t>
        </is>
      </c>
      <c r="U25" s="21" t="n"/>
      <c r="V25" s="21" t="n"/>
      <c r="W25" s="21" t="n"/>
      <c r="X25" s="21" t="n"/>
      <c r="Y25" s="68" t="inlineStr">
        <is>
          <t>R02-P024</t>
        </is>
      </c>
      <c r="Z25" s="21" t="n"/>
      <c r="AA25" s="21" t="n"/>
      <c r="AB25" s="21" t="n"/>
      <c r="AC25" s="21" t="n"/>
      <c r="AD25" s="21" t="n"/>
      <c r="AE25" s="21" t="n"/>
      <c r="AH25" s="65" t="n"/>
      <c r="AI25" s="21" t="n"/>
      <c r="AJ25" s="67" t="n"/>
      <c r="AK25" s="21" t="n"/>
      <c r="AL25" s="21" t="n"/>
      <c r="AM25" s="21" t="n"/>
      <c r="AN25" s="21" t="n"/>
      <c r="AO25" s="67" t="n"/>
      <c r="AP25" s="21" t="n"/>
      <c r="AQ25" s="21" t="n"/>
      <c r="AR25" s="21" t="n"/>
      <c r="AS25" s="67" t="n"/>
      <c r="AT25" s="21" t="n"/>
      <c r="AU25" s="21" t="n"/>
      <c r="AV25" s="21" t="n"/>
      <c r="AW25" s="21" t="n"/>
      <c r="AX25" s="21" t="n"/>
      <c r="AY25" s="21" t="n"/>
      <c r="AZ25" s="67" t="n"/>
      <c r="BA25" s="21" t="n"/>
      <c r="BB25" s="21" t="n"/>
      <c r="BC25" s="21" t="n"/>
      <c r="BD25" s="21" t="n"/>
      <c r="BE25" s="68" t="n"/>
      <c r="BF25" s="21" t="n"/>
      <c r="BG25" s="21" t="n"/>
      <c r="BH25" s="21" t="n"/>
      <c r="BI25" s="21" t="n"/>
      <c r="BJ25" s="21" t="n"/>
      <c r="BK25" s="21" t="n"/>
    </row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190">
    <mergeCell ref="O7:P7"/>
    <mergeCell ref="I14:L14"/>
    <mergeCell ref="M18:S18"/>
    <mergeCell ref="Q7:R7"/>
    <mergeCell ref="T15:X15"/>
    <mergeCell ref="T24:X24"/>
    <mergeCell ref="AW6:AY6"/>
    <mergeCell ref="Y18:AE18"/>
    <mergeCell ref="O6:P6"/>
    <mergeCell ref="M17:S17"/>
    <mergeCell ref="D19:H19"/>
    <mergeCell ref="BE17:BK17"/>
    <mergeCell ref="B22:C22"/>
    <mergeCell ref="AZ15:BD15"/>
    <mergeCell ref="AZ24:BD24"/>
    <mergeCell ref="M19:S19"/>
    <mergeCell ref="B21:C21"/>
    <mergeCell ref="BE19:BK19"/>
    <mergeCell ref="S7:T7"/>
    <mergeCell ref="AH20:AI20"/>
    <mergeCell ref="AY12:BB12"/>
    <mergeCell ref="B14:C14"/>
    <mergeCell ref="AS20:AY20"/>
    <mergeCell ref="AJ18:AN18"/>
    <mergeCell ref="B13:C13"/>
    <mergeCell ref="AO23:AR23"/>
    <mergeCell ref="BE14:BK14"/>
    <mergeCell ref="AO13:AR13"/>
    <mergeCell ref="AH6:AI6"/>
    <mergeCell ref="AS22:AY22"/>
    <mergeCell ref="AJ6:AK6"/>
    <mergeCell ref="I16:L16"/>
    <mergeCell ref="I25:L25"/>
    <mergeCell ref="T22:X22"/>
    <mergeCell ref="AO15:AR15"/>
    <mergeCell ref="AS21:AY21"/>
    <mergeCell ref="AO24:AR24"/>
    <mergeCell ref="AB7:AC7"/>
    <mergeCell ref="B24:C24"/>
    <mergeCell ref="AO18:AR18"/>
    <mergeCell ref="AD7:AE7"/>
    <mergeCell ref="I18:L18"/>
    <mergeCell ref="AJ20:AN20"/>
    <mergeCell ref="M13:S13"/>
    <mergeCell ref="D23:H23"/>
    <mergeCell ref="M21:S21"/>
    <mergeCell ref="F7:H7"/>
    <mergeCell ref="AH13:AI13"/>
    <mergeCell ref="AZ14:BD14"/>
    <mergeCell ref="AJ22:AN22"/>
    <mergeCell ref="Y13:AE13"/>
    <mergeCell ref="B16:C16"/>
    <mergeCell ref="B25:C25"/>
    <mergeCell ref="AZ13:BD13"/>
    <mergeCell ref="BE23:BK23"/>
    <mergeCell ref="T20:X20"/>
    <mergeCell ref="AJ21:AN21"/>
    <mergeCell ref="U6:V6"/>
    <mergeCell ref="T14:X14"/>
    <mergeCell ref="I20:L20"/>
    <mergeCell ref="W6:X6"/>
    <mergeCell ref="M24:S24"/>
    <mergeCell ref="AH24:AI24"/>
    <mergeCell ref="AH18:AI18"/>
    <mergeCell ref="B18:C18"/>
    <mergeCell ref="AJ14:AN14"/>
    <mergeCell ref="AS24:AY24"/>
    <mergeCell ref="I13:L13"/>
    <mergeCell ref="AH17:AI17"/>
    <mergeCell ref="AS18:AY18"/>
    <mergeCell ref="AJ23:AN23"/>
    <mergeCell ref="BE18:BK18"/>
    <mergeCell ref="AF6:AG6"/>
    <mergeCell ref="I15:L15"/>
    <mergeCell ref="AH19:AI19"/>
    <mergeCell ref="D17:H17"/>
    <mergeCell ref="U7:V7"/>
    <mergeCell ref="M7:N7"/>
    <mergeCell ref="W7:X7"/>
    <mergeCell ref="AQ6:AS6"/>
    <mergeCell ref="AZ16:BD16"/>
    <mergeCell ref="AZ25:BD25"/>
    <mergeCell ref="BE20:BK20"/>
    <mergeCell ref="Y20:AE20"/>
    <mergeCell ref="Y14:AE14"/>
    <mergeCell ref="T17:X17"/>
    <mergeCell ref="AZ18:BD18"/>
    <mergeCell ref="D25:H25"/>
    <mergeCell ref="AT6:AV6"/>
    <mergeCell ref="AW7:AY7"/>
    <mergeCell ref="B15:C15"/>
    <mergeCell ref="AO14:AR14"/>
    <mergeCell ref="BE22:BK22"/>
    <mergeCell ref="Y22:AE22"/>
    <mergeCell ref="AZ17:BD17"/>
    <mergeCell ref="AJ16:AN16"/>
    <mergeCell ref="T19:X19"/>
    <mergeCell ref="AJ25:AN25"/>
    <mergeCell ref="M15:S15"/>
    <mergeCell ref="D14:H14"/>
    <mergeCell ref="I24:L24"/>
    <mergeCell ref="AH22:AI22"/>
    <mergeCell ref="BE21:BK21"/>
    <mergeCell ref="B4:B9"/>
    <mergeCell ref="I17:L17"/>
    <mergeCell ref="AH21:AI21"/>
    <mergeCell ref="AS23:AY23"/>
    <mergeCell ref="AS13:AY13"/>
    <mergeCell ref="AH14:AI14"/>
    <mergeCell ref="BE13:BK13"/>
    <mergeCell ref="AO25:AR25"/>
    <mergeCell ref="I19:L19"/>
    <mergeCell ref="M23:S23"/>
    <mergeCell ref="AH23:AI23"/>
    <mergeCell ref="D21:H21"/>
    <mergeCell ref="Y23:AE23"/>
    <mergeCell ref="AS15:AY15"/>
    <mergeCell ref="AJ7:AK7"/>
    <mergeCell ref="AL7:AM7"/>
    <mergeCell ref="AO17:AR17"/>
    <mergeCell ref="B17:C17"/>
    <mergeCell ref="BE24:BK24"/>
    <mergeCell ref="AJ13:AN13"/>
    <mergeCell ref="T21:X21"/>
    <mergeCell ref="D16:H16"/>
    <mergeCell ref="B19:C19"/>
    <mergeCell ref="Q6:R6"/>
    <mergeCell ref="S6:T6"/>
    <mergeCell ref="AJ15:AN15"/>
    <mergeCell ref="AJ24:AN24"/>
    <mergeCell ref="M20:S20"/>
    <mergeCell ref="T23:X23"/>
    <mergeCell ref="AS25:AY25"/>
    <mergeCell ref="D18:H18"/>
    <mergeCell ref="BE16:BK16"/>
    <mergeCell ref="T13:X13"/>
    <mergeCell ref="BE25:BK25"/>
    <mergeCell ref="Y19:AE19"/>
    <mergeCell ref="F6:H6"/>
    <mergeCell ref="T16:X16"/>
    <mergeCell ref="I21:L21"/>
    <mergeCell ref="B20:C20"/>
    <mergeCell ref="M22:S22"/>
    <mergeCell ref="Y17:AE17"/>
    <mergeCell ref="AH25:AI25"/>
    <mergeCell ref="Y25:AE25"/>
    <mergeCell ref="AS17:AY17"/>
    <mergeCell ref="AO20:AR20"/>
    <mergeCell ref="T18:X18"/>
    <mergeCell ref="AQ7:AS7"/>
    <mergeCell ref="I23:L23"/>
    <mergeCell ref="D20:H20"/>
    <mergeCell ref="AS19:AY19"/>
    <mergeCell ref="AB6:AC6"/>
    <mergeCell ref="AO22:AR22"/>
    <mergeCell ref="AL6:AM6"/>
    <mergeCell ref="AZ19:BD19"/>
    <mergeCell ref="D22:H22"/>
    <mergeCell ref="AO21:AR21"/>
    <mergeCell ref="M14:S14"/>
    <mergeCell ref="AJ17:AN17"/>
    <mergeCell ref="T25:X25"/>
    <mergeCell ref="AS14:AY14"/>
    <mergeCell ref="AD6:AE6"/>
    <mergeCell ref="D13:H13"/>
    <mergeCell ref="B23:C23"/>
    <mergeCell ref="AZ20:BD20"/>
    <mergeCell ref="AJ19:AN19"/>
    <mergeCell ref="BE15:BK15"/>
    <mergeCell ref="AO16:AR16"/>
    <mergeCell ref="Y15:AE15"/>
    <mergeCell ref="Y24:AE24"/>
    <mergeCell ref="M6:N6"/>
    <mergeCell ref="AZ22:BD22"/>
    <mergeCell ref="AH15:AI15"/>
    <mergeCell ref="Y21:AE21"/>
    <mergeCell ref="AO19:AR19"/>
    <mergeCell ref="AT7:AV7"/>
    <mergeCell ref="I22:L22"/>
    <mergeCell ref="AZ21:BD21"/>
    <mergeCell ref="D15:H15"/>
    <mergeCell ref="AF7:AG7"/>
    <mergeCell ref="D24:H24"/>
    <mergeCell ref="AH7:AI7"/>
    <mergeCell ref="M16:S16"/>
    <mergeCell ref="AH16:AI16"/>
    <mergeCell ref="M25:S25"/>
    <mergeCell ref="Y16:AE16"/>
    <mergeCell ref="AZ23:BD23"/>
    <mergeCell ref="AS16:AY16"/>
  </mergeCells>
  <conditionalFormatting sqref="B14:C25">
    <cfRule type="expression" priority="1" dxfId="13" stopIfTrue="1">
      <formula>AND(ISNUMBER($B14),SUMPRODUCT(($C$4:$BK$10=$B14)*($C$4:$BK$10&lt;&gt;""))&lt;&gt;1)</formula>
    </cfRule>
    <cfRule type="expression" priority="2" dxfId="13" stopIfTrue="1">
      <formula>AND(ISNUMBER($B14),COUNTIF($B$14:$B$25,$B14)+COUNTIF($AH$14:$AH$25,$B14)&gt;1)</formula>
    </cfRule>
    <cfRule type="expression" priority="3" dxfId="14" stopIfTrue="1">
      <formula>$I14="서비스"</formula>
    </cfRule>
    <cfRule type="expression" priority="4" dxfId="15" stopIfTrue="1">
      <formula>$I14="관리"</formula>
    </cfRule>
    <cfRule type="expression" priority="5" dxfId="16" stopIfTrue="1">
      <formula>$I14="백업"</formula>
    </cfRule>
    <cfRule type="expression" priority="6" dxfId="17" stopIfTrue="1">
      <formula>$I14="스토리지"</formula>
    </cfRule>
    <cfRule type="expression" priority="7" dxfId="18" stopIfTrue="1">
      <formula>$I14="인터커넥트"</formula>
    </cfRule>
    <cfRule type="expression" priority="8" dxfId="19" stopIfTrue="1">
      <formula>$I14="콘솔"</formula>
    </cfRule>
    <cfRule type="expression" priority="9" dxfId="20" stopIfTrue="1">
      <formula>$I14="전원"</formula>
    </cfRule>
  </conditionalFormatting>
  <conditionalFormatting sqref="AH14:AI25">
    <cfRule type="expression" priority="10" dxfId="13" stopIfTrue="1">
      <formula>AND(ISNUMBER($AH14),SUMPRODUCT(($C$4:$BK$10=$AH14)*($C$4:$BK$10&lt;&gt;""))&lt;&gt;1)</formula>
    </cfRule>
    <cfRule type="expression" priority="11" dxfId="13" stopIfTrue="1">
      <formula>AND(ISNUMBER($AH14),COUNTIF($B$14:$B$25,$AH14)+COUNTIF($AH$14:$AH$25,$AH14)&gt;1)</formula>
    </cfRule>
    <cfRule type="expression" priority="12" dxfId="14" stopIfTrue="1">
      <formula>$AO14="서비스"</formula>
    </cfRule>
    <cfRule type="expression" priority="13" dxfId="15" stopIfTrue="1">
      <formula>$AO14="관리"</formula>
    </cfRule>
    <cfRule type="expression" priority="14" dxfId="16" stopIfTrue="1">
      <formula>$AO14="백업"</formula>
    </cfRule>
    <cfRule type="expression" priority="15" dxfId="17" stopIfTrue="1">
      <formula>$AO14="스토리지"</formula>
    </cfRule>
    <cfRule type="expression" priority="16" dxfId="18" stopIfTrue="1">
      <formula>$AO14="인터커넥트"</formula>
    </cfRule>
    <cfRule type="expression" priority="17" dxfId="19" stopIfTrue="1">
      <formula>$AO14="콘솔"</formula>
    </cfRule>
    <cfRule type="expression" priority="18" dxfId="20" stopIfTrue="1">
      <formula>$AO14="전원"</formula>
    </cfRule>
  </conditionalFormatting>
  <dataValidations count="2">
    <dataValidation sqref="I14:I25" showDropDown="0" showInputMessage="0" showErrorMessage="0" allowBlank="1" type="list">
      <formula1>"서비스,관리,백업,스토리지,인터커넥트,콘솔,전원,기타"</formula1>
    </dataValidation>
    <dataValidation sqref="AO14:AO25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8C99A8"/>
    <outlinePr summaryBelow="1" summaryRight="1"/>
    <pageSetUpPr fitToPage="1"/>
  </sheetPr>
  <dimension ref="B1:BK57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사용법</t>
        </is>
      </c>
      <c r="C1" s="2" t="n"/>
      <c r="D1" s="2" t="n"/>
      <c r="E1" s="2" t="n"/>
      <c r="F1" s="2" t="n"/>
      <c r="G1" s="2" t="n"/>
      <c r="H1" s="154" t="inlineStr">
        <is>
          <t>5분 요약 — 복사 · 수정 · 번호 · 랙 관리 · 인쇄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전·후면도 라이브러리</t>
        </is>
      </c>
    </row>
    <row r="2" ht="6" customHeight="1"/>
    <row r="3" ht="4" customHeight="1"/>
    <row r="4" ht="12" customHeight="1"/>
    <row r="5" ht="15" customHeight="1">
      <c r="B5" s="62" t="n">
        <v>0</v>
      </c>
      <c r="C5" s="155" t="inlineStr">
        <is>
          <t xml:space="preserve">  파일 구성과 탭 색</t>
        </is>
      </c>
      <c r="D5" s="156" t="n"/>
      <c r="E5" s="156" t="n"/>
      <c r="F5" s="156" t="n"/>
      <c r="G5" s="156" t="n"/>
      <c r="H5" s="156" t="n"/>
      <c r="I5" s="156" t="n"/>
      <c r="J5" s="156" t="n"/>
      <c r="K5" s="156" t="n"/>
      <c r="L5" s="156" t="n"/>
      <c r="M5" s="156" t="n"/>
      <c r="N5" s="156" t="n"/>
      <c r="O5" s="156" t="n"/>
      <c r="P5" s="156" t="n"/>
      <c r="Q5" s="156" t="n"/>
      <c r="R5" s="156" t="n"/>
      <c r="S5" s="156" t="n"/>
      <c r="T5" s="156" t="n"/>
      <c r="U5" s="156" t="n"/>
      <c r="V5" s="156" t="n"/>
      <c r="W5" s="156" t="n"/>
      <c r="X5" s="156" t="n"/>
      <c r="Y5" s="156" t="n"/>
      <c r="Z5" s="156" t="n"/>
      <c r="AA5" s="156" t="n"/>
      <c r="AB5" s="156" t="n"/>
      <c r="AC5" s="156" t="n"/>
      <c r="AD5" s="156" t="n"/>
      <c r="AE5" s="156" t="n"/>
      <c r="AF5" s="156" t="n"/>
      <c r="AG5" s="156" t="n"/>
      <c r="AH5" s="156" t="n"/>
      <c r="AI5" s="156" t="n"/>
      <c r="AJ5" s="156" t="n"/>
      <c r="AK5" s="156" t="n"/>
      <c r="AL5" s="156" t="n"/>
      <c r="AM5" s="156" t="n"/>
      <c r="AN5" s="156" t="n"/>
      <c r="AO5" s="156" t="n"/>
      <c r="AP5" s="156" t="n"/>
      <c r="AQ5" s="156" t="n"/>
      <c r="AR5" s="156" t="n"/>
      <c r="AS5" s="156" t="n"/>
      <c r="AT5" s="156" t="n"/>
      <c r="AU5" s="156" t="n"/>
      <c r="AV5" s="156" t="n"/>
      <c r="AW5" s="156" t="n"/>
      <c r="AX5" s="156" t="n"/>
      <c r="AY5" s="156" t="n"/>
      <c r="AZ5" s="156" t="n"/>
      <c r="BA5" s="156" t="n"/>
      <c r="BB5" s="156" t="n"/>
      <c r="BC5" s="156" t="n"/>
      <c r="BD5" s="156" t="n"/>
      <c r="BE5" s="156" t="n"/>
      <c r="BF5" s="156" t="n"/>
      <c r="BG5" s="156" t="n"/>
      <c r="BH5" s="156" t="n"/>
      <c r="BI5" s="156" t="n"/>
      <c r="BJ5" s="156" t="n"/>
      <c r="BK5" s="156" t="n"/>
    </row>
    <row r="6" ht="13" customHeight="1">
      <c r="C6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1_장비도면_라이브러리.xlsx</t>
          </r>
          <r>
            <rPr>
              <rFont val="맑은 고딕"/>
              <color rgb="001E2A36"/>
              <sz val="8"/>
            </rPr>
            <t xml:space="preserve">  사용법 · 기준 · 부품 · 빈 양식 13종 · 작성 예시 11종</t>
          </r>
        </is>
      </c>
    </row>
    <row r="7" ht="13" customHeight="1">
      <c r="C7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2_랙예시_DC1-R02.xlsx</t>
          </r>
          <r>
            <rPr>
              <rFont val="맑은 고딕"/>
              <color rgb="001E2A36"/>
              <sz val="8"/>
            </rPr>
            <t xml:space="preserve">  랙 1대를 파일 1개로 관리하는 예 (랙 실장도 + 장비 시트 13개, 케이블 라벨 양쪽 일치)</t>
          </r>
        </is>
      </c>
    </row>
    <row r="8" ht="13" customHeight="1">
      <c r="C8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3_랙_빈양식.xlsx</t>
          </r>
          <r>
            <rPr>
              <rFont val="맑은 고딕"/>
              <color rgb="001E2A36"/>
              <sz val="8"/>
            </rPr>
            <t xml:space="preserve">  새 랙 파일을 만들 때 복사해서 시작</t>
          </r>
        </is>
      </c>
    </row>
    <row r="9" ht="13" customHeight="1">
      <c r="C9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탭 색</t>
          </r>
          <r>
            <rPr>
              <rFont val="맑은 고딕"/>
              <color rgb="001E2A36"/>
              <sz val="8"/>
            </rPr>
            <t xml:space="preserve">  회색 = 안내   주황 = 부품   파랑 = 빈 양식(양식-)   초록 = 작성 예시(예시-)</t>
          </r>
        </is>
      </c>
    </row>
    <row r="10" ht="12" customHeight="1"/>
    <row r="11" ht="15" customHeight="1">
      <c r="B11" s="62" t="n">
        <v>1</v>
      </c>
      <c r="C11" s="155" t="inlineStr">
        <is>
          <t xml:space="preserve">  새 장비 시트 만들기 — 6단계</t>
        </is>
      </c>
      <c r="D11" s="156" t="n"/>
      <c r="E11" s="156" t="n"/>
      <c r="F11" s="156" t="n"/>
      <c r="G11" s="156" t="n"/>
      <c r="H11" s="156" t="n"/>
      <c r="I11" s="156" t="n"/>
      <c r="J11" s="156" t="n"/>
      <c r="K11" s="156" t="n"/>
      <c r="L11" s="156" t="n"/>
      <c r="M11" s="156" t="n"/>
      <c r="N11" s="156" t="n"/>
      <c r="O11" s="156" t="n"/>
      <c r="P11" s="156" t="n"/>
      <c r="Q11" s="156" t="n"/>
      <c r="R11" s="156" t="n"/>
      <c r="S11" s="156" t="n"/>
      <c r="T11" s="156" t="n"/>
      <c r="U11" s="156" t="n"/>
      <c r="V11" s="156" t="n"/>
      <c r="W11" s="156" t="n"/>
      <c r="X11" s="156" t="n"/>
      <c r="Y11" s="156" t="n"/>
      <c r="Z11" s="156" t="n"/>
      <c r="AA11" s="156" t="n"/>
      <c r="AB11" s="156" t="n"/>
      <c r="AC11" s="156" t="n"/>
      <c r="AD11" s="156" t="n"/>
      <c r="AE11" s="156" t="n"/>
      <c r="AF11" s="156" t="n"/>
      <c r="AG11" s="156" t="n"/>
      <c r="AH11" s="156" t="n"/>
      <c r="AI11" s="156" t="n"/>
      <c r="AJ11" s="156" t="n"/>
      <c r="AK11" s="156" t="n"/>
      <c r="AL11" s="156" t="n"/>
      <c r="AM11" s="156" t="n"/>
      <c r="AN11" s="156" t="n"/>
      <c r="AO11" s="156" t="n"/>
      <c r="AP11" s="156" t="n"/>
      <c r="AQ11" s="156" t="n"/>
      <c r="AR11" s="156" t="n"/>
      <c r="AS11" s="156" t="n"/>
      <c r="AT11" s="156" t="n"/>
      <c r="AU11" s="156" t="n"/>
      <c r="AV11" s="156" t="n"/>
      <c r="AW11" s="156" t="n"/>
      <c r="AX11" s="156" t="n"/>
      <c r="AY11" s="156" t="n"/>
      <c r="AZ11" s="156" t="n"/>
      <c r="BA11" s="156" t="n"/>
      <c r="BB11" s="156" t="n"/>
      <c r="BC11" s="156" t="n"/>
      <c r="BD11" s="156" t="n"/>
      <c r="BE11" s="156" t="n"/>
      <c r="BF11" s="156" t="n"/>
      <c r="BG11" s="156" t="n"/>
      <c r="BH11" s="156" t="n"/>
      <c r="BI11" s="156" t="n"/>
      <c r="BJ11" s="156" t="n"/>
      <c r="BK11" s="156" t="n"/>
    </row>
    <row r="12" ht="13" customHeight="1">
      <c r="C12" s="92" t="n">
        <v>1</v>
      </c>
      <c r="D12" s="157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가장 비슷한 </t>
          </r>
          <r>
            <rPr>
              <rFont val="맑은 고딕"/>
              <b val="1"/>
              <color rgb="001F3A5F"/>
              <sz val="8"/>
            </rPr>
            <t>예시-</t>
          </r>
          <r>
            <rPr>
              <rFont val="맑은 고딕"/>
              <color rgb="001E2A36"/>
              <sz val="8"/>
            </rPr>
            <t xml:space="preserve"> 또는 </t>
          </r>
          <r>
            <rPr>
              <rFont val="맑은 고딕"/>
              <b val="1"/>
              <color rgb="001F3A5F"/>
              <sz val="8"/>
            </rPr>
            <t>양식-</t>
          </r>
          <r>
            <rPr>
              <rFont val="맑은 고딕"/>
              <color rgb="001E2A36"/>
              <sz val="8"/>
            </rPr>
            <t xml:space="preserve"> 시트 탭 우클릭 → [이동/복사] → 대상 파일(랙 파일) 선택 → [복사본 만들기] 체크 → 확인</t>
          </r>
        </is>
      </c>
    </row>
    <row r="13" ht="13" customHeight="1">
      <c r="C13" s="92" t="n">
        <v>2</v>
      </c>
      <c r="D13" s="157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시트 이름 바꾸기: 탭 더블클릭 → </t>
          </r>
          <r>
            <rPr>
              <rFont val="Consolas"/>
              <color rgb="001E2A36"/>
              <sz val="8"/>
            </rPr>
            <t>U20 SRV-01</t>
          </r>
          <r>
            <rPr>
              <rFont val="맑은 고딕"/>
              <color rgb="001E2A36"/>
              <sz val="8"/>
            </rPr>
            <t xml:space="preserve"> 처럼 U 위치 + 장비명</t>
          </r>
        </is>
      </c>
    </row>
    <row r="14" ht="13" customHeight="1">
      <c r="C14" s="92" t="n">
        <v>3</v>
      </c>
      <c r="D14" s="157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>1~2행 머리글 입력: 장비명 · 모델 · 설치 위치 · 랙·U · 구분 · 시리얼 · 관리 IP · 작성일</t>
          </r>
        </is>
      </c>
    </row>
    <row r="15" ht="13" customHeight="1">
      <c r="C15" s="92" t="n">
        <v>4</v>
      </c>
      <c r="D15" s="157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부품 바꾸기: [부품] 시트에서 부품 범위 복사 → 장비 시트에서 놓을 자리의 </t>
          </r>
          <r>
            <rPr>
              <rFont val="맑은 고딕"/>
              <b val="1"/>
              <color rgb="001E2A36"/>
              <sz val="8"/>
            </rPr>
            <t>왼쪽 위 칸</t>
          </r>
          <r>
            <rPr>
              <rFont val="맑은 고딕"/>
              <color rgb="001E2A36"/>
              <sz val="8"/>
            </rPr>
            <t xml:space="preserve"> 클릭 → 붙여넣기 (같은 크기면 그대로 덮어써짐)</t>
          </r>
        </is>
      </c>
    </row>
    <row r="16" ht="13" customHeight="1">
      <c r="C16" s="92" t="n">
        <v>5</v>
      </c>
      <c r="D16" s="157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연결된 포트 칸에 </t>
          </r>
          <r>
            <rPr>
              <rFont val="맑은 고딕"/>
              <b val="1"/>
              <color rgb="001E2A36"/>
              <sz val="8"/>
            </rPr>
            <t>도면 번호</t>
          </r>
          <r>
            <rPr>
              <rFont val="맑은 고딕"/>
              <color rgb="001E2A36"/>
              <sz val="8"/>
            </rPr>
            <t xml:space="preserve"> (1, 2, 3 …) 입력 → [홈 &gt; 셀 스타일]에서 '포트 서비스' 등 용도 색 선택</t>
          </r>
        </is>
      </c>
    </row>
    <row r="17" ht="13" customHeight="1">
      <c r="C17" s="92" t="n">
        <v>6</v>
      </c>
      <c r="D17" s="157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아래 표에 번호별 정보 입력 (용도·면은 목록 선택) → </t>
          </r>
          <r>
            <rPr>
              <rFont val="맑은 고딕"/>
              <b val="1"/>
              <color rgb="001E2A36"/>
              <sz val="8"/>
            </rPr>
            <t>번호 칸이 분홍색</t>
          </r>
          <r>
            <rPr>
              <rFont val="맑은 고딕"/>
              <color rgb="001E2A36"/>
              <sz val="8"/>
            </rPr>
            <t>이면 도면에 그 번호가 없거나 두 번 이상 있음</t>
          </r>
        </is>
      </c>
    </row>
    <row r="18" ht="12" customHeight="1"/>
    <row r="19" ht="15" customHeight="1">
      <c r="B19" s="62" t="n">
        <v>2</v>
      </c>
      <c r="C19" s="155" t="inlineStr">
        <is>
          <t xml:space="preserve">  부품 다루기</t>
        </is>
      </c>
      <c r="D19" s="156" t="n"/>
      <c r="E19" s="156" t="n"/>
      <c r="F19" s="156" t="n"/>
      <c r="G19" s="156" t="n"/>
      <c r="H19" s="156" t="n"/>
      <c r="I19" s="156" t="n"/>
      <c r="J19" s="156" t="n"/>
      <c r="K19" s="156" t="n"/>
      <c r="L19" s="156" t="n"/>
      <c r="M19" s="156" t="n"/>
      <c r="N19" s="156" t="n"/>
      <c r="O19" s="156" t="n"/>
      <c r="P19" s="156" t="n"/>
      <c r="Q19" s="156" t="n"/>
      <c r="R19" s="156" t="n"/>
      <c r="S19" s="156" t="n"/>
      <c r="T19" s="156" t="n"/>
      <c r="U19" s="156" t="n"/>
      <c r="V19" s="156" t="n"/>
      <c r="W19" s="156" t="n"/>
      <c r="X19" s="156" t="n"/>
      <c r="Y19" s="156" t="n"/>
      <c r="Z19" s="156" t="n"/>
      <c r="AA19" s="156" t="n"/>
      <c r="AB19" s="156" t="n"/>
      <c r="AC19" s="156" t="n"/>
      <c r="AD19" s="156" t="n"/>
      <c r="AE19" s="156" t="n"/>
      <c r="AF19" s="156" t="n"/>
      <c r="AG19" s="156" t="n"/>
      <c r="AH19" s="156" t="n"/>
      <c r="AI19" s="156" t="n"/>
      <c r="AJ19" s="156" t="n"/>
      <c r="AK19" s="156" t="n"/>
      <c r="AL19" s="156" t="n"/>
      <c r="AM19" s="156" t="n"/>
      <c r="AN19" s="156" t="n"/>
      <c r="AO19" s="156" t="n"/>
      <c r="AP19" s="156" t="n"/>
      <c r="AQ19" s="156" t="n"/>
      <c r="AR19" s="156" t="n"/>
      <c r="AS19" s="156" t="n"/>
      <c r="AT19" s="156" t="n"/>
      <c r="AU19" s="156" t="n"/>
      <c r="AV19" s="156" t="n"/>
      <c r="AW19" s="156" t="n"/>
      <c r="AX19" s="156" t="n"/>
      <c r="AY19" s="156" t="n"/>
      <c r="AZ19" s="156" t="n"/>
      <c r="BA19" s="156" t="n"/>
      <c r="BB19" s="156" t="n"/>
      <c r="BC19" s="156" t="n"/>
      <c r="BD19" s="156" t="n"/>
      <c r="BE19" s="156" t="n"/>
      <c r="BF19" s="156" t="n"/>
      <c r="BG19" s="156" t="n"/>
      <c r="BH19" s="156" t="n"/>
      <c r="BI19" s="156" t="n"/>
      <c r="BJ19" s="156" t="n"/>
      <c r="BK19" s="156" t="n"/>
    </row>
    <row r="20" ht="13" customHeight="1">
      <c r="C20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교체</t>
          </r>
          <r>
            <rPr>
              <rFont val="맑은 고딕"/>
              <color rgb="001E2A36"/>
              <sz val="8"/>
            </rPr>
            <t>: 슬롯 모듈은 19칸(1/3 폭) · 29칸(1/2 폭)으로 크기가 통일 → 같은 크기 부품을 그 자리에 붙이면 끝</t>
          </r>
        </is>
      </c>
    </row>
    <row r="21" ht="13" customHeight="1">
      <c r="C21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삭제</t>
          </r>
          <r>
            <rPr>
              <rFont val="맑은 고딕"/>
              <color rgb="001E2A36"/>
              <sz val="8"/>
            </rPr>
            <t>: 범위 선택 → [홈 &gt; 지우기 &gt; 모두 지우기]  (Delete 키는 글자만 지움) — 장비 바탕이 흰색이라 지운 자리가 자연스러움</t>
          </r>
        </is>
      </c>
    </row>
    <row r="22" ht="13" customHeight="1">
      <c r="C22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포트 색</t>
          </r>
          <r>
            <rPr>
              <rFont val="맑은 고딕"/>
              <color rgb="001E2A36"/>
              <sz val="8"/>
            </rPr>
            <t>: 포트 칸 선택 → 셀 스타일 클릭 (테두리는 그대로). 되돌리기 = '포트 미연결'</t>
          </r>
        </is>
      </c>
    </row>
    <row r="23" ht="13" customHeight="1">
      <c r="C23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포트 늘리기</t>
          </r>
          <r>
            <rPr>
              <rFont val="맑은 고딕"/>
              <color rgb="001E2A36"/>
              <sz val="8"/>
            </rPr>
            <t xml:space="preserve">: 옆 포트와 아래 포트명 칸을 함께 복사해 붙이기.  </t>
          </r>
          <r>
            <rPr>
              <rFont val="맑은 고딕"/>
              <b val="1"/>
              <color rgb="001E2A36"/>
              <sz val="8"/>
            </rPr>
            <t>연속 번호</t>
          </r>
          <r>
            <rPr>
              <rFont val="맑은 고딕"/>
              <color rgb="001E2A36"/>
              <sz val="8"/>
            </rPr>
            <t>: 1, 2 입력 → 두 칸 선택 → 채우기 핸들 끌기</t>
          </r>
        </is>
      </c>
    </row>
    <row r="24" ht="13" customHeight="1">
      <c r="C24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크기가 없는 모듈</t>
          </r>
          <r>
            <rPr>
              <rFont val="맑은 고딕"/>
              <color rgb="001E2A36"/>
              <sz val="8"/>
            </rPr>
            <t>: 범위 선택 → 셀 스타일 '모듈 채움' → [테두리 &gt; 바깥쪽 테두리]  (선 색 회색)</t>
          </r>
        </is>
      </c>
    </row>
    <row r="25" ht="13" customHeight="1">
      <c r="C25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열 너비 · 행 높이는 바꾸지 않기</t>
          </r>
          <r>
            <rPr>
              <rFont val="맑은 고딕"/>
              <color rgb="001E2A36"/>
              <sz val="8"/>
            </rPr>
            <t xml:space="preserve"> — 모든 시트가 같은 격자(1칸 ≈ 4.2mm)라서 어디에 붙여도 크기가 같음</t>
          </r>
        </is>
      </c>
    </row>
    <row r="26" ht="12" customHeight="1"/>
    <row r="27" ht="15" customHeight="1">
      <c r="B27" s="62" t="n">
        <v>3</v>
      </c>
      <c r="C27" s="155" t="inlineStr">
        <is>
          <t xml:space="preserve">  도면 번호 · 포트명 · 케이블 라벨 — 서로 다른 세 가지</t>
        </is>
      </c>
      <c r="D27" s="156" t="n"/>
      <c r="E27" s="156" t="n"/>
      <c r="F27" s="156" t="n"/>
      <c r="G27" s="156" t="n"/>
      <c r="H27" s="156" t="n"/>
      <c r="I27" s="156" t="n"/>
      <c r="J27" s="156" t="n"/>
      <c r="K27" s="156" t="n"/>
      <c r="L27" s="156" t="n"/>
      <c r="M27" s="156" t="n"/>
      <c r="N27" s="156" t="n"/>
      <c r="O27" s="156" t="n"/>
      <c r="P27" s="156" t="n"/>
      <c r="Q27" s="156" t="n"/>
      <c r="R27" s="156" t="n"/>
      <c r="S27" s="156" t="n"/>
      <c r="T27" s="156" t="n"/>
      <c r="U27" s="156" t="n"/>
      <c r="V27" s="156" t="n"/>
      <c r="W27" s="156" t="n"/>
      <c r="X27" s="156" t="n"/>
      <c r="Y27" s="156" t="n"/>
      <c r="Z27" s="156" t="n"/>
      <c r="AA27" s="156" t="n"/>
      <c r="AB27" s="156" t="n"/>
      <c r="AC27" s="156" t="n"/>
      <c r="AD27" s="156" t="n"/>
      <c r="AE27" s="156" t="n"/>
      <c r="AF27" s="156" t="n"/>
      <c r="AG27" s="156" t="n"/>
      <c r="AH27" s="156" t="n"/>
      <c r="AI27" s="156" t="n"/>
      <c r="AJ27" s="156" t="n"/>
      <c r="AK27" s="156" t="n"/>
      <c r="AL27" s="156" t="n"/>
      <c r="AM27" s="156" t="n"/>
      <c r="AN27" s="156" t="n"/>
      <c r="AO27" s="156" t="n"/>
      <c r="AP27" s="156" t="n"/>
      <c r="AQ27" s="156" t="n"/>
      <c r="AR27" s="156" t="n"/>
      <c r="AS27" s="156" t="n"/>
      <c r="AT27" s="156" t="n"/>
      <c r="AU27" s="156" t="n"/>
      <c r="AV27" s="156" t="n"/>
      <c r="AW27" s="156" t="n"/>
      <c r="AX27" s="156" t="n"/>
      <c r="AY27" s="156" t="n"/>
      <c r="AZ27" s="156" t="n"/>
      <c r="BA27" s="156" t="n"/>
      <c r="BB27" s="156" t="n"/>
      <c r="BC27" s="156" t="n"/>
      <c r="BD27" s="156" t="n"/>
      <c r="BE27" s="156" t="n"/>
      <c r="BF27" s="156" t="n"/>
      <c r="BG27" s="156" t="n"/>
      <c r="BH27" s="156" t="n"/>
      <c r="BI27" s="156" t="n"/>
      <c r="BJ27" s="156" t="n"/>
      <c r="BK27" s="156" t="n"/>
    </row>
    <row r="28" ht="14" customHeight="1">
      <c r="C28" s="62" t="n">
        <v>7</v>
      </c>
      <c r="D28" s="28" t="inlineStr">
        <is>
          <t>도면 번호</t>
        </is>
      </c>
      <c r="H28" s="63" t="inlineStr">
        <is>
          <t>LOM1</t>
        </is>
      </c>
      <c r="J28" s="28" t="inlineStr">
        <is>
          <t>포트명(장비 표기)</t>
        </is>
      </c>
      <c r="P28" s="64" t="inlineStr">
        <is>
          <t>A-0001</t>
        </is>
      </c>
      <c r="Q28" s="21" t="n"/>
      <c r="R28" s="21" t="n"/>
      <c r="S28" s="21" t="n"/>
      <c r="T28" s="28" t="inlineStr">
        <is>
          <t>케이블 라벨</t>
        </is>
      </c>
    </row>
    <row r="29" ht="13" customHeight="1">
      <c r="C29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도면 번호</t>
          </r>
          <r>
            <rPr>
              <rFont val="맑은 고딕"/>
              <color rgb="001E2A36"/>
              <sz val="8"/>
            </rPr>
            <t xml:space="preserve"> = 색 칸 안 흰 숫자. 장비 한 대 안에서 겹치지 않게 1부터, 전면 → 후면 · 위 → 아래 · 왼쪽 → 오른쪽 순서</t>
          </r>
        </is>
      </c>
    </row>
    <row r="30" ht="13" customHeight="1">
      <c r="E30" s="158" t="inlineStr">
        <is>
          <t>‣ 스위치 · 패치패널 · PDU처럼 번호가 인쇄된 장비는 인쇄된 번호를 그대로 도면 번호로 사용</t>
        </is>
      </c>
    </row>
    <row r="31" ht="13" customHeight="1">
      <c r="E31" s="158" t="inlineStr">
        <is>
          <t>‣ 슬롯마다 포트 번호가 반복되는 섀시는 슬롯 × 100 + 포트  (예: 슬롯 2의 3번 포트 = 203)</t>
        </is>
      </c>
    </row>
    <row r="32" ht="13" customHeight="1">
      <c r="C32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포트명</t>
          </r>
          <r>
            <rPr>
              <rFont val="맑은 고딕"/>
              <color rgb="001E2A36"/>
              <sz val="8"/>
            </rPr>
            <t xml:space="preserve"> = 장비·OS에 표기된 이름 (iLO, LOM1, Eth1/21 …). 도면에서는 포트 아래 회색 작은 글씨, 표에서는 '포트명' 칸</t>
          </r>
        </is>
      </c>
    </row>
    <row r="33" ht="13" customHeight="1">
      <c r="C33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케이블 라벨</t>
          </r>
          <r>
            <rPr>
              <rFont val="맑은 고딕"/>
              <color rgb="001E2A36"/>
              <sz val="8"/>
            </rPr>
            <t xml:space="preserve"> = 케이블에 실제로 붙이는 라벨. 표의 노란 칸에만 적고 도면에는 적지 않음. 케이블 양쪽 장비의 표에 같은 라벨</t>
          </r>
        </is>
      </c>
    </row>
    <row r="34" ht="12" customHeight="1"/>
    <row r="35" ht="15" customHeight="1">
      <c r="B35" s="62" t="n">
        <v>4</v>
      </c>
      <c r="C35" s="155" t="inlineStr">
        <is>
          <t xml:space="preserve">  다른 파일로 복사</t>
        </is>
      </c>
      <c r="D35" s="156" t="n"/>
      <c r="E35" s="156" t="n"/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6" t="n"/>
      <c r="S35" s="156" t="n"/>
      <c r="T35" s="156" t="n"/>
      <c r="U35" s="156" t="n"/>
      <c r="V35" s="156" t="n"/>
      <c r="W35" s="156" t="n"/>
      <c r="X35" s="156" t="n"/>
      <c r="Y35" s="156" t="n"/>
      <c r="Z35" s="156" t="n"/>
      <c r="AA35" s="156" t="n"/>
      <c r="AB35" s="156" t="n"/>
      <c r="AC35" s="156" t="n"/>
      <c r="AD35" s="156" t="n"/>
      <c r="AE35" s="156" t="n"/>
      <c r="AF35" s="156" t="n"/>
      <c r="AG35" s="156" t="n"/>
      <c r="AH35" s="156" t="n"/>
      <c r="AI35" s="156" t="n"/>
      <c r="AJ35" s="156" t="n"/>
      <c r="AK35" s="156" t="n"/>
      <c r="AL35" s="156" t="n"/>
      <c r="AM35" s="156" t="n"/>
      <c r="AN35" s="156" t="n"/>
      <c r="AO35" s="156" t="n"/>
      <c r="AP35" s="156" t="n"/>
      <c r="AQ35" s="156" t="n"/>
      <c r="AR35" s="156" t="n"/>
      <c r="AS35" s="156" t="n"/>
      <c r="AT35" s="156" t="n"/>
      <c r="AU35" s="156" t="n"/>
      <c r="AV35" s="156" t="n"/>
      <c r="AW35" s="156" t="n"/>
      <c r="AX35" s="156" t="n"/>
      <c r="AY35" s="156" t="n"/>
      <c r="AZ35" s="156" t="n"/>
      <c r="BA35" s="156" t="n"/>
      <c r="BB35" s="156" t="n"/>
      <c r="BC35" s="156" t="n"/>
      <c r="BD35" s="156" t="n"/>
      <c r="BE35" s="156" t="n"/>
      <c r="BF35" s="156" t="n"/>
      <c r="BG35" s="156" t="n"/>
      <c r="BH35" s="156" t="n"/>
      <c r="BI35" s="156" t="n"/>
      <c r="BJ35" s="156" t="n"/>
      <c r="BK35" s="156" t="n"/>
    </row>
    <row r="36" ht="13" customHeight="1">
      <c r="C36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시트 통째로 (권장)</t>
          </r>
          <r>
            <rPr>
              <rFont val="맑은 고딕"/>
              <color rgb="001E2A36"/>
              <sz val="8"/>
            </rPr>
            <t>: 탭 우클릭 → [이동/복사] → 대상 파일 → [복사본 만들기]. 서식 · 인쇄 설정 · 목록 · 번호 확인이 모두 유지</t>
          </r>
        </is>
      </c>
    </row>
    <row r="37" ht="13" customHeight="1">
      <c r="C37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보고서에 도면만</t>
          </r>
          <r>
            <rPr>
              <rFont val="맑은 고딕"/>
              <color rgb="001E2A36"/>
              <sz val="8"/>
            </rPr>
            <t>: 도면 범위 선택 → [홈 &gt; 복사 ▾ &gt; 그림으로 복사] → 워드 · PPT · 다른 엑셀에 붙여넣기 (모양 그대로, 수정은 원본에서)</t>
          </r>
        </is>
      </c>
    </row>
    <row r="38" ht="13" customHeight="1">
      <c r="C38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셀째로 다른 시트에</t>
          </r>
          <r>
            <rPr>
              <rFont val="맑은 고딕"/>
              <color rgb="001E2A36"/>
              <sz val="8"/>
            </rPr>
            <t>: 받는 시트도 같은 격자여야 크기가 같음 → 양식 시트를 먼저 복사해 두고 그 위에 붙이기</t>
          </r>
        </is>
      </c>
    </row>
    <row r="39" ht="13" customHeight="1">
      <c r="C39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표만</t>
          </r>
          <r>
            <rPr>
              <rFont val="맑은 고딕"/>
              <color rgb="001E2A36"/>
              <sz val="8"/>
            </rPr>
            <t>: 표 범위 복사 → 받는 곳에서 [값 붙여넣기]. 병합 칸에는 여러 칸을 한 번에 붙일 수 없으니 한 열씩</t>
          </r>
        </is>
      </c>
    </row>
    <row r="40" ht="12" customHeight="1"/>
    <row r="41" ht="15" customHeight="1">
      <c r="B41" s="62" t="n">
        <v>5</v>
      </c>
      <c r="C41" s="155" t="inlineStr">
        <is>
          <t xml:space="preserve">  랙별로 묶어 관리 (장비 200대 → 랙 파일 10~20개)</t>
        </is>
      </c>
      <c r="D41" s="156" t="n"/>
      <c r="E41" s="156" t="n"/>
      <c r="F41" s="156" t="n"/>
      <c r="G41" s="156" t="n"/>
      <c r="H41" s="156" t="n"/>
      <c r="I41" s="156" t="n"/>
      <c r="J41" s="156" t="n"/>
      <c r="K41" s="156" t="n"/>
      <c r="L41" s="156" t="n"/>
      <c r="M41" s="156" t="n"/>
      <c r="N41" s="156" t="n"/>
      <c r="O41" s="156" t="n"/>
      <c r="P41" s="156" t="n"/>
      <c r="Q41" s="156" t="n"/>
      <c r="R41" s="156" t="n"/>
      <c r="S41" s="156" t="n"/>
      <c r="T41" s="156" t="n"/>
      <c r="U41" s="156" t="n"/>
      <c r="V41" s="156" t="n"/>
      <c r="W41" s="156" t="n"/>
      <c r="X41" s="156" t="n"/>
      <c r="Y41" s="156" t="n"/>
      <c r="Z41" s="156" t="n"/>
      <c r="AA41" s="156" t="n"/>
      <c r="AB41" s="156" t="n"/>
      <c r="AC41" s="156" t="n"/>
      <c r="AD41" s="156" t="n"/>
      <c r="AE41" s="156" t="n"/>
      <c r="AF41" s="156" t="n"/>
      <c r="AG41" s="156" t="n"/>
      <c r="AH41" s="156" t="n"/>
      <c r="AI41" s="156" t="n"/>
      <c r="AJ41" s="156" t="n"/>
      <c r="AK41" s="156" t="n"/>
      <c r="AL41" s="156" t="n"/>
      <c r="AM41" s="156" t="n"/>
      <c r="AN41" s="156" t="n"/>
      <c r="AO41" s="156" t="n"/>
      <c r="AP41" s="156" t="n"/>
      <c r="AQ41" s="156" t="n"/>
      <c r="AR41" s="156" t="n"/>
      <c r="AS41" s="156" t="n"/>
      <c r="AT41" s="156" t="n"/>
      <c r="AU41" s="156" t="n"/>
      <c r="AV41" s="156" t="n"/>
      <c r="AW41" s="156" t="n"/>
      <c r="AX41" s="156" t="n"/>
      <c r="AY41" s="156" t="n"/>
      <c r="AZ41" s="156" t="n"/>
      <c r="BA41" s="156" t="n"/>
      <c r="BB41" s="156" t="n"/>
      <c r="BC41" s="156" t="n"/>
      <c r="BD41" s="156" t="n"/>
      <c r="BE41" s="156" t="n"/>
      <c r="BF41" s="156" t="n"/>
      <c r="BG41" s="156" t="n"/>
      <c r="BH41" s="156" t="n"/>
      <c r="BI41" s="156" t="n"/>
      <c r="BJ41" s="156" t="n"/>
      <c r="BK41" s="156" t="n"/>
    </row>
    <row r="42" ht="13" customHeight="1">
      <c r="C42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랙 1대 = 파일 1개</t>
          </r>
          <r>
            <rPr>
              <rFont val="맑은 고딕"/>
              <color rgb="001E2A36"/>
              <sz val="8"/>
            </rPr>
            <t xml:space="preserve"> (예: DC1_R02.xlsx). 첫 시트 [랙] = 실장도 + 장비 목록, 나머지 시트 = 장비 1대씩</t>
          </r>
        </is>
      </c>
    </row>
    <row r="43" ht="13" customHeight="1">
      <c r="C43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장비 추가</t>
          </r>
          <r>
            <rPr>
              <rFont val="맑은 고딕"/>
              <color rgb="001E2A36"/>
              <sz val="8"/>
            </rPr>
            <t>: ① 장비 시트를 랙 파일로 복사  ② [랙] 목록 빈 줄에 U · 높이 · 면 · 장비명 · 모델 · 구분 · 시트 이름 입력 → 실장도 자동 표시 + ▶ 링크</t>
          </r>
        </is>
      </c>
    </row>
    <row r="44" ht="13" customHeight="1">
      <c r="C44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장비 이동 · 제거</t>
          </r>
          <r>
            <rPr>
              <rFont val="맑은 고딕"/>
              <color rgb="001E2A36"/>
              <sz val="8"/>
            </rPr>
            <t>: 목록의 U 숫자만 고치면 실장도가 따라감. 제거는 목록 줄 내용 지우기 + 시트 삭제</t>
          </r>
        </is>
      </c>
    </row>
    <row r="45" ht="13" customHeight="1">
      <c r="C45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탭 순서</t>
          </r>
          <r>
            <rPr>
              <rFont val="맑은 고딕"/>
              <color rgb="001E2A36"/>
              <sz val="8"/>
            </rPr>
            <t>는 랙 위쪽 장비부터 (탭 끌어서 정렬). 랙이 적으면 한 파일에 [랙] 시트를 여러 개(랙_R01, 랙_R02…) 두어도 됨</t>
          </r>
        </is>
      </c>
    </row>
    <row r="46" ht="12" customHeight="1"/>
    <row r="47" ht="15" customHeight="1">
      <c r="B47" s="62" t="n">
        <v>6</v>
      </c>
      <c r="C47" s="155" t="inlineStr">
        <is>
          <t xml:space="preserve">  인쇄</t>
        </is>
      </c>
      <c r="D47" s="156" t="n"/>
      <c r="E47" s="156" t="n"/>
      <c r="F47" s="156" t="n"/>
      <c r="G47" s="156" t="n"/>
      <c r="H47" s="156" t="n"/>
      <c r="I47" s="156" t="n"/>
      <c r="J47" s="156" t="n"/>
      <c r="K47" s="156" t="n"/>
      <c r="L47" s="156" t="n"/>
      <c r="M47" s="156" t="n"/>
      <c r="N47" s="156" t="n"/>
      <c r="O47" s="156" t="n"/>
      <c r="P47" s="156" t="n"/>
      <c r="Q47" s="156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56" t="n"/>
      <c r="AB47" s="156" t="n"/>
      <c r="AC47" s="156" t="n"/>
      <c r="AD47" s="156" t="n"/>
      <c r="AE47" s="156" t="n"/>
      <c r="AF47" s="156" t="n"/>
      <c r="AG47" s="156" t="n"/>
      <c r="AH47" s="156" t="n"/>
      <c r="AI47" s="156" t="n"/>
      <c r="AJ47" s="156" t="n"/>
      <c r="AK47" s="156" t="n"/>
      <c r="AL47" s="156" t="n"/>
      <c r="AM47" s="156" t="n"/>
      <c r="AN47" s="156" t="n"/>
      <c r="AO47" s="156" t="n"/>
      <c r="AP47" s="156" t="n"/>
      <c r="AQ47" s="156" t="n"/>
      <c r="AR47" s="156" t="n"/>
      <c r="AS47" s="156" t="n"/>
      <c r="AT47" s="156" t="n"/>
      <c r="AU47" s="156" t="n"/>
      <c r="AV47" s="156" t="n"/>
      <c r="AW47" s="156" t="n"/>
      <c r="AX47" s="156" t="n"/>
      <c r="AY47" s="156" t="n"/>
      <c r="AZ47" s="156" t="n"/>
      <c r="BA47" s="156" t="n"/>
      <c r="BB47" s="156" t="n"/>
      <c r="BC47" s="156" t="n"/>
      <c r="BD47" s="156" t="n"/>
      <c r="BE47" s="156" t="n"/>
      <c r="BF47" s="156" t="n"/>
      <c r="BG47" s="156" t="n"/>
      <c r="BH47" s="156" t="n"/>
      <c r="BI47" s="156" t="n"/>
      <c r="BJ47" s="156" t="n"/>
      <c r="BK47" s="156" t="n"/>
    </row>
    <row r="48" ht="13" customHeight="1">
      <c r="C48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모든 시트: A4 가로 · 배율 100% · 여백 좌우 10mm / 위아래 12mm · 바닥글(파일명 · 시트명 · 쪽 번호) 설정 완료</t>
          </r>
        </is>
      </c>
    </row>
    <row r="49" ht="13" customHeight="1">
      <c r="C49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 xml:space="preserve">Ctrl+P 미리보기로 확인. </t>
          </r>
          <r>
            <rPr>
              <rFont val="맑은 고딕"/>
              <b val="1"/>
              <color rgb="001E2A36"/>
              <sz val="8"/>
            </rPr>
            <t>배율을 줄이지 말 것</t>
          </r>
          <r>
            <rPr>
              <rFont val="맑은 고딕"/>
              <color rgb="001E2A36"/>
              <sz val="8"/>
            </rPr>
            <t xml:space="preserve"> — 장비마다 글자 크기가 달라짐 (너비가 넘칠 때만 자동으로 조금 줄어듦)</t>
          </r>
        </is>
      </c>
    </row>
    <row r="50" ht="13" customHeight="1">
      <c r="C50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 xml:space="preserve">표가 길면 다음 쪽으로 이어지고 1~3행 제목이 반복됨. </t>
          </r>
          <r>
            <rPr>
              <rFont val="맑은 고딕"/>
              <b val="1"/>
              <color rgb="001E2A36"/>
              <sz val="8"/>
            </rPr>
            <t>표 줄 추가</t>
          </r>
          <r>
            <rPr>
              <rFont val="맑은 고딕"/>
              <color rgb="001E2A36"/>
              <sz val="8"/>
            </rPr>
            <t>: 빈 줄의 행 번호를 눌러 복사 → 아래 행 번호 우클릭 [복사한 셀 삽입] (병합·확인 기능 유지)</t>
          </r>
        </is>
      </c>
    </row>
    <row r="51" ht="13" customHeight="1">
      <c r="C51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랙 파일 전체: [인쇄 &gt; 설정 &gt; 전체 통합 문서 인쇄] → 랙 실장도 + 모든 장비가 차례로. PDF는 [다른 이름으로 저장 &gt; PDF]</t>
          </r>
        </is>
      </c>
    </row>
    <row r="52" ht="12" customHeight="1"/>
    <row r="53" ht="15" customHeight="1">
      <c r="B53" s="62" t="n">
        <v>7</v>
      </c>
      <c r="C53" s="155" t="inlineStr">
        <is>
          <t xml:space="preserve">  자주 하는 실수</t>
        </is>
      </c>
      <c r="D53" s="156" t="n"/>
      <c r="E53" s="156" t="n"/>
      <c r="F53" s="156" t="n"/>
      <c r="G53" s="156" t="n"/>
      <c r="H53" s="156" t="n"/>
      <c r="I53" s="156" t="n"/>
      <c r="J53" s="156" t="n"/>
      <c r="K53" s="156" t="n"/>
      <c r="L53" s="156" t="n"/>
      <c r="M53" s="156" t="n"/>
      <c r="N53" s="156" t="n"/>
      <c r="O53" s="156" t="n"/>
      <c r="P53" s="156" t="n"/>
      <c r="Q53" s="156" t="n"/>
      <c r="R53" s="156" t="n"/>
      <c r="S53" s="156" t="n"/>
      <c r="T53" s="156" t="n"/>
      <c r="U53" s="156" t="n"/>
      <c r="V53" s="156" t="n"/>
      <c r="W53" s="156" t="n"/>
      <c r="X53" s="156" t="n"/>
      <c r="Y53" s="156" t="n"/>
      <c r="Z53" s="156" t="n"/>
      <c r="AA53" s="156" t="n"/>
      <c r="AB53" s="156" t="n"/>
      <c r="AC53" s="156" t="n"/>
      <c r="AD53" s="156" t="n"/>
      <c r="AE53" s="156" t="n"/>
      <c r="AF53" s="156" t="n"/>
      <c r="AG53" s="156" t="n"/>
      <c r="AH53" s="156" t="n"/>
      <c r="AI53" s="156" t="n"/>
      <c r="AJ53" s="156" t="n"/>
      <c r="AK53" s="156" t="n"/>
      <c r="AL53" s="156" t="n"/>
      <c r="AM53" s="156" t="n"/>
      <c r="AN53" s="156" t="n"/>
      <c r="AO53" s="156" t="n"/>
      <c r="AP53" s="156" t="n"/>
      <c r="AQ53" s="156" t="n"/>
      <c r="AR53" s="156" t="n"/>
      <c r="AS53" s="156" t="n"/>
      <c r="AT53" s="156" t="n"/>
      <c r="AU53" s="156" t="n"/>
      <c r="AV53" s="156" t="n"/>
      <c r="AW53" s="156" t="n"/>
      <c r="AX53" s="156" t="n"/>
      <c r="AY53" s="156" t="n"/>
      <c r="AZ53" s="156" t="n"/>
      <c r="BA53" s="156" t="n"/>
      <c r="BB53" s="156" t="n"/>
      <c r="BC53" s="156" t="n"/>
      <c r="BD53" s="156" t="n"/>
      <c r="BE53" s="156" t="n"/>
      <c r="BF53" s="156" t="n"/>
      <c r="BG53" s="156" t="n"/>
      <c r="BH53" s="156" t="n"/>
      <c r="BI53" s="156" t="n"/>
      <c r="BJ53" s="156" t="n"/>
      <c r="BK53" s="156" t="n"/>
    </row>
    <row r="54" ht="13" customHeight="1">
      <c r="C54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부품이 작거나 크게 붙음 → 받는 시트의 열 너비 · 행 높이가 다름. 양식 시트를 복사해서 시작</t>
          </r>
        </is>
      </c>
    </row>
    <row r="55" ht="13" customHeight="1">
      <c r="C55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'병합된 셀의 일부를 변경할 수 없습니다' → 병합 칸에 여러 칸을 붙여넣음. 한 칸씩 입력</t>
          </r>
        </is>
      </c>
    </row>
    <row r="56" ht="13" customHeight="1">
      <c r="C56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번호 칸이 분홍색 → 그 번호가 도면에 없거나 두 번 이상 있음</t>
          </r>
        </is>
      </c>
    </row>
    <row r="57" ht="13" customHeight="1">
      <c r="C57" s="157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도형 · 그림은 쓰지 않음 → 전부 셀이라 복사 · 행 삽입 · 인쇄해도 어긋나지 않음</t>
          </r>
        </is>
      </c>
    </row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</sheetData>
  <mergeCells count="1">
    <mergeCell ref="P28:S28"/>
  </mergeCell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랙 실장도 · 장비 도면 — DC1-R02 예시</dc:title>
  <dcterms:created xmlns:dcterms="http://purl.org/dc/terms/" xmlns:xsi="http://www.w3.org/2001/XMLSchema-instance" xsi:type="dcterms:W3CDTF">2026-09-26T08:53:09Z</dcterms:created>
  <dcterms:modified xmlns:dcterms="http://purl.org/dc/terms/" xmlns:xsi="http://www.w3.org/2001/XMLSchema-instance" xsi:type="dcterms:W3CDTF">2026-09-26T08:53:12Z</dcterms:modified>
</cp:coreProperties>
</file>