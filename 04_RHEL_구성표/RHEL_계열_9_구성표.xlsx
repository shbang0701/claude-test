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Print_Titles" localSheetId="1">'구성 확인'!$5:$5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thin">
        <color rgb="FFBFBFBF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3" fillId="5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0" fontId="6" fillId="0" borderId="6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0" fontId="0" fillId="0" borderId="7" pivotButton="0" quotePrefix="0" xfId="0"/>
    <xf numFmtId="0" fontId="4" fillId="0" borderId="4" pivotButton="0" quotePrefix="0" xfId="0"/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8" fillId="0" borderId="6" applyAlignment="1" pivotButton="0" quotePrefix="0" xfId="0">
      <alignment horizontal="left" vertical="top" wrapText="1"/>
    </xf>
    <xf numFmtId="0" fontId="9" fillId="0" borderId="6" applyAlignment="1" pivotButton="0" quotePrefix="0" xfId="0">
      <alignment vertical="top" wrapText="1"/>
    </xf>
    <xf numFmtId="0" fontId="6" fillId="0" borderId="6" applyAlignment="1" pivotButton="0" quotePrefix="0" xfId="0">
      <alignment vertical="top" wrapText="1"/>
    </xf>
    <xf numFmtId="0" fontId="6" fillId="2" borderId="6" applyAlignment="1" pivotButton="0" quotePrefix="0" xfId="0">
      <alignment horizontal="left" vertical="top" wrapText="1"/>
    </xf>
    <xf numFmtId="0" fontId="3" fillId="2" borderId="5" applyAlignment="1" pivotButton="0" quotePrefix="0" xfId="0">
      <alignment horizontal="center" vertical="center"/>
    </xf>
    <xf numFmtId="0" fontId="8" fillId="0" borderId="6" pivotButton="0" quotePrefix="0" xfId="0"/>
    <xf numFmtId="164" fontId="8" fillId="0" borderId="6" pivotButton="0" quotePrefix="0" xfId="0"/>
  </cellXfs>
  <cellStyles count="1">
    <cellStyle name="Normal" xfId="0" builtinId="0" hidden="0"/>
  </cellStyles>
  <dxfs count="4">
    <dxf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b val="1"/>
      </font>
      <fill>
        <patternFill patternType="solid">
          <fgColor rgb="FFF2F2F2"/>
          <bgColor rgb="FFF2F2F2"/>
        </patternFill>
      </fill>
      <border>
        <bottom style="thin">
          <color rgb="FFBFBFBF"/>
        </bottom>
      </border>
    </dxf>
    <dxf>
      <font>
        <name val="Consolas"/>
        <sz val="9"/>
      </font>
    </dxf>
    <dxf>
      <font>
        <name val="Consolas"/>
        <sz val="9"/>
      </font>
      <numFmt numFmtId="164" formatCode="yyyy-mm-dd hh:mm"/>
    </dxf>
  </dxfs>
  <tableStyles count="1" defaultTableStyle="TableStyleMedium9" defaultPivotStyle="PivotStyleLight16">
    <tableStyle name="구성표" pivot="0" count="2">
      <tableStyleElement type="wholeTable" dxfId="0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ummary" displayName="Summary" ref="A3:C21" headerRowCount="1">
  <autoFilter ref="A3:C21"/>
  <tableColumns count="3">
    <tableColumn id="1" name="No"/>
    <tableColumn id="2" name="항목"/>
    <tableColumn id="3" name="내용"/>
  </tableColumns>
  <tableStyleInfo name="구성표" showFirstColumn="0" showLastColumn="0" showRowStripes="0" showColumnStripes="0"/>
</table>
</file>

<file path=xl/tables/table2.xml><?xml version="1.0" encoding="utf-8"?>
<table xmlns="http://schemas.openxmlformats.org/spreadsheetml/2006/main" id="2" name="Checks" displayName="Checks" ref="A5:F89" headerRowCount="1">
  <autoFilter ref="A5:F89"/>
  <tableColumns count="6">
    <tableColumn id="1" name="No"/>
    <tableColumn id="2" name="구분"/>
    <tableColumn id="3" name="항목"/>
    <tableColumn id="4" name="명령"/>
    <tableColumn id="5" name="결과"/>
    <tableColumn id="6" name="비고"/>
  </tableColumns>
  <tableStyleInfo name="구성표" showFirstColumn="0" showLastColumn="0" showRowStripes="0" showColumnStripes="0"/>
</table>
</file>

<file path=xl/tables/table3.xml><?xml version="1.0" encoding="utf-8"?>
<table xmlns="http://schemas.openxmlformats.org/spreadsheetml/2006/main" id="3" name="Packages" displayName="Packages" ref="A3:G4" headerRowCount="1">
  <autoFilter ref="A3:G4"/>
  <tableColumns count="7">
    <tableColumn id="1" name="No" dataDxfId="2">
      <calculatedColumnFormula>IF(Packages[[#This Row],[원문]]="","",ROW()-3)</calculatedColumnFormula>
    </tableColumn>
    <tableColumn id="2" name="원문" dataDxfId="2"/>
    <tableColumn id="3" name="이름" dataDxfId="2">
      <calculatedColumnFormula>IF(Packages[[#This Row],[원문]]="","",IFERROR(LEFT(Packages[[#This Row],[원문]],FIND(" ",Packages[[#This Row],[원문]])-1),""))</calculatedColumnFormula>
    </tableColumn>
    <tableColumn id="4" name="버전" dataDxfId="2">
      <calculatedColumnFormula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calculatedColumnFormula>
    </tableColumn>
    <tableColumn id="5" name="릴리스" dataDxfId="2">
      <calculatedColumnFormula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calculatedColumnFormula>
    </tableColumn>
    <tableColumn id="6" name="아키텍처" dataDxfId="2">
      <calculatedColumnFormula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calculatedColumnFormula>
    </tableColumn>
    <tableColumn id="7" name="설치 일시" dataDxfId="3">
      <calculatedColumnFormula>IF(Packages[[#This Row],[이름]]="","",IFERROR(VALUE(TRIM(MID(Packages[[#This Row],[원문]],FIND("|",SUBSTITUTE(Packages[[#This Row],[원문]]," ","|",4))+1,20)))/86400+25569+9/24,""))</calculatedColumnFormula>
    </tableColumn>
  </tableColumns>
  <tableStyleInfo name="구성표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9 구성표</t>
        </is>
      </c>
    </row>
    <row r="3" ht="20" customHeight="1">
      <c r="A3" s="46" t="inlineStr">
        <is>
          <t>No</t>
        </is>
      </c>
      <c r="B3" s="46" t="inlineStr">
        <is>
          <t>항목</t>
        </is>
      </c>
      <c r="C3" s="46" t="inlineStr">
        <is>
          <t>내용</t>
        </is>
      </c>
    </row>
    <row r="4" ht="20" customHeight="1">
      <c r="A4" s="47">
        <f>ROW()-3</f>
        <v/>
      </c>
      <c r="B4" s="48" t="inlineStr">
        <is>
          <t>자산 ID</t>
        </is>
      </c>
      <c r="C4" s="49" t="n"/>
    </row>
    <row r="5" ht="20" customHeight="1">
      <c r="A5" s="47">
        <f>ROW()-3</f>
        <v/>
      </c>
      <c r="B5" s="48" t="inlineStr">
        <is>
          <t>업무·용도</t>
        </is>
      </c>
      <c r="C5" s="49" t="n"/>
    </row>
    <row r="6" ht="20" customHeight="1">
      <c r="A6" s="47">
        <f>ROW()-3</f>
        <v/>
      </c>
      <c r="B6" s="48" t="inlineStr">
        <is>
          <t>호스트명</t>
        </is>
      </c>
      <c r="C6" s="50">
        <f>IF('구성 확인'!E6="","",'구성 확인'!E6)</f>
        <v/>
      </c>
    </row>
    <row r="7" ht="20" customHeight="1">
      <c r="A7" s="47">
        <f>ROW()-3</f>
        <v/>
      </c>
      <c r="B7" s="48" t="inlineStr">
        <is>
          <t>대표 IP</t>
        </is>
      </c>
      <c r="C7" s="49" t="n"/>
    </row>
    <row r="8" ht="20" customHeight="1">
      <c r="A8" s="47">
        <f>ROW()-3</f>
        <v/>
      </c>
      <c r="B8" s="48" t="inlineStr">
        <is>
          <t>설치 형태</t>
        </is>
      </c>
      <c r="C8" s="50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47">
        <f>ROW()-3</f>
        <v/>
      </c>
      <c r="B9" s="48" t="inlineStr">
        <is>
          <t>클러스터</t>
        </is>
      </c>
      <c r="C9" s="49" t="n"/>
    </row>
    <row r="10" ht="20" customHeight="1">
      <c r="A10" s="47">
        <f>ROW()-3</f>
        <v/>
      </c>
      <c r="B10" s="48" t="inlineStr">
        <is>
          <t>장비 모델</t>
        </is>
      </c>
      <c r="C10" s="50">
        <f>IF('구성 확인'!E15="","",'구성 확인'!E15)</f>
        <v/>
      </c>
    </row>
    <row r="11" ht="20" customHeight="1">
      <c r="A11" s="47">
        <f>ROW()-3</f>
        <v/>
      </c>
      <c r="B11" s="48" t="inlineStr">
        <is>
          <t>시리얼번호</t>
        </is>
      </c>
      <c r="C11" s="50">
        <f>IF('구성 확인'!E16="","",'구성 확인'!E16)</f>
        <v/>
      </c>
    </row>
    <row r="12" ht="20" customHeight="1">
      <c r="A12" s="47">
        <f>ROW()-3</f>
        <v/>
      </c>
      <c r="B12" s="48" t="inlineStr">
        <is>
          <t>OS 버전</t>
        </is>
      </c>
      <c r="C12" s="50">
        <f>IF('구성 확인'!E7="","",'구성 확인'!E7)</f>
        <v/>
      </c>
    </row>
    <row r="13" ht="20" customHeight="1">
      <c r="A13" s="47">
        <f>ROW()-3</f>
        <v/>
      </c>
      <c r="B13" s="48" t="inlineStr">
        <is>
          <t>실행 커널</t>
        </is>
      </c>
      <c r="C13" s="50">
        <f>IF('구성 확인'!E9="","",'구성 확인'!E9)</f>
        <v/>
      </c>
    </row>
    <row r="14" ht="20" customHeight="1">
      <c r="A14" s="47">
        <f>ROW()-3</f>
        <v/>
      </c>
      <c r="B14" s="48" t="inlineStr">
        <is>
          <t>CPU 모델</t>
        </is>
      </c>
      <c r="C14" s="50">
        <f>IF('구성 확인'!E18="","",IFERROR(TRIM(MID('구성 확인'!E18,FIND(":",'구성 확인'!E18)+1,200)),'구성 확인'!E18))</f>
        <v/>
      </c>
    </row>
    <row r="15" ht="20" customHeight="1">
      <c r="A15" s="47">
        <f>ROW()-3</f>
        <v/>
      </c>
      <c r="B15" s="48" t="inlineStr">
        <is>
          <t>CPU 소켓 수</t>
        </is>
      </c>
      <c r="C15" s="50">
        <f>IF('구성 확인'!E19="","",'구성 확인'!E19)</f>
        <v/>
      </c>
    </row>
    <row r="16" ht="20" customHeight="1">
      <c r="A16" s="47">
        <f>ROW()-3</f>
        <v/>
      </c>
      <c r="B16" s="48" t="inlineStr">
        <is>
          <t>소켓당 코어 수</t>
        </is>
      </c>
      <c r="C16" s="50">
        <f>IF('구성 확인'!E20="","",'구성 확인'!E20)</f>
        <v/>
      </c>
    </row>
    <row r="17" ht="20" customHeight="1">
      <c r="A17" s="47">
        <f>ROW()-3</f>
        <v/>
      </c>
      <c r="B17" s="48" t="inlineStr">
        <is>
          <t>물리 코어 수</t>
        </is>
      </c>
      <c r="C17" s="50">
        <f>IF('구성 확인'!E21="","",'구성 확인'!E21)</f>
        <v/>
      </c>
    </row>
    <row r="18" ht="20" customHeight="1">
      <c r="A18" s="47">
        <f>ROW()-3</f>
        <v/>
      </c>
      <c r="B18" s="48" t="inlineStr">
        <is>
          <t>논리 CPU 수</t>
        </is>
      </c>
      <c r="C18" s="50">
        <f>IF('구성 확인'!E22="","",'구성 확인'!E22)</f>
        <v/>
      </c>
    </row>
    <row r="19" ht="20" customHeight="1">
      <c r="A19" s="47">
        <f>ROW()-3</f>
        <v/>
      </c>
      <c r="B19" s="48" t="inlineStr">
        <is>
          <t>하이퍼스레딩</t>
        </is>
      </c>
      <c r="C19" s="50">
        <f>IF('구성 확인'!E23="","",'구성 확인'!E23)</f>
        <v/>
      </c>
    </row>
    <row r="20" ht="20" customHeight="1">
      <c r="A20" s="47">
        <f>ROW()-3</f>
        <v/>
      </c>
      <c r="B20" s="48" t="inlineStr">
        <is>
          <t>OS 인식 메모리 (MiB)</t>
        </is>
      </c>
      <c r="C20" s="50">
        <f>IF('구성 확인'!E24="","",'구성 확인'!E24)</f>
        <v/>
      </c>
    </row>
    <row r="21" ht="60" customHeight="1">
      <c r="A21" s="47">
        <f>ROW()-3</f>
        <v/>
      </c>
      <c r="B21" s="48" t="inlineStr">
        <is>
          <t>참고</t>
        </is>
      </c>
      <c r="C21" s="49" t="n"/>
    </row>
  </sheetData>
  <pageMargins left="0.75" right="0.75" top="1" bottom="1" header="0.5" footer="0.5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89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9 구성 확인</t>
        </is>
      </c>
      <c r="F1" s="51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52" t="inlineStr">
        <is>
          <t>해당 없음</t>
        </is>
      </c>
    </row>
    <row r="3">
      <c r="B3" s="8" t="inlineStr">
        <is>
          <t>확인일</t>
        </is>
      </c>
      <c r="C3" s="53" t="n"/>
      <c r="F3" s="54" t="n"/>
    </row>
    <row r="5" ht="20" customHeight="1">
      <c r="A5" s="46" t="inlineStr">
        <is>
          <t>No</t>
        </is>
      </c>
      <c r="B5" s="46" t="inlineStr">
        <is>
          <t>구분</t>
        </is>
      </c>
      <c r="C5" s="46" t="inlineStr">
        <is>
          <t>항목</t>
        </is>
      </c>
      <c r="D5" s="46" t="inlineStr">
        <is>
          <t>명령</t>
        </is>
      </c>
      <c r="E5" s="46" t="inlineStr">
        <is>
          <t>결과</t>
        </is>
      </c>
      <c r="F5" s="46" t="inlineStr">
        <is>
          <t>비고</t>
        </is>
      </c>
    </row>
    <row r="6">
      <c r="A6" s="55">
        <f>ROW()-5</f>
        <v/>
      </c>
      <c r="B6" s="55" t="inlineStr">
        <is>
          <t>기본</t>
        </is>
      </c>
      <c r="C6" s="56" t="inlineStr">
        <is>
          <t>호스트명</t>
        </is>
      </c>
      <c r="D6" s="57" t="inlineStr">
        <is>
          <t>hostname</t>
        </is>
      </c>
      <c r="E6" s="58" t="n"/>
      <c r="F6" s="59" t="n"/>
    </row>
    <row r="7">
      <c r="A7" s="55">
        <f>ROW()-5</f>
        <v/>
      </c>
      <c r="B7" s="55" t="inlineStr">
        <is>
          <t>기본</t>
        </is>
      </c>
      <c r="C7" s="56" t="inlineStr">
        <is>
          <t>OS 버전</t>
        </is>
      </c>
      <c r="D7" s="57" t="inlineStr">
        <is>
          <t>cat /etc/redhat-release</t>
        </is>
      </c>
      <c r="E7" s="58" t="n"/>
      <c r="F7" s="59" t="n"/>
    </row>
    <row r="8">
      <c r="A8" s="55">
        <f>ROW()-5</f>
        <v/>
      </c>
      <c r="B8" s="55" t="inlineStr">
        <is>
          <t>기본</t>
        </is>
      </c>
      <c r="C8" s="56" t="inlineStr">
        <is>
          <t>OS 설치일</t>
        </is>
      </c>
      <c r="D8" s="57" t="inlineStr">
        <is>
          <t>stat -c %w /</t>
        </is>
      </c>
      <c r="E8" s="58" t="n"/>
      <c r="F8" s="59" t="inlineStr">
        <is>
          <t>VM 템플릿 배포는 템플릿 생성일</t>
        </is>
      </c>
    </row>
    <row r="9">
      <c r="A9" s="55">
        <f>ROW()-5</f>
        <v/>
      </c>
      <c r="B9" s="55" t="inlineStr">
        <is>
          <t>기본</t>
        </is>
      </c>
      <c r="C9" s="56" t="inlineStr">
        <is>
          <t>실행 커널</t>
        </is>
      </c>
      <c r="D9" s="57" t="inlineStr">
        <is>
          <t>uname -r</t>
        </is>
      </c>
      <c r="E9" s="58" t="n"/>
      <c r="F9" s="59" t="n"/>
    </row>
    <row r="10">
      <c r="A10" s="55">
        <f>ROW()-5</f>
        <v/>
      </c>
      <c r="B10" s="55" t="inlineStr">
        <is>
          <t>기본</t>
        </is>
      </c>
      <c r="C10" s="56" t="inlineStr">
        <is>
          <t>설치된 커널</t>
        </is>
      </c>
      <c r="D10" s="57" t="inlineStr">
        <is>
          <t>rpm -q kernel</t>
        </is>
      </c>
      <c r="E10" s="58" t="n"/>
      <c r="F10" s="59" t="inlineStr">
        <is>
          <t>실행 커널보다 최신이면 재부팅 필요</t>
        </is>
      </c>
    </row>
    <row r="11">
      <c r="A11" s="55">
        <f>ROW()-5</f>
        <v/>
      </c>
      <c r="B11" s="55" t="inlineStr">
        <is>
          <t>기본</t>
        </is>
      </c>
      <c r="C11" s="56" t="inlineStr">
        <is>
          <t>아키텍처</t>
        </is>
      </c>
      <c r="D11" s="57" t="inlineStr">
        <is>
          <t>uname -m</t>
        </is>
      </c>
      <c r="E11" s="58" t="n"/>
      <c r="F11" s="59" t="n"/>
    </row>
    <row r="12">
      <c r="A12" s="55">
        <f>ROW()-5</f>
        <v/>
      </c>
      <c r="B12" s="55" t="inlineStr">
        <is>
          <t>기본</t>
        </is>
      </c>
      <c r="C12" s="56" t="inlineStr">
        <is>
          <t>부팅 방식</t>
        </is>
      </c>
      <c r="D12" s="57" t="inlineStr">
        <is>
          <t>ls /sys/firmware/efi</t>
        </is>
      </c>
      <c r="E12" s="58" t="n"/>
      <c r="F12" s="59" t="inlineStr">
        <is>
          <t>경로가 있으면 UEFI</t>
        </is>
      </c>
    </row>
    <row r="13">
      <c r="A13" s="55">
        <f>ROW()-5</f>
        <v/>
      </c>
      <c r="B13" s="55" t="inlineStr">
        <is>
          <t>기본</t>
        </is>
      </c>
      <c r="C13" s="56" t="inlineStr">
        <is>
          <t>부팅 옵션</t>
        </is>
      </c>
      <c r="D13" s="57" t="inlineStr">
        <is>
          <t>cat /proc/cmdline</t>
        </is>
      </c>
      <c r="E13" s="58" t="n"/>
      <c r="F13" s="59" t="n"/>
    </row>
    <row r="14">
      <c r="A14" s="55">
        <f>ROW()-5</f>
        <v/>
      </c>
      <c r="B14" s="55" t="inlineStr">
        <is>
          <t>기본</t>
        </is>
      </c>
      <c r="C14" s="56" t="inlineStr">
        <is>
          <t>마지막 부팅</t>
        </is>
      </c>
      <c r="D14" s="57" t="inlineStr">
        <is>
          <t>who -b</t>
        </is>
      </c>
      <c r="E14" s="58" t="n"/>
      <c r="F14" s="59" t="n"/>
    </row>
    <row r="15">
      <c r="A15" s="55">
        <f>ROW()-5</f>
        <v/>
      </c>
      <c r="B15" s="55" t="inlineStr">
        <is>
          <t>기본</t>
        </is>
      </c>
      <c r="C15" s="56" t="inlineStr">
        <is>
          <t>장비 모델</t>
        </is>
      </c>
      <c r="D15" s="57" t="inlineStr">
        <is>
          <t>cat /sys/class/dmi/id/product_name</t>
        </is>
      </c>
      <c r="E15" s="58" t="n"/>
      <c r="F15" s="59" t="n"/>
    </row>
    <row r="16">
      <c r="A16" s="55">
        <f>ROW()-5</f>
        <v/>
      </c>
      <c r="B16" s="55" t="inlineStr">
        <is>
          <t>기본</t>
        </is>
      </c>
      <c r="C16" s="56" t="inlineStr">
        <is>
          <t>시리얼번호</t>
        </is>
      </c>
      <c r="D16" s="57" t="inlineStr">
        <is>
          <t>cat /sys/class/dmi/id/product_serial</t>
        </is>
      </c>
      <c r="E16" s="58" t="n"/>
      <c r="F16" s="59" t="n"/>
    </row>
    <row r="17">
      <c r="A17" s="55">
        <f>ROW()-5</f>
        <v/>
      </c>
      <c r="B17" s="55" t="inlineStr">
        <is>
          <t>기본</t>
        </is>
      </c>
      <c r="C17" s="56" t="inlineStr">
        <is>
          <t>가상화</t>
        </is>
      </c>
      <c r="D17" s="57" t="inlineStr">
        <is>
          <t>systemd-detect-virt</t>
        </is>
      </c>
      <c r="E17" s="58" t="n"/>
      <c r="F17" s="59" t="inlineStr">
        <is>
          <t>none이면 물리</t>
        </is>
      </c>
    </row>
    <row r="18">
      <c r="A18" s="55">
        <f>ROW()-5</f>
        <v/>
      </c>
      <c r="B18" s="55" t="inlineStr">
        <is>
          <t>CPU·메모리</t>
        </is>
      </c>
      <c r="C18" s="56" t="inlineStr">
        <is>
          <t>CPU 모델</t>
        </is>
      </c>
      <c r="D18" s="57" t="inlineStr">
        <is>
          <t>cat /proc/cpuinfo | grep -i 'model name' | uniq</t>
        </is>
      </c>
      <c r="E18" s="58" t="n"/>
      <c r="F18" s="59" t="n"/>
    </row>
    <row r="19">
      <c r="A19" s="55">
        <f>ROW()-5</f>
        <v/>
      </c>
      <c r="B19" s="55" t="inlineStr">
        <is>
          <t>CPU·메모리</t>
        </is>
      </c>
      <c r="C19" s="56" t="inlineStr">
        <is>
          <t>CPU 소켓 수</t>
        </is>
      </c>
      <c r="D19" s="57" t="inlineStr">
        <is>
          <t>cat /proc/cpuinfo | grep 'physical id' | sort -u | wc -l</t>
        </is>
      </c>
      <c r="E19" s="58" t="n"/>
      <c r="F19" s="59" t="inlineStr">
        <is>
          <t>숫자만</t>
        </is>
      </c>
    </row>
    <row r="20">
      <c r="A20" s="55">
        <f>ROW()-5</f>
        <v/>
      </c>
      <c r="B20" s="55" t="inlineStr">
        <is>
          <t>CPU·메모리</t>
        </is>
      </c>
      <c r="C20" s="56" t="inlineStr">
        <is>
          <t>소켓당 코어 수</t>
        </is>
      </c>
      <c r="D20" s="57" t="inlineStr">
        <is>
          <t>cat /proc/cpuinfo | grep -i 'cpu cores' | uniq</t>
        </is>
      </c>
      <c r="E20" s="58" t="n"/>
      <c r="F20" s="59" t="inlineStr">
        <is>
          <t>숫자만</t>
        </is>
      </c>
    </row>
    <row r="21">
      <c r="A21" s="55">
        <f>ROW()-5</f>
        <v/>
      </c>
      <c r="B21" s="55" t="inlineStr">
        <is>
          <t>CPU·메모리</t>
        </is>
      </c>
      <c r="C21" s="56" t="inlineStr">
        <is>
          <t>물리 코어 수</t>
        </is>
      </c>
      <c r="D21" s="60" t="inlineStr">
        <is>
          <t>CPU 소켓 수 × 소켓당 코어 수</t>
        </is>
      </c>
      <c r="E21" s="61">
        <f>IF(COUNT(E19,E20)=2,E19*E20,"")</f>
        <v/>
      </c>
      <c r="F21" s="59" t="inlineStr">
        <is>
          <t>수식</t>
        </is>
      </c>
    </row>
    <row r="22">
      <c r="A22" s="55">
        <f>ROW()-5</f>
        <v/>
      </c>
      <c r="B22" s="55" t="inlineStr">
        <is>
          <t>CPU·메모리</t>
        </is>
      </c>
      <c r="C22" s="56" t="inlineStr">
        <is>
          <t>논리 CPU 수</t>
        </is>
      </c>
      <c r="D22" s="57" t="inlineStr">
        <is>
          <t>cat /proc/cpuinfo | grep -i '^processor' | wc -l</t>
        </is>
      </c>
      <c r="E22" s="58" t="n"/>
      <c r="F22" s="59" t="inlineStr">
        <is>
          <t>숫자만</t>
        </is>
      </c>
    </row>
    <row r="23">
      <c r="A23" s="55">
        <f>ROW()-5</f>
        <v/>
      </c>
      <c r="B23" s="55" t="inlineStr">
        <is>
          <t>CPU·메모리</t>
        </is>
      </c>
      <c r="C23" s="56" t="inlineStr">
        <is>
          <t>하이퍼스레딩</t>
        </is>
      </c>
      <c r="D23" s="60" t="inlineStr">
        <is>
          <t>논리 CPU 수 = 물리 코어 수 × 2</t>
        </is>
      </c>
      <c r="E23" s="61">
        <f>IF(COUNT(E21,E22)=2,IF(E22=E21*2,"사용","미사용"),"")</f>
        <v/>
      </c>
      <c r="F23" s="59" t="inlineStr">
        <is>
          <t>수식</t>
        </is>
      </c>
    </row>
    <row r="24">
      <c r="A24" s="55">
        <f>ROW()-5</f>
        <v/>
      </c>
      <c r="B24" s="55" t="inlineStr">
        <is>
          <t>CPU·메모리</t>
        </is>
      </c>
      <c r="C24" s="56" t="inlineStr">
        <is>
          <t>OS 인식 메모리 (MiB)</t>
        </is>
      </c>
      <c r="D24" s="57" t="inlineStr">
        <is>
          <t>free -m</t>
        </is>
      </c>
      <c r="E24" s="58" t="n"/>
      <c r="F24" s="59" t="inlineStr">
        <is>
          <t>Mem total, 숫자만</t>
        </is>
      </c>
    </row>
    <row r="25">
      <c r="A25" s="55">
        <f>ROW()-5</f>
        <v/>
      </c>
      <c r="B25" s="55" t="inlineStr">
        <is>
          <t>CPU·메모리</t>
        </is>
      </c>
      <c r="C25" s="56" t="inlineStr">
        <is>
          <t>물리 메모리</t>
        </is>
      </c>
      <c r="D25" s="57" t="inlineStr">
        <is>
          <t>dmidecode -t memory | grep -i size | egrep -v 'No Module|Cache|Logical|Volatile'</t>
        </is>
      </c>
      <c r="E25" s="58" t="n"/>
      <c r="F25" s="59" t="inlineStr">
        <is>
          <t>물리 서버</t>
        </is>
      </c>
    </row>
    <row r="26">
      <c r="A26" s="55">
        <f>ROW()-5</f>
        <v/>
      </c>
      <c r="B26" s="55" t="inlineStr">
        <is>
          <t>CPU·메모리</t>
        </is>
      </c>
      <c r="C26" s="56" t="inlineStr">
        <is>
          <t>GPU</t>
        </is>
      </c>
      <c r="D26" s="57" t="inlineStr">
        <is>
          <t>nvidia-smi -L</t>
        </is>
      </c>
      <c r="E26" s="58" t="n"/>
      <c r="F26" s="59" t="inlineStr">
        <is>
          <t>GPU 서버</t>
        </is>
      </c>
    </row>
    <row r="27">
      <c r="A27" s="55">
        <f>ROW()-5</f>
        <v/>
      </c>
      <c r="B27" s="55" t="inlineStr">
        <is>
          <t>시간</t>
        </is>
      </c>
      <c r="C27" s="56" t="inlineStr">
        <is>
          <t>시간대</t>
        </is>
      </c>
      <c r="D27" s="57" t="inlineStr">
        <is>
          <t>timedatectl | grep 'Time zone'</t>
        </is>
      </c>
      <c r="E27" s="58" t="n"/>
      <c r="F27" s="59" t="n"/>
    </row>
    <row r="28">
      <c r="A28" s="55">
        <f>ROW()-5</f>
        <v/>
      </c>
      <c r="B28" s="55" t="inlineStr">
        <is>
          <t>시간</t>
        </is>
      </c>
      <c r="C28" s="56" t="inlineStr">
        <is>
          <t>시간 동기화 여부</t>
        </is>
      </c>
      <c r="D28" s="57" t="inlineStr">
        <is>
          <t>timedatectl | egrep 'synchronized|NTP'</t>
        </is>
      </c>
      <c r="E28" s="58" t="n"/>
      <c r="F28" s="59" t="n"/>
    </row>
    <row r="29">
      <c r="A29" s="55">
        <f>ROW()-5</f>
        <v/>
      </c>
      <c r="B29" s="55" t="inlineStr">
        <is>
          <t>시간</t>
        </is>
      </c>
      <c r="C29" s="56" t="inlineStr">
        <is>
          <t>타임 서버 (chrony)</t>
        </is>
      </c>
      <c r="D29" s="57" t="inlineStr">
        <is>
          <t>chronyc sources -v</t>
        </is>
      </c>
      <c r="E29" s="58" t="n"/>
      <c r="F29" s="59" t="inlineStr">
        <is>
          <t>* 표시가 동기 서버</t>
        </is>
      </c>
    </row>
    <row r="30">
      <c r="A30" s="55">
        <f>ROW()-5</f>
        <v/>
      </c>
      <c r="B30" s="55" t="inlineStr">
        <is>
          <t>네트워크</t>
        </is>
      </c>
      <c r="C30" s="56" t="inlineStr">
        <is>
          <t>IP 주소</t>
        </is>
      </c>
      <c r="D30" s="57" t="inlineStr">
        <is>
          <t>ip -br addr</t>
        </is>
      </c>
      <c r="E30" s="58" t="n"/>
      <c r="F30" s="59" t="n"/>
    </row>
    <row r="31">
      <c r="A31" s="55">
        <f>ROW()-5</f>
        <v/>
      </c>
      <c r="B31" s="55" t="inlineStr">
        <is>
          <t>네트워크</t>
        </is>
      </c>
      <c r="C31" s="56" t="inlineStr">
        <is>
          <t>MAC 주소</t>
        </is>
      </c>
      <c r="D31" s="57" t="inlineStr">
        <is>
          <t>ip -br link</t>
        </is>
      </c>
      <c r="E31" s="58" t="n"/>
      <c r="F31" s="59" t="n"/>
    </row>
    <row r="32">
      <c r="A32" s="55">
        <f>ROW()-5</f>
        <v/>
      </c>
      <c r="B32" s="55" t="inlineStr">
        <is>
          <t>네트워크</t>
        </is>
      </c>
      <c r="C32" s="56" t="inlineStr">
        <is>
          <t>MTU</t>
        </is>
      </c>
      <c r="D32" s="57" t="inlineStr">
        <is>
          <t>ip link | grep mtu</t>
        </is>
      </c>
      <c r="E32" s="58" t="n"/>
      <c r="F32" s="59" t="n"/>
    </row>
    <row r="33">
      <c r="A33" s="55">
        <f>ROW()-5</f>
        <v/>
      </c>
      <c r="B33" s="55" t="inlineStr">
        <is>
          <t>네트워크</t>
        </is>
      </c>
      <c r="C33" s="56" t="inlineStr">
        <is>
          <t>본딩 상태</t>
        </is>
      </c>
      <c r="D33" s="57" t="inlineStr">
        <is>
          <t>tail -v -n +1 /proc/net/bonding/*</t>
        </is>
      </c>
      <c r="E33" s="58" t="n"/>
      <c r="F33" s="59" t="inlineStr">
        <is>
          <t>본딩 사용 시</t>
        </is>
      </c>
    </row>
    <row r="34">
      <c r="A34" s="55">
        <f>ROW()-5</f>
        <v/>
      </c>
      <c r="B34" s="55" t="inlineStr">
        <is>
          <t>네트워크</t>
        </is>
      </c>
      <c r="C34" s="56" t="inlineStr">
        <is>
          <t>IPv4 경로</t>
        </is>
      </c>
      <c r="D34" s="57" t="inlineStr">
        <is>
          <t>ip route</t>
        </is>
      </c>
      <c r="E34" s="58" t="n"/>
      <c r="F34" s="59" t="n"/>
    </row>
    <row r="35">
      <c r="A35" s="55">
        <f>ROW()-5</f>
        <v/>
      </c>
      <c r="B35" s="55" t="inlineStr">
        <is>
          <t>네트워크</t>
        </is>
      </c>
      <c r="C35" s="56" t="inlineStr">
        <is>
          <t>DNS 서버·도메인</t>
        </is>
      </c>
      <c r="D35" s="57" t="inlineStr">
        <is>
          <t>cat /etc/resolv.conf</t>
        </is>
      </c>
      <c r="E35" s="58" t="n"/>
      <c r="F35" s="59" t="n"/>
    </row>
    <row r="36">
      <c r="A36" s="55">
        <f>ROW()-5</f>
        <v/>
      </c>
      <c r="B36" s="55" t="inlineStr">
        <is>
          <t>네트워크</t>
        </is>
      </c>
      <c r="C36" s="56" t="inlineStr">
        <is>
          <t>호스트 파일</t>
        </is>
      </c>
      <c r="D36" s="57" t="inlineStr">
        <is>
          <t>cat /etc/hosts</t>
        </is>
      </c>
      <c r="E36" s="58" t="n"/>
      <c r="F36" s="59" t="n"/>
    </row>
    <row r="37">
      <c r="A37" s="55">
        <f>ROW()-5</f>
        <v/>
      </c>
      <c r="B37" s="55" t="inlineStr">
        <is>
          <t>네트워크</t>
        </is>
      </c>
      <c r="C37" s="56" t="inlineStr">
        <is>
          <t>네트워크 연결</t>
        </is>
      </c>
      <c r="D37" s="57" t="inlineStr">
        <is>
          <t>nmcli connection show</t>
        </is>
      </c>
      <c r="E37" s="58" t="n"/>
      <c r="F37" s="59" t="n"/>
    </row>
    <row r="38">
      <c r="A38" s="55">
        <f>ROW()-5</f>
        <v/>
      </c>
      <c r="B38" s="55" t="inlineStr">
        <is>
          <t>네트워크</t>
        </is>
      </c>
      <c r="C38" s="56" t="inlineStr">
        <is>
          <t>저장된 네트워크 설정</t>
        </is>
      </c>
      <c r="D38" s="57" t="inlineStr">
        <is>
          <t>tail -v -n +1 /etc/NetworkManager/system-connections/*.nmconnection</t>
        </is>
      </c>
      <c r="E38" s="58" t="n"/>
      <c r="F38" s="59" t="inlineStr">
        <is>
          <t>ifcfg 형식이면 /etc/sysconfig/network-scripts</t>
        </is>
      </c>
    </row>
    <row r="39">
      <c r="A39" s="55">
        <f>ROW()-5</f>
        <v/>
      </c>
      <c r="B39" s="55" t="inlineStr">
        <is>
          <t>네트워크</t>
        </is>
      </c>
      <c r="C39" s="56" t="inlineStr">
        <is>
          <t>링 버퍼 (RX/TX)</t>
        </is>
      </c>
      <c r="D39" s="57" t="inlineStr">
        <is>
          <t>ethtool -g &lt;인터페이스&gt;</t>
        </is>
      </c>
      <c r="E39" s="58" t="n"/>
      <c r="F39" s="59" t="inlineStr">
        <is>
          <t>조정한 경우</t>
        </is>
      </c>
    </row>
    <row r="40">
      <c r="A40" s="55">
        <f>ROW()-5</f>
        <v/>
      </c>
      <c r="B40" s="55" t="inlineStr">
        <is>
          <t>디스크</t>
        </is>
      </c>
      <c r="C40" s="56" t="inlineStr">
        <is>
          <t>장치와 파일시스템</t>
        </is>
      </c>
      <c r="D40" s="57" t="inlineStr">
        <is>
          <t>lsblk -o NAME,TYPE,SIZE,FSTYPE,UUID,MOUNTPOINT,WWN</t>
        </is>
      </c>
      <c r="E40" s="58" t="n"/>
      <c r="F40" s="59" t="n"/>
    </row>
    <row r="41">
      <c r="A41" s="55">
        <f>ROW()-5</f>
        <v/>
      </c>
      <c r="B41" s="55" t="inlineStr">
        <is>
          <t>디스크</t>
        </is>
      </c>
      <c r="C41" s="56" t="inlineStr">
        <is>
          <t>파일시스템 사용량</t>
        </is>
      </c>
      <c r="D41" s="57" t="inlineStr">
        <is>
          <t>df -hTl -x tmpfs -x devtmpfs -x overlay -x squashfs</t>
        </is>
      </c>
      <c r="E41" s="58" t="n"/>
      <c r="F41" s="59" t="n"/>
    </row>
    <row r="42">
      <c r="A42" s="55">
        <f>ROW()-5</f>
        <v/>
      </c>
      <c r="B42" s="55" t="inlineStr">
        <is>
          <t>디스크</t>
        </is>
      </c>
      <c r="C42" s="56" t="inlineStr">
        <is>
          <t>현재 마운트</t>
        </is>
      </c>
      <c r="D42" s="57" t="inlineStr">
        <is>
          <t>findmnt -t ext4,xfs,nfs,nfs4,cifs -o TARGET,SOURCE,FSTYPE,OPTIONS</t>
        </is>
      </c>
      <c r="E42" s="58" t="n"/>
      <c r="F42" s="59" t="n"/>
    </row>
    <row r="43">
      <c r="A43" s="55">
        <f>ROW()-5</f>
        <v/>
      </c>
      <c r="B43" s="55" t="inlineStr">
        <is>
          <t>디스크</t>
        </is>
      </c>
      <c r="C43" s="56" t="inlineStr">
        <is>
          <t>저장된 마운트</t>
        </is>
      </c>
      <c r="D43" s="57" t="inlineStr">
        <is>
          <t>cat /etc/fstab</t>
        </is>
      </c>
      <c r="E43" s="58" t="n"/>
      <c r="F43" s="59" t="n"/>
    </row>
    <row r="44">
      <c r="A44" s="55">
        <f>ROW()-5</f>
        <v/>
      </c>
      <c r="B44" s="55" t="inlineStr">
        <is>
          <t>디스크</t>
        </is>
      </c>
      <c r="C44" s="56" t="inlineStr">
        <is>
          <t>스왑</t>
        </is>
      </c>
      <c r="D44" s="57" t="inlineStr">
        <is>
          <t>cat /proc/swaps</t>
        </is>
      </c>
      <c r="E44" s="58" t="n"/>
      <c r="F44" s="59" t="n"/>
    </row>
    <row r="45">
      <c r="A45" s="55">
        <f>ROW()-5</f>
        <v/>
      </c>
      <c r="B45" s="55" t="inlineStr">
        <is>
          <t>디스크</t>
        </is>
      </c>
      <c r="C45" s="56" t="inlineStr">
        <is>
          <t>LVM-PV</t>
        </is>
      </c>
      <c r="D45" s="57" t="inlineStr">
        <is>
          <t>pvs</t>
        </is>
      </c>
      <c r="E45" s="58" t="n"/>
      <c r="F45" s="59" t="inlineStr">
        <is>
          <t>LVM 사용 시</t>
        </is>
      </c>
    </row>
    <row r="46">
      <c r="A46" s="55">
        <f>ROW()-5</f>
        <v/>
      </c>
      <c r="B46" s="55" t="inlineStr">
        <is>
          <t>디스크</t>
        </is>
      </c>
      <c r="C46" s="56" t="inlineStr">
        <is>
          <t>LVM-VG</t>
        </is>
      </c>
      <c r="D46" s="57" t="inlineStr">
        <is>
          <t>vgs</t>
        </is>
      </c>
      <c r="E46" s="58" t="n"/>
      <c r="F46" s="59" t="n"/>
    </row>
    <row r="47">
      <c r="A47" s="55">
        <f>ROW()-5</f>
        <v/>
      </c>
      <c r="B47" s="55" t="inlineStr">
        <is>
          <t>디스크</t>
        </is>
      </c>
      <c r="C47" s="56" t="inlineStr">
        <is>
          <t>LVM-LV</t>
        </is>
      </c>
      <c r="D47" s="57" t="inlineStr">
        <is>
          <t>lvs -a -o +devices</t>
        </is>
      </c>
      <c r="E47" s="58" t="n"/>
      <c r="F47" s="59" t="n"/>
    </row>
    <row r="48">
      <c r="A48" s="55">
        <f>ROW()-5</f>
        <v/>
      </c>
      <c r="B48" s="55" t="inlineStr">
        <is>
          <t>디스크</t>
        </is>
      </c>
      <c r="C48" s="56" t="inlineStr">
        <is>
          <t>SCSI 호스트</t>
        </is>
      </c>
      <c r="D48" s="57" t="inlineStr">
        <is>
          <t>lsscsi -H</t>
        </is>
      </c>
      <c r="E48" s="58" t="n"/>
      <c r="F48" s="59" t="inlineStr">
        <is>
          <t>lsscsi 패키지</t>
        </is>
      </c>
    </row>
    <row r="49">
      <c r="A49" s="55">
        <f>ROW()-5</f>
        <v/>
      </c>
      <c r="B49" s="55" t="inlineStr">
        <is>
          <t>디스크</t>
        </is>
      </c>
      <c r="C49" s="56" t="inlineStr">
        <is>
          <t>SCSI 장치</t>
        </is>
      </c>
      <c r="D49" s="57" t="inlineStr">
        <is>
          <t>lsscsi -is</t>
        </is>
      </c>
      <c r="E49" s="58" t="n"/>
      <c r="F49" s="59" t="inlineStr">
        <is>
          <t>lsscsi 패키지</t>
        </is>
      </c>
    </row>
    <row r="50">
      <c r="A50" s="55">
        <f>ROW()-5</f>
        <v/>
      </c>
      <c r="B50" s="55" t="inlineStr">
        <is>
          <t>SAN</t>
        </is>
      </c>
      <c r="C50" s="56" t="inlineStr">
        <is>
          <t>HBA 포트 (WWPN·상태·유형)</t>
        </is>
      </c>
      <c r="D50" s="57" t="inlineStr">
        <is>
          <t>grep . /sys/class/fc_host/host*/port_{name,state,type}</t>
        </is>
      </c>
      <c r="E50" s="58" t="n"/>
      <c r="F50" s="59" t="inlineStr">
        <is>
          <t>SAN 사용 시</t>
        </is>
      </c>
    </row>
    <row r="51">
      <c r="A51" s="55">
        <f>ROW()-5</f>
        <v/>
      </c>
      <c r="B51" s="55" t="inlineStr">
        <is>
          <t>SAN</t>
        </is>
      </c>
      <c r="C51" s="56" t="inlineStr">
        <is>
          <t>멀티패스 상태</t>
        </is>
      </c>
      <c r="D51" s="57" t="inlineStr">
        <is>
          <t>multipath -ll</t>
        </is>
      </c>
      <c r="E51" s="58" t="n"/>
      <c r="F51" s="59" t="n"/>
    </row>
    <row r="52">
      <c r="A52" s="55">
        <f>ROW()-5</f>
        <v/>
      </c>
      <c r="B52" s="55" t="inlineStr">
        <is>
          <t>SAN</t>
        </is>
      </c>
      <c r="C52" s="56" t="inlineStr">
        <is>
          <t>멀티패스 설정</t>
        </is>
      </c>
      <c r="D52" s="57" t="inlineStr">
        <is>
          <t>cat /etc/multipath.conf</t>
        </is>
      </c>
      <c r="E52" s="58" t="n"/>
      <c r="F52" s="59" t="n"/>
    </row>
    <row r="53">
      <c r="A53" s="55">
        <f>ROW()-5</f>
        <v/>
      </c>
      <c r="B53" s="55" t="inlineStr">
        <is>
          <t>SAN</t>
        </is>
      </c>
      <c r="C53" s="56" t="inlineStr">
        <is>
          <t>멀티패스 이름 매핑</t>
        </is>
      </c>
      <c r="D53" s="57" t="inlineStr">
        <is>
          <t>cat /etc/multipath/bindings</t>
        </is>
      </c>
      <c r="E53" s="58" t="n"/>
      <c r="F53" s="59" t="n"/>
    </row>
    <row r="54">
      <c r="A54" s="55">
        <f>ROW()-5</f>
        <v/>
      </c>
      <c r="B54" s="55" t="inlineStr">
        <is>
          <t>계정·접근</t>
        </is>
      </c>
      <c r="C54" s="56" t="inlineStr">
        <is>
          <t>로그인 가능 계정</t>
        </is>
      </c>
      <c r="D54" s="57" t="inlineStr">
        <is>
          <t>getent passwd | egrep -v 'nologin|/bin/false|/bin/sync'</t>
        </is>
      </c>
      <c r="E54" s="58" t="n"/>
      <c r="F54" s="59" t="n"/>
    </row>
    <row r="55">
      <c r="A55" s="55">
        <f>ROW()-5</f>
        <v/>
      </c>
      <c r="B55" s="55" t="inlineStr">
        <is>
          <t>계정·접근</t>
        </is>
      </c>
      <c r="C55" s="56" t="inlineStr">
        <is>
          <t>관리자 그룹</t>
        </is>
      </c>
      <c r="D55" s="57" t="inlineStr">
        <is>
          <t>getent group wheel</t>
        </is>
      </c>
      <c r="E55" s="58" t="n"/>
      <c r="F55" s="59" t="n"/>
    </row>
    <row r="56">
      <c r="A56" s="55">
        <f>ROW()-5</f>
        <v/>
      </c>
      <c r="B56" s="55" t="inlineStr">
        <is>
          <t>계정·접근</t>
        </is>
      </c>
      <c r="C56" s="56" t="inlineStr">
        <is>
          <t>SSH 설정</t>
        </is>
      </c>
      <c r="D56" s="57" t="inlineStr">
        <is>
          <t>sshd -T | egrep -i '^(port|permitrootlogin|passwordauthentication|allowusers)'</t>
        </is>
      </c>
      <c r="E56" s="58" t="n"/>
      <c r="F56" s="59" t="inlineStr">
        <is>
          <t>allowusers 없으면 미설정</t>
        </is>
      </c>
    </row>
    <row r="57">
      <c r="A57" s="55">
        <f>ROW()-5</f>
        <v/>
      </c>
      <c r="B57" s="55" t="inlineStr">
        <is>
          <t>계정·접근</t>
        </is>
      </c>
      <c r="C57" s="56" t="inlineStr">
        <is>
          <t>방화벽 실행</t>
        </is>
      </c>
      <c r="D57" s="57" t="inlineStr">
        <is>
          <t>systemctl is-active firewalld</t>
        </is>
      </c>
      <c r="E57" s="58" t="n"/>
      <c r="F57" s="59" t="n"/>
    </row>
    <row r="58">
      <c r="A58" s="55">
        <f>ROW()-5</f>
        <v/>
      </c>
      <c r="B58" s="55" t="inlineStr">
        <is>
          <t>계정·접근</t>
        </is>
      </c>
      <c r="C58" s="56" t="inlineStr">
        <is>
          <t>방화벽 부팅 시 시작</t>
        </is>
      </c>
      <c r="D58" s="57" t="inlineStr">
        <is>
          <t>systemctl is-enabled firewalld</t>
        </is>
      </c>
      <c r="E58" s="58" t="n"/>
      <c r="F58" s="59" t="n"/>
    </row>
    <row r="59">
      <c r="A59" s="55">
        <f>ROW()-5</f>
        <v/>
      </c>
      <c r="B59" s="55" t="inlineStr">
        <is>
          <t>계정·접근</t>
        </is>
      </c>
      <c r="C59" s="56" t="inlineStr">
        <is>
          <t>방화벽 응답</t>
        </is>
      </c>
      <c r="D59" s="57" t="inlineStr">
        <is>
          <t>firewall-cmd --state</t>
        </is>
      </c>
      <c r="E59" s="58" t="n"/>
      <c r="F59" s="59" t="inlineStr">
        <is>
          <t>not running이면 미사용</t>
        </is>
      </c>
    </row>
    <row r="60">
      <c r="A60" s="55">
        <f>ROW()-5</f>
        <v/>
      </c>
      <c r="B60" s="55" t="inlineStr">
        <is>
          <t>계정·접근</t>
        </is>
      </c>
      <c r="C60" s="56" t="inlineStr">
        <is>
          <t>방화벽 영역</t>
        </is>
      </c>
      <c r="D60" s="57" t="inlineStr">
        <is>
          <t>firewall-cmd --get-active-zones</t>
        </is>
      </c>
      <c r="E60" s="58" t="n"/>
      <c r="F60" s="59" t="n"/>
    </row>
    <row r="61">
      <c r="A61" s="55">
        <f>ROW()-5</f>
        <v/>
      </c>
      <c r="B61" s="55" t="inlineStr">
        <is>
          <t>계정·접근</t>
        </is>
      </c>
      <c r="C61" s="56" t="inlineStr">
        <is>
          <t>방화벽 규칙</t>
        </is>
      </c>
      <c r="D61" s="57" t="inlineStr">
        <is>
          <t>firewall-cmd --zone=&lt;zone&gt; --list-all</t>
        </is>
      </c>
      <c r="E61" s="58" t="n"/>
      <c r="F61" s="59" t="inlineStr">
        <is>
          <t>활성 영역마다</t>
        </is>
      </c>
    </row>
    <row r="62">
      <c r="A62" s="55">
        <f>ROW()-5</f>
        <v/>
      </c>
      <c r="B62" s="55" t="inlineStr">
        <is>
          <t>계정·접근</t>
        </is>
      </c>
      <c r="C62" s="56" t="inlineStr">
        <is>
          <t>방화벽 저장 규칙</t>
        </is>
      </c>
      <c r="D62" s="57" t="inlineStr">
        <is>
          <t>firewall-cmd --permanent --zone=&lt;zone&gt; --list-all</t>
        </is>
      </c>
      <c r="E62" s="58" t="n"/>
      <c r="F62" s="59" t="inlineStr">
        <is>
          <t>규칙과 다르면 표시</t>
        </is>
      </c>
    </row>
    <row r="63">
      <c r="A63" s="55">
        <f>ROW()-5</f>
        <v/>
      </c>
      <c r="B63" s="55" t="inlineStr">
        <is>
          <t>계정·접근</t>
        </is>
      </c>
      <c r="C63" s="56" t="inlineStr">
        <is>
          <t>보안 모듈 (SELinux)</t>
        </is>
      </c>
      <c r="D63" s="57" t="inlineStr">
        <is>
          <t>getenforce</t>
        </is>
      </c>
      <c r="E63" s="58" t="n"/>
      <c r="F63" s="59" t="n"/>
    </row>
    <row r="64">
      <c r="A64" s="55">
        <f>ROW()-5</f>
        <v/>
      </c>
      <c r="B64" s="55" t="inlineStr">
        <is>
          <t>계정·접근</t>
        </is>
      </c>
      <c r="C64" s="56" t="inlineStr">
        <is>
          <t>보안 모듈 부팅 설정</t>
        </is>
      </c>
      <c r="D64" s="57" t="inlineStr">
        <is>
          <t>grep ^SELINUX= /etc/selinux/config</t>
        </is>
      </c>
      <c r="E64" s="58" t="n"/>
      <c r="F64" s="59" t="n"/>
    </row>
    <row r="65">
      <c r="A65" s="55">
        <f>ROW()-5</f>
        <v/>
      </c>
      <c r="B65" s="55" t="inlineStr">
        <is>
          <t>업데이트·패키지</t>
        </is>
      </c>
      <c r="C65" s="56" t="inlineStr">
        <is>
          <t>주요 패키지</t>
        </is>
      </c>
      <c r="D65" s="57" t="inlineStr">
        <is>
          <t>rpm -q glibc openssl openssh-server bash sudo systemd</t>
        </is>
      </c>
      <c r="E65" s="58" t="n"/>
      <c r="F65" s="59" t="n"/>
    </row>
    <row r="66">
      <c r="A66" s="55">
        <f>ROW()-5</f>
        <v/>
      </c>
      <c r="B66" s="55" t="inlineStr">
        <is>
          <t>업데이트·패키지</t>
        </is>
      </c>
      <c r="C66" s="56" t="inlineStr">
        <is>
          <t>전체 패키지</t>
        </is>
      </c>
      <c r="D66" s="57" t="inlineStr">
        <is>
          <t>rpm -qa --qf '%{NAME} %{VERSION} %{RELEASE} %{ARCH} %{INSTALLTIME}\n' | sort</t>
        </is>
      </c>
      <c r="E66" s="58" t="inlineStr">
        <is>
          <t>패키지 시트 참고</t>
        </is>
      </c>
      <c r="F66" s="59" t="n"/>
    </row>
    <row r="67">
      <c r="A67" s="55">
        <f>ROW()-5</f>
        <v/>
      </c>
      <c r="B67" s="55" t="inlineStr">
        <is>
          <t>업데이트·패키지</t>
        </is>
      </c>
      <c r="C67" s="56" t="inlineStr">
        <is>
          <t>최근 패치일</t>
        </is>
      </c>
      <c r="D67" s="57" t="inlineStr">
        <is>
          <t>dnf history</t>
        </is>
      </c>
      <c r="E67" s="58" t="n"/>
      <c r="F67" s="59" t="inlineStr">
        <is>
          <t>Action(s)에 U가 든 줄</t>
        </is>
      </c>
    </row>
    <row r="68">
      <c r="A68" s="55">
        <f>ROW()-5</f>
        <v/>
      </c>
      <c r="B68" s="55" t="inlineStr">
        <is>
          <t>업데이트·패키지</t>
        </is>
      </c>
      <c r="C68" s="56" t="inlineStr">
        <is>
          <t>자동 업데이트 설정</t>
        </is>
      </c>
      <c r="D68" s="57" t="inlineStr">
        <is>
          <t>egrep 'download_updates|apply_updates' /etc/dnf/automatic.conf</t>
        </is>
      </c>
      <c r="E68" s="58" t="n"/>
      <c r="F68" s="59" t="inlineStr">
        <is>
          <t>파일 없으면 미설치</t>
        </is>
      </c>
    </row>
    <row r="69">
      <c r="A69" s="55">
        <f>ROW()-5</f>
        <v/>
      </c>
      <c r="B69" s="55" t="inlineStr">
        <is>
          <t>업데이트·패키지</t>
        </is>
      </c>
      <c r="C69" s="56" t="inlineStr">
        <is>
          <t>자동 업데이트 예약</t>
        </is>
      </c>
      <c r="D69" s="57" t="inlineStr">
        <is>
          <t>systemctl list-unit-files 'dnf-automatic*'</t>
        </is>
      </c>
      <c r="E69" s="58" t="n"/>
      <c r="F69" s="59" t="inlineStr">
        <is>
          <t>enabled면 사용</t>
        </is>
      </c>
    </row>
    <row r="70">
      <c r="A70" s="55">
        <f>ROW()-5</f>
        <v/>
      </c>
      <c r="B70" s="55" t="inlineStr">
        <is>
          <t>업데이트·패키지</t>
        </is>
      </c>
      <c r="C70" s="56" t="inlineStr">
        <is>
          <t>저장소 목록</t>
        </is>
      </c>
      <c r="D70" s="57" t="inlineStr">
        <is>
          <t>dnf repolist</t>
        </is>
      </c>
      <c r="E70" s="58" t="n"/>
      <c r="F70" s="59" t="n"/>
    </row>
    <row r="71">
      <c r="A71" s="55">
        <f>ROW()-5</f>
        <v/>
      </c>
      <c r="B71" s="55" t="inlineStr">
        <is>
          <t>업데이트·패키지</t>
        </is>
      </c>
      <c r="C71" s="56" t="inlineStr">
        <is>
          <t>저장소 파일</t>
        </is>
      </c>
      <c r="D71" s="57" t="inlineStr">
        <is>
          <t>ls /etc/yum.repos.d/</t>
        </is>
      </c>
      <c r="E71" s="58" t="n"/>
      <c r="F71" s="59" t="n"/>
    </row>
    <row r="72">
      <c r="A72" s="55">
        <f>ROW()-5</f>
        <v/>
      </c>
      <c r="B72" s="55" t="inlineStr">
        <is>
          <t>업데이트·패키지</t>
        </is>
      </c>
      <c r="C72" s="56" t="inlineStr">
        <is>
          <t>구독 등록 여부</t>
        </is>
      </c>
      <c r="D72" s="57" t="inlineStr">
        <is>
          <t>ls /etc/pki/consumer/cert.pem</t>
        </is>
      </c>
      <c r="E72" s="58" t="n"/>
      <c r="F72" s="59" t="inlineStr">
        <is>
          <t>파일 없으면 미등록</t>
        </is>
      </c>
    </row>
    <row r="73">
      <c r="A73" s="55">
        <f>ROW()-5</f>
        <v/>
      </c>
      <c r="B73" s="55" t="inlineStr">
        <is>
          <t>업데이트·패키지</t>
        </is>
      </c>
      <c r="C73" s="56" t="inlineStr">
        <is>
          <t>구독 (RHSM)</t>
        </is>
      </c>
      <c r="D73" s="57" t="inlineStr">
        <is>
          <t>subscription-manager status</t>
        </is>
      </c>
      <c r="E73" s="58" t="n"/>
      <c r="F73" s="59" t="inlineStr">
        <is>
          <t>RHEL</t>
        </is>
      </c>
    </row>
    <row r="74">
      <c r="A74" s="55">
        <f>ROW()-5</f>
        <v/>
      </c>
      <c r="B74" s="55" t="inlineStr">
        <is>
          <t>업데이트·패키지</t>
        </is>
      </c>
      <c r="C74" s="56" t="inlineStr">
        <is>
          <t>릴리스 고정</t>
        </is>
      </c>
      <c r="D74" s="57" t="inlineStr">
        <is>
          <t>subscription-manager release --show</t>
        </is>
      </c>
      <c r="E74" s="58" t="n"/>
      <c r="F74" s="59" t="inlineStr">
        <is>
          <t>Release not set이면 미고정</t>
        </is>
      </c>
    </row>
    <row r="75">
      <c r="A75" s="55">
        <f>ROW()-5</f>
        <v/>
      </c>
      <c r="B75" s="55" t="inlineStr">
        <is>
          <t>커널 설정</t>
        </is>
      </c>
      <c r="C75" s="56" t="inlineStr">
        <is>
          <t>sysctl</t>
        </is>
      </c>
      <c r="D75" s="57" t="inlineStr">
        <is>
          <t>egrep -v '^#|^$' /etc/sysctl.conf /etc/sysctl.d/*.conf</t>
        </is>
      </c>
      <c r="E75" s="58" t="n"/>
      <c r="F75" s="59" t="inlineStr">
        <is>
          <t>99-sysctl.conf 줄은 중복</t>
        </is>
      </c>
    </row>
    <row r="76">
      <c r="A76" s="55">
        <f>ROW()-5</f>
        <v/>
      </c>
      <c r="B76" s="55" t="inlineStr">
        <is>
          <t>커널 설정</t>
        </is>
      </c>
      <c r="C76" s="56" t="inlineStr">
        <is>
          <t>자원 제한 (limits)</t>
        </is>
      </c>
      <c r="D76" s="57" t="inlineStr">
        <is>
          <t>egrep -v '^#|^$' /etc/security/limits.conf /etc/security/limits.d/*.conf</t>
        </is>
      </c>
      <c r="E76" s="58" t="n"/>
      <c r="F76" s="59" t="n"/>
    </row>
    <row r="77">
      <c r="A77" s="55">
        <f>ROW()-5</f>
        <v/>
      </c>
      <c r="B77" s="55" t="inlineStr">
        <is>
          <t>커널 설정</t>
        </is>
      </c>
      <c r="C77" s="56" t="inlineStr">
        <is>
          <t>kdump 설정</t>
        </is>
      </c>
      <c r="D77" s="57" t="inlineStr">
        <is>
          <t>egrep -v '^#|^$' /etc/kdump.conf</t>
        </is>
      </c>
      <c r="E77" s="58" t="n"/>
      <c r="F77" s="59" t="n"/>
    </row>
    <row r="78">
      <c r="A78" s="55">
        <f>ROW()-5</f>
        <v/>
      </c>
      <c r="B78" s="55" t="inlineStr">
        <is>
          <t>커널 설정</t>
        </is>
      </c>
      <c r="C78" s="56" t="inlineStr">
        <is>
          <t>kdump 실행</t>
        </is>
      </c>
      <c r="D78" s="57" t="inlineStr">
        <is>
          <t>systemctl is-active kdump</t>
        </is>
      </c>
      <c r="E78" s="58" t="n"/>
      <c r="F78" s="59" t="n"/>
    </row>
    <row r="79">
      <c r="A79" s="55">
        <f>ROW()-5</f>
        <v/>
      </c>
      <c r="B79" s="55" t="inlineStr">
        <is>
          <t>커널 설정</t>
        </is>
      </c>
      <c r="C79" s="56" t="inlineStr">
        <is>
          <t>kdump 부팅 시 시작</t>
        </is>
      </c>
      <c r="D79" s="57" t="inlineStr">
        <is>
          <t>systemctl is-enabled kdump</t>
        </is>
      </c>
      <c r="E79" s="58" t="n"/>
      <c r="F79" s="59" t="n"/>
    </row>
    <row r="80">
      <c r="A80" s="55">
        <f>ROW()-5</f>
        <v/>
      </c>
      <c r="B80" s="55" t="inlineStr">
        <is>
          <t>서비스·예약</t>
        </is>
      </c>
      <c r="C80" s="56" t="inlineStr">
        <is>
          <t>실행 중인 서비스</t>
        </is>
      </c>
      <c r="D80" s="57" t="inlineStr">
        <is>
          <t>systemctl list-units --type=service --state=running --no-pager</t>
        </is>
      </c>
      <c r="E80" s="58" t="n"/>
      <c r="F80" s="59" t="n"/>
    </row>
    <row r="81">
      <c r="A81" s="55">
        <f>ROW()-5</f>
        <v/>
      </c>
      <c r="B81" s="55" t="inlineStr">
        <is>
          <t>서비스·예약</t>
        </is>
      </c>
      <c r="C81" s="56" t="inlineStr">
        <is>
          <t>자동 시작 서비스</t>
        </is>
      </c>
      <c r="D81" s="57" t="inlineStr">
        <is>
          <t>systemctl list-unit-files --type=service --state=enabled --no-pager</t>
        </is>
      </c>
      <c r="E81" s="58" t="n"/>
      <c r="F81" s="59" t="n"/>
    </row>
    <row r="82">
      <c r="A82" s="55">
        <f>ROW()-5</f>
        <v/>
      </c>
      <c r="B82" s="55" t="inlineStr">
        <is>
          <t>서비스·예약</t>
        </is>
      </c>
      <c r="C82" s="56" t="inlineStr">
        <is>
          <t>열린 포트</t>
        </is>
      </c>
      <c r="D82" s="57" t="inlineStr">
        <is>
          <t>ss -tulnp</t>
        </is>
      </c>
      <c r="E82" s="58" t="n"/>
      <c r="F82" s="59" t="n"/>
    </row>
    <row r="83">
      <c r="A83" s="55">
        <f>ROW()-5</f>
        <v/>
      </c>
      <c r="B83" s="55" t="inlineStr">
        <is>
          <t>서비스·예약</t>
        </is>
      </c>
      <c r="C83" s="56" t="inlineStr">
        <is>
          <t>예약 작업 (타이머)</t>
        </is>
      </c>
      <c r="D83" s="57" t="inlineStr">
        <is>
          <t>systemctl list-timers --all --no-pager</t>
        </is>
      </c>
      <c r="E83" s="58" t="n"/>
      <c r="F83" s="59" t="n"/>
    </row>
    <row r="84">
      <c r="A84" s="55">
        <f>ROW()-5</f>
        <v/>
      </c>
      <c r="B84" s="55" t="inlineStr">
        <is>
          <t>서비스·예약</t>
        </is>
      </c>
      <c r="C84" s="56" t="inlineStr">
        <is>
          <t>예약 작업 (crontab)</t>
        </is>
      </c>
      <c r="D84" s="57" t="inlineStr">
        <is>
          <t>tail -v -n +1 /var/spool/cron/*</t>
        </is>
      </c>
      <c r="E84" s="58" t="n"/>
      <c r="F84" s="59" t="inlineStr">
        <is>
          <t>파일명이 계정명</t>
        </is>
      </c>
    </row>
    <row r="85">
      <c r="A85" s="55">
        <f>ROW()-5</f>
        <v/>
      </c>
      <c r="B85" s="55" t="inlineStr">
        <is>
          <t>서비스·예약</t>
        </is>
      </c>
      <c r="C85" s="56" t="inlineStr">
        <is>
          <t>예약 작업 (cron.d)</t>
        </is>
      </c>
      <c r="D85" s="57" t="inlineStr">
        <is>
          <t>ls /etc/cron.d</t>
        </is>
      </c>
      <c r="E85" s="58" t="n"/>
      <c r="F85" s="59" t="n"/>
    </row>
    <row r="86">
      <c r="A86" s="55">
        <f>ROW()-5</f>
        <v/>
      </c>
      <c r="B86" s="55" t="inlineStr">
        <is>
          <t>에이전트·백업</t>
        </is>
      </c>
      <c r="C86" s="56" t="inlineStr">
        <is>
          <t>모니터링 에이전트</t>
        </is>
      </c>
      <c r="D86" s="57" t="inlineStr">
        <is>
          <t>pgrep -fai &lt;에이전트 이름&gt;</t>
        </is>
      </c>
      <c r="E86" s="58" t="n"/>
      <c r="F86" s="59" t="inlineStr">
        <is>
          <t>출력 없으면 미실행</t>
        </is>
      </c>
    </row>
    <row r="87">
      <c r="A87" s="55">
        <f>ROW()-5</f>
        <v/>
      </c>
      <c r="B87" s="55" t="inlineStr">
        <is>
          <t>에이전트·백업</t>
        </is>
      </c>
      <c r="C87" s="56" t="inlineStr">
        <is>
          <t>보안 에이전트</t>
        </is>
      </c>
      <c r="D87" s="57" t="inlineStr">
        <is>
          <t>pgrep -fai &lt;에이전트 이름&gt;</t>
        </is>
      </c>
      <c r="E87" s="58" t="n"/>
      <c r="F87" s="59" t="inlineStr">
        <is>
          <t>출력 없으면 미실행</t>
        </is>
      </c>
    </row>
    <row r="88">
      <c r="A88" s="55">
        <f>ROW()-5</f>
        <v/>
      </c>
      <c r="B88" s="55" t="inlineStr">
        <is>
          <t>에이전트·백업</t>
        </is>
      </c>
      <c r="C88" s="56" t="inlineStr">
        <is>
          <t>백신</t>
        </is>
      </c>
      <c r="D88" s="57" t="inlineStr">
        <is>
          <t>pgrep -fai &lt;에이전트 이름&gt;</t>
        </is>
      </c>
      <c r="E88" s="58" t="n"/>
      <c r="F88" s="59" t="inlineStr">
        <is>
          <t>출력 없으면 미실행</t>
        </is>
      </c>
    </row>
    <row r="89">
      <c r="A89" s="55">
        <f>ROW()-5</f>
        <v/>
      </c>
      <c r="B89" s="55" t="inlineStr">
        <is>
          <t>에이전트·백업</t>
        </is>
      </c>
      <c r="C89" s="56" t="inlineStr">
        <is>
          <t>설정 백업</t>
        </is>
      </c>
      <c r="D89" s="57" t="inlineStr">
        <is>
          <t>백업 위치, 마지막 백업 날짜</t>
        </is>
      </c>
      <c r="E89" s="58" t="n"/>
      <c r="F89" s="59" t="inlineStr">
        <is>
          <t>직접 입력</t>
        </is>
      </c>
    </row>
  </sheetData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2" customWidth="1" min="3" max="3"/>
    <col width="14" customWidth="1" min="4" max="4"/>
    <col width="20" customWidth="1" min="5" max="5"/>
    <col width="10" customWidth="1" min="6" max="6"/>
    <col width="17" customWidth="1" min="7" max="7"/>
  </cols>
  <sheetData>
    <row r="1" ht="24" customHeight="1">
      <c r="A1" s="1" t="inlineStr">
        <is>
          <t>패키지</t>
        </is>
      </c>
    </row>
    <row r="3" ht="20" customHeight="1">
      <c r="A3" s="62" t="inlineStr">
        <is>
          <t>No</t>
        </is>
      </c>
      <c r="B3" s="46" t="inlineStr">
        <is>
          <t>원문</t>
        </is>
      </c>
      <c r="C3" s="62" t="inlineStr">
        <is>
          <t>이름</t>
        </is>
      </c>
      <c r="D3" s="62" t="inlineStr">
        <is>
          <t>버전</t>
        </is>
      </c>
      <c r="E3" s="62" t="inlineStr">
        <is>
          <t>릴리스</t>
        </is>
      </c>
      <c r="F3" s="62" t="inlineStr">
        <is>
          <t>아키텍처</t>
        </is>
      </c>
      <c r="G3" s="62" t="inlineStr">
        <is>
          <t>설치 일시</t>
        </is>
      </c>
    </row>
    <row r="4">
      <c r="A4" s="63">
        <f>IF(Packages[[#This Row],[원문]]="","",ROW()-3)</f>
        <v/>
      </c>
      <c r="B4" s="63" t="n"/>
      <c r="C4" s="63">
        <f>IF(Packages[[#This Row],[원문]]="","",IFERROR(LEFT(Packages[[#This Row],[원문]],FIND(" ",Packages[[#This Row],[원문]])-1),""))</f>
        <v/>
      </c>
      <c r="D4" s="63">
        <f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f>
        <v/>
      </c>
      <c r="E4" s="63">
        <f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f>
        <v/>
      </c>
      <c r="F4" s="63">
        <f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f>
        <v/>
      </c>
      <c r="G4" s="64">
        <f>IF(Packages[[#This Row],[이름]]="","",IFERROR(VALUE(TRIM(MID(Packages[[#This Row],[원문]],FIND("|",SUBSTITUTE(Packages[[#This Row],[원문]]," ","|",4))+1,20)))/86400+25569+9/24,""))</f>
        <v/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9 구성표</dc:title>
  <dcterms:created xmlns:dcterms="http://purl.org/dc/terms/" xmlns:xsi="http://www.w3.org/2001/XMLSchema-instance" xsi:type="dcterms:W3CDTF">2026-10-04T13:15:04Z</dcterms:created>
  <dcterms:modified xmlns:dcterms="http://purl.org/dc/terms/" xmlns:xsi="http://www.w3.org/2001/XMLSchema-instance" xsi:type="dcterms:W3CDTF">2026-10-08T04:47:59Z</dcterms:modified>
</cp:coreProperties>
</file>