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 정보" sheetId="1" state="visible" r:id="rId1"/>
    <sheet xmlns:r="http://schemas.openxmlformats.org/officeDocument/2006/relationships" name="구성 확인" sheetId="2" state="visible" r:id="rId2"/>
    <sheet xmlns:r="http://schemas.openxmlformats.org/officeDocument/2006/relationships" name="패키지" sheetId="3" state="visible" r:id="rId3"/>
    <sheet xmlns:r="http://schemas.openxmlformats.org/officeDocument/2006/relationships" name="명령 출력" sheetId="4" state="visible" r:id="rId4"/>
  </sheets>
  <definedNames>
    <definedName name="_xlnm._FilterDatabase" localSheetId="1" hidden="1">'구성 확인'!$A$5:$F$89</definedName>
    <definedName name="_xlnm.Print_Titles" localSheetId="1">'구성 확인'!$5:$5</definedName>
    <definedName name="_xlnm._FilterDatabase" localSheetId="2" hidden="1">'패키지'!$A$3:$F$3003</definedName>
    <definedName name="_xlnm.Print_Titles" localSheetId="2">'패키지'!$3:$3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1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10"/>
    </font>
    <font>
      <name val="맑은 고딕"/>
      <b val="1"/>
      <sz val="10"/>
    </font>
    <font>
      <name val="맑은 고딕"/>
      <sz val="9"/>
    </font>
    <font>
      <name val="맑은 고딕"/>
      <color rgb="00595959"/>
      <sz val="9"/>
    </font>
    <font>
      <name val="맑은 고딕"/>
      <sz val="10"/>
    </font>
    <font>
      <name val="Consolas"/>
      <sz val="10"/>
    </font>
    <font>
      <name val="Consolas"/>
      <sz val="9"/>
    </font>
    <font>
      <name val="맑은 고딕"/>
      <color rgb="00404040"/>
      <sz val="9"/>
    </font>
    <font>
      <name val="맑은 고딕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7F7F7F"/>
      </top>
      <bottom style="thin">
        <color rgb="00A6A6A6"/>
      </bottom>
    </border>
    <border/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inden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indent="1"/>
    </xf>
    <xf numFmtId="0" fontId="7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6" fillId="0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 inden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inden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10" fillId="3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 indent="1"/>
    </xf>
    <xf numFmtId="0" fontId="7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9" fillId="3" borderId="3" applyAlignment="1" pivotButton="0" quotePrefix="0" xfId="0">
      <alignment vertical="center" wrapText="1"/>
    </xf>
    <xf numFmtId="0" fontId="5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 indent="1"/>
    </xf>
    <xf numFmtId="0" fontId="7" fillId="4" borderId="3" applyAlignment="1" pivotButton="0" quotePrefix="0" xfId="0">
      <alignment vertical="center" wrapText="1"/>
    </xf>
    <xf numFmtId="0" fontId="10" fillId="4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49" fontId="8" fillId="0" borderId="0" pivotButton="0" quotePrefix="0" xfId="0"/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4" fillId="0" borderId="4" pivotButton="0" quotePrefix="0" xfId="0"/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vertical="top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2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center" vertical="center"/>
    </xf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</cols>
  <sheetData>
    <row r="1" ht="24" customHeight="1">
      <c r="A1" s="1" t="inlineStr">
        <is>
          <t>RHEL 계열 9 구성표</t>
        </is>
      </c>
    </row>
    <row r="3" ht="20" customHeight="1">
      <c r="A3" s="2" t="inlineStr">
        <is>
          <t>No</t>
        </is>
      </c>
      <c r="B3" s="2" t="inlineStr">
        <is>
          <t>항목</t>
        </is>
      </c>
      <c r="C3" s="2" t="inlineStr">
        <is>
          <t>내용</t>
        </is>
      </c>
    </row>
    <row r="4" ht="20" customHeight="1">
      <c r="A4" s="3">
        <f>ROW()-3</f>
        <v/>
      </c>
      <c r="B4" s="46" t="inlineStr">
        <is>
          <t>자산 ID</t>
        </is>
      </c>
      <c r="C4" s="47" t="n"/>
    </row>
    <row r="5" ht="20" customHeight="1">
      <c r="A5" s="3">
        <f>ROW()-3</f>
        <v/>
      </c>
      <c r="B5" s="46" t="inlineStr">
        <is>
          <t>업무·용도</t>
        </is>
      </c>
      <c r="C5" s="47" t="n"/>
    </row>
    <row r="6" ht="20" customHeight="1">
      <c r="A6" s="3">
        <f>ROW()-3</f>
        <v/>
      </c>
      <c r="B6" s="46" t="inlineStr">
        <is>
          <t>호스트명</t>
        </is>
      </c>
      <c r="C6" s="48">
        <f>IF('구성 확인'!E6="","",'구성 확인'!E6)</f>
        <v/>
      </c>
    </row>
    <row r="7" ht="20" customHeight="1">
      <c r="A7" s="3">
        <f>ROW()-3</f>
        <v/>
      </c>
      <c r="B7" s="46" t="inlineStr">
        <is>
          <t>대표 IP</t>
        </is>
      </c>
      <c r="C7" s="47" t="n"/>
    </row>
    <row r="8" ht="20" customHeight="1">
      <c r="A8" s="3">
        <f>ROW()-3</f>
        <v/>
      </c>
      <c r="B8" s="46" t="inlineStr">
        <is>
          <t>설치 형태</t>
        </is>
      </c>
      <c r="C8" s="48">
        <f>IF('구성 확인'!E17="","",IFERROR(INDEX({"물리","VMware","Hyper-V","KVM","Xen"},MATCH(TRIM('구성 확인'!E17),{"none","vmware","microsoft","kvm","xen"},0)),TRIM('구성 확인'!E17)))</f>
        <v/>
      </c>
    </row>
    <row r="9" ht="20" customHeight="1">
      <c r="A9" s="3">
        <f>ROW()-3</f>
        <v/>
      </c>
      <c r="B9" s="46" t="inlineStr">
        <is>
          <t>클러스터</t>
        </is>
      </c>
      <c r="C9" s="47" t="n"/>
    </row>
    <row r="10" ht="20" customHeight="1">
      <c r="A10" s="3">
        <f>ROW()-3</f>
        <v/>
      </c>
      <c r="B10" s="46" t="inlineStr">
        <is>
          <t>장비 모델</t>
        </is>
      </c>
      <c r="C10" s="48">
        <f>IF('구성 확인'!E15="","",'구성 확인'!E15)</f>
        <v/>
      </c>
    </row>
    <row r="11" ht="20" customHeight="1">
      <c r="A11" s="3">
        <f>ROW()-3</f>
        <v/>
      </c>
      <c r="B11" s="46" t="inlineStr">
        <is>
          <t>시리얼번호</t>
        </is>
      </c>
      <c r="C11" s="48">
        <f>IF('구성 확인'!E16="","",'구성 확인'!E16)</f>
        <v/>
      </c>
    </row>
    <row r="12" ht="20" customHeight="1">
      <c r="A12" s="3">
        <f>ROW()-3</f>
        <v/>
      </c>
      <c r="B12" s="46" t="inlineStr">
        <is>
          <t>OS 버전</t>
        </is>
      </c>
      <c r="C12" s="48">
        <f>IF('구성 확인'!E7="","",'구성 확인'!E7)</f>
        <v/>
      </c>
    </row>
    <row r="13" ht="20" customHeight="1">
      <c r="A13" s="3">
        <f>ROW()-3</f>
        <v/>
      </c>
      <c r="B13" s="46" t="inlineStr">
        <is>
          <t>실행 커널</t>
        </is>
      </c>
      <c r="C13" s="48">
        <f>IF('구성 확인'!E9="","",'구성 확인'!E9)</f>
        <v/>
      </c>
    </row>
    <row r="14" ht="20" customHeight="1">
      <c r="A14" s="3">
        <f>ROW()-3</f>
        <v/>
      </c>
      <c r="B14" s="46" t="inlineStr">
        <is>
          <t>CPU 모델</t>
        </is>
      </c>
      <c r="C14" s="48">
        <f>IF('구성 확인'!E18="","",IFERROR(TRIM(MID('구성 확인'!E18,FIND(":",'구성 확인'!E18)+1,200)),'구성 확인'!E18))</f>
        <v/>
      </c>
    </row>
    <row r="15" ht="20" customHeight="1">
      <c r="A15" s="3">
        <f>ROW()-3</f>
        <v/>
      </c>
      <c r="B15" s="46" t="inlineStr">
        <is>
          <t>CPU 소켓 수</t>
        </is>
      </c>
      <c r="C15" s="48">
        <f>IF('구성 확인'!E19="","",'구성 확인'!E19)</f>
        <v/>
      </c>
    </row>
    <row r="16" ht="20" customHeight="1">
      <c r="A16" s="3">
        <f>ROW()-3</f>
        <v/>
      </c>
      <c r="B16" s="46" t="inlineStr">
        <is>
          <t>소켓당 코어 수</t>
        </is>
      </c>
      <c r="C16" s="48">
        <f>IF('구성 확인'!E20="","",'구성 확인'!E20)</f>
        <v/>
      </c>
    </row>
    <row r="17" ht="20" customHeight="1">
      <c r="A17" s="3">
        <f>ROW()-3</f>
        <v/>
      </c>
      <c r="B17" s="46" t="inlineStr">
        <is>
          <t>물리 코어 수</t>
        </is>
      </c>
      <c r="C17" s="48">
        <f>IF('구성 확인'!E21="","",'구성 확인'!E21)</f>
        <v/>
      </c>
    </row>
    <row r="18" ht="20" customHeight="1">
      <c r="A18" s="3">
        <f>ROW()-3</f>
        <v/>
      </c>
      <c r="B18" s="46" t="inlineStr">
        <is>
          <t>논리 CPU 수</t>
        </is>
      </c>
      <c r="C18" s="48">
        <f>IF('구성 확인'!E22="","",'구성 확인'!E22)</f>
        <v/>
      </c>
    </row>
    <row r="19" ht="20" customHeight="1">
      <c r="A19" s="3">
        <f>ROW()-3</f>
        <v/>
      </c>
      <c r="B19" s="46" t="inlineStr">
        <is>
          <t>하이퍼스레딩</t>
        </is>
      </c>
      <c r="C19" s="48">
        <f>IF('구성 확인'!E23="","",'구성 확인'!E23)</f>
        <v/>
      </c>
    </row>
    <row r="20" ht="20" customHeight="1">
      <c r="A20" s="3">
        <f>ROW()-3</f>
        <v/>
      </c>
      <c r="B20" s="46" t="inlineStr">
        <is>
          <t>OS 인식 메모리 (MiB)</t>
        </is>
      </c>
      <c r="C20" s="48">
        <f>IF('구성 확인'!E24="","",'구성 확인'!E24)</f>
        <v/>
      </c>
    </row>
    <row r="21" ht="60" customHeight="1">
      <c r="A21" s="3">
        <f>ROW()-3</f>
        <v/>
      </c>
      <c r="B21" s="46" t="inlineStr">
        <is>
          <t>참고</t>
        </is>
      </c>
      <c r="C21" s="47" t="n"/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62" customWidth="1" min="4" max="4"/>
    <col width="46" customWidth="1" min="5" max="5"/>
    <col width="26" customWidth="1" min="6" max="6"/>
  </cols>
  <sheetData>
    <row r="1" ht="24" customHeight="1">
      <c r="A1" s="1" t="inlineStr">
        <is>
          <t>RHEL 계열 9 구성 확인</t>
        </is>
      </c>
      <c r="F1" s="7" t="inlineStr">
        <is>
          <t>수식</t>
        </is>
      </c>
    </row>
    <row r="2">
      <c r="B2" s="8" t="inlineStr">
        <is>
          <t>호스트명</t>
        </is>
      </c>
      <c r="C2" s="9">
        <f>IF(E6="","",E6)</f>
        <v/>
      </c>
      <c r="F2" s="10" t="inlineStr">
        <is>
          <t>해당 없음</t>
        </is>
      </c>
    </row>
    <row r="3">
      <c r="B3" s="8" t="inlineStr">
        <is>
          <t>확인일</t>
        </is>
      </c>
      <c r="C3" s="11" t="n"/>
      <c r="F3" s="49" t="n"/>
    </row>
    <row r="5" ht="20" customHeight="1">
      <c r="A5" s="2" t="inlineStr">
        <is>
          <t>No</t>
        </is>
      </c>
      <c r="B5" s="2" t="inlineStr">
        <is>
          <t>구분</t>
        </is>
      </c>
      <c r="C5" s="2" t="inlineStr">
        <is>
          <t>항목</t>
        </is>
      </c>
      <c r="D5" s="2" t="inlineStr">
        <is>
          <t>명령</t>
        </is>
      </c>
      <c r="E5" s="2" t="inlineStr">
        <is>
          <t>결과</t>
        </is>
      </c>
      <c r="F5" s="2" t="inlineStr">
        <is>
          <t>비고</t>
        </is>
      </c>
    </row>
    <row r="6">
      <c r="A6" s="50">
        <f>ROW()-5</f>
        <v/>
      </c>
      <c r="B6" s="50" t="inlineStr">
        <is>
          <t>기본</t>
        </is>
      </c>
      <c r="C6" s="51" t="inlineStr">
        <is>
          <t>호스트명</t>
        </is>
      </c>
      <c r="D6" s="52" t="inlineStr">
        <is>
          <t>hostname</t>
        </is>
      </c>
      <c r="E6" s="53" t="n"/>
      <c r="F6" s="54" t="n"/>
    </row>
    <row r="7">
      <c r="A7" s="50">
        <f>ROW()-5</f>
        <v/>
      </c>
      <c r="B7" s="50" t="inlineStr">
        <is>
          <t>기본</t>
        </is>
      </c>
      <c r="C7" s="51" t="inlineStr">
        <is>
          <t>OS 버전</t>
        </is>
      </c>
      <c r="D7" s="52" t="inlineStr">
        <is>
          <t>cat /etc/redhat-release</t>
        </is>
      </c>
      <c r="E7" s="53" t="n"/>
      <c r="F7" s="54" t="n"/>
    </row>
    <row r="8">
      <c r="A8" s="50">
        <f>ROW()-5</f>
        <v/>
      </c>
      <c r="B8" s="50" t="inlineStr">
        <is>
          <t>기본</t>
        </is>
      </c>
      <c r="C8" s="51" t="inlineStr">
        <is>
          <t>OS 설치일</t>
        </is>
      </c>
      <c r="D8" s="52" t="inlineStr">
        <is>
          <t>stat -c %w /</t>
        </is>
      </c>
      <c r="E8" s="53" t="n"/>
      <c r="F8" s="54" t="inlineStr">
        <is>
          <t>VM 템플릿 배포는 템플릿 생성일</t>
        </is>
      </c>
    </row>
    <row r="9">
      <c r="A9" s="50">
        <f>ROW()-5</f>
        <v/>
      </c>
      <c r="B9" s="50" t="inlineStr">
        <is>
          <t>기본</t>
        </is>
      </c>
      <c r="C9" s="51" t="inlineStr">
        <is>
          <t>실행 커널</t>
        </is>
      </c>
      <c r="D9" s="52" t="inlineStr">
        <is>
          <t>uname -r</t>
        </is>
      </c>
      <c r="E9" s="53" t="n"/>
      <c r="F9" s="54" t="n"/>
    </row>
    <row r="10">
      <c r="A10" s="50">
        <f>ROW()-5</f>
        <v/>
      </c>
      <c r="B10" s="50" t="inlineStr">
        <is>
          <t>기본</t>
        </is>
      </c>
      <c r="C10" s="51" t="inlineStr">
        <is>
          <t>설치된 커널</t>
        </is>
      </c>
      <c r="D10" s="52" t="inlineStr">
        <is>
          <t>rpm -q kernel</t>
        </is>
      </c>
      <c r="E10" s="53" t="n"/>
      <c r="F10" s="54" t="inlineStr">
        <is>
          <t>실행 커널보다 최신이면 재부팅 필요</t>
        </is>
      </c>
    </row>
    <row r="11">
      <c r="A11" s="50">
        <f>ROW()-5</f>
        <v/>
      </c>
      <c r="B11" s="50" t="inlineStr">
        <is>
          <t>기본</t>
        </is>
      </c>
      <c r="C11" s="51" t="inlineStr">
        <is>
          <t>아키텍처</t>
        </is>
      </c>
      <c r="D11" s="52" t="inlineStr">
        <is>
          <t>uname -m</t>
        </is>
      </c>
      <c r="E11" s="53" t="n"/>
      <c r="F11" s="54" t="n"/>
    </row>
    <row r="12">
      <c r="A12" s="50">
        <f>ROW()-5</f>
        <v/>
      </c>
      <c r="B12" s="50" t="inlineStr">
        <is>
          <t>기본</t>
        </is>
      </c>
      <c r="C12" s="51" t="inlineStr">
        <is>
          <t>부팅 방식</t>
        </is>
      </c>
      <c r="D12" s="52" t="inlineStr">
        <is>
          <t>ls /sys/firmware/efi</t>
        </is>
      </c>
      <c r="E12" s="53" t="n"/>
      <c r="F12" s="54" t="inlineStr">
        <is>
          <t>경로가 있으면 UEFI</t>
        </is>
      </c>
    </row>
    <row r="13">
      <c r="A13" s="50">
        <f>ROW()-5</f>
        <v/>
      </c>
      <c r="B13" s="50" t="inlineStr">
        <is>
          <t>기본</t>
        </is>
      </c>
      <c r="C13" s="51" t="inlineStr">
        <is>
          <t>부팅 옵션</t>
        </is>
      </c>
      <c r="D13" s="52" t="inlineStr">
        <is>
          <t>cat /proc/cmdline</t>
        </is>
      </c>
      <c r="E13" s="53" t="n"/>
      <c r="F13" s="54" t="n"/>
    </row>
    <row r="14">
      <c r="A14" s="50">
        <f>ROW()-5</f>
        <v/>
      </c>
      <c r="B14" s="50" t="inlineStr">
        <is>
          <t>기본</t>
        </is>
      </c>
      <c r="C14" s="51" t="inlineStr">
        <is>
          <t>마지막 부팅</t>
        </is>
      </c>
      <c r="D14" s="52" t="inlineStr">
        <is>
          <t>who -b</t>
        </is>
      </c>
      <c r="E14" s="53" t="n"/>
      <c r="F14" s="54" t="n"/>
    </row>
    <row r="15">
      <c r="A15" s="50">
        <f>ROW()-5</f>
        <v/>
      </c>
      <c r="B15" s="50" t="inlineStr">
        <is>
          <t>기본</t>
        </is>
      </c>
      <c r="C15" s="51" t="inlineStr">
        <is>
          <t>장비 모델</t>
        </is>
      </c>
      <c r="D15" s="52" t="inlineStr">
        <is>
          <t>cat /sys/class/dmi/id/product_name</t>
        </is>
      </c>
      <c r="E15" s="53" t="n"/>
      <c r="F15" s="54" t="n"/>
    </row>
    <row r="16">
      <c r="A16" s="50">
        <f>ROW()-5</f>
        <v/>
      </c>
      <c r="B16" s="50" t="inlineStr">
        <is>
          <t>기본</t>
        </is>
      </c>
      <c r="C16" s="51" t="inlineStr">
        <is>
          <t>시리얼번호</t>
        </is>
      </c>
      <c r="D16" s="52" t="inlineStr">
        <is>
          <t>cat /sys/class/dmi/id/product_serial</t>
        </is>
      </c>
      <c r="E16" s="53" t="n"/>
      <c r="F16" s="54" t="n"/>
    </row>
    <row r="17">
      <c r="A17" s="50">
        <f>ROW()-5</f>
        <v/>
      </c>
      <c r="B17" s="50" t="inlineStr">
        <is>
          <t>기본</t>
        </is>
      </c>
      <c r="C17" s="51" t="inlineStr">
        <is>
          <t>가상화</t>
        </is>
      </c>
      <c r="D17" s="52" t="inlineStr">
        <is>
          <t>systemd-detect-virt</t>
        </is>
      </c>
      <c r="E17" s="53" t="n"/>
      <c r="F17" s="54" t="inlineStr">
        <is>
          <t>none이면 물리</t>
        </is>
      </c>
    </row>
    <row r="18">
      <c r="A18" s="50">
        <f>ROW()-5</f>
        <v/>
      </c>
      <c r="B18" s="50" t="inlineStr">
        <is>
          <t>CPU·메모리</t>
        </is>
      </c>
      <c r="C18" s="51" t="inlineStr">
        <is>
          <t>CPU 모델</t>
        </is>
      </c>
      <c r="D18" s="52" t="inlineStr">
        <is>
          <t>cat /proc/cpuinfo | grep -i 'model name' | uniq</t>
        </is>
      </c>
      <c r="E18" s="53" t="n"/>
      <c r="F18" s="54" t="n"/>
    </row>
    <row r="19">
      <c r="A19" s="50">
        <f>ROW()-5</f>
        <v/>
      </c>
      <c r="B19" s="50" t="inlineStr">
        <is>
          <t>CPU·메모리</t>
        </is>
      </c>
      <c r="C19" s="51" t="inlineStr">
        <is>
          <t>CPU 소켓 수</t>
        </is>
      </c>
      <c r="D19" s="52" t="inlineStr">
        <is>
          <t>cat /proc/cpuinfo | grep 'physical id' | sort -u | wc -l</t>
        </is>
      </c>
      <c r="E19" s="53" t="n"/>
      <c r="F19" s="54" t="inlineStr">
        <is>
          <t>숫자만</t>
        </is>
      </c>
    </row>
    <row r="20">
      <c r="A20" s="50">
        <f>ROW()-5</f>
        <v/>
      </c>
      <c r="B20" s="50" t="inlineStr">
        <is>
          <t>CPU·메모리</t>
        </is>
      </c>
      <c r="C20" s="51" t="inlineStr">
        <is>
          <t>소켓당 코어 수</t>
        </is>
      </c>
      <c r="D20" s="52" t="inlineStr">
        <is>
          <t>cat /proc/cpuinfo | grep -i 'cpu cores' | uniq</t>
        </is>
      </c>
      <c r="E20" s="53" t="n"/>
      <c r="F20" s="54" t="inlineStr">
        <is>
          <t>숫자만</t>
        </is>
      </c>
    </row>
    <row r="21">
      <c r="A21" s="50">
        <f>ROW()-5</f>
        <v/>
      </c>
      <c r="B21" s="50" t="inlineStr">
        <is>
          <t>CPU·메모리</t>
        </is>
      </c>
      <c r="C21" s="51" t="inlineStr">
        <is>
          <t>물리 코어 수</t>
        </is>
      </c>
      <c r="D21" s="55" t="inlineStr">
        <is>
          <t>CPU 소켓 수 × 소켓당 코어 수</t>
        </is>
      </c>
      <c r="E21" s="56">
        <f>IF(COUNT(E19,E20)=2,E19*E20,"")</f>
        <v/>
      </c>
      <c r="F21" s="54" t="inlineStr">
        <is>
          <t>수식</t>
        </is>
      </c>
    </row>
    <row r="22">
      <c r="A22" s="50">
        <f>ROW()-5</f>
        <v/>
      </c>
      <c r="B22" s="50" t="inlineStr">
        <is>
          <t>CPU·메모리</t>
        </is>
      </c>
      <c r="C22" s="51" t="inlineStr">
        <is>
          <t>논리 CPU 수</t>
        </is>
      </c>
      <c r="D22" s="52" t="inlineStr">
        <is>
          <t>cat /proc/cpuinfo | grep -i '^processor' | wc -l</t>
        </is>
      </c>
      <c r="E22" s="53" t="n"/>
      <c r="F22" s="54" t="inlineStr">
        <is>
          <t>숫자만</t>
        </is>
      </c>
    </row>
    <row r="23">
      <c r="A23" s="50">
        <f>ROW()-5</f>
        <v/>
      </c>
      <c r="B23" s="50" t="inlineStr">
        <is>
          <t>CPU·메모리</t>
        </is>
      </c>
      <c r="C23" s="51" t="inlineStr">
        <is>
          <t>하이퍼스레딩</t>
        </is>
      </c>
      <c r="D23" s="55" t="inlineStr">
        <is>
          <t>논리 CPU 수 = 물리 코어 수 × 2</t>
        </is>
      </c>
      <c r="E23" s="56">
        <f>IF(COUNT(E21,E22)=2,IF(E22=E21*2,"사용","미사용"),"")</f>
        <v/>
      </c>
      <c r="F23" s="54" t="inlineStr">
        <is>
          <t>수식</t>
        </is>
      </c>
    </row>
    <row r="24">
      <c r="A24" s="50">
        <f>ROW()-5</f>
        <v/>
      </c>
      <c r="B24" s="50" t="inlineStr">
        <is>
          <t>CPU·메모리</t>
        </is>
      </c>
      <c r="C24" s="51" t="inlineStr">
        <is>
          <t>OS 인식 메모리 (MiB)</t>
        </is>
      </c>
      <c r="D24" s="52" t="inlineStr">
        <is>
          <t>free -m</t>
        </is>
      </c>
      <c r="E24" s="53" t="n"/>
      <c r="F24" s="54" t="inlineStr">
        <is>
          <t>Mem total, 숫자만</t>
        </is>
      </c>
    </row>
    <row r="25">
      <c r="A25" s="50">
        <f>ROW()-5</f>
        <v/>
      </c>
      <c r="B25" s="50" t="inlineStr">
        <is>
          <t>CPU·메모리</t>
        </is>
      </c>
      <c r="C25" s="51" t="inlineStr">
        <is>
          <t>물리 메모리</t>
        </is>
      </c>
      <c r="D25" s="52" t="inlineStr">
        <is>
          <t>dmidecode -t memory | grep -i size | egrep -v 'No Module|Cache|Logical|Volatile'</t>
        </is>
      </c>
      <c r="E25" s="53" t="n"/>
      <c r="F25" s="54" t="inlineStr">
        <is>
          <t>물리 서버</t>
        </is>
      </c>
    </row>
    <row r="26">
      <c r="A26" s="50">
        <f>ROW()-5</f>
        <v/>
      </c>
      <c r="B26" s="50" t="inlineStr">
        <is>
          <t>CPU·메모리</t>
        </is>
      </c>
      <c r="C26" s="51" t="inlineStr">
        <is>
          <t>GPU</t>
        </is>
      </c>
      <c r="D26" s="52" t="inlineStr">
        <is>
          <t>nvidia-smi -L</t>
        </is>
      </c>
      <c r="E26" s="53" t="n"/>
      <c r="F26" s="54" t="inlineStr">
        <is>
          <t>GPU 서버</t>
        </is>
      </c>
    </row>
    <row r="27">
      <c r="A27" s="50">
        <f>ROW()-5</f>
        <v/>
      </c>
      <c r="B27" s="50" t="inlineStr">
        <is>
          <t>시간</t>
        </is>
      </c>
      <c r="C27" s="51" t="inlineStr">
        <is>
          <t>시간대</t>
        </is>
      </c>
      <c r="D27" s="52" t="inlineStr">
        <is>
          <t>timedatectl | grep 'Time zone'</t>
        </is>
      </c>
      <c r="E27" s="53" t="n"/>
      <c r="F27" s="54" t="n"/>
    </row>
    <row r="28">
      <c r="A28" s="50">
        <f>ROW()-5</f>
        <v/>
      </c>
      <c r="B28" s="50" t="inlineStr">
        <is>
          <t>시간</t>
        </is>
      </c>
      <c r="C28" s="51" t="inlineStr">
        <is>
          <t>시간 동기화 여부</t>
        </is>
      </c>
      <c r="D28" s="52" t="inlineStr">
        <is>
          <t>timedatectl | egrep 'synchronized|NTP'</t>
        </is>
      </c>
      <c r="E28" s="53" t="n"/>
      <c r="F28" s="54" t="n"/>
    </row>
    <row r="29">
      <c r="A29" s="50">
        <f>ROW()-5</f>
        <v/>
      </c>
      <c r="B29" s="50" t="inlineStr">
        <is>
          <t>시간</t>
        </is>
      </c>
      <c r="C29" s="51" t="inlineStr">
        <is>
          <t>타임 서버 (chrony)</t>
        </is>
      </c>
      <c r="D29" s="52" t="inlineStr">
        <is>
          <t>chronyc sources -v</t>
        </is>
      </c>
      <c r="E29" s="53" t="n"/>
      <c r="F29" s="54" t="inlineStr">
        <is>
          <t>* 표시가 동기 서버</t>
        </is>
      </c>
    </row>
    <row r="30">
      <c r="A30" s="50">
        <f>ROW()-5</f>
        <v/>
      </c>
      <c r="B30" s="50" t="inlineStr">
        <is>
          <t>네트워크</t>
        </is>
      </c>
      <c r="C30" s="51" t="inlineStr">
        <is>
          <t>IP 주소</t>
        </is>
      </c>
      <c r="D30" s="52" t="inlineStr">
        <is>
          <t>ip -br addr</t>
        </is>
      </c>
      <c r="E30" s="53" t="n"/>
      <c r="F30" s="54" t="n"/>
    </row>
    <row r="31">
      <c r="A31" s="50">
        <f>ROW()-5</f>
        <v/>
      </c>
      <c r="B31" s="50" t="inlineStr">
        <is>
          <t>네트워크</t>
        </is>
      </c>
      <c r="C31" s="51" t="inlineStr">
        <is>
          <t>MAC 주소</t>
        </is>
      </c>
      <c r="D31" s="52" t="inlineStr">
        <is>
          <t>ip -br link</t>
        </is>
      </c>
      <c r="E31" s="53" t="n"/>
      <c r="F31" s="54" t="n"/>
    </row>
    <row r="32">
      <c r="A32" s="50">
        <f>ROW()-5</f>
        <v/>
      </c>
      <c r="B32" s="50" t="inlineStr">
        <is>
          <t>네트워크</t>
        </is>
      </c>
      <c r="C32" s="51" t="inlineStr">
        <is>
          <t>MTU</t>
        </is>
      </c>
      <c r="D32" s="52" t="inlineStr">
        <is>
          <t>ip link | grep mtu</t>
        </is>
      </c>
      <c r="E32" s="53" t="n"/>
      <c r="F32" s="54" t="n"/>
    </row>
    <row r="33">
      <c r="A33" s="50">
        <f>ROW()-5</f>
        <v/>
      </c>
      <c r="B33" s="50" t="inlineStr">
        <is>
          <t>네트워크</t>
        </is>
      </c>
      <c r="C33" s="51" t="inlineStr">
        <is>
          <t>본딩 상태</t>
        </is>
      </c>
      <c r="D33" s="52" t="inlineStr">
        <is>
          <t>tail -v -n +1 /proc/net/bonding/*</t>
        </is>
      </c>
      <c r="E33" s="53" t="n"/>
      <c r="F33" s="54" t="inlineStr">
        <is>
          <t>본딩 사용 시</t>
        </is>
      </c>
    </row>
    <row r="34">
      <c r="A34" s="50">
        <f>ROW()-5</f>
        <v/>
      </c>
      <c r="B34" s="50" t="inlineStr">
        <is>
          <t>네트워크</t>
        </is>
      </c>
      <c r="C34" s="51" t="inlineStr">
        <is>
          <t>IPv4 경로</t>
        </is>
      </c>
      <c r="D34" s="52" t="inlineStr">
        <is>
          <t>ip route</t>
        </is>
      </c>
      <c r="E34" s="53" t="n"/>
      <c r="F34" s="54" t="n"/>
    </row>
    <row r="35">
      <c r="A35" s="50">
        <f>ROW()-5</f>
        <v/>
      </c>
      <c r="B35" s="50" t="inlineStr">
        <is>
          <t>네트워크</t>
        </is>
      </c>
      <c r="C35" s="51" t="inlineStr">
        <is>
          <t>DNS 서버·도메인</t>
        </is>
      </c>
      <c r="D35" s="52" t="inlineStr">
        <is>
          <t>cat /etc/resolv.conf</t>
        </is>
      </c>
      <c r="E35" s="53" t="n"/>
      <c r="F35" s="54" t="n"/>
    </row>
    <row r="36">
      <c r="A36" s="50">
        <f>ROW()-5</f>
        <v/>
      </c>
      <c r="B36" s="50" t="inlineStr">
        <is>
          <t>네트워크</t>
        </is>
      </c>
      <c r="C36" s="51" t="inlineStr">
        <is>
          <t>호스트 파일</t>
        </is>
      </c>
      <c r="D36" s="52" t="inlineStr">
        <is>
          <t>cat /etc/hosts</t>
        </is>
      </c>
      <c r="E36" s="53" t="n"/>
      <c r="F36" s="54" t="n"/>
    </row>
    <row r="37">
      <c r="A37" s="50">
        <f>ROW()-5</f>
        <v/>
      </c>
      <c r="B37" s="50" t="inlineStr">
        <is>
          <t>네트워크</t>
        </is>
      </c>
      <c r="C37" s="51" t="inlineStr">
        <is>
          <t>네트워크 연결</t>
        </is>
      </c>
      <c r="D37" s="52" t="inlineStr">
        <is>
          <t>nmcli connection show</t>
        </is>
      </c>
      <c r="E37" s="53" t="n"/>
      <c r="F37" s="54" t="n"/>
    </row>
    <row r="38">
      <c r="A38" s="50">
        <f>ROW()-5</f>
        <v/>
      </c>
      <c r="B38" s="50" t="inlineStr">
        <is>
          <t>네트워크</t>
        </is>
      </c>
      <c r="C38" s="51" t="inlineStr">
        <is>
          <t>저장된 네트워크 설정</t>
        </is>
      </c>
      <c r="D38" s="52" t="inlineStr">
        <is>
          <t>tail -v -n +1 /etc/NetworkManager/system-connections/*.nmconnection</t>
        </is>
      </c>
      <c r="E38" s="53" t="n"/>
      <c r="F38" s="54" t="inlineStr">
        <is>
          <t>ifcfg 형식이면 /etc/sysconfig/network-scripts</t>
        </is>
      </c>
    </row>
    <row r="39">
      <c r="A39" s="50">
        <f>ROW()-5</f>
        <v/>
      </c>
      <c r="B39" s="50" t="inlineStr">
        <is>
          <t>네트워크</t>
        </is>
      </c>
      <c r="C39" s="51" t="inlineStr">
        <is>
          <t>링 버퍼 (RX/TX)</t>
        </is>
      </c>
      <c r="D39" s="52" t="inlineStr">
        <is>
          <t>ethtool -g &lt;인터페이스&gt;</t>
        </is>
      </c>
      <c r="E39" s="53" t="n"/>
      <c r="F39" s="54" t="inlineStr">
        <is>
          <t>조정한 경우</t>
        </is>
      </c>
    </row>
    <row r="40">
      <c r="A40" s="50">
        <f>ROW()-5</f>
        <v/>
      </c>
      <c r="B40" s="50" t="inlineStr">
        <is>
          <t>디스크</t>
        </is>
      </c>
      <c r="C40" s="51" t="inlineStr">
        <is>
          <t>장치와 파일시스템</t>
        </is>
      </c>
      <c r="D40" s="52" t="inlineStr">
        <is>
          <t>lsblk -o NAME,TYPE,SIZE,FSTYPE,UUID,MOUNTPOINT,WWN</t>
        </is>
      </c>
      <c r="E40" s="53" t="n"/>
      <c r="F40" s="54" t="n"/>
    </row>
    <row r="41">
      <c r="A41" s="50">
        <f>ROW()-5</f>
        <v/>
      </c>
      <c r="B41" s="50" t="inlineStr">
        <is>
          <t>디스크</t>
        </is>
      </c>
      <c r="C41" s="51" t="inlineStr">
        <is>
          <t>파일시스템 사용량</t>
        </is>
      </c>
      <c r="D41" s="52" t="inlineStr">
        <is>
          <t>df -hTl -x tmpfs -x devtmpfs -x overlay -x squashfs</t>
        </is>
      </c>
      <c r="E41" s="53" t="n"/>
      <c r="F41" s="54" t="n"/>
    </row>
    <row r="42">
      <c r="A42" s="50">
        <f>ROW()-5</f>
        <v/>
      </c>
      <c r="B42" s="50" t="inlineStr">
        <is>
          <t>디스크</t>
        </is>
      </c>
      <c r="C42" s="51" t="inlineStr">
        <is>
          <t>현재 마운트</t>
        </is>
      </c>
      <c r="D42" s="52" t="inlineStr">
        <is>
          <t>findmnt -t ext4,xfs,nfs,nfs4,cifs -o TARGET,SOURCE,FSTYPE,OPTIONS</t>
        </is>
      </c>
      <c r="E42" s="53" t="n"/>
      <c r="F42" s="54" t="n"/>
    </row>
    <row r="43">
      <c r="A43" s="50">
        <f>ROW()-5</f>
        <v/>
      </c>
      <c r="B43" s="50" t="inlineStr">
        <is>
          <t>디스크</t>
        </is>
      </c>
      <c r="C43" s="51" t="inlineStr">
        <is>
          <t>저장된 마운트</t>
        </is>
      </c>
      <c r="D43" s="52" t="inlineStr">
        <is>
          <t>cat /etc/fstab</t>
        </is>
      </c>
      <c r="E43" s="53" t="n"/>
      <c r="F43" s="54" t="n"/>
    </row>
    <row r="44">
      <c r="A44" s="50">
        <f>ROW()-5</f>
        <v/>
      </c>
      <c r="B44" s="50" t="inlineStr">
        <is>
          <t>디스크</t>
        </is>
      </c>
      <c r="C44" s="51" t="inlineStr">
        <is>
          <t>스왑</t>
        </is>
      </c>
      <c r="D44" s="52" t="inlineStr">
        <is>
          <t>cat /proc/swaps</t>
        </is>
      </c>
      <c r="E44" s="53" t="n"/>
      <c r="F44" s="54" t="n"/>
    </row>
    <row r="45">
      <c r="A45" s="50">
        <f>ROW()-5</f>
        <v/>
      </c>
      <c r="B45" s="50" t="inlineStr">
        <is>
          <t>디스크</t>
        </is>
      </c>
      <c r="C45" s="51" t="inlineStr">
        <is>
          <t>LVM-PV</t>
        </is>
      </c>
      <c r="D45" s="52" t="inlineStr">
        <is>
          <t>pvs</t>
        </is>
      </c>
      <c r="E45" s="53" t="n"/>
      <c r="F45" s="54" t="inlineStr">
        <is>
          <t>LVM 사용 시</t>
        </is>
      </c>
    </row>
    <row r="46">
      <c r="A46" s="50">
        <f>ROW()-5</f>
        <v/>
      </c>
      <c r="B46" s="50" t="inlineStr">
        <is>
          <t>디스크</t>
        </is>
      </c>
      <c r="C46" s="51" t="inlineStr">
        <is>
          <t>LVM-VG</t>
        </is>
      </c>
      <c r="D46" s="52" t="inlineStr">
        <is>
          <t>vgs</t>
        </is>
      </c>
      <c r="E46" s="53" t="n"/>
      <c r="F46" s="54" t="n"/>
    </row>
    <row r="47">
      <c r="A47" s="50">
        <f>ROW()-5</f>
        <v/>
      </c>
      <c r="B47" s="50" t="inlineStr">
        <is>
          <t>디스크</t>
        </is>
      </c>
      <c r="C47" s="51" t="inlineStr">
        <is>
          <t>LVM-LV</t>
        </is>
      </c>
      <c r="D47" s="52" t="inlineStr">
        <is>
          <t>lvs -a -o +devices</t>
        </is>
      </c>
      <c r="E47" s="53" t="n"/>
      <c r="F47" s="54" t="n"/>
    </row>
    <row r="48">
      <c r="A48" s="50">
        <f>ROW()-5</f>
        <v/>
      </c>
      <c r="B48" s="50" t="inlineStr">
        <is>
          <t>디스크</t>
        </is>
      </c>
      <c r="C48" s="51" t="inlineStr">
        <is>
          <t>SCSI 호스트</t>
        </is>
      </c>
      <c r="D48" s="52" t="inlineStr">
        <is>
          <t>lsscsi -H</t>
        </is>
      </c>
      <c r="E48" s="53" t="n"/>
      <c r="F48" s="54" t="inlineStr">
        <is>
          <t>lsscsi 패키지</t>
        </is>
      </c>
    </row>
    <row r="49">
      <c r="A49" s="50">
        <f>ROW()-5</f>
        <v/>
      </c>
      <c r="B49" s="50" t="inlineStr">
        <is>
          <t>디스크</t>
        </is>
      </c>
      <c r="C49" s="51" t="inlineStr">
        <is>
          <t>SCSI 장치</t>
        </is>
      </c>
      <c r="D49" s="52" t="inlineStr">
        <is>
          <t>lsscsi -is</t>
        </is>
      </c>
      <c r="E49" s="53" t="n"/>
      <c r="F49" s="54" t="inlineStr">
        <is>
          <t>lsscsi 패키지</t>
        </is>
      </c>
    </row>
    <row r="50">
      <c r="A50" s="50">
        <f>ROW()-5</f>
        <v/>
      </c>
      <c r="B50" s="50" t="inlineStr">
        <is>
          <t>SAN</t>
        </is>
      </c>
      <c r="C50" s="51" t="inlineStr">
        <is>
          <t>HBA 포트 (WWPN·상태·유형)</t>
        </is>
      </c>
      <c r="D50" s="52" t="inlineStr">
        <is>
          <t>grep . /sys/class/fc_host/host*/port_{name,state,type}</t>
        </is>
      </c>
      <c r="E50" s="53" t="n"/>
      <c r="F50" s="54" t="inlineStr">
        <is>
          <t>SAN 사용 시</t>
        </is>
      </c>
    </row>
    <row r="51">
      <c r="A51" s="50">
        <f>ROW()-5</f>
        <v/>
      </c>
      <c r="B51" s="50" t="inlineStr">
        <is>
          <t>SAN</t>
        </is>
      </c>
      <c r="C51" s="51" t="inlineStr">
        <is>
          <t>멀티패스 상태</t>
        </is>
      </c>
      <c r="D51" s="52" t="inlineStr">
        <is>
          <t>multipath -ll</t>
        </is>
      </c>
      <c r="E51" s="53" t="n"/>
      <c r="F51" s="54" t="n"/>
    </row>
    <row r="52">
      <c r="A52" s="50">
        <f>ROW()-5</f>
        <v/>
      </c>
      <c r="B52" s="50" t="inlineStr">
        <is>
          <t>SAN</t>
        </is>
      </c>
      <c r="C52" s="51" t="inlineStr">
        <is>
          <t>멀티패스 설정</t>
        </is>
      </c>
      <c r="D52" s="52" t="inlineStr">
        <is>
          <t>cat /etc/multipath.conf</t>
        </is>
      </c>
      <c r="E52" s="53" t="n"/>
      <c r="F52" s="54" t="n"/>
    </row>
    <row r="53">
      <c r="A53" s="50">
        <f>ROW()-5</f>
        <v/>
      </c>
      <c r="B53" s="50" t="inlineStr">
        <is>
          <t>SAN</t>
        </is>
      </c>
      <c r="C53" s="51" t="inlineStr">
        <is>
          <t>멀티패스 이름 매핑</t>
        </is>
      </c>
      <c r="D53" s="52" t="inlineStr">
        <is>
          <t>cat /etc/multipath/bindings</t>
        </is>
      </c>
      <c r="E53" s="53" t="n"/>
      <c r="F53" s="54" t="n"/>
    </row>
    <row r="54">
      <c r="A54" s="50">
        <f>ROW()-5</f>
        <v/>
      </c>
      <c r="B54" s="50" t="inlineStr">
        <is>
          <t>계정·접근</t>
        </is>
      </c>
      <c r="C54" s="51" t="inlineStr">
        <is>
          <t>로그인 가능 계정</t>
        </is>
      </c>
      <c r="D54" s="52" t="inlineStr">
        <is>
          <t>getent passwd | egrep -v 'nologin|/bin/false|/bin/sync'</t>
        </is>
      </c>
      <c r="E54" s="53" t="n"/>
      <c r="F54" s="54" t="n"/>
    </row>
    <row r="55">
      <c r="A55" s="50">
        <f>ROW()-5</f>
        <v/>
      </c>
      <c r="B55" s="50" t="inlineStr">
        <is>
          <t>계정·접근</t>
        </is>
      </c>
      <c r="C55" s="51" t="inlineStr">
        <is>
          <t>관리자 그룹</t>
        </is>
      </c>
      <c r="D55" s="52" t="inlineStr">
        <is>
          <t>getent group wheel</t>
        </is>
      </c>
      <c r="E55" s="53" t="n"/>
      <c r="F55" s="54" t="n"/>
    </row>
    <row r="56">
      <c r="A56" s="50">
        <f>ROW()-5</f>
        <v/>
      </c>
      <c r="B56" s="50" t="inlineStr">
        <is>
          <t>계정·접근</t>
        </is>
      </c>
      <c r="C56" s="51" t="inlineStr">
        <is>
          <t>SSH 설정</t>
        </is>
      </c>
      <c r="D56" s="52" t="inlineStr">
        <is>
          <t>sshd -T | egrep -i '^(port|permitrootlogin|passwordauthentication|allowusers)'</t>
        </is>
      </c>
      <c r="E56" s="53" t="n"/>
      <c r="F56" s="54" t="inlineStr">
        <is>
          <t>allowusers 없으면 미설정</t>
        </is>
      </c>
    </row>
    <row r="57">
      <c r="A57" s="50">
        <f>ROW()-5</f>
        <v/>
      </c>
      <c r="B57" s="50" t="inlineStr">
        <is>
          <t>계정·접근</t>
        </is>
      </c>
      <c r="C57" s="51" t="inlineStr">
        <is>
          <t>방화벽 실행</t>
        </is>
      </c>
      <c r="D57" s="52" t="inlineStr">
        <is>
          <t>systemctl is-active firewalld</t>
        </is>
      </c>
      <c r="E57" s="53" t="n"/>
      <c r="F57" s="54" t="n"/>
    </row>
    <row r="58">
      <c r="A58" s="50">
        <f>ROW()-5</f>
        <v/>
      </c>
      <c r="B58" s="50" t="inlineStr">
        <is>
          <t>계정·접근</t>
        </is>
      </c>
      <c r="C58" s="51" t="inlineStr">
        <is>
          <t>방화벽 부팅 시 시작</t>
        </is>
      </c>
      <c r="D58" s="52" t="inlineStr">
        <is>
          <t>systemctl is-enabled firewalld</t>
        </is>
      </c>
      <c r="E58" s="53" t="n"/>
      <c r="F58" s="54" t="n"/>
    </row>
    <row r="59">
      <c r="A59" s="50">
        <f>ROW()-5</f>
        <v/>
      </c>
      <c r="B59" s="50" t="inlineStr">
        <is>
          <t>계정·접근</t>
        </is>
      </c>
      <c r="C59" s="51" t="inlineStr">
        <is>
          <t>방화벽 응답</t>
        </is>
      </c>
      <c r="D59" s="52" t="inlineStr">
        <is>
          <t>firewall-cmd --state</t>
        </is>
      </c>
      <c r="E59" s="53" t="n"/>
      <c r="F59" s="54" t="inlineStr">
        <is>
          <t>not running이면 미사용</t>
        </is>
      </c>
    </row>
    <row r="60">
      <c r="A60" s="50">
        <f>ROW()-5</f>
        <v/>
      </c>
      <c r="B60" s="50" t="inlineStr">
        <is>
          <t>계정·접근</t>
        </is>
      </c>
      <c r="C60" s="51" t="inlineStr">
        <is>
          <t>방화벽 영역</t>
        </is>
      </c>
      <c r="D60" s="52" t="inlineStr">
        <is>
          <t>firewall-cmd --get-active-zones</t>
        </is>
      </c>
      <c r="E60" s="53" t="n"/>
      <c r="F60" s="54" t="n"/>
    </row>
    <row r="61">
      <c r="A61" s="50">
        <f>ROW()-5</f>
        <v/>
      </c>
      <c r="B61" s="50" t="inlineStr">
        <is>
          <t>계정·접근</t>
        </is>
      </c>
      <c r="C61" s="51" t="inlineStr">
        <is>
          <t>방화벽 규칙</t>
        </is>
      </c>
      <c r="D61" s="52" t="inlineStr">
        <is>
          <t>firewall-cmd --zone=&lt;zone&gt; --list-all</t>
        </is>
      </c>
      <c r="E61" s="53" t="n"/>
      <c r="F61" s="54" t="inlineStr">
        <is>
          <t>활성 영역마다</t>
        </is>
      </c>
    </row>
    <row r="62">
      <c r="A62" s="50">
        <f>ROW()-5</f>
        <v/>
      </c>
      <c r="B62" s="50" t="inlineStr">
        <is>
          <t>계정·접근</t>
        </is>
      </c>
      <c r="C62" s="51" t="inlineStr">
        <is>
          <t>방화벽 저장 규칙</t>
        </is>
      </c>
      <c r="D62" s="52" t="inlineStr">
        <is>
          <t>firewall-cmd --permanent --zone=&lt;zone&gt; --list-all</t>
        </is>
      </c>
      <c r="E62" s="53" t="n"/>
      <c r="F62" s="54" t="inlineStr">
        <is>
          <t>규칙과 다르면 표시</t>
        </is>
      </c>
    </row>
    <row r="63">
      <c r="A63" s="50">
        <f>ROW()-5</f>
        <v/>
      </c>
      <c r="B63" s="50" t="inlineStr">
        <is>
          <t>계정·접근</t>
        </is>
      </c>
      <c r="C63" s="51" t="inlineStr">
        <is>
          <t>보안 모듈 (SELinux)</t>
        </is>
      </c>
      <c r="D63" s="52" t="inlineStr">
        <is>
          <t>getenforce</t>
        </is>
      </c>
      <c r="E63" s="53" t="n"/>
      <c r="F63" s="54" t="n"/>
    </row>
    <row r="64">
      <c r="A64" s="50">
        <f>ROW()-5</f>
        <v/>
      </c>
      <c r="B64" s="50" t="inlineStr">
        <is>
          <t>계정·접근</t>
        </is>
      </c>
      <c r="C64" s="51" t="inlineStr">
        <is>
          <t>보안 모듈 부팅 설정</t>
        </is>
      </c>
      <c r="D64" s="52" t="inlineStr">
        <is>
          <t>grep ^SELINUX= /etc/selinux/config</t>
        </is>
      </c>
      <c r="E64" s="53" t="n"/>
      <c r="F64" s="54" t="n"/>
    </row>
    <row r="65">
      <c r="A65" s="50">
        <f>ROW()-5</f>
        <v/>
      </c>
      <c r="B65" s="50" t="inlineStr">
        <is>
          <t>업데이트·패키지</t>
        </is>
      </c>
      <c r="C65" s="51" t="inlineStr">
        <is>
          <t>주요 패키지</t>
        </is>
      </c>
      <c r="D65" s="52" t="inlineStr">
        <is>
          <t>rpm -q glibc openssl openssh-server bash sudo systemd</t>
        </is>
      </c>
      <c r="E65" s="53" t="n"/>
      <c r="F65" s="54" t="n"/>
    </row>
    <row r="66">
      <c r="A66" s="50">
        <f>ROW()-5</f>
        <v/>
      </c>
      <c r="B66" s="50" t="inlineStr">
        <is>
          <t>업데이트·패키지</t>
        </is>
      </c>
      <c r="C66" s="51" t="inlineStr">
        <is>
          <t>전체 패키지</t>
        </is>
      </c>
      <c r="D66" s="52" t="inlineStr">
        <is>
          <t>rpm -qa --qf '%{NAME} %{VERSION} %{RELEASE} %{ARCH} %{INSTALLTIME}\n' | sort</t>
        </is>
      </c>
      <c r="E66" s="53" t="n"/>
      <c r="F66" s="54" t="inlineStr">
        <is>
          <t>패키지 시트</t>
        </is>
      </c>
    </row>
    <row r="67">
      <c r="A67" s="50">
        <f>ROW()-5</f>
        <v/>
      </c>
      <c r="B67" s="50" t="inlineStr">
        <is>
          <t>업데이트·패키지</t>
        </is>
      </c>
      <c r="C67" s="51" t="inlineStr">
        <is>
          <t>최근 패치일</t>
        </is>
      </c>
      <c r="D67" s="52" t="inlineStr">
        <is>
          <t>dnf history</t>
        </is>
      </c>
      <c r="E67" s="53" t="n"/>
      <c r="F67" s="54" t="inlineStr">
        <is>
          <t>Action(s)에 U가 든 줄</t>
        </is>
      </c>
    </row>
    <row r="68">
      <c r="A68" s="50">
        <f>ROW()-5</f>
        <v/>
      </c>
      <c r="B68" s="50" t="inlineStr">
        <is>
          <t>업데이트·패키지</t>
        </is>
      </c>
      <c r="C68" s="51" t="inlineStr">
        <is>
          <t>자동 업데이트 설정</t>
        </is>
      </c>
      <c r="D68" s="52" t="inlineStr">
        <is>
          <t>egrep 'download_updates|apply_updates' /etc/dnf/automatic.conf</t>
        </is>
      </c>
      <c r="E68" s="53" t="n"/>
      <c r="F68" s="54" t="inlineStr">
        <is>
          <t>파일 없으면 미설치</t>
        </is>
      </c>
    </row>
    <row r="69">
      <c r="A69" s="50">
        <f>ROW()-5</f>
        <v/>
      </c>
      <c r="B69" s="50" t="inlineStr">
        <is>
          <t>업데이트·패키지</t>
        </is>
      </c>
      <c r="C69" s="51" t="inlineStr">
        <is>
          <t>자동 업데이트 예약</t>
        </is>
      </c>
      <c r="D69" s="52" t="inlineStr">
        <is>
          <t>systemctl list-unit-files 'dnf-automatic*'</t>
        </is>
      </c>
      <c r="E69" s="53" t="n"/>
      <c r="F69" s="54" t="inlineStr">
        <is>
          <t>enabled면 사용</t>
        </is>
      </c>
    </row>
    <row r="70">
      <c r="A70" s="50">
        <f>ROW()-5</f>
        <v/>
      </c>
      <c r="B70" s="50" t="inlineStr">
        <is>
          <t>업데이트·패키지</t>
        </is>
      </c>
      <c r="C70" s="51" t="inlineStr">
        <is>
          <t>저장소 목록</t>
        </is>
      </c>
      <c r="D70" s="52" t="inlineStr">
        <is>
          <t>dnf repolist</t>
        </is>
      </c>
      <c r="E70" s="53" t="n"/>
      <c r="F70" s="54" t="n"/>
    </row>
    <row r="71">
      <c r="A71" s="50">
        <f>ROW()-5</f>
        <v/>
      </c>
      <c r="B71" s="50" t="inlineStr">
        <is>
          <t>업데이트·패키지</t>
        </is>
      </c>
      <c r="C71" s="51" t="inlineStr">
        <is>
          <t>저장소 파일</t>
        </is>
      </c>
      <c r="D71" s="52" t="inlineStr">
        <is>
          <t>ls /etc/yum.repos.d/</t>
        </is>
      </c>
      <c r="E71" s="53" t="n"/>
      <c r="F71" s="54" t="n"/>
    </row>
    <row r="72">
      <c r="A72" s="50">
        <f>ROW()-5</f>
        <v/>
      </c>
      <c r="B72" s="50" t="inlineStr">
        <is>
          <t>업데이트·패키지</t>
        </is>
      </c>
      <c r="C72" s="51" t="inlineStr">
        <is>
          <t>구독 등록 여부</t>
        </is>
      </c>
      <c r="D72" s="52" t="inlineStr">
        <is>
          <t>ls /etc/pki/consumer/cert.pem</t>
        </is>
      </c>
      <c r="E72" s="53" t="n"/>
      <c r="F72" s="54" t="inlineStr">
        <is>
          <t>파일 없으면 미등록</t>
        </is>
      </c>
    </row>
    <row r="73">
      <c r="A73" s="50">
        <f>ROW()-5</f>
        <v/>
      </c>
      <c r="B73" s="50" t="inlineStr">
        <is>
          <t>업데이트·패키지</t>
        </is>
      </c>
      <c r="C73" s="51" t="inlineStr">
        <is>
          <t>구독 (RHSM)</t>
        </is>
      </c>
      <c r="D73" s="52" t="inlineStr">
        <is>
          <t>subscription-manager status</t>
        </is>
      </c>
      <c r="E73" s="53" t="n"/>
      <c r="F73" s="54" t="inlineStr">
        <is>
          <t>RHEL</t>
        </is>
      </c>
    </row>
    <row r="74">
      <c r="A74" s="50">
        <f>ROW()-5</f>
        <v/>
      </c>
      <c r="B74" s="50" t="inlineStr">
        <is>
          <t>업데이트·패키지</t>
        </is>
      </c>
      <c r="C74" s="51" t="inlineStr">
        <is>
          <t>릴리스 고정</t>
        </is>
      </c>
      <c r="D74" s="52" t="inlineStr">
        <is>
          <t>subscription-manager release --show</t>
        </is>
      </c>
      <c r="E74" s="53" t="n"/>
      <c r="F74" s="54" t="inlineStr">
        <is>
          <t>Release not set이면 미고정</t>
        </is>
      </c>
    </row>
    <row r="75">
      <c r="A75" s="50">
        <f>ROW()-5</f>
        <v/>
      </c>
      <c r="B75" s="50" t="inlineStr">
        <is>
          <t>커널 설정</t>
        </is>
      </c>
      <c r="C75" s="51" t="inlineStr">
        <is>
          <t>sysctl</t>
        </is>
      </c>
      <c r="D75" s="52" t="inlineStr">
        <is>
          <t>egrep -v '^#|^$' /etc/sysctl.conf /etc/sysctl.d/*.conf</t>
        </is>
      </c>
      <c r="E75" s="53" t="n"/>
      <c r="F75" s="54" t="inlineStr">
        <is>
          <t>99-sysctl.conf 줄은 중복</t>
        </is>
      </c>
    </row>
    <row r="76">
      <c r="A76" s="50">
        <f>ROW()-5</f>
        <v/>
      </c>
      <c r="B76" s="50" t="inlineStr">
        <is>
          <t>커널 설정</t>
        </is>
      </c>
      <c r="C76" s="51" t="inlineStr">
        <is>
          <t>자원 제한 (limits)</t>
        </is>
      </c>
      <c r="D76" s="52" t="inlineStr">
        <is>
          <t>egrep -v '^#|^$' /etc/security/limits.conf /etc/security/limits.d/*.conf</t>
        </is>
      </c>
      <c r="E76" s="53" t="n"/>
      <c r="F76" s="54" t="n"/>
    </row>
    <row r="77">
      <c r="A77" s="50">
        <f>ROW()-5</f>
        <v/>
      </c>
      <c r="B77" s="50" t="inlineStr">
        <is>
          <t>커널 설정</t>
        </is>
      </c>
      <c r="C77" s="51" t="inlineStr">
        <is>
          <t>kdump 설정</t>
        </is>
      </c>
      <c r="D77" s="52" t="inlineStr">
        <is>
          <t>egrep -v '^#|^$' /etc/kdump.conf</t>
        </is>
      </c>
      <c r="E77" s="53" t="n"/>
      <c r="F77" s="54" t="n"/>
    </row>
    <row r="78">
      <c r="A78" s="50">
        <f>ROW()-5</f>
        <v/>
      </c>
      <c r="B78" s="50" t="inlineStr">
        <is>
          <t>커널 설정</t>
        </is>
      </c>
      <c r="C78" s="51" t="inlineStr">
        <is>
          <t>kdump 실행</t>
        </is>
      </c>
      <c r="D78" s="52" t="inlineStr">
        <is>
          <t>systemctl is-active kdump</t>
        </is>
      </c>
      <c r="E78" s="53" t="n"/>
      <c r="F78" s="54" t="n"/>
    </row>
    <row r="79">
      <c r="A79" s="50">
        <f>ROW()-5</f>
        <v/>
      </c>
      <c r="B79" s="50" t="inlineStr">
        <is>
          <t>커널 설정</t>
        </is>
      </c>
      <c r="C79" s="51" t="inlineStr">
        <is>
          <t>kdump 부팅 시 시작</t>
        </is>
      </c>
      <c r="D79" s="52" t="inlineStr">
        <is>
          <t>systemctl is-enabled kdump</t>
        </is>
      </c>
      <c r="E79" s="53" t="n"/>
      <c r="F79" s="54" t="n"/>
    </row>
    <row r="80">
      <c r="A80" s="50">
        <f>ROW()-5</f>
        <v/>
      </c>
      <c r="B80" s="50" t="inlineStr">
        <is>
          <t>서비스·예약</t>
        </is>
      </c>
      <c r="C80" s="51" t="inlineStr">
        <is>
          <t>실행 중인 서비스</t>
        </is>
      </c>
      <c r="D80" s="52" t="inlineStr">
        <is>
          <t>systemctl list-units --type=service --state=running --no-pager</t>
        </is>
      </c>
      <c r="E80" s="53" t="n"/>
      <c r="F80" s="54" t="n"/>
    </row>
    <row r="81">
      <c r="A81" s="50">
        <f>ROW()-5</f>
        <v/>
      </c>
      <c r="B81" s="50" t="inlineStr">
        <is>
          <t>서비스·예약</t>
        </is>
      </c>
      <c r="C81" s="51" t="inlineStr">
        <is>
          <t>자동 시작 서비스</t>
        </is>
      </c>
      <c r="D81" s="52" t="inlineStr">
        <is>
          <t>systemctl list-unit-files --type=service --state=enabled --no-pager</t>
        </is>
      </c>
      <c r="E81" s="53" t="n"/>
      <c r="F81" s="54" t="n"/>
    </row>
    <row r="82">
      <c r="A82" s="50">
        <f>ROW()-5</f>
        <v/>
      </c>
      <c r="B82" s="50" t="inlineStr">
        <is>
          <t>서비스·예약</t>
        </is>
      </c>
      <c r="C82" s="51" t="inlineStr">
        <is>
          <t>열린 포트</t>
        </is>
      </c>
      <c r="D82" s="52" t="inlineStr">
        <is>
          <t>ss -tulnp</t>
        </is>
      </c>
      <c r="E82" s="53" t="n"/>
      <c r="F82" s="54" t="n"/>
    </row>
    <row r="83">
      <c r="A83" s="50">
        <f>ROW()-5</f>
        <v/>
      </c>
      <c r="B83" s="50" t="inlineStr">
        <is>
          <t>서비스·예약</t>
        </is>
      </c>
      <c r="C83" s="51" t="inlineStr">
        <is>
          <t>예약 작업 (타이머)</t>
        </is>
      </c>
      <c r="D83" s="52" t="inlineStr">
        <is>
          <t>systemctl list-timers --all --no-pager</t>
        </is>
      </c>
      <c r="E83" s="53" t="n"/>
      <c r="F83" s="54" t="n"/>
    </row>
    <row r="84">
      <c r="A84" s="50">
        <f>ROW()-5</f>
        <v/>
      </c>
      <c r="B84" s="50" t="inlineStr">
        <is>
          <t>서비스·예약</t>
        </is>
      </c>
      <c r="C84" s="51" t="inlineStr">
        <is>
          <t>예약 작업 (crontab)</t>
        </is>
      </c>
      <c r="D84" s="52" t="inlineStr">
        <is>
          <t>tail -v -n +1 /var/spool/cron/*</t>
        </is>
      </c>
      <c r="E84" s="53" t="n"/>
      <c r="F84" s="54" t="inlineStr">
        <is>
          <t>파일명이 계정명</t>
        </is>
      </c>
    </row>
    <row r="85">
      <c r="A85" s="50">
        <f>ROW()-5</f>
        <v/>
      </c>
      <c r="B85" s="50" t="inlineStr">
        <is>
          <t>서비스·예약</t>
        </is>
      </c>
      <c r="C85" s="51" t="inlineStr">
        <is>
          <t>예약 작업 (cron.d)</t>
        </is>
      </c>
      <c r="D85" s="52" t="inlineStr">
        <is>
          <t>ls /etc/cron.d</t>
        </is>
      </c>
      <c r="E85" s="53" t="n"/>
      <c r="F85" s="54" t="n"/>
    </row>
    <row r="86">
      <c r="A86" s="50">
        <f>ROW()-5</f>
        <v/>
      </c>
      <c r="B86" s="50" t="inlineStr">
        <is>
          <t>에이전트·백업</t>
        </is>
      </c>
      <c r="C86" s="51" t="inlineStr">
        <is>
          <t>모니터링 에이전트</t>
        </is>
      </c>
      <c r="D86" s="52" t="inlineStr">
        <is>
          <t>pgrep -fai &lt;에이전트 이름&gt;</t>
        </is>
      </c>
      <c r="E86" s="53" t="n"/>
      <c r="F86" s="54" t="inlineStr">
        <is>
          <t>출력 없으면 미실행</t>
        </is>
      </c>
    </row>
    <row r="87">
      <c r="A87" s="50">
        <f>ROW()-5</f>
        <v/>
      </c>
      <c r="B87" s="50" t="inlineStr">
        <is>
          <t>에이전트·백업</t>
        </is>
      </c>
      <c r="C87" s="51" t="inlineStr">
        <is>
          <t>보안 에이전트</t>
        </is>
      </c>
      <c r="D87" s="52" t="inlineStr">
        <is>
          <t>pgrep -fai &lt;에이전트 이름&gt;</t>
        </is>
      </c>
      <c r="E87" s="53" t="n"/>
      <c r="F87" s="54" t="inlineStr">
        <is>
          <t>출력 없으면 미실행</t>
        </is>
      </c>
    </row>
    <row r="88">
      <c r="A88" s="50">
        <f>ROW()-5</f>
        <v/>
      </c>
      <c r="B88" s="50" t="inlineStr">
        <is>
          <t>에이전트·백업</t>
        </is>
      </c>
      <c r="C88" s="51" t="inlineStr">
        <is>
          <t>백신</t>
        </is>
      </c>
      <c r="D88" s="52" t="inlineStr">
        <is>
          <t>pgrep -fai &lt;에이전트 이름&gt;</t>
        </is>
      </c>
      <c r="E88" s="53" t="n"/>
      <c r="F88" s="54" t="inlineStr">
        <is>
          <t>출력 없으면 미실행</t>
        </is>
      </c>
    </row>
    <row r="89">
      <c r="A89" s="50">
        <f>ROW()-5</f>
        <v/>
      </c>
      <c r="B89" s="50" t="inlineStr">
        <is>
          <t>에이전트·백업</t>
        </is>
      </c>
      <c r="C89" s="51" t="inlineStr">
        <is>
          <t>설정 백업</t>
        </is>
      </c>
      <c r="D89" s="52" t="inlineStr">
        <is>
          <t>백업 위치, 마지막 백업 날짜</t>
        </is>
      </c>
      <c r="E89" s="53" t="n"/>
      <c r="F89" s="54" t="inlineStr">
        <is>
          <t>직접 입력</t>
        </is>
      </c>
    </row>
  </sheetData>
  <autoFilter ref="A5:F89"/>
  <pageMargins left="0.4" right="0.4" top="0.5" bottom="0.75" header="0.5" footer="0.3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22" customWidth="1" min="4" max="4"/>
    <col width="10" customWidth="1" min="5" max="5"/>
    <col width="17" customWidth="1" min="6" max="6"/>
    <col hidden="1" width="13" customWidth="1" min="7" max="7"/>
    <col hidden="1" width="13" customWidth="1" min="8" max="8"/>
  </cols>
  <sheetData>
    <row r="1" ht="24" customHeight="1">
      <c r="A1" s="1" t="inlineStr">
        <is>
          <t>패키지</t>
        </is>
      </c>
    </row>
    <row r="3" ht="20" customHeight="1">
      <c r="A3" s="2" t="inlineStr">
        <is>
          <t>원문</t>
        </is>
      </c>
      <c r="B3" s="57" t="inlineStr">
        <is>
          <t>이름</t>
        </is>
      </c>
      <c r="C3" s="57" t="inlineStr">
        <is>
          <t>버전</t>
        </is>
      </c>
      <c r="D3" s="57" t="inlineStr">
        <is>
          <t>릴리스</t>
        </is>
      </c>
      <c r="E3" s="57" t="inlineStr">
        <is>
          <t>아키텍처</t>
        </is>
      </c>
      <c r="F3" s="57" t="inlineStr">
        <is>
          <t>설치 일시</t>
        </is>
      </c>
    </row>
    <row r="4">
      <c r="A4" s="58" t="n"/>
      <c r="B4" s="58">
        <f>IF($H4="","",LEFT($H4,FIND(" ",$H4&amp;" ")-1))</f>
        <v/>
      </c>
      <c r="C4" s="58">
        <f>IF($H4="","",IFERROR(MID($H4&amp;" ",FIND("|",SUBSTITUTE($H4&amp;" "," ","|",1))+1,FIND("|",SUBSTITUTE($H4&amp;" "," ","|",2))-FIND("|",SUBSTITUTE($H4&amp;" "," ","|",1))-1),""))</f>
        <v/>
      </c>
      <c r="D4" s="58">
        <f>IF($H4="","",IFERROR(MID($H4&amp;" ",FIND("|",SUBSTITUTE($H4&amp;" "," ","|",2))+1,FIND("|",SUBSTITUTE($H4&amp;" "," ","|",3))-FIND("|",SUBSTITUTE($H4&amp;" "," ","|",2))-1),""))</f>
        <v/>
      </c>
      <c r="E4" s="58">
        <f>IF($H4="","",IFERROR(MID($H4&amp;" ",FIND("|",SUBSTITUTE($H4&amp;" "," ","|",3))+1,FIND("|",SUBSTITUTE($H4&amp;" "," ","|",4))-FIND("|",SUBSTITUTE($H4&amp;" "," ","|",3))-1),""))</f>
        <v/>
      </c>
      <c r="F4" s="59">
        <f>IF($H4="","",IFERROR(VALUE(IFERROR(MID($H4&amp;" ",FIND("|",SUBSTITUTE($H4&amp;" "," ","|",4))+1,FIND("|",SUBSTITUTE($H4&amp;" "," ","|",5))-FIND("|",SUBSTITUTE($H4&amp;" "," ","|",4))-1),""))/86400+25569+9/24,""))</f>
        <v/>
      </c>
      <c r="G4" s="58">
        <f>TRIM(SUBSTITUTE(SUBSTITUTE(SUBSTITUTE($A4,CHAR(9)," ")," "," "),CHAR(13),""))</f>
        <v/>
      </c>
      <c r="H4" s="58">
        <f>IF($G4="","",IF(ISNUMBER(FIND(" ",$G4)),$G4,IFERROR(IF((LEN(SUBSTITUTE(SUBSTITUTE($G4,"-"," ",LEN($G4)-LEN(SUBSTITUTE($G4,"-",""))),"-"," ",LEN($G4)-LEN(SUBSTITUTE($G4,"-",""))-1))-LEN(SUBSTITUTE(SUBSTITUTE(SUBSTITUTE($G4,"-"," ",LEN($G4)-LEN(SUBSTITUTE($G4,"-",""))),"-"," ",LEN($G4)-LEN(SUBSTITUTE($G4,"-",""))-1),".","")))=0,SUBSTITUTE(SUBSTITUTE($G4,"-"," ",LEN($G4)-LEN(SUBSTITUTE($G4,"-",""))),"-"," ",LEN($G4)-LEN(SUBSTITUTE($G4,"-",""))-1),SUBSTITUTE(SUBSTITUTE(SUBSTITUTE($G4,"-"," ",LEN($G4)-LEN(SUBSTITUTE($G4,"-",""))),"-"," ",LEN($G4)-LEN(SUBSTITUTE($G4,"-",""))-1),"."," ",(LEN(SUBSTITUTE(SUBSTITUTE($G4,"-"," ",LEN($G4)-LEN(SUBSTITUTE($G4,"-",""))),"-"," ",LEN($G4)-LEN(SUBSTITUTE($G4,"-",""))-1))-LEN(SUBSTITUTE(SUBSTITUTE(SUBSTITUTE($G4,"-"," ",LEN($G4)-LEN(SUBSTITUTE($G4,"-",""))),"-"," ",LEN($G4)-LEN(SUBSTITUTE($G4,"-",""))-1),".",""))))),$G4)))</f>
        <v/>
      </c>
    </row>
    <row r="5">
      <c r="A5" s="58" t="n"/>
      <c r="B5" s="58">
        <f>IF($H5="","",LEFT($H5,FIND(" ",$H5&amp;" ")-1))</f>
        <v/>
      </c>
      <c r="C5" s="58">
        <f>IF($H5="","",IFERROR(MID($H5&amp;" ",FIND("|",SUBSTITUTE($H5&amp;" "," ","|",1))+1,FIND("|",SUBSTITUTE($H5&amp;" "," ","|",2))-FIND("|",SUBSTITUTE($H5&amp;" "," ","|",1))-1),""))</f>
        <v/>
      </c>
      <c r="D5" s="58">
        <f>IF($H5="","",IFERROR(MID($H5&amp;" ",FIND("|",SUBSTITUTE($H5&amp;" "," ","|",2))+1,FIND("|",SUBSTITUTE($H5&amp;" "," ","|",3))-FIND("|",SUBSTITUTE($H5&amp;" "," ","|",2))-1),""))</f>
        <v/>
      </c>
      <c r="E5" s="58">
        <f>IF($H5="","",IFERROR(MID($H5&amp;" ",FIND("|",SUBSTITUTE($H5&amp;" "," ","|",3))+1,FIND("|",SUBSTITUTE($H5&amp;" "," ","|",4))-FIND("|",SUBSTITUTE($H5&amp;" "," ","|",3))-1),""))</f>
        <v/>
      </c>
      <c r="F5" s="59">
        <f>IF($H5="","",IFERROR(VALUE(IFERROR(MID($H5&amp;" ",FIND("|",SUBSTITUTE($H5&amp;" "," ","|",4))+1,FIND("|",SUBSTITUTE($H5&amp;" "," ","|",5))-FIND("|",SUBSTITUTE($H5&amp;" "," ","|",4))-1),""))/86400+25569+9/24,""))</f>
        <v/>
      </c>
      <c r="G5" s="58">
        <f>TRIM(SUBSTITUTE(SUBSTITUTE(SUBSTITUTE($A5,CHAR(9)," ")," "," "),CHAR(13),""))</f>
        <v/>
      </c>
      <c r="H5" s="58">
        <f>IF($G5="","",IF(ISNUMBER(FIND(" ",$G5)),$G5,IFERROR(IF((LEN(SUBSTITUTE(SUBSTITUTE($G5,"-"," ",LEN($G5)-LEN(SUBSTITUTE($G5,"-",""))),"-"," ",LEN($G5)-LEN(SUBSTITUTE($G5,"-",""))-1))-LEN(SUBSTITUTE(SUBSTITUTE(SUBSTITUTE($G5,"-"," ",LEN($G5)-LEN(SUBSTITUTE($G5,"-",""))),"-"," ",LEN($G5)-LEN(SUBSTITUTE($G5,"-",""))-1),".","")))=0,SUBSTITUTE(SUBSTITUTE($G5,"-"," ",LEN($G5)-LEN(SUBSTITUTE($G5,"-",""))),"-"," ",LEN($G5)-LEN(SUBSTITUTE($G5,"-",""))-1),SUBSTITUTE(SUBSTITUTE(SUBSTITUTE($G5,"-"," ",LEN($G5)-LEN(SUBSTITUTE($G5,"-",""))),"-"," ",LEN($G5)-LEN(SUBSTITUTE($G5,"-",""))-1),"."," ",(LEN(SUBSTITUTE(SUBSTITUTE($G5,"-"," ",LEN($G5)-LEN(SUBSTITUTE($G5,"-",""))),"-"," ",LEN($G5)-LEN(SUBSTITUTE($G5,"-",""))-1))-LEN(SUBSTITUTE(SUBSTITUTE(SUBSTITUTE($G5,"-"," ",LEN($G5)-LEN(SUBSTITUTE($G5,"-",""))),"-"," ",LEN($G5)-LEN(SUBSTITUTE($G5,"-",""))-1),".",""))))),$G5)))</f>
        <v/>
      </c>
    </row>
    <row r="6">
      <c r="A6" s="58" t="n"/>
      <c r="B6" s="58">
        <f>IF($H6="","",LEFT($H6,FIND(" ",$H6&amp;" ")-1))</f>
        <v/>
      </c>
      <c r="C6" s="58">
        <f>IF($H6="","",IFERROR(MID($H6&amp;" ",FIND("|",SUBSTITUTE($H6&amp;" "," ","|",1))+1,FIND("|",SUBSTITUTE($H6&amp;" "," ","|",2))-FIND("|",SUBSTITUTE($H6&amp;" "," ","|",1))-1),""))</f>
        <v/>
      </c>
      <c r="D6" s="58">
        <f>IF($H6="","",IFERROR(MID($H6&amp;" ",FIND("|",SUBSTITUTE($H6&amp;" "," ","|",2))+1,FIND("|",SUBSTITUTE($H6&amp;" "," ","|",3))-FIND("|",SUBSTITUTE($H6&amp;" "," ","|",2))-1),""))</f>
        <v/>
      </c>
      <c r="E6" s="58">
        <f>IF($H6="","",IFERROR(MID($H6&amp;" ",FIND("|",SUBSTITUTE($H6&amp;" "," ","|",3))+1,FIND("|",SUBSTITUTE($H6&amp;" "," ","|",4))-FIND("|",SUBSTITUTE($H6&amp;" "," ","|",3))-1),""))</f>
        <v/>
      </c>
      <c r="F6" s="59">
        <f>IF($H6="","",IFERROR(VALUE(IFERROR(MID($H6&amp;" ",FIND("|",SUBSTITUTE($H6&amp;" "," ","|",4))+1,FIND("|",SUBSTITUTE($H6&amp;" "," ","|",5))-FIND("|",SUBSTITUTE($H6&amp;" "," ","|",4))-1),""))/86400+25569+9/24,""))</f>
        <v/>
      </c>
      <c r="G6" s="58">
        <f>TRIM(SUBSTITUTE(SUBSTITUTE(SUBSTITUTE($A6,CHAR(9)," ")," "," "),CHAR(13),""))</f>
        <v/>
      </c>
      <c r="H6" s="58">
        <f>IF($G6="","",IF(ISNUMBER(FIND(" ",$G6)),$G6,IFERROR(IF((LEN(SUBSTITUTE(SUBSTITUTE($G6,"-"," ",LEN($G6)-LEN(SUBSTITUTE($G6,"-",""))),"-"," ",LEN($G6)-LEN(SUBSTITUTE($G6,"-",""))-1))-LEN(SUBSTITUTE(SUBSTITUTE(SUBSTITUTE($G6,"-"," ",LEN($G6)-LEN(SUBSTITUTE($G6,"-",""))),"-"," ",LEN($G6)-LEN(SUBSTITUTE($G6,"-",""))-1),".","")))=0,SUBSTITUTE(SUBSTITUTE($G6,"-"," ",LEN($G6)-LEN(SUBSTITUTE($G6,"-",""))),"-"," ",LEN($G6)-LEN(SUBSTITUTE($G6,"-",""))-1),SUBSTITUTE(SUBSTITUTE(SUBSTITUTE($G6,"-"," ",LEN($G6)-LEN(SUBSTITUTE($G6,"-",""))),"-"," ",LEN($G6)-LEN(SUBSTITUTE($G6,"-",""))-1),"."," ",(LEN(SUBSTITUTE(SUBSTITUTE($G6,"-"," ",LEN($G6)-LEN(SUBSTITUTE($G6,"-",""))),"-"," ",LEN($G6)-LEN(SUBSTITUTE($G6,"-",""))-1))-LEN(SUBSTITUTE(SUBSTITUTE(SUBSTITUTE($G6,"-"," ",LEN($G6)-LEN(SUBSTITUTE($G6,"-",""))),"-"," ",LEN($G6)-LEN(SUBSTITUTE($G6,"-",""))-1),".",""))))),$G6)))</f>
        <v/>
      </c>
    </row>
    <row r="7">
      <c r="A7" s="58" t="n"/>
      <c r="B7" s="58">
        <f>IF($H7="","",LEFT($H7,FIND(" ",$H7&amp;" ")-1))</f>
        <v/>
      </c>
      <c r="C7" s="58">
        <f>IF($H7="","",IFERROR(MID($H7&amp;" ",FIND("|",SUBSTITUTE($H7&amp;" "," ","|",1))+1,FIND("|",SUBSTITUTE($H7&amp;" "," ","|",2))-FIND("|",SUBSTITUTE($H7&amp;" "," ","|",1))-1),""))</f>
        <v/>
      </c>
      <c r="D7" s="58">
        <f>IF($H7="","",IFERROR(MID($H7&amp;" ",FIND("|",SUBSTITUTE($H7&amp;" "," ","|",2))+1,FIND("|",SUBSTITUTE($H7&amp;" "," ","|",3))-FIND("|",SUBSTITUTE($H7&amp;" "," ","|",2))-1),""))</f>
        <v/>
      </c>
      <c r="E7" s="58">
        <f>IF($H7="","",IFERROR(MID($H7&amp;" ",FIND("|",SUBSTITUTE($H7&amp;" "," ","|",3))+1,FIND("|",SUBSTITUTE($H7&amp;" "," ","|",4))-FIND("|",SUBSTITUTE($H7&amp;" "," ","|",3))-1),""))</f>
        <v/>
      </c>
      <c r="F7" s="59">
        <f>IF($H7="","",IFERROR(VALUE(IFERROR(MID($H7&amp;" ",FIND("|",SUBSTITUTE($H7&amp;" "," ","|",4))+1,FIND("|",SUBSTITUTE($H7&amp;" "," ","|",5))-FIND("|",SUBSTITUTE($H7&amp;" "," ","|",4))-1),""))/86400+25569+9/24,""))</f>
        <v/>
      </c>
      <c r="G7" s="58">
        <f>TRIM(SUBSTITUTE(SUBSTITUTE(SUBSTITUTE($A7,CHAR(9)," ")," "," "),CHAR(13),""))</f>
        <v/>
      </c>
      <c r="H7" s="58">
        <f>IF($G7="","",IF(ISNUMBER(FIND(" ",$G7)),$G7,IFERROR(IF((LEN(SUBSTITUTE(SUBSTITUTE($G7,"-"," ",LEN($G7)-LEN(SUBSTITUTE($G7,"-",""))),"-"," ",LEN($G7)-LEN(SUBSTITUTE($G7,"-",""))-1))-LEN(SUBSTITUTE(SUBSTITUTE(SUBSTITUTE($G7,"-"," ",LEN($G7)-LEN(SUBSTITUTE($G7,"-",""))),"-"," ",LEN($G7)-LEN(SUBSTITUTE($G7,"-",""))-1),".","")))=0,SUBSTITUTE(SUBSTITUTE($G7,"-"," ",LEN($G7)-LEN(SUBSTITUTE($G7,"-",""))),"-"," ",LEN($G7)-LEN(SUBSTITUTE($G7,"-",""))-1),SUBSTITUTE(SUBSTITUTE(SUBSTITUTE($G7,"-"," ",LEN($G7)-LEN(SUBSTITUTE($G7,"-",""))),"-"," ",LEN($G7)-LEN(SUBSTITUTE($G7,"-",""))-1),"."," ",(LEN(SUBSTITUTE(SUBSTITUTE($G7,"-"," ",LEN($G7)-LEN(SUBSTITUTE($G7,"-",""))),"-"," ",LEN($G7)-LEN(SUBSTITUTE($G7,"-",""))-1))-LEN(SUBSTITUTE(SUBSTITUTE(SUBSTITUTE($G7,"-"," ",LEN($G7)-LEN(SUBSTITUTE($G7,"-",""))),"-"," ",LEN($G7)-LEN(SUBSTITUTE($G7,"-",""))-1),".",""))))),$G7)))</f>
        <v/>
      </c>
    </row>
    <row r="8">
      <c r="A8" s="58" t="n"/>
      <c r="B8" s="58">
        <f>IF($H8="","",LEFT($H8,FIND(" ",$H8&amp;" ")-1))</f>
        <v/>
      </c>
      <c r="C8" s="58">
        <f>IF($H8="","",IFERROR(MID($H8&amp;" ",FIND("|",SUBSTITUTE($H8&amp;" "," ","|",1))+1,FIND("|",SUBSTITUTE($H8&amp;" "," ","|",2))-FIND("|",SUBSTITUTE($H8&amp;" "," ","|",1))-1),""))</f>
        <v/>
      </c>
      <c r="D8" s="58">
        <f>IF($H8="","",IFERROR(MID($H8&amp;" ",FIND("|",SUBSTITUTE($H8&amp;" "," ","|",2))+1,FIND("|",SUBSTITUTE($H8&amp;" "," ","|",3))-FIND("|",SUBSTITUTE($H8&amp;" "," ","|",2))-1),""))</f>
        <v/>
      </c>
      <c r="E8" s="58">
        <f>IF($H8="","",IFERROR(MID($H8&amp;" ",FIND("|",SUBSTITUTE($H8&amp;" "," ","|",3))+1,FIND("|",SUBSTITUTE($H8&amp;" "," ","|",4))-FIND("|",SUBSTITUTE($H8&amp;" "," ","|",3))-1),""))</f>
        <v/>
      </c>
      <c r="F8" s="59">
        <f>IF($H8="","",IFERROR(VALUE(IFERROR(MID($H8&amp;" ",FIND("|",SUBSTITUTE($H8&amp;" "," ","|",4))+1,FIND("|",SUBSTITUTE($H8&amp;" "," ","|",5))-FIND("|",SUBSTITUTE($H8&amp;" "," ","|",4))-1),""))/86400+25569+9/24,""))</f>
        <v/>
      </c>
      <c r="G8" s="58">
        <f>TRIM(SUBSTITUTE(SUBSTITUTE(SUBSTITUTE($A8,CHAR(9)," ")," "," "),CHAR(13),""))</f>
        <v/>
      </c>
      <c r="H8" s="58">
        <f>IF($G8="","",IF(ISNUMBER(FIND(" ",$G8)),$G8,IFERROR(IF((LEN(SUBSTITUTE(SUBSTITUTE($G8,"-"," ",LEN($G8)-LEN(SUBSTITUTE($G8,"-",""))),"-"," ",LEN($G8)-LEN(SUBSTITUTE($G8,"-",""))-1))-LEN(SUBSTITUTE(SUBSTITUTE(SUBSTITUTE($G8,"-"," ",LEN($G8)-LEN(SUBSTITUTE($G8,"-",""))),"-"," ",LEN($G8)-LEN(SUBSTITUTE($G8,"-",""))-1),".","")))=0,SUBSTITUTE(SUBSTITUTE($G8,"-"," ",LEN($G8)-LEN(SUBSTITUTE($G8,"-",""))),"-"," ",LEN($G8)-LEN(SUBSTITUTE($G8,"-",""))-1),SUBSTITUTE(SUBSTITUTE(SUBSTITUTE($G8,"-"," ",LEN($G8)-LEN(SUBSTITUTE($G8,"-",""))),"-"," ",LEN($G8)-LEN(SUBSTITUTE($G8,"-",""))-1),"."," ",(LEN(SUBSTITUTE(SUBSTITUTE($G8,"-"," ",LEN($G8)-LEN(SUBSTITUTE($G8,"-",""))),"-"," ",LEN($G8)-LEN(SUBSTITUTE($G8,"-",""))-1))-LEN(SUBSTITUTE(SUBSTITUTE(SUBSTITUTE($G8,"-"," ",LEN($G8)-LEN(SUBSTITUTE($G8,"-",""))),"-"," ",LEN($G8)-LEN(SUBSTITUTE($G8,"-",""))-1),".",""))))),$G8)))</f>
        <v/>
      </c>
    </row>
    <row r="9">
      <c r="A9" s="58" t="n"/>
      <c r="B9" s="58">
        <f>IF($H9="","",LEFT($H9,FIND(" ",$H9&amp;" ")-1))</f>
        <v/>
      </c>
      <c r="C9" s="58">
        <f>IF($H9="","",IFERROR(MID($H9&amp;" ",FIND("|",SUBSTITUTE($H9&amp;" "," ","|",1))+1,FIND("|",SUBSTITUTE($H9&amp;" "," ","|",2))-FIND("|",SUBSTITUTE($H9&amp;" "," ","|",1))-1),""))</f>
        <v/>
      </c>
      <c r="D9" s="58">
        <f>IF($H9="","",IFERROR(MID($H9&amp;" ",FIND("|",SUBSTITUTE($H9&amp;" "," ","|",2))+1,FIND("|",SUBSTITUTE($H9&amp;" "," ","|",3))-FIND("|",SUBSTITUTE($H9&amp;" "," ","|",2))-1),""))</f>
        <v/>
      </c>
      <c r="E9" s="58">
        <f>IF($H9="","",IFERROR(MID($H9&amp;" ",FIND("|",SUBSTITUTE($H9&amp;" "," ","|",3))+1,FIND("|",SUBSTITUTE($H9&amp;" "," ","|",4))-FIND("|",SUBSTITUTE($H9&amp;" "," ","|",3))-1),""))</f>
        <v/>
      </c>
      <c r="F9" s="59">
        <f>IF($H9="","",IFERROR(VALUE(IFERROR(MID($H9&amp;" ",FIND("|",SUBSTITUTE($H9&amp;" "," ","|",4))+1,FIND("|",SUBSTITUTE($H9&amp;" "," ","|",5))-FIND("|",SUBSTITUTE($H9&amp;" "," ","|",4))-1),""))/86400+25569+9/24,""))</f>
        <v/>
      </c>
      <c r="G9" s="58">
        <f>TRIM(SUBSTITUTE(SUBSTITUTE(SUBSTITUTE($A9,CHAR(9)," ")," "," "),CHAR(13),""))</f>
        <v/>
      </c>
      <c r="H9" s="58">
        <f>IF($G9="","",IF(ISNUMBER(FIND(" ",$G9)),$G9,IFERROR(IF((LEN(SUBSTITUTE(SUBSTITUTE($G9,"-"," ",LEN($G9)-LEN(SUBSTITUTE($G9,"-",""))),"-"," ",LEN($G9)-LEN(SUBSTITUTE($G9,"-",""))-1))-LEN(SUBSTITUTE(SUBSTITUTE(SUBSTITUTE($G9,"-"," ",LEN($G9)-LEN(SUBSTITUTE($G9,"-",""))),"-"," ",LEN($G9)-LEN(SUBSTITUTE($G9,"-",""))-1),".","")))=0,SUBSTITUTE(SUBSTITUTE($G9,"-"," ",LEN($G9)-LEN(SUBSTITUTE($G9,"-",""))),"-"," ",LEN($G9)-LEN(SUBSTITUTE($G9,"-",""))-1),SUBSTITUTE(SUBSTITUTE(SUBSTITUTE($G9,"-"," ",LEN($G9)-LEN(SUBSTITUTE($G9,"-",""))),"-"," ",LEN($G9)-LEN(SUBSTITUTE($G9,"-",""))-1),"."," ",(LEN(SUBSTITUTE(SUBSTITUTE($G9,"-"," ",LEN($G9)-LEN(SUBSTITUTE($G9,"-",""))),"-"," ",LEN($G9)-LEN(SUBSTITUTE($G9,"-",""))-1))-LEN(SUBSTITUTE(SUBSTITUTE(SUBSTITUTE($G9,"-"," ",LEN($G9)-LEN(SUBSTITUTE($G9,"-",""))),"-"," ",LEN($G9)-LEN(SUBSTITUTE($G9,"-",""))-1),".",""))))),$G9)))</f>
        <v/>
      </c>
    </row>
    <row r="10">
      <c r="A10" s="58" t="n"/>
      <c r="B10" s="58">
        <f>IF($H10="","",LEFT($H10,FIND(" ",$H10&amp;" ")-1))</f>
        <v/>
      </c>
      <c r="C10" s="58">
        <f>IF($H10="","",IFERROR(MID($H10&amp;" ",FIND("|",SUBSTITUTE($H10&amp;" "," ","|",1))+1,FIND("|",SUBSTITUTE($H10&amp;" "," ","|",2))-FIND("|",SUBSTITUTE($H10&amp;" "," ","|",1))-1),""))</f>
        <v/>
      </c>
      <c r="D10" s="58">
        <f>IF($H10="","",IFERROR(MID($H10&amp;" ",FIND("|",SUBSTITUTE($H10&amp;" "," ","|",2))+1,FIND("|",SUBSTITUTE($H10&amp;" "," ","|",3))-FIND("|",SUBSTITUTE($H10&amp;" "," ","|",2))-1),""))</f>
        <v/>
      </c>
      <c r="E10" s="58">
        <f>IF($H10="","",IFERROR(MID($H10&amp;" ",FIND("|",SUBSTITUTE($H10&amp;" "," ","|",3))+1,FIND("|",SUBSTITUTE($H10&amp;" "," ","|",4))-FIND("|",SUBSTITUTE($H10&amp;" "," ","|",3))-1),""))</f>
        <v/>
      </c>
      <c r="F10" s="59">
        <f>IF($H10="","",IFERROR(VALUE(IFERROR(MID($H10&amp;" ",FIND("|",SUBSTITUTE($H10&amp;" "," ","|",4))+1,FIND("|",SUBSTITUTE($H10&amp;" "," ","|",5))-FIND("|",SUBSTITUTE($H10&amp;" "," ","|",4))-1),""))/86400+25569+9/24,""))</f>
        <v/>
      </c>
      <c r="G10" s="58">
        <f>TRIM(SUBSTITUTE(SUBSTITUTE(SUBSTITUTE($A10,CHAR(9)," ")," "," "),CHAR(13),""))</f>
        <v/>
      </c>
      <c r="H10" s="58">
        <f>IF($G10="","",IF(ISNUMBER(FIND(" ",$G10)),$G10,IFERROR(IF((LEN(SUBSTITUTE(SUBSTITUTE($G10,"-"," ",LEN($G10)-LEN(SUBSTITUTE($G10,"-",""))),"-"," ",LEN($G10)-LEN(SUBSTITUTE($G10,"-",""))-1))-LEN(SUBSTITUTE(SUBSTITUTE(SUBSTITUTE($G10,"-"," ",LEN($G10)-LEN(SUBSTITUTE($G10,"-",""))),"-"," ",LEN($G10)-LEN(SUBSTITUTE($G10,"-",""))-1),".","")))=0,SUBSTITUTE(SUBSTITUTE($G10,"-"," ",LEN($G10)-LEN(SUBSTITUTE($G10,"-",""))),"-"," ",LEN($G10)-LEN(SUBSTITUTE($G10,"-",""))-1),SUBSTITUTE(SUBSTITUTE(SUBSTITUTE($G10,"-"," ",LEN($G10)-LEN(SUBSTITUTE($G10,"-",""))),"-"," ",LEN($G10)-LEN(SUBSTITUTE($G10,"-",""))-1),"."," ",(LEN(SUBSTITUTE(SUBSTITUTE($G10,"-"," ",LEN($G10)-LEN(SUBSTITUTE($G10,"-",""))),"-"," ",LEN($G10)-LEN(SUBSTITUTE($G10,"-",""))-1))-LEN(SUBSTITUTE(SUBSTITUTE(SUBSTITUTE($G10,"-"," ",LEN($G10)-LEN(SUBSTITUTE($G10,"-",""))),"-"," ",LEN($G10)-LEN(SUBSTITUTE($G10,"-",""))-1),".",""))))),$G10)))</f>
        <v/>
      </c>
    </row>
    <row r="11">
      <c r="A11" s="58" t="n"/>
      <c r="B11" s="58">
        <f>IF($H11="","",LEFT($H11,FIND(" ",$H11&amp;" ")-1))</f>
        <v/>
      </c>
      <c r="C11" s="58">
        <f>IF($H11="","",IFERROR(MID($H11&amp;" ",FIND("|",SUBSTITUTE($H11&amp;" "," ","|",1))+1,FIND("|",SUBSTITUTE($H11&amp;" "," ","|",2))-FIND("|",SUBSTITUTE($H11&amp;" "," ","|",1))-1),""))</f>
        <v/>
      </c>
      <c r="D11" s="58">
        <f>IF($H11="","",IFERROR(MID($H11&amp;" ",FIND("|",SUBSTITUTE($H11&amp;" "," ","|",2))+1,FIND("|",SUBSTITUTE($H11&amp;" "," ","|",3))-FIND("|",SUBSTITUTE($H11&amp;" "," ","|",2))-1),""))</f>
        <v/>
      </c>
      <c r="E11" s="58">
        <f>IF($H11="","",IFERROR(MID($H11&amp;" ",FIND("|",SUBSTITUTE($H11&amp;" "," ","|",3))+1,FIND("|",SUBSTITUTE($H11&amp;" "," ","|",4))-FIND("|",SUBSTITUTE($H11&amp;" "," ","|",3))-1),""))</f>
        <v/>
      </c>
      <c r="F11" s="59">
        <f>IF($H11="","",IFERROR(VALUE(IFERROR(MID($H11&amp;" ",FIND("|",SUBSTITUTE($H11&amp;" "," ","|",4))+1,FIND("|",SUBSTITUTE($H11&amp;" "," ","|",5))-FIND("|",SUBSTITUTE($H11&amp;" "," ","|",4))-1),""))/86400+25569+9/24,""))</f>
        <v/>
      </c>
      <c r="G11" s="58">
        <f>TRIM(SUBSTITUTE(SUBSTITUTE(SUBSTITUTE($A11,CHAR(9)," ")," "," "),CHAR(13),""))</f>
        <v/>
      </c>
      <c r="H11" s="58">
        <f>IF($G11="","",IF(ISNUMBER(FIND(" ",$G11)),$G11,IFERROR(IF((LEN(SUBSTITUTE(SUBSTITUTE($G11,"-"," ",LEN($G11)-LEN(SUBSTITUTE($G11,"-",""))),"-"," ",LEN($G11)-LEN(SUBSTITUTE($G11,"-",""))-1))-LEN(SUBSTITUTE(SUBSTITUTE(SUBSTITUTE($G11,"-"," ",LEN($G11)-LEN(SUBSTITUTE($G11,"-",""))),"-"," ",LEN($G11)-LEN(SUBSTITUTE($G11,"-",""))-1),".","")))=0,SUBSTITUTE(SUBSTITUTE($G11,"-"," ",LEN($G11)-LEN(SUBSTITUTE($G11,"-",""))),"-"," ",LEN($G11)-LEN(SUBSTITUTE($G11,"-",""))-1),SUBSTITUTE(SUBSTITUTE(SUBSTITUTE($G11,"-"," ",LEN($G11)-LEN(SUBSTITUTE($G11,"-",""))),"-"," ",LEN($G11)-LEN(SUBSTITUTE($G11,"-",""))-1),"."," ",(LEN(SUBSTITUTE(SUBSTITUTE($G11,"-"," ",LEN($G11)-LEN(SUBSTITUTE($G11,"-",""))),"-"," ",LEN($G11)-LEN(SUBSTITUTE($G11,"-",""))-1))-LEN(SUBSTITUTE(SUBSTITUTE(SUBSTITUTE($G11,"-"," ",LEN($G11)-LEN(SUBSTITUTE($G11,"-",""))),"-"," ",LEN($G11)-LEN(SUBSTITUTE($G11,"-",""))-1),".",""))))),$G11)))</f>
        <v/>
      </c>
    </row>
    <row r="12">
      <c r="A12" s="58" t="n"/>
      <c r="B12" s="58">
        <f>IF($H12="","",LEFT($H12,FIND(" ",$H12&amp;" ")-1))</f>
        <v/>
      </c>
      <c r="C12" s="58">
        <f>IF($H12="","",IFERROR(MID($H12&amp;" ",FIND("|",SUBSTITUTE($H12&amp;" "," ","|",1))+1,FIND("|",SUBSTITUTE($H12&amp;" "," ","|",2))-FIND("|",SUBSTITUTE($H12&amp;" "," ","|",1))-1),""))</f>
        <v/>
      </c>
      <c r="D12" s="58">
        <f>IF($H12="","",IFERROR(MID($H12&amp;" ",FIND("|",SUBSTITUTE($H12&amp;" "," ","|",2))+1,FIND("|",SUBSTITUTE($H12&amp;" "," ","|",3))-FIND("|",SUBSTITUTE($H12&amp;" "," ","|",2))-1),""))</f>
        <v/>
      </c>
      <c r="E12" s="58">
        <f>IF($H12="","",IFERROR(MID($H12&amp;" ",FIND("|",SUBSTITUTE($H12&amp;" "," ","|",3))+1,FIND("|",SUBSTITUTE($H12&amp;" "," ","|",4))-FIND("|",SUBSTITUTE($H12&amp;" "," ","|",3))-1),""))</f>
        <v/>
      </c>
      <c r="F12" s="59">
        <f>IF($H12="","",IFERROR(VALUE(IFERROR(MID($H12&amp;" ",FIND("|",SUBSTITUTE($H12&amp;" "," ","|",4))+1,FIND("|",SUBSTITUTE($H12&amp;" "," ","|",5))-FIND("|",SUBSTITUTE($H12&amp;" "," ","|",4))-1),""))/86400+25569+9/24,""))</f>
        <v/>
      </c>
      <c r="G12" s="58">
        <f>TRIM(SUBSTITUTE(SUBSTITUTE(SUBSTITUTE($A12,CHAR(9)," ")," "," "),CHAR(13),""))</f>
        <v/>
      </c>
      <c r="H12" s="58">
        <f>IF($G12="","",IF(ISNUMBER(FIND(" ",$G12)),$G12,IFERROR(IF((LEN(SUBSTITUTE(SUBSTITUTE($G12,"-"," ",LEN($G12)-LEN(SUBSTITUTE($G12,"-",""))),"-"," ",LEN($G12)-LEN(SUBSTITUTE($G12,"-",""))-1))-LEN(SUBSTITUTE(SUBSTITUTE(SUBSTITUTE($G12,"-"," ",LEN($G12)-LEN(SUBSTITUTE($G12,"-",""))),"-"," ",LEN($G12)-LEN(SUBSTITUTE($G12,"-",""))-1),".","")))=0,SUBSTITUTE(SUBSTITUTE($G12,"-"," ",LEN($G12)-LEN(SUBSTITUTE($G12,"-",""))),"-"," ",LEN($G12)-LEN(SUBSTITUTE($G12,"-",""))-1),SUBSTITUTE(SUBSTITUTE(SUBSTITUTE($G12,"-"," ",LEN($G12)-LEN(SUBSTITUTE($G12,"-",""))),"-"," ",LEN($G12)-LEN(SUBSTITUTE($G12,"-",""))-1),"."," ",(LEN(SUBSTITUTE(SUBSTITUTE($G12,"-"," ",LEN($G12)-LEN(SUBSTITUTE($G12,"-",""))),"-"," ",LEN($G12)-LEN(SUBSTITUTE($G12,"-",""))-1))-LEN(SUBSTITUTE(SUBSTITUTE(SUBSTITUTE($G12,"-"," ",LEN($G12)-LEN(SUBSTITUTE($G12,"-",""))),"-"," ",LEN($G12)-LEN(SUBSTITUTE($G12,"-",""))-1),".",""))))),$G12)))</f>
        <v/>
      </c>
    </row>
    <row r="13">
      <c r="A13" s="58" t="n"/>
      <c r="B13" s="58">
        <f>IF($H13="","",LEFT($H13,FIND(" ",$H13&amp;" ")-1))</f>
        <v/>
      </c>
      <c r="C13" s="58">
        <f>IF($H13="","",IFERROR(MID($H13&amp;" ",FIND("|",SUBSTITUTE($H13&amp;" "," ","|",1))+1,FIND("|",SUBSTITUTE($H13&amp;" "," ","|",2))-FIND("|",SUBSTITUTE($H13&amp;" "," ","|",1))-1),""))</f>
        <v/>
      </c>
      <c r="D13" s="58">
        <f>IF($H13="","",IFERROR(MID($H13&amp;" ",FIND("|",SUBSTITUTE($H13&amp;" "," ","|",2))+1,FIND("|",SUBSTITUTE($H13&amp;" "," ","|",3))-FIND("|",SUBSTITUTE($H13&amp;" "," ","|",2))-1),""))</f>
        <v/>
      </c>
      <c r="E13" s="58">
        <f>IF($H13="","",IFERROR(MID($H13&amp;" ",FIND("|",SUBSTITUTE($H13&amp;" "," ","|",3))+1,FIND("|",SUBSTITUTE($H13&amp;" "," ","|",4))-FIND("|",SUBSTITUTE($H13&amp;" "," ","|",3))-1),""))</f>
        <v/>
      </c>
      <c r="F13" s="59">
        <f>IF($H13="","",IFERROR(VALUE(IFERROR(MID($H13&amp;" ",FIND("|",SUBSTITUTE($H13&amp;" "," ","|",4))+1,FIND("|",SUBSTITUTE($H13&amp;" "," ","|",5))-FIND("|",SUBSTITUTE($H13&amp;" "," ","|",4))-1),""))/86400+25569+9/24,""))</f>
        <v/>
      </c>
      <c r="G13" s="58">
        <f>TRIM(SUBSTITUTE(SUBSTITUTE(SUBSTITUTE($A13,CHAR(9)," ")," "," "),CHAR(13),""))</f>
        <v/>
      </c>
      <c r="H13" s="58">
        <f>IF($G13="","",IF(ISNUMBER(FIND(" ",$G13)),$G13,IFERROR(IF((LEN(SUBSTITUTE(SUBSTITUTE($G13,"-"," ",LEN($G13)-LEN(SUBSTITUTE($G13,"-",""))),"-"," ",LEN($G13)-LEN(SUBSTITUTE($G13,"-",""))-1))-LEN(SUBSTITUTE(SUBSTITUTE(SUBSTITUTE($G13,"-"," ",LEN($G13)-LEN(SUBSTITUTE($G13,"-",""))),"-"," ",LEN($G13)-LEN(SUBSTITUTE($G13,"-",""))-1),".","")))=0,SUBSTITUTE(SUBSTITUTE($G13,"-"," ",LEN($G13)-LEN(SUBSTITUTE($G13,"-",""))),"-"," ",LEN($G13)-LEN(SUBSTITUTE($G13,"-",""))-1),SUBSTITUTE(SUBSTITUTE(SUBSTITUTE($G13,"-"," ",LEN($G13)-LEN(SUBSTITUTE($G13,"-",""))),"-"," ",LEN($G13)-LEN(SUBSTITUTE($G13,"-",""))-1),"."," ",(LEN(SUBSTITUTE(SUBSTITUTE($G13,"-"," ",LEN($G13)-LEN(SUBSTITUTE($G13,"-",""))),"-"," ",LEN($G13)-LEN(SUBSTITUTE($G13,"-",""))-1))-LEN(SUBSTITUTE(SUBSTITUTE(SUBSTITUTE($G13,"-"," ",LEN($G13)-LEN(SUBSTITUTE($G13,"-",""))),"-"," ",LEN($G13)-LEN(SUBSTITUTE($G13,"-",""))-1),".",""))))),$G13)))</f>
        <v/>
      </c>
    </row>
    <row r="14">
      <c r="A14" s="58" t="n"/>
      <c r="B14" s="58">
        <f>IF($H14="","",LEFT($H14,FIND(" ",$H14&amp;" ")-1))</f>
        <v/>
      </c>
      <c r="C14" s="58">
        <f>IF($H14="","",IFERROR(MID($H14&amp;" ",FIND("|",SUBSTITUTE($H14&amp;" "," ","|",1))+1,FIND("|",SUBSTITUTE($H14&amp;" "," ","|",2))-FIND("|",SUBSTITUTE($H14&amp;" "," ","|",1))-1),""))</f>
        <v/>
      </c>
      <c r="D14" s="58">
        <f>IF($H14="","",IFERROR(MID($H14&amp;" ",FIND("|",SUBSTITUTE($H14&amp;" "," ","|",2))+1,FIND("|",SUBSTITUTE($H14&amp;" "," ","|",3))-FIND("|",SUBSTITUTE($H14&amp;" "," ","|",2))-1),""))</f>
        <v/>
      </c>
      <c r="E14" s="58">
        <f>IF($H14="","",IFERROR(MID($H14&amp;" ",FIND("|",SUBSTITUTE($H14&amp;" "," ","|",3))+1,FIND("|",SUBSTITUTE($H14&amp;" "," ","|",4))-FIND("|",SUBSTITUTE($H14&amp;" "," ","|",3))-1),""))</f>
        <v/>
      </c>
      <c r="F14" s="59">
        <f>IF($H14="","",IFERROR(VALUE(IFERROR(MID($H14&amp;" ",FIND("|",SUBSTITUTE($H14&amp;" "," ","|",4))+1,FIND("|",SUBSTITUTE($H14&amp;" "," ","|",5))-FIND("|",SUBSTITUTE($H14&amp;" "," ","|",4))-1),""))/86400+25569+9/24,""))</f>
        <v/>
      </c>
      <c r="G14" s="58">
        <f>TRIM(SUBSTITUTE(SUBSTITUTE(SUBSTITUTE($A14,CHAR(9)," ")," "," "),CHAR(13),""))</f>
        <v/>
      </c>
      <c r="H14" s="58">
        <f>IF($G14="","",IF(ISNUMBER(FIND(" ",$G14)),$G14,IFERROR(IF((LEN(SUBSTITUTE(SUBSTITUTE($G14,"-"," ",LEN($G14)-LEN(SUBSTITUTE($G14,"-",""))),"-"," ",LEN($G14)-LEN(SUBSTITUTE($G14,"-",""))-1))-LEN(SUBSTITUTE(SUBSTITUTE(SUBSTITUTE($G14,"-"," ",LEN($G14)-LEN(SUBSTITUTE($G14,"-",""))),"-"," ",LEN($G14)-LEN(SUBSTITUTE($G14,"-",""))-1),".","")))=0,SUBSTITUTE(SUBSTITUTE($G14,"-"," ",LEN($G14)-LEN(SUBSTITUTE($G14,"-",""))),"-"," ",LEN($G14)-LEN(SUBSTITUTE($G14,"-",""))-1),SUBSTITUTE(SUBSTITUTE(SUBSTITUTE($G14,"-"," ",LEN($G14)-LEN(SUBSTITUTE($G14,"-",""))),"-"," ",LEN($G14)-LEN(SUBSTITUTE($G14,"-",""))-1),"."," ",(LEN(SUBSTITUTE(SUBSTITUTE($G14,"-"," ",LEN($G14)-LEN(SUBSTITUTE($G14,"-",""))),"-"," ",LEN($G14)-LEN(SUBSTITUTE($G14,"-",""))-1))-LEN(SUBSTITUTE(SUBSTITUTE(SUBSTITUTE($G14,"-"," ",LEN($G14)-LEN(SUBSTITUTE($G14,"-",""))),"-"," ",LEN($G14)-LEN(SUBSTITUTE($G14,"-",""))-1),".",""))))),$G14)))</f>
        <v/>
      </c>
    </row>
    <row r="15">
      <c r="A15" s="58" t="n"/>
      <c r="B15" s="58">
        <f>IF($H15="","",LEFT($H15,FIND(" ",$H15&amp;" ")-1))</f>
        <v/>
      </c>
      <c r="C15" s="58">
        <f>IF($H15="","",IFERROR(MID($H15&amp;" ",FIND("|",SUBSTITUTE($H15&amp;" "," ","|",1))+1,FIND("|",SUBSTITUTE($H15&amp;" "," ","|",2))-FIND("|",SUBSTITUTE($H15&amp;" "," ","|",1))-1),""))</f>
        <v/>
      </c>
      <c r="D15" s="58">
        <f>IF($H15="","",IFERROR(MID($H15&amp;" ",FIND("|",SUBSTITUTE($H15&amp;" "," ","|",2))+1,FIND("|",SUBSTITUTE($H15&amp;" "," ","|",3))-FIND("|",SUBSTITUTE($H15&amp;" "," ","|",2))-1),""))</f>
        <v/>
      </c>
      <c r="E15" s="58">
        <f>IF($H15="","",IFERROR(MID($H15&amp;" ",FIND("|",SUBSTITUTE($H15&amp;" "," ","|",3))+1,FIND("|",SUBSTITUTE($H15&amp;" "," ","|",4))-FIND("|",SUBSTITUTE($H15&amp;" "," ","|",3))-1),""))</f>
        <v/>
      </c>
      <c r="F15" s="59">
        <f>IF($H15="","",IFERROR(VALUE(IFERROR(MID($H15&amp;" ",FIND("|",SUBSTITUTE($H15&amp;" "," ","|",4))+1,FIND("|",SUBSTITUTE($H15&amp;" "," ","|",5))-FIND("|",SUBSTITUTE($H15&amp;" "," ","|",4))-1),""))/86400+25569+9/24,""))</f>
        <v/>
      </c>
      <c r="G15" s="58">
        <f>TRIM(SUBSTITUTE(SUBSTITUTE(SUBSTITUTE($A15,CHAR(9)," ")," "," "),CHAR(13),""))</f>
        <v/>
      </c>
      <c r="H15" s="58">
        <f>IF($G15="","",IF(ISNUMBER(FIND(" ",$G15)),$G15,IFERROR(IF((LEN(SUBSTITUTE(SUBSTITUTE($G15,"-"," ",LEN($G15)-LEN(SUBSTITUTE($G15,"-",""))),"-"," ",LEN($G15)-LEN(SUBSTITUTE($G15,"-",""))-1))-LEN(SUBSTITUTE(SUBSTITUTE(SUBSTITUTE($G15,"-"," ",LEN($G15)-LEN(SUBSTITUTE($G15,"-",""))),"-"," ",LEN($G15)-LEN(SUBSTITUTE($G15,"-",""))-1),".","")))=0,SUBSTITUTE(SUBSTITUTE($G15,"-"," ",LEN($G15)-LEN(SUBSTITUTE($G15,"-",""))),"-"," ",LEN($G15)-LEN(SUBSTITUTE($G15,"-",""))-1),SUBSTITUTE(SUBSTITUTE(SUBSTITUTE($G15,"-"," ",LEN($G15)-LEN(SUBSTITUTE($G15,"-",""))),"-"," ",LEN($G15)-LEN(SUBSTITUTE($G15,"-",""))-1),"."," ",(LEN(SUBSTITUTE(SUBSTITUTE($G15,"-"," ",LEN($G15)-LEN(SUBSTITUTE($G15,"-",""))),"-"," ",LEN($G15)-LEN(SUBSTITUTE($G15,"-",""))-1))-LEN(SUBSTITUTE(SUBSTITUTE(SUBSTITUTE($G15,"-"," ",LEN($G15)-LEN(SUBSTITUTE($G15,"-",""))),"-"," ",LEN($G15)-LEN(SUBSTITUTE($G15,"-",""))-1),".",""))))),$G15)))</f>
        <v/>
      </c>
    </row>
    <row r="16">
      <c r="A16" s="58" t="n"/>
      <c r="B16" s="58">
        <f>IF($H16="","",LEFT($H16,FIND(" ",$H16&amp;" ")-1))</f>
        <v/>
      </c>
      <c r="C16" s="58">
        <f>IF($H16="","",IFERROR(MID($H16&amp;" ",FIND("|",SUBSTITUTE($H16&amp;" "," ","|",1))+1,FIND("|",SUBSTITUTE($H16&amp;" "," ","|",2))-FIND("|",SUBSTITUTE($H16&amp;" "," ","|",1))-1),""))</f>
        <v/>
      </c>
      <c r="D16" s="58">
        <f>IF($H16="","",IFERROR(MID($H16&amp;" ",FIND("|",SUBSTITUTE($H16&amp;" "," ","|",2))+1,FIND("|",SUBSTITUTE($H16&amp;" "," ","|",3))-FIND("|",SUBSTITUTE($H16&amp;" "," ","|",2))-1),""))</f>
        <v/>
      </c>
      <c r="E16" s="58">
        <f>IF($H16="","",IFERROR(MID($H16&amp;" ",FIND("|",SUBSTITUTE($H16&amp;" "," ","|",3))+1,FIND("|",SUBSTITUTE($H16&amp;" "," ","|",4))-FIND("|",SUBSTITUTE($H16&amp;" "," ","|",3))-1),""))</f>
        <v/>
      </c>
      <c r="F16" s="59">
        <f>IF($H16="","",IFERROR(VALUE(IFERROR(MID($H16&amp;" ",FIND("|",SUBSTITUTE($H16&amp;" "," ","|",4))+1,FIND("|",SUBSTITUTE($H16&amp;" "," ","|",5))-FIND("|",SUBSTITUTE($H16&amp;" "," ","|",4))-1),""))/86400+25569+9/24,""))</f>
        <v/>
      </c>
      <c r="G16" s="58">
        <f>TRIM(SUBSTITUTE(SUBSTITUTE(SUBSTITUTE($A16,CHAR(9)," ")," "," "),CHAR(13),""))</f>
        <v/>
      </c>
      <c r="H16" s="58">
        <f>IF($G16="","",IF(ISNUMBER(FIND(" ",$G16)),$G16,IFERROR(IF((LEN(SUBSTITUTE(SUBSTITUTE($G16,"-"," ",LEN($G16)-LEN(SUBSTITUTE($G16,"-",""))),"-"," ",LEN($G16)-LEN(SUBSTITUTE($G16,"-",""))-1))-LEN(SUBSTITUTE(SUBSTITUTE(SUBSTITUTE($G16,"-"," ",LEN($G16)-LEN(SUBSTITUTE($G16,"-",""))),"-"," ",LEN($G16)-LEN(SUBSTITUTE($G16,"-",""))-1),".","")))=0,SUBSTITUTE(SUBSTITUTE($G16,"-"," ",LEN($G16)-LEN(SUBSTITUTE($G16,"-",""))),"-"," ",LEN($G16)-LEN(SUBSTITUTE($G16,"-",""))-1),SUBSTITUTE(SUBSTITUTE(SUBSTITUTE($G16,"-"," ",LEN($G16)-LEN(SUBSTITUTE($G16,"-",""))),"-"," ",LEN($G16)-LEN(SUBSTITUTE($G16,"-",""))-1),"."," ",(LEN(SUBSTITUTE(SUBSTITUTE($G16,"-"," ",LEN($G16)-LEN(SUBSTITUTE($G16,"-",""))),"-"," ",LEN($G16)-LEN(SUBSTITUTE($G16,"-",""))-1))-LEN(SUBSTITUTE(SUBSTITUTE(SUBSTITUTE($G16,"-"," ",LEN($G16)-LEN(SUBSTITUTE($G16,"-",""))),"-"," ",LEN($G16)-LEN(SUBSTITUTE($G16,"-",""))-1),".",""))))),$G16)))</f>
        <v/>
      </c>
    </row>
    <row r="17">
      <c r="A17" s="58" t="n"/>
      <c r="B17" s="58">
        <f>IF($H17="","",LEFT($H17,FIND(" ",$H17&amp;" ")-1))</f>
        <v/>
      </c>
      <c r="C17" s="58">
        <f>IF($H17="","",IFERROR(MID($H17&amp;" ",FIND("|",SUBSTITUTE($H17&amp;" "," ","|",1))+1,FIND("|",SUBSTITUTE($H17&amp;" "," ","|",2))-FIND("|",SUBSTITUTE($H17&amp;" "," ","|",1))-1),""))</f>
        <v/>
      </c>
      <c r="D17" s="58">
        <f>IF($H17="","",IFERROR(MID($H17&amp;" ",FIND("|",SUBSTITUTE($H17&amp;" "," ","|",2))+1,FIND("|",SUBSTITUTE($H17&amp;" "," ","|",3))-FIND("|",SUBSTITUTE($H17&amp;" "," ","|",2))-1),""))</f>
        <v/>
      </c>
      <c r="E17" s="58">
        <f>IF($H17="","",IFERROR(MID($H17&amp;" ",FIND("|",SUBSTITUTE($H17&amp;" "," ","|",3))+1,FIND("|",SUBSTITUTE($H17&amp;" "," ","|",4))-FIND("|",SUBSTITUTE($H17&amp;" "," ","|",3))-1),""))</f>
        <v/>
      </c>
      <c r="F17" s="59">
        <f>IF($H17="","",IFERROR(VALUE(IFERROR(MID($H17&amp;" ",FIND("|",SUBSTITUTE($H17&amp;" "," ","|",4))+1,FIND("|",SUBSTITUTE($H17&amp;" "," ","|",5))-FIND("|",SUBSTITUTE($H17&amp;" "," ","|",4))-1),""))/86400+25569+9/24,""))</f>
        <v/>
      </c>
      <c r="G17" s="58">
        <f>TRIM(SUBSTITUTE(SUBSTITUTE(SUBSTITUTE($A17,CHAR(9)," ")," "," "),CHAR(13),""))</f>
        <v/>
      </c>
      <c r="H17" s="58">
        <f>IF($G17="","",IF(ISNUMBER(FIND(" ",$G17)),$G17,IFERROR(IF((LEN(SUBSTITUTE(SUBSTITUTE($G17,"-"," ",LEN($G17)-LEN(SUBSTITUTE($G17,"-",""))),"-"," ",LEN($G17)-LEN(SUBSTITUTE($G17,"-",""))-1))-LEN(SUBSTITUTE(SUBSTITUTE(SUBSTITUTE($G17,"-"," ",LEN($G17)-LEN(SUBSTITUTE($G17,"-",""))),"-"," ",LEN($G17)-LEN(SUBSTITUTE($G17,"-",""))-1),".","")))=0,SUBSTITUTE(SUBSTITUTE($G17,"-"," ",LEN($G17)-LEN(SUBSTITUTE($G17,"-",""))),"-"," ",LEN($G17)-LEN(SUBSTITUTE($G17,"-",""))-1),SUBSTITUTE(SUBSTITUTE(SUBSTITUTE($G17,"-"," ",LEN($G17)-LEN(SUBSTITUTE($G17,"-",""))),"-"," ",LEN($G17)-LEN(SUBSTITUTE($G17,"-",""))-1),"."," ",(LEN(SUBSTITUTE(SUBSTITUTE($G17,"-"," ",LEN($G17)-LEN(SUBSTITUTE($G17,"-",""))),"-"," ",LEN($G17)-LEN(SUBSTITUTE($G17,"-",""))-1))-LEN(SUBSTITUTE(SUBSTITUTE(SUBSTITUTE($G17,"-"," ",LEN($G17)-LEN(SUBSTITUTE($G17,"-",""))),"-"," ",LEN($G17)-LEN(SUBSTITUTE($G17,"-",""))-1),".",""))))),$G17)))</f>
        <v/>
      </c>
    </row>
    <row r="18">
      <c r="A18" s="58" t="n"/>
      <c r="B18" s="58">
        <f>IF($H18="","",LEFT($H18,FIND(" ",$H18&amp;" ")-1))</f>
        <v/>
      </c>
      <c r="C18" s="58">
        <f>IF($H18="","",IFERROR(MID($H18&amp;" ",FIND("|",SUBSTITUTE($H18&amp;" "," ","|",1))+1,FIND("|",SUBSTITUTE($H18&amp;" "," ","|",2))-FIND("|",SUBSTITUTE($H18&amp;" "," ","|",1))-1),""))</f>
        <v/>
      </c>
      <c r="D18" s="58">
        <f>IF($H18="","",IFERROR(MID($H18&amp;" ",FIND("|",SUBSTITUTE($H18&amp;" "," ","|",2))+1,FIND("|",SUBSTITUTE($H18&amp;" "," ","|",3))-FIND("|",SUBSTITUTE($H18&amp;" "," ","|",2))-1),""))</f>
        <v/>
      </c>
      <c r="E18" s="58">
        <f>IF($H18="","",IFERROR(MID($H18&amp;" ",FIND("|",SUBSTITUTE($H18&amp;" "," ","|",3))+1,FIND("|",SUBSTITUTE($H18&amp;" "," ","|",4))-FIND("|",SUBSTITUTE($H18&amp;" "," ","|",3))-1),""))</f>
        <v/>
      </c>
      <c r="F18" s="59">
        <f>IF($H18="","",IFERROR(VALUE(IFERROR(MID($H18&amp;" ",FIND("|",SUBSTITUTE($H18&amp;" "," ","|",4))+1,FIND("|",SUBSTITUTE($H18&amp;" "," ","|",5))-FIND("|",SUBSTITUTE($H18&amp;" "," ","|",4))-1),""))/86400+25569+9/24,""))</f>
        <v/>
      </c>
      <c r="G18" s="58">
        <f>TRIM(SUBSTITUTE(SUBSTITUTE(SUBSTITUTE($A18,CHAR(9)," ")," "," "),CHAR(13),""))</f>
        <v/>
      </c>
      <c r="H18" s="58">
        <f>IF($G18="","",IF(ISNUMBER(FIND(" ",$G18)),$G18,IFERROR(IF((LEN(SUBSTITUTE(SUBSTITUTE($G18,"-"," ",LEN($G18)-LEN(SUBSTITUTE($G18,"-",""))),"-"," ",LEN($G18)-LEN(SUBSTITUTE($G18,"-",""))-1))-LEN(SUBSTITUTE(SUBSTITUTE(SUBSTITUTE($G18,"-"," ",LEN($G18)-LEN(SUBSTITUTE($G18,"-",""))),"-"," ",LEN($G18)-LEN(SUBSTITUTE($G18,"-",""))-1),".","")))=0,SUBSTITUTE(SUBSTITUTE($G18,"-"," ",LEN($G18)-LEN(SUBSTITUTE($G18,"-",""))),"-"," ",LEN($G18)-LEN(SUBSTITUTE($G18,"-",""))-1),SUBSTITUTE(SUBSTITUTE(SUBSTITUTE($G18,"-"," ",LEN($G18)-LEN(SUBSTITUTE($G18,"-",""))),"-"," ",LEN($G18)-LEN(SUBSTITUTE($G18,"-",""))-1),"."," ",(LEN(SUBSTITUTE(SUBSTITUTE($G18,"-"," ",LEN($G18)-LEN(SUBSTITUTE($G18,"-",""))),"-"," ",LEN($G18)-LEN(SUBSTITUTE($G18,"-",""))-1))-LEN(SUBSTITUTE(SUBSTITUTE(SUBSTITUTE($G18,"-"," ",LEN($G18)-LEN(SUBSTITUTE($G18,"-",""))),"-"," ",LEN($G18)-LEN(SUBSTITUTE($G18,"-",""))-1),".",""))))),$G18)))</f>
        <v/>
      </c>
    </row>
    <row r="19">
      <c r="A19" s="58" t="n"/>
      <c r="B19" s="58">
        <f>IF($H19="","",LEFT($H19,FIND(" ",$H19&amp;" ")-1))</f>
        <v/>
      </c>
      <c r="C19" s="58">
        <f>IF($H19="","",IFERROR(MID($H19&amp;" ",FIND("|",SUBSTITUTE($H19&amp;" "," ","|",1))+1,FIND("|",SUBSTITUTE($H19&amp;" "," ","|",2))-FIND("|",SUBSTITUTE($H19&amp;" "," ","|",1))-1),""))</f>
        <v/>
      </c>
      <c r="D19" s="58">
        <f>IF($H19="","",IFERROR(MID($H19&amp;" ",FIND("|",SUBSTITUTE($H19&amp;" "," ","|",2))+1,FIND("|",SUBSTITUTE($H19&amp;" "," ","|",3))-FIND("|",SUBSTITUTE($H19&amp;" "," ","|",2))-1),""))</f>
        <v/>
      </c>
      <c r="E19" s="58">
        <f>IF($H19="","",IFERROR(MID($H19&amp;" ",FIND("|",SUBSTITUTE($H19&amp;" "," ","|",3))+1,FIND("|",SUBSTITUTE($H19&amp;" "," ","|",4))-FIND("|",SUBSTITUTE($H19&amp;" "," ","|",3))-1),""))</f>
        <v/>
      </c>
      <c r="F19" s="59">
        <f>IF($H19="","",IFERROR(VALUE(IFERROR(MID($H19&amp;" ",FIND("|",SUBSTITUTE($H19&amp;" "," ","|",4))+1,FIND("|",SUBSTITUTE($H19&amp;" "," ","|",5))-FIND("|",SUBSTITUTE($H19&amp;" "," ","|",4))-1),""))/86400+25569+9/24,""))</f>
        <v/>
      </c>
      <c r="G19" s="58">
        <f>TRIM(SUBSTITUTE(SUBSTITUTE(SUBSTITUTE($A19,CHAR(9)," ")," "," "),CHAR(13),""))</f>
        <v/>
      </c>
      <c r="H19" s="58">
        <f>IF($G19="","",IF(ISNUMBER(FIND(" ",$G19)),$G19,IFERROR(IF((LEN(SUBSTITUTE(SUBSTITUTE($G19,"-"," ",LEN($G19)-LEN(SUBSTITUTE($G19,"-",""))),"-"," ",LEN($G19)-LEN(SUBSTITUTE($G19,"-",""))-1))-LEN(SUBSTITUTE(SUBSTITUTE(SUBSTITUTE($G19,"-"," ",LEN($G19)-LEN(SUBSTITUTE($G19,"-",""))),"-"," ",LEN($G19)-LEN(SUBSTITUTE($G19,"-",""))-1),".","")))=0,SUBSTITUTE(SUBSTITUTE($G19,"-"," ",LEN($G19)-LEN(SUBSTITUTE($G19,"-",""))),"-"," ",LEN($G19)-LEN(SUBSTITUTE($G19,"-",""))-1),SUBSTITUTE(SUBSTITUTE(SUBSTITUTE($G19,"-"," ",LEN($G19)-LEN(SUBSTITUTE($G19,"-",""))),"-"," ",LEN($G19)-LEN(SUBSTITUTE($G19,"-",""))-1),"."," ",(LEN(SUBSTITUTE(SUBSTITUTE($G19,"-"," ",LEN($G19)-LEN(SUBSTITUTE($G19,"-",""))),"-"," ",LEN($G19)-LEN(SUBSTITUTE($G19,"-",""))-1))-LEN(SUBSTITUTE(SUBSTITUTE(SUBSTITUTE($G19,"-"," ",LEN($G19)-LEN(SUBSTITUTE($G19,"-",""))),"-"," ",LEN($G19)-LEN(SUBSTITUTE($G19,"-",""))-1),".",""))))),$G19)))</f>
        <v/>
      </c>
    </row>
    <row r="20">
      <c r="A20" s="58" t="n"/>
      <c r="B20" s="58">
        <f>IF($H20="","",LEFT($H20,FIND(" ",$H20&amp;" ")-1))</f>
        <v/>
      </c>
      <c r="C20" s="58">
        <f>IF($H20="","",IFERROR(MID($H20&amp;" ",FIND("|",SUBSTITUTE($H20&amp;" "," ","|",1))+1,FIND("|",SUBSTITUTE($H20&amp;" "," ","|",2))-FIND("|",SUBSTITUTE($H20&amp;" "," ","|",1))-1),""))</f>
        <v/>
      </c>
      <c r="D20" s="58">
        <f>IF($H20="","",IFERROR(MID($H20&amp;" ",FIND("|",SUBSTITUTE($H20&amp;" "," ","|",2))+1,FIND("|",SUBSTITUTE($H20&amp;" "," ","|",3))-FIND("|",SUBSTITUTE($H20&amp;" "," ","|",2))-1),""))</f>
        <v/>
      </c>
      <c r="E20" s="58">
        <f>IF($H20="","",IFERROR(MID($H20&amp;" ",FIND("|",SUBSTITUTE($H20&amp;" "," ","|",3))+1,FIND("|",SUBSTITUTE($H20&amp;" "," ","|",4))-FIND("|",SUBSTITUTE($H20&amp;" "," ","|",3))-1),""))</f>
        <v/>
      </c>
      <c r="F20" s="59">
        <f>IF($H20="","",IFERROR(VALUE(IFERROR(MID($H20&amp;" ",FIND("|",SUBSTITUTE($H20&amp;" "," ","|",4))+1,FIND("|",SUBSTITUTE($H20&amp;" "," ","|",5))-FIND("|",SUBSTITUTE($H20&amp;" "," ","|",4))-1),""))/86400+25569+9/24,""))</f>
        <v/>
      </c>
      <c r="G20" s="58">
        <f>TRIM(SUBSTITUTE(SUBSTITUTE(SUBSTITUTE($A20,CHAR(9)," ")," "," "),CHAR(13),""))</f>
        <v/>
      </c>
      <c r="H20" s="58">
        <f>IF($G20="","",IF(ISNUMBER(FIND(" ",$G20)),$G20,IFERROR(IF((LEN(SUBSTITUTE(SUBSTITUTE($G20,"-"," ",LEN($G20)-LEN(SUBSTITUTE($G20,"-",""))),"-"," ",LEN($G20)-LEN(SUBSTITUTE($G20,"-",""))-1))-LEN(SUBSTITUTE(SUBSTITUTE(SUBSTITUTE($G20,"-"," ",LEN($G20)-LEN(SUBSTITUTE($G20,"-",""))),"-"," ",LEN($G20)-LEN(SUBSTITUTE($G20,"-",""))-1),".","")))=0,SUBSTITUTE(SUBSTITUTE($G20,"-"," ",LEN($G20)-LEN(SUBSTITUTE($G20,"-",""))),"-"," ",LEN($G20)-LEN(SUBSTITUTE($G20,"-",""))-1),SUBSTITUTE(SUBSTITUTE(SUBSTITUTE($G20,"-"," ",LEN($G20)-LEN(SUBSTITUTE($G20,"-",""))),"-"," ",LEN($G20)-LEN(SUBSTITUTE($G20,"-",""))-1),"."," ",(LEN(SUBSTITUTE(SUBSTITUTE($G20,"-"," ",LEN($G20)-LEN(SUBSTITUTE($G20,"-",""))),"-"," ",LEN($G20)-LEN(SUBSTITUTE($G20,"-",""))-1))-LEN(SUBSTITUTE(SUBSTITUTE(SUBSTITUTE($G20,"-"," ",LEN($G20)-LEN(SUBSTITUTE($G20,"-",""))),"-"," ",LEN($G20)-LEN(SUBSTITUTE($G20,"-",""))-1),".",""))))),$G20)))</f>
        <v/>
      </c>
    </row>
    <row r="21">
      <c r="A21" s="58" t="n"/>
      <c r="B21" s="58">
        <f>IF($H21="","",LEFT($H21,FIND(" ",$H21&amp;" ")-1))</f>
        <v/>
      </c>
      <c r="C21" s="58">
        <f>IF($H21="","",IFERROR(MID($H21&amp;" ",FIND("|",SUBSTITUTE($H21&amp;" "," ","|",1))+1,FIND("|",SUBSTITUTE($H21&amp;" "," ","|",2))-FIND("|",SUBSTITUTE($H21&amp;" "," ","|",1))-1),""))</f>
        <v/>
      </c>
      <c r="D21" s="58">
        <f>IF($H21="","",IFERROR(MID($H21&amp;" ",FIND("|",SUBSTITUTE($H21&amp;" "," ","|",2))+1,FIND("|",SUBSTITUTE($H21&amp;" "," ","|",3))-FIND("|",SUBSTITUTE($H21&amp;" "," ","|",2))-1),""))</f>
        <v/>
      </c>
      <c r="E21" s="58">
        <f>IF($H21="","",IFERROR(MID($H21&amp;" ",FIND("|",SUBSTITUTE($H21&amp;" "," ","|",3))+1,FIND("|",SUBSTITUTE($H21&amp;" "," ","|",4))-FIND("|",SUBSTITUTE($H21&amp;" "," ","|",3))-1),""))</f>
        <v/>
      </c>
      <c r="F21" s="59">
        <f>IF($H21="","",IFERROR(VALUE(IFERROR(MID($H21&amp;" ",FIND("|",SUBSTITUTE($H21&amp;" "," ","|",4))+1,FIND("|",SUBSTITUTE($H21&amp;" "," ","|",5))-FIND("|",SUBSTITUTE($H21&amp;" "," ","|",4))-1),""))/86400+25569+9/24,""))</f>
        <v/>
      </c>
      <c r="G21" s="58">
        <f>TRIM(SUBSTITUTE(SUBSTITUTE(SUBSTITUTE($A21,CHAR(9)," ")," "," "),CHAR(13),""))</f>
        <v/>
      </c>
      <c r="H21" s="58">
        <f>IF($G21="","",IF(ISNUMBER(FIND(" ",$G21)),$G21,IFERROR(IF((LEN(SUBSTITUTE(SUBSTITUTE($G21,"-"," ",LEN($G21)-LEN(SUBSTITUTE($G21,"-",""))),"-"," ",LEN($G21)-LEN(SUBSTITUTE($G21,"-",""))-1))-LEN(SUBSTITUTE(SUBSTITUTE(SUBSTITUTE($G21,"-"," ",LEN($G21)-LEN(SUBSTITUTE($G21,"-",""))),"-"," ",LEN($G21)-LEN(SUBSTITUTE($G21,"-",""))-1),".","")))=0,SUBSTITUTE(SUBSTITUTE($G21,"-"," ",LEN($G21)-LEN(SUBSTITUTE($G21,"-",""))),"-"," ",LEN($G21)-LEN(SUBSTITUTE($G21,"-",""))-1),SUBSTITUTE(SUBSTITUTE(SUBSTITUTE($G21,"-"," ",LEN($G21)-LEN(SUBSTITUTE($G21,"-",""))),"-"," ",LEN($G21)-LEN(SUBSTITUTE($G21,"-",""))-1),"."," ",(LEN(SUBSTITUTE(SUBSTITUTE($G21,"-"," ",LEN($G21)-LEN(SUBSTITUTE($G21,"-",""))),"-"," ",LEN($G21)-LEN(SUBSTITUTE($G21,"-",""))-1))-LEN(SUBSTITUTE(SUBSTITUTE(SUBSTITUTE($G21,"-"," ",LEN($G21)-LEN(SUBSTITUTE($G21,"-",""))),"-"," ",LEN($G21)-LEN(SUBSTITUTE($G21,"-",""))-1),".",""))))),$G21)))</f>
        <v/>
      </c>
    </row>
    <row r="22">
      <c r="A22" s="58" t="n"/>
      <c r="B22" s="58">
        <f>IF($H22="","",LEFT($H22,FIND(" ",$H22&amp;" ")-1))</f>
        <v/>
      </c>
      <c r="C22" s="58">
        <f>IF($H22="","",IFERROR(MID($H22&amp;" ",FIND("|",SUBSTITUTE($H22&amp;" "," ","|",1))+1,FIND("|",SUBSTITUTE($H22&amp;" "," ","|",2))-FIND("|",SUBSTITUTE($H22&amp;" "," ","|",1))-1),""))</f>
        <v/>
      </c>
      <c r="D22" s="58">
        <f>IF($H22="","",IFERROR(MID($H22&amp;" ",FIND("|",SUBSTITUTE($H22&amp;" "," ","|",2))+1,FIND("|",SUBSTITUTE($H22&amp;" "," ","|",3))-FIND("|",SUBSTITUTE($H22&amp;" "," ","|",2))-1),""))</f>
        <v/>
      </c>
      <c r="E22" s="58">
        <f>IF($H22="","",IFERROR(MID($H22&amp;" ",FIND("|",SUBSTITUTE($H22&amp;" "," ","|",3))+1,FIND("|",SUBSTITUTE($H22&amp;" "," ","|",4))-FIND("|",SUBSTITUTE($H22&amp;" "," ","|",3))-1),""))</f>
        <v/>
      </c>
      <c r="F22" s="59">
        <f>IF($H22="","",IFERROR(VALUE(IFERROR(MID($H22&amp;" ",FIND("|",SUBSTITUTE($H22&amp;" "," ","|",4))+1,FIND("|",SUBSTITUTE($H22&amp;" "," ","|",5))-FIND("|",SUBSTITUTE($H22&amp;" "," ","|",4))-1),""))/86400+25569+9/24,""))</f>
        <v/>
      </c>
      <c r="G22" s="58">
        <f>TRIM(SUBSTITUTE(SUBSTITUTE(SUBSTITUTE($A22,CHAR(9)," ")," "," "),CHAR(13),""))</f>
        <v/>
      </c>
      <c r="H22" s="58">
        <f>IF($G22="","",IF(ISNUMBER(FIND(" ",$G22)),$G22,IFERROR(IF((LEN(SUBSTITUTE(SUBSTITUTE($G22,"-"," ",LEN($G22)-LEN(SUBSTITUTE($G22,"-",""))),"-"," ",LEN($G22)-LEN(SUBSTITUTE($G22,"-",""))-1))-LEN(SUBSTITUTE(SUBSTITUTE(SUBSTITUTE($G22,"-"," ",LEN($G22)-LEN(SUBSTITUTE($G22,"-",""))),"-"," ",LEN($G22)-LEN(SUBSTITUTE($G22,"-",""))-1),".","")))=0,SUBSTITUTE(SUBSTITUTE($G22,"-"," ",LEN($G22)-LEN(SUBSTITUTE($G22,"-",""))),"-"," ",LEN($G22)-LEN(SUBSTITUTE($G22,"-",""))-1),SUBSTITUTE(SUBSTITUTE(SUBSTITUTE($G22,"-"," ",LEN($G22)-LEN(SUBSTITUTE($G22,"-",""))),"-"," ",LEN($G22)-LEN(SUBSTITUTE($G22,"-",""))-1),"."," ",(LEN(SUBSTITUTE(SUBSTITUTE($G22,"-"," ",LEN($G22)-LEN(SUBSTITUTE($G22,"-",""))),"-"," ",LEN($G22)-LEN(SUBSTITUTE($G22,"-",""))-1))-LEN(SUBSTITUTE(SUBSTITUTE(SUBSTITUTE($G22,"-"," ",LEN($G22)-LEN(SUBSTITUTE($G22,"-",""))),"-"," ",LEN($G22)-LEN(SUBSTITUTE($G22,"-",""))-1),".",""))))),$G22)))</f>
        <v/>
      </c>
    </row>
    <row r="23">
      <c r="A23" s="58" t="n"/>
      <c r="B23" s="58">
        <f>IF($H23="","",LEFT($H23,FIND(" ",$H23&amp;" ")-1))</f>
        <v/>
      </c>
      <c r="C23" s="58">
        <f>IF($H23="","",IFERROR(MID($H23&amp;" ",FIND("|",SUBSTITUTE($H23&amp;" "," ","|",1))+1,FIND("|",SUBSTITUTE($H23&amp;" "," ","|",2))-FIND("|",SUBSTITUTE($H23&amp;" "," ","|",1))-1),""))</f>
        <v/>
      </c>
      <c r="D23" s="58">
        <f>IF($H23="","",IFERROR(MID($H23&amp;" ",FIND("|",SUBSTITUTE($H23&amp;" "," ","|",2))+1,FIND("|",SUBSTITUTE($H23&amp;" "," ","|",3))-FIND("|",SUBSTITUTE($H23&amp;" "," ","|",2))-1),""))</f>
        <v/>
      </c>
      <c r="E23" s="58">
        <f>IF($H23="","",IFERROR(MID($H23&amp;" ",FIND("|",SUBSTITUTE($H23&amp;" "," ","|",3))+1,FIND("|",SUBSTITUTE($H23&amp;" "," ","|",4))-FIND("|",SUBSTITUTE($H23&amp;" "," ","|",3))-1),""))</f>
        <v/>
      </c>
      <c r="F23" s="59">
        <f>IF($H23="","",IFERROR(VALUE(IFERROR(MID($H23&amp;" ",FIND("|",SUBSTITUTE($H23&amp;" "," ","|",4))+1,FIND("|",SUBSTITUTE($H23&amp;" "," ","|",5))-FIND("|",SUBSTITUTE($H23&amp;" "," ","|",4))-1),""))/86400+25569+9/24,""))</f>
        <v/>
      </c>
      <c r="G23" s="58">
        <f>TRIM(SUBSTITUTE(SUBSTITUTE(SUBSTITUTE($A23,CHAR(9)," ")," "," "),CHAR(13),""))</f>
        <v/>
      </c>
      <c r="H23" s="58">
        <f>IF($G23="","",IF(ISNUMBER(FIND(" ",$G23)),$G23,IFERROR(IF((LEN(SUBSTITUTE(SUBSTITUTE($G23,"-"," ",LEN($G23)-LEN(SUBSTITUTE($G23,"-",""))),"-"," ",LEN($G23)-LEN(SUBSTITUTE($G23,"-",""))-1))-LEN(SUBSTITUTE(SUBSTITUTE(SUBSTITUTE($G23,"-"," ",LEN($G23)-LEN(SUBSTITUTE($G23,"-",""))),"-"," ",LEN($G23)-LEN(SUBSTITUTE($G23,"-",""))-1),".","")))=0,SUBSTITUTE(SUBSTITUTE($G23,"-"," ",LEN($G23)-LEN(SUBSTITUTE($G23,"-",""))),"-"," ",LEN($G23)-LEN(SUBSTITUTE($G23,"-",""))-1),SUBSTITUTE(SUBSTITUTE(SUBSTITUTE($G23,"-"," ",LEN($G23)-LEN(SUBSTITUTE($G23,"-",""))),"-"," ",LEN($G23)-LEN(SUBSTITUTE($G23,"-",""))-1),"."," ",(LEN(SUBSTITUTE(SUBSTITUTE($G23,"-"," ",LEN($G23)-LEN(SUBSTITUTE($G23,"-",""))),"-"," ",LEN($G23)-LEN(SUBSTITUTE($G23,"-",""))-1))-LEN(SUBSTITUTE(SUBSTITUTE(SUBSTITUTE($G23,"-"," ",LEN($G23)-LEN(SUBSTITUTE($G23,"-",""))),"-"," ",LEN($G23)-LEN(SUBSTITUTE($G23,"-",""))-1),".",""))))),$G23)))</f>
        <v/>
      </c>
    </row>
    <row r="24">
      <c r="A24" s="58" t="n"/>
      <c r="B24" s="58">
        <f>IF($H24="","",LEFT($H24,FIND(" ",$H24&amp;" ")-1))</f>
        <v/>
      </c>
      <c r="C24" s="58">
        <f>IF($H24="","",IFERROR(MID($H24&amp;" ",FIND("|",SUBSTITUTE($H24&amp;" "," ","|",1))+1,FIND("|",SUBSTITUTE($H24&amp;" "," ","|",2))-FIND("|",SUBSTITUTE($H24&amp;" "," ","|",1))-1),""))</f>
        <v/>
      </c>
      <c r="D24" s="58">
        <f>IF($H24="","",IFERROR(MID($H24&amp;" ",FIND("|",SUBSTITUTE($H24&amp;" "," ","|",2))+1,FIND("|",SUBSTITUTE($H24&amp;" "," ","|",3))-FIND("|",SUBSTITUTE($H24&amp;" "," ","|",2))-1),""))</f>
        <v/>
      </c>
      <c r="E24" s="58">
        <f>IF($H24="","",IFERROR(MID($H24&amp;" ",FIND("|",SUBSTITUTE($H24&amp;" "," ","|",3))+1,FIND("|",SUBSTITUTE($H24&amp;" "," ","|",4))-FIND("|",SUBSTITUTE($H24&amp;" "," ","|",3))-1),""))</f>
        <v/>
      </c>
      <c r="F24" s="59">
        <f>IF($H24="","",IFERROR(VALUE(IFERROR(MID($H24&amp;" ",FIND("|",SUBSTITUTE($H24&amp;" "," ","|",4))+1,FIND("|",SUBSTITUTE($H24&amp;" "," ","|",5))-FIND("|",SUBSTITUTE($H24&amp;" "," ","|",4))-1),""))/86400+25569+9/24,""))</f>
        <v/>
      </c>
      <c r="G24" s="58">
        <f>TRIM(SUBSTITUTE(SUBSTITUTE(SUBSTITUTE($A24,CHAR(9)," ")," "," "),CHAR(13),""))</f>
        <v/>
      </c>
      <c r="H24" s="58">
        <f>IF($G24="","",IF(ISNUMBER(FIND(" ",$G24)),$G24,IFERROR(IF((LEN(SUBSTITUTE(SUBSTITUTE($G24,"-"," ",LEN($G24)-LEN(SUBSTITUTE($G24,"-",""))),"-"," ",LEN($G24)-LEN(SUBSTITUTE($G24,"-",""))-1))-LEN(SUBSTITUTE(SUBSTITUTE(SUBSTITUTE($G24,"-"," ",LEN($G24)-LEN(SUBSTITUTE($G24,"-",""))),"-"," ",LEN($G24)-LEN(SUBSTITUTE($G24,"-",""))-1),".","")))=0,SUBSTITUTE(SUBSTITUTE($G24,"-"," ",LEN($G24)-LEN(SUBSTITUTE($G24,"-",""))),"-"," ",LEN($G24)-LEN(SUBSTITUTE($G24,"-",""))-1),SUBSTITUTE(SUBSTITUTE(SUBSTITUTE($G24,"-"," ",LEN($G24)-LEN(SUBSTITUTE($G24,"-",""))),"-"," ",LEN($G24)-LEN(SUBSTITUTE($G24,"-",""))-1),"."," ",(LEN(SUBSTITUTE(SUBSTITUTE($G24,"-"," ",LEN($G24)-LEN(SUBSTITUTE($G24,"-",""))),"-"," ",LEN($G24)-LEN(SUBSTITUTE($G24,"-",""))-1))-LEN(SUBSTITUTE(SUBSTITUTE(SUBSTITUTE($G24,"-"," ",LEN($G24)-LEN(SUBSTITUTE($G24,"-",""))),"-"," ",LEN($G24)-LEN(SUBSTITUTE($G24,"-",""))-1),".",""))))),$G24)))</f>
        <v/>
      </c>
    </row>
    <row r="25">
      <c r="A25" s="58" t="n"/>
      <c r="B25" s="58">
        <f>IF($H25="","",LEFT($H25,FIND(" ",$H25&amp;" ")-1))</f>
        <v/>
      </c>
      <c r="C25" s="58">
        <f>IF($H25="","",IFERROR(MID($H25&amp;" ",FIND("|",SUBSTITUTE($H25&amp;" "," ","|",1))+1,FIND("|",SUBSTITUTE($H25&amp;" "," ","|",2))-FIND("|",SUBSTITUTE($H25&amp;" "," ","|",1))-1),""))</f>
        <v/>
      </c>
      <c r="D25" s="58">
        <f>IF($H25="","",IFERROR(MID($H25&amp;" ",FIND("|",SUBSTITUTE($H25&amp;" "," ","|",2))+1,FIND("|",SUBSTITUTE($H25&amp;" "," ","|",3))-FIND("|",SUBSTITUTE($H25&amp;" "," ","|",2))-1),""))</f>
        <v/>
      </c>
      <c r="E25" s="58">
        <f>IF($H25="","",IFERROR(MID($H25&amp;" ",FIND("|",SUBSTITUTE($H25&amp;" "," ","|",3))+1,FIND("|",SUBSTITUTE($H25&amp;" "," ","|",4))-FIND("|",SUBSTITUTE($H25&amp;" "," ","|",3))-1),""))</f>
        <v/>
      </c>
      <c r="F25" s="59">
        <f>IF($H25="","",IFERROR(VALUE(IFERROR(MID($H25&amp;" ",FIND("|",SUBSTITUTE($H25&amp;" "," ","|",4))+1,FIND("|",SUBSTITUTE($H25&amp;" "," ","|",5))-FIND("|",SUBSTITUTE($H25&amp;" "," ","|",4))-1),""))/86400+25569+9/24,""))</f>
        <v/>
      </c>
      <c r="G25" s="58">
        <f>TRIM(SUBSTITUTE(SUBSTITUTE(SUBSTITUTE($A25,CHAR(9)," ")," "," "),CHAR(13),""))</f>
        <v/>
      </c>
      <c r="H25" s="58">
        <f>IF($G25="","",IF(ISNUMBER(FIND(" ",$G25)),$G25,IFERROR(IF((LEN(SUBSTITUTE(SUBSTITUTE($G25,"-"," ",LEN($G25)-LEN(SUBSTITUTE($G25,"-",""))),"-"," ",LEN($G25)-LEN(SUBSTITUTE($G25,"-",""))-1))-LEN(SUBSTITUTE(SUBSTITUTE(SUBSTITUTE($G25,"-"," ",LEN($G25)-LEN(SUBSTITUTE($G25,"-",""))),"-"," ",LEN($G25)-LEN(SUBSTITUTE($G25,"-",""))-1),".","")))=0,SUBSTITUTE(SUBSTITUTE($G25,"-"," ",LEN($G25)-LEN(SUBSTITUTE($G25,"-",""))),"-"," ",LEN($G25)-LEN(SUBSTITUTE($G25,"-",""))-1),SUBSTITUTE(SUBSTITUTE(SUBSTITUTE($G25,"-"," ",LEN($G25)-LEN(SUBSTITUTE($G25,"-",""))),"-"," ",LEN($G25)-LEN(SUBSTITUTE($G25,"-",""))-1),"."," ",(LEN(SUBSTITUTE(SUBSTITUTE($G25,"-"," ",LEN($G25)-LEN(SUBSTITUTE($G25,"-",""))),"-"," ",LEN($G25)-LEN(SUBSTITUTE($G25,"-",""))-1))-LEN(SUBSTITUTE(SUBSTITUTE(SUBSTITUTE($G25,"-"," ",LEN($G25)-LEN(SUBSTITUTE($G25,"-",""))),"-"," ",LEN($G25)-LEN(SUBSTITUTE($G25,"-",""))-1),".",""))))),$G25)))</f>
        <v/>
      </c>
    </row>
    <row r="26">
      <c r="A26" s="58" t="n"/>
      <c r="B26" s="58">
        <f>IF($H26="","",LEFT($H26,FIND(" ",$H26&amp;" ")-1))</f>
        <v/>
      </c>
      <c r="C26" s="58">
        <f>IF($H26="","",IFERROR(MID($H26&amp;" ",FIND("|",SUBSTITUTE($H26&amp;" "," ","|",1))+1,FIND("|",SUBSTITUTE($H26&amp;" "," ","|",2))-FIND("|",SUBSTITUTE($H26&amp;" "," ","|",1))-1),""))</f>
        <v/>
      </c>
      <c r="D26" s="58">
        <f>IF($H26="","",IFERROR(MID($H26&amp;" ",FIND("|",SUBSTITUTE($H26&amp;" "," ","|",2))+1,FIND("|",SUBSTITUTE($H26&amp;" "," ","|",3))-FIND("|",SUBSTITUTE($H26&amp;" "," ","|",2))-1),""))</f>
        <v/>
      </c>
      <c r="E26" s="58">
        <f>IF($H26="","",IFERROR(MID($H26&amp;" ",FIND("|",SUBSTITUTE($H26&amp;" "," ","|",3))+1,FIND("|",SUBSTITUTE($H26&amp;" "," ","|",4))-FIND("|",SUBSTITUTE($H26&amp;" "," ","|",3))-1),""))</f>
        <v/>
      </c>
      <c r="F26" s="59">
        <f>IF($H26="","",IFERROR(VALUE(IFERROR(MID($H26&amp;" ",FIND("|",SUBSTITUTE($H26&amp;" "," ","|",4))+1,FIND("|",SUBSTITUTE($H26&amp;" "," ","|",5))-FIND("|",SUBSTITUTE($H26&amp;" "," ","|",4))-1),""))/86400+25569+9/24,""))</f>
        <v/>
      </c>
      <c r="G26" s="58">
        <f>TRIM(SUBSTITUTE(SUBSTITUTE(SUBSTITUTE($A26,CHAR(9)," ")," "," "),CHAR(13),""))</f>
        <v/>
      </c>
      <c r="H26" s="58">
        <f>IF($G26="","",IF(ISNUMBER(FIND(" ",$G26)),$G26,IFERROR(IF((LEN(SUBSTITUTE(SUBSTITUTE($G26,"-"," ",LEN($G26)-LEN(SUBSTITUTE($G26,"-",""))),"-"," ",LEN($G26)-LEN(SUBSTITUTE($G26,"-",""))-1))-LEN(SUBSTITUTE(SUBSTITUTE(SUBSTITUTE($G26,"-"," ",LEN($G26)-LEN(SUBSTITUTE($G26,"-",""))),"-"," ",LEN($G26)-LEN(SUBSTITUTE($G26,"-",""))-1),".","")))=0,SUBSTITUTE(SUBSTITUTE($G26,"-"," ",LEN($G26)-LEN(SUBSTITUTE($G26,"-",""))),"-"," ",LEN($G26)-LEN(SUBSTITUTE($G26,"-",""))-1),SUBSTITUTE(SUBSTITUTE(SUBSTITUTE($G26,"-"," ",LEN($G26)-LEN(SUBSTITUTE($G26,"-",""))),"-"," ",LEN($G26)-LEN(SUBSTITUTE($G26,"-",""))-1),"."," ",(LEN(SUBSTITUTE(SUBSTITUTE($G26,"-"," ",LEN($G26)-LEN(SUBSTITUTE($G26,"-",""))),"-"," ",LEN($G26)-LEN(SUBSTITUTE($G26,"-",""))-1))-LEN(SUBSTITUTE(SUBSTITUTE(SUBSTITUTE($G26,"-"," ",LEN($G26)-LEN(SUBSTITUTE($G26,"-",""))),"-"," ",LEN($G26)-LEN(SUBSTITUTE($G26,"-",""))-1),".",""))))),$G26)))</f>
        <v/>
      </c>
    </row>
    <row r="27">
      <c r="A27" s="58" t="n"/>
      <c r="B27" s="58">
        <f>IF($H27="","",LEFT($H27,FIND(" ",$H27&amp;" ")-1))</f>
        <v/>
      </c>
      <c r="C27" s="58">
        <f>IF($H27="","",IFERROR(MID($H27&amp;" ",FIND("|",SUBSTITUTE($H27&amp;" "," ","|",1))+1,FIND("|",SUBSTITUTE($H27&amp;" "," ","|",2))-FIND("|",SUBSTITUTE($H27&amp;" "," ","|",1))-1),""))</f>
        <v/>
      </c>
      <c r="D27" s="58">
        <f>IF($H27="","",IFERROR(MID($H27&amp;" ",FIND("|",SUBSTITUTE($H27&amp;" "," ","|",2))+1,FIND("|",SUBSTITUTE($H27&amp;" "," ","|",3))-FIND("|",SUBSTITUTE($H27&amp;" "," ","|",2))-1),""))</f>
        <v/>
      </c>
      <c r="E27" s="58">
        <f>IF($H27="","",IFERROR(MID($H27&amp;" ",FIND("|",SUBSTITUTE($H27&amp;" "," ","|",3))+1,FIND("|",SUBSTITUTE($H27&amp;" "," ","|",4))-FIND("|",SUBSTITUTE($H27&amp;" "," ","|",3))-1),""))</f>
        <v/>
      </c>
      <c r="F27" s="59">
        <f>IF($H27="","",IFERROR(VALUE(IFERROR(MID($H27&amp;" ",FIND("|",SUBSTITUTE($H27&amp;" "," ","|",4))+1,FIND("|",SUBSTITUTE($H27&amp;" "," ","|",5))-FIND("|",SUBSTITUTE($H27&amp;" "," ","|",4))-1),""))/86400+25569+9/24,""))</f>
        <v/>
      </c>
      <c r="G27" s="58">
        <f>TRIM(SUBSTITUTE(SUBSTITUTE(SUBSTITUTE($A27,CHAR(9)," ")," "," "),CHAR(13),""))</f>
        <v/>
      </c>
      <c r="H27" s="58">
        <f>IF($G27="","",IF(ISNUMBER(FIND(" ",$G27)),$G27,IFERROR(IF((LEN(SUBSTITUTE(SUBSTITUTE($G27,"-"," ",LEN($G27)-LEN(SUBSTITUTE($G27,"-",""))),"-"," ",LEN($G27)-LEN(SUBSTITUTE($G27,"-",""))-1))-LEN(SUBSTITUTE(SUBSTITUTE(SUBSTITUTE($G27,"-"," ",LEN($G27)-LEN(SUBSTITUTE($G27,"-",""))),"-"," ",LEN($G27)-LEN(SUBSTITUTE($G27,"-",""))-1),".","")))=0,SUBSTITUTE(SUBSTITUTE($G27,"-"," ",LEN($G27)-LEN(SUBSTITUTE($G27,"-",""))),"-"," ",LEN($G27)-LEN(SUBSTITUTE($G27,"-",""))-1),SUBSTITUTE(SUBSTITUTE(SUBSTITUTE($G27,"-"," ",LEN($G27)-LEN(SUBSTITUTE($G27,"-",""))),"-"," ",LEN($G27)-LEN(SUBSTITUTE($G27,"-",""))-1),"."," ",(LEN(SUBSTITUTE(SUBSTITUTE($G27,"-"," ",LEN($G27)-LEN(SUBSTITUTE($G27,"-",""))),"-"," ",LEN($G27)-LEN(SUBSTITUTE($G27,"-",""))-1))-LEN(SUBSTITUTE(SUBSTITUTE(SUBSTITUTE($G27,"-"," ",LEN($G27)-LEN(SUBSTITUTE($G27,"-",""))),"-"," ",LEN($G27)-LEN(SUBSTITUTE($G27,"-",""))-1),".",""))))),$G27)))</f>
        <v/>
      </c>
    </row>
    <row r="28">
      <c r="A28" s="58" t="n"/>
      <c r="B28" s="58">
        <f>IF($H28="","",LEFT($H28,FIND(" ",$H28&amp;" ")-1))</f>
        <v/>
      </c>
      <c r="C28" s="58">
        <f>IF($H28="","",IFERROR(MID($H28&amp;" ",FIND("|",SUBSTITUTE($H28&amp;" "," ","|",1))+1,FIND("|",SUBSTITUTE($H28&amp;" "," ","|",2))-FIND("|",SUBSTITUTE($H28&amp;" "," ","|",1))-1),""))</f>
        <v/>
      </c>
      <c r="D28" s="58">
        <f>IF($H28="","",IFERROR(MID($H28&amp;" ",FIND("|",SUBSTITUTE($H28&amp;" "," ","|",2))+1,FIND("|",SUBSTITUTE($H28&amp;" "," ","|",3))-FIND("|",SUBSTITUTE($H28&amp;" "," ","|",2))-1),""))</f>
        <v/>
      </c>
      <c r="E28" s="58">
        <f>IF($H28="","",IFERROR(MID($H28&amp;" ",FIND("|",SUBSTITUTE($H28&amp;" "," ","|",3))+1,FIND("|",SUBSTITUTE($H28&amp;" "," ","|",4))-FIND("|",SUBSTITUTE($H28&amp;" "," ","|",3))-1),""))</f>
        <v/>
      </c>
      <c r="F28" s="59">
        <f>IF($H28="","",IFERROR(VALUE(IFERROR(MID($H28&amp;" ",FIND("|",SUBSTITUTE($H28&amp;" "," ","|",4))+1,FIND("|",SUBSTITUTE($H28&amp;" "," ","|",5))-FIND("|",SUBSTITUTE($H28&amp;" "," ","|",4))-1),""))/86400+25569+9/24,""))</f>
        <v/>
      </c>
      <c r="G28" s="58">
        <f>TRIM(SUBSTITUTE(SUBSTITUTE(SUBSTITUTE($A28,CHAR(9)," ")," "," "),CHAR(13),""))</f>
        <v/>
      </c>
      <c r="H28" s="58">
        <f>IF($G28="","",IF(ISNUMBER(FIND(" ",$G28)),$G28,IFERROR(IF((LEN(SUBSTITUTE(SUBSTITUTE($G28,"-"," ",LEN($G28)-LEN(SUBSTITUTE($G28,"-",""))),"-"," ",LEN($G28)-LEN(SUBSTITUTE($G28,"-",""))-1))-LEN(SUBSTITUTE(SUBSTITUTE(SUBSTITUTE($G28,"-"," ",LEN($G28)-LEN(SUBSTITUTE($G28,"-",""))),"-"," ",LEN($G28)-LEN(SUBSTITUTE($G28,"-",""))-1),".","")))=0,SUBSTITUTE(SUBSTITUTE($G28,"-"," ",LEN($G28)-LEN(SUBSTITUTE($G28,"-",""))),"-"," ",LEN($G28)-LEN(SUBSTITUTE($G28,"-",""))-1),SUBSTITUTE(SUBSTITUTE(SUBSTITUTE($G28,"-"," ",LEN($G28)-LEN(SUBSTITUTE($G28,"-",""))),"-"," ",LEN($G28)-LEN(SUBSTITUTE($G28,"-",""))-1),"."," ",(LEN(SUBSTITUTE(SUBSTITUTE($G28,"-"," ",LEN($G28)-LEN(SUBSTITUTE($G28,"-",""))),"-"," ",LEN($G28)-LEN(SUBSTITUTE($G28,"-",""))-1))-LEN(SUBSTITUTE(SUBSTITUTE(SUBSTITUTE($G28,"-"," ",LEN($G28)-LEN(SUBSTITUTE($G28,"-",""))),"-"," ",LEN($G28)-LEN(SUBSTITUTE($G28,"-",""))-1),".",""))))),$G28)))</f>
        <v/>
      </c>
    </row>
    <row r="29">
      <c r="A29" s="58" t="n"/>
      <c r="B29" s="58">
        <f>IF($H29="","",LEFT($H29,FIND(" ",$H29&amp;" ")-1))</f>
        <v/>
      </c>
      <c r="C29" s="58">
        <f>IF($H29="","",IFERROR(MID($H29&amp;" ",FIND("|",SUBSTITUTE($H29&amp;" "," ","|",1))+1,FIND("|",SUBSTITUTE($H29&amp;" "," ","|",2))-FIND("|",SUBSTITUTE($H29&amp;" "," ","|",1))-1),""))</f>
        <v/>
      </c>
      <c r="D29" s="58">
        <f>IF($H29="","",IFERROR(MID($H29&amp;" ",FIND("|",SUBSTITUTE($H29&amp;" "," ","|",2))+1,FIND("|",SUBSTITUTE($H29&amp;" "," ","|",3))-FIND("|",SUBSTITUTE($H29&amp;" "," ","|",2))-1),""))</f>
        <v/>
      </c>
      <c r="E29" s="58">
        <f>IF($H29="","",IFERROR(MID($H29&amp;" ",FIND("|",SUBSTITUTE($H29&amp;" "," ","|",3))+1,FIND("|",SUBSTITUTE($H29&amp;" "," ","|",4))-FIND("|",SUBSTITUTE($H29&amp;" "," ","|",3))-1),""))</f>
        <v/>
      </c>
      <c r="F29" s="59">
        <f>IF($H29="","",IFERROR(VALUE(IFERROR(MID($H29&amp;" ",FIND("|",SUBSTITUTE($H29&amp;" "," ","|",4))+1,FIND("|",SUBSTITUTE($H29&amp;" "," ","|",5))-FIND("|",SUBSTITUTE($H29&amp;" "," ","|",4))-1),""))/86400+25569+9/24,""))</f>
        <v/>
      </c>
      <c r="G29" s="58">
        <f>TRIM(SUBSTITUTE(SUBSTITUTE(SUBSTITUTE($A29,CHAR(9)," ")," "," "),CHAR(13),""))</f>
        <v/>
      </c>
      <c r="H29" s="58">
        <f>IF($G29="","",IF(ISNUMBER(FIND(" ",$G29)),$G29,IFERROR(IF((LEN(SUBSTITUTE(SUBSTITUTE($G29,"-"," ",LEN($G29)-LEN(SUBSTITUTE($G29,"-",""))),"-"," ",LEN($G29)-LEN(SUBSTITUTE($G29,"-",""))-1))-LEN(SUBSTITUTE(SUBSTITUTE(SUBSTITUTE($G29,"-"," ",LEN($G29)-LEN(SUBSTITUTE($G29,"-",""))),"-"," ",LEN($G29)-LEN(SUBSTITUTE($G29,"-",""))-1),".","")))=0,SUBSTITUTE(SUBSTITUTE($G29,"-"," ",LEN($G29)-LEN(SUBSTITUTE($G29,"-",""))),"-"," ",LEN($G29)-LEN(SUBSTITUTE($G29,"-",""))-1),SUBSTITUTE(SUBSTITUTE(SUBSTITUTE($G29,"-"," ",LEN($G29)-LEN(SUBSTITUTE($G29,"-",""))),"-"," ",LEN($G29)-LEN(SUBSTITUTE($G29,"-",""))-1),"."," ",(LEN(SUBSTITUTE(SUBSTITUTE($G29,"-"," ",LEN($G29)-LEN(SUBSTITUTE($G29,"-",""))),"-"," ",LEN($G29)-LEN(SUBSTITUTE($G29,"-",""))-1))-LEN(SUBSTITUTE(SUBSTITUTE(SUBSTITUTE($G29,"-"," ",LEN($G29)-LEN(SUBSTITUTE($G29,"-",""))),"-"," ",LEN($G29)-LEN(SUBSTITUTE($G29,"-",""))-1),".",""))))),$G29)))</f>
        <v/>
      </c>
    </row>
    <row r="30">
      <c r="A30" s="58" t="n"/>
      <c r="B30" s="58">
        <f>IF($H30="","",LEFT($H30,FIND(" ",$H30&amp;" ")-1))</f>
        <v/>
      </c>
      <c r="C30" s="58">
        <f>IF($H30="","",IFERROR(MID($H30&amp;" ",FIND("|",SUBSTITUTE($H30&amp;" "," ","|",1))+1,FIND("|",SUBSTITUTE($H30&amp;" "," ","|",2))-FIND("|",SUBSTITUTE($H30&amp;" "," ","|",1))-1),""))</f>
        <v/>
      </c>
      <c r="D30" s="58">
        <f>IF($H30="","",IFERROR(MID($H30&amp;" ",FIND("|",SUBSTITUTE($H30&amp;" "," ","|",2))+1,FIND("|",SUBSTITUTE($H30&amp;" "," ","|",3))-FIND("|",SUBSTITUTE($H30&amp;" "," ","|",2))-1),""))</f>
        <v/>
      </c>
      <c r="E30" s="58">
        <f>IF($H30="","",IFERROR(MID($H30&amp;" ",FIND("|",SUBSTITUTE($H30&amp;" "," ","|",3))+1,FIND("|",SUBSTITUTE($H30&amp;" "," ","|",4))-FIND("|",SUBSTITUTE($H30&amp;" "," ","|",3))-1),""))</f>
        <v/>
      </c>
      <c r="F30" s="59">
        <f>IF($H30="","",IFERROR(VALUE(IFERROR(MID($H30&amp;" ",FIND("|",SUBSTITUTE($H30&amp;" "," ","|",4))+1,FIND("|",SUBSTITUTE($H30&amp;" "," ","|",5))-FIND("|",SUBSTITUTE($H30&amp;" "," ","|",4))-1),""))/86400+25569+9/24,""))</f>
        <v/>
      </c>
      <c r="G30" s="58">
        <f>TRIM(SUBSTITUTE(SUBSTITUTE(SUBSTITUTE($A30,CHAR(9)," ")," "," "),CHAR(13),""))</f>
        <v/>
      </c>
      <c r="H30" s="58">
        <f>IF($G30="","",IF(ISNUMBER(FIND(" ",$G30)),$G30,IFERROR(IF((LEN(SUBSTITUTE(SUBSTITUTE($G30,"-"," ",LEN($G30)-LEN(SUBSTITUTE($G30,"-",""))),"-"," ",LEN($G30)-LEN(SUBSTITUTE($G30,"-",""))-1))-LEN(SUBSTITUTE(SUBSTITUTE(SUBSTITUTE($G30,"-"," ",LEN($G30)-LEN(SUBSTITUTE($G30,"-",""))),"-"," ",LEN($G30)-LEN(SUBSTITUTE($G30,"-",""))-1),".","")))=0,SUBSTITUTE(SUBSTITUTE($G30,"-"," ",LEN($G30)-LEN(SUBSTITUTE($G30,"-",""))),"-"," ",LEN($G30)-LEN(SUBSTITUTE($G30,"-",""))-1),SUBSTITUTE(SUBSTITUTE(SUBSTITUTE($G30,"-"," ",LEN($G30)-LEN(SUBSTITUTE($G30,"-",""))),"-"," ",LEN($G30)-LEN(SUBSTITUTE($G30,"-",""))-1),"."," ",(LEN(SUBSTITUTE(SUBSTITUTE($G30,"-"," ",LEN($G30)-LEN(SUBSTITUTE($G30,"-",""))),"-"," ",LEN($G30)-LEN(SUBSTITUTE($G30,"-",""))-1))-LEN(SUBSTITUTE(SUBSTITUTE(SUBSTITUTE($G30,"-"," ",LEN($G30)-LEN(SUBSTITUTE($G30,"-",""))),"-"," ",LEN($G30)-LEN(SUBSTITUTE($G30,"-",""))-1),".",""))))),$G30)))</f>
        <v/>
      </c>
    </row>
    <row r="31">
      <c r="A31" s="58" t="n"/>
      <c r="B31" s="58">
        <f>IF($H31="","",LEFT($H31,FIND(" ",$H31&amp;" ")-1))</f>
        <v/>
      </c>
      <c r="C31" s="58">
        <f>IF($H31="","",IFERROR(MID($H31&amp;" ",FIND("|",SUBSTITUTE($H31&amp;" "," ","|",1))+1,FIND("|",SUBSTITUTE($H31&amp;" "," ","|",2))-FIND("|",SUBSTITUTE($H31&amp;" "," ","|",1))-1),""))</f>
        <v/>
      </c>
      <c r="D31" s="58">
        <f>IF($H31="","",IFERROR(MID($H31&amp;" ",FIND("|",SUBSTITUTE($H31&amp;" "," ","|",2))+1,FIND("|",SUBSTITUTE($H31&amp;" "," ","|",3))-FIND("|",SUBSTITUTE($H31&amp;" "," ","|",2))-1),""))</f>
        <v/>
      </c>
      <c r="E31" s="58">
        <f>IF($H31="","",IFERROR(MID($H31&amp;" ",FIND("|",SUBSTITUTE($H31&amp;" "," ","|",3))+1,FIND("|",SUBSTITUTE($H31&amp;" "," ","|",4))-FIND("|",SUBSTITUTE($H31&amp;" "," ","|",3))-1),""))</f>
        <v/>
      </c>
      <c r="F31" s="59">
        <f>IF($H31="","",IFERROR(VALUE(IFERROR(MID($H31&amp;" ",FIND("|",SUBSTITUTE($H31&amp;" "," ","|",4))+1,FIND("|",SUBSTITUTE($H31&amp;" "," ","|",5))-FIND("|",SUBSTITUTE($H31&amp;" "," ","|",4))-1),""))/86400+25569+9/24,""))</f>
        <v/>
      </c>
      <c r="G31" s="58">
        <f>TRIM(SUBSTITUTE(SUBSTITUTE(SUBSTITUTE($A31,CHAR(9)," ")," "," "),CHAR(13),""))</f>
        <v/>
      </c>
      <c r="H31" s="58">
        <f>IF($G31="","",IF(ISNUMBER(FIND(" ",$G31)),$G31,IFERROR(IF((LEN(SUBSTITUTE(SUBSTITUTE($G31,"-"," ",LEN($G31)-LEN(SUBSTITUTE($G31,"-",""))),"-"," ",LEN($G31)-LEN(SUBSTITUTE($G31,"-",""))-1))-LEN(SUBSTITUTE(SUBSTITUTE(SUBSTITUTE($G31,"-"," ",LEN($G31)-LEN(SUBSTITUTE($G31,"-",""))),"-"," ",LEN($G31)-LEN(SUBSTITUTE($G31,"-",""))-1),".","")))=0,SUBSTITUTE(SUBSTITUTE($G31,"-"," ",LEN($G31)-LEN(SUBSTITUTE($G31,"-",""))),"-"," ",LEN($G31)-LEN(SUBSTITUTE($G31,"-",""))-1),SUBSTITUTE(SUBSTITUTE(SUBSTITUTE($G31,"-"," ",LEN($G31)-LEN(SUBSTITUTE($G31,"-",""))),"-"," ",LEN($G31)-LEN(SUBSTITUTE($G31,"-",""))-1),"."," ",(LEN(SUBSTITUTE(SUBSTITUTE($G31,"-"," ",LEN($G31)-LEN(SUBSTITUTE($G31,"-",""))),"-"," ",LEN($G31)-LEN(SUBSTITUTE($G31,"-",""))-1))-LEN(SUBSTITUTE(SUBSTITUTE(SUBSTITUTE($G31,"-"," ",LEN($G31)-LEN(SUBSTITUTE($G31,"-",""))),"-"," ",LEN($G31)-LEN(SUBSTITUTE($G31,"-",""))-1),".",""))))),$G31)))</f>
        <v/>
      </c>
    </row>
    <row r="32">
      <c r="A32" s="58" t="n"/>
      <c r="B32" s="58">
        <f>IF($H32="","",LEFT($H32,FIND(" ",$H32&amp;" ")-1))</f>
        <v/>
      </c>
      <c r="C32" s="58">
        <f>IF($H32="","",IFERROR(MID($H32&amp;" ",FIND("|",SUBSTITUTE($H32&amp;" "," ","|",1))+1,FIND("|",SUBSTITUTE($H32&amp;" "," ","|",2))-FIND("|",SUBSTITUTE($H32&amp;" "," ","|",1))-1),""))</f>
        <v/>
      </c>
      <c r="D32" s="58">
        <f>IF($H32="","",IFERROR(MID($H32&amp;" ",FIND("|",SUBSTITUTE($H32&amp;" "," ","|",2))+1,FIND("|",SUBSTITUTE($H32&amp;" "," ","|",3))-FIND("|",SUBSTITUTE($H32&amp;" "," ","|",2))-1),""))</f>
        <v/>
      </c>
      <c r="E32" s="58">
        <f>IF($H32="","",IFERROR(MID($H32&amp;" ",FIND("|",SUBSTITUTE($H32&amp;" "," ","|",3))+1,FIND("|",SUBSTITUTE($H32&amp;" "," ","|",4))-FIND("|",SUBSTITUTE($H32&amp;" "," ","|",3))-1),""))</f>
        <v/>
      </c>
      <c r="F32" s="59">
        <f>IF($H32="","",IFERROR(VALUE(IFERROR(MID($H32&amp;" ",FIND("|",SUBSTITUTE($H32&amp;" "," ","|",4))+1,FIND("|",SUBSTITUTE($H32&amp;" "," ","|",5))-FIND("|",SUBSTITUTE($H32&amp;" "," ","|",4))-1),""))/86400+25569+9/24,""))</f>
        <v/>
      </c>
      <c r="G32" s="58">
        <f>TRIM(SUBSTITUTE(SUBSTITUTE(SUBSTITUTE($A32,CHAR(9)," ")," "," "),CHAR(13),""))</f>
        <v/>
      </c>
      <c r="H32" s="58">
        <f>IF($G32="","",IF(ISNUMBER(FIND(" ",$G32)),$G32,IFERROR(IF((LEN(SUBSTITUTE(SUBSTITUTE($G32,"-"," ",LEN($G32)-LEN(SUBSTITUTE($G32,"-",""))),"-"," ",LEN($G32)-LEN(SUBSTITUTE($G32,"-",""))-1))-LEN(SUBSTITUTE(SUBSTITUTE(SUBSTITUTE($G32,"-"," ",LEN($G32)-LEN(SUBSTITUTE($G32,"-",""))),"-"," ",LEN($G32)-LEN(SUBSTITUTE($G32,"-",""))-1),".","")))=0,SUBSTITUTE(SUBSTITUTE($G32,"-"," ",LEN($G32)-LEN(SUBSTITUTE($G32,"-",""))),"-"," ",LEN($G32)-LEN(SUBSTITUTE($G32,"-",""))-1),SUBSTITUTE(SUBSTITUTE(SUBSTITUTE($G32,"-"," ",LEN($G32)-LEN(SUBSTITUTE($G32,"-",""))),"-"," ",LEN($G32)-LEN(SUBSTITUTE($G32,"-",""))-1),"."," ",(LEN(SUBSTITUTE(SUBSTITUTE($G32,"-"," ",LEN($G32)-LEN(SUBSTITUTE($G32,"-",""))),"-"," ",LEN($G32)-LEN(SUBSTITUTE($G32,"-",""))-1))-LEN(SUBSTITUTE(SUBSTITUTE(SUBSTITUTE($G32,"-"," ",LEN($G32)-LEN(SUBSTITUTE($G32,"-",""))),"-"," ",LEN($G32)-LEN(SUBSTITUTE($G32,"-",""))-1),".",""))))),$G32)))</f>
        <v/>
      </c>
    </row>
    <row r="33">
      <c r="A33" s="58" t="n"/>
      <c r="B33" s="58">
        <f>IF($H33="","",LEFT($H33,FIND(" ",$H33&amp;" ")-1))</f>
        <v/>
      </c>
      <c r="C33" s="58">
        <f>IF($H33="","",IFERROR(MID($H33&amp;" ",FIND("|",SUBSTITUTE($H33&amp;" "," ","|",1))+1,FIND("|",SUBSTITUTE($H33&amp;" "," ","|",2))-FIND("|",SUBSTITUTE($H33&amp;" "," ","|",1))-1),""))</f>
        <v/>
      </c>
      <c r="D33" s="58">
        <f>IF($H33="","",IFERROR(MID($H33&amp;" ",FIND("|",SUBSTITUTE($H33&amp;" "," ","|",2))+1,FIND("|",SUBSTITUTE($H33&amp;" "," ","|",3))-FIND("|",SUBSTITUTE($H33&amp;" "," ","|",2))-1),""))</f>
        <v/>
      </c>
      <c r="E33" s="58">
        <f>IF($H33="","",IFERROR(MID($H33&amp;" ",FIND("|",SUBSTITUTE($H33&amp;" "," ","|",3))+1,FIND("|",SUBSTITUTE($H33&amp;" "," ","|",4))-FIND("|",SUBSTITUTE($H33&amp;" "," ","|",3))-1),""))</f>
        <v/>
      </c>
      <c r="F33" s="59">
        <f>IF($H33="","",IFERROR(VALUE(IFERROR(MID($H33&amp;" ",FIND("|",SUBSTITUTE($H33&amp;" "," ","|",4))+1,FIND("|",SUBSTITUTE($H33&amp;" "," ","|",5))-FIND("|",SUBSTITUTE($H33&amp;" "," ","|",4))-1),""))/86400+25569+9/24,""))</f>
        <v/>
      </c>
      <c r="G33" s="58">
        <f>TRIM(SUBSTITUTE(SUBSTITUTE(SUBSTITUTE($A33,CHAR(9)," ")," "," "),CHAR(13),""))</f>
        <v/>
      </c>
      <c r="H33" s="58">
        <f>IF($G33="","",IF(ISNUMBER(FIND(" ",$G33)),$G33,IFERROR(IF((LEN(SUBSTITUTE(SUBSTITUTE($G33,"-"," ",LEN($G33)-LEN(SUBSTITUTE($G33,"-",""))),"-"," ",LEN($G33)-LEN(SUBSTITUTE($G33,"-",""))-1))-LEN(SUBSTITUTE(SUBSTITUTE(SUBSTITUTE($G33,"-"," ",LEN($G33)-LEN(SUBSTITUTE($G33,"-",""))),"-"," ",LEN($G33)-LEN(SUBSTITUTE($G33,"-",""))-1),".","")))=0,SUBSTITUTE(SUBSTITUTE($G33,"-"," ",LEN($G33)-LEN(SUBSTITUTE($G33,"-",""))),"-"," ",LEN($G33)-LEN(SUBSTITUTE($G33,"-",""))-1),SUBSTITUTE(SUBSTITUTE(SUBSTITUTE($G33,"-"," ",LEN($G33)-LEN(SUBSTITUTE($G33,"-",""))),"-"," ",LEN($G33)-LEN(SUBSTITUTE($G33,"-",""))-1),"."," ",(LEN(SUBSTITUTE(SUBSTITUTE($G33,"-"," ",LEN($G33)-LEN(SUBSTITUTE($G33,"-",""))),"-"," ",LEN($G33)-LEN(SUBSTITUTE($G33,"-",""))-1))-LEN(SUBSTITUTE(SUBSTITUTE(SUBSTITUTE($G33,"-"," ",LEN($G33)-LEN(SUBSTITUTE($G33,"-",""))),"-"," ",LEN($G33)-LEN(SUBSTITUTE($G33,"-",""))-1),".",""))))),$G33)))</f>
        <v/>
      </c>
    </row>
    <row r="34">
      <c r="A34" s="58" t="n"/>
      <c r="B34" s="58">
        <f>IF($H34="","",LEFT($H34,FIND(" ",$H34&amp;" ")-1))</f>
        <v/>
      </c>
      <c r="C34" s="58">
        <f>IF($H34="","",IFERROR(MID($H34&amp;" ",FIND("|",SUBSTITUTE($H34&amp;" "," ","|",1))+1,FIND("|",SUBSTITUTE($H34&amp;" "," ","|",2))-FIND("|",SUBSTITUTE($H34&amp;" "," ","|",1))-1),""))</f>
        <v/>
      </c>
      <c r="D34" s="58">
        <f>IF($H34="","",IFERROR(MID($H34&amp;" ",FIND("|",SUBSTITUTE($H34&amp;" "," ","|",2))+1,FIND("|",SUBSTITUTE($H34&amp;" "," ","|",3))-FIND("|",SUBSTITUTE($H34&amp;" "," ","|",2))-1),""))</f>
        <v/>
      </c>
      <c r="E34" s="58">
        <f>IF($H34="","",IFERROR(MID($H34&amp;" ",FIND("|",SUBSTITUTE($H34&amp;" "," ","|",3))+1,FIND("|",SUBSTITUTE($H34&amp;" "," ","|",4))-FIND("|",SUBSTITUTE($H34&amp;" "," ","|",3))-1),""))</f>
        <v/>
      </c>
      <c r="F34" s="59">
        <f>IF($H34="","",IFERROR(VALUE(IFERROR(MID($H34&amp;" ",FIND("|",SUBSTITUTE($H34&amp;" "," ","|",4))+1,FIND("|",SUBSTITUTE($H34&amp;" "," ","|",5))-FIND("|",SUBSTITUTE($H34&amp;" "," ","|",4))-1),""))/86400+25569+9/24,""))</f>
        <v/>
      </c>
      <c r="G34" s="58">
        <f>TRIM(SUBSTITUTE(SUBSTITUTE(SUBSTITUTE($A34,CHAR(9)," ")," "," "),CHAR(13),""))</f>
        <v/>
      </c>
      <c r="H34" s="58">
        <f>IF($G34="","",IF(ISNUMBER(FIND(" ",$G34)),$G34,IFERROR(IF((LEN(SUBSTITUTE(SUBSTITUTE($G34,"-"," ",LEN($G34)-LEN(SUBSTITUTE($G34,"-",""))),"-"," ",LEN($G34)-LEN(SUBSTITUTE($G34,"-",""))-1))-LEN(SUBSTITUTE(SUBSTITUTE(SUBSTITUTE($G34,"-"," ",LEN($G34)-LEN(SUBSTITUTE($G34,"-",""))),"-"," ",LEN($G34)-LEN(SUBSTITUTE($G34,"-",""))-1),".","")))=0,SUBSTITUTE(SUBSTITUTE($G34,"-"," ",LEN($G34)-LEN(SUBSTITUTE($G34,"-",""))),"-"," ",LEN($G34)-LEN(SUBSTITUTE($G34,"-",""))-1),SUBSTITUTE(SUBSTITUTE(SUBSTITUTE($G34,"-"," ",LEN($G34)-LEN(SUBSTITUTE($G34,"-",""))),"-"," ",LEN($G34)-LEN(SUBSTITUTE($G34,"-",""))-1),"."," ",(LEN(SUBSTITUTE(SUBSTITUTE($G34,"-"," ",LEN($G34)-LEN(SUBSTITUTE($G34,"-",""))),"-"," ",LEN($G34)-LEN(SUBSTITUTE($G34,"-",""))-1))-LEN(SUBSTITUTE(SUBSTITUTE(SUBSTITUTE($G34,"-"," ",LEN($G34)-LEN(SUBSTITUTE($G34,"-",""))),"-"," ",LEN($G34)-LEN(SUBSTITUTE($G34,"-",""))-1),".",""))))),$G34)))</f>
        <v/>
      </c>
    </row>
    <row r="35">
      <c r="A35" s="58" t="n"/>
      <c r="B35" s="58">
        <f>IF($H35="","",LEFT($H35,FIND(" ",$H35&amp;" ")-1))</f>
        <v/>
      </c>
      <c r="C35" s="58">
        <f>IF($H35="","",IFERROR(MID($H35&amp;" ",FIND("|",SUBSTITUTE($H35&amp;" "," ","|",1))+1,FIND("|",SUBSTITUTE($H35&amp;" "," ","|",2))-FIND("|",SUBSTITUTE($H35&amp;" "," ","|",1))-1),""))</f>
        <v/>
      </c>
      <c r="D35" s="58">
        <f>IF($H35="","",IFERROR(MID($H35&amp;" ",FIND("|",SUBSTITUTE($H35&amp;" "," ","|",2))+1,FIND("|",SUBSTITUTE($H35&amp;" "," ","|",3))-FIND("|",SUBSTITUTE($H35&amp;" "," ","|",2))-1),""))</f>
        <v/>
      </c>
      <c r="E35" s="58">
        <f>IF($H35="","",IFERROR(MID($H35&amp;" ",FIND("|",SUBSTITUTE($H35&amp;" "," ","|",3))+1,FIND("|",SUBSTITUTE($H35&amp;" "," ","|",4))-FIND("|",SUBSTITUTE($H35&amp;" "," ","|",3))-1),""))</f>
        <v/>
      </c>
      <c r="F35" s="59">
        <f>IF($H35="","",IFERROR(VALUE(IFERROR(MID($H35&amp;" ",FIND("|",SUBSTITUTE($H35&amp;" "," ","|",4))+1,FIND("|",SUBSTITUTE($H35&amp;" "," ","|",5))-FIND("|",SUBSTITUTE($H35&amp;" "," ","|",4))-1),""))/86400+25569+9/24,""))</f>
        <v/>
      </c>
      <c r="G35" s="58">
        <f>TRIM(SUBSTITUTE(SUBSTITUTE(SUBSTITUTE($A35,CHAR(9)," ")," "," "),CHAR(13),""))</f>
        <v/>
      </c>
      <c r="H35" s="58">
        <f>IF($G35="","",IF(ISNUMBER(FIND(" ",$G35)),$G35,IFERROR(IF((LEN(SUBSTITUTE(SUBSTITUTE($G35,"-"," ",LEN($G35)-LEN(SUBSTITUTE($G35,"-",""))),"-"," ",LEN($G35)-LEN(SUBSTITUTE($G35,"-",""))-1))-LEN(SUBSTITUTE(SUBSTITUTE(SUBSTITUTE($G35,"-"," ",LEN($G35)-LEN(SUBSTITUTE($G35,"-",""))),"-"," ",LEN($G35)-LEN(SUBSTITUTE($G35,"-",""))-1),".","")))=0,SUBSTITUTE(SUBSTITUTE($G35,"-"," ",LEN($G35)-LEN(SUBSTITUTE($G35,"-",""))),"-"," ",LEN($G35)-LEN(SUBSTITUTE($G35,"-",""))-1),SUBSTITUTE(SUBSTITUTE(SUBSTITUTE($G35,"-"," ",LEN($G35)-LEN(SUBSTITUTE($G35,"-",""))),"-"," ",LEN($G35)-LEN(SUBSTITUTE($G35,"-",""))-1),"."," ",(LEN(SUBSTITUTE(SUBSTITUTE($G35,"-"," ",LEN($G35)-LEN(SUBSTITUTE($G35,"-",""))),"-"," ",LEN($G35)-LEN(SUBSTITUTE($G35,"-",""))-1))-LEN(SUBSTITUTE(SUBSTITUTE(SUBSTITUTE($G35,"-"," ",LEN($G35)-LEN(SUBSTITUTE($G35,"-",""))),"-"," ",LEN($G35)-LEN(SUBSTITUTE($G35,"-",""))-1),".",""))))),$G35)))</f>
        <v/>
      </c>
    </row>
    <row r="36">
      <c r="A36" s="58" t="n"/>
      <c r="B36" s="58">
        <f>IF($H36="","",LEFT($H36,FIND(" ",$H36&amp;" ")-1))</f>
        <v/>
      </c>
      <c r="C36" s="58">
        <f>IF($H36="","",IFERROR(MID($H36&amp;" ",FIND("|",SUBSTITUTE($H36&amp;" "," ","|",1))+1,FIND("|",SUBSTITUTE($H36&amp;" "," ","|",2))-FIND("|",SUBSTITUTE($H36&amp;" "," ","|",1))-1),""))</f>
        <v/>
      </c>
      <c r="D36" s="58">
        <f>IF($H36="","",IFERROR(MID($H36&amp;" ",FIND("|",SUBSTITUTE($H36&amp;" "," ","|",2))+1,FIND("|",SUBSTITUTE($H36&amp;" "," ","|",3))-FIND("|",SUBSTITUTE($H36&amp;" "," ","|",2))-1),""))</f>
        <v/>
      </c>
      <c r="E36" s="58">
        <f>IF($H36="","",IFERROR(MID($H36&amp;" ",FIND("|",SUBSTITUTE($H36&amp;" "," ","|",3))+1,FIND("|",SUBSTITUTE($H36&amp;" "," ","|",4))-FIND("|",SUBSTITUTE($H36&amp;" "," ","|",3))-1),""))</f>
        <v/>
      </c>
      <c r="F36" s="59">
        <f>IF($H36="","",IFERROR(VALUE(IFERROR(MID($H36&amp;" ",FIND("|",SUBSTITUTE($H36&amp;" "," ","|",4))+1,FIND("|",SUBSTITUTE($H36&amp;" "," ","|",5))-FIND("|",SUBSTITUTE($H36&amp;" "," ","|",4))-1),""))/86400+25569+9/24,""))</f>
        <v/>
      </c>
      <c r="G36" s="58">
        <f>TRIM(SUBSTITUTE(SUBSTITUTE(SUBSTITUTE($A36,CHAR(9)," ")," "," "),CHAR(13),""))</f>
        <v/>
      </c>
      <c r="H36" s="58">
        <f>IF($G36="","",IF(ISNUMBER(FIND(" ",$G36)),$G36,IFERROR(IF((LEN(SUBSTITUTE(SUBSTITUTE($G36,"-"," ",LEN($G36)-LEN(SUBSTITUTE($G36,"-",""))),"-"," ",LEN($G36)-LEN(SUBSTITUTE($G36,"-",""))-1))-LEN(SUBSTITUTE(SUBSTITUTE(SUBSTITUTE($G36,"-"," ",LEN($G36)-LEN(SUBSTITUTE($G36,"-",""))),"-"," ",LEN($G36)-LEN(SUBSTITUTE($G36,"-",""))-1),".","")))=0,SUBSTITUTE(SUBSTITUTE($G36,"-"," ",LEN($G36)-LEN(SUBSTITUTE($G36,"-",""))),"-"," ",LEN($G36)-LEN(SUBSTITUTE($G36,"-",""))-1),SUBSTITUTE(SUBSTITUTE(SUBSTITUTE($G36,"-"," ",LEN($G36)-LEN(SUBSTITUTE($G36,"-",""))),"-"," ",LEN($G36)-LEN(SUBSTITUTE($G36,"-",""))-1),"."," ",(LEN(SUBSTITUTE(SUBSTITUTE($G36,"-"," ",LEN($G36)-LEN(SUBSTITUTE($G36,"-",""))),"-"," ",LEN($G36)-LEN(SUBSTITUTE($G36,"-",""))-1))-LEN(SUBSTITUTE(SUBSTITUTE(SUBSTITUTE($G36,"-"," ",LEN($G36)-LEN(SUBSTITUTE($G36,"-",""))),"-"," ",LEN($G36)-LEN(SUBSTITUTE($G36,"-",""))-1),".",""))))),$G36)))</f>
        <v/>
      </c>
    </row>
    <row r="37">
      <c r="A37" s="58" t="n"/>
      <c r="B37" s="58">
        <f>IF($H37="","",LEFT($H37,FIND(" ",$H37&amp;" ")-1))</f>
        <v/>
      </c>
      <c r="C37" s="58">
        <f>IF($H37="","",IFERROR(MID($H37&amp;" ",FIND("|",SUBSTITUTE($H37&amp;" "," ","|",1))+1,FIND("|",SUBSTITUTE($H37&amp;" "," ","|",2))-FIND("|",SUBSTITUTE($H37&amp;" "," ","|",1))-1),""))</f>
        <v/>
      </c>
      <c r="D37" s="58">
        <f>IF($H37="","",IFERROR(MID($H37&amp;" ",FIND("|",SUBSTITUTE($H37&amp;" "," ","|",2))+1,FIND("|",SUBSTITUTE($H37&amp;" "," ","|",3))-FIND("|",SUBSTITUTE($H37&amp;" "," ","|",2))-1),""))</f>
        <v/>
      </c>
      <c r="E37" s="58">
        <f>IF($H37="","",IFERROR(MID($H37&amp;" ",FIND("|",SUBSTITUTE($H37&amp;" "," ","|",3))+1,FIND("|",SUBSTITUTE($H37&amp;" "," ","|",4))-FIND("|",SUBSTITUTE($H37&amp;" "," ","|",3))-1),""))</f>
        <v/>
      </c>
      <c r="F37" s="59">
        <f>IF($H37="","",IFERROR(VALUE(IFERROR(MID($H37&amp;" ",FIND("|",SUBSTITUTE($H37&amp;" "," ","|",4))+1,FIND("|",SUBSTITUTE($H37&amp;" "," ","|",5))-FIND("|",SUBSTITUTE($H37&amp;" "," ","|",4))-1),""))/86400+25569+9/24,""))</f>
        <v/>
      </c>
      <c r="G37" s="58">
        <f>TRIM(SUBSTITUTE(SUBSTITUTE(SUBSTITUTE($A37,CHAR(9)," ")," "," "),CHAR(13),""))</f>
        <v/>
      </c>
      <c r="H37" s="58">
        <f>IF($G37="","",IF(ISNUMBER(FIND(" ",$G37)),$G37,IFERROR(IF((LEN(SUBSTITUTE(SUBSTITUTE($G37,"-"," ",LEN($G37)-LEN(SUBSTITUTE($G37,"-",""))),"-"," ",LEN($G37)-LEN(SUBSTITUTE($G37,"-",""))-1))-LEN(SUBSTITUTE(SUBSTITUTE(SUBSTITUTE($G37,"-"," ",LEN($G37)-LEN(SUBSTITUTE($G37,"-",""))),"-"," ",LEN($G37)-LEN(SUBSTITUTE($G37,"-",""))-1),".","")))=0,SUBSTITUTE(SUBSTITUTE($G37,"-"," ",LEN($G37)-LEN(SUBSTITUTE($G37,"-",""))),"-"," ",LEN($G37)-LEN(SUBSTITUTE($G37,"-",""))-1),SUBSTITUTE(SUBSTITUTE(SUBSTITUTE($G37,"-"," ",LEN($G37)-LEN(SUBSTITUTE($G37,"-",""))),"-"," ",LEN($G37)-LEN(SUBSTITUTE($G37,"-",""))-1),"."," ",(LEN(SUBSTITUTE(SUBSTITUTE($G37,"-"," ",LEN($G37)-LEN(SUBSTITUTE($G37,"-",""))),"-"," ",LEN($G37)-LEN(SUBSTITUTE($G37,"-",""))-1))-LEN(SUBSTITUTE(SUBSTITUTE(SUBSTITUTE($G37,"-"," ",LEN($G37)-LEN(SUBSTITUTE($G37,"-",""))),"-"," ",LEN($G37)-LEN(SUBSTITUTE($G37,"-",""))-1),".",""))))),$G37)))</f>
        <v/>
      </c>
    </row>
    <row r="38">
      <c r="A38" s="58" t="n"/>
      <c r="B38" s="58">
        <f>IF($H38="","",LEFT($H38,FIND(" ",$H38&amp;" ")-1))</f>
        <v/>
      </c>
      <c r="C38" s="58">
        <f>IF($H38="","",IFERROR(MID($H38&amp;" ",FIND("|",SUBSTITUTE($H38&amp;" "," ","|",1))+1,FIND("|",SUBSTITUTE($H38&amp;" "," ","|",2))-FIND("|",SUBSTITUTE($H38&amp;" "," ","|",1))-1),""))</f>
        <v/>
      </c>
      <c r="D38" s="58">
        <f>IF($H38="","",IFERROR(MID($H38&amp;" ",FIND("|",SUBSTITUTE($H38&amp;" "," ","|",2))+1,FIND("|",SUBSTITUTE($H38&amp;" "," ","|",3))-FIND("|",SUBSTITUTE($H38&amp;" "," ","|",2))-1),""))</f>
        <v/>
      </c>
      <c r="E38" s="58">
        <f>IF($H38="","",IFERROR(MID($H38&amp;" ",FIND("|",SUBSTITUTE($H38&amp;" "," ","|",3))+1,FIND("|",SUBSTITUTE($H38&amp;" "," ","|",4))-FIND("|",SUBSTITUTE($H38&amp;" "," ","|",3))-1),""))</f>
        <v/>
      </c>
      <c r="F38" s="59">
        <f>IF($H38="","",IFERROR(VALUE(IFERROR(MID($H38&amp;" ",FIND("|",SUBSTITUTE($H38&amp;" "," ","|",4))+1,FIND("|",SUBSTITUTE($H38&amp;" "," ","|",5))-FIND("|",SUBSTITUTE($H38&amp;" "," ","|",4))-1),""))/86400+25569+9/24,""))</f>
        <v/>
      </c>
      <c r="G38" s="58">
        <f>TRIM(SUBSTITUTE(SUBSTITUTE(SUBSTITUTE($A38,CHAR(9)," ")," "," "),CHAR(13),""))</f>
        <v/>
      </c>
      <c r="H38" s="58">
        <f>IF($G38="","",IF(ISNUMBER(FIND(" ",$G38)),$G38,IFERROR(IF((LEN(SUBSTITUTE(SUBSTITUTE($G38,"-"," ",LEN($G38)-LEN(SUBSTITUTE($G38,"-",""))),"-"," ",LEN($G38)-LEN(SUBSTITUTE($G38,"-",""))-1))-LEN(SUBSTITUTE(SUBSTITUTE(SUBSTITUTE($G38,"-"," ",LEN($G38)-LEN(SUBSTITUTE($G38,"-",""))),"-"," ",LEN($G38)-LEN(SUBSTITUTE($G38,"-",""))-1),".","")))=0,SUBSTITUTE(SUBSTITUTE($G38,"-"," ",LEN($G38)-LEN(SUBSTITUTE($G38,"-",""))),"-"," ",LEN($G38)-LEN(SUBSTITUTE($G38,"-",""))-1),SUBSTITUTE(SUBSTITUTE(SUBSTITUTE($G38,"-"," ",LEN($G38)-LEN(SUBSTITUTE($G38,"-",""))),"-"," ",LEN($G38)-LEN(SUBSTITUTE($G38,"-",""))-1),"."," ",(LEN(SUBSTITUTE(SUBSTITUTE($G38,"-"," ",LEN($G38)-LEN(SUBSTITUTE($G38,"-",""))),"-"," ",LEN($G38)-LEN(SUBSTITUTE($G38,"-",""))-1))-LEN(SUBSTITUTE(SUBSTITUTE(SUBSTITUTE($G38,"-"," ",LEN($G38)-LEN(SUBSTITUTE($G38,"-",""))),"-"," ",LEN($G38)-LEN(SUBSTITUTE($G38,"-",""))-1),".",""))))),$G38)))</f>
        <v/>
      </c>
    </row>
    <row r="39">
      <c r="A39" s="58" t="n"/>
      <c r="B39" s="58">
        <f>IF($H39="","",LEFT($H39,FIND(" ",$H39&amp;" ")-1))</f>
        <v/>
      </c>
      <c r="C39" s="58">
        <f>IF($H39="","",IFERROR(MID($H39&amp;" ",FIND("|",SUBSTITUTE($H39&amp;" "," ","|",1))+1,FIND("|",SUBSTITUTE($H39&amp;" "," ","|",2))-FIND("|",SUBSTITUTE($H39&amp;" "," ","|",1))-1),""))</f>
        <v/>
      </c>
      <c r="D39" s="58">
        <f>IF($H39="","",IFERROR(MID($H39&amp;" ",FIND("|",SUBSTITUTE($H39&amp;" "," ","|",2))+1,FIND("|",SUBSTITUTE($H39&amp;" "," ","|",3))-FIND("|",SUBSTITUTE($H39&amp;" "," ","|",2))-1),""))</f>
        <v/>
      </c>
      <c r="E39" s="58">
        <f>IF($H39="","",IFERROR(MID($H39&amp;" ",FIND("|",SUBSTITUTE($H39&amp;" "," ","|",3))+1,FIND("|",SUBSTITUTE($H39&amp;" "," ","|",4))-FIND("|",SUBSTITUTE($H39&amp;" "," ","|",3))-1),""))</f>
        <v/>
      </c>
      <c r="F39" s="59">
        <f>IF($H39="","",IFERROR(VALUE(IFERROR(MID($H39&amp;" ",FIND("|",SUBSTITUTE($H39&amp;" "," ","|",4))+1,FIND("|",SUBSTITUTE($H39&amp;" "," ","|",5))-FIND("|",SUBSTITUTE($H39&amp;" "," ","|",4))-1),""))/86400+25569+9/24,""))</f>
        <v/>
      </c>
      <c r="G39" s="58">
        <f>TRIM(SUBSTITUTE(SUBSTITUTE(SUBSTITUTE($A39,CHAR(9)," ")," "," "),CHAR(13),""))</f>
        <v/>
      </c>
      <c r="H39" s="58">
        <f>IF($G39="","",IF(ISNUMBER(FIND(" ",$G39)),$G39,IFERROR(IF((LEN(SUBSTITUTE(SUBSTITUTE($G39,"-"," ",LEN($G39)-LEN(SUBSTITUTE($G39,"-",""))),"-"," ",LEN($G39)-LEN(SUBSTITUTE($G39,"-",""))-1))-LEN(SUBSTITUTE(SUBSTITUTE(SUBSTITUTE($G39,"-"," ",LEN($G39)-LEN(SUBSTITUTE($G39,"-",""))),"-"," ",LEN($G39)-LEN(SUBSTITUTE($G39,"-",""))-1),".","")))=0,SUBSTITUTE(SUBSTITUTE($G39,"-"," ",LEN($G39)-LEN(SUBSTITUTE($G39,"-",""))),"-"," ",LEN($G39)-LEN(SUBSTITUTE($G39,"-",""))-1),SUBSTITUTE(SUBSTITUTE(SUBSTITUTE($G39,"-"," ",LEN($G39)-LEN(SUBSTITUTE($G39,"-",""))),"-"," ",LEN($G39)-LEN(SUBSTITUTE($G39,"-",""))-1),"."," ",(LEN(SUBSTITUTE(SUBSTITUTE($G39,"-"," ",LEN($G39)-LEN(SUBSTITUTE($G39,"-",""))),"-"," ",LEN($G39)-LEN(SUBSTITUTE($G39,"-",""))-1))-LEN(SUBSTITUTE(SUBSTITUTE(SUBSTITUTE($G39,"-"," ",LEN($G39)-LEN(SUBSTITUTE($G39,"-",""))),"-"," ",LEN($G39)-LEN(SUBSTITUTE($G39,"-",""))-1),".",""))))),$G39)))</f>
        <v/>
      </c>
    </row>
    <row r="40">
      <c r="A40" s="58" t="n"/>
      <c r="B40" s="58">
        <f>IF($H40="","",LEFT($H40,FIND(" ",$H40&amp;" ")-1))</f>
        <v/>
      </c>
      <c r="C40" s="58">
        <f>IF($H40="","",IFERROR(MID($H40&amp;" ",FIND("|",SUBSTITUTE($H40&amp;" "," ","|",1))+1,FIND("|",SUBSTITUTE($H40&amp;" "," ","|",2))-FIND("|",SUBSTITUTE($H40&amp;" "," ","|",1))-1),""))</f>
        <v/>
      </c>
      <c r="D40" s="58">
        <f>IF($H40="","",IFERROR(MID($H40&amp;" ",FIND("|",SUBSTITUTE($H40&amp;" "," ","|",2))+1,FIND("|",SUBSTITUTE($H40&amp;" "," ","|",3))-FIND("|",SUBSTITUTE($H40&amp;" "," ","|",2))-1),""))</f>
        <v/>
      </c>
      <c r="E40" s="58">
        <f>IF($H40="","",IFERROR(MID($H40&amp;" ",FIND("|",SUBSTITUTE($H40&amp;" "," ","|",3))+1,FIND("|",SUBSTITUTE($H40&amp;" "," ","|",4))-FIND("|",SUBSTITUTE($H40&amp;" "," ","|",3))-1),""))</f>
        <v/>
      </c>
      <c r="F40" s="59">
        <f>IF($H40="","",IFERROR(VALUE(IFERROR(MID($H40&amp;" ",FIND("|",SUBSTITUTE($H40&amp;" "," ","|",4))+1,FIND("|",SUBSTITUTE($H40&amp;" "," ","|",5))-FIND("|",SUBSTITUTE($H40&amp;" "," ","|",4))-1),""))/86400+25569+9/24,""))</f>
        <v/>
      </c>
      <c r="G40" s="58">
        <f>TRIM(SUBSTITUTE(SUBSTITUTE(SUBSTITUTE($A40,CHAR(9)," ")," "," "),CHAR(13),""))</f>
        <v/>
      </c>
      <c r="H40" s="58">
        <f>IF($G40="","",IF(ISNUMBER(FIND(" ",$G40)),$G40,IFERROR(IF((LEN(SUBSTITUTE(SUBSTITUTE($G40,"-"," ",LEN($G40)-LEN(SUBSTITUTE($G40,"-",""))),"-"," ",LEN($G40)-LEN(SUBSTITUTE($G40,"-",""))-1))-LEN(SUBSTITUTE(SUBSTITUTE(SUBSTITUTE($G40,"-"," ",LEN($G40)-LEN(SUBSTITUTE($G40,"-",""))),"-"," ",LEN($G40)-LEN(SUBSTITUTE($G40,"-",""))-1),".","")))=0,SUBSTITUTE(SUBSTITUTE($G40,"-"," ",LEN($G40)-LEN(SUBSTITUTE($G40,"-",""))),"-"," ",LEN($G40)-LEN(SUBSTITUTE($G40,"-",""))-1),SUBSTITUTE(SUBSTITUTE(SUBSTITUTE($G40,"-"," ",LEN($G40)-LEN(SUBSTITUTE($G40,"-",""))),"-"," ",LEN($G40)-LEN(SUBSTITUTE($G40,"-",""))-1),"."," ",(LEN(SUBSTITUTE(SUBSTITUTE($G40,"-"," ",LEN($G40)-LEN(SUBSTITUTE($G40,"-",""))),"-"," ",LEN($G40)-LEN(SUBSTITUTE($G40,"-",""))-1))-LEN(SUBSTITUTE(SUBSTITUTE(SUBSTITUTE($G40,"-"," ",LEN($G40)-LEN(SUBSTITUTE($G40,"-",""))),"-"," ",LEN($G40)-LEN(SUBSTITUTE($G40,"-",""))-1),".",""))))),$G40)))</f>
        <v/>
      </c>
    </row>
    <row r="41">
      <c r="A41" s="58" t="n"/>
      <c r="B41" s="58">
        <f>IF($H41="","",LEFT($H41,FIND(" ",$H41&amp;" ")-1))</f>
        <v/>
      </c>
      <c r="C41" s="58">
        <f>IF($H41="","",IFERROR(MID($H41&amp;" ",FIND("|",SUBSTITUTE($H41&amp;" "," ","|",1))+1,FIND("|",SUBSTITUTE($H41&amp;" "," ","|",2))-FIND("|",SUBSTITUTE($H41&amp;" "," ","|",1))-1),""))</f>
        <v/>
      </c>
      <c r="D41" s="58">
        <f>IF($H41="","",IFERROR(MID($H41&amp;" ",FIND("|",SUBSTITUTE($H41&amp;" "," ","|",2))+1,FIND("|",SUBSTITUTE($H41&amp;" "," ","|",3))-FIND("|",SUBSTITUTE($H41&amp;" "," ","|",2))-1),""))</f>
        <v/>
      </c>
      <c r="E41" s="58">
        <f>IF($H41="","",IFERROR(MID($H41&amp;" ",FIND("|",SUBSTITUTE($H41&amp;" "," ","|",3))+1,FIND("|",SUBSTITUTE($H41&amp;" "," ","|",4))-FIND("|",SUBSTITUTE($H41&amp;" "," ","|",3))-1),""))</f>
        <v/>
      </c>
      <c r="F41" s="59">
        <f>IF($H41="","",IFERROR(VALUE(IFERROR(MID($H41&amp;" ",FIND("|",SUBSTITUTE($H41&amp;" "," ","|",4))+1,FIND("|",SUBSTITUTE($H41&amp;" "," ","|",5))-FIND("|",SUBSTITUTE($H41&amp;" "," ","|",4))-1),""))/86400+25569+9/24,""))</f>
        <v/>
      </c>
      <c r="G41" s="58">
        <f>TRIM(SUBSTITUTE(SUBSTITUTE(SUBSTITUTE($A41,CHAR(9)," ")," "," "),CHAR(13),""))</f>
        <v/>
      </c>
      <c r="H41" s="58">
        <f>IF($G41="","",IF(ISNUMBER(FIND(" ",$G41)),$G41,IFERROR(IF((LEN(SUBSTITUTE(SUBSTITUTE($G41,"-"," ",LEN($G41)-LEN(SUBSTITUTE($G41,"-",""))),"-"," ",LEN($G41)-LEN(SUBSTITUTE($G41,"-",""))-1))-LEN(SUBSTITUTE(SUBSTITUTE(SUBSTITUTE($G41,"-"," ",LEN($G41)-LEN(SUBSTITUTE($G41,"-",""))),"-"," ",LEN($G41)-LEN(SUBSTITUTE($G41,"-",""))-1),".","")))=0,SUBSTITUTE(SUBSTITUTE($G41,"-"," ",LEN($G41)-LEN(SUBSTITUTE($G41,"-",""))),"-"," ",LEN($G41)-LEN(SUBSTITUTE($G41,"-",""))-1),SUBSTITUTE(SUBSTITUTE(SUBSTITUTE($G41,"-"," ",LEN($G41)-LEN(SUBSTITUTE($G41,"-",""))),"-"," ",LEN($G41)-LEN(SUBSTITUTE($G41,"-",""))-1),"."," ",(LEN(SUBSTITUTE(SUBSTITUTE($G41,"-"," ",LEN($G41)-LEN(SUBSTITUTE($G41,"-",""))),"-"," ",LEN($G41)-LEN(SUBSTITUTE($G41,"-",""))-1))-LEN(SUBSTITUTE(SUBSTITUTE(SUBSTITUTE($G41,"-"," ",LEN($G41)-LEN(SUBSTITUTE($G41,"-",""))),"-"," ",LEN($G41)-LEN(SUBSTITUTE($G41,"-",""))-1),".",""))))),$G41)))</f>
        <v/>
      </c>
    </row>
    <row r="42">
      <c r="A42" s="58" t="n"/>
      <c r="B42" s="58">
        <f>IF($H42="","",LEFT($H42,FIND(" ",$H42&amp;" ")-1))</f>
        <v/>
      </c>
      <c r="C42" s="58">
        <f>IF($H42="","",IFERROR(MID($H42&amp;" ",FIND("|",SUBSTITUTE($H42&amp;" "," ","|",1))+1,FIND("|",SUBSTITUTE($H42&amp;" "," ","|",2))-FIND("|",SUBSTITUTE($H42&amp;" "," ","|",1))-1),""))</f>
        <v/>
      </c>
      <c r="D42" s="58">
        <f>IF($H42="","",IFERROR(MID($H42&amp;" ",FIND("|",SUBSTITUTE($H42&amp;" "," ","|",2))+1,FIND("|",SUBSTITUTE($H42&amp;" "," ","|",3))-FIND("|",SUBSTITUTE($H42&amp;" "," ","|",2))-1),""))</f>
        <v/>
      </c>
      <c r="E42" s="58">
        <f>IF($H42="","",IFERROR(MID($H42&amp;" ",FIND("|",SUBSTITUTE($H42&amp;" "," ","|",3))+1,FIND("|",SUBSTITUTE($H42&amp;" "," ","|",4))-FIND("|",SUBSTITUTE($H42&amp;" "," ","|",3))-1),""))</f>
        <v/>
      </c>
      <c r="F42" s="59">
        <f>IF($H42="","",IFERROR(VALUE(IFERROR(MID($H42&amp;" ",FIND("|",SUBSTITUTE($H42&amp;" "," ","|",4))+1,FIND("|",SUBSTITUTE($H42&amp;" "," ","|",5))-FIND("|",SUBSTITUTE($H42&amp;" "," ","|",4))-1),""))/86400+25569+9/24,""))</f>
        <v/>
      </c>
      <c r="G42" s="58">
        <f>TRIM(SUBSTITUTE(SUBSTITUTE(SUBSTITUTE($A42,CHAR(9)," ")," "," "),CHAR(13),""))</f>
        <v/>
      </c>
      <c r="H42" s="58">
        <f>IF($G42="","",IF(ISNUMBER(FIND(" ",$G42)),$G42,IFERROR(IF((LEN(SUBSTITUTE(SUBSTITUTE($G42,"-"," ",LEN($G42)-LEN(SUBSTITUTE($G42,"-",""))),"-"," ",LEN($G42)-LEN(SUBSTITUTE($G42,"-",""))-1))-LEN(SUBSTITUTE(SUBSTITUTE(SUBSTITUTE($G42,"-"," ",LEN($G42)-LEN(SUBSTITUTE($G42,"-",""))),"-"," ",LEN($G42)-LEN(SUBSTITUTE($G42,"-",""))-1),".","")))=0,SUBSTITUTE(SUBSTITUTE($G42,"-"," ",LEN($G42)-LEN(SUBSTITUTE($G42,"-",""))),"-"," ",LEN($G42)-LEN(SUBSTITUTE($G42,"-",""))-1),SUBSTITUTE(SUBSTITUTE(SUBSTITUTE($G42,"-"," ",LEN($G42)-LEN(SUBSTITUTE($G42,"-",""))),"-"," ",LEN($G42)-LEN(SUBSTITUTE($G42,"-",""))-1),"."," ",(LEN(SUBSTITUTE(SUBSTITUTE($G42,"-"," ",LEN($G42)-LEN(SUBSTITUTE($G42,"-",""))),"-"," ",LEN($G42)-LEN(SUBSTITUTE($G42,"-",""))-1))-LEN(SUBSTITUTE(SUBSTITUTE(SUBSTITUTE($G42,"-"," ",LEN($G42)-LEN(SUBSTITUTE($G42,"-",""))),"-"," ",LEN($G42)-LEN(SUBSTITUTE($G42,"-",""))-1),".",""))))),$G42)))</f>
        <v/>
      </c>
    </row>
    <row r="43">
      <c r="A43" s="58" t="n"/>
      <c r="B43" s="58">
        <f>IF($H43="","",LEFT($H43,FIND(" ",$H43&amp;" ")-1))</f>
        <v/>
      </c>
      <c r="C43" s="58">
        <f>IF($H43="","",IFERROR(MID($H43&amp;" ",FIND("|",SUBSTITUTE($H43&amp;" "," ","|",1))+1,FIND("|",SUBSTITUTE($H43&amp;" "," ","|",2))-FIND("|",SUBSTITUTE($H43&amp;" "," ","|",1))-1),""))</f>
        <v/>
      </c>
      <c r="D43" s="58">
        <f>IF($H43="","",IFERROR(MID($H43&amp;" ",FIND("|",SUBSTITUTE($H43&amp;" "," ","|",2))+1,FIND("|",SUBSTITUTE($H43&amp;" "," ","|",3))-FIND("|",SUBSTITUTE($H43&amp;" "," ","|",2))-1),""))</f>
        <v/>
      </c>
      <c r="E43" s="58">
        <f>IF($H43="","",IFERROR(MID($H43&amp;" ",FIND("|",SUBSTITUTE($H43&amp;" "," ","|",3))+1,FIND("|",SUBSTITUTE($H43&amp;" "," ","|",4))-FIND("|",SUBSTITUTE($H43&amp;" "," ","|",3))-1),""))</f>
        <v/>
      </c>
      <c r="F43" s="59">
        <f>IF($H43="","",IFERROR(VALUE(IFERROR(MID($H43&amp;" ",FIND("|",SUBSTITUTE($H43&amp;" "," ","|",4))+1,FIND("|",SUBSTITUTE($H43&amp;" "," ","|",5))-FIND("|",SUBSTITUTE($H43&amp;" "," ","|",4))-1),""))/86400+25569+9/24,""))</f>
        <v/>
      </c>
      <c r="G43" s="58">
        <f>TRIM(SUBSTITUTE(SUBSTITUTE(SUBSTITUTE($A43,CHAR(9)," ")," "," "),CHAR(13),""))</f>
        <v/>
      </c>
      <c r="H43" s="58">
        <f>IF($G43="","",IF(ISNUMBER(FIND(" ",$G43)),$G43,IFERROR(IF((LEN(SUBSTITUTE(SUBSTITUTE($G43,"-"," ",LEN($G43)-LEN(SUBSTITUTE($G43,"-",""))),"-"," ",LEN($G43)-LEN(SUBSTITUTE($G43,"-",""))-1))-LEN(SUBSTITUTE(SUBSTITUTE(SUBSTITUTE($G43,"-"," ",LEN($G43)-LEN(SUBSTITUTE($G43,"-",""))),"-"," ",LEN($G43)-LEN(SUBSTITUTE($G43,"-",""))-1),".","")))=0,SUBSTITUTE(SUBSTITUTE($G43,"-"," ",LEN($G43)-LEN(SUBSTITUTE($G43,"-",""))),"-"," ",LEN($G43)-LEN(SUBSTITUTE($G43,"-",""))-1),SUBSTITUTE(SUBSTITUTE(SUBSTITUTE($G43,"-"," ",LEN($G43)-LEN(SUBSTITUTE($G43,"-",""))),"-"," ",LEN($G43)-LEN(SUBSTITUTE($G43,"-",""))-1),"."," ",(LEN(SUBSTITUTE(SUBSTITUTE($G43,"-"," ",LEN($G43)-LEN(SUBSTITUTE($G43,"-",""))),"-"," ",LEN($G43)-LEN(SUBSTITUTE($G43,"-",""))-1))-LEN(SUBSTITUTE(SUBSTITUTE(SUBSTITUTE($G43,"-"," ",LEN($G43)-LEN(SUBSTITUTE($G43,"-",""))),"-"," ",LEN($G43)-LEN(SUBSTITUTE($G43,"-",""))-1),".",""))))),$G43)))</f>
        <v/>
      </c>
    </row>
    <row r="44">
      <c r="A44" s="58" t="n"/>
      <c r="B44" s="58">
        <f>IF($H44="","",LEFT($H44,FIND(" ",$H44&amp;" ")-1))</f>
        <v/>
      </c>
      <c r="C44" s="58">
        <f>IF($H44="","",IFERROR(MID($H44&amp;" ",FIND("|",SUBSTITUTE($H44&amp;" "," ","|",1))+1,FIND("|",SUBSTITUTE($H44&amp;" "," ","|",2))-FIND("|",SUBSTITUTE($H44&amp;" "," ","|",1))-1),""))</f>
        <v/>
      </c>
      <c r="D44" s="58">
        <f>IF($H44="","",IFERROR(MID($H44&amp;" ",FIND("|",SUBSTITUTE($H44&amp;" "," ","|",2))+1,FIND("|",SUBSTITUTE($H44&amp;" "," ","|",3))-FIND("|",SUBSTITUTE($H44&amp;" "," ","|",2))-1),""))</f>
        <v/>
      </c>
      <c r="E44" s="58">
        <f>IF($H44="","",IFERROR(MID($H44&amp;" ",FIND("|",SUBSTITUTE($H44&amp;" "," ","|",3))+1,FIND("|",SUBSTITUTE($H44&amp;" "," ","|",4))-FIND("|",SUBSTITUTE($H44&amp;" "," ","|",3))-1),""))</f>
        <v/>
      </c>
      <c r="F44" s="59">
        <f>IF($H44="","",IFERROR(VALUE(IFERROR(MID($H44&amp;" ",FIND("|",SUBSTITUTE($H44&amp;" "," ","|",4))+1,FIND("|",SUBSTITUTE($H44&amp;" "," ","|",5))-FIND("|",SUBSTITUTE($H44&amp;" "," ","|",4))-1),""))/86400+25569+9/24,""))</f>
        <v/>
      </c>
      <c r="G44" s="58">
        <f>TRIM(SUBSTITUTE(SUBSTITUTE(SUBSTITUTE($A44,CHAR(9)," ")," "," "),CHAR(13),""))</f>
        <v/>
      </c>
      <c r="H44" s="58">
        <f>IF($G44="","",IF(ISNUMBER(FIND(" ",$G44)),$G44,IFERROR(IF((LEN(SUBSTITUTE(SUBSTITUTE($G44,"-"," ",LEN($G44)-LEN(SUBSTITUTE($G44,"-",""))),"-"," ",LEN($G44)-LEN(SUBSTITUTE($G44,"-",""))-1))-LEN(SUBSTITUTE(SUBSTITUTE(SUBSTITUTE($G44,"-"," ",LEN($G44)-LEN(SUBSTITUTE($G44,"-",""))),"-"," ",LEN($G44)-LEN(SUBSTITUTE($G44,"-",""))-1),".","")))=0,SUBSTITUTE(SUBSTITUTE($G44,"-"," ",LEN($G44)-LEN(SUBSTITUTE($G44,"-",""))),"-"," ",LEN($G44)-LEN(SUBSTITUTE($G44,"-",""))-1),SUBSTITUTE(SUBSTITUTE(SUBSTITUTE($G44,"-"," ",LEN($G44)-LEN(SUBSTITUTE($G44,"-",""))),"-"," ",LEN($G44)-LEN(SUBSTITUTE($G44,"-",""))-1),"."," ",(LEN(SUBSTITUTE(SUBSTITUTE($G44,"-"," ",LEN($G44)-LEN(SUBSTITUTE($G44,"-",""))),"-"," ",LEN($G44)-LEN(SUBSTITUTE($G44,"-",""))-1))-LEN(SUBSTITUTE(SUBSTITUTE(SUBSTITUTE($G44,"-"," ",LEN($G44)-LEN(SUBSTITUTE($G44,"-",""))),"-"," ",LEN($G44)-LEN(SUBSTITUTE($G44,"-",""))-1),".",""))))),$G44)))</f>
        <v/>
      </c>
    </row>
    <row r="45">
      <c r="A45" s="58" t="n"/>
      <c r="B45" s="58">
        <f>IF($H45="","",LEFT($H45,FIND(" ",$H45&amp;" ")-1))</f>
        <v/>
      </c>
      <c r="C45" s="58">
        <f>IF($H45="","",IFERROR(MID($H45&amp;" ",FIND("|",SUBSTITUTE($H45&amp;" "," ","|",1))+1,FIND("|",SUBSTITUTE($H45&amp;" "," ","|",2))-FIND("|",SUBSTITUTE($H45&amp;" "," ","|",1))-1),""))</f>
        <v/>
      </c>
      <c r="D45" s="58">
        <f>IF($H45="","",IFERROR(MID($H45&amp;" ",FIND("|",SUBSTITUTE($H45&amp;" "," ","|",2))+1,FIND("|",SUBSTITUTE($H45&amp;" "," ","|",3))-FIND("|",SUBSTITUTE($H45&amp;" "," ","|",2))-1),""))</f>
        <v/>
      </c>
      <c r="E45" s="58">
        <f>IF($H45="","",IFERROR(MID($H45&amp;" ",FIND("|",SUBSTITUTE($H45&amp;" "," ","|",3))+1,FIND("|",SUBSTITUTE($H45&amp;" "," ","|",4))-FIND("|",SUBSTITUTE($H45&amp;" "," ","|",3))-1),""))</f>
        <v/>
      </c>
      <c r="F45" s="59">
        <f>IF($H45="","",IFERROR(VALUE(IFERROR(MID($H45&amp;" ",FIND("|",SUBSTITUTE($H45&amp;" "," ","|",4))+1,FIND("|",SUBSTITUTE($H45&amp;" "," ","|",5))-FIND("|",SUBSTITUTE($H45&amp;" "," ","|",4))-1),""))/86400+25569+9/24,""))</f>
        <v/>
      </c>
      <c r="G45" s="58">
        <f>TRIM(SUBSTITUTE(SUBSTITUTE(SUBSTITUTE($A45,CHAR(9)," ")," "," "),CHAR(13),""))</f>
        <v/>
      </c>
      <c r="H45" s="58">
        <f>IF($G45="","",IF(ISNUMBER(FIND(" ",$G45)),$G45,IFERROR(IF((LEN(SUBSTITUTE(SUBSTITUTE($G45,"-"," ",LEN($G45)-LEN(SUBSTITUTE($G45,"-",""))),"-"," ",LEN($G45)-LEN(SUBSTITUTE($G45,"-",""))-1))-LEN(SUBSTITUTE(SUBSTITUTE(SUBSTITUTE($G45,"-"," ",LEN($G45)-LEN(SUBSTITUTE($G45,"-",""))),"-"," ",LEN($G45)-LEN(SUBSTITUTE($G45,"-",""))-1),".","")))=0,SUBSTITUTE(SUBSTITUTE($G45,"-"," ",LEN($G45)-LEN(SUBSTITUTE($G45,"-",""))),"-"," ",LEN($G45)-LEN(SUBSTITUTE($G45,"-",""))-1),SUBSTITUTE(SUBSTITUTE(SUBSTITUTE($G45,"-"," ",LEN($G45)-LEN(SUBSTITUTE($G45,"-",""))),"-"," ",LEN($G45)-LEN(SUBSTITUTE($G45,"-",""))-1),"."," ",(LEN(SUBSTITUTE(SUBSTITUTE($G45,"-"," ",LEN($G45)-LEN(SUBSTITUTE($G45,"-",""))),"-"," ",LEN($G45)-LEN(SUBSTITUTE($G45,"-",""))-1))-LEN(SUBSTITUTE(SUBSTITUTE(SUBSTITUTE($G45,"-"," ",LEN($G45)-LEN(SUBSTITUTE($G45,"-",""))),"-"," ",LEN($G45)-LEN(SUBSTITUTE($G45,"-",""))-1),".",""))))),$G45)))</f>
        <v/>
      </c>
    </row>
    <row r="46">
      <c r="A46" s="58" t="n"/>
      <c r="B46" s="58">
        <f>IF($H46="","",LEFT($H46,FIND(" ",$H46&amp;" ")-1))</f>
        <v/>
      </c>
      <c r="C46" s="58">
        <f>IF($H46="","",IFERROR(MID($H46&amp;" ",FIND("|",SUBSTITUTE($H46&amp;" "," ","|",1))+1,FIND("|",SUBSTITUTE($H46&amp;" "," ","|",2))-FIND("|",SUBSTITUTE($H46&amp;" "," ","|",1))-1),""))</f>
        <v/>
      </c>
      <c r="D46" s="58">
        <f>IF($H46="","",IFERROR(MID($H46&amp;" ",FIND("|",SUBSTITUTE($H46&amp;" "," ","|",2))+1,FIND("|",SUBSTITUTE($H46&amp;" "," ","|",3))-FIND("|",SUBSTITUTE($H46&amp;" "," ","|",2))-1),""))</f>
        <v/>
      </c>
      <c r="E46" s="58">
        <f>IF($H46="","",IFERROR(MID($H46&amp;" ",FIND("|",SUBSTITUTE($H46&amp;" "," ","|",3))+1,FIND("|",SUBSTITUTE($H46&amp;" "," ","|",4))-FIND("|",SUBSTITUTE($H46&amp;" "," ","|",3))-1),""))</f>
        <v/>
      </c>
      <c r="F46" s="59">
        <f>IF($H46="","",IFERROR(VALUE(IFERROR(MID($H46&amp;" ",FIND("|",SUBSTITUTE($H46&amp;" "," ","|",4))+1,FIND("|",SUBSTITUTE($H46&amp;" "," ","|",5))-FIND("|",SUBSTITUTE($H46&amp;" "," ","|",4))-1),""))/86400+25569+9/24,""))</f>
        <v/>
      </c>
      <c r="G46" s="58">
        <f>TRIM(SUBSTITUTE(SUBSTITUTE(SUBSTITUTE($A46,CHAR(9)," ")," "," "),CHAR(13),""))</f>
        <v/>
      </c>
      <c r="H46" s="58">
        <f>IF($G46="","",IF(ISNUMBER(FIND(" ",$G46)),$G46,IFERROR(IF((LEN(SUBSTITUTE(SUBSTITUTE($G46,"-"," ",LEN($G46)-LEN(SUBSTITUTE($G46,"-",""))),"-"," ",LEN($G46)-LEN(SUBSTITUTE($G46,"-",""))-1))-LEN(SUBSTITUTE(SUBSTITUTE(SUBSTITUTE($G46,"-"," ",LEN($G46)-LEN(SUBSTITUTE($G46,"-",""))),"-"," ",LEN($G46)-LEN(SUBSTITUTE($G46,"-",""))-1),".","")))=0,SUBSTITUTE(SUBSTITUTE($G46,"-"," ",LEN($G46)-LEN(SUBSTITUTE($G46,"-",""))),"-"," ",LEN($G46)-LEN(SUBSTITUTE($G46,"-",""))-1),SUBSTITUTE(SUBSTITUTE(SUBSTITUTE($G46,"-"," ",LEN($G46)-LEN(SUBSTITUTE($G46,"-",""))),"-"," ",LEN($G46)-LEN(SUBSTITUTE($G46,"-",""))-1),"."," ",(LEN(SUBSTITUTE(SUBSTITUTE($G46,"-"," ",LEN($G46)-LEN(SUBSTITUTE($G46,"-",""))),"-"," ",LEN($G46)-LEN(SUBSTITUTE($G46,"-",""))-1))-LEN(SUBSTITUTE(SUBSTITUTE(SUBSTITUTE($G46,"-"," ",LEN($G46)-LEN(SUBSTITUTE($G46,"-",""))),"-"," ",LEN($G46)-LEN(SUBSTITUTE($G46,"-",""))-1),".",""))))),$G46)))</f>
        <v/>
      </c>
    </row>
    <row r="47">
      <c r="A47" s="58" t="n"/>
      <c r="B47" s="58">
        <f>IF($H47="","",LEFT($H47,FIND(" ",$H47&amp;" ")-1))</f>
        <v/>
      </c>
      <c r="C47" s="58">
        <f>IF($H47="","",IFERROR(MID($H47&amp;" ",FIND("|",SUBSTITUTE($H47&amp;" "," ","|",1))+1,FIND("|",SUBSTITUTE($H47&amp;" "," ","|",2))-FIND("|",SUBSTITUTE($H47&amp;" "," ","|",1))-1),""))</f>
        <v/>
      </c>
      <c r="D47" s="58">
        <f>IF($H47="","",IFERROR(MID($H47&amp;" ",FIND("|",SUBSTITUTE($H47&amp;" "," ","|",2))+1,FIND("|",SUBSTITUTE($H47&amp;" "," ","|",3))-FIND("|",SUBSTITUTE($H47&amp;" "," ","|",2))-1),""))</f>
        <v/>
      </c>
      <c r="E47" s="58">
        <f>IF($H47="","",IFERROR(MID($H47&amp;" ",FIND("|",SUBSTITUTE($H47&amp;" "," ","|",3))+1,FIND("|",SUBSTITUTE($H47&amp;" "," ","|",4))-FIND("|",SUBSTITUTE($H47&amp;" "," ","|",3))-1),""))</f>
        <v/>
      </c>
      <c r="F47" s="59">
        <f>IF($H47="","",IFERROR(VALUE(IFERROR(MID($H47&amp;" ",FIND("|",SUBSTITUTE($H47&amp;" "," ","|",4))+1,FIND("|",SUBSTITUTE($H47&amp;" "," ","|",5))-FIND("|",SUBSTITUTE($H47&amp;" "," ","|",4))-1),""))/86400+25569+9/24,""))</f>
        <v/>
      </c>
      <c r="G47" s="58">
        <f>TRIM(SUBSTITUTE(SUBSTITUTE(SUBSTITUTE($A47,CHAR(9)," ")," "," "),CHAR(13),""))</f>
        <v/>
      </c>
      <c r="H47" s="58">
        <f>IF($G47="","",IF(ISNUMBER(FIND(" ",$G47)),$G47,IFERROR(IF((LEN(SUBSTITUTE(SUBSTITUTE($G47,"-"," ",LEN($G47)-LEN(SUBSTITUTE($G47,"-",""))),"-"," ",LEN($G47)-LEN(SUBSTITUTE($G47,"-",""))-1))-LEN(SUBSTITUTE(SUBSTITUTE(SUBSTITUTE($G47,"-"," ",LEN($G47)-LEN(SUBSTITUTE($G47,"-",""))),"-"," ",LEN($G47)-LEN(SUBSTITUTE($G47,"-",""))-1),".","")))=0,SUBSTITUTE(SUBSTITUTE($G47,"-"," ",LEN($G47)-LEN(SUBSTITUTE($G47,"-",""))),"-"," ",LEN($G47)-LEN(SUBSTITUTE($G47,"-",""))-1),SUBSTITUTE(SUBSTITUTE(SUBSTITUTE($G47,"-"," ",LEN($G47)-LEN(SUBSTITUTE($G47,"-",""))),"-"," ",LEN($G47)-LEN(SUBSTITUTE($G47,"-",""))-1),"."," ",(LEN(SUBSTITUTE(SUBSTITUTE($G47,"-"," ",LEN($G47)-LEN(SUBSTITUTE($G47,"-",""))),"-"," ",LEN($G47)-LEN(SUBSTITUTE($G47,"-",""))-1))-LEN(SUBSTITUTE(SUBSTITUTE(SUBSTITUTE($G47,"-"," ",LEN($G47)-LEN(SUBSTITUTE($G47,"-",""))),"-"," ",LEN($G47)-LEN(SUBSTITUTE($G47,"-",""))-1),".",""))))),$G47)))</f>
        <v/>
      </c>
    </row>
    <row r="48">
      <c r="A48" s="58" t="n"/>
      <c r="B48" s="58">
        <f>IF($H48="","",LEFT($H48,FIND(" ",$H48&amp;" ")-1))</f>
        <v/>
      </c>
      <c r="C48" s="58">
        <f>IF($H48="","",IFERROR(MID($H48&amp;" ",FIND("|",SUBSTITUTE($H48&amp;" "," ","|",1))+1,FIND("|",SUBSTITUTE($H48&amp;" "," ","|",2))-FIND("|",SUBSTITUTE($H48&amp;" "," ","|",1))-1),""))</f>
        <v/>
      </c>
      <c r="D48" s="58">
        <f>IF($H48="","",IFERROR(MID($H48&amp;" ",FIND("|",SUBSTITUTE($H48&amp;" "," ","|",2))+1,FIND("|",SUBSTITUTE($H48&amp;" "," ","|",3))-FIND("|",SUBSTITUTE($H48&amp;" "," ","|",2))-1),""))</f>
        <v/>
      </c>
      <c r="E48" s="58">
        <f>IF($H48="","",IFERROR(MID($H48&amp;" ",FIND("|",SUBSTITUTE($H48&amp;" "," ","|",3))+1,FIND("|",SUBSTITUTE($H48&amp;" "," ","|",4))-FIND("|",SUBSTITUTE($H48&amp;" "," ","|",3))-1),""))</f>
        <v/>
      </c>
      <c r="F48" s="59">
        <f>IF($H48="","",IFERROR(VALUE(IFERROR(MID($H48&amp;" ",FIND("|",SUBSTITUTE($H48&amp;" "," ","|",4))+1,FIND("|",SUBSTITUTE($H48&amp;" "," ","|",5))-FIND("|",SUBSTITUTE($H48&amp;" "," ","|",4))-1),""))/86400+25569+9/24,""))</f>
        <v/>
      </c>
      <c r="G48" s="58">
        <f>TRIM(SUBSTITUTE(SUBSTITUTE(SUBSTITUTE($A48,CHAR(9)," ")," "," "),CHAR(13),""))</f>
        <v/>
      </c>
      <c r="H48" s="58">
        <f>IF($G48="","",IF(ISNUMBER(FIND(" ",$G48)),$G48,IFERROR(IF((LEN(SUBSTITUTE(SUBSTITUTE($G48,"-"," ",LEN($G48)-LEN(SUBSTITUTE($G48,"-",""))),"-"," ",LEN($G48)-LEN(SUBSTITUTE($G48,"-",""))-1))-LEN(SUBSTITUTE(SUBSTITUTE(SUBSTITUTE($G48,"-"," ",LEN($G48)-LEN(SUBSTITUTE($G48,"-",""))),"-"," ",LEN($G48)-LEN(SUBSTITUTE($G48,"-",""))-1),".","")))=0,SUBSTITUTE(SUBSTITUTE($G48,"-"," ",LEN($G48)-LEN(SUBSTITUTE($G48,"-",""))),"-"," ",LEN($G48)-LEN(SUBSTITUTE($G48,"-",""))-1),SUBSTITUTE(SUBSTITUTE(SUBSTITUTE($G48,"-"," ",LEN($G48)-LEN(SUBSTITUTE($G48,"-",""))),"-"," ",LEN($G48)-LEN(SUBSTITUTE($G48,"-",""))-1),"."," ",(LEN(SUBSTITUTE(SUBSTITUTE($G48,"-"," ",LEN($G48)-LEN(SUBSTITUTE($G48,"-",""))),"-"," ",LEN($G48)-LEN(SUBSTITUTE($G48,"-",""))-1))-LEN(SUBSTITUTE(SUBSTITUTE(SUBSTITUTE($G48,"-"," ",LEN($G48)-LEN(SUBSTITUTE($G48,"-",""))),"-"," ",LEN($G48)-LEN(SUBSTITUTE($G48,"-",""))-1),".",""))))),$G48)))</f>
        <v/>
      </c>
    </row>
    <row r="49">
      <c r="A49" s="58" t="n"/>
      <c r="B49" s="58">
        <f>IF($H49="","",LEFT($H49,FIND(" ",$H49&amp;" ")-1))</f>
        <v/>
      </c>
      <c r="C49" s="58">
        <f>IF($H49="","",IFERROR(MID($H49&amp;" ",FIND("|",SUBSTITUTE($H49&amp;" "," ","|",1))+1,FIND("|",SUBSTITUTE($H49&amp;" "," ","|",2))-FIND("|",SUBSTITUTE($H49&amp;" "," ","|",1))-1),""))</f>
        <v/>
      </c>
      <c r="D49" s="58">
        <f>IF($H49="","",IFERROR(MID($H49&amp;" ",FIND("|",SUBSTITUTE($H49&amp;" "," ","|",2))+1,FIND("|",SUBSTITUTE($H49&amp;" "," ","|",3))-FIND("|",SUBSTITUTE($H49&amp;" "," ","|",2))-1),""))</f>
        <v/>
      </c>
      <c r="E49" s="58">
        <f>IF($H49="","",IFERROR(MID($H49&amp;" ",FIND("|",SUBSTITUTE($H49&amp;" "," ","|",3))+1,FIND("|",SUBSTITUTE($H49&amp;" "," ","|",4))-FIND("|",SUBSTITUTE($H49&amp;" "," ","|",3))-1),""))</f>
        <v/>
      </c>
      <c r="F49" s="59">
        <f>IF($H49="","",IFERROR(VALUE(IFERROR(MID($H49&amp;" ",FIND("|",SUBSTITUTE($H49&amp;" "," ","|",4))+1,FIND("|",SUBSTITUTE($H49&amp;" "," ","|",5))-FIND("|",SUBSTITUTE($H49&amp;" "," ","|",4))-1),""))/86400+25569+9/24,""))</f>
        <v/>
      </c>
      <c r="G49" s="58">
        <f>TRIM(SUBSTITUTE(SUBSTITUTE(SUBSTITUTE($A49,CHAR(9)," ")," "," "),CHAR(13),""))</f>
        <v/>
      </c>
      <c r="H49" s="58">
        <f>IF($G49="","",IF(ISNUMBER(FIND(" ",$G49)),$G49,IFERROR(IF((LEN(SUBSTITUTE(SUBSTITUTE($G49,"-"," ",LEN($G49)-LEN(SUBSTITUTE($G49,"-",""))),"-"," ",LEN($G49)-LEN(SUBSTITUTE($G49,"-",""))-1))-LEN(SUBSTITUTE(SUBSTITUTE(SUBSTITUTE($G49,"-"," ",LEN($G49)-LEN(SUBSTITUTE($G49,"-",""))),"-"," ",LEN($G49)-LEN(SUBSTITUTE($G49,"-",""))-1),".","")))=0,SUBSTITUTE(SUBSTITUTE($G49,"-"," ",LEN($G49)-LEN(SUBSTITUTE($G49,"-",""))),"-"," ",LEN($G49)-LEN(SUBSTITUTE($G49,"-",""))-1),SUBSTITUTE(SUBSTITUTE(SUBSTITUTE($G49,"-"," ",LEN($G49)-LEN(SUBSTITUTE($G49,"-",""))),"-"," ",LEN($G49)-LEN(SUBSTITUTE($G49,"-",""))-1),"."," ",(LEN(SUBSTITUTE(SUBSTITUTE($G49,"-"," ",LEN($G49)-LEN(SUBSTITUTE($G49,"-",""))),"-"," ",LEN($G49)-LEN(SUBSTITUTE($G49,"-",""))-1))-LEN(SUBSTITUTE(SUBSTITUTE(SUBSTITUTE($G49,"-"," ",LEN($G49)-LEN(SUBSTITUTE($G49,"-",""))),"-"," ",LEN($G49)-LEN(SUBSTITUTE($G49,"-",""))-1),".",""))))),$G49)))</f>
        <v/>
      </c>
    </row>
    <row r="50">
      <c r="A50" s="58" t="n"/>
      <c r="B50" s="58">
        <f>IF($H50="","",LEFT($H50,FIND(" ",$H50&amp;" ")-1))</f>
        <v/>
      </c>
      <c r="C50" s="58">
        <f>IF($H50="","",IFERROR(MID($H50&amp;" ",FIND("|",SUBSTITUTE($H50&amp;" "," ","|",1))+1,FIND("|",SUBSTITUTE($H50&amp;" "," ","|",2))-FIND("|",SUBSTITUTE($H50&amp;" "," ","|",1))-1),""))</f>
        <v/>
      </c>
      <c r="D50" s="58">
        <f>IF($H50="","",IFERROR(MID($H50&amp;" ",FIND("|",SUBSTITUTE($H50&amp;" "," ","|",2))+1,FIND("|",SUBSTITUTE($H50&amp;" "," ","|",3))-FIND("|",SUBSTITUTE($H50&amp;" "," ","|",2))-1),""))</f>
        <v/>
      </c>
      <c r="E50" s="58">
        <f>IF($H50="","",IFERROR(MID($H50&amp;" ",FIND("|",SUBSTITUTE($H50&amp;" "," ","|",3))+1,FIND("|",SUBSTITUTE($H50&amp;" "," ","|",4))-FIND("|",SUBSTITUTE($H50&amp;" "," ","|",3))-1),""))</f>
        <v/>
      </c>
      <c r="F50" s="59">
        <f>IF($H50="","",IFERROR(VALUE(IFERROR(MID($H50&amp;" ",FIND("|",SUBSTITUTE($H50&amp;" "," ","|",4))+1,FIND("|",SUBSTITUTE($H50&amp;" "," ","|",5))-FIND("|",SUBSTITUTE($H50&amp;" "," ","|",4))-1),""))/86400+25569+9/24,""))</f>
        <v/>
      </c>
      <c r="G50" s="58">
        <f>TRIM(SUBSTITUTE(SUBSTITUTE(SUBSTITUTE($A50,CHAR(9)," ")," "," "),CHAR(13),""))</f>
        <v/>
      </c>
      <c r="H50" s="58">
        <f>IF($G50="","",IF(ISNUMBER(FIND(" ",$G50)),$G50,IFERROR(IF((LEN(SUBSTITUTE(SUBSTITUTE($G50,"-"," ",LEN($G50)-LEN(SUBSTITUTE($G50,"-",""))),"-"," ",LEN($G50)-LEN(SUBSTITUTE($G50,"-",""))-1))-LEN(SUBSTITUTE(SUBSTITUTE(SUBSTITUTE($G50,"-"," ",LEN($G50)-LEN(SUBSTITUTE($G50,"-",""))),"-"," ",LEN($G50)-LEN(SUBSTITUTE($G50,"-",""))-1),".","")))=0,SUBSTITUTE(SUBSTITUTE($G50,"-"," ",LEN($G50)-LEN(SUBSTITUTE($G50,"-",""))),"-"," ",LEN($G50)-LEN(SUBSTITUTE($G50,"-",""))-1),SUBSTITUTE(SUBSTITUTE(SUBSTITUTE($G50,"-"," ",LEN($G50)-LEN(SUBSTITUTE($G50,"-",""))),"-"," ",LEN($G50)-LEN(SUBSTITUTE($G50,"-",""))-1),"."," ",(LEN(SUBSTITUTE(SUBSTITUTE($G50,"-"," ",LEN($G50)-LEN(SUBSTITUTE($G50,"-",""))),"-"," ",LEN($G50)-LEN(SUBSTITUTE($G50,"-",""))-1))-LEN(SUBSTITUTE(SUBSTITUTE(SUBSTITUTE($G50,"-"," ",LEN($G50)-LEN(SUBSTITUTE($G50,"-",""))),"-"," ",LEN($G50)-LEN(SUBSTITUTE($G50,"-",""))-1),".",""))))),$G50)))</f>
        <v/>
      </c>
    </row>
    <row r="51">
      <c r="A51" s="58" t="n"/>
      <c r="B51" s="58">
        <f>IF($H51="","",LEFT($H51,FIND(" ",$H51&amp;" ")-1))</f>
        <v/>
      </c>
      <c r="C51" s="58">
        <f>IF($H51="","",IFERROR(MID($H51&amp;" ",FIND("|",SUBSTITUTE($H51&amp;" "," ","|",1))+1,FIND("|",SUBSTITUTE($H51&amp;" "," ","|",2))-FIND("|",SUBSTITUTE($H51&amp;" "," ","|",1))-1),""))</f>
        <v/>
      </c>
      <c r="D51" s="58">
        <f>IF($H51="","",IFERROR(MID($H51&amp;" ",FIND("|",SUBSTITUTE($H51&amp;" "," ","|",2))+1,FIND("|",SUBSTITUTE($H51&amp;" "," ","|",3))-FIND("|",SUBSTITUTE($H51&amp;" "," ","|",2))-1),""))</f>
        <v/>
      </c>
      <c r="E51" s="58">
        <f>IF($H51="","",IFERROR(MID($H51&amp;" ",FIND("|",SUBSTITUTE($H51&amp;" "," ","|",3))+1,FIND("|",SUBSTITUTE($H51&amp;" "," ","|",4))-FIND("|",SUBSTITUTE($H51&amp;" "," ","|",3))-1),""))</f>
        <v/>
      </c>
      <c r="F51" s="59">
        <f>IF($H51="","",IFERROR(VALUE(IFERROR(MID($H51&amp;" ",FIND("|",SUBSTITUTE($H51&amp;" "," ","|",4))+1,FIND("|",SUBSTITUTE($H51&amp;" "," ","|",5))-FIND("|",SUBSTITUTE($H51&amp;" "," ","|",4))-1),""))/86400+25569+9/24,""))</f>
        <v/>
      </c>
      <c r="G51" s="58">
        <f>TRIM(SUBSTITUTE(SUBSTITUTE(SUBSTITUTE($A51,CHAR(9)," ")," "," "),CHAR(13),""))</f>
        <v/>
      </c>
      <c r="H51" s="58">
        <f>IF($G51="","",IF(ISNUMBER(FIND(" ",$G51)),$G51,IFERROR(IF((LEN(SUBSTITUTE(SUBSTITUTE($G51,"-"," ",LEN($G51)-LEN(SUBSTITUTE($G51,"-",""))),"-"," ",LEN($G51)-LEN(SUBSTITUTE($G51,"-",""))-1))-LEN(SUBSTITUTE(SUBSTITUTE(SUBSTITUTE($G51,"-"," ",LEN($G51)-LEN(SUBSTITUTE($G51,"-",""))),"-"," ",LEN($G51)-LEN(SUBSTITUTE($G51,"-",""))-1),".","")))=0,SUBSTITUTE(SUBSTITUTE($G51,"-"," ",LEN($G51)-LEN(SUBSTITUTE($G51,"-",""))),"-"," ",LEN($G51)-LEN(SUBSTITUTE($G51,"-",""))-1),SUBSTITUTE(SUBSTITUTE(SUBSTITUTE($G51,"-"," ",LEN($G51)-LEN(SUBSTITUTE($G51,"-",""))),"-"," ",LEN($G51)-LEN(SUBSTITUTE($G51,"-",""))-1),"."," ",(LEN(SUBSTITUTE(SUBSTITUTE($G51,"-"," ",LEN($G51)-LEN(SUBSTITUTE($G51,"-",""))),"-"," ",LEN($G51)-LEN(SUBSTITUTE($G51,"-",""))-1))-LEN(SUBSTITUTE(SUBSTITUTE(SUBSTITUTE($G51,"-"," ",LEN($G51)-LEN(SUBSTITUTE($G51,"-",""))),"-"," ",LEN($G51)-LEN(SUBSTITUTE($G51,"-",""))-1),".",""))))),$G51)))</f>
        <v/>
      </c>
    </row>
    <row r="52">
      <c r="A52" s="58" t="n"/>
      <c r="B52" s="58">
        <f>IF($H52="","",LEFT($H52,FIND(" ",$H52&amp;" ")-1))</f>
        <v/>
      </c>
      <c r="C52" s="58">
        <f>IF($H52="","",IFERROR(MID($H52&amp;" ",FIND("|",SUBSTITUTE($H52&amp;" "," ","|",1))+1,FIND("|",SUBSTITUTE($H52&amp;" "," ","|",2))-FIND("|",SUBSTITUTE($H52&amp;" "," ","|",1))-1),""))</f>
        <v/>
      </c>
      <c r="D52" s="58">
        <f>IF($H52="","",IFERROR(MID($H52&amp;" ",FIND("|",SUBSTITUTE($H52&amp;" "," ","|",2))+1,FIND("|",SUBSTITUTE($H52&amp;" "," ","|",3))-FIND("|",SUBSTITUTE($H52&amp;" "," ","|",2))-1),""))</f>
        <v/>
      </c>
      <c r="E52" s="58">
        <f>IF($H52="","",IFERROR(MID($H52&amp;" ",FIND("|",SUBSTITUTE($H52&amp;" "," ","|",3))+1,FIND("|",SUBSTITUTE($H52&amp;" "," ","|",4))-FIND("|",SUBSTITUTE($H52&amp;" "," ","|",3))-1),""))</f>
        <v/>
      </c>
      <c r="F52" s="59">
        <f>IF($H52="","",IFERROR(VALUE(IFERROR(MID($H52&amp;" ",FIND("|",SUBSTITUTE($H52&amp;" "," ","|",4))+1,FIND("|",SUBSTITUTE($H52&amp;" "," ","|",5))-FIND("|",SUBSTITUTE($H52&amp;" "," ","|",4))-1),""))/86400+25569+9/24,""))</f>
        <v/>
      </c>
      <c r="G52" s="58">
        <f>TRIM(SUBSTITUTE(SUBSTITUTE(SUBSTITUTE($A52,CHAR(9)," ")," "," "),CHAR(13),""))</f>
        <v/>
      </c>
      <c r="H52" s="58">
        <f>IF($G52="","",IF(ISNUMBER(FIND(" ",$G52)),$G52,IFERROR(IF((LEN(SUBSTITUTE(SUBSTITUTE($G52,"-"," ",LEN($G52)-LEN(SUBSTITUTE($G52,"-",""))),"-"," ",LEN($G52)-LEN(SUBSTITUTE($G52,"-",""))-1))-LEN(SUBSTITUTE(SUBSTITUTE(SUBSTITUTE($G52,"-"," ",LEN($G52)-LEN(SUBSTITUTE($G52,"-",""))),"-"," ",LEN($G52)-LEN(SUBSTITUTE($G52,"-",""))-1),".","")))=0,SUBSTITUTE(SUBSTITUTE($G52,"-"," ",LEN($G52)-LEN(SUBSTITUTE($G52,"-",""))),"-"," ",LEN($G52)-LEN(SUBSTITUTE($G52,"-",""))-1),SUBSTITUTE(SUBSTITUTE(SUBSTITUTE($G52,"-"," ",LEN($G52)-LEN(SUBSTITUTE($G52,"-",""))),"-"," ",LEN($G52)-LEN(SUBSTITUTE($G52,"-",""))-1),"."," ",(LEN(SUBSTITUTE(SUBSTITUTE($G52,"-"," ",LEN($G52)-LEN(SUBSTITUTE($G52,"-",""))),"-"," ",LEN($G52)-LEN(SUBSTITUTE($G52,"-",""))-1))-LEN(SUBSTITUTE(SUBSTITUTE(SUBSTITUTE($G52,"-"," ",LEN($G52)-LEN(SUBSTITUTE($G52,"-",""))),"-"," ",LEN($G52)-LEN(SUBSTITUTE($G52,"-",""))-1),".",""))))),$G52)))</f>
        <v/>
      </c>
    </row>
    <row r="53">
      <c r="A53" s="58" t="n"/>
      <c r="B53" s="58">
        <f>IF($H53="","",LEFT($H53,FIND(" ",$H53&amp;" ")-1))</f>
        <v/>
      </c>
      <c r="C53" s="58">
        <f>IF($H53="","",IFERROR(MID($H53&amp;" ",FIND("|",SUBSTITUTE($H53&amp;" "," ","|",1))+1,FIND("|",SUBSTITUTE($H53&amp;" "," ","|",2))-FIND("|",SUBSTITUTE($H53&amp;" "," ","|",1))-1),""))</f>
        <v/>
      </c>
      <c r="D53" s="58">
        <f>IF($H53="","",IFERROR(MID($H53&amp;" ",FIND("|",SUBSTITUTE($H53&amp;" "," ","|",2))+1,FIND("|",SUBSTITUTE($H53&amp;" "," ","|",3))-FIND("|",SUBSTITUTE($H53&amp;" "," ","|",2))-1),""))</f>
        <v/>
      </c>
      <c r="E53" s="58">
        <f>IF($H53="","",IFERROR(MID($H53&amp;" ",FIND("|",SUBSTITUTE($H53&amp;" "," ","|",3))+1,FIND("|",SUBSTITUTE($H53&amp;" "," ","|",4))-FIND("|",SUBSTITUTE($H53&amp;" "," ","|",3))-1),""))</f>
        <v/>
      </c>
      <c r="F53" s="59">
        <f>IF($H53="","",IFERROR(VALUE(IFERROR(MID($H53&amp;" ",FIND("|",SUBSTITUTE($H53&amp;" "," ","|",4))+1,FIND("|",SUBSTITUTE($H53&amp;" "," ","|",5))-FIND("|",SUBSTITUTE($H53&amp;" "," ","|",4))-1),""))/86400+25569+9/24,""))</f>
        <v/>
      </c>
      <c r="G53" s="58">
        <f>TRIM(SUBSTITUTE(SUBSTITUTE(SUBSTITUTE($A53,CHAR(9)," ")," "," "),CHAR(13),""))</f>
        <v/>
      </c>
      <c r="H53" s="58">
        <f>IF($G53="","",IF(ISNUMBER(FIND(" ",$G53)),$G53,IFERROR(IF((LEN(SUBSTITUTE(SUBSTITUTE($G53,"-"," ",LEN($G53)-LEN(SUBSTITUTE($G53,"-",""))),"-"," ",LEN($G53)-LEN(SUBSTITUTE($G53,"-",""))-1))-LEN(SUBSTITUTE(SUBSTITUTE(SUBSTITUTE($G53,"-"," ",LEN($G53)-LEN(SUBSTITUTE($G53,"-",""))),"-"," ",LEN($G53)-LEN(SUBSTITUTE($G53,"-",""))-1),".","")))=0,SUBSTITUTE(SUBSTITUTE($G53,"-"," ",LEN($G53)-LEN(SUBSTITUTE($G53,"-",""))),"-"," ",LEN($G53)-LEN(SUBSTITUTE($G53,"-",""))-1),SUBSTITUTE(SUBSTITUTE(SUBSTITUTE($G53,"-"," ",LEN($G53)-LEN(SUBSTITUTE($G53,"-",""))),"-"," ",LEN($G53)-LEN(SUBSTITUTE($G53,"-",""))-1),"."," ",(LEN(SUBSTITUTE(SUBSTITUTE($G53,"-"," ",LEN($G53)-LEN(SUBSTITUTE($G53,"-",""))),"-"," ",LEN($G53)-LEN(SUBSTITUTE($G53,"-",""))-1))-LEN(SUBSTITUTE(SUBSTITUTE(SUBSTITUTE($G53,"-"," ",LEN($G53)-LEN(SUBSTITUTE($G53,"-",""))),"-"," ",LEN($G53)-LEN(SUBSTITUTE($G53,"-",""))-1),".",""))))),$G53)))</f>
        <v/>
      </c>
    </row>
    <row r="54">
      <c r="A54" s="58" t="n"/>
      <c r="B54" s="58">
        <f>IF($H54="","",LEFT($H54,FIND(" ",$H54&amp;" ")-1))</f>
        <v/>
      </c>
      <c r="C54" s="58">
        <f>IF($H54="","",IFERROR(MID($H54&amp;" ",FIND("|",SUBSTITUTE($H54&amp;" "," ","|",1))+1,FIND("|",SUBSTITUTE($H54&amp;" "," ","|",2))-FIND("|",SUBSTITUTE($H54&amp;" "," ","|",1))-1),""))</f>
        <v/>
      </c>
      <c r="D54" s="58">
        <f>IF($H54="","",IFERROR(MID($H54&amp;" ",FIND("|",SUBSTITUTE($H54&amp;" "," ","|",2))+1,FIND("|",SUBSTITUTE($H54&amp;" "," ","|",3))-FIND("|",SUBSTITUTE($H54&amp;" "," ","|",2))-1),""))</f>
        <v/>
      </c>
      <c r="E54" s="58">
        <f>IF($H54="","",IFERROR(MID($H54&amp;" ",FIND("|",SUBSTITUTE($H54&amp;" "," ","|",3))+1,FIND("|",SUBSTITUTE($H54&amp;" "," ","|",4))-FIND("|",SUBSTITUTE($H54&amp;" "," ","|",3))-1),""))</f>
        <v/>
      </c>
      <c r="F54" s="59">
        <f>IF($H54="","",IFERROR(VALUE(IFERROR(MID($H54&amp;" ",FIND("|",SUBSTITUTE($H54&amp;" "," ","|",4))+1,FIND("|",SUBSTITUTE($H54&amp;" "," ","|",5))-FIND("|",SUBSTITUTE($H54&amp;" "," ","|",4))-1),""))/86400+25569+9/24,""))</f>
        <v/>
      </c>
      <c r="G54" s="58">
        <f>TRIM(SUBSTITUTE(SUBSTITUTE(SUBSTITUTE($A54,CHAR(9)," ")," "," "),CHAR(13),""))</f>
        <v/>
      </c>
      <c r="H54" s="58">
        <f>IF($G54="","",IF(ISNUMBER(FIND(" ",$G54)),$G54,IFERROR(IF((LEN(SUBSTITUTE(SUBSTITUTE($G54,"-"," ",LEN($G54)-LEN(SUBSTITUTE($G54,"-",""))),"-"," ",LEN($G54)-LEN(SUBSTITUTE($G54,"-",""))-1))-LEN(SUBSTITUTE(SUBSTITUTE(SUBSTITUTE($G54,"-"," ",LEN($G54)-LEN(SUBSTITUTE($G54,"-",""))),"-"," ",LEN($G54)-LEN(SUBSTITUTE($G54,"-",""))-1),".","")))=0,SUBSTITUTE(SUBSTITUTE($G54,"-"," ",LEN($G54)-LEN(SUBSTITUTE($G54,"-",""))),"-"," ",LEN($G54)-LEN(SUBSTITUTE($G54,"-",""))-1),SUBSTITUTE(SUBSTITUTE(SUBSTITUTE($G54,"-"," ",LEN($G54)-LEN(SUBSTITUTE($G54,"-",""))),"-"," ",LEN($G54)-LEN(SUBSTITUTE($G54,"-",""))-1),"."," ",(LEN(SUBSTITUTE(SUBSTITUTE($G54,"-"," ",LEN($G54)-LEN(SUBSTITUTE($G54,"-",""))),"-"," ",LEN($G54)-LEN(SUBSTITUTE($G54,"-",""))-1))-LEN(SUBSTITUTE(SUBSTITUTE(SUBSTITUTE($G54,"-"," ",LEN($G54)-LEN(SUBSTITUTE($G54,"-",""))),"-"," ",LEN($G54)-LEN(SUBSTITUTE($G54,"-",""))-1),".",""))))),$G54)))</f>
        <v/>
      </c>
    </row>
    <row r="55">
      <c r="A55" s="58" t="n"/>
      <c r="B55" s="58">
        <f>IF($H55="","",LEFT($H55,FIND(" ",$H55&amp;" ")-1))</f>
        <v/>
      </c>
      <c r="C55" s="58">
        <f>IF($H55="","",IFERROR(MID($H55&amp;" ",FIND("|",SUBSTITUTE($H55&amp;" "," ","|",1))+1,FIND("|",SUBSTITUTE($H55&amp;" "," ","|",2))-FIND("|",SUBSTITUTE($H55&amp;" "," ","|",1))-1),""))</f>
        <v/>
      </c>
      <c r="D55" s="58">
        <f>IF($H55="","",IFERROR(MID($H55&amp;" ",FIND("|",SUBSTITUTE($H55&amp;" "," ","|",2))+1,FIND("|",SUBSTITUTE($H55&amp;" "," ","|",3))-FIND("|",SUBSTITUTE($H55&amp;" "," ","|",2))-1),""))</f>
        <v/>
      </c>
      <c r="E55" s="58">
        <f>IF($H55="","",IFERROR(MID($H55&amp;" ",FIND("|",SUBSTITUTE($H55&amp;" "," ","|",3))+1,FIND("|",SUBSTITUTE($H55&amp;" "," ","|",4))-FIND("|",SUBSTITUTE($H55&amp;" "," ","|",3))-1),""))</f>
        <v/>
      </c>
      <c r="F55" s="59">
        <f>IF($H55="","",IFERROR(VALUE(IFERROR(MID($H55&amp;" ",FIND("|",SUBSTITUTE($H55&amp;" "," ","|",4))+1,FIND("|",SUBSTITUTE($H55&amp;" "," ","|",5))-FIND("|",SUBSTITUTE($H55&amp;" "," ","|",4))-1),""))/86400+25569+9/24,""))</f>
        <v/>
      </c>
      <c r="G55" s="58">
        <f>TRIM(SUBSTITUTE(SUBSTITUTE(SUBSTITUTE($A55,CHAR(9)," ")," "," "),CHAR(13),""))</f>
        <v/>
      </c>
      <c r="H55" s="58">
        <f>IF($G55="","",IF(ISNUMBER(FIND(" ",$G55)),$G55,IFERROR(IF((LEN(SUBSTITUTE(SUBSTITUTE($G55,"-"," ",LEN($G55)-LEN(SUBSTITUTE($G55,"-",""))),"-"," ",LEN($G55)-LEN(SUBSTITUTE($G55,"-",""))-1))-LEN(SUBSTITUTE(SUBSTITUTE(SUBSTITUTE($G55,"-"," ",LEN($G55)-LEN(SUBSTITUTE($G55,"-",""))),"-"," ",LEN($G55)-LEN(SUBSTITUTE($G55,"-",""))-1),".","")))=0,SUBSTITUTE(SUBSTITUTE($G55,"-"," ",LEN($G55)-LEN(SUBSTITUTE($G55,"-",""))),"-"," ",LEN($G55)-LEN(SUBSTITUTE($G55,"-",""))-1),SUBSTITUTE(SUBSTITUTE(SUBSTITUTE($G55,"-"," ",LEN($G55)-LEN(SUBSTITUTE($G55,"-",""))),"-"," ",LEN($G55)-LEN(SUBSTITUTE($G55,"-",""))-1),"."," ",(LEN(SUBSTITUTE(SUBSTITUTE($G55,"-"," ",LEN($G55)-LEN(SUBSTITUTE($G55,"-",""))),"-"," ",LEN($G55)-LEN(SUBSTITUTE($G55,"-",""))-1))-LEN(SUBSTITUTE(SUBSTITUTE(SUBSTITUTE($G55,"-"," ",LEN($G55)-LEN(SUBSTITUTE($G55,"-",""))),"-"," ",LEN($G55)-LEN(SUBSTITUTE($G55,"-",""))-1),".",""))))),$G55)))</f>
        <v/>
      </c>
    </row>
    <row r="56">
      <c r="A56" s="58" t="n"/>
      <c r="B56" s="58">
        <f>IF($H56="","",LEFT($H56,FIND(" ",$H56&amp;" ")-1))</f>
        <v/>
      </c>
      <c r="C56" s="58">
        <f>IF($H56="","",IFERROR(MID($H56&amp;" ",FIND("|",SUBSTITUTE($H56&amp;" "," ","|",1))+1,FIND("|",SUBSTITUTE($H56&amp;" "," ","|",2))-FIND("|",SUBSTITUTE($H56&amp;" "," ","|",1))-1),""))</f>
        <v/>
      </c>
      <c r="D56" s="58">
        <f>IF($H56="","",IFERROR(MID($H56&amp;" ",FIND("|",SUBSTITUTE($H56&amp;" "," ","|",2))+1,FIND("|",SUBSTITUTE($H56&amp;" "," ","|",3))-FIND("|",SUBSTITUTE($H56&amp;" "," ","|",2))-1),""))</f>
        <v/>
      </c>
      <c r="E56" s="58">
        <f>IF($H56="","",IFERROR(MID($H56&amp;" ",FIND("|",SUBSTITUTE($H56&amp;" "," ","|",3))+1,FIND("|",SUBSTITUTE($H56&amp;" "," ","|",4))-FIND("|",SUBSTITUTE($H56&amp;" "," ","|",3))-1),""))</f>
        <v/>
      </c>
      <c r="F56" s="59">
        <f>IF($H56="","",IFERROR(VALUE(IFERROR(MID($H56&amp;" ",FIND("|",SUBSTITUTE($H56&amp;" "," ","|",4))+1,FIND("|",SUBSTITUTE($H56&amp;" "," ","|",5))-FIND("|",SUBSTITUTE($H56&amp;" "," ","|",4))-1),""))/86400+25569+9/24,""))</f>
        <v/>
      </c>
      <c r="G56" s="58">
        <f>TRIM(SUBSTITUTE(SUBSTITUTE(SUBSTITUTE($A56,CHAR(9)," ")," "," "),CHAR(13),""))</f>
        <v/>
      </c>
      <c r="H56" s="58">
        <f>IF($G56="","",IF(ISNUMBER(FIND(" ",$G56)),$G56,IFERROR(IF((LEN(SUBSTITUTE(SUBSTITUTE($G56,"-"," ",LEN($G56)-LEN(SUBSTITUTE($G56,"-",""))),"-"," ",LEN($G56)-LEN(SUBSTITUTE($G56,"-",""))-1))-LEN(SUBSTITUTE(SUBSTITUTE(SUBSTITUTE($G56,"-"," ",LEN($G56)-LEN(SUBSTITUTE($G56,"-",""))),"-"," ",LEN($G56)-LEN(SUBSTITUTE($G56,"-",""))-1),".","")))=0,SUBSTITUTE(SUBSTITUTE($G56,"-"," ",LEN($G56)-LEN(SUBSTITUTE($G56,"-",""))),"-"," ",LEN($G56)-LEN(SUBSTITUTE($G56,"-",""))-1),SUBSTITUTE(SUBSTITUTE(SUBSTITUTE($G56,"-"," ",LEN($G56)-LEN(SUBSTITUTE($G56,"-",""))),"-"," ",LEN($G56)-LEN(SUBSTITUTE($G56,"-",""))-1),"."," ",(LEN(SUBSTITUTE(SUBSTITUTE($G56,"-"," ",LEN($G56)-LEN(SUBSTITUTE($G56,"-",""))),"-"," ",LEN($G56)-LEN(SUBSTITUTE($G56,"-",""))-1))-LEN(SUBSTITUTE(SUBSTITUTE(SUBSTITUTE($G56,"-"," ",LEN($G56)-LEN(SUBSTITUTE($G56,"-",""))),"-"," ",LEN($G56)-LEN(SUBSTITUTE($G56,"-",""))-1),".",""))))),$G56)))</f>
        <v/>
      </c>
    </row>
    <row r="57">
      <c r="A57" s="58" t="n"/>
      <c r="B57" s="58">
        <f>IF($H57="","",LEFT($H57,FIND(" ",$H57&amp;" ")-1))</f>
        <v/>
      </c>
      <c r="C57" s="58">
        <f>IF($H57="","",IFERROR(MID($H57&amp;" ",FIND("|",SUBSTITUTE($H57&amp;" "," ","|",1))+1,FIND("|",SUBSTITUTE($H57&amp;" "," ","|",2))-FIND("|",SUBSTITUTE($H57&amp;" "," ","|",1))-1),""))</f>
        <v/>
      </c>
      <c r="D57" s="58">
        <f>IF($H57="","",IFERROR(MID($H57&amp;" ",FIND("|",SUBSTITUTE($H57&amp;" "," ","|",2))+1,FIND("|",SUBSTITUTE($H57&amp;" "," ","|",3))-FIND("|",SUBSTITUTE($H57&amp;" "," ","|",2))-1),""))</f>
        <v/>
      </c>
      <c r="E57" s="58">
        <f>IF($H57="","",IFERROR(MID($H57&amp;" ",FIND("|",SUBSTITUTE($H57&amp;" "," ","|",3))+1,FIND("|",SUBSTITUTE($H57&amp;" "," ","|",4))-FIND("|",SUBSTITUTE($H57&amp;" "," ","|",3))-1),""))</f>
        <v/>
      </c>
      <c r="F57" s="59">
        <f>IF($H57="","",IFERROR(VALUE(IFERROR(MID($H57&amp;" ",FIND("|",SUBSTITUTE($H57&amp;" "," ","|",4))+1,FIND("|",SUBSTITUTE($H57&amp;" "," ","|",5))-FIND("|",SUBSTITUTE($H57&amp;" "," ","|",4))-1),""))/86400+25569+9/24,""))</f>
        <v/>
      </c>
      <c r="G57" s="58">
        <f>TRIM(SUBSTITUTE(SUBSTITUTE(SUBSTITUTE($A57,CHAR(9)," ")," "," "),CHAR(13),""))</f>
        <v/>
      </c>
      <c r="H57" s="58">
        <f>IF($G57="","",IF(ISNUMBER(FIND(" ",$G57)),$G57,IFERROR(IF((LEN(SUBSTITUTE(SUBSTITUTE($G57,"-"," ",LEN($G57)-LEN(SUBSTITUTE($G57,"-",""))),"-"," ",LEN($G57)-LEN(SUBSTITUTE($G57,"-",""))-1))-LEN(SUBSTITUTE(SUBSTITUTE(SUBSTITUTE($G57,"-"," ",LEN($G57)-LEN(SUBSTITUTE($G57,"-",""))),"-"," ",LEN($G57)-LEN(SUBSTITUTE($G57,"-",""))-1),".","")))=0,SUBSTITUTE(SUBSTITUTE($G57,"-"," ",LEN($G57)-LEN(SUBSTITUTE($G57,"-",""))),"-"," ",LEN($G57)-LEN(SUBSTITUTE($G57,"-",""))-1),SUBSTITUTE(SUBSTITUTE(SUBSTITUTE($G57,"-"," ",LEN($G57)-LEN(SUBSTITUTE($G57,"-",""))),"-"," ",LEN($G57)-LEN(SUBSTITUTE($G57,"-",""))-1),"."," ",(LEN(SUBSTITUTE(SUBSTITUTE($G57,"-"," ",LEN($G57)-LEN(SUBSTITUTE($G57,"-",""))),"-"," ",LEN($G57)-LEN(SUBSTITUTE($G57,"-",""))-1))-LEN(SUBSTITUTE(SUBSTITUTE(SUBSTITUTE($G57,"-"," ",LEN($G57)-LEN(SUBSTITUTE($G57,"-",""))),"-"," ",LEN($G57)-LEN(SUBSTITUTE($G57,"-",""))-1),".",""))))),$G57)))</f>
        <v/>
      </c>
    </row>
    <row r="58">
      <c r="A58" s="58" t="n"/>
      <c r="B58" s="58">
        <f>IF($H58="","",LEFT($H58,FIND(" ",$H58&amp;" ")-1))</f>
        <v/>
      </c>
      <c r="C58" s="58">
        <f>IF($H58="","",IFERROR(MID($H58&amp;" ",FIND("|",SUBSTITUTE($H58&amp;" "," ","|",1))+1,FIND("|",SUBSTITUTE($H58&amp;" "," ","|",2))-FIND("|",SUBSTITUTE($H58&amp;" "," ","|",1))-1),""))</f>
        <v/>
      </c>
      <c r="D58" s="58">
        <f>IF($H58="","",IFERROR(MID($H58&amp;" ",FIND("|",SUBSTITUTE($H58&amp;" "," ","|",2))+1,FIND("|",SUBSTITUTE($H58&amp;" "," ","|",3))-FIND("|",SUBSTITUTE($H58&amp;" "," ","|",2))-1),""))</f>
        <v/>
      </c>
      <c r="E58" s="58">
        <f>IF($H58="","",IFERROR(MID($H58&amp;" ",FIND("|",SUBSTITUTE($H58&amp;" "," ","|",3))+1,FIND("|",SUBSTITUTE($H58&amp;" "," ","|",4))-FIND("|",SUBSTITUTE($H58&amp;" "," ","|",3))-1),""))</f>
        <v/>
      </c>
      <c r="F58" s="59">
        <f>IF($H58="","",IFERROR(VALUE(IFERROR(MID($H58&amp;" ",FIND("|",SUBSTITUTE($H58&amp;" "," ","|",4))+1,FIND("|",SUBSTITUTE($H58&amp;" "," ","|",5))-FIND("|",SUBSTITUTE($H58&amp;" "," ","|",4))-1),""))/86400+25569+9/24,""))</f>
        <v/>
      </c>
      <c r="G58" s="58">
        <f>TRIM(SUBSTITUTE(SUBSTITUTE(SUBSTITUTE($A58,CHAR(9)," ")," "," "),CHAR(13),""))</f>
        <v/>
      </c>
      <c r="H58" s="58">
        <f>IF($G58="","",IF(ISNUMBER(FIND(" ",$G58)),$G58,IFERROR(IF((LEN(SUBSTITUTE(SUBSTITUTE($G58,"-"," ",LEN($G58)-LEN(SUBSTITUTE($G58,"-",""))),"-"," ",LEN($G58)-LEN(SUBSTITUTE($G58,"-",""))-1))-LEN(SUBSTITUTE(SUBSTITUTE(SUBSTITUTE($G58,"-"," ",LEN($G58)-LEN(SUBSTITUTE($G58,"-",""))),"-"," ",LEN($G58)-LEN(SUBSTITUTE($G58,"-",""))-1),".","")))=0,SUBSTITUTE(SUBSTITUTE($G58,"-"," ",LEN($G58)-LEN(SUBSTITUTE($G58,"-",""))),"-"," ",LEN($G58)-LEN(SUBSTITUTE($G58,"-",""))-1),SUBSTITUTE(SUBSTITUTE(SUBSTITUTE($G58,"-"," ",LEN($G58)-LEN(SUBSTITUTE($G58,"-",""))),"-"," ",LEN($G58)-LEN(SUBSTITUTE($G58,"-",""))-1),"."," ",(LEN(SUBSTITUTE(SUBSTITUTE($G58,"-"," ",LEN($G58)-LEN(SUBSTITUTE($G58,"-",""))),"-"," ",LEN($G58)-LEN(SUBSTITUTE($G58,"-",""))-1))-LEN(SUBSTITUTE(SUBSTITUTE(SUBSTITUTE($G58,"-"," ",LEN($G58)-LEN(SUBSTITUTE($G58,"-",""))),"-"," ",LEN($G58)-LEN(SUBSTITUTE($G58,"-",""))-1),".",""))))),$G58)))</f>
        <v/>
      </c>
    </row>
    <row r="59">
      <c r="A59" s="58" t="n"/>
      <c r="B59" s="58">
        <f>IF($H59="","",LEFT($H59,FIND(" ",$H59&amp;" ")-1))</f>
        <v/>
      </c>
      <c r="C59" s="58">
        <f>IF($H59="","",IFERROR(MID($H59&amp;" ",FIND("|",SUBSTITUTE($H59&amp;" "," ","|",1))+1,FIND("|",SUBSTITUTE($H59&amp;" "," ","|",2))-FIND("|",SUBSTITUTE($H59&amp;" "," ","|",1))-1),""))</f>
        <v/>
      </c>
      <c r="D59" s="58">
        <f>IF($H59="","",IFERROR(MID($H59&amp;" ",FIND("|",SUBSTITUTE($H59&amp;" "," ","|",2))+1,FIND("|",SUBSTITUTE($H59&amp;" "," ","|",3))-FIND("|",SUBSTITUTE($H59&amp;" "," ","|",2))-1),""))</f>
        <v/>
      </c>
      <c r="E59" s="58">
        <f>IF($H59="","",IFERROR(MID($H59&amp;" ",FIND("|",SUBSTITUTE($H59&amp;" "," ","|",3))+1,FIND("|",SUBSTITUTE($H59&amp;" "," ","|",4))-FIND("|",SUBSTITUTE($H59&amp;" "," ","|",3))-1),""))</f>
        <v/>
      </c>
      <c r="F59" s="59">
        <f>IF($H59="","",IFERROR(VALUE(IFERROR(MID($H59&amp;" ",FIND("|",SUBSTITUTE($H59&amp;" "," ","|",4))+1,FIND("|",SUBSTITUTE($H59&amp;" "," ","|",5))-FIND("|",SUBSTITUTE($H59&amp;" "," ","|",4))-1),""))/86400+25569+9/24,""))</f>
        <v/>
      </c>
      <c r="G59" s="58">
        <f>TRIM(SUBSTITUTE(SUBSTITUTE(SUBSTITUTE($A59,CHAR(9)," ")," "," "),CHAR(13),""))</f>
        <v/>
      </c>
      <c r="H59" s="58">
        <f>IF($G59="","",IF(ISNUMBER(FIND(" ",$G59)),$G59,IFERROR(IF((LEN(SUBSTITUTE(SUBSTITUTE($G59,"-"," ",LEN($G59)-LEN(SUBSTITUTE($G59,"-",""))),"-"," ",LEN($G59)-LEN(SUBSTITUTE($G59,"-",""))-1))-LEN(SUBSTITUTE(SUBSTITUTE(SUBSTITUTE($G59,"-"," ",LEN($G59)-LEN(SUBSTITUTE($G59,"-",""))),"-"," ",LEN($G59)-LEN(SUBSTITUTE($G59,"-",""))-1),".","")))=0,SUBSTITUTE(SUBSTITUTE($G59,"-"," ",LEN($G59)-LEN(SUBSTITUTE($G59,"-",""))),"-"," ",LEN($G59)-LEN(SUBSTITUTE($G59,"-",""))-1),SUBSTITUTE(SUBSTITUTE(SUBSTITUTE($G59,"-"," ",LEN($G59)-LEN(SUBSTITUTE($G59,"-",""))),"-"," ",LEN($G59)-LEN(SUBSTITUTE($G59,"-",""))-1),"."," ",(LEN(SUBSTITUTE(SUBSTITUTE($G59,"-"," ",LEN($G59)-LEN(SUBSTITUTE($G59,"-",""))),"-"," ",LEN($G59)-LEN(SUBSTITUTE($G59,"-",""))-1))-LEN(SUBSTITUTE(SUBSTITUTE(SUBSTITUTE($G59,"-"," ",LEN($G59)-LEN(SUBSTITUTE($G59,"-",""))),"-"," ",LEN($G59)-LEN(SUBSTITUTE($G59,"-",""))-1),".",""))))),$G59)))</f>
        <v/>
      </c>
    </row>
    <row r="60">
      <c r="A60" s="58" t="n"/>
      <c r="B60" s="58">
        <f>IF($H60="","",LEFT($H60,FIND(" ",$H60&amp;" ")-1))</f>
        <v/>
      </c>
      <c r="C60" s="58">
        <f>IF($H60="","",IFERROR(MID($H60&amp;" ",FIND("|",SUBSTITUTE($H60&amp;" "," ","|",1))+1,FIND("|",SUBSTITUTE($H60&amp;" "," ","|",2))-FIND("|",SUBSTITUTE($H60&amp;" "," ","|",1))-1),""))</f>
        <v/>
      </c>
      <c r="D60" s="58">
        <f>IF($H60="","",IFERROR(MID($H60&amp;" ",FIND("|",SUBSTITUTE($H60&amp;" "," ","|",2))+1,FIND("|",SUBSTITUTE($H60&amp;" "," ","|",3))-FIND("|",SUBSTITUTE($H60&amp;" "," ","|",2))-1),""))</f>
        <v/>
      </c>
      <c r="E60" s="58">
        <f>IF($H60="","",IFERROR(MID($H60&amp;" ",FIND("|",SUBSTITUTE($H60&amp;" "," ","|",3))+1,FIND("|",SUBSTITUTE($H60&amp;" "," ","|",4))-FIND("|",SUBSTITUTE($H60&amp;" "," ","|",3))-1),""))</f>
        <v/>
      </c>
      <c r="F60" s="59">
        <f>IF($H60="","",IFERROR(VALUE(IFERROR(MID($H60&amp;" ",FIND("|",SUBSTITUTE($H60&amp;" "," ","|",4))+1,FIND("|",SUBSTITUTE($H60&amp;" "," ","|",5))-FIND("|",SUBSTITUTE($H60&amp;" "," ","|",4))-1),""))/86400+25569+9/24,""))</f>
        <v/>
      </c>
      <c r="G60" s="58">
        <f>TRIM(SUBSTITUTE(SUBSTITUTE(SUBSTITUTE($A60,CHAR(9)," ")," "," "),CHAR(13),""))</f>
        <v/>
      </c>
      <c r="H60" s="58">
        <f>IF($G60="","",IF(ISNUMBER(FIND(" ",$G60)),$G60,IFERROR(IF((LEN(SUBSTITUTE(SUBSTITUTE($G60,"-"," ",LEN($G60)-LEN(SUBSTITUTE($G60,"-",""))),"-"," ",LEN($G60)-LEN(SUBSTITUTE($G60,"-",""))-1))-LEN(SUBSTITUTE(SUBSTITUTE(SUBSTITUTE($G60,"-"," ",LEN($G60)-LEN(SUBSTITUTE($G60,"-",""))),"-"," ",LEN($G60)-LEN(SUBSTITUTE($G60,"-",""))-1),".","")))=0,SUBSTITUTE(SUBSTITUTE($G60,"-"," ",LEN($G60)-LEN(SUBSTITUTE($G60,"-",""))),"-"," ",LEN($G60)-LEN(SUBSTITUTE($G60,"-",""))-1),SUBSTITUTE(SUBSTITUTE(SUBSTITUTE($G60,"-"," ",LEN($G60)-LEN(SUBSTITUTE($G60,"-",""))),"-"," ",LEN($G60)-LEN(SUBSTITUTE($G60,"-",""))-1),"."," ",(LEN(SUBSTITUTE(SUBSTITUTE($G60,"-"," ",LEN($G60)-LEN(SUBSTITUTE($G60,"-",""))),"-"," ",LEN($G60)-LEN(SUBSTITUTE($G60,"-",""))-1))-LEN(SUBSTITUTE(SUBSTITUTE(SUBSTITUTE($G60,"-"," ",LEN($G60)-LEN(SUBSTITUTE($G60,"-",""))),"-"," ",LEN($G60)-LEN(SUBSTITUTE($G60,"-",""))-1),".",""))))),$G60)))</f>
        <v/>
      </c>
    </row>
    <row r="61">
      <c r="A61" s="58" t="n"/>
      <c r="B61" s="58">
        <f>IF($H61="","",LEFT($H61,FIND(" ",$H61&amp;" ")-1))</f>
        <v/>
      </c>
      <c r="C61" s="58">
        <f>IF($H61="","",IFERROR(MID($H61&amp;" ",FIND("|",SUBSTITUTE($H61&amp;" "," ","|",1))+1,FIND("|",SUBSTITUTE($H61&amp;" "," ","|",2))-FIND("|",SUBSTITUTE($H61&amp;" "," ","|",1))-1),""))</f>
        <v/>
      </c>
      <c r="D61" s="58">
        <f>IF($H61="","",IFERROR(MID($H61&amp;" ",FIND("|",SUBSTITUTE($H61&amp;" "," ","|",2))+1,FIND("|",SUBSTITUTE($H61&amp;" "," ","|",3))-FIND("|",SUBSTITUTE($H61&amp;" "," ","|",2))-1),""))</f>
        <v/>
      </c>
      <c r="E61" s="58">
        <f>IF($H61="","",IFERROR(MID($H61&amp;" ",FIND("|",SUBSTITUTE($H61&amp;" "," ","|",3))+1,FIND("|",SUBSTITUTE($H61&amp;" "," ","|",4))-FIND("|",SUBSTITUTE($H61&amp;" "," ","|",3))-1),""))</f>
        <v/>
      </c>
      <c r="F61" s="59">
        <f>IF($H61="","",IFERROR(VALUE(IFERROR(MID($H61&amp;" ",FIND("|",SUBSTITUTE($H61&amp;" "," ","|",4))+1,FIND("|",SUBSTITUTE($H61&amp;" "," ","|",5))-FIND("|",SUBSTITUTE($H61&amp;" "," ","|",4))-1),""))/86400+25569+9/24,""))</f>
        <v/>
      </c>
      <c r="G61" s="58">
        <f>TRIM(SUBSTITUTE(SUBSTITUTE(SUBSTITUTE($A61,CHAR(9)," ")," "," "),CHAR(13),""))</f>
        <v/>
      </c>
      <c r="H61" s="58">
        <f>IF($G61="","",IF(ISNUMBER(FIND(" ",$G61)),$G61,IFERROR(IF((LEN(SUBSTITUTE(SUBSTITUTE($G61,"-"," ",LEN($G61)-LEN(SUBSTITUTE($G61,"-",""))),"-"," ",LEN($G61)-LEN(SUBSTITUTE($G61,"-",""))-1))-LEN(SUBSTITUTE(SUBSTITUTE(SUBSTITUTE($G61,"-"," ",LEN($G61)-LEN(SUBSTITUTE($G61,"-",""))),"-"," ",LEN($G61)-LEN(SUBSTITUTE($G61,"-",""))-1),".","")))=0,SUBSTITUTE(SUBSTITUTE($G61,"-"," ",LEN($G61)-LEN(SUBSTITUTE($G61,"-",""))),"-"," ",LEN($G61)-LEN(SUBSTITUTE($G61,"-",""))-1),SUBSTITUTE(SUBSTITUTE(SUBSTITUTE($G61,"-"," ",LEN($G61)-LEN(SUBSTITUTE($G61,"-",""))),"-"," ",LEN($G61)-LEN(SUBSTITUTE($G61,"-",""))-1),"."," ",(LEN(SUBSTITUTE(SUBSTITUTE($G61,"-"," ",LEN($G61)-LEN(SUBSTITUTE($G61,"-",""))),"-"," ",LEN($G61)-LEN(SUBSTITUTE($G61,"-",""))-1))-LEN(SUBSTITUTE(SUBSTITUTE(SUBSTITUTE($G61,"-"," ",LEN($G61)-LEN(SUBSTITUTE($G61,"-",""))),"-"," ",LEN($G61)-LEN(SUBSTITUTE($G61,"-",""))-1),".",""))))),$G61)))</f>
        <v/>
      </c>
    </row>
    <row r="62">
      <c r="A62" s="58" t="n"/>
      <c r="B62" s="58">
        <f>IF($H62="","",LEFT($H62,FIND(" ",$H62&amp;" ")-1))</f>
        <v/>
      </c>
      <c r="C62" s="58">
        <f>IF($H62="","",IFERROR(MID($H62&amp;" ",FIND("|",SUBSTITUTE($H62&amp;" "," ","|",1))+1,FIND("|",SUBSTITUTE($H62&amp;" "," ","|",2))-FIND("|",SUBSTITUTE($H62&amp;" "," ","|",1))-1),""))</f>
        <v/>
      </c>
      <c r="D62" s="58">
        <f>IF($H62="","",IFERROR(MID($H62&amp;" ",FIND("|",SUBSTITUTE($H62&amp;" "," ","|",2))+1,FIND("|",SUBSTITUTE($H62&amp;" "," ","|",3))-FIND("|",SUBSTITUTE($H62&amp;" "," ","|",2))-1),""))</f>
        <v/>
      </c>
      <c r="E62" s="58">
        <f>IF($H62="","",IFERROR(MID($H62&amp;" ",FIND("|",SUBSTITUTE($H62&amp;" "," ","|",3))+1,FIND("|",SUBSTITUTE($H62&amp;" "," ","|",4))-FIND("|",SUBSTITUTE($H62&amp;" "," ","|",3))-1),""))</f>
        <v/>
      </c>
      <c r="F62" s="59">
        <f>IF($H62="","",IFERROR(VALUE(IFERROR(MID($H62&amp;" ",FIND("|",SUBSTITUTE($H62&amp;" "," ","|",4))+1,FIND("|",SUBSTITUTE($H62&amp;" "," ","|",5))-FIND("|",SUBSTITUTE($H62&amp;" "," ","|",4))-1),""))/86400+25569+9/24,""))</f>
        <v/>
      </c>
      <c r="G62" s="58">
        <f>TRIM(SUBSTITUTE(SUBSTITUTE(SUBSTITUTE($A62,CHAR(9)," ")," "," "),CHAR(13),""))</f>
        <v/>
      </c>
      <c r="H62" s="58">
        <f>IF($G62="","",IF(ISNUMBER(FIND(" ",$G62)),$G62,IFERROR(IF((LEN(SUBSTITUTE(SUBSTITUTE($G62,"-"," ",LEN($G62)-LEN(SUBSTITUTE($G62,"-",""))),"-"," ",LEN($G62)-LEN(SUBSTITUTE($G62,"-",""))-1))-LEN(SUBSTITUTE(SUBSTITUTE(SUBSTITUTE($G62,"-"," ",LEN($G62)-LEN(SUBSTITUTE($G62,"-",""))),"-"," ",LEN($G62)-LEN(SUBSTITUTE($G62,"-",""))-1),".","")))=0,SUBSTITUTE(SUBSTITUTE($G62,"-"," ",LEN($G62)-LEN(SUBSTITUTE($G62,"-",""))),"-"," ",LEN($G62)-LEN(SUBSTITUTE($G62,"-",""))-1),SUBSTITUTE(SUBSTITUTE(SUBSTITUTE($G62,"-"," ",LEN($G62)-LEN(SUBSTITUTE($G62,"-",""))),"-"," ",LEN($G62)-LEN(SUBSTITUTE($G62,"-",""))-1),"."," ",(LEN(SUBSTITUTE(SUBSTITUTE($G62,"-"," ",LEN($G62)-LEN(SUBSTITUTE($G62,"-",""))),"-"," ",LEN($G62)-LEN(SUBSTITUTE($G62,"-",""))-1))-LEN(SUBSTITUTE(SUBSTITUTE(SUBSTITUTE($G62,"-"," ",LEN($G62)-LEN(SUBSTITUTE($G62,"-",""))),"-"," ",LEN($G62)-LEN(SUBSTITUTE($G62,"-",""))-1),".",""))))),$G62)))</f>
        <v/>
      </c>
    </row>
    <row r="63">
      <c r="A63" s="58" t="n"/>
      <c r="B63" s="58">
        <f>IF($H63="","",LEFT($H63,FIND(" ",$H63&amp;" ")-1))</f>
        <v/>
      </c>
      <c r="C63" s="58">
        <f>IF($H63="","",IFERROR(MID($H63&amp;" ",FIND("|",SUBSTITUTE($H63&amp;" "," ","|",1))+1,FIND("|",SUBSTITUTE($H63&amp;" "," ","|",2))-FIND("|",SUBSTITUTE($H63&amp;" "," ","|",1))-1),""))</f>
        <v/>
      </c>
      <c r="D63" s="58">
        <f>IF($H63="","",IFERROR(MID($H63&amp;" ",FIND("|",SUBSTITUTE($H63&amp;" "," ","|",2))+1,FIND("|",SUBSTITUTE($H63&amp;" "," ","|",3))-FIND("|",SUBSTITUTE($H63&amp;" "," ","|",2))-1),""))</f>
        <v/>
      </c>
      <c r="E63" s="58">
        <f>IF($H63="","",IFERROR(MID($H63&amp;" ",FIND("|",SUBSTITUTE($H63&amp;" "," ","|",3))+1,FIND("|",SUBSTITUTE($H63&amp;" "," ","|",4))-FIND("|",SUBSTITUTE($H63&amp;" "," ","|",3))-1),""))</f>
        <v/>
      </c>
      <c r="F63" s="59">
        <f>IF($H63="","",IFERROR(VALUE(IFERROR(MID($H63&amp;" ",FIND("|",SUBSTITUTE($H63&amp;" "," ","|",4))+1,FIND("|",SUBSTITUTE($H63&amp;" "," ","|",5))-FIND("|",SUBSTITUTE($H63&amp;" "," ","|",4))-1),""))/86400+25569+9/24,""))</f>
        <v/>
      </c>
      <c r="G63" s="58">
        <f>TRIM(SUBSTITUTE(SUBSTITUTE(SUBSTITUTE($A63,CHAR(9)," ")," "," "),CHAR(13),""))</f>
        <v/>
      </c>
      <c r="H63" s="58">
        <f>IF($G63="","",IF(ISNUMBER(FIND(" ",$G63)),$G63,IFERROR(IF((LEN(SUBSTITUTE(SUBSTITUTE($G63,"-"," ",LEN($G63)-LEN(SUBSTITUTE($G63,"-",""))),"-"," ",LEN($G63)-LEN(SUBSTITUTE($G63,"-",""))-1))-LEN(SUBSTITUTE(SUBSTITUTE(SUBSTITUTE($G63,"-"," ",LEN($G63)-LEN(SUBSTITUTE($G63,"-",""))),"-"," ",LEN($G63)-LEN(SUBSTITUTE($G63,"-",""))-1),".","")))=0,SUBSTITUTE(SUBSTITUTE($G63,"-"," ",LEN($G63)-LEN(SUBSTITUTE($G63,"-",""))),"-"," ",LEN($G63)-LEN(SUBSTITUTE($G63,"-",""))-1),SUBSTITUTE(SUBSTITUTE(SUBSTITUTE($G63,"-"," ",LEN($G63)-LEN(SUBSTITUTE($G63,"-",""))),"-"," ",LEN($G63)-LEN(SUBSTITUTE($G63,"-",""))-1),"."," ",(LEN(SUBSTITUTE(SUBSTITUTE($G63,"-"," ",LEN($G63)-LEN(SUBSTITUTE($G63,"-",""))),"-"," ",LEN($G63)-LEN(SUBSTITUTE($G63,"-",""))-1))-LEN(SUBSTITUTE(SUBSTITUTE(SUBSTITUTE($G63,"-"," ",LEN($G63)-LEN(SUBSTITUTE($G63,"-",""))),"-"," ",LEN($G63)-LEN(SUBSTITUTE($G63,"-",""))-1),".",""))))),$G63)))</f>
        <v/>
      </c>
    </row>
    <row r="64">
      <c r="A64" s="58" t="n"/>
      <c r="B64" s="58">
        <f>IF($H64="","",LEFT($H64,FIND(" ",$H64&amp;" ")-1))</f>
        <v/>
      </c>
      <c r="C64" s="58">
        <f>IF($H64="","",IFERROR(MID($H64&amp;" ",FIND("|",SUBSTITUTE($H64&amp;" "," ","|",1))+1,FIND("|",SUBSTITUTE($H64&amp;" "," ","|",2))-FIND("|",SUBSTITUTE($H64&amp;" "," ","|",1))-1),""))</f>
        <v/>
      </c>
      <c r="D64" s="58">
        <f>IF($H64="","",IFERROR(MID($H64&amp;" ",FIND("|",SUBSTITUTE($H64&amp;" "," ","|",2))+1,FIND("|",SUBSTITUTE($H64&amp;" "," ","|",3))-FIND("|",SUBSTITUTE($H64&amp;" "," ","|",2))-1),""))</f>
        <v/>
      </c>
      <c r="E64" s="58">
        <f>IF($H64="","",IFERROR(MID($H64&amp;" ",FIND("|",SUBSTITUTE($H64&amp;" "," ","|",3))+1,FIND("|",SUBSTITUTE($H64&amp;" "," ","|",4))-FIND("|",SUBSTITUTE($H64&amp;" "," ","|",3))-1),""))</f>
        <v/>
      </c>
      <c r="F64" s="59">
        <f>IF($H64="","",IFERROR(VALUE(IFERROR(MID($H64&amp;" ",FIND("|",SUBSTITUTE($H64&amp;" "," ","|",4))+1,FIND("|",SUBSTITUTE($H64&amp;" "," ","|",5))-FIND("|",SUBSTITUTE($H64&amp;" "," ","|",4))-1),""))/86400+25569+9/24,""))</f>
        <v/>
      </c>
      <c r="G64" s="58">
        <f>TRIM(SUBSTITUTE(SUBSTITUTE(SUBSTITUTE($A64,CHAR(9)," ")," "," "),CHAR(13),""))</f>
        <v/>
      </c>
      <c r="H64" s="58">
        <f>IF($G64="","",IF(ISNUMBER(FIND(" ",$G64)),$G64,IFERROR(IF((LEN(SUBSTITUTE(SUBSTITUTE($G64,"-"," ",LEN($G64)-LEN(SUBSTITUTE($G64,"-",""))),"-"," ",LEN($G64)-LEN(SUBSTITUTE($G64,"-",""))-1))-LEN(SUBSTITUTE(SUBSTITUTE(SUBSTITUTE($G64,"-"," ",LEN($G64)-LEN(SUBSTITUTE($G64,"-",""))),"-"," ",LEN($G64)-LEN(SUBSTITUTE($G64,"-",""))-1),".","")))=0,SUBSTITUTE(SUBSTITUTE($G64,"-"," ",LEN($G64)-LEN(SUBSTITUTE($G64,"-",""))),"-"," ",LEN($G64)-LEN(SUBSTITUTE($G64,"-",""))-1),SUBSTITUTE(SUBSTITUTE(SUBSTITUTE($G64,"-"," ",LEN($G64)-LEN(SUBSTITUTE($G64,"-",""))),"-"," ",LEN($G64)-LEN(SUBSTITUTE($G64,"-",""))-1),"."," ",(LEN(SUBSTITUTE(SUBSTITUTE($G64,"-"," ",LEN($G64)-LEN(SUBSTITUTE($G64,"-",""))),"-"," ",LEN($G64)-LEN(SUBSTITUTE($G64,"-",""))-1))-LEN(SUBSTITUTE(SUBSTITUTE(SUBSTITUTE($G64,"-"," ",LEN($G64)-LEN(SUBSTITUTE($G64,"-",""))),"-"," ",LEN($G64)-LEN(SUBSTITUTE($G64,"-",""))-1),".",""))))),$G64)))</f>
        <v/>
      </c>
    </row>
    <row r="65">
      <c r="A65" s="58" t="n"/>
      <c r="B65" s="58">
        <f>IF($H65="","",LEFT($H65,FIND(" ",$H65&amp;" ")-1))</f>
        <v/>
      </c>
      <c r="C65" s="58">
        <f>IF($H65="","",IFERROR(MID($H65&amp;" ",FIND("|",SUBSTITUTE($H65&amp;" "," ","|",1))+1,FIND("|",SUBSTITUTE($H65&amp;" "," ","|",2))-FIND("|",SUBSTITUTE($H65&amp;" "," ","|",1))-1),""))</f>
        <v/>
      </c>
      <c r="D65" s="58">
        <f>IF($H65="","",IFERROR(MID($H65&amp;" ",FIND("|",SUBSTITUTE($H65&amp;" "," ","|",2))+1,FIND("|",SUBSTITUTE($H65&amp;" "," ","|",3))-FIND("|",SUBSTITUTE($H65&amp;" "," ","|",2))-1),""))</f>
        <v/>
      </c>
      <c r="E65" s="58">
        <f>IF($H65="","",IFERROR(MID($H65&amp;" ",FIND("|",SUBSTITUTE($H65&amp;" "," ","|",3))+1,FIND("|",SUBSTITUTE($H65&amp;" "," ","|",4))-FIND("|",SUBSTITUTE($H65&amp;" "," ","|",3))-1),""))</f>
        <v/>
      </c>
      <c r="F65" s="59">
        <f>IF($H65="","",IFERROR(VALUE(IFERROR(MID($H65&amp;" ",FIND("|",SUBSTITUTE($H65&amp;" "," ","|",4))+1,FIND("|",SUBSTITUTE($H65&amp;" "," ","|",5))-FIND("|",SUBSTITUTE($H65&amp;" "," ","|",4))-1),""))/86400+25569+9/24,""))</f>
        <v/>
      </c>
      <c r="G65" s="58">
        <f>TRIM(SUBSTITUTE(SUBSTITUTE(SUBSTITUTE($A65,CHAR(9)," ")," "," "),CHAR(13),""))</f>
        <v/>
      </c>
      <c r="H65" s="58">
        <f>IF($G65="","",IF(ISNUMBER(FIND(" ",$G65)),$G65,IFERROR(IF((LEN(SUBSTITUTE(SUBSTITUTE($G65,"-"," ",LEN($G65)-LEN(SUBSTITUTE($G65,"-",""))),"-"," ",LEN($G65)-LEN(SUBSTITUTE($G65,"-",""))-1))-LEN(SUBSTITUTE(SUBSTITUTE(SUBSTITUTE($G65,"-"," ",LEN($G65)-LEN(SUBSTITUTE($G65,"-",""))),"-"," ",LEN($G65)-LEN(SUBSTITUTE($G65,"-",""))-1),".","")))=0,SUBSTITUTE(SUBSTITUTE($G65,"-"," ",LEN($G65)-LEN(SUBSTITUTE($G65,"-",""))),"-"," ",LEN($G65)-LEN(SUBSTITUTE($G65,"-",""))-1),SUBSTITUTE(SUBSTITUTE(SUBSTITUTE($G65,"-"," ",LEN($G65)-LEN(SUBSTITUTE($G65,"-",""))),"-"," ",LEN($G65)-LEN(SUBSTITUTE($G65,"-",""))-1),"."," ",(LEN(SUBSTITUTE(SUBSTITUTE($G65,"-"," ",LEN($G65)-LEN(SUBSTITUTE($G65,"-",""))),"-"," ",LEN($G65)-LEN(SUBSTITUTE($G65,"-",""))-1))-LEN(SUBSTITUTE(SUBSTITUTE(SUBSTITUTE($G65,"-"," ",LEN($G65)-LEN(SUBSTITUTE($G65,"-",""))),"-"," ",LEN($G65)-LEN(SUBSTITUTE($G65,"-",""))-1),".",""))))),$G65)))</f>
        <v/>
      </c>
    </row>
    <row r="66">
      <c r="A66" s="58" t="n"/>
      <c r="B66" s="58">
        <f>IF($H66="","",LEFT($H66,FIND(" ",$H66&amp;" ")-1))</f>
        <v/>
      </c>
      <c r="C66" s="58">
        <f>IF($H66="","",IFERROR(MID($H66&amp;" ",FIND("|",SUBSTITUTE($H66&amp;" "," ","|",1))+1,FIND("|",SUBSTITUTE($H66&amp;" "," ","|",2))-FIND("|",SUBSTITUTE($H66&amp;" "," ","|",1))-1),""))</f>
        <v/>
      </c>
      <c r="D66" s="58">
        <f>IF($H66="","",IFERROR(MID($H66&amp;" ",FIND("|",SUBSTITUTE($H66&amp;" "," ","|",2))+1,FIND("|",SUBSTITUTE($H66&amp;" "," ","|",3))-FIND("|",SUBSTITUTE($H66&amp;" "," ","|",2))-1),""))</f>
        <v/>
      </c>
      <c r="E66" s="58">
        <f>IF($H66="","",IFERROR(MID($H66&amp;" ",FIND("|",SUBSTITUTE($H66&amp;" "," ","|",3))+1,FIND("|",SUBSTITUTE($H66&amp;" "," ","|",4))-FIND("|",SUBSTITUTE($H66&amp;" "," ","|",3))-1),""))</f>
        <v/>
      </c>
      <c r="F66" s="59">
        <f>IF($H66="","",IFERROR(VALUE(IFERROR(MID($H66&amp;" ",FIND("|",SUBSTITUTE($H66&amp;" "," ","|",4))+1,FIND("|",SUBSTITUTE($H66&amp;" "," ","|",5))-FIND("|",SUBSTITUTE($H66&amp;" "," ","|",4))-1),""))/86400+25569+9/24,""))</f>
        <v/>
      </c>
      <c r="G66" s="58">
        <f>TRIM(SUBSTITUTE(SUBSTITUTE(SUBSTITUTE($A66,CHAR(9)," ")," "," "),CHAR(13),""))</f>
        <v/>
      </c>
      <c r="H66" s="58">
        <f>IF($G66="","",IF(ISNUMBER(FIND(" ",$G66)),$G66,IFERROR(IF((LEN(SUBSTITUTE(SUBSTITUTE($G66,"-"," ",LEN($G66)-LEN(SUBSTITUTE($G66,"-",""))),"-"," ",LEN($G66)-LEN(SUBSTITUTE($G66,"-",""))-1))-LEN(SUBSTITUTE(SUBSTITUTE(SUBSTITUTE($G66,"-"," ",LEN($G66)-LEN(SUBSTITUTE($G66,"-",""))),"-"," ",LEN($G66)-LEN(SUBSTITUTE($G66,"-",""))-1),".","")))=0,SUBSTITUTE(SUBSTITUTE($G66,"-"," ",LEN($G66)-LEN(SUBSTITUTE($G66,"-",""))),"-"," ",LEN($G66)-LEN(SUBSTITUTE($G66,"-",""))-1),SUBSTITUTE(SUBSTITUTE(SUBSTITUTE($G66,"-"," ",LEN($G66)-LEN(SUBSTITUTE($G66,"-",""))),"-"," ",LEN($G66)-LEN(SUBSTITUTE($G66,"-",""))-1),"."," ",(LEN(SUBSTITUTE(SUBSTITUTE($G66,"-"," ",LEN($G66)-LEN(SUBSTITUTE($G66,"-",""))),"-"," ",LEN($G66)-LEN(SUBSTITUTE($G66,"-",""))-1))-LEN(SUBSTITUTE(SUBSTITUTE(SUBSTITUTE($G66,"-"," ",LEN($G66)-LEN(SUBSTITUTE($G66,"-",""))),"-"," ",LEN($G66)-LEN(SUBSTITUTE($G66,"-",""))-1),".",""))))),$G66)))</f>
        <v/>
      </c>
    </row>
    <row r="67">
      <c r="A67" s="58" t="n"/>
      <c r="B67" s="58">
        <f>IF($H67="","",LEFT($H67,FIND(" ",$H67&amp;" ")-1))</f>
        <v/>
      </c>
      <c r="C67" s="58">
        <f>IF($H67="","",IFERROR(MID($H67&amp;" ",FIND("|",SUBSTITUTE($H67&amp;" "," ","|",1))+1,FIND("|",SUBSTITUTE($H67&amp;" "," ","|",2))-FIND("|",SUBSTITUTE($H67&amp;" "," ","|",1))-1),""))</f>
        <v/>
      </c>
      <c r="D67" s="58">
        <f>IF($H67="","",IFERROR(MID($H67&amp;" ",FIND("|",SUBSTITUTE($H67&amp;" "," ","|",2))+1,FIND("|",SUBSTITUTE($H67&amp;" "," ","|",3))-FIND("|",SUBSTITUTE($H67&amp;" "," ","|",2))-1),""))</f>
        <v/>
      </c>
      <c r="E67" s="58">
        <f>IF($H67="","",IFERROR(MID($H67&amp;" ",FIND("|",SUBSTITUTE($H67&amp;" "," ","|",3))+1,FIND("|",SUBSTITUTE($H67&amp;" "," ","|",4))-FIND("|",SUBSTITUTE($H67&amp;" "," ","|",3))-1),""))</f>
        <v/>
      </c>
      <c r="F67" s="59">
        <f>IF($H67="","",IFERROR(VALUE(IFERROR(MID($H67&amp;" ",FIND("|",SUBSTITUTE($H67&amp;" "," ","|",4))+1,FIND("|",SUBSTITUTE($H67&amp;" "," ","|",5))-FIND("|",SUBSTITUTE($H67&amp;" "," ","|",4))-1),""))/86400+25569+9/24,""))</f>
        <v/>
      </c>
      <c r="G67" s="58">
        <f>TRIM(SUBSTITUTE(SUBSTITUTE(SUBSTITUTE($A67,CHAR(9)," ")," "," "),CHAR(13),""))</f>
        <v/>
      </c>
      <c r="H67" s="58">
        <f>IF($G67="","",IF(ISNUMBER(FIND(" ",$G67)),$G67,IFERROR(IF((LEN(SUBSTITUTE(SUBSTITUTE($G67,"-"," ",LEN($G67)-LEN(SUBSTITUTE($G67,"-",""))),"-"," ",LEN($G67)-LEN(SUBSTITUTE($G67,"-",""))-1))-LEN(SUBSTITUTE(SUBSTITUTE(SUBSTITUTE($G67,"-"," ",LEN($G67)-LEN(SUBSTITUTE($G67,"-",""))),"-"," ",LEN($G67)-LEN(SUBSTITUTE($G67,"-",""))-1),".","")))=0,SUBSTITUTE(SUBSTITUTE($G67,"-"," ",LEN($G67)-LEN(SUBSTITUTE($G67,"-",""))),"-"," ",LEN($G67)-LEN(SUBSTITUTE($G67,"-",""))-1),SUBSTITUTE(SUBSTITUTE(SUBSTITUTE($G67,"-"," ",LEN($G67)-LEN(SUBSTITUTE($G67,"-",""))),"-"," ",LEN($G67)-LEN(SUBSTITUTE($G67,"-",""))-1),"."," ",(LEN(SUBSTITUTE(SUBSTITUTE($G67,"-"," ",LEN($G67)-LEN(SUBSTITUTE($G67,"-",""))),"-"," ",LEN($G67)-LEN(SUBSTITUTE($G67,"-",""))-1))-LEN(SUBSTITUTE(SUBSTITUTE(SUBSTITUTE($G67,"-"," ",LEN($G67)-LEN(SUBSTITUTE($G67,"-",""))),"-"," ",LEN($G67)-LEN(SUBSTITUTE($G67,"-",""))-1),".",""))))),$G67)))</f>
        <v/>
      </c>
    </row>
    <row r="68">
      <c r="A68" s="58" t="n"/>
      <c r="B68" s="58">
        <f>IF($H68="","",LEFT($H68,FIND(" ",$H68&amp;" ")-1))</f>
        <v/>
      </c>
      <c r="C68" s="58">
        <f>IF($H68="","",IFERROR(MID($H68&amp;" ",FIND("|",SUBSTITUTE($H68&amp;" "," ","|",1))+1,FIND("|",SUBSTITUTE($H68&amp;" "," ","|",2))-FIND("|",SUBSTITUTE($H68&amp;" "," ","|",1))-1),""))</f>
        <v/>
      </c>
      <c r="D68" s="58">
        <f>IF($H68="","",IFERROR(MID($H68&amp;" ",FIND("|",SUBSTITUTE($H68&amp;" "," ","|",2))+1,FIND("|",SUBSTITUTE($H68&amp;" "," ","|",3))-FIND("|",SUBSTITUTE($H68&amp;" "," ","|",2))-1),""))</f>
        <v/>
      </c>
      <c r="E68" s="58">
        <f>IF($H68="","",IFERROR(MID($H68&amp;" ",FIND("|",SUBSTITUTE($H68&amp;" "," ","|",3))+1,FIND("|",SUBSTITUTE($H68&amp;" "," ","|",4))-FIND("|",SUBSTITUTE($H68&amp;" "," ","|",3))-1),""))</f>
        <v/>
      </c>
      <c r="F68" s="59">
        <f>IF($H68="","",IFERROR(VALUE(IFERROR(MID($H68&amp;" ",FIND("|",SUBSTITUTE($H68&amp;" "," ","|",4))+1,FIND("|",SUBSTITUTE($H68&amp;" "," ","|",5))-FIND("|",SUBSTITUTE($H68&amp;" "," ","|",4))-1),""))/86400+25569+9/24,""))</f>
        <v/>
      </c>
      <c r="G68" s="58">
        <f>TRIM(SUBSTITUTE(SUBSTITUTE(SUBSTITUTE($A68,CHAR(9)," ")," "," "),CHAR(13),""))</f>
        <v/>
      </c>
      <c r="H68" s="58">
        <f>IF($G68="","",IF(ISNUMBER(FIND(" ",$G68)),$G68,IFERROR(IF((LEN(SUBSTITUTE(SUBSTITUTE($G68,"-"," ",LEN($G68)-LEN(SUBSTITUTE($G68,"-",""))),"-"," ",LEN($G68)-LEN(SUBSTITUTE($G68,"-",""))-1))-LEN(SUBSTITUTE(SUBSTITUTE(SUBSTITUTE($G68,"-"," ",LEN($G68)-LEN(SUBSTITUTE($G68,"-",""))),"-"," ",LEN($G68)-LEN(SUBSTITUTE($G68,"-",""))-1),".","")))=0,SUBSTITUTE(SUBSTITUTE($G68,"-"," ",LEN($G68)-LEN(SUBSTITUTE($G68,"-",""))),"-"," ",LEN($G68)-LEN(SUBSTITUTE($G68,"-",""))-1),SUBSTITUTE(SUBSTITUTE(SUBSTITUTE($G68,"-"," ",LEN($G68)-LEN(SUBSTITUTE($G68,"-",""))),"-"," ",LEN($G68)-LEN(SUBSTITUTE($G68,"-",""))-1),"."," ",(LEN(SUBSTITUTE(SUBSTITUTE($G68,"-"," ",LEN($G68)-LEN(SUBSTITUTE($G68,"-",""))),"-"," ",LEN($G68)-LEN(SUBSTITUTE($G68,"-",""))-1))-LEN(SUBSTITUTE(SUBSTITUTE(SUBSTITUTE($G68,"-"," ",LEN($G68)-LEN(SUBSTITUTE($G68,"-",""))),"-"," ",LEN($G68)-LEN(SUBSTITUTE($G68,"-",""))-1),".",""))))),$G68)))</f>
        <v/>
      </c>
    </row>
    <row r="69">
      <c r="A69" s="58" t="n"/>
      <c r="B69" s="58">
        <f>IF($H69="","",LEFT($H69,FIND(" ",$H69&amp;" ")-1))</f>
        <v/>
      </c>
      <c r="C69" s="58">
        <f>IF($H69="","",IFERROR(MID($H69&amp;" ",FIND("|",SUBSTITUTE($H69&amp;" "," ","|",1))+1,FIND("|",SUBSTITUTE($H69&amp;" "," ","|",2))-FIND("|",SUBSTITUTE($H69&amp;" "," ","|",1))-1),""))</f>
        <v/>
      </c>
      <c r="D69" s="58">
        <f>IF($H69="","",IFERROR(MID($H69&amp;" ",FIND("|",SUBSTITUTE($H69&amp;" "," ","|",2))+1,FIND("|",SUBSTITUTE($H69&amp;" "," ","|",3))-FIND("|",SUBSTITUTE($H69&amp;" "," ","|",2))-1),""))</f>
        <v/>
      </c>
      <c r="E69" s="58">
        <f>IF($H69="","",IFERROR(MID($H69&amp;" ",FIND("|",SUBSTITUTE($H69&amp;" "," ","|",3))+1,FIND("|",SUBSTITUTE($H69&amp;" "," ","|",4))-FIND("|",SUBSTITUTE($H69&amp;" "," ","|",3))-1),""))</f>
        <v/>
      </c>
      <c r="F69" s="59">
        <f>IF($H69="","",IFERROR(VALUE(IFERROR(MID($H69&amp;" ",FIND("|",SUBSTITUTE($H69&amp;" "," ","|",4))+1,FIND("|",SUBSTITUTE($H69&amp;" "," ","|",5))-FIND("|",SUBSTITUTE($H69&amp;" "," ","|",4))-1),""))/86400+25569+9/24,""))</f>
        <v/>
      </c>
      <c r="G69" s="58">
        <f>TRIM(SUBSTITUTE(SUBSTITUTE(SUBSTITUTE($A69,CHAR(9)," ")," "," "),CHAR(13),""))</f>
        <v/>
      </c>
      <c r="H69" s="58">
        <f>IF($G69="","",IF(ISNUMBER(FIND(" ",$G69)),$G69,IFERROR(IF((LEN(SUBSTITUTE(SUBSTITUTE($G69,"-"," ",LEN($G69)-LEN(SUBSTITUTE($G69,"-",""))),"-"," ",LEN($G69)-LEN(SUBSTITUTE($G69,"-",""))-1))-LEN(SUBSTITUTE(SUBSTITUTE(SUBSTITUTE($G69,"-"," ",LEN($G69)-LEN(SUBSTITUTE($G69,"-",""))),"-"," ",LEN($G69)-LEN(SUBSTITUTE($G69,"-",""))-1),".","")))=0,SUBSTITUTE(SUBSTITUTE($G69,"-"," ",LEN($G69)-LEN(SUBSTITUTE($G69,"-",""))),"-"," ",LEN($G69)-LEN(SUBSTITUTE($G69,"-",""))-1),SUBSTITUTE(SUBSTITUTE(SUBSTITUTE($G69,"-"," ",LEN($G69)-LEN(SUBSTITUTE($G69,"-",""))),"-"," ",LEN($G69)-LEN(SUBSTITUTE($G69,"-",""))-1),"."," ",(LEN(SUBSTITUTE(SUBSTITUTE($G69,"-"," ",LEN($G69)-LEN(SUBSTITUTE($G69,"-",""))),"-"," ",LEN($G69)-LEN(SUBSTITUTE($G69,"-",""))-1))-LEN(SUBSTITUTE(SUBSTITUTE(SUBSTITUTE($G69,"-"," ",LEN($G69)-LEN(SUBSTITUTE($G69,"-",""))),"-"," ",LEN($G69)-LEN(SUBSTITUTE($G69,"-",""))-1),".",""))))),$G69)))</f>
        <v/>
      </c>
    </row>
    <row r="70">
      <c r="A70" s="58" t="n"/>
      <c r="B70" s="58">
        <f>IF($H70="","",LEFT($H70,FIND(" ",$H70&amp;" ")-1))</f>
        <v/>
      </c>
      <c r="C70" s="58">
        <f>IF($H70="","",IFERROR(MID($H70&amp;" ",FIND("|",SUBSTITUTE($H70&amp;" "," ","|",1))+1,FIND("|",SUBSTITUTE($H70&amp;" "," ","|",2))-FIND("|",SUBSTITUTE($H70&amp;" "," ","|",1))-1),""))</f>
        <v/>
      </c>
      <c r="D70" s="58">
        <f>IF($H70="","",IFERROR(MID($H70&amp;" ",FIND("|",SUBSTITUTE($H70&amp;" "," ","|",2))+1,FIND("|",SUBSTITUTE($H70&amp;" "," ","|",3))-FIND("|",SUBSTITUTE($H70&amp;" "," ","|",2))-1),""))</f>
        <v/>
      </c>
      <c r="E70" s="58">
        <f>IF($H70="","",IFERROR(MID($H70&amp;" ",FIND("|",SUBSTITUTE($H70&amp;" "," ","|",3))+1,FIND("|",SUBSTITUTE($H70&amp;" "," ","|",4))-FIND("|",SUBSTITUTE($H70&amp;" "," ","|",3))-1),""))</f>
        <v/>
      </c>
      <c r="F70" s="59">
        <f>IF($H70="","",IFERROR(VALUE(IFERROR(MID($H70&amp;" ",FIND("|",SUBSTITUTE($H70&amp;" "," ","|",4))+1,FIND("|",SUBSTITUTE($H70&amp;" "," ","|",5))-FIND("|",SUBSTITUTE($H70&amp;" "," ","|",4))-1),""))/86400+25569+9/24,""))</f>
        <v/>
      </c>
      <c r="G70" s="58">
        <f>TRIM(SUBSTITUTE(SUBSTITUTE(SUBSTITUTE($A70,CHAR(9)," ")," "," "),CHAR(13),""))</f>
        <v/>
      </c>
      <c r="H70" s="58">
        <f>IF($G70="","",IF(ISNUMBER(FIND(" ",$G70)),$G70,IFERROR(IF((LEN(SUBSTITUTE(SUBSTITUTE($G70,"-"," ",LEN($G70)-LEN(SUBSTITUTE($G70,"-",""))),"-"," ",LEN($G70)-LEN(SUBSTITUTE($G70,"-",""))-1))-LEN(SUBSTITUTE(SUBSTITUTE(SUBSTITUTE($G70,"-"," ",LEN($G70)-LEN(SUBSTITUTE($G70,"-",""))),"-"," ",LEN($G70)-LEN(SUBSTITUTE($G70,"-",""))-1),".","")))=0,SUBSTITUTE(SUBSTITUTE($G70,"-"," ",LEN($G70)-LEN(SUBSTITUTE($G70,"-",""))),"-"," ",LEN($G70)-LEN(SUBSTITUTE($G70,"-",""))-1),SUBSTITUTE(SUBSTITUTE(SUBSTITUTE($G70,"-"," ",LEN($G70)-LEN(SUBSTITUTE($G70,"-",""))),"-"," ",LEN($G70)-LEN(SUBSTITUTE($G70,"-",""))-1),"."," ",(LEN(SUBSTITUTE(SUBSTITUTE($G70,"-"," ",LEN($G70)-LEN(SUBSTITUTE($G70,"-",""))),"-"," ",LEN($G70)-LEN(SUBSTITUTE($G70,"-",""))-1))-LEN(SUBSTITUTE(SUBSTITUTE(SUBSTITUTE($G70,"-"," ",LEN($G70)-LEN(SUBSTITUTE($G70,"-",""))),"-"," ",LEN($G70)-LEN(SUBSTITUTE($G70,"-",""))-1),".",""))))),$G70)))</f>
        <v/>
      </c>
    </row>
    <row r="71">
      <c r="A71" s="58" t="n"/>
      <c r="B71" s="58">
        <f>IF($H71="","",LEFT($H71,FIND(" ",$H71&amp;" ")-1))</f>
        <v/>
      </c>
      <c r="C71" s="58">
        <f>IF($H71="","",IFERROR(MID($H71&amp;" ",FIND("|",SUBSTITUTE($H71&amp;" "," ","|",1))+1,FIND("|",SUBSTITUTE($H71&amp;" "," ","|",2))-FIND("|",SUBSTITUTE($H71&amp;" "," ","|",1))-1),""))</f>
        <v/>
      </c>
      <c r="D71" s="58">
        <f>IF($H71="","",IFERROR(MID($H71&amp;" ",FIND("|",SUBSTITUTE($H71&amp;" "," ","|",2))+1,FIND("|",SUBSTITUTE($H71&amp;" "," ","|",3))-FIND("|",SUBSTITUTE($H71&amp;" "," ","|",2))-1),""))</f>
        <v/>
      </c>
      <c r="E71" s="58">
        <f>IF($H71="","",IFERROR(MID($H71&amp;" ",FIND("|",SUBSTITUTE($H71&amp;" "," ","|",3))+1,FIND("|",SUBSTITUTE($H71&amp;" "," ","|",4))-FIND("|",SUBSTITUTE($H71&amp;" "," ","|",3))-1),""))</f>
        <v/>
      </c>
      <c r="F71" s="59">
        <f>IF($H71="","",IFERROR(VALUE(IFERROR(MID($H71&amp;" ",FIND("|",SUBSTITUTE($H71&amp;" "," ","|",4))+1,FIND("|",SUBSTITUTE($H71&amp;" "," ","|",5))-FIND("|",SUBSTITUTE($H71&amp;" "," ","|",4))-1),""))/86400+25569+9/24,""))</f>
        <v/>
      </c>
      <c r="G71" s="58">
        <f>TRIM(SUBSTITUTE(SUBSTITUTE(SUBSTITUTE($A71,CHAR(9)," ")," "," "),CHAR(13),""))</f>
        <v/>
      </c>
      <c r="H71" s="58">
        <f>IF($G71="","",IF(ISNUMBER(FIND(" ",$G71)),$G71,IFERROR(IF((LEN(SUBSTITUTE(SUBSTITUTE($G71,"-"," ",LEN($G71)-LEN(SUBSTITUTE($G71,"-",""))),"-"," ",LEN($G71)-LEN(SUBSTITUTE($G71,"-",""))-1))-LEN(SUBSTITUTE(SUBSTITUTE(SUBSTITUTE($G71,"-"," ",LEN($G71)-LEN(SUBSTITUTE($G71,"-",""))),"-"," ",LEN($G71)-LEN(SUBSTITUTE($G71,"-",""))-1),".","")))=0,SUBSTITUTE(SUBSTITUTE($G71,"-"," ",LEN($G71)-LEN(SUBSTITUTE($G71,"-",""))),"-"," ",LEN($G71)-LEN(SUBSTITUTE($G71,"-",""))-1),SUBSTITUTE(SUBSTITUTE(SUBSTITUTE($G71,"-"," ",LEN($G71)-LEN(SUBSTITUTE($G71,"-",""))),"-"," ",LEN($G71)-LEN(SUBSTITUTE($G71,"-",""))-1),"."," ",(LEN(SUBSTITUTE(SUBSTITUTE($G71,"-"," ",LEN($G71)-LEN(SUBSTITUTE($G71,"-",""))),"-"," ",LEN($G71)-LEN(SUBSTITUTE($G71,"-",""))-1))-LEN(SUBSTITUTE(SUBSTITUTE(SUBSTITUTE($G71,"-"," ",LEN($G71)-LEN(SUBSTITUTE($G71,"-",""))),"-"," ",LEN($G71)-LEN(SUBSTITUTE($G71,"-",""))-1),".",""))))),$G71)))</f>
        <v/>
      </c>
    </row>
    <row r="72">
      <c r="A72" s="58" t="n"/>
      <c r="B72" s="58">
        <f>IF($H72="","",LEFT($H72,FIND(" ",$H72&amp;" ")-1))</f>
        <v/>
      </c>
      <c r="C72" s="58">
        <f>IF($H72="","",IFERROR(MID($H72&amp;" ",FIND("|",SUBSTITUTE($H72&amp;" "," ","|",1))+1,FIND("|",SUBSTITUTE($H72&amp;" "," ","|",2))-FIND("|",SUBSTITUTE($H72&amp;" "," ","|",1))-1),""))</f>
        <v/>
      </c>
      <c r="D72" s="58">
        <f>IF($H72="","",IFERROR(MID($H72&amp;" ",FIND("|",SUBSTITUTE($H72&amp;" "," ","|",2))+1,FIND("|",SUBSTITUTE($H72&amp;" "," ","|",3))-FIND("|",SUBSTITUTE($H72&amp;" "," ","|",2))-1),""))</f>
        <v/>
      </c>
      <c r="E72" s="58">
        <f>IF($H72="","",IFERROR(MID($H72&amp;" ",FIND("|",SUBSTITUTE($H72&amp;" "," ","|",3))+1,FIND("|",SUBSTITUTE($H72&amp;" "," ","|",4))-FIND("|",SUBSTITUTE($H72&amp;" "," ","|",3))-1),""))</f>
        <v/>
      </c>
      <c r="F72" s="59">
        <f>IF($H72="","",IFERROR(VALUE(IFERROR(MID($H72&amp;" ",FIND("|",SUBSTITUTE($H72&amp;" "," ","|",4))+1,FIND("|",SUBSTITUTE($H72&amp;" "," ","|",5))-FIND("|",SUBSTITUTE($H72&amp;" "," ","|",4))-1),""))/86400+25569+9/24,""))</f>
        <v/>
      </c>
      <c r="G72" s="58">
        <f>TRIM(SUBSTITUTE(SUBSTITUTE(SUBSTITUTE($A72,CHAR(9)," ")," "," "),CHAR(13),""))</f>
        <v/>
      </c>
      <c r="H72" s="58">
        <f>IF($G72="","",IF(ISNUMBER(FIND(" ",$G72)),$G72,IFERROR(IF((LEN(SUBSTITUTE(SUBSTITUTE($G72,"-"," ",LEN($G72)-LEN(SUBSTITUTE($G72,"-",""))),"-"," ",LEN($G72)-LEN(SUBSTITUTE($G72,"-",""))-1))-LEN(SUBSTITUTE(SUBSTITUTE(SUBSTITUTE($G72,"-"," ",LEN($G72)-LEN(SUBSTITUTE($G72,"-",""))),"-"," ",LEN($G72)-LEN(SUBSTITUTE($G72,"-",""))-1),".","")))=0,SUBSTITUTE(SUBSTITUTE($G72,"-"," ",LEN($G72)-LEN(SUBSTITUTE($G72,"-",""))),"-"," ",LEN($G72)-LEN(SUBSTITUTE($G72,"-",""))-1),SUBSTITUTE(SUBSTITUTE(SUBSTITUTE($G72,"-"," ",LEN($G72)-LEN(SUBSTITUTE($G72,"-",""))),"-"," ",LEN($G72)-LEN(SUBSTITUTE($G72,"-",""))-1),"."," ",(LEN(SUBSTITUTE(SUBSTITUTE($G72,"-"," ",LEN($G72)-LEN(SUBSTITUTE($G72,"-",""))),"-"," ",LEN($G72)-LEN(SUBSTITUTE($G72,"-",""))-1))-LEN(SUBSTITUTE(SUBSTITUTE(SUBSTITUTE($G72,"-"," ",LEN($G72)-LEN(SUBSTITUTE($G72,"-",""))),"-"," ",LEN($G72)-LEN(SUBSTITUTE($G72,"-",""))-1),".",""))))),$G72)))</f>
        <v/>
      </c>
    </row>
    <row r="73">
      <c r="A73" s="58" t="n"/>
      <c r="B73" s="58">
        <f>IF($H73="","",LEFT($H73,FIND(" ",$H73&amp;" ")-1))</f>
        <v/>
      </c>
      <c r="C73" s="58">
        <f>IF($H73="","",IFERROR(MID($H73&amp;" ",FIND("|",SUBSTITUTE($H73&amp;" "," ","|",1))+1,FIND("|",SUBSTITUTE($H73&amp;" "," ","|",2))-FIND("|",SUBSTITUTE($H73&amp;" "," ","|",1))-1),""))</f>
        <v/>
      </c>
      <c r="D73" s="58">
        <f>IF($H73="","",IFERROR(MID($H73&amp;" ",FIND("|",SUBSTITUTE($H73&amp;" "," ","|",2))+1,FIND("|",SUBSTITUTE($H73&amp;" "," ","|",3))-FIND("|",SUBSTITUTE($H73&amp;" "," ","|",2))-1),""))</f>
        <v/>
      </c>
      <c r="E73" s="58">
        <f>IF($H73="","",IFERROR(MID($H73&amp;" ",FIND("|",SUBSTITUTE($H73&amp;" "," ","|",3))+1,FIND("|",SUBSTITUTE($H73&amp;" "," ","|",4))-FIND("|",SUBSTITUTE($H73&amp;" "," ","|",3))-1),""))</f>
        <v/>
      </c>
      <c r="F73" s="59">
        <f>IF($H73="","",IFERROR(VALUE(IFERROR(MID($H73&amp;" ",FIND("|",SUBSTITUTE($H73&amp;" "," ","|",4))+1,FIND("|",SUBSTITUTE($H73&amp;" "," ","|",5))-FIND("|",SUBSTITUTE($H73&amp;" "," ","|",4))-1),""))/86400+25569+9/24,""))</f>
        <v/>
      </c>
      <c r="G73" s="58">
        <f>TRIM(SUBSTITUTE(SUBSTITUTE(SUBSTITUTE($A73,CHAR(9)," ")," "," "),CHAR(13),""))</f>
        <v/>
      </c>
      <c r="H73" s="58">
        <f>IF($G73="","",IF(ISNUMBER(FIND(" ",$G73)),$G73,IFERROR(IF((LEN(SUBSTITUTE(SUBSTITUTE($G73,"-"," ",LEN($G73)-LEN(SUBSTITUTE($G73,"-",""))),"-"," ",LEN($G73)-LEN(SUBSTITUTE($G73,"-",""))-1))-LEN(SUBSTITUTE(SUBSTITUTE(SUBSTITUTE($G73,"-"," ",LEN($G73)-LEN(SUBSTITUTE($G73,"-",""))),"-"," ",LEN($G73)-LEN(SUBSTITUTE($G73,"-",""))-1),".","")))=0,SUBSTITUTE(SUBSTITUTE($G73,"-"," ",LEN($G73)-LEN(SUBSTITUTE($G73,"-",""))),"-"," ",LEN($G73)-LEN(SUBSTITUTE($G73,"-",""))-1),SUBSTITUTE(SUBSTITUTE(SUBSTITUTE($G73,"-"," ",LEN($G73)-LEN(SUBSTITUTE($G73,"-",""))),"-"," ",LEN($G73)-LEN(SUBSTITUTE($G73,"-",""))-1),"."," ",(LEN(SUBSTITUTE(SUBSTITUTE($G73,"-"," ",LEN($G73)-LEN(SUBSTITUTE($G73,"-",""))),"-"," ",LEN($G73)-LEN(SUBSTITUTE($G73,"-",""))-1))-LEN(SUBSTITUTE(SUBSTITUTE(SUBSTITUTE($G73,"-"," ",LEN($G73)-LEN(SUBSTITUTE($G73,"-",""))),"-"," ",LEN($G73)-LEN(SUBSTITUTE($G73,"-",""))-1),".",""))))),$G73)))</f>
        <v/>
      </c>
    </row>
    <row r="74">
      <c r="A74" s="58" t="n"/>
      <c r="B74" s="58">
        <f>IF($H74="","",LEFT($H74,FIND(" ",$H74&amp;" ")-1))</f>
        <v/>
      </c>
      <c r="C74" s="58">
        <f>IF($H74="","",IFERROR(MID($H74&amp;" ",FIND("|",SUBSTITUTE($H74&amp;" "," ","|",1))+1,FIND("|",SUBSTITUTE($H74&amp;" "," ","|",2))-FIND("|",SUBSTITUTE($H74&amp;" "," ","|",1))-1),""))</f>
        <v/>
      </c>
      <c r="D74" s="58">
        <f>IF($H74="","",IFERROR(MID($H74&amp;" ",FIND("|",SUBSTITUTE($H74&amp;" "," ","|",2))+1,FIND("|",SUBSTITUTE($H74&amp;" "," ","|",3))-FIND("|",SUBSTITUTE($H74&amp;" "," ","|",2))-1),""))</f>
        <v/>
      </c>
      <c r="E74" s="58">
        <f>IF($H74="","",IFERROR(MID($H74&amp;" ",FIND("|",SUBSTITUTE($H74&amp;" "," ","|",3))+1,FIND("|",SUBSTITUTE($H74&amp;" "," ","|",4))-FIND("|",SUBSTITUTE($H74&amp;" "," ","|",3))-1),""))</f>
        <v/>
      </c>
      <c r="F74" s="59">
        <f>IF($H74="","",IFERROR(VALUE(IFERROR(MID($H74&amp;" ",FIND("|",SUBSTITUTE($H74&amp;" "," ","|",4))+1,FIND("|",SUBSTITUTE($H74&amp;" "," ","|",5))-FIND("|",SUBSTITUTE($H74&amp;" "," ","|",4))-1),""))/86400+25569+9/24,""))</f>
        <v/>
      </c>
      <c r="G74" s="58">
        <f>TRIM(SUBSTITUTE(SUBSTITUTE(SUBSTITUTE($A74,CHAR(9)," ")," "," "),CHAR(13),""))</f>
        <v/>
      </c>
      <c r="H74" s="58">
        <f>IF($G74="","",IF(ISNUMBER(FIND(" ",$G74)),$G74,IFERROR(IF((LEN(SUBSTITUTE(SUBSTITUTE($G74,"-"," ",LEN($G74)-LEN(SUBSTITUTE($G74,"-",""))),"-"," ",LEN($G74)-LEN(SUBSTITUTE($G74,"-",""))-1))-LEN(SUBSTITUTE(SUBSTITUTE(SUBSTITUTE($G74,"-"," ",LEN($G74)-LEN(SUBSTITUTE($G74,"-",""))),"-"," ",LEN($G74)-LEN(SUBSTITUTE($G74,"-",""))-1),".","")))=0,SUBSTITUTE(SUBSTITUTE($G74,"-"," ",LEN($G74)-LEN(SUBSTITUTE($G74,"-",""))),"-"," ",LEN($G74)-LEN(SUBSTITUTE($G74,"-",""))-1),SUBSTITUTE(SUBSTITUTE(SUBSTITUTE($G74,"-"," ",LEN($G74)-LEN(SUBSTITUTE($G74,"-",""))),"-"," ",LEN($G74)-LEN(SUBSTITUTE($G74,"-",""))-1),"."," ",(LEN(SUBSTITUTE(SUBSTITUTE($G74,"-"," ",LEN($G74)-LEN(SUBSTITUTE($G74,"-",""))),"-"," ",LEN($G74)-LEN(SUBSTITUTE($G74,"-",""))-1))-LEN(SUBSTITUTE(SUBSTITUTE(SUBSTITUTE($G74,"-"," ",LEN($G74)-LEN(SUBSTITUTE($G74,"-",""))),"-"," ",LEN($G74)-LEN(SUBSTITUTE($G74,"-",""))-1),".",""))))),$G74)))</f>
        <v/>
      </c>
    </row>
    <row r="75">
      <c r="A75" s="58" t="n"/>
      <c r="B75" s="58">
        <f>IF($H75="","",LEFT($H75,FIND(" ",$H75&amp;" ")-1))</f>
        <v/>
      </c>
      <c r="C75" s="58">
        <f>IF($H75="","",IFERROR(MID($H75&amp;" ",FIND("|",SUBSTITUTE($H75&amp;" "," ","|",1))+1,FIND("|",SUBSTITUTE($H75&amp;" "," ","|",2))-FIND("|",SUBSTITUTE($H75&amp;" "," ","|",1))-1),""))</f>
        <v/>
      </c>
      <c r="D75" s="58">
        <f>IF($H75="","",IFERROR(MID($H75&amp;" ",FIND("|",SUBSTITUTE($H75&amp;" "," ","|",2))+1,FIND("|",SUBSTITUTE($H75&amp;" "," ","|",3))-FIND("|",SUBSTITUTE($H75&amp;" "," ","|",2))-1),""))</f>
        <v/>
      </c>
      <c r="E75" s="58">
        <f>IF($H75="","",IFERROR(MID($H75&amp;" ",FIND("|",SUBSTITUTE($H75&amp;" "," ","|",3))+1,FIND("|",SUBSTITUTE($H75&amp;" "," ","|",4))-FIND("|",SUBSTITUTE($H75&amp;" "," ","|",3))-1),""))</f>
        <v/>
      </c>
      <c r="F75" s="59">
        <f>IF($H75="","",IFERROR(VALUE(IFERROR(MID($H75&amp;" ",FIND("|",SUBSTITUTE($H75&amp;" "," ","|",4))+1,FIND("|",SUBSTITUTE($H75&amp;" "," ","|",5))-FIND("|",SUBSTITUTE($H75&amp;" "," ","|",4))-1),""))/86400+25569+9/24,""))</f>
        <v/>
      </c>
      <c r="G75" s="58">
        <f>TRIM(SUBSTITUTE(SUBSTITUTE(SUBSTITUTE($A75,CHAR(9)," ")," "," "),CHAR(13),""))</f>
        <v/>
      </c>
      <c r="H75" s="58">
        <f>IF($G75="","",IF(ISNUMBER(FIND(" ",$G75)),$G75,IFERROR(IF((LEN(SUBSTITUTE(SUBSTITUTE($G75,"-"," ",LEN($G75)-LEN(SUBSTITUTE($G75,"-",""))),"-"," ",LEN($G75)-LEN(SUBSTITUTE($G75,"-",""))-1))-LEN(SUBSTITUTE(SUBSTITUTE(SUBSTITUTE($G75,"-"," ",LEN($G75)-LEN(SUBSTITUTE($G75,"-",""))),"-"," ",LEN($G75)-LEN(SUBSTITUTE($G75,"-",""))-1),".","")))=0,SUBSTITUTE(SUBSTITUTE($G75,"-"," ",LEN($G75)-LEN(SUBSTITUTE($G75,"-",""))),"-"," ",LEN($G75)-LEN(SUBSTITUTE($G75,"-",""))-1),SUBSTITUTE(SUBSTITUTE(SUBSTITUTE($G75,"-"," ",LEN($G75)-LEN(SUBSTITUTE($G75,"-",""))),"-"," ",LEN($G75)-LEN(SUBSTITUTE($G75,"-",""))-1),"."," ",(LEN(SUBSTITUTE(SUBSTITUTE($G75,"-"," ",LEN($G75)-LEN(SUBSTITUTE($G75,"-",""))),"-"," ",LEN($G75)-LEN(SUBSTITUTE($G75,"-",""))-1))-LEN(SUBSTITUTE(SUBSTITUTE(SUBSTITUTE($G75,"-"," ",LEN($G75)-LEN(SUBSTITUTE($G75,"-",""))),"-"," ",LEN($G75)-LEN(SUBSTITUTE($G75,"-",""))-1),".",""))))),$G75)))</f>
        <v/>
      </c>
    </row>
    <row r="76">
      <c r="A76" s="58" t="n"/>
      <c r="B76" s="58">
        <f>IF($H76="","",LEFT($H76,FIND(" ",$H76&amp;" ")-1))</f>
        <v/>
      </c>
      <c r="C76" s="58">
        <f>IF($H76="","",IFERROR(MID($H76&amp;" ",FIND("|",SUBSTITUTE($H76&amp;" "," ","|",1))+1,FIND("|",SUBSTITUTE($H76&amp;" "," ","|",2))-FIND("|",SUBSTITUTE($H76&amp;" "," ","|",1))-1),""))</f>
        <v/>
      </c>
      <c r="D76" s="58">
        <f>IF($H76="","",IFERROR(MID($H76&amp;" ",FIND("|",SUBSTITUTE($H76&amp;" "," ","|",2))+1,FIND("|",SUBSTITUTE($H76&amp;" "," ","|",3))-FIND("|",SUBSTITUTE($H76&amp;" "," ","|",2))-1),""))</f>
        <v/>
      </c>
      <c r="E76" s="58">
        <f>IF($H76="","",IFERROR(MID($H76&amp;" ",FIND("|",SUBSTITUTE($H76&amp;" "," ","|",3))+1,FIND("|",SUBSTITUTE($H76&amp;" "," ","|",4))-FIND("|",SUBSTITUTE($H76&amp;" "," ","|",3))-1),""))</f>
        <v/>
      </c>
      <c r="F76" s="59">
        <f>IF($H76="","",IFERROR(VALUE(IFERROR(MID($H76&amp;" ",FIND("|",SUBSTITUTE($H76&amp;" "," ","|",4))+1,FIND("|",SUBSTITUTE($H76&amp;" "," ","|",5))-FIND("|",SUBSTITUTE($H76&amp;" "," ","|",4))-1),""))/86400+25569+9/24,""))</f>
        <v/>
      </c>
      <c r="G76" s="58">
        <f>TRIM(SUBSTITUTE(SUBSTITUTE(SUBSTITUTE($A76,CHAR(9)," ")," "," "),CHAR(13),""))</f>
        <v/>
      </c>
      <c r="H76" s="58">
        <f>IF($G76="","",IF(ISNUMBER(FIND(" ",$G76)),$G76,IFERROR(IF((LEN(SUBSTITUTE(SUBSTITUTE($G76,"-"," ",LEN($G76)-LEN(SUBSTITUTE($G76,"-",""))),"-"," ",LEN($G76)-LEN(SUBSTITUTE($G76,"-",""))-1))-LEN(SUBSTITUTE(SUBSTITUTE(SUBSTITUTE($G76,"-"," ",LEN($G76)-LEN(SUBSTITUTE($G76,"-",""))),"-"," ",LEN($G76)-LEN(SUBSTITUTE($G76,"-",""))-1),".","")))=0,SUBSTITUTE(SUBSTITUTE($G76,"-"," ",LEN($G76)-LEN(SUBSTITUTE($G76,"-",""))),"-"," ",LEN($G76)-LEN(SUBSTITUTE($G76,"-",""))-1),SUBSTITUTE(SUBSTITUTE(SUBSTITUTE($G76,"-"," ",LEN($G76)-LEN(SUBSTITUTE($G76,"-",""))),"-"," ",LEN($G76)-LEN(SUBSTITUTE($G76,"-",""))-1),"."," ",(LEN(SUBSTITUTE(SUBSTITUTE($G76,"-"," ",LEN($G76)-LEN(SUBSTITUTE($G76,"-",""))),"-"," ",LEN($G76)-LEN(SUBSTITUTE($G76,"-",""))-1))-LEN(SUBSTITUTE(SUBSTITUTE(SUBSTITUTE($G76,"-"," ",LEN($G76)-LEN(SUBSTITUTE($G76,"-",""))),"-"," ",LEN($G76)-LEN(SUBSTITUTE($G76,"-",""))-1),".",""))))),$G76)))</f>
        <v/>
      </c>
    </row>
    <row r="77">
      <c r="A77" s="58" t="n"/>
      <c r="B77" s="58">
        <f>IF($H77="","",LEFT($H77,FIND(" ",$H77&amp;" ")-1))</f>
        <v/>
      </c>
      <c r="C77" s="58">
        <f>IF($H77="","",IFERROR(MID($H77&amp;" ",FIND("|",SUBSTITUTE($H77&amp;" "," ","|",1))+1,FIND("|",SUBSTITUTE($H77&amp;" "," ","|",2))-FIND("|",SUBSTITUTE($H77&amp;" "," ","|",1))-1),""))</f>
        <v/>
      </c>
      <c r="D77" s="58">
        <f>IF($H77="","",IFERROR(MID($H77&amp;" ",FIND("|",SUBSTITUTE($H77&amp;" "," ","|",2))+1,FIND("|",SUBSTITUTE($H77&amp;" "," ","|",3))-FIND("|",SUBSTITUTE($H77&amp;" "," ","|",2))-1),""))</f>
        <v/>
      </c>
      <c r="E77" s="58">
        <f>IF($H77="","",IFERROR(MID($H77&amp;" ",FIND("|",SUBSTITUTE($H77&amp;" "," ","|",3))+1,FIND("|",SUBSTITUTE($H77&amp;" "," ","|",4))-FIND("|",SUBSTITUTE($H77&amp;" "," ","|",3))-1),""))</f>
        <v/>
      </c>
      <c r="F77" s="59">
        <f>IF($H77="","",IFERROR(VALUE(IFERROR(MID($H77&amp;" ",FIND("|",SUBSTITUTE($H77&amp;" "," ","|",4))+1,FIND("|",SUBSTITUTE($H77&amp;" "," ","|",5))-FIND("|",SUBSTITUTE($H77&amp;" "," ","|",4))-1),""))/86400+25569+9/24,""))</f>
        <v/>
      </c>
      <c r="G77" s="58">
        <f>TRIM(SUBSTITUTE(SUBSTITUTE(SUBSTITUTE($A77,CHAR(9)," ")," "," "),CHAR(13),""))</f>
        <v/>
      </c>
      <c r="H77" s="58">
        <f>IF($G77="","",IF(ISNUMBER(FIND(" ",$G77)),$G77,IFERROR(IF((LEN(SUBSTITUTE(SUBSTITUTE($G77,"-"," ",LEN($G77)-LEN(SUBSTITUTE($G77,"-",""))),"-"," ",LEN($G77)-LEN(SUBSTITUTE($G77,"-",""))-1))-LEN(SUBSTITUTE(SUBSTITUTE(SUBSTITUTE($G77,"-"," ",LEN($G77)-LEN(SUBSTITUTE($G77,"-",""))),"-"," ",LEN($G77)-LEN(SUBSTITUTE($G77,"-",""))-1),".","")))=0,SUBSTITUTE(SUBSTITUTE($G77,"-"," ",LEN($G77)-LEN(SUBSTITUTE($G77,"-",""))),"-"," ",LEN($G77)-LEN(SUBSTITUTE($G77,"-",""))-1),SUBSTITUTE(SUBSTITUTE(SUBSTITUTE($G77,"-"," ",LEN($G77)-LEN(SUBSTITUTE($G77,"-",""))),"-"," ",LEN($G77)-LEN(SUBSTITUTE($G77,"-",""))-1),"."," ",(LEN(SUBSTITUTE(SUBSTITUTE($G77,"-"," ",LEN($G77)-LEN(SUBSTITUTE($G77,"-",""))),"-"," ",LEN($G77)-LEN(SUBSTITUTE($G77,"-",""))-1))-LEN(SUBSTITUTE(SUBSTITUTE(SUBSTITUTE($G77,"-"," ",LEN($G77)-LEN(SUBSTITUTE($G77,"-",""))),"-"," ",LEN($G77)-LEN(SUBSTITUTE($G77,"-",""))-1),".",""))))),$G77)))</f>
        <v/>
      </c>
    </row>
    <row r="78">
      <c r="A78" s="58" t="n"/>
      <c r="B78" s="58">
        <f>IF($H78="","",LEFT($H78,FIND(" ",$H78&amp;" ")-1))</f>
        <v/>
      </c>
      <c r="C78" s="58">
        <f>IF($H78="","",IFERROR(MID($H78&amp;" ",FIND("|",SUBSTITUTE($H78&amp;" "," ","|",1))+1,FIND("|",SUBSTITUTE($H78&amp;" "," ","|",2))-FIND("|",SUBSTITUTE($H78&amp;" "," ","|",1))-1),""))</f>
        <v/>
      </c>
      <c r="D78" s="58">
        <f>IF($H78="","",IFERROR(MID($H78&amp;" ",FIND("|",SUBSTITUTE($H78&amp;" "," ","|",2))+1,FIND("|",SUBSTITUTE($H78&amp;" "," ","|",3))-FIND("|",SUBSTITUTE($H78&amp;" "," ","|",2))-1),""))</f>
        <v/>
      </c>
      <c r="E78" s="58">
        <f>IF($H78="","",IFERROR(MID($H78&amp;" ",FIND("|",SUBSTITUTE($H78&amp;" "," ","|",3))+1,FIND("|",SUBSTITUTE($H78&amp;" "," ","|",4))-FIND("|",SUBSTITUTE($H78&amp;" "," ","|",3))-1),""))</f>
        <v/>
      </c>
      <c r="F78" s="59">
        <f>IF($H78="","",IFERROR(VALUE(IFERROR(MID($H78&amp;" ",FIND("|",SUBSTITUTE($H78&amp;" "," ","|",4))+1,FIND("|",SUBSTITUTE($H78&amp;" "," ","|",5))-FIND("|",SUBSTITUTE($H78&amp;" "," ","|",4))-1),""))/86400+25569+9/24,""))</f>
        <v/>
      </c>
      <c r="G78" s="58">
        <f>TRIM(SUBSTITUTE(SUBSTITUTE(SUBSTITUTE($A78,CHAR(9)," ")," "," "),CHAR(13),""))</f>
        <v/>
      </c>
      <c r="H78" s="58">
        <f>IF($G78="","",IF(ISNUMBER(FIND(" ",$G78)),$G78,IFERROR(IF((LEN(SUBSTITUTE(SUBSTITUTE($G78,"-"," ",LEN($G78)-LEN(SUBSTITUTE($G78,"-",""))),"-"," ",LEN($G78)-LEN(SUBSTITUTE($G78,"-",""))-1))-LEN(SUBSTITUTE(SUBSTITUTE(SUBSTITUTE($G78,"-"," ",LEN($G78)-LEN(SUBSTITUTE($G78,"-",""))),"-"," ",LEN($G78)-LEN(SUBSTITUTE($G78,"-",""))-1),".","")))=0,SUBSTITUTE(SUBSTITUTE($G78,"-"," ",LEN($G78)-LEN(SUBSTITUTE($G78,"-",""))),"-"," ",LEN($G78)-LEN(SUBSTITUTE($G78,"-",""))-1),SUBSTITUTE(SUBSTITUTE(SUBSTITUTE($G78,"-"," ",LEN($G78)-LEN(SUBSTITUTE($G78,"-",""))),"-"," ",LEN($G78)-LEN(SUBSTITUTE($G78,"-",""))-1),"."," ",(LEN(SUBSTITUTE(SUBSTITUTE($G78,"-"," ",LEN($G78)-LEN(SUBSTITUTE($G78,"-",""))),"-"," ",LEN($G78)-LEN(SUBSTITUTE($G78,"-",""))-1))-LEN(SUBSTITUTE(SUBSTITUTE(SUBSTITUTE($G78,"-"," ",LEN($G78)-LEN(SUBSTITUTE($G78,"-",""))),"-"," ",LEN($G78)-LEN(SUBSTITUTE($G78,"-",""))-1),".",""))))),$G78)))</f>
        <v/>
      </c>
    </row>
    <row r="79">
      <c r="A79" s="58" t="n"/>
      <c r="B79" s="58">
        <f>IF($H79="","",LEFT($H79,FIND(" ",$H79&amp;" ")-1))</f>
        <v/>
      </c>
      <c r="C79" s="58">
        <f>IF($H79="","",IFERROR(MID($H79&amp;" ",FIND("|",SUBSTITUTE($H79&amp;" "," ","|",1))+1,FIND("|",SUBSTITUTE($H79&amp;" "," ","|",2))-FIND("|",SUBSTITUTE($H79&amp;" "," ","|",1))-1),""))</f>
        <v/>
      </c>
      <c r="D79" s="58">
        <f>IF($H79="","",IFERROR(MID($H79&amp;" ",FIND("|",SUBSTITUTE($H79&amp;" "," ","|",2))+1,FIND("|",SUBSTITUTE($H79&amp;" "," ","|",3))-FIND("|",SUBSTITUTE($H79&amp;" "," ","|",2))-1),""))</f>
        <v/>
      </c>
      <c r="E79" s="58">
        <f>IF($H79="","",IFERROR(MID($H79&amp;" ",FIND("|",SUBSTITUTE($H79&amp;" "," ","|",3))+1,FIND("|",SUBSTITUTE($H79&amp;" "," ","|",4))-FIND("|",SUBSTITUTE($H79&amp;" "," ","|",3))-1),""))</f>
        <v/>
      </c>
      <c r="F79" s="59">
        <f>IF($H79="","",IFERROR(VALUE(IFERROR(MID($H79&amp;" ",FIND("|",SUBSTITUTE($H79&amp;" "," ","|",4))+1,FIND("|",SUBSTITUTE($H79&amp;" "," ","|",5))-FIND("|",SUBSTITUTE($H79&amp;" "," ","|",4))-1),""))/86400+25569+9/24,""))</f>
        <v/>
      </c>
      <c r="G79" s="58">
        <f>TRIM(SUBSTITUTE(SUBSTITUTE(SUBSTITUTE($A79,CHAR(9)," ")," "," "),CHAR(13),""))</f>
        <v/>
      </c>
      <c r="H79" s="58">
        <f>IF($G79="","",IF(ISNUMBER(FIND(" ",$G79)),$G79,IFERROR(IF((LEN(SUBSTITUTE(SUBSTITUTE($G79,"-"," ",LEN($G79)-LEN(SUBSTITUTE($G79,"-",""))),"-"," ",LEN($G79)-LEN(SUBSTITUTE($G79,"-",""))-1))-LEN(SUBSTITUTE(SUBSTITUTE(SUBSTITUTE($G79,"-"," ",LEN($G79)-LEN(SUBSTITUTE($G79,"-",""))),"-"," ",LEN($G79)-LEN(SUBSTITUTE($G79,"-",""))-1),".","")))=0,SUBSTITUTE(SUBSTITUTE($G79,"-"," ",LEN($G79)-LEN(SUBSTITUTE($G79,"-",""))),"-"," ",LEN($G79)-LEN(SUBSTITUTE($G79,"-",""))-1),SUBSTITUTE(SUBSTITUTE(SUBSTITUTE($G79,"-"," ",LEN($G79)-LEN(SUBSTITUTE($G79,"-",""))),"-"," ",LEN($G79)-LEN(SUBSTITUTE($G79,"-",""))-1),"."," ",(LEN(SUBSTITUTE(SUBSTITUTE($G79,"-"," ",LEN($G79)-LEN(SUBSTITUTE($G79,"-",""))),"-"," ",LEN($G79)-LEN(SUBSTITUTE($G79,"-",""))-1))-LEN(SUBSTITUTE(SUBSTITUTE(SUBSTITUTE($G79,"-"," ",LEN($G79)-LEN(SUBSTITUTE($G79,"-",""))),"-"," ",LEN($G79)-LEN(SUBSTITUTE($G79,"-",""))-1),".",""))))),$G79)))</f>
        <v/>
      </c>
    </row>
    <row r="80">
      <c r="A80" s="58" t="n"/>
      <c r="B80" s="58">
        <f>IF($H80="","",LEFT($H80,FIND(" ",$H80&amp;" ")-1))</f>
        <v/>
      </c>
      <c r="C80" s="58">
        <f>IF($H80="","",IFERROR(MID($H80&amp;" ",FIND("|",SUBSTITUTE($H80&amp;" "," ","|",1))+1,FIND("|",SUBSTITUTE($H80&amp;" "," ","|",2))-FIND("|",SUBSTITUTE($H80&amp;" "," ","|",1))-1),""))</f>
        <v/>
      </c>
      <c r="D80" s="58">
        <f>IF($H80="","",IFERROR(MID($H80&amp;" ",FIND("|",SUBSTITUTE($H80&amp;" "," ","|",2))+1,FIND("|",SUBSTITUTE($H80&amp;" "," ","|",3))-FIND("|",SUBSTITUTE($H80&amp;" "," ","|",2))-1),""))</f>
        <v/>
      </c>
      <c r="E80" s="58">
        <f>IF($H80="","",IFERROR(MID($H80&amp;" ",FIND("|",SUBSTITUTE($H80&amp;" "," ","|",3))+1,FIND("|",SUBSTITUTE($H80&amp;" "," ","|",4))-FIND("|",SUBSTITUTE($H80&amp;" "," ","|",3))-1),""))</f>
        <v/>
      </c>
      <c r="F80" s="59">
        <f>IF($H80="","",IFERROR(VALUE(IFERROR(MID($H80&amp;" ",FIND("|",SUBSTITUTE($H80&amp;" "," ","|",4))+1,FIND("|",SUBSTITUTE($H80&amp;" "," ","|",5))-FIND("|",SUBSTITUTE($H80&amp;" "," ","|",4))-1),""))/86400+25569+9/24,""))</f>
        <v/>
      </c>
      <c r="G80" s="58">
        <f>TRIM(SUBSTITUTE(SUBSTITUTE(SUBSTITUTE($A80,CHAR(9)," ")," "," "),CHAR(13),""))</f>
        <v/>
      </c>
      <c r="H80" s="58">
        <f>IF($G80="","",IF(ISNUMBER(FIND(" ",$G80)),$G80,IFERROR(IF((LEN(SUBSTITUTE(SUBSTITUTE($G80,"-"," ",LEN($G80)-LEN(SUBSTITUTE($G80,"-",""))),"-"," ",LEN($G80)-LEN(SUBSTITUTE($G80,"-",""))-1))-LEN(SUBSTITUTE(SUBSTITUTE(SUBSTITUTE($G80,"-"," ",LEN($G80)-LEN(SUBSTITUTE($G80,"-",""))),"-"," ",LEN($G80)-LEN(SUBSTITUTE($G80,"-",""))-1),".","")))=0,SUBSTITUTE(SUBSTITUTE($G80,"-"," ",LEN($G80)-LEN(SUBSTITUTE($G80,"-",""))),"-"," ",LEN($G80)-LEN(SUBSTITUTE($G80,"-",""))-1),SUBSTITUTE(SUBSTITUTE(SUBSTITUTE($G80,"-"," ",LEN($G80)-LEN(SUBSTITUTE($G80,"-",""))),"-"," ",LEN($G80)-LEN(SUBSTITUTE($G80,"-",""))-1),"."," ",(LEN(SUBSTITUTE(SUBSTITUTE($G80,"-"," ",LEN($G80)-LEN(SUBSTITUTE($G80,"-",""))),"-"," ",LEN($G80)-LEN(SUBSTITUTE($G80,"-",""))-1))-LEN(SUBSTITUTE(SUBSTITUTE(SUBSTITUTE($G80,"-"," ",LEN($G80)-LEN(SUBSTITUTE($G80,"-",""))),"-"," ",LEN($G80)-LEN(SUBSTITUTE($G80,"-",""))-1),".",""))))),$G80)))</f>
        <v/>
      </c>
    </row>
    <row r="81">
      <c r="A81" s="58" t="n"/>
      <c r="B81" s="58">
        <f>IF($H81="","",LEFT($H81,FIND(" ",$H81&amp;" ")-1))</f>
        <v/>
      </c>
      <c r="C81" s="58">
        <f>IF($H81="","",IFERROR(MID($H81&amp;" ",FIND("|",SUBSTITUTE($H81&amp;" "," ","|",1))+1,FIND("|",SUBSTITUTE($H81&amp;" "," ","|",2))-FIND("|",SUBSTITUTE($H81&amp;" "," ","|",1))-1),""))</f>
        <v/>
      </c>
      <c r="D81" s="58">
        <f>IF($H81="","",IFERROR(MID($H81&amp;" ",FIND("|",SUBSTITUTE($H81&amp;" "," ","|",2))+1,FIND("|",SUBSTITUTE($H81&amp;" "," ","|",3))-FIND("|",SUBSTITUTE($H81&amp;" "," ","|",2))-1),""))</f>
        <v/>
      </c>
      <c r="E81" s="58">
        <f>IF($H81="","",IFERROR(MID($H81&amp;" ",FIND("|",SUBSTITUTE($H81&amp;" "," ","|",3))+1,FIND("|",SUBSTITUTE($H81&amp;" "," ","|",4))-FIND("|",SUBSTITUTE($H81&amp;" "," ","|",3))-1),""))</f>
        <v/>
      </c>
      <c r="F81" s="59">
        <f>IF($H81="","",IFERROR(VALUE(IFERROR(MID($H81&amp;" ",FIND("|",SUBSTITUTE($H81&amp;" "," ","|",4))+1,FIND("|",SUBSTITUTE($H81&amp;" "," ","|",5))-FIND("|",SUBSTITUTE($H81&amp;" "," ","|",4))-1),""))/86400+25569+9/24,""))</f>
        <v/>
      </c>
      <c r="G81" s="58">
        <f>TRIM(SUBSTITUTE(SUBSTITUTE(SUBSTITUTE($A81,CHAR(9)," ")," "," "),CHAR(13),""))</f>
        <v/>
      </c>
      <c r="H81" s="58">
        <f>IF($G81="","",IF(ISNUMBER(FIND(" ",$G81)),$G81,IFERROR(IF((LEN(SUBSTITUTE(SUBSTITUTE($G81,"-"," ",LEN($G81)-LEN(SUBSTITUTE($G81,"-",""))),"-"," ",LEN($G81)-LEN(SUBSTITUTE($G81,"-",""))-1))-LEN(SUBSTITUTE(SUBSTITUTE(SUBSTITUTE($G81,"-"," ",LEN($G81)-LEN(SUBSTITUTE($G81,"-",""))),"-"," ",LEN($G81)-LEN(SUBSTITUTE($G81,"-",""))-1),".","")))=0,SUBSTITUTE(SUBSTITUTE($G81,"-"," ",LEN($G81)-LEN(SUBSTITUTE($G81,"-",""))),"-"," ",LEN($G81)-LEN(SUBSTITUTE($G81,"-",""))-1),SUBSTITUTE(SUBSTITUTE(SUBSTITUTE($G81,"-"," ",LEN($G81)-LEN(SUBSTITUTE($G81,"-",""))),"-"," ",LEN($G81)-LEN(SUBSTITUTE($G81,"-",""))-1),"."," ",(LEN(SUBSTITUTE(SUBSTITUTE($G81,"-"," ",LEN($G81)-LEN(SUBSTITUTE($G81,"-",""))),"-"," ",LEN($G81)-LEN(SUBSTITUTE($G81,"-",""))-1))-LEN(SUBSTITUTE(SUBSTITUTE(SUBSTITUTE($G81,"-"," ",LEN($G81)-LEN(SUBSTITUTE($G81,"-",""))),"-"," ",LEN($G81)-LEN(SUBSTITUTE($G81,"-",""))-1),".",""))))),$G81)))</f>
        <v/>
      </c>
    </row>
    <row r="82">
      <c r="A82" s="58" t="n"/>
      <c r="B82" s="58">
        <f>IF($H82="","",LEFT($H82,FIND(" ",$H82&amp;" ")-1))</f>
        <v/>
      </c>
      <c r="C82" s="58">
        <f>IF($H82="","",IFERROR(MID($H82&amp;" ",FIND("|",SUBSTITUTE($H82&amp;" "," ","|",1))+1,FIND("|",SUBSTITUTE($H82&amp;" "," ","|",2))-FIND("|",SUBSTITUTE($H82&amp;" "," ","|",1))-1),""))</f>
        <v/>
      </c>
      <c r="D82" s="58">
        <f>IF($H82="","",IFERROR(MID($H82&amp;" ",FIND("|",SUBSTITUTE($H82&amp;" "," ","|",2))+1,FIND("|",SUBSTITUTE($H82&amp;" "," ","|",3))-FIND("|",SUBSTITUTE($H82&amp;" "," ","|",2))-1),""))</f>
        <v/>
      </c>
      <c r="E82" s="58">
        <f>IF($H82="","",IFERROR(MID($H82&amp;" ",FIND("|",SUBSTITUTE($H82&amp;" "," ","|",3))+1,FIND("|",SUBSTITUTE($H82&amp;" "," ","|",4))-FIND("|",SUBSTITUTE($H82&amp;" "," ","|",3))-1),""))</f>
        <v/>
      </c>
      <c r="F82" s="59">
        <f>IF($H82="","",IFERROR(VALUE(IFERROR(MID($H82&amp;" ",FIND("|",SUBSTITUTE($H82&amp;" "," ","|",4))+1,FIND("|",SUBSTITUTE($H82&amp;" "," ","|",5))-FIND("|",SUBSTITUTE($H82&amp;" "," ","|",4))-1),""))/86400+25569+9/24,""))</f>
        <v/>
      </c>
      <c r="G82" s="58">
        <f>TRIM(SUBSTITUTE(SUBSTITUTE(SUBSTITUTE($A82,CHAR(9)," ")," "," "),CHAR(13),""))</f>
        <v/>
      </c>
      <c r="H82" s="58">
        <f>IF($G82="","",IF(ISNUMBER(FIND(" ",$G82)),$G82,IFERROR(IF((LEN(SUBSTITUTE(SUBSTITUTE($G82,"-"," ",LEN($G82)-LEN(SUBSTITUTE($G82,"-",""))),"-"," ",LEN($G82)-LEN(SUBSTITUTE($G82,"-",""))-1))-LEN(SUBSTITUTE(SUBSTITUTE(SUBSTITUTE($G82,"-"," ",LEN($G82)-LEN(SUBSTITUTE($G82,"-",""))),"-"," ",LEN($G82)-LEN(SUBSTITUTE($G82,"-",""))-1),".","")))=0,SUBSTITUTE(SUBSTITUTE($G82,"-"," ",LEN($G82)-LEN(SUBSTITUTE($G82,"-",""))),"-"," ",LEN($G82)-LEN(SUBSTITUTE($G82,"-",""))-1),SUBSTITUTE(SUBSTITUTE(SUBSTITUTE($G82,"-"," ",LEN($G82)-LEN(SUBSTITUTE($G82,"-",""))),"-"," ",LEN($G82)-LEN(SUBSTITUTE($G82,"-",""))-1),"."," ",(LEN(SUBSTITUTE(SUBSTITUTE($G82,"-"," ",LEN($G82)-LEN(SUBSTITUTE($G82,"-",""))),"-"," ",LEN($G82)-LEN(SUBSTITUTE($G82,"-",""))-1))-LEN(SUBSTITUTE(SUBSTITUTE(SUBSTITUTE($G82,"-"," ",LEN($G82)-LEN(SUBSTITUTE($G82,"-",""))),"-"," ",LEN($G82)-LEN(SUBSTITUTE($G82,"-",""))-1),".",""))))),$G82)))</f>
        <v/>
      </c>
    </row>
    <row r="83">
      <c r="A83" s="58" t="n"/>
      <c r="B83" s="58">
        <f>IF($H83="","",LEFT($H83,FIND(" ",$H83&amp;" ")-1))</f>
        <v/>
      </c>
      <c r="C83" s="58">
        <f>IF($H83="","",IFERROR(MID($H83&amp;" ",FIND("|",SUBSTITUTE($H83&amp;" "," ","|",1))+1,FIND("|",SUBSTITUTE($H83&amp;" "," ","|",2))-FIND("|",SUBSTITUTE($H83&amp;" "," ","|",1))-1),""))</f>
        <v/>
      </c>
      <c r="D83" s="58">
        <f>IF($H83="","",IFERROR(MID($H83&amp;" ",FIND("|",SUBSTITUTE($H83&amp;" "," ","|",2))+1,FIND("|",SUBSTITUTE($H83&amp;" "," ","|",3))-FIND("|",SUBSTITUTE($H83&amp;" "," ","|",2))-1),""))</f>
        <v/>
      </c>
      <c r="E83" s="58">
        <f>IF($H83="","",IFERROR(MID($H83&amp;" ",FIND("|",SUBSTITUTE($H83&amp;" "," ","|",3))+1,FIND("|",SUBSTITUTE($H83&amp;" "," ","|",4))-FIND("|",SUBSTITUTE($H83&amp;" "," ","|",3))-1),""))</f>
        <v/>
      </c>
      <c r="F83" s="59">
        <f>IF($H83="","",IFERROR(VALUE(IFERROR(MID($H83&amp;" ",FIND("|",SUBSTITUTE($H83&amp;" "," ","|",4))+1,FIND("|",SUBSTITUTE($H83&amp;" "," ","|",5))-FIND("|",SUBSTITUTE($H83&amp;" "," ","|",4))-1),""))/86400+25569+9/24,""))</f>
        <v/>
      </c>
      <c r="G83" s="58">
        <f>TRIM(SUBSTITUTE(SUBSTITUTE(SUBSTITUTE($A83,CHAR(9)," ")," "," "),CHAR(13),""))</f>
        <v/>
      </c>
      <c r="H83" s="58">
        <f>IF($G83="","",IF(ISNUMBER(FIND(" ",$G83)),$G83,IFERROR(IF((LEN(SUBSTITUTE(SUBSTITUTE($G83,"-"," ",LEN($G83)-LEN(SUBSTITUTE($G83,"-",""))),"-"," ",LEN($G83)-LEN(SUBSTITUTE($G83,"-",""))-1))-LEN(SUBSTITUTE(SUBSTITUTE(SUBSTITUTE($G83,"-"," ",LEN($G83)-LEN(SUBSTITUTE($G83,"-",""))),"-"," ",LEN($G83)-LEN(SUBSTITUTE($G83,"-",""))-1),".","")))=0,SUBSTITUTE(SUBSTITUTE($G83,"-"," ",LEN($G83)-LEN(SUBSTITUTE($G83,"-",""))),"-"," ",LEN($G83)-LEN(SUBSTITUTE($G83,"-",""))-1),SUBSTITUTE(SUBSTITUTE(SUBSTITUTE($G83,"-"," ",LEN($G83)-LEN(SUBSTITUTE($G83,"-",""))),"-"," ",LEN($G83)-LEN(SUBSTITUTE($G83,"-",""))-1),"."," ",(LEN(SUBSTITUTE(SUBSTITUTE($G83,"-"," ",LEN($G83)-LEN(SUBSTITUTE($G83,"-",""))),"-"," ",LEN($G83)-LEN(SUBSTITUTE($G83,"-",""))-1))-LEN(SUBSTITUTE(SUBSTITUTE(SUBSTITUTE($G83,"-"," ",LEN($G83)-LEN(SUBSTITUTE($G83,"-",""))),"-"," ",LEN($G83)-LEN(SUBSTITUTE($G83,"-",""))-1),".",""))))),$G83)))</f>
        <v/>
      </c>
    </row>
    <row r="84">
      <c r="A84" s="58" t="n"/>
      <c r="B84" s="58">
        <f>IF($H84="","",LEFT($H84,FIND(" ",$H84&amp;" ")-1))</f>
        <v/>
      </c>
      <c r="C84" s="58">
        <f>IF($H84="","",IFERROR(MID($H84&amp;" ",FIND("|",SUBSTITUTE($H84&amp;" "," ","|",1))+1,FIND("|",SUBSTITUTE($H84&amp;" "," ","|",2))-FIND("|",SUBSTITUTE($H84&amp;" "," ","|",1))-1),""))</f>
        <v/>
      </c>
      <c r="D84" s="58">
        <f>IF($H84="","",IFERROR(MID($H84&amp;" ",FIND("|",SUBSTITUTE($H84&amp;" "," ","|",2))+1,FIND("|",SUBSTITUTE($H84&amp;" "," ","|",3))-FIND("|",SUBSTITUTE($H84&amp;" "," ","|",2))-1),""))</f>
        <v/>
      </c>
      <c r="E84" s="58">
        <f>IF($H84="","",IFERROR(MID($H84&amp;" ",FIND("|",SUBSTITUTE($H84&amp;" "," ","|",3))+1,FIND("|",SUBSTITUTE($H84&amp;" "," ","|",4))-FIND("|",SUBSTITUTE($H84&amp;" "," ","|",3))-1),""))</f>
        <v/>
      </c>
      <c r="F84" s="59">
        <f>IF($H84="","",IFERROR(VALUE(IFERROR(MID($H84&amp;" ",FIND("|",SUBSTITUTE($H84&amp;" "," ","|",4))+1,FIND("|",SUBSTITUTE($H84&amp;" "," ","|",5))-FIND("|",SUBSTITUTE($H84&amp;" "," ","|",4))-1),""))/86400+25569+9/24,""))</f>
        <v/>
      </c>
      <c r="G84" s="58">
        <f>TRIM(SUBSTITUTE(SUBSTITUTE(SUBSTITUTE($A84,CHAR(9)," ")," "," "),CHAR(13),""))</f>
        <v/>
      </c>
      <c r="H84" s="58">
        <f>IF($G84="","",IF(ISNUMBER(FIND(" ",$G84)),$G84,IFERROR(IF((LEN(SUBSTITUTE(SUBSTITUTE($G84,"-"," ",LEN($G84)-LEN(SUBSTITUTE($G84,"-",""))),"-"," ",LEN($G84)-LEN(SUBSTITUTE($G84,"-",""))-1))-LEN(SUBSTITUTE(SUBSTITUTE(SUBSTITUTE($G84,"-"," ",LEN($G84)-LEN(SUBSTITUTE($G84,"-",""))),"-"," ",LEN($G84)-LEN(SUBSTITUTE($G84,"-",""))-1),".","")))=0,SUBSTITUTE(SUBSTITUTE($G84,"-"," ",LEN($G84)-LEN(SUBSTITUTE($G84,"-",""))),"-"," ",LEN($G84)-LEN(SUBSTITUTE($G84,"-",""))-1),SUBSTITUTE(SUBSTITUTE(SUBSTITUTE($G84,"-"," ",LEN($G84)-LEN(SUBSTITUTE($G84,"-",""))),"-"," ",LEN($G84)-LEN(SUBSTITUTE($G84,"-",""))-1),"."," ",(LEN(SUBSTITUTE(SUBSTITUTE($G84,"-"," ",LEN($G84)-LEN(SUBSTITUTE($G84,"-",""))),"-"," ",LEN($G84)-LEN(SUBSTITUTE($G84,"-",""))-1))-LEN(SUBSTITUTE(SUBSTITUTE(SUBSTITUTE($G84,"-"," ",LEN($G84)-LEN(SUBSTITUTE($G84,"-",""))),"-"," ",LEN($G84)-LEN(SUBSTITUTE($G84,"-",""))-1),".",""))))),$G84)))</f>
        <v/>
      </c>
    </row>
    <row r="85">
      <c r="A85" s="58" t="n"/>
      <c r="B85" s="58">
        <f>IF($H85="","",LEFT($H85,FIND(" ",$H85&amp;" ")-1))</f>
        <v/>
      </c>
      <c r="C85" s="58">
        <f>IF($H85="","",IFERROR(MID($H85&amp;" ",FIND("|",SUBSTITUTE($H85&amp;" "," ","|",1))+1,FIND("|",SUBSTITUTE($H85&amp;" "," ","|",2))-FIND("|",SUBSTITUTE($H85&amp;" "," ","|",1))-1),""))</f>
        <v/>
      </c>
      <c r="D85" s="58">
        <f>IF($H85="","",IFERROR(MID($H85&amp;" ",FIND("|",SUBSTITUTE($H85&amp;" "," ","|",2))+1,FIND("|",SUBSTITUTE($H85&amp;" "," ","|",3))-FIND("|",SUBSTITUTE($H85&amp;" "," ","|",2))-1),""))</f>
        <v/>
      </c>
      <c r="E85" s="58">
        <f>IF($H85="","",IFERROR(MID($H85&amp;" ",FIND("|",SUBSTITUTE($H85&amp;" "," ","|",3))+1,FIND("|",SUBSTITUTE($H85&amp;" "," ","|",4))-FIND("|",SUBSTITUTE($H85&amp;" "," ","|",3))-1),""))</f>
        <v/>
      </c>
      <c r="F85" s="59">
        <f>IF($H85="","",IFERROR(VALUE(IFERROR(MID($H85&amp;" ",FIND("|",SUBSTITUTE($H85&amp;" "," ","|",4))+1,FIND("|",SUBSTITUTE($H85&amp;" "," ","|",5))-FIND("|",SUBSTITUTE($H85&amp;" "," ","|",4))-1),""))/86400+25569+9/24,""))</f>
        <v/>
      </c>
      <c r="G85" s="58">
        <f>TRIM(SUBSTITUTE(SUBSTITUTE(SUBSTITUTE($A85,CHAR(9)," ")," "," "),CHAR(13),""))</f>
        <v/>
      </c>
      <c r="H85" s="58">
        <f>IF($G85="","",IF(ISNUMBER(FIND(" ",$G85)),$G85,IFERROR(IF((LEN(SUBSTITUTE(SUBSTITUTE($G85,"-"," ",LEN($G85)-LEN(SUBSTITUTE($G85,"-",""))),"-"," ",LEN($G85)-LEN(SUBSTITUTE($G85,"-",""))-1))-LEN(SUBSTITUTE(SUBSTITUTE(SUBSTITUTE($G85,"-"," ",LEN($G85)-LEN(SUBSTITUTE($G85,"-",""))),"-"," ",LEN($G85)-LEN(SUBSTITUTE($G85,"-",""))-1),".","")))=0,SUBSTITUTE(SUBSTITUTE($G85,"-"," ",LEN($G85)-LEN(SUBSTITUTE($G85,"-",""))),"-"," ",LEN($G85)-LEN(SUBSTITUTE($G85,"-",""))-1),SUBSTITUTE(SUBSTITUTE(SUBSTITUTE($G85,"-"," ",LEN($G85)-LEN(SUBSTITUTE($G85,"-",""))),"-"," ",LEN($G85)-LEN(SUBSTITUTE($G85,"-",""))-1),"."," ",(LEN(SUBSTITUTE(SUBSTITUTE($G85,"-"," ",LEN($G85)-LEN(SUBSTITUTE($G85,"-",""))),"-"," ",LEN($G85)-LEN(SUBSTITUTE($G85,"-",""))-1))-LEN(SUBSTITUTE(SUBSTITUTE(SUBSTITUTE($G85,"-"," ",LEN($G85)-LEN(SUBSTITUTE($G85,"-",""))),"-"," ",LEN($G85)-LEN(SUBSTITUTE($G85,"-",""))-1),".",""))))),$G85)))</f>
        <v/>
      </c>
    </row>
    <row r="86">
      <c r="A86" s="58" t="n"/>
      <c r="B86" s="58">
        <f>IF($H86="","",LEFT($H86,FIND(" ",$H86&amp;" ")-1))</f>
        <v/>
      </c>
      <c r="C86" s="58">
        <f>IF($H86="","",IFERROR(MID($H86&amp;" ",FIND("|",SUBSTITUTE($H86&amp;" "," ","|",1))+1,FIND("|",SUBSTITUTE($H86&amp;" "," ","|",2))-FIND("|",SUBSTITUTE($H86&amp;" "," ","|",1))-1),""))</f>
        <v/>
      </c>
      <c r="D86" s="58">
        <f>IF($H86="","",IFERROR(MID($H86&amp;" ",FIND("|",SUBSTITUTE($H86&amp;" "," ","|",2))+1,FIND("|",SUBSTITUTE($H86&amp;" "," ","|",3))-FIND("|",SUBSTITUTE($H86&amp;" "," ","|",2))-1),""))</f>
        <v/>
      </c>
      <c r="E86" s="58">
        <f>IF($H86="","",IFERROR(MID($H86&amp;" ",FIND("|",SUBSTITUTE($H86&amp;" "," ","|",3))+1,FIND("|",SUBSTITUTE($H86&amp;" "," ","|",4))-FIND("|",SUBSTITUTE($H86&amp;" "," ","|",3))-1),""))</f>
        <v/>
      </c>
      <c r="F86" s="59">
        <f>IF($H86="","",IFERROR(VALUE(IFERROR(MID($H86&amp;" ",FIND("|",SUBSTITUTE($H86&amp;" "," ","|",4))+1,FIND("|",SUBSTITUTE($H86&amp;" "," ","|",5))-FIND("|",SUBSTITUTE($H86&amp;" "," ","|",4))-1),""))/86400+25569+9/24,""))</f>
        <v/>
      </c>
      <c r="G86" s="58">
        <f>TRIM(SUBSTITUTE(SUBSTITUTE(SUBSTITUTE($A86,CHAR(9)," ")," "," "),CHAR(13),""))</f>
        <v/>
      </c>
      <c r="H86" s="58">
        <f>IF($G86="","",IF(ISNUMBER(FIND(" ",$G86)),$G86,IFERROR(IF((LEN(SUBSTITUTE(SUBSTITUTE($G86,"-"," ",LEN($G86)-LEN(SUBSTITUTE($G86,"-",""))),"-"," ",LEN($G86)-LEN(SUBSTITUTE($G86,"-",""))-1))-LEN(SUBSTITUTE(SUBSTITUTE(SUBSTITUTE($G86,"-"," ",LEN($G86)-LEN(SUBSTITUTE($G86,"-",""))),"-"," ",LEN($G86)-LEN(SUBSTITUTE($G86,"-",""))-1),".","")))=0,SUBSTITUTE(SUBSTITUTE($G86,"-"," ",LEN($G86)-LEN(SUBSTITUTE($G86,"-",""))),"-"," ",LEN($G86)-LEN(SUBSTITUTE($G86,"-",""))-1),SUBSTITUTE(SUBSTITUTE(SUBSTITUTE($G86,"-"," ",LEN($G86)-LEN(SUBSTITUTE($G86,"-",""))),"-"," ",LEN($G86)-LEN(SUBSTITUTE($G86,"-",""))-1),"."," ",(LEN(SUBSTITUTE(SUBSTITUTE($G86,"-"," ",LEN($G86)-LEN(SUBSTITUTE($G86,"-",""))),"-"," ",LEN($G86)-LEN(SUBSTITUTE($G86,"-",""))-1))-LEN(SUBSTITUTE(SUBSTITUTE(SUBSTITUTE($G86,"-"," ",LEN($G86)-LEN(SUBSTITUTE($G86,"-",""))),"-"," ",LEN($G86)-LEN(SUBSTITUTE($G86,"-",""))-1),".",""))))),$G86)))</f>
        <v/>
      </c>
    </row>
    <row r="87">
      <c r="A87" s="58" t="n"/>
      <c r="B87" s="58">
        <f>IF($H87="","",LEFT($H87,FIND(" ",$H87&amp;" ")-1))</f>
        <v/>
      </c>
      <c r="C87" s="58">
        <f>IF($H87="","",IFERROR(MID($H87&amp;" ",FIND("|",SUBSTITUTE($H87&amp;" "," ","|",1))+1,FIND("|",SUBSTITUTE($H87&amp;" "," ","|",2))-FIND("|",SUBSTITUTE($H87&amp;" "," ","|",1))-1),""))</f>
        <v/>
      </c>
      <c r="D87" s="58">
        <f>IF($H87="","",IFERROR(MID($H87&amp;" ",FIND("|",SUBSTITUTE($H87&amp;" "," ","|",2))+1,FIND("|",SUBSTITUTE($H87&amp;" "," ","|",3))-FIND("|",SUBSTITUTE($H87&amp;" "," ","|",2))-1),""))</f>
        <v/>
      </c>
      <c r="E87" s="58">
        <f>IF($H87="","",IFERROR(MID($H87&amp;" ",FIND("|",SUBSTITUTE($H87&amp;" "," ","|",3))+1,FIND("|",SUBSTITUTE($H87&amp;" "," ","|",4))-FIND("|",SUBSTITUTE($H87&amp;" "," ","|",3))-1),""))</f>
        <v/>
      </c>
      <c r="F87" s="59">
        <f>IF($H87="","",IFERROR(VALUE(IFERROR(MID($H87&amp;" ",FIND("|",SUBSTITUTE($H87&amp;" "," ","|",4))+1,FIND("|",SUBSTITUTE($H87&amp;" "," ","|",5))-FIND("|",SUBSTITUTE($H87&amp;" "," ","|",4))-1),""))/86400+25569+9/24,""))</f>
        <v/>
      </c>
      <c r="G87" s="58">
        <f>TRIM(SUBSTITUTE(SUBSTITUTE(SUBSTITUTE($A87,CHAR(9)," ")," "," "),CHAR(13),""))</f>
        <v/>
      </c>
      <c r="H87" s="58">
        <f>IF($G87="","",IF(ISNUMBER(FIND(" ",$G87)),$G87,IFERROR(IF((LEN(SUBSTITUTE(SUBSTITUTE($G87,"-"," ",LEN($G87)-LEN(SUBSTITUTE($G87,"-",""))),"-"," ",LEN($G87)-LEN(SUBSTITUTE($G87,"-",""))-1))-LEN(SUBSTITUTE(SUBSTITUTE(SUBSTITUTE($G87,"-"," ",LEN($G87)-LEN(SUBSTITUTE($G87,"-",""))),"-"," ",LEN($G87)-LEN(SUBSTITUTE($G87,"-",""))-1),".","")))=0,SUBSTITUTE(SUBSTITUTE($G87,"-"," ",LEN($G87)-LEN(SUBSTITUTE($G87,"-",""))),"-"," ",LEN($G87)-LEN(SUBSTITUTE($G87,"-",""))-1),SUBSTITUTE(SUBSTITUTE(SUBSTITUTE($G87,"-"," ",LEN($G87)-LEN(SUBSTITUTE($G87,"-",""))),"-"," ",LEN($G87)-LEN(SUBSTITUTE($G87,"-",""))-1),"."," ",(LEN(SUBSTITUTE(SUBSTITUTE($G87,"-"," ",LEN($G87)-LEN(SUBSTITUTE($G87,"-",""))),"-"," ",LEN($G87)-LEN(SUBSTITUTE($G87,"-",""))-1))-LEN(SUBSTITUTE(SUBSTITUTE(SUBSTITUTE($G87,"-"," ",LEN($G87)-LEN(SUBSTITUTE($G87,"-",""))),"-"," ",LEN($G87)-LEN(SUBSTITUTE($G87,"-",""))-1),".",""))))),$G87)))</f>
        <v/>
      </c>
    </row>
    <row r="88">
      <c r="A88" s="58" t="n"/>
      <c r="B88" s="58">
        <f>IF($H88="","",LEFT($H88,FIND(" ",$H88&amp;" ")-1))</f>
        <v/>
      </c>
      <c r="C88" s="58">
        <f>IF($H88="","",IFERROR(MID($H88&amp;" ",FIND("|",SUBSTITUTE($H88&amp;" "," ","|",1))+1,FIND("|",SUBSTITUTE($H88&amp;" "," ","|",2))-FIND("|",SUBSTITUTE($H88&amp;" "," ","|",1))-1),""))</f>
        <v/>
      </c>
      <c r="D88" s="58">
        <f>IF($H88="","",IFERROR(MID($H88&amp;" ",FIND("|",SUBSTITUTE($H88&amp;" "," ","|",2))+1,FIND("|",SUBSTITUTE($H88&amp;" "," ","|",3))-FIND("|",SUBSTITUTE($H88&amp;" "," ","|",2))-1),""))</f>
        <v/>
      </c>
      <c r="E88" s="58">
        <f>IF($H88="","",IFERROR(MID($H88&amp;" ",FIND("|",SUBSTITUTE($H88&amp;" "," ","|",3))+1,FIND("|",SUBSTITUTE($H88&amp;" "," ","|",4))-FIND("|",SUBSTITUTE($H88&amp;" "," ","|",3))-1),""))</f>
        <v/>
      </c>
      <c r="F88" s="59">
        <f>IF($H88="","",IFERROR(VALUE(IFERROR(MID($H88&amp;" ",FIND("|",SUBSTITUTE($H88&amp;" "," ","|",4))+1,FIND("|",SUBSTITUTE($H88&amp;" "," ","|",5))-FIND("|",SUBSTITUTE($H88&amp;" "," ","|",4))-1),""))/86400+25569+9/24,""))</f>
        <v/>
      </c>
      <c r="G88" s="58">
        <f>TRIM(SUBSTITUTE(SUBSTITUTE(SUBSTITUTE($A88,CHAR(9)," ")," "," "),CHAR(13),""))</f>
        <v/>
      </c>
      <c r="H88" s="58">
        <f>IF($G88="","",IF(ISNUMBER(FIND(" ",$G88)),$G88,IFERROR(IF((LEN(SUBSTITUTE(SUBSTITUTE($G88,"-"," ",LEN($G88)-LEN(SUBSTITUTE($G88,"-",""))),"-"," ",LEN($G88)-LEN(SUBSTITUTE($G88,"-",""))-1))-LEN(SUBSTITUTE(SUBSTITUTE(SUBSTITUTE($G88,"-"," ",LEN($G88)-LEN(SUBSTITUTE($G88,"-",""))),"-"," ",LEN($G88)-LEN(SUBSTITUTE($G88,"-",""))-1),".","")))=0,SUBSTITUTE(SUBSTITUTE($G88,"-"," ",LEN($G88)-LEN(SUBSTITUTE($G88,"-",""))),"-"," ",LEN($G88)-LEN(SUBSTITUTE($G88,"-",""))-1),SUBSTITUTE(SUBSTITUTE(SUBSTITUTE($G88,"-"," ",LEN($G88)-LEN(SUBSTITUTE($G88,"-",""))),"-"," ",LEN($G88)-LEN(SUBSTITUTE($G88,"-",""))-1),"."," ",(LEN(SUBSTITUTE(SUBSTITUTE($G88,"-"," ",LEN($G88)-LEN(SUBSTITUTE($G88,"-",""))),"-"," ",LEN($G88)-LEN(SUBSTITUTE($G88,"-",""))-1))-LEN(SUBSTITUTE(SUBSTITUTE(SUBSTITUTE($G88,"-"," ",LEN($G88)-LEN(SUBSTITUTE($G88,"-",""))),"-"," ",LEN($G88)-LEN(SUBSTITUTE($G88,"-",""))-1),".",""))))),$G88)))</f>
        <v/>
      </c>
    </row>
    <row r="89">
      <c r="A89" s="58" t="n"/>
      <c r="B89" s="58">
        <f>IF($H89="","",LEFT($H89,FIND(" ",$H89&amp;" ")-1))</f>
        <v/>
      </c>
      <c r="C89" s="58">
        <f>IF($H89="","",IFERROR(MID($H89&amp;" ",FIND("|",SUBSTITUTE($H89&amp;" "," ","|",1))+1,FIND("|",SUBSTITUTE($H89&amp;" "," ","|",2))-FIND("|",SUBSTITUTE($H89&amp;" "," ","|",1))-1),""))</f>
        <v/>
      </c>
      <c r="D89" s="58">
        <f>IF($H89="","",IFERROR(MID($H89&amp;" ",FIND("|",SUBSTITUTE($H89&amp;" "," ","|",2))+1,FIND("|",SUBSTITUTE($H89&amp;" "," ","|",3))-FIND("|",SUBSTITUTE($H89&amp;" "," ","|",2))-1),""))</f>
        <v/>
      </c>
      <c r="E89" s="58">
        <f>IF($H89="","",IFERROR(MID($H89&amp;" ",FIND("|",SUBSTITUTE($H89&amp;" "," ","|",3))+1,FIND("|",SUBSTITUTE($H89&amp;" "," ","|",4))-FIND("|",SUBSTITUTE($H89&amp;" "," ","|",3))-1),""))</f>
        <v/>
      </c>
      <c r="F89" s="59">
        <f>IF($H89="","",IFERROR(VALUE(IFERROR(MID($H89&amp;" ",FIND("|",SUBSTITUTE($H89&amp;" "," ","|",4))+1,FIND("|",SUBSTITUTE($H89&amp;" "," ","|",5))-FIND("|",SUBSTITUTE($H89&amp;" "," ","|",4))-1),""))/86400+25569+9/24,""))</f>
        <v/>
      </c>
      <c r="G89" s="58">
        <f>TRIM(SUBSTITUTE(SUBSTITUTE(SUBSTITUTE($A89,CHAR(9)," ")," "," "),CHAR(13),""))</f>
        <v/>
      </c>
      <c r="H89" s="58">
        <f>IF($G89="","",IF(ISNUMBER(FIND(" ",$G89)),$G89,IFERROR(IF((LEN(SUBSTITUTE(SUBSTITUTE($G89,"-"," ",LEN($G89)-LEN(SUBSTITUTE($G89,"-",""))),"-"," ",LEN($G89)-LEN(SUBSTITUTE($G89,"-",""))-1))-LEN(SUBSTITUTE(SUBSTITUTE(SUBSTITUTE($G89,"-"," ",LEN($G89)-LEN(SUBSTITUTE($G89,"-",""))),"-"," ",LEN($G89)-LEN(SUBSTITUTE($G89,"-",""))-1),".","")))=0,SUBSTITUTE(SUBSTITUTE($G89,"-"," ",LEN($G89)-LEN(SUBSTITUTE($G89,"-",""))),"-"," ",LEN($G89)-LEN(SUBSTITUTE($G89,"-",""))-1),SUBSTITUTE(SUBSTITUTE(SUBSTITUTE($G89,"-"," ",LEN($G89)-LEN(SUBSTITUTE($G89,"-",""))),"-"," ",LEN($G89)-LEN(SUBSTITUTE($G89,"-",""))-1),"."," ",(LEN(SUBSTITUTE(SUBSTITUTE($G89,"-"," ",LEN($G89)-LEN(SUBSTITUTE($G89,"-",""))),"-"," ",LEN($G89)-LEN(SUBSTITUTE($G89,"-",""))-1))-LEN(SUBSTITUTE(SUBSTITUTE(SUBSTITUTE($G89,"-"," ",LEN($G89)-LEN(SUBSTITUTE($G89,"-",""))),"-"," ",LEN($G89)-LEN(SUBSTITUTE($G89,"-",""))-1),".",""))))),$G89)))</f>
        <v/>
      </c>
    </row>
    <row r="90">
      <c r="A90" s="58" t="n"/>
      <c r="B90" s="58">
        <f>IF($H90="","",LEFT($H90,FIND(" ",$H90&amp;" ")-1))</f>
        <v/>
      </c>
      <c r="C90" s="58">
        <f>IF($H90="","",IFERROR(MID($H90&amp;" ",FIND("|",SUBSTITUTE($H90&amp;" "," ","|",1))+1,FIND("|",SUBSTITUTE($H90&amp;" "," ","|",2))-FIND("|",SUBSTITUTE($H90&amp;" "," ","|",1))-1),""))</f>
        <v/>
      </c>
      <c r="D90" s="58">
        <f>IF($H90="","",IFERROR(MID($H90&amp;" ",FIND("|",SUBSTITUTE($H90&amp;" "," ","|",2))+1,FIND("|",SUBSTITUTE($H90&amp;" "," ","|",3))-FIND("|",SUBSTITUTE($H90&amp;" "," ","|",2))-1),""))</f>
        <v/>
      </c>
      <c r="E90" s="58">
        <f>IF($H90="","",IFERROR(MID($H90&amp;" ",FIND("|",SUBSTITUTE($H90&amp;" "," ","|",3))+1,FIND("|",SUBSTITUTE($H90&amp;" "," ","|",4))-FIND("|",SUBSTITUTE($H90&amp;" "," ","|",3))-1),""))</f>
        <v/>
      </c>
      <c r="F90" s="59">
        <f>IF($H90="","",IFERROR(VALUE(IFERROR(MID($H90&amp;" ",FIND("|",SUBSTITUTE($H90&amp;" "," ","|",4))+1,FIND("|",SUBSTITUTE($H90&amp;" "," ","|",5))-FIND("|",SUBSTITUTE($H90&amp;" "," ","|",4))-1),""))/86400+25569+9/24,""))</f>
        <v/>
      </c>
      <c r="G90" s="58">
        <f>TRIM(SUBSTITUTE(SUBSTITUTE(SUBSTITUTE($A90,CHAR(9)," ")," "," "),CHAR(13),""))</f>
        <v/>
      </c>
      <c r="H90" s="58">
        <f>IF($G90="","",IF(ISNUMBER(FIND(" ",$G90)),$G90,IFERROR(IF((LEN(SUBSTITUTE(SUBSTITUTE($G90,"-"," ",LEN($G90)-LEN(SUBSTITUTE($G90,"-",""))),"-"," ",LEN($G90)-LEN(SUBSTITUTE($G90,"-",""))-1))-LEN(SUBSTITUTE(SUBSTITUTE(SUBSTITUTE($G90,"-"," ",LEN($G90)-LEN(SUBSTITUTE($G90,"-",""))),"-"," ",LEN($G90)-LEN(SUBSTITUTE($G90,"-",""))-1),".","")))=0,SUBSTITUTE(SUBSTITUTE($G90,"-"," ",LEN($G90)-LEN(SUBSTITUTE($G90,"-",""))),"-"," ",LEN($G90)-LEN(SUBSTITUTE($G90,"-",""))-1),SUBSTITUTE(SUBSTITUTE(SUBSTITUTE($G90,"-"," ",LEN($G90)-LEN(SUBSTITUTE($G90,"-",""))),"-"," ",LEN($G90)-LEN(SUBSTITUTE($G90,"-",""))-1),"."," ",(LEN(SUBSTITUTE(SUBSTITUTE($G90,"-"," ",LEN($G90)-LEN(SUBSTITUTE($G90,"-",""))),"-"," ",LEN($G90)-LEN(SUBSTITUTE($G90,"-",""))-1))-LEN(SUBSTITUTE(SUBSTITUTE(SUBSTITUTE($G90,"-"," ",LEN($G90)-LEN(SUBSTITUTE($G90,"-",""))),"-"," ",LEN($G90)-LEN(SUBSTITUTE($G90,"-",""))-1),".",""))))),$G90)))</f>
        <v/>
      </c>
    </row>
    <row r="91">
      <c r="A91" s="58" t="n"/>
      <c r="B91" s="58">
        <f>IF($H91="","",LEFT($H91,FIND(" ",$H91&amp;" ")-1))</f>
        <v/>
      </c>
      <c r="C91" s="58">
        <f>IF($H91="","",IFERROR(MID($H91&amp;" ",FIND("|",SUBSTITUTE($H91&amp;" "," ","|",1))+1,FIND("|",SUBSTITUTE($H91&amp;" "," ","|",2))-FIND("|",SUBSTITUTE($H91&amp;" "," ","|",1))-1),""))</f>
        <v/>
      </c>
      <c r="D91" s="58">
        <f>IF($H91="","",IFERROR(MID($H91&amp;" ",FIND("|",SUBSTITUTE($H91&amp;" "," ","|",2))+1,FIND("|",SUBSTITUTE($H91&amp;" "," ","|",3))-FIND("|",SUBSTITUTE($H91&amp;" "," ","|",2))-1),""))</f>
        <v/>
      </c>
      <c r="E91" s="58">
        <f>IF($H91="","",IFERROR(MID($H91&amp;" ",FIND("|",SUBSTITUTE($H91&amp;" "," ","|",3))+1,FIND("|",SUBSTITUTE($H91&amp;" "," ","|",4))-FIND("|",SUBSTITUTE($H91&amp;" "," ","|",3))-1),""))</f>
        <v/>
      </c>
      <c r="F91" s="59">
        <f>IF($H91="","",IFERROR(VALUE(IFERROR(MID($H91&amp;" ",FIND("|",SUBSTITUTE($H91&amp;" "," ","|",4))+1,FIND("|",SUBSTITUTE($H91&amp;" "," ","|",5))-FIND("|",SUBSTITUTE($H91&amp;" "," ","|",4))-1),""))/86400+25569+9/24,""))</f>
        <v/>
      </c>
      <c r="G91" s="58">
        <f>TRIM(SUBSTITUTE(SUBSTITUTE(SUBSTITUTE($A91,CHAR(9)," ")," "," "),CHAR(13),""))</f>
        <v/>
      </c>
      <c r="H91" s="58">
        <f>IF($G91="","",IF(ISNUMBER(FIND(" ",$G91)),$G91,IFERROR(IF((LEN(SUBSTITUTE(SUBSTITUTE($G91,"-"," ",LEN($G91)-LEN(SUBSTITUTE($G91,"-",""))),"-"," ",LEN($G91)-LEN(SUBSTITUTE($G91,"-",""))-1))-LEN(SUBSTITUTE(SUBSTITUTE(SUBSTITUTE($G91,"-"," ",LEN($G91)-LEN(SUBSTITUTE($G91,"-",""))),"-"," ",LEN($G91)-LEN(SUBSTITUTE($G91,"-",""))-1),".","")))=0,SUBSTITUTE(SUBSTITUTE($G91,"-"," ",LEN($G91)-LEN(SUBSTITUTE($G91,"-",""))),"-"," ",LEN($G91)-LEN(SUBSTITUTE($G91,"-",""))-1),SUBSTITUTE(SUBSTITUTE(SUBSTITUTE($G91,"-"," ",LEN($G91)-LEN(SUBSTITUTE($G91,"-",""))),"-"," ",LEN($G91)-LEN(SUBSTITUTE($G91,"-",""))-1),"."," ",(LEN(SUBSTITUTE(SUBSTITUTE($G91,"-"," ",LEN($G91)-LEN(SUBSTITUTE($G91,"-",""))),"-"," ",LEN($G91)-LEN(SUBSTITUTE($G91,"-",""))-1))-LEN(SUBSTITUTE(SUBSTITUTE(SUBSTITUTE($G91,"-"," ",LEN($G91)-LEN(SUBSTITUTE($G91,"-",""))),"-"," ",LEN($G91)-LEN(SUBSTITUTE($G91,"-",""))-1),".",""))))),$G91)))</f>
        <v/>
      </c>
    </row>
    <row r="92">
      <c r="A92" s="58" t="n"/>
      <c r="B92" s="58">
        <f>IF($H92="","",LEFT($H92,FIND(" ",$H92&amp;" ")-1))</f>
        <v/>
      </c>
      <c r="C92" s="58">
        <f>IF($H92="","",IFERROR(MID($H92&amp;" ",FIND("|",SUBSTITUTE($H92&amp;" "," ","|",1))+1,FIND("|",SUBSTITUTE($H92&amp;" "," ","|",2))-FIND("|",SUBSTITUTE($H92&amp;" "," ","|",1))-1),""))</f>
        <v/>
      </c>
      <c r="D92" s="58">
        <f>IF($H92="","",IFERROR(MID($H92&amp;" ",FIND("|",SUBSTITUTE($H92&amp;" "," ","|",2))+1,FIND("|",SUBSTITUTE($H92&amp;" "," ","|",3))-FIND("|",SUBSTITUTE($H92&amp;" "," ","|",2))-1),""))</f>
        <v/>
      </c>
      <c r="E92" s="58">
        <f>IF($H92="","",IFERROR(MID($H92&amp;" ",FIND("|",SUBSTITUTE($H92&amp;" "," ","|",3))+1,FIND("|",SUBSTITUTE($H92&amp;" "," ","|",4))-FIND("|",SUBSTITUTE($H92&amp;" "," ","|",3))-1),""))</f>
        <v/>
      </c>
      <c r="F92" s="59">
        <f>IF($H92="","",IFERROR(VALUE(IFERROR(MID($H92&amp;" ",FIND("|",SUBSTITUTE($H92&amp;" "," ","|",4))+1,FIND("|",SUBSTITUTE($H92&amp;" "," ","|",5))-FIND("|",SUBSTITUTE($H92&amp;" "," ","|",4))-1),""))/86400+25569+9/24,""))</f>
        <v/>
      </c>
      <c r="G92" s="58">
        <f>TRIM(SUBSTITUTE(SUBSTITUTE(SUBSTITUTE($A92,CHAR(9)," ")," "," "),CHAR(13),""))</f>
        <v/>
      </c>
      <c r="H92" s="58">
        <f>IF($G92="","",IF(ISNUMBER(FIND(" ",$G92)),$G92,IFERROR(IF((LEN(SUBSTITUTE(SUBSTITUTE($G92,"-"," ",LEN($G92)-LEN(SUBSTITUTE($G92,"-",""))),"-"," ",LEN($G92)-LEN(SUBSTITUTE($G92,"-",""))-1))-LEN(SUBSTITUTE(SUBSTITUTE(SUBSTITUTE($G92,"-"," ",LEN($G92)-LEN(SUBSTITUTE($G92,"-",""))),"-"," ",LEN($G92)-LEN(SUBSTITUTE($G92,"-",""))-1),".","")))=0,SUBSTITUTE(SUBSTITUTE($G92,"-"," ",LEN($G92)-LEN(SUBSTITUTE($G92,"-",""))),"-"," ",LEN($G92)-LEN(SUBSTITUTE($G92,"-",""))-1),SUBSTITUTE(SUBSTITUTE(SUBSTITUTE($G92,"-"," ",LEN($G92)-LEN(SUBSTITUTE($G92,"-",""))),"-"," ",LEN($G92)-LEN(SUBSTITUTE($G92,"-",""))-1),"."," ",(LEN(SUBSTITUTE(SUBSTITUTE($G92,"-"," ",LEN($G92)-LEN(SUBSTITUTE($G92,"-",""))),"-"," ",LEN($G92)-LEN(SUBSTITUTE($G92,"-",""))-1))-LEN(SUBSTITUTE(SUBSTITUTE(SUBSTITUTE($G92,"-"," ",LEN($G92)-LEN(SUBSTITUTE($G92,"-",""))),"-"," ",LEN($G92)-LEN(SUBSTITUTE($G92,"-",""))-1),".",""))))),$G92)))</f>
        <v/>
      </c>
    </row>
    <row r="93">
      <c r="A93" s="58" t="n"/>
      <c r="B93" s="58">
        <f>IF($H93="","",LEFT($H93,FIND(" ",$H93&amp;" ")-1))</f>
        <v/>
      </c>
      <c r="C93" s="58">
        <f>IF($H93="","",IFERROR(MID($H93&amp;" ",FIND("|",SUBSTITUTE($H93&amp;" "," ","|",1))+1,FIND("|",SUBSTITUTE($H93&amp;" "," ","|",2))-FIND("|",SUBSTITUTE($H93&amp;" "," ","|",1))-1),""))</f>
        <v/>
      </c>
      <c r="D93" s="58">
        <f>IF($H93="","",IFERROR(MID($H93&amp;" ",FIND("|",SUBSTITUTE($H93&amp;" "," ","|",2))+1,FIND("|",SUBSTITUTE($H93&amp;" "," ","|",3))-FIND("|",SUBSTITUTE($H93&amp;" "," ","|",2))-1),""))</f>
        <v/>
      </c>
      <c r="E93" s="58">
        <f>IF($H93="","",IFERROR(MID($H93&amp;" ",FIND("|",SUBSTITUTE($H93&amp;" "," ","|",3))+1,FIND("|",SUBSTITUTE($H93&amp;" "," ","|",4))-FIND("|",SUBSTITUTE($H93&amp;" "," ","|",3))-1),""))</f>
        <v/>
      </c>
      <c r="F93" s="59">
        <f>IF($H93="","",IFERROR(VALUE(IFERROR(MID($H93&amp;" ",FIND("|",SUBSTITUTE($H93&amp;" "," ","|",4))+1,FIND("|",SUBSTITUTE($H93&amp;" "," ","|",5))-FIND("|",SUBSTITUTE($H93&amp;" "," ","|",4))-1),""))/86400+25569+9/24,""))</f>
        <v/>
      </c>
      <c r="G93" s="58">
        <f>TRIM(SUBSTITUTE(SUBSTITUTE(SUBSTITUTE($A93,CHAR(9)," ")," "," "),CHAR(13),""))</f>
        <v/>
      </c>
      <c r="H93" s="58">
        <f>IF($G93="","",IF(ISNUMBER(FIND(" ",$G93)),$G93,IFERROR(IF((LEN(SUBSTITUTE(SUBSTITUTE($G93,"-"," ",LEN($G93)-LEN(SUBSTITUTE($G93,"-",""))),"-"," ",LEN($G93)-LEN(SUBSTITUTE($G93,"-",""))-1))-LEN(SUBSTITUTE(SUBSTITUTE(SUBSTITUTE($G93,"-"," ",LEN($G93)-LEN(SUBSTITUTE($G93,"-",""))),"-"," ",LEN($G93)-LEN(SUBSTITUTE($G93,"-",""))-1),".","")))=0,SUBSTITUTE(SUBSTITUTE($G93,"-"," ",LEN($G93)-LEN(SUBSTITUTE($G93,"-",""))),"-"," ",LEN($G93)-LEN(SUBSTITUTE($G93,"-",""))-1),SUBSTITUTE(SUBSTITUTE(SUBSTITUTE($G93,"-"," ",LEN($G93)-LEN(SUBSTITUTE($G93,"-",""))),"-"," ",LEN($G93)-LEN(SUBSTITUTE($G93,"-",""))-1),"."," ",(LEN(SUBSTITUTE(SUBSTITUTE($G93,"-"," ",LEN($G93)-LEN(SUBSTITUTE($G93,"-",""))),"-"," ",LEN($G93)-LEN(SUBSTITUTE($G93,"-",""))-1))-LEN(SUBSTITUTE(SUBSTITUTE(SUBSTITUTE($G93,"-"," ",LEN($G93)-LEN(SUBSTITUTE($G93,"-",""))),"-"," ",LEN($G93)-LEN(SUBSTITUTE($G93,"-",""))-1),".",""))))),$G93)))</f>
        <v/>
      </c>
    </row>
    <row r="94">
      <c r="A94" s="58" t="n"/>
      <c r="B94" s="58">
        <f>IF($H94="","",LEFT($H94,FIND(" ",$H94&amp;" ")-1))</f>
        <v/>
      </c>
      <c r="C94" s="58">
        <f>IF($H94="","",IFERROR(MID($H94&amp;" ",FIND("|",SUBSTITUTE($H94&amp;" "," ","|",1))+1,FIND("|",SUBSTITUTE($H94&amp;" "," ","|",2))-FIND("|",SUBSTITUTE($H94&amp;" "," ","|",1))-1),""))</f>
        <v/>
      </c>
      <c r="D94" s="58">
        <f>IF($H94="","",IFERROR(MID($H94&amp;" ",FIND("|",SUBSTITUTE($H94&amp;" "," ","|",2))+1,FIND("|",SUBSTITUTE($H94&amp;" "," ","|",3))-FIND("|",SUBSTITUTE($H94&amp;" "," ","|",2))-1),""))</f>
        <v/>
      </c>
      <c r="E94" s="58">
        <f>IF($H94="","",IFERROR(MID($H94&amp;" ",FIND("|",SUBSTITUTE($H94&amp;" "," ","|",3))+1,FIND("|",SUBSTITUTE($H94&amp;" "," ","|",4))-FIND("|",SUBSTITUTE($H94&amp;" "," ","|",3))-1),""))</f>
        <v/>
      </c>
      <c r="F94" s="59">
        <f>IF($H94="","",IFERROR(VALUE(IFERROR(MID($H94&amp;" ",FIND("|",SUBSTITUTE($H94&amp;" "," ","|",4))+1,FIND("|",SUBSTITUTE($H94&amp;" "," ","|",5))-FIND("|",SUBSTITUTE($H94&amp;" "," ","|",4))-1),""))/86400+25569+9/24,""))</f>
        <v/>
      </c>
      <c r="G94" s="58">
        <f>TRIM(SUBSTITUTE(SUBSTITUTE(SUBSTITUTE($A94,CHAR(9)," ")," "," "),CHAR(13),""))</f>
        <v/>
      </c>
      <c r="H94" s="58">
        <f>IF($G94="","",IF(ISNUMBER(FIND(" ",$G94)),$G94,IFERROR(IF((LEN(SUBSTITUTE(SUBSTITUTE($G94,"-"," ",LEN($G94)-LEN(SUBSTITUTE($G94,"-",""))),"-"," ",LEN($G94)-LEN(SUBSTITUTE($G94,"-",""))-1))-LEN(SUBSTITUTE(SUBSTITUTE(SUBSTITUTE($G94,"-"," ",LEN($G94)-LEN(SUBSTITUTE($G94,"-",""))),"-"," ",LEN($G94)-LEN(SUBSTITUTE($G94,"-",""))-1),".","")))=0,SUBSTITUTE(SUBSTITUTE($G94,"-"," ",LEN($G94)-LEN(SUBSTITUTE($G94,"-",""))),"-"," ",LEN($G94)-LEN(SUBSTITUTE($G94,"-",""))-1),SUBSTITUTE(SUBSTITUTE(SUBSTITUTE($G94,"-"," ",LEN($G94)-LEN(SUBSTITUTE($G94,"-",""))),"-"," ",LEN($G94)-LEN(SUBSTITUTE($G94,"-",""))-1),"."," ",(LEN(SUBSTITUTE(SUBSTITUTE($G94,"-"," ",LEN($G94)-LEN(SUBSTITUTE($G94,"-",""))),"-"," ",LEN($G94)-LEN(SUBSTITUTE($G94,"-",""))-1))-LEN(SUBSTITUTE(SUBSTITUTE(SUBSTITUTE($G94,"-"," ",LEN($G94)-LEN(SUBSTITUTE($G94,"-",""))),"-"," ",LEN($G94)-LEN(SUBSTITUTE($G94,"-",""))-1),".",""))))),$G94)))</f>
        <v/>
      </c>
    </row>
    <row r="95">
      <c r="A95" s="58" t="n"/>
      <c r="B95" s="58">
        <f>IF($H95="","",LEFT($H95,FIND(" ",$H95&amp;" ")-1))</f>
        <v/>
      </c>
      <c r="C95" s="58">
        <f>IF($H95="","",IFERROR(MID($H95&amp;" ",FIND("|",SUBSTITUTE($H95&amp;" "," ","|",1))+1,FIND("|",SUBSTITUTE($H95&amp;" "," ","|",2))-FIND("|",SUBSTITUTE($H95&amp;" "," ","|",1))-1),""))</f>
        <v/>
      </c>
      <c r="D95" s="58">
        <f>IF($H95="","",IFERROR(MID($H95&amp;" ",FIND("|",SUBSTITUTE($H95&amp;" "," ","|",2))+1,FIND("|",SUBSTITUTE($H95&amp;" "," ","|",3))-FIND("|",SUBSTITUTE($H95&amp;" "," ","|",2))-1),""))</f>
        <v/>
      </c>
      <c r="E95" s="58">
        <f>IF($H95="","",IFERROR(MID($H95&amp;" ",FIND("|",SUBSTITUTE($H95&amp;" "," ","|",3))+1,FIND("|",SUBSTITUTE($H95&amp;" "," ","|",4))-FIND("|",SUBSTITUTE($H95&amp;" "," ","|",3))-1),""))</f>
        <v/>
      </c>
      <c r="F95" s="59">
        <f>IF($H95="","",IFERROR(VALUE(IFERROR(MID($H95&amp;" ",FIND("|",SUBSTITUTE($H95&amp;" "," ","|",4))+1,FIND("|",SUBSTITUTE($H95&amp;" "," ","|",5))-FIND("|",SUBSTITUTE($H95&amp;" "," ","|",4))-1),""))/86400+25569+9/24,""))</f>
        <v/>
      </c>
      <c r="G95" s="58">
        <f>TRIM(SUBSTITUTE(SUBSTITUTE(SUBSTITUTE($A95,CHAR(9)," ")," "," "),CHAR(13),""))</f>
        <v/>
      </c>
      <c r="H95" s="58">
        <f>IF($G95="","",IF(ISNUMBER(FIND(" ",$G95)),$G95,IFERROR(IF((LEN(SUBSTITUTE(SUBSTITUTE($G95,"-"," ",LEN($G95)-LEN(SUBSTITUTE($G95,"-",""))),"-"," ",LEN($G95)-LEN(SUBSTITUTE($G95,"-",""))-1))-LEN(SUBSTITUTE(SUBSTITUTE(SUBSTITUTE($G95,"-"," ",LEN($G95)-LEN(SUBSTITUTE($G95,"-",""))),"-"," ",LEN($G95)-LEN(SUBSTITUTE($G95,"-",""))-1),".","")))=0,SUBSTITUTE(SUBSTITUTE($G95,"-"," ",LEN($G95)-LEN(SUBSTITUTE($G95,"-",""))),"-"," ",LEN($G95)-LEN(SUBSTITUTE($G95,"-",""))-1),SUBSTITUTE(SUBSTITUTE(SUBSTITUTE($G95,"-"," ",LEN($G95)-LEN(SUBSTITUTE($G95,"-",""))),"-"," ",LEN($G95)-LEN(SUBSTITUTE($G95,"-",""))-1),"."," ",(LEN(SUBSTITUTE(SUBSTITUTE($G95,"-"," ",LEN($G95)-LEN(SUBSTITUTE($G95,"-",""))),"-"," ",LEN($G95)-LEN(SUBSTITUTE($G95,"-",""))-1))-LEN(SUBSTITUTE(SUBSTITUTE(SUBSTITUTE($G95,"-"," ",LEN($G95)-LEN(SUBSTITUTE($G95,"-",""))),"-"," ",LEN($G95)-LEN(SUBSTITUTE($G95,"-",""))-1),".",""))))),$G95)))</f>
        <v/>
      </c>
    </row>
    <row r="96">
      <c r="A96" s="58" t="n"/>
      <c r="B96" s="58">
        <f>IF($H96="","",LEFT($H96,FIND(" ",$H96&amp;" ")-1))</f>
        <v/>
      </c>
      <c r="C96" s="58">
        <f>IF($H96="","",IFERROR(MID($H96&amp;" ",FIND("|",SUBSTITUTE($H96&amp;" "," ","|",1))+1,FIND("|",SUBSTITUTE($H96&amp;" "," ","|",2))-FIND("|",SUBSTITUTE($H96&amp;" "," ","|",1))-1),""))</f>
        <v/>
      </c>
      <c r="D96" s="58">
        <f>IF($H96="","",IFERROR(MID($H96&amp;" ",FIND("|",SUBSTITUTE($H96&amp;" "," ","|",2))+1,FIND("|",SUBSTITUTE($H96&amp;" "," ","|",3))-FIND("|",SUBSTITUTE($H96&amp;" "," ","|",2))-1),""))</f>
        <v/>
      </c>
      <c r="E96" s="58">
        <f>IF($H96="","",IFERROR(MID($H96&amp;" ",FIND("|",SUBSTITUTE($H96&amp;" "," ","|",3))+1,FIND("|",SUBSTITUTE($H96&amp;" "," ","|",4))-FIND("|",SUBSTITUTE($H96&amp;" "," ","|",3))-1),""))</f>
        <v/>
      </c>
      <c r="F96" s="59">
        <f>IF($H96="","",IFERROR(VALUE(IFERROR(MID($H96&amp;" ",FIND("|",SUBSTITUTE($H96&amp;" "," ","|",4))+1,FIND("|",SUBSTITUTE($H96&amp;" "," ","|",5))-FIND("|",SUBSTITUTE($H96&amp;" "," ","|",4))-1),""))/86400+25569+9/24,""))</f>
        <v/>
      </c>
      <c r="G96" s="58">
        <f>TRIM(SUBSTITUTE(SUBSTITUTE(SUBSTITUTE($A96,CHAR(9)," ")," "," "),CHAR(13),""))</f>
        <v/>
      </c>
      <c r="H96" s="58">
        <f>IF($G96="","",IF(ISNUMBER(FIND(" ",$G96)),$G96,IFERROR(IF((LEN(SUBSTITUTE(SUBSTITUTE($G96,"-"," ",LEN($G96)-LEN(SUBSTITUTE($G96,"-",""))),"-"," ",LEN($G96)-LEN(SUBSTITUTE($G96,"-",""))-1))-LEN(SUBSTITUTE(SUBSTITUTE(SUBSTITUTE($G96,"-"," ",LEN($G96)-LEN(SUBSTITUTE($G96,"-",""))),"-"," ",LEN($G96)-LEN(SUBSTITUTE($G96,"-",""))-1),".","")))=0,SUBSTITUTE(SUBSTITUTE($G96,"-"," ",LEN($G96)-LEN(SUBSTITUTE($G96,"-",""))),"-"," ",LEN($G96)-LEN(SUBSTITUTE($G96,"-",""))-1),SUBSTITUTE(SUBSTITUTE(SUBSTITUTE($G96,"-"," ",LEN($G96)-LEN(SUBSTITUTE($G96,"-",""))),"-"," ",LEN($G96)-LEN(SUBSTITUTE($G96,"-",""))-1),"."," ",(LEN(SUBSTITUTE(SUBSTITUTE($G96,"-"," ",LEN($G96)-LEN(SUBSTITUTE($G96,"-",""))),"-"," ",LEN($G96)-LEN(SUBSTITUTE($G96,"-",""))-1))-LEN(SUBSTITUTE(SUBSTITUTE(SUBSTITUTE($G96,"-"," ",LEN($G96)-LEN(SUBSTITUTE($G96,"-",""))),"-"," ",LEN($G96)-LEN(SUBSTITUTE($G96,"-",""))-1),".",""))))),$G96)))</f>
        <v/>
      </c>
    </row>
    <row r="97">
      <c r="A97" s="58" t="n"/>
      <c r="B97" s="58">
        <f>IF($H97="","",LEFT($H97,FIND(" ",$H97&amp;" ")-1))</f>
        <v/>
      </c>
      <c r="C97" s="58">
        <f>IF($H97="","",IFERROR(MID($H97&amp;" ",FIND("|",SUBSTITUTE($H97&amp;" "," ","|",1))+1,FIND("|",SUBSTITUTE($H97&amp;" "," ","|",2))-FIND("|",SUBSTITUTE($H97&amp;" "," ","|",1))-1),""))</f>
        <v/>
      </c>
      <c r="D97" s="58">
        <f>IF($H97="","",IFERROR(MID($H97&amp;" ",FIND("|",SUBSTITUTE($H97&amp;" "," ","|",2))+1,FIND("|",SUBSTITUTE($H97&amp;" "," ","|",3))-FIND("|",SUBSTITUTE($H97&amp;" "," ","|",2))-1),""))</f>
        <v/>
      </c>
      <c r="E97" s="58">
        <f>IF($H97="","",IFERROR(MID($H97&amp;" ",FIND("|",SUBSTITUTE($H97&amp;" "," ","|",3))+1,FIND("|",SUBSTITUTE($H97&amp;" "," ","|",4))-FIND("|",SUBSTITUTE($H97&amp;" "," ","|",3))-1),""))</f>
        <v/>
      </c>
      <c r="F97" s="59">
        <f>IF($H97="","",IFERROR(VALUE(IFERROR(MID($H97&amp;" ",FIND("|",SUBSTITUTE($H97&amp;" "," ","|",4))+1,FIND("|",SUBSTITUTE($H97&amp;" "," ","|",5))-FIND("|",SUBSTITUTE($H97&amp;" "," ","|",4))-1),""))/86400+25569+9/24,""))</f>
        <v/>
      </c>
      <c r="G97" s="58">
        <f>TRIM(SUBSTITUTE(SUBSTITUTE(SUBSTITUTE($A97,CHAR(9)," ")," "," "),CHAR(13),""))</f>
        <v/>
      </c>
      <c r="H97" s="58">
        <f>IF($G97="","",IF(ISNUMBER(FIND(" ",$G97)),$G97,IFERROR(IF((LEN(SUBSTITUTE(SUBSTITUTE($G97,"-"," ",LEN($G97)-LEN(SUBSTITUTE($G97,"-",""))),"-"," ",LEN($G97)-LEN(SUBSTITUTE($G97,"-",""))-1))-LEN(SUBSTITUTE(SUBSTITUTE(SUBSTITUTE($G97,"-"," ",LEN($G97)-LEN(SUBSTITUTE($G97,"-",""))),"-"," ",LEN($G97)-LEN(SUBSTITUTE($G97,"-",""))-1),".","")))=0,SUBSTITUTE(SUBSTITUTE($G97,"-"," ",LEN($G97)-LEN(SUBSTITUTE($G97,"-",""))),"-"," ",LEN($G97)-LEN(SUBSTITUTE($G97,"-",""))-1),SUBSTITUTE(SUBSTITUTE(SUBSTITUTE($G97,"-"," ",LEN($G97)-LEN(SUBSTITUTE($G97,"-",""))),"-"," ",LEN($G97)-LEN(SUBSTITUTE($G97,"-",""))-1),"."," ",(LEN(SUBSTITUTE(SUBSTITUTE($G97,"-"," ",LEN($G97)-LEN(SUBSTITUTE($G97,"-",""))),"-"," ",LEN($G97)-LEN(SUBSTITUTE($G97,"-",""))-1))-LEN(SUBSTITUTE(SUBSTITUTE(SUBSTITUTE($G97,"-"," ",LEN($G97)-LEN(SUBSTITUTE($G97,"-",""))),"-"," ",LEN($G97)-LEN(SUBSTITUTE($G97,"-",""))-1),".",""))))),$G97)))</f>
        <v/>
      </c>
    </row>
    <row r="98">
      <c r="A98" s="58" t="n"/>
      <c r="B98" s="58">
        <f>IF($H98="","",LEFT($H98,FIND(" ",$H98&amp;" ")-1))</f>
        <v/>
      </c>
      <c r="C98" s="58">
        <f>IF($H98="","",IFERROR(MID($H98&amp;" ",FIND("|",SUBSTITUTE($H98&amp;" "," ","|",1))+1,FIND("|",SUBSTITUTE($H98&amp;" "," ","|",2))-FIND("|",SUBSTITUTE($H98&amp;" "," ","|",1))-1),""))</f>
        <v/>
      </c>
      <c r="D98" s="58">
        <f>IF($H98="","",IFERROR(MID($H98&amp;" ",FIND("|",SUBSTITUTE($H98&amp;" "," ","|",2))+1,FIND("|",SUBSTITUTE($H98&amp;" "," ","|",3))-FIND("|",SUBSTITUTE($H98&amp;" "," ","|",2))-1),""))</f>
        <v/>
      </c>
      <c r="E98" s="58">
        <f>IF($H98="","",IFERROR(MID($H98&amp;" ",FIND("|",SUBSTITUTE($H98&amp;" "," ","|",3))+1,FIND("|",SUBSTITUTE($H98&amp;" "," ","|",4))-FIND("|",SUBSTITUTE($H98&amp;" "," ","|",3))-1),""))</f>
        <v/>
      </c>
      <c r="F98" s="59">
        <f>IF($H98="","",IFERROR(VALUE(IFERROR(MID($H98&amp;" ",FIND("|",SUBSTITUTE($H98&amp;" "," ","|",4))+1,FIND("|",SUBSTITUTE($H98&amp;" "," ","|",5))-FIND("|",SUBSTITUTE($H98&amp;" "," ","|",4))-1),""))/86400+25569+9/24,""))</f>
        <v/>
      </c>
      <c r="G98" s="58">
        <f>TRIM(SUBSTITUTE(SUBSTITUTE(SUBSTITUTE($A98,CHAR(9)," ")," "," "),CHAR(13),""))</f>
        <v/>
      </c>
      <c r="H98" s="58">
        <f>IF($G98="","",IF(ISNUMBER(FIND(" ",$G98)),$G98,IFERROR(IF((LEN(SUBSTITUTE(SUBSTITUTE($G98,"-"," ",LEN($G98)-LEN(SUBSTITUTE($G98,"-",""))),"-"," ",LEN($G98)-LEN(SUBSTITUTE($G98,"-",""))-1))-LEN(SUBSTITUTE(SUBSTITUTE(SUBSTITUTE($G98,"-"," ",LEN($G98)-LEN(SUBSTITUTE($G98,"-",""))),"-"," ",LEN($G98)-LEN(SUBSTITUTE($G98,"-",""))-1),".","")))=0,SUBSTITUTE(SUBSTITUTE($G98,"-"," ",LEN($G98)-LEN(SUBSTITUTE($G98,"-",""))),"-"," ",LEN($G98)-LEN(SUBSTITUTE($G98,"-",""))-1),SUBSTITUTE(SUBSTITUTE(SUBSTITUTE($G98,"-"," ",LEN($G98)-LEN(SUBSTITUTE($G98,"-",""))),"-"," ",LEN($G98)-LEN(SUBSTITUTE($G98,"-",""))-1),"."," ",(LEN(SUBSTITUTE(SUBSTITUTE($G98,"-"," ",LEN($G98)-LEN(SUBSTITUTE($G98,"-",""))),"-"," ",LEN($G98)-LEN(SUBSTITUTE($G98,"-",""))-1))-LEN(SUBSTITUTE(SUBSTITUTE(SUBSTITUTE($G98,"-"," ",LEN($G98)-LEN(SUBSTITUTE($G98,"-",""))),"-"," ",LEN($G98)-LEN(SUBSTITUTE($G98,"-",""))-1),".",""))))),$G98)))</f>
        <v/>
      </c>
    </row>
    <row r="99">
      <c r="A99" s="58" t="n"/>
      <c r="B99" s="58">
        <f>IF($H99="","",LEFT($H99,FIND(" ",$H99&amp;" ")-1))</f>
        <v/>
      </c>
      <c r="C99" s="58">
        <f>IF($H99="","",IFERROR(MID($H99&amp;" ",FIND("|",SUBSTITUTE($H99&amp;" "," ","|",1))+1,FIND("|",SUBSTITUTE($H99&amp;" "," ","|",2))-FIND("|",SUBSTITUTE($H99&amp;" "," ","|",1))-1),""))</f>
        <v/>
      </c>
      <c r="D99" s="58">
        <f>IF($H99="","",IFERROR(MID($H99&amp;" ",FIND("|",SUBSTITUTE($H99&amp;" "," ","|",2))+1,FIND("|",SUBSTITUTE($H99&amp;" "," ","|",3))-FIND("|",SUBSTITUTE($H99&amp;" "," ","|",2))-1),""))</f>
        <v/>
      </c>
      <c r="E99" s="58">
        <f>IF($H99="","",IFERROR(MID($H99&amp;" ",FIND("|",SUBSTITUTE($H99&amp;" "," ","|",3))+1,FIND("|",SUBSTITUTE($H99&amp;" "," ","|",4))-FIND("|",SUBSTITUTE($H99&amp;" "," ","|",3))-1),""))</f>
        <v/>
      </c>
      <c r="F99" s="59">
        <f>IF($H99="","",IFERROR(VALUE(IFERROR(MID($H99&amp;" ",FIND("|",SUBSTITUTE($H99&amp;" "," ","|",4))+1,FIND("|",SUBSTITUTE($H99&amp;" "," ","|",5))-FIND("|",SUBSTITUTE($H99&amp;" "," ","|",4))-1),""))/86400+25569+9/24,""))</f>
        <v/>
      </c>
      <c r="G99" s="58">
        <f>TRIM(SUBSTITUTE(SUBSTITUTE(SUBSTITUTE($A99,CHAR(9)," ")," "," "),CHAR(13),""))</f>
        <v/>
      </c>
      <c r="H99" s="58">
        <f>IF($G99="","",IF(ISNUMBER(FIND(" ",$G99)),$G99,IFERROR(IF((LEN(SUBSTITUTE(SUBSTITUTE($G99,"-"," ",LEN($G99)-LEN(SUBSTITUTE($G99,"-",""))),"-"," ",LEN($G99)-LEN(SUBSTITUTE($G99,"-",""))-1))-LEN(SUBSTITUTE(SUBSTITUTE(SUBSTITUTE($G99,"-"," ",LEN($G99)-LEN(SUBSTITUTE($G99,"-",""))),"-"," ",LEN($G99)-LEN(SUBSTITUTE($G99,"-",""))-1),".","")))=0,SUBSTITUTE(SUBSTITUTE($G99,"-"," ",LEN($G99)-LEN(SUBSTITUTE($G99,"-",""))),"-"," ",LEN($G99)-LEN(SUBSTITUTE($G99,"-",""))-1),SUBSTITUTE(SUBSTITUTE(SUBSTITUTE($G99,"-"," ",LEN($G99)-LEN(SUBSTITUTE($G99,"-",""))),"-"," ",LEN($G99)-LEN(SUBSTITUTE($G99,"-",""))-1),"."," ",(LEN(SUBSTITUTE(SUBSTITUTE($G99,"-"," ",LEN($G99)-LEN(SUBSTITUTE($G99,"-",""))),"-"," ",LEN($G99)-LEN(SUBSTITUTE($G99,"-",""))-1))-LEN(SUBSTITUTE(SUBSTITUTE(SUBSTITUTE($G99,"-"," ",LEN($G99)-LEN(SUBSTITUTE($G99,"-",""))),"-"," ",LEN($G99)-LEN(SUBSTITUTE($G99,"-",""))-1),".",""))))),$G99)))</f>
        <v/>
      </c>
    </row>
    <row r="100">
      <c r="A100" s="58" t="n"/>
      <c r="B100" s="58">
        <f>IF($H100="","",LEFT($H100,FIND(" ",$H100&amp;" ")-1))</f>
        <v/>
      </c>
      <c r="C100" s="58">
        <f>IF($H100="","",IFERROR(MID($H100&amp;" ",FIND("|",SUBSTITUTE($H100&amp;" "," ","|",1))+1,FIND("|",SUBSTITUTE($H100&amp;" "," ","|",2))-FIND("|",SUBSTITUTE($H100&amp;" "," ","|",1))-1),""))</f>
        <v/>
      </c>
      <c r="D100" s="58">
        <f>IF($H100="","",IFERROR(MID($H100&amp;" ",FIND("|",SUBSTITUTE($H100&amp;" "," ","|",2))+1,FIND("|",SUBSTITUTE($H100&amp;" "," ","|",3))-FIND("|",SUBSTITUTE($H100&amp;" "," ","|",2))-1),""))</f>
        <v/>
      </c>
      <c r="E100" s="58">
        <f>IF($H100="","",IFERROR(MID($H100&amp;" ",FIND("|",SUBSTITUTE($H100&amp;" "," ","|",3))+1,FIND("|",SUBSTITUTE($H100&amp;" "," ","|",4))-FIND("|",SUBSTITUTE($H100&amp;" "," ","|",3))-1),""))</f>
        <v/>
      </c>
      <c r="F100" s="59">
        <f>IF($H100="","",IFERROR(VALUE(IFERROR(MID($H100&amp;" ",FIND("|",SUBSTITUTE($H100&amp;" "," ","|",4))+1,FIND("|",SUBSTITUTE($H100&amp;" "," ","|",5))-FIND("|",SUBSTITUTE($H100&amp;" "," ","|",4))-1),""))/86400+25569+9/24,""))</f>
        <v/>
      </c>
      <c r="G100" s="58">
        <f>TRIM(SUBSTITUTE(SUBSTITUTE(SUBSTITUTE($A100,CHAR(9)," ")," "," "),CHAR(13),""))</f>
        <v/>
      </c>
      <c r="H100" s="58">
        <f>IF($G100="","",IF(ISNUMBER(FIND(" ",$G100)),$G100,IFERROR(IF((LEN(SUBSTITUTE(SUBSTITUTE($G100,"-"," ",LEN($G100)-LEN(SUBSTITUTE($G100,"-",""))),"-"," ",LEN($G100)-LEN(SUBSTITUTE($G100,"-",""))-1))-LEN(SUBSTITUTE(SUBSTITUTE(SUBSTITUTE($G100,"-"," ",LEN($G100)-LEN(SUBSTITUTE($G100,"-",""))),"-"," ",LEN($G100)-LEN(SUBSTITUTE($G100,"-",""))-1),".","")))=0,SUBSTITUTE(SUBSTITUTE($G100,"-"," ",LEN($G100)-LEN(SUBSTITUTE($G100,"-",""))),"-"," ",LEN($G100)-LEN(SUBSTITUTE($G100,"-",""))-1),SUBSTITUTE(SUBSTITUTE(SUBSTITUTE($G100,"-"," ",LEN($G100)-LEN(SUBSTITUTE($G100,"-",""))),"-"," ",LEN($G100)-LEN(SUBSTITUTE($G100,"-",""))-1),"."," ",(LEN(SUBSTITUTE(SUBSTITUTE($G100,"-"," ",LEN($G100)-LEN(SUBSTITUTE($G100,"-",""))),"-"," ",LEN($G100)-LEN(SUBSTITUTE($G100,"-",""))-1))-LEN(SUBSTITUTE(SUBSTITUTE(SUBSTITUTE($G100,"-"," ",LEN($G100)-LEN(SUBSTITUTE($G100,"-",""))),"-"," ",LEN($G100)-LEN(SUBSTITUTE($G100,"-",""))-1),".",""))))),$G100)))</f>
        <v/>
      </c>
    </row>
    <row r="101">
      <c r="A101" s="58" t="n"/>
      <c r="B101" s="58">
        <f>IF($H101="","",LEFT($H101,FIND(" ",$H101&amp;" ")-1))</f>
        <v/>
      </c>
      <c r="C101" s="58">
        <f>IF($H101="","",IFERROR(MID($H101&amp;" ",FIND("|",SUBSTITUTE($H101&amp;" "," ","|",1))+1,FIND("|",SUBSTITUTE($H101&amp;" "," ","|",2))-FIND("|",SUBSTITUTE($H101&amp;" "," ","|",1))-1),""))</f>
        <v/>
      </c>
      <c r="D101" s="58">
        <f>IF($H101="","",IFERROR(MID($H101&amp;" ",FIND("|",SUBSTITUTE($H101&amp;" "," ","|",2))+1,FIND("|",SUBSTITUTE($H101&amp;" "," ","|",3))-FIND("|",SUBSTITUTE($H101&amp;" "," ","|",2))-1),""))</f>
        <v/>
      </c>
      <c r="E101" s="58">
        <f>IF($H101="","",IFERROR(MID($H101&amp;" ",FIND("|",SUBSTITUTE($H101&amp;" "," ","|",3))+1,FIND("|",SUBSTITUTE($H101&amp;" "," ","|",4))-FIND("|",SUBSTITUTE($H101&amp;" "," ","|",3))-1),""))</f>
        <v/>
      </c>
      <c r="F101" s="59">
        <f>IF($H101="","",IFERROR(VALUE(IFERROR(MID($H101&amp;" ",FIND("|",SUBSTITUTE($H101&amp;" "," ","|",4))+1,FIND("|",SUBSTITUTE($H101&amp;" "," ","|",5))-FIND("|",SUBSTITUTE($H101&amp;" "," ","|",4))-1),""))/86400+25569+9/24,""))</f>
        <v/>
      </c>
      <c r="G101" s="58">
        <f>TRIM(SUBSTITUTE(SUBSTITUTE(SUBSTITUTE($A101,CHAR(9)," ")," "," "),CHAR(13),""))</f>
        <v/>
      </c>
      <c r="H101" s="58">
        <f>IF($G101="","",IF(ISNUMBER(FIND(" ",$G101)),$G101,IFERROR(IF((LEN(SUBSTITUTE(SUBSTITUTE($G101,"-"," ",LEN($G101)-LEN(SUBSTITUTE($G101,"-",""))),"-"," ",LEN($G101)-LEN(SUBSTITUTE($G101,"-",""))-1))-LEN(SUBSTITUTE(SUBSTITUTE(SUBSTITUTE($G101,"-"," ",LEN($G101)-LEN(SUBSTITUTE($G101,"-",""))),"-"," ",LEN($G101)-LEN(SUBSTITUTE($G101,"-",""))-1),".","")))=0,SUBSTITUTE(SUBSTITUTE($G101,"-"," ",LEN($G101)-LEN(SUBSTITUTE($G101,"-",""))),"-"," ",LEN($G101)-LEN(SUBSTITUTE($G101,"-",""))-1),SUBSTITUTE(SUBSTITUTE(SUBSTITUTE($G101,"-"," ",LEN($G101)-LEN(SUBSTITUTE($G101,"-",""))),"-"," ",LEN($G101)-LEN(SUBSTITUTE($G101,"-",""))-1),"."," ",(LEN(SUBSTITUTE(SUBSTITUTE($G101,"-"," ",LEN($G101)-LEN(SUBSTITUTE($G101,"-",""))),"-"," ",LEN($G101)-LEN(SUBSTITUTE($G101,"-",""))-1))-LEN(SUBSTITUTE(SUBSTITUTE(SUBSTITUTE($G101,"-"," ",LEN($G101)-LEN(SUBSTITUTE($G101,"-",""))),"-"," ",LEN($G101)-LEN(SUBSTITUTE($G101,"-",""))-1),".",""))))),$G101)))</f>
        <v/>
      </c>
    </row>
    <row r="102">
      <c r="A102" s="58" t="n"/>
      <c r="B102" s="58">
        <f>IF($H102="","",LEFT($H102,FIND(" ",$H102&amp;" ")-1))</f>
        <v/>
      </c>
      <c r="C102" s="58">
        <f>IF($H102="","",IFERROR(MID($H102&amp;" ",FIND("|",SUBSTITUTE($H102&amp;" "," ","|",1))+1,FIND("|",SUBSTITUTE($H102&amp;" "," ","|",2))-FIND("|",SUBSTITUTE($H102&amp;" "," ","|",1))-1),""))</f>
        <v/>
      </c>
      <c r="D102" s="58">
        <f>IF($H102="","",IFERROR(MID($H102&amp;" ",FIND("|",SUBSTITUTE($H102&amp;" "," ","|",2))+1,FIND("|",SUBSTITUTE($H102&amp;" "," ","|",3))-FIND("|",SUBSTITUTE($H102&amp;" "," ","|",2))-1),""))</f>
        <v/>
      </c>
      <c r="E102" s="58">
        <f>IF($H102="","",IFERROR(MID($H102&amp;" ",FIND("|",SUBSTITUTE($H102&amp;" "," ","|",3))+1,FIND("|",SUBSTITUTE($H102&amp;" "," ","|",4))-FIND("|",SUBSTITUTE($H102&amp;" "," ","|",3))-1),""))</f>
        <v/>
      </c>
      <c r="F102" s="59">
        <f>IF($H102="","",IFERROR(VALUE(IFERROR(MID($H102&amp;" ",FIND("|",SUBSTITUTE($H102&amp;" "," ","|",4))+1,FIND("|",SUBSTITUTE($H102&amp;" "," ","|",5))-FIND("|",SUBSTITUTE($H102&amp;" "," ","|",4))-1),""))/86400+25569+9/24,""))</f>
        <v/>
      </c>
      <c r="G102" s="58">
        <f>TRIM(SUBSTITUTE(SUBSTITUTE(SUBSTITUTE($A102,CHAR(9)," ")," "," "),CHAR(13),""))</f>
        <v/>
      </c>
      <c r="H102" s="58">
        <f>IF($G102="","",IF(ISNUMBER(FIND(" ",$G102)),$G102,IFERROR(IF((LEN(SUBSTITUTE(SUBSTITUTE($G102,"-"," ",LEN($G102)-LEN(SUBSTITUTE($G102,"-",""))),"-"," ",LEN($G102)-LEN(SUBSTITUTE($G102,"-",""))-1))-LEN(SUBSTITUTE(SUBSTITUTE(SUBSTITUTE($G102,"-"," ",LEN($G102)-LEN(SUBSTITUTE($G102,"-",""))),"-"," ",LEN($G102)-LEN(SUBSTITUTE($G102,"-",""))-1),".","")))=0,SUBSTITUTE(SUBSTITUTE($G102,"-"," ",LEN($G102)-LEN(SUBSTITUTE($G102,"-",""))),"-"," ",LEN($G102)-LEN(SUBSTITUTE($G102,"-",""))-1),SUBSTITUTE(SUBSTITUTE(SUBSTITUTE($G102,"-"," ",LEN($G102)-LEN(SUBSTITUTE($G102,"-",""))),"-"," ",LEN($G102)-LEN(SUBSTITUTE($G102,"-",""))-1),"."," ",(LEN(SUBSTITUTE(SUBSTITUTE($G102,"-"," ",LEN($G102)-LEN(SUBSTITUTE($G102,"-",""))),"-"," ",LEN($G102)-LEN(SUBSTITUTE($G102,"-",""))-1))-LEN(SUBSTITUTE(SUBSTITUTE(SUBSTITUTE($G102,"-"," ",LEN($G102)-LEN(SUBSTITUTE($G102,"-",""))),"-"," ",LEN($G102)-LEN(SUBSTITUTE($G102,"-",""))-1),".",""))))),$G102)))</f>
        <v/>
      </c>
    </row>
    <row r="103">
      <c r="A103" s="58" t="n"/>
      <c r="B103" s="58">
        <f>IF($H103="","",LEFT($H103,FIND(" ",$H103&amp;" ")-1))</f>
        <v/>
      </c>
      <c r="C103" s="58">
        <f>IF($H103="","",IFERROR(MID($H103&amp;" ",FIND("|",SUBSTITUTE($H103&amp;" "," ","|",1))+1,FIND("|",SUBSTITUTE($H103&amp;" "," ","|",2))-FIND("|",SUBSTITUTE($H103&amp;" "," ","|",1))-1),""))</f>
        <v/>
      </c>
      <c r="D103" s="58">
        <f>IF($H103="","",IFERROR(MID($H103&amp;" ",FIND("|",SUBSTITUTE($H103&amp;" "," ","|",2))+1,FIND("|",SUBSTITUTE($H103&amp;" "," ","|",3))-FIND("|",SUBSTITUTE($H103&amp;" "," ","|",2))-1),""))</f>
        <v/>
      </c>
      <c r="E103" s="58">
        <f>IF($H103="","",IFERROR(MID($H103&amp;" ",FIND("|",SUBSTITUTE($H103&amp;" "," ","|",3))+1,FIND("|",SUBSTITUTE($H103&amp;" "," ","|",4))-FIND("|",SUBSTITUTE($H103&amp;" "," ","|",3))-1),""))</f>
        <v/>
      </c>
      <c r="F103" s="59">
        <f>IF($H103="","",IFERROR(VALUE(IFERROR(MID($H103&amp;" ",FIND("|",SUBSTITUTE($H103&amp;" "," ","|",4))+1,FIND("|",SUBSTITUTE($H103&amp;" "," ","|",5))-FIND("|",SUBSTITUTE($H103&amp;" "," ","|",4))-1),""))/86400+25569+9/24,""))</f>
        <v/>
      </c>
      <c r="G103" s="58">
        <f>TRIM(SUBSTITUTE(SUBSTITUTE(SUBSTITUTE($A103,CHAR(9)," ")," "," "),CHAR(13),""))</f>
        <v/>
      </c>
      <c r="H103" s="58">
        <f>IF($G103="","",IF(ISNUMBER(FIND(" ",$G103)),$G103,IFERROR(IF((LEN(SUBSTITUTE(SUBSTITUTE($G103,"-"," ",LEN($G103)-LEN(SUBSTITUTE($G103,"-",""))),"-"," ",LEN($G103)-LEN(SUBSTITUTE($G103,"-",""))-1))-LEN(SUBSTITUTE(SUBSTITUTE(SUBSTITUTE($G103,"-"," ",LEN($G103)-LEN(SUBSTITUTE($G103,"-",""))),"-"," ",LEN($G103)-LEN(SUBSTITUTE($G103,"-",""))-1),".","")))=0,SUBSTITUTE(SUBSTITUTE($G103,"-"," ",LEN($G103)-LEN(SUBSTITUTE($G103,"-",""))),"-"," ",LEN($G103)-LEN(SUBSTITUTE($G103,"-",""))-1),SUBSTITUTE(SUBSTITUTE(SUBSTITUTE($G103,"-"," ",LEN($G103)-LEN(SUBSTITUTE($G103,"-",""))),"-"," ",LEN($G103)-LEN(SUBSTITUTE($G103,"-",""))-1),"."," ",(LEN(SUBSTITUTE(SUBSTITUTE($G103,"-"," ",LEN($G103)-LEN(SUBSTITUTE($G103,"-",""))),"-"," ",LEN($G103)-LEN(SUBSTITUTE($G103,"-",""))-1))-LEN(SUBSTITUTE(SUBSTITUTE(SUBSTITUTE($G103,"-"," ",LEN($G103)-LEN(SUBSTITUTE($G103,"-",""))),"-"," ",LEN($G103)-LEN(SUBSTITUTE($G103,"-",""))-1),".",""))))),$G103)))</f>
        <v/>
      </c>
    </row>
    <row r="104">
      <c r="A104" s="58" t="n"/>
      <c r="B104" s="58">
        <f>IF($H104="","",LEFT($H104,FIND(" ",$H104&amp;" ")-1))</f>
        <v/>
      </c>
      <c r="C104" s="58">
        <f>IF($H104="","",IFERROR(MID($H104&amp;" ",FIND("|",SUBSTITUTE($H104&amp;" "," ","|",1))+1,FIND("|",SUBSTITUTE($H104&amp;" "," ","|",2))-FIND("|",SUBSTITUTE($H104&amp;" "," ","|",1))-1),""))</f>
        <v/>
      </c>
      <c r="D104" s="58">
        <f>IF($H104="","",IFERROR(MID($H104&amp;" ",FIND("|",SUBSTITUTE($H104&amp;" "," ","|",2))+1,FIND("|",SUBSTITUTE($H104&amp;" "," ","|",3))-FIND("|",SUBSTITUTE($H104&amp;" "," ","|",2))-1),""))</f>
        <v/>
      </c>
      <c r="E104" s="58">
        <f>IF($H104="","",IFERROR(MID($H104&amp;" ",FIND("|",SUBSTITUTE($H104&amp;" "," ","|",3))+1,FIND("|",SUBSTITUTE($H104&amp;" "," ","|",4))-FIND("|",SUBSTITUTE($H104&amp;" "," ","|",3))-1),""))</f>
        <v/>
      </c>
      <c r="F104" s="59">
        <f>IF($H104="","",IFERROR(VALUE(IFERROR(MID($H104&amp;" ",FIND("|",SUBSTITUTE($H104&amp;" "," ","|",4))+1,FIND("|",SUBSTITUTE($H104&amp;" "," ","|",5))-FIND("|",SUBSTITUTE($H104&amp;" "," ","|",4))-1),""))/86400+25569+9/24,""))</f>
        <v/>
      </c>
      <c r="G104" s="58">
        <f>TRIM(SUBSTITUTE(SUBSTITUTE(SUBSTITUTE($A104,CHAR(9)," ")," "," "),CHAR(13),""))</f>
        <v/>
      </c>
      <c r="H104" s="58">
        <f>IF($G104="","",IF(ISNUMBER(FIND(" ",$G104)),$G104,IFERROR(IF((LEN(SUBSTITUTE(SUBSTITUTE($G104,"-"," ",LEN($G104)-LEN(SUBSTITUTE($G104,"-",""))),"-"," ",LEN($G104)-LEN(SUBSTITUTE($G104,"-",""))-1))-LEN(SUBSTITUTE(SUBSTITUTE(SUBSTITUTE($G104,"-"," ",LEN($G104)-LEN(SUBSTITUTE($G104,"-",""))),"-"," ",LEN($G104)-LEN(SUBSTITUTE($G104,"-",""))-1),".","")))=0,SUBSTITUTE(SUBSTITUTE($G104,"-"," ",LEN($G104)-LEN(SUBSTITUTE($G104,"-",""))),"-"," ",LEN($G104)-LEN(SUBSTITUTE($G104,"-",""))-1),SUBSTITUTE(SUBSTITUTE(SUBSTITUTE($G104,"-"," ",LEN($G104)-LEN(SUBSTITUTE($G104,"-",""))),"-"," ",LEN($G104)-LEN(SUBSTITUTE($G104,"-",""))-1),"."," ",(LEN(SUBSTITUTE(SUBSTITUTE($G104,"-"," ",LEN($G104)-LEN(SUBSTITUTE($G104,"-",""))),"-"," ",LEN($G104)-LEN(SUBSTITUTE($G104,"-",""))-1))-LEN(SUBSTITUTE(SUBSTITUTE(SUBSTITUTE($G104,"-"," ",LEN($G104)-LEN(SUBSTITUTE($G104,"-",""))),"-"," ",LEN($G104)-LEN(SUBSTITUTE($G104,"-",""))-1),".",""))))),$G104)))</f>
        <v/>
      </c>
    </row>
    <row r="105">
      <c r="A105" s="58" t="n"/>
      <c r="B105" s="58">
        <f>IF($H105="","",LEFT($H105,FIND(" ",$H105&amp;" ")-1))</f>
        <v/>
      </c>
      <c r="C105" s="58">
        <f>IF($H105="","",IFERROR(MID($H105&amp;" ",FIND("|",SUBSTITUTE($H105&amp;" "," ","|",1))+1,FIND("|",SUBSTITUTE($H105&amp;" "," ","|",2))-FIND("|",SUBSTITUTE($H105&amp;" "," ","|",1))-1),""))</f>
        <v/>
      </c>
      <c r="D105" s="58">
        <f>IF($H105="","",IFERROR(MID($H105&amp;" ",FIND("|",SUBSTITUTE($H105&amp;" "," ","|",2))+1,FIND("|",SUBSTITUTE($H105&amp;" "," ","|",3))-FIND("|",SUBSTITUTE($H105&amp;" "," ","|",2))-1),""))</f>
        <v/>
      </c>
      <c r="E105" s="58">
        <f>IF($H105="","",IFERROR(MID($H105&amp;" ",FIND("|",SUBSTITUTE($H105&amp;" "," ","|",3))+1,FIND("|",SUBSTITUTE($H105&amp;" "," ","|",4))-FIND("|",SUBSTITUTE($H105&amp;" "," ","|",3))-1),""))</f>
        <v/>
      </c>
      <c r="F105" s="59">
        <f>IF($H105="","",IFERROR(VALUE(IFERROR(MID($H105&amp;" ",FIND("|",SUBSTITUTE($H105&amp;" "," ","|",4))+1,FIND("|",SUBSTITUTE($H105&amp;" "," ","|",5))-FIND("|",SUBSTITUTE($H105&amp;" "," ","|",4))-1),""))/86400+25569+9/24,""))</f>
        <v/>
      </c>
      <c r="G105" s="58">
        <f>TRIM(SUBSTITUTE(SUBSTITUTE(SUBSTITUTE($A105,CHAR(9)," ")," "," "),CHAR(13),""))</f>
        <v/>
      </c>
      <c r="H105" s="58">
        <f>IF($G105="","",IF(ISNUMBER(FIND(" ",$G105)),$G105,IFERROR(IF((LEN(SUBSTITUTE(SUBSTITUTE($G105,"-"," ",LEN($G105)-LEN(SUBSTITUTE($G105,"-",""))),"-"," ",LEN($G105)-LEN(SUBSTITUTE($G105,"-",""))-1))-LEN(SUBSTITUTE(SUBSTITUTE(SUBSTITUTE($G105,"-"," ",LEN($G105)-LEN(SUBSTITUTE($G105,"-",""))),"-"," ",LEN($G105)-LEN(SUBSTITUTE($G105,"-",""))-1),".","")))=0,SUBSTITUTE(SUBSTITUTE($G105,"-"," ",LEN($G105)-LEN(SUBSTITUTE($G105,"-",""))),"-"," ",LEN($G105)-LEN(SUBSTITUTE($G105,"-",""))-1),SUBSTITUTE(SUBSTITUTE(SUBSTITUTE($G105,"-"," ",LEN($G105)-LEN(SUBSTITUTE($G105,"-",""))),"-"," ",LEN($G105)-LEN(SUBSTITUTE($G105,"-",""))-1),"."," ",(LEN(SUBSTITUTE(SUBSTITUTE($G105,"-"," ",LEN($G105)-LEN(SUBSTITUTE($G105,"-",""))),"-"," ",LEN($G105)-LEN(SUBSTITUTE($G105,"-",""))-1))-LEN(SUBSTITUTE(SUBSTITUTE(SUBSTITUTE($G105,"-"," ",LEN($G105)-LEN(SUBSTITUTE($G105,"-",""))),"-"," ",LEN($G105)-LEN(SUBSTITUTE($G105,"-",""))-1),".",""))))),$G105)))</f>
        <v/>
      </c>
    </row>
    <row r="106">
      <c r="A106" s="58" t="n"/>
      <c r="B106" s="58">
        <f>IF($H106="","",LEFT($H106,FIND(" ",$H106&amp;" ")-1))</f>
        <v/>
      </c>
      <c r="C106" s="58">
        <f>IF($H106="","",IFERROR(MID($H106&amp;" ",FIND("|",SUBSTITUTE($H106&amp;" "," ","|",1))+1,FIND("|",SUBSTITUTE($H106&amp;" "," ","|",2))-FIND("|",SUBSTITUTE($H106&amp;" "," ","|",1))-1),""))</f>
        <v/>
      </c>
      <c r="D106" s="58">
        <f>IF($H106="","",IFERROR(MID($H106&amp;" ",FIND("|",SUBSTITUTE($H106&amp;" "," ","|",2))+1,FIND("|",SUBSTITUTE($H106&amp;" "," ","|",3))-FIND("|",SUBSTITUTE($H106&amp;" "," ","|",2))-1),""))</f>
        <v/>
      </c>
      <c r="E106" s="58">
        <f>IF($H106="","",IFERROR(MID($H106&amp;" ",FIND("|",SUBSTITUTE($H106&amp;" "," ","|",3))+1,FIND("|",SUBSTITUTE($H106&amp;" "," ","|",4))-FIND("|",SUBSTITUTE($H106&amp;" "," ","|",3))-1),""))</f>
        <v/>
      </c>
      <c r="F106" s="59">
        <f>IF($H106="","",IFERROR(VALUE(IFERROR(MID($H106&amp;" ",FIND("|",SUBSTITUTE($H106&amp;" "," ","|",4))+1,FIND("|",SUBSTITUTE($H106&amp;" "," ","|",5))-FIND("|",SUBSTITUTE($H106&amp;" "," ","|",4))-1),""))/86400+25569+9/24,""))</f>
        <v/>
      </c>
      <c r="G106" s="58">
        <f>TRIM(SUBSTITUTE(SUBSTITUTE(SUBSTITUTE($A106,CHAR(9)," ")," "," "),CHAR(13),""))</f>
        <v/>
      </c>
      <c r="H106" s="58">
        <f>IF($G106="","",IF(ISNUMBER(FIND(" ",$G106)),$G106,IFERROR(IF((LEN(SUBSTITUTE(SUBSTITUTE($G106,"-"," ",LEN($G106)-LEN(SUBSTITUTE($G106,"-",""))),"-"," ",LEN($G106)-LEN(SUBSTITUTE($G106,"-",""))-1))-LEN(SUBSTITUTE(SUBSTITUTE(SUBSTITUTE($G106,"-"," ",LEN($G106)-LEN(SUBSTITUTE($G106,"-",""))),"-"," ",LEN($G106)-LEN(SUBSTITUTE($G106,"-",""))-1),".","")))=0,SUBSTITUTE(SUBSTITUTE($G106,"-"," ",LEN($G106)-LEN(SUBSTITUTE($G106,"-",""))),"-"," ",LEN($G106)-LEN(SUBSTITUTE($G106,"-",""))-1),SUBSTITUTE(SUBSTITUTE(SUBSTITUTE($G106,"-"," ",LEN($G106)-LEN(SUBSTITUTE($G106,"-",""))),"-"," ",LEN($G106)-LEN(SUBSTITUTE($G106,"-",""))-1),"."," ",(LEN(SUBSTITUTE(SUBSTITUTE($G106,"-"," ",LEN($G106)-LEN(SUBSTITUTE($G106,"-",""))),"-"," ",LEN($G106)-LEN(SUBSTITUTE($G106,"-",""))-1))-LEN(SUBSTITUTE(SUBSTITUTE(SUBSTITUTE($G106,"-"," ",LEN($G106)-LEN(SUBSTITUTE($G106,"-",""))),"-"," ",LEN($G106)-LEN(SUBSTITUTE($G106,"-",""))-1),".",""))))),$G106)))</f>
        <v/>
      </c>
    </row>
    <row r="107">
      <c r="A107" s="58" t="n"/>
      <c r="B107" s="58">
        <f>IF($H107="","",LEFT($H107,FIND(" ",$H107&amp;" ")-1))</f>
        <v/>
      </c>
      <c r="C107" s="58">
        <f>IF($H107="","",IFERROR(MID($H107&amp;" ",FIND("|",SUBSTITUTE($H107&amp;" "," ","|",1))+1,FIND("|",SUBSTITUTE($H107&amp;" "," ","|",2))-FIND("|",SUBSTITUTE($H107&amp;" "," ","|",1))-1),""))</f>
        <v/>
      </c>
      <c r="D107" s="58">
        <f>IF($H107="","",IFERROR(MID($H107&amp;" ",FIND("|",SUBSTITUTE($H107&amp;" "," ","|",2))+1,FIND("|",SUBSTITUTE($H107&amp;" "," ","|",3))-FIND("|",SUBSTITUTE($H107&amp;" "," ","|",2))-1),""))</f>
        <v/>
      </c>
      <c r="E107" s="58">
        <f>IF($H107="","",IFERROR(MID($H107&amp;" ",FIND("|",SUBSTITUTE($H107&amp;" "," ","|",3))+1,FIND("|",SUBSTITUTE($H107&amp;" "," ","|",4))-FIND("|",SUBSTITUTE($H107&amp;" "," ","|",3))-1),""))</f>
        <v/>
      </c>
      <c r="F107" s="59">
        <f>IF($H107="","",IFERROR(VALUE(IFERROR(MID($H107&amp;" ",FIND("|",SUBSTITUTE($H107&amp;" "," ","|",4))+1,FIND("|",SUBSTITUTE($H107&amp;" "," ","|",5))-FIND("|",SUBSTITUTE($H107&amp;" "," ","|",4))-1),""))/86400+25569+9/24,""))</f>
        <v/>
      </c>
      <c r="G107" s="58">
        <f>TRIM(SUBSTITUTE(SUBSTITUTE(SUBSTITUTE($A107,CHAR(9)," ")," "," "),CHAR(13),""))</f>
        <v/>
      </c>
      <c r="H107" s="58">
        <f>IF($G107="","",IF(ISNUMBER(FIND(" ",$G107)),$G107,IFERROR(IF((LEN(SUBSTITUTE(SUBSTITUTE($G107,"-"," ",LEN($G107)-LEN(SUBSTITUTE($G107,"-",""))),"-"," ",LEN($G107)-LEN(SUBSTITUTE($G107,"-",""))-1))-LEN(SUBSTITUTE(SUBSTITUTE(SUBSTITUTE($G107,"-"," ",LEN($G107)-LEN(SUBSTITUTE($G107,"-",""))),"-"," ",LEN($G107)-LEN(SUBSTITUTE($G107,"-",""))-1),".","")))=0,SUBSTITUTE(SUBSTITUTE($G107,"-"," ",LEN($G107)-LEN(SUBSTITUTE($G107,"-",""))),"-"," ",LEN($G107)-LEN(SUBSTITUTE($G107,"-",""))-1),SUBSTITUTE(SUBSTITUTE(SUBSTITUTE($G107,"-"," ",LEN($G107)-LEN(SUBSTITUTE($G107,"-",""))),"-"," ",LEN($G107)-LEN(SUBSTITUTE($G107,"-",""))-1),"."," ",(LEN(SUBSTITUTE(SUBSTITUTE($G107,"-"," ",LEN($G107)-LEN(SUBSTITUTE($G107,"-",""))),"-"," ",LEN($G107)-LEN(SUBSTITUTE($G107,"-",""))-1))-LEN(SUBSTITUTE(SUBSTITUTE(SUBSTITUTE($G107,"-"," ",LEN($G107)-LEN(SUBSTITUTE($G107,"-",""))),"-"," ",LEN($G107)-LEN(SUBSTITUTE($G107,"-",""))-1),".",""))))),$G107)))</f>
        <v/>
      </c>
    </row>
    <row r="108">
      <c r="A108" s="58" t="n"/>
      <c r="B108" s="58">
        <f>IF($H108="","",LEFT($H108,FIND(" ",$H108&amp;" ")-1))</f>
        <v/>
      </c>
      <c r="C108" s="58">
        <f>IF($H108="","",IFERROR(MID($H108&amp;" ",FIND("|",SUBSTITUTE($H108&amp;" "," ","|",1))+1,FIND("|",SUBSTITUTE($H108&amp;" "," ","|",2))-FIND("|",SUBSTITUTE($H108&amp;" "," ","|",1))-1),""))</f>
        <v/>
      </c>
      <c r="D108" s="58">
        <f>IF($H108="","",IFERROR(MID($H108&amp;" ",FIND("|",SUBSTITUTE($H108&amp;" "," ","|",2))+1,FIND("|",SUBSTITUTE($H108&amp;" "," ","|",3))-FIND("|",SUBSTITUTE($H108&amp;" "," ","|",2))-1),""))</f>
        <v/>
      </c>
      <c r="E108" s="58">
        <f>IF($H108="","",IFERROR(MID($H108&amp;" ",FIND("|",SUBSTITUTE($H108&amp;" "," ","|",3))+1,FIND("|",SUBSTITUTE($H108&amp;" "," ","|",4))-FIND("|",SUBSTITUTE($H108&amp;" "," ","|",3))-1),""))</f>
        <v/>
      </c>
      <c r="F108" s="59">
        <f>IF($H108="","",IFERROR(VALUE(IFERROR(MID($H108&amp;" ",FIND("|",SUBSTITUTE($H108&amp;" "," ","|",4))+1,FIND("|",SUBSTITUTE($H108&amp;" "," ","|",5))-FIND("|",SUBSTITUTE($H108&amp;" "," ","|",4))-1),""))/86400+25569+9/24,""))</f>
        <v/>
      </c>
      <c r="G108" s="58">
        <f>TRIM(SUBSTITUTE(SUBSTITUTE(SUBSTITUTE($A108,CHAR(9)," ")," "," "),CHAR(13),""))</f>
        <v/>
      </c>
      <c r="H108" s="58">
        <f>IF($G108="","",IF(ISNUMBER(FIND(" ",$G108)),$G108,IFERROR(IF((LEN(SUBSTITUTE(SUBSTITUTE($G108,"-"," ",LEN($G108)-LEN(SUBSTITUTE($G108,"-",""))),"-"," ",LEN($G108)-LEN(SUBSTITUTE($G108,"-",""))-1))-LEN(SUBSTITUTE(SUBSTITUTE(SUBSTITUTE($G108,"-"," ",LEN($G108)-LEN(SUBSTITUTE($G108,"-",""))),"-"," ",LEN($G108)-LEN(SUBSTITUTE($G108,"-",""))-1),".","")))=0,SUBSTITUTE(SUBSTITUTE($G108,"-"," ",LEN($G108)-LEN(SUBSTITUTE($G108,"-",""))),"-"," ",LEN($G108)-LEN(SUBSTITUTE($G108,"-",""))-1),SUBSTITUTE(SUBSTITUTE(SUBSTITUTE($G108,"-"," ",LEN($G108)-LEN(SUBSTITUTE($G108,"-",""))),"-"," ",LEN($G108)-LEN(SUBSTITUTE($G108,"-",""))-1),"."," ",(LEN(SUBSTITUTE(SUBSTITUTE($G108,"-"," ",LEN($G108)-LEN(SUBSTITUTE($G108,"-",""))),"-"," ",LEN($G108)-LEN(SUBSTITUTE($G108,"-",""))-1))-LEN(SUBSTITUTE(SUBSTITUTE(SUBSTITUTE($G108,"-"," ",LEN($G108)-LEN(SUBSTITUTE($G108,"-",""))),"-"," ",LEN($G108)-LEN(SUBSTITUTE($G108,"-",""))-1),".",""))))),$G108)))</f>
        <v/>
      </c>
    </row>
    <row r="109">
      <c r="A109" s="58" t="n"/>
      <c r="B109" s="58">
        <f>IF($H109="","",LEFT($H109,FIND(" ",$H109&amp;" ")-1))</f>
        <v/>
      </c>
      <c r="C109" s="58">
        <f>IF($H109="","",IFERROR(MID($H109&amp;" ",FIND("|",SUBSTITUTE($H109&amp;" "," ","|",1))+1,FIND("|",SUBSTITUTE($H109&amp;" "," ","|",2))-FIND("|",SUBSTITUTE($H109&amp;" "," ","|",1))-1),""))</f>
        <v/>
      </c>
      <c r="D109" s="58">
        <f>IF($H109="","",IFERROR(MID($H109&amp;" ",FIND("|",SUBSTITUTE($H109&amp;" "," ","|",2))+1,FIND("|",SUBSTITUTE($H109&amp;" "," ","|",3))-FIND("|",SUBSTITUTE($H109&amp;" "," ","|",2))-1),""))</f>
        <v/>
      </c>
      <c r="E109" s="58">
        <f>IF($H109="","",IFERROR(MID($H109&amp;" ",FIND("|",SUBSTITUTE($H109&amp;" "," ","|",3))+1,FIND("|",SUBSTITUTE($H109&amp;" "," ","|",4))-FIND("|",SUBSTITUTE($H109&amp;" "," ","|",3))-1),""))</f>
        <v/>
      </c>
      <c r="F109" s="59">
        <f>IF($H109="","",IFERROR(VALUE(IFERROR(MID($H109&amp;" ",FIND("|",SUBSTITUTE($H109&amp;" "," ","|",4))+1,FIND("|",SUBSTITUTE($H109&amp;" "," ","|",5))-FIND("|",SUBSTITUTE($H109&amp;" "," ","|",4))-1),""))/86400+25569+9/24,""))</f>
        <v/>
      </c>
      <c r="G109" s="58">
        <f>TRIM(SUBSTITUTE(SUBSTITUTE(SUBSTITUTE($A109,CHAR(9)," ")," "," "),CHAR(13),""))</f>
        <v/>
      </c>
      <c r="H109" s="58">
        <f>IF($G109="","",IF(ISNUMBER(FIND(" ",$G109)),$G109,IFERROR(IF((LEN(SUBSTITUTE(SUBSTITUTE($G109,"-"," ",LEN($G109)-LEN(SUBSTITUTE($G109,"-",""))),"-"," ",LEN($G109)-LEN(SUBSTITUTE($G109,"-",""))-1))-LEN(SUBSTITUTE(SUBSTITUTE(SUBSTITUTE($G109,"-"," ",LEN($G109)-LEN(SUBSTITUTE($G109,"-",""))),"-"," ",LEN($G109)-LEN(SUBSTITUTE($G109,"-",""))-1),".","")))=0,SUBSTITUTE(SUBSTITUTE($G109,"-"," ",LEN($G109)-LEN(SUBSTITUTE($G109,"-",""))),"-"," ",LEN($G109)-LEN(SUBSTITUTE($G109,"-",""))-1),SUBSTITUTE(SUBSTITUTE(SUBSTITUTE($G109,"-"," ",LEN($G109)-LEN(SUBSTITUTE($G109,"-",""))),"-"," ",LEN($G109)-LEN(SUBSTITUTE($G109,"-",""))-1),"."," ",(LEN(SUBSTITUTE(SUBSTITUTE($G109,"-"," ",LEN($G109)-LEN(SUBSTITUTE($G109,"-",""))),"-"," ",LEN($G109)-LEN(SUBSTITUTE($G109,"-",""))-1))-LEN(SUBSTITUTE(SUBSTITUTE(SUBSTITUTE($G109,"-"," ",LEN($G109)-LEN(SUBSTITUTE($G109,"-",""))),"-"," ",LEN($G109)-LEN(SUBSTITUTE($G109,"-",""))-1),".",""))))),$G109)))</f>
        <v/>
      </c>
    </row>
    <row r="110">
      <c r="A110" s="58" t="n"/>
      <c r="B110" s="58">
        <f>IF($H110="","",LEFT($H110,FIND(" ",$H110&amp;" ")-1))</f>
        <v/>
      </c>
      <c r="C110" s="58">
        <f>IF($H110="","",IFERROR(MID($H110&amp;" ",FIND("|",SUBSTITUTE($H110&amp;" "," ","|",1))+1,FIND("|",SUBSTITUTE($H110&amp;" "," ","|",2))-FIND("|",SUBSTITUTE($H110&amp;" "," ","|",1))-1),""))</f>
        <v/>
      </c>
      <c r="D110" s="58">
        <f>IF($H110="","",IFERROR(MID($H110&amp;" ",FIND("|",SUBSTITUTE($H110&amp;" "," ","|",2))+1,FIND("|",SUBSTITUTE($H110&amp;" "," ","|",3))-FIND("|",SUBSTITUTE($H110&amp;" "," ","|",2))-1),""))</f>
        <v/>
      </c>
      <c r="E110" s="58">
        <f>IF($H110="","",IFERROR(MID($H110&amp;" ",FIND("|",SUBSTITUTE($H110&amp;" "," ","|",3))+1,FIND("|",SUBSTITUTE($H110&amp;" "," ","|",4))-FIND("|",SUBSTITUTE($H110&amp;" "," ","|",3))-1),""))</f>
        <v/>
      </c>
      <c r="F110" s="59">
        <f>IF($H110="","",IFERROR(VALUE(IFERROR(MID($H110&amp;" ",FIND("|",SUBSTITUTE($H110&amp;" "," ","|",4))+1,FIND("|",SUBSTITUTE($H110&amp;" "," ","|",5))-FIND("|",SUBSTITUTE($H110&amp;" "," ","|",4))-1),""))/86400+25569+9/24,""))</f>
        <v/>
      </c>
      <c r="G110" s="58">
        <f>TRIM(SUBSTITUTE(SUBSTITUTE(SUBSTITUTE($A110,CHAR(9)," ")," "," "),CHAR(13),""))</f>
        <v/>
      </c>
      <c r="H110" s="58">
        <f>IF($G110="","",IF(ISNUMBER(FIND(" ",$G110)),$G110,IFERROR(IF((LEN(SUBSTITUTE(SUBSTITUTE($G110,"-"," ",LEN($G110)-LEN(SUBSTITUTE($G110,"-",""))),"-"," ",LEN($G110)-LEN(SUBSTITUTE($G110,"-",""))-1))-LEN(SUBSTITUTE(SUBSTITUTE(SUBSTITUTE($G110,"-"," ",LEN($G110)-LEN(SUBSTITUTE($G110,"-",""))),"-"," ",LEN($G110)-LEN(SUBSTITUTE($G110,"-",""))-1),".","")))=0,SUBSTITUTE(SUBSTITUTE($G110,"-"," ",LEN($G110)-LEN(SUBSTITUTE($G110,"-",""))),"-"," ",LEN($G110)-LEN(SUBSTITUTE($G110,"-",""))-1),SUBSTITUTE(SUBSTITUTE(SUBSTITUTE($G110,"-"," ",LEN($G110)-LEN(SUBSTITUTE($G110,"-",""))),"-"," ",LEN($G110)-LEN(SUBSTITUTE($G110,"-",""))-1),"."," ",(LEN(SUBSTITUTE(SUBSTITUTE($G110,"-"," ",LEN($G110)-LEN(SUBSTITUTE($G110,"-",""))),"-"," ",LEN($G110)-LEN(SUBSTITUTE($G110,"-",""))-1))-LEN(SUBSTITUTE(SUBSTITUTE(SUBSTITUTE($G110,"-"," ",LEN($G110)-LEN(SUBSTITUTE($G110,"-",""))),"-"," ",LEN($G110)-LEN(SUBSTITUTE($G110,"-",""))-1),".",""))))),$G110)))</f>
        <v/>
      </c>
    </row>
    <row r="111">
      <c r="A111" s="58" t="n"/>
      <c r="B111" s="58">
        <f>IF($H111="","",LEFT($H111,FIND(" ",$H111&amp;" ")-1))</f>
        <v/>
      </c>
      <c r="C111" s="58">
        <f>IF($H111="","",IFERROR(MID($H111&amp;" ",FIND("|",SUBSTITUTE($H111&amp;" "," ","|",1))+1,FIND("|",SUBSTITUTE($H111&amp;" "," ","|",2))-FIND("|",SUBSTITUTE($H111&amp;" "," ","|",1))-1),""))</f>
        <v/>
      </c>
      <c r="D111" s="58">
        <f>IF($H111="","",IFERROR(MID($H111&amp;" ",FIND("|",SUBSTITUTE($H111&amp;" "," ","|",2))+1,FIND("|",SUBSTITUTE($H111&amp;" "," ","|",3))-FIND("|",SUBSTITUTE($H111&amp;" "," ","|",2))-1),""))</f>
        <v/>
      </c>
      <c r="E111" s="58">
        <f>IF($H111="","",IFERROR(MID($H111&amp;" ",FIND("|",SUBSTITUTE($H111&amp;" "," ","|",3))+1,FIND("|",SUBSTITUTE($H111&amp;" "," ","|",4))-FIND("|",SUBSTITUTE($H111&amp;" "," ","|",3))-1),""))</f>
        <v/>
      </c>
      <c r="F111" s="59">
        <f>IF($H111="","",IFERROR(VALUE(IFERROR(MID($H111&amp;" ",FIND("|",SUBSTITUTE($H111&amp;" "," ","|",4))+1,FIND("|",SUBSTITUTE($H111&amp;" "," ","|",5))-FIND("|",SUBSTITUTE($H111&amp;" "," ","|",4))-1),""))/86400+25569+9/24,""))</f>
        <v/>
      </c>
      <c r="G111" s="58">
        <f>TRIM(SUBSTITUTE(SUBSTITUTE(SUBSTITUTE($A111,CHAR(9)," ")," "," "),CHAR(13),""))</f>
        <v/>
      </c>
      <c r="H111" s="58">
        <f>IF($G111="","",IF(ISNUMBER(FIND(" ",$G111)),$G111,IFERROR(IF((LEN(SUBSTITUTE(SUBSTITUTE($G111,"-"," ",LEN($G111)-LEN(SUBSTITUTE($G111,"-",""))),"-"," ",LEN($G111)-LEN(SUBSTITUTE($G111,"-",""))-1))-LEN(SUBSTITUTE(SUBSTITUTE(SUBSTITUTE($G111,"-"," ",LEN($G111)-LEN(SUBSTITUTE($G111,"-",""))),"-"," ",LEN($G111)-LEN(SUBSTITUTE($G111,"-",""))-1),".","")))=0,SUBSTITUTE(SUBSTITUTE($G111,"-"," ",LEN($G111)-LEN(SUBSTITUTE($G111,"-",""))),"-"," ",LEN($G111)-LEN(SUBSTITUTE($G111,"-",""))-1),SUBSTITUTE(SUBSTITUTE(SUBSTITUTE($G111,"-"," ",LEN($G111)-LEN(SUBSTITUTE($G111,"-",""))),"-"," ",LEN($G111)-LEN(SUBSTITUTE($G111,"-",""))-1),"."," ",(LEN(SUBSTITUTE(SUBSTITUTE($G111,"-"," ",LEN($G111)-LEN(SUBSTITUTE($G111,"-",""))),"-"," ",LEN($G111)-LEN(SUBSTITUTE($G111,"-",""))-1))-LEN(SUBSTITUTE(SUBSTITUTE(SUBSTITUTE($G111,"-"," ",LEN($G111)-LEN(SUBSTITUTE($G111,"-",""))),"-"," ",LEN($G111)-LEN(SUBSTITUTE($G111,"-",""))-1),".",""))))),$G111)))</f>
        <v/>
      </c>
    </row>
    <row r="112">
      <c r="A112" s="58" t="n"/>
      <c r="B112" s="58">
        <f>IF($H112="","",LEFT($H112,FIND(" ",$H112&amp;" ")-1))</f>
        <v/>
      </c>
      <c r="C112" s="58">
        <f>IF($H112="","",IFERROR(MID($H112&amp;" ",FIND("|",SUBSTITUTE($H112&amp;" "," ","|",1))+1,FIND("|",SUBSTITUTE($H112&amp;" "," ","|",2))-FIND("|",SUBSTITUTE($H112&amp;" "," ","|",1))-1),""))</f>
        <v/>
      </c>
      <c r="D112" s="58">
        <f>IF($H112="","",IFERROR(MID($H112&amp;" ",FIND("|",SUBSTITUTE($H112&amp;" "," ","|",2))+1,FIND("|",SUBSTITUTE($H112&amp;" "," ","|",3))-FIND("|",SUBSTITUTE($H112&amp;" "," ","|",2))-1),""))</f>
        <v/>
      </c>
      <c r="E112" s="58">
        <f>IF($H112="","",IFERROR(MID($H112&amp;" ",FIND("|",SUBSTITUTE($H112&amp;" "," ","|",3))+1,FIND("|",SUBSTITUTE($H112&amp;" "," ","|",4))-FIND("|",SUBSTITUTE($H112&amp;" "," ","|",3))-1),""))</f>
        <v/>
      </c>
      <c r="F112" s="59">
        <f>IF($H112="","",IFERROR(VALUE(IFERROR(MID($H112&amp;" ",FIND("|",SUBSTITUTE($H112&amp;" "," ","|",4))+1,FIND("|",SUBSTITUTE($H112&amp;" "," ","|",5))-FIND("|",SUBSTITUTE($H112&amp;" "," ","|",4))-1),""))/86400+25569+9/24,""))</f>
        <v/>
      </c>
      <c r="G112" s="58">
        <f>TRIM(SUBSTITUTE(SUBSTITUTE(SUBSTITUTE($A112,CHAR(9)," ")," "," "),CHAR(13),""))</f>
        <v/>
      </c>
      <c r="H112" s="58">
        <f>IF($G112="","",IF(ISNUMBER(FIND(" ",$G112)),$G112,IFERROR(IF((LEN(SUBSTITUTE(SUBSTITUTE($G112,"-"," ",LEN($G112)-LEN(SUBSTITUTE($G112,"-",""))),"-"," ",LEN($G112)-LEN(SUBSTITUTE($G112,"-",""))-1))-LEN(SUBSTITUTE(SUBSTITUTE(SUBSTITUTE($G112,"-"," ",LEN($G112)-LEN(SUBSTITUTE($G112,"-",""))),"-"," ",LEN($G112)-LEN(SUBSTITUTE($G112,"-",""))-1),".","")))=0,SUBSTITUTE(SUBSTITUTE($G112,"-"," ",LEN($G112)-LEN(SUBSTITUTE($G112,"-",""))),"-"," ",LEN($G112)-LEN(SUBSTITUTE($G112,"-",""))-1),SUBSTITUTE(SUBSTITUTE(SUBSTITUTE($G112,"-"," ",LEN($G112)-LEN(SUBSTITUTE($G112,"-",""))),"-"," ",LEN($G112)-LEN(SUBSTITUTE($G112,"-",""))-1),"."," ",(LEN(SUBSTITUTE(SUBSTITUTE($G112,"-"," ",LEN($G112)-LEN(SUBSTITUTE($G112,"-",""))),"-"," ",LEN($G112)-LEN(SUBSTITUTE($G112,"-",""))-1))-LEN(SUBSTITUTE(SUBSTITUTE(SUBSTITUTE($G112,"-"," ",LEN($G112)-LEN(SUBSTITUTE($G112,"-",""))),"-"," ",LEN($G112)-LEN(SUBSTITUTE($G112,"-",""))-1),".",""))))),$G112)))</f>
        <v/>
      </c>
    </row>
    <row r="113">
      <c r="A113" s="58" t="n"/>
      <c r="B113" s="58">
        <f>IF($H113="","",LEFT($H113,FIND(" ",$H113&amp;" ")-1))</f>
        <v/>
      </c>
      <c r="C113" s="58">
        <f>IF($H113="","",IFERROR(MID($H113&amp;" ",FIND("|",SUBSTITUTE($H113&amp;" "," ","|",1))+1,FIND("|",SUBSTITUTE($H113&amp;" "," ","|",2))-FIND("|",SUBSTITUTE($H113&amp;" "," ","|",1))-1),""))</f>
        <v/>
      </c>
      <c r="D113" s="58">
        <f>IF($H113="","",IFERROR(MID($H113&amp;" ",FIND("|",SUBSTITUTE($H113&amp;" "," ","|",2))+1,FIND("|",SUBSTITUTE($H113&amp;" "," ","|",3))-FIND("|",SUBSTITUTE($H113&amp;" "," ","|",2))-1),""))</f>
        <v/>
      </c>
      <c r="E113" s="58">
        <f>IF($H113="","",IFERROR(MID($H113&amp;" ",FIND("|",SUBSTITUTE($H113&amp;" "," ","|",3))+1,FIND("|",SUBSTITUTE($H113&amp;" "," ","|",4))-FIND("|",SUBSTITUTE($H113&amp;" "," ","|",3))-1),""))</f>
        <v/>
      </c>
      <c r="F113" s="59">
        <f>IF($H113="","",IFERROR(VALUE(IFERROR(MID($H113&amp;" ",FIND("|",SUBSTITUTE($H113&amp;" "," ","|",4))+1,FIND("|",SUBSTITUTE($H113&amp;" "," ","|",5))-FIND("|",SUBSTITUTE($H113&amp;" "," ","|",4))-1),""))/86400+25569+9/24,""))</f>
        <v/>
      </c>
      <c r="G113" s="58">
        <f>TRIM(SUBSTITUTE(SUBSTITUTE(SUBSTITUTE($A113,CHAR(9)," ")," "," "),CHAR(13),""))</f>
        <v/>
      </c>
      <c r="H113" s="58">
        <f>IF($G113="","",IF(ISNUMBER(FIND(" ",$G113)),$G113,IFERROR(IF((LEN(SUBSTITUTE(SUBSTITUTE($G113,"-"," ",LEN($G113)-LEN(SUBSTITUTE($G113,"-",""))),"-"," ",LEN($G113)-LEN(SUBSTITUTE($G113,"-",""))-1))-LEN(SUBSTITUTE(SUBSTITUTE(SUBSTITUTE($G113,"-"," ",LEN($G113)-LEN(SUBSTITUTE($G113,"-",""))),"-"," ",LEN($G113)-LEN(SUBSTITUTE($G113,"-",""))-1),".","")))=0,SUBSTITUTE(SUBSTITUTE($G113,"-"," ",LEN($G113)-LEN(SUBSTITUTE($G113,"-",""))),"-"," ",LEN($G113)-LEN(SUBSTITUTE($G113,"-",""))-1),SUBSTITUTE(SUBSTITUTE(SUBSTITUTE($G113,"-"," ",LEN($G113)-LEN(SUBSTITUTE($G113,"-",""))),"-"," ",LEN($G113)-LEN(SUBSTITUTE($G113,"-",""))-1),"."," ",(LEN(SUBSTITUTE(SUBSTITUTE($G113,"-"," ",LEN($G113)-LEN(SUBSTITUTE($G113,"-",""))),"-"," ",LEN($G113)-LEN(SUBSTITUTE($G113,"-",""))-1))-LEN(SUBSTITUTE(SUBSTITUTE(SUBSTITUTE($G113,"-"," ",LEN($G113)-LEN(SUBSTITUTE($G113,"-",""))),"-"," ",LEN($G113)-LEN(SUBSTITUTE($G113,"-",""))-1),".",""))))),$G113)))</f>
        <v/>
      </c>
    </row>
    <row r="114">
      <c r="A114" s="58" t="n"/>
      <c r="B114" s="58">
        <f>IF($H114="","",LEFT($H114,FIND(" ",$H114&amp;" ")-1))</f>
        <v/>
      </c>
      <c r="C114" s="58">
        <f>IF($H114="","",IFERROR(MID($H114&amp;" ",FIND("|",SUBSTITUTE($H114&amp;" "," ","|",1))+1,FIND("|",SUBSTITUTE($H114&amp;" "," ","|",2))-FIND("|",SUBSTITUTE($H114&amp;" "," ","|",1))-1),""))</f>
        <v/>
      </c>
      <c r="D114" s="58">
        <f>IF($H114="","",IFERROR(MID($H114&amp;" ",FIND("|",SUBSTITUTE($H114&amp;" "," ","|",2))+1,FIND("|",SUBSTITUTE($H114&amp;" "," ","|",3))-FIND("|",SUBSTITUTE($H114&amp;" "," ","|",2))-1),""))</f>
        <v/>
      </c>
      <c r="E114" s="58">
        <f>IF($H114="","",IFERROR(MID($H114&amp;" ",FIND("|",SUBSTITUTE($H114&amp;" "," ","|",3))+1,FIND("|",SUBSTITUTE($H114&amp;" "," ","|",4))-FIND("|",SUBSTITUTE($H114&amp;" "," ","|",3))-1),""))</f>
        <v/>
      </c>
      <c r="F114" s="59">
        <f>IF($H114="","",IFERROR(VALUE(IFERROR(MID($H114&amp;" ",FIND("|",SUBSTITUTE($H114&amp;" "," ","|",4))+1,FIND("|",SUBSTITUTE($H114&amp;" "," ","|",5))-FIND("|",SUBSTITUTE($H114&amp;" "," ","|",4))-1),""))/86400+25569+9/24,""))</f>
        <v/>
      </c>
      <c r="G114" s="58">
        <f>TRIM(SUBSTITUTE(SUBSTITUTE(SUBSTITUTE($A114,CHAR(9)," ")," "," "),CHAR(13),""))</f>
        <v/>
      </c>
      <c r="H114" s="58">
        <f>IF($G114="","",IF(ISNUMBER(FIND(" ",$G114)),$G114,IFERROR(IF((LEN(SUBSTITUTE(SUBSTITUTE($G114,"-"," ",LEN($G114)-LEN(SUBSTITUTE($G114,"-",""))),"-"," ",LEN($G114)-LEN(SUBSTITUTE($G114,"-",""))-1))-LEN(SUBSTITUTE(SUBSTITUTE(SUBSTITUTE($G114,"-"," ",LEN($G114)-LEN(SUBSTITUTE($G114,"-",""))),"-"," ",LEN($G114)-LEN(SUBSTITUTE($G114,"-",""))-1),".","")))=0,SUBSTITUTE(SUBSTITUTE($G114,"-"," ",LEN($G114)-LEN(SUBSTITUTE($G114,"-",""))),"-"," ",LEN($G114)-LEN(SUBSTITUTE($G114,"-",""))-1),SUBSTITUTE(SUBSTITUTE(SUBSTITUTE($G114,"-"," ",LEN($G114)-LEN(SUBSTITUTE($G114,"-",""))),"-"," ",LEN($G114)-LEN(SUBSTITUTE($G114,"-",""))-1),"."," ",(LEN(SUBSTITUTE(SUBSTITUTE($G114,"-"," ",LEN($G114)-LEN(SUBSTITUTE($G114,"-",""))),"-"," ",LEN($G114)-LEN(SUBSTITUTE($G114,"-",""))-1))-LEN(SUBSTITUTE(SUBSTITUTE(SUBSTITUTE($G114,"-"," ",LEN($G114)-LEN(SUBSTITUTE($G114,"-",""))),"-"," ",LEN($G114)-LEN(SUBSTITUTE($G114,"-",""))-1),".",""))))),$G114)))</f>
        <v/>
      </c>
    </row>
    <row r="115">
      <c r="A115" s="58" t="n"/>
      <c r="B115" s="58">
        <f>IF($H115="","",LEFT($H115,FIND(" ",$H115&amp;" ")-1))</f>
        <v/>
      </c>
      <c r="C115" s="58">
        <f>IF($H115="","",IFERROR(MID($H115&amp;" ",FIND("|",SUBSTITUTE($H115&amp;" "," ","|",1))+1,FIND("|",SUBSTITUTE($H115&amp;" "," ","|",2))-FIND("|",SUBSTITUTE($H115&amp;" "," ","|",1))-1),""))</f>
        <v/>
      </c>
      <c r="D115" s="58">
        <f>IF($H115="","",IFERROR(MID($H115&amp;" ",FIND("|",SUBSTITUTE($H115&amp;" "," ","|",2))+1,FIND("|",SUBSTITUTE($H115&amp;" "," ","|",3))-FIND("|",SUBSTITUTE($H115&amp;" "," ","|",2))-1),""))</f>
        <v/>
      </c>
      <c r="E115" s="58">
        <f>IF($H115="","",IFERROR(MID($H115&amp;" ",FIND("|",SUBSTITUTE($H115&amp;" "," ","|",3))+1,FIND("|",SUBSTITUTE($H115&amp;" "," ","|",4))-FIND("|",SUBSTITUTE($H115&amp;" "," ","|",3))-1),""))</f>
        <v/>
      </c>
      <c r="F115" s="59">
        <f>IF($H115="","",IFERROR(VALUE(IFERROR(MID($H115&amp;" ",FIND("|",SUBSTITUTE($H115&amp;" "," ","|",4))+1,FIND("|",SUBSTITUTE($H115&amp;" "," ","|",5))-FIND("|",SUBSTITUTE($H115&amp;" "," ","|",4))-1),""))/86400+25569+9/24,""))</f>
        <v/>
      </c>
      <c r="G115" s="58">
        <f>TRIM(SUBSTITUTE(SUBSTITUTE(SUBSTITUTE($A115,CHAR(9)," ")," "," "),CHAR(13),""))</f>
        <v/>
      </c>
      <c r="H115" s="58">
        <f>IF($G115="","",IF(ISNUMBER(FIND(" ",$G115)),$G115,IFERROR(IF((LEN(SUBSTITUTE(SUBSTITUTE($G115,"-"," ",LEN($G115)-LEN(SUBSTITUTE($G115,"-",""))),"-"," ",LEN($G115)-LEN(SUBSTITUTE($G115,"-",""))-1))-LEN(SUBSTITUTE(SUBSTITUTE(SUBSTITUTE($G115,"-"," ",LEN($G115)-LEN(SUBSTITUTE($G115,"-",""))),"-"," ",LEN($G115)-LEN(SUBSTITUTE($G115,"-",""))-1),".","")))=0,SUBSTITUTE(SUBSTITUTE($G115,"-"," ",LEN($G115)-LEN(SUBSTITUTE($G115,"-",""))),"-"," ",LEN($G115)-LEN(SUBSTITUTE($G115,"-",""))-1),SUBSTITUTE(SUBSTITUTE(SUBSTITUTE($G115,"-"," ",LEN($G115)-LEN(SUBSTITUTE($G115,"-",""))),"-"," ",LEN($G115)-LEN(SUBSTITUTE($G115,"-",""))-1),"."," ",(LEN(SUBSTITUTE(SUBSTITUTE($G115,"-"," ",LEN($G115)-LEN(SUBSTITUTE($G115,"-",""))),"-"," ",LEN($G115)-LEN(SUBSTITUTE($G115,"-",""))-1))-LEN(SUBSTITUTE(SUBSTITUTE(SUBSTITUTE($G115,"-"," ",LEN($G115)-LEN(SUBSTITUTE($G115,"-",""))),"-"," ",LEN($G115)-LEN(SUBSTITUTE($G115,"-",""))-1),".",""))))),$G115)))</f>
        <v/>
      </c>
    </row>
    <row r="116">
      <c r="A116" s="58" t="n"/>
      <c r="B116" s="58">
        <f>IF($H116="","",LEFT($H116,FIND(" ",$H116&amp;" ")-1))</f>
        <v/>
      </c>
      <c r="C116" s="58">
        <f>IF($H116="","",IFERROR(MID($H116&amp;" ",FIND("|",SUBSTITUTE($H116&amp;" "," ","|",1))+1,FIND("|",SUBSTITUTE($H116&amp;" "," ","|",2))-FIND("|",SUBSTITUTE($H116&amp;" "," ","|",1))-1),""))</f>
        <v/>
      </c>
      <c r="D116" s="58">
        <f>IF($H116="","",IFERROR(MID($H116&amp;" ",FIND("|",SUBSTITUTE($H116&amp;" "," ","|",2))+1,FIND("|",SUBSTITUTE($H116&amp;" "," ","|",3))-FIND("|",SUBSTITUTE($H116&amp;" "," ","|",2))-1),""))</f>
        <v/>
      </c>
      <c r="E116" s="58">
        <f>IF($H116="","",IFERROR(MID($H116&amp;" ",FIND("|",SUBSTITUTE($H116&amp;" "," ","|",3))+1,FIND("|",SUBSTITUTE($H116&amp;" "," ","|",4))-FIND("|",SUBSTITUTE($H116&amp;" "," ","|",3))-1),""))</f>
        <v/>
      </c>
      <c r="F116" s="59">
        <f>IF($H116="","",IFERROR(VALUE(IFERROR(MID($H116&amp;" ",FIND("|",SUBSTITUTE($H116&amp;" "," ","|",4))+1,FIND("|",SUBSTITUTE($H116&amp;" "," ","|",5))-FIND("|",SUBSTITUTE($H116&amp;" "," ","|",4))-1),""))/86400+25569+9/24,""))</f>
        <v/>
      </c>
      <c r="G116" s="58">
        <f>TRIM(SUBSTITUTE(SUBSTITUTE(SUBSTITUTE($A116,CHAR(9)," ")," "," "),CHAR(13),""))</f>
        <v/>
      </c>
      <c r="H116" s="58">
        <f>IF($G116="","",IF(ISNUMBER(FIND(" ",$G116)),$G116,IFERROR(IF((LEN(SUBSTITUTE(SUBSTITUTE($G116,"-"," ",LEN($G116)-LEN(SUBSTITUTE($G116,"-",""))),"-"," ",LEN($G116)-LEN(SUBSTITUTE($G116,"-",""))-1))-LEN(SUBSTITUTE(SUBSTITUTE(SUBSTITUTE($G116,"-"," ",LEN($G116)-LEN(SUBSTITUTE($G116,"-",""))),"-"," ",LEN($G116)-LEN(SUBSTITUTE($G116,"-",""))-1),".","")))=0,SUBSTITUTE(SUBSTITUTE($G116,"-"," ",LEN($G116)-LEN(SUBSTITUTE($G116,"-",""))),"-"," ",LEN($G116)-LEN(SUBSTITUTE($G116,"-",""))-1),SUBSTITUTE(SUBSTITUTE(SUBSTITUTE($G116,"-"," ",LEN($G116)-LEN(SUBSTITUTE($G116,"-",""))),"-"," ",LEN($G116)-LEN(SUBSTITUTE($G116,"-",""))-1),"."," ",(LEN(SUBSTITUTE(SUBSTITUTE($G116,"-"," ",LEN($G116)-LEN(SUBSTITUTE($G116,"-",""))),"-"," ",LEN($G116)-LEN(SUBSTITUTE($G116,"-",""))-1))-LEN(SUBSTITUTE(SUBSTITUTE(SUBSTITUTE($G116,"-"," ",LEN($G116)-LEN(SUBSTITUTE($G116,"-",""))),"-"," ",LEN($G116)-LEN(SUBSTITUTE($G116,"-",""))-1),".",""))))),$G116)))</f>
        <v/>
      </c>
    </row>
    <row r="117">
      <c r="A117" s="58" t="n"/>
      <c r="B117" s="58">
        <f>IF($H117="","",LEFT($H117,FIND(" ",$H117&amp;" ")-1))</f>
        <v/>
      </c>
      <c r="C117" s="58">
        <f>IF($H117="","",IFERROR(MID($H117&amp;" ",FIND("|",SUBSTITUTE($H117&amp;" "," ","|",1))+1,FIND("|",SUBSTITUTE($H117&amp;" "," ","|",2))-FIND("|",SUBSTITUTE($H117&amp;" "," ","|",1))-1),""))</f>
        <v/>
      </c>
      <c r="D117" s="58">
        <f>IF($H117="","",IFERROR(MID($H117&amp;" ",FIND("|",SUBSTITUTE($H117&amp;" "," ","|",2))+1,FIND("|",SUBSTITUTE($H117&amp;" "," ","|",3))-FIND("|",SUBSTITUTE($H117&amp;" "," ","|",2))-1),""))</f>
        <v/>
      </c>
      <c r="E117" s="58">
        <f>IF($H117="","",IFERROR(MID($H117&amp;" ",FIND("|",SUBSTITUTE($H117&amp;" "," ","|",3))+1,FIND("|",SUBSTITUTE($H117&amp;" "," ","|",4))-FIND("|",SUBSTITUTE($H117&amp;" "," ","|",3))-1),""))</f>
        <v/>
      </c>
      <c r="F117" s="59">
        <f>IF($H117="","",IFERROR(VALUE(IFERROR(MID($H117&amp;" ",FIND("|",SUBSTITUTE($H117&amp;" "," ","|",4))+1,FIND("|",SUBSTITUTE($H117&amp;" "," ","|",5))-FIND("|",SUBSTITUTE($H117&amp;" "," ","|",4))-1),""))/86400+25569+9/24,""))</f>
        <v/>
      </c>
      <c r="G117" s="58">
        <f>TRIM(SUBSTITUTE(SUBSTITUTE(SUBSTITUTE($A117,CHAR(9)," ")," "," "),CHAR(13),""))</f>
        <v/>
      </c>
      <c r="H117" s="58">
        <f>IF($G117="","",IF(ISNUMBER(FIND(" ",$G117)),$G117,IFERROR(IF((LEN(SUBSTITUTE(SUBSTITUTE($G117,"-"," ",LEN($G117)-LEN(SUBSTITUTE($G117,"-",""))),"-"," ",LEN($G117)-LEN(SUBSTITUTE($G117,"-",""))-1))-LEN(SUBSTITUTE(SUBSTITUTE(SUBSTITUTE($G117,"-"," ",LEN($G117)-LEN(SUBSTITUTE($G117,"-",""))),"-"," ",LEN($G117)-LEN(SUBSTITUTE($G117,"-",""))-1),".","")))=0,SUBSTITUTE(SUBSTITUTE($G117,"-"," ",LEN($G117)-LEN(SUBSTITUTE($G117,"-",""))),"-"," ",LEN($G117)-LEN(SUBSTITUTE($G117,"-",""))-1),SUBSTITUTE(SUBSTITUTE(SUBSTITUTE($G117,"-"," ",LEN($G117)-LEN(SUBSTITUTE($G117,"-",""))),"-"," ",LEN($G117)-LEN(SUBSTITUTE($G117,"-",""))-1),"."," ",(LEN(SUBSTITUTE(SUBSTITUTE($G117,"-"," ",LEN($G117)-LEN(SUBSTITUTE($G117,"-",""))),"-"," ",LEN($G117)-LEN(SUBSTITUTE($G117,"-",""))-1))-LEN(SUBSTITUTE(SUBSTITUTE(SUBSTITUTE($G117,"-"," ",LEN($G117)-LEN(SUBSTITUTE($G117,"-",""))),"-"," ",LEN($G117)-LEN(SUBSTITUTE($G117,"-",""))-1),".",""))))),$G117)))</f>
        <v/>
      </c>
    </row>
    <row r="118">
      <c r="A118" s="58" t="n"/>
      <c r="B118" s="58">
        <f>IF($H118="","",LEFT($H118,FIND(" ",$H118&amp;" ")-1))</f>
        <v/>
      </c>
      <c r="C118" s="58">
        <f>IF($H118="","",IFERROR(MID($H118&amp;" ",FIND("|",SUBSTITUTE($H118&amp;" "," ","|",1))+1,FIND("|",SUBSTITUTE($H118&amp;" "," ","|",2))-FIND("|",SUBSTITUTE($H118&amp;" "," ","|",1))-1),""))</f>
        <v/>
      </c>
      <c r="D118" s="58">
        <f>IF($H118="","",IFERROR(MID($H118&amp;" ",FIND("|",SUBSTITUTE($H118&amp;" "," ","|",2))+1,FIND("|",SUBSTITUTE($H118&amp;" "," ","|",3))-FIND("|",SUBSTITUTE($H118&amp;" "," ","|",2))-1),""))</f>
        <v/>
      </c>
      <c r="E118" s="58">
        <f>IF($H118="","",IFERROR(MID($H118&amp;" ",FIND("|",SUBSTITUTE($H118&amp;" "," ","|",3))+1,FIND("|",SUBSTITUTE($H118&amp;" "," ","|",4))-FIND("|",SUBSTITUTE($H118&amp;" "," ","|",3))-1),""))</f>
        <v/>
      </c>
      <c r="F118" s="59">
        <f>IF($H118="","",IFERROR(VALUE(IFERROR(MID($H118&amp;" ",FIND("|",SUBSTITUTE($H118&amp;" "," ","|",4))+1,FIND("|",SUBSTITUTE($H118&amp;" "," ","|",5))-FIND("|",SUBSTITUTE($H118&amp;" "," ","|",4))-1),""))/86400+25569+9/24,""))</f>
        <v/>
      </c>
      <c r="G118" s="58">
        <f>TRIM(SUBSTITUTE(SUBSTITUTE(SUBSTITUTE($A118,CHAR(9)," ")," "," "),CHAR(13),""))</f>
        <v/>
      </c>
      <c r="H118" s="58">
        <f>IF($G118="","",IF(ISNUMBER(FIND(" ",$G118)),$G118,IFERROR(IF((LEN(SUBSTITUTE(SUBSTITUTE($G118,"-"," ",LEN($G118)-LEN(SUBSTITUTE($G118,"-",""))),"-"," ",LEN($G118)-LEN(SUBSTITUTE($G118,"-",""))-1))-LEN(SUBSTITUTE(SUBSTITUTE(SUBSTITUTE($G118,"-"," ",LEN($G118)-LEN(SUBSTITUTE($G118,"-",""))),"-"," ",LEN($G118)-LEN(SUBSTITUTE($G118,"-",""))-1),".","")))=0,SUBSTITUTE(SUBSTITUTE($G118,"-"," ",LEN($G118)-LEN(SUBSTITUTE($G118,"-",""))),"-"," ",LEN($G118)-LEN(SUBSTITUTE($G118,"-",""))-1),SUBSTITUTE(SUBSTITUTE(SUBSTITUTE($G118,"-"," ",LEN($G118)-LEN(SUBSTITUTE($G118,"-",""))),"-"," ",LEN($G118)-LEN(SUBSTITUTE($G118,"-",""))-1),"."," ",(LEN(SUBSTITUTE(SUBSTITUTE($G118,"-"," ",LEN($G118)-LEN(SUBSTITUTE($G118,"-",""))),"-"," ",LEN($G118)-LEN(SUBSTITUTE($G118,"-",""))-1))-LEN(SUBSTITUTE(SUBSTITUTE(SUBSTITUTE($G118,"-"," ",LEN($G118)-LEN(SUBSTITUTE($G118,"-",""))),"-"," ",LEN($G118)-LEN(SUBSTITUTE($G118,"-",""))-1),".",""))))),$G118)))</f>
        <v/>
      </c>
    </row>
    <row r="119">
      <c r="A119" s="58" t="n"/>
      <c r="B119" s="58">
        <f>IF($H119="","",LEFT($H119,FIND(" ",$H119&amp;" ")-1))</f>
        <v/>
      </c>
      <c r="C119" s="58">
        <f>IF($H119="","",IFERROR(MID($H119&amp;" ",FIND("|",SUBSTITUTE($H119&amp;" "," ","|",1))+1,FIND("|",SUBSTITUTE($H119&amp;" "," ","|",2))-FIND("|",SUBSTITUTE($H119&amp;" "," ","|",1))-1),""))</f>
        <v/>
      </c>
      <c r="D119" s="58">
        <f>IF($H119="","",IFERROR(MID($H119&amp;" ",FIND("|",SUBSTITUTE($H119&amp;" "," ","|",2))+1,FIND("|",SUBSTITUTE($H119&amp;" "," ","|",3))-FIND("|",SUBSTITUTE($H119&amp;" "," ","|",2))-1),""))</f>
        <v/>
      </c>
      <c r="E119" s="58">
        <f>IF($H119="","",IFERROR(MID($H119&amp;" ",FIND("|",SUBSTITUTE($H119&amp;" "," ","|",3))+1,FIND("|",SUBSTITUTE($H119&amp;" "," ","|",4))-FIND("|",SUBSTITUTE($H119&amp;" "," ","|",3))-1),""))</f>
        <v/>
      </c>
      <c r="F119" s="59">
        <f>IF($H119="","",IFERROR(VALUE(IFERROR(MID($H119&amp;" ",FIND("|",SUBSTITUTE($H119&amp;" "," ","|",4))+1,FIND("|",SUBSTITUTE($H119&amp;" "," ","|",5))-FIND("|",SUBSTITUTE($H119&amp;" "," ","|",4))-1),""))/86400+25569+9/24,""))</f>
        <v/>
      </c>
      <c r="G119" s="58">
        <f>TRIM(SUBSTITUTE(SUBSTITUTE(SUBSTITUTE($A119,CHAR(9)," ")," "," "),CHAR(13),""))</f>
        <v/>
      </c>
      <c r="H119" s="58">
        <f>IF($G119="","",IF(ISNUMBER(FIND(" ",$G119)),$G119,IFERROR(IF((LEN(SUBSTITUTE(SUBSTITUTE($G119,"-"," ",LEN($G119)-LEN(SUBSTITUTE($G119,"-",""))),"-"," ",LEN($G119)-LEN(SUBSTITUTE($G119,"-",""))-1))-LEN(SUBSTITUTE(SUBSTITUTE(SUBSTITUTE($G119,"-"," ",LEN($G119)-LEN(SUBSTITUTE($G119,"-",""))),"-"," ",LEN($G119)-LEN(SUBSTITUTE($G119,"-",""))-1),".","")))=0,SUBSTITUTE(SUBSTITUTE($G119,"-"," ",LEN($G119)-LEN(SUBSTITUTE($G119,"-",""))),"-"," ",LEN($G119)-LEN(SUBSTITUTE($G119,"-",""))-1),SUBSTITUTE(SUBSTITUTE(SUBSTITUTE($G119,"-"," ",LEN($G119)-LEN(SUBSTITUTE($G119,"-",""))),"-"," ",LEN($G119)-LEN(SUBSTITUTE($G119,"-",""))-1),"."," ",(LEN(SUBSTITUTE(SUBSTITUTE($G119,"-"," ",LEN($G119)-LEN(SUBSTITUTE($G119,"-",""))),"-"," ",LEN($G119)-LEN(SUBSTITUTE($G119,"-",""))-1))-LEN(SUBSTITUTE(SUBSTITUTE(SUBSTITUTE($G119,"-"," ",LEN($G119)-LEN(SUBSTITUTE($G119,"-",""))),"-"," ",LEN($G119)-LEN(SUBSTITUTE($G119,"-",""))-1),".",""))))),$G119)))</f>
        <v/>
      </c>
    </row>
    <row r="120">
      <c r="A120" s="58" t="n"/>
      <c r="B120" s="58">
        <f>IF($H120="","",LEFT($H120,FIND(" ",$H120&amp;" ")-1))</f>
        <v/>
      </c>
      <c r="C120" s="58">
        <f>IF($H120="","",IFERROR(MID($H120&amp;" ",FIND("|",SUBSTITUTE($H120&amp;" "," ","|",1))+1,FIND("|",SUBSTITUTE($H120&amp;" "," ","|",2))-FIND("|",SUBSTITUTE($H120&amp;" "," ","|",1))-1),""))</f>
        <v/>
      </c>
      <c r="D120" s="58">
        <f>IF($H120="","",IFERROR(MID($H120&amp;" ",FIND("|",SUBSTITUTE($H120&amp;" "," ","|",2))+1,FIND("|",SUBSTITUTE($H120&amp;" "," ","|",3))-FIND("|",SUBSTITUTE($H120&amp;" "," ","|",2))-1),""))</f>
        <v/>
      </c>
      <c r="E120" s="58">
        <f>IF($H120="","",IFERROR(MID($H120&amp;" ",FIND("|",SUBSTITUTE($H120&amp;" "," ","|",3))+1,FIND("|",SUBSTITUTE($H120&amp;" "," ","|",4))-FIND("|",SUBSTITUTE($H120&amp;" "," ","|",3))-1),""))</f>
        <v/>
      </c>
      <c r="F120" s="59">
        <f>IF($H120="","",IFERROR(VALUE(IFERROR(MID($H120&amp;" ",FIND("|",SUBSTITUTE($H120&amp;" "," ","|",4))+1,FIND("|",SUBSTITUTE($H120&amp;" "," ","|",5))-FIND("|",SUBSTITUTE($H120&amp;" "," ","|",4))-1),""))/86400+25569+9/24,""))</f>
        <v/>
      </c>
      <c r="G120" s="58">
        <f>TRIM(SUBSTITUTE(SUBSTITUTE(SUBSTITUTE($A120,CHAR(9)," ")," "," "),CHAR(13),""))</f>
        <v/>
      </c>
      <c r="H120" s="58">
        <f>IF($G120="","",IF(ISNUMBER(FIND(" ",$G120)),$G120,IFERROR(IF((LEN(SUBSTITUTE(SUBSTITUTE($G120,"-"," ",LEN($G120)-LEN(SUBSTITUTE($G120,"-",""))),"-"," ",LEN($G120)-LEN(SUBSTITUTE($G120,"-",""))-1))-LEN(SUBSTITUTE(SUBSTITUTE(SUBSTITUTE($G120,"-"," ",LEN($G120)-LEN(SUBSTITUTE($G120,"-",""))),"-"," ",LEN($G120)-LEN(SUBSTITUTE($G120,"-",""))-1),".","")))=0,SUBSTITUTE(SUBSTITUTE($G120,"-"," ",LEN($G120)-LEN(SUBSTITUTE($G120,"-",""))),"-"," ",LEN($G120)-LEN(SUBSTITUTE($G120,"-",""))-1),SUBSTITUTE(SUBSTITUTE(SUBSTITUTE($G120,"-"," ",LEN($G120)-LEN(SUBSTITUTE($G120,"-",""))),"-"," ",LEN($G120)-LEN(SUBSTITUTE($G120,"-",""))-1),"."," ",(LEN(SUBSTITUTE(SUBSTITUTE($G120,"-"," ",LEN($G120)-LEN(SUBSTITUTE($G120,"-",""))),"-"," ",LEN($G120)-LEN(SUBSTITUTE($G120,"-",""))-1))-LEN(SUBSTITUTE(SUBSTITUTE(SUBSTITUTE($G120,"-"," ",LEN($G120)-LEN(SUBSTITUTE($G120,"-",""))),"-"," ",LEN($G120)-LEN(SUBSTITUTE($G120,"-",""))-1),".",""))))),$G120)))</f>
        <v/>
      </c>
    </row>
    <row r="121">
      <c r="A121" s="58" t="n"/>
      <c r="B121" s="58">
        <f>IF($H121="","",LEFT($H121,FIND(" ",$H121&amp;" ")-1))</f>
        <v/>
      </c>
      <c r="C121" s="58">
        <f>IF($H121="","",IFERROR(MID($H121&amp;" ",FIND("|",SUBSTITUTE($H121&amp;" "," ","|",1))+1,FIND("|",SUBSTITUTE($H121&amp;" "," ","|",2))-FIND("|",SUBSTITUTE($H121&amp;" "," ","|",1))-1),""))</f>
        <v/>
      </c>
      <c r="D121" s="58">
        <f>IF($H121="","",IFERROR(MID($H121&amp;" ",FIND("|",SUBSTITUTE($H121&amp;" "," ","|",2))+1,FIND("|",SUBSTITUTE($H121&amp;" "," ","|",3))-FIND("|",SUBSTITUTE($H121&amp;" "," ","|",2))-1),""))</f>
        <v/>
      </c>
      <c r="E121" s="58">
        <f>IF($H121="","",IFERROR(MID($H121&amp;" ",FIND("|",SUBSTITUTE($H121&amp;" "," ","|",3))+1,FIND("|",SUBSTITUTE($H121&amp;" "," ","|",4))-FIND("|",SUBSTITUTE($H121&amp;" "," ","|",3))-1),""))</f>
        <v/>
      </c>
      <c r="F121" s="59">
        <f>IF($H121="","",IFERROR(VALUE(IFERROR(MID($H121&amp;" ",FIND("|",SUBSTITUTE($H121&amp;" "," ","|",4))+1,FIND("|",SUBSTITUTE($H121&amp;" "," ","|",5))-FIND("|",SUBSTITUTE($H121&amp;" "," ","|",4))-1),""))/86400+25569+9/24,""))</f>
        <v/>
      </c>
      <c r="G121" s="58">
        <f>TRIM(SUBSTITUTE(SUBSTITUTE(SUBSTITUTE($A121,CHAR(9)," ")," "," "),CHAR(13),""))</f>
        <v/>
      </c>
      <c r="H121" s="58">
        <f>IF($G121="","",IF(ISNUMBER(FIND(" ",$G121)),$G121,IFERROR(IF((LEN(SUBSTITUTE(SUBSTITUTE($G121,"-"," ",LEN($G121)-LEN(SUBSTITUTE($G121,"-",""))),"-"," ",LEN($G121)-LEN(SUBSTITUTE($G121,"-",""))-1))-LEN(SUBSTITUTE(SUBSTITUTE(SUBSTITUTE($G121,"-"," ",LEN($G121)-LEN(SUBSTITUTE($G121,"-",""))),"-"," ",LEN($G121)-LEN(SUBSTITUTE($G121,"-",""))-1),".","")))=0,SUBSTITUTE(SUBSTITUTE($G121,"-"," ",LEN($G121)-LEN(SUBSTITUTE($G121,"-",""))),"-"," ",LEN($G121)-LEN(SUBSTITUTE($G121,"-",""))-1),SUBSTITUTE(SUBSTITUTE(SUBSTITUTE($G121,"-"," ",LEN($G121)-LEN(SUBSTITUTE($G121,"-",""))),"-"," ",LEN($G121)-LEN(SUBSTITUTE($G121,"-",""))-1),"."," ",(LEN(SUBSTITUTE(SUBSTITUTE($G121,"-"," ",LEN($G121)-LEN(SUBSTITUTE($G121,"-",""))),"-"," ",LEN($G121)-LEN(SUBSTITUTE($G121,"-",""))-1))-LEN(SUBSTITUTE(SUBSTITUTE(SUBSTITUTE($G121,"-"," ",LEN($G121)-LEN(SUBSTITUTE($G121,"-",""))),"-"," ",LEN($G121)-LEN(SUBSTITUTE($G121,"-",""))-1),".",""))))),$G121)))</f>
        <v/>
      </c>
    </row>
    <row r="122">
      <c r="A122" s="58" t="n"/>
      <c r="B122" s="58">
        <f>IF($H122="","",LEFT($H122,FIND(" ",$H122&amp;" ")-1))</f>
        <v/>
      </c>
      <c r="C122" s="58">
        <f>IF($H122="","",IFERROR(MID($H122&amp;" ",FIND("|",SUBSTITUTE($H122&amp;" "," ","|",1))+1,FIND("|",SUBSTITUTE($H122&amp;" "," ","|",2))-FIND("|",SUBSTITUTE($H122&amp;" "," ","|",1))-1),""))</f>
        <v/>
      </c>
      <c r="D122" s="58">
        <f>IF($H122="","",IFERROR(MID($H122&amp;" ",FIND("|",SUBSTITUTE($H122&amp;" "," ","|",2))+1,FIND("|",SUBSTITUTE($H122&amp;" "," ","|",3))-FIND("|",SUBSTITUTE($H122&amp;" "," ","|",2))-1),""))</f>
        <v/>
      </c>
      <c r="E122" s="58">
        <f>IF($H122="","",IFERROR(MID($H122&amp;" ",FIND("|",SUBSTITUTE($H122&amp;" "," ","|",3))+1,FIND("|",SUBSTITUTE($H122&amp;" "," ","|",4))-FIND("|",SUBSTITUTE($H122&amp;" "," ","|",3))-1),""))</f>
        <v/>
      </c>
      <c r="F122" s="59">
        <f>IF($H122="","",IFERROR(VALUE(IFERROR(MID($H122&amp;" ",FIND("|",SUBSTITUTE($H122&amp;" "," ","|",4))+1,FIND("|",SUBSTITUTE($H122&amp;" "," ","|",5))-FIND("|",SUBSTITUTE($H122&amp;" "," ","|",4))-1),""))/86400+25569+9/24,""))</f>
        <v/>
      </c>
      <c r="G122" s="58">
        <f>TRIM(SUBSTITUTE(SUBSTITUTE(SUBSTITUTE($A122,CHAR(9)," ")," "," "),CHAR(13),""))</f>
        <v/>
      </c>
      <c r="H122" s="58">
        <f>IF($G122="","",IF(ISNUMBER(FIND(" ",$G122)),$G122,IFERROR(IF((LEN(SUBSTITUTE(SUBSTITUTE($G122,"-"," ",LEN($G122)-LEN(SUBSTITUTE($G122,"-",""))),"-"," ",LEN($G122)-LEN(SUBSTITUTE($G122,"-",""))-1))-LEN(SUBSTITUTE(SUBSTITUTE(SUBSTITUTE($G122,"-"," ",LEN($G122)-LEN(SUBSTITUTE($G122,"-",""))),"-"," ",LEN($G122)-LEN(SUBSTITUTE($G122,"-",""))-1),".","")))=0,SUBSTITUTE(SUBSTITUTE($G122,"-"," ",LEN($G122)-LEN(SUBSTITUTE($G122,"-",""))),"-"," ",LEN($G122)-LEN(SUBSTITUTE($G122,"-",""))-1),SUBSTITUTE(SUBSTITUTE(SUBSTITUTE($G122,"-"," ",LEN($G122)-LEN(SUBSTITUTE($G122,"-",""))),"-"," ",LEN($G122)-LEN(SUBSTITUTE($G122,"-",""))-1),"."," ",(LEN(SUBSTITUTE(SUBSTITUTE($G122,"-"," ",LEN($G122)-LEN(SUBSTITUTE($G122,"-",""))),"-"," ",LEN($G122)-LEN(SUBSTITUTE($G122,"-",""))-1))-LEN(SUBSTITUTE(SUBSTITUTE(SUBSTITUTE($G122,"-"," ",LEN($G122)-LEN(SUBSTITUTE($G122,"-",""))),"-"," ",LEN($G122)-LEN(SUBSTITUTE($G122,"-",""))-1),".",""))))),$G122)))</f>
        <v/>
      </c>
    </row>
    <row r="123">
      <c r="A123" s="58" t="n"/>
      <c r="B123" s="58">
        <f>IF($H123="","",LEFT($H123,FIND(" ",$H123&amp;" ")-1))</f>
        <v/>
      </c>
      <c r="C123" s="58">
        <f>IF($H123="","",IFERROR(MID($H123&amp;" ",FIND("|",SUBSTITUTE($H123&amp;" "," ","|",1))+1,FIND("|",SUBSTITUTE($H123&amp;" "," ","|",2))-FIND("|",SUBSTITUTE($H123&amp;" "," ","|",1))-1),""))</f>
        <v/>
      </c>
      <c r="D123" s="58">
        <f>IF($H123="","",IFERROR(MID($H123&amp;" ",FIND("|",SUBSTITUTE($H123&amp;" "," ","|",2))+1,FIND("|",SUBSTITUTE($H123&amp;" "," ","|",3))-FIND("|",SUBSTITUTE($H123&amp;" "," ","|",2))-1),""))</f>
        <v/>
      </c>
      <c r="E123" s="58">
        <f>IF($H123="","",IFERROR(MID($H123&amp;" ",FIND("|",SUBSTITUTE($H123&amp;" "," ","|",3))+1,FIND("|",SUBSTITUTE($H123&amp;" "," ","|",4))-FIND("|",SUBSTITUTE($H123&amp;" "," ","|",3))-1),""))</f>
        <v/>
      </c>
      <c r="F123" s="59">
        <f>IF($H123="","",IFERROR(VALUE(IFERROR(MID($H123&amp;" ",FIND("|",SUBSTITUTE($H123&amp;" "," ","|",4))+1,FIND("|",SUBSTITUTE($H123&amp;" "," ","|",5))-FIND("|",SUBSTITUTE($H123&amp;" "," ","|",4))-1),""))/86400+25569+9/24,""))</f>
        <v/>
      </c>
      <c r="G123" s="58">
        <f>TRIM(SUBSTITUTE(SUBSTITUTE(SUBSTITUTE($A123,CHAR(9)," ")," "," "),CHAR(13),""))</f>
        <v/>
      </c>
      <c r="H123" s="58">
        <f>IF($G123="","",IF(ISNUMBER(FIND(" ",$G123)),$G123,IFERROR(IF((LEN(SUBSTITUTE(SUBSTITUTE($G123,"-"," ",LEN($G123)-LEN(SUBSTITUTE($G123,"-",""))),"-"," ",LEN($G123)-LEN(SUBSTITUTE($G123,"-",""))-1))-LEN(SUBSTITUTE(SUBSTITUTE(SUBSTITUTE($G123,"-"," ",LEN($G123)-LEN(SUBSTITUTE($G123,"-",""))),"-"," ",LEN($G123)-LEN(SUBSTITUTE($G123,"-",""))-1),".","")))=0,SUBSTITUTE(SUBSTITUTE($G123,"-"," ",LEN($G123)-LEN(SUBSTITUTE($G123,"-",""))),"-"," ",LEN($G123)-LEN(SUBSTITUTE($G123,"-",""))-1),SUBSTITUTE(SUBSTITUTE(SUBSTITUTE($G123,"-"," ",LEN($G123)-LEN(SUBSTITUTE($G123,"-",""))),"-"," ",LEN($G123)-LEN(SUBSTITUTE($G123,"-",""))-1),"."," ",(LEN(SUBSTITUTE(SUBSTITUTE($G123,"-"," ",LEN($G123)-LEN(SUBSTITUTE($G123,"-",""))),"-"," ",LEN($G123)-LEN(SUBSTITUTE($G123,"-",""))-1))-LEN(SUBSTITUTE(SUBSTITUTE(SUBSTITUTE($G123,"-"," ",LEN($G123)-LEN(SUBSTITUTE($G123,"-",""))),"-"," ",LEN($G123)-LEN(SUBSTITUTE($G123,"-",""))-1),".",""))))),$G123)))</f>
        <v/>
      </c>
    </row>
    <row r="124">
      <c r="A124" s="58" t="n"/>
      <c r="B124" s="58">
        <f>IF($H124="","",LEFT($H124,FIND(" ",$H124&amp;" ")-1))</f>
        <v/>
      </c>
      <c r="C124" s="58">
        <f>IF($H124="","",IFERROR(MID($H124&amp;" ",FIND("|",SUBSTITUTE($H124&amp;" "," ","|",1))+1,FIND("|",SUBSTITUTE($H124&amp;" "," ","|",2))-FIND("|",SUBSTITUTE($H124&amp;" "," ","|",1))-1),""))</f>
        <v/>
      </c>
      <c r="D124" s="58">
        <f>IF($H124="","",IFERROR(MID($H124&amp;" ",FIND("|",SUBSTITUTE($H124&amp;" "," ","|",2))+1,FIND("|",SUBSTITUTE($H124&amp;" "," ","|",3))-FIND("|",SUBSTITUTE($H124&amp;" "," ","|",2))-1),""))</f>
        <v/>
      </c>
      <c r="E124" s="58">
        <f>IF($H124="","",IFERROR(MID($H124&amp;" ",FIND("|",SUBSTITUTE($H124&amp;" "," ","|",3))+1,FIND("|",SUBSTITUTE($H124&amp;" "," ","|",4))-FIND("|",SUBSTITUTE($H124&amp;" "," ","|",3))-1),""))</f>
        <v/>
      </c>
      <c r="F124" s="59">
        <f>IF($H124="","",IFERROR(VALUE(IFERROR(MID($H124&amp;" ",FIND("|",SUBSTITUTE($H124&amp;" "," ","|",4))+1,FIND("|",SUBSTITUTE($H124&amp;" "," ","|",5))-FIND("|",SUBSTITUTE($H124&amp;" "," ","|",4))-1),""))/86400+25569+9/24,""))</f>
        <v/>
      </c>
      <c r="G124" s="58">
        <f>TRIM(SUBSTITUTE(SUBSTITUTE(SUBSTITUTE($A124,CHAR(9)," ")," "," "),CHAR(13),""))</f>
        <v/>
      </c>
      <c r="H124" s="58">
        <f>IF($G124="","",IF(ISNUMBER(FIND(" ",$G124)),$G124,IFERROR(IF((LEN(SUBSTITUTE(SUBSTITUTE($G124,"-"," ",LEN($G124)-LEN(SUBSTITUTE($G124,"-",""))),"-"," ",LEN($G124)-LEN(SUBSTITUTE($G124,"-",""))-1))-LEN(SUBSTITUTE(SUBSTITUTE(SUBSTITUTE($G124,"-"," ",LEN($G124)-LEN(SUBSTITUTE($G124,"-",""))),"-"," ",LEN($G124)-LEN(SUBSTITUTE($G124,"-",""))-1),".","")))=0,SUBSTITUTE(SUBSTITUTE($G124,"-"," ",LEN($G124)-LEN(SUBSTITUTE($G124,"-",""))),"-"," ",LEN($G124)-LEN(SUBSTITUTE($G124,"-",""))-1),SUBSTITUTE(SUBSTITUTE(SUBSTITUTE($G124,"-"," ",LEN($G124)-LEN(SUBSTITUTE($G124,"-",""))),"-"," ",LEN($G124)-LEN(SUBSTITUTE($G124,"-",""))-1),"."," ",(LEN(SUBSTITUTE(SUBSTITUTE($G124,"-"," ",LEN($G124)-LEN(SUBSTITUTE($G124,"-",""))),"-"," ",LEN($G124)-LEN(SUBSTITUTE($G124,"-",""))-1))-LEN(SUBSTITUTE(SUBSTITUTE(SUBSTITUTE($G124,"-"," ",LEN($G124)-LEN(SUBSTITUTE($G124,"-",""))),"-"," ",LEN($G124)-LEN(SUBSTITUTE($G124,"-",""))-1),".",""))))),$G124)))</f>
        <v/>
      </c>
    </row>
    <row r="125">
      <c r="A125" s="58" t="n"/>
      <c r="B125" s="58">
        <f>IF($H125="","",LEFT($H125,FIND(" ",$H125&amp;" ")-1))</f>
        <v/>
      </c>
      <c r="C125" s="58">
        <f>IF($H125="","",IFERROR(MID($H125&amp;" ",FIND("|",SUBSTITUTE($H125&amp;" "," ","|",1))+1,FIND("|",SUBSTITUTE($H125&amp;" "," ","|",2))-FIND("|",SUBSTITUTE($H125&amp;" "," ","|",1))-1),""))</f>
        <v/>
      </c>
      <c r="D125" s="58">
        <f>IF($H125="","",IFERROR(MID($H125&amp;" ",FIND("|",SUBSTITUTE($H125&amp;" "," ","|",2))+1,FIND("|",SUBSTITUTE($H125&amp;" "," ","|",3))-FIND("|",SUBSTITUTE($H125&amp;" "," ","|",2))-1),""))</f>
        <v/>
      </c>
      <c r="E125" s="58">
        <f>IF($H125="","",IFERROR(MID($H125&amp;" ",FIND("|",SUBSTITUTE($H125&amp;" "," ","|",3))+1,FIND("|",SUBSTITUTE($H125&amp;" "," ","|",4))-FIND("|",SUBSTITUTE($H125&amp;" "," ","|",3))-1),""))</f>
        <v/>
      </c>
      <c r="F125" s="59">
        <f>IF($H125="","",IFERROR(VALUE(IFERROR(MID($H125&amp;" ",FIND("|",SUBSTITUTE($H125&amp;" "," ","|",4))+1,FIND("|",SUBSTITUTE($H125&amp;" "," ","|",5))-FIND("|",SUBSTITUTE($H125&amp;" "," ","|",4))-1),""))/86400+25569+9/24,""))</f>
        <v/>
      </c>
      <c r="G125" s="58">
        <f>TRIM(SUBSTITUTE(SUBSTITUTE(SUBSTITUTE($A125,CHAR(9)," ")," "," "),CHAR(13),""))</f>
        <v/>
      </c>
      <c r="H125" s="58">
        <f>IF($G125="","",IF(ISNUMBER(FIND(" ",$G125)),$G125,IFERROR(IF((LEN(SUBSTITUTE(SUBSTITUTE($G125,"-"," ",LEN($G125)-LEN(SUBSTITUTE($G125,"-",""))),"-"," ",LEN($G125)-LEN(SUBSTITUTE($G125,"-",""))-1))-LEN(SUBSTITUTE(SUBSTITUTE(SUBSTITUTE($G125,"-"," ",LEN($G125)-LEN(SUBSTITUTE($G125,"-",""))),"-"," ",LEN($G125)-LEN(SUBSTITUTE($G125,"-",""))-1),".","")))=0,SUBSTITUTE(SUBSTITUTE($G125,"-"," ",LEN($G125)-LEN(SUBSTITUTE($G125,"-",""))),"-"," ",LEN($G125)-LEN(SUBSTITUTE($G125,"-",""))-1),SUBSTITUTE(SUBSTITUTE(SUBSTITUTE($G125,"-"," ",LEN($G125)-LEN(SUBSTITUTE($G125,"-",""))),"-"," ",LEN($G125)-LEN(SUBSTITUTE($G125,"-",""))-1),"."," ",(LEN(SUBSTITUTE(SUBSTITUTE($G125,"-"," ",LEN($G125)-LEN(SUBSTITUTE($G125,"-",""))),"-"," ",LEN($G125)-LEN(SUBSTITUTE($G125,"-",""))-1))-LEN(SUBSTITUTE(SUBSTITUTE(SUBSTITUTE($G125,"-"," ",LEN($G125)-LEN(SUBSTITUTE($G125,"-",""))),"-"," ",LEN($G125)-LEN(SUBSTITUTE($G125,"-",""))-1),".",""))))),$G125)))</f>
        <v/>
      </c>
    </row>
    <row r="126">
      <c r="A126" s="58" t="n"/>
      <c r="B126" s="58">
        <f>IF($H126="","",LEFT($H126,FIND(" ",$H126&amp;" ")-1))</f>
        <v/>
      </c>
      <c r="C126" s="58">
        <f>IF($H126="","",IFERROR(MID($H126&amp;" ",FIND("|",SUBSTITUTE($H126&amp;" "," ","|",1))+1,FIND("|",SUBSTITUTE($H126&amp;" "," ","|",2))-FIND("|",SUBSTITUTE($H126&amp;" "," ","|",1))-1),""))</f>
        <v/>
      </c>
      <c r="D126" s="58">
        <f>IF($H126="","",IFERROR(MID($H126&amp;" ",FIND("|",SUBSTITUTE($H126&amp;" "," ","|",2))+1,FIND("|",SUBSTITUTE($H126&amp;" "," ","|",3))-FIND("|",SUBSTITUTE($H126&amp;" "," ","|",2))-1),""))</f>
        <v/>
      </c>
      <c r="E126" s="58">
        <f>IF($H126="","",IFERROR(MID($H126&amp;" ",FIND("|",SUBSTITUTE($H126&amp;" "," ","|",3))+1,FIND("|",SUBSTITUTE($H126&amp;" "," ","|",4))-FIND("|",SUBSTITUTE($H126&amp;" "," ","|",3))-1),""))</f>
        <v/>
      </c>
      <c r="F126" s="59">
        <f>IF($H126="","",IFERROR(VALUE(IFERROR(MID($H126&amp;" ",FIND("|",SUBSTITUTE($H126&amp;" "," ","|",4))+1,FIND("|",SUBSTITUTE($H126&amp;" "," ","|",5))-FIND("|",SUBSTITUTE($H126&amp;" "," ","|",4))-1),""))/86400+25569+9/24,""))</f>
        <v/>
      </c>
      <c r="G126" s="58">
        <f>TRIM(SUBSTITUTE(SUBSTITUTE(SUBSTITUTE($A126,CHAR(9)," ")," "," "),CHAR(13),""))</f>
        <v/>
      </c>
      <c r="H126" s="58">
        <f>IF($G126="","",IF(ISNUMBER(FIND(" ",$G126)),$G126,IFERROR(IF((LEN(SUBSTITUTE(SUBSTITUTE($G126,"-"," ",LEN($G126)-LEN(SUBSTITUTE($G126,"-",""))),"-"," ",LEN($G126)-LEN(SUBSTITUTE($G126,"-",""))-1))-LEN(SUBSTITUTE(SUBSTITUTE(SUBSTITUTE($G126,"-"," ",LEN($G126)-LEN(SUBSTITUTE($G126,"-",""))),"-"," ",LEN($G126)-LEN(SUBSTITUTE($G126,"-",""))-1),".","")))=0,SUBSTITUTE(SUBSTITUTE($G126,"-"," ",LEN($G126)-LEN(SUBSTITUTE($G126,"-",""))),"-"," ",LEN($G126)-LEN(SUBSTITUTE($G126,"-",""))-1),SUBSTITUTE(SUBSTITUTE(SUBSTITUTE($G126,"-"," ",LEN($G126)-LEN(SUBSTITUTE($G126,"-",""))),"-"," ",LEN($G126)-LEN(SUBSTITUTE($G126,"-",""))-1),"."," ",(LEN(SUBSTITUTE(SUBSTITUTE($G126,"-"," ",LEN($G126)-LEN(SUBSTITUTE($G126,"-",""))),"-"," ",LEN($G126)-LEN(SUBSTITUTE($G126,"-",""))-1))-LEN(SUBSTITUTE(SUBSTITUTE(SUBSTITUTE($G126,"-"," ",LEN($G126)-LEN(SUBSTITUTE($G126,"-",""))),"-"," ",LEN($G126)-LEN(SUBSTITUTE($G126,"-",""))-1),".",""))))),$G126)))</f>
        <v/>
      </c>
    </row>
    <row r="127">
      <c r="A127" s="58" t="n"/>
      <c r="B127" s="58">
        <f>IF($H127="","",LEFT($H127,FIND(" ",$H127&amp;" ")-1))</f>
        <v/>
      </c>
      <c r="C127" s="58">
        <f>IF($H127="","",IFERROR(MID($H127&amp;" ",FIND("|",SUBSTITUTE($H127&amp;" "," ","|",1))+1,FIND("|",SUBSTITUTE($H127&amp;" "," ","|",2))-FIND("|",SUBSTITUTE($H127&amp;" "," ","|",1))-1),""))</f>
        <v/>
      </c>
      <c r="D127" s="58">
        <f>IF($H127="","",IFERROR(MID($H127&amp;" ",FIND("|",SUBSTITUTE($H127&amp;" "," ","|",2))+1,FIND("|",SUBSTITUTE($H127&amp;" "," ","|",3))-FIND("|",SUBSTITUTE($H127&amp;" "," ","|",2))-1),""))</f>
        <v/>
      </c>
      <c r="E127" s="58">
        <f>IF($H127="","",IFERROR(MID($H127&amp;" ",FIND("|",SUBSTITUTE($H127&amp;" "," ","|",3))+1,FIND("|",SUBSTITUTE($H127&amp;" "," ","|",4))-FIND("|",SUBSTITUTE($H127&amp;" "," ","|",3))-1),""))</f>
        <v/>
      </c>
      <c r="F127" s="59">
        <f>IF($H127="","",IFERROR(VALUE(IFERROR(MID($H127&amp;" ",FIND("|",SUBSTITUTE($H127&amp;" "," ","|",4))+1,FIND("|",SUBSTITUTE($H127&amp;" "," ","|",5))-FIND("|",SUBSTITUTE($H127&amp;" "," ","|",4))-1),""))/86400+25569+9/24,""))</f>
        <v/>
      </c>
      <c r="G127" s="58">
        <f>TRIM(SUBSTITUTE(SUBSTITUTE(SUBSTITUTE($A127,CHAR(9)," ")," "," "),CHAR(13),""))</f>
        <v/>
      </c>
      <c r="H127" s="58">
        <f>IF($G127="","",IF(ISNUMBER(FIND(" ",$G127)),$G127,IFERROR(IF((LEN(SUBSTITUTE(SUBSTITUTE($G127,"-"," ",LEN($G127)-LEN(SUBSTITUTE($G127,"-",""))),"-"," ",LEN($G127)-LEN(SUBSTITUTE($G127,"-",""))-1))-LEN(SUBSTITUTE(SUBSTITUTE(SUBSTITUTE($G127,"-"," ",LEN($G127)-LEN(SUBSTITUTE($G127,"-",""))),"-"," ",LEN($G127)-LEN(SUBSTITUTE($G127,"-",""))-1),".","")))=0,SUBSTITUTE(SUBSTITUTE($G127,"-"," ",LEN($G127)-LEN(SUBSTITUTE($G127,"-",""))),"-"," ",LEN($G127)-LEN(SUBSTITUTE($G127,"-",""))-1),SUBSTITUTE(SUBSTITUTE(SUBSTITUTE($G127,"-"," ",LEN($G127)-LEN(SUBSTITUTE($G127,"-",""))),"-"," ",LEN($G127)-LEN(SUBSTITUTE($G127,"-",""))-1),"."," ",(LEN(SUBSTITUTE(SUBSTITUTE($G127,"-"," ",LEN($G127)-LEN(SUBSTITUTE($G127,"-",""))),"-"," ",LEN($G127)-LEN(SUBSTITUTE($G127,"-",""))-1))-LEN(SUBSTITUTE(SUBSTITUTE(SUBSTITUTE($G127,"-"," ",LEN($G127)-LEN(SUBSTITUTE($G127,"-",""))),"-"," ",LEN($G127)-LEN(SUBSTITUTE($G127,"-",""))-1),".",""))))),$G127)))</f>
        <v/>
      </c>
    </row>
    <row r="128">
      <c r="A128" s="58" t="n"/>
      <c r="B128" s="58">
        <f>IF($H128="","",LEFT($H128,FIND(" ",$H128&amp;" ")-1))</f>
        <v/>
      </c>
      <c r="C128" s="58">
        <f>IF($H128="","",IFERROR(MID($H128&amp;" ",FIND("|",SUBSTITUTE($H128&amp;" "," ","|",1))+1,FIND("|",SUBSTITUTE($H128&amp;" "," ","|",2))-FIND("|",SUBSTITUTE($H128&amp;" "," ","|",1))-1),""))</f>
        <v/>
      </c>
      <c r="D128" s="58">
        <f>IF($H128="","",IFERROR(MID($H128&amp;" ",FIND("|",SUBSTITUTE($H128&amp;" "," ","|",2))+1,FIND("|",SUBSTITUTE($H128&amp;" "," ","|",3))-FIND("|",SUBSTITUTE($H128&amp;" "," ","|",2))-1),""))</f>
        <v/>
      </c>
      <c r="E128" s="58">
        <f>IF($H128="","",IFERROR(MID($H128&amp;" ",FIND("|",SUBSTITUTE($H128&amp;" "," ","|",3))+1,FIND("|",SUBSTITUTE($H128&amp;" "," ","|",4))-FIND("|",SUBSTITUTE($H128&amp;" "," ","|",3))-1),""))</f>
        <v/>
      </c>
      <c r="F128" s="59">
        <f>IF($H128="","",IFERROR(VALUE(IFERROR(MID($H128&amp;" ",FIND("|",SUBSTITUTE($H128&amp;" "," ","|",4))+1,FIND("|",SUBSTITUTE($H128&amp;" "," ","|",5))-FIND("|",SUBSTITUTE($H128&amp;" "," ","|",4))-1),""))/86400+25569+9/24,""))</f>
        <v/>
      </c>
      <c r="G128" s="58">
        <f>TRIM(SUBSTITUTE(SUBSTITUTE(SUBSTITUTE($A128,CHAR(9)," ")," "," "),CHAR(13),""))</f>
        <v/>
      </c>
      <c r="H128" s="58">
        <f>IF($G128="","",IF(ISNUMBER(FIND(" ",$G128)),$G128,IFERROR(IF((LEN(SUBSTITUTE(SUBSTITUTE($G128,"-"," ",LEN($G128)-LEN(SUBSTITUTE($G128,"-",""))),"-"," ",LEN($G128)-LEN(SUBSTITUTE($G128,"-",""))-1))-LEN(SUBSTITUTE(SUBSTITUTE(SUBSTITUTE($G128,"-"," ",LEN($G128)-LEN(SUBSTITUTE($G128,"-",""))),"-"," ",LEN($G128)-LEN(SUBSTITUTE($G128,"-",""))-1),".","")))=0,SUBSTITUTE(SUBSTITUTE($G128,"-"," ",LEN($G128)-LEN(SUBSTITUTE($G128,"-",""))),"-"," ",LEN($G128)-LEN(SUBSTITUTE($G128,"-",""))-1),SUBSTITUTE(SUBSTITUTE(SUBSTITUTE($G128,"-"," ",LEN($G128)-LEN(SUBSTITUTE($G128,"-",""))),"-"," ",LEN($G128)-LEN(SUBSTITUTE($G128,"-",""))-1),"."," ",(LEN(SUBSTITUTE(SUBSTITUTE($G128,"-"," ",LEN($G128)-LEN(SUBSTITUTE($G128,"-",""))),"-"," ",LEN($G128)-LEN(SUBSTITUTE($G128,"-",""))-1))-LEN(SUBSTITUTE(SUBSTITUTE(SUBSTITUTE($G128,"-"," ",LEN($G128)-LEN(SUBSTITUTE($G128,"-",""))),"-"," ",LEN($G128)-LEN(SUBSTITUTE($G128,"-",""))-1),".",""))))),$G128)))</f>
        <v/>
      </c>
    </row>
    <row r="129">
      <c r="A129" s="58" t="n"/>
      <c r="B129" s="58">
        <f>IF($H129="","",LEFT($H129,FIND(" ",$H129&amp;" ")-1))</f>
        <v/>
      </c>
      <c r="C129" s="58">
        <f>IF($H129="","",IFERROR(MID($H129&amp;" ",FIND("|",SUBSTITUTE($H129&amp;" "," ","|",1))+1,FIND("|",SUBSTITUTE($H129&amp;" "," ","|",2))-FIND("|",SUBSTITUTE($H129&amp;" "," ","|",1))-1),""))</f>
        <v/>
      </c>
      <c r="D129" s="58">
        <f>IF($H129="","",IFERROR(MID($H129&amp;" ",FIND("|",SUBSTITUTE($H129&amp;" "," ","|",2))+1,FIND("|",SUBSTITUTE($H129&amp;" "," ","|",3))-FIND("|",SUBSTITUTE($H129&amp;" "," ","|",2))-1),""))</f>
        <v/>
      </c>
      <c r="E129" s="58">
        <f>IF($H129="","",IFERROR(MID($H129&amp;" ",FIND("|",SUBSTITUTE($H129&amp;" "," ","|",3))+1,FIND("|",SUBSTITUTE($H129&amp;" "," ","|",4))-FIND("|",SUBSTITUTE($H129&amp;" "," ","|",3))-1),""))</f>
        <v/>
      </c>
      <c r="F129" s="59">
        <f>IF($H129="","",IFERROR(VALUE(IFERROR(MID($H129&amp;" ",FIND("|",SUBSTITUTE($H129&amp;" "," ","|",4))+1,FIND("|",SUBSTITUTE($H129&amp;" "," ","|",5))-FIND("|",SUBSTITUTE($H129&amp;" "," ","|",4))-1),""))/86400+25569+9/24,""))</f>
        <v/>
      </c>
      <c r="G129" s="58">
        <f>TRIM(SUBSTITUTE(SUBSTITUTE(SUBSTITUTE($A129,CHAR(9)," ")," "," "),CHAR(13),""))</f>
        <v/>
      </c>
      <c r="H129" s="58">
        <f>IF($G129="","",IF(ISNUMBER(FIND(" ",$G129)),$G129,IFERROR(IF((LEN(SUBSTITUTE(SUBSTITUTE($G129,"-"," ",LEN($G129)-LEN(SUBSTITUTE($G129,"-",""))),"-"," ",LEN($G129)-LEN(SUBSTITUTE($G129,"-",""))-1))-LEN(SUBSTITUTE(SUBSTITUTE(SUBSTITUTE($G129,"-"," ",LEN($G129)-LEN(SUBSTITUTE($G129,"-",""))),"-"," ",LEN($G129)-LEN(SUBSTITUTE($G129,"-",""))-1),".","")))=0,SUBSTITUTE(SUBSTITUTE($G129,"-"," ",LEN($G129)-LEN(SUBSTITUTE($G129,"-",""))),"-"," ",LEN($G129)-LEN(SUBSTITUTE($G129,"-",""))-1),SUBSTITUTE(SUBSTITUTE(SUBSTITUTE($G129,"-"," ",LEN($G129)-LEN(SUBSTITUTE($G129,"-",""))),"-"," ",LEN($G129)-LEN(SUBSTITUTE($G129,"-",""))-1),"."," ",(LEN(SUBSTITUTE(SUBSTITUTE($G129,"-"," ",LEN($G129)-LEN(SUBSTITUTE($G129,"-",""))),"-"," ",LEN($G129)-LEN(SUBSTITUTE($G129,"-",""))-1))-LEN(SUBSTITUTE(SUBSTITUTE(SUBSTITUTE($G129,"-"," ",LEN($G129)-LEN(SUBSTITUTE($G129,"-",""))),"-"," ",LEN($G129)-LEN(SUBSTITUTE($G129,"-",""))-1),".",""))))),$G129)))</f>
        <v/>
      </c>
    </row>
    <row r="130">
      <c r="A130" s="58" t="n"/>
      <c r="B130" s="58">
        <f>IF($H130="","",LEFT($H130,FIND(" ",$H130&amp;" ")-1))</f>
        <v/>
      </c>
      <c r="C130" s="58">
        <f>IF($H130="","",IFERROR(MID($H130&amp;" ",FIND("|",SUBSTITUTE($H130&amp;" "," ","|",1))+1,FIND("|",SUBSTITUTE($H130&amp;" "," ","|",2))-FIND("|",SUBSTITUTE($H130&amp;" "," ","|",1))-1),""))</f>
        <v/>
      </c>
      <c r="D130" s="58">
        <f>IF($H130="","",IFERROR(MID($H130&amp;" ",FIND("|",SUBSTITUTE($H130&amp;" "," ","|",2))+1,FIND("|",SUBSTITUTE($H130&amp;" "," ","|",3))-FIND("|",SUBSTITUTE($H130&amp;" "," ","|",2))-1),""))</f>
        <v/>
      </c>
      <c r="E130" s="58">
        <f>IF($H130="","",IFERROR(MID($H130&amp;" ",FIND("|",SUBSTITUTE($H130&amp;" "," ","|",3))+1,FIND("|",SUBSTITUTE($H130&amp;" "," ","|",4))-FIND("|",SUBSTITUTE($H130&amp;" "," ","|",3))-1),""))</f>
        <v/>
      </c>
      <c r="F130" s="59">
        <f>IF($H130="","",IFERROR(VALUE(IFERROR(MID($H130&amp;" ",FIND("|",SUBSTITUTE($H130&amp;" "," ","|",4))+1,FIND("|",SUBSTITUTE($H130&amp;" "," ","|",5))-FIND("|",SUBSTITUTE($H130&amp;" "," ","|",4))-1),""))/86400+25569+9/24,""))</f>
        <v/>
      </c>
      <c r="G130" s="58">
        <f>TRIM(SUBSTITUTE(SUBSTITUTE(SUBSTITUTE($A130,CHAR(9)," ")," "," "),CHAR(13),""))</f>
        <v/>
      </c>
      <c r="H130" s="58">
        <f>IF($G130="","",IF(ISNUMBER(FIND(" ",$G130)),$G130,IFERROR(IF((LEN(SUBSTITUTE(SUBSTITUTE($G130,"-"," ",LEN($G130)-LEN(SUBSTITUTE($G130,"-",""))),"-"," ",LEN($G130)-LEN(SUBSTITUTE($G130,"-",""))-1))-LEN(SUBSTITUTE(SUBSTITUTE(SUBSTITUTE($G130,"-"," ",LEN($G130)-LEN(SUBSTITUTE($G130,"-",""))),"-"," ",LEN($G130)-LEN(SUBSTITUTE($G130,"-",""))-1),".","")))=0,SUBSTITUTE(SUBSTITUTE($G130,"-"," ",LEN($G130)-LEN(SUBSTITUTE($G130,"-",""))),"-"," ",LEN($G130)-LEN(SUBSTITUTE($G130,"-",""))-1),SUBSTITUTE(SUBSTITUTE(SUBSTITUTE($G130,"-"," ",LEN($G130)-LEN(SUBSTITUTE($G130,"-",""))),"-"," ",LEN($G130)-LEN(SUBSTITUTE($G130,"-",""))-1),"."," ",(LEN(SUBSTITUTE(SUBSTITUTE($G130,"-"," ",LEN($G130)-LEN(SUBSTITUTE($G130,"-",""))),"-"," ",LEN($G130)-LEN(SUBSTITUTE($G130,"-",""))-1))-LEN(SUBSTITUTE(SUBSTITUTE(SUBSTITUTE($G130,"-"," ",LEN($G130)-LEN(SUBSTITUTE($G130,"-",""))),"-"," ",LEN($G130)-LEN(SUBSTITUTE($G130,"-",""))-1),".",""))))),$G130)))</f>
        <v/>
      </c>
    </row>
    <row r="131">
      <c r="A131" s="58" t="n"/>
      <c r="B131" s="58">
        <f>IF($H131="","",LEFT($H131,FIND(" ",$H131&amp;" ")-1))</f>
        <v/>
      </c>
      <c r="C131" s="58">
        <f>IF($H131="","",IFERROR(MID($H131&amp;" ",FIND("|",SUBSTITUTE($H131&amp;" "," ","|",1))+1,FIND("|",SUBSTITUTE($H131&amp;" "," ","|",2))-FIND("|",SUBSTITUTE($H131&amp;" "," ","|",1))-1),""))</f>
        <v/>
      </c>
      <c r="D131" s="58">
        <f>IF($H131="","",IFERROR(MID($H131&amp;" ",FIND("|",SUBSTITUTE($H131&amp;" "," ","|",2))+1,FIND("|",SUBSTITUTE($H131&amp;" "," ","|",3))-FIND("|",SUBSTITUTE($H131&amp;" "," ","|",2))-1),""))</f>
        <v/>
      </c>
      <c r="E131" s="58">
        <f>IF($H131="","",IFERROR(MID($H131&amp;" ",FIND("|",SUBSTITUTE($H131&amp;" "," ","|",3))+1,FIND("|",SUBSTITUTE($H131&amp;" "," ","|",4))-FIND("|",SUBSTITUTE($H131&amp;" "," ","|",3))-1),""))</f>
        <v/>
      </c>
      <c r="F131" s="59">
        <f>IF($H131="","",IFERROR(VALUE(IFERROR(MID($H131&amp;" ",FIND("|",SUBSTITUTE($H131&amp;" "," ","|",4))+1,FIND("|",SUBSTITUTE($H131&amp;" "," ","|",5))-FIND("|",SUBSTITUTE($H131&amp;" "," ","|",4))-1),""))/86400+25569+9/24,""))</f>
        <v/>
      </c>
      <c r="G131" s="58">
        <f>TRIM(SUBSTITUTE(SUBSTITUTE(SUBSTITUTE($A131,CHAR(9)," ")," "," "),CHAR(13),""))</f>
        <v/>
      </c>
      <c r="H131" s="58">
        <f>IF($G131="","",IF(ISNUMBER(FIND(" ",$G131)),$G131,IFERROR(IF((LEN(SUBSTITUTE(SUBSTITUTE($G131,"-"," ",LEN($G131)-LEN(SUBSTITUTE($G131,"-",""))),"-"," ",LEN($G131)-LEN(SUBSTITUTE($G131,"-",""))-1))-LEN(SUBSTITUTE(SUBSTITUTE(SUBSTITUTE($G131,"-"," ",LEN($G131)-LEN(SUBSTITUTE($G131,"-",""))),"-"," ",LEN($G131)-LEN(SUBSTITUTE($G131,"-",""))-1),".","")))=0,SUBSTITUTE(SUBSTITUTE($G131,"-"," ",LEN($G131)-LEN(SUBSTITUTE($G131,"-",""))),"-"," ",LEN($G131)-LEN(SUBSTITUTE($G131,"-",""))-1),SUBSTITUTE(SUBSTITUTE(SUBSTITUTE($G131,"-"," ",LEN($G131)-LEN(SUBSTITUTE($G131,"-",""))),"-"," ",LEN($G131)-LEN(SUBSTITUTE($G131,"-",""))-1),"."," ",(LEN(SUBSTITUTE(SUBSTITUTE($G131,"-"," ",LEN($G131)-LEN(SUBSTITUTE($G131,"-",""))),"-"," ",LEN($G131)-LEN(SUBSTITUTE($G131,"-",""))-1))-LEN(SUBSTITUTE(SUBSTITUTE(SUBSTITUTE($G131,"-"," ",LEN($G131)-LEN(SUBSTITUTE($G131,"-",""))),"-"," ",LEN($G131)-LEN(SUBSTITUTE($G131,"-",""))-1),".",""))))),$G131)))</f>
        <v/>
      </c>
    </row>
    <row r="132">
      <c r="A132" s="58" t="n"/>
      <c r="B132" s="58">
        <f>IF($H132="","",LEFT($H132,FIND(" ",$H132&amp;" ")-1))</f>
        <v/>
      </c>
      <c r="C132" s="58">
        <f>IF($H132="","",IFERROR(MID($H132&amp;" ",FIND("|",SUBSTITUTE($H132&amp;" "," ","|",1))+1,FIND("|",SUBSTITUTE($H132&amp;" "," ","|",2))-FIND("|",SUBSTITUTE($H132&amp;" "," ","|",1))-1),""))</f>
        <v/>
      </c>
      <c r="D132" s="58">
        <f>IF($H132="","",IFERROR(MID($H132&amp;" ",FIND("|",SUBSTITUTE($H132&amp;" "," ","|",2))+1,FIND("|",SUBSTITUTE($H132&amp;" "," ","|",3))-FIND("|",SUBSTITUTE($H132&amp;" "," ","|",2))-1),""))</f>
        <v/>
      </c>
      <c r="E132" s="58">
        <f>IF($H132="","",IFERROR(MID($H132&amp;" ",FIND("|",SUBSTITUTE($H132&amp;" "," ","|",3))+1,FIND("|",SUBSTITUTE($H132&amp;" "," ","|",4))-FIND("|",SUBSTITUTE($H132&amp;" "," ","|",3))-1),""))</f>
        <v/>
      </c>
      <c r="F132" s="59">
        <f>IF($H132="","",IFERROR(VALUE(IFERROR(MID($H132&amp;" ",FIND("|",SUBSTITUTE($H132&amp;" "," ","|",4))+1,FIND("|",SUBSTITUTE($H132&amp;" "," ","|",5))-FIND("|",SUBSTITUTE($H132&amp;" "," ","|",4))-1),""))/86400+25569+9/24,""))</f>
        <v/>
      </c>
      <c r="G132" s="58">
        <f>TRIM(SUBSTITUTE(SUBSTITUTE(SUBSTITUTE($A132,CHAR(9)," ")," "," "),CHAR(13),""))</f>
        <v/>
      </c>
      <c r="H132" s="58">
        <f>IF($G132="","",IF(ISNUMBER(FIND(" ",$G132)),$G132,IFERROR(IF((LEN(SUBSTITUTE(SUBSTITUTE($G132,"-"," ",LEN($G132)-LEN(SUBSTITUTE($G132,"-",""))),"-"," ",LEN($G132)-LEN(SUBSTITUTE($G132,"-",""))-1))-LEN(SUBSTITUTE(SUBSTITUTE(SUBSTITUTE($G132,"-"," ",LEN($G132)-LEN(SUBSTITUTE($G132,"-",""))),"-"," ",LEN($G132)-LEN(SUBSTITUTE($G132,"-",""))-1),".","")))=0,SUBSTITUTE(SUBSTITUTE($G132,"-"," ",LEN($G132)-LEN(SUBSTITUTE($G132,"-",""))),"-"," ",LEN($G132)-LEN(SUBSTITUTE($G132,"-",""))-1),SUBSTITUTE(SUBSTITUTE(SUBSTITUTE($G132,"-"," ",LEN($G132)-LEN(SUBSTITUTE($G132,"-",""))),"-"," ",LEN($G132)-LEN(SUBSTITUTE($G132,"-",""))-1),"."," ",(LEN(SUBSTITUTE(SUBSTITUTE($G132,"-"," ",LEN($G132)-LEN(SUBSTITUTE($G132,"-",""))),"-"," ",LEN($G132)-LEN(SUBSTITUTE($G132,"-",""))-1))-LEN(SUBSTITUTE(SUBSTITUTE(SUBSTITUTE($G132,"-"," ",LEN($G132)-LEN(SUBSTITUTE($G132,"-",""))),"-"," ",LEN($G132)-LEN(SUBSTITUTE($G132,"-",""))-1),".",""))))),$G132)))</f>
        <v/>
      </c>
    </row>
    <row r="133">
      <c r="A133" s="58" t="n"/>
      <c r="B133" s="58">
        <f>IF($H133="","",LEFT($H133,FIND(" ",$H133&amp;" ")-1))</f>
        <v/>
      </c>
      <c r="C133" s="58">
        <f>IF($H133="","",IFERROR(MID($H133&amp;" ",FIND("|",SUBSTITUTE($H133&amp;" "," ","|",1))+1,FIND("|",SUBSTITUTE($H133&amp;" "," ","|",2))-FIND("|",SUBSTITUTE($H133&amp;" "," ","|",1))-1),""))</f>
        <v/>
      </c>
      <c r="D133" s="58">
        <f>IF($H133="","",IFERROR(MID($H133&amp;" ",FIND("|",SUBSTITUTE($H133&amp;" "," ","|",2))+1,FIND("|",SUBSTITUTE($H133&amp;" "," ","|",3))-FIND("|",SUBSTITUTE($H133&amp;" "," ","|",2))-1),""))</f>
        <v/>
      </c>
      <c r="E133" s="58">
        <f>IF($H133="","",IFERROR(MID($H133&amp;" ",FIND("|",SUBSTITUTE($H133&amp;" "," ","|",3))+1,FIND("|",SUBSTITUTE($H133&amp;" "," ","|",4))-FIND("|",SUBSTITUTE($H133&amp;" "," ","|",3))-1),""))</f>
        <v/>
      </c>
      <c r="F133" s="59">
        <f>IF($H133="","",IFERROR(VALUE(IFERROR(MID($H133&amp;" ",FIND("|",SUBSTITUTE($H133&amp;" "," ","|",4))+1,FIND("|",SUBSTITUTE($H133&amp;" "," ","|",5))-FIND("|",SUBSTITUTE($H133&amp;" "," ","|",4))-1),""))/86400+25569+9/24,""))</f>
        <v/>
      </c>
      <c r="G133" s="58">
        <f>TRIM(SUBSTITUTE(SUBSTITUTE(SUBSTITUTE($A133,CHAR(9)," ")," "," "),CHAR(13),""))</f>
        <v/>
      </c>
      <c r="H133" s="58">
        <f>IF($G133="","",IF(ISNUMBER(FIND(" ",$G133)),$G133,IFERROR(IF((LEN(SUBSTITUTE(SUBSTITUTE($G133,"-"," ",LEN($G133)-LEN(SUBSTITUTE($G133,"-",""))),"-"," ",LEN($G133)-LEN(SUBSTITUTE($G133,"-",""))-1))-LEN(SUBSTITUTE(SUBSTITUTE(SUBSTITUTE($G133,"-"," ",LEN($G133)-LEN(SUBSTITUTE($G133,"-",""))),"-"," ",LEN($G133)-LEN(SUBSTITUTE($G133,"-",""))-1),".","")))=0,SUBSTITUTE(SUBSTITUTE($G133,"-"," ",LEN($G133)-LEN(SUBSTITUTE($G133,"-",""))),"-"," ",LEN($G133)-LEN(SUBSTITUTE($G133,"-",""))-1),SUBSTITUTE(SUBSTITUTE(SUBSTITUTE($G133,"-"," ",LEN($G133)-LEN(SUBSTITUTE($G133,"-",""))),"-"," ",LEN($G133)-LEN(SUBSTITUTE($G133,"-",""))-1),"."," ",(LEN(SUBSTITUTE(SUBSTITUTE($G133,"-"," ",LEN($G133)-LEN(SUBSTITUTE($G133,"-",""))),"-"," ",LEN($G133)-LEN(SUBSTITUTE($G133,"-",""))-1))-LEN(SUBSTITUTE(SUBSTITUTE(SUBSTITUTE($G133,"-"," ",LEN($G133)-LEN(SUBSTITUTE($G133,"-",""))),"-"," ",LEN($G133)-LEN(SUBSTITUTE($G133,"-",""))-1),".",""))))),$G133)))</f>
        <v/>
      </c>
    </row>
    <row r="134">
      <c r="A134" s="58" t="n"/>
      <c r="B134" s="58">
        <f>IF($H134="","",LEFT($H134,FIND(" ",$H134&amp;" ")-1))</f>
        <v/>
      </c>
      <c r="C134" s="58">
        <f>IF($H134="","",IFERROR(MID($H134&amp;" ",FIND("|",SUBSTITUTE($H134&amp;" "," ","|",1))+1,FIND("|",SUBSTITUTE($H134&amp;" "," ","|",2))-FIND("|",SUBSTITUTE($H134&amp;" "," ","|",1))-1),""))</f>
        <v/>
      </c>
      <c r="D134" s="58">
        <f>IF($H134="","",IFERROR(MID($H134&amp;" ",FIND("|",SUBSTITUTE($H134&amp;" "," ","|",2))+1,FIND("|",SUBSTITUTE($H134&amp;" "," ","|",3))-FIND("|",SUBSTITUTE($H134&amp;" "," ","|",2))-1),""))</f>
        <v/>
      </c>
      <c r="E134" s="58">
        <f>IF($H134="","",IFERROR(MID($H134&amp;" ",FIND("|",SUBSTITUTE($H134&amp;" "," ","|",3))+1,FIND("|",SUBSTITUTE($H134&amp;" "," ","|",4))-FIND("|",SUBSTITUTE($H134&amp;" "," ","|",3))-1),""))</f>
        <v/>
      </c>
      <c r="F134" s="59">
        <f>IF($H134="","",IFERROR(VALUE(IFERROR(MID($H134&amp;" ",FIND("|",SUBSTITUTE($H134&amp;" "," ","|",4))+1,FIND("|",SUBSTITUTE($H134&amp;" "," ","|",5))-FIND("|",SUBSTITUTE($H134&amp;" "," ","|",4))-1),""))/86400+25569+9/24,""))</f>
        <v/>
      </c>
      <c r="G134" s="58">
        <f>TRIM(SUBSTITUTE(SUBSTITUTE(SUBSTITUTE($A134,CHAR(9)," ")," "," "),CHAR(13),""))</f>
        <v/>
      </c>
      <c r="H134" s="58">
        <f>IF($G134="","",IF(ISNUMBER(FIND(" ",$G134)),$G134,IFERROR(IF((LEN(SUBSTITUTE(SUBSTITUTE($G134,"-"," ",LEN($G134)-LEN(SUBSTITUTE($G134,"-",""))),"-"," ",LEN($G134)-LEN(SUBSTITUTE($G134,"-",""))-1))-LEN(SUBSTITUTE(SUBSTITUTE(SUBSTITUTE($G134,"-"," ",LEN($G134)-LEN(SUBSTITUTE($G134,"-",""))),"-"," ",LEN($G134)-LEN(SUBSTITUTE($G134,"-",""))-1),".","")))=0,SUBSTITUTE(SUBSTITUTE($G134,"-"," ",LEN($G134)-LEN(SUBSTITUTE($G134,"-",""))),"-"," ",LEN($G134)-LEN(SUBSTITUTE($G134,"-",""))-1),SUBSTITUTE(SUBSTITUTE(SUBSTITUTE($G134,"-"," ",LEN($G134)-LEN(SUBSTITUTE($G134,"-",""))),"-"," ",LEN($G134)-LEN(SUBSTITUTE($G134,"-",""))-1),"."," ",(LEN(SUBSTITUTE(SUBSTITUTE($G134,"-"," ",LEN($G134)-LEN(SUBSTITUTE($G134,"-",""))),"-"," ",LEN($G134)-LEN(SUBSTITUTE($G134,"-",""))-1))-LEN(SUBSTITUTE(SUBSTITUTE(SUBSTITUTE($G134,"-"," ",LEN($G134)-LEN(SUBSTITUTE($G134,"-",""))),"-"," ",LEN($G134)-LEN(SUBSTITUTE($G134,"-",""))-1),".",""))))),$G134)))</f>
        <v/>
      </c>
    </row>
    <row r="135">
      <c r="A135" s="58" t="n"/>
      <c r="B135" s="58">
        <f>IF($H135="","",LEFT($H135,FIND(" ",$H135&amp;" ")-1))</f>
        <v/>
      </c>
      <c r="C135" s="58">
        <f>IF($H135="","",IFERROR(MID($H135&amp;" ",FIND("|",SUBSTITUTE($H135&amp;" "," ","|",1))+1,FIND("|",SUBSTITUTE($H135&amp;" "," ","|",2))-FIND("|",SUBSTITUTE($H135&amp;" "," ","|",1))-1),""))</f>
        <v/>
      </c>
      <c r="D135" s="58">
        <f>IF($H135="","",IFERROR(MID($H135&amp;" ",FIND("|",SUBSTITUTE($H135&amp;" "," ","|",2))+1,FIND("|",SUBSTITUTE($H135&amp;" "," ","|",3))-FIND("|",SUBSTITUTE($H135&amp;" "," ","|",2))-1),""))</f>
        <v/>
      </c>
      <c r="E135" s="58">
        <f>IF($H135="","",IFERROR(MID($H135&amp;" ",FIND("|",SUBSTITUTE($H135&amp;" "," ","|",3))+1,FIND("|",SUBSTITUTE($H135&amp;" "," ","|",4))-FIND("|",SUBSTITUTE($H135&amp;" "," ","|",3))-1),""))</f>
        <v/>
      </c>
      <c r="F135" s="59">
        <f>IF($H135="","",IFERROR(VALUE(IFERROR(MID($H135&amp;" ",FIND("|",SUBSTITUTE($H135&amp;" "," ","|",4))+1,FIND("|",SUBSTITUTE($H135&amp;" "," ","|",5))-FIND("|",SUBSTITUTE($H135&amp;" "," ","|",4))-1),""))/86400+25569+9/24,""))</f>
        <v/>
      </c>
      <c r="G135" s="58">
        <f>TRIM(SUBSTITUTE(SUBSTITUTE(SUBSTITUTE($A135,CHAR(9)," ")," "," "),CHAR(13),""))</f>
        <v/>
      </c>
      <c r="H135" s="58">
        <f>IF($G135="","",IF(ISNUMBER(FIND(" ",$G135)),$G135,IFERROR(IF((LEN(SUBSTITUTE(SUBSTITUTE($G135,"-"," ",LEN($G135)-LEN(SUBSTITUTE($G135,"-",""))),"-"," ",LEN($G135)-LEN(SUBSTITUTE($G135,"-",""))-1))-LEN(SUBSTITUTE(SUBSTITUTE(SUBSTITUTE($G135,"-"," ",LEN($G135)-LEN(SUBSTITUTE($G135,"-",""))),"-"," ",LEN($G135)-LEN(SUBSTITUTE($G135,"-",""))-1),".","")))=0,SUBSTITUTE(SUBSTITUTE($G135,"-"," ",LEN($G135)-LEN(SUBSTITUTE($G135,"-",""))),"-"," ",LEN($G135)-LEN(SUBSTITUTE($G135,"-",""))-1),SUBSTITUTE(SUBSTITUTE(SUBSTITUTE($G135,"-"," ",LEN($G135)-LEN(SUBSTITUTE($G135,"-",""))),"-"," ",LEN($G135)-LEN(SUBSTITUTE($G135,"-",""))-1),"."," ",(LEN(SUBSTITUTE(SUBSTITUTE($G135,"-"," ",LEN($G135)-LEN(SUBSTITUTE($G135,"-",""))),"-"," ",LEN($G135)-LEN(SUBSTITUTE($G135,"-",""))-1))-LEN(SUBSTITUTE(SUBSTITUTE(SUBSTITUTE($G135,"-"," ",LEN($G135)-LEN(SUBSTITUTE($G135,"-",""))),"-"," ",LEN($G135)-LEN(SUBSTITUTE($G135,"-",""))-1),".",""))))),$G135)))</f>
        <v/>
      </c>
    </row>
    <row r="136">
      <c r="A136" s="58" t="n"/>
      <c r="B136" s="58">
        <f>IF($H136="","",LEFT($H136,FIND(" ",$H136&amp;" ")-1))</f>
        <v/>
      </c>
      <c r="C136" s="58">
        <f>IF($H136="","",IFERROR(MID($H136&amp;" ",FIND("|",SUBSTITUTE($H136&amp;" "," ","|",1))+1,FIND("|",SUBSTITUTE($H136&amp;" "," ","|",2))-FIND("|",SUBSTITUTE($H136&amp;" "," ","|",1))-1),""))</f>
        <v/>
      </c>
      <c r="D136" s="58">
        <f>IF($H136="","",IFERROR(MID($H136&amp;" ",FIND("|",SUBSTITUTE($H136&amp;" "," ","|",2))+1,FIND("|",SUBSTITUTE($H136&amp;" "," ","|",3))-FIND("|",SUBSTITUTE($H136&amp;" "," ","|",2))-1),""))</f>
        <v/>
      </c>
      <c r="E136" s="58">
        <f>IF($H136="","",IFERROR(MID($H136&amp;" ",FIND("|",SUBSTITUTE($H136&amp;" "," ","|",3))+1,FIND("|",SUBSTITUTE($H136&amp;" "," ","|",4))-FIND("|",SUBSTITUTE($H136&amp;" "," ","|",3))-1),""))</f>
        <v/>
      </c>
      <c r="F136" s="59">
        <f>IF($H136="","",IFERROR(VALUE(IFERROR(MID($H136&amp;" ",FIND("|",SUBSTITUTE($H136&amp;" "," ","|",4))+1,FIND("|",SUBSTITUTE($H136&amp;" "," ","|",5))-FIND("|",SUBSTITUTE($H136&amp;" "," ","|",4))-1),""))/86400+25569+9/24,""))</f>
        <v/>
      </c>
      <c r="G136" s="58">
        <f>TRIM(SUBSTITUTE(SUBSTITUTE(SUBSTITUTE($A136,CHAR(9)," ")," "," "),CHAR(13),""))</f>
        <v/>
      </c>
      <c r="H136" s="58">
        <f>IF($G136="","",IF(ISNUMBER(FIND(" ",$G136)),$G136,IFERROR(IF((LEN(SUBSTITUTE(SUBSTITUTE($G136,"-"," ",LEN($G136)-LEN(SUBSTITUTE($G136,"-",""))),"-"," ",LEN($G136)-LEN(SUBSTITUTE($G136,"-",""))-1))-LEN(SUBSTITUTE(SUBSTITUTE(SUBSTITUTE($G136,"-"," ",LEN($G136)-LEN(SUBSTITUTE($G136,"-",""))),"-"," ",LEN($G136)-LEN(SUBSTITUTE($G136,"-",""))-1),".","")))=0,SUBSTITUTE(SUBSTITUTE($G136,"-"," ",LEN($G136)-LEN(SUBSTITUTE($G136,"-",""))),"-"," ",LEN($G136)-LEN(SUBSTITUTE($G136,"-",""))-1),SUBSTITUTE(SUBSTITUTE(SUBSTITUTE($G136,"-"," ",LEN($G136)-LEN(SUBSTITUTE($G136,"-",""))),"-"," ",LEN($G136)-LEN(SUBSTITUTE($G136,"-",""))-1),"."," ",(LEN(SUBSTITUTE(SUBSTITUTE($G136,"-"," ",LEN($G136)-LEN(SUBSTITUTE($G136,"-",""))),"-"," ",LEN($G136)-LEN(SUBSTITUTE($G136,"-",""))-1))-LEN(SUBSTITUTE(SUBSTITUTE(SUBSTITUTE($G136,"-"," ",LEN($G136)-LEN(SUBSTITUTE($G136,"-",""))),"-"," ",LEN($G136)-LEN(SUBSTITUTE($G136,"-",""))-1),".",""))))),$G136)))</f>
        <v/>
      </c>
    </row>
    <row r="137">
      <c r="A137" s="58" t="n"/>
      <c r="B137" s="58">
        <f>IF($H137="","",LEFT($H137,FIND(" ",$H137&amp;" ")-1))</f>
        <v/>
      </c>
      <c r="C137" s="58">
        <f>IF($H137="","",IFERROR(MID($H137&amp;" ",FIND("|",SUBSTITUTE($H137&amp;" "," ","|",1))+1,FIND("|",SUBSTITUTE($H137&amp;" "," ","|",2))-FIND("|",SUBSTITUTE($H137&amp;" "," ","|",1))-1),""))</f>
        <v/>
      </c>
      <c r="D137" s="58">
        <f>IF($H137="","",IFERROR(MID($H137&amp;" ",FIND("|",SUBSTITUTE($H137&amp;" "," ","|",2))+1,FIND("|",SUBSTITUTE($H137&amp;" "," ","|",3))-FIND("|",SUBSTITUTE($H137&amp;" "," ","|",2))-1),""))</f>
        <v/>
      </c>
      <c r="E137" s="58">
        <f>IF($H137="","",IFERROR(MID($H137&amp;" ",FIND("|",SUBSTITUTE($H137&amp;" "," ","|",3))+1,FIND("|",SUBSTITUTE($H137&amp;" "," ","|",4))-FIND("|",SUBSTITUTE($H137&amp;" "," ","|",3))-1),""))</f>
        <v/>
      </c>
      <c r="F137" s="59">
        <f>IF($H137="","",IFERROR(VALUE(IFERROR(MID($H137&amp;" ",FIND("|",SUBSTITUTE($H137&amp;" "," ","|",4))+1,FIND("|",SUBSTITUTE($H137&amp;" "," ","|",5))-FIND("|",SUBSTITUTE($H137&amp;" "," ","|",4))-1),""))/86400+25569+9/24,""))</f>
        <v/>
      </c>
      <c r="G137" s="58">
        <f>TRIM(SUBSTITUTE(SUBSTITUTE(SUBSTITUTE($A137,CHAR(9)," ")," "," "),CHAR(13),""))</f>
        <v/>
      </c>
      <c r="H137" s="58">
        <f>IF($G137="","",IF(ISNUMBER(FIND(" ",$G137)),$G137,IFERROR(IF((LEN(SUBSTITUTE(SUBSTITUTE($G137,"-"," ",LEN($G137)-LEN(SUBSTITUTE($G137,"-",""))),"-"," ",LEN($G137)-LEN(SUBSTITUTE($G137,"-",""))-1))-LEN(SUBSTITUTE(SUBSTITUTE(SUBSTITUTE($G137,"-"," ",LEN($G137)-LEN(SUBSTITUTE($G137,"-",""))),"-"," ",LEN($G137)-LEN(SUBSTITUTE($G137,"-",""))-1),".","")))=0,SUBSTITUTE(SUBSTITUTE($G137,"-"," ",LEN($G137)-LEN(SUBSTITUTE($G137,"-",""))),"-"," ",LEN($G137)-LEN(SUBSTITUTE($G137,"-",""))-1),SUBSTITUTE(SUBSTITUTE(SUBSTITUTE($G137,"-"," ",LEN($G137)-LEN(SUBSTITUTE($G137,"-",""))),"-"," ",LEN($G137)-LEN(SUBSTITUTE($G137,"-",""))-1),"."," ",(LEN(SUBSTITUTE(SUBSTITUTE($G137,"-"," ",LEN($G137)-LEN(SUBSTITUTE($G137,"-",""))),"-"," ",LEN($G137)-LEN(SUBSTITUTE($G137,"-",""))-1))-LEN(SUBSTITUTE(SUBSTITUTE(SUBSTITUTE($G137,"-"," ",LEN($G137)-LEN(SUBSTITUTE($G137,"-",""))),"-"," ",LEN($G137)-LEN(SUBSTITUTE($G137,"-",""))-1),".",""))))),$G137)))</f>
        <v/>
      </c>
    </row>
    <row r="138">
      <c r="A138" s="58" t="n"/>
      <c r="B138" s="58">
        <f>IF($H138="","",LEFT($H138,FIND(" ",$H138&amp;" ")-1))</f>
        <v/>
      </c>
      <c r="C138" s="58">
        <f>IF($H138="","",IFERROR(MID($H138&amp;" ",FIND("|",SUBSTITUTE($H138&amp;" "," ","|",1))+1,FIND("|",SUBSTITUTE($H138&amp;" "," ","|",2))-FIND("|",SUBSTITUTE($H138&amp;" "," ","|",1))-1),""))</f>
        <v/>
      </c>
      <c r="D138" s="58">
        <f>IF($H138="","",IFERROR(MID($H138&amp;" ",FIND("|",SUBSTITUTE($H138&amp;" "," ","|",2))+1,FIND("|",SUBSTITUTE($H138&amp;" "," ","|",3))-FIND("|",SUBSTITUTE($H138&amp;" "," ","|",2))-1),""))</f>
        <v/>
      </c>
      <c r="E138" s="58">
        <f>IF($H138="","",IFERROR(MID($H138&amp;" ",FIND("|",SUBSTITUTE($H138&amp;" "," ","|",3))+1,FIND("|",SUBSTITUTE($H138&amp;" "," ","|",4))-FIND("|",SUBSTITUTE($H138&amp;" "," ","|",3))-1),""))</f>
        <v/>
      </c>
      <c r="F138" s="59">
        <f>IF($H138="","",IFERROR(VALUE(IFERROR(MID($H138&amp;" ",FIND("|",SUBSTITUTE($H138&amp;" "," ","|",4))+1,FIND("|",SUBSTITUTE($H138&amp;" "," ","|",5))-FIND("|",SUBSTITUTE($H138&amp;" "," ","|",4))-1),""))/86400+25569+9/24,""))</f>
        <v/>
      </c>
      <c r="G138" s="58">
        <f>TRIM(SUBSTITUTE(SUBSTITUTE(SUBSTITUTE($A138,CHAR(9)," ")," "," "),CHAR(13),""))</f>
        <v/>
      </c>
      <c r="H138" s="58">
        <f>IF($G138="","",IF(ISNUMBER(FIND(" ",$G138)),$G138,IFERROR(IF((LEN(SUBSTITUTE(SUBSTITUTE($G138,"-"," ",LEN($G138)-LEN(SUBSTITUTE($G138,"-",""))),"-"," ",LEN($G138)-LEN(SUBSTITUTE($G138,"-",""))-1))-LEN(SUBSTITUTE(SUBSTITUTE(SUBSTITUTE($G138,"-"," ",LEN($G138)-LEN(SUBSTITUTE($G138,"-",""))),"-"," ",LEN($G138)-LEN(SUBSTITUTE($G138,"-",""))-1),".","")))=0,SUBSTITUTE(SUBSTITUTE($G138,"-"," ",LEN($G138)-LEN(SUBSTITUTE($G138,"-",""))),"-"," ",LEN($G138)-LEN(SUBSTITUTE($G138,"-",""))-1),SUBSTITUTE(SUBSTITUTE(SUBSTITUTE($G138,"-"," ",LEN($G138)-LEN(SUBSTITUTE($G138,"-",""))),"-"," ",LEN($G138)-LEN(SUBSTITUTE($G138,"-",""))-1),"."," ",(LEN(SUBSTITUTE(SUBSTITUTE($G138,"-"," ",LEN($G138)-LEN(SUBSTITUTE($G138,"-",""))),"-"," ",LEN($G138)-LEN(SUBSTITUTE($G138,"-",""))-1))-LEN(SUBSTITUTE(SUBSTITUTE(SUBSTITUTE($G138,"-"," ",LEN($G138)-LEN(SUBSTITUTE($G138,"-",""))),"-"," ",LEN($G138)-LEN(SUBSTITUTE($G138,"-",""))-1),".",""))))),$G138)))</f>
        <v/>
      </c>
    </row>
    <row r="139">
      <c r="A139" s="58" t="n"/>
      <c r="B139" s="58">
        <f>IF($H139="","",LEFT($H139,FIND(" ",$H139&amp;" ")-1))</f>
        <v/>
      </c>
      <c r="C139" s="58">
        <f>IF($H139="","",IFERROR(MID($H139&amp;" ",FIND("|",SUBSTITUTE($H139&amp;" "," ","|",1))+1,FIND("|",SUBSTITUTE($H139&amp;" "," ","|",2))-FIND("|",SUBSTITUTE($H139&amp;" "," ","|",1))-1),""))</f>
        <v/>
      </c>
      <c r="D139" s="58">
        <f>IF($H139="","",IFERROR(MID($H139&amp;" ",FIND("|",SUBSTITUTE($H139&amp;" "," ","|",2))+1,FIND("|",SUBSTITUTE($H139&amp;" "," ","|",3))-FIND("|",SUBSTITUTE($H139&amp;" "," ","|",2))-1),""))</f>
        <v/>
      </c>
      <c r="E139" s="58">
        <f>IF($H139="","",IFERROR(MID($H139&amp;" ",FIND("|",SUBSTITUTE($H139&amp;" "," ","|",3))+1,FIND("|",SUBSTITUTE($H139&amp;" "," ","|",4))-FIND("|",SUBSTITUTE($H139&amp;" "," ","|",3))-1),""))</f>
        <v/>
      </c>
      <c r="F139" s="59">
        <f>IF($H139="","",IFERROR(VALUE(IFERROR(MID($H139&amp;" ",FIND("|",SUBSTITUTE($H139&amp;" "," ","|",4))+1,FIND("|",SUBSTITUTE($H139&amp;" "," ","|",5))-FIND("|",SUBSTITUTE($H139&amp;" "," ","|",4))-1),""))/86400+25569+9/24,""))</f>
        <v/>
      </c>
      <c r="G139" s="58">
        <f>TRIM(SUBSTITUTE(SUBSTITUTE(SUBSTITUTE($A139,CHAR(9)," ")," "," "),CHAR(13),""))</f>
        <v/>
      </c>
      <c r="H139" s="58">
        <f>IF($G139="","",IF(ISNUMBER(FIND(" ",$G139)),$G139,IFERROR(IF((LEN(SUBSTITUTE(SUBSTITUTE($G139,"-"," ",LEN($G139)-LEN(SUBSTITUTE($G139,"-",""))),"-"," ",LEN($G139)-LEN(SUBSTITUTE($G139,"-",""))-1))-LEN(SUBSTITUTE(SUBSTITUTE(SUBSTITUTE($G139,"-"," ",LEN($G139)-LEN(SUBSTITUTE($G139,"-",""))),"-"," ",LEN($G139)-LEN(SUBSTITUTE($G139,"-",""))-1),".","")))=0,SUBSTITUTE(SUBSTITUTE($G139,"-"," ",LEN($G139)-LEN(SUBSTITUTE($G139,"-",""))),"-"," ",LEN($G139)-LEN(SUBSTITUTE($G139,"-",""))-1),SUBSTITUTE(SUBSTITUTE(SUBSTITUTE($G139,"-"," ",LEN($G139)-LEN(SUBSTITUTE($G139,"-",""))),"-"," ",LEN($G139)-LEN(SUBSTITUTE($G139,"-",""))-1),"."," ",(LEN(SUBSTITUTE(SUBSTITUTE($G139,"-"," ",LEN($G139)-LEN(SUBSTITUTE($G139,"-",""))),"-"," ",LEN($G139)-LEN(SUBSTITUTE($G139,"-",""))-1))-LEN(SUBSTITUTE(SUBSTITUTE(SUBSTITUTE($G139,"-"," ",LEN($G139)-LEN(SUBSTITUTE($G139,"-",""))),"-"," ",LEN($G139)-LEN(SUBSTITUTE($G139,"-",""))-1),".",""))))),$G139)))</f>
        <v/>
      </c>
    </row>
    <row r="140">
      <c r="A140" s="58" t="n"/>
      <c r="B140" s="58">
        <f>IF($H140="","",LEFT($H140,FIND(" ",$H140&amp;" ")-1))</f>
        <v/>
      </c>
      <c r="C140" s="58">
        <f>IF($H140="","",IFERROR(MID($H140&amp;" ",FIND("|",SUBSTITUTE($H140&amp;" "," ","|",1))+1,FIND("|",SUBSTITUTE($H140&amp;" "," ","|",2))-FIND("|",SUBSTITUTE($H140&amp;" "," ","|",1))-1),""))</f>
        <v/>
      </c>
      <c r="D140" s="58">
        <f>IF($H140="","",IFERROR(MID($H140&amp;" ",FIND("|",SUBSTITUTE($H140&amp;" "," ","|",2))+1,FIND("|",SUBSTITUTE($H140&amp;" "," ","|",3))-FIND("|",SUBSTITUTE($H140&amp;" "," ","|",2))-1),""))</f>
        <v/>
      </c>
      <c r="E140" s="58">
        <f>IF($H140="","",IFERROR(MID($H140&amp;" ",FIND("|",SUBSTITUTE($H140&amp;" "," ","|",3))+1,FIND("|",SUBSTITUTE($H140&amp;" "," ","|",4))-FIND("|",SUBSTITUTE($H140&amp;" "," ","|",3))-1),""))</f>
        <v/>
      </c>
      <c r="F140" s="59">
        <f>IF($H140="","",IFERROR(VALUE(IFERROR(MID($H140&amp;" ",FIND("|",SUBSTITUTE($H140&amp;" "," ","|",4))+1,FIND("|",SUBSTITUTE($H140&amp;" "," ","|",5))-FIND("|",SUBSTITUTE($H140&amp;" "," ","|",4))-1),""))/86400+25569+9/24,""))</f>
        <v/>
      </c>
      <c r="G140" s="58">
        <f>TRIM(SUBSTITUTE(SUBSTITUTE(SUBSTITUTE($A140,CHAR(9)," ")," "," "),CHAR(13),""))</f>
        <v/>
      </c>
      <c r="H140" s="58">
        <f>IF($G140="","",IF(ISNUMBER(FIND(" ",$G140)),$G140,IFERROR(IF((LEN(SUBSTITUTE(SUBSTITUTE($G140,"-"," ",LEN($G140)-LEN(SUBSTITUTE($G140,"-",""))),"-"," ",LEN($G140)-LEN(SUBSTITUTE($G140,"-",""))-1))-LEN(SUBSTITUTE(SUBSTITUTE(SUBSTITUTE($G140,"-"," ",LEN($G140)-LEN(SUBSTITUTE($G140,"-",""))),"-"," ",LEN($G140)-LEN(SUBSTITUTE($G140,"-",""))-1),".","")))=0,SUBSTITUTE(SUBSTITUTE($G140,"-"," ",LEN($G140)-LEN(SUBSTITUTE($G140,"-",""))),"-"," ",LEN($G140)-LEN(SUBSTITUTE($G140,"-",""))-1),SUBSTITUTE(SUBSTITUTE(SUBSTITUTE($G140,"-"," ",LEN($G140)-LEN(SUBSTITUTE($G140,"-",""))),"-"," ",LEN($G140)-LEN(SUBSTITUTE($G140,"-",""))-1),"."," ",(LEN(SUBSTITUTE(SUBSTITUTE($G140,"-"," ",LEN($G140)-LEN(SUBSTITUTE($G140,"-",""))),"-"," ",LEN($G140)-LEN(SUBSTITUTE($G140,"-",""))-1))-LEN(SUBSTITUTE(SUBSTITUTE(SUBSTITUTE($G140,"-"," ",LEN($G140)-LEN(SUBSTITUTE($G140,"-",""))),"-"," ",LEN($G140)-LEN(SUBSTITUTE($G140,"-",""))-1),".",""))))),$G140)))</f>
        <v/>
      </c>
    </row>
    <row r="141">
      <c r="A141" s="58" t="n"/>
      <c r="B141" s="58">
        <f>IF($H141="","",LEFT($H141,FIND(" ",$H141&amp;" ")-1))</f>
        <v/>
      </c>
      <c r="C141" s="58">
        <f>IF($H141="","",IFERROR(MID($H141&amp;" ",FIND("|",SUBSTITUTE($H141&amp;" "," ","|",1))+1,FIND("|",SUBSTITUTE($H141&amp;" "," ","|",2))-FIND("|",SUBSTITUTE($H141&amp;" "," ","|",1))-1),""))</f>
        <v/>
      </c>
      <c r="D141" s="58">
        <f>IF($H141="","",IFERROR(MID($H141&amp;" ",FIND("|",SUBSTITUTE($H141&amp;" "," ","|",2))+1,FIND("|",SUBSTITUTE($H141&amp;" "," ","|",3))-FIND("|",SUBSTITUTE($H141&amp;" "," ","|",2))-1),""))</f>
        <v/>
      </c>
      <c r="E141" s="58">
        <f>IF($H141="","",IFERROR(MID($H141&amp;" ",FIND("|",SUBSTITUTE($H141&amp;" "," ","|",3))+1,FIND("|",SUBSTITUTE($H141&amp;" "," ","|",4))-FIND("|",SUBSTITUTE($H141&amp;" "," ","|",3))-1),""))</f>
        <v/>
      </c>
      <c r="F141" s="59">
        <f>IF($H141="","",IFERROR(VALUE(IFERROR(MID($H141&amp;" ",FIND("|",SUBSTITUTE($H141&amp;" "," ","|",4))+1,FIND("|",SUBSTITUTE($H141&amp;" "," ","|",5))-FIND("|",SUBSTITUTE($H141&amp;" "," ","|",4))-1),""))/86400+25569+9/24,""))</f>
        <v/>
      </c>
      <c r="G141" s="58">
        <f>TRIM(SUBSTITUTE(SUBSTITUTE(SUBSTITUTE($A141,CHAR(9)," ")," "," "),CHAR(13),""))</f>
        <v/>
      </c>
      <c r="H141" s="58">
        <f>IF($G141="","",IF(ISNUMBER(FIND(" ",$G141)),$G141,IFERROR(IF((LEN(SUBSTITUTE(SUBSTITUTE($G141,"-"," ",LEN($G141)-LEN(SUBSTITUTE($G141,"-",""))),"-"," ",LEN($G141)-LEN(SUBSTITUTE($G141,"-",""))-1))-LEN(SUBSTITUTE(SUBSTITUTE(SUBSTITUTE($G141,"-"," ",LEN($G141)-LEN(SUBSTITUTE($G141,"-",""))),"-"," ",LEN($G141)-LEN(SUBSTITUTE($G141,"-",""))-1),".","")))=0,SUBSTITUTE(SUBSTITUTE($G141,"-"," ",LEN($G141)-LEN(SUBSTITUTE($G141,"-",""))),"-"," ",LEN($G141)-LEN(SUBSTITUTE($G141,"-",""))-1),SUBSTITUTE(SUBSTITUTE(SUBSTITUTE($G141,"-"," ",LEN($G141)-LEN(SUBSTITUTE($G141,"-",""))),"-"," ",LEN($G141)-LEN(SUBSTITUTE($G141,"-",""))-1),"."," ",(LEN(SUBSTITUTE(SUBSTITUTE($G141,"-"," ",LEN($G141)-LEN(SUBSTITUTE($G141,"-",""))),"-"," ",LEN($G141)-LEN(SUBSTITUTE($G141,"-",""))-1))-LEN(SUBSTITUTE(SUBSTITUTE(SUBSTITUTE($G141,"-"," ",LEN($G141)-LEN(SUBSTITUTE($G141,"-",""))),"-"," ",LEN($G141)-LEN(SUBSTITUTE($G141,"-",""))-1),".",""))))),$G141)))</f>
        <v/>
      </c>
    </row>
    <row r="142">
      <c r="A142" s="58" t="n"/>
      <c r="B142" s="58">
        <f>IF($H142="","",LEFT($H142,FIND(" ",$H142&amp;" ")-1))</f>
        <v/>
      </c>
      <c r="C142" s="58">
        <f>IF($H142="","",IFERROR(MID($H142&amp;" ",FIND("|",SUBSTITUTE($H142&amp;" "," ","|",1))+1,FIND("|",SUBSTITUTE($H142&amp;" "," ","|",2))-FIND("|",SUBSTITUTE($H142&amp;" "," ","|",1))-1),""))</f>
        <v/>
      </c>
      <c r="D142" s="58">
        <f>IF($H142="","",IFERROR(MID($H142&amp;" ",FIND("|",SUBSTITUTE($H142&amp;" "," ","|",2))+1,FIND("|",SUBSTITUTE($H142&amp;" "," ","|",3))-FIND("|",SUBSTITUTE($H142&amp;" "," ","|",2))-1),""))</f>
        <v/>
      </c>
      <c r="E142" s="58">
        <f>IF($H142="","",IFERROR(MID($H142&amp;" ",FIND("|",SUBSTITUTE($H142&amp;" "," ","|",3))+1,FIND("|",SUBSTITUTE($H142&amp;" "," ","|",4))-FIND("|",SUBSTITUTE($H142&amp;" "," ","|",3))-1),""))</f>
        <v/>
      </c>
      <c r="F142" s="59">
        <f>IF($H142="","",IFERROR(VALUE(IFERROR(MID($H142&amp;" ",FIND("|",SUBSTITUTE($H142&amp;" "," ","|",4))+1,FIND("|",SUBSTITUTE($H142&amp;" "," ","|",5))-FIND("|",SUBSTITUTE($H142&amp;" "," ","|",4))-1),""))/86400+25569+9/24,""))</f>
        <v/>
      </c>
      <c r="G142" s="58">
        <f>TRIM(SUBSTITUTE(SUBSTITUTE(SUBSTITUTE($A142,CHAR(9)," ")," "," "),CHAR(13),""))</f>
        <v/>
      </c>
      <c r="H142" s="58">
        <f>IF($G142="","",IF(ISNUMBER(FIND(" ",$G142)),$G142,IFERROR(IF((LEN(SUBSTITUTE(SUBSTITUTE($G142,"-"," ",LEN($G142)-LEN(SUBSTITUTE($G142,"-",""))),"-"," ",LEN($G142)-LEN(SUBSTITUTE($G142,"-",""))-1))-LEN(SUBSTITUTE(SUBSTITUTE(SUBSTITUTE($G142,"-"," ",LEN($G142)-LEN(SUBSTITUTE($G142,"-",""))),"-"," ",LEN($G142)-LEN(SUBSTITUTE($G142,"-",""))-1),".","")))=0,SUBSTITUTE(SUBSTITUTE($G142,"-"," ",LEN($G142)-LEN(SUBSTITUTE($G142,"-",""))),"-"," ",LEN($G142)-LEN(SUBSTITUTE($G142,"-",""))-1),SUBSTITUTE(SUBSTITUTE(SUBSTITUTE($G142,"-"," ",LEN($G142)-LEN(SUBSTITUTE($G142,"-",""))),"-"," ",LEN($G142)-LEN(SUBSTITUTE($G142,"-",""))-1),"."," ",(LEN(SUBSTITUTE(SUBSTITUTE($G142,"-"," ",LEN($G142)-LEN(SUBSTITUTE($G142,"-",""))),"-"," ",LEN($G142)-LEN(SUBSTITUTE($G142,"-",""))-1))-LEN(SUBSTITUTE(SUBSTITUTE(SUBSTITUTE($G142,"-"," ",LEN($G142)-LEN(SUBSTITUTE($G142,"-",""))),"-"," ",LEN($G142)-LEN(SUBSTITUTE($G142,"-",""))-1),".",""))))),$G142)))</f>
        <v/>
      </c>
    </row>
    <row r="143">
      <c r="A143" s="58" t="n"/>
      <c r="B143" s="58">
        <f>IF($H143="","",LEFT($H143,FIND(" ",$H143&amp;" ")-1))</f>
        <v/>
      </c>
      <c r="C143" s="58">
        <f>IF($H143="","",IFERROR(MID($H143&amp;" ",FIND("|",SUBSTITUTE($H143&amp;" "," ","|",1))+1,FIND("|",SUBSTITUTE($H143&amp;" "," ","|",2))-FIND("|",SUBSTITUTE($H143&amp;" "," ","|",1))-1),""))</f>
        <v/>
      </c>
      <c r="D143" s="58">
        <f>IF($H143="","",IFERROR(MID($H143&amp;" ",FIND("|",SUBSTITUTE($H143&amp;" "," ","|",2))+1,FIND("|",SUBSTITUTE($H143&amp;" "," ","|",3))-FIND("|",SUBSTITUTE($H143&amp;" "," ","|",2))-1),""))</f>
        <v/>
      </c>
      <c r="E143" s="58">
        <f>IF($H143="","",IFERROR(MID($H143&amp;" ",FIND("|",SUBSTITUTE($H143&amp;" "," ","|",3))+1,FIND("|",SUBSTITUTE($H143&amp;" "," ","|",4))-FIND("|",SUBSTITUTE($H143&amp;" "," ","|",3))-1),""))</f>
        <v/>
      </c>
      <c r="F143" s="59">
        <f>IF($H143="","",IFERROR(VALUE(IFERROR(MID($H143&amp;" ",FIND("|",SUBSTITUTE($H143&amp;" "," ","|",4))+1,FIND("|",SUBSTITUTE($H143&amp;" "," ","|",5))-FIND("|",SUBSTITUTE($H143&amp;" "," ","|",4))-1),""))/86400+25569+9/24,""))</f>
        <v/>
      </c>
      <c r="G143" s="58">
        <f>TRIM(SUBSTITUTE(SUBSTITUTE(SUBSTITUTE($A143,CHAR(9)," ")," "," "),CHAR(13),""))</f>
        <v/>
      </c>
      <c r="H143" s="58">
        <f>IF($G143="","",IF(ISNUMBER(FIND(" ",$G143)),$G143,IFERROR(IF((LEN(SUBSTITUTE(SUBSTITUTE($G143,"-"," ",LEN($G143)-LEN(SUBSTITUTE($G143,"-",""))),"-"," ",LEN($G143)-LEN(SUBSTITUTE($G143,"-",""))-1))-LEN(SUBSTITUTE(SUBSTITUTE(SUBSTITUTE($G143,"-"," ",LEN($G143)-LEN(SUBSTITUTE($G143,"-",""))),"-"," ",LEN($G143)-LEN(SUBSTITUTE($G143,"-",""))-1),".","")))=0,SUBSTITUTE(SUBSTITUTE($G143,"-"," ",LEN($G143)-LEN(SUBSTITUTE($G143,"-",""))),"-"," ",LEN($G143)-LEN(SUBSTITUTE($G143,"-",""))-1),SUBSTITUTE(SUBSTITUTE(SUBSTITUTE($G143,"-"," ",LEN($G143)-LEN(SUBSTITUTE($G143,"-",""))),"-"," ",LEN($G143)-LEN(SUBSTITUTE($G143,"-",""))-1),"."," ",(LEN(SUBSTITUTE(SUBSTITUTE($G143,"-"," ",LEN($G143)-LEN(SUBSTITUTE($G143,"-",""))),"-"," ",LEN($G143)-LEN(SUBSTITUTE($G143,"-",""))-1))-LEN(SUBSTITUTE(SUBSTITUTE(SUBSTITUTE($G143,"-"," ",LEN($G143)-LEN(SUBSTITUTE($G143,"-",""))),"-"," ",LEN($G143)-LEN(SUBSTITUTE($G143,"-",""))-1),".",""))))),$G143)))</f>
        <v/>
      </c>
    </row>
    <row r="144">
      <c r="A144" s="58" t="n"/>
      <c r="B144" s="58">
        <f>IF($H144="","",LEFT($H144,FIND(" ",$H144&amp;" ")-1))</f>
        <v/>
      </c>
      <c r="C144" s="58">
        <f>IF($H144="","",IFERROR(MID($H144&amp;" ",FIND("|",SUBSTITUTE($H144&amp;" "," ","|",1))+1,FIND("|",SUBSTITUTE($H144&amp;" "," ","|",2))-FIND("|",SUBSTITUTE($H144&amp;" "," ","|",1))-1),""))</f>
        <v/>
      </c>
      <c r="D144" s="58">
        <f>IF($H144="","",IFERROR(MID($H144&amp;" ",FIND("|",SUBSTITUTE($H144&amp;" "," ","|",2))+1,FIND("|",SUBSTITUTE($H144&amp;" "," ","|",3))-FIND("|",SUBSTITUTE($H144&amp;" "," ","|",2))-1),""))</f>
        <v/>
      </c>
      <c r="E144" s="58">
        <f>IF($H144="","",IFERROR(MID($H144&amp;" ",FIND("|",SUBSTITUTE($H144&amp;" "," ","|",3))+1,FIND("|",SUBSTITUTE($H144&amp;" "," ","|",4))-FIND("|",SUBSTITUTE($H144&amp;" "," ","|",3))-1),""))</f>
        <v/>
      </c>
      <c r="F144" s="59">
        <f>IF($H144="","",IFERROR(VALUE(IFERROR(MID($H144&amp;" ",FIND("|",SUBSTITUTE($H144&amp;" "," ","|",4))+1,FIND("|",SUBSTITUTE($H144&amp;" "," ","|",5))-FIND("|",SUBSTITUTE($H144&amp;" "," ","|",4))-1),""))/86400+25569+9/24,""))</f>
        <v/>
      </c>
      <c r="G144" s="58">
        <f>TRIM(SUBSTITUTE(SUBSTITUTE(SUBSTITUTE($A144,CHAR(9)," ")," "," "),CHAR(13),""))</f>
        <v/>
      </c>
      <c r="H144" s="58">
        <f>IF($G144="","",IF(ISNUMBER(FIND(" ",$G144)),$G144,IFERROR(IF((LEN(SUBSTITUTE(SUBSTITUTE($G144,"-"," ",LEN($G144)-LEN(SUBSTITUTE($G144,"-",""))),"-"," ",LEN($G144)-LEN(SUBSTITUTE($G144,"-",""))-1))-LEN(SUBSTITUTE(SUBSTITUTE(SUBSTITUTE($G144,"-"," ",LEN($G144)-LEN(SUBSTITUTE($G144,"-",""))),"-"," ",LEN($G144)-LEN(SUBSTITUTE($G144,"-",""))-1),".","")))=0,SUBSTITUTE(SUBSTITUTE($G144,"-"," ",LEN($G144)-LEN(SUBSTITUTE($G144,"-",""))),"-"," ",LEN($G144)-LEN(SUBSTITUTE($G144,"-",""))-1),SUBSTITUTE(SUBSTITUTE(SUBSTITUTE($G144,"-"," ",LEN($G144)-LEN(SUBSTITUTE($G144,"-",""))),"-"," ",LEN($G144)-LEN(SUBSTITUTE($G144,"-",""))-1),"."," ",(LEN(SUBSTITUTE(SUBSTITUTE($G144,"-"," ",LEN($G144)-LEN(SUBSTITUTE($G144,"-",""))),"-"," ",LEN($G144)-LEN(SUBSTITUTE($G144,"-",""))-1))-LEN(SUBSTITUTE(SUBSTITUTE(SUBSTITUTE($G144,"-"," ",LEN($G144)-LEN(SUBSTITUTE($G144,"-",""))),"-"," ",LEN($G144)-LEN(SUBSTITUTE($G144,"-",""))-1),".",""))))),$G144)))</f>
        <v/>
      </c>
    </row>
    <row r="145">
      <c r="A145" s="58" t="n"/>
      <c r="B145" s="58">
        <f>IF($H145="","",LEFT($H145,FIND(" ",$H145&amp;" ")-1))</f>
        <v/>
      </c>
      <c r="C145" s="58">
        <f>IF($H145="","",IFERROR(MID($H145&amp;" ",FIND("|",SUBSTITUTE($H145&amp;" "," ","|",1))+1,FIND("|",SUBSTITUTE($H145&amp;" "," ","|",2))-FIND("|",SUBSTITUTE($H145&amp;" "," ","|",1))-1),""))</f>
        <v/>
      </c>
      <c r="D145" s="58">
        <f>IF($H145="","",IFERROR(MID($H145&amp;" ",FIND("|",SUBSTITUTE($H145&amp;" "," ","|",2))+1,FIND("|",SUBSTITUTE($H145&amp;" "," ","|",3))-FIND("|",SUBSTITUTE($H145&amp;" "," ","|",2))-1),""))</f>
        <v/>
      </c>
      <c r="E145" s="58">
        <f>IF($H145="","",IFERROR(MID($H145&amp;" ",FIND("|",SUBSTITUTE($H145&amp;" "," ","|",3))+1,FIND("|",SUBSTITUTE($H145&amp;" "," ","|",4))-FIND("|",SUBSTITUTE($H145&amp;" "," ","|",3))-1),""))</f>
        <v/>
      </c>
      <c r="F145" s="59">
        <f>IF($H145="","",IFERROR(VALUE(IFERROR(MID($H145&amp;" ",FIND("|",SUBSTITUTE($H145&amp;" "," ","|",4))+1,FIND("|",SUBSTITUTE($H145&amp;" "," ","|",5))-FIND("|",SUBSTITUTE($H145&amp;" "," ","|",4))-1),""))/86400+25569+9/24,""))</f>
        <v/>
      </c>
      <c r="G145" s="58">
        <f>TRIM(SUBSTITUTE(SUBSTITUTE(SUBSTITUTE($A145,CHAR(9)," ")," "," "),CHAR(13),""))</f>
        <v/>
      </c>
      <c r="H145" s="58">
        <f>IF($G145="","",IF(ISNUMBER(FIND(" ",$G145)),$G145,IFERROR(IF((LEN(SUBSTITUTE(SUBSTITUTE($G145,"-"," ",LEN($G145)-LEN(SUBSTITUTE($G145,"-",""))),"-"," ",LEN($G145)-LEN(SUBSTITUTE($G145,"-",""))-1))-LEN(SUBSTITUTE(SUBSTITUTE(SUBSTITUTE($G145,"-"," ",LEN($G145)-LEN(SUBSTITUTE($G145,"-",""))),"-"," ",LEN($G145)-LEN(SUBSTITUTE($G145,"-",""))-1),".","")))=0,SUBSTITUTE(SUBSTITUTE($G145,"-"," ",LEN($G145)-LEN(SUBSTITUTE($G145,"-",""))),"-"," ",LEN($G145)-LEN(SUBSTITUTE($G145,"-",""))-1),SUBSTITUTE(SUBSTITUTE(SUBSTITUTE($G145,"-"," ",LEN($G145)-LEN(SUBSTITUTE($G145,"-",""))),"-"," ",LEN($G145)-LEN(SUBSTITUTE($G145,"-",""))-1),"."," ",(LEN(SUBSTITUTE(SUBSTITUTE($G145,"-"," ",LEN($G145)-LEN(SUBSTITUTE($G145,"-",""))),"-"," ",LEN($G145)-LEN(SUBSTITUTE($G145,"-",""))-1))-LEN(SUBSTITUTE(SUBSTITUTE(SUBSTITUTE($G145,"-"," ",LEN($G145)-LEN(SUBSTITUTE($G145,"-",""))),"-"," ",LEN($G145)-LEN(SUBSTITUTE($G145,"-",""))-1),".",""))))),$G145)))</f>
        <v/>
      </c>
    </row>
    <row r="146">
      <c r="A146" s="58" t="n"/>
      <c r="B146" s="58">
        <f>IF($H146="","",LEFT($H146,FIND(" ",$H146&amp;" ")-1))</f>
        <v/>
      </c>
      <c r="C146" s="58">
        <f>IF($H146="","",IFERROR(MID($H146&amp;" ",FIND("|",SUBSTITUTE($H146&amp;" "," ","|",1))+1,FIND("|",SUBSTITUTE($H146&amp;" "," ","|",2))-FIND("|",SUBSTITUTE($H146&amp;" "," ","|",1))-1),""))</f>
        <v/>
      </c>
      <c r="D146" s="58">
        <f>IF($H146="","",IFERROR(MID($H146&amp;" ",FIND("|",SUBSTITUTE($H146&amp;" "," ","|",2))+1,FIND("|",SUBSTITUTE($H146&amp;" "," ","|",3))-FIND("|",SUBSTITUTE($H146&amp;" "," ","|",2))-1),""))</f>
        <v/>
      </c>
      <c r="E146" s="58">
        <f>IF($H146="","",IFERROR(MID($H146&amp;" ",FIND("|",SUBSTITUTE($H146&amp;" "," ","|",3))+1,FIND("|",SUBSTITUTE($H146&amp;" "," ","|",4))-FIND("|",SUBSTITUTE($H146&amp;" "," ","|",3))-1),""))</f>
        <v/>
      </c>
      <c r="F146" s="59">
        <f>IF($H146="","",IFERROR(VALUE(IFERROR(MID($H146&amp;" ",FIND("|",SUBSTITUTE($H146&amp;" "," ","|",4))+1,FIND("|",SUBSTITUTE($H146&amp;" "," ","|",5))-FIND("|",SUBSTITUTE($H146&amp;" "," ","|",4))-1),""))/86400+25569+9/24,""))</f>
        <v/>
      </c>
      <c r="G146" s="58">
        <f>TRIM(SUBSTITUTE(SUBSTITUTE(SUBSTITUTE($A146,CHAR(9)," ")," "," "),CHAR(13),""))</f>
        <v/>
      </c>
      <c r="H146" s="58">
        <f>IF($G146="","",IF(ISNUMBER(FIND(" ",$G146)),$G146,IFERROR(IF((LEN(SUBSTITUTE(SUBSTITUTE($G146,"-"," ",LEN($G146)-LEN(SUBSTITUTE($G146,"-",""))),"-"," ",LEN($G146)-LEN(SUBSTITUTE($G146,"-",""))-1))-LEN(SUBSTITUTE(SUBSTITUTE(SUBSTITUTE($G146,"-"," ",LEN($G146)-LEN(SUBSTITUTE($G146,"-",""))),"-"," ",LEN($G146)-LEN(SUBSTITUTE($G146,"-",""))-1),".","")))=0,SUBSTITUTE(SUBSTITUTE($G146,"-"," ",LEN($G146)-LEN(SUBSTITUTE($G146,"-",""))),"-"," ",LEN($G146)-LEN(SUBSTITUTE($G146,"-",""))-1),SUBSTITUTE(SUBSTITUTE(SUBSTITUTE($G146,"-"," ",LEN($G146)-LEN(SUBSTITUTE($G146,"-",""))),"-"," ",LEN($G146)-LEN(SUBSTITUTE($G146,"-",""))-1),"."," ",(LEN(SUBSTITUTE(SUBSTITUTE($G146,"-"," ",LEN($G146)-LEN(SUBSTITUTE($G146,"-",""))),"-"," ",LEN($G146)-LEN(SUBSTITUTE($G146,"-",""))-1))-LEN(SUBSTITUTE(SUBSTITUTE(SUBSTITUTE($G146,"-"," ",LEN($G146)-LEN(SUBSTITUTE($G146,"-",""))),"-"," ",LEN($G146)-LEN(SUBSTITUTE($G146,"-",""))-1),".",""))))),$G146)))</f>
        <v/>
      </c>
    </row>
    <row r="147">
      <c r="A147" s="58" t="n"/>
      <c r="B147" s="58">
        <f>IF($H147="","",LEFT($H147,FIND(" ",$H147&amp;" ")-1))</f>
        <v/>
      </c>
      <c r="C147" s="58">
        <f>IF($H147="","",IFERROR(MID($H147&amp;" ",FIND("|",SUBSTITUTE($H147&amp;" "," ","|",1))+1,FIND("|",SUBSTITUTE($H147&amp;" "," ","|",2))-FIND("|",SUBSTITUTE($H147&amp;" "," ","|",1))-1),""))</f>
        <v/>
      </c>
      <c r="D147" s="58">
        <f>IF($H147="","",IFERROR(MID($H147&amp;" ",FIND("|",SUBSTITUTE($H147&amp;" "," ","|",2))+1,FIND("|",SUBSTITUTE($H147&amp;" "," ","|",3))-FIND("|",SUBSTITUTE($H147&amp;" "," ","|",2))-1),""))</f>
        <v/>
      </c>
      <c r="E147" s="58">
        <f>IF($H147="","",IFERROR(MID($H147&amp;" ",FIND("|",SUBSTITUTE($H147&amp;" "," ","|",3))+1,FIND("|",SUBSTITUTE($H147&amp;" "," ","|",4))-FIND("|",SUBSTITUTE($H147&amp;" "," ","|",3))-1),""))</f>
        <v/>
      </c>
      <c r="F147" s="59">
        <f>IF($H147="","",IFERROR(VALUE(IFERROR(MID($H147&amp;" ",FIND("|",SUBSTITUTE($H147&amp;" "," ","|",4))+1,FIND("|",SUBSTITUTE($H147&amp;" "," ","|",5))-FIND("|",SUBSTITUTE($H147&amp;" "," ","|",4))-1),""))/86400+25569+9/24,""))</f>
        <v/>
      </c>
      <c r="G147" s="58">
        <f>TRIM(SUBSTITUTE(SUBSTITUTE(SUBSTITUTE($A147,CHAR(9)," ")," "," "),CHAR(13),""))</f>
        <v/>
      </c>
      <c r="H147" s="58">
        <f>IF($G147="","",IF(ISNUMBER(FIND(" ",$G147)),$G147,IFERROR(IF((LEN(SUBSTITUTE(SUBSTITUTE($G147,"-"," ",LEN($G147)-LEN(SUBSTITUTE($G147,"-",""))),"-"," ",LEN($G147)-LEN(SUBSTITUTE($G147,"-",""))-1))-LEN(SUBSTITUTE(SUBSTITUTE(SUBSTITUTE($G147,"-"," ",LEN($G147)-LEN(SUBSTITUTE($G147,"-",""))),"-"," ",LEN($G147)-LEN(SUBSTITUTE($G147,"-",""))-1),".","")))=0,SUBSTITUTE(SUBSTITUTE($G147,"-"," ",LEN($G147)-LEN(SUBSTITUTE($G147,"-",""))),"-"," ",LEN($G147)-LEN(SUBSTITUTE($G147,"-",""))-1),SUBSTITUTE(SUBSTITUTE(SUBSTITUTE($G147,"-"," ",LEN($G147)-LEN(SUBSTITUTE($G147,"-",""))),"-"," ",LEN($G147)-LEN(SUBSTITUTE($G147,"-",""))-1),"."," ",(LEN(SUBSTITUTE(SUBSTITUTE($G147,"-"," ",LEN($G147)-LEN(SUBSTITUTE($G147,"-",""))),"-"," ",LEN($G147)-LEN(SUBSTITUTE($G147,"-",""))-1))-LEN(SUBSTITUTE(SUBSTITUTE(SUBSTITUTE($G147,"-"," ",LEN($G147)-LEN(SUBSTITUTE($G147,"-",""))),"-"," ",LEN($G147)-LEN(SUBSTITUTE($G147,"-",""))-1),".",""))))),$G147)))</f>
        <v/>
      </c>
    </row>
    <row r="148">
      <c r="A148" s="58" t="n"/>
      <c r="B148" s="58">
        <f>IF($H148="","",LEFT($H148,FIND(" ",$H148&amp;" ")-1))</f>
        <v/>
      </c>
      <c r="C148" s="58">
        <f>IF($H148="","",IFERROR(MID($H148&amp;" ",FIND("|",SUBSTITUTE($H148&amp;" "," ","|",1))+1,FIND("|",SUBSTITUTE($H148&amp;" "," ","|",2))-FIND("|",SUBSTITUTE($H148&amp;" "," ","|",1))-1),""))</f>
        <v/>
      </c>
      <c r="D148" s="58">
        <f>IF($H148="","",IFERROR(MID($H148&amp;" ",FIND("|",SUBSTITUTE($H148&amp;" "," ","|",2))+1,FIND("|",SUBSTITUTE($H148&amp;" "," ","|",3))-FIND("|",SUBSTITUTE($H148&amp;" "," ","|",2))-1),""))</f>
        <v/>
      </c>
      <c r="E148" s="58">
        <f>IF($H148="","",IFERROR(MID($H148&amp;" ",FIND("|",SUBSTITUTE($H148&amp;" "," ","|",3))+1,FIND("|",SUBSTITUTE($H148&amp;" "," ","|",4))-FIND("|",SUBSTITUTE($H148&amp;" "," ","|",3))-1),""))</f>
        <v/>
      </c>
      <c r="F148" s="59">
        <f>IF($H148="","",IFERROR(VALUE(IFERROR(MID($H148&amp;" ",FIND("|",SUBSTITUTE($H148&amp;" "," ","|",4))+1,FIND("|",SUBSTITUTE($H148&amp;" "," ","|",5))-FIND("|",SUBSTITUTE($H148&amp;" "," ","|",4))-1),""))/86400+25569+9/24,""))</f>
        <v/>
      </c>
      <c r="G148" s="58">
        <f>TRIM(SUBSTITUTE(SUBSTITUTE(SUBSTITUTE($A148,CHAR(9)," ")," "," "),CHAR(13),""))</f>
        <v/>
      </c>
      <c r="H148" s="58">
        <f>IF($G148="","",IF(ISNUMBER(FIND(" ",$G148)),$G148,IFERROR(IF((LEN(SUBSTITUTE(SUBSTITUTE($G148,"-"," ",LEN($G148)-LEN(SUBSTITUTE($G148,"-",""))),"-"," ",LEN($G148)-LEN(SUBSTITUTE($G148,"-",""))-1))-LEN(SUBSTITUTE(SUBSTITUTE(SUBSTITUTE($G148,"-"," ",LEN($G148)-LEN(SUBSTITUTE($G148,"-",""))),"-"," ",LEN($G148)-LEN(SUBSTITUTE($G148,"-",""))-1),".","")))=0,SUBSTITUTE(SUBSTITUTE($G148,"-"," ",LEN($G148)-LEN(SUBSTITUTE($G148,"-",""))),"-"," ",LEN($G148)-LEN(SUBSTITUTE($G148,"-",""))-1),SUBSTITUTE(SUBSTITUTE(SUBSTITUTE($G148,"-"," ",LEN($G148)-LEN(SUBSTITUTE($G148,"-",""))),"-"," ",LEN($G148)-LEN(SUBSTITUTE($G148,"-",""))-1),"."," ",(LEN(SUBSTITUTE(SUBSTITUTE($G148,"-"," ",LEN($G148)-LEN(SUBSTITUTE($G148,"-",""))),"-"," ",LEN($G148)-LEN(SUBSTITUTE($G148,"-",""))-1))-LEN(SUBSTITUTE(SUBSTITUTE(SUBSTITUTE($G148,"-"," ",LEN($G148)-LEN(SUBSTITUTE($G148,"-",""))),"-"," ",LEN($G148)-LEN(SUBSTITUTE($G148,"-",""))-1),".",""))))),$G148)))</f>
        <v/>
      </c>
    </row>
    <row r="149">
      <c r="A149" s="58" t="n"/>
      <c r="B149" s="58">
        <f>IF($H149="","",LEFT($H149,FIND(" ",$H149&amp;" ")-1))</f>
        <v/>
      </c>
      <c r="C149" s="58">
        <f>IF($H149="","",IFERROR(MID($H149&amp;" ",FIND("|",SUBSTITUTE($H149&amp;" "," ","|",1))+1,FIND("|",SUBSTITUTE($H149&amp;" "," ","|",2))-FIND("|",SUBSTITUTE($H149&amp;" "," ","|",1))-1),""))</f>
        <v/>
      </c>
      <c r="D149" s="58">
        <f>IF($H149="","",IFERROR(MID($H149&amp;" ",FIND("|",SUBSTITUTE($H149&amp;" "," ","|",2))+1,FIND("|",SUBSTITUTE($H149&amp;" "," ","|",3))-FIND("|",SUBSTITUTE($H149&amp;" "," ","|",2))-1),""))</f>
        <v/>
      </c>
      <c r="E149" s="58">
        <f>IF($H149="","",IFERROR(MID($H149&amp;" ",FIND("|",SUBSTITUTE($H149&amp;" "," ","|",3))+1,FIND("|",SUBSTITUTE($H149&amp;" "," ","|",4))-FIND("|",SUBSTITUTE($H149&amp;" "," ","|",3))-1),""))</f>
        <v/>
      </c>
      <c r="F149" s="59">
        <f>IF($H149="","",IFERROR(VALUE(IFERROR(MID($H149&amp;" ",FIND("|",SUBSTITUTE($H149&amp;" "," ","|",4))+1,FIND("|",SUBSTITUTE($H149&amp;" "," ","|",5))-FIND("|",SUBSTITUTE($H149&amp;" "," ","|",4))-1),""))/86400+25569+9/24,""))</f>
        <v/>
      </c>
      <c r="G149" s="58">
        <f>TRIM(SUBSTITUTE(SUBSTITUTE(SUBSTITUTE($A149,CHAR(9)," ")," "," "),CHAR(13),""))</f>
        <v/>
      </c>
      <c r="H149" s="58">
        <f>IF($G149="","",IF(ISNUMBER(FIND(" ",$G149)),$G149,IFERROR(IF((LEN(SUBSTITUTE(SUBSTITUTE($G149,"-"," ",LEN($G149)-LEN(SUBSTITUTE($G149,"-",""))),"-"," ",LEN($G149)-LEN(SUBSTITUTE($G149,"-",""))-1))-LEN(SUBSTITUTE(SUBSTITUTE(SUBSTITUTE($G149,"-"," ",LEN($G149)-LEN(SUBSTITUTE($G149,"-",""))),"-"," ",LEN($G149)-LEN(SUBSTITUTE($G149,"-",""))-1),".","")))=0,SUBSTITUTE(SUBSTITUTE($G149,"-"," ",LEN($G149)-LEN(SUBSTITUTE($G149,"-",""))),"-"," ",LEN($G149)-LEN(SUBSTITUTE($G149,"-",""))-1),SUBSTITUTE(SUBSTITUTE(SUBSTITUTE($G149,"-"," ",LEN($G149)-LEN(SUBSTITUTE($G149,"-",""))),"-"," ",LEN($G149)-LEN(SUBSTITUTE($G149,"-",""))-1),"."," ",(LEN(SUBSTITUTE(SUBSTITUTE($G149,"-"," ",LEN($G149)-LEN(SUBSTITUTE($G149,"-",""))),"-"," ",LEN($G149)-LEN(SUBSTITUTE($G149,"-",""))-1))-LEN(SUBSTITUTE(SUBSTITUTE(SUBSTITUTE($G149,"-"," ",LEN($G149)-LEN(SUBSTITUTE($G149,"-",""))),"-"," ",LEN($G149)-LEN(SUBSTITUTE($G149,"-",""))-1),".",""))))),$G149)))</f>
        <v/>
      </c>
    </row>
    <row r="150">
      <c r="A150" s="58" t="n"/>
      <c r="B150" s="58">
        <f>IF($H150="","",LEFT($H150,FIND(" ",$H150&amp;" ")-1))</f>
        <v/>
      </c>
      <c r="C150" s="58">
        <f>IF($H150="","",IFERROR(MID($H150&amp;" ",FIND("|",SUBSTITUTE($H150&amp;" "," ","|",1))+1,FIND("|",SUBSTITUTE($H150&amp;" "," ","|",2))-FIND("|",SUBSTITUTE($H150&amp;" "," ","|",1))-1),""))</f>
        <v/>
      </c>
      <c r="D150" s="58">
        <f>IF($H150="","",IFERROR(MID($H150&amp;" ",FIND("|",SUBSTITUTE($H150&amp;" "," ","|",2))+1,FIND("|",SUBSTITUTE($H150&amp;" "," ","|",3))-FIND("|",SUBSTITUTE($H150&amp;" "," ","|",2))-1),""))</f>
        <v/>
      </c>
      <c r="E150" s="58">
        <f>IF($H150="","",IFERROR(MID($H150&amp;" ",FIND("|",SUBSTITUTE($H150&amp;" "," ","|",3))+1,FIND("|",SUBSTITUTE($H150&amp;" "," ","|",4))-FIND("|",SUBSTITUTE($H150&amp;" "," ","|",3))-1),""))</f>
        <v/>
      </c>
      <c r="F150" s="59">
        <f>IF($H150="","",IFERROR(VALUE(IFERROR(MID($H150&amp;" ",FIND("|",SUBSTITUTE($H150&amp;" "," ","|",4))+1,FIND("|",SUBSTITUTE($H150&amp;" "," ","|",5))-FIND("|",SUBSTITUTE($H150&amp;" "," ","|",4))-1),""))/86400+25569+9/24,""))</f>
        <v/>
      </c>
      <c r="G150" s="58">
        <f>TRIM(SUBSTITUTE(SUBSTITUTE(SUBSTITUTE($A150,CHAR(9)," ")," "," "),CHAR(13),""))</f>
        <v/>
      </c>
      <c r="H150" s="58">
        <f>IF($G150="","",IF(ISNUMBER(FIND(" ",$G150)),$G150,IFERROR(IF((LEN(SUBSTITUTE(SUBSTITUTE($G150,"-"," ",LEN($G150)-LEN(SUBSTITUTE($G150,"-",""))),"-"," ",LEN($G150)-LEN(SUBSTITUTE($G150,"-",""))-1))-LEN(SUBSTITUTE(SUBSTITUTE(SUBSTITUTE($G150,"-"," ",LEN($G150)-LEN(SUBSTITUTE($G150,"-",""))),"-"," ",LEN($G150)-LEN(SUBSTITUTE($G150,"-",""))-1),".","")))=0,SUBSTITUTE(SUBSTITUTE($G150,"-"," ",LEN($G150)-LEN(SUBSTITUTE($G150,"-",""))),"-"," ",LEN($G150)-LEN(SUBSTITUTE($G150,"-",""))-1),SUBSTITUTE(SUBSTITUTE(SUBSTITUTE($G150,"-"," ",LEN($G150)-LEN(SUBSTITUTE($G150,"-",""))),"-"," ",LEN($G150)-LEN(SUBSTITUTE($G150,"-",""))-1),"."," ",(LEN(SUBSTITUTE(SUBSTITUTE($G150,"-"," ",LEN($G150)-LEN(SUBSTITUTE($G150,"-",""))),"-"," ",LEN($G150)-LEN(SUBSTITUTE($G150,"-",""))-1))-LEN(SUBSTITUTE(SUBSTITUTE(SUBSTITUTE($G150,"-"," ",LEN($G150)-LEN(SUBSTITUTE($G150,"-",""))),"-"," ",LEN($G150)-LEN(SUBSTITUTE($G150,"-",""))-1),".",""))))),$G150)))</f>
        <v/>
      </c>
    </row>
    <row r="151">
      <c r="A151" s="58" t="n"/>
      <c r="B151" s="58">
        <f>IF($H151="","",LEFT($H151,FIND(" ",$H151&amp;" ")-1))</f>
        <v/>
      </c>
      <c r="C151" s="58">
        <f>IF($H151="","",IFERROR(MID($H151&amp;" ",FIND("|",SUBSTITUTE($H151&amp;" "," ","|",1))+1,FIND("|",SUBSTITUTE($H151&amp;" "," ","|",2))-FIND("|",SUBSTITUTE($H151&amp;" "," ","|",1))-1),""))</f>
        <v/>
      </c>
      <c r="D151" s="58">
        <f>IF($H151="","",IFERROR(MID($H151&amp;" ",FIND("|",SUBSTITUTE($H151&amp;" "," ","|",2))+1,FIND("|",SUBSTITUTE($H151&amp;" "," ","|",3))-FIND("|",SUBSTITUTE($H151&amp;" "," ","|",2))-1),""))</f>
        <v/>
      </c>
      <c r="E151" s="58">
        <f>IF($H151="","",IFERROR(MID($H151&amp;" ",FIND("|",SUBSTITUTE($H151&amp;" "," ","|",3))+1,FIND("|",SUBSTITUTE($H151&amp;" "," ","|",4))-FIND("|",SUBSTITUTE($H151&amp;" "," ","|",3))-1),""))</f>
        <v/>
      </c>
      <c r="F151" s="59">
        <f>IF($H151="","",IFERROR(VALUE(IFERROR(MID($H151&amp;" ",FIND("|",SUBSTITUTE($H151&amp;" "," ","|",4))+1,FIND("|",SUBSTITUTE($H151&amp;" "," ","|",5))-FIND("|",SUBSTITUTE($H151&amp;" "," ","|",4))-1),""))/86400+25569+9/24,""))</f>
        <v/>
      </c>
      <c r="G151" s="58">
        <f>TRIM(SUBSTITUTE(SUBSTITUTE(SUBSTITUTE($A151,CHAR(9)," ")," "," "),CHAR(13),""))</f>
        <v/>
      </c>
      <c r="H151" s="58">
        <f>IF($G151="","",IF(ISNUMBER(FIND(" ",$G151)),$G151,IFERROR(IF((LEN(SUBSTITUTE(SUBSTITUTE($G151,"-"," ",LEN($G151)-LEN(SUBSTITUTE($G151,"-",""))),"-"," ",LEN($G151)-LEN(SUBSTITUTE($G151,"-",""))-1))-LEN(SUBSTITUTE(SUBSTITUTE(SUBSTITUTE($G151,"-"," ",LEN($G151)-LEN(SUBSTITUTE($G151,"-",""))),"-"," ",LEN($G151)-LEN(SUBSTITUTE($G151,"-",""))-1),".","")))=0,SUBSTITUTE(SUBSTITUTE($G151,"-"," ",LEN($G151)-LEN(SUBSTITUTE($G151,"-",""))),"-"," ",LEN($G151)-LEN(SUBSTITUTE($G151,"-",""))-1),SUBSTITUTE(SUBSTITUTE(SUBSTITUTE($G151,"-"," ",LEN($G151)-LEN(SUBSTITUTE($G151,"-",""))),"-"," ",LEN($G151)-LEN(SUBSTITUTE($G151,"-",""))-1),"."," ",(LEN(SUBSTITUTE(SUBSTITUTE($G151,"-"," ",LEN($G151)-LEN(SUBSTITUTE($G151,"-",""))),"-"," ",LEN($G151)-LEN(SUBSTITUTE($G151,"-",""))-1))-LEN(SUBSTITUTE(SUBSTITUTE(SUBSTITUTE($G151,"-"," ",LEN($G151)-LEN(SUBSTITUTE($G151,"-",""))),"-"," ",LEN($G151)-LEN(SUBSTITUTE($G151,"-",""))-1),".",""))))),$G151)))</f>
        <v/>
      </c>
    </row>
    <row r="152">
      <c r="A152" s="58" t="n"/>
      <c r="B152" s="58">
        <f>IF($H152="","",LEFT($H152,FIND(" ",$H152&amp;" ")-1))</f>
        <v/>
      </c>
      <c r="C152" s="58">
        <f>IF($H152="","",IFERROR(MID($H152&amp;" ",FIND("|",SUBSTITUTE($H152&amp;" "," ","|",1))+1,FIND("|",SUBSTITUTE($H152&amp;" "," ","|",2))-FIND("|",SUBSTITUTE($H152&amp;" "," ","|",1))-1),""))</f>
        <v/>
      </c>
      <c r="D152" s="58">
        <f>IF($H152="","",IFERROR(MID($H152&amp;" ",FIND("|",SUBSTITUTE($H152&amp;" "," ","|",2))+1,FIND("|",SUBSTITUTE($H152&amp;" "," ","|",3))-FIND("|",SUBSTITUTE($H152&amp;" "," ","|",2))-1),""))</f>
        <v/>
      </c>
      <c r="E152" s="58">
        <f>IF($H152="","",IFERROR(MID($H152&amp;" ",FIND("|",SUBSTITUTE($H152&amp;" "," ","|",3))+1,FIND("|",SUBSTITUTE($H152&amp;" "," ","|",4))-FIND("|",SUBSTITUTE($H152&amp;" "," ","|",3))-1),""))</f>
        <v/>
      </c>
      <c r="F152" s="59">
        <f>IF($H152="","",IFERROR(VALUE(IFERROR(MID($H152&amp;" ",FIND("|",SUBSTITUTE($H152&amp;" "," ","|",4))+1,FIND("|",SUBSTITUTE($H152&amp;" "," ","|",5))-FIND("|",SUBSTITUTE($H152&amp;" "," ","|",4))-1),""))/86400+25569+9/24,""))</f>
        <v/>
      </c>
      <c r="G152" s="58">
        <f>TRIM(SUBSTITUTE(SUBSTITUTE(SUBSTITUTE($A152,CHAR(9)," ")," "," "),CHAR(13),""))</f>
        <v/>
      </c>
      <c r="H152" s="58">
        <f>IF($G152="","",IF(ISNUMBER(FIND(" ",$G152)),$G152,IFERROR(IF((LEN(SUBSTITUTE(SUBSTITUTE($G152,"-"," ",LEN($G152)-LEN(SUBSTITUTE($G152,"-",""))),"-"," ",LEN($G152)-LEN(SUBSTITUTE($G152,"-",""))-1))-LEN(SUBSTITUTE(SUBSTITUTE(SUBSTITUTE($G152,"-"," ",LEN($G152)-LEN(SUBSTITUTE($G152,"-",""))),"-"," ",LEN($G152)-LEN(SUBSTITUTE($G152,"-",""))-1),".","")))=0,SUBSTITUTE(SUBSTITUTE($G152,"-"," ",LEN($G152)-LEN(SUBSTITUTE($G152,"-",""))),"-"," ",LEN($G152)-LEN(SUBSTITUTE($G152,"-",""))-1),SUBSTITUTE(SUBSTITUTE(SUBSTITUTE($G152,"-"," ",LEN($G152)-LEN(SUBSTITUTE($G152,"-",""))),"-"," ",LEN($G152)-LEN(SUBSTITUTE($G152,"-",""))-1),"."," ",(LEN(SUBSTITUTE(SUBSTITUTE($G152,"-"," ",LEN($G152)-LEN(SUBSTITUTE($G152,"-",""))),"-"," ",LEN($G152)-LEN(SUBSTITUTE($G152,"-",""))-1))-LEN(SUBSTITUTE(SUBSTITUTE(SUBSTITUTE($G152,"-"," ",LEN($G152)-LEN(SUBSTITUTE($G152,"-",""))),"-"," ",LEN($G152)-LEN(SUBSTITUTE($G152,"-",""))-1),".",""))))),$G152)))</f>
        <v/>
      </c>
    </row>
    <row r="153">
      <c r="A153" s="58" t="n"/>
      <c r="B153" s="58">
        <f>IF($H153="","",LEFT($H153,FIND(" ",$H153&amp;" ")-1))</f>
        <v/>
      </c>
      <c r="C153" s="58">
        <f>IF($H153="","",IFERROR(MID($H153&amp;" ",FIND("|",SUBSTITUTE($H153&amp;" "," ","|",1))+1,FIND("|",SUBSTITUTE($H153&amp;" "," ","|",2))-FIND("|",SUBSTITUTE($H153&amp;" "," ","|",1))-1),""))</f>
        <v/>
      </c>
      <c r="D153" s="58">
        <f>IF($H153="","",IFERROR(MID($H153&amp;" ",FIND("|",SUBSTITUTE($H153&amp;" "," ","|",2))+1,FIND("|",SUBSTITUTE($H153&amp;" "," ","|",3))-FIND("|",SUBSTITUTE($H153&amp;" "," ","|",2))-1),""))</f>
        <v/>
      </c>
      <c r="E153" s="58">
        <f>IF($H153="","",IFERROR(MID($H153&amp;" ",FIND("|",SUBSTITUTE($H153&amp;" "," ","|",3))+1,FIND("|",SUBSTITUTE($H153&amp;" "," ","|",4))-FIND("|",SUBSTITUTE($H153&amp;" "," ","|",3))-1),""))</f>
        <v/>
      </c>
      <c r="F153" s="59">
        <f>IF($H153="","",IFERROR(VALUE(IFERROR(MID($H153&amp;" ",FIND("|",SUBSTITUTE($H153&amp;" "," ","|",4))+1,FIND("|",SUBSTITUTE($H153&amp;" "," ","|",5))-FIND("|",SUBSTITUTE($H153&amp;" "," ","|",4))-1),""))/86400+25569+9/24,""))</f>
        <v/>
      </c>
      <c r="G153" s="58">
        <f>TRIM(SUBSTITUTE(SUBSTITUTE(SUBSTITUTE($A153,CHAR(9)," ")," "," "),CHAR(13),""))</f>
        <v/>
      </c>
      <c r="H153" s="58">
        <f>IF($G153="","",IF(ISNUMBER(FIND(" ",$G153)),$G153,IFERROR(IF((LEN(SUBSTITUTE(SUBSTITUTE($G153,"-"," ",LEN($G153)-LEN(SUBSTITUTE($G153,"-",""))),"-"," ",LEN($G153)-LEN(SUBSTITUTE($G153,"-",""))-1))-LEN(SUBSTITUTE(SUBSTITUTE(SUBSTITUTE($G153,"-"," ",LEN($G153)-LEN(SUBSTITUTE($G153,"-",""))),"-"," ",LEN($G153)-LEN(SUBSTITUTE($G153,"-",""))-1),".","")))=0,SUBSTITUTE(SUBSTITUTE($G153,"-"," ",LEN($G153)-LEN(SUBSTITUTE($G153,"-",""))),"-"," ",LEN($G153)-LEN(SUBSTITUTE($G153,"-",""))-1),SUBSTITUTE(SUBSTITUTE(SUBSTITUTE($G153,"-"," ",LEN($G153)-LEN(SUBSTITUTE($G153,"-",""))),"-"," ",LEN($G153)-LEN(SUBSTITUTE($G153,"-",""))-1),"."," ",(LEN(SUBSTITUTE(SUBSTITUTE($G153,"-"," ",LEN($G153)-LEN(SUBSTITUTE($G153,"-",""))),"-"," ",LEN($G153)-LEN(SUBSTITUTE($G153,"-",""))-1))-LEN(SUBSTITUTE(SUBSTITUTE(SUBSTITUTE($G153,"-"," ",LEN($G153)-LEN(SUBSTITUTE($G153,"-",""))),"-"," ",LEN($G153)-LEN(SUBSTITUTE($G153,"-",""))-1),".",""))))),$G153)))</f>
        <v/>
      </c>
    </row>
    <row r="154">
      <c r="A154" s="58" t="n"/>
      <c r="B154" s="58">
        <f>IF($H154="","",LEFT($H154,FIND(" ",$H154&amp;" ")-1))</f>
        <v/>
      </c>
      <c r="C154" s="58">
        <f>IF($H154="","",IFERROR(MID($H154&amp;" ",FIND("|",SUBSTITUTE($H154&amp;" "," ","|",1))+1,FIND("|",SUBSTITUTE($H154&amp;" "," ","|",2))-FIND("|",SUBSTITUTE($H154&amp;" "," ","|",1))-1),""))</f>
        <v/>
      </c>
      <c r="D154" s="58">
        <f>IF($H154="","",IFERROR(MID($H154&amp;" ",FIND("|",SUBSTITUTE($H154&amp;" "," ","|",2))+1,FIND("|",SUBSTITUTE($H154&amp;" "," ","|",3))-FIND("|",SUBSTITUTE($H154&amp;" "," ","|",2))-1),""))</f>
        <v/>
      </c>
      <c r="E154" s="58">
        <f>IF($H154="","",IFERROR(MID($H154&amp;" ",FIND("|",SUBSTITUTE($H154&amp;" "," ","|",3))+1,FIND("|",SUBSTITUTE($H154&amp;" "," ","|",4))-FIND("|",SUBSTITUTE($H154&amp;" "," ","|",3))-1),""))</f>
        <v/>
      </c>
      <c r="F154" s="59">
        <f>IF($H154="","",IFERROR(VALUE(IFERROR(MID($H154&amp;" ",FIND("|",SUBSTITUTE($H154&amp;" "," ","|",4))+1,FIND("|",SUBSTITUTE($H154&amp;" "," ","|",5))-FIND("|",SUBSTITUTE($H154&amp;" "," ","|",4))-1),""))/86400+25569+9/24,""))</f>
        <v/>
      </c>
      <c r="G154" s="58">
        <f>TRIM(SUBSTITUTE(SUBSTITUTE(SUBSTITUTE($A154,CHAR(9)," ")," "," "),CHAR(13),""))</f>
        <v/>
      </c>
      <c r="H154" s="58">
        <f>IF($G154="","",IF(ISNUMBER(FIND(" ",$G154)),$G154,IFERROR(IF((LEN(SUBSTITUTE(SUBSTITUTE($G154,"-"," ",LEN($G154)-LEN(SUBSTITUTE($G154,"-",""))),"-"," ",LEN($G154)-LEN(SUBSTITUTE($G154,"-",""))-1))-LEN(SUBSTITUTE(SUBSTITUTE(SUBSTITUTE($G154,"-"," ",LEN($G154)-LEN(SUBSTITUTE($G154,"-",""))),"-"," ",LEN($G154)-LEN(SUBSTITUTE($G154,"-",""))-1),".","")))=0,SUBSTITUTE(SUBSTITUTE($G154,"-"," ",LEN($G154)-LEN(SUBSTITUTE($G154,"-",""))),"-"," ",LEN($G154)-LEN(SUBSTITUTE($G154,"-",""))-1),SUBSTITUTE(SUBSTITUTE(SUBSTITUTE($G154,"-"," ",LEN($G154)-LEN(SUBSTITUTE($G154,"-",""))),"-"," ",LEN($G154)-LEN(SUBSTITUTE($G154,"-",""))-1),"."," ",(LEN(SUBSTITUTE(SUBSTITUTE($G154,"-"," ",LEN($G154)-LEN(SUBSTITUTE($G154,"-",""))),"-"," ",LEN($G154)-LEN(SUBSTITUTE($G154,"-",""))-1))-LEN(SUBSTITUTE(SUBSTITUTE(SUBSTITUTE($G154,"-"," ",LEN($G154)-LEN(SUBSTITUTE($G154,"-",""))),"-"," ",LEN($G154)-LEN(SUBSTITUTE($G154,"-",""))-1),".",""))))),$G154)))</f>
        <v/>
      </c>
    </row>
    <row r="155">
      <c r="A155" s="58" t="n"/>
      <c r="B155" s="58">
        <f>IF($H155="","",LEFT($H155,FIND(" ",$H155&amp;" ")-1))</f>
        <v/>
      </c>
      <c r="C155" s="58">
        <f>IF($H155="","",IFERROR(MID($H155&amp;" ",FIND("|",SUBSTITUTE($H155&amp;" "," ","|",1))+1,FIND("|",SUBSTITUTE($H155&amp;" "," ","|",2))-FIND("|",SUBSTITUTE($H155&amp;" "," ","|",1))-1),""))</f>
        <v/>
      </c>
      <c r="D155" s="58">
        <f>IF($H155="","",IFERROR(MID($H155&amp;" ",FIND("|",SUBSTITUTE($H155&amp;" "," ","|",2))+1,FIND("|",SUBSTITUTE($H155&amp;" "," ","|",3))-FIND("|",SUBSTITUTE($H155&amp;" "," ","|",2))-1),""))</f>
        <v/>
      </c>
      <c r="E155" s="58">
        <f>IF($H155="","",IFERROR(MID($H155&amp;" ",FIND("|",SUBSTITUTE($H155&amp;" "," ","|",3))+1,FIND("|",SUBSTITUTE($H155&amp;" "," ","|",4))-FIND("|",SUBSTITUTE($H155&amp;" "," ","|",3))-1),""))</f>
        <v/>
      </c>
      <c r="F155" s="59">
        <f>IF($H155="","",IFERROR(VALUE(IFERROR(MID($H155&amp;" ",FIND("|",SUBSTITUTE($H155&amp;" "," ","|",4))+1,FIND("|",SUBSTITUTE($H155&amp;" "," ","|",5))-FIND("|",SUBSTITUTE($H155&amp;" "," ","|",4))-1),""))/86400+25569+9/24,""))</f>
        <v/>
      </c>
      <c r="G155" s="58">
        <f>TRIM(SUBSTITUTE(SUBSTITUTE(SUBSTITUTE($A155,CHAR(9)," ")," "," "),CHAR(13),""))</f>
        <v/>
      </c>
      <c r="H155" s="58">
        <f>IF($G155="","",IF(ISNUMBER(FIND(" ",$G155)),$G155,IFERROR(IF((LEN(SUBSTITUTE(SUBSTITUTE($G155,"-"," ",LEN($G155)-LEN(SUBSTITUTE($G155,"-",""))),"-"," ",LEN($G155)-LEN(SUBSTITUTE($G155,"-",""))-1))-LEN(SUBSTITUTE(SUBSTITUTE(SUBSTITUTE($G155,"-"," ",LEN($G155)-LEN(SUBSTITUTE($G155,"-",""))),"-"," ",LEN($G155)-LEN(SUBSTITUTE($G155,"-",""))-1),".","")))=0,SUBSTITUTE(SUBSTITUTE($G155,"-"," ",LEN($G155)-LEN(SUBSTITUTE($G155,"-",""))),"-"," ",LEN($G155)-LEN(SUBSTITUTE($G155,"-",""))-1),SUBSTITUTE(SUBSTITUTE(SUBSTITUTE($G155,"-"," ",LEN($G155)-LEN(SUBSTITUTE($G155,"-",""))),"-"," ",LEN($G155)-LEN(SUBSTITUTE($G155,"-",""))-1),"."," ",(LEN(SUBSTITUTE(SUBSTITUTE($G155,"-"," ",LEN($G155)-LEN(SUBSTITUTE($G155,"-",""))),"-"," ",LEN($G155)-LEN(SUBSTITUTE($G155,"-",""))-1))-LEN(SUBSTITUTE(SUBSTITUTE(SUBSTITUTE($G155,"-"," ",LEN($G155)-LEN(SUBSTITUTE($G155,"-",""))),"-"," ",LEN($G155)-LEN(SUBSTITUTE($G155,"-",""))-1),".",""))))),$G155)))</f>
        <v/>
      </c>
    </row>
    <row r="156">
      <c r="A156" s="58" t="n"/>
      <c r="B156" s="58">
        <f>IF($H156="","",LEFT($H156,FIND(" ",$H156&amp;" ")-1))</f>
        <v/>
      </c>
      <c r="C156" s="58">
        <f>IF($H156="","",IFERROR(MID($H156&amp;" ",FIND("|",SUBSTITUTE($H156&amp;" "," ","|",1))+1,FIND("|",SUBSTITUTE($H156&amp;" "," ","|",2))-FIND("|",SUBSTITUTE($H156&amp;" "," ","|",1))-1),""))</f>
        <v/>
      </c>
      <c r="D156" s="58">
        <f>IF($H156="","",IFERROR(MID($H156&amp;" ",FIND("|",SUBSTITUTE($H156&amp;" "," ","|",2))+1,FIND("|",SUBSTITUTE($H156&amp;" "," ","|",3))-FIND("|",SUBSTITUTE($H156&amp;" "," ","|",2))-1),""))</f>
        <v/>
      </c>
      <c r="E156" s="58">
        <f>IF($H156="","",IFERROR(MID($H156&amp;" ",FIND("|",SUBSTITUTE($H156&amp;" "," ","|",3))+1,FIND("|",SUBSTITUTE($H156&amp;" "," ","|",4))-FIND("|",SUBSTITUTE($H156&amp;" "," ","|",3))-1),""))</f>
        <v/>
      </c>
      <c r="F156" s="59">
        <f>IF($H156="","",IFERROR(VALUE(IFERROR(MID($H156&amp;" ",FIND("|",SUBSTITUTE($H156&amp;" "," ","|",4))+1,FIND("|",SUBSTITUTE($H156&amp;" "," ","|",5))-FIND("|",SUBSTITUTE($H156&amp;" "," ","|",4))-1),""))/86400+25569+9/24,""))</f>
        <v/>
      </c>
      <c r="G156" s="58">
        <f>TRIM(SUBSTITUTE(SUBSTITUTE(SUBSTITUTE($A156,CHAR(9)," ")," "," "),CHAR(13),""))</f>
        <v/>
      </c>
      <c r="H156" s="58">
        <f>IF($G156="","",IF(ISNUMBER(FIND(" ",$G156)),$G156,IFERROR(IF((LEN(SUBSTITUTE(SUBSTITUTE($G156,"-"," ",LEN($G156)-LEN(SUBSTITUTE($G156,"-",""))),"-"," ",LEN($G156)-LEN(SUBSTITUTE($G156,"-",""))-1))-LEN(SUBSTITUTE(SUBSTITUTE(SUBSTITUTE($G156,"-"," ",LEN($G156)-LEN(SUBSTITUTE($G156,"-",""))),"-"," ",LEN($G156)-LEN(SUBSTITUTE($G156,"-",""))-1),".","")))=0,SUBSTITUTE(SUBSTITUTE($G156,"-"," ",LEN($G156)-LEN(SUBSTITUTE($G156,"-",""))),"-"," ",LEN($G156)-LEN(SUBSTITUTE($G156,"-",""))-1),SUBSTITUTE(SUBSTITUTE(SUBSTITUTE($G156,"-"," ",LEN($G156)-LEN(SUBSTITUTE($G156,"-",""))),"-"," ",LEN($G156)-LEN(SUBSTITUTE($G156,"-",""))-1),"."," ",(LEN(SUBSTITUTE(SUBSTITUTE($G156,"-"," ",LEN($G156)-LEN(SUBSTITUTE($G156,"-",""))),"-"," ",LEN($G156)-LEN(SUBSTITUTE($G156,"-",""))-1))-LEN(SUBSTITUTE(SUBSTITUTE(SUBSTITUTE($G156,"-"," ",LEN($G156)-LEN(SUBSTITUTE($G156,"-",""))),"-"," ",LEN($G156)-LEN(SUBSTITUTE($G156,"-",""))-1),".",""))))),$G156)))</f>
        <v/>
      </c>
    </row>
    <row r="157">
      <c r="A157" s="58" t="n"/>
      <c r="B157" s="58">
        <f>IF($H157="","",LEFT($H157,FIND(" ",$H157&amp;" ")-1))</f>
        <v/>
      </c>
      <c r="C157" s="58">
        <f>IF($H157="","",IFERROR(MID($H157&amp;" ",FIND("|",SUBSTITUTE($H157&amp;" "," ","|",1))+1,FIND("|",SUBSTITUTE($H157&amp;" "," ","|",2))-FIND("|",SUBSTITUTE($H157&amp;" "," ","|",1))-1),""))</f>
        <v/>
      </c>
      <c r="D157" s="58">
        <f>IF($H157="","",IFERROR(MID($H157&amp;" ",FIND("|",SUBSTITUTE($H157&amp;" "," ","|",2))+1,FIND("|",SUBSTITUTE($H157&amp;" "," ","|",3))-FIND("|",SUBSTITUTE($H157&amp;" "," ","|",2))-1),""))</f>
        <v/>
      </c>
      <c r="E157" s="58">
        <f>IF($H157="","",IFERROR(MID($H157&amp;" ",FIND("|",SUBSTITUTE($H157&amp;" "," ","|",3))+1,FIND("|",SUBSTITUTE($H157&amp;" "," ","|",4))-FIND("|",SUBSTITUTE($H157&amp;" "," ","|",3))-1),""))</f>
        <v/>
      </c>
      <c r="F157" s="59">
        <f>IF($H157="","",IFERROR(VALUE(IFERROR(MID($H157&amp;" ",FIND("|",SUBSTITUTE($H157&amp;" "," ","|",4))+1,FIND("|",SUBSTITUTE($H157&amp;" "," ","|",5))-FIND("|",SUBSTITUTE($H157&amp;" "," ","|",4))-1),""))/86400+25569+9/24,""))</f>
        <v/>
      </c>
      <c r="G157" s="58">
        <f>TRIM(SUBSTITUTE(SUBSTITUTE(SUBSTITUTE($A157,CHAR(9)," ")," "," "),CHAR(13),""))</f>
        <v/>
      </c>
      <c r="H157" s="58">
        <f>IF($G157="","",IF(ISNUMBER(FIND(" ",$G157)),$G157,IFERROR(IF((LEN(SUBSTITUTE(SUBSTITUTE($G157,"-"," ",LEN($G157)-LEN(SUBSTITUTE($G157,"-",""))),"-"," ",LEN($G157)-LEN(SUBSTITUTE($G157,"-",""))-1))-LEN(SUBSTITUTE(SUBSTITUTE(SUBSTITUTE($G157,"-"," ",LEN($G157)-LEN(SUBSTITUTE($G157,"-",""))),"-"," ",LEN($G157)-LEN(SUBSTITUTE($G157,"-",""))-1),".","")))=0,SUBSTITUTE(SUBSTITUTE($G157,"-"," ",LEN($G157)-LEN(SUBSTITUTE($G157,"-",""))),"-"," ",LEN($G157)-LEN(SUBSTITUTE($G157,"-",""))-1),SUBSTITUTE(SUBSTITUTE(SUBSTITUTE($G157,"-"," ",LEN($G157)-LEN(SUBSTITUTE($G157,"-",""))),"-"," ",LEN($G157)-LEN(SUBSTITUTE($G157,"-",""))-1),"."," ",(LEN(SUBSTITUTE(SUBSTITUTE($G157,"-"," ",LEN($G157)-LEN(SUBSTITUTE($G157,"-",""))),"-"," ",LEN($G157)-LEN(SUBSTITUTE($G157,"-",""))-1))-LEN(SUBSTITUTE(SUBSTITUTE(SUBSTITUTE($G157,"-"," ",LEN($G157)-LEN(SUBSTITUTE($G157,"-",""))),"-"," ",LEN($G157)-LEN(SUBSTITUTE($G157,"-",""))-1),".",""))))),$G157)))</f>
        <v/>
      </c>
    </row>
    <row r="158">
      <c r="A158" s="58" t="n"/>
      <c r="B158" s="58">
        <f>IF($H158="","",LEFT($H158,FIND(" ",$H158&amp;" ")-1))</f>
        <v/>
      </c>
      <c r="C158" s="58">
        <f>IF($H158="","",IFERROR(MID($H158&amp;" ",FIND("|",SUBSTITUTE($H158&amp;" "," ","|",1))+1,FIND("|",SUBSTITUTE($H158&amp;" "," ","|",2))-FIND("|",SUBSTITUTE($H158&amp;" "," ","|",1))-1),""))</f>
        <v/>
      </c>
      <c r="D158" s="58">
        <f>IF($H158="","",IFERROR(MID($H158&amp;" ",FIND("|",SUBSTITUTE($H158&amp;" "," ","|",2))+1,FIND("|",SUBSTITUTE($H158&amp;" "," ","|",3))-FIND("|",SUBSTITUTE($H158&amp;" "," ","|",2))-1),""))</f>
        <v/>
      </c>
      <c r="E158" s="58">
        <f>IF($H158="","",IFERROR(MID($H158&amp;" ",FIND("|",SUBSTITUTE($H158&amp;" "," ","|",3))+1,FIND("|",SUBSTITUTE($H158&amp;" "," ","|",4))-FIND("|",SUBSTITUTE($H158&amp;" "," ","|",3))-1),""))</f>
        <v/>
      </c>
      <c r="F158" s="59">
        <f>IF($H158="","",IFERROR(VALUE(IFERROR(MID($H158&amp;" ",FIND("|",SUBSTITUTE($H158&amp;" "," ","|",4))+1,FIND("|",SUBSTITUTE($H158&amp;" "," ","|",5))-FIND("|",SUBSTITUTE($H158&amp;" "," ","|",4))-1),""))/86400+25569+9/24,""))</f>
        <v/>
      </c>
      <c r="G158" s="58">
        <f>TRIM(SUBSTITUTE(SUBSTITUTE(SUBSTITUTE($A158,CHAR(9)," ")," "," "),CHAR(13),""))</f>
        <v/>
      </c>
      <c r="H158" s="58">
        <f>IF($G158="","",IF(ISNUMBER(FIND(" ",$G158)),$G158,IFERROR(IF((LEN(SUBSTITUTE(SUBSTITUTE($G158,"-"," ",LEN($G158)-LEN(SUBSTITUTE($G158,"-",""))),"-"," ",LEN($G158)-LEN(SUBSTITUTE($G158,"-",""))-1))-LEN(SUBSTITUTE(SUBSTITUTE(SUBSTITUTE($G158,"-"," ",LEN($G158)-LEN(SUBSTITUTE($G158,"-",""))),"-"," ",LEN($G158)-LEN(SUBSTITUTE($G158,"-",""))-1),".","")))=0,SUBSTITUTE(SUBSTITUTE($G158,"-"," ",LEN($G158)-LEN(SUBSTITUTE($G158,"-",""))),"-"," ",LEN($G158)-LEN(SUBSTITUTE($G158,"-",""))-1),SUBSTITUTE(SUBSTITUTE(SUBSTITUTE($G158,"-"," ",LEN($G158)-LEN(SUBSTITUTE($G158,"-",""))),"-"," ",LEN($G158)-LEN(SUBSTITUTE($G158,"-",""))-1),"."," ",(LEN(SUBSTITUTE(SUBSTITUTE($G158,"-"," ",LEN($G158)-LEN(SUBSTITUTE($G158,"-",""))),"-"," ",LEN($G158)-LEN(SUBSTITUTE($G158,"-",""))-1))-LEN(SUBSTITUTE(SUBSTITUTE(SUBSTITUTE($G158,"-"," ",LEN($G158)-LEN(SUBSTITUTE($G158,"-",""))),"-"," ",LEN($G158)-LEN(SUBSTITUTE($G158,"-",""))-1),".",""))))),$G158)))</f>
        <v/>
      </c>
    </row>
    <row r="159">
      <c r="A159" s="58" t="n"/>
      <c r="B159" s="58">
        <f>IF($H159="","",LEFT($H159,FIND(" ",$H159&amp;" ")-1))</f>
        <v/>
      </c>
      <c r="C159" s="58">
        <f>IF($H159="","",IFERROR(MID($H159&amp;" ",FIND("|",SUBSTITUTE($H159&amp;" "," ","|",1))+1,FIND("|",SUBSTITUTE($H159&amp;" "," ","|",2))-FIND("|",SUBSTITUTE($H159&amp;" "," ","|",1))-1),""))</f>
        <v/>
      </c>
      <c r="D159" s="58">
        <f>IF($H159="","",IFERROR(MID($H159&amp;" ",FIND("|",SUBSTITUTE($H159&amp;" "," ","|",2))+1,FIND("|",SUBSTITUTE($H159&amp;" "," ","|",3))-FIND("|",SUBSTITUTE($H159&amp;" "," ","|",2))-1),""))</f>
        <v/>
      </c>
      <c r="E159" s="58">
        <f>IF($H159="","",IFERROR(MID($H159&amp;" ",FIND("|",SUBSTITUTE($H159&amp;" "," ","|",3))+1,FIND("|",SUBSTITUTE($H159&amp;" "," ","|",4))-FIND("|",SUBSTITUTE($H159&amp;" "," ","|",3))-1),""))</f>
        <v/>
      </c>
      <c r="F159" s="59">
        <f>IF($H159="","",IFERROR(VALUE(IFERROR(MID($H159&amp;" ",FIND("|",SUBSTITUTE($H159&amp;" "," ","|",4))+1,FIND("|",SUBSTITUTE($H159&amp;" "," ","|",5))-FIND("|",SUBSTITUTE($H159&amp;" "," ","|",4))-1),""))/86400+25569+9/24,""))</f>
        <v/>
      </c>
      <c r="G159" s="58">
        <f>TRIM(SUBSTITUTE(SUBSTITUTE(SUBSTITUTE($A159,CHAR(9)," ")," "," "),CHAR(13),""))</f>
        <v/>
      </c>
      <c r="H159" s="58">
        <f>IF($G159="","",IF(ISNUMBER(FIND(" ",$G159)),$G159,IFERROR(IF((LEN(SUBSTITUTE(SUBSTITUTE($G159,"-"," ",LEN($G159)-LEN(SUBSTITUTE($G159,"-",""))),"-"," ",LEN($G159)-LEN(SUBSTITUTE($G159,"-",""))-1))-LEN(SUBSTITUTE(SUBSTITUTE(SUBSTITUTE($G159,"-"," ",LEN($G159)-LEN(SUBSTITUTE($G159,"-",""))),"-"," ",LEN($G159)-LEN(SUBSTITUTE($G159,"-",""))-1),".","")))=0,SUBSTITUTE(SUBSTITUTE($G159,"-"," ",LEN($G159)-LEN(SUBSTITUTE($G159,"-",""))),"-"," ",LEN($G159)-LEN(SUBSTITUTE($G159,"-",""))-1),SUBSTITUTE(SUBSTITUTE(SUBSTITUTE($G159,"-"," ",LEN($G159)-LEN(SUBSTITUTE($G159,"-",""))),"-"," ",LEN($G159)-LEN(SUBSTITUTE($G159,"-",""))-1),"."," ",(LEN(SUBSTITUTE(SUBSTITUTE($G159,"-"," ",LEN($G159)-LEN(SUBSTITUTE($G159,"-",""))),"-"," ",LEN($G159)-LEN(SUBSTITUTE($G159,"-",""))-1))-LEN(SUBSTITUTE(SUBSTITUTE(SUBSTITUTE($G159,"-"," ",LEN($G159)-LEN(SUBSTITUTE($G159,"-",""))),"-"," ",LEN($G159)-LEN(SUBSTITUTE($G159,"-",""))-1),".",""))))),$G159)))</f>
        <v/>
      </c>
    </row>
    <row r="160">
      <c r="A160" s="58" t="n"/>
      <c r="B160" s="58">
        <f>IF($H160="","",LEFT($H160,FIND(" ",$H160&amp;" ")-1))</f>
        <v/>
      </c>
      <c r="C160" s="58">
        <f>IF($H160="","",IFERROR(MID($H160&amp;" ",FIND("|",SUBSTITUTE($H160&amp;" "," ","|",1))+1,FIND("|",SUBSTITUTE($H160&amp;" "," ","|",2))-FIND("|",SUBSTITUTE($H160&amp;" "," ","|",1))-1),""))</f>
        <v/>
      </c>
      <c r="D160" s="58">
        <f>IF($H160="","",IFERROR(MID($H160&amp;" ",FIND("|",SUBSTITUTE($H160&amp;" "," ","|",2))+1,FIND("|",SUBSTITUTE($H160&amp;" "," ","|",3))-FIND("|",SUBSTITUTE($H160&amp;" "," ","|",2))-1),""))</f>
        <v/>
      </c>
      <c r="E160" s="58">
        <f>IF($H160="","",IFERROR(MID($H160&amp;" ",FIND("|",SUBSTITUTE($H160&amp;" "," ","|",3))+1,FIND("|",SUBSTITUTE($H160&amp;" "," ","|",4))-FIND("|",SUBSTITUTE($H160&amp;" "," ","|",3))-1),""))</f>
        <v/>
      </c>
      <c r="F160" s="59">
        <f>IF($H160="","",IFERROR(VALUE(IFERROR(MID($H160&amp;" ",FIND("|",SUBSTITUTE($H160&amp;" "," ","|",4))+1,FIND("|",SUBSTITUTE($H160&amp;" "," ","|",5))-FIND("|",SUBSTITUTE($H160&amp;" "," ","|",4))-1),""))/86400+25569+9/24,""))</f>
        <v/>
      </c>
      <c r="G160" s="58">
        <f>TRIM(SUBSTITUTE(SUBSTITUTE(SUBSTITUTE($A160,CHAR(9)," ")," "," "),CHAR(13),""))</f>
        <v/>
      </c>
      <c r="H160" s="58">
        <f>IF($G160="","",IF(ISNUMBER(FIND(" ",$G160)),$G160,IFERROR(IF((LEN(SUBSTITUTE(SUBSTITUTE($G160,"-"," ",LEN($G160)-LEN(SUBSTITUTE($G160,"-",""))),"-"," ",LEN($G160)-LEN(SUBSTITUTE($G160,"-",""))-1))-LEN(SUBSTITUTE(SUBSTITUTE(SUBSTITUTE($G160,"-"," ",LEN($G160)-LEN(SUBSTITUTE($G160,"-",""))),"-"," ",LEN($G160)-LEN(SUBSTITUTE($G160,"-",""))-1),".","")))=0,SUBSTITUTE(SUBSTITUTE($G160,"-"," ",LEN($G160)-LEN(SUBSTITUTE($G160,"-",""))),"-"," ",LEN($G160)-LEN(SUBSTITUTE($G160,"-",""))-1),SUBSTITUTE(SUBSTITUTE(SUBSTITUTE($G160,"-"," ",LEN($G160)-LEN(SUBSTITUTE($G160,"-",""))),"-"," ",LEN($G160)-LEN(SUBSTITUTE($G160,"-",""))-1),"."," ",(LEN(SUBSTITUTE(SUBSTITUTE($G160,"-"," ",LEN($G160)-LEN(SUBSTITUTE($G160,"-",""))),"-"," ",LEN($G160)-LEN(SUBSTITUTE($G160,"-",""))-1))-LEN(SUBSTITUTE(SUBSTITUTE(SUBSTITUTE($G160,"-"," ",LEN($G160)-LEN(SUBSTITUTE($G160,"-",""))),"-"," ",LEN($G160)-LEN(SUBSTITUTE($G160,"-",""))-1),".",""))))),$G160)))</f>
        <v/>
      </c>
    </row>
    <row r="161">
      <c r="A161" s="58" t="n"/>
      <c r="B161" s="58">
        <f>IF($H161="","",LEFT($H161,FIND(" ",$H161&amp;" ")-1))</f>
        <v/>
      </c>
      <c r="C161" s="58">
        <f>IF($H161="","",IFERROR(MID($H161&amp;" ",FIND("|",SUBSTITUTE($H161&amp;" "," ","|",1))+1,FIND("|",SUBSTITUTE($H161&amp;" "," ","|",2))-FIND("|",SUBSTITUTE($H161&amp;" "," ","|",1))-1),""))</f>
        <v/>
      </c>
      <c r="D161" s="58">
        <f>IF($H161="","",IFERROR(MID($H161&amp;" ",FIND("|",SUBSTITUTE($H161&amp;" "," ","|",2))+1,FIND("|",SUBSTITUTE($H161&amp;" "," ","|",3))-FIND("|",SUBSTITUTE($H161&amp;" "," ","|",2))-1),""))</f>
        <v/>
      </c>
      <c r="E161" s="58">
        <f>IF($H161="","",IFERROR(MID($H161&amp;" ",FIND("|",SUBSTITUTE($H161&amp;" "," ","|",3))+1,FIND("|",SUBSTITUTE($H161&amp;" "," ","|",4))-FIND("|",SUBSTITUTE($H161&amp;" "," ","|",3))-1),""))</f>
        <v/>
      </c>
      <c r="F161" s="59">
        <f>IF($H161="","",IFERROR(VALUE(IFERROR(MID($H161&amp;" ",FIND("|",SUBSTITUTE($H161&amp;" "," ","|",4))+1,FIND("|",SUBSTITUTE($H161&amp;" "," ","|",5))-FIND("|",SUBSTITUTE($H161&amp;" "," ","|",4))-1),""))/86400+25569+9/24,""))</f>
        <v/>
      </c>
      <c r="G161" s="58">
        <f>TRIM(SUBSTITUTE(SUBSTITUTE(SUBSTITUTE($A161,CHAR(9)," ")," "," "),CHAR(13),""))</f>
        <v/>
      </c>
      <c r="H161" s="58">
        <f>IF($G161="","",IF(ISNUMBER(FIND(" ",$G161)),$G161,IFERROR(IF((LEN(SUBSTITUTE(SUBSTITUTE($G161,"-"," ",LEN($G161)-LEN(SUBSTITUTE($G161,"-",""))),"-"," ",LEN($G161)-LEN(SUBSTITUTE($G161,"-",""))-1))-LEN(SUBSTITUTE(SUBSTITUTE(SUBSTITUTE($G161,"-"," ",LEN($G161)-LEN(SUBSTITUTE($G161,"-",""))),"-"," ",LEN($G161)-LEN(SUBSTITUTE($G161,"-",""))-1),".","")))=0,SUBSTITUTE(SUBSTITUTE($G161,"-"," ",LEN($G161)-LEN(SUBSTITUTE($G161,"-",""))),"-"," ",LEN($G161)-LEN(SUBSTITUTE($G161,"-",""))-1),SUBSTITUTE(SUBSTITUTE(SUBSTITUTE($G161,"-"," ",LEN($G161)-LEN(SUBSTITUTE($G161,"-",""))),"-"," ",LEN($G161)-LEN(SUBSTITUTE($G161,"-",""))-1),"."," ",(LEN(SUBSTITUTE(SUBSTITUTE($G161,"-"," ",LEN($G161)-LEN(SUBSTITUTE($G161,"-",""))),"-"," ",LEN($G161)-LEN(SUBSTITUTE($G161,"-",""))-1))-LEN(SUBSTITUTE(SUBSTITUTE(SUBSTITUTE($G161,"-"," ",LEN($G161)-LEN(SUBSTITUTE($G161,"-",""))),"-"," ",LEN($G161)-LEN(SUBSTITUTE($G161,"-",""))-1),".",""))))),$G161)))</f>
        <v/>
      </c>
    </row>
    <row r="162">
      <c r="A162" s="58" t="n"/>
      <c r="B162" s="58">
        <f>IF($H162="","",LEFT($H162,FIND(" ",$H162&amp;" ")-1))</f>
        <v/>
      </c>
      <c r="C162" s="58">
        <f>IF($H162="","",IFERROR(MID($H162&amp;" ",FIND("|",SUBSTITUTE($H162&amp;" "," ","|",1))+1,FIND("|",SUBSTITUTE($H162&amp;" "," ","|",2))-FIND("|",SUBSTITUTE($H162&amp;" "," ","|",1))-1),""))</f>
        <v/>
      </c>
      <c r="D162" s="58">
        <f>IF($H162="","",IFERROR(MID($H162&amp;" ",FIND("|",SUBSTITUTE($H162&amp;" "," ","|",2))+1,FIND("|",SUBSTITUTE($H162&amp;" "," ","|",3))-FIND("|",SUBSTITUTE($H162&amp;" "," ","|",2))-1),""))</f>
        <v/>
      </c>
      <c r="E162" s="58">
        <f>IF($H162="","",IFERROR(MID($H162&amp;" ",FIND("|",SUBSTITUTE($H162&amp;" "," ","|",3))+1,FIND("|",SUBSTITUTE($H162&amp;" "," ","|",4))-FIND("|",SUBSTITUTE($H162&amp;" "," ","|",3))-1),""))</f>
        <v/>
      </c>
      <c r="F162" s="59">
        <f>IF($H162="","",IFERROR(VALUE(IFERROR(MID($H162&amp;" ",FIND("|",SUBSTITUTE($H162&amp;" "," ","|",4))+1,FIND("|",SUBSTITUTE($H162&amp;" "," ","|",5))-FIND("|",SUBSTITUTE($H162&amp;" "," ","|",4))-1),""))/86400+25569+9/24,""))</f>
        <v/>
      </c>
      <c r="G162" s="58">
        <f>TRIM(SUBSTITUTE(SUBSTITUTE(SUBSTITUTE($A162,CHAR(9)," ")," "," "),CHAR(13),""))</f>
        <v/>
      </c>
      <c r="H162" s="58">
        <f>IF($G162="","",IF(ISNUMBER(FIND(" ",$G162)),$G162,IFERROR(IF((LEN(SUBSTITUTE(SUBSTITUTE($G162,"-"," ",LEN($G162)-LEN(SUBSTITUTE($G162,"-",""))),"-"," ",LEN($G162)-LEN(SUBSTITUTE($G162,"-",""))-1))-LEN(SUBSTITUTE(SUBSTITUTE(SUBSTITUTE($G162,"-"," ",LEN($G162)-LEN(SUBSTITUTE($G162,"-",""))),"-"," ",LEN($G162)-LEN(SUBSTITUTE($G162,"-",""))-1),".","")))=0,SUBSTITUTE(SUBSTITUTE($G162,"-"," ",LEN($G162)-LEN(SUBSTITUTE($G162,"-",""))),"-"," ",LEN($G162)-LEN(SUBSTITUTE($G162,"-",""))-1),SUBSTITUTE(SUBSTITUTE(SUBSTITUTE($G162,"-"," ",LEN($G162)-LEN(SUBSTITUTE($G162,"-",""))),"-"," ",LEN($G162)-LEN(SUBSTITUTE($G162,"-",""))-1),"."," ",(LEN(SUBSTITUTE(SUBSTITUTE($G162,"-"," ",LEN($G162)-LEN(SUBSTITUTE($G162,"-",""))),"-"," ",LEN($G162)-LEN(SUBSTITUTE($G162,"-",""))-1))-LEN(SUBSTITUTE(SUBSTITUTE(SUBSTITUTE($G162,"-"," ",LEN($G162)-LEN(SUBSTITUTE($G162,"-",""))),"-"," ",LEN($G162)-LEN(SUBSTITUTE($G162,"-",""))-1),".",""))))),$G162)))</f>
        <v/>
      </c>
    </row>
    <row r="163">
      <c r="A163" s="58" t="n"/>
      <c r="B163" s="58">
        <f>IF($H163="","",LEFT($H163,FIND(" ",$H163&amp;" ")-1))</f>
        <v/>
      </c>
      <c r="C163" s="58">
        <f>IF($H163="","",IFERROR(MID($H163&amp;" ",FIND("|",SUBSTITUTE($H163&amp;" "," ","|",1))+1,FIND("|",SUBSTITUTE($H163&amp;" "," ","|",2))-FIND("|",SUBSTITUTE($H163&amp;" "," ","|",1))-1),""))</f>
        <v/>
      </c>
      <c r="D163" s="58">
        <f>IF($H163="","",IFERROR(MID($H163&amp;" ",FIND("|",SUBSTITUTE($H163&amp;" "," ","|",2))+1,FIND("|",SUBSTITUTE($H163&amp;" "," ","|",3))-FIND("|",SUBSTITUTE($H163&amp;" "," ","|",2))-1),""))</f>
        <v/>
      </c>
      <c r="E163" s="58">
        <f>IF($H163="","",IFERROR(MID($H163&amp;" ",FIND("|",SUBSTITUTE($H163&amp;" "," ","|",3))+1,FIND("|",SUBSTITUTE($H163&amp;" "," ","|",4))-FIND("|",SUBSTITUTE($H163&amp;" "," ","|",3))-1),""))</f>
        <v/>
      </c>
      <c r="F163" s="59">
        <f>IF($H163="","",IFERROR(VALUE(IFERROR(MID($H163&amp;" ",FIND("|",SUBSTITUTE($H163&amp;" "," ","|",4))+1,FIND("|",SUBSTITUTE($H163&amp;" "," ","|",5))-FIND("|",SUBSTITUTE($H163&amp;" "," ","|",4))-1),""))/86400+25569+9/24,""))</f>
        <v/>
      </c>
      <c r="G163" s="58">
        <f>TRIM(SUBSTITUTE(SUBSTITUTE(SUBSTITUTE($A163,CHAR(9)," ")," "," "),CHAR(13),""))</f>
        <v/>
      </c>
      <c r="H163" s="58">
        <f>IF($G163="","",IF(ISNUMBER(FIND(" ",$G163)),$G163,IFERROR(IF((LEN(SUBSTITUTE(SUBSTITUTE($G163,"-"," ",LEN($G163)-LEN(SUBSTITUTE($G163,"-",""))),"-"," ",LEN($G163)-LEN(SUBSTITUTE($G163,"-",""))-1))-LEN(SUBSTITUTE(SUBSTITUTE(SUBSTITUTE($G163,"-"," ",LEN($G163)-LEN(SUBSTITUTE($G163,"-",""))),"-"," ",LEN($G163)-LEN(SUBSTITUTE($G163,"-",""))-1),".","")))=0,SUBSTITUTE(SUBSTITUTE($G163,"-"," ",LEN($G163)-LEN(SUBSTITUTE($G163,"-",""))),"-"," ",LEN($G163)-LEN(SUBSTITUTE($G163,"-",""))-1),SUBSTITUTE(SUBSTITUTE(SUBSTITUTE($G163,"-"," ",LEN($G163)-LEN(SUBSTITUTE($G163,"-",""))),"-"," ",LEN($G163)-LEN(SUBSTITUTE($G163,"-",""))-1),"."," ",(LEN(SUBSTITUTE(SUBSTITUTE($G163,"-"," ",LEN($G163)-LEN(SUBSTITUTE($G163,"-",""))),"-"," ",LEN($G163)-LEN(SUBSTITUTE($G163,"-",""))-1))-LEN(SUBSTITUTE(SUBSTITUTE(SUBSTITUTE($G163,"-"," ",LEN($G163)-LEN(SUBSTITUTE($G163,"-",""))),"-"," ",LEN($G163)-LEN(SUBSTITUTE($G163,"-",""))-1),".",""))))),$G163)))</f>
        <v/>
      </c>
    </row>
    <row r="164">
      <c r="A164" s="58" t="n"/>
      <c r="B164" s="58">
        <f>IF($H164="","",LEFT($H164,FIND(" ",$H164&amp;" ")-1))</f>
        <v/>
      </c>
      <c r="C164" s="58">
        <f>IF($H164="","",IFERROR(MID($H164&amp;" ",FIND("|",SUBSTITUTE($H164&amp;" "," ","|",1))+1,FIND("|",SUBSTITUTE($H164&amp;" "," ","|",2))-FIND("|",SUBSTITUTE($H164&amp;" "," ","|",1))-1),""))</f>
        <v/>
      </c>
      <c r="D164" s="58">
        <f>IF($H164="","",IFERROR(MID($H164&amp;" ",FIND("|",SUBSTITUTE($H164&amp;" "," ","|",2))+1,FIND("|",SUBSTITUTE($H164&amp;" "," ","|",3))-FIND("|",SUBSTITUTE($H164&amp;" "," ","|",2))-1),""))</f>
        <v/>
      </c>
      <c r="E164" s="58">
        <f>IF($H164="","",IFERROR(MID($H164&amp;" ",FIND("|",SUBSTITUTE($H164&amp;" "," ","|",3))+1,FIND("|",SUBSTITUTE($H164&amp;" "," ","|",4))-FIND("|",SUBSTITUTE($H164&amp;" "," ","|",3))-1),""))</f>
        <v/>
      </c>
      <c r="F164" s="59">
        <f>IF($H164="","",IFERROR(VALUE(IFERROR(MID($H164&amp;" ",FIND("|",SUBSTITUTE($H164&amp;" "," ","|",4))+1,FIND("|",SUBSTITUTE($H164&amp;" "," ","|",5))-FIND("|",SUBSTITUTE($H164&amp;" "," ","|",4))-1),""))/86400+25569+9/24,""))</f>
        <v/>
      </c>
      <c r="G164" s="58">
        <f>TRIM(SUBSTITUTE(SUBSTITUTE(SUBSTITUTE($A164,CHAR(9)," ")," "," "),CHAR(13),""))</f>
        <v/>
      </c>
      <c r="H164" s="58">
        <f>IF($G164="","",IF(ISNUMBER(FIND(" ",$G164)),$G164,IFERROR(IF((LEN(SUBSTITUTE(SUBSTITUTE($G164,"-"," ",LEN($G164)-LEN(SUBSTITUTE($G164,"-",""))),"-"," ",LEN($G164)-LEN(SUBSTITUTE($G164,"-",""))-1))-LEN(SUBSTITUTE(SUBSTITUTE(SUBSTITUTE($G164,"-"," ",LEN($G164)-LEN(SUBSTITUTE($G164,"-",""))),"-"," ",LEN($G164)-LEN(SUBSTITUTE($G164,"-",""))-1),".","")))=0,SUBSTITUTE(SUBSTITUTE($G164,"-"," ",LEN($G164)-LEN(SUBSTITUTE($G164,"-",""))),"-"," ",LEN($G164)-LEN(SUBSTITUTE($G164,"-",""))-1),SUBSTITUTE(SUBSTITUTE(SUBSTITUTE($G164,"-"," ",LEN($G164)-LEN(SUBSTITUTE($G164,"-",""))),"-"," ",LEN($G164)-LEN(SUBSTITUTE($G164,"-",""))-1),"."," ",(LEN(SUBSTITUTE(SUBSTITUTE($G164,"-"," ",LEN($G164)-LEN(SUBSTITUTE($G164,"-",""))),"-"," ",LEN($G164)-LEN(SUBSTITUTE($G164,"-",""))-1))-LEN(SUBSTITUTE(SUBSTITUTE(SUBSTITUTE($G164,"-"," ",LEN($G164)-LEN(SUBSTITUTE($G164,"-",""))),"-"," ",LEN($G164)-LEN(SUBSTITUTE($G164,"-",""))-1),".",""))))),$G164)))</f>
        <v/>
      </c>
    </row>
    <row r="165">
      <c r="A165" s="58" t="n"/>
      <c r="B165" s="58">
        <f>IF($H165="","",LEFT($H165,FIND(" ",$H165&amp;" ")-1))</f>
        <v/>
      </c>
      <c r="C165" s="58">
        <f>IF($H165="","",IFERROR(MID($H165&amp;" ",FIND("|",SUBSTITUTE($H165&amp;" "," ","|",1))+1,FIND("|",SUBSTITUTE($H165&amp;" "," ","|",2))-FIND("|",SUBSTITUTE($H165&amp;" "," ","|",1))-1),""))</f>
        <v/>
      </c>
      <c r="D165" s="58">
        <f>IF($H165="","",IFERROR(MID($H165&amp;" ",FIND("|",SUBSTITUTE($H165&amp;" "," ","|",2))+1,FIND("|",SUBSTITUTE($H165&amp;" "," ","|",3))-FIND("|",SUBSTITUTE($H165&amp;" "," ","|",2))-1),""))</f>
        <v/>
      </c>
      <c r="E165" s="58">
        <f>IF($H165="","",IFERROR(MID($H165&amp;" ",FIND("|",SUBSTITUTE($H165&amp;" "," ","|",3))+1,FIND("|",SUBSTITUTE($H165&amp;" "," ","|",4))-FIND("|",SUBSTITUTE($H165&amp;" "," ","|",3))-1),""))</f>
        <v/>
      </c>
      <c r="F165" s="59">
        <f>IF($H165="","",IFERROR(VALUE(IFERROR(MID($H165&amp;" ",FIND("|",SUBSTITUTE($H165&amp;" "," ","|",4))+1,FIND("|",SUBSTITUTE($H165&amp;" "," ","|",5))-FIND("|",SUBSTITUTE($H165&amp;" "," ","|",4))-1),""))/86400+25569+9/24,""))</f>
        <v/>
      </c>
      <c r="G165" s="58">
        <f>TRIM(SUBSTITUTE(SUBSTITUTE(SUBSTITUTE($A165,CHAR(9)," ")," "," "),CHAR(13),""))</f>
        <v/>
      </c>
      <c r="H165" s="58">
        <f>IF($G165="","",IF(ISNUMBER(FIND(" ",$G165)),$G165,IFERROR(IF((LEN(SUBSTITUTE(SUBSTITUTE($G165,"-"," ",LEN($G165)-LEN(SUBSTITUTE($G165,"-",""))),"-"," ",LEN($G165)-LEN(SUBSTITUTE($G165,"-",""))-1))-LEN(SUBSTITUTE(SUBSTITUTE(SUBSTITUTE($G165,"-"," ",LEN($G165)-LEN(SUBSTITUTE($G165,"-",""))),"-"," ",LEN($G165)-LEN(SUBSTITUTE($G165,"-",""))-1),".","")))=0,SUBSTITUTE(SUBSTITUTE($G165,"-"," ",LEN($G165)-LEN(SUBSTITUTE($G165,"-",""))),"-"," ",LEN($G165)-LEN(SUBSTITUTE($G165,"-",""))-1),SUBSTITUTE(SUBSTITUTE(SUBSTITUTE($G165,"-"," ",LEN($G165)-LEN(SUBSTITUTE($G165,"-",""))),"-"," ",LEN($G165)-LEN(SUBSTITUTE($G165,"-",""))-1),"."," ",(LEN(SUBSTITUTE(SUBSTITUTE($G165,"-"," ",LEN($G165)-LEN(SUBSTITUTE($G165,"-",""))),"-"," ",LEN($G165)-LEN(SUBSTITUTE($G165,"-",""))-1))-LEN(SUBSTITUTE(SUBSTITUTE(SUBSTITUTE($G165,"-"," ",LEN($G165)-LEN(SUBSTITUTE($G165,"-",""))),"-"," ",LEN($G165)-LEN(SUBSTITUTE($G165,"-",""))-1),".",""))))),$G165)))</f>
        <v/>
      </c>
    </row>
    <row r="166">
      <c r="A166" s="58" t="n"/>
      <c r="B166" s="58">
        <f>IF($H166="","",LEFT($H166,FIND(" ",$H166&amp;" ")-1))</f>
        <v/>
      </c>
      <c r="C166" s="58">
        <f>IF($H166="","",IFERROR(MID($H166&amp;" ",FIND("|",SUBSTITUTE($H166&amp;" "," ","|",1))+1,FIND("|",SUBSTITUTE($H166&amp;" "," ","|",2))-FIND("|",SUBSTITUTE($H166&amp;" "," ","|",1))-1),""))</f>
        <v/>
      </c>
      <c r="D166" s="58">
        <f>IF($H166="","",IFERROR(MID($H166&amp;" ",FIND("|",SUBSTITUTE($H166&amp;" "," ","|",2))+1,FIND("|",SUBSTITUTE($H166&amp;" "," ","|",3))-FIND("|",SUBSTITUTE($H166&amp;" "," ","|",2))-1),""))</f>
        <v/>
      </c>
      <c r="E166" s="58">
        <f>IF($H166="","",IFERROR(MID($H166&amp;" ",FIND("|",SUBSTITUTE($H166&amp;" "," ","|",3))+1,FIND("|",SUBSTITUTE($H166&amp;" "," ","|",4))-FIND("|",SUBSTITUTE($H166&amp;" "," ","|",3))-1),""))</f>
        <v/>
      </c>
      <c r="F166" s="59">
        <f>IF($H166="","",IFERROR(VALUE(IFERROR(MID($H166&amp;" ",FIND("|",SUBSTITUTE($H166&amp;" "," ","|",4))+1,FIND("|",SUBSTITUTE($H166&amp;" "," ","|",5))-FIND("|",SUBSTITUTE($H166&amp;" "," ","|",4))-1),""))/86400+25569+9/24,""))</f>
        <v/>
      </c>
      <c r="G166" s="58">
        <f>TRIM(SUBSTITUTE(SUBSTITUTE(SUBSTITUTE($A166,CHAR(9)," ")," "," "),CHAR(13),""))</f>
        <v/>
      </c>
      <c r="H166" s="58">
        <f>IF($G166="","",IF(ISNUMBER(FIND(" ",$G166)),$G166,IFERROR(IF((LEN(SUBSTITUTE(SUBSTITUTE($G166,"-"," ",LEN($G166)-LEN(SUBSTITUTE($G166,"-",""))),"-"," ",LEN($G166)-LEN(SUBSTITUTE($G166,"-",""))-1))-LEN(SUBSTITUTE(SUBSTITUTE(SUBSTITUTE($G166,"-"," ",LEN($G166)-LEN(SUBSTITUTE($G166,"-",""))),"-"," ",LEN($G166)-LEN(SUBSTITUTE($G166,"-",""))-1),".","")))=0,SUBSTITUTE(SUBSTITUTE($G166,"-"," ",LEN($G166)-LEN(SUBSTITUTE($G166,"-",""))),"-"," ",LEN($G166)-LEN(SUBSTITUTE($G166,"-",""))-1),SUBSTITUTE(SUBSTITUTE(SUBSTITUTE($G166,"-"," ",LEN($G166)-LEN(SUBSTITUTE($G166,"-",""))),"-"," ",LEN($G166)-LEN(SUBSTITUTE($G166,"-",""))-1),"."," ",(LEN(SUBSTITUTE(SUBSTITUTE($G166,"-"," ",LEN($G166)-LEN(SUBSTITUTE($G166,"-",""))),"-"," ",LEN($G166)-LEN(SUBSTITUTE($G166,"-",""))-1))-LEN(SUBSTITUTE(SUBSTITUTE(SUBSTITUTE($G166,"-"," ",LEN($G166)-LEN(SUBSTITUTE($G166,"-",""))),"-"," ",LEN($G166)-LEN(SUBSTITUTE($G166,"-",""))-1),".",""))))),$G166)))</f>
        <v/>
      </c>
    </row>
    <row r="167">
      <c r="A167" s="58" t="n"/>
      <c r="B167" s="58">
        <f>IF($H167="","",LEFT($H167,FIND(" ",$H167&amp;" ")-1))</f>
        <v/>
      </c>
      <c r="C167" s="58">
        <f>IF($H167="","",IFERROR(MID($H167&amp;" ",FIND("|",SUBSTITUTE($H167&amp;" "," ","|",1))+1,FIND("|",SUBSTITUTE($H167&amp;" "," ","|",2))-FIND("|",SUBSTITUTE($H167&amp;" "," ","|",1))-1),""))</f>
        <v/>
      </c>
      <c r="D167" s="58">
        <f>IF($H167="","",IFERROR(MID($H167&amp;" ",FIND("|",SUBSTITUTE($H167&amp;" "," ","|",2))+1,FIND("|",SUBSTITUTE($H167&amp;" "," ","|",3))-FIND("|",SUBSTITUTE($H167&amp;" "," ","|",2))-1),""))</f>
        <v/>
      </c>
      <c r="E167" s="58">
        <f>IF($H167="","",IFERROR(MID($H167&amp;" ",FIND("|",SUBSTITUTE($H167&amp;" "," ","|",3))+1,FIND("|",SUBSTITUTE($H167&amp;" "," ","|",4))-FIND("|",SUBSTITUTE($H167&amp;" "," ","|",3))-1),""))</f>
        <v/>
      </c>
      <c r="F167" s="59">
        <f>IF($H167="","",IFERROR(VALUE(IFERROR(MID($H167&amp;" ",FIND("|",SUBSTITUTE($H167&amp;" "," ","|",4))+1,FIND("|",SUBSTITUTE($H167&amp;" "," ","|",5))-FIND("|",SUBSTITUTE($H167&amp;" "," ","|",4))-1),""))/86400+25569+9/24,""))</f>
        <v/>
      </c>
      <c r="G167" s="58">
        <f>TRIM(SUBSTITUTE(SUBSTITUTE(SUBSTITUTE($A167,CHAR(9)," ")," "," "),CHAR(13),""))</f>
        <v/>
      </c>
      <c r="H167" s="58">
        <f>IF($G167="","",IF(ISNUMBER(FIND(" ",$G167)),$G167,IFERROR(IF((LEN(SUBSTITUTE(SUBSTITUTE($G167,"-"," ",LEN($G167)-LEN(SUBSTITUTE($G167,"-",""))),"-"," ",LEN($G167)-LEN(SUBSTITUTE($G167,"-",""))-1))-LEN(SUBSTITUTE(SUBSTITUTE(SUBSTITUTE($G167,"-"," ",LEN($G167)-LEN(SUBSTITUTE($G167,"-",""))),"-"," ",LEN($G167)-LEN(SUBSTITUTE($G167,"-",""))-1),".","")))=0,SUBSTITUTE(SUBSTITUTE($G167,"-"," ",LEN($G167)-LEN(SUBSTITUTE($G167,"-",""))),"-"," ",LEN($G167)-LEN(SUBSTITUTE($G167,"-",""))-1),SUBSTITUTE(SUBSTITUTE(SUBSTITUTE($G167,"-"," ",LEN($G167)-LEN(SUBSTITUTE($G167,"-",""))),"-"," ",LEN($G167)-LEN(SUBSTITUTE($G167,"-",""))-1),"."," ",(LEN(SUBSTITUTE(SUBSTITUTE($G167,"-"," ",LEN($G167)-LEN(SUBSTITUTE($G167,"-",""))),"-"," ",LEN($G167)-LEN(SUBSTITUTE($G167,"-",""))-1))-LEN(SUBSTITUTE(SUBSTITUTE(SUBSTITUTE($G167,"-"," ",LEN($G167)-LEN(SUBSTITUTE($G167,"-",""))),"-"," ",LEN($G167)-LEN(SUBSTITUTE($G167,"-",""))-1),".",""))))),$G167)))</f>
        <v/>
      </c>
    </row>
    <row r="168">
      <c r="A168" s="58" t="n"/>
      <c r="B168" s="58">
        <f>IF($H168="","",LEFT($H168,FIND(" ",$H168&amp;" ")-1))</f>
        <v/>
      </c>
      <c r="C168" s="58">
        <f>IF($H168="","",IFERROR(MID($H168&amp;" ",FIND("|",SUBSTITUTE($H168&amp;" "," ","|",1))+1,FIND("|",SUBSTITUTE($H168&amp;" "," ","|",2))-FIND("|",SUBSTITUTE($H168&amp;" "," ","|",1))-1),""))</f>
        <v/>
      </c>
      <c r="D168" s="58">
        <f>IF($H168="","",IFERROR(MID($H168&amp;" ",FIND("|",SUBSTITUTE($H168&amp;" "," ","|",2))+1,FIND("|",SUBSTITUTE($H168&amp;" "," ","|",3))-FIND("|",SUBSTITUTE($H168&amp;" "," ","|",2))-1),""))</f>
        <v/>
      </c>
      <c r="E168" s="58">
        <f>IF($H168="","",IFERROR(MID($H168&amp;" ",FIND("|",SUBSTITUTE($H168&amp;" "," ","|",3))+1,FIND("|",SUBSTITUTE($H168&amp;" "," ","|",4))-FIND("|",SUBSTITUTE($H168&amp;" "," ","|",3))-1),""))</f>
        <v/>
      </c>
      <c r="F168" s="59">
        <f>IF($H168="","",IFERROR(VALUE(IFERROR(MID($H168&amp;" ",FIND("|",SUBSTITUTE($H168&amp;" "," ","|",4))+1,FIND("|",SUBSTITUTE($H168&amp;" "," ","|",5))-FIND("|",SUBSTITUTE($H168&amp;" "," ","|",4))-1),""))/86400+25569+9/24,""))</f>
        <v/>
      </c>
      <c r="G168" s="58">
        <f>TRIM(SUBSTITUTE(SUBSTITUTE(SUBSTITUTE($A168,CHAR(9)," ")," "," "),CHAR(13),""))</f>
        <v/>
      </c>
      <c r="H168" s="58">
        <f>IF($G168="","",IF(ISNUMBER(FIND(" ",$G168)),$G168,IFERROR(IF((LEN(SUBSTITUTE(SUBSTITUTE($G168,"-"," ",LEN($G168)-LEN(SUBSTITUTE($G168,"-",""))),"-"," ",LEN($G168)-LEN(SUBSTITUTE($G168,"-",""))-1))-LEN(SUBSTITUTE(SUBSTITUTE(SUBSTITUTE($G168,"-"," ",LEN($G168)-LEN(SUBSTITUTE($G168,"-",""))),"-"," ",LEN($G168)-LEN(SUBSTITUTE($G168,"-",""))-1),".","")))=0,SUBSTITUTE(SUBSTITUTE($G168,"-"," ",LEN($G168)-LEN(SUBSTITUTE($G168,"-",""))),"-"," ",LEN($G168)-LEN(SUBSTITUTE($G168,"-",""))-1),SUBSTITUTE(SUBSTITUTE(SUBSTITUTE($G168,"-"," ",LEN($G168)-LEN(SUBSTITUTE($G168,"-",""))),"-"," ",LEN($G168)-LEN(SUBSTITUTE($G168,"-",""))-1),"."," ",(LEN(SUBSTITUTE(SUBSTITUTE($G168,"-"," ",LEN($G168)-LEN(SUBSTITUTE($G168,"-",""))),"-"," ",LEN($G168)-LEN(SUBSTITUTE($G168,"-",""))-1))-LEN(SUBSTITUTE(SUBSTITUTE(SUBSTITUTE($G168,"-"," ",LEN($G168)-LEN(SUBSTITUTE($G168,"-",""))),"-"," ",LEN($G168)-LEN(SUBSTITUTE($G168,"-",""))-1),".",""))))),$G168)))</f>
        <v/>
      </c>
    </row>
    <row r="169">
      <c r="A169" s="58" t="n"/>
      <c r="B169" s="58">
        <f>IF($H169="","",LEFT($H169,FIND(" ",$H169&amp;" ")-1))</f>
        <v/>
      </c>
      <c r="C169" s="58">
        <f>IF($H169="","",IFERROR(MID($H169&amp;" ",FIND("|",SUBSTITUTE($H169&amp;" "," ","|",1))+1,FIND("|",SUBSTITUTE($H169&amp;" "," ","|",2))-FIND("|",SUBSTITUTE($H169&amp;" "," ","|",1))-1),""))</f>
        <v/>
      </c>
      <c r="D169" s="58">
        <f>IF($H169="","",IFERROR(MID($H169&amp;" ",FIND("|",SUBSTITUTE($H169&amp;" "," ","|",2))+1,FIND("|",SUBSTITUTE($H169&amp;" "," ","|",3))-FIND("|",SUBSTITUTE($H169&amp;" "," ","|",2))-1),""))</f>
        <v/>
      </c>
      <c r="E169" s="58">
        <f>IF($H169="","",IFERROR(MID($H169&amp;" ",FIND("|",SUBSTITUTE($H169&amp;" "," ","|",3))+1,FIND("|",SUBSTITUTE($H169&amp;" "," ","|",4))-FIND("|",SUBSTITUTE($H169&amp;" "," ","|",3))-1),""))</f>
        <v/>
      </c>
      <c r="F169" s="59">
        <f>IF($H169="","",IFERROR(VALUE(IFERROR(MID($H169&amp;" ",FIND("|",SUBSTITUTE($H169&amp;" "," ","|",4))+1,FIND("|",SUBSTITUTE($H169&amp;" "," ","|",5))-FIND("|",SUBSTITUTE($H169&amp;" "," ","|",4))-1),""))/86400+25569+9/24,""))</f>
        <v/>
      </c>
      <c r="G169" s="58">
        <f>TRIM(SUBSTITUTE(SUBSTITUTE(SUBSTITUTE($A169,CHAR(9)," ")," "," "),CHAR(13),""))</f>
        <v/>
      </c>
      <c r="H169" s="58">
        <f>IF($G169="","",IF(ISNUMBER(FIND(" ",$G169)),$G169,IFERROR(IF((LEN(SUBSTITUTE(SUBSTITUTE($G169,"-"," ",LEN($G169)-LEN(SUBSTITUTE($G169,"-",""))),"-"," ",LEN($G169)-LEN(SUBSTITUTE($G169,"-",""))-1))-LEN(SUBSTITUTE(SUBSTITUTE(SUBSTITUTE($G169,"-"," ",LEN($G169)-LEN(SUBSTITUTE($G169,"-",""))),"-"," ",LEN($G169)-LEN(SUBSTITUTE($G169,"-",""))-1),".","")))=0,SUBSTITUTE(SUBSTITUTE($G169,"-"," ",LEN($G169)-LEN(SUBSTITUTE($G169,"-",""))),"-"," ",LEN($G169)-LEN(SUBSTITUTE($G169,"-",""))-1),SUBSTITUTE(SUBSTITUTE(SUBSTITUTE($G169,"-"," ",LEN($G169)-LEN(SUBSTITUTE($G169,"-",""))),"-"," ",LEN($G169)-LEN(SUBSTITUTE($G169,"-",""))-1),"."," ",(LEN(SUBSTITUTE(SUBSTITUTE($G169,"-"," ",LEN($G169)-LEN(SUBSTITUTE($G169,"-",""))),"-"," ",LEN($G169)-LEN(SUBSTITUTE($G169,"-",""))-1))-LEN(SUBSTITUTE(SUBSTITUTE(SUBSTITUTE($G169,"-"," ",LEN($G169)-LEN(SUBSTITUTE($G169,"-",""))),"-"," ",LEN($G169)-LEN(SUBSTITUTE($G169,"-",""))-1),".",""))))),$G169)))</f>
        <v/>
      </c>
    </row>
    <row r="170">
      <c r="A170" s="58" t="n"/>
      <c r="B170" s="58">
        <f>IF($H170="","",LEFT($H170,FIND(" ",$H170&amp;" ")-1))</f>
        <v/>
      </c>
      <c r="C170" s="58">
        <f>IF($H170="","",IFERROR(MID($H170&amp;" ",FIND("|",SUBSTITUTE($H170&amp;" "," ","|",1))+1,FIND("|",SUBSTITUTE($H170&amp;" "," ","|",2))-FIND("|",SUBSTITUTE($H170&amp;" "," ","|",1))-1),""))</f>
        <v/>
      </c>
      <c r="D170" s="58">
        <f>IF($H170="","",IFERROR(MID($H170&amp;" ",FIND("|",SUBSTITUTE($H170&amp;" "," ","|",2))+1,FIND("|",SUBSTITUTE($H170&amp;" "," ","|",3))-FIND("|",SUBSTITUTE($H170&amp;" "," ","|",2))-1),""))</f>
        <v/>
      </c>
      <c r="E170" s="58">
        <f>IF($H170="","",IFERROR(MID($H170&amp;" ",FIND("|",SUBSTITUTE($H170&amp;" "," ","|",3))+1,FIND("|",SUBSTITUTE($H170&amp;" "," ","|",4))-FIND("|",SUBSTITUTE($H170&amp;" "," ","|",3))-1),""))</f>
        <v/>
      </c>
      <c r="F170" s="59">
        <f>IF($H170="","",IFERROR(VALUE(IFERROR(MID($H170&amp;" ",FIND("|",SUBSTITUTE($H170&amp;" "," ","|",4))+1,FIND("|",SUBSTITUTE($H170&amp;" "," ","|",5))-FIND("|",SUBSTITUTE($H170&amp;" "," ","|",4))-1),""))/86400+25569+9/24,""))</f>
        <v/>
      </c>
      <c r="G170" s="58">
        <f>TRIM(SUBSTITUTE(SUBSTITUTE(SUBSTITUTE($A170,CHAR(9)," ")," "," "),CHAR(13),""))</f>
        <v/>
      </c>
      <c r="H170" s="58">
        <f>IF($G170="","",IF(ISNUMBER(FIND(" ",$G170)),$G170,IFERROR(IF((LEN(SUBSTITUTE(SUBSTITUTE($G170,"-"," ",LEN($G170)-LEN(SUBSTITUTE($G170,"-",""))),"-"," ",LEN($G170)-LEN(SUBSTITUTE($G170,"-",""))-1))-LEN(SUBSTITUTE(SUBSTITUTE(SUBSTITUTE($G170,"-"," ",LEN($G170)-LEN(SUBSTITUTE($G170,"-",""))),"-"," ",LEN($G170)-LEN(SUBSTITUTE($G170,"-",""))-1),".","")))=0,SUBSTITUTE(SUBSTITUTE($G170,"-"," ",LEN($G170)-LEN(SUBSTITUTE($G170,"-",""))),"-"," ",LEN($G170)-LEN(SUBSTITUTE($G170,"-",""))-1),SUBSTITUTE(SUBSTITUTE(SUBSTITUTE($G170,"-"," ",LEN($G170)-LEN(SUBSTITUTE($G170,"-",""))),"-"," ",LEN($G170)-LEN(SUBSTITUTE($G170,"-",""))-1),"."," ",(LEN(SUBSTITUTE(SUBSTITUTE($G170,"-"," ",LEN($G170)-LEN(SUBSTITUTE($G170,"-",""))),"-"," ",LEN($G170)-LEN(SUBSTITUTE($G170,"-",""))-1))-LEN(SUBSTITUTE(SUBSTITUTE(SUBSTITUTE($G170,"-"," ",LEN($G170)-LEN(SUBSTITUTE($G170,"-",""))),"-"," ",LEN($G170)-LEN(SUBSTITUTE($G170,"-",""))-1),".",""))))),$G170)))</f>
        <v/>
      </c>
    </row>
    <row r="171">
      <c r="A171" s="58" t="n"/>
      <c r="B171" s="58">
        <f>IF($H171="","",LEFT($H171,FIND(" ",$H171&amp;" ")-1))</f>
        <v/>
      </c>
      <c r="C171" s="58">
        <f>IF($H171="","",IFERROR(MID($H171&amp;" ",FIND("|",SUBSTITUTE($H171&amp;" "," ","|",1))+1,FIND("|",SUBSTITUTE($H171&amp;" "," ","|",2))-FIND("|",SUBSTITUTE($H171&amp;" "," ","|",1))-1),""))</f>
        <v/>
      </c>
      <c r="D171" s="58">
        <f>IF($H171="","",IFERROR(MID($H171&amp;" ",FIND("|",SUBSTITUTE($H171&amp;" "," ","|",2))+1,FIND("|",SUBSTITUTE($H171&amp;" "," ","|",3))-FIND("|",SUBSTITUTE($H171&amp;" "," ","|",2))-1),""))</f>
        <v/>
      </c>
      <c r="E171" s="58">
        <f>IF($H171="","",IFERROR(MID($H171&amp;" ",FIND("|",SUBSTITUTE($H171&amp;" "," ","|",3))+1,FIND("|",SUBSTITUTE($H171&amp;" "," ","|",4))-FIND("|",SUBSTITUTE($H171&amp;" "," ","|",3))-1),""))</f>
        <v/>
      </c>
      <c r="F171" s="59">
        <f>IF($H171="","",IFERROR(VALUE(IFERROR(MID($H171&amp;" ",FIND("|",SUBSTITUTE($H171&amp;" "," ","|",4))+1,FIND("|",SUBSTITUTE($H171&amp;" "," ","|",5))-FIND("|",SUBSTITUTE($H171&amp;" "," ","|",4))-1),""))/86400+25569+9/24,""))</f>
        <v/>
      </c>
      <c r="G171" s="58">
        <f>TRIM(SUBSTITUTE(SUBSTITUTE(SUBSTITUTE($A171,CHAR(9)," ")," "," "),CHAR(13),""))</f>
        <v/>
      </c>
      <c r="H171" s="58">
        <f>IF($G171="","",IF(ISNUMBER(FIND(" ",$G171)),$G171,IFERROR(IF((LEN(SUBSTITUTE(SUBSTITUTE($G171,"-"," ",LEN($G171)-LEN(SUBSTITUTE($G171,"-",""))),"-"," ",LEN($G171)-LEN(SUBSTITUTE($G171,"-",""))-1))-LEN(SUBSTITUTE(SUBSTITUTE(SUBSTITUTE($G171,"-"," ",LEN($G171)-LEN(SUBSTITUTE($G171,"-",""))),"-"," ",LEN($G171)-LEN(SUBSTITUTE($G171,"-",""))-1),".","")))=0,SUBSTITUTE(SUBSTITUTE($G171,"-"," ",LEN($G171)-LEN(SUBSTITUTE($G171,"-",""))),"-"," ",LEN($G171)-LEN(SUBSTITUTE($G171,"-",""))-1),SUBSTITUTE(SUBSTITUTE(SUBSTITUTE($G171,"-"," ",LEN($G171)-LEN(SUBSTITUTE($G171,"-",""))),"-"," ",LEN($G171)-LEN(SUBSTITUTE($G171,"-",""))-1),"."," ",(LEN(SUBSTITUTE(SUBSTITUTE($G171,"-"," ",LEN($G171)-LEN(SUBSTITUTE($G171,"-",""))),"-"," ",LEN($G171)-LEN(SUBSTITUTE($G171,"-",""))-1))-LEN(SUBSTITUTE(SUBSTITUTE(SUBSTITUTE($G171,"-"," ",LEN($G171)-LEN(SUBSTITUTE($G171,"-",""))),"-"," ",LEN($G171)-LEN(SUBSTITUTE($G171,"-",""))-1),".",""))))),$G171)))</f>
        <v/>
      </c>
    </row>
    <row r="172">
      <c r="A172" s="58" t="n"/>
      <c r="B172" s="58">
        <f>IF($H172="","",LEFT($H172,FIND(" ",$H172&amp;" ")-1))</f>
        <v/>
      </c>
      <c r="C172" s="58">
        <f>IF($H172="","",IFERROR(MID($H172&amp;" ",FIND("|",SUBSTITUTE($H172&amp;" "," ","|",1))+1,FIND("|",SUBSTITUTE($H172&amp;" "," ","|",2))-FIND("|",SUBSTITUTE($H172&amp;" "," ","|",1))-1),""))</f>
        <v/>
      </c>
      <c r="D172" s="58">
        <f>IF($H172="","",IFERROR(MID($H172&amp;" ",FIND("|",SUBSTITUTE($H172&amp;" "," ","|",2))+1,FIND("|",SUBSTITUTE($H172&amp;" "," ","|",3))-FIND("|",SUBSTITUTE($H172&amp;" "," ","|",2))-1),""))</f>
        <v/>
      </c>
      <c r="E172" s="58">
        <f>IF($H172="","",IFERROR(MID($H172&amp;" ",FIND("|",SUBSTITUTE($H172&amp;" "," ","|",3))+1,FIND("|",SUBSTITUTE($H172&amp;" "," ","|",4))-FIND("|",SUBSTITUTE($H172&amp;" "," ","|",3))-1),""))</f>
        <v/>
      </c>
      <c r="F172" s="59">
        <f>IF($H172="","",IFERROR(VALUE(IFERROR(MID($H172&amp;" ",FIND("|",SUBSTITUTE($H172&amp;" "," ","|",4))+1,FIND("|",SUBSTITUTE($H172&amp;" "," ","|",5))-FIND("|",SUBSTITUTE($H172&amp;" "," ","|",4))-1),""))/86400+25569+9/24,""))</f>
        <v/>
      </c>
      <c r="G172" s="58">
        <f>TRIM(SUBSTITUTE(SUBSTITUTE(SUBSTITUTE($A172,CHAR(9)," ")," "," "),CHAR(13),""))</f>
        <v/>
      </c>
      <c r="H172" s="58">
        <f>IF($G172="","",IF(ISNUMBER(FIND(" ",$G172)),$G172,IFERROR(IF((LEN(SUBSTITUTE(SUBSTITUTE($G172,"-"," ",LEN($G172)-LEN(SUBSTITUTE($G172,"-",""))),"-"," ",LEN($G172)-LEN(SUBSTITUTE($G172,"-",""))-1))-LEN(SUBSTITUTE(SUBSTITUTE(SUBSTITUTE($G172,"-"," ",LEN($G172)-LEN(SUBSTITUTE($G172,"-",""))),"-"," ",LEN($G172)-LEN(SUBSTITUTE($G172,"-",""))-1),".","")))=0,SUBSTITUTE(SUBSTITUTE($G172,"-"," ",LEN($G172)-LEN(SUBSTITUTE($G172,"-",""))),"-"," ",LEN($G172)-LEN(SUBSTITUTE($G172,"-",""))-1),SUBSTITUTE(SUBSTITUTE(SUBSTITUTE($G172,"-"," ",LEN($G172)-LEN(SUBSTITUTE($G172,"-",""))),"-"," ",LEN($G172)-LEN(SUBSTITUTE($G172,"-",""))-1),"."," ",(LEN(SUBSTITUTE(SUBSTITUTE($G172,"-"," ",LEN($G172)-LEN(SUBSTITUTE($G172,"-",""))),"-"," ",LEN($G172)-LEN(SUBSTITUTE($G172,"-",""))-1))-LEN(SUBSTITUTE(SUBSTITUTE(SUBSTITUTE($G172,"-"," ",LEN($G172)-LEN(SUBSTITUTE($G172,"-",""))),"-"," ",LEN($G172)-LEN(SUBSTITUTE($G172,"-",""))-1),".",""))))),$G172)))</f>
        <v/>
      </c>
    </row>
    <row r="173">
      <c r="A173" s="58" t="n"/>
      <c r="B173" s="58">
        <f>IF($H173="","",LEFT($H173,FIND(" ",$H173&amp;" ")-1))</f>
        <v/>
      </c>
      <c r="C173" s="58">
        <f>IF($H173="","",IFERROR(MID($H173&amp;" ",FIND("|",SUBSTITUTE($H173&amp;" "," ","|",1))+1,FIND("|",SUBSTITUTE($H173&amp;" "," ","|",2))-FIND("|",SUBSTITUTE($H173&amp;" "," ","|",1))-1),""))</f>
        <v/>
      </c>
      <c r="D173" s="58">
        <f>IF($H173="","",IFERROR(MID($H173&amp;" ",FIND("|",SUBSTITUTE($H173&amp;" "," ","|",2))+1,FIND("|",SUBSTITUTE($H173&amp;" "," ","|",3))-FIND("|",SUBSTITUTE($H173&amp;" "," ","|",2))-1),""))</f>
        <v/>
      </c>
      <c r="E173" s="58">
        <f>IF($H173="","",IFERROR(MID($H173&amp;" ",FIND("|",SUBSTITUTE($H173&amp;" "," ","|",3))+1,FIND("|",SUBSTITUTE($H173&amp;" "," ","|",4))-FIND("|",SUBSTITUTE($H173&amp;" "," ","|",3))-1),""))</f>
        <v/>
      </c>
      <c r="F173" s="59">
        <f>IF($H173="","",IFERROR(VALUE(IFERROR(MID($H173&amp;" ",FIND("|",SUBSTITUTE($H173&amp;" "," ","|",4))+1,FIND("|",SUBSTITUTE($H173&amp;" "," ","|",5))-FIND("|",SUBSTITUTE($H173&amp;" "," ","|",4))-1),""))/86400+25569+9/24,""))</f>
        <v/>
      </c>
      <c r="G173" s="58">
        <f>TRIM(SUBSTITUTE(SUBSTITUTE(SUBSTITUTE($A173,CHAR(9)," ")," "," "),CHAR(13),""))</f>
        <v/>
      </c>
      <c r="H173" s="58">
        <f>IF($G173="","",IF(ISNUMBER(FIND(" ",$G173)),$G173,IFERROR(IF((LEN(SUBSTITUTE(SUBSTITUTE($G173,"-"," ",LEN($G173)-LEN(SUBSTITUTE($G173,"-",""))),"-"," ",LEN($G173)-LEN(SUBSTITUTE($G173,"-",""))-1))-LEN(SUBSTITUTE(SUBSTITUTE(SUBSTITUTE($G173,"-"," ",LEN($G173)-LEN(SUBSTITUTE($G173,"-",""))),"-"," ",LEN($G173)-LEN(SUBSTITUTE($G173,"-",""))-1),".","")))=0,SUBSTITUTE(SUBSTITUTE($G173,"-"," ",LEN($G173)-LEN(SUBSTITUTE($G173,"-",""))),"-"," ",LEN($G173)-LEN(SUBSTITUTE($G173,"-",""))-1),SUBSTITUTE(SUBSTITUTE(SUBSTITUTE($G173,"-"," ",LEN($G173)-LEN(SUBSTITUTE($G173,"-",""))),"-"," ",LEN($G173)-LEN(SUBSTITUTE($G173,"-",""))-1),"."," ",(LEN(SUBSTITUTE(SUBSTITUTE($G173,"-"," ",LEN($G173)-LEN(SUBSTITUTE($G173,"-",""))),"-"," ",LEN($G173)-LEN(SUBSTITUTE($G173,"-",""))-1))-LEN(SUBSTITUTE(SUBSTITUTE(SUBSTITUTE($G173,"-"," ",LEN($G173)-LEN(SUBSTITUTE($G173,"-",""))),"-"," ",LEN($G173)-LEN(SUBSTITUTE($G173,"-",""))-1),".",""))))),$G173)))</f>
        <v/>
      </c>
    </row>
    <row r="174">
      <c r="A174" s="58" t="n"/>
      <c r="B174" s="58">
        <f>IF($H174="","",LEFT($H174,FIND(" ",$H174&amp;" ")-1))</f>
        <v/>
      </c>
      <c r="C174" s="58">
        <f>IF($H174="","",IFERROR(MID($H174&amp;" ",FIND("|",SUBSTITUTE($H174&amp;" "," ","|",1))+1,FIND("|",SUBSTITUTE($H174&amp;" "," ","|",2))-FIND("|",SUBSTITUTE($H174&amp;" "," ","|",1))-1),""))</f>
        <v/>
      </c>
      <c r="D174" s="58">
        <f>IF($H174="","",IFERROR(MID($H174&amp;" ",FIND("|",SUBSTITUTE($H174&amp;" "," ","|",2))+1,FIND("|",SUBSTITUTE($H174&amp;" "," ","|",3))-FIND("|",SUBSTITUTE($H174&amp;" "," ","|",2))-1),""))</f>
        <v/>
      </c>
      <c r="E174" s="58">
        <f>IF($H174="","",IFERROR(MID($H174&amp;" ",FIND("|",SUBSTITUTE($H174&amp;" "," ","|",3))+1,FIND("|",SUBSTITUTE($H174&amp;" "," ","|",4))-FIND("|",SUBSTITUTE($H174&amp;" "," ","|",3))-1),""))</f>
        <v/>
      </c>
      <c r="F174" s="59">
        <f>IF($H174="","",IFERROR(VALUE(IFERROR(MID($H174&amp;" ",FIND("|",SUBSTITUTE($H174&amp;" "," ","|",4))+1,FIND("|",SUBSTITUTE($H174&amp;" "," ","|",5))-FIND("|",SUBSTITUTE($H174&amp;" "," ","|",4))-1),""))/86400+25569+9/24,""))</f>
        <v/>
      </c>
      <c r="G174" s="58">
        <f>TRIM(SUBSTITUTE(SUBSTITUTE(SUBSTITUTE($A174,CHAR(9)," ")," "," "),CHAR(13),""))</f>
        <v/>
      </c>
      <c r="H174" s="58">
        <f>IF($G174="","",IF(ISNUMBER(FIND(" ",$G174)),$G174,IFERROR(IF((LEN(SUBSTITUTE(SUBSTITUTE($G174,"-"," ",LEN($G174)-LEN(SUBSTITUTE($G174,"-",""))),"-"," ",LEN($G174)-LEN(SUBSTITUTE($G174,"-",""))-1))-LEN(SUBSTITUTE(SUBSTITUTE(SUBSTITUTE($G174,"-"," ",LEN($G174)-LEN(SUBSTITUTE($G174,"-",""))),"-"," ",LEN($G174)-LEN(SUBSTITUTE($G174,"-",""))-1),".","")))=0,SUBSTITUTE(SUBSTITUTE($G174,"-"," ",LEN($G174)-LEN(SUBSTITUTE($G174,"-",""))),"-"," ",LEN($G174)-LEN(SUBSTITUTE($G174,"-",""))-1),SUBSTITUTE(SUBSTITUTE(SUBSTITUTE($G174,"-"," ",LEN($G174)-LEN(SUBSTITUTE($G174,"-",""))),"-"," ",LEN($G174)-LEN(SUBSTITUTE($G174,"-",""))-1),"."," ",(LEN(SUBSTITUTE(SUBSTITUTE($G174,"-"," ",LEN($G174)-LEN(SUBSTITUTE($G174,"-",""))),"-"," ",LEN($G174)-LEN(SUBSTITUTE($G174,"-",""))-1))-LEN(SUBSTITUTE(SUBSTITUTE(SUBSTITUTE($G174,"-"," ",LEN($G174)-LEN(SUBSTITUTE($G174,"-",""))),"-"," ",LEN($G174)-LEN(SUBSTITUTE($G174,"-",""))-1),".",""))))),$G174)))</f>
        <v/>
      </c>
    </row>
    <row r="175">
      <c r="A175" s="58" t="n"/>
      <c r="B175" s="58">
        <f>IF($H175="","",LEFT($H175,FIND(" ",$H175&amp;" ")-1))</f>
        <v/>
      </c>
      <c r="C175" s="58">
        <f>IF($H175="","",IFERROR(MID($H175&amp;" ",FIND("|",SUBSTITUTE($H175&amp;" "," ","|",1))+1,FIND("|",SUBSTITUTE($H175&amp;" "," ","|",2))-FIND("|",SUBSTITUTE($H175&amp;" "," ","|",1))-1),""))</f>
        <v/>
      </c>
      <c r="D175" s="58">
        <f>IF($H175="","",IFERROR(MID($H175&amp;" ",FIND("|",SUBSTITUTE($H175&amp;" "," ","|",2))+1,FIND("|",SUBSTITUTE($H175&amp;" "," ","|",3))-FIND("|",SUBSTITUTE($H175&amp;" "," ","|",2))-1),""))</f>
        <v/>
      </c>
      <c r="E175" s="58">
        <f>IF($H175="","",IFERROR(MID($H175&amp;" ",FIND("|",SUBSTITUTE($H175&amp;" "," ","|",3))+1,FIND("|",SUBSTITUTE($H175&amp;" "," ","|",4))-FIND("|",SUBSTITUTE($H175&amp;" "," ","|",3))-1),""))</f>
        <v/>
      </c>
      <c r="F175" s="59">
        <f>IF($H175="","",IFERROR(VALUE(IFERROR(MID($H175&amp;" ",FIND("|",SUBSTITUTE($H175&amp;" "," ","|",4))+1,FIND("|",SUBSTITUTE($H175&amp;" "," ","|",5))-FIND("|",SUBSTITUTE($H175&amp;" "," ","|",4))-1),""))/86400+25569+9/24,""))</f>
        <v/>
      </c>
      <c r="G175" s="58">
        <f>TRIM(SUBSTITUTE(SUBSTITUTE(SUBSTITUTE($A175,CHAR(9)," ")," "," "),CHAR(13),""))</f>
        <v/>
      </c>
      <c r="H175" s="58">
        <f>IF($G175="","",IF(ISNUMBER(FIND(" ",$G175)),$G175,IFERROR(IF((LEN(SUBSTITUTE(SUBSTITUTE($G175,"-"," ",LEN($G175)-LEN(SUBSTITUTE($G175,"-",""))),"-"," ",LEN($G175)-LEN(SUBSTITUTE($G175,"-",""))-1))-LEN(SUBSTITUTE(SUBSTITUTE(SUBSTITUTE($G175,"-"," ",LEN($G175)-LEN(SUBSTITUTE($G175,"-",""))),"-"," ",LEN($G175)-LEN(SUBSTITUTE($G175,"-",""))-1),".","")))=0,SUBSTITUTE(SUBSTITUTE($G175,"-"," ",LEN($G175)-LEN(SUBSTITUTE($G175,"-",""))),"-"," ",LEN($G175)-LEN(SUBSTITUTE($G175,"-",""))-1),SUBSTITUTE(SUBSTITUTE(SUBSTITUTE($G175,"-"," ",LEN($G175)-LEN(SUBSTITUTE($G175,"-",""))),"-"," ",LEN($G175)-LEN(SUBSTITUTE($G175,"-",""))-1),"."," ",(LEN(SUBSTITUTE(SUBSTITUTE($G175,"-"," ",LEN($G175)-LEN(SUBSTITUTE($G175,"-",""))),"-"," ",LEN($G175)-LEN(SUBSTITUTE($G175,"-",""))-1))-LEN(SUBSTITUTE(SUBSTITUTE(SUBSTITUTE($G175,"-"," ",LEN($G175)-LEN(SUBSTITUTE($G175,"-",""))),"-"," ",LEN($G175)-LEN(SUBSTITUTE($G175,"-",""))-1),".",""))))),$G175)))</f>
        <v/>
      </c>
    </row>
    <row r="176">
      <c r="A176" s="58" t="n"/>
      <c r="B176" s="58">
        <f>IF($H176="","",LEFT($H176,FIND(" ",$H176&amp;" ")-1))</f>
        <v/>
      </c>
      <c r="C176" s="58">
        <f>IF($H176="","",IFERROR(MID($H176&amp;" ",FIND("|",SUBSTITUTE($H176&amp;" "," ","|",1))+1,FIND("|",SUBSTITUTE($H176&amp;" "," ","|",2))-FIND("|",SUBSTITUTE($H176&amp;" "," ","|",1))-1),""))</f>
        <v/>
      </c>
      <c r="D176" s="58">
        <f>IF($H176="","",IFERROR(MID($H176&amp;" ",FIND("|",SUBSTITUTE($H176&amp;" "," ","|",2))+1,FIND("|",SUBSTITUTE($H176&amp;" "," ","|",3))-FIND("|",SUBSTITUTE($H176&amp;" "," ","|",2))-1),""))</f>
        <v/>
      </c>
      <c r="E176" s="58">
        <f>IF($H176="","",IFERROR(MID($H176&amp;" ",FIND("|",SUBSTITUTE($H176&amp;" "," ","|",3))+1,FIND("|",SUBSTITUTE($H176&amp;" "," ","|",4))-FIND("|",SUBSTITUTE($H176&amp;" "," ","|",3))-1),""))</f>
        <v/>
      </c>
      <c r="F176" s="59">
        <f>IF($H176="","",IFERROR(VALUE(IFERROR(MID($H176&amp;" ",FIND("|",SUBSTITUTE($H176&amp;" "," ","|",4))+1,FIND("|",SUBSTITUTE($H176&amp;" "," ","|",5))-FIND("|",SUBSTITUTE($H176&amp;" "," ","|",4))-1),""))/86400+25569+9/24,""))</f>
        <v/>
      </c>
      <c r="G176" s="58">
        <f>TRIM(SUBSTITUTE(SUBSTITUTE(SUBSTITUTE($A176,CHAR(9)," ")," "," "),CHAR(13),""))</f>
        <v/>
      </c>
      <c r="H176" s="58">
        <f>IF($G176="","",IF(ISNUMBER(FIND(" ",$G176)),$G176,IFERROR(IF((LEN(SUBSTITUTE(SUBSTITUTE($G176,"-"," ",LEN($G176)-LEN(SUBSTITUTE($G176,"-",""))),"-"," ",LEN($G176)-LEN(SUBSTITUTE($G176,"-",""))-1))-LEN(SUBSTITUTE(SUBSTITUTE(SUBSTITUTE($G176,"-"," ",LEN($G176)-LEN(SUBSTITUTE($G176,"-",""))),"-"," ",LEN($G176)-LEN(SUBSTITUTE($G176,"-",""))-1),".","")))=0,SUBSTITUTE(SUBSTITUTE($G176,"-"," ",LEN($G176)-LEN(SUBSTITUTE($G176,"-",""))),"-"," ",LEN($G176)-LEN(SUBSTITUTE($G176,"-",""))-1),SUBSTITUTE(SUBSTITUTE(SUBSTITUTE($G176,"-"," ",LEN($G176)-LEN(SUBSTITUTE($G176,"-",""))),"-"," ",LEN($G176)-LEN(SUBSTITUTE($G176,"-",""))-1),"."," ",(LEN(SUBSTITUTE(SUBSTITUTE($G176,"-"," ",LEN($G176)-LEN(SUBSTITUTE($G176,"-",""))),"-"," ",LEN($G176)-LEN(SUBSTITUTE($G176,"-",""))-1))-LEN(SUBSTITUTE(SUBSTITUTE(SUBSTITUTE($G176,"-"," ",LEN($G176)-LEN(SUBSTITUTE($G176,"-",""))),"-"," ",LEN($G176)-LEN(SUBSTITUTE($G176,"-",""))-1),".",""))))),$G176)))</f>
        <v/>
      </c>
    </row>
    <row r="177">
      <c r="A177" s="58" t="n"/>
      <c r="B177" s="58">
        <f>IF($H177="","",LEFT($H177,FIND(" ",$H177&amp;" ")-1))</f>
        <v/>
      </c>
      <c r="C177" s="58">
        <f>IF($H177="","",IFERROR(MID($H177&amp;" ",FIND("|",SUBSTITUTE($H177&amp;" "," ","|",1))+1,FIND("|",SUBSTITUTE($H177&amp;" "," ","|",2))-FIND("|",SUBSTITUTE($H177&amp;" "," ","|",1))-1),""))</f>
        <v/>
      </c>
      <c r="D177" s="58">
        <f>IF($H177="","",IFERROR(MID($H177&amp;" ",FIND("|",SUBSTITUTE($H177&amp;" "," ","|",2))+1,FIND("|",SUBSTITUTE($H177&amp;" "," ","|",3))-FIND("|",SUBSTITUTE($H177&amp;" "," ","|",2))-1),""))</f>
        <v/>
      </c>
      <c r="E177" s="58">
        <f>IF($H177="","",IFERROR(MID($H177&amp;" ",FIND("|",SUBSTITUTE($H177&amp;" "," ","|",3))+1,FIND("|",SUBSTITUTE($H177&amp;" "," ","|",4))-FIND("|",SUBSTITUTE($H177&amp;" "," ","|",3))-1),""))</f>
        <v/>
      </c>
      <c r="F177" s="59">
        <f>IF($H177="","",IFERROR(VALUE(IFERROR(MID($H177&amp;" ",FIND("|",SUBSTITUTE($H177&amp;" "," ","|",4))+1,FIND("|",SUBSTITUTE($H177&amp;" "," ","|",5))-FIND("|",SUBSTITUTE($H177&amp;" "," ","|",4))-1),""))/86400+25569+9/24,""))</f>
        <v/>
      </c>
      <c r="G177" s="58">
        <f>TRIM(SUBSTITUTE(SUBSTITUTE(SUBSTITUTE($A177,CHAR(9)," ")," "," "),CHAR(13),""))</f>
        <v/>
      </c>
      <c r="H177" s="58">
        <f>IF($G177="","",IF(ISNUMBER(FIND(" ",$G177)),$G177,IFERROR(IF((LEN(SUBSTITUTE(SUBSTITUTE($G177,"-"," ",LEN($G177)-LEN(SUBSTITUTE($G177,"-",""))),"-"," ",LEN($G177)-LEN(SUBSTITUTE($G177,"-",""))-1))-LEN(SUBSTITUTE(SUBSTITUTE(SUBSTITUTE($G177,"-"," ",LEN($G177)-LEN(SUBSTITUTE($G177,"-",""))),"-"," ",LEN($G177)-LEN(SUBSTITUTE($G177,"-",""))-1),".","")))=0,SUBSTITUTE(SUBSTITUTE($G177,"-"," ",LEN($G177)-LEN(SUBSTITUTE($G177,"-",""))),"-"," ",LEN($G177)-LEN(SUBSTITUTE($G177,"-",""))-1),SUBSTITUTE(SUBSTITUTE(SUBSTITUTE($G177,"-"," ",LEN($G177)-LEN(SUBSTITUTE($G177,"-",""))),"-"," ",LEN($G177)-LEN(SUBSTITUTE($G177,"-",""))-1),"."," ",(LEN(SUBSTITUTE(SUBSTITUTE($G177,"-"," ",LEN($G177)-LEN(SUBSTITUTE($G177,"-",""))),"-"," ",LEN($G177)-LEN(SUBSTITUTE($G177,"-",""))-1))-LEN(SUBSTITUTE(SUBSTITUTE(SUBSTITUTE($G177,"-"," ",LEN($G177)-LEN(SUBSTITUTE($G177,"-",""))),"-"," ",LEN($G177)-LEN(SUBSTITUTE($G177,"-",""))-1),".",""))))),$G177)))</f>
        <v/>
      </c>
    </row>
    <row r="178">
      <c r="A178" s="58" t="n"/>
      <c r="B178" s="58">
        <f>IF($H178="","",LEFT($H178,FIND(" ",$H178&amp;" ")-1))</f>
        <v/>
      </c>
      <c r="C178" s="58">
        <f>IF($H178="","",IFERROR(MID($H178&amp;" ",FIND("|",SUBSTITUTE($H178&amp;" "," ","|",1))+1,FIND("|",SUBSTITUTE($H178&amp;" "," ","|",2))-FIND("|",SUBSTITUTE($H178&amp;" "," ","|",1))-1),""))</f>
        <v/>
      </c>
      <c r="D178" s="58">
        <f>IF($H178="","",IFERROR(MID($H178&amp;" ",FIND("|",SUBSTITUTE($H178&amp;" "," ","|",2))+1,FIND("|",SUBSTITUTE($H178&amp;" "," ","|",3))-FIND("|",SUBSTITUTE($H178&amp;" "," ","|",2))-1),""))</f>
        <v/>
      </c>
      <c r="E178" s="58">
        <f>IF($H178="","",IFERROR(MID($H178&amp;" ",FIND("|",SUBSTITUTE($H178&amp;" "," ","|",3))+1,FIND("|",SUBSTITUTE($H178&amp;" "," ","|",4))-FIND("|",SUBSTITUTE($H178&amp;" "," ","|",3))-1),""))</f>
        <v/>
      </c>
      <c r="F178" s="59">
        <f>IF($H178="","",IFERROR(VALUE(IFERROR(MID($H178&amp;" ",FIND("|",SUBSTITUTE($H178&amp;" "," ","|",4))+1,FIND("|",SUBSTITUTE($H178&amp;" "," ","|",5))-FIND("|",SUBSTITUTE($H178&amp;" "," ","|",4))-1),""))/86400+25569+9/24,""))</f>
        <v/>
      </c>
      <c r="G178" s="58">
        <f>TRIM(SUBSTITUTE(SUBSTITUTE(SUBSTITUTE($A178,CHAR(9)," ")," "," "),CHAR(13),""))</f>
        <v/>
      </c>
      <c r="H178" s="58">
        <f>IF($G178="","",IF(ISNUMBER(FIND(" ",$G178)),$G178,IFERROR(IF((LEN(SUBSTITUTE(SUBSTITUTE($G178,"-"," ",LEN($G178)-LEN(SUBSTITUTE($G178,"-",""))),"-"," ",LEN($G178)-LEN(SUBSTITUTE($G178,"-",""))-1))-LEN(SUBSTITUTE(SUBSTITUTE(SUBSTITUTE($G178,"-"," ",LEN($G178)-LEN(SUBSTITUTE($G178,"-",""))),"-"," ",LEN($G178)-LEN(SUBSTITUTE($G178,"-",""))-1),".","")))=0,SUBSTITUTE(SUBSTITUTE($G178,"-"," ",LEN($G178)-LEN(SUBSTITUTE($G178,"-",""))),"-"," ",LEN($G178)-LEN(SUBSTITUTE($G178,"-",""))-1),SUBSTITUTE(SUBSTITUTE(SUBSTITUTE($G178,"-"," ",LEN($G178)-LEN(SUBSTITUTE($G178,"-",""))),"-"," ",LEN($G178)-LEN(SUBSTITUTE($G178,"-",""))-1),"."," ",(LEN(SUBSTITUTE(SUBSTITUTE($G178,"-"," ",LEN($G178)-LEN(SUBSTITUTE($G178,"-",""))),"-"," ",LEN($G178)-LEN(SUBSTITUTE($G178,"-",""))-1))-LEN(SUBSTITUTE(SUBSTITUTE(SUBSTITUTE($G178,"-"," ",LEN($G178)-LEN(SUBSTITUTE($G178,"-",""))),"-"," ",LEN($G178)-LEN(SUBSTITUTE($G178,"-",""))-1),".",""))))),$G178)))</f>
        <v/>
      </c>
    </row>
    <row r="179">
      <c r="A179" s="58" t="n"/>
      <c r="B179" s="58">
        <f>IF($H179="","",LEFT($H179,FIND(" ",$H179&amp;" ")-1))</f>
        <v/>
      </c>
      <c r="C179" s="58">
        <f>IF($H179="","",IFERROR(MID($H179&amp;" ",FIND("|",SUBSTITUTE($H179&amp;" "," ","|",1))+1,FIND("|",SUBSTITUTE($H179&amp;" "," ","|",2))-FIND("|",SUBSTITUTE($H179&amp;" "," ","|",1))-1),""))</f>
        <v/>
      </c>
      <c r="D179" s="58">
        <f>IF($H179="","",IFERROR(MID($H179&amp;" ",FIND("|",SUBSTITUTE($H179&amp;" "," ","|",2))+1,FIND("|",SUBSTITUTE($H179&amp;" "," ","|",3))-FIND("|",SUBSTITUTE($H179&amp;" "," ","|",2))-1),""))</f>
        <v/>
      </c>
      <c r="E179" s="58">
        <f>IF($H179="","",IFERROR(MID($H179&amp;" ",FIND("|",SUBSTITUTE($H179&amp;" "," ","|",3))+1,FIND("|",SUBSTITUTE($H179&amp;" "," ","|",4))-FIND("|",SUBSTITUTE($H179&amp;" "," ","|",3))-1),""))</f>
        <v/>
      </c>
      <c r="F179" s="59">
        <f>IF($H179="","",IFERROR(VALUE(IFERROR(MID($H179&amp;" ",FIND("|",SUBSTITUTE($H179&amp;" "," ","|",4))+1,FIND("|",SUBSTITUTE($H179&amp;" "," ","|",5))-FIND("|",SUBSTITUTE($H179&amp;" "," ","|",4))-1),""))/86400+25569+9/24,""))</f>
        <v/>
      </c>
      <c r="G179" s="58">
        <f>TRIM(SUBSTITUTE(SUBSTITUTE(SUBSTITUTE($A179,CHAR(9)," ")," "," "),CHAR(13),""))</f>
        <v/>
      </c>
      <c r="H179" s="58">
        <f>IF($G179="","",IF(ISNUMBER(FIND(" ",$G179)),$G179,IFERROR(IF((LEN(SUBSTITUTE(SUBSTITUTE($G179,"-"," ",LEN($G179)-LEN(SUBSTITUTE($G179,"-",""))),"-"," ",LEN($G179)-LEN(SUBSTITUTE($G179,"-",""))-1))-LEN(SUBSTITUTE(SUBSTITUTE(SUBSTITUTE($G179,"-"," ",LEN($G179)-LEN(SUBSTITUTE($G179,"-",""))),"-"," ",LEN($G179)-LEN(SUBSTITUTE($G179,"-",""))-1),".","")))=0,SUBSTITUTE(SUBSTITUTE($G179,"-"," ",LEN($G179)-LEN(SUBSTITUTE($G179,"-",""))),"-"," ",LEN($G179)-LEN(SUBSTITUTE($G179,"-",""))-1),SUBSTITUTE(SUBSTITUTE(SUBSTITUTE($G179,"-"," ",LEN($G179)-LEN(SUBSTITUTE($G179,"-",""))),"-"," ",LEN($G179)-LEN(SUBSTITUTE($G179,"-",""))-1),"."," ",(LEN(SUBSTITUTE(SUBSTITUTE($G179,"-"," ",LEN($G179)-LEN(SUBSTITUTE($G179,"-",""))),"-"," ",LEN($G179)-LEN(SUBSTITUTE($G179,"-",""))-1))-LEN(SUBSTITUTE(SUBSTITUTE(SUBSTITUTE($G179,"-"," ",LEN($G179)-LEN(SUBSTITUTE($G179,"-",""))),"-"," ",LEN($G179)-LEN(SUBSTITUTE($G179,"-",""))-1),".",""))))),$G179)))</f>
        <v/>
      </c>
    </row>
    <row r="180">
      <c r="A180" s="58" t="n"/>
      <c r="B180" s="58">
        <f>IF($H180="","",LEFT($H180,FIND(" ",$H180&amp;" ")-1))</f>
        <v/>
      </c>
      <c r="C180" s="58">
        <f>IF($H180="","",IFERROR(MID($H180&amp;" ",FIND("|",SUBSTITUTE($H180&amp;" "," ","|",1))+1,FIND("|",SUBSTITUTE($H180&amp;" "," ","|",2))-FIND("|",SUBSTITUTE($H180&amp;" "," ","|",1))-1),""))</f>
        <v/>
      </c>
      <c r="D180" s="58">
        <f>IF($H180="","",IFERROR(MID($H180&amp;" ",FIND("|",SUBSTITUTE($H180&amp;" "," ","|",2))+1,FIND("|",SUBSTITUTE($H180&amp;" "," ","|",3))-FIND("|",SUBSTITUTE($H180&amp;" "," ","|",2))-1),""))</f>
        <v/>
      </c>
      <c r="E180" s="58">
        <f>IF($H180="","",IFERROR(MID($H180&amp;" ",FIND("|",SUBSTITUTE($H180&amp;" "," ","|",3))+1,FIND("|",SUBSTITUTE($H180&amp;" "," ","|",4))-FIND("|",SUBSTITUTE($H180&amp;" "," ","|",3))-1),""))</f>
        <v/>
      </c>
      <c r="F180" s="59">
        <f>IF($H180="","",IFERROR(VALUE(IFERROR(MID($H180&amp;" ",FIND("|",SUBSTITUTE($H180&amp;" "," ","|",4))+1,FIND("|",SUBSTITUTE($H180&amp;" "," ","|",5))-FIND("|",SUBSTITUTE($H180&amp;" "," ","|",4))-1),""))/86400+25569+9/24,""))</f>
        <v/>
      </c>
      <c r="G180" s="58">
        <f>TRIM(SUBSTITUTE(SUBSTITUTE(SUBSTITUTE($A180,CHAR(9)," ")," "," "),CHAR(13),""))</f>
        <v/>
      </c>
      <c r="H180" s="58">
        <f>IF($G180="","",IF(ISNUMBER(FIND(" ",$G180)),$G180,IFERROR(IF((LEN(SUBSTITUTE(SUBSTITUTE($G180,"-"," ",LEN($G180)-LEN(SUBSTITUTE($G180,"-",""))),"-"," ",LEN($G180)-LEN(SUBSTITUTE($G180,"-",""))-1))-LEN(SUBSTITUTE(SUBSTITUTE(SUBSTITUTE($G180,"-"," ",LEN($G180)-LEN(SUBSTITUTE($G180,"-",""))),"-"," ",LEN($G180)-LEN(SUBSTITUTE($G180,"-",""))-1),".","")))=0,SUBSTITUTE(SUBSTITUTE($G180,"-"," ",LEN($G180)-LEN(SUBSTITUTE($G180,"-",""))),"-"," ",LEN($G180)-LEN(SUBSTITUTE($G180,"-",""))-1),SUBSTITUTE(SUBSTITUTE(SUBSTITUTE($G180,"-"," ",LEN($G180)-LEN(SUBSTITUTE($G180,"-",""))),"-"," ",LEN($G180)-LEN(SUBSTITUTE($G180,"-",""))-1),"."," ",(LEN(SUBSTITUTE(SUBSTITUTE($G180,"-"," ",LEN($G180)-LEN(SUBSTITUTE($G180,"-",""))),"-"," ",LEN($G180)-LEN(SUBSTITUTE($G180,"-",""))-1))-LEN(SUBSTITUTE(SUBSTITUTE(SUBSTITUTE($G180,"-"," ",LEN($G180)-LEN(SUBSTITUTE($G180,"-",""))),"-"," ",LEN($G180)-LEN(SUBSTITUTE($G180,"-",""))-1),".",""))))),$G180)))</f>
        <v/>
      </c>
    </row>
    <row r="181">
      <c r="A181" s="58" t="n"/>
      <c r="B181" s="58">
        <f>IF($H181="","",LEFT($H181,FIND(" ",$H181&amp;" ")-1))</f>
        <v/>
      </c>
      <c r="C181" s="58">
        <f>IF($H181="","",IFERROR(MID($H181&amp;" ",FIND("|",SUBSTITUTE($H181&amp;" "," ","|",1))+1,FIND("|",SUBSTITUTE($H181&amp;" "," ","|",2))-FIND("|",SUBSTITUTE($H181&amp;" "," ","|",1))-1),""))</f>
        <v/>
      </c>
      <c r="D181" s="58">
        <f>IF($H181="","",IFERROR(MID($H181&amp;" ",FIND("|",SUBSTITUTE($H181&amp;" "," ","|",2))+1,FIND("|",SUBSTITUTE($H181&amp;" "," ","|",3))-FIND("|",SUBSTITUTE($H181&amp;" "," ","|",2))-1),""))</f>
        <v/>
      </c>
      <c r="E181" s="58">
        <f>IF($H181="","",IFERROR(MID($H181&amp;" ",FIND("|",SUBSTITUTE($H181&amp;" "," ","|",3))+1,FIND("|",SUBSTITUTE($H181&amp;" "," ","|",4))-FIND("|",SUBSTITUTE($H181&amp;" "," ","|",3))-1),""))</f>
        <v/>
      </c>
      <c r="F181" s="59">
        <f>IF($H181="","",IFERROR(VALUE(IFERROR(MID($H181&amp;" ",FIND("|",SUBSTITUTE($H181&amp;" "," ","|",4))+1,FIND("|",SUBSTITUTE($H181&amp;" "," ","|",5))-FIND("|",SUBSTITUTE($H181&amp;" "," ","|",4))-1),""))/86400+25569+9/24,""))</f>
        <v/>
      </c>
      <c r="G181" s="58">
        <f>TRIM(SUBSTITUTE(SUBSTITUTE(SUBSTITUTE($A181,CHAR(9)," ")," "," "),CHAR(13),""))</f>
        <v/>
      </c>
      <c r="H181" s="58">
        <f>IF($G181="","",IF(ISNUMBER(FIND(" ",$G181)),$G181,IFERROR(IF((LEN(SUBSTITUTE(SUBSTITUTE($G181,"-"," ",LEN($G181)-LEN(SUBSTITUTE($G181,"-",""))),"-"," ",LEN($G181)-LEN(SUBSTITUTE($G181,"-",""))-1))-LEN(SUBSTITUTE(SUBSTITUTE(SUBSTITUTE($G181,"-"," ",LEN($G181)-LEN(SUBSTITUTE($G181,"-",""))),"-"," ",LEN($G181)-LEN(SUBSTITUTE($G181,"-",""))-1),".","")))=0,SUBSTITUTE(SUBSTITUTE($G181,"-"," ",LEN($G181)-LEN(SUBSTITUTE($G181,"-",""))),"-"," ",LEN($G181)-LEN(SUBSTITUTE($G181,"-",""))-1),SUBSTITUTE(SUBSTITUTE(SUBSTITUTE($G181,"-"," ",LEN($G181)-LEN(SUBSTITUTE($G181,"-",""))),"-"," ",LEN($G181)-LEN(SUBSTITUTE($G181,"-",""))-1),"."," ",(LEN(SUBSTITUTE(SUBSTITUTE($G181,"-"," ",LEN($G181)-LEN(SUBSTITUTE($G181,"-",""))),"-"," ",LEN($G181)-LEN(SUBSTITUTE($G181,"-",""))-1))-LEN(SUBSTITUTE(SUBSTITUTE(SUBSTITUTE($G181,"-"," ",LEN($G181)-LEN(SUBSTITUTE($G181,"-",""))),"-"," ",LEN($G181)-LEN(SUBSTITUTE($G181,"-",""))-1),".",""))))),$G181)))</f>
        <v/>
      </c>
    </row>
    <row r="182">
      <c r="A182" s="58" t="n"/>
      <c r="B182" s="58">
        <f>IF($H182="","",LEFT($H182,FIND(" ",$H182&amp;" ")-1))</f>
        <v/>
      </c>
      <c r="C182" s="58">
        <f>IF($H182="","",IFERROR(MID($H182&amp;" ",FIND("|",SUBSTITUTE($H182&amp;" "," ","|",1))+1,FIND("|",SUBSTITUTE($H182&amp;" "," ","|",2))-FIND("|",SUBSTITUTE($H182&amp;" "," ","|",1))-1),""))</f>
        <v/>
      </c>
      <c r="D182" s="58">
        <f>IF($H182="","",IFERROR(MID($H182&amp;" ",FIND("|",SUBSTITUTE($H182&amp;" "," ","|",2))+1,FIND("|",SUBSTITUTE($H182&amp;" "," ","|",3))-FIND("|",SUBSTITUTE($H182&amp;" "," ","|",2))-1),""))</f>
        <v/>
      </c>
      <c r="E182" s="58">
        <f>IF($H182="","",IFERROR(MID($H182&amp;" ",FIND("|",SUBSTITUTE($H182&amp;" "," ","|",3))+1,FIND("|",SUBSTITUTE($H182&amp;" "," ","|",4))-FIND("|",SUBSTITUTE($H182&amp;" "," ","|",3))-1),""))</f>
        <v/>
      </c>
      <c r="F182" s="59">
        <f>IF($H182="","",IFERROR(VALUE(IFERROR(MID($H182&amp;" ",FIND("|",SUBSTITUTE($H182&amp;" "," ","|",4))+1,FIND("|",SUBSTITUTE($H182&amp;" "," ","|",5))-FIND("|",SUBSTITUTE($H182&amp;" "," ","|",4))-1),""))/86400+25569+9/24,""))</f>
        <v/>
      </c>
      <c r="G182" s="58">
        <f>TRIM(SUBSTITUTE(SUBSTITUTE(SUBSTITUTE($A182,CHAR(9)," ")," "," "),CHAR(13),""))</f>
        <v/>
      </c>
      <c r="H182" s="58">
        <f>IF($G182="","",IF(ISNUMBER(FIND(" ",$G182)),$G182,IFERROR(IF((LEN(SUBSTITUTE(SUBSTITUTE($G182,"-"," ",LEN($G182)-LEN(SUBSTITUTE($G182,"-",""))),"-"," ",LEN($G182)-LEN(SUBSTITUTE($G182,"-",""))-1))-LEN(SUBSTITUTE(SUBSTITUTE(SUBSTITUTE($G182,"-"," ",LEN($G182)-LEN(SUBSTITUTE($G182,"-",""))),"-"," ",LEN($G182)-LEN(SUBSTITUTE($G182,"-",""))-1),".","")))=0,SUBSTITUTE(SUBSTITUTE($G182,"-"," ",LEN($G182)-LEN(SUBSTITUTE($G182,"-",""))),"-"," ",LEN($G182)-LEN(SUBSTITUTE($G182,"-",""))-1),SUBSTITUTE(SUBSTITUTE(SUBSTITUTE($G182,"-"," ",LEN($G182)-LEN(SUBSTITUTE($G182,"-",""))),"-"," ",LEN($G182)-LEN(SUBSTITUTE($G182,"-",""))-1),"."," ",(LEN(SUBSTITUTE(SUBSTITUTE($G182,"-"," ",LEN($G182)-LEN(SUBSTITUTE($G182,"-",""))),"-"," ",LEN($G182)-LEN(SUBSTITUTE($G182,"-",""))-1))-LEN(SUBSTITUTE(SUBSTITUTE(SUBSTITUTE($G182,"-"," ",LEN($G182)-LEN(SUBSTITUTE($G182,"-",""))),"-"," ",LEN($G182)-LEN(SUBSTITUTE($G182,"-",""))-1),".",""))))),$G182)))</f>
        <v/>
      </c>
    </row>
    <row r="183">
      <c r="A183" s="58" t="n"/>
      <c r="B183" s="58">
        <f>IF($H183="","",LEFT($H183,FIND(" ",$H183&amp;" ")-1))</f>
        <v/>
      </c>
      <c r="C183" s="58">
        <f>IF($H183="","",IFERROR(MID($H183&amp;" ",FIND("|",SUBSTITUTE($H183&amp;" "," ","|",1))+1,FIND("|",SUBSTITUTE($H183&amp;" "," ","|",2))-FIND("|",SUBSTITUTE($H183&amp;" "," ","|",1))-1),""))</f>
        <v/>
      </c>
      <c r="D183" s="58">
        <f>IF($H183="","",IFERROR(MID($H183&amp;" ",FIND("|",SUBSTITUTE($H183&amp;" "," ","|",2))+1,FIND("|",SUBSTITUTE($H183&amp;" "," ","|",3))-FIND("|",SUBSTITUTE($H183&amp;" "," ","|",2))-1),""))</f>
        <v/>
      </c>
      <c r="E183" s="58">
        <f>IF($H183="","",IFERROR(MID($H183&amp;" ",FIND("|",SUBSTITUTE($H183&amp;" "," ","|",3))+1,FIND("|",SUBSTITUTE($H183&amp;" "," ","|",4))-FIND("|",SUBSTITUTE($H183&amp;" "," ","|",3))-1),""))</f>
        <v/>
      </c>
      <c r="F183" s="59">
        <f>IF($H183="","",IFERROR(VALUE(IFERROR(MID($H183&amp;" ",FIND("|",SUBSTITUTE($H183&amp;" "," ","|",4))+1,FIND("|",SUBSTITUTE($H183&amp;" "," ","|",5))-FIND("|",SUBSTITUTE($H183&amp;" "," ","|",4))-1),""))/86400+25569+9/24,""))</f>
        <v/>
      </c>
      <c r="G183" s="58">
        <f>TRIM(SUBSTITUTE(SUBSTITUTE(SUBSTITUTE($A183,CHAR(9)," ")," "," "),CHAR(13),""))</f>
        <v/>
      </c>
      <c r="H183" s="58">
        <f>IF($G183="","",IF(ISNUMBER(FIND(" ",$G183)),$G183,IFERROR(IF((LEN(SUBSTITUTE(SUBSTITUTE($G183,"-"," ",LEN($G183)-LEN(SUBSTITUTE($G183,"-",""))),"-"," ",LEN($G183)-LEN(SUBSTITUTE($G183,"-",""))-1))-LEN(SUBSTITUTE(SUBSTITUTE(SUBSTITUTE($G183,"-"," ",LEN($G183)-LEN(SUBSTITUTE($G183,"-",""))),"-"," ",LEN($G183)-LEN(SUBSTITUTE($G183,"-",""))-1),".","")))=0,SUBSTITUTE(SUBSTITUTE($G183,"-"," ",LEN($G183)-LEN(SUBSTITUTE($G183,"-",""))),"-"," ",LEN($G183)-LEN(SUBSTITUTE($G183,"-",""))-1),SUBSTITUTE(SUBSTITUTE(SUBSTITUTE($G183,"-"," ",LEN($G183)-LEN(SUBSTITUTE($G183,"-",""))),"-"," ",LEN($G183)-LEN(SUBSTITUTE($G183,"-",""))-1),"."," ",(LEN(SUBSTITUTE(SUBSTITUTE($G183,"-"," ",LEN($G183)-LEN(SUBSTITUTE($G183,"-",""))),"-"," ",LEN($G183)-LEN(SUBSTITUTE($G183,"-",""))-1))-LEN(SUBSTITUTE(SUBSTITUTE(SUBSTITUTE($G183,"-"," ",LEN($G183)-LEN(SUBSTITUTE($G183,"-",""))),"-"," ",LEN($G183)-LEN(SUBSTITUTE($G183,"-",""))-1),".",""))))),$G183)))</f>
        <v/>
      </c>
    </row>
    <row r="184">
      <c r="A184" s="58" t="n"/>
      <c r="B184" s="58">
        <f>IF($H184="","",LEFT($H184,FIND(" ",$H184&amp;" ")-1))</f>
        <v/>
      </c>
      <c r="C184" s="58">
        <f>IF($H184="","",IFERROR(MID($H184&amp;" ",FIND("|",SUBSTITUTE($H184&amp;" "," ","|",1))+1,FIND("|",SUBSTITUTE($H184&amp;" "," ","|",2))-FIND("|",SUBSTITUTE($H184&amp;" "," ","|",1))-1),""))</f>
        <v/>
      </c>
      <c r="D184" s="58">
        <f>IF($H184="","",IFERROR(MID($H184&amp;" ",FIND("|",SUBSTITUTE($H184&amp;" "," ","|",2))+1,FIND("|",SUBSTITUTE($H184&amp;" "," ","|",3))-FIND("|",SUBSTITUTE($H184&amp;" "," ","|",2))-1),""))</f>
        <v/>
      </c>
      <c r="E184" s="58">
        <f>IF($H184="","",IFERROR(MID($H184&amp;" ",FIND("|",SUBSTITUTE($H184&amp;" "," ","|",3))+1,FIND("|",SUBSTITUTE($H184&amp;" "," ","|",4))-FIND("|",SUBSTITUTE($H184&amp;" "," ","|",3))-1),""))</f>
        <v/>
      </c>
      <c r="F184" s="59">
        <f>IF($H184="","",IFERROR(VALUE(IFERROR(MID($H184&amp;" ",FIND("|",SUBSTITUTE($H184&amp;" "," ","|",4))+1,FIND("|",SUBSTITUTE($H184&amp;" "," ","|",5))-FIND("|",SUBSTITUTE($H184&amp;" "," ","|",4))-1),""))/86400+25569+9/24,""))</f>
        <v/>
      </c>
      <c r="G184" s="58">
        <f>TRIM(SUBSTITUTE(SUBSTITUTE(SUBSTITUTE($A184,CHAR(9)," ")," "," "),CHAR(13),""))</f>
        <v/>
      </c>
      <c r="H184" s="58">
        <f>IF($G184="","",IF(ISNUMBER(FIND(" ",$G184)),$G184,IFERROR(IF((LEN(SUBSTITUTE(SUBSTITUTE($G184,"-"," ",LEN($G184)-LEN(SUBSTITUTE($G184,"-",""))),"-"," ",LEN($G184)-LEN(SUBSTITUTE($G184,"-",""))-1))-LEN(SUBSTITUTE(SUBSTITUTE(SUBSTITUTE($G184,"-"," ",LEN($G184)-LEN(SUBSTITUTE($G184,"-",""))),"-"," ",LEN($G184)-LEN(SUBSTITUTE($G184,"-",""))-1),".","")))=0,SUBSTITUTE(SUBSTITUTE($G184,"-"," ",LEN($G184)-LEN(SUBSTITUTE($G184,"-",""))),"-"," ",LEN($G184)-LEN(SUBSTITUTE($G184,"-",""))-1),SUBSTITUTE(SUBSTITUTE(SUBSTITUTE($G184,"-"," ",LEN($G184)-LEN(SUBSTITUTE($G184,"-",""))),"-"," ",LEN($G184)-LEN(SUBSTITUTE($G184,"-",""))-1),"."," ",(LEN(SUBSTITUTE(SUBSTITUTE($G184,"-"," ",LEN($G184)-LEN(SUBSTITUTE($G184,"-",""))),"-"," ",LEN($G184)-LEN(SUBSTITUTE($G184,"-",""))-1))-LEN(SUBSTITUTE(SUBSTITUTE(SUBSTITUTE($G184,"-"," ",LEN($G184)-LEN(SUBSTITUTE($G184,"-",""))),"-"," ",LEN($G184)-LEN(SUBSTITUTE($G184,"-",""))-1),".",""))))),$G184)))</f>
        <v/>
      </c>
    </row>
    <row r="185">
      <c r="A185" s="58" t="n"/>
      <c r="B185" s="58">
        <f>IF($H185="","",LEFT($H185,FIND(" ",$H185&amp;" ")-1))</f>
        <v/>
      </c>
      <c r="C185" s="58">
        <f>IF($H185="","",IFERROR(MID($H185&amp;" ",FIND("|",SUBSTITUTE($H185&amp;" "," ","|",1))+1,FIND("|",SUBSTITUTE($H185&amp;" "," ","|",2))-FIND("|",SUBSTITUTE($H185&amp;" "," ","|",1))-1),""))</f>
        <v/>
      </c>
      <c r="D185" s="58">
        <f>IF($H185="","",IFERROR(MID($H185&amp;" ",FIND("|",SUBSTITUTE($H185&amp;" "," ","|",2))+1,FIND("|",SUBSTITUTE($H185&amp;" "," ","|",3))-FIND("|",SUBSTITUTE($H185&amp;" "," ","|",2))-1),""))</f>
        <v/>
      </c>
      <c r="E185" s="58">
        <f>IF($H185="","",IFERROR(MID($H185&amp;" ",FIND("|",SUBSTITUTE($H185&amp;" "," ","|",3))+1,FIND("|",SUBSTITUTE($H185&amp;" "," ","|",4))-FIND("|",SUBSTITUTE($H185&amp;" "," ","|",3))-1),""))</f>
        <v/>
      </c>
      <c r="F185" s="59">
        <f>IF($H185="","",IFERROR(VALUE(IFERROR(MID($H185&amp;" ",FIND("|",SUBSTITUTE($H185&amp;" "," ","|",4))+1,FIND("|",SUBSTITUTE($H185&amp;" "," ","|",5))-FIND("|",SUBSTITUTE($H185&amp;" "," ","|",4))-1),""))/86400+25569+9/24,""))</f>
        <v/>
      </c>
      <c r="G185" s="58">
        <f>TRIM(SUBSTITUTE(SUBSTITUTE(SUBSTITUTE($A185,CHAR(9)," ")," "," "),CHAR(13),""))</f>
        <v/>
      </c>
      <c r="H185" s="58">
        <f>IF($G185="","",IF(ISNUMBER(FIND(" ",$G185)),$G185,IFERROR(IF((LEN(SUBSTITUTE(SUBSTITUTE($G185,"-"," ",LEN($G185)-LEN(SUBSTITUTE($G185,"-",""))),"-"," ",LEN($G185)-LEN(SUBSTITUTE($G185,"-",""))-1))-LEN(SUBSTITUTE(SUBSTITUTE(SUBSTITUTE($G185,"-"," ",LEN($G185)-LEN(SUBSTITUTE($G185,"-",""))),"-"," ",LEN($G185)-LEN(SUBSTITUTE($G185,"-",""))-1),".","")))=0,SUBSTITUTE(SUBSTITUTE($G185,"-"," ",LEN($G185)-LEN(SUBSTITUTE($G185,"-",""))),"-"," ",LEN($G185)-LEN(SUBSTITUTE($G185,"-",""))-1),SUBSTITUTE(SUBSTITUTE(SUBSTITUTE($G185,"-"," ",LEN($G185)-LEN(SUBSTITUTE($G185,"-",""))),"-"," ",LEN($G185)-LEN(SUBSTITUTE($G185,"-",""))-1),"."," ",(LEN(SUBSTITUTE(SUBSTITUTE($G185,"-"," ",LEN($G185)-LEN(SUBSTITUTE($G185,"-",""))),"-"," ",LEN($G185)-LEN(SUBSTITUTE($G185,"-",""))-1))-LEN(SUBSTITUTE(SUBSTITUTE(SUBSTITUTE($G185,"-"," ",LEN($G185)-LEN(SUBSTITUTE($G185,"-",""))),"-"," ",LEN($G185)-LEN(SUBSTITUTE($G185,"-",""))-1),".",""))))),$G185)))</f>
        <v/>
      </c>
    </row>
    <row r="186">
      <c r="A186" s="58" t="n"/>
      <c r="B186" s="58">
        <f>IF($H186="","",LEFT($H186,FIND(" ",$H186&amp;" ")-1))</f>
        <v/>
      </c>
      <c r="C186" s="58">
        <f>IF($H186="","",IFERROR(MID($H186&amp;" ",FIND("|",SUBSTITUTE($H186&amp;" "," ","|",1))+1,FIND("|",SUBSTITUTE($H186&amp;" "," ","|",2))-FIND("|",SUBSTITUTE($H186&amp;" "," ","|",1))-1),""))</f>
        <v/>
      </c>
      <c r="D186" s="58">
        <f>IF($H186="","",IFERROR(MID($H186&amp;" ",FIND("|",SUBSTITUTE($H186&amp;" "," ","|",2))+1,FIND("|",SUBSTITUTE($H186&amp;" "," ","|",3))-FIND("|",SUBSTITUTE($H186&amp;" "," ","|",2))-1),""))</f>
        <v/>
      </c>
      <c r="E186" s="58">
        <f>IF($H186="","",IFERROR(MID($H186&amp;" ",FIND("|",SUBSTITUTE($H186&amp;" "," ","|",3))+1,FIND("|",SUBSTITUTE($H186&amp;" "," ","|",4))-FIND("|",SUBSTITUTE($H186&amp;" "," ","|",3))-1),""))</f>
        <v/>
      </c>
      <c r="F186" s="59">
        <f>IF($H186="","",IFERROR(VALUE(IFERROR(MID($H186&amp;" ",FIND("|",SUBSTITUTE($H186&amp;" "," ","|",4))+1,FIND("|",SUBSTITUTE($H186&amp;" "," ","|",5))-FIND("|",SUBSTITUTE($H186&amp;" "," ","|",4))-1),""))/86400+25569+9/24,""))</f>
        <v/>
      </c>
      <c r="G186" s="58">
        <f>TRIM(SUBSTITUTE(SUBSTITUTE(SUBSTITUTE($A186,CHAR(9)," ")," "," "),CHAR(13),""))</f>
        <v/>
      </c>
      <c r="H186" s="58">
        <f>IF($G186="","",IF(ISNUMBER(FIND(" ",$G186)),$G186,IFERROR(IF((LEN(SUBSTITUTE(SUBSTITUTE($G186,"-"," ",LEN($G186)-LEN(SUBSTITUTE($G186,"-",""))),"-"," ",LEN($G186)-LEN(SUBSTITUTE($G186,"-",""))-1))-LEN(SUBSTITUTE(SUBSTITUTE(SUBSTITUTE($G186,"-"," ",LEN($G186)-LEN(SUBSTITUTE($G186,"-",""))),"-"," ",LEN($G186)-LEN(SUBSTITUTE($G186,"-",""))-1),".","")))=0,SUBSTITUTE(SUBSTITUTE($G186,"-"," ",LEN($G186)-LEN(SUBSTITUTE($G186,"-",""))),"-"," ",LEN($G186)-LEN(SUBSTITUTE($G186,"-",""))-1),SUBSTITUTE(SUBSTITUTE(SUBSTITUTE($G186,"-"," ",LEN($G186)-LEN(SUBSTITUTE($G186,"-",""))),"-"," ",LEN($G186)-LEN(SUBSTITUTE($G186,"-",""))-1),"."," ",(LEN(SUBSTITUTE(SUBSTITUTE($G186,"-"," ",LEN($G186)-LEN(SUBSTITUTE($G186,"-",""))),"-"," ",LEN($G186)-LEN(SUBSTITUTE($G186,"-",""))-1))-LEN(SUBSTITUTE(SUBSTITUTE(SUBSTITUTE($G186,"-"," ",LEN($G186)-LEN(SUBSTITUTE($G186,"-",""))),"-"," ",LEN($G186)-LEN(SUBSTITUTE($G186,"-",""))-1),".",""))))),$G186)))</f>
        <v/>
      </c>
    </row>
    <row r="187">
      <c r="A187" s="58" t="n"/>
      <c r="B187" s="58">
        <f>IF($H187="","",LEFT($H187,FIND(" ",$H187&amp;" ")-1))</f>
        <v/>
      </c>
      <c r="C187" s="58">
        <f>IF($H187="","",IFERROR(MID($H187&amp;" ",FIND("|",SUBSTITUTE($H187&amp;" "," ","|",1))+1,FIND("|",SUBSTITUTE($H187&amp;" "," ","|",2))-FIND("|",SUBSTITUTE($H187&amp;" "," ","|",1))-1),""))</f>
        <v/>
      </c>
      <c r="D187" s="58">
        <f>IF($H187="","",IFERROR(MID($H187&amp;" ",FIND("|",SUBSTITUTE($H187&amp;" "," ","|",2))+1,FIND("|",SUBSTITUTE($H187&amp;" "," ","|",3))-FIND("|",SUBSTITUTE($H187&amp;" "," ","|",2))-1),""))</f>
        <v/>
      </c>
      <c r="E187" s="58">
        <f>IF($H187="","",IFERROR(MID($H187&amp;" ",FIND("|",SUBSTITUTE($H187&amp;" "," ","|",3))+1,FIND("|",SUBSTITUTE($H187&amp;" "," ","|",4))-FIND("|",SUBSTITUTE($H187&amp;" "," ","|",3))-1),""))</f>
        <v/>
      </c>
      <c r="F187" s="59">
        <f>IF($H187="","",IFERROR(VALUE(IFERROR(MID($H187&amp;" ",FIND("|",SUBSTITUTE($H187&amp;" "," ","|",4))+1,FIND("|",SUBSTITUTE($H187&amp;" "," ","|",5))-FIND("|",SUBSTITUTE($H187&amp;" "," ","|",4))-1),""))/86400+25569+9/24,""))</f>
        <v/>
      </c>
      <c r="G187" s="58">
        <f>TRIM(SUBSTITUTE(SUBSTITUTE(SUBSTITUTE($A187,CHAR(9)," ")," "," "),CHAR(13),""))</f>
        <v/>
      </c>
      <c r="H187" s="58">
        <f>IF($G187="","",IF(ISNUMBER(FIND(" ",$G187)),$G187,IFERROR(IF((LEN(SUBSTITUTE(SUBSTITUTE($G187,"-"," ",LEN($G187)-LEN(SUBSTITUTE($G187,"-",""))),"-"," ",LEN($G187)-LEN(SUBSTITUTE($G187,"-",""))-1))-LEN(SUBSTITUTE(SUBSTITUTE(SUBSTITUTE($G187,"-"," ",LEN($G187)-LEN(SUBSTITUTE($G187,"-",""))),"-"," ",LEN($G187)-LEN(SUBSTITUTE($G187,"-",""))-1),".","")))=0,SUBSTITUTE(SUBSTITUTE($G187,"-"," ",LEN($G187)-LEN(SUBSTITUTE($G187,"-",""))),"-"," ",LEN($G187)-LEN(SUBSTITUTE($G187,"-",""))-1),SUBSTITUTE(SUBSTITUTE(SUBSTITUTE($G187,"-"," ",LEN($G187)-LEN(SUBSTITUTE($G187,"-",""))),"-"," ",LEN($G187)-LEN(SUBSTITUTE($G187,"-",""))-1),"."," ",(LEN(SUBSTITUTE(SUBSTITUTE($G187,"-"," ",LEN($G187)-LEN(SUBSTITUTE($G187,"-",""))),"-"," ",LEN($G187)-LEN(SUBSTITUTE($G187,"-",""))-1))-LEN(SUBSTITUTE(SUBSTITUTE(SUBSTITUTE($G187,"-"," ",LEN($G187)-LEN(SUBSTITUTE($G187,"-",""))),"-"," ",LEN($G187)-LEN(SUBSTITUTE($G187,"-",""))-1),".",""))))),$G187)))</f>
        <v/>
      </c>
    </row>
    <row r="188">
      <c r="A188" s="58" t="n"/>
      <c r="B188" s="58">
        <f>IF($H188="","",LEFT($H188,FIND(" ",$H188&amp;" ")-1))</f>
        <v/>
      </c>
      <c r="C188" s="58">
        <f>IF($H188="","",IFERROR(MID($H188&amp;" ",FIND("|",SUBSTITUTE($H188&amp;" "," ","|",1))+1,FIND("|",SUBSTITUTE($H188&amp;" "," ","|",2))-FIND("|",SUBSTITUTE($H188&amp;" "," ","|",1))-1),""))</f>
        <v/>
      </c>
      <c r="D188" s="58">
        <f>IF($H188="","",IFERROR(MID($H188&amp;" ",FIND("|",SUBSTITUTE($H188&amp;" "," ","|",2))+1,FIND("|",SUBSTITUTE($H188&amp;" "," ","|",3))-FIND("|",SUBSTITUTE($H188&amp;" "," ","|",2))-1),""))</f>
        <v/>
      </c>
      <c r="E188" s="58">
        <f>IF($H188="","",IFERROR(MID($H188&amp;" ",FIND("|",SUBSTITUTE($H188&amp;" "," ","|",3))+1,FIND("|",SUBSTITUTE($H188&amp;" "," ","|",4))-FIND("|",SUBSTITUTE($H188&amp;" "," ","|",3))-1),""))</f>
        <v/>
      </c>
      <c r="F188" s="59">
        <f>IF($H188="","",IFERROR(VALUE(IFERROR(MID($H188&amp;" ",FIND("|",SUBSTITUTE($H188&amp;" "," ","|",4))+1,FIND("|",SUBSTITUTE($H188&amp;" "," ","|",5))-FIND("|",SUBSTITUTE($H188&amp;" "," ","|",4))-1),""))/86400+25569+9/24,""))</f>
        <v/>
      </c>
      <c r="G188" s="58">
        <f>TRIM(SUBSTITUTE(SUBSTITUTE(SUBSTITUTE($A188,CHAR(9)," ")," "," "),CHAR(13),""))</f>
        <v/>
      </c>
      <c r="H188" s="58">
        <f>IF($G188="","",IF(ISNUMBER(FIND(" ",$G188)),$G188,IFERROR(IF((LEN(SUBSTITUTE(SUBSTITUTE($G188,"-"," ",LEN($G188)-LEN(SUBSTITUTE($G188,"-",""))),"-"," ",LEN($G188)-LEN(SUBSTITUTE($G188,"-",""))-1))-LEN(SUBSTITUTE(SUBSTITUTE(SUBSTITUTE($G188,"-"," ",LEN($G188)-LEN(SUBSTITUTE($G188,"-",""))),"-"," ",LEN($G188)-LEN(SUBSTITUTE($G188,"-",""))-1),".","")))=0,SUBSTITUTE(SUBSTITUTE($G188,"-"," ",LEN($G188)-LEN(SUBSTITUTE($G188,"-",""))),"-"," ",LEN($G188)-LEN(SUBSTITUTE($G188,"-",""))-1),SUBSTITUTE(SUBSTITUTE(SUBSTITUTE($G188,"-"," ",LEN($G188)-LEN(SUBSTITUTE($G188,"-",""))),"-"," ",LEN($G188)-LEN(SUBSTITUTE($G188,"-",""))-1),"."," ",(LEN(SUBSTITUTE(SUBSTITUTE($G188,"-"," ",LEN($G188)-LEN(SUBSTITUTE($G188,"-",""))),"-"," ",LEN($G188)-LEN(SUBSTITUTE($G188,"-",""))-1))-LEN(SUBSTITUTE(SUBSTITUTE(SUBSTITUTE($G188,"-"," ",LEN($G188)-LEN(SUBSTITUTE($G188,"-",""))),"-"," ",LEN($G188)-LEN(SUBSTITUTE($G188,"-",""))-1),".",""))))),$G188)))</f>
        <v/>
      </c>
    </row>
    <row r="189">
      <c r="A189" s="58" t="n"/>
      <c r="B189" s="58">
        <f>IF($H189="","",LEFT($H189,FIND(" ",$H189&amp;" ")-1))</f>
        <v/>
      </c>
      <c r="C189" s="58">
        <f>IF($H189="","",IFERROR(MID($H189&amp;" ",FIND("|",SUBSTITUTE($H189&amp;" "," ","|",1))+1,FIND("|",SUBSTITUTE($H189&amp;" "," ","|",2))-FIND("|",SUBSTITUTE($H189&amp;" "," ","|",1))-1),""))</f>
        <v/>
      </c>
      <c r="D189" s="58">
        <f>IF($H189="","",IFERROR(MID($H189&amp;" ",FIND("|",SUBSTITUTE($H189&amp;" "," ","|",2))+1,FIND("|",SUBSTITUTE($H189&amp;" "," ","|",3))-FIND("|",SUBSTITUTE($H189&amp;" "," ","|",2))-1),""))</f>
        <v/>
      </c>
      <c r="E189" s="58">
        <f>IF($H189="","",IFERROR(MID($H189&amp;" ",FIND("|",SUBSTITUTE($H189&amp;" "," ","|",3))+1,FIND("|",SUBSTITUTE($H189&amp;" "," ","|",4))-FIND("|",SUBSTITUTE($H189&amp;" "," ","|",3))-1),""))</f>
        <v/>
      </c>
      <c r="F189" s="59">
        <f>IF($H189="","",IFERROR(VALUE(IFERROR(MID($H189&amp;" ",FIND("|",SUBSTITUTE($H189&amp;" "," ","|",4))+1,FIND("|",SUBSTITUTE($H189&amp;" "," ","|",5))-FIND("|",SUBSTITUTE($H189&amp;" "," ","|",4))-1),""))/86400+25569+9/24,""))</f>
        <v/>
      </c>
      <c r="G189" s="58">
        <f>TRIM(SUBSTITUTE(SUBSTITUTE(SUBSTITUTE($A189,CHAR(9)," ")," "," "),CHAR(13),""))</f>
        <v/>
      </c>
      <c r="H189" s="58">
        <f>IF($G189="","",IF(ISNUMBER(FIND(" ",$G189)),$G189,IFERROR(IF((LEN(SUBSTITUTE(SUBSTITUTE($G189,"-"," ",LEN($G189)-LEN(SUBSTITUTE($G189,"-",""))),"-"," ",LEN($G189)-LEN(SUBSTITUTE($G189,"-",""))-1))-LEN(SUBSTITUTE(SUBSTITUTE(SUBSTITUTE($G189,"-"," ",LEN($G189)-LEN(SUBSTITUTE($G189,"-",""))),"-"," ",LEN($G189)-LEN(SUBSTITUTE($G189,"-",""))-1),".","")))=0,SUBSTITUTE(SUBSTITUTE($G189,"-"," ",LEN($G189)-LEN(SUBSTITUTE($G189,"-",""))),"-"," ",LEN($G189)-LEN(SUBSTITUTE($G189,"-",""))-1),SUBSTITUTE(SUBSTITUTE(SUBSTITUTE($G189,"-"," ",LEN($G189)-LEN(SUBSTITUTE($G189,"-",""))),"-"," ",LEN($G189)-LEN(SUBSTITUTE($G189,"-",""))-1),"."," ",(LEN(SUBSTITUTE(SUBSTITUTE($G189,"-"," ",LEN($G189)-LEN(SUBSTITUTE($G189,"-",""))),"-"," ",LEN($G189)-LEN(SUBSTITUTE($G189,"-",""))-1))-LEN(SUBSTITUTE(SUBSTITUTE(SUBSTITUTE($G189,"-"," ",LEN($G189)-LEN(SUBSTITUTE($G189,"-",""))),"-"," ",LEN($G189)-LEN(SUBSTITUTE($G189,"-",""))-1),".",""))))),$G189)))</f>
        <v/>
      </c>
    </row>
    <row r="190">
      <c r="A190" s="58" t="n"/>
      <c r="B190" s="58">
        <f>IF($H190="","",LEFT($H190,FIND(" ",$H190&amp;" ")-1))</f>
        <v/>
      </c>
      <c r="C190" s="58">
        <f>IF($H190="","",IFERROR(MID($H190&amp;" ",FIND("|",SUBSTITUTE($H190&amp;" "," ","|",1))+1,FIND("|",SUBSTITUTE($H190&amp;" "," ","|",2))-FIND("|",SUBSTITUTE($H190&amp;" "," ","|",1))-1),""))</f>
        <v/>
      </c>
      <c r="D190" s="58">
        <f>IF($H190="","",IFERROR(MID($H190&amp;" ",FIND("|",SUBSTITUTE($H190&amp;" "," ","|",2))+1,FIND("|",SUBSTITUTE($H190&amp;" "," ","|",3))-FIND("|",SUBSTITUTE($H190&amp;" "," ","|",2))-1),""))</f>
        <v/>
      </c>
      <c r="E190" s="58">
        <f>IF($H190="","",IFERROR(MID($H190&amp;" ",FIND("|",SUBSTITUTE($H190&amp;" "," ","|",3))+1,FIND("|",SUBSTITUTE($H190&amp;" "," ","|",4))-FIND("|",SUBSTITUTE($H190&amp;" "," ","|",3))-1),""))</f>
        <v/>
      </c>
      <c r="F190" s="59">
        <f>IF($H190="","",IFERROR(VALUE(IFERROR(MID($H190&amp;" ",FIND("|",SUBSTITUTE($H190&amp;" "," ","|",4))+1,FIND("|",SUBSTITUTE($H190&amp;" "," ","|",5))-FIND("|",SUBSTITUTE($H190&amp;" "," ","|",4))-1),""))/86400+25569+9/24,""))</f>
        <v/>
      </c>
      <c r="G190" s="58">
        <f>TRIM(SUBSTITUTE(SUBSTITUTE(SUBSTITUTE($A190,CHAR(9)," ")," "," "),CHAR(13),""))</f>
        <v/>
      </c>
      <c r="H190" s="58">
        <f>IF($G190="","",IF(ISNUMBER(FIND(" ",$G190)),$G190,IFERROR(IF((LEN(SUBSTITUTE(SUBSTITUTE($G190,"-"," ",LEN($G190)-LEN(SUBSTITUTE($G190,"-",""))),"-"," ",LEN($G190)-LEN(SUBSTITUTE($G190,"-",""))-1))-LEN(SUBSTITUTE(SUBSTITUTE(SUBSTITUTE($G190,"-"," ",LEN($G190)-LEN(SUBSTITUTE($G190,"-",""))),"-"," ",LEN($G190)-LEN(SUBSTITUTE($G190,"-",""))-1),".","")))=0,SUBSTITUTE(SUBSTITUTE($G190,"-"," ",LEN($G190)-LEN(SUBSTITUTE($G190,"-",""))),"-"," ",LEN($G190)-LEN(SUBSTITUTE($G190,"-",""))-1),SUBSTITUTE(SUBSTITUTE(SUBSTITUTE($G190,"-"," ",LEN($G190)-LEN(SUBSTITUTE($G190,"-",""))),"-"," ",LEN($G190)-LEN(SUBSTITUTE($G190,"-",""))-1),"."," ",(LEN(SUBSTITUTE(SUBSTITUTE($G190,"-"," ",LEN($G190)-LEN(SUBSTITUTE($G190,"-",""))),"-"," ",LEN($G190)-LEN(SUBSTITUTE($G190,"-",""))-1))-LEN(SUBSTITUTE(SUBSTITUTE(SUBSTITUTE($G190,"-"," ",LEN($G190)-LEN(SUBSTITUTE($G190,"-",""))),"-"," ",LEN($G190)-LEN(SUBSTITUTE($G190,"-",""))-1),".",""))))),$G190)))</f>
        <v/>
      </c>
    </row>
    <row r="191">
      <c r="A191" s="58" t="n"/>
      <c r="B191" s="58">
        <f>IF($H191="","",LEFT($H191,FIND(" ",$H191&amp;" ")-1))</f>
        <v/>
      </c>
      <c r="C191" s="58">
        <f>IF($H191="","",IFERROR(MID($H191&amp;" ",FIND("|",SUBSTITUTE($H191&amp;" "," ","|",1))+1,FIND("|",SUBSTITUTE($H191&amp;" "," ","|",2))-FIND("|",SUBSTITUTE($H191&amp;" "," ","|",1))-1),""))</f>
        <v/>
      </c>
      <c r="D191" s="58">
        <f>IF($H191="","",IFERROR(MID($H191&amp;" ",FIND("|",SUBSTITUTE($H191&amp;" "," ","|",2))+1,FIND("|",SUBSTITUTE($H191&amp;" "," ","|",3))-FIND("|",SUBSTITUTE($H191&amp;" "," ","|",2))-1),""))</f>
        <v/>
      </c>
      <c r="E191" s="58">
        <f>IF($H191="","",IFERROR(MID($H191&amp;" ",FIND("|",SUBSTITUTE($H191&amp;" "," ","|",3))+1,FIND("|",SUBSTITUTE($H191&amp;" "," ","|",4))-FIND("|",SUBSTITUTE($H191&amp;" "," ","|",3))-1),""))</f>
        <v/>
      </c>
      <c r="F191" s="59">
        <f>IF($H191="","",IFERROR(VALUE(IFERROR(MID($H191&amp;" ",FIND("|",SUBSTITUTE($H191&amp;" "," ","|",4))+1,FIND("|",SUBSTITUTE($H191&amp;" "," ","|",5))-FIND("|",SUBSTITUTE($H191&amp;" "," ","|",4))-1),""))/86400+25569+9/24,""))</f>
        <v/>
      </c>
      <c r="G191" s="58">
        <f>TRIM(SUBSTITUTE(SUBSTITUTE(SUBSTITUTE($A191,CHAR(9)," ")," "," "),CHAR(13),""))</f>
        <v/>
      </c>
      <c r="H191" s="58">
        <f>IF($G191="","",IF(ISNUMBER(FIND(" ",$G191)),$G191,IFERROR(IF((LEN(SUBSTITUTE(SUBSTITUTE($G191,"-"," ",LEN($G191)-LEN(SUBSTITUTE($G191,"-",""))),"-"," ",LEN($G191)-LEN(SUBSTITUTE($G191,"-",""))-1))-LEN(SUBSTITUTE(SUBSTITUTE(SUBSTITUTE($G191,"-"," ",LEN($G191)-LEN(SUBSTITUTE($G191,"-",""))),"-"," ",LEN($G191)-LEN(SUBSTITUTE($G191,"-",""))-1),".","")))=0,SUBSTITUTE(SUBSTITUTE($G191,"-"," ",LEN($G191)-LEN(SUBSTITUTE($G191,"-",""))),"-"," ",LEN($G191)-LEN(SUBSTITUTE($G191,"-",""))-1),SUBSTITUTE(SUBSTITUTE(SUBSTITUTE($G191,"-"," ",LEN($G191)-LEN(SUBSTITUTE($G191,"-",""))),"-"," ",LEN($G191)-LEN(SUBSTITUTE($G191,"-",""))-1),"."," ",(LEN(SUBSTITUTE(SUBSTITUTE($G191,"-"," ",LEN($G191)-LEN(SUBSTITUTE($G191,"-",""))),"-"," ",LEN($G191)-LEN(SUBSTITUTE($G191,"-",""))-1))-LEN(SUBSTITUTE(SUBSTITUTE(SUBSTITUTE($G191,"-"," ",LEN($G191)-LEN(SUBSTITUTE($G191,"-",""))),"-"," ",LEN($G191)-LEN(SUBSTITUTE($G191,"-",""))-1),".",""))))),$G191)))</f>
        <v/>
      </c>
    </row>
    <row r="192">
      <c r="A192" s="58" t="n"/>
      <c r="B192" s="58">
        <f>IF($H192="","",LEFT($H192,FIND(" ",$H192&amp;" ")-1))</f>
        <v/>
      </c>
      <c r="C192" s="58">
        <f>IF($H192="","",IFERROR(MID($H192&amp;" ",FIND("|",SUBSTITUTE($H192&amp;" "," ","|",1))+1,FIND("|",SUBSTITUTE($H192&amp;" "," ","|",2))-FIND("|",SUBSTITUTE($H192&amp;" "," ","|",1))-1),""))</f>
        <v/>
      </c>
      <c r="D192" s="58">
        <f>IF($H192="","",IFERROR(MID($H192&amp;" ",FIND("|",SUBSTITUTE($H192&amp;" "," ","|",2))+1,FIND("|",SUBSTITUTE($H192&amp;" "," ","|",3))-FIND("|",SUBSTITUTE($H192&amp;" "," ","|",2))-1),""))</f>
        <v/>
      </c>
      <c r="E192" s="58">
        <f>IF($H192="","",IFERROR(MID($H192&amp;" ",FIND("|",SUBSTITUTE($H192&amp;" "," ","|",3))+1,FIND("|",SUBSTITUTE($H192&amp;" "," ","|",4))-FIND("|",SUBSTITUTE($H192&amp;" "," ","|",3))-1),""))</f>
        <v/>
      </c>
      <c r="F192" s="59">
        <f>IF($H192="","",IFERROR(VALUE(IFERROR(MID($H192&amp;" ",FIND("|",SUBSTITUTE($H192&amp;" "," ","|",4))+1,FIND("|",SUBSTITUTE($H192&amp;" "," ","|",5))-FIND("|",SUBSTITUTE($H192&amp;" "," ","|",4))-1),""))/86400+25569+9/24,""))</f>
        <v/>
      </c>
      <c r="G192" s="58">
        <f>TRIM(SUBSTITUTE(SUBSTITUTE(SUBSTITUTE($A192,CHAR(9)," ")," "," "),CHAR(13),""))</f>
        <v/>
      </c>
      <c r="H192" s="58">
        <f>IF($G192="","",IF(ISNUMBER(FIND(" ",$G192)),$G192,IFERROR(IF((LEN(SUBSTITUTE(SUBSTITUTE($G192,"-"," ",LEN($G192)-LEN(SUBSTITUTE($G192,"-",""))),"-"," ",LEN($G192)-LEN(SUBSTITUTE($G192,"-",""))-1))-LEN(SUBSTITUTE(SUBSTITUTE(SUBSTITUTE($G192,"-"," ",LEN($G192)-LEN(SUBSTITUTE($G192,"-",""))),"-"," ",LEN($G192)-LEN(SUBSTITUTE($G192,"-",""))-1),".","")))=0,SUBSTITUTE(SUBSTITUTE($G192,"-"," ",LEN($G192)-LEN(SUBSTITUTE($G192,"-",""))),"-"," ",LEN($G192)-LEN(SUBSTITUTE($G192,"-",""))-1),SUBSTITUTE(SUBSTITUTE(SUBSTITUTE($G192,"-"," ",LEN($G192)-LEN(SUBSTITUTE($G192,"-",""))),"-"," ",LEN($G192)-LEN(SUBSTITUTE($G192,"-",""))-1),"."," ",(LEN(SUBSTITUTE(SUBSTITUTE($G192,"-"," ",LEN($G192)-LEN(SUBSTITUTE($G192,"-",""))),"-"," ",LEN($G192)-LEN(SUBSTITUTE($G192,"-",""))-1))-LEN(SUBSTITUTE(SUBSTITUTE(SUBSTITUTE($G192,"-"," ",LEN($G192)-LEN(SUBSTITUTE($G192,"-",""))),"-"," ",LEN($G192)-LEN(SUBSTITUTE($G192,"-",""))-1),".",""))))),$G192)))</f>
        <v/>
      </c>
    </row>
    <row r="193">
      <c r="A193" s="58" t="n"/>
      <c r="B193" s="58">
        <f>IF($H193="","",LEFT($H193,FIND(" ",$H193&amp;" ")-1))</f>
        <v/>
      </c>
      <c r="C193" s="58">
        <f>IF($H193="","",IFERROR(MID($H193&amp;" ",FIND("|",SUBSTITUTE($H193&amp;" "," ","|",1))+1,FIND("|",SUBSTITUTE($H193&amp;" "," ","|",2))-FIND("|",SUBSTITUTE($H193&amp;" "," ","|",1))-1),""))</f>
        <v/>
      </c>
      <c r="D193" s="58">
        <f>IF($H193="","",IFERROR(MID($H193&amp;" ",FIND("|",SUBSTITUTE($H193&amp;" "," ","|",2))+1,FIND("|",SUBSTITUTE($H193&amp;" "," ","|",3))-FIND("|",SUBSTITUTE($H193&amp;" "," ","|",2))-1),""))</f>
        <v/>
      </c>
      <c r="E193" s="58">
        <f>IF($H193="","",IFERROR(MID($H193&amp;" ",FIND("|",SUBSTITUTE($H193&amp;" "," ","|",3))+1,FIND("|",SUBSTITUTE($H193&amp;" "," ","|",4))-FIND("|",SUBSTITUTE($H193&amp;" "," ","|",3))-1),""))</f>
        <v/>
      </c>
      <c r="F193" s="59">
        <f>IF($H193="","",IFERROR(VALUE(IFERROR(MID($H193&amp;" ",FIND("|",SUBSTITUTE($H193&amp;" "," ","|",4))+1,FIND("|",SUBSTITUTE($H193&amp;" "," ","|",5))-FIND("|",SUBSTITUTE($H193&amp;" "," ","|",4))-1),""))/86400+25569+9/24,""))</f>
        <v/>
      </c>
      <c r="G193" s="58">
        <f>TRIM(SUBSTITUTE(SUBSTITUTE(SUBSTITUTE($A193,CHAR(9)," ")," "," "),CHAR(13),""))</f>
        <v/>
      </c>
      <c r="H193" s="58">
        <f>IF($G193="","",IF(ISNUMBER(FIND(" ",$G193)),$G193,IFERROR(IF((LEN(SUBSTITUTE(SUBSTITUTE($G193,"-"," ",LEN($G193)-LEN(SUBSTITUTE($G193,"-",""))),"-"," ",LEN($G193)-LEN(SUBSTITUTE($G193,"-",""))-1))-LEN(SUBSTITUTE(SUBSTITUTE(SUBSTITUTE($G193,"-"," ",LEN($G193)-LEN(SUBSTITUTE($G193,"-",""))),"-"," ",LEN($G193)-LEN(SUBSTITUTE($G193,"-",""))-1),".","")))=0,SUBSTITUTE(SUBSTITUTE($G193,"-"," ",LEN($G193)-LEN(SUBSTITUTE($G193,"-",""))),"-"," ",LEN($G193)-LEN(SUBSTITUTE($G193,"-",""))-1),SUBSTITUTE(SUBSTITUTE(SUBSTITUTE($G193,"-"," ",LEN($G193)-LEN(SUBSTITUTE($G193,"-",""))),"-"," ",LEN($G193)-LEN(SUBSTITUTE($G193,"-",""))-1),"."," ",(LEN(SUBSTITUTE(SUBSTITUTE($G193,"-"," ",LEN($G193)-LEN(SUBSTITUTE($G193,"-",""))),"-"," ",LEN($G193)-LEN(SUBSTITUTE($G193,"-",""))-1))-LEN(SUBSTITUTE(SUBSTITUTE(SUBSTITUTE($G193,"-"," ",LEN($G193)-LEN(SUBSTITUTE($G193,"-",""))),"-"," ",LEN($G193)-LEN(SUBSTITUTE($G193,"-",""))-1),".",""))))),$G193)))</f>
        <v/>
      </c>
    </row>
    <row r="194">
      <c r="A194" s="58" t="n"/>
      <c r="B194" s="58">
        <f>IF($H194="","",LEFT($H194,FIND(" ",$H194&amp;" ")-1))</f>
        <v/>
      </c>
      <c r="C194" s="58">
        <f>IF($H194="","",IFERROR(MID($H194&amp;" ",FIND("|",SUBSTITUTE($H194&amp;" "," ","|",1))+1,FIND("|",SUBSTITUTE($H194&amp;" "," ","|",2))-FIND("|",SUBSTITUTE($H194&amp;" "," ","|",1))-1),""))</f>
        <v/>
      </c>
      <c r="D194" s="58">
        <f>IF($H194="","",IFERROR(MID($H194&amp;" ",FIND("|",SUBSTITUTE($H194&amp;" "," ","|",2))+1,FIND("|",SUBSTITUTE($H194&amp;" "," ","|",3))-FIND("|",SUBSTITUTE($H194&amp;" "," ","|",2))-1),""))</f>
        <v/>
      </c>
      <c r="E194" s="58">
        <f>IF($H194="","",IFERROR(MID($H194&amp;" ",FIND("|",SUBSTITUTE($H194&amp;" "," ","|",3))+1,FIND("|",SUBSTITUTE($H194&amp;" "," ","|",4))-FIND("|",SUBSTITUTE($H194&amp;" "," ","|",3))-1),""))</f>
        <v/>
      </c>
      <c r="F194" s="59">
        <f>IF($H194="","",IFERROR(VALUE(IFERROR(MID($H194&amp;" ",FIND("|",SUBSTITUTE($H194&amp;" "," ","|",4))+1,FIND("|",SUBSTITUTE($H194&amp;" "," ","|",5))-FIND("|",SUBSTITUTE($H194&amp;" "," ","|",4))-1),""))/86400+25569+9/24,""))</f>
        <v/>
      </c>
      <c r="G194" s="58">
        <f>TRIM(SUBSTITUTE(SUBSTITUTE(SUBSTITUTE($A194,CHAR(9)," ")," "," "),CHAR(13),""))</f>
        <v/>
      </c>
      <c r="H194" s="58">
        <f>IF($G194="","",IF(ISNUMBER(FIND(" ",$G194)),$G194,IFERROR(IF((LEN(SUBSTITUTE(SUBSTITUTE($G194,"-"," ",LEN($G194)-LEN(SUBSTITUTE($G194,"-",""))),"-"," ",LEN($G194)-LEN(SUBSTITUTE($G194,"-",""))-1))-LEN(SUBSTITUTE(SUBSTITUTE(SUBSTITUTE($G194,"-"," ",LEN($G194)-LEN(SUBSTITUTE($G194,"-",""))),"-"," ",LEN($G194)-LEN(SUBSTITUTE($G194,"-",""))-1),".","")))=0,SUBSTITUTE(SUBSTITUTE($G194,"-"," ",LEN($G194)-LEN(SUBSTITUTE($G194,"-",""))),"-"," ",LEN($G194)-LEN(SUBSTITUTE($G194,"-",""))-1),SUBSTITUTE(SUBSTITUTE(SUBSTITUTE($G194,"-"," ",LEN($G194)-LEN(SUBSTITUTE($G194,"-",""))),"-"," ",LEN($G194)-LEN(SUBSTITUTE($G194,"-",""))-1),"."," ",(LEN(SUBSTITUTE(SUBSTITUTE($G194,"-"," ",LEN($G194)-LEN(SUBSTITUTE($G194,"-",""))),"-"," ",LEN($G194)-LEN(SUBSTITUTE($G194,"-",""))-1))-LEN(SUBSTITUTE(SUBSTITUTE(SUBSTITUTE($G194,"-"," ",LEN($G194)-LEN(SUBSTITUTE($G194,"-",""))),"-"," ",LEN($G194)-LEN(SUBSTITUTE($G194,"-",""))-1),".",""))))),$G194)))</f>
        <v/>
      </c>
    </row>
    <row r="195">
      <c r="A195" s="58" t="n"/>
      <c r="B195" s="58">
        <f>IF($H195="","",LEFT($H195,FIND(" ",$H195&amp;" ")-1))</f>
        <v/>
      </c>
      <c r="C195" s="58">
        <f>IF($H195="","",IFERROR(MID($H195&amp;" ",FIND("|",SUBSTITUTE($H195&amp;" "," ","|",1))+1,FIND("|",SUBSTITUTE($H195&amp;" "," ","|",2))-FIND("|",SUBSTITUTE($H195&amp;" "," ","|",1))-1),""))</f>
        <v/>
      </c>
      <c r="D195" s="58">
        <f>IF($H195="","",IFERROR(MID($H195&amp;" ",FIND("|",SUBSTITUTE($H195&amp;" "," ","|",2))+1,FIND("|",SUBSTITUTE($H195&amp;" "," ","|",3))-FIND("|",SUBSTITUTE($H195&amp;" "," ","|",2))-1),""))</f>
        <v/>
      </c>
      <c r="E195" s="58">
        <f>IF($H195="","",IFERROR(MID($H195&amp;" ",FIND("|",SUBSTITUTE($H195&amp;" "," ","|",3))+1,FIND("|",SUBSTITUTE($H195&amp;" "," ","|",4))-FIND("|",SUBSTITUTE($H195&amp;" "," ","|",3))-1),""))</f>
        <v/>
      </c>
      <c r="F195" s="59">
        <f>IF($H195="","",IFERROR(VALUE(IFERROR(MID($H195&amp;" ",FIND("|",SUBSTITUTE($H195&amp;" "," ","|",4))+1,FIND("|",SUBSTITUTE($H195&amp;" "," ","|",5))-FIND("|",SUBSTITUTE($H195&amp;" "," ","|",4))-1),""))/86400+25569+9/24,""))</f>
        <v/>
      </c>
      <c r="G195" s="58">
        <f>TRIM(SUBSTITUTE(SUBSTITUTE(SUBSTITUTE($A195,CHAR(9)," ")," "," "),CHAR(13),""))</f>
        <v/>
      </c>
      <c r="H195" s="58">
        <f>IF($G195="","",IF(ISNUMBER(FIND(" ",$G195)),$G195,IFERROR(IF((LEN(SUBSTITUTE(SUBSTITUTE($G195,"-"," ",LEN($G195)-LEN(SUBSTITUTE($G195,"-",""))),"-"," ",LEN($G195)-LEN(SUBSTITUTE($G195,"-",""))-1))-LEN(SUBSTITUTE(SUBSTITUTE(SUBSTITUTE($G195,"-"," ",LEN($G195)-LEN(SUBSTITUTE($G195,"-",""))),"-"," ",LEN($G195)-LEN(SUBSTITUTE($G195,"-",""))-1),".","")))=0,SUBSTITUTE(SUBSTITUTE($G195,"-"," ",LEN($G195)-LEN(SUBSTITUTE($G195,"-",""))),"-"," ",LEN($G195)-LEN(SUBSTITUTE($G195,"-",""))-1),SUBSTITUTE(SUBSTITUTE(SUBSTITUTE($G195,"-"," ",LEN($G195)-LEN(SUBSTITUTE($G195,"-",""))),"-"," ",LEN($G195)-LEN(SUBSTITUTE($G195,"-",""))-1),"."," ",(LEN(SUBSTITUTE(SUBSTITUTE($G195,"-"," ",LEN($G195)-LEN(SUBSTITUTE($G195,"-",""))),"-"," ",LEN($G195)-LEN(SUBSTITUTE($G195,"-",""))-1))-LEN(SUBSTITUTE(SUBSTITUTE(SUBSTITUTE($G195,"-"," ",LEN($G195)-LEN(SUBSTITUTE($G195,"-",""))),"-"," ",LEN($G195)-LEN(SUBSTITUTE($G195,"-",""))-1),".",""))))),$G195)))</f>
        <v/>
      </c>
    </row>
    <row r="196">
      <c r="A196" s="58" t="n"/>
      <c r="B196" s="58">
        <f>IF($H196="","",LEFT($H196,FIND(" ",$H196&amp;" ")-1))</f>
        <v/>
      </c>
      <c r="C196" s="58">
        <f>IF($H196="","",IFERROR(MID($H196&amp;" ",FIND("|",SUBSTITUTE($H196&amp;" "," ","|",1))+1,FIND("|",SUBSTITUTE($H196&amp;" "," ","|",2))-FIND("|",SUBSTITUTE($H196&amp;" "," ","|",1))-1),""))</f>
        <v/>
      </c>
      <c r="D196" s="58">
        <f>IF($H196="","",IFERROR(MID($H196&amp;" ",FIND("|",SUBSTITUTE($H196&amp;" "," ","|",2))+1,FIND("|",SUBSTITUTE($H196&amp;" "," ","|",3))-FIND("|",SUBSTITUTE($H196&amp;" "," ","|",2))-1),""))</f>
        <v/>
      </c>
      <c r="E196" s="58">
        <f>IF($H196="","",IFERROR(MID($H196&amp;" ",FIND("|",SUBSTITUTE($H196&amp;" "," ","|",3))+1,FIND("|",SUBSTITUTE($H196&amp;" "," ","|",4))-FIND("|",SUBSTITUTE($H196&amp;" "," ","|",3))-1),""))</f>
        <v/>
      </c>
      <c r="F196" s="59">
        <f>IF($H196="","",IFERROR(VALUE(IFERROR(MID($H196&amp;" ",FIND("|",SUBSTITUTE($H196&amp;" "," ","|",4))+1,FIND("|",SUBSTITUTE($H196&amp;" "," ","|",5))-FIND("|",SUBSTITUTE($H196&amp;" "," ","|",4))-1),""))/86400+25569+9/24,""))</f>
        <v/>
      </c>
      <c r="G196" s="58">
        <f>TRIM(SUBSTITUTE(SUBSTITUTE(SUBSTITUTE($A196,CHAR(9)," ")," "," "),CHAR(13),""))</f>
        <v/>
      </c>
      <c r="H196" s="58">
        <f>IF($G196="","",IF(ISNUMBER(FIND(" ",$G196)),$G196,IFERROR(IF((LEN(SUBSTITUTE(SUBSTITUTE($G196,"-"," ",LEN($G196)-LEN(SUBSTITUTE($G196,"-",""))),"-"," ",LEN($G196)-LEN(SUBSTITUTE($G196,"-",""))-1))-LEN(SUBSTITUTE(SUBSTITUTE(SUBSTITUTE($G196,"-"," ",LEN($G196)-LEN(SUBSTITUTE($G196,"-",""))),"-"," ",LEN($G196)-LEN(SUBSTITUTE($G196,"-",""))-1),".","")))=0,SUBSTITUTE(SUBSTITUTE($G196,"-"," ",LEN($G196)-LEN(SUBSTITUTE($G196,"-",""))),"-"," ",LEN($G196)-LEN(SUBSTITUTE($G196,"-",""))-1),SUBSTITUTE(SUBSTITUTE(SUBSTITUTE($G196,"-"," ",LEN($G196)-LEN(SUBSTITUTE($G196,"-",""))),"-"," ",LEN($G196)-LEN(SUBSTITUTE($G196,"-",""))-1),"."," ",(LEN(SUBSTITUTE(SUBSTITUTE($G196,"-"," ",LEN($G196)-LEN(SUBSTITUTE($G196,"-",""))),"-"," ",LEN($G196)-LEN(SUBSTITUTE($G196,"-",""))-1))-LEN(SUBSTITUTE(SUBSTITUTE(SUBSTITUTE($G196,"-"," ",LEN($G196)-LEN(SUBSTITUTE($G196,"-",""))),"-"," ",LEN($G196)-LEN(SUBSTITUTE($G196,"-",""))-1),".",""))))),$G196)))</f>
        <v/>
      </c>
    </row>
    <row r="197">
      <c r="A197" s="58" t="n"/>
      <c r="B197" s="58">
        <f>IF($H197="","",LEFT($H197,FIND(" ",$H197&amp;" ")-1))</f>
        <v/>
      </c>
      <c r="C197" s="58">
        <f>IF($H197="","",IFERROR(MID($H197&amp;" ",FIND("|",SUBSTITUTE($H197&amp;" "," ","|",1))+1,FIND("|",SUBSTITUTE($H197&amp;" "," ","|",2))-FIND("|",SUBSTITUTE($H197&amp;" "," ","|",1))-1),""))</f>
        <v/>
      </c>
      <c r="D197" s="58">
        <f>IF($H197="","",IFERROR(MID($H197&amp;" ",FIND("|",SUBSTITUTE($H197&amp;" "," ","|",2))+1,FIND("|",SUBSTITUTE($H197&amp;" "," ","|",3))-FIND("|",SUBSTITUTE($H197&amp;" "," ","|",2))-1),""))</f>
        <v/>
      </c>
      <c r="E197" s="58">
        <f>IF($H197="","",IFERROR(MID($H197&amp;" ",FIND("|",SUBSTITUTE($H197&amp;" "," ","|",3))+1,FIND("|",SUBSTITUTE($H197&amp;" "," ","|",4))-FIND("|",SUBSTITUTE($H197&amp;" "," ","|",3))-1),""))</f>
        <v/>
      </c>
      <c r="F197" s="59">
        <f>IF($H197="","",IFERROR(VALUE(IFERROR(MID($H197&amp;" ",FIND("|",SUBSTITUTE($H197&amp;" "," ","|",4))+1,FIND("|",SUBSTITUTE($H197&amp;" "," ","|",5))-FIND("|",SUBSTITUTE($H197&amp;" "," ","|",4))-1),""))/86400+25569+9/24,""))</f>
        <v/>
      </c>
      <c r="G197" s="58">
        <f>TRIM(SUBSTITUTE(SUBSTITUTE(SUBSTITUTE($A197,CHAR(9)," ")," "," "),CHAR(13),""))</f>
        <v/>
      </c>
      <c r="H197" s="58">
        <f>IF($G197="","",IF(ISNUMBER(FIND(" ",$G197)),$G197,IFERROR(IF((LEN(SUBSTITUTE(SUBSTITUTE($G197,"-"," ",LEN($G197)-LEN(SUBSTITUTE($G197,"-",""))),"-"," ",LEN($G197)-LEN(SUBSTITUTE($G197,"-",""))-1))-LEN(SUBSTITUTE(SUBSTITUTE(SUBSTITUTE($G197,"-"," ",LEN($G197)-LEN(SUBSTITUTE($G197,"-",""))),"-"," ",LEN($G197)-LEN(SUBSTITUTE($G197,"-",""))-1),".","")))=0,SUBSTITUTE(SUBSTITUTE($G197,"-"," ",LEN($G197)-LEN(SUBSTITUTE($G197,"-",""))),"-"," ",LEN($G197)-LEN(SUBSTITUTE($G197,"-",""))-1),SUBSTITUTE(SUBSTITUTE(SUBSTITUTE($G197,"-"," ",LEN($G197)-LEN(SUBSTITUTE($G197,"-",""))),"-"," ",LEN($G197)-LEN(SUBSTITUTE($G197,"-",""))-1),"."," ",(LEN(SUBSTITUTE(SUBSTITUTE($G197,"-"," ",LEN($G197)-LEN(SUBSTITUTE($G197,"-",""))),"-"," ",LEN($G197)-LEN(SUBSTITUTE($G197,"-",""))-1))-LEN(SUBSTITUTE(SUBSTITUTE(SUBSTITUTE($G197,"-"," ",LEN($G197)-LEN(SUBSTITUTE($G197,"-",""))),"-"," ",LEN($G197)-LEN(SUBSTITUTE($G197,"-",""))-1),".",""))))),$G197)))</f>
        <v/>
      </c>
    </row>
    <row r="198">
      <c r="A198" s="58" t="n"/>
      <c r="B198" s="58">
        <f>IF($H198="","",LEFT($H198,FIND(" ",$H198&amp;" ")-1))</f>
        <v/>
      </c>
      <c r="C198" s="58">
        <f>IF($H198="","",IFERROR(MID($H198&amp;" ",FIND("|",SUBSTITUTE($H198&amp;" "," ","|",1))+1,FIND("|",SUBSTITUTE($H198&amp;" "," ","|",2))-FIND("|",SUBSTITUTE($H198&amp;" "," ","|",1))-1),""))</f>
        <v/>
      </c>
      <c r="D198" s="58">
        <f>IF($H198="","",IFERROR(MID($H198&amp;" ",FIND("|",SUBSTITUTE($H198&amp;" "," ","|",2))+1,FIND("|",SUBSTITUTE($H198&amp;" "," ","|",3))-FIND("|",SUBSTITUTE($H198&amp;" "," ","|",2))-1),""))</f>
        <v/>
      </c>
      <c r="E198" s="58">
        <f>IF($H198="","",IFERROR(MID($H198&amp;" ",FIND("|",SUBSTITUTE($H198&amp;" "," ","|",3))+1,FIND("|",SUBSTITUTE($H198&amp;" "," ","|",4))-FIND("|",SUBSTITUTE($H198&amp;" "," ","|",3))-1),""))</f>
        <v/>
      </c>
      <c r="F198" s="59">
        <f>IF($H198="","",IFERROR(VALUE(IFERROR(MID($H198&amp;" ",FIND("|",SUBSTITUTE($H198&amp;" "," ","|",4))+1,FIND("|",SUBSTITUTE($H198&amp;" "," ","|",5))-FIND("|",SUBSTITUTE($H198&amp;" "," ","|",4))-1),""))/86400+25569+9/24,""))</f>
        <v/>
      </c>
      <c r="G198" s="58">
        <f>TRIM(SUBSTITUTE(SUBSTITUTE(SUBSTITUTE($A198,CHAR(9)," ")," "," "),CHAR(13),""))</f>
        <v/>
      </c>
      <c r="H198" s="58">
        <f>IF($G198="","",IF(ISNUMBER(FIND(" ",$G198)),$G198,IFERROR(IF((LEN(SUBSTITUTE(SUBSTITUTE($G198,"-"," ",LEN($G198)-LEN(SUBSTITUTE($G198,"-",""))),"-"," ",LEN($G198)-LEN(SUBSTITUTE($G198,"-",""))-1))-LEN(SUBSTITUTE(SUBSTITUTE(SUBSTITUTE($G198,"-"," ",LEN($G198)-LEN(SUBSTITUTE($G198,"-",""))),"-"," ",LEN($G198)-LEN(SUBSTITUTE($G198,"-",""))-1),".","")))=0,SUBSTITUTE(SUBSTITUTE($G198,"-"," ",LEN($G198)-LEN(SUBSTITUTE($G198,"-",""))),"-"," ",LEN($G198)-LEN(SUBSTITUTE($G198,"-",""))-1),SUBSTITUTE(SUBSTITUTE(SUBSTITUTE($G198,"-"," ",LEN($G198)-LEN(SUBSTITUTE($G198,"-",""))),"-"," ",LEN($G198)-LEN(SUBSTITUTE($G198,"-",""))-1),"."," ",(LEN(SUBSTITUTE(SUBSTITUTE($G198,"-"," ",LEN($G198)-LEN(SUBSTITUTE($G198,"-",""))),"-"," ",LEN($G198)-LEN(SUBSTITUTE($G198,"-",""))-1))-LEN(SUBSTITUTE(SUBSTITUTE(SUBSTITUTE($G198,"-"," ",LEN($G198)-LEN(SUBSTITUTE($G198,"-",""))),"-"," ",LEN($G198)-LEN(SUBSTITUTE($G198,"-",""))-1),".",""))))),$G198)))</f>
        <v/>
      </c>
    </row>
    <row r="199">
      <c r="A199" s="58" t="n"/>
      <c r="B199" s="58">
        <f>IF($H199="","",LEFT($H199,FIND(" ",$H199&amp;" ")-1))</f>
        <v/>
      </c>
      <c r="C199" s="58">
        <f>IF($H199="","",IFERROR(MID($H199&amp;" ",FIND("|",SUBSTITUTE($H199&amp;" "," ","|",1))+1,FIND("|",SUBSTITUTE($H199&amp;" "," ","|",2))-FIND("|",SUBSTITUTE($H199&amp;" "," ","|",1))-1),""))</f>
        <v/>
      </c>
      <c r="D199" s="58">
        <f>IF($H199="","",IFERROR(MID($H199&amp;" ",FIND("|",SUBSTITUTE($H199&amp;" "," ","|",2))+1,FIND("|",SUBSTITUTE($H199&amp;" "," ","|",3))-FIND("|",SUBSTITUTE($H199&amp;" "," ","|",2))-1),""))</f>
        <v/>
      </c>
      <c r="E199" s="58">
        <f>IF($H199="","",IFERROR(MID($H199&amp;" ",FIND("|",SUBSTITUTE($H199&amp;" "," ","|",3))+1,FIND("|",SUBSTITUTE($H199&amp;" "," ","|",4))-FIND("|",SUBSTITUTE($H199&amp;" "," ","|",3))-1),""))</f>
        <v/>
      </c>
      <c r="F199" s="59">
        <f>IF($H199="","",IFERROR(VALUE(IFERROR(MID($H199&amp;" ",FIND("|",SUBSTITUTE($H199&amp;" "," ","|",4))+1,FIND("|",SUBSTITUTE($H199&amp;" "," ","|",5))-FIND("|",SUBSTITUTE($H199&amp;" "," ","|",4))-1),""))/86400+25569+9/24,""))</f>
        <v/>
      </c>
      <c r="G199" s="58">
        <f>TRIM(SUBSTITUTE(SUBSTITUTE(SUBSTITUTE($A199,CHAR(9)," ")," "," "),CHAR(13),""))</f>
        <v/>
      </c>
      <c r="H199" s="58">
        <f>IF($G199="","",IF(ISNUMBER(FIND(" ",$G199)),$G199,IFERROR(IF((LEN(SUBSTITUTE(SUBSTITUTE($G199,"-"," ",LEN($G199)-LEN(SUBSTITUTE($G199,"-",""))),"-"," ",LEN($G199)-LEN(SUBSTITUTE($G199,"-",""))-1))-LEN(SUBSTITUTE(SUBSTITUTE(SUBSTITUTE($G199,"-"," ",LEN($G199)-LEN(SUBSTITUTE($G199,"-",""))),"-"," ",LEN($G199)-LEN(SUBSTITUTE($G199,"-",""))-1),".","")))=0,SUBSTITUTE(SUBSTITUTE($G199,"-"," ",LEN($G199)-LEN(SUBSTITUTE($G199,"-",""))),"-"," ",LEN($G199)-LEN(SUBSTITUTE($G199,"-",""))-1),SUBSTITUTE(SUBSTITUTE(SUBSTITUTE($G199,"-"," ",LEN($G199)-LEN(SUBSTITUTE($G199,"-",""))),"-"," ",LEN($G199)-LEN(SUBSTITUTE($G199,"-",""))-1),"."," ",(LEN(SUBSTITUTE(SUBSTITUTE($G199,"-"," ",LEN($G199)-LEN(SUBSTITUTE($G199,"-",""))),"-"," ",LEN($G199)-LEN(SUBSTITUTE($G199,"-",""))-1))-LEN(SUBSTITUTE(SUBSTITUTE(SUBSTITUTE($G199,"-"," ",LEN($G199)-LEN(SUBSTITUTE($G199,"-",""))),"-"," ",LEN($G199)-LEN(SUBSTITUTE($G199,"-",""))-1),".",""))))),$G199)))</f>
        <v/>
      </c>
    </row>
    <row r="200">
      <c r="A200" s="58" t="n"/>
      <c r="B200" s="58">
        <f>IF($H200="","",LEFT($H200,FIND(" ",$H200&amp;" ")-1))</f>
        <v/>
      </c>
      <c r="C200" s="58">
        <f>IF($H200="","",IFERROR(MID($H200&amp;" ",FIND("|",SUBSTITUTE($H200&amp;" "," ","|",1))+1,FIND("|",SUBSTITUTE($H200&amp;" "," ","|",2))-FIND("|",SUBSTITUTE($H200&amp;" "," ","|",1))-1),""))</f>
        <v/>
      </c>
      <c r="D200" s="58">
        <f>IF($H200="","",IFERROR(MID($H200&amp;" ",FIND("|",SUBSTITUTE($H200&amp;" "," ","|",2))+1,FIND("|",SUBSTITUTE($H200&amp;" "," ","|",3))-FIND("|",SUBSTITUTE($H200&amp;" "," ","|",2))-1),""))</f>
        <v/>
      </c>
      <c r="E200" s="58">
        <f>IF($H200="","",IFERROR(MID($H200&amp;" ",FIND("|",SUBSTITUTE($H200&amp;" "," ","|",3))+1,FIND("|",SUBSTITUTE($H200&amp;" "," ","|",4))-FIND("|",SUBSTITUTE($H200&amp;" "," ","|",3))-1),""))</f>
        <v/>
      </c>
      <c r="F200" s="59">
        <f>IF($H200="","",IFERROR(VALUE(IFERROR(MID($H200&amp;" ",FIND("|",SUBSTITUTE($H200&amp;" "," ","|",4))+1,FIND("|",SUBSTITUTE($H200&amp;" "," ","|",5))-FIND("|",SUBSTITUTE($H200&amp;" "," ","|",4))-1),""))/86400+25569+9/24,""))</f>
        <v/>
      </c>
      <c r="G200" s="58">
        <f>TRIM(SUBSTITUTE(SUBSTITUTE(SUBSTITUTE($A200,CHAR(9)," ")," "," "),CHAR(13),""))</f>
        <v/>
      </c>
      <c r="H200" s="58">
        <f>IF($G200="","",IF(ISNUMBER(FIND(" ",$G200)),$G200,IFERROR(IF((LEN(SUBSTITUTE(SUBSTITUTE($G200,"-"," ",LEN($G200)-LEN(SUBSTITUTE($G200,"-",""))),"-"," ",LEN($G200)-LEN(SUBSTITUTE($G200,"-",""))-1))-LEN(SUBSTITUTE(SUBSTITUTE(SUBSTITUTE($G200,"-"," ",LEN($G200)-LEN(SUBSTITUTE($G200,"-",""))),"-"," ",LEN($G200)-LEN(SUBSTITUTE($G200,"-",""))-1),".","")))=0,SUBSTITUTE(SUBSTITUTE($G200,"-"," ",LEN($G200)-LEN(SUBSTITUTE($G200,"-",""))),"-"," ",LEN($G200)-LEN(SUBSTITUTE($G200,"-",""))-1),SUBSTITUTE(SUBSTITUTE(SUBSTITUTE($G200,"-"," ",LEN($G200)-LEN(SUBSTITUTE($G200,"-",""))),"-"," ",LEN($G200)-LEN(SUBSTITUTE($G200,"-",""))-1),"."," ",(LEN(SUBSTITUTE(SUBSTITUTE($G200,"-"," ",LEN($G200)-LEN(SUBSTITUTE($G200,"-",""))),"-"," ",LEN($G200)-LEN(SUBSTITUTE($G200,"-",""))-1))-LEN(SUBSTITUTE(SUBSTITUTE(SUBSTITUTE($G200,"-"," ",LEN($G200)-LEN(SUBSTITUTE($G200,"-",""))),"-"," ",LEN($G200)-LEN(SUBSTITUTE($G200,"-",""))-1),".",""))))),$G200)))</f>
        <v/>
      </c>
    </row>
    <row r="201">
      <c r="A201" s="58" t="n"/>
      <c r="B201" s="58">
        <f>IF($H201="","",LEFT($H201,FIND(" ",$H201&amp;" ")-1))</f>
        <v/>
      </c>
      <c r="C201" s="58">
        <f>IF($H201="","",IFERROR(MID($H201&amp;" ",FIND("|",SUBSTITUTE($H201&amp;" "," ","|",1))+1,FIND("|",SUBSTITUTE($H201&amp;" "," ","|",2))-FIND("|",SUBSTITUTE($H201&amp;" "," ","|",1))-1),""))</f>
        <v/>
      </c>
      <c r="D201" s="58">
        <f>IF($H201="","",IFERROR(MID($H201&amp;" ",FIND("|",SUBSTITUTE($H201&amp;" "," ","|",2))+1,FIND("|",SUBSTITUTE($H201&amp;" "," ","|",3))-FIND("|",SUBSTITUTE($H201&amp;" "," ","|",2))-1),""))</f>
        <v/>
      </c>
      <c r="E201" s="58">
        <f>IF($H201="","",IFERROR(MID($H201&amp;" ",FIND("|",SUBSTITUTE($H201&amp;" "," ","|",3))+1,FIND("|",SUBSTITUTE($H201&amp;" "," ","|",4))-FIND("|",SUBSTITUTE($H201&amp;" "," ","|",3))-1),""))</f>
        <v/>
      </c>
      <c r="F201" s="59">
        <f>IF($H201="","",IFERROR(VALUE(IFERROR(MID($H201&amp;" ",FIND("|",SUBSTITUTE($H201&amp;" "," ","|",4))+1,FIND("|",SUBSTITUTE($H201&amp;" "," ","|",5))-FIND("|",SUBSTITUTE($H201&amp;" "," ","|",4))-1),""))/86400+25569+9/24,""))</f>
        <v/>
      </c>
      <c r="G201" s="58">
        <f>TRIM(SUBSTITUTE(SUBSTITUTE(SUBSTITUTE($A201,CHAR(9)," ")," "," "),CHAR(13),""))</f>
        <v/>
      </c>
      <c r="H201" s="58">
        <f>IF($G201="","",IF(ISNUMBER(FIND(" ",$G201)),$G201,IFERROR(IF((LEN(SUBSTITUTE(SUBSTITUTE($G201,"-"," ",LEN($G201)-LEN(SUBSTITUTE($G201,"-",""))),"-"," ",LEN($G201)-LEN(SUBSTITUTE($G201,"-",""))-1))-LEN(SUBSTITUTE(SUBSTITUTE(SUBSTITUTE($G201,"-"," ",LEN($G201)-LEN(SUBSTITUTE($G201,"-",""))),"-"," ",LEN($G201)-LEN(SUBSTITUTE($G201,"-",""))-1),".","")))=0,SUBSTITUTE(SUBSTITUTE($G201,"-"," ",LEN($G201)-LEN(SUBSTITUTE($G201,"-",""))),"-"," ",LEN($G201)-LEN(SUBSTITUTE($G201,"-",""))-1),SUBSTITUTE(SUBSTITUTE(SUBSTITUTE($G201,"-"," ",LEN($G201)-LEN(SUBSTITUTE($G201,"-",""))),"-"," ",LEN($G201)-LEN(SUBSTITUTE($G201,"-",""))-1),"."," ",(LEN(SUBSTITUTE(SUBSTITUTE($G201,"-"," ",LEN($G201)-LEN(SUBSTITUTE($G201,"-",""))),"-"," ",LEN($G201)-LEN(SUBSTITUTE($G201,"-",""))-1))-LEN(SUBSTITUTE(SUBSTITUTE(SUBSTITUTE($G201,"-"," ",LEN($G201)-LEN(SUBSTITUTE($G201,"-",""))),"-"," ",LEN($G201)-LEN(SUBSTITUTE($G201,"-",""))-1),".",""))))),$G201)))</f>
        <v/>
      </c>
    </row>
    <row r="202">
      <c r="A202" s="58" t="n"/>
      <c r="B202" s="58">
        <f>IF($H202="","",LEFT($H202,FIND(" ",$H202&amp;" ")-1))</f>
        <v/>
      </c>
      <c r="C202" s="58">
        <f>IF($H202="","",IFERROR(MID($H202&amp;" ",FIND("|",SUBSTITUTE($H202&amp;" "," ","|",1))+1,FIND("|",SUBSTITUTE($H202&amp;" "," ","|",2))-FIND("|",SUBSTITUTE($H202&amp;" "," ","|",1))-1),""))</f>
        <v/>
      </c>
      <c r="D202" s="58">
        <f>IF($H202="","",IFERROR(MID($H202&amp;" ",FIND("|",SUBSTITUTE($H202&amp;" "," ","|",2))+1,FIND("|",SUBSTITUTE($H202&amp;" "," ","|",3))-FIND("|",SUBSTITUTE($H202&amp;" "," ","|",2))-1),""))</f>
        <v/>
      </c>
      <c r="E202" s="58">
        <f>IF($H202="","",IFERROR(MID($H202&amp;" ",FIND("|",SUBSTITUTE($H202&amp;" "," ","|",3))+1,FIND("|",SUBSTITUTE($H202&amp;" "," ","|",4))-FIND("|",SUBSTITUTE($H202&amp;" "," ","|",3))-1),""))</f>
        <v/>
      </c>
      <c r="F202" s="59">
        <f>IF($H202="","",IFERROR(VALUE(IFERROR(MID($H202&amp;" ",FIND("|",SUBSTITUTE($H202&amp;" "," ","|",4))+1,FIND("|",SUBSTITUTE($H202&amp;" "," ","|",5))-FIND("|",SUBSTITUTE($H202&amp;" "," ","|",4))-1),""))/86400+25569+9/24,""))</f>
        <v/>
      </c>
      <c r="G202" s="58">
        <f>TRIM(SUBSTITUTE(SUBSTITUTE(SUBSTITUTE($A202,CHAR(9)," ")," "," "),CHAR(13),""))</f>
        <v/>
      </c>
      <c r="H202" s="58">
        <f>IF($G202="","",IF(ISNUMBER(FIND(" ",$G202)),$G202,IFERROR(IF((LEN(SUBSTITUTE(SUBSTITUTE($G202,"-"," ",LEN($G202)-LEN(SUBSTITUTE($G202,"-",""))),"-"," ",LEN($G202)-LEN(SUBSTITUTE($G202,"-",""))-1))-LEN(SUBSTITUTE(SUBSTITUTE(SUBSTITUTE($G202,"-"," ",LEN($G202)-LEN(SUBSTITUTE($G202,"-",""))),"-"," ",LEN($G202)-LEN(SUBSTITUTE($G202,"-",""))-1),".","")))=0,SUBSTITUTE(SUBSTITUTE($G202,"-"," ",LEN($G202)-LEN(SUBSTITUTE($G202,"-",""))),"-"," ",LEN($G202)-LEN(SUBSTITUTE($G202,"-",""))-1),SUBSTITUTE(SUBSTITUTE(SUBSTITUTE($G202,"-"," ",LEN($G202)-LEN(SUBSTITUTE($G202,"-",""))),"-"," ",LEN($G202)-LEN(SUBSTITUTE($G202,"-",""))-1),"."," ",(LEN(SUBSTITUTE(SUBSTITUTE($G202,"-"," ",LEN($G202)-LEN(SUBSTITUTE($G202,"-",""))),"-"," ",LEN($G202)-LEN(SUBSTITUTE($G202,"-",""))-1))-LEN(SUBSTITUTE(SUBSTITUTE(SUBSTITUTE($G202,"-"," ",LEN($G202)-LEN(SUBSTITUTE($G202,"-",""))),"-"," ",LEN($G202)-LEN(SUBSTITUTE($G202,"-",""))-1),".",""))))),$G202)))</f>
        <v/>
      </c>
    </row>
    <row r="203">
      <c r="A203" s="58" t="n"/>
      <c r="B203" s="58">
        <f>IF($H203="","",LEFT($H203,FIND(" ",$H203&amp;" ")-1))</f>
        <v/>
      </c>
      <c r="C203" s="58">
        <f>IF($H203="","",IFERROR(MID($H203&amp;" ",FIND("|",SUBSTITUTE($H203&amp;" "," ","|",1))+1,FIND("|",SUBSTITUTE($H203&amp;" "," ","|",2))-FIND("|",SUBSTITUTE($H203&amp;" "," ","|",1))-1),""))</f>
        <v/>
      </c>
      <c r="D203" s="58">
        <f>IF($H203="","",IFERROR(MID($H203&amp;" ",FIND("|",SUBSTITUTE($H203&amp;" "," ","|",2))+1,FIND("|",SUBSTITUTE($H203&amp;" "," ","|",3))-FIND("|",SUBSTITUTE($H203&amp;" "," ","|",2))-1),""))</f>
        <v/>
      </c>
      <c r="E203" s="58">
        <f>IF($H203="","",IFERROR(MID($H203&amp;" ",FIND("|",SUBSTITUTE($H203&amp;" "," ","|",3))+1,FIND("|",SUBSTITUTE($H203&amp;" "," ","|",4))-FIND("|",SUBSTITUTE($H203&amp;" "," ","|",3))-1),""))</f>
        <v/>
      </c>
      <c r="F203" s="59">
        <f>IF($H203="","",IFERROR(VALUE(IFERROR(MID($H203&amp;" ",FIND("|",SUBSTITUTE($H203&amp;" "," ","|",4))+1,FIND("|",SUBSTITUTE($H203&amp;" "," ","|",5))-FIND("|",SUBSTITUTE($H203&amp;" "," ","|",4))-1),""))/86400+25569+9/24,""))</f>
        <v/>
      </c>
      <c r="G203" s="58">
        <f>TRIM(SUBSTITUTE(SUBSTITUTE(SUBSTITUTE($A203,CHAR(9)," ")," "," "),CHAR(13),""))</f>
        <v/>
      </c>
      <c r="H203" s="58">
        <f>IF($G203="","",IF(ISNUMBER(FIND(" ",$G203)),$G203,IFERROR(IF((LEN(SUBSTITUTE(SUBSTITUTE($G203,"-"," ",LEN($G203)-LEN(SUBSTITUTE($G203,"-",""))),"-"," ",LEN($G203)-LEN(SUBSTITUTE($G203,"-",""))-1))-LEN(SUBSTITUTE(SUBSTITUTE(SUBSTITUTE($G203,"-"," ",LEN($G203)-LEN(SUBSTITUTE($G203,"-",""))),"-"," ",LEN($G203)-LEN(SUBSTITUTE($G203,"-",""))-1),".","")))=0,SUBSTITUTE(SUBSTITUTE($G203,"-"," ",LEN($G203)-LEN(SUBSTITUTE($G203,"-",""))),"-"," ",LEN($G203)-LEN(SUBSTITUTE($G203,"-",""))-1),SUBSTITUTE(SUBSTITUTE(SUBSTITUTE($G203,"-"," ",LEN($G203)-LEN(SUBSTITUTE($G203,"-",""))),"-"," ",LEN($G203)-LEN(SUBSTITUTE($G203,"-",""))-1),"."," ",(LEN(SUBSTITUTE(SUBSTITUTE($G203,"-"," ",LEN($G203)-LEN(SUBSTITUTE($G203,"-",""))),"-"," ",LEN($G203)-LEN(SUBSTITUTE($G203,"-",""))-1))-LEN(SUBSTITUTE(SUBSTITUTE(SUBSTITUTE($G203,"-"," ",LEN($G203)-LEN(SUBSTITUTE($G203,"-",""))),"-"," ",LEN($G203)-LEN(SUBSTITUTE($G203,"-",""))-1),".",""))))),$G203)))</f>
        <v/>
      </c>
    </row>
    <row r="204">
      <c r="A204" s="58" t="n"/>
      <c r="B204" s="58">
        <f>IF($H204="","",LEFT($H204,FIND(" ",$H204&amp;" ")-1))</f>
        <v/>
      </c>
      <c r="C204" s="58">
        <f>IF($H204="","",IFERROR(MID($H204&amp;" ",FIND("|",SUBSTITUTE($H204&amp;" "," ","|",1))+1,FIND("|",SUBSTITUTE($H204&amp;" "," ","|",2))-FIND("|",SUBSTITUTE($H204&amp;" "," ","|",1))-1),""))</f>
        <v/>
      </c>
      <c r="D204" s="58">
        <f>IF($H204="","",IFERROR(MID($H204&amp;" ",FIND("|",SUBSTITUTE($H204&amp;" "," ","|",2))+1,FIND("|",SUBSTITUTE($H204&amp;" "," ","|",3))-FIND("|",SUBSTITUTE($H204&amp;" "," ","|",2))-1),""))</f>
        <v/>
      </c>
      <c r="E204" s="58">
        <f>IF($H204="","",IFERROR(MID($H204&amp;" ",FIND("|",SUBSTITUTE($H204&amp;" "," ","|",3))+1,FIND("|",SUBSTITUTE($H204&amp;" "," ","|",4))-FIND("|",SUBSTITUTE($H204&amp;" "," ","|",3))-1),""))</f>
        <v/>
      </c>
      <c r="F204" s="59">
        <f>IF($H204="","",IFERROR(VALUE(IFERROR(MID($H204&amp;" ",FIND("|",SUBSTITUTE($H204&amp;" "," ","|",4))+1,FIND("|",SUBSTITUTE($H204&amp;" "," ","|",5))-FIND("|",SUBSTITUTE($H204&amp;" "," ","|",4))-1),""))/86400+25569+9/24,""))</f>
        <v/>
      </c>
      <c r="G204" s="58">
        <f>TRIM(SUBSTITUTE(SUBSTITUTE(SUBSTITUTE($A204,CHAR(9)," ")," "," "),CHAR(13),""))</f>
        <v/>
      </c>
      <c r="H204" s="58">
        <f>IF($G204="","",IF(ISNUMBER(FIND(" ",$G204)),$G204,IFERROR(IF((LEN(SUBSTITUTE(SUBSTITUTE($G204,"-"," ",LEN($G204)-LEN(SUBSTITUTE($G204,"-",""))),"-"," ",LEN($G204)-LEN(SUBSTITUTE($G204,"-",""))-1))-LEN(SUBSTITUTE(SUBSTITUTE(SUBSTITUTE($G204,"-"," ",LEN($G204)-LEN(SUBSTITUTE($G204,"-",""))),"-"," ",LEN($G204)-LEN(SUBSTITUTE($G204,"-",""))-1),".","")))=0,SUBSTITUTE(SUBSTITUTE($G204,"-"," ",LEN($G204)-LEN(SUBSTITUTE($G204,"-",""))),"-"," ",LEN($G204)-LEN(SUBSTITUTE($G204,"-",""))-1),SUBSTITUTE(SUBSTITUTE(SUBSTITUTE($G204,"-"," ",LEN($G204)-LEN(SUBSTITUTE($G204,"-",""))),"-"," ",LEN($G204)-LEN(SUBSTITUTE($G204,"-",""))-1),"."," ",(LEN(SUBSTITUTE(SUBSTITUTE($G204,"-"," ",LEN($G204)-LEN(SUBSTITUTE($G204,"-",""))),"-"," ",LEN($G204)-LEN(SUBSTITUTE($G204,"-",""))-1))-LEN(SUBSTITUTE(SUBSTITUTE(SUBSTITUTE($G204,"-"," ",LEN($G204)-LEN(SUBSTITUTE($G204,"-",""))),"-"," ",LEN($G204)-LEN(SUBSTITUTE($G204,"-",""))-1),".",""))))),$G204)))</f>
        <v/>
      </c>
    </row>
    <row r="205">
      <c r="A205" s="58" t="n"/>
      <c r="B205" s="58">
        <f>IF($H205="","",LEFT($H205,FIND(" ",$H205&amp;" ")-1))</f>
        <v/>
      </c>
      <c r="C205" s="58">
        <f>IF($H205="","",IFERROR(MID($H205&amp;" ",FIND("|",SUBSTITUTE($H205&amp;" "," ","|",1))+1,FIND("|",SUBSTITUTE($H205&amp;" "," ","|",2))-FIND("|",SUBSTITUTE($H205&amp;" "," ","|",1))-1),""))</f>
        <v/>
      </c>
      <c r="D205" s="58">
        <f>IF($H205="","",IFERROR(MID($H205&amp;" ",FIND("|",SUBSTITUTE($H205&amp;" "," ","|",2))+1,FIND("|",SUBSTITUTE($H205&amp;" "," ","|",3))-FIND("|",SUBSTITUTE($H205&amp;" "," ","|",2))-1),""))</f>
        <v/>
      </c>
      <c r="E205" s="58">
        <f>IF($H205="","",IFERROR(MID($H205&amp;" ",FIND("|",SUBSTITUTE($H205&amp;" "," ","|",3))+1,FIND("|",SUBSTITUTE($H205&amp;" "," ","|",4))-FIND("|",SUBSTITUTE($H205&amp;" "," ","|",3))-1),""))</f>
        <v/>
      </c>
      <c r="F205" s="59">
        <f>IF($H205="","",IFERROR(VALUE(IFERROR(MID($H205&amp;" ",FIND("|",SUBSTITUTE($H205&amp;" "," ","|",4))+1,FIND("|",SUBSTITUTE($H205&amp;" "," ","|",5))-FIND("|",SUBSTITUTE($H205&amp;" "," ","|",4))-1),""))/86400+25569+9/24,""))</f>
        <v/>
      </c>
      <c r="G205" s="58">
        <f>TRIM(SUBSTITUTE(SUBSTITUTE(SUBSTITUTE($A205,CHAR(9)," ")," "," "),CHAR(13),""))</f>
        <v/>
      </c>
      <c r="H205" s="58">
        <f>IF($G205="","",IF(ISNUMBER(FIND(" ",$G205)),$G205,IFERROR(IF((LEN(SUBSTITUTE(SUBSTITUTE($G205,"-"," ",LEN($G205)-LEN(SUBSTITUTE($G205,"-",""))),"-"," ",LEN($G205)-LEN(SUBSTITUTE($G205,"-",""))-1))-LEN(SUBSTITUTE(SUBSTITUTE(SUBSTITUTE($G205,"-"," ",LEN($G205)-LEN(SUBSTITUTE($G205,"-",""))),"-"," ",LEN($G205)-LEN(SUBSTITUTE($G205,"-",""))-1),".","")))=0,SUBSTITUTE(SUBSTITUTE($G205,"-"," ",LEN($G205)-LEN(SUBSTITUTE($G205,"-",""))),"-"," ",LEN($G205)-LEN(SUBSTITUTE($G205,"-",""))-1),SUBSTITUTE(SUBSTITUTE(SUBSTITUTE($G205,"-"," ",LEN($G205)-LEN(SUBSTITUTE($G205,"-",""))),"-"," ",LEN($G205)-LEN(SUBSTITUTE($G205,"-",""))-1),"."," ",(LEN(SUBSTITUTE(SUBSTITUTE($G205,"-"," ",LEN($G205)-LEN(SUBSTITUTE($G205,"-",""))),"-"," ",LEN($G205)-LEN(SUBSTITUTE($G205,"-",""))-1))-LEN(SUBSTITUTE(SUBSTITUTE(SUBSTITUTE($G205,"-"," ",LEN($G205)-LEN(SUBSTITUTE($G205,"-",""))),"-"," ",LEN($G205)-LEN(SUBSTITUTE($G205,"-",""))-1),".",""))))),$G205)))</f>
        <v/>
      </c>
    </row>
    <row r="206">
      <c r="A206" s="58" t="n"/>
      <c r="B206" s="58">
        <f>IF($H206="","",LEFT($H206,FIND(" ",$H206&amp;" ")-1))</f>
        <v/>
      </c>
      <c r="C206" s="58">
        <f>IF($H206="","",IFERROR(MID($H206&amp;" ",FIND("|",SUBSTITUTE($H206&amp;" "," ","|",1))+1,FIND("|",SUBSTITUTE($H206&amp;" "," ","|",2))-FIND("|",SUBSTITUTE($H206&amp;" "," ","|",1))-1),""))</f>
        <v/>
      </c>
      <c r="D206" s="58">
        <f>IF($H206="","",IFERROR(MID($H206&amp;" ",FIND("|",SUBSTITUTE($H206&amp;" "," ","|",2))+1,FIND("|",SUBSTITUTE($H206&amp;" "," ","|",3))-FIND("|",SUBSTITUTE($H206&amp;" "," ","|",2))-1),""))</f>
        <v/>
      </c>
      <c r="E206" s="58">
        <f>IF($H206="","",IFERROR(MID($H206&amp;" ",FIND("|",SUBSTITUTE($H206&amp;" "," ","|",3))+1,FIND("|",SUBSTITUTE($H206&amp;" "," ","|",4))-FIND("|",SUBSTITUTE($H206&amp;" "," ","|",3))-1),""))</f>
        <v/>
      </c>
      <c r="F206" s="59">
        <f>IF($H206="","",IFERROR(VALUE(IFERROR(MID($H206&amp;" ",FIND("|",SUBSTITUTE($H206&amp;" "," ","|",4))+1,FIND("|",SUBSTITUTE($H206&amp;" "," ","|",5))-FIND("|",SUBSTITUTE($H206&amp;" "," ","|",4))-1),""))/86400+25569+9/24,""))</f>
        <v/>
      </c>
      <c r="G206" s="58">
        <f>TRIM(SUBSTITUTE(SUBSTITUTE(SUBSTITUTE($A206,CHAR(9)," ")," "," "),CHAR(13),""))</f>
        <v/>
      </c>
      <c r="H206" s="58">
        <f>IF($G206="","",IF(ISNUMBER(FIND(" ",$G206)),$G206,IFERROR(IF((LEN(SUBSTITUTE(SUBSTITUTE($G206,"-"," ",LEN($G206)-LEN(SUBSTITUTE($G206,"-",""))),"-"," ",LEN($G206)-LEN(SUBSTITUTE($G206,"-",""))-1))-LEN(SUBSTITUTE(SUBSTITUTE(SUBSTITUTE($G206,"-"," ",LEN($G206)-LEN(SUBSTITUTE($G206,"-",""))),"-"," ",LEN($G206)-LEN(SUBSTITUTE($G206,"-",""))-1),".","")))=0,SUBSTITUTE(SUBSTITUTE($G206,"-"," ",LEN($G206)-LEN(SUBSTITUTE($G206,"-",""))),"-"," ",LEN($G206)-LEN(SUBSTITUTE($G206,"-",""))-1),SUBSTITUTE(SUBSTITUTE(SUBSTITUTE($G206,"-"," ",LEN($G206)-LEN(SUBSTITUTE($G206,"-",""))),"-"," ",LEN($G206)-LEN(SUBSTITUTE($G206,"-",""))-1),"."," ",(LEN(SUBSTITUTE(SUBSTITUTE($G206,"-"," ",LEN($G206)-LEN(SUBSTITUTE($G206,"-",""))),"-"," ",LEN($G206)-LEN(SUBSTITUTE($G206,"-",""))-1))-LEN(SUBSTITUTE(SUBSTITUTE(SUBSTITUTE($G206,"-"," ",LEN($G206)-LEN(SUBSTITUTE($G206,"-",""))),"-"," ",LEN($G206)-LEN(SUBSTITUTE($G206,"-",""))-1),".",""))))),$G206)))</f>
        <v/>
      </c>
    </row>
    <row r="207">
      <c r="A207" s="58" t="n"/>
      <c r="B207" s="58">
        <f>IF($H207="","",LEFT($H207,FIND(" ",$H207&amp;" ")-1))</f>
        <v/>
      </c>
      <c r="C207" s="58">
        <f>IF($H207="","",IFERROR(MID($H207&amp;" ",FIND("|",SUBSTITUTE($H207&amp;" "," ","|",1))+1,FIND("|",SUBSTITUTE($H207&amp;" "," ","|",2))-FIND("|",SUBSTITUTE($H207&amp;" "," ","|",1))-1),""))</f>
        <v/>
      </c>
      <c r="D207" s="58">
        <f>IF($H207="","",IFERROR(MID($H207&amp;" ",FIND("|",SUBSTITUTE($H207&amp;" "," ","|",2))+1,FIND("|",SUBSTITUTE($H207&amp;" "," ","|",3))-FIND("|",SUBSTITUTE($H207&amp;" "," ","|",2))-1),""))</f>
        <v/>
      </c>
      <c r="E207" s="58">
        <f>IF($H207="","",IFERROR(MID($H207&amp;" ",FIND("|",SUBSTITUTE($H207&amp;" "," ","|",3))+1,FIND("|",SUBSTITUTE($H207&amp;" "," ","|",4))-FIND("|",SUBSTITUTE($H207&amp;" "," ","|",3))-1),""))</f>
        <v/>
      </c>
      <c r="F207" s="59">
        <f>IF($H207="","",IFERROR(VALUE(IFERROR(MID($H207&amp;" ",FIND("|",SUBSTITUTE($H207&amp;" "," ","|",4))+1,FIND("|",SUBSTITUTE($H207&amp;" "," ","|",5))-FIND("|",SUBSTITUTE($H207&amp;" "," ","|",4))-1),""))/86400+25569+9/24,""))</f>
        <v/>
      </c>
      <c r="G207" s="58">
        <f>TRIM(SUBSTITUTE(SUBSTITUTE(SUBSTITUTE($A207,CHAR(9)," ")," "," "),CHAR(13),""))</f>
        <v/>
      </c>
      <c r="H207" s="58">
        <f>IF($G207="","",IF(ISNUMBER(FIND(" ",$G207)),$G207,IFERROR(IF((LEN(SUBSTITUTE(SUBSTITUTE($G207,"-"," ",LEN($G207)-LEN(SUBSTITUTE($G207,"-",""))),"-"," ",LEN($G207)-LEN(SUBSTITUTE($G207,"-",""))-1))-LEN(SUBSTITUTE(SUBSTITUTE(SUBSTITUTE($G207,"-"," ",LEN($G207)-LEN(SUBSTITUTE($G207,"-",""))),"-"," ",LEN($G207)-LEN(SUBSTITUTE($G207,"-",""))-1),".","")))=0,SUBSTITUTE(SUBSTITUTE($G207,"-"," ",LEN($G207)-LEN(SUBSTITUTE($G207,"-",""))),"-"," ",LEN($G207)-LEN(SUBSTITUTE($G207,"-",""))-1),SUBSTITUTE(SUBSTITUTE(SUBSTITUTE($G207,"-"," ",LEN($G207)-LEN(SUBSTITUTE($G207,"-",""))),"-"," ",LEN($G207)-LEN(SUBSTITUTE($G207,"-",""))-1),"."," ",(LEN(SUBSTITUTE(SUBSTITUTE($G207,"-"," ",LEN($G207)-LEN(SUBSTITUTE($G207,"-",""))),"-"," ",LEN($G207)-LEN(SUBSTITUTE($G207,"-",""))-1))-LEN(SUBSTITUTE(SUBSTITUTE(SUBSTITUTE($G207,"-"," ",LEN($G207)-LEN(SUBSTITUTE($G207,"-",""))),"-"," ",LEN($G207)-LEN(SUBSTITUTE($G207,"-",""))-1),".",""))))),$G207)))</f>
        <v/>
      </c>
    </row>
    <row r="208">
      <c r="A208" s="58" t="n"/>
      <c r="B208" s="58">
        <f>IF($H208="","",LEFT($H208,FIND(" ",$H208&amp;" ")-1))</f>
        <v/>
      </c>
      <c r="C208" s="58">
        <f>IF($H208="","",IFERROR(MID($H208&amp;" ",FIND("|",SUBSTITUTE($H208&amp;" "," ","|",1))+1,FIND("|",SUBSTITUTE($H208&amp;" "," ","|",2))-FIND("|",SUBSTITUTE($H208&amp;" "," ","|",1))-1),""))</f>
        <v/>
      </c>
      <c r="D208" s="58">
        <f>IF($H208="","",IFERROR(MID($H208&amp;" ",FIND("|",SUBSTITUTE($H208&amp;" "," ","|",2))+1,FIND("|",SUBSTITUTE($H208&amp;" "," ","|",3))-FIND("|",SUBSTITUTE($H208&amp;" "," ","|",2))-1),""))</f>
        <v/>
      </c>
      <c r="E208" s="58">
        <f>IF($H208="","",IFERROR(MID($H208&amp;" ",FIND("|",SUBSTITUTE($H208&amp;" "," ","|",3))+1,FIND("|",SUBSTITUTE($H208&amp;" "," ","|",4))-FIND("|",SUBSTITUTE($H208&amp;" "," ","|",3))-1),""))</f>
        <v/>
      </c>
      <c r="F208" s="59">
        <f>IF($H208="","",IFERROR(VALUE(IFERROR(MID($H208&amp;" ",FIND("|",SUBSTITUTE($H208&amp;" "," ","|",4))+1,FIND("|",SUBSTITUTE($H208&amp;" "," ","|",5))-FIND("|",SUBSTITUTE($H208&amp;" "," ","|",4))-1),""))/86400+25569+9/24,""))</f>
        <v/>
      </c>
      <c r="G208" s="58">
        <f>TRIM(SUBSTITUTE(SUBSTITUTE(SUBSTITUTE($A208,CHAR(9)," ")," "," "),CHAR(13),""))</f>
        <v/>
      </c>
      <c r="H208" s="58">
        <f>IF($G208="","",IF(ISNUMBER(FIND(" ",$G208)),$G208,IFERROR(IF((LEN(SUBSTITUTE(SUBSTITUTE($G208,"-"," ",LEN($G208)-LEN(SUBSTITUTE($G208,"-",""))),"-"," ",LEN($G208)-LEN(SUBSTITUTE($G208,"-",""))-1))-LEN(SUBSTITUTE(SUBSTITUTE(SUBSTITUTE($G208,"-"," ",LEN($G208)-LEN(SUBSTITUTE($G208,"-",""))),"-"," ",LEN($G208)-LEN(SUBSTITUTE($G208,"-",""))-1),".","")))=0,SUBSTITUTE(SUBSTITUTE($G208,"-"," ",LEN($G208)-LEN(SUBSTITUTE($G208,"-",""))),"-"," ",LEN($G208)-LEN(SUBSTITUTE($G208,"-",""))-1),SUBSTITUTE(SUBSTITUTE(SUBSTITUTE($G208,"-"," ",LEN($G208)-LEN(SUBSTITUTE($G208,"-",""))),"-"," ",LEN($G208)-LEN(SUBSTITUTE($G208,"-",""))-1),"."," ",(LEN(SUBSTITUTE(SUBSTITUTE($G208,"-"," ",LEN($G208)-LEN(SUBSTITUTE($G208,"-",""))),"-"," ",LEN($G208)-LEN(SUBSTITUTE($G208,"-",""))-1))-LEN(SUBSTITUTE(SUBSTITUTE(SUBSTITUTE($G208,"-"," ",LEN($G208)-LEN(SUBSTITUTE($G208,"-",""))),"-"," ",LEN($G208)-LEN(SUBSTITUTE($G208,"-",""))-1),".",""))))),$G208)))</f>
        <v/>
      </c>
    </row>
    <row r="209">
      <c r="A209" s="58" t="n"/>
      <c r="B209" s="58">
        <f>IF($H209="","",LEFT($H209,FIND(" ",$H209&amp;" ")-1))</f>
        <v/>
      </c>
      <c r="C209" s="58">
        <f>IF($H209="","",IFERROR(MID($H209&amp;" ",FIND("|",SUBSTITUTE($H209&amp;" "," ","|",1))+1,FIND("|",SUBSTITUTE($H209&amp;" "," ","|",2))-FIND("|",SUBSTITUTE($H209&amp;" "," ","|",1))-1),""))</f>
        <v/>
      </c>
      <c r="D209" s="58">
        <f>IF($H209="","",IFERROR(MID($H209&amp;" ",FIND("|",SUBSTITUTE($H209&amp;" "," ","|",2))+1,FIND("|",SUBSTITUTE($H209&amp;" "," ","|",3))-FIND("|",SUBSTITUTE($H209&amp;" "," ","|",2))-1),""))</f>
        <v/>
      </c>
      <c r="E209" s="58">
        <f>IF($H209="","",IFERROR(MID($H209&amp;" ",FIND("|",SUBSTITUTE($H209&amp;" "," ","|",3))+1,FIND("|",SUBSTITUTE($H209&amp;" "," ","|",4))-FIND("|",SUBSTITUTE($H209&amp;" "," ","|",3))-1),""))</f>
        <v/>
      </c>
      <c r="F209" s="59">
        <f>IF($H209="","",IFERROR(VALUE(IFERROR(MID($H209&amp;" ",FIND("|",SUBSTITUTE($H209&amp;" "," ","|",4))+1,FIND("|",SUBSTITUTE($H209&amp;" "," ","|",5))-FIND("|",SUBSTITUTE($H209&amp;" "," ","|",4))-1),""))/86400+25569+9/24,""))</f>
        <v/>
      </c>
      <c r="G209" s="58">
        <f>TRIM(SUBSTITUTE(SUBSTITUTE(SUBSTITUTE($A209,CHAR(9)," ")," "," "),CHAR(13),""))</f>
        <v/>
      </c>
      <c r="H209" s="58">
        <f>IF($G209="","",IF(ISNUMBER(FIND(" ",$G209)),$G209,IFERROR(IF((LEN(SUBSTITUTE(SUBSTITUTE($G209,"-"," ",LEN($G209)-LEN(SUBSTITUTE($G209,"-",""))),"-"," ",LEN($G209)-LEN(SUBSTITUTE($G209,"-",""))-1))-LEN(SUBSTITUTE(SUBSTITUTE(SUBSTITUTE($G209,"-"," ",LEN($G209)-LEN(SUBSTITUTE($G209,"-",""))),"-"," ",LEN($G209)-LEN(SUBSTITUTE($G209,"-",""))-1),".","")))=0,SUBSTITUTE(SUBSTITUTE($G209,"-"," ",LEN($G209)-LEN(SUBSTITUTE($G209,"-",""))),"-"," ",LEN($G209)-LEN(SUBSTITUTE($G209,"-",""))-1),SUBSTITUTE(SUBSTITUTE(SUBSTITUTE($G209,"-"," ",LEN($G209)-LEN(SUBSTITUTE($G209,"-",""))),"-"," ",LEN($G209)-LEN(SUBSTITUTE($G209,"-",""))-1),"."," ",(LEN(SUBSTITUTE(SUBSTITUTE($G209,"-"," ",LEN($G209)-LEN(SUBSTITUTE($G209,"-",""))),"-"," ",LEN($G209)-LEN(SUBSTITUTE($G209,"-",""))-1))-LEN(SUBSTITUTE(SUBSTITUTE(SUBSTITUTE($G209,"-"," ",LEN($G209)-LEN(SUBSTITUTE($G209,"-",""))),"-"," ",LEN($G209)-LEN(SUBSTITUTE($G209,"-",""))-1),".",""))))),$G209)))</f>
        <v/>
      </c>
    </row>
    <row r="210">
      <c r="A210" s="58" t="n"/>
      <c r="B210" s="58">
        <f>IF($H210="","",LEFT($H210,FIND(" ",$H210&amp;" ")-1))</f>
        <v/>
      </c>
      <c r="C210" s="58">
        <f>IF($H210="","",IFERROR(MID($H210&amp;" ",FIND("|",SUBSTITUTE($H210&amp;" "," ","|",1))+1,FIND("|",SUBSTITUTE($H210&amp;" "," ","|",2))-FIND("|",SUBSTITUTE($H210&amp;" "," ","|",1))-1),""))</f>
        <v/>
      </c>
      <c r="D210" s="58">
        <f>IF($H210="","",IFERROR(MID($H210&amp;" ",FIND("|",SUBSTITUTE($H210&amp;" "," ","|",2))+1,FIND("|",SUBSTITUTE($H210&amp;" "," ","|",3))-FIND("|",SUBSTITUTE($H210&amp;" "," ","|",2))-1),""))</f>
        <v/>
      </c>
      <c r="E210" s="58">
        <f>IF($H210="","",IFERROR(MID($H210&amp;" ",FIND("|",SUBSTITUTE($H210&amp;" "," ","|",3))+1,FIND("|",SUBSTITUTE($H210&amp;" "," ","|",4))-FIND("|",SUBSTITUTE($H210&amp;" "," ","|",3))-1),""))</f>
        <v/>
      </c>
      <c r="F210" s="59">
        <f>IF($H210="","",IFERROR(VALUE(IFERROR(MID($H210&amp;" ",FIND("|",SUBSTITUTE($H210&amp;" "," ","|",4))+1,FIND("|",SUBSTITUTE($H210&amp;" "," ","|",5))-FIND("|",SUBSTITUTE($H210&amp;" "," ","|",4))-1),""))/86400+25569+9/24,""))</f>
        <v/>
      </c>
      <c r="G210" s="58">
        <f>TRIM(SUBSTITUTE(SUBSTITUTE(SUBSTITUTE($A210,CHAR(9)," ")," "," "),CHAR(13),""))</f>
        <v/>
      </c>
      <c r="H210" s="58">
        <f>IF($G210="","",IF(ISNUMBER(FIND(" ",$G210)),$G210,IFERROR(IF((LEN(SUBSTITUTE(SUBSTITUTE($G210,"-"," ",LEN($G210)-LEN(SUBSTITUTE($G210,"-",""))),"-"," ",LEN($G210)-LEN(SUBSTITUTE($G210,"-",""))-1))-LEN(SUBSTITUTE(SUBSTITUTE(SUBSTITUTE($G210,"-"," ",LEN($G210)-LEN(SUBSTITUTE($G210,"-",""))),"-"," ",LEN($G210)-LEN(SUBSTITUTE($G210,"-",""))-1),".","")))=0,SUBSTITUTE(SUBSTITUTE($G210,"-"," ",LEN($G210)-LEN(SUBSTITUTE($G210,"-",""))),"-"," ",LEN($G210)-LEN(SUBSTITUTE($G210,"-",""))-1),SUBSTITUTE(SUBSTITUTE(SUBSTITUTE($G210,"-"," ",LEN($G210)-LEN(SUBSTITUTE($G210,"-",""))),"-"," ",LEN($G210)-LEN(SUBSTITUTE($G210,"-",""))-1),"."," ",(LEN(SUBSTITUTE(SUBSTITUTE($G210,"-"," ",LEN($G210)-LEN(SUBSTITUTE($G210,"-",""))),"-"," ",LEN($G210)-LEN(SUBSTITUTE($G210,"-",""))-1))-LEN(SUBSTITUTE(SUBSTITUTE(SUBSTITUTE($G210,"-"," ",LEN($G210)-LEN(SUBSTITUTE($G210,"-",""))),"-"," ",LEN($G210)-LEN(SUBSTITUTE($G210,"-",""))-1),".",""))))),$G210)))</f>
        <v/>
      </c>
    </row>
    <row r="211">
      <c r="A211" s="58" t="n"/>
      <c r="B211" s="58">
        <f>IF($H211="","",LEFT($H211,FIND(" ",$H211&amp;" ")-1))</f>
        <v/>
      </c>
      <c r="C211" s="58">
        <f>IF($H211="","",IFERROR(MID($H211&amp;" ",FIND("|",SUBSTITUTE($H211&amp;" "," ","|",1))+1,FIND("|",SUBSTITUTE($H211&amp;" "," ","|",2))-FIND("|",SUBSTITUTE($H211&amp;" "," ","|",1))-1),""))</f>
        <v/>
      </c>
      <c r="D211" s="58">
        <f>IF($H211="","",IFERROR(MID($H211&amp;" ",FIND("|",SUBSTITUTE($H211&amp;" "," ","|",2))+1,FIND("|",SUBSTITUTE($H211&amp;" "," ","|",3))-FIND("|",SUBSTITUTE($H211&amp;" "," ","|",2))-1),""))</f>
        <v/>
      </c>
      <c r="E211" s="58">
        <f>IF($H211="","",IFERROR(MID($H211&amp;" ",FIND("|",SUBSTITUTE($H211&amp;" "," ","|",3))+1,FIND("|",SUBSTITUTE($H211&amp;" "," ","|",4))-FIND("|",SUBSTITUTE($H211&amp;" "," ","|",3))-1),""))</f>
        <v/>
      </c>
      <c r="F211" s="59">
        <f>IF($H211="","",IFERROR(VALUE(IFERROR(MID($H211&amp;" ",FIND("|",SUBSTITUTE($H211&amp;" "," ","|",4))+1,FIND("|",SUBSTITUTE($H211&amp;" "," ","|",5))-FIND("|",SUBSTITUTE($H211&amp;" "," ","|",4))-1),""))/86400+25569+9/24,""))</f>
        <v/>
      </c>
      <c r="G211" s="58">
        <f>TRIM(SUBSTITUTE(SUBSTITUTE(SUBSTITUTE($A211,CHAR(9)," ")," "," "),CHAR(13),""))</f>
        <v/>
      </c>
      <c r="H211" s="58">
        <f>IF($G211="","",IF(ISNUMBER(FIND(" ",$G211)),$G211,IFERROR(IF((LEN(SUBSTITUTE(SUBSTITUTE($G211,"-"," ",LEN($G211)-LEN(SUBSTITUTE($G211,"-",""))),"-"," ",LEN($G211)-LEN(SUBSTITUTE($G211,"-",""))-1))-LEN(SUBSTITUTE(SUBSTITUTE(SUBSTITUTE($G211,"-"," ",LEN($G211)-LEN(SUBSTITUTE($G211,"-",""))),"-"," ",LEN($G211)-LEN(SUBSTITUTE($G211,"-",""))-1),".","")))=0,SUBSTITUTE(SUBSTITUTE($G211,"-"," ",LEN($G211)-LEN(SUBSTITUTE($G211,"-",""))),"-"," ",LEN($G211)-LEN(SUBSTITUTE($G211,"-",""))-1),SUBSTITUTE(SUBSTITUTE(SUBSTITUTE($G211,"-"," ",LEN($G211)-LEN(SUBSTITUTE($G211,"-",""))),"-"," ",LEN($G211)-LEN(SUBSTITUTE($G211,"-",""))-1),"."," ",(LEN(SUBSTITUTE(SUBSTITUTE($G211,"-"," ",LEN($G211)-LEN(SUBSTITUTE($G211,"-",""))),"-"," ",LEN($G211)-LEN(SUBSTITUTE($G211,"-",""))-1))-LEN(SUBSTITUTE(SUBSTITUTE(SUBSTITUTE($G211,"-"," ",LEN($G211)-LEN(SUBSTITUTE($G211,"-",""))),"-"," ",LEN($G211)-LEN(SUBSTITUTE($G211,"-",""))-1),".",""))))),$G211)))</f>
        <v/>
      </c>
    </row>
    <row r="212">
      <c r="A212" s="58" t="n"/>
      <c r="B212" s="58">
        <f>IF($H212="","",LEFT($H212,FIND(" ",$H212&amp;" ")-1))</f>
        <v/>
      </c>
      <c r="C212" s="58">
        <f>IF($H212="","",IFERROR(MID($H212&amp;" ",FIND("|",SUBSTITUTE($H212&amp;" "," ","|",1))+1,FIND("|",SUBSTITUTE($H212&amp;" "," ","|",2))-FIND("|",SUBSTITUTE($H212&amp;" "," ","|",1))-1),""))</f>
        <v/>
      </c>
      <c r="D212" s="58">
        <f>IF($H212="","",IFERROR(MID($H212&amp;" ",FIND("|",SUBSTITUTE($H212&amp;" "," ","|",2))+1,FIND("|",SUBSTITUTE($H212&amp;" "," ","|",3))-FIND("|",SUBSTITUTE($H212&amp;" "," ","|",2))-1),""))</f>
        <v/>
      </c>
      <c r="E212" s="58">
        <f>IF($H212="","",IFERROR(MID($H212&amp;" ",FIND("|",SUBSTITUTE($H212&amp;" "," ","|",3))+1,FIND("|",SUBSTITUTE($H212&amp;" "," ","|",4))-FIND("|",SUBSTITUTE($H212&amp;" "," ","|",3))-1),""))</f>
        <v/>
      </c>
      <c r="F212" s="59">
        <f>IF($H212="","",IFERROR(VALUE(IFERROR(MID($H212&amp;" ",FIND("|",SUBSTITUTE($H212&amp;" "," ","|",4))+1,FIND("|",SUBSTITUTE($H212&amp;" "," ","|",5))-FIND("|",SUBSTITUTE($H212&amp;" "," ","|",4))-1),""))/86400+25569+9/24,""))</f>
        <v/>
      </c>
      <c r="G212" s="58">
        <f>TRIM(SUBSTITUTE(SUBSTITUTE(SUBSTITUTE($A212,CHAR(9)," ")," "," "),CHAR(13),""))</f>
        <v/>
      </c>
      <c r="H212" s="58">
        <f>IF($G212="","",IF(ISNUMBER(FIND(" ",$G212)),$G212,IFERROR(IF((LEN(SUBSTITUTE(SUBSTITUTE($G212,"-"," ",LEN($G212)-LEN(SUBSTITUTE($G212,"-",""))),"-"," ",LEN($G212)-LEN(SUBSTITUTE($G212,"-",""))-1))-LEN(SUBSTITUTE(SUBSTITUTE(SUBSTITUTE($G212,"-"," ",LEN($G212)-LEN(SUBSTITUTE($G212,"-",""))),"-"," ",LEN($G212)-LEN(SUBSTITUTE($G212,"-",""))-1),".","")))=0,SUBSTITUTE(SUBSTITUTE($G212,"-"," ",LEN($G212)-LEN(SUBSTITUTE($G212,"-",""))),"-"," ",LEN($G212)-LEN(SUBSTITUTE($G212,"-",""))-1),SUBSTITUTE(SUBSTITUTE(SUBSTITUTE($G212,"-"," ",LEN($G212)-LEN(SUBSTITUTE($G212,"-",""))),"-"," ",LEN($G212)-LEN(SUBSTITUTE($G212,"-",""))-1),"."," ",(LEN(SUBSTITUTE(SUBSTITUTE($G212,"-"," ",LEN($G212)-LEN(SUBSTITUTE($G212,"-",""))),"-"," ",LEN($G212)-LEN(SUBSTITUTE($G212,"-",""))-1))-LEN(SUBSTITUTE(SUBSTITUTE(SUBSTITUTE($G212,"-"," ",LEN($G212)-LEN(SUBSTITUTE($G212,"-",""))),"-"," ",LEN($G212)-LEN(SUBSTITUTE($G212,"-",""))-1),".",""))))),$G212)))</f>
        <v/>
      </c>
    </row>
    <row r="213">
      <c r="A213" s="58" t="n"/>
      <c r="B213" s="58">
        <f>IF($H213="","",LEFT($H213,FIND(" ",$H213&amp;" ")-1))</f>
        <v/>
      </c>
      <c r="C213" s="58">
        <f>IF($H213="","",IFERROR(MID($H213&amp;" ",FIND("|",SUBSTITUTE($H213&amp;" "," ","|",1))+1,FIND("|",SUBSTITUTE($H213&amp;" "," ","|",2))-FIND("|",SUBSTITUTE($H213&amp;" "," ","|",1))-1),""))</f>
        <v/>
      </c>
      <c r="D213" s="58">
        <f>IF($H213="","",IFERROR(MID($H213&amp;" ",FIND("|",SUBSTITUTE($H213&amp;" "," ","|",2))+1,FIND("|",SUBSTITUTE($H213&amp;" "," ","|",3))-FIND("|",SUBSTITUTE($H213&amp;" "," ","|",2))-1),""))</f>
        <v/>
      </c>
      <c r="E213" s="58">
        <f>IF($H213="","",IFERROR(MID($H213&amp;" ",FIND("|",SUBSTITUTE($H213&amp;" "," ","|",3))+1,FIND("|",SUBSTITUTE($H213&amp;" "," ","|",4))-FIND("|",SUBSTITUTE($H213&amp;" "," ","|",3))-1),""))</f>
        <v/>
      </c>
      <c r="F213" s="59">
        <f>IF($H213="","",IFERROR(VALUE(IFERROR(MID($H213&amp;" ",FIND("|",SUBSTITUTE($H213&amp;" "," ","|",4))+1,FIND("|",SUBSTITUTE($H213&amp;" "," ","|",5))-FIND("|",SUBSTITUTE($H213&amp;" "," ","|",4))-1),""))/86400+25569+9/24,""))</f>
        <v/>
      </c>
      <c r="G213" s="58">
        <f>TRIM(SUBSTITUTE(SUBSTITUTE(SUBSTITUTE($A213,CHAR(9)," ")," "," "),CHAR(13),""))</f>
        <v/>
      </c>
      <c r="H213" s="58">
        <f>IF($G213="","",IF(ISNUMBER(FIND(" ",$G213)),$G213,IFERROR(IF((LEN(SUBSTITUTE(SUBSTITUTE($G213,"-"," ",LEN($G213)-LEN(SUBSTITUTE($G213,"-",""))),"-"," ",LEN($G213)-LEN(SUBSTITUTE($G213,"-",""))-1))-LEN(SUBSTITUTE(SUBSTITUTE(SUBSTITUTE($G213,"-"," ",LEN($G213)-LEN(SUBSTITUTE($G213,"-",""))),"-"," ",LEN($G213)-LEN(SUBSTITUTE($G213,"-",""))-1),".","")))=0,SUBSTITUTE(SUBSTITUTE($G213,"-"," ",LEN($G213)-LEN(SUBSTITUTE($G213,"-",""))),"-"," ",LEN($G213)-LEN(SUBSTITUTE($G213,"-",""))-1),SUBSTITUTE(SUBSTITUTE(SUBSTITUTE($G213,"-"," ",LEN($G213)-LEN(SUBSTITUTE($G213,"-",""))),"-"," ",LEN($G213)-LEN(SUBSTITUTE($G213,"-",""))-1),"."," ",(LEN(SUBSTITUTE(SUBSTITUTE($G213,"-"," ",LEN($G213)-LEN(SUBSTITUTE($G213,"-",""))),"-"," ",LEN($G213)-LEN(SUBSTITUTE($G213,"-",""))-1))-LEN(SUBSTITUTE(SUBSTITUTE(SUBSTITUTE($G213,"-"," ",LEN($G213)-LEN(SUBSTITUTE($G213,"-",""))),"-"," ",LEN($G213)-LEN(SUBSTITUTE($G213,"-",""))-1),".",""))))),$G213)))</f>
        <v/>
      </c>
    </row>
    <row r="214">
      <c r="A214" s="58" t="n"/>
      <c r="B214" s="58">
        <f>IF($H214="","",LEFT($H214,FIND(" ",$H214&amp;" ")-1))</f>
        <v/>
      </c>
      <c r="C214" s="58">
        <f>IF($H214="","",IFERROR(MID($H214&amp;" ",FIND("|",SUBSTITUTE($H214&amp;" "," ","|",1))+1,FIND("|",SUBSTITUTE($H214&amp;" "," ","|",2))-FIND("|",SUBSTITUTE($H214&amp;" "," ","|",1))-1),""))</f>
        <v/>
      </c>
      <c r="D214" s="58">
        <f>IF($H214="","",IFERROR(MID($H214&amp;" ",FIND("|",SUBSTITUTE($H214&amp;" "," ","|",2))+1,FIND("|",SUBSTITUTE($H214&amp;" "," ","|",3))-FIND("|",SUBSTITUTE($H214&amp;" "," ","|",2))-1),""))</f>
        <v/>
      </c>
      <c r="E214" s="58">
        <f>IF($H214="","",IFERROR(MID($H214&amp;" ",FIND("|",SUBSTITUTE($H214&amp;" "," ","|",3))+1,FIND("|",SUBSTITUTE($H214&amp;" "," ","|",4))-FIND("|",SUBSTITUTE($H214&amp;" "," ","|",3))-1),""))</f>
        <v/>
      </c>
      <c r="F214" s="59">
        <f>IF($H214="","",IFERROR(VALUE(IFERROR(MID($H214&amp;" ",FIND("|",SUBSTITUTE($H214&amp;" "," ","|",4))+1,FIND("|",SUBSTITUTE($H214&amp;" "," ","|",5))-FIND("|",SUBSTITUTE($H214&amp;" "," ","|",4))-1),""))/86400+25569+9/24,""))</f>
        <v/>
      </c>
      <c r="G214" s="58">
        <f>TRIM(SUBSTITUTE(SUBSTITUTE(SUBSTITUTE($A214,CHAR(9)," ")," "," "),CHAR(13),""))</f>
        <v/>
      </c>
      <c r="H214" s="58">
        <f>IF($G214="","",IF(ISNUMBER(FIND(" ",$G214)),$G214,IFERROR(IF((LEN(SUBSTITUTE(SUBSTITUTE($G214,"-"," ",LEN($G214)-LEN(SUBSTITUTE($G214,"-",""))),"-"," ",LEN($G214)-LEN(SUBSTITUTE($G214,"-",""))-1))-LEN(SUBSTITUTE(SUBSTITUTE(SUBSTITUTE($G214,"-"," ",LEN($G214)-LEN(SUBSTITUTE($G214,"-",""))),"-"," ",LEN($G214)-LEN(SUBSTITUTE($G214,"-",""))-1),".","")))=0,SUBSTITUTE(SUBSTITUTE($G214,"-"," ",LEN($G214)-LEN(SUBSTITUTE($G214,"-",""))),"-"," ",LEN($G214)-LEN(SUBSTITUTE($G214,"-",""))-1),SUBSTITUTE(SUBSTITUTE(SUBSTITUTE($G214,"-"," ",LEN($G214)-LEN(SUBSTITUTE($G214,"-",""))),"-"," ",LEN($G214)-LEN(SUBSTITUTE($G214,"-",""))-1),"."," ",(LEN(SUBSTITUTE(SUBSTITUTE($G214,"-"," ",LEN($G214)-LEN(SUBSTITUTE($G214,"-",""))),"-"," ",LEN($G214)-LEN(SUBSTITUTE($G214,"-",""))-1))-LEN(SUBSTITUTE(SUBSTITUTE(SUBSTITUTE($G214,"-"," ",LEN($G214)-LEN(SUBSTITUTE($G214,"-",""))),"-"," ",LEN($G214)-LEN(SUBSTITUTE($G214,"-",""))-1),".",""))))),$G214)))</f>
        <v/>
      </c>
    </row>
    <row r="215">
      <c r="A215" s="58" t="n"/>
      <c r="B215" s="58">
        <f>IF($H215="","",LEFT($H215,FIND(" ",$H215&amp;" ")-1))</f>
        <v/>
      </c>
      <c r="C215" s="58">
        <f>IF($H215="","",IFERROR(MID($H215&amp;" ",FIND("|",SUBSTITUTE($H215&amp;" "," ","|",1))+1,FIND("|",SUBSTITUTE($H215&amp;" "," ","|",2))-FIND("|",SUBSTITUTE($H215&amp;" "," ","|",1))-1),""))</f>
        <v/>
      </c>
      <c r="D215" s="58">
        <f>IF($H215="","",IFERROR(MID($H215&amp;" ",FIND("|",SUBSTITUTE($H215&amp;" "," ","|",2))+1,FIND("|",SUBSTITUTE($H215&amp;" "," ","|",3))-FIND("|",SUBSTITUTE($H215&amp;" "," ","|",2))-1),""))</f>
        <v/>
      </c>
      <c r="E215" s="58">
        <f>IF($H215="","",IFERROR(MID($H215&amp;" ",FIND("|",SUBSTITUTE($H215&amp;" "," ","|",3))+1,FIND("|",SUBSTITUTE($H215&amp;" "," ","|",4))-FIND("|",SUBSTITUTE($H215&amp;" "," ","|",3))-1),""))</f>
        <v/>
      </c>
      <c r="F215" s="59">
        <f>IF($H215="","",IFERROR(VALUE(IFERROR(MID($H215&amp;" ",FIND("|",SUBSTITUTE($H215&amp;" "," ","|",4))+1,FIND("|",SUBSTITUTE($H215&amp;" "," ","|",5))-FIND("|",SUBSTITUTE($H215&amp;" "," ","|",4))-1),""))/86400+25569+9/24,""))</f>
        <v/>
      </c>
      <c r="G215" s="58">
        <f>TRIM(SUBSTITUTE(SUBSTITUTE(SUBSTITUTE($A215,CHAR(9)," ")," "," "),CHAR(13),""))</f>
        <v/>
      </c>
      <c r="H215" s="58">
        <f>IF($G215="","",IF(ISNUMBER(FIND(" ",$G215)),$G215,IFERROR(IF((LEN(SUBSTITUTE(SUBSTITUTE($G215,"-"," ",LEN($G215)-LEN(SUBSTITUTE($G215,"-",""))),"-"," ",LEN($G215)-LEN(SUBSTITUTE($G215,"-",""))-1))-LEN(SUBSTITUTE(SUBSTITUTE(SUBSTITUTE($G215,"-"," ",LEN($G215)-LEN(SUBSTITUTE($G215,"-",""))),"-"," ",LEN($G215)-LEN(SUBSTITUTE($G215,"-",""))-1),".","")))=0,SUBSTITUTE(SUBSTITUTE($G215,"-"," ",LEN($G215)-LEN(SUBSTITUTE($G215,"-",""))),"-"," ",LEN($G215)-LEN(SUBSTITUTE($G215,"-",""))-1),SUBSTITUTE(SUBSTITUTE(SUBSTITUTE($G215,"-"," ",LEN($G215)-LEN(SUBSTITUTE($G215,"-",""))),"-"," ",LEN($G215)-LEN(SUBSTITUTE($G215,"-",""))-1),"."," ",(LEN(SUBSTITUTE(SUBSTITUTE($G215,"-"," ",LEN($G215)-LEN(SUBSTITUTE($G215,"-",""))),"-"," ",LEN($G215)-LEN(SUBSTITUTE($G215,"-",""))-1))-LEN(SUBSTITUTE(SUBSTITUTE(SUBSTITUTE($G215,"-"," ",LEN($G215)-LEN(SUBSTITUTE($G215,"-",""))),"-"," ",LEN($G215)-LEN(SUBSTITUTE($G215,"-",""))-1),".",""))))),$G215)))</f>
        <v/>
      </c>
    </row>
    <row r="216">
      <c r="A216" s="58" t="n"/>
      <c r="B216" s="58">
        <f>IF($H216="","",LEFT($H216,FIND(" ",$H216&amp;" ")-1))</f>
        <v/>
      </c>
      <c r="C216" s="58">
        <f>IF($H216="","",IFERROR(MID($H216&amp;" ",FIND("|",SUBSTITUTE($H216&amp;" "," ","|",1))+1,FIND("|",SUBSTITUTE($H216&amp;" "," ","|",2))-FIND("|",SUBSTITUTE($H216&amp;" "," ","|",1))-1),""))</f>
        <v/>
      </c>
      <c r="D216" s="58">
        <f>IF($H216="","",IFERROR(MID($H216&amp;" ",FIND("|",SUBSTITUTE($H216&amp;" "," ","|",2))+1,FIND("|",SUBSTITUTE($H216&amp;" "," ","|",3))-FIND("|",SUBSTITUTE($H216&amp;" "," ","|",2))-1),""))</f>
        <v/>
      </c>
      <c r="E216" s="58">
        <f>IF($H216="","",IFERROR(MID($H216&amp;" ",FIND("|",SUBSTITUTE($H216&amp;" "," ","|",3))+1,FIND("|",SUBSTITUTE($H216&amp;" "," ","|",4))-FIND("|",SUBSTITUTE($H216&amp;" "," ","|",3))-1),""))</f>
        <v/>
      </c>
      <c r="F216" s="59">
        <f>IF($H216="","",IFERROR(VALUE(IFERROR(MID($H216&amp;" ",FIND("|",SUBSTITUTE($H216&amp;" "," ","|",4))+1,FIND("|",SUBSTITUTE($H216&amp;" "," ","|",5))-FIND("|",SUBSTITUTE($H216&amp;" "," ","|",4))-1),""))/86400+25569+9/24,""))</f>
        <v/>
      </c>
      <c r="G216" s="58">
        <f>TRIM(SUBSTITUTE(SUBSTITUTE(SUBSTITUTE($A216,CHAR(9)," ")," "," "),CHAR(13),""))</f>
        <v/>
      </c>
      <c r="H216" s="58">
        <f>IF($G216="","",IF(ISNUMBER(FIND(" ",$G216)),$G216,IFERROR(IF((LEN(SUBSTITUTE(SUBSTITUTE($G216,"-"," ",LEN($G216)-LEN(SUBSTITUTE($G216,"-",""))),"-"," ",LEN($G216)-LEN(SUBSTITUTE($G216,"-",""))-1))-LEN(SUBSTITUTE(SUBSTITUTE(SUBSTITUTE($G216,"-"," ",LEN($G216)-LEN(SUBSTITUTE($G216,"-",""))),"-"," ",LEN($G216)-LEN(SUBSTITUTE($G216,"-",""))-1),".","")))=0,SUBSTITUTE(SUBSTITUTE($G216,"-"," ",LEN($G216)-LEN(SUBSTITUTE($G216,"-",""))),"-"," ",LEN($G216)-LEN(SUBSTITUTE($G216,"-",""))-1),SUBSTITUTE(SUBSTITUTE(SUBSTITUTE($G216,"-"," ",LEN($G216)-LEN(SUBSTITUTE($G216,"-",""))),"-"," ",LEN($G216)-LEN(SUBSTITUTE($G216,"-",""))-1),"."," ",(LEN(SUBSTITUTE(SUBSTITUTE($G216,"-"," ",LEN($G216)-LEN(SUBSTITUTE($G216,"-",""))),"-"," ",LEN($G216)-LEN(SUBSTITUTE($G216,"-",""))-1))-LEN(SUBSTITUTE(SUBSTITUTE(SUBSTITUTE($G216,"-"," ",LEN($G216)-LEN(SUBSTITUTE($G216,"-",""))),"-"," ",LEN($G216)-LEN(SUBSTITUTE($G216,"-",""))-1),".",""))))),$G216)))</f>
        <v/>
      </c>
    </row>
    <row r="217">
      <c r="A217" s="58" t="n"/>
      <c r="B217" s="58">
        <f>IF($H217="","",LEFT($H217,FIND(" ",$H217&amp;" ")-1))</f>
        <v/>
      </c>
      <c r="C217" s="58">
        <f>IF($H217="","",IFERROR(MID($H217&amp;" ",FIND("|",SUBSTITUTE($H217&amp;" "," ","|",1))+1,FIND("|",SUBSTITUTE($H217&amp;" "," ","|",2))-FIND("|",SUBSTITUTE($H217&amp;" "," ","|",1))-1),""))</f>
        <v/>
      </c>
      <c r="D217" s="58">
        <f>IF($H217="","",IFERROR(MID($H217&amp;" ",FIND("|",SUBSTITUTE($H217&amp;" "," ","|",2))+1,FIND("|",SUBSTITUTE($H217&amp;" "," ","|",3))-FIND("|",SUBSTITUTE($H217&amp;" "," ","|",2))-1),""))</f>
        <v/>
      </c>
      <c r="E217" s="58">
        <f>IF($H217="","",IFERROR(MID($H217&amp;" ",FIND("|",SUBSTITUTE($H217&amp;" "," ","|",3))+1,FIND("|",SUBSTITUTE($H217&amp;" "," ","|",4))-FIND("|",SUBSTITUTE($H217&amp;" "," ","|",3))-1),""))</f>
        <v/>
      </c>
      <c r="F217" s="59">
        <f>IF($H217="","",IFERROR(VALUE(IFERROR(MID($H217&amp;" ",FIND("|",SUBSTITUTE($H217&amp;" "," ","|",4))+1,FIND("|",SUBSTITUTE($H217&amp;" "," ","|",5))-FIND("|",SUBSTITUTE($H217&amp;" "," ","|",4))-1),""))/86400+25569+9/24,""))</f>
        <v/>
      </c>
      <c r="G217" s="58">
        <f>TRIM(SUBSTITUTE(SUBSTITUTE(SUBSTITUTE($A217,CHAR(9)," ")," "," "),CHAR(13),""))</f>
        <v/>
      </c>
      <c r="H217" s="58">
        <f>IF($G217="","",IF(ISNUMBER(FIND(" ",$G217)),$G217,IFERROR(IF((LEN(SUBSTITUTE(SUBSTITUTE($G217,"-"," ",LEN($G217)-LEN(SUBSTITUTE($G217,"-",""))),"-"," ",LEN($G217)-LEN(SUBSTITUTE($G217,"-",""))-1))-LEN(SUBSTITUTE(SUBSTITUTE(SUBSTITUTE($G217,"-"," ",LEN($G217)-LEN(SUBSTITUTE($G217,"-",""))),"-"," ",LEN($G217)-LEN(SUBSTITUTE($G217,"-",""))-1),".","")))=0,SUBSTITUTE(SUBSTITUTE($G217,"-"," ",LEN($G217)-LEN(SUBSTITUTE($G217,"-",""))),"-"," ",LEN($G217)-LEN(SUBSTITUTE($G217,"-",""))-1),SUBSTITUTE(SUBSTITUTE(SUBSTITUTE($G217,"-"," ",LEN($G217)-LEN(SUBSTITUTE($G217,"-",""))),"-"," ",LEN($G217)-LEN(SUBSTITUTE($G217,"-",""))-1),"."," ",(LEN(SUBSTITUTE(SUBSTITUTE($G217,"-"," ",LEN($G217)-LEN(SUBSTITUTE($G217,"-",""))),"-"," ",LEN($G217)-LEN(SUBSTITUTE($G217,"-",""))-1))-LEN(SUBSTITUTE(SUBSTITUTE(SUBSTITUTE($G217,"-"," ",LEN($G217)-LEN(SUBSTITUTE($G217,"-",""))),"-"," ",LEN($G217)-LEN(SUBSTITUTE($G217,"-",""))-1),".",""))))),$G217)))</f>
        <v/>
      </c>
    </row>
    <row r="218">
      <c r="A218" s="58" t="n"/>
      <c r="B218" s="58">
        <f>IF($H218="","",LEFT($H218,FIND(" ",$H218&amp;" ")-1))</f>
        <v/>
      </c>
      <c r="C218" s="58">
        <f>IF($H218="","",IFERROR(MID($H218&amp;" ",FIND("|",SUBSTITUTE($H218&amp;" "," ","|",1))+1,FIND("|",SUBSTITUTE($H218&amp;" "," ","|",2))-FIND("|",SUBSTITUTE($H218&amp;" "," ","|",1))-1),""))</f>
        <v/>
      </c>
      <c r="D218" s="58">
        <f>IF($H218="","",IFERROR(MID($H218&amp;" ",FIND("|",SUBSTITUTE($H218&amp;" "," ","|",2))+1,FIND("|",SUBSTITUTE($H218&amp;" "," ","|",3))-FIND("|",SUBSTITUTE($H218&amp;" "," ","|",2))-1),""))</f>
        <v/>
      </c>
      <c r="E218" s="58">
        <f>IF($H218="","",IFERROR(MID($H218&amp;" ",FIND("|",SUBSTITUTE($H218&amp;" "," ","|",3))+1,FIND("|",SUBSTITUTE($H218&amp;" "," ","|",4))-FIND("|",SUBSTITUTE($H218&amp;" "," ","|",3))-1),""))</f>
        <v/>
      </c>
      <c r="F218" s="59">
        <f>IF($H218="","",IFERROR(VALUE(IFERROR(MID($H218&amp;" ",FIND("|",SUBSTITUTE($H218&amp;" "," ","|",4))+1,FIND("|",SUBSTITUTE($H218&amp;" "," ","|",5))-FIND("|",SUBSTITUTE($H218&amp;" "," ","|",4))-1),""))/86400+25569+9/24,""))</f>
        <v/>
      </c>
      <c r="G218" s="58">
        <f>TRIM(SUBSTITUTE(SUBSTITUTE(SUBSTITUTE($A218,CHAR(9)," ")," "," "),CHAR(13),""))</f>
        <v/>
      </c>
      <c r="H218" s="58">
        <f>IF($G218="","",IF(ISNUMBER(FIND(" ",$G218)),$G218,IFERROR(IF((LEN(SUBSTITUTE(SUBSTITUTE($G218,"-"," ",LEN($G218)-LEN(SUBSTITUTE($G218,"-",""))),"-"," ",LEN($G218)-LEN(SUBSTITUTE($G218,"-",""))-1))-LEN(SUBSTITUTE(SUBSTITUTE(SUBSTITUTE($G218,"-"," ",LEN($G218)-LEN(SUBSTITUTE($G218,"-",""))),"-"," ",LEN($G218)-LEN(SUBSTITUTE($G218,"-",""))-1),".","")))=0,SUBSTITUTE(SUBSTITUTE($G218,"-"," ",LEN($G218)-LEN(SUBSTITUTE($G218,"-",""))),"-"," ",LEN($G218)-LEN(SUBSTITUTE($G218,"-",""))-1),SUBSTITUTE(SUBSTITUTE(SUBSTITUTE($G218,"-"," ",LEN($G218)-LEN(SUBSTITUTE($G218,"-",""))),"-"," ",LEN($G218)-LEN(SUBSTITUTE($G218,"-",""))-1),"."," ",(LEN(SUBSTITUTE(SUBSTITUTE($G218,"-"," ",LEN($G218)-LEN(SUBSTITUTE($G218,"-",""))),"-"," ",LEN($G218)-LEN(SUBSTITUTE($G218,"-",""))-1))-LEN(SUBSTITUTE(SUBSTITUTE(SUBSTITUTE($G218,"-"," ",LEN($G218)-LEN(SUBSTITUTE($G218,"-",""))),"-"," ",LEN($G218)-LEN(SUBSTITUTE($G218,"-",""))-1),".",""))))),$G218)))</f>
        <v/>
      </c>
    </row>
    <row r="219">
      <c r="A219" s="58" t="n"/>
      <c r="B219" s="58">
        <f>IF($H219="","",LEFT($H219,FIND(" ",$H219&amp;" ")-1))</f>
        <v/>
      </c>
      <c r="C219" s="58">
        <f>IF($H219="","",IFERROR(MID($H219&amp;" ",FIND("|",SUBSTITUTE($H219&amp;" "," ","|",1))+1,FIND("|",SUBSTITUTE($H219&amp;" "," ","|",2))-FIND("|",SUBSTITUTE($H219&amp;" "," ","|",1))-1),""))</f>
        <v/>
      </c>
      <c r="D219" s="58">
        <f>IF($H219="","",IFERROR(MID($H219&amp;" ",FIND("|",SUBSTITUTE($H219&amp;" "," ","|",2))+1,FIND("|",SUBSTITUTE($H219&amp;" "," ","|",3))-FIND("|",SUBSTITUTE($H219&amp;" "," ","|",2))-1),""))</f>
        <v/>
      </c>
      <c r="E219" s="58">
        <f>IF($H219="","",IFERROR(MID($H219&amp;" ",FIND("|",SUBSTITUTE($H219&amp;" "," ","|",3))+1,FIND("|",SUBSTITUTE($H219&amp;" "," ","|",4))-FIND("|",SUBSTITUTE($H219&amp;" "," ","|",3))-1),""))</f>
        <v/>
      </c>
      <c r="F219" s="59">
        <f>IF($H219="","",IFERROR(VALUE(IFERROR(MID($H219&amp;" ",FIND("|",SUBSTITUTE($H219&amp;" "," ","|",4))+1,FIND("|",SUBSTITUTE($H219&amp;" "," ","|",5))-FIND("|",SUBSTITUTE($H219&amp;" "," ","|",4))-1),""))/86400+25569+9/24,""))</f>
        <v/>
      </c>
      <c r="G219" s="58">
        <f>TRIM(SUBSTITUTE(SUBSTITUTE(SUBSTITUTE($A219,CHAR(9)," ")," "," "),CHAR(13),""))</f>
        <v/>
      </c>
      <c r="H219" s="58">
        <f>IF($G219="","",IF(ISNUMBER(FIND(" ",$G219)),$G219,IFERROR(IF((LEN(SUBSTITUTE(SUBSTITUTE($G219,"-"," ",LEN($G219)-LEN(SUBSTITUTE($G219,"-",""))),"-"," ",LEN($G219)-LEN(SUBSTITUTE($G219,"-",""))-1))-LEN(SUBSTITUTE(SUBSTITUTE(SUBSTITUTE($G219,"-"," ",LEN($G219)-LEN(SUBSTITUTE($G219,"-",""))),"-"," ",LEN($G219)-LEN(SUBSTITUTE($G219,"-",""))-1),".","")))=0,SUBSTITUTE(SUBSTITUTE($G219,"-"," ",LEN($G219)-LEN(SUBSTITUTE($G219,"-",""))),"-"," ",LEN($G219)-LEN(SUBSTITUTE($G219,"-",""))-1),SUBSTITUTE(SUBSTITUTE(SUBSTITUTE($G219,"-"," ",LEN($G219)-LEN(SUBSTITUTE($G219,"-",""))),"-"," ",LEN($G219)-LEN(SUBSTITUTE($G219,"-",""))-1),"."," ",(LEN(SUBSTITUTE(SUBSTITUTE($G219,"-"," ",LEN($G219)-LEN(SUBSTITUTE($G219,"-",""))),"-"," ",LEN($G219)-LEN(SUBSTITUTE($G219,"-",""))-1))-LEN(SUBSTITUTE(SUBSTITUTE(SUBSTITUTE($G219,"-"," ",LEN($G219)-LEN(SUBSTITUTE($G219,"-",""))),"-"," ",LEN($G219)-LEN(SUBSTITUTE($G219,"-",""))-1),".",""))))),$G219)))</f>
        <v/>
      </c>
    </row>
    <row r="220">
      <c r="A220" s="58" t="n"/>
      <c r="B220" s="58">
        <f>IF($H220="","",LEFT($H220,FIND(" ",$H220&amp;" ")-1))</f>
        <v/>
      </c>
      <c r="C220" s="58">
        <f>IF($H220="","",IFERROR(MID($H220&amp;" ",FIND("|",SUBSTITUTE($H220&amp;" "," ","|",1))+1,FIND("|",SUBSTITUTE($H220&amp;" "," ","|",2))-FIND("|",SUBSTITUTE($H220&amp;" "," ","|",1))-1),""))</f>
        <v/>
      </c>
      <c r="D220" s="58">
        <f>IF($H220="","",IFERROR(MID($H220&amp;" ",FIND("|",SUBSTITUTE($H220&amp;" "," ","|",2))+1,FIND("|",SUBSTITUTE($H220&amp;" "," ","|",3))-FIND("|",SUBSTITUTE($H220&amp;" "," ","|",2))-1),""))</f>
        <v/>
      </c>
      <c r="E220" s="58">
        <f>IF($H220="","",IFERROR(MID($H220&amp;" ",FIND("|",SUBSTITUTE($H220&amp;" "," ","|",3))+1,FIND("|",SUBSTITUTE($H220&amp;" "," ","|",4))-FIND("|",SUBSTITUTE($H220&amp;" "," ","|",3))-1),""))</f>
        <v/>
      </c>
      <c r="F220" s="59">
        <f>IF($H220="","",IFERROR(VALUE(IFERROR(MID($H220&amp;" ",FIND("|",SUBSTITUTE($H220&amp;" "," ","|",4))+1,FIND("|",SUBSTITUTE($H220&amp;" "," ","|",5))-FIND("|",SUBSTITUTE($H220&amp;" "," ","|",4))-1),""))/86400+25569+9/24,""))</f>
        <v/>
      </c>
      <c r="G220" s="58">
        <f>TRIM(SUBSTITUTE(SUBSTITUTE(SUBSTITUTE($A220,CHAR(9)," ")," "," "),CHAR(13),""))</f>
        <v/>
      </c>
      <c r="H220" s="58">
        <f>IF($G220="","",IF(ISNUMBER(FIND(" ",$G220)),$G220,IFERROR(IF((LEN(SUBSTITUTE(SUBSTITUTE($G220,"-"," ",LEN($G220)-LEN(SUBSTITUTE($G220,"-",""))),"-"," ",LEN($G220)-LEN(SUBSTITUTE($G220,"-",""))-1))-LEN(SUBSTITUTE(SUBSTITUTE(SUBSTITUTE($G220,"-"," ",LEN($G220)-LEN(SUBSTITUTE($G220,"-",""))),"-"," ",LEN($G220)-LEN(SUBSTITUTE($G220,"-",""))-1),".","")))=0,SUBSTITUTE(SUBSTITUTE($G220,"-"," ",LEN($G220)-LEN(SUBSTITUTE($G220,"-",""))),"-"," ",LEN($G220)-LEN(SUBSTITUTE($G220,"-",""))-1),SUBSTITUTE(SUBSTITUTE(SUBSTITUTE($G220,"-"," ",LEN($G220)-LEN(SUBSTITUTE($G220,"-",""))),"-"," ",LEN($G220)-LEN(SUBSTITUTE($G220,"-",""))-1),"."," ",(LEN(SUBSTITUTE(SUBSTITUTE($G220,"-"," ",LEN($G220)-LEN(SUBSTITUTE($G220,"-",""))),"-"," ",LEN($G220)-LEN(SUBSTITUTE($G220,"-",""))-1))-LEN(SUBSTITUTE(SUBSTITUTE(SUBSTITUTE($G220,"-"," ",LEN($G220)-LEN(SUBSTITUTE($G220,"-",""))),"-"," ",LEN($G220)-LEN(SUBSTITUTE($G220,"-",""))-1),".",""))))),$G220)))</f>
        <v/>
      </c>
    </row>
    <row r="221">
      <c r="A221" s="58" t="n"/>
      <c r="B221" s="58">
        <f>IF($H221="","",LEFT($H221,FIND(" ",$H221&amp;" ")-1))</f>
        <v/>
      </c>
      <c r="C221" s="58">
        <f>IF($H221="","",IFERROR(MID($H221&amp;" ",FIND("|",SUBSTITUTE($H221&amp;" "," ","|",1))+1,FIND("|",SUBSTITUTE($H221&amp;" "," ","|",2))-FIND("|",SUBSTITUTE($H221&amp;" "," ","|",1))-1),""))</f>
        <v/>
      </c>
      <c r="D221" s="58">
        <f>IF($H221="","",IFERROR(MID($H221&amp;" ",FIND("|",SUBSTITUTE($H221&amp;" "," ","|",2))+1,FIND("|",SUBSTITUTE($H221&amp;" "," ","|",3))-FIND("|",SUBSTITUTE($H221&amp;" "," ","|",2))-1),""))</f>
        <v/>
      </c>
      <c r="E221" s="58">
        <f>IF($H221="","",IFERROR(MID($H221&amp;" ",FIND("|",SUBSTITUTE($H221&amp;" "," ","|",3))+1,FIND("|",SUBSTITUTE($H221&amp;" "," ","|",4))-FIND("|",SUBSTITUTE($H221&amp;" "," ","|",3))-1),""))</f>
        <v/>
      </c>
      <c r="F221" s="59">
        <f>IF($H221="","",IFERROR(VALUE(IFERROR(MID($H221&amp;" ",FIND("|",SUBSTITUTE($H221&amp;" "," ","|",4))+1,FIND("|",SUBSTITUTE($H221&amp;" "," ","|",5))-FIND("|",SUBSTITUTE($H221&amp;" "," ","|",4))-1),""))/86400+25569+9/24,""))</f>
        <v/>
      </c>
      <c r="G221" s="58">
        <f>TRIM(SUBSTITUTE(SUBSTITUTE(SUBSTITUTE($A221,CHAR(9)," ")," "," "),CHAR(13),""))</f>
        <v/>
      </c>
      <c r="H221" s="58">
        <f>IF($G221="","",IF(ISNUMBER(FIND(" ",$G221)),$G221,IFERROR(IF((LEN(SUBSTITUTE(SUBSTITUTE($G221,"-"," ",LEN($G221)-LEN(SUBSTITUTE($G221,"-",""))),"-"," ",LEN($G221)-LEN(SUBSTITUTE($G221,"-",""))-1))-LEN(SUBSTITUTE(SUBSTITUTE(SUBSTITUTE($G221,"-"," ",LEN($G221)-LEN(SUBSTITUTE($G221,"-",""))),"-"," ",LEN($G221)-LEN(SUBSTITUTE($G221,"-",""))-1),".","")))=0,SUBSTITUTE(SUBSTITUTE($G221,"-"," ",LEN($G221)-LEN(SUBSTITUTE($G221,"-",""))),"-"," ",LEN($G221)-LEN(SUBSTITUTE($G221,"-",""))-1),SUBSTITUTE(SUBSTITUTE(SUBSTITUTE($G221,"-"," ",LEN($G221)-LEN(SUBSTITUTE($G221,"-",""))),"-"," ",LEN($G221)-LEN(SUBSTITUTE($G221,"-",""))-1),"."," ",(LEN(SUBSTITUTE(SUBSTITUTE($G221,"-"," ",LEN($G221)-LEN(SUBSTITUTE($G221,"-",""))),"-"," ",LEN($G221)-LEN(SUBSTITUTE($G221,"-",""))-1))-LEN(SUBSTITUTE(SUBSTITUTE(SUBSTITUTE($G221,"-"," ",LEN($G221)-LEN(SUBSTITUTE($G221,"-",""))),"-"," ",LEN($G221)-LEN(SUBSTITUTE($G221,"-",""))-1),".",""))))),$G221)))</f>
        <v/>
      </c>
    </row>
    <row r="222">
      <c r="A222" s="58" t="n"/>
      <c r="B222" s="58">
        <f>IF($H222="","",LEFT($H222,FIND(" ",$H222&amp;" ")-1))</f>
        <v/>
      </c>
      <c r="C222" s="58">
        <f>IF($H222="","",IFERROR(MID($H222&amp;" ",FIND("|",SUBSTITUTE($H222&amp;" "," ","|",1))+1,FIND("|",SUBSTITUTE($H222&amp;" "," ","|",2))-FIND("|",SUBSTITUTE($H222&amp;" "," ","|",1))-1),""))</f>
        <v/>
      </c>
      <c r="D222" s="58">
        <f>IF($H222="","",IFERROR(MID($H222&amp;" ",FIND("|",SUBSTITUTE($H222&amp;" "," ","|",2))+1,FIND("|",SUBSTITUTE($H222&amp;" "," ","|",3))-FIND("|",SUBSTITUTE($H222&amp;" "," ","|",2))-1),""))</f>
        <v/>
      </c>
      <c r="E222" s="58">
        <f>IF($H222="","",IFERROR(MID($H222&amp;" ",FIND("|",SUBSTITUTE($H222&amp;" "," ","|",3))+1,FIND("|",SUBSTITUTE($H222&amp;" "," ","|",4))-FIND("|",SUBSTITUTE($H222&amp;" "," ","|",3))-1),""))</f>
        <v/>
      </c>
      <c r="F222" s="59">
        <f>IF($H222="","",IFERROR(VALUE(IFERROR(MID($H222&amp;" ",FIND("|",SUBSTITUTE($H222&amp;" "," ","|",4))+1,FIND("|",SUBSTITUTE($H222&amp;" "," ","|",5))-FIND("|",SUBSTITUTE($H222&amp;" "," ","|",4))-1),""))/86400+25569+9/24,""))</f>
        <v/>
      </c>
      <c r="G222" s="58">
        <f>TRIM(SUBSTITUTE(SUBSTITUTE(SUBSTITUTE($A222,CHAR(9)," ")," "," "),CHAR(13),""))</f>
        <v/>
      </c>
      <c r="H222" s="58">
        <f>IF($G222="","",IF(ISNUMBER(FIND(" ",$G222)),$G222,IFERROR(IF((LEN(SUBSTITUTE(SUBSTITUTE($G222,"-"," ",LEN($G222)-LEN(SUBSTITUTE($G222,"-",""))),"-"," ",LEN($G222)-LEN(SUBSTITUTE($G222,"-",""))-1))-LEN(SUBSTITUTE(SUBSTITUTE(SUBSTITUTE($G222,"-"," ",LEN($G222)-LEN(SUBSTITUTE($G222,"-",""))),"-"," ",LEN($G222)-LEN(SUBSTITUTE($G222,"-",""))-1),".","")))=0,SUBSTITUTE(SUBSTITUTE($G222,"-"," ",LEN($G222)-LEN(SUBSTITUTE($G222,"-",""))),"-"," ",LEN($G222)-LEN(SUBSTITUTE($G222,"-",""))-1),SUBSTITUTE(SUBSTITUTE(SUBSTITUTE($G222,"-"," ",LEN($G222)-LEN(SUBSTITUTE($G222,"-",""))),"-"," ",LEN($G222)-LEN(SUBSTITUTE($G222,"-",""))-1),"."," ",(LEN(SUBSTITUTE(SUBSTITUTE($G222,"-"," ",LEN($G222)-LEN(SUBSTITUTE($G222,"-",""))),"-"," ",LEN($G222)-LEN(SUBSTITUTE($G222,"-",""))-1))-LEN(SUBSTITUTE(SUBSTITUTE(SUBSTITUTE($G222,"-"," ",LEN($G222)-LEN(SUBSTITUTE($G222,"-",""))),"-"," ",LEN($G222)-LEN(SUBSTITUTE($G222,"-",""))-1),".",""))))),$G222)))</f>
        <v/>
      </c>
    </row>
    <row r="223">
      <c r="A223" s="58" t="n"/>
      <c r="B223" s="58">
        <f>IF($H223="","",LEFT($H223,FIND(" ",$H223&amp;" ")-1))</f>
        <v/>
      </c>
      <c r="C223" s="58">
        <f>IF($H223="","",IFERROR(MID($H223&amp;" ",FIND("|",SUBSTITUTE($H223&amp;" "," ","|",1))+1,FIND("|",SUBSTITUTE($H223&amp;" "," ","|",2))-FIND("|",SUBSTITUTE($H223&amp;" "," ","|",1))-1),""))</f>
        <v/>
      </c>
      <c r="D223" s="58">
        <f>IF($H223="","",IFERROR(MID($H223&amp;" ",FIND("|",SUBSTITUTE($H223&amp;" "," ","|",2))+1,FIND("|",SUBSTITUTE($H223&amp;" "," ","|",3))-FIND("|",SUBSTITUTE($H223&amp;" "," ","|",2))-1),""))</f>
        <v/>
      </c>
      <c r="E223" s="58">
        <f>IF($H223="","",IFERROR(MID($H223&amp;" ",FIND("|",SUBSTITUTE($H223&amp;" "," ","|",3))+1,FIND("|",SUBSTITUTE($H223&amp;" "," ","|",4))-FIND("|",SUBSTITUTE($H223&amp;" "," ","|",3))-1),""))</f>
        <v/>
      </c>
      <c r="F223" s="59">
        <f>IF($H223="","",IFERROR(VALUE(IFERROR(MID($H223&amp;" ",FIND("|",SUBSTITUTE($H223&amp;" "," ","|",4))+1,FIND("|",SUBSTITUTE($H223&amp;" "," ","|",5))-FIND("|",SUBSTITUTE($H223&amp;" "," ","|",4))-1),""))/86400+25569+9/24,""))</f>
        <v/>
      </c>
      <c r="G223" s="58">
        <f>TRIM(SUBSTITUTE(SUBSTITUTE(SUBSTITUTE($A223,CHAR(9)," ")," "," "),CHAR(13),""))</f>
        <v/>
      </c>
      <c r="H223" s="58">
        <f>IF($G223="","",IF(ISNUMBER(FIND(" ",$G223)),$G223,IFERROR(IF((LEN(SUBSTITUTE(SUBSTITUTE($G223,"-"," ",LEN($G223)-LEN(SUBSTITUTE($G223,"-",""))),"-"," ",LEN($G223)-LEN(SUBSTITUTE($G223,"-",""))-1))-LEN(SUBSTITUTE(SUBSTITUTE(SUBSTITUTE($G223,"-"," ",LEN($G223)-LEN(SUBSTITUTE($G223,"-",""))),"-"," ",LEN($G223)-LEN(SUBSTITUTE($G223,"-",""))-1),".","")))=0,SUBSTITUTE(SUBSTITUTE($G223,"-"," ",LEN($G223)-LEN(SUBSTITUTE($G223,"-",""))),"-"," ",LEN($G223)-LEN(SUBSTITUTE($G223,"-",""))-1),SUBSTITUTE(SUBSTITUTE(SUBSTITUTE($G223,"-"," ",LEN($G223)-LEN(SUBSTITUTE($G223,"-",""))),"-"," ",LEN($G223)-LEN(SUBSTITUTE($G223,"-",""))-1),"."," ",(LEN(SUBSTITUTE(SUBSTITUTE($G223,"-"," ",LEN($G223)-LEN(SUBSTITUTE($G223,"-",""))),"-"," ",LEN($G223)-LEN(SUBSTITUTE($G223,"-",""))-1))-LEN(SUBSTITUTE(SUBSTITUTE(SUBSTITUTE($G223,"-"," ",LEN($G223)-LEN(SUBSTITUTE($G223,"-",""))),"-"," ",LEN($G223)-LEN(SUBSTITUTE($G223,"-",""))-1),".",""))))),$G223)))</f>
        <v/>
      </c>
    </row>
    <row r="224">
      <c r="A224" s="58" t="n"/>
      <c r="B224" s="58">
        <f>IF($H224="","",LEFT($H224,FIND(" ",$H224&amp;" ")-1))</f>
        <v/>
      </c>
      <c r="C224" s="58">
        <f>IF($H224="","",IFERROR(MID($H224&amp;" ",FIND("|",SUBSTITUTE($H224&amp;" "," ","|",1))+1,FIND("|",SUBSTITUTE($H224&amp;" "," ","|",2))-FIND("|",SUBSTITUTE($H224&amp;" "," ","|",1))-1),""))</f>
        <v/>
      </c>
      <c r="D224" s="58">
        <f>IF($H224="","",IFERROR(MID($H224&amp;" ",FIND("|",SUBSTITUTE($H224&amp;" "," ","|",2))+1,FIND("|",SUBSTITUTE($H224&amp;" "," ","|",3))-FIND("|",SUBSTITUTE($H224&amp;" "," ","|",2))-1),""))</f>
        <v/>
      </c>
      <c r="E224" s="58">
        <f>IF($H224="","",IFERROR(MID($H224&amp;" ",FIND("|",SUBSTITUTE($H224&amp;" "," ","|",3))+1,FIND("|",SUBSTITUTE($H224&amp;" "," ","|",4))-FIND("|",SUBSTITUTE($H224&amp;" "," ","|",3))-1),""))</f>
        <v/>
      </c>
      <c r="F224" s="59">
        <f>IF($H224="","",IFERROR(VALUE(IFERROR(MID($H224&amp;" ",FIND("|",SUBSTITUTE($H224&amp;" "," ","|",4))+1,FIND("|",SUBSTITUTE($H224&amp;" "," ","|",5))-FIND("|",SUBSTITUTE($H224&amp;" "," ","|",4))-1),""))/86400+25569+9/24,""))</f>
        <v/>
      </c>
      <c r="G224" s="58">
        <f>TRIM(SUBSTITUTE(SUBSTITUTE(SUBSTITUTE($A224,CHAR(9)," ")," "," "),CHAR(13),""))</f>
        <v/>
      </c>
      <c r="H224" s="58">
        <f>IF($G224="","",IF(ISNUMBER(FIND(" ",$G224)),$G224,IFERROR(IF((LEN(SUBSTITUTE(SUBSTITUTE($G224,"-"," ",LEN($G224)-LEN(SUBSTITUTE($G224,"-",""))),"-"," ",LEN($G224)-LEN(SUBSTITUTE($G224,"-",""))-1))-LEN(SUBSTITUTE(SUBSTITUTE(SUBSTITUTE($G224,"-"," ",LEN($G224)-LEN(SUBSTITUTE($G224,"-",""))),"-"," ",LEN($G224)-LEN(SUBSTITUTE($G224,"-",""))-1),".","")))=0,SUBSTITUTE(SUBSTITUTE($G224,"-"," ",LEN($G224)-LEN(SUBSTITUTE($G224,"-",""))),"-"," ",LEN($G224)-LEN(SUBSTITUTE($G224,"-",""))-1),SUBSTITUTE(SUBSTITUTE(SUBSTITUTE($G224,"-"," ",LEN($G224)-LEN(SUBSTITUTE($G224,"-",""))),"-"," ",LEN($G224)-LEN(SUBSTITUTE($G224,"-",""))-1),"."," ",(LEN(SUBSTITUTE(SUBSTITUTE($G224,"-"," ",LEN($G224)-LEN(SUBSTITUTE($G224,"-",""))),"-"," ",LEN($G224)-LEN(SUBSTITUTE($G224,"-",""))-1))-LEN(SUBSTITUTE(SUBSTITUTE(SUBSTITUTE($G224,"-"," ",LEN($G224)-LEN(SUBSTITUTE($G224,"-",""))),"-"," ",LEN($G224)-LEN(SUBSTITUTE($G224,"-",""))-1),".",""))))),$G224)))</f>
        <v/>
      </c>
    </row>
    <row r="225">
      <c r="A225" s="58" t="n"/>
      <c r="B225" s="58">
        <f>IF($H225="","",LEFT($H225,FIND(" ",$H225&amp;" ")-1))</f>
        <v/>
      </c>
      <c r="C225" s="58">
        <f>IF($H225="","",IFERROR(MID($H225&amp;" ",FIND("|",SUBSTITUTE($H225&amp;" "," ","|",1))+1,FIND("|",SUBSTITUTE($H225&amp;" "," ","|",2))-FIND("|",SUBSTITUTE($H225&amp;" "," ","|",1))-1),""))</f>
        <v/>
      </c>
      <c r="D225" s="58">
        <f>IF($H225="","",IFERROR(MID($H225&amp;" ",FIND("|",SUBSTITUTE($H225&amp;" "," ","|",2))+1,FIND("|",SUBSTITUTE($H225&amp;" "," ","|",3))-FIND("|",SUBSTITUTE($H225&amp;" "," ","|",2))-1),""))</f>
        <v/>
      </c>
      <c r="E225" s="58">
        <f>IF($H225="","",IFERROR(MID($H225&amp;" ",FIND("|",SUBSTITUTE($H225&amp;" "," ","|",3))+1,FIND("|",SUBSTITUTE($H225&amp;" "," ","|",4))-FIND("|",SUBSTITUTE($H225&amp;" "," ","|",3))-1),""))</f>
        <v/>
      </c>
      <c r="F225" s="59">
        <f>IF($H225="","",IFERROR(VALUE(IFERROR(MID($H225&amp;" ",FIND("|",SUBSTITUTE($H225&amp;" "," ","|",4))+1,FIND("|",SUBSTITUTE($H225&amp;" "," ","|",5))-FIND("|",SUBSTITUTE($H225&amp;" "," ","|",4))-1),""))/86400+25569+9/24,""))</f>
        <v/>
      </c>
      <c r="G225" s="58">
        <f>TRIM(SUBSTITUTE(SUBSTITUTE(SUBSTITUTE($A225,CHAR(9)," ")," "," "),CHAR(13),""))</f>
        <v/>
      </c>
      <c r="H225" s="58">
        <f>IF($G225="","",IF(ISNUMBER(FIND(" ",$G225)),$G225,IFERROR(IF((LEN(SUBSTITUTE(SUBSTITUTE($G225,"-"," ",LEN($G225)-LEN(SUBSTITUTE($G225,"-",""))),"-"," ",LEN($G225)-LEN(SUBSTITUTE($G225,"-",""))-1))-LEN(SUBSTITUTE(SUBSTITUTE(SUBSTITUTE($G225,"-"," ",LEN($G225)-LEN(SUBSTITUTE($G225,"-",""))),"-"," ",LEN($G225)-LEN(SUBSTITUTE($G225,"-",""))-1),".","")))=0,SUBSTITUTE(SUBSTITUTE($G225,"-"," ",LEN($G225)-LEN(SUBSTITUTE($G225,"-",""))),"-"," ",LEN($G225)-LEN(SUBSTITUTE($G225,"-",""))-1),SUBSTITUTE(SUBSTITUTE(SUBSTITUTE($G225,"-"," ",LEN($G225)-LEN(SUBSTITUTE($G225,"-",""))),"-"," ",LEN($G225)-LEN(SUBSTITUTE($G225,"-",""))-1),"."," ",(LEN(SUBSTITUTE(SUBSTITUTE($G225,"-"," ",LEN($G225)-LEN(SUBSTITUTE($G225,"-",""))),"-"," ",LEN($G225)-LEN(SUBSTITUTE($G225,"-",""))-1))-LEN(SUBSTITUTE(SUBSTITUTE(SUBSTITUTE($G225,"-"," ",LEN($G225)-LEN(SUBSTITUTE($G225,"-",""))),"-"," ",LEN($G225)-LEN(SUBSTITUTE($G225,"-",""))-1),".",""))))),$G225)))</f>
        <v/>
      </c>
    </row>
    <row r="226">
      <c r="A226" s="58" t="n"/>
      <c r="B226" s="58">
        <f>IF($H226="","",LEFT($H226,FIND(" ",$H226&amp;" ")-1))</f>
        <v/>
      </c>
      <c r="C226" s="58">
        <f>IF($H226="","",IFERROR(MID($H226&amp;" ",FIND("|",SUBSTITUTE($H226&amp;" "," ","|",1))+1,FIND("|",SUBSTITUTE($H226&amp;" "," ","|",2))-FIND("|",SUBSTITUTE($H226&amp;" "," ","|",1))-1),""))</f>
        <v/>
      </c>
      <c r="D226" s="58">
        <f>IF($H226="","",IFERROR(MID($H226&amp;" ",FIND("|",SUBSTITUTE($H226&amp;" "," ","|",2))+1,FIND("|",SUBSTITUTE($H226&amp;" "," ","|",3))-FIND("|",SUBSTITUTE($H226&amp;" "," ","|",2))-1),""))</f>
        <v/>
      </c>
      <c r="E226" s="58">
        <f>IF($H226="","",IFERROR(MID($H226&amp;" ",FIND("|",SUBSTITUTE($H226&amp;" "," ","|",3))+1,FIND("|",SUBSTITUTE($H226&amp;" "," ","|",4))-FIND("|",SUBSTITUTE($H226&amp;" "," ","|",3))-1),""))</f>
        <v/>
      </c>
      <c r="F226" s="59">
        <f>IF($H226="","",IFERROR(VALUE(IFERROR(MID($H226&amp;" ",FIND("|",SUBSTITUTE($H226&amp;" "," ","|",4))+1,FIND("|",SUBSTITUTE($H226&amp;" "," ","|",5))-FIND("|",SUBSTITUTE($H226&amp;" "," ","|",4))-1),""))/86400+25569+9/24,""))</f>
        <v/>
      </c>
      <c r="G226" s="58">
        <f>TRIM(SUBSTITUTE(SUBSTITUTE(SUBSTITUTE($A226,CHAR(9)," ")," "," "),CHAR(13),""))</f>
        <v/>
      </c>
      <c r="H226" s="58">
        <f>IF($G226="","",IF(ISNUMBER(FIND(" ",$G226)),$G226,IFERROR(IF((LEN(SUBSTITUTE(SUBSTITUTE($G226,"-"," ",LEN($G226)-LEN(SUBSTITUTE($G226,"-",""))),"-"," ",LEN($G226)-LEN(SUBSTITUTE($G226,"-",""))-1))-LEN(SUBSTITUTE(SUBSTITUTE(SUBSTITUTE($G226,"-"," ",LEN($G226)-LEN(SUBSTITUTE($G226,"-",""))),"-"," ",LEN($G226)-LEN(SUBSTITUTE($G226,"-",""))-1),".","")))=0,SUBSTITUTE(SUBSTITUTE($G226,"-"," ",LEN($G226)-LEN(SUBSTITUTE($G226,"-",""))),"-"," ",LEN($G226)-LEN(SUBSTITUTE($G226,"-",""))-1),SUBSTITUTE(SUBSTITUTE(SUBSTITUTE($G226,"-"," ",LEN($G226)-LEN(SUBSTITUTE($G226,"-",""))),"-"," ",LEN($G226)-LEN(SUBSTITUTE($G226,"-",""))-1),"."," ",(LEN(SUBSTITUTE(SUBSTITUTE($G226,"-"," ",LEN($G226)-LEN(SUBSTITUTE($G226,"-",""))),"-"," ",LEN($G226)-LEN(SUBSTITUTE($G226,"-",""))-1))-LEN(SUBSTITUTE(SUBSTITUTE(SUBSTITUTE($G226,"-"," ",LEN($G226)-LEN(SUBSTITUTE($G226,"-",""))),"-"," ",LEN($G226)-LEN(SUBSTITUTE($G226,"-",""))-1),".",""))))),$G226)))</f>
        <v/>
      </c>
    </row>
    <row r="227">
      <c r="A227" s="58" t="n"/>
      <c r="B227" s="58">
        <f>IF($H227="","",LEFT($H227,FIND(" ",$H227&amp;" ")-1))</f>
        <v/>
      </c>
      <c r="C227" s="58">
        <f>IF($H227="","",IFERROR(MID($H227&amp;" ",FIND("|",SUBSTITUTE($H227&amp;" "," ","|",1))+1,FIND("|",SUBSTITUTE($H227&amp;" "," ","|",2))-FIND("|",SUBSTITUTE($H227&amp;" "," ","|",1))-1),""))</f>
        <v/>
      </c>
      <c r="D227" s="58">
        <f>IF($H227="","",IFERROR(MID($H227&amp;" ",FIND("|",SUBSTITUTE($H227&amp;" "," ","|",2))+1,FIND("|",SUBSTITUTE($H227&amp;" "," ","|",3))-FIND("|",SUBSTITUTE($H227&amp;" "," ","|",2))-1),""))</f>
        <v/>
      </c>
      <c r="E227" s="58">
        <f>IF($H227="","",IFERROR(MID($H227&amp;" ",FIND("|",SUBSTITUTE($H227&amp;" "," ","|",3))+1,FIND("|",SUBSTITUTE($H227&amp;" "," ","|",4))-FIND("|",SUBSTITUTE($H227&amp;" "," ","|",3))-1),""))</f>
        <v/>
      </c>
      <c r="F227" s="59">
        <f>IF($H227="","",IFERROR(VALUE(IFERROR(MID($H227&amp;" ",FIND("|",SUBSTITUTE($H227&amp;" "," ","|",4))+1,FIND("|",SUBSTITUTE($H227&amp;" "," ","|",5))-FIND("|",SUBSTITUTE($H227&amp;" "," ","|",4))-1),""))/86400+25569+9/24,""))</f>
        <v/>
      </c>
      <c r="G227" s="58">
        <f>TRIM(SUBSTITUTE(SUBSTITUTE(SUBSTITUTE($A227,CHAR(9)," ")," "," "),CHAR(13),""))</f>
        <v/>
      </c>
      <c r="H227" s="58">
        <f>IF($G227="","",IF(ISNUMBER(FIND(" ",$G227)),$G227,IFERROR(IF((LEN(SUBSTITUTE(SUBSTITUTE($G227,"-"," ",LEN($G227)-LEN(SUBSTITUTE($G227,"-",""))),"-"," ",LEN($G227)-LEN(SUBSTITUTE($G227,"-",""))-1))-LEN(SUBSTITUTE(SUBSTITUTE(SUBSTITUTE($G227,"-"," ",LEN($G227)-LEN(SUBSTITUTE($G227,"-",""))),"-"," ",LEN($G227)-LEN(SUBSTITUTE($G227,"-",""))-1),".","")))=0,SUBSTITUTE(SUBSTITUTE($G227,"-"," ",LEN($G227)-LEN(SUBSTITUTE($G227,"-",""))),"-"," ",LEN($G227)-LEN(SUBSTITUTE($G227,"-",""))-1),SUBSTITUTE(SUBSTITUTE(SUBSTITUTE($G227,"-"," ",LEN($G227)-LEN(SUBSTITUTE($G227,"-",""))),"-"," ",LEN($G227)-LEN(SUBSTITUTE($G227,"-",""))-1),"."," ",(LEN(SUBSTITUTE(SUBSTITUTE($G227,"-"," ",LEN($G227)-LEN(SUBSTITUTE($G227,"-",""))),"-"," ",LEN($G227)-LEN(SUBSTITUTE($G227,"-",""))-1))-LEN(SUBSTITUTE(SUBSTITUTE(SUBSTITUTE($G227,"-"," ",LEN($G227)-LEN(SUBSTITUTE($G227,"-",""))),"-"," ",LEN($G227)-LEN(SUBSTITUTE($G227,"-",""))-1),".",""))))),$G227)))</f>
        <v/>
      </c>
    </row>
    <row r="228">
      <c r="A228" s="58" t="n"/>
      <c r="B228" s="58">
        <f>IF($H228="","",LEFT($H228,FIND(" ",$H228&amp;" ")-1))</f>
        <v/>
      </c>
      <c r="C228" s="58">
        <f>IF($H228="","",IFERROR(MID($H228&amp;" ",FIND("|",SUBSTITUTE($H228&amp;" "," ","|",1))+1,FIND("|",SUBSTITUTE($H228&amp;" "," ","|",2))-FIND("|",SUBSTITUTE($H228&amp;" "," ","|",1))-1),""))</f>
        <v/>
      </c>
      <c r="D228" s="58">
        <f>IF($H228="","",IFERROR(MID($H228&amp;" ",FIND("|",SUBSTITUTE($H228&amp;" "," ","|",2))+1,FIND("|",SUBSTITUTE($H228&amp;" "," ","|",3))-FIND("|",SUBSTITUTE($H228&amp;" "," ","|",2))-1),""))</f>
        <v/>
      </c>
      <c r="E228" s="58">
        <f>IF($H228="","",IFERROR(MID($H228&amp;" ",FIND("|",SUBSTITUTE($H228&amp;" "," ","|",3))+1,FIND("|",SUBSTITUTE($H228&amp;" "," ","|",4))-FIND("|",SUBSTITUTE($H228&amp;" "," ","|",3))-1),""))</f>
        <v/>
      </c>
      <c r="F228" s="59">
        <f>IF($H228="","",IFERROR(VALUE(IFERROR(MID($H228&amp;" ",FIND("|",SUBSTITUTE($H228&amp;" "," ","|",4))+1,FIND("|",SUBSTITUTE($H228&amp;" "," ","|",5))-FIND("|",SUBSTITUTE($H228&amp;" "," ","|",4))-1),""))/86400+25569+9/24,""))</f>
        <v/>
      </c>
      <c r="G228" s="58">
        <f>TRIM(SUBSTITUTE(SUBSTITUTE(SUBSTITUTE($A228,CHAR(9)," ")," "," "),CHAR(13),""))</f>
        <v/>
      </c>
      <c r="H228" s="58">
        <f>IF($G228="","",IF(ISNUMBER(FIND(" ",$G228)),$G228,IFERROR(IF((LEN(SUBSTITUTE(SUBSTITUTE($G228,"-"," ",LEN($G228)-LEN(SUBSTITUTE($G228,"-",""))),"-"," ",LEN($G228)-LEN(SUBSTITUTE($G228,"-",""))-1))-LEN(SUBSTITUTE(SUBSTITUTE(SUBSTITUTE($G228,"-"," ",LEN($G228)-LEN(SUBSTITUTE($G228,"-",""))),"-"," ",LEN($G228)-LEN(SUBSTITUTE($G228,"-",""))-1),".","")))=0,SUBSTITUTE(SUBSTITUTE($G228,"-"," ",LEN($G228)-LEN(SUBSTITUTE($G228,"-",""))),"-"," ",LEN($G228)-LEN(SUBSTITUTE($G228,"-",""))-1),SUBSTITUTE(SUBSTITUTE(SUBSTITUTE($G228,"-"," ",LEN($G228)-LEN(SUBSTITUTE($G228,"-",""))),"-"," ",LEN($G228)-LEN(SUBSTITUTE($G228,"-",""))-1),"."," ",(LEN(SUBSTITUTE(SUBSTITUTE($G228,"-"," ",LEN($G228)-LEN(SUBSTITUTE($G228,"-",""))),"-"," ",LEN($G228)-LEN(SUBSTITUTE($G228,"-",""))-1))-LEN(SUBSTITUTE(SUBSTITUTE(SUBSTITUTE($G228,"-"," ",LEN($G228)-LEN(SUBSTITUTE($G228,"-",""))),"-"," ",LEN($G228)-LEN(SUBSTITUTE($G228,"-",""))-1),".",""))))),$G228)))</f>
        <v/>
      </c>
    </row>
    <row r="229">
      <c r="A229" s="58" t="n"/>
      <c r="B229" s="58">
        <f>IF($H229="","",LEFT($H229,FIND(" ",$H229&amp;" ")-1))</f>
        <v/>
      </c>
      <c r="C229" s="58">
        <f>IF($H229="","",IFERROR(MID($H229&amp;" ",FIND("|",SUBSTITUTE($H229&amp;" "," ","|",1))+1,FIND("|",SUBSTITUTE($H229&amp;" "," ","|",2))-FIND("|",SUBSTITUTE($H229&amp;" "," ","|",1))-1),""))</f>
        <v/>
      </c>
      <c r="D229" s="58">
        <f>IF($H229="","",IFERROR(MID($H229&amp;" ",FIND("|",SUBSTITUTE($H229&amp;" "," ","|",2))+1,FIND("|",SUBSTITUTE($H229&amp;" "," ","|",3))-FIND("|",SUBSTITUTE($H229&amp;" "," ","|",2))-1),""))</f>
        <v/>
      </c>
      <c r="E229" s="58">
        <f>IF($H229="","",IFERROR(MID($H229&amp;" ",FIND("|",SUBSTITUTE($H229&amp;" "," ","|",3))+1,FIND("|",SUBSTITUTE($H229&amp;" "," ","|",4))-FIND("|",SUBSTITUTE($H229&amp;" "," ","|",3))-1),""))</f>
        <v/>
      </c>
      <c r="F229" s="59">
        <f>IF($H229="","",IFERROR(VALUE(IFERROR(MID($H229&amp;" ",FIND("|",SUBSTITUTE($H229&amp;" "," ","|",4))+1,FIND("|",SUBSTITUTE($H229&amp;" "," ","|",5))-FIND("|",SUBSTITUTE($H229&amp;" "," ","|",4))-1),""))/86400+25569+9/24,""))</f>
        <v/>
      </c>
      <c r="G229" s="58">
        <f>TRIM(SUBSTITUTE(SUBSTITUTE(SUBSTITUTE($A229,CHAR(9)," ")," "," "),CHAR(13),""))</f>
        <v/>
      </c>
      <c r="H229" s="58">
        <f>IF($G229="","",IF(ISNUMBER(FIND(" ",$G229)),$G229,IFERROR(IF((LEN(SUBSTITUTE(SUBSTITUTE($G229,"-"," ",LEN($G229)-LEN(SUBSTITUTE($G229,"-",""))),"-"," ",LEN($G229)-LEN(SUBSTITUTE($G229,"-",""))-1))-LEN(SUBSTITUTE(SUBSTITUTE(SUBSTITUTE($G229,"-"," ",LEN($G229)-LEN(SUBSTITUTE($G229,"-",""))),"-"," ",LEN($G229)-LEN(SUBSTITUTE($G229,"-",""))-1),".","")))=0,SUBSTITUTE(SUBSTITUTE($G229,"-"," ",LEN($G229)-LEN(SUBSTITUTE($G229,"-",""))),"-"," ",LEN($G229)-LEN(SUBSTITUTE($G229,"-",""))-1),SUBSTITUTE(SUBSTITUTE(SUBSTITUTE($G229,"-"," ",LEN($G229)-LEN(SUBSTITUTE($G229,"-",""))),"-"," ",LEN($G229)-LEN(SUBSTITUTE($G229,"-",""))-1),"."," ",(LEN(SUBSTITUTE(SUBSTITUTE($G229,"-"," ",LEN($G229)-LEN(SUBSTITUTE($G229,"-",""))),"-"," ",LEN($G229)-LEN(SUBSTITUTE($G229,"-",""))-1))-LEN(SUBSTITUTE(SUBSTITUTE(SUBSTITUTE($G229,"-"," ",LEN($G229)-LEN(SUBSTITUTE($G229,"-",""))),"-"," ",LEN($G229)-LEN(SUBSTITUTE($G229,"-",""))-1),".",""))))),$G229)))</f>
        <v/>
      </c>
    </row>
    <row r="230">
      <c r="A230" s="58" t="n"/>
      <c r="B230" s="58">
        <f>IF($H230="","",LEFT($H230,FIND(" ",$H230&amp;" ")-1))</f>
        <v/>
      </c>
      <c r="C230" s="58">
        <f>IF($H230="","",IFERROR(MID($H230&amp;" ",FIND("|",SUBSTITUTE($H230&amp;" "," ","|",1))+1,FIND("|",SUBSTITUTE($H230&amp;" "," ","|",2))-FIND("|",SUBSTITUTE($H230&amp;" "," ","|",1))-1),""))</f>
        <v/>
      </c>
      <c r="D230" s="58">
        <f>IF($H230="","",IFERROR(MID($H230&amp;" ",FIND("|",SUBSTITUTE($H230&amp;" "," ","|",2))+1,FIND("|",SUBSTITUTE($H230&amp;" "," ","|",3))-FIND("|",SUBSTITUTE($H230&amp;" "," ","|",2))-1),""))</f>
        <v/>
      </c>
      <c r="E230" s="58">
        <f>IF($H230="","",IFERROR(MID($H230&amp;" ",FIND("|",SUBSTITUTE($H230&amp;" "," ","|",3))+1,FIND("|",SUBSTITUTE($H230&amp;" "," ","|",4))-FIND("|",SUBSTITUTE($H230&amp;" "," ","|",3))-1),""))</f>
        <v/>
      </c>
      <c r="F230" s="59">
        <f>IF($H230="","",IFERROR(VALUE(IFERROR(MID($H230&amp;" ",FIND("|",SUBSTITUTE($H230&amp;" "," ","|",4))+1,FIND("|",SUBSTITUTE($H230&amp;" "," ","|",5))-FIND("|",SUBSTITUTE($H230&amp;" "," ","|",4))-1),""))/86400+25569+9/24,""))</f>
        <v/>
      </c>
      <c r="G230" s="58">
        <f>TRIM(SUBSTITUTE(SUBSTITUTE(SUBSTITUTE($A230,CHAR(9)," ")," "," "),CHAR(13),""))</f>
        <v/>
      </c>
      <c r="H230" s="58">
        <f>IF($G230="","",IF(ISNUMBER(FIND(" ",$G230)),$G230,IFERROR(IF((LEN(SUBSTITUTE(SUBSTITUTE($G230,"-"," ",LEN($G230)-LEN(SUBSTITUTE($G230,"-",""))),"-"," ",LEN($G230)-LEN(SUBSTITUTE($G230,"-",""))-1))-LEN(SUBSTITUTE(SUBSTITUTE(SUBSTITUTE($G230,"-"," ",LEN($G230)-LEN(SUBSTITUTE($G230,"-",""))),"-"," ",LEN($G230)-LEN(SUBSTITUTE($G230,"-",""))-1),".","")))=0,SUBSTITUTE(SUBSTITUTE($G230,"-"," ",LEN($G230)-LEN(SUBSTITUTE($G230,"-",""))),"-"," ",LEN($G230)-LEN(SUBSTITUTE($G230,"-",""))-1),SUBSTITUTE(SUBSTITUTE(SUBSTITUTE($G230,"-"," ",LEN($G230)-LEN(SUBSTITUTE($G230,"-",""))),"-"," ",LEN($G230)-LEN(SUBSTITUTE($G230,"-",""))-1),"."," ",(LEN(SUBSTITUTE(SUBSTITUTE($G230,"-"," ",LEN($G230)-LEN(SUBSTITUTE($G230,"-",""))),"-"," ",LEN($G230)-LEN(SUBSTITUTE($G230,"-",""))-1))-LEN(SUBSTITUTE(SUBSTITUTE(SUBSTITUTE($G230,"-"," ",LEN($G230)-LEN(SUBSTITUTE($G230,"-",""))),"-"," ",LEN($G230)-LEN(SUBSTITUTE($G230,"-",""))-1),".",""))))),$G230)))</f>
        <v/>
      </c>
    </row>
    <row r="231">
      <c r="A231" s="58" t="n"/>
      <c r="B231" s="58">
        <f>IF($H231="","",LEFT($H231,FIND(" ",$H231&amp;" ")-1))</f>
        <v/>
      </c>
      <c r="C231" s="58">
        <f>IF($H231="","",IFERROR(MID($H231&amp;" ",FIND("|",SUBSTITUTE($H231&amp;" "," ","|",1))+1,FIND("|",SUBSTITUTE($H231&amp;" "," ","|",2))-FIND("|",SUBSTITUTE($H231&amp;" "," ","|",1))-1),""))</f>
        <v/>
      </c>
      <c r="D231" s="58">
        <f>IF($H231="","",IFERROR(MID($H231&amp;" ",FIND("|",SUBSTITUTE($H231&amp;" "," ","|",2))+1,FIND("|",SUBSTITUTE($H231&amp;" "," ","|",3))-FIND("|",SUBSTITUTE($H231&amp;" "," ","|",2))-1),""))</f>
        <v/>
      </c>
      <c r="E231" s="58">
        <f>IF($H231="","",IFERROR(MID($H231&amp;" ",FIND("|",SUBSTITUTE($H231&amp;" "," ","|",3))+1,FIND("|",SUBSTITUTE($H231&amp;" "," ","|",4))-FIND("|",SUBSTITUTE($H231&amp;" "," ","|",3))-1),""))</f>
        <v/>
      </c>
      <c r="F231" s="59">
        <f>IF($H231="","",IFERROR(VALUE(IFERROR(MID($H231&amp;" ",FIND("|",SUBSTITUTE($H231&amp;" "," ","|",4))+1,FIND("|",SUBSTITUTE($H231&amp;" "," ","|",5))-FIND("|",SUBSTITUTE($H231&amp;" "," ","|",4))-1),""))/86400+25569+9/24,""))</f>
        <v/>
      </c>
      <c r="G231" s="58">
        <f>TRIM(SUBSTITUTE(SUBSTITUTE(SUBSTITUTE($A231,CHAR(9)," ")," "," "),CHAR(13),""))</f>
        <v/>
      </c>
      <c r="H231" s="58">
        <f>IF($G231="","",IF(ISNUMBER(FIND(" ",$G231)),$G231,IFERROR(IF((LEN(SUBSTITUTE(SUBSTITUTE($G231,"-"," ",LEN($G231)-LEN(SUBSTITUTE($G231,"-",""))),"-"," ",LEN($G231)-LEN(SUBSTITUTE($G231,"-",""))-1))-LEN(SUBSTITUTE(SUBSTITUTE(SUBSTITUTE($G231,"-"," ",LEN($G231)-LEN(SUBSTITUTE($G231,"-",""))),"-"," ",LEN($G231)-LEN(SUBSTITUTE($G231,"-",""))-1),".","")))=0,SUBSTITUTE(SUBSTITUTE($G231,"-"," ",LEN($G231)-LEN(SUBSTITUTE($G231,"-",""))),"-"," ",LEN($G231)-LEN(SUBSTITUTE($G231,"-",""))-1),SUBSTITUTE(SUBSTITUTE(SUBSTITUTE($G231,"-"," ",LEN($G231)-LEN(SUBSTITUTE($G231,"-",""))),"-"," ",LEN($G231)-LEN(SUBSTITUTE($G231,"-",""))-1),"."," ",(LEN(SUBSTITUTE(SUBSTITUTE($G231,"-"," ",LEN($G231)-LEN(SUBSTITUTE($G231,"-",""))),"-"," ",LEN($G231)-LEN(SUBSTITUTE($G231,"-",""))-1))-LEN(SUBSTITUTE(SUBSTITUTE(SUBSTITUTE($G231,"-"," ",LEN($G231)-LEN(SUBSTITUTE($G231,"-",""))),"-"," ",LEN($G231)-LEN(SUBSTITUTE($G231,"-",""))-1),".",""))))),$G231)))</f>
        <v/>
      </c>
    </row>
    <row r="232">
      <c r="A232" s="58" t="n"/>
      <c r="B232" s="58">
        <f>IF($H232="","",LEFT($H232,FIND(" ",$H232&amp;" ")-1))</f>
        <v/>
      </c>
      <c r="C232" s="58">
        <f>IF($H232="","",IFERROR(MID($H232&amp;" ",FIND("|",SUBSTITUTE($H232&amp;" "," ","|",1))+1,FIND("|",SUBSTITUTE($H232&amp;" "," ","|",2))-FIND("|",SUBSTITUTE($H232&amp;" "," ","|",1))-1),""))</f>
        <v/>
      </c>
      <c r="D232" s="58">
        <f>IF($H232="","",IFERROR(MID($H232&amp;" ",FIND("|",SUBSTITUTE($H232&amp;" "," ","|",2))+1,FIND("|",SUBSTITUTE($H232&amp;" "," ","|",3))-FIND("|",SUBSTITUTE($H232&amp;" "," ","|",2))-1),""))</f>
        <v/>
      </c>
      <c r="E232" s="58">
        <f>IF($H232="","",IFERROR(MID($H232&amp;" ",FIND("|",SUBSTITUTE($H232&amp;" "," ","|",3))+1,FIND("|",SUBSTITUTE($H232&amp;" "," ","|",4))-FIND("|",SUBSTITUTE($H232&amp;" "," ","|",3))-1),""))</f>
        <v/>
      </c>
      <c r="F232" s="59">
        <f>IF($H232="","",IFERROR(VALUE(IFERROR(MID($H232&amp;" ",FIND("|",SUBSTITUTE($H232&amp;" "," ","|",4))+1,FIND("|",SUBSTITUTE($H232&amp;" "," ","|",5))-FIND("|",SUBSTITUTE($H232&amp;" "," ","|",4))-1),""))/86400+25569+9/24,""))</f>
        <v/>
      </c>
      <c r="G232" s="58">
        <f>TRIM(SUBSTITUTE(SUBSTITUTE(SUBSTITUTE($A232,CHAR(9)," ")," "," "),CHAR(13),""))</f>
        <v/>
      </c>
      <c r="H232" s="58">
        <f>IF($G232="","",IF(ISNUMBER(FIND(" ",$G232)),$G232,IFERROR(IF((LEN(SUBSTITUTE(SUBSTITUTE($G232,"-"," ",LEN($G232)-LEN(SUBSTITUTE($G232,"-",""))),"-"," ",LEN($G232)-LEN(SUBSTITUTE($G232,"-",""))-1))-LEN(SUBSTITUTE(SUBSTITUTE(SUBSTITUTE($G232,"-"," ",LEN($G232)-LEN(SUBSTITUTE($G232,"-",""))),"-"," ",LEN($G232)-LEN(SUBSTITUTE($G232,"-",""))-1),".","")))=0,SUBSTITUTE(SUBSTITUTE($G232,"-"," ",LEN($G232)-LEN(SUBSTITUTE($G232,"-",""))),"-"," ",LEN($G232)-LEN(SUBSTITUTE($G232,"-",""))-1),SUBSTITUTE(SUBSTITUTE(SUBSTITUTE($G232,"-"," ",LEN($G232)-LEN(SUBSTITUTE($G232,"-",""))),"-"," ",LEN($G232)-LEN(SUBSTITUTE($G232,"-",""))-1),"."," ",(LEN(SUBSTITUTE(SUBSTITUTE($G232,"-"," ",LEN($G232)-LEN(SUBSTITUTE($G232,"-",""))),"-"," ",LEN($G232)-LEN(SUBSTITUTE($G232,"-",""))-1))-LEN(SUBSTITUTE(SUBSTITUTE(SUBSTITUTE($G232,"-"," ",LEN($G232)-LEN(SUBSTITUTE($G232,"-",""))),"-"," ",LEN($G232)-LEN(SUBSTITUTE($G232,"-",""))-1),".",""))))),$G232)))</f>
        <v/>
      </c>
    </row>
    <row r="233">
      <c r="A233" s="58" t="n"/>
      <c r="B233" s="58">
        <f>IF($H233="","",LEFT($H233,FIND(" ",$H233&amp;" ")-1))</f>
        <v/>
      </c>
      <c r="C233" s="58">
        <f>IF($H233="","",IFERROR(MID($H233&amp;" ",FIND("|",SUBSTITUTE($H233&amp;" "," ","|",1))+1,FIND("|",SUBSTITUTE($H233&amp;" "," ","|",2))-FIND("|",SUBSTITUTE($H233&amp;" "," ","|",1))-1),""))</f>
        <v/>
      </c>
      <c r="D233" s="58">
        <f>IF($H233="","",IFERROR(MID($H233&amp;" ",FIND("|",SUBSTITUTE($H233&amp;" "," ","|",2))+1,FIND("|",SUBSTITUTE($H233&amp;" "," ","|",3))-FIND("|",SUBSTITUTE($H233&amp;" "," ","|",2))-1),""))</f>
        <v/>
      </c>
      <c r="E233" s="58">
        <f>IF($H233="","",IFERROR(MID($H233&amp;" ",FIND("|",SUBSTITUTE($H233&amp;" "," ","|",3))+1,FIND("|",SUBSTITUTE($H233&amp;" "," ","|",4))-FIND("|",SUBSTITUTE($H233&amp;" "," ","|",3))-1),""))</f>
        <v/>
      </c>
      <c r="F233" s="59">
        <f>IF($H233="","",IFERROR(VALUE(IFERROR(MID($H233&amp;" ",FIND("|",SUBSTITUTE($H233&amp;" "," ","|",4))+1,FIND("|",SUBSTITUTE($H233&amp;" "," ","|",5))-FIND("|",SUBSTITUTE($H233&amp;" "," ","|",4))-1),""))/86400+25569+9/24,""))</f>
        <v/>
      </c>
      <c r="G233" s="58">
        <f>TRIM(SUBSTITUTE(SUBSTITUTE(SUBSTITUTE($A233,CHAR(9)," ")," "," "),CHAR(13),""))</f>
        <v/>
      </c>
      <c r="H233" s="58">
        <f>IF($G233="","",IF(ISNUMBER(FIND(" ",$G233)),$G233,IFERROR(IF((LEN(SUBSTITUTE(SUBSTITUTE($G233,"-"," ",LEN($G233)-LEN(SUBSTITUTE($G233,"-",""))),"-"," ",LEN($G233)-LEN(SUBSTITUTE($G233,"-",""))-1))-LEN(SUBSTITUTE(SUBSTITUTE(SUBSTITUTE($G233,"-"," ",LEN($G233)-LEN(SUBSTITUTE($G233,"-",""))),"-"," ",LEN($G233)-LEN(SUBSTITUTE($G233,"-",""))-1),".","")))=0,SUBSTITUTE(SUBSTITUTE($G233,"-"," ",LEN($G233)-LEN(SUBSTITUTE($G233,"-",""))),"-"," ",LEN($G233)-LEN(SUBSTITUTE($G233,"-",""))-1),SUBSTITUTE(SUBSTITUTE(SUBSTITUTE($G233,"-"," ",LEN($G233)-LEN(SUBSTITUTE($G233,"-",""))),"-"," ",LEN($G233)-LEN(SUBSTITUTE($G233,"-",""))-1),"."," ",(LEN(SUBSTITUTE(SUBSTITUTE($G233,"-"," ",LEN($G233)-LEN(SUBSTITUTE($G233,"-",""))),"-"," ",LEN($G233)-LEN(SUBSTITUTE($G233,"-",""))-1))-LEN(SUBSTITUTE(SUBSTITUTE(SUBSTITUTE($G233,"-"," ",LEN($G233)-LEN(SUBSTITUTE($G233,"-",""))),"-"," ",LEN($G233)-LEN(SUBSTITUTE($G233,"-",""))-1),".",""))))),$G233)))</f>
        <v/>
      </c>
    </row>
    <row r="234">
      <c r="A234" s="58" t="n"/>
      <c r="B234" s="58">
        <f>IF($H234="","",LEFT($H234,FIND(" ",$H234&amp;" ")-1))</f>
        <v/>
      </c>
      <c r="C234" s="58">
        <f>IF($H234="","",IFERROR(MID($H234&amp;" ",FIND("|",SUBSTITUTE($H234&amp;" "," ","|",1))+1,FIND("|",SUBSTITUTE($H234&amp;" "," ","|",2))-FIND("|",SUBSTITUTE($H234&amp;" "," ","|",1))-1),""))</f>
        <v/>
      </c>
      <c r="D234" s="58">
        <f>IF($H234="","",IFERROR(MID($H234&amp;" ",FIND("|",SUBSTITUTE($H234&amp;" "," ","|",2))+1,FIND("|",SUBSTITUTE($H234&amp;" "," ","|",3))-FIND("|",SUBSTITUTE($H234&amp;" "," ","|",2))-1),""))</f>
        <v/>
      </c>
      <c r="E234" s="58">
        <f>IF($H234="","",IFERROR(MID($H234&amp;" ",FIND("|",SUBSTITUTE($H234&amp;" "," ","|",3))+1,FIND("|",SUBSTITUTE($H234&amp;" "," ","|",4))-FIND("|",SUBSTITUTE($H234&amp;" "," ","|",3))-1),""))</f>
        <v/>
      </c>
      <c r="F234" s="59">
        <f>IF($H234="","",IFERROR(VALUE(IFERROR(MID($H234&amp;" ",FIND("|",SUBSTITUTE($H234&amp;" "," ","|",4))+1,FIND("|",SUBSTITUTE($H234&amp;" "," ","|",5))-FIND("|",SUBSTITUTE($H234&amp;" "," ","|",4))-1),""))/86400+25569+9/24,""))</f>
        <v/>
      </c>
      <c r="G234" s="58">
        <f>TRIM(SUBSTITUTE(SUBSTITUTE(SUBSTITUTE($A234,CHAR(9)," ")," "," "),CHAR(13),""))</f>
        <v/>
      </c>
      <c r="H234" s="58">
        <f>IF($G234="","",IF(ISNUMBER(FIND(" ",$G234)),$G234,IFERROR(IF((LEN(SUBSTITUTE(SUBSTITUTE($G234,"-"," ",LEN($G234)-LEN(SUBSTITUTE($G234,"-",""))),"-"," ",LEN($G234)-LEN(SUBSTITUTE($G234,"-",""))-1))-LEN(SUBSTITUTE(SUBSTITUTE(SUBSTITUTE($G234,"-"," ",LEN($G234)-LEN(SUBSTITUTE($G234,"-",""))),"-"," ",LEN($G234)-LEN(SUBSTITUTE($G234,"-",""))-1),".","")))=0,SUBSTITUTE(SUBSTITUTE($G234,"-"," ",LEN($G234)-LEN(SUBSTITUTE($G234,"-",""))),"-"," ",LEN($G234)-LEN(SUBSTITUTE($G234,"-",""))-1),SUBSTITUTE(SUBSTITUTE(SUBSTITUTE($G234,"-"," ",LEN($G234)-LEN(SUBSTITUTE($G234,"-",""))),"-"," ",LEN($G234)-LEN(SUBSTITUTE($G234,"-",""))-1),"."," ",(LEN(SUBSTITUTE(SUBSTITUTE($G234,"-"," ",LEN($G234)-LEN(SUBSTITUTE($G234,"-",""))),"-"," ",LEN($G234)-LEN(SUBSTITUTE($G234,"-",""))-1))-LEN(SUBSTITUTE(SUBSTITUTE(SUBSTITUTE($G234,"-"," ",LEN($G234)-LEN(SUBSTITUTE($G234,"-",""))),"-"," ",LEN($G234)-LEN(SUBSTITUTE($G234,"-",""))-1),".",""))))),$G234)))</f>
        <v/>
      </c>
    </row>
    <row r="235">
      <c r="A235" s="58" t="n"/>
      <c r="B235" s="58">
        <f>IF($H235="","",LEFT($H235,FIND(" ",$H235&amp;" ")-1))</f>
        <v/>
      </c>
      <c r="C235" s="58">
        <f>IF($H235="","",IFERROR(MID($H235&amp;" ",FIND("|",SUBSTITUTE($H235&amp;" "," ","|",1))+1,FIND("|",SUBSTITUTE($H235&amp;" "," ","|",2))-FIND("|",SUBSTITUTE($H235&amp;" "," ","|",1))-1),""))</f>
        <v/>
      </c>
      <c r="D235" s="58">
        <f>IF($H235="","",IFERROR(MID($H235&amp;" ",FIND("|",SUBSTITUTE($H235&amp;" "," ","|",2))+1,FIND("|",SUBSTITUTE($H235&amp;" "," ","|",3))-FIND("|",SUBSTITUTE($H235&amp;" "," ","|",2))-1),""))</f>
        <v/>
      </c>
      <c r="E235" s="58">
        <f>IF($H235="","",IFERROR(MID($H235&amp;" ",FIND("|",SUBSTITUTE($H235&amp;" "," ","|",3))+1,FIND("|",SUBSTITUTE($H235&amp;" "," ","|",4))-FIND("|",SUBSTITUTE($H235&amp;" "," ","|",3))-1),""))</f>
        <v/>
      </c>
      <c r="F235" s="59">
        <f>IF($H235="","",IFERROR(VALUE(IFERROR(MID($H235&amp;" ",FIND("|",SUBSTITUTE($H235&amp;" "," ","|",4))+1,FIND("|",SUBSTITUTE($H235&amp;" "," ","|",5))-FIND("|",SUBSTITUTE($H235&amp;" "," ","|",4))-1),""))/86400+25569+9/24,""))</f>
        <v/>
      </c>
      <c r="G235" s="58">
        <f>TRIM(SUBSTITUTE(SUBSTITUTE(SUBSTITUTE($A235,CHAR(9)," ")," "," "),CHAR(13),""))</f>
        <v/>
      </c>
      <c r="H235" s="58">
        <f>IF($G235="","",IF(ISNUMBER(FIND(" ",$G235)),$G235,IFERROR(IF((LEN(SUBSTITUTE(SUBSTITUTE($G235,"-"," ",LEN($G235)-LEN(SUBSTITUTE($G235,"-",""))),"-"," ",LEN($G235)-LEN(SUBSTITUTE($G235,"-",""))-1))-LEN(SUBSTITUTE(SUBSTITUTE(SUBSTITUTE($G235,"-"," ",LEN($G235)-LEN(SUBSTITUTE($G235,"-",""))),"-"," ",LEN($G235)-LEN(SUBSTITUTE($G235,"-",""))-1),".","")))=0,SUBSTITUTE(SUBSTITUTE($G235,"-"," ",LEN($G235)-LEN(SUBSTITUTE($G235,"-",""))),"-"," ",LEN($G235)-LEN(SUBSTITUTE($G235,"-",""))-1),SUBSTITUTE(SUBSTITUTE(SUBSTITUTE($G235,"-"," ",LEN($G235)-LEN(SUBSTITUTE($G235,"-",""))),"-"," ",LEN($G235)-LEN(SUBSTITUTE($G235,"-",""))-1),"."," ",(LEN(SUBSTITUTE(SUBSTITUTE($G235,"-"," ",LEN($G235)-LEN(SUBSTITUTE($G235,"-",""))),"-"," ",LEN($G235)-LEN(SUBSTITUTE($G235,"-",""))-1))-LEN(SUBSTITUTE(SUBSTITUTE(SUBSTITUTE($G235,"-"," ",LEN($G235)-LEN(SUBSTITUTE($G235,"-",""))),"-"," ",LEN($G235)-LEN(SUBSTITUTE($G235,"-",""))-1),".",""))))),$G235)))</f>
        <v/>
      </c>
    </row>
    <row r="236">
      <c r="A236" s="58" t="n"/>
      <c r="B236" s="58">
        <f>IF($H236="","",LEFT($H236,FIND(" ",$H236&amp;" ")-1))</f>
        <v/>
      </c>
      <c r="C236" s="58">
        <f>IF($H236="","",IFERROR(MID($H236&amp;" ",FIND("|",SUBSTITUTE($H236&amp;" "," ","|",1))+1,FIND("|",SUBSTITUTE($H236&amp;" "," ","|",2))-FIND("|",SUBSTITUTE($H236&amp;" "," ","|",1))-1),""))</f>
        <v/>
      </c>
      <c r="D236" s="58">
        <f>IF($H236="","",IFERROR(MID($H236&amp;" ",FIND("|",SUBSTITUTE($H236&amp;" "," ","|",2))+1,FIND("|",SUBSTITUTE($H236&amp;" "," ","|",3))-FIND("|",SUBSTITUTE($H236&amp;" "," ","|",2))-1),""))</f>
        <v/>
      </c>
      <c r="E236" s="58">
        <f>IF($H236="","",IFERROR(MID($H236&amp;" ",FIND("|",SUBSTITUTE($H236&amp;" "," ","|",3))+1,FIND("|",SUBSTITUTE($H236&amp;" "," ","|",4))-FIND("|",SUBSTITUTE($H236&amp;" "," ","|",3))-1),""))</f>
        <v/>
      </c>
      <c r="F236" s="59">
        <f>IF($H236="","",IFERROR(VALUE(IFERROR(MID($H236&amp;" ",FIND("|",SUBSTITUTE($H236&amp;" "," ","|",4))+1,FIND("|",SUBSTITUTE($H236&amp;" "," ","|",5))-FIND("|",SUBSTITUTE($H236&amp;" "," ","|",4))-1),""))/86400+25569+9/24,""))</f>
        <v/>
      </c>
      <c r="G236" s="58">
        <f>TRIM(SUBSTITUTE(SUBSTITUTE(SUBSTITUTE($A236,CHAR(9)," ")," "," "),CHAR(13),""))</f>
        <v/>
      </c>
      <c r="H236" s="58">
        <f>IF($G236="","",IF(ISNUMBER(FIND(" ",$G236)),$G236,IFERROR(IF((LEN(SUBSTITUTE(SUBSTITUTE($G236,"-"," ",LEN($G236)-LEN(SUBSTITUTE($G236,"-",""))),"-"," ",LEN($G236)-LEN(SUBSTITUTE($G236,"-",""))-1))-LEN(SUBSTITUTE(SUBSTITUTE(SUBSTITUTE($G236,"-"," ",LEN($G236)-LEN(SUBSTITUTE($G236,"-",""))),"-"," ",LEN($G236)-LEN(SUBSTITUTE($G236,"-",""))-1),".","")))=0,SUBSTITUTE(SUBSTITUTE($G236,"-"," ",LEN($G236)-LEN(SUBSTITUTE($G236,"-",""))),"-"," ",LEN($G236)-LEN(SUBSTITUTE($G236,"-",""))-1),SUBSTITUTE(SUBSTITUTE(SUBSTITUTE($G236,"-"," ",LEN($G236)-LEN(SUBSTITUTE($G236,"-",""))),"-"," ",LEN($G236)-LEN(SUBSTITUTE($G236,"-",""))-1),"."," ",(LEN(SUBSTITUTE(SUBSTITUTE($G236,"-"," ",LEN($G236)-LEN(SUBSTITUTE($G236,"-",""))),"-"," ",LEN($G236)-LEN(SUBSTITUTE($G236,"-",""))-1))-LEN(SUBSTITUTE(SUBSTITUTE(SUBSTITUTE($G236,"-"," ",LEN($G236)-LEN(SUBSTITUTE($G236,"-",""))),"-"," ",LEN($G236)-LEN(SUBSTITUTE($G236,"-",""))-1),".",""))))),$G236)))</f>
        <v/>
      </c>
    </row>
    <row r="237">
      <c r="A237" s="58" t="n"/>
      <c r="B237" s="58">
        <f>IF($H237="","",LEFT($H237,FIND(" ",$H237&amp;" ")-1))</f>
        <v/>
      </c>
      <c r="C237" s="58">
        <f>IF($H237="","",IFERROR(MID($H237&amp;" ",FIND("|",SUBSTITUTE($H237&amp;" "," ","|",1))+1,FIND("|",SUBSTITUTE($H237&amp;" "," ","|",2))-FIND("|",SUBSTITUTE($H237&amp;" "," ","|",1))-1),""))</f>
        <v/>
      </c>
      <c r="D237" s="58">
        <f>IF($H237="","",IFERROR(MID($H237&amp;" ",FIND("|",SUBSTITUTE($H237&amp;" "," ","|",2))+1,FIND("|",SUBSTITUTE($H237&amp;" "," ","|",3))-FIND("|",SUBSTITUTE($H237&amp;" "," ","|",2))-1),""))</f>
        <v/>
      </c>
      <c r="E237" s="58">
        <f>IF($H237="","",IFERROR(MID($H237&amp;" ",FIND("|",SUBSTITUTE($H237&amp;" "," ","|",3))+1,FIND("|",SUBSTITUTE($H237&amp;" "," ","|",4))-FIND("|",SUBSTITUTE($H237&amp;" "," ","|",3))-1),""))</f>
        <v/>
      </c>
      <c r="F237" s="59">
        <f>IF($H237="","",IFERROR(VALUE(IFERROR(MID($H237&amp;" ",FIND("|",SUBSTITUTE($H237&amp;" "," ","|",4))+1,FIND("|",SUBSTITUTE($H237&amp;" "," ","|",5))-FIND("|",SUBSTITUTE($H237&amp;" "," ","|",4))-1),""))/86400+25569+9/24,""))</f>
        <v/>
      </c>
      <c r="G237" s="58">
        <f>TRIM(SUBSTITUTE(SUBSTITUTE(SUBSTITUTE($A237,CHAR(9)," ")," "," "),CHAR(13),""))</f>
        <v/>
      </c>
      <c r="H237" s="58">
        <f>IF($G237="","",IF(ISNUMBER(FIND(" ",$G237)),$G237,IFERROR(IF((LEN(SUBSTITUTE(SUBSTITUTE($G237,"-"," ",LEN($G237)-LEN(SUBSTITUTE($G237,"-",""))),"-"," ",LEN($G237)-LEN(SUBSTITUTE($G237,"-",""))-1))-LEN(SUBSTITUTE(SUBSTITUTE(SUBSTITUTE($G237,"-"," ",LEN($G237)-LEN(SUBSTITUTE($G237,"-",""))),"-"," ",LEN($G237)-LEN(SUBSTITUTE($G237,"-",""))-1),".","")))=0,SUBSTITUTE(SUBSTITUTE($G237,"-"," ",LEN($G237)-LEN(SUBSTITUTE($G237,"-",""))),"-"," ",LEN($G237)-LEN(SUBSTITUTE($G237,"-",""))-1),SUBSTITUTE(SUBSTITUTE(SUBSTITUTE($G237,"-"," ",LEN($G237)-LEN(SUBSTITUTE($G237,"-",""))),"-"," ",LEN($G237)-LEN(SUBSTITUTE($G237,"-",""))-1),"."," ",(LEN(SUBSTITUTE(SUBSTITUTE($G237,"-"," ",LEN($G237)-LEN(SUBSTITUTE($G237,"-",""))),"-"," ",LEN($G237)-LEN(SUBSTITUTE($G237,"-",""))-1))-LEN(SUBSTITUTE(SUBSTITUTE(SUBSTITUTE($G237,"-"," ",LEN($G237)-LEN(SUBSTITUTE($G237,"-",""))),"-"," ",LEN($G237)-LEN(SUBSTITUTE($G237,"-",""))-1),".",""))))),$G237)))</f>
        <v/>
      </c>
    </row>
    <row r="238">
      <c r="A238" s="58" t="n"/>
      <c r="B238" s="58">
        <f>IF($H238="","",LEFT($H238,FIND(" ",$H238&amp;" ")-1))</f>
        <v/>
      </c>
      <c r="C238" s="58">
        <f>IF($H238="","",IFERROR(MID($H238&amp;" ",FIND("|",SUBSTITUTE($H238&amp;" "," ","|",1))+1,FIND("|",SUBSTITUTE($H238&amp;" "," ","|",2))-FIND("|",SUBSTITUTE($H238&amp;" "," ","|",1))-1),""))</f>
        <v/>
      </c>
      <c r="D238" s="58">
        <f>IF($H238="","",IFERROR(MID($H238&amp;" ",FIND("|",SUBSTITUTE($H238&amp;" "," ","|",2))+1,FIND("|",SUBSTITUTE($H238&amp;" "," ","|",3))-FIND("|",SUBSTITUTE($H238&amp;" "," ","|",2))-1),""))</f>
        <v/>
      </c>
      <c r="E238" s="58">
        <f>IF($H238="","",IFERROR(MID($H238&amp;" ",FIND("|",SUBSTITUTE($H238&amp;" "," ","|",3))+1,FIND("|",SUBSTITUTE($H238&amp;" "," ","|",4))-FIND("|",SUBSTITUTE($H238&amp;" "," ","|",3))-1),""))</f>
        <v/>
      </c>
      <c r="F238" s="59">
        <f>IF($H238="","",IFERROR(VALUE(IFERROR(MID($H238&amp;" ",FIND("|",SUBSTITUTE($H238&amp;" "," ","|",4))+1,FIND("|",SUBSTITUTE($H238&amp;" "," ","|",5))-FIND("|",SUBSTITUTE($H238&amp;" "," ","|",4))-1),""))/86400+25569+9/24,""))</f>
        <v/>
      </c>
      <c r="G238" s="58">
        <f>TRIM(SUBSTITUTE(SUBSTITUTE(SUBSTITUTE($A238,CHAR(9)," ")," "," "),CHAR(13),""))</f>
        <v/>
      </c>
      <c r="H238" s="58">
        <f>IF($G238="","",IF(ISNUMBER(FIND(" ",$G238)),$G238,IFERROR(IF((LEN(SUBSTITUTE(SUBSTITUTE($G238,"-"," ",LEN($G238)-LEN(SUBSTITUTE($G238,"-",""))),"-"," ",LEN($G238)-LEN(SUBSTITUTE($G238,"-",""))-1))-LEN(SUBSTITUTE(SUBSTITUTE(SUBSTITUTE($G238,"-"," ",LEN($G238)-LEN(SUBSTITUTE($G238,"-",""))),"-"," ",LEN($G238)-LEN(SUBSTITUTE($G238,"-",""))-1),".","")))=0,SUBSTITUTE(SUBSTITUTE($G238,"-"," ",LEN($G238)-LEN(SUBSTITUTE($G238,"-",""))),"-"," ",LEN($G238)-LEN(SUBSTITUTE($G238,"-",""))-1),SUBSTITUTE(SUBSTITUTE(SUBSTITUTE($G238,"-"," ",LEN($G238)-LEN(SUBSTITUTE($G238,"-",""))),"-"," ",LEN($G238)-LEN(SUBSTITUTE($G238,"-",""))-1),"."," ",(LEN(SUBSTITUTE(SUBSTITUTE($G238,"-"," ",LEN($G238)-LEN(SUBSTITUTE($G238,"-",""))),"-"," ",LEN($G238)-LEN(SUBSTITUTE($G238,"-",""))-1))-LEN(SUBSTITUTE(SUBSTITUTE(SUBSTITUTE($G238,"-"," ",LEN($G238)-LEN(SUBSTITUTE($G238,"-",""))),"-"," ",LEN($G238)-LEN(SUBSTITUTE($G238,"-",""))-1),".",""))))),$G238)))</f>
        <v/>
      </c>
    </row>
    <row r="239">
      <c r="A239" s="58" t="n"/>
      <c r="B239" s="58">
        <f>IF($H239="","",LEFT($H239,FIND(" ",$H239&amp;" ")-1))</f>
        <v/>
      </c>
      <c r="C239" s="58">
        <f>IF($H239="","",IFERROR(MID($H239&amp;" ",FIND("|",SUBSTITUTE($H239&amp;" "," ","|",1))+1,FIND("|",SUBSTITUTE($H239&amp;" "," ","|",2))-FIND("|",SUBSTITUTE($H239&amp;" "," ","|",1))-1),""))</f>
        <v/>
      </c>
      <c r="D239" s="58">
        <f>IF($H239="","",IFERROR(MID($H239&amp;" ",FIND("|",SUBSTITUTE($H239&amp;" "," ","|",2))+1,FIND("|",SUBSTITUTE($H239&amp;" "," ","|",3))-FIND("|",SUBSTITUTE($H239&amp;" "," ","|",2))-1),""))</f>
        <v/>
      </c>
      <c r="E239" s="58">
        <f>IF($H239="","",IFERROR(MID($H239&amp;" ",FIND("|",SUBSTITUTE($H239&amp;" "," ","|",3))+1,FIND("|",SUBSTITUTE($H239&amp;" "," ","|",4))-FIND("|",SUBSTITUTE($H239&amp;" "," ","|",3))-1),""))</f>
        <v/>
      </c>
      <c r="F239" s="59">
        <f>IF($H239="","",IFERROR(VALUE(IFERROR(MID($H239&amp;" ",FIND("|",SUBSTITUTE($H239&amp;" "," ","|",4))+1,FIND("|",SUBSTITUTE($H239&amp;" "," ","|",5))-FIND("|",SUBSTITUTE($H239&amp;" "," ","|",4))-1),""))/86400+25569+9/24,""))</f>
        <v/>
      </c>
      <c r="G239" s="58">
        <f>TRIM(SUBSTITUTE(SUBSTITUTE(SUBSTITUTE($A239,CHAR(9)," ")," "," "),CHAR(13),""))</f>
        <v/>
      </c>
      <c r="H239" s="58">
        <f>IF($G239="","",IF(ISNUMBER(FIND(" ",$G239)),$G239,IFERROR(IF((LEN(SUBSTITUTE(SUBSTITUTE($G239,"-"," ",LEN($G239)-LEN(SUBSTITUTE($G239,"-",""))),"-"," ",LEN($G239)-LEN(SUBSTITUTE($G239,"-",""))-1))-LEN(SUBSTITUTE(SUBSTITUTE(SUBSTITUTE($G239,"-"," ",LEN($G239)-LEN(SUBSTITUTE($G239,"-",""))),"-"," ",LEN($G239)-LEN(SUBSTITUTE($G239,"-",""))-1),".","")))=0,SUBSTITUTE(SUBSTITUTE($G239,"-"," ",LEN($G239)-LEN(SUBSTITUTE($G239,"-",""))),"-"," ",LEN($G239)-LEN(SUBSTITUTE($G239,"-",""))-1),SUBSTITUTE(SUBSTITUTE(SUBSTITUTE($G239,"-"," ",LEN($G239)-LEN(SUBSTITUTE($G239,"-",""))),"-"," ",LEN($G239)-LEN(SUBSTITUTE($G239,"-",""))-1),"."," ",(LEN(SUBSTITUTE(SUBSTITUTE($G239,"-"," ",LEN($G239)-LEN(SUBSTITUTE($G239,"-",""))),"-"," ",LEN($G239)-LEN(SUBSTITUTE($G239,"-",""))-1))-LEN(SUBSTITUTE(SUBSTITUTE(SUBSTITUTE($G239,"-"," ",LEN($G239)-LEN(SUBSTITUTE($G239,"-",""))),"-"," ",LEN($G239)-LEN(SUBSTITUTE($G239,"-",""))-1),".",""))))),$G239)))</f>
        <v/>
      </c>
    </row>
    <row r="240">
      <c r="A240" s="58" t="n"/>
      <c r="B240" s="58">
        <f>IF($H240="","",LEFT($H240,FIND(" ",$H240&amp;" ")-1))</f>
        <v/>
      </c>
      <c r="C240" s="58">
        <f>IF($H240="","",IFERROR(MID($H240&amp;" ",FIND("|",SUBSTITUTE($H240&amp;" "," ","|",1))+1,FIND("|",SUBSTITUTE($H240&amp;" "," ","|",2))-FIND("|",SUBSTITUTE($H240&amp;" "," ","|",1))-1),""))</f>
        <v/>
      </c>
      <c r="D240" s="58">
        <f>IF($H240="","",IFERROR(MID($H240&amp;" ",FIND("|",SUBSTITUTE($H240&amp;" "," ","|",2))+1,FIND("|",SUBSTITUTE($H240&amp;" "," ","|",3))-FIND("|",SUBSTITUTE($H240&amp;" "," ","|",2))-1),""))</f>
        <v/>
      </c>
      <c r="E240" s="58">
        <f>IF($H240="","",IFERROR(MID($H240&amp;" ",FIND("|",SUBSTITUTE($H240&amp;" "," ","|",3))+1,FIND("|",SUBSTITUTE($H240&amp;" "," ","|",4))-FIND("|",SUBSTITUTE($H240&amp;" "," ","|",3))-1),""))</f>
        <v/>
      </c>
      <c r="F240" s="59">
        <f>IF($H240="","",IFERROR(VALUE(IFERROR(MID($H240&amp;" ",FIND("|",SUBSTITUTE($H240&amp;" "," ","|",4))+1,FIND("|",SUBSTITUTE($H240&amp;" "," ","|",5))-FIND("|",SUBSTITUTE($H240&amp;" "," ","|",4))-1),""))/86400+25569+9/24,""))</f>
        <v/>
      </c>
      <c r="G240" s="58">
        <f>TRIM(SUBSTITUTE(SUBSTITUTE(SUBSTITUTE($A240,CHAR(9)," ")," "," "),CHAR(13),""))</f>
        <v/>
      </c>
      <c r="H240" s="58">
        <f>IF($G240="","",IF(ISNUMBER(FIND(" ",$G240)),$G240,IFERROR(IF((LEN(SUBSTITUTE(SUBSTITUTE($G240,"-"," ",LEN($G240)-LEN(SUBSTITUTE($G240,"-",""))),"-"," ",LEN($G240)-LEN(SUBSTITUTE($G240,"-",""))-1))-LEN(SUBSTITUTE(SUBSTITUTE(SUBSTITUTE($G240,"-"," ",LEN($G240)-LEN(SUBSTITUTE($G240,"-",""))),"-"," ",LEN($G240)-LEN(SUBSTITUTE($G240,"-",""))-1),".","")))=0,SUBSTITUTE(SUBSTITUTE($G240,"-"," ",LEN($G240)-LEN(SUBSTITUTE($G240,"-",""))),"-"," ",LEN($G240)-LEN(SUBSTITUTE($G240,"-",""))-1),SUBSTITUTE(SUBSTITUTE(SUBSTITUTE($G240,"-"," ",LEN($G240)-LEN(SUBSTITUTE($G240,"-",""))),"-"," ",LEN($G240)-LEN(SUBSTITUTE($G240,"-",""))-1),"."," ",(LEN(SUBSTITUTE(SUBSTITUTE($G240,"-"," ",LEN($G240)-LEN(SUBSTITUTE($G240,"-",""))),"-"," ",LEN($G240)-LEN(SUBSTITUTE($G240,"-",""))-1))-LEN(SUBSTITUTE(SUBSTITUTE(SUBSTITUTE($G240,"-"," ",LEN($G240)-LEN(SUBSTITUTE($G240,"-",""))),"-"," ",LEN($G240)-LEN(SUBSTITUTE($G240,"-",""))-1),".",""))))),$G240)))</f>
        <v/>
      </c>
    </row>
    <row r="241">
      <c r="A241" s="58" t="n"/>
      <c r="B241" s="58">
        <f>IF($H241="","",LEFT($H241,FIND(" ",$H241&amp;" ")-1))</f>
        <v/>
      </c>
      <c r="C241" s="58">
        <f>IF($H241="","",IFERROR(MID($H241&amp;" ",FIND("|",SUBSTITUTE($H241&amp;" "," ","|",1))+1,FIND("|",SUBSTITUTE($H241&amp;" "," ","|",2))-FIND("|",SUBSTITUTE($H241&amp;" "," ","|",1))-1),""))</f>
        <v/>
      </c>
      <c r="D241" s="58">
        <f>IF($H241="","",IFERROR(MID($H241&amp;" ",FIND("|",SUBSTITUTE($H241&amp;" "," ","|",2))+1,FIND("|",SUBSTITUTE($H241&amp;" "," ","|",3))-FIND("|",SUBSTITUTE($H241&amp;" "," ","|",2))-1),""))</f>
        <v/>
      </c>
      <c r="E241" s="58">
        <f>IF($H241="","",IFERROR(MID($H241&amp;" ",FIND("|",SUBSTITUTE($H241&amp;" "," ","|",3))+1,FIND("|",SUBSTITUTE($H241&amp;" "," ","|",4))-FIND("|",SUBSTITUTE($H241&amp;" "," ","|",3))-1),""))</f>
        <v/>
      </c>
      <c r="F241" s="59">
        <f>IF($H241="","",IFERROR(VALUE(IFERROR(MID($H241&amp;" ",FIND("|",SUBSTITUTE($H241&amp;" "," ","|",4))+1,FIND("|",SUBSTITUTE($H241&amp;" "," ","|",5))-FIND("|",SUBSTITUTE($H241&amp;" "," ","|",4))-1),""))/86400+25569+9/24,""))</f>
        <v/>
      </c>
      <c r="G241" s="58">
        <f>TRIM(SUBSTITUTE(SUBSTITUTE(SUBSTITUTE($A241,CHAR(9)," ")," "," "),CHAR(13),""))</f>
        <v/>
      </c>
      <c r="H241" s="58">
        <f>IF($G241="","",IF(ISNUMBER(FIND(" ",$G241)),$G241,IFERROR(IF((LEN(SUBSTITUTE(SUBSTITUTE($G241,"-"," ",LEN($G241)-LEN(SUBSTITUTE($G241,"-",""))),"-"," ",LEN($G241)-LEN(SUBSTITUTE($G241,"-",""))-1))-LEN(SUBSTITUTE(SUBSTITUTE(SUBSTITUTE($G241,"-"," ",LEN($G241)-LEN(SUBSTITUTE($G241,"-",""))),"-"," ",LEN($G241)-LEN(SUBSTITUTE($G241,"-",""))-1),".","")))=0,SUBSTITUTE(SUBSTITUTE($G241,"-"," ",LEN($G241)-LEN(SUBSTITUTE($G241,"-",""))),"-"," ",LEN($G241)-LEN(SUBSTITUTE($G241,"-",""))-1),SUBSTITUTE(SUBSTITUTE(SUBSTITUTE($G241,"-"," ",LEN($G241)-LEN(SUBSTITUTE($G241,"-",""))),"-"," ",LEN($G241)-LEN(SUBSTITUTE($G241,"-",""))-1),"."," ",(LEN(SUBSTITUTE(SUBSTITUTE($G241,"-"," ",LEN($G241)-LEN(SUBSTITUTE($G241,"-",""))),"-"," ",LEN($G241)-LEN(SUBSTITUTE($G241,"-",""))-1))-LEN(SUBSTITUTE(SUBSTITUTE(SUBSTITUTE($G241,"-"," ",LEN($G241)-LEN(SUBSTITUTE($G241,"-",""))),"-"," ",LEN($G241)-LEN(SUBSTITUTE($G241,"-",""))-1),".",""))))),$G241)))</f>
        <v/>
      </c>
    </row>
    <row r="242">
      <c r="A242" s="58" t="n"/>
      <c r="B242" s="58">
        <f>IF($H242="","",LEFT($H242,FIND(" ",$H242&amp;" ")-1))</f>
        <v/>
      </c>
      <c r="C242" s="58">
        <f>IF($H242="","",IFERROR(MID($H242&amp;" ",FIND("|",SUBSTITUTE($H242&amp;" "," ","|",1))+1,FIND("|",SUBSTITUTE($H242&amp;" "," ","|",2))-FIND("|",SUBSTITUTE($H242&amp;" "," ","|",1))-1),""))</f>
        <v/>
      </c>
      <c r="D242" s="58">
        <f>IF($H242="","",IFERROR(MID($H242&amp;" ",FIND("|",SUBSTITUTE($H242&amp;" "," ","|",2))+1,FIND("|",SUBSTITUTE($H242&amp;" "," ","|",3))-FIND("|",SUBSTITUTE($H242&amp;" "," ","|",2))-1),""))</f>
        <v/>
      </c>
      <c r="E242" s="58">
        <f>IF($H242="","",IFERROR(MID($H242&amp;" ",FIND("|",SUBSTITUTE($H242&amp;" "," ","|",3))+1,FIND("|",SUBSTITUTE($H242&amp;" "," ","|",4))-FIND("|",SUBSTITUTE($H242&amp;" "," ","|",3))-1),""))</f>
        <v/>
      </c>
      <c r="F242" s="59">
        <f>IF($H242="","",IFERROR(VALUE(IFERROR(MID($H242&amp;" ",FIND("|",SUBSTITUTE($H242&amp;" "," ","|",4))+1,FIND("|",SUBSTITUTE($H242&amp;" "," ","|",5))-FIND("|",SUBSTITUTE($H242&amp;" "," ","|",4))-1),""))/86400+25569+9/24,""))</f>
        <v/>
      </c>
      <c r="G242" s="58">
        <f>TRIM(SUBSTITUTE(SUBSTITUTE(SUBSTITUTE($A242,CHAR(9)," ")," "," "),CHAR(13),""))</f>
        <v/>
      </c>
      <c r="H242" s="58">
        <f>IF($G242="","",IF(ISNUMBER(FIND(" ",$G242)),$G242,IFERROR(IF((LEN(SUBSTITUTE(SUBSTITUTE($G242,"-"," ",LEN($G242)-LEN(SUBSTITUTE($G242,"-",""))),"-"," ",LEN($G242)-LEN(SUBSTITUTE($G242,"-",""))-1))-LEN(SUBSTITUTE(SUBSTITUTE(SUBSTITUTE($G242,"-"," ",LEN($G242)-LEN(SUBSTITUTE($G242,"-",""))),"-"," ",LEN($G242)-LEN(SUBSTITUTE($G242,"-",""))-1),".","")))=0,SUBSTITUTE(SUBSTITUTE($G242,"-"," ",LEN($G242)-LEN(SUBSTITUTE($G242,"-",""))),"-"," ",LEN($G242)-LEN(SUBSTITUTE($G242,"-",""))-1),SUBSTITUTE(SUBSTITUTE(SUBSTITUTE($G242,"-"," ",LEN($G242)-LEN(SUBSTITUTE($G242,"-",""))),"-"," ",LEN($G242)-LEN(SUBSTITUTE($G242,"-",""))-1),"."," ",(LEN(SUBSTITUTE(SUBSTITUTE($G242,"-"," ",LEN($G242)-LEN(SUBSTITUTE($G242,"-",""))),"-"," ",LEN($G242)-LEN(SUBSTITUTE($G242,"-",""))-1))-LEN(SUBSTITUTE(SUBSTITUTE(SUBSTITUTE($G242,"-"," ",LEN($G242)-LEN(SUBSTITUTE($G242,"-",""))),"-"," ",LEN($G242)-LEN(SUBSTITUTE($G242,"-",""))-1),".",""))))),$G242)))</f>
        <v/>
      </c>
    </row>
    <row r="243">
      <c r="A243" s="58" t="n"/>
      <c r="B243" s="58">
        <f>IF($H243="","",LEFT($H243,FIND(" ",$H243&amp;" ")-1))</f>
        <v/>
      </c>
      <c r="C243" s="58">
        <f>IF($H243="","",IFERROR(MID($H243&amp;" ",FIND("|",SUBSTITUTE($H243&amp;" "," ","|",1))+1,FIND("|",SUBSTITUTE($H243&amp;" "," ","|",2))-FIND("|",SUBSTITUTE($H243&amp;" "," ","|",1))-1),""))</f>
        <v/>
      </c>
      <c r="D243" s="58">
        <f>IF($H243="","",IFERROR(MID($H243&amp;" ",FIND("|",SUBSTITUTE($H243&amp;" "," ","|",2))+1,FIND("|",SUBSTITUTE($H243&amp;" "," ","|",3))-FIND("|",SUBSTITUTE($H243&amp;" "," ","|",2))-1),""))</f>
        <v/>
      </c>
      <c r="E243" s="58">
        <f>IF($H243="","",IFERROR(MID($H243&amp;" ",FIND("|",SUBSTITUTE($H243&amp;" "," ","|",3))+1,FIND("|",SUBSTITUTE($H243&amp;" "," ","|",4))-FIND("|",SUBSTITUTE($H243&amp;" "," ","|",3))-1),""))</f>
        <v/>
      </c>
      <c r="F243" s="59">
        <f>IF($H243="","",IFERROR(VALUE(IFERROR(MID($H243&amp;" ",FIND("|",SUBSTITUTE($H243&amp;" "," ","|",4))+1,FIND("|",SUBSTITUTE($H243&amp;" "," ","|",5))-FIND("|",SUBSTITUTE($H243&amp;" "," ","|",4))-1),""))/86400+25569+9/24,""))</f>
        <v/>
      </c>
      <c r="G243" s="58">
        <f>TRIM(SUBSTITUTE(SUBSTITUTE(SUBSTITUTE($A243,CHAR(9)," ")," "," "),CHAR(13),""))</f>
        <v/>
      </c>
      <c r="H243" s="58">
        <f>IF($G243="","",IF(ISNUMBER(FIND(" ",$G243)),$G243,IFERROR(IF((LEN(SUBSTITUTE(SUBSTITUTE($G243,"-"," ",LEN($G243)-LEN(SUBSTITUTE($G243,"-",""))),"-"," ",LEN($G243)-LEN(SUBSTITUTE($G243,"-",""))-1))-LEN(SUBSTITUTE(SUBSTITUTE(SUBSTITUTE($G243,"-"," ",LEN($G243)-LEN(SUBSTITUTE($G243,"-",""))),"-"," ",LEN($G243)-LEN(SUBSTITUTE($G243,"-",""))-1),".","")))=0,SUBSTITUTE(SUBSTITUTE($G243,"-"," ",LEN($G243)-LEN(SUBSTITUTE($G243,"-",""))),"-"," ",LEN($G243)-LEN(SUBSTITUTE($G243,"-",""))-1),SUBSTITUTE(SUBSTITUTE(SUBSTITUTE($G243,"-"," ",LEN($G243)-LEN(SUBSTITUTE($G243,"-",""))),"-"," ",LEN($G243)-LEN(SUBSTITUTE($G243,"-",""))-1),"."," ",(LEN(SUBSTITUTE(SUBSTITUTE($G243,"-"," ",LEN($G243)-LEN(SUBSTITUTE($G243,"-",""))),"-"," ",LEN($G243)-LEN(SUBSTITUTE($G243,"-",""))-1))-LEN(SUBSTITUTE(SUBSTITUTE(SUBSTITUTE($G243,"-"," ",LEN($G243)-LEN(SUBSTITUTE($G243,"-",""))),"-"," ",LEN($G243)-LEN(SUBSTITUTE($G243,"-",""))-1),".",""))))),$G243)))</f>
        <v/>
      </c>
    </row>
    <row r="244">
      <c r="A244" s="58" t="n"/>
      <c r="B244" s="58">
        <f>IF($H244="","",LEFT($H244,FIND(" ",$H244&amp;" ")-1))</f>
        <v/>
      </c>
      <c r="C244" s="58">
        <f>IF($H244="","",IFERROR(MID($H244&amp;" ",FIND("|",SUBSTITUTE($H244&amp;" "," ","|",1))+1,FIND("|",SUBSTITUTE($H244&amp;" "," ","|",2))-FIND("|",SUBSTITUTE($H244&amp;" "," ","|",1))-1),""))</f>
        <v/>
      </c>
      <c r="D244" s="58">
        <f>IF($H244="","",IFERROR(MID($H244&amp;" ",FIND("|",SUBSTITUTE($H244&amp;" "," ","|",2))+1,FIND("|",SUBSTITUTE($H244&amp;" "," ","|",3))-FIND("|",SUBSTITUTE($H244&amp;" "," ","|",2))-1),""))</f>
        <v/>
      </c>
      <c r="E244" s="58">
        <f>IF($H244="","",IFERROR(MID($H244&amp;" ",FIND("|",SUBSTITUTE($H244&amp;" "," ","|",3))+1,FIND("|",SUBSTITUTE($H244&amp;" "," ","|",4))-FIND("|",SUBSTITUTE($H244&amp;" "," ","|",3))-1),""))</f>
        <v/>
      </c>
      <c r="F244" s="59">
        <f>IF($H244="","",IFERROR(VALUE(IFERROR(MID($H244&amp;" ",FIND("|",SUBSTITUTE($H244&amp;" "," ","|",4))+1,FIND("|",SUBSTITUTE($H244&amp;" "," ","|",5))-FIND("|",SUBSTITUTE($H244&amp;" "," ","|",4))-1),""))/86400+25569+9/24,""))</f>
        <v/>
      </c>
      <c r="G244" s="58">
        <f>TRIM(SUBSTITUTE(SUBSTITUTE(SUBSTITUTE($A244,CHAR(9)," ")," "," "),CHAR(13),""))</f>
        <v/>
      </c>
      <c r="H244" s="58">
        <f>IF($G244="","",IF(ISNUMBER(FIND(" ",$G244)),$G244,IFERROR(IF((LEN(SUBSTITUTE(SUBSTITUTE($G244,"-"," ",LEN($G244)-LEN(SUBSTITUTE($G244,"-",""))),"-"," ",LEN($G244)-LEN(SUBSTITUTE($G244,"-",""))-1))-LEN(SUBSTITUTE(SUBSTITUTE(SUBSTITUTE($G244,"-"," ",LEN($G244)-LEN(SUBSTITUTE($G244,"-",""))),"-"," ",LEN($G244)-LEN(SUBSTITUTE($G244,"-",""))-1),".","")))=0,SUBSTITUTE(SUBSTITUTE($G244,"-"," ",LEN($G244)-LEN(SUBSTITUTE($G244,"-",""))),"-"," ",LEN($G244)-LEN(SUBSTITUTE($G244,"-",""))-1),SUBSTITUTE(SUBSTITUTE(SUBSTITUTE($G244,"-"," ",LEN($G244)-LEN(SUBSTITUTE($G244,"-",""))),"-"," ",LEN($G244)-LEN(SUBSTITUTE($G244,"-",""))-1),"."," ",(LEN(SUBSTITUTE(SUBSTITUTE($G244,"-"," ",LEN($G244)-LEN(SUBSTITUTE($G244,"-",""))),"-"," ",LEN($G244)-LEN(SUBSTITUTE($G244,"-",""))-1))-LEN(SUBSTITUTE(SUBSTITUTE(SUBSTITUTE($G244,"-"," ",LEN($G244)-LEN(SUBSTITUTE($G244,"-",""))),"-"," ",LEN($G244)-LEN(SUBSTITUTE($G244,"-",""))-1),".",""))))),$G244)))</f>
        <v/>
      </c>
    </row>
    <row r="245">
      <c r="A245" s="58" t="n"/>
      <c r="B245" s="58">
        <f>IF($H245="","",LEFT($H245,FIND(" ",$H245&amp;" ")-1))</f>
        <v/>
      </c>
      <c r="C245" s="58">
        <f>IF($H245="","",IFERROR(MID($H245&amp;" ",FIND("|",SUBSTITUTE($H245&amp;" "," ","|",1))+1,FIND("|",SUBSTITUTE($H245&amp;" "," ","|",2))-FIND("|",SUBSTITUTE($H245&amp;" "," ","|",1))-1),""))</f>
        <v/>
      </c>
      <c r="D245" s="58">
        <f>IF($H245="","",IFERROR(MID($H245&amp;" ",FIND("|",SUBSTITUTE($H245&amp;" "," ","|",2))+1,FIND("|",SUBSTITUTE($H245&amp;" "," ","|",3))-FIND("|",SUBSTITUTE($H245&amp;" "," ","|",2))-1),""))</f>
        <v/>
      </c>
      <c r="E245" s="58">
        <f>IF($H245="","",IFERROR(MID($H245&amp;" ",FIND("|",SUBSTITUTE($H245&amp;" "," ","|",3))+1,FIND("|",SUBSTITUTE($H245&amp;" "," ","|",4))-FIND("|",SUBSTITUTE($H245&amp;" "," ","|",3))-1),""))</f>
        <v/>
      </c>
      <c r="F245" s="59">
        <f>IF($H245="","",IFERROR(VALUE(IFERROR(MID($H245&amp;" ",FIND("|",SUBSTITUTE($H245&amp;" "," ","|",4))+1,FIND("|",SUBSTITUTE($H245&amp;" "," ","|",5))-FIND("|",SUBSTITUTE($H245&amp;" "," ","|",4))-1),""))/86400+25569+9/24,""))</f>
        <v/>
      </c>
      <c r="G245" s="58">
        <f>TRIM(SUBSTITUTE(SUBSTITUTE(SUBSTITUTE($A245,CHAR(9)," ")," "," "),CHAR(13),""))</f>
        <v/>
      </c>
      <c r="H245" s="58">
        <f>IF($G245="","",IF(ISNUMBER(FIND(" ",$G245)),$G245,IFERROR(IF((LEN(SUBSTITUTE(SUBSTITUTE($G245,"-"," ",LEN($G245)-LEN(SUBSTITUTE($G245,"-",""))),"-"," ",LEN($G245)-LEN(SUBSTITUTE($G245,"-",""))-1))-LEN(SUBSTITUTE(SUBSTITUTE(SUBSTITUTE($G245,"-"," ",LEN($G245)-LEN(SUBSTITUTE($G245,"-",""))),"-"," ",LEN($G245)-LEN(SUBSTITUTE($G245,"-",""))-1),".","")))=0,SUBSTITUTE(SUBSTITUTE($G245,"-"," ",LEN($G245)-LEN(SUBSTITUTE($G245,"-",""))),"-"," ",LEN($G245)-LEN(SUBSTITUTE($G245,"-",""))-1),SUBSTITUTE(SUBSTITUTE(SUBSTITUTE($G245,"-"," ",LEN($G245)-LEN(SUBSTITUTE($G245,"-",""))),"-"," ",LEN($G245)-LEN(SUBSTITUTE($G245,"-",""))-1),"."," ",(LEN(SUBSTITUTE(SUBSTITUTE($G245,"-"," ",LEN($G245)-LEN(SUBSTITUTE($G245,"-",""))),"-"," ",LEN($G245)-LEN(SUBSTITUTE($G245,"-",""))-1))-LEN(SUBSTITUTE(SUBSTITUTE(SUBSTITUTE($G245,"-"," ",LEN($G245)-LEN(SUBSTITUTE($G245,"-",""))),"-"," ",LEN($G245)-LEN(SUBSTITUTE($G245,"-",""))-1),".",""))))),$G245)))</f>
        <v/>
      </c>
    </row>
    <row r="246">
      <c r="A246" s="58" t="n"/>
      <c r="B246" s="58">
        <f>IF($H246="","",LEFT($H246,FIND(" ",$H246&amp;" ")-1))</f>
        <v/>
      </c>
      <c r="C246" s="58">
        <f>IF($H246="","",IFERROR(MID($H246&amp;" ",FIND("|",SUBSTITUTE($H246&amp;" "," ","|",1))+1,FIND("|",SUBSTITUTE($H246&amp;" "," ","|",2))-FIND("|",SUBSTITUTE($H246&amp;" "," ","|",1))-1),""))</f>
        <v/>
      </c>
      <c r="D246" s="58">
        <f>IF($H246="","",IFERROR(MID($H246&amp;" ",FIND("|",SUBSTITUTE($H246&amp;" "," ","|",2))+1,FIND("|",SUBSTITUTE($H246&amp;" "," ","|",3))-FIND("|",SUBSTITUTE($H246&amp;" "," ","|",2))-1),""))</f>
        <v/>
      </c>
      <c r="E246" s="58">
        <f>IF($H246="","",IFERROR(MID($H246&amp;" ",FIND("|",SUBSTITUTE($H246&amp;" "," ","|",3))+1,FIND("|",SUBSTITUTE($H246&amp;" "," ","|",4))-FIND("|",SUBSTITUTE($H246&amp;" "," ","|",3))-1),""))</f>
        <v/>
      </c>
      <c r="F246" s="59">
        <f>IF($H246="","",IFERROR(VALUE(IFERROR(MID($H246&amp;" ",FIND("|",SUBSTITUTE($H246&amp;" "," ","|",4))+1,FIND("|",SUBSTITUTE($H246&amp;" "," ","|",5))-FIND("|",SUBSTITUTE($H246&amp;" "," ","|",4))-1),""))/86400+25569+9/24,""))</f>
        <v/>
      </c>
      <c r="G246" s="58">
        <f>TRIM(SUBSTITUTE(SUBSTITUTE(SUBSTITUTE($A246,CHAR(9)," ")," "," "),CHAR(13),""))</f>
        <v/>
      </c>
      <c r="H246" s="58">
        <f>IF($G246="","",IF(ISNUMBER(FIND(" ",$G246)),$G246,IFERROR(IF((LEN(SUBSTITUTE(SUBSTITUTE($G246,"-"," ",LEN($G246)-LEN(SUBSTITUTE($G246,"-",""))),"-"," ",LEN($G246)-LEN(SUBSTITUTE($G246,"-",""))-1))-LEN(SUBSTITUTE(SUBSTITUTE(SUBSTITUTE($G246,"-"," ",LEN($G246)-LEN(SUBSTITUTE($G246,"-",""))),"-"," ",LEN($G246)-LEN(SUBSTITUTE($G246,"-",""))-1),".","")))=0,SUBSTITUTE(SUBSTITUTE($G246,"-"," ",LEN($G246)-LEN(SUBSTITUTE($G246,"-",""))),"-"," ",LEN($G246)-LEN(SUBSTITUTE($G246,"-",""))-1),SUBSTITUTE(SUBSTITUTE(SUBSTITUTE($G246,"-"," ",LEN($G246)-LEN(SUBSTITUTE($G246,"-",""))),"-"," ",LEN($G246)-LEN(SUBSTITUTE($G246,"-",""))-1),"."," ",(LEN(SUBSTITUTE(SUBSTITUTE($G246,"-"," ",LEN($G246)-LEN(SUBSTITUTE($G246,"-",""))),"-"," ",LEN($G246)-LEN(SUBSTITUTE($G246,"-",""))-1))-LEN(SUBSTITUTE(SUBSTITUTE(SUBSTITUTE($G246,"-"," ",LEN($G246)-LEN(SUBSTITUTE($G246,"-",""))),"-"," ",LEN($G246)-LEN(SUBSTITUTE($G246,"-",""))-1),".",""))))),$G246)))</f>
        <v/>
      </c>
    </row>
    <row r="247">
      <c r="A247" s="58" t="n"/>
      <c r="B247" s="58">
        <f>IF($H247="","",LEFT($H247,FIND(" ",$H247&amp;" ")-1))</f>
        <v/>
      </c>
      <c r="C247" s="58">
        <f>IF($H247="","",IFERROR(MID($H247&amp;" ",FIND("|",SUBSTITUTE($H247&amp;" "," ","|",1))+1,FIND("|",SUBSTITUTE($H247&amp;" "," ","|",2))-FIND("|",SUBSTITUTE($H247&amp;" "," ","|",1))-1),""))</f>
        <v/>
      </c>
      <c r="D247" s="58">
        <f>IF($H247="","",IFERROR(MID($H247&amp;" ",FIND("|",SUBSTITUTE($H247&amp;" "," ","|",2))+1,FIND("|",SUBSTITUTE($H247&amp;" "," ","|",3))-FIND("|",SUBSTITUTE($H247&amp;" "," ","|",2))-1),""))</f>
        <v/>
      </c>
      <c r="E247" s="58">
        <f>IF($H247="","",IFERROR(MID($H247&amp;" ",FIND("|",SUBSTITUTE($H247&amp;" "," ","|",3))+1,FIND("|",SUBSTITUTE($H247&amp;" "," ","|",4))-FIND("|",SUBSTITUTE($H247&amp;" "," ","|",3))-1),""))</f>
        <v/>
      </c>
      <c r="F247" s="59">
        <f>IF($H247="","",IFERROR(VALUE(IFERROR(MID($H247&amp;" ",FIND("|",SUBSTITUTE($H247&amp;" "," ","|",4))+1,FIND("|",SUBSTITUTE($H247&amp;" "," ","|",5))-FIND("|",SUBSTITUTE($H247&amp;" "," ","|",4))-1),""))/86400+25569+9/24,""))</f>
        <v/>
      </c>
      <c r="G247" s="58">
        <f>TRIM(SUBSTITUTE(SUBSTITUTE(SUBSTITUTE($A247,CHAR(9)," ")," "," "),CHAR(13),""))</f>
        <v/>
      </c>
      <c r="H247" s="58">
        <f>IF($G247="","",IF(ISNUMBER(FIND(" ",$G247)),$G247,IFERROR(IF((LEN(SUBSTITUTE(SUBSTITUTE($G247,"-"," ",LEN($G247)-LEN(SUBSTITUTE($G247,"-",""))),"-"," ",LEN($G247)-LEN(SUBSTITUTE($G247,"-",""))-1))-LEN(SUBSTITUTE(SUBSTITUTE(SUBSTITUTE($G247,"-"," ",LEN($G247)-LEN(SUBSTITUTE($G247,"-",""))),"-"," ",LEN($G247)-LEN(SUBSTITUTE($G247,"-",""))-1),".","")))=0,SUBSTITUTE(SUBSTITUTE($G247,"-"," ",LEN($G247)-LEN(SUBSTITUTE($G247,"-",""))),"-"," ",LEN($G247)-LEN(SUBSTITUTE($G247,"-",""))-1),SUBSTITUTE(SUBSTITUTE(SUBSTITUTE($G247,"-"," ",LEN($G247)-LEN(SUBSTITUTE($G247,"-",""))),"-"," ",LEN($G247)-LEN(SUBSTITUTE($G247,"-",""))-1),"."," ",(LEN(SUBSTITUTE(SUBSTITUTE($G247,"-"," ",LEN($G247)-LEN(SUBSTITUTE($G247,"-",""))),"-"," ",LEN($G247)-LEN(SUBSTITUTE($G247,"-",""))-1))-LEN(SUBSTITUTE(SUBSTITUTE(SUBSTITUTE($G247,"-"," ",LEN($G247)-LEN(SUBSTITUTE($G247,"-",""))),"-"," ",LEN($G247)-LEN(SUBSTITUTE($G247,"-",""))-1),".",""))))),$G247)))</f>
        <v/>
      </c>
    </row>
    <row r="248">
      <c r="A248" s="58" t="n"/>
      <c r="B248" s="58">
        <f>IF($H248="","",LEFT($H248,FIND(" ",$H248&amp;" ")-1))</f>
        <v/>
      </c>
      <c r="C248" s="58">
        <f>IF($H248="","",IFERROR(MID($H248&amp;" ",FIND("|",SUBSTITUTE($H248&amp;" "," ","|",1))+1,FIND("|",SUBSTITUTE($H248&amp;" "," ","|",2))-FIND("|",SUBSTITUTE($H248&amp;" "," ","|",1))-1),""))</f>
        <v/>
      </c>
      <c r="D248" s="58">
        <f>IF($H248="","",IFERROR(MID($H248&amp;" ",FIND("|",SUBSTITUTE($H248&amp;" "," ","|",2))+1,FIND("|",SUBSTITUTE($H248&amp;" "," ","|",3))-FIND("|",SUBSTITUTE($H248&amp;" "," ","|",2))-1),""))</f>
        <v/>
      </c>
      <c r="E248" s="58">
        <f>IF($H248="","",IFERROR(MID($H248&amp;" ",FIND("|",SUBSTITUTE($H248&amp;" "," ","|",3))+1,FIND("|",SUBSTITUTE($H248&amp;" "," ","|",4))-FIND("|",SUBSTITUTE($H248&amp;" "," ","|",3))-1),""))</f>
        <v/>
      </c>
      <c r="F248" s="59">
        <f>IF($H248="","",IFERROR(VALUE(IFERROR(MID($H248&amp;" ",FIND("|",SUBSTITUTE($H248&amp;" "," ","|",4))+1,FIND("|",SUBSTITUTE($H248&amp;" "," ","|",5))-FIND("|",SUBSTITUTE($H248&amp;" "," ","|",4))-1),""))/86400+25569+9/24,""))</f>
        <v/>
      </c>
      <c r="G248" s="58">
        <f>TRIM(SUBSTITUTE(SUBSTITUTE(SUBSTITUTE($A248,CHAR(9)," ")," "," "),CHAR(13),""))</f>
        <v/>
      </c>
      <c r="H248" s="58">
        <f>IF($G248="","",IF(ISNUMBER(FIND(" ",$G248)),$G248,IFERROR(IF((LEN(SUBSTITUTE(SUBSTITUTE($G248,"-"," ",LEN($G248)-LEN(SUBSTITUTE($G248,"-",""))),"-"," ",LEN($G248)-LEN(SUBSTITUTE($G248,"-",""))-1))-LEN(SUBSTITUTE(SUBSTITUTE(SUBSTITUTE($G248,"-"," ",LEN($G248)-LEN(SUBSTITUTE($G248,"-",""))),"-"," ",LEN($G248)-LEN(SUBSTITUTE($G248,"-",""))-1),".","")))=0,SUBSTITUTE(SUBSTITUTE($G248,"-"," ",LEN($G248)-LEN(SUBSTITUTE($G248,"-",""))),"-"," ",LEN($G248)-LEN(SUBSTITUTE($G248,"-",""))-1),SUBSTITUTE(SUBSTITUTE(SUBSTITUTE($G248,"-"," ",LEN($G248)-LEN(SUBSTITUTE($G248,"-",""))),"-"," ",LEN($G248)-LEN(SUBSTITUTE($G248,"-",""))-1),"."," ",(LEN(SUBSTITUTE(SUBSTITUTE($G248,"-"," ",LEN($G248)-LEN(SUBSTITUTE($G248,"-",""))),"-"," ",LEN($G248)-LEN(SUBSTITUTE($G248,"-",""))-1))-LEN(SUBSTITUTE(SUBSTITUTE(SUBSTITUTE($G248,"-"," ",LEN($G248)-LEN(SUBSTITUTE($G248,"-",""))),"-"," ",LEN($G248)-LEN(SUBSTITUTE($G248,"-",""))-1),".",""))))),$G248)))</f>
        <v/>
      </c>
    </row>
    <row r="249">
      <c r="A249" s="58" t="n"/>
      <c r="B249" s="58">
        <f>IF($H249="","",LEFT($H249,FIND(" ",$H249&amp;" ")-1))</f>
        <v/>
      </c>
      <c r="C249" s="58">
        <f>IF($H249="","",IFERROR(MID($H249&amp;" ",FIND("|",SUBSTITUTE($H249&amp;" "," ","|",1))+1,FIND("|",SUBSTITUTE($H249&amp;" "," ","|",2))-FIND("|",SUBSTITUTE($H249&amp;" "," ","|",1))-1),""))</f>
        <v/>
      </c>
      <c r="D249" s="58">
        <f>IF($H249="","",IFERROR(MID($H249&amp;" ",FIND("|",SUBSTITUTE($H249&amp;" "," ","|",2))+1,FIND("|",SUBSTITUTE($H249&amp;" "," ","|",3))-FIND("|",SUBSTITUTE($H249&amp;" "," ","|",2))-1),""))</f>
        <v/>
      </c>
      <c r="E249" s="58">
        <f>IF($H249="","",IFERROR(MID($H249&amp;" ",FIND("|",SUBSTITUTE($H249&amp;" "," ","|",3))+1,FIND("|",SUBSTITUTE($H249&amp;" "," ","|",4))-FIND("|",SUBSTITUTE($H249&amp;" "," ","|",3))-1),""))</f>
        <v/>
      </c>
      <c r="F249" s="59">
        <f>IF($H249="","",IFERROR(VALUE(IFERROR(MID($H249&amp;" ",FIND("|",SUBSTITUTE($H249&amp;" "," ","|",4))+1,FIND("|",SUBSTITUTE($H249&amp;" "," ","|",5))-FIND("|",SUBSTITUTE($H249&amp;" "," ","|",4))-1),""))/86400+25569+9/24,""))</f>
        <v/>
      </c>
      <c r="G249" s="58">
        <f>TRIM(SUBSTITUTE(SUBSTITUTE(SUBSTITUTE($A249,CHAR(9)," ")," "," "),CHAR(13),""))</f>
        <v/>
      </c>
      <c r="H249" s="58">
        <f>IF($G249="","",IF(ISNUMBER(FIND(" ",$G249)),$G249,IFERROR(IF((LEN(SUBSTITUTE(SUBSTITUTE($G249,"-"," ",LEN($G249)-LEN(SUBSTITUTE($G249,"-",""))),"-"," ",LEN($G249)-LEN(SUBSTITUTE($G249,"-",""))-1))-LEN(SUBSTITUTE(SUBSTITUTE(SUBSTITUTE($G249,"-"," ",LEN($G249)-LEN(SUBSTITUTE($G249,"-",""))),"-"," ",LEN($G249)-LEN(SUBSTITUTE($G249,"-",""))-1),".","")))=0,SUBSTITUTE(SUBSTITUTE($G249,"-"," ",LEN($G249)-LEN(SUBSTITUTE($G249,"-",""))),"-"," ",LEN($G249)-LEN(SUBSTITUTE($G249,"-",""))-1),SUBSTITUTE(SUBSTITUTE(SUBSTITUTE($G249,"-"," ",LEN($G249)-LEN(SUBSTITUTE($G249,"-",""))),"-"," ",LEN($G249)-LEN(SUBSTITUTE($G249,"-",""))-1),"."," ",(LEN(SUBSTITUTE(SUBSTITUTE($G249,"-"," ",LEN($G249)-LEN(SUBSTITUTE($G249,"-",""))),"-"," ",LEN($G249)-LEN(SUBSTITUTE($G249,"-",""))-1))-LEN(SUBSTITUTE(SUBSTITUTE(SUBSTITUTE($G249,"-"," ",LEN($G249)-LEN(SUBSTITUTE($G249,"-",""))),"-"," ",LEN($G249)-LEN(SUBSTITUTE($G249,"-",""))-1),".",""))))),$G249)))</f>
        <v/>
      </c>
    </row>
    <row r="250">
      <c r="A250" s="58" t="n"/>
      <c r="B250" s="58">
        <f>IF($H250="","",LEFT($H250,FIND(" ",$H250&amp;" ")-1))</f>
        <v/>
      </c>
      <c r="C250" s="58">
        <f>IF($H250="","",IFERROR(MID($H250&amp;" ",FIND("|",SUBSTITUTE($H250&amp;" "," ","|",1))+1,FIND("|",SUBSTITUTE($H250&amp;" "," ","|",2))-FIND("|",SUBSTITUTE($H250&amp;" "," ","|",1))-1),""))</f>
        <v/>
      </c>
      <c r="D250" s="58">
        <f>IF($H250="","",IFERROR(MID($H250&amp;" ",FIND("|",SUBSTITUTE($H250&amp;" "," ","|",2))+1,FIND("|",SUBSTITUTE($H250&amp;" "," ","|",3))-FIND("|",SUBSTITUTE($H250&amp;" "," ","|",2))-1),""))</f>
        <v/>
      </c>
      <c r="E250" s="58">
        <f>IF($H250="","",IFERROR(MID($H250&amp;" ",FIND("|",SUBSTITUTE($H250&amp;" "," ","|",3))+1,FIND("|",SUBSTITUTE($H250&amp;" "," ","|",4))-FIND("|",SUBSTITUTE($H250&amp;" "," ","|",3))-1),""))</f>
        <v/>
      </c>
      <c r="F250" s="59">
        <f>IF($H250="","",IFERROR(VALUE(IFERROR(MID($H250&amp;" ",FIND("|",SUBSTITUTE($H250&amp;" "," ","|",4))+1,FIND("|",SUBSTITUTE($H250&amp;" "," ","|",5))-FIND("|",SUBSTITUTE($H250&amp;" "," ","|",4))-1),""))/86400+25569+9/24,""))</f>
        <v/>
      </c>
      <c r="G250" s="58">
        <f>TRIM(SUBSTITUTE(SUBSTITUTE(SUBSTITUTE($A250,CHAR(9)," ")," "," "),CHAR(13),""))</f>
        <v/>
      </c>
      <c r="H250" s="58">
        <f>IF($G250="","",IF(ISNUMBER(FIND(" ",$G250)),$G250,IFERROR(IF((LEN(SUBSTITUTE(SUBSTITUTE($G250,"-"," ",LEN($G250)-LEN(SUBSTITUTE($G250,"-",""))),"-"," ",LEN($G250)-LEN(SUBSTITUTE($G250,"-",""))-1))-LEN(SUBSTITUTE(SUBSTITUTE(SUBSTITUTE($G250,"-"," ",LEN($G250)-LEN(SUBSTITUTE($G250,"-",""))),"-"," ",LEN($G250)-LEN(SUBSTITUTE($G250,"-",""))-1),".","")))=0,SUBSTITUTE(SUBSTITUTE($G250,"-"," ",LEN($G250)-LEN(SUBSTITUTE($G250,"-",""))),"-"," ",LEN($G250)-LEN(SUBSTITUTE($G250,"-",""))-1),SUBSTITUTE(SUBSTITUTE(SUBSTITUTE($G250,"-"," ",LEN($G250)-LEN(SUBSTITUTE($G250,"-",""))),"-"," ",LEN($G250)-LEN(SUBSTITUTE($G250,"-",""))-1),"."," ",(LEN(SUBSTITUTE(SUBSTITUTE($G250,"-"," ",LEN($G250)-LEN(SUBSTITUTE($G250,"-",""))),"-"," ",LEN($G250)-LEN(SUBSTITUTE($G250,"-",""))-1))-LEN(SUBSTITUTE(SUBSTITUTE(SUBSTITUTE($G250,"-"," ",LEN($G250)-LEN(SUBSTITUTE($G250,"-",""))),"-"," ",LEN($G250)-LEN(SUBSTITUTE($G250,"-",""))-1),".",""))))),$G250)))</f>
        <v/>
      </c>
    </row>
    <row r="251">
      <c r="A251" s="58" t="n"/>
      <c r="B251" s="58">
        <f>IF($H251="","",LEFT($H251,FIND(" ",$H251&amp;" ")-1))</f>
        <v/>
      </c>
      <c r="C251" s="58">
        <f>IF($H251="","",IFERROR(MID($H251&amp;" ",FIND("|",SUBSTITUTE($H251&amp;" "," ","|",1))+1,FIND("|",SUBSTITUTE($H251&amp;" "," ","|",2))-FIND("|",SUBSTITUTE($H251&amp;" "," ","|",1))-1),""))</f>
        <v/>
      </c>
      <c r="D251" s="58">
        <f>IF($H251="","",IFERROR(MID($H251&amp;" ",FIND("|",SUBSTITUTE($H251&amp;" "," ","|",2))+1,FIND("|",SUBSTITUTE($H251&amp;" "," ","|",3))-FIND("|",SUBSTITUTE($H251&amp;" "," ","|",2))-1),""))</f>
        <v/>
      </c>
      <c r="E251" s="58">
        <f>IF($H251="","",IFERROR(MID($H251&amp;" ",FIND("|",SUBSTITUTE($H251&amp;" "," ","|",3))+1,FIND("|",SUBSTITUTE($H251&amp;" "," ","|",4))-FIND("|",SUBSTITUTE($H251&amp;" "," ","|",3))-1),""))</f>
        <v/>
      </c>
      <c r="F251" s="59">
        <f>IF($H251="","",IFERROR(VALUE(IFERROR(MID($H251&amp;" ",FIND("|",SUBSTITUTE($H251&amp;" "," ","|",4))+1,FIND("|",SUBSTITUTE($H251&amp;" "," ","|",5))-FIND("|",SUBSTITUTE($H251&amp;" "," ","|",4))-1),""))/86400+25569+9/24,""))</f>
        <v/>
      </c>
      <c r="G251" s="58">
        <f>TRIM(SUBSTITUTE(SUBSTITUTE(SUBSTITUTE($A251,CHAR(9)," ")," "," "),CHAR(13),""))</f>
        <v/>
      </c>
      <c r="H251" s="58">
        <f>IF($G251="","",IF(ISNUMBER(FIND(" ",$G251)),$G251,IFERROR(IF((LEN(SUBSTITUTE(SUBSTITUTE($G251,"-"," ",LEN($G251)-LEN(SUBSTITUTE($G251,"-",""))),"-"," ",LEN($G251)-LEN(SUBSTITUTE($G251,"-",""))-1))-LEN(SUBSTITUTE(SUBSTITUTE(SUBSTITUTE($G251,"-"," ",LEN($G251)-LEN(SUBSTITUTE($G251,"-",""))),"-"," ",LEN($G251)-LEN(SUBSTITUTE($G251,"-",""))-1),".","")))=0,SUBSTITUTE(SUBSTITUTE($G251,"-"," ",LEN($G251)-LEN(SUBSTITUTE($G251,"-",""))),"-"," ",LEN($G251)-LEN(SUBSTITUTE($G251,"-",""))-1),SUBSTITUTE(SUBSTITUTE(SUBSTITUTE($G251,"-"," ",LEN($G251)-LEN(SUBSTITUTE($G251,"-",""))),"-"," ",LEN($G251)-LEN(SUBSTITUTE($G251,"-",""))-1),"."," ",(LEN(SUBSTITUTE(SUBSTITUTE($G251,"-"," ",LEN($G251)-LEN(SUBSTITUTE($G251,"-",""))),"-"," ",LEN($G251)-LEN(SUBSTITUTE($G251,"-",""))-1))-LEN(SUBSTITUTE(SUBSTITUTE(SUBSTITUTE($G251,"-"," ",LEN($G251)-LEN(SUBSTITUTE($G251,"-",""))),"-"," ",LEN($G251)-LEN(SUBSTITUTE($G251,"-",""))-1),".",""))))),$G251)))</f>
        <v/>
      </c>
    </row>
    <row r="252">
      <c r="A252" s="58" t="n"/>
      <c r="B252" s="58">
        <f>IF($H252="","",LEFT($H252,FIND(" ",$H252&amp;" ")-1))</f>
        <v/>
      </c>
      <c r="C252" s="58">
        <f>IF($H252="","",IFERROR(MID($H252&amp;" ",FIND("|",SUBSTITUTE($H252&amp;" "," ","|",1))+1,FIND("|",SUBSTITUTE($H252&amp;" "," ","|",2))-FIND("|",SUBSTITUTE($H252&amp;" "," ","|",1))-1),""))</f>
        <v/>
      </c>
      <c r="D252" s="58">
        <f>IF($H252="","",IFERROR(MID($H252&amp;" ",FIND("|",SUBSTITUTE($H252&amp;" "," ","|",2))+1,FIND("|",SUBSTITUTE($H252&amp;" "," ","|",3))-FIND("|",SUBSTITUTE($H252&amp;" "," ","|",2))-1),""))</f>
        <v/>
      </c>
      <c r="E252" s="58">
        <f>IF($H252="","",IFERROR(MID($H252&amp;" ",FIND("|",SUBSTITUTE($H252&amp;" "," ","|",3))+1,FIND("|",SUBSTITUTE($H252&amp;" "," ","|",4))-FIND("|",SUBSTITUTE($H252&amp;" "," ","|",3))-1),""))</f>
        <v/>
      </c>
      <c r="F252" s="59">
        <f>IF($H252="","",IFERROR(VALUE(IFERROR(MID($H252&amp;" ",FIND("|",SUBSTITUTE($H252&amp;" "," ","|",4))+1,FIND("|",SUBSTITUTE($H252&amp;" "," ","|",5))-FIND("|",SUBSTITUTE($H252&amp;" "," ","|",4))-1),""))/86400+25569+9/24,""))</f>
        <v/>
      </c>
      <c r="G252" s="58">
        <f>TRIM(SUBSTITUTE(SUBSTITUTE(SUBSTITUTE($A252,CHAR(9)," ")," "," "),CHAR(13),""))</f>
        <v/>
      </c>
      <c r="H252" s="58">
        <f>IF($G252="","",IF(ISNUMBER(FIND(" ",$G252)),$G252,IFERROR(IF((LEN(SUBSTITUTE(SUBSTITUTE($G252,"-"," ",LEN($G252)-LEN(SUBSTITUTE($G252,"-",""))),"-"," ",LEN($G252)-LEN(SUBSTITUTE($G252,"-",""))-1))-LEN(SUBSTITUTE(SUBSTITUTE(SUBSTITUTE($G252,"-"," ",LEN($G252)-LEN(SUBSTITUTE($G252,"-",""))),"-"," ",LEN($G252)-LEN(SUBSTITUTE($G252,"-",""))-1),".","")))=0,SUBSTITUTE(SUBSTITUTE($G252,"-"," ",LEN($G252)-LEN(SUBSTITUTE($G252,"-",""))),"-"," ",LEN($G252)-LEN(SUBSTITUTE($G252,"-",""))-1),SUBSTITUTE(SUBSTITUTE(SUBSTITUTE($G252,"-"," ",LEN($G252)-LEN(SUBSTITUTE($G252,"-",""))),"-"," ",LEN($G252)-LEN(SUBSTITUTE($G252,"-",""))-1),"."," ",(LEN(SUBSTITUTE(SUBSTITUTE($G252,"-"," ",LEN($G252)-LEN(SUBSTITUTE($G252,"-",""))),"-"," ",LEN($G252)-LEN(SUBSTITUTE($G252,"-",""))-1))-LEN(SUBSTITUTE(SUBSTITUTE(SUBSTITUTE($G252,"-"," ",LEN($G252)-LEN(SUBSTITUTE($G252,"-",""))),"-"," ",LEN($G252)-LEN(SUBSTITUTE($G252,"-",""))-1),".",""))))),$G252)))</f>
        <v/>
      </c>
    </row>
    <row r="253">
      <c r="A253" s="58" t="n"/>
      <c r="B253" s="58">
        <f>IF($H253="","",LEFT($H253,FIND(" ",$H253&amp;" ")-1))</f>
        <v/>
      </c>
      <c r="C253" s="58">
        <f>IF($H253="","",IFERROR(MID($H253&amp;" ",FIND("|",SUBSTITUTE($H253&amp;" "," ","|",1))+1,FIND("|",SUBSTITUTE($H253&amp;" "," ","|",2))-FIND("|",SUBSTITUTE($H253&amp;" "," ","|",1))-1),""))</f>
        <v/>
      </c>
      <c r="D253" s="58">
        <f>IF($H253="","",IFERROR(MID($H253&amp;" ",FIND("|",SUBSTITUTE($H253&amp;" "," ","|",2))+1,FIND("|",SUBSTITUTE($H253&amp;" "," ","|",3))-FIND("|",SUBSTITUTE($H253&amp;" "," ","|",2))-1),""))</f>
        <v/>
      </c>
      <c r="E253" s="58">
        <f>IF($H253="","",IFERROR(MID($H253&amp;" ",FIND("|",SUBSTITUTE($H253&amp;" "," ","|",3))+1,FIND("|",SUBSTITUTE($H253&amp;" "," ","|",4))-FIND("|",SUBSTITUTE($H253&amp;" "," ","|",3))-1),""))</f>
        <v/>
      </c>
      <c r="F253" s="59">
        <f>IF($H253="","",IFERROR(VALUE(IFERROR(MID($H253&amp;" ",FIND("|",SUBSTITUTE($H253&amp;" "," ","|",4))+1,FIND("|",SUBSTITUTE($H253&amp;" "," ","|",5))-FIND("|",SUBSTITUTE($H253&amp;" "," ","|",4))-1),""))/86400+25569+9/24,""))</f>
        <v/>
      </c>
      <c r="G253" s="58">
        <f>TRIM(SUBSTITUTE(SUBSTITUTE(SUBSTITUTE($A253,CHAR(9)," ")," "," "),CHAR(13),""))</f>
        <v/>
      </c>
      <c r="H253" s="58">
        <f>IF($G253="","",IF(ISNUMBER(FIND(" ",$G253)),$G253,IFERROR(IF((LEN(SUBSTITUTE(SUBSTITUTE($G253,"-"," ",LEN($G253)-LEN(SUBSTITUTE($G253,"-",""))),"-"," ",LEN($G253)-LEN(SUBSTITUTE($G253,"-",""))-1))-LEN(SUBSTITUTE(SUBSTITUTE(SUBSTITUTE($G253,"-"," ",LEN($G253)-LEN(SUBSTITUTE($G253,"-",""))),"-"," ",LEN($G253)-LEN(SUBSTITUTE($G253,"-",""))-1),".","")))=0,SUBSTITUTE(SUBSTITUTE($G253,"-"," ",LEN($G253)-LEN(SUBSTITUTE($G253,"-",""))),"-"," ",LEN($G253)-LEN(SUBSTITUTE($G253,"-",""))-1),SUBSTITUTE(SUBSTITUTE(SUBSTITUTE($G253,"-"," ",LEN($G253)-LEN(SUBSTITUTE($G253,"-",""))),"-"," ",LEN($G253)-LEN(SUBSTITUTE($G253,"-",""))-1),"."," ",(LEN(SUBSTITUTE(SUBSTITUTE($G253,"-"," ",LEN($G253)-LEN(SUBSTITUTE($G253,"-",""))),"-"," ",LEN($G253)-LEN(SUBSTITUTE($G253,"-",""))-1))-LEN(SUBSTITUTE(SUBSTITUTE(SUBSTITUTE($G253,"-"," ",LEN($G253)-LEN(SUBSTITUTE($G253,"-",""))),"-"," ",LEN($G253)-LEN(SUBSTITUTE($G253,"-",""))-1),".",""))))),$G253)))</f>
        <v/>
      </c>
    </row>
    <row r="254">
      <c r="A254" s="58" t="n"/>
      <c r="B254" s="58">
        <f>IF($H254="","",LEFT($H254,FIND(" ",$H254&amp;" ")-1))</f>
        <v/>
      </c>
      <c r="C254" s="58">
        <f>IF($H254="","",IFERROR(MID($H254&amp;" ",FIND("|",SUBSTITUTE($H254&amp;" "," ","|",1))+1,FIND("|",SUBSTITUTE($H254&amp;" "," ","|",2))-FIND("|",SUBSTITUTE($H254&amp;" "," ","|",1))-1),""))</f>
        <v/>
      </c>
      <c r="D254" s="58">
        <f>IF($H254="","",IFERROR(MID($H254&amp;" ",FIND("|",SUBSTITUTE($H254&amp;" "," ","|",2))+1,FIND("|",SUBSTITUTE($H254&amp;" "," ","|",3))-FIND("|",SUBSTITUTE($H254&amp;" "," ","|",2))-1),""))</f>
        <v/>
      </c>
      <c r="E254" s="58">
        <f>IF($H254="","",IFERROR(MID($H254&amp;" ",FIND("|",SUBSTITUTE($H254&amp;" "," ","|",3))+1,FIND("|",SUBSTITUTE($H254&amp;" "," ","|",4))-FIND("|",SUBSTITUTE($H254&amp;" "," ","|",3))-1),""))</f>
        <v/>
      </c>
      <c r="F254" s="59">
        <f>IF($H254="","",IFERROR(VALUE(IFERROR(MID($H254&amp;" ",FIND("|",SUBSTITUTE($H254&amp;" "," ","|",4))+1,FIND("|",SUBSTITUTE($H254&amp;" "," ","|",5))-FIND("|",SUBSTITUTE($H254&amp;" "," ","|",4))-1),""))/86400+25569+9/24,""))</f>
        <v/>
      </c>
      <c r="G254" s="58">
        <f>TRIM(SUBSTITUTE(SUBSTITUTE(SUBSTITUTE($A254,CHAR(9)," ")," "," "),CHAR(13),""))</f>
        <v/>
      </c>
      <c r="H254" s="58">
        <f>IF($G254="","",IF(ISNUMBER(FIND(" ",$G254)),$G254,IFERROR(IF((LEN(SUBSTITUTE(SUBSTITUTE($G254,"-"," ",LEN($G254)-LEN(SUBSTITUTE($G254,"-",""))),"-"," ",LEN($G254)-LEN(SUBSTITUTE($G254,"-",""))-1))-LEN(SUBSTITUTE(SUBSTITUTE(SUBSTITUTE($G254,"-"," ",LEN($G254)-LEN(SUBSTITUTE($G254,"-",""))),"-"," ",LEN($G254)-LEN(SUBSTITUTE($G254,"-",""))-1),".","")))=0,SUBSTITUTE(SUBSTITUTE($G254,"-"," ",LEN($G254)-LEN(SUBSTITUTE($G254,"-",""))),"-"," ",LEN($G254)-LEN(SUBSTITUTE($G254,"-",""))-1),SUBSTITUTE(SUBSTITUTE(SUBSTITUTE($G254,"-"," ",LEN($G254)-LEN(SUBSTITUTE($G254,"-",""))),"-"," ",LEN($G254)-LEN(SUBSTITUTE($G254,"-",""))-1),"."," ",(LEN(SUBSTITUTE(SUBSTITUTE($G254,"-"," ",LEN($G254)-LEN(SUBSTITUTE($G254,"-",""))),"-"," ",LEN($G254)-LEN(SUBSTITUTE($G254,"-",""))-1))-LEN(SUBSTITUTE(SUBSTITUTE(SUBSTITUTE($G254,"-"," ",LEN($G254)-LEN(SUBSTITUTE($G254,"-",""))),"-"," ",LEN($G254)-LEN(SUBSTITUTE($G254,"-",""))-1),".",""))))),$G254)))</f>
        <v/>
      </c>
    </row>
    <row r="255">
      <c r="A255" s="58" t="n"/>
      <c r="B255" s="58">
        <f>IF($H255="","",LEFT($H255,FIND(" ",$H255&amp;" ")-1))</f>
        <v/>
      </c>
      <c r="C255" s="58">
        <f>IF($H255="","",IFERROR(MID($H255&amp;" ",FIND("|",SUBSTITUTE($H255&amp;" "," ","|",1))+1,FIND("|",SUBSTITUTE($H255&amp;" "," ","|",2))-FIND("|",SUBSTITUTE($H255&amp;" "," ","|",1))-1),""))</f>
        <v/>
      </c>
      <c r="D255" s="58">
        <f>IF($H255="","",IFERROR(MID($H255&amp;" ",FIND("|",SUBSTITUTE($H255&amp;" "," ","|",2))+1,FIND("|",SUBSTITUTE($H255&amp;" "," ","|",3))-FIND("|",SUBSTITUTE($H255&amp;" "," ","|",2))-1),""))</f>
        <v/>
      </c>
      <c r="E255" s="58">
        <f>IF($H255="","",IFERROR(MID($H255&amp;" ",FIND("|",SUBSTITUTE($H255&amp;" "," ","|",3))+1,FIND("|",SUBSTITUTE($H255&amp;" "," ","|",4))-FIND("|",SUBSTITUTE($H255&amp;" "," ","|",3))-1),""))</f>
        <v/>
      </c>
      <c r="F255" s="59">
        <f>IF($H255="","",IFERROR(VALUE(IFERROR(MID($H255&amp;" ",FIND("|",SUBSTITUTE($H255&amp;" "," ","|",4))+1,FIND("|",SUBSTITUTE($H255&amp;" "," ","|",5))-FIND("|",SUBSTITUTE($H255&amp;" "," ","|",4))-1),""))/86400+25569+9/24,""))</f>
        <v/>
      </c>
      <c r="G255" s="58">
        <f>TRIM(SUBSTITUTE(SUBSTITUTE(SUBSTITUTE($A255,CHAR(9)," ")," "," "),CHAR(13),""))</f>
        <v/>
      </c>
      <c r="H255" s="58">
        <f>IF($G255="","",IF(ISNUMBER(FIND(" ",$G255)),$G255,IFERROR(IF((LEN(SUBSTITUTE(SUBSTITUTE($G255,"-"," ",LEN($G255)-LEN(SUBSTITUTE($G255,"-",""))),"-"," ",LEN($G255)-LEN(SUBSTITUTE($G255,"-",""))-1))-LEN(SUBSTITUTE(SUBSTITUTE(SUBSTITUTE($G255,"-"," ",LEN($G255)-LEN(SUBSTITUTE($G255,"-",""))),"-"," ",LEN($G255)-LEN(SUBSTITUTE($G255,"-",""))-1),".","")))=0,SUBSTITUTE(SUBSTITUTE($G255,"-"," ",LEN($G255)-LEN(SUBSTITUTE($G255,"-",""))),"-"," ",LEN($G255)-LEN(SUBSTITUTE($G255,"-",""))-1),SUBSTITUTE(SUBSTITUTE(SUBSTITUTE($G255,"-"," ",LEN($G255)-LEN(SUBSTITUTE($G255,"-",""))),"-"," ",LEN($G255)-LEN(SUBSTITUTE($G255,"-",""))-1),"."," ",(LEN(SUBSTITUTE(SUBSTITUTE($G255,"-"," ",LEN($G255)-LEN(SUBSTITUTE($G255,"-",""))),"-"," ",LEN($G255)-LEN(SUBSTITUTE($G255,"-",""))-1))-LEN(SUBSTITUTE(SUBSTITUTE(SUBSTITUTE($G255,"-"," ",LEN($G255)-LEN(SUBSTITUTE($G255,"-",""))),"-"," ",LEN($G255)-LEN(SUBSTITUTE($G255,"-",""))-1),".",""))))),$G255)))</f>
        <v/>
      </c>
    </row>
    <row r="256">
      <c r="A256" s="58" t="n"/>
      <c r="B256" s="58">
        <f>IF($H256="","",LEFT($H256,FIND(" ",$H256&amp;" ")-1))</f>
        <v/>
      </c>
      <c r="C256" s="58">
        <f>IF($H256="","",IFERROR(MID($H256&amp;" ",FIND("|",SUBSTITUTE($H256&amp;" "," ","|",1))+1,FIND("|",SUBSTITUTE($H256&amp;" "," ","|",2))-FIND("|",SUBSTITUTE($H256&amp;" "," ","|",1))-1),""))</f>
        <v/>
      </c>
      <c r="D256" s="58">
        <f>IF($H256="","",IFERROR(MID($H256&amp;" ",FIND("|",SUBSTITUTE($H256&amp;" "," ","|",2))+1,FIND("|",SUBSTITUTE($H256&amp;" "," ","|",3))-FIND("|",SUBSTITUTE($H256&amp;" "," ","|",2))-1),""))</f>
        <v/>
      </c>
      <c r="E256" s="58">
        <f>IF($H256="","",IFERROR(MID($H256&amp;" ",FIND("|",SUBSTITUTE($H256&amp;" "," ","|",3))+1,FIND("|",SUBSTITUTE($H256&amp;" "," ","|",4))-FIND("|",SUBSTITUTE($H256&amp;" "," ","|",3))-1),""))</f>
        <v/>
      </c>
      <c r="F256" s="59">
        <f>IF($H256="","",IFERROR(VALUE(IFERROR(MID($H256&amp;" ",FIND("|",SUBSTITUTE($H256&amp;" "," ","|",4))+1,FIND("|",SUBSTITUTE($H256&amp;" "," ","|",5))-FIND("|",SUBSTITUTE($H256&amp;" "," ","|",4))-1),""))/86400+25569+9/24,""))</f>
        <v/>
      </c>
      <c r="G256" s="58">
        <f>TRIM(SUBSTITUTE(SUBSTITUTE(SUBSTITUTE($A256,CHAR(9)," ")," "," "),CHAR(13),""))</f>
        <v/>
      </c>
      <c r="H256" s="58">
        <f>IF($G256="","",IF(ISNUMBER(FIND(" ",$G256)),$G256,IFERROR(IF((LEN(SUBSTITUTE(SUBSTITUTE($G256,"-"," ",LEN($G256)-LEN(SUBSTITUTE($G256,"-",""))),"-"," ",LEN($G256)-LEN(SUBSTITUTE($G256,"-",""))-1))-LEN(SUBSTITUTE(SUBSTITUTE(SUBSTITUTE($G256,"-"," ",LEN($G256)-LEN(SUBSTITUTE($G256,"-",""))),"-"," ",LEN($G256)-LEN(SUBSTITUTE($G256,"-",""))-1),".","")))=0,SUBSTITUTE(SUBSTITUTE($G256,"-"," ",LEN($G256)-LEN(SUBSTITUTE($G256,"-",""))),"-"," ",LEN($G256)-LEN(SUBSTITUTE($G256,"-",""))-1),SUBSTITUTE(SUBSTITUTE(SUBSTITUTE($G256,"-"," ",LEN($G256)-LEN(SUBSTITUTE($G256,"-",""))),"-"," ",LEN($G256)-LEN(SUBSTITUTE($G256,"-",""))-1),"."," ",(LEN(SUBSTITUTE(SUBSTITUTE($G256,"-"," ",LEN($G256)-LEN(SUBSTITUTE($G256,"-",""))),"-"," ",LEN($G256)-LEN(SUBSTITUTE($G256,"-",""))-1))-LEN(SUBSTITUTE(SUBSTITUTE(SUBSTITUTE($G256,"-"," ",LEN($G256)-LEN(SUBSTITUTE($G256,"-",""))),"-"," ",LEN($G256)-LEN(SUBSTITUTE($G256,"-",""))-1),".",""))))),$G256)))</f>
        <v/>
      </c>
    </row>
    <row r="257">
      <c r="A257" s="58" t="n"/>
      <c r="B257" s="58">
        <f>IF($H257="","",LEFT($H257,FIND(" ",$H257&amp;" ")-1))</f>
        <v/>
      </c>
      <c r="C257" s="58">
        <f>IF($H257="","",IFERROR(MID($H257&amp;" ",FIND("|",SUBSTITUTE($H257&amp;" "," ","|",1))+1,FIND("|",SUBSTITUTE($H257&amp;" "," ","|",2))-FIND("|",SUBSTITUTE($H257&amp;" "," ","|",1))-1),""))</f>
        <v/>
      </c>
      <c r="D257" s="58">
        <f>IF($H257="","",IFERROR(MID($H257&amp;" ",FIND("|",SUBSTITUTE($H257&amp;" "," ","|",2))+1,FIND("|",SUBSTITUTE($H257&amp;" "," ","|",3))-FIND("|",SUBSTITUTE($H257&amp;" "," ","|",2))-1),""))</f>
        <v/>
      </c>
      <c r="E257" s="58">
        <f>IF($H257="","",IFERROR(MID($H257&amp;" ",FIND("|",SUBSTITUTE($H257&amp;" "," ","|",3))+1,FIND("|",SUBSTITUTE($H257&amp;" "," ","|",4))-FIND("|",SUBSTITUTE($H257&amp;" "," ","|",3))-1),""))</f>
        <v/>
      </c>
      <c r="F257" s="59">
        <f>IF($H257="","",IFERROR(VALUE(IFERROR(MID($H257&amp;" ",FIND("|",SUBSTITUTE($H257&amp;" "," ","|",4))+1,FIND("|",SUBSTITUTE($H257&amp;" "," ","|",5))-FIND("|",SUBSTITUTE($H257&amp;" "," ","|",4))-1),""))/86400+25569+9/24,""))</f>
        <v/>
      </c>
      <c r="G257" s="58">
        <f>TRIM(SUBSTITUTE(SUBSTITUTE(SUBSTITUTE($A257,CHAR(9)," ")," "," "),CHAR(13),""))</f>
        <v/>
      </c>
      <c r="H257" s="58">
        <f>IF($G257="","",IF(ISNUMBER(FIND(" ",$G257)),$G257,IFERROR(IF((LEN(SUBSTITUTE(SUBSTITUTE($G257,"-"," ",LEN($G257)-LEN(SUBSTITUTE($G257,"-",""))),"-"," ",LEN($G257)-LEN(SUBSTITUTE($G257,"-",""))-1))-LEN(SUBSTITUTE(SUBSTITUTE(SUBSTITUTE($G257,"-"," ",LEN($G257)-LEN(SUBSTITUTE($G257,"-",""))),"-"," ",LEN($G257)-LEN(SUBSTITUTE($G257,"-",""))-1),".","")))=0,SUBSTITUTE(SUBSTITUTE($G257,"-"," ",LEN($G257)-LEN(SUBSTITUTE($G257,"-",""))),"-"," ",LEN($G257)-LEN(SUBSTITUTE($G257,"-",""))-1),SUBSTITUTE(SUBSTITUTE(SUBSTITUTE($G257,"-"," ",LEN($G257)-LEN(SUBSTITUTE($G257,"-",""))),"-"," ",LEN($G257)-LEN(SUBSTITUTE($G257,"-",""))-1),"."," ",(LEN(SUBSTITUTE(SUBSTITUTE($G257,"-"," ",LEN($G257)-LEN(SUBSTITUTE($G257,"-",""))),"-"," ",LEN($G257)-LEN(SUBSTITUTE($G257,"-",""))-1))-LEN(SUBSTITUTE(SUBSTITUTE(SUBSTITUTE($G257,"-"," ",LEN($G257)-LEN(SUBSTITUTE($G257,"-",""))),"-"," ",LEN($G257)-LEN(SUBSTITUTE($G257,"-",""))-1),".",""))))),$G257)))</f>
        <v/>
      </c>
    </row>
    <row r="258">
      <c r="A258" s="58" t="n"/>
      <c r="B258" s="58">
        <f>IF($H258="","",LEFT($H258,FIND(" ",$H258&amp;" ")-1))</f>
        <v/>
      </c>
      <c r="C258" s="58">
        <f>IF($H258="","",IFERROR(MID($H258&amp;" ",FIND("|",SUBSTITUTE($H258&amp;" "," ","|",1))+1,FIND("|",SUBSTITUTE($H258&amp;" "," ","|",2))-FIND("|",SUBSTITUTE($H258&amp;" "," ","|",1))-1),""))</f>
        <v/>
      </c>
      <c r="D258" s="58">
        <f>IF($H258="","",IFERROR(MID($H258&amp;" ",FIND("|",SUBSTITUTE($H258&amp;" "," ","|",2))+1,FIND("|",SUBSTITUTE($H258&amp;" "," ","|",3))-FIND("|",SUBSTITUTE($H258&amp;" "," ","|",2))-1),""))</f>
        <v/>
      </c>
      <c r="E258" s="58">
        <f>IF($H258="","",IFERROR(MID($H258&amp;" ",FIND("|",SUBSTITUTE($H258&amp;" "," ","|",3))+1,FIND("|",SUBSTITUTE($H258&amp;" "," ","|",4))-FIND("|",SUBSTITUTE($H258&amp;" "," ","|",3))-1),""))</f>
        <v/>
      </c>
      <c r="F258" s="59">
        <f>IF($H258="","",IFERROR(VALUE(IFERROR(MID($H258&amp;" ",FIND("|",SUBSTITUTE($H258&amp;" "," ","|",4))+1,FIND("|",SUBSTITUTE($H258&amp;" "," ","|",5))-FIND("|",SUBSTITUTE($H258&amp;" "," ","|",4))-1),""))/86400+25569+9/24,""))</f>
        <v/>
      </c>
      <c r="G258" s="58">
        <f>TRIM(SUBSTITUTE(SUBSTITUTE(SUBSTITUTE($A258,CHAR(9)," ")," "," "),CHAR(13),""))</f>
        <v/>
      </c>
      <c r="H258" s="58">
        <f>IF($G258="","",IF(ISNUMBER(FIND(" ",$G258)),$G258,IFERROR(IF((LEN(SUBSTITUTE(SUBSTITUTE($G258,"-"," ",LEN($G258)-LEN(SUBSTITUTE($G258,"-",""))),"-"," ",LEN($G258)-LEN(SUBSTITUTE($G258,"-",""))-1))-LEN(SUBSTITUTE(SUBSTITUTE(SUBSTITUTE($G258,"-"," ",LEN($G258)-LEN(SUBSTITUTE($G258,"-",""))),"-"," ",LEN($G258)-LEN(SUBSTITUTE($G258,"-",""))-1),".","")))=0,SUBSTITUTE(SUBSTITUTE($G258,"-"," ",LEN($G258)-LEN(SUBSTITUTE($G258,"-",""))),"-"," ",LEN($G258)-LEN(SUBSTITUTE($G258,"-",""))-1),SUBSTITUTE(SUBSTITUTE(SUBSTITUTE($G258,"-"," ",LEN($G258)-LEN(SUBSTITUTE($G258,"-",""))),"-"," ",LEN($G258)-LEN(SUBSTITUTE($G258,"-",""))-1),"."," ",(LEN(SUBSTITUTE(SUBSTITUTE($G258,"-"," ",LEN($G258)-LEN(SUBSTITUTE($G258,"-",""))),"-"," ",LEN($G258)-LEN(SUBSTITUTE($G258,"-",""))-1))-LEN(SUBSTITUTE(SUBSTITUTE(SUBSTITUTE($G258,"-"," ",LEN($G258)-LEN(SUBSTITUTE($G258,"-",""))),"-"," ",LEN($G258)-LEN(SUBSTITUTE($G258,"-",""))-1),".",""))))),$G258)))</f>
        <v/>
      </c>
    </row>
    <row r="259">
      <c r="A259" s="58" t="n"/>
      <c r="B259" s="58">
        <f>IF($H259="","",LEFT($H259,FIND(" ",$H259&amp;" ")-1))</f>
        <v/>
      </c>
      <c r="C259" s="58">
        <f>IF($H259="","",IFERROR(MID($H259&amp;" ",FIND("|",SUBSTITUTE($H259&amp;" "," ","|",1))+1,FIND("|",SUBSTITUTE($H259&amp;" "," ","|",2))-FIND("|",SUBSTITUTE($H259&amp;" "," ","|",1))-1),""))</f>
        <v/>
      </c>
      <c r="D259" s="58">
        <f>IF($H259="","",IFERROR(MID($H259&amp;" ",FIND("|",SUBSTITUTE($H259&amp;" "," ","|",2))+1,FIND("|",SUBSTITUTE($H259&amp;" "," ","|",3))-FIND("|",SUBSTITUTE($H259&amp;" "," ","|",2))-1),""))</f>
        <v/>
      </c>
      <c r="E259" s="58">
        <f>IF($H259="","",IFERROR(MID($H259&amp;" ",FIND("|",SUBSTITUTE($H259&amp;" "," ","|",3))+1,FIND("|",SUBSTITUTE($H259&amp;" "," ","|",4))-FIND("|",SUBSTITUTE($H259&amp;" "," ","|",3))-1),""))</f>
        <v/>
      </c>
      <c r="F259" s="59">
        <f>IF($H259="","",IFERROR(VALUE(IFERROR(MID($H259&amp;" ",FIND("|",SUBSTITUTE($H259&amp;" "," ","|",4))+1,FIND("|",SUBSTITUTE($H259&amp;" "," ","|",5))-FIND("|",SUBSTITUTE($H259&amp;" "," ","|",4))-1),""))/86400+25569+9/24,""))</f>
        <v/>
      </c>
      <c r="G259" s="58">
        <f>TRIM(SUBSTITUTE(SUBSTITUTE(SUBSTITUTE($A259,CHAR(9)," ")," "," "),CHAR(13),""))</f>
        <v/>
      </c>
      <c r="H259" s="58">
        <f>IF($G259="","",IF(ISNUMBER(FIND(" ",$G259)),$G259,IFERROR(IF((LEN(SUBSTITUTE(SUBSTITUTE($G259,"-"," ",LEN($G259)-LEN(SUBSTITUTE($G259,"-",""))),"-"," ",LEN($G259)-LEN(SUBSTITUTE($G259,"-",""))-1))-LEN(SUBSTITUTE(SUBSTITUTE(SUBSTITUTE($G259,"-"," ",LEN($G259)-LEN(SUBSTITUTE($G259,"-",""))),"-"," ",LEN($G259)-LEN(SUBSTITUTE($G259,"-",""))-1),".","")))=0,SUBSTITUTE(SUBSTITUTE($G259,"-"," ",LEN($G259)-LEN(SUBSTITUTE($G259,"-",""))),"-"," ",LEN($G259)-LEN(SUBSTITUTE($G259,"-",""))-1),SUBSTITUTE(SUBSTITUTE(SUBSTITUTE($G259,"-"," ",LEN($G259)-LEN(SUBSTITUTE($G259,"-",""))),"-"," ",LEN($G259)-LEN(SUBSTITUTE($G259,"-",""))-1),"."," ",(LEN(SUBSTITUTE(SUBSTITUTE($G259,"-"," ",LEN($G259)-LEN(SUBSTITUTE($G259,"-",""))),"-"," ",LEN($G259)-LEN(SUBSTITUTE($G259,"-",""))-1))-LEN(SUBSTITUTE(SUBSTITUTE(SUBSTITUTE($G259,"-"," ",LEN($G259)-LEN(SUBSTITUTE($G259,"-",""))),"-"," ",LEN($G259)-LEN(SUBSTITUTE($G259,"-",""))-1),".",""))))),$G259)))</f>
        <v/>
      </c>
    </row>
    <row r="260">
      <c r="A260" s="58" t="n"/>
      <c r="B260" s="58">
        <f>IF($H260="","",LEFT($H260,FIND(" ",$H260&amp;" ")-1))</f>
        <v/>
      </c>
      <c r="C260" s="58">
        <f>IF($H260="","",IFERROR(MID($H260&amp;" ",FIND("|",SUBSTITUTE($H260&amp;" "," ","|",1))+1,FIND("|",SUBSTITUTE($H260&amp;" "," ","|",2))-FIND("|",SUBSTITUTE($H260&amp;" "," ","|",1))-1),""))</f>
        <v/>
      </c>
      <c r="D260" s="58">
        <f>IF($H260="","",IFERROR(MID($H260&amp;" ",FIND("|",SUBSTITUTE($H260&amp;" "," ","|",2))+1,FIND("|",SUBSTITUTE($H260&amp;" "," ","|",3))-FIND("|",SUBSTITUTE($H260&amp;" "," ","|",2))-1),""))</f>
        <v/>
      </c>
      <c r="E260" s="58">
        <f>IF($H260="","",IFERROR(MID($H260&amp;" ",FIND("|",SUBSTITUTE($H260&amp;" "," ","|",3))+1,FIND("|",SUBSTITUTE($H260&amp;" "," ","|",4))-FIND("|",SUBSTITUTE($H260&amp;" "," ","|",3))-1),""))</f>
        <v/>
      </c>
      <c r="F260" s="59">
        <f>IF($H260="","",IFERROR(VALUE(IFERROR(MID($H260&amp;" ",FIND("|",SUBSTITUTE($H260&amp;" "," ","|",4))+1,FIND("|",SUBSTITUTE($H260&amp;" "," ","|",5))-FIND("|",SUBSTITUTE($H260&amp;" "," ","|",4))-1),""))/86400+25569+9/24,""))</f>
        <v/>
      </c>
      <c r="G260" s="58">
        <f>TRIM(SUBSTITUTE(SUBSTITUTE(SUBSTITUTE($A260,CHAR(9)," ")," "," "),CHAR(13),""))</f>
        <v/>
      </c>
      <c r="H260" s="58">
        <f>IF($G260="","",IF(ISNUMBER(FIND(" ",$G260)),$G260,IFERROR(IF((LEN(SUBSTITUTE(SUBSTITUTE($G260,"-"," ",LEN($G260)-LEN(SUBSTITUTE($G260,"-",""))),"-"," ",LEN($G260)-LEN(SUBSTITUTE($G260,"-",""))-1))-LEN(SUBSTITUTE(SUBSTITUTE(SUBSTITUTE($G260,"-"," ",LEN($G260)-LEN(SUBSTITUTE($G260,"-",""))),"-"," ",LEN($G260)-LEN(SUBSTITUTE($G260,"-",""))-1),".","")))=0,SUBSTITUTE(SUBSTITUTE($G260,"-"," ",LEN($G260)-LEN(SUBSTITUTE($G260,"-",""))),"-"," ",LEN($G260)-LEN(SUBSTITUTE($G260,"-",""))-1),SUBSTITUTE(SUBSTITUTE(SUBSTITUTE($G260,"-"," ",LEN($G260)-LEN(SUBSTITUTE($G260,"-",""))),"-"," ",LEN($G260)-LEN(SUBSTITUTE($G260,"-",""))-1),"."," ",(LEN(SUBSTITUTE(SUBSTITUTE($G260,"-"," ",LEN($G260)-LEN(SUBSTITUTE($G260,"-",""))),"-"," ",LEN($G260)-LEN(SUBSTITUTE($G260,"-",""))-1))-LEN(SUBSTITUTE(SUBSTITUTE(SUBSTITUTE($G260,"-"," ",LEN($G260)-LEN(SUBSTITUTE($G260,"-",""))),"-"," ",LEN($G260)-LEN(SUBSTITUTE($G260,"-",""))-1),".",""))))),$G260)))</f>
        <v/>
      </c>
    </row>
    <row r="261">
      <c r="A261" s="58" t="n"/>
      <c r="B261" s="58">
        <f>IF($H261="","",LEFT($H261,FIND(" ",$H261&amp;" ")-1))</f>
        <v/>
      </c>
      <c r="C261" s="58">
        <f>IF($H261="","",IFERROR(MID($H261&amp;" ",FIND("|",SUBSTITUTE($H261&amp;" "," ","|",1))+1,FIND("|",SUBSTITUTE($H261&amp;" "," ","|",2))-FIND("|",SUBSTITUTE($H261&amp;" "," ","|",1))-1),""))</f>
        <v/>
      </c>
      <c r="D261" s="58">
        <f>IF($H261="","",IFERROR(MID($H261&amp;" ",FIND("|",SUBSTITUTE($H261&amp;" "," ","|",2))+1,FIND("|",SUBSTITUTE($H261&amp;" "," ","|",3))-FIND("|",SUBSTITUTE($H261&amp;" "," ","|",2))-1),""))</f>
        <v/>
      </c>
      <c r="E261" s="58">
        <f>IF($H261="","",IFERROR(MID($H261&amp;" ",FIND("|",SUBSTITUTE($H261&amp;" "," ","|",3))+1,FIND("|",SUBSTITUTE($H261&amp;" "," ","|",4))-FIND("|",SUBSTITUTE($H261&amp;" "," ","|",3))-1),""))</f>
        <v/>
      </c>
      <c r="F261" s="59">
        <f>IF($H261="","",IFERROR(VALUE(IFERROR(MID($H261&amp;" ",FIND("|",SUBSTITUTE($H261&amp;" "," ","|",4))+1,FIND("|",SUBSTITUTE($H261&amp;" "," ","|",5))-FIND("|",SUBSTITUTE($H261&amp;" "," ","|",4))-1),""))/86400+25569+9/24,""))</f>
        <v/>
      </c>
      <c r="G261" s="58">
        <f>TRIM(SUBSTITUTE(SUBSTITUTE(SUBSTITUTE($A261,CHAR(9)," ")," "," "),CHAR(13),""))</f>
        <v/>
      </c>
      <c r="H261" s="58">
        <f>IF($G261="","",IF(ISNUMBER(FIND(" ",$G261)),$G261,IFERROR(IF((LEN(SUBSTITUTE(SUBSTITUTE($G261,"-"," ",LEN($G261)-LEN(SUBSTITUTE($G261,"-",""))),"-"," ",LEN($G261)-LEN(SUBSTITUTE($G261,"-",""))-1))-LEN(SUBSTITUTE(SUBSTITUTE(SUBSTITUTE($G261,"-"," ",LEN($G261)-LEN(SUBSTITUTE($G261,"-",""))),"-"," ",LEN($G261)-LEN(SUBSTITUTE($G261,"-",""))-1),".","")))=0,SUBSTITUTE(SUBSTITUTE($G261,"-"," ",LEN($G261)-LEN(SUBSTITUTE($G261,"-",""))),"-"," ",LEN($G261)-LEN(SUBSTITUTE($G261,"-",""))-1),SUBSTITUTE(SUBSTITUTE(SUBSTITUTE($G261,"-"," ",LEN($G261)-LEN(SUBSTITUTE($G261,"-",""))),"-"," ",LEN($G261)-LEN(SUBSTITUTE($G261,"-",""))-1),"."," ",(LEN(SUBSTITUTE(SUBSTITUTE($G261,"-"," ",LEN($G261)-LEN(SUBSTITUTE($G261,"-",""))),"-"," ",LEN($G261)-LEN(SUBSTITUTE($G261,"-",""))-1))-LEN(SUBSTITUTE(SUBSTITUTE(SUBSTITUTE($G261,"-"," ",LEN($G261)-LEN(SUBSTITUTE($G261,"-",""))),"-"," ",LEN($G261)-LEN(SUBSTITUTE($G261,"-",""))-1),".",""))))),$G261)))</f>
        <v/>
      </c>
    </row>
    <row r="262">
      <c r="A262" s="58" t="n"/>
      <c r="B262" s="58">
        <f>IF($H262="","",LEFT($H262,FIND(" ",$H262&amp;" ")-1))</f>
        <v/>
      </c>
      <c r="C262" s="58">
        <f>IF($H262="","",IFERROR(MID($H262&amp;" ",FIND("|",SUBSTITUTE($H262&amp;" "," ","|",1))+1,FIND("|",SUBSTITUTE($H262&amp;" "," ","|",2))-FIND("|",SUBSTITUTE($H262&amp;" "," ","|",1))-1),""))</f>
        <v/>
      </c>
      <c r="D262" s="58">
        <f>IF($H262="","",IFERROR(MID($H262&amp;" ",FIND("|",SUBSTITUTE($H262&amp;" "," ","|",2))+1,FIND("|",SUBSTITUTE($H262&amp;" "," ","|",3))-FIND("|",SUBSTITUTE($H262&amp;" "," ","|",2))-1),""))</f>
        <v/>
      </c>
      <c r="E262" s="58">
        <f>IF($H262="","",IFERROR(MID($H262&amp;" ",FIND("|",SUBSTITUTE($H262&amp;" "," ","|",3))+1,FIND("|",SUBSTITUTE($H262&amp;" "," ","|",4))-FIND("|",SUBSTITUTE($H262&amp;" "," ","|",3))-1),""))</f>
        <v/>
      </c>
      <c r="F262" s="59">
        <f>IF($H262="","",IFERROR(VALUE(IFERROR(MID($H262&amp;" ",FIND("|",SUBSTITUTE($H262&amp;" "," ","|",4))+1,FIND("|",SUBSTITUTE($H262&amp;" "," ","|",5))-FIND("|",SUBSTITUTE($H262&amp;" "," ","|",4))-1),""))/86400+25569+9/24,""))</f>
        <v/>
      </c>
      <c r="G262" s="58">
        <f>TRIM(SUBSTITUTE(SUBSTITUTE(SUBSTITUTE($A262,CHAR(9)," ")," "," "),CHAR(13),""))</f>
        <v/>
      </c>
      <c r="H262" s="58">
        <f>IF($G262="","",IF(ISNUMBER(FIND(" ",$G262)),$G262,IFERROR(IF((LEN(SUBSTITUTE(SUBSTITUTE($G262,"-"," ",LEN($G262)-LEN(SUBSTITUTE($G262,"-",""))),"-"," ",LEN($G262)-LEN(SUBSTITUTE($G262,"-",""))-1))-LEN(SUBSTITUTE(SUBSTITUTE(SUBSTITUTE($G262,"-"," ",LEN($G262)-LEN(SUBSTITUTE($G262,"-",""))),"-"," ",LEN($G262)-LEN(SUBSTITUTE($G262,"-",""))-1),".","")))=0,SUBSTITUTE(SUBSTITUTE($G262,"-"," ",LEN($G262)-LEN(SUBSTITUTE($G262,"-",""))),"-"," ",LEN($G262)-LEN(SUBSTITUTE($G262,"-",""))-1),SUBSTITUTE(SUBSTITUTE(SUBSTITUTE($G262,"-"," ",LEN($G262)-LEN(SUBSTITUTE($G262,"-",""))),"-"," ",LEN($G262)-LEN(SUBSTITUTE($G262,"-",""))-1),"."," ",(LEN(SUBSTITUTE(SUBSTITUTE($G262,"-"," ",LEN($G262)-LEN(SUBSTITUTE($G262,"-",""))),"-"," ",LEN($G262)-LEN(SUBSTITUTE($G262,"-",""))-1))-LEN(SUBSTITUTE(SUBSTITUTE(SUBSTITUTE($G262,"-"," ",LEN($G262)-LEN(SUBSTITUTE($G262,"-",""))),"-"," ",LEN($G262)-LEN(SUBSTITUTE($G262,"-",""))-1),".",""))))),$G262)))</f>
        <v/>
      </c>
    </row>
    <row r="263">
      <c r="A263" s="58" t="n"/>
      <c r="B263" s="58">
        <f>IF($H263="","",LEFT($H263,FIND(" ",$H263&amp;" ")-1))</f>
        <v/>
      </c>
      <c r="C263" s="58">
        <f>IF($H263="","",IFERROR(MID($H263&amp;" ",FIND("|",SUBSTITUTE($H263&amp;" "," ","|",1))+1,FIND("|",SUBSTITUTE($H263&amp;" "," ","|",2))-FIND("|",SUBSTITUTE($H263&amp;" "," ","|",1))-1),""))</f>
        <v/>
      </c>
      <c r="D263" s="58">
        <f>IF($H263="","",IFERROR(MID($H263&amp;" ",FIND("|",SUBSTITUTE($H263&amp;" "," ","|",2))+1,FIND("|",SUBSTITUTE($H263&amp;" "," ","|",3))-FIND("|",SUBSTITUTE($H263&amp;" "," ","|",2))-1),""))</f>
        <v/>
      </c>
      <c r="E263" s="58">
        <f>IF($H263="","",IFERROR(MID($H263&amp;" ",FIND("|",SUBSTITUTE($H263&amp;" "," ","|",3))+1,FIND("|",SUBSTITUTE($H263&amp;" "," ","|",4))-FIND("|",SUBSTITUTE($H263&amp;" "," ","|",3))-1),""))</f>
        <v/>
      </c>
      <c r="F263" s="59">
        <f>IF($H263="","",IFERROR(VALUE(IFERROR(MID($H263&amp;" ",FIND("|",SUBSTITUTE($H263&amp;" "," ","|",4))+1,FIND("|",SUBSTITUTE($H263&amp;" "," ","|",5))-FIND("|",SUBSTITUTE($H263&amp;" "," ","|",4))-1),""))/86400+25569+9/24,""))</f>
        <v/>
      </c>
      <c r="G263" s="58">
        <f>TRIM(SUBSTITUTE(SUBSTITUTE(SUBSTITUTE($A263,CHAR(9)," ")," "," "),CHAR(13),""))</f>
        <v/>
      </c>
      <c r="H263" s="58">
        <f>IF($G263="","",IF(ISNUMBER(FIND(" ",$G263)),$G263,IFERROR(IF((LEN(SUBSTITUTE(SUBSTITUTE($G263,"-"," ",LEN($G263)-LEN(SUBSTITUTE($G263,"-",""))),"-"," ",LEN($G263)-LEN(SUBSTITUTE($G263,"-",""))-1))-LEN(SUBSTITUTE(SUBSTITUTE(SUBSTITUTE($G263,"-"," ",LEN($G263)-LEN(SUBSTITUTE($G263,"-",""))),"-"," ",LEN($G263)-LEN(SUBSTITUTE($G263,"-",""))-1),".","")))=0,SUBSTITUTE(SUBSTITUTE($G263,"-"," ",LEN($G263)-LEN(SUBSTITUTE($G263,"-",""))),"-"," ",LEN($G263)-LEN(SUBSTITUTE($G263,"-",""))-1),SUBSTITUTE(SUBSTITUTE(SUBSTITUTE($G263,"-"," ",LEN($G263)-LEN(SUBSTITUTE($G263,"-",""))),"-"," ",LEN($G263)-LEN(SUBSTITUTE($G263,"-",""))-1),"."," ",(LEN(SUBSTITUTE(SUBSTITUTE($G263,"-"," ",LEN($G263)-LEN(SUBSTITUTE($G263,"-",""))),"-"," ",LEN($G263)-LEN(SUBSTITUTE($G263,"-",""))-1))-LEN(SUBSTITUTE(SUBSTITUTE(SUBSTITUTE($G263,"-"," ",LEN($G263)-LEN(SUBSTITUTE($G263,"-",""))),"-"," ",LEN($G263)-LEN(SUBSTITUTE($G263,"-",""))-1),".",""))))),$G263)))</f>
        <v/>
      </c>
    </row>
    <row r="264">
      <c r="A264" s="58" t="n"/>
      <c r="B264" s="58">
        <f>IF($H264="","",LEFT($H264,FIND(" ",$H264&amp;" ")-1))</f>
        <v/>
      </c>
      <c r="C264" s="58">
        <f>IF($H264="","",IFERROR(MID($H264&amp;" ",FIND("|",SUBSTITUTE($H264&amp;" "," ","|",1))+1,FIND("|",SUBSTITUTE($H264&amp;" "," ","|",2))-FIND("|",SUBSTITUTE($H264&amp;" "," ","|",1))-1),""))</f>
        <v/>
      </c>
      <c r="D264" s="58">
        <f>IF($H264="","",IFERROR(MID($H264&amp;" ",FIND("|",SUBSTITUTE($H264&amp;" "," ","|",2))+1,FIND("|",SUBSTITUTE($H264&amp;" "," ","|",3))-FIND("|",SUBSTITUTE($H264&amp;" "," ","|",2))-1),""))</f>
        <v/>
      </c>
      <c r="E264" s="58">
        <f>IF($H264="","",IFERROR(MID($H264&amp;" ",FIND("|",SUBSTITUTE($H264&amp;" "," ","|",3))+1,FIND("|",SUBSTITUTE($H264&amp;" "," ","|",4))-FIND("|",SUBSTITUTE($H264&amp;" "," ","|",3))-1),""))</f>
        <v/>
      </c>
      <c r="F264" s="59">
        <f>IF($H264="","",IFERROR(VALUE(IFERROR(MID($H264&amp;" ",FIND("|",SUBSTITUTE($H264&amp;" "," ","|",4))+1,FIND("|",SUBSTITUTE($H264&amp;" "," ","|",5))-FIND("|",SUBSTITUTE($H264&amp;" "," ","|",4))-1),""))/86400+25569+9/24,""))</f>
        <v/>
      </c>
      <c r="G264" s="58">
        <f>TRIM(SUBSTITUTE(SUBSTITUTE(SUBSTITUTE($A264,CHAR(9)," ")," "," "),CHAR(13),""))</f>
        <v/>
      </c>
      <c r="H264" s="58">
        <f>IF($G264="","",IF(ISNUMBER(FIND(" ",$G264)),$G264,IFERROR(IF((LEN(SUBSTITUTE(SUBSTITUTE($G264,"-"," ",LEN($G264)-LEN(SUBSTITUTE($G264,"-",""))),"-"," ",LEN($G264)-LEN(SUBSTITUTE($G264,"-",""))-1))-LEN(SUBSTITUTE(SUBSTITUTE(SUBSTITUTE($G264,"-"," ",LEN($G264)-LEN(SUBSTITUTE($G264,"-",""))),"-"," ",LEN($G264)-LEN(SUBSTITUTE($G264,"-",""))-1),".","")))=0,SUBSTITUTE(SUBSTITUTE($G264,"-"," ",LEN($G264)-LEN(SUBSTITUTE($G264,"-",""))),"-"," ",LEN($G264)-LEN(SUBSTITUTE($G264,"-",""))-1),SUBSTITUTE(SUBSTITUTE(SUBSTITUTE($G264,"-"," ",LEN($G264)-LEN(SUBSTITUTE($G264,"-",""))),"-"," ",LEN($G264)-LEN(SUBSTITUTE($G264,"-",""))-1),"."," ",(LEN(SUBSTITUTE(SUBSTITUTE($G264,"-"," ",LEN($G264)-LEN(SUBSTITUTE($G264,"-",""))),"-"," ",LEN($G264)-LEN(SUBSTITUTE($G264,"-",""))-1))-LEN(SUBSTITUTE(SUBSTITUTE(SUBSTITUTE($G264,"-"," ",LEN($G264)-LEN(SUBSTITUTE($G264,"-",""))),"-"," ",LEN($G264)-LEN(SUBSTITUTE($G264,"-",""))-1),".",""))))),$G264)))</f>
        <v/>
      </c>
    </row>
    <row r="265">
      <c r="A265" s="58" t="n"/>
      <c r="B265" s="58">
        <f>IF($H265="","",LEFT($H265,FIND(" ",$H265&amp;" ")-1))</f>
        <v/>
      </c>
      <c r="C265" s="58">
        <f>IF($H265="","",IFERROR(MID($H265&amp;" ",FIND("|",SUBSTITUTE($H265&amp;" "," ","|",1))+1,FIND("|",SUBSTITUTE($H265&amp;" "," ","|",2))-FIND("|",SUBSTITUTE($H265&amp;" "," ","|",1))-1),""))</f>
        <v/>
      </c>
      <c r="D265" s="58">
        <f>IF($H265="","",IFERROR(MID($H265&amp;" ",FIND("|",SUBSTITUTE($H265&amp;" "," ","|",2))+1,FIND("|",SUBSTITUTE($H265&amp;" "," ","|",3))-FIND("|",SUBSTITUTE($H265&amp;" "," ","|",2))-1),""))</f>
        <v/>
      </c>
      <c r="E265" s="58">
        <f>IF($H265="","",IFERROR(MID($H265&amp;" ",FIND("|",SUBSTITUTE($H265&amp;" "," ","|",3))+1,FIND("|",SUBSTITUTE($H265&amp;" "," ","|",4))-FIND("|",SUBSTITUTE($H265&amp;" "," ","|",3))-1),""))</f>
        <v/>
      </c>
      <c r="F265" s="59">
        <f>IF($H265="","",IFERROR(VALUE(IFERROR(MID($H265&amp;" ",FIND("|",SUBSTITUTE($H265&amp;" "," ","|",4))+1,FIND("|",SUBSTITUTE($H265&amp;" "," ","|",5))-FIND("|",SUBSTITUTE($H265&amp;" "," ","|",4))-1),""))/86400+25569+9/24,""))</f>
        <v/>
      </c>
      <c r="G265" s="58">
        <f>TRIM(SUBSTITUTE(SUBSTITUTE(SUBSTITUTE($A265,CHAR(9)," ")," "," "),CHAR(13),""))</f>
        <v/>
      </c>
      <c r="H265" s="58">
        <f>IF($G265="","",IF(ISNUMBER(FIND(" ",$G265)),$G265,IFERROR(IF((LEN(SUBSTITUTE(SUBSTITUTE($G265,"-"," ",LEN($G265)-LEN(SUBSTITUTE($G265,"-",""))),"-"," ",LEN($G265)-LEN(SUBSTITUTE($G265,"-",""))-1))-LEN(SUBSTITUTE(SUBSTITUTE(SUBSTITUTE($G265,"-"," ",LEN($G265)-LEN(SUBSTITUTE($G265,"-",""))),"-"," ",LEN($G265)-LEN(SUBSTITUTE($G265,"-",""))-1),".","")))=0,SUBSTITUTE(SUBSTITUTE($G265,"-"," ",LEN($G265)-LEN(SUBSTITUTE($G265,"-",""))),"-"," ",LEN($G265)-LEN(SUBSTITUTE($G265,"-",""))-1),SUBSTITUTE(SUBSTITUTE(SUBSTITUTE($G265,"-"," ",LEN($G265)-LEN(SUBSTITUTE($G265,"-",""))),"-"," ",LEN($G265)-LEN(SUBSTITUTE($G265,"-",""))-1),"."," ",(LEN(SUBSTITUTE(SUBSTITUTE($G265,"-"," ",LEN($G265)-LEN(SUBSTITUTE($G265,"-",""))),"-"," ",LEN($G265)-LEN(SUBSTITUTE($G265,"-",""))-1))-LEN(SUBSTITUTE(SUBSTITUTE(SUBSTITUTE($G265,"-"," ",LEN($G265)-LEN(SUBSTITUTE($G265,"-",""))),"-"," ",LEN($G265)-LEN(SUBSTITUTE($G265,"-",""))-1),".",""))))),$G265)))</f>
        <v/>
      </c>
    </row>
    <row r="266">
      <c r="A266" s="58" t="n"/>
      <c r="B266" s="58">
        <f>IF($H266="","",LEFT($H266,FIND(" ",$H266&amp;" ")-1))</f>
        <v/>
      </c>
      <c r="C266" s="58">
        <f>IF($H266="","",IFERROR(MID($H266&amp;" ",FIND("|",SUBSTITUTE($H266&amp;" "," ","|",1))+1,FIND("|",SUBSTITUTE($H266&amp;" "," ","|",2))-FIND("|",SUBSTITUTE($H266&amp;" "," ","|",1))-1),""))</f>
        <v/>
      </c>
      <c r="D266" s="58">
        <f>IF($H266="","",IFERROR(MID($H266&amp;" ",FIND("|",SUBSTITUTE($H266&amp;" "," ","|",2))+1,FIND("|",SUBSTITUTE($H266&amp;" "," ","|",3))-FIND("|",SUBSTITUTE($H266&amp;" "," ","|",2))-1),""))</f>
        <v/>
      </c>
      <c r="E266" s="58">
        <f>IF($H266="","",IFERROR(MID($H266&amp;" ",FIND("|",SUBSTITUTE($H266&amp;" "," ","|",3))+1,FIND("|",SUBSTITUTE($H266&amp;" "," ","|",4))-FIND("|",SUBSTITUTE($H266&amp;" "," ","|",3))-1),""))</f>
        <v/>
      </c>
      <c r="F266" s="59">
        <f>IF($H266="","",IFERROR(VALUE(IFERROR(MID($H266&amp;" ",FIND("|",SUBSTITUTE($H266&amp;" "," ","|",4))+1,FIND("|",SUBSTITUTE($H266&amp;" "," ","|",5))-FIND("|",SUBSTITUTE($H266&amp;" "," ","|",4))-1),""))/86400+25569+9/24,""))</f>
        <v/>
      </c>
      <c r="G266" s="58">
        <f>TRIM(SUBSTITUTE(SUBSTITUTE(SUBSTITUTE($A266,CHAR(9)," ")," "," "),CHAR(13),""))</f>
        <v/>
      </c>
      <c r="H266" s="58">
        <f>IF($G266="","",IF(ISNUMBER(FIND(" ",$G266)),$G266,IFERROR(IF((LEN(SUBSTITUTE(SUBSTITUTE($G266,"-"," ",LEN($G266)-LEN(SUBSTITUTE($G266,"-",""))),"-"," ",LEN($G266)-LEN(SUBSTITUTE($G266,"-",""))-1))-LEN(SUBSTITUTE(SUBSTITUTE(SUBSTITUTE($G266,"-"," ",LEN($G266)-LEN(SUBSTITUTE($G266,"-",""))),"-"," ",LEN($G266)-LEN(SUBSTITUTE($G266,"-",""))-1),".","")))=0,SUBSTITUTE(SUBSTITUTE($G266,"-"," ",LEN($G266)-LEN(SUBSTITUTE($G266,"-",""))),"-"," ",LEN($G266)-LEN(SUBSTITUTE($G266,"-",""))-1),SUBSTITUTE(SUBSTITUTE(SUBSTITUTE($G266,"-"," ",LEN($G266)-LEN(SUBSTITUTE($G266,"-",""))),"-"," ",LEN($G266)-LEN(SUBSTITUTE($G266,"-",""))-1),"."," ",(LEN(SUBSTITUTE(SUBSTITUTE($G266,"-"," ",LEN($G266)-LEN(SUBSTITUTE($G266,"-",""))),"-"," ",LEN($G266)-LEN(SUBSTITUTE($G266,"-",""))-1))-LEN(SUBSTITUTE(SUBSTITUTE(SUBSTITUTE($G266,"-"," ",LEN($G266)-LEN(SUBSTITUTE($G266,"-",""))),"-"," ",LEN($G266)-LEN(SUBSTITUTE($G266,"-",""))-1),".",""))))),$G266)))</f>
        <v/>
      </c>
    </row>
    <row r="267">
      <c r="A267" s="58" t="n"/>
      <c r="B267" s="58">
        <f>IF($H267="","",LEFT($H267,FIND(" ",$H267&amp;" ")-1))</f>
        <v/>
      </c>
      <c r="C267" s="58">
        <f>IF($H267="","",IFERROR(MID($H267&amp;" ",FIND("|",SUBSTITUTE($H267&amp;" "," ","|",1))+1,FIND("|",SUBSTITUTE($H267&amp;" "," ","|",2))-FIND("|",SUBSTITUTE($H267&amp;" "," ","|",1))-1),""))</f>
        <v/>
      </c>
      <c r="D267" s="58">
        <f>IF($H267="","",IFERROR(MID($H267&amp;" ",FIND("|",SUBSTITUTE($H267&amp;" "," ","|",2))+1,FIND("|",SUBSTITUTE($H267&amp;" "," ","|",3))-FIND("|",SUBSTITUTE($H267&amp;" "," ","|",2))-1),""))</f>
        <v/>
      </c>
      <c r="E267" s="58">
        <f>IF($H267="","",IFERROR(MID($H267&amp;" ",FIND("|",SUBSTITUTE($H267&amp;" "," ","|",3))+1,FIND("|",SUBSTITUTE($H267&amp;" "," ","|",4))-FIND("|",SUBSTITUTE($H267&amp;" "," ","|",3))-1),""))</f>
        <v/>
      </c>
      <c r="F267" s="59">
        <f>IF($H267="","",IFERROR(VALUE(IFERROR(MID($H267&amp;" ",FIND("|",SUBSTITUTE($H267&amp;" "," ","|",4))+1,FIND("|",SUBSTITUTE($H267&amp;" "," ","|",5))-FIND("|",SUBSTITUTE($H267&amp;" "," ","|",4))-1),""))/86400+25569+9/24,""))</f>
        <v/>
      </c>
      <c r="G267" s="58">
        <f>TRIM(SUBSTITUTE(SUBSTITUTE(SUBSTITUTE($A267,CHAR(9)," ")," "," "),CHAR(13),""))</f>
        <v/>
      </c>
      <c r="H267" s="58">
        <f>IF($G267="","",IF(ISNUMBER(FIND(" ",$G267)),$G267,IFERROR(IF((LEN(SUBSTITUTE(SUBSTITUTE($G267,"-"," ",LEN($G267)-LEN(SUBSTITUTE($G267,"-",""))),"-"," ",LEN($G267)-LEN(SUBSTITUTE($G267,"-",""))-1))-LEN(SUBSTITUTE(SUBSTITUTE(SUBSTITUTE($G267,"-"," ",LEN($G267)-LEN(SUBSTITUTE($G267,"-",""))),"-"," ",LEN($G267)-LEN(SUBSTITUTE($G267,"-",""))-1),".","")))=0,SUBSTITUTE(SUBSTITUTE($G267,"-"," ",LEN($G267)-LEN(SUBSTITUTE($G267,"-",""))),"-"," ",LEN($G267)-LEN(SUBSTITUTE($G267,"-",""))-1),SUBSTITUTE(SUBSTITUTE(SUBSTITUTE($G267,"-"," ",LEN($G267)-LEN(SUBSTITUTE($G267,"-",""))),"-"," ",LEN($G267)-LEN(SUBSTITUTE($G267,"-",""))-1),"."," ",(LEN(SUBSTITUTE(SUBSTITUTE($G267,"-"," ",LEN($G267)-LEN(SUBSTITUTE($G267,"-",""))),"-"," ",LEN($G267)-LEN(SUBSTITUTE($G267,"-",""))-1))-LEN(SUBSTITUTE(SUBSTITUTE(SUBSTITUTE($G267,"-"," ",LEN($G267)-LEN(SUBSTITUTE($G267,"-",""))),"-"," ",LEN($G267)-LEN(SUBSTITUTE($G267,"-",""))-1),".",""))))),$G267)))</f>
        <v/>
      </c>
    </row>
    <row r="268">
      <c r="A268" s="58" t="n"/>
      <c r="B268" s="58">
        <f>IF($H268="","",LEFT($H268,FIND(" ",$H268&amp;" ")-1))</f>
        <v/>
      </c>
      <c r="C268" s="58">
        <f>IF($H268="","",IFERROR(MID($H268&amp;" ",FIND("|",SUBSTITUTE($H268&amp;" "," ","|",1))+1,FIND("|",SUBSTITUTE($H268&amp;" "," ","|",2))-FIND("|",SUBSTITUTE($H268&amp;" "," ","|",1))-1),""))</f>
        <v/>
      </c>
      <c r="D268" s="58">
        <f>IF($H268="","",IFERROR(MID($H268&amp;" ",FIND("|",SUBSTITUTE($H268&amp;" "," ","|",2))+1,FIND("|",SUBSTITUTE($H268&amp;" "," ","|",3))-FIND("|",SUBSTITUTE($H268&amp;" "," ","|",2))-1),""))</f>
        <v/>
      </c>
      <c r="E268" s="58">
        <f>IF($H268="","",IFERROR(MID($H268&amp;" ",FIND("|",SUBSTITUTE($H268&amp;" "," ","|",3))+1,FIND("|",SUBSTITUTE($H268&amp;" "," ","|",4))-FIND("|",SUBSTITUTE($H268&amp;" "," ","|",3))-1),""))</f>
        <v/>
      </c>
      <c r="F268" s="59">
        <f>IF($H268="","",IFERROR(VALUE(IFERROR(MID($H268&amp;" ",FIND("|",SUBSTITUTE($H268&amp;" "," ","|",4))+1,FIND("|",SUBSTITUTE($H268&amp;" "," ","|",5))-FIND("|",SUBSTITUTE($H268&amp;" "," ","|",4))-1),""))/86400+25569+9/24,""))</f>
        <v/>
      </c>
      <c r="G268" s="58">
        <f>TRIM(SUBSTITUTE(SUBSTITUTE(SUBSTITUTE($A268,CHAR(9)," ")," "," "),CHAR(13),""))</f>
        <v/>
      </c>
      <c r="H268" s="58">
        <f>IF($G268="","",IF(ISNUMBER(FIND(" ",$G268)),$G268,IFERROR(IF((LEN(SUBSTITUTE(SUBSTITUTE($G268,"-"," ",LEN($G268)-LEN(SUBSTITUTE($G268,"-",""))),"-"," ",LEN($G268)-LEN(SUBSTITUTE($G268,"-",""))-1))-LEN(SUBSTITUTE(SUBSTITUTE(SUBSTITUTE($G268,"-"," ",LEN($G268)-LEN(SUBSTITUTE($G268,"-",""))),"-"," ",LEN($G268)-LEN(SUBSTITUTE($G268,"-",""))-1),".","")))=0,SUBSTITUTE(SUBSTITUTE($G268,"-"," ",LEN($G268)-LEN(SUBSTITUTE($G268,"-",""))),"-"," ",LEN($G268)-LEN(SUBSTITUTE($G268,"-",""))-1),SUBSTITUTE(SUBSTITUTE(SUBSTITUTE($G268,"-"," ",LEN($G268)-LEN(SUBSTITUTE($G268,"-",""))),"-"," ",LEN($G268)-LEN(SUBSTITUTE($G268,"-",""))-1),"."," ",(LEN(SUBSTITUTE(SUBSTITUTE($G268,"-"," ",LEN($G268)-LEN(SUBSTITUTE($G268,"-",""))),"-"," ",LEN($G268)-LEN(SUBSTITUTE($G268,"-",""))-1))-LEN(SUBSTITUTE(SUBSTITUTE(SUBSTITUTE($G268,"-"," ",LEN($G268)-LEN(SUBSTITUTE($G268,"-",""))),"-"," ",LEN($G268)-LEN(SUBSTITUTE($G268,"-",""))-1),".",""))))),$G268)))</f>
        <v/>
      </c>
    </row>
    <row r="269">
      <c r="A269" s="58" t="n"/>
      <c r="B269" s="58">
        <f>IF($H269="","",LEFT($H269,FIND(" ",$H269&amp;" ")-1))</f>
        <v/>
      </c>
      <c r="C269" s="58">
        <f>IF($H269="","",IFERROR(MID($H269&amp;" ",FIND("|",SUBSTITUTE($H269&amp;" "," ","|",1))+1,FIND("|",SUBSTITUTE($H269&amp;" "," ","|",2))-FIND("|",SUBSTITUTE($H269&amp;" "," ","|",1))-1),""))</f>
        <v/>
      </c>
      <c r="D269" s="58">
        <f>IF($H269="","",IFERROR(MID($H269&amp;" ",FIND("|",SUBSTITUTE($H269&amp;" "," ","|",2))+1,FIND("|",SUBSTITUTE($H269&amp;" "," ","|",3))-FIND("|",SUBSTITUTE($H269&amp;" "," ","|",2))-1),""))</f>
        <v/>
      </c>
      <c r="E269" s="58">
        <f>IF($H269="","",IFERROR(MID($H269&amp;" ",FIND("|",SUBSTITUTE($H269&amp;" "," ","|",3))+1,FIND("|",SUBSTITUTE($H269&amp;" "," ","|",4))-FIND("|",SUBSTITUTE($H269&amp;" "," ","|",3))-1),""))</f>
        <v/>
      </c>
      <c r="F269" s="59">
        <f>IF($H269="","",IFERROR(VALUE(IFERROR(MID($H269&amp;" ",FIND("|",SUBSTITUTE($H269&amp;" "," ","|",4))+1,FIND("|",SUBSTITUTE($H269&amp;" "," ","|",5))-FIND("|",SUBSTITUTE($H269&amp;" "," ","|",4))-1),""))/86400+25569+9/24,""))</f>
        <v/>
      </c>
      <c r="G269" s="58">
        <f>TRIM(SUBSTITUTE(SUBSTITUTE(SUBSTITUTE($A269,CHAR(9)," ")," "," "),CHAR(13),""))</f>
        <v/>
      </c>
      <c r="H269" s="58">
        <f>IF($G269="","",IF(ISNUMBER(FIND(" ",$G269)),$G269,IFERROR(IF((LEN(SUBSTITUTE(SUBSTITUTE($G269,"-"," ",LEN($G269)-LEN(SUBSTITUTE($G269,"-",""))),"-"," ",LEN($G269)-LEN(SUBSTITUTE($G269,"-",""))-1))-LEN(SUBSTITUTE(SUBSTITUTE(SUBSTITUTE($G269,"-"," ",LEN($G269)-LEN(SUBSTITUTE($G269,"-",""))),"-"," ",LEN($G269)-LEN(SUBSTITUTE($G269,"-",""))-1),".","")))=0,SUBSTITUTE(SUBSTITUTE($G269,"-"," ",LEN($G269)-LEN(SUBSTITUTE($G269,"-",""))),"-"," ",LEN($G269)-LEN(SUBSTITUTE($G269,"-",""))-1),SUBSTITUTE(SUBSTITUTE(SUBSTITUTE($G269,"-"," ",LEN($G269)-LEN(SUBSTITUTE($G269,"-",""))),"-"," ",LEN($G269)-LEN(SUBSTITUTE($G269,"-",""))-1),"."," ",(LEN(SUBSTITUTE(SUBSTITUTE($G269,"-"," ",LEN($G269)-LEN(SUBSTITUTE($G269,"-",""))),"-"," ",LEN($G269)-LEN(SUBSTITUTE($G269,"-",""))-1))-LEN(SUBSTITUTE(SUBSTITUTE(SUBSTITUTE($G269,"-"," ",LEN($G269)-LEN(SUBSTITUTE($G269,"-",""))),"-"," ",LEN($G269)-LEN(SUBSTITUTE($G269,"-",""))-1),".",""))))),$G269)))</f>
        <v/>
      </c>
    </row>
    <row r="270">
      <c r="A270" s="58" t="n"/>
      <c r="B270" s="58">
        <f>IF($H270="","",LEFT($H270,FIND(" ",$H270&amp;" ")-1))</f>
        <v/>
      </c>
      <c r="C270" s="58">
        <f>IF($H270="","",IFERROR(MID($H270&amp;" ",FIND("|",SUBSTITUTE($H270&amp;" "," ","|",1))+1,FIND("|",SUBSTITUTE($H270&amp;" "," ","|",2))-FIND("|",SUBSTITUTE($H270&amp;" "," ","|",1))-1),""))</f>
        <v/>
      </c>
      <c r="D270" s="58">
        <f>IF($H270="","",IFERROR(MID($H270&amp;" ",FIND("|",SUBSTITUTE($H270&amp;" "," ","|",2))+1,FIND("|",SUBSTITUTE($H270&amp;" "," ","|",3))-FIND("|",SUBSTITUTE($H270&amp;" "," ","|",2))-1),""))</f>
        <v/>
      </c>
      <c r="E270" s="58">
        <f>IF($H270="","",IFERROR(MID($H270&amp;" ",FIND("|",SUBSTITUTE($H270&amp;" "," ","|",3))+1,FIND("|",SUBSTITUTE($H270&amp;" "," ","|",4))-FIND("|",SUBSTITUTE($H270&amp;" "," ","|",3))-1),""))</f>
        <v/>
      </c>
      <c r="F270" s="59">
        <f>IF($H270="","",IFERROR(VALUE(IFERROR(MID($H270&amp;" ",FIND("|",SUBSTITUTE($H270&amp;" "," ","|",4))+1,FIND("|",SUBSTITUTE($H270&amp;" "," ","|",5))-FIND("|",SUBSTITUTE($H270&amp;" "," ","|",4))-1),""))/86400+25569+9/24,""))</f>
        <v/>
      </c>
      <c r="G270" s="58">
        <f>TRIM(SUBSTITUTE(SUBSTITUTE(SUBSTITUTE($A270,CHAR(9)," ")," "," "),CHAR(13),""))</f>
        <v/>
      </c>
      <c r="H270" s="58">
        <f>IF($G270="","",IF(ISNUMBER(FIND(" ",$G270)),$G270,IFERROR(IF((LEN(SUBSTITUTE(SUBSTITUTE($G270,"-"," ",LEN($G270)-LEN(SUBSTITUTE($G270,"-",""))),"-"," ",LEN($G270)-LEN(SUBSTITUTE($G270,"-",""))-1))-LEN(SUBSTITUTE(SUBSTITUTE(SUBSTITUTE($G270,"-"," ",LEN($G270)-LEN(SUBSTITUTE($G270,"-",""))),"-"," ",LEN($G270)-LEN(SUBSTITUTE($G270,"-",""))-1),".","")))=0,SUBSTITUTE(SUBSTITUTE($G270,"-"," ",LEN($G270)-LEN(SUBSTITUTE($G270,"-",""))),"-"," ",LEN($G270)-LEN(SUBSTITUTE($G270,"-",""))-1),SUBSTITUTE(SUBSTITUTE(SUBSTITUTE($G270,"-"," ",LEN($G270)-LEN(SUBSTITUTE($G270,"-",""))),"-"," ",LEN($G270)-LEN(SUBSTITUTE($G270,"-",""))-1),"."," ",(LEN(SUBSTITUTE(SUBSTITUTE($G270,"-"," ",LEN($G270)-LEN(SUBSTITUTE($G270,"-",""))),"-"," ",LEN($G270)-LEN(SUBSTITUTE($G270,"-",""))-1))-LEN(SUBSTITUTE(SUBSTITUTE(SUBSTITUTE($G270,"-"," ",LEN($G270)-LEN(SUBSTITUTE($G270,"-",""))),"-"," ",LEN($G270)-LEN(SUBSTITUTE($G270,"-",""))-1),".",""))))),$G270)))</f>
        <v/>
      </c>
    </row>
    <row r="271">
      <c r="A271" s="58" t="n"/>
      <c r="B271" s="58">
        <f>IF($H271="","",LEFT($H271,FIND(" ",$H271&amp;" ")-1))</f>
        <v/>
      </c>
      <c r="C271" s="58">
        <f>IF($H271="","",IFERROR(MID($H271&amp;" ",FIND("|",SUBSTITUTE($H271&amp;" "," ","|",1))+1,FIND("|",SUBSTITUTE($H271&amp;" "," ","|",2))-FIND("|",SUBSTITUTE($H271&amp;" "," ","|",1))-1),""))</f>
        <v/>
      </c>
      <c r="D271" s="58">
        <f>IF($H271="","",IFERROR(MID($H271&amp;" ",FIND("|",SUBSTITUTE($H271&amp;" "," ","|",2))+1,FIND("|",SUBSTITUTE($H271&amp;" "," ","|",3))-FIND("|",SUBSTITUTE($H271&amp;" "," ","|",2))-1),""))</f>
        <v/>
      </c>
      <c r="E271" s="58">
        <f>IF($H271="","",IFERROR(MID($H271&amp;" ",FIND("|",SUBSTITUTE($H271&amp;" "," ","|",3))+1,FIND("|",SUBSTITUTE($H271&amp;" "," ","|",4))-FIND("|",SUBSTITUTE($H271&amp;" "," ","|",3))-1),""))</f>
        <v/>
      </c>
      <c r="F271" s="59">
        <f>IF($H271="","",IFERROR(VALUE(IFERROR(MID($H271&amp;" ",FIND("|",SUBSTITUTE($H271&amp;" "," ","|",4))+1,FIND("|",SUBSTITUTE($H271&amp;" "," ","|",5))-FIND("|",SUBSTITUTE($H271&amp;" "," ","|",4))-1),""))/86400+25569+9/24,""))</f>
        <v/>
      </c>
      <c r="G271" s="58">
        <f>TRIM(SUBSTITUTE(SUBSTITUTE(SUBSTITUTE($A271,CHAR(9)," ")," "," "),CHAR(13),""))</f>
        <v/>
      </c>
      <c r="H271" s="58">
        <f>IF($G271="","",IF(ISNUMBER(FIND(" ",$G271)),$G271,IFERROR(IF((LEN(SUBSTITUTE(SUBSTITUTE($G271,"-"," ",LEN($G271)-LEN(SUBSTITUTE($G271,"-",""))),"-"," ",LEN($G271)-LEN(SUBSTITUTE($G271,"-",""))-1))-LEN(SUBSTITUTE(SUBSTITUTE(SUBSTITUTE($G271,"-"," ",LEN($G271)-LEN(SUBSTITUTE($G271,"-",""))),"-"," ",LEN($G271)-LEN(SUBSTITUTE($G271,"-",""))-1),".","")))=0,SUBSTITUTE(SUBSTITUTE($G271,"-"," ",LEN($G271)-LEN(SUBSTITUTE($G271,"-",""))),"-"," ",LEN($G271)-LEN(SUBSTITUTE($G271,"-",""))-1),SUBSTITUTE(SUBSTITUTE(SUBSTITUTE($G271,"-"," ",LEN($G271)-LEN(SUBSTITUTE($G271,"-",""))),"-"," ",LEN($G271)-LEN(SUBSTITUTE($G271,"-",""))-1),"."," ",(LEN(SUBSTITUTE(SUBSTITUTE($G271,"-"," ",LEN($G271)-LEN(SUBSTITUTE($G271,"-",""))),"-"," ",LEN($G271)-LEN(SUBSTITUTE($G271,"-",""))-1))-LEN(SUBSTITUTE(SUBSTITUTE(SUBSTITUTE($G271,"-"," ",LEN($G271)-LEN(SUBSTITUTE($G271,"-",""))),"-"," ",LEN($G271)-LEN(SUBSTITUTE($G271,"-",""))-1),".",""))))),$G271)))</f>
        <v/>
      </c>
    </row>
    <row r="272">
      <c r="A272" s="58" t="n"/>
      <c r="B272" s="58">
        <f>IF($H272="","",LEFT($H272,FIND(" ",$H272&amp;" ")-1))</f>
        <v/>
      </c>
      <c r="C272" s="58">
        <f>IF($H272="","",IFERROR(MID($H272&amp;" ",FIND("|",SUBSTITUTE($H272&amp;" "," ","|",1))+1,FIND("|",SUBSTITUTE($H272&amp;" "," ","|",2))-FIND("|",SUBSTITUTE($H272&amp;" "," ","|",1))-1),""))</f>
        <v/>
      </c>
      <c r="D272" s="58">
        <f>IF($H272="","",IFERROR(MID($H272&amp;" ",FIND("|",SUBSTITUTE($H272&amp;" "," ","|",2))+1,FIND("|",SUBSTITUTE($H272&amp;" "," ","|",3))-FIND("|",SUBSTITUTE($H272&amp;" "," ","|",2))-1),""))</f>
        <v/>
      </c>
      <c r="E272" s="58">
        <f>IF($H272="","",IFERROR(MID($H272&amp;" ",FIND("|",SUBSTITUTE($H272&amp;" "," ","|",3))+1,FIND("|",SUBSTITUTE($H272&amp;" "," ","|",4))-FIND("|",SUBSTITUTE($H272&amp;" "," ","|",3))-1),""))</f>
        <v/>
      </c>
      <c r="F272" s="59">
        <f>IF($H272="","",IFERROR(VALUE(IFERROR(MID($H272&amp;" ",FIND("|",SUBSTITUTE($H272&amp;" "," ","|",4))+1,FIND("|",SUBSTITUTE($H272&amp;" "," ","|",5))-FIND("|",SUBSTITUTE($H272&amp;" "," ","|",4))-1),""))/86400+25569+9/24,""))</f>
        <v/>
      </c>
      <c r="G272" s="58">
        <f>TRIM(SUBSTITUTE(SUBSTITUTE(SUBSTITUTE($A272,CHAR(9)," ")," "," "),CHAR(13),""))</f>
        <v/>
      </c>
      <c r="H272" s="58">
        <f>IF($G272="","",IF(ISNUMBER(FIND(" ",$G272)),$G272,IFERROR(IF((LEN(SUBSTITUTE(SUBSTITUTE($G272,"-"," ",LEN($G272)-LEN(SUBSTITUTE($G272,"-",""))),"-"," ",LEN($G272)-LEN(SUBSTITUTE($G272,"-",""))-1))-LEN(SUBSTITUTE(SUBSTITUTE(SUBSTITUTE($G272,"-"," ",LEN($G272)-LEN(SUBSTITUTE($G272,"-",""))),"-"," ",LEN($G272)-LEN(SUBSTITUTE($G272,"-",""))-1),".","")))=0,SUBSTITUTE(SUBSTITUTE($G272,"-"," ",LEN($G272)-LEN(SUBSTITUTE($G272,"-",""))),"-"," ",LEN($G272)-LEN(SUBSTITUTE($G272,"-",""))-1),SUBSTITUTE(SUBSTITUTE(SUBSTITUTE($G272,"-"," ",LEN($G272)-LEN(SUBSTITUTE($G272,"-",""))),"-"," ",LEN($G272)-LEN(SUBSTITUTE($G272,"-",""))-1),"."," ",(LEN(SUBSTITUTE(SUBSTITUTE($G272,"-"," ",LEN($G272)-LEN(SUBSTITUTE($G272,"-",""))),"-"," ",LEN($G272)-LEN(SUBSTITUTE($G272,"-",""))-1))-LEN(SUBSTITUTE(SUBSTITUTE(SUBSTITUTE($G272,"-"," ",LEN($G272)-LEN(SUBSTITUTE($G272,"-",""))),"-"," ",LEN($G272)-LEN(SUBSTITUTE($G272,"-",""))-1),".",""))))),$G272)))</f>
        <v/>
      </c>
    </row>
    <row r="273">
      <c r="A273" s="58" t="n"/>
      <c r="B273" s="58">
        <f>IF($H273="","",LEFT($H273,FIND(" ",$H273&amp;" ")-1))</f>
        <v/>
      </c>
      <c r="C273" s="58">
        <f>IF($H273="","",IFERROR(MID($H273&amp;" ",FIND("|",SUBSTITUTE($H273&amp;" "," ","|",1))+1,FIND("|",SUBSTITUTE($H273&amp;" "," ","|",2))-FIND("|",SUBSTITUTE($H273&amp;" "," ","|",1))-1),""))</f>
        <v/>
      </c>
      <c r="D273" s="58">
        <f>IF($H273="","",IFERROR(MID($H273&amp;" ",FIND("|",SUBSTITUTE($H273&amp;" "," ","|",2))+1,FIND("|",SUBSTITUTE($H273&amp;" "," ","|",3))-FIND("|",SUBSTITUTE($H273&amp;" "," ","|",2))-1),""))</f>
        <v/>
      </c>
      <c r="E273" s="58">
        <f>IF($H273="","",IFERROR(MID($H273&amp;" ",FIND("|",SUBSTITUTE($H273&amp;" "," ","|",3))+1,FIND("|",SUBSTITUTE($H273&amp;" "," ","|",4))-FIND("|",SUBSTITUTE($H273&amp;" "," ","|",3))-1),""))</f>
        <v/>
      </c>
      <c r="F273" s="59">
        <f>IF($H273="","",IFERROR(VALUE(IFERROR(MID($H273&amp;" ",FIND("|",SUBSTITUTE($H273&amp;" "," ","|",4))+1,FIND("|",SUBSTITUTE($H273&amp;" "," ","|",5))-FIND("|",SUBSTITUTE($H273&amp;" "," ","|",4))-1),""))/86400+25569+9/24,""))</f>
        <v/>
      </c>
      <c r="G273" s="58">
        <f>TRIM(SUBSTITUTE(SUBSTITUTE(SUBSTITUTE($A273,CHAR(9)," ")," "," "),CHAR(13),""))</f>
        <v/>
      </c>
      <c r="H273" s="58">
        <f>IF($G273="","",IF(ISNUMBER(FIND(" ",$G273)),$G273,IFERROR(IF((LEN(SUBSTITUTE(SUBSTITUTE($G273,"-"," ",LEN($G273)-LEN(SUBSTITUTE($G273,"-",""))),"-"," ",LEN($G273)-LEN(SUBSTITUTE($G273,"-",""))-1))-LEN(SUBSTITUTE(SUBSTITUTE(SUBSTITUTE($G273,"-"," ",LEN($G273)-LEN(SUBSTITUTE($G273,"-",""))),"-"," ",LEN($G273)-LEN(SUBSTITUTE($G273,"-",""))-1),".","")))=0,SUBSTITUTE(SUBSTITUTE($G273,"-"," ",LEN($G273)-LEN(SUBSTITUTE($G273,"-",""))),"-"," ",LEN($G273)-LEN(SUBSTITUTE($G273,"-",""))-1),SUBSTITUTE(SUBSTITUTE(SUBSTITUTE($G273,"-"," ",LEN($G273)-LEN(SUBSTITUTE($G273,"-",""))),"-"," ",LEN($G273)-LEN(SUBSTITUTE($G273,"-",""))-1),"."," ",(LEN(SUBSTITUTE(SUBSTITUTE($G273,"-"," ",LEN($G273)-LEN(SUBSTITUTE($G273,"-",""))),"-"," ",LEN($G273)-LEN(SUBSTITUTE($G273,"-",""))-1))-LEN(SUBSTITUTE(SUBSTITUTE(SUBSTITUTE($G273,"-"," ",LEN($G273)-LEN(SUBSTITUTE($G273,"-",""))),"-"," ",LEN($G273)-LEN(SUBSTITUTE($G273,"-",""))-1),".",""))))),$G273)))</f>
        <v/>
      </c>
    </row>
    <row r="274">
      <c r="A274" s="58" t="n"/>
      <c r="B274" s="58">
        <f>IF($H274="","",LEFT($H274,FIND(" ",$H274&amp;" ")-1))</f>
        <v/>
      </c>
      <c r="C274" s="58">
        <f>IF($H274="","",IFERROR(MID($H274&amp;" ",FIND("|",SUBSTITUTE($H274&amp;" "," ","|",1))+1,FIND("|",SUBSTITUTE($H274&amp;" "," ","|",2))-FIND("|",SUBSTITUTE($H274&amp;" "," ","|",1))-1),""))</f>
        <v/>
      </c>
      <c r="D274" s="58">
        <f>IF($H274="","",IFERROR(MID($H274&amp;" ",FIND("|",SUBSTITUTE($H274&amp;" "," ","|",2))+1,FIND("|",SUBSTITUTE($H274&amp;" "," ","|",3))-FIND("|",SUBSTITUTE($H274&amp;" "," ","|",2))-1),""))</f>
        <v/>
      </c>
      <c r="E274" s="58">
        <f>IF($H274="","",IFERROR(MID($H274&amp;" ",FIND("|",SUBSTITUTE($H274&amp;" "," ","|",3))+1,FIND("|",SUBSTITUTE($H274&amp;" "," ","|",4))-FIND("|",SUBSTITUTE($H274&amp;" "," ","|",3))-1),""))</f>
        <v/>
      </c>
      <c r="F274" s="59">
        <f>IF($H274="","",IFERROR(VALUE(IFERROR(MID($H274&amp;" ",FIND("|",SUBSTITUTE($H274&amp;" "," ","|",4))+1,FIND("|",SUBSTITUTE($H274&amp;" "," ","|",5))-FIND("|",SUBSTITUTE($H274&amp;" "," ","|",4))-1),""))/86400+25569+9/24,""))</f>
        <v/>
      </c>
      <c r="G274" s="58">
        <f>TRIM(SUBSTITUTE(SUBSTITUTE(SUBSTITUTE($A274,CHAR(9)," ")," "," "),CHAR(13),""))</f>
        <v/>
      </c>
      <c r="H274" s="58">
        <f>IF($G274="","",IF(ISNUMBER(FIND(" ",$G274)),$G274,IFERROR(IF((LEN(SUBSTITUTE(SUBSTITUTE($G274,"-"," ",LEN($G274)-LEN(SUBSTITUTE($G274,"-",""))),"-"," ",LEN($G274)-LEN(SUBSTITUTE($G274,"-",""))-1))-LEN(SUBSTITUTE(SUBSTITUTE(SUBSTITUTE($G274,"-"," ",LEN($G274)-LEN(SUBSTITUTE($G274,"-",""))),"-"," ",LEN($G274)-LEN(SUBSTITUTE($G274,"-",""))-1),".","")))=0,SUBSTITUTE(SUBSTITUTE($G274,"-"," ",LEN($G274)-LEN(SUBSTITUTE($G274,"-",""))),"-"," ",LEN($G274)-LEN(SUBSTITUTE($G274,"-",""))-1),SUBSTITUTE(SUBSTITUTE(SUBSTITUTE($G274,"-"," ",LEN($G274)-LEN(SUBSTITUTE($G274,"-",""))),"-"," ",LEN($G274)-LEN(SUBSTITUTE($G274,"-",""))-1),"."," ",(LEN(SUBSTITUTE(SUBSTITUTE($G274,"-"," ",LEN($G274)-LEN(SUBSTITUTE($G274,"-",""))),"-"," ",LEN($G274)-LEN(SUBSTITUTE($G274,"-",""))-1))-LEN(SUBSTITUTE(SUBSTITUTE(SUBSTITUTE($G274,"-"," ",LEN($G274)-LEN(SUBSTITUTE($G274,"-",""))),"-"," ",LEN($G274)-LEN(SUBSTITUTE($G274,"-",""))-1),".",""))))),$G274)))</f>
        <v/>
      </c>
    </row>
    <row r="275">
      <c r="A275" s="58" t="n"/>
      <c r="B275" s="58">
        <f>IF($H275="","",LEFT($H275,FIND(" ",$H275&amp;" ")-1))</f>
        <v/>
      </c>
      <c r="C275" s="58">
        <f>IF($H275="","",IFERROR(MID($H275&amp;" ",FIND("|",SUBSTITUTE($H275&amp;" "," ","|",1))+1,FIND("|",SUBSTITUTE($H275&amp;" "," ","|",2))-FIND("|",SUBSTITUTE($H275&amp;" "," ","|",1))-1),""))</f>
        <v/>
      </c>
      <c r="D275" s="58">
        <f>IF($H275="","",IFERROR(MID($H275&amp;" ",FIND("|",SUBSTITUTE($H275&amp;" "," ","|",2))+1,FIND("|",SUBSTITUTE($H275&amp;" "," ","|",3))-FIND("|",SUBSTITUTE($H275&amp;" "," ","|",2))-1),""))</f>
        <v/>
      </c>
      <c r="E275" s="58">
        <f>IF($H275="","",IFERROR(MID($H275&amp;" ",FIND("|",SUBSTITUTE($H275&amp;" "," ","|",3))+1,FIND("|",SUBSTITUTE($H275&amp;" "," ","|",4))-FIND("|",SUBSTITUTE($H275&amp;" "," ","|",3))-1),""))</f>
        <v/>
      </c>
      <c r="F275" s="59">
        <f>IF($H275="","",IFERROR(VALUE(IFERROR(MID($H275&amp;" ",FIND("|",SUBSTITUTE($H275&amp;" "," ","|",4))+1,FIND("|",SUBSTITUTE($H275&amp;" "," ","|",5))-FIND("|",SUBSTITUTE($H275&amp;" "," ","|",4))-1),""))/86400+25569+9/24,""))</f>
        <v/>
      </c>
      <c r="G275" s="58">
        <f>TRIM(SUBSTITUTE(SUBSTITUTE(SUBSTITUTE($A275,CHAR(9)," ")," "," "),CHAR(13),""))</f>
        <v/>
      </c>
      <c r="H275" s="58">
        <f>IF($G275="","",IF(ISNUMBER(FIND(" ",$G275)),$G275,IFERROR(IF((LEN(SUBSTITUTE(SUBSTITUTE($G275,"-"," ",LEN($G275)-LEN(SUBSTITUTE($G275,"-",""))),"-"," ",LEN($G275)-LEN(SUBSTITUTE($G275,"-",""))-1))-LEN(SUBSTITUTE(SUBSTITUTE(SUBSTITUTE($G275,"-"," ",LEN($G275)-LEN(SUBSTITUTE($G275,"-",""))),"-"," ",LEN($G275)-LEN(SUBSTITUTE($G275,"-",""))-1),".","")))=0,SUBSTITUTE(SUBSTITUTE($G275,"-"," ",LEN($G275)-LEN(SUBSTITUTE($G275,"-",""))),"-"," ",LEN($G275)-LEN(SUBSTITUTE($G275,"-",""))-1),SUBSTITUTE(SUBSTITUTE(SUBSTITUTE($G275,"-"," ",LEN($G275)-LEN(SUBSTITUTE($G275,"-",""))),"-"," ",LEN($G275)-LEN(SUBSTITUTE($G275,"-",""))-1),"."," ",(LEN(SUBSTITUTE(SUBSTITUTE($G275,"-"," ",LEN($G275)-LEN(SUBSTITUTE($G275,"-",""))),"-"," ",LEN($G275)-LEN(SUBSTITUTE($G275,"-",""))-1))-LEN(SUBSTITUTE(SUBSTITUTE(SUBSTITUTE($G275,"-"," ",LEN($G275)-LEN(SUBSTITUTE($G275,"-",""))),"-"," ",LEN($G275)-LEN(SUBSTITUTE($G275,"-",""))-1),".",""))))),$G275)))</f>
        <v/>
      </c>
    </row>
    <row r="276">
      <c r="A276" s="58" t="n"/>
      <c r="B276" s="58">
        <f>IF($H276="","",LEFT($H276,FIND(" ",$H276&amp;" ")-1))</f>
        <v/>
      </c>
      <c r="C276" s="58">
        <f>IF($H276="","",IFERROR(MID($H276&amp;" ",FIND("|",SUBSTITUTE($H276&amp;" "," ","|",1))+1,FIND("|",SUBSTITUTE($H276&amp;" "," ","|",2))-FIND("|",SUBSTITUTE($H276&amp;" "," ","|",1))-1),""))</f>
        <v/>
      </c>
      <c r="D276" s="58">
        <f>IF($H276="","",IFERROR(MID($H276&amp;" ",FIND("|",SUBSTITUTE($H276&amp;" "," ","|",2))+1,FIND("|",SUBSTITUTE($H276&amp;" "," ","|",3))-FIND("|",SUBSTITUTE($H276&amp;" "," ","|",2))-1),""))</f>
        <v/>
      </c>
      <c r="E276" s="58">
        <f>IF($H276="","",IFERROR(MID($H276&amp;" ",FIND("|",SUBSTITUTE($H276&amp;" "," ","|",3))+1,FIND("|",SUBSTITUTE($H276&amp;" "," ","|",4))-FIND("|",SUBSTITUTE($H276&amp;" "," ","|",3))-1),""))</f>
        <v/>
      </c>
      <c r="F276" s="59">
        <f>IF($H276="","",IFERROR(VALUE(IFERROR(MID($H276&amp;" ",FIND("|",SUBSTITUTE($H276&amp;" "," ","|",4))+1,FIND("|",SUBSTITUTE($H276&amp;" "," ","|",5))-FIND("|",SUBSTITUTE($H276&amp;" "," ","|",4))-1),""))/86400+25569+9/24,""))</f>
        <v/>
      </c>
      <c r="G276" s="58">
        <f>TRIM(SUBSTITUTE(SUBSTITUTE(SUBSTITUTE($A276,CHAR(9)," ")," "," "),CHAR(13),""))</f>
        <v/>
      </c>
      <c r="H276" s="58">
        <f>IF($G276="","",IF(ISNUMBER(FIND(" ",$G276)),$G276,IFERROR(IF((LEN(SUBSTITUTE(SUBSTITUTE($G276,"-"," ",LEN($G276)-LEN(SUBSTITUTE($G276,"-",""))),"-"," ",LEN($G276)-LEN(SUBSTITUTE($G276,"-",""))-1))-LEN(SUBSTITUTE(SUBSTITUTE(SUBSTITUTE($G276,"-"," ",LEN($G276)-LEN(SUBSTITUTE($G276,"-",""))),"-"," ",LEN($G276)-LEN(SUBSTITUTE($G276,"-",""))-1),".","")))=0,SUBSTITUTE(SUBSTITUTE($G276,"-"," ",LEN($G276)-LEN(SUBSTITUTE($G276,"-",""))),"-"," ",LEN($G276)-LEN(SUBSTITUTE($G276,"-",""))-1),SUBSTITUTE(SUBSTITUTE(SUBSTITUTE($G276,"-"," ",LEN($G276)-LEN(SUBSTITUTE($G276,"-",""))),"-"," ",LEN($G276)-LEN(SUBSTITUTE($G276,"-",""))-1),"."," ",(LEN(SUBSTITUTE(SUBSTITUTE($G276,"-"," ",LEN($G276)-LEN(SUBSTITUTE($G276,"-",""))),"-"," ",LEN($G276)-LEN(SUBSTITUTE($G276,"-",""))-1))-LEN(SUBSTITUTE(SUBSTITUTE(SUBSTITUTE($G276,"-"," ",LEN($G276)-LEN(SUBSTITUTE($G276,"-",""))),"-"," ",LEN($G276)-LEN(SUBSTITUTE($G276,"-",""))-1),".",""))))),$G276)))</f>
        <v/>
      </c>
    </row>
    <row r="277">
      <c r="A277" s="58" t="n"/>
      <c r="B277" s="58">
        <f>IF($H277="","",LEFT($H277,FIND(" ",$H277&amp;" ")-1))</f>
        <v/>
      </c>
      <c r="C277" s="58">
        <f>IF($H277="","",IFERROR(MID($H277&amp;" ",FIND("|",SUBSTITUTE($H277&amp;" "," ","|",1))+1,FIND("|",SUBSTITUTE($H277&amp;" "," ","|",2))-FIND("|",SUBSTITUTE($H277&amp;" "," ","|",1))-1),""))</f>
        <v/>
      </c>
      <c r="D277" s="58">
        <f>IF($H277="","",IFERROR(MID($H277&amp;" ",FIND("|",SUBSTITUTE($H277&amp;" "," ","|",2))+1,FIND("|",SUBSTITUTE($H277&amp;" "," ","|",3))-FIND("|",SUBSTITUTE($H277&amp;" "," ","|",2))-1),""))</f>
        <v/>
      </c>
      <c r="E277" s="58">
        <f>IF($H277="","",IFERROR(MID($H277&amp;" ",FIND("|",SUBSTITUTE($H277&amp;" "," ","|",3))+1,FIND("|",SUBSTITUTE($H277&amp;" "," ","|",4))-FIND("|",SUBSTITUTE($H277&amp;" "," ","|",3))-1),""))</f>
        <v/>
      </c>
      <c r="F277" s="59">
        <f>IF($H277="","",IFERROR(VALUE(IFERROR(MID($H277&amp;" ",FIND("|",SUBSTITUTE($H277&amp;" "," ","|",4))+1,FIND("|",SUBSTITUTE($H277&amp;" "," ","|",5))-FIND("|",SUBSTITUTE($H277&amp;" "," ","|",4))-1),""))/86400+25569+9/24,""))</f>
        <v/>
      </c>
      <c r="G277" s="58">
        <f>TRIM(SUBSTITUTE(SUBSTITUTE(SUBSTITUTE($A277,CHAR(9)," ")," "," "),CHAR(13),""))</f>
        <v/>
      </c>
      <c r="H277" s="58">
        <f>IF($G277="","",IF(ISNUMBER(FIND(" ",$G277)),$G277,IFERROR(IF((LEN(SUBSTITUTE(SUBSTITUTE($G277,"-"," ",LEN($G277)-LEN(SUBSTITUTE($G277,"-",""))),"-"," ",LEN($G277)-LEN(SUBSTITUTE($G277,"-",""))-1))-LEN(SUBSTITUTE(SUBSTITUTE(SUBSTITUTE($G277,"-"," ",LEN($G277)-LEN(SUBSTITUTE($G277,"-",""))),"-"," ",LEN($G277)-LEN(SUBSTITUTE($G277,"-",""))-1),".","")))=0,SUBSTITUTE(SUBSTITUTE($G277,"-"," ",LEN($G277)-LEN(SUBSTITUTE($G277,"-",""))),"-"," ",LEN($G277)-LEN(SUBSTITUTE($G277,"-",""))-1),SUBSTITUTE(SUBSTITUTE(SUBSTITUTE($G277,"-"," ",LEN($G277)-LEN(SUBSTITUTE($G277,"-",""))),"-"," ",LEN($G277)-LEN(SUBSTITUTE($G277,"-",""))-1),"."," ",(LEN(SUBSTITUTE(SUBSTITUTE($G277,"-"," ",LEN($G277)-LEN(SUBSTITUTE($G277,"-",""))),"-"," ",LEN($G277)-LEN(SUBSTITUTE($G277,"-",""))-1))-LEN(SUBSTITUTE(SUBSTITUTE(SUBSTITUTE($G277,"-"," ",LEN($G277)-LEN(SUBSTITUTE($G277,"-",""))),"-"," ",LEN($G277)-LEN(SUBSTITUTE($G277,"-",""))-1),".",""))))),$G277)))</f>
        <v/>
      </c>
    </row>
    <row r="278">
      <c r="A278" s="58" t="n"/>
      <c r="B278" s="58">
        <f>IF($H278="","",LEFT($H278,FIND(" ",$H278&amp;" ")-1))</f>
        <v/>
      </c>
      <c r="C278" s="58">
        <f>IF($H278="","",IFERROR(MID($H278&amp;" ",FIND("|",SUBSTITUTE($H278&amp;" "," ","|",1))+1,FIND("|",SUBSTITUTE($H278&amp;" "," ","|",2))-FIND("|",SUBSTITUTE($H278&amp;" "," ","|",1))-1),""))</f>
        <v/>
      </c>
      <c r="D278" s="58">
        <f>IF($H278="","",IFERROR(MID($H278&amp;" ",FIND("|",SUBSTITUTE($H278&amp;" "," ","|",2))+1,FIND("|",SUBSTITUTE($H278&amp;" "," ","|",3))-FIND("|",SUBSTITUTE($H278&amp;" "," ","|",2))-1),""))</f>
        <v/>
      </c>
      <c r="E278" s="58">
        <f>IF($H278="","",IFERROR(MID($H278&amp;" ",FIND("|",SUBSTITUTE($H278&amp;" "," ","|",3))+1,FIND("|",SUBSTITUTE($H278&amp;" "," ","|",4))-FIND("|",SUBSTITUTE($H278&amp;" "," ","|",3))-1),""))</f>
        <v/>
      </c>
      <c r="F278" s="59">
        <f>IF($H278="","",IFERROR(VALUE(IFERROR(MID($H278&amp;" ",FIND("|",SUBSTITUTE($H278&amp;" "," ","|",4))+1,FIND("|",SUBSTITUTE($H278&amp;" "," ","|",5))-FIND("|",SUBSTITUTE($H278&amp;" "," ","|",4))-1),""))/86400+25569+9/24,""))</f>
        <v/>
      </c>
      <c r="G278" s="58">
        <f>TRIM(SUBSTITUTE(SUBSTITUTE(SUBSTITUTE($A278,CHAR(9)," ")," "," "),CHAR(13),""))</f>
        <v/>
      </c>
      <c r="H278" s="58">
        <f>IF($G278="","",IF(ISNUMBER(FIND(" ",$G278)),$G278,IFERROR(IF((LEN(SUBSTITUTE(SUBSTITUTE($G278,"-"," ",LEN($G278)-LEN(SUBSTITUTE($G278,"-",""))),"-"," ",LEN($G278)-LEN(SUBSTITUTE($G278,"-",""))-1))-LEN(SUBSTITUTE(SUBSTITUTE(SUBSTITUTE($G278,"-"," ",LEN($G278)-LEN(SUBSTITUTE($G278,"-",""))),"-"," ",LEN($G278)-LEN(SUBSTITUTE($G278,"-",""))-1),".","")))=0,SUBSTITUTE(SUBSTITUTE($G278,"-"," ",LEN($G278)-LEN(SUBSTITUTE($G278,"-",""))),"-"," ",LEN($G278)-LEN(SUBSTITUTE($G278,"-",""))-1),SUBSTITUTE(SUBSTITUTE(SUBSTITUTE($G278,"-"," ",LEN($G278)-LEN(SUBSTITUTE($G278,"-",""))),"-"," ",LEN($G278)-LEN(SUBSTITUTE($G278,"-",""))-1),"."," ",(LEN(SUBSTITUTE(SUBSTITUTE($G278,"-"," ",LEN($G278)-LEN(SUBSTITUTE($G278,"-",""))),"-"," ",LEN($G278)-LEN(SUBSTITUTE($G278,"-",""))-1))-LEN(SUBSTITUTE(SUBSTITUTE(SUBSTITUTE($G278,"-"," ",LEN($G278)-LEN(SUBSTITUTE($G278,"-",""))),"-"," ",LEN($G278)-LEN(SUBSTITUTE($G278,"-",""))-1),".",""))))),$G278)))</f>
        <v/>
      </c>
    </row>
    <row r="279">
      <c r="A279" s="58" t="n"/>
      <c r="B279" s="58">
        <f>IF($H279="","",LEFT($H279,FIND(" ",$H279&amp;" ")-1))</f>
        <v/>
      </c>
      <c r="C279" s="58">
        <f>IF($H279="","",IFERROR(MID($H279&amp;" ",FIND("|",SUBSTITUTE($H279&amp;" "," ","|",1))+1,FIND("|",SUBSTITUTE($H279&amp;" "," ","|",2))-FIND("|",SUBSTITUTE($H279&amp;" "," ","|",1))-1),""))</f>
        <v/>
      </c>
      <c r="D279" s="58">
        <f>IF($H279="","",IFERROR(MID($H279&amp;" ",FIND("|",SUBSTITUTE($H279&amp;" "," ","|",2))+1,FIND("|",SUBSTITUTE($H279&amp;" "," ","|",3))-FIND("|",SUBSTITUTE($H279&amp;" "," ","|",2))-1),""))</f>
        <v/>
      </c>
      <c r="E279" s="58">
        <f>IF($H279="","",IFERROR(MID($H279&amp;" ",FIND("|",SUBSTITUTE($H279&amp;" "," ","|",3))+1,FIND("|",SUBSTITUTE($H279&amp;" "," ","|",4))-FIND("|",SUBSTITUTE($H279&amp;" "," ","|",3))-1),""))</f>
        <v/>
      </c>
      <c r="F279" s="59">
        <f>IF($H279="","",IFERROR(VALUE(IFERROR(MID($H279&amp;" ",FIND("|",SUBSTITUTE($H279&amp;" "," ","|",4))+1,FIND("|",SUBSTITUTE($H279&amp;" "," ","|",5))-FIND("|",SUBSTITUTE($H279&amp;" "," ","|",4))-1),""))/86400+25569+9/24,""))</f>
        <v/>
      </c>
      <c r="G279" s="58">
        <f>TRIM(SUBSTITUTE(SUBSTITUTE(SUBSTITUTE($A279,CHAR(9)," ")," "," "),CHAR(13),""))</f>
        <v/>
      </c>
      <c r="H279" s="58">
        <f>IF($G279="","",IF(ISNUMBER(FIND(" ",$G279)),$G279,IFERROR(IF((LEN(SUBSTITUTE(SUBSTITUTE($G279,"-"," ",LEN($G279)-LEN(SUBSTITUTE($G279,"-",""))),"-"," ",LEN($G279)-LEN(SUBSTITUTE($G279,"-",""))-1))-LEN(SUBSTITUTE(SUBSTITUTE(SUBSTITUTE($G279,"-"," ",LEN($G279)-LEN(SUBSTITUTE($G279,"-",""))),"-"," ",LEN($G279)-LEN(SUBSTITUTE($G279,"-",""))-1),".","")))=0,SUBSTITUTE(SUBSTITUTE($G279,"-"," ",LEN($G279)-LEN(SUBSTITUTE($G279,"-",""))),"-"," ",LEN($G279)-LEN(SUBSTITUTE($G279,"-",""))-1),SUBSTITUTE(SUBSTITUTE(SUBSTITUTE($G279,"-"," ",LEN($G279)-LEN(SUBSTITUTE($G279,"-",""))),"-"," ",LEN($G279)-LEN(SUBSTITUTE($G279,"-",""))-1),"."," ",(LEN(SUBSTITUTE(SUBSTITUTE($G279,"-"," ",LEN($G279)-LEN(SUBSTITUTE($G279,"-",""))),"-"," ",LEN($G279)-LEN(SUBSTITUTE($G279,"-",""))-1))-LEN(SUBSTITUTE(SUBSTITUTE(SUBSTITUTE($G279,"-"," ",LEN($G279)-LEN(SUBSTITUTE($G279,"-",""))),"-"," ",LEN($G279)-LEN(SUBSTITUTE($G279,"-",""))-1),".",""))))),$G279)))</f>
        <v/>
      </c>
    </row>
    <row r="280">
      <c r="A280" s="58" t="n"/>
      <c r="B280" s="58">
        <f>IF($H280="","",LEFT($H280,FIND(" ",$H280&amp;" ")-1))</f>
        <v/>
      </c>
      <c r="C280" s="58">
        <f>IF($H280="","",IFERROR(MID($H280&amp;" ",FIND("|",SUBSTITUTE($H280&amp;" "," ","|",1))+1,FIND("|",SUBSTITUTE($H280&amp;" "," ","|",2))-FIND("|",SUBSTITUTE($H280&amp;" "," ","|",1))-1),""))</f>
        <v/>
      </c>
      <c r="D280" s="58">
        <f>IF($H280="","",IFERROR(MID($H280&amp;" ",FIND("|",SUBSTITUTE($H280&amp;" "," ","|",2))+1,FIND("|",SUBSTITUTE($H280&amp;" "," ","|",3))-FIND("|",SUBSTITUTE($H280&amp;" "," ","|",2))-1),""))</f>
        <v/>
      </c>
      <c r="E280" s="58">
        <f>IF($H280="","",IFERROR(MID($H280&amp;" ",FIND("|",SUBSTITUTE($H280&amp;" "," ","|",3))+1,FIND("|",SUBSTITUTE($H280&amp;" "," ","|",4))-FIND("|",SUBSTITUTE($H280&amp;" "," ","|",3))-1),""))</f>
        <v/>
      </c>
      <c r="F280" s="59">
        <f>IF($H280="","",IFERROR(VALUE(IFERROR(MID($H280&amp;" ",FIND("|",SUBSTITUTE($H280&amp;" "," ","|",4))+1,FIND("|",SUBSTITUTE($H280&amp;" "," ","|",5))-FIND("|",SUBSTITUTE($H280&amp;" "," ","|",4))-1),""))/86400+25569+9/24,""))</f>
        <v/>
      </c>
      <c r="G280" s="58">
        <f>TRIM(SUBSTITUTE(SUBSTITUTE(SUBSTITUTE($A280,CHAR(9)," ")," "," "),CHAR(13),""))</f>
        <v/>
      </c>
      <c r="H280" s="58">
        <f>IF($G280="","",IF(ISNUMBER(FIND(" ",$G280)),$G280,IFERROR(IF((LEN(SUBSTITUTE(SUBSTITUTE($G280,"-"," ",LEN($G280)-LEN(SUBSTITUTE($G280,"-",""))),"-"," ",LEN($G280)-LEN(SUBSTITUTE($G280,"-",""))-1))-LEN(SUBSTITUTE(SUBSTITUTE(SUBSTITUTE($G280,"-"," ",LEN($G280)-LEN(SUBSTITUTE($G280,"-",""))),"-"," ",LEN($G280)-LEN(SUBSTITUTE($G280,"-",""))-1),".","")))=0,SUBSTITUTE(SUBSTITUTE($G280,"-"," ",LEN($G280)-LEN(SUBSTITUTE($G280,"-",""))),"-"," ",LEN($G280)-LEN(SUBSTITUTE($G280,"-",""))-1),SUBSTITUTE(SUBSTITUTE(SUBSTITUTE($G280,"-"," ",LEN($G280)-LEN(SUBSTITUTE($G280,"-",""))),"-"," ",LEN($G280)-LEN(SUBSTITUTE($G280,"-",""))-1),"."," ",(LEN(SUBSTITUTE(SUBSTITUTE($G280,"-"," ",LEN($G280)-LEN(SUBSTITUTE($G280,"-",""))),"-"," ",LEN($G280)-LEN(SUBSTITUTE($G280,"-",""))-1))-LEN(SUBSTITUTE(SUBSTITUTE(SUBSTITUTE($G280,"-"," ",LEN($G280)-LEN(SUBSTITUTE($G280,"-",""))),"-"," ",LEN($G280)-LEN(SUBSTITUTE($G280,"-",""))-1),".",""))))),$G280)))</f>
        <v/>
      </c>
    </row>
    <row r="281">
      <c r="A281" s="58" t="n"/>
      <c r="B281" s="58">
        <f>IF($H281="","",LEFT($H281,FIND(" ",$H281&amp;" ")-1))</f>
        <v/>
      </c>
      <c r="C281" s="58">
        <f>IF($H281="","",IFERROR(MID($H281&amp;" ",FIND("|",SUBSTITUTE($H281&amp;" "," ","|",1))+1,FIND("|",SUBSTITUTE($H281&amp;" "," ","|",2))-FIND("|",SUBSTITUTE($H281&amp;" "," ","|",1))-1),""))</f>
        <v/>
      </c>
      <c r="D281" s="58">
        <f>IF($H281="","",IFERROR(MID($H281&amp;" ",FIND("|",SUBSTITUTE($H281&amp;" "," ","|",2))+1,FIND("|",SUBSTITUTE($H281&amp;" "," ","|",3))-FIND("|",SUBSTITUTE($H281&amp;" "," ","|",2))-1),""))</f>
        <v/>
      </c>
      <c r="E281" s="58">
        <f>IF($H281="","",IFERROR(MID($H281&amp;" ",FIND("|",SUBSTITUTE($H281&amp;" "," ","|",3))+1,FIND("|",SUBSTITUTE($H281&amp;" "," ","|",4))-FIND("|",SUBSTITUTE($H281&amp;" "," ","|",3))-1),""))</f>
        <v/>
      </c>
      <c r="F281" s="59">
        <f>IF($H281="","",IFERROR(VALUE(IFERROR(MID($H281&amp;" ",FIND("|",SUBSTITUTE($H281&amp;" "," ","|",4))+1,FIND("|",SUBSTITUTE($H281&amp;" "," ","|",5))-FIND("|",SUBSTITUTE($H281&amp;" "," ","|",4))-1),""))/86400+25569+9/24,""))</f>
        <v/>
      </c>
      <c r="G281" s="58">
        <f>TRIM(SUBSTITUTE(SUBSTITUTE(SUBSTITUTE($A281,CHAR(9)," ")," "," "),CHAR(13),""))</f>
        <v/>
      </c>
      <c r="H281" s="58">
        <f>IF($G281="","",IF(ISNUMBER(FIND(" ",$G281)),$G281,IFERROR(IF((LEN(SUBSTITUTE(SUBSTITUTE($G281,"-"," ",LEN($G281)-LEN(SUBSTITUTE($G281,"-",""))),"-"," ",LEN($G281)-LEN(SUBSTITUTE($G281,"-",""))-1))-LEN(SUBSTITUTE(SUBSTITUTE(SUBSTITUTE($G281,"-"," ",LEN($G281)-LEN(SUBSTITUTE($G281,"-",""))),"-"," ",LEN($G281)-LEN(SUBSTITUTE($G281,"-",""))-1),".","")))=0,SUBSTITUTE(SUBSTITUTE($G281,"-"," ",LEN($G281)-LEN(SUBSTITUTE($G281,"-",""))),"-"," ",LEN($G281)-LEN(SUBSTITUTE($G281,"-",""))-1),SUBSTITUTE(SUBSTITUTE(SUBSTITUTE($G281,"-"," ",LEN($G281)-LEN(SUBSTITUTE($G281,"-",""))),"-"," ",LEN($G281)-LEN(SUBSTITUTE($G281,"-",""))-1),"."," ",(LEN(SUBSTITUTE(SUBSTITUTE($G281,"-"," ",LEN($G281)-LEN(SUBSTITUTE($G281,"-",""))),"-"," ",LEN($G281)-LEN(SUBSTITUTE($G281,"-",""))-1))-LEN(SUBSTITUTE(SUBSTITUTE(SUBSTITUTE($G281,"-"," ",LEN($G281)-LEN(SUBSTITUTE($G281,"-",""))),"-"," ",LEN($G281)-LEN(SUBSTITUTE($G281,"-",""))-1),".",""))))),$G281)))</f>
        <v/>
      </c>
    </row>
    <row r="282">
      <c r="A282" s="58" t="n"/>
      <c r="B282" s="58">
        <f>IF($H282="","",LEFT($H282,FIND(" ",$H282&amp;" ")-1))</f>
        <v/>
      </c>
      <c r="C282" s="58">
        <f>IF($H282="","",IFERROR(MID($H282&amp;" ",FIND("|",SUBSTITUTE($H282&amp;" "," ","|",1))+1,FIND("|",SUBSTITUTE($H282&amp;" "," ","|",2))-FIND("|",SUBSTITUTE($H282&amp;" "," ","|",1))-1),""))</f>
        <v/>
      </c>
      <c r="D282" s="58">
        <f>IF($H282="","",IFERROR(MID($H282&amp;" ",FIND("|",SUBSTITUTE($H282&amp;" "," ","|",2))+1,FIND("|",SUBSTITUTE($H282&amp;" "," ","|",3))-FIND("|",SUBSTITUTE($H282&amp;" "," ","|",2))-1),""))</f>
        <v/>
      </c>
      <c r="E282" s="58">
        <f>IF($H282="","",IFERROR(MID($H282&amp;" ",FIND("|",SUBSTITUTE($H282&amp;" "," ","|",3))+1,FIND("|",SUBSTITUTE($H282&amp;" "," ","|",4))-FIND("|",SUBSTITUTE($H282&amp;" "," ","|",3))-1),""))</f>
        <v/>
      </c>
      <c r="F282" s="59">
        <f>IF($H282="","",IFERROR(VALUE(IFERROR(MID($H282&amp;" ",FIND("|",SUBSTITUTE($H282&amp;" "," ","|",4))+1,FIND("|",SUBSTITUTE($H282&amp;" "," ","|",5))-FIND("|",SUBSTITUTE($H282&amp;" "," ","|",4))-1),""))/86400+25569+9/24,""))</f>
        <v/>
      </c>
      <c r="G282" s="58">
        <f>TRIM(SUBSTITUTE(SUBSTITUTE(SUBSTITUTE($A282,CHAR(9)," ")," "," "),CHAR(13),""))</f>
        <v/>
      </c>
      <c r="H282" s="58">
        <f>IF($G282="","",IF(ISNUMBER(FIND(" ",$G282)),$G282,IFERROR(IF((LEN(SUBSTITUTE(SUBSTITUTE($G282,"-"," ",LEN($G282)-LEN(SUBSTITUTE($G282,"-",""))),"-"," ",LEN($G282)-LEN(SUBSTITUTE($G282,"-",""))-1))-LEN(SUBSTITUTE(SUBSTITUTE(SUBSTITUTE($G282,"-"," ",LEN($G282)-LEN(SUBSTITUTE($G282,"-",""))),"-"," ",LEN($G282)-LEN(SUBSTITUTE($G282,"-",""))-1),".","")))=0,SUBSTITUTE(SUBSTITUTE($G282,"-"," ",LEN($G282)-LEN(SUBSTITUTE($G282,"-",""))),"-"," ",LEN($G282)-LEN(SUBSTITUTE($G282,"-",""))-1),SUBSTITUTE(SUBSTITUTE(SUBSTITUTE($G282,"-"," ",LEN($G282)-LEN(SUBSTITUTE($G282,"-",""))),"-"," ",LEN($G282)-LEN(SUBSTITUTE($G282,"-",""))-1),"."," ",(LEN(SUBSTITUTE(SUBSTITUTE($G282,"-"," ",LEN($G282)-LEN(SUBSTITUTE($G282,"-",""))),"-"," ",LEN($G282)-LEN(SUBSTITUTE($G282,"-",""))-1))-LEN(SUBSTITUTE(SUBSTITUTE(SUBSTITUTE($G282,"-"," ",LEN($G282)-LEN(SUBSTITUTE($G282,"-",""))),"-"," ",LEN($G282)-LEN(SUBSTITUTE($G282,"-",""))-1),".",""))))),$G282)))</f>
        <v/>
      </c>
    </row>
    <row r="283">
      <c r="A283" s="58" t="n"/>
      <c r="B283" s="58">
        <f>IF($H283="","",LEFT($H283,FIND(" ",$H283&amp;" ")-1))</f>
        <v/>
      </c>
      <c r="C283" s="58">
        <f>IF($H283="","",IFERROR(MID($H283&amp;" ",FIND("|",SUBSTITUTE($H283&amp;" "," ","|",1))+1,FIND("|",SUBSTITUTE($H283&amp;" "," ","|",2))-FIND("|",SUBSTITUTE($H283&amp;" "," ","|",1))-1),""))</f>
        <v/>
      </c>
      <c r="D283" s="58">
        <f>IF($H283="","",IFERROR(MID($H283&amp;" ",FIND("|",SUBSTITUTE($H283&amp;" "," ","|",2))+1,FIND("|",SUBSTITUTE($H283&amp;" "," ","|",3))-FIND("|",SUBSTITUTE($H283&amp;" "," ","|",2))-1),""))</f>
        <v/>
      </c>
      <c r="E283" s="58">
        <f>IF($H283="","",IFERROR(MID($H283&amp;" ",FIND("|",SUBSTITUTE($H283&amp;" "," ","|",3))+1,FIND("|",SUBSTITUTE($H283&amp;" "," ","|",4))-FIND("|",SUBSTITUTE($H283&amp;" "," ","|",3))-1),""))</f>
        <v/>
      </c>
      <c r="F283" s="59">
        <f>IF($H283="","",IFERROR(VALUE(IFERROR(MID($H283&amp;" ",FIND("|",SUBSTITUTE($H283&amp;" "," ","|",4))+1,FIND("|",SUBSTITUTE($H283&amp;" "," ","|",5))-FIND("|",SUBSTITUTE($H283&amp;" "," ","|",4))-1),""))/86400+25569+9/24,""))</f>
        <v/>
      </c>
      <c r="G283" s="58">
        <f>TRIM(SUBSTITUTE(SUBSTITUTE(SUBSTITUTE($A283,CHAR(9)," ")," "," "),CHAR(13),""))</f>
        <v/>
      </c>
      <c r="H283" s="58">
        <f>IF($G283="","",IF(ISNUMBER(FIND(" ",$G283)),$G283,IFERROR(IF((LEN(SUBSTITUTE(SUBSTITUTE($G283,"-"," ",LEN($G283)-LEN(SUBSTITUTE($G283,"-",""))),"-"," ",LEN($G283)-LEN(SUBSTITUTE($G283,"-",""))-1))-LEN(SUBSTITUTE(SUBSTITUTE(SUBSTITUTE($G283,"-"," ",LEN($G283)-LEN(SUBSTITUTE($G283,"-",""))),"-"," ",LEN($G283)-LEN(SUBSTITUTE($G283,"-",""))-1),".","")))=0,SUBSTITUTE(SUBSTITUTE($G283,"-"," ",LEN($G283)-LEN(SUBSTITUTE($G283,"-",""))),"-"," ",LEN($G283)-LEN(SUBSTITUTE($G283,"-",""))-1),SUBSTITUTE(SUBSTITUTE(SUBSTITUTE($G283,"-"," ",LEN($G283)-LEN(SUBSTITUTE($G283,"-",""))),"-"," ",LEN($G283)-LEN(SUBSTITUTE($G283,"-",""))-1),"."," ",(LEN(SUBSTITUTE(SUBSTITUTE($G283,"-"," ",LEN($G283)-LEN(SUBSTITUTE($G283,"-",""))),"-"," ",LEN($G283)-LEN(SUBSTITUTE($G283,"-",""))-1))-LEN(SUBSTITUTE(SUBSTITUTE(SUBSTITUTE($G283,"-"," ",LEN($G283)-LEN(SUBSTITUTE($G283,"-",""))),"-"," ",LEN($G283)-LEN(SUBSTITUTE($G283,"-",""))-1),".",""))))),$G283)))</f>
        <v/>
      </c>
    </row>
    <row r="284">
      <c r="A284" s="58" t="n"/>
      <c r="B284" s="58">
        <f>IF($H284="","",LEFT($H284,FIND(" ",$H284&amp;" ")-1))</f>
        <v/>
      </c>
      <c r="C284" s="58">
        <f>IF($H284="","",IFERROR(MID($H284&amp;" ",FIND("|",SUBSTITUTE($H284&amp;" "," ","|",1))+1,FIND("|",SUBSTITUTE($H284&amp;" "," ","|",2))-FIND("|",SUBSTITUTE($H284&amp;" "," ","|",1))-1),""))</f>
        <v/>
      </c>
      <c r="D284" s="58">
        <f>IF($H284="","",IFERROR(MID($H284&amp;" ",FIND("|",SUBSTITUTE($H284&amp;" "," ","|",2))+1,FIND("|",SUBSTITUTE($H284&amp;" "," ","|",3))-FIND("|",SUBSTITUTE($H284&amp;" "," ","|",2))-1),""))</f>
        <v/>
      </c>
      <c r="E284" s="58">
        <f>IF($H284="","",IFERROR(MID($H284&amp;" ",FIND("|",SUBSTITUTE($H284&amp;" "," ","|",3))+1,FIND("|",SUBSTITUTE($H284&amp;" "," ","|",4))-FIND("|",SUBSTITUTE($H284&amp;" "," ","|",3))-1),""))</f>
        <v/>
      </c>
      <c r="F284" s="59">
        <f>IF($H284="","",IFERROR(VALUE(IFERROR(MID($H284&amp;" ",FIND("|",SUBSTITUTE($H284&amp;" "," ","|",4))+1,FIND("|",SUBSTITUTE($H284&amp;" "," ","|",5))-FIND("|",SUBSTITUTE($H284&amp;" "," ","|",4))-1),""))/86400+25569+9/24,""))</f>
        <v/>
      </c>
      <c r="G284" s="58">
        <f>TRIM(SUBSTITUTE(SUBSTITUTE(SUBSTITUTE($A284,CHAR(9)," ")," "," "),CHAR(13),""))</f>
        <v/>
      </c>
      <c r="H284" s="58">
        <f>IF($G284="","",IF(ISNUMBER(FIND(" ",$G284)),$G284,IFERROR(IF((LEN(SUBSTITUTE(SUBSTITUTE($G284,"-"," ",LEN($G284)-LEN(SUBSTITUTE($G284,"-",""))),"-"," ",LEN($G284)-LEN(SUBSTITUTE($G284,"-",""))-1))-LEN(SUBSTITUTE(SUBSTITUTE(SUBSTITUTE($G284,"-"," ",LEN($G284)-LEN(SUBSTITUTE($G284,"-",""))),"-"," ",LEN($G284)-LEN(SUBSTITUTE($G284,"-",""))-1),".","")))=0,SUBSTITUTE(SUBSTITUTE($G284,"-"," ",LEN($G284)-LEN(SUBSTITUTE($G284,"-",""))),"-"," ",LEN($G284)-LEN(SUBSTITUTE($G284,"-",""))-1),SUBSTITUTE(SUBSTITUTE(SUBSTITUTE($G284,"-"," ",LEN($G284)-LEN(SUBSTITUTE($G284,"-",""))),"-"," ",LEN($G284)-LEN(SUBSTITUTE($G284,"-",""))-1),"."," ",(LEN(SUBSTITUTE(SUBSTITUTE($G284,"-"," ",LEN($G284)-LEN(SUBSTITUTE($G284,"-",""))),"-"," ",LEN($G284)-LEN(SUBSTITUTE($G284,"-",""))-1))-LEN(SUBSTITUTE(SUBSTITUTE(SUBSTITUTE($G284,"-"," ",LEN($G284)-LEN(SUBSTITUTE($G284,"-",""))),"-"," ",LEN($G284)-LEN(SUBSTITUTE($G284,"-",""))-1),".",""))))),$G284)))</f>
        <v/>
      </c>
    </row>
    <row r="285">
      <c r="A285" s="58" t="n"/>
      <c r="B285" s="58">
        <f>IF($H285="","",LEFT($H285,FIND(" ",$H285&amp;" ")-1))</f>
        <v/>
      </c>
      <c r="C285" s="58">
        <f>IF($H285="","",IFERROR(MID($H285&amp;" ",FIND("|",SUBSTITUTE($H285&amp;" "," ","|",1))+1,FIND("|",SUBSTITUTE($H285&amp;" "," ","|",2))-FIND("|",SUBSTITUTE($H285&amp;" "," ","|",1))-1),""))</f>
        <v/>
      </c>
      <c r="D285" s="58">
        <f>IF($H285="","",IFERROR(MID($H285&amp;" ",FIND("|",SUBSTITUTE($H285&amp;" "," ","|",2))+1,FIND("|",SUBSTITUTE($H285&amp;" "," ","|",3))-FIND("|",SUBSTITUTE($H285&amp;" "," ","|",2))-1),""))</f>
        <v/>
      </c>
      <c r="E285" s="58">
        <f>IF($H285="","",IFERROR(MID($H285&amp;" ",FIND("|",SUBSTITUTE($H285&amp;" "," ","|",3))+1,FIND("|",SUBSTITUTE($H285&amp;" "," ","|",4))-FIND("|",SUBSTITUTE($H285&amp;" "," ","|",3))-1),""))</f>
        <v/>
      </c>
      <c r="F285" s="59">
        <f>IF($H285="","",IFERROR(VALUE(IFERROR(MID($H285&amp;" ",FIND("|",SUBSTITUTE($H285&amp;" "," ","|",4))+1,FIND("|",SUBSTITUTE($H285&amp;" "," ","|",5))-FIND("|",SUBSTITUTE($H285&amp;" "," ","|",4))-1),""))/86400+25569+9/24,""))</f>
        <v/>
      </c>
      <c r="G285" s="58">
        <f>TRIM(SUBSTITUTE(SUBSTITUTE(SUBSTITUTE($A285,CHAR(9)," ")," "," "),CHAR(13),""))</f>
        <v/>
      </c>
      <c r="H285" s="58">
        <f>IF($G285="","",IF(ISNUMBER(FIND(" ",$G285)),$G285,IFERROR(IF((LEN(SUBSTITUTE(SUBSTITUTE($G285,"-"," ",LEN($G285)-LEN(SUBSTITUTE($G285,"-",""))),"-"," ",LEN($G285)-LEN(SUBSTITUTE($G285,"-",""))-1))-LEN(SUBSTITUTE(SUBSTITUTE(SUBSTITUTE($G285,"-"," ",LEN($G285)-LEN(SUBSTITUTE($G285,"-",""))),"-"," ",LEN($G285)-LEN(SUBSTITUTE($G285,"-",""))-1),".","")))=0,SUBSTITUTE(SUBSTITUTE($G285,"-"," ",LEN($G285)-LEN(SUBSTITUTE($G285,"-",""))),"-"," ",LEN($G285)-LEN(SUBSTITUTE($G285,"-",""))-1),SUBSTITUTE(SUBSTITUTE(SUBSTITUTE($G285,"-"," ",LEN($G285)-LEN(SUBSTITUTE($G285,"-",""))),"-"," ",LEN($G285)-LEN(SUBSTITUTE($G285,"-",""))-1),"."," ",(LEN(SUBSTITUTE(SUBSTITUTE($G285,"-"," ",LEN($G285)-LEN(SUBSTITUTE($G285,"-",""))),"-"," ",LEN($G285)-LEN(SUBSTITUTE($G285,"-",""))-1))-LEN(SUBSTITUTE(SUBSTITUTE(SUBSTITUTE($G285,"-"," ",LEN($G285)-LEN(SUBSTITUTE($G285,"-",""))),"-"," ",LEN($G285)-LEN(SUBSTITUTE($G285,"-",""))-1),".",""))))),$G285)))</f>
        <v/>
      </c>
    </row>
    <row r="286">
      <c r="A286" s="58" t="n"/>
      <c r="B286" s="58">
        <f>IF($H286="","",LEFT($H286,FIND(" ",$H286&amp;" ")-1))</f>
        <v/>
      </c>
      <c r="C286" s="58">
        <f>IF($H286="","",IFERROR(MID($H286&amp;" ",FIND("|",SUBSTITUTE($H286&amp;" "," ","|",1))+1,FIND("|",SUBSTITUTE($H286&amp;" "," ","|",2))-FIND("|",SUBSTITUTE($H286&amp;" "," ","|",1))-1),""))</f>
        <v/>
      </c>
      <c r="D286" s="58">
        <f>IF($H286="","",IFERROR(MID($H286&amp;" ",FIND("|",SUBSTITUTE($H286&amp;" "," ","|",2))+1,FIND("|",SUBSTITUTE($H286&amp;" "," ","|",3))-FIND("|",SUBSTITUTE($H286&amp;" "," ","|",2))-1),""))</f>
        <v/>
      </c>
      <c r="E286" s="58">
        <f>IF($H286="","",IFERROR(MID($H286&amp;" ",FIND("|",SUBSTITUTE($H286&amp;" "," ","|",3))+1,FIND("|",SUBSTITUTE($H286&amp;" "," ","|",4))-FIND("|",SUBSTITUTE($H286&amp;" "," ","|",3))-1),""))</f>
        <v/>
      </c>
      <c r="F286" s="59">
        <f>IF($H286="","",IFERROR(VALUE(IFERROR(MID($H286&amp;" ",FIND("|",SUBSTITUTE($H286&amp;" "," ","|",4))+1,FIND("|",SUBSTITUTE($H286&amp;" "," ","|",5))-FIND("|",SUBSTITUTE($H286&amp;" "," ","|",4))-1),""))/86400+25569+9/24,""))</f>
        <v/>
      </c>
      <c r="G286" s="58">
        <f>TRIM(SUBSTITUTE(SUBSTITUTE(SUBSTITUTE($A286,CHAR(9)," ")," "," "),CHAR(13),""))</f>
        <v/>
      </c>
      <c r="H286" s="58">
        <f>IF($G286="","",IF(ISNUMBER(FIND(" ",$G286)),$G286,IFERROR(IF((LEN(SUBSTITUTE(SUBSTITUTE($G286,"-"," ",LEN($G286)-LEN(SUBSTITUTE($G286,"-",""))),"-"," ",LEN($G286)-LEN(SUBSTITUTE($G286,"-",""))-1))-LEN(SUBSTITUTE(SUBSTITUTE(SUBSTITUTE($G286,"-"," ",LEN($G286)-LEN(SUBSTITUTE($G286,"-",""))),"-"," ",LEN($G286)-LEN(SUBSTITUTE($G286,"-",""))-1),".","")))=0,SUBSTITUTE(SUBSTITUTE($G286,"-"," ",LEN($G286)-LEN(SUBSTITUTE($G286,"-",""))),"-"," ",LEN($G286)-LEN(SUBSTITUTE($G286,"-",""))-1),SUBSTITUTE(SUBSTITUTE(SUBSTITUTE($G286,"-"," ",LEN($G286)-LEN(SUBSTITUTE($G286,"-",""))),"-"," ",LEN($G286)-LEN(SUBSTITUTE($G286,"-",""))-1),"."," ",(LEN(SUBSTITUTE(SUBSTITUTE($G286,"-"," ",LEN($G286)-LEN(SUBSTITUTE($G286,"-",""))),"-"," ",LEN($G286)-LEN(SUBSTITUTE($G286,"-",""))-1))-LEN(SUBSTITUTE(SUBSTITUTE(SUBSTITUTE($G286,"-"," ",LEN($G286)-LEN(SUBSTITUTE($G286,"-",""))),"-"," ",LEN($G286)-LEN(SUBSTITUTE($G286,"-",""))-1),".",""))))),$G286)))</f>
        <v/>
      </c>
    </row>
    <row r="287">
      <c r="A287" s="58" t="n"/>
      <c r="B287" s="58">
        <f>IF($H287="","",LEFT($H287,FIND(" ",$H287&amp;" ")-1))</f>
        <v/>
      </c>
      <c r="C287" s="58">
        <f>IF($H287="","",IFERROR(MID($H287&amp;" ",FIND("|",SUBSTITUTE($H287&amp;" "," ","|",1))+1,FIND("|",SUBSTITUTE($H287&amp;" "," ","|",2))-FIND("|",SUBSTITUTE($H287&amp;" "," ","|",1))-1),""))</f>
        <v/>
      </c>
      <c r="D287" s="58">
        <f>IF($H287="","",IFERROR(MID($H287&amp;" ",FIND("|",SUBSTITUTE($H287&amp;" "," ","|",2))+1,FIND("|",SUBSTITUTE($H287&amp;" "," ","|",3))-FIND("|",SUBSTITUTE($H287&amp;" "," ","|",2))-1),""))</f>
        <v/>
      </c>
      <c r="E287" s="58">
        <f>IF($H287="","",IFERROR(MID($H287&amp;" ",FIND("|",SUBSTITUTE($H287&amp;" "," ","|",3))+1,FIND("|",SUBSTITUTE($H287&amp;" "," ","|",4))-FIND("|",SUBSTITUTE($H287&amp;" "," ","|",3))-1),""))</f>
        <v/>
      </c>
      <c r="F287" s="59">
        <f>IF($H287="","",IFERROR(VALUE(IFERROR(MID($H287&amp;" ",FIND("|",SUBSTITUTE($H287&amp;" "," ","|",4))+1,FIND("|",SUBSTITUTE($H287&amp;" "," ","|",5))-FIND("|",SUBSTITUTE($H287&amp;" "," ","|",4))-1),""))/86400+25569+9/24,""))</f>
        <v/>
      </c>
      <c r="G287" s="58">
        <f>TRIM(SUBSTITUTE(SUBSTITUTE(SUBSTITUTE($A287,CHAR(9)," ")," "," "),CHAR(13),""))</f>
        <v/>
      </c>
      <c r="H287" s="58">
        <f>IF($G287="","",IF(ISNUMBER(FIND(" ",$G287)),$G287,IFERROR(IF((LEN(SUBSTITUTE(SUBSTITUTE($G287,"-"," ",LEN($G287)-LEN(SUBSTITUTE($G287,"-",""))),"-"," ",LEN($G287)-LEN(SUBSTITUTE($G287,"-",""))-1))-LEN(SUBSTITUTE(SUBSTITUTE(SUBSTITUTE($G287,"-"," ",LEN($G287)-LEN(SUBSTITUTE($G287,"-",""))),"-"," ",LEN($G287)-LEN(SUBSTITUTE($G287,"-",""))-1),".","")))=0,SUBSTITUTE(SUBSTITUTE($G287,"-"," ",LEN($G287)-LEN(SUBSTITUTE($G287,"-",""))),"-"," ",LEN($G287)-LEN(SUBSTITUTE($G287,"-",""))-1),SUBSTITUTE(SUBSTITUTE(SUBSTITUTE($G287,"-"," ",LEN($G287)-LEN(SUBSTITUTE($G287,"-",""))),"-"," ",LEN($G287)-LEN(SUBSTITUTE($G287,"-",""))-1),"."," ",(LEN(SUBSTITUTE(SUBSTITUTE($G287,"-"," ",LEN($G287)-LEN(SUBSTITUTE($G287,"-",""))),"-"," ",LEN($G287)-LEN(SUBSTITUTE($G287,"-",""))-1))-LEN(SUBSTITUTE(SUBSTITUTE(SUBSTITUTE($G287,"-"," ",LEN($G287)-LEN(SUBSTITUTE($G287,"-",""))),"-"," ",LEN($G287)-LEN(SUBSTITUTE($G287,"-",""))-1),".",""))))),$G287)))</f>
        <v/>
      </c>
    </row>
    <row r="288">
      <c r="A288" s="58" t="n"/>
      <c r="B288" s="58">
        <f>IF($H288="","",LEFT($H288,FIND(" ",$H288&amp;" ")-1))</f>
        <v/>
      </c>
      <c r="C288" s="58">
        <f>IF($H288="","",IFERROR(MID($H288&amp;" ",FIND("|",SUBSTITUTE($H288&amp;" "," ","|",1))+1,FIND("|",SUBSTITUTE($H288&amp;" "," ","|",2))-FIND("|",SUBSTITUTE($H288&amp;" "," ","|",1))-1),""))</f>
        <v/>
      </c>
      <c r="D288" s="58">
        <f>IF($H288="","",IFERROR(MID($H288&amp;" ",FIND("|",SUBSTITUTE($H288&amp;" "," ","|",2))+1,FIND("|",SUBSTITUTE($H288&amp;" "," ","|",3))-FIND("|",SUBSTITUTE($H288&amp;" "," ","|",2))-1),""))</f>
        <v/>
      </c>
      <c r="E288" s="58">
        <f>IF($H288="","",IFERROR(MID($H288&amp;" ",FIND("|",SUBSTITUTE($H288&amp;" "," ","|",3))+1,FIND("|",SUBSTITUTE($H288&amp;" "," ","|",4))-FIND("|",SUBSTITUTE($H288&amp;" "," ","|",3))-1),""))</f>
        <v/>
      </c>
      <c r="F288" s="59">
        <f>IF($H288="","",IFERROR(VALUE(IFERROR(MID($H288&amp;" ",FIND("|",SUBSTITUTE($H288&amp;" "," ","|",4))+1,FIND("|",SUBSTITUTE($H288&amp;" "," ","|",5))-FIND("|",SUBSTITUTE($H288&amp;" "," ","|",4))-1),""))/86400+25569+9/24,""))</f>
        <v/>
      </c>
      <c r="G288" s="58">
        <f>TRIM(SUBSTITUTE(SUBSTITUTE(SUBSTITUTE($A288,CHAR(9)," ")," "," "),CHAR(13),""))</f>
        <v/>
      </c>
      <c r="H288" s="58">
        <f>IF($G288="","",IF(ISNUMBER(FIND(" ",$G288)),$G288,IFERROR(IF((LEN(SUBSTITUTE(SUBSTITUTE($G288,"-"," ",LEN($G288)-LEN(SUBSTITUTE($G288,"-",""))),"-"," ",LEN($G288)-LEN(SUBSTITUTE($G288,"-",""))-1))-LEN(SUBSTITUTE(SUBSTITUTE(SUBSTITUTE($G288,"-"," ",LEN($G288)-LEN(SUBSTITUTE($G288,"-",""))),"-"," ",LEN($G288)-LEN(SUBSTITUTE($G288,"-",""))-1),".","")))=0,SUBSTITUTE(SUBSTITUTE($G288,"-"," ",LEN($G288)-LEN(SUBSTITUTE($G288,"-",""))),"-"," ",LEN($G288)-LEN(SUBSTITUTE($G288,"-",""))-1),SUBSTITUTE(SUBSTITUTE(SUBSTITUTE($G288,"-"," ",LEN($G288)-LEN(SUBSTITUTE($G288,"-",""))),"-"," ",LEN($G288)-LEN(SUBSTITUTE($G288,"-",""))-1),"."," ",(LEN(SUBSTITUTE(SUBSTITUTE($G288,"-"," ",LEN($G288)-LEN(SUBSTITUTE($G288,"-",""))),"-"," ",LEN($G288)-LEN(SUBSTITUTE($G288,"-",""))-1))-LEN(SUBSTITUTE(SUBSTITUTE(SUBSTITUTE($G288,"-"," ",LEN($G288)-LEN(SUBSTITUTE($G288,"-",""))),"-"," ",LEN($G288)-LEN(SUBSTITUTE($G288,"-",""))-1),".",""))))),$G288)))</f>
        <v/>
      </c>
    </row>
    <row r="289">
      <c r="A289" s="58" t="n"/>
      <c r="B289" s="58">
        <f>IF($H289="","",LEFT($H289,FIND(" ",$H289&amp;" ")-1))</f>
        <v/>
      </c>
      <c r="C289" s="58">
        <f>IF($H289="","",IFERROR(MID($H289&amp;" ",FIND("|",SUBSTITUTE($H289&amp;" "," ","|",1))+1,FIND("|",SUBSTITUTE($H289&amp;" "," ","|",2))-FIND("|",SUBSTITUTE($H289&amp;" "," ","|",1))-1),""))</f>
        <v/>
      </c>
      <c r="D289" s="58">
        <f>IF($H289="","",IFERROR(MID($H289&amp;" ",FIND("|",SUBSTITUTE($H289&amp;" "," ","|",2))+1,FIND("|",SUBSTITUTE($H289&amp;" "," ","|",3))-FIND("|",SUBSTITUTE($H289&amp;" "," ","|",2))-1),""))</f>
        <v/>
      </c>
      <c r="E289" s="58">
        <f>IF($H289="","",IFERROR(MID($H289&amp;" ",FIND("|",SUBSTITUTE($H289&amp;" "," ","|",3))+1,FIND("|",SUBSTITUTE($H289&amp;" "," ","|",4))-FIND("|",SUBSTITUTE($H289&amp;" "," ","|",3))-1),""))</f>
        <v/>
      </c>
      <c r="F289" s="59">
        <f>IF($H289="","",IFERROR(VALUE(IFERROR(MID($H289&amp;" ",FIND("|",SUBSTITUTE($H289&amp;" "," ","|",4))+1,FIND("|",SUBSTITUTE($H289&amp;" "," ","|",5))-FIND("|",SUBSTITUTE($H289&amp;" "," ","|",4))-1),""))/86400+25569+9/24,""))</f>
        <v/>
      </c>
      <c r="G289" s="58">
        <f>TRIM(SUBSTITUTE(SUBSTITUTE(SUBSTITUTE($A289,CHAR(9)," ")," "," "),CHAR(13),""))</f>
        <v/>
      </c>
      <c r="H289" s="58">
        <f>IF($G289="","",IF(ISNUMBER(FIND(" ",$G289)),$G289,IFERROR(IF((LEN(SUBSTITUTE(SUBSTITUTE($G289,"-"," ",LEN($G289)-LEN(SUBSTITUTE($G289,"-",""))),"-"," ",LEN($G289)-LEN(SUBSTITUTE($G289,"-",""))-1))-LEN(SUBSTITUTE(SUBSTITUTE(SUBSTITUTE($G289,"-"," ",LEN($G289)-LEN(SUBSTITUTE($G289,"-",""))),"-"," ",LEN($G289)-LEN(SUBSTITUTE($G289,"-",""))-1),".","")))=0,SUBSTITUTE(SUBSTITUTE($G289,"-"," ",LEN($G289)-LEN(SUBSTITUTE($G289,"-",""))),"-"," ",LEN($G289)-LEN(SUBSTITUTE($G289,"-",""))-1),SUBSTITUTE(SUBSTITUTE(SUBSTITUTE($G289,"-"," ",LEN($G289)-LEN(SUBSTITUTE($G289,"-",""))),"-"," ",LEN($G289)-LEN(SUBSTITUTE($G289,"-",""))-1),"."," ",(LEN(SUBSTITUTE(SUBSTITUTE($G289,"-"," ",LEN($G289)-LEN(SUBSTITUTE($G289,"-",""))),"-"," ",LEN($G289)-LEN(SUBSTITUTE($G289,"-",""))-1))-LEN(SUBSTITUTE(SUBSTITUTE(SUBSTITUTE($G289,"-"," ",LEN($G289)-LEN(SUBSTITUTE($G289,"-",""))),"-"," ",LEN($G289)-LEN(SUBSTITUTE($G289,"-",""))-1),".",""))))),$G289)))</f>
        <v/>
      </c>
    </row>
    <row r="290">
      <c r="A290" s="58" t="n"/>
      <c r="B290" s="58">
        <f>IF($H290="","",LEFT($H290,FIND(" ",$H290&amp;" ")-1))</f>
        <v/>
      </c>
      <c r="C290" s="58">
        <f>IF($H290="","",IFERROR(MID($H290&amp;" ",FIND("|",SUBSTITUTE($H290&amp;" "," ","|",1))+1,FIND("|",SUBSTITUTE($H290&amp;" "," ","|",2))-FIND("|",SUBSTITUTE($H290&amp;" "," ","|",1))-1),""))</f>
        <v/>
      </c>
      <c r="D290" s="58">
        <f>IF($H290="","",IFERROR(MID($H290&amp;" ",FIND("|",SUBSTITUTE($H290&amp;" "," ","|",2))+1,FIND("|",SUBSTITUTE($H290&amp;" "," ","|",3))-FIND("|",SUBSTITUTE($H290&amp;" "," ","|",2))-1),""))</f>
        <v/>
      </c>
      <c r="E290" s="58">
        <f>IF($H290="","",IFERROR(MID($H290&amp;" ",FIND("|",SUBSTITUTE($H290&amp;" "," ","|",3))+1,FIND("|",SUBSTITUTE($H290&amp;" "," ","|",4))-FIND("|",SUBSTITUTE($H290&amp;" "," ","|",3))-1),""))</f>
        <v/>
      </c>
      <c r="F290" s="59">
        <f>IF($H290="","",IFERROR(VALUE(IFERROR(MID($H290&amp;" ",FIND("|",SUBSTITUTE($H290&amp;" "," ","|",4))+1,FIND("|",SUBSTITUTE($H290&amp;" "," ","|",5))-FIND("|",SUBSTITUTE($H290&amp;" "," ","|",4))-1),""))/86400+25569+9/24,""))</f>
        <v/>
      </c>
      <c r="G290" s="58">
        <f>TRIM(SUBSTITUTE(SUBSTITUTE(SUBSTITUTE($A290,CHAR(9)," ")," "," "),CHAR(13),""))</f>
        <v/>
      </c>
      <c r="H290" s="58">
        <f>IF($G290="","",IF(ISNUMBER(FIND(" ",$G290)),$G290,IFERROR(IF((LEN(SUBSTITUTE(SUBSTITUTE($G290,"-"," ",LEN($G290)-LEN(SUBSTITUTE($G290,"-",""))),"-"," ",LEN($G290)-LEN(SUBSTITUTE($G290,"-",""))-1))-LEN(SUBSTITUTE(SUBSTITUTE(SUBSTITUTE($G290,"-"," ",LEN($G290)-LEN(SUBSTITUTE($G290,"-",""))),"-"," ",LEN($G290)-LEN(SUBSTITUTE($G290,"-",""))-1),".","")))=0,SUBSTITUTE(SUBSTITUTE($G290,"-"," ",LEN($G290)-LEN(SUBSTITUTE($G290,"-",""))),"-"," ",LEN($G290)-LEN(SUBSTITUTE($G290,"-",""))-1),SUBSTITUTE(SUBSTITUTE(SUBSTITUTE($G290,"-"," ",LEN($G290)-LEN(SUBSTITUTE($G290,"-",""))),"-"," ",LEN($G290)-LEN(SUBSTITUTE($G290,"-",""))-1),"."," ",(LEN(SUBSTITUTE(SUBSTITUTE($G290,"-"," ",LEN($G290)-LEN(SUBSTITUTE($G290,"-",""))),"-"," ",LEN($G290)-LEN(SUBSTITUTE($G290,"-",""))-1))-LEN(SUBSTITUTE(SUBSTITUTE(SUBSTITUTE($G290,"-"," ",LEN($G290)-LEN(SUBSTITUTE($G290,"-",""))),"-"," ",LEN($G290)-LEN(SUBSTITUTE($G290,"-",""))-1),".",""))))),$G290)))</f>
        <v/>
      </c>
    </row>
    <row r="291">
      <c r="A291" s="58" t="n"/>
      <c r="B291" s="58">
        <f>IF($H291="","",LEFT($H291,FIND(" ",$H291&amp;" ")-1))</f>
        <v/>
      </c>
      <c r="C291" s="58">
        <f>IF($H291="","",IFERROR(MID($H291&amp;" ",FIND("|",SUBSTITUTE($H291&amp;" "," ","|",1))+1,FIND("|",SUBSTITUTE($H291&amp;" "," ","|",2))-FIND("|",SUBSTITUTE($H291&amp;" "," ","|",1))-1),""))</f>
        <v/>
      </c>
      <c r="D291" s="58">
        <f>IF($H291="","",IFERROR(MID($H291&amp;" ",FIND("|",SUBSTITUTE($H291&amp;" "," ","|",2))+1,FIND("|",SUBSTITUTE($H291&amp;" "," ","|",3))-FIND("|",SUBSTITUTE($H291&amp;" "," ","|",2))-1),""))</f>
        <v/>
      </c>
      <c r="E291" s="58">
        <f>IF($H291="","",IFERROR(MID($H291&amp;" ",FIND("|",SUBSTITUTE($H291&amp;" "," ","|",3))+1,FIND("|",SUBSTITUTE($H291&amp;" "," ","|",4))-FIND("|",SUBSTITUTE($H291&amp;" "," ","|",3))-1),""))</f>
        <v/>
      </c>
      <c r="F291" s="59">
        <f>IF($H291="","",IFERROR(VALUE(IFERROR(MID($H291&amp;" ",FIND("|",SUBSTITUTE($H291&amp;" "," ","|",4))+1,FIND("|",SUBSTITUTE($H291&amp;" "," ","|",5))-FIND("|",SUBSTITUTE($H291&amp;" "," ","|",4))-1),""))/86400+25569+9/24,""))</f>
        <v/>
      </c>
      <c r="G291" s="58">
        <f>TRIM(SUBSTITUTE(SUBSTITUTE(SUBSTITUTE($A291,CHAR(9)," ")," "," "),CHAR(13),""))</f>
        <v/>
      </c>
      <c r="H291" s="58">
        <f>IF($G291="","",IF(ISNUMBER(FIND(" ",$G291)),$G291,IFERROR(IF((LEN(SUBSTITUTE(SUBSTITUTE($G291,"-"," ",LEN($G291)-LEN(SUBSTITUTE($G291,"-",""))),"-"," ",LEN($G291)-LEN(SUBSTITUTE($G291,"-",""))-1))-LEN(SUBSTITUTE(SUBSTITUTE(SUBSTITUTE($G291,"-"," ",LEN($G291)-LEN(SUBSTITUTE($G291,"-",""))),"-"," ",LEN($G291)-LEN(SUBSTITUTE($G291,"-",""))-1),".","")))=0,SUBSTITUTE(SUBSTITUTE($G291,"-"," ",LEN($G291)-LEN(SUBSTITUTE($G291,"-",""))),"-"," ",LEN($G291)-LEN(SUBSTITUTE($G291,"-",""))-1),SUBSTITUTE(SUBSTITUTE(SUBSTITUTE($G291,"-"," ",LEN($G291)-LEN(SUBSTITUTE($G291,"-",""))),"-"," ",LEN($G291)-LEN(SUBSTITUTE($G291,"-",""))-1),"."," ",(LEN(SUBSTITUTE(SUBSTITUTE($G291,"-"," ",LEN($G291)-LEN(SUBSTITUTE($G291,"-",""))),"-"," ",LEN($G291)-LEN(SUBSTITUTE($G291,"-",""))-1))-LEN(SUBSTITUTE(SUBSTITUTE(SUBSTITUTE($G291,"-"," ",LEN($G291)-LEN(SUBSTITUTE($G291,"-",""))),"-"," ",LEN($G291)-LEN(SUBSTITUTE($G291,"-",""))-1),".",""))))),$G291)))</f>
        <v/>
      </c>
    </row>
    <row r="292">
      <c r="A292" s="58" t="n"/>
      <c r="B292" s="58">
        <f>IF($H292="","",LEFT($H292,FIND(" ",$H292&amp;" ")-1))</f>
        <v/>
      </c>
      <c r="C292" s="58">
        <f>IF($H292="","",IFERROR(MID($H292&amp;" ",FIND("|",SUBSTITUTE($H292&amp;" "," ","|",1))+1,FIND("|",SUBSTITUTE($H292&amp;" "," ","|",2))-FIND("|",SUBSTITUTE($H292&amp;" "," ","|",1))-1),""))</f>
        <v/>
      </c>
      <c r="D292" s="58">
        <f>IF($H292="","",IFERROR(MID($H292&amp;" ",FIND("|",SUBSTITUTE($H292&amp;" "," ","|",2))+1,FIND("|",SUBSTITUTE($H292&amp;" "," ","|",3))-FIND("|",SUBSTITUTE($H292&amp;" "," ","|",2))-1),""))</f>
        <v/>
      </c>
      <c r="E292" s="58">
        <f>IF($H292="","",IFERROR(MID($H292&amp;" ",FIND("|",SUBSTITUTE($H292&amp;" "," ","|",3))+1,FIND("|",SUBSTITUTE($H292&amp;" "," ","|",4))-FIND("|",SUBSTITUTE($H292&amp;" "," ","|",3))-1),""))</f>
        <v/>
      </c>
      <c r="F292" s="59">
        <f>IF($H292="","",IFERROR(VALUE(IFERROR(MID($H292&amp;" ",FIND("|",SUBSTITUTE($H292&amp;" "," ","|",4))+1,FIND("|",SUBSTITUTE($H292&amp;" "," ","|",5))-FIND("|",SUBSTITUTE($H292&amp;" "," ","|",4))-1),""))/86400+25569+9/24,""))</f>
        <v/>
      </c>
      <c r="G292" s="58">
        <f>TRIM(SUBSTITUTE(SUBSTITUTE(SUBSTITUTE($A292,CHAR(9)," ")," "," "),CHAR(13),""))</f>
        <v/>
      </c>
      <c r="H292" s="58">
        <f>IF($G292="","",IF(ISNUMBER(FIND(" ",$G292)),$G292,IFERROR(IF((LEN(SUBSTITUTE(SUBSTITUTE($G292,"-"," ",LEN($G292)-LEN(SUBSTITUTE($G292,"-",""))),"-"," ",LEN($G292)-LEN(SUBSTITUTE($G292,"-",""))-1))-LEN(SUBSTITUTE(SUBSTITUTE(SUBSTITUTE($G292,"-"," ",LEN($G292)-LEN(SUBSTITUTE($G292,"-",""))),"-"," ",LEN($G292)-LEN(SUBSTITUTE($G292,"-",""))-1),".","")))=0,SUBSTITUTE(SUBSTITUTE($G292,"-"," ",LEN($G292)-LEN(SUBSTITUTE($G292,"-",""))),"-"," ",LEN($G292)-LEN(SUBSTITUTE($G292,"-",""))-1),SUBSTITUTE(SUBSTITUTE(SUBSTITUTE($G292,"-"," ",LEN($G292)-LEN(SUBSTITUTE($G292,"-",""))),"-"," ",LEN($G292)-LEN(SUBSTITUTE($G292,"-",""))-1),"."," ",(LEN(SUBSTITUTE(SUBSTITUTE($G292,"-"," ",LEN($G292)-LEN(SUBSTITUTE($G292,"-",""))),"-"," ",LEN($G292)-LEN(SUBSTITUTE($G292,"-",""))-1))-LEN(SUBSTITUTE(SUBSTITUTE(SUBSTITUTE($G292,"-"," ",LEN($G292)-LEN(SUBSTITUTE($G292,"-",""))),"-"," ",LEN($G292)-LEN(SUBSTITUTE($G292,"-",""))-1),".",""))))),$G292)))</f>
        <v/>
      </c>
    </row>
    <row r="293">
      <c r="A293" s="58" t="n"/>
      <c r="B293" s="58">
        <f>IF($H293="","",LEFT($H293,FIND(" ",$H293&amp;" ")-1))</f>
        <v/>
      </c>
      <c r="C293" s="58">
        <f>IF($H293="","",IFERROR(MID($H293&amp;" ",FIND("|",SUBSTITUTE($H293&amp;" "," ","|",1))+1,FIND("|",SUBSTITUTE($H293&amp;" "," ","|",2))-FIND("|",SUBSTITUTE($H293&amp;" "," ","|",1))-1),""))</f>
        <v/>
      </c>
      <c r="D293" s="58">
        <f>IF($H293="","",IFERROR(MID($H293&amp;" ",FIND("|",SUBSTITUTE($H293&amp;" "," ","|",2))+1,FIND("|",SUBSTITUTE($H293&amp;" "," ","|",3))-FIND("|",SUBSTITUTE($H293&amp;" "," ","|",2))-1),""))</f>
        <v/>
      </c>
      <c r="E293" s="58">
        <f>IF($H293="","",IFERROR(MID($H293&amp;" ",FIND("|",SUBSTITUTE($H293&amp;" "," ","|",3))+1,FIND("|",SUBSTITUTE($H293&amp;" "," ","|",4))-FIND("|",SUBSTITUTE($H293&amp;" "," ","|",3))-1),""))</f>
        <v/>
      </c>
      <c r="F293" s="59">
        <f>IF($H293="","",IFERROR(VALUE(IFERROR(MID($H293&amp;" ",FIND("|",SUBSTITUTE($H293&amp;" "," ","|",4))+1,FIND("|",SUBSTITUTE($H293&amp;" "," ","|",5))-FIND("|",SUBSTITUTE($H293&amp;" "," ","|",4))-1),""))/86400+25569+9/24,""))</f>
        <v/>
      </c>
      <c r="G293" s="58">
        <f>TRIM(SUBSTITUTE(SUBSTITUTE(SUBSTITUTE($A293,CHAR(9)," ")," "," "),CHAR(13),""))</f>
        <v/>
      </c>
      <c r="H293" s="58">
        <f>IF($G293="","",IF(ISNUMBER(FIND(" ",$G293)),$G293,IFERROR(IF((LEN(SUBSTITUTE(SUBSTITUTE($G293,"-"," ",LEN($G293)-LEN(SUBSTITUTE($G293,"-",""))),"-"," ",LEN($G293)-LEN(SUBSTITUTE($G293,"-",""))-1))-LEN(SUBSTITUTE(SUBSTITUTE(SUBSTITUTE($G293,"-"," ",LEN($G293)-LEN(SUBSTITUTE($G293,"-",""))),"-"," ",LEN($G293)-LEN(SUBSTITUTE($G293,"-",""))-1),".","")))=0,SUBSTITUTE(SUBSTITUTE($G293,"-"," ",LEN($G293)-LEN(SUBSTITUTE($G293,"-",""))),"-"," ",LEN($G293)-LEN(SUBSTITUTE($G293,"-",""))-1),SUBSTITUTE(SUBSTITUTE(SUBSTITUTE($G293,"-"," ",LEN($G293)-LEN(SUBSTITUTE($G293,"-",""))),"-"," ",LEN($G293)-LEN(SUBSTITUTE($G293,"-",""))-1),"."," ",(LEN(SUBSTITUTE(SUBSTITUTE($G293,"-"," ",LEN($G293)-LEN(SUBSTITUTE($G293,"-",""))),"-"," ",LEN($G293)-LEN(SUBSTITUTE($G293,"-",""))-1))-LEN(SUBSTITUTE(SUBSTITUTE(SUBSTITUTE($G293,"-"," ",LEN($G293)-LEN(SUBSTITUTE($G293,"-",""))),"-"," ",LEN($G293)-LEN(SUBSTITUTE($G293,"-",""))-1),".",""))))),$G293)))</f>
        <v/>
      </c>
    </row>
    <row r="294">
      <c r="A294" s="58" t="n"/>
      <c r="B294" s="58">
        <f>IF($H294="","",LEFT($H294,FIND(" ",$H294&amp;" ")-1))</f>
        <v/>
      </c>
      <c r="C294" s="58">
        <f>IF($H294="","",IFERROR(MID($H294&amp;" ",FIND("|",SUBSTITUTE($H294&amp;" "," ","|",1))+1,FIND("|",SUBSTITUTE($H294&amp;" "," ","|",2))-FIND("|",SUBSTITUTE($H294&amp;" "," ","|",1))-1),""))</f>
        <v/>
      </c>
      <c r="D294" s="58">
        <f>IF($H294="","",IFERROR(MID($H294&amp;" ",FIND("|",SUBSTITUTE($H294&amp;" "," ","|",2))+1,FIND("|",SUBSTITUTE($H294&amp;" "," ","|",3))-FIND("|",SUBSTITUTE($H294&amp;" "," ","|",2))-1),""))</f>
        <v/>
      </c>
      <c r="E294" s="58">
        <f>IF($H294="","",IFERROR(MID($H294&amp;" ",FIND("|",SUBSTITUTE($H294&amp;" "," ","|",3))+1,FIND("|",SUBSTITUTE($H294&amp;" "," ","|",4))-FIND("|",SUBSTITUTE($H294&amp;" "," ","|",3))-1),""))</f>
        <v/>
      </c>
      <c r="F294" s="59">
        <f>IF($H294="","",IFERROR(VALUE(IFERROR(MID($H294&amp;" ",FIND("|",SUBSTITUTE($H294&amp;" "," ","|",4))+1,FIND("|",SUBSTITUTE($H294&amp;" "," ","|",5))-FIND("|",SUBSTITUTE($H294&amp;" "," ","|",4))-1),""))/86400+25569+9/24,""))</f>
        <v/>
      </c>
      <c r="G294" s="58">
        <f>TRIM(SUBSTITUTE(SUBSTITUTE(SUBSTITUTE($A294,CHAR(9)," ")," "," "),CHAR(13),""))</f>
        <v/>
      </c>
      <c r="H294" s="58">
        <f>IF($G294="","",IF(ISNUMBER(FIND(" ",$G294)),$G294,IFERROR(IF((LEN(SUBSTITUTE(SUBSTITUTE($G294,"-"," ",LEN($G294)-LEN(SUBSTITUTE($G294,"-",""))),"-"," ",LEN($G294)-LEN(SUBSTITUTE($G294,"-",""))-1))-LEN(SUBSTITUTE(SUBSTITUTE(SUBSTITUTE($G294,"-"," ",LEN($G294)-LEN(SUBSTITUTE($G294,"-",""))),"-"," ",LEN($G294)-LEN(SUBSTITUTE($G294,"-",""))-1),".","")))=0,SUBSTITUTE(SUBSTITUTE($G294,"-"," ",LEN($G294)-LEN(SUBSTITUTE($G294,"-",""))),"-"," ",LEN($G294)-LEN(SUBSTITUTE($G294,"-",""))-1),SUBSTITUTE(SUBSTITUTE(SUBSTITUTE($G294,"-"," ",LEN($G294)-LEN(SUBSTITUTE($G294,"-",""))),"-"," ",LEN($G294)-LEN(SUBSTITUTE($G294,"-",""))-1),"."," ",(LEN(SUBSTITUTE(SUBSTITUTE($G294,"-"," ",LEN($G294)-LEN(SUBSTITUTE($G294,"-",""))),"-"," ",LEN($G294)-LEN(SUBSTITUTE($G294,"-",""))-1))-LEN(SUBSTITUTE(SUBSTITUTE(SUBSTITUTE($G294,"-"," ",LEN($G294)-LEN(SUBSTITUTE($G294,"-",""))),"-"," ",LEN($G294)-LEN(SUBSTITUTE($G294,"-",""))-1),".",""))))),$G294)))</f>
        <v/>
      </c>
    </row>
    <row r="295">
      <c r="A295" s="58" t="n"/>
      <c r="B295" s="58">
        <f>IF($H295="","",LEFT($H295,FIND(" ",$H295&amp;" ")-1))</f>
        <v/>
      </c>
      <c r="C295" s="58">
        <f>IF($H295="","",IFERROR(MID($H295&amp;" ",FIND("|",SUBSTITUTE($H295&amp;" "," ","|",1))+1,FIND("|",SUBSTITUTE($H295&amp;" "," ","|",2))-FIND("|",SUBSTITUTE($H295&amp;" "," ","|",1))-1),""))</f>
        <v/>
      </c>
      <c r="D295" s="58">
        <f>IF($H295="","",IFERROR(MID($H295&amp;" ",FIND("|",SUBSTITUTE($H295&amp;" "," ","|",2))+1,FIND("|",SUBSTITUTE($H295&amp;" "," ","|",3))-FIND("|",SUBSTITUTE($H295&amp;" "," ","|",2))-1),""))</f>
        <v/>
      </c>
      <c r="E295" s="58">
        <f>IF($H295="","",IFERROR(MID($H295&amp;" ",FIND("|",SUBSTITUTE($H295&amp;" "," ","|",3))+1,FIND("|",SUBSTITUTE($H295&amp;" "," ","|",4))-FIND("|",SUBSTITUTE($H295&amp;" "," ","|",3))-1),""))</f>
        <v/>
      </c>
      <c r="F295" s="59">
        <f>IF($H295="","",IFERROR(VALUE(IFERROR(MID($H295&amp;" ",FIND("|",SUBSTITUTE($H295&amp;" "," ","|",4))+1,FIND("|",SUBSTITUTE($H295&amp;" "," ","|",5))-FIND("|",SUBSTITUTE($H295&amp;" "," ","|",4))-1),""))/86400+25569+9/24,""))</f>
        <v/>
      </c>
      <c r="G295" s="58">
        <f>TRIM(SUBSTITUTE(SUBSTITUTE(SUBSTITUTE($A295,CHAR(9)," ")," "," "),CHAR(13),""))</f>
        <v/>
      </c>
      <c r="H295" s="58">
        <f>IF($G295="","",IF(ISNUMBER(FIND(" ",$G295)),$G295,IFERROR(IF((LEN(SUBSTITUTE(SUBSTITUTE($G295,"-"," ",LEN($G295)-LEN(SUBSTITUTE($G295,"-",""))),"-"," ",LEN($G295)-LEN(SUBSTITUTE($G295,"-",""))-1))-LEN(SUBSTITUTE(SUBSTITUTE(SUBSTITUTE($G295,"-"," ",LEN($G295)-LEN(SUBSTITUTE($G295,"-",""))),"-"," ",LEN($G295)-LEN(SUBSTITUTE($G295,"-",""))-1),".","")))=0,SUBSTITUTE(SUBSTITUTE($G295,"-"," ",LEN($G295)-LEN(SUBSTITUTE($G295,"-",""))),"-"," ",LEN($G295)-LEN(SUBSTITUTE($G295,"-",""))-1),SUBSTITUTE(SUBSTITUTE(SUBSTITUTE($G295,"-"," ",LEN($G295)-LEN(SUBSTITUTE($G295,"-",""))),"-"," ",LEN($G295)-LEN(SUBSTITUTE($G295,"-",""))-1),"."," ",(LEN(SUBSTITUTE(SUBSTITUTE($G295,"-"," ",LEN($G295)-LEN(SUBSTITUTE($G295,"-",""))),"-"," ",LEN($G295)-LEN(SUBSTITUTE($G295,"-",""))-1))-LEN(SUBSTITUTE(SUBSTITUTE(SUBSTITUTE($G295,"-"," ",LEN($G295)-LEN(SUBSTITUTE($G295,"-",""))),"-"," ",LEN($G295)-LEN(SUBSTITUTE($G295,"-",""))-1),".",""))))),$G295)))</f>
        <v/>
      </c>
    </row>
    <row r="296">
      <c r="A296" s="58" t="n"/>
      <c r="B296" s="58">
        <f>IF($H296="","",LEFT($H296,FIND(" ",$H296&amp;" ")-1))</f>
        <v/>
      </c>
      <c r="C296" s="58">
        <f>IF($H296="","",IFERROR(MID($H296&amp;" ",FIND("|",SUBSTITUTE($H296&amp;" "," ","|",1))+1,FIND("|",SUBSTITUTE($H296&amp;" "," ","|",2))-FIND("|",SUBSTITUTE($H296&amp;" "," ","|",1))-1),""))</f>
        <v/>
      </c>
      <c r="D296" s="58">
        <f>IF($H296="","",IFERROR(MID($H296&amp;" ",FIND("|",SUBSTITUTE($H296&amp;" "," ","|",2))+1,FIND("|",SUBSTITUTE($H296&amp;" "," ","|",3))-FIND("|",SUBSTITUTE($H296&amp;" "," ","|",2))-1),""))</f>
        <v/>
      </c>
      <c r="E296" s="58">
        <f>IF($H296="","",IFERROR(MID($H296&amp;" ",FIND("|",SUBSTITUTE($H296&amp;" "," ","|",3))+1,FIND("|",SUBSTITUTE($H296&amp;" "," ","|",4))-FIND("|",SUBSTITUTE($H296&amp;" "," ","|",3))-1),""))</f>
        <v/>
      </c>
      <c r="F296" s="59">
        <f>IF($H296="","",IFERROR(VALUE(IFERROR(MID($H296&amp;" ",FIND("|",SUBSTITUTE($H296&amp;" "," ","|",4))+1,FIND("|",SUBSTITUTE($H296&amp;" "," ","|",5))-FIND("|",SUBSTITUTE($H296&amp;" "," ","|",4))-1),""))/86400+25569+9/24,""))</f>
        <v/>
      </c>
      <c r="G296" s="58">
        <f>TRIM(SUBSTITUTE(SUBSTITUTE(SUBSTITUTE($A296,CHAR(9)," ")," "," "),CHAR(13),""))</f>
        <v/>
      </c>
      <c r="H296" s="58">
        <f>IF($G296="","",IF(ISNUMBER(FIND(" ",$G296)),$G296,IFERROR(IF((LEN(SUBSTITUTE(SUBSTITUTE($G296,"-"," ",LEN($G296)-LEN(SUBSTITUTE($G296,"-",""))),"-"," ",LEN($G296)-LEN(SUBSTITUTE($G296,"-",""))-1))-LEN(SUBSTITUTE(SUBSTITUTE(SUBSTITUTE($G296,"-"," ",LEN($G296)-LEN(SUBSTITUTE($G296,"-",""))),"-"," ",LEN($G296)-LEN(SUBSTITUTE($G296,"-",""))-1),".","")))=0,SUBSTITUTE(SUBSTITUTE($G296,"-"," ",LEN($G296)-LEN(SUBSTITUTE($G296,"-",""))),"-"," ",LEN($G296)-LEN(SUBSTITUTE($G296,"-",""))-1),SUBSTITUTE(SUBSTITUTE(SUBSTITUTE($G296,"-"," ",LEN($G296)-LEN(SUBSTITUTE($G296,"-",""))),"-"," ",LEN($G296)-LEN(SUBSTITUTE($G296,"-",""))-1),"."," ",(LEN(SUBSTITUTE(SUBSTITUTE($G296,"-"," ",LEN($G296)-LEN(SUBSTITUTE($G296,"-",""))),"-"," ",LEN($G296)-LEN(SUBSTITUTE($G296,"-",""))-1))-LEN(SUBSTITUTE(SUBSTITUTE(SUBSTITUTE($G296,"-"," ",LEN($G296)-LEN(SUBSTITUTE($G296,"-",""))),"-"," ",LEN($G296)-LEN(SUBSTITUTE($G296,"-",""))-1),".",""))))),$G296)))</f>
        <v/>
      </c>
    </row>
    <row r="297">
      <c r="A297" s="58" t="n"/>
      <c r="B297" s="58">
        <f>IF($H297="","",LEFT($H297,FIND(" ",$H297&amp;" ")-1))</f>
        <v/>
      </c>
      <c r="C297" s="58">
        <f>IF($H297="","",IFERROR(MID($H297&amp;" ",FIND("|",SUBSTITUTE($H297&amp;" "," ","|",1))+1,FIND("|",SUBSTITUTE($H297&amp;" "," ","|",2))-FIND("|",SUBSTITUTE($H297&amp;" "," ","|",1))-1),""))</f>
        <v/>
      </c>
      <c r="D297" s="58">
        <f>IF($H297="","",IFERROR(MID($H297&amp;" ",FIND("|",SUBSTITUTE($H297&amp;" "," ","|",2))+1,FIND("|",SUBSTITUTE($H297&amp;" "," ","|",3))-FIND("|",SUBSTITUTE($H297&amp;" "," ","|",2))-1),""))</f>
        <v/>
      </c>
      <c r="E297" s="58">
        <f>IF($H297="","",IFERROR(MID($H297&amp;" ",FIND("|",SUBSTITUTE($H297&amp;" "," ","|",3))+1,FIND("|",SUBSTITUTE($H297&amp;" "," ","|",4))-FIND("|",SUBSTITUTE($H297&amp;" "," ","|",3))-1),""))</f>
        <v/>
      </c>
      <c r="F297" s="59">
        <f>IF($H297="","",IFERROR(VALUE(IFERROR(MID($H297&amp;" ",FIND("|",SUBSTITUTE($H297&amp;" "," ","|",4))+1,FIND("|",SUBSTITUTE($H297&amp;" "," ","|",5))-FIND("|",SUBSTITUTE($H297&amp;" "," ","|",4))-1),""))/86400+25569+9/24,""))</f>
        <v/>
      </c>
      <c r="G297" s="58">
        <f>TRIM(SUBSTITUTE(SUBSTITUTE(SUBSTITUTE($A297,CHAR(9)," ")," "," "),CHAR(13),""))</f>
        <v/>
      </c>
      <c r="H297" s="58">
        <f>IF($G297="","",IF(ISNUMBER(FIND(" ",$G297)),$G297,IFERROR(IF((LEN(SUBSTITUTE(SUBSTITUTE($G297,"-"," ",LEN($G297)-LEN(SUBSTITUTE($G297,"-",""))),"-"," ",LEN($G297)-LEN(SUBSTITUTE($G297,"-",""))-1))-LEN(SUBSTITUTE(SUBSTITUTE(SUBSTITUTE($G297,"-"," ",LEN($G297)-LEN(SUBSTITUTE($G297,"-",""))),"-"," ",LEN($G297)-LEN(SUBSTITUTE($G297,"-",""))-1),".","")))=0,SUBSTITUTE(SUBSTITUTE($G297,"-"," ",LEN($G297)-LEN(SUBSTITUTE($G297,"-",""))),"-"," ",LEN($G297)-LEN(SUBSTITUTE($G297,"-",""))-1),SUBSTITUTE(SUBSTITUTE(SUBSTITUTE($G297,"-"," ",LEN($G297)-LEN(SUBSTITUTE($G297,"-",""))),"-"," ",LEN($G297)-LEN(SUBSTITUTE($G297,"-",""))-1),"."," ",(LEN(SUBSTITUTE(SUBSTITUTE($G297,"-"," ",LEN($G297)-LEN(SUBSTITUTE($G297,"-",""))),"-"," ",LEN($G297)-LEN(SUBSTITUTE($G297,"-",""))-1))-LEN(SUBSTITUTE(SUBSTITUTE(SUBSTITUTE($G297,"-"," ",LEN($G297)-LEN(SUBSTITUTE($G297,"-",""))),"-"," ",LEN($G297)-LEN(SUBSTITUTE($G297,"-",""))-1),".",""))))),$G297)))</f>
        <v/>
      </c>
    </row>
    <row r="298">
      <c r="A298" s="58" t="n"/>
      <c r="B298" s="58">
        <f>IF($H298="","",LEFT($H298,FIND(" ",$H298&amp;" ")-1))</f>
        <v/>
      </c>
      <c r="C298" s="58">
        <f>IF($H298="","",IFERROR(MID($H298&amp;" ",FIND("|",SUBSTITUTE($H298&amp;" "," ","|",1))+1,FIND("|",SUBSTITUTE($H298&amp;" "," ","|",2))-FIND("|",SUBSTITUTE($H298&amp;" "," ","|",1))-1),""))</f>
        <v/>
      </c>
      <c r="D298" s="58">
        <f>IF($H298="","",IFERROR(MID($H298&amp;" ",FIND("|",SUBSTITUTE($H298&amp;" "," ","|",2))+1,FIND("|",SUBSTITUTE($H298&amp;" "," ","|",3))-FIND("|",SUBSTITUTE($H298&amp;" "," ","|",2))-1),""))</f>
        <v/>
      </c>
      <c r="E298" s="58">
        <f>IF($H298="","",IFERROR(MID($H298&amp;" ",FIND("|",SUBSTITUTE($H298&amp;" "," ","|",3))+1,FIND("|",SUBSTITUTE($H298&amp;" "," ","|",4))-FIND("|",SUBSTITUTE($H298&amp;" "," ","|",3))-1),""))</f>
        <v/>
      </c>
      <c r="F298" s="59">
        <f>IF($H298="","",IFERROR(VALUE(IFERROR(MID($H298&amp;" ",FIND("|",SUBSTITUTE($H298&amp;" "," ","|",4))+1,FIND("|",SUBSTITUTE($H298&amp;" "," ","|",5))-FIND("|",SUBSTITUTE($H298&amp;" "," ","|",4))-1),""))/86400+25569+9/24,""))</f>
        <v/>
      </c>
      <c r="G298" s="58">
        <f>TRIM(SUBSTITUTE(SUBSTITUTE(SUBSTITUTE($A298,CHAR(9)," ")," "," "),CHAR(13),""))</f>
        <v/>
      </c>
      <c r="H298" s="58">
        <f>IF($G298="","",IF(ISNUMBER(FIND(" ",$G298)),$G298,IFERROR(IF((LEN(SUBSTITUTE(SUBSTITUTE($G298,"-"," ",LEN($G298)-LEN(SUBSTITUTE($G298,"-",""))),"-"," ",LEN($G298)-LEN(SUBSTITUTE($G298,"-",""))-1))-LEN(SUBSTITUTE(SUBSTITUTE(SUBSTITUTE($G298,"-"," ",LEN($G298)-LEN(SUBSTITUTE($G298,"-",""))),"-"," ",LEN($G298)-LEN(SUBSTITUTE($G298,"-",""))-1),".","")))=0,SUBSTITUTE(SUBSTITUTE($G298,"-"," ",LEN($G298)-LEN(SUBSTITUTE($G298,"-",""))),"-"," ",LEN($G298)-LEN(SUBSTITUTE($G298,"-",""))-1),SUBSTITUTE(SUBSTITUTE(SUBSTITUTE($G298,"-"," ",LEN($G298)-LEN(SUBSTITUTE($G298,"-",""))),"-"," ",LEN($G298)-LEN(SUBSTITUTE($G298,"-",""))-1),"."," ",(LEN(SUBSTITUTE(SUBSTITUTE($G298,"-"," ",LEN($G298)-LEN(SUBSTITUTE($G298,"-",""))),"-"," ",LEN($G298)-LEN(SUBSTITUTE($G298,"-",""))-1))-LEN(SUBSTITUTE(SUBSTITUTE(SUBSTITUTE($G298,"-"," ",LEN($G298)-LEN(SUBSTITUTE($G298,"-",""))),"-"," ",LEN($G298)-LEN(SUBSTITUTE($G298,"-",""))-1),".",""))))),$G298)))</f>
        <v/>
      </c>
    </row>
    <row r="299">
      <c r="A299" s="58" t="n"/>
      <c r="B299" s="58">
        <f>IF($H299="","",LEFT($H299,FIND(" ",$H299&amp;" ")-1))</f>
        <v/>
      </c>
      <c r="C299" s="58">
        <f>IF($H299="","",IFERROR(MID($H299&amp;" ",FIND("|",SUBSTITUTE($H299&amp;" "," ","|",1))+1,FIND("|",SUBSTITUTE($H299&amp;" "," ","|",2))-FIND("|",SUBSTITUTE($H299&amp;" "," ","|",1))-1),""))</f>
        <v/>
      </c>
      <c r="D299" s="58">
        <f>IF($H299="","",IFERROR(MID($H299&amp;" ",FIND("|",SUBSTITUTE($H299&amp;" "," ","|",2))+1,FIND("|",SUBSTITUTE($H299&amp;" "," ","|",3))-FIND("|",SUBSTITUTE($H299&amp;" "," ","|",2))-1),""))</f>
        <v/>
      </c>
      <c r="E299" s="58">
        <f>IF($H299="","",IFERROR(MID($H299&amp;" ",FIND("|",SUBSTITUTE($H299&amp;" "," ","|",3))+1,FIND("|",SUBSTITUTE($H299&amp;" "," ","|",4))-FIND("|",SUBSTITUTE($H299&amp;" "," ","|",3))-1),""))</f>
        <v/>
      </c>
      <c r="F299" s="59">
        <f>IF($H299="","",IFERROR(VALUE(IFERROR(MID($H299&amp;" ",FIND("|",SUBSTITUTE($H299&amp;" "," ","|",4))+1,FIND("|",SUBSTITUTE($H299&amp;" "," ","|",5))-FIND("|",SUBSTITUTE($H299&amp;" "," ","|",4))-1),""))/86400+25569+9/24,""))</f>
        <v/>
      </c>
      <c r="G299" s="58">
        <f>TRIM(SUBSTITUTE(SUBSTITUTE(SUBSTITUTE($A299,CHAR(9)," ")," "," "),CHAR(13),""))</f>
        <v/>
      </c>
      <c r="H299" s="58">
        <f>IF($G299="","",IF(ISNUMBER(FIND(" ",$G299)),$G299,IFERROR(IF((LEN(SUBSTITUTE(SUBSTITUTE($G299,"-"," ",LEN($G299)-LEN(SUBSTITUTE($G299,"-",""))),"-"," ",LEN($G299)-LEN(SUBSTITUTE($G299,"-",""))-1))-LEN(SUBSTITUTE(SUBSTITUTE(SUBSTITUTE($G299,"-"," ",LEN($G299)-LEN(SUBSTITUTE($G299,"-",""))),"-"," ",LEN($G299)-LEN(SUBSTITUTE($G299,"-",""))-1),".","")))=0,SUBSTITUTE(SUBSTITUTE($G299,"-"," ",LEN($G299)-LEN(SUBSTITUTE($G299,"-",""))),"-"," ",LEN($G299)-LEN(SUBSTITUTE($G299,"-",""))-1),SUBSTITUTE(SUBSTITUTE(SUBSTITUTE($G299,"-"," ",LEN($G299)-LEN(SUBSTITUTE($G299,"-",""))),"-"," ",LEN($G299)-LEN(SUBSTITUTE($G299,"-",""))-1),"."," ",(LEN(SUBSTITUTE(SUBSTITUTE($G299,"-"," ",LEN($G299)-LEN(SUBSTITUTE($G299,"-",""))),"-"," ",LEN($G299)-LEN(SUBSTITUTE($G299,"-",""))-1))-LEN(SUBSTITUTE(SUBSTITUTE(SUBSTITUTE($G299,"-"," ",LEN($G299)-LEN(SUBSTITUTE($G299,"-",""))),"-"," ",LEN($G299)-LEN(SUBSTITUTE($G299,"-",""))-1),".",""))))),$G299)))</f>
        <v/>
      </c>
    </row>
    <row r="300">
      <c r="A300" s="58" t="n"/>
      <c r="B300" s="58">
        <f>IF($H300="","",LEFT($H300,FIND(" ",$H300&amp;" ")-1))</f>
        <v/>
      </c>
      <c r="C300" s="58">
        <f>IF($H300="","",IFERROR(MID($H300&amp;" ",FIND("|",SUBSTITUTE($H300&amp;" "," ","|",1))+1,FIND("|",SUBSTITUTE($H300&amp;" "," ","|",2))-FIND("|",SUBSTITUTE($H300&amp;" "," ","|",1))-1),""))</f>
        <v/>
      </c>
      <c r="D300" s="58">
        <f>IF($H300="","",IFERROR(MID($H300&amp;" ",FIND("|",SUBSTITUTE($H300&amp;" "," ","|",2))+1,FIND("|",SUBSTITUTE($H300&amp;" "," ","|",3))-FIND("|",SUBSTITUTE($H300&amp;" "," ","|",2))-1),""))</f>
        <v/>
      </c>
      <c r="E300" s="58">
        <f>IF($H300="","",IFERROR(MID($H300&amp;" ",FIND("|",SUBSTITUTE($H300&amp;" "," ","|",3))+1,FIND("|",SUBSTITUTE($H300&amp;" "," ","|",4))-FIND("|",SUBSTITUTE($H300&amp;" "," ","|",3))-1),""))</f>
        <v/>
      </c>
      <c r="F300" s="59">
        <f>IF($H300="","",IFERROR(VALUE(IFERROR(MID($H300&amp;" ",FIND("|",SUBSTITUTE($H300&amp;" "," ","|",4))+1,FIND("|",SUBSTITUTE($H300&amp;" "," ","|",5))-FIND("|",SUBSTITUTE($H300&amp;" "," ","|",4))-1),""))/86400+25569+9/24,""))</f>
        <v/>
      </c>
      <c r="G300" s="58">
        <f>TRIM(SUBSTITUTE(SUBSTITUTE(SUBSTITUTE($A300,CHAR(9)," ")," "," "),CHAR(13),""))</f>
        <v/>
      </c>
      <c r="H300" s="58">
        <f>IF($G300="","",IF(ISNUMBER(FIND(" ",$G300)),$G300,IFERROR(IF((LEN(SUBSTITUTE(SUBSTITUTE($G300,"-"," ",LEN($G300)-LEN(SUBSTITUTE($G300,"-",""))),"-"," ",LEN($G300)-LEN(SUBSTITUTE($G300,"-",""))-1))-LEN(SUBSTITUTE(SUBSTITUTE(SUBSTITUTE($G300,"-"," ",LEN($G300)-LEN(SUBSTITUTE($G300,"-",""))),"-"," ",LEN($G300)-LEN(SUBSTITUTE($G300,"-",""))-1),".","")))=0,SUBSTITUTE(SUBSTITUTE($G300,"-"," ",LEN($G300)-LEN(SUBSTITUTE($G300,"-",""))),"-"," ",LEN($G300)-LEN(SUBSTITUTE($G300,"-",""))-1),SUBSTITUTE(SUBSTITUTE(SUBSTITUTE($G300,"-"," ",LEN($G300)-LEN(SUBSTITUTE($G300,"-",""))),"-"," ",LEN($G300)-LEN(SUBSTITUTE($G300,"-",""))-1),"."," ",(LEN(SUBSTITUTE(SUBSTITUTE($G300,"-"," ",LEN($G300)-LEN(SUBSTITUTE($G300,"-",""))),"-"," ",LEN($G300)-LEN(SUBSTITUTE($G300,"-",""))-1))-LEN(SUBSTITUTE(SUBSTITUTE(SUBSTITUTE($G300,"-"," ",LEN($G300)-LEN(SUBSTITUTE($G300,"-",""))),"-"," ",LEN($G300)-LEN(SUBSTITUTE($G300,"-",""))-1),".",""))))),$G300)))</f>
        <v/>
      </c>
    </row>
    <row r="301">
      <c r="A301" s="58" t="n"/>
      <c r="B301" s="58">
        <f>IF($H301="","",LEFT($H301,FIND(" ",$H301&amp;" ")-1))</f>
        <v/>
      </c>
      <c r="C301" s="58">
        <f>IF($H301="","",IFERROR(MID($H301&amp;" ",FIND("|",SUBSTITUTE($H301&amp;" "," ","|",1))+1,FIND("|",SUBSTITUTE($H301&amp;" "," ","|",2))-FIND("|",SUBSTITUTE($H301&amp;" "," ","|",1))-1),""))</f>
        <v/>
      </c>
      <c r="D301" s="58">
        <f>IF($H301="","",IFERROR(MID($H301&amp;" ",FIND("|",SUBSTITUTE($H301&amp;" "," ","|",2))+1,FIND("|",SUBSTITUTE($H301&amp;" "," ","|",3))-FIND("|",SUBSTITUTE($H301&amp;" "," ","|",2))-1),""))</f>
        <v/>
      </c>
      <c r="E301" s="58">
        <f>IF($H301="","",IFERROR(MID($H301&amp;" ",FIND("|",SUBSTITUTE($H301&amp;" "," ","|",3))+1,FIND("|",SUBSTITUTE($H301&amp;" "," ","|",4))-FIND("|",SUBSTITUTE($H301&amp;" "," ","|",3))-1),""))</f>
        <v/>
      </c>
      <c r="F301" s="59">
        <f>IF($H301="","",IFERROR(VALUE(IFERROR(MID($H301&amp;" ",FIND("|",SUBSTITUTE($H301&amp;" "," ","|",4))+1,FIND("|",SUBSTITUTE($H301&amp;" "," ","|",5))-FIND("|",SUBSTITUTE($H301&amp;" "," ","|",4))-1),""))/86400+25569+9/24,""))</f>
        <v/>
      </c>
      <c r="G301" s="58">
        <f>TRIM(SUBSTITUTE(SUBSTITUTE(SUBSTITUTE($A301,CHAR(9)," ")," "," "),CHAR(13),""))</f>
        <v/>
      </c>
      <c r="H301" s="58">
        <f>IF($G301="","",IF(ISNUMBER(FIND(" ",$G301)),$G301,IFERROR(IF((LEN(SUBSTITUTE(SUBSTITUTE($G301,"-"," ",LEN($G301)-LEN(SUBSTITUTE($G301,"-",""))),"-"," ",LEN($G301)-LEN(SUBSTITUTE($G301,"-",""))-1))-LEN(SUBSTITUTE(SUBSTITUTE(SUBSTITUTE($G301,"-"," ",LEN($G301)-LEN(SUBSTITUTE($G301,"-",""))),"-"," ",LEN($G301)-LEN(SUBSTITUTE($G301,"-",""))-1),".","")))=0,SUBSTITUTE(SUBSTITUTE($G301,"-"," ",LEN($G301)-LEN(SUBSTITUTE($G301,"-",""))),"-"," ",LEN($G301)-LEN(SUBSTITUTE($G301,"-",""))-1),SUBSTITUTE(SUBSTITUTE(SUBSTITUTE($G301,"-"," ",LEN($G301)-LEN(SUBSTITUTE($G301,"-",""))),"-"," ",LEN($G301)-LEN(SUBSTITUTE($G301,"-",""))-1),"."," ",(LEN(SUBSTITUTE(SUBSTITUTE($G301,"-"," ",LEN($G301)-LEN(SUBSTITUTE($G301,"-",""))),"-"," ",LEN($G301)-LEN(SUBSTITUTE($G301,"-",""))-1))-LEN(SUBSTITUTE(SUBSTITUTE(SUBSTITUTE($G301,"-"," ",LEN($G301)-LEN(SUBSTITUTE($G301,"-",""))),"-"," ",LEN($G301)-LEN(SUBSTITUTE($G301,"-",""))-1),".",""))))),$G301)))</f>
        <v/>
      </c>
    </row>
    <row r="302">
      <c r="A302" s="58" t="n"/>
      <c r="B302" s="58">
        <f>IF($H302="","",LEFT($H302,FIND(" ",$H302&amp;" ")-1))</f>
        <v/>
      </c>
      <c r="C302" s="58">
        <f>IF($H302="","",IFERROR(MID($H302&amp;" ",FIND("|",SUBSTITUTE($H302&amp;" "," ","|",1))+1,FIND("|",SUBSTITUTE($H302&amp;" "," ","|",2))-FIND("|",SUBSTITUTE($H302&amp;" "," ","|",1))-1),""))</f>
        <v/>
      </c>
      <c r="D302" s="58">
        <f>IF($H302="","",IFERROR(MID($H302&amp;" ",FIND("|",SUBSTITUTE($H302&amp;" "," ","|",2))+1,FIND("|",SUBSTITUTE($H302&amp;" "," ","|",3))-FIND("|",SUBSTITUTE($H302&amp;" "," ","|",2))-1),""))</f>
        <v/>
      </c>
      <c r="E302" s="58">
        <f>IF($H302="","",IFERROR(MID($H302&amp;" ",FIND("|",SUBSTITUTE($H302&amp;" "," ","|",3))+1,FIND("|",SUBSTITUTE($H302&amp;" "," ","|",4))-FIND("|",SUBSTITUTE($H302&amp;" "," ","|",3))-1),""))</f>
        <v/>
      </c>
      <c r="F302" s="59">
        <f>IF($H302="","",IFERROR(VALUE(IFERROR(MID($H302&amp;" ",FIND("|",SUBSTITUTE($H302&amp;" "," ","|",4))+1,FIND("|",SUBSTITUTE($H302&amp;" "," ","|",5))-FIND("|",SUBSTITUTE($H302&amp;" "," ","|",4))-1),""))/86400+25569+9/24,""))</f>
        <v/>
      </c>
      <c r="G302" s="58">
        <f>TRIM(SUBSTITUTE(SUBSTITUTE(SUBSTITUTE($A302,CHAR(9)," ")," "," "),CHAR(13),""))</f>
        <v/>
      </c>
      <c r="H302" s="58">
        <f>IF($G302="","",IF(ISNUMBER(FIND(" ",$G302)),$G302,IFERROR(IF((LEN(SUBSTITUTE(SUBSTITUTE($G302,"-"," ",LEN($G302)-LEN(SUBSTITUTE($G302,"-",""))),"-"," ",LEN($G302)-LEN(SUBSTITUTE($G302,"-",""))-1))-LEN(SUBSTITUTE(SUBSTITUTE(SUBSTITUTE($G302,"-"," ",LEN($G302)-LEN(SUBSTITUTE($G302,"-",""))),"-"," ",LEN($G302)-LEN(SUBSTITUTE($G302,"-",""))-1),".","")))=0,SUBSTITUTE(SUBSTITUTE($G302,"-"," ",LEN($G302)-LEN(SUBSTITUTE($G302,"-",""))),"-"," ",LEN($G302)-LEN(SUBSTITUTE($G302,"-",""))-1),SUBSTITUTE(SUBSTITUTE(SUBSTITUTE($G302,"-"," ",LEN($G302)-LEN(SUBSTITUTE($G302,"-",""))),"-"," ",LEN($G302)-LEN(SUBSTITUTE($G302,"-",""))-1),"."," ",(LEN(SUBSTITUTE(SUBSTITUTE($G302,"-"," ",LEN($G302)-LEN(SUBSTITUTE($G302,"-",""))),"-"," ",LEN($G302)-LEN(SUBSTITUTE($G302,"-",""))-1))-LEN(SUBSTITUTE(SUBSTITUTE(SUBSTITUTE($G302,"-"," ",LEN($G302)-LEN(SUBSTITUTE($G302,"-",""))),"-"," ",LEN($G302)-LEN(SUBSTITUTE($G302,"-",""))-1),".",""))))),$G302)))</f>
        <v/>
      </c>
    </row>
    <row r="303">
      <c r="A303" s="58" t="n"/>
      <c r="B303" s="58">
        <f>IF($H303="","",LEFT($H303,FIND(" ",$H303&amp;" ")-1))</f>
        <v/>
      </c>
      <c r="C303" s="58">
        <f>IF($H303="","",IFERROR(MID($H303&amp;" ",FIND("|",SUBSTITUTE($H303&amp;" "," ","|",1))+1,FIND("|",SUBSTITUTE($H303&amp;" "," ","|",2))-FIND("|",SUBSTITUTE($H303&amp;" "," ","|",1))-1),""))</f>
        <v/>
      </c>
      <c r="D303" s="58">
        <f>IF($H303="","",IFERROR(MID($H303&amp;" ",FIND("|",SUBSTITUTE($H303&amp;" "," ","|",2))+1,FIND("|",SUBSTITUTE($H303&amp;" "," ","|",3))-FIND("|",SUBSTITUTE($H303&amp;" "," ","|",2))-1),""))</f>
        <v/>
      </c>
      <c r="E303" s="58">
        <f>IF($H303="","",IFERROR(MID($H303&amp;" ",FIND("|",SUBSTITUTE($H303&amp;" "," ","|",3))+1,FIND("|",SUBSTITUTE($H303&amp;" "," ","|",4))-FIND("|",SUBSTITUTE($H303&amp;" "," ","|",3))-1),""))</f>
        <v/>
      </c>
      <c r="F303" s="59">
        <f>IF($H303="","",IFERROR(VALUE(IFERROR(MID($H303&amp;" ",FIND("|",SUBSTITUTE($H303&amp;" "," ","|",4))+1,FIND("|",SUBSTITUTE($H303&amp;" "," ","|",5))-FIND("|",SUBSTITUTE($H303&amp;" "," ","|",4))-1),""))/86400+25569+9/24,""))</f>
        <v/>
      </c>
      <c r="G303" s="58">
        <f>TRIM(SUBSTITUTE(SUBSTITUTE(SUBSTITUTE($A303,CHAR(9)," ")," "," "),CHAR(13),""))</f>
        <v/>
      </c>
      <c r="H303" s="58">
        <f>IF($G303="","",IF(ISNUMBER(FIND(" ",$G303)),$G303,IFERROR(IF((LEN(SUBSTITUTE(SUBSTITUTE($G303,"-"," ",LEN($G303)-LEN(SUBSTITUTE($G303,"-",""))),"-"," ",LEN($G303)-LEN(SUBSTITUTE($G303,"-",""))-1))-LEN(SUBSTITUTE(SUBSTITUTE(SUBSTITUTE($G303,"-"," ",LEN($G303)-LEN(SUBSTITUTE($G303,"-",""))),"-"," ",LEN($G303)-LEN(SUBSTITUTE($G303,"-",""))-1),".","")))=0,SUBSTITUTE(SUBSTITUTE($G303,"-"," ",LEN($G303)-LEN(SUBSTITUTE($G303,"-",""))),"-"," ",LEN($G303)-LEN(SUBSTITUTE($G303,"-",""))-1),SUBSTITUTE(SUBSTITUTE(SUBSTITUTE($G303,"-"," ",LEN($G303)-LEN(SUBSTITUTE($G303,"-",""))),"-"," ",LEN($G303)-LEN(SUBSTITUTE($G303,"-",""))-1),"."," ",(LEN(SUBSTITUTE(SUBSTITUTE($G303,"-"," ",LEN($G303)-LEN(SUBSTITUTE($G303,"-",""))),"-"," ",LEN($G303)-LEN(SUBSTITUTE($G303,"-",""))-1))-LEN(SUBSTITUTE(SUBSTITUTE(SUBSTITUTE($G303,"-"," ",LEN($G303)-LEN(SUBSTITUTE($G303,"-",""))),"-"," ",LEN($G303)-LEN(SUBSTITUTE($G303,"-",""))-1),".",""))))),$G303)))</f>
        <v/>
      </c>
    </row>
    <row r="304">
      <c r="A304" s="58" t="n"/>
      <c r="B304" s="58">
        <f>IF($H304="","",LEFT($H304,FIND(" ",$H304&amp;" ")-1))</f>
        <v/>
      </c>
      <c r="C304" s="58">
        <f>IF($H304="","",IFERROR(MID($H304&amp;" ",FIND("|",SUBSTITUTE($H304&amp;" "," ","|",1))+1,FIND("|",SUBSTITUTE($H304&amp;" "," ","|",2))-FIND("|",SUBSTITUTE($H304&amp;" "," ","|",1))-1),""))</f>
        <v/>
      </c>
      <c r="D304" s="58">
        <f>IF($H304="","",IFERROR(MID($H304&amp;" ",FIND("|",SUBSTITUTE($H304&amp;" "," ","|",2))+1,FIND("|",SUBSTITUTE($H304&amp;" "," ","|",3))-FIND("|",SUBSTITUTE($H304&amp;" "," ","|",2))-1),""))</f>
        <v/>
      </c>
      <c r="E304" s="58">
        <f>IF($H304="","",IFERROR(MID($H304&amp;" ",FIND("|",SUBSTITUTE($H304&amp;" "," ","|",3))+1,FIND("|",SUBSTITUTE($H304&amp;" "," ","|",4))-FIND("|",SUBSTITUTE($H304&amp;" "," ","|",3))-1),""))</f>
        <v/>
      </c>
      <c r="F304" s="59">
        <f>IF($H304="","",IFERROR(VALUE(IFERROR(MID($H304&amp;" ",FIND("|",SUBSTITUTE($H304&amp;" "," ","|",4))+1,FIND("|",SUBSTITUTE($H304&amp;" "," ","|",5))-FIND("|",SUBSTITUTE($H304&amp;" "," ","|",4))-1),""))/86400+25569+9/24,""))</f>
        <v/>
      </c>
      <c r="G304" s="58">
        <f>TRIM(SUBSTITUTE(SUBSTITUTE(SUBSTITUTE($A304,CHAR(9)," ")," "," "),CHAR(13),""))</f>
        <v/>
      </c>
      <c r="H304" s="58">
        <f>IF($G304="","",IF(ISNUMBER(FIND(" ",$G304)),$G304,IFERROR(IF((LEN(SUBSTITUTE(SUBSTITUTE($G304,"-"," ",LEN($G304)-LEN(SUBSTITUTE($G304,"-",""))),"-"," ",LEN($G304)-LEN(SUBSTITUTE($G304,"-",""))-1))-LEN(SUBSTITUTE(SUBSTITUTE(SUBSTITUTE($G304,"-"," ",LEN($G304)-LEN(SUBSTITUTE($G304,"-",""))),"-"," ",LEN($G304)-LEN(SUBSTITUTE($G304,"-",""))-1),".","")))=0,SUBSTITUTE(SUBSTITUTE($G304,"-"," ",LEN($G304)-LEN(SUBSTITUTE($G304,"-",""))),"-"," ",LEN($G304)-LEN(SUBSTITUTE($G304,"-",""))-1),SUBSTITUTE(SUBSTITUTE(SUBSTITUTE($G304,"-"," ",LEN($G304)-LEN(SUBSTITUTE($G304,"-",""))),"-"," ",LEN($G304)-LEN(SUBSTITUTE($G304,"-",""))-1),"."," ",(LEN(SUBSTITUTE(SUBSTITUTE($G304,"-"," ",LEN($G304)-LEN(SUBSTITUTE($G304,"-",""))),"-"," ",LEN($G304)-LEN(SUBSTITUTE($G304,"-",""))-1))-LEN(SUBSTITUTE(SUBSTITUTE(SUBSTITUTE($G304,"-"," ",LEN($G304)-LEN(SUBSTITUTE($G304,"-",""))),"-"," ",LEN($G304)-LEN(SUBSTITUTE($G304,"-",""))-1),".",""))))),$G304)))</f>
        <v/>
      </c>
    </row>
    <row r="305">
      <c r="A305" s="58" t="n"/>
      <c r="B305" s="58">
        <f>IF($H305="","",LEFT($H305,FIND(" ",$H305&amp;" ")-1))</f>
        <v/>
      </c>
      <c r="C305" s="58">
        <f>IF($H305="","",IFERROR(MID($H305&amp;" ",FIND("|",SUBSTITUTE($H305&amp;" "," ","|",1))+1,FIND("|",SUBSTITUTE($H305&amp;" "," ","|",2))-FIND("|",SUBSTITUTE($H305&amp;" "," ","|",1))-1),""))</f>
        <v/>
      </c>
      <c r="D305" s="58">
        <f>IF($H305="","",IFERROR(MID($H305&amp;" ",FIND("|",SUBSTITUTE($H305&amp;" "," ","|",2))+1,FIND("|",SUBSTITUTE($H305&amp;" "," ","|",3))-FIND("|",SUBSTITUTE($H305&amp;" "," ","|",2))-1),""))</f>
        <v/>
      </c>
      <c r="E305" s="58">
        <f>IF($H305="","",IFERROR(MID($H305&amp;" ",FIND("|",SUBSTITUTE($H305&amp;" "," ","|",3))+1,FIND("|",SUBSTITUTE($H305&amp;" "," ","|",4))-FIND("|",SUBSTITUTE($H305&amp;" "," ","|",3))-1),""))</f>
        <v/>
      </c>
      <c r="F305" s="59">
        <f>IF($H305="","",IFERROR(VALUE(IFERROR(MID($H305&amp;" ",FIND("|",SUBSTITUTE($H305&amp;" "," ","|",4))+1,FIND("|",SUBSTITUTE($H305&amp;" "," ","|",5))-FIND("|",SUBSTITUTE($H305&amp;" "," ","|",4))-1),""))/86400+25569+9/24,""))</f>
        <v/>
      </c>
      <c r="G305" s="58">
        <f>TRIM(SUBSTITUTE(SUBSTITUTE(SUBSTITUTE($A305,CHAR(9)," ")," "," "),CHAR(13),""))</f>
        <v/>
      </c>
      <c r="H305" s="58">
        <f>IF($G305="","",IF(ISNUMBER(FIND(" ",$G305)),$G305,IFERROR(IF((LEN(SUBSTITUTE(SUBSTITUTE($G305,"-"," ",LEN($G305)-LEN(SUBSTITUTE($G305,"-",""))),"-"," ",LEN($G305)-LEN(SUBSTITUTE($G305,"-",""))-1))-LEN(SUBSTITUTE(SUBSTITUTE(SUBSTITUTE($G305,"-"," ",LEN($G305)-LEN(SUBSTITUTE($G305,"-",""))),"-"," ",LEN($G305)-LEN(SUBSTITUTE($G305,"-",""))-1),".","")))=0,SUBSTITUTE(SUBSTITUTE($G305,"-"," ",LEN($G305)-LEN(SUBSTITUTE($G305,"-",""))),"-"," ",LEN($G305)-LEN(SUBSTITUTE($G305,"-",""))-1),SUBSTITUTE(SUBSTITUTE(SUBSTITUTE($G305,"-"," ",LEN($G305)-LEN(SUBSTITUTE($G305,"-",""))),"-"," ",LEN($G305)-LEN(SUBSTITUTE($G305,"-",""))-1),"."," ",(LEN(SUBSTITUTE(SUBSTITUTE($G305,"-"," ",LEN($G305)-LEN(SUBSTITUTE($G305,"-",""))),"-"," ",LEN($G305)-LEN(SUBSTITUTE($G305,"-",""))-1))-LEN(SUBSTITUTE(SUBSTITUTE(SUBSTITUTE($G305,"-"," ",LEN($G305)-LEN(SUBSTITUTE($G305,"-",""))),"-"," ",LEN($G305)-LEN(SUBSTITUTE($G305,"-",""))-1),".",""))))),$G305)))</f>
        <v/>
      </c>
    </row>
    <row r="306">
      <c r="A306" s="58" t="n"/>
      <c r="B306" s="58">
        <f>IF($H306="","",LEFT($H306,FIND(" ",$H306&amp;" ")-1))</f>
        <v/>
      </c>
      <c r="C306" s="58">
        <f>IF($H306="","",IFERROR(MID($H306&amp;" ",FIND("|",SUBSTITUTE($H306&amp;" "," ","|",1))+1,FIND("|",SUBSTITUTE($H306&amp;" "," ","|",2))-FIND("|",SUBSTITUTE($H306&amp;" "," ","|",1))-1),""))</f>
        <v/>
      </c>
      <c r="D306" s="58">
        <f>IF($H306="","",IFERROR(MID($H306&amp;" ",FIND("|",SUBSTITUTE($H306&amp;" "," ","|",2))+1,FIND("|",SUBSTITUTE($H306&amp;" "," ","|",3))-FIND("|",SUBSTITUTE($H306&amp;" "," ","|",2))-1),""))</f>
        <v/>
      </c>
      <c r="E306" s="58">
        <f>IF($H306="","",IFERROR(MID($H306&amp;" ",FIND("|",SUBSTITUTE($H306&amp;" "," ","|",3))+1,FIND("|",SUBSTITUTE($H306&amp;" "," ","|",4))-FIND("|",SUBSTITUTE($H306&amp;" "," ","|",3))-1),""))</f>
        <v/>
      </c>
      <c r="F306" s="59">
        <f>IF($H306="","",IFERROR(VALUE(IFERROR(MID($H306&amp;" ",FIND("|",SUBSTITUTE($H306&amp;" "," ","|",4))+1,FIND("|",SUBSTITUTE($H306&amp;" "," ","|",5))-FIND("|",SUBSTITUTE($H306&amp;" "," ","|",4))-1),""))/86400+25569+9/24,""))</f>
        <v/>
      </c>
      <c r="G306" s="58">
        <f>TRIM(SUBSTITUTE(SUBSTITUTE(SUBSTITUTE($A306,CHAR(9)," ")," "," "),CHAR(13),""))</f>
        <v/>
      </c>
      <c r="H306" s="58">
        <f>IF($G306="","",IF(ISNUMBER(FIND(" ",$G306)),$G306,IFERROR(IF((LEN(SUBSTITUTE(SUBSTITUTE($G306,"-"," ",LEN($G306)-LEN(SUBSTITUTE($G306,"-",""))),"-"," ",LEN($G306)-LEN(SUBSTITUTE($G306,"-",""))-1))-LEN(SUBSTITUTE(SUBSTITUTE(SUBSTITUTE($G306,"-"," ",LEN($G306)-LEN(SUBSTITUTE($G306,"-",""))),"-"," ",LEN($G306)-LEN(SUBSTITUTE($G306,"-",""))-1),".","")))=0,SUBSTITUTE(SUBSTITUTE($G306,"-"," ",LEN($G306)-LEN(SUBSTITUTE($G306,"-",""))),"-"," ",LEN($G306)-LEN(SUBSTITUTE($G306,"-",""))-1),SUBSTITUTE(SUBSTITUTE(SUBSTITUTE($G306,"-"," ",LEN($G306)-LEN(SUBSTITUTE($G306,"-",""))),"-"," ",LEN($G306)-LEN(SUBSTITUTE($G306,"-",""))-1),"."," ",(LEN(SUBSTITUTE(SUBSTITUTE($G306,"-"," ",LEN($G306)-LEN(SUBSTITUTE($G306,"-",""))),"-"," ",LEN($G306)-LEN(SUBSTITUTE($G306,"-",""))-1))-LEN(SUBSTITUTE(SUBSTITUTE(SUBSTITUTE($G306,"-"," ",LEN($G306)-LEN(SUBSTITUTE($G306,"-",""))),"-"," ",LEN($G306)-LEN(SUBSTITUTE($G306,"-",""))-1),".",""))))),$G306)))</f>
        <v/>
      </c>
    </row>
    <row r="307">
      <c r="A307" s="58" t="n"/>
      <c r="B307" s="58">
        <f>IF($H307="","",LEFT($H307,FIND(" ",$H307&amp;" ")-1))</f>
        <v/>
      </c>
      <c r="C307" s="58">
        <f>IF($H307="","",IFERROR(MID($H307&amp;" ",FIND("|",SUBSTITUTE($H307&amp;" "," ","|",1))+1,FIND("|",SUBSTITUTE($H307&amp;" "," ","|",2))-FIND("|",SUBSTITUTE($H307&amp;" "," ","|",1))-1),""))</f>
        <v/>
      </c>
      <c r="D307" s="58">
        <f>IF($H307="","",IFERROR(MID($H307&amp;" ",FIND("|",SUBSTITUTE($H307&amp;" "," ","|",2))+1,FIND("|",SUBSTITUTE($H307&amp;" "," ","|",3))-FIND("|",SUBSTITUTE($H307&amp;" "," ","|",2))-1),""))</f>
        <v/>
      </c>
      <c r="E307" s="58">
        <f>IF($H307="","",IFERROR(MID($H307&amp;" ",FIND("|",SUBSTITUTE($H307&amp;" "," ","|",3))+1,FIND("|",SUBSTITUTE($H307&amp;" "," ","|",4))-FIND("|",SUBSTITUTE($H307&amp;" "," ","|",3))-1),""))</f>
        <v/>
      </c>
      <c r="F307" s="59">
        <f>IF($H307="","",IFERROR(VALUE(IFERROR(MID($H307&amp;" ",FIND("|",SUBSTITUTE($H307&amp;" "," ","|",4))+1,FIND("|",SUBSTITUTE($H307&amp;" "," ","|",5))-FIND("|",SUBSTITUTE($H307&amp;" "," ","|",4))-1),""))/86400+25569+9/24,""))</f>
        <v/>
      </c>
      <c r="G307" s="58">
        <f>TRIM(SUBSTITUTE(SUBSTITUTE(SUBSTITUTE($A307,CHAR(9)," ")," "," "),CHAR(13),""))</f>
        <v/>
      </c>
      <c r="H307" s="58">
        <f>IF($G307="","",IF(ISNUMBER(FIND(" ",$G307)),$G307,IFERROR(IF((LEN(SUBSTITUTE(SUBSTITUTE($G307,"-"," ",LEN($G307)-LEN(SUBSTITUTE($G307,"-",""))),"-"," ",LEN($G307)-LEN(SUBSTITUTE($G307,"-",""))-1))-LEN(SUBSTITUTE(SUBSTITUTE(SUBSTITUTE($G307,"-"," ",LEN($G307)-LEN(SUBSTITUTE($G307,"-",""))),"-"," ",LEN($G307)-LEN(SUBSTITUTE($G307,"-",""))-1),".","")))=0,SUBSTITUTE(SUBSTITUTE($G307,"-"," ",LEN($G307)-LEN(SUBSTITUTE($G307,"-",""))),"-"," ",LEN($G307)-LEN(SUBSTITUTE($G307,"-",""))-1),SUBSTITUTE(SUBSTITUTE(SUBSTITUTE($G307,"-"," ",LEN($G307)-LEN(SUBSTITUTE($G307,"-",""))),"-"," ",LEN($G307)-LEN(SUBSTITUTE($G307,"-",""))-1),"."," ",(LEN(SUBSTITUTE(SUBSTITUTE($G307,"-"," ",LEN($G307)-LEN(SUBSTITUTE($G307,"-",""))),"-"," ",LEN($G307)-LEN(SUBSTITUTE($G307,"-",""))-1))-LEN(SUBSTITUTE(SUBSTITUTE(SUBSTITUTE($G307,"-"," ",LEN($G307)-LEN(SUBSTITUTE($G307,"-",""))),"-"," ",LEN($G307)-LEN(SUBSTITUTE($G307,"-",""))-1),".",""))))),$G307)))</f>
        <v/>
      </c>
    </row>
    <row r="308">
      <c r="A308" s="58" t="n"/>
      <c r="B308" s="58">
        <f>IF($H308="","",LEFT($H308,FIND(" ",$H308&amp;" ")-1))</f>
        <v/>
      </c>
      <c r="C308" s="58">
        <f>IF($H308="","",IFERROR(MID($H308&amp;" ",FIND("|",SUBSTITUTE($H308&amp;" "," ","|",1))+1,FIND("|",SUBSTITUTE($H308&amp;" "," ","|",2))-FIND("|",SUBSTITUTE($H308&amp;" "," ","|",1))-1),""))</f>
        <v/>
      </c>
      <c r="D308" s="58">
        <f>IF($H308="","",IFERROR(MID($H308&amp;" ",FIND("|",SUBSTITUTE($H308&amp;" "," ","|",2))+1,FIND("|",SUBSTITUTE($H308&amp;" "," ","|",3))-FIND("|",SUBSTITUTE($H308&amp;" "," ","|",2))-1),""))</f>
        <v/>
      </c>
      <c r="E308" s="58">
        <f>IF($H308="","",IFERROR(MID($H308&amp;" ",FIND("|",SUBSTITUTE($H308&amp;" "," ","|",3))+1,FIND("|",SUBSTITUTE($H308&amp;" "," ","|",4))-FIND("|",SUBSTITUTE($H308&amp;" "," ","|",3))-1),""))</f>
        <v/>
      </c>
      <c r="F308" s="59">
        <f>IF($H308="","",IFERROR(VALUE(IFERROR(MID($H308&amp;" ",FIND("|",SUBSTITUTE($H308&amp;" "," ","|",4))+1,FIND("|",SUBSTITUTE($H308&amp;" "," ","|",5))-FIND("|",SUBSTITUTE($H308&amp;" "," ","|",4))-1),""))/86400+25569+9/24,""))</f>
        <v/>
      </c>
      <c r="G308" s="58">
        <f>TRIM(SUBSTITUTE(SUBSTITUTE(SUBSTITUTE($A308,CHAR(9)," ")," "," "),CHAR(13),""))</f>
        <v/>
      </c>
      <c r="H308" s="58">
        <f>IF($G308="","",IF(ISNUMBER(FIND(" ",$G308)),$G308,IFERROR(IF((LEN(SUBSTITUTE(SUBSTITUTE($G308,"-"," ",LEN($G308)-LEN(SUBSTITUTE($G308,"-",""))),"-"," ",LEN($G308)-LEN(SUBSTITUTE($G308,"-",""))-1))-LEN(SUBSTITUTE(SUBSTITUTE(SUBSTITUTE($G308,"-"," ",LEN($G308)-LEN(SUBSTITUTE($G308,"-",""))),"-"," ",LEN($G308)-LEN(SUBSTITUTE($G308,"-",""))-1),".","")))=0,SUBSTITUTE(SUBSTITUTE($G308,"-"," ",LEN($G308)-LEN(SUBSTITUTE($G308,"-",""))),"-"," ",LEN($G308)-LEN(SUBSTITUTE($G308,"-",""))-1),SUBSTITUTE(SUBSTITUTE(SUBSTITUTE($G308,"-"," ",LEN($G308)-LEN(SUBSTITUTE($G308,"-",""))),"-"," ",LEN($G308)-LEN(SUBSTITUTE($G308,"-",""))-1),"."," ",(LEN(SUBSTITUTE(SUBSTITUTE($G308,"-"," ",LEN($G308)-LEN(SUBSTITUTE($G308,"-",""))),"-"," ",LEN($G308)-LEN(SUBSTITUTE($G308,"-",""))-1))-LEN(SUBSTITUTE(SUBSTITUTE(SUBSTITUTE($G308,"-"," ",LEN($G308)-LEN(SUBSTITUTE($G308,"-",""))),"-"," ",LEN($G308)-LEN(SUBSTITUTE($G308,"-",""))-1),".",""))))),$G308)))</f>
        <v/>
      </c>
    </row>
    <row r="309">
      <c r="A309" s="58" t="n"/>
      <c r="B309" s="58">
        <f>IF($H309="","",LEFT($H309,FIND(" ",$H309&amp;" ")-1))</f>
        <v/>
      </c>
      <c r="C309" s="58">
        <f>IF($H309="","",IFERROR(MID($H309&amp;" ",FIND("|",SUBSTITUTE($H309&amp;" "," ","|",1))+1,FIND("|",SUBSTITUTE($H309&amp;" "," ","|",2))-FIND("|",SUBSTITUTE($H309&amp;" "," ","|",1))-1),""))</f>
        <v/>
      </c>
      <c r="D309" s="58">
        <f>IF($H309="","",IFERROR(MID($H309&amp;" ",FIND("|",SUBSTITUTE($H309&amp;" "," ","|",2))+1,FIND("|",SUBSTITUTE($H309&amp;" "," ","|",3))-FIND("|",SUBSTITUTE($H309&amp;" "," ","|",2))-1),""))</f>
        <v/>
      </c>
      <c r="E309" s="58">
        <f>IF($H309="","",IFERROR(MID($H309&amp;" ",FIND("|",SUBSTITUTE($H309&amp;" "," ","|",3))+1,FIND("|",SUBSTITUTE($H309&amp;" "," ","|",4))-FIND("|",SUBSTITUTE($H309&amp;" "," ","|",3))-1),""))</f>
        <v/>
      </c>
      <c r="F309" s="59">
        <f>IF($H309="","",IFERROR(VALUE(IFERROR(MID($H309&amp;" ",FIND("|",SUBSTITUTE($H309&amp;" "," ","|",4))+1,FIND("|",SUBSTITUTE($H309&amp;" "," ","|",5))-FIND("|",SUBSTITUTE($H309&amp;" "," ","|",4))-1),""))/86400+25569+9/24,""))</f>
        <v/>
      </c>
      <c r="G309" s="58">
        <f>TRIM(SUBSTITUTE(SUBSTITUTE(SUBSTITUTE($A309,CHAR(9)," ")," "," "),CHAR(13),""))</f>
        <v/>
      </c>
      <c r="H309" s="58">
        <f>IF($G309="","",IF(ISNUMBER(FIND(" ",$G309)),$G309,IFERROR(IF((LEN(SUBSTITUTE(SUBSTITUTE($G309,"-"," ",LEN($G309)-LEN(SUBSTITUTE($G309,"-",""))),"-"," ",LEN($G309)-LEN(SUBSTITUTE($G309,"-",""))-1))-LEN(SUBSTITUTE(SUBSTITUTE(SUBSTITUTE($G309,"-"," ",LEN($G309)-LEN(SUBSTITUTE($G309,"-",""))),"-"," ",LEN($G309)-LEN(SUBSTITUTE($G309,"-",""))-1),".","")))=0,SUBSTITUTE(SUBSTITUTE($G309,"-"," ",LEN($G309)-LEN(SUBSTITUTE($G309,"-",""))),"-"," ",LEN($G309)-LEN(SUBSTITUTE($G309,"-",""))-1),SUBSTITUTE(SUBSTITUTE(SUBSTITUTE($G309,"-"," ",LEN($G309)-LEN(SUBSTITUTE($G309,"-",""))),"-"," ",LEN($G309)-LEN(SUBSTITUTE($G309,"-",""))-1),"."," ",(LEN(SUBSTITUTE(SUBSTITUTE($G309,"-"," ",LEN($G309)-LEN(SUBSTITUTE($G309,"-",""))),"-"," ",LEN($G309)-LEN(SUBSTITUTE($G309,"-",""))-1))-LEN(SUBSTITUTE(SUBSTITUTE(SUBSTITUTE($G309,"-"," ",LEN($G309)-LEN(SUBSTITUTE($G309,"-",""))),"-"," ",LEN($G309)-LEN(SUBSTITUTE($G309,"-",""))-1),".",""))))),$G309)))</f>
        <v/>
      </c>
    </row>
    <row r="310">
      <c r="A310" s="58" t="n"/>
      <c r="B310" s="58">
        <f>IF($H310="","",LEFT($H310,FIND(" ",$H310&amp;" ")-1))</f>
        <v/>
      </c>
      <c r="C310" s="58">
        <f>IF($H310="","",IFERROR(MID($H310&amp;" ",FIND("|",SUBSTITUTE($H310&amp;" "," ","|",1))+1,FIND("|",SUBSTITUTE($H310&amp;" "," ","|",2))-FIND("|",SUBSTITUTE($H310&amp;" "," ","|",1))-1),""))</f>
        <v/>
      </c>
      <c r="D310" s="58">
        <f>IF($H310="","",IFERROR(MID($H310&amp;" ",FIND("|",SUBSTITUTE($H310&amp;" "," ","|",2))+1,FIND("|",SUBSTITUTE($H310&amp;" "," ","|",3))-FIND("|",SUBSTITUTE($H310&amp;" "," ","|",2))-1),""))</f>
        <v/>
      </c>
      <c r="E310" s="58">
        <f>IF($H310="","",IFERROR(MID($H310&amp;" ",FIND("|",SUBSTITUTE($H310&amp;" "," ","|",3))+1,FIND("|",SUBSTITUTE($H310&amp;" "," ","|",4))-FIND("|",SUBSTITUTE($H310&amp;" "," ","|",3))-1),""))</f>
        <v/>
      </c>
      <c r="F310" s="59">
        <f>IF($H310="","",IFERROR(VALUE(IFERROR(MID($H310&amp;" ",FIND("|",SUBSTITUTE($H310&amp;" "," ","|",4))+1,FIND("|",SUBSTITUTE($H310&amp;" "," ","|",5))-FIND("|",SUBSTITUTE($H310&amp;" "," ","|",4))-1),""))/86400+25569+9/24,""))</f>
        <v/>
      </c>
      <c r="G310" s="58">
        <f>TRIM(SUBSTITUTE(SUBSTITUTE(SUBSTITUTE($A310,CHAR(9)," ")," "," "),CHAR(13),""))</f>
        <v/>
      </c>
      <c r="H310" s="58">
        <f>IF($G310="","",IF(ISNUMBER(FIND(" ",$G310)),$G310,IFERROR(IF((LEN(SUBSTITUTE(SUBSTITUTE($G310,"-"," ",LEN($G310)-LEN(SUBSTITUTE($G310,"-",""))),"-"," ",LEN($G310)-LEN(SUBSTITUTE($G310,"-",""))-1))-LEN(SUBSTITUTE(SUBSTITUTE(SUBSTITUTE($G310,"-"," ",LEN($G310)-LEN(SUBSTITUTE($G310,"-",""))),"-"," ",LEN($G310)-LEN(SUBSTITUTE($G310,"-",""))-1),".","")))=0,SUBSTITUTE(SUBSTITUTE($G310,"-"," ",LEN($G310)-LEN(SUBSTITUTE($G310,"-",""))),"-"," ",LEN($G310)-LEN(SUBSTITUTE($G310,"-",""))-1),SUBSTITUTE(SUBSTITUTE(SUBSTITUTE($G310,"-"," ",LEN($G310)-LEN(SUBSTITUTE($G310,"-",""))),"-"," ",LEN($G310)-LEN(SUBSTITUTE($G310,"-",""))-1),"."," ",(LEN(SUBSTITUTE(SUBSTITUTE($G310,"-"," ",LEN($G310)-LEN(SUBSTITUTE($G310,"-",""))),"-"," ",LEN($G310)-LEN(SUBSTITUTE($G310,"-",""))-1))-LEN(SUBSTITUTE(SUBSTITUTE(SUBSTITUTE($G310,"-"," ",LEN($G310)-LEN(SUBSTITUTE($G310,"-",""))),"-"," ",LEN($G310)-LEN(SUBSTITUTE($G310,"-",""))-1),".",""))))),$G310)))</f>
        <v/>
      </c>
    </row>
    <row r="311">
      <c r="A311" s="58" t="n"/>
      <c r="B311" s="58">
        <f>IF($H311="","",LEFT($H311,FIND(" ",$H311&amp;" ")-1))</f>
        <v/>
      </c>
      <c r="C311" s="58">
        <f>IF($H311="","",IFERROR(MID($H311&amp;" ",FIND("|",SUBSTITUTE($H311&amp;" "," ","|",1))+1,FIND("|",SUBSTITUTE($H311&amp;" "," ","|",2))-FIND("|",SUBSTITUTE($H311&amp;" "," ","|",1))-1),""))</f>
        <v/>
      </c>
      <c r="D311" s="58">
        <f>IF($H311="","",IFERROR(MID($H311&amp;" ",FIND("|",SUBSTITUTE($H311&amp;" "," ","|",2))+1,FIND("|",SUBSTITUTE($H311&amp;" "," ","|",3))-FIND("|",SUBSTITUTE($H311&amp;" "," ","|",2))-1),""))</f>
        <v/>
      </c>
      <c r="E311" s="58">
        <f>IF($H311="","",IFERROR(MID($H311&amp;" ",FIND("|",SUBSTITUTE($H311&amp;" "," ","|",3))+1,FIND("|",SUBSTITUTE($H311&amp;" "," ","|",4))-FIND("|",SUBSTITUTE($H311&amp;" "," ","|",3))-1),""))</f>
        <v/>
      </c>
      <c r="F311" s="59">
        <f>IF($H311="","",IFERROR(VALUE(IFERROR(MID($H311&amp;" ",FIND("|",SUBSTITUTE($H311&amp;" "," ","|",4))+1,FIND("|",SUBSTITUTE($H311&amp;" "," ","|",5))-FIND("|",SUBSTITUTE($H311&amp;" "," ","|",4))-1),""))/86400+25569+9/24,""))</f>
        <v/>
      </c>
      <c r="G311" s="58">
        <f>TRIM(SUBSTITUTE(SUBSTITUTE(SUBSTITUTE($A311,CHAR(9)," ")," "," "),CHAR(13),""))</f>
        <v/>
      </c>
      <c r="H311" s="58">
        <f>IF($G311="","",IF(ISNUMBER(FIND(" ",$G311)),$G311,IFERROR(IF((LEN(SUBSTITUTE(SUBSTITUTE($G311,"-"," ",LEN($G311)-LEN(SUBSTITUTE($G311,"-",""))),"-"," ",LEN($G311)-LEN(SUBSTITUTE($G311,"-",""))-1))-LEN(SUBSTITUTE(SUBSTITUTE(SUBSTITUTE($G311,"-"," ",LEN($G311)-LEN(SUBSTITUTE($G311,"-",""))),"-"," ",LEN($G311)-LEN(SUBSTITUTE($G311,"-",""))-1),".","")))=0,SUBSTITUTE(SUBSTITUTE($G311,"-"," ",LEN($G311)-LEN(SUBSTITUTE($G311,"-",""))),"-"," ",LEN($G311)-LEN(SUBSTITUTE($G311,"-",""))-1),SUBSTITUTE(SUBSTITUTE(SUBSTITUTE($G311,"-"," ",LEN($G311)-LEN(SUBSTITUTE($G311,"-",""))),"-"," ",LEN($G311)-LEN(SUBSTITUTE($G311,"-",""))-1),"."," ",(LEN(SUBSTITUTE(SUBSTITUTE($G311,"-"," ",LEN($G311)-LEN(SUBSTITUTE($G311,"-",""))),"-"," ",LEN($G311)-LEN(SUBSTITUTE($G311,"-",""))-1))-LEN(SUBSTITUTE(SUBSTITUTE(SUBSTITUTE($G311,"-"," ",LEN($G311)-LEN(SUBSTITUTE($G311,"-",""))),"-"," ",LEN($G311)-LEN(SUBSTITUTE($G311,"-",""))-1),".",""))))),$G311)))</f>
        <v/>
      </c>
    </row>
    <row r="312">
      <c r="A312" s="58" t="n"/>
      <c r="B312" s="58">
        <f>IF($H312="","",LEFT($H312,FIND(" ",$H312&amp;" ")-1))</f>
        <v/>
      </c>
      <c r="C312" s="58">
        <f>IF($H312="","",IFERROR(MID($H312&amp;" ",FIND("|",SUBSTITUTE($H312&amp;" "," ","|",1))+1,FIND("|",SUBSTITUTE($H312&amp;" "," ","|",2))-FIND("|",SUBSTITUTE($H312&amp;" "," ","|",1))-1),""))</f>
        <v/>
      </c>
      <c r="D312" s="58">
        <f>IF($H312="","",IFERROR(MID($H312&amp;" ",FIND("|",SUBSTITUTE($H312&amp;" "," ","|",2))+1,FIND("|",SUBSTITUTE($H312&amp;" "," ","|",3))-FIND("|",SUBSTITUTE($H312&amp;" "," ","|",2))-1),""))</f>
        <v/>
      </c>
      <c r="E312" s="58">
        <f>IF($H312="","",IFERROR(MID($H312&amp;" ",FIND("|",SUBSTITUTE($H312&amp;" "," ","|",3))+1,FIND("|",SUBSTITUTE($H312&amp;" "," ","|",4))-FIND("|",SUBSTITUTE($H312&amp;" "," ","|",3))-1),""))</f>
        <v/>
      </c>
      <c r="F312" s="59">
        <f>IF($H312="","",IFERROR(VALUE(IFERROR(MID($H312&amp;" ",FIND("|",SUBSTITUTE($H312&amp;" "," ","|",4))+1,FIND("|",SUBSTITUTE($H312&amp;" "," ","|",5))-FIND("|",SUBSTITUTE($H312&amp;" "," ","|",4))-1),""))/86400+25569+9/24,""))</f>
        <v/>
      </c>
      <c r="G312" s="58">
        <f>TRIM(SUBSTITUTE(SUBSTITUTE(SUBSTITUTE($A312,CHAR(9)," ")," "," "),CHAR(13),""))</f>
        <v/>
      </c>
      <c r="H312" s="58">
        <f>IF($G312="","",IF(ISNUMBER(FIND(" ",$G312)),$G312,IFERROR(IF((LEN(SUBSTITUTE(SUBSTITUTE($G312,"-"," ",LEN($G312)-LEN(SUBSTITUTE($G312,"-",""))),"-"," ",LEN($G312)-LEN(SUBSTITUTE($G312,"-",""))-1))-LEN(SUBSTITUTE(SUBSTITUTE(SUBSTITUTE($G312,"-"," ",LEN($G312)-LEN(SUBSTITUTE($G312,"-",""))),"-"," ",LEN($G312)-LEN(SUBSTITUTE($G312,"-",""))-1),".","")))=0,SUBSTITUTE(SUBSTITUTE($G312,"-"," ",LEN($G312)-LEN(SUBSTITUTE($G312,"-",""))),"-"," ",LEN($G312)-LEN(SUBSTITUTE($G312,"-",""))-1),SUBSTITUTE(SUBSTITUTE(SUBSTITUTE($G312,"-"," ",LEN($G312)-LEN(SUBSTITUTE($G312,"-",""))),"-"," ",LEN($G312)-LEN(SUBSTITUTE($G312,"-",""))-1),"."," ",(LEN(SUBSTITUTE(SUBSTITUTE($G312,"-"," ",LEN($G312)-LEN(SUBSTITUTE($G312,"-",""))),"-"," ",LEN($G312)-LEN(SUBSTITUTE($G312,"-",""))-1))-LEN(SUBSTITUTE(SUBSTITUTE(SUBSTITUTE($G312,"-"," ",LEN($G312)-LEN(SUBSTITUTE($G312,"-",""))),"-"," ",LEN($G312)-LEN(SUBSTITUTE($G312,"-",""))-1),".",""))))),$G312)))</f>
        <v/>
      </c>
    </row>
    <row r="313">
      <c r="A313" s="58" t="n"/>
      <c r="B313" s="58">
        <f>IF($H313="","",LEFT($H313,FIND(" ",$H313&amp;" ")-1))</f>
        <v/>
      </c>
      <c r="C313" s="58">
        <f>IF($H313="","",IFERROR(MID($H313&amp;" ",FIND("|",SUBSTITUTE($H313&amp;" "," ","|",1))+1,FIND("|",SUBSTITUTE($H313&amp;" "," ","|",2))-FIND("|",SUBSTITUTE($H313&amp;" "," ","|",1))-1),""))</f>
        <v/>
      </c>
      <c r="D313" s="58">
        <f>IF($H313="","",IFERROR(MID($H313&amp;" ",FIND("|",SUBSTITUTE($H313&amp;" "," ","|",2))+1,FIND("|",SUBSTITUTE($H313&amp;" "," ","|",3))-FIND("|",SUBSTITUTE($H313&amp;" "," ","|",2))-1),""))</f>
        <v/>
      </c>
      <c r="E313" s="58">
        <f>IF($H313="","",IFERROR(MID($H313&amp;" ",FIND("|",SUBSTITUTE($H313&amp;" "," ","|",3))+1,FIND("|",SUBSTITUTE($H313&amp;" "," ","|",4))-FIND("|",SUBSTITUTE($H313&amp;" "," ","|",3))-1),""))</f>
        <v/>
      </c>
      <c r="F313" s="59">
        <f>IF($H313="","",IFERROR(VALUE(IFERROR(MID($H313&amp;" ",FIND("|",SUBSTITUTE($H313&amp;" "," ","|",4))+1,FIND("|",SUBSTITUTE($H313&amp;" "," ","|",5))-FIND("|",SUBSTITUTE($H313&amp;" "," ","|",4))-1),""))/86400+25569+9/24,""))</f>
        <v/>
      </c>
      <c r="G313" s="58">
        <f>TRIM(SUBSTITUTE(SUBSTITUTE(SUBSTITUTE($A313,CHAR(9)," ")," "," "),CHAR(13),""))</f>
        <v/>
      </c>
      <c r="H313" s="58">
        <f>IF($G313="","",IF(ISNUMBER(FIND(" ",$G313)),$G313,IFERROR(IF((LEN(SUBSTITUTE(SUBSTITUTE($G313,"-"," ",LEN($G313)-LEN(SUBSTITUTE($G313,"-",""))),"-"," ",LEN($G313)-LEN(SUBSTITUTE($G313,"-",""))-1))-LEN(SUBSTITUTE(SUBSTITUTE(SUBSTITUTE($G313,"-"," ",LEN($G313)-LEN(SUBSTITUTE($G313,"-",""))),"-"," ",LEN($G313)-LEN(SUBSTITUTE($G313,"-",""))-1),".","")))=0,SUBSTITUTE(SUBSTITUTE($G313,"-"," ",LEN($G313)-LEN(SUBSTITUTE($G313,"-",""))),"-"," ",LEN($G313)-LEN(SUBSTITUTE($G313,"-",""))-1),SUBSTITUTE(SUBSTITUTE(SUBSTITUTE($G313,"-"," ",LEN($G313)-LEN(SUBSTITUTE($G313,"-",""))),"-"," ",LEN($G313)-LEN(SUBSTITUTE($G313,"-",""))-1),"."," ",(LEN(SUBSTITUTE(SUBSTITUTE($G313,"-"," ",LEN($G313)-LEN(SUBSTITUTE($G313,"-",""))),"-"," ",LEN($G313)-LEN(SUBSTITUTE($G313,"-",""))-1))-LEN(SUBSTITUTE(SUBSTITUTE(SUBSTITUTE($G313,"-"," ",LEN($G313)-LEN(SUBSTITUTE($G313,"-",""))),"-"," ",LEN($G313)-LEN(SUBSTITUTE($G313,"-",""))-1),".",""))))),$G313)))</f>
        <v/>
      </c>
    </row>
    <row r="314">
      <c r="A314" s="58" t="n"/>
      <c r="B314" s="58">
        <f>IF($H314="","",LEFT($H314,FIND(" ",$H314&amp;" ")-1))</f>
        <v/>
      </c>
      <c r="C314" s="58">
        <f>IF($H314="","",IFERROR(MID($H314&amp;" ",FIND("|",SUBSTITUTE($H314&amp;" "," ","|",1))+1,FIND("|",SUBSTITUTE($H314&amp;" "," ","|",2))-FIND("|",SUBSTITUTE($H314&amp;" "," ","|",1))-1),""))</f>
        <v/>
      </c>
      <c r="D314" s="58">
        <f>IF($H314="","",IFERROR(MID($H314&amp;" ",FIND("|",SUBSTITUTE($H314&amp;" "," ","|",2))+1,FIND("|",SUBSTITUTE($H314&amp;" "," ","|",3))-FIND("|",SUBSTITUTE($H314&amp;" "," ","|",2))-1),""))</f>
        <v/>
      </c>
      <c r="E314" s="58">
        <f>IF($H314="","",IFERROR(MID($H314&amp;" ",FIND("|",SUBSTITUTE($H314&amp;" "," ","|",3))+1,FIND("|",SUBSTITUTE($H314&amp;" "," ","|",4))-FIND("|",SUBSTITUTE($H314&amp;" "," ","|",3))-1),""))</f>
        <v/>
      </c>
      <c r="F314" s="59">
        <f>IF($H314="","",IFERROR(VALUE(IFERROR(MID($H314&amp;" ",FIND("|",SUBSTITUTE($H314&amp;" "," ","|",4))+1,FIND("|",SUBSTITUTE($H314&amp;" "," ","|",5))-FIND("|",SUBSTITUTE($H314&amp;" "," ","|",4))-1),""))/86400+25569+9/24,""))</f>
        <v/>
      </c>
      <c r="G314" s="58">
        <f>TRIM(SUBSTITUTE(SUBSTITUTE(SUBSTITUTE($A314,CHAR(9)," ")," "," "),CHAR(13),""))</f>
        <v/>
      </c>
      <c r="H314" s="58">
        <f>IF($G314="","",IF(ISNUMBER(FIND(" ",$G314)),$G314,IFERROR(IF((LEN(SUBSTITUTE(SUBSTITUTE($G314,"-"," ",LEN($G314)-LEN(SUBSTITUTE($G314,"-",""))),"-"," ",LEN($G314)-LEN(SUBSTITUTE($G314,"-",""))-1))-LEN(SUBSTITUTE(SUBSTITUTE(SUBSTITUTE($G314,"-"," ",LEN($G314)-LEN(SUBSTITUTE($G314,"-",""))),"-"," ",LEN($G314)-LEN(SUBSTITUTE($G314,"-",""))-1),".","")))=0,SUBSTITUTE(SUBSTITUTE($G314,"-"," ",LEN($G314)-LEN(SUBSTITUTE($G314,"-",""))),"-"," ",LEN($G314)-LEN(SUBSTITUTE($G314,"-",""))-1),SUBSTITUTE(SUBSTITUTE(SUBSTITUTE($G314,"-"," ",LEN($G314)-LEN(SUBSTITUTE($G314,"-",""))),"-"," ",LEN($G314)-LEN(SUBSTITUTE($G314,"-",""))-1),"."," ",(LEN(SUBSTITUTE(SUBSTITUTE($G314,"-"," ",LEN($G314)-LEN(SUBSTITUTE($G314,"-",""))),"-"," ",LEN($G314)-LEN(SUBSTITUTE($G314,"-",""))-1))-LEN(SUBSTITUTE(SUBSTITUTE(SUBSTITUTE($G314,"-"," ",LEN($G314)-LEN(SUBSTITUTE($G314,"-",""))),"-"," ",LEN($G314)-LEN(SUBSTITUTE($G314,"-",""))-1),".",""))))),$G314)))</f>
        <v/>
      </c>
    </row>
    <row r="315">
      <c r="A315" s="58" t="n"/>
      <c r="B315" s="58">
        <f>IF($H315="","",LEFT($H315,FIND(" ",$H315&amp;" ")-1))</f>
        <v/>
      </c>
      <c r="C315" s="58">
        <f>IF($H315="","",IFERROR(MID($H315&amp;" ",FIND("|",SUBSTITUTE($H315&amp;" "," ","|",1))+1,FIND("|",SUBSTITUTE($H315&amp;" "," ","|",2))-FIND("|",SUBSTITUTE($H315&amp;" "," ","|",1))-1),""))</f>
        <v/>
      </c>
      <c r="D315" s="58">
        <f>IF($H315="","",IFERROR(MID($H315&amp;" ",FIND("|",SUBSTITUTE($H315&amp;" "," ","|",2))+1,FIND("|",SUBSTITUTE($H315&amp;" "," ","|",3))-FIND("|",SUBSTITUTE($H315&amp;" "," ","|",2))-1),""))</f>
        <v/>
      </c>
      <c r="E315" s="58">
        <f>IF($H315="","",IFERROR(MID($H315&amp;" ",FIND("|",SUBSTITUTE($H315&amp;" "," ","|",3))+1,FIND("|",SUBSTITUTE($H315&amp;" "," ","|",4))-FIND("|",SUBSTITUTE($H315&amp;" "," ","|",3))-1),""))</f>
        <v/>
      </c>
      <c r="F315" s="59">
        <f>IF($H315="","",IFERROR(VALUE(IFERROR(MID($H315&amp;" ",FIND("|",SUBSTITUTE($H315&amp;" "," ","|",4))+1,FIND("|",SUBSTITUTE($H315&amp;" "," ","|",5))-FIND("|",SUBSTITUTE($H315&amp;" "," ","|",4))-1),""))/86400+25569+9/24,""))</f>
        <v/>
      </c>
      <c r="G315" s="58">
        <f>TRIM(SUBSTITUTE(SUBSTITUTE(SUBSTITUTE($A315,CHAR(9)," ")," "," "),CHAR(13),""))</f>
        <v/>
      </c>
      <c r="H315" s="58">
        <f>IF($G315="","",IF(ISNUMBER(FIND(" ",$G315)),$G315,IFERROR(IF((LEN(SUBSTITUTE(SUBSTITUTE($G315,"-"," ",LEN($G315)-LEN(SUBSTITUTE($G315,"-",""))),"-"," ",LEN($G315)-LEN(SUBSTITUTE($G315,"-",""))-1))-LEN(SUBSTITUTE(SUBSTITUTE(SUBSTITUTE($G315,"-"," ",LEN($G315)-LEN(SUBSTITUTE($G315,"-",""))),"-"," ",LEN($G315)-LEN(SUBSTITUTE($G315,"-",""))-1),".","")))=0,SUBSTITUTE(SUBSTITUTE($G315,"-"," ",LEN($G315)-LEN(SUBSTITUTE($G315,"-",""))),"-"," ",LEN($G315)-LEN(SUBSTITUTE($G315,"-",""))-1),SUBSTITUTE(SUBSTITUTE(SUBSTITUTE($G315,"-"," ",LEN($G315)-LEN(SUBSTITUTE($G315,"-",""))),"-"," ",LEN($G315)-LEN(SUBSTITUTE($G315,"-",""))-1),"."," ",(LEN(SUBSTITUTE(SUBSTITUTE($G315,"-"," ",LEN($G315)-LEN(SUBSTITUTE($G315,"-",""))),"-"," ",LEN($G315)-LEN(SUBSTITUTE($G315,"-",""))-1))-LEN(SUBSTITUTE(SUBSTITUTE(SUBSTITUTE($G315,"-"," ",LEN($G315)-LEN(SUBSTITUTE($G315,"-",""))),"-"," ",LEN($G315)-LEN(SUBSTITUTE($G315,"-",""))-1),".",""))))),$G315)))</f>
        <v/>
      </c>
    </row>
    <row r="316">
      <c r="A316" s="58" t="n"/>
      <c r="B316" s="58">
        <f>IF($H316="","",LEFT($H316,FIND(" ",$H316&amp;" ")-1))</f>
        <v/>
      </c>
      <c r="C316" s="58">
        <f>IF($H316="","",IFERROR(MID($H316&amp;" ",FIND("|",SUBSTITUTE($H316&amp;" "," ","|",1))+1,FIND("|",SUBSTITUTE($H316&amp;" "," ","|",2))-FIND("|",SUBSTITUTE($H316&amp;" "," ","|",1))-1),""))</f>
        <v/>
      </c>
      <c r="D316" s="58">
        <f>IF($H316="","",IFERROR(MID($H316&amp;" ",FIND("|",SUBSTITUTE($H316&amp;" "," ","|",2))+1,FIND("|",SUBSTITUTE($H316&amp;" "," ","|",3))-FIND("|",SUBSTITUTE($H316&amp;" "," ","|",2))-1),""))</f>
        <v/>
      </c>
      <c r="E316" s="58">
        <f>IF($H316="","",IFERROR(MID($H316&amp;" ",FIND("|",SUBSTITUTE($H316&amp;" "," ","|",3))+1,FIND("|",SUBSTITUTE($H316&amp;" "," ","|",4))-FIND("|",SUBSTITUTE($H316&amp;" "," ","|",3))-1),""))</f>
        <v/>
      </c>
      <c r="F316" s="59">
        <f>IF($H316="","",IFERROR(VALUE(IFERROR(MID($H316&amp;" ",FIND("|",SUBSTITUTE($H316&amp;" "," ","|",4))+1,FIND("|",SUBSTITUTE($H316&amp;" "," ","|",5))-FIND("|",SUBSTITUTE($H316&amp;" "," ","|",4))-1),""))/86400+25569+9/24,""))</f>
        <v/>
      </c>
      <c r="G316" s="58">
        <f>TRIM(SUBSTITUTE(SUBSTITUTE(SUBSTITUTE($A316,CHAR(9)," ")," "," "),CHAR(13),""))</f>
        <v/>
      </c>
      <c r="H316" s="58">
        <f>IF($G316="","",IF(ISNUMBER(FIND(" ",$G316)),$G316,IFERROR(IF((LEN(SUBSTITUTE(SUBSTITUTE($G316,"-"," ",LEN($G316)-LEN(SUBSTITUTE($G316,"-",""))),"-"," ",LEN($G316)-LEN(SUBSTITUTE($G316,"-",""))-1))-LEN(SUBSTITUTE(SUBSTITUTE(SUBSTITUTE($G316,"-"," ",LEN($G316)-LEN(SUBSTITUTE($G316,"-",""))),"-"," ",LEN($G316)-LEN(SUBSTITUTE($G316,"-",""))-1),".","")))=0,SUBSTITUTE(SUBSTITUTE($G316,"-"," ",LEN($G316)-LEN(SUBSTITUTE($G316,"-",""))),"-"," ",LEN($G316)-LEN(SUBSTITUTE($G316,"-",""))-1),SUBSTITUTE(SUBSTITUTE(SUBSTITUTE($G316,"-"," ",LEN($G316)-LEN(SUBSTITUTE($G316,"-",""))),"-"," ",LEN($G316)-LEN(SUBSTITUTE($G316,"-",""))-1),"."," ",(LEN(SUBSTITUTE(SUBSTITUTE($G316,"-"," ",LEN($G316)-LEN(SUBSTITUTE($G316,"-",""))),"-"," ",LEN($G316)-LEN(SUBSTITUTE($G316,"-",""))-1))-LEN(SUBSTITUTE(SUBSTITUTE(SUBSTITUTE($G316,"-"," ",LEN($G316)-LEN(SUBSTITUTE($G316,"-",""))),"-"," ",LEN($G316)-LEN(SUBSTITUTE($G316,"-",""))-1),".",""))))),$G316)))</f>
        <v/>
      </c>
    </row>
    <row r="317">
      <c r="A317" s="58" t="n"/>
      <c r="B317" s="58">
        <f>IF($H317="","",LEFT($H317,FIND(" ",$H317&amp;" ")-1))</f>
        <v/>
      </c>
      <c r="C317" s="58">
        <f>IF($H317="","",IFERROR(MID($H317&amp;" ",FIND("|",SUBSTITUTE($H317&amp;" "," ","|",1))+1,FIND("|",SUBSTITUTE($H317&amp;" "," ","|",2))-FIND("|",SUBSTITUTE($H317&amp;" "," ","|",1))-1),""))</f>
        <v/>
      </c>
      <c r="D317" s="58">
        <f>IF($H317="","",IFERROR(MID($H317&amp;" ",FIND("|",SUBSTITUTE($H317&amp;" "," ","|",2))+1,FIND("|",SUBSTITUTE($H317&amp;" "," ","|",3))-FIND("|",SUBSTITUTE($H317&amp;" "," ","|",2))-1),""))</f>
        <v/>
      </c>
      <c r="E317" s="58">
        <f>IF($H317="","",IFERROR(MID($H317&amp;" ",FIND("|",SUBSTITUTE($H317&amp;" "," ","|",3))+1,FIND("|",SUBSTITUTE($H317&amp;" "," ","|",4))-FIND("|",SUBSTITUTE($H317&amp;" "," ","|",3))-1),""))</f>
        <v/>
      </c>
      <c r="F317" s="59">
        <f>IF($H317="","",IFERROR(VALUE(IFERROR(MID($H317&amp;" ",FIND("|",SUBSTITUTE($H317&amp;" "," ","|",4))+1,FIND("|",SUBSTITUTE($H317&amp;" "," ","|",5))-FIND("|",SUBSTITUTE($H317&amp;" "," ","|",4))-1),""))/86400+25569+9/24,""))</f>
        <v/>
      </c>
      <c r="G317" s="58">
        <f>TRIM(SUBSTITUTE(SUBSTITUTE(SUBSTITUTE($A317,CHAR(9)," ")," "," "),CHAR(13),""))</f>
        <v/>
      </c>
      <c r="H317" s="58">
        <f>IF($G317="","",IF(ISNUMBER(FIND(" ",$G317)),$G317,IFERROR(IF((LEN(SUBSTITUTE(SUBSTITUTE($G317,"-"," ",LEN($G317)-LEN(SUBSTITUTE($G317,"-",""))),"-"," ",LEN($G317)-LEN(SUBSTITUTE($G317,"-",""))-1))-LEN(SUBSTITUTE(SUBSTITUTE(SUBSTITUTE($G317,"-"," ",LEN($G317)-LEN(SUBSTITUTE($G317,"-",""))),"-"," ",LEN($G317)-LEN(SUBSTITUTE($G317,"-",""))-1),".","")))=0,SUBSTITUTE(SUBSTITUTE($G317,"-"," ",LEN($G317)-LEN(SUBSTITUTE($G317,"-",""))),"-"," ",LEN($G317)-LEN(SUBSTITUTE($G317,"-",""))-1),SUBSTITUTE(SUBSTITUTE(SUBSTITUTE($G317,"-"," ",LEN($G317)-LEN(SUBSTITUTE($G317,"-",""))),"-"," ",LEN($G317)-LEN(SUBSTITUTE($G317,"-",""))-1),"."," ",(LEN(SUBSTITUTE(SUBSTITUTE($G317,"-"," ",LEN($G317)-LEN(SUBSTITUTE($G317,"-",""))),"-"," ",LEN($G317)-LEN(SUBSTITUTE($G317,"-",""))-1))-LEN(SUBSTITUTE(SUBSTITUTE(SUBSTITUTE($G317,"-"," ",LEN($G317)-LEN(SUBSTITUTE($G317,"-",""))),"-"," ",LEN($G317)-LEN(SUBSTITUTE($G317,"-",""))-1),".",""))))),$G317)))</f>
        <v/>
      </c>
    </row>
    <row r="318">
      <c r="A318" s="58" t="n"/>
      <c r="B318" s="58">
        <f>IF($H318="","",LEFT($H318,FIND(" ",$H318&amp;" ")-1))</f>
        <v/>
      </c>
      <c r="C318" s="58">
        <f>IF($H318="","",IFERROR(MID($H318&amp;" ",FIND("|",SUBSTITUTE($H318&amp;" "," ","|",1))+1,FIND("|",SUBSTITUTE($H318&amp;" "," ","|",2))-FIND("|",SUBSTITUTE($H318&amp;" "," ","|",1))-1),""))</f>
        <v/>
      </c>
      <c r="D318" s="58">
        <f>IF($H318="","",IFERROR(MID($H318&amp;" ",FIND("|",SUBSTITUTE($H318&amp;" "," ","|",2))+1,FIND("|",SUBSTITUTE($H318&amp;" "," ","|",3))-FIND("|",SUBSTITUTE($H318&amp;" "," ","|",2))-1),""))</f>
        <v/>
      </c>
      <c r="E318" s="58">
        <f>IF($H318="","",IFERROR(MID($H318&amp;" ",FIND("|",SUBSTITUTE($H318&amp;" "," ","|",3))+1,FIND("|",SUBSTITUTE($H318&amp;" "," ","|",4))-FIND("|",SUBSTITUTE($H318&amp;" "," ","|",3))-1),""))</f>
        <v/>
      </c>
      <c r="F318" s="59">
        <f>IF($H318="","",IFERROR(VALUE(IFERROR(MID($H318&amp;" ",FIND("|",SUBSTITUTE($H318&amp;" "," ","|",4))+1,FIND("|",SUBSTITUTE($H318&amp;" "," ","|",5))-FIND("|",SUBSTITUTE($H318&amp;" "," ","|",4))-1),""))/86400+25569+9/24,""))</f>
        <v/>
      </c>
      <c r="G318" s="58">
        <f>TRIM(SUBSTITUTE(SUBSTITUTE(SUBSTITUTE($A318,CHAR(9)," ")," "," "),CHAR(13),""))</f>
        <v/>
      </c>
      <c r="H318" s="58">
        <f>IF($G318="","",IF(ISNUMBER(FIND(" ",$G318)),$G318,IFERROR(IF((LEN(SUBSTITUTE(SUBSTITUTE($G318,"-"," ",LEN($G318)-LEN(SUBSTITUTE($G318,"-",""))),"-"," ",LEN($G318)-LEN(SUBSTITUTE($G318,"-",""))-1))-LEN(SUBSTITUTE(SUBSTITUTE(SUBSTITUTE($G318,"-"," ",LEN($G318)-LEN(SUBSTITUTE($G318,"-",""))),"-"," ",LEN($G318)-LEN(SUBSTITUTE($G318,"-",""))-1),".","")))=0,SUBSTITUTE(SUBSTITUTE($G318,"-"," ",LEN($G318)-LEN(SUBSTITUTE($G318,"-",""))),"-"," ",LEN($G318)-LEN(SUBSTITUTE($G318,"-",""))-1),SUBSTITUTE(SUBSTITUTE(SUBSTITUTE($G318,"-"," ",LEN($G318)-LEN(SUBSTITUTE($G318,"-",""))),"-"," ",LEN($G318)-LEN(SUBSTITUTE($G318,"-",""))-1),"."," ",(LEN(SUBSTITUTE(SUBSTITUTE($G318,"-"," ",LEN($G318)-LEN(SUBSTITUTE($G318,"-",""))),"-"," ",LEN($G318)-LEN(SUBSTITUTE($G318,"-",""))-1))-LEN(SUBSTITUTE(SUBSTITUTE(SUBSTITUTE($G318,"-"," ",LEN($G318)-LEN(SUBSTITUTE($G318,"-",""))),"-"," ",LEN($G318)-LEN(SUBSTITUTE($G318,"-",""))-1),".",""))))),$G318)))</f>
        <v/>
      </c>
    </row>
    <row r="319">
      <c r="A319" s="58" t="n"/>
      <c r="B319" s="58">
        <f>IF($H319="","",LEFT($H319,FIND(" ",$H319&amp;" ")-1))</f>
        <v/>
      </c>
      <c r="C319" s="58">
        <f>IF($H319="","",IFERROR(MID($H319&amp;" ",FIND("|",SUBSTITUTE($H319&amp;" "," ","|",1))+1,FIND("|",SUBSTITUTE($H319&amp;" "," ","|",2))-FIND("|",SUBSTITUTE($H319&amp;" "," ","|",1))-1),""))</f>
        <v/>
      </c>
      <c r="D319" s="58">
        <f>IF($H319="","",IFERROR(MID($H319&amp;" ",FIND("|",SUBSTITUTE($H319&amp;" "," ","|",2))+1,FIND("|",SUBSTITUTE($H319&amp;" "," ","|",3))-FIND("|",SUBSTITUTE($H319&amp;" "," ","|",2))-1),""))</f>
        <v/>
      </c>
      <c r="E319" s="58">
        <f>IF($H319="","",IFERROR(MID($H319&amp;" ",FIND("|",SUBSTITUTE($H319&amp;" "," ","|",3))+1,FIND("|",SUBSTITUTE($H319&amp;" "," ","|",4))-FIND("|",SUBSTITUTE($H319&amp;" "," ","|",3))-1),""))</f>
        <v/>
      </c>
      <c r="F319" s="59">
        <f>IF($H319="","",IFERROR(VALUE(IFERROR(MID($H319&amp;" ",FIND("|",SUBSTITUTE($H319&amp;" "," ","|",4))+1,FIND("|",SUBSTITUTE($H319&amp;" "," ","|",5))-FIND("|",SUBSTITUTE($H319&amp;" "," ","|",4))-1),""))/86400+25569+9/24,""))</f>
        <v/>
      </c>
      <c r="G319" s="58">
        <f>TRIM(SUBSTITUTE(SUBSTITUTE(SUBSTITUTE($A319,CHAR(9)," ")," "," "),CHAR(13),""))</f>
        <v/>
      </c>
      <c r="H319" s="58">
        <f>IF($G319="","",IF(ISNUMBER(FIND(" ",$G319)),$G319,IFERROR(IF((LEN(SUBSTITUTE(SUBSTITUTE($G319,"-"," ",LEN($G319)-LEN(SUBSTITUTE($G319,"-",""))),"-"," ",LEN($G319)-LEN(SUBSTITUTE($G319,"-",""))-1))-LEN(SUBSTITUTE(SUBSTITUTE(SUBSTITUTE($G319,"-"," ",LEN($G319)-LEN(SUBSTITUTE($G319,"-",""))),"-"," ",LEN($G319)-LEN(SUBSTITUTE($G319,"-",""))-1),".","")))=0,SUBSTITUTE(SUBSTITUTE($G319,"-"," ",LEN($G319)-LEN(SUBSTITUTE($G319,"-",""))),"-"," ",LEN($G319)-LEN(SUBSTITUTE($G319,"-",""))-1),SUBSTITUTE(SUBSTITUTE(SUBSTITUTE($G319,"-"," ",LEN($G319)-LEN(SUBSTITUTE($G319,"-",""))),"-"," ",LEN($G319)-LEN(SUBSTITUTE($G319,"-",""))-1),"."," ",(LEN(SUBSTITUTE(SUBSTITUTE($G319,"-"," ",LEN($G319)-LEN(SUBSTITUTE($G319,"-",""))),"-"," ",LEN($G319)-LEN(SUBSTITUTE($G319,"-",""))-1))-LEN(SUBSTITUTE(SUBSTITUTE(SUBSTITUTE($G319,"-"," ",LEN($G319)-LEN(SUBSTITUTE($G319,"-",""))),"-"," ",LEN($G319)-LEN(SUBSTITUTE($G319,"-",""))-1),".",""))))),$G319)))</f>
        <v/>
      </c>
    </row>
    <row r="320">
      <c r="A320" s="58" t="n"/>
      <c r="B320" s="58">
        <f>IF($H320="","",LEFT($H320,FIND(" ",$H320&amp;" ")-1))</f>
        <v/>
      </c>
      <c r="C320" s="58">
        <f>IF($H320="","",IFERROR(MID($H320&amp;" ",FIND("|",SUBSTITUTE($H320&amp;" "," ","|",1))+1,FIND("|",SUBSTITUTE($H320&amp;" "," ","|",2))-FIND("|",SUBSTITUTE($H320&amp;" "," ","|",1))-1),""))</f>
        <v/>
      </c>
      <c r="D320" s="58">
        <f>IF($H320="","",IFERROR(MID($H320&amp;" ",FIND("|",SUBSTITUTE($H320&amp;" "," ","|",2))+1,FIND("|",SUBSTITUTE($H320&amp;" "," ","|",3))-FIND("|",SUBSTITUTE($H320&amp;" "," ","|",2))-1),""))</f>
        <v/>
      </c>
      <c r="E320" s="58">
        <f>IF($H320="","",IFERROR(MID($H320&amp;" ",FIND("|",SUBSTITUTE($H320&amp;" "," ","|",3))+1,FIND("|",SUBSTITUTE($H320&amp;" "," ","|",4))-FIND("|",SUBSTITUTE($H320&amp;" "," ","|",3))-1),""))</f>
        <v/>
      </c>
      <c r="F320" s="59">
        <f>IF($H320="","",IFERROR(VALUE(IFERROR(MID($H320&amp;" ",FIND("|",SUBSTITUTE($H320&amp;" "," ","|",4))+1,FIND("|",SUBSTITUTE($H320&amp;" "," ","|",5))-FIND("|",SUBSTITUTE($H320&amp;" "," ","|",4))-1),""))/86400+25569+9/24,""))</f>
        <v/>
      </c>
      <c r="G320" s="58">
        <f>TRIM(SUBSTITUTE(SUBSTITUTE(SUBSTITUTE($A320,CHAR(9)," ")," "," "),CHAR(13),""))</f>
        <v/>
      </c>
      <c r="H320" s="58">
        <f>IF($G320="","",IF(ISNUMBER(FIND(" ",$G320)),$G320,IFERROR(IF((LEN(SUBSTITUTE(SUBSTITUTE($G320,"-"," ",LEN($G320)-LEN(SUBSTITUTE($G320,"-",""))),"-"," ",LEN($G320)-LEN(SUBSTITUTE($G320,"-",""))-1))-LEN(SUBSTITUTE(SUBSTITUTE(SUBSTITUTE($G320,"-"," ",LEN($G320)-LEN(SUBSTITUTE($G320,"-",""))),"-"," ",LEN($G320)-LEN(SUBSTITUTE($G320,"-",""))-1),".","")))=0,SUBSTITUTE(SUBSTITUTE($G320,"-"," ",LEN($G320)-LEN(SUBSTITUTE($G320,"-",""))),"-"," ",LEN($G320)-LEN(SUBSTITUTE($G320,"-",""))-1),SUBSTITUTE(SUBSTITUTE(SUBSTITUTE($G320,"-"," ",LEN($G320)-LEN(SUBSTITUTE($G320,"-",""))),"-"," ",LEN($G320)-LEN(SUBSTITUTE($G320,"-",""))-1),"."," ",(LEN(SUBSTITUTE(SUBSTITUTE($G320,"-"," ",LEN($G320)-LEN(SUBSTITUTE($G320,"-",""))),"-"," ",LEN($G320)-LEN(SUBSTITUTE($G320,"-",""))-1))-LEN(SUBSTITUTE(SUBSTITUTE(SUBSTITUTE($G320,"-"," ",LEN($G320)-LEN(SUBSTITUTE($G320,"-",""))),"-"," ",LEN($G320)-LEN(SUBSTITUTE($G320,"-",""))-1),".",""))))),$G320)))</f>
        <v/>
      </c>
    </row>
    <row r="321">
      <c r="A321" s="58" t="n"/>
      <c r="B321" s="58">
        <f>IF($H321="","",LEFT($H321,FIND(" ",$H321&amp;" ")-1))</f>
        <v/>
      </c>
      <c r="C321" s="58">
        <f>IF($H321="","",IFERROR(MID($H321&amp;" ",FIND("|",SUBSTITUTE($H321&amp;" "," ","|",1))+1,FIND("|",SUBSTITUTE($H321&amp;" "," ","|",2))-FIND("|",SUBSTITUTE($H321&amp;" "," ","|",1))-1),""))</f>
        <v/>
      </c>
      <c r="D321" s="58">
        <f>IF($H321="","",IFERROR(MID($H321&amp;" ",FIND("|",SUBSTITUTE($H321&amp;" "," ","|",2))+1,FIND("|",SUBSTITUTE($H321&amp;" "," ","|",3))-FIND("|",SUBSTITUTE($H321&amp;" "," ","|",2))-1),""))</f>
        <v/>
      </c>
      <c r="E321" s="58">
        <f>IF($H321="","",IFERROR(MID($H321&amp;" ",FIND("|",SUBSTITUTE($H321&amp;" "," ","|",3))+1,FIND("|",SUBSTITUTE($H321&amp;" "," ","|",4))-FIND("|",SUBSTITUTE($H321&amp;" "," ","|",3))-1),""))</f>
        <v/>
      </c>
      <c r="F321" s="59">
        <f>IF($H321="","",IFERROR(VALUE(IFERROR(MID($H321&amp;" ",FIND("|",SUBSTITUTE($H321&amp;" "," ","|",4))+1,FIND("|",SUBSTITUTE($H321&amp;" "," ","|",5))-FIND("|",SUBSTITUTE($H321&amp;" "," ","|",4))-1),""))/86400+25569+9/24,""))</f>
        <v/>
      </c>
      <c r="G321" s="58">
        <f>TRIM(SUBSTITUTE(SUBSTITUTE(SUBSTITUTE($A321,CHAR(9)," ")," "," "),CHAR(13),""))</f>
        <v/>
      </c>
      <c r="H321" s="58">
        <f>IF($G321="","",IF(ISNUMBER(FIND(" ",$G321)),$G321,IFERROR(IF((LEN(SUBSTITUTE(SUBSTITUTE($G321,"-"," ",LEN($G321)-LEN(SUBSTITUTE($G321,"-",""))),"-"," ",LEN($G321)-LEN(SUBSTITUTE($G321,"-",""))-1))-LEN(SUBSTITUTE(SUBSTITUTE(SUBSTITUTE($G321,"-"," ",LEN($G321)-LEN(SUBSTITUTE($G321,"-",""))),"-"," ",LEN($G321)-LEN(SUBSTITUTE($G321,"-",""))-1),".","")))=0,SUBSTITUTE(SUBSTITUTE($G321,"-"," ",LEN($G321)-LEN(SUBSTITUTE($G321,"-",""))),"-"," ",LEN($G321)-LEN(SUBSTITUTE($G321,"-",""))-1),SUBSTITUTE(SUBSTITUTE(SUBSTITUTE($G321,"-"," ",LEN($G321)-LEN(SUBSTITUTE($G321,"-",""))),"-"," ",LEN($G321)-LEN(SUBSTITUTE($G321,"-",""))-1),"."," ",(LEN(SUBSTITUTE(SUBSTITUTE($G321,"-"," ",LEN($G321)-LEN(SUBSTITUTE($G321,"-",""))),"-"," ",LEN($G321)-LEN(SUBSTITUTE($G321,"-",""))-1))-LEN(SUBSTITUTE(SUBSTITUTE(SUBSTITUTE($G321,"-"," ",LEN($G321)-LEN(SUBSTITUTE($G321,"-",""))),"-"," ",LEN($G321)-LEN(SUBSTITUTE($G321,"-",""))-1),".",""))))),$G321)))</f>
        <v/>
      </c>
    </row>
    <row r="322">
      <c r="A322" s="58" t="n"/>
      <c r="B322" s="58">
        <f>IF($H322="","",LEFT($H322,FIND(" ",$H322&amp;" ")-1))</f>
        <v/>
      </c>
      <c r="C322" s="58">
        <f>IF($H322="","",IFERROR(MID($H322&amp;" ",FIND("|",SUBSTITUTE($H322&amp;" "," ","|",1))+1,FIND("|",SUBSTITUTE($H322&amp;" "," ","|",2))-FIND("|",SUBSTITUTE($H322&amp;" "," ","|",1))-1),""))</f>
        <v/>
      </c>
      <c r="D322" s="58">
        <f>IF($H322="","",IFERROR(MID($H322&amp;" ",FIND("|",SUBSTITUTE($H322&amp;" "," ","|",2))+1,FIND("|",SUBSTITUTE($H322&amp;" "," ","|",3))-FIND("|",SUBSTITUTE($H322&amp;" "," ","|",2))-1),""))</f>
        <v/>
      </c>
      <c r="E322" s="58">
        <f>IF($H322="","",IFERROR(MID($H322&amp;" ",FIND("|",SUBSTITUTE($H322&amp;" "," ","|",3))+1,FIND("|",SUBSTITUTE($H322&amp;" "," ","|",4))-FIND("|",SUBSTITUTE($H322&amp;" "," ","|",3))-1),""))</f>
        <v/>
      </c>
      <c r="F322" s="59">
        <f>IF($H322="","",IFERROR(VALUE(IFERROR(MID($H322&amp;" ",FIND("|",SUBSTITUTE($H322&amp;" "," ","|",4))+1,FIND("|",SUBSTITUTE($H322&amp;" "," ","|",5))-FIND("|",SUBSTITUTE($H322&amp;" "," ","|",4))-1),""))/86400+25569+9/24,""))</f>
        <v/>
      </c>
      <c r="G322" s="58">
        <f>TRIM(SUBSTITUTE(SUBSTITUTE(SUBSTITUTE($A322,CHAR(9)," ")," "," "),CHAR(13),""))</f>
        <v/>
      </c>
      <c r="H322" s="58">
        <f>IF($G322="","",IF(ISNUMBER(FIND(" ",$G322)),$G322,IFERROR(IF((LEN(SUBSTITUTE(SUBSTITUTE($G322,"-"," ",LEN($G322)-LEN(SUBSTITUTE($G322,"-",""))),"-"," ",LEN($G322)-LEN(SUBSTITUTE($G322,"-",""))-1))-LEN(SUBSTITUTE(SUBSTITUTE(SUBSTITUTE($G322,"-"," ",LEN($G322)-LEN(SUBSTITUTE($G322,"-",""))),"-"," ",LEN($G322)-LEN(SUBSTITUTE($G322,"-",""))-1),".","")))=0,SUBSTITUTE(SUBSTITUTE($G322,"-"," ",LEN($G322)-LEN(SUBSTITUTE($G322,"-",""))),"-"," ",LEN($G322)-LEN(SUBSTITUTE($G322,"-",""))-1),SUBSTITUTE(SUBSTITUTE(SUBSTITUTE($G322,"-"," ",LEN($G322)-LEN(SUBSTITUTE($G322,"-",""))),"-"," ",LEN($G322)-LEN(SUBSTITUTE($G322,"-",""))-1),"."," ",(LEN(SUBSTITUTE(SUBSTITUTE($G322,"-"," ",LEN($G322)-LEN(SUBSTITUTE($G322,"-",""))),"-"," ",LEN($G322)-LEN(SUBSTITUTE($G322,"-",""))-1))-LEN(SUBSTITUTE(SUBSTITUTE(SUBSTITUTE($G322,"-"," ",LEN($G322)-LEN(SUBSTITUTE($G322,"-",""))),"-"," ",LEN($G322)-LEN(SUBSTITUTE($G322,"-",""))-1),".",""))))),$G322)))</f>
        <v/>
      </c>
    </row>
    <row r="323">
      <c r="A323" s="58" t="n"/>
      <c r="B323" s="58">
        <f>IF($H323="","",LEFT($H323,FIND(" ",$H323&amp;" ")-1))</f>
        <v/>
      </c>
      <c r="C323" s="58">
        <f>IF($H323="","",IFERROR(MID($H323&amp;" ",FIND("|",SUBSTITUTE($H323&amp;" "," ","|",1))+1,FIND("|",SUBSTITUTE($H323&amp;" "," ","|",2))-FIND("|",SUBSTITUTE($H323&amp;" "," ","|",1))-1),""))</f>
        <v/>
      </c>
      <c r="D323" s="58">
        <f>IF($H323="","",IFERROR(MID($H323&amp;" ",FIND("|",SUBSTITUTE($H323&amp;" "," ","|",2))+1,FIND("|",SUBSTITUTE($H323&amp;" "," ","|",3))-FIND("|",SUBSTITUTE($H323&amp;" "," ","|",2))-1),""))</f>
        <v/>
      </c>
      <c r="E323" s="58">
        <f>IF($H323="","",IFERROR(MID($H323&amp;" ",FIND("|",SUBSTITUTE($H323&amp;" "," ","|",3))+1,FIND("|",SUBSTITUTE($H323&amp;" "," ","|",4))-FIND("|",SUBSTITUTE($H323&amp;" "," ","|",3))-1),""))</f>
        <v/>
      </c>
      <c r="F323" s="59">
        <f>IF($H323="","",IFERROR(VALUE(IFERROR(MID($H323&amp;" ",FIND("|",SUBSTITUTE($H323&amp;" "," ","|",4))+1,FIND("|",SUBSTITUTE($H323&amp;" "," ","|",5))-FIND("|",SUBSTITUTE($H323&amp;" "," ","|",4))-1),""))/86400+25569+9/24,""))</f>
        <v/>
      </c>
      <c r="G323" s="58">
        <f>TRIM(SUBSTITUTE(SUBSTITUTE(SUBSTITUTE($A323,CHAR(9)," ")," "," "),CHAR(13),""))</f>
        <v/>
      </c>
      <c r="H323" s="58">
        <f>IF($G323="","",IF(ISNUMBER(FIND(" ",$G323)),$G323,IFERROR(IF((LEN(SUBSTITUTE(SUBSTITUTE($G323,"-"," ",LEN($G323)-LEN(SUBSTITUTE($G323,"-",""))),"-"," ",LEN($G323)-LEN(SUBSTITUTE($G323,"-",""))-1))-LEN(SUBSTITUTE(SUBSTITUTE(SUBSTITUTE($G323,"-"," ",LEN($G323)-LEN(SUBSTITUTE($G323,"-",""))),"-"," ",LEN($G323)-LEN(SUBSTITUTE($G323,"-",""))-1),".","")))=0,SUBSTITUTE(SUBSTITUTE($G323,"-"," ",LEN($G323)-LEN(SUBSTITUTE($G323,"-",""))),"-"," ",LEN($G323)-LEN(SUBSTITUTE($G323,"-",""))-1),SUBSTITUTE(SUBSTITUTE(SUBSTITUTE($G323,"-"," ",LEN($G323)-LEN(SUBSTITUTE($G323,"-",""))),"-"," ",LEN($G323)-LEN(SUBSTITUTE($G323,"-",""))-1),"."," ",(LEN(SUBSTITUTE(SUBSTITUTE($G323,"-"," ",LEN($G323)-LEN(SUBSTITUTE($G323,"-",""))),"-"," ",LEN($G323)-LEN(SUBSTITUTE($G323,"-",""))-1))-LEN(SUBSTITUTE(SUBSTITUTE(SUBSTITUTE($G323,"-"," ",LEN($G323)-LEN(SUBSTITUTE($G323,"-",""))),"-"," ",LEN($G323)-LEN(SUBSTITUTE($G323,"-",""))-1),".",""))))),$G323)))</f>
        <v/>
      </c>
    </row>
    <row r="324">
      <c r="A324" s="58" t="n"/>
      <c r="B324" s="58">
        <f>IF($H324="","",LEFT($H324,FIND(" ",$H324&amp;" ")-1))</f>
        <v/>
      </c>
      <c r="C324" s="58">
        <f>IF($H324="","",IFERROR(MID($H324&amp;" ",FIND("|",SUBSTITUTE($H324&amp;" "," ","|",1))+1,FIND("|",SUBSTITUTE($H324&amp;" "," ","|",2))-FIND("|",SUBSTITUTE($H324&amp;" "," ","|",1))-1),""))</f>
        <v/>
      </c>
      <c r="D324" s="58">
        <f>IF($H324="","",IFERROR(MID($H324&amp;" ",FIND("|",SUBSTITUTE($H324&amp;" "," ","|",2))+1,FIND("|",SUBSTITUTE($H324&amp;" "," ","|",3))-FIND("|",SUBSTITUTE($H324&amp;" "," ","|",2))-1),""))</f>
        <v/>
      </c>
      <c r="E324" s="58">
        <f>IF($H324="","",IFERROR(MID($H324&amp;" ",FIND("|",SUBSTITUTE($H324&amp;" "," ","|",3))+1,FIND("|",SUBSTITUTE($H324&amp;" "," ","|",4))-FIND("|",SUBSTITUTE($H324&amp;" "," ","|",3))-1),""))</f>
        <v/>
      </c>
      <c r="F324" s="59">
        <f>IF($H324="","",IFERROR(VALUE(IFERROR(MID($H324&amp;" ",FIND("|",SUBSTITUTE($H324&amp;" "," ","|",4))+1,FIND("|",SUBSTITUTE($H324&amp;" "," ","|",5))-FIND("|",SUBSTITUTE($H324&amp;" "," ","|",4))-1),""))/86400+25569+9/24,""))</f>
        <v/>
      </c>
      <c r="G324" s="58">
        <f>TRIM(SUBSTITUTE(SUBSTITUTE(SUBSTITUTE($A324,CHAR(9)," ")," "," "),CHAR(13),""))</f>
        <v/>
      </c>
      <c r="H324" s="58">
        <f>IF($G324="","",IF(ISNUMBER(FIND(" ",$G324)),$G324,IFERROR(IF((LEN(SUBSTITUTE(SUBSTITUTE($G324,"-"," ",LEN($G324)-LEN(SUBSTITUTE($G324,"-",""))),"-"," ",LEN($G324)-LEN(SUBSTITUTE($G324,"-",""))-1))-LEN(SUBSTITUTE(SUBSTITUTE(SUBSTITUTE($G324,"-"," ",LEN($G324)-LEN(SUBSTITUTE($G324,"-",""))),"-"," ",LEN($G324)-LEN(SUBSTITUTE($G324,"-",""))-1),".","")))=0,SUBSTITUTE(SUBSTITUTE($G324,"-"," ",LEN($G324)-LEN(SUBSTITUTE($G324,"-",""))),"-"," ",LEN($G324)-LEN(SUBSTITUTE($G324,"-",""))-1),SUBSTITUTE(SUBSTITUTE(SUBSTITUTE($G324,"-"," ",LEN($G324)-LEN(SUBSTITUTE($G324,"-",""))),"-"," ",LEN($G324)-LEN(SUBSTITUTE($G324,"-",""))-1),"."," ",(LEN(SUBSTITUTE(SUBSTITUTE($G324,"-"," ",LEN($G324)-LEN(SUBSTITUTE($G324,"-",""))),"-"," ",LEN($G324)-LEN(SUBSTITUTE($G324,"-",""))-1))-LEN(SUBSTITUTE(SUBSTITUTE(SUBSTITUTE($G324,"-"," ",LEN($G324)-LEN(SUBSTITUTE($G324,"-",""))),"-"," ",LEN($G324)-LEN(SUBSTITUTE($G324,"-",""))-1),".",""))))),$G324)))</f>
        <v/>
      </c>
    </row>
    <row r="325">
      <c r="A325" s="58" t="n"/>
      <c r="B325" s="58">
        <f>IF($H325="","",LEFT($H325,FIND(" ",$H325&amp;" ")-1))</f>
        <v/>
      </c>
      <c r="C325" s="58">
        <f>IF($H325="","",IFERROR(MID($H325&amp;" ",FIND("|",SUBSTITUTE($H325&amp;" "," ","|",1))+1,FIND("|",SUBSTITUTE($H325&amp;" "," ","|",2))-FIND("|",SUBSTITUTE($H325&amp;" "," ","|",1))-1),""))</f>
        <v/>
      </c>
      <c r="D325" s="58">
        <f>IF($H325="","",IFERROR(MID($H325&amp;" ",FIND("|",SUBSTITUTE($H325&amp;" "," ","|",2))+1,FIND("|",SUBSTITUTE($H325&amp;" "," ","|",3))-FIND("|",SUBSTITUTE($H325&amp;" "," ","|",2))-1),""))</f>
        <v/>
      </c>
      <c r="E325" s="58">
        <f>IF($H325="","",IFERROR(MID($H325&amp;" ",FIND("|",SUBSTITUTE($H325&amp;" "," ","|",3))+1,FIND("|",SUBSTITUTE($H325&amp;" "," ","|",4))-FIND("|",SUBSTITUTE($H325&amp;" "," ","|",3))-1),""))</f>
        <v/>
      </c>
      <c r="F325" s="59">
        <f>IF($H325="","",IFERROR(VALUE(IFERROR(MID($H325&amp;" ",FIND("|",SUBSTITUTE($H325&amp;" "," ","|",4))+1,FIND("|",SUBSTITUTE($H325&amp;" "," ","|",5))-FIND("|",SUBSTITUTE($H325&amp;" "," ","|",4))-1),""))/86400+25569+9/24,""))</f>
        <v/>
      </c>
      <c r="G325" s="58">
        <f>TRIM(SUBSTITUTE(SUBSTITUTE(SUBSTITUTE($A325,CHAR(9)," ")," "," "),CHAR(13),""))</f>
        <v/>
      </c>
      <c r="H325" s="58">
        <f>IF($G325="","",IF(ISNUMBER(FIND(" ",$G325)),$G325,IFERROR(IF((LEN(SUBSTITUTE(SUBSTITUTE($G325,"-"," ",LEN($G325)-LEN(SUBSTITUTE($G325,"-",""))),"-"," ",LEN($G325)-LEN(SUBSTITUTE($G325,"-",""))-1))-LEN(SUBSTITUTE(SUBSTITUTE(SUBSTITUTE($G325,"-"," ",LEN($G325)-LEN(SUBSTITUTE($G325,"-",""))),"-"," ",LEN($G325)-LEN(SUBSTITUTE($G325,"-",""))-1),".","")))=0,SUBSTITUTE(SUBSTITUTE($G325,"-"," ",LEN($G325)-LEN(SUBSTITUTE($G325,"-",""))),"-"," ",LEN($G325)-LEN(SUBSTITUTE($G325,"-",""))-1),SUBSTITUTE(SUBSTITUTE(SUBSTITUTE($G325,"-"," ",LEN($G325)-LEN(SUBSTITUTE($G325,"-",""))),"-"," ",LEN($G325)-LEN(SUBSTITUTE($G325,"-",""))-1),"."," ",(LEN(SUBSTITUTE(SUBSTITUTE($G325,"-"," ",LEN($G325)-LEN(SUBSTITUTE($G325,"-",""))),"-"," ",LEN($G325)-LEN(SUBSTITUTE($G325,"-",""))-1))-LEN(SUBSTITUTE(SUBSTITUTE(SUBSTITUTE($G325,"-"," ",LEN($G325)-LEN(SUBSTITUTE($G325,"-",""))),"-"," ",LEN($G325)-LEN(SUBSTITUTE($G325,"-",""))-1),".",""))))),$G325)))</f>
        <v/>
      </c>
    </row>
    <row r="326">
      <c r="A326" s="58" t="n"/>
      <c r="B326" s="58">
        <f>IF($H326="","",LEFT($H326,FIND(" ",$H326&amp;" ")-1))</f>
        <v/>
      </c>
      <c r="C326" s="58">
        <f>IF($H326="","",IFERROR(MID($H326&amp;" ",FIND("|",SUBSTITUTE($H326&amp;" "," ","|",1))+1,FIND("|",SUBSTITUTE($H326&amp;" "," ","|",2))-FIND("|",SUBSTITUTE($H326&amp;" "," ","|",1))-1),""))</f>
        <v/>
      </c>
      <c r="D326" s="58">
        <f>IF($H326="","",IFERROR(MID($H326&amp;" ",FIND("|",SUBSTITUTE($H326&amp;" "," ","|",2))+1,FIND("|",SUBSTITUTE($H326&amp;" "," ","|",3))-FIND("|",SUBSTITUTE($H326&amp;" "," ","|",2))-1),""))</f>
        <v/>
      </c>
      <c r="E326" s="58">
        <f>IF($H326="","",IFERROR(MID($H326&amp;" ",FIND("|",SUBSTITUTE($H326&amp;" "," ","|",3))+1,FIND("|",SUBSTITUTE($H326&amp;" "," ","|",4))-FIND("|",SUBSTITUTE($H326&amp;" "," ","|",3))-1),""))</f>
        <v/>
      </c>
      <c r="F326" s="59">
        <f>IF($H326="","",IFERROR(VALUE(IFERROR(MID($H326&amp;" ",FIND("|",SUBSTITUTE($H326&amp;" "," ","|",4))+1,FIND("|",SUBSTITUTE($H326&amp;" "," ","|",5))-FIND("|",SUBSTITUTE($H326&amp;" "," ","|",4))-1),""))/86400+25569+9/24,""))</f>
        <v/>
      </c>
      <c r="G326" s="58">
        <f>TRIM(SUBSTITUTE(SUBSTITUTE(SUBSTITUTE($A326,CHAR(9)," ")," "," "),CHAR(13),""))</f>
        <v/>
      </c>
      <c r="H326" s="58">
        <f>IF($G326="","",IF(ISNUMBER(FIND(" ",$G326)),$G326,IFERROR(IF((LEN(SUBSTITUTE(SUBSTITUTE($G326,"-"," ",LEN($G326)-LEN(SUBSTITUTE($G326,"-",""))),"-"," ",LEN($G326)-LEN(SUBSTITUTE($G326,"-",""))-1))-LEN(SUBSTITUTE(SUBSTITUTE(SUBSTITUTE($G326,"-"," ",LEN($G326)-LEN(SUBSTITUTE($G326,"-",""))),"-"," ",LEN($G326)-LEN(SUBSTITUTE($G326,"-",""))-1),".","")))=0,SUBSTITUTE(SUBSTITUTE($G326,"-"," ",LEN($G326)-LEN(SUBSTITUTE($G326,"-",""))),"-"," ",LEN($G326)-LEN(SUBSTITUTE($G326,"-",""))-1),SUBSTITUTE(SUBSTITUTE(SUBSTITUTE($G326,"-"," ",LEN($G326)-LEN(SUBSTITUTE($G326,"-",""))),"-"," ",LEN($G326)-LEN(SUBSTITUTE($G326,"-",""))-1),"."," ",(LEN(SUBSTITUTE(SUBSTITUTE($G326,"-"," ",LEN($G326)-LEN(SUBSTITUTE($G326,"-",""))),"-"," ",LEN($G326)-LEN(SUBSTITUTE($G326,"-",""))-1))-LEN(SUBSTITUTE(SUBSTITUTE(SUBSTITUTE($G326,"-"," ",LEN($G326)-LEN(SUBSTITUTE($G326,"-",""))),"-"," ",LEN($G326)-LEN(SUBSTITUTE($G326,"-",""))-1),".",""))))),$G326)))</f>
        <v/>
      </c>
    </row>
    <row r="327">
      <c r="A327" s="58" t="n"/>
      <c r="B327" s="58">
        <f>IF($H327="","",LEFT($H327,FIND(" ",$H327&amp;" ")-1))</f>
        <v/>
      </c>
      <c r="C327" s="58">
        <f>IF($H327="","",IFERROR(MID($H327&amp;" ",FIND("|",SUBSTITUTE($H327&amp;" "," ","|",1))+1,FIND("|",SUBSTITUTE($H327&amp;" "," ","|",2))-FIND("|",SUBSTITUTE($H327&amp;" "," ","|",1))-1),""))</f>
        <v/>
      </c>
      <c r="D327" s="58">
        <f>IF($H327="","",IFERROR(MID($H327&amp;" ",FIND("|",SUBSTITUTE($H327&amp;" "," ","|",2))+1,FIND("|",SUBSTITUTE($H327&amp;" "," ","|",3))-FIND("|",SUBSTITUTE($H327&amp;" "," ","|",2))-1),""))</f>
        <v/>
      </c>
      <c r="E327" s="58">
        <f>IF($H327="","",IFERROR(MID($H327&amp;" ",FIND("|",SUBSTITUTE($H327&amp;" "," ","|",3))+1,FIND("|",SUBSTITUTE($H327&amp;" "," ","|",4))-FIND("|",SUBSTITUTE($H327&amp;" "," ","|",3))-1),""))</f>
        <v/>
      </c>
      <c r="F327" s="59">
        <f>IF($H327="","",IFERROR(VALUE(IFERROR(MID($H327&amp;" ",FIND("|",SUBSTITUTE($H327&amp;" "," ","|",4))+1,FIND("|",SUBSTITUTE($H327&amp;" "," ","|",5))-FIND("|",SUBSTITUTE($H327&amp;" "," ","|",4))-1),""))/86400+25569+9/24,""))</f>
        <v/>
      </c>
      <c r="G327" s="58">
        <f>TRIM(SUBSTITUTE(SUBSTITUTE(SUBSTITUTE($A327,CHAR(9)," ")," "," "),CHAR(13),""))</f>
        <v/>
      </c>
      <c r="H327" s="58">
        <f>IF($G327="","",IF(ISNUMBER(FIND(" ",$G327)),$G327,IFERROR(IF((LEN(SUBSTITUTE(SUBSTITUTE($G327,"-"," ",LEN($G327)-LEN(SUBSTITUTE($G327,"-",""))),"-"," ",LEN($G327)-LEN(SUBSTITUTE($G327,"-",""))-1))-LEN(SUBSTITUTE(SUBSTITUTE(SUBSTITUTE($G327,"-"," ",LEN($G327)-LEN(SUBSTITUTE($G327,"-",""))),"-"," ",LEN($G327)-LEN(SUBSTITUTE($G327,"-",""))-1),".","")))=0,SUBSTITUTE(SUBSTITUTE($G327,"-"," ",LEN($G327)-LEN(SUBSTITUTE($G327,"-",""))),"-"," ",LEN($G327)-LEN(SUBSTITUTE($G327,"-",""))-1),SUBSTITUTE(SUBSTITUTE(SUBSTITUTE($G327,"-"," ",LEN($G327)-LEN(SUBSTITUTE($G327,"-",""))),"-"," ",LEN($G327)-LEN(SUBSTITUTE($G327,"-",""))-1),"."," ",(LEN(SUBSTITUTE(SUBSTITUTE($G327,"-"," ",LEN($G327)-LEN(SUBSTITUTE($G327,"-",""))),"-"," ",LEN($G327)-LEN(SUBSTITUTE($G327,"-",""))-1))-LEN(SUBSTITUTE(SUBSTITUTE(SUBSTITUTE($G327,"-"," ",LEN($G327)-LEN(SUBSTITUTE($G327,"-",""))),"-"," ",LEN($G327)-LEN(SUBSTITUTE($G327,"-",""))-1),".",""))))),$G327)))</f>
        <v/>
      </c>
    </row>
    <row r="328">
      <c r="A328" s="58" t="n"/>
      <c r="B328" s="58">
        <f>IF($H328="","",LEFT($H328,FIND(" ",$H328&amp;" ")-1))</f>
        <v/>
      </c>
      <c r="C328" s="58">
        <f>IF($H328="","",IFERROR(MID($H328&amp;" ",FIND("|",SUBSTITUTE($H328&amp;" "," ","|",1))+1,FIND("|",SUBSTITUTE($H328&amp;" "," ","|",2))-FIND("|",SUBSTITUTE($H328&amp;" "," ","|",1))-1),""))</f>
        <v/>
      </c>
      <c r="D328" s="58">
        <f>IF($H328="","",IFERROR(MID($H328&amp;" ",FIND("|",SUBSTITUTE($H328&amp;" "," ","|",2))+1,FIND("|",SUBSTITUTE($H328&amp;" "," ","|",3))-FIND("|",SUBSTITUTE($H328&amp;" "," ","|",2))-1),""))</f>
        <v/>
      </c>
      <c r="E328" s="58">
        <f>IF($H328="","",IFERROR(MID($H328&amp;" ",FIND("|",SUBSTITUTE($H328&amp;" "," ","|",3))+1,FIND("|",SUBSTITUTE($H328&amp;" "," ","|",4))-FIND("|",SUBSTITUTE($H328&amp;" "," ","|",3))-1),""))</f>
        <v/>
      </c>
      <c r="F328" s="59">
        <f>IF($H328="","",IFERROR(VALUE(IFERROR(MID($H328&amp;" ",FIND("|",SUBSTITUTE($H328&amp;" "," ","|",4))+1,FIND("|",SUBSTITUTE($H328&amp;" "," ","|",5))-FIND("|",SUBSTITUTE($H328&amp;" "," ","|",4))-1),""))/86400+25569+9/24,""))</f>
        <v/>
      </c>
      <c r="G328" s="58">
        <f>TRIM(SUBSTITUTE(SUBSTITUTE(SUBSTITUTE($A328,CHAR(9)," ")," "," "),CHAR(13),""))</f>
        <v/>
      </c>
      <c r="H328" s="58">
        <f>IF($G328="","",IF(ISNUMBER(FIND(" ",$G328)),$G328,IFERROR(IF((LEN(SUBSTITUTE(SUBSTITUTE($G328,"-"," ",LEN($G328)-LEN(SUBSTITUTE($G328,"-",""))),"-"," ",LEN($G328)-LEN(SUBSTITUTE($G328,"-",""))-1))-LEN(SUBSTITUTE(SUBSTITUTE(SUBSTITUTE($G328,"-"," ",LEN($G328)-LEN(SUBSTITUTE($G328,"-",""))),"-"," ",LEN($G328)-LEN(SUBSTITUTE($G328,"-",""))-1),".","")))=0,SUBSTITUTE(SUBSTITUTE($G328,"-"," ",LEN($G328)-LEN(SUBSTITUTE($G328,"-",""))),"-"," ",LEN($G328)-LEN(SUBSTITUTE($G328,"-",""))-1),SUBSTITUTE(SUBSTITUTE(SUBSTITUTE($G328,"-"," ",LEN($G328)-LEN(SUBSTITUTE($G328,"-",""))),"-"," ",LEN($G328)-LEN(SUBSTITUTE($G328,"-",""))-1),"."," ",(LEN(SUBSTITUTE(SUBSTITUTE($G328,"-"," ",LEN($G328)-LEN(SUBSTITUTE($G328,"-",""))),"-"," ",LEN($G328)-LEN(SUBSTITUTE($G328,"-",""))-1))-LEN(SUBSTITUTE(SUBSTITUTE(SUBSTITUTE($G328,"-"," ",LEN($G328)-LEN(SUBSTITUTE($G328,"-",""))),"-"," ",LEN($G328)-LEN(SUBSTITUTE($G328,"-",""))-1),".",""))))),$G328)))</f>
        <v/>
      </c>
    </row>
    <row r="329">
      <c r="A329" s="58" t="n"/>
      <c r="B329" s="58">
        <f>IF($H329="","",LEFT($H329,FIND(" ",$H329&amp;" ")-1))</f>
        <v/>
      </c>
      <c r="C329" s="58">
        <f>IF($H329="","",IFERROR(MID($H329&amp;" ",FIND("|",SUBSTITUTE($H329&amp;" "," ","|",1))+1,FIND("|",SUBSTITUTE($H329&amp;" "," ","|",2))-FIND("|",SUBSTITUTE($H329&amp;" "," ","|",1))-1),""))</f>
        <v/>
      </c>
      <c r="D329" s="58">
        <f>IF($H329="","",IFERROR(MID($H329&amp;" ",FIND("|",SUBSTITUTE($H329&amp;" "," ","|",2))+1,FIND("|",SUBSTITUTE($H329&amp;" "," ","|",3))-FIND("|",SUBSTITUTE($H329&amp;" "," ","|",2))-1),""))</f>
        <v/>
      </c>
      <c r="E329" s="58">
        <f>IF($H329="","",IFERROR(MID($H329&amp;" ",FIND("|",SUBSTITUTE($H329&amp;" "," ","|",3))+1,FIND("|",SUBSTITUTE($H329&amp;" "," ","|",4))-FIND("|",SUBSTITUTE($H329&amp;" "," ","|",3))-1),""))</f>
        <v/>
      </c>
      <c r="F329" s="59">
        <f>IF($H329="","",IFERROR(VALUE(IFERROR(MID($H329&amp;" ",FIND("|",SUBSTITUTE($H329&amp;" "," ","|",4))+1,FIND("|",SUBSTITUTE($H329&amp;" "," ","|",5))-FIND("|",SUBSTITUTE($H329&amp;" "," ","|",4))-1),""))/86400+25569+9/24,""))</f>
        <v/>
      </c>
      <c r="G329" s="58">
        <f>TRIM(SUBSTITUTE(SUBSTITUTE(SUBSTITUTE($A329,CHAR(9)," ")," "," "),CHAR(13),""))</f>
        <v/>
      </c>
      <c r="H329" s="58">
        <f>IF($G329="","",IF(ISNUMBER(FIND(" ",$G329)),$G329,IFERROR(IF((LEN(SUBSTITUTE(SUBSTITUTE($G329,"-"," ",LEN($G329)-LEN(SUBSTITUTE($G329,"-",""))),"-"," ",LEN($G329)-LEN(SUBSTITUTE($G329,"-",""))-1))-LEN(SUBSTITUTE(SUBSTITUTE(SUBSTITUTE($G329,"-"," ",LEN($G329)-LEN(SUBSTITUTE($G329,"-",""))),"-"," ",LEN($G329)-LEN(SUBSTITUTE($G329,"-",""))-1),".","")))=0,SUBSTITUTE(SUBSTITUTE($G329,"-"," ",LEN($G329)-LEN(SUBSTITUTE($G329,"-",""))),"-"," ",LEN($G329)-LEN(SUBSTITUTE($G329,"-",""))-1),SUBSTITUTE(SUBSTITUTE(SUBSTITUTE($G329,"-"," ",LEN($G329)-LEN(SUBSTITUTE($G329,"-",""))),"-"," ",LEN($G329)-LEN(SUBSTITUTE($G329,"-",""))-1),"."," ",(LEN(SUBSTITUTE(SUBSTITUTE($G329,"-"," ",LEN($G329)-LEN(SUBSTITUTE($G329,"-",""))),"-"," ",LEN($G329)-LEN(SUBSTITUTE($G329,"-",""))-1))-LEN(SUBSTITUTE(SUBSTITUTE(SUBSTITUTE($G329,"-"," ",LEN($G329)-LEN(SUBSTITUTE($G329,"-",""))),"-"," ",LEN($G329)-LEN(SUBSTITUTE($G329,"-",""))-1),".",""))))),$G329)))</f>
        <v/>
      </c>
    </row>
    <row r="330">
      <c r="A330" s="58" t="n"/>
      <c r="B330" s="58">
        <f>IF($H330="","",LEFT($H330,FIND(" ",$H330&amp;" ")-1))</f>
        <v/>
      </c>
      <c r="C330" s="58">
        <f>IF($H330="","",IFERROR(MID($H330&amp;" ",FIND("|",SUBSTITUTE($H330&amp;" "," ","|",1))+1,FIND("|",SUBSTITUTE($H330&amp;" "," ","|",2))-FIND("|",SUBSTITUTE($H330&amp;" "," ","|",1))-1),""))</f>
        <v/>
      </c>
      <c r="D330" s="58">
        <f>IF($H330="","",IFERROR(MID($H330&amp;" ",FIND("|",SUBSTITUTE($H330&amp;" "," ","|",2))+1,FIND("|",SUBSTITUTE($H330&amp;" "," ","|",3))-FIND("|",SUBSTITUTE($H330&amp;" "," ","|",2))-1),""))</f>
        <v/>
      </c>
      <c r="E330" s="58">
        <f>IF($H330="","",IFERROR(MID($H330&amp;" ",FIND("|",SUBSTITUTE($H330&amp;" "," ","|",3))+1,FIND("|",SUBSTITUTE($H330&amp;" "," ","|",4))-FIND("|",SUBSTITUTE($H330&amp;" "," ","|",3))-1),""))</f>
        <v/>
      </c>
      <c r="F330" s="59">
        <f>IF($H330="","",IFERROR(VALUE(IFERROR(MID($H330&amp;" ",FIND("|",SUBSTITUTE($H330&amp;" "," ","|",4))+1,FIND("|",SUBSTITUTE($H330&amp;" "," ","|",5))-FIND("|",SUBSTITUTE($H330&amp;" "," ","|",4))-1),""))/86400+25569+9/24,""))</f>
        <v/>
      </c>
      <c r="G330" s="58">
        <f>TRIM(SUBSTITUTE(SUBSTITUTE(SUBSTITUTE($A330,CHAR(9)," ")," "," "),CHAR(13),""))</f>
        <v/>
      </c>
      <c r="H330" s="58">
        <f>IF($G330="","",IF(ISNUMBER(FIND(" ",$G330)),$G330,IFERROR(IF((LEN(SUBSTITUTE(SUBSTITUTE($G330,"-"," ",LEN($G330)-LEN(SUBSTITUTE($G330,"-",""))),"-"," ",LEN($G330)-LEN(SUBSTITUTE($G330,"-",""))-1))-LEN(SUBSTITUTE(SUBSTITUTE(SUBSTITUTE($G330,"-"," ",LEN($G330)-LEN(SUBSTITUTE($G330,"-",""))),"-"," ",LEN($G330)-LEN(SUBSTITUTE($G330,"-",""))-1),".","")))=0,SUBSTITUTE(SUBSTITUTE($G330,"-"," ",LEN($G330)-LEN(SUBSTITUTE($G330,"-",""))),"-"," ",LEN($G330)-LEN(SUBSTITUTE($G330,"-",""))-1),SUBSTITUTE(SUBSTITUTE(SUBSTITUTE($G330,"-"," ",LEN($G330)-LEN(SUBSTITUTE($G330,"-",""))),"-"," ",LEN($G330)-LEN(SUBSTITUTE($G330,"-",""))-1),"."," ",(LEN(SUBSTITUTE(SUBSTITUTE($G330,"-"," ",LEN($G330)-LEN(SUBSTITUTE($G330,"-",""))),"-"," ",LEN($G330)-LEN(SUBSTITUTE($G330,"-",""))-1))-LEN(SUBSTITUTE(SUBSTITUTE(SUBSTITUTE($G330,"-"," ",LEN($G330)-LEN(SUBSTITUTE($G330,"-",""))),"-"," ",LEN($G330)-LEN(SUBSTITUTE($G330,"-",""))-1),".",""))))),$G330)))</f>
        <v/>
      </c>
    </row>
    <row r="331">
      <c r="A331" s="58" t="n"/>
      <c r="B331" s="58">
        <f>IF($H331="","",LEFT($H331,FIND(" ",$H331&amp;" ")-1))</f>
        <v/>
      </c>
      <c r="C331" s="58">
        <f>IF($H331="","",IFERROR(MID($H331&amp;" ",FIND("|",SUBSTITUTE($H331&amp;" "," ","|",1))+1,FIND("|",SUBSTITUTE($H331&amp;" "," ","|",2))-FIND("|",SUBSTITUTE($H331&amp;" "," ","|",1))-1),""))</f>
        <v/>
      </c>
      <c r="D331" s="58">
        <f>IF($H331="","",IFERROR(MID($H331&amp;" ",FIND("|",SUBSTITUTE($H331&amp;" "," ","|",2))+1,FIND("|",SUBSTITUTE($H331&amp;" "," ","|",3))-FIND("|",SUBSTITUTE($H331&amp;" "," ","|",2))-1),""))</f>
        <v/>
      </c>
      <c r="E331" s="58">
        <f>IF($H331="","",IFERROR(MID($H331&amp;" ",FIND("|",SUBSTITUTE($H331&amp;" "," ","|",3))+1,FIND("|",SUBSTITUTE($H331&amp;" "," ","|",4))-FIND("|",SUBSTITUTE($H331&amp;" "," ","|",3))-1),""))</f>
        <v/>
      </c>
      <c r="F331" s="59">
        <f>IF($H331="","",IFERROR(VALUE(IFERROR(MID($H331&amp;" ",FIND("|",SUBSTITUTE($H331&amp;" "," ","|",4))+1,FIND("|",SUBSTITUTE($H331&amp;" "," ","|",5))-FIND("|",SUBSTITUTE($H331&amp;" "," ","|",4))-1),""))/86400+25569+9/24,""))</f>
        <v/>
      </c>
      <c r="G331" s="58">
        <f>TRIM(SUBSTITUTE(SUBSTITUTE(SUBSTITUTE($A331,CHAR(9)," ")," "," "),CHAR(13),""))</f>
        <v/>
      </c>
      <c r="H331" s="58">
        <f>IF($G331="","",IF(ISNUMBER(FIND(" ",$G331)),$G331,IFERROR(IF((LEN(SUBSTITUTE(SUBSTITUTE($G331,"-"," ",LEN($G331)-LEN(SUBSTITUTE($G331,"-",""))),"-"," ",LEN($G331)-LEN(SUBSTITUTE($G331,"-",""))-1))-LEN(SUBSTITUTE(SUBSTITUTE(SUBSTITUTE($G331,"-"," ",LEN($G331)-LEN(SUBSTITUTE($G331,"-",""))),"-"," ",LEN($G331)-LEN(SUBSTITUTE($G331,"-",""))-1),".","")))=0,SUBSTITUTE(SUBSTITUTE($G331,"-"," ",LEN($G331)-LEN(SUBSTITUTE($G331,"-",""))),"-"," ",LEN($G331)-LEN(SUBSTITUTE($G331,"-",""))-1),SUBSTITUTE(SUBSTITUTE(SUBSTITUTE($G331,"-"," ",LEN($G331)-LEN(SUBSTITUTE($G331,"-",""))),"-"," ",LEN($G331)-LEN(SUBSTITUTE($G331,"-",""))-1),"."," ",(LEN(SUBSTITUTE(SUBSTITUTE($G331,"-"," ",LEN($G331)-LEN(SUBSTITUTE($G331,"-",""))),"-"," ",LEN($G331)-LEN(SUBSTITUTE($G331,"-",""))-1))-LEN(SUBSTITUTE(SUBSTITUTE(SUBSTITUTE($G331,"-"," ",LEN($G331)-LEN(SUBSTITUTE($G331,"-",""))),"-"," ",LEN($G331)-LEN(SUBSTITUTE($G331,"-",""))-1),".",""))))),$G331)))</f>
        <v/>
      </c>
    </row>
    <row r="332">
      <c r="A332" s="58" t="n"/>
      <c r="B332" s="58">
        <f>IF($H332="","",LEFT($H332,FIND(" ",$H332&amp;" ")-1))</f>
        <v/>
      </c>
      <c r="C332" s="58">
        <f>IF($H332="","",IFERROR(MID($H332&amp;" ",FIND("|",SUBSTITUTE($H332&amp;" "," ","|",1))+1,FIND("|",SUBSTITUTE($H332&amp;" "," ","|",2))-FIND("|",SUBSTITUTE($H332&amp;" "," ","|",1))-1),""))</f>
        <v/>
      </c>
      <c r="D332" s="58">
        <f>IF($H332="","",IFERROR(MID($H332&amp;" ",FIND("|",SUBSTITUTE($H332&amp;" "," ","|",2))+1,FIND("|",SUBSTITUTE($H332&amp;" "," ","|",3))-FIND("|",SUBSTITUTE($H332&amp;" "," ","|",2))-1),""))</f>
        <v/>
      </c>
      <c r="E332" s="58">
        <f>IF($H332="","",IFERROR(MID($H332&amp;" ",FIND("|",SUBSTITUTE($H332&amp;" "," ","|",3))+1,FIND("|",SUBSTITUTE($H332&amp;" "," ","|",4))-FIND("|",SUBSTITUTE($H332&amp;" "," ","|",3))-1),""))</f>
        <v/>
      </c>
      <c r="F332" s="59">
        <f>IF($H332="","",IFERROR(VALUE(IFERROR(MID($H332&amp;" ",FIND("|",SUBSTITUTE($H332&amp;" "," ","|",4))+1,FIND("|",SUBSTITUTE($H332&amp;" "," ","|",5))-FIND("|",SUBSTITUTE($H332&amp;" "," ","|",4))-1),""))/86400+25569+9/24,""))</f>
        <v/>
      </c>
      <c r="G332" s="58">
        <f>TRIM(SUBSTITUTE(SUBSTITUTE(SUBSTITUTE($A332,CHAR(9)," ")," "," "),CHAR(13),""))</f>
        <v/>
      </c>
      <c r="H332" s="58">
        <f>IF($G332="","",IF(ISNUMBER(FIND(" ",$G332)),$G332,IFERROR(IF((LEN(SUBSTITUTE(SUBSTITUTE($G332,"-"," ",LEN($G332)-LEN(SUBSTITUTE($G332,"-",""))),"-"," ",LEN($G332)-LEN(SUBSTITUTE($G332,"-",""))-1))-LEN(SUBSTITUTE(SUBSTITUTE(SUBSTITUTE($G332,"-"," ",LEN($G332)-LEN(SUBSTITUTE($G332,"-",""))),"-"," ",LEN($G332)-LEN(SUBSTITUTE($G332,"-",""))-1),".","")))=0,SUBSTITUTE(SUBSTITUTE($G332,"-"," ",LEN($G332)-LEN(SUBSTITUTE($G332,"-",""))),"-"," ",LEN($G332)-LEN(SUBSTITUTE($G332,"-",""))-1),SUBSTITUTE(SUBSTITUTE(SUBSTITUTE($G332,"-"," ",LEN($G332)-LEN(SUBSTITUTE($G332,"-",""))),"-"," ",LEN($G332)-LEN(SUBSTITUTE($G332,"-",""))-1),"."," ",(LEN(SUBSTITUTE(SUBSTITUTE($G332,"-"," ",LEN($G332)-LEN(SUBSTITUTE($G332,"-",""))),"-"," ",LEN($G332)-LEN(SUBSTITUTE($G332,"-",""))-1))-LEN(SUBSTITUTE(SUBSTITUTE(SUBSTITUTE($G332,"-"," ",LEN($G332)-LEN(SUBSTITUTE($G332,"-",""))),"-"," ",LEN($G332)-LEN(SUBSTITUTE($G332,"-",""))-1),".",""))))),$G332)))</f>
        <v/>
      </c>
    </row>
    <row r="333">
      <c r="A333" s="58" t="n"/>
      <c r="B333" s="58">
        <f>IF($H333="","",LEFT($H333,FIND(" ",$H333&amp;" ")-1))</f>
        <v/>
      </c>
      <c r="C333" s="58">
        <f>IF($H333="","",IFERROR(MID($H333&amp;" ",FIND("|",SUBSTITUTE($H333&amp;" "," ","|",1))+1,FIND("|",SUBSTITUTE($H333&amp;" "," ","|",2))-FIND("|",SUBSTITUTE($H333&amp;" "," ","|",1))-1),""))</f>
        <v/>
      </c>
      <c r="D333" s="58">
        <f>IF($H333="","",IFERROR(MID($H333&amp;" ",FIND("|",SUBSTITUTE($H333&amp;" "," ","|",2))+1,FIND("|",SUBSTITUTE($H333&amp;" "," ","|",3))-FIND("|",SUBSTITUTE($H333&amp;" "," ","|",2))-1),""))</f>
        <v/>
      </c>
      <c r="E333" s="58">
        <f>IF($H333="","",IFERROR(MID($H333&amp;" ",FIND("|",SUBSTITUTE($H333&amp;" "," ","|",3))+1,FIND("|",SUBSTITUTE($H333&amp;" "," ","|",4))-FIND("|",SUBSTITUTE($H333&amp;" "," ","|",3))-1),""))</f>
        <v/>
      </c>
      <c r="F333" s="59">
        <f>IF($H333="","",IFERROR(VALUE(IFERROR(MID($H333&amp;" ",FIND("|",SUBSTITUTE($H333&amp;" "," ","|",4))+1,FIND("|",SUBSTITUTE($H333&amp;" "," ","|",5))-FIND("|",SUBSTITUTE($H333&amp;" "," ","|",4))-1),""))/86400+25569+9/24,""))</f>
        <v/>
      </c>
      <c r="G333" s="58">
        <f>TRIM(SUBSTITUTE(SUBSTITUTE(SUBSTITUTE($A333,CHAR(9)," ")," "," "),CHAR(13),""))</f>
        <v/>
      </c>
      <c r="H333" s="58">
        <f>IF($G333="","",IF(ISNUMBER(FIND(" ",$G333)),$G333,IFERROR(IF((LEN(SUBSTITUTE(SUBSTITUTE($G333,"-"," ",LEN($G333)-LEN(SUBSTITUTE($G333,"-",""))),"-"," ",LEN($G333)-LEN(SUBSTITUTE($G333,"-",""))-1))-LEN(SUBSTITUTE(SUBSTITUTE(SUBSTITUTE($G333,"-"," ",LEN($G333)-LEN(SUBSTITUTE($G333,"-",""))),"-"," ",LEN($G333)-LEN(SUBSTITUTE($G333,"-",""))-1),".","")))=0,SUBSTITUTE(SUBSTITUTE($G333,"-"," ",LEN($G333)-LEN(SUBSTITUTE($G333,"-",""))),"-"," ",LEN($G333)-LEN(SUBSTITUTE($G333,"-",""))-1),SUBSTITUTE(SUBSTITUTE(SUBSTITUTE($G333,"-"," ",LEN($G333)-LEN(SUBSTITUTE($G333,"-",""))),"-"," ",LEN($G333)-LEN(SUBSTITUTE($G333,"-",""))-1),"."," ",(LEN(SUBSTITUTE(SUBSTITUTE($G333,"-"," ",LEN($G333)-LEN(SUBSTITUTE($G333,"-",""))),"-"," ",LEN($G333)-LEN(SUBSTITUTE($G333,"-",""))-1))-LEN(SUBSTITUTE(SUBSTITUTE(SUBSTITUTE($G333,"-"," ",LEN($G333)-LEN(SUBSTITUTE($G333,"-",""))),"-"," ",LEN($G333)-LEN(SUBSTITUTE($G333,"-",""))-1),".",""))))),$G333)))</f>
        <v/>
      </c>
    </row>
    <row r="334">
      <c r="A334" s="58" t="n"/>
      <c r="B334" s="58">
        <f>IF($H334="","",LEFT($H334,FIND(" ",$H334&amp;" ")-1))</f>
        <v/>
      </c>
      <c r="C334" s="58">
        <f>IF($H334="","",IFERROR(MID($H334&amp;" ",FIND("|",SUBSTITUTE($H334&amp;" "," ","|",1))+1,FIND("|",SUBSTITUTE($H334&amp;" "," ","|",2))-FIND("|",SUBSTITUTE($H334&amp;" "," ","|",1))-1),""))</f>
        <v/>
      </c>
      <c r="D334" s="58">
        <f>IF($H334="","",IFERROR(MID($H334&amp;" ",FIND("|",SUBSTITUTE($H334&amp;" "," ","|",2))+1,FIND("|",SUBSTITUTE($H334&amp;" "," ","|",3))-FIND("|",SUBSTITUTE($H334&amp;" "," ","|",2))-1),""))</f>
        <v/>
      </c>
      <c r="E334" s="58">
        <f>IF($H334="","",IFERROR(MID($H334&amp;" ",FIND("|",SUBSTITUTE($H334&amp;" "," ","|",3))+1,FIND("|",SUBSTITUTE($H334&amp;" "," ","|",4))-FIND("|",SUBSTITUTE($H334&amp;" "," ","|",3))-1),""))</f>
        <v/>
      </c>
      <c r="F334" s="59">
        <f>IF($H334="","",IFERROR(VALUE(IFERROR(MID($H334&amp;" ",FIND("|",SUBSTITUTE($H334&amp;" "," ","|",4))+1,FIND("|",SUBSTITUTE($H334&amp;" "," ","|",5))-FIND("|",SUBSTITUTE($H334&amp;" "," ","|",4))-1),""))/86400+25569+9/24,""))</f>
        <v/>
      </c>
      <c r="G334" s="58">
        <f>TRIM(SUBSTITUTE(SUBSTITUTE(SUBSTITUTE($A334,CHAR(9)," ")," "," "),CHAR(13),""))</f>
        <v/>
      </c>
      <c r="H334" s="58">
        <f>IF($G334="","",IF(ISNUMBER(FIND(" ",$G334)),$G334,IFERROR(IF((LEN(SUBSTITUTE(SUBSTITUTE($G334,"-"," ",LEN($G334)-LEN(SUBSTITUTE($G334,"-",""))),"-"," ",LEN($G334)-LEN(SUBSTITUTE($G334,"-",""))-1))-LEN(SUBSTITUTE(SUBSTITUTE(SUBSTITUTE($G334,"-"," ",LEN($G334)-LEN(SUBSTITUTE($G334,"-",""))),"-"," ",LEN($G334)-LEN(SUBSTITUTE($G334,"-",""))-1),".","")))=0,SUBSTITUTE(SUBSTITUTE($G334,"-"," ",LEN($G334)-LEN(SUBSTITUTE($G334,"-",""))),"-"," ",LEN($G334)-LEN(SUBSTITUTE($G334,"-",""))-1),SUBSTITUTE(SUBSTITUTE(SUBSTITUTE($G334,"-"," ",LEN($G334)-LEN(SUBSTITUTE($G334,"-",""))),"-"," ",LEN($G334)-LEN(SUBSTITUTE($G334,"-",""))-1),"."," ",(LEN(SUBSTITUTE(SUBSTITUTE($G334,"-"," ",LEN($G334)-LEN(SUBSTITUTE($G334,"-",""))),"-"," ",LEN($G334)-LEN(SUBSTITUTE($G334,"-",""))-1))-LEN(SUBSTITUTE(SUBSTITUTE(SUBSTITUTE($G334,"-"," ",LEN($G334)-LEN(SUBSTITUTE($G334,"-",""))),"-"," ",LEN($G334)-LEN(SUBSTITUTE($G334,"-",""))-1),".",""))))),$G334)))</f>
        <v/>
      </c>
    </row>
    <row r="335">
      <c r="A335" s="58" t="n"/>
      <c r="B335" s="58">
        <f>IF($H335="","",LEFT($H335,FIND(" ",$H335&amp;" ")-1))</f>
        <v/>
      </c>
      <c r="C335" s="58">
        <f>IF($H335="","",IFERROR(MID($H335&amp;" ",FIND("|",SUBSTITUTE($H335&amp;" "," ","|",1))+1,FIND("|",SUBSTITUTE($H335&amp;" "," ","|",2))-FIND("|",SUBSTITUTE($H335&amp;" "," ","|",1))-1),""))</f>
        <v/>
      </c>
      <c r="D335" s="58">
        <f>IF($H335="","",IFERROR(MID($H335&amp;" ",FIND("|",SUBSTITUTE($H335&amp;" "," ","|",2))+1,FIND("|",SUBSTITUTE($H335&amp;" "," ","|",3))-FIND("|",SUBSTITUTE($H335&amp;" "," ","|",2))-1),""))</f>
        <v/>
      </c>
      <c r="E335" s="58">
        <f>IF($H335="","",IFERROR(MID($H335&amp;" ",FIND("|",SUBSTITUTE($H335&amp;" "," ","|",3))+1,FIND("|",SUBSTITUTE($H335&amp;" "," ","|",4))-FIND("|",SUBSTITUTE($H335&amp;" "," ","|",3))-1),""))</f>
        <v/>
      </c>
      <c r="F335" s="59">
        <f>IF($H335="","",IFERROR(VALUE(IFERROR(MID($H335&amp;" ",FIND("|",SUBSTITUTE($H335&amp;" "," ","|",4))+1,FIND("|",SUBSTITUTE($H335&amp;" "," ","|",5))-FIND("|",SUBSTITUTE($H335&amp;" "," ","|",4))-1),""))/86400+25569+9/24,""))</f>
        <v/>
      </c>
      <c r="G335" s="58">
        <f>TRIM(SUBSTITUTE(SUBSTITUTE(SUBSTITUTE($A335,CHAR(9)," ")," "," "),CHAR(13),""))</f>
        <v/>
      </c>
      <c r="H335" s="58">
        <f>IF($G335="","",IF(ISNUMBER(FIND(" ",$G335)),$G335,IFERROR(IF((LEN(SUBSTITUTE(SUBSTITUTE($G335,"-"," ",LEN($G335)-LEN(SUBSTITUTE($G335,"-",""))),"-"," ",LEN($G335)-LEN(SUBSTITUTE($G335,"-",""))-1))-LEN(SUBSTITUTE(SUBSTITUTE(SUBSTITUTE($G335,"-"," ",LEN($G335)-LEN(SUBSTITUTE($G335,"-",""))),"-"," ",LEN($G335)-LEN(SUBSTITUTE($G335,"-",""))-1),".","")))=0,SUBSTITUTE(SUBSTITUTE($G335,"-"," ",LEN($G335)-LEN(SUBSTITUTE($G335,"-",""))),"-"," ",LEN($G335)-LEN(SUBSTITUTE($G335,"-",""))-1),SUBSTITUTE(SUBSTITUTE(SUBSTITUTE($G335,"-"," ",LEN($G335)-LEN(SUBSTITUTE($G335,"-",""))),"-"," ",LEN($G335)-LEN(SUBSTITUTE($G335,"-",""))-1),"."," ",(LEN(SUBSTITUTE(SUBSTITUTE($G335,"-"," ",LEN($G335)-LEN(SUBSTITUTE($G335,"-",""))),"-"," ",LEN($G335)-LEN(SUBSTITUTE($G335,"-",""))-1))-LEN(SUBSTITUTE(SUBSTITUTE(SUBSTITUTE($G335,"-"," ",LEN($G335)-LEN(SUBSTITUTE($G335,"-",""))),"-"," ",LEN($G335)-LEN(SUBSTITUTE($G335,"-",""))-1),".",""))))),$G335)))</f>
        <v/>
      </c>
    </row>
    <row r="336">
      <c r="A336" s="58" t="n"/>
      <c r="B336" s="58">
        <f>IF($H336="","",LEFT($H336,FIND(" ",$H336&amp;" ")-1))</f>
        <v/>
      </c>
      <c r="C336" s="58">
        <f>IF($H336="","",IFERROR(MID($H336&amp;" ",FIND("|",SUBSTITUTE($H336&amp;" "," ","|",1))+1,FIND("|",SUBSTITUTE($H336&amp;" "," ","|",2))-FIND("|",SUBSTITUTE($H336&amp;" "," ","|",1))-1),""))</f>
        <v/>
      </c>
      <c r="D336" s="58">
        <f>IF($H336="","",IFERROR(MID($H336&amp;" ",FIND("|",SUBSTITUTE($H336&amp;" "," ","|",2))+1,FIND("|",SUBSTITUTE($H336&amp;" "," ","|",3))-FIND("|",SUBSTITUTE($H336&amp;" "," ","|",2))-1),""))</f>
        <v/>
      </c>
      <c r="E336" s="58">
        <f>IF($H336="","",IFERROR(MID($H336&amp;" ",FIND("|",SUBSTITUTE($H336&amp;" "," ","|",3))+1,FIND("|",SUBSTITUTE($H336&amp;" "," ","|",4))-FIND("|",SUBSTITUTE($H336&amp;" "," ","|",3))-1),""))</f>
        <v/>
      </c>
      <c r="F336" s="59">
        <f>IF($H336="","",IFERROR(VALUE(IFERROR(MID($H336&amp;" ",FIND("|",SUBSTITUTE($H336&amp;" "," ","|",4))+1,FIND("|",SUBSTITUTE($H336&amp;" "," ","|",5))-FIND("|",SUBSTITUTE($H336&amp;" "," ","|",4))-1),""))/86400+25569+9/24,""))</f>
        <v/>
      </c>
      <c r="G336" s="58">
        <f>TRIM(SUBSTITUTE(SUBSTITUTE(SUBSTITUTE($A336,CHAR(9)," ")," "," "),CHAR(13),""))</f>
        <v/>
      </c>
      <c r="H336" s="58">
        <f>IF($G336="","",IF(ISNUMBER(FIND(" ",$G336)),$G336,IFERROR(IF((LEN(SUBSTITUTE(SUBSTITUTE($G336,"-"," ",LEN($G336)-LEN(SUBSTITUTE($G336,"-",""))),"-"," ",LEN($G336)-LEN(SUBSTITUTE($G336,"-",""))-1))-LEN(SUBSTITUTE(SUBSTITUTE(SUBSTITUTE($G336,"-"," ",LEN($G336)-LEN(SUBSTITUTE($G336,"-",""))),"-"," ",LEN($G336)-LEN(SUBSTITUTE($G336,"-",""))-1),".","")))=0,SUBSTITUTE(SUBSTITUTE($G336,"-"," ",LEN($G336)-LEN(SUBSTITUTE($G336,"-",""))),"-"," ",LEN($G336)-LEN(SUBSTITUTE($G336,"-",""))-1),SUBSTITUTE(SUBSTITUTE(SUBSTITUTE($G336,"-"," ",LEN($G336)-LEN(SUBSTITUTE($G336,"-",""))),"-"," ",LEN($G336)-LEN(SUBSTITUTE($G336,"-",""))-1),"."," ",(LEN(SUBSTITUTE(SUBSTITUTE($G336,"-"," ",LEN($G336)-LEN(SUBSTITUTE($G336,"-",""))),"-"," ",LEN($G336)-LEN(SUBSTITUTE($G336,"-",""))-1))-LEN(SUBSTITUTE(SUBSTITUTE(SUBSTITUTE($G336,"-"," ",LEN($G336)-LEN(SUBSTITUTE($G336,"-",""))),"-"," ",LEN($G336)-LEN(SUBSTITUTE($G336,"-",""))-1),".",""))))),$G336)))</f>
        <v/>
      </c>
    </row>
    <row r="337">
      <c r="A337" s="58" t="n"/>
      <c r="B337" s="58">
        <f>IF($H337="","",LEFT($H337,FIND(" ",$H337&amp;" ")-1))</f>
        <v/>
      </c>
      <c r="C337" s="58">
        <f>IF($H337="","",IFERROR(MID($H337&amp;" ",FIND("|",SUBSTITUTE($H337&amp;" "," ","|",1))+1,FIND("|",SUBSTITUTE($H337&amp;" "," ","|",2))-FIND("|",SUBSTITUTE($H337&amp;" "," ","|",1))-1),""))</f>
        <v/>
      </c>
      <c r="D337" s="58">
        <f>IF($H337="","",IFERROR(MID($H337&amp;" ",FIND("|",SUBSTITUTE($H337&amp;" "," ","|",2))+1,FIND("|",SUBSTITUTE($H337&amp;" "," ","|",3))-FIND("|",SUBSTITUTE($H337&amp;" "," ","|",2))-1),""))</f>
        <v/>
      </c>
      <c r="E337" s="58">
        <f>IF($H337="","",IFERROR(MID($H337&amp;" ",FIND("|",SUBSTITUTE($H337&amp;" "," ","|",3))+1,FIND("|",SUBSTITUTE($H337&amp;" "," ","|",4))-FIND("|",SUBSTITUTE($H337&amp;" "," ","|",3))-1),""))</f>
        <v/>
      </c>
      <c r="F337" s="59">
        <f>IF($H337="","",IFERROR(VALUE(IFERROR(MID($H337&amp;" ",FIND("|",SUBSTITUTE($H337&amp;" "," ","|",4))+1,FIND("|",SUBSTITUTE($H337&amp;" "," ","|",5))-FIND("|",SUBSTITUTE($H337&amp;" "," ","|",4))-1),""))/86400+25569+9/24,""))</f>
        <v/>
      </c>
      <c r="G337" s="58">
        <f>TRIM(SUBSTITUTE(SUBSTITUTE(SUBSTITUTE($A337,CHAR(9)," ")," "," "),CHAR(13),""))</f>
        <v/>
      </c>
      <c r="H337" s="58">
        <f>IF($G337="","",IF(ISNUMBER(FIND(" ",$G337)),$G337,IFERROR(IF((LEN(SUBSTITUTE(SUBSTITUTE($G337,"-"," ",LEN($G337)-LEN(SUBSTITUTE($G337,"-",""))),"-"," ",LEN($G337)-LEN(SUBSTITUTE($G337,"-",""))-1))-LEN(SUBSTITUTE(SUBSTITUTE(SUBSTITUTE($G337,"-"," ",LEN($G337)-LEN(SUBSTITUTE($G337,"-",""))),"-"," ",LEN($G337)-LEN(SUBSTITUTE($G337,"-",""))-1),".","")))=0,SUBSTITUTE(SUBSTITUTE($G337,"-"," ",LEN($G337)-LEN(SUBSTITUTE($G337,"-",""))),"-"," ",LEN($G337)-LEN(SUBSTITUTE($G337,"-",""))-1),SUBSTITUTE(SUBSTITUTE(SUBSTITUTE($G337,"-"," ",LEN($G337)-LEN(SUBSTITUTE($G337,"-",""))),"-"," ",LEN($G337)-LEN(SUBSTITUTE($G337,"-",""))-1),"."," ",(LEN(SUBSTITUTE(SUBSTITUTE($G337,"-"," ",LEN($G337)-LEN(SUBSTITUTE($G337,"-",""))),"-"," ",LEN($G337)-LEN(SUBSTITUTE($G337,"-",""))-1))-LEN(SUBSTITUTE(SUBSTITUTE(SUBSTITUTE($G337,"-"," ",LEN($G337)-LEN(SUBSTITUTE($G337,"-",""))),"-"," ",LEN($G337)-LEN(SUBSTITUTE($G337,"-",""))-1),".",""))))),$G337)))</f>
        <v/>
      </c>
    </row>
    <row r="338">
      <c r="A338" s="58" t="n"/>
      <c r="B338" s="58">
        <f>IF($H338="","",LEFT($H338,FIND(" ",$H338&amp;" ")-1))</f>
        <v/>
      </c>
      <c r="C338" s="58">
        <f>IF($H338="","",IFERROR(MID($H338&amp;" ",FIND("|",SUBSTITUTE($H338&amp;" "," ","|",1))+1,FIND("|",SUBSTITUTE($H338&amp;" "," ","|",2))-FIND("|",SUBSTITUTE($H338&amp;" "," ","|",1))-1),""))</f>
        <v/>
      </c>
      <c r="D338" s="58">
        <f>IF($H338="","",IFERROR(MID($H338&amp;" ",FIND("|",SUBSTITUTE($H338&amp;" "," ","|",2))+1,FIND("|",SUBSTITUTE($H338&amp;" "," ","|",3))-FIND("|",SUBSTITUTE($H338&amp;" "," ","|",2))-1),""))</f>
        <v/>
      </c>
      <c r="E338" s="58">
        <f>IF($H338="","",IFERROR(MID($H338&amp;" ",FIND("|",SUBSTITUTE($H338&amp;" "," ","|",3))+1,FIND("|",SUBSTITUTE($H338&amp;" "," ","|",4))-FIND("|",SUBSTITUTE($H338&amp;" "," ","|",3))-1),""))</f>
        <v/>
      </c>
      <c r="F338" s="59">
        <f>IF($H338="","",IFERROR(VALUE(IFERROR(MID($H338&amp;" ",FIND("|",SUBSTITUTE($H338&amp;" "," ","|",4))+1,FIND("|",SUBSTITUTE($H338&amp;" "," ","|",5))-FIND("|",SUBSTITUTE($H338&amp;" "," ","|",4))-1),""))/86400+25569+9/24,""))</f>
        <v/>
      </c>
      <c r="G338" s="58">
        <f>TRIM(SUBSTITUTE(SUBSTITUTE(SUBSTITUTE($A338,CHAR(9)," ")," "," "),CHAR(13),""))</f>
        <v/>
      </c>
      <c r="H338" s="58">
        <f>IF($G338="","",IF(ISNUMBER(FIND(" ",$G338)),$G338,IFERROR(IF((LEN(SUBSTITUTE(SUBSTITUTE($G338,"-"," ",LEN($G338)-LEN(SUBSTITUTE($G338,"-",""))),"-"," ",LEN($G338)-LEN(SUBSTITUTE($G338,"-",""))-1))-LEN(SUBSTITUTE(SUBSTITUTE(SUBSTITUTE($G338,"-"," ",LEN($G338)-LEN(SUBSTITUTE($G338,"-",""))),"-"," ",LEN($G338)-LEN(SUBSTITUTE($G338,"-",""))-1),".","")))=0,SUBSTITUTE(SUBSTITUTE($G338,"-"," ",LEN($G338)-LEN(SUBSTITUTE($G338,"-",""))),"-"," ",LEN($G338)-LEN(SUBSTITUTE($G338,"-",""))-1),SUBSTITUTE(SUBSTITUTE(SUBSTITUTE($G338,"-"," ",LEN($G338)-LEN(SUBSTITUTE($G338,"-",""))),"-"," ",LEN($G338)-LEN(SUBSTITUTE($G338,"-",""))-1),"."," ",(LEN(SUBSTITUTE(SUBSTITUTE($G338,"-"," ",LEN($G338)-LEN(SUBSTITUTE($G338,"-",""))),"-"," ",LEN($G338)-LEN(SUBSTITUTE($G338,"-",""))-1))-LEN(SUBSTITUTE(SUBSTITUTE(SUBSTITUTE($G338,"-"," ",LEN($G338)-LEN(SUBSTITUTE($G338,"-",""))),"-"," ",LEN($G338)-LEN(SUBSTITUTE($G338,"-",""))-1),".",""))))),$G338)))</f>
        <v/>
      </c>
    </row>
    <row r="339">
      <c r="A339" s="58" t="n"/>
      <c r="B339" s="58">
        <f>IF($H339="","",LEFT($H339,FIND(" ",$H339&amp;" ")-1))</f>
        <v/>
      </c>
      <c r="C339" s="58">
        <f>IF($H339="","",IFERROR(MID($H339&amp;" ",FIND("|",SUBSTITUTE($H339&amp;" "," ","|",1))+1,FIND("|",SUBSTITUTE($H339&amp;" "," ","|",2))-FIND("|",SUBSTITUTE($H339&amp;" "," ","|",1))-1),""))</f>
        <v/>
      </c>
      <c r="D339" s="58">
        <f>IF($H339="","",IFERROR(MID($H339&amp;" ",FIND("|",SUBSTITUTE($H339&amp;" "," ","|",2))+1,FIND("|",SUBSTITUTE($H339&amp;" "," ","|",3))-FIND("|",SUBSTITUTE($H339&amp;" "," ","|",2))-1),""))</f>
        <v/>
      </c>
      <c r="E339" s="58">
        <f>IF($H339="","",IFERROR(MID($H339&amp;" ",FIND("|",SUBSTITUTE($H339&amp;" "," ","|",3))+1,FIND("|",SUBSTITUTE($H339&amp;" "," ","|",4))-FIND("|",SUBSTITUTE($H339&amp;" "," ","|",3))-1),""))</f>
        <v/>
      </c>
      <c r="F339" s="59">
        <f>IF($H339="","",IFERROR(VALUE(IFERROR(MID($H339&amp;" ",FIND("|",SUBSTITUTE($H339&amp;" "," ","|",4))+1,FIND("|",SUBSTITUTE($H339&amp;" "," ","|",5))-FIND("|",SUBSTITUTE($H339&amp;" "," ","|",4))-1),""))/86400+25569+9/24,""))</f>
        <v/>
      </c>
      <c r="G339" s="58">
        <f>TRIM(SUBSTITUTE(SUBSTITUTE(SUBSTITUTE($A339,CHAR(9)," ")," "," "),CHAR(13),""))</f>
        <v/>
      </c>
      <c r="H339" s="58">
        <f>IF($G339="","",IF(ISNUMBER(FIND(" ",$G339)),$G339,IFERROR(IF((LEN(SUBSTITUTE(SUBSTITUTE($G339,"-"," ",LEN($G339)-LEN(SUBSTITUTE($G339,"-",""))),"-"," ",LEN($G339)-LEN(SUBSTITUTE($G339,"-",""))-1))-LEN(SUBSTITUTE(SUBSTITUTE(SUBSTITUTE($G339,"-"," ",LEN($G339)-LEN(SUBSTITUTE($G339,"-",""))),"-"," ",LEN($G339)-LEN(SUBSTITUTE($G339,"-",""))-1),".","")))=0,SUBSTITUTE(SUBSTITUTE($G339,"-"," ",LEN($G339)-LEN(SUBSTITUTE($G339,"-",""))),"-"," ",LEN($G339)-LEN(SUBSTITUTE($G339,"-",""))-1),SUBSTITUTE(SUBSTITUTE(SUBSTITUTE($G339,"-"," ",LEN($G339)-LEN(SUBSTITUTE($G339,"-",""))),"-"," ",LEN($G339)-LEN(SUBSTITUTE($G339,"-",""))-1),"."," ",(LEN(SUBSTITUTE(SUBSTITUTE($G339,"-"," ",LEN($G339)-LEN(SUBSTITUTE($G339,"-",""))),"-"," ",LEN($G339)-LEN(SUBSTITUTE($G339,"-",""))-1))-LEN(SUBSTITUTE(SUBSTITUTE(SUBSTITUTE($G339,"-"," ",LEN($G339)-LEN(SUBSTITUTE($G339,"-",""))),"-"," ",LEN($G339)-LEN(SUBSTITUTE($G339,"-",""))-1),".",""))))),$G339)))</f>
        <v/>
      </c>
    </row>
    <row r="340">
      <c r="A340" s="58" t="n"/>
      <c r="B340" s="58">
        <f>IF($H340="","",LEFT($H340,FIND(" ",$H340&amp;" ")-1))</f>
        <v/>
      </c>
      <c r="C340" s="58">
        <f>IF($H340="","",IFERROR(MID($H340&amp;" ",FIND("|",SUBSTITUTE($H340&amp;" "," ","|",1))+1,FIND("|",SUBSTITUTE($H340&amp;" "," ","|",2))-FIND("|",SUBSTITUTE($H340&amp;" "," ","|",1))-1),""))</f>
        <v/>
      </c>
      <c r="D340" s="58">
        <f>IF($H340="","",IFERROR(MID($H340&amp;" ",FIND("|",SUBSTITUTE($H340&amp;" "," ","|",2))+1,FIND("|",SUBSTITUTE($H340&amp;" "," ","|",3))-FIND("|",SUBSTITUTE($H340&amp;" "," ","|",2))-1),""))</f>
        <v/>
      </c>
      <c r="E340" s="58">
        <f>IF($H340="","",IFERROR(MID($H340&amp;" ",FIND("|",SUBSTITUTE($H340&amp;" "," ","|",3))+1,FIND("|",SUBSTITUTE($H340&amp;" "," ","|",4))-FIND("|",SUBSTITUTE($H340&amp;" "," ","|",3))-1),""))</f>
        <v/>
      </c>
      <c r="F340" s="59">
        <f>IF($H340="","",IFERROR(VALUE(IFERROR(MID($H340&amp;" ",FIND("|",SUBSTITUTE($H340&amp;" "," ","|",4))+1,FIND("|",SUBSTITUTE($H340&amp;" "," ","|",5))-FIND("|",SUBSTITUTE($H340&amp;" "," ","|",4))-1),""))/86400+25569+9/24,""))</f>
        <v/>
      </c>
      <c r="G340" s="58">
        <f>TRIM(SUBSTITUTE(SUBSTITUTE(SUBSTITUTE($A340,CHAR(9)," ")," "," "),CHAR(13),""))</f>
        <v/>
      </c>
      <c r="H340" s="58">
        <f>IF($G340="","",IF(ISNUMBER(FIND(" ",$G340)),$G340,IFERROR(IF((LEN(SUBSTITUTE(SUBSTITUTE($G340,"-"," ",LEN($G340)-LEN(SUBSTITUTE($G340,"-",""))),"-"," ",LEN($G340)-LEN(SUBSTITUTE($G340,"-",""))-1))-LEN(SUBSTITUTE(SUBSTITUTE(SUBSTITUTE($G340,"-"," ",LEN($G340)-LEN(SUBSTITUTE($G340,"-",""))),"-"," ",LEN($G340)-LEN(SUBSTITUTE($G340,"-",""))-1),".","")))=0,SUBSTITUTE(SUBSTITUTE($G340,"-"," ",LEN($G340)-LEN(SUBSTITUTE($G340,"-",""))),"-"," ",LEN($G340)-LEN(SUBSTITUTE($G340,"-",""))-1),SUBSTITUTE(SUBSTITUTE(SUBSTITUTE($G340,"-"," ",LEN($G340)-LEN(SUBSTITUTE($G340,"-",""))),"-"," ",LEN($G340)-LEN(SUBSTITUTE($G340,"-",""))-1),"."," ",(LEN(SUBSTITUTE(SUBSTITUTE($G340,"-"," ",LEN($G340)-LEN(SUBSTITUTE($G340,"-",""))),"-"," ",LEN($G340)-LEN(SUBSTITUTE($G340,"-",""))-1))-LEN(SUBSTITUTE(SUBSTITUTE(SUBSTITUTE($G340,"-"," ",LEN($G340)-LEN(SUBSTITUTE($G340,"-",""))),"-"," ",LEN($G340)-LEN(SUBSTITUTE($G340,"-",""))-1),".",""))))),$G340)))</f>
        <v/>
      </c>
    </row>
    <row r="341">
      <c r="A341" s="58" t="n"/>
      <c r="B341" s="58">
        <f>IF($H341="","",LEFT($H341,FIND(" ",$H341&amp;" ")-1))</f>
        <v/>
      </c>
      <c r="C341" s="58">
        <f>IF($H341="","",IFERROR(MID($H341&amp;" ",FIND("|",SUBSTITUTE($H341&amp;" "," ","|",1))+1,FIND("|",SUBSTITUTE($H341&amp;" "," ","|",2))-FIND("|",SUBSTITUTE($H341&amp;" "," ","|",1))-1),""))</f>
        <v/>
      </c>
      <c r="D341" s="58">
        <f>IF($H341="","",IFERROR(MID($H341&amp;" ",FIND("|",SUBSTITUTE($H341&amp;" "," ","|",2))+1,FIND("|",SUBSTITUTE($H341&amp;" "," ","|",3))-FIND("|",SUBSTITUTE($H341&amp;" "," ","|",2))-1),""))</f>
        <v/>
      </c>
      <c r="E341" s="58">
        <f>IF($H341="","",IFERROR(MID($H341&amp;" ",FIND("|",SUBSTITUTE($H341&amp;" "," ","|",3))+1,FIND("|",SUBSTITUTE($H341&amp;" "," ","|",4))-FIND("|",SUBSTITUTE($H341&amp;" "," ","|",3))-1),""))</f>
        <v/>
      </c>
      <c r="F341" s="59">
        <f>IF($H341="","",IFERROR(VALUE(IFERROR(MID($H341&amp;" ",FIND("|",SUBSTITUTE($H341&amp;" "," ","|",4))+1,FIND("|",SUBSTITUTE($H341&amp;" "," ","|",5))-FIND("|",SUBSTITUTE($H341&amp;" "," ","|",4))-1),""))/86400+25569+9/24,""))</f>
        <v/>
      </c>
      <c r="G341" s="58">
        <f>TRIM(SUBSTITUTE(SUBSTITUTE(SUBSTITUTE($A341,CHAR(9)," ")," "," "),CHAR(13),""))</f>
        <v/>
      </c>
      <c r="H341" s="58">
        <f>IF($G341="","",IF(ISNUMBER(FIND(" ",$G341)),$G341,IFERROR(IF((LEN(SUBSTITUTE(SUBSTITUTE($G341,"-"," ",LEN($G341)-LEN(SUBSTITUTE($G341,"-",""))),"-"," ",LEN($G341)-LEN(SUBSTITUTE($G341,"-",""))-1))-LEN(SUBSTITUTE(SUBSTITUTE(SUBSTITUTE($G341,"-"," ",LEN($G341)-LEN(SUBSTITUTE($G341,"-",""))),"-"," ",LEN($G341)-LEN(SUBSTITUTE($G341,"-",""))-1),".","")))=0,SUBSTITUTE(SUBSTITUTE($G341,"-"," ",LEN($G341)-LEN(SUBSTITUTE($G341,"-",""))),"-"," ",LEN($G341)-LEN(SUBSTITUTE($G341,"-",""))-1),SUBSTITUTE(SUBSTITUTE(SUBSTITUTE($G341,"-"," ",LEN($G341)-LEN(SUBSTITUTE($G341,"-",""))),"-"," ",LEN($G341)-LEN(SUBSTITUTE($G341,"-",""))-1),"."," ",(LEN(SUBSTITUTE(SUBSTITUTE($G341,"-"," ",LEN($G341)-LEN(SUBSTITUTE($G341,"-",""))),"-"," ",LEN($G341)-LEN(SUBSTITUTE($G341,"-",""))-1))-LEN(SUBSTITUTE(SUBSTITUTE(SUBSTITUTE($G341,"-"," ",LEN($G341)-LEN(SUBSTITUTE($G341,"-",""))),"-"," ",LEN($G341)-LEN(SUBSTITUTE($G341,"-",""))-1),".",""))))),$G341)))</f>
        <v/>
      </c>
    </row>
    <row r="342">
      <c r="A342" s="58" t="n"/>
      <c r="B342" s="58">
        <f>IF($H342="","",LEFT($H342,FIND(" ",$H342&amp;" ")-1))</f>
        <v/>
      </c>
      <c r="C342" s="58">
        <f>IF($H342="","",IFERROR(MID($H342&amp;" ",FIND("|",SUBSTITUTE($H342&amp;" "," ","|",1))+1,FIND("|",SUBSTITUTE($H342&amp;" "," ","|",2))-FIND("|",SUBSTITUTE($H342&amp;" "," ","|",1))-1),""))</f>
        <v/>
      </c>
      <c r="D342" s="58">
        <f>IF($H342="","",IFERROR(MID($H342&amp;" ",FIND("|",SUBSTITUTE($H342&amp;" "," ","|",2))+1,FIND("|",SUBSTITUTE($H342&amp;" "," ","|",3))-FIND("|",SUBSTITUTE($H342&amp;" "," ","|",2))-1),""))</f>
        <v/>
      </c>
      <c r="E342" s="58">
        <f>IF($H342="","",IFERROR(MID($H342&amp;" ",FIND("|",SUBSTITUTE($H342&amp;" "," ","|",3))+1,FIND("|",SUBSTITUTE($H342&amp;" "," ","|",4))-FIND("|",SUBSTITUTE($H342&amp;" "," ","|",3))-1),""))</f>
        <v/>
      </c>
      <c r="F342" s="59">
        <f>IF($H342="","",IFERROR(VALUE(IFERROR(MID($H342&amp;" ",FIND("|",SUBSTITUTE($H342&amp;" "," ","|",4))+1,FIND("|",SUBSTITUTE($H342&amp;" "," ","|",5))-FIND("|",SUBSTITUTE($H342&amp;" "," ","|",4))-1),""))/86400+25569+9/24,""))</f>
        <v/>
      </c>
      <c r="G342" s="58">
        <f>TRIM(SUBSTITUTE(SUBSTITUTE(SUBSTITUTE($A342,CHAR(9)," ")," "," "),CHAR(13),""))</f>
        <v/>
      </c>
      <c r="H342" s="58">
        <f>IF($G342="","",IF(ISNUMBER(FIND(" ",$G342)),$G342,IFERROR(IF((LEN(SUBSTITUTE(SUBSTITUTE($G342,"-"," ",LEN($G342)-LEN(SUBSTITUTE($G342,"-",""))),"-"," ",LEN($G342)-LEN(SUBSTITUTE($G342,"-",""))-1))-LEN(SUBSTITUTE(SUBSTITUTE(SUBSTITUTE($G342,"-"," ",LEN($G342)-LEN(SUBSTITUTE($G342,"-",""))),"-"," ",LEN($G342)-LEN(SUBSTITUTE($G342,"-",""))-1),".","")))=0,SUBSTITUTE(SUBSTITUTE($G342,"-"," ",LEN($G342)-LEN(SUBSTITUTE($G342,"-",""))),"-"," ",LEN($G342)-LEN(SUBSTITUTE($G342,"-",""))-1),SUBSTITUTE(SUBSTITUTE(SUBSTITUTE($G342,"-"," ",LEN($G342)-LEN(SUBSTITUTE($G342,"-",""))),"-"," ",LEN($G342)-LEN(SUBSTITUTE($G342,"-",""))-1),"."," ",(LEN(SUBSTITUTE(SUBSTITUTE($G342,"-"," ",LEN($G342)-LEN(SUBSTITUTE($G342,"-",""))),"-"," ",LEN($G342)-LEN(SUBSTITUTE($G342,"-",""))-1))-LEN(SUBSTITUTE(SUBSTITUTE(SUBSTITUTE($G342,"-"," ",LEN($G342)-LEN(SUBSTITUTE($G342,"-",""))),"-"," ",LEN($G342)-LEN(SUBSTITUTE($G342,"-",""))-1),".",""))))),$G342)))</f>
        <v/>
      </c>
    </row>
    <row r="343">
      <c r="A343" s="58" t="n"/>
      <c r="B343" s="58">
        <f>IF($H343="","",LEFT($H343,FIND(" ",$H343&amp;" ")-1))</f>
        <v/>
      </c>
      <c r="C343" s="58">
        <f>IF($H343="","",IFERROR(MID($H343&amp;" ",FIND("|",SUBSTITUTE($H343&amp;" "," ","|",1))+1,FIND("|",SUBSTITUTE($H343&amp;" "," ","|",2))-FIND("|",SUBSTITUTE($H343&amp;" "," ","|",1))-1),""))</f>
        <v/>
      </c>
      <c r="D343" s="58">
        <f>IF($H343="","",IFERROR(MID($H343&amp;" ",FIND("|",SUBSTITUTE($H343&amp;" "," ","|",2))+1,FIND("|",SUBSTITUTE($H343&amp;" "," ","|",3))-FIND("|",SUBSTITUTE($H343&amp;" "," ","|",2))-1),""))</f>
        <v/>
      </c>
      <c r="E343" s="58">
        <f>IF($H343="","",IFERROR(MID($H343&amp;" ",FIND("|",SUBSTITUTE($H343&amp;" "," ","|",3))+1,FIND("|",SUBSTITUTE($H343&amp;" "," ","|",4))-FIND("|",SUBSTITUTE($H343&amp;" "," ","|",3))-1),""))</f>
        <v/>
      </c>
      <c r="F343" s="59">
        <f>IF($H343="","",IFERROR(VALUE(IFERROR(MID($H343&amp;" ",FIND("|",SUBSTITUTE($H343&amp;" "," ","|",4))+1,FIND("|",SUBSTITUTE($H343&amp;" "," ","|",5))-FIND("|",SUBSTITUTE($H343&amp;" "," ","|",4))-1),""))/86400+25569+9/24,""))</f>
        <v/>
      </c>
      <c r="G343" s="58">
        <f>TRIM(SUBSTITUTE(SUBSTITUTE(SUBSTITUTE($A343,CHAR(9)," ")," "," "),CHAR(13),""))</f>
        <v/>
      </c>
      <c r="H343" s="58">
        <f>IF($G343="","",IF(ISNUMBER(FIND(" ",$G343)),$G343,IFERROR(IF((LEN(SUBSTITUTE(SUBSTITUTE($G343,"-"," ",LEN($G343)-LEN(SUBSTITUTE($G343,"-",""))),"-"," ",LEN($G343)-LEN(SUBSTITUTE($G343,"-",""))-1))-LEN(SUBSTITUTE(SUBSTITUTE(SUBSTITUTE($G343,"-"," ",LEN($G343)-LEN(SUBSTITUTE($G343,"-",""))),"-"," ",LEN($G343)-LEN(SUBSTITUTE($G343,"-",""))-1),".","")))=0,SUBSTITUTE(SUBSTITUTE($G343,"-"," ",LEN($G343)-LEN(SUBSTITUTE($G343,"-",""))),"-"," ",LEN($G343)-LEN(SUBSTITUTE($G343,"-",""))-1),SUBSTITUTE(SUBSTITUTE(SUBSTITUTE($G343,"-"," ",LEN($G343)-LEN(SUBSTITUTE($G343,"-",""))),"-"," ",LEN($G343)-LEN(SUBSTITUTE($G343,"-",""))-1),"."," ",(LEN(SUBSTITUTE(SUBSTITUTE($G343,"-"," ",LEN($G343)-LEN(SUBSTITUTE($G343,"-",""))),"-"," ",LEN($G343)-LEN(SUBSTITUTE($G343,"-",""))-1))-LEN(SUBSTITUTE(SUBSTITUTE(SUBSTITUTE($G343,"-"," ",LEN($G343)-LEN(SUBSTITUTE($G343,"-",""))),"-"," ",LEN($G343)-LEN(SUBSTITUTE($G343,"-",""))-1),".",""))))),$G343)))</f>
        <v/>
      </c>
    </row>
    <row r="344">
      <c r="A344" s="58" t="n"/>
      <c r="B344" s="58">
        <f>IF($H344="","",LEFT($H344,FIND(" ",$H344&amp;" ")-1))</f>
        <v/>
      </c>
      <c r="C344" s="58">
        <f>IF($H344="","",IFERROR(MID($H344&amp;" ",FIND("|",SUBSTITUTE($H344&amp;" "," ","|",1))+1,FIND("|",SUBSTITUTE($H344&amp;" "," ","|",2))-FIND("|",SUBSTITUTE($H344&amp;" "," ","|",1))-1),""))</f>
        <v/>
      </c>
      <c r="D344" s="58">
        <f>IF($H344="","",IFERROR(MID($H344&amp;" ",FIND("|",SUBSTITUTE($H344&amp;" "," ","|",2))+1,FIND("|",SUBSTITUTE($H344&amp;" "," ","|",3))-FIND("|",SUBSTITUTE($H344&amp;" "," ","|",2))-1),""))</f>
        <v/>
      </c>
      <c r="E344" s="58">
        <f>IF($H344="","",IFERROR(MID($H344&amp;" ",FIND("|",SUBSTITUTE($H344&amp;" "," ","|",3))+1,FIND("|",SUBSTITUTE($H344&amp;" "," ","|",4))-FIND("|",SUBSTITUTE($H344&amp;" "," ","|",3))-1),""))</f>
        <v/>
      </c>
      <c r="F344" s="59">
        <f>IF($H344="","",IFERROR(VALUE(IFERROR(MID($H344&amp;" ",FIND("|",SUBSTITUTE($H344&amp;" "," ","|",4))+1,FIND("|",SUBSTITUTE($H344&amp;" "," ","|",5))-FIND("|",SUBSTITUTE($H344&amp;" "," ","|",4))-1),""))/86400+25569+9/24,""))</f>
        <v/>
      </c>
      <c r="G344" s="58">
        <f>TRIM(SUBSTITUTE(SUBSTITUTE(SUBSTITUTE($A344,CHAR(9)," ")," "," "),CHAR(13),""))</f>
        <v/>
      </c>
      <c r="H344" s="58">
        <f>IF($G344="","",IF(ISNUMBER(FIND(" ",$G344)),$G344,IFERROR(IF((LEN(SUBSTITUTE(SUBSTITUTE($G344,"-"," ",LEN($G344)-LEN(SUBSTITUTE($G344,"-",""))),"-"," ",LEN($G344)-LEN(SUBSTITUTE($G344,"-",""))-1))-LEN(SUBSTITUTE(SUBSTITUTE(SUBSTITUTE($G344,"-"," ",LEN($G344)-LEN(SUBSTITUTE($G344,"-",""))),"-"," ",LEN($G344)-LEN(SUBSTITUTE($G344,"-",""))-1),".","")))=0,SUBSTITUTE(SUBSTITUTE($G344,"-"," ",LEN($G344)-LEN(SUBSTITUTE($G344,"-",""))),"-"," ",LEN($G344)-LEN(SUBSTITUTE($G344,"-",""))-1),SUBSTITUTE(SUBSTITUTE(SUBSTITUTE($G344,"-"," ",LEN($G344)-LEN(SUBSTITUTE($G344,"-",""))),"-"," ",LEN($G344)-LEN(SUBSTITUTE($G344,"-",""))-1),"."," ",(LEN(SUBSTITUTE(SUBSTITUTE($G344,"-"," ",LEN($G344)-LEN(SUBSTITUTE($G344,"-",""))),"-"," ",LEN($G344)-LEN(SUBSTITUTE($G344,"-",""))-1))-LEN(SUBSTITUTE(SUBSTITUTE(SUBSTITUTE($G344,"-"," ",LEN($G344)-LEN(SUBSTITUTE($G344,"-",""))),"-"," ",LEN($G344)-LEN(SUBSTITUTE($G344,"-",""))-1),".",""))))),$G344)))</f>
        <v/>
      </c>
    </row>
    <row r="345">
      <c r="A345" s="58" t="n"/>
      <c r="B345" s="58">
        <f>IF($H345="","",LEFT($H345,FIND(" ",$H345&amp;" ")-1))</f>
        <v/>
      </c>
      <c r="C345" s="58">
        <f>IF($H345="","",IFERROR(MID($H345&amp;" ",FIND("|",SUBSTITUTE($H345&amp;" "," ","|",1))+1,FIND("|",SUBSTITUTE($H345&amp;" "," ","|",2))-FIND("|",SUBSTITUTE($H345&amp;" "," ","|",1))-1),""))</f>
        <v/>
      </c>
      <c r="D345" s="58">
        <f>IF($H345="","",IFERROR(MID($H345&amp;" ",FIND("|",SUBSTITUTE($H345&amp;" "," ","|",2))+1,FIND("|",SUBSTITUTE($H345&amp;" "," ","|",3))-FIND("|",SUBSTITUTE($H345&amp;" "," ","|",2))-1),""))</f>
        <v/>
      </c>
      <c r="E345" s="58">
        <f>IF($H345="","",IFERROR(MID($H345&amp;" ",FIND("|",SUBSTITUTE($H345&amp;" "," ","|",3))+1,FIND("|",SUBSTITUTE($H345&amp;" "," ","|",4))-FIND("|",SUBSTITUTE($H345&amp;" "," ","|",3))-1),""))</f>
        <v/>
      </c>
      <c r="F345" s="59">
        <f>IF($H345="","",IFERROR(VALUE(IFERROR(MID($H345&amp;" ",FIND("|",SUBSTITUTE($H345&amp;" "," ","|",4))+1,FIND("|",SUBSTITUTE($H345&amp;" "," ","|",5))-FIND("|",SUBSTITUTE($H345&amp;" "," ","|",4))-1),""))/86400+25569+9/24,""))</f>
        <v/>
      </c>
      <c r="G345" s="58">
        <f>TRIM(SUBSTITUTE(SUBSTITUTE(SUBSTITUTE($A345,CHAR(9)," ")," "," "),CHAR(13),""))</f>
        <v/>
      </c>
      <c r="H345" s="58">
        <f>IF($G345="","",IF(ISNUMBER(FIND(" ",$G345)),$G345,IFERROR(IF((LEN(SUBSTITUTE(SUBSTITUTE($G345,"-"," ",LEN($G345)-LEN(SUBSTITUTE($G345,"-",""))),"-"," ",LEN($G345)-LEN(SUBSTITUTE($G345,"-",""))-1))-LEN(SUBSTITUTE(SUBSTITUTE(SUBSTITUTE($G345,"-"," ",LEN($G345)-LEN(SUBSTITUTE($G345,"-",""))),"-"," ",LEN($G345)-LEN(SUBSTITUTE($G345,"-",""))-1),".","")))=0,SUBSTITUTE(SUBSTITUTE($G345,"-"," ",LEN($G345)-LEN(SUBSTITUTE($G345,"-",""))),"-"," ",LEN($G345)-LEN(SUBSTITUTE($G345,"-",""))-1),SUBSTITUTE(SUBSTITUTE(SUBSTITUTE($G345,"-"," ",LEN($G345)-LEN(SUBSTITUTE($G345,"-",""))),"-"," ",LEN($G345)-LEN(SUBSTITUTE($G345,"-",""))-1),"."," ",(LEN(SUBSTITUTE(SUBSTITUTE($G345,"-"," ",LEN($G345)-LEN(SUBSTITUTE($G345,"-",""))),"-"," ",LEN($G345)-LEN(SUBSTITUTE($G345,"-",""))-1))-LEN(SUBSTITUTE(SUBSTITUTE(SUBSTITUTE($G345,"-"," ",LEN($G345)-LEN(SUBSTITUTE($G345,"-",""))),"-"," ",LEN($G345)-LEN(SUBSTITUTE($G345,"-",""))-1),".",""))))),$G345)))</f>
        <v/>
      </c>
    </row>
    <row r="346">
      <c r="A346" s="58" t="n"/>
      <c r="B346" s="58">
        <f>IF($H346="","",LEFT($H346,FIND(" ",$H346&amp;" ")-1))</f>
        <v/>
      </c>
      <c r="C346" s="58">
        <f>IF($H346="","",IFERROR(MID($H346&amp;" ",FIND("|",SUBSTITUTE($H346&amp;" "," ","|",1))+1,FIND("|",SUBSTITUTE($H346&amp;" "," ","|",2))-FIND("|",SUBSTITUTE($H346&amp;" "," ","|",1))-1),""))</f>
        <v/>
      </c>
      <c r="D346" s="58">
        <f>IF($H346="","",IFERROR(MID($H346&amp;" ",FIND("|",SUBSTITUTE($H346&amp;" "," ","|",2))+1,FIND("|",SUBSTITUTE($H346&amp;" "," ","|",3))-FIND("|",SUBSTITUTE($H346&amp;" "," ","|",2))-1),""))</f>
        <v/>
      </c>
      <c r="E346" s="58">
        <f>IF($H346="","",IFERROR(MID($H346&amp;" ",FIND("|",SUBSTITUTE($H346&amp;" "," ","|",3))+1,FIND("|",SUBSTITUTE($H346&amp;" "," ","|",4))-FIND("|",SUBSTITUTE($H346&amp;" "," ","|",3))-1),""))</f>
        <v/>
      </c>
      <c r="F346" s="59">
        <f>IF($H346="","",IFERROR(VALUE(IFERROR(MID($H346&amp;" ",FIND("|",SUBSTITUTE($H346&amp;" "," ","|",4))+1,FIND("|",SUBSTITUTE($H346&amp;" "," ","|",5))-FIND("|",SUBSTITUTE($H346&amp;" "," ","|",4))-1),""))/86400+25569+9/24,""))</f>
        <v/>
      </c>
      <c r="G346" s="58">
        <f>TRIM(SUBSTITUTE(SUBSTITUTE(SUBSTITUTE($A346,CHAR(9)," ")," "," "),CHAR(13),""))</f>
        <v/>
      </c>
      <c r="H346" s="58">
        <f>IF($G346="","",IF(ISNUMBER(FIND(" ",$G346)),$G346,IFERROR(IF((LEN(SUBSTITUTE(SUBSTITUTE($G346,"-"," ",LEN($G346)-LEN(SUBSTITUTE($G346,"-",""))),"-"," ",LEN($G346)-LEN(SUBSTITUTE($G346,"-",""))-1))-LEN(SUBSTITUTE(SUBSTITUTE(SUBSTITUTE($G346,"-"," ",LEN($G346)-LEN(SUBSTITUTE($G346,"-",""))),"-"," ",LEN($G346)-LEN(SUBSTITUTE($G346,"-",""))-1),".","")))=0,SUBSTITUTE(SUBSTITUTE($G346,"-"," ",LEN($G346)-LEN(SUBSTITUTE($G346,"-",""))),"-"," ",LEN($G346)-LEN(SUBSTITUTE($G346,"-",""))-1),SUBSTITUTE(SUBSTITUTE(SUBSTITUTE($G346,"-"," ",LEN($G346)-LEN(SUBSTITUTE($G346,"-",""))),"-"," ",LEN($G346)-LEN(SUBSTITUTE($G346,"-",""))-1),"."," ",(LEN(SUBSTITUTE(SUBSTITUTE($G346,"-"," ",LEN($G346)-LEN(SUBSTITUTE($G346,"-",""))),"-"," ",LEN($G346)-LEN(SUBSTITUTE($G346,"-",""))-1))-LEN(SUBSTITUTE(SUBSTITUTE(SUBSTITUTE($G346,"-"," ",LEN($G346)-LEN(SUBSTITUTE($G346,"-",""))),"-"," ",LEN($G346)-LEN(SUBSTITUTE($G346,"-",""))-1),".",""))))),$G346)))</f>
        <v/>
      </c>
    </row>
    <row r="347">
      <c r="A347" s="58" t="n"/>
      <c r="B347" s="58">
        <f>IF($H347="","",LEFT($H347,FIND(" ",$H347&amp;" ")-1))</f>
        <v/>
      </c>
      <c r="C347" s="58">
        <f>IF($H347="","",IFERROR(MID($H347&amp;" ",FIND("|",SUBSTITUTE($H347&amp;" "," ","|",1))+1,FIND("|",SUBSTITUTE($H347&amp;" "," ","|",2))-FIND("|",SUBSTITUTE($H347&amp;" "," ","|",1))-1),""))</f>
        <v/>
      </c>
      <c r="D347" s="58">
        <f>IF($H347="","",IFERROR(MID($H347&amp;" ",FIND("|",SUBSTITUTE($H347&amp;" "," ","|",2))+1,FIND("|",SUBSTITUTE($H347&amp;" "," ","|",3))-FIND("|",SUBSTITUTE($H347&amp;" "," ","|",2))-1),""))</f>
        <v/>
      </c>
      <c r="E347" s="58">
        <f>IF($H347="","",IFERROR(MID($H347&amp;" ",FIND("|",SUBSTITUTE($H347&amp;" "," ","|",3))+1,FIND("|",SUBSTITUTE($H347&amp;" "," ","|",4))-FIND("|",SUBSTITUTE($H347&amp;" "," ","|",3))-1),""))</f>
        <v/>
      </c>
      <c r="F347" s="59">
        <f>IF($H347="","",IFERROR(VALUE(IFERROR(MID($H347&amp;" ",FIND("|",SUBSTITUTE($H347&amp;" "," ","|",4))+1,FIND("|",SUBSTITUTE($H347&amp;" "," ","|",5))-FIND("|",SUBSTITUTE($H347&amp;" "," ","|",4))-1),""))/86400+25569+9/24,""))</f>
        <v/>
      </c>
      <c r="G347" s="58">
        <f>TRIM(SUBSTITUTE(SUBSTITUTE(SUBSTITUTE($A347,CHAR(9)," ")," "," "),CHAR(13),""))</f>
        <v/>
      </c>
      <c r="H347" s="58">
        <f>IF($G347="","",IF(ISNUMBER(FIND(" ",$G347)),$G347,IFERROR(IF((LEN(SUBSTITUTE(SUBSTITUTE($G347,"-"," ",LEN($G347)-LEN(SUBSTITUTE($G347,"-",""))),"-"," ",LEN($G347)-LEN(SUBSTITUTE($G347,"-",""))-1))-LEN(SUBSTITUTE(SUBSTITUTE(SUBSTITUTE($G347,"-"," ",LEN($G347)-LEN(SUBSTITUTE($G347,"-",""))),"-"," ",LEN($G347)-LEN(SUBSTITUTE($G347,"-",""))-1),".","")))=0,SUBSTITUTE(SUBSTITUTE($G347,"-"," ",LEN($G347)-LEN(SUBSTITUTE($G347,"-",""))),"-"," ",LEN($G347)-LEN(SUBSTITUTE($G347,"-",""))-1),SUBSTITUTE(SUBSTITUTE(SUBSTITUTE($G347,"-"," ",LEN($G347)-LEN(SUBSTITUTE($G347,"-",""))),"-"," ",LEN($G347)-LEN(SUBSTITUTE($G347,"-",""))-1),"."," ",(LEN(SUBSTITUTE(SUBSTITUTE($G347,"-"," ",LEN($G347)-LEN(SUBSTITUTE($G347,"-",""))),"-"," ",LEN($G347)-LEN(SUBSTITUTE($G347,"-",""))-1))-LEN(SUBSTITUTE(SUBSTITUTE(SUBSTITUTE($G347,"-"," ",LEN($G347)-LEN(SUBSTITUTE($G347,"-",""))),"-"," ",LEN($G347)-LEN(SUBSTITUTE($G347,"-",""))-1),".",""))))),$G347)))</f>
        <v/>
      </c>
    </row>
    <row r="348">
      <c r="A348" s="58" t="n"/>
      <c r="B348" s="58">
        <f>IF($H348="","",LEFT($H348,FIND(" ",$H348&amp;" ")-1))</f>
        <v/>
      </c>
      <c r="C348" s="58">
        <f>IF($H348="","",IFERROR(MID($H348&amp;" ",FIND("|",SUBSTITUTE($H348&amp;" "," ","|",1))+1,FIND("|",SUBSTITUTE($H348&amp;" "," ","|",2))-FIND("|",SUBSTITUTE($H348&amp;" "," ","|",1))-1),""))</f>
        <v/>
      </c>
      <c r="D348" s="58">
        <f>IF($H348="","",IFERROR(MID($H348&amp;" ",FIND("|",SUBSTITUTE($H348&amp;" "," ","|",2))+1,FIND("|",SUBSTITUTE($H348&amp;" "," ","|",3))-FIND("|",SUBSTITUTE($H348&amp;" "," ","|",2))-1),""))</f>
        <v/>
      </c>
      <c r="E348" s="58">
        <f>IF($H348="","",IFERROR(MID($H348&amp;" ",FIND("|",SUBSTITUTE($H348&amp;" "," ","|",3))+1,FIND("|",SUBSTITUTE($H348&amp;" "," ","|",4))-FIND("|",SUBSTITUTE($H348&amp;" "," ","|",3))-1),""))</f>
        <v/>
      </c>
      <c r="F348" s="59">
        <f>IF($H348="","",IFERROR(VALUE(IFERROR(MID($H348&amp;" ",FIND("|",SUBSTITUTE($H348&amp;" "," ","|",4))+1,FIND("|",SUBSTITUTE($H348&amp;" "," ","|",5))-FIND("|",SUBSTITUTE($H348&amp;" "," ","|",4))-1),""))/86400+25569+9/24,""))</f>
        <v/>
      </c>
      <c r="G348" s="58">
        <f>TRIM(SUBSTITUTE(SUBSTITUTE(SUBSTITUTE($A348,CHAR(9)," ")," "," "),CHAR(13),""))</f>
        <v/>
      </c>
      <c r="H348" s="58">
        <f>IF($G348="","",IF(ISNUMBER(FIND(" ",$G348)),$G348,IFERROR(IF((LEN(SUBSTITUTE(SUBSTITUTE($G348,"-"," ",LEN($G348)-LEN(SUBSTITUTE($G348,"-",""))),"-"," ",LEN($G348)-LEN(SUBSTITUTE($G348,"-",""))-1))-LEN(SUBSTITUTE(SUBSTITUTE(SUBSTITUTE($G348,"-"," ",LEN($G348)-LEN(SUBSTITUTE($G348,"-",""))),"-"," ",LEN($G348)-LEN(SUBSTITUTE($G348,"-",""))-1),".","")))=0,SUBSTITUTE(SUBSTITUTE($G348,"-"," ",LEN($G348)-LEN(SUBSTITUTE($G348,"-",""))),"-"," ",LEN($G348)-LEN(SUBSTITUTE($G348,"-",""))-1),SUBSTITUTE(SUBSTITUTE(SUBSTITUTE($G348,"-"," ",LEN($G348)-LEN(SUBSTITUTE($G348,"-",""))),"-"," ",LEN($G348)-LEN(SUBSTITUTE($G348,"-",""))-1),"."," ",(LEN(SUBSTITUTE(SUBSTITUTE($G348,"-"," ",LEN($G348)-LEN(SUBSTITUTE($G348,"-",""))),"-"," ",LEN($G348)-LEN(SUBSTITUTE($G348,"-",""))-1))-LEN(SUBSTITUTE(SUBSTITUTE(SUBSTITUTE($G348,"-"," ",LEN($G348)-LEN(SUBSTITUTE($G348,"-",""))),"-"," ",LEN($G348)-LEN(SUBSTITUTE($G348,"-",""))-1),".",""))))),$G348)))</f>
        <v/>
      </c>
    </row>
    <row r="349">
      <c r="A349" s="58" t="n"/>
      <c r="B349" s="58">
        <f>IF($H349="","",LEFT($H349,FIND(" ",$H349&amp;" ")-1))</f>
        <v/>
      </c>
      <c r="C349" s="58">
        <f>IF($H349="","",IFERROR(MID($H349&amp;" ",FIND("|",SUBSTITUTE($H349&amp;" "," ","|",1))+1,FIND("|",SUBSTITUTE($H349&amp;" "," ","|",2))-FIND("|",SUBSTITUTE($H349&amp;" "," ","|",1))-1),""))</f>
        <v/>
      </c>
      <c r="D349" s="58">
        <f>IF($H349="","",IFERROR(MID($H349&amp;" ",FIND("|",SUBSTITUTE($H349&amp;" "," ","|",2))+1,FIND("|",SUBSTITUTE($H349&amp;" "," ","|",3))-FIND("|",SUBSTITUTE($H349&amp;" "," ","|",2))-1),""))</f>
        <v/>
      </c>
      <c r="E349" s="58">
        <f>IF($H349="","",IFERROR(MID($H349&amp;" ",FIND("|",SUBSTITUTE($H349&amp;" "," ","|",3))+1,FIND("|",SUBSTITUTE($H349&amp;" "," ","|",4))-FIND("|",SUBSTITUTE($H349&amp;" "," ","|",3))-1),""))</f>
        <v/>
      </c>
      <c r="F349" s="59">
        <f>IF($H349="","",IFERROR(VALUE(IFERROR(MID($H349&amp;" ",FIND("|",SUBSTITUTE($H349&amp;" "," ","|",4))+1,FIND("|",SUBSTITUTE($H349&amp;" "," ","|",5))-FIND("|",SUBSTITUTE($H349&amp;" "," ","|",4))-1),""))/86400+25569+9/24,""))</f>
        <v/>
      </c>
      <c r="G349" s="58">
        <f>TRIM(SUBSTITUTE(SUBSTITUTE(SUBSTITUTE($A349,CHAR(9)," ")," "," "),CHAR(13),""))</f>
        <v/>
      </c>
      <c r="H349" s="58">
        <f>IF($G349="","",IF(ISNUMBER(FIND(" ",$G349)),$G349,IFERROR(IF((LEN(SUBSTITUTE(SUBSTITUTE($G349,"-"," ",LEN($G349)-LEN(SUBSTITUTE($G349,"-",""))),"-"," ",LEN($G349)-LEN(SUBSTITUTE($G349,"-",""))-1))-LEN(SUBSTITUTE(SUBSTITUTE(SUBSTITUTE($G349,"-"," ",LEN($G349)-LEN(SUBSTITUTE($G349,"-",""))),"-"," ",LEN($G349)-LEN(SUBSTITUTE($G349,"-",""))-1),".","")))=0,SUBSTITUTE(SUBSTITUTE($G349,"-"," ",LEN($G349)-LEN(SUBSTITUTE($G349,"-",""))),"-"," ",LEN($G349)-LEN(SUBSTITUTE($G349,"-",""))-1),SUBSTITUTE(SUBSTITUTE(SUBSTITUTE($G349,"-"," ",LEN($G349)-LEN(SUBSTITUTE($G349,"-",""))),"-"," ",LEN($G349)-LEN(SUBSTITUTE($G349,"-",""))-1),"."," ",(LEN(SUBSTITUTE(SUBSTITUTE($G349,"-"," ",LEN($G349)-LEN(SUBSTITUTE($G349,"-",""))),"-"," ",LEN($G349)-LEN(SUBSTITUTE($G349,"-",""))-1))-LEN(SUBSTITUTE(SUBSTITUTE(SUBSTITUTE($G349,"-"," ",LEN($G349)-LEN(SUBSTITUTE($G349,"-",""))),"-"," ",LEN($G349)-LEN(SUBSTITUTE($G349,"-",""))-1),".",""))))),$G349)))</f>
        <v/>
      </c>
    </row>
    <row r="350">
      <c r="A350" s="58" t="n"/>
      <c r="B350" s="58">
        <f>IF($H350="","",LEFT($H350,FIND(" ",$H350&amp;" ")-1))</f>
        <v/>
      </c>
      <c r="C350" s="58">
        <f>IF($H350="","",IFERROR(MID($H350&amp;" ",FIND("|",SUBSTITUTE($H350&amp;" "," ","|",1))+1,FIND("|",SUBSTITUTE($H350&amp;" "," ","|",2))-FIND("|",SUBSTITUTE($H350&amp;" "," ","|",1))-1),""))</f>
        <v/>
      </c>
      <c r="D350" s="58">
        <f>IF($H350="","",IFERROR(MID($H350&amp;" ",FIND("|",SUBSTITUTE($H350&amp;" "," ","|",2))+1,FIND("|",SUBSTITUTE($H350&amp;" "," ","|",3))-FIND("|",SUBSTITUTE($H350&amp;" "," ","|",2))-1),""))</f>
        <v/>
      </c>
      <c r="E350" s="58">
        <f>IF($H350="","",IFERROR(MID($H350&amp;" ",FIND("|",SUBSTITUTE($H350&amp;" "," ","|",3))+1,FIND("|",SUBSTITUTE($H350&amp;" "," ","|",4))-FIND("|",SUBSTITUTE($H350&amp;" "," ","|",3))-1),""))</f>
        <v/>
      </c>
      <c r="F350" s="59">
        <f>IF($H350="","",IFERROR(VALUE(IFERROR(MID($H350&amp;" ",FIND("|",SUBSTITUTE($H350&amp;" "," ","|",4))+1,FIND("|",SUBSTITUTE($H350&amp;" "," ","|",5))-FIND("|",SUBSTITUTE($H350&amp;" "," ","|",4))-1),""))/86400+25569+9/24,""))</f>
        <v/>
      </c>
      <c r="G350" s="58">
        <f>TRIM(SUBSTITUTE(SUBSTITUTE(SUBSTITUTE($A350,CHAR(9)," ")," "," "),CHAR(13),""))</f>
        <v/>
      </c>
      <c r="H350" s="58">
        <f>IF($G350="","",IF(ISNUMBER(FIND(" ",$G350)),$G350,IFERROR(IF((LEN(SUBSTITUTE(SUBSTITUTE($G350,"-"," ",LEN($G350)-LEN(SUBSTITUTE($G350,"-",""))),"-"," ",LEN($G350)-LEN(SUBSTITUTE($G350,"-",""))-1))-LEN(SUBSTITUTE(SUBSTITUTE(SUBSTITUTE($G350,"-"," ",LEN($G350)-LEN(SUBSTITUTE($G350,"-",""))),"-"," ",LEN($G350)-LEN(SUBSTITUTE($G350,"-",""))-1),".","")))=0,SUBSTITUTE(SUBSTITUTE($G350,"-"," ",LEN($G350)-LEN(SUBSTITUTE($G350,"-",""))),"-"," ",LEN($G350)-LEN(SUBSTITUTE($G350,"-",""))-1),SUBSTITUTE(SUBSTITUTE(SUBSTITUTE($G350,"-"," ",LEN($G350)-LEN(SUBSTITUTE($G350,"-",""))),"-"," ",LEN($G350)-LEN(SUBSTITUTE($G350,"-",""))-1),"."," ",(LEN(SUBSTITUTE(SUBSTITUTE($G350,"-"," ",LEN($G350)-LEN(SUBSTITUTE($G350,"-",""))),"-"," ",LEN($G350)-LEN(SUBSTITUTE($G350,"-",""))-1))-LEN(SUBSTITUTE(SUBSTITUTE(SUBSTITUTE($G350,"-"," ",LEN($G350)-LEN(SUBSTITUTE($G350,"-",""))),"-"," ",LEN($G350)-LEN(SUBSTITUTE($G350,"-",""))-1),".",""))))),$G350)))</f>
        <v/>
      </c>
    </row>
    <row r="351">
      <c r="A351" s="58" t="n"/>
      <c r="B351" s="58">
        <f>IF($H351="","",LEFT($H351,FIND(" ",$H351&amp;" ")-1))</f>
        <v/>
      </c>
      <c r="C351" s="58">
        <f>IF($H351="","",IFERROR(MID($H351&amp;" ",FIND("|",SUBSTITUTE($H351&amp;" "," ","|",1))+1,FIND("|",SUBSTITUTE($H351&amp;" "," ","|",2))-FIND("|",SUBSTITUTE($H351&amp;" "," ","|",1))-1),""))</f>
        <v/>
      </c>
      <c r="D351" s="58">
        <f>IF($H351="","",IFERROR(MID($H351&amp;" ",FIND("|",SUBSTITUTE($H351&amp;" "," ","|",2))+1,FIND("|",SUBSTITUTE($H351&amp;" "," ","|",3))-FIND("|",SUBSTITUTE($H351&amp;" "," ","|",2))-1),""))</f>
        <v/>
      </c>
      <c r="E351" s="58">
        <f>IF($H351="","",IFERROR(MID($H351&amp;" ",FIND("|",SUBSTITUTE($H351&amp;" "," ","|",3))+1,FIND("|",SUBSTITUTE($H351&amp;" "," ","|",4))-FIND("|",SUBSTITUTE($H351&amp;" "," ","|",3))-1),""))</f>
        <v/>
      </c>
      <c r="F351" s="59">
        <f>IF($H351="","",IFERROR(VALUE(IFERROR(MID($H351&amp;" ",FIND("|",SUBSTITUTE($H351&amp;" "," ","|",4))+1,FIND("|",SUBSTITUTE($H351&amp;" "," ","|",5))-FIND("|",SUBSTITUTE($H351&amp;" "," ","|",4))-1),""))/86400+25569+9/24,""))</f>
        <v/>
      </c>
      <c r="G351" s="58">
        <f>TRIM(SUBSTITUTE(SUBSTITUTE(SUBSTITUTE($A351,CHAR(9)," ")," "," "),CHAR(13),""))</f>
        <v/>
      </c>
      <c r="H351" s="58">
        <f>IF($G351="","",IF(ISNUMBER(FIND(" ",$G351)),$G351,IFERROR(IF((LEN(SUBSTITUTE(SUBSTITUTE($G351,"-"," ",LEN($G351)-LEN(SUBSTITUTE($G351,"-",""))),"-"," ",LEN($G351)-LEN(SUBSTITUTE($G351,"-",""))-1))-LEN(SUBSTITUTE(SUBSTITUTE(SUBSTITUTE($G351,"-"," ",LEN($G351)-LEN(SUBSTITUTE($G351,"-",""))),"-"," ",LEN($G351)-LEN(SUBSTITUTE($G351,"-",""))-1),".","")))=0,SUBSTITUTE(SUBSTITUTE($G351,"-"," ",LEN($G351)-LEN(SUBSTITUTE($G351,"-",""))),"-"," ",LEN($G351)-LEN(SUBSTITUTE($G351,"-",""))-1),SUBSTITUTE(SUBSTITUTE(SUBSTITUTE($G351,"-"," ",LEN($G351)-LEN(SUBSTITUTE($G351,"-",""))),"-"," ",LEN($G351)-LEN(SUBSTITUTE($G351,"-",""))-1),"."," ",(LEN(SUBSTITUTE(SUBSTITUTE($G351,"-"," ",LEN($G351)-LEN(SUBSTITUTE($G351,"-",""))),"-"," ",LEN($G351)-LEN(SUBSTITUTE($G351,"-",""))-1))-LEN(SUBSTITUTE(SUBSTITUTE(SUBSTITUTE($G351,"-"," ",LEN($G351)-LEN(SUBSTITUTE($G351,"-",""))),"-"," ",LEN($G351)-LEN(SUBSTITUTE($G351,"-",""))-1),".",""))))),$G351)))</f>
        <v/>
      </c>
    </row>
    <row r="352">
      <c r="A352" s="58" t="n"/>
      <c r="B352" s="58">
        <f>IF($H352="","",LEFT($H352,FIND(" ",$H352&amp;" ")-1))</f>
        <v/>
      </c>
      <c r="C352" s="58">
        <f>IF($H352="","",IFERROR(MID($H352&amp;" ",FIND("|",SUBSTITUTE($H352&amp;" "," ","|",1))+1,FIND("|",SUBSTITUTE($H352&amp;" "," ","|",2))-FIND("|",SUBSTITUTE($H352&amp;" "," ","|",1))-1),""))</f>
        <v/>
      </c>
      <c r="D352" s="58">
        <f>IF($H352="","",IFERROR(MID($H352&amp;" ",FIND("|",SUBSTITUTE($H352&amp;" "," ","|",2))+1,FIND("|",SUBSTITUTE($H352&amp;" "," ","|",3))-FIND("|",SUBSTITUTE($H352&amp;" "," ","|",2))-1),""))</f>
        <v/>
      </c>
      <c r="E352" s="58">
        <f>IF($H352="","",IFERROR(MID($H352&amp;" ",FIND("|",SUBSTITUTE($H352&amp;" "," ","|",3))+1,FIND("|",SUBSTITUTE($H352&amp;" "," ","|",4))-FIND("|",SUBSTITUTE($H352&amp;" "," ","|",3))-1),""))</f>
        <v/>
      </c>
      <c r="F352" s="59">
        <f>IF($H352="","",IFERROR(VALUE(IFERROR(MID($H352&amp;" ",FIND("|",SUBSTITUTE($H352&amp;" "," ","|",4))+1,FIND("|",SUBSTITUTE($H352&amp;" "," ","|",5))-FIND("|",SUBSTITUTE($H352&amp;" "," ","|",4))-1),""))/86400+25569+9/24,""))</f>
        <v/>
      </c>
      <c r="G352" s="58">
        <f>TRIM(SUBSTITUTE(SUBSTITUTE(SUBSTITUTE($A352,CHAR(9)," ")," "," "),CHAR(13),""))</f>
        <v/>
      </c>
      <c r="H352" s="58">
        <f>IF($G352="","",IF(ISNUMBER(FIND(" ",$G352)),$G352,IFERROR(IF((LEN(SUBSTITUTE(SUBSTITUTE($G352,"-"," ",LEN($G352)-LEN(SUBSTITUTE($G352,"-",""))),"-"," ",LEN($G352)-LEN(SUBSTITUTE($G352,"-",""))-1))-LEN(SUBSTITUTE(SUBSTITUTE(SUBSTITUTE($G352,"-"," ",LEN($G352)-LEN(SUBSTITUTE($G352,"-",""))),"-"," ",LEN($G352)-LEN(SUBSTITUTE($G352,"-",""))-1),".","")))=0,SUBSTITUTE(SUBSTITUTE($G352,"-"," ",LEN($G352)-LEN(SUBSTITUTE($G352,"-",""))),"-"," ",LEN($G352)-LEN(SUBSTITUTE($G352,"-",""))-1),SUBSTITUTE(SUBSTITUTE(SUBSTITUTE($G352,"-"," ",LEN($G352)-LEN(SUBSTITUTE($G352,"-",""))),"-"," ",LEN($G352)-LEN(SUBSTITUTE($G352,"-",""))-1),"."," ",(LEN(SUBSTITUTE(SUBSTITUTE($G352,"-"," ",LEN($G352)-LEN(SUBSTITUTE($G352,"-",""))),"-"," ",LEN($G352)-LEN(SUBSTITUTE($G352,"-",""))-1))-LEN(SUBSTITUTE(SUBSTITUTE(SUBSTITUTE($G352,"-"," ",LEN($G352)-LEN(SUBSTITUTE($G352,"-",""))),"-"," ",LEN($G352)-LEN(SUBSTITUTE($G352,"-",""))-1),".",""))))),$G352)))</f>
        <v/>
      </c>
    </row>
    <row r="353">
      <c r="A353" s="58" t="n"/>
      <c r="B353" s="58">
        <f>IF($H353="","",LEFT($H353,FIND(" ",$H353&amp;" ")-1))</f>
        <v/>
      </c>
      <c r="C353" s="58">
        <f>IF($H353="","",IFERROR(MID($H353&amp;" ",FIND("|",SUBSTITUTE($H353&amp;" "," ","|",1))+1,FIND("|",SUBSTITUTE($H353&amp;" "," ","|",2))-FIND("|",SUBSTITUTE($H353&amp;" "," ","|",1))-1),""))</f>
        <v/>
      </c>
      <c r="D353" s="58">
        <f>IF($H353="","",IFERROR(MID($H353&amp;" ",FIND("|",SUBSTITUTE($H353&amp;" "," ","|",2))+1,FIND("|",SUBSTITUTE($H353&amp;" "," ","|",3))-FIND("|",SUBSTITUTE($H353&amp;" "," ","|",2))-1),""))</f>
        <v/>
      </c>
      <c r="E353" s="58">
        <f>IF($H353="","",IFERROR(MID($H353&amp;" ",FIND("|",SUBSTITUTE($H353&amp;" "," ","|",3))+1,FIND("|",SUBSTITUTE($H353&amp;" "," ","|",4))-FIND("|",SUBSTITUTE($H353&amp;" "," ","|",3))-1),""))</f>
        <v/>
      </c>
      <c r="F353" s="59">
        <f>IF($H353="","",IFERROR(VALUE(IFERROR(MID($H353&amp;" ",FIND("|",SUBSTITUTE($H353&amp;" "," ","|",4))+1,FIND("|",SUBSTITUTE($H353&amp;" "," ","|",5))-FIND("|",SUBSTITUTE($H353&amp;" "," ","|",4))-1),""))/86400+25569+9/24,""))</f>
        <v/>
      </c>
      <c r="G353" s="58">
        <f>TRIM(SUBSTITUTE(SUBSTITUTE(SUBSTITUTE($A353,CHAR(9)," ")," "," "),CHAR(13),""))</f>
        <v/>
      </c>
      <c r="H353" s="58">
        <f>IF($G353="","",IF(ISNUMBER(FIND(" ",$G353)),$G353,IFERROR(IF((LEN(SUBSTITUTE(SUBSTITUTE($G353,"-"," ",LEN($G353)-LEN(SUBSTITUTE($G353,"-",""))),"-"," ",LEN($G353)-LEN(SUBSTITUTE($G353,"-",""))-1))-LEN(SUBSTITUTE(SUBSTITUTE(SUBSTITUTE($G353,"-"," ",LEN($G353)-LEN(SUBSTITUTE($G353,"-",""))),"-"," ",LEN($G353)-LEN(SUBSTITUTE($G353,"-",""))-1),".","")))=0,SUBSTITUTE(SUBSTITUTE($G353,"-"," ",LEN($G353)-LEN(SUBSTITUTE($G353,"-",""))),"-"," ",LEN($G353)-LEN(SUBSTITUTE($G353,"-",""))-1),SUBSTITUTE(SUBSTITUTE(SUBSTITUTE($G353,"-"," ",LEN($G353)-LEN(SUBSTITUTE($G353,"-",""))),"-"," ",LEN($G353)-LEN(SUBSTITUTE($G353,"-",""))-1),"."," ",(LEN(SUBSTITUTE(SUBSTITUTE($G353,"-"," ",LEN($G353)-LEN(SUBSTITUTE($G353,"-",""))),"-"," ",LEN($G353)-LEN(SUBSTITUTE($G353,"-",""))-1))-LEN(SUBSTITUTE(SUBSTITUTE(SUBSTITUTE($G353,"-"," ",LEN($G353)-LEN(SUBSTITUTE($G353,"-",""))),"-"," ",LEN($G353)-LEN(SUBSTITUTE($G353,"-",""))-1),".",""))))),$G353)))</f>
        <v/>
      </c>
    </row>
    <row r="354">
      <c r="A354" s="58" t="n"/>
      <c r="B354" s="58">
        <f>IF($H354="","",LEFT($H354,FIND(" ",$H354&amp;" ")-1))</f>
        <v/>
      </c>
      <c r="C354" s="58">
        <f>IF($H354="","",IFERROR(MID($H354&amp;" ",FIND("|",SUBSTITUTE($H354&amp;" "," ","|",1))+1,FIND("|",SUBSTITUTE($H354&amp;" "," ","|",2))-FIND("|",SUBSTITUTE($H354&amp;" "," ","|",1))-1),""))</f>
        <v/>
      </c>
      <c r="D354" s="58">
        <f>IF($H354="","",IFERROR(MID($H354&amp;" ",FIND("|",SUBSTITUTE($H354&amp;" "," ","|",2))+1,FIND("|",SUBSTITUTE($H354&amp;" "," ","|",3))-FIND("|",SUBSTITUTE($H354&amp;" "," ","|",2))-1),""))</f>
        <v/>
      </c>
      <c r="E354" s="58">
        <f>IF($H354="","",IFERROR(MID($H354&amp;" ",FIND("|",SUBSTITUTE($H354&amp;" "," ","|",3))+1,FIND("|",SUBSTITUTE($H354&amp;" "," ","|",4))-FIND("|",SUBSTITUTE($H354&amp;" "," ","|",3))-1),""))</f>
        <v/>
      </c>
      <c r="F354" s="59">
        <f>IF($H354="","",IFERROR(VALUE(IFERROR(MID($H354&amp;" ",FIND("|",SUBSTITUTE($H354&amp;" "," ","|",4))+1,FIND("|",SUBSTITUTE($H354&amp;" "," ","|",5))-FIND("|",SUBSTITUTE($H354&amp;" "," ","|",4))-1),""))/86400+25569+9/24,""))</f>
        <v/>
      </c>
      <c r="G354" s="58">
        <f>TRIM(SUBSTITUTE(SUBSTITUTE(SUBSTITUTE($A354,CHAR(9)," ")," "," "),CHAR(13),""))</f>
        <v/>
      </c>
      <c r="H354" s="58">
        <f>IF($G354="","",IF(ISNUMBER(FIND(" ",$G354)),$G354,IFERROR(IF((LEN(SUBSTITUTE(SUBSTITUTE($G354,"-"," ",LEN($G354)-LEN(SUBSTITUTE($G354,"-",""))),"-"," ",LEN($G354)-LEN(SUBSTITUTE($G354,"-",""))-1))-LEN(SUBSTITUTE(SUBSTITUTE(SUBSTITUTE($G354,"-"," ",LEN($G354)-LEN(SUBSTITUTE($G354,"-",""))),"-"," ",LEN($G354)-LEN(SUBSTITUTE($G354,"-",""))-1),".","")))=0,SUBSTITUTE(SUBSTITUTE($G354,"-"," ",LEN($G354)-LEN(SUBSTITUTE($G354,"-",""))),"-"," ",LEN($G354)-LEN(SUBSTITUTE($G354,"-",""))-1),SUBSTITUTE(SUBSTITUTE(SUBSTITUTE($G354,"-"," ",LEN($G354)-LEN(SUBSTITUTE($G354,"-",""))),"-"," ",LEN($G354)-LEN(SUBSTITUTE($G354,"-",""))-1),"."," ",(LEN(SUBSTITUTE(SUBSTITUTE($G354,"-"," ",LEN($G354)-LEN(SUBSTITUTE($G354,"-",""))),"-"," ",LEN($G354)-LEN(SUBSTITUTE($G354,"-",""))-1))-LEN(SUBSTITUTE(SUBSTITUTE(SUBSTITUTE($G354,"-"," ",LEN($G354)-LEN(SUBSTITUTE($G354,"-",""))),"-"," ",LEN($G354)-LEN(SUBSTITUTE($G354,"-",""))-1),".",""))))),$G354)))</f>
        <v/>
      </c>
    </row>
    <row r="355">
      <c r="A355" s="58" t="n"/>
      <c r="B355" s="58">
        <f>IF($H355="","",LEFT($H355,FIND(" ",$H355&amp;" ")-1))</f>
        <v/>
      </c>
      <c r="C355" s="58">
        <f>IF($H355="","",IFERROR(MID($H355&amp;" ",FIND("|",SUBSTITUTE($H355&amp;" "," ","|",1))+1,FIND("|",SUBSTITUTE($H355&amp;" "," ","|",2))-FIND("|",SUBSTITUTE($H355&amp;" "," ","|",1))-1),""))</f>
        <v/>
      </c>
      <c r="D355" s="58">
        <f>IF($H355="","",IFERROR(MID($H355&amp;" ",FIND("|",SUBSTITUTE($H355&amp;" "," ","|",2))+1,FIND("|",SUBSTITUTE($H355&amp;" "," ","|",3))-FIND("|",SUBSTITUTE($H355&amp;" "," ","|",2))-1),""))</f>
        <v/>
      </c>
      <c r="E355" s="58">
        <f>IF($H355="","",IFERROR(MID($H355&amp;" ",FIND("|",SUBSTITUTE($H355&amp;" "," ","|",3))+1,FIND("|",SUBSTITUTE($H355&amp;" "," ","|",4))-FIND("|",SUBSTITUTE($H355&amp;" "," ","|",3))-1),""))</f>
        <v/>
      </c>
      <c r="F355" s="59">
        <f>IF($H355="","",IFERROR(VALUE(IFERROR(MID($H355&amp;" ",FIND("|",SUBSTITUTE($H355&amp;" "," ","|",4))+1,FIND("|",SUBSTITUTE($H355&amp;" "," ","|",5))-FIND("|",SUBSTITUTE($H355&amp;" "," ","|",4))-1),""))/86400+25569+9/24,""))</f>
        <v/>
      </c>
      <c r="G355" s="58">
        <f>TRIM(SUBSTITUTE(SUBSTITUTE(SUBSTITUTE($A355,CHAR(9)," ")," "," "),CHAR(13),""))</f>
        <v/>
      </c>
      <c r="H355" s="58">
        <f>IF($G355="","",IF(ISNUMBER(FIND(" ",$G355)),$G355,IFERROR(IF((LEN(SUBSTITUTE(SUBSTITUTE($G355,"-"," ",LEN($G355)-LEN(SUBSTITUTE($G355,"-",""))),"-"," ",LEN($G355)-LEN(SUBSTITUTE($G355,"-",""))-1))-LEN(SUBSTITUTE(SUBSTITUTE(SUBSTITUTE($G355,"-"," ",LEN($G355)-LEN(SUBSTITUTE($G355,"-",""))),"-"," ",LEN($G355)-LEN(SUBSTITUTE($G355,"-",""))-1),".","")))=0,SUBSTITUTE(SUBSTITUTE($G355,"-"," ",LEN($G355)-LEN(SUBSTITUTE($G355,"-",""))),"-"," ",LEN($G355)-LEN(SUBSTITUTE($G355,"-",""))-1),SUBSTITUTE(SUBSTITUTE(SUBSTITUTE($G355,"-"," ",LEN($G355)-LEN(SUBSTITUTE($G355,"-",""))),"-"," ",LEN($G355)-LEN(SUBSTITUTE($G355,"-",""))-1),"."," ",(LEN(SUBSTITUTE(SUBSTITUTE($G355,"-"," ",LEN($G355)-LEN(SUBSTITUTE($G355,"-",""))),"-"," ",LEN($G355)-LEN(SUBSTITUTE($G355,"-",""))-1))-LEN(SUBSTITUTE(SUBSTITUTE(SUBSTITUTE($G355,"-"," ",LEN($G355)-LEN(SUBSTITUTE($G355,"-",""))),"-"," ",LEN($G355)-LEN(SUBSTITUTE($G355,"-",""))-1),".",""))))),$G355)))</f>
        <v/>
      </c>
    </row>
    <row r="356">
      <c r="A356" s="58" t="n"/>
      <c r="B356" s="58">
        <f>IF($H356="","",LEFT($H356,FIND(" ",$H356&amp;" ")-1))</f>
        <v/>
      </c>
      <c r="C356" s="58">
        <f>IF($H356="","",IFERROR(MID($H356&amp;" ",FIND("|",SUBSTITUTE($H356&amp;" "," ","|",1))+1,FIND("|",SUBSTITUTE($H356&amp;" "," ","|",2))-FIND("|",SUBSTITUTE($H356&amp;" "," ","|",1))-1),""))</f>
        <v/>
      </c>
      <c r="D356" s="58">
        <f>IF($H356="","",IFERROR(MID($H356&amp;" ",FIND("|",SUBSTITUTE($H356&amp;" "," ","|",2))+1,FIND("|",SUBSTITUTE($H356&amp;" "," ","|",3))-FIND("|",SUBSTITUTE($H356&amp;" "," ","|",2))-1),""))</f>
        <v/>
      </c>
      <c r="E356" s="58">
        <f>IF($H356="","",IFERROR(MID($H356&amp;" ",FIND("|",SUBSTITUTE($H356&amp;" "," ","|",3))+1,FIND("|",SUBSTITUTE($H356&amp;" "," ","|",4))-FIND("|",SUBSTITUTE($H356&amp;" "," ","|",3))-1),""))</f>
        <v/>
      </c>
      <c r="F356" s="59">
        <f>IF($H356="","",IFERROR(VALUE(IFERROR(MID($H356&amp;" ",FIND("|",SUBSTITUTE($H356&amp;" "," ","|",4))+1,FIND("|",SUBSTITUTE($H356&amp;" "," ","|",5))-FIND("|",SUBSTITUTE($H356&amp;" "," ","|",4))-1),""))/86400+25569+9/24,""))</f>
        <v/>
      </c>
      <c r="G356" s="58">
        <f>TRIM(SUBSTITUTE(SUBSTITUTE(SUBSTITUTE($A356,CHAR(9)," ")," "," "),CHAR(13),""))</f>
        <v/>
      </c>
      <c r="H356" s="58">
        <f>IF($G356="","",IF(ISNUMBER(FIND(" ",$G356)),$G356,IFERROR(IF((LEN(SUBSTITUTE(SUBSTITUTE($G356,"-"," ",LEN($G356)-LEN(SUBSTITUTE($G356,"-",""))),"-"," ",LEN($G356)-LEN(SUBSTITUTE($G356,"-",""))-1))-LEN(SUBSTITUTE(SUBSTITUTE(SUBSTITUTE($G356,"-"," ",LEN($G356)-LEN(SUBSTITUTE($G356,"-",""))),"-"," ",LEN($G356)-LEN(SUBSTITUTE($G356,"-",""))-1),".","")))=0,SUBSTITUTE(SUBSTITUTE($G356,"-"," ",LEN($G356)-LEN(SUBSTITUTE($G356,"-",""))),"-"," ",LEN($G356)-LEN(SUBSTITUTE($G356,"-",""))-1),SUBSTITUTE(SUBSTITUTE(SUBSTITUTE($G356,"-"," ",LEN($G356)-LEN(SUBSTITUTE($G356,"-",""))),"-"," ",LEN($G356)-LEN(SUBSTITUTE($G356,"-",""))-1),"."," ",(LEN(SUBSTITUTE(SUBSTITUTE($G356,"-"," ",LEN($G356)-LEN(SUBSTITUTE($G356,"-",""))),"-"," ",LEN($G356)-LEN(SUBSTITUTE($G356,"-",""))-1))-LEN(SUBSTITUTE(SUBSTITUTE(SUBSTITUTE($G356,"-"," ",LEN($G356)-LEN(SUBSTITUTE($G356,"-",""))),"-"," ",LEN($G356)-LEN(SUBSTITUTE($G356,"-",""))-1),".",""))))),$G356)))</f>
        <v/>
      </c>
    </row>
    <row r="357">
      <c r="A357" s="58" t="n"/>
      <c r="B357" s="58">
        <f>IF($H357="","",LEFT($H357,FIND(" ",$H357&amp;" ")-1))</f>
        <v/>
      </c>
      <c r="C357" s="58">
        <f>IF($H357="","",IFERROR(MID($H357&amp;" ",FIND("|",SUBSTITUTE($H357&amp;" "," ","|",1))+1,FIND("|",SUBSTITUTE($H357&amp;" "," ","|",2))-FIND("|",SUBSTITUTE($H357&amp;" "," ","|",1))-1),""))</f>
        <v/>
      </c>
      <c r="D357" s="58">
        <f>IF($H357="","",IFERROR(MID($H357&amp;" ",FIND("|",SUBSTITUTE($H357&amp;" "," ","|",2))+1,FIND("|",SUBSTITUTE($H357&amp;" "," ","|",3))-FIND("|",SUBSTITUTE($H357&amp;" "," ","|",2))-1),""))</f>
        <v/>
      </c>
      <c r="E357" s="58">
        <f>IF($H357="","",IFERROR(MID($H357&amp;" ",FIND("|",SUBSTITUTE($H357&amp;" "," ","|",3))+1,FIND("|",SUBSTITUTE($H357&amp;" "," ","|",4))-FIND("|",SUBSTITUTE($H357&amp;" "," ","|",3))-1),""))</f>
        <v/>
      </c>
      <c r="F357" s="59">
        <f>IF($H357="","",IFERROR(VALUE(IFERROR(MID($H357&amp;" ",FIND("|",SUBSTITUTE($H357&amp;" "," ","|",4))+1,FIND("|",SUBSTITUTE($H357&amp;" "," ","|",5))-FIND("|",SUBSTITUTE($H357&amp;" "," ","|",4))-1),""))/86400+25569+9/24,""))</f>
        <v/>
      </c>
      <c r="G357" s="58">
        <f>TRIM(SUBSTITUTE(SUBSTITUTE(SUBSTITUTE($A357,CHAR(9)," ")," "," "),CHAR(13),""))</f>
        <v/>
      </c>
      <c r="H357" s="58">
        <f>IF($G357="","",IF(ISNUMBER(FIND(" ",$G357)),$G357,IFERROR(IF((LEN(SUBSTITUTE(SUBSTITUTE($G357,"-"," ",LEN($G357)-LEN(SUBSTITUTE($G357,"-",""))),"-"," ",LEN($G357)-LEN(SUBSTITUTE($G357,"-",""))-1))-LEN(SUBSTITUTE(SUBSTITUTE(SUBSTITUTE($G357,"-"," ",LEN($G357)-LEN(SUBSTITUTE($G357,"-",""))),"-"," ",LEN($G357)-LEN(SUBSTITUTE($G357,"-",""))-1),".","")))=0,SUBSTITUTE(SUBSTITUTE($G357,"-"," ",LEN($G357)-LEN(SUBSTITUTE($G357,"-",""))),"-"," ",LEN($G357)-LEN(SUBSTITUTE($G357,"-",""))-1),SUBSTITUTE(SUBSTITUTE(SUBSTITUTE($G357,"-"," ",LEN($G357)-LEN(SUBSTITUTE($G357,"-",""))),"-"," ",LEN($G357)-LEN(SUBSTITUTE($G357,"-",""))-1),"."," ",(LEN(SUBSTITUTE(SUBSTITUTE($G357,"-"," ",LEN($G357)-LEN(SUBSTITUTE($G357,"-",""))),"-"," ",LEN($G357)-LEN(SUBSTITUTE($G357,"-",""))-1))-LEN(SUBSTITUTE(SUBSTITUTE(SUBSTITUTE($G357,"-"," ",LEN($G357)-LEN(SUBSTITUTE($G357,"-",""))),"-"," ",LEN($G357)-LEN(SUBSTITUTE($G357,"-",""))-1),".",""))))),$G357)))</f>
        <v/>
      </c>
    </row>
    <row r="358">
      <c r="A358" s="58" t="n"/>
      <c r="B358" s="58">
        <f>IF($H358="","",LEFT($H358,FIND(" ",$H358&amp;" ")-1))</f>
        <v/>
      </c>
      <c r="C358" s="58">
        <f>IF($H358="","",IFERROR(MID($H358&amp;" ",FIND("|",SUBSTITUTE($H358&amp;" "," ","|",1))+1,FIND("|",SUBSTITUTE($H358&amp;" "," ","|",2))-FIND("|",SUBSTITUTE($H358&amp;" "," ","|",1))-1),""))</f>
        <v/>
      </c>
      <c r="D358" s="58">
        <f>IF($H358="","",IFERROR(MID($H358&amp;" ",FIND("|",SUBSTITUTE($H358&amp;" "," ","|",2))+1,FIND("|",SUBSTITUTE($H358&amp;" "," ","|",3))-FIND("|",SUBSTITUTE($H358&amp;" "," ","|",2))-1),""))</f>
        <v/>
      </c>
      <c r="E358" s="58">
        <f>IF($H358="","",IFERROR(MID($H358&amp;" ",FIND("|",SUBSTITUTE($H358&amp;" "," ","|",3))+1,FIND("|",SUBSTITUTE($H358&amp;" "," ","|",4))-FIND("|",SUBSTITUTE($H358&amp;" "," ","|",3))-1),""))</f>
        <v/>
      </c>
      <c r="F358" s="59">
        <f>IF($H358="","",IFERROR(VALUE(IFERROR(MID($H358&amp;" ",FIND("|",SUBSTITUTE($H358&amp;" "," ","|",4))+1,FIND("|",SUBSTITUTE($H358&amp;" "," ","|",5))-FIND("|",SUBSTITUTE($H358&amp;" "," ","|",4))-1),""))/86400+25569+9/24,""))</f>
        <v/>
      </c>
      <c r="G358" s="58">
        <f>TRIM(SUBSTITUTE(SUBSTITUTE(SUBSTITUTE($A358,CHAR(9)," ")," "," "),CHAR(13),""))</f>
        <v/>
      </c>
      <c r="H358" s="58">
        <f>IF($G358="","",IF(ISNUMBER(FIND(" ",$G358)),$G358,IFERROR(IF((LEN(SUBSTITUTE(SUBSTITUTE($G358,"-"," ",LEN($G358)-LEN(SUBSTITUTE($G358,"-",""))),"-"," ",LEN($G358)-LEN(SUBSTITUTE($G358,"-",""))-1))-LEN(SUBSTITUTE(SUBSTITUTE(SUBSTITUTE($G358,"-"," ",LEN($G358)-LEN(SUBSTITUTE($G358,"-",""))),"-"," ",LEN($G358)-LEN(SUBSTITUTE($G358,"-",""))-1),".","")))=0,SUBSTITUTE(SUBSTITUTE($G358,"-"," ",LEN($G358)-LEN(SUBSTITUTE($G358,"-",""))),"-"," ",LEN($G358)-LEN(SUBSTITUTE($G358,"-",""))-1),SUBSTITUTE(SUBSTITUTE(SUBSTITUTE($G358,"-"," ",LEN($G358)-LEN(SUBSTITUTE($G358,"-",""))),"-"," ",LEN($G358)-LEN(SUBSTITUTE($G358,"-",""))-1),"."," ",(LEN(SUBSTITUTE(SUBSTITUTE($G358,"-"," ",LEN($G358)-LEN(SUBSTITUTE($G358,"-",""))),"-"," ",LEN($G358)-LEN(SUBSTITUTE($G358,"-",""))-1))-LEN(SUBSTITUTE(SUBSTITUTE(SUBSTITUTE($G358,"-"," ",LEN($G358)-LEN(SUBSTITUTE($G358,"-",""))),"-"," ",LEN($G358)-LEN(SUBSTITUTE($G358,"-",""))-1),".",""))))),$G358)))</f>
        <v/>
      </c>
    </row>
    <row r="359">
      <c r="A359" s="58" t="n"/>
      <c r="B359" s="58">
        <f>IF($H359="","",LEFT($H359,FIND(" ",$H359&amp;" ")-1))</f>
        <v/>
      </c>
      <c r="C359" s="58">
        <f>IF($H359="","",IFERROR(MID($H359&amp;" ",FIND("|",SUBSTITUTE($H359&amp;" "," ","|",1))+1,FIND("|",SUBSTITUTE($H359&amp;" "," ","|",2))-FIND("|",SUBSTITUTE($H359&amp;" "," ","|",1))-1),""))</f>
        <v/>
      </c>
      <c r="D359" s="58">
        <f>IF($H359="","",IFERROR(MID($H359&amp;" ",FIND("|",SUBSTITUTE($H359&amp;" "," ","|",2))+1,FIND("|",SUBSTITUTE($H359&amp;" "," ","|",3))-FIND("|",SUBSTITUTE($H359&amp;" "," ","|",2))-1),""))</f>
        <v/>
      </c>
      <c r="E359" s="58">
        <f>IF($H359="","",IFERROR(MID($H359&amp;" ",FIND("|",SUBSTITUTE($H359&amp;" "," ","|",3))+1,FIND("|",SUBSTITUTE($H359&amp;" "," ","|",4))-FIND("|",SUBSTITUTE($H359&amp;" "," ","|",3))-1),""))</f>
        <v/>
      </c>
      <c r="F359" s="59">
        <f>IF($H359="","",IFERROR(VALUE(IFERROR(MID($H359&amp;" ",FIND("|",SUBSTITUTE($H359&amp;" "," ","|",4))+1,FIND("|",SUBSTITUTE($H359&amp;" "," ","|",5))-FIND("|",SUBSTITUTE($H359&amp;" "," ","|",4))-1),""))/86400+25569+9/24,""))</f>
        <v/>
      </c>
      <c r="G359" s="58">
        <f>TRIM(SUBSTITUTE(SUBSTITUTE(SUBSTITUTE($A359,CHAR(9)," ")," "," "),CHAR(13),""))</f>
        <v/>
      </c>
      <c r="H359" s="58">
        <f>IF($G359="","",IF(ISNUMBER(FIND(" ",$G359)),$G359,IFERROR(IF((LEN(SUBSTITUTE(SUBSTITUTE($G359,"-"," ",LEN($G359)-LEN(SUBSTITUTE($G359,"-",""))),"-"," ",LEN($G359)-LEN(SUBSTITUTE($G359,"-",""))-1))-LEN(SUBSTITUTE(SUBSTITUTE(SUBSTITUTE($G359,"-"," ",LEN($G359)-LEN(SUBSTITUTE($G359,"-",""))),"-"," ",LEN($G359)-LEN(SUBSTITUTE($G359,"-",""))-1),".","")))=0,SUBSTITUTE(SUBSTITUTE($G359,"-"," ",LEN($G359)-LEN(SUBSTITUTE($G359,"-",""))),"-"," ",LEN($G359)-LEN(SUBSTITUTE($G359,"-",""))-1),SUBSTITUTE(SUBSTITUTE(SUBSTITUTE($G359,"-"," ",LEN($G359)-LEN(SUBSTITUTE($G359,"-",""))),"-"," ",LEN($G359)-LEN(SUBSTITUTE($G359,"-",""))-1),"."," ",(LEN(SUBSTITUTE(SUBSTITUTE($G359,"-"," ",LEN($G359)-LEN(SUBSTITUTE($G359,"-",""))),"-"," ",LEN($G359)-LEN(SUBSTITUTE($G359,"-",""))-1))-LEN(SUBSTITUTE(SUBSTITUTE(SUBSTITUTE($G359,"-"," ",LEN($G359)-LEN(SUBSTITUTE($G359,"-",""))),"-"," ",LEN($G359)-LEN(SUBSTITUTE($G359,"-",""))-1),".",""))))),$G359)))</f>
        <v/>
      </c>
    </row>
    <row r="360">
      <c r="A360" s="58" t="n"/>
      <c r="B360" s="58">
        <f>IF($H360="","",LEFT($H360,FIND(" ",$H360&amp;" ")-1))</f>
        <v/>
      </c>
      <c r="C360" s="58">
        <f>IF($H360="","",IFERROR(MID($H360&amp;" ",FIND("|",SUBSTITUTE($H360&amp;" "," ","|",1))+1,FIND("|",SUBSTITUTE($H360&amp;" "," ","|",2))-FIND("|",SUBSTITUTE($H360&amp;" "," ","|",1))-1),""))</f>
        <v/>
      </c>
      <c r="D360" s="58">
        <f>IF($H360="","",IFERROR(MID($H360&amp;" ",FIND("|",SUBSTITUTE($H360&amp;" "," ","|",2))+1,FIND("|",SUBSTITUTE($H360&amp;" "," ","|",3))-FIND("|",SUBSTITUTE($H360&amp;" "," ","|",2))-1),""))</f>
        <v/>
      </c>
      <c r="E360" s="58">
        <f>IF($H360="","",IFERROR(MID($H360&amp;" ",FIND("|",SUBSTITUTE($H360&amp;" "," ","|",3))+1,FIND("|",SUBSTITUTE($H360&amp;" "," ","|",4))-FIND("|",SUBSTITUTE($H360&amp;" "," ","|",3))-1),""))</f>
        <v/>
      </c>
      <c r="F360" s="59">
        <f>IF($H360="","",IFERROR(VALUE(IFERROR(MID($H360&amp;" ",FIND("|",SUBSTITUTE($H360&amp;" "," ","|",4))+1,FIND("|",SUBSTITUTE($H360&amp;" "," ","|",5))-FIND("|",SUBSTITUTE($H360&amp;" "," ","|",4))-1),""))/86400+25569+9/24,""))</f>
        <v/>
      </c>
      <c r="G360" s="58">
        <f>TRIM(SUBSTITUTE(SUBSTITUTE(SUBSTITUTE($A360,CHAR(9)," ")," "," "),CHAR(13),""))</f>
        <v/>
      </c>
      <c r="H360" s="58">
        <f>IF($G360="","",IF(ISNUMBER(FIND(" ",$G360)),$G360,IFERROR(IF((LEN(SUBSTITUTE(SUBSTITUTE($G360,"-"," ",LEN($G360)-LEN(SUBSTITUTE($G360,"-",""))),"-"," ",LEN($G360)-LEN(SUBSTITUTE($G360,"-",""))-1))-LEN(SUBSTITUTE(SUBSTITUTE(SUBSTITUTE($G360,"-"," ",LEN($G360)-LEN(SUBSTITUTE($G360,"-",""))),"-"," ",LEN($G360)-LEN(SUBSTITUTE($G360,"-",""))-1),".","")))=0,SUBSTITUTE(SUBSTITUTE($G360,"-"," ",LEN($G360)-LEN(SUBSTITUTE($G360,"-",""))),"-"," ",LEN($G360)-LEN(SUBSTITUTE($G360,"-",""))-1),SUBSTITUTE(SUBSTITUTE(SUBSTITUTE($G360,"-"," ",LEN($G360)-LEN(SUBSTITUTE($G360,"-",""))),"-"," ",LEN($G360)-LEN(SUBSTITUTE($G360,"-",""))-1),"."," ",(LEN(SUBSTITUTE(SUBSTITUTE($G360,"-"," ",LEN($G360)-LEN(SUBSTITUTE($G360,"-",""))),"-"," ",LEN($G360)-LEN(SUBSTITUTE($G360,"-",""))-1))-LEN(SUBSTITUTE(SUBSTITUTE(SUBSTITUTE($G360,"-"," ",LEN($G360)-LEN(SUBSTITUTE($G360,"-",""))),"-"," ",LEN($G360)-LEN(SUBSTITUTE($G360,"-",""))-1),".",""))))),$G360)))</f>
        <v/>
      </c>
    </row>
    <row r="361">
      <c r="A361" s="58" t="n"/>
      <c r="B361" s="58">
        <f>IF($H361="","",LEFT($H361,FIND(" ",$H361&amp;" ")-1))</f>
        <v/>
      </c>
      <c r="C361" s="58">
        <f>IF($H361="","",IFERROR(MID($H361&amp;" ",FIND("|",SUBSTITUTE($H361&amp;" "," ","|",1))+1,FIND("|",SUBSTITUTE($H361&amp;" "," ","|",2))-FIND("|",SUBSTITUTE($H361&amp;" "," ","|",1))-1),""))</f>
        <v/>
      </c>
      <c r="D361" s="58">
        <f>IF($H361="","",IFERROR(MID($H361&amp;" ",FIND("|",SUBSTITUTE($H361&amp;" "," ","|",2))+1,FIND("|",SUBSTITUTE($H361&amp;" "," ","|",3))-FIND("|",SUBSTITUTE($H361&amp;" "," ","|",2))-1),""))</f>
        <v/>
      </c>
      <c r="E361" s="58">
        <f>IF($H361="","",IFERROR(MID($H361&amp;" ",FIND("|",SUBSTITUTE($H361&amp;" "," ","|",3))+1,FIND("|",SUBSTITUTE($H361&amp;" "," ","|",4))-FIND("|",SUBSTITUTE($H361&amp;" "," ","|",3))-1),""))</f>
        <v/>
      </c>
      <c r="F361" s="59">
        <f>IF($H361="","",IFERROR(VALUE(IFERROR(MID($H361&amp;" ",FIND("|",SUBSTITUTE($H361&amp;" "," ","|",4))+1,FIND("|",SUBSTITUTE($H361&amp;" "," ","|",5))-FIND("|",SUBSTITUTE($H361&amp;" "," ","|",4))-1),""))/86400+25569+9/24,""))</f>
        <v/>
      </c>
      <c r="G361" s="58">
        <f>TRIM(SUBSTITUTE(SUBSTITUTE(SUBSTITUTE($A361,CHAR(9)," ")," "," "),CHAR(13),""))</f>
        <v/>
      </c>
      <c r="H361" s="58">
        <f>IF($G361="","",IF(ISNUMBER(FIND(" ",$G361)),$G361,IFERROR(IF((LEN(SUBSTITUTE(SUBSTITUTE($G361,"-"," ",LEN($G361)-LEN(SUBSTITUTE($G361,"-",""))),"-"," ",LEN($G361)-LEN(SUBSTITUTE($G361,"-",""))-1))-LEN(SUBSTITUTE(SUBSTITUTE(SUBSTITUTE($G361,"-"," ",LEN($G361)-LEN(SUBSTITUTE($G361,"-",""))),"-"," ",LEN($G361)-LEN(SUBSTITUTE($G361,"-",""))-1),".","")))=0,SUBSTITUTE(SUBSTITUTE($G361,"-"," ",LEN($G361)-LEN(SUBSTITUTE($G361,"-",""))),"-"," ",LEN($G361)-LEN(SUBSTITUTE($G361,"-",""))-1),SUBSTITUTE(SUBSTITUTE(SUBSTITUTE($G361,"-"," ",LEN($G361)-LEN(SUBSTITUTE($G361,"-",""))),"-"," ",LEN($G361)-LEN(SUBSTITUTE($G361,"-",""))-1),"."," ",(LEN(SUBSTITUTE(SUBSTITUTE($G361,"-"," ",LEN($G361)-LEN(SUBSTITUTE($G361,"-",""))),"-"," ",LEN($G361)-LEN(SUBSTITUTE($G361,"-",""))-1))-LEN(SUBSTITUTE(SUBSTITUTE(SUBSTITUTE($G361,"-"," ",LEN($G361)-LEN(SUBSTITUTE($G361,"-",""))),"-"," ",LEN($G361)-LEN(SUBSTITUTE($G361,"-",""))-1),".",""))))),$G361)))</f>
        <v/>
      </c>
    </row>
    <row r="362">
      <c r="A362" s="58" t="n"/>
      <c r="B362" s="58">
        <f>IF($H362="","",LEFT($H362,FIND(" ",$H362&amp;" ")-1))</f>
        <v/>
      </c>
      <c r="C362" s="58">
        <f>IF($H362="","",IFERROR(MID($H362&amp;" ",FIND("|",SUBSTITUTE($H362&amp;" "," ","|",1))+1,FIND("|",SUBSTITUTE($H362&amp;" "," ","|",2))-FIND("|",SUBSTITUTE($H362&amp;" "," ","|",1))-1),""))</f>
        <v/>
      </c>
      <c r="D362" s="58">
        <f>IF($H362="","",IFERROR(MID($H362&amp;" ",FIND("|",SUBSTITUTE($H362&amp;" "," ","|",2))+1,FIND("|",SUBSTITUTE($H362&amp;" "," ","|",3))-FIND("|",SUBSTITUTE($H362&amp;" "," ","|",2))-1),""))</f>
        <v/>
      </c>
      <c r="E362" s="58">
        <f>IF($H362="","",IFERROR(MID($H362&amp;" ",FIND("|",SUBSTITUTE($H362&amp;" "," ","|",3))+1,FIND("|",SUBSTITUTE($H362&amp;" "," ","|",4))-FIND("|",SUBSTITUTE($H362&amp;" "," ","|",3))-1),""))</f>
        <v/>
      </c>
      <c r="F362" s="59">
        <f>IF($H362="","",IFERROR(VALUE(IFERROR(MID($H362&amp;" ",FIND("|",SUBSTITUTE($H362&amp;" "," ","|",4))+1,FIND("|",SUBSTITUTE($H362&amp;" "," ","|",5))-FIND("|",SUBSTITUTE($H362&amp;" "," ","|",4))-1),""))/86400+25569+9/24,""))</f>
        <v/>
      </c>
      <c r="G362" s="58">
        <f>TRIM(SUBSTITUTE(SUBSTITUTE(SUBSTITUTE($A362,CHAR(9)," ")," "," "),CHAR(13),""))</f>
        <v/>
      </c>
      <c r="H362" s="58">
        <f>IF($G362="","",IF(ISNUMBER(FIND(" ",$G362)),$G362,IFERROR(IF((LEN(SUBSTITUTE(SUBSTITUTE($G362,"-"," ",LEN($G362)-LEN(SUBSTITUTE($G362,"-",""))),"-"," ",LEN($G362)-LEN(SUBSTITUTE($G362,"-",""))-1))-LEN(SUBSTITUTE(SUBSTITUTE(SUBSTITUTE($G362,"-"," ",LEN($G362)-LEN(SUBSTITUTE($G362,"-",""))),"-"," ",LEN($G362)-LEN(SUBSTITUTE($G362,"-",""))-1),".","")))=0,SUBSTITUTE(SUBSTITUTE($G362,"-"," ",LEN($G362)-LEN(SUBSTITUTE($G362,"-",""))),"-"," ",LEN($G362)-LEN(SUBSTITUTE($G362,"-",""))-1),SUBSTITUTE(SUBSTITUTE(SUBSTITUTE($G362,"-"," ",LEN($G362)-LEN(SUBSTITUTE($G362,"-",""))),"-"," ",LEN($G362)-LEN(SUBSTITUTE($G362,"-",""))-1),"."," ",(LEN(SUBSTITUTE(SUBSTITUTE($G362,"-"," ",LEN($G362)-LEN(SUBSTITUTE($G362,"-",""))),"-"," ",LEN($G362)-LEN(SUBSTITUTE($G362,"-",""))-1))-LEN(SUBSTITUTE(SUBSTITUTE(SUBSTITUTE($G362,"-"," ",LEN($G362)-LEN(SUBSTITUTE($G362,"-",""))),"-"," ",LEN($G362)-LEN(SUBSTITUTE($G362,"-",""))-1),".",""))))),$G362)))</f>
        <v/>
      </c>
    </row>
    <row r="363">
      <c r="A363" s="58" t="n"/>
      <c r="B363" s="58">
        <f>IF($H363="","",LEFT($H363,FIND(" ",$H363&amp;" ")-1))</f>
        <v/>
      </c>
      <c r="C363" s="58">
        <f>IF($H363="","",IFERROR(MID($H363&amp;" ",FIND("|",SUBSTITUTE($H363&amp;" "," ","|",1))+1,FIND("|",SUBSTITUTE($H363&amp;" "," ","|",2))-FIND("|",SUBSTITUTE($H363&amp;" "," ","|",1))-1),""))</f>
        <v/>
      </c>
      <c r="D363" s="58">
        <f>IF($H363="","",IFERROR(MID($H363&amp;" ",FIND("|",SUBSTITUTE($H363&amp;" "," ","|",2))+1,FIND("|",SUBSTITUTE($H363&amp;" "," ","|",3))-FIND("|",SUBSTITUTE($H363&amp;" "," ","|",2))-1),""))</f>
        <v/>
      </c>
      <c r="E363" s="58">
        <f>IF($H363="","",IFERROR(MID($H363&amp;" ",FIND("|",SUBSTITUTE($H363&amp;" "," ","|",3))+1,FIND("|",SUBSTITUTE($H363&amp;" "," ","|",4))-FIND("|",SUBSTITUTE($H363&amp;" "," ","|",3))-1),""))</f>
        <v/>
      </c>
      <c r="F363" s="59">
        <f>IF($H363="","",IFERROR(VALUE(IFERROR(MID($H363&amp;" ",FIND("|",SUBSTITUTE($H363&amp;" "," ","|",4))+1,FIND("|",SUBSTITUTE($H363&amp;" "," ","|",5))-FIND("|",SUBSTITUTE($H363&amp;" "," ","|",4))-1),""))/86400+25569+9/24,""))</f>
        <v/>
      </c>
      <c r="G363" s="58">
        <f>TRIM(SUBSTITUTE(SUBSTITUTE(SUBSTITUTE($A363,CHAR(9)," ")," "," "),CHAR(13),""))</f>
        <v/>
      </c>
      <c r="H363" s="58">
        <f>IF($G363="","",IF(ISNUMBER(FIND(" ",$G363)),$G363,IFERROR(IF((LEN(SUBSTITUTE(SUBSTITUTE($G363,"-"," ",LEN($G363)-LEN(SUBSTITUTE($G363,"-",""))),"-"," ",LEN($G363)-LEN(SUBSTITUTE($G363,"-",""))-1))-LEN(SUBSTITUTE(SUBSTITUTE(SUBSTITUTE($G363,"-"," ",LEN($G363)-LEN(SUBSTITUTE($G363,"-",""))),"-"," ",LEN($G363)-LEN(SUBSTITUTE($G363,"-",""))-1),".","")))=0,SUBSTITUTE(SUBSTITUTE($G363,"-"," ",LEN($G363)-LEN(SUBSTITUTE($G363,"-",""))),"-"," ",LEN($G363)-LEN(SUBSTITUTE($G363,"-",""))-1),SUBSTITUTE(SUBSTITUTE(SUBSTITUTE($G363,"-"," ",LEN($G363)-LEN(SUBSTITUTE($G363,"-",""))),"-"," ",LEN($G363)-LEN(SUBSTITUTE($G363,"-",""))-1),"."," ",(LEN(SUBSTITUTE(SUBSTITUTE($G363,"-"," ",LEN($G363)-LEN(SUBSTITUTE($G363,"-",""))),"-"," ",LEN($G363)-LEN(SUBSTITUTE($G363,"-",""))-1))-LEN(SUBSTITUTE(SUBSTITUTE(SUBSTITUTE($G363,"-"," ",LEN($G363)-LEN(SUBSTITUTE($G363,"-",""))),"-"," ",LEN($G363)-LEN(SUBSTITUTE($G363,"-",""))-1),".",""))))),$G363)))</f>
        <v/>
      </c>
    </row>
    <row r="364">
      <c r="A364" s="58" t="n"/>
      <c r="B364" s="58">
        <f>IF($H364="","",LEFT($H364,FIND(" ",$H364&amp;" ")-1))</f>
        <v/>
      </c>
      <c r="C364" s="58">
        <f>IF($H364="","",IFERROR(MID($H364&amp;" ",FIND("|",SUBSTITUTE($H364&amp;" "," ","|",1))+1,FIND("|",SUBSTITUTE($H364&amp;" "," ","|",2))-FIND("|",SUBSTITUTE($H364&amp;" "," ","|",1))-1),""))</f>
        <v/>
      </c>
      <c r="D364" s="58">
        <f>IF($H364="","",IFERROR(MID($H364&amp;" ",FIND("|",SUBSTITUTE($H364&amp;" "," ","|",2))+1,FIND("|",SUBSTITUTE($H364&amp;" "," ","|",3))-FIND("|",SUBSTITUTE($H364&amp;" "," ","|",2))-1),""))</f>
        <v/>
      </c>
      <c r="E364" s="58">
        <f>IF($H364="","",IFERROR(MID($H364&amp;" ",FIND("|",SUBSTITUTE($H364&amp;" "," ","|",3))+1,FIND("|",SUBSTITUTE($H364&amp;" "," ","|",4))-FIND("|",SUBSTITUTE($H364&amp;" "," ","|",3))-1),""))</f>
        <v/>
      </c>
      <c r="F364" s="59">
        <f>IF($H364="","",IFERROR(VALUE(IFERROR(MID($H364&amp;" ",FIND("|",SUBSTITUTE($H364&amp;" "," ","|",4))+1,FIND("|",SUBSTITUTE($H364&amp;" "," ","|",5))-FIND("|",SUBSTITUTE($H364&amp;" "," ","|",4))-1),""))/86400+25569+9/24,""))</f>
        <v/>
      </c>
      <c r="G364" s="58">
        <f>TRIM(SUBSTITUTE(SUBSTITUTE(SUBSTITUTE($A364,CHAR(9)," ")," "," "),CHAR(13),""))</f>
        <v/>
      </c>
      <c r="H364" s="58">
        <f>IF($G364="","",IF(ISNUMBER(FIND(" ",$G364)),$G364,IFERROR(IF((LEN(SUBSTITUTE(SUBSTITUTE($G364,"-"," ",LEN($G364)-LEN(SUBSTITUTE($G364,"-",""))),"-"," ",LEN($G364)-LEN(SUBSTITUTE($G364,"-",""))-1))-LEN(SUBSTITUTE(SUBSTITUTE(SUBSTITUTE($G364,"-"," ",LEN($G364)-LEN(SUBSTITUTE($G364,"-",""))),"-"," ",LEN($G364)-LEN(SUBSTITUTE($G364,"-",""))-1),".","")))=0,SUBSTITUTE(SUBSTITUTE($G364,"-"," ",LEN($G364)-LEN(SUBSTITUTE($G364,"-",""))),"-"," ",LEN($G364)-LEN(SUBSTITUTE($G364,"-",""))-1),SUBSTITUTE(SUBSTITUTE(SUBSTITUTE($G364,"-"," ",LEN($G364)-LEN(SUBSTITUTE($G364,"-",""))),"-"," ",LEN($G364)-LEN(SUBSTITUTE($G364,"-",""))-1),"."," ",(LEN(SUBSTITUTE(SUBSTITUTE($G364,"-"," ",LEN($G364)-LEN(SUBSTITUTE($G364,"-",""))),"-"," ",LEN($G364)-LEN(SUBSTITUTE($G364,"-",""))-1))-LEN(SUBSTITUTE(SUBSTITUTE(SUBSTITUTE($G364,"-"," ",LEN($G364)-LEN(SUBSTITUTE($G364,"-",""))),"-"," ",LEN($G364)-LEN(SUBSTITUTE($G364,"-",""))-1),".",""))))),$G364)))</f>
        <v/>
      </c>
    </row>
    <row r="365">
      <c r="A365" s="58" t="n"/>
      <c r="B365" s="58">
        <f>IF($H365="","",LEFT($H365,FIND(" ",$H365&amp;" ")-1))</f>
        <v/>
      </c>
      <c r="C365" s="58">
        <f>IF($H365="","",IFERROR(MID($H365&amp;" ",FIND("|",SUBSTITUTE($H365&amp;" "," ","|",1))+1,FIND("|",SUBSTITUTE($H365&amp;" "," ","|",2))-FIND("|",SUBSTITUTE($H365&amp;" "," ","|",1))-1),""))</f>
        <v/>
      </c>
      <c r="D365" s="58">
        <f>IF($H365="","",IFERROR(MID($H365&amp;" ",FIND("|",SUBSTITUTE($H365&amp;" "," ","|",2))+1,FIND("|",SUBSTITUTE($H365&amp;" "," ","|",3))-FIND("|",SUBSTITUTE($H365&amp;" "," ","|",2))-1),""))</f>
        <v/>
      </c>
      <c r="E365" s="58">
        <f>IF($H365="","",IFERROR(MID($H365&amp;" ",FIND("|",SUBSTITUTE($H365&amp;" "," ","|",3))+1,FIND("|",SUBSTITUTE($H365&amp;" "," ","|",4))-FIND("|",SUBSTITUTE($H365&amp;" "," ","|",3))-1),""))</f>
        <v/>
      </c>
      <c r="F365" s="59">
        <f>IF($H365="","",IFERROR(VALUE(IFERROR(MID($H365&amp;" ",FIND("|",SUBSTITUTE($H365&amp;" "," ","|",4))+1,FIND("|",SUBSTITUTE($H365&amp;" "," ","|",5))-FIND("|",SUBSTITUTE($H365&amp;" "," ","|",4))-1),""))/86400+25569+9/24,""))</f>
        <v/>
      </c>
      <c r="G365" s="58">
        <f>TRIM(SUBSTITUTE(SUBSTITUTE(SUBSTITUTE($A365,CHAR(9)," ")," "," "),CHAR(13),""))</f>
        <v/>
      </c>
      <c r="H365" s="58">
        <f>IF($G365="","",IF(ISNUMBER(FIND(" ",$G365)),$G365,IFERROR(IF((LEN(SUBSTITUTE(SUBSTITUTE($G365,"-"," ",LEN($G365)-LEN(SUBSTITUTE($G365,"-",""))),"-"," ",LEN($G365)-LEN(SUBSTITUTE($G365,"-",""))-1))-LEN(SUBSTITUTE(SUBSTITUTE(SUBSTITUTE($G365,"-"," ",LEN($G365)-LEN(SUBSTITUTE($G365,"-",""))),"-"," ",LEN($G365)-LEN(SUBSTITUTE($G365,"-",""))-1),".","")))=0,SUBSTITUTE(SUBSTITUTE($G365,"-"," ",LEN($G365)-LEN(SUBSTITUTE($G365,"-",""))),"-"," ",LEN($G365)-LEN(SUBSTITUTE($G365,"-",""))-1),SUBSTITUTE(SUBSTITUTE(SUBSTITUTE($G365,"-"," ",LEN($G365)-LEN(SUBSTITUTE($G365,"-",""))),"-"," ",LEN($G365)-LEN(SUBSTITUTE($G365,"-",""))-1),"."," ",(LEN(SUBSTITUTE(SUBSTITUTE($G365,"-"," ",LEN($G365)-LEN(SUBSTITUTE($G365,"-",""))),"-"," ",LEN($G365)-LEN(SUBSTITUTE($G365,"-",""))-1))-LEN(SUBSTITUTE(SUBSTITUTE(SUBSTITUTE($G365,"-"," ",LEN($G365)-LEN(SUBSTITUTE($G365,"-",""))),"-"," ",LEN($G365)-LEN(SUBSTITUTE($G365,"-",""))-1),".",""))))),$G365)))</f>
        <v/>
      </c>
    </row>
    <row r="366">
      <c r="A366" s="58" t="n"/>
      <c r="B366" s="58">
        <f>IF($H366="","",LEFT($H366,FIND(" ",$H366&amp;" ")-1))</f>
        <v/>
      </c>
      <c r="C366" s="58">
        <f>IF($H366="","",IFERROR(MID($H366&amp;" ",FIND("|",SUBSTITUTE($H366&amp;" "," ","|",1))+1,FIND("|",SUBSTITUTE($H366&amp;" "," ","|",2))-FIND("|",SUBSTITUTE($H366&amp;" "," ","|",1))-1),""))</f>
        <v/>
      </c>
      <c r="D366" s="58">
        <f>IF($H366="","",IFERROR(MID($H366&amp;" ",FIND("|",SUBSTITUTE($H366&amp;" "," ","|",2))+1,FIND("|",SUBSTITUTE($H366&amp;" "," ","|",3))-FIND("|",SUBSTITUTE($H366&amp;" "," ","|",2))-1),""))</f>
        <v/>
      </c>
      <c r="E366" s="58">
        <f>IF($H366="","",IFERROR(MID($H366&amp;" ",FIND("|",SUBSTITUTE($H366&amp;" "," ","|",3))+1,FIND("|",SUBSTITUTE($H366&amp;" "," ","|",4))-FIND("|",SUBSTITUTE($H366&amp;" "," ","|",3))-1),""))</f>
        <v/>
      </c>
      <c r="F366" s="59">
        <f>IF($H366="","",IFERROR(VALUE(IFERROR(MID($H366&amp;" ",FIND("|",SUBSTITUTE($H366&amp;" "," ","|",4))+1,FIND("|",SUBSTITUTE($H366&amp;" "," ","|",5))-FIND("|",SUBSTITUTE($H366&amp;" "," ","|",4))-1),""))/86400+25569+9/24,""))</f>
        <v/>
      </c>
      <c r="G366" s="58">
        <f>TRIM(SUBSTITUTE(SUBSTITUTE(SUBSTITUTE($A366,CHAR(9)," ")," "," "),CHAR(13),""))</f>
        <v/>
      </c>
      <c r="H366" s="58">
        <f>IF($G366="","",IF(ISNUMBER(FIND(" ",$G366)),$G366,IFERROR(IF((LEN(SUBSTITUTE(SUBSTITUTE($G366,"-"," ",LEN($G366)-LEN(SUBSTITUTE($G366,"-",""))),"-"," ",LEN($G366)-LEN(SUBSTITUTE($G366,"-",""))-1))-LEN(SUBSTITUTE(SUBSTITUTE(SUBSTITUTE($G366,"-"," ",LEN($G366)-LEN(SUBSTITUTE($G366,"-",""))),"-"," ",LEN($G366)-LEN(SUBSTITUTE($G366,"-",""))-1),".","")))=0,SUBSTITUTE(SUBSTITUTE($G366,"-"," ",LEN($G366)-LEN(SUBSTITUTE($G366,"-",""))),"-"," ",LEN($G366)-LEN(SUBSTITUTE($G366,"-",""))-1),SUBSTITUTE(SUBSTITUTE(SUBSTITUTE($G366,"-"," ",LEN($G366)-LEN(SUBSTITUTE($G366,"-",""))),"-"," ",LEN($G366)-LEN(SUBSTITUTE($G366,"-",""))-1),"."," ",(LEN(SUBSTITUTE(SUBSTITUTE($G366,"-"," ",LEN($G366)-LEN(SUBSTITUTE($G366,"-",""))),"-"," ",LEN($G366)-LEN(SUBSTITUTE($G366,"-",""))-1))-LEN(SUBSTITUTE(SUBSTITUTE(SUBSTITUTE($G366,"-"," ",LEN($G366)-LEN(SUBSTITUTE($G366,"-",""))),"-"," ",LEN($G366)-LEN(SUBSTITUTE($G366,"-",""))-1),".",""))))),$G366)))</f>
        <v/>
      </c>
    </row>
    <row r="367">
      <c r="A367" s="58" t="n"/>
      <c r="B367" s="58">
        <f>IF($H367="","",LEFT($H367,FIND(" ",$H367&amp;" ")-1))</f>
        <v/>
      </c>
      <c r="C367" s="58">
        <f>IF($H367="","",IFERROR(MID($H367&amp;" ",FIND("|",SUBSTITUTE($H367&amp;" "," ","|",1))+1,FIND("|",SUBSTITUTE($H367&amp;" "," ","|",2))-FIND("|",SUBSTITUTE($H367&amp;" "," ","|",1))-1),""))</f>
        <v/>
      </c>
      <c r="D367" s="58">
        <f>IF($H367="","",IFERROR(MID($H367&amp;" ",FIND("|",SUBSTITUTE($H367&amp;" "," ","|",2))+1,FIND("|",SUBSTITUTE($H367&amp;" "," ","|",3))-FIND("|",SUBSTITUTE($H367&amp;" "," ","|",2))-1),""))</f>
        <v/>
      </c>
      <c r="E367" s="58">
        <f>IF($H367="","",IFERROR(MID($H367&amp;" ",FIND("|",SUBSTITUTE($H367&amp;" "," ","|",3))+1,FIND("|",SUBSTITUTE($H367&amp;" "," ","|",4))-FIND("|",SUBSTITUTE($H367&amp;" "," ","|",3))-1),""))</f>
        <v/>
      </c>
      <c r="F367" s="59">
        <f>IF($H367="","",IFERROR(VALUE(IFERROR(MID($H367&amp;" ",FIND("|",SUBSTITUTE($H367&amp;" "," ","|",4))+1,FIND("|",SUBSTITUTE($H367&amp;" "," ","|",5))-FIND("|",SUBSTITUTE($H367&amp;" "," ","|",4))-1),""))/86400+25569+9/24,""))</f>
        <v/>
      </c>
      <c r="G367" s="58">
        <f>TRIM(SUBSTITUTE(SUBSTITUTE(SUBSTITUTE($A367,CHAR(9)," ")," "," "),CHAR(13),""))</f>
        <v/>
      </c>
      <c r="H367" s="58">
        <f>IF($G367="","",IF(ISNUMBER(FIND(" ",$G367)),$G367,IFERROR(IF((LEN(SUBSTITUTE(SUBSTITUTE($G367,"-"," ",LEN($G367)-LEN(SUBSTITUTE($G367,"-",""))),"-"," ",LEN($G367)-LEN(SUBSTITUTE($G367,"-",""))-1))-LEN(SUBSTITUTE(SUBSTITUTE(SUBSTITUTE($G367,"-"," ",LEN($G367)-LEN(SUBSTITUTE($G367,"-",""))),"-"," ",LEN($G367)-LEN(SUBSTITUTE($G367,"-",""))-1),".","")))=0,SUBSTITUTE(SUBSTITUTE($G367,"-"," ",LEN($G367)-LEN(SUBSTITUTE($G367,"-",""))),"-"," ",LEN($G367)-LEN(SUBSTITUTE($G367,"-",""))-1),SUBSTITUTE(SUBSTITUTE(SUBSTITUTE($G367,"-"," ",LEN($G367)-LEN(SUBSTITUTE($G367,"-",""))),"-"," ",LEN($G367)-LEN(SUBSTITUTE($G367,"-",""))-1),"."," ",(LEN(SUBSTITUTE(SUBSTITUTE($G367,"-"," ",LEN($G367)-LEN(SUBSTITUTE($G367,"-",""))),"-"," ",LEN($G367)-LEN(SUBSTITUTE($G367,"-",""))-1))-LEN(SUBSTITUTE(SUBSTITUTE(SUBSTITUTE($G367,"-"," ",LEN($G367)-LEN(SUBSTITUTE($G367,"-",""))),"-"," ",LEN($G367)-LEN(SUBSTITUTE($G367,"-",""))-1),".",""))))),$G367)))</f>
        <v/>
      </c>
    </row>
    <row r="368">
      <c r="A368" s="58" t="n"/>
      <c r="B368" s="58">
        <f>IF($H368="","",LEFT($H368,FIND(" ",$H368&amp;" ")-1))</f>
        <v/>
      </c>
      <c r="C368" s="58">
        <f>IF($H368="","",IFERROR(MID($H368&amp;" ",FIND("|",SUBSTITUTE($H368&amp;" "," ","|",1))+1,FIND("|",SUBSTITUTE($H368&amp;" "," ","|",2))-FIND("|",SUBSTITUTE($H368&amp;" "," ","|",1))-1),""))</f>
        <v/>
      </c>
      <c r="D368" s="58">
        <f>IF($H368="","",IFERROR(MID($H368&amp;" ",FIND("|",SUBSTITUTE($H368&amp;" "," ","|",2))+1,FIND("|",SUBSTITUTE($H368&amp;" "," ","|",3))-FIND("|",SUBSTITUTE($H368&amp;" "," ","|",2))-1),""))</f>
        <v/>
      </c>
      <c r="E368" s="58">
        <f>IF($H368="","",IFERROR(MID($H368&amp;" ",FIND("|",SUBSTITUTE($H368&amp;" "," ","|",3))+1,FIND("|",SUBSTITUTE($H368&amp;" "," ","|",4))-FIND("|",SUBSTITUTE($H368&amp;" "," ","|",3))-1),""))</f>
        <v/>
      </c>
      <c r="F368" s="59">
        <f>IF($H368="","",IFERROR(VALUE(IFERROR(MID($H368&amp;" ",FIND("|",SUBSTITUTE($H368&amp;" "," ","|",4))+1,FIND("|",SUBSTITUTE($H368&amp;" "," ","|",5))-FIND("|",SUBSTITUTE($H368&amp;" "," ","|",4))-1),""))/86400+25569+9/24,""))</f>
        <v/>
      </c>
      <c r="G368" s="58">
        <f>TRIM(SUBSTITUTE(SUBSTITUTE(SUBSTITUTE($A368,CHAR(9)," ")," "," "),CHAR(13),""))</f>
        <v/>
      </c>
      <c r="H368" s="58">
        <f>IF($G368="","",IF(ISNUMBER(FIND(" ",$G368)),$G368,IFERROR(IF((LEN(SUBSTITUTE(SUBSTITUTE($G368,"-"," ",LEN($G368)-LEN(SUBSTITUTE($G368,"-",""))),"-"," ",LEN($G368)-LEN(SUBSTITUTE($G368,"-",""))-1))-LEN(SUBSTITUTE(SUBSTITUTE(SUBSTITUTE($G368,"-"," ",LEN($G368)-LEN(SUBSTITUTE($G368,"-",""))),"-"," ",LEN($G368)-LEN(SUBSTITUTE($G368,"-",""))-1),".","")))=0,SUBSTITUTE(SUBSTITUTE($G368,"-"," ",LEN($G368)-LEN(SUBSTITUTE($G368,"-",""))),"-"," ",LEN($G368)-LEN(SUBSTITUTE($G368,"-",""))-1),SUBSTITUTE(SUBSTITUTE(SUBSTITUTE($G368,"-"," ",LEN($G368)-LEN(SUBSTITUTE($G368,"-",""))),"-"," ",LEN($G368)-LEN(SUBSTITUTE($G368,"-",""))-1),"."," ",(LEN(SUBSTITUTE(SUBSTITUTE($G368,"-"," ",LEN($G368)-LEN(SUBSTITUTE($G368,"-",""))),"-"," ",LEN($G368)-LEN(SUBSTITUTE($G368,"-",""))-1))-LEN(SUBSTITUTE(SUBSTITUTE(SUBSTITUTE($G368,"-"," ",LEN($G368)-LEN(SUBSTITUTE($G368,"-",""))),"-"," ",LEN($G368)-LEN(SUBSTITUTE($G368,"-",""))-1),".",""))))),$G368)))</f>
        <v/>
      </c>
    </row>
    <row r="369">
      <c r="A369" s="58" t="n"/>
      <c r="B369" s="58">
        <f>IF($H369="","",LEFT($H369,FIND(" ",$H369&amp;" ")-1))</f>
        <v/>
      </c>
      <c r="C369" s="58">
        <f>IF($H369="","",IFERROR(MID($H369&amp;" ",FIND("|",SUBSTITUTE($H369&amp;" "," ","|",1))+1,FIND("|",SUBSTITUTE($H369&amp;" "," ","|",2))-FIND("|",SUBSTITUTE($H369&amp;" "," ","|",1))-1),""))</f>
        <v/>
      </c>
      <c r="D369" s="58">
        <f>IF($H369="","",IFERROR(MID($H369&amp;" ",FIND("|",SUBSTITUTE($H369&amp;" "," ","|",2))+1,FIND("|",SUBSTITUTE($H369&amp;" "," ","|",3))-FIND("|",SUBSTITUTE($H369&amp;" "," ","|",2))-1),""))</f>
        <v/>
      </c>
      <c r="E369" s="58">
        <f>IF($H369="","",IFERROR(MID($H369&amp;" ",FIND("|",SUBSTITUTE($H369&amp;" "," ","|",3))+1,FIND("|",SUBSTITUTE($H369&amp;" "," ","|",4))-FIND("|",SUBSTITUTE($H369&amp;" "," ","|",3))-1),""))</f>
        <v/>
      </c>
      <c r="F369" s="59">
        <f>IF($H369="","",IFERROR(VALUE(IFERROR(MID($H369&amp;" ",FIND("|",SUBSTITUTE($H369&amp;" "," ","|",4))+1,FIND("|",SUBSTITUTE($H369&amp;" "," ","|",5))-FIND("|",SUBSTITUTE($H369&amp;" "," ","|",4))-1),""))/86400+25569+9/24,""))</f>
        <v/>
      </c>
      <c r="G369" s="58">
        <f>TRIM(SUBSTITUTE(SUBSTITUTE(SUBSTITUTE($A369,CHAR(9)," ")," "," "),CHAR(13),""))</f>
        <v/>
      </c>
      <c r="H369" s="58">
        <f>IF($G369="","",IF(ISNUMBER(FIND(" ",$G369)),$G369,IFERROR(IF((LEN(SUBSTITUTE(SUBSTITUTE($G369,"-"," ",LEN($G369)-LEN(SUBSTITUTE($G369,"-",""))),"-"," ",LEN($G369)-LEN(SUBSTITUTE($G369,"-",""))-1))-LEN(SUBSTITUTE(SUBSTITUTE(SUBSTITUTE($G369,"-"," ",LEN($G369)-LEN(SUBSTITUTE($G369,"-",""))),"-"," ",LEN($G369)-LEN(SUBSTITUTE($G369,"-",""))-1),".","")))=0,SUBSTITUTE(SUBSTITUTE($G369,"-"," ",LEN($G369)-LEN(SUBSTITUTE($G369,"-",""))),"-"," ",LEN($G369)-LEN(SUBSTITUTE($G369,"-",""))-1),SUBSTITUTE(SUBSTITUTE(SUBSTITUTE($G369,"-"," ",LEN($G369)-LEN(SUBSTITUTE($G369,"-",""))),"-"," ",LEN($G369)-LEN(SUBSTITUTE($G369,"-",""))-1),"."," ",(LEN(SUBSTITUTE(SUBSTITUTE($G369,"-"," ",LEN($G369)-LEN(SUBSTITUTE($G369,"-",""))),"-"," ",LEN($G369)-LEN(SUBSTITUTE($G369,"-",""))-1))-LEN(SUBSTITUTE(SUBSTITUTE(SUBSTITUTE($G369,"-"," ",LEN($G369)-LEN(SUBSTITUTE($G369,"-",""))),"-"," ",LEN($G369)-LEN(SUBSTITUTE($G369,"-",""))-1),".",""))))),$G369)))</f>
        <v/>
      </c>
    </row>
    <row r="370">
      <c r="A370" s="58" t="n"/>
      <c r="B370" s="58">
        <f>IF($H370="","",LEFT($H370,FIND(" ",$H370&amp;" ")-1))</f>
        <v/>
      </c>
      <c r="C370" s="58">
        <f>IF($H370="","",IFERROR(MID($H370&amp;" ",FIND("|",SUBSTITUTE($H370&amp;" "," ","|",1))+1,FIND("|",SUBSTITUTE($H370&amp;" "," ","|",2))-FIND("|",SUBSTITUTE($H370&amp;" "," ","|",1))-1),""))</f>
        <v/>
      </c>
      <c r="D370" s="58">
        <f>IF($H370="","",IFERROR(MID($H370&amp;" ",FIND("|",SUBSTITUTE($H370&amp;" "," ","|",2))+1,FIND("|",SUBSTITUTE($H370&amp;" "," ","|",3))-FIND("|",SUBSTITUTE($H370&amp;" "," ","|",2))-1),""))</f>
        <v/>
      </c>
      <c r="E370" s="58">
        <f>IF($H370="","",IFERROR(MID($H370&amp;" ",FIND("|",SUBSTITUTE($H370&amp;" "," ","|",3))+1,FIND("|",SUBSTITUTE($H370&amp;" "," ","|",4))-FIND("|",SUBSTITUTE($H370&amp;" "," ","|",3))-1),""))</f>
        <v/>
      </c>
      <c r="F370" s="59">
        <f>IF($H370="","",IFERROR(VALUE(IFERROR(MID($H370&amp;" ",FIND("|",SUBSTITUTE($H370&amp;" "," ","|",4))+1,FIND("|",SUBSTITUTE($H370&amp;" "," ","|",5))-FIND("|",SUBSTITUTE($H370&amp;" "," ","|",4))-1),""))/86400+25569+9/24,""))</f>
        <v/>
      </c>
      <c r="G370" s="58">
        <f>TRIM(SUBSTITUTE(SUBSTITUTE(SUBSTITUTE($A370,CHAR(9)," ")," "," "),CHAR(13),""))</f>
        <v/>
      </c>
      <c r="H370" s="58">
        <f>IF($G370="","",IF(ISNUMBER(FIND(" ",$G370)),$G370,IFERROR(IF((LEN(SUBSTITUTE(SUBSTITUTE($G370,"-"," ",LEN($G370)-LEN(SUBSTITUTE($G370,"-",""))),"-"," ",LEN($G370)-LEN(SUBSTITUTE($G370,"-",""))-1))-LEN(SUBSTITUTE(SUBSTITUTE(SUBSTITUTE($G370,"-"," ",LEN($G370)-LEN(SUBSTITUTE($G370,"-",""))),"-"," ",LEN($G370)-LEN(SUBSTITUTE($G370,"-",""))-1),".","")))=0,SUBSTITUTE(SUBSTITUTE($G370,"-"," ",LEN($G370)-LEN(SUBSTITUTE($G370,"-",""))),"-"," ",LEN($G370)-LEN(SUBSTITUTE($G370,"-",""))-1),SUBSTITUTE(SUBSTITUTE(SUBSTITUTE($G370,"-"," ",LEN($G370)-LEN(SUBSTITUTE($G370,"-",""))),"-"," ",LEN($G370)-LEN(SUBSTITUTE($G370,"-",""))-1),"."," ",(LEN(SUBSTITUTE(SUBSTITUTE($G370,"-"," ",LEN($G370)-LEN(SUBSTITUTE($G370,"-",""))),"-"," ",LEN($G370)-LEN(SUBSTITUTE($G370,"-",""))-1))-LEN(SUBSTITUTE(SUBSTITUTE(SUBSTITUTE($G370,"-"," ",LEN($G370)-LEN(SUBSTITUTE($G370,"-",""))),"-"," ",LEN($G370)-LEN(SUBSTITUTE($G370,"-",""))-1),".",""))))),$G370)))</f>
        <v/>
      </c>
    </row>
    <row r="371">
      <c r="A371" s="58" t="n"/>
      <c r="B371" s="58">
        <f>IF($H371="","",LEFT($H371,FIND(" ",$H371&amp;" ")-1))</f>
        <v/>
      </c>
      <c r="C371" s="58">
        <f>IF($H371="","",IFERROR(MID($H371&amp;" ",FIND("|",SUBSTITUTE($H371&amp;" "," ","|",1))+1,FIND("|",SUBSTITUTE($H371&amp;" "," ","|",2))-FIND("|",SUBSTITUTE($H371&amp;" "," ","|",1))-1),""))</f>
        <v/>
      </c>
      <c r="D371" s="58">
        <f>IF($H371="","",IFERROR(MID($H371&amp;" ",FIND("|",SUBSTITUTE($H371&amp;" "," ","|",2))+1,FIND("|",SUBSTITUTE($H371&amp;" "," ","|",3))-FIND("|",SUBSTITUTE($H371&amp;" "," ","|",2))-1),""))</f>
        <v/>
      </c>
      <c r="E371" s="58">
        <f>IF($H371="","",IFERROR(MID($H371&amp;" ",FIND("|",SUBSTITUTE($H371&amp;" "," ","|",3))+1,FIND("|",SUBSTITUTE($H371&amp;" "," ","|",4))-FIND("|",SUBSTITUTE($H371&amp;" "," ","|",3))-1),""))</f>
        <v/>
      </c>
      <c r="F371" s="59">
        <f>IF($H371="","",IFERROR(VALUE(IFERROR(MID($H371&amp;" ",FIND("|",SUBSTITUTE($H371&amp;" "," ","|",4))+1,FIND("|",SUBSTITUTE($H371&amp;" "," ","|",5))-FIND("|",SUBSTITUTE($H371&amp;" "," ","|",4))-1),""))/86400+25569+9/24,""))</f>
        <v/>
      </c>
      <c r="G371" s="58">
        <f>TRIM(SUBSTITUTE(SUBSTITUTE(SUBSTITUTE($A371,CHAR(9)," ")," "," "),CHAR(13),""))</f>
        <v/>
      </c>
      <c r="H371" s="58">
        <f>IF($G371="","",IF(ISNUMBER(FIND(" ",$G371)),$G371,IFERROR(IF((LEN(SUBSTITUTE(SUBSTITUTE($G371,"-"," ",LEN($G371)-LEN(SUBSTITUTE($G371,"-",""))),"-"," ",LEN($G371)-LEN(SUBSTITUTE($G371,"-",""))-1))-LEN(SUBSTITUTE(SUBSTITUTE(SUBSTITUTE($G371,"-"," ",LEN($G371)-LEN(SUBSTITUTE($G371,"-",""))),"-"," ",LEN($G371)-LEN(SUBSTITUTE($G371,"-",""))-1),".","")))=0,SUBSTITUTE(SUBSTITUTE($G371,"-"," ",LEN($G371)-LEN(SUBSTITUTE($G371,"-",""))),"-"," ",LEN($G371)-LEN(SUBSTITUTE($G371,"-",""))-1),SUBSTITUTE(SUBSTITUTE(SUBSTITUTE($G371,"-"," ",LEN($G371)-LEN(SUBSTITUTE($G371,"-",""))),"-"," ",LEN($G371)-LEN(SUBSTITUTE($G371,"-",""))-1),"."," ",(LEN(SUBSTITUTE(SUBSTITUTE($G371,"-"," ",LEN($G371)-LEN(SUBSTITUTE($G371,"-",""))),"-"," ",LEN($G371)-LEN(SUBSTITUTE($G371,"-",""))-1))-LEN(SUBSTITUTE(SUBSTITUTE(SUBSTITUTE($G371,"-"," ",LEN($G371)-LEN(SUBSTITUTE($G371,"-",""))),"-"," ",LEN($G371)-LEN(SUBSTITUTE($G371,"-",""))-1),".",""))))),$G371)))</f>
        <v/>
      </c>
    </row>
    <row r="372">
      <c r="A372" s="58" t="n"/>
      <c r="B372" s="58">
        <f>IF($H372="","",LEFT($H372,FIND(" ",$H372&amp;" ")-1))</f>
        <v/>
      </c>
      <c r="C372" s="58">
        <f>IF($H372="","",IFERROR(MID($H372&amp;" ",FIND("|",SUBSTITUTE($H372&amp;" "," ","|",1))+1,FIND("|",SUBSTITUTE($H372&amp;" "," ","|",2))-FIND("|",SUBSTITUTE($H372&amp;" "," ","|",1))-1),""))</f>
        <v/>
      </c>
      <c r="D372" s="58">
        <f>IF($H372="","",IFERROR(MID($H372&amp;" ",FIND("|",SUBSTITUTE($H372&amp;" "," ","|",2))+1,FIND("|",SUBSTITUTE($H372&amp;" "," ","|",3))-FIND("|",SUBSTITUTE($H372&amp;" "," ","|",2))-1),""))</f>
        <v/>
      </c>
      <c r="E372" s="58">
        <f>IF($H372="","",IFERROR(MID($H372&amp;" ",FIND("|",SUBSTITUTE($H372&amp;" "," ","|",3))+1,FIND("|",SUBSTITUTE($H372&amp;" "," ","|",4))-FIND("|",SUBSTITUTE($H372&amp;" "," ","|",3))-1),""))</f>
        <v/>
      </c>
      <c r="F372" s="59">
        <f>IF($H372="","",IFERROR(VALUE(IFERROR(MID($H372&amp;" ",FIND("|",SUBSTITUTE($H372&amp;" "," ","|",4))+1,FIND("|",SUBSTITUTE($H372&amp;" "," ","|",5))-FIND("|",SUBSTITUTE($H372&amp;" "," ","|",4))-1),""))/86400+25569+9/24,""))</f>
        <v/>
      </c>
      <c r="G372" s="58">
        <f>TRIM(SUBSTITUTE(SUBSTITUTE(SUBSTITUTE($A372,CHAR(9)," ")," "," "),CHAR(13),""))</f>
        <v/>
      </c>
      <c r="H372" s="58">
        <f>IF($G372="","",IF(ISNUMBER(FIND(" ",$G372)),$G372,IFERROR(IF((LEN(SUBSTITUTE(SUBSTITUTE($G372,"-"," ",LEN($G372)-LEN(SUBSTITUTE($G372,"-",""))),"-"," ",LEN($G372)-LEN(SUBSTITUTE($G372,"-",""))-1))-LEN(SUBSTITUTE(SUBSTITUTE(SUBSTITUTE($G372,"-"," ",LEN($G372)-LEN(SUBSTITUTE($G372,"-",""))),"-"," ",LEN($G372)-LEN(SUBSTITUTE($G372,"-",""))-1),".","")))=0,SUBSTITUTE(SUBSTITUTE($G372,"-"," ",LEN($G372)-LEN(SUBSTITUTE($G372,"-",""))),"-"," ",LEN($G372)-LEN(SUBSTITUTE($G372,"-",""))-1),SUBSTITUTE(SUBSTITUTE(SUBSTITUTE($G372,"-"," ",LEN($G372)-LEN(SUBSTITUTE($G372,"-",""))),"-"," ",LEN($G372)-LEN(SUBSTITUTE($G372,"-",""))-1),"."," ",(LEN(SUBSTITUTE(SUBSTITUTE($G372,"-"," ",LEN($G372)-LEN(SUBSTITUTE($G372,"-",""))),"-"," ",LEN($G372)-LEN(SUBSTITUTE($G372,"-",""))-1))-LEN(SUBSTITUTE(SUBSTITUTE(SUBSTITUTE($G372,"-"," ",LEN($G372)-LEN(SUBSTITUTE($G372,"-",""))),"-"," ",LEN($G372)-LEN(SUBSTITUTE($G372,"-",""))-1),".",""))))),$G372)))</f>
        <v/>
      </c>
    </row>
    <row r="373">
      <c r="A373" s="58" t="n"/>
      <c r="B373" s="58">
        <f>IF($H373="","",LEFT($H373,FIND(" ",$H373&amp;" ")-1))</f>
        <v/>
      </c>
      <c r="C373" s="58">
        <f>IF($H373="","",IFERROR(MID($H373&amp;" ",FIND("|",SUBSTITUTE($H373&amp;" "," ","|",1))+1,FIND("|",SUBSTITUTE($H373&amp;" "," ","|",2))-FIND("|",SUBSTITUTE($H373&amp;" "," ","|",1))-1),""))</f>
        <v/>
      </c>
      <c r="D373" s="58">
        <f>IF($H373="","",IFERROR(MID($H373&amp;" ",FIND("|",SUBSTITUTE($H373&amp;" "," ","|",2))+1,FIND("|",SUBSTITUTE($H373&amp;" "," ","|",3))-FIND("|",SUBSTITUTE($H373&amp;" "," ","|",2))-1),""))</f>
        <v/>
      </c>
      <c r="E373" s="58">
        <f>IF($H373="","",IFERROR(MID($H373&amp;" ",FIND("|",SUBSTITUTE($H373&amp;" "," ","|",3))+1,FIND("|",SUBSTITUTE($H373&amp;" "," ","|",4))-FIND("|",SUBSTITUTE($H373&amp;" "," ","|",3))-1),""))</f>
        <v/>
      </c>
      <c r="F373" s="59">
        <f>IF($H373="","",IFERROR(VALUE(IFERROR(MID($H373&amp;" ",FIND("|",SUBSTITUTE($H373&amp;" "," ","|",4))+1,FIND("|",SUBSTITUTE($H373&amp;" "," ","|",5))-FIND("|",SUBSTITUTE($H373&amp;" "," ","|",4))-1),""))/86400+25569+9/24,""))</f>
        <v/>
      </c>
      <c r="G373" s="58">
        <f>TRIM(SUBSTITUTE(SUBSTITUTE(SUBSTITUTE($A373,CHAR(9)," ")," "," "),CHAR(13),""))</f>
        <v/>
      </c>
      <c r="H373" s="58">
        <f>IF($G373="","",IF(ISNUMBER(FIND(" ",$G373)),$G373,IFERROR(IF((LEN(SUBSTITUTE(SUBSTITUTE($G373,"-"," ",LEN($G373)-LEN(SUBSTITUTE($G373,"-",""))),"-"," ",LEN($G373)-LEN(SUBSTITUTE($G373,"-",""))-1))-LEN(SUBSTITUTE(SUBSTITUTE(SUBSTITUTE($G373,"-"," ",LEN($G373)-LEN(SUBSTITUTE($G373,"-",""))),"-"," ",LEN($G373)-LEN(SUBSTITUTE($G373,"-",""))-1),".","")))=0,SUBSTITUTE(SUBSTITUTE($G373,"-"," ",LEN($G373)-LEN(SUBSTITUTE($G373,"-",""))),"-"," ",LEN($G373)-LEN(SUBSTITUTE($G373,"-",""))-1),SUBSTITUTE(SUBSTITUTE(SUBSTITUTE($G373,"-"," ",LEN($G373)-LEN(SUBSTITUTE($G373,"-",""))),"-"," ",LEN($G373)-LEN(SUBSTITUTE($G373,"-",""))-1),"."," ",(LEN(SUBSTITUTE(SUBSTITUTE($G373,"-"," ",LEN($G373)-LEN(SUBSTITUTE($G373,"-",""))),"-"," ",LEN($G373)-LEN(SUBSTITUTE($G373,"-",""))-1))-LEN(SUBSTITUTE(SUBSTITUTE(SUBSTITUTE($G373,"-"," ",LEN($G373)-LEN(SUBSTITUTE($G373,"-",""))),"-"," ",LEN($G373)-LEN(SUBSTITUTE($G373,"-",""))-1),".",""))))),$G373)))</f>
        <v/>
      </c>
    </row>
    <row r="374">
      <c r="A374" s="58" t="n"/>
      <c r="B374" s="58">
        <f>IF($H374="","",LEFT($H374,FIND(" ",$H374&amp;" ")-1))</f>
        <v/>
      </c>
      <c r="C374" s="58">
        <f>IF($H374="","",IFERROR(MID($H374&amp;" ",FIND("|",SUBSTITUTE($H374&amp;" "," ","|",1))+1,FIND("|",SUBSTITUTE($H374&amp;" "," ","|",2))-FIND("|",SUBSTITUTE($H374&amp;" "," ","|",1))-1),""))</f>
        <v/>
      </c>
      <c r="D374" s="58">
        <f>IF($H374="","",IFERROR(MID($H374&amp;" ",FIND("|",SUBSTITUTE($H374&amp;" "," ","|",2))+1,FIND("|",SUBSTITUTE($H374&amp;" "," ","|",3))-FIND("|",SUBSTITUTE($H374&amp;" "," ","|",2))-1),""))</f>
        <v/>
      </c>
      <c r="E374" s="58">
        <f>IF($H374="","",IFERROR(MID($H374&amp;" ",FIND("|",SUBSTITUTE($H374&amp;" "," ","|",3))+1,FIND("|",SUBSTITUTE($H374&amp;" "," ","|",4))-FIND("|",SUBSTITUTE($H374&amp;" "," ","|",3))-1),""))</f>
        <v/>
      </c>
      <c r="F374" s="59">
        <f>IF($H374="","",IFERROR(VALUE(IFERROR(MID($H374&amp;" ",FIND("|",SUBSTITUTE($H374&amp;" "," ","|",4))+1,FIND("|",SUBSTITUTE($H374&amp;" "," ","|",5))-FIND("|",SUBSTITUTE($H374&amp;" "," ","|",4))-1),""))/86400+25569+9/24,""))</f>
        <v/>
      </c>
      <c r="G374" s="58">
        <f>TRIM(SUBSTITUTE(SUBSTITUTE(SUBSTITUTE($A374,CHAR(9)," ")," "," "),CHAR(13),""))</f>
        <v/>
      </c>
      <c r="H374" s="58">
        <f>IF($G374="","",IF(ISNUMBER(FIND(" ",$G374)),$G374,IFERROR(IF((LEN(SUBSTITUTE(SUBSTITUTE($G374,"-"," ",LEN($G374)-LEN(SUBSTITUTE($G374,"-",""))),"-"," ",LEN($G374)-LEN(SUBSTITUTE($G374,"-",""))-1))-LEN(SUBSTITUTE(SUBSTITUTE(SUBSTITUTE($G374,"-"," ",LEN($G374)-LEN(SUBSTITUTE($G374,"-",""))),"-"," ",LEN($G374)-LEN(SUBSTITUTE($G374,"-",""))-1),".","")))=0,SUBSTITUTE(SUBSTITUTE($G374,"-"," ",LEN($G374)-LEN(SUBSTITUTE($G374,"-",""))),"-"," ",LEN($G374)-LEN(SUBSTITUTE($G374,"-",""))-1),SUBSTITUTE(SUBSTITUTE(SUBSTITUTE($G374,"-"," ",LEN($G374)-LEN(SUBSTITUTE($G374,"-",""))),"-"," ",LEN($G374)-LEN(SUBSTITUTE($G374,"-",""))-1),"."," ",(LEN(SUBSTITUTE(SUBSTITUTE($G374,"-"," ",LEN($G374)-LEN(SUBSTITUTE($G374,"-",""))),"-"," ",LEN($G374)-LEN(SUBSTITUTE($G374,"-",""))-1))-LEN(SUBSTITUTE(SUBSTITUTE(SUBSTITUTE($G374,"-"," ",LEN($G374)-LEN(SUBSTITUTE($G374,"-",""))),"-"," ",LEN($G374)-LEN(SUBSTITUTE($G374,"-",""))-1),".",""))))),$G374)))</f>
        <v/>
      </c>
    </row>
    <row r="375">
      <c r="A375" s="58" t="n"/>
      <c r="B375" s="58">
        <f>IF($H375="","",LEFT($H375,FIND(" ",$H375&amp;" ")-1))</f>
        <v/>
      </c>
      <c r="C375" s="58">
        <f>IF($H375="","",IFERROR(MID($H375&amp;" ",FIND("|",SUBSTITUTE($H375&amp;" "," ","|",1))+1,FIND("|",SUBSTITUTE($H375&amp;" "," ","|",2))-FIND("|",SUBSTITUTE($H375&amp;" "," ","|",1))-1),""))</f>
        <v/>
      </c>
      <c r="D375" s="58">
        <f>IF($H375="","",IFERROR(MID($H375&amp;" ",FIND("|",SUBSTITUTE($H375&amp;" "," ","|",2))+1,FIND("|",SUBSTITUTE($H375&amp;" "," ","|",3))-FIND("|",SUBSTITUTE($H375&amp;" "," ","|",2))-1),""))</f>
        <v/>
      </c>
      <c r="E375" s="58">
        <f>IF($H375="","",IFERROR(MID($H375&amp;" ",FIND("|",SUBSTITUTE($H375&amp;" "," ","|",3))+1,FIND("|",SUBSTITUTE($H375&amp;" "," ","|",4))-FIND("|",SUBSTITUTE($H375&amp;" "," ","|",3))-1),""))</f>
        <v/>
      </c>
      <c r="F375" s="59">
        <f>IF($H375="","",IFERROR(VALUE(IFERROR(MID($H375&amp;" ",FIND("|",SUBSTITUTE($H375&amp;" "," ","|",4))+1,FIND("|",SUBSTITUTE($H375&amp;" "," ","|",5))-FIND("|",SUBSTITUTE($H375&amp;" "," ","|",4))-1),""))/86400+25569+9/24,""))</f>
        <v/>
      </c>
      <c r="G375" s="58">
        <f>TRIM(SUBSTITUTE(SUBSTITUTE(SUBSTITUTE($A375,CHAR(9)," ")," "," "),CHAR(13),""))</f>
        <v/>
      </c>
      <c r="H375" s="58">
        <f>IF($G375="","",IF(ISNUMBER(FIND(" ",$G375)),$G375,IFERROR(IF((LEN(SUBSTITUTE(SUBSTITUTE($G375,"-"," ",LEN($G375)-LEN(SUBSTITUTE($G375,"-",""))),"-"," ",LEN($G375)-LEN(SUBSTITUTE($G375,"-",""))-1))-LEN(SUBSTITUTE(SUBSTITUTE(SUBSTITUTE($G375,"-"," ",LEN($G375)-LEN(SUBSTITUTE($G375,"-",""))),"-"," ",LEN($G375)-LEN(SUBSTITUTE($G375,"-",""))-1),".","")))=0,SUBSTITUTE(SUBSTITUTE($G375,"-"," ",LEN($G375)-LEN(SUBSTITUTE($G375,"-",""))),"-"," ",LEN($G375)-LEN(SUBSTITUTE($G375,"-",""))-1),SUBSTITUTE(SUBSTITUTE(SUBSTITUTE($G375,"-"," ",LEN($G375)-LEN(SUBSTITUTE($G375,"-",""))),"-"," ",LEN($G375)-LEN(SUBSTITUTE($G375,"-",""))-1),"."," ",(LEN(SUBSTITUTE(SUBSTITUTE($G375,"-"," ",LEN($G375)-LEN(SUBSTITUTE($G375,"-",""))),"-"," ",LEN($G375)-LEN(SUBSTITUTE($G375,"-",""))-1))-LEN(SUBSTITUTE(SUBSTITUTE(SUBSTITUTE($G375,"-"," ",LEN($G375)-LEN(SUBSTITUTE($G375,"-",""))),"-"," ",LEN($G375)-LEN(SUBSTITUTE($G375,"-",""))-1),".",""))))),$G375)))</f>
        <v/>
      </c>
    </row>
    <row r="376">
      <c r="A376" s="58" t="n"/>
      <c r="B376" s="58">
        <f>IF($H376="","",LEFT($H376,FIND(" ",$H376&amp;" ")-1))</f>
        <v/>
      </c>
      <c r="C376" s="58">
        <f>IF($H376="","",IFERROR(MID($H376&amp;" ",FIND("|",SUBSTITUTE($H376&amp;" "," ","|",1))+1,FIND("|",SUBSTITUTE($H376&amp;" "," ","|",2))-FIND("|",SUBSTITUTE($H376&amp;" "," ","|",1))-1),""))</f>
        <v/>
      </c>
      <c r="D376" s="58">
        <f>IF($H376="","",IFERROR(MID($H376&amp;" ",FIND("|",SUBSTITUTE($H376&amp;" "," ","|",2))+1,FIND("|",SUBSTITUTE($H376&amp;" "," ","|",3))-FIND("|",SUBSTITUTE($H376&amp;" "," ","|",2))-1),""))</f>
        <v/>
      </c>
      <c r="E376" s="58">
        <f>IF($H376="","",IFERROR(MID($H376&amp;" ",FIND("|",SUBSTITUTE($H376&amp;" "," ","|",3))+1,FIND("|",SUBSTITUTE($H376&amp;" "," ","|",4))-FIND("|",SUBSTITUTE($H376&amp;" "," ","|",3))-1),""))</f>
        <v/>
      </c>
      <c r="F376" s="59">
        <f>IF($H376="","",IFERROR(VALUE(IFERROR(MID($H376&amp;" ",FIND("|",SUBSTITUTE($H376&amp;" "," ","|",4))+1,FIND("|",SUBSTITUTE($H376&amp;" "," ","|",5))-FIND("|",SUBSTITUTE($H376&amp;" "," ","|",4))-1),""))/86400+25569+9/24,""))</f>
        <v/>
      </c>
      <c r="G376" s="58">
        <f>TRIM(SUBSTITUTE(SUBSTITUTE(SUBSTITUTE($A376,CHAR(9)," ")," "," "),CHAR(13),""))</f>
        <v/>
      </c>
      <c r="H376" s="58">
        <f>IF($G376="","",IF(ISNUMBER(FIND(" ",$G376)),$G376,IFERROR(IF((LEN(SUBSTITUTE(SUBSTITUTE($G376,"-"," ",LEN($G376)-LEN(SUBSTITUTE($G376,"-",""))),"-"," ",LEN($G376)-LEN(SUBSTITUTE($G376,"-",""))-1))-LEN(SUBSTITUTE(SUBSTITUTE(SUBSTITUTE($G376,"-"," ",LEN($G376)-LEN(SUBSTITUTE($G376,"-",""))),"-"," ",LEN($G376)-LEN(SUBSTITUTE($G376,"-",""))-1),".","")))=0,SUBSTITUTE(SUBSTITUTE($G376,"-"," ",LEN($G376)-LEN(SUBSTITUTE($G376,"-",""))),"-"," ",LEN($G376)-LEN(SUBSTITUTE($G376,"-",""))-1),SUBSTITUTE(SUBSTITUTE(SUBSTITUTE($G376,"-"," ",LEN($G376)-LEN(SUBSTITUTE($G376,"-",""))),"-"," ",LEN($G376)-LEN(SUBSTITUTE($G376,"-",""))-1),"."," ",(LEN(SUBSTITUTE(SUBSTITUTE($G376,"-"," ",LEN($G376)-LEN(SUBSTITUTE($G376,"-",""))),"-"," ",LEN($G376)-LEN(SUBSTITUTE($G376,"-",""))-1))-LEN(SUBSTITUTE(SUBSTITUTE(SUBSTITUTE($G376,"-"," ",LEN($G376)-LEN(SUBSTITUTE($G376,"-",""))),"-"," ",LEN($G376)-LEN(SUBSTITUTE($G376,"-",""))-1),".",""))))),$G376)))</f>
        <v/>
      </c>
    </row>
    <row r="377">
      <c r="A377" s="58" t="n"/>
      <c r="B377" s="58">
        <f>IF($H377="","",LEFT($H377,FIND(" ",$H377&amp;" ")-1))</f>
        <v/>
      </c>
      <c r="C377" s="58">
        <f>IF($H377="","",IFERROR(MID($H377&amp;" ",FIND("|",SUBSTITUTE($H377&amp;" "," ","|",1))+1,FIND("|",SUBSTITUTE($H377&amp;" "," ","|",2))-FIND("|",SUBSTITUTE($H377&amp;" "," ","|",1))-1),""))</f>
        <v/>
      </c>
      <c r="D377" s="58">
        <f>IF($H377="","",IFERROR(MID($H377&amp;" ",FIND("|",SUBSTITUTE($H377&amp;" "," ","|",2))+1,FIND("|",SUBSTITUTE($H377&amp;" "," ","|",3))-FIND("|",SUBSTITUTE($H377&amp;" "," ","|",2))-1),""))</f>
        <v/>
      </c>
      <c r="E377" s="58">
        <f>IF($H377="","",IFERROR(MID($H377&amp;" ",FIND("|",SUBSTITUTE($H377&amp;" "," ","|",3))+1,FIND("|",SUBSTITUTE($H377&amp;" "," ","|",4))-FIND("|",SUBSTITUTE($H377&amp;" "," ","|",3))-1),""))</f>
        <v/>
      </c>
      <c r="F377" s="59">
        <f>IF($H377="","",IFERROR(VALUE(IFERROR(MID($H377&amp;" ",FIND("|",SUBSTITUTE($H377&amp;" "," ","|",4))+1,FIND("|",SUBSTITUTE($H377&amp;" "," ","|",5))-FIND("|",SUBSTITUTE($H377&amp;" "," ","|",4))-1),""))/86400+25569+9/24,""))</f>
        <v/>
      </c>
      <c r="G377" s="58">
        <f>TRIM(SUBSTITUTE(SUBSTITUTE(SUBSTITUTE($A377,CHAR(9)," ")," "," "),CHAR(13),""))</f>
        <v/>
      </c>
      <c r="H377" s="58">
        <f>IF($G377="","",IF(ISNUMBER(FIND(" ",$G377)),$G377,IFERROR(IF((LEN(SUBSTITUTE(SUBSTITUTE($G377,"-"," ",LEN($G377)-LEN(SUBSTITUTE($G377,"-",""))),"-"," ",LEN($G377)-LEN(SUBSTITUTE($G377,"-",""))-1))-LEN(SUBSTITUTE(SUBSTITUTE(SUBSTITUTE($G377,"-"," ",LEN($G377)-LEN(SUBSTITUTE($G377,"-",""))),"-"," ",LEN($G377)-LEN(SUBSTITUTE($G377,"-",""))-1),".","")))=0,SUBSTITUTE(SUBSTITUTE($G377,"-"," ",LEN($G377)-LEN(SUBSTITUTE($G377,"-",""))),"-"," ",LEN($G377)-LEN(SUBSTITUTE($G377,"-",""))-1),SUBSTITUTE(SUBSTITUTE(SUBSTITUTE($G377,"-"," ",LEN($G377)-LEN(SUBSTITUTE($G377,"-",""))),"-"," ",LEN($G377)-LEN(SUBSTITUTE($G377,"-",""))-1),"."," ",(LEN(SUBSTITUTE(SUBSTITUTE($G377,"-"," ",LEN($G377)-LEN(SUBSTITUTE($G377,"-",""))),"-"," ",LEN($G377)-LEN(SUBSTITUTE($G377,"-",""))-1))-LEN(SUBSTITUTE(SUBSTITUTE(SUBSTITUTE($G377,"-"," ",LEN($G377)-LEN(SUBSTITUTE($G377,"-",""))),"-"," ",LEN($G377)-LEN(SUBSTITUTE($G377,"-",""))-1),".",""))))),$G377)))</f>
        <v/>
      </c>
    </row>
    <row r="378">
      <c r="A378" s="58" t="n"/>
      <c r="B378" s="58">
        <f>IF($H378="","",LEFT($H378,FIND(" ",$H378&amp;" ")-1))</f>
        <v/>
      </c>
      <c r="C378" s="58">
        <f>IF($H378="","",IFERROR(MID($H378&amp;" ",FIND("|",SUBSTITUTE($H378&amp;" "," ","|",1))+1,FIND("|",SUBSTITUTE($H378&amp;" "," ","|",2))-FIND("|",SUBSTITUTE($H378&amp;" "," ","|",1))-1),""))</f>
        <v/>
      </c>
      <c r="D378" s="58">
        <f>IF($H378="","",IFERROR(MID($H378&amp;" ",FIND("|",SUBSTITUTE($H378&amp;" "," ","|",2))+1,FIND("|",SUBSTITUTE($H378&amp;" "," ","|",3))-FIND("|",SUBSTITUTE($H378&amp;" "," ","|",2))-1),""))</f>
        <v/>
      </c>
      <c r="E378" s="58">
        <f>IF($H378="","",IFERROR(MID($H378&amp;" ",FIND("|",SUBSTITUTE($H378&amp;" "," ","|",3))+1,FIND("|",SUBSTITUTE($H378&amp;" "," ","|",4))-FIND("|",SUBSTITUTE($H378&amp;" "," ","|",3))-1),""))</f>
        <v/>
      </c>
      <c r="F378" s="59">
        <f>IF($H378="","",IFERROR(VALUE(IFERROR(MID($H378&amp;" ",FIND("|",SUBSTITUTE($H378&amp;" "," ","|",4))+1,FIND("|",SUBSTITUTE($H378&amp;" "," ","|",5))-FIND("|",SUBSTITUTE($H378&amp;" "," ","|",4))-1),""))/86400+25569+9/24,""))</f>
        <v/>
      </c>
      <c r="G378" s="58">
        <f>TRIM(SUBSTITUTE(SUBSTITUTE(SUBSTITUTE($A378,CHAR(9)," ")," "," "),CHAR(13),""))</f>
        <v/>
      </c>
      <c r="H378" s="58">
        <f>IF($G378="","",IF(ISNUMBER(FIND(" ",$G378)),$G378,IFERROR(IF((LEN(SUBSTITUTE(SUBSTITUTE($G378,"-"," ",LEN($G378)-LEN(SUBSTITUTE($G378,"-",""))),"-"," ",LEN($G378)-LEN(SUBSTITUTE($G378,"-",""))-1))-LEN(SUBSTITUTE(SUBSTITUTE(SUBSTITUTE($G378,"-"," ",LEN($G378)-LEN(SUBSTITUTE($G378,"-",""))),"-"," ",LEN($G378)-LEN(SUBSTITUTE($G378,"-",""))-1),".","")))=0,SUBSTITUTE(SUBSTITUTE($G378,"-"," ",LEN($G378)-LEN(SUBSTITUTE($G378,"-",""))),"-"," ",LEN($G378)-LEN(SUBSTITUTE($G378,"-",""))-1),SUBSTITUTE(SUBSTITUTE(SUBSTITUTE($G378,"-"," ",LEN($G378)-LEN(SUBSTITUTE($G378,"-",""))),"-"," ",LEN($G378)-LEN(SUBSTITUTE($G378,"-",""))-1),"."," ",(LEN(SUBSTITUTE(SUBSTITUTE($G378,"-"," ",LEN($G378)-LEN(SUBSTITUTE($G378,"-",""))),"-"," ",LEN($G378)-LEN(SUBSTITUTE($G378,"-",""))-1))-LEN(SUBSTITUTE(SUBSTITUTE(SUBSTITUTE($G378,"-"," ",LEN($G378)-LEN(SUBSTITUTE($G378,"-",""))),"-"," ",LEN($G378)-LEN(SUBSTITUTE($G378,"-",""))-1),".",""))))),$G378)))</f>
        <v/>
      </c>
    </row>
    <row r="379">
      <c r="A379" s="58" t="n"/>
      <c r="B379" s="58">
        <f>IF($H379="","",LEFT($H379,FIND(" ",$H379&amp;" ")-1))</f>
        <v/>
      </c>
      <c r="C379" s="58">
        <f>IF($H379="","",IFERROR(MID($H379&amp;" ",FIND("|",SUBSTITUTE($H379&amp;" "," ","|",1))+1,FIND("|",SUBSTITUTE($H379&amp;" "," ","|",2))-FIND("|",SUBSTITUTE($H379&amp;" "," ","|",1))-1),""))</f>
        <v/>
      </c>
      <c r="D379" s="58">
        <f>IF($H379="","",IFERROR(MID($H379&amp;" ",FIND("|",SUBSTITUTE($H379&amp;" "," ","|",2))+1,FIND("|",SUBSTITUTE($H379&amp;" "," ","|",3))-FIND("|",SUBSTITUTE($H379&amp;" "," ","|",2))-1),""))</f>
        <v/>
      </c>
      <c r="E379" s="58">
        <f>IF($H379="","",IFERROR(MID($H379&amp;" ",FIND("|",SUBSTITUTE($H379&amp;" "," ","|",3))+1,FIND("|",SUBSTITUTE($H379&amp;" "," ","|",4))-FIND("|",SUBSTITUTE($H379&amp;" "," ","|",3))-1),""))</f>
        <v/>
      </c>
      <c r="F379" s="59">
        <f>IF($H379="","",IFERROR(VALUE(IFERROR(MID($H379&amp;" ",FIND("|",SUBSTITUTE($H379&amp;" "," ","|",4))+1,FIND("|",SUBSTITUTE($H379&amp;" "," ","|",5))-FIND("|",SUBSTITUTE($H379&amp;" "," ","|",4))-1),""))/86400+25569+9/24,""))</f>
        <v/>
      </c>
      <c r="G379" s="58">
        <f>TRIM(SUBSTITUTE(SUBSTITUTE(SUBSTITUTE($A379,CHAR(9)," ")," "," "),CHAR(13),""))</f>
        <v/>
      </c>
      <c r="H379" s="58">
        <f>IF($G379="","",IF(ISNUMBER(FIND(" ",$G379)),$G379,IFERROR(IF((LEN(SUBSTITUTE(SUBSTITUTE($G379,"-"," ",LEN($G379)-LEN(SUBSTITUTE($G379,"-",""))),"-"," ",LEN($G379)-LEN(SUBSTITUTE($G379,"-",""))-1))-LEN(SUBSTITUTE(SUBSTITUTE(SUBSTITUTE($G379,"-"," ",LEN($G379)-LEN(SUBSTITUTE($G379,"-",""))),"-"," ",LEN($G379)-LEN(SUBSTITUTE($G379,"-",""))-1),".","")))=0,SUBSTITUTE(SUBSTITUTE($G379,"-"," ",LEN($G379)-LEN(SUBSTITUTE($G379,"-",""))),"-"," ",LEN($G379)-LEN(SUBSTITUTE($G379,"-",""))-1),SUBSTITUTE(SUBSTITUTE(SUBSTITUTE($G379,"-"," ",LEN($G379)-LEN(SUBSTITUTE($G379,"-",""))),"-"," ",LEN($G379)-LEN(SUBSTITUTE($G379,"-",""))-1),"."," ",(LEN(SUBSTITUTE(SUBSTITUTE($G379,"-"," ",LEN($G379)-LEN(SUBSTITUTE($G379,"-",""))),"-"," ",LEN($G379)-LEN(SUBSTITUTE($G379,"-",""))-1))-LEN(SUBSTITUTE(SUBSTITUTE(SUBSTITUTE($G379,"-"," ",LEN($G379)-LEN(SUBSTITUTE($G379,"-",""))),"-"," ",LEN($G379)-LEN(SUBSTITUTE($G379,"-",""))-1),".",""))))),$G379)))</f>
        <v/>
      </c>
    </row>
    <row r="380">
      <c r="A380" s="58" t="n"/>
      <c r="B380" s="58">
        <f>IF($H380="","",LEFT($H380,FIND(" ",$H380&amp;" ")-1))</f>
        <v/>
      </c>
      <c r="C380" s="58">
        <f>IF($H380="","",IFERROR(MID($H380&amp;" ",FIND("|",SUBSTITUTE($H380&amp;" "," ","|",1))+1,FIND("|",SUBSTITUTE($H380&amp;" "," ","|",2))-FIND("|",SUBSTITUTE($H380&amp;" "," ","|",1))-1),""))</f>
        <v/>
      </c>
      <c r="D380" s="58">
        <f>IF($H380="","",IFERROR(MID($H380&amp;" ",FIND("|",SUBSTITUTE($H380&amp;" "," ","|",2))+1,FIND("|",SUBSTITUTE($H380&amp;" "," ","|",3))-FIND("|",SUBSTITUTE($H380&amp;" "," ","|",2))-1),""))</f>
        <v/>
      </c>
      <c r="E380" s="58">
        <f>IF($H380="","",IFERROR(MID($H380&amp;" ",FIND("|",SUBSTITUTE($H380&amp;" "," ","|",3))+1,FIND("|",SUBSTITUTE($H380&amp;" "," ","|",4))-FIND("|",SUBSTITUTE($H380&amp;" "," ","|",3))-1),""))</f>
        <v/>
      </c>
      <c r="F380" s="59">
        <f>IF($H380="","",IFERROR(VALUE(IFERROR(MID($H380&amp;" ",FIND("|",SUBSTITUTE($H380&amp;" "," ","|",4))+1,FIND("|",SUBSTITUTE($H380&amp;" "," ","|",5))-FIND("|",SUBSTITUTE($H380&amp;" "," ","|",4))-1),""))/86400+25569+9/24,""))</f>
        <v/>
      </c>
      <c r="G380" s="58">
        <f>TRIM(SUBSTITUTE(SUBSTITUTE(SUBSTITUTE($A380,CHAR(9)," ")," "," "),CHAR(13),""))</f>
        <v/>
      </c>
      <c r="H380" s="58">
        <f>IF($G380="","",IF(ISNUMBER(FIND(" ",$G380)),$G380,IFERROR(IF((LEN(SUBSTITUTE(SUBSTITUTE($G380,"-"," ",LEN($G380)-LEN(SUBSTITUTE($G380,"-",""))),"-"," ",LEN($G380)-LEN(SUBSTITUTE($G380,"-",""))-1))-LEN(SUBSTITUTE(SUBSTITUTE(SUBSTITUTE($G380,"-"," ",LEN($G380)-LEN(SUBSTITUTE($G380,"-",""))),"-"," ",LEN($G380)-LEN(SUBSTITUTE($G380,"-",""))-1),".","")))=0,SUBSTITUTE(SUBSTITUTE($G380,"-"," ",LEN($G380)-LEN(SUBSTITUTE($G380,"-",""))),"-"," ",LEN($G380)-LEN(SUBSTITUTE($G380,"-",""))-1),SUBSTITUTE(SUBSTITUTE(SUBSTITUTE($G380,"-"," ",LEN($G380)-LEN(SUBSTITUTE($G380,"-",""))),"-"," ",LEN($G380)-LEN(SUBSTITUTE($G380,"-",""))-1),"."," ",(LEN(SUBSTITUTE(SUBSTITUTE($G380,"-"," ",LEN($G380)-LEN(SUBSTITUTE($G380,"-",""))),"-"," ",LEN($G380)-LEN(SUBSTITUTE($G380,"-",""))-1))-LEN(SUBSTITUTE(SUBSTITUTE(SUBSTITUTE($G380,"-"," ",LEN($G380)-LEN(SUBSTITUTE($G380,"-",""))),"-"," ",LEN($G380)-LEN(SUBSTITUTE($G380,"-",""))-1),".",""))))),$G380)))</f>
        <v/>
      </c>
    </row>
    <row r="381">
      <c r="A381" s="58" t="n"/>
      <c r="B381" s="58">
        <f>IF($H381="","",LEFT($H381,FIND(" ",$H381&amp;" ")-1))</f>
        <v/>
      </c>
      <c r="C381" s="58">
        <f>IF($H381="","",IFERROR(MID($H381&amp;" ",FIND("|",SUBSTITUTE($H381&amp;" "," ","|",1))+1,FIND("|",SUBSTITUTE($H381&amp;" "," ","|",2))-FIND("|",SUBSTITUTE($H381&amp;" "," ","|",1))-1),""))</f>
        <v/>
      </c>
      <c r="D381" s="58">
        <f>IF($H381="","",IFERROR(MID($H381&amp;" ",FIND("|",SUBSTITUTE($H381&amp;" "," ","|",2))+1,FIND("|",SUBSTITUTE($H381&amp;" "," ","|",3))-FIND("|",SUBSTITUTE($H381&amp;" "," ","|",2))-1),""))</f>
        <v/>
      </c>
      <c r="E381" s="58">
        <f>IF($H381="","",IFERROR(MID($H381&amp;" ",FIND("|",SUBSTITUTE($H381&amp;" "," ","|",3))+1,FIND("|",SUBSTITUTE($H381&amp;" "," ","|",4))-FIND("|",SUBSTITUTE($H381&amp;" "," ","|",3))-1),""))</f>
        <v/>
      </c>
      <c r="F381" s="59">
        <f>IF($H381="","",IFERROR(VALUE(IFERROR(MID($H381&amp;" ",FIND("|",SUBSTITUTE($H381&amp;" "," ","|",4))+1,FIND("|",SUBSTITUTE($H381&amp;" "," ","|",5))-FIND("|",SUBSTITUTE($H381&amp;" "," ","|",4))-1),""))/86400+25569+9/24,""))</f>
        <v/>
      </c>
      <c r="G381" s="58">
        <f>TRIM(SUBSTITUTE(SUBSTITUTE(SUBSTITUTE($A381,CHAR(9)," ")," "," "),CHAR(13),""))</f>
        <v/>
      </c>
      <c r="H381" s="58">
        <f>IF($G381="","",IF(ISNUMBER(FIND(" ",$G381)),$G381,IFERROR(IF((LEN(SUBSTITUTE(SUBSTITUTE($G381,"-"," ",LEN($G381)-LEN(SUBSTITUTE($G381,"-",""))),"-"," ",LEN($G381)-LEN(SUBSTITUTE($G381,"-",""))-1))-LEN(SUBSTITUTE(SUBSTITUTE(SUBSTITUTE($G381,"-"," ",LEN($G381)-LEN(SUBSTITUTE($G381,"-",""))),"-"," ",LEN($G381)-LEN(SUBSTITUTE($G381,"-",""))-1),".","")))=0,SUBSTITUTE(SUBSTITUTE($G381,"-"," ",LEN($G381)-LEN(SUBSTITUTE($G381,"-",""))),"-"," ",LEN($G381)-LEN(SUBSTITUTE($G381,"-",""))-1),SUBSTITUTE(SUBSTITUTE(SUBSTITUTE($G381,"-"," ",LEN($G381)-LEN(SUBSTITUTE($G381,"-",""))),"-"," ",LEN($G381)-LEN(SUBSTITUTE($G381,"-",""))-1),"."," ",(LEN(SUBSTITUTE(SUBSTITUTE($G381,"-"," ",LEN($G381)-LEN(SUBSTITUTE($G381,"-",""))),"-"," ",LEN($G381)-LEN(SUBSTITUTE($G381,"-",""))-1))-LEN(SUBSTITUTE(SUBSTITUTE(SUBSTITUTE($G381,"-"," ",LEN($G381)-LEN(SUBSTITUTE($G381,"-",""))),"-"," ",LEN($G381)-LEN(SUBSTITUTE($G381,"-",""))-1),".",""))))),$G381)))</f>
        <v/>
      </c>
    </row>
    <row r="382">
      <c r="A382" s="58" t="n"/>
      <c r="B382" s="58">
        <f>IF($H382="","",LEFT($H382,FIND(" ",$H382&amp;" ")-1))</f>
        <v/>
      </c>
      <c r="C382" s="58">
        <f>IF($H382="","",IFERROR(MID($H382&amp;" ",FIND("|",SUBSTITUTE($H382&amp;" "," ","|",1))+1,FIND("|",SUBSTITUTE($H382&amp;" "," ","|",2))-FIND("|",SUBSTITUTE($H382&amp;" "," ","|",1))-1),""))</f>
        <v/>
      </c>
      <c r="D382" s="58">
        <f>IF($H382="","",IFERROR(MID($H382&amp;" ",FIND("|",SUBSTITUTE($H382&amp;" "," ","|",2))+1,FIND("|",SUBSTITUTE($H382&amp;" "," ","|",3))-FIND("|",SUBSTITUTE($H382&amp;" "," ","|",2))-1),""))</f>
        <v/>
      </c>
      <c r="E382" s="58">
        <f>IF($H382="","",IFERROR(MID($H382&amp;" ",FIND("|",SUBSTITUTE($H382&amp;" "," ","|",3))+1,FIND("|",SUBSTITUTE($H382&amp;" "," ","|",4))-FIND("|",SUBSTITUTE($H382&amp;" "," ","|",3))-1),""))</f>
        <v/>
      </c>
      <c r="F382" s="59">
        <f>IF($H382="","",IFERROR(VALUE(IFERROR(MID($H382&amp;" ",FIND("|",SUBSTITUTE($H382&amp;" "," ","|",4))+1,FIND("|",SUBSTITUTE($H382&amp;" "," ","|",5))-FIND("|",SUBSTITUTE($H382&amp;" "," ","|",4))-1),""))/86400+25569+9/24,""))</f>
        <v/>
      </c>
      <c r="G382" s="58">
        <f>TRIM(SUBSTITUTE(SUBSTITUTE(SUBSTITUTE($A382,CHAR(9)," ")," "," "),CHAR(13),""))</f>
        <v/>
      </c>
      <c r="H382" s="58">
        <f>IF($G382="","",IF(ISNUMBER(FIND(" ",$G382)),$G382,IFERROR(IF((LEN(SUBSTITUTE(SUBSTITUTE($G382,"-"," ",LEN($G382)-LEN(SUBSTITUTE($G382,"-",""))),"-"," ",LEN($G382)-LEN(SUBSTITUTE($G382,"-",""))-1))-LEN(SUBSTITUTE(SUBSTITUTE(SUBSTITUTE($G382,"-"," ",LEN($G382)-LEN(SUBSTITUTE($G382,"-",""))),"-"," ",LEN($G382)-LEN(SUBSTITUTE($G382,"-",""))-1),".","")))=0,SUBSTITUTE(SUBSTITUTE($G382,"-"," ",LEN($G382)-LEN(SUBSTITUTE($G382,"-",""))),"-"," ",LEN($G382)-LEN(SUBSTITUTE($G382,"-",""))-1),SUBSTITUTE(SUBSTITUTE(SUBSTITUTE($G382,"-"," ",LEN($G382)-LEN(SUBSTITUTE($G382,"-",""))),"-"," ",LEN($G382)-LEN(SUBSTITUTE($G382,"-",""))-1),"."," ",(LEN(SUBSTITUTE(SUBSTITUTE($G382,"-"," ",LEN($G382)-LEN(SUBSTITUTE($G382,"-",""))),"-"," ",LEN($G382)-LEN(SUBSTITUTE($G382,"-",""))-1))-LEN(SUBSTITUTE(SUBSTITUTE(SUBSTITUTE($G382,"-"," ",LEN($G382)-LEN(SUBSTITUTE($G382,"-",""))),"-"," ",LEN($G382)-LEN(SUBSTITUTE($G382,"-",""))-1),".",""))))),$G382)))</f>
        <v/>
      </c>
    </row>
    <row r="383">
      <c r="A383" s="58" t="n"/>
      <c r="B383" s="58">
        <f>IF($H383="","",LEFT($H383,FIND(" ",$H383&amp;" ")-1))</f>
        <v/>
      </c>
      <c r="C383" s="58">
        <f>IF($H383="","",IFERROR(MID($H383&amp;" ",FIND("|",SUBSTITUTE($H383&amp;" "," ","|",1))+1,FIND("|",SUBSTITUTE($H383&amp;" "," ","|",2))-FIND("|",SUBSTITUTE($H383&amp;" "," ","|",1))-1),""))</f>
        <v/>
      </c>
      <c r="D383" s="58">
        <f>IF($H383="","",IFERROR(MID($H383&amp;" ",FIND("|",SUBSTITUTE($H383&amp;" "," ","|",2))+1,FIND("|",SUBSTITUTE($H383&amp;" "," ","|",3))-FIND("|",SUBSTITUTE($H383&amp;" "," ","|",2))-1),""))</f>
        <v/>
      </c>
      <c r="E383" s="58">
        <f>IF($H383="","",IFERROR(MID($H383&amp;" ",FIND("|",SUBSTITUTE($H383&amp;" "," ","|",3))+1,FIND("|",SUBSTITUTE($H383&amp;" "," ","|",4))-FIND("|",SUBSTITUTE($H383&amp;" "," ","|",3))-1),""))</f>
        <v/>
      </c>
      <c r="F383" s="59">
        <f>IF($H383="","",IFERROR(VALUE(IFERROR(MID($H383&amp;" ",FIND("|",SUBSTITUTE($H383&amp;" "," ","|",4))+1,FIND("|",SUBSTITUTE($H383&amp;" "," ","|",5))-FIND("|",SUBSTITUTE($H383&amp;" "," ","|",4))-1),""))/86400+25569+9/24,""))</f>
        <v/>
      </c>
      <c r="G383" s="58">
        <f>TRIM(SUBSTITUTE(SUBSTITUTE(SUBSTITUTE($A383,CHAR(9)," ")," "," "),CHAR(13),""))</f>
        <v/>
      </c>
      <c r="H383" s="58">
        <f>IF($G383="","",IF(ISNUMBER(FIND(" ",$G383)),$G383,IFERROR(IF((LEN(SUBSTITUTE(SUBSTITUTE($G383,"-"," ",LEN($G383)-LEN(SUBSTITUTE($G383,"-",""))),"-"," ",LEN($G383)-LEN(SUBSTITUTE($G383,"-",""))-1))-LEN(SUBSTITUTE(SUBSTITUTE(SUBSTITUTE($G383,"-"," ",LEN($G383)-LEN(SUBSTITUTE($G383,"-",""))),"-"," ",LEN($G383)-LEN(SUBSTITUTE($G383,"-",""))-1),".","")))=0,SUBSTITUTE(SUBSTITUTE($G383,"-"," ",LEN($G383)-LEN(SUBSTITUTE($G383,"-",""))),"-"," ",LEN($G383)-LEN(SUBSTITUTE($G383,"-",""))-1),SUBSTITUTE(SUBSTITUTE(SUBSTITUTE($G383,"-"," ",LEN($G383)-LEN(SUBSTITUTE($G383,"-",""))),"-"," ",LEN($G383)-LEN(SUBSTITUTE($G383,"-",""))-1),"."," ",(LEN(SUBSTITUTE(SUBSTITUTE($G383,"-"," ",LEN($G383)-LEN(SUBSTITUTE($G383,"-",""))),"-"," ",LEN($G383)-LEN(SUBSTITUTE($G383,"-",""))-1))-LEN(SUBSTITUTE(SUBSTITUTE(SUBSTITUTE($G383,"-"," ",LEN($G383)-LEN(SUBSTITUTE($G383,"-",""))),"-"," ",LEN($G383)-LEN(SUBSTITUTE($G383,"-",""))-1),".",""))))),$G383)))</f>
        <v/>
      </c>
    </row>
    <row r="384">
      <c r="A384" s="58" t="n"/>
      <c r="B384" s="58">
        <f>IF($H384="","",LEFT($H384,FIND(" ",$H384&amp;" ")-1))</f>
        <v/>
      </c>
      <c r="C384" s="58">
        <f>IF($H384="","",IFERROR(MID($H384&amp;" ",FIND("|",SUBSTITUTE($H384&amp;" "," ","|",1))+1,FIND("|",SUBSTITUTE($H384&amp;" "," ","|",2))-FIND("|",SUBSTITUTE($H384&amp;" "," ","|",1))-1),""))</f>
        <v/>
      </c>
      <c r="D384" s="58">
        <f>IF($H384="","",IFERROR(MID($H384&amp;" ",FIND("|",SUBSTITUTE($H384&amp;" "," ","|",2))+1,FIND("|",SUBSTITUTE($H384&amp;" "," ","|",3))-FIND("|",SUBSTITUTE($H384&amp;" "," ","|",2))-1),""))</f>
        <v/>
      </c>
      <c r="E384" s="58">
        <f>IF($H384="","",IFERROR(MID($H384&amp;" ",FIND("|",SUBSTITUTE($H384&amp;" "," ","|",3))+1,FIND("|",SUBSTITUTE($H384&amp;" "," ","|",4))-FIND("|",SUBSTITUTE($H384&amp;" "," ","|",3))-1),""))</f>
        <v/>
      </c>
      <c r="F384" s="59">
        <f>IF($H384="","",IFERROR(VALUE(IFERROR(MID($H384&amp;" ",FIND("|",SUBSTITUTE($H384&amp;" "," ","|",4))+1,FIND("|",SUBSTITUTE($H384&amp;" "," ","|",5))-FIND("|",SUBSTITUTE($H384&amp;" "," ","|",4))-1),""))/86400+25569+9/24,""))</f>
        <v/>
      </c>
      <c r="G384" s="58">
        <f>TRIM(SUBSTITUTE(SUBSTITUTE(SUBSTITUTE($A384,CHAR(9)," ")," "," "),CHAR(13),""))</f>
        <v/>
      </c>
      <c r="H384" s="58">
        <f>IF($G384="","",IF(ISNUMBER(FIND(" ",$G384)),$G384,IFERROR(IF((LEN(SUBSTITUTE(SUBSTITUTE($G384,"-"," ",LEN($G384)-LEN(SUBSTITUTE($G384,"-",""))),"-"," ",LEN($G384)-LEN(SUBSTITUTE($G384,"-",""))-1))-LEN(SUBSTITUTE(SUBSTITUTE(SUBSTITUTE($G384,"-"," ",LEN($G384)-LEN(SUBSTITUTE($G384,"-",""))),"-"," ",LEN($G384)-LEN(SUBSTITUTE($G384,"-",""))-1),".","")))=0,SUBSTITUTE(SUBSTITUTE($G384,"-"," ",LEN($G384)-LEN(SUBSTITUTE($G384,"-",""))),"-"," ",LEN($G384)-LEN(SUBSTITUTE($G384,"-",""))-1),SUBSTITUTE(SUBSTITUTE(SUBSTITUTE($G384,"-"," ",LEN($G384)-LEN(SUBSTITUTE($G384,"-",""))),"-"," ",LEN($G384)-LEN(SUBSTITUTE($G384,"-",""))-1),"."," ",(LEN(SUBSTITUTE(SUBSTITUTE($G384,"-"," ",LEN($G384)-LEN(SUBSTITUTE($G384,"-",""))),"-"," ",LEN($G384)-LEN(SUBSTITUTE($G384,"-",""))-1))-LEN(SUBSTITUTE(SUBSTITUTE(SUBSTITUTE($G384,"-"," ",LEN($G384)-LEN(SUBSTITUTE($G384,"-",""))),"-"," ",LEN($G384)-LEN(SUBSTITUTE($G384,"-",""))-1),".",""))))),$G384)))</f>
        <v/>
      </c>
    </row>
    <row r="385">
      <c r="A385" s="58" t="n"/>
      <c r="B385" s="58">
        <f>IF($H385="","",LEFT($H385,FIND(" ",$H385&amp;" ")-1))</f>
        <v/>
      </c>
      <c r="C385" s="58">
        <f>IF($H385="","",IFERROR(MID($H385&amp;" ",FIND("|",SUBSTITUTE($H385&amp;" "," ","|",1))+1,FIND("|",SUBSTITUTE($H385&amp;" "," ","|",2))-FIND("|",SUBSTITUTE($H385&amp;" "," ","|",1))-1),""))</f>
        <v/>
      </c>
      <c r="D385" s="58">
        <f>IF($H385="","",IFERROR(MID($H385&amp;" ",FIND("|",SUBSTITUTE($H385&amp;" "," ","|",2))+1,FIND("|",SUBSTITUTE($H385&amp;" "," ","|",3))-FIND("|",SUBSTITUTE($H385&amp;" "," ","|",2))-1),""))</f>
        <v/>
      </c>
      <c r="E385" s="58">
        <f>IF($H385="","",IFERROR(MID($H385&amp;" ",FIND("|",SUBSTITUTE($H385&amp;" "," ","|",3))+1,FIND("|",SUBSTITUTE($H385&amp;" "," ","|",4))-FIND("|",SUBSTITUTE($H385&amp;" "," ","|",3))-1),""))</f>
        <v/>
      </c>
      <c r="F385" s="59">
        <f>IF($H385="","",IFERROR(VALUE(IFERROR(MID($H385&amp;" ",FIND("|",SUBSTITUTE($H385&amp;" "," ","|",4))+1,FIND("|",SUBSTITUTE($H385&amp;" "," ","|",5))-FIND("|",SUBSTITUTE($H385&amp;" "," ","|",4))-1),""))/86400+25569+9/24,""))</f>
        <v/>
      </c>
      <c r="G385" s="58">
        <f>TRIM(SUBSTITUTE(SUBSTITUTE(SUBSTITUTE($A385,CHAR(9)," ")," "," "),CHAR(13),""))</f>
        <v/>
      </c>
      <c r="H385" s="58">
        <f>IF($G385="","",IF(ISNUMBER(FIND(" ",$G385)),$G385,IFERROR(IF((LEN(SUBSTITUTE(SUBSTITUTE($G385,"-"," ",LEN($G385)-LEN(SUBSTITUTE($G385,"-",""))),"-"," ",LEN($G385)-LEN(SUBSTITUTE($G385,"-",""))-1))-LEN(SUBSTITUTE(SUBSTITUTE(SUBSTITUTE($G385,"-"," ",LEN($G385)-LEN(SUBSTITUTE($G385,"-",""))),"-"," ",LEN($G385)-LEN(SUBSTITUTE($G385,"-",""))-1),".","")))=0,SUBSTITUTE(SUBSTITUTE($G385,"-"," ",LEN($G385)-LEN(SUBSTITUTE($G385,"-",""))),"-"," ",LEN($G385)-LEN(SUBSTITUTE($G385,"-",""))-1),SUBSTITUTE(SUBSTITUTE(SUBSTITUTE($G385,"-"," ",LEN($G385)-LEN(SUBSTITUTE($G385,"-",""))),"-"," ",LEN($G385)-LEN(SUBSTITUTE($G385,"-",""))-1),"."," ",(LEN(SUBSTITUTE(SUBSTITUTE($G385,"-"," ",LEN($G385)-LEN(SUBSTITUTE($G385,"-",""))),"-"," ",LEN($G385)-LEN(SUBSTITUTE($G385,"-",""))-1))-LEN(SUBSTITUTE(SUBSTITUTE(SUBSTITUTE($G385,"-"," ",LEN($G385)-LEN(SUBSTITUTE($G385,"-",""))),"-"," ",LEN($G385)-LEN(SUBSTITUTE($G385,"-",""))-1),".",""))))),$G385)))</f>
        <v/>
      </c>
    </row>
    <row r="386">
      <c r="A386" s="58" t="n"/>
      <c r="B386" s="58">
        <f>IF($H386="","",LEFT($H386,FIND(" ",$H386&amp;" ")-1))</f>
        <v/>
      </c>
      <c r="C386" s="58">
        <f>IF($H386="","",IFERROR(MID($H386&amp;" ",FIND("|",SUBSTITUTE($H386&amp;" "," ","|",1))+1,FIND("|",SUBSTITUTE($H386&amp;" "," ","|",2))-FIND("|",SUBSTITUTE($H386&amp;" "," ","|",1))-1),""))</f>
        <v/>
      </c>
      <c r="D386" s="58">
        <f>IF($H386="","",IFERROR(MID($H386&amp;" ",FIND("|",SUBSTITUTE($H386&amp;" "," ","|",2))+1,FIND("|",SUBSTITUTE($H386&amp;" "," ","|",3))-FIND("|",SUBSTITUTE($H386&amp;" "," ","|",2))-1),""))</f>
        <v/>
      </c>
      <c r="E386" s="58">
        <f>IF($H386="","",IFERROR(MID($H386&amp;" ",FIND("|",SUBSTITUTE($H386&amp;" "," ","|",3))+1,FIND("|",SUBSTITUTE($H386&amp;" "," ","|",4))-FIND("|",SUBSTITUTE($H386&amp;" "," ","|",3))-1),""))</f>
        <v/>
      </c>
      <c r="F386" s="59">
        <f>IF($H386="","",IFERROR(VALUE(IFERROR(MID($H386&amp;" ",FIND("|",SUBSTITUTE($H386&amp;" "," ","|",4))+1,FIND("|",SUBSTITUTE($H386&amp;" "," ","|",5))-FIND("|",SUBSTITUTE($H386&amp;" "," ","|",4))-1),""))/86400+25569+9/24,""))</f>
        <v/>
      </c>
      <c r="G386" s="58">
        <f>TRIM(SUBSTITUTE(SUBSTITUTE(SUBSTITUTE($A386,CHAR(9)," ")," "," "),CHAR(13),""))</f>
        <v/>
      </c>
      <c r="H386" s="58">
        <f>IF($G386="","",IF(ISNUMBER(FIND(" ",$G386)),$G386,IFERROR(IF((LEN(SUBSTITUTE(SUBSTITUTE($G386,"-"," ",LEN($G386)-LEN(SUBSTITUTE($G386,"-",""))),"-"," ",LEN($G386)-LEN(SUBSTITUTE($G386,"-",""))-1))-LEN(SUBSTITUTE(SUBSTITUTE(SUBSTITUTE($G386,"-"," ",LEN($G386)-LEN(SUBSTITUTE($G386,"-",""))),"-"," ",LEN($G386)-LEN(SUBSTITUTE($G386,"-",""))-1),".","")))=0,SUBSTITUTE(SUBSTITUTE($G386,"-"," ",LEN($G386)-LEN(SUBSTITUTE($G386,"-",""))),"-"," ",LEN($G386)-LEN(SUBSTITUTE($G386,"-",""))-1),SUBSTITUTE(SUBSTITUTE(SUBSTITUTE($G386,"-"," ",LEN($G386)-LEN(SUBSTITUTE($G386,"-",""))),"-"," ",LEN($G386)-LEN(SUBSTITUTE($G386,"-",""))-1),"."," ",(LEN(SUBSTITUTE(SUBSTITUTE($G386,"-"," ",LEN($G386)-LEN(SUBSTITUTE($G386,"-",""))),"-"," ",LEN($G386)-LEN(SUBSTITUTE($G386,"-",""))-1))-LEN(SUBSTITUTE(SUBSTITUTE(SUBSTITUTE($G386,"-"," ",LEN($G386)-LEN(SUBSTITUTE($G386,"-",""))),"-"," ",LEN($G386)-LEN(SUBSTITUTE($G386,"-",""))-1),".",""))))),$G386)))</f>
        <v/>
      </c>
    </row>
    <row r="387">
      <c r="A387" s="58" t="n"/>
      <c r="B387" s="58">
        <f>IF($H387="","",LEFT($H387,FIND(" ",$H387&amp;" ")-1))</f>
        <v/>
      </c>
      <c r="C387" s="58">
        <f>IF($H387="","",IFERROR(MID($H387&amp;" ",FIND("|",SUBSTITUTE($H387&amp;" "," ","|",1))+1,FIND("|",SUBSTITUTE($H387&amp;" "," ","|",2))-FIND("|",SUBSTITUTE($H387&amp;" "," ","|",1))-1),""))</f>
        <v/>
      </c>
      <c r="D387" s="58">
        <f>IF($H387="","",IFERROR(MID($H387&amp;" ",FIND("|",SUBSTITUTE($H387&amp;" "," ","|",2))+1,FIND("|",SUBSTITUTE($H387&amp;" "," ","|",3))-FIND("|",SUBSTITUTE($H387&amp;" "," ","|",2))-1),""))</f>
        <v/>
      </c>
      <c r="E387" s="58">
        <f>IF($H387="","",IFERROR(MID($H387&amp;" ",FIND("|",SUBSTITUTE($H387&amp;" "," ","|",3))+1,FIND("|",SUBSTITUTE($H387&amp;" "," ","|",4))-FIND("|",SUBSTITUTE($H387&amp;" "," ","|",3))-1),""))</f>
        <v/>
      </c>
      <c r="F387" s="59">
        <f>IF($H387="","",IFERROR(VALUE(IFERROR(MID($H387&amp;" ",FIND("|",SUBSTITUTE($H387&amp;" "," ","|",4))+1,FIND("|",SUBSTITUTE($H387&amp;" "," ","|",5))-FIND("|",SUBSTITUTE($H387&amp;" "," ","|",4))-1),""))/86400+25569+9/24,""))</f>
        <v/>
      </c>
      <c r="G387" s="58">
        <f>TRIM(SUBSTITUTE(SUBSTITUTE(SUBSTITUTE($A387,CHAR(9)," ")," "," "),CHAR(13),""))</f>
        <v/>
      </c>
      <c r="H387" s="58">
        <f>IF($G387="","",IF(ISNUMBER(FIND(" ",$G387)),$G387,IFERROR(IF((LEN(SUBSTITUTE(SUBSTITUTE($G387,"-"," ",LEN($G387)-LEN(SUBSTITUTE($G387,"-",""))),"-"," ",LEN($G387)-LEN(SUBSTITUTE($G387,"-",""))-1))-LEN(SUBSTITUTE(SUBSTITUTE(SUBSTITUTE($G387,"-"," ",LEN($G387)-LEN(SUBSTITUTE($G387,"-",""))),"-"," ",LEN($G387)-LEN(SUBSTITUTE($G387,"-",""))-1),".","")))=0,SUBSTITUTE(SUBSTITUTE($G387,"-"," ",LEN($G387)-LEN(SUBSTITUTE($G387,"-",""))),"-"," ",LEN($G387)-LEN(SUBSTITUTE($G387,"-",""))-1),SUBSTITUTE(SUBSTITUTE(SUBSTITUTE($G387,"-"," ",LEN($G387)-LEN(SUBSTITUTE($G387,"-",""))),"-"," ",LEN($G387)-LEN(SUBSTITUTE($G387,"-",""))-1),"."," ",(LEN(SUBSTITUTE(SUBSTITUTE($G387,"-"," ",LEN($G387)-LEN(SUBSTITUTE($G387,"-",""))),"-"," ",LEN($G387)-LEN(SUBSTITUTE($G387,"-",""))-1))-LEN(SUBSTITUTE(SUBSTITUTE(SUBSTITUTE($G387,"-"," ",LEN($G387)-LEN(SUBSTITUTE($G387,"-",""))),"-"," ",LEN($G387)-LEN(SUBSTITUTE($G387,"-",""))-1),".",""))))),$G387)))</f>
        <v/>
      </c>
    </row>
    <row r="388">
      <c r="A388" s="58" t="n"/>
      <c r="B388" s="58">
        <f>IF($H388="","",LEFT($H388,FIND(" ",$H388&amp;" ")-1))</f>
        <v/>
      </c>
      <c r="C388" s="58">
        <f>IF($H388="","",IFERROR(MID($H388&amp;" ",FIND("|",SUBSTITUTE($H388&amp;" "," ","|",1))+1,FIND("|",SUBSTITUTE($H388&amp;" "," ","|",2))-FIND("|",SUBSTITUTE($H388&amp;" "," ","|",1))-1),""))</f>
        <v/>
      </c>
      <c r="D388" s="58">
        <f>IF($H388="","",IFERROR(MID($H388&amp;" ",FIND("|",SUBSTITUTE($H388&amp;" "," ","|",2))+1,FIND("|",SUBSTITUTE($H388&amp;" "," ","|",3))-FIND("|",SUBSTITUTE($H388&amp;" "," ","|",2))-1),""))</f>
        <v/>
      </c>
      <c r="E388" s="58">
        <f>IF($H388="","",IFERROR(MID($H388&amp;" ",FIND("|",SUBSTITUTE($H388&amp;" "," ","|",3))+1,FIND("|",SUBSTITUTE($H388&amp;" "," ","|",4))-FIND("|",SUBSTITUTE($H388&amp;" "," ","|",3))-1),""))</f>
        <v/>
      </c>
      <c r="F388" s="59">
        <f>IF($H388="","",IFERROR(VALUE(IFERROR(MID($H388&amp;" ",FIND("|",SUBSTITUTE($H388&amp;" "," ","|",4))+1,FIND("|",SUBSTITUTE($H388&amp;" "," ","|",5))-FIND("|",SUBSTITUTE($H388&amp;" "," ","|",4))-1),""))/86400+25569+9/24,""))</f>
        <v/>
      </c>
      <c r="G388" s="58">
        <f>TRIM(SUBSTITUTE(SUBSTITUTE(SUBSTITUTE($A388,CHAR(9)," ")," "," "),CHAR(13),""))</f>
        <v/>
      </c>
      <c r="H388" s="58">
        <f>IF($G388="","",IF(ISNUMBER(FIND(" ",$G388)),$G388,IFERROR(IF((LEN(SUBSTITUTE(SUBSTITUTE($G388,"-"," ",LEN($G388)-LEN(SUBSTITUTE($G388,"-",""))),"-"," ",LEN($G388)-LEN(SUBSTITUTE($G388,"-",""))-1))-LEN(SUBSTITUTE(SUBSTITUTE(SUBSTITUTE($G388,"-"," ",LEN($G388)-LEN(SUBSTITUTE($G388,"-",""))),"-"," ",LEN($G388)-LEN(SUBSTITUTE($G388,"-",""))-1),".","")))=0,SUBSTITUTE(SUBSTITUTE($G388,"-"," ",LEN($G388)-LEN(SUBSTITUTE($G388,"-",""))),"-"," ",LEN($G388)-LEN(SUBSTITUTE($G388,"-",""))-1),SUBSTITUTE(SUBSTITUTE(SUBSTITUTE($G388,"-"," ",LEN($G388)-LEN(SUBSTITUTE($G388,"-",""))),"-"," ",LEN($G388)-LEN(SUBSTITUTE($G388,"-",""))-1),"."," ",(LEN(SUBSTITUTE(SUBSTITUTE($G388,"-"," ",LEN($G388)-LEN(SUBSTITUTE($G388,"-",""))),"-"," ",LEN($G388)-LEN(SUBSTITUTE($G388,"-",""))-1))-LEN(SUBSTITUTE(SUBSTITUTE(SUBSTITUTE($G388,"-"," ",LEN($G388)-LEN(SUBSTITUTE($G388,"-",""))),"-"," ",LEN($G388)-LEN(SUBSTITUTE($G388,"-",""))-1),".",""))))),$G388)))</f>
        <v/>
      </c>
    </row>
    <row r="389">
      <c r="A389" s="58" t="n"/>
      <c r="B389" s="58">
        <f>IF($H389="","",LEFT($H389,FIND(" ",$H389&amp;" ")-1))</f>
        <v/>
      </c>
      <c r="C389" s="58">
        <f>IF($H389="","",IFERROR(MID($H389&amp;" ",FIND("|",SUBSTITUTE($H389&amp;" "," ","|",1))+1,FIND("|",SUBSTITUTE($H389&amp;" "," ","|",2))-FIND("|",SUBSTITUTE($H389&amp;" "," ","|",1))-1),""))</f>
        <v/>
      </c>
      <c r="D389" s="58">
        <f>IF($H389="","",IFERROR(MID($H389&amp;" ",FIND("|",SUBSTITUTE($H389&amp;" "," ","|",2))+1,FIND("|",SUBSTITUTE($H389&amp;" "," ","|",3))-FIND("|",SUBSTITUTE($H389&amp;" "," ","|",2))-1),""))</f>
        <v/>
      </c>
      <c r="E389" s="58">
        <f>IF($H389="","",IFERROR(MID($H389&amp;" ",FIND("|",SUBSTITUTE($H389&amp;" "," ","|",3))+1,FIND("|",SUBSTITUTE($H389&amp;" "," ","|",4))-FIND("|",SUBSTITUTE($H389&amp;" "," ","|",3))-1),""))</f>
        <v/>
      </c>
      <c r="F389" s="59">
        <f>IF($H389="","",IFERROR(VALUE(IFERROR(MID($H389&amp;" ",FIND("|",SUBSTITUTE($H389&amp;" "," ","|",4))+1,FIND("|",SUBSTITUTE($H389&amp;" "," ","|",5))-FIND("|",SUBSTITUTE($H389&amp;" "," ","|",4))-1),""))/86400+25569+9/24,""))</f>
        <v/>
      </c>
      <c r="G389" s="58">
        <f>TRIM(SUBSTITUTE(SUBSTITUTE(SUBSTITUTE($A389,CHAR(9)," ")," "," "),CHAR(13),""))</f>
        <v/>
      </c>
      <c r="H389" s="58">
        <f>IF($G389="","",IF(ISNUMBER(FIND(" ",$G389)),$G389,IFERROR(IF((LEN(SUBSTITUTE(SUBSTITUTE($G389,"-"," ",LEN($G389)-LEN(SUBSTITUTE($G389,"-",""))),"-"," ",LEN($G389)-LEN(SUBSTITUTE($G389,"-",""))-1))-LEN(SUBSTITUTE(SUBSTITUTE(SUBSTITUTE($G389,"-"," ",LEN($G389)-LEN(SUBSTITUTE($G389,"-",""))),"-"," ",LEN($G389)-LEN(SUBSTITUTE($G389,"-",""))-1),".","")))=0,SUBSTITUTE(SUBSTITUTE($G389,"-"," ",LEN($G389)-LEN(SUBSTITUTE($G389,"-",""))),"-"," ",LEN($G389)-LEN(SUBSTITUTE($G389,"-",""))-1),SUBSTITUTE(SUBSTITUTE(SUBSTITUTE($G389,"-"," ",LEN($G389)-LEN(SUBSTITUTE($G389,"-",""))),"-"," ",LEN($G389)-LEN(SUBSTITUTE($G389,"-",""))-1),"."," ",(LEN(SUBSTITUTE(SUBSTITUTE($G389,"-"," ",LEN($G389)-LEN(SUBSTITUTE($G389,"-",""))),"-"," ",LEN($G389)-LEN(SUBSTITUTE($G389,"-",""))-1))-LEN(SUBSTITUTE(SUBSTITUTE(SUBSTITUTE($G389,"-"," ",LEN($G389)-LEN(SUBSTITUTE($G389,"-",""))),"-"," ",LEN($G389)-LEN(SUBSTITUTE($G389,"-",""))-1),".",""))))),$G389)))</f>
        <v/>
      </c>
    </row>
    <row r="390">
      <c r="A390" s="58" t="n"/>
      <c r="B390" s="58">
        <f>IF($H390="","",LEFT($H390,FIND(" ",$H390&amp;" ")-1))</f>
        <v/>
      </c>
      <c r="C390" s="58">
        <f>IF($H390="","",IFERROR(MID($H390&amp;" ",FIND("|",SUBSTITUTE($H390&amp;" "," ","|",1))+1,FIND("|",SUBSTITUTE($H390&amp;" "," ","|",2))-FIND("|",SUBSTITUTE($H390&amp;" "," ","|",1))-1),""))</f>
        <v/>
      </c>
      <c r="D390" s="58">
        <f>IF($H390="","",IFERROR(MID($H390&amp;" ",FIND("|",SUBSTITUTE($H390&amp;" "," ","|",2))+1,FIND("|",SUBSTITUTE($H390&amp;" "," ","|",3))-FIND("|",SUBSTITUTE($H390&amp;" "," ","|",2))-1),""))</f>
        <v/>
      </c>
      <c r="E390" s="58">
        <f>IF($H390="","",IFERROR(MID($H390&amp;" ",FIND("|",SUBSTITUTE($H390&amp;" "," ","|",3))+1,FIND("|",SUBSTITUTE($H390&amp;" "," ","|",4))-FIND("|",SUBSTITUTE($H390&amp;" "," ","|",3))-1),""))</f>
        <v/>
      </c>
      <c r="F390" s="59">
        <f>IF($H390="","",IFERROR(VALUE(IFERROR(MID($H390&amp;" ",FIND("|",SUBSTITUTE($H390&amp;" "," ","|",4))+1,FIND("|",SUBSTITUTE($H390&amp;" "," ","|",5))-FIND("|",SUBSTITUTE($H390&amp;" "," ","|",4))-1),""))/86400+25569+9/24,""))</f>
        <v/>
      </c>
      <c r="G390" s="58">
        <f>TRIM(SUBSTITUTE(SUBSTITUTE(SUBSTITUTE($A390,CHAR(9)," ")," "," "),CHAR(13),""))</f>
        <v/>
      </c>
      <c r="H390" s="58">
        <f>IF($G390="","",IF(ISNUMBER(FIND(" ",$G390)),$G390,IFERROR(IF((LEN(SUBSTITUTE(SUBSTITUTE($G390,"-"," ",LEN($G390)-LEN(SUBSTITUTE($G390,"-",""))),"-"," ",LEN($G390)-LEN(SUBSTITUTE($G390,"-",""))-1))-LEN(SUBSTITUTE(SUBSTITUTE(SUBSTITUTE($G390,"-"," ",LEN($G390)-LEN(SUBSTITUTE($G390,"-",""))),"-"," ",LEN($G390)-LEN(SUBSTITUTE($G390,"-",""))-1),".","")))=0,SUBSTITUTE(SUBSTITUTE($G390,"-"," ",LEN($G390)-LEN(SUBSTITUTE($G390,"-",""))),"-"," ",LEN($G390)-LEN(SUBSTITUTE($G390,"-",""))-1),SUBSTITUTE(SUBSTITUTE(SUBSTITUTE($G390,"-"," ",LEN($G390)-LEN(SUBSTITUTE($G390,"-",""))),"-"," ",LEN($G390)-LEN(SUBSTITUTE($G390,"-",""))-1),"."," ",(LEN(SUBSTITUTE(SUBSTITUTE($G390,"-"," ",LEN($G390)-LEN(SUBSTITUTE($G390,"-",""))),"-"," ",LEN($G390)-LEN(SUBSTITUTE($G390,"-",""))-1))-LEN(SUBSTITUTE(SUBSTITUTE(SUBSTITUTE($G390,"-"," ",LEN($G390)-LEN(SUBSTITUTE($G390,"-",""))),"-"," ",LEN($G390)-LEN(SUBSTITUTE($G390,"-",""))-1),".",""))))),$G390)))</f>
        <v/>
      </c>
    </row>
    <row r="391">
      <c r="A391" s="58" t="n"/>
      <c r="B391" s="58">
        <f>IF($H391="","",LEFT($H391,FIND(" ",$H391&amp;" ")-1))</f>
        <v/>
      </c>
      <c r="C391" s="58">
        <f>IF($H391="","",IFERROR(MID($H391&amp;" ",FIND("|",SUBSTITUTE($H391&amp;" "," ","|",1))+1,FIND("|",SUBSTITUTE($H391&amp;" "," ","|",2))-FIND("|",SUBSTITUTE($H391&amp;" "," ","|",1))-1),""))</f>
        <v/>
      </c>
      <c r="D391" s="58">
        <f>IF($H391="","",IFERROR(MID($H391&amp;" ",FIND("|",SUBSTITUTE($H391&amp;" "," ","|",2))+1,FIND("|",SUBSTITUTE($H391&amp;" "," ","|",3))-FIND("|",SUBSTITUTE($H391&amp;" "," ","|",2))-1),""))</f>
        <v/>
      </c>
      <c r="E391" s="58">
        <f>IF($H391="","",IFERROR(MID($H391&amp;" ",FIND("|",SUBSTITUTE($H391&amp;" "," ","|",3))+1,FIND("|",SUBSTITUTE($H391&amp;" "," ","|",4))-FIND("|",SUBSTITUTE($H391&amp;" "," ","|",3))-1),""))</f>
        <v/>
      </c>
      <c r="F391" s="59">
        <f>IF($H391="","",IFERROR(VALUE(IFERROR(MID($H391&amp;" ",FIND("|",SUBSTITUTE($H391&amp;" "," ","|",4))+1,FIND("|",SUBSTITUTE($H391&amp;" "," ","|",5))-FIND("|",SUBSTITUTE($H391&amp;" "," ","|",4))-1),""))/86400+25569+9/24,""))</f>
        <v/>
      </c>
      <c r="G391" s="58">
        <f>TRIM(SUBSTITUTE(SUBSTITUTE(SUBSTITUTE($A391,CHAR(9)," ")," "," "),CHAR(13),""))</f>
        <v/>
      </c>
      <c r="H391" s="58">
        <f>IF($G391="","",IF(ISNUMBER(FIND(" ",$G391)),$G391,IFERROR(IF((LEN(SUBSTITUTE(SUBSTITUTE($G391,"-"," ",LEN($G391)-LEN(SUBSTITUTE($G391,"-",""))),"-"," ",LEN($G391)-LEN(SUBSTITUTE($G391,"-",""))-1))-LEN(SUBSTITUTE(SUBSTITUTE(SUBSTITUTE($G391,"-"," ",LEN($G391)-LEN(SUBSTITUTE($G391,"-",""))),"-"," ",LEN($G391)-LEN(SUBSTITUTE($G391,"-",""))-1),".","")))=0,SUBSTITUTE(SUBSTITUTE($G391,"-"," ",LEN($G391)-LEN(SUBSTITUTE($G391,"-",""))),"-"," ",LEN($G391)-LEN(SUBSTITUTE($G391,"-",""))-1),SUBSTITUTE(SUBSTITUTE(SUBSTITUTE($G391,"-"," ",LEN($G391)-LEN(SUBSTITUTE($G391,"-",""))),"-"," ",LEN($G391)-LEN(SUBSTITUTE($G391,"-",""))-1),"."," ",(LEN(SUBSTITUTE(SUBSTITUTE($G391,"-"," ",LEN($G391)-LEN(SUBSTITUTE($G391,"-",""))),"-"," ",LEN($G391)-LEN(SUBSTITUTE($G391,"-",""))-1))-LEN(SUBSTITUTE(SUBSTITUTE(SUBSTITUTE($G391,"-"," ",LEN($G391)-LEN(SUBSTITUTE($G391,"-",""))),"-"," ",LEN($G391)-LEN(SUBSTITUTE($G391,"-",""))-1),".",""))))),$G391)))</f>
        <v/>
      </c>
    </row>
    <row r="392">
      <c r="A392" s="58" t="n"/>
      <c r="B392" s="58">
        <f>IF($H392="","",LEFT($H392,FIND(" ",$H392&amp;" ")-1))</f>
        <v/>
      </c>
      <c r="C392" s="58">
        <f>IF($H392="","",IFERROR(MID($H392&amp;" ",FIND("|",SUBSTITUTE($H392&amp;" "," ","|",1))+1,FIND("|",SUBSTITUTE($H392&amp;" "," ","|",2))-FIND("|",SUBSTITUTE($H392&amp;" "," ","|",1))-1),""))</f>
        <v/>
      </c>
      <c r="D392" s="58">
        <f>IF($H392="","",IFERROR(MID($H392&amp;" ",FIND("|",SUBSTITUTE($H392&amp;" "," ","|",2))+1,FIND("|",SUBSTITUTE($H392&amp;" "," ","|",3))-FIND("|",SUBSTITUTE($H392&amp;" "," ","|",2))-1),""))</f>
        <v/>
      </c>
      <c r="E392" s="58">
        <f>IF($H392="","",IFERROR(MID($H392&amp;" ",FIND("|",SUBSTITUTE($H392&amp;" "," ","|",3))+1,FIND("|",SUBSTITUTE($H392&amp;" "," ","|",4))-FIND("|",SUBSTITUTE($H392&amp;" "," ","|",3))-1),""))</f>
        <v/>
      </c>
      <c r="F392" s="59">
        <f>IF($H392="","",IFERROR(VALUE(IFERROR(MID($H392&amp;" ",FIND("|",SUBSTITUTE($H392&amp;" "," ","|",4))+1,FIND("|",SUBSTITUTE($H392&amp;" "," ","|",5))-FIND("|",SUBSTITUTE($H392&amp;" "," ","|",4))-1),""))/86400+25569+9/24,""))</f>
        <v/>
      </c>
      <c r="G392" s="58">
        <f>TRIM(SUBSTITUTE(SUBSTITUTE(SUBSTITUTE($A392,CHAR(9)," ")," "," "),CHAR(13),""))</f>
        <v/>
      </c>
      <c r="H392" s="58">
        <f>IF($G392="","",IF(ISNUMBER(FIND(" ",$G392)),$G392,IFERROR(IF((LEN(SUBSTITUTE(SUBSTITUTE($G392,"-"," ",LEN($G392)-LEN(SUBSTITUTE($G392,"-",""))),"-"," ",LEN($G392)-LEN(SUBSTITUTE($G392,"-",""))-1))-LEN(SUBSTITUTE(SUBSTITUTE(SUBSTITUTE($G392,"-"," ",LEN($G392)-LEN(SUBSTITUTE($G392,"-",""))),"-"," ",LEN($G392)-LEN(SUBSTITUTE($G392,"-",""))-1),".","")))=0,SUBSTITUTE(SUBSTITUTE($G392,"-"," ",LEN($G392)-LEN(SUBSTITUTE($G392,"-",""))),"-"," ",LEN($G392)-LEN(SUBSTITUTE($G392,"-",""))-1),SUBSTITUTE(SUBSTITUTE(SUBSTITUTE($G392,"-"," ",LEN($G392)-LEN(SUBSTITUTE($G392,"-",""))),"-"," ",LEN($G392)-LEN(SUBSTITUTE($G392,"-",""))-1),"."," ",(LEN(SUBSTITUTE(SUBSTITUTE($G392,"-"," ",LEN($G392)-LEN(SUBSTITUTE($G392,"-",""))),"-"," ",LEN($G392)-LEN(SUBSTITUTE($G392,"-",""))-1))-LEN(SUBSTITUTE(SUBSTITUTE(SUBSTITUTE($G392,"-"," ",LEN($G392)-LEN(SUBSTITUTE($G392,"-",""))),"-"," ",LEN($G392)-LEN(SUBSTITUTE($G392,"-",""))-1),".",""))))),$G392)))</f>
        <v/>
      </c>
    </row>
    <row r="393">
      <c r="A393" s="58" t="n"/>
      <c r="B393" s="58">
        <f>IF($H393="","",LEFT($H393,FIND(" ",$H393&amp;" ")-1))</f>
        <v/>
      </c>
      <c r="C393" s="58">
        <f>IF($H393="","",IFERROR(MID($H393&amp;" ",FIND("|",SUBSTITUTE($H393&amp;" "," ","|",1))+1,FIND("|",SUBSTITUTE($H393&amp;" "," ","|",2))-FIND("|",SUBSTITUTE($H393&amp;" "," ","|",1))-1),""))</f>
        <v/>
      </c>
      <c r="D393" s="58">
        <f>IF($H393="","",IFERROR(MID($H393&amp;" ",FIND("|",SUBSTITUTE($H393&amp;" "," ","|",2))+1,FIND("|",SUBSTITUTE($H393&amp;" "," ","|",3))-FIND("|",SUBSTITUTE($H393&amp;" "," ","|",2))-1),""))</f>
        <v/>
      </c>
      <c r="E393" s="58">
        <f>IF($H393="","",IFERROR(MID($H393&amp;" ",FIND("|",SUBSTITUTE($H393&amp;" "," ","|",3))+1,FIND("|",SUBSTITUTE($H393&amp;" "," ","|",4))-FIND("|",SUBSTITUTE($H393&amp;" "," ","|",3))-1),""))</f>
        <v/>
      </c>
      <c r="F393" s="59">
        <f>IF($H393="","",IFERROR(VALUE(IFERROR(MID($H393&amp;" ",FIND("|",SUBSTITUTE($H393&amp;" "," ","|",4))+1,FIND("|",SUBSTITUTE($H393&amp;" "," ","|",5))-FIND("|",SUBSTITUTE($H393&amp;" "," ","|",4))-1),""))/86400+25569+9/24,""))</f>
        <v/>
      </c>
      <c r="G393" s="58">
        <f>TRIM(SUBSTITUTE(SUBSTITUTE(SUBSTITUTE($A393,CHAR(9)," ")," "," "),CHAR(13),""))</f>
        <v/>
      </c>
      <c r="H393" s="58">
        <f>IF($G393="","",IF(ISNUMBER(FIND(" ",$G393)),$G393,IFERROR(IF((LEN(SUBSTITUTE(SUBSTITUTE($G393,"-"," ",LEN($G393)-LEN(SUBSTITUTE($G393,"-",""))),"-"," ",LEN($G393)-LEN(SUBSTITUTE($G393,"-",""))-1))-LEN(SUBSTITUTE(SUBSTITUTE(SUBSTITUTE($G393,"-"," ",LEN($G393)-LEN(SUBSTITUTE($G393,"-",""))),"-"," ",LEN($G393)-LEN(SUBSTITUTE($G393,"-",""))-1),".","")))=0,SUBSTITUTE(SUBSTITUTE($G393,"-"," ",LEN($G393)-LEN(SUBSTITUTE($G393,"-",""))),"-"," ",LEN($G393)-LEN(SUBSTITUTE($G393,"-",""))-1),SUBSTITUTE(SUBSTITUTE(SUBSTITUTE($G393,"-"," ",LEN($G393)-LEN(SUBSTITUTE($G393,"-",""))),"-"," ",LEN($G393)-LEN(SUBSTITUTE($G393,"-",""))-1),"."," ",(LEN(SUBSTITUTE(SUBSTITUTE($G393,"-"," ",LEN($G393)-LEN(SUBSTITUTE($G393,"-",""))),"-"," ",LEN($G393)-LEN(SUBSTITUTE($G393,"-",""))-1))-LEN(SUBSTITUTE(SUBSTITUTE(SUBSTITUTE($G393,"-"," ",LEN($G393)-LEN(SUBSTITUTE($G393,"-",""))),"-"," ",LEN($G393)-LEN(SUBSTITUTE($G393,"-",""))-1),".",""))))),$G393)))</f>
        <v/>
      </c>
    </row>
    <row r="394">
      <c r="A394" s="58" t="n"/>
      <c r="B394" s="58">
        <f>IF($H394="","",LEFT($H394,FIND(" ",$H394&amp;" ")-1))</f>
        <v/>
      </c>
      <c r="C394" s="58">
        <f>IF($H394="","",IFERROR(MID($H394&amp;" ",FIND("|",SUBSTITUTE($H394&amp;" "," ","|",1))+1,FIND("|",SUBSTITUTE($H394&amp;" "," ","|",2))-FIND("|",SUBSTITUTE($H394&amp;" "," ","|",1))-1),""))</f>
        <v/>
      </c>
      <c r="D394" s="58">
        <f>IF($H394="","",IFERROR(MID($H394&amp;" ",FIND("|",SUBSTITUTE($H394&amp;" "," ","|",2))+1,FIND("|",SUBSTITUTE($H394&amp;" "," ","|",3))-FIND("|",SUBSTITUTE($H394&amp;" "," ","|",2))-1),""))</f>
        <v/>
      </c>
      <c r="E394" s="58">
        <f>IF($H394="","",IFERROR(MID($H394&amp;" ",FIND("|",SUBSTITUTE($H394&amp;" "," ","|",3))+1,FIND("|",SUBSTITUTE($H394&amp;" "," ","|",4))-FIND("|",SUBSTITUTE($H394&amp;" "," ","|",3))-1),""))</f>
        <v/>
      </c>
      <c r="F394" s="59">
        <f>IF($H394="","",IFERROR(VALUE(IFERROR(MID($H394&amp;" ",FIND("|",SUBSTITUTE($H394&amp;" "," ","|",4))+1,FIND("|",SUBSTITUTE($H394&amp;" "," ","|",5))-FIND("|",SUBSTITUTE($H394&amp;" "," ","|",4))-1),""))/86400+25569+9/24,""))</f>
        <v/>
      </c>
      <c r="G394" s="58">
        <f>TRIM(SUBSTITUTE(SUBSTITUTE(SUBSTITUTE($A394,CHAR(9)," ")," "," "),CHAR(13),""))</f>
        <v/>
      </c>
      <c r="H394" s="58">
        <f>IF($G394="","",IF(ISNUMBER(FIND(" ",$G394)),$G394,IFERROR(IF((LEN(SUBSTITUTE(SUBSTITUTE($G394,"-"," ",LEN($G394)-LEN(SUBSTITUTE($G394,"-",""))),"-"," ",LEN($G394)-LEN(SUBSTITUTE($G394,"-",""))-1))-LEN(SUBSTITUTE(SUBSTITUTE(SUBSTITUTE($G394,"-"," ",LEN($G394)-LEN(SUBSTITUTE($G394,"-",""))),"-"," ",LEN($G394)-LEN(SUBSTITUTE($G394,"-",""))-1),".","")))=0,SUBSTITUTE(SUBSTITUTE($G394,"-"," ",LEN($G394)-LEN(SUBSTITUTE($G394,"-",""))),"-"," ",LEN($G394)-LEN(SUBSTITUTE($G394,"-",""))-1),SUBSTITUTE(SUBSTITUTE(SUBSTITUTE($G394,"-"," ",LEN($G394)-LEN(SUBSTITUTE($G394,"-",""))),"-"," ",LEN($G394)-LEN(SUBSTITUTE($G394,"-",""))-1),"."," ",(LEN(SUBSTITUTE(SUBSTITUTE($G394,"-"," ",LEN($G394)-LEN(SUBSTITUTE($G394,"-",""))),"-"," ",LEN($G394)-LEN(SUBSTITUTE($G394,"-",""))-1))-LEN(SUBSTITUTE(SUBSTITUTE(SUBSTITUTE($G394,"-"," ",LEN($G394)-LEN(SUBSTITUTE($G394,"-",""))),"-"," ",LEN($G394)-LEN(SUBSTITUTE($G394,"-",""))-1),".",""))))),$G394)))</f>
        <v/>
      </c>
    </row>
    <row r="395">
      <c r="A395" s="58" t="n"/>
      <c r="B395" s="58">
        <f>IF($H395="","",LEFT($H395,FIND(" ",$H395&amp;" ")-1))</f>
        <v/>
      </c>
      <c r="C395" s="58">
        <f>IF($H395="","",IFERROR(MID($H395&amp;" ",FIND("|",SUBSTITUTE($H395&amp;" "," ","|",1))+1,FIND("|",SUBSTITUTE($H395&amp;" "," ","|",2))-FIND("|",SUBSTITUTE($H395&amp;" "," ","|",1))-1),""))</f>
        <v/>
      </c>
      <c r="D395" s="58">
        <f>IF($H395="","",IFERROR(MID($H395&amp;" ",FIND("|",SUBSTITUTE($H395&amp;" "," ","|",2))+1,FIND("|",SUBSTITUTE($H395&amp;" "," ","|",3))-FIND("|",SUBSTITUTE($H395&amp;" "," ","|",2))-1),""))</f>
        <v/>
      </c>
      <c r="E395" s="58">
        <f>IF($H395="","",IFERROR(MID($H395&amp;" ",FIND("|",SUBSTITUTE($H395&amp;" "," ","|",3))+1,FIND("|",SUBSTITUTE($H395&amp;" "," ","|",4))-FIND("|",SUBSTITUTE($H395&amp;" "," ","|",3))-1),""))</f>
        <v/>
      </c>
      <c r="F395" s="59">
        <f>IF($H395="","",IFERROR(VALUE(IFERROR(MID($H395&amp;" ",FIND("|",SUBSTITUTE($H395&amp;" "," ","|",4))+1,FIND("|",SUBSTITUTE($H395&amp;" "," ","|",5))-FIND("|",SUBSTITUTE($H395&amp;" "," ","|",4))-1),""))/86400+25569+9/24,""))</f>
        <v/>
      </c>
      <c r="G395" s="58">
        <f>TRIM(SUBSTITUTE(SUBSTITUTE(SUBSTITUTE($A395,CHAR(9)," ")," "," "),CHAR(13),""))</f>
        <v/>
      </c>
      <c r="H395" s="58">
        <f>IF($G395="","",IF(ISNUMBER(FIND(" ",$G395)),$G395,IFERROR(IF((LEN(SUBSTITUTE(SUBSTITUTE($G395,"-"," ",LEN($G395)-LEN(SUBSTITUTE($G395,"-",""))),"-"," ",LEN($G395)-LEN(SUBSTITUTE($G395,"-",""))-1))-LEN(SUBSTITUTE(SUBSTITUTE(SUBSTITUTE($G395,"-"," ",LEN($G395)-LEN(SUBSTITUTE($G395,"-",""))),"-"," ",LEN($G395)-LEN(SUBSTITUTE($G395,"-",""))-1),".","")))=0,SUBSTITUTE(SUBSTITUTE($G395,"-"," ",LEN($G395)-LEN(SUBSTITUTE($G395,"-",""))),"-"," ",LEN($G395)-LEN(SUBSTITUTE($G395,"-",""))-1),SUBSTITUTE(SUBSTITUTE(SUBSTITUTE($G395,"-"," ",LEN($G395)-LEN(SUBSTITUTE($G395,"-",""))),"-"," ",LEN($G395)-LEN(SUBSTITUTE($G395,"-",""))-1),"."," ",(LEN(SUBSTITUTE(SUBSTITUTE($G395,"-"," ",LEN($G395)-LEN(SUBSTITUTE($G395,"-",""))),"-"," ",LEN($G395)-LEN(SUBSTITUTE($G395,"-",""))-1))-LEN(SUBSTITUTE(SUBSTITUTE(SUBSTITUTE($G395,"-"," ",LEN($G395)-LEN(SUBSTITUTE($G395,"-",""))),"-"," ",LEN($G395)-LEN(SUBSTITUTE($G395,"-",""))-1),".",""))))),$G395)))</f>
        <v/>
      </c>
    </row>
    <row r="396">
      <c r="A396" s="58" t="n"/>
      <c r="B396" s="58">
        <f>IF($H396="","",LEFT($H396,FIND(" ",$H396&amp;" ")-1))</f>
        <v/>
      </c>
      <c r="C396" s="58">
        <f>IF($H396="","",IFERROR(MID($H396&amp;" ",FIND("|",SUBSTITUTE($H396&amp;" "," ","|",1))+1,FIND("|",SUBSTITUTE($H396&amp;" "," ","|",2))-FIND("|",SUBSTITUTE($H396&amp;" "," ","|",1))-1),""))</f>
        <v/>
      </c>
      <c r="D396" s="58">
        <f>IF($H396="","",IFERROR(MID($H396&amp;" ",FIND("|",SUBSTITUTE($H396&amp;" "," ","|",2))+1,FIND("|",SUBSTITUTE($H396&amp;" "," ","|",3))-FIND("|",SUBSTITUTE($H396&amp;" "," ","|",2))-1),""))</f>
        <v/>
      </c>
      <c r="E396" s="58">
        <f>IF($H396="","",IFERROR(MID($H396&amp;" ",FIND("|",SUBSTITUTE($H396&amp;" "," ","|",3))+1,FIND("|",SUBSTITUTE($H396&amp;" "," ","|",4))-FIND("|",SUBSTITUTE($H396&amp;" "," ","|",3))-1),""))</f>
        <v/>
      </c>
      <c r="F396" s="59">
        <f>IF($H396="","",IFERROR(VALUE(IFERROR(MID($H396&amp;" ",FIND("|",SUBSTITUTE($H396&amp;" "," ","|",4))+1,FIND("|",SUBSTITUTE($H396&amp;" "," ","|",5))-FIND("|",SUBSTITUTE($H396&amp;" "," ","|",4))-1),""))/86400+25569+9/24,""))</f>
        <v/>
      </c>
      <c r="G396" s="58">
        <f>TRIM(SUBSTITUTE(SUBSTITUTE(SUBSTITUTE($A396,CHAR(9)," ")," "," "),CHAR(13),""))</f>
        <v/>
      </c>
      <c r="H396" s="58">
        <f>IF($G396="","",IF(ISNUMBER(FIND(" ",$G396)),$G396,IFERROR(IF((LEN(SUBSTITUTE(SUBSTITUTE($G396,"-"," ",LEN($G396)-LEN(SUBSTITUTE($G396,"-",""))),"-"," ",LEN($G396)-LEN(SUBSTITUTE($G396,"-",""))-1))-LEN(SUBSTITUTE(SUBSTITUTE(SUBSTITUTE($G396,"-"," ",LEN($G396)-LEN(SUBSTITUTE($G396,"-",""))),"-"," ",LEN($G396)-LEN(SUBSTITUTE($G396,"-",""))-1),".","")))=0,SUBSTITUTE(SUBSTITUTE($G396,"-"," ",LEN($G396)-LEN(SUBSTITUTE($G396,"-",""))),"-"," ",LEN($G396)-LEN(SUBSTITUTE($G396,"-",""))-1),SUBSTITUTE(SUBSTITUTE(SUBSTITUTE($G396,"-"," ",LEN($G396)-LEN(SUBSTITUTE($G396,"-",""))),"-"," ",LEN($G396)-LEN(SUBSTITUTE($G396,"-",""))-1),"."," ",(LEN(SUBSTITUTE(SUBSTITUTE($G396,"-"," ",LEN($G396)-LEN(SUBSTITUTE($G396,"-",""))),"-"," ",LEN($G396)-LEN(SUBSTITUTE($G396,"-",""))-1))-LEN(SUBSTITUTE(SUBSTITUTE(SUBSTITUTE($G396,"-"," ",LEN($G396)-LEN(SUBSTITUTE($G396,"-",""))),"-"," ",LEN($G396)-LEN(SUBSTITUTE($G396,"-",""))-1),".",""))))),$G396)))</f>
        <v/>
      </c>
    </row>
    <row r="397">
      <c r="A397" s="58" t="n"/>
      <c r="B397" s="58">
        <f>IF($H397="","",LEFT($H397,FIND(" ",$H397&amp;" ")-1))</f>
        <v/>
      </c>
      <c r="C397" s="58">
        <f>IF($H397="","",IFERROR(MID($H397&amp;" ",FIND("|",SUBSTITUTE($H397&amp;" "," ","|",1))+1,FIND("|",SUBSTITUTE($H397&amp;" "," ","|",2))-FIND("|",SUBSTITUTE($H397&amp;" "," ","|",1))-1),""))</f>
        <v/>
      </c>
      <c r="D397" s="58">
        <f>IF($H397="","",IFERROR(MID($H397&amp;" ",FIND("|",SUBSTITUTE($H397&amp;" "," ","|",2))+1,FIND("|",SUBSTITUTE($H397&amp;" "," ","|",3))-FIND("|",SUBSTITUTE($H397&amp;" "," ","|",2))-1),""))</f>
        <v/>
      </c>
      <c r="E397" s="58">
        <f>IF($H397="","",IFERROR(MID($H397&amp;" ",FIND("|",SUBSTITUTE($H397&amp;" "," ","|",3))+1,FIND("|",SUBSTITUTE($H397&amp;" "," ","|",4))-FIND("|",SUBSTITUTE($H397&amp;" "," ","|",3))-1),""))</f>
        <v/>
      </c>
      <c r="F397" s="59">
        <f>IF($H397="","",IFERROR(VALUE(IFERROR(MID($H397&amp;" ",FIND("|",SUBSTITUTE($H397&amp;" "," ","|",4))+1,FIND("|",SUBSTITUTE($H397&amp;" "," ","|",5))-FIND("|",SUBSTITUTE($H397&amp;" "," ","|",4))-1),""))/86400+25569+9/24,""))</f>
        <v/>
      </c>
      <c r="G397" s="58">
        <f>TRIM(SUBSTITUTE(SUBSTITUTE(SUBSTITUTE($A397,CHAR(9)," ")," "," "),CHAR(13),""))</f>
        <v/>
      </c>
      <c r="H397" s="58">
        <f>IF($G397="","",IF(ISNUMBER(FIND(" ",$G397)),$G397,IFERROR(IF((LEN(SUBSTITUTE(SUBSTITUTE($G397,"-"," ",LEN($G397)-LEN(SUBSTITUTE($G397,"-",""))),"-"," ",LEN($G397)-LEN(SUBSTITUTE($G397,"-",""))-1))-LEN(SUBSTITUTE(SUBSTITUTE(SUBSTITUTE($G397,"-"," ",LEN($G397)-LEN(SUBSTITUTE($G397,"-",""))),"-"," ",LEN($G397)-LEN(SUBSTITUTE($G397,"-",""))-1),".","")))=0,SUBSTITUTE(SUBSTITUTE($G397,"-"," ",LEN($G397)-LEN(SUBSTITUTE($G397,"-",""))),"-"," ",LEN($G397)-LEN(SUBSTITUTE($G397,"-",""))-1),SUBSTITUTE(SUBSTITUTE(SUBSTITUTE($G397,"-"," ",LEN($G397)-LEN(SUBSTITUTE($G397,"-",""))),"-"," ",LEN($G397)-LEN(SUBSTITUTE($G397,"-",""))-1),"."," ",(LEN(SUBSTITUTE(SUBSTITUTE($G397,"-"," ",LEN($G397)-LEN(SUBSTITUTE($G397,"-",""))),"-"," ",LEN($G397)-LEN(SUBSTITUTE($G397,"-",""))-1))-LEN(SUBSTITUTE(SUBSTITUTE(SUBSTITUTE($G397,"-"," ",LEN($G397)-LEN(SUBSTITUTE($G397,"-",""))),"-"," ",LEN($G397)-LEN(SUBSTITUTE($G397,"-",""))-1),".",""))))),$G397)))</f>
        <v/>
      </c>
    </row>
    <row r="398">
      <c r="A398" s="58" t="n"/>
      <c r="B398" s="58">
        <f>IF($H398="","",LEFT($H398,FIND(" ",$H398&amp;" ")-1))</f>
        <v/>
      </c>
      <c r="C398" s="58">
        <f>IF($H398="","",IFERROR(MID($H398&amp;" ",FIND("|",SUBSTITUTE($H398&amp;" "," ","|",1))+1,FIND("|",SUBSTITUTE($H398&amp;" "," ","|",2))-FIND("|",SUBSTITUTE($H398&amp;" "," ","|",1))-1),""))</f>
        <v/>
      </c>
      <c r="D398" s="58">
        <f>IF($H398="","",IFERROR(MID($H398&amp;" ",FIND("|",SUBSTITUTE($H398&amp;" "," ","|",2))+1,FIND("|",SUBSTITUTE($H398&amp;" "," ","|",3))-FIND("|",SUBSTITUTE($H398&amp;" "," ","|",2))-1),""))</f>
        <v/>
      </c>
      <c r="E398" s="58">
        <f>IF($H398="","",IFERROR(MID($H398&amp;" ",FIND("|",SUBSTITUTE($H398&amp;" "," ","|",3))+1,FIND("|",SUBSTITUTE($H398&amp;" "," ","|",4))-FIND("|",SUBSTITUTE($H398&amp;" "," ","|",3))-1),""))</f>
        <v/>
      </c>
      <c r="F398" s="59">
        <f>IF($H398="","",IFERROR(VALUE(IFERROR(MID($H398&amp;" ",FIND("|",SUBSTITUTE($H398&amp;" "," ","|",4))+1,FIND("|",SUBSTITUTE($H398&amp;" "," ","|",5))-FIND("|",SUBSTITUTE($H398&amp;" "," ","|",4))-1),""))/86400+25569+9/24,""))</f>
        <v/>
      </c>
      <c r="G398" s="58">
        <f>TRIM(SUBSTITUTE(SUBSTITUTE(SUBSTITUTE($A398,CHAR(9)," ")," "," "),CHAR(13),""))</f>
        <v/>
      </c>
      <c r="H398" s="58">
        <f>IF($G398="","",IF(ISNUMBER(FIND(" ",$G398)),$G398,IFERROR(IF((LEN(SUBSTITUTE(SUBSTITUTE($G398,"-"," ",LEN($G398)-LEN(SUBSTITUTE($G398,"-",""))),"-"," ",LEN($G398)-LEN(SUBSTITUTE($G398,"-",""))-1))-LEN(SUBSTITUTE(SUBSTITUTE(SUBSTITUTE($G398,"-"," ",LEN($G398)-LEN(SUBSTITUTE($G398,"-",""))),"-"," ",LEN($G398)-LEN(SUBSTITUTE($G398,"-",""))-1),".","")))=0,SUBSTITUTE(SUBSTITUTE($G398,"-"," ",LEN($G398)-LEN(SUBSTITUTE($G398,"-",""))),"-"," ",LEN($G398)-LEN(SUBSTITUTE($G398,"-",""))-1),SUBSTITUTE(SUBSTITUTE(SUBSTITUTE($G398,"-"," ",LEN($G398)-LEN(SUBSTITUTE($G398,"-",""))),"-"," ",LEN($G398)-LEN(SUBSTITUTE($G398,"-",""))-1),"."," ",(LEN(SUBSTITUTE(SUBSTITUTE($G398,"-"," ",LEN($G398)-LEN(SUBSTITUTE($G398,"-",""))),"-"," ",LEN($G398)-LEN(SUBSTITUTE($G398,"-",""))-1))-LEN(SUBSTITUTE(SUBSTITUTE(SUBSTITUTE($G398,"-"," ",LEN($G398)-LEN(SUBSTITUTE($G398,"-",""))),"-"," ",LEN($G398)-LEN(SUBSTITUTE($G398,"-",""))-1),".",""))))),$G398)))</f>
        <v/>
      </c>
    </row>
    <row r="399">
      <c r="A399" s="58" t="n"/>
      <c r="B399" s="58">
        <f>IF($H399="","",LEFT($H399,FIND(" ",$H399&amp;" ")-1))</f>
        <v/>
      </c>
      <c r="C399" s="58">
        <f>IF($H399="","",IFERROR(MID($H399&amp;" ",FIND("|",SUBSTITUTE($H399&amp;" "," ","|",1))+1,FIND("|",SUBSTITUTE($H399&amp;" "," ","|",2))-FIND("|",SUBSTITUTE($H399&amp;" "," ","|",1))-1),""))</f>
        <v/>
      </c>
      <c r="D399" s="58">
        <f>IF($H399="","",IFERROR(MID($H399&amp;" ",FIND("|",SUBSTITUTE($H399&amp;" "," ","|",2))+1,FIND("|",SUBSTITUTE($H399&amp;" "," ","|",3))-FIND("|",SUBSTITUTE($H399&amp;" "," ","|",2))-1),""))</f>
        <v/>
      </c>
      <c r="E399" s="58">
        <f>IF($H399="","",IFERROR(MID($H399&amp;" ",FIND("|",SUBSTITUTE($H399&amp;" "," ","|",3))+1,FIND("|",SUBSTITUTE($H399&amp;" "," ","|",4))-FIND("|",SUBSTITUTE($H399&amp;" "," ","|",3))-1),""))</f>
        <v/>
      </c>
      <c r="F399" s="59">
        <f>IF($H399="","",IFERROR(VALUE(IFERROR(MID($H399&amp;" ",FIND("|",SUBSTITUTE($H399&amp;" "," ","|",4))+1,FIND("|",SUBSTITUTE($H399&amp;" "," ","|",5))-FIND("|",SUBSTITUTE($H399&amp;" "," ","|",4))-1),""))/86400+25569+9/24,""))</f>
        <v/>
      </c>
      <c r="G399" s="58">
        <f>TRIM(SUBSTITUTE(SUBSTITUTE(SUBSTITUTE($A399,CHAR(9)," ")," "," "),CHAR(13),""))</f>
        <v/>
      </c>
      <c r="H399" s="58">
        <f>IF($G399="","",IF(ISNUMBER(FIND(" ",$G399)),$G399,IFERROR(IF((LEN(SUBSTITUTE(SUBSTITUTE($G399,"-"," ",LEN($G399)-LEN(SUBSTITUTE($G399,"-",""))),"-"," ",LEN($G399)-LEN(SUBSTITUTE($G399,"-",""))-1))-LEN(SUBSTITUTE(SUBSTITUTE(SUBSTITUTE($G399,"-"," ",LEN($G399)-LEN(SUBSTITUTE($G399,"-",""))),"-"," ",LEN($G399)-LEN(SUBSTITUTE($G399,"-",""))-1),".","")))=0,SUBSTITUTE(SUBSTITUTE($G399,"-"," ",LEN($G399)-LEN(SUBSTITUTE($G399,"-",""))),"-"," ",LEN($G399)-LEN(SUBSTITUTE($G399,"-",""))-1),SUBSTITUTE(SUBSTITUTE(SUBSTITUTE($G399,"-"," ",LEN($G399)-LEN(SUBSTITUTE($G399,"-",""))),"-"," ",LEN($G399)-LEN(SUBSTITUTE($G399,"-",""))-1),"."," ",(LEN(SUBSTITUTE(SUBSTITUTE($G399,"-"," ",LEN($G399)-LEN(SUBSTITUTE($G399,"-",""))),"-"," ",LEN($G399)-LEN(SUBSTITUTE($G399,"-",""))-1))-LEN(SUBSTITUTE(SUBSTITUTE(SUBSTITUTE($G399,"-"," ",LEN($G399)-LEN(SUBSTITUTE($G399,"-",""))),"-"," ",LEN($G399)-LEN(SUBSTITUTE($G399,"-",""))-1),".",""))))),$G399)))</f>
        <v/>
      </c>
    </row>
    <row r="400">
      <c r="A400" s="58" t="n"/>
      <c r="B400" s="58">
        <f>IF($H400="","",LEFT($H400,FIND(" ",$H400&amp;" ")-1))</f>
        <v/>
      </c>
      <c r="C400" s="58">
        <f>IF($H400="","",IFERROR(MID($H400&amp;" ",FIND("|",SUBSTITUTE($H400&amp;" "," ","|",1))+1,FIND("|",SUBSTITUTE($H400&amp;" "," ","|",2))-FIND("|",SUBSTITUTE($H400&amp;" "," ","|",1))-1),""))</f>
        <v/>
      </c>
      <c r="D400" s="58">
        <f>IF($H400="","",IFERROR(MID($H400&amp;" ",FIND("|",SUBSTITUTE($H400&amp;" "," ","|",2))+1,FIND("|",SUBSTITUTE($H400&amp;" "," ","|",3))-FIND("|",SUBSTITUTE($H400&amp;" "," ","|",2))-1),""))</f>
        <v/>
      </c>
      <c r="E400" s="58">
        <f>IF($H400="","",IFERROR(MID($H400&amp;" ",FIND("|",SUBSTITUTE($H400&amp;" "," ","|",3))+1,FIND("|",SUBSTITUTE($H400&amp;" "," ","|",4))-FIND("|",SUBSTITUTE($H400&amp;" "," ","|",3))-1),""))</f>
        <v/>
      </c>
      <c r="F400" s="59">
        <f>IF($H400="","",IFERROR(VALUE(IFERROR(MID($H400&amp;" ",FIND("|",SUBSTITUTE($H400&amp;" "," ","|",4))+1,FIND("|",SUBSTITUTE($H400&amp;" "," ","|",5))-FIND("|",SUBSTITUTE($H400&amp;" "," ","|",4))-1),""))/86400+25569+9/24,""))</f>
        <v/>
      </c>
      <c r="G400" s="58">
        <f>TRIM(SUBSTITUTE(SUBSTITUTE(SUBSTITUTE($A400,CHAR(9)," ")," "," "),CHAR(13),""))</f>
        <v/>
      </c>
      <c r="H400" s="58">
        <f>IF($G400="","",IF(ISNUMBER(FIND(" ",$G400)),$G400,IFERROR(IF((LEN(SUBSTITUTE(SUBSTITUTE($G400,"-"," ",LEN($G400)-LEN(SUBSTITUTE($G400,"-",""))),"-"," ",LEN($G400)-LEN(SUBSTITUTE($G400,"-",""))-1))-LEN(SUBSTITUTE(SUBSTITUTE(SUBSTITUTE($G400,"-"," ",LEN($G400)-LEN(SUBSTITUTE($G400,"-",""))),"-"," ",LEN($G400)-LEN(SUBSTITUTE($G400,"-",""))-1),".","")))=0,SUBSTITUTE(SUBSTITUTE($G400,"-"," ",LEN($G400)-LEN(SUBSTITUTE($G400,"-",""))),"-"," ",LEN($G400)-LEN(SUBSTITUTE($G400,"-",""))-1),SUBSTITUTE(SUBSTITUTE(SUBSTITUTE($G400,"-"," ",LEN($G400)-LEN(SUBSTITUTE($G400,"-",""))),"-"," ",LEN($G400)-LEN(SUBSTITUTE($G400,"-",""))-1),"."," ",(LEN(SUBSTITUTE(SUBSTITUTE($G400,"-"," ",LEN($G400)-LEN(SUBSTITUTE($G400,"-",""))),"-"," ",LEN($G400)-LEN(SUBSTITUTE($G400,"-",""))-1))-LEN(SUBSTITUTE(SUBSTITUTE(SUBSTITUTE($G400,"-"," ",LEN($G400)-LEN(SUBSTITUTE($G400,"-",""))),"-"," ",LEN($G400)-LEN(SUBSTITUTE($G400,"-",""))-1),".",""))))),$G400)))</f>
        <v/>
      </c>
    </row>
    <row r="401">
      <c r="A401" s="58" t="n"/>
      <c r="B401" s="58">
        <f>IF($H401="","",LEFT($H401,FIND(" ",$H401&amp;" ")-1))</f>
        <v/>
      </c>
      <c r="C401" s="58">
        <f>IF($H401="","",IFERROR(MID($H401&amp;" ",FIND("|",SUBSTITUTE($H401&amp;" "," ","|",1))+1,FIND("|",SUBSTITUTE($H401&amp;" "," ","|",2))-FIND("|",SUBSTITUTE($H401&amp;" "," ","|",1))-1),""))</f>
        <v/>
      </c>
      <c r="D401" s="58">
        <f>IF($H401="","",IFERROR(MID($H401&amp;" ",FIND("|",SUBSTITUTE($H401&amp;" "," ","|",2))+1,FIND("|",SUBSTITUTE($H401&amp;" "," ","|",3))-FIND("|",SUBSTITUTE($H401&amp;" "," ","|",2))-1),""))</f>
        <v/>
      </c>
      <c r="E401" s="58">
        <f>IF($H401="","",IFERROR(MID($H401&amp;" ",FIND("|",SUBSTITUTE($H401&amp;" "," ","|",3))+1,FIND("|",SUBSTITUTE($H401&amp;" "," ","|",4))-FIND("|",SUBSTITUTE($H401&amp;" "," ","|",3))-1),""))</f>
        <v/>
      </c>
      <c r="F401" s="59">
        <f>IF($H401="","",IFERROR(VALUE(IFERROR(MID($H401&amp;" ",FIND("|",SUBSTITUTE($H401&amp;" "," ","|",4))+1,FIND("|",SUBSTITUTE($H401&amp;" "," ","|",5))-FIND("|",SUBSTITUTE($H401&amp;" "," ","|",4))-1),""))/86400+25569+9/24,""))</f>
        <v/>
      </c>
      <c r="G401" s="58">
        <f>TRIM(SUBSTITUTE(SUBSTITUTE(SUBSTITUTE($A401,CHAR(9)," ")," "," "),CHAR(13),""))</f>
        <v/>
      </c>
      <c r="H401" s="58">
        <f>IF($G401="","",IF(ISNUMBER(FIND(" ",$G401)),$G401,IFERROR(IF((LEN(SUBSTITUTE(SUBSTITUTE($G401,"-"," ",LEN($G401)-LEN(SUBSTITUTE($G401,"-",""))),"-"," ",LEN($G401)-LEN(SUBSTITUTE($G401,"-",""))-1))-LEN(SUBSTITUTE(SUBSTITUTE(SUBSTITUTE($G401,"-"," ",LEN($G401)-LEN(SUBSTITUTE($G401,"-",""))),"-"," ",LEN($G401)-LEN(SUBSTITUTE($G401,"-",""))-1),".","")))=0,SUBSTITUTE(SUBSTITUTE($G401,"-"," ",LEN($G401)-LEN(SUBSTITUTE($G401,"-",""))),"-"," ",LEN($G401)-LEN(SUBSTITUTE($G401,"-",""))-1),SUBSTITUTE(SUBSTITUTE(SUBSTITUTE($G401,"-"," ",LEN($G401)-LEN(SUBSTITUTE($G401,"-",""))),"-"," ",LEN($G401)-LEN(SUBSTITUTE($G401,"-",""))-1),"."," ",(LEN(SUBSTITUTE(SUBSTITUTE($G401,"-"," ",LEN($G401)-LEN(SUBSTITUTE($G401,"-",""))),"-"," ",LEN($G401)-LEN(SUBSTITUTE($G401,"-",""))-1))-LEN(SUBSTITUTE(SUBSTITUTE(SUBSTITUTE($G401,"-"," ",LEN($G401)-LEN(SUBSTITUTE($G401,"-",""))),"-"," ",LEN($G401)-LEN(SUBSTITUTE($G401,"-",""))-1),".",""))))),$G401)))</f>
        <v/>
      </c>
    </row>
    <row r="402">
      <c r="A402" s="58" t="n"/>
      <c r="B402" s="58">
        <f>IF($H402="","",LEFT($H402,FIND(" ",$H402&amp;" ")-1))</f>
        <v/>
      </c>
      <c r="C402" s="58">
        <f>IF($H402="","",IFERROR(MID($H402&amp;" ",FIND("|",SUBSTITUTE($H402&amp;" "," ","|",1))+1,FIND("|",SUBSTITUTE($H402&amp;" "," ","|",2))-FIND("|",SUBSTITUTE($H402&amp;" "," ","|",1))-1),""))</f>
        <v/>
      </c>
      <c r="D402" s="58">
        <f>IF($H402="","",IFERROR(MID($H402&amp;" ",FIND("|",SUBSTITUTE($H402&amp;" "," ","|",2))+1,FIND("|",SUBSTITUTE($H402&amp;" "," ","|",3))-FIND("|",SUBSTITUTE($H402&amp;" "," ","|",2))-1),""))</f>
        <v/>
      </c>
      <c r="E402" s="58">
        <f>IF($H402="","",IFERROR(MID($H402&amp;" ",FIND("|",SUBSTITUTE($H402&amp;" "," ","|",3))+1,FIND("|",SUBSTITUTE($H402&amp;" "," ","|",4))-FIND("|",SUBSTITUTE($H402&amp;" "," ","|",3))-1),""))</f>
        <v/>
      </c>
      <c r="F402" s="59">
        <f>IF($H402="","",IFERROR(VALUE(IFERROR(MID($H402&amp;" ",FIND("|",SUBSTITUTE($H402&amp;" "," ","|",4))+1,FIND("|",SUBSTITUTE($H402&amp;" "," ","|",5))-FIND("|",SUBSTITUTE($H402&amp;" "," ","|",4))-1),""))/86400+25569+9/24,""))</f>
        <v/>
      </c>
      <c r="G402" s="58">
        <f>TRIM(SUBSTITUTE(SUBSTITUTE(SUBSTITUTE($A402,CHAR(9)," ")," "," "),CHAR(13),""))</f>
        <v/>
      </c>
      <c r="H402" s="58">
        <f>IF($G402="","",IF(ISNUMBER(FIND(" ",$G402)),$G402,IFERROR(IF((LEN(SUBSTITUTE(SUBSTITUTE($G402,"-"," ",LEN($G402)-LEN(SUBSTITUTE($G402,"-",""))),"-"," ",LEN($G402)-LEN(SUBSTITUTE($G402,"-",""))-1))-LEN(SUBSTITUTE(SUBSTITUTE(SUBSTITUTE($G402,"-"," ",LEN($G402)-LEN(SUBSTITUTE($G402,"-",""))),"-"," ",LEN($G402)-LEN(SUBSTITUTE($G402,"-",""))-1),".","")))=0,SUBSTITUTE(SUBSTITUTE($G402,"-"," ",LEN($G402)-LEN(SUBSTITUTE($G402,"-",""))),"-"," ",LEN($G402)-LEN(SUBSTITUTE($G402,"-",""))-1),SUBSTITUTE(SUBSTITUTE(SUBSTITUTE($G402,"-"," ",LEN($G402)-LEN(SUBSTITUTE($G402,"-",""))),"-"," ",LEN($G402)-LEN(SUBSTITUTE($G402,"-",""))-1),"."," ",(LEN(SUBSTITUTE(SUBSTITUTE($G402,"-"," ",LEN($G402)-LEN(SUBSTITUTE($G402,"-",""))),"-"," ",LEN($G402)-LEN(SUBSTITUTE($G402,"-",""))-1))-LEN(SUBSTITUTE(SUBSTITUTE(SUBSTITUTE($G402,"-"," ",LEN($G402)-LEN(SUBSTITUTE($G402,"-",""))),"-"," ",LEN($G402)-LEN(SUBSTITUTE($G402,"-",""))-1),".",""))))),$G402)))</f>
        <v/>
      </c>
    </row>
    <row r="403">
      <c r="A403" s="58" t="n"/>
      <c r="B403" s="58">
        <f>IF($H403="","",LEFT($H403,FIND(" ",$H403&amp;" ")-1))</f>
        <v/>
      </c>
      <c r="C403" s="58">
        <f>IF($H403="","",IFERROR(MID($H403&amp;" ",FIND("|",SUBSTITUTE($H403&amp;" "," ","|",1))+1,FIND("|",SUBSTITUTE($H403&amp;" "," ","|",2))-FIND("|",SUBSTITUTE($H403&amp;" "," ","|",1))-1),""))</f>
        <v/>
      </c>
      <c r="D403" s="58">
        <f>IF($H403="","",IFERROR(MID($H403&amp;" ",FIND("|",SUBSTITUTE($H403&amp;" "," ","|",2))+1,FIND("|",SUBSTITUTE($H403&amp;" "," ","|",3))-FIND("|",SUBSTITUTE($H403&amp;" "," ","|",2))-1),""))</f>
        <v/>
      </c>
      <c r="E403" s="58">
        <f>IF($H403="","",IFERROR(MID($H403&amp;" ",FIND("|",SUBSTITUTE($H403&amp;" "," ","|",3))+1,FIND("|",SUBSTITUTE($H403&amp;" "," ","|",4))-FIND("|",SUBSTITUTE($H403&amp;" "," ","|",3))-1),""))</f>
        <v/>
      </c>
      <c r="F403" s="59">
        <f>IF($H403="","",IFERROR(VALUE(IFERROR(MID($H403&amp;" ",FIND("|",SUBSTITUTE($H403&amp;" "," ","|",4))+1,FIND("|",SUBSTITUTE($H403&amp;" "," ","|",5))-FIND("|",SUBSTITUTE($H403&amp;" "," ","|",4))-1),""))/86400+25569+9/24,""))</f>
        <v/>
      </c>
      <c r="G403" s="58">
        <f>TRIM(SUBSTITUTE(SUBSTITUTE(SUBSTITUTE($A403,CHAR(9)," ")," "," "),CHAR(13),""))</f>
        <v/>
      </c>
      <c r="H403" s="58">
        <f>IF($G403="","",IF(ISNUMBER(FIND(" ",$G403)),$G403,IFERROR(IF((LEN(SUBSTITUTE(SUBSTITUTE($G403,"-"," ",LEN($G403)-LEN(SUBSTITUTE($G403,"-",""))),"-"," ",LEN($G403)-LEN(SUBSTITUTE($G403,"-",""))-1))-LEN(SUBSTITUTE(SUBSTITUTE(SUBSTITUTE($G403,"-"," ",LEN($G403)-LEN(SUBSTITUTE($G403,"-",""))),"-"," ",LEN($G403)-LEN(SUBSTITUTE($G403,"-",""))-1),".","")))=0,SUBSTITUTE(SUBSTITUTE($G403,"-"," ",LEN($G403)-LEN(SUBSTITUTE($G403,"-",""))),"-"," ",LEN($G403)-LEN(SUBSTITUTE($G403,"-",""))-1),SUBSTITUTE(SUBSTITUTE(SUBSTITUTE($G403,"-"," ",LEN($G403)-LEN(SUBSTITUTE($G403,"-",""))),"-"," ",LEN($G403)-LEN(SUBSTITUTE($G403,"-",""))-1),"."," ",(LEN(SUBSTITUTE(SUBSTITUTE($G403,"-"," ",LEN($G403)-LEN(SUBSTITUTE($G403,"-",""))),"-"," ",LEN($G403)-LEN(SUBSTITUTE($G403,"-",""))-1))-LEN(SUBSTITUTE(SUBSTITUTE(SUBSTITUTE($G403,"-"," ",LEN($G403)-LEN(SUBSTITUTE($G403,"-",""))),"-"," ",LEN($G403)-LEN(SUBSTITUTE($G403,"-",""))-1),".",""))))),$G403)))</f>
        <v/>
      </c>
    </row>
    <row r="404">
      <c r="A404" s="58" t="n"/>
      <c r="B404" s="58">
        <f>IF($H404="","",LEFT($H404,FIND(" ",$H404&amp;" ")-1))</f>
        <v/>
      </c>
      <c r="C404" s="58">
        <f>IF($H404="","",IFERROR(MID($H404&amp;" ",FIND("|",SUBSTITUTE($H404&amp;" "," ","|",1))+1,FIND("|",SUBSTITUTE($H404&amp;" "," ","|",2))-FIND("|",SUBSTITUTE($H404&amp;" "," ","|",1))-1),""))</f>
        <v/>
      </c>
      <c r="D404" s="58">
        <f>IF($H404="","",IFERROR(MID($H404&amp;" ",FIND("|",SUBSTITUTE($H404&amp;" "," ","|",2))+1,FIND("|",SUBSTITUTE($H404&amp;" "," ","|",3))-FIND("|",SUBSTITUTE($H404&amp;" "," ","|",2))-1),""))</f>
        <v/>
      </c>
      <c r="E404" s="58">
        <f>IF($H404="","",IFERROR(MID($H404&amp;" ",FIND("|",SUBSTITUTE($H404&amp;" "," ","|",3))+1,FIND("|",SUBSTITUTE($H404&amp;" "," ","|",4))-FIND("|",SUBSTITUTE($H404&amp;" "," ","|",3))-1),""))</f>
        <v/>
      </c>
      <c r="F404" s="59">
        <f>IF($H404="","",IFERROR(VALUE(IFERROR(MID($H404&amp;" ",FIND("|",SUBSTITUTE($H404&amp;" "," ","|",4))+1,FIND("|",SUBSTITUTE($H404&amp;" "," ","|",5))-FIND("|",SUBSTITUTE($H404&amp;" "," ","|",4))-1),""))/86400+25569+9/24,""))</f>
        <v/>
      </c>
      <c r="G404" s="58">
        <f>TRIM(SUBSTITUTE(SUBSTITUTE(SUBSTITUTE($A404,CHAR(9)," ")," "," "),CHAR(13),""))</f>
        <v/>
      </c>
      <c r="H404" s="58">
        <f>IF($G404="","",IF(ISNUMBER(FIND(" ",$G404)),$G404,IFERROR(IF((LEN(SUBSTITUTE(SUBSTITUTE($G404,"-"," ",LEN($G404)-LEN(SUBSTITUTE($G404,"-",""))),"-"," ",LEN($G404)-LEN(SUBSTITUTE($G404,"-",""))-1))-LEN(SUBSTITUTE(SUBSTITUTE(SUBSTITUTE($G404,"-"," ",LEN($G404)-LEN(SUBSTITUTE($G404,"-",""))),"-"," ",LEN($G404)-LEN(SUBSTITUTE($G404,"-",""))-1),".","")))=0,SUBSTITUTE(SUBSTITUTE($G404,"-"," ",LEN($G404)-LEN(SUBSTITUTE($G404,"-",""))),"-"," ",LEN($G404)-LEN(SUBSTITUTE($G404,"-",""))-1),SUBSTITUTE(SUBSTITUTE(SUBSTITUTE($G404,"-"," ",LEN($G404)-LEN(SUBSTITUTE($G404,"-",""))),"-"," ",LEN($G404)-LEN(SUBSTITUTE($G404,"-",""))-1),"."," ",(LEN(SUBSTITUTE(SUBSTITUTE($G404,"-"," ",LEN($G404)-LEN(SUBSTITUTE($G404,"-",""))),"-"," ",LEN($G404)-LEN(SUBSTITUTE($G404,"-",""))-1))-LEN(SUBSTITUTE(SUBSTITUTE(SUBSTITUTE($G404,"-"," ",LEN($G404)-LEN(SUBSTITUTE($G404,"-",""))),"-"," ",LEN($G404)-LEN(SUBSTITUTE($G404,"-",""))-1),".",""))))),$G404)))</f>
        <v/>
      </c>
    </row>
    <row r="405">
      <c r="A405" s="58" t="n"/>
      <c r="B405" s="58">
        <f>IF($H405="","",LEFT($H405,FIND(" ",$H405&amp;" ")-1))</f>
        <v/>
      </c>
      <c r="C405" s="58">
        <f>IF($H405="","",IFERROR(MID($H405&amp;" ",FIND("|",SUBSTITUTE($H405&amp;" "," ","|",1))+1,FIND("|",SUBSTITUTE($H405&amp;" "," ","|",2))-FIND("|",SUBSTITUTE($H405&amp;" "," ","|",1))-1),""))</f>
        <v/>
      </c>
      <c r="D405" s="58">
        <f>IF($H405="","",IFERROR(MID($H405&amp;" ",FIND("|",SUBSTITUTE($H405&amp;" "," ","|",2))+1,FIND("|",SUBSTITUTE($H405&amp;" "," ","|",3))-FIND("|",SUBSTITUTE($H405&amp;" "," ","|",2))-1),""))</f>
        <v/>
      </c>
      <c r="E405" s="58">
        <f>IF($H405="","",IFERROR(MID($H405&amp;" ",FIND("|",SUBSTITUTE($H405&amp;" "," ","|",3))+1,FIND("|",SUBSTITUTE($H405&amp;" "," ","|",4))-FIND("|",SUBSTITUTE($H405&amp;" "," ","|",3))-1),""))</f>
        <v/>
      </c>
      <c r="F405" s="59">
        <f>IF($H405="","",IFERROR(VALUE(IFERROR(MID($H405&amp;" ",FIND("|",SUBSTITUTE($H405&amp;" "," ","|",4))+1,FIND("|",SUBSTITUTE($H405&amp;" "," ","|",5))-FIND("|",SUBSTITUTE($H405&amp;" "," ","|",4))-1),""))/86400+25569+9/24,""))</f>
        <v/>
      </c>
      <c r="G405" s="58">
        <f>TRIM(SUBSTITUTE(SUBSTITUTE(SUBSTITUTE($A405,CHAR(9)," ")," "," "),CHAR(13),""))</f>
        <v/>
      </c>
      <c r="H405" s="58">
        <f>IF($G405="","",IF(ISNUMBER(FIND(" ",$G405)),$G405,IFERROR(IF((LEN(SUBSTITUTE(SUBSTITUTE($G405,"-"," ",LEN($G405)-LEN(SUBSTITUTE($G405,"-",""))),"-"," ",LEN($G405)-LEN(SUBSTITUTE($G405,"-",""))-1))-LEN(SUBSTITUTE(SUBSTITUTE(SUBSTITUTE($G405,"-"," ",LEN($G405)-LEN(SUBSTITUTE($G405,"-",""))),"-"," ",LEN($G405)-LEN(SUBSTITUTE($G405,"-",""))-1),".","")))=0,SUBSTITUTE(SUBSTITUTE($G405,"-"," ",LEN($G405)-LEN(SUBSTITUTE($G405,"-",""))),"-"," ",LEN($G405)-LEN(SUBSTITUTE($G405,"-",""))-1),SUBSTITUTE(SUBSTITUTE(SUBSTITUTE($G405,"-"," ",LEN($G405)-LEN(SUBSTITUTE($G405,"-",""))),"-"," ",LEN($G405)-LEN(SUBSTITUTE($G405,"-",""))-1),"."," ",(LEN(SUBSTITUTE(SUBSTITUTE($G405,"-"," ",LEN($G405)-LEN(SUBSTITUTE($G405,"-",""))),"-"," ",LEN($G405)-LEN(SUBSTITUTE($G405,"-",""))-1))-LEN(SUBSTITUTE(SUBSTITUTE(SUBSTITUTE($G405,"-"," ",LEN($G405)-LEN(SUBSTITUTE($G405,"-",""))),"-"," ",LEN($G405)-LEN(SUBSTITUTE($G405,"-",""))-1),".",""))))),$G405)))</f>
        <v/>
      </c>
    </row>
    <row r="406">
      <c r="A406" s="58" t="n"/>
      <c r="B406" s="58">
        <f>IF($H406="","",LEFT($H406,FIND(" ",$H406&amp;" ")-1))</f>
        <v/>
      </c>
      <c r="C406" s="58">
        <f>IF($H406="","",IFERROR(MID($H406&amp;" ",FIND("|",SUBSTITUTE($H406&amp;" "," ","|",1))+1,FIND("|",SUBSTITUTE($H406&amp;" "," ","|",2))-FIND("|",SUBSTITUTE($H406&amp;" "," ","|",1))-1),""))</f>
        <v/>
      </c>
      <c r="D406" s="58">
        <f>IF($H406="","",IFERROR(MID($H406&amp;" ",FIND("|",SUBSTITUTE($H406&amp;" "," ","|",2))+1,FIND("|",SUBSTITUTE($H406&amp;" "," ","|",3))-FIND("|",SUBSTITUTE($H406&amp;" "," ","|",2))-1),""))</f>
        <v/>
      </c>
      <c r="E406" s="58">
        <f>IF($H406="","",IFERROR(MID($H406&amp;" ",FIND("|",SUBSTITUTE($H406&amp;" "," ","|",3))+1,FIND("|",SUBSTITUTE($H406&amp;" "," ","|",4))-FIND("|",SUBSTITUTE($H406&amp;" "," ","|",3))-1),""))</f>
        <v/>
      </c>
      <c r="F406" s="59">
        <f>IF($H406="","",IFERROR(VALUE(IFERROR(MID($H406&amp;" ",FIND("|",SUBSTITUTE($H406&amp;" "," ","|",4))+1,FIND("|",SUBSTITUTE($H406&amp;" "," ","|",5))-FIND("|",SUBSTITUTE($H406&amp;" "," ","|",4))-1),""))/86400+25569+9/24,""))</f>
        <v/>
      </c>
      <c r="G406" s="58">
        <f>TRIM(SUBSTITUTE(SUBSTITUTE(SUBSTITUTE($A406,CHAR(9)," ")," "," "),CHAR(13),""))</f>
        <v/>
      </c>
      <c r="H406" s="58">
        <f>IF($G406="","",IF(ISNUMBER(FIND(" ",$G406)),$G406,IFERROR(IF((LEN(SUBSTITUTE(SUBSTITUTE($G406,"-"," ",LEN($G406)-LEN(SUBSTITUTE($G406,"-",""))),"-"," ",LEN($G406)-LEN(SUBSTITUTE($G406,"-",""))-1))-LEN(SUBSTITUTE(SUBSTITUTE(SUBSTITUTE($G406,"-"," ",LEN($G406)-LEN(SUBSTITUTE($G406,"-",""))),"-"," ",LEN($G406)-LEN(SUBSTITUTE($G406,"-",""))-1),".","")))=0,SUBSTITUTE(SUBSTITUTE($G406,"-"," ",LEN($G406)-LEN(SUBSTITUTE($G406,"-",""))),"-"," ",LEN($G406)-LEN(SUBSTITUTE($G406,"-",""))-1),SUBSTITUTE(SUBSTITUTE(SUBSTITUTE($G406,"-"," ",LEN($G406)-LEN(SUBSTITUTE($G406,"-",""))),"-"," ",LEN($G406)-LEN(SUBSTITUTE($G406,"-",""))-1),"."," ",(LEN(SUBSTITUTE(SUBSTITUTE($G406,"-"," ",LEN($G406)-LEN(SUBSTITUTE($G406,"-",""))),"-"," ",LEN($G406)-LEN(SUBSTITUTE($G406,"-",""))-1))-LEN(SUBSTITUTE(SUBSTITUTE(SUBSTITUTE($G406,"-"," ",LEN($G406)-LEN(SUBSTITUTE($G406,"-",""))),"-"," ",LEN($G406)-LEN(SUBSTITUTE($G406,"-",""))-1),".",""))))),$G406)))</f>
        <v/>
      </c>
    </row>
    <row r="407">
      <c r="A407" s="58" t="n"/>
      <c r="B407" s="58">
        <f>IF($H407="","",LEFT($H407,FIND(" ",$H407&amp;" ")-1))</f>
        <v/>
      </c>
      <c r="C407" s="58">
        <f>IF($H407="","",IFERROR(MID($H407&amp;" ",FIND("|",SUBSTITUTE($H407&amp;" "," ","|",1))+1,FIND("|",SUBSTITUTE($H407&amp;" "," ","|",2))-FIND("|",SUBSTITUTE($H407&amp;" "," ","|",1))-1),""))</f>
        <v/>
      </c>
      <c r="D407" s="58">
        <f>IF($H407="","",IFERROR(MID($H407&amp;" ",FIND("|",SUBSTITUTE($H407&amp;" "," ","|",2))+1,FIND("|",SUBSTITUTE($H407&amp;" "," ","|",3))-FIND("|",SUBSTITUTE($H407&amp;" "," ","|",2))-1),""))</f>
        <v/>
      </c>
      <c r="E407" s="58">
        <f>IF($H407="","",IFERROR(MID($H407&amp;" ",FIND("|",SUBSTITUTE($H407&amp;" "," ","|",3))+1,FIND("|",SUBSTITUTE($H407&amp;" "," ","|",4))-FIND("|",SUBSTITUTE($H407&amp;" "," ","|",3))-1),""))</f>
        <v/>
      </c>
      <c r="F407" s="59">
        <f>IF($H407="","",IFERROR(VALUE(IFERROR(MID($H407&amp;" ",FIND("|",SUBSTITUTE($H407&amp;" "," ","|",4))+1,FIND("|",SUBSTITUTE($H407&amp;" "," ","|",5))-FIND("|",SUBSTITUTE($H407&amp;" "," ","|",4))-1),""))/86400+25569+9/24,""))</f>
        <v/>
      </c>
      <c r="G407" s="58">
        <f>TRIM(SUBSTITUTE(SUBSTITUTE(SUBSTITUTE($A407,CHAR(9)," ")," "," "),CHAR(13),""))</f>
        <v/>
      </c>
      <c r="H407" s="58">
        <f>IF($G407="","",IF(ISNUMBER(FIND(" ",$G407)),$G407,IFERROR(IF((LEN(SUBSTITUTE(SUBSTITUTE($G407,"-"," ",LEN($G407)-LEN(SUBSTITUTE($G407,"-",""))),"-"," ",LEN($G407)-LEN(SUBSTITUTE($G407,"-",""))-1))-LEN(SUBSTITUTE(SUBSTITUTE(SUBSTITUTE($G407,"-"," ",LEN($G407)-LEN(SUBSTITUTE($G407,"-",""))),"-"," ",LEN($G407)-LEN(SUBSTITUTE($G407,"-",""))-1),".","")))=0,SUBSTITUTE(SUBSTITUTE($G407,"-"," ",LEN($G407)-LEN(SUBSTITUTE($G407,"-",""))),"-"," ",LEN($G407)-LEN(SUBSTITUTE($G407,"-",""))-1),SUBSTITUTE(SUBSTITUTE(SUBSTITUTE($G407,"-"," ",LEN($G407)-LEN(SUBSTITUTE($G407,"-",""))),"-"," ",LEN($G407)-LEN(SUBSTITUTE($G407,"-",""))-1),"."," ",(LEN(SUBSTITUTE(SUBSTITUTE($G407,"-"," ",LEN($G407)-LEN(SUBSTITUTE($G407,"-",""))),"-"," ",LEN($G407)-LEN(SUBSTITUTE($G407,"-",""))-1))-LEN(SUBSTITUTE(SUBSTITUTE(SUBSTITUTE($G407,"-"," ",LEN($G407)-LEN(SUBSTITUTE($G407,"-",""))),"-"," ",LEN($G407)-LEN(SUBSTITUTE($G407,"-",""))-1),".",""))))),$G407)))</f>
        <v/>
      </c>
    </row>
    <row r="408">
      <c r="A408" s="58" t="n"/>
      <c r="B408" s="58">
        <f>IF($H408="","",LEFT($H408,FIND(" ",$H408&amp;" ")-1))</f>
        <v/>
      </c>
      <c r="C408" s="58">
        <f>IF($H408="","",IFERROR(MID($H408&amp;" ",FIND("|",SUBSTITUTE($H408&amp;" "," ","|",1))+1,FIND("|",SUBSTITUTE($H408&amp;" "," ","|",2))-FIND("|",SUBSTITUTE($H408&amp;" "," ","|",1))-1),""))</f>
        <v/>
      </c>
      <c r="D408" s="58">
        <f>IF($H408="","",IFERROR(MID($H408&amp;" ",FIND("|",SUBSTITUTE($H408&amp;" "," ","|",2))+1,FIND("|",SUBSTITUTE($H408&amp;" "," ","|",3))-FIND("|",SUBSTITUTE($H408&amp;" "," ","|",2))-1),""))</f>
        <v/>
      </c>
      <c r="E408" s="58">
        <f>IF($H408="","",IFERROR(MID($H408&amp;" ",FIND("|",SUBSTITUTE($H408&amp;" "," ","|",3))+1,FIND("|",SUBSTITUTE($H408&amp;" "," ","|",4))-FIND("|",SUBSTITUTE($H408&amp;" "," ","|",3))-1),""))</f>
        <v/>
      </c>
      <c r="F408" s="59">
        <f>IF($H408="","",IFERROR(VALUE(IFERROR(MID($H408&amp;" ",FIND("|",SUBSTITUTE($H408&amp;" "," ","|",4))+1,FIND("|",SUBSTITUTE($H408&amp;" "," ","|",5))-FIND("|",SUBSTITUTE($H408&amp;" "," ","|",4))-1),""))/86400+25569+9/24,""))</f>
        <v/>
      </c>
      <c r="G408" s="58">
        <f>TRIM(SUBSTITUTE(SUBSTITUTE(SUBSTITUTE($A408,CHAR(9)," ")," "," "),CHAR(13),""))</f>
        <v/>
      </c>
      <c r="H408" s="58">
        <f>IF($G408="","",IF(ISNUMBER(FIND(" ",$G408)),$G408,IFERROR(IF((LEN(SUBSTITUTE(SUBSTITUTE($G408,"-"," ",LEN($G408)-LEN(SUBSTITUTE($G408,"-",""))),"-"," ",LEN($G408)-LEN(SUBSTITUTE($G408,"-",""))-1))-LEN(SUBSTITUTE(SUBSTITUTE(SUBSTITUTE($G408,"-"," ",LEN($G408)-LEN(SUBSTITUTE($G408,"-",""))),"-"," ",LEN($G408)-LEN(SUBSTITUTE($G408,"-",""))-1),".","")))=0,SUBSTITUTE(SUBSTITUTE($G408,"-"," ",LEN($G408)-LEN(SUBSTITUTE($G408,"-",""))),"-"," ",LEN($G408)-LEN(SUBSTITUTE($G408,"-",""))-1),SUBSTITUTE(SUBSTITUTE(SUBSTITUTE($G408,"-"," ",LEN($G408)-LEN(SUBSTITUTE($G408,"-",""))),"-"," ",LEN($G408)-LEN(SUBSTITUTE($G408,"-",""))-1),"."," ",(LEN(SUBSTITUTE(SUBSTITUTE($G408,"-"," ",LEN($G408)-LEN(SUBSTITUTE($G408,"-",""))),"-"," ",LEN($G408)-LEN(SUBSTITUTE($G408,"-",""))-1))-LEN(SUBSTITUTE(SUBSTITUTE(SUBSTITUTE($G408,"-"," ",LEN($G408)-LEN(SUBSTITUTE($G408,"-",""))),"-"," ",LEN($G408)-LEN(SUBSTITUTE($G408,"-",""))-1),".",""))))),$G408)))</f>
        <v/>
      </c>
    </row>
    <row r="409">
      <c r="A409" s="58" t="n"/>
      <c r="B409" s="58">
        <f>IF($H409="","",LEFT($H409,FIND(" ",$H409&amp;" ")-1))</f>
        <v/>
      </c>
      <c r="C409" s="58">
        <f>IF($H409="","",IFERROR(MID($H409&amp;" ",FIND("|",SUBSTITUTE($H409&amp;" "," ","|",1))+1,FIND("|",SUBSTITUTE($H409&amp;" "," ","|",2))-FIND("|",SUBSTITUTE($H409&amp;" "," ","|",1))-1),""))</f>
        <v/>
      </c>
      <c r="D409" s="58">
        <f>IF($H409="","",IFERROR(MID($H409&amp;" ",FIND("|",SUBSTITUTE($H409&amp;" "," ","|",2))+1,FIND("|",SUBSTITUTE($H409&amp;" "," ","|",3))-FIND("|",SUBSTITUTE($H409&amp;" "," ","|",2))-1),""))</f>
        <v/>
      </c>
      <c r="E409" s="58">
        <f>IF($H409="","",IFERROR(MID($H409&amp;" ",FIND("|",SUBSTITUTE($H409&amp;" "," ","|",3))+1,FIND("|",SUBSTITUTE($H409&amp;" "," ","|",4))-FIND("|",SUBSTITUTE($H409&amp;" "," ","|",3))-1),""))</f>
        <v/>
      </c>
      <c r="F409" s="59">
        <f>IF($H409="","",IFERROR(VALUE(IFERROR(MID($H409&amp;" ",FIND("|",SUBSTITUTE($H409&amp;" "," ","|",4))+1,FIND("|",SUBSTITUTE($H409&amp;" "," ","|",5))-FIND("|",SUBSTITUTE($H409&amp;" "," ","|",4))-1),""))/86400+25569+9/24,""))</f>
        <v/>
      </c>
      <c r="G409" s="58">
        <f>TRIM(SUBSTITUTE(SUBSTITUTE(SUBSTITUTE($A409,CHAR(9)," ")," "," "),CHAR(13),""))</f>
        <v/>
      </c>
      <c r="H409" s="58">
        <f>IF($G409="","",IF(ISNUMBER(FIND(" ",$G409)),$G409,IFERROR(IF((LEN(SUBSTITUTE(SUBSTITUTE($G409,"-"," ",LEN($G409)-LEN(SUBSTITUTE($G409,"-",""))),"-"," ",LEN($G409)-LEN(SUBSTITUTE($G409,"-",""))-1))-LEN(SUBSTITUTE(SUBSTITUTE(SUBSTITUTE($G409,"-"," ",LEN($G409)-LEN(SUBSTITUTE($G409,"-",""))),"-"," ",LEN($G409)-LEN(SUBSTITUTE($G409,"-",""))-1),".","")))=0,SUBSTITUTE(SUBSTITUTE($G409,"-"," ",LEN($G409)-LEN(SUBSTITUTE($G409,"-",""))),"-"," ",LEN($G409)-LEN(SUBSTITUTE($G409,"-",""))-1),SUBSTITUTE(SUBSTITUTE(SUBSTITUTE($G409,"-"," ",LEN($G409)-LEN(SUBSTITUTE($G409,"-",""))),"-"," ",LEN($G409)-LEN(SUBSTITUTE($G409,"-",""))-1),"."," ",(LEN(SUBSTITUTE(SUBSTITUTE($G409,"-"," ",LEN($G409)-LEN(SUBSTITUTE($G409,"-",""))),"-"," ",LEN($G409)-LEN(SUBSTITUTE($G409,"-",""))-1))-LEN(SUBSTITUTE(SUBSTITUTE(SUBSTITUTE($G409,"-"," ",LEN($G409)-LEN(SUBSTITUTE($G409,"-",""))),"-"," ",LEN($G409)-LEN(SUBSTITUTE($G409,"-",""))-1),".",""))))),$G409)))</f>
        <v/>
      </c>
    </row>
    <row r="410">
      <c r="A410" s="58" t="n"/>
      <c r="B410" s="58">
        <f>IF($H410="","",LEFT($H410,FIND(" ",$H410&amp;" ")-1))</f>
        <v/>
      </c>
      <c r="C410" s="58">
        <f>IF($H410="","",IFERROR(MID($H410&amp;" ",FIND("|",SUBSTITUTE($H410&amp;" "," ","|",1))+1,FIND("|",SUBSTITUTE($H410&amp;" "," ","|",2))-FIND("|",SUBSTITUTE($H410&amp;" "," ","|",1))-1),""))</f>
        <v/>
      </c>
      <c r="D410" s="58">
        <f>IF($H410="","",IFERROR(MID($H410&amp;" ",FIND("|",SUBSTITUTE($H410&amp;" "," ","|",2))+1,FIND("|",SUBSTITUTE($H410&amp;" "," ","|",3))-FIND("|",SUBSTITUTE($H410&amp;" "," ","|",2))-1),""))</f>
        <v/>
      </c>
      <c r="E410" s="58">
        <f>IF($H410="","",IFERROR(MID($H410&amp;" ",FIND("|",SUBSTITUTE($H410&amp;" "," ","|",3))+1,FIND("|",SUBSTITUTE($H410&amp;" "," ","|",4))-FIND("|",SUBSTITUTE($H410&amp;" "," ","|",3))-1),""))</f>
        <v/>
      </c>
      <c r="F410" s="59">
        <f>IF($H410="","",IFERROR(VALUE(IFERROR(MID($H410&amp;" ",FIND("|",SUBSTITUTE($H410&amp;" "," ","|",4))+1,FIND("|",SUBSTITUTE($H410&amp;" "," ","|",5))-FIND("|",SUBSTITUTE($H410&amp;" "," ","|",4))-1),""))/86400+25569+9/24,""))</f>
        <v/>
      </c>
      <c r="G410" s="58">
        <f>TRIM(SUBSTITUTE(SUBSTITUTE(SUBSTITUTE($A410,CHAR(9)," ")," "," "),CHAR(13),""))</f>
        <v/>
      </c>
      <c r="H410" s="58">
        <f>IF($G410="","",IF(ISNUMBER(FIND(" ",$G410)),$G410,IFERROR(IF((LEN(SUBSTITUTE(SUBSTITUTE($G410,"-"," ",LEN($G410)-LEN(SUBSTITUTE($G410,"-",""))),"-"," ",LEN($G410)-LEN(SUBSTITUTE($G410,"-",""))-1))-LEN(SUBSTITUTE(SUBSTITUTE(SUBSTITUTE($G410,"-"," ",LEN($G410)-LEN(SUBSTITUTE($G410,"-",""))),"-"," ",LEN($G410)-LEN(SUBSTITUTE($G410,"-",""))-1),".","")))=0,SUBSTITUTE(SUBSTITUTE($G410,"-"," ",LEN($G410)-LEN(SUBSTITUTE($G410,"-",""))),"-"," ",LEN($G410)-LEN(SUBSTITUTE($G410,"-",""))-1),SUBSTITUTE(SUBSTITUTE(SUBSTITUTE($G410,"-"," ",LEN($G410)-LEN(SUBSTITUTE($G410,"-",""))),"-"," ",LEN($G410)-LEN(SUBSTITUTE($G410,"-",""))-1),"."," ",(LEN(SUBSTITUTE(SUBSTITUTE($G410,"-"," ",LEN($G410)-LEN(SUBSTITUTE($G410,"-",""))),"-"," ",LEN($G410)-LEN(SUBSTITUTE($G410,"-",""))-1))-LEN(SUBSTITUTE(SUBSTITUTE(SUBSTITUTE($G410,"-"," ",LEN($G410)-LEN(SUBSTITUTE($G410,"-",""))),"-"," ",LEN($G410)-LEN(SUBSTITUTE($G410,"-",""))-1),".",""))))),$G410)))</f>
        <v/>
      </c>
    </row>
    <row r="411">
      <c r="A411" s="58" t="n"/>
      <c r="B411" s="58">
        <f>IF($H411="","",LEFT($H411,FIND(" ",$H411&amp;" ")-1))</f>
        <v/>
      </c>
      <c r="C411" s="58">
        <f>IF($H411="","",IFERROR(MID($H411&amp;" ",FIND("|",SUBSTITUTE($H411&amp;" "," ","|",1))+1,FIND("|",SUBSTITUTE($H411&amp;" "," ","|",2))-FIND("|",SUBSTITUTE($H411&amp;" "," ","|",1))-1),""))</f>
        <v/>
      </c>
      <c r="D411" s="58">
        <f>IF($H411="","",IFERROR(MID($H411&amp;" ",FIND("|",SUBSTITUTE($H411&amp;" "," ","|",2))+1,FIND("|",SUBSTITUTE($H411&amp;" "," ","|",3))-FIND("|",SUBSTITUTE($H411&amp;" "," ","|",2))-1),""))</f>
        <v/>
      </c>
      <c r="E411" s="58">
        <f>IF($H411="","",IFERROR(MID($H411&amp;" ",FIND("|",SUBSTITUTE($H411&amp;" "," ","|",3))+1,FIND("|",SUBSTITUTE($H411&amp;" "," ","|",4))-FIND("|",SUBSTITUTE($H411&amp;" "," ","|",3))-1),""))</f>
        <v/>
      </c>
      <c r="F411" s="59">
        <f>IF($H411="","",IFERROR(VALUE(IFERROR(MID($H411&amp;" ",FIND("|",SUBSTITUTE($H411&amp;" "," ","|",4))+1,FIND("|",SUBSTITUTE($H411&amp;" "," ","|",5))-FIND("|",SUBSTITUTE($H411&amp;" "," ","|",4))-1),""))/86400+25569+9/24,""))</f>
        <v/>
      </c>
      <c r="G411" s="58">
        <f>TRIM(SUBSTITUTE(SUBSTITUTE(SUBSTITUTE($A411,CHAR(9)," ")," "," "),CHAR(13),""))</f>
        <v/>
      </c>
      <c r="H411" s="58">
        <f>IF($G411="","",IF(ISNUMBER(FIND(" ",$G411)),$G411,IFERROR(IF((LEN(SUBSTITUTE(SUBSTITUTE($G411,"-"," ",LEN($G411)-LEN(SUBSTITUTE($G411,"-",""))),"-"," ",LEN($G411)-LEN(SUBSTITUTE($G411,"-",""))-1))-LEN(SUBSTITUTE(SUBSTITUTE(SUBSTITUTE($G411,"-"," ",LEN($G411)-LEN(SUBSTITUTE($G411,"-",""))),"-"," ",LEN($G411)-LEN(SUBSTITUTE($G411,"-",""))-1),".","")))=0,SUBSTITUTE(SUBSTITUTE($G411,"-"," ",LEN($G411)-LEN(SUBSTITUTE($G411,"-",""))),"-"," ",LEN($G411)-LEN(SUBSTITUTE($G411,"-",""))-1),SUBSTITUTE(SUBSTITUTE(SUBSTITUTE($G411,"-"," ",LEN($G411)-LEN(SUBSTITUTE($G411,"-",""))),"-"," ",LEN($G411)-LEN(SUBSTITUTE($G411,"-",""))-1),"."," ",(LEN(SUBSTITUTE(SUBSTITUTE($G411,"-"," ",LEN($G411)-LEN(SUBSTITUTE($G411,"-",""))),"-"," ",LEN($G411)-LEN(SUBSTITUTE($G411,"-",""))-1))-LEN(SUBSTITUTE(SUBSTITUTE(SUBSTITUTE($G411,"-"," ",LEN($G411)-LEN(SUBSTITUTE($G411,"-",""))),"-"," ",LEN($G411)-LEN(SUBSTITUTE($G411,"-",""))-1),".",""))))),$G411)))</f>
        <v/>
      </c>
    </row>
    <row r="412">
      <c r="A412" s="58" t="n"/>
      <c r="B412" s="58">
        <f>IF($H412="","",LEFT($H412,FIND(" ",$H412&amp;" ")-1))</f>
        <v/>
      </c>
      <c r="C412" s="58">
        <f>IF($H412="","",IFERROR(MID($H412&amp;" ",FIND("|",SUBSTITUTE($H412&amp;" "," ","|",1))+1,FIND("|",SUBSTITUTE($H412&amp;" "," ","|",2))-FIND("|",SUBSTITUTE($H412&amp;" "," ","|",1))-1),""))</f>
        <v/>
      </c>
      <c r="D412" s="58">
        <f>IF($H412="","",IFERROR(MID($H412&amp;" ",FIND("|",SUBSTITUTE($H412&amp;" "," ","|",2))+1,FIND("|",SUBSTITUTE($H412&amp;" "," ","|",3))-FIND("|",SUBSTITUTE($H412&amp;" "," ","|",2))-1),""))</f>
        <v/>
      </c>
      <c r="E412" s="58">
        <f>IF($H412="","",IFERROR(MID($H412&amp;" ",FIND("|",SUBSTITUTE($H412&amp;" "," ","|",3))+1,FIND("|",SUBSTITUTE($H412&amp;" "," ","|",4))-FIND("|",SUBSTITUTE($H412&amp;" "," ","|",3))-1),""))</f>
        <v/>
      </c>
      <c r="F412" s="59">
        <f>IF($H412="","",IFERROR(VALUE(IFERROR(MID($H412&amp;" ",FIND("|",SUBSTITUTE($H412&amp;" "," ","|",4))+1,FIND("|",SUBSTITUTE($H412&amp;" "," ","|",5))-FIND("|",SUBSTITUTE($H412&amp;" "," ","|",4))-1),""))/86400+25569+9/24,""))</f>
        <v/>
      </c>
      <c r="G412" s="58">
        <f>TRIM(SUBSTITUTE(SUBSTITUTE(SUBSTITUTE($A412,CHAR(9)," ")," "," "),CHAR(13),""))</f>
        <v/>
      </c>
      <c r="H412" s="58">
        <f>IF($G412="","",IF(ISNUMBER(FIND(" ",$G412)),$G412,IFERROR(IF((LEN(SUBSTITUTE(SUBSTITUTE($G412,"-"," ",LEN($G412)-LEN(SUBSTITUTE($G412,"-",""))),"-"," ",LEN($G412)-LEN(SUBSTITUTE($G412,"-",""))-1))-LEN(SUBSTITUTE(SUBSTITUTE(SUBSTITUTE($G412,"-"," ",LEN($G412)-LEN(SUBSTITUTE($G412,"-",""))),"-"," ",LEN($G412)-LEN(SUBSTITUTE($G412,"-",""))-1),".","")))=0,SUBSTITUTE(SUBSTITUTE($G412,"-"," ",LEN($G412)-LEN(SUBSTITUTE($G412,"-",""))),"-"," ",LEN($G412)-LEN(SUBSTITUTE($G412,"-",""))-1),SUBSTITUTE(SUBSTITUTE(SUBSTITUTE($G412,"-"," ",LEN($G412)-LEN(SUBSTITUTE($G412,"-",""))),"-"," ",LEN($G412)-LEN(SUBSTITUTE($G412,"-",""))-1),"."," ",(LEN(SUBSTITUTE(SUBSTITUTE($G412,"-"," ",LEN($G412)-LEN(SUBSTITUTE($G412,"-",""))),"-"," ",LEN($G412)-LEN(SUBSTITUTE($G412,"-",""))-1))-LEN(SUBSTITUTE(SUBSTITUTE(SUBSTITUTE($G412,"-"," ",LEN($G412)-LEN(SUBSTITUTE($G412,"-",""))),"-"," ",LEN($G412)-LEN(SUBSTITUTE($G412,"-",""))-1),".",""))))),$G412)))</f>
        <v/>
      </c>
    </row>
    <row r="413">
      <c r="A413" s="58" t="n"/>
      <c r="B413" s="58">
        <f>IF($H413="","",LEFT($H413,FIND(" ",$H413&amp;" ")-1))</f>
        <v/>
      </c>
      <c r="C413" s="58">
        <f>IF($H413="","",IFERROR(MID($H413&amp;" ",FIND("|",SUBSTITUTE($H413&amp;" "," ","|",1))+1,FIND("|",SUBSTITUTE($H413&amp;" "," ","|",2))-FIND("|",SUBSTITUTE($H413&amp;" "," ","|",1))-1),""))</f>
        <v/>
      </c>
      <c r="D413" s="58">
        <f>IF($H413="","",IFERROR(MID($H413&amp;" ",FIND("|",SUBSTITUTE($H413&amp;" "," ","|",2))+1,FIND("|",SUBSTITUTE($H413&amp;" "," ","|",3))-FIND("|",SUBSTITUTE($H413&amp;" "," ","|",2))-1),""))</f>
        <v/>
      </c>
      <c r="E413" s="58">
        <f>IF($H413="","",IFERROR(MID($H413&amp;" ",FIND("|",SUBSTITUTE($H413&amp;" "," ","|",3))+1,FIND("|",SUBSTITUTE($H413&amp;" "," ","|",4))-FIND("|",SUBSTITUTE($H413&amp;" "," ","|",3))-1),""))</f>
        <v/>
      </c>
      <c r="F413" s="59">
        <f>IF($H413="","",IFERROR(VALUE(IFERROR(MID($H413&amp;" ",FIND("|",SUBSTITUTE($H413&amp;" "," ","|",4))+1,FIND("|",SUBSTITUTE($H413&amp;" "," ","|",5))-FIND("|",SUBSTITUTE($H413&amp;" "," ","|",4))-1),""))/86400+25569+9/24,""))</f>
        <v/>
      </c>
      <c r="G413" s="58">
        <f>TRIM(SUBSTITUTE(SUBSTITUTE(SUBSTITUTE($A413,CHAR(9)," ")," "," "),CHAR(13),""))</f>
        <v/>
      </c>
      <c r="H413" s="58">
        <f>IF($G413="","",IF(ISNUMBER(FIND(" ",$G413)),$G413,IFERROR(IF((LEN(SUBSTITUTE(SUBSTITUTE($G413,"-"," ",LEN($G413)-LEN(SUBSTITUTE($G413,"-",""))),"-"," ",LEN($G413)-LEN(SUBSTITUTE($G413,"-",""))-1))-LEN(SUBSTITUTE(SUBSTITUTE(SUBSTITUTE($G413,"-"," ",LEN($G413)-LEN(SUBSTITUTE($G413,"-",""))),"-"," ",LEN($G413)-LEN(SUBSTITUTE($G413,"-",""))-1),".","")))=0,SUBSTITUTE(SUBSTITUTE($G413,"-"," ",LEN($G413)-LEN(SUBSTITUTE($G413,"-",""))),"-"," ",LEN($G413)-LEN(SUBSTITUTE($G413,"-",""))-1),SUBSTITUTE(SUBSTITUTE(SUBSTITUTE($G413,"-"," ",LEN($G413)-LEN(SUBSTITUTE($G413,"-",""))),"-"," ",LEN($G413)-LEN(SUBSTITUTE($G413,"-",""))-1),"."," ",(LEN(SUBSTITUTE(SUBSTITUTE($G413,"-"," ",LEN($G413)-LEN(SUBSTITUTE($G413,"-",""))),"-"," ",LEN($G413)-LEN(SUBSTITUTE($G413,"-",""))-1))-LEN(SUBSTITUTE(SUBSTITUTE(SUBSTITUTE($G413,"-"," ",LEN($G413)-LEN(SUBSTITUTE($G413,"-",""))),"-"," ",LEN($G413)-LEN(SUBSTITUTE($G413,"-",""))-1),".",""))))),$G413)))</f>
        <v/>
      </c>
    </row>
    <row r="414">
      <c r="A414" s="58" t="n"/>
      <c r="B414" s="58">
        <f>IF($H414="","",LEFT($H414,FIND(" ",$H414&amp;" ")-1))</f>
        <v/>
      </c>
      <c r="C414" s="58">
        <f>IF($H414="","",IFERROR(MID($H414&amp;" ",FIND("|",SUBSTITUTE($H414&amp;" "," ","|",1))+1,FIND("|",SUBSTITUTE($H414&amp;" "," ","|",2))-FIND("|",SUBSTITUTE($H414&amp;" "," ","|",1))-1),""))</f>
        <v/>
      </c>
      <c r="D414" s="58">
        <f>IF($H414="","",IFERROR(MID($H414&amp;" ",FIND("|",SUBSTITUTE($H414&amp;" "," ","|",2))+1,FIND("|",SUBSTITUTE($H414&amp;" "," ","|",3))-FIND("|",SUBSTITUTE($H414&amp;" "," ","|",2))-1),""))</f>
        <v/>
      </c>
      <c r="E414" s="58">
        <f>IF($H414="","",IFERROR(MID($H414&amp;" ",FIND("|",SUBSTITUTE($H414&amp;" "," ","|",3))+1,FIND("|",SUBSTITUTE($H414&amp;" "," ","|",4))-FIND("|",SUBSTITUTE($H414&amp;" "," ","|",3))-1),""))</f>
        <v/>
      </c>
      <c r="F414" s="59">
        <f>IF($H414="","",IFERROR(VALUE(IFERROR(MID($H414&amp;" ",FIND("|",SUBSTITUTE($H414&amp;" "," ","|",4))+1,FIND("|",SUBSTITUTE($H414&amp;" "," ","|",5))-FIND("|",SUBSTITUTE($H414&amp;" "," ","|",4))-1),""))/86400+25569+9/24,""))</f>
        <v/>
      </c>
      <c r="G414" s="58">
        <f>TRIM(SUBSTITUTE(SUBSTITUTE(SUBSTITUTE($A414,CHAR(9)," ")," "," "),CHAR(13),""))</f>
        <v/>
      </c>
      <c r="H414" s="58">
        <f>IF($G414="","",IF(ISNUMBER(FIND(" ",$G414)),$G414,IFERROR(IF((LEN(SUBSTITUTE(SUBSTITUTE($G414,"-"," ",LEN($G414)-LEN(SUBSTITUTE($G414,"-",""))),"-"," ",LEN($G414)-LEN(SUBSTITUTE($G414,"-",""))-1))-LEN(SUBSTITUTE(SUBSTITUTE(SUBSTITUTE($G414,"-"," ",LEN($G414)-LEN(SUBSTITUTE($G414,"-",""))),"-"," ",LEN($G414)-LEN(SUBSTITUTE($G414,"-",""))-1),".","")))=0,SUBSTITUTE(SUBSTITUTE($G414,"-"," ",LEN($G414)-LEN(SUBSTITUTE($G414,"-",""))),"-"," ",LEN($G414)-LEN(SUBSTITUTE($G414,"-",""))-1),SUBSTITUTE(SUBSTITUTE(SUBSTITUTE($G414,"-"," ",LEN($G414)-LEN(SUBSTITUTE($G414,"-",""))),"-"," ",LEN($G414)-LEN(SUBSTITUTE($G414,"-",""))-1),"."," ",(LEN(SUBSTITUTE(SUBSTITUTE($G414,"-"," ",LEN($G414)-LEN(SUBSTITUTE($G414,"-",""))),"-"," ",LEN($G414)-LEN(SUBSTITUTE($G414,"-",""))-1))-LEN(SUBSTITUTE(SUBSTITUTE(SUBSTITUTE($G414,"-"," ",LEN($G414)-LEN(SUBSTITUTE($G414,"-",""))),"-"," ",LEN($G414)-LEN(SUBSTITUTE($G414,"-",""))-1),".",""))))),$G414)))</f>
        <v/>
      </c>
    </row>
    <row r="415">
      <c r="A415" s="58" t="n"/>
      <c r="B415" s="58">
        <f>IF($H415="","",LEFT($H415,FIND(" ",$H415&amp;" ")-1))</f>
        <v/>
      </c>
      <c r="C415" s="58">
        <f>IF($H415="","",IFERROR(MID($H415&amp;" ",FIND("|",SUBSTITUTE($H415&amp;" "," ","|",1))+1,FIND("|",SUBSTITUTE($H415&amp;" "," ","|",2))-FIND("|",SUBSTITUTE($H415&amp;" "," ","|",1))-1),""))</f>
        <v/>
      </c>
      <c r="D415" s="58">
        <f>IF($H415="","",IFERROR(MID($H415&amp;" ",FIND("|",SUBSTITUTE($H415&amp;" "," ","|",2))+1,FIND("|",SUBSTITUTE($H415&amp;" "," ","|",3))-FIND("|",SUBSTITUTE($H415&amp;" "," ","|",2))-1),""))</f>
        <v/>
      </c>
      <c r="E415" s="58">
        <f>IF($H415="","",IFERROR(MID($H415&amp;" ",FIND("|",SUBSTITUTE($H415&amp;" "," ","|",3))+1,FIND("|",SUBSTITUTE($H415&amp;" "," ","|",4))-FIND("|",SUBSTITUTE($H415&amp;" "," ","|",3))-1),""))</f>
        <v/>
      </c>
      <c r="F415" s="59">
        <f>IF($H415="","",IFERROR(VALUE(IFERROR(MID($H415&amp;" ",FIND("|",SUBSTITUTE($H415&amp;" "," ","|",4))+1,FIND("|",SUBSTITUTE($H415&amp;" "," ","|",5))-FIND("|",SUBSTITUTE($H415&amp;" "," ","|",4))-1),""))/86400+25569+9/24,""))</f>
        <v/>
      </c>
      <c r="G415" s="58">
        <f>TRIM(SUBSTITUTE(SUBSTITUTE(SUBSTITUTE($A415,CHAR(9)," ")," "," "),CHAR(13),""))</f>
        <v/>
      </c>
      <c r="H415" s="58">
        <f>IF($G415="","",IF(ISNUMBER(FIND(" ",$G415)),$G415,IFERROR(IF((LEN(SUBSTITUTE(SUBSTITUTE($G415,"-"," ",LEN($G415)-LEN(SUBSTITUTE($G415,"-",""))),"-"," ",LEN($G415)-LEN(SUBSTITUTE($G415,"-",""))-1))-LEN(SUBSTITUTE(SUBSTITUTE(SUBSTITUTE($G415,"-"," ",LEN($G415)-LEN(SUBSTITUTE($G415,"-",""))),"-"," ",LEN($G415)-LEN(SUBSTITUTE($G415,"-",""))-1),".","")))=0,SUBSTITUTE(SUBSTITUTE($G415,"-"," ",LEN($G415)-LEN(SUBSTITUTE($G415,"-",""))),"-"," ",LEN($G415)-LEN(SUBSTITUTE($G415,"-",""))-1),SUBSTITUTE(SUBSTITUTE(SUBSTITUTE($G415,"-"," ",LEN($G415)-LEN(SUBSTITUTE($G415,"-",""))),"-"," ",LEN($G415)-LEN(SUBSTITUTE($G415,"-",""))-1),"."," ",(LEN(SUBSTITUTE(SUBSTITUTE($G415,"-"," ",LEN($G415)-LEN(SUBSTITUTE($G415,"-",""))),"-"," ",LEN($G415)-LEN(SUBSTITUTE($G415,"-",""))-1))-LEN(SUBSTITUTE(SUBSTITUTE(SUBSTITUTE($G415,"-"," ",LEN($G415)-LEN(SUBSTITUTE($G415,"-",""))),"-"," ",LEN($G415)-LEN(SUBSTITUTE($G415,"-",""))-1),".",""))))),$G415)))</f>
        <v/>
      </c>
    </row>
    <row r="416">
      <c r="A416" s="58" t="n"/>
      <c r="B416" s="58">
        <f>IF($H416="","",LEFT($H416,FIND(" ",$H416&amp;" ")-1))</f>
        <v/>
      </c>
      <c r="C416" s="58">
        <f>IF($H416="","",IFERROR(MID($H416&amp;" ",FIND("|",SUBSTITUTE($H416&amp;" "," ","|",1))+1,FIND("|",SUBSTITUTE($H416&amp;" "," ","|",2))-FIND("|",SUBSTITUTE($H416&amp;" "," ","|",1))-1),""))</f>
        <v/>
      </c>
      <c r="D416" s="58">
        <f>IF($H416="","",IFERROR(MID($H416&amp;" ",FIND("|",SUBSTITUTE($H416&amp;" "," ","|",2))+1,FIND("|",SUBSTITUTE($H416&amp;" "," ","|",3))-FIND("|",SUBSTITUTE($H416&amp;" "," ","|",2))-1),""))</f>
        <v/>
      </c>
      <c r="E416" s="58">
        <f>IF($H416="","",IFERROR(MID($H416&amp;" ",FIND("|",SUBSTITUTE($H416&amp;" "," ","|",3))+1,FIND("|",SUBSTITUTE($H416&amp;" "," ","|",4))-FIND("|",SUBSTITUTE($H416&amp;" "," ","|",3))-1),""))</f>
        <v/>
      </c>
      <c r="F416" s="59">
        <f>IF($H416="","",IFERROR(VALUE(IFERROR(MID($H416&amp;" ",FIND("|",SUBSTITUTE($H416&amp;" "," ","|",4))+1,FIND("|",SUBSTITUTE($H416&amp;" "," ","|",5))-FIND("|",SUBSTITUTE($H416&amp;" "," ","|",4))-1),""))/86400+25569+9/24,""))</f>
        <v/>
      </c>
      <c r="G416" s="58">
        <f>TRIM(SUBSTITUTE(SUBSTITUTE(SUBSTITUTE($A416,CHAR(9)," ")," "," "),CHAR(13),""))</f>
        <v/>
      </c>
      <c r="H416" s="58">
        <f>IF($G416="","",IF(ISNUMBER(FIND(" ",$G416)),$G416,IFERROR(IF((LEN(SUBSTITUTE(SUBSTITUTE($G416,"-"," ",LEN($G416)-LEN(SUBSTITUTE($G416,"-",""))),"-"," ",LEN($G416)-LEN(SUBSTITUTE($G416,"-",""))-1))-LEN(SUBSTITUTE(SUBSTITUTE(SUBSTITUTE($G416,"-"," ",LEN($G416)-LEN(SUBSTITUTE($G416,"-",""))),"-"," ",LEN($G416)-LEN(SUBSTITUTE($G416,"-",""))-1),".","")))=0,SUBSTITUTE(SUBSTITUTE($G416,"-"," ",LEN($G416)-LEN(SUBSTITUTE($G416,"-",""))),"-"," ",LEN($G416)-LEN(SUBSTITUTE($G416,"-",""))-1),SUBSTITUTE(SUBSTITUTE(SUBSTITUTE($G416,"-"," ",LEN($G416)-LEN(SUBSTITUTE($G416,"-",""))),"-"," ",LEN($G416)-LEN(SUBSTITUTE($G416,"-",""))-1),"."," ",(LEN(SUBSTITUTE(SUBSTITUTE($G416,"-"," ",LEN($G416)-LEN(SUBSTITUTE($G416,"-",""))),"-"," ",LEN($G416)-LEN(SUBSTITUTE($G416,"-",""))-1))-LEN(SUBSTITUTE(SUBSTITUTE(SUBSTITUTE($G416,"-"," ",LEN($G416)-LEN(SUBSTITUTE($G416,"-",""))),"-"," ",LEN($G416)-LEN(SUBSTITUTE($G416,"-",""))-1),".",""))))),$G416)))</f>
        <v/>
      </c>
    </row>
    <row r="417">
      <c r="A417" s="58" t="n"/>
      <c r="B417" s="58">
        <f>IF($H417="","",LEFT($H417,FIND(" ",$H417&amp;" ")-1))</f>
        <v/>
      </c>
      <c r="C417" s="58">
        <f>IF($H417="","",IFERROR(MID($H417&amp;" ",FIND("|",SUBSTITUTE($H417&amp;" "," ","|",1))+1,FIND("|",SUBSTITUTE($H417&amp;" "," ","|",2))-FIND("|",SUBSTITUTE($H417&amp;" "," ","|",1))-1),""))</f>
        <v/>
      </c>
      <c r="D417" s="58">
        <f>IF($H417="","",IFERROR(MID($H417&amp;" ",FIND("|",SUBSTITUTE($H417&amp;" "," ","|",2))+1,FIND("|",SUBSTITUTE($H417&amp;" "," ","|",3))-FIND("|",SUBSTITUTE($H417&amp;" "," ","|",2))-1),""))</f>
        <v/>
      </c>
      <c r="E417" s="58">
        <f>IF($H417="","",IFERROR(MID($H417&amp;" ",FIND("|",SUBSTITUTE($H417&amp;" "," ","|",3))+1,FIND("|",SUBSTITUTE($H417&amp;" "," ","|",4))-FIND("|",SUBSTITUTE($H417&amp;" "," ","|",3))-1),""))</f>
        <v/>
      </c>
      <c r="F417" s="59">
        <f>IF($H417="","",IFERROR(VALUE(IFERROR(MID($H417&amp;" ",FIND("|",SUBSTITUTE($H417&amp;" "," ","|",4))+1,FIND("|",SUBSTITUTE($H417&amp;" "," ","|",5))-FIND("|",SUBSTITUTE($H417&amp;" "," ","|",4))-1),""))/86400+25569+9/24,""))</f>
        <v/>
      </c>
      <c r="G417" s="58">
        <f>TRIM(SUBSTITUTE(SUBSTITUTE(SUBSTITUTE($A417,CHAR(9)," ")," "," "),CHAR(13),""))</f>
        <v/>
      </c>
      <c r="H417" s="58">
        <f>IF($G417="","",IF(ISNUMBER(FIND(" ",$G417)),$G417,IFERROR(IF((LEN(SUBSTITUTE(SUBSTITUTE($G417,"-"," ",LEN($G417)-LEN(SUBSTITUTE($G417,"-",""))),"-"," ",LEN($G417)-LEN(SUBSTITUTE($G417,"-",""))-1))-LEN(SUBSTITUTE(SUBSTITUTE(SUBSTITUTE($G417,"-"," ",LEN($G417)-LEN(SUBSTITUTE($G417,"-",""))),"-"," ",LEN($G417)-LEN(SUBSTITUTE($G417,"-",""))-1),".","")))=0,SUBSTITUTE(SUBSTITUTE($G417,"-"," ",LEN($G417)-LEN(SUBSTITUTE($G417,"-",""))),"-"," ",LEN($G417)-LEN(SUBSTITUTE($G417,"-",""))-1),SUBSTITUTE(SUBSTITUTE(SUBSTITUTE($G417,"-"," ",LEN($G417)-LEN(SUBSTITUTE($G417,"-",""))),"-"," ",LEN($G417)-LEN(SUBSTITUTE($G417,"-",""))-1),"."," ",(LEN(SUBSTITUTE(SUBSTITUTE($G417,"-"," ",LEN($G417)-LEN(SUBSTITUTE($G417,"-",""))),"-"," ",LEN($G417)-LEN(SUBSTITUTE($G417,"-",""))-1))-LEN(SUBSTITUTE(SUBSTITUTE(SUBSTITUTE($G417,"-"," ",LEN($G417)-LEN(SUBSTITUTE($G417,"-",""))),"-"," ",LEN($G417)-LEN(SUBSTITUTE($G417,"-",""))-1),".",""))))),$G417)))</f>
        <v/>
      </c>
    </row>
    <row r="418">
      <c r="A418" s="58" t="n"/>
      <c r="B418" s="58">
        <f>IF($H418="","",LEFT($H418,FIND(" ",$H418&amp;" ")-1))</f>
        <v/>
      </c>
      <c r="C418" s="58">
        <f>IF($H418="","",IFERROR(MID($H418&amp;" ",FIND("|",SUBSTITUTE($H418&amp;" "," ","|",1))+1,FIND("|",SUBSTITUTE($H418&amp;" "," ","|",2))-FIND("|",SUBSTITUTE($H418&amp;" "," ","|",1))-1),""))</f>
        <v/>
      </c>
      <c r="D418" s="58">
        <f>IF($H418="","",IFERROR(MID($H418&amp;" ",FIND("|",SUBSTITUTE($H418&amp;" "," ","|",2))+1,FIND("|",SUBSTITUTE($H418&amp;" "," ","|",3))-FIND("|",SUBSTITUTE($H418&amp;" "," ","|",2))-1),""))</f>
        <v/>
      </c>
      <c r="E418" s="58">
        <f>IF($H418="","",IFERROR(MID($H418&amp;" ",FIND("|",SUBSTITUTE($H418&amp;" "," ","|",3))+1,FIND("|",SUBSTITUTE($H418&amp;" "," ","|",4))-FIND("|",SUBSTITUTE($H418&amp;" "," ","|",3))-1),""))</f>
        <v/>
      </c>
      <c r="F418" s="59">
        <f>IF($H418="","",IFERROR(VALUE(IFERROR(MID($H418&amp;" ",FIND("|",SUBSTITUTE($H418&amp;" "," ","|",4))+1,FIND("|",SUBSTITUTE($H418&amp;" "," ","|",5))-FIND("|",SUBSTITUTE($H418&amp;" "," ","|",4))-1),""))/86400+25569+9/24,""))</f>
        <v/>
      </c>
      <c r="G418" s="58">
        <f>TRIM(SUBSTITUTE(SUBSTITUTE(SUBSTITUTE($A418,CHAR(9)," ")," "," "),CHAR(13),""))</f>
        <v/>
      </c>
      <c r="H418" s="58">
        <f>IF($G418="","",IF(ISNUMBER(FIND(" ",$G418)),$G418,IFERROR(IF((LEN(SUBSTITUTE(SUBSTITUTE($G418,"-"," ",LEN($G418)-LEN(SUBSTITUTE($G418,"-",""))),"-"," ",LEN($G418)-LEN(SUBSTITUTE($G418,"-",""))-1))-LEN(SUBSTITUTE(SUBSTITUTE(SUBSTITUTE($G418,"-"," ",LEN($G418)-LEN(SUBSTITUTE($G418,"-",""))),"-"," ",LEN($G418)-LEN(SUBSTITUTE($G418,"-",""))-1),".","")))=0,SUBSTITUTE(SUBSTITUTE($G418,"-"," ",LEN($G418)-LEN(SUBSTITUTE($G418,"-",""))),"-"," ",LEN($G418)-LEN(SUBSTITUTE($G418,"-",""))-1),SUBSTITUTE(SUBSTITUTE(SUBSTITUTE($G418,"-"," ",LEN($G418)-LEN(SUBSTITUTE($G418,"-",""))),"-"," ",LEN($G418)-LEN(SUBSTITUTE($G418,"-",""))-1),"."," ",(LEN(SUBSTITUTE(SUBSTITUTE($G418,"-"," ",LEN($G418)-LEN(SUBSTITUTE($G418,"-",""))),"-"," ",LEN($G418)-LEN(SUBSTITUTE($G418,"-",""))-1))-LEN(SUBSTITUTE(SUBSTITUTE(SUBSTITUTE($G418,"-"," ",LEN($G418)-LEN(SUBSTITUTE($G418,"-",""))),"-"," ",LEN($G418)-LEN(SUBSTITUTE($G418,"-",""))-1),".",""))))),$G418)))</f>
        <v/>
      </c>
    </row>
    <row r="419">
      <c r="A419" s="58" t="n"/>
      <c r="B419" s="58">
        <f>IF($H419="","",LEFT($H419,FIND(" ",$H419&amp;" ")-1))</f>
        <v/>
      </c>
      <c r="C419" s="58">
        <f>IF($H419="","",IFERROR(MID($H419&amp;" ",FIND("|",SUBSTITUTE($H419&amp;" "," ","|",1))+1,FIND("|",SUBSTITUTE($H419&amp;" "," ","|",2))-FIND("|",SUBSTITUTE($H419&amp;" "," ","|",1))-1),""))</f>
        <v/>
      </c>
      <c r="D419" s="58">
        <f>IF($H419="","",IFERROR(MID($H419&amp;" ",FIND("|",SUBSTITUTE($H419&amp;" "," ","|",2))+1,FIND("|",SUBSTITUTE($H419&amp;" "," ","|",3))-FIND("|",SUBSTITUTE($H419&amp;" "," ","|",2))-1),""))</f>
        <v/>
      </c>
      <c r="E419" s="58">
        <f>IF($H419="","",IFERROR(MID($H419&amp;" ",FIND("|",SUBSTITUTE($H419&amp;" "," ","|",3))+1,FIND("|",SUBSTITUTE($H419&amp;" "," ","|",4))-FIND("|",SUBSTITUTE($H419&amp;" "," ","|",3))-1),""))</f>
        <v/>
      </c>
      <c r="F419" s="59">
        <f>IF($H419="","",IFERROR(VALUE(IFERROR(MID($H419&amp;" ",FIND("|",SUBSTITUTE($H419&amp;" "," ","|",4))+1,FIND("|",SUBSTITUTE($H419&amp;" "," ","|",5))-FIND("|",SUBSTITUTE($H419&amp;" "," ","|",4))-1),""))/86400+25569+9/24,""))</f>
        <v/>
      </c>
      <c r="G419" s="58">
        <f>TRIM(SUBSTITUTE(SUBSTITUTE(SUBSTITUTE($A419,CHAR(9)," ")," "," "),CHAR(13),""))</f>
        <v/>
      </c>
      <c r="H419" s="58">
        <f>IF($G419="","",IF(ISNUMBER(FIND(" ",$G419)),$G419,IFERROR(IF((LEN(SUBSTITUTE(SUBSTITUTE($G419,"-"," ",LEN($G419)-LEN(SUBSTITUTE($G419,"-",""))),"-"," ",LEN($G419)-LEN(SUBSTITUTE($G419,"-",""))-1))-LEN(SUBSTITUTE(SUBSTITUTE(SUBSTITUTE($G419,"-"," ",LEN($G419)-LEN(SUBSTITUTE($G419,"-",""))),"-"," ",LEN($G419)-LEN(SUBSTITUTE($G419,"-",""))-1),".","")))=0,SUBSTITUTE(SUBSTITUTE($G419,"-"," ",LEN($G419)-LEN(SUBSTITUTE($G419,"-",""))),"-"," ",LEN($G419)-LEN(SUBSTITUTE($G419,"-",""))-1),SUBSTITUTE(SUBSTITUTE(SUBSTITUTE($G419,"-"," ",LEN($G419)-LEN(SUBSTITUTE($G419,"-",""))),"-"," ",LEN($G419)-LEN(SUBSTITUTE($G419,"-",""))-1),"."," ",(LEN(SUBSTITUTE(SUBSTITUTE($G419,"-"," ",LEN($G419)-LEN(SUBSTITUTE($G419,"-",""))),"-"," ",LEN($G419)-LEN(SUBSTITUTE($G419,"-",""))-1))-LEN(SUBSTITUTE(SUBSTITUTE(SUBSTITUTE($G419,"-"," ",LEN($G419)-LEN(SUBSTITUTE($G419,"-",""))),"-"," ",LEN($G419)-LEN(SUBSTITUTE($G419,"-",""))-1),".",""))))),$G419)))</f>
        <v/>
      </c>
    </row>
    <row r="420">
      <c r="A420" s="58" t="n"/>
      <c r="B420" s="58">
        <f>IF($H420="","",LEFT($H420,FIND(" ",$H420&amp;" ")-1))</f>
        <v/>
      </c>
      <c r="C420" s="58">
        <f>IF($H420="","",IFERROR(MID($H420&amp;" ",FIND("|",SUBSTITUTE($H420&amp;" "," ","|",1))+1,FIND("|",SUBSTITUTE($H420&amp;" "," ","|",2))-FIND("|",SUBSTITUTE($H420&amp;" "," ","|",1))-1),""))</f>
        <v/>
      </c>
      <c r="D420" s="58">
        <f>IF($H420="","",IFERROR(MID($H420&amp;" ",FIND("|",SUBSTITUTE($H420&amp;" "," ","|",2))+1,FIND("|",SUBSTITUTE($H420&amp;" "," ","|",3))-FIND("|",SUBSTITUTE($H420&amp;" "," ","|",2))-1),""))</f>
        <v/>
      </c>
      <c r="E420" s="58">
        <f>IF($H420="","",IFERROR(MID($H420&amp;" ",FIND("|",SUBSTITUTE($H420&amp;" "," ","|",3))+1,FIND("|",SUBSTITUTE($H420&amp;" "," ","|",4))-FIND("|",SUBSTITUTE($H420&amp;" "," ","|",3))-1),""))</f>
        <v/>
      </c>
      <c r="F420" s="59">
        <f>IF($H420="","",IFERROR(VALUE(IFERROR(MID($H420&amp;" ",FIND("|",SUBSTITUTE($H420&amp;" "," ","|",4))+1,FIND("|",SUBSTITUTE($H420&amp;" "," ","|",5))-FIND("|",SUBSTITUTE($H420&amp;" "," ","|",4))-1),""))/86400+25569+9/24,""))</f>
        <v/>
      </c>
      <c r="G420" s="58">
        <f>TRIM(SUBSTITUTE(SUBSTITUTE(SUBSTITUTE($A420,CHAR(9)," ")," "," "),CHAR(13),""))</f>
        <v/>
      </c>
      <c r="H420" s="58">
        <f>IF($G420="","",IF(ISNUMBER(FIND(" ",$G420)),$G420,IFERROR(IF((LEN(SUBSTITUTE(SUBSTITUTE($G420,"-"," ",LEN($G420)-LEN(SUBSTITUTE($G420,"-",""))),"-"," ",LEN($G420)-LEN(SUBSTITUTE($G420,"-",""))-1))-LEN(SUBSTITUTE(SUBSTITUTE(SUBSTITUTE($G420,"-"," ",LEN($G420)-LEN(SUBSTITUTE($G420,"-",""))),"-"," ",LEN($G420)-LEN(SUBSTITUTE($G420,"-",""))-1),".","")))=0,SUBSTITUTE(SUBSTITUTE($G420,"-"," ",LEN($G420)-LEN(SUBSTITUTE($G420,"-",""))),"-"," ",LEN($G420)-LEN(SUBSTITUTE($G420,"-",""))-1),SUBSTITUTE(SUBSTITUTE(SUBSTITUTE($G420,"-"," ",LEN($G420)-LEN(SUBSTITUTE($G420,"-",""))),"-"," ",LEN($G420)-LEN(SUBSTITUTE($G420,"-",""))-1),"."," ",(LEN(SUBSTITUTE(SUBSTITUTE($G420,"-"," ",LEN($G420)-LEN(SUBSTITUTE($G420,"-",""))),"-"," ",LEN($G420)-LEN(SUBSTITUTE($G420,"-",""))-1))-LEN(SUBSTITUTE(SUBSTITUTE(SUBSTITUTE($G420,"-"," ",LEN($G420)-LEN(SUBSTITUTE($G420,"-",""))),"-"," ",LEN($G420)-LEN(SUBSTITUTE($G420,"-",""))-1),".",""))))),$G420)))</f>
        <v/>
      </c>
    </row>
    <row r="421">
      <c r="A421" s="58" t="n"/>
      <c r="B421" s="58">
        <f>IF($H421="","",LEFT($H421,FIND(" ",$H421&amp;" ")-1))</f>
        <v/>
      </c>
      <c r="C421" s="58">
        <f>IF($H421="","",IFERROR(MID($H421&amp;" ",FIND("|",SUBSTITUTE($H421&amp;" "," ","|",1))+1,FIND("|",SUBSTITUTE($H421&amp;" "," ","|",2))-FIND("|",SUBSTITUTE($H421&amp;" "," ","|",1))-1),""))</f>
        <v/>
      </c>
      <c r="D421" s="58">
        <f>IF($H421="","",IFERROR(MID($H421&amp;" ",FIND("|",SUBSTITUTE($H421&amp;" "," ","|",2))+1,FIND("|",SUBSTITUTE($H421&amp;" "," ","|",3))-FIND("|",SUBSTITUTE($H421&amp;" "," ","|",2))-1),""))</f>
        <v/>
      </c>
      <c r="E421" s="58">
        <f>IF($H421="","",IFERROR(MID($H421&amp;" ",FIND("|",SUBSTITUTE($H421&amp;" "," ","|",3))+1,FIND("|",SUBSTITUTE($H421&amp;" "," ","|",4))-FIND("|",SUBSTITUTE($H421&amp;" "," ","|",3))-1),""))</f>
        <v/>
      </c>
      <c r="F421" s="59">
        <f>IF($H421="","",IFERROR(VALUE(IFERROR(MID($H421&amp;" ",FIND("|",SUBSTITUTE($H421&amp;" "," ","|",4))+1,FIND("|",SUBSTITUTE($H421&amp;" "," ","|",5))-FIND("|",SUBSTITUTE($H421&amp;" "," ","|",4))-1),""))/86400+25569+9/24,""))</f>
        <v/>
      </c>
      <c r="G421" s="58">
        <f>TRIM(SUBSTITUTE(SUBSTITUTE(SUBSTITUTE($A421,CHAR(9)," ")," "," "),CHAR(13),""))</f>
        <v/>
      </c>
      <c r="H421" s="58">
        <f>IF($G421="","",IF(ISNUMBER(FIND(" ",$G421)),$G421,IFERROR(IF((LEN(SUBSTITUTE(SUBSTITUTE($G421,"-"," ",LEN($G421)-LEN(SUBSTITUTE($G421,"-",""))),"-"," ",LEN($G421)-LEN(SUBSTITUTE($G421,"-",""))-1))-LEN(SUBSTITUTE(SUBSTITUTE(SUBSTITUTE($G421,"-"," ",LEN($G421)-LEN(SUBSTITUTE($G421,"-",""))),"-"," ",LEN($G421)-LEN(SUBSTITUTE($G421,"-",""))-1),".","")))=0,SUBSTITUTE(SUBSTITUTE($G421,"-"," ",LEN($G421)-LEN(SUBSTITUTE($G421,"-",""))),"-"," ",LEN($G421)-LEN(SUBSTITUTE($G421,"-",""))-1),SUBSTITUTE(SUBSTITUTE(SUBSTITUTE($G421,"-"," ",LEN($G421)-LEN(SUBSTITUTE($G421,"-",""))),"-"," ",LEN($G421)-LEN(SUBSTITUTE($G421,"-",""))-1),"."," ",(LEN(SUBSTITUTE(SUBSTITUTE($G421,"-"," ",LEN($G421)-LEN(SUBSTITUTE($G421,"-",""))),"-"," ",LEN($G421)-LEN(SUBSTITUTE($G421,"-",""))-1))-LEN(SUBSTITUTE(SUBSTITUTE(SUBSTITUTE($G421,"-"," ",LEN($G421)-LEN(SUBSTITUTE($G421,"-",""))),"-"," ",LEN($G421)-LEN(SUBSTITUTE($G421,"-",""))-1),".",""))))),$G421)))</f>
        <v/>
      </c>
    </row>
    <row r="422">
      <c r="A422" s="58" t="n"/>
      <c r="B422" s="58">
        <f>IF($H422="","",LEFT($H422,FIND(" ",$H422&amp;" ")-1))</f>
        <v/>
      </c>
      <c r="C422" s="58">
        <f>IF($H422="","",IFERROR(MID($H422&amp;" ",FIND("|",SUBSTITUTE($H422&amp;" "," ","|",1))+1,FIND("|",SUBSTITUTE($H422&amp;" "," ","|",2))-FIND("|",SUBSTITUTE($H422&amp;" "," ","|",1))-1),""))</f>
        <v/>
      </c>
      <c r="D422" s="58">
        <f>IF($H422="","",IFERROR(MID($H422&amp;" ",FIND("|",SUBSTITUTE($H422&amp;" "," ","|",2))+1,FIND("|",SUBSTITUTE($H422&amp;" "," ","|",3))-FIND("|",SUBSTITUTE($H422&amp;" "," ","|",2))-1),""))</f>
        <v/>
      </c>
      <c r="E422" s="58">
        <f>IF($H422="","",IFERROR(MID($H422&amp;" ",FIND("|",SUBSTITUTE($H422&amp;" "," ","|",3))+1,FIND("|",SUBSTITUTE($H422&amp;" "," ","|",4))-FIND("|",SUBSTITUTE($H422&amp;" "," ","|",3))-1),""))</f>
        <v/>
      </c>
      <c r="F422" s="59">
        <f>IF($H422="","",IFERROR(VALUE(IFERROR(MID($H422&amp;" ",FIND("|",SUBSTITUTE($H422&amp;" "," ","|",4))+1,FIND("|",SUBSTITUTE($H422&amp;" "," ","|",5))-FIND("|",SUBSTITUTE($H422&amp;" "," ","|",4))-1),""))/86400+25569+9/24,""))</f>
        <v/>
      </c>
      <c r="G422" s="58">
        <f>TRIM(SUBSTITUTE(SUBSTITUTE(SUBSTITUTE($A422,CHAR(9)," ")," "," "),CHAR(13),""))</f>
        <v/>
      </c>
      <c r="H422" s="58">
        <f>IF($G422="","",IF(ISNUMBER(FIND(" ",$G422)),$G422,IFERROR(IF((LEN(SUBSTITUTE(SUBSTITUTE($G422,"-"," ",LEN($G422)-LEN(SUBSTITUTE($G422,"-",""))),"-"," ",LEN($G422)-LEN(SUBSTITUTE($G422,"-",""))-1))-LEN(SUBSTITUTE(SUBSTITUTE(SUBSTITUTE($G422,"-"," ",LEN($G422)-LEN(SUBSTITUTE($G422,"-",""))),"-"," ",LEN($G422)-LEN(SUBSTITUTE($G422,"-",""))-1),".","")))=0,SUBSTITUTE(SUBSTITUTE($G422,"-"," ",LEN($G422)-LEN(SUBSTITUTE($G422,"-",""))),"-"," ",LEN($G422)-LEN(SUBSTITUTE($G422,"-",""))-1),SUBSTITUTE(SUBSTITUTE(SUBSTITUTE($G422,"-"," ",LEN($G422)-LEN(SUBSTITUTE($G422,"-",""))),"-"," ",LEN($G422)-LEN(SUBSTITUTE($G422,"-",""))-1),"."," ",(LEN(SUBSTITUTE(SUBSTITUTE($G422,"-"," ",LEN($G422)-LEN(SUBSTITUTE($G422,"-",""))),"-"," ",LEN($G422)-LEN(SUBSTITUTE($G422,"-",""))-1))-LEN(SUBSTITUTE(SUBSTITUTE(SUBSTITUTE($G422,"-"," ",LEN($G422)-LEN(SUBSTITUTE($G422,"-",""))),"-"," ",LEN($G422)-LEN(SUBSTITUTE($G422,"-",""))-1),".",""))))),$G422)))</f>
        <v/>
      </c>
    </row>
    <row r="423">
      <c r="A423" s="58" t="n"/>
      <c r="B423" s="58">
        <f>IF($H423="","",LEFT($H423,FIND(" ",$H423&amp;" ")-1))</f>
        <v/>
      </c>
      <c r="C423" s="58">
        <f>IF($H423="","",IFERROR(MID($H423&amp;" ",FIND("|",SUBSTITUTE($H423&amp;" "," ","|",1))+1,FIND("|",SUBSTITUTE($H423&amp;" "," ","|",2))-FIND("|",SUBSTITUTE($H423&amp;" "," ","|",1))-1),""))</f>
        <v/>
      </c>
      <c r="D423" s="58">
        <f>IF($H423="","",IFERROR(MID($H423&amp;" ",FIND("|",SUBSTITUTE($H423&amp;" "," ","|",2))+1,FIND("|",SUBSTITUTE($H423&amp;" "," ","|",3))-FIND("|",SUBSTITUTE($H423&amp;" "," ","|",2))-1),""))</f>
        <v/>
      </c>
      <c r="E423" s="58">
        <f>IF($H423="","",IFERROR(MID($H423&amp;" ",FIND("|",SUBSTITUTE($H423&amp;" "," ","|",3))+1,FIND("|",SUBSTITUTE($H423&amp;" "," ","|",4))-FIND("|",SUBSTITUTE($H423&amp;" "," ","|",3))-1),""))</f>
        <v/>
      </c>
      <c r="F423" s="59">
        <f>IF($H423="","",IFERROR(VALUE(IFERROR(MID($H423&amp;" ",FIND("|",SUBSTITUTE($H423&amp;" "," ","|",4))+1,FIND("|",SUBSTITUTE($H423&amp;" "," ","|",5))-FIND("|",SUBSTITUTE($H423&amp;" "," ","|",4))-1),""))/86400+25569+9/24,""))</f>
        <v/>
      </c>
      <c r="G423" s="58">
        <f>TRIM(SUBSTITUTE(SUBSTITUTE(SUBSTITUTE($A423,CHAR(9)," ")," "," "),CHAR(13),""))</f>
        <v/>
      </c>
      <c r="H423" s="58">
        <f>IF($G423="","",IF(ISNUMBER(FIND(" ",$G423)),$G423,IFERROR(IF((LEN(SUBSTITUTE(SUBSTITUTE($G423,"-"," ",LEN($G423)-LEN(SUBSTITUTE($G423,"-",""))),"-"," ",LEN($G423)-LEN(SUBSTITUTE($G423,"-",""))-1))-LEN(SUBSTITUTE(SUBSTITUTE(SUBSTITUTE($G423,"-"," ",LEN($G423)-LEN(SUBSTITUTE($G423,"-",""))),"-"," ",LEN($G423)-LEN(SUBSTITUTE($G423,"-",""))-1),".","")))=0,SUBSTITUTE(SUBSTITUTE($G423,"-"," ",LEN($G423)-LEN(SUBSTITUTE($G423,"-",""))),"-"," ",LEN($G423)-LEN(SUBSTITUTE($G423,"-",""))-1),SUBSTITUTE(SUBSTITUTE(SUBSTITUTE($G423,"-"," ",LEN($G423)-LEN(SUBSTITUTE($G423,"-",""))),"-"," ",LEN($G423)-LEN(SUBSTITUTE($G423,"-",""))-1),"."," ",(LEN(SUBSTITUTE(SUBSTITUTE($G423,"-"," ",LEN($G423)-LEN(SUBSTITUTE($G423,"-",""))),"-"," ",LEN($G423)-LEN(SUBSTITUTE($G423,"-",""))-1))-LEN(SUBSTITUTE(SUBSTITUTE(SUBSTITUTE($G423,"-"," ",LEN($G423)-LEN(SUBSTITUTE($G423,"-",""))),"-"," ",LEN($G423)-LEN(SUBSTITUTE($G423,"-",""))-1),".",""))))),$G423)))</f>
        <v/>
      </c>
    </row>
    <row r="424">
      <c r="A424" s="58" t="n"/>
      <c r="B424" s="58">
        <f>IF($H424="","",LEFT($H424,FIND(" ",$H424&amp;" ")-1))</f>
        <v/>
      </c>
      <c r="C424" s="58">
        <f>IF($H424="","",IFERROR(MID($H424&amp;" ",FIND("|",SUBSTITUTE($H424&amp;" "," ","|",1))+1,FIND("|",SUBSTITUTE($H424&amp;" "," ","|",2))-FIND("|",SUBSTITUTE($H424&amp;" "," ","|",1))-1),""))</f>
        <v/>
      </c>
      <c r="D424" s="58">
        <f>IF($H424="","",IFERROR(MID($H424&amp;" ",FIND("|",SUBSTITUTE($H424&amp;" "," ","|",2))+1,FIND("|",SUBSTITUTE($H424&amp;" "," ","|",3))-FIND("|",SUBSTITUTE($H424&amp;" "," ","|",2))-1),""))</f>
        <v/>
      </c>
      <c r="E424" s="58">
        <f>IF($H424="","",IFERROR(MID($H424&amp;" ",FIND("|",SUBSTITUTE($H424&amp;" "," ","|",3))+1,FIND("|",SUBSTITUTE($H424&amp;" "," ","|",4))-FIND("|",SUBSTITUTE($H424&amp;" "," ","|",3))-1),""))</f>
        <v/>
      </c>
      <c r="F424" s="59">
        <f>IF($H424="","",IFERROR(VALUE(IFERROR(MID($H424&amp;" ",FIND("|",SUBSTITUTE($H424&amp;" "," ","|",4))+1,FIND("|",SUBSTITUTE($H424&amp;" "," ","|",5))-FIND("|",SUBSTITUTE($H424&amp;" "," ","|",4))-1),""))/86400+25569+9/24,""))</f>
        <v/>
      </c>
      <c r="G424" s="58">
        <f>TRIM(SUBSTITUTE(SUBSTITUTE(SUBSTITUTE($A424,CHAR(9)," ")," "," "),CHAR(13),""))</f>
        <v/>
      </c>
      <c r="H424" s="58">
        <f>IF($G424="","",IF(ISNUMBER(FIND(" ",$G424)),$G424,IFERROR(IF((LEN(SUBSTITUTE(SUBSTITUTE($G424,"-"," ",LEN($G424)-LEN(SUBSTITUTE($G424,"-",""))),"-"," ",LEN($G424)-LEN(SUBSTITUTE($G424,"-",""))-1))-LEN(SUBSTITUTE(SUBSTITUTE(SUBSTITUTE($G424,"-"," ",LEN($G424)-LEN(SUBSTITUTE($G424,"-",""))),"-"," ",LEN($G424)-LEN(SUBSTITUTE($G424,"-",""))-1),".","")))=0,SUBSTITUTE(SUBSTITUTE($G424,"-"," ",LEN($G424)-LEN(SUBSTITUTE($G424,"-",""))),"-"," ",LEN($G424)-LEN(SUBSTITUTE($G424,"-",""))-1),SUBSTITUTE(SUBSTITUTE(SUBSTITUTE($G424,"-"," ",LEN($G424)-LEN(SUBSTITUTE($G424,"-",""))),"-"," ",LEN($G424)-LEN(SUBSTITUTE($G424,"-",""))-1),"."," ",(LEN(SUBSTITUTE(SUBSTITUTE($G424,"-"," ",LEN($G424)-LEN(SUBSTITUTE($G424,"-",""))),"-"," ",LEN($G424)-LEN(SUBSTITUTE($G424,"-",""))-1))-LEN(SUBSTITUTE(SUBSTITUTE(SUBSTITUTE($G424,"-"," ",LEN($G424)-LEN(SUBSTITUTE($G424,"-",""))),"-"," ",LEN($G424)-LEN(SUBSTITUTE($G424,"-",""))-1),".",""))))),$G424)))</f>
        <v/>
      </c>
    </row>
    <row r="425">
      <c r="A425" s="58" t="n"/>
      <c r="B425" s="58">
        <f>IF($H425="","",LEFT($H425,FIND(" ",$H425&amp;" ")-1))</f>
        <v/>
      </c>
      <c r="C425" s="58">
        <f>IF($H425="","",IFERROR(MID($H425&amp;" ",FIND("|",SUBSTITUTE($H425&amp;" "," ","|",1))+1,FIND("|",SUBSTITUTE($H425&amp;" "," ","|",2))-FIND("|",SUBSTITUTE($H425&amp;" "," ","|",1))-1),""))</f>
        <v/>
      </c>
      <c r="D425" s="58">
        <f>IF($H425="","",IFERROR(MID($H425&amp;" ",FIND("|",SUBSTITUTE($H425&amp;" "," ","|",2))+1,FIND("|",SUBSTITUTE($H425&amp;" "," ","|",3))-FIND("|",SUBSTITUTE($H425&amp;" "," ","|",2))-1),""))</f>
        <v/>
      </c>
      <c r="E425" s="58">
        <f>IF($H425="","",IFERROR(MID($H425&amp;" ",FIND("|",SUBSTITUTE($H425&amp;" "," ","|",3))+1,FIND("|",SUBSTITUTE($H425&amp;" "," ","|",4))-FIND("|",SUBSTITUTE($H425&amp;" "," ","|",3))-1),""))</f>
        <v/>
      </c>
      <c r="F425" s="59">
        <f>IF($H425="","",IFERROR(VALUE(IFERROR(MID($H425&amp;" ",FIND("|",SUBSTITUTE($H425&amp;" "," ","|",4))+1,FIND("|",SUBSTITUTE($H425&amp;" "," ","|",5))-FIND("|",SUBSTITUTE($H425&amp;" "," ","|",4))-1),""))/86400+25569+9/24,""))</f>
        <v/>
      </c>
      <c r="G425" s="58">
        <f>TRIM(SUBSTITUTE(SUBSTITUTE(SUBSTITUTE($A425,CHAR(9)," ")," "," "),CHAR(13),""))</f>
        <v/>
      </c>
      <c r="H425" s="58">
        <f>IF($G425="","",IF(ISNUMBER(FIND(" ",$G425)),$G425,IFERROR(IF((LEN(SUBSTITUTE(SUBSTITUTE($G425,"-"," ",LEN($G425)-LEN(SUBSTITUTE($G425,"-",""))),"-"," ",LEN($G425)-LEN(SUBSTITUTE($G425,"-",""))-1))-LEN(SUBSTITUTE(SUBSTITUTE(SUBSTITUTE($G425,"-"," ",LEN($G425)-LEN(SUBSTITUTE($G425,"-",""))),"-"," ",LEN($G425)-LEN(SUBSTITUTE($G425,"-",""))-1),".","")))=0,SUBSTITUTE(SUBSTITUTE($G425,"-"," ",LEN($G425)-LEN(SUBSTITUTE($G425,"-",""))),"-"," ",LEN($G425)-LEN(SUBSTITUTE($G425,"-",""))-1),SUBSTITUTE(SUBSTITUTE(SUBSTITUTE($G425,"-"," ",LEN($G425)-LEN(SUBSTITUTE($G425,"-",""))),"-"," ",LEN($G425)-LEN(SUBSTITUTE($G425,"-",""))-1),"."," ",(LEN(SUBSTITUTE(SUBSTITUTE($G425,"-"," ",LEN($G425)-LEN(SUBSTITUTE($G425,"-",""))),"-"," ",LEN($G425)-LEN(SUBSTITUTE($G425,"-",""))-1))-LEN(SUBSTITUTE(SUBSTITUTE(SUBSTITUTE($G425,"-"," ",LEN($G425)-LEN(SUBSTITUTE($G425,"-",""))),"-"," ",LEN($G425)-LEN(SUBSTITUTE($G425,"-",""))-1),".",""))))),$G425)))</f>
        <v/>
      </c>
    </row>
    <row r="426">
      <c r="A426" s="58" t="n"/>
      <c r="B426" s="58">
        <f>IF($H426="","",LEFT($H426,FIND(" ",$H426&amp;" ")-1))</f>
        <v/>
      </c>
      <c r="C426" s="58">
        <f>IF($H426="","",IFERROR(MID($H426&amp;" ",FIND("|",SUBSTITUTE($H426&amp;" "," ","|",1))+1,FIND("|",SUBSTITUTE($H426&amp;" "," ","|",2))-FIND("|",SUBSTITUTE($H426&amp;" "," ","|",1))-1),""))</f>
        <v/>
      </c>
      <c r="D426" s="58">
        <f>IF($H426="","",IFERROR(MID($H426&amp;" ",FIND("|",SUBSTITUTE($H426&amp;" "," ","|",2))+1,FIND("|",SUBSTITUTE($H426&amp;" "," ","|",3))-FIND("|",SUBSTITUTE($H426&amp;" "," ","|",2))-1),""))</f>
        <v/>
      </c>
      <c r="E426" s="58">
        <f>IF($H426="","",IFERROR(MID($H426&amp;" ",FIND("|",SUBSTITUTE($H426&amp;" "," ","|",3))+1,FIND("|",SUBSTITUTE($H426&amp;" "," ","|",4))-FIND("|",SUBSTITUTE($H426&amp;" "," ","|",3))-1),""))</f>
        <v/>
      </c>
      <c r="F426" s="59">
        <f>IF($H426="","",IFERROR(VALUE(IFERROR(MID($H426&amp;" ",FIND("|",SUBSTITUTE($H426&amp;" "," ","|",4))+1,FIND("|",SUBSTITUTE($H426&amp;" "," ","|",5))-FIND("|",SUBSTITUTE($H426&amp;" "," ","|",4))-1),""))/86400+25569+9/24,""))</f>
        <v/>
      </c>
      <c r="G426" s="58">
        <f>TRIM(SUBSTITUTE(SUBSTITUTE(SUBSTITUTE($A426,CHAR(9)," ")," "," "),CHAR(13),""))</f>
        <v/>
      </c>
      <c r="H426" s="58">
        <f>IF($G426="","",IF(ISNUMBER(FIND(" ",$G426)),$G426,IFERROR(IF((LEN(SUBSTITUTE(SUBSTITUTE($G426,"-"," ",LEN($G426)-LEN(SUBSTITUTE($G426,"-",""))),"-"," ",LEN($G426)-LEN(SUBSTITUTE($G426,"-",""))-1))-LEN(SUBSTITUTE(SUBSTITUTE(SUBSTITUTE($G426,"-"," ",LEN($G426)-LEN(SUBSTITUTE($G426,"-",""))),"-"," ",LEN($G426)-LEN(SUBSTITUTE($G426,"-",""))-1),".","")))=0,SUBSTITUTE(SUBSTITUTE($G426,"-"," ",LEN($G426)-LEN(SUBSTITUTE($G426,"-",""))),"-"," ",LEN($G426)-LEN(SUBSTITUTE($G426,"-",""))-1),SUBSTITUTE(SUBSTITUTE(SUBSTITUTE($G426,"-"," ",LEN($G426)-LEN(SUBSTITUTE($G426,"-",""))),"-"," ",LEN($G426)-LEN(SUBSTITUTE($G426,"-",""))-1),"."," ",(LEN(SUBSTITUTE(SUBSTITUTE($G426,"-"," ",LEN($G426)-LEN(SUBSTITUTE($G426,"-",""))),"-"," ",LEN($G426)-LEN(SUBSTITUTE($G426,"-",""))-1))-LEN(SUBSTITUTE(SUBSTITUTE(SUBSTITUTE($G426,"-"," ",LEN($G426)-LEN(SUBSTITUTE($G426,"-",""))),"-"," ",LEN($G426)-LEN(SUBSTITUTE($G426,"-",""))-1),".",""))))),$G426)))</f>
        <v/>
      </c>
    </row>
    <row r="427">
      <c r="A427" s="58" t="n"/>
      <c r="B427" s="58">
        <f>IF($H427="","",LEFT($H427,FIND(" ",$H427&amp;" ")-1))</f>
        <v/>
      </c>
      <c r="C427" s="58">
        <f>IF($H427="","",IFERROR(MID($H427&amp;" ",FIND("|",SUBSTITUTE($H427&amp;" "," ","|",1))+1,FIND("|",SUBSTITUTE($H427&amp;" "," ","|",2))-FIND("|",SUBSTITUTE($H427&amp;" "," ","|",1))-1),""))</f>
        <v/>
      </c>
      <c r="D427" s="58">
        <f>IF($H427="","",IFERROR(MID($H427&amp;" ",FIND("|",SUBSTITUTE($H427&amp;" "," ","|",2))+1,FIND("|",SUBSTITUTE($H427&amp;" "," ","|",3))-FIND("|",SUBSTITUTE($H427&amp;" "," ","|",2))-1),""))</f>
        <v/>
      </c>
      <c r="E427" s="58">
        <f>IF($H427="","",IFERROR(MID($H427&amp;" ",FIND("|",SUBSTITUTE($H427&amp;" "," ","|",3))+1,FIND("|",SUBSTITUTE($H427&amp;" "," ","|",4))-FIND("|",SUBSTITUTE($H427&amp;" "," ","|",3))-1),""))</f>
        <v/>
      </c>
      <c r="F427" s="59">
        <f>IF($H427="","",IFERROR(VALUE(IFERROR(MID($H427&amp;" ",FIND("|",SUBSTITUTE($H427&amp;" "," ","|",4))+1,FIND("|",SUBSTITUTE($H427&amp;" "," ","|",5))-FIND("|",SUBSTITUTE($H427&amp;" "," ","|",4))-1),""))/86400+25569+9/24,""))</f>
        <v/>
      </c>
      <c r="G427" s="58">
        <f>TRIM(SUBSTITUTE(SUBSTITUTE(SUBSTITUTE($A427,CHAR(9)," ")," "," "),CHAR(13),""))</f>
        <v/>
      </c>
      <c r="H427" s="58">
        <f>IF($G427="","",IF(ISNUMBER(FIND(" ",$G427)),$G427,IFERROR(IF((LEN(SUBSTITUTE(SUBSTITUTE($G427,"-"," ",LEN($G427)-LEN(SUBSTITUTE($G427,"-",""))),"-"," ",LEN($G427)-LEN(SUBSTITUTE($G427,"-",""))-1))-LEN(SUBSTITUTE(SUBSTITUTE(SUBSTITUTE($G427,"-"," ",LEN($G427)-LEN(SUBSTITUTE($G427,"-",""))),"-"," ",LEN($G427)-LEN(SUBSTITUTE($G427,"-",""))-1),".","")))=0,SUBSTITUTE(SUBSTITUTE($G427,"-"," ",LEN($G427)-LEN(SUBSTITUTE($G427,"-",""))),"-"," ",LEN($G427)-LEN(SUBSTITUTE($G427,"-",""))-1),SUBSTITUTE(SUBSTITUTE(SUBSTITUTE($G427,"-"," ",LEN($G427)-LEN(SUBSTITUTE($G427,"-",""))),"-"," ",LEN($G427)-LEN(SUBSTITUTE($G427,"-",""))-1),"."," ",(LEN(SUBSTITUTE(SUBSTITUTE($G427,"-"," ",LEN($G427)-LEN(SUBSTITUTE($G427,"-",""))),"-"," ",LEN($G427)-LEN(SUBSTITUTE($G427,"-",""))-1))-LEN(SUBSTITUTE(SUBSTITUTE(SUBSTITUTE($G427,"-"," ",LEN($G427)-LEN(SUBSTITUTE($G427,"-",""))),"-"," ",LEN($G427)-LEN(SUBSTITUTE($G427,"-",""))-1),".",""))))),$G427)))</f>
        <v/>
      </c>
    </row>
    <row r="428">
      <c r="A428" s="58" t="n"/>
      <c r="B428" s="58">
        <f>IF($H428="","",LEFT($H428,FIND(" ",$H428&amp;" ")-1))</f>
        <v/>
      </c>
      <c r="C428" s="58">
        <f>IF($H428="","",IFERROR(MID($H428&amp;" ",FIND("|",SUBSTITUTE($H428&amp;" "," ","|",1))+1,FIND("|",SUBSTITUTE($H428&amp;" "," ","|",2))-FIND("|",SUBSTITUTE($H428&amp;" "," ","|",1))-1),""))</f>
        <v/>
      </c>
      <c r="D428" s="58">
        <f>IF($H428="","",IFERROR(MID($H428&amp;" ",FIND("|",SUBSTITUTE($H428&amp;" "," ","|",2))+1,FIND("|",SUBSTITUTE($H428&amp;" "," ","|",3))-FIND("|",SUBSTITUTE($H428&amp;" "," ","|",2))-1),""))</f>
        <v/>
      </c>
      <c r="E428" s="58">
        <f>IF($H428="","",IFERROR(MID($H428&amp;" ",FIND("|",SUBSTITUTE($H428&amp;" "," ","|",3))+1,FIND("|",SUBSTITUTE($H428&amp;" "," ","|",4))-FIND("|",SUBSTITUTE($H428&amp;" "," ","|",3))-1),""))</f>
        <v/>
      </c>
      <c r="F428" s="59">
        <f>IF($H428="","",IFERROR(VALUE(IFERROR(MID($H428&amp;" ",FIND("|",SUBSTITUTE($H428&amp;" "," ","|",4))+1,FIND("|",SUBSTITUTE($H428&amp;" "," ","|",5))-FIND("|",SUBSTITUTE($H428&amp;" "," ","|",4))-1),""))/86400+25569+9/24,""))</f>
        <v/>
      </c>
      <c r="G428" s="58">
        <f>TRIM(SUBSTITUTE(SUBSTITUTE(SUBSTITUTE($A428,CHAR(9)," ")," "," "),CHAR(13),""))</f>
        <v/>
      </c>
      <c r="H428" s="58">
        <f>IF($G428="","",IF(ISNUMBER(FIND(" ",$G428)),$G428,IFERROR(IF((LEN(SUBSTITUTE(SUBSTITUTE($G428,"-"," ",LEN($G428)-LEN(SUBSTITUTE($G428,"-",""))),"-"," ",LEN($G428)-LEN(SUBSTITUTE($G428,"-",""))-1))-LEN(SUBSTITUTE(SUBSTITUTE(SUBSTITUTE($G428,"-"," ",LEN($G428)-LEN(SUBSTITUTE($G428,"-",""))),"-"," ",LEN($G428)-LEN(SUBSTITUTE($G428,"-",""))-1),".","")))=0,SUBSTITUTE(SUBSTITUTE($G428,"-"," ",LEN($G428)-LEN(SUBSTITUTE($G428,"-",""))),"-"," ",LEN($G428)-LEN(SUBSTITUTE($G428,"-",""))-1),SUBSTITUTE(SUBSTITUTE(SUBSTITUTE($G428,"-"," ",LEN($G428)-LEN(SUBSTITUTE($G428,"-",""))),"-"," ",LEN($G428)-LEN(SUBSTITUTE($G428,"-",""))-1),"."," ",(LEN(SUBSTITUTE(SUBSTITUTE($G428,"-"," ",LEN($G428)-LEN(SUBSTITUTE($G428,"-",""))),"-"," ",LEN($G428)-LEN(SUBSTITUTE($G428,"-",""))-1))-LEN(SUBSTITUTE(SUBSTITUTE(SUBSTITUTE($G428,"-"," ",LEN($G428)-LEN(SUBSTITUTE($G428,"-",""))),"-"," ",LEN($G428)-LEN(SUBSTITUTE($G428,"-",""))-1),".",""))))),$G428)))</f>
        <v/>
      </c>
    </row>
    <row r="429">
      <c r="A429" s="58" t="n"/>
      <c r="B429" s="58">
        <f>IF($H429="","",LEFT($H429,FIND(" ",$H429&amp;" ")-1))</f>
        <v/>
      </c>
      <c r="C429" s="58">
        <f>IF($H429="","",IFERROR(MID($H429&amp;" ",FIND("|",SUBSTITUTE($H429&amp;" "," ","|",1))+1,FIND("|",SUBSTITUTE($H429&amp;" "," ","|",2))-FIND("|",SUBSTITUTE($H429&amp;" "," ","|",1))-1),""))</f>
        <v/>
      </c>
      <c r="D429" s="58">
        <f>IF($H429="","",IFERROR(MID($H429&amp;" ",FIND("|",SUBSTITUTE($H429&amp;" "," ","|",2))+1,FIND("|",SUBSTITUTE($H429&amp;" "," ","|",3))-FIND("|",SUBSTITUTE($H429&amp;" "," ","|",2))-1),""))</f>
        <v/>
      </c>
      <c r="E429" s="58">
        <f>IF($H429="","",IFERROR(MID($H429&amp;" ",FIND("|",SUBSTITUTE($H429&amp;" "," ","|",3))+1,FIND("|",SUBSTITUTE($H429&amp;" "," ","|",4))-FIND("|",SUBSTITUTE($H429&amp;" "," ","|",3))-1),""))</f>
        <v/>
      </c>
      <c r="F429" s="59">
        <f>IF($H429="","",IFERROR(VALUE(IFERROR(MID($H429&amp;" ",FIND("|",SUBSTITUTE($H429&amp;" "," ","|",4))+1,FIND("|",SUBSTITUTE($H429&amp;" "," ","|",5))-FIND("|",SUBSTITUTE($H429&amp;" "," ","|",4))-1),""))/86400+25569+9/24,""))</f>
        <v/>
      </c>
      <c r="G429" s="58">
        <f>TRIM(SUBSTITUTE(SUBSTITUTE(SUBSTITUTE($A429,CHAR(9)," ")," "," "),CHAR(13),""))</f>
        <v/>
      </c>
      <c r="H429" s="58">
        <f>IF($G429="","",IF(ISNUMBER(FIND(" ",$G429)),$G429,IFERROR(IF((LEN(SUBSTITUTE(SUBSTITUTE($G429,"-"," ",LEN($G429)-LEN(SUBSTITUTE($G429,"-",""))),"-"," ",LEN($G429)-LEN(SUBSTITUTE($G429,"-",""))-1))-LEN(SUBSTITUTE(SUBSTITUTE(SUBSTITUTE($G429,"-"," ",LEN($G429)-LEN(SUBSTITUTE($G429,"-",""))),"-"," ",LEN($G429)-LEN(SUBSTITUTE($G429,"-",""))-1),".","")))=0,SUBSTITUTE(SUBSTITUTE($G429,"-"," ",LEN($G429)-LEN(SUBSTITUTE($G429,"-",""))),"-"," ",LEN($G429)-LEN(SUBSTITUTE($G429,"-",""))-1),SUBSTITUTE(SUBSTITUTE(SUBSTITUTE($G429,"-"," ",LEN($G429)-LEN(SUBSTITUTE($G429,"-",""))),"-"," ",LEN($G429)-LEN(SUBSTITUTE($G429,"-",""))-1),"."," ",(LEN(SUBSTITUTE(SUBSTITUTE($G429,"-"," ",LEN($G429)-LEN(SUBSTITUTE($G429,"-",""))),"-"," ",LEN($G429)-LEN(SUBSTITUTE($G429,"-",""))-1))-LEN(SUBSTITUTE(SUBSTITUTE(SUBSTITUTE($G429,"-"," ",LEN($G429)-LEN(SUBSTITUTE($G429,"-",""))),"-"," ",LEN($G429)-LEN(SUBSTITUTE($G429,"-",""))-1),".",""))))),$G429)))</f>
        <v/>
      </c>
    </row>
    <row r="430">
      <c r="A430" s="58" t="n"/>
      <c r="B430" s="58">
        <f>IF($H430="","",LEFT($H430,FIND(" ",$H430&amp;" ")-1))</f>
        <v/>
      </c>
      <c r="C430" s="58">
        <f>IF($H430="","",IFERROR(MID($H430&amp;" ",FIND("|",SUBSTITUTE($H430&amp;" "," ","|",1))+1,FIND("|",SUBSTITUTE($H430&amp;" "," ","|",2))-FIND("|",SUBSTITUTE($H430&amp;" "," ","|",1))-1),""))</f>
        <v/>
      </c>
      <c r="D430" s="58">
        <f>IF($H430="","",IFERROR(MID($H430&amp;" ",FIND("|",SUBSTITUTE($H430&amp;" "," ","|",2))+1,FIND("|",SUBSTITUTE($H430&amp;" "," ","|",3))-FIND("|",SUBSTITUTE($H430&amp;" "," ","|",2))-1),""))</f>
        <v/>
      </c>
      <c r="E430" s="58">
        <f>IF($H430="","",IFERROR(MID($H430&amp;" ",FIND("|",SUBSTITUTE($H430&amp;" "," ","|",3))+1,FIND("|",SUBSTITUTE($H430&amp;" "," ","|",4))-FIND("|",SUBSTITUTE($H430&amp;" "," ","|",3))-1),""))</f>
        <v/>
      </c>
      <c r="F430" s="59">
        <f>IF($H430="","",IFERROR(VALUE(IFERROR(MID($H430&amp;" ",FIND("|",SUBSTITUTE($H430&amp;" "," ","|",4))+1,FIND("|",SUBSTITUTE($H430&amp;" "," ","|",5))-FIND("|",SUBSTITUTE($H430&amp;" "," ","|",4))-1),""))/86400+25569+9/24,""))</f>
        <v/>
      </c>
      <c r="G430" s="58">
        <f>TRIM(SUBSTITUTE(SUBSTITUTE(SUBSTITUTE($A430,CHAR(9)," ")," "," "),CHAR(13),""))</f>
        <v/>
      </c>
      <c r="H430" s="58">
        <f>IF($G430="","",IF(ISNUMBER(FIND(" ",$G430)),$G430,IFERROR(IF((LEN(SUBSTITUTE(SUBSTITUTE($G430,"-"," ",LEN($G430)-LEN(SUBSTITUTE($G430,"-",""))),"-"," ",LEN($G430)-LEN(SUBSTITUTE($G430,"-",""))-1))-LEN(SUBSTITUTE(SUBSTITUTE(SUBSTITUTE($G430,"-"," ",LEN($G430)-LEN(SUBSTITUTE($G430,"-",""))),"-"," ",LEN($G430)-LEN(SUBSTITUTE($G430,"-",""))-1),".","")))=0,SUBSTITUTE(SUBSTITUTE($G430,"-"," ",LEN($G430)-LEN(SUBSTITUTE($G430,"-",""))),"-"," ",LEN($G430)-LEN(SUBSTITUTE($G430,"-",""))-1),SUBSTITUTE(SUBSTITUTE(SUBSTITUTE($G430,"-"," ",LEN($G430)-LEN(SUBSTITUTE($G430,"-",""))),"-"," ",LEN($G430)-LEN(SUBSTITUTE($G430,"-",""))-1),"."," ",(LEN(SUBSTITUTE(SUBSTITUTE($G430,"-"," ",LEN($G430)-LEN(SUBSTITUTE($G430,"-",""))),"-"," ",LEN($G430)-LEN(SUBSTITUTE($G430,"-",""))-1))-LEN(SUBSTITUTE(SUBSTITUTE(SUBSTITUTE($G430,"-"," ",LEN($G430)-LEN(SUBSTITUTE($G430,"-",""))),"-"," ",LEN($G430)-LEN(SUBSTITUTE($G430,"-",""))-1),".",""))))),$G430)))</f>
        <v/>
      </c>
    </row>
    <row r="431">
      <c r="A431" s="58" t="n"/>
      <c r="B431" s="58">
        <f>IF($H431="","",LEFT($H431,FIND(" ",$H431&amp;" ")-1))</f>
        <v/>
      </c>
      <c r="C431" s="58">
        <f>IF($H431="","",IFERROR(MID($H431&amp;" ",FIND("|",SUBSTITUTE($H431&amp;" "," ","|",1))+1,FIND("|",SUBSTITUTE($H431&amp;" "," ","|",2))-FIND("|",SUBSTITUTE($H431&amp;" "," ","|",1))-1),""))</f>
        <v/>
      </c>
      <c r="D431" s="58">
        <f>IF($H431="","",IFERROR(MID($H431&amp;" ",FIND("|",SUBSTITUTE($H431&amp;" "," ","|",2))+1,FIND("|",SUBSTITUTE($H431&amp;" "," ","|",3))-FIND("|",SUBSTITUTE($H431&amp;" "," ","|",2))-1),""))</f>
        <v/>
      </c>
      <c r="E431" s="58">
        <f>IF($H431="","",IFERROR(MID($H431&amp;" ",FIND("|",SUBSTITUTE($H431&amp;" "," ","|",3))+1,FIND("|",SUBSTITUTE($H431&amp;" "," ","|",4))-FIND("|",SUBSTITUTE($H431&amp;" "," ","|",3))-1),""))</f>
        <v/>
      </c>
      <c r="F431" s="59">
        <f>IF($H431="","",IFERROR(VALUE(IFERROR(MID($H431&amp;" ",FIND("|",SUBSTITUTE($H431&amp;" "," ","|",4))+1,FIND("|",SUBSTITUTE($H431&amp;" "," ","|",5))-FIND("|",SUBSTITUTE($H431&amp;" "," ","|",4))-1),""))/86400+25569+9/24,""))</f>
        <v/>
      </c>
      <c r="G431" s="58">
        <f>TRIM(SUBSTITUTE(SUBSTITUTE(SUBSTITUTE($A431,CHAR(9)," ")," "," "),CHAR(13),""))</f>
        <v/>
      </c>
      <c r="H431" s="58">
        <f>IF($G431="","",IF(ISNUMBER(FIND(" ",$G431)),$G431,IFERROR(IF((LEN(SUBSTITUTE(SUBSTITUTE($G431,"-"," ",LEN($G431)-LEN(SUBSTITUTE($G431,"-",""))),"-"," ",LEN($G431)-LEN(SUBSTITUTE($G431,"-",""))-1))-LEN(SUBSTITUTE(SUBSTITUTE(SUBSTITUTE($G431,"-"," ",LEN($G431)-LEN(SUBSTITUTE($G431,"-",""))),"-"," ",LEN($G431)-LEN(SUBSTITUTE($G431,"-",""))-1),".","")))=0,SUBSTITUTE(SUBSTITUTE($G431,"-"," ",LEN($G431)-LEN(SUBSTITUTE($G431,"-",""))),"-"," ",LEN($G431)-LEN(SUBSTITUTE($G431,"-",""))-1),SUBSTITUTE(SUBSTITUTE(SUBSTITUTE($G431,"-"," ",LEN($G431)-LEN(SUBSTITUTE($G431,"-",""))),"-"," ",LEN($G431)-LEN(SUBSTITUTE($G431,"-",""))-1),"."," ",(LEN(SUBSTITUTE(SUBSTITUTE($G431,"-"," ",LEN($G431)-LEN(SUBSTITUTE($G431,"-",""))),"-"," ",LEN($G431)-LEN(SUBSTITUTE($G431,"-",""))-1))-LEN(SUBSTITUTE(SUBSTITUTE(SUBSTITUTE($G431,"-"," ",LEN($G431)-LEN(SUBSTITUTE($G431,"-",""))),"-"," ",LEN($G431)-LEN(SUBSTITUTE($G431,"-",""))-1),".",""))))),$G431)))</f>
        <v/>
      </c>
    </row>
    <row r="432">
      <c r="A432" s="58" t="n"/>
      <c r="B432" s="58">
        <f>IF($H432="","",LEFT($H432,FIND(" ",$H432&amp;" ")-1))</f>
        <v/>
      </c>
      <c r="C432" s="58">
        <f>IF($H432="","",IFERROR(MID($H432&amp;" ",FIND("|",SUBSTITUTE($H432&amp;" "," ","|",1))+1,FIND("|",SUBSTITUTE($H432&amp;" "," ","|",2))-FIND("|",SUBSTITUTE($H432&amp;" "," ","|",1))-1),""))</f>
        <v/>
      </c>
      <c r="D432" s="58">
        <f>IF($H432="","",IFERROR(MID($H432&amp;" ",FIND("|",SUBSTITUTE($H432&amp;" "," ","|",2))+1,FIND("|",SUBSTITUTE($H432&amp;" "," ","|",3))-FIND("|",SUBSTITUTE($H432&amp;" "," ","|",2))-1),""))</f>
        <v/>
      </c>
      <c r="E432" s="58">
        <f>IF($H432="","",IFERROR(MID($H432&amp;" ",FIND("|",SUBSTITUTE($H432&amp;" "," ","|",3))+1,FIND("|",SUBSTITUTE($H432&amp;" "," ","|",4))-FIND("|",SUBSTITUTE($H432&amp;" "," ","|",3))-1),""))</f>
        <v/>
      </c>
      <c r="F432" s="59">
        <f>IF($H432="","",IFERROR(VALUE(IFERROR(MID($H432&amp;" ",FIND("|",SUBSTITUTE($H432&amp;" "," ","|",4))+1,FIND("|",SUBSTITUTE($H432&amp;" "," ","|",5))-FIND("|",SUBSTITUTE($H432&amp;" "," ","|",4))-1),""))/86400+25569+9/24,""))</f>
        <v/>
      </c>
      <c r="G432" s="58">
        <f>TRIM(SUBSTITUTE(SUBSTITUTE(SUBSTITUTE($A432,CHAR(9)," ")," "," "),CHAR(13),""))</f>
        <v/>
      </c>
      <c r="H432" s="58">
        <f>IF($G432="","",IF(ISNUMBER(FIND(" ",$G432)),$G432,IFERROR(IF((LEN(SUBSTITUTE(SUBSTITUTE($G432,"-"," ",LEN($G432)-LEN(SUBSTITUTE($G432,"-",""))),"-"," ",LEN($G432)-LEN(SUBSTITUTE($G432,"-",""))-1))-LEN(SUBSTITUTE(SUBSTITUTE(SUBSTITUTE($G432,"-"," ",LEN($G432)-LEN(SUBSTITUTE($G432,"-",""))),"-"," ",LEN($G432)-LEN(SUBSTITUTE($G432,"-",""))-1),".","")))=0,SUBSTITUTE(SUBSTITUTE($G432,"-"," ",LEN($G432)-LEN(SUBSTITUTE($G432,"-",""))),"-"," ",LEN($G432)-LEN(SUBSTITUTE($G432,"-",""))-1),SUBSTITUTE(SUBSTITUTE(SUBSTITUTE($G432,"-"," ",LEN($G432)-LEN(SUBSTITUTE($G432,"-",""))),"-"," ",LEN($G432)-LEN(SUBSTITUTE($G432,"-",""))-1),"."," ",(LEN(SUBSTITUTE(SUBSTITUTE($G432,"-"," ",LEN($G432)-LEN(SUBSTITUTE($G432,"-",""))),"-"," ",LEN($G432)-LEN(SUBSTITUTE($G432,"-",""))-1))-LEN(SUBSTITUTE(SUBSTITUTE(SUBSTITUTE($G432,"-"," ",LEN($G432)-LEN(SUBSTITUTE($G432,"-",""))),"-"," ",LEN($G432)-LEN(SUBSTITUTE($G432,"-",""))-1),".",""))))),$G432)))</f>
        <v/>
      </c>
    </row>
    <row r="433">
      <c r="A433" s="58" t="n"/>
      <c r="B433" s="58">
        <f>IF($H433="","",LEFT($H433,FIND(" ",$H433&amp;" ")-1))</f>
        <v/>
      </c>
      <c r="C433" s="58">
        <f>IF($H433="","",IFERROR(MID($H433&amp;" ",FIND("|",SUBSTITUTE($H433&amp;" "," ","|",1))+1,FIND("|",SUBSTITUTE($H433&amp;" "," ","|",2))-FIND("|",SUBSTITUTE($H433&amp;" "," ","|",1))-1),""))</f>
        <v/>
      </c>
      <c r="D433" s="58">
        <f>IF($H433="","",IFERROR(MID($H433&amp;" ",FIND("|",SUBSTITUTE($H433&amp;" "," ","|",2))+1,FIND("|",SUBSTITUTE($H433&amp;" "," ","|",3))-FIND("|",SUBSTITUTE($H433&amp;" "," ","|",2))-1),""))</f>
        <v/>
      </c>
      <c r="E433" s="58">
        <f>IF($H433="","",IFERROR(MID($H433&amp;" ",FIND("|",SUBSTITUTE($H433&amp;" "," ","|",3))+1,FIND("|",SUBSTITUTE($H433&amp;" "," ","|",4))-FIND("|",SUBSTITUTE($H433&amp;" "," ","|",3))-1),""))</f>
        <v/>
      </c>
      <c r="F433" s="59">
        <f>IF($H433="","",IFERROR(VALUE(IFERROR(MID($H433&amp;" ",FIND("|",SUBSTITUTE($H433&amp;" "," ","|",4))+1,FIND("|",SUBSTITUTE($H433&amp;" "," ","|",5))-FIND("|",SUBSTITUTE($H433&amp;" "," ","|",4))-1),""))/86400+25569+9/24,""))</f>
        <v/>
      </c>
      <c r="G433" s="58">
        <f>TRIM(SUBSTITUTE(SUBSTITUTE(SUBSTITUTE($A433,CHAR(9)," ")," "," "),CHAR(13),""))</f>
        <v/>
      </c>
      <c r="H433" s="58">
        <f>IF($G433="","",IF(ISNUMBER(FIND(" ",$G433)),$G433,IFERROR(IF((LEN(SUBSTITUTE(SUBSTITUTE($G433,"-"," ",LEN($G433)-LEN(SUBSTITUTE($G433,"-",""))),"-"," ",LEN($G433)-LEN(SUBSTITUTE($G433,"-",""))-1))-LEN(SUBSTITUTE(SUBSTITUTE(SUBSTITUTE($G433,"-"," ",LEN($G433)-LEN(SUBSTITUTE($G433,"-",""))),"-"," ",LEN($G433)-LEN(SUBSTITUTE($G433,"-",""))-1),".","")))=0,SUBSTITUTE(SUBSTITUTE($G433,"-"," ",LEN($G433)-LEN(SUBSTITUTE($G433,"-",""))),"-"," ",LEN($G433)-LEN(SUBSTITUTE($G433,"-",""))-1),SUBSTITUTE(SUBSTITUTE(SUBSTITUTE($G433,"-"," ",LEN($G433)-LEN(SUBSTITUTE($G433,"-",""))),"-"," ",LEN($G433)-LEN(SUBSTITUTE($G433,"-",""))-1),"."," ",(LEN(SUBSTITUTE(SUBSTITUTE($G433,"-"," ",LEN($G433)-LEN(SUBSTITUTE($G433,"-",""))),"-"," ",LEN($G433)-LEN(SUBSTITUTE($G433,"-",""))-1))-LEN(SUBSTITUTE(SUBSTITUTE(SUBSTITUTE($G433,"-"," ",LEN($G433)-LEN(SUBSTITUTE($G433,"-",""))),"-"," ",LEN($G433)-LEN(SUBSTITUTE($G433,"-",""))-1),".",""))))),$G433)))</f>
        <v/>
      </c>
    </row>
    <row r="434">
      <c r="A434" s="58" t="n"/>
      <c r="B434" s="58">
        <f>IF($H434="","",LEFT($H434,FIND(" ",$H434&amp;" ")-1))</f>
        <v/>
      </c>
      <c r="C434" s="58">
        <f>IF($H434="","",IFERROR(MID($H434&amp;" ",FIND("|",SUBSTITUTE($H434&amp;" "," ","|",1))+1,FIND("|",SUBSTITUTE($H434&amp;" "," ","|",2))-FIND("|",SUBSTITUTE($H434&amp;" "," ","|",1))-1),""))</f>
        <v/>
      </c>
      <c r="D434" s="58">
        <f>IF($H434="","",IFERROR(MID($H434&amp;" ",FIND("|",SUBSTITUTE($H434&amp;" "," ","|",2))+1,FIND("|",SUBSTITUTE($H434&amp;" "," ","|",3))-FIND("|",SUBSTITUTE($H434&amp;" "," ","|",2))-1),""))</f>
        <v/>
      </c>
      <c r="E434" s="58">
        <f>IF($H434="","",IFERROR(MID($H434&amp;" ",FIND("|",SUBSTITUTE($H434&amp;" "," ","|",3))+1,FIND("|",SUBSTITUTE($H434&amp;" "," ","|",4))-FIND("|",SUBSTITUTE($H434&amp;" "," ","|",3))-1),""))</f>
        <v/>
      </c>
      <c r="F434" s="59">
        <f>IF($H434="","",IFERROR(VALUE(IFERROR(MID($H434&amp;" ",FIND("|",SUBSTITUTE($H434&amp;" "," ","|",4))+1,FIND("|",SUBSTITUTE($H434&amp;" "," ","|",5))-FIND("|",SUBSTITUTE($H434&amp;" "," ","|",4))-1),""))/86400+25569+9/24,""))</f>
        <v/>
      </c>
      <c r="G434" s="58">
        <f>TRIM(SUBSTITUTE(SUBSTITUTE(SUBSTITUTE($A434,CHAR(9)," ")," "," "),CHAR(13),""))</f>
        <v/>
      </c>
      <c r="H434" s="58">
        <f>IF($G434="","",IF(ISNUMBER(FIND(" ",$G434)),$G434,IFERROR(IF((LEN(SUBSTITUTE(SUBSTITUTE($G434,"-"," ",LEN($G434)-LEN(SUBSTITUTE($G434,"-",""))),"-"," ",LEN($G434)-LEN(SUBSTITUTE($G434,"-",""))-1))-LEN(SUBSTITUTE(SUBSTITUTE(SUBSTITUTE($G434,"-"," ",LEN($G434)-LEN(SUBSTITUTE($G434,"-",""))),"-"," ",LEN($G434)-LEN(SUBSTITUTE($G434,"-",""))-1),".","")))=0,SUBSTITUTE(SUBSTITUTE($G434,"-"," ",LEN($G434)-LEN(SUBSTITUTE($G434,"-",""))),"-"," ",LEN($G434)-LEN(SUBSTITUTE($G434,"-",""))-1),SUBSTITUTE(SUBSTITUTE(SUBSTITUTE($G434,"-"," ",LEN($G434)-LEN(SUBSTITUTE($G434,"-",""))),"-"," ",LEN($G434)-LEN(SUBSTITUTE($G434,"-",""))-1),"."," ",(LEN(SUBSTITUTE(SUBSTITUTE($G434,"-"," ",LEN($G434)-LEN(SUBSTITUTE($G434,"-",""))),"-"," ",LEN($G434)-LEN(SUBSTITUTE($G434,"-",""))-1))-LEN(SUBSTITUTE(SUBSTITUTE(SUBSTITUTE($G434,"-"," ",LEN($G434)-LEN(SUBSTITUTE($G434,"-",""))),"-"," ",LEN($G434)-LEN(SUBSTITUTE($G434,"-",""))-1),".",""))))),$G434)))</f>
        <v/>
      </c>
    </row>
    <row r="435">
      <c r="A435" s="58" t="n"/>
      <c r="B435" s="58">
        <f>IF($H435="","",LEFT($H435,FIND(" ",$H435&amp;" ")-1))</f>
        <v/>
      </c>
      <c r="C435" s="58">
        <f>IF($H435="","",IFERROR(MID($H435&amp;" ",FIND("|",SUBSTITUTE($H435&amp;" "," ","|",1))+1,FIND("|",SUBSTITUTE($H435&amp;" "," ","|",2))-FIND("|",SUBSTITUTE($H435&amp;" "," ","|",1))-1),""))</f>
        <v/>
      </c>
      <c r="D435" s="58">
        <f>IF($H435="","",IFERROR(MID($H435&amp;" ",FIND("|",SUBSTITUTE($H435&amp;" "," ","|",2))+1,FIND("|",SUBSTITUTE($H435&amp;" "," ","|",3))-FIND("|",SUBSTITUTE($H435&amp;" "," ","|",2))-1),""))</f>
        <v/>
      </c>
      <c r="E435" s="58">
        <f>IF($H435="","",IFERROR(MID($H435&amp;" ",FIND("|",SUBSTITUTE($H435&amp;" "," ","|",3))+1,FIND("|",SUBSTITUTE($H435&amp;" "," ","|",4))-FIND("|",SUBSTITUTE($H435&amp;" "," ","|",3))-1),""))</f>
        <v/>
      </c>
      <c r="F435" s="59">
        <f>IF($H435="","",IFERROR(VALUE(IFERROR(MID($H435&amp;" ",FIND("|",SUBSTITUTE($H435&amp;" "," ","|",4))+1,FIND("|",SUBSTITUTE($H435&amp;" "," ","|",5))-FIND("|",SUBSTITUTE($H435&amp;" "," ","|",4))-1),""))/86400+25569+9/24,""))</f>
        <v/>
      </c>
      <c r="G435" s="58">
        <f>TRIM(SUBSTITUTE(SUBSTITUTE(SUBSTITUTE($A435,CHAR(9)," ")," "," "),CHAR(13),""))</f>
        <v/>
      </c>
      <c r="H435" s="58">
        <f>IF($G435="","",IF(ISNUMBER(FIND(" ",$G435)),$G435,IFERROR(IF((LEN(SUBSTITUTE(SUBSTITUTE($G435,"-"," ",LEN($G435)-LEN(SUBSTITUTE($G435,"-",""))),"-"," ",LEN($G435)-LEN(SUBSTITUTE($G435,"-",""))-1))-LEN(SUBSTITUTE(SUBSTITUTE(SUBSTITUTE($G435,"-"," ",LEN($G435)-LEN(SUBSTITUTE($G435,"-",""))),"-"," ",LEN($G435)-LEN(SUBSTITUTE($G435,"-",""))-1),".","")))=0,SUBSTITUTE(SUBSTITUTE($G435,"-"," ",LEN($G435)-LEN(SUBSTITUTE($G435,"-",""))),"-"," ",LEN($G435)-LEN(SUBSTITUTE($G435,"-",""))-1),SUBSTITUTE(SUBSTITUTE(SUBSTITUTE($G435,"-"," ",LEN($G435)-LEN(SUBSTITUTE($G435,"-",""))),"-"," ",LEN($G435)-LEN(SUBSTITUTE($G435,"-",""))-1),"."," ",(LEN(SUBSTITUTE(SUBSTITUTE($G435,"-"," ",LEN($G435)-LEN(SUBSTITUTE($G435,"-",""))),"-"," ",LEN($G435)-LEN(SUBSTITUTE($G435,"-",""))-1))-LEN(SUBSTITUTE(SUBSTITUTE(SUBSTITUTE($G435,"-"," ",LEN($G435)-LEN(SUBSTITUTE($G435,"-",""))),"-"," ",LEN($G435)-LEN(SUBSTITUTE($G435,"-",""))-1),".",""))))),$G435)))</f>
        <v/>
      </c>
    </row>
    <row r="436">
      <c r="A436" s="58" t="n"/>
      <c r="B436" s="58">
        <f>IF($H436="","",LEFT($H436,FIND(" ",$H436&amp;" ")-1))</f>
        <v/>
      </c>
      <c r="C436" s="58">
        <f>IF($H436="","",IFERROR(MID($H436&amp;" ",FIND("|",SUBSTITUTE($H436&amp;" "," ","|",1))+1,FIND("|",SUBSTITUTE($H436&amp;" "," ","|",2))-FIND("|",SUBSTITUTE($H436&amp;" "," ","|",1))-1),""))</f>
        <v/>
      </c>
      <c r="D436" s="58">
        <f>IF($H436="","",IFERROR(MID($H436&amp;" ",FIND("|",SUBSTITUTE($H436&amp;" "," ","|",2))+1,FIND("|",SUBSTITUTE($H436&amp;" "," ","|",3))-FIND("|",SUBSTITUTE($H436&amp;" "," ","|",2))-1),""))</f>
        <v/>
      </c>
      <c r="E436" s="58">
        <f>IF($H436="","",IFERROR(MID($H436&amp;" ",FIND("|",SUBSTITUTE($H436&amp;" "," ","|",3))+1,FIND("|",SUBSTITUTE($H436&amp;" "," ","|",4))-FIND("|",SUBSTITUTE($H436&amp;" "," ","|",3))-1),""))</f>
        <v/>
      </c>
      <c r="F436" s="59">
        <f>IF($H436="","",IFERROR(VALUE(IFERROR(MID($H436&amp;" ",FIND("|",SUBSTITUTE($H436&amp;" "," ","|",4))+1,FIND("|",SUBSTITUTE($H436&amp;" "," ","|",5))-FIND("|",SUBSTITUTE($H436&amp;" "," ","|",4))-1),""))/86400+25569+9/24,""))</f>
        <v/>
      </c>
      <c r="G436" s="58">
        <f>TRIM(SUBSTITUTE(SUBSTITUTE(SUBSTITUTE($A436,CHAR(9)," ")," "," "),CHAR(13),""))</f>
        <v/>
      </c>
      <c r="H436" s="58">
        <f>IF($G436="","",IF(ISNUMBER(FIND(" ",$G436)),$G436,IFERROR(IF((LEN(SUBSTITUTE(SUBSTITUTE($G436,"-"," ",LEN($G436)-LEN(SUBSTITUTE($G436,"-",""))),"-"," ",LEN($G436)-LEN(SUBSTITUTE($G436,"-",""))-1))-LEN(SUBSTITUTE(SUBSTITUTE(SUBSTITUTE($G436,"-"," ",LEN($G436)-LEN(SUBSTITUTE($G436,"-",""))),"-"," ",LEN($G436)-LEN(SUBSTITUTE($G436,"-",""))-1),".","")))=0,SUBSTITUTE(SUBSTITUTE($G436,"-"," ",LEN($G436)-LEN(SUBSTITUTE($G436,"-",""))),"-"," ",LEN($G436)-LEN(SUBSTITUTE($G436,"-",""))-1),SUBSTITUTE(SUBSTITUTE(SUBSTITUTE($G436,"-"," ",LEN($G436)-LEN(SUBSTITUTE($G436,"-",""))),"-"," ",LEN($G436)-LEN(SUBSTITUTE($G436,"-",""))-1),"."," ",(LEN(SUBSTITUTE(SUBSTITUTE($G436,"-"," ",LEN($G436)-LEN(SUBSTITUTE($G436,"-",""))),"-"," ",LEN($G436)-LEN(SUBSTITUTE($G436,"-",""))-1))-LEN(SUBSTITUTE(SUBSTITUTE(SUBSTITUTE($G436,"-"," ",LEN($G436)-LEN(SUBSTITUTE($G436,"-",""))),"-"," ",LEN($G436)-LEN(SUBSTITUTE($G436,"-",""))-1),".",""))))),$G436)))</f>
        <v/>
      </c>
    </row>
    <row r="437">
      <c r="A437" s="58" t="n"/>
      <c r="B437" s="58">
        <f>IF($H437="","",LEFT($H437,FIND(" ",$H437&amp;" ")-1))</f>
        <v/>
      </c>
      <c r="C437" s="58">
        <f>IF($H437="","",IFERROR(MID($H437&amp;" ",FIND("|",SUBSTITUTE($H437&amp;" "," ","|",1))+1,FIND("|",SUBSTITUTE($H437&amp;" "," ","|",2))-FIND("|",SUBSTITUTE($H437&amp;" "," ","|",1))-1),""))</f>
        <v/>
      </c>
      <c r="D437" s="58">
        <f>IF($H437="","",IFERROR(MID($H437&amp;" ",FIND("|",SUBSTITUTE($H437&amp;" "," ","|",2))+1,FIND("|",SUBSTITUTE($H437&amp;" "," ","|",3))-FIND("|",SUBSTITUTE($H437&amp;" "," ","|",2))-1),""))</f>
        <v/>
      </c>
      <c r="E437" s="58">
        <f>IF($H437="","",IFERROR(MID($H437&amp;" ",FIND("|",SUBSTITUTE($H437&amp;" "," ","|",3))+1,FIND("|",SUBSTITUTE($H437&amp;" "," ","|",4))-FIND("|",SUBSTITUTE($H437&amp;" "," ","|",3))-1),""))</f>
        <v/>
      </c>
      <c r="F437" s="59">
        <f>IF($H437="","",IFERROR(VALUE(IFERROR(MID($H437&amp;" ",FIND("|",SUBSTITUTE($H437&amp;" "," ","|",4))+1,FIND("|",SUBSTITUTE($H437&amp;" "," ","|",5))-FIND("|",SUBSTITUTE($H437&amp;" "," ","|",4))-1),""))/86400+25569+9/24,""))</f>
        <v/>
      </c>
      <c r="G437" s="58">
        <f>TRIM(SUBSTITUTE(SUBSTITUTE(SUBSTITUTE($A437,CHAR(9)," ")," "," "),CHAR(13),""))</f>
        <v/>
      </c>
      <c r="H437" s="58">
        <f>IF($G437="","",IF(ISNUMBER(FIND(" ",$G437)),$G437,IFERROR(IF((LEN(SUBSTITUTE(SUBSTITUTE($G437,"-"," ",LEN($G437)-LEN(SUBSTITUTE($G437,"-",""))),"-"," ",LEN($G437)-LEN(SUBSTITUTE($G437,"-",""))-1))-LEN(SUBSTITUTE(SUBSTITUTE(SUBSTITUTE($G437,"-"," ",LEN($G437)-LEN(SUBSTITUTE($G437,"-",""))),"-"," ",LEN($G437)-LEN(SUBSTITUTE($G437,"-",""))-1),".","")))=0,SUBSTITUTE(SUBSTITUTE($G437,"-"," ",LEN($G437)-LEN(SUBSTITUTE($G437,"-",""))),"-"," ",LEN($G437)-LEN(SUBSTITUTE($G437,"-",""))-1),SUBSTITUTE(SUBSTITUTE(SUBSTITUTE($G437,"-"," ",LEN($G437)-LEN(SUBSTITUTE($G437,"-",""))),"-"," ",LEN($G437)-LEN(SUBSTITUTE($G437,"-",""))-1),"."," ",(LEN(SUBSTITUTE(SUBSTITUTE($G437,"-"," ",LEN($G437)-LEN(SUBSTITUTE($G437,"-",""))),"-"," ",LEN($G437)-LEN(SUBSTITUTE($G437,"-",""))-1))-LEN(SUBSTITUTE(SUBSTITUTE(SUBSTITUTE($G437,"-"," ",LEN($G437)-LEN(SUBSTITUTE($G437,"-",""))),"-"," ",LEN($G437)-LEN(SUBSTITUTE($G437,"-",""))-1),".",""))))),$G437)))</f>
        <v/>
      </c>
    </row>
    <row r="438">
      <c r="A438" s="58" t="n"/>
      <c r="B438" s="58">
        <f>IF($H438="","",LEFT($H438,FIND(" ",$H438&amp;" ")-1))</f>
        <v/>
      </c>
      <c r="C438" s="58">
        <f>IF($H438="","",IFERROR(MID($H438&amp;" ",FIND("|",SUBSTITUTE($H438&amp;" "," ","|",1))+1,FIND("|",SUBSTITUTE($H438&amp;" "," ","|",2))-FIND("|",SUBSTITUTE($H438&amp;" "," ","|",1))-1),""))</f>
        <v/>
      </c>
      <c r="D438" s="58">
        <f>IF($H438="","",IFERROR(MID($H438&amp;" ",FIND("|",SUBSTITUTE($H438&amp;" "," ","|",2))+1,FIND("|",SUBSTITUTE($H438&amp;" "," ","|",3))-FIND("|",SUBSTITUTE($H438&amp;" "," ","|",2))-1),""))</f>
        <v/>
      </c>
      <c r="E438" s="58">
        <f>IF($H438="","",IFERROR(MID($H438&amp;" ",FIND("|",SUBSTITUTE($H438&amp;" "," ","|",3))+1,FIND("|",SUBSTITUTE($H438&amp;" "," ","|",4))-FIND("|",SUBSTITUTE($H438&amp;" "," ","|",3))-1),""))</f>
        <v/>
      </c>
      <c r="F438" s="59">
        <f>IF($H438="","",IFERROR(VALUE(IFERROR(MID($H438&amp;" ",FIND("|",SUBSTITUTE($H438&amp;" "," ","|",4))+1,FIND("|",SUBSTITUTE($H438&amp;" "," ","|",5))-FIND("|",SUBSTITUTE($H438&amp;" "," ","|",4))-1),""))/86400+25569+9/24,""))</f>
        <v/>
      </c>
      <c r="G438" s="58">
        <f>TRIM(SUBSTITUTE(SUBSTITUTE(SUBSTITUTE($A438,CHAR(9)," ")," "," "),CHAR(13),""))</f>
        <v/>
      </c>
      <c r="H438" s="58">
        <f>IF($G438="","",IF(ISNUMBER(FIND(" ",$G438)),$G438,IFERROR(IF((LEN(SUBSTITUTE(SUBSTITUTE($G438,"-"," ",LEN($G438)-LEN(SUBSTITUTE($G438,"-",""))),"-"," ",LEN($G438)-LEN(SUBSTITUTE($G438,"-",""))-1))-LEN(SUBSTITUTE(SUBSTITUTE(SUBSTITUTE($G438,"-"," ",LEN($G438)-LEN(SUBSTITUTE($G438,"-",""))),"-"," ",LEN($G438)-LEN(SUBSTITUTE($G438,"-",""))-1),".","")))=0,SUBSTITUTE(SUBSTITUTE($G438,"-"," ",LEN($G438)-LEN(SUBSTITUTE($G438,"-",""))),"-"," ",LEN($G438)-LEN(SUBSTITUTE($G438,"-",""))-1),SUBSTITUTE(SUBSTITUTE(SUBSTITUTE($G438,"-"," ",LEN($G438)-LEN(SUBSTITUTE($G438,"-",""))),"-"," ",LEN($G438)-LEN(SUBSTITUTE($G438,"-",""))-1),"."," ",(LEN(SUBSTITUTE(SUBSTITUTE($G438,"-"," ",LEN($G438)-LEN(SUBSTITUTE($G438,"-",""))),"-"," ",LEN($G438)-LEN(SUBSTITUTE($G438,"-",""))-1))-LEN(SUBSTITUTE(SUBSTITUTE(SUBSTITUTE($G438,"-"," ",LEN($G438)-LEN(SUBSTITUTE($G438,"-",""))),"-"," ",LEN($G438)-LEN(SUBSTITUTE($G438,"-",""))-1),".",""))))),$G438)))</f>
        <v/>
      </c>
    </row>
    <row r="439">
      <c r="A439" s="58" t="n"/>
      <c r="B439" s="58">
        <f>IF($H439="","",LEFT($H439,FIND(" ",$H439&amp;" ")-1))</f>
        <v/>
      </c>
      <c r="C439" s="58">
        <f>IF($H439="","",IFERROR(MID($H439&amp;" ",FIND("|",SUBSTITUTE($H439&amp;" "," ","|",1))+1,FIND("|",SUBSTITUTE($H439&amp;" "," ","|",2))-FIND("|",SUBSTITUTE($H439&amp;" "," ","|",1))-1),""))</f>
        <v/>
      </c>
      <c r="D439" s="58">
        <f>IF($H439="","",IFERROR(MID($H439&amp;" ",FIND("|",SUBSTITUTE($H439&amp;" "," ","|",2))+1,FIND("|",SUBSTITUTE($H439&amp;" "," ","|",3))-FIND("|",SUBSTITUTE($H439&amp;" "," ","|",2))-1),""))</f>
        <v/>
      </c>
      <c r="E439" s="58">
        <f>IF($H439="","",IFERROR(MID($H439&amp;" ",FIND("|",SUBSTITUTE($H439&amp;" "," ","|",3))+1,FIND("|",SUBSTITUTE($H439&amp;" "," ","|",4))-FIND("|",SUBSTITUTE($H439&amp;" "," ","|",3))-1),""))</f>
        <v/>
      </c>
      <c r="F439" s="59">
        <f>IF($H439="","",IFERROR(VALUE(IFERROR(MID($H439&amp;" ",FIND("|",SUBSTITUTE($H439&amp;" "," ","|",4))+1,FIND("|",SUBSTITUTE($H439&amp;" "," ","|",5))-FIND("|",SUBSTITUTE($H439&amp;" "," ","|",4))-1),""))/86400+25569+9/24,""))</f>
        <v/>
      </c>
      <c r="G439" s="58">
        <f>TRIM(SUBSTITUTE(SUBSTITUTE(SUBSTITUTE($A439,CHAR(9)," ")," "," "),CHAR(13),""))</f>
        <v/>
      </c>
      <c r="H439" s="58">
        <f>IF($G439="","",IF(ISNUMBER(FIND(" ",$G439)),$G439,IFERROR(IF((LEN(SUBSTITUTE(SUBSTITUTE($G439,"-"," ",LEN($G439)-LEN(SUBSTITUTE($G439,"-",""))),"-"," ",LEN($G439)-LEN(SUBSTITUTE($G439,"-",""))-1))-LEN(SUBSTITUTE(SUBSTITUTE(SUBSTITUTE($G439,"-"," ",LEN($G439)-LEN(SUBSTITUTE($G439,"-",""))),"-"," ",LEN($G439)-LEN(SUBSTITUTE($G439,"-",""))-1),".","")))=0,SUBSTITUTE(SUBSTITUTE($G439,"-"," ",LEN($G439)-LEN(SUBSTITUTE($G439,"-",""))),"-"," ",LEN($G439)-LEN(SUBSTITUTE($G439,"-",""))-1),SUBSTITUTE(SUBSTITUTE(SUBSTITUTE($G439,"-"," ",LEN($G439)-LEN(SUBSTITUTE($G439,"-",""))),"-"," ",LEN($G439)-LEN(SUBSTITUTE($G439,"-",""))-1),"."," ",(LEN(SUBSTITUTE(SUBSTITUTE($G439,"-"," ",LEN($G439)-LEN(SUBSTITUTE($G439,"-",""))),"-"," ",LEN($G439)-LEN(SUBSTITUTE($G439,"-",""))-1))-LEN(SUBSTITUTE(SUBSTITUTE(SUBSTITUTE($G439,"-"," ",LEN($G439)-LEN(SUBSTITUTE($G439,"-",""))),"-"," ",LEN($G439)-LEN(SUBSTITUTE($G439,"-",""))-1),".",""))))),$G439)))</f>
        <v/>
      </c>
    </row>
    <row r="440">
      <c r="A440" s="58" t="n"/>
      <c r="B440" s="58">
        <f>IF($H440="","",LEFT($H440,FIND(" ",$H440&amp;" ")-1))</f>
        <v/>
      </c>
      <c r="C440" s="58">
        <f>IF($H440="","",IFERROR(MID($H440&amp;" ",FIND("|",SUBSTITUTE($H440&amp;" "," ","|",1))+1,FIND("|",SUBSTITUTE($H440&amp;" "," ","|",2))-FIND("|",SUBSTITUTE($H440&amp;" "," ","|",1))-1),""))</f>
        <v/>
      </c>
      <c r="D440" s="58">
        <f>IF($H440="","",IFERROR(MID($H440&amp;" ",FIND("|",SUBSTITUTE($H440&amp;" "," ","|",2))+1,FIND("|",SUBSTITUTE($H440&amp;" "," ","|",3))-FIND("|",SUBSTITUTE($H440&amp;" "," ","|",2))-1),""))</f>
        <v/>
      </c>
      <c r="E440" s="58">
        <f>IF($H440="","",IFERROR(MID($H440&amp;" ",FIND("|",SUBSTITUTE($H440&amp;" "," ","|",3))+1,FIND("|",SUBSTITUTE($H440&amp;" "," ","|",4))-FIND("|",SUBSTITUTE($H440&amp;" "," ","|",3))-1),""))</f>
        <v/>
      </c>
      <c r="F440" s="59">
        <f>IF($H440="","",IFERROR(VALUE(IFERROR(MID($H440&amp;" ",FIND("|",SUBSTITUTE($H440&amp;" "," ","|",4))+1,FIND("|",SUBSTITUTE($H440&amp;" "," ","|",5))-FIND("|",SUBSTITUTE($H440&amp;" "," ","|",4))-1),""))/86400+25569+9/24,""))</f>
        <v/>
      </c>
      <c r="G440" s="58">
        <f>TRIM(SUBSTITUTE(SUBSTITUTE(SUBSTITUTE($A440,CHAR(9)," ")," "," "),CHAR(13),""))</f>
        <v/>
      </c>
      <c r="H440" s="58">
        <f>IF($G440="","",IF(ISNUMBER(FIND(" ",$G440)),$G440,IFERROR(IF((LEN(SUBSTITUTE(SUBSTITUTE($G440,"-"," ",LEN($G440)-LEN(SUBSTITUTE($G440,"-",""))),"-"," ",LEN($G440)-LEN(SUBSTITUTE($G440,"-",""))-1))-LEN(SUBSTITUTE(SUBSTITUTE(SUBSTITUTE($G440,"-"," ",LEN($G440)-LEN(SUBSTITUTE($G440,"-",""))),"-"," ",LEN($G440)-LEN(SUBSTITUTE($G440,"-",""))-1),".","")))=0,SUBSTITUTE(SUBSTITUTE($G440,"-"," ",LEN($G440)-LEN(SUBSTITUTE($G440,"-",""))),"-"," ",LEN($G440)-LEN(SUBSTITUTE($G440,"-",""))-1),SUBSTITUTE(SUBSTITUTE(SUBSTITUTE($G440,"-"," ",LEN($G440)-LEN(SUBSTITUTE($G440,"-",""))),"-"," ",LEN($G440)-LEN(SUBSTITUTE($G440,"-",""))-1),"."," ",(LEN(SUBSTITUTE(SUBSTITUTE($G440,"-"," ",LEN($G440)-LEN(SUBSTITUTE($G440,"-",""))),"-"," ",LEN($G440)-LEN(SUBSTITUTE($G440,"-",""))-1))-LEN(SUBSTITUTE(SUBSTITUTE(SUBSTITUTE($G440,"-"," ",LEN($G440)-LEN(SUBSTITUTE($G440,"-",""))),"-"," ",LEN($G440)-LEN(SUBSTITUTE($G440,"-",""))-1),".",""))))),$G440)))</f>
        <v/>
      </c>
    </row>
    <row r="441">
      <c r="A441" s="58" t="n"/>
      <c r="B441" s="58">
        <f>IF($H441="","",LEFT($H441,FIND(" ",$H441&amp;" ")-1))</f>
        <v/>
      </c>
      <c r="C441" s="58">
        <f>IF($H441="","",IFERROR(MID($H441&amp;" ",FIND("|",SUBSTITUTE($H441&amp;" "," ","|",1))+1,FIND("|",SUBSTITUTE($H441&amp;" "," ","|",2))-FIND("|",SUBSTITUTE($H441&amp;" "," ","|",1))-1),""))</f>
        <v/>
      </c>
      <c r="D441" s="58">
        <f>IF($H441="","",IFERROR(MID($H441&amp;" ",FIND("|",SUBSTITUTE($H441&amp;" "," ","|",2))+1,FIND("|",SUBSTITUTE($H441&amp;" "," ","|",3))-FIND("|",SUBSTITUTE($H441&amp;" "," ","|",2))-1),""))</f>
        <v/>
      </c>
      <c r="E441" s="58">
        <f>IF($H441="","",IFERROR(MID($H441&amp;" ",FIND("|",SUBSTITUTE($H441&amp;" "," ","|",3))+1,FIND("|",SUBSTITUTE($H441&amp;" "," ","|",4))-FIND("|",SUBSTITUTE($H441&amp;" "," ","|",3))-1),""))</f>
        <v/>
      </c>
      <c r="F441" s="59">
        <f>IF($H441="","",IFERROR(VALUE(IFERROR(MID($H441&amp;" ",FIND("|",SUBSTITUTE($H441&amp;" "," ","|",4))+1,FIND("|",SUBSTITUTE($H441&amp;" "," ","|",5))-FIND("|",SUBSTITUTE($H441&amp;" "," ","|",4))-1),""))/86400+25569+9/24,""))</f>
        <v/>
      </c>
      <c r="G441" s="58">
        <f>TRIM(SUBSTITUTE(SUBSTITUTE(SUBSTITUTE($A441,CHAR(9)," ")," "," "),CHAR(13),""))</f>
        <v/>
      </c>
      <c r="H441" s="58">
        <f>IF($G441="","",IF(ISNUMBER(FIND(" ",$G441)),$G441,IFERROR(IF((LEN(SUBSTITUTE(SUBSTITUTE($G441,"-"," ",LEN($G441)-LEN(SUBSTITUTE($G441,"-",""))),"-"," ",LEN($G441)-LEN(SUBSTITUTE($G441,"-",""))-1))-LEN(SUBSTITUTE(SUBSTITUTE(SUBSTITUTE($G441,"-"," ",LEN($G441)-LEN(SUBSTITUTE($G441,"-",""))),"-"," ",LEN($G441)-LEN(SUBSTITUTE($G441,"-",""))-1),".","")))=0,SUBSTITUTE(SUBSTITUTE($G441,"-"," ",LEN($G441)-LEN(SUBSTITUTE($G441,"-",""))),"-"," ",LEN($G441)-LEN(SUBSTITUTE($G441,"-",""))-1),SUBSTITUTE(SUBSTITUTE(SUBSTITUTE($G441,"-"," ",LEN($G441)-LEN(SUBSTITUTE($G441,"-",""))),"-"," ",LEN($G441)-LEN(SUBSTITUTE($G441,"-",""))-1),"."," ",(LEN(SUBSTITUTE(SUBSTITUTE($G441,"-"," ",LEN($G441)-LEN(SUBSTITUTE($G441,"-",""))),"-"," ",LEN($G441)-LEN(SUBSTITUTE($G441,"-",""))-1))-LEN(SUBSTITUTE(SUBSTITUTE(SUBSTITUTE($G441,"-"," ",LEN($G441)-LEN(SUBSTITUTE($G441,"-",""))),"-"," ",LEN($G441)-LEN(SUBSTITUTE($G441,"-",""))-1),".",""))))),$G441)))</f>
        <v/>
      </c>
    </row>
    <row r="442">
      <c r="A442" s="58" t="n"/>
      <c r="B442" s="58">
        <f>IF($H442="","",LEFT($H442,FIND(" ",$H442&amp;" ")-1))</f>
        <v/>
      </c>
      <c r="C442" s="58">
        <f>IF($H442="","",IFERROR(MID($H442&amp;" ",FIND("|",SUBSTITUTE($H442&amp;" "," ","|",1))+1,FIND("|",SUBSTITUTE($H442&amp;" "," ","|",2))-FIND("|",SUBSTITUTE($H442&amp;" "," ","|",1))-1),""))</f>
        <v/>
      </c>
      <c r="D442" s="58">
        <f>IF($H442="","",IFERROR(MID($H442&amp;" ",FIND("|",SUBSTITUTE($H442&amp;" "," ","|",2))+1,FIND("|",SUBSTITUTE($H442&amp;" "," ","|",3))-FIND("|",SUBSTITUTE($H442&amp;" "," ","|",2))-1),""))</f>
        <v/>
      </c>
      <c r="E442" s="58">
        <f>IF($H442="","",IFERROR(MID($H442&amp;" ",FIND("|",SUBSTITUTE($H442&amp;" "," ","|",3))+1,FIND("|",SUBSTITUTE($H442&amp;" "," ","|",4))-FIND("|",SUBSTITUTE($H442&amp;" "," ","|",3))-1),""))</f>
        <v/>
      </c>
      <c r="F442" s="59">
        <f>IF($H442="","",IFERROR(VALUE(IFERROR(MID($H442&amp;" ",FIND("|",SUBSTITUTE($H442&amp;" "," ","|",4))+1,FIND("|",SUBSTITUTE($H442&amp;" "," ","|",5))-FIND("|",SUBSTITUTE($H442&amp;" "," ","|",4))-1),""))/86400+25569+9/24,""))</f>
        <v/>
      </c>
      <c r="G442" s="58">
        <f>TRIM(SUBSTITUTE(SUBSTITUTE(SUBSTITUTE($A442,CHAR(9)," ")," "," "),CHAR(13),""))</f>
        <v/>
      </c>
      <c r="H442" s="58">
        <f>IF($G442="","",IF(ISNUMBER(FIND(" ",$G442)),$G442,IFERROR(IF((LEN(SUBSTITUTE(SUBSTITUTE($G442,"-"," ",LEN($G442)-LEN(SUBSTITUTE($G442,"-",""))),"-"," ",LEN($G442)-LEN(SUBSTITUTE($G442,"-",""))-1))-LEN(SUBSTITUTE(SUBSTITUTE(SUBSTITUTE($G442,"-"," ",LEN($G442)-LEN(SUBSTITUTE($G442,"-",""))),"-"," ",LEN($G442)-LEN(SUBSTITUTE($G442,"-",""))-1),".","")))=0,SUBSTITUTE(SUBSTITUTE($G442,"-"," ",LEN($G442)-LEN(SUBSTITUTE($G442,"-",""))),"-"," ",LEN($G442)-LEN(SUBSTITUTE($G442,"-",""))-1),SUBSTITUTE(SUBSTITUTE(SUBSTITUTE($G442,"-"," ",LEN($G442)-LEN(SUBSTITUTE($G442,"-",""))),"-"," ",LEN($G442)-LEN(SUBSTITUTE($G442,"-",""))-1),"."," ",(LEN(SUBSTITUTE(SUBSTITUTE($G442,"-"," ",LEN($G442)-LEN(SUBSTITUTE($G442,"-",""))),"-"," ",LEN($G442)-LEN(SUBSTITUTE($G442,"-",""))-1))-LEN(SUBSTITUTE(SUBSTITUTE(SUBSTITUTE($G442,"-"," ",LEN($G442)-LEN(SUBSTITUTE($G442,"-",""))),"-"," ",LEN($G442)-LEN(SUBSTITUTE($G442,"-",""))-1),".",""))))),$G442)))</f>
        <v/>
      </c>
    </row>
    <row r="443">
      <c r="A443" s="58" t="n"/>
      <c r="B443" s="58">
        <f>IF($H443="","",LEFT($H443,FIND(" ",$H443&amp;" ")-1))</f>
        <v/>
      </c>
      <c r="C443" s="58">
        <f>IF($H443="","",IFERROR(MID($H443&amp;" ",FIND("|",SUBSTITUTE($H443&amp;" "," ","|",1))+1,FIND("|",SUBSTITUTE($H443&amp;" "," ","|",2))-FIND("|",SUBSTITUTE($H443&amp;" "," ","|",1))-1),""))</f>
        <v/>
      </c>
      <c r="D443" s="58">
        <f>IF($H443="","",IFERROR(MID($H443&amp;" ",FIND("|",SUBSTITUTE($H443&amp;" "," ","|",2))+1,FIND("|",SUBSTITUTE($H443&amp;" "," ","|",3))-FIND("|",SUBSTITUTE($H443&amp;" "," ","|",2))-1),""))</f>
        <v/>
      </c>
      <c r="E443" s="58">
        <f>IF($H443="","",IFERROR(MID($H443&amp;" ",FIND("|",SUBSTITUTE($H443&amp;" "," ","|",3))+1,FIND("|",SUBSTITUTE($H443&amp;" "," ","|",4))-FIND("|",SUBSTITUTE($H443&amp;" "," ","|",3))-1),""))</f>
        <v/>
      </c>
      <c r="F443" s="59">
        <f>IF($H443="","",IFERROR(VALUE(IFERROR(MID($H443&amp;" ",FIND("|",SUBSTITUTE($H443&amp;" "," ","|",4))+1,FIND("|",SUBSTITUTE($H443&amp;" "," ","|",5))-FIND("|",SUBSTITUTE($H443&amp;" "," ","|",4))-1),""))/86400+25569+9/24,""))</f>
        <v/>
      </c>
      <c r="G443" s="58">
        <f>TRIM(SUBSTITUTE(SUBSTITUTE(SUBSTITUTE($A443,CHAR(9)," ")," "," "),CHAR(13),""))</f>
        <v/>
      </c>
      <c r="H443" s="58">
        <f>IF($G443="","",IF(ISNUMBER(FIND(" ",$G443)),$G443,IFERROR(IF((LEN(SUBSTITUTE(SUBSTITUTE($G443,"-"," ",LEN($G443)-LEN(SUBSTITUTE($G443,"-",""))),"-"," ",LEN($G443)-LEN(SUBSTITUTE($G443,"-",""))-1))-LEN(SUBSTITUTE(SUBSTITUTE(SUBSTITUTE($G443,"-"," ",LEN($G443)-LEN(SUBSTITUTE($G443,"-",""))),"-"," ",LEN($G443)-LEN(SUBSTITUTE($G443,"-",""))-1),".","")))=0,SUBSTITUTE(SUBSTITUTE($G443,"-"," ",LEN($G443)-LEN(SUBSTITUTE($G443,"-",""))),"-"," ",LEN($G443)-LEN(SUBSTITUTE($G443,"-",""))-1),SUBSTITUTE(SUBSTITUTE(SUBSTITUTE($G443,"-"," ",LEN($G443)-LEN(SUBSTITUTE($G443,"-",""))),"-"," ",LEN($G443)-LEN(SUBSTITUTE($G443,"-",""))-1),"."," ",(LEN(SUBSTITUTE(SUBSTITUTE($G443,"-"," ",LEN($G443)-LEN(SUBSTITUTE($G443,"-",""))),"-"," ",LEN($G443)-LEN(SUBSTITUTE($G443,"-",""))-1))-LEN(SUBSTITUTE(SUBSTITUTE(SUBSTITUTE($G443,"-"," ",LEN($G443)-LEN(SUBSTITUTE($G443,"-",""))),"-"," ",LEN($G443)-LEN(SUBSTITUTE($G443,"-",""))-1),".",""))))),$G443)))</f>
        <v/>
      </c>
    </row>
    <row r="444">
      <c r="A444" s="58" t="n"/>
      <c r="B444" s="58">
        <f>IF($H444="","",LEFT($H444,FIND(" ",$H444&amp;" ")-1))</f>
        <v/>
      </c>
      <c r="C444" s="58">
        <f>IF($H444="","",IFERROR(MID($H444&amp;" ",FIND("|",SUBSTITUTE($H444&amp;" "," ","|",1))+1,FIND("|",SUBSTITUTE($H444&amp;" "," ","|",2))-FIND("|",SUBSTITUTE($H444&amp;" "," ","|",1))-1),""))</f>
        <v/>
      </c>
      <c r="D444" s="58">
        <f>IF($H444="","",IFERROR(MID($H444&amp;" ",FIND("|",SUBSTITUTE($H444&amp;" "," ","|",2))+1,FIND("|",SUBSTITUTE($H444&amp;" "," ","|",3))-FIND("|",SUBSTITUTE($H444&amp;" "," ","|",2))-1),""))</f>
        <v/>
      </c>
      <c r="E444" s="58">
        <f>IF($H444="","",IFERROR(MID($H444&amp;" ",FIND("|",SUBSTITUTE($H444&amp;" "," ","|",3))+1,FIND("|",SUBSTITUTE($H444&amp;" "," ","|",4))-FIND("|",SUBSTITUTE($H444&amp;" "," ","|",3))-1),""))</f>
        <v/>
      </c>
      <c r="F444" s="59">
        <f>IF($H444="","",IFERROR(VALUE(IFERROR(MID($H444&amp;" ",FIND("|",SUBSTITUTE($H444&amp;" "," ","|",4))+1,FIND("|",SUBSTITUTE($H444&amp;" "," ","|",5))-FIND("|",SUBSTITUTE($H444&amp;" "," ","|",4))-1),""))/86400+25569+9/24,""))</f>
        <v/>
      </c>
      <c r="G444" s="58">
        <f>TRIM(SUBSTITUTE(SUBSTITUTE(SUBSTITUTE($A444,CHAR(9)," ")," "," "),CHAR(13),""))</f>
        <v/>
      </c>
      <c r="H444" s="58">
        <f>IF($G444="","",IF(ISNUMBER(FIND(" ",$G444)),$G444,IFERROR(IF((LEN(SUBSTITUTE(SUBSTITUTE($G444,"-"," ",LEN($G444)-LEN(SUBSTITUTE($G444,"-",""))),"-"," ",LEN($G444)-LEN(SUBSTITUTE($G444,"-",""))-1))-LEN(SUBSTITUTE(SUBSTITUTE(SUBSTITUTE($G444,"-"," ",LEN($G444)-LEN(SUBSTITUTE($G444,"-",""))),"-"," ",LEN($G444)-LEN(SUBSTITUTE($G444,"-",""))-1),".","")))=0,SUBSTITUTE(SUBSTITUTE($G444,"-"," ",LEN($G444)-LEN(SUBSTITUTE($G444,"-",""))),"-"," ",LEN($G444)-LEN(SUBSTITUTE($G444,"-",""))-1),SUBSTITUTE(SUBSTITUTE(SUBSTITUTE($G444,"-"," ",LEN($G444)-LEN(SUBSTITUTE($G444,"-",""))),"-"," ",LEN($G444)-LEN(SUBSTITUTE($G444,"-",""))-1),"."," ",(LEN(SUBSTITUTE(SUBSTITUTE($G444,"-"," ",LEN($G444)-LEN(SUBSTITUTE($G444,"-",""))),"-"," ",LEN($G444)-LEN(SUBSTITUTE($G444,"-",""))-1))-LEN(SUBSTITUTE(SUBSTITUTE(SUBSTITUTE($G444,"-"," ",LEN($G444)-LEN(SUBSTITUTE($G444,"-",""))),"-"," ",LEN($G444)-LEN(SUBSTITUTE($G444,"-",""))-1),".",""))))),$G444)))</f>
        <v/>
      </c>
    </row>
    <row r="445">
      <c r="A445" s="58" t="n"/>
      <c r="B445" s="58">
        <f>IF($H445="","",LEFT($H445,FIND(" ",$H445&amp;" ")-1))</f>
        <v/>
      </c>
      <c r="C445" s="58">
        <f>IF($H445="","",IFERROR(MID($H445&amp;" ",FIND("|",SUBSTITUTE($H445&amp;" "," ","|",1))+1,FIND("|",SUBSTITUTE($H445&amp;" "," ","|",2))-FIND("|",SUBSTITUTE($H445&amp;" "," ","|",1))-1),""))</f>
        <v/>
      </c>
      <c r="D445" s="58">
        <f>IF($H445="","",IFERROR(MID($H445&amp;" ",FIND("|",SUBSTITUTE($H445&amp;" "," ","|",2))+1,FIND("|",SUBSTITUTE($H445&amp;" "," ","|",3))-FIND("|",SUBSTITUTE($H445&amp;" "," ","|",2))-1),""))</f>
        <v/>
      </c>
      <c r="E445" s="58">
        <f>IF($H445="","",IFERROR(MID($H445&amp;" ",FIND("|",SUBSTITUTE($H445&amp;" "," ","|",3))+1,FIND("|",SUBSTITUTE($H445&amp;" "," ","|",4))-FIND("|",SUBSTITUTE($H445&amp;" "," ","|",3))-1),""))</f>
        <v/>
      </c>
      <c r="F445" s="59">
        <f>IF($H445="","",IFERROR(VALUE(IFERROR(MID($H445&amp;" ",FIND("|",SUBSTITUTE($H445&amp;" "," ","|",4))+1,FIND("|",SUBSTITUTE($H445&amp;" "," ","|",5))-FIND("|",SUBSTITUTE($H445&amp;" "," ","|",4))-1),""))/86400+25569+9/24,""))</f>
        <v/>
      </c>
      <c r="G445" s="58">
        <f>TRIM(SUBSTITUTE(SUBSTITUTE(SUBSTITUTE($A445,CHAR(9)," ")," "," "),CHAR(13),""))</f>
        <v/>
      </c>
      <c r="H445" s="58">
        <f>IF($G445="","",IF(ISNUMBER(FIND(" ",$G445)),$G445,IFERROR(IF((LEN(SUBSTITUTE(SUBSTITUTE($G445,"-"," ",LEN($G445)-LEN(SUBSTITUTE($G445,"-",""))),"-"," ",LEN($G445)-LEN(SUBSTITUTE($G445,"-",""))-1))-LEN(SUBSTITUTE(SUBSTITUTE(SUBSTITUTE($G445,"-"," ",LEN($G445)-LEN(SUBSTITUTE($G445,"-",""))),"-"," ",LEN($G445)-LEN(SUBSTITUTE($G445,"-",""))-1),".","")))=0,SUBSTITUTE(SUBSTITUTE($G445,"-"," ",LEN($G445)-LEN(SUBSTITUTE($G445,"-",""))),"-"," ",LEN($G445)-LEN(SUBSTITUTE($G445,"-",""))-1),SUBSTITUTE(SUBSTITUTE(SUBSTITUTE($G445,"-"," ",LEN($G445)-LEN(SUBSTITUTE($G445,"-",""))),"-"," ",LEN($G445)-LEN(SUBSTITUTE($G445,"-",""))-1),"."," ",(LEN(SUBSTITUTE(SUBSTITUTE($G445,"-"," ",LEN($G445)-LEN(SUBSTITUTE($G445,"-",""))),"-"," ",LEN($G445)-LEN(SUBSTITUTE($G445,"-",""))-1))-LEN(SUBSTITUTE(SUBSTITUTE(SUBSTITUTE($G445,"-"," ",LEN($G445)-LEN(SUBSTITUTE($G445,"-",""))),"-"," ",LEN($G445)-LEN(SUBSTITUTE($G445,"-",""))-1),".",""))))),$G445)))</f>
        <v/>
      </c>
    </row>
    <row r="446">
      <c r="A446" s="58" t="n"/>
      <c r="B446" s="58">
        <f>IF($H446="","",LEFT($H446,FIND(" ",$H446&amp;" ")-1))</f>
        <v/>
      </c>
      <c r="C446" s="58">
        <f>IF($H446="","",IFERROR(MID($H446&amp;" ",FIND("|",SUBSTITUTE($H446&amp;" "," ","|",1))+1,FIND("|",SUBSTITUTE($H446&amp;" "," ","|",2))-FIND("|",SUBSTITUTE($H446&amp;" "," ","|",1))-1),""))</f>
        <v/>
      </c>
      <c r="D446" s="58">
        <f>IF($H446="","",IFERROR(MID($H446&amp;" ",FIND("|",SUBSTITUTE($H446&amp;" "," ","|",2))+1,FIND("|",SUBSTITUTE($H446&amp;" "," ","|",3))-FIND("|",SUBSTITUTE($H446&amp;" "," ","|",2))-1),""))</f>
        <v/>
      </c>
      <c r="E446" s="58">
        <f>IF($H446="","",IFERROR(MID($H446&amp;" ",FIND("|",SUBSTITUTE($H446&amp;" "," ","|",3))+1,FIND("|",SUBSTITUTE($H446&amp;" "," ","|",4))-FIND("|",SUBSTITUTE($H446&amp;" "," ","|",3))-1),""))</f>
        <v/>
      </c>
      <c r="F446" s="59">
        <f>IF($H446="","",IFERROR(VALUE(IFERROR(MID($H446&amp;" ",FIND("|",SUBSTITUTE($H446&amp;" "," ","|",4))+1,FIND("|",SUBSTITUTE($H446&amp;" "," ","|",5))-FIND("|",SUBSTITUTE($H446&amp;" "," ","|",4))-1),""))/86400+25569+9/24,""))</f>
        <v/>
      </c>
      <c r="G446" s="58">
        <f>TRIM(SUBSTITUTE(SUBSTITUTE(SUBSTITUTE($A446,CHAR(9)," ")," "," "),CHAR(13),""))</f>
        <v/>
      </c>
      <c r="H446" s="58">
        <f>IF($G446="","",IF(ISNUMBER(FIND(" ",$G446)),$G446,IFERROR(IF((LEN(SUBSTITUTE(SUBSTITUTE($G446,"-"," ",LEN($G446)-LEN(SUBSTITUTE($G446,"-",""))),"-"," ",LEN($G446)-LEN(SUBSTITUTE($G446,"-",""))-1))-LEN(SUBSTITUTE(SUBSTITUTE(SUBSTITUTE($G446,"-"," ",LEN($G446)-LEN(SUBSTITUTE($G446,"-",""))),"-"," ",LEN($G446)-LEN(SUBSTITUTE($G446,"-",""))-1),".","")))=0,SUBSTITUTE(SUBSTITUTE($G446,"-"," ",LEN($G446)-LEN(SUBSTITUTE($G446,"-",""))),"-"," ",LEN($G446)-LEN(SUBSTITUTE($G446,"-",""))-1),SUBSTITUTE(SUBSTITUTE(SUBSTITUTE($G446,"-"," ",LEN($G446)-LEN(SUBSTITUTE($G446,"-",""))),"-"," ",LEN($G446)-LEN(SUBSTITUTE($G446,"-",""))-1),"."," ",(LEN(SUBSTITUTE(SUBSTITUTE($G446,"-"," ",LEN($G446)-LEN(SUBSTITUTE($G446,"-",""))),"-"," ",LEN($G446)-LEN(SUBSTITUTE($G446,"-",""))-1))-LEN(SUBSTITUTE(SUBSTITUTE(SUBSTITUTE($G446,"-"," ",LEN($G446)-LEN(SUBSTITUTE($G446,"-",""))),"-"," ",LEN($G446)-LEN(SUBSTITUTE($G446,"-",""))-1),".",""))))),$G446)))</f>
        <v/>
      </c>
    </row>
    <row r="447">
      <c r="A447" s="58" t="n"/>
      <c r="B447" s="58">
        <f>IF($H447="","",LEFT($H447,FIND(" ",$H447&amp;" ")-1))</f>
        <v/>
      </c>
      <c r="C447" s="58">
        <f>IF($H447="","",IFERROR(MID($H447&amp;" ",FIND("|",SUBSTITUTE($H447&amp;" "," ","|",1))+1,FIND("|",SUBSTITUTE($H447&amp;" "," ","|",2))-FIND("|",SUBSTITUTE($H447&amp;" "," ","|",1))-1),""))</f>
        <v/>
      </c>
      <c r="D447" s="58">
        <f>IF($H447="","",IFERROR(MID($H447&amp;" ",FIND("|",SUBSTITUTE($H447&amp;" "," ","|",2))+1,FIND("|",SUBSTITUTE($H447&amp;" "," ","|",3))-FIND("|",SUBSTITUTE($H447&amp;" "," ","|",2))-1),""))</f>
        <v/>
      </c>
      <c r="E447" s="58">
        <f>IF($H447="","",IFERROR(MID($H447&amp;" ",FIND("|",SUBSTITUTE($H447&amp;" "," ","|",3))+1,FIND("|",SUBSTITUTE($H447&amp;" "," ","|",4))-FIND("|",SUBSTITUTE($H447&amp;" "," ","|",3))-1),""))</f>
        <v/>
      </c>
      <c r="F447" s="59">
        <f>IF($H447="","",IFERROR(VALUE(IFERROR(MID($H447&amp;" ",FIND("|",SUBSTITUTE($H447&amp;" "," ","|",4))+1,FIND("|",SUBSTITUTE($H447&amp;" "," ","|",5))-FIND("|",SUBSTITUTE($H447&amp;" "," ","|",4))-1),""))/86400+25569+9/24,""))</f>
        <v/>
      </c>
      <c r="G447" s="58">
        <f>TRIM(SUBSTITUTE(SUBSTITUTE(SUBSTITUTE($A447,CHAR(9)," ")," "," "),CHAR(13),""))</f>
        <v/>
      </c>
      <c r="H447" s="58">
        <f>IF($G447="","",IF(ISNUMBER(FIND(" ",$G447)),$G447,IFERROR(IF((LEN(SUBSTITUTE(SUBSTITUTE($G447,"-"," ",LEN($G447)-LEN(SUBSTITUTE($G447,"-",""))),"-"," ",LEN($G447)-LEN(SUBSTITUTE($G447,"-",""))-1))-LEN(SUBSTITUTE(SUBSTITUTE(SUBSTITUTE($G447,"-"," ",LEN($G447)-LEN(SUBSTITUTE($G447,"-",""))),"-"," ",LEN($G447)-LEN(SUBSTITUTE($G447,"-",""))-1),".","")))=0,SUBSTITUTE(SUBSTITUTE($G447,"-"," ",LEN($G447)-LEN(SUBSTITUTE($G447,"-",""))),"-"," ",LEN($G447)-LEN(SUBSTITUTE($G447,"-",""))-1),SUBSTITUTE(SUBSTITUTE(SUBSTITUTE($G447,"-"," ",LEN($G447)-LEN(SUBSTITUTE($G447,"-",""))),"-"," ",LEN($G447)-LEN(SUBSTITUTE($G447,"-",""))-1),"."," ",(LEN(SUBSTITUTE(SUBSTITUTE($G447,"-"," ",LEN($G447)-LEN(SUBSTITUTE($G447,"-",""))),"-"," ",LEN($G447)-LEN(SUBSTITUTE($G447,"-",""))-1))-LEN(SUBSTITUTE(SUBSTITUTE(SUBSTITUTE($G447,"-"," ",LEN($G447)-LEN(SUBSTITUTE($G447,"-",""))),"-"," ",LEN($G447)-LEN(SUBSTITUTE($G447,"-",""))-1),".",""))))),$G447)))</f>
        <v/>
      </c>
    </row>
    <row r="448">
      <c r="A448" s="58" t="n"/>
      <c r="B448" s="58">
        <f>IF($H448="","",LEFT($H448,FIND(" ",$H448&amp;" ")-1))</f>
        <v/>
      </c>
      <c r="C448" s="58">
        <f>IF($H448="","",IFERROR(MID($H448&amp;" ",FIND("|",SUBSTITUTE($H448&amp;" "," ","|",1))+1,FIND("|",SUBSTITUTE($H448&amp;" "," ","|",2))-FIND("|",SUBSTITUTE($H448&amp;" "," ","|",1))-1),""))</f>
        <v/>
      </c>
      <c r="D448" s="58">
        <f>IF($H448="","",IFERROR(MID($H448&amp;" ",FIND("|",SUBSTITUTE($H448&amp;" "," ","|",2))+1,FIND("|",SUBSTITUTE($H448&amp;" "," ","|",3))-FIND("|",SUBSTITUTE($H448&amp;" "," ","|",2))-1),""))</f>
        <v/>
      </c>
      <c r="E448" s="58">
        <f>IF($H448="","",IFERROR(MID($H448&amp;" ",FIND("|",SUBSTITUTE($H448&amp;" "," ","|",3))+1,FIND("|",SUBSTITUTE($H448&amp;" "," ","|",4))-FIND("|",SUBSTITUTE($H448&amp;" "," ","|",3))-1),""))</f>
        <v/>
      </c>
      <c r="F448" s="59">
        <f>IF($H448="","",IFERROR(VALUE(IFERROR(MID($H448&amp;" ",FIND("|",SUBSTITUTE($H448&amp;" "," ","|",4))+1,FIND("|",SUBSTITUTE($H448&amp;" "," ","|",5))-FIND("|",SUBSTITUTE($H448&amp;" "," ","|",4))-1),""))/86400+25569+9/24,""))</f>
        <v/>
      </c>
      <c r="G448" s="58">
        <f>TRIM(SUBSTITUTE(SUBSTITUTE(SUBSTITUTE($A448,CHAR(9)," ")," "," "),CHAR(13),""))</f>
        <v/>
      </c>
      <c r="H448" s="58">
        <f>IF($G448="","",IF(ISNUMBER(FIND(" ",$G448)),$G448,IFERROR(IF((LEN(SUBSTITUTE(SUBSTITUTE($G448,"-"," ",LEN($G448)-LEN(SUBSTITUTE($G448,"-",""))),"-"," ",LEN($G448)-LEN(SUBSTITUTE($G448,"-",""))-1))-LEN(SUBSTITUTE(SUBSTITUTE(SUBSTITUTE($G448,"-"," ",LEN($G448)-LEN(SUBSTITUTE($G448,"-",""))),"-"," ",LEN($G448)-LEN(SUBSTITUTE($G448,"-",""))-1),".","")))=0,SUBSTITUTE(SUBSTITUTE($G448,"-"," ",LEN($G448)-LEN(SUBSTITUTE($G448,"-",""))),"-"," ",LEN($G448)-LEN(SUBSTITUTE($G448,"-",""))-1),SUBSTITUTE(SUBSTITUTE(SUBSTITUTE($G448,"-"," ",LEN($G448)-LEN(SUBSTITUTE($G448,"-",""))),"-"," ",LEN($G448)-LEN(SUBSTITUTE($G448,"-",""))-1),"."," ",(LEN(SUBSTITUTE(SUBSTITUTE($G448,"-"," ",LEN($G448)-LEN(SUBSTITUTE($G448,"-",""))),"-"," ",LEN($G448)-LEN(SUBSTITUTE($G448,"-",""))-1))-LEN(SUBSTITUTE(SUBSTITUTE(SUBSTITUTE($G448,"-"," ",LEN($G448)-LEN(SUBSTITUTE($G448,"-",""))),"-"," ",LEN($G448)-LEN(SUBSTITUTE($G448,"-",""))-1),".",""))))),$G448)))</f>
        <v/>
      </c>
    </row>
    <row r="449">
      <c r="A449" s="58" t="n"/>
      <c r="B449" s="58">
        <f>IF($H449="","",LEFT($H449,FIND(" ",$H449&amp;" ")-1))</f>
        <v/>
      </c>
      <c r="C449" s="58">
        <f>IF($H449="","",IFERROR(MID($H449&amp;" ",FIND("|",SUBSTITUTE($H449&amp;" "," ","|",1))+1,FIND("|",SUBSTITUTE($H449&amp;" "," ","|",2))-FIND("|",SUBSTITUTE($H449&amp;" "," ","|",1))-1),""))</f>
        <v/>
      </c>
      <c r="D449" s="58">
        <f>IF($H449="","",IFERROR(MID($H449&amp;" ",FIND("|",SUBSTITUTE($H449&amp;" "," ","|",2))+1,FIND("|",SUBSTITUTE($H449&amp;" "," ","|",3))-FIND("|",SUBSTITUTE($H449&amp;" "," ","|",2))-1),""))</f>
        <v/>
      </c>
      <c r="E449" s="58">
        <f>IF($H449="","",IFERROR(MID($H449&amp;" ",FIND("|",SUBSTITUTE($H449&amp;" "," ","|",3))+1,FIND("|",SUBSTITUTE($H449&amp;" "," ","|",4))-FIND("|",SUBSTITUTE($H449&amp;" "," ","|",3))-1),""))</f>
        <v/>
      </c>
      <c r="F449" s="59">
        <f>IF($H449="","",IFERROR(VALUE(IFERROR(MID($H449&amp;" ",FIND("|",SUBSTITUTE($H449&amp;" "," ","|",4))+1,FIND("|",SUBSTITUTE($H449&amp;" "," ","|",5))-FIND("|",SUBSTITUTE($H449&amp;" "," ","|",4))-1),""))/86400+25569+9/24,""))</f>
        <v/>
      </c>
      <c r="G449" s="58">
        <f>TRIM(SUBSTITUTE(SUBSTITUTE(SUBSTITUTE($A449,CHAR(9)," ")," "," "),CHAR(13),""))</f>
        <v/>
      </c>
      <c r="H449" s="58">
        <f>IF($G449="","",IF(ISNUMBER(FIND(" ",$G449)),$G449,IFERROR(IF((LEN(SUBSTITUTE(SUBSTITUTE($G449,"-"," ",LEN($G449)-LEN(SUBSTITUTE($G449,"-",""))),"-"," ",LEN($G449)-LEN(SUBSTITUTE($G449,"-",""))-1))-LEN(SUBSTITUTE(SUBSTITUTE(SUBSTITUTE($G449,"-"," ",LEN($G449)-LEN(SUBSTITUTE($G449,"-",""))),"-"," ",LEN($G449)-LEN(SUBSTITUTE($G449,"-",""))-1),".","")))=0,SUBSTITUTE(SUBSTITUTE($G449,"-"," ",LEN($G449)-LEN(SUBSTITUTE($G449,"-",""))),"-"," ",LEN($G449)-LEN(SUBSTITUTE($G449,"-",""))-1),SUBSTITUTE(SUBSTITUTE(SUBSTITUTE($G449,"-"," ",LEN($G449)-LEN(SUBSTITUTE($G449,"-",""))),"-"," ",LEN($G449)-LEN(SUBSTITUTE($G449,"-",""))-1),"."," ",(LEN(SUBSTITUTE(SUBSTITUTE($G449,"-"," ",LEN($G449)-LEN(SUBSTITUTE($G449,"-",""))),"-"," ",LEN($G449)-LEN(SUBSTITUTE($G449,"-",""))-1))-LEN(SUBSTITUTE(SUBSTITUTE(SUBSTITUTE($G449,"-"," ",LEN($G449)-LEN(SUBSTITUTE($G449,"-",""))),"-"," ",LEN($G449)-LEN(SUBSTITUTE($G449,"-",""))-1),".",""))))),$G449)))</f>
        <v/>
      </c>
    </row>
    <row r="450">
      <c r="A450" s="58" t="n"/>
      <c r="B450" s="58">
        <f>IF($H450="","",LEFT($H450,FIND(" ",$H450&amp;" ")-1))</f>
        <v/>
      </c>
      <c r="C450" s="58">
        <f>IF($H450="","",IFERROR(MID($H450&amp;" ",FIND("|",SUBSTITUTE($H450&amp;" "," ","|",1))+1,FIND("|",SUBSTITUTE($H450&amp;" "," ","|",2))-FIND("|",SUBSTITUTE($H450&amp;" "," ","|",1))-1),""))</f>
        <v/>
      </c>
      <c r="D450" s="58">
        <f>IF($H450="","",IFERROR(MID($H450&amp;" ",FIND("|",SUBSTITUTE($H450&amp;" "," ","|",2))+1,FIND("|",SUBSTITUTE($H450&amp;" "," ","|",3))-FIND("|",SUBSTITUTE($H450&amp;" "," ","|",2))-1),""))</f>
        <v/>
      </c>
      <c r="E450" s="58">
        <f>IF($H450="","",IFERROR(MID($H450&amp;" ",FIND("|",SUBSTITUTE($H450&amp;" "," ","|",3))+1,FIND("|",SUBSTITUTE($H450&amp;" "," ","|",4))-FIND("|",SUBSTITUTE($H450&amp;" "," ","|",3))-1),""))</f>
        <v/>
      </c>
      <c r="F450" s="59">
        <f>IF($H450="","",IFERROR(VALUE(IFERROR(MID($H450&amp;" ",FIND("|",SUBSTITUTE($H450&amp;" "," ","|",4))+1,FIND("|",SUBSTITUTE($H450&amp;" "," ","|",5))-FIND("|",SUBSTITUTE($H450&amp;" "," ","|",4))-1),""))/86400+25569+9/24,""))</f>
        <v/>
      </c>
      <c r="G450" s="58">
        <f>TRIM(SUBSTITUTE(SUBSTITUTE(SUBSTITUTE($A450,CHAR(9)," ")," "," "),CHAR(13),""))</f>
        <v/>
      </c>
      <c r="H450" s="58">
        <f>IF($G450="","",IF(ISNUMBER(FIND(" ",$G450)),$G450,IFERROR(IF((LEN(SUBSTITUTE(SUBSTITUTE($G450,"-"," ",LEN($G450)-LEN(SUBSTITUTE($G450,"-",""))),"-"," ",LEN($G450)-LEN(SUBSTITUTE($G450,"-",""))-1))-LEN(SUBSTITUTE(SUBSTITUTE(SUBSTITUTE($G450,"-"," ",LEN($G450)-LEN(SUBSTITUTE($G450,"-",""))),"-"," ",LEN($G450)-LEN(SUBSTITUTE($G450,"-",""))-1),".","")))=0,SUBSTITUTE(SUBSTITUTE($G450,"-"," ",LEN($G450)-LEN(SUBSTITUTE($G450,"-",""))),"-"," ",LEN($G450)-LEN(SUBSTITUTE($G450,"-",""))-1),SUBSTITUTE(SUBSTITUTE(SUBSTITUTE($G450,"-"," ",LEN($G450)-LEN(SUBSTITUTE($G450,"-",""))),"-"," ",LEN($G450)-LEN(SUBSTITUTE($G450,"-",""))-1),"."," ",(LEN(SUBSTITUTE(SUBSTITUTE($G450,"-"," ",LEN($G450)-LEN(SUBSTITUTE($G450,"-",""))),"-"," ",LEN($G450)-LEN(SUBSTITUTE($G450,"-",""))-1))-LEN(SUBSTITUTE(SUBSTITUTE(SUBSTITUTE($G450,"-"," ",LEN($G450)-LEN(SUBSTITUTE($G450,"-",""))),"-"," ",LEN($G450)-LEN(SUBSTITUTE($G450,"-",""))-1),".",""))))),$G450)))</f>
        <v/>
      </c>
    </row>
    <row r="451">
      <c r="A451" s="58" t="n"/>
      <c r="B451" s="58">
        <f>IF($H451="","",LEFT($H451,FIND(" ",$H451&amp;" ")-1))</f>
        <v/>
      </c>
      <c r="C451" s="58">
        <f>IF($H451="","",IFERROR(MID($H451&amp;" ",FIND("|",SUBSTITUTE($H451&amp;" "," ","|",1))+1,FIND("|",SUBSTITUTE($H451&amp;" "," ","|",2))-FIND("|",SUBSTITUTE($H451&amp;" "," ","|",1))-1),""))</f>
        <v/>
      </c>
      <c r="D451" s="58">
        <f>IF($H451="","",IFERROR(MID($H451&amp;" ",FIND("|",SUBSTITUTE($H451&amp;" "," ","|",2))+1,FIND("|",SUBSTITUTE($H451&amp;" "," ","|",3))-FIND("|",SUBSTITUTE($H451&amp;" "," ","|",2))-1),""))</f>
        <v/>
      </c>
      <c r="E451" s="58">
        <f>IF($H451="","",IFERROR(MID($H451&amp;" ",FIND("|",SUBSTITUTE($H451&amp;" "," ","|",3))+1,FIND("|",SUBSTITUTE($H451&amp;" "," ","|",4))-FIND("|",SUBSTITUTE($H451&amp;" "," ","|",3))-1),""))</f>
        <v/>
      </c>
      <c r="F451" s="59">
        <f>IF($H451="","",IFERROR(VALUE(IFERROR(MID($H451&amp;" ",FIND("|",SUBSTITUTE($H451&amp;" "," ","|",4))+1,FIND("|",SUBSTITUTE($H451&amp;" "," ","|",5))-FIND("|",SUBSTITUTE($H451&amp;" "," ","|",4))-1),""))/86400+25569+9/24,""))</f>
        <v/>
      </c>
      <c r="G451" s="58">
        <f>TRIM(SUBSTITUTE(SUBSTITUTE(SUBSTITUTE($A451,CHAR(9)," ")," "," "),CHAR(13),""))</f>
        <v/>
      </c>
      <c r="H451" s="58">
        <f>IF($G451="","",IF(ISNUMBER(FIND(" ",$G451)),$G451,IFERROR(IF((LEN(SUBSTITUTE(SUBSTITUTE($G451,"-"," ",LEN($G451)-LEN(SUBSTITUTE($G451,"-",""))),"-"," ",LEN($G451)-LEN(SUBSTITUTE($G451,"-",""))-1))-LEN(SUBSTITUTE(SUBSTITUTE(SUBSTITUTE($G451,"-"," ",LEN($G451)-LEN(SUBSTITUTE($G451,"-",""))),"-"," ",LEN($G451)-LEN(SUBSTITUTE($G451,"-",""))-1),".","")))=0,SUBSTITUTE(SUBSTITUTE($G451,"-"," ",LEN($G451)-LEN(SUBSTITUTE($G451,"-",""))),"-"," ",LEN($G451)-LEN(SUBSTITUTE($G451,"-",""))-1),SUBSTITUTE(SUBSTITUTE(SUBSTITUTE($G451,"-"," ",LEN($G451)-LEN(SUBSTITUTE($G451,"-",""))),"-"," ",LEN($G451)-LEN(SUBSTITUTE($G451,"-",""))-1),"."," ",(LEN(SUBSTITUTE(SUBSTITUTE($G451,"-"," ",LEN($G451)-LEN(SUBSTITUTE($G451,"-",""))),"-"," ",LEN($G451)-LEN(SUBSTITUTE($G451,"-",""))-1))-LEN(SUBSTITUTE(SUBSTITUTE(SUBSTITUTE($G451,"-"," ",LEN($G451)-LEN(SUBSTITUTE($G451,"-",""))),"-"," ",LEN($G451)-LEN(SUBSTITUTE($G451,"-",""))-1),".",""))))),$G451)))</f>
        <v/>
      </c>
    </row>
    <row r="452">
      <c r="A452" s="58" t="n"/>
      <c r="B452" s="58">
        <f>IF($H452="","",LEFT($H452,FIND(" ",$H452&amp;" ")-1))</f>
        <v/>
      </c>
      <c r="C452" s="58">
        <f>IF($H452="","",IFERROR(MID($H452&amp;" ",FIND("|",SUBSTITUTE($H452&amp;" "," ","|",1))+1,FIND("|",SUBSTITUTE($H452&amp;" "," ","|",2))-FIND("|",SUBSTITUTE($H452&amp;" "," ","|",1))-1),""))</f>
        <v/>
      </c>
      <c r="D452" s="58">
        <f>IF($H452="","",IFERROR(MID($H452&amp;" ",FIND("|",SUBSTITUTE($H452&amp;" "," ","|",2))+1,FIND("|",SUBSTITUTE($H452&amp;" "," ","|",3))-FIND("|",SUBSTITUTE($H452&amp;" "," ","|",2))-1),""))</f>
        <v/>
      </c>
      <c r="E452" s="58">
        <f>IF($H452="","",IFERROR(MID($H452&amp;" ",FIND("|",SUBSTITUTE($H452&amp;" "," ","|",3))+1,FIND("|",SUBSTITUTE($H452&amp;" "," ","|",4))-FIND("|",SUBSTITUTE($H452&amp;" "," ","|",3))-1),""))</f>
        <v/>
      </c>
      <c r="F452" s="59">
        <f>IF($H452="","",IFERROR(VALUE(IFERROR(MID($H452&amp;" ",FIND("|",SUBSTITUTE($H452&amp;" "," ","|",4))+1,FIND("|",SUBSTITUTE($H452&amp;" "," ","|",5))-FIND("|",SUBSTITUTE($H452&amp;" "," ","|",4))-1),""))/86400+25569+9/24,""))</f>
        <v/>
      </c>
      <c r="G452" s="58">
        <f>TRIM(SUBSTITUTE(SUBSTITUTE(SUBSTITUTE($A452,CHAR(9)," ")," "," "),CHAR(13),""))</f>
        <v/>
      </c>
      <c r="H452" s="58">
        <f>IF($G452="","",IF(ISNUMBER(FIND(" ",$G452)),$G452,IFERROR(IF((LEN(SUBSTITUTE(SUBSTITUTE($G452,"-"," ",LEN($G452)-LEN(SUBSTITUTE($G452,"-",""))),"-"," ",LEN($G452)-LEN(SUBSTITUTE($G452,"-",""))-1))-LEN(SUBSTITUTE(SUBSTITUTE(SUBSTITUTE($G452,"-"," ",LEN($G452)-LEN(SUBSTITUTE($G452,"-",""))),"-"," ",LEN($G452)-LEN(SUBSTITUTE($G452,"-",""))-1),".","")))=0,SUBSTITUTE(SUBSTITUTE($G452,"-"," ",LEN($G452)-LEN(SUBSTITUTE($G452,"-",""))),"-"," ",LEN($G452)-LEN(SUBSTITUTE($G452,"-",""))-1),SUBSTITUTE(SUBSTITUTE(SUBSTITUTE($G452,"-"," ",LEN($G452)-LEN(SUBSTITUTE($G452,"-",""))),"-"," ",LEN($G452)-LEN(SUBSTITUTE($G452,"-",""))-1),"."," ",(LEN(SUBSTITUTE(SUBSTITUTE($G452,"-"," ",LEN($G452)-LEN(SUBSTITUTE($G452,"-",""))),"-"," ",LEN($G452)-LEN(SUBSTITUTE($G452,"-",""))-1))-LEN(SUBSTITUTE(SUBSTITUTE(SUBSTITUTE($G452,"-"," ",LEN($G452)-LEN(SUBSTITUTE($G452,"-",""))),"-"," ",LEN($G452)-LEN(SUBSTITUTE($G452,"-",""))-1),".",""))))),$G452)))</f>
        <v/>
      </c>
    </row>
    <row r="453">
      <c r="A453" s="58" t="n"/>
      <c r="B453" s="58">
        <f>IF($H453="","",LEFT($H453,FIND(" ",$H453&amp;" ")-1))</f>
        <v/>
      </c>
      <c r="C453" s="58">
        <f>IF($H453="","",IFERROR(MID($H453&amp;" ",FIND("|",SUBSTITUTE($H453&amp;" "," ","|",1))+1,FIND("|",SUBSTITUTE($H453&amp;" "," ","|",2))-FIND("|",SUBSTITUTE($H453&amp;" "," ","|",1))-1),""))</f>
        <v/>
      </c>
      <c r="D453" s="58">
        <f>IF($H453="","",IFERROR(MID($H453&amp;" ",FIND("|",SUBSTITUTE($H453&amp;" "," ","|",2))+1,FIND("|",SUBSTITUTE($H453&amp;" "," ","|",3))-FIND("|",SUBSTITUTE($H453&amp;" "," ","|",2))-1),""))</f>
        <v/>
      </c>
      <c r="E453" s="58">
        <f>IF($H453="","",IFERROR(MID($H453&amp;" ",FIND("|",SUBSTITUTE($H453&amp;" "," ","|",3))+1,FIND("|",SUBSTITUTE($H453&amp;" "," ","|",4))-FIND("|",SUBSTITUTE($H453&amp;" "," ","|",3))-1),""))</f>
        <v/>
      </c>
      <c r="F453" s="59">
        <f>IF($H453="","",IFERROR(VALUE(IFERROR(MID($H453&amp;" ",FIND("|",SUBSTITUTE($H453&amp;" "," ","|",4))+1,FIND("|",SUBSTITUTE($H453&amp;" "," ","|",5))-FIND("|",SUBSTITUTE($H453&amp;" "," ","|",4))-1),""))/86400+25569+9/24,""))</f>
        <v/>
      </c>
      <c r="G453" s="58">
        <f>TRIM(SUBSTITUTE(SUBSTITUTE(SUBSTITUTE($A453,CHAR(9)," ")," "," "),CHAR(13),""))</f>
        <v/>
      </c>
      <c r="H453" s="58">
        <f>IF($G453="","",IF(ISNUMBER(FIND(" ",$G453)),$G453,IFERROR(IF((LEN(SUBSTITUTE(SUBSTITUTE($G453,"-"," ",LEN($G453)-LEN(SUBSTITUTE($G453,"-",""))),"-"," ",LEN($G453)-LEN(SUBSTITUTE($G453,"-",""))-1))-LEN(SUBSTITUTE(SUBSTITUTE(SUBSTITUTE($G453,"-"," ",LEN($G453)-LEN(SUBSTITUTE($G453,"-",""))),"-"," ",LEN($G453)-LEN(SUBSTITUTE($G453,"-",""))-1),".","")))=0,SUBSTITUTE(SUBSTITUTE($G453,"-"," ",LEN($G453)-LEN(SUBSTITUTE($G453,"-",""))),"-"," ",LEN($G453)-LEN(SUBSTITUTE($G453,"-",""))-1),SUBSTITUTE(SUBSTITUTE(SUBSTITUTE($G453,"-"," ",LEN($G453)-LEN(SUBSTITUTE($G453,"-",""))),"-"," ",LEN($G453)-LEN(SUBSTITUTE($G453,"-",""))-1),"."," ",(LEN(SUBSTITUTE(SUBSTITUTE($G453,"-"," ",LEN($G453)-LEN(SUBSTITUTE($G453,"-",""))),"-"," ",LEN($G453)-LEN(SUBSTITUTE($G453,"-",""))-1))-LEN(SUBSTITUTE(SUBSTITUTE(SUBSTITUTE($G453,"-"," ",LEN($G453)-LEN(SUBSTITUTE($G453,"-",""))),"-"," ",LEN($G453)-LEN(SUBSTITUTE($G453,"-",""))-1),".",""))))),$G453)))</f>
        <v/>
      </c>
    </row>
    <row r="454">
      <c r="A454" s="58" t="n"/>
      <c r="B454" s="58">
        <f>IF($H454="","",LEFT($H454,FIND(" ",$H454&amp;" ")-1))</f>
        <v/>
      </c>
      <c r="C454" s="58">
        <f>IF($H454="","",IFERROR(MID($H454&amp;" ",FIND("|",SUBSTITUTE($H454&amp;" "," ","|",1))+1,FIND("|",SUBSTITUTE($H454&amp;" "," ","|",2))-FIND("|",SUBSTITUTE($H454&amp;" "," ","|",1))-1),""))</f>
        <v/>
      </c>
      <c r="D454" s="58">
        <f>IF($H454="","",IFERROR(MID($H454&amp;" ",FIND("|",SUBSTITUTE($H454&amp;" "," ","|",2))+1,FIND("|",SUBSTITUTE($H454&amp;" "," ","|",3))-FIND("|",SUBSTITUTE($H454&amp;" "," ","|",2))-1),""))</f>
        <v/>
      </c>
      <c r="E454" s="58">
        <f>IF($H454="","",IFERROR(MID($H454&amp;" ",FIND("|",SUBSTITUTE($H454&amp;" "," ","|",3))+1,FIND("|",SUBSTITUTE($H454&amp;" "," ","|",4))-FIND("|",SUBSTITUTE($H454&amp;" "," ","|",3))-1),""))</f>
        <v/>
      </c>
      <c r="F454" s="59">
        <f>IF($H454="","",IFERROR(VALUE(IFERROR(MID($H454&amp;" ",FIND("|",SUBSTITUTE($H454&amp;" "," ","|",4))+1,FIND("|",SUBSTITUTE($H454&amp;" "," ","|",5))-FIND("|",SUBSTITUTE($H454&amp;" "," ","|",4))-1),""))/86400+25569+9/24,""))</f>
        <v/>
      </c>
      <c r="G454" s="58">
        <f>TRIM(SUBSTITUTE(SUBSTITUTE(SUBSTITUTE($A454,CHAR(9)," ")," "," "),CHAR(13),""))</f>
        <v/>
      </c>
      <c r="H454" s="58">
        <f>IF($G454="","",IF(ISNUMBER(FIND(" ",$G454)),$G454,IFERROR(IF((LEN(SUBSTITUTE(SUBSTITUTE($G454,"-"," ",LEN($G454)-LEN(SUBSTITUTE($G454,"-",""))),"-"," ",LEN($G454)-LEN(SUBSTITUTE($G454,"-",""))-1))-LEN(SUBSTITUTE(SUBSTITUTE(SUBSTITUTE($G454,"-"," ",LEN($G454)-LEN(SUBSTITUTE($G454,"-",""))),"-"," ",LEN($G454)-LEN(SUBSTITUTE($G454,"-",""))-1),".","")))=0,SUBSTITUTE(SUBSTITUTE($G454,"-"," ",LEN($G454)-LEN(SUBSTITUTE($G454,"-",""))),"-"," ",LEN($G454)-LEN(SUBSTITUTE($G454,"-",""))-1),SUBSTITUTE(SUBSTITUTE(SUBSTITUTE($G454,"-"," ",LEN($G454)-LEN(SUBSTITUTE($G454,"-",""))),"-"," ",LEN($G454)-LEN(SUBSTITUTE($G454,"-",""))-1),"."," ",(LEN(SUBSTITUTE(SUBSTITUTE($G454,"-"," ",LEN($G454)-LEN(SUBSTITUTE($G454,"-",""))),"-"," ",LEN($G454)-LEN(SUBSTITUTE($G454,"-",""))-1))-LEN(SUBSTITUTE(SUBSTITUTE(SUBSTITUTE($G454,"-"," ",LEN($G454)-LEN(SUBSTITUTE($G454,"-",""))),"-"," ",LEN($G454)-LEN(SUBSTITUTE($G454,"-",""))-1),".",""))))),$G454)))</f>
        <v/>
      </c>
    </row>
    <row r="455">
      <c r="A455" s="58" t="n"/>
      <c r="B455" s="58">
        <f>IF($H455="","",LEFT($H455,FIND(" ",$H455&amp;" ")-1))</f>
        <v/>
      </c>
      <c r="C455" s="58">
        <f>IF($H455="","",IFERROR(MID($H455&amp;" ",FIND("|",SUBSTITUTE($H455&amp;" "," ","|",1))+1,FIND("|",SUBSTITUTE($H455&amp;" "," ","|",2))-FIND("|",SUBSTITUTE($H455&amp;" "," ","|",1))-1),""))</f>
        <v/>
      </c>
      <c r="D455" s="58">
        <f>IF($H455="","",IFERROR(MID($H455&amp;" ",FIND("|",SUBSTITUTE($H455&amp;" "," ","|",2))+1,FIND("|",SUBSTITUTE($H455&amp;" "," ","|",3))-FIND("|",SUBSTITUTE($H455&amp;" "," ","|",2))-1),""))</f>
        <v/>
      </c>
      <c r="E455" s="58">
        <f>IF($H455="","",IFERROR(MID($H455&amp;" ",FIND("|",SUBSTITUTE($H455&amp;" "," ","|",3))+1,FIND("|",SUBSTITUTE($H455&amp;" "," ","|",4))-FIND("|",SUBSTITUTE($H455&amp;" "," ","|",3))-1),""))</f>
        <v/>
      </c>
      <c r="F455" s="59">
        <f>IF($H455="","",IFERROR(VALUE(IFERROR(MID($H455&amp;" ",FIND("|",SUBSTITUTE($H455&amp;" "," ","|",4))+1,FIND("|",SUBSTITUTE($H455&amp;" "," ","|",5))-FIND("|",SUBSTITUTE($H455&amp;" "," ","|",4))-1),""))/86400+25569+9/24,""))</f>
        <v/>
      </c>
      <c r="G455" s="58">
        <f>TRIM(SUBSTITUTE(SUBSTITUTE(SUBSTITUTE($A455,CHAR(9)," ")," "," "),CHAR(13),""))</f>
        <v/>
      </c>
      <c r="H455" s="58">
        <f>IF($G455="","",IF(ISNUMBER(FIND(" ",$G455)),$G455,IFERROR(IF((LEN(SUBSTITUTE(SUBSTITUTE($G455,"-"," ",LEN($G455)-LEN(SUBSTITUTE($G455,"-",""))),"-"," ",LEN($G455)-LEN(SUBSTITUTE($G455,"-",""))-1))-LEN(SUBSTITUTE(SUBSTITUTE(SUBSTITUTE($G455,"-"," ",LEN($G455)-LEN(SUBSTITUTE($G455,"-",""))),"-"," ",LEN($G455)-LEN(SUBSTITUTE($G455,"-",""))-1),".","")))=0,SUBSTITUTE(SUBSTITUTE($G455,"-"," ",LEN($G455)-LEN(SUBSTITUTE($G455,"-",""))),"-"," ",LEN($G455)-LEN(SUBSTITUTE($G455,"-",""))-1),SUBSTITUTE(SUBSTITUTE(SUBSTITUTE($G455,"-"," ",LEN($G455)-LEN(SUBSTITUTE($G455,"-",""))),"-"," ",LEN($G455)-LEN(SUBSTITUTE($G455,"-",""))-1),"."," ",(LEN(SUBSTITUTE(SUBSTITUTE($G455,"-"," ",LEN($G455)-LEN(SUBSTITUTE($G455,"-",""))),"-"," ",LEN($G455)-LEN(SUBSTITUTE($G455,"-",""))-1))-LEN(SUBSTITUTE(SUBSTITUTE(SUBSTITUTE($G455,"-"," ",LEN($G455)-LEN(SUBSTITUTE($G455,"-",""))),"-"," ",LEN($G455)-LEN(SUBSTITUTE($G455,"-",""))-1),".",""))))),$G455)))</f>
        <v/>
      </c>
    </row>
    <row r="456">
      <c r="A456" s="58" t="n"/>
      <c r="B456" s="58">
        <f>IF($H456="","",LEFT($H456,FIND(" ",$H456&amp;" ")-1))</f>
        <v/>
      </c>
      <c r="C456" s="58">
        <f>IF($H456="","",IFERROR(MID($H456&amp;" ",FIND("|",SUBSTITUTE($H456&amp;" "," ","|",1))+1,FIND("|",SUBSTITUTE($H456&amp;" "," ","|",2))-FIND("|",SUBSTITUTE($H456&amp;" "," ","|",1))-1),""))</f>
        <v/>
      </c>
      <c r="D456" s="58">
        <f>IF($H456="","",IFERROR(MID($H456&amp;" ",FIND("|",SUBSTITUTE($H456&amp;" "," ","|",2))+1,FIND("|",SUBSTITUTE($H456&amp;" "," ","|",3))-FIND("|",SUBSTITUTE($H456&amp;" "," ","|",2))-1),""))</f>
        <v/>
      </c>
      <c r="E456" s="58">
        <f>IF($H456="","",IFERROR(MID($H456&amp;" ",FIND("|",SUBSTITUTE($H456&amp;" "," ","|",3))+1,FIND("|",SUBSTITUTE($H456&amp;" "," ","|",4))-FIND("|",SUBSTITUTE($H456&amp;" "," ","|",3))-1),""))</f>
        <v/>
      </c>
      <c r="F456" s="59">
        <f>IF($H456="","",IFERROR(VALUE(IFERROR(MID($H456&amp;" ",FIND("|",SUBSTITUTE($H456&amp;" "," ","|",4))+1,FIND("|",SUBSTITUTE($H456&amp;" "," ","|",5))-FIND("|",SUBSTITUTE($H456&amp;" "," ","|",4))-1),""))/86400+25569+9/24,""))</f>
        <v/>
      </c>
      <c r="G456" s="58">
        <f>TRIM(SUBSTITUTE(SUBSTITUTE(SUBSTITUTE($A456,CHAR(9)," ")," "," "),CHAR(13),""))</f>
        <v/>
      </c>
      <c r="H456" s="58">
        <f>IF($G456="","",IF(ISNUMBER(FIND(" ",$G456)),$G456,IFERROR(IF((LEN(SUBSTITUTE(SUBSTITUTE($G456,"-"," ",LEN($G456)-LEN(SUBSTITUTE($G456,"-",""))),"-"," ",LEN($G456)-LEN(SUBSTITUTE($G456,"-",""))-1))-LEN(SUBSTITUTE(SUBSTITUTE(SUBSTITUTE($G456,"-"," ",LEN($G456)-LEN(SUBSTITUTE($G456,"-",""))),"-"," ",LEN($G456)-LEN(SUBSTITUTE($G456,"-",""))-1),".","")))=0,SUBSTITUTE(SUBSTITUTE($G456,"-"," ",LEN($G456)-LEN(SUBSTITUTE($G456,"-",""))),"-"," ",LEN($G456)-LEN(SUBSTITUTE($G456,"-",""))-1),SUBSTITUTE(SUBSTITUTE(SUBSTITUTE($G456,"-"," ",LEN($G456)-LEN(SUBSTITUTE($G456,"-",""))),"-"," ",LEN($G456)-LEN(SUBSTITUTE($G456,"-",""))-1),"."," ",(LEN(SUBSTITUTE(SUBSTITUTE($G456,"-"," ",LEN($G456)-LEN(SUBSTITUTE($G456,"-",""))),"-"," ",LEN($G456)-LEN(SUBSTITUTE($G456,"-",""))-1))-LEN(SUBSTITUTE(SUBSTITUTE(SUBSTITUTE($G456,"-"," ",LEN($G456)-LEN(SUBSTITUTE($G456,"-",""))),"-"," ",LEN($G456)-LEN(SUBSTITUTE($G456,"-",""))-1),".",""))))),$G456)))</f>
        <v/>
      </c>
    </row>
    <row r="457">
      <c r="A457" s="58" t="n"/>
      <c r="B457" s="58">
        <f>IF($H457="","",LEFT($H457,FIND(" ",$H457&amp;" ")-1))</f>
        <v/>
      </c>
      <c r="C457" s="58">
        <f>IF($H457="","",IFERROR(MID($H457&amp;" ",FIND("|",SUBSTITUTE($H457&amp;" "," ","|",1))+1,FIND("|",SUBSTITUTE($H457&amp;" "," ","|",2))-FIND("|",SUBSTITUTE($H457&amp;" "," ","|",1))-1),""))</f>
        <v/>
      </c>
      <c r="D457" s="58">
        <f>IF($H457="","",IFERROR(MID($H457&amp;" ",FIND("|",SUBSTITUTE($H457&amp;" "," ","|",2))+1,FIND("|",SUBSTITUTE($H457&amp;" "," ","|",3))-FIND("|",SUBSTITUTE($H457&amp;" "," ","|",2))-1),""))</f>
        <v/>
      </c>
      <c r="E457" s="58">
        <f>IF($H457="","",IFERROR(MID($H457&amp;" ",FIND("|",SUBSTITUTE($H457&amp;" "," ","|",3))+1,FIND("|",SUBSTITUTE($H457&amp;" "," ","|",4))-FIND("|",SUBSTITUTE($H457&amp;" "," ","|",3))-1),""))</f>
        <v/>
      </c>
      <c r="F457" s="59">
        <f>IF($H457="","",IFERROR(VALUE(IFERROR(MID($H457&amp;" ",FIND("|",SUBSTITUTE($H457&amp;" "," ","|",4))+1,FIND("|",SUBSTITUTE($H457&amp;" "," ","|",5))-FIND("|",SUBSTITUTE($H457&amp;" "," ","|",4))-1),""))/86400+25569+9/24,""))</f>
        <v/>
      </c>
      <c r="G457" s="58">
        <f>TRIM(SUBSTITUTE(SUBSTITUTE(SUBSTITUTE($A457,CHAR(9)," ")," "," "),CHAR(13),""))</f>
        <v/>
      </c>
      <c r="H457" s="58">
        <f>IF($G457="","",IF(ISNUMBER(FIND(" ",$G457)),$G457,IFERROR(IF((LEN(SUBSTITUTE(SUBSTITUTE($G457,"-"," ",LEN($G457)-LEN(SUBSTITUTE($G457,"-",""))),"-"," ",LEN($G457)-LEN(SUBSTITUTE($G457,"-",""))-1))-LEN(SUBSTITUTE(SUBSTITUTE(SUBSTITUTE($G457,"-"," ",LEN($G457)-LEN(SUBSTITUTE($G457,"-",""))),"-"," ",LEN($G457)-LEN(SUBSTITUTE($G457,"-",""))-1),".","")))=0,SUBSTITUTE(SUBSTITUTE($G457,"-"," ",LEN($G457)-LEN(SUBSTITUTE($G457,"-",""))),"-"," ",LEN($G457)-LEN(SUBSTITUTE($G457,"-",""))-1),SUBSTITUTE(SUBSTITUTE(SUBSTITUTE($G457,"-"," ",LEN($G457)-LEN(SUBSTITUTE($G457,"-",""))),"-"," ",LEN($G457)-LEN(SUBSTITUTE($G457,"-",""))-1),"."," ",(LEN(SUBSTITUTE(SUBSTITUTE($G457,"-"," ",LEN($G457)-LEN(SUBSTITUTE($G457,"-",""))),"-"," ",LEN($G457)-LEN(SUBSTITUTE($G457,"-",""))-1))-LEN(SUBSTITUTE(SUBSTITUTE(SUBSTITUTE($G457,"-"," ",LEN($G457)-LEN(SUBSTITUTE($G457,"-",""))),"-"," ",LEN($G457)-LEN(SUBSTITUTE($G457,"-",""))-1),".",""))))),$G457)))</f>
        <v/>
      </c>
    </row>
    <row r="458">
      <c r="A458" s="58" t="n"/>
      <c r="B458" s="58">
        <f>IF($H458="","",LEFT($H458,FIND(" ",$H458&amp;" ")-1))</f>
        <v/>
      </c>
      <c r="C458" s="58">
        <f>IF($H458="","",IFERROR(MID($H458&amp;" ",FIND("|",SUBSTITUTE($H458&amp;" "," ","|",1))+1,FIND("|",SUBSTITUTE($H458&amp;" "," ","|",2))-FIND("|",SUBSTITUTE($H458&amp;" "," ","|",1))-1),""))</f>
        <v/>
      </c>
      <c r="D458" s="58">
        <f>IF($H458="","",IFERROR(MID($H458&amp;" ",FIND("|",SUBSTITUTE($H458&amp;" "," ","|",2))+1,FIND("|",SUBSTITUTE($H458&amp;" "," ","|",3))-FIND("|",SUBSTITUTE($H458&amp;" "," ","|",2))-1),""))</f>
        <v/>
      </c>
      <c r="E458" s="58">
        <f>IF($H458="","",IFERROR(MID($H458&amp;" ",FIND("|",SUBSTITUTE($H458&amp;" "," ","|",3))+1,FIND("|",SUBSTITUTE($H458&amp;" "," ","|",4))-FIND("|",SUBSTITUTE($H458&amp;" "," ","|",3))-1),""))</f>
        <v/>
      </c>
      <c r="F458" s="59">
        <f>IF($H458="","",IFERROR(VALUE(IFERROR(MID($H458&amp;" ",FIND("|",SUBSTITUTE($H458&amp;" "," ","|",4))+1,FIND("|",SUBSTITUTE($H458&amp;" "," ","|",5))-FIND("|",SUBSTITUTE($H458&amp;" "," ","|",4))-1),""))/86400+25569+9/24,""))</f>
        <v/>
      </c>
      <c r="G458" s="58">
        <f>TRIM(SUBSTITUTE(SUBSTITUTE(SUBSTITUTE($A458,CHAR(9)," ")," "," "),CHAR(13),""))</f>
        <v/>
      </c>
      <c r="H458" s="58">
        <f>IF($G458="","",IF(ISNUMBER(FIND(" ",$G458)),$G458,IFERROR(IF((LEN(SUBSTITUTE(SUBSTITUTE($G458,"-"," ",LEN($G458)-LEN(SUBSTITUTE($G458,"-",""))),"-"," ",LEN($G458)-LEN(SUBSTITUTE($G458,"-",""))-1))-LEN(SUBSTITUTE(SUBSTITUTE(SUBSTITUTE($G458,"-"," ",LEN($G458)-LEN(SUBSTITUTE($G458,"-",""))),"-"," ",LEN($G458)-LEN(SUBSTITUTE($G458,"-",""))-1),".","")))=0,SUBSTITUTE(SUBSTITUTE($G458,"-"," ",LEN($G458)-LEN(SUBSTITUTE($G458,"-",""))),"-"," ",LEN($G458)-LEN(SUBSTITUTE($G458,"-",""))-1),SUBSTITUTE(SUBSTITUTE(SUBSTITUTE($G458,"-"," ",LEN($G458)-LEN(SUBSTITUTE($G458,"-",""))),"-"," ",LEN($G458)-LEN(SUBSTITUTE($G458,"-",""))-1),"."," ",(LEN(SUBSTITUTE(SUBSTITUTE($G458,"-"," ",LEN($G458)-LEN(SUBSTITUTE($G458,"-",""))),"-"," ",LEN($G458)-LEN(SUBSTITUTE($G458,"-",""))-1))-LEN(SUBSTITUTE(SUBSTITUTE(SUBSTITUTE($G458,"-"," ",LEN($G458)-LEN(SUBSTITUTE($G458,"-",""))),"-"," ",LEN($G458)-LEN(SUBSTITUTE($G458,"-",""))-1),".",""))))),$G458)))</f>
        <v/>
      </c>
    </row>
    <row r="459">
      <c r="A459" s="58" t="n"/>
      <c r="B459" s="58">
        <f>IF($H459="","",LEFT($H459,FIND(" ",$H459&amp;" ")-1))</f>
        <v/>
      </c>
      <c r="C459" s="58">
        <f>IF($H459="","",IFERROR(MID($H459&amp;" ",FIND("|",SUBSTITUTE($H459&amp;" "," ","|",1))+1,FIND("|",SUBSTITUTE($H459&amp;" "," ","|",2))-FIND("|",SUBSTITUTE($H459&amp;" "," ","|",1))-1),""))</f>
        <v/>
      </c>
      <c r="D459" s="58">
        <f>IF($H459="","",IFERROR(MID($H459&amp;" ",FIND("|",SUBSTITUTE($H459&amp;" "," ","|",2))+1,FIND("|",SUBSTITUTE($H459&amp;" "," ","|",3))-FIND("|",SUBSTITUTE($H459&amp;" "," ","|",2))-1),""))</f>
        <v/>
      </c>
      <c r="E459" s="58">
        <f>IF($H459="","",IFERROR(MID($H459&amp;" ",FIND("|",SUBSTITUTE($H459&amp;" "," ","|",3))+1,FIND("|",SUBSTITUTE($H459&amp;" "," ","|",4))-FIND("|",SUBSTITUTE($H459&amp;" "," ","|",3))-1),""))</f>
        <v/>
      </c>
      <c r="F459" s="59">
        <f>IF($H459="","",IFERROR(VALUE(IFERROR(MID($H459&amp;" ",FIND("|",SUBSTITUTE($H459&amp;" "," ","|",4))+1,FIND("|",SUBSTITUTE($H459&amp;" "," ","|",5))-FIND("|",SUBSTITUTE($H459&amp;" "," ","|",4))-1),""))/86400+25569+9/24,""))</f>
        <v/>
      </c>
      <c r="G459" s="58">
        <f>TRIM(SUBSTITUTE(SUBSTITUTE(SUBSTITUTE($A459,CHAR(9)," ")," "," "),CHAR(13),""))</f>
        <v/>
      </c>
      <c r="H459" s="58">
        <f>IF($G459="","",IF(ISNUMBER(FIND(" ",$G459)),$G459,IFERROR(IF((LEN(SUBSTITUTE(SUBSTITUTE($G459,"-"," ",LEN($G459)-LEN(SUBSTITUTE($G459,"-",""))),"-"," ",LEN($G459)-LEN(SUBSTITUTE($G459,"-",""))-1))-LEN(SUBSTITUTE(SUBSTITUTE(SUBSTITUTE($G459,"-"," ",LEN($G459)-LEN(SUBSTITUTE($G459,"-",""))),"-"," ",LEN($G459)-LEN(SUBSTITUTE($G459,"-",""))-1),".","")))=0,SUBSTITUTE(SUBSTITUTE($G459,"-"," ",LEN($G459)-LEN(SUBSTITUTE($G459,"-",""))),"-"," ",LEN($G459)-LEN(SUBSTITUTE($G459,"-",""))-1),SUBSTITUTE(SUBSTITUTE(SUBSTITUTE($G459,"-"," ",LEN($G459)-LEN(SUBSTITUTE($G459,"-",""))),"-"," ",LEN($G459)-LEN(SUBSTITUTE($G459,"-",""))-1),"."," ",(LEN(SUBSTITUTE(SUBSTITUTE($G459,"-"," ",LEN($G459)-LEN(SUBSTITUTE($G459,"-",""))),"-"," ",LEN($G459)-LEN(SUBSTITUTE($G459,"-",""))-1))-LEN(SUBSTITUTE(SUBSTITUTE(SUBSTITUTE($G459,"-"," ",LEN($G459)-LEN(SUBSTITUTE($G459,"-",""))),"-"," ",LEN($G459)-LEN(SUBSTITUTE($G459,"-",""))-1),".",""))))),$G459)))</f>
        <v/>
      </c>
    </row>
    <row r="460">
      <c r="A460" s="58" t="n"/>
      <c r="B460" s="58">
        <f>IF($H460="","",LEFT($H460,FIND(" ",$H460&amp;" ")-1))</f>
        <v/>
      </c>
      <c r="C460" s="58">
        <f>IF($H460="","",IFERROR(MID($H460&amp;" ",FIND("|",SUBSTITUTE($H460&amp;" "," ","|",1))+1,FIND("|",SUBSTITUTE($H460&amp;" "," ","|",2))-FIND("|",SUBSTITUTE($H460&amp;" "," ","|",1))-1),""))</f>
        <v/>
      </c>
      <c r="D460" s="58">
        <f>IF($H460="","",IFERROR(MID($H460&amp;" ",FIND("|",SUBSTITUTE($H460&amp;" "," ","|",2))+1,FIND("|",SUBSTITUTE($H460&amp;" "," ","|",3))-FIND("|",SUBSTITUTE($H460&amp;" "," ","|",2))-1),""))</f>
        <v/>
      </c>
      <c r="E460" s="58">
        <f>IF($H460="","",IFERROR(MID($H460&amp;" ",FIND("|",SUBSTITUTE($H460&amp;" "," ","|",3))+1,FIND("|",SUBSTITUTE($H460&amp;" "," ","|",4))-FIND("|",SUBSTITUTE($H460&amp;" "," ","|",3))-1),""))</f>
        <v/>
      </c>
      <c r="F460" s="59">
        <f>IF($H460="","",IFERROR(VALUE(IFERROR(MID($H460&amp;" ",FIND("|",SUBSTITUTE($H460&amp;" "," ","|",4))+1,FIND("|",SUBSTITUTE($H460&amp;" "," ","|",5))-FIND("|",SUBSTITUTE($H460&amp;" "," ","|",4))-1),""))/86400+25569+9/24,""))</f>
        <v/>
      </c>
      <c r="G460" s="58">
        <f>TRIM(SUBSTITUTE(SUBSTITUTE(SUBSTITUTE($A460,CHAR(9)," ")," "," "),CHAR(13),""))</f>
        <v/>
      </c>
      <c r="H460" s="58">
        <f>IF($G460="","",IF(ISNUMBER(FIND(" ",$G460)),$G460,IFERROR(IF((LEN(SUBSTITUTE(SUBSTITUTE($G460,"-"," ",LEN($G460)-LEN(SUBSTITUTE($G460,"-",""))),"-"," ",LEN($G460)-LEN(SUBSTITUTE($G460,"-",""))-1))-LEN(SUBSTITUTE(SUBSTITUTE(SUBSTITUTE($G460,"-"," ",LEN($G460)-LEN(SUBSTITUTE($G460,"-",""))),"-"," ",LEN($G460)-LEN(SUBSTITUTE($G460,"-",""))-1),".","")))=0,SUBSTITUTE(SUBSTITUTE($G460,"-"," ",LEN($G460)-LEN(SUBSTITUTE($G460,"-",""))),"-"," ",LEN($G460)-LEN(SUBSTITUTE($G460,"-",""))-1),SUBSTITUTE(SUBSTITUTE(SUBSTITUTE($G460,"-"," ",LEN($G460)-LEN(SUBSTITUTE($G460,"-",""))),"-"," ",LEN($G460)-LEN(SUBSTITUTE($G460,"-",""))-1),"."," ",(LEN(SUBSTITUTE(SUBSTITUTE($G460,"-"," ",LEN($G460)-LEN(SUBSTITUTE($G460,"-",""))),"-"," ",LEN($G460)-LEN(SUBSTITUTE($G460,"-",""))-1))-LEN(SUBSTITUTE(SUBSTITUTE(SUBSTITUTE($G460,"-"," ",LEN($G460)-LEN(SUBSTITUTE($G460,"-",""))),"-"," ",LEN($G460)-LEN(SUBSTITUTE($G460,"-",""))-1),".",""))))),$G460)))</f>
        <v/>
      </c>
    </row>
    <row r="461">
      <c r="A461" s="58" t="n"/>
      <c r="B461" s="58">
        <f>IF($H461="","",LEFT($H461,FIND(" ",$H461&amp;" ")-1))</f>
        <v/>
      </c>
      <c r="C461" s="58">
        <f>IF($H461="","",IFERROR(MID($H461&amp;" ",FIND("|",SUBSTITUTE($H461&amp;" "," ","|",1))+1,FIND("|",SUBSTITUTE($H461&amp;" "," ","|",2))-FIND("|",SUBSTITUTE($H461&amp;" "," ","|",1))-1),""))</f>
        <v/>
      </c>
      <c r="D461" s="58">
        <f>IF($H461="","",IFERROR(MID($H461&amp;" ",FIND("|",SUBSTITUTE($H461&amp;" "," ","|",2))+1,FIND("|",SUBSTITUTE($H461&amp;" "," ","|",3))-FIND("|",SUBSTITUTE($H461&amp;" "," ","|",2))-1),""))</f>
        <v/>
      </c>
      <c r="E461" s="58">
        <f>IF($H461="","",IFERROR(MID($H461&amp;" ",FIND("|",SUBSTITUTE($H461&amp;" "," ","|",3))+1,FIND("|",SUBSTITUTE($H461&amp;" "," ","|",4))-FIND("|",SUBSTITUTE($H461&amp;" "," ","|",3))-1),""))</f>
        <v/>
      </c>
      <c r="F461" s="59">
        <f>IF($H461="","",IFERROR(VALUE(IFERROR(MID($H461&amp;" ",FIND("|",SUBSTITUTE($H461&amp;" "," ","|",4))+1,FIND("|",SUBSTITUTE($H461&amp;" "," ","|",5))-FIND("|",SUBSTITUTE($H461&amp;" "," ","|",4))-1),""))/86400+25569+9/24,""))</f>
        <v/>
      </c>
      <c r="G461" s="58">
        <f>TRIM(SUBSTITUTE(SUBSTITUTE(SUBSTITUTE($A461,CHAR(9)," ")," "," "),CHAR(13),""))</f>
        <v/>
      </c>
      <c r="H461" s="58">
        <f>IF($G461="","",IF(ISNUMBER(FIND(" ",$G461)),$G461,IFERROR(IF((LEN(SUBSTITUTE(SUBSTITUTE($G461,"-"," ",LEN($G461)-LEN(SUBSTITUTE($G461,"-",""))),"-"," ",LEN($G461)-LEN(SUBSTITUTE($G461,"-",""))-1))-LEN(SUBSTITUTE(SUBSTITUTE(SUBSTITUTE($G461,"-"," ",LEN($G461)-LEN(SUBSTITUTE($G461,"-",""))),"-"," ",LEN($G461)-LEN(SUBSTITUTE($G461,"-",""))-1),".","")))=0,SUBSTITUTE(SUBSTITUTE($G461,"-"," ",LEN($G461)-LEN(SUBSTITUTE($G461,"-",""))),"-"," ",LEN($G461)-LEN(SUBSTITUTE($G461,"-",""))-1),SUBSTITUTE(SUBSTITUTE(SUBSTITUTE($G461,"-"," ",LEN($G461)-LEN(SUBSTITUTE($G461,"-",""))),"-"," ",LEN($G461)-LEN(SUBSTITUTE($G461,"-",""))-1),"."," ",(LEN(SUBSTITUTE(SUBSTITUTE($G461,"-"," ",LEN($G461)-LEN(SUBSTITUTE($G461,"-",""))),"-"," ",LEN($G461)-LEN(SUBSTITUTE($G461,"-",""))-1))-LEN(SUBSTITUTE(SUBSTITUTE(SUBSTITUTE($G461,"-"," ",LEN($G461)-LEN(SUBSTITUTE($G461,"-",""))),"-"," ",LEN($G461)-LEN(SUBSTITUTE($G461,"-",""))-1),".",""))))),$G461)))</f>
        <v/>
      </c>
    </row>
    <row r="462">
      <c r="A462" s="58" t="n"/>
      <c r="B462" s="58">
        <f>IF($H462="","",LEFT($H462,FIND(" ",$H462&amp;" ")-1))</f>
        <v/>
      </c>
      <c r="C462" s="58">
        <f>IF($H462="","",IFERROR(MID($H462&amp;" ",FIND("|",SUBSTITUTE($H462&amp;" "," ","|",1))+1,FIND("|",SUBSTITUTE($H462&amp;" "," ","|",2))-FIND("|",SUBSTITUTE($H462&amp;" "," ","|",1))-1),""))</f>
        <v/>
      </c>
      <c r="D462" s="58">
        <f>IF($H462="","",IFERROR(MID($H462&amp;" ",FIND("|",SUBSTITUTE($H462&amp;" "," ","|",2))+1,FIND("|",SUBSTITUTE($H462&amp;" "," ","|",3))-FIND("|",SUBSTITUTE($H462&amp;" "," ","|",2))-1),""))</f>
        <v/>
      </c>
      <c r="E462" s="58">
        <f>IF($H462="","",IFERROR(MID($H462&amp;" ",FIND("|",SUBSTITUTE($H462&amp;" "," ","|",3))+1,FIND("|",SUBSTITUTE($H462&amp;" "," ","|",4))-FIND("|",SUBSTITUTE($H462&amp;" "," ","|",3))-1),""))</f>
        <v/>
      </c>
      <c r="F462" s="59">
        <f>IF($H462="","",IFERROR(VALUE(IFERROR(MID($H462&amp;" ",FIND("|",SUBSTITUTE($H462&amp;" "," ","|",4))+1,FIND("|",SUBSTITUTE($H462&amp;" "," ","|",5))-FIND("|",SUBSTITUTE($H462&amp;" "," ","|",4))-1),""))/86400+25569+9/24,""))</f>
        <v/>
      </c>
      <c r="G462" s="58">
        <f>TRIM(SUBSTITUTE(SUBSTITUTE(SUBSTITUTE($A462,CHAR(9)," ")," "," "),CHAR(13),""))</f>
        <v/>
      </c>
      <c r="H462" s="58">
        <f>IF($G462="","",IF(ISNUMBER(FIND(" ",$G462)),$G462,IFERROR(IF((LEN(SUBSTITUTE(SUBSTITUTE($G462,"-"," ",LEN($G462)-LEN(SUBSTITUTE($G462,"-",""))),"-"," ",LEN($G462)-LEN(SUBSTITUTE($G462,"-",""))-1))-LEN(SUBSTITUTE(SUBSTITUTE(SUBSTITUTE($G462,"-"," ",LEN($G462)-LEN(SUBSTITUTE($G462,"-",""))),"-"," ",LEN($G462)-LEN(SUBSTITUTE($G462,"-",""))-1),".","")))=0,SUBSTITUTE(SUBSTITUTE($G462,"-"," ",LEN($G462)-LEN(SUBSTITUTE($G462,"-",""))),"-"," ",LEN($G462)-LEN(SUBSTITUTE($G462,"-",""))-1),SUBSTITUTE(SUBSTITUTE(SUBSTITUTE($G462,"-"," ",LEN($G462)-LEN(SUBSTITUTE($G462,"-",""))),"-"," ",LEN($G462)-LEN(SUBSTITUTE($G462,"-",""))-1),"."," ",(LEN(SUBSTITUTE(SUBSTITUTE($G462,"-"," ",LEN($G462)-LEN(SUBSTITUTE($G462,"-",""))),"-"," ",LEN($G462)-LEN(SUBSTITUTE($G462,"-",""))-1))-LEN(SUBSTITUTE(SUBSTITUTE(SUBSTITUTE($G462,"-"," ",LEN($G462)-LEN(SUBSTITUTE($G462,"-",""))),"-"," ",LEN($G462)-LEN(SUBSTITUTE($G462,"-",""))-1),".",""))))),$G462)))</f>
        <v/>
      </c>
    </row>
    <row r="463">
      <c r="A463" s="58" t="n"/>
      <c r="B463" s="58">
        <f>IF($H463="","",LEFT($H463,FIND(" ",$H463&amp;" ")-1))</f>
        <v/>
      </c>
      <c r="C463" s="58">
        <f>IF($H463="","",IFERROR(MID($H463&amp;" ",FIND("|",SUBSTITUTE($H463&amp;" "," ","|",1))+1,FIND("|",SUBSTITUTE($H463&amp;" "," ","|",2))-FIND("|",SUBSTITUTE($H463&amp;" "," ","|",1))-1),""))</f>
        <v/>
      </c>
      <c r="D463" s="58">
        <f>IF($H463="","",IFERROR(MID($H463&amp;" ",FIND("|",SUBSTITUTE($H463&amp;" "," ","|",2))+1,FIND("|",SUBSTITUTE($H463&amp;" "," ","|",3))-FIND("|",SUBSTITUTE($H463&amp;" "," ","|",2))-1),""))</f>
        <v/>
      </c>
      <c r="E463" s="58">
        <f>IF($H463="","",IFERROR(MID($H463&amp;" ",FIND("|",SUBSTITUTE($H463&amp;" "," ","|",3))+1,FIND("|",SUBSTITUTE($H463&amp;" "," ","|",4))-FIND("|",SUBSTITUTE($H463&amp;" "," ","|",3))-1),""))</f>
        <v/>
      </c>
      <c r="F463" s="59">
        <f>IF($H463="","",IFERROR(VALUE(IFERROR(MID($H463&amp;" ",FIND("|",SUBSTITUTE($H463&amp;" "," ","|",4))+1,FIND("|",SUBSTITUTE($H463&amp;" "," ","|",5))-FIND("|",SUBSTITUTE($H463&amp;" "," ","|",4))-1),""))/86400+25569+9/24,""))</f>
        <v/>
      </c>
      <c r="G463" s="58">
        <f>TRIM(SUBSTITUTE(SUBSTITUTE(SUBSTITUTE($A463,CHAR(9)," ")," "," "),CHAR(13),""))</f>
        <v/>
      </c>
      <c r="H463" s="58">
        <f>IF($G463="","",IF(ISNUMBER(FIND(" ",$G463)),$G463,IFERROR(IF((LEN(SUBSTITUTE(SUBSTITUTE($G463,"-"," ",LEN($G463)-LEN(SUBSTITUTE($G463,"-",""))),"-"," ",LEN($G463)-LEN(SUBSTITUTE($G463,"-",""))-1))-LEN(SUBSTITUTE(SUBSTITUTE(SUBSTITUTE($G463,"-"," ",LEN($G463)-LEN(SUBSTITUTE($G463,"-",""))),"-"," ",LEN($G463)-LEN(SUBSTITUTE($G463,"-",""))-1),".","")))=0,SUBSTITUTE(SUBSTITUTE($G463,"-"," ",LEN($G463)-LEN(SUBSTITUTE($G463,"-",""))),"-"," ",LEN($G463)-LEN(SUBSTITUTE($G463,"-",""))-1),SUBSTITUTE(SUBSTITUTE(SUBSTITUTE($G463,"-"," ",LEN($G463)-LEN(SUBSTITUTE($G463,"-",""))),"-"," ",LEN($G463)-LEN(SUBSTITUTE($G463,"-",""))-1),"."," ",(LEN(SUBSTITUTE(SUBSTITUTE($G463,"-"," ",LEN($G463)-LEN(SUBSTITUTE($G463,"-",""))),"-"," ",LEN($G463)-LEN(SUBSTITUTE($G463,"-",""))-1))-LEN(SUBSTITUTE(SUBSTITUTE(SUBSTITUTE($G463,"-"," ",LEN($G463)-LEN(SUBSTITUTE($G463,"-",""))),"-"," ",LEN($G463)-LEN(SUBSTITUTE($G463,"-",""))-1),".",""))))),$G463)))</f>
        <v/>
      </c>
    </row>
    <row r="464">
      <c r="A464" s="58" t="n"/>
      <c r="B464" s="58">
        <f>IF($H464="","",LEFT($H464,FIND(" ",$H464&amp;" ")-1))</f>
        <v/>
      </c>
      <c r="C464" s="58">
        <f>IF($H464="","",IFERROR(MID($H464&amp;" ",FIND("|",SUBSTITUTE($H464&amp;" "," ","|",1))+1,FIND("|",SUBSTITUTE($H464&amp;" "," ","|",2))-FIND("|",SUBSTITUTE($H464&amp;" "," ","|",1))-1),""))</f>
        <v/>
      </c>
      <c r="D464" s="58">
        <f>IF($H464="","",IFERROR(MID($H464&amp;" ",FIND("|",SUBSTITUTE($H464&amp;" "," ","|",2))+1,FIND("|",SUBSTITUTE($H464&amp;" "," ","|",3))-FIND("|",SUBSTITUTE($H464&amp;" "," ","|",2))-1),""))</f>
        <v/>
      </c>
      <c r="E464" s="58">
        <f>IF($H464="","",IFERROR(MID($H464&amp;" ",FIND("|",SUBSTITUTE($H464&amp;" "," ","|",3))+1,FIND("|",SUBSTITUTE($H464&amp;" "," ","|",4))-FIND("|",SUBSTITUTE($H464&amp;" "," ","|",3))-1),""))</f>
        <v/>
      </c>
      <c r="F464" s="59">
        <f>IF($H464="","",IFERROR(VALUE(IFERROR(MID($H464&amp;" ",FIND("|",SUBSTITUTE($H464&amp;" "," ","|",4))+1,FIND("|",SUBSTITUTE($H464&amp;" "," ","|",5))-FIND("|",SUBSTITUTE($H464&amp;" "," ","|",4))-1),""))/86400+25569+9/24,""))</f>
        <v/>
      </c>
      <c r="G464" s="58">
        <f>TRIM(SUBSTITUTE(SUBSTITUTE(SUBSTITUTE($A464,CHAR(9)," ")," "," "),CHAR(13),""))</f>
        <v/>
      </c>
      <c r="H464" s="58">
        <f>IF($G464="","",IF(ISNUMBER(FIND(" ",$G464)),$G464,IFERROR(IF((LEN(SUBSTITUTE(SUBSTITUTE($G464,"-"," ",LEN($G464)-LEN(SUBSTITUTE($G464,"-",""))),"-"," ",LEN($G464)-LEN(SUBSTITUTE($G464,"-",""))-1))-LEN(SUBSTITUTE(SUBSTITUTE(SUBSTITUTE($G464,"-"," ",LEN($G464)-LEN(SUBSTITUTE($G464,"-",""))),"-"," ",LEN($G464)-LEN(SUBSTITUTE($G464,"-",""))-1),".","")))=0,SUBSTITUTE(SUBSTITUTE($G464,"-"," ",LEN($G464)-LEN(SUBSTITUTE($G464,"-",""))),"-"," ",LEN($G464)-LEN(SUBSTITUTE($G464,"-",""))-1),SUBSTITUTE(SUBSTITUTE(SUBSTITUTE($G464,"-"," ",LEN($G464)-LEN(SUBSTITUTE($G464,"-",""))),"-"," ",LEN($G464)-LEN(SUBSTITUTE($G464,"-",""))-1),"."," ",(LEN(SUBSTITUTE(SUBSTITUTE($G464,"-"," ",LEN($G464)-LEN(SUBSTITUTE($G464,"-",""))),"-"," ",LEN($G464)-LEN(SUBSTITUTE($G464,"-",""))-1))-LEN(SUBSTITUTE(SUBSTITUTE(SUBSTITUTE($G464,"-"," ",LEN($G464)-LEN(SUBSTITUTE($G464,"-",""))),"-"," ",LEN($G464)-LEN(SUBSTITUTE($G464,"-",""))-1),".",""))))),$G464)))</f>
        <v/>
      </c>
    </row>
    <row r="465">
      <c r="A465" s="58" t="n"/>
      <c r="B465" s="58">
        <f>IF($H465="","",LEFT($H465,FIND(" ",$H465&amp;" ")-1))</f>
        <v/>
      </c>
      <c r="C465" s="58">
        <f>IF($H465="","",IFERROR(MID($H465&amp;" ",FIND("|",SUBSTITUTE($H465&amp;" "," ","|",1))+1,FIND("|",SUBSTITUTE($H465&amp;" "," ","|",2))-FIND("|",SUBSTITUTE($H465&amp;" "," ","|",1))-1),""))</f>
        <v/>
      </c>
      <c r="D465" s="58">
        <f>IF($H465="","",IFERROR(MID($H465&amp;" ",FIND("|",SUBSTITUTE($H465&amp;" "," ","|",2))+1,FIND("|",SUBSTITUTE($H465&amp;" "," ","|",3))-FIND("|",SUBSTITUTE($H465&amp;" "," ","|",2))-1),""))</f>
        <v/>
      </c>
      <c r="E465" s="58">
        <f>IF($H465="","",IFERROR(MID($H465&amp;" ",FIND("|",SUBSTITUTE($H465&amp;" "," ","|",3))+1,FIND("|",SUBSTITUTE($H465&amp;" "," ","|",4))-FIND("|",SUBSTITUTE($H465&amp;" "," ","|",3))-1),""))</f>
        <v/>
      </c>
      <c r="F465" s="59">
        <f>IF($H465="","",IFERROR(VALUE(IFERROR(MID($H465&amp;" ",FIND("|",SUBSTITUTE($H465&amp;" "," ","|",4))+1,FIND("|",SUBSTITUTE($H465&amp;" "," ","|",5))-FIND("|",SUBSTITUTE($H465&amp;" "," ","|",4))-1),""))/86400+25569+9/24,""))</f>
        <v/>
      </c>
      <c r="G465" s="58">
        <f>TRIM(SUBSTITUTE(SUBSTITUTE(SUBSTITUTE($A465,CHAR(9)," ")," "," "),CHAR(13),""))</f>
        <v/>
      </c>
      <c r="H465" s="58">
        <f>IF($G465="","",IF(ISNUMBER(FIND(" ",$G465)),$G465,IFERROR(IF((LEN(SUBSTITUTE(SUBSTITUTE($G465,"-"," ",LEN($G465)-LEN(SUBSTITUTE($G465,"-",""))),"-"," ",LEN($G465)-LEN(SUBSTITUTE($G465,"-",""))-1))-LEN(SUBSTITUTE(SUBSTITUTE(SUBSTITUTE($G465,"-"," ",LEN($G465)-LEN(SUBSTITUTE($G465,"-",""))),"-"," ",LEN($G465)-LEN(SUBSTITUTE($G465,"-",""))-1),".","")))=0,SUBSTITUTE(SUBSTITUTE($G465,"-"," ",LEN($G465)-LEN(SUBSTITUTE($G465,"-",""))),"-"," ",LEN($G465)-LEN(SUBSTITUTE($G465,"-",""))-1),SUBSTITUTE(SUBSTITUTE(SUBSTITUTE($G465,"-"," ",LEN($G465)-LEN(SUBSTITUTE($G465,"-",""))),"-"," ",LEN($G465)-LEN(SUBSTITUTE($G465,"-",""))-1),"."," ",(LEN(SUBSTITUTE(SUBSTITUTE($G465,"-"," ",LEN($G465)-LEN(SUBSTITUTE($G465,"-",""))),"-"," ",LEN($G465)-LEN(SUBSTITUTE($G465,"-",""))-1))-LEN(SUBSTITUTE(SUBSTITUTE(SUBSTITUTE($G465,"-"," ",LEN($G465)-LEN(SUBSTITUTE($G465,"-",""))),"-"," ",LEN($G465)-LEN(SUBSTITUTE($G465,"-",""))-1),".",""))))),$G465)))</f>
        <v/>
      </c>
    </row>
    <row r="466">
      <c r="A466" s="58" t="n"/>
      <c r="B466" s="58">
        <f>IF($H466="","",LEFT($H466,FIND(" ",$H466&amp;" ")-1))</f>
        <v/>
      </c>
      <c r="C466" s="58">
        <f>IF($H466="","",IFERROR(MID($H466&amp;" ",FIND("|",SUBSTITUTE($H466&amp;" "," ","|",1))+1,FIND("|",SUBSTITUTE($H466&amp;" "," ","|",2))-FIND("|",SUBSTITUTE($H466&amp;" "," ","|",1))-1),""))</f>
        <v/>
      </c>
      <c r="D466" s="58">
        <f>IF($H466="","",IFERROR(MID($H466&amp;" ",FIND("|",SUBSTITUTE($H466&amp;" "," ","|",2))+1,FIND("|",SUBSTITUTE($H466&amp;" "," ","|",3))-FIND("|",SUBSTITUTE($H466&amp;" "," ","|",2))-1),""))</f>
        <v/>
      </c>
      <c r="E466" s="58">
        <f>IF($H466="","",IFERROR(MID($H466&amp;" ",FIND("|",SUBSTITUTE($H466&amp;" "," ","|",3))+1,FIND("|",SUBSTITUTE($H466&amp;" "," ","|",4))-FIND("|",SUBSTITUTE($H466&amp;" "," ","|",3))-1),""))</f>
        <v/>
      </c>
      <c r="F466" s="59">
        <f>IF($H466="","",IFERROR(VALUE(IFERROR(MID($H466&amp;" ",FIND("|",SUBSTITUTE($H466&amp;" "," ","|",4))+1,FIND("|",SUBSTITUTE($H466&amp;" "," ","|",5))-FIND("|",SUBSTITUTE($H466&amp;" "," ","|",4))-1),""))/86400+25569+9/24,""))</f>
        <v/>
      </c>
      <c r="G466" s="58">
        <f>TRIM(SUBSTITUTE(SUBSTITUTE(SUBSTITUTE($A466,CHAR(9)," ")," "," "),CHAR(13),""))</f>
        <v/>
      </c>
      <c r="H466" s="58">
        <f>IF($G466="","",IF(ISNUMBER(FIND(" ",$G466)),$G466,IFERROR(IF((LEN(SUBSTITUTE(SUBSTITUTE($G466,"-"," ",LEN($G466)-LEN(SUBSTITUTE($G466,"-",""))),"-"," ",LEN($G466)-LEN(SUBSTITUTE($G466,"-",""))-1))-LEN(SUBSTITUTE(SUBSTITUTE(SUBSTITUTE($G466,"-"," ",LEN($G466)-LEN(SUBSTITUTE($G466,"-",""))),"-"," ",LEN($G466)-LEN(SUBSTITUTE($G466,"-",""))-1),".","")))=0,SUBSTITUTE(SUBSTITUTE($G466,"-"," ",LEN($G466)-LEN(SUBSTITUTE($G466,"-",""))),"-"," ",LEN($G466)-LEN(SUBSTITUTE($G466,"-",""))-1),SUBSTITUTE(SUBSTITUTE(SUBSTITUTE($G466,"-"," ",LEN($G466)-LEN(SUBSTITUTE($G466,"-",""))),"-"," ",LEN($G466)-LEN(SUBSTITUTE($G466,"-",""))-1),"."," ",(LEN(SUBSTITUTE(SUBSTITUTE($G466,"-"," ",LEN($G466)-LEN(SUBSTITUTE($G466,"-",""))),"-"," ",LEN($G466)-LEN(SUBSTITUTE($G466,"-",""))-1))-LEN(SUBSTITUTE(SUBSTITUTE(SUBSTITUTE($G466,"-"," ",LEN($G466)-LEN(SUBSTITUTE($G466,"-",""))),"-"," ",LEN($G466)-LEN(SUBSTITUTE($G466,"-",""))-1),".",""))))),$G466)))</f>
        <v/>
      </c>
    </row>
    <row r="467">
      <c r="A467" s="58" t="n"/>
      <c r="B467" s="58">
        <f>IF($H467="","",LEFT($H467,FIND(" ",$H467&amp;" ")-1))</f>
        <v/>
      </c>
      <c r="C467" s="58">
        <f>IF($H467="","",IFERROR(MID($H467&amp;" ",FIND("|",SUBSTITUTE($H467&amp;" "," ","|",1))+1,FIND("|",SUBSTITUTE($H467&amp;" "," ","|",2))-FIND("|",SUBSTITUTE($H467&amp;" "," ","|",1))-1),""))</f>
        <v/>
      </c>
      <c r="D467" s="58">
        <f>IF($H467="","",IFERROR(MID($H467&amp;" ",FIND("|",SUBSTITUTE($H467&amp;" "," ","|",2))+1,FIND("|",SUBSTITUTE($H467&amp;" "," ","|",3))-FIND("|",SUBSTITUTE($H467&amp;" "," ","|",2))-1),""))</f>
        <v/>
      </c>
      <c r="E467" s="58">
        <f>IF($H467="","",IFERROR(MID($H467&amp;" ",FIND("|",SUBSTITUTE($H467&amp;" "," ","|",3))+1,FIND("|",SUBSTITUTE($H467&amp;" "," ","|",4))-FIND("|",SUBSTITUTE($H467&amp;" "," ","|",3))-1),""))</f>
        <v/>
      </c>
      <c r="F467" s="59">
        <f>IF($H467="","",IFERROR(VALUE(IFERROR(MID($H467&amp;" ",FIND("|",SUBSTITUTE($H467&amp;" "," ","|",4))+1,FIND("|",SUBSTITUTE($H467&amp;" "," ","|",5))-FIND("|",SUBSTITUTE($H467&amp;" "," ","|",4))-1),""))/86400+25569+9/24,""))</f>
        <v/>
      </c>
      <c r="G467" s="58">
        <f>TRIM(SUBSTITUTE(SUBSTITUTE(SUBSTITUTE($A467,CHAR(9)," ")," "," "),CHAR(13),""))</f>
        <v/>
      </c>
      <c r="H467" s="58">
        <f>IF($G467="","",IF(ISNUMBER(FIND(" ",$G467)),$G467,IFERROR(IF((LEN(SUBSTITUTE(SUBSTITUTE($G467,"-"," ",LEN($G467)-LEN(SUBSTITUTE($G467,"-",""))),"-"," ",LEN($G467)-LEN(SUBSTITUTE($G467,"-",""))-1))-LEN(SUBSTITUTE(SUBSTITUTE(SUBSTITUTE($G467,"-"," ",LEN($G467)-LEN(SUBSTITUTE($G467,"-",""))),"-"," ",LEN($G467)-LEN(SUBSTITUTE($G467,"-",""))-1),".","")))=0,SUBSTITUTE(SUBSTITUTE($G467,"-"," ",LEN($G467)-LEN(SUBSTITUTE($G467,"-",""))),"-"," ",LEN($G467)-LEN(SUBSTITUTE($G467,"-",""))-1),SUBSTITUTE(SUBSTITUTE(SUBSTITUTE($G467,"-"," ",LEN($G467)-LEN(SUBSTITUTE($G467,"-",""))),"-"," ",LEN($G467)-LEN(SUBSTITUTE($G467,"-",""))-1),"."," ",(LEN(SUBSTITUTE(SUBSTITUTE($G467,"-"," ",LEN($G467)-LEN(SUBSTITUTE($G467,"-",""))),"-"," ",LEN($G467)-LEN(SUBSTITUTE($G467,"-",""))-1))-LEN(SUBSTITUTE(SUBSTITUTE(SUBSTITUTE($G467,"-"," ",LEN($G467)-LEN(SUBSTITUTE($G467,"-",""))),"-"," ",LEN($G467)-LEN(SUBSTITUTE($G467,"-",""))-1),".",""))))),$G467)))</f>
        <v/>
      </c>
    </row>
    <row r="468">
      <c r="A468" s="58" t="n"/>
      <c r="B468" s="58">
        <f>IF($H468="","",LEFT($H468,FIND(" ",$H468&amp;" ")-1))</f>
        <v/>
      </c>
      <c r="C468" s="58">
        <f>IF($H468="","",IFERROR(MID($H468&amp;" ",FIND("|",SUBSTITUTE($H468&amp;" "," ","|",1))+1,FIND("|",SUBSTITUTE($H468&amp;" "," ","|",2))-FIND("|",SUBSTITUTE($H468&amp;" "," ","|",1))-1),""))</f>
        <v/>
      </c>
      <c r="D468" s="58">
        <f>IF($H468="","",IFERROR(MID($H468&amp;" ",FIND("|",SUBSTITUTE($H468&amp;" "," ","|",2))+1,FIND("|",SUBSTITUTE($H468&amp;" "," ","|",3))-FIND("|",SUBSTITUTE($H468&amp;" "," ","|",2))-1),""))</f>
        <v/>
      </c>
      <c r="E468" s="58">
        <f>IF($H468="","",IFERROR(MID($H468&amp;" ",FIND("|",SUBSTITUTE($H468&amp;" "," ","|",3))+1,FIND("|",SUBSTITUTE($H468&amp;" "," ","|",4))-FIND("|",SUBSTITUTE($H468&amp;" "," ","|",3))-1),""))</f>
        <v/>
      </c>
      <c r="F468" s="59">
        <f>IF($H468="","",IFERROR(VALUE(IFERROR(MID($H468&amp;" ",FIND("|",SUBSTITUTE($H468&amp;" "," ","|",4))+1,FIND("|",SUBSTITUTE($H468&amp;" "," ","|",5))-FIND("|",SUBSTITUTE($H468&amp;" "," ","|",4))-1),""))/86400+25569+9/24,""))</f>
        <v/>
      </c>
      <c r="G468" s="58">
        <f>TRIM(SUBSTITUTE(SUBSTITUTE(SUBSTITUTE($A468,CHAR(9)," ")," "," "),CHAR(13),""))</f>
        <v/>
      </c>
      <c r="H468" s="58">
        <f>IF($G468="","",IF(ISNUMBER(FIND(" ",$G468)),$G468,IFERROR(IF((LEN(SUBSTITUTE(SUBSTITUTE($G468,"-"," ",LEN($G468)-LEN(SUBSTITUTE($G468,"-",""))),"-"," ",LEN($G468)-LEN(SUBSTITUTE($G468,"-",""))-1))-LEN(SUBSTITUTE(SUBSTITUTE(SUBSTITUTE($G468,"-"," ",LEN($G468)-LEN(SUBSTITUTE($G468,"-",""))),"-"," ",LEN($G468)-LEN(SUBSTITUTE($G468,"-",""))-1),".","")))=0,SUBSTITUTE(SUBSTITUTE($G468,"-"," ",LEN($G468)-LEN(SUBSTITUTE($G468,"-",""))),"-"," ",LEN($G468)-LEN(SUBSTITUTE($G468,"-",""))-1),SUBSTITUTE(SUBSTITUTE(SUBSTITUTE($G468,"-"," ",LEN($G468)-LEN(SUBSTITUTE($G468,"-",""))),"-"," ",LEN($G468)-LEN(SUBSTITUTE($G468,"-",""))-1),"."," ",(LEN(SUBSTITUTE(SUBSTITUTE($G468,"-"," ",LEN($G468)-LEN(SUBSTITUTE($G468,"-",""))),"-"," ",LEN($G468)-LEN(SUBSTITUTE($G468,"-",""))-1))-LEN(SUBSTITUTE(SUBSTITUTE(SUBSTITUTE($G468,"-"," ",LEN($G468)-LEN(SUBSTITUTE($G468,"-",""))),"-"," ",LEN($G468)-LEN(SUBSTITUTE($G468,"-",""))-1),".",""))))),$G468)))</f>
        <v/>
      </c>
    </row>
    <row r="469">
      <c r="A469" s="58" t="n"/>
      <c r="B469" s="58">
        <f>IF($H469="","",LEFT($H469,FIND(" ",$H469&amp;" ")-1))</f>
        <v/>
      </c>
      <c r="C469" s="58">
        <f>IF($H469="","",IFERROR(MID($H469&amp;" ",FIND("|",SUBSTITUTE($H469&amp;" "," ","|",1))+1,FIND("|",SUBSTITUTE($H469&amp;" "," ","|",2))-FIND("|",SUBSTITUTE($H469&amp;" "," ","|",1))-1),""))</f>
        <v/>
      </c>
      <c r="D469" s="58">
        <f>IF($H469="","",IFERROR(MID($H469&amp;" ",FIND("|",SUBSTITUTE($H469&amp;" "," ","|",2))+1,FIND("|",SUBSTITUTE($H469&amp;" "," ","|",3))-FIND("|",SUBSTITUTE($H469&amp;" "," ","|",2))-1),""))</f>
        <v/>
      </c>
      <c r="E469" s="58">
        <f>IF($H469="","",IFERROR(MID($H469&amp;" ",FIND("|",SUBSTITUTE($H469&amp;" "," ","|",3))+1,FIND("|",SUBSTITUTE($H469&amp;" "," ","|",4))-FIND("|",SUBSTITUTE($H469&amp;" "," ","|",3))-1),""))</f>
        <v/>
      </c>
      <c r="F469" s="59">
        <f>IF($H469="","",IFERROR(VALUE(IFERROR(MID($H469&amp;" ",FIND("|",SUBSTITUTE($H469&amp;" "," ","|",4))+1,FIND("|",SUBSTITUTE($H469&amp;" "," ","|",5))-FIND("|",SUBSTITUTE($H469&amp;" "," ","|",4))-1),""))/86400+25569+9/24,""))</f>
        <v/>
      </c>
      <c r="G469" s="58">
        <f>TRIM(SUBSTITUTE(SUBSTITUTE(SUBSTITUTE($A469,CHAR(9)," ")," "," "),CHAR(13),""))</f>
        <v/>
      </c>
      <c r="H469" s="58">
        <f>IF($G469="","",IF(ISNUMBER(FIND(" ",$G469)),$G469,IFERROR(IF((LEN(SUBSTITUTE(SUBSTITUTE($G469,"-"," ",LEN($G469)-LEN(SUBSTITUTE($G469,"-",""))),"-"," ",LEN($G469)-LEN(SUBSTITUTE($G469,"-",""))-1))-LEN(SUBSTITUTE(SUBSTITUTE(SUBSTITUTE($G469,"-"," ",LEN($G469)-LEN(SUBSTITUTE($G469,"-",""))),"-"," ",LEN($G469)-LEN(SUBSTITUTE($G469,"-",""))-1),".","")))=0,SUBSTITUTE(SUBSTITUTE($G469,"-"," ",LEN($G469)-LEN(SUBSTITUTE($G469,"-",""))),"-"," ",LEN($G469)-LEN(SUBSTITUTE($G469,"-",""))-1),SUBSTITUTE(SUBSTITUTE(SUBSTITUTE($G469,"-"," ",LEN($G469)-LEN(SUBSTITUTE($G469,"-",""))),"-"," ",LEN($G469)-LEN(SUBSTITUTE($G469,"-",""))-1),"."," ",(LEN(SUBSTITUTE(SUBSTITUTE($G469,"-"," ",LEN($G469)-LEN(SUBSTITUTE($G469,"-",""))),"-"," ",LEN($G469)-LEN(SUBSTITUTE($G469,"-",""))-1))-LEN(SUBSTITUTE(SUBSTITUTE(SUBSTITUTE($G469,"-"," ",LEN($G469)-LEN(SUBSTITUTE($G469,"-",""))),"-"," ",LEN($G469)-LEN(SUBSTITUTE($G469,"-",""))-1),".",""))))),$G469)))</f>
        <v/>
      </c>
    </row>
    <row r="470">
      <c r="A470" s="58" t="n"/>
      <c r="B470" s="58">
        <f>IF($H470="","",LEFT($H470,FIND(" ",$H470&amp;" ")-1))</f>
        <v/>
      </c>
      <c r="C470" s="58">
        <f>IF($H470="","",IFERROR(MID($H470&amp;" ",FIND("|",SUBSTITUTE($H470&amp;" "," ","|",1))+1,FIND("|",SUBSTITUTE($H470&amp;" "," ","|",2))-FIND("|",SUBSTITUTE($H470&amp;" "," ","|",1))-1),""))</f>
        <v/>
      </c>
      <c r="D470" s="58">
        <f>IF($H470="","",IFERROR(MID($H470&amp;" ",FIND("|",SUBSTITUTE($H470&amp;" "," ","|",2))+1,FIND("|",SUBSTITUTE($H470&amp;" "," ","|",3))-FIND("|",SUBSTITUTE($H470&amp;" "," ","|",2))-1),""))</f>
        <v/>
      </c>
      <c r="E470" s="58">
        <f>IF($H470="","",IFERROR(MID($H470&amp;" ",FIND("|",SUBSTITUTE($H470&amp;" "," ","|",3))+1,FIND("|",SUBSTITUTE($H470&amp;" "," ","|",4))-FIND("|",SUBSTITUTE($H470&amp;" "," ","|",3))-1),""))</f>
        <v/>
      </c>
      <c r="F470" s="59">
        <f>IF($H470="","",IFERROR(VALUE(IFERROR(MID($H470&amp;" ",FIND("|",SUBSTITUTE($H470&amp;" "," ","|",4))+1,FIND("|",SUBSTITUTE($H470&amp;" "," ","|",5))-FIND("|",SUBSTITUTE($H470&amp;" "," ","|",4))-1),""))/86400+25569+9/24,""))</f>
        <v/>
      </c>
      <c r="G470" s="58">
        <f>TRIM(SUBSTITUTE(SUBSTITUTE(SUBSTITUTE($A470,CHAR(9)," ")," "," "),CHAR(13),""))</f>
        <v/>
      </c>
      <c r="H470" s="58">
        <f>IF($G470="","",IF(ISNUMBER(FIND(" ",$G470)),$G470,IFERROR(IF((LEN(SUBSTITUTE(SUBSTITUTE($G470,"-"," ",LEN($G470)-LEN(SUBSTITUTE($G470,"-",""))),"-"," ",LEN($G470)-LEN(SUBSTITUTE($G470,"-",""))-1))-LEN(SUBSTITUTE(SUBSTITUTE(SUBSTITUTE($G470,"-"," ",LEN($G470)-LEN(SUBSTITUTE($G470,"-",""))),"-"," ",LEN($G470)-LEN(SUBSTITUTE($G470,"-",""))-1),".","")))=0,SUBSTITUTE(SUBSTITUTE($G470,"-"," ",LEN($G470)-LEN(SUBSTITUTE($G470,"-",""))),"-"," ",LEN($G470)-LEN(SUBSTITUTE($G470,"-",""))-1),SUBSTITUTE(SUBSTITUTE(SUBSTITUTE($G470,"-"," ",LEN($G470)-LEN(SUBSTITUTE($G470,"-",""))),"-"," ",LEN($G470)-LEN(SUBSTITUTE($G470,"-",""))-1),"."," ",(LEN(SUBSTITUTE(SUBSTITUTE($G470,"-"," ",LEN($G470)-LEN(SUBSTITUTE($G470,"-",""))),"-"," ",LEN($G470)-LEN(SUBSTITUTE($G470,"-",""))-1))-LEN(SUBSTITUTE(SUBSTITUTE(SUBSTITUTE($G470,"-"," ",LEN($G470)-LEN(SUBSTITUTE($G470,"-",""))),"-"," ",LEN($G470)-LEN(SUBSTITUTE($G470,"-",""))-1),".",""))))),$G470)))</f>
        <v/>
      </c>
    </row>
    <row r="471">
      <c r="A471" s="58" t="n"/>
      <c r="B471" s="58">
        <f>IF($H471="","",LEFT($H471,FIND(" ",$H471&amp;" ")-1))</f>
        <v/>
      </c>
      <c r="C471" s="58">
        <f>IF($H471="","",IFERROR(MID($H471&amp;" ",FIND("|",SUBSTITUTE($H471&amp;" "," ","|",1))+1,FIND("|",SUBSTITUTE($H471&amp;" "," ","|",2))-FIND("|",SUBSTITUTE($H471&amp;" "," ","|",1))-1),""))</f>
        <v/>
      </c>
      <c r="D471" s="58">
        <f>IF($H471="","",IFERROR(MID($H471&amp;" ",FIND("|",SUBSTITUTE($H471&amp;" "," ","|",2))+1,FIND("|",SUBSTITUTE($H471&amp;" "," ","|",3))-FIND("|",SUBSTITUTE($H471&amp;" "," ","|",2))-1),""))</f>
        <v/>
      </c>
      <c r="E471" s="58">
        <f>IF($H471="","",IFERROR(MID($H471&amp;" ",FIND("|",SUBSTITUTE($H471&amp;" "," ","|",3))+1,FIND("|",SUBSTITUTE($H471&amp;" "," ","|",4))-FIND("|",SUBSTITUTE($H471&amp;" "," ","|",3))-1),""))</f>
        <v/>
      </c>
      <c r="F471" s="59">
        <f>IF($H471="","",IFERROR(VALUE(IFERROR(MID($H471&amp;" ",FIND("|",SUBSTITUTE($H471&amp;" "," ","|",4))+1,FIND("|",SUBSTITUTE($H471&amp;" "," ","|",5))-FIND("|",SUBSTITUTE($H471&amp;" "," ","|",4))-1),""))/86400+25569+9/24,""))</f>
        <v/>
      </c>
      <c r="G471" s="58">
        <f>TRIM(SUBSTITUTE(SUBSTITUTE(SUBSTITUTE($A471,CHAR(9)," ")," "," "),CHAR(13),""))</f>
        <v/>
      </c>
      <c r="H471" s="58">
        <f>IF($G471="","",IF(ISNUMBER(FIND(" ",$G471)),$G471,IFERROR(IF((LEN(SUBSTITUTE(SUBSTITUTE($G471,"-"," ",LEN($G471)-LEN(SUBSTITUTE($G471,"-",""))),"-"," ",LEN($G471)-LEN(SUBSTITUTE($G471,"-",""))-1))-LEN(SUBSTITUTE(SUBSTITUTE(SUBSTITUTE($G471,"-"," ",LEN($G471)-LEN(SUBSTITUTE($G471,"-",""))),"-"," ",LEN($G471)-LEN(SUBSTITUTE($G471,"-",""))-1),".","")))=0,SUBSTITUTE(SUBSTITUTE($G471,"-"," ",LEN($G471)-LEN(SUBSTITUTE($G471,"-",""))),"-"," ",LEN($G471)-LEN(SUBSTITUTE($G471,"-",""))-1),SUBSTITUTE(SUBSTITUTE(SUBSTITUTE($G471,"-"," ",LEN($G471)-LEN(SUBSTITUTE($G471,"-",""))),"-"," ",LEN($G471)-LEN(SUBSTITUTE($G471,"-",""))-1),"."," ",(LEN(SUBSTITUTE(SUBSTITUTE($G471,"-"," ",LEN($G471)-LEN(SUBSTITUTE($G471,"-",""))),"-"," ",LEN($G471)-LEN(SUBSTITUTE($G471,"-",""))-1))-LEN(SUBSTITUTE(SUBSTITUTE(SUBSTITUTE($G471,"-"," ",LEN($G471)-LEN(SUBSTITUTE($G471,"-",""))),"-"," ",LEN($G471)-LEN(SUBSTITUTE($G471,"-",""))-1),".",""))))),$G471)))</f>
        <v/>
      </c>
    </row>
    <row r="472">
      <c r="A472" s="58" t="n"/>
      <c r="B472" s="58">
        <f>IF($H472="","",LEFT($H472,FIND(" ",$H472&amp;" ")-1))</f>
        <v/>
      </c>
      <c r="C472" s="58">
        <f>IF($H472="","",IFERROR(MID($H472&amp;" ",FIND("|",SUBSTITUTE($H472&amp;" "," ","|",1))+1,FIND("|",SUBSTITUTE($H472&amp;" "," ","|",2))-FIND("|",SUBSTITUTE($H472&amp;" "," ","|",1))-1),""))</f>
        <v/>
      </c>
      <c r="D472" s="58">
        <f>IF($H472="","",IFERROR(MID($H472&amp;" ",FIND("|",SUBSTITUTE($H472&amp;" "," ","|",2))+1,FIND("|",SUBSTITUTE($H472&amp;" "," ","|",3))-FIND("|",SUBSTITUTE($H472&amp;" "," ","|",2))-1),""))</f>
        <v/>
      </c>
      <c r="E472" s="58">
        <f>IF($H472="","",IFERROR(MID($H472&amp;" ",FIND("|",SUBSTITUTE($H472&amp;" "," ","|",3))+1,FIND("|",SUBSTITUTE($H472&amp;" "," ","|",4))-FIND("|",SUBSTITUTE($H472&amp;" "," ","|",3))-1),""))</f>
        <v/>
      </c>
      <c r="F472" s="59">
        <f>IF($H472="","",IFERROR(VALUE(IFERROR(MID($H472&amp;" ",FIND("|",SUBSTITUTE($H472&amp;" "," ","|",4))+1,FIND("|",SUBSTITUTE($H472&amp;" "," ","|",5))-FIND("|",SUBSTITUTE($H472&amp;" "," ","|",4))-1),""))/86400+25569+9/24,""))</f>
        <v/>
      </c>
      <c r="G472" s="58">
        <f>TRIM(SUBSTITUTE(SUBSTITUTE(SUBSTITUTE($A472,CHAR(9)," ")," "," "),CHAR(13),""))</f>
        <v/>
      </c>
      <c r="H472" s="58">
        <f>IF($G472="","",IF(ISNUMBER(FIND(" ",$G472)),$G472,IFERROR(IF((LEN(SUBSTITUTE(SUBSTITUTE($G472,"-"," ",LEN($G472)-LEN(SUBSTITUTE($G472,"-",""))),"-"," ",LEN($G472)-LEN(SUBSTITUTE($G472,"-",""))-1))-LEN(SUBSTITUTE(SUBSTITUTE(SUBSTITUTE($G472,"-"," ",LEN($G472)-LEN(SUBSTITUTE($G472,"-",""))),"-"," ",LEN($G472)-LEN(SUBSTITUTE($G472,"-",""))-1),".","")))=0,SUBSTITUTE(SUBSTITUTE($G472,"-"," ",LEN($G472)-LEN(SUBSTITUTE($G472,"-",""))),"-"," ",LEN($G472)-LEN(SUBSTITUTE($G472,"-",""))-1),SUBSTITUTE(SUBSTITUTE(SUBSTITUTE($G472,"-"," ",LEN($G472)-LEN(SUBSTITUTE($G472,"-",""))),"-"," ",LEN($G472)-LEN(SUBSTITUTE($G472,"-",""))-1),"."," ",(LEN(SUBSTITUTE(SUBSTITUTE($G472,"-"," ",LEN($G472)-LEN(SUBSTITUTE($G472,"-",""))),"-"," ",LEN($G472)-LEN(SUBSTITUTE($G472,"-",""))-1))-LEN(SUBSTITUTE(SUBSTITUTE(SUBSTITUTE($G472,"-"," ",LEN($G472)-LEN(SUBSTITUTE($G472,"-",""))),"-"," ",LEN($G472)-LEN(SUBSTITUTE($G472,"-",""))-1),".",""))))),$G472)))</f>
        <v/>
      </c>
    </row>
    <row r="473">
      <c r="A473" s="58" t="n"/>
      <c r="B473" s="58">
        <f>IF($H473="","",LEFT($H473,FIND(" ",$H473&amp;" ")-1))</f>
        <v/>
      </c>
      <c r="C473" s="58">
        <f>IF($H473="","",IFERROR(MID($H473&amp;" ",FIND("|",SUBSTITUTE($H473&amp;" "," ","|",1))+1,FIND("|",SUBSTITUTE($H473&amp;" "," ","|",2))-FIND("|",SUBSTITUTE($H473&amp;" "," ","|",1))-1),""))</f>
        <v/>
      </c>
      <c r="D473" s="58">
        <f>IF($H473="","",IFERROR(MID($H473&amp;" ",FIND("|",SUBSTITUTE($H473&amp;" "," ","|",2))+1,FIND("|",SUBSTITUTE($H473&amp;" "," ","|",3))-FIND("|",SUBSTITUTE($H473&amp;" "," ","|",2))-1),""))</f>
        <v/>
      </c>
      <c r="E473" s="58">
        <f>IF($H473="","",IFERROR(MID($H473&amp;" ",FIND("|",SUBSTITUTE($H473&amp;" "," ","|",3))+1,FIND("|",SUBSTITUTE($H473&amp;" "," ","|",4))-FIND("|",SUBSTITUTE($H473&amp;" "," ","|",3))-1),""))</f>
        <v/>
      </c>
      <c r="F473" s="59">
        <f>IF($H473="","",IFERROR(VALUE(IFERROR(MID($H473&amp;" ",FIND("|",SUBSTITUTE($H473&amp;" "," ","|",4))+1,FIND("|",SUBSTITUTE($H473&amp;" "," ","|",5))-FIND("|",SUBSTITUTE($H473&amp;" "," ","|",4))-1),""))/86400+25569+9/24,""))</f>
        <v/>
      </c>
      <c r="G473" s="58">
        <f>TRIM(SUBSTITUTE(SUBSTITUTE(SUBSTITUTE($A473,CHAR(9)," ")," "," "),CHAR(13),""))</f>
        <v/>
      </c>
      <c r="H473" s="58">
        <f>IF($G473="","",IF(ISNUMBER(FIND(" ",$G473)),$G473,IFERROR(IF((LEN(SUBSTITUTE(SUBSTITUTE($G473,"-"," ",LEN($G473)-LEN(SUBSTITUTE($G473,"-",""))),"-"," ",LEN($G473)-LEN(SUBSTITUTE($G473,"-",""))-1))-LEN(SUBSTITUTE(SUBSTITUTE(SUBSTITUTE($G473,"-"," ",LEN($G473)-LEN(SUBSTITUTE($G473,"-",""))),"-"," ",LEN($G473)-LEN(SUBSTITUTE($G473,"-",""))-1),".","")))=0,SUBSTITUTE(SUBSTITUTE($G473,"-"," ",LEN($G473)-LEN(SUBSTITUTE($G473,"-",""))),"-"," ",LEN($G473)-LEN(SUBSTITUTE($G473,"-",""))-1),SUBSTITUTE(SUBSTITUTE(SUBSTITUTE($G473,"-"," ",LEN($G473)-LEN(SUBSTITUTE($G473,"-",""))),"-"," ",LEN($G473)-LEN(SUBSTITUTE($G473,"-",""))-1),"."," ",(LEN(SUBSTITUTE(SUBSTITUTE($G473,"-"," ",LEN($G473)-LEN(SUBSTITUTE($G473,"-",""))),"-"," ",LEN($G473)-LEN(SUBSTITUTE($G473,"-",""))-1))-LEN(SUBSTITUTE(SUBSTITUTE(SUBSTITUTE($G473,"-"," ",LEN($G473)-LEN(SUBSTITUTE($G473,"-",""))),"-"," ",LEN($G473)-LEN(SUBSTITUTE($G473,"-",""))-1),".",""))))),$G473)))</f>
        <v/>
      </c>
    </row>
    <row r="474">
      <c r="A474" s="58" t="n"/>
      <c r="B474" s="58">
        <f>IF($H474="","",LEFT($H474,FIND(" ",$H474&amp;" ")-1))</f>
        <v/>
      </c>
      <c r="C474" s="58">
        <f>IF($H474="","",IFERROR(MID($H474&amp;" ",FIND("|",SUBSTITUTE($H474&amp;" "," ","|",1))+1,FIND("|",SUBSTITUTE($H474&amp;" "," ","|",2))-FIND("|",SUBSTITUTE($H474&amp;" "," ","|",1))-1),""))</f>
        <v/>
      </c>
      <c r="D474" s="58">
        <f>IF($H474="","",IFERROR(MID($H474&amp;" ",FIND("|",SUBSTITUTE($H474&amp;" "," ","|",2))+1,FIND("|",SUBSTITUTE($H474&amp;" "," ","|",3))-FIND("|",SUBSTITUTE($H474&amp;" "," ","|",2))-1),""))</f>
        <v/>
      </c>
      <c r="E474" s="58">
        <f>IF($H474="","",IFERROR(MID($H474&amp;" ",FIND("|",SUBSTITUTE($H474&amp;" "," ","|",3))+1,FIND("|",SUBSTITUTE($H474&amp;" "," ","|",4))-FIND("|",SUBSTITUTE($H474&amp;" "," ","|",3))-1),""))</f>
        <v/>
      </c>
      <c r="F474" s="59">
        <f>IF($H474="","",IFERROR(VALUE(IFERROR(MID($H474&amp;" ",FIND("|",SUBSTITUTE($H474&amp;" "," ","|",4))+1,FIND("|",SUBSTITUTE($H474&amp;" "," ","|",5))-FIND("|",SUBSTITUTE($H474&amp;" "," ","|",4))-1),""))/86400+25569+9/24,""))</f>
        <v/>
      </c>
      <c r="G474" s="58">
        <f>TRIM(SUBSTITUTE(SUBSTITUTE(SUBSTITUTE($A474,CHAR(9)," ")," "," "),CHAR(13),""))</f>
        <v/>
      </c>
      <c r="H474" s="58">
        <f>IF($G474="","",IF(ISNUMBER(FIND(" ",$G474)),$G474,IFERROR(IF((LEN(SUBSTITUTE(SUBSTITUTE($G474,"-"," ",LEN($G474)-LEN(SUBSTITUTE($G474,"-",""))),"-"," ",LEN($G474)-LEN(SUBSTITUTE($G474,"-",""))-1))-LEN(SUBSTITUTE(SUBSTITUTE(SUBSTITUTE($G474,"-"," ",LEN($G474)-LEN(SUBSTITUTE($G474,"-",""))),"-"," ",LEN($G474)-LEN(SUBSTITUTE($G474,"-",""))-1),".","")))=0,SUBSTITUTE(SUBSTITUTE($G474,"-"," ",LEN($G474)-LEN(SUBSTITUTE($G474,"-",""))),"-"," ",LEN($G474)-LEN(SUBSTITUTE($G474,"-",""))-1),SUBSTITUTE(SUBSTITUTE(SUBSTITUTE($G474,"-"," ",LEN($G474)-LEN(SUBSTITUTE($G474,"-",""))),"-"," ",LEN($G474)-LEN(SUBSTITUTE($G474,"-",""))-1),"."," ",(LEN(SUBSTITUTE(SUBSTITUTE($G474,"-"," ",LEN($G474)-LEN(SUBSTITUTE($G474,"-",""))),"-"," ",LEN($G474)-LEN(SUBSTITUTE($G474,"-",""))-1))-LEN(SUBSTITUTE(SUBSTITUTE(SUBSTITUTE($G474,"-"," ",LEN($G474)-LEN(SUBSTITUTE($G474,"-",""))),"-"," ",LEN($G474)-LEN(SUBSTITUTE($G474,"-",""))-1),".",""))))),$G474)))</f>
        <v/>
      </c>
    </row>
    <row r="475">
      <c r="A475" s="58" t="n"/>
      <c r="B475" s="58">
        <f>IF($H475="","",LEFT($H475,FIND(" ",$H475&amp;" ")-1))</f>
        <v/>
      </c>
      <c r="C475" s="58">
        <f>IF($H475="","",IFERROR(MID($H475&amp;" ",FIND("|",SUBSTITUTE($H475&amp;" "," ","|",1))+1,FIND("|",SUBSTITUTE($H475&amp;" "," ","|",2))-FIND("|",SUBSTITUTE($H475&amp;" "," ","|",1))-1),""))</f>
        <v/>
      </c>
      <c r="D475" s="58">
        <f>IF($H475="","",IFERROR(MID($H475&amp;" ",FIND("|",SUBSTITUTE($H475&amp;" "," ","|",2))+1,FIND("|",SUBSTITUTE($H475&amp;" "," ","|",3))-FIND("|",SUBSTITUTE($H475&amp;" "," ","|",2))-1),""))</f>
        <v/>
      </c>
      <c r="E475" s="58">
        <f>IF($H475="","",IFERROR(MID($H475&amp;" ",FIND("|",SUBSTITUTE($H475&amp;" "," ","|",3))+1,FIND("|",SUBSTITUTE($H475&amp;" "," ","|",4))-FIND("|",SUBSTITUTE($H475&amp;" "," ","|",3))-1),""))</f>
        <v/>
      </c>
      <c r="F475" s="59">
        <f>IF($H475="","",IFERROR(VALUE(IFERROR(MID($H475&amp;" ",FIND("|",SUBSTITUTE($H475&amp;" "," ","|",4))+1,FIND("|",SUBSTITUTE($H475&amp;" "," ","|",5))-FIND("|",SUBSTITUTE($H475&amp;" "," ","|",4))-1),""))/86400+25569+9/24,""))</f>
        <v/>
      </c>
      <c r="G475" s="58">
        <f>TRIM(SUBSTITUTE(SUBSTITUTE(SUBSTITUTE($A475,CHAR(9)," ")," "," "),CHAR(13),""))</f>
        <v/>
      </c>
      <c r="H475" s="58">
        <f>IF($G475="","",IF(ISNUMBER(FIND(" ",$G475)),$G475,IFERROR(IF((LEN(SUBSTITUTE(SUBSTITUTE($G475,"-"," ",LEN($G475)-LEN(SUBSTITUTE($G475,"-",""))),"-"," ",LEN($G475)-LEN(SUBSTITUTE($G475,"-",""))-1))-LEN(SUBSTITUTE(SUBSTITUTE(SUBSTITUTE($G475,"-"," ",LEN($G475)-LEN(SUBSTITUTE($G475,"-",""))),"-"," ",LEN($G475)-LEN(SUBSTITUTE($G475,"-",""))-1),".","")))=0,SUBSTITUTE(SUBSTITUTE($G475,"-"," ",LEN($G475)-LEN(SUBSTITUTE($G475,"-",""))),"-"," ",LEN($G475)-LEN(SUBSTITUTE($G475,"-",""))-1),SUBSTITUTE(SUBSTITUTE(SUBSTITUTE($G475,"-"," ",LEN($G475)-LEN(SUBSTITUTE($G475,"-",""))),"-"," ",LEN($G475)-LEN(SUBSTITUTE($G475,"-",""))-1),"."," ",(LEN(SUBSTITUTE(SUBSTITUTE($G475,"-"," ",LEN($G475)-LEN(SUBSTITUTE($G475,"-",""))),"-"," ",LEN($G475)-LEN(SUBSTITUTE($G475,"-",""))-1))-LEN(SUBSTITUTE(SUBSTITUTE(SUBSTITUTE($G475,"-"," ",LEN($G475)-LEN(SUBSTITUTE($G475,"-",""))),"-"," ",LEN($G475)-LEN(SUBSTITUTE($G475,"-",""))-1),".",""))))),$G475)))</f>
        <v/>
      </c>
    </row>
    <row r="476">
      <c r="A476" s="58" t="n"/>
      <c r="B476" s="58">
        <f>IF($H476="","",LEFT($H476,FIND(" ",$H476&amp;" ")-1))</f>
        <v/>
      </c>
      <c r="C476" s="58">
        <f>IF($H476="","",IFERROR(MID($H476&amp;" ",FIND("|",SUBSTITUTE($H476&amp;" "," ","|",1))+1,FIND("|",SUBSTITUTE($H476&amp;" "," ","|",2))-FIND("|",SUBSTITUTE($H476&amp;" "," ","|",1))-1),""))</f>
        <v/>
      </c>
      <c r="D476" s="58">
        <f>IF($H476="","",IFERROR(MID($H476&amp;" ",FIND("|",SUBSTITUTE($H476&amp;" "," ","|",2))+1,FIND("|",SUBSTITUTE($H476&amp;" "," ","|",3))-FIND("|",SUBSTITUTE($H476&amp;" "," ","|",2))-1),""))</f>
        <v/>
      </c>
      <c r="E476" s="58">
        <f>IF($H476="","",IFERROR(MID($H476&amp;" ",FIND("|",SUBSTITUTE($H476&amp;" "," ","|",3))+1,FIND("|",SUBSTITUTE($H476&amp;" "," ","|",4))-FIND("|",SUBSTITUTE($H476&amp;" "," ","|",3))-1),""))</f>
        <v/>
      </c>
      <c r="F476" s="59">
        <f>IF($H476="","",IFERROR(VALUE(IFERROR(MID($H476&amp;" ",FIND("|",SUBSTITUTE($H476&amp;" "," ","|",4))+1,FIND("|",SUBSTITUTE($H476&amp;" "," ","|",5))-FIND("|",SUBSTITUTE($H476&amp;" "," ","|",4))-1),""))/86400+25569+9/24,""))</f>
        <v/>
      </c>
      <c r="G476" s="58">
        <f>TRIM(SUBSTITUTE(SUBSTITUTE(SUBSTITUTE($A476,CHAR(9)," ")," "," "),CHAR(13),""))</f>
        <v/>
      </c>
      <c r="H476" s="58">
        <f>IF($G476="","",IF(ISNUMBER(FIND(" ",$G476)),$G476,IFERROR(IF((LEN(SUBSTITUTE(SUBSTITUTE($G476,"-"," ",LEN($G476)-LEN(SUBSTITUTE($G476,"-",""))),"-"," ",LEN($G476)-LEN(SUBSTITUTE($G476,"-",""))-1))-LEN(SUBSTITUTE(SUBSTITUTE(SUBSTITUTE($G476,"-"," ",LEN($G476)-LEN(SUBSTITUTE($G476,"-",""))),"-"," ",LEN($G476)-LEN(SUBSTITUTE($G476,"-",""))-1),".","")))=0,SUBSTITUTE(SUBSTITUTE($G476,"-"," ",LEN($G476)-LEN(SUBSTITUTE($G476,"-",""))),"-"," ",LEN($G476)-LEN(SUBSTITUTE($G476,"-",""))-1),SUBSTITUTE(SUBSTITUTE(SUBSTITUTE($G476,"-"," ",LEN($G476)-LEN(SUBSTITUTE($G476,"-",""))),"-"," ",LEN($G476)-LEN(SUBSTITUTE($G476,"-",""))-1),"."," ",(LEN(SUBSTITUTE(SUBSTITUTE($G476,"-"," ",LEN($G476)-LEN(SUBSTITUTE($G476,"-",""))),"-"," ",LEN($G476)-LEN(SUBSTITUTE($G476,"-",""))-1))-LEN(SUBSTITUTE(SUBSTITUTE(SUBSTITUTE($G476,"-"," ",LEN($G476)-LEN(SUBSTITUTE($G476,"-",""))),"-"," ",LEN($G476)-LEN(SUBSTITUTE($G476,"-",""))-1),".",""))))),$G476)))</f>
        <v/>
      </c>
    </row>
    <row r="477">
      <c r="A477" s="58" t="n"/>
      <c r="B477" s="58">
        <f>IF($H477="","",LEFT($H477,FIND(" ",$H477&amp;" ")-1))</f>
        <v/>
      </c>
      <c r="C477" s="58">
        <f>IF($H477="","",IFERROR(MID($H477&amp;" ",FIND("|",SUBSTITUTE($H477&amp;" "," ","|",1))+1,FIND("|",SUBSTITUTE($H477&amp;" "," ","|",2))-FIND("|",SUBSTITUTE($H477&amp;" "," ","|",1))-1),""))</f>
        <v/>
      </c>
      <c r="D477" s="58">
        <f>IF($H477="","",IFERROR(MID($H477&amp;" ",FIND("|",SUBSTITUTE($H477&amp;" "," ","|",2))+1,FIND("|",SUBSTITUTE($H477&amp;" "," ","|",3))-FIND("|",SUBSTITUTE($H477&amp;" "," ","|",2))-1),""))</f>
        <v/>
      </c>
      <c r="E477" s="58">
        <f>IF($H477="","",IFERROR(MID($H477&amp;" ",FIND("|",SUBSTITUTE($H477&amp;" "," ","|",3))+1,FIND("|",SUBSTITUTE($H477&amp;" "," ","|",4))-FIND("|",SUBSTITUTE($H477&amp;" "," ","|",3))-1),""))</f>
        <v/>
      </c>
      <c r="F477" s="59">
        <f>IF($H477="","",IFERROR(VALUE(IFERROR(MID($H477&amp;" ",FIND("|",SUBSTITUTE($H477&amp;" "," ","|",4))+1,FIND("|",SUBSTITUTE($H477&amp;" "," ","|",5))-FIND("|",SUBSTITUTE($H477&amp;" "," ","|",4))-1),""))/86400+25569+9/24,""))</f>
        <v/>
      </c>
      <c r="G477" s="58">
        <f>TRIM(SUBSTITUTE(SUBSTITUTE(SUBSTITUTE($A477,CHAR(9)," ")," "," "),CHAR(13),""))</f>
        <v/>
      </c>
      <c r="H477" s="58">
        <f>IF($G477="","",IF(ISNUMBER(FIND(" ",$G477)),$G477,IFERROR(IF((LEN(SUBSTITUTE(SUBSTITUTE($G477,"-"," ",LEN($G477)-LEN(SUBSTITUTE($G477,"-",""))),"-"," ",LEN($G477)-LEN(SUBSTITUTE($G477,"-",""))-1))-LEN(SUBSTITUTE(SUBSTITUTE(SUBSTITUTE($G477,"-"," ",LEN($G477)-LEN(SUBSTITUTE($G477,"-",""))),"-"," ",LEN($G477)-LEN(SUBSTITUTE($G477,"-",""))-1),".","")))=0,SUBSTITUTE(SUBSTITUTE($G477,"-"," ",LEN($G477)-LEN(SUBSTITUTE($G477,"-",""))),"-"," ",LEN($G477)-LEN(SUBSTITUTE($G477,"-",""))-1),SUBSTITUTE(SUBSTITUTE(SUBSTITUTE($G477,"-"," ",LEN($G477)-LEN(SUBSTITUTE($G477,"-",""))),"-"," ",LEN($G477)-LEN(SUBSTITUTE($G477,"-",""))-1),"."," ",(LEN(SUBSTITUTE(SUBSTITUTE($G477,"-"," ",LEN($G477)-LEN(SUBSTITUTE($G477,"-",""))),"-"," ",LEN($G477)-LEN(SUBSTITUTE($G477,"-",""))-1))-LEN(SUBSTITUTE(SUBSTITUTE(SUBSTITUTE($G477,"-"," ",LEN($G477)-LEN(SUBSTITUTE($G477,"-",""))),"-"," ",LEN($G477)-LEN(SUBSTITUTE($G477,"-",""))-1),".",""))))),$G477)))</f>
        <v/>
      </c>
    </row>
    <row r="478">
      <c r="A478" s="58" t="n"/>
      <c r="B478" s="58">
        <f>IF($H478="","",LEFT($H478,FIND(" ",$H478&amp;" ")-1))</f>
        <v/>
      </c>
      <c r="C478" s="58">
        <f>IF($H478="","",IFERROR(MID($H478&amp;" ",FIND("|",SUBSTITUTE($H478&amp;" "," ","|",1))+1,FIND("|",SUBSTITUTE($H478&amp;" "," ","|",2))-FIND("|",SUBSTITUTE($H478&amp;" "," ","|",1))-1),""))</f>
        <v/>
      </c>
      <c r="D478" s="58">
        <f>IF($H478="","",IFERROR(MID($H478&amp;" ",FIND("|",SUBSTITUTE($H478&amp;" "," ","|",2))+1,FIND("|",SUBSTITUTE($H478&amp;" "," ","|",3))-FIND("|",SUBSTITUTE($H478&amp;" "," ","|",2))-1),""))</f>
        <v/>
      </c>
      <c r="E478" s="58">
        <f>IF($H478="","",IFERROR(MID($H478&amp;" ",FIND("|",SUBSTITUTE($H478&amp;" "," ","|",3))+1,FIND("|",SUBSTITUTE($H478&amp;" "," ","|",4))-FIND("|",SUBSTITUTE($H478&amp;" "," ","|",3))-1),""))</f>
        <v/>
      </c>
      <c r="F478" s="59">
        <f>IF($H478="","",IFERROR(VALUE(IFERROR(MID($H478&amp;" ",FIND("|",SUBSTITUTE($H478&amp;" "," ","|",4))+1,FIND("|",SUBSTITUTE($H478&amp;" "," ","|",5))-FIND("|",SUBSTITUTE($H478&amp;" "," ","|",4))-1),""))/86400+25569+9/24,""))</f>
        <v/>
      </c>
      <c r="G478" s="58">
        <f>TRIM(SUBSTITUTE(SUBSTITUTE(SUBSTITUTE($A478,CHAR(9)," ")," "," "),CHAR(13),""))</f>
        <v/>
      </c>
      <c r="H478" s="58">
        <f>IF($G478="","",IF(ISNUMBER(FIND(" ",$G478)),$G478,IFERROR(IF((LEN(SUBSTITUTE(SUBSTITUTE($G478,"-"," ",LEN($G478)-LEN(SUBSTITUTE($G478,"-",""))),"-"," ",LEN($G478)-LEN(SUBSTITUTE($G478,"-",""))-1))-LEN(SUBSTITUTE(SUBSTITUTE(SUBSTITUTE($G478,"-"," ",LEN($G478)-LEN(SUBSTITUTE($G478,"-",""))),"-"," ",LEN($G478)-LEN(SUBSTITUTE($G478,"-",""))-1),".","")))=0,SUBSTITUTE(SUBSTITUTE($G478,"-"," ",LEN($G478)-LEN(SUBSTITUTE($G478,"-",""))),"-"," ",LEN($G478)-LEN(SUBSTITUTE($G478,"-",""))-1),SUBSTITUTE(SUBSTITUTE(SUBSTITUTE($G478,"-"," ",LEN($G478)-LEN(SUBSTITUTE($G478,"-",""))),"-"," ",LEN($G478)-LEN(SUBSTITUTE($G478,"-",""))-1),"."," ",(LEN(SUBSTITUTE(SUBSTITUTE($G478,"-"," ",LEN($G478)-LEN(SUBSTITUTE($G478,"-",""))),"-"," ",LEN($G478)-LEN(SUBSTITUTE($G478,"-",""))-1))-LEN(SUBSTITUTE(SUBSTITUTE(SUBSTITUTE($G478,"-"," ",LEN($G478)-LEN(SUBSTITUTE($G478,"-",""))),"-"," ",LEN($G478)-LEN(SUBSTITUTE($G478,"-",""))-1),".",""))))),$G478)))</f>
        <v/>
      </c>
    </row>
    <row r="479">
      <c r="A479" s="58" t="n"/>
      <c r="B479" s="58">
        <f>IF($H479="","",LEFT($H479,FIND(" ",$H479&amp;" ")-1))</f>
        <v/>
      </c>
      <c r="C479" s="58">
        <f>IF($H479="","",IFERROR(MID($H479&amp;" ",FIND("|",SUBSTITUTE($H479&amp;" "," ","|",1))+1,FIND("|",SUBSTITUTE($H479&amp;" "," ","|",2))-FIND("|",SUBSTITUTE($H479&amp;" "," ","|",1))-1),""))</f>
        <v/>
      </c>
      <c r="D479" s="58">
        <f>IF($H479="","",IFERROR(MID($H479&amp;" ",FIND("|",SUBSTITUTE($H479&amp;" "," ","|",2))+1,FIND("|",SUBSTITUTE($H479&amp;" "," ","|",3))-FIND("|",SUBSTITUTE($H479&amp;" "," ","|",2))-1),""))</f>
        <v/>
      </c>
      <c r="E479" s="58">
        <f>IF($H479="","",IFERROR(MID($H479&amp;" ",FIND("|",SUBSTITUTE($H479&amp;" "," ","|",3))+1,FIND("|",SUBSTITUTE($H479&amp;" "," ","|",4))-FIND("|",SUBSTITUTE($H479&amp;" "," ","|",3))-1),""))</f>
        <v/>
      </c>
      <c r="F479" s="59">
        <f>IF($H479="","",IFERROR(VALUE(IFERROR(MID($H479&amp;" ",FIND("|",SUBSTITUTE($H479&amp;" "," ","|",4))+1,FIND("|",SUBSTITUTE($H479&amp;" "," ","|",5))-FIND("|",SUBSTITUTE($H479&amp;" "," ","|",4))-1),""))/86400+25569+9/24,""))</f>
        <v/>
      </c>
      <c r="G479" s="58">
        <f>TRIM(SUBSTITUTE(SUBSTITUTE(SUBSTITUTE($A479,CHAR(9)," ")," "," "),CHAR(13),""))</f>
        <v/>
      </c>
      <c r="H479" s="58">
        <f>IF($G479="","",IF(ISNUMBER(FIND(" ",$G479)),$G479,IFERROR(IF((LEN(SUBSTITUTE(SUBSTITUTE($G479,"-"," ",LEN($G479)-LEN(SUBSTITUTE($G479,"-",""))),"-"," ",LEN($G479)-LEN(SUBSTITUTE($G479,"-",""))-1))-LEN(SUBSTITUTE(SUBSTITUTE(SUBSTITUTE($G479,"-"," ",LEN($G479)-LEN(SUBSTITUTE($G479,"-",""))),"-"," ",LEN($G479)-LEN(SUBSTITUTE($G479,"-",""))-1),".","")))=0,SUBSTITUTE(SUBSTITUTE($G479,"-"," ",LEN($G479)-LEN(SUBSTITUTE($G479,"-",""))),"-"," ",LEN($G479)-LEN(SUBSTITUTE($G479,"-",""))-1),SUBSTITUTE(SUBSTITUTE(SUBSTITUTE($G479,"-"," ",LEN($G479)-LEN(SUBSTITUTE($G479,"-",""))),"-"," ",LEN($G479)-LEN(SUBSTITUTE($G479,"-",""))-1),"."," ",(LEN(SUBSTITUTE(SUBSTITUTE($G479,"-"," ",LEN($G479)-LEN(SUBSTITUTE($G479,"-",""))),"-"," ",LEN($G479)-LEN(SUBSTITUTE($G479,"-",""))-1))-LEN(SUBSTITUTE(SUBSTITUTE(SUBSTITUTE($G479,"-"," ",LEN($G479)-LEN(SUBSTITUTE($G479,"-",""))),"-"," ",LEN($G479)-LEN(SUBSTITUTE($G479,"-",""))-1),".",""))))),$G479)))</f>
        <v/>
      </c>
    </row>
    <row r="480">
      <c r="A480" s="58" t="n"/>
      <c r="B480" s="58">
        <f>IF($H480="","",LEFT($H480,FIND(" ",$H480&amp;" ")-1))</f>
        <v/>
      </c>
      <c r="C480" s="58">
        <f>IF($H480="","",IFERROR(MID($H480&amp;" ",FIND("|",SUBSTITUTE($H480&amp;" "," ","|",1))+1,FIND("|",SUBSTITUTE($H480&amp;" "," ","|",2))-FIND("|",SUBSTITUTE($H480&amp;" "," ","|",1))-1),""))</f>
        <v/>
      </c>
      <c r="D480" s="58">
        <f>IF($H480="","",IFERROR(MID($H480&amp;" ",FIND("|",SUBSTITUTE($H480&amp;" "," ","|",2))+1,FIND("|",SUBSTITUTE($H480&amp;" "," ","|",3))-FIND("|",SUBSTITUTE($H480&amp;" "," ","|",2))-1),""))</f>
        <v/>
      </c>
      <c r="E480" s="58">
        <f>IF($H480="","",IFERROR(MID($H480&amp;" ",FIND("|",SUBSTITUTE($H480&amp;" "," ","|",3))+1,FIND("|",SUBSTITUTE($H480&amp;" "," ","|",4))-FIND("|",SUBSTITUTE($H480&amp;" "," ","|",3))-1),""))</f>
        <v/>
      </c>
      <c r="F480" s="59">
        <f>IF($H480="","",IFERROR(VALUE(IFERROR(MID($H480&amp;" ",FIND("|",SUBSTITUTE($H480&amp;" "," ","|",4))+1,FIND("|",SUBSTITUTE($H480&amp;" "," ","|",5))-FIND("|",SUBSTITUTE($H480&amp;" "," ","|",4))-1),""))/86400+25569+9/24,""))</f>
        <v/>
      </c>
      <c r="G480" s="58">
        <f>TRIM(SUBSTITUTE(SUBSTITUTE(SUBSTITUTE($A480,CHAR(9)," ")," "," "),CHAR(13),""))</f>
        <v/>
      </c>
      <c r="H480" s="58">
        <f>IF($G480="","",IF(ISNUMBER(FIND(" ",$G480)),$G480,IFERROR(IF((LEN(SUBSTITUTE(SUBSTITUTE($G480,"-"," ",LEN($G480)-LEN(SUBSTITUTE($G480,"-",""))),"-"," ",LEN($G480)-LEN(SUBSTITUTE($G480,"-",""))-1))-LEN(SUBSTITUTE(SUBSTITUTE(SUBSTITUTE($G480,"-"," ",LEN($G480)-LEN(SUBSTITUTE($G480,"-",""))),"-"," ",LEN($G480)-LEN(SUBSTITUTE($G480,"-",""))-1),".","")))=0,SUBSTITUTE(SUBSTITUTE($G480,"-"," ",LEN($G480)-LEN(SUBSTITUTE($G480,"-",""))),"-"," ",LEN($G480)-LEN(SUBSTITUTE($G480,"-",""))-1),SUBSTITUTE(SUBSTITUTE(SUBSTITUTE($G480,"-"," ",LEN($G480)-LEN(SUBSTITUTE($G480,"-",""))),"-"," ",LEN($G480)-LEN(SUBSTITUTE($G480,"-",""))-1),"."," ",(LEN(SUBSTITUTE(SUBSTITUTE($G480,"-"," ",LEN($G480)-LEN(SUBSTITUTE($G480,"-",""))),"-"," ",LEN($G480)-LEN(SUBSTITUTE($G480,"-",""))-1))-LEN(SUBSTITUTE(SUBSTITUTE(SUBSTITUTE($G480,"-"," ",LEN($G480)-LEN(SUBSTITUTE($G480,"-",""))),"-"," ",LEN($G480)-LEN(SUBSTITUTE($G480,"-",""))-1),".",""))))),$G480)))</f>
        <v/>
      </c>
    </row>
    <row r="481">
      <c r="A481" s="58" t="n"/>
      <c r="B481" s="58">
        <f>IF($H481="","",LEFT($H481,FIND(" ",$H481&amp;" ")-1))</f>
        <v/>
      </c>
      <c r="C481" s="58">
        <f>IF($H481="","",IFERROR(MID($H481&amp;" ",FIND("|",SUBSTITUTE($H481&amp;" "," ","|",1))+1,FIND("|",SUBSTITUTE($H481&amp;" "," ","|",2))-FIND("|",SUBSTITUTE($H481&amp;" "," ","|",1))-1),""))</f>
        <v/>
      </c>
      <c r="D481" s="58">
        <f>IF($H481="","",IFERROR(MID($H481&amp;" ",FIND("|",SUBSTITUTE($H481&amp;" "," ","|",2))+1,FIND("|",SUBSTITUTE($H481&amp;" "," ","|",3))-FIND("|",SUBSTITUTE($H481&amp;" "," ","|",2))-1),""))</f>
        <v/>
      </c>
      <c r="E481" s="58">
        <f>IF($H481="","",IFERROR(MID($H481&amp;" ",FIND("|",SUBSTITUTE($H481&amp;" "," ","|",3))+1,FIND("|",SUBSTITUTE($H481&amp;" "," ","|",4))-FIND("|",SUBSTITUTE($H481&amp;" "," ","|",3))-1),""))</f>
        <v/>
      </c>
      <c r="F481" s="59">
        <f>IF($H481="","",IFERROR(VALUE(IFERROR(MID($H481&amp;" ",FIND("|",SUBSTITUTE($H481&amp;" "," ","|",4))+1,FIND("|",SUBSTITUTE($H481&amp;" "," ","|",5))-FIND("|",SUBSTITUTE($H481&amp;" "," ","|",4))-1),""))/86400+25569+9/24,""))</f>
        <v/>
      </c>
      <c r="G481" s="58">
        <f>TRIM(SUBSTITUTE(SUBSTITUTE(SUBSTITUTE($A481,CHAR(9)," ")," "," "),CHAR(13),""))</f>
        <v/>
      </c>
      <c r="H481" s="58">
        <f>IF($G481="","",IF(ISNUMBER(FIND(" ",$G481)),$G481,IFERROR(IF((LEN(SUBSTITUTE(SUBSTITUTE($G481,"-"," ",LEN($G481)-LEN(SUBSTITUTE($G481,"-",""))),"-"," ",LEN($G481)-LEN(SUBSTITUTE($G481,"-",""))-1))-LEN(SUBSTITUTE(SUBSTITUTE(SUBSTITUTE($G481,"-"," ",LEN($G481)-LEN(SUBSTITUTE($G481,"-",""))),"-"," ",LEN($G481)-LEN(SUBSTITUTE($G481,"-",""))-1),".","")))=0,SUBSTITUTE(SUBSTITUTE($G481,"-"," ",LEN($G481)-LEN(SUBSTITUTE($G481,"-",""))),"-"," ",LEN($G481)-LEN(SUBSTITUTE($G481,"-",""))-1),SUBSTITUTE(SUBSTITUTE(SUBSTITUTE($G481,"-"," ",LEN($G481)-LEN(SUBSTITUTE($G481,"-",""))),"-"," ",LEN($G481)-LEN(SUBSTITUTE($G481,"-",""))-1),"."," ",(LEN(SUBSTITUTE(SUBSTITUTE($G481,"-"," ",LEN($G481)-LEN(SUBSTITUTE($G481,"-",""))),"-"," ",LEN($G481)-LEN(SUBSTITUTE($G481,"-",""))-1))-LEN(SUBSTITUTE(SUBSTITUTE(SUBSTITUTE($G481,"-"," ",LEN($G481)-LEN(SUBSTITUTE($G481,"-",""))),"-"," ",LEN($G481)-LEN(SUBSTITUTE($G481,"-",""))-1),".",""))))),$G481)))</f>
        <v/>
      </c>
    </row>
    <row r="482">
      <c r="A482" s="58" t="n"/>
      <c r="B482" s="58">
        <f>IF($H482="","",LEFT($H482,FIND(" ",$H482&amp;" ")-1))</f>
        <v/>
      </c>
      <c r="C482" s="58">
        <f>IF($H482="","",IFERROR(MID($H482&amp;" ",FIND("|",SUBSTITUTE($H482&amp;" "," ","|",1))+1,FIND("|",SUBSTITUTE($H482&amp;" "," ","|",2))-FIND("|",SUBSTITUTE($H482&amp;" "," ","|",1))-1),""))</f>
        <v/>
      </c>
      <c r="D482" s="58">
        <f>IF($H482="","",IFERROR(MID($H482&amp;" ",FIND("|",SUBSTITUTE($H482&amp;" "," ","|",2))+1,FIND("|",SUBSTITUTE($H482&amp;" "," ","|",3))-FIND("|",SUBSTITUTE($H482&amp;" "," ","|",2))-1),""))</f>
        <v/>
      </c>
      <c r="E482" s="58">
        <f>IF($H482="","",IFERROR(MID($H482&amp;" ",FIND("|",SUBSTITUTE($H482&amp;" "," ","|",3))+1,FIND("|",SUBSTITUTE($H482&amp;" "," ","|",4))-FIND("|",SUBSTITUTE($H482&amp;" "," ","|",3))-1),""))</f>
        <v/>
      </c>
      <c r="F482" s="59">
        <f>IF($H482="","",IFERROR(VALUE(IFERROR(MID($H482&amp;" ",FIND("|",SUBSTITUTE($H482&amp;" "," ","|",4))+1,FIND("|",SUBSTITUTE($H482&amp;" "," ","|",5))-FIND("|",SUBSTITUTE($H482&amp;" "," ","|",4))-1),""))/86400+25569+9/24,""))</f>
        <v/>
      </c>
      <c r="G482" s="58">
        <f>TRIM(SUBSTITUTE(SUBSTITUTE(SUBSTITUTE($A482,CHAR(9)," ")," "," "),CHAR(13),""))</f>
        <v/>
      </c>
      <c r="H482" s="58">
        <f>IF($G482="","",IF(ISNUMBER(FIND(" ",$G482)),$G482,IFERROR(IF((LEN(SUBSTITUTE(SUBSTITUTE($G482,"-"," ",LEN($G482)-LEN(SUBSTITUTE($G482,"-",""))),"-"," ",LEN($G482)-LEN(SUBSTITUTE($G482,"-",""))-1))-LEN(SUBSTITUTE(SUBSTITUTE(SUBSTITUTE($G482,"-"," ",LEN($G482)-LEN(SUBSTITUTE($G482,"-",""))),"-"," ",LEN($G482)-LEN(SUBSTITUTE($G482,"-",""))-1),".","")))=0,SUBSTITUTE(SUBSTITUTE($G482,"-"," ",LEN($G482)-LEN(SUBSTITUTE($G482,"-",""))),"-"," ",LEN($G482)-LEN(SUBSTITUTE($G482,"-",""))-1),SUBSTITUTE(SUBSTITUTE(SUBSTITUTE($G482,"-"," ",LEN($G482)-LEN(SUBSTITUTE($G482,"-",""))),"-"," ",LEN($G482)-LEN(SUBSTITUTE($G482,"-",""))-1),"."," ",(LEN(SUBSTITUTE(SUBSTITUTE($G482,"-"," ",LEN($G482)-LEN(SUBSTITUTE($G482,"-",""))),"-"," ",LEN($G482)-LEN(SUBSTITUTE($G482,"-",""))-1))-LEN(SUBSTITUTE(SUBSTITUTE(SUBSTITUTE($G482,"-"," ",LEN($G482)-LEN(SUBSTITUTE($G482,"-",""))),"-"," ",LEN($G482)-LEN(SUBSTITUTE($G482,"-",""))-1),".",""))))),$G482)))</f>
        <v/>
      </c>
    </row>
    <row r="483">
      <c r="A483" s="58" t="n"/>
      <c r="B483" s="58">
        <f>IF($H483="","",LEFT($H483,FIND(" ",$H483&amp;" ")-1))</f>
        <v/>
      </c>
      <c r="C483" s="58">
        <f>IF($H483="","",IFERROR(MID($H483&amp;" ",FIND("|",SUBSTITUTE($H483&amp;" "," ","|",1))+1,FIND("|",SUBSTITUTE($H483&amp;" "," ","|",2))-FIND("|",SUBSTITUTE($H483&amp;" "," ","|",1))-1),""))</f>
        <v/>
      </c>
      <c r="D483" s="58">
        <f>IF($H483="","",IFERROR(MID($H483&amp;" ",FIND("|",SUBSTITUTE($H483&amp;" "," ","|",2))+1,FIND("|",SUBSTITUTE($H483&amp;" "," ","|",3))-FIND("|",SUBSTITUTE($H483&amp;" "," ","|",2))-1),""))</f>
        <v/>
      </c>
      <c r="E483" s="58">
        <f>IF($H483="","",IFERROR(MID($H483&amp;" ",FIND("|",SUBSTITUTE($H483&amp;" "," ","|",3))+1,FIND("|",SUBSTITUTE($H483&amp;" "," ","|",4))-FIND("|",SUBSTITUTE($H483&amp;" "," ","|",3))-1),""))</f>
        <v/>
      </c>
      <c r="F483" s="59">
        <f>IF($H483="","",IFERROR(VALUE(IFERROR(MID($H483&amp;" ",FIND("|",SUBSTITUTE($H483&amp;" "," ","|",4))+1,FIND("|",SUBSTITUTE($H483&amp;" "," ","|",5))-FIND("|",SUBSTITUTE($H483&amp;" "," ","|",4))-1),""))/86400+25569+9/24,""))</f>
        <v/>
      </c>
      <c r="G483" s="58">
        <f>TRIM(SUBSTITUTE(SUBSTITUTE(SUBSTITUTE($A483,CHAR(9)," ")," "," "),CHAR(13),""))</f>
        <v/>
      </c>
      <c r="H483" s="58">
        <f>IF($G483="","",IF(ISNUMBER(FIND(" ",$G483)),$G483,IFERROR(IF((LEN(SUBSTITUTE(SUBSTITUTE($G483,"-"," ",LEN($G483)-LEN(SUBSTITUTE($G483,"-",""))),"-"," ",LEN($G483)-LEN(SUBSTITUTE($G483,"-",""))-1))-LEN(SUBSTITUTE(SUBSTITUTE(SUBSTITUTE($G483,"-"," ",LEN($G483)-LEN(SUBSTITUTE($G483,"-",""))),"-"," ",LEN($G483)-LEN(SUBSTITUTE($G483,"-",""))-1),".","")))=0,SUBSTITUTE(SUBSTITUTE($G483,"-"," ",LEN($G483)-LEN(SUBSTITUTE($G483,"-",""))),"-"," ",LEN($G483)-LEN(SUBSTITUTE($G483,"-",""))-1),SUBSTITUTE(SUBSTITUTE(SUBSTITUTE($G483,"-"," ",LEN($G483)-LEN(SUBSTITUTE($G483,"-",""))),"-"," ",LEN($G483)-LEN(SUBSTITUTE($G483,"-",""))-1),"."," ",(LEN(SUBSTITUTE(SUBSTITUTE($G483,"-"," ",LEN($G483)-LEN(SUBSTITUTE($G483,"-",""))),"-"," ",LEN($G483)-LEN(SUBSTITUTE($G483,"-",""))-1))-LEN(SUBSTITUTE(SUBSTITUTE(SUBSTITUTE($G483,"-"," ",LEN($G483)-LEN(SUBSTITUTE($G483,"-",""))),"-"," ",LEN($G483)-LEN(SUBSTITUTE($G483,"-",""))-1),".",""))))),$G483)))</f>
        <v/>
      </c>
    </row>
    <row r="484">
      <c r="A484" s="58" t="n"/>
      <c r="B484" s="58">
        <f>IF($H484="","",LEFT($H484,FIND(" ",$H484&amp;" ")-1))</f>
        <v/>
      </c>
      <c r="C484" s="58">
        <f>IF($H484="","",IFERROR(MID($H484&amp;" ",FIND("|",SUBSTITUTE($H484&amp;" "," ","|",1))+1,FIND("|",SUBSTITUTE($H484&amp;" "," ","|",2))-FIND("|",SUBSTITUTE($H484&amp;" "," ","|",1))-1),""))</f>
        <v/>
      </c>
      <c r="D484" s="58">
        <f>IF($H484="","",IFERROR(MID($H484&amp;" ",FIND("|",SUBSTITUTE($H484&amp;" "," ","|",2))+1,FIND("|",SUBSTITUTE($H484&amp;" "," ","|",3))-FIND("|",SUBSTITUTE($H484&amp;" "," ","|",2))-1),""))</f>
        <v/>
      </c>
      <c r="E484" s="58">
        <f>IF($H484="","",IFERROR(MID($H484&amp;" ",FIND("|",SUBSTITUTE($H484&amp;" "," ","|",3))+1,FIND("|",SUBSTITUTE($H484&amp;" "," ","|",4))-FIND("|",SUBSTITUTE($H484&amp;" "," ","|",3))-1),""))</f>
        <v/>
      </c>
      <c r="F484" s="59">
        <f>IF($H484="","",IFERROR(VALUE(IFERROR(MID($H484&amp;" ",FIND("|",SUBSTITUTE($H484&amp;" "," ","|",4))+1,FIND("|",SUBSTITUTE($H484&amp;" "," ","|",5))-FIND("|",SUBSTITUTE($H484&amp;" "," ","|",4))-1),""))/86400+25569+9/24,""))</f>
        <v/>
      </c>
      <c r="G484" s="58">
        <f>TRIM(SUBSTITUTE(SUBSTITUTE(SUBSTITUTE($A484,CHAR(9)," ")," "," "),CHAR(13),""))</f>
        <v/>
      </c>
      <c r="H484" s="58">
        <f>IF($G484="","",IF(ISNUMBER(FIND(" ",$G484)),$G484,IFERROR(IF((LEN(SUBSTITUTE(SUBSTITUTE($G484,"-"," ",LEN($G484)-LEN(SUBSTITUTE($G484,"-",""))),"-"," ",LEN($G484)-LEN(SUBSTITUTE($G484,"-",""))-1))-LEN(SUBSTITUTE(SUBSTITUTE(SUBSTITUTE($G484,"-"," ",LEN($G484)-LEN(SUBSTITUTE($G484,"-",""))),"-"," ",LEN($G484)-LEN(SUBSTITUTE($G484,"-",""))-1),".","")))=0,SUBSTITUTE(SUBSTITUTE($G484,"-"," ",LEN($G484)-LEN(SUBSTITUTE($G484,"-",""))),"-"," ",LEN($G484)-LEN(SUBSTITUTE($G484,"-",""))-1),SUBSTITUTE(SUBSTITUTE(SUBSTITUTE($G484,"-"," ",LEN($G484)-LEN(SUBSTITUTE($G484,"-",""))),"-"," ",LEN($G484)-LEN(SUBSTITUTE($G484,"-",""))-1),"."," ",(LEN(SUBSTITUTE(SUBSTITUTE($G484,"-"," ",LEN($G484)-LEN(SUBSTITUTE($G484,"-",""))),"-"," ",LEN($G484)-LEN(SUBSTITUTE($G484,"-",""))-1))-LEN(SUBSTITUTE(SUBSTITUTE(SUBSTITUTE($G484,"-"," ",LEN($G484)-LEN(SUBSTITUTE($G484,"-",""))),"-"," ",LEN($G484)-LEN(SUBSTITUTE($G484,"-",""))-1),".",""))))),$G484)))</f>
        <v/>
      </c>
    </row>
    <row r="485">
      <c r="A485" s="58" t="n"/>
      <c r="B485" s="58">
        <f>IF($H485="","",LEFT($H485,FIND(" ",$H485&amp;" ")-1))</f>
        <v/>
      </c>
      <c r="C485" s="58">
        <f>IF($H485="","",IFERROR(MID($H485&amp;" ",FIND("|",SUBSTITUTE($H485&amp;" "," ","|",1))+1,FIND("|",SUBSTITUTE($H485&amp;" "," ","|",2))-FIND("|",SUBSTITUTE($H485&amp;" "," ","|",1))-1),""))</f>
        <v/>
      </c>
      <c r="D485" s="58">
        <f>IF($H485="","",IFERROR(MID($H485&amp;" ",FIND("|",SUBSTITUTE($H485&amp;" "," ","|",2))+1,FIND("|",SUBSTITUTE($H485&amp;" "," ","|",3))-FIND("|",SUBSTITUTE($H485&amp;" "," ","|",2))-1),""))</f>
        <v/>
      </c>
      <c r="E485" s="58">
        <f>IF($H485="","",IFERROR(MID($H485&amp;" ",FIND("|",SUBSTITUTE($H485&amp;" "," ","|",3))+1,FIND("|",SUBSTITUTE($H485&amp;" "," ","|",4))-FIND("|",SUBSTITUTE($H485&amp;" "," ","|",3))-1),""))</f>
        <v/>
      </c>
      <c r="F485" s="59">
        <f>IF($H485="","",IFERROR(VALUE(IFERROR(MID($H485&amp;" ",FIND("|",SUBSTITUTE($H485&amp;" "," ","|",4))+1,FIND("|",SUBSTITUTE($H485&amp;" "," ","|",5))-FIND("|",SUBSTITUTE($H485&amp;" "," ","|",4))-1),""))/86400+25569+9/24,""))</f>
        <v/>
      </c>
      <c r="G485" s="58">
        <f>TRIM(SUBSTITUTE(SUBSTITUTE(SUBSTITUTE($A485,CHAR(9)," ")," "," "),CHAR(13),""))</f>
        <v/>
      </c>
      <c r="H485" s="58">
        <f>IF($G485="","",IF(ISNUMBER(FIND(" ",$G485)),$G485,IFERROR(IF((LEN(SUBSTITUTE(SUBSTITUTE($G485,"-"," ",LEN($G485)-LEN(SUBSTITUTE($G485,"-",""))),"-"," ",LEN($G485)-LEN(SUBSTITUTE($G485,"-",""))-1))-LEN(SUBSTITUTE(SUBSTITUTE(SUBSTITUTE($G485,"-"," ",LEN($G485)-LEN(SUBSTITUTE($G485,"-",""))),"-"," ",LEN($G485)-LEN(SUBSTITUTE($G485,"-",""))-1),".","")))=0,SUBSTITUTE(SUBSTITUTE($G485,"-"," ",LEN($G485)-LEN(SUBSTITUTE($G485,"-",""))),"-"," ",LEN($G485)-LEN(SUBSTITUTE($G485,"-",""))-1),SUBSTITUTE(SUBSTITUTE(SUBSTITUTE($G485,"-"," ",LEN($G485)-LEN(SUBSTITUTE($G485,"-",""))),"-"," ",LEN($G485)-LEN(SUBSTITUTE($G485,"-",""))-1),"."," ",(LEN(SUBSTITUTE(SUBSTITUTE($G485,"-"," ",LEN($G485)-LEN(SUBSTITUTE($G485,"-",""))),"-"," ",LEN($G485)-LEN(SUBSTITUTE($G485,"-",""))-1))-LEN(SUBSTITUTE(SUBSTITUTE(SUBSTITUTE($G485,"-"," ",LEN($G485)-LEN(SUBSTITUTE($G485,"-",""))),"-"," ",LEN($G485)-LEN(SUBSTITUTE($G485,"-",""))-1),".",""))))),$G485)))</f>
        <v/>
      </c>
    </row>
    <row r="486">
      <c r="A486" s="58" t="n"/>
      <c r="B486" s="58">
        <f>IF($H486="","",LEFT($H486,FIND(" ",$H486&amp;" ")-1))</f>
        <v/>
      </c>
      <c r="C486" s="58">
        <f>IF($H486="","",IFERROR(MID($H486&amp;" ",FIND("|",SUBSTITUTE($H486&amp;" "," ","|",1))+1,FIND("|",SUBSTITUTE($H486&amp;" "," ","|",2))-FIND("|",SUBSTITUTE($H486&amp;" "," ","|",1))-1),""))</f>
        <v/>
      </c>
      <c r="D486" s="58">
        <f>IF($H486="","",IFERROR(MID($H486&amp;" ",FIND("|",SUBSTITUTE($H486&amp;" "," ","|",2))+1,FIND("|",SUBSTITUTE($H486&amp;" "," ","|",3))-FIND("|",SUBSTITUTE($H486&amp;" "," ","|",2))-1),""))</f>
        <v/>
      </c>
      <c r="E486" s="58">
        <f>IF($H486="","",IFERROR(MID($H486&amp;" ",FIND("|",SUBSTITUTE($H486&amp;" "," ","|",3))+1,FIND("|",SUBSTITUTE($H486&amp;" "," ","|",4))-FIND("|",SUBSTITUTE($H486&amp;" "," ","|",3))-1),""))</f>
        <v/>
      </c>
      <c r="F486" s="59">
        <f>IF($H486="","",IFERROR(VALUE(IFERROR(MID($H486&amp;" ",FIND("|",SUBSTITUTE($H486&amp;" "," ","|",4))+1,FIND("|",SUBSTITUTE($H486&amp;" "," ","|",5))-FIND("|",SUBSTITUTE($H486&amp;" "," ","|",4))-1),""))/86400+25569+9/24,""))</f>
        <v/>
      </c>
      <c r="G486" s="58">
        <f>TRIM(SUBSTITUTE(SUBSTITUTE(SUBSTITUTE($A486,CHAR(9)," ")," "," "),CHAR(13),""))</f>
        <v/>
      </c>
      <c r="H486" s="58">
        <f>IF($G486="","",IF(ISNUMBER(FIND(" ",$G486)),$G486,IFERROR(IF((LEN(SUBSTITUTE(SUBSTITUTE($G486,"-"," ",LEN($G486)-LEN(SUBSTITUTE($G486,"-",""))),"-"," ",LEN($G486)-LEN(SUBSTITUTE($G486,"-",""))-1))-LEN(SUBSTITUTE(SUBSTITUTE(SUBSTITUTE($G486,"-"," ",LEN($G486)-LEN(SUBSTITUTE($G486,"-",""))),"-"," ",LEN($G486)-LEN(SUBSTITUTE($G486,"-",""))-1),".","")))=0,SUBSTITUTE(SUBSTITUTE($G486,"-"," ",LEN($G486)-LEN(SUBSTITUTE($G486,"-",""))),"-"," ",LEN($G486)-LEN(SUBSTITUTE($G486,"-",""))-1),SUBSTITUTE(SUBSTITUTE(SUBSTITUTE($G486,"-"," ",LEN($G486)-LEN(SUBSTITUTE($G486,"-",""))),"-"," ",LEN($G486)-LEN(SUBSTITUTE($G486,"-",""))-1),"."," ",(LEN(SUBSTITUTE(SUBSTITUTE($G486,"-"," ",LEN($G486)-LEN(SUBSTITUTE($G486,"-",""))),"-"," ",LEN($G486)-LEN(SUBSTITUTE($G486,"-",""))-1))-LEN(SUBSTITUTE(SUBSTITUTE(SUBSTITUTE($G486,"-"," ",LEN($G486)-LEN(SUBSTITUTE($G486,"-",""))),"-"," ",LEN($G486)-LEN(SUBSTITUTE($G486,"-",""))-1),".",""))))),$G486)))</f>
        <v/>
      </c>
    </row>
    <row r="487">
      <c r="A487" s="58" t="n"/>
      <c r="B487" s="58">
        <f>IF($H487="","",LEFT($H487,FIND(" ",$H487&amp;" ")-1))</f>
        <v/>
      </c>
      <c r="C487" s="58">
        <f>IF($H487="","",IFERROR(MID($H487&amp;" ",FIND("|",SUBSTITUTE($H487&amp;" "," ","|",1))+1,FIND("|",SUBSTITUTE($H487&amp;" "," ","|",2))-FIND("|",SUBSTITUTE($H487&amp;" "," ","|",1))-1),""))</f>
        <v/>
      </c>
      <c r="D487" s="58">
        <f>IF($H487="","",IFERROR(MID($H487&amp;" ",FIND("|",SUBSTITUTE($H487&amp;" "," ","|",2))+1,FIND("|",SUBSTITUTE($H487&amp;" "," ","|",3))-FIND("|",SUBSTITUTE($H487&amp;" "," ","|",2))-1),""))</f>
        <v/>
      </c>
      <c r="E487" s="58">
        <f>IF($H487="","",IFERROR(MID($H487&amp;" ",FIND("|",SUBSTITUTE($H487&amp;" "," ","|",3))+1,FIND("|",SUBSTITUTE($H487&amp;" "," ","|",4))-FIND("|",SUBSTITUTE($H487&amp;" "," ","|",3))-1),""))</f>
        <v/>
      </c>
      <c r="F487" s="59">
        <f>IF($H487="","",IFERROR(VALUE(IFERROR(MID($H487&amp;" ",FIND("|",SUBSTITUTE($H487&amp;" "," ","|",4))+1,FIND("|",SUBSTITUTE($H487&amp;" "," ","|",5))-FIND("|",SUBSTITUTE($H487&amp;" "," ","|",4))-1),""))/86400+25569+9/24,""))</f>
        <v/>
      </c>
      <c r="G487" s="58">
        <f>TRIM(SUBSTITUTE(SUBSTITUTE(SUBSTITUTE($A487,CHAR(9)," ")," "," "),CHAR(13),""))</f>
        <v/>
      </c>
      <c r="H487" s="58">
        <f>IF($G487="","",IF(ISNUMBER(FIND(" ",$G487)),$G487,IFERROR(IF((LEN(SUBSTITUTE(SUBSTITUTE($G487,"-"," ",LEN($G487)-LEN(SUBSTITUTE($G487,"-",""))),"-"," ",LEN($G487)-LEN(SUBSTITUTE($G487,"-",""))-1))-LEN(SUBSTITUTE(SUBSTITUTE(SUBSTITUTE($G487,"-"," ",LEN($G487)-LEN(SUBSTITUTE($G487,"-",""))),"-"," ",LEN($G487)-LEN(SUBSTITUTE($G487,"-",""))-1),".","")))=0,SUBSTITUTE(SUBSTITUTE($G487,"-"," ",LEN($G487)-LEN(SUBSTITUTE($G487,"-",""))),"-"," ",LEN($G487)-LEN(SUBSTITUTE($G487,"-",""))-1),SUBSTITUTE(SUBSTITUTE(SUBSTITUTE($G487,"-"," ",LEN($G487)-LEN(SUBSTITUTE($G487,"-",""))),"-"," ",LEN($G487)-LEN(SUBSTITUTE($G487,"-",""))-1),"."," ",(LEN(SUBSTITUTE(SUBSTITUTE($G487,"-"," ",LEN($G487)-LEN(SUBSTITUTE($G487,"-",""))),"-"," ",LEN($G487)-LEN(SUBSTITUTE($G487,"-",""))-1))-LEN(SUBSTITUTE(SUBSTITUTE(SUBSTITUTE($G487,"-"," ",LEN($G487)-LEN(SUBSTITUTE($G487,"-",""))),"-"," ",LEN($G487)-LEN(SUBSTITUTE($G487,"-",""))-1),".",""))))),$G487)))</f>
        <v/>
      </c>
    </row>
    <row r="488">
      <c r="A488" s="58" t="n"/>
      <c r="B488" s="58">
        <f>IF($H488="","",LEFT($H488,FIND(" ",$H488&amp;" ")-1))</f>
        <v/>
      </c>
      <c r="C488" s="58">
        <f>IF($H488="","",IFERROR(MID($H488&amp;" ",FIND("|",SUBSTITUTE($H488&amp;" "," ","|",1))+1,FIND("|",SUBSTITUTE($H488&amp;" "," ","|",2))-FIND("|",SUBSTITUTE($H488&amp;" "," ","|",1))-1),""))</f>
        <v/>
      </c>
      <c r="D488" s="58">
        <f>IF($H488="","",IFERROR(MID($H488&amp;" ",FIND("|",SUBSTITUTE($H488&amp;" "," ","|",2))+1,FIND("|",SUBSTITUTE($H488&amp;" "," ","|",3))-FIND("|",SUBSTITUTE($H488&amp;" "," ","|",2))-1),""))</f>
        <v/>
      </c>
      <c r="E488" s="58">
        <f>IF($H488="","",IFERROR(MID($H488&amp;" ",FIND("|",SUBSTITUTE($H488&amp;" "," ","|",3))+1,FIND("|",SUBSTITUTE($H488&amp;" "," ","|",4))-FIND("|",SUBSTITUTE($H488&amp;" "," ","|",3))-1),""))</f>
        <v/>
      </c>
      <c r="F488" s="59">
        <f>IF($H488="","",IFERROR(VALUE(IFERROR(MID($H488&amp;" ",FIND("|",SUBSTITUTE($H488&amp;" "," ","|",4))+1,FIND("|",SUBSTITUTE($H488&amp;" "," ","|",5))-FIND("|",SUBSTITUTE($H488&amp;" "," ","|",4))-1),""))/86400+25569+9/24,""))</f>
        <v/>
      </c>
      <c r="G488" s="58">
        <f>TRIM(SUBSTITUTE(SUBSTITUTE(SUBSTITUTE($A488,CHAR(9)," ")," "," "),CHAR(13),""))</f>
        <v/>
      </c>
      <c r="H488" s="58">
        <f>IF($G488="","",IF(ISNUMBER(FIND(" ",$G488)),$G488,IFERROR(IF((LEN(SUBSTITUTE(SUBSTITUTE($G488,"-"," ",LEN($G488)-LEN(SUBSTITUTE($G488,"-",""))),"-"," ",LEN($G488)-LEN(SUBSTITUTE($G488,"-",""))-1))-LEN(SUBSTITUTE(SUBSTITUTE(SUBSTITUTE($G488,"-"," ",LEN($G488)-LEN(SUBSTITUTE($G488,"-",""))),"-"," ",LEN($G488)-LEN(SUBSTITUTE($G488,"-",""))-1),".","")))=0,SUBSTITUTE(SUBSTITUTE($G488,"-"," ",LEN($G488)-LEN(SUBSTITUTE($G488,"-",""))),"-"," ",LEN($G488)-LEN(SUBSTITUTE($G488,"-",""))-1),SUBSTITUTE(SUBSTITUTE(SUBSTITUTE($G488,"-"," ",LEN($G488)-LEN(SUBSTITUTE($G488,"-",""))),"-"," ",LEN($G488)-LEN(SUBSTITUTE($G488,"-",""))-1),"."," ",(LEN(SUBSTITUTE(SUBSTITUTE($G488,"-"," ",LEN($G488)-LEN(SUBSTITUTE($G488,"-",""))),"-"," ",LEN($G488)-LEN(SUBSTITUTE($G488,"-",""))-1))-LEN(SUBSTITUTE(SUBSTITUTE(SUBSTITUTE($G488,"-"," ",LEN($G488)-LEN(SUBSTITUTE($G488,"-",""))),"-"," ",LEN($G488)-LEN(SUBSTITUTE($G488,"-",""))-1),".",""))))),$G488)))</f>
        <v/>
      </c>
    </row>
    <row r="489">
      <c r="A489" s="58" t="n"/>
      <c r="B489" s="58">
        <f>IF($H489="","",LEFT($H489,FIND(" ",$H489&amp;" ")-1))</f>
        <v/>
      </c>
      <c r="C489" s="58">
        <f>IF($H489="","",IFERROR(MID($H489&amp;" ",FIND("|",SUBSTITUTE($H489&amp;" "," ","|",1))+1,FIND("|",SUBSTITUTE($H489&amp;" "," ","|",2))-FIND("|",SUBSTITUTE($H489&amp;" "," ","|",1))-1),""))</f>
        <v/>
      </c>
      <c r="D489" s="58">
        <f>IF($H489="","",IFERROR(MID($H489&amp;" ",FIND("|",SUBSTITUTE($H489&amp;" "," ","|",2))+1,FIND("|",SUBSTITUTE($H489&amp;" "," ","|",3))-FIND("|",SUBSTITUTE($H489&amp;" "," ","|",2))-1),""))</f>
        <v/>
      </c>
      <c r="E489" s="58">
        <f>IF($H489="","",IFERROR(MID($H489&amp;" ",FIND("|",SUBSTITUTE($H489&amp;" "," ","|",3))+1,FIND("|",SUBSTITUTE($H489&amp;" "," ","|",4))-FIND("|",SUBSTITUTE($H489&amp;" "," ","|",3))-1),""))</f>
        <v/>
      </c>
      <c r="F489" s="59">
        <f>IF($H489="","",IFERROR(VALUE(IFERROR(MID($H489&amp;" ",FIND("|",SUBSTITUTE($H489&amp;" "," ","|",4))+1,FIND("|",SUBSTITUTE($H489&amp;" "," ","|",5))-FIND("|",SUBSTITUTE($H489&amp;" "," ","|",4))-1),""))/86400+25569+9/24,""))</f>
        <v/>
      </c>
      <c r="G489" s="58">
        <f>TRIM(SUBSTITUTE(SUBSTITUTE(SUBSTITUTE($A489,CHAR(9)," ")," "," "),CHAR(13),""))</f>
        <v/>
      </c>
      <c r="H489" s="58">
        <f>IF($G489="","",IF(ISNUMBER(FIND(" ",$G489)),$G489,IFERROR(IF((LEN(SUBSTITUTE(SUBSTITUTE($G489,"-"," ",LEN($G489)-LEN(SUBSTITUTE($G489,"-",""))),"-"," ",LEN($G489)-LEN(SUBSTITUTE($G489,"-",""))-1))-LEN(SUBSTITUTE(SUBSTITUTE(SUBSTITUTE($G489,"-"," ",LEN($G489)-LEN(SUBSTITUTE($G489,"-",""))),"-"," ",LEN($G489)-LEN(SUBSTITUTE($G489,"-",""))-1),".","")))=0,SUBSTITUTE(SUBSTITUTE($G489,"-"," ",LEN($G489)-LEN(SUBSTITUTE($G489,"-",""))),"-"," ",LEN($G489)-LEN(SUBSTITUTE($G489,"-",""))-1),SUBSTITUTE(SUBSTITUTE(SUBSTITUTE($G489,"-"," ",LEN($G489)-LEN(SUBSTITUTE($G489,"-",""))),"-"," ",LEN($G489)-LEN(SUBSTITUTE($G489,"-",""))-1),"."," ",(LEN(SUBSTITUTE(SUBSTITUTE($G489,"-"," ",LEN($G489)-LEN(SUBSTITUTE($G489,"-",""))),"-"," ",LEN($G489)-LEN(SUBSTITUTE($G489,"-",""))-1))-LEN(SUBSTITUTE(SUBSTITUTE(SUBSTITUTE($G489,"-"," ",LEN($G489)-LEN(SUBSTITUTE($G489,"-",""))),"-"," ",LEN($G489)-LEN(SUBSTITUTE($G489,"-",""))-1),".",""))))),$G489)))</f>
        <v/>
      </c>
    </row>
    <row r="490">
      <c r="A490" s="58" t="n"/>
      <c r="B490" s="58">
        <f>IF($H490="","",LEFT($H490,FIND(" ",$H490&amp;" ")-1))</f>
        <v/>
      </c>
      <c r="C490" s="58">
        <f>IF($H490="","",IFERROR(MID($H490&amp;" ",FIND("|",SUBSTITUTE($H490&amp;" "," ","|",1))+1,FIND("|",SUBSTITUTE($H490&amp;" "," ","|",2))-FIND("|",SUBSTITUTE($H490&amp;" "," ","|",1))-1),""))</f>
        <v/>
      </c>
      <c r="D490" s="58">
        <f>IF($H490="","",IFERROR(MID($H490&amp;" ",FIND("|",SUBSTITUTE($H490&amp;" "," ","|",2))+1,FIND("|",SUBSTITUTE($H490&amp;" "," ","|",3))-FIND("|",SUBSTITUTE($H490&amp;" "," ","|",2))-1),""))</f>
        <v/>
      </c>
      <c r="E490" s="58">
        <f>IF($H490="","",IFERROR(MID($H490&amp;" ",FIND("|",SUBSTITUTE($H490&amp;" "," ","|",3))+1,FIND("|",SUBSTITUTE($H490&amp;" "," ","|",4))-FIND("|",SUBSTITUTE($H490&amp;" "," ","|",3))-1),""))</f>
        <v/>
      </c>
      <c r="F490" s="59">
        <f>IF($H490="","",IFERROR(VALUE(IFERROR(MID($H490&amp;" ",FIND("|",SUBSTITUTE($H490&amp;" "," ","|",4))+1,FIND("|",SUBSTITUTE($H490&amp;" "," ","|",5))-FIND("|",SUBSTITUTE($H490&amp;" "," ","|",4))-1),""))/86400+25569+9/24,""))</f>
        <v/>
      </c>
      <c r="G490" s="58">
        <f>TRIM(SUBSTITUTE(SUBSTITUTE(SUBSTITUTE($A490,CHAR(9)," ")," "," "),CHAR(13),""))</f>
        <v/>
      </c>
      <c r="H490" s="58">
        <f>IF($G490="","",IF(ISNUMBER(FIND(" ",$G490)),$G490,IFERROR(IF((LEN(SUBSTITUTE(SUBSTITUTE($G490,"-"," ",LEN($G490)-LEN(SUBSTITUTE($G490,"-",""))),"-"," ",LEN($G490)-LEN(SUBSTITUTE($G490,"-",""))-1))-LEN(SUBSTITUTE(SUBSTITUTE(SUBSTITUTE($G490,"-"," ",LEN($G490)-LEN(SUBSTITUTE($G490,"-",""))),"-"," ",LEN($G490)-LEN(SUBSTITUTE($G490,"-",""))-1),".","")))=0,SUBSTITUTE(SUBSTITUTE($G490,"-"," ",LEN($G490)-LEN(SUBSTITUTE($G490,"-",""))),"-"," ",LEN($G490)-LEN(SUBSTITUTE($G490,"-",""))-1),SUBSTITUTE(SUBSTITUTE(SUBSTITUTE($G490,"-"," ",LEN($G490)-LEN(SUBSTITUTE($G490,"-",""))),"-"," ",LEN($G490)-LEN(SUBSTITUTE($G490,"-",""))-1),"."," ",(LEN(SUBSTITUTE(SUBSTITUTE($G490,"-"," ",LEN($G490)-LEN(SUBSTITUTE($G490,"-",""))),"-"," ",LEN($G490)-LEN(SUBSTITUTE($G490,"-",""))-1))-LEN(SUBSTITUTE(SUBSTITUTE(SUBSTITUTE($G490,"-"," ",LEN($G490)-LEN(SUBSTITUTE($G490,"-",""))),"-"," ",LEN($G490)-LEN(SUBSTITUTE($G490,"-",""))-1),".",""))))),$G490)))</f>
        <v/>
      </c>
    </row>
    <row r="491">
      <c r="A491" s="58" t="n"/>
      <c r="B491" s="58">
        <f>IF($H491="","",LEFT($H491,FIND(" ",$H491&amp;" ")-1))</f>
        <v/>
      </c>
      <c r="C491" s="58">
        <f>IF($H491="","",IFERROR(MID($H491&amp;" ",FIND("|",SUBSTITUTE($H491&amp;" "," ","|",1))+1,FIND("|",SUBSTITUTE($H491&amp;" "," ","|",2))-FIND("|",SUBSTITUTE($H491&amp;" "," ","|",1))-1),""))</f>
        <v/>
      </c>
      <c r="D491" s="58">
        <f>IF($H491="","",IFERROR(MID($H491&amp;" ",FIND("|",SUBSTITUTE($H491&amp;" "," ","|",2))+1,FIND("|",SUBSTITUTE($H491&amp;" "," ","|",3))-FIND("|",SUBSTITUTE($H491&amp;" "," ","|",2))-1),""))</f>
        <v/>
      </c>
      <c r="E491" s="58">
        <f>IF($H491="","",IFERROR(MID($H491&amp;" ",FIND("|",SUBSTITUTE($H491&amp;" "," ","|",3))+1,FIND("|",SUBSTITUTE($H491&amp;" "," ","|",4))-FIND("|",SUBSTITUTE($H491&amp;" "," ","|",3))-1),""))</f>
        <v/>
      </c>
      <c r="F491" s="59">
        <f>IF($H491="","",IFERROR(VALUE(IFERROR(MID($H491&amp;" ",FIND("|",SUBSTITUTE($H491&amp;" "," ","|",4))+1,FIND("|",SUBSTITUTE($H491&amp;" "," ","|",5))-FIND("|",SUBSTITUTE($H491&amp;" "," ","|",4))-1),""))/86400+25569+9/24,""))</f>
        <v/>
      </c>
      <c r="G491" s="58">
        <f>TRIM(SUBSTITUTE(SUBSTITUTE(SUBSTITUTE($A491,CHAR(9)," ")," "," "),CHAR(13),""))</f>
        <v/>
      </c>
      <c r="H491" s="58">
        <f>IF($G491="","",IF(ISNUMBER(FIND(" ",$G491)),$G491,IFERROR(IF((LEN(SUBSTITUTE(SUBSTITUTE($G491,"-"," ",LEN($G491)-LEN(SUBSTITUTE($G491,"-",""))),"-"," ",LEN($G491)-LEN(SUBSTITUTE($G491,"-",""))-1))-LEN(SUBSTITUTE(SUBSTITUTE(SUBSTITUTE($G491,"-"," ",LEN($G491)-LEN(SUBSTITUTE($G491,"-",""))),"-"," ",LEN($G491)-LEN(SUBSTITUTE($G491,"-",""))-1),".","")))=0,SUBSTITUTE(SUBSTITUTE($G491,"-"," ",LEN($G491)-LEN(SUBSTITUTE($G491,"-",""))),"-"," ",LEN($G491)-LEN(SUBSTITUTE($G491,"-",""))-1),SUBSTITUTE(SUBSTITUTE(SUBSTITUTE($G491,"-"," ",LEN($G491)-LEN(SUBSTITUTE($G491,"-",""))),"-"," ",LEN($G491)-LEN(SUBSTITUTE($G491,"-",""))-1),"."," ",(LEN(SUBSTITUTE(SUBSTITUTE($G491,"-"," ",LEN($G491)-LEN(SUBSTITUTE($G491,"-",""))),"-"," ",LEN($G491)-LEN(SUBSTITUTE($G491,"-",""))-1))-LEN(SUBSTITUTE(SUBSTITUTE(SUBSTITUTE($G491,"-"," ",LEN($G491)-LEN(SUBSTITUTE($G491,"-",""))),"-"," ",LEN($G491)-LEN(SUBSTITUTE($G491,"-",""))-1),".",""))))),$G491)))</f>
        <v/>
      </c>
    </row>
    <row r="492">
      <c r="A492" s="58" t="n"/>
      <c r="B492" s="58">
        <f>IF($H492="","",LEFT($H492,FIND(" ",$H492&amp;" ")-1))</f>
        <v/>
      </c>
      <c r="C492" s="58">
        <f>IF($H492="","",IFERROR(MID($H492&amp;" ",FIND("|",SUBSTITUTE($H492&amp;" "," ","|",1))+1,FIND("|",SUBSTITUTE($H492&amp;" "," ","|",2))-FIND("|",SUBSTITUTE($H492&amp;" "," ","|",1))-1),""))</f>
        <v/>
      </c>
      <c r="D492" s="58">
        <f>IF($H492="","",IFERROR(MID($H492&amp;" ",FIND("|",SUBSTITUTE($H492&amp;" "," ","|",2))+1,FIND("|",SUBSTITUTE($H492&amp;" "," ","|",3))-FIND("|",SUBSTITUTE($H492&amp;" "," ","|",2))-1),""))</f>
        <v/>
      </c>
      <c r="E492" s="58">
        <f>IF($H492="","",IFERROR(MID($H492&amp;" ",FIND("|",SUBSTITUTE($H492&amp;" "," ","|",3))+1,FIND("|",SUBSTITUTE($H492&amp;" "," ","|",4))-FIND("|",SUBSTITUTE($H492&amp;" "," ","|",3))-1),""))</f>
        <v/>
      </c>
      <c r="F492" s="59">
        <f>IF($H492="","",IFERROR(VALUE(IFERROR(MID($H492&amp;" ",FIND("|",SUBSTITUTE($H492&amp;" "," ","|",4))+1,FIND("|",SUBSTITUTE($H492&amp;" "," ","|",5))-FIND("|",SUBSTITUTE($H492&amp;" "," ","|",4))-1),""))/86400+25569+9/24,""))</f>
        <v/>
      </c>
      <c r="G492" s="58">
        <f>TRIM(SUBSTITUTE(SUBSTITUTE(SUBSTITUTE($A492,CHAR(9)," ")," "," "),CHAR(13),""))</f>
        <v/>
      </c>
      <c r="H492" s="58">
        <f>IF($G492="","",IF(ISNUMBER(FIND(" ",$G492)),$G492,IFERROR(IF((LEN(SUBSTITUTE(SUBSTITUTE($G492,"-"," ",LEN($G492)-LEN(SUBSTITUTE($G492,"-",""))),"-"," ",LEN($G492)-LEN(SUBSTITUTE($G492,"-",""))-1))-LEN(SUBSTITUTE(SUBSTITUTE(SUBSTITUTE($G492,"-"," ",LEN($G492)-LEN(SUBSTITUTE($G492,"-",""))),"-"," ",LEN($G492)-LEN(SUBSTITUTE($G492,"-",""))-1),".","")))=0,SUBSTITUTE(SUBSTITUTE($G492,"-"," ",LEN($G492)-LEN(SUBSTITUTE($G492,"-",""))),"-"," ",LEN($G492)-LEN(SUBSTITUTE($G492,"-",""))-1),SUBSTITUTE(SUBSTITUTE(SUBSTITUTE($G492,"-"," ",LEN($G492)-LEN(SUBSTITUTE($G492,"-",""))),"-"," ",LEN($G492)-LEN(SUBSTITUTE($G492,"-",""))-1),"."," ",(LEN(SUBSTITUTE(SUBSTITUTE($G492,"-"," ",LEN($G492)-LEN(SUBSTITUTE($G492,"-",""))),"-"," ",LEN($G492)-LEN(SUBSTITUTE($G492,"-",""))-1))-LEN(SUBSTITUTE(SUBSTITUTE(SUBSTITUTE($G492,"-"," ",LEN($G492)-LEN(SUBSTITUTE($G492,"-",""))),"-"," ",LEN($G492)-LEN(SUBSTITUTE($G492,"-",""))-1),".",""))))),$G492)))</f>
        <v/>
      </c>
    </row>
    <row r="493">
      <c r="A493" s="58" t="n"/>
      <c r="B493" s="58">
        <f>IF($H493="","",LEFT($H493,FIND(" ",$H493&amp;" ")-1))</f>
        <v/>
      </c>
      <c r="C493" s="58">
        <f>IF($H493="","",IFERROR(MID($H493&amp;" ",FIND("|",SUBSTITUTE($H493&amp;" "," ","|",1))+1,FIND("|",SUBSTITUTE($H493&amp;" "," ","|",2))-FIND("|",SUBSTITUTE($H493&amp;" "," ","|",1))-1),""))</f>
        <v/>
      </c>
      <c r="D493" s="58">
        <f>IF($H493="","",IFERROR(MID($H493&amp;" ",FIND("|",SUBSTITUTE($H493&amp;" "," ","|",2))+1,FIND("|",SUBSTITUTE($H493&amp;" "," ","|",3))-FIND("|",SUBSTITUTE($H493&amp;" "," ","|",2))-1),""))</f>
        <v/>
      </c>
      <c r="E493" s="58">
        <f>IF($H493="","",IFERROR(MID($H493&amp;" ",FIND("|",SUBSTITUTE($H493&amp;" "," ","|",3))+1,FIND("|",SUBSTITUTE($H493&amp;" "," ","|",4))-FIND("|",SUBSTITUTE($H493&amp;" "," ","|",3))-1),""))</f>
        <v/>
      </c>
      <c r="F493" s="59">
        <f>IF($H493="","",IFERROR(VALUE(IFERROR(MID($H493&amp;" ",FIND("|",SUBSTITUTE($H493&amp;" "," ","|",4))+1,FIND("|",SUBSTITUTE($H493&amp;" "," ","|",5))-FIND("|",SUBSTITUTE($H493&amp;" "," ","|",4))-1),""))/86400+25569+9/24,""))</f>
        <v/>
      </c>
      <c r="G493" s="58">
        <f>TRIM(SUBSTITUTE(SUBSTITUTE(SUBSTITUTE($A493,CHAR(9)," ")," "," "),CHAR(13),""))</f>
        <v/>
      </c>
      <c r="H493" s="58">
        <f>IF($G493="","",IF(ISNUMBER(FIND(" ",$G493)),$G493,IFERROR(IF((LEN(SUBSTITUTE(SUBSTITUTE($G493,"-"," ",LEN($G493)-LEN(SUBSTITUTE($G493,"-",""))),"-"," ",LEN($G493)-LEN(SUBSTITUTE($G493,"-",""))-1))-LEN(SUBSTITUTE(SUBSTITUTE(SUBSTITUTE($G493,"-"," ",LEN($G493)-LEN(SUBSTITUTE($G493,"-",""))),"-"," ",LEN($G493)-LEN(SUBSTITUTE($G493,"-",""))-1),".","")))=0,SUBSTITUTE(SUBSTITUTE($G493,"-"," ",LEN($G493)-LEN(SUBSTITUTE($G493,"-",""))),"-"," ",LEN($G493)-LEN(SUBSTITUTE($G493,"-",""))-1),SUBSTITUTE(SUBSTITUTE(SUBSTITUTE($G493,"-"," ",LEN($G493)-LEN(SUBSTITUTE($G493,"-",""))),"-"," ",LEN($G493)-LEN(SUBSTITUTE($G493,"-",""))-1),"."," ",(LEN(SUBSTITUTE(SUBSTITUTE($G493,"-"," ",LEN($G493)-LEN(SUBSTITUTE($G493,"-",""))),"-"," ",LEN($G493)-LEN(SUBSTITUTE($G493,"-",""))-1))-LEN(SUBSTITUTE(SUBSTITUTE(SUBSTITUTE($G493,"-"," ",LEN($G493)-LEN(SUBSTITUTE($G493,"-",""))),"-"," ",LEN($G493)-LEN(SUBSTITUTE($G493,"-",""))-1),".",""))))),$G493)))</f>
        <v/>
      </c>
    </row>
    <row r="494">
      <c r="A494" s="58" t="n"/>
      <c r="B494" s="58">
        <f>IF($H494="","",LEFT($H494,FIND(" ",$H494&amp;" ")-1))</f>
        <v/>
      </c>
      <c r="C494" s="58">
        <f>IF($H494="","",IFERROR(MID($H494&amp;" ",FIND("|",SUBSTITUTE($H494&amp;" "," ","|",1))+1,FIND("|",SUBSTITUTE($H494&amp;" "," ","|",2))-FIND("|",SUBSTITUTE($H494&amp;" "," ","|",1))-1),""))</f>
        <v/>
      </c>
      <c r="D494" s="58">
        <f>IF($H494="","",IFERROR(MID($H494&amp;" ",FIND("|",SUBSTITUTE($H494&amp;" "," ","|",2))+1,FIND("|",SUBSTITUTE($H494&amp;" "," ","|",3))-FIND("|",SUBSTITUTE($H494&amp;" "," ","|",2))-1),""))</f>
        <v/>
      </c>
      <c r="E494" s="58">
        <f>IF($H494="","",IFERROR(MID($H494&amp;" ",FIND("|",SUBSTITUTE($H494&amp;" "," ","|",3))+1,FIND("|",SUBSTITUTE($H494&amp;" "," ","|",4))-FIND("|",SUBSTITUTE($H494&amp;" "," ","|",3))-1),""))</f>
        <v/>
      </c>
      <c r="F494" s="59">
        <f>IF($H494="","",IFERROR(VALUE(IFERROR(MID($H494&amp;" ",FIND("|",SUBSTITUTE($H494&amp;" "," ","|",4))+1,FIND("|",SUBSTITUTE($H494&amp;" "," ","|",5))-FIND("|",SUBSTITUTE($H494&amp;" "," ","|",4))-1),""))/86400+25569+9/24,""))</f>
        <v/>
      </c>
      <c r="G494" s="58">
        <f>TRIM(SUBSTITUTE(SUBSTITUTE(SUBSTITUTE($A494,CHAR(9)," ")," "," "),CHAR(13),""))</f>
        <v/>
      </c>
      <c r="H494" s="58">
        <f>IF($G494="","",IF(ISNUMBER(FIND(" ",$G494)),$G494,IFERROR(IF((LEN(SUBSTITUTE(SUBSTITUTE($G494,"-"," ",LEN($G494)-LEN(SUBSTITUTE($G494,"-",""))),"-"," ",LEN($G494)-LEN(SUBSTITUTE($G494,"-",""))-1))-LEN(SUBSTITUTE(SUBSTITUTE(SUBSTITUTE($G494,"-"," ",LEN($G494)-LEN(SUBSTITUTE($G494,"-",""))),"-"," ",LEN($G494)-LEN(SUBSTITUTE($G494,"-",""))-1),".","")))=0,SUBSTITUTE(SUBSTITUTE($G494,"-"," ",LEN($G494)-LEN(SUBSTITUTE($G494,"-",""))),"-"," ",LEN($G494)-LEN(SUBSTITUTE($G494,"-",""))-1),SUBSTITUTE(SUBSTITUTE(SUBSTITUTE($G494,"-"," ",LEN($G494)-LEN(SUBSTITUTE($G494,"-",""))),"-"," ",LEN($G494)-LEN(SUBSTITUTE($G494,"-",""))-1),"."," ",(LEN(SUBSTITUTE(SUBSTITUTE($G494,"-"," ",LEN($G494)-LEN(SUBSTITUTE($G494,"-",""))),"-"," ",LEN($G494)-LEN(SUBSTITUTE($G494,"-",""))-1))-LEN(SUBSTITUTE(SUBSTITUTE(SUBSTITUTE($G494,"-"," ",LEN($G494)-LEN(SUBSTITUTE($G494,"-",""))),"-"," ",LEN($G494)-LEN(SUBSTITUTE($G494,"-",""))-1),".",""))))),$G494)))</f>
        <v/>
      </c>
    </row>
    <row r="495">
      <c r="A495" s="58" t="n"/>
      <c r="B495" s="58">
        <f>IF($H495="","",LEFT($H495,FIND(" ",$H495&amp;" ")-1))</f>
        <v/>
      </c>
      <c r="C495" s="58">
        <f>IF($H495="","",IFERROR(MID($H495&amp;" ",FIND("|",SUBSTITUTE($H495&amp;" "," ","|",1))+1,FIND("|",SUBSTITUTE($H495&amp;" "," ","|",2))-FIND("|",SUBSTITUTE($H495&amp;" "," ","|",1))-1),""))</f>
        <v/>
      </c>
      <c r="D495" s="58">
        <f>IF($H495="","",IFERROR(MID($H495&amp;" ",FIND("|",SUBSTITUTE($H495&amp;" "," ","|",2))+1,FIND("|",SUBSTITUTE($H495&amp;" "," ","|",3))-FIND("|",SUBSTITUTE($H495&amp;" "," ","|",2))-1),""))</f>
        <v/>
      </c>
      <c r="E495" s="58">
        <f>IF($H495="","",IFERROR(MID($H495&amp;" ",FIND("|",SUBSTITUTE($H495&amp;" "," ","|",3))+1,FIND("|",SUBSTITUTE($H495&amp;" "," ","|",4))-FIND("|",SUBSTITUTE($H495&amp;" "," ","|",3))-1),""))</f>
        <v/>
      </c>
      <c r="F495" s="59">
        <f>IF($H495="","",IFERROR(VALUE(IFERROR(MID($H495&amp;" ",FIND("|",SUBSTITUTE($H495&amp;" "," ","|",4))+1,FIND("|",SUBSTITUTE($H495&amp;" "," ","|",5))-FIND("|",SUBSTITUTE($H495&amp;" "," ","|",4))-1),""))/86400+25569+9/24,""))</f>
        <v/>
      </c>
      <c r="G495" s="58">
        <f>TRIM(SUBSTITUTE(SUBSTITUTE(SUBSTITUTE($A495,CHAR(9)," ")," "," "),CHAR(13),""))</f>
        <v/>
      </c>
      <c r="H495" s="58">
        <f>IF($G495="","",IF(ISNUMBER(FIND(" ",$G495)),$G495,IFERROR(IF((LEN(SUBSTITUTE(SUBSTITUTE($G495,"-"," ",LEN($G495)-LEN(SUBSTITUTE($G495,"-",""))),"-"," ",LEN($G495)-LEN(SUBSTITUTE($G495,"-",""))-1))-LEN(SUBSTITUTE(SUBSTITUTE(SUBSTITUTE($G495,"-"," ",LEN($G495)-LEN(SUBSTITUTE($G495,"-",""))),"-"," ",LEN($G495)-LEN(SUBSTITUTE($G495,"-",""))-1),".","")))=0,SUBSTITUTE(SUBSTITUTE($G495,"-"," ",LEN($G495)-LEN(SUBSTITUTE($G495,"-",""))),"-"," ",LEN($G495)-LEN(SUBSTITUTE($G495,"-",""))-1),SUBSTITUTE(SUBSTITUTE(SUBSTITUTE($G495,"-"," ",LEN($G495)-LEN(SUBSTITUTE($G495,"-",""))),"-"," ",LEN($G495)-LEN(SUBSTITUTE($G495,"-",""))-1),"."," ",(LEN(SUBSTITUTE(SUBSTITUTE($G495,"-"," ",LEN($G495)-LEN(SUBSTITUTE($G495,"-",""))),"-"," ",LEN($G495)-LEN(SUBSTITUTE($G495,"-",""))-1))-LEN(SUBSTITUTE(SUBSTITUTE(SUBSTITUTE($G495,"-"," ",LEN($G495)-LEN(SUBSTITUTE($G495,"-",""))),"-"," ",LEN($G495)-LEN(SUBSTITUTE($G495,"-",""))-1),".",""))))),$G495)))</f>
        <v/>
      </c>
    </row>
    <row r="496">
      <c r="A496" s="58" t="n"/>
      <c r="B496" s="58">
        <f>IF($H496="","",LEFT($H496,FIND(" ",$H496&amp;" ")-1))</f>
        <v/>
      </c>
      <c r="C496" s="58">
        <f>IF($H496="","",IFERROR(MID($H496&amp;" ",FIND("|",SUBSTITUTE($H496&amp;" "," ","|",1))+1,FIND("|",SUBSTITUTE($H496&amp;" "," ","|",2))-FIND("|",SUBSTITUTE($H496&amp;" "," ","|",1))-1),""))</f>
        <v/>
      </c>
      <c r="D496" s="58">
        <f>IF($H496="","",IFERROR(MID($H496&amp;" ",FIND("|",SUBSTITUTE($H496&amp;" "," ","|",2))+1,FIND("|",SUBSTITUTE($H496&amp;" "," ","|",3))-FIND("|",SUBSTITUTE($H496&amp;" "," ","|",2))-1),""))</f>
        <v/>
      </c>
      <c r="E496" s="58">
        <f>IF($H496="","",IFERROR(MID($H496&amp;" ",FIND("|",SUBSTITUTE($H496&amp;" "," ","|",3))+1,FIND("|",SUBSTITUTE($H496&amp;" "," ","|",4))-FIND("|",SUBSTITUTE($H496&amp;" "," ","|",3))-1),""))</f>
        <v/>
      </c>
      <c r="F496" s="59">
        <f>IF($H496="","",IFERROR(VALUE(IFERROR(MID($H496&amp;" ",FIND("|",SUBSTITUTE($H496&amp;" "," ","|",4))+1,FIND("|",SUBSTITUTE($H496&amp;" "," ","|",5))-FIND("|",SUBSTITUTE($H496&amp;" "," ","|",4))-1),""))/86400+25569+9/24,""))</f>
        <v/>
      </c>
      <c r="G496" s="58">
        <f>TRIM(SUBSTITUTE(SUBSTITUTE(SUBSTITUTE($A496,CHAR(9)," ")," "," "),CHAR(13),""))</f>
        <v/>
      </c>
      <c r="H496" s="58">
        <f>IF($G496="","",IF(ISNUMBER(FIND(" ",$G496)),$G496,IFERROR(IF((LEN(SUBSTITUTE(SUBSTITUTE($G496,"-"," ",LEN($G496)-LEN(SUBSTITUTE($G496,"-",""))),"-"," ",LEN($G496)-LEN(SUBSTITUTE($G496,"-",""))-1))-LEN(SUBSTITUTE(SUBSTITUTE(SUBSTITUTE($G496,"-"," ",LEN($G496)-LEN(SUBSTITUTE($G496,"-",""))),"-"," ",LEN($G496)-LEN(SUBSTITUTE($G496,"-",""))-1),".","")))=0,SUBSTITUTE(SUBSTITUTE($G496,"-"," ",LEN($G496)-LEN(SUBSTITUTE($G496,"-",""))),"-"," ",LEN($G496)-LEN(SUBSTITUTE($G496,"-",""))-1),SUBSTITUTE(SUBSTITUTE(SUBSTITUTE($G496,"-"," ",LEN($G496)-LEN(SUBSTITUTE($G496,"-",""))),"-"," ",LEN($G496)-LEN(SUBSTITUTE($G496,"-",""))-1),"."," ",(LEN(SUBSTITUTE(SUBSTITUTE($G496,"-"," ",LEN($G496)-LEN(SUBSTITUTE($G496,"-",""))),"-"," ",LEN($G496)-LEN(SUBSTITUTE($G496,"-",""))-1))-LEN(SUBSTITUTE(SUBSTITUTE(SUBSTITUTE($G496,"-"," ",LEN($G496)-LEN(SUBSTITUTE($G496,"-",""))),"-"," ",LEN($G496)-LEN(SUBSTITUTE($G496,"-",""))-1),".",""))))),$G496)))</f>
        <v/>
      </c>
    </row>
    <row r="497">
      <c r="A497" s="58" t="n"/>
      <c r="B497" s="58">
        <f>IF($H497="","",LEFT($H497,FIND(" ",$H497&amp;" ")-1))</f>
        <v/>
      </c>
      <c r="C497" s="58">
        <f>IF($H497="","",IFERROR(MID($H497&amp;" ",FIND("|",SUBSTITUTE($H497&amp;" "," ","|",1))+1,FIND("|",SUBSTITUTE($H497&amp;" "," ","|",2))-FIND("|",SUBSTITUTE($H497&amp;" "," ","|",1))-1),""))</f>
        <v/>
      </c>
      <c r="D497" s="58">
        <f>IF($H497="","",IFERROR(MID($H497&amp;" ",FIND("|",SUBSTITUTE($H497&amp;" "," ","|",2))+1,FIND("|",SUBSTITUTE($H497&amp;" "," ","|",3))-FIND("|",SUBSTITUTE($H497&amp;" "," ","|",2))-1),""))</f>
        <v/>
      </c>
      <c r="E497" s="58">
        <f>IF($H497="","",IFERROR(MID($H497&amp;" ",FIND("|",SUBSTITUTE($H497&amp;" "," ","|",3))+1,FIND("|",SUBSTITUTE($H497&amp;" "," ","|",4))-FIND("|",SUBSTITUTE($H497&amp;" "," ","|",3))-1),""))</f>
        <v/>
      </c>
      <c r="F497" s="59">
        <f>IF($H497="","",IFERROR(VALUE(IFERROR(MID($H497&amp;" ",FIND("|",SUBSTITUTE($H497&amp;" "," ","|",4))+1,FIND("|",SUBSTITUTE($H497&amp;" "," ","|",5))-FIND("|",SUBSTITUTE($H497&amp;" "," ","|",4))-1),""))/86400+25569+9/24,""))</f>
        <v/>
      </c>
      <c r="G497" s="58">
        <f>TRIM(SUBSTITUTE(SUBSTITUTE(SUBSTITUTE($A497,CHAR(9)," ")," "," "),CHAR(13),""))</f>
        <v/>
      </c>
      <c r="H497" s="58">
        <f>IF($G497="","",IF(ISNUMBER(FIND(" ",$G497)),$G497,IFERROR(IF((LEN(SUBSTITUTE(SUBSTITUTE($G497,"-"," ",LEN($G497)-LEN(SUBSTITUTE($G497,"-",""))),"-"," ",LEN($G497)-LEN(SUBSTITUTE($G497,"-",""))-1))-LEN(SUBSTITUTE(SUBSTITUTE(SUBSTITUTE($G497,"-"," ",LEN($G497)-LEN(SUBSTITUTE($G497,"-",""))),"-"," ",LEN($G497)-LEN(SUBSTITUTE($G497,"-",""))-1),".","")))=0,SUBSTITUTE(SUBSTITUTE($G497,"-"," ",LEN($G497)-LEN(SUBSTITUTE($G497,"-",""))),"-"," ",LEN($G497)-LEN(SUBSTITUTE($G497,"-",""))-1),SUBSTITUTE(SUBSTITUTE(SUBSTITUTE($G497,"-"," ",LEN($G497)-LEN(SUBSTITUTE($G497,"-",""))),"-"," ",LEN($G497)-LEN(SUBSTITUTE($G497,"-",""))-1),"."," ",(LEN(SUBSTITUTE(SUBSTITUTE($G497,"-"," ",LEN($G497)-LEN(SUBSTITUTE($G497,"-",""))),"-"," ",LEN($G497)-LEN(SUBSTITUTE($G497,"-",""))-1))-LEN(SUBSTITUTE(SUBSTITUTE(SUBSTITUTE($G497,"-"," ",LEN($G497)-LEN(SUBSTITUTE($G497,"-",""))),"-"," ",LEN($G497)-LEN(SUBSTITUTE($G497,"-",""))-1),".",""))))),$G497)))</f>
        <v/>
      </c>
    </row>
    <row r="498">
      <c r="A498" s="58" t="n"/>
      <c r="B498" s="58">
        <f>IF($H498="","",LEFT($H498,FIND(" ",$H498&amp;" ")-1))</f>
        <v/>
      </c>
      <c r="C498" s="58">
        <f>IF($H498="","",IFERROR(MID($H498&amp;" ",FIND("|",SUBSTITUTE($H498&amp;" "," ","|",1))+1,FIND("|",SUBSTITUTE($H498&amp;" "," ","|",2))-FIND("|",SUBSTITUTE($H498&amp;" "," ","|",1))-1),""))</f>
        <v/>
      </c>
      <c r="D498" s="58">
        <f>IF($H498="","",IFERROR(MID($H498&amp;" ",FIND("|",SUBSTITUTE($H498&amp;" "," ","|",2))+1,FIND("|",SUBSTITUTE($H498&amp;" "," ","|",3))-FIND("|",SUBSTITUTE($H498&amp;" "," ","|",2))-1),""))</f>
        <v/>
      </c>
      <c r="E498" s="58">
        <f>IF($H498="","",IFERROR(MID($H498&amp;" ",FIND("|",SUBSTITUTE($H498&amp;" "," ","|",3))+1,FIND("|",SUBSTITUTE($H498&amp;" "," ","|",4))-FIND("|",SUBSTITUTE($H498&amp;" "," ","|",3))-1),""))</f>
        <v/>
      </c>
      <c r="F498" s="59">
        <f>IF($H498="","",IFERROR(VALUE(IFERROR(MID($H498&amp;" ",FIND("|",SUBSTITUTE($H498&amp;" "," ","|",4))+1,FIND("|",SUBSTITUTE($H498&amp;" "," ","|",5))-FIND("|",SUBSTITUTE($H498&amp;" "," ","|",4))-1),""))/86400+25569+9/24,""))</f>
        <v/>
      </c>
      <c r="G498" s="58">
        <f>TRIM(SUBSTITUTE(SUBSTITUTE(SUBSTITUTE($A498,CHAR(9)," ")," "," "),CHAR(13),""))</f>
        <v/>
      </c>
      <c r="H498" s="58">
        <f>IF($G498="","",IF(ISNUMBER(FIND(" ",$G498)),$G498,IFERROR(IF((LEN(SUBSTITUTE(SUBSTITUTE($G498,"-"," ",LEN($G498)-LEN(SUBSTITUTE($G498,"-",""))),"-"," ",LEN($G498)-LEN(SUBSTITUTE($G498,"-",""))-1))-LEN(SUBSTITUTE(SUBSTITUTE(SUBSTITUTE($G498,"-"," ",LEN($G498)-LEN(SUBSTITUTE($G498,"-",""))),"-"," ",LEN($G498)-LEN(SUBSTITUTE($G498,"-",""))-1),".","")))=0,SUBSTITUTE(SUBSTITUTE($G498,"-"," ",LEN($G498)-LEN(SUBSTITUTE($G498,"-",""))),"-"," ",LEN($G498)-LEN(SUBSTITUTE($G498,"-",""))-1),SUBSTITUTE(SUBSTITUTE(SUBSTITUTE($G498,"-"," ",LEN($G498)-LEN(SUBSTITUTE($G498,"-",""))),"-"," ",LEN($G498)-LEN(SUBSTITUTE($G498,"-",""))-1),"."," ",(LEN(SUBSTITUTE(SUBSTITUTE($G498,"-"," ",LEN($G498)-LEN(SUBSTITUTE($G498,"-",""))),"-"," ",LEN($G498)-LEN(SUBSTITUTE($G498,"-",""))-1))-LEN(SUBSTITUTE(SUBSTITUTE(SUBSTITUTE($G498,"-"," ",LEN($G498)-LEN(SUBSTITUTE($G498,"-",""))),"-"," ",LEN($G498)-LEN(SUBSTITUTE($G498,"-",""))-1),".",""))))),$G498)))</f>
        <v/>
      </c>
    </row>
    <row r="499">
      <c r="A499" s="58" t="n"/>
      <c r="B499" s="58">
        <f>IF($H499="","",LEFT($H499,FIND(" ",$H499&amp;" ")-1))</f>
        <v/>
      </c>
      <c r="C499" s="58">
        <f>IF($H499="","",IFERROR(MID($H499&amp;" ",FIND("|",SUBSTITUTE($H499&amp;" "," ","|",1))+1,FIND("|",SUBSTITUTE($H499&amp;" "," ","|",2))-FIND("|",SUBSTITUTE($H499&amp;" "," ","|",1))-1),""))</f>
        <v/>
      </c>
      <c r="D499" s="58">
        <f>IF($H499="","",IFERROR(MID($H499&amp;" ",FIND("|",SUBSTITUTE($H499&amp;" "," ","|",2))+1,FIND("|",SUBSTITUTE($H499&amp;" "," ","|",3))-FIND("|",SUBSTITUTE($H499&amp;" "," ","|",2))-1),""))</f>
        <v/>
      </c>
      <c r="E499" s="58">
        <f>IF($H499="","",IFERROR(MID($H499&amp;" ",FIND("|",SUBSTITUTE($H499&amp;" "," ","|",3))+1,FIND("|",SUBSTITUTE($H499&amp;" "," ","|",4))-FIND("|",SUBSTITUTE($H499&amp;" "," ","|",3))-1),""))</f>
        <v/>
      </c>
      <c r="F499" s="59">
        <f>IF($H499="","",IFERROR(VALUE(IFERROR(MID($H499&amp;" ",FIND("|",SUBSTITUTE($H499&amp;" "," ","|",4))+1,FIND("|",SUBSTITUTE($H499&amp;" "," ","|",5))-FIND("|",SUBSTITUTE($H499&amp;" "," ","|",4))-1),""))/86400+25569+9/24,""))</f>
        <v/>
      </c>
      <c r="G499" s="58">
        <f>TRIM(SUBSTITUTE(SUBSTITUTE(SUBSTITUTE($A499,CHAR(9)," ")," "," "),CHAR(13),""))</f>
        <v/>
      </c>
      <c r="H499" s="58">
        <f>IF($G499="","",IF(ISNUMBER(FIND(" ",$G499)),$G499,IFERROR(IF((LEN(SUBSTITUTE(SUBSTITUTE($G499,"-"," ",LEN($G499)-LEN(SUBSTITUTE($G499,"-",""))),"-"," ",LEN($G499)-LEN(SUBSTITUTE($G499,"-",""))-1))-LEN(SUBSTITUTE(SUBSTITUTE(SUBSTITUTE($G499,"-"," ",LEN($G499)-LEN(SUBSTITUTE($G499,"-",""))),"-"," ",LEN($G499)-LEN(SUBSTITUTE($G499,"-",""))-1),".","")))=0,SUBSTITUTE(SUBSTITUTE($G499,"-"," ",LEN($G499)-LEN(SUBSTITUTE($G499,"-",""))),"-"," ",LEN($G499)-LEN(SUBSTITUTE($G499,"-",""))-1),SUBSTITUTE(SUBSTITUTE(SUBSTITUTE($G499,"-"," ",LEN($G499)-LEN(SUBSTITUTE($G499,"-",""))),"-"," ",LEN($G499)-LEN(SUBSTITUTE($G499,"-",""))-1),"."," ",(LEN(SUBSTITUTE(SUBSTITUTE($G499,"-"," ",LEN($G499)-LEN(SUBSTITUTE($G499,"-",""))),"-"," ",LEN($G499)-LEN(SUBSTITUTE($G499,"-",""))-1))-LEN(SUBSTITUTE(SUBSTITUTE(SUBSTITUTE($G499,"-"," ",LEN($G499)-LEN(SUBSTITUTE($G499,"-",""))),"-"," ",LEN($G499)-LEN(SUBSTITUTE($G499,"-",""))-1),".",""))))),$G499)))</f>
        <v/>
      </c>
    </row>
    <row r="500">
      <c r="A500" s="58" t="n"/>
      <c r="B500" s="58">
        <f>IF($H500="","",LEFT($H500,FIND(" ",$H500&amp;" ")-1))</f>
        <v/>
      </c>
      <c r="C500" s="58">
        <f>IF($H500="","",IFERROR(MID($H500&amp;" ",FIND("|",SUBSTITUTE($H500&amp;" "," ","|",1))+1,FIND("|",SUBSTITUTE($H500&amp;" "," ","|",2))-FIND("|",SUBSTITUTE($H500&amp;" "," ","|",1))-1),""))</f>
        <v/>
      </c>
      <c r="D500" s="58">
        <f>IF($H500="","",IFERROR(MID($H500&amp;" ",FIND("|",SUBSTITUTE($H500&amp;" "," ","|",2))+1,FIND("|",SUBSTITUTE($H500&amp;" "," ","|",3))-FIND("|",SUBSTITUTE($H500&amp;" "," ","|",2))-1),""))</f>
        <v/>
      </c>
      <c r="E500" s="58">
        <f>IF($H500="","",IFERROR(MID($H500&amp;" ",FIND("|",SUBSTITUTE($H500&amp;" "," ","|",3))+1,FIND("|",SUBSTITUTE($H500&amp;" "," ","|",4))-FIND("|",SUBSTITUTE($H500&amp;" "," ","|",3))-1),""))</f>
        <v/>
      </c>
      <c r="F500" s="59">
        <f>IF($H500="","",IFERROR(VALUE(IFERROR(MID($H500&amp;" ",FIND("|",SUBSTITUTE($H500&amp;" "," ","|",4))+1,FIND("|",SUBSTITUTE($H500&amp;" "," ","|",5))-FIND("|",SUBSTITUTE($H500&amp;" "," ","|",4))-1),""))/86400+25569+9/24,""))</f>
        <v/>
      </c>
      <c r="G500" s="58">
        <f>TRIM(SUBSTITUTE(SUBSTITUTE(SUBSTITUTE($A500,CHAR(9)," ")," "," "),CHAR(13),""))</f>
        <v/>
      </c>
      <c r="H500" s="58">
        <f>IF($G500="","",IF(ISNUMBER(FIND(" ",$G500)),$G500,IFERROR(IF((LEN(SUBSTITUTE(SUBSTITUTE($G500,"-"," ",LEN($G500)-LEN(SUBSTITUTE($G500,"-",""))),"-"," ",LEN($G500)-LEN(SUBSTITUTE($G500,"-",""))-1))-LEN(SUBSTITUTE(SUBSTITUTE(SUBSTITUTE($G500,"-"," ",LEN($G500)-LEN(SUBSTITUTE($G500,"-",""))),"-"," ",LEN($G500)-LEN(SUBSTITUTE($G500,"-",""))-1),".","")))=0,SUBSTITUTE(SUBSTITUTE($G500,"-"," ",LEN($G500)-LEN(SUBSTITUTE($G500,"-",""))),"-"," ",LEN($G500)-LEN(SUBSTITUTE($G500,"-",""))-1),SUBSTITUTE(SUBSTITUTE(SUBSTITUTE($G500,"-"," ",LEN($G500)-LEN(SUBSTITUTE($G500,"-",""))),"-"," ",LEN($G500)-LEN(SUBSTITUTE($G500,"-",""))-1),"."," ",(LEN(SUBSTITUTE(SUBSTITUTE($G500,"-"," ",LEN($G500)-LEN(SUBSTITUTE($G500,"-",""))),"-"," ",LEN($G500)-LEN(SUBSTITUTE($G500,"-",""))-1))-LEN(SUBSTITUTE(SUBSTITUTE(SUBSTITUTE($G500,"-"," ",LEN($G500)-LEN(SUBSTITUTE($G500,"-",""))),"-"," ",LEN($G500)-LEN(SUBSTITUTE($G500,"-",""))-1),".",""))))),$G500)))</f>
        <v/>
      </c>
    </row>
    <row r="501">
      <c r="A501" s="58" t="n"/>
      <c r="B501" s="58">
        <f>IF($H501="","",LEFT($H501,FIND(" ",$H501&amp;" ")-1))</f>
        <v/>
      </c>
      <c r="C501" s="58">
        <f>IF($H501="","",IFERROR(MID($H501&amp;" ",FIND("|",SUBSTITUTE($H501&amp;" "," ","|",1))+1,FIND("|",SUBSTITUTE($H501&amp;" "," ","|",2))-FIND("|",SUBSTITUTE($H501&amp;" "," ","|",1))-1),""))</f>
        <v/>
      </c>
      <c r="D501" s="58">
        <f>IF($H501="","",IFERROR(MID($H501&amp;" ",FIND("|",SUBSTITUTE($H501&amp;" "," ","|",2))+1,FIND("|",SUBSTITUTE($H501&amp;" "," ","|",3))-FIND("|",SUBSTITUTE($H501&amp;" "," ","|",2))-1),""))</f>
        <v/>
      </c>
      <c r="E501" s="58">
        <f>IF($H501="","",IFERROR(MID($H501&amp;" ",FIND("|",SUBSTITUTE($H501&amp;" "," ","|",3))+1,FIND("|",SUBSTITUTE($H501&amp;" "," ","|",4))-FIND("|",SUBSTITUTE($H501&amp;" "," ","|",3))-1),""))</f>
        <v/>
      </c>
      <c r="F501" s="59">
        <f>IF($H501="","",IFERROR(VALUE(IFERROR(MID($H501&amp;" ",FIND("|",SUBSTITUTE($H501&amp;" "," ","|",4))+1,FIND("|",SUBSTITUTE($H501&amp;" "," ","|",5))-FIND("|",SUBSTITUTE($H501&amp;" "," ","|",4))-1),""))/86400+25569+9/24,""))</f>
        <v/>
      </c>
      <c r="G501" s="58">
        <f>TRIM(SUBSTITUTE(SUBSTITUTE(SUBSTITUTE($A501,CHAR(9)," ")," "," "),CHAR(13),""))</f>
        <v/>
      </c>
      <c r="H501" s="58">
        <f>IF($G501="","",IF(ISNUMBER(FIND(" ",$G501)),$G501,IFERROR(IF((LEN(SUBSTITUTE(SUBSTITUTE($G501,"-"," ",LEN($G501)-LEN(SUBSTITUTE($G501,"-",""))),"-"," ",LEN($G501)-LEN(SUBSTITUTE($G501,"-",""))-1))-LEN(SUBSTITUTE(SUBSTITUTE(SUBSTITUTE($G501,"-"," ",LEN($G501)-LEN(SUBSTITUTE($G501,"-",""))),"-"," ",LEN($G501)-LEN(SUBSTITUTE($G501,"-",""))-1),".","")))=0,SUBSTITUTE(SUBSTITUTE($G501,"-"," ",LEN($G501)-LEN(SUBSTITUTE($G501,"-",""))),"-"," ",LEN($G501)-LEN(SUBSTITUTE($G501,"-",""))-1),SUBSTITUTE(SUBSTITUTE(SUBSTITUTE($G501,"-"," ",LEN($G501)-LEN(SUBSTITUTE($G501,"-",""))),"-"," ",LEN($G501)-LEN(SUBSTITUTE($G501,"-",""))-1),"."," ",(LEN(SUBSTITUTE(SUBSTITUTE($G501,"-"," ",LEN($G501)-LEN(SUBSTITUTE($G501,"-",""))),"-"," ",LEN($G501)-LEN(SUBSTITUTE($G501,"-",""))-1))-LEN(SUBSTITUTE(SUBSTITUTE(SUBSTITUTE($G501,"-"," ",LEN($G501)-LEN(SUBSTITUTE($G501,"-",""))),"-"," ",LEN($G501)-LEN(SUBSTITUTE($G501,"-",""))-1),".",""))))),$G501)))</f>
        <v/>
      </c>
    </row>
    <row r="502">
      <c r="A502" s="58" t="n"/>
      <c r="B502" s="58">
        <f>IF($H502="","",LEFT($H502,FIND(" ",$H502&amp;" ")-1))</f>
        <v/>
      </c>
      <c r="C502" s="58">
        <f>IF($H502="","",IFERROR(MID($H502&amp;" ",FIND("|",SUBSTITUTE($H502&amp;" "," ","|",1))+1,FIND("|",SUBSTITUTE($H502&amp;" "," ","|",2))-FIND("|",SUBSTITUTE($H502&amp;" "," ","|",1))-1),""))</f>
        <v/>
      </c>
      <c r="D502" s="58">
        <f>IF($H502="","",IFERROR(MID($H502&amp;" ",FIND("|",SUBSTITUTE($H502&amp;" "," ","|",2))+1,FIND("|",SUBSTITUTE($H502&amp;" "," ","|",3))-FIND("|",SUBSTITUTE($H502&amp;" "," ","|",2))-1),""))</f>
        <v/>
      </c>
      <c r="E502" s="58">
        <f>IF($H502="","",IFERROR(MID($H502&amp;" ",FIND("|",SUBSTITUTE($H502&amp;" "," ","|",3))+1,FIND("|",SUBSTITUTE($H502&amp;" "," ","|",4))-FIND("|",SUBSTITUTE($H502&amp;" "," ","|",3))-1),""))</f>
        <v/>
      </c>
      <c r="F502" s="59">
        <f>IF($H502="","",IFERROR(VALUE(IFERROR(MID($H502&amp;" ",FIND("|",SUBSTITUTE($H502&amp;" "," ","|",4))+1,FIND("|",SUBSTITUTE($H502&amp;" "," ","|",5))-FIND("|",SUBSTITUTE($H502&amp;" "," ","|",4))-1),""))/86400+25569+9/24,""))</f>
        <v/>
      </c>
      <c r="G502" s="58">
        <f>TRIM(SUBSTITUTE(SUBSTITUTE(SUBSTITUTE($A502,CHAR(9)," ")," "," "),CHAR(13),""))</f>
        <v/>
      </c>
      <c r="H502" s="58">
        <f>IF($G502="","",IF(ISNUMBER(FIND(" ",$G502)),$G502,IFERROR(IF((LEN(SUBSTITUTE(SUBSTITUTE($G502,"-"," ",LEN($G502)-LEN(SUBSTITUTE($G502,"-",""))),"-"," ",LEN($G502)-LEN(SUBSTITUTE($G502,"-",""))-1))-LEN(SUBSTITUTE(SUBSTITUTE(SUBSTITUTE($G502,"-"," ",LEN($G502)-LEN(SUBSTITUTE($G502,"-",""))),"-"," ",LEN($G502)-LEN(SUBSTITUTE($G502,"-",""))-1),".","")))=0,SUBSTITUTE(SUBSTITUTE($G502,"-"," ",LEN($G502)-LEN(SUBSTITUTE($G502,"-",""))),"-"," ",LEN($G502)-LEN(SUBSTITUTE($G502,"-",""))-1),SUBSTITUTE(SUBSTITUTE(SUBSTITUTE($G502,"-"," ",LEN($G502)-LEN(SUBSTITUTE($G502,"-",""))),"-"," ",LEN($G502)-LEN(SUBSTITUTE($G502,"-",""))-1),"."," ",(LEN(SUBSTITUTE(SUBSTITUTE($G502,"-"," ",LEN($G502)-LEN(SUBSTITUTE($G502,"-",""))),"-"," ",LEN($G502)-LEN(SUBSTITUTE($G502,"-",""))-1))-LEN(SUBSTITUTE(SUBSTITUTE(SUBSTITUTE($G502,"-"," ",LEN($G502)-LEN(SUBSTITUTE($G502,"-",""))),"-"," ",LEN($G502)-LEN(SUBSTITUTE($G502,"-",""))-1),".",""))))),$G502)))</f>
        <v/>
      </c>
    </row>
    <row r="503">
      <c r="A503" s="58" t="n"/>
      <c r="B503" s="58">
        <f>IF($H503="","",LEFT($H503,FIND(" ",$H503&amp;" ")-1))</f>
        <v/>
      </c>
      <c r="C503" s="58">
        <f>IF($H503="","",IFERROR(MID($H503&amp;" ",FIND("|",SUBSTITUTE($H503&amp;" "," ","|",1))+1,FIND("|",SUBSTITUTE($H503&amp;" "," ","|",2))-FIND("|",SUBSTITUTE($H503&amp;" "," ","|",1))-1),""))</f>
        <v/>
      </c>
      <c r="D503" s="58">
        <f>IF($H503="","",IFERROR(MID($H503&amp;" ",FIND("|",SUBSTITUTE($H503&amp;" "," ","|",2))+1,FIND("|",SUBSTITUTE($H503&amp;" "," ","|",3))-FIND("|",SUBSTITUTE($H503&amp;" "," ","|",2))-1),""))</f>
        <v/>
      </c>
      <c r="E503" s="58">
        <f>IF($H503="","",IFERROR(MID($H503&amp;" ",FIND("|",SUBSTITUTE($H503&amp;" "," ","|",3))+1,FIND("|",SUBSTITUTE($H503&amp;" "," ","|",4))-FIND("|",SUBSTITUTE($H503&amp;" "," ","|",3))-1),""))</f>
        <v/>
      </c>
      <c r="F503" s="59">
        <f>IF($H503="","",IFERROR(VALUE(IFERROR(MID($H503&amp;" ",FIND("|",SUBSTITUTE($H503&amp;" "," ","|",4))+1,FIND("|",SUBSTITUTE($H503&amp;" "," ","|",5))-FIND("|",SUBSTITUTE($H503&amp;" "," ","|",4))-1),""))/86400+25569+9/24,""))</f>
        <v/>
      </c>
      <c r="G503" s="58">
        <f>TRIM(SUBSTITUTE(SUBSTITUTE(SUBSTITUTE($A503,CHAR(9)," ")," "," "),CHAR(13),""))</f>
        <v/>
      </c>
      <c r="H503" s="58">
        <f>IF($G503="","",IF(ISNUMBER(FIND(" ",$G503)),$G503,IFERROR(IF((LEN(SUBSTITUTE(SUBSTITUTE($G503,"-"," ",LEN($G503)-LEN(SUBSTITUTE($G503,"-",""))),"-"," ",LEN($G503)-LEN(SUBSTITUTE($G503,"-",""))-1))-LEN(SUBSTITUTE(SUBSTITUTE(SUBSTITUTE($G503,"-"," ",LEN($G503)-LEN(SUBSTITUTE($G503,"-",""))),"-"," ",LEN($G503)-LEN(SUBSTITUTE($G503,"-",""))-1),".","")))=0,SUBSTITUTE(SUBSTITUTE($G503,"-"," ",LEN($G503)-LEN(SUBSTITUTE($G503,"-",""))),"-"," ",LEN($G503)-LEN(SUBSTITUTE($G503,"-",""))-1),SUBSTITUTE(SUBSTITUTE(SUBSTITUTE($G503,"-"," ",LEN($G503)-LEN(SUBSTITUTE($G503,"-",""))),"-"," ",LEN($G503)-LEN(SUBSTITUTE($G503,"-",""))-1),"."," ",(LEN(SUBSTITUTE(SUBSTITUTE($G503,"-"," ",LEN($G503)-LEN(SUBSTITUTE($G503,"-",""))),"-"," ",LEN($G503)-LEN(SUBSTITUTE($G503,"-",""))-1))-LEN(SUBSTITUTE(SUBSTITUTE(SUBSTITUTE($G503,"-"," ",LEN($G503)-LEN(SUBSTITUTE($G503,"-",""))),"-"," ",LEN($G503)-LEN(SUBSTITUTE($G503,"-",""))-1),".",""))))),$G503)))</f>
        <v/>
      </c>
    </row>
    <row r="504">
      <c r="A504" s="58" t="n"/>
      <c r="B504" s="58">
        <f>IF($H504="","",LEFT($H504,FIND(" ",$H504&amp;" ")-1))</f>
        <v/>
      </c>
      <c r="C504" s="58">
        <f>IF($H504="","",IFERROR(MID($H504&amp;" ",FIND("|",SUBSTITUTE($H504&amp;" "," ","|",1))+1,FIND("|",SUBSTITUTE($H504&amp;" "," ","|",2))-FIND("|",SUBSTITUTE($H504&amp;" "," ","|",1))-1),""))</f>
        <v/>
      </c>
      <c r="D504" s="58">
        <f>IF($H504="","",IFERROR(MID($H504&amp;" ",FIND("|",SUBSTITUTE($H504&amp;" "," ","|",2))+1,FIND("|",SUBSTITUTE($H504&amp;" "," ","|",3))-FIND("|",SUBSTITUTE($H504&amp;" "," ","|",2))-1),""))</f>
        <v/>
      </c>
      <c r="E504" s="58">
        <f>IF($H504="","",IFERROR(MID($H504&amp;" ",FIND("|",SUBSTITUTE($H504&amp;" "," ","|",3))+1,FIND("|",SUBSTITUTE($H504&amp;" "," ","|",4))-FIND("|",SUBSTITUTE($H504&amp;" "," ","|",3))-1),""))</f>
        <v/>
      </c>
      <c r="F504" s="59">
        <f>IF($H504="","",IFERROR(VALUE(IFERROR(MID($H504&amp;" ",FIND("|",SUBSTITUTE($H504&amp;" "," ","|",4))+1,FIND("|",SUBSTITUTE($H504&amp;" "," ","|",5))-FIND("|",SUBSTITUTE($H504&amp;" "," ","|",4))-1),""))/86400+25569+9/24,""))</f>
        <v/>
      </c>
      <c r="G504" s="58">
        <f>TRIM(SUBSTITUTE(SUBSTITUTE(SUBSTITUTE($A504,CHAR(9)," ")," "," "),CHAR(13),""))</f>
        <v/>
      </c>
      <c r="H504" s="58">
        <f>IF($G504="","",IF(ISNUMBER(FIND(" ",$G504)),$G504,IFERROR(IF((LEN(SUBSTITUTE(SUBSTITUTE($G504,"-"," ",LEN($G504)-LEN(SUBSTITUTE($G504,"-",""))),"-"," ",LEN($G504)-LEN(SUBSTITUTE($G504,"-",""))-1))-LEN(SUBSTITUTE(SUBSTITUTE(SUBSTITUTE($G504,"-"," ",LEN($G504)-LEN(SUBSTITUTE($G504,"-",""))),"-"," ",LEN($G504)-LEN(SUBSTITUTE($G504,"-",""))-1),".","")))=0,SUBSTITUTE(SUBSTITUTE($G504,"-"," ",LEN($G504)-LEN(SUBSTITUTE($G504,"-",""))),"-"," ",LEN($G504)-LEN(SUBSTITUTE($G504,"-",""))-1),SUBSTITUTE(SUBSTITUTE(SUBSTITUTE($G504,"-"," ",LEN($G504)-LEN(SUBSTITUTE($G504,"-",""))),"-"," ",LEN($G504)-LEN(SUBSTITUTE($G504,"-",""))-1),"."," ",(LEN(SUBSTITUTE(SUBSTITUTE($G504,"-"," ",LEN($G504)-LEN(SUBSTITUTE($G504,"-",""))),"-"," ",LEN($G504)-LEN(SUBSTITUTE($G504,"-",""))-1))-LEN(SUBSTITUTE(SUBSTITUTE(SUBSTITUTE($G504,"-"," ",LEN($G504)-LEN(SUBSTITUTE($G504,"-",""))),"-"," ",LEN($G504)-LEN(SUBSTITUTE($G504,"-",""))-1),".",""))))),$G504)))</f>
        <v/>
      </c>
    </row>
    <row r="505">
      <c r="A505" s="58" t="n"/>
      <c r="B505" s="58">
        <f>IF($H505="","",LEFT($H505,FIND(" ",$H505&amp;" ")-1))</f>
        <v/>
      </c>
      <c r="C505" s="58">
        <f>IF($H505="","",IFERROR(MID($H505&amp;" ",FIND("|",SUBSTITUTE($H505&amp;" "," ","|",1))+1,FIND("|",SUBSTITUTE($H505&amp;" "," ","|",2))-FIND("|",SUBSTITUTE($H505&amp;" "," ","|",1))-1),""))</f>
        <v/>
      </c>
      <c r="D505" s="58">
        <f>IF($H505="","",IFERROR(MID($H505&amp;" ",FIND("|",SUBSTITUTE($H505&amp;" "," ","|",2))+1,FIND("|",SUBSTITUTE($H505&amp;" "," ","|",3))-FIND("|",SUBSTITUTE($H505&amp;" "," ","|",2))-1),""))</f>
        <v/>
      </c>
      <c r="E505" s="58">
        <f>IF($H505="","",IFERROR(MID($H505&amp;" ",FIND("|",SUBSTITUTE($H505&amp;" "," ","|",3))+1,FIND("|",SUBSTITUTE($H505&amp;" "," ","|",4))-FIND("|",SUBSTITUTE($H505&amp;" "," ","|",3))-1),""))</f>
        <v/>
      </c>
      <c r="F505" s="59">
        <f>IF($H505="","",IFERROR(VALUE(IFERROR(MID($H505&amp;" ",FIND("|",SUBSTITUTE($H505&amp;" "," ","|",4))+1,FIND("|",SUBSTITUTE($H505&amp;" "," ","|",5))-FIND("|",SUBSTITUTE($H505&amp;" "," ","|",4))-1),""))/86400+25569+9/24,""))</f>
        <v/>
      </c>
      <c r="G505" s="58">
        <f>TRIM(SUBSTITUTE(SUBSTITUTE(SUBSTITUTE($A505,CHAR(9)," ")," "," "),CHAR(13),""))</f>
        <v/>
      </c>
      <c r="H505" s="58">
        <f>IF($G505="","",IF(ISNUMBER(FIND(" ",$G505)),$G505,IFERROR(IF((LEN(SUBSTITUTE(SUBSTITUTE($G505,"-"," ",LEN($G505)-LEN(SUBSTITUTE($G505,"-",""))),"-"," ",LEN($G505)-LEN(SUBSTITUTE($G505,"-",""))-1))-LEN(SUBSTITUTE(SUBSTITUTE(SUBSTITUTE($G505,"-"," ",LEN($G505)-LEN(SUBSTITUTE($G505,"-",""))),"-"," ",LEN($G505)-LEN(SUBSTITUTE($G505,"-",""))-1),".","")))=0,SUBSTITUTE(SUBSTITUTE($G505,"-"," ",LEN($G505)-LEN(SUBSTITUTE($G505,"-",""))),"-"," ",LEN($G505)-LEN(SUBSTITUTE($G505,"-",""))-1),SUBSTITUTE(SUBSTITUTE(SUBSTITUTE($G505,"-"," ",LEN($G505)-LEN(SUBSTITUTE($G505,"-",""))),"-"," ",LEN($G505)-LEN(SUBSTITUTE($G505,"-",""))-1),"."," ",(LEN(SUBSTITUTE(SUBSTITUTE($G505,"-"," ",LEN($G505)-LEN(SUBSTITUTE($G505,"-",""))),"-"," ",LEN($G505)-LEN(SUBSTITUTE($G505,"-",""))-1))-LEN(SUBSTITUTE(SUBSTITUTE(SUBSTITUTE($G505,"-"," ",LEN($G505)-LEN(SUBSTITUTE($G505,"-",""))),"-"," ",LEN($G505)-LEN(SUBSTITUTE($G505,"-",""))-1),".",""))))),$G505)))</f>
        <v/>
      </c>
    </row>
    <row r="506">
      <c r="A506" s="58" t="n"/>
      <c r="B506" s="58">
        <f>IF($H506="","",LEFT($H506,FIND(" ",$H506&amp;" ")-1))</f>
        <v/>
      </c>
      <c r="C506" s="58">
        <f>IF($H506="","",IFERROR(MID($H506&amp;" ",FIND("|",SUBSTITUTE($H506&amp;" "," ","|",1))+1,FIND("|",SUBSTITUTE($H506&amp;" "," ","|",2))-FIND("|",SUBSTITUTE($H506&amp;" "," ","|",1))-1),""))</f>
        <v/>
      </c>
      <c r="D506" s="58">
        <f>IF($H506="","",IFERROR(MID($H506&amp;" ",FIND("|",SUBSTITUTE($H506&amp;" "," ","|",2))+1,FIND("|",SUBSTITUTE($H506&amp;" "," ","|",3))-FIND("|",SUBSTITUTE($H506&amp;" "," ","|",2))-1),""))</f>
        <v/>
      </c>
      <c r="E506" s="58">
        <f>IF($H506="","",IFERROR(MID($H506&amp;" ",FIND("|",SUBSTITUTE($H506&amp;" "," ","|",3))+1,FIND("|",SUBSTITUTE($H506&amp;" "," ","|",4))-FIND("|",SUBSTITUTE($H506&amp;" "," ","|",3))-1),""))</f>
        <v/>
      </c>
      <c r="F506" s="59">
        <f>IF($H506="","",IFERROR(VALUE(IFERROR(MID($H506&amp;" ",FIND("|",SUBSTITUTE($H506&amp;" "," ","|",4))+1,FIND("|",SUBSTITUTE($H506&amp;" "," ","|",5))-FIND("|",SUBSTITUTE($H506&amp;" "," ","|",4))-1),""))/86400+25569+9/24,""))</f>
        <v/>
      </c>
      <c r="G506" s="58">
        <f>TRIM(SUBSTITUTE(SUBSTITUTE(SUBSTITUTE($A506,CHAR(9)," ")," "," "),CHAR(13),""))</f>
        <v/>
      </c>
      <c r="H506" s="58">
        <f>IF($G506="","",IF(ISNUMBER(FIND(" ",$G506)),$G506,IFERROR(IF((LEN(SUBSTITUTE(SUBSTITUTE($G506,"-"," ",LEN($G506)-LEN(SUBSTITUTE($G506,"-",""))),"-"," ",LEN($G506)-LEN(SUBSTITUTE($G506,"-",""))-1))-LEN(SUBSTITUTE(SUBSTITUTE(SUBSTITUTE($G506,"-"," ",LEN($G506)-LEN(SUBSTITUTE($G506,"-",""))),"-"," ",LEN($G506)-LEN(SUBSTITUTE($G506,"-",""))-1),".","")))=0,SUBSTITUTE(SUBSTITUTE($G506,"-"," ",LEN($G506)-LEN(SUBSTITUTE($G506,"-",""))),"-"," ",LEN($G506)-LEN(SUBSTITUTE($G506,"-",""))-1),SUBSTITUTE(SUBSTITUTE(SUBSTITUTE($G506,"-"," ",LEN($G506)-LEN(SUBSTITUTE($G506,"-",""))),"-"," ",LEN($G506)-LEN(SUBSTITUTE($G506,"-",""))-1),"."," ",(LEN(SUBSTITUTE(SUBSTITUTE($G506,"-"," ",LEN($G506)-LEN(SUBSTITUTE($G506,"-",""))),"-"," ",LEN($G506)-LEN(SUBSTITUTE($G506,"-",""))-1))-LEN(SUBSTITUTE(SUBSTITUTE(SUBSTITUTE($G506,"-"," ",LEN($G506)-LEN(SUBSTITUTE($G506,"-",""))),"-"," ",LEN($G506)-LEN(SUBSTITUTE($G506,"-",""))-1),".",""))))),$G506)))</f>
        <v/>
      </c>
    </row>
    <row r="507">
      <c r="A507" s="58" t="n"/>
      <c r="B507" s="58">
        <f>IF($H507="","",LEFT($H507,FIND(" ",$H507&amp;" ")-1))</f>
        <v/>
      </c>
      <c r="C507" s="58">
        <f>IF($H507="","",IFERROR(MID($H507&amp;" ",FIND("|",SUBSTITUTE($H507&amp;" "," ","|",1))+1,FIND("|",SUBSTITUTE($H507&amp;" "," ","|",2))-FIND("|",SUBSTITUTE($H507&amp;" "," ","|",1))-1),""))</f>
        <v/>
      </c>
      <c r="D507" s="58">
        <f>IF($H507="","",IFERROR(MID($H507&amp;" ",FIND("|",SUBSTITUTE($H507&amp;" "," ","|",2))+1,FIND("|",SUBSTITUTE($H507&amp;" "," ","|",3))-FIND("|",SUBSTITUTE($H507&amp;" "," ","|",2))-1),""))</f>
        <v/>
      </c>
      <c r="E507" s="58">
        <f>IF($H507="","",IFERROR(MID($H507&amp;" ",FIND("|",SUBSTITUTE($H507&amp;" "," ","|",3))+1,FIND("|",SUBSTITUTE($H507&amp;" "," ","|",4))-FIND("|",SUBSTITUTE($H507&amp;" "," ","|",3))-1),""))</f>
        <v/>
      </c>
      <c r="F507" s="59">
        <f>IF($H507="","",IFERROR(VALUE(IFERROR(MID($H507&amp;" ",FIND("|",SUBSTITUTE($H507&amp;" "," ","|",4))+1,FIND("|",SUBSTITUTE($H507&amp;" "," ","|",5))-FIND("|",SUBSTITUTE($H507&amp;" "," ","|",4))-1),""))/86400+25569+9/24,""))</f>
        <v/>
      </c>
      <c r="G507" s="58">
        <f>TRIM(SUBSTITUTE(SUBSTITUTE(SUBSTITUTE($A507,CHAR(9)," ")," "," "),CHAR(13),""))</f>
        <v/>
      </c>
      <c r="H507" s="58">
        <f>IF($G507="","",IF(ISNUMBER(FIND(" ",$G507)),$G507,IFERROR(IF((LEN(SUBSTITUTE(SUBSTITUTE($G507,"-"," ",LEN($G507)-LEN(SUBSTITUTE($G507,"-",""))),"-"," ",LEN($G507)-LEN(SUBSTITUTE($G507,"-",""))-1))-LEN(SUBSTITUTE(SUBSTITUTE(SUBSTITUTE($G507,"-"," ",LEN($G507)-LEN(SUBSTITUTE($G507,"-",""))),"-"," ",LEN($G507)-LEN(SUBSTITUTE($G507,"-",""))-1),".","")))=0,SUBSTITUTE(SUBSTITUTE($G507,"-"," ",LEN($G507)-LEN(SUBSTITUTE($G507,"-",""))),"-"," ",LEN($G507)-LEN(SUBSTITUTE($G507,"-",""))-1),SUBSTITUTE(SUBSTITUTE(SUBSTITUTE($G507,"-"," ",LEN($G507)-LEN(SUBSTITUTE($G507,"-",""))),"-"," ",LEN($G507)-LEN(SUBSTITUTE($G507,"-",""))-1),"."," ",(LEN(SUBSTITUTE(SUBSTITUTE($G507,"-"," ",LEN($G507)-LEN(SUBSTITUTE($G507,"-",""))),"-"," ",LEN($G507)-LEN(SUBSTITUTE($G507,"-",""))-1))-LEN(SUBSTITUTE(SUBSTITUTE(SUBSTITUTE($G507,"-"," ",LEN($G507)-LEN(SUBSTITUTE($G507,"-",""))),"-"," ",LEN($G507)-LEN(SUBSTITUTE($G507,"-",""))-1),".",""))))),$G507)))</f>
        <v/>
      </c>
    </row>
    <row r="508">
      <c r="A508" s="58" t="n"/>
      <c r="B508" s="58">
        <f>IF($H508="","",LEFT($H508,FIND(" ",$H508&amp;" ")-1))</f>
        <v/>
      </c>
      <c r="C508" s="58">
        <f>IF($H508="","",IFERROR(MID($H508&amp;" ",FIND("|",SUBSTITUTE($H508&amp;" "," ","|",1))+1,FIND("|",SUBSTITUTE($H508&amp;" "," ","|",2))-FIND("|",SUBSTITUTE($H508&amp;" "," ","|",1))-1),""))</f>
        <v/>
      </c>
      <c r="D508" s="58">
        <f>IF($H508="","",IFERROR(MID($H508&amp;" ",FIND("|",SUBSTITUTE($H508&amp;" "," ","|",2))+1,FIND("|",SUBSTITUTE($H508&amp;" "," ","|",3))-FIND("|",SUBSTITUTE($H508&amp;" "," ","|",2))-1),""))</f>
        <v/>
      </c>
      <c r="E508" s="58">
        <f>IF($H508="","",IFERROR(MID($H508&amp;" ",FIND("|",SUBSTITUTE($H508&amp;" "," ","|",3))+1,FIND("|",SUBSTITUTE($H508&amp;" "," ","|",4))-FIND("|",SUBSTITUTE($H508&amp;" "," ","|",3))-1),""))</f>
        <v/>
      </c>
      <c r="F508" s="59">
        <f>IF($H508="","",IFERROR(VALUE(IFERROR(MID($H508&amp;" ",FIND("|",SUBSTITUTE($H508&amp;" "," ","|",4))+1,FIND("|",SUBSTITUTE($H508&amp;" "," ","|",5))-FIND("|",SUBSTITUTE($H508&amp;" "," ","|",4))-1),""))/86400+25569+9/24,""))</f>
        <v/>
      </c>
      <c r="G508" s="58">
        <f>TRIM(SUBSTITUTE(SUBSTITUTE(SUBSTITUTE($A508,CHAR(9)," ")," "," "),CHAR(13),""))</f>
        <v/>
      </c>
      <c r="H508" s="58">
        <f>IF($G508="","",IF(ISNUMBER(FIND(" ",$G508)),$G508,IFERROR(IF((LEN(SUBSTITUTE(SUBSTITUTE($G508,"-"," ",LEN($G508)-LEN(SUBSTITUTE($G508,"-",""))),"-"," ",LEN($G508)-LEN(SUBSTITUTE($G508,"-",""))-1))-LEN(SUBSTITUTE(SUBSTITUTE(SUBSTITUTE($G508,"-"," ",LEN($G508)-LEN(SUBSTITUTE($G508,"-",""))),"-"," ",LEN($G508)-LEN(SUBSTITUTE($G508,"-",""))-1),".","")))=0,SUBSTITUTE(SUBSTITUTE($G508,"-"," ",LEN($G508)-LEN(SUBSTITUTE($G508,"-",""))),"-"," ",LEN($G508)-LEN(SUBSTITUTE($G508,"-",""))-1),SUBSTITUTE(SUBSTITUTE(SUBSTITUTE($G508,"-"," ",LEN($G508)-LEN(SUBSTITUTE($G508,"-",""))),"-"," ",LEN($G508)-LEN(SUBSTITUTE($G508,"-",""))-1),"."," ",(LEN(SUBSTITUTE(SUBSTITUTE($G508,"-"," ",LEN($G508)-LEN(SUBSTITUTE($G508,"-",""))),"-"," ",LEN($G508)-LEN(SUBSTITUTE($G508,"-",""))-1))-LEN(SUBSTITUTE(SUBSTITUTE(SUBSTITUTE($G508,"-"," ",LEN($G508)-LEN(SUBSTITUTE($G508,"-",""))),"-"," ",LEN($G508)-LEN(SUBSTITUTE($G508,"-",""))-1),".",""))))),$G508)))</f>
        <v/>
      </c>
    </row>
    <row r="509">
      <c r="A509" s="58" t="n"/>
      <c r="B509" s="58">
        <f>IF($H509="","",LEFT($H509,FIND(" ",$H509&amp;" ")-1))</f>
        <v/>
      </c>
      <c r="C509" s="58">
        <f>IF($H509="","",IFERROR(MID($H509&amp;" ",FIND("|",SUBSTITUTE($H509&amp;" "," ","|",1))+1,FIND("|",SUBSTITUTE($H509&amp;" "," ","|",2))-FIND("|",SUBSTITUTE($H509&amp;" "," ","|",1))-1),""))</f>
        <v/>
      </c>
      <c r="D509" s="58">
        <f>IF($H509="","",IFERROR(MID($H509&amp;" ",FIND("|",SUBSTITUTE($H509&amp;" "," ","|",2))+1,FIND("|",SUBSTITUTE($H509&amp;" "," ","|",3))-FIND("|",SUBSTITUTE($H509&amp;" "," ","|",2))-1),""))</f>
        <v/>
      </c>
      <c r="E509" s="58">
        <f>IF($H509="","",IFERROR(MID($H509&amp;" ",FIND("|",SUBSTITUTE($H509&amp;" "," ","|",3))+1,FIND("|",SUBSTITUTE($H509&amp;" "," ","|",4))-FIND("|",SUBSTITUTE($H509&amp;" "," ","|",3))-1),""))</f>
        <v/>
      </c>
      <c r="F509" s="59">
        <f>IF($H509="","",IFERROR(VALUE(IFERROR(MID($H509&amp;" ",FIND("|",SUBSTITUTE($H509&amp;" "," ","|",4))+1,FIND("|",SUBSTITUTE($H509&amp;" "," ","|",5))-FIND("|",SUBSTITUTE($H509&amp;" "," ","|",4))-1),""))/86400+25569+9/24,""))</f>
        <v/>
      </c>
      <c r="G509" s="58">
        <f>TRIM(SUBSTITUTE(SUBSTITUTE(SUBSTITUTE($A509,CHAR(9)," ")," "," "),CHAR(13),""))</f>
        <v/>
      </c>
      <c r="H509" s="58">
        <f>IF($G509="","",IF(ISNUMBER(FIND(" ",$G509)),$G509,IFERROR(IF((LEN(SUBSTITUTE(SUBSTITUTE($G509,"-"," ",LEN($G509)-LEN(SUBSTITUTE($G509,"-",""))),"-"," ",LEN($G509)-LEN(SUBSTITUTE($G509,"-",""))-1))-LEN(SUBSTITUTE(SUBSTITUTE(SUBSTITUTE($G509,"-"," ",LEN($G509)-LEN(SUBSTITUTE($G509,"-",""))),"-"," ",LEN($G509)-LEN(SUBSTITUTE($G509,"-",""))-1),".","")))=0,SUBSTITUTE(SUBSTITUTE($G509,"-"," ",LEN($G509)-LEN(SUBSTITUTE($G509,"-",""))),"-"," ",LEN($G509)-LEN(SUBSTITUTE($G509,"-",""))-1),SUBSTITUTE(SUBSTITUTE(SUBSTITUTE($G509,"-"," ",LEN($G509)-LEN(SUBSTITUTE($G509,"-",""))),"-"," ",LEN($G509)-LEN(SUBSTITUTE($G509,"-",""))-1),"."," ",(LEN(SUBSTITUTE(SUBSTITUTE($G509,"-"," ",LEN($G509)-LEN(SUBSTITUTE($G509,"-",""))),"-"," ",LEN($G509)-LEN(SUBSTITUTE($G509,"-",""))-1))-LEN(SUBSTITUTE(SUBSTITUTE(SUBSTITUTE($G509,"-"," ",LEN($G509)-LEN(SUBSTITUTE($G509,"-",""))),"-"," ",LEN($G509)-LEN(SUBSTITUTE($G509,"-",""))-1),".",""))))),$G509)))</f>
        <v/>
      </c>
    </row>
    <row r="510">
      <c r="A510" s="58" t="n"/>
      <c r="B510" s="58">
        <f>IF($H510="","",LEFT($H510,FIND(" ",$H510&amp;" ")-1))</f>
        <v/>
      </c>
      <c r="C510" s="58">
        <f>IF($H510="","",IFERROR(MID($H510&amp;" ",FIND("|",SUBSTITUTE($H510&amp;" "," ","|",1))+1,FIND("|",SUBSTITUTE($H510&amp;" "," ","|",2))-FIND("|",SUBSTITUTE($H510&amp;" "," ","|",1))-1),""))</f>
        <v/>
      </c>
      <c r="D510" s="58">
        <f>IF($H510="","",IFERROR(MID($H510&amp;" ",FIND("|",SUBSTITUTE($H510&amp;" "," ","|",2))+1,FIND("|",SUBSTITUTE($H510&amp;" "," ","|",3))-FIND("|",SUBSTITUTE($H510&amp;" "," ","|",2))-1),""))</f>
        <v/>
      </c>
      <c r="E510" s="58">
        <f>IF($H510="","",IFERROR(MID($H510&amp;" ",FIND("|",SUBSTITUTE($H510&amp;" "," ","|",3))+1,FIND("|",SUBSTITUTE($H510&amp;" "," ","|",4))-FIND("|",SUBSTITUTE($H510&amp;" "," ","|",3))-1),""))</f>
        <v/>
      </c>
      <c r="F510" s="59">
        <f>IF($H510="","",IFERROR(VALUE(IFERROR(MID($H510&amp;" ",FIND("|",SUBSTITUTE($H510&amp;" "," ","|",4))+1,FIND("|",SUBSTITUTE($H510&amp;" "," ","|",5))-FIND("|",SUBSTITUTE($H510&amp;" "," ","|",4))-1),""))/86400+25569+9/24,""))</f>
        <v/>
      </c>
      <c r="G510" s="58">
        <f>TRIM(SUBSTITUTE(SUBSTITUTE(SUBSTITUTE($A510,CHAR(9)," ")," "," "),CHAR(13),""))</f>
        <v/>
      </c>
      <c r="H510" s="58">
        <f>IF($G510="","",IF(ISNUMBER(FIND(" ",$G510)),$G510,IFERROR(IF((LEN(SUBSTITUTE(SUBSTITUTE($G510,"-"," ",LEN($G510)-LEN(SUBSTITUTE($G510,"-",""))),"-"," ",LEN($G510)-LEN(SUBSTITUTE($G510,"-",""))-1))-LEN(SUBSTITUTE(SUBSTITUTE(SUBSTITUTE($G510,"-"," ",LEN($G510)-LEN(SUBSTITUTE($G510,"-",""))),"-"," ",LEN($G510)-LEN(SUBSTITUTE($G510,"-",""))-1),".","")))=0,SUBSTITUTE(SUBSTITUTE($G510,"-"," ",LEN($G510)-LEN(SUBSTITUTE($G510,"-",""))),"-"," ",LEN($G510)-LEN(SUBSTITUTE($G510,"-",""))-1),SUBSTITUTE(SUBSTITUTE(SUBSTITUTE($G510,"-"," ",LEN($G510)-LEN(SUBSTITUTE($G510,"-",""))),"-"," ",LEN($G510)-LEN(SUBSTITUTE($G510,"-",""))-1),"."," ",(LEN(SUBSTITUTE(SUBSTITUTE($G510,"-"," ",LEN($G510)-LEN(SUBSTITUTE($G510,"-",""))),"-"," ",LEN($G510)-LEN(SUBSTITUTE($G510,"-",""))-1))-LEN(SUBSTITUTE(SUBSTITUTE(SUBSTITUTE($G510,"-"," ",LEN($G510)-LEN(SUBSTITUTE($G510,"-",""))),"-"," ",LEN($G510)-LEN(SUBSTITUTE($G510,"-",""))-1),".",""))))),$G510)))</f>
        <v/>
      </c>
    </row>
    <row r="511">
      <c r="A511" s="58" t="n"/>
      <c r="B511" s="58">
        <f>IF($H511="","",LEFT($H511,FIND(" ",$H511&amp;" ")-1))</f>
        <v/>
      </c>
      <c r="C511" s="58">
        <f>IF($H511="","",IFERROR(MID($H511&amp;" ",FIND("|",SUBSTITUTE($H511&amp;" "," ","|",1))+1,FIND("|",SUBSTITUTE($H511&amp;" "," ","|",2))-FIND("|",SUBSTITUTE($H511&amp;" "," ","|",1))-1),""))</f>
        <v/>
      </c>
      <c r="D511" s="58">
        <f>IF($H511="","",IFERROR(MID($H511&amp;" ",FIND("|",SUBSTITUTE($H511&amp;" "," ","|",2))+1,FIND("|",SUBSTITUTE($H511&amp;" "," ","|",3))-FIND("|",SUBSTITUTE($H511&amp;" "," ","|",2))-1),""))</f>
        <v/>
      </c>
      <c r="E511" s="58">
        <f>IF($H511="","",IFERROR(MID($H511&amp;" ",FIND("|",SUBSTITUTE($H511&amp;" "," ","|",3))+1,FIND("|",SUBSTITUTE($H511&amp;" "," ","|",4))-FIND("|",SUBSTITUTE($H511&amp;" "," ","|",3))-1),""))</f>
        <v/>
      </c>
      <c r="F511" s="59">
        <f>IF($H511="","",IFERROR(VALUE(IFERROR(MID($H511&amp;" ",FIND("|",SUBSTITUTE($H511&amp;" "," ","|",4))+1,FIND("|",SUBSTITUTE($H511&amp;" "," ","|",5))-FIND("|",SUBSTITUTE($H511&amp;" "," ","|",4))-1),""))/86400+25569+9/24,""))</f>
        <v/>
      </c>
      <c r="G511" s="58">
        <f>TRIM(SUBSTITUTE(SUBSTITUTE(SUBSTITUTE($A511,CHAR(9)," ")," "," "),CHAR(13),""))</f>
        <v/>
      </c>
      <c r="H511" s="58">
        <f>IF($G511="","",IF(ISNUMBER(FIND(" ",$G511)),$G511,IFERROR(IF((LEN(SUBSTITUTE(SUBSTITUTE($G511,"-"," ",LEN($G511)-LEN(SUBSTITUTE($G511,"-",""))),"-"," ",LEN($G511)-LEN(SUBSTITUTE($G511,"-",""))-1))-LEN(SUBSTITUTE(SUBSTITUTE(SUBSTITUTE($G511,"-"," ",LEN($G511)-LEN(SUBSTITUTE($G511,"-",""))),"-"," ",LEN($G511)-LEN(SUBSTITUTE($G511,"-",""))-1),".","")))=0,SUBSTITUTE(SUBSTITUTE($G511,"-"," ",LEN($G511)-LEN(SUBSTITUTE($G511,"-",""))),"-"," ",LEN($G511)-LEN(SUBSTITUTE($G511,"-",""))-1),SUBSTITUTE(SUBSTITUTE(SUBSTITUTE($G511,"-"," ",LEN($G511)-LEN(SUBSTITUTE($G511,"-",""))),"-"," ",LEN($G511)-LEN(SUBSTITUTE($G511,"-",""))-1),"."," ",(LEN(SUBSTITUTE(SUBSTITUTE($G511,"-"," ",LEN($G511)-LEN(SUBSTITUTE($G511,"-",""))),"-"," ",LEN($G511)-LEN(SUBSTITUTE($G511,"-",""))-1))-LEN(SUBSTITUTE(SUBSTITUTE(SUBSTITUTE($G511,"-"," ",LEN($G511)-LEN(SUBSTITUTE($G511,"-",""))),"-"," ",LEN($G511)-LEN(SUBSTITUTE($G511,"-",""))-1),".",""))))),$G511)))</f>
        <v/>
      </c>
    </row>
    <row r="512">
      <c r="A512" s="58" t="n"/>
      <c r="B512" s="58">
        <f>IF($H512="","",LEFT($H512,FIND(" ",$H512&amp;" ")-1))</f>
        <v/>
      </c>
      <c r="C512" s="58">
        <f>IF($H512="","",IFERROR(MID($H512&amp;" ",FIND("|",SUBSTITUTE($H512&amp;" "," ","|",1))+1,FIND("|",SUBSTITUTE($H512&amp;" "," ","|",2))-FIND("|",SUBSTITUTE($H512&amp;" "," ","|",1))-1),""))</f>
        <v/>
      </c>
      <c r="D512" s="58">
        <f>IF($H512="","",IFERROR(MID($H512&amp;" ",FIND("|",SUBSTITUTE($H512&amp;" "," ","|",2))+1,FIND("|",SUBSTITUTE($H512&amp;" "," ","|",3))-FIND("|",SUBSTITUTE($H512&amp;" "," ","|",2))-1),""))</f>
        <v/>
      </c>
      <c r="E512" s="58">
        <f>IF($H512="","",IFERROR(MID($H512&amp;" ",FIND("|",SUBSTITUTE($H512&amp;" "," ","|",3))+1,FIND("|",SUBSTITUTE($H512&amp;" "," ","|",4))-FIND("|",SUBSTITUTE($H512&amp;" "," ","|",3))-1),""))</f>
        <v/>
      </c>
      <c r="F512" s="59">
        <f>IF($H512="","",IFERROR(VALUE(IFERROR(MID($H512&amp;" ",FIND("|",SUBSTITUTE($H512&amp;" "," ","|",4))+1,FIND("|",SUBSTITUTE($H512&amp;" "," ","|",5))-FIND("|",SUBSTITUTE($H512&amp;" "," ","|",4))-1),""))/86400+25569+9/24,""))</f>
        <v/>
      </c>
      <c r="G512" s="58">
        <f>TRIM(SUBSTITUTE(SUBSTITUTE(SUBSTITUTE($A512,CHAR(9)," ")," "," "),CHAR(13),""))</f>
        <v/>
      </c>
      <c r="H512" s="58">
        <f>IF($G512="","",IF(ISNUMBER(FIND(" ",$G512)),$G512,IFERROR(IF((LEN(SUBSTITUTE(SUBSTITUTE($G512,"-"," ",LEN($G512)-LEN(SUBSTITUTE($G512,"-",""))),"-"," ",LEN($G512)-LEN(SUBSTITUTE($G512,"-",""))-1))-LEN(SUBSTITUTE(SUBSTITUTE(SUBSTITUTE($G512,"-"," ",LEN($G512)-LEN(SUBSTITUTE($G512,"-",""))),"-"," ",LEN($G512)-LEN(SUBSTITUTE($G512,"-",""))-1),".","")))=0,SUBSTITUTE(SUBSTITUTE($G512,"-"," ",LEN($G512)-LEN(SUBSTITUTE($G512,"-",""))),"-"," ",LEN($G512)-LEN(SUBSTITUTE($G512,"-",""))-1),SUBSTITUTE(SUBSTITUTE(SUBSTITUTE($G512,"-"," ",LEN($G512)-LEN(SUBSTITUTE($G512,"-",""))),"-"," ",LEN($G512)-LEN(SUBSTITUTE($G512,"-",""))-1),"."," ",(LEN(SUBSTITUTE(SUBSTITUTE($G512,"-"," ",LEN($G512)-LEN(SUBSTITUTE($G512,"-",""))),"-"," ",LEN($G512)-LEN(SUBSTITUTE($G512,"-",""))-1))-LEN(SUBSTITUTE(SUBSTITUTE(SUBSTITUTE($G512,"-"," ",LEN($G512)-LEN(SUBSTITUTE($G512,"-",""))),"-"," ",LEN($G512)-LEN(SUBSTITUTE($G512,"-",""))-1),".",""))))),$G512)))</f>
        <v/>
      </c>
    </row>
    <row r="513">
      <c r="A513" s="58" t="n"/>
      <c r="B513" s="58">
        <f>IF($H513="","",LEFT($H513,FIND(" ",$H513&amp;" ")-1))</f>
        <v/>
      </c>
      <c r="C513" s="58">
        <f>IF($H513="","",IFERROR(MID($H513&amp;" ",FIND("|",SUBSTITUTE($H513&amp;" "," ","|",1))+1,FIND("|",SUBSTITUTE($H513&amp;" "," ","|",2))-FIND("|",SUBSTITUTE($H513&amp;" "," ","|",1))-1),""))</f>
        <v/>
      </c>
      <c r="D513" s="58">
        <f>IF($H513="","",IFERROR(MID($H513&amp;" ",FIND("|",SUBSTITUTE($H513&amp;" "," ","|",2))+1,FIND("|",SUBSTITUTE($H513&amp;" "," ","|",3))-FIND("|",SUBSTITUTE($H513&amp;" "," ","|",2))-1),""))</f>
        <v/>
      </c>
      <c r="E513" s="58">
        <f>IF($H513="","",IFERROR(MID($H513&amp;" ",FIND("|",SUBSTITUTE($H513&amp;" "," ","|",3))+1,FIND("|",SUBSTITUTE($H513&amp;" "," ","|",4))-FIND("|",SUBSTITUTE($H513&amp;" "," ","|",3))-1),""))</f>
        <v/>
      </c>
      <c r="F513" s="59">
        <f>IF($H513="","",IFERROR(VALUE(IFERROR(MID($H513&amp;" ",FIND("|",SUBSTITUTE($H513&amp;" "," ","|",4))+1,FIND("|",SUBSTITUTE($H513&amp;" "," ","|",5))-FIND("|",SUBSTITUTE($H513&amp;" "," ","|",4))-1),""))/86400+25569+9/24,""))</f>
        <v/>
      </c>
      <c r="G513" s="58">
        <f>TRIM(SUBSTITUTE(SUBSTITUTE(SUBSTITUTE($A513,CHAR(9)," ")," "," "),CHAR(13),""))</f>
        <v/>
      </c>
      <c r="H513" s="58">
        <f>IF($G513="","",IF(ISNUMBER(FIND(" ",$G513)),$G513,IFERROR(IF((LEN(SUBSTITUTE(SUBSTITUTE($G513,"-"," ",LEN($G513)-LEN(SUBSTITUTE($G513,"-",""))),"-"," ",LEN($G513)-LEN(SUBSTITUTE($G513,"-",""))-1))-LEN(SUBSTITUTE(SUBSTITUTE(SUBSTITUTE($G513,"-"," ",LEN($G513)-LEN(SUBSTITUTE($G513,"-",""))),"-"," ",LEN($G513)-LEN(SUBSTITUTE($G513,"-",""))-1),".","")))=0,SUBSTITUTE(SUBSTITUTE($G513,"-"," ",LEN($G513)-LEN(SUBSTITUTE($G513,"-",""))),"-"," ",LEN($G513)-LEN(SUBSTITUTE($G513,"-",""))-1),SUBSTITUTE(SUBSTITUTE(SUBSTITUTE($G513,"-"," ",LEN($G513)-LEN(SUBSTITUTE($G513,"-",""))),"-"," ",LEN($G513)-LEN(SUBSTITUTE($G513,"-",""))-1),"."," ",(LEN(SUBSTITUTE(SUBSTITUTE($G513,"-"," ",LEN($G513)-LEN(SUBSTITUTE($G513,"-",""))),"-"," ",LEN($G513)-LEN(SUBSTITUTE($G513,"-",""))-1))-LEN(SUBSTITUTE(SUBSTITUTE(SUBSTITUTE($G513,"-"," ",LEN($G513)-LEN(SUBSTITUTE($G513,"-",""))),"-"," ",LEN($G513)-LEN(SUBSTITUTE($G513,"-",""))-1),".",""))))),$G513)))</f>
        <v/>
      </c>
    </row>
    <row r="514">
      <c r="A514" s="58" t="n"/>
      <c r="B514" s="58">
        <f>IF($H514="","",LEFT($H514,FIND(" ",$H514&amp;" ")-1))</f>
        <v/>
      </c>
      <c r="C514" s="58">
        <f>IF($H514="","",IFERROR(MID($H514&amp;" ",FIND("|",SUBSTITUTE($H514&amp;" "," ","|",1))+1,FIND("|",SUBSTITUTE($H514&amp;" "," ","|",2))-FIND("|",SUBSTITUTE($H514&amp;" "," ","|",1))-1),""))</f>
        <v/>
      </c>
      <c r="D514" s="58">
        <f>IF($H514="","",IFERROR(MID($H514&amp;" ",FIND("|",SUBSTITUTE($H514&amp;" "," ","|",2))+1,FIND("|",SUBSTITUTE($H514&amp;" "," ","|",3))-FIND("|",SUBSTITUTE($H514&amp;" "," ","|",2))-1),""))</f>
        <v/>
      </c>
      <c r="E514" s="58">
        <f>IF($H514="","",IFERROR(MID($H514&amp;" ",FIND("|",SUBSTITUTE($H514&amp;" "," ","|",3))+1,FIND("|",SUBSTITUTE($H514&amp;" "," ","|",4))-FIND("|",SUBSTITUTE($H514&amp;" "," ","|",3))-1),""))</f>
        <v/>
      </c>
      <c r="F514" s="59">
        <f>IF($H514="","",IFERROR(VALUE(IFERROR(MID($H514&amp;" ",FIND("|",SUBSTITUTE($H514&amp;" "," ","|",4))+1,FIND("|",SUBSTITUTE($H514&amp;" "," ","|",5))-FIND("|",SUBSTITUTE($H514&amp;" "," ","|",4))-1),""))/86400+25569+9/24,""))</f>
        <v/>
      </c>
      <c r="G514" s="58">
        <f>TRIM(SUBSTITUTE(SUBSTITUTE(SUBSTITUTE($A514,CHAR(9)," ")," "," "),CHAR(13),""))</f>
        <v/>
      </c>
      <c r="H514" s="58">
        <f>IF($G514="","",IF(ISNUMBER(FIND(" ",$G514)),$G514,IFERROR(IF((LEN(SUBSTITUTE(SUBSTITUTE($G514,"-"," ",LEN($G514)-LEN(SUBSTITUTE($G514,"-",""))),"-"," ",LEN($G514)-LEN(SUBSTITUTE($G514,"-",""))-1))-LEN(SUBSTITUTE(SUBSTITUTE(SUBSTITUTE($G514,"-"," ",LEN($G514)-LEN(SUBSTITUTE($G514,"-",""))),"-"," ",LEN($G514)-LEN(SUBSTITUTE($G514,"-",""))-1),".","")))=0,SUBSTITUTE(SUBSTITUTE($G514,"-"," ",LEN($G514)-LEN(SUBSTITUTE($G514,"-",""))),"-"," ",LEN($G514)-LEN(SUBSTITUTE($G514,"-",""))-1),SUBSTITUTE(SUBSTITUTE(SUBSTITUTE($G514,"-"," ",LEN($G514)-LEN(SUBSTITUTE($G514,"-",""))),"-"," ",LEN($G514)-LEN(SUBSTITUTE($G514,"-",""))-1),"."," ",(LEN(SUBSTITUTE(SUBSTITUTE($G514,"-"," ",LEN($G514)-LEN(SUBSTITUTE($G514,"-",""))),"-"," ",LEN($G514)-LEN(SUBSTITUTE($G514,"-",""))-1))-LEN(SUBSTITUTE(SUBSTITUTE(SUBSTITUTE($G514,"-"," ",LEN($G514)-LEN(SUBSTITUTE($G514,"-",""))),"-"," ",LEN($G514)-LEN(SUBSTITUTE($G514,"-",""))-1),".",""))))),$G514)))</f>
        <v/>
      </c>
    </row>
    <row r="515">
      <c r="A515" s="58" t="n"/>
      <c r="B515" s="58">
        <f>IF($H515="","",LEFT($H515,FIND(" ",$H515&amp;" ")-1))</f>
        <v/>
      </c>
      <c r="C515" s="58">
        <f>IF($H515="","",IFERROR(MID($H515&amp;" ",FIND("|",SUBSTITUTE($H515&amp;" "," ","|",1))+1,FIND("|",SUBSTITUTE($H515&amp;" "," ","|",2))-FIND("|",SUBSTITUTE($H515&amp;" "," ","|",1))-1),""))</f>
        <v/>
      </c>
      <c r="D515" s="58">
        <f>IF($H515="","",IFERROR(MID($H515&amp;" ",FIND("|",SUBSTITUTE($H515&amp;" "," ","|",2))+1,FIND("|",SUBSTITUTE($H515&amp;" "," ","|",3))-FIND("|",SUBSTITUTE($H515&amp;" "," ","|",2))-1),""))</f>
        <v/>
      </c>
      <c r="E515" s="58">
        <f>IF($H515="","",IFERROR(MID($H515&amp;" ",FIND("|",SUBSTITUTE($H515&amp;" "," ","|",3))+1,FIND("|",SUBSTITUTE($H515&amp;" "," ","|",4))-FIND("|",SUBSTITUTE($H515&amp;" "," ","|",3))-1),""))</f>
        <v/>
      </c>
      <c r="F515" s="59">
        <f>IF($H515="","",IFERROR(VALUE(IFERROR(MID($H515&amp;" ",FIND("|",SUBSTITUTE($H515&amp;" "," ","|",4))+1,FIND("|",SUBSTITUTE($H515&amp;" "," ","|",5))-FIND("|",SUBSTITUTE($H515&amp;" "," ","|",4))-1),""))/86400+25569+9/24,""))</f>
        <v/>
      </c>
      <c r="G515" s="58">
        <f>TRIM(SUBSTITUTE(SUBSTITUTE(SUBSTITUTE($A515,CHAR(9)," ")," "," "),CHAR(13),""))</f>
        <v/>
      </c>
      <c r="H515" s="58">
        <f>IF($G515="","",IF(ISNUMBER(FIND(" ",$G515)),$G515,IFERROR(IF((LEN(SUBSTITUTE(SUBSTITUTE($G515,"-"," ",LEN($G515)-LEN(SUBSTITUTE($G515,"-",""))),"-"," ",LEN($G515)-LEN(SUBSTITUTE($G515,"-",""))-1))-LEN(SUBSTITUTE(SUBSTITUTE(SUBSTITUTE($G515,"-"," ",LEN($G515)-LEN(SUBSTITUTE($G515,"-",""))),"-"," ",LEN($G515)-LEN(SUBSTITUTE($G515,"-",""))-1),".","")))=0,SUBSTITUTE(SUBSTITUTE($G515,"-"," ",LEN($G515)-LEN(SUBSTITUTE($G515,"-",""))),"-"," ",LEN($G515)-LEN(SUBSTITUTE($G515,"-",""))-1),SUBSTITUTE(SUBSTITUTE(SUBSTITUTE($G515,"-"," ",LEN($G515)-LEN(SUBSTITUTE($G515,"-",""))),"-"," ",LEN($G515)-LEN(SUBSTITUTE($G515,"-",""))-1),"."," ",(LEN(SUBSTITUTE(SUBSTITUTE($G515,"-"," ",LEN($G515)-LEN(SUBSTITUTE($G515,"-",""))),"-"," ",LEN($G515)-LEN(SUBSTITUTE($G515,"-",""))-1))-LEN(SUBSTITUTE(SUBSTITUTE(SUBSTITUTE($G515,"-"," ",LEN($G515)-LEN(SUBSTITUTE($G515,"-",""))),"-"," ",LEN($G515)-LEN(SUBSTITUTE($G515,"-",""))-1),".",""))))),$G515)))</f>
        <v/>
      </c>
    </row>
    <row r="516">
      <c r="A516" s="58" t="n"/>
      <c r="B516" s="58">
        <f>IF($H516="","",LEFT($H516,FIND(" ",$H516&amp;" ")-1))</f>
        <v/>
      </c>
      <c r="C516" s="58">
        <f>IF($H516="","",IFERROR(MID($H516&amp;" ",FIND("|",SUBSTITUTE($H516&amp;" "," ","|",1))+1,FIND("|",SUBSTITUTE($H516&amp;" "," ","|",2))-FIND("|",SUBSTITUTE($H516&amp;" "," ","|",1))-1),""))</f>
        <v/>
      </c>
      <c r="D516" s="58">
        <f>IF($H516="","",IFERROR(MID($H516&amp;" ",FIND("|",SUBSTITUTE($H516&amp;" "," ","|",2))+1,FIND("|",SUBSTITUTE($H516&amp;" "," ","|",3))-FIND("|",SUBSTITUTE($H516&amp;" "," ","|",2))-1),""))</f>
        <v/>
      </c>
      <c r="E516" s="58">
        <f>IF($H516="","",IFERROR(MID($H516&amp;" ",FIND("|",SUBSTITUTE($H516&amp;" "," ","|",3))+1,FIND("|",SUBSTITUTE($H516&amp;" "," ","|",4))-FIND("|",SUBSTITUTE($H516&amp;" "," ","|",3))-1),""))</f>
        <v/>
      </c>
      <c r="F516" s="59">
        <f>IF($H516="","",IFERROR(VALUE(IFERROR(MID($H516&amp;" ",FIND("|",SUBSTITUTE($H516&amp;" "," ","|",4))+1,FIND("|",SUBSTITUTE($H516&amp;" "," ","|",5))-FIND("|",SUBSTITUTE($H516&amp;" "," ","|",4))-1),""))/86400+25569+9/24,""))</f>
        <v/>
      </c>
      <c r="G516" s="58">
        <f>TRIM(SUBSTITUTE(SUBSTITUTE(SUBSTITUTE($A516,CHAR(9)," ")," "," "),CHAR(13),""))</f>
        <v/>
      </c>
      <c r="H516" s="58">
        <f>IF($G516="","",IF(ISNUMBER(FIND(" ",$G516)),$G516,IFERROR(IF((LEN(SUBSTITUTE(SUBSTITUTE($G516,"-"," ",LEN($G516)-LEN(SUBSTITUTE($G516,"-",""))),"-"," ",LEN($G516)-LEN(SUBSTITUTE($G516,"-",""))-1))-LEN(SUBSTITUTE(SUBSTITUTE(SUBSTITUTE($G516,"-"," ",LEN($G516)-LEN(SUBSTITUTE($G516,"-",""))),"-"," ",LEN($G516)-LEN(SUBSTITUTE($G516,"-",""))-1),".","")))=0,SUBSTITUTE(SUBSTITUTE($G516,"-"," ",LEN($G516)-LEN(SUBSTITUTE($G516,"-",""))),"-"," ",LEN($G516)-LEN(SUBSTITUTE($G516,"-",""))-1),SUBSTITUTE(SUBSTITUTE(SUBSTITUTE($G516,"-"," ",LEN($G516)-LEN(SUBSTITUTE($G516,"-",""))),"-"," ",LEN($G516)-LEN(SUBSTITUTE($G516,"-",""))-1),"."," ",(LEN(SUBSTITUTE(SUBSTITUTE($G516,"-"," ",LEN($G516)-LEN(SUBSTITUTE($G516,"-",""))),"-"," ",LEN($G516)-LEN(SUBSTITUTE($G516,"-",""))-1))-LEN(SUBSTITUTE(SUBSTITUTE(SUBSTITUTE($G516,"-"," ",LEN($G516)-LEN(SUBSTITUTE($G516,"-",""))),"-"," ",LEN($G516)-LEN(SUBSTITUTE($G516,"-",""))-1),".",""))))),$G516)))</f>
        <v/>
      </c>
    </row>
    <row r="517">
      <c r="A517" s="58" t="n"/>
      <c r="B517" s="58">
        <f>IF($H517="","",LEFT($H517,FIND(" ",$H517&amp;" ")-1))</f>
        <v/>
      </c>
      <c r="C517" s="58">
        <f>IF($H517="","",IFERROR(MID($H517&amp;" ",FIND("|",SUBSTITUTE($H517&amp;" "," ","|",1))+1,FIND("|",SUBSTITUTE($H517&amp;" "," ","|",2))-FIND("|",SUBSTITUTE($H517&amp;" "," ","|",1))-1),""))</f>
        <v/>
      </c>
      <c r="D517" s="58">
        <f>IF($H517="","",IFERROR(MID($H517&amp;" ",FIND("|",SUBSTITUTE($H517&amp;" "," ","|",2))+1,FIND("|",SUBSTITUTE($H517&amp;" "," ","|",3))-FIND("|",SUBSTITUTE($H517&amp;" "," ","|",2))-1),""))</f>
        <v/>
      </c>
      <c r="E517" s="58">
        <f>IF($H517="","",IFERROR(MID($H517&amp;" ",FIND("|",SUBSTITUTE($H517&amp;" "," ","|",3))+1,FIND("|",SUBSTITUTE($H517&amp;" "," ","|",4))-FIND("|",SUBSTITUTE($H517&amp;" "," ","|",3))-1),""))</f>
        <v/>
      </c>
      <c r="F517" s="59">
        <f>IF($H517="","",IFERROR(VALUE(IFERROR(MID($H517&amp;" ",FIND("|",SUBSTITUTE($H517&amp;" "," ","|",4))+1,FIND("|",SUBSTITUTE($H517&amp;" "," ","|",5))-FIND("|",SUBSTITUTE($H517&amp;" "," ","|",4))-1),""))/86400+25569+9/24,""))</f>
        <v/>
      </c>
      <c r="G517" s="58">
        <f>TRIM(SUBSTITUTE(SUBSTITUTE(SUBSTITUTE($A517,CHAR(9)," ")," "," "),CHAR(13),""))</f>
        <v/>
      </c>
      <c r="H517" s="58">
        <f>IF($G517="","",IF(ISNUMBER(FIND(" ",$G517)),$G517,IFERROR(IF((LEN(SUBSTITUTE(SUBSTITUTE($G517,"-"," ",LEN($G517)-LEN(SUBSTITUTE($G517,"-",""))),"-"," ",LEN($G517)-LEN(SUBSTITUTE($G517,"-",""))-1))-LEN(SUBSTITUTE(SUBSTITUTE(SUBSTITUTE($G517,"-"," ",LEN($G517)-LEN(SUBSTITUTE($G517,"-",""))),"-"," ",LEN($G517)-LEN(SUBSTITUTE($G517,"-",""))-1),".","")))=0,SUBSTITUTE(SUBSTITUTE($G517,"-"," ",LEN($G517)-LEN(SUBSTITUTE($G517,"-",""))),"-"," ",LEN($G517)-LEN(SUBSTITUTE($G517,"-",""))-1),SUBSTITUTE(SUBSTITUTE(SUBSTITUTE($G517,"-"," ",LEN($G517)-LEN(SUBSTITUTE($G517,"-",""))),"-"," ",LEN($G517)-LEN(SUBSTITUTE($G517,"-",""))-1),"."," ",(LEN(SUBSTITUTE(SUBSTITUTE($G517,"-"," ",LEN($G517)-LEN(SUBSTITUTE($G517,"-",""))),"-"," ",LEN($G517)-LEN(SUBSTITUTE($G517,"-",""))-1))-LEN(SUBSTITUTE(SUBSTITUTE(SUBSTITUTE($G517,"-"," ",LEN($G517)-LEN(SUBSTITUTE($G517,"-",""))),"-"," ",LEN($G517)-LEN(SUBSTITUTE($G517,"-",""))-1),".",""))))),$G517)))</f>
        <v/>
      </c>
    </row>
    <row r="518">
      <c r="A518" s="58" t="n"/>
      <c r="B518" s="58">
        <f>IF($H518="","",LEFT($H518,FIND(" ",$H518&amp;" ")-1))</f>
        <v/>
      </c>
      <c r="C518" s="58">
        <f>IF($H518="","",IFERROR(MID($H518&amp;" ",FIND("|",SUBSTITUTE($H518&amp;" "," ","|",1))+1,FIND("|",SUBSTITUTE($H518&amp;" "," ","|",2))-FIND("|",SUBSTITUTE($H518&amp;" "," ","|",1))-1),""))</f>
        <v/>
      </c>
      <c r="D518" s="58">
        <f>IF($H518="","",IFERROR(MID($H518&amp;" ",FIND("|",SUBSTITUTE($H518&amp;" "," ","|",2))+1,FIND("|",SUBSTITUTE($H518&amp;" "," ","|",3))-FIND("|",SUBSTITUTE($H518&amp;" "," ","|",2))-1),""))</f>
        <v/>
      </c>
      <c r="E518" s="58">
        <f>IF($H518="","",IFERROR(MID($H518&amp;" ",FIND("|",SUBSTITUTE($H518&amp;" "," ","|",3))+1,FIND("|",SUBSTITUTE($H518&amp;" "," ","|",4))-FIND("|",SUBSTITUTE($H518&amp;" "," ","|",3))-1),""))</f>
        <v/>
      </c>
      <c r="F518" s="59">
        <f>IF($H518="","",IFERROR(VALUE(IFERROR(MID($H518&amp;" ",FIND("|",SUBSTITUTE($H518&amp;" "," ","|",4))+1,FIND("|",SUBSTITUTE($H518&amp;" "," ","|",5))-FIND("|",SUBSTITUTE($H518&amp;" "," ","|",4))-1),""))/86400+25569+9/24,""))</f>
        <v/>
      </c>
      <c r="G518" s="58">
        <f>TRIM(SUBSTITUTE(SUBSTITUTE(SUBSTITUTE($A518,CHAR(9)," ")," "," "),CHAR(13),""))</f>
        <v/>
      </c>
      <c r="H518" s="58">
        <f>IF($G518="","",IF(ISNUMBER(FIND(" ",$G518)),$G518,IFERROR(IF((LEN(SUBSTITUTE(SUBSTITUTE($G518,"-"," ",LEN($G518)-LEN(SUBSTITUTE($G518,"-",""))),"-"," ",LEN($G518)-LEN(SUBSTITUTE($G518,"-",""))-1))-LEN(SUBSTITUTE(SUBSTITUTE(SUBSTITUTE($G518,"-"," ",LEN($G518)-LEN(SUBSTITUTE($G518,"-",""))),"-"," ",LEN($G518)-LEN(SUBSTITUTE($G518,"-",""))-1),".","")))=0,SUBSTITUTE(SUBSTITUTE($G518,"-"," ",LEN($G518)-LEN(SUBSTITUTE($G518,"-",""))),"-"," ",LEN($G518)-LEN(SUBSTITUTE($G518,"-",""))-1),SUBSTITUTE(SUBSTITUTE(SUBSTITUTE($G518,"-"," ",LEN($G518)-LEN(SUBSTITUTE($G518,"-",""))),"-"," ",LEN($G518)-LEN(SUBSTITUTE($G518,"-",""))-1),"."," ",(LEN(SUBSTITUTE(SUBSTITUTE($G518,"-"," ",LEN($G518)-LEN(SUBSTITUTE($G518,"-",""))),"-"," ",LEN($G518)-LEN(SUBSTITUTE($G518,"-",""))-1))-LEN(SUBSTITUTE(SUBSTITUTE(SUBSTITUTE($G518,"-"," ",LEN($G518)-LEN(SUBSTITUTE($G518,"-",""))),"-"," ",LEN($G518)-LEN(SUBSTITUTE($G518,"-",""))-1),".",""))))),$G518)))</f>
        <v/>
      </c>
    </row>
    <row r="519">
      <c r="A519" s="58" t="n"/>
      <c r="B519" s="58">
        <f>IF($H519="","",LEFT($H519,FIND(" ",$H519&amp;" ")-1))</f>
        <v/>
      </c>
      <c r="C519" s="58">
        <f>IF($H519="","",IFERROR(MID($H519&amp;" ",FIND("|",SUBSTITUTE($H519&amp;" "," ","|",1))+1,FIND("|",SUBSTITUTE($H519&amp;" "," ","|",2))-FIND("|",SUBSTITUTE($H519&amp;" "," ","|",1))-1),""))</f>
        <v/>
      </c>
      <c r="D519" s="58">
        <f>IF($H519="","",IFERROR(MID($H519&amp;" ",FIND("|",SUBSTITUTE($H519&amp;" "," ","|",2))+1,FIND("|",SUBSTITUTE($H519&amp;" "," ","|",3))-FIND("|",SUBSTITUTE($H519&amp;" "," ","|",2))-1),""))</f>
        <v/>
      </c>
      <c r="E519" s="58">
        <f>IF($H519="","",IFERROR(MID($H519&amp;" ",FIND("|",SUBSTITUTE($H519&amp;" "," ","|",3))+1,FIND("|",SUBSTITUTE($H519&amp;" "," ","|",4))-FIND("|",SUBSTITUTE($H519&amp;" "," ","|",3))-1),""))</f>
        <v/>
      </c>
      <c r="F519" s="59">
        <f>IF($H519="","",IFERROR(VALUE(IFERROR(MID($H519&amp;" ",FIND("|",SUBSTITUTE($H519&amp;" "," ","|",4))+1,FIND("|",SUBSTITUTE($H519&amp;" "," ","|",5))-FIND("|",SUBSTITUTE($H519&amp;" "," ","|",4))-1),""))/86400+25569+9/24,""))</f>
        <v/>
      </c>
      <c r="G519" s="58">
        <f>TRIM(SUBSTITUTE(SUBSTITUTE(SUBSTITUTE($A519,CHAR(9)," ")," "," "),CHAR(13),""))</f>
        <v/>
      </c>
      <c r="H519" s="58">
        <f>IF($G519="","",IF(ISNUMBER(FIND(" ",$G519)),$G519,IFERROR(IF((LEN(SUBSTITUTE(SUBSTITUTE($G519,"-"," ",LEN($G519)-LEN(SUBSTITUTE($G519,"-",""))),"-"," ",LEN($G519)-LEN(SUBSTITUTE($G519,"-",""))-1))-LEN(SUBSTITUTE(SUBSTITUTE(SUBSTITUTE($G519,"-"," ",LEN($G519)-LEN(SUBSTITUTE($G519,"-",""))),"-"," ",LEN($G519)-LEN(SUBSTITUTE($G519,"-",""))-1),".","")))=0,SUBSTITUTE(SUBSTITUTE($G519,"-"," ",LEN($G519)-LEN(SUBSTITUTE($G519,"-",""))),"-"," ",LEN($G519)-LEN(SUBSTITUTE($G519,"-",""))-1),SUBSTITUTE(SUBSTITUTE(SUBSTITUTE($G519,"-"," ",LEN($G519)-LEN(SUBSTITUTE($G519,"-",""))),"-"," ",LEN($G519)-LEN(SUBSTITUTE($G519,"-",""))-1),"."," ",(LEN(SUBSTITUTE(SUBSTITUTE($G519,"-"," ",LEN($G519)-LEN(SUBSTITUTE($G519,"-",""))),"-"," ",LEN($G519)-LEN(SUBSTITUTE($G519,"-",""))-1))-LEN(SUBSTITUTE(SUBSTITUTE(SUBSTITUTE($G519,"-"," ",LEN($G519)-LEN(SUBSTITUTE($G519,"-",""))),"-"," ",LEN($G519)-LEN(SUBSTITUTE($G519,"-",""))-1),".",""))))),$G519)))</f>
        <v/>
      </c>
    </row>
    <row r="520">
      <c r="A520" s="58" t="n"/>
      <c r="B520" s="58">
        <f>IF($H520="","",LEFT($H520,FIND(" ",$H520&amp;" ")-1))</f>
        <v/>
      </c>
      <c r="C520" s="58">
        <f>IF($H520="","",IFERROR(MID($H520&amp;" ",FIND("|",SUBSTITUTE($H520&amp;" "," ","|",1))+1,FIND("|",SUBSTITUTE($H520&amp;" "," ","|",2))-FIND("|",SUBSTITUTE($H520&amp;" "," ","|",1))-1),""))</f>
        <v/>
      </c>
      <c r="D520" s="58">
        <f>IF($H520="","",IFERROR(MID($H520&amp;" ",FIND("|",SUBSTITUTE($H520&amp;" "," ","|",2))+1,FIND("|",SUBSTITUTE($H520&amp;" "," ","|",3))-FIND("|",SUBSTITUTE($H520&amp;" "," ","|",2))-1),""))</f>
        <v/>
      </c>
      <c r="E520" s="58">
        <f>IF($H520="","",IFERROR(MID($H520&amp;" ",FIND("|",SUBSTITUTE($H520&amp;" "," ","|",3))+1,FIND("|",SUBSTITUTE($H520&amp;" "," ","|",4))-FIND("|",SUBSTITUTE($H520&amp;" "," ","|",3))-1),""))</f>
        <v/>
      </c>
      <c r="F520" s="59">
        <f>IF($H520="","",IFERROR(VALUE(IFERROR(MID($H520&amp;" ",FIND("|",SUBSTITUTE($H520&amp;" "," ","|",4))+1,FIND("|",SUBSTITUTE($H520&amp;" "," ","|",5))-FIND("|",SUBSTITUTE($H520&amp;" "," ","|",4))-1),""))/86400+25569+9/24,""))</f>
        <v/>
      </c>
      <c r="G520" s="58">
        <f>TRIM(SUBSTITUTE(SUBSTITUTE(SUBSTITUTE($A520,CHAR(9)," ")," "," "),CHAR(13),""))</f>
        <v/>
      </c>
      <c r="H520" s="58">
        <f>IF($G520="","",IF(ISNUMBER(FIND(" ",$G520)),$G520,IFERROR(IF((LEN(SUBSTITUTE(SUBSTITUTE($G520,"-"," ",LEN($G520)-LEN(SUBSTITUTE($G520,"-",""))),"-"," ",LEN($G520)-LEN(SUBSTITUTE($G520,"-",""))-1))-LEN(SUBSTITUTE(SUBSTITUTE(SUBSTITUTE($G520,"-"," ",LEN($G520)-LEN(SUBSTITUTE($G520,"-",""))),"-"," ",LEN($G520)-LEN(SUBSTITUTE($G520,"-",""))-1),".","")))=0,SUBSTITUTE(SUBSTITUTE($G520,"-"," ",LEN($G520)-LEN(SUBSTITUTE($G520,"-",""))),"-"," ",LEN($G520)-LEN(SUBSTITUTE($G520,"-",""))-1),SUBSTITUTE(SUBSTITUTE(SUBSTITUTE($G520,"-"," ",LEN($G520)-LEN(SUBSTITUTE($G520,"-",""))),"-"," ",LEN($G520)-LEN(SUBSTITUTE($G520,"-",""))-1),"."," ",(LEN(SUBSTITUTE(SUBSTITUTE($G520,"-"," ",LEN($G520)-LEN(SUBSTITUTE($G520,"-",""))),"-"," ",LEN($G520)-LEN(SUBSTITUTE($G520,"-",""))-1))-LEN(SUBSTITUTE(SUBSTITUTE(SUBSTITUTE($G520,"-"," ",LEN($G520)-LEN(SUBSTITUTE($G520,"-",""))),"-"," ",LEN($G520)-LEN(SUBSTITUTE($G520,"-",""))-1),".",""))))),$G520)))</f>
        <v/>
      </c>
    </row>
    <row r="521">
      <c r="A521" s="58" t="n"/>
      <c r="B521" s="58">
        <f>IF($H521="","",LEFT($H521,FIND(" ",$H521&amp;" ")-1))</f>
        <v/>
      </c>
      <c r="C521" s="58">
        <f>IF($H521="","",IFERROR(MID($H521&amp;" ",FIND("|",SUBSTITUTE($H521&amp;" "," ","|",1))+1,FIND("|",SUBSTITUTE($H521&amp;" "," ","|",2))-FIND("|",SUBSTITUTE($H521&amp;" "," ","|",1))-1),""))</f>
        <v/>
      </c>
      <c r="D521" s="58">
        <f>IF($H521="","",IFERROR(MID($H521&amp;" ",FIND("|",SUBSTITUTE($H521&amp;" "," ","|",2))+1,FIND("|",SUBSTITUTE($H521&amp;" "," ","|",3))-FIND("|",SUBSTITUTE($H521&amp;" "," ","|",2))-1),""))</f>
        <v/>
      </c>
      <c r="E521" s="58">
        <f>IF($H521="","",IFERROR(MID($H521&amp;" ",FIND("|",SUBSTITUTE($H521&amp;" "," ","|",3))+1,FIND("|",SUBSTITUTE($H521&amp;" "," ","|",4))-FIND("|",SUBSTITUTE($H521&amp;" "," ","|",3))-1),""))</f>
        <v/>
      </c>
      <c r="F521" s="59">
        <f>IF($H521="","",IFERROR(VALUE(IFERROR(MID($H521&amp;" ",FIND("|",SUBSTITUTE($H521&amp;" "," ","|",4))+1,FIND("|",SUBSTITUTE($H521&amp;" "," ","|",5))-FIND("|",SUBSTITUTE($H521&amp;" "," ","|",4))-1),""))/86400+25569+9/24,""))</f>
        <v/>
      </c>
      <c r="G521" s="58">
        <f>TRIM(SUBSTITUTE(SUBSTITUTE(SUBSTITUTE($A521,CHAR(9)," ")," "," "),CHAR(13),""))</f>
        <v/>
      </c>
      <c r="H521" s="58">
        <f>IF($G521="","",IF(ISNUMBER(FIND(" ",$G521)),$G521,IFERROR(IF((LEN(SUBSTITUTE(SUBSTITUTE($G521,"-"," ",LEN($G521)-LEN(SUBSTITUTE($G521,"-",""))),"-"," ",LEN($G521)-LEN(SUBSTITUTE($G521,"-",""))-1))-LEN(SUBSTITUTE(SUBSTITUTE(SUBSTITUTE($G521,"-"," ",LEN($G521)-LEN(SUBSTITUTE($G521,"-",""))),"-"," ",LEN($G521)-LEN(SUBSTITUTE($G521,"-",""))-1),".","")))=0,SUBSTITUTE(SUBSTITUTE($G521,"-"," ",LEN($G521)-LEN(SUBSTITUTE($G521,"-",""))),"-"," ",LEN($G521)-LEN(SUBSTITUTE($G521,"-",""))-1),SUBSTITUTE(SUBSTITUTE(SUBSTITUTE($G521,"-"," ",LEN($G521)-LEN(SUBSTITUTE($G521,"-",""))),"-"," ",LEN($G521)-LEN(SUBSTITUTE($G521,"-",""))-1),"."," ",(LEN(SUBSTITUTE(SUBSTITUTE($G521,"-"," ",LEN($G521)-LEN(SUBSTITUTE($G521,"-",""))),"-"," ",LEN($G521)-LEN(SUBSTITUTE($G521,"-",""))-1))-LEN(SUBSTITUTE(SUBSTITUTE(SUBSTITUTE($G521,"-"," ",LEN($G521)-LEN(SUBSTITUTE($G521,"-",""))),"-"," ",LEN($G521)-LEN(SUBSTITUTE($G521,"-",""))-1),".",""))))),$G521)))</f>
        <v/>
      </c>
    </row>
    <row r="522">
      <c r="A522" s="58" t="n"/>
      <c r="B522" s="58">
        <f>IF($H522="","",LEFT($H522,FIND(" ",$H522&amp;" ")-1))</f>
        <v/>
      </c>
      <c r="C522" s="58">
        <f>IF($H522="","",IFERROR(MID($H522&amp;" ",FIND("|",SUBSTITUTE($H522&amp;" "," ","|",1))+1,FIND("|",SUBSTITUTE($H522&amp;" "," ","|",2))-FIND("|",SUBSTITUTE($H522&amp;" "," ","|",1))-1),""))</f>
        <v/>
      </c>
      <c r="D522" s="58">
        <f>IF($H522="","",IFERROR(MID($H522&amp;" ",FIND("|",SUBSTITUTE($H522&amp;" "," ","|",2))+1,FIND("|",SUBSTITUTE($H522&amp;" "," ","|",3))-FIND("|",SUBSTITUTE($H522&amp;" "," ","|",2))-1),""))</f>
        <v/>
      </c>
      <c r="E522" s="58">
        <f>IF($H522="","",IFERROR(MID($H522&amp;" ",FIND("|",SUBSTITUTE($H522&amp;" "," ","|",3))+1,FIND("|",SUBSTITUTE($H522&amp;" "," ","|",4))-FIND("|",SUBSTITUTE($H522&amp;" "," ","|",3))-1),""))</f>
        <v/>
      </c>
      <c r="F522" s="59">
        <f>IF($H522="","",IFERROR(VALUE(IFERROR(MID($H522&amp;" ",FIND("|",SUBSTITUTE($H522&amp;" "," ","|",4))+1,FIND("|",SUBSTITUTE($H522&amp;" "," ","|",5))-FIND("|",SUBSTITUTE($H522&amp;" "," ","|",4))-1),""))/86400+25569+9/24,""))</f>
        <v/>
      </c>
      <c r="G522" s="58">
        <f>TRIM(SUBSTITUTE(SUBSTITUTE(SUBSTITUTE($A522,CHAR(9)," ")," "," "),CHAR(13),""))</f>
        <v/>
      </c>
      <c r="H522" s="58">
        <f>IF($G522="","",IF(ISNUMBER(FIND(" ",$G522)),$G522,IFERROR(IF((LEN(SUBSTITUTE(SUBSTITUTE($G522,"-"," ",LEN($G522)-LEN(SUBSTITUTE($G522,"-",""))),"-"," ",LEN($G522)-LEN(SUBSTITUTE($G522,"-",""))-1))-LEN(SUBSTITUTE(SUBSTITUTE(SUBSTITUTE($G522,"-"," ",LEN($G522)-LEN(SUBSTITUTE($G522,"-",""))),"-"," ",LEN($G522)-LEN(SUBSTITUTE($G522,"-",""))-1),".","")))=0,SUBSTITUTE(SUBSTITUTE($G522,"-"," ",LEN($G522)-LEN(SUBSTITUTE($G522,"-",""))),"-"," ",LEN($G522)-LEN(SUBSTITUTE($G522,"-",""))-1),SUBSTITUTE(SUBSTITUTE(SUBSTITUTE($G522,"-"," ",LEN($G522)-LEN(SUBSTITUTE($G522,"-",""))),"-"," ",LEN($G522)-LEN(SUBSTITUTE($G522,"-",""))-1),"."," ",(LEN(SUBSTITUTE(SUBSTITUTE($G522,"-"," ",LEN($G522)-LEN(SUBSTITUTE($G522,"-",""))),"-"," ",LEN($G522)-LEN(SUBSTITUTE($G522,"-",""))-1))-LEN(SUBSTITUTE(SUBSTITUTE(SUBSTITUTE($G522,"-"," ",LEN($G522)-LEN(SUBSTITUTE($G522,"-",""))),"-"," ",LEN($G522)-LEN(SUBSTITUTE($G522,"-",""))-1),".",""))))),$G522)))</f>
        <v/>
      </c>
    </row>
    <row r="523">
      <c r="A523" s="58" t="n"/>
      <c r="B523" s="58">
        <f>IF($H523="","",LEFT($H523,FIND(" ",$H523&amp;" ")-1))</f>
        <v/>
      </c>
      <c r="C523" s="58">
        <f>IF($H523="","",IFERROR(MID($H523&amp;" ",FIND("|",SUBSTITUTE($H523&amp;" "," ","|",1))+1,FIND("|",SUBSTITUTE($H523&amp;" "," ","|",2))-FIND("|",SUBSTITUTE($H523&amp;" "," ","|",1))-1),""))</f>
        <v/>
      </c>
      <c r="D523" s="58">
        <f>IF($H523="","",IFERROR(MID($H523&amp;" ",FIND("|",SUBSTITUTE($H523&amp;" "," ","|",2))+1,FIND("|",SUBSTITUTE($H523&amp;" "," ","|",3))-FIND("|",SUBSTITUTE($H523&amp;" "," ","|",2))-1),""))</f>
        <v/>
      </c>
      <c r="E523" s="58">
        <f>IF($H523="","",IFERROR(MID($H523&amp;" ",FIND("|",SUBSTITUTE($H523&amp;" "," ","|",3))+1,FIND("|",SUBSTITUTE($H523&amp;" "," ","|",4))-FIND("|",SUBSTITUTE($H523&amp;" "," ","|",3))-1),""))</f>
        <v/>
      </c>
      <c r="F523" s="59">
        <f>IF($H523="","",IFERROR(VALUE(IFERROR(MID($H523&amp;" ",FIND("|",SUBSTITUTE($H523&amp;" "," ","|",4))+1,FIND("|",SUBSTITUTE($H523&amp;" "," ","|",5))-FIND("|",SUBSTITUTE($H523&amp;" "," ","|",4))-1),""))/86400+25569+9/24,""))</f>
        <v/>
      </c>
      <c r="G523" s="58">
        <f>TRIM(SUBSTITUTE(SUBSTITUTE(SUBSTITUTE($A523,CHAR(9)," ")," "," "),CHAR(13),""))</f>
        <v/>
      </c>
      <c r="H523" s="58">
        <f>IF($G523="","",IF(ISNUMBER(FIND(" ",$G523)),$G523,IFERROR(IF((LEN(SUBSTITUTE(SUBSTITUTE($G523,"-"," ",LEN($G523)-LEN(SUBSTITUTE($G523,"-",""))),"-"," ",LEN($G523)-LEN(SUBSTITUTE($G523,"-",""))-1))-LEN(SUBSTITUTE(SUBSTITUTE(SUBSTITUTE($G523,"-"," ",LEN($G523)-LEN(SUBSTITUTE($G523,"-",""))),"-"," ",LEN($G523)-LEN(SUBSTITUTE($G523,"-",""))-1),".","")))=0,SUBSTITUTE(SUBSTITUTE($G523,"-"," ",LEN($G523)-LEN(SUBSTITUTE($G523,"-",""))),"-"," ",LEN($G523)-LEN(SUBSTITUTE($G523,"-",""))-1),SUBSTITUTE(SUBSTITUTE(SUBSTITUTE($G523,"-"," ",LEN($G523)-LEN(SUBSTITUTE($G523,"-",""))),"-"," ",LEN($G523)-LEN(SUBSTITUTE($G523,"-",""))-1),"."," ",(LEN(SUBSTITUTE(SUBSTITUTE($G523,"-"," ",LEN($G523)-LEN(SUBSTITUTE($G523,"-",""))),"-"," ",LEN($G523)-LEN(SUBSTITUTE($G523,"-",""))-1))-LEN(SUBSTITUTE(SUBSTITUTE(SUBSTITUTE($G523,"-"," ",LEN($G523)-LEN(SUBSTITUTE($G523,"-",""))),"-"," ",LEN($G523)-LEN(SUBSTITUTE($G523,"-",""))-1),".",""))))),$G523)))</f>
        <v/>
      </c>
    </row>
    <row r="524">
      <c r="A524" s="58" t="n"/>
      <c r="B524" s="58">
        <f>IF($H524="","",LEFT($H524,FIND(" ",$H524&amp;" ")-1))</f>
        <v/>
      </c>
      <c r="C524" s="58">
        <f>IF($H524="","",IFERROR(MID($H524&amp;" ",FIND("|",SUBSTITUTE($H524&amp;" "," ","|",1))+1,FIND("|",SUBSTITUTE($H524&amp;" "," ","|",2))-FIND("|",SUBSTITUTE($H524&amp;" "," ","|",1))-1),""))</f>
        <v/>
      </c>
      <c r="D524" s="58">
        <f>IF($H524="","",IFERROR(MID($H524&amp;" ",FIND("|",SUBSTITUTE($H524&amp;" "," ","|",2))+1,FIND("|",SUBSTITUTE($H524&amp;" "," ","|",3))-FIND("|",SUBSTITUTE($H524&amp;" "," ","|",2))-1),""))</f>
        <v/>
      </c>
      <c r="E524" s="58">
        <f>IF($H524="","",IFERROR(MID($H524&amp;" ",FIND("|",SUBSTITUTE($H524&amp;" "," ","|",3))+1,FIND("|",SUBSTITUTE($H524&amp;" "," ","|",4))-FIND("|",SUBSTITUTE($H524&amp;" "," ","|",3))-1),""))</f>
        <v/>
      </c>
      <c r="F524" s="59">
        <f>IF($H524="","",IFERROR(VALUE(IFERROR(MID($H524&amp;" ",FIND("|",SUBSTITUTE($H524&amp;" "," ","|",4))+1,FIND("|",SUBSTITUTE($H524&amp;" "," ","|",5))-FIND("|",SUBSTITUTE($H524&amp;" "," ","|",4))-1),""))/86400+25569+9/24,""))</f>
        <v/>
      </c>
      <c r="G524" s="58">
        <f>TRIM(SUBSTITUTE(SUBSTITUTE(SUBSTITUTE($A524,CHAR(9)," ")," "," "),CHAR(13),""))</f>
        <v/>
      </c>
      <c r="H524" s="58">
        <f>IF($G524="","",IF(ISNUMBER(FIND(" ",$G524)),$G524,IFERROR(IF((LEN(SUBSTITUTE(SUBSTITUTE($G524,"-"," ",LEN($G524)-LEN(SUBSTITUTE($G524,"-",""))),"-"," ",LEN($G524)-LEN(SUBSTITUTE($G524,"-",""))-1))-LEN(SUBSTITUTE(SUBSTITUTE(SUBSTITUTE($G524,"-"," ",LEN($G524)-LEN(SUBSTITUTE($G524,"-",""))),"-"," ",LEN($G524)-LEN(SUBSTITUTE($G524,"-",""))-1),".","")))=0,SUBSTITUTE(SUBSTITUTE($G524,"-"," ",LEN($G524)-LEN(SUBSTITUTE($G524,"-",""))),"-"," ",LEN($G524)-LEN(SUBSTITUTE($G524,"-",""))-1),SUBSTITUTE(SUBSTITUTE(SUBSTITUTE($G524,"-"," ",LEN($G524)-LEN(SUBSTITUTE($G524,"-",""))),"-"," ",LEN($G524)-LEN(SUBSTITUTE($G524,"-",""))-1),"."," ",(LEN(SUBSTITUTE(SUBSTITUTE($G524,"-"," ",LEN($G524)-LEN(SUBSTITUTE($G524,"-",""))),"-"," ",LEN($G524)-LEN(SUBSTITUTE($G524,"-",""))-1))-LEN(SUBSTITUTE(SUBSTITUTE(SUBSTITUTE($G524,"-"," ",LEN($G524)-LEN(SUBSTITUTE($G524,"-",""))),"-"," ",LEN($G524)-LEN(SUBSTITUTE($G524,"-",""))-1),".",""))))),$G524)))</f>
        <v/>
      </c>
    </row>
    <row r="525">
      <c r="A525" s="58" t="n"/>
      <c r="B525" s="58">
        <f>IF($H525="","",LEFT($H525,FIND(" ",$H525&amp;" ")-1))</f>
        <v/>
      </c>
      <c r="C525" s="58">
        <f>IF($H525="","",IFERROR(MID($H525&amp;" ",FIND("|",SUBSTITUTE($H525&amp;" "," ","|",1))+1,FIND("|",SUBSTITUTE($H525&amp;" "," ","|",2))-FIND("|",SUBSTITUTE($H525&amp;" "," ","|",1))-1),""))</f>
        <v/>
      </c>
      <c r="D525" s="58">
        <f>IF($H525="","",IFERROR(MID($H525&amp;" ",FIND("|",SUBSTITUTE($H525&amp;" "," ","|",2))+1,FIND("|",SUBSTITUTE($H525&amp;" "," ","|",3))-FIND("|",SUBSTITUTE($H525&amp;" "," ","|",2))-1),""))</f>
        <v/>
      </c>
      <c r="E525" s="58">
        <f>IF($H525="","",IFERROR(MID($H525&amp;" ",FIND("|",SUBSTITUTE($H525&amp;" "," ","|",3))+1,FIND("|",SUBSTITUTE($H525&amp;" "," ","|",4))-FIND("|",SUBSTITUTE($H525&amp;" "," ","|",3))-1),""))</f>
        <v/>
      </c>
      <c r="F525" s="59">
        <f>IF($H525="","",IFERROR(VALUE(IFERROR(MID($H525&amp;" ",FIND("|",SUBSTITUTE($H525&amp;" "," ","|",4))+1,FIND("|",SUBSTITUTE($H525&amp;" "," ","|",5))-FIND("|",SUBSTITUTE($H525&amp;" "," ","|",4))-1),""))/86400+25569+9/24,""))</f>
        <v/>
      </c>
      <c r="G525" s="58">
        <f>TRIM(SUBSTITUTE(SUBSTITUTE(SUBSTITUTE($A525,CHAR(9)," ")," "," "),CHAR(13),""))</f>
        <v/>
      </c>
      <c r="H525" s="58">
        <f>IF($G525="","",IF(ISNUMBER(FIND(" ",$G525)),$G525,IFERROR(IF((LEN(SUBSTITUTE(SUBSTITUTE($G525,"-"," ",LEN($G525)-LEN(SUBSTITUTE($G525,"-",""))),"-"," ",LEN($G525)-LEN(SUBSTITUTE($G525,"-",""))-1))-LEN(SUBSTITUTE(SUBSTITUTE(SUBSTITUTE($G525,"-"," ",LEN($G525)-LEN(SUBSTITUTE($G525,"-",""))),"-"," ",LEN($G525)-LEN(SUBSTITUTE($G525,"-",""))-1),".","")))=0,SUBSTITUTE(SUBSTITUTE($G525,"-"," ",LEN($G525)-LEN(SUBSTITUTE($G525,"-",""))),"-"," ",LEN($G525)-LEN(SUBSTITUTE($G525,"-",""))-1),SUBSTITUTE(SUBSTITUTE(SUBSTITUTE($G525,"-"," ",LEN($G525)-LEN(SUBSTITUTE($G525,"-",""))),"-"," ",LEN($G525)-LEN(SUBSTITUTE($G525,"-",""))-1),"."," ",(LEN(SUBSTITUTE(SUBSTITUTE($G525,"-"," ",LEN($G525)-LEN(SUBSTITUTE($G525,"-",""))),"-"," ",LEN($G525)-LEN(SUBSTITUTE($G525,"-",""))-1))-LEN(SUBSTITUTE(SUBSTITUTE(SUBSTITUTE($G525,"-"," ",LEN($G525)-LEN(SUBSTITUTE($G525,"-",""))),"-"," ",LEN($G525)-LEN(SUBSTITUTE($G525,"-",""))-1),".",""))))),$G525)))</f>
        <v/>
      </c>
    </row>
    <row r="526">
      <c r="A526" s="58" t="n"/>
      <c r="B526" s="58">
        <f>IF($H526="","",LEFT($H526,FIND(" ",$H526&amp;" ")-1))</f>
        <v/>
      </c>
      <c r="C526" s="58">
        <f>IF($H526="","",IFERROR(MID($H526&amp;" ",FIND("|",SUBSTITUTE($H526&amp;" "," ","|",1))+1,FIND("|",SUBSTITUTE($H526&amp;" "," ","|",2))-FIND("|",SUBSTITUTE($H526&amp;" "," ","|",1))-1),""))</f>
        <v/>
      </c>
      <c r="D526" s="58">
        <f>IF($H526="","",IFERROR(MID($H526&amp;" ",FIND("|",SUBSTITUTE($H526&amp;" "," ","|",2))+1,FIND("|",SUBSTITUTE($H526&amp;" "," ","|",3))-FIND("|",SUBSTITUTE($H526&amp;" "," ","|",2))-1),""))</f>
        <v/>
      </c>
      <c r="E526" s="58">
        <f>IF($H526="","",IFERROR(MID($H526&amp;" ",FIND("|",SUBSTITUTE($H526&amp;" "," ","|",3))+1,FIND("|",SUBSTITUTE($H526&amp;" "," ","|",4))-FIND("|",SUBSTITUTE($H526&amp;" "," ","|",3))-1),""))</f>
        <v/>
      </c>
      <c r="F526" s="59">
        <f>IF($H526="","",IFERROR(VALUE(IFERROR(MID($H526&amp;" ",FIND("|",SUBSTITUTE($H526&amp;" "," ","|",4))+1,FIND("|",SUBSTITUTE($H526&amp;" "," ","|",5))-FIND("|",SUBSTITUTE($H526&amp;" "," ","|",4))-1),""))/86400+25569+9/24,""))</f>
        <v/>
      </c>
      <c r="G526" s="58">
        <f>TRIM(SUBSTITUTE(SUBSTITUTE(SUBSTITUTE($A526,CHAR(9)," ")," "," "),CHAR(13),""))</f>
        <v/>
      </c>
      <c r="H526" s="58">
        <f>IF($G526="","",IF(ISNUMBER(FIND(" ",$G526)),$G526,IFERROR(IF((LEN(SUBSTITUTE(SUBSTITUTE($G526,"-"," ",LEN($G526)-LEN(SUBSTITUTE($G526,"-",""))),"-"," ",LEN($G526)-LEN(SUBSTITUTE($G526,"-",""))-1))-LEN(SUBSTITUTE(SUBSTITUTE(SUBSTITUTE($G526,"-"," ",LEN($G526)-LEN(SUBSTITUTE($G526,"-",""))),"-"," ",LEN($G526)-LEN(SUBSTITUTE($G526,"-",""))-1),".","")))=0,SUBSTITUTE(SUBSTITUTE($G526,"-"," ",LEN($G526)-LEN(SUBSTITUTE($G526,"-",""))),"-"," ",LEN($G526)-LEN(SUBSTITUTE($G526,"-",""))-1),SUBSTITUTE(SUBSTITUTE(SUBSTITUTE($G526,"-"," ",LEN($G526)-LEN(SUBSTITUTE($G526,"-",""))),"-"," ",LEN($G526)-LEN(SUBSTITUTE($G526,"-",""))-1),"."," ",(LEN(SUBSTITUTE(SUBSTITUTE($G526,"-"," ",LEN($G526)-LEN(SUBSTITUTE($G526,"-",""))),"-"," ",LEN($G526)-LEN(SUBSTITUTE($G526,"-",""))-1))-LEN(SUBSTITUTE(SUBSTITUTE(SUBSTITUTE($G526,"-"," ",LEN($G526)-LEN(SUBSTITUTE($G526,"-",""))),"-"," ",LEN($G526)-LEN(SUBSTITUTE($G526,"-",""))-1),".",""))))),$G526)))</f>
        <v/>
      </c>
    </row>
    <row r="527">
      <c r="A527" s="58" t="n"/>
      <c r="B527" s="58">
        <f>IF($H527="","",LEFT($H527,FIND(" ",$H527&amp;" ")-1))</f>
        <v/>
      </c>
      <c r="C527" s="58">
        <f>IF($H527="","",IFERROR(MID($H527&amp;" ",FIND("|",SUBSTITUTE($H527&amp;" "," ","|",1))+1,FIND("|",SUBSTITUTE($H527&amp;" "," ","|",2))-FIND("|",SUBSTITUTE($H527&amp;" "," ","|",1))-1),""))</f>
        <v/>
      </c>
      <c r="D527" s="58">
        <f>IF($H527="","",IFERROR(MID($H527&amp;" ",FIND("|",SUBSTITUTE($H527&amp;" "," ","|",2))+1,FIND("|",SUBSTITUTE($H527&amp;" "," ","|",3))-FIND("|",SUBSTITUTE($H527&amp;" "," ","|",2))-1),""))</f>
        <v/>
      </c>
      <c r="E527" s="58">
        <f>IF($H527="","",IFERROR(MID($H527&amp;" ",FIND("|",SUBSTITUTE($H527&amp;" "," ","|",3))+1,FIND("|",SUBSTITUTE($H527&amp;" "," ","|",4))-FIND("|",SUBSTITUTE($H527&amp;" "," ","|",3))-1),""))</f>
        <v/>
      </c>
      <c r="F527" s="59">
        <f>IF($H527="","",IFERROR(VALUE(IFERROR(MID($H527&amp;" ",FIND("|",SUBSTITUTE($H527&amp;" "," ","|",4))+1,FIND("|",SUBSTITUTE($H527&amp;" "," ","|",5))-FIND("|",SUBSTITUTE($H527&amp;" "," ","|",4))-1),""))/86400+25569+9/24,""))</f>
        <v/>
      </c>
      <c r="G527" s="58">
        <f>TRIM(SUBSTITUTE(SUBSTITUTE(SUBSTITUTE($A527,CHAR(9)," ")," "," "),CHAR(13),""))</f>
        <v/>
      </c>
      <c r="H527" s="58">
        <f>IF($G527="","",IF(ISNUMBER(FIND(" ",$G527)),$G527,IFERROR(IF((LEN(SUBSTITUTE(SUBSTITUTE($G527,"-"," ",LEN($G527)-LEN(SUBSTITUTE($G527,"-",""))),"-"," ",LEN($G527)-LEN(SUBSTITUTE($G527,"-",""))-1))-LEN(SUBSTITUTE(SUBSTITUTE(SUBSTITUTE($G527,"-"," ",LEN($G527)-LEN(SUBSTITUTE($G527,"-",""))),"-"," ",LEN($G527)-LEN(SUBSTITUTE($G527,"-",""))-1),".","")))=0,SUBSTITUTE(SUBSTITUTE($G527,"-"," ",LEN($G527)-LEN(SUBSTITUTE($G527,"-",""))),"-"," ",LEN($G527)-LEN(SUBSTITUTE($G527,"-",""))-1),SUBSTITUTE(SUBSTITUTE(SUBSTITUTE($G527,"-"," ",LEN($G527)-LEN(SUBSTITUTE($G527,"-",""))),"-"," ",LEN($G527)-LEN(SUBSTITUTE($G527,"-",""))-1),"."," ",(LEN(SUBSTITUTE(SUBSTITUTE($G527,"-"," ",LEN($G527)-LEN(SUBSTITUTE($G527,"-",""))),"-"," ",LEN($G527)-LEN(SUBSTITUTE($G527,"-",""))-1))-LEN(SUBSTITUTE(SUBSTITUTE(SUBSTITUTE($G527,"-"," ",LEN($G527)-LEN(SUBSTITUTE($G527,"-",""))),"-"," ",LEN($G527)-LEN(SUBSTITUTE($G527,"-",""))-1),".",""))))),$G527)))</f>
        <v/>
      </c>
    </row>
    <row r="528">
      <c r="A528" s="58" t="n"/>
      <c r="B528" s="58">
        <f>IF($H528="","",LEFT($H528,FIND(" ",$H528&amp;" ")-1))</f>
        <v/>
      </c>
      <c r="C528" s="58">
        <f>IF($H528="","",IFERROR(MID($H528&amp;" ",FIND("|",SUBSTITUTE($H528&amp;" "," ","|",1))+1,FIND("|",SUBSTITUTE($H528&amp;" "," ","|",2))-FIND("|",SUBSTITUTE($H528&amp;" "," ","|",1))-1),""))</f>
        <v/>
      </c>
      <c r="D528" s="58">
        <f>IF($H528="","",IFERROR(MID($H528&amp;" ",FIND("|",SUBSTITUTE($H528&amp;" "," ","|",2))+1,FIND("|",SUBSTITUTE($H528&amp;" "," ","|",3))-FIND("|",SUBSTITUTE($H528&amp;" "," ","|",2))-1),""))</f>
        <v/>
      </c>
      <c r="E528" s="58">
        <f>IF($H528="","",IFERROR(MID($H528&amp;" ",FIND("|",SUBSTITUTE($H528&amp;" "," ","|",3))+1,FIND("|",SUBSTITUTE($H528&amp;" "," ","|",4))-FIND("|",SUBSTITUTE($H528&amp;" "," ","|",3))-1),""))</f>
        <v/>
      </c>
      <c r="F528" s="59">
        <f>IF($H528="","",IFERROR(VALUE(IFERROR(MID($H528&amp;" ",FIND("|",SUBSTITUTE($H528&amp;" "," ","|",4))+1,FIND("|",SUBSTITUTE($H528&amp;" "," ","|",5))-FIND("|",SUBSTITUTE($H528&amp;" "," ","|",4))-1),""))/86400+25569+9/24,""))</f>
        <v/>
      </c>
      <c r="G528" s="58">
        <f>TRIM(SUBSTITUTE(SUBSTITUTE(SUBSTITUTE($A528,CHAR(9)," ")," "," "),CHAR(13),""))</f>
        <v/>
      </c>
      <c r="H528" s="58">
        <f>IF($G528="","",IF(ISNUMBER(FIND(" ",$G528)),$G528,IFERROR(IF((LEN(SUBSTITUTE(SUBSTITUTE($G528,"-"," ",LEN($G528)-LEN(SUBSTITUTE($G528,"-",""))),"-"," ",LEN($G528)-LEN(SUBSTITUTE($G528,"-",""))-1))-LEN(SUBSTITUTE(SUBSTITUTE(SUBSTITUTE($G528,"-"," ",LEN($G528)-LEN(SUBSTITUTE($G528,"-",""))),"-"," ",LEN($G528)-LEN(SUBSTITUTE($G528,"-",""))-1),".","")))=0,SUBSTITUTE(SUBSTITUTE($G528,"-"," ",LEN($G528)-LEN(SUBSTITUTE($G528,"-",""))),"-"," ",LEN($G528)-LEN(SUBSTITUTE($G528,"-",""))-1),SUBSTITUTE(SUBSTITUTE(SUBSTITUTE($G528,"-"," ",LEN($G528)-LEN(SUBSTITUTE($G528,"-",""))),"-"," ",LEN($G528)-LEN(SUBSTITUTE($G528,"-",""))-1),"."," ",(LEN(SUBSTITUTE(SUBSTITUTE($G528,"-"," ",LEN($G528)-LEN(SUBSTITUTE($G528,"-",""))),"-"," ",LEN($G528)-LEN(SUBSTITUTE($G528,"-",""))-1))-LEN(SUBSTITUTE(SUBSTITUTE(SUBSTITUTE($G528,"-"," ",LEN($G528)-LEN(SUBSTITUTE($G528,"-",""))),"-"," ",LEN($G528)-LEN(SUBSTITUTE($G528,"-",""))-1),".",""))))),$G528)))</f>
        <v/>
      </c>
    </row>
    <row r="529">
      <c r="A529" s="58" t="n"/>
      <c r="B529" s="58">
        <f>IF($H529="","",LEFT($H529,FIND(" ",$H529&amp;" ")-1))</f>
        <v/>
      </c>
      <c r="C529" s="58">
        <f>IF($H529="","",IFERROR(MID($H529&amp;" ",FIND("|",SUBSTITUTE($H529&amp;" "," ","|",1))+1,FIND("|",SUBSTITUTE($H529&amp;" "," ","|",2))-FIND("|",SUBSTITUTE($H529&amp;" "," ","|",1))-1),""))</f>
        <v/>
      </c>
      <c r="D529" s="58">
        <f>IF($H529="","",IFERROR(MID($H529&amp;" ",FIND("|",SUBSTITUTE($H529&amp;" "," ","|",2))+1,FIND("|",SUBSTITUTE($H529&amp;" "," ","|",3))-FIND("|",SUBSTITUTE($H529&amp;" "," ","|",2))-1),""))</f>
        <v/>
      </c>
      <c r="E529" s="58">
        <f>IF($H529="","",IFERROR(MID($H529&amp;" ",FIND("|",SUBSTITUTE($H529&amp;" "," ","|",3))+1,FIND("|",SUBSTITUTE($H529&amp;" "," ","|",4))-FIND("|",SUBSTITUTE($H529&amp;" "," ","|",3))-1),""))</f>
        <v/>
      </c>
      <c r="F529" s="59">
        <f>IF($H529="","",IFERROR(VALUE(IFERROR(MID($H529&amp;" ",FIND("|",SUBSTITUTE($H529&amp;" "," ","|",4))+1,FIND("|",SUBSTITUTE($H529&amp;" "," ","|",5))-FIND("|",SUBSTITUTE($H529&amp;" "," ","|",4))-1),""))/86400+25569+9/24,""))</f>
        <v/>
      </c>
      <c r="G529" s="58">
        <f>TRIM(SUBSTITUTE(SUBSTITUTE(SUBSTITUTE($A529,CHAR(9)," ")," "," "),CHAR(13),""))</f>
        <v/>
      </c>
      <c r="H529" s="58">
        <f>IF($G529="","",IF(ISNUMBER(FIND(" ",$G529)),$G529,IFERROR(IF((LEN(SUBSTITUTE(SUBSTITUTE($G529,"-"," ",LEN($G529)-LEN(SUBSTITUTE($G529,"-",""))),"-"," ",LEN($G529)-LEN(SUBSTITUTE($G529,"-",""))-1))-LEN(SUBSTITUTE(SUBSTITUTE(SUBSTITUTE($G529,"-"," ",LEN($G529)-LEN(SUBSTITUTE($G529,"-",""))),"-"," ",LEN($G529)-LEN(SUBSTITUTE($G529,"-",""))-1),".","")))=0,SUBSTITUTE(SUBSTITUTE($G529,"-"," ",LEN($G529)-LEN(SUBSTITUTE($G529,"-",""))),"-"," ",LEN($G529)-LEN(SUBSTITUTE($G529,"-",""))-1),SUBSTITUTE(SUBSTITUTE(SUBSTITUTE($G529,"-"," ",LEN($G529)-LEN(SUBSTITUTE($G529,"-",""))),"-"," ",LEN($G529)-LEN(SUBSTITUTE($G529,"-",""))-1),"."," ",(LEN(SUBSTITUTE(SUBSTITUTE($G529,"-"," ",LEN($G529)-LEN(SUBSTITUTE($G529,"-",""))),"-"," ",LEN($G529)-LEN(SUBSTITUTE($G529,"-",""))-1))-LEN(SUBSTITUTE(SUBSTITUTE(SUBSTITUTE($G529,"-"," ",LEN($G529)-LEN(SUBSTITUTE($G529,"-",""))),"-"," ",LEN($G529)-LEN(SUBSTITUTE($G529,"-",""))-1),".",""))))),$G529)))</f>
        <v/>
      </c>
    </row>
    <row r="530">
      <c r="A530" s="58" t="n"/>
      <c r="B530" s="58">
        <f>IF($H530="","",LEFT($H530,FIND(" ",$H530&amp;" ")-1))</f>
        <v/>
      </c>
      <c r="C530" s="58">
        <f>IF($H530="","",IFERROR(MID($H530&amp;" ",FIND("|",SUBSTITUTE($H530&amp;" "," ","|",1))+1,FIND("|",SUBSTITUTE($H530&amp;" "," ","|",2))-FIND("|",SUBSTITUTE($H530&amp;" "," ","|",1))-1),""))</f>
        <v/>
      </c>
      <c r="D530" s="58">
        <f>IF($H530="","",IFERROR(MID($H530&amp;" ",FIND("|",SUBSTITUTE($H530&amp;" "," ","|",2))+1,FIND("|",SUBSTITUTE($H530&amp;" "," ","|",3))-FIND("|",SUBSTITUTE($H530&amp;" "," ","|",2))-1),""))</f>
        <v/>
      </c>
      <c r="E530" s="58">
        <f>IF($H530="","",IFERROR(MID($H530&amp;" ",FIND("|",SUBSTITUTE($H530&amp;" "," ","|",3))+1,FIND("|",SUBSTITUTE($H530&amp;" "," ","|",4))-FIND("|",SUBSTITUTE($H530&amp;" "," ","|",3))-1),""))</f>
        <v/>
      </c>
      <c r="F530" s="59">
        <f>IF($H530="","",IFERROR(VALUE(IFERROR(MID($H530&amp;" ",FIND("|",SUBSTITUTE($H530&amp;" "," ","|",4))+1,FIND("|",SUBSTITUTE($H530&amp;" "," ","|",5))-FIND("|",SUBSTITUTE($H530&amp;" "," ","|",4))-1),""))/86400+25569+9/24,""))</f>
        <v/>
      </c>
      <c r="G530" s="58">
        <f>TRIM(SUBSTITUTE(SUBSTITUTE(SUBSTITUTE($A530,CHAR(9)," ")," "," "),CHAR(13),""))</f>
        <v/>
      </c>
      <c r="H530" s="58">
        <f>IF($G530="","",IF(ISNUMBER(FIND(" ",$G530)),$G530,IFERROR(IF((LEN(SUBSTITUTE(SUBSTITUTE($G530,"-"," ",LEN($G530)-LEN(SUBSTITUTE($G530,"-",""))),"-"," ",LEN($G530)-LEN(SUBSTITUTE($G530,"-",""))-1))-LEN(SUBSTITUTE(SUBSTITUTE(SUBSTITUTE($G530,"-"," ",LEN($G530)-LEN(SUBSTITUTE($G530,"-",""))),"-"," ",LEN($G530)-LEN(SUBSTITUTE($G530,"-",""))-1),".","")))=0,SUBSTITUTE(SUBSTITUTE($G530,"-"," ",LEN($G530)-LEN(SUBSTITUTE($G530,"-",""))),"-"," ",LEN($G530)-LEN(SUBSTITUTE($G530,"-",""))-1),SUBSTITUTE(SUBSTITUTE(SUBSTITUTE($G530,"-"," ",LEN($G530)-LEN(SUBSTITUTE($G530,"-",""))),"-"," ",LEN($G530)-LEN(SUBSTITUTE($G530,"-",""))-1),"."," ",(LEN(SUBSTITUTE(SUBSTITUTE($G530,"-"," ",LEN($G530)-LEN(SUBSTITUTE($G530,"-",""))),"-"," ",LEN($G530)-LEN(SUBSTITUTE($G530,"-",""))-1))-LEN(SUBSTITUTE(SUBSTITUTE(SUBSTITUTE($G530,"-"," ",LEN($G530)-LEN(SUBSTITUTE($G530,"-",""))),"-"," ",LEN($G530)-LEN(SUBSTITUTE($G530,"-",""))-1),".",""))))),$G530)))</f>
        <v/>
      </c>
    </row>
    <row r="531">
      <c r="A531" s="58" t="n"/>
      <c r="B531" s="58">
        <f>IF($H531="","",LEFT($H531,FIND(" ",$H531&amp;" ")-1))</f>
        <v/>
      </c>
      <c r="C531" s="58">
        <f>IF($H531="","",IFERROR(MID($H531&amp;" ",FIND("|",SUBSTITUTE($H531&amp;" "," ","|",1))+1,FIND("|",SUBSTITUTE($H531&amp;" "," ","|",2))-FIND("|",SUBSTITUTE($H531&amp;" "," ","|",1))-1),""))</f>
        <v/>
      </c>
      <c r="D531" s="58">
        <f>IF($H531="","",IFERROR(MID($H531&amp;" ",FIND("|",SUBSTITUTE($H531&amp;" "," ","|",2))+1,FIND("|",SUBSTITUTE($H531&amp;" "," ","|",3))-FIND("|",SUBSTITUTE($H531&amp;" "," ","|",2))-1),""))</f>
        <v/>
      </c>
      <c r="E531" s="58">
        <f>IF($H531="","",IFERROR(MID($H531&amp;" ",FIND("|",SUBSTITUTE($H531&amp;" "," ","|",3))+1,FIND("|",SUBSTITUTE($H531&amp;" "," ","|",4))-FIND("|",SUBSTITUTE($H531&amp;" "," ","|",3))-1),""))</f>
        <v/>
      </c>
      <c r="F531" s="59">
        <f>IF($H531="","",IFERROR(VALUE(IFERROR(MID($H531&amp;" ",FIND("|",SUBSTITUTE($H531&amp;" "," ","|",4))+1,FIND("|",SUBSTITUTE($H531&amp;" "," ","|",5))-FIND("|",SUBSTITUTE($H531&amp;" "," ","|",4))-1),""))/86400+25569+9/24,""))</f>
        <v/>
      </c>
      <c r="G531" s="58">
        <f>TRIM(SUBSTITUTE(SUBSTITUTE(SUBSTITUTE($A531,CHAR(9)," ")," "," "),CHAR(13),""))</f>
        <v/>
      </c>
      <c r="H531" s="58">
        <f>IF($G531="","",IF(ISNUMBER(FIND(" ",$G531)),$G531,IFERROR(IF((LEN(SUBSTITUTE(SUBSTITUTE($G531,"-"," ",LEN($G531)-LEN(SUBSTITUTE($G531,"-",""))),"-"," ",LEN($G531)-LEN(SUBSTITUTE($G531,"-",""))-1))-LEN(SUBSTITUTE(SUBSTITUTE(SUBSTITUTE($G531,"-"," ",LEN($G531)-LEN(SUBSTITUTE($G531,"-",""))),"-"," ",LEN($G531)-LEN(SUBSTITUTE($G531,"-",""))-1),".","")))=0,SUBSTITUTE(SUBSTITUTE($G531,"-"," ",LEN($G531)-LEN(SUBSTITUTE($G531,"-",""))),"-"," ",LEN($G531)-LEN(SUBSTITUTE($G531,"-",""))-1),SUBSTITUTE(SUBSTITUTE(SUBSTITUTE($G531,"-"," ",LEN($G531)-LEN(SUBSTITUTE($G531,"-",""))),"-"," ",LEN($G531)-LEN(SUBSTITUTE($G531,"-",""))-1),"."," ",(LEN(SUBSTITUTE(SUBSTITUTE($G531,"-"," ",LEN($G531)-LEN(SUBSTITUTE($G531,"-",""))),"-"," ",LEN($G531)-LEN(SUBSTITUTE($G531,"-",""))-1))-LEN(SUBSTITUTE(SUBSTITUTE(SUBSTITUTE($G531,"-"," ",LEN($G531)-LEN(SUBSTITUTE($G531,"-",""))),"-"," ",LEN($G531)-LEN(SUBSTITUTE($G531,"-",""))-1),".",""))))),$G531)))</f>
        <v/>
      </c>
    </row>
    <row r="532">
      <c r="A532" s="58" t="n"/>
      <c r="B532" s="58">
        <f>IF($H532="","",LEFT($H532,FIND(" ",$H532&amp;" ")-1))</f>
        <v/>
      </c>
      <c r="C532" s="58">
        <f>IF($H532="","",IFERROR(MID($H532&amp;" ",FIND("|",SUBSTITUTE($H532&amp;" "," ","|",1))+1,FIND("|",SUBSTITUTE($H532&amp;" "," ","|",2))-FIND("|",SUBSTITUTE($H532&amp;" "," ","|",1))-1),""))</f>
        <v/>
      </c>
      <c r="D532" s="58">
        <f>IF($H532="","",IFERROR(MID($H532&amp;" ",FIND("|",SUBSTITUTE($H532&amp;" "," ","|",2))+1,FIND("|",SUBSTITUTE($H532&amp;" "," ","|",3))-FIND("|",SUBSTITUTE($H532&amp;" "," ","|",2))-1),""))</f>
        <v/>
      </c>
      <c r="E532" s="58">
        <f>IF($H532="","",IFERROR(MID($H532&amp;" ",FIND("|",SUBSTITUTE($H532&amp;" "," ","|",3))+1,FIND("|",SUBSTITUTE($H532&amp;" "," ","|",4))-FIND("|",SUBSTITUTE($H532&amp;" "," ","|",3))-1),""))</f>
        <v/>
      </c>
      <c r="F532" s="59">
        <f>IF($H532="","",IFERROR(VALUE(IFERROR(MID($H532&amp;" ",FIND("|",SUBSTITUTE($H532&amp;" "," ","|",4))+1,FIND("|",SUBSTITUTE($H532&amp;" "," ","|",5))-FIND("|",SUBSTITUTE($H532&amp;" "," ","|",4))-1),""))/86400+25569+9/24,""))</f>
        <v/>
      </c>
      <c r="G532" s="58">
        <f>TRIM(SUBSTITUTE(SUBSTITUTE(SUBSTITUTE($A532,CHAR(9)," ")," "," "),CHAR(13),""))</f>
        <v/>
      </c>
      <c r="H532" s="58">
        <f>IF($G532="","",IF(ISNUMBER(FIND(" ",$G532)),$G532,IFERROR(IF((LEN(SUBSTITUTE(SUBSTITUTE($G532,"-"," ",LEN($G532)-LEN(SUBSTITUTE($G532,"-",""))),"-"," ",LEN($G532)-LEN(SUBSTITUTE($G532,"-",""))-1))-LEN(SUBSTITUTE(SUBSTITUTE(SUBSTITUTE($G532,"-"," ",LEN($G532)-LEN(SUBSTITUTE($G532,"-",""))),"-"," ",LEN($G532)-LEN(SUBSTITUTE($G532,"-",""))-1),".","")))=0,SUBSTITUTE(SUBSTITUTE($G532,"-"," ",LEN($G532)-LEN(SUBSTITUTE($G532,"-",""))),"-"," ",LEN($G532)-LEN(SUBSTITUTE($G532,"-",""))-1),SUBSTITUTE(SUBSTITUTE(SUBSTITUTE($G532,"-"," ",LEN($G532)-LEN(SUBSTITUTE($G532,"-",""))),"-"," ",LEN($G532)-LEN(SUBSTITUTE($G532,"-",""))-1),"."," ",(LEN(SUBSTITUTE(SUBSTITUTE($G532,"-"," ",LEN($G532)-LEN(SUBSTITUTE($G532,"-",""))),"-"," ",LEN($G532)-LEN(SUBSTITUTE($G532,"-",""))-1))-LEN(SUBSTITUTE(SUBSTITUTE(SUBSTITUTE($G532,"-"," ",LEN($G532)-LEN(SUBSTITUTE($G532,"-",""))),"-"," ",LEN($G532)-LEN(SUBSTITUTE($G532,"-",""))-1),".",""))))),$G532)))</f>
        <v/>
      </c>
    </row>
    <row r="533">
      <c r="A533" s="58" t="n"/>
      <c r="B533" s="58">
        <f>IF($H533="","",LEFT($H533,FIND(" ",$H533&amp;" ")-1))</f>
        <v/>
      </c>
      <c r="C533" s="58">
        <f>IF($H533="","",IFERROR(MID($H533&amp;" ",FIND("|",SUBSTITUTE($H533&amp;" "," ","|",1))+1,FIND("|",SUBSTITUTE($H533&amp;" "," ","|",2))-FIND("|",SUBSTITUTE($H533&amp;" "," ","|",1))-1),""))</f>
        <v/>
      </c>
      <c r="D533" s="58">
        <f>IF($H533="","",IFERROR(MID($H533&amp;" ",FIND("|",SUBSTITUTE($H533&amp;" "," ","|",2))+1,FIND("|",SUBSTITUTE($H533&amp;" "," ","|",3))-FIND("|",SUBSTITUTE($H533&amp;" "," ","|",2))-1),""))</f>
        <v/>
      </c>
      <c r="E533" s="58">
        <f>IF($H533="","",IFERROR(MID($H533&amp;" ",FIND("|",SUBSTITUTE($H533&amp;" "," ","|",3))+1,FIND("|",SUBSTITUTE($H533&amp;" "," ","|",4))-FIND("|",SUBSTITUTE($H533&amp;" "," ","|",3))-1),""))</f>
        <v/>
      </c>
      <c r="F533" s="59">
        <f>IF($H533="","",IFERROR(VALUE(IFERROR(MID($H533&amp;" ",FIND("|",SUBSTITUTE($H533&amp;" "," ","|",4))+1,FIND("|",SUBSTITUTE($H533&amp;" "," ","|",5))-FIND("|",SUBSTITUTE($H533&amp;" "," ","|",4))-1),""))/86400+25569+9/24,""))</f>
        <v/>
      </c>
      <c r="G533" s="58">
        <f>TRIM(SUBSTITUTE(SUBSTITUTE(SUBSTITUTE($A533,CHAR(9)," ")," "," "),CHAR(13),""))</f>
        <v/>
      </c>
      <c r="H533" s="58">
        <f>IF($G533="","",IF(ISNUMBER(FIND(" ",$G533)),$G533,IFERROR(IF((LEN(SUBSTITUTE(SUBSTITUTE($G533,"-"," ",LEN($G533)-LEN(SUBSTITUTE($G533,"-",""))),"-"," ",LEN($G533)-LEN(SUBSTITUTE($G533,"-",""))-1))-LEN(SUBSTITUTE(SUBSTITUTE(SUBSTITUTE($G533,"-"," ",LEN($G533)-LEN(SUBSTITUTE($G533,"-",""))),"-"," ",LEN($G533)-LEN(SUBSTITUTE($G533,"-",""))-1),".","")))=0,SUBSTITUTE(SUBSTITUTE($G533,"-"," ",LEN($G533)-LEN(SUBSTITUTE($G533,"-",""))),"-"," ",LEN($G533)-LEN(SUBSTITUTE($G533,"-",""))-1),SUBSTITUTE(SUBSTITUTE(SUBSTITUTE($G533,"-"," ",LEN($G533)-LEN(SUBSTITUTE($G533,"-",""))),"-"," ",LEN($G533)-LEN(SUBSTITUTE($G533,"-",""))-1),"."," ",(LEN(SUBSTITUTE(SUBSTITUTE($G533,"-"," ",LEN($G533)-LEN(SUBSTITUTE($G533,"-",""))),"-"," ",LEN($G533)-LEN(SUBSTITUTE($G533,"-",""))-1))-LEN(SUBSTITUTE(SUBSTITUTE(SUBSTITUTE($G533,"-"," ",LEN($G533)-LEN(SUBSTITUTE($G533,"-",""))),"-"," ",LEN($G533)-LEN(SUBSTITUTE($G533,"-",""))-1),".",""))))),$G533)))</f>
        <v/>
      </c>
    </row>
    <row r="534">
      <c r="A534" s="58" t="n"/>
      <c r="B534" s="58">
        <f>IF($H534="","",LEFT($H534,FIND(" ",$H534&amp;" ")-1))</f>
        <v/>
      </c>
      <c r="C534" s="58">
        <f>IF($H534="","",IFERROR(MID($H534&amp;" ",FIND("|",SUBSTITUTE($H534&amp;" "," ","|",1))+1,FIND("|",SUBSTITUTE($H534&amp;" "," ","|",2))-FIND("|",SUBSTITUTE($H534&amp;" "," ","|",1))-1),""))</f>
        <v/>
      </c>
      <c r="D534" s="58">
        <f>IF($H534="","",IFERROR(MID($H534&amp;" ",FIND("|",SUBSTITUTE($H534&amp;" "," ","|",2))+1,FIND("|",SUBSTITUTE($H534&amp;" "," ","|",3))-FIND("|",SUBSTITUTE($H534&amp;" "," ","|",2))-1),""))</f>
        <v/>
      </c>
      <c r="E534" s="58">
        <f>IF($H534="","",IFERROR(MID($H534&amp;" ",FIND("|",SUBSTITUTE($H534&amp;" "," ","|",3))+1,FIND("|",SUBSTITUTE($H534&amp;" "," ","|",4))-FIND("|",SUBSTITUTE($H534&amp;" "," ","|",3))-1),""))</f>
        <v/>
      </c>
      <c r="F534" s="59">
        <f>IF($H534="","",IFERROR(VALUE(IFERROR(MID($H534&amp;" ",FIND("|",SUBSTITUTE($H534&amp;" "," ","|",4))+1,FIND("|",SUBSTITUTE($H534&amp;" "," ","|",5))-FIND("|",SUBSTITUTE($H534&amp;" "," ","|",4))-1),""))/86400+25569+9/24,""))</f>
        <v/>
      </c>
      <c r="G534" s="58">
        <f>TRIM(SUBSTITUTE(SUBSTITUTE(SUBSTITUTE($A534,CHAR(9)," ")," "," "),CHAR(13),""))</f>
        <v/>
      </c>
      <c r="H534" s="58">
        <f>IF($G534="","",IF(ISNUMBER(FIND(" ",$G534)),$G534,IFERROR(IF((LEN(SUBSTITUTE(SUBSTITUTE($G534,"-"," ",LEN($G534)-LEN(SUBSTITUTE($G534,"-",""))),"-"," ",LEN($G534)-LEN(SUBSTITUTE($G534,"-",""))-1))-LEN(SUBSTITUTE(SUBSTITUTE(SUBSTITUTE($G534,"-"," ",LEN($G534)-LEN(SUBSTITUTE($G534,"-",""))),"-"," ",LEN($G534)-LEN(SUBSTITUTE($G534,"-",""))-1),".","")))=0,SUBSTITUTE(SUBSTITUTE($G534,"-"," ",LEN($G534)-LEN(SUBSTITUTE($G534,"-",""))),"-"," ",LEN($G534)-LEN(SUBSTITUTE($G534,"-",""))-1),SUBSTITUTE(SUBSTITUTE(SUBSTITUTE($G534,"-"," ",LEN($G534)-LEN(SUBSTITUTE($G534,"-",""))),"-"," ",LEN($G534)-LEN(SUBSTITUTE($G534,"-",""))-1),"."," ",(LEN(SUBSTITUTE(SUBSTITUTE($G534,"-"," ",LEN($G534)-LEN(SUBSTITUTE($G534,"-",""))),"-"," ",LEN($G534)-LEN(SUBSTITUTE($G534,"-",""))-1))-LEN(SUBSTITUTE(SUBSTITUTE(SUBSTITUTE($G534,"-"," ",LEN($G534)-LEN(SUBSTITUTE($G534,"-",""))),"-"," ",LEN($G534)-LEN(SUBSTITUTE($G534,"-",""))-1),".",""))))),$G534)))</f>
        <v/>
      </c>
    </row>
    <row r="535">
      <c r="A535" s="58" t="n"/>
      <c r="B535" s="58">
        <f>IF($H535="","",LEFT($H535,FIND(" ",$H535&amp;" ")-1))</f>
        <v/>
      </c>
      <c r="C535" s="58">
        <f>IF($H535="","",IFERROR(MID($H535&amp;" ",FIND("|",SUBSTITUTE($H535&amp;" "," ","|",1))+1,FIND("|",SUBSTITUTE($H535&amp;" "," ","|",2))-FIND("|",SUBSTITUTE($H535&amp;" "," ","|",1))-1),""))</f>
        <v/>
      </c>
      <c r="D535" s="58">
        <f>IF($H535="","",IFERROR(MID($H535&amp;" ",FIND("|",SUBSTITUTE($H535&amp;" "," ","|",2))+1,FIND("|",SUBSTITUTE($H535&amp;" "," ","|",3))-FIND("|",SUBSTITUTE($H535&amp;" "," ","|",2))-1),""))</f>
        <v/>
      </c>
      <c r="E535" s="58">
        <f>IF($H535="","",IFERROR(MID($H535&amp;" ",FIND("|",SUBSTITUTE($H535&amp;" "," ","|",3))+1,FIND("|",SUBSTITUTE($H535&amp;" "," ","|",4))-FIND("|",SUBSTITUTE($H535&amp;" "," ","|",3))-1),""))</f>
        <v/>
      </c>
      <c r="F535" s="59">
        <f>IF($H535="","",IFERROR(VALUE(IFERROR(MID($H535&amp;" ",FIND("|",SUBSTITUTE($H535&amp;" "," ","|",4))+1,FIND("|",SUBSTITUTE($H535&amp;" "," ","|",5))-FIND("|",SUBSTITUTE($H535&amp;" "," ","|",4))-1),""))/86400+25569+9/24,""))</f>
        <v/>
      </c>
      <c r="G535" s="58">
        <f>TRIM(SUBSTITUTE(SUBSTITUTE(SUBSTITUTE($A535,CHAR(9)," ")," "," "),CHAR(13),""))</f>
        <v/>
      </c>
      <c r="H535" s="58">
        <f>IF($G535="","",IF(ISNUMBER(FIND(" ",$G535)),$G535,IFERROR(IF((LEN(SUBSTITUTE(SUBSTITUTE($G535,"-"," ",LEN($G535)-LEN(SUBSTITUTE($G535,"-",""))),"-"," ",LEN($G535)-LEN(SUBSTITUTE($G535,"-",""))-1))-LEN(SUBSTITUTE(SUBSTITUTE(SUBSTITUTE($G535,"-"," ",LEN($G535)-LEN(SUBSTITUTE($G535,"-",""))),"-"," ",LEN($G535)-LEN(SUBSTITUTE($G535,"-",""))-1),".","")))=0,SUBSTITUTE(SUBSTITUTE($G535,"-"," ",LEN($G535)-LEN(SUBSTITUTE($G535,"-",""))),"-"," ",LEN($G535)-LEN(SUBSTITUTE($G535,"-",""))-1),SUBSTITUTE(SUBSTITUTE(SUBSTITUTE($G535,"-"," ",LEN($G535)-LEN(SUBSTITUTE($G535,"-",""))),"-"," ",LEN($G535)-LEN(SUBSTITUTE($G535,"-",""))-1),"."," ",(LEN(SUBSTITUTE(SUBSTITUTE($G535,"-"," ",LEN($G535)-LEN(SUBSTITUTE($G535,"-",""))),"-"," ",LEN($G535)-LEN(SUBSTITUTE($G535,"-",""))-1))-LEN(SUBSTITUTE(SUBSTITUTE(SUBSTITUTE($G535,"-"," ",LEN($G535)-LEN(SUBSTITUTE($G535,"-",""))),"-"," ",LEN($G535)-LEN(SUBSTITUTE($G535,"-",""))-1),".",""))))),$G535)))</f>
        <v/>
      </c>
    </row>
    <row r="536">
      <c r="A536" s="58" t="n"/>
      <c r="B536" s="58">
        <f>IF($H536="","",LEFT($H536,FIND(" ",$H536&amp;" ")-1))</f>
        <v/>
      </c>
      <c r="C536" s="58">
        <f>IF($H536="","",IFERROR(MID($H536&amp;" ",FIND("|",SUBSTITUTE($H536&amp;" "," ","|",1))+1,FIND("|",SUBSTITUTE($H536&amp;" "," ","|",2))-FIND("|",SUBSTITUTE($H536&amp;" "," ","|",1))-1),""))</f>
        <v/>
      </c>
      <c r="D536" s="58">
        <f>IF($H536="","",IFERROR(MID($H536&amp;" ",FIND("|",SUBSTITUTE($H536&amp;" "," ","|",2))+1,FIND("|",SUBSTITUTE($H536&amp;" "," ","|",3))-FIND("|",SUBSTITUTE($H536&amp;" "," ","|",2))-1),""))</f>
        <v/>
      </c>
      <c r="E536" s="58">
        <f>IF($H536="","",IFERROR(MID($H536&amp;" ",FIND("|",SUBSTITUTE($H536&amp;" "," ","|",3))+1,FIND("|",SUBSTITUTE($H536&amp;" "," ","|",4))-FIND("|",SUBSTITUTE($H536&amp;" "," ","|",3))-1),""))</f>
        <v/>
      </c>
      <c r="F536" s="59">
        <f>IF($H536="","",IFERROR(VALUE(IFERROR(MID($H536&amp;" ",FIND("|",SUBSTITUTE($H536&amp;" "," ","|",4))+1,FIND("|",SUBSTITUTE($H536&amp;" "," ","|",5))-FIND("|",SUBSTITUTE($H536&amp;" "," ","|",4))-1),""))/86400+25569+9/24,""))</f>
        <v/>
      </c>
      <c r="G536" s="58">
        <f>TRIM(SUBSTITUTE(SUBSTITUTE(SUBSTITUTE($A536,CHAR(9)," ")," "," "),CHAR(13),""))</f>
        <v/>
      </c>
      <c r="H536" s="58">
        <f>IF($G536="","",IF(ISNUMBER(FIND(" ",$G536)),$G536,IFERROR(IF((LEN(SUBSTITUTE(SUBSTITUTE($G536,"-"," ",LEN($G536)-LEN(SUBSTITUTE($G536,"-",""))),"-"," ",LEN($G536)-LEN(SUBSTITUTE($G536,"-",""))-1))-LEN(SUBSTITUTE(SUBSTITUTE(SUBSTITUTE($G536,"-"," ",LEN($G536)-LEN(SUBSTITUTE($G536,"-",""))),"-"," ",LEN($G536)-LEN(SUBSTITUTE($G536,"-",""))-1),".","")))=0,SUBSTITUTE(SUBSTITUTE($G536,"-"," ",LEN($G536)-LEN(SUBSTITUTE($G536,"-",""))),"-"," ",LEN($G536)-LEN(SUBSTITUTE($G536,"-",""))-1),SUBSTITUTE(SUBSTITUTE(SUBSTITUTE($G536,"-"," ",LEN($G536)-LEN(SUBSTITUTE($G536,"-",""))),"-"," ",LEN($G536)-LEN(SUBSTITUTE($G536,"-",""))-1),"."," ",(LEN(SUBSTITUTE(SUBSTITUTE($G536,"-"," ",LEN($G536)-LEN(SUBSTITUTE($G536,"-",""))),"-"," ",LEN($G536)-LEN(SUBSTITUTE($G536,"-",""))-1))-LEN(SUBSTITUTE(SUBSTITUTE(SUBSTITUTE($G536,"-"," ",LEN($G536)-LEN(SUBSTITUTE($G536,"-",""))),"-"," ",LEN($G536)-LEN(SUBSTITUTE($G536,"-",""))-1),".",""))))),$G536)))</f>
        <v/>
      </c>
    </row>
    <row r="537">
      <c r="A537" s="58" t="n"/>
      <c r="B537" s="58">
        <f>IF($H537="","",LEFT($H537,FIND(" ",$H537&amp;" ")-1))</f>
        <v/>
      </c>
      <c r="C537" s="58">
        <f>IF($H537="","",IFERROR(MID($H537&amp;" ",FIND("|",SUBSTITUTE($H537&amp;" "," ","|",1))+1,FIND("|",SUBSTITUTE($H537&amp;" "," ","|",2))-FIND("|",SUBSTITUTE($H537&amp;" "," ","|",1))-1),""))</f>
        <v/>
      </c>
      <c r="D537" s="58">
        <f>IF($H537="","",IFERROR(MID($H537&amp;" ",FIND("|",SUBSTITUTE($H537&amp;" "," ","|",2))+1,FIND("|",SUBSTITUTE($H537&amp;" "," ","|",3))-FIND("|",SUBSTITUTE($H537&amp;" "," ","|",2))-1),""))</f>
        <v/>
      </c>
      <c r="E537" s="58">
        <f>IF($H537="","",IFERROR(MID($H537&amp;" ",FIND("|",SUBSTITUTE($H537&amp;" "," ","|",3))+1,FIND("|",SUBSTITUTE($H537&amp;" "," ","|",4))-FIND("|",SUBSTITUTE($H537&amp;" "," ","|",3))-1),""))</f>
        <v/>
      </c>
      <c r="F537" s="59">
        <f>IF($H537="","",IFERROR(VALUE(IFERROR(MID($H537&amp;" ",FIND("|",SUBSTITUTE($H537&amp;" "," ","|",4))+1,FIND("|",SUBSTITUTE($H537&amp;" "," ","|",5))-FIND("|",SUBSTITUTE($H537&amp;" "," ","|",4))-1),""))/86400+25569+9/24,""))</f>
        <v/>
      </c>
      <c r="G537" s="58">
        <f>TRIM(SUBSTITUTE(SUBSTITUTE(SUBSTITUTE($A537,CHAR(9)," ")," "," "),CHAR(13),""))</f>
        <v/>
      </c>
      <c r="H537" s="58">
        <f>IF($G537="","",IF(ISNUMBER(FIND(" ",$G537)),$G537,IFERROR(IF((LEN(SUBSTITUTE(SUBSTITUTE($G537,"-"," ",LEN($G537)-LEN(SUBSTITUTE($G537,"-",""))),"-"," ",LEN($G537)-LEN(SUBSTITUTE($G537,"-",""))-1))-LEN(SUBSTITUTE(SUBSTITUTE(SUBSTITUTE($G537,"-"," ",LEN($G537)-LEN(SUBSTITUTE($G537,"-",""))),"-"," ",LEN($G537)-LEN(SUBSTITUTE($G537,"-",""))-1),".","")))=0,SUBSTITUTE(SUBSTITUTE($G537,"-"," ",LEN($G537)-LEN(SUBSTITUTE($G537,"-",""))),"-"," ",LEN($G537)-LEN(SUBSTITUTE($G537,"-",""))-1),SUBSTITUTE(SUBSTITUTE(SUBSTITUTE($G537,"-"," ",LEN($G537)-LEN(SUBSTITUTE($G537,"-",""))),"-"," ",LEN($G537)-LEN(SUBSTITUTE($G537,"-",""))-1),"."," ",(LEN(SUBSTITUTE(SUBSTITUTE($G537,"-"," ",LEN($G537)-LEN(SUBSTITUTE($G537,"-",""))),"-"," ",LEN($G537)-LEN(SUBSTITUTE($G537,"-",""))-1))-LEN(SUBSTITUTE(SUBSTITUTE(SUBSTITUTE($G537,"-"," ",LEN($G537)-LEN(SUBSTITUTE($G537,"-",""))),"-"," ",LEN($G537)-LEN(SUBSTITUTE($G537,"-",""))-1),".",""))))),$G537)))</f>
        <v/>
      </c>
    </row>
    <row r="538">
      <c r="A538" s="58" t="n"/>
      <c r="B538" s="58">
        <f>IF($H538="","",LEFT($H538,FIND(" ",$H538&amp;" ")-1))</f>
        <v/>
      </c>
      <c r="C538" s="58">
        <f>IF($H538="","",IFERROR(MID($H538&amp;" ",FIND("|",SUBSTITUTE($H538&amp;" "," ","|",1))+1,FIND("|",SUBSTITUTE($H538&amp;" "," ","|",2))-FIND("|",SUBSTITUTE($H538&amp;" "," ","|",1))-1),""))</f>
        <v/>
      </c>
      <c r="D538" s="58">
        <f>IF($H538="","",IFERROR(MID($H538&amp;" ",FIND("|",SUBSTITUTE($H538&amp;" "," ","|",2))+1,FIND("|",SUBSTITUTE($H538&amp;" "," ","|",3))-FIND("|",SUBSTITUTE($H538&amp;" "," ","|",2))-1),""))</f>
        <v/>
      </c>
      <c r="E538" s="58">
        <f>IF($H538="","",IFERROR(MID($H538&amp;" ",FIND("|",SUBSTITUTE($H538&amp;" "," ","|",3))+1,FIND("|",SUBSTITUTE($H538&amp;" "," ","|",4))-FIND("|",SUBSTITUTE($H538&amp;" "," ","|",3))-1),""))</f>
        <v/>
      </c>
      <c r="F538" s="59">
        <f>IF($H538="","",IFERROR(VALUE(IFERROR(MID($H538&amp;" ",FIND("|",SUBSTITUTE($H538&amp;" "," ","|",4))+1,FIND("|",SUBSTITUTE($H538&amp;" "," ","|",5))-FIND("|",SUBSTITUTE($H538&amp;" "," ","|",4))-1),""))/86400+25569+9/24,""))</f>
        <v/>
      </c>
      <c r="G538" s="58">
        <f>TRIM(SUBSTITUTE(SUBSTITUTE(SUBSTITUTE($A538,CHAR(9)," ")," "," "),CHAR(13),""))</f>
        <v/>
      </c>
      <c r="H538" s="58">
        <f>IF($G538="","",IF(ISNUMBER(FIND(" ",$G538)),$G538,IFERROR(IF((LEN(SUBSTITUTE(SUBSTITUTE($G538,"-"," ",LEN($G538)-LEN(SUBSTITUTE($G538,"-",""))),"-"," ",LEN($G538)-LEN(SUBSTITUTE($G538,"-",""))-1))-LEN(SUBSTITUTE(SUBSTITUTE(SUBSTITUTE($G538,"-"," ",LEN($G538)-LEN(SUBSTITUTE($G538,"-",""))),"-"," ",LEN($G538)-LEN(SUBSTITUTE($G538,"-",""))-1),".","")))=0,SUBSTITUTE(SUBSTITUTE($G538,"-"," ",LEN($G538)-LEN(SUBSTITUTE($G538,"-",""))),"-"," ",LEN($G538)-LEN(SUBSTITUTE($G538,"-",""))-1),SUBSTITUTE(SUBSTITUTE(SUBSTITUTE($G538,"-"," ",LEN($G538)-LEN(SUBSTITUTE($G538,"-",""))),"-"," ",LEN($G538)-LEN(SUBSTITUTE($G538,"-",""))-1),"."," ",(LEN(SUBSTITUTE(SUBSTITUTE($G538,"-"," ",LEN($G538)-LEN(SUBSTITUTE($G538,"-",""))),"-"," ",LEN($G538)-LEN(SUBSTITUTE($G538,"-",""))-1))-LEN(SUBSTITUTE(SUBSTITUTE(SUBSTITUTE($G538,"-"," ",LEN($G538)-LEN(SUBSTITUTE($G538,"-",""))),"-"," ",LEN($G538)-LEN(SUBSTITUTE($G538,"-",""))-1),".",""))))),$G538)))</f>
        <v/>
      </c>
    </row>
    <row r="539">
      <c r="A539" s="58" t="n"/>
      <c r="B539" s="58">
        <f>IF($H539="","",LEFT($H539,FIND(" ",$H539&amp;" ")-1))</f>
        <v/>
      </c>
      <c r="C539" s="58">
        <f>IF($H539="","",IFERROR(MID($H539&amp;" ",FIND("|",SUBSTITUTE($H539&amp;" "," ","|",1))+1,FIND("|",SUBSTITUTE($H539&amp;" "," ","|",2))-FIND("|",SUBSTITUTE($H539&amp;" "," ","|",1))-1),""))</f>
        <v/>
      </c>
      <c r="D539" s="58">
        <f>IF($H539="","",IFERROR(MID($H539&amp;" ",FIND("|",SUBSTITUTE($H539&amp;" "," ","|",2))+1,FIND("|",SUBSTITUTE($H539&amp;" "," ","|",3))-FIND("|",SUBSTITUTE($H539&amp;" "," ","|",2))-1),""))</f>
        <v/>
      </c>
      <c r="E539" s="58">
        <f>IF($H539="","",IFERROR(MID($H539&amp;" ",FIND("|",SUBSTITUTE($H539&amp;" "," ","|",3))+1,FIND("|",SUBSTITUTE($H539&amp;" "," ","|",4))-FIND("|",SUBSTITUTE($H539&amp;" "," ","|",3))-1),""))</f>
        <v/>
      </c>
      <c r="F539" s="59">
        <f>IF($H539="","",IFERROR(VALUE(IFERROR(MID($H539&amp;" ",FIND("|",SUBSTITUTE($H539&amp;" "," ","|",4))+1,FIND("|",SUBSTITUTE($H539&amp;" "," ","|",5))-FIND("|",SUBSTITUTE($H539&amp;" "," ","|",4))-1),""))/86400+25569+9/24,""))</f>
        <v/>
      </c>
      <c r="G539" s="58">
        <f>TRIM(SUBSTITUTE(SUBSTITUTE(SUBSTITUTE($A539,CHAR(9)," ")," "," "),CHAR(13),""))</f>
        <v/>
      </c>
      <c r="H539" s="58">
        <f>IF($G539="","",IF(ISNUMBER(FIND(" ",$G539)),$G539,IFERROR(IF((LEN(SUBSTITUTE(SUBSTITUTE($G539,"-"," ",LEN($G539)-LEN(SUBSTITUTE($G539,"-",""))),"-"," ",LEN($G539)-LEN(SUBSTITUTE($G539,"-",""))-1))-LEN(SUBSTITUTE(SUBSTITUTE(SUBSTITUTE($G539,"-"," ",LEN($G539)-LEN(SUBSTITUTE($G539,"-",""))),"-"," ",LEN($G539)-LEN(SUBSTITUTE($G539,"-",""))-1),".","")))=0,SUBSTITUTE(SUBSTITUTE($G539,"-"," ",LEN($G539)-LEN(SUBSTITUTE($G539,"-",""))),"-"," ",LEN($G539)-LEN(SUBSTITUTE($G539,"-",""))-1),SUBSTITUTE(SUBSTITUTE(SUBSTITUTE($G539,"-"," ",LEN($G539)-LEN(SUBSTITUTE($G539,"-",""))),"-"," ",LEN($G539)-LEN(SUBSTITUTE($G539,"-",""))-1),"."," ",(LEN(SUBSTITUTE(SUBSTITUTE($G539,"-"," ",LEN($G539)-LEN(SUBSTITUTE($G539,"-",""))),"-"," ",LEN($G539)-LEN(SUBSTITUTE($G539,"-",""))-1))-LEN(SUBSTITUTE(SUBSTITUTE(SUBSTITUTE($G539,"-"," ",LEN($G539)-LEN(SUBSTITUTE($G539,"-",""))),"-"," ",LEN($G539)-LEN(SUBSTITUTE($G539,"-",""))-1),".",""))))),$G539)))</f>
        <v/>
      </c>
    </row>
    <row r="540">
      <c r="A540" s="58" t="n"/>
      <c r="B540" s="58">
        <f>IF($H540="","",LEFT($H540,FIND(" ",$H540&amp;" ")-1))</f>
        <v/>
      </c>
      <c r="C540" s="58">
        <f>IF($H540="","",IFERROR(MID($H540&amp;" ",FIND("|",SUBSTITUTE($H540&amp;" "," ","|",1))+1,FIND("|",SUBSTITUTE($H540&amp;" "," ","|",2))-FIND("|",SUBSTITUTE($H540&amp;" "," ","|",1))-1),""))</f>
        <v/>
      </c>
      <c r="D540" s="58">
        <f>IF($H540="","",IFERROR(MID($H540&amp;" ",FIND("|",SUBSTITUTE($H540&amp;" "," ","|",2))+1,FIND("|",SUBSTITUTE($H540&amp;" "," ","|",3))-FIND("|",SUBSTITUTE($H540&amp;" "," ","|",2))-1),""))</f>
        <v/>
      </c>
      <c r="E540" s="58">
        <f>IF($H540="","",IFERROR(MID($H540&amp;" ",FIND("|",SUBSTITUTE($H540&amp;" "," ","|",3))+1,FIND("|",SUBSTITUTE($H540&amp;" "," ","|",4))-FIND("|",SUBSTITUTE($H540&amp;" "," ","|",3))-1),""))</f>
        <v/>
      </c>
      <c r="F540" s="59">
        <f>IF($H540="","",IFERROR(VALUE(IFERROR(MID($H540&amp;" ",FIND("|",SUBSTITUTE($H540&amp;" "," ","|",4))+1,FIND("|",SUBSTITUTE($H540&amp;" "," ","|",5))-FIND("|",SUBSTITUTE($H540&amp;" "," ","|",4))-1),""))/86400+25569+9/24,""))</f>
        <v/>
      </c>
      <c r="G540" s="58">
        <f>TRIM(SUBSTITUTE(SUBSTITUTE(SUBSTITUTE($A540,CHAR(9)," ")," "," "),CHAR(13),""))</f>
        <v/>
      </c>
      <c r="H540" s="58">
        <f>IF($G540="","",IF(ISNUMBER(FIND(" ",$G540)),$G540,IFERROR(IF((LEN(SUBSTITUTE(SUBSTITUTE($G540,"-"," ",LEN($G540)-LEN(SUBSTITUTE($G540,"-",""))),"-"," ",LEN($G540)-LEN(SUBSTITUTE($G540,"-",""))-1))-LEN(SUBSTITUTE(SUBSTITUTE(SUBSTITUTE($G540,"-"," ",LEN($G540)-LEN(SUBSTITUTE($G540,"-",""))),"-"," ",LEN($G540)-LEN(SUBSTITUTE($G540,"-",""))-1),".","")))=0,SUBSTITUTE(SUBSTITUTE($G540,"-"," ",LEN($G540)-LEN(SUBSTITUTE($G540,"-",""))),"-"," ",LEN($G540)-LEN(SUBSTITUTE($G540,"-",""))-1),SUBSTITUTE(SUBSTITUTE(SUBSTITUTE($G540,"-"," ",LEN($G540)-LEN(SUBSTITUTE($G540,"-",""))),"-"," ",LEN($G540)-LEN(SUBSTITUTE($G540,"-",""))-1),"."," ",(LEN(SUBSTITUTE(SUBSTITUTE($G540,"-"," ",LEN($G540)-LEN(SUBSTITUTE($G540,"-",""))),"-"," ",LEN($G540)-LEN(SUBSTITUTE($G540,"-",""))-1))-LEN(SUBSTITUTE(SUBSTITUTE(SUBSTITUTE($G540,"-"," ",LEN($G540)-LEN(SUBSTITUTE($G540,"-",""))),"-"," ",LEN($G540)-LEN(SUBSTITUTE($G540,"-",""))-1),".",""))))),$G540)))</f>
        <v/>
      </c>
    </row>
    <row r="541">
      <c r="A541" s="58" t="n"/>
      <c r="B541" s="58">
        <f>IF($H541="","",LEFT($H541,FIND(" ",$H541&amp;" ")-1))</f>
        <v/>
      </c>
      <c r="C541" s="58">
        <f>IF($H541="","",IFERROR(MID($H541&amp;" ",FIND("|",SUBSTITUTE($H541&amp;" "," ","|",1))+1,FIND("|",SUBSTITUTE($H541&amp;" "," ","|",2))-FIND("|",SUBSTITUTE($H541&amp;" "," ","|",1))-1),""))</f>
        <v/>
      </c>
      <c r="D541" s="58">
        <f>IF($H541="","",IFERROR(MID($H541&amp;" ",FIND("|",SUBSTITUTE($H541&amp;" "," ","|",2))+1,FIND("|",SUBSTITUTE($H541&amp;" "," ","|",3))-FIND("|",SUBSTITUTE($H541&amp;" "," ","|",2))-1),""))</f>
        <v/>
      </c>
      <c r="E541" s="58">
        <f>IF($H541="","",IFERROR(MID($H541&amp;" ",FIND("|",SUBSTITUTE($H541&amp;" "," ","|",3))+1,FIND("|",SUBSTITUTE($H541&amp;" "," ","|",4))-FIND("|",SUBSTITUTE($H541&amp;" "," ","|",3))-1),""))</f>
        <v/>
      </c>
      <c r="F541" s="59">
        <f>IF($H541="","",IFERROR(VALUE(IFERROR(MID($H541&amp;" ",FIND("|",SUBSTITUTE($H541&amp;" "," ","|",4))+1,FIND("|",SUBSTITUTE($H541&amp;" "," ","|",5))-FIND("|",SUBSTITUTE($H541&amp;" "," ","|",4))-1),""))/86400+25569+9/24,""))</f>
        <v/>
      </c>
      <c r="G541" s="58">
        <f>TRIM(SUBSTITUTE(SUBSTITUTE(SUBSTITUTE($A541,CHAR(9)," ")," "," "),CHAR(13),""))</f>
        <v/>
      </c>
      <c r="H541" s="58">
        <f>IF($G541="","",IF(ISNUMBER(FIND(" ",$G541)),$G541,IFERROR(IF((LEN(SUBSTITUTE(SUBSTITUTE($G541,"-"," ",LEN($G541)-LEN(SUBSTITUTE($G541,"-",""))),"-"," ",LEN($G541)-LEN(SUBSTITUTE($G541,"-",""))-1))-LEN(SUBSTITUTE(SUBSTITUTE(SUBSTITUTE($G541,"-"," ",LEN($G541)-LEN(SUBSTITUTE($G541,"-",""))),"-"," ",LEN($G541)-LEN(SUBSTITUTE($G541,"-",""))-1),".","")))=0,SUBSTITUTE(SUBSTITUTE($G541,"-"," ",LEN($G541)-LEN(SUBSTITUTE($G541,"-",""))),"-"," ",LEN($G541)-LEN(SUBSTITUTE($G541,"-",""))-1),SUBSTITUTE(SUBSTITUTE(SUBSTITUTE($G541,"-"," ",LEN($G541)-LEN(SUBSTITUTE($G541,"-",""))),"-"," ",LEN($G541)-LEN(SUBSTITUTE($G541,"-",""))-1),"."," ",(LEN(SUBSTITUTE(SUBSTITUTE($G541,"-"," ",LEN($G541)-LEN(SUBSTITUTE($G541,"-",""))),"-"," ",LEN($G541)-LEN(SUBSTITUTE($G541,"-",""))-1))-LEN(SUBSTITUTE(SUBSTITUTE(SUBSTITUTE($G541,"-"," ",LEN($G541)-LEN(SUBSTITUTE($G541,"-",""))),"-"," ",LEN($G541)-LEN(SUBSTITUTE($G541,"-",""))-1),".",""))))),$G541)))</f>
        <v/>
      </c>
    </row>
    <row r="542">
      <c r="A542" s="58" t="n"/>
      <c r="B542" s="58">
        <f>IF($H542="","",LEFT($H542,FIND(" ",$H542&amp;" ")-1))</f>
        <v/>
      </c>
      <c r="C542" s="58">
        <f>IF($H542="","",IFERROR(MID($H542&amp;" ",FIND("|",SUBSTITUTE($H542&amp;" "," ","|",1))+1,FIND("|",SUBSTITUTE($H542&amp;" "," ","|",2))-FIND("|",SUBSTITUTE($H542&amp;" "," ","|",1))-1),""))</f>
        <v/>
      </c>
      <c r="D542" s="58">
        <f>IF($H542="","",IFERROR(MID($H542&amp;" ",FIND("|",SUBSTITUTE($H542&amp;" "," ","|",2))+1,FIND("|",SUBSTITUTE($H542&amp;" "," ","|",3))-FIND("|",SUBSTITUTE($H542&amp;" "," ","|",2))-1),""))</f>
        <v/>
      </c>
      <c r="E542" s="58">
        <f>IF($H542="","",IFERROR(MID($H542&amp;" ",FIND("|",SUBSTITUTE($H542&amp;" "," ","|",3))+1,FIND("|",SUBSTITUTE($H542&amp;" "," ","|",4))-FIND("|",SUBSTITUTE($H542&amp;" "," ","|",3))-1),""))</f>
        <v/>
      </c>
      <c r="F542" s="59">
        <f>IF($H542="","",IFERROR(VALUE(IFERROR(MID($H542&amp;" ",FIND("|",SUBSTITUTE($H542&amp;" "," ","|",4))+1,FIND("|",SUBSTITUTE($H542&amp;" "," ","|",5))-FIND("|",SUBSTITUTE($H542&amp;" "," ","|",4))-1),""))/86400+25569+9/24,""))</f>
        <v/>
      </c>
      <c r="G542" s="58">
        <f>TRIM(SUBSTITUTE(SUBSTITUTE(SUBSTITUTE($A542,CHAR(9)," ")," "," "),CHAR(13),""))</f>
        <v/>
      </c>
      <c r="H542" s="58">
        <f>IF($G542="","",IF(ISNUMBER(FIND(" ",$G542)),$G542,IFERROR(IF((LEN(SUBSTITUTE(SUBSTITUTE($G542,"-"," ",LEN($G542)-LEN(SUBSTITUTE($G542,"-",""))),"-"," ",LEN($G542)-LEN(SUBSTITUTE($G542,"-",""))-1))-LEN(SUBSTITUTE(SUBSTITUTE(SUBSTITUTE($G542,"-"," ",LEN($G542)-LEN(SUBSTITUTE($G542,"-",""))),"-"," ",LEN($G542)-LEN(SUBSTITUTE($G542,"-",""))-1),".","")))=0,SUBSTITUTE(SUBSTITUTE($G542,"-"," ",LEN($G542)-LEN(SUBSTITUTE($G542,"-",""))),"-"," ",LEN($G542)-LEN(SUBSTITUTE($G542,"-",""))-1),SUBSTITUTE(SUBSTITUTE(SUBSTITUTE($G542,"-"," ",LEN($G542)-LEN(SUBSTITUTE($G542,"-",""))),"-"," ",LEN($G542)-LEN(SUBSTITUTE($G542,"-",""))-1),"."," ",(LEN(SUBSTITUTE(SUBSTITUTE($G542,"-"," ",LEN($G542)-LEN(SUBSTITUTE($G542,"-",""))),"-"," ",LEN($G542)-LEN(SUBSTITUTE($G542,"-",""))-1))-LEN(SUBSTITUTE(SUBSTITUTE(SUBSTITUTE($G542,"-"," ",LEN($G542)-LEN(SUBSTITUTE($G542,"-",""))),"-"," ",LEN($G542)-LEN(SUBSTITUTE($G542,"-",""))-1),".",""))))),$G542)))</f>
        <v/>
      </c>
    </row>
    <row r="543">
      <c r="A543" s="58" t="n"/>
      <c r="B543" s="58">
        <f>IF($H543="","",LEFT($H543,FIND(" ",$H543&amp;" ")-1))</f>
        <v/>
      </c>
      <c r="C543" s="58">
        <f>IF($H543="","",IFERROR(MID($H543&amp;" ",FIND("|",SUBSTITUTE($H543&amp;" "," ","|",1))+1,FIND("|",SUBSTITUTE($H543&amp;" "," ","|",2))-FIND("|",SUBSTITUTE($H543&amp;" "," ","|",1))-1),""))</f>
        <v/>
      </c>
      <c r="D543" s="58">
        <f>IF($H543="","",IFERROR(MID($H543&amp;" ",FIND("|",SUBSTITUTE($H543&amp;" "," ","|",2))+1,FIND("|",SUBSTITUTE($H543&amp;" "," ","|",3))-FIND("|",SUBSTITUTE($H543&amp;" "," ","|",2))-1),""))</f>
        <v/>
      </c>
      <c r="E543" s="58">
        <f>IF($H543="","",IFERROR(MID($H543&amp;" ",FIND("|",SUBSTITUTE($H543&amp;" "," ","|",3))+1,FIND("|",SUBSTITUTE($H543&amp;" "," ","|",4))-FIND("|",SUBSTITUTE($H543&amp;" "," ","|",3))-1),""))</f>
        <v/>
      </c>
      <c r="F543" s="59">
        <f>IF($H543="","",IFERROR(VALUE(IFERROR(MID($H543&amp;" ",FIND("|",SUBSTITUTE($H543&amp;" "," ","|",4))+1,FIND("|",SUBSTITUTE($H543&amp;" "," ","|",5))-FIND("|",SUBSTITUTE($H543&amp;" "," ","|",4))-1),""))/86400+25569+9/24,""))</f>
        <v/>
      </c>
      <c r="G543" s="58">
        <f>TRIM(SUBSTITUTE(SUBSTITUTE(SUBSTITUTE($A543,CHAR(9)," ")," "," "),CHAR(13),""))</f>
        <v/>
      </c>
      <c r="H543" s="58">
        <f>IF($G543="","",IF(ISNUMBER(FIND(" ",$G543)),$G543,IFERROR(IF((LEN(SUBSTITUTE(SUBSTITUTE($G543,"-"," ",LEN($G543)-LEN(SUBSTITUTE($G543,"-",""))),"-"," ",LEN($G543)-LEN(SUBSTITUTE($G543,"-",""))-1))-LEN(SUBSTITUTE(SUBSTITUTE(SUBSTITUTE($G543,"-"," ",LEN($G543)-LEN(SUBSTITUTE($G543,"-",""))),"-"," ",LEN($G543)-LEN(SUBSTITUTE($G543,"-",""))-1),".","")))=0,SUBSTITUTE(SUBSTITUTE($G543,"-"," ",LEN($G543)-LEN(SUBSTITUTE($G543,"-",""))),"-"," ",LEN($G543)-LEN(SUBSTITUTE($G543,"-",""))-1),SUBSTITUTE(SUBSTITUTE(SUBSTITUTE($G543,"-"," ",LEN($G543)-LEN(SUBSTITUTE($G543,"-",""))),"-"," ",LEN($G543)-LEN(SUBSTITUTE($G543,"-",""))-1),"."," ",(LEN(SUBSTITUTE(SUBSTITUTE($G543,"-"," ",LEN($G543)-LEN(SUBSTITUTE($G543,"-",""))),"-"," ",LEN($G543)-LEN(SUBSTITUTE($G543,"-",""))-1))-LEN(SUBSTITUTE(SUBSTITUTE(SUBSTITUTE($G543,"-"," ",LEN($G543)-LEN(SUBSTITUTE($G543,"-",""))),"-"," ",LEN($G543)-LEN(SUBSTITUTE($G543,"-",""))-1),".",""))))),$G543)))</f>
        <v/>
      </c>
    </row>
    <row r="544">
      <c r="A544" s="58" t="n"/>
      <c r="B544" s="58">
        <f>IF($H544="","",LEFT($H544,FIND(" ",$H544&amp;" ")-1))</f>
        <v/>
      </c>
      <c r="C544" s="58">
        <f>IF($H544="","",IFERROR(MID($H544&amp;" ",FIND("|",SUBSTITUTE($H544&amp;" "," ","|",1))+1,FIND("|",SUBSTITUTE($H544&amp;" "," ","|",2))-FIND("|",SUBSTITUTE($H544&amp;" "," ","|",1))-1),""))</f>
        <v/>
      </c>
      <c r="D544" s="58">
        <f>IF($H544="","",IFERROR(MID($H544&amp;" ",FIND("|",SUBSTITUTE($H544&amp;" "," ","|",2))+1,FIND("|",SUBSTITUTE($H544&amp;" "," ","|",3))-FIND("|",SUBSTITUTE($H544&amp;" "," ","|",2))-1),""))</f>
        <v/>
      </c>
      <c r="E544" s="58">
        <f>IF($H544="","",IFERROR(MID($H544&amp;" ",FIND("|",SUBSTITUTE($H544&amp;" "," ","|",3))+1,FIND("|",SUBSTITUTE($H544&amp;" "," ","|",4))-FIND("|",SUBSTITUTE($H544&amp;" "," ","|",3))-1),""))</f>
        <v/>
      </c>
      <c r="F544" s="59">
        <f>IF($H544="","",IFERROR(VALUE(IFERROR(MID($H544&amp;" ",FIND("|",SUBSTITUTE($H544&amp;" "," ","|",4))+1,FIND("|",SUBSTITUTE($H544&amp;" "," ","|",5))-FIND("|",SUBSTITUTE($H544&amp;" "," ","|",4))-1),""))/86400+25569+9/24,""))</f>
        <v/>
      </c>
      <c r="G544" s="58">
        <f>TRIM(SUBSTITUTE(SUBSTITUTE(SUBSTITUTE($A544,CHAR(9)," ")," "," "),CHAR(13),""))</f>
        <v/>
      </c>
      <c r="H544" s="58">
        <f>IF($G544="","",IF(ISNUMBER(FIND(" ",$G544)),$G544,IFERROR(IF((LEN(SUBSTITUTE(SUBSTITUTE($G544,"-"," ",LEN($G544)-LEN(SUBSTITUTE($G544,"-",""))),"-"," ",LEN($G544)-LEN(SUBSTITUTE($G544,"-",""))-1))-LEN(SUBSTITUTE(SUBSTITUTE(SUBSTITUTE($G544,"-"," ",LEN($G544)-LEN(SUBSTITUTE($G544,"-",""))),"-"," ",LEN($G544)-LEN(SUBSTITUTE($G544,"-",""))-1),".","")))=0,SUBSTITUTE(SUBSTITUTE($G544,"-"," ",LEN($G544)-LEN(SUBSTITUTE($G544,"-",""))),"-"," ",LEN($G544)-LEN(SUBSTITUTE($G544,"-",""))-1),SUBSTITUTE(SUBSTITUTE(SUBSTITUTE($G544,"-"," ",LEN($G544)-LEN(SUBSTITUTE($G544,"-",""))),"-"," ",LEN($G544)-LEN(SUBSTITUTE($G544,"-",""))-1),"."," ",(LEN(SUBSTITUTE(SUBSTITUTE($G544,"-"," ",LEN($G544)-LEN(SUBSTITUTE($G544,"-",""))),"-"," ",LEN($G544)-LEN(SUBSTITUTE($G544,"-",""))-1))-LEN(SUBSTITUTE(SUBSTITUTE(SUBSTITUTE($G544,"-"," ",LEN($G544)-LEN(SUBSTITUTE($G544,"-",""))),"-"," ",LEN($G544)-LEN(SUBSTITUTE($G544,"-",""))-1),".",""))))),$G544)))</f>
        <v/>
      </c>
    </row>
    <row r="545">
      <c r="A545" s="58" t="n"/>
      <c r="B545" s="58">
        <f>IF($H545="","",LEFT($H545,FIND(" ",$H545&amp;" ")-1))</f>
        <v/>
      </c>
      <c r="C545" s="58">
        <f>IF($H545="","",IFERROR(MID($H545&amp;" ",FIND("|",SUBSTITUTE($H545&amp;" "," ","|",1))+1,FIND("|",SUBSTITUTE($H545&amp;" "," ","|",2))-FIND("|",SUBSTITUTE($H545&amp;" "," ","|",1))-1),""))</f>
        <v/>
      </c>
      <c r="D545" s="58">
        <f>IF($H545="","",IFERROR(MID($H545&amp;" ",FIND("|",SUBSTITUTE($H545&amp;" "," ","|",2))+1,FIND("|",SUBSTITUTE($H545&amp;" "," ","|",3))-FIND("|",SUBSTITUTE($H545&amp;" "," ","|",2))-1),""))</f>
        <v/>
      </c>
      <c r="E545" s="58">
        <f>IF($H545="","",IFERROR(MID($H545&amp;" ",FIND("|",SUBSTITUTE($H545&amp;" "," ","|",3))+1,FIND("|",SUBSTITUTE($H545&amp;" "," ","|",4))-FIND("|",SUBSTITUTE($H545&amp;" "," ","|",3))-1),""))</f>
        <v/>
      </c>
      <c r="F545" s="59">
        <f>IF($H545="","",IFERROR(VALUE(IFERROR(MID($H545&amp;" ",FIND("|",SUBSTITUTE($H545&amp;" "," ","|",4))+1,FIND("|",SUBSTITUTE($H545&amp;" "," ","|",5))-FIND("|",SUBSTITUTE($H545&amp;" "," ","|",4))-1),""))/86400+25569+9/24,""))</f>
        <v/>
      </c>
      <c r="G545" s="58">
        <f>TRIM(SUBSTITUTE(SUBSTITUTE(SUBSTITUTE($A545,CHAR(9)," ")," "," "),CHAR(13),""))</f>
        <v/>
      </c>
      <c r="H545" s="58">
        <f>IF($G545="","",IF(ISNUMBER(FIND(" ",$G545)),$G545,IFERROR(IF((LEN(SUBSTITUTE(SUBSTITUTE($G545,"-"," ",LEN($G545)-LEN(SUBSTITUTE($G545,"-",""))),"-"," ",LEN($G545)-LEN(SUBSTITUTE($G545,"-",""))-1))-LEN(SUBSTITUTE(SUBSTITUTE(SUBSTITUTE($G545,"-"," ",LEN($G545)-LEN(SUBSTITUTE($G545,"-",""))),"-"," ",LEN($G545)-LEN(SUBSTITUTE($G545,"-",""))-1),".","")))=0,SUBSTITUTE(SUBSTITUTE($G545,"-"," ",LEN($G545)-LEN(SUBSTITUTE($G545,"-",""))),"-"," ",LEN($G545)-LEN(SUBSTITUTE($G545,"-",""))-1),SUBSTITUTE(SUBSTITUTE(SUBSTITUTE($G545,"-"," ",LEN($G545)-LEN(SUBSTITUTE($G545,"-",""))),"-"," ",LEN($G545)-LEN(SUBSTITUTE($G545,"-",""))-1),"."," ",(LEN(SUBSTITUTE(SUBSTITUTE($G545,"-"," ",LEN($G545)-LEN(SUBSTITUTE($G545,"-",""))),"-"," ",LEN($G545)-LEN(SUBSTITUTE($G545,"-",""))-1))-LEN(SUBSTITUTE(SUBSTITUTE(SUBSTITUTE($G545,"-"," ",LEN($G545)-LEN(SUBSTITUTE($G545,"-",""))),"-"," ",LEN($G545)-LEN(SUBSTITUTE($G545,"-",""))-1),".",""))))),$G545)))</f>
        <v/>
      </c>
    </row>
    <row r="546">
      <c r="A546" s="58" t="n"/>
      <c r="B546" s="58">
        <f>IF($H546="","",LEFT($H546,FIND(" ",$H546&amp;" ")-1))</f>
        <v/>
      </c>
      <c r="C546" s="58">
        <f>IF($H546="","",IFERROR(MID($H546&amp;" ",FIND("|",SUBSTITUTE($H546&amp;" "," ","|",1))+1,FIND("|",SUBSTITUTE($H546&amp;" "," ","|",2))-FIND("|",SUBSTITUTE($H546&amp;" "," ","|",1))-1),""))</f>
        <v/>
      </c>
      <c r="D546" s="58">
        <f>IF($H546="","",IFERROR(MID($H546&amp;" ",FIND("|",SUBSTITUTE($H546&amp;" "," ","|",2))+1,FIND("|",SUBSTITUTE($H546&amp;" "," ","|",3))-FIND("|",SUBSTITUTE($H546&amp;" "," ","|",2))-1),""))</f>
        <v/>
      </c>
      <c r="E546" s="58">
        <f>IF($H546="","",IFERROR(MID($H546&amp;" ",FIND("|",SUBSTITUTE($H546&amp;" "," ","|",3))+1,FIND("|",SUBSTITUTE($H546&amp;" "," ","|",4))-FIND("|",SUBSTITUTE($H546&amp;" "," ","|",3))-1),""))</f>
        <v/>
      </c>
      <c r="F546" s="59">
        <f>IF($H546="","",IFERROR(VALUE(IFERROR(MID($H546&amp;" ",FIND("|",SUBSTITUTE($H546&amp;" "," ","|",4))+1,FIND("|",SUBSTITUTE($H546&amp;" "," ","|",5))-FIND("|",SUBSTITUTE($H546&amp;" "," ","|",4))-1),""))/86400+25569+9/24,""))</f>
        <v/>
      </c>
      <c r="G546" s="58">
        <f>TRIM(SUBSTITUTE(SUBSTITUTE(SUBSTITUTE($A546,CHAR(9)," ")," "," "),CHAR(13),""))</f>
        <v/>
      </c>
      <c r="H546" s="58">
        <f>IF($G546="","",IF(ISNUMBER(FIND(" ",$G546)),$G546,IFERROR(IF((LEN(SUBSTITUTE(SUBSTITUTE($G546,"-"," ",LEN($G546)-LEN(SUBSTITUTE($G546,"-",""))),"-"," ",LEN($G546)-LEN(SUBSTITUTE($G546,"-",""))-1))-LEN(SUBSTITUTE(SUBSTITUTE(SUBSTITUTE($G546,"-"," ",LEN($G546)-LEN(SUBSTITUTE($G546,"-",""))),"-"," ",LEN($G546)-LEN(SUBSTITUTE($G546,"-",""))-1),".","")))=0,SUBSTITUTE(SUBSTITUTE($G546,"-"," ",LEN($G546)-LEN(SUBSTITUTE($G546,"-",""))),"-"," ",LEN($G546)-LEN(SUBSTITUTE($G546,"-",""))-1),SUBSTITUTE(SUBSTITUTE(SUBSTITUTE($G546,"-"," ",LEN($G546)-LEN(SUBSTITUTE($G546,"-",""))),"-"," ",LEN($G546)-LEN(SUBSTITUTE($G546,"-",""))-1),"."," ",(LEN(SUBSTITUTE(SUBSTITUTE($G546,"-"," ",LEN($G546)-LEN(SUBSTITUTE($G546,"-",""))),"-"," ",LEN($G546)-LEN(SUBSTITUTE($G546,"-",""))-1))-LEN(SUBSTITUTE(SUBSTITUTE(SUBSTITUTE($G546,"-"," ",LEN($G546)-LEN(SUBSTITUTE($G546,"-",""))),"-"," ",LEN($G546)-LEN(SUBSTITUTE($G546,"-",""))-1),".",""))))),$G546)))</f>
        <v/>
      </c>
    </row>
    <row r="547">
      <c r="A547" s="58" t="n"/>
      <c r="B547" s="58">
        <f>IF($H547="","",LEFT($H547,FIND(" ",$H547&amp;" ")-1))</f>
        <v/>
      </c>
      <c r="C547" s="58">
        <f>IF($H547="","",IFERROR(MID($H547&amp;" ",FIND("|",SUBSTITUTE($H547&amp;" "," ","|",1))+1,FIND("|",SUBSTITUTE($H547&amp;" "," ","|",2))-FIND("|",SUBSTITUTE($H547&amp;" "," ","|",1))-1),""))</f>
        <v/>
      </c>
      <c r="D547" s="58">
        <f>IF($H547="","",IFERROR(MID($H547&amp;" ",FIND("|",SUBSTITUTE($H547&amp;" "," ","|",2))+1,FIND("|",SUBSTITUTE($H547&amp;" "," ","|",3))-FIND("|",SUBSTITUTE($H547&amp;" "," ","|",2))-1),""))</f>
        <v/>
      </c>
      <c r="E547" s="58">
        <f>IF($H547="","",IFERROR(MID($H547&amp;" ",FIND("|",SUBSTITUTE($H547&amp;" "," ","|",3))+1,FIND("|",SUBSTITUTE($H547&amp;" "," ","|",4))-FIND("|",SUBSTITUTE($H547&amp;" "," ","|",3))-1),""))</f>
        <v/>
      </c>
      <c r="F547" s="59">
        <f>IF($H547="","",IFERROR(VALUE(IFERROR(MID($H547&amp;" ",FIND("|",SUBSTITUTE($H547&amp;" "," ","|",4))+1,FIND("|",SUBSTITUTE($H547&amp;" "," ","|",5))-FIND("|",SUBSTITUTE($H547&amp;" "," ","|",4))-1),""))/86400+25569+9/24,""))</f>
        <v/>
      </c>
      <c r="G547" s="58">
        <f>TRIM(SUBSTITUTE(SUBSTITUTE(SUBSTITUTE($A547,CHAR(9)," ")," "," "),CHAR(13),""))</f>
        <v/>
      </c>
      <c r="H547" s="58">
        <f>IF($G547="","",IF(ISNUMBER(FIND(" ",$G547)),$G547,IFERROR(IF((LEN(SUBSTITUTE(SUBSTITUTE($G547,"-"," ",LEN($G547)-LEN(SUBSTITUTE($G547,"-",""))),"-"," ",LEN($G547)-LEN(SUBSTITUTE($G547,"-",""))-1))-LEN(SUBSTITUTE(SUBSTITUTE(SUBSTITUTE($G547,"-"," ",LEN($G547)-LEN(SUBSTITUTE($G547,"-",""))),"-"," ",LEN($G547)-LEN(SUBSTITUTE($G547,"-",""))-1),".","")))=0,SUBSTITUTE(SUBSTITUTE($G547,"-"," ",LEN($G547)-LEN(SUBSTITUTE($G547,"-",""))),"-"," ",LEN($G547)-LEN(SUBSTITUTE($G547,"-",""))-1),SUBSTITUTE(SUBSTITUTE(SUBSTITUTE($G547,"-"," ",LEN($G547)-LEN(SUBSTITUTE($G547,"-",""))),"-"," ",LEN($G547)-LEN(SUBSTITUTE($G547,"-",""))-1),"."," ",(LEN(SUBSTITUTE(SUBSTITUTE($G547,"-"," ",LEN($G547)-LEN(SUBSTITUTE($G547,"-",""))),"-"," ",LEN($G547)-LEN(SUBSTITUTE($G547,"-",""))-1))-LEN(SUBSTITUTE(SUBSTITUTE(SUBSTITUTE($G547,"-"," ",LEN($G547)-LEN(SUBSTITUTE($G547,"-",""))),"-"," ",LEN($G547)-LEN(SUBSTITUTE($G547,"-",""))-1),".",""))))),$G547)))</f>
        <v/>
      </c>
    </row>
    <row r="548">
      <c r="A548" s="58" t="n"/>
      <c r="B548" s="58">
        <f>IF($H548="","",LEFT($H548,FIND(" ",$H548&amp;" ")-1))</f>
        <v/>
      </c>
      <c r="C548" s="58">
        <f>IF($H548="","",IFERROR(MID($H548&amp;" ",FIND("|",SUBSTITUTE($H548&amp;" "," ","|",1))+1,FIND("|",SUBSTITUTE($H548&amp;" "," ","|",2))-FIND("|",SUBSTITUTE($H548&amp;" "," ","|",1))-1),""))</f>
        <v/>
      </c>
      <c r="D548" s="58">
        <f>IF($H548="","",IFERROR(MID($H548&amp;" ",FIND("|",SUBSTITUTE($H548&amp;" "," ","|",2))+1,FIND("|",SUBSTITUTE($H548&amp;" "," ","|",3))-FIND("|",SUBSTITUTE($H548&amp;" "," ","|",2))-1),""))</f>
        <v/>
      </c>
      <c r="E548" s="58">
        <f>IF($H548="","",IFERROR(MID($H548&amp;" ",FIND("|",SUBSTITUTE($H548&amp;" "," ","|",3))+1,FIND("|",SUBSTITUTE($H548&amp;" "," ","|",4))-FIND("|",SUBSTITUTE($H548&amp;" "," ","|",3))-1),""))</f>
        <v/>
      </c>
      <c r="F548" s="59">
        <f>IF($H548="","",IFERROR(VALUE(IFERROR(MID($H548&amp;" ",FIND("|",SUBSTITUTE($H548&amp;" "," ","|",4))+1,FIND("|",SUBSTITUTE($H548&amp;" "," ","|",5))-FIND("|",SUBSTITUTE($H548&amp;" "," ","|",4))-1),""))/86400+25569+9/24,""))</f>
        <v/>
      </c>
      <c r="G548" s="58">
        <f>TRIM(SUBSTITUTE(SUBSTITUTE(SUBSTITUTE($A548,CHAR(9)," ")," "," "),CHAR(13),""))</f>
        <v/>
      </c>
      <c r="H548" s="58">
        <f>IF($G548="","",IF(ISNUMBER(FIND(" ",$G548)),$G548,IFERROR(IF((LEN(SUBSTITUTE(SUBSTITUTE($G548,"-"," ",LEN($G548)-LEN(SUBSTITUTE($G548,"-",""))),"-"," ",LEN($G548)-LEN(SUBSTITUTE($G548,"-",""))-1))-LEN(SUBSTITUTE(SUBSTITUTE(SUBSTITUTE($G548,"-"," ",LEN($G548)-LEN(SUBSTITUTE($G548,"-",""))),"-"," ",LEN($G548)-LEN(SUBSTITUTE($G548,"-",""))-1),".","")))=0,SUBSTITUTE(SUBSTITUTE($G548,"-"," ",LEN($G548)-LEN(SUBSTITUTE($G548,"-",""))),"-"," ",LEN($G548)-LEN(SUBSTITUTE($G548,"-",""))-1),SUBSTITUTE(SUBSTITUTE(SUBSTITUTE($G548,"-"," ",LEN($G548)-LEN(SUBSTITUTE($G548,"-",""))),"-"," ",LEN($G548)-LEN(SUBSTITUTE($G548,"-",""))-1),"."," ",(LEN(SUBSTITUTE(SUBSTITUTE($G548,"-"," ",LEN($G548)-LEN(SUBSTITUTE($G548,"-",""))),"-"," ",LEN($G548)-LEN(SUBSTITUTE($G548,"-",""))-1))-LEN(SUBSTITUTE(SUBSTITUTE(SUBSTITUTE($G548,"-"," ",LEN($G548)-LEN(SUBSTITUTE($G548,"-",""))),"-"," ",LEN($G548)-LEN(SUBSTITUTE($G548,"-",""))-1),".",""))))),$G548)))</f>
        <v/>
      </c>
    </row>
    <row r="549">
      <c r="A549" s="58" t="n"/>
      <c r="B549" s="58">
        <f>IF($H549="","",LEFT($H549,FIND(" ",$H549&amp;" ")-1))</f>
        <v/>
      </c>
      <c r="C549" s="58">
        <f>IF($H549="","",IFERROR(MID($H549&amp;" ",FIND("|",SUBSTITUTE($H549&amp;" "," ","|",1))+1,FIND("|",SUBSTITUTE($H549&amp;" "," ","|",2))-FIND("|",SUBSTITUTE($H549&amp;" "," ","|",1))-1),""))</f>
        <v/>
      </c>
      <c r="D549" s="58">
        <f>IF($H549="","",IFERROR(MID($H549&amp;" ",FIND("|",SUBSTITUTE($H549&amp;" "," ","|",2))+1,FIND("|",SUBSTITUTE($H549&amp;" "," ","|",3))-FIND("|",SUBSTITUTE($H549&amp;" "," ","|",2))-1),""))</f>
        <v/>
      </c>
      <c r="E549" s="58">
        <f>IF($H549="","",IFERROR(MID($H549&amp;" ",FIND("|",SUBSTITUTE($H549&amp;" "," ","|",3))+1,FIND("|",SUBSTITUTE($H549&amp;" "," ","|",4))-FIND("|",SUBSTITUTE($H549&amp;" "," ","|",3))-1),""))</f>
        <v/>
      </c>
      <c r="F549" s="59">
        <f>IF($H549="","",IFERROR(VALUE(IFERROR(MID($H549&amp;" ",FIND("|",SUBSTITUTE($H549&amp;" "," ","|",4))+1,FIND("|",SUBSTITUTE($H549&amp;" "," ","|",5))-FIND("|",SUBSTITUTE($H549&amp;" "," ","|",4))-1),""))/86400+25569+9/24,""))</f>
        <v/>
      </c>
      <c r="G549" s="58">
        <f>TRIM(SUBSTITUTE(SUBSTITUTE(SUBSTITUTE($A549,CHAR(9)," ")," "," "),CHAR(13),""))</f>
        <v/>
      </c>
      <c r="H549" s="58">
        <f>IF($G549="","",IF(ISNUMBER(FIND(" ",$G549)),$G549,IFERROR(IF((LEN(SUBSTITUTE(SUBSTITUTE($G549,"-"," ",LEN($G549)-LEN(SUBSTITUTE($G549,"-",""))),"-"," ",LEN($G549)-LEN(SUBSTITUTE($G549,"-",""))-1))-LEN(SUBSTITUTE(SUBSTITUTE(SUBSTITUTE($G549,"-"," ",LEN($G549)-LEN(SUBSTITUTE($G549,"-",""))),"-"," ",LEN($G549)-LEN(SUBSTITUTE($G549,"-",""))-1),".","")))=0,SUBSTITUTE(SUBSTITUTE($G549,"-"," ",LEN($G549)-LEN(SUBSTITUTE($G549,"-",""))),"-"," ",LEN($G549)-LEN(SUBSTITUTE($G549,"-",""))-1),SUBSTITUTE(SUBSTITUTE(SUBSTITUTE($G549,"-"," ",LEN($G549)-LEN(SUBSTITUTE($G549,"-",""))),"-"," ",LEN($G549)-LEN(SUBSTITUTE($G549,"-",""))-1),"."," ",(LEN(SUBSTITUTE(SUBSTITUTE($G549,"-"," ",LEN($G549)-LEN(SUBSTITUTE($G549,"-",""))),"-"," ",LEN($G549)-LEN(SUBSTITUTE($G549,"-",""))-1))-LEN(SUBSTITUTE(SUBSTITUTE(SUBSTITUTE($G549,"-"," ",LEN($G549)-LEN(SUBSTITUTE($G549,"-",""))),"-"," ",LEN($G549)-LEN(SUBSTITUTE($G549,"-",""))-1),".",""))))),$G549)))</f>
        <v/>
      </c>
    </row>
    <row r="550">
      <c r="A550" s="58" t="n"/>
      <c r="B550" s="58">
        <f>IF($H550="","",LEFT($H550,FIND(" ",$H550&amp;" ")-1))</f>
        <v/>
      </c>
      <c r="C550" s="58">
        <f>IF($H550="","",IFERROR(MID($H550&amp;" ",FIND("|",SUBSTITUTE($H550&amp;" "," ","|",1))+1,FIND("|",SUBSTITUTE($H550&amp;" "," ","|",2))-FIND("|",SUBSTITUTE($H550&amp;" "," ","|",1))-1),""))</f>
        <v/>
      </c>
      <c r="D550" s="58">
        <f>IF($H550="","",IFERROR(MID($H550&amp;" ",FIND("|",SUBSTITUTE($H550&amp;" "," ","|",2))+1,FIND("|",SUBSTITUTE($H550&amp;" "," ","|",3))-FIND("|",SUBSTITUTE($H550&amp;" "," ","|",2))-1),""))</f>
        <v/>
      </c>
      <c r="E550" s="58">
        <f>IF($H550="","",IFERROR(MID($H550&amp;" ",FIND("|",SUBSTITUTE($H550&amp;" "," ","|",3))+1,FIND("|",SUBSTITUTE($H550&amp;" "," ","|",4))-FIND("|",SUBSTITUTE($H550&amp;" "," ","|",3))-1),""))</f>
        <v/>
      </c>
      <c r="F550" s="59">
        <f>IF($H550="","",IFERROR(VALUE(IFERROR(MID($H550&amp;" ",FIND("|",SUBSTITUTE($H550&amp;" "," ","|",4))+1,FIND("|",SUBSTITUTE($H550&amp;" "," ","|",5))-FIND("|",SUBSTITUTE($H550&amp;" "," ","|",4))-1),""))/86400+25569+9/24,""))</f>
        <v/>
      </c>
      <c r="G550" s="58">
        <f>TRIM(SUBSTITUTE(SUBSTITUTE(SUBSTITUTE($A550,CHAR(9)," ")," "," "),CHAR(13),""))</f>
        <v/>
      </c>
      <c r="H550" s="58">
        <f>IF($G550="","",IF(ISNUMBER(FIND(" ",$G550)),$G550,IFERROR(IF((LEN(SUBSTITUTE(SUBSTITUTE($G550,"-"," ",LEN($G550)-LEN(SUBSTITUTE($G550,"-",""))),"-"," ",LEN($G550)-LEN(SUBSTITUTE($G550,"-",""))-1))-LEN(SUBSTITUTE(SUBSTITUTE(SUBSTITUTE($G550,"-"," ",LEN($G550)-LEN(SUBSTITUTE($G550,"-",""))),"-"," ",LEN($G550)-LEN(SUBSTITUTE($G550,"-",""))-1),".","")))=0,SUBSTITUTE(SUBSTITUTE($G550,"-"," ",LEN($G550)-LEN(SUBSTITUTE($G550,"-",""))),"-"," ",LEN($G550)-LEN(SUBSTITUTE($G550,"-",""))-1),SUBSTITUTE(SUBSTITUTE(SUBSTITUTE($G550,"-"," ",LEN($G550)-LEN(SUBSTITUTE($G550,"-",""))),"-"," ",LEN($G550)-LEN(SUBSTITUTE($G550,"-",""))-1),"."," ",(LEN(SUBSTITUTE(SUBSTITUTE($G550,"-"," ",LEN($G550)-LEN(SUBSTITUTE($G550,"-",""))),"-"," ",LEN($G550)-LEN(SUBSTITUTE($G550,"-",""))-1))-LEN(SUBSTITUTE(SUBSTITUTE(SUBSTITUTE($G550,"-"," ",LEN($G550)-LEN(SUBSTITUTE($G550,"-",""))),"-"," ",LEN($G550)-LEN(SUBSTITUTE($G550,"-",""))-1),".",""))))),$G550)))</f>
        <v/>
      </c>
    </row>
    <row r="551">
      <c r="A551" s="58" t="n"/>
      <c r="B551" s="58">
        <f>IF($H551="","",LEFT($H551,FIND(" ",$H551&amp;" ")-1))</f>
        <v/>
      </c>
      <c r="C551" s="58">
        <f>IF($H551="","",IFERROR(MID($H551&amp;" ",FIND("|",SUBSTITUTE($H551&amp;" "," ","|",1))+1,FIND("|",SUBSTITUTE($H551&amp;" "," ","|",2))-FIND("|",SUBSTITUTE($H551&amp;" "," ","|",1))-1),""))</f>
        <v/>
      </c>
      <c r="D551" s="58">
        <f>IF($H551="","",IFERROR(MID($H551&amp;" ",FIND("|",SUBSTITUTE($H551&amp;" "," ","|",2))+1,FIND("|",SUBSTITUTE($H551&amp;" "," ","|",3))-FIND("|",SUBSTITUTE($H551&amp;" "," ","|",2))-1),""))</f>
        <v/>
      </c>
      <c r="E551" s="58">
        <f>IF($H551="","",IFERROR(MID($H551&amp;" ",FIND("|",SUBSTITUTE($H551&amp;" "," ","|",3))+1,FIND("|",SUBSTITUTE($H551&amp;" "," ","|",4))-FIND("|",SUBSTITUTE($H551&amp;" "," ","|",3))-1),""))</f>
        <v/>
      </c>
      <c r="F551" s="59">
        <f>IF($H551="","",IFERROR(VALUE(IFERROR(MID($H551&amp;" ",FIND("|",SUBSTITUTE($H551&amp;" "," ","|",4))+1,FIND("|",SUBSTITUTE($H551&amp;" "," ","|",5))-FIND("|",SUBSTITUTE($H551&amp;" "," ","|",4))-1),""))/86400+25569+9/24,""))</f>
        <v/>
      </c>
      <c r="G551" s="58">
        <f>TRIM(SUBSTITUTE(SUBSTITUTE(SUBSTITUTE($A551,CHAR(9)," ")," "," "),CHAR(13),""))</f>
        <v/>
      </c>
      <c r="H551" s="58">
        <f>IF($G551="","",IF(ISNUMBER(FIND(" ",$G551)),$G551,IFERROR(IF((LEN(SUBSTITUTE(SUBSTITUTE($G551,"-"," ",LEN($G551)-LEN(SUBSTITUTE($G551,"-",""))),"-"," ",LEN($G551)-LEN(SUBSTITUTE($G551,"-",""))-1))-LEN(SUBSTITUTE(SUBSTITUTE(SUBSTITUTE($G551,"-"," ",LEN($G551)-LEN(SUBSTITUTE($G551,"-",""))),"-"," ",LEN($G551)-LEN(SUBSTITUTE($G551,"-",""))-1),".","")))=0,SUBSTITUTE(SUBSTITUTE($G551,"-"," ",LEN($G551)-LEN(SUBSTITUTE($G551,"-",""))),"-"," ",LEN($G551)-LEN(SUBSTITUTE($G551,"-",""))-1),SUBSTITUTE(SUBSTITUTE(SUBSTITUTE($G551,"-"," ",LEN($G551)-LEN(SUBSTITUTE($G551,"-",""))),"-"," ",LEN($G551)-LEN(SUBSTITUTE($G551,"-",""))-1),"."," ",(LEN(SUBSTITUTE(SUBSTITUTE($G551,"-"," ",LEN($G551)-LEN(SUBSTITUTE($G551,"-",""))),"-"," ",LEN($G551)-LEN(SUBSTITUTE($G551,"-",""))-1))-LEN(SUBSTITUTE(SUBSTITUTE(SUBSTITUTE($G551,"-"," ",LEN($G551)-LEN(SUBSTITUTE($G551,"-",""))),"-"," ",LEN($G551)-LEN(SUBSTITUTE($G551,"-",""))-1),".",""))))),$G551)))</f>
        <v/>
      </c>
    </row>
    <row r="552">
      <c r="A552" s="58" t="n"/>
      <c r="B552" s="58">
        <f>IF($H552="","",LEFT($H552,FIND(" ",$H552&amp;" ")-1))</f>
        <v/>
      </c>
      <c r="C552" s="58">
        <f>IF($H552="","",IFERROR(MID($H552&amp;" ",FIND("|",SUBSTITUTE($H552&amp;" "," ","|",1))+1,FIND("|",SUBSTITUTE($H552&amp;" "," ","|",2))-FIND("|",SUBSTITUTE($H552&amp;" "," ","|",1))-1),""))</f>
        <v/>
      </c>
      <c r="D552" s="58">
        <f>IF($H552="","",IFERROR(MID($H552&amp;" ",FIND("|",SUBSTITUTE($H552&amp;" "," ","|",2))+1,FIND("|",SUBSTITUTE($H552&amp;" "," ","|",3))-FIND("|",SUBSTITUTE($H552&amp;" "," ","|",2))-1),""))</f>
        <v/>
      </c>
      <c r="E552" s="58">
        <f>IF($H552="","",IFERROR(MID($H552&amp;" ",FIND("|",SUBSTITUTE($H552&amp;" "," ","|",3))+1,FIND("|",SUBSTITUTE($H552&amp;" "," ","|",4))-FIND("|",SUBSTITUTE($H552&amp;" "," ","|",3))-1),""))</f>
        <v/>
      </c>
      <c r="F552" s="59">
        <f>IF($H552="","",IFERROR(VALUE(IFERROR(MID($H552&amp;" ",FIND("|",SUBSTITUTE($H552&amp;" "," ","|",4))+1,FIND("|",SUBSTITUTE($H552&amp;" "," ","|",5))-FIND("|",SUBSTITUTE($H552&amp;" "," ","|",4))-1),""))/86400+25569+9/24,""))</f>
        <v/>
      </c>
      <c r="G552" s="58">
        <f>TRIM(SUBSTITUTE(SUBSTITUTE(SUBSTITUTE($A552,CHAR(9)," ")," "," "),CHAR(13),""))</f>
        <v/>
      </c>
      <c r="H552" s="58">
        <f>IF($G552="","",IF(ISNUMBER(FIND(" ",$G552)),$G552,IFERROR(IF((LEN(SUBSTITUTE(SUBSTITUTE($G552,"-"," ",LEN($G552)-LEN(SUBSTITUTE($G552,"-",""))),"-"," ",LEN($G552)-LEN(SUBSTITUTE($G552,"-",""))-1))-LEN(SUBSTITUTE(SUBSTITUTE(SUBSTITUTE($G552,"-"," ",LEN($G552)-LEN(SUBSTITUTE($G552,"-",""))),"-"," ",LEN($G552)-LEN(SUBSTITUTE($G552,"-",""))-1),".","")))=0,SUBSTITUTE(SUBSTITUTE($G552,"-"," ",LEN($G552)-LEN(SUBSTITUTE($G552,"-",""))),"-"," ",LEN($G552)-LEN(SUBSTITUTE($G552,"-",""))-1),SUBSTITUTE(SUBSTITUTE(SUBSTITUTE($G552,"-"," ",LEN($G552)-LEN(SUBSTITUTE($G552,"-",""))),"-"," ",LEN($G552)-LEN(SUBSTITUTE($G552,"-",""))-1),"."," ",(LEN(SUBSTITUTE(SUBSTITUTE($G552,"-"," ",LEN($G552)-LEN(SUBSTITUTE($G552,"-",""))),"-"," ",LEN($G552)-LEN(SUBSTITUTE($G552,"-",""))-1))-LEN(SUBSTITUTE(SUBSTITUTE(SUBSTITUTE($G552,"-"," ",LEN($G552)-LEN(SUBSTITUTE($G552,"-",""))),"-"," ",LEN($G552)-LEN(SUBSTITUTE($G552,"-",""))-1),".",""))))),$G552)))</f>
        <v/>
      </c>
    </row>
    <row r="553">
      <c r="A553" s="58" t="n"/>
      <c r="B553" s="58">
        <f>IF($H553="","",LEFT($H553,FIND(" ",$H553&amp;" ")-1))</f>
        <v/>
      </c>
      <c r="C553" s="58">
        <f>IF($H553="","",IFERROR(MID($H553&amp;" ",FIND("|",SUBSTITUTE($H553&amp;" "," ","|",1))+1,FIND("|",SUBSTITUTE($H553&amp;" "," ","|",2))-FIND("|",SUBSTITUTE($H553&amp;" "," ","|",1))-1),""))</f>
        <v/>
      </c>
      <c r="D553" s="58">
        <f>IF($H553="","",IFERROR(MID($H553&amp;" ",FIND("|",SUBSTITUTE($H553&amp;" "," ","|",2))+1,FIND("|",SUBSTITUTE($H553&amp;" "," ","|",3))-FIND("|",SUBSTITUTE($H553&amp;" "," ","|",2))-1),""))</f>
        <v/>
      </c>
      <c r="E553" s="58">
        <f>IF($H553="","",IFERROR(MID($H553&amp;" ",FIND("|",SUBSTITUTE($H553&amp;" "," ","|",3))+1,FIND("|",SUBSTITUTE($H553&amp;" "," ","|",4))-FIND("|",SUBSTITUTE($H553&amp;" "," ","|",3))-1),""))</f>
        <v/>
      </c>
      <c r="F553" s="59">
        <f>IF($H553="","",IFERROR(VALUE(IFERROR(MID($H553&amp;" ",FIND("|",SUBSTITUTE($H553&amp;" "," ","|",4))+1,FIND("|",SUBSTITUTE($H553&amp;" "," ","|",5))-FIND("|",SUBSTITUTE($H553&amp;" "," ","|",4))-1),""))/86400+25569+9/24,""))</f>
        <v/>
      </c>
      <c r="G553" s="58">
        <f>TRIM(SUBSTITUTE(SUBSTITUTE(SUBSTITUTE($A553,CHAR(9)," ")," "," "),CHAR(13),""))</f>
        <v/>
      </c>
      <c r="H553" s="58">
        <f>IF($G553="","",IF(ISNUMBER(FIND(" ",$G553)),$G553,IFERROR(IF((LEN(SUBSTITUTE(SUBSTITUTE($G553,"-"," ",LEN($G553)-LEN(SUBSTITUTE($G553,"-",""))),"-"," ",LEN($G553)-LEN(SUBSTITUTE($G553,"-",""))-1))-LEN(SUBSTITUTE(SUBSTITUTE(SUBSTITUTE($G553,"-"," ",LEN($G553)-LEN(SUBSTITUTE($G553,"-",""))),"-"," ",LEN($G553)-LEN(SUBSTITUTE($G553,"-",""))-1),".","")))=0,SUBSTITUTE(SUBSTITUTE($G553,"-"," ",LEN($G553)-LEN(SUBSTITUTE($G553,"-",""))),"-"," ",LEN($G553)-LEN(SUBSTITUTE($G553,"-",""))-1),SUBSTITUTE(SUBSTITUTE(SUBSTITUTE($G553,"-"," ",LEN($G553)-LEN(SUBSTITUTE($G553,"-",""))),"-"," ",LEN($G553)-LEN(SUBSTITUTE($G553,"-",""))-1),"."," ",(LEN(SUBSTITUTE(SUBSTITUTE($G553,"-"," ",LEN($G553)-LEN(SUBSTITUTE($G553,"-",""))),"-"," ",LEN($G553)-LEN(SUBSTITUTE($G553,"-",""))-1))-LEN(SUBSTITUTE(SUBSTITUTE(SUBSTITUTE($G553,"-"," ",LEN($G553)-LEN(SUBSTITUTE($G553,"-",""))),"-"," ",LEN($G553)-LEN(SUBSTITUTE($G553,"-",""))-1),".",""))))),$G553)))</f>
        <v/>
      </c>
    </row>
    <row r="554">
      <c r="A554" s="58" t="n"/>
      <c r="B554" s="58">
        <f>IF($H554="","",LEFT($H554,FIND(" ",$H554&amp;" ")-1))</f>
        <v/>
      </c>
      <c r="C554" s="58">
        <f>IF($H554="","",IFERROR(MID($H554&amp;" ",FIND("|",SUBSTITUTE($H554&amp;" "," ","|",1))+1,FIND("|",SUBSTITUTE($H554&amp;" "," ","|",2))-FIND("|",SUBSTITUTE($H554&amp;" "," ","|",1))-1),""))</f>
        <v/>
      </c>
      <c r="D554" s="58">
        <f>IF($H554="","",IFERROR(MID($H554&amp;" ",FIND("|",SUBSTITUTE($H554&amp;" "," ","|",2))+1,FIND("|",SUBSTITUTE($H554&amp;" "," ","|",3))-FIND("|",SUBSTITUTE($H554&amp;" "," ","|",2))-1),""))</f>
        <v/>
      </c>
      <c r="E554" s="58">
        <f>IF($H554="","",IFERROR(MID($H554&amp;" ",FIND("|",SUBSTITUTE($H554&amp;" "," ","|",3))+1,FIND("|",SUBSTITUTE($H554&amp;" "," ","|",4))-FIND("|",SUBSTITUTE($H554&amp;" "," ","|",3))-1),""))</f>
        <v/>
      </c>
      <c r="F554" s="59">
        <f>IF($H554="","",IFERROR(VALUE(IFERROR(MID($H554&amp;" ",FIND("|",SUBSTITUTE($H554&amp;" "," ","|",4))+1,FIND("|",SUBSTITUTE($H554&amp;" "," ","|",5))-FIND("|",SUBSTITUTE($H554&amp;" "," ","|",4))-1),""))/86400+25569+9/24,""))</f>
        <v/>
      </c>
      <c r="G554" s="58">
        <f>TRIM(SUBSTITUTE(SUBSTITUTE(SUBSTITUTE($A554,CHAR(9)," ")," "," "),CHAR(13),""))</f>
        <v/>
      </c>
      <c r="H554" s="58">
        <f>IF($G554="","",IF(ISNUMBER(FIND(" ",$G554)),$G554,IFERROR(IF((LEN(SUBSTITUTE(SUBSTITUTE($G554,"-"," ",LEN($G554)-LEN(SUBSTITUTE($G554,"-",""))),"-"," ",LEN($G554)-LEN(SUBSTITUTE($G554,"-",""))-1))-LEN(SUBSTITUTE(SUBSTITUTE(SUBSTITUTE($G554,"-"," ",LEN($G554)-LEN(SUBSTITUTE($G554,"-",""))),"-"," ",LEN($G554)-LEN(SUBSTITUTE($G554,"-",""))-1),".","")))=0,SUBSTITUTE(SUBSTITUTE($G554,"-"," ",LEN($G554)-LEN(SUBSTITUTE($G554,"-",""))),"-"," ",LEN($G554)-LEN(SUBSTITUTE($G554,"-",""))-1),SUBSTITUTE(SUBSTITUTE(SUBSTITUTE($G554,"-"," ",LEN($G554)-LEN(SUBSTITUTE($G554,"-",""))),"-"," ",LEN($G554)-LEN(SUBSTITUTE($G554,"-",""))-1),"."," ",(LEN(SUBSTITUTE(SUBSTITUTE($G554,"-"," ",LEN($G554)-LEN(SUBSTITUTE($G554,"-",""))),"-"," ",LEN($G554)-LEN(SUBSTITUTE($G554,"-",""))-1))-LEN(SUBSTITUTE(SUBSTITUTE(SUBSTITUTE($G554,"-"," ",LEN($G554)-LEN(SUBSTITUTE($G554,"-",""))),"-"," ",LEN($G554)-LEN(SUBSTITUTE($G554,"-",""))-1),".",""))))),$G554)))</f>
        <v/>
      </c>
    </row>
    <row r="555">
      <c r="A555" s="58" t="n"/>
      <c r="B555" s="58">
        <f>IF($H555="","",LEFT($H555,FIND(" ",$H555&amp;" ")-1))</f>
        <v/>
      </c>
      <c r="C555" s="58">
        <f>IF($H555="","",IFERROR(MID($H555&amp;" ",FIND("|",SUBSTITUTE($H555&amp;" "," ","|",1))+1,FIND("|",SUBSTITUTE($H555&amp;" "," ","|",2))-FIND("|",SUBSTITUTE($H555&amp;" "," ","|",1))-1),""))</f>
        <v/>
      </c>
      <c r="D555" s="58">
        <f>IF($H555="","",IFERROR(MID($H555&amp;" ",FIND("|",SUBSTITUTE($H555&amp;" "," ","|",2))+1,FIND("|",SUBSTITUTE($H555&amp;" "," ","|",3))-FIND("|",SUBSTITUTE($H555&amp;" "," ","|",2))-1),""))</f>
        <v/>
      </c>
      <c r="E555" s="58">
        <f>IF($H555="","",IFERROR(MID($H555&amp;" ",FIND("|",SUBSTITUTE($H555&amp;" "," ","|",3))+1,FIND("|",SUBSTITUTE($H555&amp;" "," ","|",4))-FIND("|",SUBSTITUTE($H555&amp;" "," ","|",3))-1),""))</f>
        <v/>
      </c>
      <c r="F555" s="59">
        <f>IF($H555="","",IFERROR(VALUE(IFERROR(MID($H555&amp;" ",FIND("|",SUBSTITUTE($H555&amp;" "," ","|",4))+1,FIND("|",SUBSTITUTE($H555&amp;" "," ","|",5))-FIND("|",SUBSTITUTE($H555&amp;" "," ","|",4))-1),""))/86400+25569+9/24,""))</f>
        <v/>
      </c>
      <c r="G555" s="58">
        <f>TRIM(SUBSTITUTE(SUBSTITUTE(SUBSTITUTE($A555,CHAR(9)," ")," "," "),CHAR(13),""))</f>
        <v/>
      </c>
      <c r="H555" s="58">
        <f>IF($G555="","",IF(ISNUMBER(FIND(" ",$G555)),$G555,IFERROR(IF((LEN(SUBSTITUTE(SUBSTITUTE($G555,"-"," ",LEN($G555)-LEN(SUBSTITUTE($G555,"-",""))),"-"," ",LEN($G555)-LEN(SUBSTITUTE($G555,"-",""))-1))-LEN(SUBSTITUTE(SUBSTITUTE(SUBSTITUTE($G555,"-"," ",LEN($G555)-LEN(SUBSTITUTE($G555,"-",""))),"-"," ",LEN($G555)-LEN(SUBSTITUTE($G555,"-",""))-1),".","")))=0,SUBSTITUTE(SUBSTITUTE($G555,"-"," ",LEN($G555)-LEN(SUBSTITUTE($G555,"-",""))),"-"," ",LEN($G555)-LEN(SUBSTITUTE($G555,"-",""))-1),SUBSTITUTE(SUBSTITUTE(SUBSTITUTE($G555,"-"," ",LEN($G555)-LEN(SUBSTITUTE($G555,"-",""))),"-"," ",LEN($G555)-LEN(SUBSTITUTE($G555,"-",""))-1),"."," ",(LEN(SUBSTITUTE(SUBSTITUTE($G555,"-"," ",LEN($G555)-LEN(SUBSTITUTE($G555,"-",""))),"-"," ",LEN($G555)-LEN(SUBSTITUTE($G555,"-",""))-1))-LEN(SUBSTITUTE(SUBSTITUTE(SUBSTITUTE($G555,"-"," ",LEN($G555)-LEN(SUBSTITUTE($G555,"-",""))),"-"," ",LEN($G555)-LEN(SUBSTITUTE($G555,"-",""))-1),".",""))))),$G555)))</f>
        <v/>
      </c>
    </row>
    <row r="556">
      <c r="A556" s="58" t="n"/>
      <c r="B556" s="58">
        <f>IF($H556="","",LEFT($H556,FIND(" ",$H556&amp;" ")-1))</f>
        <v/>
      </c>
      <c r="C556" s="58">
        <f>IF($H556="","",IFERROR(MID($H556&amp;" ",FIND("|",SUBSTITUTE($H556&amp;" "," ","|",1))+1,FIND("|",SUBSTITUTE($H556&amp;" "," ","|",2))-FIND("|",SUBSTITUTE($H556&amp;" "," ","|",1))-1),""))</f>
        <v/>
      </c>
      <c r="D556" s="58">
        <f>IF($H556="","",IFERROR(MID($H556&amp;" ",FIND("|",SUBSTITUTE($H556&amp;" "," ","|",2))+1,FIND("|",SUBSTITUTE($H556&amp;" "," ","|",3))-FIND("|",SUBSTITUTE($H556&amp;" "," ","|",2))-1),""))</f>
        <v/>
      </c>
      <c r="E556" s="58">
        <f>IF($H556="","",IFERROR(MID($H556&amp;" ",FIND("|",SUBSTITUTE($H556&amp;" "," ","|",3))+1,FIND("|",SUBSTITUTE($H556&amp;" "," ","|",4))-FIND("|",SUBSTITUTE($H556&amp;" "," ","|",3))-1),""))</f>
        <v/>
      </c>
      <c r="F556" s="59">
        <f>IF($H556="","",IFERROR(VALUE(IFERROR(MID($H556&amp;" ",FIND("|",SUBSTITUTE($H556&amp;" "," ","|",4))+1,FIND("|",SUBSTITUTE($H556&amp;" "," ","|",5))-FIND("|",SUBSTITUTE($H556&amp;" "," ","|",4))-1),""))/86400+25569+9/24,""))</f>
        <v/>
      </c>
      <c r="G556" s="58">
        <f>TRIM(SUBSTITUTE(SUBSTITUTE(SUBSTITUTE($A556,CHAR(9)," ")," "," "),CHAR(13),""))</f>
        <v/>
      </c>
      <c r="H556" s="58">
        <f>IF($G556="","",IF(ISNUMBER(FIND(" ",$G556)),$G556,IFERROR(IF((LEN(SUBSTITUTE(SUBSTITUTE($G556,"-"," ",LEN($G556)-LEN(SUBSTITUTE($G556,"-",""))),"-"," ",LEN($G556)-LEN(SUBSTITUTE($G556,"-",""))-1))-LEN(SUBSTITUTE(SUBSTITUTE(SUBSTITUTE($G556,"-"," ",LEN($G556)-LEN(SUBSTITUTE($G556,"-",""))),"-"," ",LEN($G556)-LEN(SUBSTITUTE($G556,"-",""))-1),".","")))=0,SUBSTITUTE(SUBSTITUTE($G556,"-"," ",LEN($G556)-LEN(SUBSTITUTE($G556,"-",""))),"-"," ",LEN($G556)-LEN(SUBSTITUTE($G556,"-",""))-1),SUBSTITUTE(SUBSTITUTE(SUBSTITUTE($G556,"-"," ",LEN($G556)-LEN(SUBSTITUTE($G556,"-",""))),"-"," ",LEN($G556)-LEN(SUBSTITUTE($G556,"-",""))-1),"."," ",(LEN(SUBSTITUTE(SUBSTITUTE($G556,"-"," ",LEN($G556)-LEN(SUBSTITUTE($G556,"-",""))),"-"," ",LEN($G556)-LEN(SUBSTITUTE($G556,"-",""))-1))-LEN(SUBSTITUTE(SUBSTITUTE(SUBSTITUTE($G556,"-"," ",LEN($G556)-LEN(SUBSTITUTE($G556,"-",""))),"-"," ",LEN($G556)-LEN(SUBSTITUTE($G556,"-",""))-1),".",""))))),$G556)))</f>
        <v/>
      </c>
    </row>
    <row r="557">
      <c r="A557" s="58" t="n"/>
      <c r="B557" s="58">
        <f>IF($H557="","",LEFT($H557,FIND(" ",$H557&amp;" ")-1))</f>
        <v/>
      </c>
      <c r="C557" s="58">
        <f>IF($H557="","",IFERROR(MID($H557&amp;" ",FIND("|",SUBSTITUTE($H557&amp;" "," ","|",1))+1,FIND("|",SUBSTITUTE($H557&amp;" "," ","|",2))-FIND("|",SUBSTITUTE($H557&amp;" "," ","|",1))-1),""))</f>
        <v/>
      </c>
      <c r="D557" s="58">
        <f>IF($H557="","",IFERROR(MID($H557&amp;" ",FIND("|",SUBSTITUTE($H557&amp;" "," ","|",2))+1,FIND("|",SUBSTITUTE($H557&amp;" "," ","|",3))-FIND("|",SUBSTITUTE($H557&amp;" "," ","|",2))-1),""))</f>
        <v/>
      </c>
      <c r="E557" s="58">
        <f>IF($H557="","",IFERROR(MID($H557&amp;" ",FIND("|",SUBSTITUTE($H557&amp;" "," ","|",3))+1,FIND("|",SUBSTITUTE($H557&amp;" "," ","|",4))-FIND("|",SUBSTITUTE($H557&amp;" "," ","|",3))-1),""))</f>
        <v/>
      </c>
      <c r="F557" s="59">
        <f>IF($H557="","",IFERROR(VALUE(IFERROR(MID($H557&amp;" ",FIND("|",SUBSTITUTE($H557&amp;" "," ","|",4))+1,FIND("|",SUBSTITUTE($H557&amp;" "," ","|",5))-FIND("|",SUBSTITUTE($H557&amp;" "," ","|",4))-1),""))/86400+25569+9/24,""))</f>
        <v/>
      </c>
      <c r="G557" s="58">
        <f>TRIM(SUBSTITUTE(SUBSTITUTE(SUBSTITUTE($A557,CHAR(9)," ")," "," "),CHAR(13),""))</f>
        <v/>
      </c>
      <c r="H557" s="58">
        <f>IF($G557="","",IF(ISNUMBER(FIND(" ",$G557)),$G557,IFERROR(IF((LEN(SUBSTITUTE(SUBSTITUTE($G557,"-"," ",LEN($G557)-LEN(SUBSTITUTE($G557,"-",""))),"-"," ",LEN($G557)-LEN(SUBSTITUTE($G557,"-",""))-1))-LEN(SUBSTITUTE(SUBSTITUTE(SUBSTITUTE($G557,"-"," ",LEN($G557)-LEN(SUBSTITUTE($G557,"-",""))),"-"," ",LEN($G557)-LEN(SUBSTITUTE($G557,"-",""))-1),".","")))=0,SUBSTITUTE(SUBSTITUTE($G557,"-"," ",LEN($G557)-LEN(SUBSTITUTE($G557,"-",""))),"-"," ",LEN($G557)-LEN(SUBSTITUTE($G557,"-",""))-1),SUBSTITUTE(SUBSTITUTE(SUBSTITUTE($G557,"-"," ",LEN($G557)-LEN(SUBSTITUTE($G557,"-",""))),"-"," ",LEN($G557)-LEN(SUBSTITUTE($G557,"-",""))-1),"."," ",(LEN(SUBSTITUTE(SUBSTITUTE($G557,"-"," ",LEN($G557)-LEN(SUBSTITUTE($G557,"-",""))),"-"," ",LEN($G557)-LEN(SUBSTITUTE($G557,"-",""))-1))-LEN(SUBSTITUTE(SUBSTITUTE(SUBSTITUTE($G557,"-"," ",LEN($G557)-LEN(SUBSTITUTE($G557,"-",""))),"-"," ",LEN($G557)-LEN(SUBSTITUTE($G557,"-",""))-1),".",""))))),$G557)))</f>
        <v/>
      </c>
    </row>
    <row r="558">
      <c r="A558" s="58" t="n"/>
      <c r="B558" s="58">
        <f>IF($H558="","",LEFT($H558,FIND(" ",$H558&amp;" ")-1))</f>
        <v/>
      </c>
      <c r="C558" s="58">
        <f>IF($H558="","",IFERROR(MID($H558&amp;" ",FIND("|",SUBSTITUTE($H558&amp;" "," ","|",1))+1,FIND("|",SUBSTITUTE($H558&amp;" "," ","|",2))-FIND("|",SUBSTITUTE($H558&amp;" "," ","|",1))-1),""))</f>
        <v/>
      </c>
      <c r="D558" s="58">
        <f>IF($H558="","",IFERROR(MID($H558&amp;" ",FIND("|",SUBSTITUTE($H558&amp;" "," ","|",2))+1,FIND("|",SUBSTITUTE($H558&amp;" "," ","|",3))-FIND("|",SUBSTITUTE($H558&amp;" "," ","|",2))-1),""))</f>
        <v/>
      </c>
      <c r="E558" s="58">
        <f>IF($H558="","",IFERROR(MID($H558&amp;" ",FIND("|",SUBSTITUTE($H558&amp;" "," ","|",3))+1,FIND("|",SUBSTITUTE($H558&amp;" "," ","|",4))-FIND("|",SUBSTITUTE($H558&amp;" "," ","|",3))-1),""))</f>
        <v/>
      </c>
      <c r="F558" s="59">
        <f>IF($H558="","",IFERROR(VALUE(IFERROR(MID($H558&amp;" ",FIND("|",SUBSTITUTE($H558&amp;" "," ","|",4))+1,FIND("|",SUBSTITUTE($H558&amp;" "," ","|",5))-FIND("|",SUBSTITUTE($H558&amp;" "," ","|",4))-1),""))/86400+25569+9/24,""))</f>
        <v/>
      </c>
      <c r="G558" s="58">
        <f>TRIM(SUBSTITUTE(SUBSTITUTE(SUBSTITUTE($A558,CHAR(9)," ")," "," "),CHAR(13),""))</f>
        <v/>
      </c>
      <c r="H558" s="58">
        <f>IF($G558="","",IF(ISNUMBER(FIND(" ",$G558)),$G558,IFERROR(IF((LEN(SUBSTITUTE(SUBSTITUTE($G558,"-"," ",LEN($G558)-LEN(SUBSTITUTE($G558,"-",""))),"-"," ",LEN($G558)-LEN(SUBSTITUTE($G558,"-",""))-1))-LEN(SUBSTITUTE(SUBSTITUTE(SUBSTITUTE($G558,"-"," ",LEN($G558)-LEN(SUBSTITUTE($G558,"-",""))),"-"," ",LEN($G558)-LEN(SUBSTITUTE($G558,"-",""))-1),".","")))=0,SUBSTITUTE(SUBSTITUTE($G558,"-"," ",LEN($G558)-LEN(SUBSTITUTE($G558,"-",""))),"-"," ",LEN($G558)-LEN(SUBSTITUTE($G558,"-",""))-1),SUBSTITUTE(SUBSTITUTE(SUBSTITUTE($G558,"-"," ",LEN($G558)-LEN(SUBSTITUTE($G558,"-",""))),"-"," ",LEN($G558)-LEN(SUBSTITUTE($G558,"-",""))-1),"."," ",(LEN(SUBSTITUTE(SUBSTITUTE($G558,"-"," ",LEN($G558)-LEN(SUBSTITUTE($G558,"-",""))),"-"," ",LEN($G558)-LEN(SUBSTITUTE($G558,"-",""))-1))-LEN(SUBSTITUTE(SUBSTITUTE(SUBSTITUTE($G558,"-"," ",LEN($G558)-LEN(SUBSTITUTE($G558,"-",""))),"-"," ",LEN($G558)-LEN(SUBSTITUTE($G558,"-",""))-1),".",""))))),$G558)))</f>
        <v/>
      </c>
    </row>
    <row r="559">
      <c r="A559" s="58" t="n"/>
      <c r="B559" s="58">
        <f>IF($H559="","",LEFT($H559,FIND(" ",$H559&amp;" ")-1))</f>
        <v/>
      </c>
      <c r="C559" s="58">
        <f>IF($H559="","",IFERROR(MID($H559&amp;" ",FIND("|",SUBSTITUTE($H559&amp;" "," ","|",1))+1,FIND("|",SUBSTITUTE($H559&amp;" "," ","|",2))-FIND("|",SUBSTITUTE($H559&amp;" "," ","|",1))-1),""))</f>
        <v/>
      </c>
      <c r="D559" s="58">
        <f>IF($H559="","",IFERROR(MID($H559&amp;" ",FIND("|",SUBSTITUTE($H559&amp;" "," ","|",2))+1,FIND("|",SUBSTITUTE($H559&amp;" "," ","|",3))-FIND("|",SUBSTITUTE($H559&amp;" "," ","|",2))-1),""))</f>
        <v/>
      </c>
      <c r="E559" s="58">
        <f>IF($H559="","",IFERROR(MID($H559&amp;" ",FIND("|",SUBSTITUTE($H559&amp;" "," ","|",3))+1,FIND("|",SUBSTITUTE($H559&amp;" "," ","|",4))-FIND("|",SUBSTITUTE($H559&amp;" "," ","|",3))-1),""))</f>
        <v/>
      </c>
      <c r="F559" s="59">
        <f>IF($H559="","",IFERROR(VALUE(IFERROR(MID($H559&amp;" ",FIND("|",SUBSTITUTE($H559&amp;" "," ","|",4))+1,FIND("|",SUBSTITUTE($H559&amp;" "," ","|",5))-FIND("|",SUBSTITUTE($H559&amp;" "," ","|",4))-1),""))/86400+25569+9/24,""))</f>
        <v/>
      </c>
      <c r="G559" s="58">
        <f>TRIM(SUBSTITUTE(SUBSTITUTE(SUBSTITUTE($A559,CHAR(9)," ")," "," "),CHAR(13),""))</f>
        <v/>
      </c>
      <c r="H559" s="58">
        <f>IF($G559="","",IF(ISNUMBER(FIND(" ",$G559)),$G559,IFERROR(IF((LEN(SUBSTITUTE(SUBSTITUTE($G559,"-"," ",LEN($G559)-LEN(SUBSTITUTE($G559,"-",""))),"-"," ",LEN($G559)-LEN(SUBSTITUTE($G559,"-",""))-1))-LEN(SUBSTITUTE(SUBSTITUTE(SUBSTITUTE($G559,"-"," ",LEN($G559)-LEN(SUBSTITUTE($G559,"-",""))),"-"," ",LEN($G559)-LEN(SUBSTITUTE($G559,"-",""))-1),".","")))=0,SUBSTITUTE(SUBSTITUTE($G559,"-"," ",LEN($G559)-LEN(SUBSTITUTE($G559,"-",""))),"-"," ",LEN($G559)-LEN(SUBSTITUTE($G559,"-",""))-1),SUBSTITUTE(SUBSTITUTE(SUBSTITUTE($G559,"-"," ",LEN($G559)-LEN(SUBSTITUTE($G559,"-",""))),"-"," ",LEN($G559)-LEN(SUBSTITUTE($G559,"-",""))-1),"."," ",(LEN(SUBSTITUTE(SUBSTITUTE($G559,"-"," ",LEN($G559)-LEN(SUBSTITUTE($G559,"-",""))),"-"," ",LEN($G559)-LEN(SUBSTITUTE($G559,"-",""))-1))-LEN(SUBSTITUTE(SUBSTITUTE(SUBSTITUTE($G559,"-"," ",LEN($G559)-LEN(SUBSTITUTE($G559,"-",""))),"-"," ",LEN($G559)-LEN(SUBSTITUTE($G559,"-",""))-1),".",""))))),$G559)))</f>
        <v/>
      </c>
    </row>
    <row r="560">
      <c r="A560" s="58" t="n"/>
      <c r="B560" s="58">
        <f>IF($H560="","",LEFT($H560,FIND(" ",$H560&amp;" ")-1))</f>
        <v/>
      </c>
      <c r="C560" s="58">
        <f>IF($H560="","",IFERROR(MID($H560&amp;" ",FIND("|",SUBSTITUTE($H560&amp;" "," ","|",1))+1,FIND("|",SUBSTITUTE($H560&amp;" "," ","|",2))-FIND("|",SUBSTITUTE($H560&amp;" "," ","|",1))-1),""))</f>
        <v/>
      </c>
      <c r="D560" s="58">
        <f>IF($H560="","",IFERROR(MID($H560&amp;" ",FIND("|",SUBSTITUTE($H560&amp;" "," ","|",2))+1,FIND("|",SUBSTITUTE($H560&amp;" "," ","|",3))-FIND("|",SUBSTITUTE($H560&amp;" "," ","|",2))-1),""))</f>
        <v/>
      </c>
      <c r="E560" s="58">
        <f>IF($H560="","",IFERROR(MID($H560&amp;" ",FIND("|",SUBSTITUTE($H560&amp;" "," ","|",3))+1,FIND("|",SUBSTITUTE($H560&amp;" "," ","|",4))-FIND("|",SUBSTITUTE($H560&amp;" "," ","|",3))-1),""))</f>
        <v/>
      </c>
      <c r="F560" s="59">
        <f>IF($H560="","",IFERROR(VALUE(IFERROR(MID($H560&amp;" ",FIND("|",SUBSTITUTE($H560&amp;" "," ","|",4))+1,FIND("|",SUBSTITUTE($H560&amp;" "," ","|",5))-FIND("|",SUBSTITUTE($H560&amp;" "," ","|",4))-1),""))/86400+25569+9/24,""))</f>
        <v/>
      </c>
      <c r="G560" s="58">
        <f>TRIM(SUBSTITUTE(SUBSTITUTE(SUBSTITUTE($A560,CHAR(9)," ")," "," "),CHAR(13),""))</f>
        <v/>
      </c>
      <c r="H560" s="58">
        <f>IF($G560="","",IF(ISNUMBER(FIND(" ",$G560)),$G560,IFERROR(IF((LEN(SUBSTITUTE(SUBSTITUTE($G560,"-"," ",LEN($G560)-LEN(SUBSTITUTE($G560,"-",""))),"-"," ",LEN($G560)-LEN(SUBSTITUTE($G560,"-",""))-1))-LEN(SUBSTITUTE(SUBSTITUTE(SUBSTITUTE($G560,"-"," ",LEN($G560)-LEN(SUBSTITUTE($G560,"-",""))),"-"," ",LEN($G560)-LEN(SUBSTITUTE($G560,"-",""))-1),".","")))=0,SUBSTITUTE(SUBSTITUTE($G560,"-"," ",LEN($G560)-LEN(SUBSTITUTE($G560,"-",""))),"-"," ",LEN($G560)-LEN(SUBSTITUTE($G560,"-",""))-1),SUBSTITUTE(SUBSTITUTE(SUBSTITUTE($G560,"-"," ",LEN($G560)-LEN(SUBSTITUTE($G560,"-",""))),"-"," ",LEN($G560)-LEN(SUBSTITUTE($G560,"-",""))-1),"."," ",(LEN(SUBSTITUTE(SUBSTITUTE($G560,"-"," ",LEN($G560)-LEN(SUBSTITUTE($G560,"-",""))),"-"," ",LEN($G560)-LEN(SUBSTITUTE($G560,"-",""))-1))-LEN(SUBSTITUTE(SUBSTITUTE(SUBSTITUTE($G560,"-"," ",LEN($G560)-LEN(SUBSTITUTE($G560,"-",""))),"-"," ",LEN($G560)-LEN(SUBSTITUTE($G560,"-",""))-1),".",""))))),$G560)))</f>
        <v/>
      </c>
    </row>
    <row r="561">
      <c r="A561" s="58" t="n"/>
      <c r="B561" s="58">
        <f>IF($H561="","",LEFT($H561,FIND(" ",$H561&amp;" ")-1))</f>
        <v/>
      </c>
      <c r="C561" s="58">
        <f>IF($H561="","",IFERROR(MID($H561&amp;" ",FIND("|",SUBSTITUTE($H561&amp;" "," ","|",1))+1,FIND("|",SUBSTITUTE($H561&amp;" "," ","|",2))-FIND("|",SUBSTITUTE($H561&amp;" "," ","|",1))-1),""))</f>
        <v/>
      </c>
      <c r="D561" s="58">
        <f>IF($H561="","",IFERROR(MID($H561&amp;" ",FIND("|",SUBSTITUTE($H561&amp;" "," ","|",2))+1,FIND("|",SUBSTITUTE($H561&amp;" "," ","|",3))-FIND("|",SUBSTITUTE($H561&amp;" "," ","|",2))-1),""))</f>
        <v/>
      </c>
      <c r="E561" s="58">
        <f>IF($H561="","",IFERROR(MID($H561&amp;" ",FIND("|",SUBSTITUTE($H561&amp;" "," ","|",3))+1,FIND("|",SUBSTITUTE($H561&amp;" "," ","|",4))-FIND("|",SUBSTITUTE($H561&amp;" "," ","|",3))-1),""))</f>
        <v/>
      </c>
      <c r="F561" s="59">
        <f>IF($H561="","",IFERROR(VALUE(IFERROR(MID($H561&amp;" ",FIND("|",SUBSTITUTE($H561&amp;" "," ","|",4))+1,FIND("|",SUBSTITUTE($H561&amp;" "," ","|",5))-FIND("|",SUBSTITUTE($H561&amp;" "," ","|",4))-1),""))/86400+25569+9/24,""))</f>
        <v/>
      </c>
      <c r="G561" s="58">
        <f>TRIM(SUBSTITUTE(SUBSTITUTE(SUBSTITUTE($A561,CHAR(9)," ")," "," "),CHAR(13),""))</f>
        <v/>
      </c>
      <c r="H561" s="58">
        <f>IF($G561="","",IF(ISNUMBER(FIND(" ",$G561)),$G561,IFERROR(IF((LEN(SUBSTITUTE(SUBSTITUTE($G561,"-"," ",LEN($G561)-LEN(SUBSTITUTE($G561,"-",""))),"-"," ",LEN($G561)-LEN(SUBSTITUTE($G561,"-",""))-1))-LEN(SUBSTITUTE(SUBSTITUTE(SUBSTITUTE($G561,"-"," ",LEN($G561)-LEN(SUBSTITUTE($G561,"-",""))),"-"," ",LEN($G561)-LEN(SUBSTITUTE($G561,"-",""))-1),".","")))=0,SUBSTITUTE(SUBSTITUTE($G561,"-"," ",LEN($G561)-LEN(SUBSTITUTE($G561,"-",""))),"-"," ",LEN($G561)-LEN(SUBSTITUTE($G561,"-",""))-1),SUBSTITUTE(SUBSTITUTE(SUBSTITUTE($G561,"-"," ",LEN($G561)-LEN(SUBSTITUTE($G561,"-",""))),"-"," ",LEN($G561)-LEN(SUBSTITUTE($G561,"-",""))-1),"."," ",(LEN(SUBSTITUTE(SUBSTITUTE($G561,"-"," ",LEN($G561)-LEN(SUBSTITUTE($G561,"-",""))),"-"," ",LEN($G561)-LEN(SUBSTITUTE($G561,"-",""))-1))-LEN(SUBSTITUTE(SUBSTITUTE(SUBSTITUTE($G561,"-"," ",LEN($G561)-LEN(SUBSTITUTE($G561,"-",""))),"-"," ",LEN($G561)-LEN(SUBSTITUTE($G561,"-",""))-1),".",""))))),$G561)))</f>
        <v/>
      </c>
    </row>
    <row r="562">
      <c r="A562" s="58" t="n"/>
      <c r="B562" s="58">
        <f>IF($H562="","",LEFT($H562,FIND(" ",$H562&amp;" ")-1))</f>
        <v/>
      </c>
      <c r="C562" s="58">
        <f>IF($H562="","",IFERROR(MID($H562&amp;" ",FIND("|",SUBSTITUTE($H562&amp;" "," ","|",1))+1,FIND("|",SUBSTITUTE($H562&amp;" "," ","|",2))-FIND("|",SUBSTITUTE($H562&amp;" "," ","|",1))-1),""))</f>
        <v/>
      </c>
      <c r="D562" s="58">
        <f>IF($H562="","",IFERROR(MID($H562&amp;" ",FIND("|",SUBSTITUTE($H562&amp;" "," ","|",2))+1,FIND("|",SUBSTITUTE($H562&amp;" "," ","|",3))-FIND("|",SUBSTITUTE($H562&amp;" "," ","|",2))-1),""))</f>
        <v/>
      </c>
      <c r="E562" s="58">
        <f>IF($H562="","",IFERROR(MID($H562&amp;" ",FIND("|",SUBSTITUTE($H562&amp;" "," ","|",3))+1,FIND("|",SUBSTITUTE($H562&amp;" "," ","|",4))-FIND("|",SUBSTITUTE($H562&amp;" "," ","|",3))-1),""))</f>
        <v/>
      </c>
      <c r="F562" s="59">
        <f>IF($H562="","",IFERROR(VALUE(IFERROR(MID($H562&amp;" ",FIND("|",SUBSTITUTE($H562&amp;" "," ","|",4))+1,FIND("|",SUBSTITUTE($H562&amp;" "," ","|",5))-FIND("|",SUBSTITUTE($H562&amp;" "," ","|",4))-1),""))/86400+25569+9/24,""))</f>
        <v/>
      </c>
      <c r="G562" s="58">
        <f>TRIM(SUBSTITUTE(SUBSTITUTE(SUBSTITUTE($A562,CHAR(9)," ")," "," "),CHAR(13),""))</f>
        <v/>
      </c>
      <c r="H562" s="58">
        <f>IF($G562="","",IF(ISNUMBER(FIND(" ",$G562)),$G562,IFERROR(IF((LEN(SUBSTITUTE(SUBSTITUTE($G562,"-"," ",LEN($G562)-LEN(SUBSTITUTE($G562,"-",""))),"-"," ",LEN($G562)-LEN(SUBSTITUTE($G562,"-",""))-1))-LEN(SUBSTITUTE(SUBSTITUTE(SUBSTITUTE($G562,"-"," ",LEN($G562)-LEN(SUBSTITUTE($G562,"-",""))),"-"," ",LEN($G562)-LEN(SUBSTITUTE($G562,"-",""))-1),".","")))=0,SUBSTITUTE(SUBSTITUTE($G562,"-"," ",LEN($G562)-LEN(SUBSTITUTE($G562,"-",""))),"-"," ",LEN($G562)-LEN(SUBSTITUTE($G562,"-",""))-1),SUBSTITUTE(SUBSTITUTE(SUBSTITUTE($G562,"-"," ",LEN($G562)-LEN(SUBSTITUTE($G562,"-",""))),"-"," ",LEN($G562)-LEN(SUBSTITUTE($G562,"-",""))-1),"."," ",(LEN(SUBSTITUTE(SUBSTITUTE($G562,"-"," ",LEN($G562)-LEN(SUBSTITUTE($G562,"-",""))),"-"," ",LEN($G562)-LEN(SUBSTITUTE($G562,"-",""))-1))-LEN(SUBSTITUTE(SUBSTITUTE(SUBSTITUTE($G562,"-"," ",LEN($G562)-LEN(SUBSTITUTE($G562,"-",""))),"-"," ",LEN($G562)-LEN(SUBSTITUTE($G562,"-",""))-1),".",""))))),$G562)))</f>
        <v/>
      </c>
    </row>
    <row r="563">
      <c r="A563" s="58" t="n"/>
      <c r="B563" s="58">
        <f>IF($H563="","",LEFT($H563,FIND(" ",$H563&amp;" ")-1))</f>
        <v/>
      </c>
      <c r="C563" s="58">
        <f>IF($H563="","",IFERROR(MID($H563&amp;" ",FIND("|",SUBSTITUTE($H563&amp;" "," ","|",1))+1,FIND("|",SUBSTITUTE($H563&amp;" "," ","|",2))-FIND("|",SUBSTITUTE($H563&amp;" "," ","|",1))-1),""))</f>
        <v/>
      </c>
      <c r="D563" s="58">
        <f>IF($H563="","",IFERROR(MID($H563&amp;" ",FIND("|",SUBSTITUTE($H563&amp;" "," ","|",2))+1,FIND("|",SUBSTITUTE($H563&amp;" "," ","|",3))-FIND("|",SUBSTITUTE($H563&amp;" "," ","|",2))-1),""))</f>
        <v/>
      </c>
      <c r="E563" s="58">
        <f>IF($H563="","",IFERROR(MID($H563&amp;" ",FIND("|",SUBSTITUTE($H563&amp;" "," ","|",3))+1,FIND("|",SUBSTITUTE($H563&amp;" "," ","|",4))-FIND("|",SUBSTITUTE($H563&amp;" "," ","|",3))-1),""))</f>
        <v/>
      </c>
      <c r="F563" s="59">
        <f>IF($H563="","",IFERROR(VALUE(IFERROR(MID($H563&amp;" ",FIND("|",SUBSTITUTE($H563&amp;" "," ","|",4))+1,FIND("|",SUBSTITUTE($H563&amp;" "," ","|",5))-FIND("|",SUBSTITUTE($H563&amp;" "," ","|",4))-1),""))/86400+25569+9/24,""))</f>
        <v/>
      </c>
      <c r="G563" s="58">
        <f>TRIM(SUBSTITUTE(SUBSTITUTE(SUBSTITUTE($A563,CHAR(9)," ")," "," "),CHAR(13),""))</f>
        <v/>
      </c>
      <c r="H563" s="58">
        <f>IF($G563="","",IF(ISNUMBER(FIND(" ",$G563)),$G563,IFERROR(IF((LEN(SUBSTITUTE(SUBSTITUTE($G563,"-"," ",LEN($G563)-LEN(SUBSTITUTE($G563,"-",""))),"-"," ",LEN($G563)-LEN(SUBSTITUTE($G563,"-",""))-1))-LEN(SUBSTITUTE(SUBSTITUTE(SUBSTITUTE($G563,"-"," ",LEN($G563)-LEN(SUBSTITUTE($G563,"-",""))),"-"," ",LEN($G563)-LEN(SUBSTITUTE($G563,"-",""))-1),".","")))=0,SUBSTITUTE(SUBSTITUTE($G563,"-"," ",LEN($G563)-LEN(SUBSTITUTE($G563,"-",""))),"-"," ",LEN($G563)-LEN(SUBSTITUTE($G563,"-",""))-1),SUBSTITUTE(SUBSTITUTE(SUBSTITUTE($G563,"-"," ",LEN($G563)-LEN(SUBSTITUTE($G563,"-",""))),"-"," ",LEN($G563)-LEN(SUBSTITUTE($G563,"-",""))-1),"."," ",(LEN(SUBSTITUTE(SUBSTITUTE($G563,"-"," ",LEN($G563)-LEN(SUBSTITUTE($G563,"-",""))),"-"," ",LEN($G563)-LEN(SUBSTITUTE($G563,"-",""))-1))-LEN(SUBSTITUTE(SUBSTITUTE(SUBSTITUTE($G563,"-"," ",LEN($G563)-LEN(SUBSTITUTE($G563,"-",""))),"-"," ",LEN($G563)-LEN(SUBSTITUTE($G563,"-",""))-1),".",""))))),$G563)))</f>
        <v/>
      </c>
    </row>
    <row r="564">
      <c r="A564" s="58" t="n"/>
      <c r="B564" s="58">
        <f>IF($H564="","",LEFT($H564,FIND(" ",$H564&amp;" ")-1))</f>
        <v/>
      </c>
      <c r="C564" s="58">
        <f>IF($H564="","",IFERROR(MID($H564&amp;" ",FIND("|",SUBSTITUTE($H564&amp;" "," ","|",1))+1,FIND("|",SUBSTITUTE($H564&amp;" "," ","|",2))-FIND("|",SUBSTITUTE($H564&amp;" "," ","|",1))-1),""))</f>
        <v/>
      </c>
      <c r="D564" s="58">
        <f>IF($H564="","",IFERROR(MID($H564&amp;" ",FIND("|",SUBSTITUTE($H564&amp;" "," ","|",2))+1,FIND("|",SUBSTITUTE($H564&amp;" "," ","|",3))-FIND("|",SUBSTITUTE($H564&amp;" "," ","|",2))-1),""))</f>
        <v/>
      </c>
      <c r="E564" s="58">
        <f>IF($H564="","",IFERROR(MID($H564&amp;" ",FIND("|",SUBSTITUTE($H564&amp;" "," ","|",3))+1,FIND("|",SUBSTITUTE($H564&amp;" "," ","|",4))-FIND("|",SUBSTITUTE($H564&amp;" "," ","|",3))-1),""))</f>
        <v/>
      </c>
      <c r="F564" s="59">
        <f>IF($H564="","",IFERROR(VALUE(IFERROR(MID($H564&amp;" ",FIND("|",SUBSTITUTE($H564&amp;" "," ","|",4))+1,FIND("|",SUBSTITUTE($H564&amp;" "," ","|",5))-FIND("|",SUBSTITUTE($H564&amp;" "," ","|",4))-1),""))/86400+25569+9/24,""))</f>
        <v/>
      </c>
      <c r="G564" s="58">
        <f>TRIM(SUBSTITUTE(SUBSTITUTE(SUBSTITUTE($A564,CHAR(9)," ")," "," "),CHAR(13),""))</f>
        <v/>
      </c>
      <c r="H564" s="58">
        <f>IF($G564="","",IF(ISNUMBER(FIND(" ",$G564)),$G564,IFERROR(IF((LEN(SUBSTITUTE(SUBSTITUTE($G564,"-"," ",LEN($G564)-LEN(SUBSTITUTE($G564,"-",""))),"-"," ",LEN($G564)-LEN(SUBSTITUTE($G564,"-",""))-1))-LEN(SUBSTITUTE(SUBSTITUTE(SUBSTITUTE($G564,"-"," ",LEN($G564)-LEN(SUBSTITUTE($G564,"-",""))),"-"," ",LEN($G564)-LEN(SUBSTITUTE($G564,"-",""))-1),".","")))=0,SUBSTITUTE(SUBSTITUTE($G564,"-"," ",LEN($G564)-LEN(SUBSTITUTE($G564,"-",""))),"-"," ",LEN($G564)-LEN(SUBSTITUTE($G564,"-",""))-1),SUBSTITUTE(SUBSTITUTE(SUBSTITUTE($G564,"-"," ",LEN($G564)-LEN(SUBSTITUTE($G564,"-",""))),"-"," ",LEN($G564)-LEN(SUBSTITUTE($G564,"-",""))-1),"."," ",(LEN(SUBSTITUTE(SUBSTITUTE($G564,"-"," ",LEN($G564)-LEN(SUBSTITUTE($G564,"-",""))),"-"," ",LEN($G564)-LEN(SUBSTITUTE($G564,"-",""))-1))-LEN(SUBSTITUTE(SUBSTITUTE(SUBSTITUTE($G564,"-"," ",LEN($G564)-LEN(SUBSTITUTE($G564,"-",""))),"-"," ",LEN($G564)-LEN(SUBSTITUTE($G564,"-",""))-1),".",""))))),$G564)))</f>
        <v/>
      </c>
    </row>
    <row r="565">
      <c r="A565" s="58" t="n"/>
      <c r="B565" s="58">
        <f>IF($H565="","",LEFT($H565,FIND(" ",$H565&amp;" ")-1))</f>
        <v/>
      </c>
      <c r="C565" s="58">
        <f>IF($H565="","",IFERROR(MID($H565&amp;" ",FIND("|",SUBSTITUTE($H565&amp;" "," ","|",1))+1,FIND("|",SUBSTITUTE($H565&amp;" "," ","|",2))-FIND("|",SUBSTITUTE($H565&amp;" "," ","|",1))-1),""))</f>
        <v/>
      </c>
      <c r="D565" s="58">
        <f>IF($H565="","",IFERROR(MID($H565&amp;" ",FIND("|",SUBSTITUTE($H565&amp;" "," ","|",2))+1,FIND("|",SUBSTITUTE($H565&amp;" "," ","|",3))-FIND("|",SUBSTITUTE($H565&amp;" "," ","|",2))-1),""))</f>
        <v/>
      </c>
      <c r="E565" s="58">
        <f>IF($H565="","",IFERROR(MID($H565&amp;" ",FIND("|",SUBSTITUTE($H565&amp;" "," ","|",3))+1,FIND("|",SUBSTITUTE($H565&amp;" "," ","|",4))-FIND("|",SUBSTITUTE($H565&amp;" "," ","|",3))-1),""))</f>
        <v/>
      </c>
      <c r="F565" s="59">
        <f>IF($H565="","",IFERROR(VALUE(IFERROR(MID($H565&amp;" ",FIND("|",SUBSTITUTE($H565&amp;" "," ","|",4))+1,FIND("|",SUBSTITUTE($H565&amp;" "," ","|",5))-FIND("|",SUBSTITUTE($H565&amp;" "," ","|",4))-1),""))/86400+25569+9/24,""))</f>
        <v/>
      </c>
      <c r="G565" s="58">
        <f>TRIM(SUBSTITUTE(SUBSTITUTE(SUBSTITUTE($A565,CHAR(9)," ")," "," "),CHAR(13),""))</f>
        <v/>
      </c>
      <c r="H565" s="58">
        <f>IF($G565="","",IF(ISNUMBER(FIND(" ",$G565)),$G565,IFERROR(IF((LEN(SUBSTITUTE(SUBSTITUTE($G565,"-"," ",LEN($G565)-LEN(SUBSTITUTE($G565,"-",""))),"-"," ",LEN($G565)-LEN(SUBSTITUTE($G565,"-",""))-1))-LEN(SUBSTITUTE(SUBSTITUTE(SUBSTITUTE($G565,"-"," ",LEN($G565)-LEN(SUBSTITUTE($G565,"-",""))),"-"," ",LEN($G565)-LEN(SUBSTITUTE($G565,"-",""))-1),".","")))=0,SUBSTITUTE(SUBSTITUTE($G565,"-"," ",LEN($G565)-LEN(SUBSTITUTE($G565,"-",""))),"-"," ",LEN($G565)-LEN(SUBSTITUTE($G565,"-",""))-1),SUBSTITUTE(SUBSTITUTE(SUBSTITUTE($G565,"-"," ",LEN($G565)-LEN(SUBSTITUTE($G565,"-",""))),"-"," ",LEN($G565)-LEN(SUBSTITUTE($G565,"-",""))-1),"."," ",(LEN(SUBSTITUTE(SUBSTITUTE($G565,"-"," ",LEN($G565)-LEN(SUBSTITUTE($G565,"-",""))),"-"," ",LEN($G565)-LEN(SUBSTITUTE($G565,"-",""))-1))-LEN(SUBSTITUTE(SUBSTITUTE(SUBSTITUTE($G565,"-"," ",LEN($G565)-LEN(SUBSTITUTE($G565,"-",""))),"-"," ",LEN($G565)-LEN(SUBSTITUTE($G565,"-",""))-1),".",""))))),$G565)))</f>
        <v/>
      </c>
    </row>
    <row r="566">
      <c r="A566" s="58" t="n"/>
      <c r="B566" s="58">
        <f>IF($H566="","",LEFT($H566,FIND(" ",$H566&amp;" ")-1))</f>
        <v/>
      </c>
      <c r="C566" s="58">
        <f>IF($H566="","",IFERROR(MID($H566&amp;" ",FIND("|",SUBSTITUTE($H566&amp;" "," ","|",1))+1,FIND("|",SUBSTITUTE($H566&amp;" "," ","|",2))-FIND("|",SUBSTITUTE($H566&amp;" "," ","|",1))-1),""))</f>
        <v/>
      </c>
      <c r="D566" s="58">
        <f>IF($H566="","",IFERROR(MID($H566&amp;" ",FIND("|",SUBSTITUTE($H566&amp;" "," ","|",2))+1,FIND("|",SUBSTITUTE($H566&amp;" "," ","|",3))-FIND("|",SUBSTITUTE($H566&amp;" "," ","|",2))-1),""))</f>
        <v/>
      </c>
      <c r="E566" s="58">
        <f>IF($H566="","",IFERROR(MID($H566&amp;" ",FIND("|",SUBSTITUTE($H566&amp;" "," ","|",3))+1,FIND("|",SUBSTITUTE($H566&amp;" "," ","|",4))-FIND("|",SUBSTITUTE($H566&amp;" "," ","|",3))-1),""))</f>
        <v/>
      </c>
      <c r="F566" s="59">
        <f>IF($H566="","",IFERROR(VALUE(IFERROR(MID($H566&amp;" ",FIND("|",SUBSTITUTE($H566&amp;" "," ","|",4))+1,FIND("|",SUBSTITUTE($H566&amp;" "," ","|",5))-FIND("|",SUBSTITUTE($H566&amp;" "," ","|",4))-1),""))/86400+25569+9/24,""))</f>
        <v/>
      </c>
      <c r="G566" s="58">
        <f>TRIM(SUBSTITUTE(SUBSTITUTE(SUBSTITUTE($A566,CHAR(9)," ")," "," "),CHAR(13),""))</f>
        <v/>
      </c>
      <c r="H566" s="58">
        <f>IF($G566="","",IF(ISNUMBER(FIND(" ",$G566)),$G566,IFERROR(IF((LEN(SUBSTITUTE(SUBSTITUTE($G566,"-"," ",LEN($G566)-LEN(SUBSTITUTE($G566,"-",""))),"-"," ",LEN($G566)-LEN(SUBSTITUTE($G566,"-",""))-1))-LEN(SUBSTITUTE(SUBSTITUTE(SUBSTITUTE($G566,"-"," ",LEN($G566)-LEN(SUBSTITUTE($G566,"-",""))),"-"," ",LEN($G566)-LEN(SUBSTITUTE($G566,"-",""))-1),".","")))=0,SUBSTITUTE(SUBSTITUTE($G566,"-"," ",LEN($G566)-LEN(SUBSTITUTE($G566,"-",""))),"-"," ",LEN($G566)-LEN(SUBSTITUTE($G566,"-",""))-1),SUBSTITUTE(SUBSTITUTE(SUBSTITUTE($G566,"-"," ",LEN($G566)-LEN(SUBSTITUTE($G566,"-",""))),"-"," ",LEN($G566)-LEN(SUBSTITUTE($G566,"-",""))-1),"."," ",(LEN(SUBSTITUTE(SUBSTITUTE($G566,"-"," ",LEN($G566)-LEN(SUBSTITUTE($G566,"-",""))),"-"," ",LEN($G566)-LEN(SUBSTITUTE($G566,"-",""))-1))-LEN(SUBSTITUTE(SUBSTITUTE(SUBSTITUTE($G566,"-"," ",LEN($G566)-LEN(SUBSTITUTE($G566,"-",""))),"-"," ",LEN($G566)-LEN(SUBSTITUTE($G566,"-",""))-1),".",""))))),$G566)))</f>
        <v/>
      </c>
    </row>
    <row r="567">
      <c r="A567" s="58" t="n"/>
      <c r="B567" s="58">
        <f>IF($H567="","",LEFT($H567,FIND(" ",$H567&amp;" ")-1))</f>
        <v/>
      </c>
      <c r="C567" s="58">
        <f>IF($H567="","",IFERROR(MID($H567&amp;" ",FIND("|",SUBSTITUTE($H567&amp;" "," ","|",1))+1,FIND("|",SUBSTITUTE($H567&amp;" "," ","|",2))-FIND("|",SUBSTITUTE($H567&amp;" "," ","|",1))-1),""))</f>
        <v/>
      </c>
      <c r="D567" s="58">
        <f>IF($H567="","",IFERROR(MID($H567&amp;" ",FIND("|",SUBSTITUTE($H567&amp;" "," ","|",2))+1,FIND("|",SUBSTITUTE($H567&amp;" "," ","|",3))-FIND("|",SUBSTITUTE($H567&amp;" "," ","|",2))-1),""))</f>
        <v/>
      </c>
      <c r="E567" s="58">
        <f>IF($H567="","",IFERROR(MID($H567&amp;" ",FIND("|",SUBSTITUTE($H567&amp;" "," ","|",3))+1,FIND("|",SUBSTITUTE($H567&amp;" "," ","|",4))-FIND("|",SUBSTITUTE($H567&amp;" "," ","|",3))-1),""))</f>
        <v/>
      </c>
      <c r="F567" s="59">
        <f>IF($H567="","",IFERROR(VALUE(IFERROR(MID($H567&amp;" ",FIND("|",SUBSTITUTE($H567&amp;" "," ","|",4))+1,FIND("|",SUBSTITUTE($H567&amp;" "," ","|",5))-FIND("|",SUBSTITUTE($H567&amp;" "," ","|",4))-1),""))/86400+25569+9/24,""))</f>
        <v/>
      </c>
      <c r="G567" s="58">
        <f>TRIM(SUBSTITUTE(SUBSTITUTE(SUBSTITUTE($A567,CHAR(9)," ")," "," "),CHAR(13),""))</f>
        <v/>
      </c>
      <c r="H567" s="58">
        <f>IF($G567="","",IF(ISNUMBER(FIND(" ",$G567)),$G567,IFERROR(IF((LEN(SUBSTITUTE(SUBSTITUTE($G567,"-"," ",LEN($G567)-LEN(SUBSTITUTE($G567,"-",""))),"-"," ",LEN($G567)-LEN(SUBSTITUTE($G567,"-",""))-1))-LEN(SUBSTITUTE(SUBSTITUTE(SUBSTITUTE($G567,"-"," ",LEN($G567)-LEN(SUBSTITUTE($G567,"-",""))),"-"," ",LEN($G567)-LEN(SUBSTITUTE($G567,"-",""))-1),".","")))=0,SUBSTITUTE(SUBSTITUTE($G567,"-"," ",LEN($G567)-LEN(SUBSTITUTE($G567,"-",""))),"-"," ",LEN($G567)-LEN(SUBSTITUTE($G567,"-",""))-1),SUBSTITUTE(SUBSTITUTE(SUBSTITUTE($G567,"-"," ",LEN($G567)-LEN(SUBSTITUTE($G567,"-",""))),"-"," ",LEN($G567)-LEN(SUBSTITUTE($G567,"-",""))-1),"."," ",(LEN(SUBSTITUTE(SUBSTITUTE($G567,"-"," ",LEN($G567)-LEN(SUBSTITUTE($G567,"-",""))),"-"," ",LEN($G567)-LEN(SUBSTITUTE($G567,"-",""))-1))-LEN(SUBSTITUTE(SUBSTITUTE(SUBSTITUTE($G567,"-"," ",LEN($G567)-LEN(SUBSTITUTE($G567,"-",""))),"-"," ",LEN($G567)-LEN(SUBSTITUTE($G567,"-",""))-1),".",""))))),$G567)))</f>
        <v/>
      </c>
    </row>
    <row r="568">
      <c r="A568" s="58" t="n"/>
      <c r="B568" s="58">
        <f>IF($H568="","",LEFT($H568,FIND(" ",$H568&amp;" ")-1))</f>
        <v/>
      </c>
      <c r="C568" s="58">
        <f>IF($H568="","",IFERROR(MID($H568&amp;" ",FIND("|",SUBSTITUTE($H568&amp;" "," ","|",1))+1,FIND("|",SUBSTITUTE($H568&amp;" "," ","|",2))-FIND("|",SUBSTITUTE($H568&amp;" "," ","|",1))-1),""))</f>
        <v/>
      </c>
      <c r="D568" s="58">
        <f>IF($H568="","",IFERROR(MID($H568&amp;" ",FIND("|",SUBSTITUTE($H568&amp;" "," ","|",2))+1,FIND("|",SUBSTITUTE($H568&amp;" "," ","|",3))-FIND("|",SUBSTITUTE($H568&amp;" "," ","|",2))-1),""))</f>
        <v/>
      </c>
      <c r="E568" s="58">
        <f>IF($H568="","",IFERROR(MID($H568&amp;" ",FIND("|",SUBSTITUTE($H568&amp;" "," ","|",3))+1,FIND("|",SUBSTITUTE($H568&amp;" "," ","|",4))-FIND("|",SUBSTITUTE($H568&amp;" "," ","|",3))-1),""))</f>
        <v/>
      </c>
      <c r="F568" s="59">
        <f>IF($H568="","",IFERROR(VALUE(IFERROR(MID($H568&amp;" ",FIND("|",SUBSTITUTE($H568&amp;" "," ","|",4))+1,FIND("|",SUBSTITUTE($H568&amp;" "," ","|",5))-FIND("|",SUBSTITUTE($H568&amp;" "," ","|",4))-1),""))/86400+25569+9/24,""))</f>
        <v/>
      </c>
      <c r="G568" s="58">
        <f>TRIM(SUBSTITUTE(SUBSTITUTE(SUBSTITUTE($A568,CHAR(9)," ")," "," "),CHAR(13),""))</f>
        <v/>
      </c>
      <c r="H568" s="58">
        <f>IF($G568="","",IF(ISNUMBER(FIND(" ",$G568)),$G568,IFERROR(IF((LEN(SUBSTITUTE(SUBSTITUTE($G568,"-"," ",LEN($G568)-LEN(SUBSTITUTE($G568,"-",""))),"-"," ",LEN($G568)-LEN(SUBSTITUTE($G568,"-",""))-1))-LEN(SUBSTITUTE(SUBSTITUTE(SUBSTITUTE($G568,"-"," ",LEN($G568)-LEN(SUBSTITUTE($G568,"-",""))),"-"," ",LEN($G568)-LEN(SUBSTITUTE($G568,"-",""))-1),".","")))=0,SUBSTITUTE(SUBSTITUTE($G568,"-"," ",LEN($G568)-LEN(SUBSTITUTE($G568,"-",""))),"-"," ",LEN($G568)-LEN(SUBSTITUTE($G568,"-",""))-1),SUBSTITUTE(SUBSTITUTE(SUBSTITUTE($G568,"-"," ",LEN($G568)-LEN(SUBSTITUTE($G568,"-",""))),"-"," ",LEN($G568)-LEN(SUBSTITUTE($G568,"-",""))-1),"."," ",(LEN(SUBSTITUTE(SUBSTITUTE($G568,"-"," ",LEN($G568)-LEN(SUBSTITUTE($G568,"-",""))),"-"," ",LEN($G568)-LEN(SUBSTITUTE($G568,"-",""))-1))-LEN(SUBSTITUTE(SUBSTITUTE(SUBSTITUTE($G568,"-"," ",LEN($G568)-LEN(SUBSTITUTE($G568,"-",""))),"-"," ",LEN($G568)-LEN(SUBSTITUTE($G568,"-",""))-1),".",""))))),$G568)))</f>
        <v/>
      </c>
    </row>
    <row r="569">
      <c r="A569" s="58" t="n"/>
      <c r="B569" s="58">
        <f>IF($H569="","",LEFT($H569,FIND(" ",$H569&amp;" ")-1))</f>
        <v/>
      </c>
      <c r="C569" s="58">
        <f>IF($H569="","",IFERROR(MID($H569&amp;" ",FIND("|",SUBSTITUTE($H569&amp;" "," ","|",1))+1,FIND("|",SUBSTITUTE($H569&amp;" "," ","|",2))-FIND("|",SUBSTITUTE($H569&amp;" "," ","|",1))-1),""))</f>
        <v/>
      </c>
      <c r="D569" s="58">
        <f>IF($H569="","",IFERROR(MID($H569&amp;" ",FIND("|",SUBSTITUTE($H569&amp;" "," ","|",2))+1,FIND("|",SUBSTITUTE($H569&amp;" "," ","|",3))-FIND("|",SUBSTITUTE($H569&amp;" "," ","|",2))-1),""))</f>
        <v/>
      </c>
      <c r="E569" s="58">
        <f>IF($H569="","",IFERROR(MID($H569&amp;" ",FIND("|",SUBSTITUTE($H569&amp;" "," ","|",3))+1,FIND("|",SUBSTITUTE($H569&amp;" "," ","|",4))-FIND("|",SUBSTITUTE($H569&amp;" "," ","|",3))-1),""))</f>
        <v/>
      </c>
      <c r="F569" s="59">
        <f>IF($H569="","",IFERROR(VALUE(IFERROR(MID($H569&amp;" ",FIND("|",SUBSTITUTE($H569&amp;" "," ","|",4))+1,FIND("|",SUBSTITUTE($H569&amp;" "," ","|",5))-FIND("|",SUBSTITUTE($H569&amp;" "," ","|",4))-1),""))/86400+25569+9/24,""))</f>
        <v/>
      </c>
      <c r="G569" s="58">
        <f>TRIM(SUBSTITUTE(SUBSTITUTE(SUBSTITUTE($A569,CHAR(9)," ")," "," "),CHAR(13),""))</f>
        <v/>
      </c>
      <c r="H569" s="58">
        <f>IF($G569="","",IF(ISNUMBER(FIND(" ",$G569)),$G569,IFERROR(IF((LEN(SUBSTITUTE(SUBSTITUTE($G569,"-"," ",LEN($G569)-LEN(SUBSTITUTE($G569,"-",""))),"-"," ",LEN($G569)-LEN(SUBSTITUTE($G569,"-",""))-1))-LEN(SUBSTITUTE(SUBSTITUTE(SUBSTITUTE($G569,"-"," ",LEN($G569)-LEN(SUBSTITUTE($G569,"-",""))),"-"," ",LEN($G569)-LEN(SUBSTITUTE($G569,"-",""))-1),".","")))=0,SUBSTITUTE(SUBSTITUTE($G569,"-"," ",LEN($G569)-LEN(SUBSTITUTE($G569,"-",""))),"-"," ",LEN($G569)-LEN(SUBSTITUTE($G569,"-",""))-1),SUBSTITUTE(SUBSTITUTE(SUBSTITUTE($G569,"-"," ",LEN($G569)-LEN(SUBSTITUTE($G569,"-",""))),"-"," ",LEN($G569)-LEN(SUBSTITUTE($G569,"-",""))-1),"."," ",(LEN(SUBSTITUTE(SUBSTITUTE($G569,"-"," ",LEN($G569)-LEN(SUBSTITUTE($G569,"-",""))),"-"," ",LEN($G569)-LEN(SUBSTITUTE($G569,"-",""))-1))-LEN(SUBSTITUTE(SUBSTITUTE(SUBSTITUTE($G569,"-"," ",LEN($G569)-LEN(SUBSTITUTE($G569,"-",""))),"-"," ",LEN($G569)-LEN(SUBSTITUTE($G569,"-",""))-1),".",""))))),$G569)))</f>
        <v/>
      </c>
    </row>
    <row r="570">
      <c r="A570" s="58" t="n"/>
      <c r="B570" s="58">
        <f>IF($H570="","",LEFT($H570,FIND(" ",$H570&amp;" ")-1))</f>
        <v/>
      </c>
      <c r="C570" s="58">
        <f>IF($H570="","",IFERROR(MID($H570&amp;" ",FIND("|",SUBSTITUTE($H570&amp;" "," ","|",1))+1,FIND("|",SUBSTITUTE($H570&amp;" "," ","|",2))-FIND("|",SUBSTITUTE($H570&amp;" "," ","|",1))-1),""))</f>
        <v/>
      </c>
      <c r="D570" s="58">
        <f>IF($H570="","",IFERROR(MID($H570&amp;" ",FIND("|",SUBSTITUTE($H570&amp;" "," ","|",2))+1,FIND("|",SUBSTITUTE($H570&amp;" "," ","|",3))-FIND("|",SUBSTITUTE($H570&amp;" "," ","|",2))-1),""))</f>
        <v/>
      </c>
      <c r="E570" s="58">
        <f>IF($H570="","",IFERROR(MID($H570&amp;" ",FIND("|",SUBSTITUTE($H570&amp;" "," ","|",3))+1,FIND("|",SUBSTITUTE($H570&amp;" "," ","|",4))-FIND("|",SUBSTITUTE($H570&amp;" "," ","|",3))-1),""))</f>
        <v/>
      </c>
      <c r="F570" s="59">
        <f>IF($H570="","",IFERROR(VALUE(IFERROR(MID($H570&amp;" ",FIND("|",SUBSTITUTE($H570&amp;" "," ","|",4))+1,FIND("|",SUBSTITUTE($H570&amp;" "," ","|",5))-FIND("|",SUBSTITUTE($H570&amp;" "," ","|",4))-1),""))/86400+25569+9/24,""))</f>
        <v/>
      </c>
      <c r="G570" s="58">
        <f>TRIM(SUBSTITUTE(SUBSTITUTE(SUBSTITUTE($A570,CHAR(9)," ")," "," "),CHAR(13),""))</f>
        <v/>
      </c>
      <c r="H570" s="58">
        <f>IF($G570="","",IF(ISNUMBER(FIND(" ",$G570)),$G570,IFERROR(IF((LEN(SUBSTITUTE(SUBSTITUTE($G570,"-"," ",LEN($G570)-LEN(SUBSTITUTE($G570,"-",""))),"-"," ",LEN($G570)-LEN(SUBSTITUTE($G570,"-",""))-1))-LEN(SUBSTITUTE(SUBSTITUTE(SUBSTITUTE($G570,"-"," ",LEN($G570)-LEN(SUBSTITUTE($G570,"-",""))),"-"," ",LEN($G570)-LEN(SUBSTITUTE($G570,"-",""))-1),".","")))=0,SUBSTITUTE(SUBSTITUTE($G570,"-"," ",LEN($G570)-LEN(SUBSTITUTE($G570,"-",""))),"-"," ",LEN($G570)-LEN(SUBSTITUTE($G570,"-",""))-1),SUBSTITUTE(SUBSTITUTE(SUBSTITUTE($G570,"-"," ",LEN($G570)-LEN(SUBSTITUTE($G570,"-",""))),"-"," ",LEN($G570)-LEN(SUBSTITUTE($G570,"-",""))-1),"."," ",(LEN(SUBSTITUTE(SUBSTITUTE($G570,"-"," ",LEN($G570)-LEN(SUBSTITUTE($G570,"-",""))),"-"," ",LEN($G570)-LEN(SUBSTITUTE($G570,"-",""))-1))-LEN(SUBSTITUTE(SUBSTITUTE(SUBSTITUTE($G570,"-"," ",LEN($G570)-LEN(SUBSTITUTE($G570,"-",""))),"-"," ",LEN($G570)-LEN(SUBSTITUTE($G570,"-",""))-1),".",""))))),$G570)))</f>
        <v/>
      </c>
    </row>
    <row r="571">
      <c r="A571" s="58" t="n"/>
      <c r="B571" s="58">
        <f>IF($H571="","",LEFT($H571,FIND(" ",$H571&amp;" ")-1))</f>
        <v/>
      </c>
      <c r="C571" s="58">
        <f>IF($H571="","",IFERROR(MID($H571&amp;" ",FIND("|",SUBSTITUTE($H571&amp;" "," ","|",1))+1,FIND("|",SUBSTITUTE($H571&amp;" "," ","|",2))-FIND("|",SUBSTITUTE($H571&amp;" "," ","|",1))-1),""))</f>
        <v/>
      </c>
      <c r="D571" s="58">
        <f>IF($H571="","",IFERROR(MID($H571&amp;" ",FIND("|",SUBSTITUTE($H571&amp;" "," ","|",2))+1,FIND("|",SUBSTITUTE($H571&amp;" "," ","|",3))-FIND("|",SUBSTITUTE($H571&amp;" "," ","|",2))-1),""))</f>
        <v/>
      </c>
      <c r="E571" s="58">
        <f>IF($H571="","",IFERROR(MID($H571&amp;" ",FIND("|",SUBSTITUTE($H571&amp;" "," ","|",3))+1,FIND("|",SUBSTITUTE($H571&amp;" "," ","|",4))-FIND("|",SUBSTITUTE($H571&amp;" "," ","|",3))-1),""))</f>
        <v/>
      </c>
      <c r="F571" s="59">
        <f>IF($H571="","",IFERROR(VALUE(IFERROR(MID($H571&amp;" ",FIND("|",SUBSTITUTE($H571&amp;" "," ","|",4))+1,FIND("|",SUBSTITUTE($H571&amp;" "," ","|",5))-FIND("|",SUBSTITUTE($H571&amp;" "," ","|",4))-1),""))/86400+25569+9/24,""))</f>
        <v/>
      </c>
      <c r="G571" s="58">
        <f>TRIM(SUBSTITUTE(SUBSTITUTE(SUBSTITUTE($A571,CHAR(9)," ")," "," "),CHAR(13),""))</f>
        <v/>
      </c>
      <c r="H571" s="58">
        <f>IF($G571="","",IF(ISNUMBER(FIND(" ",$G571)),$G571,IFERROR(IF((LEN(SUBSTITUTE(SUBSTITUTE($G571,"-"," ",LEN($G571)-LEN(SUBSTITUTE($G571,"-",""))),"-"," ",LEN($G571)-LEN(SUBSTITUTE($G571,"-",""))-1))-LEN(SUBSTITUTE(SUBSTITUTE(SUBSTITUTE($G571,"-"," ",LEN($G571)-LEN(SUBSTITUTE($G571,"-",""))),"-"," ",LEN($G571)-LEN(SUBSTITUTE($G571,"-",""))-1),".","")))=0,SUBSTITUTE(SUBSTITUTE($G571,"-"," ",LEN($G571)-LEN(SUBSTITUTE($G571,"-",""))),"-"," ",LEN($G571)-LEN(SUBSTITUTE($G571,"-",""))-1),SUBSTITUTE(SUBSTITUTE(SUBSTITUTE($G571,"-"," ",LEN($G571)-LEN(SUBSTITUTE($G571,"-",""))),"-"," ",LEN($G571)-LEN(SUBSTITUTE($G571,"-",""))-1),"."," ",(LEN(SUBSTITUTE(SUBSTITUTE($G571,"-"," ",LEN($G571)-LEN(SUBSTITUTE($G571,"-",""))),"-"," ",LEN($G571)-LEN(SUBSTITUTE($G571,"-",""))-1))-LEN(SUBSTITUTE(SUBSTITUTE(SUBSTITUTE($G571,"-"," ",LEN($G571)-LEN(SUBSTITUTE($G571,"-",""))),"-"," ",LEN($G571)-LEN(SUBSTITUTE($G571,"-",""))-1),".",""))))),$G571)))</f>
        <v/>
      </c>
    </row>
    <row r="572">
      <c r="A572" s="58" t="n"/>
      <c r="B572" s="58">
        <f>IF($H572="","",LEFT($H572,FIND(" ",$H572&amp;" ")-1))</f>
        <v/>
      </c>
      <c r="C572" s="58">
        <f>IF($H572="","",IFERROR(MID($H572&amp;" ",FIND("|",SUBSTITUTE($H572&amp;" "," ","|",1))+1,FIND("|",SUBSTITUTE($H572&amp;" "," ","|",2))-FIND("|",SUBSTITUTE($H572&amp;" "," ","|",1))-1),""))</f>
        <v/>
      </c>
      <c r="D572" s="58">
        <f>IF($H572="","",IFERROR(MID($H572&amp;" ",FIND("|",SUBSTITUTE($H572&amp;" "," ","|",2))+1,FIND("|",SUBSTITUTE($H572&amp;" "," ","|",3))-FIND("|",SUBSTITUTE($H572&amp;" "," ","|",2))-1),""))</f>
        <v/>
      </c>
      <c r="E572" s="58">
        <f>IF($H572="","",IFERROR(MID($H572&amp;" ",FIND("|",SUBSTITUTE($H572&amp;" "," ","|",3))+1,FIND("|",SUBSTITUTE($H572&amp;" "," ","|",4))-FIND("|",SUBSTITUTE($H572&amp;" "," ","|",3))-1),""))</f>
        <v/>
      </c>
      <c r="F572" s="59">
        <f>IF($H572="","",IFERROR(VALUE(IFERROR(MID($H572&amp;" ",FIND("|",SUBSTITUTE($H572&amp;" "," ","|",4))+1,FIND("|",SUBSTITUTE($H572&amp;" "," ","|",5))-FIND("|",SUBSTITUTE($H572&amp;" "," ","|",4))-1),""))/86400+25569+9/24,""))</f>
        <v/>
      </c>
      <c r="G572" s="58">
        <f>TRIM(SUBSTITUTE(SUBSTITUTE(SUBSTITUTE($A572,CHAR(9)," ")," "," "),CHAR(13),""))</f>
        <v/>
      </c>
      <c r="H572" s="58">
        <f>IF($G572="","",IF(ISNUMBER(FIND(" ",$G572)),$G572,IFERROR(IF((LEN(SUBSTITUTE(SUBSTITUTE($G572,"-"," ",LEN($G572)-LEN(SUBSTITUTE($G572,"-",""))),"-"," ",LEN($G572)-LEN(SUBSTITUTE($G572,"-",""))-1))-LEN(SUBSTITUTE(SUBSTITUTE(SUBSTITUTE($G572,"-"," ",LEN($G572)-LEN(SUBSTITUTE($G572,"-",""))),"-"," ",LEN($G572)-LEN(SUBSTITUTE($G572,"-",""))-1),".","")))=0,SUBSTITUTE(SUBSTITUTE($G572,"-"," ",LEN($G572)-LEN(SUBSTITUTE($G572,"-",""))),"-"," ",LEN($G572)-LEN(SUBSTITUTE($G572,"-",""))-1),SUBSTITUTE(SUBSTITUTE(SUBSTITUTE($G572,"-"," ",LEN($G572)-LEN(SUBSTITUTE($G572,"-",""))),"-"," ",LEN($G572)-LEN(SUBSTITUTE($G572,"-",""))-1),"."," ",(LEN(SUBSTITUTE(SUBSTITUTE($G572,"-"," ",LEN($G572)-LEN(SUBSTITUTE($G572,"-",""))),"-"," ",LEN($G572)-LEN(SUBSTITUTE($G572,"-",""))-1))-LEN(SUBSTITUTE(SUBSTITUTE(SUBSTITUTE($G572,"-"," ",LEN($G572)-LEN(SUBSTITUTE($G572,"-",""))),"-"," ",LEN($G572)-LEN(SUBSTITUTE($G572,"-",""))-1),".",""))))),$G572)))</f>
        <v/>
      </c>
    </row>
    <row r="573">
      <c r="A573" s="58" t="n"/>
      <c r="B573" s="58">
        <f>IF($H573="","",LEFT($H573,FIND(" ",$H573&amp;" ")-1))</f>
        <v/>
      </c>
      <c r="C573" s="58">
        <f>IF($H573="","",IFERROR(MID($H573&amp;" ",FIND("|",SUBSTITUTE($H573&amp;" "," ","|",1))+1,FIND("|",SUBSTITUTE($H573&amp;" "," ","|",2))-FIND("|",SUBSTITUTE($H573&amp;" "," ","|",1))-1),""))</f>
        <v/>
      </c>
      <c r="D573" s="58">
        <f>IF($H573="","",IFERROR(MID($H573&amp;" ",FIND("|",SUBSTITUTE($H573&amp;" "," ","|",2))+1,FIND("|",SUBSTITUTE($H573&amp;" "," ","|",3))-FIND("|",SUBSTITUTE($H573&amp;" "," ","|",2))-1),""))</f>
        <v/>
      </c>
      <c r="E573" s="58">
        <f>IF($H573="","",IFERROR(MID($H573&amp;" ",FIND("|",SUBSTITUTE($H573&amp;" "," ","|",3))+1,FIND("|",SUBSTITUTE($H573&amp;" "," ","|",4))-FIND("|",SUBSTITUTE($H573&amp;" "," ","|",3))-1),""))</f>
        <v/>
      </c>
      <c r="F573" s="59">
        <f>IF($H573="","",IFERROR(VALUE(IFERROR(MID($H573&amp;" ",FIND("|",SUBSTITUTE($H573&amp;" "," ","|",4))+1,FIND("|",SUBSTITUTE($H573&amp;" "," ","|",5))-FIND("|",SUBSTITUTE($H573&amp;" "," ","|",4))-1),""))/86400+25569+9/24,""))</f>
        <v/>
      </c>
      <c r="G573" s="58">
        <f>TRIM(SUBSTITUTE(SUBSTITUTE(SUBSTITUTE($A573,CHAR(9)," ")," "," "),CHAR(13),""))</f>
        <v/>
      </c>
      <c r="H573" s="58">
        <f>IF($G573="","",IF(ISNUMBER(FIND(" ",$G573)),$G573,IFERROR(IF((LEN(SUBSTITUTE(SUBSTITUTE($G573,"-"," ",LEN($G573)-LEN(SUBSTITUTE($G573,"-",""))),"-"," ",LEN($G573)-LEN(SUBSTITUTE($G573,"-",""))-1))-LEN(SUBSTITUTE(SUBSTITUTE(SUBSTITUTE($G573,"-"," ",LEN($G573)-LEN(SUBSTITUTE($G573,"-",""))),"-"," ",LEN($G573)-LEN(SUBSTITUTE($G573,"-",""))-1),".","")))=0,SUBSTITUTE(SUBSTITUTE($G573,"-"," ",LEN($G573)-LEN(SUBSTITUTE($G573,"-",""))),"-"," ",LEN($G573)-LEN(SUBSTITUTE($G573,"-",""))-1),SUBSTITUTE(SUBSTITUTE(SUBSTITUTE($G573,"-"," ",LEN($G573)-LEN(SUBSTITUTE($G573,"-",""))),"-"," ",LEN($G573)-LEN(SUBSTITUTE($G573,"-",""))-1),"."," ",(LEN(SUBSTITUTE(SUBSTITUTE($G573,"-"," ",LEN($G573)-LEN(SUBSTITUTE($G573,"-",""))),"-"," ",LEN($G573)-LEN(SUBSTITUTE($G573,"-",""))-1))-LEN(SUBSTITUTE(SUBSTITUTE(SUBSTITUTE($G573,"-"," ",LEN($G573)-LEN(SUBSTITUTE($G573,"-",""))),"-"," ",LEN($G573)-LEN(SUBSTITUTE($G573,"-",""))-1),".",""))))),$G573)))</f>
        <v/>
      </c>
    </row>
    <row r="574">
      <c r="A574" s="58" t="n"/>
      <c r="B574" s="58">
        <f>IF($H574="","",LEFT($H574,FIND(" ",$H574&amp;" ")-1))</f>
        <v/>
      </c>
      <c r="C574" s="58">
        <f>IF($H574="","",IFERROR(MID($H574&amp;" ",FIND("|",SUBSTITUTE($H574&amp;" "," ","|",1))+1,FIND("|",SUBSTITUTE($H574&amp;" "," ","|",2))-FIND("|",SUBSTITUTE($H574&amp;" "," ","|",1))-1),""))</f>
        <v/>
      </c>
      <c r="D574" s="58">
        <f>IF($H574="","",IFERROR(MID($H574&amp;" ",FIND("|",SUBSTITUTE($H574&amp;" "," ","|",2))+1,FIND("|",SUBSTITUTE($H574&amp;" "," ","|",3))-FIND("|",SUBSTITUTE($H574&amp;" "," ","|",2))-1),""))</f>
        <v/>
      </c>
      <c r="E574" s="58">
        <f>IF($H574="","",IFERROR(MID($H574&amp;" ",FIND("|",SUBSTITUTE($H574&amp;" "," ","|",3))+1,FIND("|",SUBSTITUTE($H574&amp;" "," ","|",4))-FIND("|",SUBSTITUTE($H574&amp;" "," ","|",3))-1),""))</f>
        <v/>
      </c>
      <c r="F574" s="59">
        <f>IF($H574="","",IFERROR(VALUE(IFERROR(MID($H574&amp;" ",FIND("|",SUBSTITUTE($H574&amp;" "," ","|",4))+1,FIND("|",SUBSTITUTE($H574&amp;" "," ","|",5))-FIND("|",SUBSTITUTE($H574&amp;" "," ","|",4))-1),""))/86400+25569+9/24,""))</f>
        <v/>
      </c>
      <c r="G574" s="58">
        <f>TRIM(SUBSTITUTE(SUBSTITUTE(SUBSTITUTE($A574,CHAR(9)," ")," "," "),CHAR(13),""))</f>
        <v/>
      </c>
      <c r="H574" s="58">
        <f>IF($G574="","",IF(ISNUMBER(FIND(" ",$G574)),$G574,IFERROR(IF((LEN(SUBSTITUTE(SUBSTITUTE($G574,"-"," ",LEN($G574)-LEN(SUBSTITUTE($G574,"-",""))),"-"," ",LEN($G574)-LEN(SUBSTITUTE($G574,"-",""))-1))-LEN(SUBSTITUTE(SUBSTITUTE(SUBSTITUTE($G574,"-"," ",LEN($G574)-LEN(SUBSTITUTE($G574,"-",""))),"-"," ",LEN($G574)-LEN(SUBSTITUTE($G574,"-",""))-1),".","")))=0,SUBSTITUTE(SUBSTITUTE($G574,"-"," ",LEN($G574)-LEN(SUBSTITUTE($G574,"-",""))),"-"," ",LEN($G574)-LEN(SUBSTITUTE($G574,"-",""))-1),SUBSTITUTE(SUBSTITUTE(SUBSTITUTE($G574,"-"," ",LEN($G574)-LEN(SUBSTITUTE($G574,"-",""))),"-"," ",LEN($G574)-LEN(SUBSTITUTE($G574,"-",""))-1),"."," ",(LEN(SUBSTITUTE(SUBSTITUTE($G574,"-"," ",LEN($G574)-LEN(SUBSTITUTE($G574,"-",""))),"-"," ",LEN($G574)-LEN(SUBSTITUTE($G574,"-",""))-1))-LEN(SUBSTITUTE(SUBSTITUTE(SUBSTITUTE($G574,"-"," ",LEN($G574)-LEN(SUBSTITUTE($G574,"-",""))),"-"," ",LEN($G574)-LEN(SUBSTITUTE($G574,"-",""))-1),".",""))))),$G574)))</f>
        <v/>
      </c>
    </row>
    <row r="575">
      <c r="A575" s="58" t="n"/>
      <c r="B575" s="58">
        <f>IF($H575="","",LEFT($H575,FIND(" ",$H575&amp;" ")-1))</f>
        <v/>
      </c>
      <c r="C575" s="58">
        <f>IF($H575="","",IFERROR(MID($H575&amp;" ",FIND("|",SUBSTITUTE($H575&amp;" "," ","|",1))+1,FIND("|",SUBSTITUTE($H575&amp;" "," ","|",2))-FIND("|",SUBSTITUTE($H575&amp;" "," ","|",1))-1),""))</f>
        <v/>
      </c>
      <c r="D575" s="58">
        <f>IF($H575="","",IFERROR(MID($H575&amp;" ",FIND("|",SUBSTITUTE($H575&amp;" "," ","|",2))+1,FIND("|",SUBSTITUTE($H575&amp;" "," ","|",3))-FIND("|",SUBSTITUTE($H575&amp;" "," ","|",2))-1),""))</f>
        <v/>
      </c>
      <c r="E575" s="58">
        <f>IF($H575="","",IFERROR(MID($H575&amp;" ",FIND("|",SUBSTITUTE($H575&amp;" "," ","|",3))+1,FIND("|",SUBSTITUTE($H575&amp;" "," ","|",4))-FIND("|",SUBSTITUTE($H575&amp;" "," ","|",3))-1),""))</f>
        <v/>
      </c>
      <c r="F575" s="59">
        <f>IF($H575="","",IFERROR(VALUE(IFERROR(MID($H575&amp;" ",FIND("|",SUBSTITUTE($H575&amp;" "," ","|",4))+1,FIND("|",SUBSTITUTE($H575&amp;" "," ","|",5))-FIND("|",SUBSTITUTE($H575&amp;" "," ","|",4))-1),""))/86400+25569+9/24,""))</f>
        <v/>
      </c>
      <c r="G575" s="58">
        <f>TRIM(SUBSTITUTE(SUBSTITUTE(SUBSTITUTE($A575,CHAR(9)," ")," "," "),CHAR(13),""))</f>
        <v/>
      </c>
      <c r="H575" s="58">
        <f>IF($G575="","",IF(ISNUMBER(FIND(" ",$G575)),$G575,IFERROR(IF((LEN(SUBSTITUTE(SUBSTITUTE($G575,"-"," ",LEN($G575)-LEN(SUBSTITUTE($G575,"-",""))),"-"," ",LEN($G575)-LEN(SUBSTITUTE($G575,"-",""))-1))-LEN(SUBSTITUTE(SUBSTITUTE(SUBSTITUTE($G575,"-"," ",LEN($G575)-LEN(SUBSTITUTE($G575,"-",""))),"-"," ",LEN($G575)-LEN(SUBSTITUTE($G575,"-",""))-1),".","")))=0,SUBSTITUTE(SUBSTITUTE($G575,"-"," ",LEN($G575)-LEN(SUBSTITUTE($G575,"-",""))),"-"," ",LEN($G575)-LEN(SUBSTITUTE($G575,"-",""))-1),SUBSTITUTE(SUBSTITUTE(SUBSTITUTE($G575,"-"," ",LEN($G575)-LEN(SUBSTITUTE($G575,"-",""))),"-"," ",LEN($G575)-LEN(SUBSTITUTE($G575,"-",""))-1),"."," ",(LEN(SUBSTITUTE(SUBSTITUTE($G575,"-"," ",LEN($G575)-LEN(SUBSTITUTE($G575,"-",""))),"-"," ",LEN($G575)-LEN(SUBSTITUTE($G575,"-",""))-1))-LEN(SUBSTITUTE(SUBSTITUTE(SUBSTITUTE($G575,"-"," ",LEN($G575)-LEN(SUBSTITUTE($G575,"-",""))),"-"," ",LEN($G575)-LEN(SUBSTITUTE($G575,"-",""))-1),".",""))))),$G575)))</f>
        <v/>
      </c>
    </row>
    <row r="576">
      <c r="A576" s="58" t="n"/>
      <c r="B576" s="58">
        <f>IF($H576="","",LEFT($H576,FIND(" ",$H576&amp;" ")-1))</f>
        <v/>
      </c>
      <c r="C576" s="58">
        <f>IF($H576="","",IFERROR(MID($H576&amp;" ",FIND("|",SUBSTITUTE($H576&amp;" "," ","|",1))+1,FIND("|",SUBSTITUTE($H576&amp;" "," ","|",2))-FIND("|",SUBSTITUTE($H576&amp;" "," ","|",1))-1),""))</f>
        <v/>
      </c>
      <c r="D576" s="58">
        <f>IF($H576="","",IFERROR(MID($H576&amp;" ",FIND("|",SUBSTITUTE($H576&amp;" "," ","|",2))+1,FIND("|",SUBSTITUTE($H576&amp;" "," ","|",3))-FIND("|",SUBSTITUTE($H576&amp;" "," ","|",2))-1),""))</f>
        <v/>
      </c>
      <c r="E576" s="58">
        <f>IF($H576="","",IFERROR(MID($H576&amp;" ",FIND("|",SUBSTITUTE($H576&amp;" "," ","|",3))+1,FIND("|",SUBSTITUTE($H576&amp;" "," ","|",4))-FIND("|",SUBSTITUTE($H576&amp;" "," ","|",3))-1),""))</f>
        <v/>
      </c>
      <c r="F576" s="59">
        <f>IF($H576="","",IFERROR(VALUE(IFERROR(MID($H576&amp;" ",FIND("|",SUBSTITUTE($H576&amp;" "," ","|",4))+1,FIND("|",SUBSTITUTE($H576&amp;" "," ","|",5))-FIND("|",SUBSTITUTE($H576&amp;" "," ","|",4))-1),""))/86400+25569+9/24,""))</f>
        <v/>
      </c>
      <c r="G576" s="58">
        <f>TRIM(SUBSTITUTE(SUBSTITUTE(SUBSTITUTE($A576,CHAR(9)," ")," "," "),CHAR(13),""))</f>
        <v/>
      </c>
      <c r="H576" s="58">
        <f>IF($G576="","",IF(ISNUMBER(FIND(" ",$G576)),$G576,IFERROR(IF((LEN(SUBSTITUTE(SUBSTITUTE($G576,"-"," ",LEN($G576)-LEN(SUBSTITUTE($G576,"-",""))),"-"," ",LEN($G576)-LEN(SUBSTITUTE($G576,"-",""))-1))-LEN(SUBSTITUTE(SUBSTITUTE(SUBSTITUTE($G576,"-"," ",LEN($G576)-LEN(SUBSTITUTE($G576,"-",""))),"-"," ",LEN($G576)-LEN(SUBSTITUTE($G576,"-",""))-1),".","")))=0,SUBSTITUTE(SUBSTITUTE($G576,"-"," ",LEN($G576)-LEN(SUBSTITUTE($G576,"-",""))),"-"," ",LEN($G576)-LEN(SUBSTITUTE($G576,"-",""))-1),SUBSTITUTE(SUBSTITUTE(SUBSTITUTE($G576,"-"," ",LEN($G576)-LEN(SUBSTITUTE($G576,"-",""))),"-"," ",LEN($G576)-LEN(SUBSTITUTE($G576,"-",""))-1),"."," ",(LEN(SUBSTITUTE(SUBSTITUTE($G576,"-"," ",LEN($G576)-LEN(SUBSTITUTE($G576,"-",""))),"-"," ",LEN($G576)-LEN(SUBSTITUTE($G576,"-",""))-1))-LEN(SUBSTITUTE(SUBSTITUTE(SUBSTITUTE($G576,"-"," ",LEN($G576)-LEN(SUBSTITUTE($G576,"-",""))),"-"," ",LEN($G576)-LEN(SUBSTITUTE($G576,"-",""))-1),".",""))))),$G576)))</f>
        <v/>
      </c>
    </row>
    <row r="577">
      <c r="A577" s="58" t="n"/>
      <c r="B577" s="58">
        <f>IF($H577="","",LEFT($H577,FIND(" ",$H577&amp;" ")-1))</f>
        <v/>
      </c>
      <c r="C577" s="58">
        <f>IF($H577="","",IFERROR(MID($H577&amp;" ",FIND("|",SUBSTITUTE($H577&amp;" "," ","|",1))+1,FIND("|",SUBSTITUTE($H577&amp;" "," ","|",2))-FIND("|",SUBSTITUTE($H577&amp;" "," ","|",1))-1),""))</f>
        <v/>
      </c>
      <c r="D577" s="58">
        <f>IF($H577="","",IFERROR(MID($H577&amp;" ",FIND("|",SUBSTITUTE($H577&amp;" "," ","|",2))+1,FIND("|",SUBSTITUTE($H577&amp;" "," ","|",3))-FIND("|",SUBSTITUTE($H577&amp;" "," ","|",2))-1),""))</f>
        <v/>
      </c>
      <c r="E577" s="58">
        <f>IF($H577="","",IFERROR(MID($H577&amp;" ",FIND("|",SUBSTITUTE($H577&amp;" "," ","|",3))+1,FIND("|",SUBSTITUTE($H577&amp;" "," ","|",4))-FIND("|",SUBSTITUTE($H577&amp;" "," ","|",3))-1),""))</f>
        <v/>
      </c>
      <c r="F577" s="59">
        <f>IF($H577="","",IFERROR(VALUE(IFERROR(MID($H577&amp;" ",FIND("|",SUBSTITUTE($H577&amp;" "," ","|",4))+1,FIND("|",SUBSTITUTE($H577&amp;" "," ","|",5))-FIND("|",SUBSTITUTE($H577&amp;" "," ","|",4))-1),""))/86400+25569+9/24,""))</f>
        <v/>
      </c>
      <c r="G577" s="58">
        <f>TRIM(SUBSTITUTE(SUBSTITUTE(SUBSTITUTE($A577,CHAR(9)," ")," "," "),CHAR(13),""))</f>
        <v/>
      </c>
      <c r="H577" s="58">
        <f>IF($G577="","",IF(ISNUMBER(FIND(" ",$G577)),$G577,IFERROR(IF((LEN(SUBSTITUTE(SUBSTITUTE($G577,"-"," ",LEN($G577)-LEN(SUBSTITUTE($G577,"-",""))),"-"," ",LEN($G577)-LEN(SUBSTITUTE($G577,"-",""))-1))-LEN(SUBSTITUTE(SUBSTITUTE(SUBSTITUTE($G577,"-"," ",LEN($G577)-LEN(SUBSTITUTE($G577,"-",""))),"-"," ",LEN($G577)-LEN(SUBSTITUTE($G577,"-",""))-1),".","")))=0,SUBSTITUTE(SUBSTITUTE($G577,"-"," ",LEN($G577)-LEN(SUBSTITUTE($G577,"-",""))),"-"," ",LEN($G577)-LEN(SUBSTITUTE($G577,"-",""))-1),SUBSTITUTE(SUBSTITUTE(SUBSTITUTE($G577,"-"," ",LEN($G577)-LEN(SUBSTITUTE($G577,"-",""))),"-"," ",LEN($G577)-LEN(SUBSTITUTE($G577,"-",""))-1),"."," ",(LEN(SUBSTITUTE(SUBSTITUTE($G577,"-"," ",LEN($G577)-LEN(SUBSTITUTE($G577,"-",""))),"-"," ",LEN($G577)-LEN(SUBSTITUTE($G577,"-",""))-1))-LEN(SUBSTITUTE(SUBSTITUTE(SUBSTITUTE($G577,"-"," ",LEN($G577)-LEN(SUBSTITUTE($G577,"-",""))),"-"," ",LEN($G577)-LEN(SUBSTITUTE($G577,"-",""))-1),".",""))))),$G577)))</f>
        <v/>
      </c>
    </row>
    <row r="578">
      <c r="A578" s="58" t="n"/>
      <c r="B578" s="58">
        <f>IF($H578="","",LEFT($H578,FIND(" ",$H578&amp;" ")-1))</f>
        <v/>
      </c>
      <c r="C578" s="58">
        <f>IF($H578="","",IFERROR(MID($H578&amp;" ",FIND("|",SUBSTITUTE($H578&amp;" "," ","|",1))+1,FIND("|",SUBSTITUTE($H578&amp;" "," ","|",2))-FIND("|",SUBSTITUTE($H578&amp;" "," ","|",1))-1),""))</f>
        <v/>
      </c>
      <c r="D578" s="58">
        <f>IF($H578="","",IFERROR(MID($H578&amp;" ",FIND("|",SUBSTITUTE($H578&amp;" "," ","|",2))+1,FIND("|",SUBSTITUTE($H578&amp;" "," ","|",3))-FIND("|",SUBSTITUTE($H578&amp;" "," ","|",2))-1),""))</f>
        <v/>
      </c>
      <c r="E578" s="58">
        <f>IF($H578="","",IFERROR(MID($H578&amp;" ",FIND("|",SUBSTITUTE($H578&amp;" "," ","|",3))+1,FIND("|",SUBSTITUTE($H578&amp;" "," ","|",4))-FIND("|",SUBSTITUTE($H578&amp;" "," ","|",3))-1),""))</f>
        <v/>
      </c>
      <c r="F578" s="59">
        <f>IF($H578="","",IFERROR(VALUE(IFERROR(MID($H578&amp;" ",FIND("|",SUBSTITUTE($H578&amp;" "," ","|",4))+1,FIND("|",SUBSTITUTE($H578&amp;" "," ","|",5))-FIND("|",SUBSTITUTE($H578&amp;" "," ","|",4))-1),""))/86400+25569+9/24,""))</f>
        <v/>
      </c>
      <c r="G578" s="58">
        <f>TRIM(SUBSTITUTE(SUBSTITUTE(SUBSTITUTE($A578,CHAR(9)," ")," "," "),CHAR(13),""))</f>
        <v/>
      </c>
      <c r="H578" s="58">
        <f>IF($G578="","",IF(ISNUMBER(FIND(" ",$G578)),$G578,IFERROR(IF((LEN(SUBSTITUTE(SUBSTITUTE($G578,"-"," ",LEN($G578)-LEN(SUBSTITUTE($G578,"-",""))),"-"," ",LEN($G578)-LEN(SUBSTITUTE($G578,"-",""))-1))-LEN(SUBSTITUTE(SUBSTITUTE(SUBSTITUTE($G578,"-"," ",LEN($G578)-LEN(SUBSTITUTE($G578,"-",""))),"-"," ",LEN($G578)-LEN(SUBSTITUTE($G578,"-",""))-1),".","")))=0,SUBSTITUTE(SUBSTITUTE($G578,"-"," ",LEN($G578)-LEN(SUBSTITUTE($G578,"-",""))),"-"," ",LEN($G578)-LEN(SUBSTITUTE($G578,"-",""))-1),SUBSTITUTE(SUBSTITUTE(SUBSTITUTE($G578,"-"," ",LEN($G578)-LEN(SUBSTITUTE($G578,"-",""))),"-"," ",LEN($G578)-LEN(SUBSTITUTE($G578,"-",""))-1),"."," ",(LEN(SUBSTITUTE(SUBSTITUTE($G578,"-"," ",LEN($G578)-LEN(SUBSTITUTE($G578,"-",""))),"-"," ",LEN($G578)-LEN(SUBSTITUTE($G578,"-",""))-1))-LEN(SUBSTITUTE(SUBSTITUTE(SUBSTITUTE($G578,"-"," ",LEN($G578)-LEN(SUBSTITUTE($G578,"-",""))),"-"," ",LEN($G578)-LEN(SUBSTITUTE($G578,"-",""))-1),".",""))))),$G578)))</f>
        <v/>
      </c>
    </row>
    <row r="579">
      <c r="A579" s="58" t="n"/>
      <c r="B579" s="58">
        <f>IF($H579="","",LEFT($H579,FIND(" ",$H579&amp;" ")-1))</f>
        <v/>
      </c>
      <c r="C579" s="58">
        <f>IF($H579="","",IFERROR(MID($H579&amp;" ",FIND("|",SUBSTITUTE($H579&amp;" "," ","|",1))+1,FIND("|",SUBSTITUTE($H579&amp;" "," ","|",2))-FIND("|",SUBSTITUTE($H579&amp;" "," ","|",1))-1),""))</f>
        <v/>
      </c>
      <c r="D579" s="58">
        <f>IF($H579="","",IFERROR(MID($H579&amp;" ",FIND("|",SUBSTITUTE($H579&amp;" "," ","|",2))+1,FIND("|",SUBSTITUTE($H579&amp;" "," ","|",3))-FIND("|",SUBSTITUTE($H579&amp;" "," ","|",2))-1),""))</f>
        <v/>
      </c>
      <c r="E579" s="58">
        <f>IF($H579="","",IFERROR(MID($H579&amp;" ",FIND("|",SUBSTITUTE($H579&amp;" "," ","|",3))+1,FIND("|",SUBSTITUTE($H579&amp;" "," ","|",4))-FIND("|",SUBSTITUTE($H579&amp;" "," ","|",3))-1),""))</f>
        <v/>
      </c>
      <c r="F579" s="59">
        <f>IF($H579="","",IFERROR(VALUE(IFERROR(MID($H579&amp;" ",FIND("|",SUBSTITUTE($H579&amp;" "," ","|",4))+1,FIND("|",SUBSTITUTE($H579&amp;" "," ","|",5))-FIND("|",SUBSTITUTE($H579&amp;" "," ","|",4))-1),""))/86400+25569+9/24,""))</f>
        <v/>
      </c>
      <c r="G579" s="58">
        <f>TRIM(SUBSTITUTE(SUBSTITUTE(SUBSTITUTE($A579,CHAR(9)," ")," "," "),CHAR(13),""))</f>
        <v/>
      </c>
      <c r="H579" s="58">
        <f>IF($G579="","",IF(ISNUMBER(FIND(" ",$G579)),$G579,IFERROR(IF((LEN(SUBSTITUTE(SUBSTITUTE($G579,"-"," ",LEN($G579)-LEN(SUBSTITUTE($G579,"-",""))),"-"," ",LEN($G579)-LEN(SUBSTITUTE($G579,"-",""))-1))-LEN(SUBSTITUTE(SUBSTITUTE(SUBSTITUTE($G579,"-"," ",LEN($G579)-LEN(SUBSTITUTE($G579,"-",""))),"-"," ",LEN($G579)-LEN(SUBSTITUTE($G579,"-",""))-1),".","")))=0,SUBSTITUTE(SUBSTITUTE($G579,"-"," ",LEN($G579)-LEN(SUBSTITUTE($G579,"-",""))),"-"," ",LEN($G579)-LEN(SUBSTITUTE($G579,"-",""))-1),SUBSTITUTE(SUBSTITUTE(SUBSTITUTE($G579,"-"," ",LEN($G579)-LEN(SUBSTITUTE($G579,"-",""))),"-"," ",LEN($G579)-LEN(SUBSTITUTE($G579,"-",""))-1),"."," ",(LEN(SUBSTITUTE(SUBSTITUTE($G579,"-"," ",LEN($G579)-LEN(SUBSTITUTE($G579,"-",""))),"-"," ",LEN($G579)-LEN(SUBSTITUTE($G579,"-",""))-1))-LEN(SUBSTITUTE(SUBSTITUTE(SUBSTITUTE($G579,"-"," ",LEN($G579)-LEN(SUBSTITUTE($G579,"-",""))),"-"," ",LEN($G579)-LEN(SUBSTITUTE($G579,"-",""))-1),".",""))))),$G579)))</f>
        <v/>
      </c>
    </row>
    <row r="580">
      <c r="A580" s="58" t="n"/>
      <c r="B580" s="58">
        <f>IF($H580="","",LEFT($H580,FIND(" ",$H580&amp;" ")-1))</f>
        <v/>
      </c>
      <c r="C580" s="58">
        <f>IF($H580="","",IFERROR(MID($H580&amp;" ",FIND("|",SUBSTITUTE($H580&amp;" "," ","|",1))+1,FIND("|",SUBSTITUTE($H580&amp;" "," ","|",2))-FIND("|",SUBSTITUTE($H580&amp;" "," ","|",1))-1),""))</f>
        <v/>
      </c>
      <c r="D580" s="58">
        <f>IF($H580="","",IFERROR(MID($H580&amp;" ",FIND("|",SUBSTITUTE($H580&amp;" "," ","|",2))+1,FIND("|",SUBSTITUTE($H580&amp;" "," ","|",3))-FIND("|",SUBSTITUTE($H580&amp;" "," ","|",2))-1),""))</f>
        <v/>
      </c>
      <c r="E580" s="58">
        <f>IF($H580="","",IFERROR(MID($H580&amp;" ",FIND("|",SUBSTITUTE($H580&amp;" "," ","|",3))+1,FIND("|",SUBSTITUTE($H580&amp;" "," ","|",4))-FIND("|",SUBSTITUTE($H580&amp;" "," ","|",3))-1),""))</f>
        <v/>
      </c>
      <c r="F580" s="59">
        <f>IF($H580="","",IFERROR(VALUE(IFERROR(MID($H580&amp;" ",FIND("|",SUBSTITUTE($H580&amp;" "," ","|",4))+1,FIND("|",SUBSTITUTE($H580&amp;" "," ","|",5))-FIND("|",SUBSTITUTE($H580&amp;" "," ","|",4))-1),""))/86400+25569+9/24,""))</f>
        <v/>
      </c>
      <c r="G580" s="58">
        <f>TRIM(SUBSTITUTE(SUBSTITUTE(SUBSTITUTE($A580,CHAR(9)," ")," "," "),CHAR(13),""))</f>
        <v/>
      </c>
      <c r="H580" s="58">
        <f>IF($G580="","",IF(ISNUMBER(FIND(" ",$G580)),$G580,IFERROR(IF((LEN(SUBSTITUTE(SUBSTITUTE($G580,"-"," ",LEN($G580)-LEN(SUBSTITUTE($G580,"-",""))),"-"," ",LEN($G580)-LEN(SUBSTITUTE($G580,"-",""))-1))-LEN(SUBSTITUTE(SUBSTITUTE(SUBSTITUTE($G580,"-"," ",LEN($G580)-LEN(SUBSTITUTE($G580,"-",""))),"-"," ",LEN($G580)-LEN(SUBSTITUTE($G580,"-",""))-1),".","")))=0,SUBSTITUTE(SUBSTITUTE($G580,"-"," ",LEN($G580)-LEN(SUBSTITUTE($G580,"-",""))),"-"," ",LEN($G580)-LEN(SUBSTITUTE($G580,"-",""))-1),SUBSTITUTE(SUBSTITUTE(SUBSTITUTE($G580,"-"," ",LEN($G580)-LEN(SUBSTITUTE($G580,"-",""))),"-"," ",LEN($G580)-LEN(SUBSTITUTE($G580,"-",""))-1),"."," ",(LEN(SUBSTITUTE(SUBSTITUTE($G580,"-"," ",LEN($G580)-LEN(SUBSTITUTE($G580,"-",""))),"-"," ",LEN($G580)-LEN(SUBSTITUTE($G580,"-",""))-1))-LEN(SUBSTITUTE(SUBSTITUTE(SUBSTITUTE($G580,"-"," ",LEN($G580)-LEN(SUBSTITUTE($G580,"-",""))),"-"," ",LEN($G580)-LEN(SUBSTITUTE($G580,"-",""))-1),".",""))))),$G580)))</f>
        <v/>
      </c>
    </row>
    <row r="581">
      <c r="A581" s="58" t="n"/>
      <c r="B581" s="58">
        <f>IF($H581="","",LEFT($H581,FIND(" ",$H581&amp;" ")-1))</f>
        <v/>
      </c>
      <c r="C581" s="58">
        <f>IF($H581="","",IFERROR(MID($H581&amp;" ",FIND("|",SUBSTITUTE($H581&amp;" "," ","|",1))+1,FIND("|",SUBSTITUTE($H581&amp;" "," ","|",2))-FIND("|",SUBSTITUTE($H581&amp;" "," ","|",1))-1),""))</f>
        <v/>
      </c>
      <c r="D581" s="58">
        <f>IF($H581="","",IFERROR(MID($H581&amp;" ",FIND("|",SUBSTITUTE($H581&amp;" "," ","|",2))+1,FIND("|",SUBSTITUTE($H581&amp;" "," ","|",3))-FIND("|",SUBSTITUTE($H581&amp;" "," ","|",2))-1),""))</f>
        <v/>
      </c>
      <c r="E581" s="58">
        <f>IF($H581="","",IFERROR(MID($H581&amp;" ",FIND("|",SUBSTITUTE($H581&amp;" "," ","|",3))+1,FIND("|",SUBSTITUTE($H581&amp;" "," ","|",4))-FIND("|",SUBSTITUTE($H581&amp;" "," ","|",3))-1),""))</f>
        <v/>
      </c>
      <c r="F581" s="59">
        <f>IF($H581="","",IFERROR(VALUE(IFERROR(MID($H581&amp;" ",FIND("|",SUBSTITUTE($H581&amp;" "," ","|",4))+1,FIND("|",SUBSTITUTE($H581&amp;" "," ","|",5))-FIND("|",SUBSTITUTE($H581&amp;" "," ","|",4))-1),""))/86400+25569+9/24,""))</f>
        <v/>
      </c>
      <c r="G581" s="58">
        <f>TRIM(SUBSTITUTE(SUBSTITUTE(SUBSTITUTE($A581,CHAR(9)," ")," "," "),CHAR(13),""))</f>
        <v/>
      </c>
      <c r="H581" s="58">
        <f>IF($G581="","",IF(ISNUMBER(FIND(" ",$G581)),$G581,IFERROR(IF((LEN(SUBSTITUTE(SUBSTITUTE($G581,"-"," ",LEN($G581)-LEN(SUBSTITUTE($G581,"-",""))),"-"," ",LEN($G581)-LEN(SUBSTITUTE($G581,"-",""))-1))-LEN(SUBSTITUTE(SUBSTITUTE(SUBSTITUTE($G581,"-"," ",LEN($G581)-LEN(SUBSTITUTE($G581,"-",""))),"-"," ",LEN($G581)-LEN(SUBSTITUTE($G581,"-",""))-1),".","")))=0,SUBSTITUTE(SUBSTITUTE($G581,"-"," ",LEN($G581)-LEN(SUBSTITUTE($G581,"-",""))),"-"," ",LEN($G581)-LEN(SUBSTITUTE($G581,"-",""))-1),SUBSTITUTE(SUBSTITUTE(SUBSTITUTE($G581,"-"," ",LEN($G581)-LEN(SUBSTITUTE($G581,"-",""))),"-"," ",LEN($G581)-LEN(SUBSTITUTE($G581,"-",""))-1),"."," ",(LEN(SUBSTITUTE(SUBSTITUTE($G581,"-"," ",LEN($G581)-LEN(SUBSTITUTE($G581,"-",""))),"-"," ",LEN($G581)-LEN(SUBSTITUTE($G581,"-",""))-1))-LEN(SUBSTITUTE(SUBSTITUTE(SUBSTITUTE($G581,"-"," ",LEN($G581)-LEN(SUBSTITUTE($G581,"-",""))),"-"," ",LEN($G581)-LEN(SUBSTITUTE($G581,"-",""))-1),".",""))))),$G581)))</f>
        <v/>
      </c>
    </row>
    <row r="582">
      <c r="A582" s="58" t="n"/>
      <c r="B582" s="58">
        <f>IF($H582="","",LEFT($H582,FIND(" ",$H582&amp;" ")-1))</f>
        <v/>
      </c>
      <c r="C582" s="58">
        <f>IF($H582="","",IFERROR(MID($H582&amp;" ",FIND("|",SUBSTITUTE($H582&amp;" "," ","|",1))+1,FIND("|",SUBSTITUTE($H582&amp;" "," ","|",2))-FIND("|",SUBSTITUTE($H582&amp;" "," ","|",1))-1),""))</f>
        <v/>
      </c>
      <c r="D582" s="58">
        <f>IF($H582="","",IFERROR(MID($H582&amp;" ",FIND("|",SUBSTITUTE($H582&amp;" "," ","|",2))+1,FIND("|",SUBSTITUTE($H582&amp;" "," ","|",3))-FIND("|",SUBSTITUTE($H582&amp;" "," ","|",2))-1),""))</f>
        <v/>
      </c>
      <c r="E582" s="58">
        <f>IF($H582="","",IFERROR(MID($H582&amp;" ",FIND("|",SUBSTITUTE($H582&amp;" "," ","|",3))+1,FIND("|",SUBSTITUTE($H582&amp;" "," ","|",4))-FIND("|",SUBSTITUTE($H582&amp;" "," ","|",3))-1),""))</f>
        <v/>
      </c>
      <c r="F582" s="59">
        <f>IF($H582="","",IFERROR(VALUE(IFERROR(MID($H582&amp;" ",FIND("|",SUBSTITUTE($H582&amp;" "," ","|",4))+1,FIND("|",SUBSTITUTE($H582&amp;" "," ","|",5))-FIND("|",SUBSTITUTE($H582&amp;" "," ","|",4))-1),""))/86400+25569+9/24,""))</f>
        <v/>
      </c>
      <c r="G582" s="58">
        <f>TRIM(SUBSTITUTE(SUBSTITUTE(SUBSTITUTE($A582,CHAR(9)," ")," "," "),CHAR(13),""))</f>
        <v/>
      </c>
      <c r="H582" s="58">
        <f>IF($G582="","",IF(ISNUMBER(FIND(" ",$G582)),$G582,IFERROR(IF((LEN(SUBSTITUTE(SUBSTITUTE($G582,"-"," ",LEN($G582)-LEN(SUBSTITUTE($G582,"-",""))),"-"," ",LEN($G582)-LEN(SUBSTITUTE($G582,"-",""))-1))-LEN(SUBSTITUTE(SUBSTITUTE(SUBSTITUTE($G582,"-"," ",LEN($G582)-LEN(SUBSTITUTE($G582,"-",""))),"-"," ",LEN($G582)-LEN(SUBSTITUTE($G582,"-",""))-1),".","")))=0,SUBSTITUTE(SUBSTITUTE($G582,"-"," ",LEN($G582)-LEN(SUBSTITUTE($G582,"-",""))),"-"," ",LEN($G582)-LEN(SUBSTITUTE($G582,"-",""))-1),SUBSTITUTE(SUBSTITUTE(SUBSTITUTE($G582,"-"," ",LEN($G582)-LEN(SUBSTITUTE($G582,"-",""))),"-"," ",LEN($G582)-LEN(SUBSTITUTE($G582,"-",""))-1),"."," ",(LEN(SUBSTITUTE(SUBSTITUTE($G582,"-"," ",LEN($G582)-LEN(SUBSTITUTE($G582,"-",""))),"-"," ",LEN($G582)-LEN(SUBSTITUTE($G582,"-",""))-1))-LEN(SUBSTITUTE(SUBSTITUTE(SUBSTITUTE($G582,"-"," ",LEN($G582)-LEN(SUBSTITUTE($G582,"-",""))),"-"," ",LEN($G582)-LEN(SUBSTITUTE($G582,"-",""))-1),".",""))))),$G582)))</f>
        <v/>
      </c>
    </row>
    <row r="583">
      <c r="A583" s="58" t="n"/>
      <c r="B583" s="58">
        <f>IF($H583="","",LEFT($H583,FIND(" ",$H583&amp;" ")-1))</f>
        <v/>
      </c>
      <c r="C583" s="58">
        <f>IF($H583="","",IFERROR(MID($H583&amp;" ",FIND("|",SUBSTITUTE($H583&amp;" "," ","|",1))+1,FIND("|",SUBSTITUTE($H583&amp;" "," ","|",2))-FIND("|",SUBSTITUTE($H583&amp;" "," ","|",1))-1),""))</f>
        <v/>
      </c>
      <c r="D583" s="58">
        <f>IF($H583="","",IFERROR(MID($H583&amp;" ",FIND("|",SUBSTITUTE($H583&amp;" "," ","|",2))+1,FIND("|",SUBSTITUTE($H583&amp;" "," ","|",3))-FIND("|",SUBSTITUTE($H583&amp;" "," ","|",2))-1),""))</f>
        <v/>
      </c>
      <c r="E583" s="58">
        <f>IF($H583="","",IFERROR(MID($H583&amp;" ",FIND("|",SUBSTITUTE($H583&amp;" "," ","|",3))+1,FIND("|",SUBSTITUTE($H583&amp;" "," ","|",4))-FIND("|",SUBSTITUTE($H583&amp;" "," ","|",3))-1),""))</f>
        <v/>
      </c>
      <c r="F583" s="59">
        <f>IF($H583="","",IFERROR(VALUE(IFERROR(MID($H583&amp;" ",FIND("|",SUBSTITUTE($H583&amp;" "," ","|",4))+1,FIND("|",SUBSTITUTE($H583&amp;" "," ","|",5))-FIND("|",SUBSTITUTE($H583&amp;" "," ","|",4))-1),""))/86400+25569+9/24,""))</f>
        <v/>
      </c>
      <c r="G583" s="58">
        <f>TRIM(SUBSTITUTE(SUBSTITUTE(SUBSTITUTE($A583,CHAR(9)," ")," "," "),CHAR(13),""))</f>
        <v/>
      </c>
      <c r="H583" s="58">
        <f>IF($G583="","",IF(ISNUMBER(FIND(" ",$G583)),$G583,IFERROR(IF((LEN(SUBSTITUTE(SUBSTITUTE($G583,"-"," ",LEN($G583)-LEN(SUBSTITUTE($G583,"-",""))),"-"," ",LEN($G583)-LEN(SUBSTITUTE($G583,"-",""))-1))-LEN(SUBSTITUTE(SUBSTITUTE(SUBSTITUTE($G583,"-"," ",LEN($G583)-LEN(SUBSTITUTE($G583,"-",""))),"-"," ",LEN($G583)-LEN(SUBSTITUTE($G583,"-",""))-1),".","")))=0,SUBSTITUTE(SUBSTITUTE($G583,"-"," ",LEN($G583)-LEN(SUBSTITUTE($G583,"-",""))),"-"," ",LEN($G583)-LEN(SUBSTITUTE($G583,"-",""))-1),SUBSTITUTE(SUBSTITUTE(SUBSTITUTE($G583,"-"," ",LEN($G583)-LEN(SUBSTITUTE($G583,"-",""))),"-"," ",LEN($G583)-LEN(SUBSTITUTE($G583,"-",""))-1),"."," ",(LEN(SUBSTITUTE(SUBSTITUTE($G583,"-"," ",LEN($G583)-LEN(SUBSTITUTE($G583,"-",""))),"-"," ",LEN($G583)-LEN(SUBSTITUTE($G583,"-",""))-1))-LEN(SUBSTITUTE(SUBSTITUTE(SUBSTITUTE($G583,"-"," ",LEN($G583)-LEN(SUBSTITUTE($G583,"-",""))),"-"," ",LEN($G583)-LEN(SUBSTITUTE($G583,"-",""))-1),".",""))))),$G583)))</f>
        <v/>
      </c>
    </row>
    <row r="584">
      <c r="A584" s="58" t="n"/>
      <c r="B584" s="58">
        <f>IF($H584="","",LEFT($H584,FIND(" ",$H584&amp;" ")-1))</f>
        <v/>
      </c>
      <c r="C584" s="58">
        <f>IF($H584="","",IFERROR(MID($H584&amp;" ",FIND("|",SUBSTITUTE($H584&amp;" "," ","|",1))+1,FIND("|",SUBSTITUTE($H584&amp;" "," ","|",2))-FIND("|",SUBSTITUTE($H584&amp;" "," ","|",1))-1),""))</f>
        <v/>
      </c>
      <c r="D584" s="58">
        <f>IF($H584="","",IFERROR(MID($H584&amp;" ",FIND("|",SUBSTITUTE($H584&amp;" "," ","|",2))+1,FIND("|",SUBSTITUTE($H584&amp;" "," ","|",3))-FIND("|",SUBSTITUTE($H584&amp;" "," ","|",2))-1),""))</f>
        <v/>
      </c>
      <c r="E584" s="58">
        <f>IF($H584="","",IFERROR(MID($H584&amp;" ",FIND("|",SUBSTITUTE($H584&amp;" "," ","|",3))+1,FIND("|",SUBSTITUTE($H584&amp;" "," ","|",4))-FIND("|",SUBSTITUTE($H584&amp;" "," ","|",3))-1),""))</f>
        <v/>
      </c>
      <c r="F584" s="59">
        <f>IF($H584="","",IFERROR(VALUE(IFERROR(MID($H584&amp;" ",FIND("|",SUBSTITUTE($H584&amp;" "," ","|",4))+1,FIND("|",SUBSTITUTE($H584&amp;" "," ","|",5))-FIND("|",SUBSTITUTE($H584&amp;" "," ","|",4))-1),""))/86400+25569+9/24,""))</f>
        <v/>
      </c>
      <c r="G584" s="58">
        <f>TRIM(SUBSTITUTE(SUBSTITUTE(SUBSTITUTE($A584,CHAR(9)," ")," "," "),CHAR(13),""))</f>
        <v/>
      </c>
      <c r="H584" s="58">
        <f>IF($G584="","",IF(ISNUMBER(FIND(" ",$G584)),$G584,IFERROR(IF((LEN(SUBSTITUTE(SUBSTITUTE($G584,"-"," ",LEN($G584)-LEN(SUBSTITUTE($G584,"-",""))),"-"," ",LEN($G584)-LEN(SUBSTITUTE($G584,"-",""))-1))-LEN(SUBSTITUTE(SUBSTITUTE(SUBSTITUTE($G584,"-"," ",LEN($G584)-LEN(SUBSTITUTE($G584,"-",""))),"-"," ",LEN($G584)-LEN(SUBSTITUTE($G584,"-",""))-1),".","")))=0,SUBSTITUTE(SUBSTITUTE($G584,"-"," ",LEN($G584)-LEN(SUBSTITUTE($G584,"-",""))),"-"," ",LEN($G584)-LEN(SUBSTITUTE($G584,"-",""))-1),SUBSTITUTE(SUBSTITUTE(SUBSTITUTE($G584,"-"," ",LEN($G584)-LEN(SUBSTITUTE($G584,"-",""))),"-"," ",LEN($G584)-LEN(SUBSTITUTE($G584,"-",""))-1),"."," ",(LEN(SUBSTITUTE(SUBSTITUTE($G584,"-"," ",LEN($G584)-LEN(SUBSTITUTE($G584,"-",""))),"-"," ",LEN($G584)-LEN(SUBSTITUTE($G584,"-",""))-1))-LEN(SUBSTITUTE(SUBSTITUTE(SUBSTITUTE($G584,"-"," ",LEN($G584)-LEN(SUBSTITUTE($G584,"-",""))),"-"," ",LEN($G584)-LEN(SUBSTITUTE($G584,"-",""))-1),".",""))))),$G584)))</f>
        <v/>
      </c>
    </row>
    <row r="585">
      <c r="A585" s="58" t="n"/>
      <c r="B585" s="58">
        <f>IF($H585="","",LEFT($H585,FIND(" ",$H585&amp;" ")-1))</f>
        <v/>
      </c>
      <c r="C585" s="58">
        <f>IF($H585="","",IFERROR(MID($H585&amp;" ",FIND("|",SUBSTITUTE($H585&amp;" "," ","|",1))+1,FIND("|",SUBSTITUTE($H585&amp;" "," ","|",2))-FIND("|",SUBSTITUTE($H585&amp;" "," ","|",1))-1),""))</f>
        <v/>
      </c>
      <c r="D585" s="58">
        <f>IF($H585="","",IFERROR(MID($H585&amp;" ",FIND("|",SUBSTITUTE($H585&amp;" "," ","|",2))+1,FIND("|",SUBSTITUTE($H585&amp;" "," ","|",3))-FIND("|",SUBSTITUTE($H585&amp;" "," ","|",2))-1),""))</f>
        <v/>
      </c>
      <c r="E585" s="58">
        <f>IF($H585="","",IFERROR(MID($H585&amp;" ",FIND("|",SUBSTITUTE($H585&amp;" "," ","|",3))+1,FIND("|",SUBSTITUTE($H585&amp;" "," ","|",4))-FIND("|",SUBSTITUTE($H585&amp;" "," ","|",3))-1),""))</f>
        <v/>
      </c>
      <c r="F585" s="59">
        <f>IF($H585="","",IFERROR(VALUE(IFERROR(MID($H585&amp;" ",FIND("|",SUBSTITUTE($H585&amp;" "," ","|",4))+1,FIND("|",SUBSTITUTE($H585&amp;" "," ","|",5))-FIND("|",SUBSTITUTE($H585&amp;" "," ","|",4))-1),""))/86400+25569+9/24,""))</f>
        <v/>
      </c>
      <c r="G585" s="58">
        <f>TRIM(SUBSTITUTE(SUBSTITUTE(SUBSTITUTE($A585,CHAR(9)," ")," "," "),CHAR(13),""))</f>
        <v/>
      </c>
      <c r="H585" s="58">
        <f>IF($G585="","",IF(ISNUMBER(FIND(" ",$G585)),$G585,IFERROR(IF((LEN(SUBSTITUTE(SUBSTITUTE($G585,"-"," ",LEN($G585)-LEN(SUBSTITUTE($G585,"-",""))),"-"," ",LEN($G585)-LEN(SUBSTITUTE($G585,"-",""))-1))-LEN(SUBSTITUTE(SUBSTITUTE(SUBSTITUTE($G585,"-"," ",LEN($G585)-LEN(SUBSTITUTE($G585,"-",""))),"-"," ",LEN($G585)-LEN(SUBSTITUTE($G585,"-",""))-1),".","")))=0,SUBSTITUTE(SUBSTITUTE($G585,"-"," ",LEN($G585)-LEN(SUBSTITUTE($G585,"-",""))),"-"," ",LEN($G585)-LEN(SUBSTITUTE($G585,"-",""))-1),SUBSTITUTE(SUBSTITUTE(SUBSTITUTE($G585,"-"," ",LEN($G585)-LEN(SUBSTITUTE($G585,"-",""))),"-"," ",LEN($G585)-LEN(SUBSTITUTE($G585,"-",""))-1),"."," ",(LEN(SUBSTITUTE(SUBSTITUTE($G585,"-"," ",LEN($G585)-LEN(SUBSTITUTE($G585,"-",""))),"-"," ",LEN($G585)-LEN(SUBSTITUTE($G585,"-",""))-1))-LEN(SUBSTITUTE(SUBSTITUTE(SUBSTITUTE($G585,"-"," ",LEN($G585)-LEN(SUBSTITUTE($G585,"-",""))),"-"," ",LEN($G585)-LEN(SUBSTITUTE($G585,"-",""))-1),".",""))))),$G585)))</f>
        <v/>
      </c>
    </row>
    <row r="586">
      <c r="A586" s="58" t="n"/>
      <c r="B586" s="58">
        <f>IF($H586="","",LEFT($H586,FIND(" ",$H586&amp;" ")-1))</f>
        <v/>
      </c>
      <c r="C586" s="58">
        <f>IF($H586="","",IFERROR(MID($H586&amp;" ",FIND("|",SUBSTITUTE($H586&amp;" "," ","|",1))+1,FIND("|",SUBSTITUTE($H586&amp;" "," ","|",2))-FIND("|",SUBSTITUTE($H586&amp;" "," ","|",1))-1),""))</f>
        <v/>
      </c>
      <c r="D586" s="58">
        <f>IF($H586="","",IFERROR(MID($H586&amp;" ",FIND("|",SUBSTITUTE($H586&amp;" "," ","|",2))+1,FIND("|",SUBSTITUTE($H586&amp;" "," ","|",3))-FIND("|",SUBSTITUTE($H586&amp;" "," ","|",2))-1),""))</f>
        <v/>
      </c>
      <c r="E586" s="58">
        <f>IF($H586="","",IFERROR(MID($H586&amp;" ",FIND("|",SUBSTITUTE($H586&amp;" "," ","|",3))+1,FIND("|",SUBSTITUTE($H586&amp;" "," ","|",4))-FIND("|",SUBSTITUTE($H586&amp;" "," ","|",3))-1),""))</f>
        <v/>
      </c>
      <c r="F586" s="59">
        <f>IF($H586="","",IFERROR(VALUE(IFERROR(MID($H586&amp;" ",FIND("|",SUBSTITUTE($H586&amp;" "," ","|",4))+1,FIND("|",SUBSTITUTE($H586&amp;" "," ","|",5))-FIND("|",SUBSTITUTE($H586&amp;" "," ","|",4))-1),""))/86400+25569+9/24,""))</f>
        <v/>
      </c>
      <c r="G586" s="58">
        <f>TRIM(SUBSTITUTE(SUBSTITUTE(SUBSTITUTE($A586,CHAR(9)," ")," "," "),CHAR(13),""))</f>
        <v/>
      </c>
      <c r="H586" s="58">
        <f>IF($G586="","",IF(ISNUMBER(FIND(" ",$G586)),$G586,IFERROR(IF((LEN(SUBSTITUTE(SUBSTITUTE($G586,"-"," ",LEN($G586)-LEN(SUBSTITUTE($G586,"-",""))),"-"," ",LEN($G586)-LEN(SUBSTITUTE($G586,"-",""))-1))-LEN(SUBSTITUTE(SUBSTITUTE(SUBSTITUTE($G586,"-"," ",LEN($G586)-LEN(SUBSTITUTE($G586,"-",""))),"-"," ",LEN($G586)-LEN(SUBSTITUTE($G586,"-",""))-1),".","")))=0,SUBSTITUTE(SUBSTITUTE($G586,"-"," ",LEN($G586)-LEN(SUBSTITUTE($G586,"-",""))),"-"," ",LEN($G586)-LEN(SUBSTITUTE($G586,"-",""))-1),SUBSTITUTE(SUBSTITUTE(SUBSTITUTE($G586,"-"," ",LEN($G586)-LEN(SUBSTITUTE($G586,"-",""))),"-"," ",LEN($G586)-LEN(SUBSTITUTE($G586,"-",""))-1),"."," ",(LEN(SUBSTITUTE(SUBSTITUTE($G586,"-"," ",LEN($G586)-LEN(SUBSTITUTE($G586,"-",""))),"-"," ",LEN($G586)-LEN(SUBSTITUTE($G586,"-",""))-1))-LEN(SUBSTITUTE(SUBSTITUTE(SUBSTITUTE($G586,"-"," ",LEN($G586)-LEN(SUBSTITUTE($G586,"-",""))),"-"," ",LEN($G586)-LEN(SUBSTITUTE($G586,"-",""))-1),".",""))))),$G586)))</f>
        <v/>
      </c>
    </row>
    <row r="587">
      <c r="A587" s="58" t="n"/>
      <c r="B587" s="58">
        <f>IF($H587="","",LEFT($H587,FIND(" ",$H587&amp;" ")-1))</f>
        <v/>
      </c>
      <c r="C587" s="58">
        <f>IF($H587="","",IFERROR(MID($H587&amp;" ",FIND("|",SUBSTITUTE($H587&amp;" "," ","|",1))+1,FIND("|",SUBSTITUTE($H587&amp;" "," ","|",2))-FIND("|",SUBSTITUTE($H587&amp;" "," ","|",1))-1),""))</f>
        <v/>
      </c>
      <c r="D587" s="58">
        <f>IF($H587="","",IFERROR(MID($H587&amp;" ",FIND("|",SUBSTITUTE($H587&amp;" "," ","|",2))+1,FIND("|",SUBSTITUTE($H587&amp;" "," ","|",3))-FIND("|",SUBSTITUTE($H587&amp;" "," ","|",2))-1),""))</f>
        <v/>
      </c>
      <c r="E587" s="58">
        <f>IF($H587="","",IFERROR(MID($H587&amp;" ",FIND("|",SUBSTITUTE($H587&amp;" "," ","|",3))+1,FIND("|",SUBSTITUTE($H587&amp;" "," ","|",4))-FIND("|",SUBSTITUTE($H587&amp;" "," ","|",3))-1),""))</f>
        <v/>
      </c>
      <c r="F587" s="59">
        <f>IF($H587="","",IFERROR(VALUE(IFERROR(MID($H587&amp;" ",FIND("|",SUBSTITUTE($H587&amp;" "," ","|",4))+1,FIND("|",SUBSTITUTE($H587&amp;" "," ","|",5))-FIND("|",SUBSTITUTE($H587&amp;" "," ","|",4))-1),""))/86400+25569+9/24,""))</f>
        <v/>
      </c>
      <c r="G587" s="58">
        <f>TRIM(SUBSTITUTE(SUBSTITUTE(SUBSTITUTE($A587,CHAR(9)," ")," "," "),CHAR(13),""))</f>
        <v/>
      </c>
      <c r="H587" s="58">
        <f>IF($G587="","",IF(ISNUMBER(FIND(" ",$G587)),$G587,IFERROR(IF((LEN(SUBSTITUTE(SUBSTITUTE($G587,"-"," ",LEN($G587)-LEN(SUBSTITUTE($G587,"-",""))),"-"," ",LEN($G587)-LEN(SUBSTITUTE($G587,"-",""))-1))-LEN(SUBSTITUTE(SUBSTITUTE(SUBSTITUTE($G587,"-"," ",LEN($G587)-LEN(SUBSTITUTE($G587,"-",""))),"-"," ",LEN($G587)-LEN(SUBSTITUTE($G587,"-",""))-1),".","")))=0,SUBSTITUTE(SUBSTITUTE($G587,"-"," ",LEN($G587)-LEN(SUBSTITUTE($G587,"-",""))),"-"," ",LEN($G587)-LEN(SUBSTITUTE($G587,"-",""))-1),SUBSTITUTE(SUBSTITUTE(SUBSTITUTE($G587,"-"," ",LEN($G587)-LEN(SUBSTITUTE($G587,"-",""))),"-"," ",LEN($G587)-LEN(SUBSTITUTE($G587,"-",""))-1),"."," ",(LEN(SUBSTITUTE(SUBSTITUTE($G587,"-"," ",LEN($G587)-LEN(SUBSTITUTE($G587,"-",""))),"-"," ",LEN($G587)-LEN(SUBSTITUTE($G587,"-",""))-1))-LEN(SUBSTITUTE(SUBSTITUTE(SUBSTITUTE($G587,"-"," ",LEN($G587)-LEN(SUBSTITUTE($G587,"-",""))),"-"," ",LEN($G587)-LEN(SUBSTITUTE($G587,"-",""))-1),".",""))))),$G587)))</f>
        <v/>
      </c>
    </row>
    <row r="588">
      <c r="A588" s="58" t="n"/>
      <c r="B588" s="58">
        <f>IF($H588="","",LEFT($H588,FIND(" ",$H588&amp;" ")-1))</f>
        <v/>
      </c>
      <c r="C588" s="58">
        <f>IF($H588="","",IFERROR(MID($H588&amp;" ",FIND("|",SUBSTITUTE($H588&amp;" "," ","|",1))+1,FIND("|",SUBSTITUTE($H588&amp;" "," ","|",2))-FIND("|",SUBSTITUTE($H588&amp;" "," ","|",1))-1),""))</f>
        <v/>
      </c>
      <c r="D588" s="58">
        <f>IF($H588="","",IFERROR(MID($H588&amp;" ",FIND("|",SUBSTITUTE($H588&amp;" "," ","|",2))+1,FIND("|",SUBSTITUTE($H588&amp;" "," ","|",3))-FIND("|",SUBSTITUTE($H588&amp;" "," ","|",2))-1),""))</f>
        <v/>
      </c>
      <c r="E588" s="58">
        <f>IF($H588="","",IFERROR(MID($H588&amp;" ",FIND("|",SUBSTITUTE($H588&amp;" "," ","|",3))+1,FIND("|",SUBSTITUTE($H588&amp;" "," ","|",4))-FIND("|",SUBSTITUTE($H588&amp;" "," ","|",3))-1),""))</f>
        <v/>
      </c>
      <c r="F588" s="59">
        <f>IF($H588="","",IFERROR(VALUE(IFERROR(MID($H588&amp;" ",FIND("|",SUBSTITUTE($H588&amp;" "," ","|",4))+1,FIND("|",SUBSTITUTE($H588&amp;" "," ","|",5))-FIND("|",SUBSTITUTE($H588&amp;" "," ","|",4))-1),""))/86400+25569+9/24,""))</f>
        <v/>
      </c>
      <c r="G588" s="58">
        <f>TRIM(SUBSTITUTE(SUBSTITUTE(SUBSTITUTE($A588,CHAR(9)," ")," "," "),CHAR(13),""))</f>
        <v/>
      </c>
      <c r="H588" s="58">
        <f>IF($G588="","",IF(ISNUMBER(FIND(" ",$G588)),$G588,IFERROR(IF((LEN(SUBSTITUTE(SUBSTITUTE($G588,"-"," ",LEN($G588)-LEN(SUBSTITUTE($G588,"-",""))),"-"," ",LEN($G588)-LEN(SUBSTITUTE($G588,"-",""))-1))-LEN(SUBSTITUTE(SUBSTITUTE(SUBSTITUTE($G588,"-"," ",LEN($G588)-LEN(SUBSTITUTE($G588,"-",""))),"-"," ",LEN($G588)-LEN(SUBSTITUTE($G588,"-",""))-1),".","")))=0,SUBSTITUTE(SUBSTITUTE($G588,"-"," ",LEN($G588)-LEN(SUBSTITUTE($G588,"-",""))),"-"," ",LEN($G588)-LEN(SUBSTITUTE($G588,"-",""))-1),SUBSTITUTE(SUBSTITUTE(SUBSTITUTE($G588,"-"," ",LEN($G588)-LEN(SUBSTITUTE($G588,"-",""))),"-"," ",LEN($G588)-LEN(SUBSTITUTE($G588,"-",""))-1),"."," ",(LEN(SUBSTITUTE(SUBSTITUTE($G588,"-"," ",LEN($G588)-LEN(SUBSTITUTE($G588,"-",""))),"-"," ",LEN($G588)-LEN(SUBSTITUTE($G588,"-",""))-1))-LEN(SUBSTITUTE(SUBSTITUTE(SUBSTITUTE($G588,"-"," ",LEN($G588)-LEN(SUBSTITUTE($G588,"-",""))),"-"," ",LEN($G588)-LEN(SUBSTITUTE($G588,"-",""))-1),".",""))))),$G588)))</f>
        <v/>
      </c>
    </row>
    <row r="589">
      <c r="A589" s="58" t="n"/>
      <c r="B589" s="58">
        <f>IF($H589="","",LEFT($H589,FIND(" ",$H589&amp;" ")-1))</f>
        <v/>
      </c>
      <c r="C589" s="58">
        <f>IF($H589="","",IFERROR(MID($H589&amp;" ",FIND("|",SUBSTITUTE($H589&amp;" "," ","|",1))+1,FIND("|",SUBSTITUTE($H589&amp;" "," ","|",2))-FIND("|",SUBSTITUTE($H589&amp;" "," ","|",1))-1),""))</f>
        <v/>
      </c>
      <c r="D589" s="58">
        <f>IF($H589="","",IFERROR(MID($H589&amp;" ",FIND("|",SUBSTITUTE($H589&amp;" "," ","|",2))+1,FIND("|",SUBSTITUTE($H589&amp;" "," ","|",3))-FIND("|",SUBSTITUTE($H589&amp;" "," ","|",2))-1),""))</f>
        <v/>
      </c>
      <c r="E589" s="58">
        <f>IF($H589="","",IFERROR(MID($H589&amp;" ",FIND("|",SUBSTITUTE($H589&amp;" "," ","|",3))+1,FIND("|",SUBSTITUTE($H589&amp;" "," ","|",4))-FIND("|",SUBSTITUTE($H589&amp;" "," ","|",3))-1),""))</f>
        <v/>
      </c>
      <c r="F589" s="59">
        <f>IF($H589="","",IFERROR(VALUE(IFERROR(MID($H589&amp;" ",FIND("|",SUBSTITUTE($H589&amp;" "," ","|",4))+1,FIND("|",SUBSTITUTE($H589&amp;" "," ","|",5))-FIND("|",SUBSTITUTE($H589&amp;" "," ","|",4))-1),""))/86400+25569+9/24,""))</f>
        <v/>
      </c>
      <c r="G589" s="58">
        <f>TRIM(SUBSTITUTE(SUBSTITUTE(SUBSTITUTE($A589,CHAR(9)," ")," "," "),CHAR(13),""))</f>
        <v/>
      </c>
      <c r="H589" s="58">
        <f>IF($G589="","",IF(ISNUMBER(FIND(" ",$G589)),$G589,IFERROR(IF((LEN(SUBSTITUTE(SUBSTITUTE($G589,"-"," ",LEN($G589)-LEN(SUBSTITUTE($G589,"-",""))),"-"," ",LEN($G589)-LEN(SUBSTITUTE($G589,"-",""))-1))-LEN(SUBSTITUTE(SUBSTITUTE(SUBSTITUTE($G589,"-"," ",LEN($G589)-LEN(SUBSTITUTE($G589,"-",""))),"-"," ",LEN($G589)-LEN(SUBSTITUTE($G589,"-",""))-1),".","")))=0,SUBSTITUTE(SUBSTITUTE($G589,"-"," ",LEN($G589)-LEN(SUBSTITUTE($G589,"-",""))),"-"," ",LEN($G589)-LEN(SUBSTITUTE($G589,"-",""))-1),SUBSTITUTE(SUBSTITUTE(SUBSTITUTE($G589,"-"," ",LEN($G589)-LEN(SUBSTITUTE($G589,"-",""))),"-"," ",LEN($G589)-LEN(SUBSTITUTE($G589,"-",""))-1),"."," ",(LEN(SUBSTITUTE(SUBSTITUTE($G589,"-"," ",LEN($G589)-LEN(SUBSTITUTE($G589,"-",""))),"-"," ",LEN($G589)-LEN(SUBSTITUTE($G589,"-",""))-1))-LEN(SUBSTITUTE(SUBSTITUTE(SUBSTITUTE($G589,"-"," ",LEN($G589)-LEN(SUBSTITUTE($G589,"-",""))),"-"," ",LEN($G589)-LEN(SUBSTITUTE($G589,"-",""))-1),".",""))))),$G589)))</f>
        <v/>
      </c>
    </row>
    <row r="590">
      <c r="A590" s="58" t="n"/>
      <c r="B590" s="58">
        <f>IF($H590="","",LEFT($H590,FIND(" ",$H590&amp;" ")-1))</f>
        <v/>
      </c>
      <c r="C590" s="58">
        <f>IF($H590="","",IFERROR(MID($H590&amp;" ",FIND("|",SUBSTITUTE($H590&amp;" "," ","|",1))+1,FIND("|",SUBSTITUTE($H590&amp;" "," ","|",2))-FIND("|",SUBSTITUTE($H590&amp;" "," ","|",1))-1),""))</f>
        <v/>
      </c>
      <c r="D590" s="58">
        <f>IF($H590="","",IFERROR(MID($H590&amp;" ",FIND("|",SUBSTITUTE($H590&amp;" "," ","|",2))+1,FIND("|",SUBSTITUTE($H590&amp;" "," ","|",3))-FIND("|",SUBSTITUTE($H590&amp;" "," ","|",2))-1),""))</f>
        <v/>
      </c>
      <c r="E590" s="58">
        <f>IF($H590="","",IFERROR(MID($H590&amp;" ",FIND("|",SUBSTITUTE($H590&amp;" "," ","|",3))+1,FIND("|",SUBSTITUTE($H590&amp;" "," ","|",4))-FIND("|",SUBSTITUTE($H590&amp;" "," ","|",3))-1),""))</f>
        <v/>
      </c>
      <c r="F590" s="59">
        <f>IF($H590="","",IFERROR(VALUE(IFERROR(MID($H590&amp;" ",FIND("|",SUBSTITUTE($H590&amp;" "," ","|",4))+1,FIND("|",SUBSTITUTE($H590&amp;" "," ","|",5))-FIND("|",SUBSTITUTE($H590&amp;" "," ","|",4))-1),""))/86400+25569+9/24,""))</f>
        <v/>
      </c>
      <c r="G590" s="58">
        <f>TRIM(SUBSTITUTE(SUBSTITUTE(SUBSTITUTE($A590,CHAR(9)," ")," "," "),CHAR(13),""))</f>
        <v/>
      </c>
      <c r="H590" s="58">
        <f>IF($G590="","",IF(ISNUMBER(FIND(" ",$G590)),$G590,IFERROR(IF((LEN(SUBSTITUTE(SUBSTITUTE($G590,"-"," ",LEN($G590)-LEN(SUBSTITUTE($G590,"-",""))),"-"," ",LEN($G590)-LEN(SUBSTITUTE($G590,"-",""))-1))-LEN(SUBSTITUTE(SUBSTITUTE(SUBSTITUTE($G590,"-"," ",LEN($G590)-LEN(SUBSTITUTE($G590,"-",""))),"-"," ",LEN($G590)-LEN(SUBSTITUTE($G590,"-",""))-1),".","")))=0,SUBSTITUTE(SUBSTITUTE($G590,"-"," ",LEN($G590)-LEN(SUBSTITUTE($G590,"-",""))),"-"," ",LEN($G590)-LEN(SUBSTITUTE($G590,"-",""))-1),SUBSTITUTE(SUBSTITUTE(SUBSTITUTE($G590,"-"," ",LEN($G590)-LEN(SUBSTITUTE($G590,"-",""))),"-"," ",LEN($G590)-LEN(SUBSTITUTE($G590,"-",""))-1),"."," ",(LEN(SUBSTITUTE(SUBSTITUTE($G590,"-"," ",LEN($G590)-LEN(SUBSTITUTE($G590,"-",""))),"-"," ",LEN($G590)-LEN(SUBSTITUTE($G590,"-",""))-1))-LEN(SUBSTITUTE(SUBSTITUTE(SUBSTITUTE($G590,"-"," ",LEN($G590)-LEN(SUBSTITUTE($G590,"-",""))),"-"," ",LEN($G590)-LEN(SUBSTITUTE($G590,"-",""))-1),".",""))))),$G590)))</f>
        <v/>
      </c>
    </row>
    <row r="591">
      <c r="A591" s="58" t="n"/>
      <c r="B591" s="58">
        <f>IF($H591="","",LEFT($H591,FIND(" ",$H591&amp;" ")-1))</f>
        <v/>
      </c>
      <c r="C591" s="58">
        <f>IF($H591="","",IFERROR(MID($H591&amp;" ",FIND("|",SUBSTITUTE($H591&amp;" "," ","|",1))+1,FIND("|",SUBSTITUTE($H591&amp;" "," ","|",2))-FIND("|",SUBSTITUTE($H591&amp;" "," ","|",1))-1),""))</f>
        <v/>
      </c>
      <c r="D591" s="58">
        <f>IF($H591="","",IFERROR(MID($H591&amp;" ",FIND("|",SUBSTITUTE($H591&amp;" "," ","|",2))+1,FIND("|",SUBSTITUTE($H591&amp;" "," ","|",3))-FIND("|",SUBSTITUTE($H591&amp;" "," ","|",2))-1),""))</f>
        <v/>
      </c>
      <c r="E591" s="58">
        <f>IF($H591="","",IFERROR(MID($H591&amp;" ",FIND("|",SUBSTITUTE($H591&amp;" "," ","|",3))+1,FIND("|",SUBSTITUTE($H591&amp;" "," ","|",4))-FIND("|",SUBSTITUTE($H591&amp;" "," ","|",3))-1),""))</f>
        <v/>
      </c>
      <c r="F591" s="59">
        <f>IF($H591="","",IFERROR(VALUE(IFERROR(MID($H591&amp;" ",FIND("|",SUBSTITUTE($H591&amp;" "," ","|",4))+1,FIND("|",SUBSTITUTE($H591&amp;" "," ","|",5))-FIND("|",SUBSTITUTE($H591&amp;" "," ","|",4))-1),""))/86400+25569+9/24,""))</f>
        <v/>
      </c>
      <c r="G591" s="58">
        <f>TRIM(SUBSTITUTE(SUBSTITUTE(SUBSTITUTE($A591,CHAR(9)," ")," "," "),CHAR(13),""))</f>
        <v/>
      </c>
      <c r="H591" s="58">
        <f>IF($G591="","",IF(ISNUMBER(FIND(" ",$G591)),$G591,IFERROR(IF((LEN(SUBSTITUTE(SUBSTITUTE($G591,"-"," ",LEN($G591)-LEN(SUBSTITUTE($G591,"-",""))),"-"," ",LEN($G591)-LEN(SUBSTITUTE($G591,"-",""))-1))-LEN(SUBSTITUTE(SUBSTITUTE(SUBSTITUTE($G591,"-"," ",LEN($G591)-LEN(SUBSTITUTE($G591,"-",""))),"-"," ",LEN($G591)-LEN(SUBSTITUTE($G591,"-",""))-1),".","")))=0,SUBSTITUTE(SUBSTITUTE($G591,"-"," ",LEN($G591)-LEN(SUBSTITUTE($G591,"-",""))),"-"," ",LEN($G591)-LEN(SUBSTITUTE($G591,"-",""))-1),SUBSTITUTE(SUBSTITUTE(SUBSTITUTE($G591,"-"," ",LEN($G591)-LEN(SUBSTITUTE($G591,"-",""))),"-"," ",LEN($G591)-LEN(SUBSTITUTE($G591,"-",""))-1),"."," ",(LEN(SUBSTITUTE(SUBSTITUTE($G591,"-"," ",LEN($G591)-LEN(SUBSTITUTE($G591,"-",""))),"-"," ",LEN($G591)-LEN(SUBSTITUTE($G591,"-",""))-1))-LEN(SUBSTITUTE(SUBSTITUTE(SUBSTITUTE($G591,"-"," ",LEN($G591)-LEN(SUBSTITUTE($G591,"-",""))),"-"," ",LEN($G591)-LEN(SUBSTITUTE($G591,"-",""))-1),".",""))))),$G591)))</f>
        <v/>
      </c>
    </row>
    <row r="592">
      <c r="A592" s="58" t="n"/>
      <c r="B592" s="58">
        <f>IF($H592="","",LEFT($H592,FIND(" ",$H592&amp;" ")-1))</f>
        <v/>
      </c>
      <c r="C592" s="58">
        <f>IF($H592="","",IFERROR(MID($H592&amp;" ",FIND("|",SUBSTITUTE($H592&amp;" "," ","|",1))+1,FIND("|",SUBSTITUTE($H592&amp;" "," ","|",2))-FIND("|",SUBSTITUTE($H592&amp;" "," ","|",1))-1),""))</f>
        <v/>
      </c>
      <c r="D592" s="58">
        <f>IF($H592="","",IFERROR(MID($H592&amp;" ",FIND("|",SUBSTITUTE($H592&amp;" "," ","|",2))+1,FIND("|",SUBSTITUTE($H592&amp;" "," ","|",3))-FIND("|",SUBSTITUTE($H592&amp;" "," ","|",2))-1),""))</f>
        <v/>
      </c>
      <c r="E592" s="58">
        <f>IF($H592="","",IFERROR(MID($H592&amp;" ",FIND("|",SUBSTITUTE($H592&amp;" "," ","|",3))+1,FIND("|",SUBSTITUTE($H592&amp;" "," ","|",4))-FIND("|",SUBSTITUTE($H592&amp;" "," ","|",3))-1),""))</f>
        <v/>
      </c>
      <c r="F592" s="59">
        <f>IF($H592="","",IFERROR(VALUE(IFERROR(MID($H592&amp;" ",FIND("|",SUBSTITUTE($H592&amp;" "," ","|",4))+1,FIND("|",SUBSTITUTE($H592&amp;" "," ","|",5))-FIND("|",SUBSTITUTE($H592&amp;" "," ","|",4))-1),""))/86400+25569+9/24,""))</f>
        <v/>
      </c>
      <c r="G592" s="58">
        <f>TRIM(SUBSTITUTE(SUBSTITUTE(SUBSTITUTE($A592,CHAR(9)," ")," "," "),CHAR(13),""))</f>
        <v/>
      </c>
      <c r="H592" s="58">
        <f>IF($G592="","",IF(ISNUMBER(FIND(" ",$G592)),$G592,IFERROR(IF((LEN(SUBSTITUTE(SUBSTITUTE($G592,"-"," ",LEN($G592)-LEN(SUBSTITUTE($G592,"-",""))),"-"," ",LEN($G592)-LEN(SUBSTITUTE($G592,"-",""))-1))-LEN(SUBSTITUTE(SUBSTITUTE(SUBSTITUTE($G592,"-"," ",LEN($G592)-LEN(SUBSTITUTE($G592,"-",""))),"-"," ",LEN($G592)-LEN(SUBSTITUTE($G592,"-",""))-1),".","")))=0,SUBSTITUTE(SUBSTITUTE($G592,"-"," ",LEN($G592)-LEN(SUBSTITUTE($G592,"-",""))),"-"," ",LEN($G592)-LEN(SUBSTITUTE($G592,"-",""))-1),SUBSTITUTE(SUBSTITUTE(SUBSTITUTE($G592,"-"," ",LEN($G592)-LEN(SUBSTITUTE($G592,"-",""))),"-"," ",LEN($G592)-LEN(SUBSTITUTE($G592,"-",""))-1),"."," ",(LEN(SUBSTITUTE(SUBSTITUTE($G592,"-"," ",LEN($G592)-LEN(SUBSTITUTE($G592,"-",""))),"-"," ",LEN($G592)-LEN(SUBSTITUTE($G592,"-",""))-1))-LEN(SUBSTITUTE(SUBSTITUTE(SUBSTITUTE($G592,"-"," ",LEN($G592)-LEN(SUBSTITUTE($G592,"-",""))),"-"," ",LEN($G592)-LEN(SUBSTITUTE($G592,"-",""))-1),".",""))))),$G592)))</f>
        <v/>
      </c>
    </row>
    <row r="593">
      <c r="A593" s="58" t="n"/>
      <c r="B593" s="58">
        <f>IF($H593="","",LEFT($H593,FIND(" ",$H593&amp;" ")-1))</f>
        <v/>
      </c>
      <c r="C593" s="58">
        <f>IF($H593="","",IFERROR(MID($H593&amp;" ",FIND("|",SUBSTITUTE($H593&amp;" "," ","|",1))+1,FIND("|",SUBSTITUTE($H593&amp;" "," ","|",2))-FIND("|",SUBSTITUTE($H593&amp;" "," ","|",1))-1),""))</f>
        <v/>
      </c>
      <c r="D593" s="58">
        <f>IF($H593="","",IFERROR(MID($H593&amp;" ",FIND("|",SUBSTITUTE($H593&amp;" "," ","|",2))+1,FIND("|",SUBSTITUTE($H593&amp;" "," ","|",3))-FIND("|",SUBSTITUTE($H593&amp;" "," ","|",2))-1),""))</f>
        <v/>
      </c>
      <c r="E593" s="58">
        <f>IF($H593="","",IFERROR(MID($H593&amp;" ",FIND("|",SUBSTITUTE($H593&amp;" "," ","|",3))+1,FIND("|",SUBSTITUTE($H593&amp;" "," ","|",4))-FIND("|",SUBSTITUTE($H593&amp;" "," ","|",3))-1),""))</f>
        <v/>
      </c>
      <c r="F593" s="59">
        <f>IF($H593="","",IFERROR(VALUE(IFERROR(MID($H593&amp;" ",FIND("|",SUBSTITUTE($H593&amp;" "," ","|",4))+1,FIND("|",SUBSTITUTE($H593&amp;" "," ","|",5))-FIND("|",SUBSTITUTE($H593&amp;" "," ","|",4))-1),""))/86400+25569+9/24,""))</f>
        <v/>
      </c>
      <c r="G593" s="58">
        <f>TRIM(SUBSTITUTE(SUBSTITUTE(SUBSTITUTE($A593,CHAR(9)," ")," "," "),CHAR(13),""))</f>
        <v/>
      </c>
      <c r="H593" s="58">
        <f>IF($G593="","",IF(ISNUMBER(FIND(" ",$G593)),$G593,IFERROR(IF((LEN(SUBSTITUTE(SUBSTITUTE($G593,"-"," ",LEN($G593)-LEN(SUBSTITUTE($G593,"-",""))),"-"," ",LEN($G593)-LEN(SUBSTITUTE($G593,"-",""))-1))-LEN(SUBSTITUTE(SUBSTITUTE(SUBSTITUTE($G593,"-"," ",LEN($G593)-LEN(SUBSTITUTE($G593,"-",""))),"-"," ",LEN($G593)-LEN(SUBSTITUTE($G593,"-",""))-1),".","")))=0,SUBSTITUTE(SUBSTITUTE($G593,"-"," ",LEN($G593)-LEN(SUBSTITUTE($G593,"-",""))),"-"," ",LEN($G593)-LEN(SUBSTITUTE($G593,"-",""))-1),SUBSTITUTE(SUBSTITUTE(SUBSTITUTE($G593,"-"," ",LEN($G593)-LEN(SUBSTITUTE($G593,"-",""))),"-"," ",LEN($G593)-LEN(SUBSTITUTE($G593,"-",""))-1),"."," ",(LEN(SUBSTITUTE(SUBSTITUTE($G593,"-"," ",LEN($G593)-LEN(SUBSTITUTE($G593,"-",""))),"-"," ",LEN($G593)-LEN(SUBSTITUTE($G593,"-",""))-1))-LEN(SUBSTITUTE(SUBSTITUTE(SUBSTITUTE($G593,"-"," ",LEN($G593)-LEN(SUBSTITUTE($G593,"-",""))),"-"," ",LEN($G593)-LEN(SUBSTITUTE($G593,"-",""))-1),".",""))))),$G593)))</f>
        <v/>
      </c>
    </row>
    <row r="594">
      <c r="A594" s="58" t="n"/>
      <c r="B594" s="58">
        <f>IF($H594="","",LEFT($H594,FIND(" ",$H594&amp;" ")-1))</f>
        <v/>
      </c>
      <c r="C594" s="58">
        <f>IF($H594="","",IFERROR(MID($H594&amp;" ",FIND("|",SUBSTITUTE($H594&amp;" "," ","|",1))+1,FIND("|",SUBSTITUTE($H594&amp;" "," ","|",2))-FIND("|",SUBSTITUTE($H594&amp;" "," ","|",1))-1),""))</f>
        <v/>
      </c>
      <c r="D594" s="58">
        <f>IF($H594="","",IFERROR(MID($H594&amp;" ",FIND("|",SUBSTITUTE($H594&amp;" "," ","|",2))+1,FIND("|",SUBSTITUTE($H594&amp;" "," ","|",3))-FIND("|",SUBSTITUTE($H594&amp;" "," ","|",2))-1),""))</f>
        <v/>
      </c>
      <c r="E594" s="58">
        <f>IF($H594="","",IFERROR(MID($H594&amp;" ",FIND("|",SUBSTITUTE($H594&amp;" "," ","|",3))+1,FIND("|",SUBSTITUTE($H594&amp;" "," ","|",4))-FIND("|",SUBSTITUTE($H594&amp;" "," ","|",3))-1),""))</f>
        <v/>
      </c>
      <c r="F594" s="59">
        <f>IF($H594="","",IFERROR(VALUE(IFERROR(MID($H594&amp;" ",FIND("|",SUBSTITUTE($H594&amp;" "," ","|",4))+1,FIND("|",SUBSTITUTE($H594&amp;" "," ","|",5))-FIND("|",SUBSTITUTE($H594&amp;" "," ","|",4))-1),""))/86400+25569+9/24,""))</f>
        <v/>
      </c>
      <c r="G594" s="58">
        <f>TRIM(SUBSTITUTE(SUBSTITUTE(SUBSTITUTE($A594,CHAR(9)," ")," "," "),CHAR(13),""))</f>
        <v/>
      </c>
      <c r="H594" s="58">
        <f>IF($G594="","",IF(ISNUMBER(FIND(" ",$G594)),$G594,IFERROR(IF((LEN(SUBSTITUTE(SUBSTITUTE($G594,"-"," ",LEN($G594)-LEN(SUBSTITUTE($G594,"-",""))),"-"," ",LEN($G594)-LEN(SUBSTITUTE($G594,"-",""))-1))-LEN(SUBSTITUTE(SUBSTITUTE(SUBSTITUTE($G594,"-"," ",LEN($G594)-LEN(SUBSTITUTE($G594,"-",""))),"-"," ",LEN($G594)-LEN(SUBSTITUTE($G594,"-",""))-1),".","")))=0,SUBSTITUTE(SUBSTITUTE($G594,"-"," ",LEN($G594)-LEN(SUBSTITUTE($G594,"-",""))),"-"," ",LEN($G594)-LEN(SUBSTITUTE($G594,"-",""))-1),SUBSTITUTE(SUBSTITUTE(SUBSTITUTE($G594,"-"," ",LEN($G594)-LEN(SUBSTITUTE($G594,"-",""))),"-"," ",LEN($G594)-LEN(SUBSTITUTE($G594,"-",""))-1),"."," ",(LEN(SUBSTITUTE(SUBSTITUTE($G594,"-"," ",LEN($G594)-LEN(SUBSTITUTE($G594,"-",""))),"-"," ",LEN($G594)-LEN(SUBSTITUTE($G594,"-",""))-1))-LEN(SUBSTITUTE(SUBSTITUTE(SUBSTITUTE($G594,"-"," ",LEN($G594)-LEN(SUBSTITUTE($G594,"-",""))),"-"," ",LEN($G594)-LEN(SUBSTITUTE($G594,"-",""))-1),".",""))))),$G594)))</f>
        <v/>
      </c>
    </row>
    <row r="595">
      <c r="A595" s="58" t="n"/>
      <c r="B595" s="58">
        <f>IF($H595="","",LEFT($H595,FIND(" ",$H595&amp;" ")-1))</f>
        <v/>
      </c>
      <c r="C595" s="58">
        <f>IF($H595="","",IFERROR(MID($H595&amp;" ",FIND("|",SUBSTITUTE($H595&amp;" "," ","|",1))+1,FIND("|",SUBSTITUTE($H595&amp;" "," ","|",2))-FIND("|",SUBSTITUTE($H595&amp;" "," ","|",1))-1),""))</f>
        <v/>
      </c>
      <c r="D595" s="58">
        <f>IF($H595="","",IFERROR(MID($H595&amp;" ",FIND("|",SUBSTITUTE($H595&amp;" "," ","|",2))+1,FIND("|",SUBSTITUTE($H595&amp;" "," ","|",3))-FIND("|",SUBSTITUTE($H595&amp;" "," ","|",2))-1),""))</f>
        <v/>
      </c>
      <c r="E595" s="58">
        <f>IF($H595="","",IFERROR(MID($H595&amp;" ",FIND("|",SUBSTITUTE($H595&amp;" "," ","|",3))+1,FIND("|",SUBSTITUTE($H595&amp;" "," ","|",4))-FIND("|",SUBSTITUTE($H595&amp;" "," ","|",3))-1),""))</f>
        <v/>
      </c>
      <c r="F595" s="59">
        <f>IF($H595="","",IFERROR(VALUE(IFERROR(MID($H595&amp;" ",FIND("|",SUBSTITUTE($H595&amp;" "," ","|",4))+1,FIND("|",SUBSTITUTE($H595&amp;" "," ","|",5))-FIND("|",SUBSTITUTE($H595&amp;" "," ","|",4))-1),""))/86400+25569+9/24,""))</f>
        <v/>
      </c>
      <c r="G595" s="58">
        <f>TRIM(SUBSTITUTE(SUBSTITUTE(SUBSTITUTE($A595,CHAR(9)," ")," "," "),CHAR(13),""))</f>
        <v/>
      </c>
      <c r="H595" s="58">
        <f>IF($G595="","",IF(ISNUMBER(FIND(" ",$G595)),$G595,IFERROR(IF((LEN(SUBSTITUTE(SUBSTITUTE($G595,"-"," ",LEN($G595)-LEN(SUBSTITUTE($G595,"-",""))),"-"," ",LEN($G595)-LEN(SUBSTITUTE($G595,"-",""))-1))-LEN(SUBSTITUTE(SUBSTITUTE(SUBSTITUTE($G595,"-"," ",LEN($G595)-LEN(SUBSTITUTE($G595,"-",""))),"-"," ",LEN($G595)-LEN(SUBSTITUTE($G595,"-",""))-1),".","")))=0,SUBSTITUTE(SUBSTITUTE($G595,"-"," ",LEN($G595)-LEN(SUBSTITUTE($G595,"-",""))),"-"," ",LEN($G595)-LEN(SUBSTITUTE($G595,"-",""))-1),SUBSTITUTE(SUBSTITUTE(SUBSTITUTE($G595,"-"," ",LEN($G595)-LEN(SUBSTITUTE($G595,"-",""))),"-"," ",LEN($G595)-LEN(SUBSTITUTE($G595,"-",""))-1),"."," ",(LEN(SUBSTITUTE(SUBSTITUTE($G595,"-"," ",LEN($G595)-LEN(SUBSTITUTE($G595,"-",""))),"-"," ",LEN($G595)-LEN(SUBSTITUTE($G595,"-",""))-1))-LEN(SUBSTITUTE(SUBSTITUTE(SUBSTITUTE($G595,"-"," ",LEN($G595)-LEN(SUBSTITUTE($G595,"-",""))),"-"," ",LEN($G595)-LEN(SUBSTITUTE($G595,"-",""))-1),".",""))))),$G595)))</f>
        <v/>
      </c>
    </row>
    <row r="596">
      <c r="A596" s="58" t="n"/>
      <c r="B596" s="58">
        <f>IF($H596="","",LEFT($H596,FIND(" ",$H596&amp;" ")-1))</f>
        <v/>
      </c>
      <c r="C596" s="58">
        <f>IF($H596="","",IFERROR(MID($H596&amp;" ",FIND("|",SUBSTITUTE($H596&amp;" "," ","|",1))+1,FIND("|",SUBSTITUTE($H596&amp;" "," ","|",2))-FIND("|",SUBSTITUTE($H596&amp;" "," ","|",1))-1),""))</f>
        <v/>
      </c>
      <c r="D596" s="58">
        <f>IF($H596="","",IFERROR(MID($H596&amp;" ",FIND("|",SUBSTITUTE($H596&amp;" "," ","|",2))+1,FIND("|",SUBSTITUTE($H596&amp;" "," ","|",3))-FIND("|",SUBSTITUTE($H596&amp;" "," ","|",2))-1),""))</f>
        <v/>
      </c>
      <c r="E596" s="58">
        <f>IF($H596="","",IFERROR(MID($H596&amp;" ",FIND("|",SUBSTITUTE($H596&amp;" "," ","|",3))+1,FIND("|",SUBSTITUTE($H596&amp;" "," ","|",4))-FIND("|",SUBSTITUTE($H596&amp;" "," ","|",3))-1),""))</f>
        <v/>
      </c>
      <c r="F596" s="59">
        <f>IF($H596="","",IFERROR(VALUE(IFERROR(MID($H596&amp;" ",FIND("|",SUBSTITUTE($H596&amp;" "," ","|",4))+1,FIND("|",SUBSTITUTE($H596&amp;" "," ","|",5))-FIND("|",SUBSTITUTE($H596&amp;" "," ","|",4))-1),""))/86400+25569+9/24,""))</f>
        <v/>
      </c>
      <c r="G596" s="58">
        <f>TRIM(SUBSTITUTE(SUBSTITUTE(SUBSTITUTE($A596,CHAR(9)," ")," "," "),CHAR(13),""))</f>
        <v/>
      </c>
      <c r="H596" s="58">
        <f>IF($G596="","",IF(ISNUMBER(FIND(" ",$G596)),$G596,IFERROR(IF((LEN(SUBSTITUTE(SUBSTITUTE($G596,"-"," ",LEN($G596)-LEN(SUBSTITUTE($G596,"-",""))),"-"," ",LEN($G596)-LEN(SUBSTITUTE($G596,"-",""))-1))-LEN(SUBSTITUTE(SUBSTITUTE(SUBSTITUTE($G596,"-"," ",LEN($G596)-LEN(SUBSTITUTE($G596,"-",""))),"-"," ",LEN($G596)-LEN(SUBSTITUTE($G596,"-",""))-1),".","")))=0,SUBSTITUTE(SUBSTITUTE($G596,"-"," ",LEN($G596)-LEN(SUBSTITUTE($G596,"-",""))),"-"," ",LEN($G596)-LEN(SUBSTITUTE($G596,"-",""))-1),SUBSTITUTE(SUBSTITUTE(SUBSTITUTE($G596,"-"," ",LEN($G596)-LEN(SUBSTITUTE($G596,"-",""))),"-"," ",LEN($G596)-LEN(SUBSTITUTE($G596,"-",""))-1),"."," ",(LEN(SUBSTITUTE(SUBSTITUTE($G596,"-"," ",LEN($G596)-LEN(SUBSTITUTE($G596,"-",""))),"-"," ",LEN($G596)-LEN(SUBSTITUTE($G596,"-",""))-1))-LEN(SUBSTITUTE(SUBSTITUTE(SUBSTITUTE($G596,"-"," ",LEN($G596)-LEN(SUBSTITUTE($G596,"-",""))),"-"," ",LEN($G596)-LEN(SUBSTITUTE($G596,"-",""))-1),".",""))))),$G596)))</f>
        <v/>
      </c>
    </row>
    <row r="597">
      <c r="A597" s="58" t="n"/>
      <c r="B597" s="58">
        <f>IF($H597="","",LEFT($H597,FIND(" ",$H597&amp;" ")-1))</f>
        <v/>
      </c>
      <c r="C597" s="58">
        <f>IF($H597="","",IFERROR(MID($H597&amp;" ",FIND("|",SUBSTITUTE($H597&amp;" "," ","|",1))+1,FIND("|",SUBSTITUTE($H597&amp;" "," ","|",2))-FIND("|",SUBSTITUTE($H597&amp;" "," ","|",1))-1),""))</f>
        <v/>
      </c>
      <c r="D597" s="58">
        <f>IF($H597="","",IFERROR(MID($H597&amp;" ",FIND("|",SUBSTITUTE($H597&amp;" "," ","|",2))+1,FIND("|",SUBSTITUTE($H597&amp;" "," ","|",3))-FIND("|",SUBSTITUTE($H597&amp;" "," ","|",2))-1),""))</f>
        <v/>
      </c>
      <c r="E597" s="58">
        <f>IF($H597="","",IFERROR(MID($H597&amp;" ",FIND("|",SUBSTITUTE($H597&amp;" "," ","|",3))+1,FIND("|",SUBSTITUTE($H597&amp;" "," ","|",4))-FIND("|",SUBSTITUTE($H597&amp;" "," ","|",3))-1),""))</f>
        <v/>
      </c>
      <c r="F597" s="59">
        <f>IF($H597="","",IFERROR(VALUE(IFERROR(MID($H597&amp;" ",FIND("|",SUBSTITUTE($H597&amp;" "," ","|",4))+1,FIND("|",SUBSTITUTE($H597&amp;" "," ","|",5))-FIND("|",SUBSTITUTE($H597&amp;" "," ","|",4))-1),""))/86400+25569+9/24,""))</f>
        <v/>
      </c>
      <c r="G597" s="58">
        <f>TRIM(SUBSTITUTE(SUBSTITUTE(SUBSTITUTE($A597,CHAR(9)," ")," "," "),CHAR(13),""))</f>
        <v/>
      </c>
      <c r="H597" s="58">
        <f>IF($G597="","",IF(ISNUMBER(FIND(" ",$G597)),$G597,IFERROR(IF((LEN(SUBSTITUTE(SUBSTITUTE($G597,"-"," ",LEN($G597)-LEN(SUBSTITUTE($G597,"-",""))),"-"," ",LEN($G597)-LEN(SUBSTITUTE($G597,"-",""))-1))-LEN(SUBSTITUTE(SUBSTITUTE(SUBSTITUTE($G597,"-"," ",LEN($G597)-LEN(SUBSTITUTE($G597,"-",""))),"-"," ",LEN($G597)-LEN(SUBSTITUTE($G597,"-",""))-1),".","")))=0,SUBSTITUTE(SUBSTITUTE($G597,"-"," ",LEN($G597)-LEN(SUBSTITUTE($G597,"-",""))),"-"," ",LEN($G597)-LEN(SUBSTITUTE($G597,"-",""))-1),SUBSTITUTE(SUBSTITUTE(SUBSTITUTE($G597,"-"," ",LEN($G597)-LEN(SUBSTITUTE($G597,"-",""))),"-"," ",LEN($G597)-LEN(SUBSTITUTE($G597,"-",""))-1),"."," ",(LEN(SUBSTITUTE(SUBSTITUTE($G597,"-"," ",LEN($G597)-LEN(SUBSTITUTE($G597,"-",""))),"-"," ",LEN($G597)-LEN(SUBSTITUTE($G597,"-",""))-1))-LEN(SUBSTITUTE(SUBSTITUTE(SUBSTITUTE($G597,"-"," ",LEN($G597)-LEN(SUBSTITUTE($G597,"-",""))),"-"," ",LEN($G597)-LEN(SUBSTITUTE($G597,"-",""))-1),".",""))))),$G597)))</f>
        <v/>
      </c>
    </row>
    <row r="598">
      <c r="A598" s="58" t="n"/>
      <c r="B598" s="58">
        <f>IF($H598="","",LEFT($H598,FIND(" ",$H598&amp;" ")-1))</f>
        <v/>
      </c>
      <c r="C598" s="58">
        <f>IF($H598="","",IFERROR(MID($H598&amp;" ",FIND("|",SUBSTITUTE($H598&amp;" "," ","|",1))+1,FIND("|",SUBSTITUTE($H598&amp;" "," ","|",2))-FIND("|",SUBSTITUTE($H598&amp;" "," ","|",1))-1),""))</f>
        <v/>
      </c>
      <c r="D598" s="58">
        <f>IF($H598="","",IFERROR(MID($H598&amp;" ",FIND("|",SUBSTITUTE($H598&amp;" "," ","|",2))+1,FIND("|",SUBSTITUTE($H598&amp;" "," ","|",3))-FIND("|",SUBSTITUTE($H598&amp;" "," ","|",2))-1),""))</f>
        <v/>
      </c>
      <c r="E598" s="58">
        <f>IF($H598="","",IFERROR(MID($H598&amp;" ",FIND("|",SUBSTITUTE($H598&amp;" "," ","|",3))+1,FIND("|",SUBSTITUTE($H598&amp;" "," ","|",4))-FIND("|",SUBSTITUTE($H598&amp;" "," ","|",3))-1),""))</f>
        <v/>
      </c>
      <c r="F598" s="59">
        <f>IF($H598="","",IFERROR(VALUE(IFERROR(MID($H598&amp;" ",FIND("|",SUBSTITUTE($H598&amp;" "," ","|",4))+1,FIND("|",SUBSTITUTE($H598&amp;" "," ","|",5))-FIND("|",SUBSTITUTE($H598&amp;" "," ","|",4))-1),""))/86400+25569+9/24,""))</f>
        <v/>
      </c>
      <c r="G598" s="58">
        <f>TRIM(SUBSTITUTE(SUBSTITUTE(SUBSTITUTE($A598,CHAR(9)," ")," "," "),CHAR(13),""))</f>
        <v/>
      </c>
      <c r="H598" s="58">
        <f>IF($G598="","",IF(ISNUMBER(FIND(" ",$G598)),$G598,IFERROR(IF((LEN(SUBSTITUTE(SUBSTITUTE($G598,"-"," ",LEN($G598)-LEN(SUBSTITUTE($G598,"-",""))),"-"," ",LEN($G598)-LEN(SUBSTITUTE($G598,"-",""))-1))-LEN(SUBSTITUTE(SUBSTITUTE(SUBSTITUTE($G598,"-"," ",LEN($G598)-LEN(SUBSTITUTE($G598,"-",""))),"-"," ",LEN($G598)-LEN(SUBSTITUTE($G598,"-",""))-1),".","")))=0,SUBSTITUTE(SUBSTITUTE($G598,"-"," ",LEN($G598)-LEN(SUBSTITUTE($G598,"-",""))),"-"," ",LEN($G598)-LEN(SUBSTITUTE($G598,"-",""))-1),SUBSTITUTE(SUBSTITUTE(SUBSTITUTE($G598,"-"," ",LEN($G598)-LEN(SUBSTITUTE($G598,"-",""))),"-"," ",LEN($G598)-LEN(SUBSTITUTE($G598,"-",""))-1),"."," ",(LEN(SUBSTITUTE(SUBSTITUTE($G598,"-"," ",LEN($G598)-LEN(SUBSTITUTE($G598,"-",""))),"-"," ",LEN($G598)-LEN(SUBSTITUTE($G598,"-",""))-1))-LEN(SUBSTITUTE(SUBSTITUTE(SUBSTITUTE($G598,"-"," ",LEN($G598)-LEN(SUBSTITUTE($G598,"-",""))),"-"," ",LEN($G598)-LEN(SUBSTITUTE($G598,"-",""))-1),".",""))))),$G598)))</f>
        <v/>
      </c>
    </row>
    <row r="599">
      <c r="A599" s="58" t="n"/>
      <c r="B599" s="58">
        <f>IF($H599="","",LEFT($H599,FIND(" ",$H599&amp;" ")-1))</f>
        <v/>
      </c>
      <c r="C599" s="58">
        <f>IF($H599="","",IFERROR(MID($H599&amp;" ",FIND("|",SUBSTITUTE($H599&amp;" "," ","|",1))+1,FIND("|",SUBSTITUTE($H599&amp;" "," ","|",2))-FIND("|",SUBSTITUTE($H599&amp;" "," ","|",1))-1),""))</f>
        <v/>
      </c>
      <c r="D599" s="58">
        <f>IF($H599="","",IFERROR(MID($H599&amp;" ",FIND("|",SUBSTITUTE($H599&amp;" "," ","|",2))+1,FIND("|",SUBSTITUTE($H599&amp;" "," ","|",3))-FIND("|",SUBSTITUTE($H599&amp;" "," ","|",2))-1),""))</f>
        <v/>
      </c>
      <c r="E599" s="58">
        <f>IF($H599="","",IFERROR(MID($H599&amp;" ",FIND("|",SUBSTITUTE($H599&amp;" "," ","|",3))+1,FIND("|",SUBSTITUTE($H599&amp;" "," ","|",4))-FIND("|",SUBSTITUTE($H599&amp;" "," ","|",3))-1),""))</f>
        <v/>
      </c>
      <c r="F599" s="59">
        <f>IF($H599="","",IFERROR(VALUE(IFERROR(MID($H599&amp;" ",FIND("|",SUBSTITUTE($H599&amp;" "," ","|",4))+1,FIND("|",SUBSTITUTE($H599&amp;" "," ","|",5))-FIND("|",SUBSTITUTE($H599&amp;" "," ","|",4))-1),""))/86400+25569+9/24,""))</f>
        <v/>
      </c>
      <c r="G599" s="58">
        <f>TRIM(SUBSTITUTE(SUBSTITUTE(SUBSTITUTE($A599,CHAR(9)," ")," "," "),CHAR(13),""))</f>
        <v/>
      </c>
      <c r="H599" s="58">
        <f>IF($G599="","",IF(ISNUMBER(FIND(" ",$G599)),$G599,IFERROR(IF((LEN(SUBSTITUTE(SUBSTITUTE($G599,"-"," ",LEN($G599)-LEN(SUBSTITUTE($G599,"-",""))),"-"," ",LEN($G599)-LEN(SUBSTITUTE($G599,"-",""))-1))-LEN(SUBSTITUTE(SUBSTITUTE(SUBSTITUTE($G599,"-"," ",LEN($G599)-LEN(SUBSTITUTE($G599,"-",""))),"-"," ",LEN($G599)-LEN(SUBSTITUTE($G599,"-",""))-1),".","")))=0,SUBSTITUTE(SUBSTITUTE($G599,"-"," ",LEN($G599)-LEN(SUBSTITUTE($G599,"-",""))),"-"," ",LEN($G599)-LEN(SUBSTITUTE($G599,"-",""))-1),SUBSTITUTE(SUBSTITUTE(SUBSTITUTE($G599,"-"," ",LEN($G599)-LEN(SUBSTITUTE($G599,"-",""))),"-"," ",LEN($G599)-LEN(SUBSTITUTE($G599,"-",""))-1),"."," ",(LEN(SUBSTITUTE(SUBSTITUTE($G599,"-"," ",LEN($G599)-LEN(SUBSTITUTE($G599,"-",""))),"-"," ",LEN($G599)-LEN(SUBSTITUTE($G599,"-",""))-1))-LEN(SUBSTITUTE(SUBSTITUTE(SUBSTITUTE($G599,"-"," ",LEN($G599)-LEN(SUBSTITUTE($G599,"-",""))),"-"," ",LEN($G599)-LEN(SUBSTITUTE($G599,"-",""))-1),".",""))))),$G599)))</f>
        <v/>
      </c>
    </row>
    <row r="600">
      <c r="A600" s="58" t="n"/>
      <c r="B600" s="58">
        <f>IF($H600="","",LEFT($H600,FIND(" ",$H600&amp;" ")-1))</f>
        <v/>
      </c>
      <c r="C600" s="58">
        <f>IF($H600="","",IFERROR(MID($H600&amp;" ",FIND("|",SUBSTITUTE($H600&amp;" "," ","|",1))+1,FIND("|",SUBSTITUTE($H600&amp;" "," ","|",2))-FIND("|",SUBSTITUTE($H600&amp;" "," ","|",1))-1),""))</f>
        <v/>
      </c>
      <c r="D600" s="58">
        <f>IF($H600="","",IFERROR(MID($H600&amp;" ",FIND("|",SUBSTITUTE($H600&amp;" "," ","|",2))+1,FIND("|",SUBSTITUTE($H600&amp;" "," ","|",3))-FIND("|",SUBSTITUTE($H600&amp;" "," ","|",2))-1),""))</f>
        <v/>
      </c>
      <c r="E600" s="58">
        <f>IF($H600="","",IFERROR(MID($H600&amp;" ",FIND("|",SUBSTITUTE($H600&amp;" "," ","|",3))+1,FIND("|",SUBSTITUTE($H600&amp;" "," ","|",4))-FIND("|",SUBSTITUTE($H600&amp;" "," ","|",3))-1),""))</f>
        <v/>
      </c>
      <c r="F600" s="59">
        <f>IF($H600="","",IFERROR(VALUE(IFERROR(MID($H600&amp;" ",FIND("|",SUBSTITUTE($H600&amp;" "," ","|",4))+1,FIND("|",SUBSTITUTE($H600&amp;" "," ","|",5))-FIND("|",SUBSTITUTE($H600&amp;" "," ","|",4))-1),""))/86400+25569+9/24,""))</f>
        <v/>
      </c>
      <c r="G600" s="58">
        <f>TRIM(SUBSTITUTE(SUBSTITUTE(SUBSTITUTE($A600,CHAR(9)," ")," "," "),CHAR(13),""))</f>
        <v/>
      </c>
      <c r="H600" s="58">
        <f>IF($G600="","",IF(ISNUMBER(FIND(" ",$G600)),$G600,IFERROR(IF((LEN(SUBSTITUTE(SUBSTITUTE($G600,"-"," ",LEN($G600)-LEN(SUBSTITUTE($G600,"-",""))),"-"," ",LEN($G600)-LEN(SUBSTITUTE($G600,"-",""))-1))-LEN(SUBSTITUTE(SUBSTITUTE(SUBSTITUTE($G600,"-"," ",LEN($G600)-LEN(SUBSTITUTE($G600,"-",""))),"-"," ",LEN($G600)-LEN(SUBSTITUTE($G600,"-",""))-1),".","")))=0,SUBSTITUTE(SUBSTITUTE($G600,"-"," ",LEN($G600)-LEN(SUBSTITUTE($G600,"-",""))),"-"," ",LEN($G600)-LEN(SUBSTITUTE($G600,"-",""))-1),SUBSTITUTE(SUBSTITUTE(SUBSTITUTE($G600,"-"," ",LEN($G600)-LEN(SUBSTITUTE($G600,"-",""))),"-"," ",LEN($G600)-LEN(SUBSTITUTE($G600,"-",""))-1),"."," ",(LEN(SUBSTITUTE(SUBSTITUTE($G600,"-"," ",LEN($G600)-LEN(SUBSTITUTE($G600,"-",""))),"-"," ",LEN($G600)-LEN(SUBSTITUTE($G600,"-",""))-1))-LEN(SUBSTITUTE(SUBSTITUTE(SUBSTITUTE($G600,"-"," ",LEN($G600)-LEN(SUBSTITUTE($G600,"-",""))),"-"," ",LEN($G600)-LEN(SUBSTITUTE($G600,"-",""))-1),".",""))))),$G600)))</f>
        <v/>
      </c>
    </row>
    <row r="601">
      <c r="A601" s="58" t="n"/>
      <c r="B601" s="58">
        <f>IF($H601="","",LEFT($H601,FIND(" ",$H601&amp;" ")-1))</f>
        <v/>
      </c>
      <c r="C601" s="58">
        <f>IF($H601="","",IFERROR(MID($H601&amp;" ",FIND("|",SUBSTITUTE($H601&amp;" "," ","|",1))+1,FIND("|",SUBSTITUTE($H601&amp;" "," ","|",2))-FIND("|",SUBSTITUTE($H601&amp;" "," ","|",1))-1),""))</f>
        <v/>
      </c>
      <c r="D601" s="58">
        <f>IF($H601="","",IFERROR(MID($H601&amp;" ",FIND("|",SUBSTITUTE($H601&amp;" "," ","|",2))+1,FIND("|",SUBSTITUTE($H601&amp;" "," ","|",3))-FIND("|",SUBSTITUTE($H601&amp;" "," ","|",2))-1),""))</f>
        <v/>
      </c>
      <c r="E601" s="58">
        <f>IF($H601="","",IFERROR(MID($H601&amp;" ",FIND("|",SUBSTITUTE($H601&amp;" "," ","|",3))+1,FIND("|",SUBSTITUTE($H601&amp;" "," ","|",4))-FIND("|",SUBSTITUTE($H601&amp;" "," ","|",3))-1),""))</f>
        <v/>
      </c>
      <c r="F601" s="59">
        <f>IF($H601="","",IFERROR(VALUE(IFERROR(MID($H601&amp;" ",FIND("|",SUBSTITUTE($H601&amp;" "," ","|",4))+1,FIND("|",SUBSTITUTE($H601&amp;" "," ","|",5))-FIND("|",SUBSTITUTE($H601&amp;" "," ","|",4))-1),""))/86400+25569+9/24,""))</f>
        <v/>
      </c>
      <c r="G601" s="58">
        <f>TRIM(SUBSTITUTE(SUBSTITUTE(SUBSTITUTE($A601,CHAR(9)," ")," "," "),CHAR(13),""))</f>
        <v/>
      </c>
      <c r="H601" s="58">
        <f>IF($G601="","",IF(ISNUMBER(FIND(" ",$G601)),$G601,IFERROR(IF((LEN(SUBSTITUTE(SUBSTITUTE($G601,"-"," ",LEN($G601)-LEN(SUBSTITUTE($G601,"-",""))),"-"," ",LEN($G601)-LEN(SUBSTITUTE($G601,"-",""))-1))-LEN(SUBSTITUTE(SUBSTITUTE(SUBSTITUTE($G601,"-"," ",LEN($G601)-LEN(SUBSTITUTE($G601,"-",""))),"-"," ",LEN($G601)-LEN(SUBSTITUTE($G601,"-",""))-1),".","")))=0,SUBSTITUTE(SUBSTITUTE($G601,"-"," ",LEN($G601)-LEN(SUBSTITUTE($G601,"-",""))),"-"," ",LEN($G601)-LEN(SUBSTITUTE($G601,"-",""))-1),SUBSTITUTE(SUBSTITUTE(SUBSTITUTE($G601,"-"," ",LEN($G601)-LEN(SUBSTITUTE($G601,"-",""))),"-"," ",LEN($G601)-LEN(SUBSTITUTE($G601,"-",""))-1),"."," ",(LEN(SUBSTITUTE(SUBSTITUTE($G601,"-"," ",LEN($G601)-LEN(SUBSTITUTE($G601,"-",""))),"-"," ",LEN($G601)-LEN(SUBSTITUTE($G601,"-",""))-1))-LEN(SUBSTITUTE(SUBSTITUTE(SUBSTITUTE($G601,"-"," ",LEN($G601)-LEN(SUBSTITUTE($G601,"-",""))),"-"," ",LEN($G601)-LEN(SUBSTITUTE($G601,"-",""))-1),".",""))))),$G601)))</f>
        <v/>
      </c>
    </row>
    <row r="602">
      <c r="A602" s="58" t="n"/>
      <c r="B602" s="58">
        <f>IF($H602="","",LEFT($H602,FIND(" ",$H602&amp;" ")-1))</f>
        <v/>
      </c>
      <c r="C602" s="58">
        <f>IF($H602="","",IFERROR(MID($H602&amp;" ",FIND("|",SUBSTITUTE($H602&amp;" "," ","|",1))+1,FIND("|",SUBSTITUTE($H602&amp;" "," ","|",2))-FIND("|",SUBSTITUTE($H602&amp;" "," ","|",1))-1),""))</f>
        <v/>
      </c>
      <c r="D602" s="58">
        <f>IF($H602="","",IFERROR(MID($H602&amp;" ",FIND("|",SUBSTITUTE($H602&amp;" "," ","|",2))+1,FIND("|",SUBSTITUTE($H602&amp;" "," ","|",3))-FIND("|",SUBSTITUTE($H602&amp;" "," ","|",2))-1),""))</f>
        <v/>
      </c>
      <c r="E602" s="58">
        <f>IF($H602="","",IFERROR(MID($H602&amp;" ",FIND("|",SUBSTITUTE($H602&amp;" "," ","|",3))+1,FIND("|",SUBSTITUTE($H602&amp;" "," ","|",4))-FIND("|",SUBSTITUTE($H602&amp;" "," ","|",3))-1),""))</f>
        <v/>
      </c>
      <c r="F602" s="59">
        <f>IF($H602="","",IFERROR(VALUE(IFERROR(MID($H602&amp;" ",FIND("|",SUBSTITUTE($H602&amp;" "," ","|",4))+1,FIND("|",SUBSTITUTE($H602&amp;" "," ","|",5))-FIND("|",SUBSTITUTE($H602&amp;" "," ","|",4))-1),""))/86400+25569+9/24,""))</f>
        <v/>
      </c>
      <c r="G602" s="58">
        <f>TRIM(SUBSTITUTE(SUBSTITUTE(SUBSTITUTE($A602,CHAR(9)," ")," "," "),CHAR(13),""))</f>
        <v/>
      </c>
      <c r="H602" s="58">
        <f>IF($G602="","",IF(ISNUMBER(FIND(" ",$G602)),$G602,IFERROR(IF((LEN(SUBSTITUTE(SUBSTITUTE($G602,"-"," ",LEN($G602)-LEN(SUBSTITUTE($G602,"-",""))),"-"," ",LEN($G602)-LEN(SUBSTITUTE($G602,"-",""))-1))-LEN(SUBSTITUTE(SUBSTITUTE(SUBSTITUTE($G602,"-"," ",LEN($G602)-LEN(SUBSTITUTE($G602,"-",""))),"-"," ",LEN($G602)-LEN(SUBSTITUTE($G602,"-",""))-1),".","")))=0,SUBSTITUTE(SUBSTITUTE($G602,"-"," ",LEN($G602)-LEN(SUBSTITUTE($G602,"-",""))),"-"," ",LEN($G602)-LEN(SUBSTITUTE($G602,"-",""))-1),SUBSTITUTE(SUBSTITUTE(SUBSTITUTE($G602,"-"," ",LEN($G602)-LEN(SUBSTITUTE($G602,"-",""))),"-"," ",LEN($G602)-LEN(SUBSTITUTE($G602,"-",""))-1),"."," ",(LEN(SUBSTITUTE(SUBSTITUTE($G602,"-"," ",LEN($G602)-LEN(SUBSTITUTE($G602,"-",""))),"-"," ",LEN($G602)-LEN(SUBSTITUTE($G602,"-",""))-1))-LEN(SUBSTITUTE(SUBSTITUTE(SUBSTITUTE($G602,"-"," ",LEN($G602)-LEN(SUBSTITUTE($G602,"-",""))),"-"," ",LEN($G602)-LEN(SUBSTITUTE($G602,"-",""))-1),".",""))))),$G602)))</f>
        <v/>
      </c>
    </row>
    <row r="603">
      <c r="A603" s="58" t="n"/>
      <c r="B603" s="58">
        <f>IF($H603="","",LEFT($H603,FIND(" ",$H603&amp;" ")-1))</f>
        <v/>
      </c>
      <c r="C603" s="58">
        <f>IF($H603="","",IFERROR(MID($H603&amp;" ",FIND("|",SUBSTITUTE($H603&amp;" "," ","|",1))+1,FIND("|",SUBSTITUTE($H603&amp;" "," ","|",2))-FIND("|",SUBSTITUTE($H603&amp;" "," ","|",1))-1),""))</f>
        <v/>
      </c>
      <c r="D603" s="58">
        <f>IF($H603="","",IFERROR(MID($H603&amp;" ",FIND("|",SUBSTITUTE($H603&amp;" "," ","|",2))+1,FIND("|",SUBSTITUTE($H603&amp;" "," ","|",3))-FIND("|",SUBSTITUTE($H603&amp;" "," ","|",2))-1),""))</f>
        <v/>
      </c>
      <c r="E603" s="58">
        <f>IF($H603="","",IFERROR(MID($H603&amp;" ",FIND("|",SUBSTITUTE($H603&amp;" "," ","|",3))+1,FIND("|",SUBSTITUTE($H603&amp;" "," ","|",4))-FIND("|",SUBSTITUTE($H603&amp;" "," ","|",3))-1),""))</f>
        <v/>
      </c>
      <c r="F603" s="59">
        <f>IF($H603="","",IFERROR(VALUE(IFERROR(MID($H603&amp;" ",FIND("|",SUBSTITUTE($H603&amp;" "," ","|",4))+1,FIND("|",SUBSTITUTE($H603&amp;" "," ","|",5))-FIND("|",SUBSTITUTE($H603&amp;" "," ","|",4))-1),""))/86400+25569+9/24,""))</f>
        <v/>
      </c>
      <c r="G603" s="58">
        <f>TRIM(SUBSTITUTE(SUBSTITUTE(SUBSTITUTE($A603,CHAR(9)," ")," "," "),CHAR(13),""))</f>
        <v/>
      </c>
      <c r="H603" s="58">
        <f>IF($G603="","",IF(ISNUMBER(FIND(" ",$G603)),$G603,IFERROR(IF((LEN(SUBSTITUTE(SUBSTITUTE($G603,"-"," ",LEN($G603)-LEN(SUBSTITUTE($G603,"-",""))),"-"," ",LEN($G603)-LEN(SUBSTITUTE($G603,"-",""))-1))-LEN(SUBSTITUTE(SUBSTITUTE(SUBSTITUTE($G603,"-"," ",LEN($G603)-LEN(SUBSTITUTE($G603,"-",""))),"-"," ",LEN($G603)-LEN(SUBSTITUTE($G603,"-",""))-1),".","")))=0,SUBSTITUTE(SUBSTITUTE($G603,"-"," ",LEN($G603)-LEN(SUBSTITUTE($G603,"-",""))),"-"," ",LEN($G603)-LEN(SUBSTITUTE($G603,"-",""))-1),SUBSTITUTE(SUBSTITUTE(SUBSTITUTE($G603,"-"," ",LEN($G603)-LEN(SUBSTITUTE($G603,"-",""))),"-"," ",LEN($G603)-LEN(SUBSTITUTE($G603,"-",""))-1),"."," ",(LEN(SUBSTITUTE(SUBSTITUTE($G603,"-"," ",LEN($G603)-LEN(SUBSTITUTE($G603,"-",""))),"-"," ",LEN($G603)-LEN(SUBSTITUTE($G603,"-",""))-1))-LEN(SUBSTITUTE(SUBSTITUTE(SUBSTITUTE($G603,"-"," ",LEN($G603)-LEN(SUBSTITUTE($G603,"-",""))),"-"," ",LEN($G603)-LEN(SUBSTITUTE($G603,"-",""))-1),".",""))))),$G603)))</f>
        <v/>
      </c>
    </row>
    <row r="604">
      <c r="A604" s="58" t="n"/>
      <c r="B604" s="58">
        <f>IF($H604="","",LEFT($H604,FIND(" ",$H604&amp;" ")-1))</f>
        <v/>
      </c>
      <c r="C604" s="58">
        <f>IF($H604="","",IFERROR(MID($H604&amp;" ",FIND("|",SUBSTITUTE($H604&amp;" "," ","|",1))+1,FIND("|",SUBSTITUTE($H604&amp;" "," ","|",2))-FIND("|",SUBSTITUTE($H604&amp;" "," ","|",1))-1),""))</f>
        <v/>
      </c>
      <c r="D604" s="58">
        <f>IF($H604="","",IFERROR(MID($H604&amp;" ",FIND("|",SUBSTITUTE($H604&amp;" "," ","|",2))+1,FIND("|",SUBSTITUTE($H604&amp;" "," ","|",3))-FIND("|",SUBSTITUTE($H604&amp;" "," ","|",2))-1),""))</f>
        <v/>
      </c>
      <c r="E604" s="58">
        <f>IF($H604="","",IFERROR(MID($H604&amp;" ",FIND("|",SUBSTITUTE($H604&amp;" "," ","|",3))+1,FIND("|",SUBSTITUTE($H604&amp;" "," ","|",4))-FIND("|",SUBSTITUTE($H604&amp;" "," ","|",3))-1),""))</f>
        <v/>
      </c>
      <c r="F604" s="59">
        <f>IF($H604="","",IFERROR(VALUE(IFERROR(MID($H604&amp;" ",FIND("|",SUBSTITUTE($H604&amp;" "," ","|",4))+1,FIND("|",SUBSTITUTE($H604&amp;" "," ","|",5))-FIND("|",SUBSTITUTE($H604&amp;" "," ","|",4))-1),""))/86400+25569+9/24,""))</f>
        <v/>
      </c>
      <c r="G604" s="58">
        <f>TRIM(SUBSTITUTE(SUBSTITUTE(SUBSTITUTE($A604,CHAR(9)," ")," "," "),CHAR(13),""))</f>
        <v/>
      </c>
      <c r="H604" s="58">
        <f>IF($G604="","",IF(ISNUMBER(FIND(" ",$G604)),$G604,IFERROR(IF((LEN(SUBSTITUTE(SUBSTITUTE($G604,"-"," ",LEN($G604)-LEN(SUBSTITUTE($G604,"-",""))),"-"," ",LEN($G604)-LEN(SUBSTITUTE($G604,"-",""))-1))-LEN(SUBSTITUTE(SUBSTITUTE(SUBSTITUTE($G604,"-"," ",LEN($G604)-LEN(SUBSTITUTE($G604,"-",""))),"-"," ",LEN($G604)-LEN(SUBSTITUTE($G604,"-",""))-1),".","")))=0,SUBSTITUTE(SUBSTITUTE($G604,"-"," ",LEN($G604)-LEN(SUBSTITUTE($G604,"-",""))),"-"," ",LEN($G604)-LEN(SUBSTITUTE($G604,"-",""))-1),SUBSTITUTE(SUBSTITUTE(SUBSTITUTE($G604,"-"," ",LEN($G604)-LEN(SUBSTITUTE($G604,"-",""))),"-"," ",LEN($G604)-LEN(SUBSTITUTE($G604,"-",""))-1),"."," ",(LEN(SUBSTITUTE(SUBSTITUTE($G604,"-"," ",LEN($G604)-LEN(SUBSTITUTE($G604,"-",""))),"-"," ",LEN($G604)-LEN(SUBSTITUTE($G604,"-",""))-1))-LEN(SUBSTITUTE(SUBSTITUTE(SUBSTITUTE($G604,"-"," ",LEN($G604)-LEN(SUBSTITUTE($G604,"-",""))),"-"," ",LEN($G604)-LEN(SUBSTITUTE($G604,"-",""))-1),".",""))))),$G604)))</f>
        <v/>
      </c>
    </row>
    <row r="605">
      <c r="A605" s="58" t="n"/>
      <c r="B605" s="58">
        <f>IF($H605="","",LEFT($H605,FIND(" ",$H605&amp;" ")-1))</f>
        <v/>
      </c>
      <c r="C605" s="58">
        <f>IF($H605="","",IFERROR(MID($H605&amp;" ",FIND("|",SUBSTITUTE($H605&amp;" "," ","|",1))+1,FIND("|",SUBSTITUTE($H605&amp;" "," ","|",2))-FIND("|",SUBSTITUTE($H605&amp;" "," ","|",1))-1),""))</f>
        <v/>
      </c>
      <c r="D605" s="58">
        <f>IF($H605="","",IFERROR(MID($H605&amp;" ",FIND("|",SUBSTITUTE($H605&amp;" "," ","|",2))+1,FIND("|",SUBSTITUTE($H605&amp;" "," ","|",3))-FIND("|",SUBSTITUTE($H605&amp;" "," ","|",2))-1),""))</f>
        <v/>
      </c>
      <c r="E605" s="58">
        <f>IF($H605="","",IFERROR(MID($H605&amp;" ",FIND("|",SUBSTITUTE($H605&amp;" "," ","|",3))+1,FIND("|",SUBSTITUTE($H605&amp;" "," ","|",4))-FIND("|",SUBSTITUTE($H605&amp;" "," ","|",3))-1),""))</f>
        <v/>
      </c>
      <c r="F605" s="59">
        <f>IF($H605="","",IFERROR(VALUE(IFERROR(MID($H605&amp;" ",FIND("|",SUBSTITUTE($H605&amp;" "," ","|",4))+1,FIND("|",SUBSTITUTE($H605&amp;" "," ","|",5))-FIND("|",SUBSTITUTE($H605&amp;" "," ","|",4))-1),""))/86400+25569+9/24,""))</f>
        <v/>
      </c>
      <c r="G605" s="58">
        <f>TRIM(SUBSTITUTE(SUBSTITUTE(SUBSTITUTE($A605,CHAR(9)," ")," "," "),CHAR(13),""))</f>
        <v/>
      </c>
      <c r="H605" s="58">
        <f>IF($G605="","",IF(ISNUMBER(FIND(" ",$G605)),$G605,IFERROR(IF((LEN(SUBSTITUTE(SUBSTITUTE($G605,"-"," ",LEN($G605)-LEN(SUBSTITUTE($G605,"-",""))),"-"," ",LEN($G605)-LEN(SUBSTITUTE($G605,"-",""))-1))-LEN(SUBSTITUTE(SUBSTITUTE(SUBSTITUTE($G605,"-"," ",LEN($G605)-LEN(SUBSTITUTE($G605,"-",""))),"-"," ",LEN($G605)-LEN(SUBSTITUTE($G605,"-",""))-1),".","")))=0,SUBSTITUTE(SUBSTITUTE($G605,"-"," ",LEN($G605)-LEN(SUBSTITUTE($G605,"-",""))),"-"," ",LEN($G605)-LEN(SUBSTITUTE($G605,"-",""))-1),SUBSTITUTE(SUBSTITUTE(SUBSTITUTE($G605,"-"," ",LEN($G605)-LEN(SUBSTITUTE($G605,"-",""))),"-"," ",LEN($G605)-LEN(SUBSTITUTE($G605,"-",""))-1),"."," ",(LEN(SUBSTITUTE(SUBSTITUTE($G605,"-"," ",LEN($G605)-LEN(SUBSTITUTE($G605,"-",""))),"-"," ",LEN($G605)-LEN(SUBSTITUTE($G605,"-",""))-1))-LEN(SUBSTITUTE(SUBSTITUTE(SUBSTITUTE($G605,"-"," ",LEN($G605)-LEN(SUBSTITUTE($G605,"-",""))),"-"," ",LEN($G605)-LEN(SUBSTITUTE($G605,"-",""))-1),".",""))))),$G605)))</f>
        <v/>
      </c>
    </row>
    <row r="606">
      <c r="A606" s="58" t="n"/>
      <c r="B606" s="58">
        <f>IF($H606="","",LEFT($H606,FIND(" ",$H606&amp;" ")-1))</f>
        <v/>
      </c>
      <c r="C606" s="58">
        <f>IF($H606="","",IFERROR(MID($H606&amp;" ",FIND("|",SUBSTITUTE($H606&amp;" "," ","|",1))+1,FIND("|",SUBSTITUTE($H606&amp;" "," ","|",2))-FIND("|",SUBSTITUTE($H606&amp;" "," ","|",1))-1),""))</f>
        <v/>
      </c>
      <c r="D606" s="58">
        <f>IF($H606="","",IFERROR(MID($H606&amp;" ",FIND("|",SUBSTITUTE($H606&amp;" "," ","|",2))+1,FIND("|",SUBSTITUTE($H606&amp;" "," ","|",3))-FIND("|",SUBSTITUTE($H606&amp;" "," ","|",2))-1),""))</f>
        <v/>
      </c>
      <c r="E606" s="58">
        <f>IF($H606="","",IFERROR(MID($H606&amp;" ",FIND("|",SUBSTITUTE($H606&amp;" "," ","|",3))+1,FIND("|",SUBSTITUTE($H606&amp;" "," ","|",4))-FIND("|",SUBSTITUTE($H606&amp;" "," ","|",3))-1),""))</f>
        <v/>
      </c>
      <c r="F606" s="59">
        <f>IF($H606="","",IFERROR(VALUE(IFERROR(MID($H606&amp;" ",FIND("|",SUBSTITUTE($H606&amp;" "," ","|",4))+1,FIND("|",SUBSTITUTE($H606&amp;" "," ","|",5))-FIND("|",SUBSTITUTE($H606&amp;" "," ","|",4))-1),""))/86400+25569+9/24,""))</f>
        <v/>
      </c>
      <c r="G606" s="58">
        <f>TRIM(SUBSTITUTE(SUBSTITUTE(SUBSTITUTE($A606,CHAR(9)," ")," "," "),CHAR(13),""))</f>
        <v/>
      </c>
      <c r="H606" s="58">
        <f>IF($G606="","",IF(ISNUMBER(FIND(" ",$G606)),$G606,IFERROR(IF((LEN(SUBSTITUTE(SUBSTITUTE($G606,"-"," ",LEN($G606)-LEN(SUBSTITUTE($G606,"-",""))),"-"," ",LEN($G606)-LEN(SUBSTITUTE($G606,"-",""))-1))-LEN(SUBSTITUTE(SUBSTITUTE(SUBSTITUTE($G606,"-"," ",LEN($G606)-LEN(SUBSTITUTE($G606,"-",""))),"-"," ",LEN($G606)-LEN(SUBSTITUTE($G606,"-",""))-1),".","")))=0,SUBSTITUTE(SUBSTITUTE($G606,"-"," ",LEN($G606)-LEN(SUBSTITUTE($G606,"-",""))),"-"," ",LEN($G606)-LEN(SUBSTITUTE($G606,"-",""))-1),SUBSTITUTE(SUBSTITUTE(SUBSTITUTE($G606,"-"," ",LEN($G606)-LEN(SUBSTITUTE($G606,"-",""))),"-"," ",LEN($G606)-LEN(SUBSTITUTE($G606,"-",""))-1),"."," ",(LEN(SUBSTITUTE(SUBSTITUTE($G606,"-"," ",LEN($G606)-LEN(SUBSTITUTE($G606,"-",""))),"-"," ",LEN($G606)-LEN(SUBSTITUTE($G606,"-",""))-1))-LEN(SUBSTITUTE(SUBSTITUTE(SUBSTITUTE($G606,"-"," ",LEN($G606)-LEN(SUBSTITUTE($G606,"-",""))),"-"," ",LEN($G606)-LEN(SUBSTITUTE($G606,"-",""))-1),".",""))))),$G606)))</f>
        <v/>
      </c>
    </row>
    <row r="607">
      <c r="A607" s="58" t="n"/>
      <c r="B607" s="58">
        <f>IF($H607="","",LEFT($H607,FIND(" ",$H607&amp;" ")-1))</f>
        <v/>
      </c>
      <c r="C607" s="58">
        <f>IF($H607="","",IFERROR(MID($H607&amp;" ",FIND("|",SUBSTITUTE($H607&amp;" "," ","|",1))+1,FIND("|",SUBSTITUTE($H607&amp;" "," ","|",2))-FIND("|",SUBSTITUTE($H607&amp;" "," ","|",1))-1),""))</f>
        <v/>
      </c>
      <c r="D607" s="58">
        <f>IF($H607="","",IFERROR(MID($H607&amp;" ",FIND("|",SUBSTITUTE($H607&amp;" "," ","|",2))+1,FIND("|",SUBSTITUTE($H607&amp;" "," ","|",3))-FIND("|",SUBSTITUTE($H607&amp;" "," ","|",2))-1),""))</f>
        <v/>
      </c>
      <c r="E607" s="58">
        <f>IF($H607="","",IFERROR(MID($H607&amp;" ",FIND("|",SUBSTITUTE($H607&amp;" "," ","|",3))+1,FIND("|",SUBSTITUTE($H607&amp;" "," ","|",4))-FIND("|",SUBSTITUTE($H607&amp;" "," ","|",3))-1),""))</f>
        <v/>
      </c>
      <c r="F607" s="59">
        <f>IF($H607="","",IFERROR(VALUE(IFERROR(MID($H607&amp;" ",FIND("|",SUBSTITUTE($H607&amp;" "," ","|",4))+1,FIND("|",SUBSTITUTE($H607&amp;" "," ","|",5))-FIND("|",SUBSTITUTE($H607&amp;" "," ","|",4))-1),""))/86400+25569+9/24,""))</f>
        <v/>
      </c>
      <c r="G607" s="58">
        <f>TRIM(SUBSTITUTE(SUBSTITUTE(SUBSTITUTE($A607,CHAR(9)," ")," "," "),CHAR(13),""))</f>
        <v/>
      </c>
      <c r="H607" s="58">
        <f>IF($G607="","",IF(ISNUMBER(FIND(" ",$G607)),$G607,IFERROR(IF((LEN(SUBSTITUTE(SUBSTITUTE($G607,"-"," ",LEN($G607)-LEN(SUBSTITUTE($G607,"-",""))),"-"," ",LEN($G607)-LEN(SUBSTITUTE($G607,"-",""))-1))-LEN(SUBSTITUTE(SUBSTITUTE(SUBSTITUTE($G607,"-"," ",LEN($G607)-LEN(SUBSTITUTE($G607,"-",""))),"-"," ",LEN($G607)-LEN(SUBSTITUTE($G607,"-",""))-1),".","")))=0,SUBSTITUTE(SUBSTITUTE($G607,"-"," ",LEN($G607)-LEN(SUBSTITUTE($G607,"-",""))),"-"," ",LEN($G607)-LEN(SUBSTITUTE($G607,"-",""))-1),SUBSTITUTE(SUBSTITUTE(SUBSTITUTE($G607,"-"," ",LEN($G607)-LEN(SUBSTITUTE($G607,"-",""))),"-"," ",LEN($G607)-LEN(SUBSTITUTE($G607,"-",""))-1),"."," ",(LEN(SUBSTITUTE(SUBSTITUTE($G607,"-"," ",LEN($G607)-LEN(SUBSTITUTE($G607,"-",""))),"-"," ",LEN($G607)-LEN(SUBSTITUTE($G607,"-",""))-1))-LEN(SUBSTITUTE(SUBSTITUTE(SUBSTITUTE($G607,"-"," ",LEN($G607)-LEN(SUBSTITUTE($G607,"-",""))),"-"," ",LEN($G607)-LEN(SUBSTITUTE($G607,"-",""))-1),".",""))))),$G607)))</f>
        <v/>
      </c>
    </row>
    <row r="608">
      <c r="A608" s="58" t="n"/>
      <c r="B608" s="58">
        <f>IF($H608="","",LEFT($H608,FIND(" ",$H608&amp;" ")-1))</f>
        <v/>
      </c>
      <c r="C608" s="58">
        <f>IF($H608="","",IFERROR(MID($H608&amp;" ",FIND("|",SUBSTITUTE($H608&amp;" "," ","|",1))+1,FIND("|",SUBSTITUTE($H608&amp;" "," ","|",2))-FIND("|",SUBSTITUTE($H608&amp;" "," ","|",1))-1),""))</f>
        <v/>
      </c>
      <c r="D608" s="58">
        <f>IF($H608="","",IFERROR(MID($H608&amp;" ",FIND("|",SUBSTITUTE($H608&amp;" "," ","|",2))+1,FIND("|",SUBSTITUTE($H608&amp;" "," ","|",3))-FIND("|",SUBSTITUTE($H608&amp;" "," ","|",2))-1),""))</f>
        <v/>
      </c>
      <c r="E608" s="58">
        <f>IF($H608="","",IFERROR(MID($H608&amp;" ",FIND("|",SUBSTITUTE($H608&amp;" "," ","|",3))+1,FIND("|",SUBSTITUTE($H608&amp;" "," ","|",4))-FIND("|",SUBSTITUTE($H608&amp;" "," ","|",3))-1),""))</f>
        <v/>
      </c>
      <c r="F608" s="59">
        <f>IF($H608="","",IFERROR(VALUE(IFERROR(MID($H608&amp;" ",FIND("|",SUBSTITUTE($H608&amp;" "," ","|",4))+1,FIND("|",SUBSTITUTE($H608&amp;" "," ","|",5))-FIND("|",SUBSTITUTE($H608&amp;" "," ","|",4))-1),""))/86400+25569+9/24,""))</f>
        <v/>
      </c>
      <c r="G608" s="58">
        <f>TRIM(SUBSTITUTE(SUBSTITUTE(SUBSTITUTE($A608,CHAR(9)," ")," "," "),CHAR(13),""))</f>
        <v/>
      </c>
      <c r="H608" s="58">
        <f>IF($G608="","",IF(ISNUMBER(FIND(" ",$G608)),$G608,IFERROR(IF((LEN(SUBSTITUTE(SUBSTITUTE($G608,"-"," ",LEN($G608)-LEN(SUBSTITUTE($G608,"-",""))),"-"," ",LEN($G608)-LEN(SUBSTITUTE($G608,"-",""))-1))-LEN(SUBSTITUTE(SUBSTITUTE(SUBSTITUTE($G608,"-"," ",LEN($G608)-LEN(SUBSTITUTE($G608,"-",""))),"-"," ",LEN($G608)-LEN(SUBSTITUTE($G608,"-",""))-1),".","")))=0,SUBSTITUTE(SUBSTITUTE($G608,"-"," ",LEN($G608)-LEN(SUBSTITUTE($G608,"-",""))),"-"," ",LEN($G608)-LEN(SUBSTITUTE($G608,"-",""))-1),SUBSTITUTE(SUBSTITUTE(SUBSTITUTE($G608,"-"," ",LEN($G608)-LEN(SUBSTITUTE($G608,"-",""))),"-"," ",LEN($G608)-LEN(SUBSTITUTE($G608,"-",""))-1),"."," ",(LEN(SUBSTITUTE(SUBSTITUTE($G608,"-"," ",LEN($G608)-LEN(SUBSTITUTE($G608,"-",""))),"-"," ",LEN($G608)-LEN(SUBSTITUTE($G608,"-",""))-1))-LEN(SUBSTITUTE(SUBSTITUTE(SUBSTITUTE($G608,"-"," ",LEN($G608)-LEN(SUBSTITUTE($G608,"-",""))),"-"," ",LEN($G608)-LEN(SUBSTITUTE($G608,"-",""))-1),".",""))))),$G608)))</f>
        <v/>
      </c>
    </row>
    <row r="609">
      <c r="A609" s="58" t="n"/>
      <c r="B609" s="58">
        <f>IF($H609="","",LEFT($H609,FIND(" ",$H609&amp;" ")-1))</f>
        <v/>
      </c>
      <c r="C609" s="58">
        <f>IF($H609="","",IFERROR(MID($H609&amp;" ",FIND("|",SUBSTITUTE($H609&amp;" "," ","|",1))+1,FIND("|",SUBSTITUTE($H609&amp;" "," ","|",2))-FIND("|",SUBSTITUTE($H609&amp;" "," ","|",1))-1),""))</f>
        <v/>
      </c>
      <c r="D609" s="58">
        <f>IF($H609="","",IFERROR(MID($H609&amp;" ",FIND("|",SUBSTITUTE($H609&amp;" "," ","|",2))+1,FIND("|",SUBSTITUTE($H609&amp;" "," ","|",3))-FIND("|",SUBSTITUTE($H609&amp;" "," ","|",2))-1),""))</f>
        <v/>
      </c>
      <c r="E609" s="58">
        <f>IF($H609="","",IFERROR(MID($H609&amp;" ",FIND("|",SUBSTITUTE($H609&amp;" "," ","|",3))+1,FIND("|",SUBSTITUTE($H609&amp;" "," ","|",4))-FIND("|",SUBSTITUTE($H609&amp;" "," ","|",3))-1),""))</f>
        <v/>
      </c>
      <c r="F609" s="59">
        <f>IF($H609="","",IFERROR(VALUE(IFERROR(MID($H609&amp;" ",FIND("|",SUBSTITUTE($H609&amp;" "," ","|",4))+1,FIND("|",SUBSTITUTE($H609&amp;" "," ","|",5))-FIND("|",SUBSTITUTE($H609&amp;" "," ","|",4))-1),""))/86400+25569+9/24,""))</f>
        <v/>
      </c>
      <c r="G609" s="58">
        <f>TRIM(SUBSTITUTE(SUBSTITUTE(SUBSTITUTE($A609,CHAR(9)," ")," "," "),CHAR(13),""))</f>
        <v/>
      </c>
      <c r="H609" s="58">
        <f>IF($G609="","",IF(ISNUMBER(FIND(" ",$G609)),$G609,IFERROR(IF((LEN(SUBSTITUTE(SUBSTITUTE($G609,"-"," ",LEN($G609)-LEN(SUBSTITUTE($G609,"-",""))),"-"," ",LEN($G609)-LEN(SUBSTITUTE($G609,"-",""))-1))-LEN(SUBSTITUTE(SUBSTITUTE(SUBSTITUTE($G609,"-"," ",LEN($G609)-LEN(SUBSTITUTE($G609,"-",""))),"-"," ",LEN($G609)-LEN(SUBSTITUTE($G609,"-",""))-1),".","")))=0,SUBSTITUTE(SUBSTITUTE($G609,"-"," ",LEN($G609)-LEN(SUBSTITUTE($G609,"-",""))),"-"," ",LEN($G609)-LEN(SUBSTITUTE($G609,"-",""))-1),SUBSTITUTE(SUBSTITUTE(SUBSTITUTE($G609,"-"," ",LEN($G609)-LEN(SUBSTITUTE($G609,"-",""))),"-"," ",LEN($G609)-LEN(SUBSTITUTE($G609,"-",""))-1),"."," ",(LEN(SUBSTITUTE(SUBSTITUTE($G609,"-"," ",LEN($G609)-LEN(SUBSTITUTE($G609,"-",""))),"-"," ",LEN($G609)-LEN(SUBSTITUTE($G609,"-",""))-1))-LEN(SUBSTITUTE(SUBSTITUTE(SUBSTITUTE($G609,"-"," ",LEN($G609)-LEN(SUBSTITUTE($G609,"-",""))),"-"," ",LEN($G609)-LEN(SUBSTITUTE($G609,"-",""))-1),".",""))))),$G609)))</f>
        <v/>
      </c>
    </row>
    <row r="610">
      <c r="A610" s="58" t="n"/>
      <c r="B610" s="58">
        <f>IF($H610="","",LEFT($H610,FIND(" ",$H610&amp;" ")-1))</f>
        <v/>
      </c>
      <c r="C610" s="58">
        <f>IF($H610="","",IFERROR(MID($H610&amp;" ",FIND("|",SUBSTITUTE($H610&amp;" "," ","|",1))+1,FIND("|",SUBSTITUTE($H610&amp;" "," ","|",2))-FIND("|",SUBSTITUTE($H610&amp;" "," ","|",1))-1),""))</f>
        <v/>
      </c>
      <c r="D610" s="58">
        <f>IF($H610="","",IFERROR(MID($H610&amp;" ",FIND("|",SUBSTITUTE($H610&amp;" "," ","|",2))+1,FIND("|",SUBSTITUTE($H610&amp;" "," ","|",3))-FIND("|",SUBSTITUTE($H610&amp;" "," ","|",2))-1),""))</f>
        <v/>
      </c>
      <c r="E610" s="58">
        <f>IF($H610="","",IFERROR(MID($H610&amp;" ",FIND("|",SUBSTITUTE($H610&amp;" "," ","|",3))+1,FIND("|",SUBSTITUTE($H610&amp;" "," ","|",4))-FIND("|",SUBSTITUTE($H610&amp;" "," ","|",3))-1),""))</f>
        <v/>
      </c>
      <c r="F610" s="59">
        <f>IF($H610="","",IFERROR(VALUE(IFERROR(MID($H610&amp;" ",FIND("|",SUBSTITUTE($H610&amp;" "," ","|",4))+1,FIND("|",SUBSTITUTE($H610&amp;" "," ","|",5))-FIND("|",SUBSTITUTE($H610&amp;" "," ","|",4))-1),""))/86400+25569+9/24,""))</f>
        <v/>
      </c>
      <c r="G610" s="58">
        <f>TRIM(SUBSTITUTE(SUBSTITUTE(SUBSTITUTE($A610,CHAR(9)," ")," "," "),CHAR(13),""))</f>
        <v/>
      </c>
      <c r="H610" s="58">
        <f>IF($G610="","",IF(ISNUMBER(FIND(" ",$G610)),$G610,IFERROR(IF((LEN(SUBSTITUTE(SUBSTITUTE($G610,"-"," ",LEN($G610)-LEN(SUBSTITUTE($G610,"-",""))),"-"," ",LEN($G610)-LEN(SUBSTITUTE($G610,"-",""))-1))-LEN(SUBSTITUTE(SUBSTITUTE(SUBSTITUTE($G610,"-"," ",LEN($G610)-LEN(SUBSTITUTE($G610,"-",""))),"-"," ",LEN($G610)-LEN(SUBSTITUTE($G610,"-",""))-1),".","")))=0,SUBSTITUTE(SUBSTITUTE($G610,"-"," ",LEN($G610)-LEN(SUBSTITUTE($G610,"-",""))),"-"," ",LEN($G610)-LEN(SUBSTITUTE($G610,"-",""))-1),SUBSTITUTE(SUBSTITUTE(SUBSTITUTE($G610,"-"," ",LEN($G610)-LEN(SUBSTITUTE($G610,"-",""))),"-"," ",LEN($G610)-LEN(SUBSTITUTE($G610,"-",""))-1),"."," ",(LEN(SUBSTITUTE(SUBSTITUTE($G610,"-"," ",LEN($G610)-LEN(SUBSTITUTE($G610,"-",""))),"-"," ",LEN($G610)-LEN(SUBSTITUTE($G610,"-",""))-1))-LEN(SUBSTITUTE(SUBSTITUTE(SUBSTITUTE($G610,"-"," ",LEN($G610)-LEN(SUBSTITUTE($G610,"-",""))),"-"," ",LEN($G610)-LEN(SUBSTITUTE($G610,"-",""))-1),".",""))))),$G610)))</f>
        <v/>
      </c>
    </row>
    <row r="611">
      <c r="A611" s="58" t="n"/>
      <c r="B611" s="58">
        <f>IF($H611="","",LEFT($H611,FIND(" ",$H611&amp;" ")-1))</f>
        <v/>
      </c>
      <c r="C611" s="58">
        <f>IF($H611="","",IFERROR(MID($H611&amp;" ",FIND("|",SUBSTITUTE($H611&amp;" "," ","|",1))+1,FIND("|",SUBSTITUTE($H611&amp;" "," ","|",2))-FIND("|",SUBSTITUTE($H611&amp;" "," ","|",1))-1),""))</f>
        <v/>
      </c>
      <c r="D611" s="58">
        <f>IF($H611="","",IFERROR(MID($H611&amp;" ",FIND("|",SUBSTITUTE($H611&amp;" "," ","|",2))+1,FIND("|",SUBSTITUTE($H611&amp;" "," ","|",3))-FIND("|",SUBSTITUTE($H611&amp;" "," ","|",2))-1),""))</f>
        <v/>
      </c>
      <c r="E611" s="58">
        <f>IF($H611="","",IFERROR(MID($H611&amp;" ",FIND("|",SUBSTITUTE($H611&amp;" "," ","|",3))+1,FIND("|",SUBSTITUTE($H611&amp;" "," ","|",4))-FIND("|",SUBSTITUTE($H611&amp;" "," ","|",3))-1),""))</f>
        <v/>
      </c>
      <c r="F611" s="59">
        <f>IF($H611="","",IFERROR(VALUE(IFERROR(MID($H611&amp;" ",FIND("|",SUBSTITUTE($H611&amp;" "," ","|",4))+1,FIND("|",SUBSTITUTE($H611&amp;" "," ","|",5))-FIND("|",SUBSTITUTE($H611&amp;" "," ","|",4))-1),""))/86400+25569+9/24,""))</f>
        <v/>
      </c>
      <c r="G611" s="58">
        <f>TRIM(SUBSTITUTE(SUBSTITUTE(SUBSTITUTE($A611,CHAR(9)," ")," "," "),CHAR(13),""))</f>
        <v/>
      </c>
      <c r="H611" s="58">
        <f>IF($G611="","",IF(ISNUMBER(FIND(" ",$G611)),$G611,IFERROR(IF((LEN(SUBSTITUTE(SUBSTITUTE($G611,"-"," ",LEN($G611)-LEN(SUBSTITUTE($G611,"-",""))),"-"," ",LEN($G611)-LEN(SUBSTITUTE($G611,"-",""))-1))-LEN(SUBSTITUTE(SUBSTITUTE(SUBSTITUTE($G611,"-"," ",LEN($G611)-LEN(SUBSTITUTE($G611,"-",""))),"-"," ",LEN($G611)-LEN(SUBSTITUTE($G611,"-",""))-1),".","")))=0,SUBSTITUTE(SUBSTITUTE($G611,"-"," ",LEN($G611)-LEN(SUBSTITUTE($G611,"-",""))),"-"," ",LEN($G611)-LEN(SUBSTITUTE($G611,"-",""))-1),SUBSTITUTE(SUBSTITUTE(SUBSTITUTE($G611,"-"," ",LEN($G611)-LEN(SUBSTITUTE($G611,"-",""))),"-"," ",LEN($G611)-LEN(SUBSTITUTE($G611,"-",""))-1),"."," ",(LEN(SUBSTITUTE(SUBSTITUTE($G611,"-"," ",LEN($G611)-LEN(SUBSTITUTE($G611,"-",""))),"-"," ",LEN($G611)-LEN(SUBSTITUTE($G611,"-",""))-1))-LEN(SUBSTITUTE(SUBSTITUTE(SUBSTITUTE($G611,"-"," ",LEN($G611)-LEN(SUBSTITUTE($G611,"-",""))),"-"," ",LEN($G611)-LEN(SUBSTITUTE($G611,"-",""))-1),".",""))))),$G611)))</f>
        <v/>
      </c>
    </row>
    <row r="612">
      <c r="A612" s="58" t="n"/>
      <c r="B612" s="58">
        <f>IF($H612="","",LEFT($H612,FIND(" ",$H612&amp;" ")-1))</f>
        <v/>
      </c>
      <c r="C612" s="58">
        <f>IF($H612="","",IFERROR(MID($H612&amp;" ",FIND("|",SUBSTITUTE($H612&amp;" "," ","|",1))+1,FIND("|",SUBSTITUTE($H612&amp;" "," ","|",2))-FIND("|",SUBSTITUTE($H612&amp;" "," ","|",1))-1),""))</f>
        <v/>
      </c>
      <c r="D612" s="58">
        <f>IF($H612="","",IFERROR(MID($H612&amp;" ",FIND("|",SUBSTITUTE($H612&amp;" "," ","|",2))+1,FIND("|",SUBSTITUTE($H612&amp;" "," ","|",3))-FIND("|",SUBSTITUTE($H612&amp;" "," ","|",2))-1),""))</f>
        <v/>
      </c>
      <c r="E612" s="58">
        <f>IF($H612="","",IFERROR(MID($H612&amp;" ",FIND("|",SUBSTITUTE($H612&amp;" "," ","|",3))+1,FIND("|",SUBSTITUTE($H612&amp;" "," ","|",4))-FIND("|",SUBSTITUTE($H612&amp;" "," ","|",3))-1),""))</f>
        <v/>
      </c>
      <c r="F612" s="59">
        <f>IF($H612="","",IFERROR(VALUE(IFERROR(MID($H612&amp;" ",FIND("|",SUBSTITUTE($H612&amp;" "," ","|",4))+1,FIND("|",SUBSTITUTE($H612&amp;" "," ","|",5))-FIND("|",SUBSTITUTE($H612&amp;" "," ","|",4))-1),""))/86400+25569+9/24,""))</f>
        <v/>
      </c>
      <c r="G612" s="58">
        <f>TRIM(SUBSTITUTE(SUBSTITUTE(SUBSTITUTE($A612,CHAR(9)," ")," "," "),CHAR(13),""))</f>
        <v/>
      </c>
      <c r="H612" s="58">
        <f>IF($G612="","",IF(ISNUMBER(FIND(" ",$G612)),$G612,IFERROR(IF((LEN(SUBSTITUTE(SUBSTITUTE($G612,"-"," ",LEN($G612)-LEN(SUBSTITUTE($G612,"-",""))),"-"," ",LEN($G612)-LEN(SUBSTITUTE($G612,"-",""))-1))-LEN(SUBSTITUTE(SUBSTITUTE(SUBSTITUTE($G612,"-"," ",LEN($G612)-LEN(SUBSTITUTE($G612,"-",""))),"-"," ",LEN($G612)-LEN(SUBSTITUTE($G612,"-",""))-1),".","")))=0,SUBSTITUTE(SUBSTITUTE($G612,"-"," ",LEN($G612)-LEN(SUBSTITUTE($G612,"-",""))),"-"," ",LEN($G612)-LEN(SUBSTITUTE($G612,"-",""))-1),SUBSTITUTE(SUBSTITUTE(SUBSTITUTE($G612,"-"," ",LEN($G612)-LEN(SUBSTITUTE($G612,"-",""))),"-"," ",LEN($G612)-LEN(SUBSTITUTE($G612,"-",""))-1),"."," ",(LEN(SUBSTITUTE(SUBSTITUTE($G612,"-"," ",LEN($G612)-LEN(SUBSTITUTE($G612,"-",""))),"-"," ",LEN($G612)-LEN(SUBSTITUTE($G612,"-",""))-1))-LEN(SUBSTITUTE(SUBSTITUTE(SUBSTITUTE($G612,"-"," ",LEN($G612)-LEN(SUBSTITUTE($G612,"-",""))),"-"," ",LEN($G612)-LEN(SUBSTITUTE($G612,"-",""))-1),".",""))))),$G612)))</f>
        <v/>
      </c>
    </row>
    <row r="613">
      <c r="A613" s="58" t="n"/>
      <c r="B613" s="58">
        <f>IF($H613="","",LEFT($H613,FIND(" ",$H613&amp;" ")-1))</f>
        <v/>
      </c>
      <c r="C613" s="58">
        <f>IF($H613="","",IFERROR(MID($H613&amp;" ",FIND("|",SUBSTITUTE($H613&amp;" "," ","|",1))+1,FIND("|",SUBSTITUTE($H613&amp;" "," ","|",2))-FIND("|",SUBSTITUTE($H613&amp;" "," ","|",1))-1),""))</f>
        <v/>
      </c>
      <c r="D613" s="58">
        <f>IF($H613="","",IFERROR(MID($H613&amp;" ",FIND("|",SUBSTITUTE($H613&amp;" "," ","|",2))+1,FIND("|",SUBSTITUTE($H613&amp;" "," ","|",3))-FIND("|",SUBSTITUTE($H613&amp;" "," ","|",2))-1),""))</f>
        <v/>
      </c>
      <c r="E613" s="58">
        <f>IF($H613="","",IFERROR(MID($H613&amp;" ",FIND("|",SUBSTITUTE($H613&amp;" "," ","|",3))+1,FIND("|",SUBSTITUTE($H613&amp;" "," ","|",4))-FIND("|",SUBSTITUTE($H613&amp;" "," ","|",3))-1),""))</f>
        <v/>
      </c>
      <c r="F613" s="59">
        <f>IF($H613="","",IFERROR(VALUE(IFERROR(MID($H613&amp;" ",FIND("|",SUBSTITUTE($H613&amp;" "," ","|",4))+1,FIND("|",SUBSTITUTE($H613&amp;" "," ","|",5))-FIND("|",SUBSTITUTE($H613&amp;" "," ","|",4))-1),""))/86400+25569+9/24,""))</f>
        <v/>
      </c>
      <c r="G613" s="58">
        <f>TRIM(SUBSTITUTE(SUBSTITUTE(SUBSTITUTE($A613,CHAR(9)," ")," "," "),CHAR(13),""))</f>
        <v/>
      </c>
      <c r="H613" s="58">
        <f>IF($G613="","",IF(ISNUMBER(FIND(" ",$G613)),$G613,IFERROR(IF((LEN(SUBSTITUTE(SUBSTITUTE($G613,"-"," ",LEN($G613)-LEN(SUBSTITUTE($G613,"-",""))),"-"," ",LEN($G613)-LEN(SUBSTITUTE($G613,"-",""))-1))-LEN(SUBSTITUTE(SUBSTITUTE(SUBSTITUTE($G613,"-"," ",LEN($G613)-LEN(SUBSTITUTE($G613,"-",""))),"-"," ",LEN($G613)-LEN(SUBSTITUTE($G613,"-",""))-1),".","")))=0,SUBSTITUTE(SUBSTITUTE($G613,"-"," ",LEN($G613)-LEN(SUBSTITUTE($G613,"-",""))),"-"," ",LEN($G613)-LEN(SUBSTITUTE($G613,"-",""))-1),SUBSTITUTE(SUBSTITUTE(SUBSTITUTE($G613,"-"," ",LEN($G613)-LEN(SUBSTITUTE($G613,"-",""))),"-"," ",LEN($G613)-LEN(SUBSTITUTE($G613,"-",""))-1),"."," ",(LEN(SUBSTITUTE(SUBSTITUTE($G613,"-"," ",LEN($G613)-LEN(SUBSTITUTE($G613,"-",""))),"-"," ",LEN($G613)-LEN(SUBSTITUTE($G613,"-",""))-1))-LEN(SUBSTITUTE(SUBSTITUTE(SUBSTITUTE($G613,"-"," ",LEN($G613)-LEN(SUBSTITUTE($G613,"-",""))),"-"," ",LEN($G613)-LEN(SUBSTITUTE($G613,"-",""))-1),".",""))))),$G613)))</f>
        <v/>
      </c>
    </row>
    <row r="614">
      <c r="A614" s="58" t="n"/>
      <c r="B614" s="58">
        <f>IF($H614="","",LEFT($H614,FIND(" ",$H614&amp;" ")-1))</f>
        <v/>
      </c>
      <c r="C614" s="58">
        <f>IF($H614="","",IFERROR(MID($H614&amp;" ",FIND("|",SUBSTITUTE($H614&amp;" "," ","|",1))+1,FIND("|",SUBSTITUTE($H614&amp;" "," ","|",2))-FIND("|",SUBSTITUTE($H614&amp;" "," ","|",1))-1),""))</f>
        <v/>
      </c>
      <c r="D614" s="58">
        <f>IF($H614="","",IFERROR(MID($H614&amp;" ",FIND("|",SUBSTITUTE($H614&amp;" "," ","|",2))+1,FIND("|",SUBSTITUTE($H614&amp;" "," ","|",3))-FIND("|",SUBSTITUTE($H614&amp;" "," ","|",2))-1),""))</f>
        <v/>
      </c>
      <c r="E614" s="58">
        <f>IF($H614="","",IFERROR(MID($H614&amp;" ",FIND("|",SUBSTITUTE($H614&amp;" "," ","|",3))+1,FIND("|",SUBSTITUTE($H614&amp;" "," ","|",4))-FIND("|",SUBSTITUTE($H614&amp;" "," ","|",3))-1),""))</f>
        <v/>
      </c>
      <c r="F614" s="59">
        <f>IF($H614="","",IFERROR(VALUE(IFERROR(MID($H614&amp;" ",FIND("|",SUBSTITUTE($H614&amp;" "," ","|",4))+1,FIND("|",SUBSTITUTE($H614&amp;" "," ","|",5))-FIND("|",SUBSTITUTE($H614&amp;" "," ","|",4))-1),""))/86400+25569+9/24,""))</f>
        <v/>
      </c>
      <c r="G614" s="58">
        <f>TRIM(SUBSTITUTE(SUBSTITUTE(SUBSTITUTE($A614,CHAR(9)," ")," "," "),CHAR(13),""))</f>
        <v/>
      </c>
      <c r="H614" s="58">
        <f>IF($G614="","",IF(ISNUMBER(FIND(" ",$G614)),$G614,IFERROR(IF((LEN(SUBSTITUTE(SUBSTITUTE($G614,"-"," ",LEN($G614)-LEN(SUBSTITUTE($G614,"-",""))),"-"," ",LEN($G614)-LEN(SUBSTITUTE($G614,"-",""))-1))-LEN(SUBSTITUTE(SUBSTITUTE(SUBSTITUTE($G614,"-"," ",LEN($G614)-LEN(SUBSTITUTE($G614,"-",""))),"-"," ",LEN($G614)-LEN(SUBSTITUTE($G614,"-",""))-1),".","")))=0,SUBSTITUTE(SUBSTITUTE($G614,"-"," ",LEN($G614)-LEN(SUBSTITUTE($G614,"-",""))),"-"," ",LEN($G614)-LEN(SUBSTITUTE($G614,"-",""))-1),SUBSTITUTE(SUBSTITUTE(SUBSTITUTE($G614,"-"," ",LEN($G614)-LEN(SUBSTITUTE($G614,"-",""))),"-"," ",LEN($G614)-LEN(SUBSTITUTE($G614,"-",""))-1),"."," ",(LEN(SUBSTITUTE(SUBSTITUTE($G614,"-"," ",LEN($G614)-LEN(SUBSTITUTE($G614,"-",""))),"-"," ",LEN($G614)-LEN(SUBSTITUTE($G614,"-",""))-1))-LEN(SUBSTITUTE(SUBSTITUTE(SUBSTITUTE($G614,"-"," ",LEN($G614)-LEN(SUBSTITUTE($G614,"-",""))),"-"," ",LEN($G614)-LEN(SUBSTITUTE($G614,"-",""))-1),".",""))))),$G614)))</f>
        <v/>
      </c>
    </row>
    <row r="615">
      <c r="A615" s="58" t="n"/>
      <c r="B615" s="58">
        <f>IF($H615="","",LEFT($H615,FIND(" ",$H615&amp;" ")-1))</f>
        <v/>
      </c>
      <c r="C615" s="58">
        <f>IF($H615="","",IFERROR(MID($H615&amp;" ",FIND("|",SUBSTITUTE($H615&amp;" "," ","|",1))+1,FIND("|",SUBSTITUTE($H615&amp;" "," ","|",2))-FIND("|",SUBSTITUTE($H615&amp;" "," ","|",1))-1),""))</f>
        <v/>
      </c>
      <c r="D615" s="58">
        <f>IF($H615="","",IFERROR(MID($H615&amp;" ",FIND("|",SUBSTITUTE($H615&amp;" "," ","|",2))+1,FIND("|",SUBSTITUTE($H615&amp;" "," ","|",3))-FIND("|",SUBSTITUTE($H615&amp;" "," ","|",2))-1),""))</f>
        <v/>
      </c>
      <c r="E615" s="58">
        <f>IF($H615="","",IFERROR(MID($H615&amp;" ",FIND("|",SUBSTITUTE($H615&amp;" "," ","|",3))+1,FIND("|",SUBSTITUTE($H615&amp;" "," ","|",4))-FIND("|",SUBSTITUTE($H615&amp;" "," ","|",3))-1),""))</f>
        <v/>
      </c>
      <c r="F615" s="59">
        <f>IF($H615="","",IFERROR(VALUE(IFERROR(MID($H615&amp;" ",FIND("|",SUBSTITUTE($H615&amp;" "," ","|",4))+1,FIND("|",SUBSTITUTE($H615&amp;" "," ","|",5))-FIND("|",SUBSTITUTE($H615&amp;" "," ","|",4))-1),""))/86400+25569+9/24,""))</f>
        <v/>
      </c>
      <c r="G615" s="58">
        <f>TRIM(SUBSTITUTE(SUBSTITUTE(SUBSTITUTE($A615,CHAR(9)," ")," "," "),CHAR(13),""))</f>
        <v/>
      </c>
      <c r="H615" s="58">
        <f>IF($G615="","",IF(ISNUMBER(FIND(" ",$G615)),$G615,IFERROR(IF((LEN(SUBSTITUTE(SUBSTITUTE($G615,"-"," ",LEN($G615)-LEN(SUBSTITUTE($G615,"-",""))),"-"," ",LEN($G615)-LEN(SUBSTITUTE($G615,"-",""))-1))-LEN(SUBSTITUTE(SUBSTITUTE(SUBSTITUTE($G615,"-"," ",LEN($G615)-LEN(SUBSTITUTE($G615,"-",""))),"-"," ",LEN($G615)-LEN(SUBSTITUTE($G615,"-",""))-1),".","")))=0,SUBSTITUTE(SUBSTITUTE($G615,"-"," ",LEN($G615)-LEN(SUBSTITUTE($G615,"-",""))),"-"," ",LEN($G615)-LEN(SUBSTITUTE($G615,"-",""))-1),SUBSTITUTE(SUBSTITUTE(SUBSTITUTE($G615,"-"," ",LEN($G615)-LEN(SUBSTITUTE($G615,"-",""))),"-"," ",LEN($G615)-LEN(SUBSTITUTE($G615,"-",""))-1),"."," ",(LEN(SUBSTITUTE(SUBSTITUTE($G615,"-"," ",LEN($G615)-LEN(SUBSTITUTE($G615,"-",""))),"-"," ",LEN($G615)-LEN(SUBSTITUTE($G615,"-",""))-1))-LEN(SUBSTITUTE(SUBSTITUTE(SUBSTITUTE($G615,"-"," ",LEN($G615)-LEN(SUBSTITUTE($G615,"-",""))),"-"," ",LEN($G615)-LEN(SUBSTITUTE($G615,"-",""))-1),".",""))))),$G615)))</f>
        <v/>
      </c>
    </row>
    <row r="616">
      <c r="A616" s="58" t="n"/>
      <c r="B616" s="58">
        <f>IF($H616="","",LEFT($H616,FIND(" ",$H616&amp;" ")-1))</f>
        <v/>
      </c>
      <c r="C616" s="58">
        <f>IF($H616="","",IFERROR(MID($H616&amp;" ",FIND("|",SUBSTITUTE($H616&amp;" "," ","|",1))+1,FIND("|",SUBSTITUTE($H616&amp;" "," ","|",2))-FIND("|",SUBSTITUTE($H616&amp;" "," ","|",1))-1),""))</f>
        <v/>
      </c>
      <c r="D616" s="58">
        <f>IF($H616="","",IFERROR(MID($H616&amp;" ",FIND("|",SUBSTITUTE($H616&amp;" "," ","|",2))+1,FIND("|",SUBSTITUTE($H616&amp;" "," ","|",3))-FIND("|",SUBSTITUTE($H616&amp;" "," ","|",2))-1),""))</f>
        <v/>
      </c>
      <c r="E616" s="58">
        <f>IF($H616="","",IFERROR(MID($H616&amp;" ",FIND("|",SUBSTITUTE($H616&amp;" "," ","|",3))+1,FIND("|",SUBSTITUTE($H616&amp;" "," ","|",4))-FIND("|",SUBSTITUTE($H616&amp;" "," ","|",3))-1),""))</f>
        <v/>
      </c>
      <c r="F616" s="59">
        <f>IF($H616="","",IFERROR(VALUE(IFERROR(MID($H616&amp;" ",FIND("|",SUBSTITUTE($H616&amp;" "," ","|",4))+1,FIND("|",SUBSTITUTE($H616&amp;" "," ","|",5))-FIND("|",SUBSTITUTE($H616&amp;" "," ","|",4))-1),""))/86400+25569+9/24,""))</f>
        <v/>
      </c>
      <c r="G616" s="58">
        <f>TRIM(SUBSTITUTE(SUBSTITUTE(SUBSTITUTE($A616,CHAR(9)," ")," "," "),CHAR(13),""))</f>
        <v/>
      </c>
      <c r="H616" s="58">
        <f>IF($G616="","",IF(ISNUMBER(FIND(" ",$G616)),$G616,IFERROR(IF((LEN(SUBSTITUTE(SUBSTITUTE($G616,"-"," ",LEN($G616)-LEN(SUBSTITUTE($G616,"-",""))),"-"," ",LEN($G616)-LEN(SUBSTITUTE($G616,"-",""))-1))-LEN(SUBSTITUTE(SUBSTITUTE(SUBSTITUTE($G616,"-"," ",LEN($G616)-LEN(SUBSTITUTE($G616,"-",""))),"-"," ",LEN($G616)-LEN(SUBSTITUTE($G616,"-",""))-1),".","")))=0,SUBSTITUTE(SUBSTITUTE($G616,"-"," ",LEN($G616)-LEN(SUBSTITUTE($G616,"-",""))),"-"," ",LEN($G616)-LEN(SUBSTITUTE($G616,"-",""))-1),SUBSTITUTE(SUBSTITUTE(SUBSTITUTE($G616,"-"," ",LEN($G616)-LEN(SUBSTITUTE($G616,"-",""))),"-"," ",LEN($G616)-LEN(SUBSTITUTE($G616,"-",""))-1),"."," ",(LEN(SUBSTITUTE(SUBSTITUTE($G616,"-"," ",LEN($G616)-LEN(SUBSTITUTE($G616,"-",""))),"-"," ",LEN($G616)-LEN(SUBSTITUTE($G616,"-",""))-1))-LEN(SUBSTITUTE(SUBSTITUTE(SUBSTITUTE($G616,"-"," ",LEN($G616)-LEN(SUBSTITUTE($G616,"-",""))),"-"," ",LEN($G616)-LEN(SUBSTITUTE($G616,"-",""))-1),".",""))))),$G616)))</f>
        <v/>
      </c>
    </row>
    <row r="617">
      <c r="A617" s="58" t="n"/>
      <c r="B617" s="58">
        <f>IF($H617="","",LEFT($H617,FIND(" ",$H617&amp;" ")-1))</f>
        <v/>
      </c>
      <c r="C617" s="58">
        <f>IF($H617="","",IFERROR(MID($H617&amp;" ",FIND("|",SUBSTITUTE($H617&amp;" "," ","|",1))+1,FIND("|",SUBSTITUTE($H617&amp;" "," ","|",2))-FIND("|",SUBSTITUTE($H617&amp;" "," ","|",1))-1),""))</f>
        <v/>
      </c>
      <c r="D617" s="58">
        <f>IF($H617="","",IFERROR(MID($H617&amp;" ",FIND("|",SUBSTITUTE($H617&amp;" "," ","|",2))+1,FIND("|",SUBSTITUTE($H617&amp;" "," ","|",3))-FIND("|",SUBSTITUTE($H617&amp;" "," ","|",2))-1),""))</f>
        <v/>
      </c>
      <c r="E617" s="58">
        <f>IF($H617="","",IFERROR(MID($H617&amp;" ",FIND("|",SUBSTITUTE($H617&amp;" "," ","|",3))+1,FIND("|",SUBSTITUTE($H617&amp;" "," ","|",4))-FIND("|",SUBSTITUTE($H617&amp;" "," ","|",3))-1),""))</f>
        <v/>
      </c>
      <c r="F617" s="59">
        <f>IF($H617="","",IFERROR(VALUE(IFERROR(MID($H617&amp;" ",FIND("|",SUBSTITUTE($H617&amp;" "," ","|",4))+1,FIND("|",SUBSTITUTE($H617&amp;" "," ","|",5))-FIND("|",SUBSTITUTE($H617&amp;" "," ","|",4))-1),""))/86400+25569+9/24,""))</f>
        <v/>
      </c>
      <c r="G617" s="58">
        <f>TRIM(SUBSTITUTE(SUBSTITUTE(SUBSTITUTE($A617,CHAR(9)," ")," "," "),CHAR(13),""))</f>
        <v/>
      </c>
      <c r="H617" s="58">
        <f>IF($G617="","",IF(ISNUMBER(FIND(" ",$G617)),$G617,IFERROR(IF((LEN(SUBSTITUTE(SUBSTITUTE($G617,"-"," ",LEN($G617)-LEN(SUBSTITUTE($G617,"-",""))),"-"," ",LEN($G617)-LEN(SUBSTITUTE($G617,"-",""))-1))-LEN(SUBSTITUTE(SUBSTITUTE(SUBSTITUTE($G617,"-"," ",LEN($G617)-LEN(SUBSTITUTE($G617,"-",""))),"-"," ",LEN($G617)-LEN(SUBSTITUTE($G617,"-",""))-1),".","")))=0,SUBSTITUTE(SUBSTITUTE($G617,"-"," ",LEN($G617)-LEN(SUBSTITUTE($G617,"-",""))),"-"," ",LEN($G617)-LEN(SUBSTITUTE($G617,"-",""))-1),SUBSTITUTE(SUBSTITUTE(SUBSTITUTE($G617,"-"," ",LEN($G617)-LEN(SUBSTITUTE($G617,"-",""))),"-"," ",LEN($G617)-LEN(SUBSTITUTE($G617,"-",""))-1),"."," ",(LEN(SUBSTITUTE(SUBSTITUTE($G617,"-"," ",LEN($G617)-LEN(SUBSTITUTE($G617,"-",""))),"-"," ",LEN($G617)-LEN(SUBSTITUTE($G617,"-",""))-1))-LEN(SUBSTITUTE(SUBSTITUTE(SUBSTITUTE($G617,"-"," ",LEN($G617)-LEN(SUBSTITUTE($G617,"-",""))),"-"," ",LEN($G617)-LEN(SUBSTITUTE($G617,"-",""))-1),".",""))))),$G617)))</f>
        <v/>
      </c>
    </row>
    <row r="618">
      <c r="A618" s="58" t="n"/>
      <c r="B618" s="58">
        <f>IF($H618="","",LEFT($H618,FIND(" ",$H618&amp;" ")-1))</f>
        <v/>
      </c>
      <c r="C618" s="58">
        <f>IF($H618="","",IFERROR(MID($H618&amp;" ",FIND("|",SUBSTITUTE($H618&amp;" "," ","|",1))+1,FIND("|",SUBSTITUTE($H618&amp;" "," ","|",2))-FIND("|",SUBSTITUTE($H618&amp;" "," ","|",1))-1),""))</f>
        <v/>
      </c>
      <c r="D618" s="58">
        <f>IF($H618="","",IFERROR(MID($H618&amp;" ",FIND("|",SUBSTITUTE($H618&amp;" "," ","|",2))+1,FIND("|",SUBSTITUTE($H618&amp;" "," ","|",3))-FIND("|",SUBSTITUTE($H618&amp;" "," ","|",2))-1),""))</f>
        <v/>
      </c>
      <c r="E618" s="58">
        <f>IF($H618="","",IFERROR(MID($H618&amp;" ",FIND("|",SUBSTITUTE($H618&amp;" "," ","|",3))+1,FIND("|",SUBSTITUTE($H618&amp;" "," ","|",4))-FIND("|",SUBSTITUTE($H618&amp;" "," ","|",3))-1),""))</f>
        <v/>
      </c>
      <c r="F618" s="59">
        <f>IF($H618="","",IFERROR(VALUE(IFERROR(MID($H618&amp;" ",FIND("|",SUBSTITUTE($H618&amp;" "," ","|",4))+1,FIND("|",SUBSTITUTE($H618&amp;" "," ","|",5))-FIND("|",SUBSTITUTE($H618&amp;" "," ","|",4))-1),""))/86400+25569+9/24,""))</f>
        <v/>
      </c>
      <c r="G618" s="58">
        <f>TRIM(SUBSTITUTE(SUBSTITUTE(SUBSTITUTE($A618,CHAR(9)," ")," "," "),CHAR(13),""))</f>
        <v/>
      </c>
      <c r="H618" s="58">
        <f>IF($G618="","",IF(ISNUMBER(FIND(" ",$G618)),$G618,IFERROR(IF((LEN(SUBSTITUTE(SUBSTITUTE($G618,"-"," ",LEN($G618)-LEN(SUBSTITUTE($G618,"-",""))),"-"," ",LEN($G618)-LEN(SUBSTITUTE($G618,"-",""))-1))-LEN(SUBSTITUTE(SUBSTITUTE(SUBSTITUTE($G618,"-"," ",LEN($G618)-LEN(SUBSTITUTE($G618,"-",""))),"-"," ",LEN($G618)-LEN(SUBSTITUTE($G618,"-",""))-1),".","")))=0,SUBSTITUTE(SUBSTITUTE($G618,"-"," ",LEN($G618)-LEN(SUBSTITUTE($G618,"-",""))),"-"," ",LEN($G618)-LEN(SUBSTITUTE($G618,"-",""))-1),SUBSTITUTE(SUBSTITUTE(SUBSTITUTE($G618,"-"," ",LEN($G618)-LEN(SUBSTITUTE($G618,"-",""))),"-"," ",LEN($G618)-LEN(SUBSTITUTE($G618,"-",""))-1),"."," ",(LEN(SUBSTITUTE(SUBSTITUTE($G618,"-"," ",LEN($G618)-LEN(SUBSTITUTE($G618,"-",""))),"-"," ",LEN($G618)-LEN(SUBSTITUTE($G618,"-",""))-1))-LEN(SUBSTITUTE(SUBSTITUTE(SUBSTITUTE($G618,"-"," ",LEN($G618)-LEN(SUBSTITUTE($G618,"-",""))),"-"," ",LEN($G618)-LEN(SUBSTITUTE($G618,"-",""))-1),".",""))))),$G618)))</f>
        <v/>
      </c>
    </row>
    <row r="619">
      <c r="A619" s="58" t="n"/>
      <c r="B619" s="58">
        <f>IF($H619="","",LEFT($H619,FIND(" ",$H619&amp;" ")-1))</f>
        <v/>
      </c>
      <c r="C619" s="58">
        <f>IF($H619="","",IFERROR(MID($H619&amp;" ",FIND("|",SUBSTITUTE($H619&amp;" "," ","|",1))+1,FIND("|",SUBSTITUTE($H619&amp;" "," ","|",2))-FIND("|",SUBSTITUTE($H619&amp;" "," ","|",1))-1),""))</f>
        <v/>
      </c>
      <c r="D619" s="58">
        <f>IF($H619="","",IFERROR(MID($H619&amp;" ",FIND("|",SUBSTITUTE($H619&amp;" "," ","|",2))+1,FIND("|",SUBSTITUTE($H619&amp;" "," ","|",3))-FIND("|",SUBSTITUTE($H619&amp;" "," ","|",2))-1),""))</f>
        <v/>
      </c>
      <c r="E619" s="58">
        <f>IF($H619="","",IFERROR(MID($H619&amp;" ",FIND("|",SUBSTITUTE($H619&amp;" "," ","|",3))+1,FIND("|",SUBSTITUTE($H619&amp;" "," ","|",4))-FIND("|",SUBSTITUTE($H619&amp;" "," ","|",3))-1),""))</f>
        <v/>
      </c>
      <c r="F619" s="59">
        <f>IF($H619="","",IFERROR(VALUE(IFERROR(MID($H619&amp;" ",FIND("|",SUBSTITUTE($H619&amp;" "," ","|",4))+1,FIND("|",SUBSTITUTE($H619&amp;" "," ","|",5))-FIND("|",SUBSTITUTE($H619&amp;" "," ","|",4))-1),""))/86400+25569+9/24,""))</f>
        <v/>
      </c>
      <c r="G619" s="58">
        <f>TRIM(SUBSTITUTE(SUBSTITUTE(SUBSTITUTE($A619,CHAR(9)," ")," "," "),CHAR(13),""))</f>
        <v/>
      </c>
      <c r="H619" s="58">
        <f>IF($G619="","",IF(ISNUMBER(FIND(" ",$G619)),$G619,IFERROR(IF((LEN(SUBSTITUTE(SUBSTITUTE($G619,"-"," ",LEN($G619)-LEN(SUBSTITUTE($G619,"-",""))),"-"," ",LEN($G619)-LEN(SUBSTITUTE($G619,"-",""))-1))-LEN(SUBSTITUTE(SUBSTITUTE(SUBSTITUTE($G619,"-"," ",LEN($G619)-LEN(SUBSTITUTE($G619,"-",""))),"-"," ",LEN($G619)-LEN(SUBSTITUTE($G619,"-",""))-1),".","")))=0,SUBSTITUTE(SUBSTITUTE($G619,"-"," ",LEN($G619)-LEN(SUBSTITUTE($G619,"-",""))),"-"," ",LEN($G619)-LEN(SUBSTITUTE($G619,"-",""))-1),SUBSTITUTE(SUBSTITUTE(SUBSTITUTE($G619,"-"," ",LEN($G619)-LEN(SUBSTITUTE($G619,"-",""))),"-"," ",LEN($G619)-LEN(SUBSTITUTE($G619,"-",""))-1),"."," ",(LEN(SUBSTITUTE(SUBSTITUTE($G619,"-"," ",LEN($G619)-LEN(SUBSTITUTE($G619,"-",""))),"-"," ",LEN($G619)-LEN(SUBSTITUTE($G619,"-",""))-1))-LEN(SUBSTITUTE(SUBSTITUTE(SUBSTITUTE($G619,"-"," ",LEN($G619)-LEN(SUBSTITUTE($G619,"-",""))),"-"," ",LEN($G619)-LEN(SUBSTITUTE($G619,"-",""))-1),".",""))))),$G619)))</f>
        <v/>
      </c>
    </row>
    <row r="620">
      <c r="A620" s="58" t="n"/>
      <c r="B620" s="58">
        <f>IF($H620="","",LEFT($H620,FIND(" ",$H620&amp;" ")-1))</f>
        <v/>
      </c>
      <c r="C620" s="58">
        <f>IF($H620="","",IFERROR(MID($H620&amp;" ",FIND("|",SUBSTITUTE($H620&amp;" "," ","|",1))+1,FIND("|",SUBSTITUTE($H620&amp;" "," ","|",2))-FIND("|",SUBSTITUTE($H620&amp;" "," ","|",1))-1),""))</f>
        <v/>
      </c>
      <c r="D620" s="58">
        <f>IF($H620="","",IFERROR(MID($H620&amp;" ",FIND("|",SUBSTITUTE($H620&amp;" "," ","|",2))+1,FIND("|",SUBSTITUTE($H620&amp;" "," ","|",3))-FIND("|",SUBSTITUTE($H620&amp;" "," ","|",2))-1),""))</f>
        <v/>
      </c>
      <c r="E620" s="58">
        <f>IF($H620="","",IFERROR(MID($H620&amp;" ",FIND("|",SUBSTITUTE($H620&amp;" "," ","|",3))+1,FIND("|",SUBSTITUTE($H620&amp;" "," ","|",4))-FIND("|",SUBSTITUTE($H620&amp;" "," ","|",3))-1),""))</f>
        <v/>
      </c>
      <c r="F620" s="59">
        <f>IF($H620="","",IFERROR(VALUE(IFERROR(MID($H620&amp;" ",FIND("|",SUBSTITUTE($H620&amp;" "," ","|",4))+1,FIND("|",SUBSTITUTE($H620&amp;" "," ","|",5))-FIND("|",SUBSTITUTE($H620&amp;" "," ","|",4))-1),""))/86400+25569+9/24,""))</f>
        <v/>
      </c>
      <c r="G620" s="58">
        <f>TRIM(SUBSTITUTE(SUBSTITUTE(SUBSTITUTE($A620,CHAR(9)," ")," "," "),CHAR(13),""))</f>
        <v/>
      </c>
      <c r="H620" s="58">
        <f>IF($G620="","",IF(ISNUMBER(FIND(" ",$G620)),$G620,IFERROR(IF((LEN(SUBSTITUTE(SUBSTITUTE($G620,"-"," ",LEN($G620)-LEN(SUBSTITUTE($G620,"-",""))),"-"," ",LEN($G620)-LEN(SUBSTITUTE($G620,"-",""))-1))-LEN(SUBSTITUTE(SUBSTITUTE(SUBSTITUTE($G620,"-"," ",LEN($G620)-LEN(SUBSTITUTE($G620,"-",""))),"-"," ",LEN($G620)-LEN(SUBSTITUTE($G620,"-",""))-1),".","")))=0,SUBSTITUTE(SUBSTITUTE($G620,"-"," ",LEN($G620)-LEN(SUBSTITUTE($G620,"-",""))),"-"," ",LEN($G620)-LEN(SUBSTITUTE($G620,"-",""))-1),SUBSTITUTE(SUBSTITUTE(SUBSTITUTE($G620,"-"," ",LEN($G620)-LEN(SUBSTITUTE($G620,"-",""))),"-"," ",LEN($G620)-LEN(SUBSTITUTE($G620,"-",""))-1),"."," ",(LEN(SUBSTITUTE(SUBSTITUTE($G620,"-"," ",LEN($G620)-LEN(SUBSTITUTE($G620,"-",""))),"-"," ",LEN($G620)-LEN(SUBSTITUTE($G620,"-",""))-1))-LEN(SUBSTITUTE(SUBSTITUTE(SUBSTITUTE($G620,"-"," ",LEN($G620)-LEN(SUBSTITUTE($G620,"-",""))),"-"," ",LEN($G620)-LEN(SUBSTITUTE($G620,"-",""))-1),".",""))))),$G620)))</f>
        <v/>
      </c>
    </row>
    <row r="621">
      <c r="A621" s="58" t="n"/>
      <c r="B621" s="58">
        <f>IF($H621="","",LEFT($H621,FIND(" ",$H621&amp;" ")-1))</f>
        <v/>
      </c>
      <c r="C621" s="58">
        <f>IF($H621="","",IFERROR(MID($H621&amp;" ",FIND("|",SUBSTITUTE($H621&amp;" "," ","|",1))+1,FIND("|",SUBSTITUTE($H621&amp;" "," ","|",2))-FIND("|",SUBSTITUTE($H621&amp;" "," ","|",1))-1),""))</f>
        <v/>
      </c>
      <c r="D621" s="58">
        <f>IF($H621="","",IFERROR(MID($H621&amp;" ",FIND("|",SUBSTITUTE($H621&amp;" "," ","|",2))+1,FIND("|",SUBSTITUTE($H621&amp;" "," ","|",3))-FIND("|",SUBSTITUTE($H621&amp;" "," ","|",2))-1),""))</f>
        <v/>
      </c>
      <c r="E621" s="58">
        <f>IF($H621="","",IFERROR(MID($H621&amp;" ",FIND("|",SUBSTITUTE($H621&amp;" "," ","|",3))+1,FIND("|",SUBSTITUTE($H621&amp;" "," ","|",4))-FIND("|",SUBSTITUTE($H621&amp;" "," ","|",3))-1),""))</f>
        <v/>
      </c>
      <c r="F621" s="59">
        <f>IF($H621="","",IFERROR(VALUE(IFERROR(MID($H621&amp;" ",FIND("|",SUBSTITUTE($H621&amp;" "," ","|",4))+1,FIND("|",SUBSTITUTE($H621&amp;" "," ","|",5))-FIND("|",SUBSTITUTE($H621&amp;" "," ","|",4))-1),""))/86400+25569+9/24,""))</f>
        <v/>
      </c>
      <c r="G621" s="58">
        <f>TRIM(SUBSTITUTE(SUBSTITUTE(SUBSTITUTE($A621,CHAR(9)," ")," "," "),CHAR(13),""))</f>
        <v/>
      </c>
      <c r="H621" s="58">
        <f>IF($G621="","",IF(ISNUMBER(FIND(" ",$G621)),$G621,IFERROR(IF((LEN(SUBSTITUTE(SUBSTITUTE($G621,"-"," ",LEN($G621)-LEN(SUBSTITUTE($G621,"-",""))),"-"," ",LEN($G621)-LEN(SUBSTITUTE($G621,"-",""))-1))-LEN(SUBSTITUTE(SUBSTITUTE(SUBSTITUTE($G621,"-"," ",LEN($G621)-LEN(SUBSTITUTE($G621,"-",""))),"-"," ",LEN($G621)-LEN(SUBSTITUTE($G621,"-",""))-1),".","")))=0,SUBSTITUTE(SUBSTITUTE($G621,"-"," ",LEN($G621)-LEN(SUBSTITUTE($G621,"-",""))),"-"," ",LEN($G621)-LEN(SUBSTITUTE($G621,"-",""))-1),SUBSTITUTE(SUBSTITUTE(SUBSTITUTE($G621,"-"," ",LEN($G621)-LEN(SUBSTITUTE($G621,"-",""))),"-"," ",LEN($G621)-LEN(SUBSTITUTE($G621,"-",""))-1),"."," ",(LEN(SUBSTITUTE(SUBSTITUTE($G621,"-"," ",LEN($G621)-LEN(SUBSTITUTE($G621,"-",""))),"-"," ",LEN($G621)-LEN(SUBSTITUTE($G621,"-",""))-1))-LEN(SUBSTITUTE(SUBSTITUTE(SUBSTITUTE($G621,"-"," ",LEN($G621)-LEN(SUBSTITUTE($G621,"-",""))),"-"," ",LEN($G621)-LEN(SUBSTITUTE($G621,"-",""))-1),".",""))))),$G621)))</f>
        <v/>
      </c>
    </row>
    <row r="622">
      <c r="A622" s="58" t="n"/>
      <c r="B622" s="58">
        <f>IF($H622="","",LEFT($H622,FIND(" ",$H622&amp;" ")-1))</f>
        <v/>
      </c>
      <c r="C622" s="58">
        <f>IF($H622="","",IFERROR(MID($H622&amp;" ",FIND("|",SUBSTITUTE($H622&amp;" "," ","|",1))+1,FIND("|",SUBSTITUTE($H622&amp;" "," ","|",2))-FIND("|",SUBSTITUTE($H622&amp;" "," ","|",1))-1),""))</f>
        <v/>
      </c>
      <c r="D622" s="58">
        <f>IF($H622="","",IFERROR(MID($H622&amp;" ",FIND("|",SUBSTITUTE($H622&amp;" "," ","|",2))+1,FIND("|",SUBSTITUTE($H622&amp;" "," ","|",3))-FIND("|",SUBSTITUTE($H622&amp;" "," ","|",2))-1),""))</f>
        <v/>
      </c>
      <c r="E622" s="58">
        <f>IF($H622="","",IFERROR(MID($H622&amp;" ",FIND("|",SUBSTITUTE($H622&amp;" "," ","|",3))+1,FIND("|",SUBSTITUTE($H622&amp;" "," ","|",4))-FIND("|",SUBSTITUTE($H622&amp;" "," ","|",3))-1),""))</f>
        <v/>
      </c>
      <c r="F622" s="59">
        <f>IF($H622="","",IFERROR(VALUE(IFERROR(MID($H622&amp;" ",FIND("|",SUBSTITUTE($H622&amp;" "," ","|",4))+1,FIND("|",SUBSTITUTE($H622&amp;" "," ","|",5))-FIND("|",SUBSTITUTE($H622&amp;" "," ","|",4))-1),""))/86400+25569+9/24,""))</f>
        <v/>
      </c>
      <c r="G622" s="58">
        <f>TRIM(SUBSTITUTE(SUBSTITUTE(SUBSTITUTE($A622,CHAR(9)," ")," "," "),CHAR(13),""))</f>
        <v/>
      </c>
      <c r="H622" s="58">
        <f>IF($G622="","",IF(ISNUMBER(FIND(" ",$G622)),$G622,IFERROR(IF((LEN(SUBSTITUTE(SUBSTITUTE($G622,"-"," ",LEN($G622)-LEN(SUBSTITUTE($G622,"-",""))),"-"," ",LEN($G622)-LEN(SUBSTITUTE($G622,"-",""))-1))-LEN(SUBSTITUTE(SUBSTITUTE(SUBSTITUTE($G622,"-"," ",LEN($G622)-LEN(SUBSTITUTE($G622,"-",""))),"-"," ",LEN($G622)-LEN(SUBSTITUTE($G622,"-",""))-1),".","")))=0,SUBSTITUTE(SUBSTITUTE($G622,"-"," ",LEN($G622)-LEN(SUBSTITUTE($G622,"-",""))),"-"," ",LEN($G622)-LEN(SUBSTITUTE($G622,"-",""))-1),SUBSTITUTE(SUBSTITUTE(SUBSTITUTE($G622,"-"," ",LEN($G622)-LEN(SUBSTITUTE($G622,"-",""))),"-"," ",LEN($G622)-LEN(SUBSTITUTE($G622,"-",""))-1),"."," ",(LEN(SUBSTITUTE(SUBSTITUTE($G622,"-"," ",LEN($G622)-LEN(SUBSTITUTE($G622,"-",""))),"-"," ",LEN($G622)-LEN(SUBSTITUTE($G622,"-",""))-1))-LEN(SUBSTITUTE(SUBSTITUTE(SUBSTITUTE($G622,"-"," ",LEN($G622)-LEN(SUBSTITUTE($G622,"-",""))),"-"," ",LEN($G622)-LEN(SUBSTITUTE($G622,"-",""))-1),".",""))))),$G622)))</f>
        <v/>
      </c>
    </row>
    <row r="623">
      <c r="A623" s="58" t="n"/>
      <c r="B623" s="58">
        <f>IF($H623="","",LEFT($H623,FIND(" ",$H623&amp;" ")-1))</f>
        <v/>
      </c>
      <c r="C623" s="58">
        <f>IF($H623="","",IFERROR(MID($H623&amp;" ",FIND("|",SUBSTITUTE($H623&amp;" "," ","|",1))+1,FIND("|",SUBSTITUTE($H623&amp;" "," ","|",2))-FIND("|",SUBSTITUTE($H623&amp;" "," ","|",1))-1),""))</f>
        <v/>
      </c>
      <c r="D623" s="58">
        <f>IF($H623="","",IFERROR(MID($H623&amp;" ",FIND("|",SUBSTITUTE($H623&amp;" "," ","|",2))+1,FIND("|",SUBSTITUTE($H623&amp;" "," ","|",3))-FIND("|",SUBSTITUTE($H623&amp;" "," ","|",2))-1),""))</f>
        <v/>
      </c>
      <c r="E623" s="58">
        <f>IF($H623="","",IFERROR(MID($H623&amp;" ",FIND("|",SUBSTITUTE($H623&amp;" "," ","|",3))+1,FIND("|",SUBSTITUTE($H623&amp;" "," ","|",4))-FIND("|",SUBSTITUTE($H623&amp;" "," ","|",3))-1),""))</f>
        <v/>
      </c>
      <c r="F623" s="59">
        <f>IF($H623="","",IFERROR(VALUE(IFERROR(MID($H623&amp;" ",FIND("|",SUBSTITUTE($H623&amp;" "," ","|",4))+1,FIND("|",SUBSTITUTE($H623&amp;" "," ","|",5))-FIND("|",SUBSTITUTE($H623&amp;" "," ","|",4))-1),""))/86400+25569+9/24,""))</f>
        <v/>
      </c>
      <c r="G623" s="58">
        <f>TRIM(SUBSTITUTE(SUBSTITUTE(SUBSTITUTE($A623,CHAR(9)," ")," "," "),CHAR(13),""))</f>
        <v/>
      </c>
      <c r="H623" s="58">
        <f>IF($G623="","",IF(ISNUMBER(FIND(" ",$G623)),$G623,IFERROR(IF((LEN(SUBSTITUTE(SUBSTITUTE($G623,"-"," ",LEN($G623)-LEN(SUBSTITUTE($G623,"-",""))),"-"," ",LEN($G623)-LEN(SUBSTITUTE($G623,"-",""))-1))-LEN(SUBSTITUTE(SUBSTITUTE(SUBSTITUTE($G623,"-"," ",LEN($G623)-LEN(SUBSTITUTE($G623,"-",""))),"-"," ",LEN($G623)-LEN(SUBSTITUTE($G623,"-",""))-1),".","")))=0,SUBSTITUTE(SUBSTITUTE($G623,"-"," ",LEN($G623)-LEN(SUBSTITUTE($G623,"-",""))),"-"," ",LEN($G623)-LEN(SUBSTITUTE($G623,"-",""))-1),SUBSTITUTE(SUBSTITUTE(SUBSTITUTE($G623,"-"," ",LEN($G623)-LEN(SUBSTITUTE($G623,"-",""))),"-"," ",LEN($G623)-LEN(SUBSTITUTE($G623,"-",""))-1),"."," ",(LEN(SUBSTITUTE(SUBSTITUTE($G623,"-"," ",LEN($G623)-LEN(SUBSTITUTE($G623,"-",""))),"-"," ",LEN($G623)-LEN(SUBSTITUTE($G623,"-",""))-1))-LEN(SUBSTITUTE(SUBSTITUTE(SUBSTITUTE($G623,"-"," ",LEN($G623)-LEN(SUBSTITUTE($G623,"-",""))),"-"," ",LEN($G623)-LEN(SUBSTITUTE($G623,"-",""))-1),".",""))))),$G623)))</f>
        <v/>
      </c>
    </row>
    <row r="624">
      <c r="A624" s="58" t="n"/>
      <c r="B624" s="58">
        <f>IF($H624="","",LEFT($H624,FIND(" ",$H624&amp;" ")-1))</f>
        <v/>
      </c>
      <c r="C624" s="58">
        <f>IF($H624="","",IFERROR(MID($H624&amp;" ",FIND("|",SUBSTITUTE($H624&amp;" "," ","|",1))+1,FIND("|",SUBSTITUTE($H624&amp;" "," ","|",2))-FIND("|",SUBSTITUTE($H624&amp;" "," ","|",1))-1),""))</f>
        <v/>
      </c>
      <c r="D624" s="58">
        <f>IF($H624="","",IFERROR(MID($H624&amp;" ",FIND("|",SUBSTITUTE($H624&amp;" "," ","|",2))+1,FIND("|",SUBSTITUTE($H624&amp;" "," ","|",3))-FIND("|",SUBSTITUTE($H624&amp;" "," ","|",2))-1),""))</f>
        <v/>
      </c>
      <c r="E624" s="58">
        <f>IF($H624="","",IFERROR(MID($H624&amp;" ",FIND("|",SUBSTITUTE($H624&amp;" "," ","|",3))+1,FIND("|",SUBSTITUTE($H624&amp;" "," ","|",4))-FIND("|",SUBSTITUTE($H624&amp;" "," ","|",3))-1),""))</f>
        <v/>
      </c>
      <c r="F624" s="59">
        <f>IF($H624="","",IFERROR(VALUE(IFERROR(MID($H624&amp;" ",FIND("|",SUBSTITUTE($H624&amp;" "," ","|",4))+1,FIND("|",SUBSTITUTE($H624&amp;" "," ","|",5))-FIND("|",SUBSTITUTE($H624&amp;" "," ","|",4))-1),""))/86400+25569+9/24,""))</f>
        <v/>
      </c>
      <c r="G624" s="58">
        <f>TRIM(SUBSTITUTE(SUBSTITUTE(SUBSTITUTE($A624,CHAR(9)," ")," "," "),CHAR(13),""))</f>
        <v/>
      </c>
      <c r="H624" s="58">
        <f>IF($G624="","",IF(ISNUMBER(FIND(" ",$G624)),$G624,IFERROR(IF((LEN(SUBSTITUTE(SUBSTITUTE($G624,"-"," ",LEN($G624)-LEN(SUBSTITUTE($G624,"-",""))),"-"," ",LEN($G624)-LEN(SUBSTITUTE($G624,"-",""))-1))-LEN(SUBSTITUTE(SUBSTITUTE(SUBSTITUTE($G624,"-"," ",LEN($G624)-LEN(SUBSTITUTE($G624,"-",""))),"-"," ",LEN($G624)-LEN(SUBSTITUTE($G624,"-",""))-1),".","")))=0,SUBSTITUTE(SUBSTITUTE($G624,"-"," ",LEN($G624)-LEN(SUBSTITUTE($G624,"-",""))),"-"," ",LEN($G624)-LEN(SUBSTITUTE($G624,"-",""))-1),SUBSTITUTE(SUBSTITUTE(SUBSTITUTE($G624,"-"," ",LEN($G624)-LEN(SUBSTITUTE($G624,"-",""))),"-"," ",LEN($G624)-LEN(SUBSTITUTE($G624,"-",""))-1),"."," ",(LEN(SUBSTITUTE(SUBSTITUTE($G624,"-"," ",LEN($G624)-LEN(SUBSTITUTE($G624,"-",""))),"-"," ",LEN($G624)-LEN(SUBSTITUTE($G624,"-",""))-1))-LEN(SUBSTITUTE(SUBSTITUTE(SUBSTITUTE($G624,"-"," ",LEN($G624)-LEN(SUBSTITUTE($G624,"-",""))),"-"," ",LEN($G624)-LEN(SUBSTITUTE($G624,"-",""))-1),".",""))))),$G624)))</f>
        <v/>
      </c>
    </row>
    <row r="625">
      <c r="A625" s="58" t="n"/>
      <c r="B625" s="58">
        <f>IF($H625="","",LEFT($H625,FIND(" ",$H625&amp;" ")-1))</f>
        <v/>
      </c>
      <c r="C625" s="58">
        <f>IF($H625="","",IFERROR(MID($H625&amp;" ",FIND("|",SUBSTITUTE($H625&amp;" "," ","|",1))+1,FIND("|",SUBSTITUTE($H625&amp;" "," ","|",2))-FIND("|",SUBSTITUTE($H625&amp;" "," ","|",1))-1),""))</f>
        <v/>
      </c>
      <c r="D625" s="58">
        <f>IF($H625="","",IFERROR(MID($H625&amp;" ",FIND("|",SUBSTITUTE($H625&amp;" "," ","|",2))+1,FIND("|",SUBSTITUTE($H625&amp;" "," ","|",3))-FIND("|",SUBSTITUTE($H625&amp;" "," ","|",2))-1),""))</f>
        <v/>
      </c>
      <c r="E625" s="58">
        <f>IF($H625="","",IFERROR(MID($H625&amp;" ",FIND("|",SUBSTITUTE($H625&amp;" "," ","|",3))+1,FIND("|",SUBSTITUTE($H625&amp;" "," ","|",4))-FIND("|",SUBSTITUTE($H625&amp;" "," ","|",3))-1),""))</f>
        <v/>
      </c>
      <c r="F625" s="59">
        <f>IF($H625="","",IFERROR(VALUE(IFERROR(MID($H625&amp;" ",FIND("|",SUBSTITUTE($H625&amp;" "," ","|",4))+1,FIND("|",SUBSTITUTE($H625&amp;" "," ","|",5))-FIND("|",SUBSTITUTE($H625&amp;" "," ","|",4))-1),""))/86400+25569+9/24,""))</f>
        <v/>
      </c>
      <c r="G625" s="58">
        <f>TRIM(SUBSTITUTE(SUBSTITUTE(SUBSTITUTE($A625,CHAR(9)," ")," "," "),CHAR(13),""))</f>
        <v/>
      </c>
      <c r="H625" s="58">
        <f>IF($G625="","",IF(ISNUMBER(FIND(" ",$G625)),$G625,IFERROR(IF((LEN(SUBSTITUTE(SUBSTITUTE($G625,"-"," ",LEN($G625)-LEN(SUBSTITUTE($G625,"-",""))),"-"," ",LEN($G625)-LEN(SUBSTITUTE($G625,"-",""))-1))-LEN(SUBSTITUTE(SUBSTITUTE(SUBSTITUTE($G625,"-"," ",LEN($G625)-LEN(SUBSTITUTE($G625,"-",""))),"-"," ",LEN($G625)-LEN(SUBSTITUTE($G625,"-",""))-1),".","")))=0,SUBSTITUTE(SUBSTITUTE($G625,"-"," ",LEN($G625)-LEN(SUBSTITUTE($G625,"-",""))),"-"," ",LEN($G625)-LEN(SUBSTITUTE($G625,"-",""))-1),SUBSTITUTE(SUBSTITUTE(SUBSTITUTE($G625,"-"," ",LEN($G625)-LEN(SUBSTITUTE($G625,"-",""))),"-"," ",LEN($G625)-LEN(SUBSTITUTE($G625,"-",""))-1),"."," ",(LEN(SUBSTITUTE(SUBSTITUTE($G625,"-"," ",LEN($G625)-LEN(SUBSTITUTE($G625,"-",""))),"-"," ",LEN($G625)-LEN(SUBSTITUTE($G625,"-",""))-1))-LEN(SUBSTITUTE(SUBSTITUTE(SUBSTITUTE($G625,"-"," ",LEN($G625)-LEN(SUBSTITUTE($G625,"-",""))),"-"," ",LEN($G625)-LEN(SUBSTITUTE($G625,"-",""))-1),".",""))))),$G625)))</f>
        <v/>
      </c>
    </row>
    <row r="626">
      <c r="A626" s="58" t="n"/>
      <c r="B626" s="58">
        <f>IF($H626="","",LEFT($H626,FIND(" ",$H626&amp;" ")-1))</f>
        <v/>
      </c>
      <c r="C626" s="58">
        <f>IF($H626="","",IFERROR(MID($H626&amp;" ",FIND("|",SUBSTITUTE($H626&amp;" "," ","|",1))+1,FIND("|",SUBSTITUTE($H626&amp;" "," ","|",2))-FIND("|",SUBSTITUTE($H626&amp;" "," ","|",1))-1),""))</f>
        <v/>
      </c>
      <c r="D626" s="58">
        <f>IF($H626="","",IFERROR(MID($H626&amp;" ",FIND("|",SUBSTITUTE($H626&amp;" "," ","|",2))+1,FIND("|",SUBSTITUTE($H626&amp;" "," ","|",3))-FIND("|",SUBSTITUTE($H626&amp;" "," ","|",2))-1),""))</f>
        <v/>
      </c>
      <c r="E626" s="58">
        <f>IF($H626="","",IFERROR(MID($H626&amp;" ",FIND("|",SUBSTITUTE($H626&amp;" "," ","|",3))+1,FIND("|",SUBSTITUTE($H626&amp;" "," ","|",4))-FIND("|",SUBSTITUTE($H626&amp;" "," ","|",3))-1),""))</f>
        <v/>
      </c>
      <c r="F626" s="59">
        <f>IF($H626="","",IFERROR(VALUE(IFERROR(MID($H626&amp;" ",FIND("|",SUBSTITUTE($H626&amp;" "," ","|",4))+1,FIND("|",SUBSTITUTE($H626&amp;" "," ","|",5))-FIND("|",SUBSTITUTE($H626&amp;" "," ","|",4))-1),""))/86400+25569+9/24,""))</f>
        <v/>
      </c>
      <c r="G626" s="58">
        <f>TRIM(SUBSTITUTE(SUBSTITUTE(SUBSTITUTE($A626,CHAR(9)," ")," "," "),CHAR(13),""))</f>
        <v/>
      </c>
      <c r="H626" s="58">
        <f>IF($G626="","",IF(ISNUMBER(FIND(" ",$G626)),$G626,IFERROR(IF((LEN(SUBSTITUTE(SUBSTITUTE($G626,"-"," ",LEN($G626)-LEN(SUBSTITUTE($G626,"-",""))),"-"," ",LEN($G626)-LEN(SUBSTITUTE($G626,"-",""))-1))-LEN(SUBSTITUTE(SUBSTITUTE(SUBSTITUTE($G626,"-"," ",LEN($G626)-LEN(SUBSTITUTE($G626,"-",""))),"-"," ",LEN($G626)-LEN(SUBSTITUTE($G626,"-",""))-1),".","")))=0,SUBSTITUTE(SUBSTITUTE($G626,"-"," ",LEN($G626)-LEN(SUBSTITUTE($G626,"-",""))),"-"," ",LEN($G626)-LEN(SUBSTITUTE($G626,"-",""))-1),SUBSTITUTE(SUBSTITUTE(SUBSTITUTE($G626,"-"," ",LEN($G626)-LEN(SUBSTITUTE($G626,"-",""))),"-"," ",LEN($G626)-LEN(SUBSTITUTE($G626,"-",""))-1),"."," ",(LEN(SUBSTITUTE(SUBSTITUTE($G626,"-"," ",LEN($G626)-LEN(SUBSTITUTE($G626,"-",""))),"-"," ",LEN($G626)-LEN(SUBSTITUTE($G626,"-",""))-1))-LEN(SUBSTITUTE(SUBSTITUTE(SUBSTITUTE($G626,"-"," ",LEN($G626)-LEN(SUBSTITUTE($G626,"-",""))),"-"," ",LEN($G626)-LEN(SUBSTITUTE($G626,"-",""))-1),".",""))))),$G626)))</f>
        <v/>
      </c>
    </row>
    <row r="627">
      <c r="A627" s="58" t="n"/>
      <c r="B627" s="58">
        <f>IF($H627="","",LEFT($H627,FIND(" ",$H627&amp;" ")-1))</f>
        <v/>
      </c>
      <c r="C627" s="58">
        <f>IF($H627="","",IFERROR(MID($H627&amp;" ",FIND("|",SUBSTITUTE($H627&amp;" "," ","|",1))+1,FIND("|",SUBSTITUTE($H627&amp;" "," ","|",2))-FIND("|",SUBSTITUTE($H627&amp;" "," ","|",1))-1),""))</f>
        <v/>
      </c>
      <c r="D627" s="58">
        <f>IF($H627="","",IFERROR(MID($H627&amp;" ",FIND("|",SUBSTITUTE($H627&amp;" "," ","|",2))+1,FIND("|",SUBSTITUTE($H627&amp;" "," ","|",3))-FIND("|",SUBSTITUTE($H627&amp;" "," ","|",2))-1),""))</f>
        <v/>
      </c>
      <c r="E627" s="58">
        <f>IF($H627="","",IFERROR(MID($H627&amp;" ",FIND("|",SUBSTITUTE($H627&amp;" "," ","|",3))+1,FIND("|",SUBSTITUTE($H627&amp;" "," ","|",4))-FIND("|",SUBSTITUTE($H627&amp;" "," ","|",3))-1),""))</f>
        <v/>
      </c>
      <c r="F627" s="59">
        <f>IF($H627="","",IFERROR(VALUE(IFERROR(MID($H627&amp;" ",FIND("|",SUBSTITUTE($H627&amp;" "," ","|",4))+1,FIND("|",SUBSTITUTE($H627&amp;" "," ","|",5))-FIND("|",SUBSTITUTE($H627&amp;" "," ","|",4))-1),""))/86400+25569+9/24,""))</f>
        <v/>
      </c>
      <c r="G627" s="58">
        <f>TRIM(SUBSTITUTE(SUBSTITUTE(SUBSTITUTE($A627,CHAR(9)," ")," "," "),CHAR(13),""))</f>
        <v/>
      </c>
      <c r="H627" s="58">
        <f>IF($G627="","",IF(ISNUMBER(FIND(" ",$G627)),$G627,IFERROR(IF((LEN(SUBSTITUTE(SUBSTITUTE($G627,"-"," ",LEN($G627)-LEN(SUBSTITUTE($G627,"-",""))),"-"," ",LEN($G627)-LEN(SUBSTITUTE($G627,"-",""))-1))-LEN(SUBSTITUTE(SUBSTITUTE(SUBSTITUTE($G627,"-"," ",LEN($G627)-LEN(SUBSTITUTE($G627,"-",""))),"-"," ",LEN($G627)-LEN(SUBSTITUTE($G627,"-",""))-1),".","")))=0,SUBSTITUTE(SUBSTITUTE($G627,"-"," ",LEN($G627)-LEN(SUBSTITUTE($G627,"-",""))),"-"," ",LEN($G627)-LEN(SUBSTITUTE($G627,"-",""))-1),SUBSTITUTE(SUBSTITUTE(SUBSTITUTE($G627,"-"," ",LEN($G627)-LEN(SUBSTITUTE($G627,"-",""))),"-"," ",LEN($G627)-LEN(SUBSTITUTE($G627,"-",""))-1),"."," ",(LEN(SUBSTITUTE(SUBSTITUTE($G627,"-"," ",LEN($G627)-LEN(SUBSTITUTE($G627,"-",""))),"-"," ",LEN($G627)-LEN(SUBSTITUTE($G627,"-",""))-1))-LEN(SUBSTITUTE(SUBSTITUTE(SUBSTITUTE($G627,"-"," ",LEN($G627)-LEN(SUBSTITUTE($G627,"-",""))),"-"," ",LEN($G627)-LEN(SUBSTITUTE($G627,"-",""))-1),".",""))))),$G627)))</f>
        <v/>
      </c>
    </row>
    <row r="628">
      <c r="A628" s="58" t="n"/>
      <c r="B628" s="58">
        <f>IF($H628="","",LEFT($H628,FIND(" ",$H628&amp;" ")-1))</f>
        <v/>
      </c>
      <c r="C628" s="58">
        <f>IF($H628="","",IFERROR(MID($H628&amp;" ",FIND("|",SUBSTITUTE($H628&amp;" "," ","|",1))+1,FIND("|",SUBSTITUTE($H628&amp;" "," ","|",2))-FIND("|",SUBSTITUTE($H628&amp;" "," ","|",1))-1),""))</f>
        <v/>
      </c>
      <c r="D628" s="58">
        <f>IF($H628="","",IFERROR(MID($H628&amp;" ",FIND("|",SUBSTITUTE($H628&amp;" "," ","|",2))+1,FIND("|",SUBSTITUTE($H628&amp;" "," ","|",3))-FIND("|",SUBSTITUTE($H628&amp;" "," ","|",2))-1),""))</f>
        <v/>
      </c>
      <c r="E628" s="58">
        <f>IF($H628="","",IFERROR(MID($H628&amp;" ",FIND("|",SUBSTITUTE($H628&amp;" "," ","|",3))+1,FIND("|",SUBSTITUTE($H628&amp;" "," ","|",4))-FIND("|",SUBSTITUTE($H628&amp;" "," ","|",3))-1),""))</f>
        <v/>
      </c>
      <c r="F628" s="59">
        <f>IF($H628="","",IFERROR(VALUE(IFERROR(MID($H628&amp;" ",FIND("|",SUBSTITUTE($H628&amp;" "," ","|",4))+1,FIND("|",SUBSTITUTE($H628&amp;" "," ","|",5))-FIND("|",SUBSTITUTE($H628&amp;" "," ","|",4))-1),""))/86400+25569+9/24,""))</f>
        <v/>
      </c>
      <c r="G628" s="58">
        <f>TRIM(SUBSTITUTE(SUBSTITUTE(SUBSTITUTE($A628,CHAR(9)," ")," "," "),CHAR(13),""))</f>
        <v/>
      </c>
      <c r="H628" s="58">
        <f>IF($G628="","",IF(ISNUMBER(FIND(" ",$G628)),$G628,IFERROR(IF((LEN(SUBSTITUTE(SUBSTITUTE($G628,"-"," ",LEN($G628)-LEN(SUBSTITUTE($G628,"-",""))),"-"," ",LEN($G628)-LEN(SUBSTITUTE($G628,"-",""))-1))-LEN(SUBSTITUTE(SUBSTITUTE(SUBSTITUTE($G628,"-"," ",LEN($G628)-LEN(SUBSTITUTE($G628,"-",""))),"-"," ",LEN($G628)-LEN(SUBSTITUTE($G628,"-",""))-1),".","")))=0,SUBSTITUTE(SUBSTITUTE($G628,"-"," ",LEN($G628)-LEN(SUBSTITUTE($G628,"-",""))),"-"," ",LEN($G628)-LEN(SUBSTITUTE($G628,"-",""))-1),SUBSTITUTE(SUBSTITUTE(SUBSTITUTE($G628,"-"," ",LEN($G628)-LEN(SUBSTITUTE($G628,"-",""))),"-"," ",LEN($G628)-LEN(SUBSTITUTE($G628,"-",""))-1),"."," ",(LEN(SUBSTITUTE(SUBSTITUTE($G628,"-"," ",LEN($G628)-LEN(SUBSTITUTE($G628,"-",""))),"-"," ",LEN($G628)-LEN(SUBSTITUTE($G628,"-",""))-1))-LEN(SUBSTITUTE(SUBSTITUTE(SUBSTITUTE($G628,"-"," ",LEN($G628)-LEN(SUBSTITUTE($G628,"-",""))),"-"," ",LEN($G628)-LEN(SUBSTITUTE($G628,"-",""))-1),".",""))))),$G628)))</f>
        <v/>
      </c>
    </row>
    <row r="629">
      <c r="A629" s="58" t="n"/>
      <c r="B629" s="58">
        <f>IF($H629="","",LEFT($H629,FIND(" ",$H629&amp;" ")-1))</f>
        <v/>
      </c>
      <c r="C629" s="58">
        <f>IF($H629="","",IFERROR(MID($H629&amp;" ",FIND("|",SUBSTITUTE($H629&amp;" "," ","|",1))+1,FIND("|",SUBSTITUTE($H629&amp;" "," ","|",2))-FIND("|",SUBSTITUTE($H629&amp;" "," ","|",1))-1),""))</f>
        <v/>
      </c>
      <c r="D629" s="58">
        <f>IF($H629="","",IFERROR(MID($H629&amp;" ",FIND("|",SUBSTITUTE($H629&amp;" "," ","|",2))+1,FIND("|",SUBSTITUTE($H629&amp;" "," ","|",3))-FIND("|",SUBSTITUTE($H629&amp;" "," ","|",2))-1),""))</f>
        <v/>
      </c>
      <c r="E629" s="58">
        <f>IF($H629="","",IFERROR(MID($H629&amp;" ",FIND("|",SUBSTITUTE($H629&amp;" "," ","|",3))+1,FIND("|",SUBSTITUTE($H629&amp;" "," ","|",4))-FIND("|",SUBSTITUTE($H629&amp;" "," ","|",3))-1),""))</f>
        <v/>
      </c>
      <c r="F629" s="59">
        <f>IF($H629="","",IFERROR(VALUE(IFERROR(MID($H629&amp;" ",FIND("|",SUBSTITUTE($H629&amp;" "," ","|",4))+1,FIND("|",SUBSTITUTE($H629&amp;" "," ","|",5))-FIND("|",SUBSTITUTE($H629&amp;" "," ","|",4))-1),""))/86400+25569+9/24,""))</f>
        <v/>
      </c>
      <c r="G629" s="58">
        <f>TRIM(SUBSTITUTE(SUBSTITUTE(SUBSTITUTE($A629,CHAR(9)," ")," "," "),CHAR(13),""))</f>
        <v/>
      </c>
      <c r="H629" s="58">
        <f>IF($G629="","",IF(ISNUMBER(FIND(" ",$G629)),$G629,IFERROR(IF((LEN(SUBSTITUTE(SUBSTITUTE($G629,"-"," ",LEN($G629)-LEN(SUBSTITUTE($G629,"-",""))),"-"," ",LEN($G629)-LEN(SUBSTITUTE($G629,"-",""))-1))-LEN(SUBSTITUTE(SUBSTITUTE(SUBSTITUTE($G629,"-"," ",LEN($G629)-LEN(SUBSTITUTE($G629,"-",""))),"-"," ",LEN($G629)-LEN(SUBSTITUTE($G629,"-",""))-1),".","")))=0,SUBSTITUTE(SUBSTITUTE($G629,"-"," ",LEN($G629)-LEN(SUBSTITUTE($G629,"-",""))),"-"," ",LEN($G629)-LEN(SUBSTITUTE($G629,"-",""))-1),SUBSTITUTE(SUBSTITUTE(SUBSTITUTE($G629,"-"," ",LEN($G629)-LEN(SUBSTITUTE($G629,"-",""))),"-"," ",LEN($G629)-LEN(SUBSTITUTE($G629,"-",""))-1),"."," ",(LEN(SUBSTITUTE(SUBSTITUTE($G629,"-"," ",LEN($G629)-LEN(SUBSTITUTE($G629,"-",""))),"-"," ",LEN($G629)-LEN(SUBSTITUTE($G629,"-",""))-1))-LEN(SUBSTITUTE(SUBSTITUTE(SUBSTITUTE($G629,"-"," ",LEN($G629)-LEN(SUBSTITUTE($G629,"-",""))),"-"," ",LEN($G629)-LEN(SUBSTITUTE($G629,"-",""))-1),".",""))))),$G629)))</f>
        <v/>
      </c>
    </row>
    <row r="630">
      <c r="A630" s="58" t="n"/>
      <c r="B630" s="58">
        <f>IF($H630="","",LEFT($H630,FIND(" ",$H630&amp;" ")-1))</f>
        <v/>
      </c>
      <c r="C630" s="58">
        <f>IF($H630="","",IFERROR(MID($H630&amp;" ",FIND("|",SUBSTITUTE($H630&amp;" "," ","|",1))+1,FIND("|",SUBSTITUTE($H630&amp;" "," ","|",2))-FIND("|",SUBSTITUTE($H630&amp;" "," ","|",1))-1),""))</f>
        <v/>
      </c>
      <c r="D630" s="58">
        <f>IF($H630="","",IFERROR(MID($H630&amp;" ",FIND("|",SUBSTITUTE($H630&amp;" "," ","|",2))+1,FIND("|",SUBSTITUTE($H630&amp;" "," ","|",3))-FIND("|",SUBSTITUTE($H630&amp;" "," ","|",2))-1),""))</f>
        <v/>
      </c>
      <c r="E630" s="58">
        <f>IF($H630="","",IFERROR(MID($H630&amp;" ",FIND("|",SUBSTITUTE($H630&amp;" "," ","|",3))+1,FIND("|",SUBSTITUTE($H630&amp;" "," ","|",4))-FIND("|",SUBSTITUTE($H630&amp;" "," ","|",3))-1),""))</f>
        <v/>
      </c>
      <c r="F630" s="59">
        <f>IF($H630="","",IFERROR(VALUE(IFERROR(MID($H630&amp;" ",FIND("|",SUBSTITUTE($H630&amp;" "," ","|",4))+1,FIND("|",SUBSTITUTE($H630&amp;" "," ","|",5))-FIND("|",SUBSTITUTE($H630&amp;" "," ","|",4))-1),""))/86400+25569+9/24,""))</f>
        <v/>
      </c>
      <c r="G630" s="58">
        <f>TRIM(SUBSTITUTE(SUBSTITUTE(SUBSTITUTE($A630,CHAR(9)," ")," "," "),CHAR(13),""))</f>
        <v/>
      </c>
      <c r="H630" s="58">
        <f>IF($G630="","",IF(ISNUMBER(FIND(" ",$G630)),$G630,IFERROR(IF((LEN(SUBSTITUTE(SUBSTITUTE($G630,"-"," ",LEN($G630)-LEN(SUBSTITUTE($G630,"-",""))),"-"," ",LEN($G630)-LEN(SUBSTITUTE($G630,"-",""))-1))-LEN(SUBSTITUTE(SUBSTITUTE(SUBSTITUTE($G630,"-"," ",LEN($G630)-LEN(SUBSTITUTE($G630,"-",""))),"-"," ",LEN($G630)-LEN(SUBSTITUTE($G630,"-",""))-1),".","")))=0,SUBSTITUTE(SUBSTITUTE($G630,"-"," ",LEN($G630)-LEN(SUBSTITUTE($G630,"-",""))),"-"," ",LEN($G630)-LEN(SUBSTITUTE($G630,"-",""))-1),SUBSTITUTE(SUBSTITUTE(SUBSTITUTE($G630,"-"," ",LEN($G630)-LEN(SUBSTITUTE($G630,"-",""))),"-"," ",LEN($G630)-LEN(SUBSTITUTE($G630,"-",""))-1),"."," ",(LEN(SUBSTITUTE(SUBSTITUTE($G630,"-"," ",LEN($G630)-LEN(SUBSTITUTE($G630,"-",""))),"-"," ",LEN($G630)-LEN(SUBSTITUTE($G630,"-",""))-1))-LEN(SUBSTITUTE(SUBSTITUTE(SUBSTITUTE($G630,"-"," ",LEN($G630)-LEN(SUBSTITUTE($G630,"-",""))),"-"," ",LEN($G630)-LEN(SUBSTITUTE($G630,"-",""))-1),".",""))))),$G630)))</f>
        <v/>
      </c>
    </row>
    <row r="631">
      <c r="A631" s="58" t="n"/>
      <c r="B631" s="58">
        <f>IF($H631="","",LEFT($H631,FIND(" ",$H631&amp;" ")-1))</f>
        <v/>
      </c>
      <c r="C631" s="58">
        <f>IF($H631="","",IFERROR(MID($H631&amp;" ",FIND("|",SUBSTITUTE($H631&amp;" "," ","|",1))+1,FIND("|",SUBSTITUTE($H631&amp;" "," ","|",2))-FIND("|",SUBSTITUTE($H631&amp;" "," ","|",1))-1),""))</f>
        <v/>
      </c>
      <c r="D631" s="58">
        <f>IF($H631="","",IFERROR(MID($H631&amp;" ",FIND("|",SUBSTITUTE($H631&amp;" "," ","|",2))+1,FIND("|",SUBSTITUTE($H631&amp;" "," ","|",3))-FIND("|",SUBSTITUTE($H631&amp;" "," ","|",2))-1),""))</f>
        <v/>
      </c>
      <c r="E631" s="58">
        <f>IF($H631="","",IFERROR(MID($H631&amp;" ",FIND("|",SUBSTITUTE($H631&amp;" "," ","|",3))+1,FIND("|",SUBSTITUTE($H631&amp;" "," ","|",4))-FIND("|",SUBSTITUTE($H631&amp;" "," ","|",3))-1),""))</f>
        <v/>
      </c>
      <c r="F631" s="59">
        <f>IF($H631="","",IFERROR(VALUE(IFERROR(MID($H631&amp;" ",FIND("|",SUBSTITUTE($H631&amp;" "," ","|",4))+1,FIND("|",SUBSTITUTE($H631&amp;" "," ","|",5))-FIND("|",SUBSTITUTE($H631&amp;" "," ","|",4))-1),""))/86400+25569+9/24,""))</f>
        <v/>
      </c>
      <c r="G631" s="58">
        <f>TRIM(SUBSTITUTE(SUBSTITUTE(SUBSTITUTE($A631,CHAR(9)," ")," "," "),CHAR(13),""))</f>
        <v/>
      </c>
      <c r="H631" s="58">
        <f>IF($G631="","",IF(ISNUMBER(FIND(" ",$G631)),$G631,IFERROR(IF((LEN(SUBSTITUTE(SUBSTITUTE($G631,"-"," ",LEN($G631)-LEN(SUBSTITUTE($G631,"-",""))),"-"," ",LEN($G631)-LEN(SUBSTITUTE($G631,"-",""))-1))-LEN(SUBSTITUTE(SUBSTITUTE(SUBSTITUTE($G631,"-"," ",LEN($G631)-LEN(SUBSTITUTE($G631,"-",""))),"-"," ",LEN($G631)-LEN(SUBSTITUTE($G631,"-",""))-1),".","")))=0,SUBSTITUTE(SUBSTITUTE($G631,"-"," ",LEN($G631)-LEN(SUBSTITUTE($G631,"-",""))),"-"," ",LEN($G631)-LEN(SUBSTITUTE($G631,"-",""))-1),SUBSTITUTE(SUBSTITUTE(SUBSTITUTE($G631,"-"," ",LEN($G631)-LEN(SUBSTITUTE($G631,"-",""))),"-"," ",LEN($G631)-LEN(SUBSTITUTE($G631,"-",""))-1),"."," ",(LEN(SUBSTITUTE(SUBSTITUTE($G631,"-"," ",LEN($G631)-LEN(SUBSTITUTE($G631,"-",""))),"-"," ",LEN($G631)-LEN(SUBSTITUTE($G631,"-",""))-1))-LEN(SUBSTITUTE(SUBSTITUTE(SUBSTITUTE($G631,"-"," ",LEN($G631)-LEN(SUBSTITUTE($G631,"-",""))),"-"," ",LEN($G631)-LEN(SUBSTITUTE($G631,"-",""))-1),".",""))))),$G631)))</f>
        <v/>
      </c>
    </row>
    <row r="632">
      <c r="A632" s="58" t="n"/>
      <c r="B632" s="58">
        <f>IF($H632="","",LEFT($H632,FIND(" ",$H632&amp;" ")-1))</f>
        <v/>
      </c>
      <c r="C632" s="58">
        <f>IF($H632="","",IFERROR(MID($H632&amp;" ",FIND("|",SUBSTITUTE($H632&amp;" "," ","|",1))+1,FIND("|",SUBSTITUTE($H632&amp;" "," ","|",2))-FIND("|",SUBSTITUTE($H632&amp;" "," ","|",1))-1),""))</f>
        <v/>
      </c>
      <c r="D632" s="58">
        <f>IF($H632="","",IFERROR(MID($H632&amp;" ",FIND("|",SUBSTITUTE($H632&amp;" "," ","|",2))+1,FIND("|",SUBSTITUTE($H632&amp;" "," ","|",3))-FIND("|",SUBSTITUTE($H632&amp;" "," ","|",2))-1),""))</f>
        <v/>
      </c>
      <c r="E632" s="58">
        <f>IF($H632="","",IFERROR(MID($H632&amp;" ",FIND("|",SUBSTITUTE($H632&amp;" "," ","|",3))+1,FIND("|",SUBSTITUTE($H632&amp;" "," ","|",4))-FIND("|",SUBSTITUTE($H632&amp;" "," ","|",3))-1),""))</f>
        <v/>
      </c>
      <c r="F632" s="59">
        <f>IF($H632="","",IFERROR(VALUE(IFERROR(MID($H632&amp;" ",FIND("|",SUBSTITUTE($H632&amp;" "," ","|",4))+1,FIND("|",SUBSTITUTE($H632&amp;" "," ","|",5))-FIND("|",SUBSTITUTE($H632&amp;" "," ","|",4))-1),""))/86400+25569+9/24,""))</f>
        <v/>
      </c>
      <c r="G632" s="58">
        <f>TRIM(SUBSTITUTE(SUBSTITUTE(SUBSTITUTE($A632,CHAR(9)," ")," "," "),CHAR(13),""))</f>
        <v/>
      </c>
      <c r="H632" s="58">
        <f>IF($G632="","",IF(ISNUMBER(FIND(" ",$G632)),$G632,IFERROR(IF((LEN(SUBSTITUTE(SUBSTITUTE($G632,"-"," ",LEN($G632)-LEN(SUBSTITUTE($G632,"-",""))),"-"," ",LEN($G632)-LEN(SUBSTITUTE($G632,"-",""))-1))-LEN(SUBSTITUTE(SUBSTITUTE(SUBSTITUTE($G632,"-"," ",LEN($G632)-LEN(SUBSTITUTE($G632,"-",""))),"-"," ",LEN($G632)-LEN(SUBSTITUTE($G632,"-",""))-1),".","")))=0,SUBSTITUTE(SUBSTITUTE($G632,"-"," ",LEN($G632)-LEN(SUBSTITUTE($G632,"-",""))),"-"," ",LEN($G632)-LEN(SUBSTITUTE($G632,"-",""))-1),SUBSTITUTE(SUBSTITUTE(SUBSTITUTE($G632,"-"," ",LEN($G632)-LEN(SUBSTITUTE($G632,"-",""))),"-"," ",LEN($G632)-LEN(SUBSTITUTE($G632,"-",""))-1),"."," ",(LEN(SUBSTITUTE(SUBSTITUTE($G632,"-"," ",LEN($G632)-LEN(SUBSTITUTE($G632,"-",""))),"-"," ",LEN($G632)-LEN(SUBSTITUTE($G632,"-",""))-1))-LEN(SUBSTITUTE(SUBSTITUTE(SUBSTITUTE($G632,"-"," ",LEN($G632)-LEN(SUBSTITUTE($G632,"-",""))),"-"," ",LEN($G632)-LEN(SUBSTITUTE($G632,"-",""))-1),".",""))))),$G632)))</f>
        <v/>
      </c>
    </row>
    <row r="633">
      <c r="A633" s="58" t="n"/>
      <c r="B633" s="58">
        <f>IF($H633="","",LEFT($H633,FIND(" ",$H633&amp;" ")-1))</f>
        <v/>
      </c>
      <c r="C633" s="58">
        <f>IF($H633="","",IFERROR(MID($H633&amp;" ",FIND("|",SUBSTITUTE($H633&amp;" "," ","|",1))+1,FIND("|",SUBSTITUTE($H633&amp;" "," ","|",2))-FIND("|",SUBSTITUTE($H633&amp;" "," ","|",1))-1),""))</f>
        <v/>
      </c>
      <c r="D633" s="58">
        <f>IF($H633="","",IFERROR(MID($H633&amp;" ",FIND("|",SUBSTITUTE($H633&amp;" "," ","|",2))+1,FIND("|",SUBSTITUTE($H633&amp;" "," ","|",3))-FIND("|",SUBSTITUTE($H633&amp;" "," ","|",2))-1),""))</f>
        <v/>
      </c>
      <c r="E633" s="58">
        <f>IF($H633="","",IFERROR(MID($H633&amp;" ",FIND("|",SUBSTITUTE($H633&amp;" "," ","|",3))+1,FIND("|",SUBSTITUTE($H633&amp;" "," ","|",4))-FIND("|",SUBSTITUTE($H633&amp;" "," ","|",3))-1),""))</f>
        <v/>
      </c>
      <c r="F633" s="59">
        <f>IF($H633="","",IFERROR(VALUE(IFERROR(MID($H633&amp;" ",FIND("|",SUBSTITUTE($H633&amp;" "," ","|",4))+1,FIND("|",SUBSTITUTE($H633&amp;" "," ","|",5))-FIND("|",SUBSTITUTE($H633&amp;" "," ","|",4))-1),""))/86400+25569+9/24,""))</f>
        <v/>
      </c>
      <c r="G633" s="58">
        <f>TRIM(SUBSTITUTE(SUBSTITUTE(SUBSTITUTE($A633,CHAR(9)," ")," "," "),CHAR(13),""))</f>
        <v/>
      </c>
      <c r="H633" s="58">
        <f>IF($G633="","",IF(ISNUMBER(FIND(" ",$G633)),$G633,IFERROR(IF((LEN(SUBSTITUTE(SUBSTITUTE($G633,"-"," ",LEN($G633)-LEN(SUBSTITUTE($G633,"-",""))),"-"," ",LEN($G633)-LEN(SUBSTITUTE($G633,"-",""))-1))-LEN(SUBSTITUTE(SUBSTITUTE(SUBSTITUTE($G633,"-"," ",LEN($G633)-LEN(SUBSTITUTE($G633,"-",""))),"-"," ",LEN($G633)-LEN(SUBSTITUTE($G633,"-",""))-1),".","")))=0,SUBSTITUTE(SUBSTITUTE($G633,"-"," ",LEN($G633)-LEN(SUBSTITUTE($G633,"-",""))),"-"," ",LEN($G633)-LEN(SUBSTITUTE($G633,"-",""))-1),SUBSTITUTE(SUBSTITUTE(SUBSTITUTE($G633,"-"," ",LEN($G633)-LEN(SUBSTITUTE($G633,"-",""))),"-"," ",LEN($G633)-LEN(SUBSTITUTE($G633,"-",""))-1),"."," ",(LEN(SUBSTITUTE(SUBSTITUTE($G633,"-"," ",LEN($G633)-LEN(SUBSTITUTE($G633,"-",""))),"-"," ",LEN($G633)-LEN(SUBSTITUTE($G633,"-",""))-1))-LEN(SUBSTITUTE(SUBSTITUTE(SUBSTITUTE($G633,"-"," ",LEN($G633)-LEN(SUBSTITUTE($G633,"-",""))),"-"," ",LEN($G633)-LEN(SUBSTITUTE($G633,"-",""))-1),".",""))))),$G633)))</f>
        <v/>
      </c>
    </row>
    <row r="634">
      <c r="A634" s="58" t="n"/>
      <c r="B634" s="58">
        <f>IF($H634="","",LEFT($H634,FIND(" ",$H634&amp;" ")-1))</f>
        <v/>
      </c>
      <c r="C634" s="58">
        <f>IF($H634="","",IFERROR(MID($H634&amp;" ",FIND("|",SUBSTITUTE($H634&amp;" "," ","|",1))+1,FIND("|",SUBSTITUTE($H634&amp;" "," ","|",2))-FIND("|",SUBSTITUTE($H634&amp;" "," ","|",1))-1),""))</f>
        <v/>
      </c>
      <c r="D634" s="58">
        <f>IF($H634="","",IFERROR(MID($H634&amp;" ",FIND("|",SUBSTITUTE($H634&amp;" "," ","|",2))+1,FIND("|",SUBSTITUTE($H634&amp;" "," ","|",3))-FIND("|",SUBSTITUTE($H634&amp;" "," ","|",2))-1),""))</f>
        <v/>
      </c>
      <c r="E634" s="58">
        <f>IF($H634="","",IFERROR(MID($H634&amp;" ",FIND("|",SUBSTITUTE($H634&amp;" "," ","|",3))+1,FIND("|",SUBSTITUTE($H634&amp;" "," ","|",4))-FIND("|",SUBSTITUTE($H634&amp;" "," ","|",3))-1),""))</f>
        <v/>
      </c>
      <c r="F634" s="59">
        <f>IF($H634="","",IFERROR(VALUE(IFERROR(MID($H634&amp;" ",FIND("|",SUBSTITUTE($H634&amp;" "," ","|",4))+1,FIND("|",SUBSTITUTE($H634&amp;" "," ","|",5))-FIND("|",SUBSTITUTE($H634&amp;" "," ","|",4))-1),""))/86400+25569+9/24,""))</f>
        <v/>
      </c>
      <c r="G634" s="58">
        <f>TRIM(SUBSTITUTE(SUBSTITUTE(SUBSTITUTE($A634,CHAR(9)," ")," "," "),CHAR(13),""))</f>
        <v/>
      </c>
      <c r="H634" s="58">
        <f>IF($G634="","",IF(ISNUMBER(FIND(" ",$G634)),$G634,IFERROR(IF((LEN(SUBSTITUTE(SUBSTITUTE($G634,"-"," ",LEN($G634)-LEN(SUBSTITUTE($G634,"-",""))),"-"," ",LEN($G634)-LEN(SUBSTITUTE($G634,"-",""))-1))-LEN(SUBSTITUTE(SUBSTITUTE(SUBSTITUTE($G634,"-"," ",LEN($G634)-LEN(SUBSTITUTE($G634,"-",""))),"-"," ",LEN($G634)-LEN(SUBSTITUTE($G634,"-",""))-1),".","")))=0,SUBSTITUTE(SUBSTITUTE($G634,"-"," ",LEN($G634)-LEN(SUBSTITUTE($G634,"-",""))),"-"," ",LEN($G634)-LEN(SUBSTITUTE($G634,"-",""))-1),SUBSTITUTE(SUBSTITUTE(SUBSTITUTE($G634,"-"," ",LEN($G634)-LEN(SUBSTITUTE($G634,"-",""))),"-"," ",LEN($G634)-LEN(SUBSTITUTE($G634,"-",""))-1),"."," ",(LEN(SUBSTITUTE(SUBSTITUTE($G634,"-"," ",LEN($G634)-LEN(SUBSTITUTE($G634,"-",""))),"-"," ",LEN($G634)-LEN(SUBSTITUTE($G634,"-",""))-1))-LEN(SUBSTITUTE(SUBSTITUTE(SUBSTITUTE($G634,"-"," ",LEN($G634)-LEN(SUBSTITUTE($G634,"-",""))),"-"," ",LEN($G634)-LEN(SUBSTITUTE($G634,"-",""))-1),".",""))))),$G634)))</f>
        <v/>
      </c>
    </row>
    <row r="635">
      <c r="A635" s="58" t="n"/>
      <c r="B635" s="58">
        <f>IF($H635="","",LEFT($H635,FIND(" ",$H635&amp;" ")-1))</f>
        <v/>
      </c>
      <c r="C635" s="58">
        <f>IF($H635="","",IFERROR(MID($H635&amp;" ",FIND("|",SUBSTITUTE($H635&amp;" "," ","|",1))+1,FIND("|",SUBSTITUTE($H635&amp;" "," ","|",2))-FIND("|",SUBSTITUTE($H635&amp;" "," ","|",1))-1),""))</f>
        <v/>
      </c>
      <c r="D635" s="58">
        <f>IF($H635="","",IFERROR(MID($H635&amp;" ",FIND("|",SUBSTITUTE($H635&amp;" "," ","|",2))+1,FIND("|",SUBSTITUTE($H635&amp;" "," ","|",3))-FIND("|",SUBSTITUTE($H635&amp;" "," ","|",2))-1),""))</f>
        <v/>
      </c>
      <c r="E635" s="58">
        <f>IF($H635="","",IFERROR(MID($H635&amp;" ",FIND("|",SUBSTITUTE($H635&amp;" "," ","|",3))+1,FIND("|",SUBSTITUTE($H635&amp;" "," ","|",4))-FIND("|",SUBSTITUTE($H635&amp;" "," ","|",3))-1),""))</f>
        <v/>
      </c>
      <c r="F635" s="59">
        <f>IF($H635="","",IFERROR(VALUE(IFERROR(MID($H635&amp;" ",FIND("|",SUBSTITUTE($H635&amp;" "," ","|",4))+1,FIND("|",SUBSTITUTE($H635&amp;" "," ","|",5))-FIND("|",SUBSTITUTE($H635&amp;" "," ","|",4))-1),""))/86400+25569+9/24,""))</f>
        <v/>
      </c>
      <c r="G635" s="58">
        <f>TRIM(SUBSTITUTE(SUBSTITUTE(SUBSTITUTE($A635,CHAR(9)," ")," "," "),CHAR(13),""))</f>
        <v/>
      </c>
      <c r="H635" s="58">
        <f>IF($G635="","",IF(ISNUMBER(FIND(" ",$G635)),$G635,IFERROR(IF((LEN(SUBSTITUTE(SUBSTITUTE($G635,"-"," ",LEN($G635)-LEN(SUBSTITUTE($G635,"-",""))),"-"," ",LEN($G635)-LEN(SUBSTITUTE($G635,"-",""))-1))-LEN(SUBSTITUTE(SUBSTITUTE(SUBSTITUTE($G635,"-"," ",LEN($G635)-LEN(SUBSTITUTE($G635,"-",""))),"-"," ",LEN($G635)-LEN(SUBSTITUTE($G635,"-",""))-1),".","")))=0,SUBSTITUTE(SUBSTITUTE($G635,"-"," ",LEN($G635)-LEN(SUBSTITUTE($G635,"-",""))),"-"," ",LEN($G635)-LEN(SUBSTITUTE($G635,"-",""))-1),SUBSTITUTE(SUBSTITUTE(SUBSTITUTE($G635,"-"," ",LEN($G635)-LEN(SUBSTITUTE($G635,"-",""))),"-"," ",LEN($G635)-LEN(SUBSTITUTE($G635,"-",""))-1),"."," ",(LEN(SUBSTITUTE(SUBSTITUTE($G635,"-"," ",LEN($G635)-LEN(SUBSTITUTE($G635,"-",""))),"-"," ",LEN($G635)-LEN(SUBSTITUTE($G635,"-",""))-1))-LEN(SUBSTITUTE(SUBSTITUTE(SUBSTITUTE($G635,"-"," ",LEN($G635)-LEN(SUBSTITUTE($G635,"-",""))),"-"," ",LEN($G635)-LEN(SUBSTITUTE($G635,"-",""))-1),".",""))))),$G635)))</f>
        <v/>
      </c>
    </row>
    <row r="636">
      <c r="A636" s="58" t="n"/>
      <c r="B636" s="58">
        <f>IF($H636="","",LEFT($H636,FIND(" ",$H636&amp;" ")-1))</f>
        <v/>
      </c>
      <c r="C636" s="58">
        <f>IF($H636="","",IFERROR(MID($H636&amp;" ",FIND("|",SUBSTITUTE($H636&amp;" "," ","|",1))+1,FIND("|",SUBSTITUTE($H636&amp;" "," ","|",2))-FIND("|",SUBSTITUTE($H636&amp;" "," ","|",1))-1),""))</f>
        <v/>
      </c>
      <c r="D636" s="58">
        <f>IF($H636="","",IFERROR(MID($H636&amp;" ",FIND("|",SUBSTITUTE($H636&amp;" "," ","|",2))+1,FIND("|",SUBSTITUTE($H636&amp;" "," ","|",3))-FIND("|",SUBSTITUTE($H636&amp;" "," ","|",2))-1),""))</f>
        <v/>
      </c>
      <c r="E636" s="58">
        <f>IF($H636="","",IFERROR(MID($H636&amp;" ",FIND("|",SUBSTITUTE($H636&amp;" "," ","|",3))+1,FIND("|",SUBSTITUTE($H636&amp;" "," ","|",4))-FIND("|",SUBSTITUTE($H636&amp;" "," ","|",3))-1),""))</f>
        <v/>
      </c>
      <c r="F636" s="59">
        <f>IF($H636="","",IFERROR(VALUE(IFERROR(MID($H636&amp;" ",FIND("|",SUBSTITUTE($H636&amp;" "," ","|",4))+1,FIND("|",SUBSTITUTE($H636&amp;" "," ","|",5))-FIND("|",SUBSTITUTE($H636&amp;" "," ","|",4))-1),""))/86400+25569+9/24,""))</f>
        <v/>
      </c>
      <c r="G636" s="58">
        <f>TRIM(SUBSTITUTE(SUBSTITUTE(SUBSTITUTE($A636,CHAR(9)," ")," "," "),CHAR(13),""))</f>
        <v/>
      </c>
      <c r="H636" s="58">
        <f>IF($G636="","",IF(ISNUMBER(FIND(" ",$G636)),$G636,IFERROR(IF((LEN(SUBSTITUTE(SUBSTITUTE($G636,"-"," ",LEN($G636)-LEN(SUBSTITUTE($G636,"-",""))),"-"," ",LEN($G636)-LEN(SUBSTITUTE($G636,"-",""))-1))-LEN(SUBSTITUTE(SUBSTITUTE(SUBSTITUTE($G636,"-"," ",LEN($G636)-LEN(SUBSTITUTE($G636,"-",""))),"-"," ",LEN($G636)-LEN(SUBSTITUTE($G636,"-",""))-1),".","")))=0,SUBSTITUTE(SUBSTITUTE($G636,"-"," ",LEN($G636)-LEN(SUBSTITUTE($G636,"-",""))),"-"," ",LEN($G636)-LEN(SUBSTITUTE($G636,"-",""))-1),SUBSTITUTE(SUBSTITUTE(SUBSTITUTE($G636,"-"," ",LEN($G636)-LEN(SUBSTITUTE($G636,"-",""))),"-"," ",LEN($G636)-LEN(SUBSTITUTE($G636,"-",""))-1),"."," ",(LEN(SUBSTITUTE(SUBSTITUTE($G636,"-"," ",LEN($G636)-LEN(SUBSTITUTE($G636,"-",""))),"-"," ",LEN($G636)-LEN(SUBSTITUTE($G636,"-",""))-1))-LEN(SUBSTITUTE(SUBSTITUTE(SUBSTITUTE($G636,"-"," ",LEN($G636)-LEN(SUBSTITUTE($G636,"-",""))),"-"," ",LEN($G636)-LEN(SUBSTITUTE($G636,"-",""))-1),".",""))))),$G636)))</f>
        <v/>
      </c>
    </row>
    <row r="637">
      <c r="A637" s="58" t="n"/>
      <c r="B637" s="58">
        <f>IF($H637="","",LEFT($H637,FIND(" ",$H637&amp;" ")-1))</f>
        <v/>
      </c>
      <c r="C637" s="58">
        <f>IF($H637="","",IFERROR(MID($H637&amp;" ",FIND("|",SUBSTITUTE($H637&amp;" "," ","|",1))+1,FIND("|",SUBSTITUTE($H637&amp;" "," ","|",2))-FIND("|",SUBSTITUTE($H637&amp;" "," ","|",1))-1),""))</f>
        <v/>
      </c>
      <c r="D637" s="58">
        <f>IF($H637="","",IFERROR(MID($H637&amp;" ",FIND("|",SUBSTITUTE($H637&amp;" "," ","|",2))+1,FIND("|",SUBSTITUTE($H637&amp;" "," ","|",3))-FIND("|",SUBSTITUTE($H637&amp;" "," ","|",2))-1),""))</f>
        <v/>
      </c>
      <c r="E637" s="58">
        <f>IF($H637="","",IFERROR(MID($H637&amp;" ",FIND("|",SUBSTITUTE($H637&amp;" "," ","|",3))+1,FIND("|",SUBSTITUTE($H637&amp;" "," ","|",4))-FIND("|",SUBSTITUTE($H637&amp;" "," ","|",3))-1),""))</f>
        <v/>
      </c>
      <c r="F637" s="59">
        <f>IF($H637="","",IFERROR(VALUE(IFERROR(MID($H637&amp;" ",FIND("|",SUBSTITUTE($H637&amp;" "," ","|",4))+1,FIND("|",SUBSTITUTE($H637&amp;" "," ","|",5))-FIND("|",SUBSTITUTE($H637&amp;" "," ","|",4))-1),""))/86400+25569+9/24,""))</f>
        <v/>
      </c>
      <c r="G637" s="58">
        <f>TRIM(SUBSTITUTE(SUBSTITUTE(SUBSTITUTE($A637,CHAR(9)," ")," "," "),CHAR(13),""))</f>
        <v/>
      </c>
      <c r="H637" s="58">
        <f>IF($G637="","",IF(ISNUMBER(FIND(" ",$G637)),$G637,IFERROR(IF((LEN(SUBSTITUTE(SUBSTITUTE($G637,"-"," ",LEN($G637)-LEN(SUBSTITUTE($G637,"-",""))),"-"," ",LEN($G637)-LEN(SUBSTITUTE($G637,"-",""))-1))-LEN(SUBSTITUTE(SUBSTITUTE(SUBSTITUTE($G637,"-"," ",LEN($G637)-LEN(SUBSTITUTE($G637,"-",""))),"-"," ",LEN($G637)-LEN(SUBSTITUTE($G637,"-",""))-1),".","")))=0,SUBSTITUTE(SUBSTITUTE($G637,"-"," ",LEN($G637)-LEN(SUBSTITUTE($G637,"-",""))),"-"," ",LEN($G637)-LEN(SUBSTITUTE($G637,"-",""))-1),SUBSTITUTE(SUBSTITUTE(SUBSTITUTE($G637,"-"," ",LEN($G637)-LEN(SUBSTITUTE($G637,"-",""))),"-"," ",LEN($G637)-LEN(SUBSTITUTE($G637,"-",""))-1),"."," ",(LEN(SUBSTITUTE(SUBSTITUTE($G637,"-"," ",LEN($G637)-LEN(SUBSTITUTE($G637,"-",""))),"-"," ",LEN($G637)-LEN(SUBSTITUTE($G637,"-",""))-1))-LEN(SUBSTITUTE(SUBSTITUTE(SUBSTITUTE($G637,"-"," ",LEN($G637)-LEN(SUBSTITUTE($G637,"-",""))),"-"," ",LEN($G637)-LEN(SUBSTITUTE($G637,"-",""))-1),".",""))))),$G637)))</f>
        <v/>
      </c>
    </row>
    <row r="638">
      <c r="A638" s="58" t="n"/>
      <c r="B638" s="58">
        <f>IF($H638="","",LEFT($H638,FIND(" ",$H638&amp;" ")-1))</f>
        <v/>
      </c>
      <c r="C638" s="58">
        <f>IF($H638="","",IFERROR(MID($H638&amp;" ",FIND("|",SUBSTITUTE($H638&amp;" "," ","|",1))+1,FIND("|",SUBSTITUTE($H638&amp;" "," ","|",2))-FIND("|",SUBSTITUTE($H638&amp;" "," ","|",1))-1),""))</f>
        <v/>
      </c>
      <c r="D638" s="58">
        <f>IF($H638="","",IFERROR(MID($H638&amp;" ",FIND("|",SUBSTITUTE($H638&amp;" "," ","|",2))+1,FIND("|",SUBSTITUTE($H638&amp;" "," ","|",3))-FIND("|",SUBSTITUTE($H638&amp;" "," ","|",2))-1),""))</f>
        <v/>
      </c>
      <c r="E638" s="58">
        <f>IF($H638="","",IFERROR(MID($H638&amp;" ",FIND("|",SUBSTITUTE($H638&amp;" "," ","|",3))+1,FIND("|",SUBSTITUTE($H638&amp;" "," ","|",4))-FIND("|",SUBSTITUTE($H638&amp;" "," ","|",3))-1),""))</f>
        <v/>
      </c>
      <c r="F638" s="59">
        <f>IF($H638="","",IFERROR(VALUE(IFERROR(MID($H638&amp;" ",FIND("|",SUBSTITUTE($H638&amp;" "," ","|",4))+1,FIND("|",SUBSTITUTE($H638&amp;" "," ","|",5))-FIND("|",SUBSTITUTE($H638&amp;" "," ","|",4))-1),""))/86400+25569+9/24,""))</f>
        <v/>
      </c>
      <c r="G638" s="58">
        <f>TRIM(SUBSTITUTE(SUBSTITUTE(SUBSTITUTE($A638,CHAR(9)," ")," "," "),CHAR(13),""))</f>
        <v/>
      </c>
      <c r="H638" s="58">
        <f>IF($G638="","",IF(ISNUMBER(FIND(" ",$G638)),$G638,IFERROR(IF((LEN(SUBSTITUTE(SUBSTITUTE($G638,"-"," ",LEN($G638)-LEN(SUBSTITUTE($G638,"-",""))),"-"," ",LEN($G638)-LEN(SUBSTITUTE($G638,"-",""))-1))-LEN(SUBSTITUTE(SUBSTITUTE(SUBSTITUTE($G638,"-"," ",LEN($G638)-LEN(SUBSTITUTE($G638,"-",""))),"-"," ",LEN($G638)-LEN(SUBSTITUTE($G638,"-",""))-1),".","")))=0,SUBSTITUTE(SUBSTITUTE($G638,"-"," ",LEN($G638)-LEN(SUBSTITUTE($G638,"-",""))),"-"," ",LEN($G638)-LEN(SUBSTITUTE($G638,"-",""))-1),SUBSTITUTE(SUBSTITUTE(SUBSTITUTE($G638,"-"," ",LEN($G638)-LEN(SUBSTITUTE($G638,"-",""))),"-"," ",LEN($G638)-LEN(SUBSTITUTE($G638,"-",""))-1),"."," ",(LEN(SUBSTITUTE(SUBSTITUTE($G638,"-"," ",LEN($G638)-LEN(SUBSTITUTE($G638,"-",""))),"-"," ",LEN($G638)-LEN(SUBSTITUTE($G638,"-",""))-1))-LEN(SUBSTITUTE(SUBSTITUTE(SUBSTITUTE($G638,"-"," ",LEN($G638)-LEN(SUBSTITUTE($G638,"-",""))),"-"," ",LEN($G638)-LEN(SUBSTITUTE($G638,"-",""))-1),".",""))))),$G638)))</f>
        <v/>
      </c>
    </row>
    <row r="639">
      <c r="A639" s="58" t="n"/>
      <c r="B639" s="58">
        <f>IF($H639="","",LEFT($H639,FIND(" ",$H639&amp;" ")-1))</f>
        <v/>
      </c>
      <c r="C639" s="58">
        <f>IF($H639="","",IFERROR(MID($H639&amp;" ",FIND("|",SUBSTITUTE($H639&amp;" "," ","|",1))+1,FIND("|",SUBSTITUTE($H639&amp;" "," ","|",2))-FIND("|",SUBSTITUTE($H639&amp;" "," ","|",1))-1),""))</f>
        <v/>
      </c>
      <c r="D639" s="58">
        <f>IF($H639="","",IFERROR(MID($H639&amp;" ",FIND("|",SUBSTITUTE($H639&amp;" "," ","|",2))+1,FIND("|",SUBSTITUTE($H639&amp;" "," ","|",3))-FIND("|",SUBSTITUTE($H639&amp;" "," ","|",2))-1),""))</f>
        <v/>
      </c>
      <c r="E639" s="58">
        <f>IF($H639="","",IFERROR(MID($H639&amp;" ",FIND("|",SUBSTITUTE($H639&amp;" "," ","|",3))+1,FIND("|",SUBSTITUTE($H639&amp;" "," ","|",4))-FIND("|",SUBSTITUTE($H639&amp;" "," ","|",3))-1),""))</f>
        <v/>
      </c>
      <c r="F639" s="59">
        <f>IF($H639="","",IFERROR(VALUE(IFERROR(MID($H639&amp;" ",FIND("|",SUBSTITUTE($H639&amp;" "," ","|",4))+1,FIND("|",SUBSTITUTE($H639&amp;" "," ","|",5))-FIND("|",SUBSTITUTE($H639&amp;" "," ","|",4))-1),""))/86400+25569+9/24,""))</f>
        <v/>
      </c>
      <c r="G639" s="58">
        <f>TRIM(SUBSTITUTE(SUBSTITUTE(SUBSTITUTE($A639,CHAR(9)," ")," "," "),CHAR(13),""))</f>
        <v/>
      </c>
      <c r="H639" s="58">
        <f>IF($G639="","",IF(ISNUMBER(FIND(" ",$G639)),$G639,IFERROR(IF((LEN(SUBSTITUTE(SUBSTITUTE($G639,"-"," ",LEN($G639)-LEN(SUBSTITUTE($G639,"-",""))),"-"," ",LEN($G639)-LEN(SUBSTITUTE($G639,"-",""))-1))-LEN(SUBSTITUTE(SUBSTITUTE(SUBSTITUTE($G639,"-"," ",LEN($G639)-LEN(SUBSTITUTE($G639,"-",""))),"-"," ",LEN($G639)-LEN(SUBSTITUTE($G639,"-",""))-1),".","")))=0,SUBSTITUTE(SUBSTITUTE($G639,"-"," ",LEN($G639)-LEN(SUBSTITUTE($G639,"-",""))),"-"," ",LEN($G639)-LEN(SUBSTITUTE($G639,"-",""))-1),SUBSTITUTE(SUBSTITUTE(SUBSTITUTE($G639,"-"," ",LEN($G639)-LEN(SUBSTITUTE($G639,"-",""))),"-"," ",LEN($G639)-LEN(SUBSTITUTE($G639,"-",""))-1),"."," ",(LEN(SUBSTITUTE(SUBSTITUTE($G639,"-"," ",LEN($G639)-LEN(SUBSTITUTE($G639,"-",""))),"-"," ",LEN($G639)-LEN(SUBSTITUTE($G639,"-",""))-1))-LEN(SUBSTITUTE(SUBSTITUTE(SUBSTITUTE($G639,"-"," ",LEN($G639)-LEN(SUBSTITUTE($G639,"-",""))),"-"," ",LEN($G639)-LEN(SUBSTITUTE($G639,"-",""))-1),".",""))))),$G639)))</f>
        <v/>
      </c>
    </row>
    <row r="640">
      <c r="A640" s="58" t="n"/>
      <c r="B640" s="58">
        <f>IF($H640="","",LEFT($H640,FIND(" ",$H640&amp;" ")-1))</f>
        <v/>
      </c>
      <c r="C640" s="58">
        <f>IF($H640="","",IFERROR(MID($H640&amp;" ",FIND("|",SUBSTITUTE($H640&amp;" "," ","|",1))+1,FIND("|",SUBSTITUTE($H640&amp;" "," ","|",2))-FIND("|",SUBSTITUTE($H640&amp;" "," ","|",1))-1),""))</f>
        <v/>
      </c>
      <c r="D640" s="58">
        <f>IF($H640="","",IFERROR(MID($H640&amp;" ",FIND("|",SUBSTITUTE($H640&amp;" "," ","|",2))+1,FIND("|",SUBSTITUTE($H640&amp;" "," ","|",3))-FIND("|",SUBSTITUTE($H640&amp;" "," ","|",2))-1),""))</f>
        <v/>
      </c>
      <c r="E640" s="58">
        <f>IF($H640="","",IFERROR(MID($H640&amp;" ",FIND("|",SUBSTITUTE($H640&amp;" "," ","|",3))+1,FIND("|",SUBSTITUTE($H640&amp;" "," ","|",4))-FIND("|",SUBSTITUTE($H640&amp;" "," ","|",3))-1),""))</f>
        <v/>
      </c>
      <c r="F640" s="59">
        <f>IF($H640="","",IFERROR(VALUE(IFERROR(MID($H640&amp;" ",FIND("|",SUBSTITUTE($H640&amp;" "," ","|",4))+1,FIND("|",SUBSTITUTE($H640&amp;" "," ","|",5))-FIND("|",SUBSTITUTE($H640&amp;" "," ","|",4))-1),""))/86400+25569+9/24,""))</f>
        <v/>
      </c>
      <c r="G640" s="58">
        <f>TRIM(SUBSTITUTE(SUBSTITUTE(SUBSTITUTE($A640,CHAR(9)," ")," "," "),CHAR(13),""))</f>
        <v/>
      </c>
      <c r="H640" s="58">
        <f>IF($G640="","",IF(ISNUMBER(FIND(" ",$G640)),$G640,IFERROR(IF((LEN(SUBSTITUTE(SUBSTITUTE($G640,"-"," ",LEN($G640)-LEN(SUBSTITUTE($G640,"-",""))),"-"," ",LEN($G640)-LEN(SUBSTITUTE($G640,"-",""))-1))-LEN(SUBSTITUTE(SUBSTITUTE(SUBSTITUTE($G640,"-"," ",LEN($G640)-LEN(SUBSTITUTE($G640,"-",""))),"-"," ",LEN($G640)-LEN(SUBSTITUTE($G640,"-",""))-1),".","")))=0,SUBSTITUTE(SUBSTITUTE($G640,"-"," ",LEN($G640)-LEN(SUBSTITUTE($G640,"-",""))),"-"," ",LEN($G640)-LEN(SUBSTITUTE($G640,"-",""))-1),SUBSTITUTE(SUBSTITUTE(SUBSTITUTE($G640,"-"," ",LEN($G640)-LEN(SUBSTITUTE($G640,"-",""))),"-"," ",LEN($G640)-LEN(SUBSTITUTE($G640,"-",""))-1),"."," ",(LEN(SUBSTITUTE(SUBSTITUTE($G640,"-"," ",LEN($G640)-LEN(SUBSTITUTE($G640,"-",""))),"-"," ",LEN($G640)-LEN(SUBSTITUTE($G640,"-",""))-1))-LEN(SUBSTITUTE(SUBSTITUTE(SUBSTITUTE($G640,"-"," ",LEN($G640)-LEN(SUBSTITUTE($G640,"-",""))),"-"," ",LEN($G640)-LEN(SUBSTITUTE($G640,"-",""))-1),".",""))))),$G640)))</f>
        <v/>
      </c>
    </row>
    <row r="641">
      <c r="A641" s="58" t="n"/>
      <c r="B641" s="58">
        <f>IF($H641="","",LEFT($H641,FIND(" ",$H641&amp;" ")-1))</f>
        <v/>
      </c>
      <c r="C641" s="58">
        <f>IF($H641="","",IFERROR(MID($H641&amp;" ",FIND("|",SUBSTITUTE($H641&amp;" "," ","|",1))+1,FIND("|",SUBSTITUTE($H641&amp;" "," ","|",2))-FIND("|",SUBSTITUTE($H641&amp;" "," ","|",1))-1),""))</f>
        <v/>
      </c>
      <c r="D641" s="58">
        <f>IF($H641="","",IFERROR(MID($H641&amp;" ",FIND("|",SUBSTITUTE($H641&amp;" "," ","|",2))+1,FIND("|",SUBSTITUTE($H641&amp;" "," ","|",3))-FIND("|",SUBSTITUTE($H641&amp;" "," ","|",2))-1),""))</f>
        <v/>
      </c>
      <c r="E641" s="58">
        <f>IF($H641="","",IFERROR(MID($H641&amp;" ",FIND("|",SUBSTITUTE($H641&amp;" "," ","|",3))+1,FIND("|",SUBSTITUTE($H641&amp;" "," ","|",4))-FIND("|",SUBSTITUTE($H641&amp;" "," ","|",3))-1),""))</f>
        <v/>
      </c>
      <c r="F641" s="59">
        <f>IF($H641="","",IFERROR(VALUE(IFERROR(MID($H641&amp;" ",FIND("|",SUBSTITUTE($H641&amp;" "," ","|",4))+1,FIND("|",SUBSTITUTE($H641&amp;" "," ","|",5))-FIND("|",SUBSTITUTE($H641&amp;" "," ","|",4))-1),""))/86400+25569+9/24,""))</f>
        <v/>
      </c>
      <c r="G641" s="58">
        <f>TRIM(SUBSTITUTE(SUBSTITUTE(SUBSTITUTE($A641,CHAR(9)," ")," "," "),CHAR(13),""))</f>
        <v/>
      </c>
      <c r="H641" s="58">
        <f>IF($G641="","",IF(ISNUMBER(FIND(" ",$G641)),$G641,IFERROR(IF((LEN(SUBSTITUTE(SUBSTITUTE($G641,"-"," ",LEN($G641)-LEN(SUBSTITUTE($G641,"-",""))),"-"," ",LEN($G641)-LEN(SUBSTITUTE($G641,"-",""))-1))-LEN(SUBSTITUTE(SUBSTITUTE(SUBSTITUTE($G641,"-"," ",LEN($G641)-LEN(SUBSTITUTE($G641,"-",""))),"-"," ",LEN($G641)-LEN(SUBSTITUTE($G641,"-",""))-1),".","")))=0,SUBSTITUTE(SUBSTITUTE($G641,"-"," ",LEN($G641)-LEN(SUBSTITUTE($G641,"-",""))),"-"," ",LEN($G641)-LEN(SUBSTITUTE($G641,"-",""))-1),SUBSTITUTE(SUBSTITUTE(SUBSTITUTE($G641,"-"," ",LEN($G641)-LEN(SUBSTITUTE($G641,"-",""))),"-"," ",LEN($G641)-LEN(SUBSTITUTE($G641,"-",""))-1),"."," ",(LEN(SUBSTITUTE(SUBSTITUTE($G641,"-"," ",LEN($G641)-LEN(SUBSTITUTE($G641,"-",""))),"-"," ",LEN($G641)-LEN(SUBSTITUTE($G641,"-",""))-1))-LEN(SUBSTITUTE(SUBSTITUTE(SUBSTITUTE($G641,"-"," ",LEN($G641)-LEN(SUBSTITUTE($G641,"-",""))),"-"," ",LEN($G641)-LEN(SUBSTITUTE($G641,"-",""))-1),".",""))))),$G641)))</f>
        <v/>
      </c>
    </row>
    <row r="642">
      <c r="A642" s="58" t="n"/>
      <c r="B642" s="58">
        <f>IF($H642="","",LEFT($H642,FIND(" ",$H642&amp;" ")-1))</f>
        <v/>
      </c>
      <c r="C642" s="58">
        <f>IF($H642="","",IFERROR(MID($H642&amp;" ",FIND("|",SUBSTITUTE($H642&amp;" "," ","|",1))+1,FIND("|",SUBSTITUTE($H642&amp;" "," ","|",2))-FIND("|",SUBSTITUTE($H642&amp;" "," ","|",1))-1),""))</f>
        <v/>
      </c>
      <c r="D642" s="58">
        <f>IF($H642="","",IFERROR(MID($H642&amp;" ",FIND("|",SUBSTITUTE($H642&amp;" "," ","|",2))+1,FIND("|",SUBSTITUTE($H642&amp;" "," ","|",3))-FIND("|",SUBSTITUTE($H642&amp;" "," ","|",2))-1),""))</f>
        <v/>
      </c>
      <c r="E642" s="58">
        <f>IF($H642="","",IFERROR(MID($H642&amp;" ",FIND("|",SUBSTITUTE($H642&amp;" "," ","|",3))+1,FIND("|",SUBSTITUTE($H642&amp;" "," ","|",4))-FIND("|",SUBSTITUTE($H642&amp;" "," ","|",3))-1),""))</f>
        <v/>
      </c>
      <c r="F642" s="59">
        <f>IF($H642="","",IFERROR(VALUE(IFERROR(MID($H642&amp;" ",FIND("|",SUBSTITUTE($H642&amp;" "," ","|",4))+1,FIND("|",SUBSTITUTE($H642&amp;" "," ","|",5))-FIND("|",SUBSTITUTE($H642&amp;" "," ","|",4))-1),""))/86400+25569+9/24,""))</f>
        <v/>
      </c>
      <c r="G642" s="58">
        <f>TRIM(SUBSTITUTE(SUBSTITUTE(SUBSTITUTE($A642,CHAR(9)," ")," "," "),CHAR(13),""))</f>
        <v/>
      </c>
      <c r="H642" s="58">
        <f>IF($G642="","",IF(ISNUMBER(FIND(" ",$G642)),$G642,IFERROR(IF((LEN(SUBSTITUTE(SUBSTITUTE($G642,"-"," ",LEN($G642)-LEN(SUBSTITUTE($G642,"-",""))),"-"," ",LEN($G642)-LEN(SUBSTITUTE($G642,"-",""))-1))-LEN(SUBSTITUTE(SUBSTITUTE(SUBSTITUTE($G642,"-"," ",LEN($G642)-LEN(SUBSTITUTE($G642,"-",""))),"-"," ",LEN($G642)-LEN(SUBSTITUTE($G642,"-",""))-1),".","")))=0,SUBSTITUTE(SUBSTITUTE($G642,"-"," ",LEN($G642)-LEN(SUBSTITUTE($G642,"-",""))),"-"," ",LEN($G642)-LEN(SUBSTITUTE($G642,"-",""))-1),SUBSTITUTE(SUBSTITUTE(SUBSTITUTE($G642,"-"," ",LEN($G642)-LEN(SUBSTITUTE($G642,"-",""))),"-"," ",LEN($G642)-LEN(SUBSTITUTE($G642,"-",""))-1),"."," ",(LEN(SUBSTITUTE(SUBSTITUTE($G642,"-"," ",LEN($G642)-LEN(SUBSTITUTE($G642,"-",""))),"-"," ",LEN($G642)-LEN(SUBSTITUTE($G642,"-",""))-1))-LEN(SUBSTITUTE(SUBSTITUTE(SUBSTITUTE($G642,"-"," ",LEN($G642)-LEN(SUBSTITUTE($G642,"-",""))),"-"," ",LEN($G642)-LEN(SUBSTITUTE($G642,"-",""))-1),".",""))))),$G642)))</f>
        <v/>
      </c>
    </row>
    <row r="643">
      <c r="A643" s="58" t="n"/>
      <c r="B643" s="58">
        <f>IF($H643="","",LEFT($H643,FIND(" ",$H643&amp;" ")-1))</f>
        <v/>
      </c>
      <c r="C643" s="58">
        <f>IF($H643="","",IFERROR(MID($H643&amp;" ",FIND("|",SUBSTITUTE($H643&amp;" "," ","|",1))+1,FIND("|",SUBSTITUTE($H643&amp;" "," ","|",2))-FIND("|",SUBSTITUTE($H643&amp;" "," ","|",1))-1),""))</f>
        <v/>
      </c>
      <c r="D643" s="58">
        <f>IF($H643="","",IFERROR(MID($H643&amp;" ",FIND("|",SUBSTITUTE($H643&amp;" "," ","|",2))+1,FIND("|",SUBSTITUTE($H643&amp;" "," ","|",3))-FIND("|",SUBSTITUTE($H643&amp;" "," ","|",2))-1),""))</f>
        <v/>
      </c>
      <c r="E643" s="58">
        <f>IF($H643="","",IFERROR(MID($H643&amp;" ",FIND("|",SUBSTITUTE($H643&amp;" "," ","|",3))+1,FIND("|",SUBSTITUTE($H643&amp;" "," ","|",4))-FIND("|",SUBSTITUTE($H643&amp;" "," ","|",3))-1),""))</f>
        <v/>
      </c>
      <c r="F643" s="59">
        <f>IF($H643="","",IFERROR(VALUE(IFERROR(MID($H643&amp;" ",FIND("|",SUBSTITUTE($H643&amp;" "," ","|",4))+1,FIND("|",SUBSTITUTE($H643&amp;" "," ","|",5))-FIND("|",SUBSTITUTE($H643&amp;" "," ","|",4))-1),""))/86400+25569+9/24,""))</f>
        <v/>
      </c>
      <c r="G643" s="58">
        <f>TRIM(SUBSTITUTE(SUBSTITUTE(SUBSTITUTE($A643,CHAR(9)," ")," "," "),CHAR(13),""))</f>
        <v/>
      </c>
      <c r="H643" s="58">
        <f>IF($G643="","",IF(ISNUMBER(FIND(" ",$G643)),$G643,IFERROR(IF((LEN(SUBSTITUTE(SUBSTITUTE($G643,"-"," ",LEN($G643)-LEN(SUBSTITUTE($G643,"-",""))),"-"," ",LEN($G643)-LEN(SUBSTITUTE($G643,"-",""))-1))-LEN(SUBSTITUTE(SUBSTITUTE(SUBSTITUTE($G643,"-"," ",LEN($G643)-LEN(SUBSTITUTE($G643,"-",""))),"-"," ",LEN($G643)-LEN(SUBSTITUTE($G643,"-",""))-1),".","")))=0,SUBSTITUTE(SUBSTITUTE($G643,"-"," ",LEN($G643)-LEN(SUBSTITUTE($G643,"-",""))),"-"," ",LEN($G643)-LEN(SUBSTITUTE($G643,"-",""))-1),SUBSTITUTE(SUBSTITUTE(SUBSTITUTE($G643,"-"," ",LEN($G643)-LEN(SUBSTITUTE($G643,"-",""))),"-"," ",LEN($G643)-LEN(SUBSTITUTE($G643,"-",""))-1),"."," ",(LEN(SUBSTITUTE(SUBSTITUTE($G643,"-"," ",LEN($G643)-LEN(SUBSTITUTE($G643,"-",""))),"-"," ",LEN($G643)-LEN(SUBSTITUTE($G643,"-",""))-1))-LEN(SUBSTITUTE(SUBSTITUTE(SUBSTITUTE($G643,"-"," ",LEN($G643)-LEN(SUBSTITUTE($G643,"-",""))),"-"," ",LEN($G643)-LEN(SUBSTITUTE($G643,"-",""))-1),".",""))))),$G643)))</f>
        <v/>
      </c>
    </row>
    <row r="644">
      <c r="A644" s="58" t="n"/>
      <c r="B644" s="58">
        <f>IF($H644="","",LEFT($H644,FIND(" ",$H644&amp;" ")-1))</f>
        <v/>
      </c>
      <c r="C644" s="58">
        <f>IF($H644="","",IFERROR(MID($H644&amp;" ",FIND("|",SUBSTITUTE($H644&amp;" "," ","|",1))+1,FIND("|",SUBSTITUTE($H644&amp;" "," ","|",2))-FIND("|",SUBSTITUTE($H644&amp;" "," ","|",1))-1),""))</f>
        <v/>
      </c>
      <c r="D644" s="58">
        <f>IF($H644="","",IFERROR(MID($H644&amp;" ",FIND("|",SUBSTITUTE($H644&amp;" "," ","|",2))+1,FIND("|",SUBSTITUTE($H644&amp;" "," ","|",3))-FIND("|",SUBSTITUTE($H644&amp;" "," ","|",2))-1),""))</f>
        <v/>
      </c>
      <c r="E644" s="58">
        <f>IF($H644="","",IFERROR(MID($H644&amp;" ",FIND("|",SUBSTITUTE($H644&amp;" "," ","|",3))+1,FIND("|",SUBSTITUTE($H644&amp;" "," ","|",4))-FIND("|",SUBSTITUTE($H644&amp;" "," ","|",3))-1),""))</f>
        <v/>
      </c>
      <c r="F644" s="59">
        <f>IF($H644="","",IFERROR(VALUE(IFERROR(MID($H644&amp;" ",FIND("|",SUBSTITUTE($H644&amp;" "," ","|",4))+1,FIND("|",SUBSTITUTE($H644&amp;" "," ","|",5))-FIND("|",SUBSTITUTE($H644&amp;" "," ","|",4))-1),""))/86400+25569+9/24,""))</f>
        <v/>
      </c>
      <c r="G644" s="58">
        <f>TRIM(SUBSTITUTE(SUBSTITUTE(SUBSTITUTE($A644,CHAR(9)," ")," "," "),CHAR(13),""))</f>
        <v/>
      </c>
      <c r="H644" s="58">
        <f>IF($G644="","",IF(ISNUMBER(FIND(" ",$G644)),$G644,IFERROR(IF((LEN(SUBSTITUTE(SUBSTITUTE($G644,"-"," ",LEN($G644)-LEN(SUBSTITUTE($G644,"-",""))),"-"," ",LEN($G644)-LEN(SUBSTITUTE($G644,"-",""))-1))-LEN(SUBSTITUTE(SUBSTITUTE(SUBSTITUTE($G644,"-"," ",LEN($G644)-LEN(SUBSTITUTE($G644,"-",""))),"-"," ",LEN($G644)-LEN(SUBSTITUTE($G644,"-",""))-1),".","")))=0,SUBSTITUTE(SUBSTITUTE($G644,"-"," ",LEN($G644)-LEN(SUBSTITUTE($G644,"-",""))),"-"," ",LEN($G644)-LEN(SUBSTITUTE($G644,"-",""))-1),SUBSTITUTE(SUBSTITUTE(SUBSTITUTE($G644,"-"," ",LEN($G644)-LEN(SUBSTITUTE($G644,"-",""))),"-"," ",LEN($G644)-LEN(SUBSTITUTE($G644,"-",""))-1),"."," ",(LEN(SUBSTITUTE(SUBSTITUTE($G644,"-"," ",LEN($G644)-LEN(SUBSTITUTE($G644,"-",""))),"-"," ",LEN($G644)-LEN(SUBSTITUTE($G644,"-",""))-1))-LEN(SUBSTITUTE(SUBSTITUTE(SUBSTITUTE($G644,"-"," ",LEN($G644)-LEN(SUBSTITUTE($G644,"-",""))),"-"," ",LEN($G644)-LEN(SUBSTITUTE($G644,"-",""))-1),".",""))))),$G644)))</f>
        <v/>
      </c>
    </row>
    <row r="645">
      <c r="A645" s="58" t="n"/>
      <c r="B645" s="58">
        <f>IF($H645="","",LEFT($H645,FIND(" ",$H645&amp;" ")-1))</f>
        <v/>
      </c>
      <c r="C645" s="58">
        <f>IF($H645="","",IFERROR(MID($H645&amp;" ",FIND("|",SUBSTITUTE($H645&amp;" "," ","|",1))+1,FIND("|",SUBSTITUTE($H645&amp;" "," ","|",2))-FIND("|",SUBSTITUTE($H645&amp;" "," ","|",1))-1),""))</f>
        <v/>
      </c>
      <c r="D645" s="58">
        <f>IF($H645="","",IFERROR(MID($H645&amp;" ",FIND("|",SUBSTITUTE($H645&amp;" "," ","|",2))+1,FIND("|",SUBSTITUTE($H645&amp;" "," ","|",3))-FIND("|",SUBSTITUTE($H645&amp;" "," ","|",2))-1),""))</f>
        <v/>
      </c>
      <c r="E645" s="58">
        <f>IF($H645="","",IFERROR(MID($H645&amp;" ",FIND("|",SUBSTITUTE($H645&amp;" "," ","|",3))+1,FIND("|",SUBSTITUTE($H645&amp;" "," ","|",4))-FIND("|",SUBSTITUTE($H645&amp;" "," ","|",3))-1),""))</f>
        <v/>
      </c>
      <c r="F645" s="59">
        <f>IF($H645="","",IFERROR(VALUE(IFERROR(MID($H645&amp;" ",FIND("|",SUBSTITUTE($H645&amp;" "," ","|",4))+1,FIND("|",SUBSTITUTE($H645&amp;" "," ","|",5))-FIND("|",SUBSTITUTE($H645&amp;" "," ","|",4))-1),""))/86400+25569+9/24,""))</f>
        <v/>
      </c>
      <c r="G645" s="58">
        <f>TRIM(SUBSTITUTE(SUBSTITUTE(SUBSTITUTE($A645,CHAR(9)," ")," "," "),CHAR(13),""))</f>
        <v/>
      </c>
      <c r="H645" s="58">
        <f>IF($G645="","",IF(ISNUMBER(FIND(" ",$G645)),$G645,IFERROR(IF((LEN(SUBSTITUTE(SUBSTITUTE($G645,"-"," ",LEN($G645)-LEN(SUBSTITUTE($G645,"-",""))),"-"," ",LEN($G645)-LEN(SUBSTITUTE($G645,"-",""))-1))-LEN(SUBSTITUTE(SUBSTITUTE(SUBSTITUTE($G645,"-"," ",LEN($G645)-LEN(SUBSTITUTE($G645,"-",""))),"-"," ",LEN($G645)-LEN(SUBSTITUTE($G645,"-",""))-1),".","")))=0,SUBSTITUTE(SUBSTITUTE($G645,"-"," ",LEN($G645)-LEN(SUBSTITUTE($G645,"-",""))),"-"," ",LEN($G645)-LEN(SUBSTITUTE($G645,"-",""))-1),SUBSTITUTE(SUBSTITUTE(SUBSTITUTE($G645,"-"," ",LEN($G645)-LEN(SUBSTITUTE($G645,"-",""))),"-"," ",LEN($G645)-LEN(SUBSTITUTE($G645,"-",""))-1),"."," ",(LEN(SUBSTITUTE(SUBSTITUTE($G645,"-"," ",LEN($G645)-LEN(SUBSTITUTE($G645,"-",""))),"-"," ",LEN($G645)-LEN(SUBSTITUTE($G645,"-",""))-1))-LEN(SUBSTITUTE(SUBSTITUTE(SUBSTITUTE($G645,"-"," ",LEN($G645)-LEN(SUBSTITUTE($G645,"-",""))),"-"," ",LEN($G645)-LEN(SUBSTITUTE($G645,"-",""))-1),".",""))))),$G645)))</f>
        <v/>
      </c>
    </row>
    <row r="646">
      <c r="A646" s="58" t="n"/>
      <c r="B646" s="58">
        <f>IF($H646="","",LEFT($H646,FIND(" ",$H646&amp;" ")-1))</f>
        <v/>
      </c>
      <c r="C646" s="58">
        <f>IF($H646="","",IFERROR(MID($H646&amp;" ",FIND("|",SUBSTITUTE($H646&amp;" "," ","|",1))+1,FIND("|",SUBSTITUTE($H646&amp;" "," ","|",2))-FIND("|",SUBSTITUTE($H646&amp;" "," ","|",1))-1),""))</f>
        <v/>
      </c>
      <c r="D646" s="58">
        <f>IF($H646="","",IFERROR(MID($H646&amp;" ",FIND("|",SUBSTITUTE($H646&amp;" "," ","|",2))+1,FIND("|",SUBSTITUTE($H646&amp;" "," ","|",3))-FIND("|",SUBSTITUTE($H646&amp;" "," ","|",2))-1),""))</f>
        <v/>
      </c>
      <c r="E646" s="58">
        <f>IF($H646="","",IFERROR(MID($H646&amp;" ",FIND("|",SUBSTITUTE($H646&amp;" "," ","|",3))+1,FIND("|",SUBSTITUTE($H646&amp;" "," ","|",4))-FIND("|",SUBSTITUTE($H646&amp;" "," ","|",3))-1),""))</f>
        <v/>
      </c>
      <c r="F646" s="59">
        <f>IF($H646="","",IFERROR(VALUE(IFERROR(MID($H646&amp;" ",FIND("|",SUBSTITUTE($H646&amp;" "," ","|",4))+1,FIND("|",SUBSTITUTE($H646&amp;" "," ","|",5))-FIND("|",SUBSTITUTE($H646&amp;" "," ","|",4))-1),""))/86400+25569+9/24,""))</f>
        <v/>
      </c>
      <c r="G646" s="58">
        <f>TRIM(SUBSTITUTE(SUBSTITUTE(SUBSTITUTE($A646,CHAR(9)," ")," "," "),CHAR(13),""))</f>
        <v/>
      </c>
      <c r="H646" s="58">
        <f>IF($G646="","",IF(ISNUMBER(FIND(" ",$G646)),$G646,IFERROR(IF((LEN(SUBSTITUTE(SUBSTITUTE($G646,"-"," ",LEN($G646)-LEN(SUBSTITUTE($G646,"-",""))),"-"," ",LEN($G646)-LEN(SUBSTITUTE($G646,"-",""))-1))-LEN(SUBSTITUTE(SUBSTITUTE(SUBSTITUTE($G646,"-"," ",LEN($G646)-LEN(SUBSTITUTE($G646,"-",""))),"-"," ",LEN($G646)-LEN(SUBSTITUTE($G646,"-",""))-1),".","")))=0,SUBSTITUTE(SUBSTITUTE($G646,"-"," ",LEN($G646)-LEN(SUBSTITUTE($G646,"-",""))),"-"," ",LEN($G646)-LEN(SUBSTITUTE($G646,"-",""))-1),SUBSTITUTE(SUBSTITUTE(SUBSTITUTE($G646,"-"," ",LEN($G646)-LEN(SUBSTITUTE($G646,"-",""))),"-"," ",LEN($G646)-LEN(SUBSTITUTE($G646,"-",""))-1),"."," ",(LEN(SUBSTITUTE(SUBSTITUTE($G646,"-"," ",LEN($G646)-LEN(SUBSTITUTE($G646,"-",""))),"-"," ",LEN($G646)-LEN(SUBSTITUTE($G646,"-",""))-1))-LEN(SUBSTITUTE(SUBSTITUTE(SUBSTITUTE($G646,"-"," ",LEN($G646)-LEN(SUBSTITUTE($G646,"-",""))),"-"," ",LEN($G646)-LEN(SUBSTITUTE($G646,"-",""))-1),".",""))))),$G646)))</f>
        <v/>
      </c>
    </row>
    <row r="647">
      <c r="A647" s="58" t="n"/>
      <c r="B647" s="58">
        <f>IF($H647="","",LEFT($H647,FIND(" ",$H647&amp;" ")-1))</f>
        <v/>
      </c>
      <c r="C647" s="58">
        <f>IF($H647="","",IFERROR(MID($H647&amp;" ",FIND("|",SUBSTITUTE($H647&amp;" "," ","|",1))+1,FIND("|",SUBSTITUTE($H647&amp;" "," ","|",2))-FIND("|",SUBSTITUTE($H647&amp;" "," ","|",1))-1),""))</f>
        <v/>
      </c>
      <c r="D647" s="58">
        <f>IF($H647="","",IFERROR(MID($H647&amp;" ",FIND("|",SUBSTITUTE($H647&amp;" "," ","|",2))+1,FIND("|",SUBSTITUTE($H647&amp;" "," ","|",3))-FIND("|",SUBSTITUTE($H647&amp;" "," ","|",2))-1),""))</f>
        <v/>
      </c>
      <c r="E647" s="58">
        <f>IF($H647="","",IFERROR(MID($H647&amp;" ",FIND("|",SUBSTITUTE($H647&amp;" "," ","|",3))+1,FIND("|",SUBSTITUTE($H647&amp;" "," ","|",4))-FIND("|",SUBSTITUTE($H647&amp;" "," ","|",3))-1),""))</f>
        <v/>
      </c>
      <c r="F647" s="59">
        <f>IF($H647="","",IFERROR(VALUE(IFERROR(MID($H647&amp;" ",FIND("|",SUBSTITUTE($H647&amp;" "," ","|",4))+1,FIND("|",SUBSTITUTE($H647&amp;" "," ","|",5))-FIND("|",SUBSTITUTE($H647&amp;" "," ","|",4))-1),""))/86400+25569+9/24,""))</f>
        <v/>
      </c>
      <c r="G647" s="58">
        <f>TRIM(SUBSTITUTE(SUBSTITUTE(SUBSTITUTE($A647,CHAR(9)," ")," "," "),CHAR(13),""))</f>
        <v/>
      </c>
      <c r="H647" s="58">
        <f>IF($G647="","",IF(ISNUMBER(FIND(" ",$G647)),$G647,IFERROR(IF((LEN(SUBSTITUTE(SUBSTITUTE($G647,"-"," ",LEN($G647)-LEN(SUBSTITUTE($G647,"-",""))),"-"," ",LEN($G647)-LEN(SUBSTITUTE($G647,"-",""))-1))-LEN(SUBSTITUTE(SUBSTITUTE(SUBSTITUTE($G647,"-"," ",LEN($G647)-LEN(SUBSTITUTE($G647,"-",""))),"-"," ",LEN($G647)-LEN(SUBSTITUTE($G647,"-",""))-1),".","")))=0,SUBSTITUTE(SUBSTITUTE($G647,"-"," ",LEN($G647)-LEN(SUBSTITUTE($G647,"-",""))),"-"," ",LEN($G647)-LEN(SUBSTITUTE($G647,"-",""))-1),SUBSTITUTE(SUBSTITUTE(SUBSTITUTE($G647,"-"," ",LEN($G647)-LEN(SUBSTITUTE($G647,"-",""))),"-"," ",LEN($G647)-LEN(SUBSTITUTE($G647,"-",""))-1),"."," ",(LEN(SUBSTITUTE(SUBSTITUTE($G647,"-"," ",LEN($G647)-LEN(SUBSTITUTE($G647,"-",""))),"-"," ",LEN($G647)-LEN(SUBSTITUTE($G647,"-",""))-1))-LEN(SUBSTITUTE(SUBSTITUTE(SUBSTITUTE($G647,"-"," ",LEN($G647)-LEN(SUBSTITUTE($G647,"-",""))),"-"," ",LEN($G647)-LEN(SUBSTITUTE($G647,"-",""))-1),".",""))))),$G647)))</f>
        <v/>
      </c>
    </row>
    <row r="648">
      <c r="A648" s="58" t="n"/>
      <c r="B648" s="58">
        <f>IF($H648="","",LEFT($H648,FIND(" ",$H648&amp;" ")-1))</f>
        <v/>
      </c>
      <c r="C648" s="58">
        <f>IF($H648="","",IFERROR(MID($H648&amp;" ",FIND("|",SUBSTITUTE($H648&amp;" "," ","|",1))+1,FIND("|",SUBSTITUTE($H648&amp;" "," ","|",2))-FIND("|",SUBSTITUTE($H648&amp;" "," ","|",1))-1),""))</f>
        <v/>
      </c>
      <c r="D648" s="58">
        <f>IF($H648="","",IFERROR(MID($H648&amp;" ",FIND("|",SUBSTITUTE($H648&amp;" "," ","|",2))+1,FIND("|",SUBSTITUTE($H648&amp;" "," ","|",3))-FIND("|",SUBSTITUTE($H648&amp;" "," ","|",2))-1),""))</f>
        <v/>
      </c>
      <c r="E648" s="58">
        <f>IF($H648="","",IFERROR(MID($H648&amp;" ",FIND("|",SUBSTITUTE($H648&amp;" "," ","|",3))+1,FIND("|",SUBSTITUTE($H648&amp;" "," ","|",4))-FIND("|",SUBSTITUTE($H648&amp;" "," ","|",3))-1),""))</f>
        <v/>
      </c>
      <c r="F648" s="59">
        <f>IF($H648="","",IFERROR(VALUE(IFERROR(MID($H648&amp;" ",FIND("|",SUBSTITUTE($H648&amp;" "," ","|",4))+1,FIND("|",SUBSTITUTE($H648&amp;" "," ","|",5))-FIND("|",SUBSTITUTE($H648&amp;" "," ","|",4))-1),""))/86400+25569+9/24,""))</f>
        <v/>
      </c>
      <c r="G648" s="58">
        <f>TRIM(SUBSTITUTE(SUBSTITUTE(SUBSTITUTE($A648,CHAR(9)," ")," "," "),CHAR(13),""))</f>
        <v/>
      </c>
      <c r="H648" s="58">
        <f>IF($G648="","",IF(ISNUMBER(FIND(" ",$G648)),$G648,IFERROR(IF((LEN(SUBSTITUTE(SUBSTITUTE($G648,"-"," ",LEN($G648)-LEN(SUBSTITUTE($G648,"-",""))),"-"," ",LEN($G648)-LEN(SUBSTITUTE($G648,"-",""))-1))-LEN(SUBSTITUTE(SUBSTITUTE(SUBSTITUTE($G648,"-"," ",LEN($G648)-LEN(SUBSTITUTE($G648,"-",""))),"-"," ",LEN($G648)-LEN(SUBSTITUTE($G648,"-",""))-1),".","")))=0,SUBSTITUTE(SUBSTITUTE($G648,"-"," ",LEN($G648)-LEN(SUBSTITUTE($G648,"-",""))),"-"," ",LEN($G648)-LEN(SUBSTITUTE($G648,"-",""))-1),SUBSTITUTE(SUBSTITUTE(SUBSTITUTE($G648,"-"," ",LEN($G648)-LEN(SUBSTITUTE($G648,"-",""))),"-"," ",LEN($G648)-LEN(SUBSTITUTE($G648,"-",""))-1),"."," ",(LEN(SUBSTITUTE(SUBSTITUTE($G648,"-"," ",LEN($G648)-LEN(SUBSTITUTE($G648,"-",""))),"-"," ",LEN($G648)-LEN(SUBSTITUTE($G648,"-",""))-1))-LEN(SUBSTITUTE(SUBSTITUTE(SUBSTITUTE($G648,"-"," ",LEN($G648)-LEN(SUBSTITUTE($G648,"-",""))),"-"," ",LEN($G648)-LEN(SUBSTITUTE($G648,"-",""))-1),".",""))))),$G648)))</f>
        <v/>
      </c>
    </row>
    <row r="649">
      <c r="A649" s="58" t="n"/>
      <c r="B649" s="58">
        <f>IF($H649="","",LEFT($H649,FIND(" ",$H649&amp;" ")-1))</f>
        <v/>
      </c>
      <c r="C649" s="58">
        <f>IF($H649="","",IFERROR(MID($H649&amp;" ",FIND("|",SUBSTITUTE($H649&amp;" "," ","|",1))+1,FIND("|",SUBSTITUTE($H649&amp;" "," ","|",2))-FIND("|",SUBSTITUTE($H649&amp;" "," ","|",1))-1),""))</f>
        <v/>
      </c>
      <c r="D649" s="58">
        <f>IF($H649="","",IFERROR(MID($H649&amp;" ",FIND("|",SUBSTITUTE($H649&amp;" "," ","|",2))+1,FIND("|",SUBSTITUTE($H649&amp;" "," ","|",3))-FIND("|",SUBSTITUTE($H649&amp;" "," ","|",2))-1),""))</f>
        <v/>
      </c>
      <c r="E649" s="58">
        <f>IF($H649="","",IFERROR(MID($H649&amp;" ",FIND("|",SUBSTITUTE($H649&amp;" "," ","|",3))+1,FIND("|",SUBSTITUTE($H649&amp;" "," ","|",4))-FIND("|",SUBSTITUTE($H649&amp;" "," ","|",3))-1),""))</f>
        <v/>
      </c>
      <c r="F649" s="59">
        <f>IF($H649="","",IFERROR(VALUE(IFERROR(MID($H649&amp;" ",FIND("|",SUBSTITUTE($H649&amp;" "," ","|",4))+1,FIND("|",SUBSTITUTE($H649&amp;" "," ","|",5))-FIND("|",SUBSTITUTE($H649&amp;" "," ","|",4))-1),""))/86400+25569+9/24,""))</f>
        <v/>
      </c>
      <c r="G649" s="58">
        <f>TRIM(SUBSTITUTE(SUBSTITUTE(SUBSTITUTE($A649,CHAR(9)," ")," "," "),CHAR(13),""))</f>
        <v/>
      </c>
      <c r="H649" s="58">
        <f>IF($G649="","",IF(ISNUMBER(FIND(" ",$G649)),$G649,IFERROR(IF((LEN(SUBSTITUTE(SUBSTITUTE($G649,"-"," ",LEN($G649)-LEN(SUBSTITUTE($G649,"-",""))),"-"," ",LEN($G649)-LEN(SUBSTITUTE($G649,"-",""))-1))-LEN(SUBSTITUTE(SUBSTITUTE(SUBSTITUTE($G649,"-"," ",LEN($G649)-LEN(SUBSTITUTE($G649,"-",""))),"-"," ",LEN($G649)-LEN(SUBSTITUTE($G649,"-",""))-1),".","")))=0,SUBSTITUTE(SUBSTITUTE($G649,"-"," ",LEN($G649)-LEN(SUBSTITUTE($G649,"-",""))),"-"," ",LEN($G649)-LEN(SUBSTITUTE($G649,"-",""))-1),SUBSTITUTE(SUBSTITUTE(SUBSTITUTE($G649,"-"," ",LEN($G649)-LEN(SUBSTITUTE($G649,"-",""))),"-"," ",LEN($G649)-LEN(SUBSTITUTE($G649,"-",""))-1),"."," ",(LEN(SUBSTITUTE(SUBSTITUTE($G649,"-"," ",LEN($G649)-LEN(SUBSTITUTE($G649,"-",""))),"-"," ",LEN($G649)-LEN(SUBSTITUTE($G649,"-",""))-1))-LEN(SUBSTITUTE(SUBSTITUTE(SUBSTITUTE($G649,"-"," ",LEN($G649)-LEN(SUBSTITUTE($G649,"-",""))),"-"," ",LEN($G649)-LEN(SUBSTITUTE($G649,"-",""))-1),".",""))))),$G649)))</f>
        <v/>
      </c>
    </row>
    <row r="650">
      <c r="A650" s="58" t="n"/>
      <c r="B650" s="58">
        <f>IF($H650="","",LEFT($H650,FIND(" ",$H650&amp;" ")-1))</f>
        <v/>
      </c>
      <c r="C650" s="58">
        <f>IF($H650="","",IFERROR(MID($H650&amp;" ",FIND("|",SUBSTITUTE($H650&amp;" "," ","|",1))+1,FIND("|",SUBSTITUTE($H650&amp;" "," ","|",2))-FIND("|",SUBSTITUTE($H650&amp;" "," ","|",1))-1),""))</f>
        <v/>
      </c>
      <c r="D650" s="58">
        <f>IF($H650="","",IFERROR(MID($H650&amp;" ",FIND("|",SUBSTITUTE($H650&amp;" "," ","|",2))+1,FIND("|",SUBSTITUTE($H650&amp;" "," ","|",3))-FIND("|",SUBSTITUTE($H650&amp;" "," ","|",2))-1),""))</f>
        <v/>
      </c>
      <c r="E650" s="58">
        <f>IF($H650="","",IFERROR(MID($H650&amp;" ",FIND("|",SUBSTITUTE($H650&amp;" "," ","|",3))+1,FIND("|",SUBSTITUTE($H650&amp;" "," ","|",4))-FIND("|",SUBSTITUTE($H650&amp;" "," ","|",3))-1),""))</f>
        <v/>
      </c>
      <c r="F650" s="59">
        <f>IF($H650="","",IFERROR(VALUE(IFERROR(MID($H650&amp;" ",FIND("|",SUBSTITUTE($H650&amp;" "," ","|",4))+1,FIND("|",SUBSTITUTE($H650&amp;" "," ","|",5))-FIND("|",SUBSTITUTE($H650&amp;" "," ","|",4))-1),""))/86400+25569+9/24,""))</f>
        <v/>
      </c>
      <c r="G650" s="58">
        <f>TRIM(SUBSTITUTE(SUBSTITUTE(SUBSTITUTE($A650,CHAR(9)," ")," "," "),CHAR(13),""))</f>
        <v/>
      </c>
      <c r="H650" s="58">
        <f>IF($G650="","",IF(ISNUMBER(FIND(" ",$G650)),$G650,IFERROR(IF((LEN(SUBSTITUTE(SUBSTITUTE($G650,"-"," ",LEN($G650)-LEN(SUBSTITUTE($G650,"-",""))),"-"," ",LEN($G650)-LEN(SUBSTITUTE($G650,"-",""))-1))-LEN(SUBSTITUTE(SUBSTITUTE(SUBSTITUTE($G650,"-"," ",LEN($G650)-LEN(SUBSTITUTE($G650,"-",""))),"-"," ",LEN($G650)-LEN(SUBSTITUTE($G650,"-",""))-1),".","")))=0,SUBSTITUTE(SUBSTITUTE($G650,"-"," ",LEN($G650)-LEN(SUBSTITUTE($G650,"-",""))),"-"," ",LEN($G650)-LEN(SUBSTITUTE($G650,"-",""))-1),SUBSTITUTE(SUBSTITUTE(SUBSTITUTE($G650,"-"," ",LEN($G650)-LEN(SUBSTITUTE($G650,"-",""))),"-"," ",LEN($G650)-LEN(SUBSTITUTE($G650,"-",""))-1),"."," ",(LEN(SUBSTITUTE(SUBSTITUTE($G650,"-"," ",LEN($G650)-LEN(SUBSTITUTE($G650,"-",""))),"-"," ",LEN($G650)-LEN(SUBSTITUTE($G650,"-",""))-1))-LEN(SUBSTITUTE(SUBSTITUTE(SUBSTITUTE($G650,"-"," ",LEN($G650)-LEN(SUBSTITUTE($G650,"-",""))),"-"," ",LEN($G650)-LEN(SUBSTITUTE($G650,"-",""))-1),".",""))))),$G650)))</f>
        <v/>
      </c>
    </row>
    <row r="651">
      <c r="A651" s="58" t="n"/>
      <c r="B651" s="58">
        <f>IF($H651="","",LEFT($H651,FIND(" ",$H651&amp;" ")-1))</f>
        <v/>
      </c>
      <c r="C651" s="58">
        <f>IF($H651="","",IFERROR(MID($H651&amp;" ",FIND("|",SUBSTITUTE($H651&amp;" "," ","|",1))+1,FIND("|",SUBSTITUTE($H651&amp;" "," ","|",2))-FIND("|",SUBSTITUTE($H651&amp;" "," ","|",1))-1),""))</f>
        <v/>
      </c>
      <c r="D651" s="58">
        <f>IF($H651="","",IFERROR(MID($H651&amp;" ",FIND("|",SUBSTITUTE($H651&amp;" "," ","|",2))+1,FIND("|",SUBSTITUTE($H651&amp;" "," ","|",3))-FIND("|",SUBSTITUTE($H651&amp;" "," ","|",2))-1),""))</f>
        <v/>
      </c>
      <c r="E651" s="58">
        <f>IF($H651="","",IFERROR(MID($H651&amp;" ",FIND("|",SUBSTITUTE($H651&amp;" "," ","|",3))+1,FIND("|",SUBSTITUTE($H651&amp;" "," ","|",4))-FIND("|",SUBSTITUTE($H651&amp;" "," ","|",3))-1),""))</f>
        <v/>
      </c>
      <c r="F651" s="59">
        <f>IF($H651="","",IFERROR(VALUE(IFERROR(MID($H651&amp;" ",FIND("|",SUBSTITUTE($H651&amp;" "," ","|",4))+1,FIND("|",SUBSTITUTE($H651&amp;" "," ","|",5))-FIND("|",SUBSTITUTE($H651&amp;" "," ","|",4))-1),""))/86400+25569+9/24,""))</f>
        <v/>
      </c>
      <c r="G651" s="58">
        <f>TRIM(SUBSTITUTE(SUBSTITUTE(SUBSTITUTE($A651,CHAR(9)," ")," "," "),CHAR(13),""))</f>
        <v/>
      </c>
      <c r="H651" s="58">
        <f>IF($G651="","",IF(ISNUMBER(FIND(" ",$G651)),$G651,IFERROR(IF((LEN(SUBSTITUTE(SUBSTITUTE($G651,"-"," ",LEN($G651)-LEN(SUBSTITUTE($G651,"-",""))),"-"," ",LEN($G651)-LEN(SUBSTITUTE($G651,"-",""))-1))-LEN(SUBSTITUTE(SUBSTITUTE(SUBSTITUTE($G651,"-"," ",LEN($G651)-LEN(SUBSTITUTE($G651,"-",""))),"-"," ",LEN($G651)-LEN(SUBSTITUTE($G651,"-",""))-1),".","")))=0,SUBSTITUTE(SUBSTITUTE($G651,"-"," ",LEN($G651)-LEN(SUBSTITUTE($G651,"-",""))),"-"," ",LEN($G651)-LEN(SUBSTITUTE($G651,"-",""))-1),SUBSTITUTE(SUBSTITUTE(SUBSTITUTE($G651,"-"," ",LEN($G651)-LEN(SUBSTITUTE($G651,"-",""))),"-"," ",LEN($G651)-LEN(SUBSTITUTE($G651,"-",""))-1),"."," ",(LEN(SUBSTITUTE(SUBSTITUTE($G651,"-"," ",LEN($G651)-LEN(SUBSTITUTE($G651,"-",""))),"-"," ",LEN($G651)-LEN(SUBSTITUTE($G651,"-",""))-1))-LEN(SUBSTITUTE(SUBSTITUTE(SUBSTITUTE($G651,"-"," ",LEN($G651)-LEN(SUBSTITUTE($G651,"-",""))),"-"," ",LEN($G651)-LEN(SUBSTITUTE($G651,"-",""))-1),".",""))))),$G651)))</f>
        <v/>
      </c>
    </row>
    <row r="652">
      <c r="A652" s="58" t="n"/>
      <c r="B652" s="58">
        <f>IF($H652="","",LEFT($H652,FIND(" ",$H652&amp;" ")-1))</f>
        <v/>
      </c>
      <c r="C652" s="58">
        <f>IF($H652="","",IFERROR(MID($H652&amp;" ",FIND("|",SUBSTITUTE($H652&amp;" "," ","|",1))+1,FIND("|",SUBSTITUTE($H652&amp;" "," ","|",2))-FIND("|",SUBSTITUTE($H652&amp;" "," ","|",1))-1),""))</f>
        <v/>
      </c>
      <c r="D652" s="58">
        <f>IF($H652="","",IFERROR(MID($H652&amp;" ",FIND("|",SUBSTITUTE($H652&amp;" "," ","|",2))+1,FIND("|",SUBSTITUTE($H652&amp;" "," ","|",3))-FIND("|",SUBSTITUTE($H652&amp;" "," ","|",2))-1),""))</f>
        <v/>
      </c>
      <c r="E652" s="58">
        <f>IF($H652="","",IFERROR(MID($H652&amp;" ",FIND("|",SUBSTITUTE($H652&amp;" "," ","|",3))+1,FIND("|",SUBSTITUTE($H652&amp;" "," ","|",4))-FIND("|",SUBSTITUTE($H652&amp;" "," ","|",3))-1),""))</f>
        <v/>
      </c>
      <c r="F652" s="59">
        <f>IF($H652="","",IFERROR(VALUE(IFERROR(MID($H652&amp;" ",FIND("|",SUBSTITUTE($H652&amp;" "," ","|",4))+1,FIND("|",SUBSTITUTE($H652&amp;" "," ","|",5))-FIND("|",SUBSTITUTE($H652&amp;" "," ","|",4))-1),""))/86400+25569+9/24,""))</f>
        <v/>
      </c>
      <c r="G652" s="58">
        <f>TRIM(SUBSTITUTE(SUBSTITUTE(SUBSTITUTE($A652,CHAR(9)," ")," "," "),CHAR(13),""))</f>
        <v/>
      </c>
      <c r="H652" s="58">
        <f>IF($G652="","",IF(ISNUMBER(FIND(" ",$G652)),$G652,IFERROR(IF((LEN(SUBSTITUTE(SUBSTITUTE($G652,"-"," ",LEN($G652)-LEN(SUBSTITUTE($G652,"-",""))),"-"," ",LEN($G652)-LEN(SUBSTITUTE($G652,"-",""))-1))-LEN(SUBSTITUTE(SUBSTITUTE(SUBSTITUTE($G652,"-"," ",LEN($G652)-LEN(SUBSTITUTE($G652,"-",""))),"-"," ",LEN($G652)-LEN(SUBSTITUTE($G652,"-",""))-1),".","")))=0,SUBSTITUTE(SUBSTITUTE($G652,"-"," ",LEN($G652)-LEN(SUBSTITUTE($G652,"-",""))),"-"," ",LEN($G652)-LEN(SUBSTITUTE($G652,"-",""))-1),SUBSTITUTE(SUBSTITUTE(SUBSTITUTE($G652,"-"," ",LEN($G652)-LEN(SUBSTITUTE($G652,"-",""))),"-"," ",LEN($G652)-LEN(SUBSTITUTE($G652,"-",""))-1),"."," ",(LEN(SUBSTITUTE(SUBSTITUTE($G652,"-"," ",LEN($G652)-LEN(SUBSTITUTE($G652,"-",""))),"-"," ",LEN($G652)-LEN(SUBSTITUTE($G652,"-",""))-1))-LEN(SUBSTITUTE(SUBSTITUTE(SUBSTITUTE($G652,"-"," ",LEN($G652)-LEN(SUBSTITUTE($G652,"-",""))),"-"," ",LEN($G652)-LEN(SUBSTITUTE($G652,"-",""))-1),".",""))))),$G652)))</f>
        <v/>
      </c>
    </row>
    <row r="653">
      <c r="A653" s="58" t="n"/>
      <c r="B653" s="58">
        <f>IF($H653="","",LEFT($H653,FIND(" ",$H653&amp;" ")-1))</f>
        <v/>
      </c>
      <c r="C653" s="58">
        <f>IF($H653="","",IFERROR(MID($H653&amp;" ",FIND("|",SUBSTITUTE($H653&amp;" "," ","|",1))+1,FIND("|",SUBSTITUTE($H653&amp;" "," ","|",2))-FIND("|",SUBSTITUTE($H653&amp;" "," ","|",1))-1),""))</f>
        <v/>
      </c>
      <c r="D653" s="58">
        <f>IF($H653="","",IFERROR(MID($H653&amp;" ",FIND("|",SUBSTITUTE($H653&amp;" "," ","|",2))+1,FIND("|",SUBSTITUTE($H653&amp;" "," ","|",3))-FIND("|",SUBSTITUTE($H653&amp;" "," ","|",2))-1),""))</f>
        <v/>
      </c>
      <c r="E653" s="58">
        <f>IF($H653="","",IFERROR(MID($H653&amp;" ",FIND("|",SUBSTITUTE($H653&amp;" "," ","|",3))+1,FIND("|",SUBSTITUTE($H653&amp;" "," ","|",4))-FIND("|",SUBSTITUTE($H653&amp;" "," ","|",3))-1),""))</f>
        <v/>
      </c>
      <c r="F653" s="59">
        <f>IF($H653="","",IFERROR(VALUE(IFERROR(MID($H653&amp;" ",FIND("|",SUBSTITUTE($H653&amp;" "," ","|",4))+1,FIND("|",SUBSTITUTE($H653&amp;" "," ","|",5))-FIND("|",SUBSTITUTE($H653&amp;" "," ","|",4))-1),""))/86400+25569+9/24,""))</f>
        <v/>
      </c>
      <c r="G653" s="58">
        <f>TRIM(SUBSTITUTE(SUBSTITUTE(SUBSTITUTE($A653,CHAR(9)," ")," "," "),CHAR(13),""))</f>
        <v/>
      </c>
      <c r="H653" s="58">
        <f>IF($G653="","",IF(ISNUMBER(FIND(" ",$G653)),$G653,IFERROR(IF((LEN(SUBSTITUTE(SUBSTITUTE($G653,"-"," ",LEN($G653)-LEN(SUBSTITUTE($G653,"-",""))),"-"," ",LEN($G653)-LEN(SUBSTITUTE($G653,"-",""))-1))-LEN(SUBSTITUTE(SUBSTITUTE(SUBSTITUTE($G653,"-"," ",LEN($G653)-LEN(SUBSTITUTE($G653,"-",""))),"-"," ",LEN($G653)-LEN(SUBSTITUTE($G653,"-",""))-1),".","")))=0,SUBSTITUTE(SUBSTITUTE($G653,"-"," ",LEN($G653)-LEN(SUBSTITUTE($G653,"-",""))),"-"," ",LEN($G653)-LEN(SUBSTITUTE($G653,"-",""))-1),SUBSTITUTE(SUBSTITUTE(SUBSTITUTE($G653,"-"," ",LEN($G653)-LEN(SUBSTITUTE($G653,"-",""))),"-"," ",LEN($G653)-LEN(SUBSTITUTE($G653,"-",""))-1),"."," ",(LEN(SUBSTITUTE(SUBSTITUTE($G653,"-"," ",LEN($G653)-LEN(SUBSTITUTE($G653,"-",""))),"-"," ",LEN($G653)-LEN(SUBSTITUTE($G653,"-",""))-1))-LEN(SUBSTITUTE(SUBSTITUTE(SUBSTITUTE($G653,"-"," ",LEN($G653)-LEN(SUBSTITUTE($G653,"-",""))),"-"," ",LEN($G653)-LEN(SUBSTITUTE($G653,"-",""))-1),".",""))))),$G653)))</f>
        <v/>
      </c>
    </row>
    <row r="654">
      <c r="A654" s="58" t="n"/>
      <c r="B654" s="58">
        <f>IF($H654="","",LEFT($H654,FIND(" ",$H654&amp;" ")-1))</f>
        <v/>
      </c>
      <c r="C654" s="58">
        <f>IF($H654="","",IFERROR(MID($H654&amp;" ",FIND("|",SUBSTITUTE($H654&amp;" "," ","|",1))+1,FIND("|",SUBSTITUTE($H654&amp;" "," ","|",2))-FIND("|",SUBSTITUTE($H654&amp;" "," ","|",1))-1),""))</f>
        <v/>
      </c>
      <c r="D654" s="58">
        <f>IF($H654="","",IFERROR(MID($H654&amp;" ",FIND("|",SUBSTITUTE($H654&amp;" "," ","|",2))+1,FIND("|",SUBSTITUTE($H654&amp;" "," ","|",3))-FIND("|",SUBSTITUTE($H654&amp;" "," ","|",2))-1),""))</f>
        <v/>
      </c>
      <c r="E654" s="58">
        <f>IF($H654="","",IFERROR(MID($H654&amp;" ",FIND("|",SUBSTITUTE($H654&amp;" "," ","|",3))+1,FIND("|",SUBSTITUTE($H654&amp;" "," ","|",4))-FIND("|",SUBSTITUTE($H654&amp;" "," ","|",3))-1),""))</f>
        <v/>
      </c>
      <c r="F654" s="59">
        <f>IF($H654="","",IFERROR(VALUE(IFERROR(MID($H654&amp;" ",FIND("|",SUBSTITUTE($H654&amp;" "," ","|",4))+1,FIND("|",SUBSTITUTE($H654&amp;" "," ","|",5))-FIND("|",SUBSTITUTE($H654&amp;" "," ","|",4))-1),""))/86400+25569+9/24,""))</f>
        <v/>
      </c>
      <c r="G654" s="58">
        <f>TRIM(SUBSTITUTE(SUBSTITUTE(SUBSTITUTE($A654,CHAR(9)," ")," "," "),CHAR(13),""))</f>
        <v/>
      </c>
      <c r="H654" s="58">
        <f>IF($G654="","",IF(ISNUMBER(FIND(" ",$G654)),$G654,IFERROR(IF((LEN(SUBSTITUTE(SUBSTITUTE($G654,"-"," ",LEN($G654)-LEN(SUBSTITUTE($G654,"-",""))),"-"," ",LEN($G654)-LEN(SUBSTITUTE($G654,"-",""))-1))-LEN(SUBSTITUTE(SUBSTITUTE(SUBSTITUTE($G654,"-"," ",LEN($G654)-LEN(SUBSTITUTE($G654,"-",""))),"-"," ",LEN($G654)-LEN(SUBSTITUTE($G654,"-",""))-1),".","")))=0,SUBSTITUTE(SUBSTITUTE($G654,"-"," ",LEN($G654)-LEN(SUBSTITUTE($G654,"-",""))),"-"," ",LEN($G654)-LEN(SUBSTITUTE($G654,"-",""))-1),SUBSTITUTE(SUBSTITUTE(SUBSTITUTE($G654,"-"," ",LEN($G654)-LEN(SUBSTITUTE($G654,"-",""))),"-"," ",LEN($G654)-LEN(SUBSTITUTE($G654,"-",""))-1),"."," ",(LEN(SUBSTITUTE(SUBSTITUTE($G654,"-"," ",LEN($G654)-LEN(SUBSTITUTE($G654,"-",""))),"-"," ",LEN($G654)-LEN(SUBSTITUTE($G654,"-",""))-1))-LEN(SUBSTITUTE(SUBSTITUTE(SUBSTITUTE($G654,"-"," ",LEN($G654)-LEN(SUBSTITUTE($G654,"-",""))),"-"," ",LEN($G654)-LEN(SUBSTITUTE($G654,"-",""))-1),".",""))))),$G654)))</f>
        <v/>
      </c>
    </row>
    <row r="655">
      <c r="A655" s="58" t="n"/>
      <c r="B655" s="58">
        <f>IF($H655="","",LEFT($H655,FIND(" ",$H655&amp;" ")-1))</f>
        <v/>
      </c>
      <c r="C655" s="58">
        <f>IF($H655="","",IFERROR(MID($H655&amp;" ",FIND("|",SUBSTITUTE($H655&amp;" "," ","|",1))+1,FIND("|",SUBSTITUTE($H655&amp;" "," ","|",2))-FIND("|",SUBSTITUTE($H655&amp;" "," ","|",1))-1),""))</f>
        <v/>
      </c>
      <c r="D655" s="58">
        <f>IF($H655="","",IFERROR(MID($H655&amp;" ",FIND("|",SUBSTITUTE($H655&amp;" "," ","|",2))+1,FIND("|",SUBSTITUTE($H655&amp;" "," ","|",3))-FIND("|",SUBSTITUTE($H655&amp;" "," ","|",2))-1),""))</f>
        <v/>
      </c>
      <c r="E655" s="58">
        <f>IF($H655="","",IFERROR(MID($H655&amp;" ",FIND("|",SUBSTITUTE($H655&amp;" "," ","|",3))+1,FIND("|",SUBSTITUTE($H655&amp;" "," ","|",4))-FIND("|",SUBSTITUTE($H655&amp;" "," ","|",3))-1),""))</f>
        <v/>
      </c>
      <c r="F655" s="59">
        <f>IF($H655="","",IFERROR(VALUE(IFERROR(MID($H655&amp;" ",FIND("|",SUBSTITUTE($H655&amp;" "," ","|",4))+1,FIND("|",SUBSTITUTE($H655&amp;" "," ","|",5))-FIND("|",SUBSTITUTE($H655&amp;" "," ","|",4))-1),""))/86400+25569+9/24,""))</f>
        <v/>
      </c>
      <c r="G655" s="58">
        <f>TRIM(SUBSTITUTE(SUBSTITUTE(SUBSTITUTE($A655,CHAR(9)," ")," "," "),CHAR(13),""))</f>
        <v/>
      </c>
      <c r="H655" s="58">
        <f>IF($G655="","",IF(ISNUMBER(FIND(" ",$G655)),$G655,IFERROR(IF((LEN(SUBSTITUTE(SUBSTITUTE($G655,"-"," ",LEN($G655)-LEN(SUBSTITUTE($G655,"-",""))),"-"," ",LEN($G655)-LEN(SUBSTITUTE($G655,"-",""))-1))-LEN(SUBSTITUTE(SUBSTITUTE(SUBSTITUTE($G655,"-"," ",LEN($G655)-LEN(SUBSTITUTE($G655,"-",""))),"-"," ",LEN($G655)-LEN(SUBSTITUTE($G655,"-",""))-1),".","")))=0,SUBSTITUTE(SUBSTITUTE($G655,"-"," ",LEN($G655)-LEN(SUBSTITUTE($G655,"-",""))),"-"," ",LEN($G655)-LEN(SUBSTITUTE($G655,"-",""))-1),SUBSTITUTE(SUBSTITUTE(SUBSTITUTE($G655,"-"," ",LEN($G655)-LEN(SUBSTITUTE($G655,"-",""))),"-"," ",LEN($G655)-LEN(SUBSTITUTE($G655,"-",""))-1),"."," ",(LEN(SUBSTITUTE(SUBSTITUTE($G655,"-"," ",LEN($G655)-LEN(SUBSTITUTE($G655,"-",""))),"-"," ",LEN($G655)-LEN(SUBSTITUTE($G655,"-",""))-1))-LEN(SUBSTITUTE(SUBSTITUTE(SUBSTITUTE($G655,"-"," ",LEN($G655)-LEN(SUBSTITUTE($G655,"-",""))),"-"," ",LEN($G655)-LEN(SUBSTITUTE($G655,"-",""))-1),".",""))))),$G655)))</f>
        <v/>
      </c>
    </row>
    <row r="656">
      <c r="A656" s="58" t="n"/>
      <c r="B656" s="58">
        <f>IF($H656="","",LEFT($H656,FIND(" ",$H656&amp;" ")-1))</f>
        <v/>
      </c>
      <c r="C656" s="58">
        <f>IF($H656="","",IFERROR(MID($H656&amp;" ",FIND("|",SUBSTITUTE($H656&amp;" "," ","|",1))+1,FIND("|",SUBSTITUTE($H656&amp;" "," ","|",2))-FIND("|",SUBSTITUTE($H656&amp;" "," ","|",1))-1),""))</f>
        <v/>
      </c>
      <c r="D656" s="58">
        <f>IF($H656="","",IFERROR(MID($H656&amp;" ",FIND("|",SUBSTITUTE($H656&amp;" "," ","|",2))+1,FIND("|",SUBSTITUTE($H656&amp;" "," ","|",3))-FIND("|",SUBSTITUTE($H656&amp;" "," ","|",2))-1),""))</f>
        <v/>
      </c>
      <c r="E656" s="58">
        <f>IF($H656="","",IFERROR(MID($H656&amp;" ",FIND("|",SUBSTITUTE($H656&amp;" "," ","|",3))+1,FIND("|",SUBSTITUTE($H656&amp;" "," ","|",4))-FIND("|",SUBSTITUTE($H656&amp;" "," ","|",3))-1),""))</f>
        <v/>
      </c>
      <c r="F656" s="59">
        <f>IF($H656="","",IFERROR(VALUE(IFERROR(MID($H656&amp;" ",FIND("|",SUBSTITUTE($H656&amp;" "," ","|",4))+1,FIND("|",SUBSTITUTE($H656&amp;" "," ","|",5))-FIND("|",SUBSTITUTE($H656&amp;" "," ","|",4))-1),""))/86400+25569+9/24,""))</f>
        <v/>
      </c>
      <c r="G656" s="58">
        <f>TRIM(SUBSTITUTE(SUBSTITUTE(SUBSTITUTE($A656,CHAR(9)," ")," "," "),CHAR(13),""))</f>
        <v/>
      </c>
      <c r="H656" s="58">
        <f>IF($G656="","",IF(ISNUMBER(FIND(" ",$G656)),$G656,IFERROR(IF((LEN(SUBSTITUTE(SUBSTITUTE($G656,"-"," ",LEN($G656)-LEN(SUBSTITUTE($G656,"-",""))),"-"," ",LEN($G656)-LEN(SUBSTITUTE($G656,"-",""))-1))-LEN(SUBSTITUTE(SUBSTITUTE(SUBSTITUTE($G656,"-"," ",LEN($G656)-LEN(SUBSTITUTE($G656,"-",""))),"-"," ",LEN($G656)-LEN(SUBSTITUTE($G656,"-",""))-1),".","")))=0,SUBSTITUTE(SUBSTITUTE($G656,"-"," ",LEN($G656)-LEN(SUBSTITUTE($G656,"-",""))),"-"," ",LEN($G656)-LEN(SUBSTITUTE($G656,"-",""))-1),SUBSTITUTE(SUBSTITUTE(SUBSTITUTE($G656,"-"," ",LEN($G656)-LEN(SUBSTITUTE($G656,"-",""))),"-"," ",LEN($G656)-LEN(SUBSTITUTE($G656,"-",""))-1),"."," ",(LEN(SUBSTITUTE(SUBSTITUTE($G656,"-"," ",LEN($G656)-LEN(SUBSTITUTE($G656,"-",""))),"-"," ",LEN($G656)-LEN(SUBSTITUTE($G656,"-",""))-1))-LEN(SUBSTITUTE(SUBSTITUTE(SUBSTITUTE($G656,"-"," ",LEN($G656)-LEN(SUBSTITUTE($G656,"-",""))),"-"," ",LEN($G656)-LEN(SUBSTITUTE($G656,"-",""))-1),".",""))))),$G656)))</f>
        <v/>
      </c>
    </row>
    <row r="657">
      <c r="A657" s="58" t="n"/>
      <c r="B657" s="58">
        <f>IF($H657="","",LEFT($H657,FIND(" ",$H657&amp;" ")-1))</f>
        <v/>
      </c>
      <c r="C657" s="58">
        <f>IF($H657="","",IFERROR(MID($H657&amp;" ",FIND("|",SUBSTITUTE($H657&amp;" "," ","|",1))+1,FIND("|",SUBSTITUTE($H657&amp;" "," ","|",2))-FIND("|",SUBSTITUTE($H657&amp;" "," ","|",1))-1),""))</f>
        <v/>
      </c>
      <c r="D657" s="58">
        <f>IF($H657="","",IFERROR(MID($H657&amp;" ",FIND("|",SUBSTITUTE($H657&amp;" "," ","|",2))+1,FIND("|",SUBSTITUTE($H657&amp;" "," ","|",3))-FIND("|",SUBSTITUTE($H657&amp;" "," ","|",2))-1),""))</f>
        <v/>
      </c>
      <c r="E657" s="58">
        <f>IF($H657="","",IFERROR(MID($H657&amp;" ",FIND("|",SUBSTITUTE($H657&amp;" "," ","|",3))+1,FIND("|",SUBSTITUTE($H657&amp;" "," ","|",4))-FIND("|",SUBSTITUTE($H657&amp;" "," ","|",3))-1),""))</f>
        <v/>
      </c>
      <c r="F657" s="59">
        <f>IF($H657="","",IFERROR(VALUE(IFERROR(MID($H657&amp;" ",FIND("|",SUBSTITUTE($H657&amp;" "," ","|",4))+1,FIND("|",SUBSTITUTE($H657&amp;" "," ","|",5))-FIND("|",SUBSTITUTE($H657&amp;" "," ","|",4))-1),""))/86400+25569+9/24,""))</f>
        <v/>
      </c>
      <c r="G657" s="58">
        <f>TRIM(SUBSTITUTE(SUBSTITUTE(SUBSTITUTE($A657,CHAR(9)," ")," "," "),CHAR(13),""))</f>
        <v/>
      </c>
      <c r="H657" s="58">
        <f>IF($G657="","",IF(ISNUMBER(FIND(" ",$G657)),$G657,IFERROR(IF((LEN(SUBSTITUTE(SUBSTITUTE($G657,"-"," ",LEN($G657)-LEN(SUBSTITUTE($G657,"-",""))),"-"," ",LEN($G657)-LEN(SUBSTITUTE($G657,"-",""))-1))-LEN(SUBSTITUTE(SUBSTITUTE(SUBSTITUTE($G657,"-"," ",LEN($G657)-LEN(SUBSTITUTE($G657,"-",""))),"-"," ",LEN($G657)-LEN(SUBSTITUTE($G657,"-",""))-1),".","")))=0,SUBSTITUTE(SUBSTITUTE($G657,"-"," ",LEN($G657)-LEN(SUBSTITUTE($G657,"-",""))),"-"," ",LEN($G657)-LEN(SUBSTITUTE($G657,"-",""))-1),SUBSTITUTE(SUBSTITUTE(SUBSTITUTE($G657,"-"," ",LEN($G657)-LEN(SUBSTITUTE($G657,"-",""))),"-"," ",LEN($G657)-LEN(SUBSTITUTE($G657,"-",""))-1),"."," ",(LEN(SUBSTITUTE(SUBSTITUTE($G657,"-"," ",LEN($G657)-LEN(SUBSTITUTE($G657,"-",""))),"-"," ",LEN($G657)-LEN(SUBSTITUTE($G657,"-",""))-1))-LEN(SUBSTITUTE(SUBSTITUTE(SUBSTITUTE($G657,"-"," ",LEN($G657)-LEN(SUBSTITUTE($G657,"-",""))),"-"," ",LEN($G657)-LEN(SUBSTITUTE($G657,"-",""))-1),".",""))))),$G657)))</f>
        <v/>
      </c>
    </row>
    <row r="658">
      <c r="A658" s="58" t="n"/>
      <c r="B658" s="58">
        <f>IF($H658="","",LEFT($H658,FIND(" ",$H658&amp;" ")-1))</f>
        <v/>
      </c>
      <c r="C658" s="58">
        <f>IF($H658="","",IFERROR(MID($H658&amp;" ",FIND("|",SUBSTITUTE($H658&amp;" "," ","|",1))+1,FIND("|",SUBSTITUTE($H658&amp;" "," ","|",2))-FIND("|",SUBSTITUTE($H658&amp;" "," ","|",1))-1),""))</f>
        <v/>
      </c>
      <c r="D658" s="58">
        <f>IF($H658="","",IFERROR(MID($H658&amp;" ",FIND("|",SUBSTITUTE($H658&amp;" "," ","|",2))+1,FIND("|",SUBSTITUTE($H658&amp;" "," ","|",3))-FIND("|",SUBSTITUTE($H658&amp;" "," ","|",2))-1),""))</f>
        <v/>
      </c>
      <c r="E658" s="58">
        <f>IF($H658="","",IFERROR(MID($H658&amp;" ",FIND("|",SUBSTITUTE($H658&amp;" "," ","|",3))+1,FIND("|",SUBSTITUTE($H658&amp;" "," ","|",4))-FIND("|",SUBSTITUTE($H658&amp;" "," ","|",3))-1),""))</f>
        <v/>
      </c>
      <c r="F658" s="59">
        <f>IF($H658="","",IFERROR(VALUE(IFERROR(MID($H658&amp;" ",FIND("|",SUBSTITUTE($H658&amp;" "," ","|",4))+1,FIND("|",SUBSTITUTE($H658&amp;" "," ","|",5))-FIND("|",SUBSTITUTE($H658&amp;" "," ","|",4))-1),""))/86400+25569+9/24,""))</f>
        <v/>
      </c>
      <c r="G658" s="58">
        <f>TRIM(SUBSTITUTE(SUBSTITUTE(SUBSTITUTE($A658,CHAR(9)," ")," "," "),CHAR(13),""))</f>
        <v/>
      </c>
      <c r="H658" s="58">
        <f>IF($G658="","",IF(ISNUMBER(FIND(" ",$G658)),$G658,IFERROR(IF((LEN(SUBSTITUTE(SUBSTITUTE($G658,"-"," ",LEN($G658)-LEN(SUBSTITUTE($G658,"-",""))),"-"," ",LEN($G658)-LEN(SUBSTITUTE($G658,"-",""))-1))-LEN(SUBSTITUTE(SUBSTITUTE(SUBSTITUTE($G658,"-"," ",LEN($G658)-LEN(SUBSTITUTE($G658,"-",""))),"-"," ",LEN($G658)-LEN(SUBSTITUTE($G658,"-",""))-1),".","")))=0,SUBSTITUTE(SUBSTITUTE($G658,"-"," ",LEN($G658)-LEN(SUBSTITUTE($G658,"-",""))),"-"," ",LEN($G658)-LEN(SUBSTITUTE($G658,"-",""))-1),SUBSTITUTE(SUBSTITUTE(SUBSTITUTE($G658,"-"," ",LEN($G658)-LEN(SUBSTITUTE($G658,"-",""))),"-"," ",LEN($G658)-LEN(SUBSTITUTE($G658,"-",""))-1),"."," ",(LEN(SUBSTITUTE(SUBSTITUTE($G658,"-"," ",LEN($G658)-LEN(SUBSTITUTE($G658,"-",""))),"-"," ",LEN($G658)-LEN(SUBSTITUTE($G658,"-",""))-1))-LEN(SUBSTITUTE(SUBSTITUTE(SUBSTITUTE($G658,"-"," ",LEN($G658)-LEN(SUBSTITUTE($G658,"-",""))),"-"," ",LEN($G658)-LEN(SUBSTITUTE($G658,"-",""))-1),".",""))))),$G658)))</f>
        <v/>
      </c>
    </row>
    <row r="659">
      <c r="A659" s="58" t="n"/>
      <c r="B659" s="58">
        <f>IF($H659="","",LEFT($H659,FIND(" ",$H659&amp;" ")-1))</f>
        <v/>
      </c>
      <c r="C659" s="58">
        <f>IF($H659="","",IFERROR(MID($H659&amp;" ",FIND("|",SUBSTITUTE($H659&amp;" "," ","|",1))+1,FIND("|",SUBSTITUTE($H659&amp;" "," ","|",2))-FIND("|",SUBSTITUTE($H659&amp;" "," ","|",1))-1),""))</f>
        <v/>
      </c>
      <c r="D659" s="58">
        <f>IF($H659="","",IFERROR(MID($H659&amp;" ",FIND("|",SUBSTITUTE($H659&amp;" "," ","|",2))+1,FIND("|",SUBSTITUTE($H659&amp;" "," ","|",3))-FIND("|",SUBSTITUTE($H659&amp;" "," ","|",2))-1),""))</f>
        <v/>
      </c>
      <c r="E659" s="58">
        <f>IF($H659="","",IFERROR(MID($H659&amp;" ",FIND("|",SUBSTITUTE($H659&amp;" "," ","|",3))+1,FIND("|",SUBSTITUTE($H659&amp;" "," ","|",4))-FIND("|",SUBSTITUTE($H659&amp;" "," ","|",3))-1),""))</f>
        <v/>
      </c>
      <c r="F659" s="59">
        <f>IF($H659="","",IFERROR(VALUE(IFERROR(MID($H659&amp;" ",FIND("|",SUBSTITUTE($H659&amp;" "," ","|",4))+1,FIND("|",SUBSTITUTE($H659&amp;" "," ","|",5))-FIND("|",SUBSTITUTE($H659&amp;" "," ","|",4))-1),""))/86400+25569+9/24,""))</f>
        <v/>
      </c>
      <c r="G659" s="58">
        <f>TRIM(SUBSTITUTE(SUBSTITUTE(SUBSTITUTE($A659,CHAR(9)," ")," "," "),CHAR(13),""))</f>
        <v/>
      </c>
      <c r="H659" s="58">
        <f>IF($G659="","",IF(ISNUMBER(FIND(" ",$G659)),$G659,IFERROR(IF((LEN(SUBSTITUTE(SUBSTITUTE($G659,"-"," ",LEN($G659)-LEN(SUBSTITUTE($G659,"-",""))),"-"," ",LEN($G659)-LEN(SUBSTITUTE($G659,"-",""))-1))-LEN(SUBSTITUTE(SUBSTITUTE(SUBSTITUTE($G659,"-"," ",LEN($G659)-LEN(SUBSTITUTE($G659,"-",""))),"-"," ",LEN($G659)-LEN(SUBSTITUTE($G659,"-",""))-1),".","")))=0,SUBSTITUTE(SUBSTITUTE($G659,"-"," ",LEN($G659)-LEN(SUBSTITUTE($G659,"-",""))),"-"," ",LEN($G659)-LEN(SUBSTITUTE($G659,"-",""))-1),SUBSTITUTE(SUBSTITUTE(SUBSTITUTE($G659,"-"," ",LEN($G659)-LEN(SUBSTITUTE($G659,"-",""))),"-"," ",LEN($G659)-LEN(SUBSTITUTE($G659,"-",""))-1),"."," ",(LEN(SUBSTITUTE(SUBSTITUTE($G659,"-"," ",LEN($G659)-LEN(SUBSTITUTE($G659,"-",""))),"-"," ",LEN($G659)-LEN(SUBSTITUTE($G659,"-",""))-1))-LEN(SUBSTITUTE(SUBSTITUTE(SUBSTITUTE($G659,"-"," ",LEN($G659)-LEN(SUBSTITUTE($G659,"-",""))),"-"," ",LEN($G659)-LEN(SUBSTITUTE($G659,"-",""))-1),".",""))))),$G659)))</f>
        <v/>
      </c>
    </row>
    <row r="660">
      <c r="A660" s="58" t="n"/>
      <c r="B660" s="58">
        <f>IF($H660="","",LEFT($H660,FIND(" ",$H660&amp;" ")-1))</f>
        <v/>
      </c>
      <c r="C660" s="58">
        <f>IF($H660="","",IFERROR(MID($H660&amp;" ",FIND("|",SUBSTITUTE($H660&amp;" "," ","|",1))+1,FIND("|",SUBSTITUTE($H660&amp;" "," ","|",2))-FIND("|",SUBSTITUTE($H660&amp;" "," ","|",1))-1),""))</f>
        <v/>
      </c>
      <c r="D660" s="58">
        <f>IF($H660="","",IFERROR(MID($H660&amp;" ",FIND("|",SUBSTITUTE($H660&amp;" "," ","|",2))+1,FIND("|",SUBSTITUTE($H660&amp;" "," ","|",3))-FIND("|",SUBSTITUTE($H660&amp;" "," ","|",2))-1),""))</f>
        <v/>
      </c>
      <c r="E660" s="58">
        <f>IF($H660="","",IFERROR(MID($H660&amp;" ",FIND("|",SUBSTITUTE($H660&amp;" "," ","|",3))+1,FIND("|",SUBSTITUTE($H660&amp;" "," ","|",4))-FIND("|",SUBSTITUTE($H660&amp;" "," ","|",3))-1),""))</f>
        <v/>
      </c>
      <c r="F660" s="59">
        <f>IF($H660="","",IFERROR(VALUE(IFERROR(MID($H660&amp;" ",FIND("|",SUBSTITUTE($H660&amp;" "," ","|",4))+1,FIND("|",SUBSTITUTE($H660&amp;" "," ","|",5))-FIND("|",SUBSTITUTE($H660&amp;" "," ","|",4))-1),""))/86400+25569+9/24,""))</f>
        <v/>
      </c>
      <c r="G660" s="58">
        <f>TRIM(SUBSTITUTE(SUBSTITUTE(SUBSTITUTE($A660,CHAR(9)," ")," "," "),CHAR(13),""))</f>
        <v/>
      </c>
      <c r="H660" s="58">
        <f>IF($G660="","",IF(ISNUMBER(FIND(" ",$G660)),$G660,IFERROR(IF((LEN(SUBSTITUTE(SUBSTITUTE($G660,"-"," ",LEN($G660)-LEN(SUBSTITUTE($G660,"-",""))),"-"," ",LEN($G660)-LEN(SUBSTITUTE($G660,"-",""))-1))-LEN(SUBSTITUTE(SUBSTITUTE(SUBSTITUTE($G660,"-"," ",LEN($G660)-LEN(SUBSTITUTE($G660,"-",""))),"-"," ",LEN($G660)-LEN(SUBSTITUTE($G660,"-",""))-1),".","")))=0,SUBSTITUTE(SUBSTITUTE($G660,"-"," ",LEN($G660)-LEN(SUBSTITUTE($G660,"-",""))),"-"," ",LEN($G660)-LEN(SUBSTITUTE($G660,"-",""))-1),SUBSTITUTE(SUBSTITUTE(SUBSTITUTE($G660,"-"," ",LEN($G660)-LEN(SUBSTITUTE($G660,"-",""))),"-"," ",LEN($G660)-LEN(SUBSTITUTE($G660,"-",""))-1),"."," ",(LEN(SUBSTITUTE(SUBSTITUTE($G660,"-"," ",LEN($G660)-LEN(SUBSTITUTE($G660,"-",""))),"-"," ",LEN($G660)-LEN(SUBSTITUTE($G660,"-",""))-1))-LEN(SUBSTITUTE(SUBSTITUTE(SUBSTITUTE($G660,"-"," ",LEN($G660)-LEN(SUBSTITUTE($G660,"-",""))),"-"," ",LEN($G660)-LEN(SUBSTITUTE($G660,"-",""))-1),".",""))))),$G660)))</f>
        <v/>
      </c>
    </row>
    <row r="661">
      <c r="A661" s="58" t="n"/>
      <c r="B661" s="58">
        <f>IF($H661="","",LEFT($H661,FIND(" ",$H661&amp;" ")-1))</f>
        <v/>
      </c>
      <c r="C661" s="58">
        <f>IF($H661="","",IFERROR(MID($H661&amp;" ",FIND("|",SUBSTITUTE($H661&amp;" "," ","|",1))+1,FIND("|",SUBSTITUTE($H661&amp;" "," ","|",2))-FIND("|",SUBSTITUTE($H661&amp;" "," ","|",1))-1),""))</f>
        <v/>
      </c>
      <c r="D661" s="58">
        <f>IF($H661="","",IFERROR(MID($H661&amp;" ",FIND("|",SUBSTITUTE($H661&amp;" "," ","|",2))+1,FIND("|",SUBSTITUTE($H661&amp;" "," ","|",3))-FIND("|",SUBSTITUTE($H661&amp;" "," ","|",2))-1),""))</f>
        <v/>
      </c>
      <c r="E661" s="58">
        <f>IF($H661="","",IFERROR(MID($H661&amp;" ",FIND("|",SUBSTITUTE($H661&amp;" "," ","|",3))+1,FIND("|",SUBSTITUTE($H661&amp;" "," ","|",4))-FIND("|",SUBSTITUTE($H661&amp;" "," ","|",3))-1),""))</f>
        <v/>
      </c>
      <c r="F661" s="59">
        <f>IF($H661="","",IFERROR(VALUE(IFERROR(MID($H661&amp;" ",FIND("|",SUBSTITUTE($H661&amp;" "," ","|",4))+1,FIND("|",SUBSTITUTE($H661&amp;" "," ","|",5))-FIND("|",SUBSTITUTE($H661&amp;" "," ","|",4))-1),""))/86400+25569+9/24,""))</f>
        <v/>
      </c>
      <c r="G661" s="58">
        <f>TRIM(SUBSTITUTE(SUBSTITUTE(SUBSTITUTE($A661,CHAR(9)," ")," "," "),CHAR(13),""))</f>
        <v/>
      </c>
      <c r="H661" s="58">
        <f>IF($G661="","",IF(ISNUMBER(FIND(" ",$G661)),$G661,IFERROR(IF((LEN(SUBSTITUTE(SUBSTITUTE($G661,"-"," ",LEN($G661)-LEN(SUBSTITUTE($G661,"-",""))),"-"," ",LEN($G661)-LEN(SUBSTITUTE($G661,"-",""))-1))-LEN(SUBSTITUTE(SUBSTITUTE(SUBSTITUTE($G661,"-"," ",LEN($G661)-LEN(SUBSTITUTE($G661,"-",""))),"-"," ",LEN($G661)-LEN(SUBSTITUTE($G661,"-",""))-1),".","")))=0,SUBSTITUTE(SUBSTITUTE($G661,"-"," ",LEN($G661)-LEN(SUBSTITUTE($G661,"-",""))),"-"," ",LEN($G661)-LEN(SUBSTITUTE($G661,"-",""))-1),SUBSTITUTE(SUBSTITUTE(SUBSTITUTE($G661,"-"," ",LEN($G661)-LEN(SUBSTITUTE($G661,"-",""))),"-"," ",LEN($G661)-LEN(SUBSTITUTE($G661,"-",""))-1),"."," ",(LEN(SUBSTITUTE(SUBSTITUTE($G661,"-"," ",LEN($G661)-LEN(SUBSTITUTE($G661,"-",""))),"-"," ",LEN($G661)-LEN(SUBSTITUTE($G661,"-",""))-1))-LEN(SUBSTITUTE(SUBSTITUTE(SUBSTITUTE($G661,"-"," ",LEN($G661)-LEN(SUBSTITUTE($G661,"-",""))),"-"," ",LEN($G661)-LEN(SUBSTITUTE($G661,"-",""))-1),".",""))))),$G661)))</f>
        <v/>
      </c>
    </row>
    <row r="662">
      <c r="A662" s="58" t="n"/>
      <c r="B662" s="58">
        <f>IF($H662="","",LEFT($H662,FIND(" ",$H662&amp;" ")-1))</f>
        <v/>
      </c>
      <c r="C662" s="58">
        <f>IF($H662="","",IFERROR(MID($H662&amp;" ",FIND("|",SUBSTITUTE($H662&amp;" "," ","|",1))+1,FIND("|",SUBSTITUTE($H662&amp;" "," ","|",2))-FIND("|",SUBSTITUTE($H662&amp;" "," ","|",1))-1),""))</f>
        <v/>
      </c>
      <c r="D662" s="58">
        <f>IF($H662="","",IFERROR(MID($H662&amp;" ",FIND("|",SUBSTITUTE($H662&amp;" "," ","|",2))+1,FIND("|",SUBSTITUTE($H662&amp;" "," ","|",3))-FIND("|",SUBSTITUTE($H662&amp;" "," ","|",2))-1),""))</f>
        <v/>
      </c>
      <c r="E662" s="58">
        <f>IF($H662="","",IFERROR(MID($H662&amp;" ",FIND("|",SUBSTITUTE($H662&amp;" "," ","|",3))+1,FIND("|",SUBSTITUTE($H662&amp;" "," ","|",4))-FIND("|",SUBSTITUTE($H662&amp;" "," ","|",3))-1),""))</f>
        <v/>
      </c>
      <c r="F662" s="59">
        <f>IF($H662="","",IFERROR(VALUE(IFERROR(MID($H662&amp;" ",FIND("|",SUBSTITUTE($H662&amp;" "," ","|",4))+1,FIND("|",SUBSTITUTE($H662&amp;" "," ","|",5))-FIND("|",SUBSTITUTE($H662&amp;" "," ","|",4))-1),""))/86400+25569+9/24,""))</f>
        <v/>
      </c>
      <c r="G662" s="58">
        <f>TRIM(SUBSTITUTE(SUBSTITUTE(SUBSTITUTE($A662,CHAR(9)," ")," "," "),CHAR(13),""))</f>
        <v/>
      </c>
      <c r="H662" s="58">
        <f>IF($G662="","",IF(ISNUMBER(FIND(" ",$G662)),$G662,IFERROR(IF((LEN(SUBSTITUTE(SUBSTITUTE($G662,"-"," ",LEN($G662)-LEN(SUBSTITUTE($G662,"-",""))),"-"," ",LEN($G662)-LEN(SUBSTITUTE($G662,"-",""))-1))-LEN(SUBSTITUTE(SUBSTITUTE(SUBSTITUTE($G662,"-"," ",LEN($G662)-LEN(SUBSTITUTE($G662,"-",""))),"-"," ",LEN($G662)-LEN(SUBSTITUTE($G662,"-",""))-1),".","")))=0,SUBSTITUTE(SUBSTITUTE($G662,"-"," ",LEN($G662)-LEN(SUBSTITUTE($G662,"-",""))),"-"," ",LEN($G662)-LEN(SUBSTITUTE($G662,"-",""))-1),SUBSTITUTE(SUBSTITUTE(SUBSTITUTE($G662,"-"," ",LEN($G662)-LEN(SUBSTITUTE($G662,"-",""))),"-"," ",LEN($G662)-LEN(SUBSTITUTE($G662,"-",""))-1),"."," ",(LEN(SUBSTITUTE(SUBSTITUTE($G662,"-"," ",LEN($G662)-LEN(SUBSTITUTE($G662,"-",""))),"-"," ",LEN($G662)-LEN(SUBSTITUTE($G662,"-",""))-1))-LEN(SUBSTITUTE(SUBSTITUTE(SUBSTITUTE($G662,"-"," ",LEN($G662)-LEN(SUBSTITUTE($G662,"-",""))),"-"," ",LEN($G662)-LEN(SUBSTITUTE($G662,"-",""))-1),".",""))))),$G662)))</f>
        <v/>
      </c>
    </row>
    <row r="663">
      <c r="A663" s="58" t="n"/>
      <c r="B663" s="58">
        <f>IF($H663="","",LEFT($H663,FIND(" ",$H663&amp;" ")-1))</f>
        <v/>
      </c>
      <c r="C663" s="58">
        <f>IF($H663="","",IFERROR(MID($H663&amp;" ",FIND("|",SUBSTITUTE($H663&amp;" "," ","|",1))+1,FIND("|",SUBSTITUTE($H663&amp;" "," ","|",2))-FIND("|",SUBSTITUTE($H663&amp;" "," ","|",1))-1),""))</f>
        <v/>
      </c>
      <c r="D663" s="58">
        <f>IF($H663="","",IFERROR(MID($H663&amp;" ",FIND("|",SUBSTITUTE($H663&amp;" "," ","|",2))+1,FIND("|",SUBSTITUTE($H663&amp;" "," ","|",3))-FIND("|",SUBSTITUTE($H663&amp;" "," ","|",2))-1),""))</f>
        <v/>
      </c>
      <c r="E663" s="58">
        <f>IF($H663="","",IFERROR(MID($H663&amp;" ",FIND("|",SUBSTITUTE($H663&amp;" "," ","|",3))+1,FIND("|",SUBSTITUTE($H663&amp;" "," ","|",4))-FIND("|",SUBSTITUTE($H663&amp;" "," ","|",3))-1),""))</f>
        <v/>
      </c>
      <c r="F663" s="59">
        <f>IF($H663="","",IFERROR(VALUE(IFERROR(MID($H663&amp;" ",FIND("|",SUBSTITUTE($H663&amp;" "," ","|",4))+1,FIND("|",SUBSTITUTE($H663&amp;" "," ","|",5))-FIND("|",SUBSTITUTE($H663&amp;" "," ","|",4))-1),""))/86400+25569+9/24,""))</f>
        <v/>
      </c>
      <c r="G663" s="58">
        <f>TRIM(SUBSTITUTE(SUBSTITUTE(SUBSTITUTE($A663,CHAR(9)," ")," "," "),CHAR(13),""))</f>
        <v/>
      </c>
      <c r="H663" s="58">
        <f>IF($G663="","",IF(ISNUMBER(FIND(" ",$G663)),$G663,IFERROR(IF((LEN(SUBSTITUTE(SUBSTITUTE($G663,"-"," ",LEN($G663)-LEN(SUBSTITUTE($G663,"-",""))),"-"," ",LEN($G663)-LEN(SUBSTITUTE($G663,"-",""))-1))-LEN(SUBSTITUTE(SUBSTITUTE(SUBSTITUTE($G663,"-"," ",LEN($G663)-LEN(SUBSTITUTE($G663,"-",""))),"-"," ",LEN($G663)-LEN(SUBSTITUTE($G663,"-",""))-1),".","")))=0,SUBSTITUTE(SUBSTITUTE($G663,"-"," ",LEN($G663)-LEN(SUBSTITUTE($G663,"-",""))),"-"," ",LEN($G663)-LEN(SUBSTITUTE($G663,"-",""))-1),SUBSTITUTE(SUBSTITUTE(SUBSTITUTE($G663,"-"," ",LEN($G663)-LEN(SUBSTITUTE($G663,"-",""))),"-"," ",LEN($G663)-LEN(SUBSTITUTE($G663,"-",""))-1),"."," ",(LEN(SUBSTITUTE(SUBSTITUTE($G663,"-"," ",LEN($G663)-LEN(SUBSTITUTE($G663,"-",""))),"-"," ",LEN($G663)-LEN(SUBSTITUTE($G663,"-",""))-1))-LEN(SUBSTITUTE(SUBSTITUTE(SUBSTITUTE($G663,"-"," ",LEN($G663)-LEN(SUBSTITUTE($G663,"-",""))),"-"," ",LEN($G663)-LEN(SUBSTITUTE($G663,"-",""))-1),".",""))))),$G663)))</f>
        <v/>
      </c>
    </row>
    <row r="664">
      <c r="A664" s="58" t="n"/>
      <c r="B664" s="58">
        <f>IF($H664="","",LEFT($H664,FIND(" ",$H664&amp;" ")-1))</f>
        <v/>
      </c>
      <c r="C664" s="58">
        <f>IF($H664="","",IFERROR(MID($H664&amp;" ",FIND("|",SUBSTITUTE($H664&amp;" "," ","|",1))+1,FIND("|",SUBSTITUTE($H664&amp;" "," ","|",2))-FIND("|",SUBSTITUTE($H664&amp;" "," ","|",1))-1),""))</f>
        <v/>
      </c>
      <c r="D664" s="58">
        <f>IF($H664="","",IFERROR(MID($H664&amp;" ",FIND("|",SUBSTITUTE($H664&amp;" "," ","|",2))+1,FIND("|",SUBSTITUTE($H664&amp;" "," ","|",3))-FIND("|",SUBSTITUTE($H664&amp;" "," ","|",2))-1),""))</f>
        <v/>
      </c>
      <c r="E664" s="58">
        <f>IF($H664="","",IFERROR(MID($H664&amp;" ",FIND("|",SUBSTITUTE($H664&amp;" "," ","|",3))+1,FIND("|",SUBSTITUTE($H664&amp;" "," ","|",4))-FIND("|",SUBSTITUTE($H664&amp;" "," ","|",3))-1),""))</f>
        <v/>
      </c>
      <c r="F664" s="59">
        <f>IF($H664="","",IFERROR(VALUE(IFERROR(MID($H664&amp;" ",FIND("|",SUBSTITUTE($H664&amp;" "," ","|",4))+1,FIND("|",SUBSTITUTE($H664&amp;" "," ","|",5))-FIND("|",SUBSTITUTE($H664&amp;" "," ","|",4))-1),""))/86400+25569+9/24,""))</f>
        <v/>
      </c>
      <c r="G664" s="58">
        <f>TRIM(SUBSTITUTE(SUBSTITUTE(SUBSTITUTE($A664,CHAR(9)," ")," "," "),CHAR(13),""))</f>
        <v/>
      </c>
      <c r="H664" s="58">
        <f>IF($G664="","",IF(ISNUMBER(FIND(" ",$G664)),$G664,IFERROR(IF((LEN(SUBSTITUTE(SUBSTITUTE($G664,"-"," ",LEN($G664)-LEN(SUBSTITUTE($G664,"-",""))),"-"," ",LEN($G664)-LEN(SUBSTITUTE($G664,"-",""))-1))-LEN(SUBSTITUTE(SUBSTITUTE(SUBSTITUTE($G664,"-"," ",LEN($G664)-LEN(SUBSTITUTE($G664,"-",""))),"-"," ",LEN($G664)-LEN(SUBSTITUTE($G664,"-",""))-1),".","")))=0,SUBSTITUTE(SUBSTITUTE($G664,"-"," ",LEN($G664)-LEN(SUBSTITUTE($G664,"-",""))),"-"," ",LEN($G664)-LEN(SUBSTITUTE($G664,"-",""))-1),SUBSTITUTE(SUBSTITUTE(SUBSTITUTE($G664,"-"," ",LEN($G664)-LEN(SUBSTITUTE($G664,"-",""))),"-"," ",LEN($G664)-LEN(SUBSTITUTE($G664,"-",""))-1),"."," ",(LEN(SUBSTITUTE(SUBSTITUTE($G664,"-"," ",LEN($G664)-LEN(SUBSTITUTE($G664,"-",""))),"-"," ",LEN($G664)-LEN(SUBSTITUTE($G664,"-",""))-1))-LEN(SUBSTITUTE(SUBSTITUTE(SUBSTITUTE($G664,"-"," ",LEN($G664)-LEN(SUBSTITUTE($G664,"-",""))),"-"," ",LEN($G664)-LEN(SUBSTITUTE($G664,"-",""))-1),".",""))))),$G664)))</f>
        <v/>
      </c>
    </row>
    <row r="665">
      <c r="A665" s="58" t="n"/>
      <c r="B665" s="58">
        <f>IF($H665="","",LEFT($H665,FIND(" ",$H665&amp;" ")-1))</f>
        <v/>
      </c>
      <c r="C665" s="58">
        <f>IF($H665="","",IFERROR(MID($H665&amp;" ",FIND("|",SUBSTITUTE($H665&amp;" "," ","|",1))+1,FIND("|",SUBSTITUTE($H665&amp;" "," ","|",2))-FIND("|",SUBSTITUTE($H665&amp;" "," ","|",1))-1),""))</f>
        <v/>
      </c>
      <c r="D665" s="58">
        <f>IF($H665="","",IFERROR(MID($H665&amp;" ",FIND("|",SUBSTITUTE($H665&amp;" "," ","|",2))+1,FIND("|",SUBSTITUTE($H665&amp;" "," ","|",3))-FIND("|",SUBSTITUTE($H665&amp;" "," ","|",2))-1),""))</f>
        <v/>
      </c>
      <c r="E665" s="58">
        <f>IF($H665="","",IFERROR(MID($H665&amp;" ",FIND("|",SUBSTITUTE($H665&amp;" "," ","|",3))+1,FIND("|",SUBSTITUTE($H665&amp;" "," ","|",4))-FIND("|",SUBSTITUTE($H665&amp;" "," ","|",3))-1),""))</f>
        <v/>
      </c>
      <c r="F665" s="59">
        <f>IF($H665="","",IFERROR(VALUE(IFERROR(MID($H665&amp;" ",FIND("|",SUBSTITUTE($H665&amp;" "," ","|",4))+1,FIND("|",SUBSTITUTE($H665&amp;" "," ","|",5))-FIND("|",SUBSTITUTE($H665&amp;" "," ","|",4))-1),""))/86400+25569+9/24,""))</f>
        <v/>
      </c>
      <c r="G665" s="58">
        <f>TRIM(SUBSTITUTE(SUBSTITUTE(SUBSTITUTE($A665,CHAR(9)," ")," "," "),CHAR(13),""))</f>
        <v/>
      </c>
      <c r="H665" s="58">
        <f>IF($G665="","",IF(ISNUMBER(FIND(" ",$G665)),$G665,IFERROR(IF((LEN(SUBSTITUTE(SUBSTITUTE($G665,"-"," ",LEN($G665)-LEN(SUBSTITUTE($G665,"-",""))),"-"," ",LEN($G665)-LEN(SUBSTITUTE($G665,"-",""))-1))-LEN(SUBSTITUTE(SUBSTITUTE(SUBSTITUTE($G665,"-"," ",LEN($G665)-LEN(SUBSTITUTE($G665,"-",""))),"-"," ",LEN($G665)-LEN(SUBSTITUTE($G665,"-",""))-1),".","")))=0,SUBSTITUTE(SUBSTITUTE($G665,"-"," ",LEN($G665)-LEN(SUBSTITUTE($G665,"-",""))),"-"," ",LEN($G665)-LEN(SUBSTITUTE($G665,"-",""))-1),SUBSTITUTE(SUBSTITUTE(SUBSTITUTE($G665,"-"," ",LEN($G665)-LEN(SUBSTITUTE($G665,"-",""))),"-"," ",LEN($G665)-LEN(SUBSTITUTE($G665,"-",""))-1),"."," ",(LEN(SUBSTITUTE(SUBSTITUTE($G665,"-"," ",LEN($G665)-LEN(SUBSTITUTE($G665,"-",""))),"-"," ",LEN($G665)-LEN(SUBSTITUTE($G665,"-",""))-1))-LEN(SUBSTITUTE(SUBSTITUTE(SUBSTITUTE($G665,"-"," ",LEN($G665)-LEN(SUBSTITUTE($G665,"-",""))),"-"," ",LEN($G665)-LEN(SUBSTITUTE($G665,"-",""))-1),".",""))))),$G665)))</f>
        <v/>
      </c>
    </row>
    <row r="666">
      <c r="A666" s="58" t="n"/>
      <c r="B666" s="58">
        <f>IF($H666="","",LEFT($H666,FIND(" ",$H666&amp;" ")-1))</f>
        <v/>
      </c>
      <c r="C666" s="58">
        <f>IF($H666="","",IFERROR(MID($H666&amp;" ",FIND("|",SUBSTITUTE($H666&amp;" "," ","|",1))+1,FIND("|",SUBSTITUTE($H666&amp;" "," ","|",2))-FIND("|",SUBSTITUTE($H666&amp;" "," ","|",1))-1),""))</f>
        <v/>
      </c>
      <c r="D666" s="58">
        <f>IF($H666="","",IFERROR(MID($H666&amp;" ",FIND("|",SUBSTITUTE($H666&amp;" "," ","|",2))+1,FIND("|",SUBSTITUTE($H666&amp;" "," ","|",3))-FIND("|",SUBSTITUTE($H666&amp;" "," ","|",2))-1),""))</f>
        <v/>
      </c>
      <c r="E666" s="58">
        <f>IF($H666="","",IFERROR(MID($H666&amp;" ",FIND("|",SUBSTITUTE($H666&amp;" "," ","|",3))+1,FIND("|",SUBSTITUTE($H666&amp;" "," ","|",4))-FIND("|",SUBSTITUTE($H666&amp;" "," ","|",3))-1),""))</f>
        <v/>
      </c>
      <c r="F666" s="59">
        <f>IF($H666="","",IFERROR(VALUE(IFERROR(MID($H666&amp;" ",FIND("|",SUBSTITUTE($H666&amp;" "," ","|",4))+1,FIND("|",SUBSTITUTE($H666&amp;" "," ","|",5))-FIND("|",SUBSTITUTE($H666&amp;" "," ","|",4))-1),""))/86400+25569+9/24,""))</f>
        <v/>
      </c>
      <c r="G666" s="58">
        <f>TRIM(SUBSTITUTE(SUBSTITUTE(SUBSTITUTE($A666,CHAR(9)," ")," "," "),CHAR(13),""))</f>
        <v/>
      </c>
      <c r="H666" s="58">
        <f>IF($G666="","",IF(ISNUMBER(FIND(" ",$G666)),$G666,IFERROR(IF((LEN(SUBSTITUTE(SUBSTITUTE($G666,"-"," ",LEN($G666)-LEN(SUBSTITUTE($G666,"-",""))),"-"," ",LEN($G666)-LEN(SUBSTITUTE($G666,"-",""))-1))-LEN(SUBSTITUTE(SUBSTITUTE(SUBSTITUTE($G666,"-"," ",LEN($G666)-LEN(SUBSTITUTE($G666,"-",""))),"-"," ",LEN($G666)-LEN(SUBSTITUTE($G666,"-",""))-1),".","")))=0,SUBSTITUTE(SUBSTITUTE($G666,"-"," ",LEN($G666)-LEN(SUBSTITUTE($G666,"-",""))),"-"," ",LEN($G666)-LEN(SUBSTITUTE($G666,"-",""))-1),SUBSTITUTE(SUBSTITUTE(SUBSTITUTE($G666,"-"," ",LEN($G666)-LEN(SUBSTITUTE($G666,"-",""))),"-"," ",LEN($G666)-LEN(SUBSTITUTE($G666,"-",""))-1),"."," ",(LEN(SUBSTITUTE(SUBSTITUTE($G666,"-"," ",LEN($G666)-LEN(SUBSTITUTE($G666,"-",""))),"-"," ",LEN($G666)-LEN(SUBSTITUTE($G666,"-",""))-1))-LEN(SUBSTITUTE(SUBSTITUTE(SUBSTITUTE($G666,"-"," ",LEN($G666)-LEN(SUBSTITUTE($G666,"-",""))),"-"," ",LEN($G666)-LEN(SUBSTITUTE($G666,"-",""))-1),".",""))))),$G666)))</f>
        <v/>
      </c>
    </row>
    <row r="667">
      <c r="A667" s="58" t="n"/>
      <c r="B667" s="58">
        <f>IF($H667="","",LEFT($H667,FIND(" ",$H667&amp;" ")-1))</f>
        <v/>
      </c>
      <c r="C667" s="58">
        <f>IF($H667="","",IFERROR(MID($H667&amp;" ",FIND("|",SUBSTITUTE($H667&amp;" "," ","|",1))+1,FIND("|",SUBSTITUTE($H667&amp;" "," ","|",2))-FIND("|",SUBSTITUTE($H667&amp;" "," ","|",1))-1),""))</f>
        <v/>
      </c>
      <c r="D667" s="58">
        <f>IF($H667="","",IFERROR(MID($H667&amp;" ",FIND("|",SUBSTITUTE($H667&amp;" "," ","|",2))+1,FIND("|",SUBSTITUTE($H667&amp;" "," ","|",3))-FIND("|",SUBSTITUTE($H667&amp;" "," ","|",2))-1),""))</f>
        <v/>
      </c>
      <c r="E667" s="58">
        <f>IF($H667="","",IFERROR(MID($H667&amp;" ",FIND("|",SUBSTITUTE($H667&amp;" "," ","|",3))+1,FIND("|",SUBSTITUTE($H667&amp;" "," ","|",4))-FIND("|",SUBSTITUTE($H667&amp;" "," ","|",3))-1),""))</f>
        <v/>
      </c>
      <c r="F667" s="59">
        <f>IF($H667="","",IFERROR(VALUE(IFERROR(MID($H667&amp;" ",FIND("|",SUBSTITUTE($H667&amp;" "," ","|",4))+1,FIND("|",SUBSTITUTE($H667&amp;" "," ","|",5))-FIND("|",SUBSTITUTE($H667&amp;" "," ","|",4))-1),""))/86400+25569+9/24,""))</f>
        <v/>
      </c>
      <c r="G667" s="58">
        <f>TRIM(SUBSTITUTE(SUBSTITUTE(SUBSTITUTE($A667,CHAR(9)," ")," "," "),CHAR(13),""))</f>
        <v/>
      </c>
      <c r="H667" s="58">
        <f>IF($G667="","",IF(ISNUMBER(FIND(" ",$G667)),$G667,IFERROR(IF((LEN(SUBSTITUTE(SUBSTITUTE($G667,"-"," ",LEN($G667)-LEN(SUBSTITUTE($G667,"-",""))),"-"," ",LEN($G667)-LEN(SUBSTITUTE($G667,"-",""))-1))-LEN(SUBSTITUTE(SUBSTITUTE(SUBSTITUTE($G667,"-"," ",LEN($G667)-LEN(SUBSTITUTE($G667,"-",""))),"-"," ",LEN($G667)-LEN(SUBSTITUTE($G667,"-",""))-1),".","")))=0,SUBSTITUTE(SUBSTITUTE($G667,"-"," ",LEN($G667)-LEN(SUBSTITUTE($G667,"-",""))),"-"," ",LEN($G667)-LEN(SUBSTITUTE($G667,"-",""))-1),SUBSTITUTE(SUBSTITUTE(SUBSTITUTE($G667,"-"," ",LEN($G667)-LEN(SUBSTITUTE($G667,"-",""))),"-"," ",LEN($G667)-LEN(SUBSTITUTE($G667,"-",""))-1),"."," ",(LEN(SUBSTITUTE(SUBSTITUTE($G667,"-"," ",LEN($G667)-LEN(SUBSTITUTE($G667,"-",""))),"-"," ",LEN($G667)-LEN(SUBSTITUTE($G667,"-",""))-1))-LEN(SUBSTITUTE(SUBSTITUTE(SUBSTITUTE($G667,"-"," ",LEN($G667)-LEN(SUBSTITUTE($G667,"-",""))),"-"," ",LEN($G667)-LEN(SUBSTITUTE($G667,"-",""))-1),".",""))))),$G667)))</f>
        <v/>
      </c>
    </row>
    <row r="668">
      <c r="A668" s="58" t="n"/>
      <c r="B668" s="58">
        <f>IF($H668="","",LEFT($H668,FIND(" ",$H668&amp;" ")-1))</f>
        <v/>
      </c>
      <c r="C668" s="58">
        <f>IF($H668="","",IFERROR(MID($H668&amp;" ",FIND("|",SUBSTITUTE($H668&amp;" "," ","|",1))+1,FIND("|",SUBSTITUTE($H668&amp;" "," ","|",2))-FIND("|",SUBSTITUTE($H668&amp;" "," ","|",1))-1),""))</f>
        <v/>
      </c>
      <c r="D668" s="58">
        <f>IF($H668="","",IFERROR(MID($H668&amp;" ",FIND("|",SUBSTITUTE($H668&amp;" "," ","|",2))+1,FIND("|",SUBSTITUTE($H668&amp;" "," ","|",3))-FIND("|",SUBSTITUTE($H668&amp;" "," ","|",2))-1),""))</f>
        <v/>
      </c>
      <c r="E668" s="58">
        <f>IF($H668="","",IFERROR(MID($H668&amp;" ",FIND("|",SUBSTITUTE($H668&amp;" "," ","|",3))+1,FIND("|",SUBSTITUTE($H668&amp;" "," ","|",4))-FIND("|",SUBSTITUTE($H668&amp;" "," ","|",3))-1),""))</f>
        <v/>
      </c>
      <c r="F668" s="59">
        <f>IF($H668="","",IFERROR(VALUE(IFERROR(MID($H668&amp;" ",FIND("|",SUBSTITUTE($H668&amp;" "," ","|",4))+1,FIND("|",SUBSTITUTE($H668&amp;" "," ","|",5))-FIND("|",SUBSTITUTE($H668&amp;" "," ","|",4))-1),""))/86400+25569+9/24,""))</f>
        <v/>
      </c>
      <c r="G668" s="58">
        <f>TRIM(SUBSTITUTE(SUBSTITUTE(SUBSTITUTE($A668,CHAR(9)," ")," "," "),CHAR(13),""))</f>
        <v/>
      </c>
      <c r="H668" s="58">
        <f>IF($G668="","",IF(ISNUMBER(FIND(" ",$G668)),$G668,IFERROR(IF((LEN(SUBSTITUTE(SUBSTITUTE($G668,"-"," ",LEN($G668)-LEN(SUBSTITUTE($G668,"-",""))),"-"," ",LEN($G668)-LEN(SUBSTITUTE($G668,"-",""))-1))-LEN(SUBSTITUTE(SUBSTITUTE(SUBSTITUTE($G668,"-"," ",LEN($G668)-LEN(SUBSTITUTE($G668,"-",""))),"-"," ",LEN($G668)-LEN(SUBSTITUTE($G668,"-",""))-1),".","")))=0,SUBSTITUTE(SUBSTITUTE($G668,"-"," ",LEN($G668)-LEN(SUBSTITUTE($G668,"-",""))),"-"," ",LEN($G668)-LEN(SUBSTITUTE($G668,"-",""))-1),SUBSTITUTE(SUBSTITUTE(SUBSTITUTE($G668,"-"," ",LEN($G668)-LEN(SUBSTITUTE($G668,"-",""))),"-"," ",LEN($G668)-LEN(SUBSTITUTE($G668,"-",""))-1),"."," ",(LEN(SUBSTITUTE(SUBSTITUTE($G668,"-"," ",LEN($G668)-LEN(SUBSTITUTE($G668,"-",""))),"-"," ",LEN($G668)-LEN(SUBSTITUTE($G668,"-",""))-1))-LEN(SUBSTITUTE(SUBSTITUTE(SUBSTITUTE($G668,"-"," ",LEN($G668)-LEN(SUBSTITUTE($G668,"-",""))),"-"," ",LEN($G668)-LEN(SUBSTITUTE($G668,"-",""))-1),".",""))))),$G668)))</f>
        <v/>
      </c>
    </row>
    <row r="669">
      <c r="A669" s="58" t="n"/>
      <c r="B669" s="58">
        <f>IF($H669="","",LEFT($H669,FIND(" ",$H669&amp;" ")-1))</f>
        <v/>
      </c>
      <c r="C669" s="58">
        <f>IF($H669="","",IFERROR(MID($H669&amp;" ",FIND("|",SUBSTITUTE($H669&amp;" "," ","|",1))+1,FIND("|",SUBSTITUTE($H669&amp;" "," ","|",2))-FIND("|",SUBSTITUTE($H669&amp;" "," ","|",1))-1),""))</f>
        <v/>
      </c>
      <c r="D669" s="58">
        <f>IF($H669="","",IFERROR(MID($H669&amp;" ",FIND("|",SUBSTITUTE($H669&amp;" "," ","|",2))+1,FIND("|",SUBSTITUTE($H669&amp;" "," ","|",3))-FIND("|",SUBSTITUTE($H669&amp;" "," ","|",2))-1),""))</f>
        <v/>
      </c>
      <c r="E669" s="58">
        <f>IF($H669="","",IFERROR(MID($H669&amp;" ",FIND("|",SUBSTITUTE($H669&amp;" "," ","|",3))+1,FIND("|",SUBSTITUTE($H669&amp;" "," ","|",4))-FIND("|",SUBSTITUTE($H669&amp;" "," ","|",3))-1),""))</f>
        <v/>
      </c>
      <c r="F669" s="59">
        <f>IF($H669="","",IFERROR(VALUE(IFERROR(MID($H669&amp;" ",FIND("|",SUBSTITUTE($H669&amp;" "," ","|",4))+1,FIND("|",SUBSTITUTE($H669&amp;" "," ","|",5))-FIND("|",SUBSTITUTE($H669&amp;" "," ","|",4))-1),""))/86400+25569+9/24,""))</f>
        <v/>
      </c>
      <c r="G669" s="58">
        <f>TRIM(SUBSTITUTE(SUBSTITUTE(SUBSTITUTE($A669,CHAR(9)," ")," "," "),CHAR(13),""))</f>
        <v/>
      </c>
      <c r="H669" s="58">
        <f>IF($G669="","",IF(ISNUMBER(FIND(" ",$G669)),$G669,IFERROR(IF((LEN(SUBSTITUTE(SUBSTITUTE($G669,"-"," ",LEN($G669)-LEN(SUBSTITUTE($G669,"-",""))),"-"," ",LEN($G669)-LEN(SUBSTITUTE($G669,"-",""))-1))-LEN(SUBSTITUTE(SUBSTITUTE(SUBSTITUTE($G669,"-"," ",LEN($G669)-LEN(SUBSTITUTE($G669,"-",""))),"-"," ",LEN($G669)-LEN(SUBSTITUTE($G669,"-",""))-1),".","")))=0,SUBSTITUTE(SUBSTITUTE($G669,"-"," ",LEN($G669)-LEN(SUBSTITUTE($G669,"-",""))),"-"," ",LEN($G669)-LEN(SUBSTITUTE($G669,"-",""))-1),SUBSTITUTE(SUBSTITUTE(SUBSTITUTE($G669,"-"," ",LEN($G669)-LEN(SUBSTITUTE($G669,"-",""))),"-"," ",LEN($G669)-LEN(SUBSTITUTE($G669,"-",""))-1),"."," ",(LEN(SUBSTITUTE(SUBSTITUTE($G669,"-"," ",LEN($G669)-LEN(SUBSTITUTE($G669,"-",""))),"-"," ",LEN($G669)-LEN(SUBSTITUTE($G669,"-",""))-1))-LEN(SUBSTITUTE(SUBSTITUTE(SUBSTITUTE($G669,"-"," ",LEN($G669)-LEN(SUBSTITUTE($G669,"-",""))),"-"," ",LEN($G669)-LEN(SUBSTITUTE($G669,"-",""))-1),".",""))))),$G669)))</f>
        <v/>
      </c>
    </row>
    <row r="670">
      <c r="A670" s="58" t="n"/>
      <c r="B670" s="58">
        <f>IF($H670="","",LEFT($H670,FIND(" ",$H670&amp;" ")-1))</f>
        <v/>
      </c>
      <c r="C670" s="58">
        <f>IF($H670="","",IFERROR(MID($H670&amp;" ",FIND("|",SUBSTITUTE($H670&amp;" "," ","|",1))+1,FIND("|",SUBSTITUTE($H670&amp;" "," ","|",2))-FIND("|",SUBSTITUTE($H670&amp;" "," ","|",1))-1),""))</f>
        <v/>
      </c>
      <c r="D670" s="58">
        <f>IF($H670="","",IFERROR(MID($H670&amp;" ",FIND("|",SUBSTITUTE($H670&amp;" "," ","|",2))+1,FIND("|",SUBSTITUTE($H670&amp;" "," ","|",3))-FIND("|",SUBSTITUTE($H670&amp;" "," ","|",2))-1),""))</f>
        <v/>
      </c>
      <c r="E670" s="58">
        <f>IF($H670="","",IFERROR(MID($H670&amp;" ",FIND("|",SUBSTITUTE($H670&amp;" "," ","|",3))+1,FIND("|",SUBSTITUTE($H670&amp;" "," ","|",4))-FIND("|",SUBSTITUTE($H670&amp;" "," ","|",3))-1),""))</f>
        <v/>
      </c>
      <c r="F670" s="59">
        <f>IF($H670="","",IFERROR(VALUE(IFERROR(MID($H670&amp;" ",FIND("|",SUBSTITUTE($H670&amp;" "," ","|",4))+1,FIND("|",SUBSTITUTE($H670&amp;" "," ","|",5))-FIND("|",SUBSTITUTE($H670&amp;" "," ","|",4))-1),""))/86400+25569+9/24,""))</f>
        <v/>
      </c>
      <c r="G670" s="58">
        <f>TRIM(SUBSTITUTE(SUBSTITUTE(SUBSTITUTE($A670,CHAR(9)," ")," "," "),CHAR(13),""))</f>
        <v/>
      </c>
      <c r="H670" s="58">
        <f>IF($G670="","",IF(ISNUMBER(FIND(" ",$G670)),$G670,IFERROR(IF((LEN(SUBSTITUTE(SUBSTITUTE($G670,"-"," ",LEN($G670)-LEN(SUBSTITUTE($G670,"-",""))),"-"," ",LEN($G670)-LEN(SUBSTITUTE($G670,"-",""))-1))-LEN(SUBSTITUTE(SUBSTITUTE(SUBSTITUTE($G670,"-"," ",LEN($G670)-LEN(SUBSTITUTE($G670,"-",""))),"-"," ",LEN($G670)-LEN(SUBSTITUTE($G670,"-",""))-1),".","")))=0,SUBSTITUTE(SUBSTITUTE($G670,"-"," ",LEN($G670)-LEN(SUBSTITUTE($G670,"-",""))),"-"," ",LEN($G670)-LEN(SUBSTITUTE($G670,"-",""))-1),SUBSTITUTE(SUBSTITUTE(SUBSTITUTE($G670,"-"," ",LEN($G670)-LEN(SUBSTITUTE($G670,"-",""))),"-"," ",LEN($G670)-LEN(SUBSTITUTE($G670,"-",""))-1),"."," ",(LEN(SUBSTITUTE(SUBSTITUTE($G670,"-"," ",LEN($G670)-LEN(SUBSTITUTE($G670,"-",""))),"-"," ",LEN($G670)-LEN(SUBSTITUTE($G670,"-",""))-1))-LEN(SUBSTITUTE(SUBSTITUTE(SUBSTITUTE($G670,"-"," ",LEN($G670)-LEN(SUBSTITUTE($G670,"-",""))),"-"," ",LEN($G670)-LEN(SUBSTITUTE($G670,"-",""))-1),".",""))))),$G670)))</f>
        <v/>
      </c>
    </row>
    <row r="671">
      <c r="A671" s="58" t="n"/>
      <c r="B671" s="58">
        <f>IF($H671="","",LEFT($H671,FIND(" ",$H671&amp;" ")-1))</f>
        <v/>
      </c>
      <c r="C671" s="58">
        <f>IF($H671="","",IFERROR(MID($H671&amp;" ",FIND("|",SUBSTITUTE($H671&amp;" "," ","|",1))+1,FIND("|",SUBSTITUTE($H671&amp;" "," ","|",2))-FIND("|",SUBSTITUTE($H671&amp;" "," ","|",1))-1),""))</f>
        <v/>
      </c>
      <c r="D671" s="58">
        <f>IF($H671="","",IFERROR(MID($H671&amp;" ",FIND("|",SUBSTITUTE($H671&amp;" "," ","|",2))+1,FIND("|",SUBSTITUTE($H671&amp;" "," ","|",3))-FIND("|",SUBSTITUTE($H671&amp;" "," ","|",2))-1),""))</f>
        <v/>
      </c>
      <c r="E671" s="58">
        <f>IF($H671="","",IFERROR(MID($H671&amp;" ",FIND("|",SUBSTITUTE($H671&amp;" "," ","|",3))+1,FIND("|",SUBSTITUTE($H671&amp;" "," ","|",4))-FIND("|",SUBSTITUTE($H671&amp;" "," ","|",3))-1),""))</f>
        <v/>
      </c>
      <c r="F671" s="59">
        <f>IF($H671="","",IFERROR(VALUE(IFERROR(MID($H671&amp;" ",FIND("|",SUBSTITUTE($H671&amp;" "," ","|",4))+1,FIND("|",SUBSTITUTE($H671&amp;" "," ","|",5))-FIND("|",SUBSTITUTE($H671&amp;" "," ","|",4))-1),""))/86400+25569+9/24,""))</f>
        <v/>
      </c>
      <c r="G671" s="58">
        <f>TRIM(SUBSTITUTE(SUBSTITUTE(SUBSTITUTE($A671,CHAR(9)," ")," "," "),CHAR(13),""))</f>
        <v/>
      </c>
      <c r="H671" s="58">
        <f>IF($G671="","",IF(ISNUMBER(FIND(" ",$G671)),$G671,IFERROR(IF((LEN(SUBSTITUTE(SUBSTITUTE($G671,"-"," ",LEN($G671)-LEN(SUBSTITUTE($G671,"-",""))),"-"," ",LEN($G671)-LEN(SUBSTITUTE($G671,"-",""))-1))-LEN(SUBSTITUTE(SUBSTITUTE(SUBSTITUTE($G671,"-"," ",LEN($G671)-LEN(SUBSTITUTE($G671,"-",""))),"-"," ",LEN($G671)-LEN(SUBSTITUTE($G671,"-",""))-1),".","")))=0,SUBSTITUTE(SUBSTITUTE($G671,"-"," ",LEN($G671)-LEN(SUBSTITUTE($G671,"-",""))),"-"," ",LEN($G671)-LEN(SUBSTITUTE($G671,"-",""))-1),SUBSTITUTE(SUBSTITUTE(SUBSTITUTE($G671,"-"," ",LEN($G671)-LEN(SUBSTITUTE($G671,"-",""))),"-"," ",LEN($G671)-LEN(SUBSTITUTE($G671,"-",""))-1),"."," ",(LEN(SUBSTITUTE(SUBSTITUTE($G671,"-"," ",LEN($G671)-LEN(SUBSTITUTE($G671,"-",""))),"-"," ",LEN($G671)-LEN(SUBSTITUTE($G671,"-",""))-1))-LEN(SUBSTITUTE(SUBSTITUTE(SUBSTITUTE($G671,"-"," ",LEN($G671)-LEN(SUBSTITUTE($G671,"-",""))),"-"," ",LEN($G671)-LEN(SUBSTITUTE($G671,"-",""))-1),".",""))))),$G671)))</f>
        <v/>
      </c>
    </row>
    <row r="672">
      <c r="A672" s="58" t="n"/>
      <c r="B672" s="58">
        <f>IF($H672="","",LEFT($H672,FIND(" ",$H672&amp;" ")-1))</f>
        <v/>
      </c>
      <c r="C672" s="58">
        <f>IF($H672="","",IFERROR(MID($H672&amp;" ",FIND("|",SUBSTITUTE($H672&amp;" "," ","|",1))+1,FIND("|",SUBSTITUTE($H672&amp;" "," ","|",2))-FIND("|",SUBSTITUTE($H672&amp;" "," ","|",1))-1),""))</f>
        <v/>
      </c>
      <c r="D672" s="58">
        <f>IF($H672="","",IFERROR(MID($H672&amp;" ",FIND("|",SUBSTITUTE($H672&amp;" "," ","|",2))+1,FIND("|",SUBSTITUTE($H672&amp;" "," ","|",3))-FIND("|",SUBSTITUTE($H672&amp;" "," ","|",2))-1),""))</f>
        <v/>
      </c>
      <c r="E672" s="58">
        <f>IF($H672="","",IFERROR(MID($H672&amp;" ",FIND("|",SUBSTITUTE($H672&amp;" "," ","|",3))+1,FIND("|",SUBSTITUTE($H672&amp;" "," ","|",4))-FIND("|",SUBSTITUTE($H672&amp;" "," ","|",3))-1),""))</f>
        <v/>
      </c>
      <c r="F672" s="59">
        <f>IF($H672="","",IFERROR(VALUE(IFERROR(MID($H672&amp;" ",FIND("|",SUBSTITUTE($H672&amp;" "," ","|",4))+1,FIND("|",SUBSTITUTE($H672&amp;" "," ","|",5))-FIND("|",SUBSTITUTE($H672&amp;" "," ","|",4))-1),""))/86400+25569+9/24,""))</f>
        <v/>
      </c>
      <c r="G672" s="58">
        <f>TRIM(SUBSTITUTE(SUBSTITUTE(SUBSTITUTE($A672,CHAR(9)," ")," "," "),CHAR(13),""))</f>
        <v/>
      </c>
      <c r="H672" s="58">
        <f>IF($G672="","",IF(ISNUMBER(FIND(" ",$G672)),$G672,IFERROR(IF((LEN(SUBSTITUTE(SUBSTITUTE($G672,"-"," ",LEN($G672)-LEN(SUBSTITUTE($G672,"-",""))),"-"," ",LEN($G672)-LEN(SUBSTITUTE($G672,"-",""))-1))-LEN(SUBSTITUTE(SUBSTITUTE(SUBSTITUTE($G672,"-"," ",LEN($G672)-LEN(SUBSTITUTE($G672,"-",""))),"-"," ",LEN($G672)-LEN(SUBSTITUTE($G672,"-",""))-1),".","")))=0,SUBSTITUTE(SUBSTITUTE($G672,"-"," ",LEN($G672)-LEN(SUBSTITUTE($G672,"-",""))),"-"," ",LEN($G672)-LEN(SUBSTITUTE($G672,"-",""))-1),SUBSTITUTE(SUBSTITUTE(SUBSTITUTE($G672,"-"," ",LEN($G672)-LEN(SUBSTITUTE($G672,"-",""))),"-"," ",LEN($G672)-LEN(SUBSTITUTE($G672,"-",""))-1),"."," ",(LEN(SUBSTITUTE(SUBSTITUTE($G672,"-"," ",LEN($G672)-LEN(SUBSTITUTE($G672,"-",""))),"-"," ",LEN($G672)-LEN(SUBSTITUTE($G672,"-",""))-1))-LEN(SUBSTITUTE(SUBSTITUTE(SUBSTITUTE($G672,"-"," ",LEN($G672)-LEN(SUBSTITUTE($G672,"-",""))),"-"," ",LEN($G672)-LEN(SUBSTITUTE($G672,"-",""))-1),".",""))))),$G672)))</f>
        <v/>
      </c>
    </row>
    <row r="673">
      <c r="A673" s="58" t="n"/>
      <c r="B673" s="58">
        <f>IF($H673="","",LEFT($H673,FIND(" ",$H673&amp;" ")-1))</f>
        <v/>
      </c>
      <c r="C673" s="58">
        <f>IF($H673="","",IFERROR(MID($H673&amp;" ",FIND("|",SUBSTITUTE($H673&amp;" "," ","|",1))+1,FIND("|",SUBSTITUTE($H673&amp;" "," ","|",2))-FIND("|",SUBSTITUTE($H673&amp;" "," ","|",1))-1),""))</f>
        <v/>
      </c>
      <c r="D673" s="58">
        <f>IF($H673="","",IFERROR(MID($H673&amp;" ",FIND("|",SUBSTITUTE($H673&amp;" "," ","|",2))+1,FIND("|",SUBSTITUTE($H673&amp;" "," ","|",3))-FIND("|",SUBSTITUTE($H673&amp;" "," ","|",2))-1),""))</f>
        <v/>
      </c>
      <c r="E673" s="58">
        <f>IF($H673="","",IFERROR(MID($H673&amp;" ",FIND("|",SUBSTITUTE($H673&amp;" "," ","|",3))+1,FIND("|",SUBSTITUTE($H673&amp;" "," ","|",4))-FIND("|",SUBSTITUTE($H673&amp;" "," ","|",3))-1),""))</f>
        <v/>
      </c>
      <c r="F673" s="59">
        <f>IF($H673="","",IFERROR(VALUE(IFERROR(MID($H673&amp;" ",FIND("|",SUBSTITUTE($H673&amp;" "," ","|",4))+1,FIND("|",SUBSTITUTE($H673&amp;" "," ","|",5))-FIND("|",SUBSTITUTE($H673&amp;" "," ","|",4))-1),""))/86400+25569+9/24,""))</f>
        <v/>
      </c>
      <c r="G673" s="58">
        <f>TRIM(SUBSTITUTE(SUBSTITUTE(SUBSTITUTE($A673,CHAR(9)," ")," "," "),CHAR(13),""))</f>
        <v/>
      </c>
      <c r="H673" s="58">
        <f>IF($G673="","",IF(ISNUMBER(FIND(" ",$G673)),$G673,IFERROR(IF((LEN(SUBSTITUTE(SUBSTITUTE($G673,"-"," ",LEN($G673)-LEN(SUBSTITUTE($G673,"-",""))),"-"," ",LEN($G673)-LEN(SUBSTITUTE($G673,"-",""))-1))-LEN(SUBSTITUTE(SUBSTITUTE(SUBSTITUTE($G673,"-"," ",LEN($G673)-LEN(SUBSTITUTE($G673,"-",""))),"-"," ",LEN($G673)-LEN(SUBSTITUTE($G673,"-",""))-1),".","")))=0,SUBSTITUTE(SUBSTITUTE($G673,"-"," ",LEN($G673)-LEN(SUBSTITUTE($G673,"-",""))),"-"," ",LEN($G673)-LEN(SUBSTITUTE($G673,"-",""))-1),SUBSTITUTE(SUBSTITUTE(SUBSTITUTE($G673,"-"," ",LEN($G673)-LEN(SUBSTITUTE($G673,"-",""))),"-"," ",LEN($G673)-LEN(SUBSTITUTE($G673,"-",""))-1),"."," ",(LEN(SUBSTITUTE(SUBSTITUTE($G673,"-"," ",LEN($G673)-LEN(SUBSTITUTE($G673,"-",""))),"-"," ",LEN($G673)-LEN(SUBSTITUTE($G673,"-",""))-1))-LEN(SUBSTITUTE(SUBSTITUTE(SUBSTITUTE($G673,"-"," ",LEN($G673)-LEN(SUBSTITUTE($G673,"-",""))),"-"," ",LEN($G673)-LEN(SUBSTITUTE($G673,"-",""))-1),".",""))))),$G673)))</f>
        <v/>
      </c>
    </row>
    <row r="674">
      <c r="A674" s="58" t="n"/>
      <c r="B674" s="58">
        <f>IF($H674="","",LEFT($H674,FIND(" ",$H674&amp;" ")-1))</f>
        <v/>
      </c>
      <c r="C674" s="58">
        <f>IF($H674="","",IFERROR(MID($H674&amp;" ",FIND("|",SUBSTITUTE($H674&amp;" "," ","|",1))+1,FIND("|",SUBSTITUTE($H674&amp;" "," ","|",2))-FIND("|",SUBSTITUTE($H674&amp;" "," ","|",1))-1),""))</f>
        <v/>
      </c>
      <c r="D674" s="58">
        <f>IF($H674="","",IFERROR(MID($H674&amp;" ",FIND("|",SUBSTITUTE($H674&amp;" "," ","|",2))+1,FIND("|",SUBSTITUTE($H674&amp;" "," ","|",3))-FIND("|",SUBSTITUTE($H674&amp;" "," ","|",2))-1),""))</f>
        <v/>
      </c>
      <c r="E674" s="58">
        <f>IF($H674="","",IFERROR(MID($H674&amp;" ",FIND("|",SUBSTITUTE($H674&amp;" "," ","|",3))+1,FIND("|",SUBSTITUTE($H674&amp;" "," ","|",4))-FIND("|",SUBSTITUTE($H674&amp;" "," ","|",3))-1),""))</f>
        <v/>
      </c>
      <c r="F674" s="59">
        <f>IF($H674="","",IFERROR(VALUE(IFERROR(MID($H674&amp;" ",FIND("|",SUBSTITUTE($H674&amp;" "," ","|",4))+1,FIND("|",SUBSTITUTE($H674&amp;" "," ","|",5))-FIND("|",SUBSTITUTE($H674&amp;" "," ","|",4))-1),""))/86400+25569+9/24,""))</f>
        <v/>
      </c>
      <c r="G674" s="58">
        <f>TRIM(SUBSTITUTE(SUBSTITUTE(SUBSTITUTE($A674,CHAR(9)," ")," "," "),CHAR(13),""))</f>
        <v/>
      </c>
      <c r="H674" s="58">
        <f>IF($G674="","",IF(ISNUMBER(FIND(" ",$G674)),$G674,IFERROR(IF((LEN(SUBSTITUTE(SUBSTITUTE($G674,"-"," ",LEN($G674)-LEN(SUBSTITUTE($G674,"-",""))),"-"," ",LEN($G674)-LEN(SUBSTITUTE($G674,"-",""))-1))-LEN(SUBSTITUTE(SUBSTITUTE(SUBSTITUTE($G674,"-"," ",LEN($G674)-LEN(SUBSTITUTE($G674,"-",""))),"-"," ",LEN($G674)-LEN(SUBSTITUTE($G674,"-",""))-1),".","")))=0,SUBSTITUTE(SUBSTITUTE($G674,"-"," ",LEN($G674)-LEN(SUBSTITUTE($G674,"-",""))),"-"," ",LEN($G674)-LEN(SUBSTITUTE($G674,"-",""))-1),SUBSTITUTE(SUBSTITUTE(SUBSTITUTE($G674,"-"," ",LEN($G674)-LEN(SUBSTITUTE($G674,"-",""))),"-"," ",LEN($G674)-LEN(SUBSTITUTE($G674,"-",""))-1),"."," ",(LEN(SUBSTITUTE(SUBSTITUTE($G674,"-"," ",LEN($G674)-LEN(SUBSTITUTE($G674,"-",""))),"-"," ",LEN($G674)-LEN(SUBSTITUTE($G674,"-",""))-1))-LEN(SUBSTITUTE(SUBSTITUTE(SUBSTITUTE($G674,"-"," ",LEN($G674)-LEN(SUBSTITUTE($G674,"-",""))),"-"," ",LEN($G674)-LEN(SUBSTITUTE($G674,"-",""))-1),".",""))))),$G674)))</f>
        <v/>
      </c>
    </row>
    <row r="675">
      <c r="A675" s="58" t="n"/>
      <c r="B675" s="58">
        <f>IF($H675="","",LEFT($H675,FIND(" ",$H675&amp;" ")-1))</f>
        <v/>
      </c>
      <c r="C675" s="58">
        <f>IF($H675="","",IFERROR(MID($H675&amp;" ",FIND("|",SUBSTITUTE($H675&amp;" "," ","|",1))+1,FIND("|",SUBSTITUTE($H675&amp;" "," ","|",2))-FIND("|",SUBSTITUTE($H675&amp;" "," ","|",1))-1),""))</f>
        <v/>
      </c>
      <c r="D675" s="58">
        <f>IF($H675="","",IFERROR(MID($H675&amp;" ",FIND("|",SUBSTITUTE($H675&amp;" "," ","|",2))+1,FIND("|",SUBSTITUTE($H675&amp;" "," ","|",3))-FIND("|",SUBSTITUTE($H675&amp;" "," ","|",2))-1),""))</f>
        <v/>
      </c>
      <c r="E675" s="58">
        <f>IF($H675="","",IFERROR(MID($H675&amp;" ",FIND("|",SUBSTITUTE($H675&amp;" "," ","|",3))+1,FIND("|",SUBSTITUTE($H675&amp;" "," ","|",4))-FIND("|",SUBSTITUTE($H675&amp;" "," ","|",3))-1),""))</f>
        <v/>
      </c>
      <c r="F675" s="59">
        <f>IF($H675="","",IFERROR(VALUE(IFERROR(MID($H675&amp;" ",FIND("|",SUBSTITUTE($H675&amp;" "," ","|",4))+1,FIND("|",SUBSTITUTE($H675&amp;" "," ","|",5))-FIND("|",SUBSTITUTE($H675&amp;" "," ","|",4))-1),""))/86400+25569+9/24,""))</f>
        <v/>
      </c>
      <c r="G675" s="58">
        <f>TRIM(SUBSTITUTE(SUBSTITUTE(SUBSTITUTE($A675,CHAR(9)," ")," "," "),CHAR(13),""))</f>
        <v/>
      </c>
      <c r="H675" s="58">
        <f>IF($G675="","",IF(ISNUMBER(FIND(" ",$G675)),$G675,IFERROR(IF((LEN(SUBSTITUTE(SUBSTITUTE($G675,"-"," ",LEN($G675)-LEN(SUBSTITUTE($G675,"-",""))),"-"," ",LEN($G675)-LEN(SUBSTITUTE($G675,"-",""))-1))-LEN(SUBSTITUTE(SUBSTITUTE(SUBSTITUTE($G675,"-"," ",LEN($G675)-LEN(SUBSTITUTE($G675,"-",""))),"-"," ",LEN($G675)-LEN(SUBSTITUTE($G675,"-",""))-1),".","")))=0,SUBSTITUTE(SUBSTITUTE($G675,"-"," ",LEN($G675)-LEN(SUBSTITUTE($G675,"-",""))),"-"," ",LEN($G675)-LEN(SUBSTITUTE($G675,"-",""))-1),SUBSTITUTE(SUBSTITUTE(SUBSTITUTE($G675,"-"," ",LEN($G675)-LEN(SUBSTITUTE($G675,"-",""))),"-"," ",LEN($G675)-LEN(SUBSTITUTE($G675,"-",""))-1),"."," ",(LEN(SUBSTITUTE(SUBSTITUTE($G675,"-"," ",LEN($G675)-LEN(SUBSTITUTE($G675,"-",""))),"-"," ",LEN($G675)-LEN(SUBSTITUTE($G675,"-",""))-1))-LEN(SUBSTITUTE(SUBSTITUTE(SUBSTITUTE($G675,"-"," ",LEN($G675)-LEN(SUBSTITUTE($G675,"-",""))),"-"," ",LEN($G675)-LEN(SUBSTITUTE($G675,"-",""))-1),".",""))))),$G675)))</f>
        <v/>
      </c>
    </row>
    <row r="676">
      <c r="A676" s="58" t="n"/>
      <c r="B676" s="58">
        <f>IF($H676="","",LEFT($H676,FIND(" ",$H676&amp;" ")-1))</f>
        <v/>
      </c>
      <c r="C676" s="58">
        <f>IF($H676="","",IFERROR(MID($H676&amp;" ",FIND("|",SUBSTITUTE($H676&amp;" "," ","|",1))+1,FIND("|",SUBSTITUTE($H676&amp;" "," ","|",2))-FIND("|",SUBSTITUTE($H676&amp;" "," ","|",1))-1),""))</f>
        <v/>
      </c>
      <c r="D676" s="58">
        <f>IF($H676="","",IFERROR(MID($H676&amp;" ",FIND("|",SUBSTITUTE($H676&amp;" "," ","|",2))+1,FIND("|",SUBSTITUTE($H676&amp;" "," ","|",3))-FIND("|",SUBSTITUTE($H676&amp;" "," ","|",2))-1),""))</f>
        <v/>
      </c>
      <c r="E676" s="58">
        <f>IF($H676="","",IFERROR(MID($H676&amp;" ",FIND("|",SUBSTITUTE($H676&amp;" "," ","|",3))+1,FIND("|",SUBSTITUTE($H676&amp;" "," ","|",4))-FIND("|",SUBSTITUTE($H676&amp;" "," ","|",3))-1),""))</f>
        <v/>
      </c>
      <c r="F676" s="59">
        <f>IF($H676="","",IFERROR(VALUE(IFERROR(MID($H676&amp;" ",FIND("|",SUBSTITUTE($H676&amp;" "," ","|",4))+1,FIND("|",SUBSTITUTE($H676&amp;" "," ","|",5))-FIND("|",SUBSTITUTE($H676&amp;" "," ","|",4))-1),""))/86400+25569+9/24,""))</f>
        <v/>
      </c>
      <c r="G676" s="58">
        <f>TRIM(SUBSTITUTE(SUBSTITUTE(SUBSTITUTE($A676,CHAR(9)," ")," "," "),CHAR(13),""))</f>
        <v/>
      </c>
      <c r="H676" s="58">
        <f>IF($G676="","",IF(ISNUMBER(FIND(" ",$G676)),$G676,IFERROR(IF((LEN(SUBSTITUTE(SUBSTITUTE($G676,"-"," ",LEN($G676)-LEN(SUBSTITUTE($G676,"-",""))),"-"," ",LEN($G676)-LEN(SUBSTITUTE($G676,"-",""))-1))-LEN(SUBSTITUTE(SUBSTITUTE(SUBSTITUTE($G676,"-"," ",LEN($G676)-LEN(SUBSTITUTE($G676,"-",""))),"-"," ",LEN($G676)-LEN(SUBSTITUTE($G676,"-",""))-1),".","")))=0,SUBSTITUTE(SUBSTITUTE($G676,"-"," ",LEN($G676)-LEN(SUBSTITUTE($G676,"-",""))),"-"," ",LEN($G676)-LEN(SUBSTITUTE($G676,"-",""))-1),SUBSTITUTE(SUBSTITUTE(SUBSTITUTE($G676,"-"," ",LEN($G676)-LEN(SUBSTITUTE($G676,"-",""))),"-"," ",LEN($G676)-LEN(SUBSTITUTE($G676,"-",""))-1),"."," ",(LEN(SUBSTITUTE(SUBSTITUTE($G676,"-"," ",LEN($G676)-LEN(SUBSTITUTE($G676,"-",""))),"-"," ",LEN($G676)-LEN(SUBSTITUTE($G676,"-",""))-1))-LEN(SUBSTITUTE(SUBSTITUTE(SUBSTITUTE($G676,"-"," ",LEN($G676)-LEN(SUBSTITUTE($G676,"-",""))),"-"," ",LEN($G676)-LEN(SUBSTITUTE($G676,"-",""))-1),".",""))))),$G676)))</f>
        <v/>
      </c>
    </row>
    <row r="677">
      <c r="A677" s="58" t="n"/>
      <c r="B677" s="58">
        <f>IF($H677="","",LEFT($H677,FIND(" ",$H677&amp;" ")-1))</f>
        <v/>
      </c>
      <c r="C677" s="58">
        <f>IF($H677="","",IFERROR(MID($H677&amp;" ",FIND("|",SUBSTITUTE($H677&amp;" "," ","|",1))+1,FIND("|",SUBSTITUTE($H677&amp;" "," ","|",2))-FIND("|",SUBSTITUTE($H677&amp;" "," ","|",1))-1),""))</f>
        <v/>
      </c>
      <c r="D677" s="58">
        <f>IF($H677="","",IFERROR(MID($H677&amp;" ",FIND("|",SUBSTITUTE($H677&amp;" "," ","|",2))+1,FIND("|",SUBSTITUTE($H677&amp;" "," ","|",3))-FIND("|",SUBSTITUTE($H677&amp;" "," ","|",2))-1),""))</f>
        <v/>
      </c>
      <c r="E677" s="58">
        <f>IF($H677="","",IFERROR(MID($H677&amp;" ",FIND("|",SUBSTITUTE($H677&amp;" "," ","|",3))+1,FIND("|",SUBSTITUTE($H677&amp;" "," ","|",4))-FIND("|",SUBSTITUTE($H677&amp;" "," ","|",3))-1),""))</f>
        <v/>
      </c>
      <c r="F677" s="59">
        <f>IF($H677="","",IFERROR(VALUE(IFERROR(MID($H677&amp;" ",FIND("|",SUBSTITUTE($H677&amp;" "," ","|",4))+1,FIND("|",SUBSTITUTE($H677&amp;" "," ","|",5))-FIND("|",SUBSTITUTE($H677&amp;" "," ","|",4))-1),""))/86400+25569+9/24,""))</f>
        <v/>
      </c>
      <c r="G677" s="58">
        <f>TRIM(SUBSTITUTE(SUBSTITUTE(SUBSTITUTE($A677,CHAR(9)," ")," "," "),CHAR(13),""))</f>
        <v/>
      </c>
      <c r="H677" s="58">
        <f>IF($G677="","",IF(ISNUMBER(FIND(" ",$G677)),$G677,IFERROR(IF((LEN(SUBSTITUTE(SUBSTITUTE($G677,"-"," ",LEN($G677)-LEN(SUBSTITUTE($G677,"-",""))),"-"," ",LEN($G677)-LEN(SUBSTITUTE($G677,"-",""))-1))-LEN(SUBSTITUTE(SUBSTITUTE(SUBSTITUTE($G677,"-"," ",LEN($G677)-LEN(SUBSTITUTE($G677,"-",""))),"-"," ",LEN($G677)-LEN(SUBSTITUTE($G677,"-",""))-1),".","")))=0,SUBSTITUTE(SUBSTITUTE($G677,"-"," ",LEN($G677)-LEN(SUBSTITUTE($G677,"-",""))),"-"," ",LEN($G677)-LEN(SUBSTITUTE($G677,"-",""))-1),SUBSTITUTE(SUBSTITUTE(SUBSTITUTE($G677,"-"," ",LEN($G677)-LEN(SUBSTITUTE($G677,"-",""))),"-"," ",LEN($G677)-LEN(SUBSTITUTE($G677,"-",""))-1),"."," ",(LEN(SUBSTITUTE(SUBSTITUTE($G677,"-"," ",LEN($G677)-LEN(SUBSTITUTE($G677,"-",""))),"-"," ",LEN($G677)-LEN(SUBSTITUTE($G677,"-",""))-1))-LEN(SUBSTITUTE(SUBSTITUTE(SUBSTITUTE($G677,"-"," ",LEN($G677)-LEN(SUBSTITUTE($G677,"-",""))),"-"," ",LEN($G677)-LEN(SUBSTITUTE($G677,"-",""))-1),".",""))))),$G677)))</f>
        <v/>
      </c>
    </row>
    <row r="678">
      <c r="A678" s="58" t="n"/>
      <c r="B678" s="58">
        <f>IF($H678="","",LEFT($H678,FIND(" ",$H678&amp;" ")-1))</f>
        <v/>
      </c>
      <c r="C678" s="58">
        <f>IF($H678="","",IFERROR(MID($H678&amp;" ",FIND("|",SUBSTITUTE($H678&amp;" "," ","|",1))+1,FIND("|",SUBSTITUTE($H678&amp;" "," ","|",2))-FIND("|",SUBSTITUTE($H678&amp;" "," ","|",1))-1),""))</f>
        <v/>
      </c>
      <c r="D678" s="58">
        <f>IF($H678="","",IFERROR(MID($H678&amp;" ",FIND("|",SUBSTITUTE($H678&amp;" "," ","|",2))+1,FIND("|",SUBSTITUTE($H678&amp;" "," ","|",3))-FIND("|",SUBSTITUTE($H678&amp;" "," ","|",2))-1),""))</f>
        <v/>
      </c>
      <c r="E678" s="58">
        <f>IF($H678="","",IFERROR(MID($H678&amp;" ",FIND("|",SUBSTITUTE($H678&amp;" "," ","|",3))+1,FIND("|",SUBSTITUTE($H678&amp;" "," ","|",4))-FIND("|",SUBSTITUTE($H678&amp;" "," ","|",3))-1),""))</f>
        <v/>
      </c>
      <c r="F678" s="59">
        <f>IF($H678="","",IFERROR(VALUE(IFERROR(MID($H678&amp;" ",FIND("|",SUBSTITUTE($H678&amp;" "," ","|",4))+1,FIND("|",SUBSTITUTE($H678&amp;" "," ","|",5))-FIND("|",SUBSTITUTE($H678&amp;" "," ","|",4))-1),""))/86400+25569+9/24,""))</f>
        <v/>
      </c>
      <c r="G678" s="58">
        <f>TRIM(SUBSTITUTE(SUBSTITUTE(SUBSTITUTE($A678,CHAR(9)," ")," "," "),CHAR(13),""))</f>
        <v/>
      </c>
      <c r="H678" s="58">
        <f>IF($G678="","",IF(ISNUMBER(FIND(" ",$G678)),$G678,IFERROR(IF((LEN(SUBSTITUTE(SUBSTITUTE($G678,"-"," ",LEN($G678)-LEN(SUBSTITUTE($G678,"-",""))),"-"," ",LEN($G678)-LEN(SUBSTITUTE($G678,"-",""))-1))-LEN(SUBSTITUTE(SUBSTITUTE(SUBSTITUTE($G678,"-"," ",LEN($G678)-LEN(SUBSTITUTE($G678,"-",""))),"-"," ",LEN($G678)-LEN(SUBSTITUTE($G678,"-",""))-1),".","")))=0,SUBSTITUTE(SUBSTITUTE($G678,"-"," ",LEN($G678)-LEN(SUBSTITUTE($G678,"-",""))),"-"," ",LEN($G678)-LEN(SUBSTITUTE($G678,"-",""))-1),SUBSTITUTE(SUBSTITUTE(SUBSTITUTE($G678,"-"," ",LEN($G678)-LEN(SUBSTITUTE($G678,"-",""))),"-"," ",LEN($G678)-LEN(SUBSTITUTE($G678,"-",""))-1),"."," ",(LEN(SUBSTITUTE(SUBSTITUTE($G678,"-"," ",LEN($G678)-LEN(SUBSTITUTE($G678,"-",""))),"-"," ",LEN($G678)-LEN(SUBSTITUTE($G678,"-",""))-1))-LEN(SUBSTITUTE(SUBSTITUTE(SUBSTITUTE($G678,"-"," ",LEN($G678)-LEN(SUBSTITUTE($G678,"-",""))),"-"," ",LEN($G678)-LEN(SUBSTITUTE($G678,"-",""))-1),".",""))))),$G678)))</f>
        <v/>
      </c>
    </row>
    <row r="679">
      <c r="A679" s="58" t="n"/>
      <c r="B679" s="58">
        <f>IF($H679="","",LEFT($H679,FIND(" ",$H679&amp;" ")-1))</f>
        <v/>
      </c>
      <c r="C679" s="58">
        <f>IF($H679="","",IFERROR(MID($H679&amp;" ",FIND("|",SUBSTITUTE($H679&amp;" "," ","|",1))+1,FIND("|",SUBSTITUTE($H679&amp;" "," ","|",2))-FIND("|",SUBSTITUTE($H679&amp;" "," ","|",1))-1),""))</f>
        <v/>
      </c>
      <c r="D679" s="58">
        <f>IF($H679="","",IFERROR(MID($H679&amp;" ",FIND("|",SUBSTITUTE($H679&amp;" "," ","|",2))+1,FIND("|",SUBSTITUTE($H679&amp;" "," ","|",3))-FIND("|",SUBSTITUTE($H679&amp;" "," ","|",2))-1),""))</f>
        <v/>
      </c>
      <c r="E679" s="58">
        <f>IF($H679="","",IFERROR(MID($H679&amp;" ",FIND("|",SUBSTITUTE($H679&amp;" "," ","|",3))+1,FIND("|",SUBSTITUTE($H679&amp;" "," ","|",4))-FIND("|",SUBSTITUTE($H679&amp;" "," ","|",3))-1),""))</f>
        <v/>
      </c>
      <c r="F679" s="59">
        <f>IF($H679="","",IFERROR(VALUE(IFERROR(MID($H679&amp;" ",FIND("|",SUBSTITUTE($H679&amp;" "," ","|",4))+1,FIND("|",SUBSTITUTE($H679&amp;" "," ","|",5))-FIND("|",SUBSTITUTE($H679&amp;" "," ","|",4))-1),""))/86400+25569+9/24,""))</f>
        <v/>
      </c>
      <c r="G679" s="58">
        <f>TRIM(SUBSTITUTE(SUBSTITUTE(SUBSTITUTE($A679,CHAR(9)," ")," "," "),CHAR(13),""))</f>
        <v/>
      </c>
      <c r="H679" s="58">
        <f>IF($G679="","",IF(ISNUMBER(FIND(" ",$G679)),$G679,IFERROR(IF((LEN(SUBSTITUTE(SUBSTITUTE($G679,"-"," ",LEN($G679)-LEN(SUBSTITUTE($G679,"-",""))),"-"," ",LEN($G679)-LEN(SUBSTITUTE($G679,"-",""))-1))-LEN(SUBSTITUTE(SUBSTITUTE(SUBSTITUTE($G679,"-"," ",LEN($G679)-LEN(SUBSTITUTE($G679,"-",""))),"-"," ",LEN($G679)-LEN(SUBSTITUTE($G679,"-",""))-1),".","")))=0,SUBSTITUTE(SUBSTITUTE($G679,"-"," ",LEN($G679)-LEN(SUBSTITUTE($G679,"-",""))),"-"," ",LEN($G679)-LEN(SUBSTITUTE($G679,"-",""))-1),SUBSTITUTE(SUBSTITUTE(SUBSTITUTE($G679,"-"," ",LEN($G679)-LEN(SUBSTITUTE($G679,"-",""))),"-"," ",LEN($G679)-LEN(SUBSTITUTE($G679,"-",""))-1),"."," ",(LEN(SUBSTITUTE(SUBSTITUTE($G679,"-"," ",LEN($G679)-LEN(SUBSTITUTE($G679,"-",""))),"-"," ",LEN($G679)-LEN(SUBSTITUTE($G679,"-",""))-1))-LEN(SUBSTITUTE(SUBSTITUTE(SUBSTITUTE($G679,"-"," ",LEN($G679)-LEN(SUBSTITUTE($G679,"-",""))),"-"," ",LEN($G679)-LEN(SUBSTITUTE($G679,"-",""))-1),".",""))))),$G679)))</f>
        <v/>
      </c>
    </row>
    <row r="680">
      <c r="A680" s="58" t="n"/>
      <c r="B680" s="58">
        <f>IF($H680="","",LEFT($H680,FIND(" ",$H680&amp;" ")-1))</f>
        <v/>
      </c>
      <c r="C680" s="58">
        <f>IF($H680="","",IFERROR(MID($H680&amp;" ",FIND("|",SUBSTITUTE($H680&amp;" "," ","|",1))+1,FIND("|",SUBSTITUTE($H680&amp;" "," ","|",2))-FIND("|",SUBSTITUTE($H680&amp;" "," ","|",1))-1),""))</f>
        <v/>
      </c>
      <c r="D680" s="58">
        <f>IF($H680="","",IFERROR(MID($H680&amp;" ",FIND("|",SUBSTITUTE($H680&amp;" "," ","|",2))+1,FIND("|",SUBSTITUTE($H680&amp;" "," ","|",3))-FIND("|",SUBSTITUTE($H680&amp;" "," ","|",2))-1),""))</f>
        <v/>
      </c>
      <c r="E680" s="58">
        <f>IF($H680="","",IFERROR(MID($H680&amp;" ",FIND("|",SUBSTITUTE($H680&amp;" "," ","|",3))+1,FIND("|",SUBSTITUTE($H680&amp;" "," ","|",4))-FIND("|",SUBSTITUTE($H680&amp;" "," ","|",3))-1),""))</f>
        <v/>
      </c>
      <c r="F680" s="59">
        <f>IF($H680="","",IFERROR(VALUE(IFERROR(MID($H680&amp;" ",FIND("|",SUBSTITUTE($H680&amp;" "," ","|",4))+1,FIND("|",SUBSTITUTE($H680&amp;" "," ","|",5))-FIND("|",SUBSTITUTE($H680&amp;" "," ","|",4))-1),""))/86400+25569+9/24,""))</f>
        <v/>
      </c>
      <c r="G680" s="58">
        <f>TRIM(SUBSTITUTE(SUBSTITUTE(SUBSTITUTE($A680,CHAR(9)," ")," "," "),CHAR(13),""))</f>
        <v/>
      </c>
      <c r="H680" s="58">
        <f>IF($G680="","",IF(ISNUMBER(FIND(" ",$G680)),$G680,IFERROR(IF((LEN(SUBSTITUTE(SUBSTITUTE($G680,"-"," ",LEN($G680)-LEN(SUBSTITUTE($G680,"-",""))),"-"," ",LEN($G680)-LEN(SUBSTITUTE($G680,"-",""))-1))-LEN(SUBSTITUTE(SUBSTITUTE(SUBSTITUTE($G680,"-"," ",LEN($G680)-LEN(SUBSTITUTE($G680,"-",""))),"-"," ",LEN($G680)-LEN(SUBSTITUTE($G680,"-",""))-1),".","")))=0,SUBSTITUTE(SUBSTITUTE($G680,"-"," ",LEN($G680)-LEN(SUBSTITUTE($G680,"-",""))),"-"," ",LEN($G680)-LEN(SUBSTITUTE($G680,"-",""))-1),SUBSTITUTE(SUBSTITUTE(SUBSTITUTE($G680,"-"," ",LEN($G680)-LEN(SUBSTITUTE($G680,"-",""))),"-"," ",LEN($G680)-LEN(SUBSTITUTE($G680,"-",""))-1),"."," ",(LEN(SUBSTITUTE(SUBSTITUTE($G680,"-"," ",LEN($G680)-LEN(SUBSTITUTE($G680,"-",""))),"-"," ",LEN($G680)-LEN(SUBSTITUTE($G680,"-",""))-1))-LEN(SUBSTITUTE(SUBSTITUTE(SUBSTITUTE($G680,"-"," ",LEN($G680)-LEN(SUBSTITUTE($G680,"-",""))),"-"," ",LEN($G680)-LEN(SUBSTITUTE($G680,"-",""))-1),".",""))))),$G680)))</f>
        <v/>
      </c>
    </row>
    <row r="681">
      <c r="A681" s="58" t="n"/>
      <c r="B681" s="58">
        <f>IF($H681="","",LEFT($H681,FIND(" ",$H681&amp;" ")-1))</f>
        <v/>
      </c>
      <c r="C681" s="58">
        <f>IF($H681="","",IFERROR(MID($H681&amp;" ",FIND("|",SUBSTITUTE($H681&amp;" "," ","|",1))+1,FIND("|",SUBSTITUTE($H681&amp;" "," ","|",2))-FIND("|",SUBSTITUTE($H681&amp;" "," ","|",1))-1),""))</f>
        <v/>
      </c>
      <c r="D681" s="58">
        <f>IF($H681="","",IFERROR(MID($H681&amp;" ",FIND("|",SUBSTITUTE($H681&amp;" "," ","|",2))+1,FIND("|",SUBSTITUTE($H681&amp;" "," ","|",3))-FIND("|",SUBSTITUTE($H681&amp;" "," ","|",2))-1),""))</f>
        <v/>
      </c>
      <c r="E681" s="58">
        <f>IF($H681="","",IFERROR(MID($H681&amp;" ",FIND("|",SUBSTITUTE($H681&amp;" "," ","|",3))+1,FIND("|",SUBSTITUTE($H681&amp;" "," ","|",4))-FIND("|",SUBSTITUTE($H681&amp;" "," ","|",3))-1),""))</f>
        <v/>
      </c>
      <c r="F681" s="59">
        <f>IF($H681="","",IFERROR(VALUE(IFERROR(MID($H681&amp;" ",FIND("|",SUBSTITUTE($H681&amp;" "," ","|",4))+1,FIND("|",SUBSTITUTE($H681&amp;" "," ","|",5))-FIND("|",SUBSTITUTE($H681&amp;" "," ","|",4))-1),""))/86400+25569+9/24,""))</f>
        <v/>
      </c>
      <c r="G681" s="58">
        <f>TRIM(SUBSTITUTE(SUBSTITUTE(SUBSTITUTE($A681,CHAR(9)," ")," "," "),CHAR(13),""))</f>
        <v/>
      </c>
      <c r="H681" s="58">
        <f>IF($G681="","",IF(ISNUMBER(FIND(" ",$G681)),$G681,IFERROR(IF((LEN(SUBSTITUTE(SUBSTITUTE($G681,"-"," ",LEN($G681)-LEN(SUBSTITUTE($G681,"-",""))),"-"," ",LEN($G681)-LEN(SUBSTITUTE($G681,"-",""))-1))-LEN(SUBSTITUTE(SUBSTITUTE(SUBSTITUTE($G681,"-"," ",LEN($G681)-LEN(SUBSTITUTE($G681,"-",""))),"-"," ",LEN($G681)-LEN(SUBSTITUTE($G681,"-",""))-1),".","")))=0,SUBSTITUTE(SUBSTITUTE($G681,"-"," ",LEN($G681)-LEN(SUBSTITUTE($G681,"-",""))),"-"," ",LEN($G681)-LEN(SUBSTITUTE($G681,"-",""))-1),SUBSTITUTE(SUBSTITUTE(SUBSTITUTE($G681,"-"," ",LEN($G681)-LEN(SUBSTITUTE($G681,"-",""))),"-"," ",LEN($G681)-LEN(SUBSTITUTE($G681,"-",""))-1),"."," ",(LEN(SUBSTITUTE(SUBSTITUTE($G681,"-"," ",LEN($G681)-LEN(SUBSTITUTE($G681,"-",""))),"-"," ",LEN($G681)-LEN(SUBSTITUTE($G681,"-",""))-1))-LEN(SUBSTITUTE(SUBSTITUTE(SUBSTITUTE($G681,"-"," ",LEN($G681)-LEN(SUBSTITUTE($G681,"-",""))),"-"," ",LEN($G681)-LEN(SUBSTITUTE($G681,"-",""))-1),".",""))))),$G681)))</f>
        <v/>
      </c>
    </row>
    <row r="682">
      <c r="A682" s="58" t="n"/>
      <c r="B682" s="58">
        <f>IF($H682="","",LEFT($H682,FIND(" ",$H682&amp;" ")-1))</f>
        <v/>
      </c>
      <c r="C682" s="58">
        <f>IF($H682="","",IFERROR(MID($H682&amp;" ",FIND("|",SUBSTITUTE($H682&amp;" "," ","|",1))+1,FIND("|",SUBSTITUTE($H682&amp;" "," ","|",2))-FIND("|",SUBSTITUTE($H682&amp;" "," ","|",1))-1),""))</f>
        <v/>
      </c>
      <c r="D682" s="58">
        <f>IF($H682="","",IFERROR(MID($H682&amp;" ",FIND("|",SUBSTITUTE($H682&amp;" "," ","|",2))+1,FIND("|",SUBSTITUTE($H682&amp;" "," ","|",3))-FIND("|",SUBSTITUTE($H682&amp;" "," ","|",2))-1),""))</f>
        <v/>
      </c>
      <c r="E682" s="58">
        <f>IF($H682="","",IFERROR(MID($H682&amp;" ",FIND("|",SUBSTITUTE($H682&amp;" "," ","|",3))+1,FIND("|",SUBSTITUTE($H682&amp;" "," ","|",4))-FIND("|",SUBSTITUTE($H682&amp;" "," ","|",3))-1),""))</f>
        <v/>
      </c>
      <c r="F682" s="59">
        <f>IF($H682="","",IFERROR(VALUE(IFERROR(MID($H682&amp;" ",FIND("|",SUBSTITUTE($H682&amp;" "," ","|",4))+1,FIND("|",SUBSTITUTE($H682&amp;" "," ","|",5))-FIND("|",SUBSTITUTE($H682&amp;" "," ","|",4))-1),""))/86400+25569+9/24,""))</f>
        <v/>
      </c>
      <c r="G682" s="58">
        <f>TRIM(SUBSTITUTE(SUBSTITUTE(SUBSTITUTE($A682,CHAR(9)," ")," "," "),CHAR(13),""))</f>
        <v/>
      </c>
      <c r="H682" s="58">
        <f>IF($G682="","",IF(ISNUMBER(FIND(" ",$G682)),$G682,IFERROR(IF((LEN(SUBSTITUTE(SUBSTITUTE($G682,"-"," ",LEN($G682)-LEN(SUBSTITUTE($G682,"-",""))),"-"," ",LEN($G682)-LEN(SUBSTITUTE($G682,"-",""))-1))-LEN(SUBSTITUTE(SUBSTITUTE(SUBSTITUTE($G682,"-"," ",LEN($G682)-LEN(SUBSTITUTE($G682,"-",""))),"-"," ",LEN($G682)-LEN(SUBSTITUTE($G682,"-",""))-1),".","")))=0,SUBSTITUTE(SUBSTITUTE($G682,"-"," ",LEN($G682)-LEN(SUBSTITUTE($G682,"-",""))),"-"," ",LEN($G682)-LEN(SUBSTITUTE($G682,"-",""))-1),SUBSTITUTE(SUBSTITUTE(SUBSTITUTE($G682,"-"," ",LEN($G682)-LEN(SUBSTITUTE($G682,"-",""))),"-"," ",LEN($G682)-LEN(SUBSTITUTE($G682,"-",""))-1),"."," ",(LEN(SUBSTITUTE(SUBSTITUTE($G682,"-"," ",LEN($G682)-LEN(SUBSTITUTE($G682,"-",""))),"-"," ",LEN($G682)-LEN(SUBSTITUTE($G682,"-",""))-1))-LEN(SUBSTITUTE(SUBSTITUTE(SUBSTITUTE($G682,"-"," ",LEN($G682)-LEN(SUBSTITUTE($G682,"-",""))),"-"," ",LEN($G682)-LEN(SUBSTITUTE($G682,"-",""))-1),".",""))))),$G682)))</f>
        <v/>
      </c>
    </row>
    <row r="683">
      <c r="A683" s="58" t="n"/>
      <c r="B683" s="58">
        <f>IF($H683="","",LEFT($H683,FIND(" ",$H683&amp;" ")-1))</f>
        <v/>
      </c>
      <c r="C683" s="58">
        <f>IF($H683="","",IFERROR(MID($H683&amp;" ",FIND("|",SUBSTITUTE($H683&amp;" "," ","|",1))+1,FIND("|",SUBSTITUTE($H683&amp;" "," ","|",2))-FIND("|",SUBSTITUTE($H683&amp;" "," ","|",1))-1),""))</f>
        <v/>
      </c>
      <c r="D683" s="58">
        <f>IF($H683="","",IFERROR(MID($H683&amp;" ",FIND("|",SUBSTITUTE($H683&amp;" "," ","|",2))+1,FIND("|",SUBSTITUTE($H683&amp;" "," ","|",3))-FIND("|",SUBSTITUTE($H683&amp;" "," ","|",2))-1),""))</f>
        <v/>
      </c>
      <c r="E683" s="58">
        <f>IF($H683="","",IFERROR(MID($H683&amp;" ",FIND("|",SUBSTITUTE($H683&amp;" "," ","|",3))+1,FIND("|",SUBSTITUTE($H683&amp;" "," ","|",4))-FIND("|",SUBSTITUTE($H683&amp;" "," ","|",3))-1),""))</f>
        <v/>
      </c>
      <c r="F683" s="59">
        <f>IF($H683="","",IFERROR(VALUE(IFERROR(MID($H683&amp;" ",FIND("|",SUBSTITUTE($H683&amp;" "," ","|",4))+1,FIND("|",SUBSTITUTE($H683&amp;" "," ","|",5))-FIND("|",SUBSTITUTE($H683&amp;" "," ","|",4))-1),""))/86400+25569+9/24,""))</f>
        <v/>
      </c>
      <c r="G683" s="58">
        <f>TRIM(SUBSTITUTE(SUBSTITUTE(SUBSTITUTE($A683,CHAR(9)," ")," "," "),CHAR(13),""))</f>
        <v/>
      </c>
      <c r="H683" s="58">
        <f>IF($G683="","",IF(ISNUMBER(FIND(" ",$G683)),$G683,IFERROR(IF((LEN(SUBSTITUTE(SUBSTITUTE($G683,"-"," ",LEN($G683)-LEN(SUBSTITUTE($G683,"-",""))),"-"," ",LEN($G683)-LEN(SUBSTITUTE($G683,"-",""))-1))-LEN(SUBSTITUTE(SUBSTITUTE(SUBSTITUTE($G683,"-"," ",LEN($G683)-LEN(SUBSTITUTE($G683,"-",""))),"-"," ",LEN($G683)-LEN(SUBSTITUTE($G683,"-",""))-1),".","")))=0,SUBSTITUTE(SUBSTITUTE($G683,"-"," ",LEN($G683)-LEN(SUBSTITUTE($G683,"-",""))),"-"," ",LEN($G683)-LEN(SUBSTITUTE($G683,"-",""))-1),SUBSTITUTE(SUBSTITUTE(SUBSTITUTE($G683,"-"," ",LEN($G683)-LEN(SUBSTITUTE($G683,"-",""))),"-"," ",LEN($G683)-LEN(SUBSTITUTE($G683,"-",""))-1),"."," ",(LEN(SUBSTITUTE(SUBSTITUTE($G683,"-"," ",LEN($G683)-LEN(SUBSTITUTE($G683,"-",""))),"-"," ",LEN($G683)-LEN(SUBSTITUTE($G683,"-",""))-1))-LEN(SUBSTITUTE(SUBSTITUTE(SUBSTITUTE($G683,"-"," ",LEN($G683)-LEN(SUBSTITUTE($G683,"-",""))),"-"," ",LEN($G683)-LEN(SUBSTITUTE($G683,"-",""))-1),".",""))))),$G683)))</f>
        <v/>
      </c>
    </row>
    <row r="684">
      <c r="A684" s="58" t="n"/>
      <c r="B684" s="58">
        <f>IF($H684="","",LEFT($H684,FIND(" ",$H684&amp;" ")-1))</f>
        <v/>
      </c>
      <c r="C684" s="58">
        <f>IF($H684="","",IFERROR(MID($H684&amp;" ",FIND("|",SUBSTITUTE($H684&amp;" "," ","|",1))+1,FIND("|",SUBSTITUTE($H684&amp;" "," ","|",2))-FIND("|",SUBSTITUTE($H684&amp;" "," ","|",1))-1),""))</f>
        <v/>
      </c>
      <c r="D684" s="58">
        <f>IF($H684="","",IFERROR(MID($H684&amp;" ",FIND("|",SUBSTITUTE($H684&amp;" "," ","|",2))+1,FIND("|",SUBSTITUTE($H684&amp;" "," ","|",3))-FIND("|",SUBSTITUTE($H684&amp;" "," ","|",2))-1),""))</f>
        <v/>
      </c>
      <c r="E684" s="58">
        <f>IF($H684="","",IFERROR(MID($H684&amp;" ",FIND("|",SUBSTITUTE($H684&amp;" "," ","|",3))+1,FIND("|",SUBSTITUTE($H684&amp;" "," ","|",4))-FIND("|",SUBSTITUTE($H684&amp;" "," ","|",3))-1),""))</f>
        <v/>
      </c>
      <c r="F684" s="59">
        <f>IF($H684="","",IFERROR(VALUE(IFERROR(MID($H684&amp;" ",FIND("|",SUBSTITUTE($H684&amp;" "," ","|",4))+1,FIND("|",SUBSTITUTE($H684&amp;" "," ","|",5))-FIND("|",SUBSTITUTE($H684&amp;" "," ","|",4))-1),""))/86400+25569+9/24,""))</f>
        <v/>
      </c>
      <c r="G684" s="58">
        <f>TRIM(SUBSTITUTE(SUBSTITUTE(SUBSTITUTE($A684,CHAR(9)," ")," "," "),CHAR(13),""))</f>
        <v/>
      </c>
      <c r="H684" s="58">
        <f>IF($G684="","",IF(ISNUMBER(FIND(" ",$G684)),$G684,IFERROR(IF((LEN(SUBSTITUTE(SUBSTITUTE($G684,"-"," ",LEN($G684)-LEN(SUBSTITUTE($G684,"-",""))),"-"," ",LEN($G684)-LEN(SUBSTITUTE($G684,"-",""))-1))-LEN(SUBSTITUTE(SUBSTITUTE(SUBSTITUTE($G684,"-"," ",LEN($G684)-LEN(SUBSTITUTE($G684,"-",""))),"-"," ",LEN($G684)-LEN(SUBSTITUTE($G684,"-",""))-1),".","")))=0,SUBSTITUTE(SUBSTITUTE($G684,"-"," ",LEN($G684)-LEN(SUBSTITUTE($G684,"-",""))),"-"," ",LEN($G684)-LEN(SUBSTITUTE($G684,"-",""))-1),SUBSTITUTE(SUBSTITUTE(SUBSTITUTE($G684,"-"," ",LEN($G684)-LEN(SUBSTITUTE($G684,"-",""))),"-"," ",LEN($G684)-LEN(SUBSTITUTE($G684,"-",""))-1),"."," ",(LEN(SUBSTITUTE(SUBSTITUTE($G684,"-"," ",LEN($G684)-LEN(SUBSTITUTE($G684,"-",""))),"-"," ",LEN($G684)-LEN(SUBSTITUTE($G684,"-",""))-1))-LEN(SUBSTITUTE(SUBSTITUTE(SUBSTITUTE($G684,"-"," ",LEN($G684)-LEN(SUBSTITUTE($G684,"-",""))),"-"," ",LEN($G684)-LEN(SUBSTITUTE($G684,"-",""))-1),".",""))))),$G684)))</f>
        <v/>
      </c>
    </row>
    <row r="685">
      <c r="A685" s="58" t="n"/>
      <c r="B685" s="58">
        <f>IF($H685="","",LEFT($H685,FIND(" ",$H685&amp;" ")-1))</f>
        <v/>
      </c>
      <c r="C685" s="58">
        <f>IF($H685="","",IFERROR(MID($H685&amp;" ",FIND("|",SUBSTITUTE($H685&amp;" "," ","|",1))+1,FIND("|",SUBSTITUTE($H685&amp;" "," ","|",2))-FIND("|",SUBSTITUTE($H685&amp;" "," ","|",1))-1),""))</f>
        <v/>
      </c>
      <c r="D685" s="58">
        <f>IF($H685="","",IFERROR(MID($H685&amp;" ",FIND("|",SUBSTITUTE($H685&amp;" "," ","|",2))+1,FIND("|",SUBSTITUTE($H685&amp;" "," ","|",3))-FIND("|",SUBSTITUTE($H685&amp;" "," ","|",2))-1),""))</f>
        <v/>
      </c>
      <c r="E685" s="58">
        <f>IF($H685="","",IFERROR(MID($H685&amp;" ",FIND("|",SUBSTITUTE($H685&amp;" "," ","|",3))+1,FIND("|",SUBSTITUTE($H685&amp;" "," ","|",4))-FIND("|",SUBSTITUTE($H685&amp;" "," ","|",3))-1),""))</f>
        <v/>
      </c>
      <c r="F685" s="59">
        <f>IF($H685="","",IFERROR(VALUE(IFERROR(MID($H685&amp;" ",FIND("|",SUBSTITUTE($H685&amp;" "," ","|",4))+1,FIND("|",SUBSTITUTE($H685&amp;" "," ","|",5))-FIND("|",SUBSTITUTE($H685&amp;" "," ","|",4))-1),""))/86400+25569+9/24,""))</f>
        <v/>
      </c>
      <c r="G685" s="58">
        <f>TRIM(SUBSTITUTE(SUBSTITUTE(SUBSTITUTE($A685,CHAR(9)," ")," "," "),CHAR(13),""))</f>
        <v/>
      </c>
      <c r="H685" s="58">
        <f>IF($G685="","",IF(ISNUMBER(FIND(" ",$G685)),$G685,IFERROR(IF((LEN(SUBSTITUTE(SUBSTITUTE($G685,"-"," ",LEN($G685)-LEN(SUBSTITUTE($G685,"-",""))),"-"," ",LEN($G685)-LEN(SUBSTITUTE($G685,"-",""))-1))-LEN(SUBSTITUTE(SUBSTITUTE(SUBSTITUTE($G685,"-"," ",LEN($G685)-LEN(SUBSTITUTE($G685,"-",""))),"-"," ",LEN($G685)-LEN(SUBSTITUTE($G685,"-",""))-1),".","")))=0,SUBSTITUTE(SUBSTITUTE($G685,"-"," ",LEN($G685)-LEN(SUBSTITUTE($G685,"-",""))),"-"," ",LEN($G685)-LEN(SUBSTITUTE($G685,"-",""))-1),SUBSTITUTE(SUBSTITUTE(SUBSTITUTE($G685,"-"," ",LEN($G685)-LEN(SUBSTITUTE($G685,"-",""))),"-"," ",LEN($G685)-LEN(SUBSTITUTE($G685,"-",""))-1),"."," ",(LEN(SUBSTITUTE(SUBSTITUTE($G685,"-"," ",LEN($G685)-LEN(SUBSTITUTE($G685,"-",""))),"-"," ",LEN($G685)-LEN(SUBSTITUTE($G685,"-",""))-1))-LEN(SUBSTITUTE(SUBSTITUTE(SUBSTITUTE($G685,"-"," ",LEN($G685)-LEN(SUBSTITUTE($G685,"-",""))),"-"," ",LEN($G685)-LEN(SUBSTITUTE($G685,"-",""))-1),".",""))))),$G685)))</f>
        <v/>
      </c>
    </row>
    <row r="686">
      <c r="A686" s="58" t="n"/>
      <c r="B686" s="58">
        <f>IF($H686="","",LEFT($H686,FIND(" ",$H686&amp;" ")-1))</f>
        <v/>
      </c>
      <c r="C686" s="58">
        <f>IF($H686="","",IFERROR(MID($H686&amp;" ",FIND("|",SUBSTITUTE($H686&amp;" "," ","|",1))+1,FIND("|",SUBSTITUTE($H686&amp;" "," ","|",2))-FIND("|",SUBSTITUTE($H686&amp;" "," ","|",1))-1),""))</f>
        <v/>
      </c>
      <c r="D686" s="58">
        <f>IF($H686="","",IFERROR(MID($H686&amp;" ",FIND("|",SUBSTITUTE($H686&amp;" "," ","|",2))+1,FIND("|",SUBSTITUTE($H686&amp;" "," ","|",3))-FIND("|",SUBSTITUTE($H686&amp;" "," ","|",2))-1),""))</f>
        <v/>
      </c>
      <c r="E686" s="58">
        <f>IF($H686="","",IFERROR(MID($H686&amp;" ",FIND("|",SUBSTITUTE($H686&amp;" "," ","|",3))+1,FIND("|",SUBSTITUTE($H686&amp;" "," ","|",4))-FIND("|",SUBSTITUTE($H686&amp;" "," ","|",3))-1),""))</f>
        <v/>
      </c>
      <c r="F686" s="59">
        <f>IF($H686="","",IFERROR(VALUE(IFERROR(MID($H686&amp;" ",FIND("|",SUBSTITUTE($H686&amp;" "," ","|",4))+1,FIND("|",SUBSTITUTE($H686&amp;" "," ","|",5))-FIND("|",SUBSTITUTE($H686&amp;" "," ","|",4))-1),""))/86400+25569+9/24,""))</f>
        <v/>
      </c>
      <c r="G686" s="58">
        <f>TRIM(SUBSTITUTE(SUBSTITUTE(SUBSTITUTE($A686,CHAR(9)," ")," "," "),CHAR(13),""))</f>
        <v/>
      </c>
      <c r="H686" s="58">
        <f>IF($G686="","",IF(ISNUMBER(FIND(" ",$G686)),$G686,IFERROR(IF((LEN(SUBSTITUTE(SUBSTITUTE($G686,"-"," ",LEN($G686)-LEN(SUBSTITUTE($G686,"-",""))),"-"," ",LEN($G686)-LEN(SUBSTITUTE($G686,"-",""))-1))-LEN(SUBSTITUTE(SUBSTITUTE(SUBSTITUTE($G686,"-"," ",LEN($G686)-LEN(SUBSTITUTE($G686,"-",""))),"-"," ",LEN($G686)-LEN(SUBSTITUTE($G686,"-",""))-1),".","")))=0,SUBSTITUTE(SUBSTITUTE($G686,"-"," ",LEN($G686)-LEN(SUBSTITUTE($G686,"-",""))),"-"," ",LEN($G686)-LEN(SUBSTITUTE($G686,"-",""))-1),SUBSTITUTE(SUBSTITUTE(SUBSTITUTE($G686,"-"," ",LEN($G686)-LEN(SUBSTITUTE($G686,"-",""))),"-"," ",LEN($G686)-LEN(SUBSTITUTE($G686,"-",""))-1),"."," ",(LEN(SUBSTITUTE(SUBSTITUTE($G686,"-"," ",LEN($G686)-LEN(SUBSTITUTE($G686,"-",""))),"-"," ",LEN($G686)-LEN(SUBSTITUTE($G686,"-",""))-1))-LEN(SUBSTITUTE(SUBSTITUTE(SUBSTITUTE($G686,"-"," ",LEN($G686)-LEN(SUBSTITUTE($G686,"-",""))),"-"," ",LEN($G686)-LEN(SUBSTITUTE($G686,"-",""))-1),".",""))))),$G686)))</f>
        <v/>
      </c>
    </row>
    <row r="687">
      <c r="A687" s="58" t="n"/>
      <c r="B687" s="58">
        <f>IF($H687="","",LEFT($H687,FIND(" ",$H687&amp;" ")-1))</f>
        <v/>
      </c>
      <c r="C687" s="58">
        <f>IF($H687="","",IFERROR(MID($H687&amp;" ",FIND("|",SUBSTITUTE($H687&amp;" "," ","|",1))+1,FIND("|",SUBSTITUTE($H687&amp;" "," ","|",2))-FIND("|",SUBSTITUTE($H687&amp;" "," ","|",1))-1),""))</f>
        <v/>
      </c>
      <c r="D687" s="58">
        <f>IF($H687="","",IFERROR(MID($H687&amp;" ",FIND("|",SUBSTITUTE($H687&amp;" "," ","|",2))+1,FIND("|",SUBSTITUTE($H687&amp;" "," ","|",3))-FIND("|",SUBSTITUTE($H687&amp;" "," ","|",2))-1),""))</f>
        <v/>
      </c>
      <c r="E687" s="58">
        <f>IF($H687="","",IFERROR(MID($H687&amp;" ",FIND("|",SUBSTITUTE($H687&amp;" "," ","|",3))+1,FIND("|",SUBSTITUTE($H687&amp;" "," ","|",4))-FIND("|",SUBSTITUTE($H687&amp;" "," ","|",3))-1),""))</f>
        <v/>
      </c>
      <c r="F687" s="59">
        <f>IF($H687="","",IFERROR(VALUE(IFERROR(MID($H687&amp;" ",FIND("|",SUBSTITUTE($H687&amp;" "," ","|",4))+1,FIND("|",SUBSTITUTE($H687&amp;" "," ","|",5))-FIND("|",SUBSTITUTE($H687&amp;" "," ","|",4))-1),""))/86400+25569+9/24,""))</f>
        <v/>
      </c>
      <c r="G687" s="58">
        <f>TRIM(SUBSTITUTE(SUBSTITUTE(SUBSTITUTE($A687,CHAR(9)," ")," "," "),CHAR(13),""))</f>
        <v/>
      </c>
      <c r="H687" s="58">
        <f>IF($G687="","",IF(ISNUMBER(FIND(" ",$G687)),$G687,IFERROR(IF((LEN(SUBSTITUTE(SUBSTITUTE($G687,"-"," ",LEN($G687)-LEN(SUBSTITUTE($G687,"-",""))),"-"," ",LEN($G687)-LEN(SUBSTITUTE($G687,"-",""))-1))-LEN(SUBSTITUTE(SUBSTITUTE(SUBSTITUTE($G687,"-"," ",LEN($G687)-LEN(SUBSTITUTE($G687,"-",""))),"-"," ",LEN($G687)-LEN(SUBSTITUTE($G687,"-",""))-1),".","")))=0,SUBSTITUTE(SUBSTITUTE($G687,"-"," ",LEN($G687)-LEN(SUBSTITUTE($G687,"-",""))),"-"," ",LEN($G687)-LEN(SUBSTITUTE($G687,"-",""))-1),SUBSTITUTE(SUBSTITUTE(SUBSTITUTE($G687,"-"," ",LEN($G687)-LEN(SUBSTITUTE($G687,"-",""))),"-"," ",LEN($G687)-LEN(SUBSTITUTE($G687,"-",""))-1),"."," ",(LEN(SUBSTITUTE(SUBSTITUTE($G687,"-"," ",LEN($G687)-LEN(SUBSTITUTE($G687,"-",""))),"-"," ",LEN($G687)-LEN(SUBSTITUTE($G687,"-",""))-1))-LEN(SUBSTITUTE(SUBSTITUTE(SUBSTITUTE($G687,"-"," ",LEN($G687)-LEN(SUBSTITUTE($G687,"-",""))),"-"," ",LEN($G687)-LEN(SUBSTITUTE($G687,"-",""))-1),".",""))))),$G687)))</f>
        <v/>
      </c>
    </row>
    <row r="688">
      <c r="A688" s="58" t="n"/>
      <c r="B688" s="58">
        <f>IF($H688="","",LEFT($H688,FIND(" ",$H688&amp;" ")-1))</f>
        <v/>
      </c>
      <c r="C688" s="58">
        <f>IF($H688="","",IFERROR(MID($H688&amp;" ",FIND("|",SUBSTITUTE($H688&amp;" "," ","|",1))+1,FIND("|",SUBSTITUTE($H688&amp;" "," ","|",2))-FIND("|",SUBSTITUTE($H688&amp;" "," ","|",1))-1),""))</f>
        <v/>
      </c>
      <c r="D688" s="58">
        <f>IF($H688="","",IFERROR(MID($H688&amp;" ",FIND("|",SUBSTITUTE($H688&amp;" "," ","|",2))+1,FIND("|",SUBSTITUTE($H688&amp;" "," ","|",3))-FIND("|",SUBSTITUTE($H688&amp;" "," ","|",2))-1),""))</f>
        <v/>
      </c>
      <c r="E688" s="58">
        <f>IF($H688="","",IFERROR(MID($H688&amp;" ",FIND("|",SUBSTITUTE($H688&amp;" "," ","|",3))+1,FIND("|",SUBSTITUTE($H688&amp;" "," ","|",4))-FIND("|",SUBSTITUTE($H688&amp;" "," ","|",3))-1),""))</f>
        <v/>
      </c>
      <c r="F688" s="59">
        <f>IF($H688="","",IFERROR(VALUE(IFERROR(MID($H688&amp;" ",FIND("|",SUBSTITUTE($H688&amp;" "," ","|",4))+1,FIND("|",SUBSTITUTE($H688&amp;" "," ","|",5))-FIND("|",SUBSTITUTE($H688&amp;" "," ","|",4))-1),""))/86400+25569+9/24,""))</f>
        <v/>
      </c>
      <c r="G688" s="58">
        <f>TRIM(SUBSTITUTE(SUBSTITUTE(SUBSTITUTE($A688,CHAR(9)," ")," "," "),CHAR(13),""))</f>
        <v/>
      </c>
      <c r="H688" s="58">
        <f>IF($G688="","",IF(ISNUMBER(FIND(" ",$G688)),$G688,IFERROR(IF((LEN(SUBSTITUTE(SUBSTITUTE($G688,"-"," ",LEN($G688)-LEN(SUBSTITUTE($G688,"-",""))),"-"," ",LEN($G688)-LEN(SUBSTITUTE($G688,"-",""))-1))-LEN(SUBSTITUTE(SUBSTITUTE(SUBSTITUTE($G688,"-"," ",LEN($G688)-LEN(SUBSTITUTE($G688,"-",""))),"-"," ",LEN($G688)-LEN(SUBSTITUTE($G688,"-",""))-1),".","")))=0,SUBSTITUTE(SUBSTITUTE($G688,"-"," ",LEN($G688)-LEN(SUBSTITUTE($G688,"-",""))),"-"," ",LEN($G688)-LEN(SUBSTITUTE($G688,"-",""))-1),SUBSTITUTE(SUBSTITUTE(SUBSTITUTE($G688,"-"," ",LEN($G688)-LEN(SUBSTITUTE($G688,"-",""))),"-"," ",LEN($G688)-LEN(SUBSTITUTE($G688,"-",""))-1),"."," ",(LEN(SUBSTITUTE(SUBSTITUTE($G688,"-"," ",LEN($G688)-LEN(SUBSTITUTE($G688,"-",""))),"-"," ",LEN($G688)-LEN(SUBSTITUTE($G688,"-",""))-1))-LEN(SUBSTITUTE(SUBSTITUTE(SUBSTITUTE($G688,"-"," ",LEN($G688)-LEN(SUBSTITUTE($G688,"-",""))),"-"," ",LEN($G688)-LEN(SUBSTITUTE($G688,"-",""))-1),".",""))))),$G688)))</f>
        <v/>
      </c>
    </row>
    <row r="689">
      <c r="A689" s="58" t="n"/>
      <c r="B689" s="58">
        <f>IF($H689="","",LEFT($H689,FIND(" ",$H689&amp;" ")-1))</f>
        <v/>
      </c>
      <c r="C689" s="58">
        <f>IF($H689="","",IFERROR(MID($H689&amp;" ",FIND("|",SUBSTITUTE($H689&amp;" "," ","|",1))+1,FIND("|",SUBSTITUTE($H689&amp;" "," ","|",2))-FIND("|",SUBSTITUTE($H689&amp;" "," ","|",1))-1),""))</f>
        <v/>
      </c>
      <c r="D689" s="58">
        <f>IF($H689="","",IFERROR(MID($H689&amp;" ",FIND("|",SUBSTITUTE($H689&amp;" "," ","|",2))+1,FIND("|",SUBSTITUTE($H689&amp;" "," ","|",3))-FIND("|",SUBSTITUTE($H689&amp;" "," ","|",2))-1),""))</f>
        <v/>
      </c>
      <c r="E689" s="58">
        <f>IF($H689="","",IFERROR(MID($H689&amp;" ",FIND("|",SUBSTITUTE($H689&amp;" "," ","|",3))+1,FIND("|",SUBSTITUTE($H689&amp;" "," ","|",4))-FIND("|",SUBSTITUTE($H689&amp;" "," ","|",3))-1),""))</f>
        <v/>
      </c>
      <c r="F689" s="59">
        <f>IF($H689="","",IFERROR(VALUE(IFERROR(MID($H689&amp;" ",FIND("|",SUBSTITUTE($H689&amp;" "," ","|",4))+1,FIND("|",SUBSTITUTE($H689&amp;" "," ","|",5))-FIND("|",SUBSTITUTE($H689&amp;" "," ","|",4))-1),""))/86400+25569+9/24,""))</f>
        <v/>
      </c>
      <c r="G689" s="58">
        <f>TRIM(SUBSTITUTE(SUBSTITUTE(SUBSTITUTE($A689,CHAR(9)," ")," "," "),CHAR(13),""))</f>
        <v/>
      </c>
      <c r="H689" s="58">
        <f>IF($G689="","",IF(ISNUMBER(FIND(" ",$G689)),$G689,IFERROR(IF((LEN(SUBSTITUTE(SUBSTITUTE($G689,"-"," ",LEN($G689)-LEN(SUBSTITUTE($G689,"-",""))),"-"," ",LEN($G689)-LEN(SUBSTITUTE($G689,"-",""))-1))-LEN(SUBSTITUTE(SUBSTITUTE(SUBSTITUTE($G689,"-"," ",LEN($G689)-LEN(SUBSTITUTE($G689,"-",""))),"-"," ",LEN($G689)-LEN(SUBSTITUTE($G689,"-",""))-1),".","")))=0,SUBSTITUTE(SUBSTITUTE($G689,"-"," ",LEN($G689)-LEN(SUBSTITUTE($G689,"-",""))),"-"," ",LEN($G689)-LEN(SUBSTITUTE($G689,"-",""))-1),SUBSTITUTE(SUBSTITUTE(SUBSTITUTE($G689,"-"," ",LEN($G689)-LEN(SUBSTITUTE($G689,"-",""))),"-"," ",LEN($G689)-LEN(SUBSTITUTE($G689,"-",""))-1),"."," ",(LEN(SUBSTITUTE(SUBSTITUTE($G689,"-"," ",LEN($G689)-LEN(SUBSTITUTE($G689,"-",""))),"-"," ",LEN($G689)-LEN(SUBSTITUTE($G689,"-",""))-1))-LEN(SUBSTITUTE(SUBSTITUTE(SUBSTITUTE($G689,"-"," ",LEN($G689)-LEN(SUBSTITUTE($G689,"-",""))),"-"," ",LEN($G689)-LEN(SUBSTITUTE($G689,"-",""))-1),".",""))))),$G689)))</f>
        <v/>
      </c>
    </row>
    <row r="690">
      <c r="A690" s="58" t="n"/>
      <c r="B690" s="58">
        <f>IF($H690="","",LEFT($H690,FIND(" ",$H690&amp;" ")-1))</f>
        <v/>
      </c>
      <c r="C690" s="58">
        <f>IF($H690="","",IFERROR(MID($H690&amp;" ",FIND("|",SUBSTITUTE($H690&amp;" "," ","|",1))+1,FIND("|",SUBSTITUTE($H690&amp;" "," ","|",2))-FIND("|",SUBSTITUTE($H690&amp;" "," ","|",1))-1),""))</f>
        <v/>
      </c>
      <c r="D690" s="58">
        <f>IF($H690="","",IFERROR(MID($H690&amp;" ",FIND("|",SUBSTITUTE($H690&amp;" "," ","|",2))+1,FIND("|",SUBSTITUTE($H690&amp;" "," ","|",3))-FIND("|",SUBSTITUTE($H690&amp;" "," ","|",2))-1),""))</f>
        <v/>
      </c>
      <c r="E690" s="58">
        <f>IF($H690="","",IFERROR(MID($H690&amp;" ",FIND("|",SUBSTITUTE($H690&amp;" "," ","|",3))+1,FIND("|",SUBSTITUTE($H690&amp;" "," ","|",4))-FIND("|",SUBSTITUTE($H690&amp;" "," ","|",3))-1),""))</f>
        <v/>
      </c>
      <c r="F690" s="59">
        <f>IF($H690="","",IFERROR(VALUE(IFERROR(MID($H690&amp;" ",FIND("|",SUBSTITUTE($H690&amp;" "," ","|",4))+1,FIND("|",SUBSTITUTE($H690&amp;" "," ","|",5))-FIND("|",SUBSTITUTE($H690&amp;" "," ","|",4))-1),""))/86400+25569+9/24,""))</f>
        <v/>
      </c>
      <c r="G690" s="58">
        <f>TRIM(SUBSTITUTE(SUBSTITUTE(SUBSTITUTE($A690,CHAR(9)," ")," "," "),CHAR(13),""))</f>
        <v/>
      </c>
      <c r="H690" s="58">
        <f>IF($G690="","",IF(ISNUMBER(FIND(" ",$G690)),$G690,IFERROR(IF((LEN(SUBSTITUTE(SUBSTITUTE($G690,"-"," ",LEN($G690)-LEN(SUBSTITUTE($G690,"-",""))),"-"," ",LEN($G690)-LEN(SUBSTITUTE($G690,"-",""))-1))-LEN(SUBSTITUTE(SUBSTITUTE(SUBSTITUTE($G690,"-"," ",LEN($G690)-LEN(SUBSTITUTE($G690,"-",""))),"-"," ",LEN($G690)-LEN(SUBSTITUTE($G690,"-",""))-1),".","")))=0,SUBSTITUTE(SUBSTITUTE($G690,"-"," ",LEN($G690)-LEN(SUBSTITUTE($G690,"-",""))),"-"," ",LEN($G690)-LEN(SUBSTITUTE($G690,"-",""))-1),SUBSTITUTE(SUBSTITUTE(SUBSTITUTE($G690,"-"," ",LEN($G690)-LEN(SUBSTITUTE($G690,"-",""))),"-"," ",LEN($G690)-LEN(SUBSTITUTE($G690,"-",""))-1),"."," ",(LEN(SUBSTITUTE(SUBSTITUTE($G690,"-"," ",LEN($G690)-LEN(SUBSTITUTE($G690,"-",""))),"-"," ",LEN($G690)-LEN(SUBSTITUTE($G690,"-",""))-1))-LEN(SUBSTITUTE(SUBSTITUTE(SUBSTITUTE($G690,"-"," ",LEN($G690)-LEN(SUBSTITUTE($G690,"-",""))),"-"," ",LEN($G690)-LEN(SUBSTITUTE($G690,"-",""))-1),".",""))))),$G690)))</f>
        <v/>
      </c>
    </row>
    <row r="691">
      <c r="A691" s="58" t="n"/>
      <c r="B691" s="58">
        <f>IF($H691="","",LEFT($H691,FIND(" ",$H691&amp;" ")-1))</f>
        <v/>
      </c>
      <c r="C691" s="58">
        <f>IF($H691="","",IFERROR(MID($H691&amp;" ",FIND("|",SUBSTITUTE($H691&amp;" "," ","|",1))+1,FIND("|",SUBSTITUTE($H691&amp;" "," ","|",2))-FIND("|",SUBSTITUTE($H691&amp;" "," ","|",1))-1),""))</f>
        <v/>
      </c>
      <c r="D691" s="58">
        <f>IF($H691="","",IFERROR(MID($H691&amp;" ",FIND("|",SUBSTITUTE($H691&amp;" "," ","|",2))+1,FIND("|",SUBSTITUTE($H691&amp;" "," ","|",3))-FIND("|",SUBSTITUTE($H691&amp;" "," ","|",2))-1),""))</f>
        <v/>
      </c>
      <c r="E691" s="58">
        <f>IF($H691="","",IFERROR(MID($H691&amp;" ",FIND("|",SUBSTITUTE($H691&amp;" "," ","|",3))+1,FIND("|",SUBSTITUTE($H691&amp;" "," ","|",4))-FIND("|",SUBSTITUTE($H691&amp;" "," ","|",3))-1),""))</f>
        <v/>
      </c>
      <c r="F691" s="59">
        <f>IF($H691="","",IFERROR(VALUE(IFERROR(MID($H691&amp;" ",FIND("|",SUBSTITUTE($H691&amp;" "," ","|",4))+1,FIND("|",SUBSTITUTE($H691&amp;" "," ","|",5))-FIND("|",SUBSTITUTE($H691&amp;" "," ","|",4))-1),""))/86400+25569+9/24,""))</f>
        <v/>
      </c>
      <c r="G691" s="58">
        <f>TRIM(SUBSTITUTE(SUBSTITUTE(SUBSTITUTE($A691,CHAR(9)," ")," "," "),CHAR(13),""))</f>
        <v/>
      </c>
      <c r="H691" s="58">
        <f>IF($G691="","",IF(ISNUMBER(FIND(" ",$G691)),$G691,IFERROR(IF((LEN(SUBSTITUTE(SUBSTITUTE($G691,"-"," ",LEN($G691)-LEN(SUBSTITUTE($G691,"-",""))),"-"," ",LEN($G691)-LEN(SUBSTITUTE($G691,"-",""))-1))-LEN(SUBSTITUTE(SUBSTITUTE(SUBSTITUTE($G691,"-"," ",LEN($G691)-LEN(SUBSTITUTE($G691,"-",""))),"-"," ",LEN($G691)-LEN(SUBSTITUTE($G691,"-",""))-1),".","")))=0,SUBSTITUTE(SUBSTITUTE($G691,"-"," ",LEN($G691)-LEN(SUBSTITUTE($G691,"-",""))),"-"," ",LEN($G691)-LEN(SUBSTITUTE($G691,"-",""))-1),SUBSTITUTE(SUBSTITUTE(SUBSTITUTE($G691,"-"," ",LEN($G691)-LEN(SUBSTITUTE($G691,"-",""))),"-"," ",LEN($G691)-LEN(SUBSTITUTE($G691,"-",""))-1),"."," ",(LEN(SUBSTITUTE(SUBSTITUTE($G691,"-"," ",LEN($G691)-LEN(SUBSTITUTE($G691,"-",""))),"-"," ",LEN($G691)-LEN(SUBSTITUTE($G691,"-",""))-1))-LEN(SUBSTITUTE(SUBSTITUTE(SUBSTITUTE($G691,"-"," ",LEN($G691)-LEN(SUBSTITUTE($G691,"-",""))),"-"," ",LEN($G691)-LEN(SUBSTITUTE($G691,"-",""))-1),".",""))))),$G691)))</f>
        <v/>
      </c>
    </row>
    <row r="692">
      <c r="A692" s="58" t="n"/>
      <c r="B692" s="58">
        <f>IF($H692="","",LEFT($H692,FIND(" ",$H692&amp;" ")-1))</f>
        <v/>
      </c>
      <c r="C692" s="58">
        <f>IF($H692="","",IFERROR(MID($H692&amp;" ",FIND("|",SUBSTITUTE($H692&amp;" "," ","|",1))+1,FIND("|",SUBSTITUTE($H692&amp;" "," ","|",2))-FIND("|",SUBSTITUTE($H692&amp;" "," ","|",1))-1),""))</f>
        <v/>
      </c>
      <c r="D692" s="58">
        <f>IF($H692="","",IFERROR(MID($H692&amp;" ",FIND("|",SUBSTITUTE($H692&amp;" "," ","|",2))+1,FIND("|",SUBSTITUTE($H692&amp;" "," ","|",3))-FIND("|",SUBSTITUTE($H692&amp;" "," ","|",2))-1),""))</f>
        <v/>
      </c>
      <c r="E692" s="58">
        <f>IF($H692="","",IFERROR(MID($H692&amp;" ",FIND("|",SUBSTITUTE($H692&amp;" "," ","|",3))+1,FIND("|",SUBSTITUTE($H692&amp;" "," ","|",4))-FIND("|",SUBSTITUTE($H692&amp;" "," ","|",3))-1),""))</f>
        <v/>
      </c>
      <c r="F692" s="59">
        <f>IF($H692="","",IFERROR(VALUE(IFERROR(MID($H692&amp;" ",FIND("|",SUBSTITUTE($H692&amp;" "," ","|",4))+1,FIND("|",SUBSTITUTE($H692&amp;" "," ","|",5))-FIND("|",SUBSTITUTE($H692&amp;" "," ","|",4))-1),""))/86400+25569+9/24,""))</f>
        <v/>
      </c>
      <c r="G692" s="58">
        <f>TRIM(SUBSTITUTE(SUBSTITUTE(SUBSTITUTE($A692,CHAR(9)," ")," "," "),CHAR(13),""))</f>
        <v/>
      </c>
      <c r="H692" s="58">
        <f>IF($G692="","",IF(ISNUMBER(FIND(" ",$G692)),$G692,IFERROR(IF((LEN(SUBSTITUTE(SUBSTITUTE($G692,"-"," ",LEN($G692)-LEN(SUBSTITUTE($G692,"-",""))),"-"," ",LEN($G692)-LEN(SUBSTITUTE($G692,"-",""))-1))-LEN(SUBSTITUTE(SUBSTITUTE(SUBSTITUTE($G692,"-"," ",LEN($G692)-LEN(SUBSTITUTE($G692,"-",""))),"-"," ",LEN($G692)-LEN(SUBSTITUTE($G692,"-",""))-1),".","")))=0,SUBSTITUTE(SUBSTITUTE($G692,"-"," ",LEN($G692)-LEN(SUBSTITUTE($G692,"-",""))),"-"," ",LEN($G692)-LEN(SUBSTITUTE($G692,"-",""))-1),SUBSTITUTE(SUBSTITUTE(SUBSTITUTE($G692,"-"," ",LEN($G692)-LEN(SUBSTITUTE($G692,"-",""))),"-"," ",LEN($G692)-LEN(SUBSTITUTE($G692,"-",""))-1),"."," ",(LEN(SUBSTITUTE(SUBSTITUTE($G692,"-"," ",LEN($G692)-LEN(SUBSTITUTE($G692,"-",""))),"-"," ",LEN($G692)-LEN(SUBSTITUTE($G692,"-",""))-1))-LEN(SUBSTITUTE(SUBSTITUTE(SUBSTITUTE($G692,"-"," ",LEN($G692)-LEN(SUBSTITUTE($G692,"-",""))),"-"," ",LEN($G692)-LEN(SUBSTITUTE($G692,"-",""))-1),".",""))))),$G692)))</f>
        <v/>
      </c>
    </row>
    <row r="693">
      <c r="A693" s="58" t="n"/>
      <c r="B693" s="58">
        <f>IF($H693="","",LEFT($H693,FIND(" ",$H693&amp;" ")-1))</f>
        <v/>
      </c>
      <c r="C693" s="58">
        <f>IF($H693="","",IFERROR(MID($H693&amp;" ",FIND("|",SUBSTITUTE($H693&amp;" "," ","|",1))+1,FIND("|",SUBSTITUTE($H693&amp;" "," ","|",2))-FIND("|",SUBSTITUTE($H693&amp;" "," ","|",1))-1),""))</f>
        <v/>
      </c>
      <c r="D693" s="58">
        <f>IF($H693="","",IFERROR(MID($H693&amp;" ",FIND("|",SUBSTITUTE($H693&amp;" "," ","|",2))+1,FIND("|",SUBSTITUTE($H693&amp;" "," ","|",3))-FIND("|",SUBSTITUTE($H693&amp;" "," ","|",2))-1),""))</f>
        <v/>
      </c>
      <c r="E693" s="58">
        <f>IF($H693="","",IFERROR(MID($H693&amp;" ",FIND("|",SUBSTITUTE($H693&amp;" "," ","|",3))+1,FIND("|",SUBSTITUTE($H693&amp;" "," ","|",4))-FIND("|",SUBSTITUTE($H693&amp;" "," ","|",3))-1),""))</f>
        <v/>
      </c>
      <c r="F693" s="59">
        <f>IF($H693="","",IFERROR(VALUE(IFERROR(MID($H693&amp;" ",FIND("|",SUBSTITUTE($H693&amp;" "," ","|",4))+1,FIND("|",SUBSTITUTE($H693&amp;" "," ","|",5))-FIND("|",SUBSTITUTE($H693&amp;" "," ","|",4))-1),""))/86400+25569+9/24,""))</f>
        <v/>
      </c>
      <c r="G693" s="58">
        <f>TRIM(SUBSTITUTE(SUBSTITUTE(SUBSTITUTE($A693,CHAR(9)," ")," "," "),CHAR(13),""))</f>
        <v/>
      </c>
      <c r="H693" s="58">
        <f>IF($G693="","",IF(ISNUMBER(FIND(" ",$G693)),$G693,IFERROR(IF((LEN(SUBSTITUTE(SUBSTITUTE($G693,"-"," ",LEN($G693)-LEN(SUBSTITUTE($G693,"-",""))),"-"," ",LEN($G693)-LEN(SUBSTITUTE($G693,"-",""))-1))-LEN(SUBSTITUTE(SUBSTITUTE(SUBSTITUTE($G693,"-"," ",LEN($G693)-LEN(SUBSTITUTE($G693,"-",""))),"-"," ",LEN($G693)-LEN(SUBSTITUTE($G693,"-",""))-1),".","")))=0,SUBSTITUTE(SUBSTITUTE($G693,"-"," ",LEN($G693)-LEN(SUBSTITUTE($G693,"-",""))),"-"," ",LEN($G693)-LEN(SUBSTITUTE($G693,"-",""))-1),SUBSTITUTE(SUBSTITUTE(SUBSTITUTE($G693,"-"," ",LEN($G693)-LEN(SUBSTITUTE($G693,"-",""))),"-"," ",LEN($G693)-LEN(SUBSTITUTE($G693,"-",""))-1),"."," ",(LEN(SUBSTITUTE(SUBSTITUTE($G693,"-"," ",LEN($G693)-LEN(SUBSTITUTE($G693,"-",""))),"-"," ",LEN($G693)-LEN(SUBSTITUTE($G693,"-",""))-1))-LEN(SUBSTITUTE(SUBSTITUTE(SUBSTITUTE($G693,"-"," ",LEN($G693)-LEN(SUBSTITUTE($G693,"-",""))),"-"," ",LEN($G693)-LEN(SUBSTITUTE($G693,"-",""))-1),".",""))))),$G693)))</f>
        <v/>
      </c>
    </row>
    <row r="694">
      <c r="A694" s="58" t="n"/>
      <c r="B694" s="58">
        <f>IF($H694="","",LEFT($H694,FIND(" ",$H694&amp;" ")-1))</f>
        <v/>
      </c>
      <c r="C694" s="58">
        <f>IF($H694="","",IFERROR(MID($H694&amp;" ",FIND("|",SUBSTITUTE($H694&amp;" "," ","|",1))+1,FIND("|",SUBSTITUTE($H694&amp;" "," ","|",2))-FIND("|",SUBSTITUTE($H694&amp;" "," ","|",1))-1),""))</f>
        <v/>
      </c>
      <c r="D694" s="58">
        <f>IF($H694="","",IFERROR(MID($H694&amp;" ",FIND("|",SUBSTITUTE($H694&amp;" "," ","|",2))+1,FIND("|",SUBSTITUTE($H694&amp;" "," ","|",3))-FIND("|",SUBSTITUTE($H694&amp;" "," ","|",2))-1),""))</f>
        <v/>
      </c>
      <c r="E694" s="58">
        <f>IF($H694="","",IFERROR(MID($H694&amp;" ",FIND("|",SUBSTITUTE($H694&amp;" "," ","|",3))+1,FIND("|",SUBSTITUTE($H694&amp;" "," ","|",4))-FIND("|",SUBSTITUTE($H694&amp;" "," ","|",3))-1),""))</f>
        <v/>
      </c>
      <c r="F694" s="59">
        <f>IF($H694="","",IFERROR(VALUE(IFERROR(MID($H694&amp;" ",FIND("|",SUBSTITUTE($H694&amp;" "," ","|",4))+1,FIND("|",SUBSTITUTE($H694&amp;" "," ","|",5))-FIND("|",SUBSTITUTE($H694&amp;" "," ","|",4))-1),""))/86400+25569+9/24,""))</f>
        <v/>
      </c>
      <c r="G694" s="58">
        <f>TRIM(SUBSTITUTE(SUBSTITUTE(SUBSTITUTE($A694,CHAR(9)," ")," "," "),CHAR(13),""))</f>
        <v/>
      </c>
      <c r="H694" s="58">
        <f>IF($G694="","",IF(ISNUMBER(FIND(" ",$G694)),$G694,IFERROR(IF((LEN(SUBSTITUTE(SUBSTITUTE($G694,"-"," ",LEN($G694)-LEN(SUBSTITUTE($G694,"-",""))),"-"," ",LEN($G694)-LEN(SUBSTITUTE($G694,"-",""))-1))-LEN(SUBSTITUTE(SUBSTITUTE(SUBSTITUTE($G694,"-"," ",LEN($G694)-LEN(SUBSTITUTE($G694,"-",""))),"-"," ",LEN($G694)-LEN(SUBSTITUTE($G694,"-",""))-1),".","")))=0,SUBSTITUTE(SUBSTITUTE($G694,"-"," ",LEN($G694)-LEN(SUBSTITUTE($G694,"-",""))),"-"," ",LEN($G694)-LEN(SUBSTITUTE($G694,"-",""))-1),SUBSTITUTE(SUBSTITUTE(SUBSTITUTE($G694,"-"," ",LEN($G694)-LEN(SUBSTITUTE($G694,"-",""))),"-"," ",LEN($G694)-LEN(SUBSTITUTE($G694,"-",""))-1),"."," ",(LEN(SUBSTITUTE(SUBSTITUTE($G694,"-"," ",LEN($G694)-LEN(SUBSTITUTE($G694,"-",""))),"-"," ",LEN($G694)-LEN(SUBSTITUTE($G694,"-",""))-1))-LEN(SUBSTITUTE(SUBSTITUTE(SUBSTITUTE($G694,"-"," ",LEN($G694)-LEN(SUBSTITUTE($G694,"-",""))),"-"," ",LEN($G694)-LEN(SUBSTITUTE($G694,"-",""))-1),".",""))))),$G694)))</f>
        <v/>
      </c>
    </row>
    <row r="695">
      <c r="A695" s="58" t="n"/>
      <c r="B695" s="58">
        <f>IF($H695="","",LEFT($H695,FIND(" ",$H695&amp;" ")-1))</f>
        <v/>
      </c>
      <c r="C695" s="58">
        <f>IF($H695="","",IFERROR(MID($H695&amp;" ",FIND("|",SUBSTITUTE($H695&amp;" "," ","|",1))+1,FIND("|",SUBSTITUTE($H695&amp;" "," ","|",2))-FIND("|",SUBSTITUTE($H695&amp;" "," ","|",1))-1),""))</f>
        <v/>
      </c>
      <c r="D695" s="58">
        <f>IF($H695="","",IFERROR(MID($H695&amp;" ",FIND("|",SUBSTITUTE($H695&amp;" "," ","|",2))+1,FIND("|",SUBSTITUTE($H695&amp;" "," ","|",3))-FIND("|",SUBSTITUTE($H695&amp;" "," ","|",2))-1),""))</f>
        <v/>
      </c>
      <c r="E695" s="58">
        <f>IF($H695="","",IFERROR(MID($H695&amp;" ",FIND("|",SUBSTITUTE($H695&amp;" "," ","|",3))+1,FIND("|",SUBSTITUTE($H695&amp;" "," ","|",4))-FIND("|",SUBSTITUTE($H695&amp;" "," ","|",3))-1),""))</f>
        <v/>
      </c>
      <c r="F695" s="59">
        <f>IF($H695="","",IFERROR(VALUE(IFERROR(MID($H695&amp;" ",FIND("|",SUBSTITUTE($H695&amp;" "," ","|",4))+1,FIND("|",SUBSTITUTE($H695&amp;" "," ","|",5))-FIND("|",SUBSTITUTE($H695&amp;" "," ","|",4))-1),""))/86400+25569+9/24,""))</f>
        <v/>
      </c>
      <c r="G695" s="58">
        <f>TRIM(SUBSTITUTE(SUBSTITUTE(SUBSTITUTE($A695,CHAR(9)," ")," "," "),CHAR(13),""))</f>
        <v/>
      </c>
      <c r="H695" s="58">
        <f>IF($G695="","",IF(ISNUMBER(FIND(" ",$G695)),$G695,IFERROR(IF((LEN(SUBSTITUTE(SUBSTITUTE($G695,"-"," ",LEN($G695)-LEN(SUBSTITUTE($G695,"-",""))),"-"," ",LEN($G695)-LEN(SUBSTITUTE($G695,"-",""))-1))-LEN(SUBSTITUTE(SUBSTITUTE(SUBSTITUTE($G695,"-"," ",LEN($G695)-LEN(SUBSTITUTE($G695,"-",""))),"-"," ",LEN($G695)-LEN(SUBSTITUTE($G695,"-",""))-1),".","")))=0,SUBSTITUTE(SUBSTITUTE($G695,"-"," ",LEN($G695)-LEN(SUBSTITUTE($G695,"-",""))),"-"," ",LEN($G695)-LEN(SUBSTITUTE($G695,"-",""))-1),SUBSTITUTE(SUBSTITUTE(SUBSTITUTE($G695,"-"," ",LEN($G695)-LEN(SUBSTITUTE($G695,"-",""))),"-"," ",LEN($G695)-LEN(SUBSTITUTE($G695,"-",""))-1),"."," ",(LEN(SUBSTITUTE(SUBSTITUTE($G695,"-"," ",LEN($G695)-LEN(SUBSTITUTE($G695,"-",""))),"-"," ",LEN($G695)-LEN(SUBSTITUTE($G695,"-",""))-1))-LEN(SUBSTITUTE(SUBSTITUTE(SUBSTITUTE($G695,"-"," ",LEN($G695)-LEN(SUBSTITUTE($G695,"-",""))),"-"," ",LEN($G695)-LEN(SUBSTITUTE($G695,"-",""))-1),".",""))))),$G695)))</f>
        <v/>
      </c>
    </row>
    <row r="696">
      <c r="A696" s="58" t="n"/>
      <c r="B696" s="58">
        <f>IF($H696="","",LEFT($H696,FIND(" ",$H696&amp;" ")-1))</f>
        <v/>
      </c>
      <c r="C696" s="58">
        <f>IF($H696="","",IFERROR(MID($H696&amp;" ",FIND("|",SUBSTITUTE($H696&amp;" "," ","|",1))+1,FIND("|",SUBSTITUTE($H696&amp;" "," ","|",2))-FIND("|",SUBSTITUTE($H696&amp;" "," ","|",1))-1),""))</f>
        <v/>
      </c>
      <c r="D696" s="58">
        <f>IF($H696="","",IFERROR(MID($H696&amp;" ",FIND("|",SUBSTITUTE($H696&amp;" "," ","|",2))+1,FIND("|",SUBSTITUTE($H696&amp;" "," ","|",3))-FIND("|",SUBSTITUTE($H696&amp;" "," ","|",2))-1),""))</f>
        <v/>
      </c>
      <c r="E696" s="58">
        <f>IF($H696="","",IFERROR(MID($H696&amp;" ",FIND("|",SUBSTITUTE($H696&amp;" "," ","|",3))+1,FIND("|",SUBSTITUTE($H696&amp;" "," ","|",4))-FIND("|",SUBSTITUTE($H696&amp;" "," ","|",3))-1),""))</f>
        <v/>
      </c>
      <c r="F696" s="59">
        <f>IF($H696="","",IFERROR(VALUE(IFERROR(MID($H696&amp;" ",FIND("|",SUBSTITUTE($H696&amp;" "," ","|",4))+1,FIND("|",SUBSTITUTE($H696&amp;" "," ","|",5))-FIND("|",SUBSTITUTE($H696&amp;" "," ","|",4))-1),""))/86400+25569+9/24,""))</f>
        <v/>
      </c>
      <c r="G696" s="58">
        <f>TRIM(SUBSTITUTE(SUBSTITUTE(SUBSTITUTE($A696,CHAR(9)," ")," "," "),CHAR(13),""))</f>
        <v/>
      </c>
      <c r="H696" s="58">
        <f>IF($G696="","",IF(ISNUMBER(FIND(" ",$G696)),$G696,IFERROR(IF((LEN(SUBSTITUTE(SUBSTITUTE($G696,"-"," ",LEN($G696)-LEN(SUBSTITUTE($G696,"-",""))),"-"," ",LEN($G696)-LEN(SUBSTITUTE($G696,"-",""))-1))-LEN(SUBSTITUTE(SUBSTITUTE(SUBSTITUTE($G696,"-"," ",LEN($G696)-LEN(SUBSTITUTE($G696,"-",""))),"-"," ",LEN($G696)-LEN(SUBSTITUTE($G696,"-",""))-1),".","")))=0,SUBSTITUTE(SUBSTITUTE($G696,"-"," ",LEN($G696)-LEN(SUBSTITUTE($G696,"-",""))),"-"," ",LEN($G696)-LEN(SUBSTITUTE($G696,"-",""))-1),SUBSTITUTE(SUBSTITUTE(SUBSTITUTE($G696,"-"," ",LEN($G696)-LEN(SUBSTITUTE($G696,"-",""))),"-"," ",LEN($G696)-LEN(SUBSTITUTE($G696,"-",""))-1),"."," ",(LEN(SUBSTITUTE(SUBSTITUTE($G696,"-"," ",LEN($G696)-LEN(SUBSTITUTE($G696,"-",""))),"-"," ",LEN($G696)-LEN(SUBSTITUTE($G696,"-",""))-1))-LEN(SUBSTITUTE(SUBSTITUTE(SUBSTITUTE($G696,"-"," ",LEN($G696)-LEN(SUBSTITUTE($G696,"-",""))),"-"," ",LEN($G696)-LEN(SUBSTITUTE($G696,"-",""))-1),".",""))))),$G696)))</f>
        <v/>
      </c>
    </row>
    <row r="697">
      <c r="A697" s="58" t="n"/>
      <c r="B697" s="58">
        <f>IF($H697="","",LEFT($H697,FIND(" ",$H697&amp;" ")-1))</f>
        <v/>
      </c>
      <c r="C697" s="58">
        <f>IF($H697="","",IFERROR(MID($H697&amp;" ",FIND("|",SUBSTITUTE($H697&amp;" "," ","|",1))+1,FIND("|",SUBSTITUTE($H697&amp;" "," ","|",2))-FIND("|",SUBSTITUTE($H697&amp;" "," ","|",1))-1),""))</f>
        <v/>
      </c>
      <c r="D697" s="58">
        <f>IF($H697="","",IFERROR(MID($H697&amp;" ",FIND("|",SUBSTITUTE($H697&amp;" "," ","|",2))+1,FIND("|",SUBSTITUTE($H697&amp;" "," ","|",3))-FIND("|",SUBSTITUTE($H697&amp;" "," ","|",2))-1),""))</f>
        <v/>
      </c>
      <c r="E697" s="58">
        <f>IF($H697="","",IFERROR(MID($H697&amp;" ",FIND("|",SUBSTITUTE($H697&amp;" "," ","|",3))+1,FIND("|",SUBSTITUTE($H697&amp;" "," ","|",4))-FIND("|",SUBSTITUTE($H697&amp;" "," ","|",3))-1),""))</f>
        <v/>
      </c>
      <c r="F697" s="59">
        <f>IF($H697="","",IFERROR(VALUE(IFERROR(MID($H697&amp;" ",FIND("|",SUBSTITUTE($H697&amp;" "," ","|",4))+1,FIND("|",SUBSTITUTE($H697&amp;" "," ","|",5))-FIND("|",SUBSTITUTE($H697&amp;" "," ","|",4))-1),""))/86400+25569+9/24,""))</f>
        <v/>
      </c>
      <c r="G697" s="58">
        <f>TRIM(SUBSTITUTE(SUBSTITUTE(SUBSTITUTE($A697,CHAR(9)," ")," "," "),CHAR(13),""))</f>
        <v/>
      </c>
      <c r="H697" s="58">
        <f>IF($G697="","",IF(ISNUMBER(FIND(" ",$G697)),$G697,IFERROR(IF((LEN(SUBSTITUTE(SUBSTITUTE($G697,"-"," ",LEN($G697)-LEN(SUBSTITUTE($G697,"-",""))),"-"," ",LEN($G697)-LEN(SUBSTITUTE($G697,"-",""))-1))-LEN(SUBSTITUTE(SUBSTITUTE(SUBSTITUTE($G697,"-"," ",LEN($G697)-LEN(SUBSTITUTE($G697,"-",""))),"-"," ",LEN($G697)-LEN(SUBSTITUTE($G697,"-",""))-1),".","")))=0,SUBSTITUTE(SUBSTITUTE($G697,"-"," ",LEN($G697)-LEN(SUBSTITUTE($G697,"-",""))),"-"," ",LEN($G697)-LEN(SUBSTITUTE($G697,"-",""))-1),SUBSTITUTE(SUBSTITUTE(SUBSTITUTE($G697,"-"," ",LEN($G697)-LEN(SUBSTITUTE($G697,"-",""))),"-"," ",LEN($G697)-LEN(SUBSTITUTE($G697,"-",""))-1),"."," ",(LEN(SUBSTITUTE(SUBSTITUTE($G697,"-"," ",LEN($G697)-LEN(SUBSTITUTE($G697,"-",""))),"-"," ",LEN($G697)-LEN(SUBSTITUTE($G697,"-",""))-1))-LEN(SUBSTITUTE(SUBSTITUTE(SUBSTITUTE($G697,"-"," ",LEN($G697)-LEN(SUBSTITUTE($G697,"-",""))),"-"," ",LEN($G697)-LEN(SUBSTITUTE($G697,"-",""))-1),".",""))))),$G697)))</f>
        <v/>
      </c>
    </row>
    <row r="698">
      <c r="A698" s="58" t="n"/>
      <c r="B698" s="58">
        <f>IF($H698="","",LEFT($H698,FIND(" ",$H698&amp;" ")-1))</f>
        <v/>
      </c>
      <c r="C698" s="58">
        <f>IF($H698="","",IFERROR(MID($H698&amp;" ",FIND("|",SUBSTITUTE($H698&amp;" "," ","|",1))+1,FIND("|",SUBSTITUTE($H698&amp;" "," ","|",2))-FIND("|",SUBSTITUTE($H698&amp;" "," ","|",1))-1),""))</f>
        <v/>
      </c>
      <c r="D698" s="58">
        <f>IF($H698="","",IFERROR(MID($H698&amp;" ",FIND("|",SUBSTITUTE($H698&amp;" "," ","|",2))+1,FIND("|",SUBSTITUTE($H698&amp;" "," ","|",3))-FIND("|",SUBSTITUTE($H698&amp;" "," ","|",2))-1),""))</f>
        <v/>
      </c>
      <c r="E698" s="58">
        <f>IF($H698="","",IFERROR(MID($H698&amp;" ",FIND("|",SUBSTITUTE($H698&amp;" "," ","|",3))+1,FIND("|",SUBSTITUTE($H698&amp;" "," ","|",4))-FIND("|",SUBSTITUTE($H698&amp;" "," ","|",3))-1),""))</f>
        <v/>
      </c>
      <c r="F698" s="59">
        <f>IF($H698="","",IFERROR(VALUE(IFERROR(MID($H698&amp;" ",FIND("|",SUBSTITUTE($H698&amp;" "," ","|",4))+1,FIND("|",SUBSTITUTE($H698&amp;" "," ","|",5))-FIND("|",SUBSTITUTE($H698&amp;" "," ","|",4))-1),""))/86400+25569+9/24,""))</f>
        <v/>
      </c>
      <c r="G698" s="58">
        <f>TRIM(SUBSTITUTE(SUBSTITUTE(SUBSTITUTE($A698,CHAR(9)," ")," "," "),CHAR(13),""))</f>
        <v/>
      </c>
      <c r="H698" s="58">
        <f>IF($G698="","",IF(ISNUMBER(FIND(" ",$G698)),$G698,IFERROR(IF((LEN(SUBSTITUTE(SUBSTITUTE($G698,"-"," ",LEN($G698)-LEN(SUBSTITUTE($G698,"-",""))),"-"," ",LEN($G698)-LEN(SUBSTITUTE($G698,"-",""))-1))-LEN(SUBSTITUTE(SUBSTITUTE(SUBSTITUTE($G698,"-"," ",LEN($G698)-LEN(SUBSTITUTE($G698,"-",""))),"-"," ",LEN($G698)-LEN(SUBSTITUTE($G698,"-",""))-1),".","")))=0,SUBSTITUTE(SUBSTITUTE($G698,"-"," ",LEN($G698)-LEN(SUBSTITUTE($G698,"-",""))),"-"," ",LEN($G698)-LEN(SUBSTITUTE($G698,"-",""))-1),SUBSTITUTE(SUBSTITUTE(SUBSTITUTE($G698,"-"," ",LEN($G698)-LEN(SUBSTITUTE($G698,"-",""))),"-"," ",LEN($G698)-LEN(SUBSTITUTE($G698,"-",""))-1),"."," ",(LEN(SUBSTITUTE(SUBSTITUTE($G698,"-"," ",LEN($G698)-LEN(SUBSTITUTE($G698,"-",""))),"-"," ",LEN($G698)-LEN(SUBSTITUTE($G698,"-",""))-1))-LEN(SUBSTITUTE(SUBSTITUTE(SUBSTITUTE($G698,"-"," ",LEN($G698)-LEN(SUBSTITUTE($G698,"-",""))),"-"," ",LEN($G698)-LEN(SUBSTITUTE($G698,"-",""))-1),".",""))))),$G698)))</f>
        <v/>
      </c>
    </row>
    <row r="699">
      <c r="A699" s="58" t="n"/>
      <c r="B699" s="58">
        <f>IF($H699="","",LEFT($H699,FIND(" ",$H699&amp;" ")-1))</f>
        <v/>
      </c>
      <c r="C699" s="58">
        <f>IF($H699="","",IFERROR(MID($H699&amp;" ",FIND("|",SUBSTITUTE($H699&amp;" "," ","|",1))+1,FIND("|",SUBSTITUTE($H699&amp;" "," ","|",2))-FIND("|",SUBSTITUTE($H699&amp;" "," ","|",1))-1),""))</f>
        <v/>
      </c>
      <c r="D699" s="58">
        <f>IF($H699="","",IFERROR(MID($H699&amp;" ",FIND("|",SUBSTITUTE($H699&amp;" "," ","|",2))+1,FIND("|",SUBSTITUTE($H699&amp;" "," ","|",3))-FIND("|",SUBSTITUTE($H699&amp;" "," ","|",2))-1),""))</f>
        <v/>
      </c>
      <c r="E699" s="58">
        <f>IF($H699="","",IFERROR(MID($H699&amp;" ",FIND("|",SUBSTITUTE($H699&amp;" "," ","|",3))+1,FIND("|",SUBSTITUTE($H699&amp;" "," ","|",4))-FIND("|",SUBSTITUTE($H699&amp;" "," ","|",3))-1),""))</f>
        <v/>
      </c>
      <c r="F699" s="59">
        <f>IF($H699="","",IFERROR(VALUE(IFERROR(MID($H699&amp;" ",FIND("|",SUBSTITUTE($H699&amp;" "," ","|",4))+1,FIND("|",SUBSTITUTE($H699&amp;" "," ","|",5))-FIND("|",SUBSTITUTE($H699&amp;" "," ","|",4))-1),""))/86400+25569+9/24,""))</f>
        <v/>
      </c>
      <c r="G699" s="58">
        <f>TRIM(SUBSTITUTE(SUBSTITUTE(SUBSTITUTE($A699,CHAR(9)," ")," "," "),CHAR(13),""))</f>
        <v/>
      </c>
      <c r="H699" s="58">
        <f>IF($G699="","",IF(ISNUMBER(FIND(" ",$G699)),$G699,IFERROR(IF((LEN(SUBSTITUTE(SUBSTITUTE($G699,"-"," ",LEN($G699)-LEN(SUBSTITUTE($G699,"-",""))),"-"," ",LEN($G699)-LEN(SUBSTITUTE($G699,"-",""))-1))-LEN(SUBSTITUTE(SUBSTITUTE(SUBSTITUTE($G699,"-"," ",LEN($G699)-LEN(SUBSTITUTE($G699,"-",""))),"-"," ",LEN($G699)-LEN(SUBSTITUTE($G699,"-",""))-1),".","")))=0,SUBSTITUTE(SUBSTITUTE($G699,"-"," ",LEN($G699)-LEN(SUBSTITUTE($G699,"-",""))),"-"," ",LEN($G699)-LEN(SUBSTITUTE($G699,"-",""))-1),SUBSTITUTE(SUBSTITUTE(SUBSTITUTE($G699,"-"," ",LEN($G699)-LEN(SUBSTITUTE($G699,"-",""))),"-"," ",LEN($G699)-LEN(SUBSTITUTE($G699,"-",""))-1),"."," ",(LEN(SUBSTITUTE(SUBSTITUTE($G699,"-"," ",LEN($G699)-LEN(SUBSTITUTE($G699,"-",""))),"-"," ",LEN($G699)-LEN(SUBSTITUTE($G699,"-",""))-1))-LEN(SUBSTITUTE(SUBSTITUTE(SUBSTITUTE($G699,"-"," ",LEN($G699)-LEN(SUBSTITUTE($G699,"-",""))),"-"," ",LEN($G699)-LEN(SUBSTITUTE($G699,"-",""))-1),".",""))))),$G699)))</f>
        <v/>
      </c>
    </row>
    <row r="700">
      <c r="A700" s="58" t="n"/>
      <c r="B700" s="58">
        <f>IF($H700="","",LEFT($H700,FIND(" ",$H700&amp;" ")-1))</f>
        <v/>
      </c>
      <c r="C700" s="58">
        <f>IF($H700="","",IFERROR(MID($H700&amp;" ",FIND("|",SUBSTITUTE($H700&amp;" "," ","|",1))+1,FIND("|",SUBSTITUTE($H700&amp;" "," ","|",2))-FIND("|",SUBSTITUTE($H700&amp;" "," ","|",1))-1),""))</f>
        <v/>
      </c>
      <c r="D700" s="58">
        <f>IF($H700="","",IFERROR(MID($H700&amp;" ",FIND("|",SUBSTITUTE($H700&amp;" "," ","|",2))+1,FIND("|",SUBSTITUTE($H700&amp;" "," ","|",3))-FIND("|",SUBSTITUTE($H700&amp;" "," ","|",2))-1),""))</f>
        <v/>
      </c>
      <c r="E700" s="58">
        <f>IF($H700="","",IFERROR(MID($H700&amp;" ",FIND("|",SUBSTITUTE($H700&amp;" "," ","|",3))+1,FIND("|",SUBSTITUTE($H700&amp;" "," ","|",4))-FIND("|",SUBSTITUTE($H700&amp;" "," ","|",3))-1),""))</f>
        <v/>
      </c>
      <c r="F700" s="59">
        <f>IF($H700="","",IFERROR(VALUE(IFERROR(MID($H700&amp;" ",FIND("|",SUBSTITUTE($H700&amp;" "," ","|",4))+1,FIND("|",SUBSTITUTE($H700&amp;" "," ","|",5))-FIND("|",SUBSTITUTE($H700&amp;" "," ","|",4))-1),""))/86400+25569+9/24,""))</f>
        <v/>
      </c>
      <c r="G700" s="58">
        <f>TRIM(SUBSTITUTE(SUBSTITUTE(SUBSTITUTE($A700,CHAR(9)," ")," "," "),CHAR(13),""))</f>
        <v/>
      </c>
      <c r="H700" s="58">
        <f>IF($G700="","",IF(ISNUMBER(FIND(" ",$G700)),$G700,IFERROR(IF((LEN(SUBSTITUTE(SUBSTITUTE($G700,"-"," ",LEN($G700)-LEN(SUBSTITUTE($G700,"-",""))),"-"," ",LEN($G700)-LEN(SUBSTITUTE($G700,"-",""))-1))-LEN(SUBSTITUTE(SUBSTITUTE(SUBSTITUTE($G700,"-"," ",LEN($G700)-LEN(SUBSTITUTE($G700,"-",""))),"-"," ",LEN($G700)-LEN(SUBSTITUTE($G700,"-",""))-1),".","")))=0,SUBSTITUTE(SUBSTITUTE($G700,"-"," ",LEN($G700)-LEN(SUBSTITUTE($G700,"-",""))),"-"," ",LEN($G700)-LEN(SUBSTITUTE($G700,"-",""))-1),SUBSTITUTE(SUBSTITUTE(SUBSTITUTE($G700,"-"," ",LEN($G700)-LEN(SUBSTITUTE($G700,"-",""))),"-"," ",LEN($G700)-LEN(SUBSTITUTE($G700,"-",""))-1),"."," ",(LEN(SUBSTITUTE(SUBSTITUTE($G700,"-"," ",LEN($G700)-LEN(SUBSTITUTE($G700,"-",""))),"-"," ",LEN($G700)-LEN(SUBSTITUTE($G700,"-",""))-1))-LEN(SUBSTITUTE(SUBSTITUTE(SUBSTITUTE($G700,"-"," ",LEN($G700)-LEN(SUBSTITUTE($G700,"-",""))),"-"," ",LEN($G700)-LEN(SUBSTITUTE($G700,"-",""))-1),".",""))))),$G700)))</f>
        <v/>
      </c>
    </row>
    <row r="701">
      <c r="A701" s="58" t="n"/>
      <c r="B701" s="58">
        <f>IF($H701="","",LEFT($H701,FIND(" ",$H701&amp;" ")-1))</f>
        <v/>
      </c>
      <c r="C701" s="58">
        <f>IF($H701="","",IFERROR(MID($H701&amp;" ",FIND("|",SUBSTITUTE($H701&amp;" "," ","|",1))+1,FIND("|",SUBSTITUTE($H701&amp;" "," ","|",2))-FIND("|",SUBSTITUTE($H701&amp;" "," ","|",1))-1),""))</f>
        <v/>
      </c>
      <c r="D701" s="58">
        <f>IF($H701="","",IFERROR(MID($H701&amp;" ",FIND("|",SUBSTITUTE($H701&amp;" "," ","|",2))+1,FIND("|",SUBSTITUTE($H701&amp;" "," ","|",3))-FIND("|",SUBSTITUTE($H701&amp;" "," ","|",2))-1),""))</f>
        <v/>
      </c>
      <c r="E701" s="58">
        <f>IF($H701="","",IFERROR(MID($H701&amp;" ",FIND("|",SUBSTITUTE($H701&amp;" "," ","|",3))+1,FIND("|",SUBSTITUTE($H701&amp;" "," ","|",4))-FIND("|",SUBSTITUTE($H701&amp;" "," ","|",3))-1),""))</f>
        <v/>
      </c>
      <c r="F701" s="59">
        <f>IF($H701="","",IFERROR(VALUE(IFERROR(MID($H701&amp;" ",FIND("|",SUBSTITUTE($H701&amp;" "," ","|",4))+1,FIND("|",SUBSTITUTE($H701&amp;" "," ","|",5))-FIND("|",SUBSTITUTE($H701&amp;" "," ","|",4))-1),""))/86400+25569+9/24,""))</f>
        <v/>
      </c>
      <c r="G701" s="58">
        <f>TRIM(SUBSTITUTE(SUBSTITUTE(SUBSTITUTE($A701,CHAR(9)," ")," "," "),CHAR(13),""))</f>
        <v/>
      </c>
      <c r="H701" s="58">
        <f>IF($G701="","",IF(ISNUMBER(FIND(" ",$G701)),$G701,IFERROR(IF((LEN(SUBSTITUTE(SUBSTITUTE($G701,"-"," ",LEN($G701)-LEN(SUBSTITUTE($G701,"-",""))),"-"," ",LEN($G701)-LEN(SUBSTITUTE($G701,"-",""))-1))-LEN(SUBSTITUTE(SUBSTITUTE(SUBSTITUTE($G701,"-"," ",LEN($G701)-LEN(SUBSTITUTE($G701,"-",""))),"-"," ",LEN($G701)-LEN(SUBSTITUTE($G701,"-",""))-1),".","")))=0,SUBSTITUTE(SUBSTITUTE($G701,"-"," ",LEN($G701)-LEN(SUBSTITUTE($G701,"-",""))),"-"," ",LEN($G701)-LEN(SUBSTITUTE($G701,"-",""))-1),SUBSTITUTE(SUBSTITUTE(SUBSTITUTE($G701,"-"," ",LEN($G701)-LEN(SUBSTITUTE($G701,"-",""))),"-"," ",LEN($G701)-LEN(SUBSTITUTE($G701,"-",""))-1),"."," ",(LEN(SUBSTITUTE(SUBSTITUTE($G701,"-"," ",LEN($G701)-LEN(SUBSTITUTE($G701,"-",""))),"-"," ",LEN($G701)-LEN(SUBSTITUTE($G701,"-",""))-1))-LEN(SUBSTITUTE(SUBSTITUTE(SUBSTITUTE($G701,"-"," ",LEN($G701)-LEN(SUBSTITUTE($G701,"-",""))),"-"," ",LEN($G701)-LEN(SUBSTITUTE($G701,"-",""))-1),".",""))))),$G701)))</f>
        <v/>
      </c>
    </row>
    <row r="702">
      <c r="A702" s="58" t="n"/>
      <c r="B702" s="58">
        <f>IF($H702="","",LEFT($H702,FIND(" ",$H702&amp;" ")-1))</f>
        <v/>
      </c>
      <c r="C702" s="58">
        <f>IF($H702="","",IFERROR(MID($H702&amp;" ",FIND("|",SUBSTITUTE($H702&amp;" "," ","|",1))+1,FIND("|",SUBSTITUTE($H702&amp;" "," ","|",2))-FIND("|",SUBSTITUTE($H702&amp;" "," ","|",1))-1),""))</f>
        <v/>
      </c>
      <c r="D702" s="58">
        <f>IF($H702="","",IFERROR(MID($H702&amp;" ",FIND("|",SUBSTITUTE($H702&amp;" "," ","|",2))+1,FIND("|",SUBSTITUTE($H702&amp;" "," ","|",3))-FIND("|",SUBSTITUTE($H702&amp;" "," ","|",2))-1),""))</f>
        <v/>
      </c>
      <c r="E702" s="58">
        <f>IF($H702="","",IFERROR(MID($H702&amp;" ",FIND("|",SUBSTITUTE($H702&amp;" "," ","|",3))+1,FIND("|",SUBSTITUTE($H702&amp;" "," ","|",4))-FIND("|",SUBSTITUTE($H702&amp;" "," ","|",3))-1),""))</f>
        <v/>
      </c>
      <c r="F702" s="59">
        <f>IF($H702="","",IFERROR(VALUE(IFERROR(MID($H702&amp;" ",FIND("|",SUBSTITUTE($H702&amp;" "," ","|",4))+1,FIND("|",SUBSTITUTE($H702&amp;" "," ","|",5))-FIND("|",SUBSTITUTE($H702&amp;" "," ","|",4))-1),""))/86400+25569+9/24,""))</f>
        <v/>
      </c>
      <c r="G702" s="58">
        <f>TRIM(SUBSTITUTE(SUBSTITUTE(SUBSTITUTE($A702,CHAR(9)," ")," "," "),CHAR(13),""))</f>
        <v/>
      </c>
      <c r="H702" s="58">
        <f>IF($G702="","",IF(ISNUMBER(FIND(" ",$G702)),$G702,IFERROR(IF((LEN(SUBSTITUTE(SUBSTITUTE($G702,"-"," ",LEN($G702)-LEN(SUBSTITUTE($G702,"-",""))),"-"," ",LEN($G702)-LEN(SUBSTITUTE($G702,"-",""))-1))-LEN(SUBSTITUTE(SUBSTITUTE(SUBSTITUTE($G702,"-"," ",LEN($G702)-LEN(SUBSTITUTE($G702,"-",""))),"-"," ",LEN($G702)-LEN(SUBSTITUTE($G702,"-",""))-1),".","")))=0,SUBSTITUTE(SUBSTITUTE($G702,"-"," ",LEN($G702)-LEN(SUBSTITUTE($G702,"-",""))),"-"," ",LEN($G702)-LEN(SUBSTITUTE($G702,"-",""))-1),SUBSTITUTE(SUBSTITUTE(SUBSTITUTE($G702,"-"," ",LEN($G702)-LEN(SUBSTITUTE($G702,"-",""))),"-"," ",LEN($G702)-LEN(SUBSTITUTE($G702,"-",""))-1),"."," ",(LEN(SUBSTITUTE(SUBSTITUTE($G702,"-"," ",LEN($G702)-LEN(SUBSTITUTE($G702,"-",""))),"-"," ",LEN($G702)-LEN(SUBSTITUTE($G702,"-",""))-1))-LEN(SUBSTITUTE(SUBSTITUTE(SUBSTITUTE($G702,"-"," ",LEN($G702)-LEN(SUBSTITUTE($G702,"-",""))),"-"," ",LEN($G702)-LEN(SUBSTITUTE($G702,"-",""))-1),".",""))))),$G702)))</f>
        <v/>
      </c>
    </row>
    <row r="703">
      <c r="A703" s="58" t="n"/>
      <c r="B703" s="58">
        <f>IF($H703="","",LEFT($H703,FIND(" ",$H703&amp;" ")-1))</f>
        <v/>
      </c>
      <c r="C703" s="58">
        <f>IF($H703="","",IFERROR(MID($H703&amp;" ",FIND("|",SUBSTITUTE($H703&amp;" "," ","|",1))+1,FIND("|",SUBSTITUTE($H703&amp;" "," ","|",2))-FIND("|",SUBSTITUTE($H703&amp;" "," ","|",1))-1),""))</f>
        <v/>
      </c>
      <c r="D703" s="58">
        <f>IF($H703="","",IFERROR(MID($H703&amp;" ",FIND("|",SUBSTITUTE($H703&amp;" "," ","|",2))+1,FIND("|",SUBSTITUTE($H703&amp;" "," ","|",3))-FIND("|",SUBSTITUTE($H703&amp;" "," ","|",2))-1),""))</f>
        <v/>
      </c>
      <c r="E703" s="58">
        <f>IF($H703="","",IFERROR(MID($H703&amp;" ",FIND("|",SUBSTITUTE($H703&amp;" "," ","|",3))+1,FIND("|",SUBSTITUTE($H703&amp;" "," ","|",4))-FIND("|",SUBSTITUTE($H703&amp;" "," ","|",3))-1),""))</f>
        <v/>
      </c>
      <c r="F703" s="59">
        <f>IF($H703="","",IFERROR(VALUE(IFERROR(MID($H703&amp;" ",FIND("|",SUBSTITUTE($H703&amp;" "," ","|",4))+1,FIND("|",SUBSTITUTE($H703&amp;" "," ","|",5))-FIND("|",SUBSTITUTE($H703&amp;" "," ","|",4))-1),""))/86400+25569+9/24,""))</f>
        <v/>
      </c>
      <c r="G703" s="58">
        <f>TRIM(SUBSTITUTE(SUBSTITUTE(SUBSTITUTE($A703,CHAR(9)," ")," "," "),CHAR(13),""))</f>
        <v/>
      </c>
      <c r="H703" s="58">
        <f>IF($G703="","",IF(ISNUMBER(FIND(" ",$G703)),$G703,IFERROR(IF((LEN(SUBSTITUTE(SUBSTITUTE($G703,"-"," ",LEN($G703)-LEN(SUBSTITUTE($G703,"-",""))),"-"," ",LEN($G703)-LEN(SUBSTITUTE($G703,"-",""))-1))-LEN(SUBSTITUTE(SUBSTITUTE(SUBSTITUTE($G703,"-"," ",LEN($G703)-LEN(SUBSTITUTE($G703,"-",""))),"-"," ",LEN($G703)-LEN(SUBSTITUTE($G703,"-",""))-1),".","")))=0,SUBSTITUTE(SUBSTITUTE($G703,"-"," ",LEN($G703)-LEN(SUBSTITUTE($G703,"-",""))),"-"," ",LEN($G703)-LEN(SUBSTITUTE($G703,"-",""))-1),SUBSTITUTE(SUBSTITUTE(SUBSTITUTE($G703,"-"," ",LEN($G703)-LEN(SUBSTITUTE($G703,"-",""))),"-"," ",LEN($G703)-LEN(SUBSTITUTE($G703,"-",""))-1),"."," ",(LEN(SUBSTITUTE(SUBSTITUTE($G703,"-"," ",LEN($G703)-LEN(SUBSTITUTE($G703,"-",""))),"-"," ",LEN($G703)-LEN(SUBSTITUTE($G703,"-",""))-1))-LEN(SUBSTITUTE(SUBSTITUTE(SUBSTITUTE($G703,"-"," ",LEN($G703)-LEN(SUBSTITUTE($G703,"-",""))),"-"," ",LEN($G703)-LEN(SUBSTITUTE($G703,"-",""))-1),".",""))))),$G703)))</f>
        <v/>
      </c>
    </row>
    <row r="704">
      <c r="A704" s="58" t="n"/>
      <c r="B704" s="58">
        <f>IF($H704="","",LEFT($H704,FIND(" ",$H704&amp;" ")-1))</f>
        <v/>
      </c>
      <c r="C704" s="58">
        <f>IF($H704="","",IFERROR(MID($H704&amp;" ",FIND("|",SUBSTITUTE($H704&amp;" "," ","|",1))+1,FIND("|",SUBSTITUTE($H704&amp;" "," ","|",2))-FIND("|",SUBSTITUTE($H704&amp;" "," ","|",1))-1),""))</f>
        <v/>
      </c>
      <c r="D704" s="58">
        <f>IF($H704="","",IFERROR(MID($H704&amp;" ",FIND("|",SUBSTITUTE($H704&amp;" "," ","|",2))+1,FIND("|",SUBSTITUTE($H704&amp;" "," ","|",3))-FIND("|",SUBSTITUTE($H704&amp;" "," ","|",2))-1),""))</f>
        <v/>
      </c>
      <c r="E704" s="58">
        <f>IF($H704="","",IFERROR(MID($H704&amp;" ",FIND("|",SUBSTITUTE($H704&amp;" "," ","|",3))+1,FIND("|",SUBSTITUTE($H704&amp;" "," ","|",4))-FIND("|",SUBSTITUTE($H704&amp;" "," ","|",3))-1),""))</f>
        <v/>
      </c>
      <c r="F704" s="59">
        <f>IF($H704="","",IFERROR(VALUE(IFERROR(MID($H704&amp;" ",FIND("|",SUBSTITUTE($H704&amp;" "," ","|",4))+1,FIND("|",SUBSTITUTE($H704&amp;" "," ","|",5))-FIND("|",SUBSTITUTE($H704&amp;" "," ","|",4))-1),""))/86400+25569+9/24,""))</f>
        <v/>
      </c>
      <c r="G704" s="58">
        <f>TRIM(SUBSTITUTE(SUBSTITUTE(SUBSTITUTE($A704,CHAR(9)," ")," "," "),CHAR(13),""))</f>
        <v/>
      </c>
      <c r="H704" s="58">
        <f>IF($G704="","",IF(ISNUMBER(FIND(" ",$G704)),$G704,IFERROR(IF((LEN(SUBSTITUTE(SUBSTITUTE($G704,"-"," ",LEN($G704)-LEN(SUBSTITUTE($G704,"-",""))),"-"," ",LEN($G704)-LEN(SUBSTITUTE($G704,"-",""))-1))-LEN(SUBSTITUTE(SUBSTITUTE(SUBSTITUTE($G704,"-"," ",LEN($G704)-LEN(SUBSTITUTE($G704,"-",""))),"-"," ",LEN($G704)-LEN(SUBSTITUTE($G704,"-",""))-1),".","")))=0,SUBSTITUTE(SUBSTITUTE($G704,"-"," ",LEN($G704)-LEN(SUBSTITUTE($G704,"-",""))),"-"," ",LEN($G704)-LEN(SUBSTITUTE($G704,"-",""))-1),SUBSTITUTE(SUBSTITUTE(SUBSTITUTE($G704,"-"," ",LEN($G704)-LEN(SUBSTITUTE($G704,"-",""))),"-"," ",LEN($G704)-LEN(SUBSTITUTE($G704,"-",""))-1),"."," ",(LEN(SUBSTITUTE(SUBSTITUTE($G704,"-"," ",LEN($G704)-LEN(SUBSTITUTE($G704,"-",""))),"-"," ",LEN($G704)-LEN(SUBSTITUTE($G704,"-",""))-1))-LEN(SUBSTITUTE(SUBSTITUTE(SUBSTITUTE($G704,"-"," ",LEN($G704)-LEN(SUBSTITUTE($G704,"-",""))),"-"," ",LEN($G704)-LEN(SUBSTITUTE($G704,"-",""))-1),".",""))))),$G704)))</f>
        <v/>
      </c>
    </row>
    <row r="705">
      <c r="A705" s="58" t="n"/>
      <c r="B705" s="58">
        <f>IF($H705="","",LEFT($H705,FIND(" ",$H705&amp;" ")-1))</f>
        <v/>
      </c>
      <c r="C705" s="58">
        <f>IF($H705="","",IFERROR(MID($H705&amp;" ",FIND("|",SUBSTITUTE($H705&amp;" "," ","|",1))+1,FIND("|",SUBSTITUTE($H705&amp;" "," ","|",2))-FIND("|",SUBSTITUTE($H705&amp;" "," ","|",1))-1),""))</f>
        <v/>
      </c>
      <c r="D705" s="58">
        <f>IF($H705="","",IFERROR(MID($H705&amp;" ",FIND("|",SUBSTITUTE($H705&amp;" "," ","|",2))+1,FIND("|",SUBSTITUTE($H705&amp;" "," ","|",3))-FIND("|",SUBSTITUTE($H705&amp;" "," ","|",2))-1),""))</f>
        <v/>
      </c>
      <c r="E705" s="58">
        <f>IF($H705="","",IFERROR(MID($H705&amp;" ",FIND("|",SUBSTITUTE($H705&amp;" "," ","|",3))+1,FIND("|",SUBSTITUTE($H705&amp;" "," ","|",4))-FIND("|",SUBSTITUTE($H705&amp;" "," ","|",3))-1),""))</f>
        <v/>
      </c>
      <c r="F705" s="59">
        <f>IF($H705="","",IFERROR(VALUE(IFERROR(MID($H705&amp;" ",FIND("|",SUBSTITUTE($H705&amp;" "," ","|",4))+1,FIND("|",SUBSTITUTE($H705&amp;" "," ","|",5))-FIND("|",SUBSTITUTE($H705&amp;" "," ","|",4))-1),""))/86400+25569+9/24,""))</f>
        <v/>
      </c>
      <c r="G705" s="58">
        <f>TRIM(SUBSTITUTE(SUBSTITUTE(SUBSTITUTE($A705,CHAR(9)," ")," "," "),CHAR(13),""))</f>
        <v/>
      </c>
      <c r="H705" s="58">
        <f>IF($G705="","",IF(ISNUMBER(FIND(" ",$G705)),$G705,IFERROR(IF((LEN(SUBSTITUTE(SUBSTITUTE($G705,"-"," ",LEN($G705)-LEN(SUBSTITUTE($G705,"-",""))),"-"," ",LEN($G705)-LEN(SUBSTITUTE($G705,"-",""))-1))-LEN(SUBSTITUTE(SUBSTITUTE(SUBSTITUTE($G705,"-"," ",LEN($G705)-LEN(SUBSTITUTE($G705,"-",""))),"-"," ",LEN($G705)-LEN(SUBSTITUTE($G705,"-",""))-1),".","")))=0,SUBSTITUTE(SUBSTITUTE($G705,"-"," ",LEN($G705)-LEN(SUBSTITUTE($G705,"-",""))),"-"," ",LEN($G705)-LEN(SUBSTITUTE($G705,"-",""))-1),SUBSTITUTE(SUBSTITUTE(SUBSTITUTE($G705,"-"," ",LEN($G705)-LEN(SUBSTITUTE($G705,"-",""))),"-"," ",LEN($G705)-LEN(SUBSTITUTE($G705,"-",""))-1),"."," ",(LEN(SUBSTITUTE(SUBSTITUTE($G705,"-"," ",LEN($G705)-LEN(SUBSTITUTE($G705,"-",""))),"-"," ",LEN($G705)-LEN(SUBSTITUTE($G705,"-",""))-1))-LEN(SUBSTITUTE(SUBSTITUTE(SUBSTITUTE($G705,"-"," ",LEN($G705)-LEN(SUBSTITUTE($G705,"-",""))),"-"," ",LEN($G705)-LEN(SUBSTITUTE($G705,"-",""))-1),".",""))))),$G705)))</f>
        <v/>
      </c>
    </row>
    <row r="706">
      <c r="A706" s="58" t="n"/>
      <c r="B706" s="58">
        <f>IF($H706="","",LEFT($H706,FIND(" ",$H706&amp;" ")-1))</f>
        <v/>
      </c>
      <c r="C706" s="58">
        <f>IF($H706="","",IFERROR(MID($H706&amp;" ",FIND("|",SUBSTITUTE($H706&amp;" "," ","|",1))+1,FIND("|",SUBSTITUTE($H706&amp;" "," ","|",2))-FIND("|",SUBSTITUTE($H706&amp;" "," ","|",1))-1),""))</f>
        <v/>
      </c>
      <c r="D706" s="58">
        <f>IF($H706="","",IFERROR(MID($H706&amp;" ",FIND("|",SUBSTITUTE($H706&amp;" "," ","|",2))+1,FIND("|",SUBSTITUTE($H706&amp;" "," ","|",3))-FIND("|",SUBSTITUTE($H706&amp;" "," ","|",2))-1),""))</f>
        <v/>
      </c>
      <c r="E706" s="58">
        <f>IF($H706="","",IFERROR(MID($H706&amp;" ",FIND("|",SUBSTITUTE($H706&amp;" "," ","|",3))+1,FIND("|",SUBSTITUTE($H706&amp;" "," ","|",4))-FIND("|",SUBSTITUTE($H706&amp;" "," ","|",3))-1),""))</f>
        <v/>
      </c>
      <c r="F706" s="59">
        <f>IF($H706="","",IFERROR(VALUE(IFERROR(MID($H706&amp;" ",FIND("|",SUBSTITUTE($H706&amp;" "," ","|",4))+1,FIND("|",SUBSTITUTE($H706&amp;" "," ","|",5))-FIND("|",SUBSTITUTE($H706&amp;" "," ","|",4))-1),""))/86400+25569+9/24,""))</f>
        <v/>
      </c>
      <c r="G706" s="58">
        <f>TRIM(SUBSTITUTE(SUBSTITUTE(SUBSTITUTE($A706,CHAR(9)," ")," "," "),CHAR(13),""))</f>
        <v/>
      </c>
      <c r="H706" s="58">
        <f>IF($G706="","",IF(ISNUMBER(FIND(" ",$G706)),$G706,IFERROR(IF((LEN(SUBSTITUTE(SUBSTITUTE($G706,"-"," ",LEN($G706)-LEN(SUBSTITUTE($G706,"-",""))),"-"," ",LEN($G706)-LEN(SUBSTITUTE($G706,"-",""))-1))-LEN(SUBSTITUTE(SUBSTITUTE(SUBSTITUTE($G706,"-"," ",LEN($G706)-LEN(SUBSTITUTE($G706,"-",""))),"-"," ",LEN($G706)-LEN(SUBSTITUTE($G706,"-",""))-1),".","")))=0,SUBSTITUTE(SUBSTITUTE($G706,"-"," ",LEN($G706)-LEN(SUBSTITUTE($G706,"-",""))),"-"," ",LEN($G706)-LEN(SUBSTITUTE($G706,"-",""))-1),SUBSTITUTE(SUBSTITUTE(SUBSTITUTE($G706,"-"," ",LEN($G706)-LEN(SUBSTITUTE($G706,"-",""))),"-"," ",LEN($G706)-LEN(SUBSTITUTE($G706,"-",""))-1),"."," ",(LEN(SUBSTITUTE(SUBSTITUTE($G706,"-"," ",LEN($G706)-LEN(SUBSTITUTE($G706,"-",""))),"-"," ",LEN($G706)-LEN(SUBSTITUTE($G706,"-",""))-1))-LEN(SUBSTITUTE(SUBSTITUTE(SUBSTITUTE($G706,"-"," ",LEN($G706)-LEN(SUBSTITUTE($G706,"-",""))),"-"," ",LEN($G706)-LEN(SUBSTITUTE($G706,"-",""))-1),".",""))))),$G706)))</f>
        <v/>
      </c>
    </row>
    <row r="707">
      <c r="A707" s="58" t="n"/>
      <c r="B707" s="58">
        <f>IF($H707="","",LEFT($H707,FIND(" ",$H707&amp;" ")-1))</f>
        <v/>
      </c>
      <c r="C707" s="58">
        <f>IF($H707="","",IFERROR(MID($H707&amp;" ",FIND("|",SUBSTITUTE($H707&amp;" "," ","|",1))+1,FIND("|",SUBSTITUTE($H707&amp;" "," ","|",2))-FIND("|",SUBSTITUTE($H707&amp;" "," ","|",1))-1),""))</f>
        <v/>
      </c>
      <c r="D707" s="58">
        <f>IF($H707="","",IFERROR(MID($H707&amp;" ",FIND("|",SUBSTITUTE($H707&amp;" "," ","|",2))+1,FIND("|",SUBSTITUTE($H707&amp;" "," ","|",3))-FIND("|",SUBSTITUTE($H707&amp;" "," ","|",2))-1),""))</f>
        <v/>
      </c>
      <c r="E707" s="58">
        <f>IF($H707="","",IFERROR(MID($H707&amp;" ",FIND("|",SUBSTITUTE($H707&amp;" "," ","|",3))+1,FIND("|",SUBSTITUTE($H707&amp;" "," ","|",4))-FIND("|",SUBSTITUTE($H707&amp;" "," ","|",3))-1),""))</f>
        <v/>
      </c>
      <c r="F707" s="59">
        <f>IF($H707="","",IFERROR(VALUE(IFERROR(MID($H707&amp;" ",FIND("|",SUBSTITUTE($H707&amp;" "," ","|",4))+1,FIND("|",SUBSTITUTE($H707&amp;" "," ","|",5))-FIND("|",SUBSTITUTE($H707&amp;" "," ","|",4))-1),""))/86400+25569+9/24,""))</f>
        <v/>
      </c>
      <c r="G707" s="58">
        <f>TRIM(SUBSTITUTE(SUBSTITUTE(SUBSTITUTE($A707,CHAR(9)," ")," "," "),CHAR(13),""))</f>
        <v/>
      </c>
      <c r="H707" s="58">
        <f>IF($G707="","",IF(ISNUMBER(FIND(" ",$G707)),$G707,IFERROR(IF((LEN(SUBSTITUTE(SUBSTITUTE($G707,"-"," ",LEN($G707)-LEN(SUBSTITUTE($G707,"-",""))),"-"," ",LEN($G707)-LEN(SUBSTITUTE($G707,"-",""))-1))-LEN(SUBSTITUTE(SUBSTITUTE(SUBSTITUTE($G707,"-"," ",LEN($G707)-LEN(SUBSTITUTE($G707,"-",""))),"-"," ",LEN($G707)-LEN(SUBSTITUTE($G707,"-",""))-1),".","")))=0,SUBSTITUTE(SUBSTITUTE($G707,"-"," ",LEN($G707)-LEN(SUBSTITUTE($G707,"-",""))),"-"," ",LEN($G707)-LEN(SUBSTITUTE($G707,"-",""))-1),SUBSTITUTE(SUBSTITUTE(SUBSTITUTE($G707,"-"," ",LEN($G707)-LEN(SUBSTITUTE($G707,"-",""))),"-"," ",LEN($G707)-LEN(SUBSTITUTE($G707,"-",""))-1),"."," ",(LEN(SUBSTITUTE(SUBSTITUTE($G707,"-"," ",LEN($G707)-LEN(SUBSTITUTE($G707,"-",""))),"-"," ",LEN($G707)-LEN(SUBSTITUTE($G707,"-",""))-1))-LEN(SUBSTITUTE(SUBSTITUTE(SUBSTITUTE($G707,"-"," ",LEN($G707)-LEN(SUBSTITUTE($G707,"-",""))),"-"," ",LEN($G707)-LEN(SUBSTITUTE($G707,"-",""))-1),".",""))))),$G707)))</f>
        <v/>
      </c>
    </row>
    <row r="708">
      <c r="A708" s="58" t="n"/>
      <c r="B708" s="58">
        <f>IF($H708="","",LEFT($H708,FIND(" ",$H708&amp;" ")-1))</f>
        <v/>
      </c>
      <c r="C708" s="58">
        <f>IF($H708="","",IFERROR(MID($H708&amp;" ",FIND("|",SUBSTITUTE($H708&amp;" "," ","|",1))+1,FIND("|",SUBSTITUTE($H708&amp;" "," ","|",2))-FIND("|",SUBSTITUTE($H708&amp;" "," ","|",1))-1),""))</f>
        <v/>
      </c>
      <c r="D708" s="58">
        <f>IF($H708="","",IFERROR(MID($H708&amp;" ",FIND("|",SUBSTITUTE($H708&amp;" "," ","|",2))+1,FIND("|",SUBSTITUTE($H708&amp;" "," ","|",3))-FIND("|",SUBSTITUTE($H708&amp;" "," ","|",2))-1),""))</f>
        <v/>
      </c>
      <c r="E708" s="58">
        <f>IF($H708="","",IFERROR(MID($H708&amp;" ",FIND("|",SUBSTITUTE($H708&amp;" "," ","|",3))+1,FIND("|",SUBSTITUTE($H708&amp;" "," ","|",4))-FIND("|",SUBSTITUTE($H708&amp;" "," ","|",3))-1),""))</f>
        <v/>
      </c>
      <c r="F708" s="59">
        <f>IF($H708="","",IFERROR(VALUE(IFERROR(MID($H708&amp;" ",FIND("|",SUBSTITUTE($H708&amp;" "," ","|",4))+1,FIND("|",SUBSTITUTE($H708&amp;" "," ","|",5))-FIND("|",SUBSTITUTE($H708&amp;" "," ","|",4))-1),""))/86400+25569+9/24,""))</f>
        <v/>
      </c>
      <c r="G708" s="58">
        <f>TRIM(SUBSTITUTE(SUBSTITUTE(SUBSTITUTE($A708,CHAR(9)," ")," "," "),CHAR(13),""))</f>
        <v/>
      </c>
      <c r="H708" s="58">
        <f>IF($G708="","",IF(ISNUMBER(FIND(" ",$G708)),$G708,IFERROR(IF((LEN(SUBSTITUTE(SUBSTITUTE($G708,"-"," ",LEN($G708)-LEN(SUBSTITUTE($G708,"-",""))),"-"," ",LEN($G708)-LEN(SUBSTITUTE($G708,"-",""))-1))-LEN(SUBSTITUTE(SUBSTITUTE(SUBSTITUTE($G708,"-"," ",LEN($G708)-LEN(SUBSTITUTE($G708,"-",""))),"-"," ",LEN($G708)-LEN(SUBSTITUTE($G708,"-",""))-1),".","")))=0,SUBSTITUTE(SUBSTITUTE($G708,"-"," ",LEN($G708)-LEN(SUBSTITUTE($G708,"-",""))),"-"," ",LEN($G708)-LEN(SUBSTITUTE($G708,"-",""))-1),SUBSTITUTE(SUBSTITUTE(SUBSTITUTE($G708,"-"," ",LEN($G708)-LEN(SUBSTITUTE($G708,"-",""))),"-"," ",LEN($G708)-LEN(SUBSTITUTE($G708,"-",""))-1),"."," ",(LEN(SUBSTITUTE(SUBSTITUTE($G708,"-"," ",LEN($G708)-LEN(SUBSTITUTE($G708,"-",""))),"-"," ",LEN($G708)-LEN(SUBSTITUTE($G708,"-",""))-1))-LEN(SUBSTITUTE(SUBSTITUTE(SUBSTITUTE($G708,"-"," ",LEN($G708)-LEN(SUBSTITUTE($G708,"-",""))),"-"," ",LEN($G708)-LEN(SUBSTITUTE($G708,"-",""))-1),".",""))))),$G708)))</f>
        <v/>
      </c>
    </row>
    <row r="709">
      <c r="A709" s="58" t="n"/>
      <c r="B709" s="58">
        <f>IF($H709="","",LEFT($H709,FIND(" ",$H709&amp;" ")-1))</f>
        <v/>
      </c>
      <c r="C709" s="58">
        <f>IF($H709="","",IFERROR(MID($H709&amp;" ",FIND("|",SUBSTITUTE($H709&amp;" "," ","|",1))+1,FIND("|",SUBSTITUTE($H709&amp;" "," ","|",2))-FIND("|",SUBSTITUTE($H709&amp;" "," ","|",1))-1),""))</f>
        <v/>
      </c>
      <c r="D709" s="58">
        <f>IF($H709="","",IFERROR(MID($H709&amp;" ",FIND("|",SUBSTITUTE($H709&amp;" "," ","|",2))+1,FIND("|",SUBSTITUTE($H709&amp;" "," ","|",3))-FIND("|",SUBSTITUTE($H709&amp;" "," ","|",2))-1),""))</f>
        <v/>
      </c>
      <c r="E709" s="58">
        <f>IF($H709="","",IFERROR(MID($H709&amp;" ",FIND("|",SUBSTITUTE($H709&amp;" "," ","|",3))+1,FIND("|",SUBSTITUTE($H709&amp;" "," ","|",4))-FIND("|",SUBSTITUTE($H709&amp;" "," ","|",3))-1),""))</f>
        <v/>
      </c>
      <c r="F709" s="59">
        <f>IF($H709="","",IFERROR(VALUE(IFERROR(MID($H709&amp;" ",FIND("|",SUBSTITUTE($H709&amp;" "," ","|",4))+1,FIND("|",SUBSTITUTE($H709&amp;" "," ","|",5))-FIND("|",SUBSTITUTE($H709&amp;" "," ","|",4))-1),""))/86400+25569+9/24,""))</f>
        <v/>
      </c>
      <c r="G709" s="58">
        <f>TRIM(SUBSTITUTE(SUBSTITUTE(SUBSTITUTE($A709,CHAR(9)," ")," "," "),CHAR(13),""))</f>
        <v/>
      </c>
      <c r="H709" s="58">
        <f>IF($G709="","",IF(ISNUMBER(FIND(" ",$G709)),$G709,IFERROR(IF((LEN(SUBSTITUTE(SUBSTITUTE($G709,"-"," ",LEN($G709)-LEN(SUBSTITUTE($G709,"-",""))),"-"," ",LEN($G709)-LEN(SUBSTITUTE($G709,"-",""))-1))-LEN(SUBSTITUTE(SUBSTITUTE(SUBSTITUTE($G709,"-"," ",LEN($G709)-LEN(SUBSTITUTE($G709,"-",""))),"-"," ",LEN($G709)-LEN(SUBSTITUTE($G709,"-",""))-1),".","")))=0,SUBSTITUTE(SUBSTITUTE($G709,"-"," ",LEN($G709)-LEN(SUBSTITUTE($G709,"-",""))),"-"," ",LEN($G709)-LEN(SUBSTITUTE($G709,"-",""))-1),SUBSTITUTE(SUBSTITUTE(SUBSTITUTE($G709,"-"," ",LEN($G709)-LEN(SUBSTITUTE($G709,"-",""))),"-"," ",LEN($G709)-LEN(SUBSTITUTE($G709,"-",""))-1),"."," ",(LEN(SUBSTITUTE(SUBSTITUTE($G709,"-"," ",LEN($G709)-LEN(SUBSTITUTE($G709,"-",""))),"-"," ",LEN($G709)-LEN(SUBSTITUTE($G709,"-",""))-1))-LEN(SUBSTITUTE(SUBSTITUTE(SUBSTITUTE($G709,"-"," ",LEN($G709)-LEN(SUBSTITUTE($G709,"-",""))),"-"," ",LEN($G709)-LEN(SUBSTITUTE($G709,"-",""))-1),".",""))))),$G709)))</f>
        <v/>
      </c>
    </row>
    <row r="710">
      <c r="A710" s="58" t="n"/>
      <c r="B710" s="58">
        <f>IF($H710="","",LEFT($H710,FIND(" ",$H710&amp;" ")-1))</f>
        <v/>
      </c>
      <c r="C710" s="58">
        <f>IF($H710="","",IFERROR(MID($H710&amp;" ",FIND("|",SUBSTITUTE($H710&amp;" "," ","|",1))+1,FIND("|",SUBSTITUTE($H710&amp;" "," ","|",2))-FIND("|",SUBSTITUTE($H710&amp;" "," ","|",1))-1),""))</f>
        <v/>
      </c>
      <c r="D710" s="58">
        <f>IF($H710="","",IFERROR(MID($H710&amp;" ",FIND("|",SUBSTITUTE($H710&amp;" "," ","|",2))+1,FIND("|",SUBSTITUTE($H710&amp;" "," ","|",3))-FIND("|",SUBSTITUTE($H710&amp;" "," ","|",2))-1),""))</f>
        <v/>
      </c>
      <c r="E710" s="58">
        <f>IF($H710="","",IFERROR(MID($H710&amp;" ",FIND("|",SUBSTITUTE($H710&amp;" "," ","|",3))+1,FIND("|",SUBSTITUTE($H710&amp;" "," ","|",4))-FIND("|",SUBSTITUTE($H710&amp;" "," ","|",3))-1),""))</f>
        <v/>
      </c>
      <c r="F710" s="59">
        <f>IF($H710="","",IFERROR(VALUE(IFERROR(MID($H710&amp;" ",FIND("|",SUBSTITUTE($H710&amp;" "," ","|",4))+1,FIND("|",SUBSTITUTE($H710&amp;" "," ","|",5))-FIND("|",SUBSTITUTE($H710&amp;" "," ","|",4))-1),""))/86400+25569+9/24,""))</f>
        <v/>
      </c>
      <c r="G710" s="58">
        <f>TRIM(SUBSTITUTE(SUBSTITUTE(SUBSTITUTE($A710,CHAR(9)," ")," "," "),CHAR(13),""))</f>
        <v/>
      </c>
      <c r="H710" s="58">
        <f>IF($G710="","",IF(ISNUMBER(FIND(" ",$G710)),$G710,IFERROR(IF((LEN(SUBSTITUTE(SUBSTITUTE($G710,"-"," ",LEN($G710)-LEN(SUBSTITUTE($G710,"-",""))),"-"," ",LEN($G710)-LEN(SUBSTITUTE($G710,"-",""))-1))-LEN(SUBSTITUTE(SUBSTITUTE(SUBSTITUTE($G710,"-"," ",LEN($G710)-LEN(SUBSTITUTE($G710,"-",""))),"-"," ",LEN($G710)-LEN(SUBSTITUTE($G710,"-",""))-1),".","")))=0,SUBSTITUTE(SUBSTITUTE($G710,"-"," ",LEN($G710)-LEN(SUBSTITUTE($G710,"-",""))),"-"," ",LEN($G710)-LEN(SUBSTITUTE($G710,"-",""))-1),SUBSTITUTE(SUBSTITUTE(SUBSTITUTE($G710,"-"," ",LEN($G710)-LEN(SUBSTITUTE($G710,"-",""))),"-"," ",LEN($G710)-LEN(SUBSTITUTE($G710,"-",""))-1),"."," ",(LEN(SUBSTITUTE(SUBSTITUTE($G710,"-"," ",LEN($G710)-LEN(SUBSTITUTE($G710,"-",""))),"-"," ",LEN($G710)-LEN(SUBSTITUTE($G710,"-",""))-1))-LEN(SUBSTITUTE(SUBSTITUTE(SUBSTITUTE($G710,"-"," ",LEN($G710)-LEN(SUBSTITUTE($G710,"-",""))),"-"," ",LEN($G710)-LEN(SUBSTITUTE($G710,"-",""))-1),".",""))))),$G710)))</f>
        <v/>
      </c>
    </row>
    <row r="711">
      <c r="A711" s="58" t="n"/>
      <c r="B711" s="58">
        <f>IF($H711="","",LEFT($H711,FIND(" ",$H711&amp;" ")-1))</f>
        <v/>
      </c>
      <c r="C711" s="58">
        <f>IF($H711="","",IFERROR(MID($H711&amp;" ",FIND("|",SUBSTITUTE($H711&amp;" "," ","|",1))+1,FIND("|",SUBSTITUTE($H711&amp;" "," ","|",2))-FIND("|",SUBSTITUTE($H711&amp;" "," ","|",1))-1),""))</f>
        <v/>
      </c>
      <c r="D711" s="58">
        <f>IF($H711="","",IFERROR(MID($H711&amp;" ",FIND("|",SUBSTITUTE($H711&amp;" "," ","|",2))+1,FIND("|",SUBSTITUTE($H711&amp;" "," ","|",3))-FIND("|",SUBSTITUTE($H711&amp;" "," ","|",2))-1),""))</f>
        <v/>
      </c>
      <c r="E711" s="58">
        <f>IF($H711="","",IFERROR(MID($H711&amp;" ",FIND("|",SUBSTITUTE($H711&amp;" "," ","|",3))+1,FIND("|",SUBSTITUTE($H711&amp;" "," ","|",4))-FIND("|",SUBSTITUTE($H711&amp;" "," ","|",3))-1),""))</f>
        <v/>
      </c>
      <c r="F711" s="59">
        <f>IF($H711="","",IFERROR(VALUE(IFERROR(MID($H711&amp;" ",FIND("|",SUBSTITUTE($H711&amp;" "," ","|",4))+1,FIND("|",SUBSTITUTE($H711&amp;" "," ","|",5))-FIND("|",SUBSTITUTE($H711&amp;" "," ","|",4))-1),""))/86400+25569+9/24,""))</f>
        <v/>
      </c>
      <c r="G711" s="58">
        <f>TRIM(SUBSTITUTE(SUBSTITUTE(SUBSTITUTE($A711,CHAR(9)," ")," "," "),CHAR(13),""))</f>
        <v/>
      </c>
      <c r="H711" s="58">
        <f>IF($G711="","",IF(ISNUMBER(FIND(" ",$G711)),$G711,IFERROR(IF((LEN(SUBSTITUTE(SUBSTITUTE($G711,"-"," ",LEN($G711)-LEN(SUBSTITUTE($G711,"-",""))),"-"," ",LEN($G711)-LEN(SUBSTITUTE($G711,"-",""))-1))-LEN(SUBSTITUTE(SUBSTITUTE(SUBSTITUTE($G711,"-"," ",LEN($G711)-LEN(SUBSTITUTE($G711,"-",""))),"-"," ",LEN($G711)-LEN(SUBSTITUTE($G711,"-",""))-1),".","")))=0,SUBSTITUTE(SUBSTITUTE($G711,"-"," ",LEN($G711)-LEN(SUBSTITUTE($G711,"-",""))),"-"," ",LEN($G711)-LEN(SUBSTITUTE($G711,"-",""))-1),SUBSTITUTE(SUBSTITUTE(SUBSTITUTE($G711,"-"," ",LEN($G711)-LEN(SUBSTITUTE($G711,"-",""))),"-"," ",LEN($G711)-LEN(SUBSTITUTE($G711,"-",""))-1),"."," ",(LEN(SUBSTITUTE(SUBSTITUTE($G711,"-"," ",LEN($G711)-LEN(SUBSTITUTE($G711,"-",""))),"-"," ",LEN($G711)-LEN(SUBSTITUTE($G711,"-",""))-1))-LEN(SUBSTITUTE(SUBSTITUTE(SUBSTITUTE($G711,"-"," ",LEN($G711)-LEN(SUBSTITUTE($G711,"-",""))),"-"," ",LEN($G711)-LEN(SUBSTITUTE($G711,"-",""))-1),".",""))))),$G711)))</f>
        <v/>
      </c>
    </row>
    <row r="712">
      <c r="A712" s="58" t="n"/>
      <c r="B712" s="58">
        <f>IF($H712="","",LEFT($H712,FIND(" ",$H712&amp;" ")-1))</f>
        <v/>
      </c>
      <c r="C712" s="58">
        <f>IF($H712="","",IFERROR(MID($H712&amp;" ",FIND("|",SUBSTITUTE($H712&amp;" "," ","|",1))+1,FIND("|",SUBSTITUTE($H712&amp;" "," ","|",2))-FIND("|",SUBSTITUTE($H712&amp;" "," ","|",1))-1),""))</f>
        <v/>
      </c>
      <c r="D712" s="58">
        <f>IF($H712="","",IFERROR(MID($H712&amp;" ",FIND("|",SUBSTITUTE($H712&amp;" "," ","|",2))+1,FIND("|",SUBSTITUTE($H712&amp;" "," ","|",3))-FIND("|",SUBSTITUTE($H712&amp;" "," ","|",2))-1),""))</f>
        <v/>
      </c>
      <c r="E712" s="58">
        <f>IF($H712="","",IFERROR(MID($H712&amp;" ",FIND("|",SUBSTITUTE($H712&amp;" "," ","|",3))+1,FIND("|",SUBSTITUTE($H712&amp;" "," ","|",4))-FIND("|",SUBSTITUTE($H712&amp;" "," ","|",3))-1),""))</f>
        <v/>
      </c>
      <c r="F712" s="59">
        <f>IF($H712="","",IFERROR(VALUE(IFERROR(MID($H712&amp;" ",FIND("|",SUBSTITUTE($H712&amp;" "," ","|",4))+1,FIND("|",SUBSTITUTE($H712&amp;" "," ","|",5))-FIND("|",SUBSTITUTE($H712&amp;" "," ","|",4))-1),""))/86400+25569+9/24,""))</f>
        <v/>
      </c>
      <c r="G712" s="58">
        <f>TRIM(SUBSTITUTE(SUBSTITUTE(SUBSTITUTE($A712,CHAR(9)," ")," "," "),CHAR(13),""))</f>
        <v/>
      </c>
      <c r="H712" s="58">
        <f>IF($G712="","",IF(ISNUMBER(FIND(" ",$G712)),$G712,IFERROR(IF((LEN(SUBSTITUTE(SUBSTITUTE($G712,"-"," ",LEN($G712)-LEN(SUBSTITUTE($G712,"-",""))),"-"," ",LEN($G712)-LEN(SUBSTITUTE($G712,"-",""))-1))-LEN(SUBSTITUTE(SUBSTITUTE(SUBSTITUTE($G712,"-"," ",LEN($G712)-LEN(SUBSTITUTE($G712,"-",""))),"-"," ",LEN($G712)-LEN(SUBSTITUTE($G712,"-",""))-1),".","")))=0,SUBSTITUTE(SUBSTITUTE($G712,"-"," ",LEN($G712)-LEN(SUBSTITUTE($G712,"-",""))),"-"," ",LEN($G712)-LEN(SUBSTITUTE($G712,"-",""))-1),SUBSTITUTE(SUBSTITUTE(SUBSTITUTE($G712,"-"," ",LEN($G712)-LEN(SUBSTITUTE($G712,"-",""))),"-"," ",LEN($G712)-LEN(SUBSTITUTE($G712,"-",""))-1),"."," ",(LEN(SUBSTITUTE(SUBSTITUTE($G712,"-"," ",LEN($G712)-LEN(SUBSTITUTE($G712,"-",""))),"-"," ",LEN($G712)-LEN(SUBSTITUTE($G712,"-",""))-1))-LEN(SUBSTITUTE(SUBSTITUTE(SUBSTITUTE($G712,"-"," ",LEN($G712)-LEN(SUBSTITUTE($G712,"-",""))),"-"," ",LEN($G712)-LEN(SUBSTITUTE($G712,"-",""))-1),".",""))))),$G712)))</f>
        <v/>
      </c>
    </row>
    <row r="713">
      <c r="A713" s="58" t="n"/>
      <c r="B713" s="58">
        <f>IF($H713="","",LEFT($H713,FIND(" ",$H713&amp;" ")-1))</f>
        <v/>
      </c>
      <c r="C713" s="58">
        <f>IF($H713="","",IFERROR(MID($H713&amp;" ",FIND("|",SUBSTITUTE($H713&amp;" "," ","|",1))+1,FIND("|",SUBSTITUTE($H713&amp;" "," ","|",2))-FIND("|",SUBSTITUTE($H713&amp;" "," ","|",1))-1),""))</f>
        <v/>
      </c>
      <c r="D713" s="58">
        <f>IF($H713="","",IFERROR(MID($H713&amp;" ",FIND("|",SUBSTITUTE($H713&amp;" "," ","|",2))+1,FIND("|",SUBSTITUTE($H713&amp;" "," ","|",3))-FIND("|",SUBSTITUTE($H713&amp;" "," ","|",2))-1),""))</f>
        <v/>
      </c>
      <c r="E713" s="58">
        <f>IF($H713="","",IFERROR(MID($H713&amp;" ",FIND("|",SUBSTITUTE($H713&amp;" "," ","|",3))+1,FIND("|",SUBSTITUTE($H713&amp;" "," ","|",4))-FIND("|",SUBSTITUTE($H713&amp;" "," ","|",3))-1),""))</f>
        <v/>
      </c>
      <c r="F713" s="59">
        <f>IF($H713="","",IFERROR(VALUE(IFERROR(MID($H713&amp;" ",FIND("|",SUBSTITUTE($H713&amp;" "," ","|",4))+1,FIND("|",SUBSTITUTE($H713&amp;" "," ","|",5))-FIND("|",SUBSTITUTE($H713&amp;" "," ","|",4))-1),""))/86400+25569+9/24,""))</f>
        <v/>
      </c>
      <c r="G713" s="58">
        <f>TRIM(SUBSTITUTE(SUBSTITUTE(SUBSTITUTE($A713,CHAR(9)," ")," "," "),CHAR(13),""))</f>
        <v/>
      </c>
      <c r="H713" s="58">
        <f>IF($G713="","",IF(ISNUMBER(FIND(" ",$G713)),$G713,IFERROR(IF((LEN(SUBSTITUTE(SUBSTITUTE($G713,"-"," ",LEN($G713)-LEN(SUBSTITUTE($G713,"-",""))),"-"," ",LEN($G713)-LEN(SUBSTITUTE($G713,"-",""))-1))-LEN(SUBSTITUTE(SUBSTITUTE(SUBSTITUTE($G713,"-"," ",LEN($G713)-LEN(SUBSTITUTE($G713,"-",""))),"-"," ",LEN($G713)-LEN(SUBSTITUTE($G713,"-",""))-1),".","")))=0,SUBSTITUTE(SUBSTITUTE($G713,"-"," ",LEN($G713)-LEN(SUBSTITUTE($G713,"-",""))),"-"," ",LEN($G713)-LEN(SUBSTITUTE($G713,"-",""))-1),SUBSTITUTE(SUBSTITUTE(SUBSTITUTE($G713,"-"," ",LEN($G713)-LEN(SUBSTITUTE($G713,"-",""))),"-"," ",LEN($G713)-LEN(SUBSTITUTE($G713,"-",""))-1),"."," ",(LEN(SUBSTITUTE(SUBSTITUTE($G713,"-"," ",LEN($G713)-LEN(SUBSTITUTE($G713,"-",""))),"-"," ",LEN($G713)-LEN(SUBSTITUTE($G713,"-",""))-1))-LEN(SUBSTITUTE(SUBSTITUTE(SUBSTITUTE($G713,"-"," ",LEN($G713)-LEN(SUBSTITUTE($G713,"-",""))),"-"," ",LEN($G713)-LEN(SUBSTITUTE($G713,"-",""))-1),".",""))))),$G713)))</f>
        <v/>
      </c>
    </row>
    <row r="714">
      <c r="A714" s="58" t="n"/>
      <c r="B714" s="58">
        <f>IF($H714="","",LEFT($H714,FIND(" ",$H714&amp;" ")-1))</f>
        <v/>
      </c>
      <c r="C714" s="58">
        <f>IF($H714="","",IFERROR(MID($H714&amp;" ",FIND("|",SUBSTITUTE($H714&amp;" "," ","|",1))+1,FIND("|",SUBSTITUTE($H714&amp;" "," ","|",2))-FIND("|",SUBSTITUTE($H714&amp;" "," ","|",1))-1),""))</f>
        <v/>
      </c>
      <c r="D714" s="58">
        <f>IF($H714="","",IFERROR(MID($H714&amp;" ",FIND("|",SUBSTITUTE($H714&amp;" "," ","|",2))+1,FIND("|",SUBSTITUTE($H714&amp;" "," ","|",3))-FIND("|",SUBSTITUTE($H714&amp;" "," ","|",2))-1),""))</f>
        <v/>
      </c>
      <c r="E714" s="58">
        <f>IF($H714="","",IFERROR(MID($H714&amp;" ",FIND("|",SUBSTITUTE($H714&amp;" "," ","|",3))+1,FIND("|",SUBSTITUTE($H714&amp;" "," ","|",4))-FIND("|",SUBSTITUTE($H714&amp;" "," ","|",3))-1),""))</f>
        <v/>
      </c>
      <c r="F714" s="59">
        <f>IF($H714="","",IFERROR(VALUE(IFERROR(MID($H714&amp;" ",FIND("|",SUBSTITUTE($H714&amp;" "," ","|",4))+1,FIND("|",SUBSTITUTE($H714&amp;" "," ","|",5))-FIND("|",SUBSTITUTE($H714&amp;" "," ","|",4))-1),""))/86400+25569+9/24,""))</f>
        <v/>
      </c>
      <c r="G714" s="58">
        <f>TRIM(SUBSTITUTE(SUBSTITUTE(SUBSTITUTE($A714,CHAR(9)," ")," "," "),CHAR(13),""))</f>
        <v/>
      </c>
      <c r="H714" s="58">
        <f>IF($G714="","",IF(ISNUMBER(FIND(" ",$G714)),$G714,IFERROR(IF((LEN(SUBSTITUTE(SUBSTITUTE($G714,"-"," ",LEN($G714)-LEN(SUBSTITUTE($G714,"-",""))),"-"," ",LEN($G714)-LEN(SUBSTITUTE($G714,"-",""))-1))-LEN(SUBSTITUTE(SUBSTITUTE(SUBSTITUTE($G714,"-"," ",LEN($G714)-LEN(SUBSTITUTE($G714,"-",""))),"-"," ",LEN($G714)-LEN(SUBSTITUTE($G714,"-",""))-1),".","")))=0,SUBSTITUTE(SUBSTITUTE($G714,"-"," ",LEN($G714)-LEN(SUBSTITUTE($G714,"-",""))),"-"," ",LEN($G714)-LEN(SUBSTITUTE($G714,"-",""))-1),SUBSTITUTE(SUBSTITUTE(SUBSTITUTE($G714,"-"," ",LEN($G714)-LEN(SUBSTITUTE($G714,"-",""))),"-"," ",LEN($G714)-LEN(SUBSTITUTE($G714,"-",""))-1),"."," ",(LEN(SUBSTITUTE(SUBSTITUTE($G714,"-"," ",LEN($G714)-LEN(SUBSTITUTE($G714,"-",""))),"-"," ",LEN($G714)-LEN(SUBSTITUTE($G714,"-",""))-1))-LEN(SUBSTITUTE(SUBSTITUTE(SUBSTITUTE($G714,"-"," ",LEN($G714)-LEN(SUBSTITUTE($G714,"-",""))),"-"," ",LEN($G714)-LEN(SUBSTITUTE($G714,"-",""))-1),".",""))))),$G714)))</f>
        <v/>
      </c>
    </row>
    <row r="715">
      <c r="A715" s="58" t="n"/>
      <c r="B715" s="58">
        <f>IF($H715="","",LEFT($H715,FIND(" ",$H715&amp;" ")-1))</f>
        <v/>
      </c>
      <c r="C715" s="58">
        <f>IF($H715="","",IFERROR(MID($H715&amp;" ",FIND("|",SUBSTITUTE($H715&amp;" "," ","|",1))+1,FIND("|",SUBSTITUTE($H715&amp;" "," ","|",2))-FIND("|",SUBSTITUTE($H715&amp;" "," ","|",1))-1),""))</f>
        <v/>
      </c>
      <c r="D715" s="58">
        <f>IF($H715="","",IFERROR(MID($H715&amp;" ",FIND("|",SUBSTITUTE($H715&amp;" "," ","|",2))+1,FIND("|",SUBSTITUTE($H715&amp;" "," ","|",3))-FIND("|",SUBSTITUTE($H715&amp;" "," ","|",2))-1),""))</f>
        <v/>
      </c>
      <c r="E715" s="58">
        <f>IF($H715="","",IFERROR(MID($H715&amp;" ",FIND("|",SUBSTITUTE($H715&amp;" "," ","|",3))+1,FIND("|",SUBSTITUTE($H715&amp;" "," ","|",4))-FIND("|",SUBSTITUTE($H715&amp;" "," ","|",3))-1),""))</f>
        <v/>
      </c>
      <c r="F715" s="59">
        <f>IF($H715="","",IFERROR(VALUE(IFERROR(MID($H715&amp;" ",FIND("|",SUBSTITUTE($H715&amp;" "," ","|",4))+1,FIND("|",SUBSTITUTE($H715&amp;" "," ","|",5))-FIND("|",SUBSTITUTE($H715&amp;" "," ","|",4))-1),""))/86400+25569+9/24,""))</f>
        <v/>
      </c>
      <c r="G715" s="58">
        <f>TRIM(SUBSTITUTE(SUBSTITUTE(SUBSTITUTE($A715,CHAR(9)," ")," "," "),CHAR(13),""))</f>
        <v/>
      </c>
      <c r="H715" s="58">
        <f>IF($G715="","",IF(ISNUMBER(FIND(" ",$G715)),$G715,IFERROR(IF((LEN(SUBSTITUTE(SUBSTITUTE($G715,"-"," ",LEN($G715)-LEN(SUBSTITUTE($G715,"-",""))),"-"," ",LEN($G715)-LEN(SUBSTITUTE($G715,"-",""))-1))-LEN(SUBSTITUTE(SUBSTITUTE(SUBSTITUTE($G715,"-"," ",LEN($G715)-LEN(SUBSTITUTE($G715,"-",""))),"-"," ",LEN($G715)-LEN(SUBSTITUTE($G715,"-",""))-1),".","")))=0,SUBSTITUTE(SUBSTITUTE($G715,"-"," ",LEN($G715)-LEN(SUBSTITUTE($G715,"-",""))),"-"," ",LEN($G715)-LEN(SUBSTITUTE($G715,"-",""))-1),SUBSTITUTE(SUBSTITUTE(SUBSTITUTE($G715,"-"," ",LEN($G715)-LEN(SUBSTITUTE($G715,"-",""))),"-"," ",LEN($G715)-LEN(SUBSTITUTE($G715,"-",""))-1),"."," ",(LEN(SUBSTITUTE(SUBSTITUTE($G715,"-"," ",LEN($G715)-LEN(SUBSTITUTE($G715,"-",""))),"-"," ",LEN($G715)-LEN(SUBSTITUTE($G715,"-",""))-1))-LEN(SUBSTITUTE(SUBSTITUTE(SUBSTITUTE($G715,"-"," ",LEN($G715)-LEN(SUBSTITUTE($G715,"-",""))),"-"," ",LEN($G715)-LEN(SUBSTITUTE($G715,"-",""))-1),".",""))))),$G715)))</f>
        <v/>
      </c>
    </row>
    <row r="716">
      <c r="A716" s="58" t="n"/>
      <c r="B716" s="58">
        <f>IF($H716="","",LEFT($H716,FIND(" ",$H716&amp;" ")-1))</f>
        <v/>
      </c>
      <c r="C716" s="58">
        <f>IF($H716="","",IFERROR(MID($H716&amp;" ",FIND("|",SUBSTITUTE($H716&amp;" "," ","|",1))+1,FIND("|",SUBSTITUTE($H716&amp;" "," ","|",2))-FIND("|",SUBSTITUTE($H716&amp;" "," ","|",1))-1),""))</f>
        <v/>
      </c>
      <c r="D716" s="58">
        <f>IF($H716="","",IFERROR(MID($H716&amp;" ",FIND("|",SUBSTITUTE($H716&amp;" "," ","|",2))+1,FIND("|",SUBSTITUTE($H716&amp;" "," ","|",3))-FIND("|",SUBSTITUTE($H716&amp;" "," ","|",2))-1),""))</f>
        <v/>
      </c>
      <c r="E716" s="58">
        <f>IF($H716="","",IFERROR(MID($H716&amp;" ",FIND("|",SUBSTITUTE($H716&amp;" "," ","|",3))+1,FIND("|",SUBSTITUTE($H716&amp;" "," ","|",4))-FIND("|",SUBSTITUTE($H716&amp;" "," ","|",3))-1),""))</f>
        <v/>
      </c>
      <c r="F716" s="59">
        <f>IF($H716="","",IFERROR(VALUE(IFERROR(MID($H716&amp;" ",FIND("|",SUBSTITUTE($H716&amp;" "," ","|",4))+1,FIND("|",SUBSTITUTE($H716&amp;" "," ","|",5))-FIND("|",SUBSTITUTE($H716&amp;" "," ","|",4))-1),""))/86400+25569+9/24,""))</f>
        <v/>
      </c>
      <c r="G716" s="58">
        <f>TRIM(SUBSTITUTE(SUBSTITUTE(SUBSTITUTE($A716,CHAR(9)," ")," "," "),CHAR(13),""))</f>
        <v/>
      </c>
      <c r="H716" s="58">
        <f>IF($G716="","",IF(ISNUMBER(FIND(" ",$G716)),$G716,IFERROR(IF((LEN(SUBSTITUTE(SUBSTITUTE($G716,"-"," ",LEN($G716)-LEN(SUBSTITUTE($G716,"-",""))),"-"," ",LEN($G716)-LEN(SUBSTITUTE($G716,"-",""))-1))-LEN(SUBSTITUTE(SUBSTITUTE(SUBSTITUTE($G716,"-"," ",LEN($G716)-LEN(SUBSTITUTE($G716,"-",""))),"-"," ",LEN($G716)-LEN(SUBSTITUTE($G716,"-",""))-1),".","")))=0,SUBSTITUTE(SUBSTITUTE($G716,"-"," ",LEN($G716)-LEN(SUBSTITUTE($G716,"-",""))),"-"," ",LEN($G716)-LEN(SUBSTITUTE($G716,"-",""))-1),SUBSTITUTE(SUBSTITUTE(SUBSTITUTE($G716,"-"," ",LEN($G716)-LEN(SUBSTITUTE($G716,"-",""))),"-"," ",LEN($G716)-LEN(SUBSTITUTE($G716,"-",""))-1),"."," ",(LEN(SUBSTITUTE(SUBSTITUTE($G716,"-"," ",LEN($G716)-LEN(SUBSTITUTE($G716,"-",""))),"-"," ",LEN($G716)-LEN(SUBSTITUTE($G716,"-",""))-1))-LEN(SUBSTITUTE(SUBSTITUTE(SUBSTITUTE($G716,"-"," ",LEN($G716)-LEN(SUBSTITUTE($G716,"-",""))),"-"," ",LEN($G716)-LEN(SUBSTITUTE($G716,"-",""))-1),".",""))))),$G716)))</f>
        <v/>
      </c>
    </row>
    <row r="717">
      <c r="A717" s="58" t="n"/>
      <c r="B717" s="58">
        <f>IF($H717="","",LEFT($H717,FIND(" ",$H717&amp;" ")-1))</f>
        <v/>
      </c>
      <c r="C717" s="58">
        <f>IF($H717="","",IFERROR(MID($H717&amp;" ",FIND("|",SUBSTITUTE($H717&amp;" "," ","|",1))+1,FIND("|",SUBSTITUTE($H717&amp;" "," ","|",2))-FIND("|",SUBSTITUTE($H717&amp;" "," ","|",1))-1),""))</f>
        <v/>
      </c>
      <c r="D717" s="58">
        <f>IF($H717="","",IFERROR(MID($H717&amp;" ",FIND("|",SUBSTITUTE($H717&amp;" "," ","|",2))+1,FIND("|",SUBSTITUTE($H717&amp;" "," ","|",3))-FIND("|",SUBSTITUTE($H717&amp;" "," ","|",2))-1),""))</f>
        <v/>
      </c>
      <c r="E717" s="58">
        <f>IF($H717="","",IFERROR(MID($H717&amp;" ",FIND("|",SUBSTITUTE($H717&amp;" "," ","|",3))+1,FIND("|",SUBSTITUTE($H717&amp;" "," ","|",4))-FIND("|",SUBSTITUTE($H717&amp;" "," ","|",3))-1),""))</f>
        <v/>
      </c>
      <c r="F717" s="59">
        <f>IF($H717="","",IFERROR(VALUE(IFERROR(MID($H717&amp;" ",FIND("|",SUBSTITUTE($H717&amp;" "," ","|",4))+1,FIND("|",SUBSTITUTE($H717&amp;" "," ","|",5))-FIND("|",SUBSTITUTE($H717&amp;" "," ","|",4))-1),""))/86400+25569+9/24,""))</f>
        <v/>
      </c>
      <c r="G717" s="58">
        <f>TRIM(SUBSTITUTE(SUBSTITUTE(SUBSTITUTE($A717,CHAR(9)," ")," "," "),CHAR(13),""))</f>
        <v/>
      </c>
      <c r="H717" s="58">
        <f>IF($G717="","",IF(ISNUMBER(FIND(" ",$G717)),$G717,IFERROR(IF((LEN(SUBSTITUTE(SUBSTITUTE($G717,"-"," ",LEN($G717)-LEN(SUBSTITUTE($G717,"-",""))),"-"," ",LEN($G717)-LEN(SUBSTITUTE($G717,"-",""))-1))-LEN(SUBSTITUTE(SUBSTITUTE(SUBSTITUTE($G717,"-"," ",LEN($G717)-LEN(SUBSTITUTE($G717,"-",""))),"-"," ",LEN($G717)-LEN(SUBSTITUTE($G717,"-",""))-1),".","")))=0,SUBSTITUTE(SUBSTITUTE($G717,"-"," ",LEN($G717)-LEN(SUBSTITUTE($G717,"-",""))),"-"," ",LEN($G717)-LEN(SUBSTITUTE($G717,"-",""))-1),SUBSTITUTE(SUBSTITUTE(SUBSTITUTE($G717,"-"," ",LEN($G717)-LEN(SUBSTITUTE($G717,"-",""))),"-"," ",LEN($G717)-LEN(SUBSTITUTE($G717,"-",""))-1),"."," ",(LEN(SUBSTITUTE(SUBSTITUTE($G717,"-"," ",LEN($G717)-LEN(SUBSTITUTE($G717,"-",""))),"-"," ",LEN($G717)-LEN(SUBSTITUTE($G717,"-",""))-1))-LEN(SUBSTITUTE(SUBSTITUTE(SUBSTITUTE($G717,"-"," ",LEN($G717)-LEN(SUBSTITUTE($G717,"-",""))),"-"," ",LEN($G717)-LEN(SUBSTITUTE($G717,"-",""))-1),".",""))))),$G717)))</f>
        <v/>
      </c>
    </row>
    <row r="718">
      <c r="A718" s="58" t="n"/>
      <c r="B718" s="58">
        <f>IF($H718="","",LEFT($H718,FIND(" ",$H718&amp;" ")-1))</f>
        <v/>
      </c>
      <c r="C718" s="58">
        <f>IF($H718="","",IFERROR(MID($H718&amp;" ",FIND("|",SUBSTITUTE($H718&amp;" "," ","|",1))+1,FIND("|",SUBSTITUTE($H718&amp;" "," ","|",2))-FIND("|",SUBSTITUTE($H718&amp;" "," ","|",1))-1),""))</f>
        <v/>
      </c>
      <c r="D718" s="58">
        <f>IF($H718="","",IFERROR(MID($H718&amp;" ",FIND("|",SUBSTITUTE($H718&amp;" "," ","|",2))+1,FIND("|",SUBSTITUTE($H718&amp;" "," ","|",3))-FIND("|",SUBSTITUTE($H718&amp;" "," ","|",2))-1),""))</f>
        <v/>
      </c>
      <c r="E718" s="58">
        <f>IF($H718="","",IFERROR(MID($H718&amp;" ",FIND("|",SUBSTITUTE($H718&amp;" "," ","|",3))+1,FIND("|",SUBSTITUTE($H718&amp;" "," ","|",4))-FIND("|",SUBSTITUTE($H718&amp;" "," ","|",3))-1),""))</f>
        <v/>
      </c>
      <c r="F718" s="59">
        <f>IF($H718="","",IFERROR(VALUE(IFERROR(MID($H718&amp;" ",FIND("|",SUBSTITUTE($H718&amp;" "," ","|",4))+1,FIND("|",SUBSTITUTE($H718&amp;" "," ","|",5))-FIND("|",SUBSTITUTE($H718&amp;" "," ","|",4))-1),""))/86400+25569+9/24,""))</f>
        <v/>
      </c>
      <c r="G718" s="58">
        <f>TRIM(SUBSTITUTE(SUBSTITUTE(SUBSTITUTE($A718,CHAR(9)," ")," "," "),CHAR(13),""))</f>
        <v/>
      </c>
      <c r="H718" s="58">
        <f>IF($G718="","",IF(ISNUMBER(FIND(" ",$G718)),$G718,IFERROR(IF((LEN(SUBSTITUTE(SUBSTITUTE($G718,"-"," ",LEN($G718)-LEN(SUBSTITUTE($G718,"-",""))),"-"," ",LEN($G718)-LEN(SUBSTITUTE($G718,"-",""))-1))-LEN(SUBSTITUTE(SUBSTITUTE(SUBSTITUTE($G718,"-"," ",LEN($G718)-LEN(SUBSTITUTE($G718,"-",""))),"-"," ",LEN($G718)-LEN(SUBSTITUTE($G718,"-",""))-1),".","")))=0,SUBSTITUTE(SUBSTITUTE($G718,"-"," ",LEN($G718)-LEN(SUBSTITUTE($G718,"-",""))),"-"," ",LEN($G718)-LEN(SUBSTITUTE($G718,"-",""))-1),SUBSTITUTE(SUBSTITUTE(SUBSTITUTE($G718,"-"," ",LEN($G718)-LEN(SUBSTITUTE($G718,"-",""))),"-"," ",LEN($G718)-LEN(SUBSTITUTE($G718,"-",""))-1),"."," ",(LEN(SUBSTITUTE(SUBSTITUTE($G718,"-"," ",LEN($G718)-LEN(SUBSTITUTE($G718,"-",""))),"-"," ",LEN($G718)-LEN(SUBSTITUTE($G718,"-",""))-1))-LEN(SUBSTITUTE(SUBSTITUTE(SUBSTITUTE($G718,"-"," ",LEN($G718)-LEN(SUBSTITUTE($G718,"-",""))),"-"," ",LEN($G718)-LEN(SUBSTITUTE($G718,"-",""))-1),".",""))))),$G718)))</f>
        <v/>
      </c>
    </row>
    <row r="719">
      <c r="A719" s="58" t="n"/>
      <c r="B719" s="58">
        <f>IF($H719="","",LEFT($H719,FIND(" ",$H719&amp;" ")-1))</f>
        <v/>
      </c>
      <c r="C719" s="58">
        <f>IF($H719="","",IFERROR(MID($H719&amp;" ",FIND("|",SUBSTITUTE($H719&amp;" "," ","|",1))+1,FIND("|",SUBSTITUTE($H719&amp;" "," ","|",2))-FIND("|",SUBSTITUTE($H719&amp;" "," ","|",1))-1),""))</f>
        <v/>
      </c>
      <c r="D719" s="58">
        <f>IF($H719="","",IFERROR(MID($H719&amp;" ",FIND("|",SUBSTITUTE($H719&amp;" "," ","|",2))+1,FIND("|",SUBSTITUTE($H719&amp;" "," ","|",3))-FIND("|",SUBSTITUTE($H719&amp;" "," ","|",2))-1),""))</f>
        <v/>
      </c>
      <c r="E719" s="58">
        <f>IF($H719="","",IFERROR(MID($H719&amp;" ",FIND("|",SUBSTITUTE($H719&amp;" "," ","|",3))+1,FIND("|",SUBSTITUTE($H719&amp;" "," ","|",4))-FIND("|",SUBSTITUTE($H719&amp;" "," ","|",3))-1),""))</f>
        <v/>
      </c>
      <c r="F719" s="59">
        <f>IF($H719="","",IFERROR(VALUE(IFERROR(MID($H719&amp;" ",FIND("|",SUBSTITUTE($H719&amp;" "," ","|",4))+1,FIND("|",SUBSTITUTE($H719&amp;" "," ","|",5))-FIND("|",SUBSTITUTE($H719&amp;" "," ","|",4))-1),""))/86400+25569+9/24,""))</f>
        <v/>
      </c>
      <c r="G719" s="58">
        <f>TRIM(SUBSTITUTE(SUBSTITUTE(SUBSTITUTE($A719,CHAR(9)," ")," "," "),CHAR(13),""))</f>
        <v/>
      </c>
      <c r="H719" s="58">
        <f>IF($G719="","",IF(ISNUMBER(FIND(" ",$G719)),$G719,IFERROR(IF((LEN(SUBSTITUTE(SUBSTITUTE($G719,"-"," ",LEN($G719)-LEN(SUBSTITUTE($G719,"-",""))),"-"," ",LEN($G719)-LEN(SUBSTITUTE($G719,"-",""))-1))-LEN(SUBSTITUTE(SUBSTITUTE(SUBSTITUTE($G719,"-"," ",LEN($G719)-LEN(SUBSTITUTE($G719,"-",""))),"-"," ",LEN($G719)-LEN(SUBSTITUTE($G719,"-",""))-1),".","")))=0,SUBSTITUTE(SUBSTITUTE($G719,"-"," ",LEN($G719)-LEN(SUBSTITUTE($G719,"-",""))),"-"," ",LEN($G719)-LEN(SUBSTITUTE($G719,"-",""))-1),SUBSTITUTE(SUBSTITUTE(SUBSTITUTE($G719,"-"," ",LEN($G719)-LEN(SUBSTITUTE($G719,"-",""))),"-"," ",LEN($G719)-LEN(SUBSTITUTE($G719,"-",""))-1),"."," ",(LEN(SUBSTITUTE(SUBSTITUTE($G719,"-"," ",LEN($G719)-LEN(SUBSTITUTE($G719,"-",""))),"-"," ",LEN($G719)-LEN(SUBSTITUTE($G719,"-",""))-1))-LEN(SUBSTITUTE(SUBSTITUTE(SUBSTITUTE($G719,"-"," ",LEN($G719)-LEN(SUBSTITUTE($G719,"-",""))),"-"," ",LEN($G719)-LEN(SUBSTITUTE($G719,"-",""))-1),".",""))))),$G719)))</f>
        <v/>
      </c>
    </row>
    <row r="720">
      <c r="A720" s="58" t="n"/>
      <c r="B720" s="58">
        <f>IF($H720="","",LEFT($H720,FIND(" ",$H720&amp;" ")-1))</f>
        <v/>
      </c>
      <c r="C720" s="58">
        <f>IF($H720="","",IFERROR(MID($H720&amp;" ",FIND("|",SUBSTITUTE($H720&amp;" "," ","|",1))+1,FIND("|",SUBSTITUTE($H720&amp;" "," ","|",2))-FIND("|",SUBSTITUTE($H720&amp;" "," ","|",1))-1),""))</f>
        <v/>
      </c>
      <c r="D720" s="58">
        <f>IF($H720="","",IFERROR(MID($H720&amp;" ",FIND("|",SUBSTITUTE($H720&amp;" "," ","|",2))+1,FIND("|",SUBSTITUTE($H720&amp;" "," ","|",3))-FIND("|",SUBSTITUTE($H720&amp;" "," ","|",2))-1),""))</f>
        <v/>
      </c>
      <c r="E720" s="58">
        <f>IF($H720="","",IFERROR(MID($H720&amp;" ",FIND("|",SUBSTITUTE($H720&amp;" "," ","|",3))+1,FIND("|",SUBSTITUTE($H720&amp;" "," ","|",4))-FIND("|",SUBSTITUTE($H720&amp;" "," ","|",3))-1),""))</f>
        <v/>
      </c>
      <c r="F720" s="59">
        <f>IF($H720="","",IFERROR(VALUE(IFERROR(MID($H720&amp;" ",FIND("|",SUBSTITUTE($H720&amp;" "," ","|",4))+1,FIND("|",SUBSTITUTE($H720&amp;" "," ","|",5))-FIND("|",SUBSTITUTE($H720&amp;" "," ","|",4))-1),""))/86400+25569+9/24,""))</f>
        <v/>
      </c>
      <c r="G720" s="58">
        <f>TRIM(SUBSTITUTE(SUBSTITUTE(SUBSTITUTE($A720,CHAR(9)," ")," "," "),CHAR(13),""))</f>
        <v/>
      </c>
      <c r="H720" s="58">
        <f>IF($G720="","",IF(ISNUMBER(FIND(" ",$G720)),$G720,IFERROR(IF((LEN(SUBSTITUTE(SUBSTITUTE($G720,"-"," ",LEN($G720)-LEN(SUBSTITUTE($G720,"-",""))),"-"," ",LEN($G720)-LEN(SUBSTITUTE($G720,"-",""))-1))-LEN(SUBSTITUTE(SUBSTITUTE(SUBSTITUTE($G720,"-"," ",LEN($G720)-LEN(SUBSTITUTE($G720,"-",""))),"-"," ",LEN($G720)-LEN(SUBSTITUTE($G720,"-",""))-1),".","")))=0,SUBSTITUTE(SUBSTITUTE($G720,"-"," ",LEN($G720)-LEN(SUBSTITUTE($G720,"-",""))),"-"," ",LEN($G720)-LEN(SUBSTITUTE($G720,"-",""))-1),SUBSTITUTE(SUBSTITUTE(SUBSTITUTE($G720,"-"," ",LEN($G720)-LEN(SUBSTITUTE($G720,"-",""))),"-"," ",LEN($G720)-LEN(SUBSTITUTE($G720,"-",""))-1),"."," ",(LEN(SUBSTITUTE(SUBSTITUTE($G720,"-"," ",LEN($G720)-LEN(SUBSTITUTE($G720,"-",""))),"-"," ",LEN($G720)-LEN(SUBSTITUTE($G720,"-",""))-1))-LEN(SUBSTITUTE(SUBSTITUTE(SUBSTITUTE($G720,"-"," ",LEN($G720)-LEN(SUBSTITUTE($G720,"-",""))),"-"," ",LEN($G720)-LEN(SUBSTITUTE($G720,"-",""))-1),".",""))))),$G720)))</f>
        <v/>
      </c>
    </row>
    <row r="721">
      <c r="A721" s="58" t="n"/>
      <c r="B721" s="58">
        <f>IF($H721="","",LEFT($H721,FIND(" ",$H721&amp;" ")-1))</f>
        <v/>
      </c>
      <c r="C721" s="58">
        <f>IF($H721="","",IFERROR(MID($H721&amp;" ",FIND("|",SUBSTITUTE($H721&amp;" "," ","|",1))+1,FIND("|",SUBSTITUTE($H721&amp;" "," ","|",2))-FIND("|",SUBSTITUTE($H721&amp;" "," ","|",1))-1),""))</f>
        <v/>
      </c>
      <c r="D721" s="58">
        <f>IF($H721="","",IFERROR(MID($H721&amp;" ",FIND("|",SUBSTITUTE($H721&amp;" "," ","|",2))+1,FIND("|",SUBSTITUTE($H721&amp;" "," ","|",3))-FIND("|",SUBSTITUTE($H721&amp;" "," ","|",2))-1),""))</f>
        <v/>
      </c>
      <c r="E721" s="58">
        <f>IF($H721="","",IFERROR(MID($H721&amp;" ",FIND("|",SUBSTITUTE($H721&amp;" "," ","|",3))+1,FIND("|",SUBSTITUTE($H721&amp;" "," ","|",4))-FIND("|",SUBSTITUTE($H721&amp;" "," ","|",3))-1),""))</f>
        <v/>
      </c>
      <c r="F721" s="59">
        <f>IF($H721="","",IFERROR(VALUE(IFERROR(MID($H721&amp;" ",FIND("|",SUBSTITUTE($H721&amp;" "," ","|",4))+1,FIND("|",SUBSTITUTE($H721&amp;" "," ","|",5))-FIND("|",SUBSTITUTE($H721&amp;" "," ","|",4))-1),""))/86400+25569+9/24,""))</f>
        <v/>
      </c>
      <c r="G721" s="58">
        <f>TRIM(SUBSTITUTE(SUBSTITUTE(SUBSTITUTE($A721,CHAR(9)," ")," "," "),CHAR(13),""))</f>
        <v/>
      </c>
      <c r="H721" s="58">
        <f>IF($G721="","",IF(ISNUMBER(FIND(" ",$G721)),$G721,IFERROR(IF((LEN(SUBSTITUTE(SUBSTITUTE($G721,"-"," ",LEN($G721)-LEN(SUBSTITUTE($G721,"-",""))),"-"," ",LEN($G721)-LEN(SUBSTITUTE($G721,"-",""))-1))-LEN(SUBSTITUTE(SUBSTITUTE(SUBSTITUTE($G721,"-"," ",LEN($G721)-LEN(SUBSTITUTE($G721,"-",""))),"-"," ",LEN($G721)-LEN(SUBSTITUTE($G721,"-",""))-1),".","")))=0,SUBSTITUTE(SUBSTITUTE($G721,"-"," ",LEN($G721)-LEN(SUBSTITUTE($G721,"-",""))),"-"," ",LEN($G721)-LEN(SUBSTITUTE($G721,"-",""))-1),SUBSTITUTE(SUBSTITUTE(SUBSTITUTE($G721,"-"," ",LEN($G721)-LEN(SUBSTITUTE($G721,"-",""))),"-"," ",LEN($G721)-LEN(SUBSTITUTE($G721,"-",""))-1),"."," ",(LEN(SUBSTITUTE(SUBSTITUTE($G721,"-"," ",LEN($G721)-LEN(SUBSTITUTE($G721,"-",""))),"-"," ",LEN($G721)-LEN(SUBSTITUTE($G721,"-",""))-1))-LEN(SUBSTITUTE(SUBSTITUTE(SUBSTITUTE($G721,"-"," ",LEN($G721)-LEN(SUBSTITUTE($G721,"-",""))),"-"," ",LEN($G721)-LEN(SUBSTITUTE($G721,"-",""))-1),".",""))))),$G721)))</f>
        <v/>
      </c>
    </row>
    <row r="722">
      <c r="A722" s="58" t="n"/>
      <c r="B722" s="58">
        <f>IF($H722="","",LEFT($H722,FIND(" ",$H722&amp;" ")-1))</f>
        <v/>
      </c>
      <c r="C722" s="58">
        <f>IF($H722="","",IFERROR(MID($H722&amp;" ",FIND("|",SUBSTITUTE($H722&amp;" "," ","|",1))+1,FIND("|",SUBSTITUTE($H722&amp;" "," ","|",2))-FIND("|",SUBSTITUTE($H722&amp;" "," ","|",1))-1),""))</f>
        <v/>
      </c>
      <c r="D722" s="58">
        <f>IF($H722="","",IFERROR(MID($H722&amp;" ",FIND("|",SUBSTITUTE($H722&amp;" "," ","|",2))+1,FIND("|",SUBSTITUTE($H722&amp;" "," ","|",3))-FIND("|",SUBSTITUTE($H722&amp;" "," ","|",2))-1),""))</f>
        <v/>
      </c>
      <c r="E722" s="58">
        <f>IF($H722="","",IFERROR(MID($H722&amp;" ",FIND("|",SUBSTITUTE($H722&amp;" "," ","|",3))+1,FIND("|",SUBSTITUTE($H722&amp;" "," ","|",4))-FIND("|",SUBSTITUTE($H722&amp;" "," ","|",3))-1),""))</f>
        <v/>
      </c>
      <c r="F722" s="59">
        <f>IF($H722="","",IFERROR(VALUE(IFERROR(MID($H722&amp;" ",FIND("|",SUBSTITUTE($H722&amp;" "," ","|",4))+1,FIND("|",SUBSTITUTE($H722&amp;" "," ","|",5))-FIND("|",SUBSTITUTE($H722&amp;" "," ","|",4))-1),""))/86400+25569+9/24,""))</f>
        <v/>
      </c>
      <c r="G722" s="58">
        <f>TRIM(SUBSTITUTE(SUBSTITUTE(SUBSTITUTE($A722,CHAR(9)," ")," "," "),CHAR(13),""))</f>
        <v/>
      </c>
      <c r="H722" s="58">
        <f>IF($G722="","",IF(ISNUMBER(FIND(" ",$G722)),$G722,IFERROR(IF((LEN(SUBSTITUTE(SUBSTITUTE($G722,"-"," ",LEN($G722)-LEN(SUBSTITUTE($G722,"-",""))),"-"," ",LEN($G722)-LEN(SUBSTITUTE($G722,"-",""))-1))-LEN(SUBSTITUTE(SUBSTITUTE(SUBSTITUTE($G722,"-"," ",LEN($G722)-LEN(SUBSTITUTE($G722,"-",""))),"-"," ",LEN($G722)-LEN(SUBSTITUTE($G722,"-",""))-1),".","")))=0,SUBSTITUTE(SUBSTITUTE($G722,"-"," ",LEN($G722)-LEN(SUBSTITUTE($G722,"-",""))),"-"," ",LEN($G722)-LEN(SUBSTITUTE($G722,"-",""))-1),SUBSTITUTE(SUBSTITUTE(SUBSTITUTE($G722,"-"," ",LEN($G722)-LEN(SUBSTITUTE($G722,"-",""))),"-"," ",LEN($G722)-LEN(SUBSTITUTE($G722,"-",""))-1),"."," ",(LEN(SUBSTITUTE(SUBSTITUTE($G722,"-"," ",LEN($G722)-LEN(SUBSTITUTE($G722,"-",""))),"-"," ",LEN($G722)-LEN(SUBSTITUTE($G722,"-",""))-1))-LEN(SUBSTITUTE(SUBSTITUTE(SUBSTITUTE($G722,"-"," ",LEN($G722)-LEN(SUBSTITUTE($G722,"-",""))),"-"," ",LEN($G722)-LEN(SUBSTITUTE($G722,"-",""))-1),".",""))))),$G722)))</f>
        <v/>
      </c>
    </row>
    <row r="723">
      <c r="A723" s="58" t="n"/>
      <c r="B723" s="58">
        <f>IF($H723="","",LEFT($H723,FIND(" ",$H723&amp;" ")-1))</f>
        <v/>
      </c>
      <c r="C723" s="58">
        <f>IF($H723="","",IFERROR(MID($H723&amp;" ",FIND("|",SUBSTITUTE($H723&amp;" "," ","|",1))+1,FIND("|",SUBSTITUTE($H723&amp;" "," ","|",2))-FIND("|",SUBSTITUTE($H723&amp;" "," ","|",1))-1),""))</f>
        <v/>
      </c>
      <c r="D723" s="58">
        <f>IF($H723="","",IFERROR(MID($H723&amp;" ",FIND("|",SUBSTITUTE($H723&amp;" "," ","|",2))+1,FIND("|",SUBSTITUTE($H723&amp;" "," ","|",3))-FIND("|",SUBSTITUTE($H723&amp;" "," ","|",2))-1),""))</f>
        <v/>
      </c>
      <c r="E723" s="58">
        <f>IF($H723="","",IFERROR(MID($H723&amp;" ",FIND("|",SUBSTITUTE($H723&amp;" "," ","|",3))+1,FIND("|",SUBSTITUTE($H723&amp;" "," ","|",4))-FIND("|",SUBSTITUTE($H723&amp;" "," ","|",3))-1),""))</f>
        <v/>
      </c>
      <c r="F723" s="59">
        <f>IF($H723="","",IFERROR(VALUE(IFERROR(MID($H723&amp;" ",FIND("|",SUBSTITUTE($H723&amp;" "," ","|",4))+1,FIND("|",SUBSTITUTE($H723&amp;" "," ","|",5))-FIND("|",SUBSTITUTE($H723&amp;" "," ","|",4))-1),""))/86400+25569+9/24,""))</f>
        <v/>
      </c>
      <c r="G723" s="58">
        <f>TRIM(SUBSTITUTE(SUBSTITUTE(SUBSTITUTE($A723,CHAR(9)," ")," "," "),CHAR(13),""))</f>
        <v/>
      </c>
      <c r="H723" s="58">
        <f>IF($G723="","",IF(ISNUMBER(FIND(" ",$G723)),$G723,IFERROR(IF((LEN(SUBSTITUTE(SUBSTITUTE($G723,"-"," ",LEN($G723)-LEN(SUBSTITUTE($G723,"-",""))),"-"," ",LEN($G723)-LEN(SUBSTITUTE($G723,"-",""))-1))-LEN(SUBSTITUTE(SUBSTITUTE(SUBSTITUTE($G723,"-"," ",LEN($G723)-LEN(SUBSTITUTE($G723,"-",""))),"-"," ",LEN($G723)-LEN(SUBSTITUTE($G723,"-",""))-1),".","")))=0,SUBSTITUTE(SUBSTITUTE($G723,"-"," ",LEN($G723)-LEN(SUBSTITUTE($G723,"-",""))),"-"," ",LEN($G723)-LEN(SUBSTITUTE($G723,"-",""))-1),SUBSTITUTE(SUBSTITUTE(SUBSTITUTE($G723,"-"," ",LEN($G723)-LEN(SUBSTITUTE($G723,"-",""))),"-"," ",LEN($G723)-LEN(SUBSTITUTE($G723,"-",""))-1),"."," ",(LEN(SUBSTITUTE(SUBSTITUTE($G723,"-"," ",LEN($G723)-LEN(SUBSTITUTE($G723,"-",""))),"-"," ",LEN($G723)-LEN(SUBSTITUTE($G723,"-",""))-1))-LEN(SUBSTITUTE(SUBSTITUTE(SUBSTITUTE($G723,"-"," ",LEN($G723)-LEN(SUBSTITUTE($G723,"-",""))),"-"," ",LEN($G723)-LEN(SUBSTITUTE($G723,"-",""))-1),".",""))))),$G723)))</f>
        <v/>
      </c>
    </row>
    <row r="724">
      <c r="A724" s="58" t="n"/>
      <c r="B724" s="58">
        <f>IF($H724="","",LEFT($H724,FIND(" ",$H724&amp;" ")-1))</f>
        <v/>
      </c>
      <c r="C724" s="58">
        <f>IF($H724="","",IFERROR(MID($H724&amp;" ",FIND("|",SUBSTITUTE($H724&amp;" "," ","|",1))+1,FIND("|",SUBSTITUTE($H724&amp;" "," ","|",2))-FIND("|",SUBSTITUTE($H724&amp;" "," ","|",1))-1),""))</f>
        <v/>
      </c>
      <c r="D724" s="58">
        <f>IF($H724="","",IFERROR(MID($H724&amp;" ",FIND("|",SUBSTITUTE($H724&amp;" "," ","|",2))+1,FIND("|",SUBSTITUTE($H724&amp;" "," ","|",3))-FIND("|",SUBSTITUTE($H724&amp;" "," ","|",2))-1),""))</f>
        <v/>
      </c>
      <c r="E724" s="58">
        <f>IF($H724="","",IFERROR(MID($H724&amp;" ",FIND("|",SUBSTITUTE($H724&amp;" "," ","|",3))+1,FIND("|",SUBSTITUTE($H724&amp;" "," ","|",4))-FIND("|",SUBSTITUTE($H724&amp;" "," ","|",3))-1),""))</f>
        <v/>
      </c>
      <c r="F724" s="59">
        <f>IF($H724="","",IFERROR(VALUE(IFERROR(MID($H724&amp;" ",FIND("|",SUBSTITUTE($H724&amp;" "," ","|",4))+1,FIND("|",SUBSTITUTE($H724&amp;" "," ","|",5))-FIND("|",SUBSTITUTE($H724&amp;" "," ","|",4))-1),""))/86400+25569+9/24,""))</f>
        <v/>
      </c>
      <c r="G724" s="58">
        <f>TRIM(SUBSTITUTE(SUBSTITUTE(SUBSTITUTE($A724,CHAR(9)," ")," "," "),CHAR(13),""))</f>
        <v/>
      </c>
      <c r="H724" s="58">
        <f>IF($G724="","",IF(ISNUMBER(FIND(" ",$G724)),$G724,IFERROR(IF((LEN(SUBSTITUTE(SUBSTITUTE($G724,"-"," ",LEN($G724)-LEN(SUBSTITUTE($G724,"-",""))),"-"," ",LEN($G724)-LEN(SUBSTITUTE($G724,"-",""))-1))-LEN(SUBSTITUTE(SUBSTITUTE(SUBSTITUTE($G724,"-"," ",LEN($G724)-LEN(SUBSTITUTE($G724,"-",""))),"-"," ",LEN($G724)-LEN(SUBSTITUTE($G724,"-",""))-1),".","")))=0,SUBSTITUTE(SUBSTITUTE($G724,"-"," ",LEN($G724)-LEN(SUBSTITUTE($G724,"-",""))),"-"," ",LEN($G724)-LEN(SUBSTITUTE($G724,"-",""))-1),SUBSTITUTE(SUBSTITUTE(SUBSTITUTE($G724,"-"," ",LEN($G724)-LEN(SUBSTITUTE($G724,"-",""))),"-"," ",LEN($G724)-LEN(SUBSTITUTE($G724,"-",""))-1),"."," ",(LEN(SUBSTITUTE(SUBSTITUTE($G724,"-"," ",LEN($G724)-LEN(SUBSTITUTE($G724,"-",""))),"-"," ",LEN($G724)-LEN(SUBSTITUTE($G724,"-",""))-1))-LEN(SUBSTITUTE(SUBSTITUTE(SUBSTITUTE($G724,"-"," ",LEN($G724)-LEN(SUBSTITUTE($G724,"-",""))),"-"," ",LEN($G724)-LEN(SUBSTITUTE($G724,"-",""))-1),".",""))))),$G724)))</f>
        <v/>
      </c>
    </row>
    <row r="725">
      <c r="A725" s="58" t="n"/>
      <c r="B725" s="58">
        <f>IF($H725="","",LEFT($H725,FIND(" ",$H725&amp;" ")-1))</f>
        <v/>
      </c>
      <c r="C725" s="58">
        <f>IF($H725="","",IFERROR(MID($H725&amp;" ",FIND("|",SUBSTITUTE($H725&amp;" "," ","|",1))+1,FIND("|",SUBSTITUTE($H725&amp;" "," ","|",2))-FIND("|",SUBSTITUTE($H725&amp;" "," ","|",1))-1),""))</f>
        <v/>
      </c>
      <c r="D725" s="58">
        <f>IF($H725="","",IFERROR(MID($H725&amp;" ",FIND("|",SUBSTITUTE($H725&amp;" "," ","|",2))+1,FIND("|",SUBSTITUTE($H725&amp;" "," ","|",3))-FIND("|",SUBSTITUTE($H725&amp;" "," ","|",2))-1),""))</f>
        <v/>
      </c>
      <c r="E725" s="58">
        <f>IF($H725="","",IFERROR(MID($H725&amp;" ",FIND("|",SUBSTITUTE($H725&amp;" "," ","|",3))+1,FIND("|",SUBSTITUTE($H725&amp;" "," ","|",4))-FIND("|",SUBSTITUTE($H725&amp;" "," ","|",3))-1),""))</f>
        <v/>
      </c>
      <c r="F725" s="59">
        <f>IF($H725="","",IFERROR(VALUE(IFERROR(MID($H725&amp;" ",FIND("|",SUBSTITUTE($H725&amp;" "," ","|",4))+1,FIND("|",SUBSTITUTE($H725&amp;" "," ","|",5))-FIND("|",SUBSTITUTE($H725&amp;" "," ","|",4))-1),""))/86400+25569+9/24,""))</f>
        <v/>
      </c>
      <c r="G725" s="58">
        <f>TRIM(SUBSTITUTE(SUBSTITUTE(SUBSTITUTE($A725,CHAR(9)," ")," "," "),CHAR(13),""))</f>
        <v/>
      </c>
      <c r="H725" s="58">
        <f>IF($G725="","",IF(ISNUMBER(FIND(" ",$G725)),$G725,IFERROR(IF((LEN(SUBSTITUTE(SUBSTITUTE($G725,"-"," ",LEN($G725)-LEN(SUBSTITUTE($G725,"-",""))),"-"," ",LEN($G725)-LEN(SUBSTITUTE($G725,"-",""))-1))-LEN(SUBSTITUTE(SUBSTITUTE(SUBSTITUTE($G725,"-"," ",LEN($G725)-LEN(SUBSTITUTE($G725,"-",""))),"-"," ",LEN($G725)-LEN(SUBSTITUTE($G725,"-",""))-1),".","")))=0,SUBSTITUTE(SUBSTITUTE($G725,"-"," ",LEN($G725)-LEN(SUBSTITUTE($G725,"-",""))),"-"," ",LEN($G725)-LEN(SUBSTITUTE($G725,"-",""))-1),SUBSTITUTE(SUBSTITUTE(SUBSTITUTE($G725,"-"," ",LEN($G725)-LEN(SUBSTITUTE($G725,"-",""))),"-"," ",LEN($G725)-LEN(SUBSTITUTE($G725,"-",""))-1),"."," ",(LEN(SUBSTITUTE(SUBSTITUTE($G725,"-"," ",LEN($G725)-LEN(SUBSTITUTE($G725,"-",""))),"-"," ",LEN($G725)-LEN(SUBSTITUTE($G725,"-",""))-1))-LEN(SUBSTITUTE(SUBSTITUTE(SUBSTITUTE($G725,"-"," ",LEN($G725)-LEN(SUBSTITUTE($G725,"-",""))),"-"," ",LEN($G725)-LEN(SUBSTITUTE($G725,"-",""))-1),".",""))))),$G725)))</f>
        <v/>
      </c>
    </row>
    <row r="726">
      <c r="A726" s="58" t="n"/>
      <c r="B726" s="58">
        <f>IF($H726="","",LEFT($H726,FIND(" ",$H726&amp;" ")-1))</f>
        <v/>
      </c>
      <c r="C726" s="58">
        <f>IF($H726="","",IFERROR(MID($H726&amp;" ",FIND("|",SUBSTITUTE($H726&amp;" "," ","|",1))+1,FIND("|",SUBSTITUTE($H726&amp;" "," ","|",2))-FIND("|",SUBSTITUTE($H726&amp;" "," ","|",1))-1),""))</f>
        <v/>
      </c>
      <c r="D726" s="58">
        <f>IF($H726="","",IFERROR(MID($H726&amp;" ",FIND("|",SUBSTITUTE($H726&amp;" "," ","|",2))+1,FIND("|",SUBSTITUTE($H726&amp;" "," ","|",3))-FIND("|",SUBSTITUTE($H726&amp;" "," ","|",2))-1),""))</f>
        <v/>
      </c>
      <c r="E726" s="58">
        <f>IF($H726="","",IFERROR(MID($H726&amp;" ",FIND("|",SUBSTITUTE($H726&amp;" "," ","|",3))+1,FIND("|",SUBSTITUTE($H726&amp;" "," ","|",4))-FIND("|",SUBSTITUTE($H726&amp;" "," ","|",3))-1),""))</f>
        <v/>
      </c>
      <c r="F726" s="59">
        <f>IF($H726="","",IFERROR(VALUE(IFERROR(MID($H726&amp;" ",FIND("|",SUBSTITUTE($H726&amp;" "," ","|",4))+1,FIND("|",SUBSTITUTE($H726&amp;" "," ","|",5))-FIND("|",SUBSTITUTE($H726&amp;" "," ","|",4))-1),""))/86400+25569+9/24,""))</f>
        <v/>
      </c>
      <c r="G726" s="58">
        <f>TRIM(SUBSTITUTE(SUBSTITUTE(SUBSTITUTE($A726,CHAR(9)," ")," "," "),CHAR(13),""))</f>
        <v/>
      </c>
      <c r="H726" s="58">
        <f>IF($G726="","",IF(ISNUMBER(FIND(" ",$G726)),$G726,IFERROR(IF((LEN(SUBSTITUTE(SUBSTITUTE($G726,"-"," ",LEN($G726)-LEN(SUBSTITUTE($G726,"-",""))),"-"," ",LEN($G726)-LEN(SUBSTITUTE($G726,"-",""))-1))-LEN(SUBSTITUTE(SUBSTITUTE(SUBSTITUTE($G726,"-"," ",LEN($G726)-LEN(SUBSTITUTE($G726,"-",""))),"-"," ",LEN($G726)-LEN(SUBSTITUTE($G726,"-",""))-1),".","")))=0,SUBSTITUTE(SUBSTITUTE($G726,"-"," ",LEN($G726)-LEN(SUBSTITUTE($G726,"-",""))),"-"," ",LEN($G726)-LEN(SUBSTITUTE($G726,"-",""))-1),SUBSTITUTE(SUBSTITUTE(SUBSTITUTE($G726,"-"," ",LEN($G726)-LEN(SUBSTITUTE($G726,"-",""))),"-"," ",LEN($G726)-LEN(SUBSTITUTE($G726,"-",""))-1),"."," ",(LEN(SUBSTITUTE(SUBSTITUTE($G726,"-"," ",LEN($G726)-LEN(SUBSTITUTE($G726,"-",""))),"-"," ",LEN($G726)-LEN(SUBSTITUTE($G726,"-",""))-1))-LEN(SUBSTITUTE(SUBSTITUTE(SUBSTITUTE($G726,"-"," ",LEN($G726)-LEN(SUBSTITUTE($G726,"-",""))),"-"," ",LEN($G726)-LEN(SUBSTITUTE($G726,"-",""))-1),".",""))))),$G726)))</f>
        <v/>
      </c>
    </row>
    <row r="727">
      <c r="A727" s="58" t="n"/>
      <c r="B727" s="58">
        <f>IF($H727="","",LEFT($H727,FIND(" ",$H727&amp;" ")-1))</f>
        <v/>
      </c>
      <c r="C727" s="58">
        <f>IF($H727="","",IFERROR(MID($H727&amp;" ",FIND("|",SUBSTITUTE($H727&amp;" "," ","|",1))+1,FIND("|",SUBSTITUTE($H727&amp;" "," ","|",2))-FIND("|",SUBSTITUTE($H727&amp;" "," ","|",1))-1),""))</f>
        <v/>
      </c>
      <c r="D727" s="58">
        <f>IF($H727="","",IFERROR(MID($H727&amp;" ",FIND("|",SUBSTITUTE($H727&amp;" "," ","|",2))+1,FIND("|",SUBSTITUTE($H727&amp;" "," ","|",3))-FIND("|",SUBSTITUTE($H727&amp;" "," ","|",2))-1),""))</f>
        <v/>
      </c>
      <c r="E727" s="58">
        <f>IF($H727="","",IFERROR(MID($H727&amp;" ",FIND("|",SUBSTITUTE($H727&amp;" "," ","|",3))+1,FIND("|",SUBSTITUTE($H727&amp;" "," ","|",4))-FIND("|",SUBSTITUTE($H727&amp;" "," ","|",3))-1),""))</f>
        <v/>
      </c>
      <c r="F727" s="59">
        <f>IF($H727="","",IFERROR(VALUE(IFERROR(MID($H727&amp;" ",FIND("|",SUBSTITUTE($H727&amp;" "," ","|",4))+1,FIND("|",SUBSTITUTE($H727&amp;" "," ","|",5))-FIND("|",SUBSTITUTE($H727&amp;" "," ","|",4))-1),""))/86400+25569+9/24,""))</f>
        <v/>
      </c>
      <c r="G727" s="58">
        <f>TRIM(SUBSTITUTE(SUBSTITUTE(SUBSTITUTE($A727,CHAR(9)," ")," "," "),CHAR(13),""))</f>
        <v/>
      </c>
      <c r="H727" s="58">
        <f>IF($G727="","",IF(ISNUMBER(FIND(" ",$G727)),$G727,IFERROR(IF((LEN(SUBSTITUTE(SUBSTITUTE($G727,"-"," ",LEN($G727)-LEN(SUBSTITUTE($G727,"-",""))),"-"," ",LEN($G727)-LEN(SUBSTITUTE($G727,"-",""))-1))-LEN(SUBSTITUTE(SUBSTITUTE(SUBSTITUTE($G727,"-"," ",LEN($G727)-LEN(SUBSTITUTE($G727,"-",""))),"-"," ",LEN($G727)-LEN(SUBSTITUTE($G727,"-",""))-1),".","")))=0,SUBSTITUTE(SUBSTITUTE($G727,"-"," ",LEN($G727)-LEN(SUBSTITUTE($G727,"-",""))),"-"," ",LEN($G727)-LEN(SUBSTITUTE($G727,"-",""))-1),SUBSTITUTE(SUBSTITUTE(SUBSTITUTE($G727,"-"," ",LEN($G727)-LEN(SUBSTITUTE($G727,"-",""))),"-"," ",LEN($G727)-LEN(SUBSTITUTE($G727,"-",""))-1),"."," ",(LEN(SUBSTITUTE(SUBSTITUTE($G727,"-"," ",LEN($G727)-LEN(SUBSTITUTE($G727,"-",""))),"-"," ",LEN($G727)-LEN(SUBSTITUTE($G727,"-",""))-1))-LEN(SUBSTITUTE(SUBSTITUTE(SUBSTITUTE($G727,"-"," ",LEN($G727)-LEN(SUBSTITUTE($G727,"-",""))),"-"," ",LEN($G727)-LEN(SUBSTITUTE($G727,"-",""))-1),".",""))))),$G727)))</f>
        <v/>
      </c>
    </row>
    <row r="728">
      <c r="A728" s="58" t="n"/>
      <c r="B728" s="58">
        <f>IF($H728="","",LEFT($H728,FIND(" ",$H728&amp;" ")-1))</f>
        <v/>
      </c>
      <c r="C728" s="58">
        <f>IF($H728="","",IFERROR(MID($H728&amp;" ",FIND("|",SUBSTITUTE($H728&amp;" "," ","|",1))+1,FIND("|",SUBSTITUTE($H728&amp;" "," ","|",2))-FIND("|",SUBSTITUTE($H728&amp;" "," ","|",1))-1),""))</f>
        <v/>
      </c>
      <c r="D728" s="58">
        <f>IF($H728="","",IFERROR(MID($H728&amp;" ",FIND("|",SUBSTITUTE($H728&amp;" "," ","|",2))+1,FIND("|",SUBSTITUTE($H728&amp;" "," ","|",3))-FIND("|",SUBSTITUTE($H728&amp;" "," ","|",2))-1),""))</f>
        <v/>
      </c>
      <c r="E728" s="58">
        <f>IF($H728="","",IFERROR(MID($H728&amp;" ",FIND("|",SUBSTITUTE($H728&amp;" "," ","|",3))+1,FIND("|",SUBSTITUTE($H728&amp;" "," ","|",4))-FIND("|",SUBSTITUTE($H728&amp;" "," ","|",3))-1),""))</f>
        <v/>
      </c>
      <c r="F728" s="59">
        <f>IF($H728="","",IFERROR(VALUE(IFERROR(MID($H728&amp;" ",FIND("|",SUBSTITUTE($H728&amp;" "," ","|",4))+1,FIND("|",SUBSTITUTE($H728&amp;" "," ","|",5))-FIND("|",SUBSTITUTE($H728&amp;" "," ","|",4))-1),""))/86400+25569+9/24,""))</f>
        <v/>
      </c>
      <c r="G728" s="58">
        <f>TRIM(SUBSTITUTE(SUBSTITUTE(SUBSTITUTE($A728,CHAR(9)," ")," "," "),CHAR(13),""))</f>
        <v/>
      </c>
      <c r="H728" s="58">
        <f>IF($G728="","",IF(ISNUMBER(FIND(" ",$G728)),$G728,IFERROR(IF((LEN(SUBSTITUTE(SUBSTITUTE($G728,"-"," ",LEN($G728)-LEN(SUBSTITUTE($G728,"-",""))),"-"," ",LEN($G728)-LEN(SUBSTITUTE($G728,"-",""))-1))-LEN(SUBSTITUTE(SUBSTITUTE(SUBSTITUTE($G728,"-"," ",LEN($G728)-LEN(SUBSTITUTE($G728,"-",""))),"-"," ",LEN($G728)-LEN(SUBSTITUTE($G728,"-",""))-1),".","")))=0,SUBSTITUTE(SUBSTITUTE($G728,"-"," ",LEN($G728)-LEN(SUBSTITUTE($G728,"-",""))),"-"," ",LEN($G728)-LEN(SUBSTITUTE($G728,"-",""))-1),SUBSTITUTE(SUBSTITUTE(SUBSTITUTE($G728,"-"," ",LEN($G728)-LEN(SUBSTITUTE($G728,"-",""))),"-"," ",LEN($G728)-LEN(SUBSTITUTE($G728,"-",""))-1),"."," ",(LEN(SUBSTITUTE(SUBSTITUTE($G728,"-"," ",LEN($G728)-LEN(SUBSTITUTE($G728,"-",""))),"-"," ",LEN($G728)-LEN(SUBSTITUTE($G728,"-",""))-1))-LEN(SUBSTITUTE(SUBSTITUTE(SUBSTITUTE($G728,"-"," ",LEN($G728)-LEN(SUBSTITUTE($G728,"-",""))),"-"," ",LEN($G728)-LEN(SUBSTITUTE($G728,"-",""))-1),".",""))))),$G728)))</f>
        <v/>
      </c>
    </row>
    <row r="729">
      <c r="A729" s="58" t="n"/>
      <c r="B729" s="58">
        <f>IF($H729="","",LEFT($H729,FIND(" ",$H729&amp;" ")-1))</f>
        <v/>
      </c>
      <c r="C729" s="58">
        <f>IF($H729="","",IFERROR(MID($H729&amp;" ",FIND("|",SUBSTITUTE($H729&amp;" "," ","|",1))+1,FIND("|",SUBSTITUTE($H729&amp;" "," ","|",2))-FIND("|",SUBSTITUTE($H729&amp;" "," ","|",1))-1),""))</f>
        <v/>
      </c>
      <c r="D729" s="58">
        <f>IF($H729="","",IFERROR(MID($H729&amp;" ",FIND("|",SUBSTITUTE($H729&amp;" "," ","|",2))+1,FIND("|",SUBSTITUTE($H729&amp;" "," ","|",3))-FIND("|",SUBSTITUTE($H729&amp;" "," ","|",2))-1),""))</f>
        <v/>
      </c>
      <c r="E729" s="58">
        <f>IF($H729="","",IFERROR(MID($H729&amp;" ",FIND("|",SUBSTITUTE($H729&amp;" "," ","|",3))+1,FIND("|",SUBSTITUTE($H729&amp;" "," ","|",4))-FIND("|",SUBSTITUTE($H729&amp;" "," ","|",3))-1),""))</f>
        <v/>
      </c>
      <c r="F729" s="59">
        <f>IF($H729="","",IFERROR(VALUE(IFERROR(MID($H729&amp;" ",FIND("|",SUBSTITUTE($H729&amp;" "," ","|",4))+1,FIND("|",SUBSTITUTE($H729&amp;" "," ","|",5))-FIND("|",SUBSTITUTE($H729&amp;" "," ","|",4))-1),""))/86400+25569+9/24,""))</f>
        <v/>
      </c>
      <c r="G729" s="58">
        <f>TRIM(SUBSTITUTE(SUBSTITUTE(SUBSTITUTE($A729,CHAR(9)," ")," "," "),CHAR(13),""))</f>
        <v/>
      </c>
      <c r="H729" s="58">
        <f>IF($G729="","",IF(ISNUMBER(FIND(" ",$G729)),$G729,IFERROR(IF((LEN(SUBSTITUTE(SUBSTITUTE($G729,"-"," ",LEN($G729)-LEN(SUBSTITUTE($G729,"-",""))),"-"," ",LEN($G729)-LEN(SUBSTITUTE($G729,"-",""))-1))-LEN(SUBSTITUTE(SUBSTITUTE(SUBSTITUTE($G729,"-"," ",LEN($G729)-LEN(SUBSTITUTE($G729,"-",""))),"-"," ",LEN($G729)-LEN(SUBSTITUTE($G729,"-",""))-1),".","")))=0,SUBSTITUTE(SUBSTITUTE($G729,"-"," ",LEN($G729)-LEN(SUBSTITUTE($G729,"-",""))),"-"," ",LEN($G729)-LEN(SUBSTITUTE($G729,"-",""))-1),SUBSTITUTE(SUBSTITUTE(SUBSTITUTE($G729,"-"," ",LEN($G729)-LEN(SUBSTITUTE($G729,"-",""))),"-"," ",LEN($G729)-LEN(SUBSTITUTE($G729,"-",""))-1),"."," ",(LEN(SUBSTITUTE(SUBSTITUTE($G729,"-"," ",LEN($G729)-LEN(SUBSTITUTE($G729,"-",""))),"-"," ",LEN($G729)-LEN(SUBSTITUTE($G729,"-",""))-1))-LEN(SUBSTITUTE(SUBSTITUTE(SUBSTITUTE($G729,"-"," ",LEN($G729)-LEN(SUBSTITUTE($G729,"-",""))),"-"," ",LEN($G729)-LEN(SUBSTITUTE($G729,"-",""))-1),".",""))))),$G729)))</f>
        <v/>
      </c>
    </row>
    <row r="730">
      <c r="A730" s="58" t="n"/>
      <c r="B730" s="58">
        <f>IF($H730="","",LEFT($H730,FIND(" ",$H730&amp;" ")-1))</f>
        <v/>
      </c>
      <c r="C730" s="58">
        <f>IF($H730="","",IFERROR(MID($H730&amp;" ",FIND("|",SUBSTITUTE($H730&amp;" "," ","|",1))+1,FIND("|",SUBSTITUTE($H730&amp;" "," ","|",2))-FIND("|",SUBSTITUTE($H730&amp;" "," ","|",1))-1),""))</f>
        <v/>
      </c>
      <c r="D730" s="58">
        <f>IF($H730="","",IFERROR(MID($H730&amp;" ",FIND("|",SUBSTITUTE($H730&amp;" "," ","|",2))+1,FIND("|",SUBSTITUTE($H730&amp;" "," ","|",3))-FIND("|",SUBSTITUTE($H730&amp;" "," ","|",2))-1),""))</f>
        <v/>
      </c>
      <c r="E730" s="58">
        <f>IF($H730="","",IFERROR(MID($H730&amp;" ",FIND("|",SUBSTITUTE($H730&amp;" "," ","|",3))+1,FIND("|",SUBSTITUTE($H730&amp;" "," ","|",4))-FIND("|",SUBSTITUTE($H730&amp;" "," ","|",3))-1),""))</f>
        <v/>
      </c>
      <c r="F730" s="59">
        <f>IF($H730="","",IFERROR(VALUE(IFERROR(MID($H730&amp;" ",FIND("|",SUBSTITUTE($H730&amp;" "," ","|",4))+1,FIND("|",SUBSTITUTE($H730&amp;" "," ","|",5))-FIND("|",SUBSTITUTE($H730&amp;" "," ","|",4))-1),""))/86400+25569+9/24,""))</f>
        <v/>
      </c>
      <c r="G730" s="58">
        <f>TRIM(SUBSTITUTE(SUBSTITUTE(SUBSTITUTE($A730,CHAR(9)," ")," "," "),CHAR(13),""))</f>
        <v/>
      </c>
      <c r="H730" s="58">
        <f>IF($G730="","",IF(ISNUMBER(FIND(" ",$G730)),$G730,IFERROR(IF((LEN(SUBSTITUTE(SUBSTITUTE($G730,"-"," ",LEN($G730)-LEN(SUBSTITUTE($G730,"-",""))),"-"," ",LEN($G730)-LEN(SUBSTITUTE($G730,"-",""))-1))-LEN(SUBSTITUTE(SUBSTITUTE(SUBSTITUTE($G730,"-"," ",LEN($G730)-LEN(SUBSTITUTE($G730,"-",""))),"-"," ",LEN($G730)-LEN(SUBSTITUTE($G730,"-",""))-1),".","")))=0,SUBSTITUTE(SUBSTITUTE($G730,"-"," ",LEN($G730)-LEN(SUBSTITUTE($G730,"-",""))),"-"," ",LEN($G730)-LEN(SUBSTITUTE($G730,"-",""))-1),SUBSTITUTE(SUBSTITUTE(SUBSTITUTE($G730,"-"," ",LEN($G730)-LEN(SUBSTITUTE($G730,"-",""))),"-"," ",LEN($G730)-LEN(SUBSTITUTE($G730,"-",""))-1),"."," ",(LEN(SUBSTITUTE(SUBSTITUTE($G730,"-"," ",LEN($G730)-LEN(SUBSTITUTE($G730,"-",""))),"-"," ",LEN($G730)-LEN(SUBSTITUTE($G730,"-",""))-1))-LEN(SUBSTITUTE(SUBSTITUTE(SUBSTITUTE($G730,"-"," ",LEN($G730)-LEN(SUBSTITUTE($G730,"-",""))),"-"," ",LEN($G730)-LEN(SUBSTITUTE($G730,"-",""))-1),".",""))))),$G730)))</f>
        <v/>
      </c>
    </row>
    <row r="731">
      <c r="A731" s="58" t="n"/>
      <c r="B731" s="58">
        <f>IF($H731="","",LEFT($H731,FIND(" ",$H731&amp;" ")-1))</f>
        <v/>
      </c>
      <c r="C731" s="58">
        <f>IF($H731="","",IFERROR(MID($H731&amp;" ",FIND("|",SUBSTITUTE($H731&amp;" "," ","|",1))+1,FIND("|",SUBSTITUTE($H731&amp;" "," ","|",2))-FIND("|",SUBSTITUTE($H731&amp;" "," ","|",1))-1),""))</f>
        <v/>
      </c>
      <c r="D731" s="58">
        <f>IF($H731="","",IFERROR(MID($H731&amp;" ",FIND("|",SUBSTITUTE($H731&amp;" "," ","|",2))+1,FIND("|",SUBSTITUTE($H731&amp;" "," ","|",3))-FIND("|",SUBSTITUTE($H731&amp;" "," ","|",2))-1),""))</f>
        <v/>
      </c>
      <c r="E731" s="58">
        <f>IF($H731="","",IFERROR(MID($H731&amp;" ",FIND("|",SUBSTITUTE($H731&amp;" "," ","|",3))+1,FIND("|",SUBSTITUTE($H731&amp;" "," ","|",4))-FIND("|",SUBSTITUTE($H731&amp;" "," ","|",3))-1),""))</f>
        <v/>
      </c>
      <c r="F731" s="59">
        <f>IF($H731="","",IFERROR(VALUE(IFERROR(MID($H731&amp;" ",FIND("|",SUBSTITUTE($H731&amp;" "," ","|",4))+1,FIND("|",SUBSTITUTE($H731&amp;" "," ","|",5))-FIND("|",SUBSTITUTE($H731&amp;" "," ","|",4))-1),""))/86400+25569+9/24,""))</f>
        <v/>
      </c>
      <c r="G731" s="58">
        <f>TRIM(SUBSTITUTE(SUBSTITUTE(SUBSTITUTE($A731,CHAR(9)," ")," "," "),CHAR(13),""))</f>
        <v/>
      </c>
      <c r="H731" s="58">
        <f>IF($G731="","",IF(ISNUMBER(FIND(" ",$G731)),$G731,IFERROR(IF((LEN(SUBSTITUTE(SUBSTITUTE($G731,"-"," ",LEN($G731)-LEN(SUBSTITUTE($G731,"-",""))),"-"," ",LEN($G731)-LEN(SUBSTITUTE($G731,"-",""))-1))-LEN(SUBSTITUTE(SUBSTITUTE(SUBSTITUTE($G731,"-"," ",LEN($G731)-LEN(SUBSTITUTE($G731,"-",""))),"-"," ",LEN($G731)-LEN(SUBSTITUTE($G731,"-",""))-1),".","")))=0,SUBSTITUTE(SUBSTITUTE($G731,"-"," ",LEN($G731)-LEN(SUBSTITUTE($G731,"-",""))),"-"," ",LEN($G731)-LEN(SUBSTITUTE($G731,"-",""))-1),SUBSTITUTE(SUBSTITUTE(SUBSTITUTE($G731,"-"," ",LEN($G731)-LEN(SUBSTITUTE($G731,"-",""))),"-"," ",LEN($G731)-LEN(SUBSTITUTE($G731,"-",""))-1),"."," ",(LEN(SUBSTITUTE(SUBSTITUTE($G731,"-"," ",LEN($G731)-LEN(SUBSTITUTE($G731,"-",""))),"-"," ",LEN($G731)-LEN(SUBSTITUTE($G731,"-",""))-1))-LEN(SUBSTITUTE(SUBSTITUTE(SUBSTITUTE($G731,"-"," ",LEN($G731)-LEN(SUBSTITUTE($G731,"-",""))),"-"," ",LEN($G731)-LEN(SUBSTITUTE($G731,"-",""))-1),".",""))))),$G731)))</f>
        <v/>
      </c>
    </row>
    <row r="732">
      <c r="A732" s="58" t="n"/>
      <c r="B732" s="58">
        <f>IF($H732="","",LEFT($H732,FIND(" ",$H732&amp;" ")-1))</f>
        <v/>
      </c>
      <c r="C732" s="58">
        <f>IF($H732="","",IFERROR(MID($H732&amp;" ",FIND("|",SUBSTITUTE($H732&amp;" "," ","|",1))+1,FIND("|",SUBSTITUTE($H732&amp;" "," ","|",2))-FIND("|",SUBSTITUTE($H732&amp;" "," ","|",1))-1),""))</f>
        <v/>
      </c>
      <c r="D732" s="58">
        <f>IF($H732="","",IFERROR(MID($H732&amp;" ",FIND("|",SUBSTITUTE($H732&amp;" "," ","|",2))+1,FIND("|",SUBSTITUTE($H732&amp;" "," ","|",3))-FIND("|",SUBSTITUTE($H732&amp;" "," ","|",2))-1),""))</f>
        <v/>
      </c>
      <c r="E732" s="58">
        <f>IF($H732="","",IFERROR(MID($H732&amp;" ",FIND("|",SUBSTITUTE($H732&amp;" "," ","|",3))+1,FIND("|",SUBSTITUTE($H732&amp;" "," ","|",4))-FIND("|",SUBSTITUTE($H732&amp;" "," ","|",3))-1),""))</f>
        <v/>
      </c>
      <c r="F732" s="59">
        <f>IF($H732="","",IFERROR(VALUE(IFERROR(MID($H732&amp;" ",FIND("|",SUBSTITUTE($H732&amp;" "," ","|",4))+1,FIND("|",SUBSTITUTE($H732&amp;" "," ","|",5))-FIND("|",SUBSTITUTE($H732&amp;" "," ","|",4))-1),""))/86400+25569+9/24,""))</f>
        <v/>
      </c>
      <c r="G732" s="58">
        <f>TRIM(SUBSTITUTE(SUBSTITUTE(SUBSTITUTE($A732,CHAR(9)," ")," "," "),CHAR(13),""))</f>
        <v/>
      </c>
      <c r="H732" s="58">
        <f>IF($G732="","",IF(ISNUMBER(FIND(" ",$G732)),$G732,IFERROR(IF((LEN(SUBSTITUTE(SUBSTITUTE($G732,"-"," ",LEN($G732)-LEN(SUBSTITUTE($G732,"-",""))),"-"," ",LEN($G732)-LEN(SUBSTITUTE($G732,"-",""))-1))-LEN(SUBSTITUTE(SUBSTITUTE(SUBSTITUTE($G732,"-"," ",LEN($G732)-LEN(SUBSTITUTE($G732,"-",""))),"-"," ",LEN($G732)-LEN(SUBSTITUTE($G732,"-",""))-1),".","")))=0,SUBSTITUTE(SUBSTITUTE($G732,"-"," ",LEN($G732)-LEN(SUBSTITUTE($G732,"-",""))),"-"," ",LEN($G732)-LEN(SUBSTITUTE($G732,"-",""))-1),SUBSTITUTE(SUBSTITUTE(SUBSTITUTE($G732,"-"," ",LEN($G732)-LEN(SUBSTITUTE($G732,"-",""))),"-"," ",LEN($G732)-LEN(SUBSTITUTE($G732,"-",""))-1),"."," ",(LEN(SUBSTITUTE(SUBSTITUTE($G732,"-"," ",LEN($G732)-LEN(SUBSTITUTE($G732,"-",""))),"-"," ",LEN($G732)-LEN(SUBSTITUTE($G732,"-",""))-1))-LEN(SUBSTITUTE(SUBSTITUTE(SUBSTITUTE($G732,"-"," ",LEN($G732)-LEN(SUBSTITUTE($G732,"-",""))),"-"," ",LEN($G732)-LEN(SUBSTITUTE($G732,"-",""))-1),".",""))))),$G732)))</f>
        <v/>
      </c>
    </row>
    <row r="733">
      <c r="A733" s="58" t="n"/>
      <c r="B733" s="58">
        <f>IF($H733="","",LEFT($H733,FIND(" ",$H733&amp;" ")-1))</f>
        <v/>
      </c>
      <c r="C733" s="58">
        <f>IF($H733="","",IFERROR(MID($H733&amp;" ",FIND("|",SUBSTITUTE($H733&amp;" "," ","|",1))+1,FIND("|",SUBSTITUTE($H733&amp;" "," ","|",2))-FIND("|",SUBSTITUTE($H733&amp;" "," ","|",1))-1),""))</f>
        <v/>
      </c>
      <c r="D733" s="58">
        <f>IF($H733="","",IFERROR(MID($H733&amp;" ",FIND("|",SUBSTITUTE($H733&amp;" "," ","|",2))+1,FIND("|",SUBSTITUTE($H733&amp;" "," ","|",3))-FIND("|",SUBSTITUTE($H733&amp;" "," ","|",2))-1),""))</f>
        <v/>
      </c>
      <c r="E733" s="58">
        <f>IF($H733="","",IFERROR(MID($H733&amp;" ",FIND("|",SUBSTITUTE($H733&amp;" "," ","|",3))+1,FIND("|",SUBSTITUTE($H733&amp;" "," ","|",4))-FIND("|",SUBSTITUTE($H733&amp;" "," ","|",3))-1),""))</f>
        <v/>
      </c>
      <c r="F733" s="59">
        <f>IF($H733="","",IFERROR(VALUE(IFERROR(MID($H733&amp;" ",FIND("|",SUBSTITUTE($H733&amp;" "," ","|",4))+1,FIND("|",SUBSTITUTE($H733&amp;" "," ","|",5))-FIND("|",SUBSTITUTE($H733&amp;" "," ","|",4))-1),""))/86400+25569+9/24,""))</f>
        <v/>
      </c>
      <c r="G733" s="58">
        <f>TRIM(SUBSTITUTE(SUBSTITUTE(SUBSTITUTE($A733,CHAR(9)," ")," "," "),CHAR(13),""))</f>
        <v/>
      </c>
      <c r="H733" s="58">
        <f>IF($G733="","",IF(ISNUMBER(FIND(" ",$G733)),$G733,IFERROR(IF((LEN(SUBSTITUTE(SUBSTITUTE($G733,"-"," ",LEN($G733)-LEN(SUBSTITUTE($G733,"-",""))),"-"," ",LEN($G733)-LEN(SUBSTITUTE($G733,"-",""))-1))-LEN(SUBSTITUTE(SUBSTITUTE(SUBSTITUTE($G733,"-"," ",LEN($G733)-LEN(SUBSTITUTE($G733,"-",""))),"-"," ",LEN($G733)-LEN(SUBSTITUTE($G733,"-",""))-1),".","")))=0,SUBSTITUTE(SUBSTITUTE($G733,"-"," ",LEN($G733)-LEN(SUBSTITUTE($G733,"-",""))),"-"," ",LEN($G733)-LEN(SUBSTITUTE($G733,"-",""))-1),SUBSTITUTE(SUBSTITUTE(SUBSTITUTE($G733,"-"," ",LEN($G733)-LEN(SUBSTITUTE($G733,"-",""))),"-"," ",LEN($G733)-LEN(SUBSTITUTE($G733,"-",""))-1),"."," ",(LEN(SUBSTITUTE(SUBSTITUTE($G733,"-"," ",LEN($G733)-LEN(SUBSTITUTE($G733,"-",""))),"-"," ",LEN($G733)-LEN(SUBSTITUTE($G733,"-",""))-1))-LEN(SUBSTITUTE(SUBSTITUTE(SUBSTITUTE($G733,"-"," ",LEN($G733)-LEN(SUBSTITUTE($G733,"-",""))),"-"," ",LEN($G733)-LEN(SUBSTITUTE($G733,"-",""))-1),".",""))))),$G733)))</f>
        <v/>
      </c>
    </row>
    <row r="734">
      <c r="A734" s="58" t="n"/>
      <c r="B734" s="58">
        <f>IF($H734="","",LEFT($H734,FIND(" ",$H734&amp;" ")-1))</f>
        <v/>
      </c>
      <c r="C734" s="58">
        <f>IF($H734="","",IFERROR(MID($H734&amp;" ",FIND("|",SUBSTITUTE($H734&amp;" "," ","|",1))+1,FIND("|",SUBSTITUTE($H734&amp;" "," ","|",2))-FIND("|",SUBSTITUTE($H734&amp;" "," ","|",1))-1),""))</f>
        <v/>
      </c>
      <c r="D734" s="58">
        <f>IF($H734="","",IFERROR(MID($H734&amp;" ",FIND("|",SUBSTITUTE($H734&amp;" "," ","|",2))+1,FIND("|",SUBSTITUTE($H734&amp;" "," ","|",3))-FIND("|",SUBSTITUTE($H734&amp;" "," ","|",2))-1),""))</f>
        <v/>
      </c>
      <c r="E734" s="58">
        <f>IF($H734="","",IFERROR(MID($H734&amp;" ",FIND("|",SUBSTITUTE($H734&amp;" "," ","|",3))+1,FIND("|",SUBSTITUTE($H734&amp;" "," ","|",4))-FIND("|",SUBSTITUTE($H734&amp;" "," ","|",3))-1),""))</f>
        <v/>
      </c>
      <c r="F734" s="59">
        <f>IF($H734="","",IFERROR(VALUE(IFERROR(MID($H734&amp;" ",FIND("|",SUBSTITUTE($H734&amp;" "," ","|",4))+1,FIND("|",SUBSTITUTE($H734&amp;" "," ","|",5))-FIND("|",SUBSTITUTE($H734&amp;" "," ","|",4))-1),""))/86400+25569+9/24,""))</f>
        <v/>
      </c>
      <c r="G734" s="58">
        <f>TRIM(SUBSTITUTE(SUBSTITUTE(SUBSTITUTE($A734,CHAR(9)," ")," "," "),CHAR(13),""))</f>
        <v/>
      </c>
      <c r="H734" s="58">
        <f>IF($G734="","",IF(ISNUMBER(FIND(" ",$G734)),$G734,IFERROR(IF((LEN(SUBSTITUTE(SUBSTITUTE($G734,"-"," ",LEN($G734)-LEN(SUBSTITUTE($G734,"-",""))),"-"," ",LEN($G734)-LEN(SUBSTITUTE($G734,"-",""))-1))-LEN(SUBSTITUTE(SUBSTITUTE(SUBSTITUTE($G734,"-"," ",LEN($G734)-LEN(SUBSTITUTE($G734,"-",""))),"-"," ",LEN($G734)-LEN(SUBSTITUTE($G734,"-",""))-1),".","")))=0,SUBSTITUTE(SUBSTITUTE($G734,"-"," ",LEN($G734)-LEN(SUBSTITUTE($G734,"-",""))),"-"," ",LEN($G734)-LEN(SUBSTITUTE($G734,"-",""))-1),SUBSTITUTE(SUBSTITUTE(SUBSTITUTE($G734,"-"," ",LEN($G734)-LEN(SUBSTITUTE($G734,"-",""))),"-"," ",LEN($G734)-LEN(SUBSTITUTE($G734,"-",""))-1),"."," ",(LEN(SUBSTITUTE(SUBSTITUTE($G734,"-"," ",LEN($G734)-LEN(SUBSTITUTE($G734,"-",""))),"-"," ",LEN($G734)-LEN(SUBSTITUTE($G734,"-",""))-1))-LEN(SUBSTITUTE(SUBSTITUTE(SUBSTITUTE($G734,"-"," ",LEN($G734)-LEN(SUBSTITUTE($G734,"-",""))),"-"," ",LEN($G734)-LEN(SUBSTITUTE($G734,"-",""))-1),".",""))))),$G734)))</f>
        <v/>
      </c>
    </row>
    <row r="735">
      <c r="A735" s="58" t="n"/>
      <c r="B735" s="58">
        <f>IF($H735="","",LEFT($H735,FIND(" ",$H735&amp;" ")-1))</f>
        <v/>
      </c>
      <c r="C735" s="58">
        <f>IF($H735="","",IFERROR(MID($H735&amp;" ",FIND("|",SUBSTITUTE($H735&amp;" "," ","|",1))+1,FIND("|",SUBSTITUTE($H735&amp;" "," ","|",2))-FIND("|",SUBSTITUTE($H735&amp;" "," ","|",1))-1),""))</f>
        <v/>
      </c>
      <c r="D735" s="58">
        <f>IF($H735="","",IFERROR(MID($H735&amp;" ",FIND("|",SUBSTITUTE($H735&amp;" "," ","|",2))+1,FIND("|",SUBSTITUTE($H735&amp;" "," ","|",3))-FIND("|",SUBSTITUTE($H735&amp;" "," ","|",2))-1),""))</f>
        <v/>
      </c>
      <c r="E735" s="58">
        <f>IF($H735="","",IFERROR(MID($H735&amp;" ",FIND("|",SUBSTITUTE($H735&amp;" "," ","|",3))+1,FIND("|",SUBSTITUTE($H735&amp;" "," ","|",4))-FIND("|",SUBSTITUTE($H735&amp;" "," ","|",3))-1),""))</f>
        <v/>
      </c>
      <c r="F735" s="59">
        <f>IF($H735="","",IFERROR(VALUE(IFERROR(MID($H735&amp;" ",FIND("|",SUBSTITUTE($H735&amp;" "," ","|",4))+1,FIND("|",SUBSTITUTE($H735&amp;" "," ","|",5))-FIND("|",SUBSTITUTE($H735&amp;" "," ","|",4))-1),""))/86400+25569+9/24,""))</f>
        <v/>
      </c>
      <c r="G735" s="58">
        <f>TRIM(SUBSTITUTE(SUBSTITUTE(SUBSTITUTE($A735,CHAR(9)," ")," "," "),CHAR(13),""))</f>
        <v/>
      </c>
      <c r="H735" s="58">
        <f>IF($G735="","",IF(ISNUMBER(FIND(" ",$G735)),$G735,IFERROR(IF((LEN(SUBSTITUTE(SUBSTITUTE($G735,"-"," ",LEN($G735)-LEN(SUBSTITUTE($G735,"-",""))),"-"," ",LEN($G735)-LEN(SUBSTITUTE($G735,"-",""))-1))-LEN(SUBSTITUTE(SUBSTITUTE(SUBSTITUTE($G735,"-"," ",LEN($G735)-LEN(SUBSTITUTE($G735,"-",""))),"-"," ",LEN($G735)-LEN(SUBSTITUTE($G735,"-",""))-1),".","")))=0,SUBSTITUTE(SUBSTITUTE($G735,"-"," ",LEN($G735)-LEN(SUBSTITUTE($G735,"-",""))),"-"," ",LEN($G735)-LEN(SUBSTITUTE($G735,"-",""))-1),SUBSTITUTE(SUBSTITUTE(SUBSTITUTE($G735,"-"," ",LEN($G735)-LEN(SUBSTITUTE($G735,"-",""))),"-"," ",LEN($G735)-LEN(SUBSTITUTE($G735,"-",""))-1),"."," ",(LEN(SUBSTITUTE(SUBSTITUTE($G735,"-"," ",LEN($G735)-LEN(SUBSTITUTE($G735,"-",""))),"-"," ",LEN($G735)-LEN(SUBSTITUTE($G735,"-",""))-1))-LEN(SUBSTITUTE(SUBSTITUTE(SUBSTITUTE($G735,"-"," ",LEN($G735)-LEN(SUBSTITUTE($G735,"-",""))),"-"," ",LEN($G735)-LEN(SUBSTITUTE($G735,"-",""))-1),".",""))))),$G735)))</f>
        <v/>
      </c>
    </row>
    <row r="736">
      <c r="A736" s="58" t="n"/>
      <c r="B736" s="58">
        <f>IF($H736="","",LEFT($H736,FIND(" ",$H736&amp;" ")-1))</f>
        <v/>
      </c>
      <c r="C736" s="58">
        <f>IF($H736="","",IFERROR(MID($H736&amp;" ",FIND("|",SUBSTITUTE($H736&amp;" "," ","|",1))+1,FIND("|",SUBSTITUTE($H736&amp;" "," ","|",2))-FIND("|",SUBSTITUTE($H736&amp;" "," ","|",1))-1),""))</f>
        <v/>
      </c>
      <c r="D736" s="58">
        <f>IF($H736="","",IFERROR(MID($H736&amp;" ",FIND("|",SUBSTITUTE($H736&amp;" "," ","|",2))+1,FIND("|",SUBSTITUTE($H736&amp;" "," ","|",3))-FIND("|",SUBSTITUTE($H736&amp;" "," ","|",2))-1),""))</f>
        <v/>
      </c>
      <c r="E736" s="58">
        <f>IF($H736="","",IFERROR(MID($H736&amp;" ",FIND("|",SUBSTITUTE($H736&amp;" "," ","|",3))+1,FIND("|",SUBSTITUTE($H736&amp;" "," ","|",4))-FIND("|",SUBSTITUTE($H736&amp;" "," ","|",3))-1),""))</f>
        <v/>
      </c>
      <c r="F736" s="59">
        <f>IF($H736="","",IFERROR(VALUE(IFERROR(MID($H736&amp;" ",FIND("|",SUBSTITUTE($H736&amp;" "," ","|",4))+1,FIND("|",SUBSTITUTE($H736&amp;" "," ","|",5))-FIND("|",SUBSTITUTE($H736&amp;" "," ","|",4))-1),""))/86400+25569+9/24,""))</f>
        <v/>
      </c>
      <c r="G736" s="58">
        <f>TRIM(SUBSTITUTE(SUBSTITUTE(SUBSTITUTE($A736,CHAR(9)," ")," "," "),CHAR(13),""))</f>
        <v/>
      </c>
      <c r="H736" s="58">
        <f>IF($G736="","",IF(ISNUMBER(FIND(" ",$G736)),$G736,IFERROR(IF((LEN(SUBSTITUTE(SUBSTITUTE($G736,"-"," ",LEN($G736)-LEN(SUBSTITUTE($G736,"-",""))),"-"," ",LEN($G736)-LEN(SUBSTITUTE($G736,"-",""))-1))-LEN(SUBSTITUTE(SUBSTITUTE(SUBSTITUTE($G736,"-"," ",LEN($G736)-LEN(SUBSTITUTE($G736,"-",""))),"-"," ",LEN($G736)-LEN(SUBSTITUTE($G736,"-",""))-1),".","")))=0,SUBSTITUTE(SUBSTITUTE($G736,"-"," ",LEN($G736)-LEN(SUBSTITUTE($G736,"-",""))),"-"," ",LEN($G736)-LEN(SUBSTITUTE($G736,"-",""))-1),SUBSTITUTE(SUBSTITUTE(SUBSTITUTE($G736,"-"," ",LEN($G736)-LEN(SUBSTITUTE($G736,"-",""))),"-"," ",LEN($G736)-LEN(SUBSTITUTE($G736,"-",""))-1),"."," ",(LEN(SUBSTITUTE(SUBSTITUTE($G736,"-"," ",LEN($G736)-LEN(SUBSTITUTE($G736,"-",""))),"-"," ",LEN($G736)-LEN(SUBSTITUTE($G736,"-",""))-1))-LEN(SUBSTITUTE(SUBSTITUTE(SUBSTITUTE($G736,"-"," ",LEN($G736)-LEN(SUBSTITUTE($G736,"-",""))),"-"," ",LEN($G736)-LEN(SUBSTITUTE($G736,"-",""))-1),".",""))))),$G736)))</f>
        <v/>
      </c>
    </row>
    <row r="737">
      <c r="A737" s="58" t="n"/>
      <c r="B737" s="58">
        <f>IF($H737="","",LEFT($H737,FIND(" ",$H737&amp;" ")-1))</f>
        <v/>
      </c>
      <c r="C737" s="58">
        <f>IF($H737="","",IFERROR(MID($H737&amp;" ",FIND("|",SUBSTITUTE($H737&amp;" "," ","|",1))+1,FIND("|",SUBSTITUTE($H737&amp;" "," ","|",2))-FIND("|",SUBSTITUTE($H737&amp;" "," ","|",1))-1),""))</f>
        <v/>
      </c>
      <c r="D737" s="58">
        <f>IF($H737="","",IFERROR(MID($H737&amp;" ",FIND("|",SUBSTITUTE($H737&amp;" "," ","|",2))+1,FIND("|",SUBSTITUTE($H737&amp;" "," ","|",3))-FIND("|",SUBSTITUTE($H737&amp;" "," ","|",2))-1),""))</f>
        <v/>
      </c>
      <c r="E737" s="58">
        <f>IF($H737="","",IFERROR(MID($H737&amp;" ",FIND("|",SUBSTITUTE($H737&amp;" "," ","|",3))+1,FIND("|",SUBSTITUTE($H737&amp;" "," ","|",4))-FIND("|",SUBSTITUTE($H737&amp;" "," ","|",3))-1),""))</f>
        <v/>
      </c>
      <c r="F737" s="59">
        <f>IF($H737="","",IFERROR(VALUE(IFERROR(MID($H737&amp;" ",FIND("|",SUBSTITUTE($H737&amp;" "," ","|",4))+1,FIND("|",SUBSTITUTE($H737&amp;" "," ","|",5))-FIND("|",SUBSTITUTE($H737&amp;" "," ","|",4))-1),""))/86400+25569+9/24,""))</f>
        <v/>
      </c>
      <c r="G737" s="58">
        <f>TRIM(SUBSTITUTE(SUBSTITUTE(SUBSTITUTE($A737,CHAR(9)," ")," "," "),CHAR(13),""))</f>
        <v/>
      </c>
      <c r="H737" s="58">
        <f>IF($G737="","",IF(ISNUMBER(FIND(" ",$G737)),$G737,IFERROR(IF((LEN(SUBSTITUTE(SUBSTITUTE($G737,"-"," ",LEN($G737)-LEN(SUBSTITUTE($G737,"-",""))),"-"," ",LEN($G737)-LEN(SUBSTITUTE($G737,"-",""))-1))-LEN(SUBSTITUTE(SUBSTITUTE(SUBSTITUTE($G737,"-"," ",LEN($G737)-LEN(SUBSTITUTE($G737,"-",""))),"-"," ",LEN($G737)-LEN(SUBSTITUTE($G737,"-",""))-1),".","")))=0,SUBSTITUTE(SUBSTITUTE($G737,"-"," ",LEN($G737)-LEN(SUBSTITUTE($G737,"-",""))),"-"," ",LEN($G737)-LEN(SUBSTITUTE($G737,"-",""))-1),SUBSTITUTE(SUBSTITUTE(SUBSTITUTE($G737,"-"," ",LEN($G737)-LEN(SUBSTITUTE($G737,"-",""))),"-"," ",LEN($G737)-LEN(SUBSTITUTE($G737,"-",""))-1),"."," ",(LEN(SUBSTITUTE(SUBSTITUTE($G737,"-"," ",LEN($G737)-LEN(SUBSTITUTE($G737,"-",""))),"-"," ",LEN($G737)-LEN(SUBSTITUTE($G737,"-",""))-1))-LEN(SUBSTITUTE(SUBSTITUTE(SUBSTITUTE($G737,"-"," ",LEN($G737)-LEN(SUBSTITUTE($G737,"-",""))),"-"," ",LEN($G737)-LEN(SUBSTITUTE($G737,"-",""))-1),".",""))))),$G737)))</f>
        <v/>
      </c>
    </row>
    <row r="738">
      <c r="A738" s="58" t="n"/>
      <c r="B738" s="58">
        <f>IF($H738="","",LEFT($H738,FIND(" ",$H738&amp;" ")-1))</f>
        <v/>
      </c>
      <c r="C738" s="58">
        <f>IF($H738="","",IFERROR(MID($H738&amp;" ",FIND("|",SUBSTITUTE($H738&amp;" "," ","|",1))+1,FIND("|",SUBSTITUTE($H738&amp;" "," ","|",2))-FIND("|",SUBSTITUTE($H738&amp;" "," ","|",1))-1),""))</f>
        <v/>
      </c>
      <c r="D738" s="58">
        <f>IF($H738="","",IFERROR(MID($H738&amp;" ",FIND("|",SUBSTITUTE($H738&amp;" "," ","|",2))+1,FIND("|",SUBSTITUTE($H738&amp;" "," ","|",3))-FIND("|",SUBSTITUTE($H738&amp;" "," ","|",2))-1),""))</f>
        <v/>
      </c>
      <c r="E738" s="58">
        <f>IF($H738="","",IFERROR(MID($H738&amp;" ",FIND("|",SUBSTITUTE($H738&amp;" "," ","|",3))+1,FIND("|",SUBSTITUTE($H738&amp;" "," ","|",4))-FIND("|",SUBSTITUTE($H738&amp;" "," ","|",3))-1),""))</f>
        <v/>
      </c>
      <c r="F738" s="59">
        <f>IF($H738="","",IFERROR(VALUE(IFERROR(MID($H738&amp;" ",FIND("|",SUBSTITUTE($H738&amp;" "," ","|",4))+1,FIND("|",SUBSTITUTE($H738&amp;" "," ","|",5))-FIND("|",SUBSTITUTE($H738&amp;" "," ","|",4))-1),""))/86400+25569+9/24,""))</f>
        <v/>
      </c>
      <c r="G738" s="58">
        <f>TRIM(SUBSTITUTE(SUBSTITUTE(SUBSTITUTE($A738,CHAR(9)," ")," "," "),CHAR(13),""))</f>
        <v/>
      </c>
      <c r="H738" s="58">
        <f>IF($G738="","",IF(ISNUMBER(FIND(" ",$G738)),$G738,IFERROR(IF((LEN(SUBSTITUTE(SUBSTITUTE($G738,"-"," ",LEN($G738)-LEN(SUBSTITUTE($G738,"-",""))),"-"," ",LEN($G738)-LEN(SUBSTITUTE($G738,"-",""))-1))-LEN(SUBSTITUTE(SUBSTITUTE(SUBSTITUTE($G738,"-"," ",LEN($G738)-LEN(SUBSTITUTE($G738,"-",""))),"-"," ",LEN($G738)-LEN(SUBSTITUTE($G738,"-",""))-1),".","")))=0,SUBSTITUTE(SUBSTITUTE($G738,"-"," ",LEN($G738)-LEN(SUBSTITUTE($G738,"-",""))),"-"," ",LEN($G738)-LEN(SUBSTITUTE($G738,"-",""))-1),SUBSTITUTE(SUBSTITUTE(SUBSTITUTE($G738,"-"," ",LEN($G738)-LEN(SUBSTITUTE($G738,"-",""))),"-"," ",LEN($G738)-LEN(SUBSTITUTE($G738,"-",""))-1),"."," ",(LEN(SUBSTITUTE(SUBSTITUTE($G738,"-"," ",LEN($G738)-LEN(SUBSTITUTE($G738,"-",""))),"-"," ",LEN($G738)-LEN(SUBSTITUTE($G738,"-",""))-1))-LEN(SUBSTITUTE(SUBSTITUTE(SUBSTITUTE($G738,"-"," ",LEN($G738)-LEN(SUBSTITUTE($G738,"-",""))),"-"," ",LEN($G738)-LEN(SUBSTITUTE($G738,"-",""))-1),".",""))))),$G738)))</f>
        <v/>
      </c>
    </row>
    <row r="739">
      <c r="A739" s="58" t="n"/>
      <c r="B739" s="58">
        <f>IF($H739="","",LEFT($H739,FIND(" ",$H739&amp;" ")-1))</f>
        <v/>
      </c>
      <c r="C739" s="58">
        <f>IF($H739="","",IFERROR(MID($H739&amp;" ",FIND("|",SUBSTITUTE($H739&amp;" "," ","|",1))+1,FIND("|",SUBSTITUTE($H739&amp;" "," ","|",2))-FIND("|",SUBSTITUTE($H739&amp;" "," ","|",1))-1),""))</f>
        <v/>
      </c>
      <c r="D739" s="58">
        <f>IF($H739="","",IFERROR(MID($H739&amp;" ",FIND("|",SUBSTITUTE($H739&amp;" "," ","|",2))+1,FIND("|",SUBSTITUTE($H739&amp;" "," ","|",3))-FIND("|",SUBSTITUTE($H739&amp;" "," ","|",2))-1),""))</f>
        <v/>
      </c>
      <c r="E739" s="58">
        <f>IF($H739="","",IFERROR(MID($H739&amp;" ",FIND("|",SUBSTITUTE($H739&amp;" "," ","|",3))+1,FIND("|",SUBSTITUTE($H739&amp;" "," ","|",4))-FIND("|",SUBSTITUTE($H739&amp;" "," ","|",3))-1),""))</f>
        <v/>
      </c>
      <c r="F739" s="59">
        <f>IF($H739="","",IFERROR(VALUE(IFERROR(MID($H739&amp;" ",FIND("|",SUBSTITUTE($H739&amp;" "," ","|",4))+1,FIND("|",SUBSTITUTE($H739&amp;" "," ","|",5))-FIND("|",SUBSTITUTE($H739&amp;" "," ","|",4))-1),""))/86400+25569+9/24,""))</f>
        <v/>
      </c>
      <c r="G739" s="58">
        <f>TRIM(SUBSTITUTE(SUBSTITUTE(SUBSTITUTE($A739,CHAR(9)," ")," "," "),CHAR(13),""))</f>
        <v/>
      </c>
      <c r="H739" s="58">
        <f>IF($G739="","",IF(ISNUMBER(FIND(" ",$G739)),$G739,IFERROR(IF((LEN(SUBSTITUTE(SUBSTITUTE($G739,"-"," ",LEN($G739)-LEN(SUBSTITUTE($G739,"-",""))),"-"," ",LEN($G739)-LEN(SUBSTITUTE($G739,"-",""))-1))-LEN(SUBSTITUTE(SUBSTITUTE(SUBSTITUTE($G739,"-"," ",LEN($G739)-LEN(SUBSTITUTE($G739,"-",""))),"-"," ",LEN($G739)-LEN(SUBSTITUTE($G739,"-",""))-1),".","")))=0,SUBSTITUTE(SUBSTITUTE($G739,"-"," ",LEN($G739)-LEN(SUBSTITUTE($G739,"-",""))),"-"," ",LEN($G739)-LEN(SUBSTITUTE($G739,"-",""))-1),SUBSTITUTE(SUBSTITUTE(SUBSTITUTE($G739,"-"," ",LEN($G739)-LEN(SUBSTITUTE($G739,"-",""))),"-"," ",LEN($G739)-LEN(SUBSTITUTE($G739,"-",""))-1),"."," ",(LEN(SUBSTITUTE(SUBSTITUTE($G739,"-"," ",LEN($G739)-LEN(SUBSTITUTE($G739,"-",""))),"-"," ",LEN($G739)-LEN(SUBSTITUTE($G739,"-",""))-1))-LEN(SUBSTITUTE(SUBSTITUTE(SUBSTITUTE($G739,"-"," ",LEN($G739)-LEN(SUBSTITUTE($G739,"-",""))),"-"," ",LEN($G739)-LEN(SUBSTITUTE($G739,"-",""))-1),".",""))))),$G739)))</f>
        <v/>
      </c>
    </row>
    <row r="740">
      <c r="A740" s="58" t="n"/>
      <c r="B740" s="58">
        <f>IF($H740="","",LEFT($H740,FIND(" ",$H740&amp;" ")-1))</f>
        <v/>
      </c>
      <c r="C740" s="58">
        <f>IF($H740="","",IFERROR(MID($H740&amp;" ",FIND("|",SUBSTITUTE($H740&amp;" "," ","|",1))+1,FIND("|",SUBSTITUTE($H740&amp;" "," ","|",2))-FIND("|",SUBSTITUTE($H740&amp;" "," ","|",1))-1),""))</f>
        <v/>
      </c>
      <c r="D740" s="58">
        <f>IF($H740="","",IFERROR(MID($H740&amp;" ",FIND("|",SUBSTITUTE($H740&amp;" "," ","|",2))+1,FIND("|",SUBSTITUTE($H740&amp;" "," ","|",3))-FIND("|",SUBSTITUTE($H740&amp;" "," ","|",2))-1),""))</f>
        <v/>
      </c>
      <c r="E740" s="58">
        <f>IF($H740="","",IFERROR(MID($H740&amp;" ",FIND("|",SUBSTITUTE($H740&amp;" "," ","|",3))+1,FIND("|",SUBSTITUTE($H740&amp;" "," ","|",4))-FIND("|",SUBSTITUTE($H740&amp;" "," ","|",3))-1),""))</f>
        <v/>
      </c>
      <c r="F740" s="59">
        <f>IF($H740="","",IFERROR(VALUE(IFERROR(MID($H740&amp;" ",FIND("|",SUBSTITUTE($H740&amp;" "," ","|",4))+1,FIND("|",SUBSTITUTE($H740&amp;" "," ","|",5))-FIND("|",SUBSTITUTE($H740&amp;" "," ","|",4))-1),""))/86400+25569+9/24,""))</f>
        <v/>
      </c>
      <c r="G740" s="58">
        <f>TRIM(SUBSTITUTE(SUBSTITUTE(SUBSTITUTE($A740,CHAR(9)," ")," "," "),CHAR(13),""))</f>
        <v/>
      </c>
      <c r="H740" s="58">
        <f>IF($G740="","",IF(ISNUMBER(FIND(" ",$G740)),$G740,IFERROR(IF((LEN(SUBSTITUTE(SUBSTITUTE($G740,"-"," ",LEN($G740)-LEN(SUBSTITUTE($G740,"-",""))),"-"," ",LEN($G740)-LEN(SUBSTITUTE($G740,"-",""))-1))-LEN(SUBSTITUTE(SUBSTITUTE(SUBSTITUTE($G740,"-"," ",LEN($G740)-LEN(SUBSTITUTE($G740,"-",""))),"-"," ",LEN($G740)-LEN(SUBSTITUTE($G740,"-",""))-1),".","")))=0,SUBSTITUTE(SUBSTITUTE($G740,"-"," ",LEN($G740)-LEN(SUBSTITUTE($G740,"-",""))),"-"," ",LEN($G740)-LEN(SUBSTITUTE($G740,"-",""))-1),SUBSTITUTE(SUBSTITUTE(SUBSTITUTE($G740,"-"," ",LEN($G740)-LEN(SUBSTITUTE($G740,"-",""))),"-"," ",LEN($G740)-LEN(SUBSTITUTE($G740,"-",""))-1),"."," ",(LEN(SUBSTITUTE(SUBSTITUTE($G740,"-"," ",LEN($G740)-LEN(SUBSTITUTE($G740,"-",""))),"-"," ",LEN($G740)-LEN(SUBSTITUTE($G740,"-",""))-1))-LEN(SUBSTITUTE(SUBSTITUTE(SUBSTITUTE($G740,"-"," ",LEN($G740)-LEN(SUBSTITUTE($G740,"-",""))),"-"," ",LEN($G740)-LEN(SUBSTITUTE($G740,"-",""))-1),".",""))))),$G740)))</f>
        <v/>
      </c>
    </row>
    <row r="741">
      <c r="A741" s="58" t="n"/>
      <c r="B741" s="58">
        <f>IF($H741="","",LEFT($H741,FIND(" ",$H741&amp;" ")-1))</f>
        <v/>
      </c>
      <c r="C741" s="58">
        <f>IF($H741="","",IFERROR(MID($H741&amp;" ",FIND("|",SUBSTITUTE($H741&amp;" "," ","|",1))+1,FIND("|",SUBSTITUTE($H741&amp;" "," ","|",2))-FIND("|",SUBSTITUTE($H741&amp;" "," ","|",1))-1),""))</f>
        <v/>
      </c>
      <c r="D741" s="58">
        <f>IF($H741="","",IFERROR(MID($H741&amp;" ",FIND("|",SUBSTITUTE($H741&amp;" "," ","|",2))+1,FIND("|",SUBSTITUTE($H741&amp;" "," ","|",3))-FIND("|",SUBSTITUTE($H741&amp;" "," ","|",2))-1),""))</f>
        <v/>
      </c>
      <c r="E741" s="58">
        <f>IF($H741="","",IFERROR(MID($H741&amp;" ",FIND("|",SUBSTITUTE($H741&amp;" "," ","|",3))+1,FIND("|",SUBSTITUTE($H741&amp;" "," ","|",4))-FIND("|",SUBSTITUTE($H741&amp;" "," ","|",3))-1),""))</f>
        <v/>
      </c>
      <c r="F741" s="59">
        <f>IF($H741="","",IFERROR(VALUE(IFERROR(MID($H741&amp;" ",FIND("|",SUBSTITUTE($H741&amp;" "," ","|",4))+1,FIND("|",SUBSTITUTE($H741&amp;" "," ","|",5))-FIND("|",SUBSTITUTE($H741&amp;" "," ","|",4))-1),""))/86400+25569+9/24,""))</f>
        <v/>
      </c>
      <c r="G741" s="58">
        <f>TRIM(SUBSTITUTE(SUBSTITUTE(SUBSTITUTE($A741,CHAR(9)," ")," "," "),CHAR(13),""))</f>
        <v/>
      </c>
      <c r="H741" s="58">
        <f>IF($G741="","",IF(ISNUMBER(FIND(" ",$G741)),$G741,IFERROR(IF((LEN(SUBSTITUTE(SUBSTITUTE($G741,"-"," ",LEN($G741)-LEN(SUBSTITUTE($G741,"-",""))),"-"," ",LEN($G741)-LEN(SUBSTITUTE($G741,"-",""))-1))-LEN(SUBSTITUTE(SUBSTITUTE(SUBSTITUTE($G741,"-"," ",LEN($G741)-LEN(SUBSTITUTE($G741,"-",""))),"-"," ",LEN($G741)-LEN(SUBSTITUTE($G741,"-",""))-1),".","")))=0,SUBSTITUTE(SUBSTITUTE($G741,"-"," ",LEN($G741)-LEN(SUBSTITUTE($G741,"-",""))),"-"," ",LEN($G741)-LEN(SUBSTITUTE($G741,"-",""))-1),SUBSTITUTE(SUBSTITUTE(SUBSTITUTE($G741,"-"," ",LEN($G741)-LEN(SUBSTITUTE($G741,"-",""))),"-"," ",LEN($G741)-LEN(SUBSTITUTE($G741,"-",""))-1),"."," ",(LEN(SUBSTITUTE(SUBSTITUTE($G741,"-"," ",LEN($G741)-LEN(SUBSTITUTE($G741,"-",""))),"-"," ",LEN($G741)-LEN(SUBSTITUTE($G741,"-",""))-1))-LEN(SUBSTITUTE(SUBSTITUTE(SUBSTITUTE($G741,"-"," ",LEN($G741)-LEN(SUBSTITUTE($G741,"-",""))),"-"," ",LEN($G741)-LEN(SUBSTITUTE($G741,"-",""))-1),".",""))))),$G741)))</f>
        <v/>
      </c>
    </row>
    <row r="742">
      <c r="A742" s="58" t="n"/>
      <c r="B742" s="58">
        <f>IF($H742="","",LEFT($H742,FIND(" ",$H742&amp;" ")-1))</f>
        <v/>
      </c>
      <c r="C742" s="58">
        <f>IF($H742="","",IFERROR(MID($H742&amp;" ",FIND("|",SUBSTITUTE($H742&amp;" "," ","|",1))+1,FIND("|",SUBSTITUTE($H742&amp;" "," ","|",2))-FIND("|",SUBSTITUTE($H742&amp;" "," ","|",1))-1),""))</f>
        <v/>
      </c>
      <c r="D742" s="58">
        <f>IF($H742="","",IFERROR(MID($H742&amp;" ",FIND("|",SUBSTITUTE($H742&amp;" "," ","|",2))+1,FIND("|",SUBSTITUTE($H742&amp;" "," ","|",3))-FIND("|",SUBSTITUTE($H742&amp;" "," ","|",2))-1),""))</f>
        <v/>
      </c>
      <c r="E742" s="58">
        <f>IF($H742="","",IFERROR(MID($H742&amp;" ",FIND("|",SUBSTITUTE($H742&amp;" "," ","|",3))+1,FIND("|",SUBSTITUTE($H742&amp;" "," ","|",4))-FIND("|",SUBSTITUTE($H742&amp;" "," ","|",3))-1),""))</f>
        <v/>
      </c>
      <c r="F742" s="59">
        <f>IF($H742="","",IFERROR(VALUE(IFERROR(MID($H742&amp;" ",FIND("|",SUBSTITUTE($H742&amp;" "," ","|",4))+1,FIND("|",SUBSTITUTE($H742&amp;" "," ","|",5))-FIND("|",SUBSTITUTE($H742&amp;" "," ","|",4))-1),""))/86400+25569+9/24,""))</f>
        <v/>
      </c>
      <c r="G742" s="58">
        <f>TRIM(SUBSTITUTE(SUBSTITUTE(SUBSTITUTE($A742,CHAR(9)," ")," "," "),CHAR(13),""))</f>
        <v/>
      </c>
      <c r="H742" s="58">
        <f>IF($G742="","",IF(ISNUMBER(FIND(" ",$G742)),$G742,IFERROR(IF((LEN(SUBSTITUTE(SUBSTITUTE($G742,"-"," ",LEN($G742)-LEN(SUBSTITUTE($G742,"-",""))),"-"," ",LEN($G742)-LEN(SUBSTITUTE($G742,"-",""))-1))-LEN(SUBSTITUTE(SUBSTITUTE(SUBSTITUTE($G742,"-"," ",LEN($G742)-LEN(SUBSTITUTE($G742,"-",""))),"-"," ",LEN($G742)-LEN(SUBSTITUTE($G742,"-",""))-1),".","")))=0,SUBSTITUTE(SUBSTITUTE($G742,"-"," ",LEN($G742)-LEN(SUBSTITUTE($G742,"-",""))),"-"," ",LEN($G742)-LEN(SUBSTITUTE($G742,"-",""))-1),SUBSTITUTE(SUBSTITUTE(SUBSTITUTE($G742,"-"," ",LEN($G742)-LEN(SUBSTITUTE($G742,"-",""))),"-"," ",LEN($G742)-LEN(SUBSTITUTE($G742,"-",""))-1),"."," ",(LEN(SUBSTITUTE(SUBSTITUTE($G742,"-"," ",LEN($G742)-LEN(SUBSTITUTE($G742,"-",""))),"-"," ",LEN($G742)-LEN(SUBSTITUTE($G742,"-",""))-1))-LEN(SUBSTITUTE(SUBSTITUTE(SUBSTITUTE($G742,"-"," ",LEN($G742)-LEN(SUBSTITUTE($G742,"-",""))),"-"," ",LEN($G742)-LEN(SUBSTITUTE($G742,"-",""))-1),".",""))))),$G742)))</f>
        <v/>
      </c>
    </row>
    <row r="743">
      <c r="A743" s="58" t="n"/>
      <c r="B743" s="58">
        <f>IF($H743="","",LEFT($H743,FIND(" ",$H743&amp;" ")-1))</f>
        <v/>
      </c>
      <c r="C743" s="58">
        <f>IF($H743="","",IFERROR(MID($H743&amp;" ",FIND("|",SUBSTITUTE($H743&amp;" "," ","|",1))+1,FIND("|",SUBSTITUTE($H743&amp;" "," ","|",2))-FIND("|",SUBSTITUTE($H743&amp;" "," ","|",1))-1),""))</f>
        <v/>
      </c>
      <c r="D743" s="58">
        <f>IF($H743="","",IFERROR(MID($H743&amp;" ",FIND("|",SUBSTITUTE($H743&amp;" "," ","|",2))+1,FIND("|",SUBSTITUTE($H743&amp;" "," ","|",3))-FIND("|",SUBSTITUTE($H743&amp;" "," ","|",2))-1),""))</f>
        <v/>
      </c>
      <c r="E743" s="58">
        <f>IF($H743="","",IFERROR(MID($H743&amp;" ",FIND("|",SUBSTITUTE($H743&amp;" "," ","|",3))+1,FIND("|",SUBSTITUTE($H743&amp;" "," ","|",4))-FIND("|",SUBSTITUTE($H743&amp;" "," ","|",3))-1),""))</f>
        <v/>
      </c>
      <c r="F743" s="59">
        <f>IF($H743="","",IFERROR(VALUE(IFERROR(MID($H743&amp;" ",FIND("|",SUBSTITUTE($H743&amp;" "," ","|",4))+1,FIND("|",SUBSTITUTE($H743&amp;" "," ","|",5))-FIND("|",SUBSTITUTE($H743&amp;" "," ","|",4))-1),""))/86400+25569+9/24,""))</f>
        <v/>
      </c>
      <c r="G743" s="58">
        <f>TRIM(SUBSTITUTE(SUBSTITUTE(SUBSTITUTE($A743,CHAR(9)," ")," "," "),CHAR(13),""))</f>
        <v/>
      </c>
      <c r="H743" s="58">
        <f>IF($G743="","",IF(ISNUMBER(FIND(" ",$G743)),$G743,IFERROR(IF((LEN(SUBSTITUTE(SUBSTITUTE($G743,"-"," ",LEN($G743)-LEN(SUBSTITUTE($G743,"-",""))),"-"," ",LEN($G743)-LEN(SUBSTITUTE($G743,"-",""))-1))-LEN(SUBSTITUTE(SUBSTITUTE(SUBSTITUTE($G743,"-"," ",LEN($G743)-LEN(SUBSTITUTE($G743,"-",""))),"-"," ",LEN($G743)-LEN(SUBSTITUTE($G743,"-",""))-1),".","")))=0,SUBSTITUTE(SUBSTITUTE($G743,"-"," ",LEN($G743)-LEN(SUBSTITUTE($G743,"-",""))),"-"," ",LEN($G743)-LEN(SUBSTITUTE($G743,"-",""))-1),SUBSTITUTE(SUBSTITUTE(SUBSTITUTE($G743,"-"," ",LEN($G743)-LEN(SUBSTITUTE($G743,"-",""))),"-"," ",LEN($G743)-LEN(SUBSTITUTE($G743,"-",""))-1),"."," ",(LEN(SUBSTITUTE(SUBSTITUTE($G743,"-"," ",LEN($G743)-LEN(SUBSTITUTE($G743,"-",""))),"-"," ",LEN($G743)-LEN(SUBSTITUTE($G743,"-",""))-1))-LEN(SUBSTITUTE(SUBSTITUTE(SUBSTITUTE($G743,"-"," ",LEN($G743)-LEN(SUBSTITUTE($G743,"-",""))),"-"," ",LEN($G743)-LEN(SUBSTITUTE($G743,"-",""))-1),".",""))))),$G743)))</f>
        <v/>
      </c>
    </row>
    <row r="744">
      <c r="A744" s="58" t="n"/>
      <c r="B744" s="58">
        <f>IF($H744="","",LEFT($H744,FIND(" ",$H744&amp;" ")-1))</f>
        <v/>
      </c>
      <c r="C744" s="58">
        <f>IF($H744="","",IFERROR(MID($H744&amp;" ",FIND("|",SUBSTITUTE($H744&amp;" "," ","|",1))+1,FIND("|",SUBSTITUTE($H744&amp;" "," ","|",2))-FIND("|",SUBSTITUTE($H744&amp;" "," ","|",1))-1),""))</f>
        <v/>
      </c>
      <c r="D744" s="58">
        <f>IF($H744="","",IFERROR(MID($H744&amp;" ",FIND("|",SUBSTITUTE($H744&amp;" "," ","|",2))+1,FIND("|",SUBSTITUTE($H744&amp;" "," ","|",3))-FIND("|",SUBSTITUTE($H744&amp;" "," ","|",2))-1),""))</f>
        <v/>
      </c>
      <c r="E744" s="58">
        <f>IF($H744="","",IFERROR(MID($H744&amp;" ",FIND("|",SUBSTITUTE($H744&amp;" "," ","|",3))+1,FIND("|",SUBSTITUTE($H744&amp;" "," ","|",4))-FIND("|",SUBSTITUTE($H744&amp;" "," ","|",3))-1),""))</f>
        <v/>
      </c>
      <c r="F744" s="59">
        <f>IF($H744="","",IFERROR(VALUE(IFERROR(MID($H744&amp;" ",FIND("|",SUBSTITUTE($H744&amp;" "," ","|",4))+1,FIND("|",SUBSTITUTE($H744&amp;" "," ","|",5))-FIND("|",SUBSTITUTE($H744&amp;" "," ","|",4))-1),""))/86400+25569+9/24,""))</f>
        <v/>
      </c>
      <c r="G744" s="58">
        <f>TRIM(SUBSTITUTE(SUBSTITUTE(SUBSTITUTE($A744,CHAR(9)," ")," "," "),CHAR(13),""))</f>
        <v/>
      </c>
      <c r="H744" s="58">
        <f>IF($G744="","",IF(ISNUMBER(FIND(" ",$G744)),$G744,IFERROR(IF((LEN(SUBSTITUTE(SUBSTITUTE($G744,"-"," ",LEN($G744)-LEN(SUBSTITUTE($G744,"-",""))),"-"," ",LEN($G744)-LEN(SUBSTITUTE($G744,"-",""))-1))-LEN(SUBSTITUTE(SUBSTITUTE(SUBSTITUTE($G744,"-"," ",LEN($G744)-LEN(SUBSTITUTE($G744,"-",""))),"-"," ",LEN($G744)-LEN(SUBSTITUTE($G744,"-",""))-1),".","")))=0,SUBSTITUTE(SUBSTITUTE($G744,"-"," ",LEN($G744)-LEN(SUBSTITUTE($G744,"-",""))),"-"," ",LEN($G744)-LEN(SUBSTITUTE($G744,"-",""))-1),SUBSTITUTE(SUBSTITUTE(SUBSTITUTE($G744,"-"," ",LEN($G744)-LEN(SUBSTITUTE($G744,"-",""))),"-"," ",LEN($G744)-LEN(SUBSTITUTE($G744,"-",""))-1),"."," ",(LEN(SUBSTITUTE(SUBSTITUTE($G744,"-"," ",LEN($G744)-LEN(SUBSTITUTE($G744,"-",""))),"-"," ",LEN($G744)-LEN(SUBSTITUTE($G744,"-",""))-1))-LEN(SUBSTITUTE(SUBSTITUTE(SUBSTITUTE($G744,"-"," ",LEN($G744)-LEN(SUBSTITUTE($G744,"-",""))),"-"," ",LEN($G744)-LEN(SUBSTITUTE($G744,"-",""))-1),".",""))))),$G744)))</f>
        <v/>
      </c>
    </row>
    <row r="745">
      <c r="A745" s="58" t="n"/>
      <c r="B745" s="58">
        <f>IF($H745="","",LEFT($H745,FIND(" ",$H745&amp;" ")-1))</f>
        <v/>
      </c>
      <c r="C745" s="58">
        <f>IF($H745="","",IFERROR(MID($H745&amp;" ",FIND("|",SUBSTITUTE($H745&amp;" "," ","|",1))+1,FIND("|",SUBSTITUTE($H745&amp;" "," ","|",2))-FIND("|",SUBSTITUTE($H745&amp;" "," ","|",1))-1),""))</f>
        <v/>
      </c>
      <c r="D745" s="58">
        <f>IF($H745="","",IFERROR(MID($H745&amp;" ",FIND("|",SUBSTITUTE($H745&amp;" "," ","|",2))+1,FIND("|",SUBSTITUTE($H745&amp;" "," ","|",3))-FIND("|",SUBSTITUTE($H745&amp;" "," ","|",2))-1),""))</f>
        <v/>
      </c>
      <c r="E745" s="58">
        <f>IF($H745="","",IFERROR(MID($H745&amp;" ",FIND("|",SUBSTITUTE($H745&amp;" "," ","|",3))+1,FIND("|",SUBSTITUTE($H745&amp;" "," ","|",4))-FIND("|",SUBSTITUTE($H745&amp;" "," ","|",3))-1),""))</f>
        <v/>
      </c>
      <c r="F745" s="59">
        <f>IF($H745="","",IFERROR(VALUE(IFERROR(MID($H745&amp;" ",FIND("|",SUBSTITUTE($H745&amp;" "," ","|",4))+1,FIND("|",SUBSTITUTE($H745&amp;" "," ","|",5))-FIND("|",SUBSTITUTE($H745&amp;" "," ","|",4))-1),""))/86400+25569+9/24,""))</f>
        <v/>
      </c>
      <c r="G745" s="58">
        <f>TRIM(SUBSTITUTE(SUBSTITUTE(SUBSTITUTE($A745,CHAR(9)," ")," "," "),CHAR(13),""))</f>
        <v/>
      </c>
      <c r="H745" s="58">
        <f>IF($G745="","",IF(ISNUMBER(FIND(" ",$G745)),$G745,IFERROR(IF((LEN(SUBSTITUTE(SUBSTITUTE($G745,"-"," ",LEN($G745)-LEN(SUBSTITUTE($G745,"-",""))),"-"," ",LEN($G745)-LEN(SUBSTITUTE($G745,"-",""))-1))-LEN(SUBSTITUTE(SUBSTITUTE(SUBSTITUTE($G745,"-"," ",LEN($G745)-LEN(SUBSTITUTE($G745,"-",""))),"-"," ",LEN($G745)-LEN(SUBSTITUTE($G745,"-",""))-1),".","")))=0,SUBSTITUTE(SUBSTITUTE($G745,"-"," ",LEN($G745)-LEN(SUBSTITUTE($G745,"-",""))),"-"," ",LEN($G745)-LEN(SUBSTITUTE($G745,"-",""))-1),SUBSTITUTE(SUBSTITUTE(SUBSTITUTE($G745,"-"," ",LEN($G745)-LEN(SUBSTITUTE($G745,"-",""))),"-"," ",LEN($G745)-LEN(SUBSTITUTE($G745,"-",""))-1),"."," ",(LEN(SUBSTITUTE(SUBSTITUTE($G745,"-"," ",LEN($G745)-LEN(SUBSTITUTE($G745,"-",""))),"-"," ",LEN($G745)-LEN(SUBSTITUTE($G745,"-",""))-1))-LEN(SUBSTITUTE(SUBSTITUTE(SUBSTITUTE($G745,"-"," ",LEN($G745)-LEN(SUBSTITUTE($G745,"-",""))),"-"," ",LEN($G745)-LEN(SUBSTITUTE($G745,"-",""))-1),".",""))))),$G745)))</f>
        <v/>
      </c>
    </row>
    <row r="746">
      <c r="A746" s="58" t="n"/>
      <c r="B746" s="58">
        <f>IF($H746="","",LEFT($H746,FIND(" ",$H746&amp;" ")-1))</f>
        <v/>
      </c>
      <c r="C746" s="58">
        <f>IF($H746="","",IFERROR(MID($H746&amp;" ",FIND("|",SUBSTITUTE($H746&amp;" "," ","|",1))+1,FIND("|",SUBSTITUTE($H746&amp;" "," ","|",2))-FIND("|",SUBSTITUTE($H746&amp;" "," ","|",1))-1),""))</f>
        <v/>
      </c>
      <c r="D746" s="58">
        <f>IF($H746="","",IFERROR(MID($H746&amp;" ",FIND("|",SUBSTITUTE($H746&amp;" "," ","|",2))+1,FIND("|",SUBSTITUTE($H746&amp;" "," ","|",3))-FIND("|",SUBSTITUTE($H746&amp;" "," ","|",2))-1),""))</f>
        <v/>
      </c>
      <c r="E746" s="58">
        <f>IF($H746="","",IFERROR(MID($H746&amp;" ",FIND("|",SUBSTITUTE($H746&amp;" "," ","|",3))+1,FIND("|",SUBSTITUTE($H746&amp;" "," ","|",4))-FIND("|",SUBSTITUTE($H746&amp;" "," ","|",3))-1),""))</f>
        <v/>
      </c>
      <c r="F746" s="59">
        <f>IF($H746="","",IFERROR(VALUE(IFERROR(MID($H746&amp;" ",FIND("|",SUBSTITUTE($H746&amp;" "," ","|",4))+1,FIND("|",SUBSTITUTE($H746&amp;" "," ","|",5))-FIND("|",SUBSTITUTE($H746&amp;" "," ","|",4))-1),""))/86400+25569+9/24,""))</f>
        <v/>
      </c>
      <c r="G746" s="58">
        <f>TRIM(SUBSTITUTE(SUBSTITUTE(SUBSTITUTE($A746,CHAR(9)," ")," "," "),CHAR(13),""))</f>
        <v/>
      </c>
      <c r="H746" s="58">
        <f>IF($G746="","",IF(ISNUMBER(FIND(" ",$G746)),$G746,IFERROR(IF((LEN(SUBSTITUTE(SUBSTITUTE($G746,"-"," ",LEN($G746)-LEN(SUBSTITUTE($G746,"-",""))),"-"," ",LEN($G746)-LEN(SUBSTITUTE($G746,"-",""))-1))-LEN(SUBSTITUTE(SUBSTITUTE(SUBSTITUTE($G746,"-"," ",LEN($G746)-LEN(SUBSTITUTE($G746,"-",""))),"-"," ",LEN($G746)-LEN(SUBSTITUTE($G746,"-",""))-1),".","")))=0,SUBSTITUTE(SUBSTITUTE($G746,"-"," ",LEN($G746)-LEN(SUBSTITUTE($G746,"-",""))),"-"," ",LEN($G746)-LEN(SUBSTITUTE($G746,"-",""))-1),SUBSTITUTE(SUBSTITUTE(SUBSTITUTE($G746,"-"," ",LEN($G746)-LEN(SUBSTITUTE($G746,"-",""))),"-"," ",LEN($G746)-LEN(SUBSTITUTE($G746,"-",""))-1),"."," ",(LEN(SUBSTITUTE(SUBSTITUTE($G746,"-"," ",LEN($G746)-LEN(SUBSTITUTE($G746,"-",""))),"-"," ",LEN($G746)-LEN(SUBSTITUTE($G746,"-",""))-1))-LEN(SUBSTITUTE(SUBSTITUTE(SUBSTITUTE($G746,"-"," ",LEN($G746)-LEN(SUBSTITUTE($G746,"-",""))),"-"," ",LEN($G746)-LEN(SUBSTITUTE($G746,"-",""))-1),".",""))))),$G746)))</f>
        <v/>
      </c>
    </row>
    <row r="747">
      <c r="A747" s="58" t="n"/>
      <c r="B747" s="58">
        <f>IF($H747="","",LEFT($H747,FIND(" ",$H747&amp;" ")-1))</f>
        <v/>
      </c>
      <c r="C747" s="58">
        <f>IF($H747="","",IFERROR(MID($H747&amp;" ",FIND("|",SUBSTITUTE($H747&amp;" "," ","|",1))+1,FIND("|",SUBSTITUTE($H747&amp;" "," ","|",2))-FIND("|",SUBSTITUTE($H747&amp;" "," ","|",1))-1),""))</f>
        <v/>
      </c>
      <c r="D747" s="58">
        <f>IF($H747="","",IFERROR(MID($H747&amp;" ",FIND("|",SUBSTITUTE($H747&amp;" "," ","|",2))+1,FIND("|",SUBSTITUTE($H747&amp;" "," ","|",3))-FIND("|",SUBSTITUTE($H747&amp;" "," ","|",2))-1),""))</f>
        <v/>
      </c>
      <c r="E747" s="58">
        <f>IF($H747="","",IFERROR(MID($H747&amp;" ",FIND("|",SUBSTITUTE($H747&amp;" "," ","|",3))+1,FIND("|",SUBSTITUTE($H747&amp;" "," ","|",4))-FIND("|",SUBSTITUTE($H747&amp;" "," ","|",3))-1),""))</f>
        <v/>
      </c>
      <c r="F747" s="59">
        <f>IF($H747="","",IFERROR(VALUE(IFERROR(MID($H747&amp;" ",FIND("|",SUBSTITUTE($H747&amp;" "," ","|",4))+1,FIND("|",SUBSTITUTE($H747&amp;" "," ","|",5))-FIND("|",SUBSTITUTE($H747&amp;" "," ","|",4))-1),""))/86400+25569+9/24,""))</f>
        <v/>
      </c>
      <c r="G747" s="58">
        <f>TRIM(SUBSTITUTE(SUBSTITUTE(SUBSTITUTE($A747,CHAR(9)," ")," "," "),CHAR(13),""))</f>
        <v/>
      </c>
      <c r="H747" s="58">
        <f>IF($G747="","",IF(ISNUMBER(FIND(" ",$G747)),$G747,IFERROR(IF((LEN(SUBSTITUTE(SUBSTITUTE($G747,"-"," ",LEN($G747)-LEN(SUBSTITUTE($G747,"-",""))),"-"," ",LEN($G747)-LEN(SUBSTITUTE($G747,"-",""))-1))-LEN(SUBSTITUTE(SUBSTITUTE(SUBSTITUTE($G747,"-"," ",LEN($G747)-LEN(SUBSTITUTE($G747,"-",""))),"-"," ",LEN($G747)-LEN(SUBSTITUTE($G747,"-",""))-1),".","")))=0,SUBSTITUTE(SUBSTITUTE($G747,"-"," ",LEN($G747)-LEN(SUBSTITUTE($G747,"-",""))),"-"," ",LEN($G747)-LEN(SUBSTITUTE($G747,"-",""))-1),SUBSTITUTE(SUBSTITUTE(SUBSTITUTE($G747,"-"," ",LEN($G747)-LEN(SUBSTITUTE($G747,"-",""))),"-"," ",LEN($G747)-LEN(SUBSTITUTE($G747,"-",""))-1),"."," ",(LEN(SUBSTITUTE(SUBSTITUTE($G747,"-"," ",LEN($G747)-LEN(SUBSTITUTE($G747,"-",""))),"-"," ",LEN($G747)-LEN(SUBSTITUTE($G747,"-",""))-1))-LEN(SUBSTITUTE(SUBSTITUTE(SUBSTITUTE($G747,"-"," ",LEN($G747)-LEN(SUBSTITUTE($G747,"-",""))),"-"," ",LEN($G747)-LEN(SUBSTITUTE($G747,"-",""))-1),".",""))))),$G747)))</f>
        <v/>
      </c>
    </row>
    <row r="748">
      <c r="A748" s="58" t="n"/>
      <c r="B748" s="58">
        <f>IF($H748="","",LEFT($H748,FIND(" ",$H748&amp;" ")-1))</f>
        <v/>
      </c>
      <c r="C748" s="58">
        <f>IF($H748="","",IFERROR(MID($H748&amp;" ",FIND("|",SUBSTITUTE($H748&amp;" "," ","|",1))+1,FIND("|",SUBSTITUTE($H748&amp;" "," ","|",2))-FIND("|",SUBSTITUTE($H748&amp;" "," ","|",1))-1),""))</f>
        <v/>
      </c>
      <c r="D748" s="58">
        <f>IF($H748="","",IFERROR(MID($H748&amp;" ",FIND("|",SUBSTITUTE($H748&amp;" "," ","|",2))+1,FIND("|",SUBSTITUTE($H748&amp;" "," ","|",3))-FIND("|",SUBSTITUTE($H748&amp;" "," ","|",2))-1),""))</f>
        <v/>
      </c>
      <c r="E748" s="58">
        <f>IF($H748="","",IFERROR(MID($H748&amp;" ",FIND("|",SUBSTITUTE($H748&amp;" "," ","|",3))+1,FIND("|",SUBSTITUTE($H748&amp;" "," ","|",4))-FIND("|",SUBSTITUTE($H748&amp;" "," ","|",3))-1),""))</f>
        <v/>
      </c>
      <c r="F748" s="59">
        <f>IF($H748="","",IFERROR(VALUE(IFERROR(MID($H748&amp;" ",FIND("|",SUBSTITUTE($H748&amp;" "," ","|",4))+1,FIND("|",SUBSTITUTE($H748&amp;" "," ","|",5))-FIND("|",SUBSTITUTE($H748&amp;" "," ","|",4))-1),""))/86400+25569+9/24,""))</f>
        <v/>
      </c>
      <c r="G748" s="58">
        <f>TRIM(SUBSTITUTE(SUBSTITUTE(SUBSTITUTE($A748,CHAR(9)," ")," "," "),CHAR(13),""))</f>
        <v/>
      </c>
      <c r="H748" s="58">
        <f>IF($G748="","",IF(ISNUMBER(FIND(" ",$G748)),$G748,IFERROR(IF((LEN(SUBSTITUTE(SUBSTITUTE($G748,"-"," ",LEN($G748)-LEN(SUBSTITUTE($G748,"-",""))),"-"," ",LEN($G748)-LEN(SUBSTITUTE($G748,"-",""))-1))-LEN(SUBSTITUTE(SUBSTITUTE(SUBSTITUTE($G748,"-"," ",LEN($G748)-LEN(SUBSTITUTE($G748,"-",""))),"-"," ",LEN($G748)-LEN(SUBSTITUTE($G748,"-",""))-1),".","")))=0,SUBSTITUTE(SUBSTITUTE($G748,"-"," ",LEN($G748)-LEN(SUBSTITUTE($G748,"-",""))),"-"," ",LEN($G748)-LEN(SUBSTITUTE($G748,"-",""))-1),SUBSTITUTE(SUBSTITUTE(SUBSTITUTE($G748,"-"," ",LEN($G748)-LEN(SUBSTITUTE($G748,"-",""))),"-"," ",LEN($G748)-LEN(SUBSTITUTE($G748,"-",""))-1),"."," ",(LEN(SUBSTITUTE(SUBSTITUTE($G748,"-"," ",LEN($G748)-LEN(SUBSTITUTE($G748,"-",""))),"-"," ",LEN($G748)-LEN(SUBSTITUTE($G748,"-",""))-1))-LEN(SUBSTITUTE(SUBSTITUTE(SUBSTITUTE($G748,"-"," ",LEN($G748)-LEN(SUBSTITUTE($G748,"-",""))),"-"," ",LEN($G748)-LEN(SUBSTITUTE($G748,"-",""))-1),".",""))))),$G748)))</f>
        <v/>
      </c>
    </row>
    <row r="749">
      <c r="A749" s="58" t="n"/>
      <c r="B749" s="58">
        <f>IF($H749="","",LEFT($H749,FIND(" ",$H749&amp;" ")-1))</f>
        <v/>
      </c>
      <c r="C749" s="58">
        <f>IF($H749="","",IFERROR(MID($H749&amp;" ",FIND("|",SUBSTITUTE($H749&amp;" "," ","|",1))+1,FIND("|",SUBSTITUTE($H749&amp;" "," ","|",2))-FIND("|",SUBSTITUTE($H749&amp;" "," ","|",1))-1),""))</f>
        <v/>
      </c>
      <c r="D749" s="58">
        <f>IF($H749="","",IFERROR(MID($H749&amp;" ",FIND("|",SUBSTITUTE($H749&amp;" "," ","|",2))+1,FIND("|",SUBSTITUTE($H749&amp;" "," ","|",3))-FIND("|",SUBSTITUTE($H749&amp;" "," ","|",2))-1),""))</f>
        <v/>
      </c>
      <c r="E749" s="58">
        <f>IF($H749="","",IFERROR(MID($H749&amp;" ",FIND("|",SUBSTITUTE($H749&amp;" "," ","|",3))+1,FIND("|",SUBSTITUTE($H749&amp;" "," ","|",4))-FIND("|",SUBSTITUTE($H749&amp;" "," ","|",3))-1),""))</f>
        <v/>
      </c>
      <c r="F749" s="59">
        <f>IF($H749="","",IFERROR(VALUE(IFERROR(MID($H749&amp;" ",FIND("|",SUBSTITUTE($H749&amp;" "," ","|",4))+1,FIND("|",SUBSTITUTE($H749&amp;" "," ","|",5))-FIND("|",SUBSTITUTE($H749&amp;" "," ","|",4))-1),""))/86400+25569+9/24,""))</f>
        <v/>
      </c>
      <c r="G749" s="58">
        <f>TRIM(SUBSTITUTE(SUBSTITUTE(SUBSTITUTE($A749,CHAR(9)," ")," "," "),CHAR(13),""))</f>
        <v/>
      </c>
      <c r="H749" s="58">
        <f>IF($G749="","",IF(ISNUMBER(FIND(" ",$G749)),$G749,IFERROR(IF((LEN(SUBSTITUTE(SUBSTITUTE($G749,"-"," ",LEN($G749)-LEN(SUBSTITUTE($G749,"-",""))),"-"," ",LEN($G749)-LEN(SUBSTITUTE($G749,"-",""))-1))-LEN(SUBSTITUTE(SUBSTITUTE(SUBSTITUTE($G749,"-"," ",LEN($G749)-LEN(SUBSTITUTE($G749,"-",""))),"-"," ",LEN($G749)-LEN(SUBSTITUTE($G749,"-",""))-1),".","")))=0,SUBSTITUTE(SUBSTITUTE($G749,"-"," ",LEN($G749)-LEN(SUBSTITUTE($G749,"-",""))),"-"," ",LEN($G749)-LEN(SUBSTITUTE($G749,"-",""))-1),SUBSTITUTE(SUBSTITUTE(SUBSTITUTE($G749,"-"," ",LEN($G749)-LEN(SUBSTITUTE($G749,"-",""))),"-"," ",LEN($G749)-LEN(SUBSTITUTE($G749,"-",""))-1),"."," ",(LEN(SUBSTITUTE(SUBSTITUTE($G749,"-"," ",LEN($G749)-LEN(SUBSTITUTE($G749,"-",""))),"-"," ",LEN($G749)-LEN(SUBSTITUTE($G749,"-",""))-1))-LEN(SUBSTITUTE(SUBSTITUTE(SUBSTITUTE($G749,"-"," ",LEN($G749)-LEN(SUBSTITUTE($G749,"-",""))),"-"," ",LEN($G749)-LEN(SUBSTITUTE($G749,"-",""))-1),".",""))))),$G749)))</f>
        <v/>
      </c>
    </row>
    <row r="750">
      <c r="A750" s="58" t="n"/>
      <c r="B750" s="58">
        <f>IF($H750="","",LEFT($H750,FIND(" ",$H750&amp;" ")-1))</f>
        <v/>
      </c>
      <c r="C750" s="58">
        <f>IF($H750="","",IFERROR(MID($H750&amp;" ",FIND("|",SUBSTITUTE($H750&amp;" "," ","|",1))+1,FIND("|",SUBSTITUTE($H750&amp;" "," ","|",2))-FIND("|",SUBSTITUTE($H750&amp;" "," ","|",1))-1),""))</f>
        <v/>
      </c>
      <c r="D750" s="58">
        <f>IF($H750="","",IFERROR(MID($H750&amp;" ",FIND("|",SUBSTITUTE($H750&amp;" "," ","|",2))+1,FIND("|",SUBSTITUTE($H750&amp;" "," ","|",3))-FIND("|",SUBSTITUTE($H750&amp;" "," ","|",2))-1),""))</f>
        <v/>
      </c>
      <c r="E750" s="58">
        <f>IF($H750="","",IFERROR(MID($H750&amp;" ",FIND("|",SUBSTITUTE($H750&amp;" "," ","|",3))+1,FIND("|",SUBSTITUTE($H750&amp;" "," ","|",4))-FIND("|",SUBSTITUTE($H750&amp;" "," ","|",3))-1),""))</f>
        <v/>
      </c>
      <c r="F750" s="59">
        <f>IF($H750="","",IFERROR(VALUE(IFERROR(MID($H750&amp;" ",FIND("|",SUBSTITUTE($H750&amp;" "," ","|",4))+1,FIND("|",SUBSTITUTE($H750&amp;" "," ","|",5))-FIND("|",SUBSTITUTE($H750&amp;" "," ","|",4))-1),""))/86400+25569+9/24,""))</f>
        <v/>
      </c>
      <c r="G750" s="58">
        <f>TRIM(SUBSTITUTE(SUBSTITUTE(SUBSTITUTE($A750,CHAR(9)," ")," "," "),CHAR(13),""))</f>
        <v/>
      </c>
      <c r="H750" s="58">
        <f>IF($G750="","",IF(ISNUMBER(FIND(" ",$G750)),$G750,IFERROR(IF((LEN(SUBSTITUTE(SUBSTITUTE($G750,"-"," ",LEN($G750)-LEN(SUBSTITUTE($G750,"-",""))),"-"," ",LEN($G750)-LEN(SUBSTITUTE($G750,"-",""))-1))-LEN(SUBSTITUTE(SUBSTITUTE(SUBSTITUTE($G750,"-"," ",LEN($G750)-LEN(SUBSTITUTE($G750,"-",""))),"-"," ",LEN($G750)-LEN(SUBSTITUTE($G750,"-",""))-1),".","")))=0,SUBSTITUTE(SUBSTITUTE($G750,"-"," ",LEN($G750)-LEN(SUBSTITUTE($G750,"-",""))),"-"," ",LEN($G750)-LEN(SUBSTITUTE($G750,"-",""))-1),SUBSTITUTE(SUBSTITUTE(SUBSTITUTE($G750,"-"," ",LEN($G750)-LEN(SUBSTITUTE($G750,"-",""))),"-"," ",LEN($G750)-LEN(SUBSTITUTE($G750,"-",""))-1),"."," ",(LEN(SUBSTITUTE(SUBSTITUTE($G750,"-"," ",LEN($G750)-LEN(SUBSTITUTE($G750,"-",""))),"-"," ",LEN($G750)-LEN(SUBSTITUTE($G750,"-",""))-1))-LEN(SUBSTITUTE(SUBSTITUTE(SUBSTITUTE($G750,"-"," ",LEN($G750)-LEN(SUBSTITUTE($G750,"-",""))),"-"," ",LEN($G750)-LEN(SUBSTITUTE($G750,"-",""))-1),".",""))))),$G750)))</f>
        <v/>
      </c>
    </row>
    <row r="751">
      <c r="A751" s="58" t="n"/>
      <c r="B751" s="58">
        <f>IF($H751="","",LEFT($H751,FIND(" ",$H751&amp;" ")-1))</f>
        <v/>
      </c>
      <c r="C751" s="58">
        <f>IF($H751="","",IFERROR(MID($H751&amp;" ",FIND("|",SUBSTITUTE($H751&amp;" "," ","|",1))+1,FIND("|",SUBSTITUTE($H751&amp;" "," ","|",2))-FIND("|",SUBSTITUTE($H751&amp;" "," ","|",1))-1),""))</f>
        <v/>
      </c>
      <c r="D751" s="58">
        <f>IF($H751="","",IFERROR(MID($H751&amp;" ",FIND("|",SUBSTITUTE($H751&amp;" "," ","|",2))+1,FIND("|",SUBSTITUTE($H751&amp;" "," ","|",3))-FIND("|",SUBSTITUTE($H751&amp;" "," ","|",2))-1),""))</f>
        <v/>
      </c>
      <c r="E751" s="58">
        <f>IF($H751="","",IFERROR(MID($H751&amp;" ",FIND("|",SUBSTITUTE($H751&amp;" "," ","|",3))+1,FIND("|",SUBSTITUTE($H751&amp;" "," ","|",4))-FIND("|",SUBSTITUTE($H751&amp;" "," ","|",3))-1),""))</f>
        <v/>
      </c>
      <c r="F751" s="59">
        <f>IF($H751="","",IFERROR(VALUE(IFERROR(MID($H751&amp;" ",FIND("|",SUBSTITUTE($H751&amp;" "," ","|",4))+1,FIND("|",SUBSTITUTE($H751&amp;" "," ","|",5))-FIND("|",SUBSTITUTE($H751&amp;" "," ","|",4))-1),""))/86400+25569+9/24,""))</f>
        <v/>
      </c>
      <c r="G751" s="58">
        <f>TRIM(SUBSTITUTE(SUBSTITUTE(SUBSTITUTE($A751,CHAR(9)," ")," "," "),CHAR(13),""))</f>
        <v/>
      </c>
      <c r="H751" s="58">
        <f>IF($G751="","",IF(ISNUMBER(FIND(" ",$G751)),$G751,IFERROR(IF((LEN(SUBSTITUTE(SUBSTITUTE($G751,"-"," ",LEN($G751)-LEN(SUBSTITUTE($G751,"-",""))),"-"," ",LEN($G751)-LEN(SUBSTITUTE($G751,"-",""))-1))-LEN(SUBSTITUTE(SUBSTITUTE(SUBSTITUTE($G751,"-"," ",LEN($G751)-LEN(SUBSTITUTE($G751,"-",""))),"-"," ",LEN($G751)-LEN(SUBSTITUTE($G751,"-",""))-1),".","")))=0,SUBSTITUTE(SUBSTITUTE($G751,"-"," ",LEN($G751)-LEN(SUBSTITUTE($G751,"-",""))),"-"," ",LEN($G751)-LEN(SUBSTITUTE($G751,"-",""))-1),SUBSTITUTE(SUBSTITUTE(SUBSTITUTE($G751,"-"," ",LEN($G751)-LEN(SUBSTITUTE($G751,"-",""))),"-"," ",LEN($G751)-LEN(SUBSTITUTE($G751,"-",""))-1),"."," ",(LEN(SUBSTITUTE(SUBSTITUTE($G751,"-"," ",LEN($G751)-LEN(SUBSTITUTE($G751,"-",""))),"-"," ",LEN($G751)-LEN(SUBSTITUTE($G751,"-",""))-1))-LEN(SUBSTITUTE(SUBSTITUTE(SUBSTITUTE($G751,"-"," ",LEN($G751)-LEN(SUBSTITUTE($G751,"-",""))),"-"," ",LEN($G751)-LEN(SUBSTITUTE($G751,"-",""))-1),".",""))))),$G751)))</f>
        <v/>
      </c>
    </row>
    <row r="752">
      <c r="A752" s="58" t="n"/>
      <c r="B752" s="58">
        <f>IF($H752="","",LEFT($H752,FIND(" ",$H752&amp;" ")-1))</f>
        <v/>
      </c>
      <c r="C752" s="58">
        <f>IF($H752="","",IFERROR(MID($H752&amp;" ",FIND("|",SUBSTITUTE($H752&amp;" "," ","|",1))+1,FIND("|",SUBSTITUTE($H752&amp;" "," ","|",2))-FIND("|",SUBSTITUTE($H752&amp;" "," ","|",1))-1),""))</f>
        <v/>
      </c>
      <c r="D752" s="58">
        <f>IF($H752="","",IFERROR(MID($H752&amp;" ",FIND("|",SUBSTITUTE($H752&amp;" "," ","|",2))+1,FIND("|",SUBSTITUTE($H752&amp;" "," ","|",3))-FIND("|",SUBSTITUTE($H752&amp;" "," ","|",2))-1),""))</f>
        <v/>
      </c>
      <c r="E752" s="58">
        <f>IF($H752="","",IFERROR(MID($H752&amp;" ",FIND("|",SUBSTITUTE($H752&amp;" "," ","|",3))+1,FIND("|",SUBSTITUTE($H752&amp;" "," ","|",4))-FIND("|",SUBSTITUTE($H752&amp;" "," ","|",3))-1),""))</f>
        <v/>
      </c>
      <c r="F752" s="59">
        <f>IF($H752="","",IFERROR(VALUE(IFERROR(MID($H752&amp;" ",FIND("|",SUBSTITUTE($H752&amp;" "," ","|",4))+1,FIND("|",SUBSTITUTE($H752&amp;" "," ","|",5))-FIND("|",SUBSTITUTE($H752&amp;" "," ","|",4))-1),""))/86400+25569+9/24,""))</f>
        <v/>
      </c>
      <c r="G752" s="58">
        <f>TRIM(SUBSTITUTE(SUBSTITUTE(SUBSTITUTE($A752,CHAR(9)," ")," "," "),CHAR(13),""))</f>
        <v/>
      </c>
      <c r="H752" s="58">
        <f>IF($G752="","",IF(ISNUMBER(FIND(" ",$G752)),$G752,IFERROR(IF((LEN(SUBSTITUTE(SUBSTITUTE($G752,"-"," ",LEN($G752)-LEN(SUBSTITUTE($G752,"-",""))),"-"," ",LEN($G752)-LEN(SUBSTITUTE($G752,"-",""))-1))-LEN(SUBSTITUTE(SUBSTITUTE(SUBSTITUTE($G752,"-"," ",LEN($G752)-LEN(SUBSTITUTE($G752,"-",""))),"-"," ",LEN($G752)-LEN(SUBSTITUTE($G752,"-",""))-1),".","")))=0,SUBSTITUTE(SUBSTITUTE($G752,"-"," ",LEN($G752)-LEN(SUBSTITUTE($G752,"-",""))),"-"," ",LEN($G752)-LEN(SUBSTITUTE($G752,"-",""))-1),SUBSTITUTE(SUBSTITUTE(SUBSTITUTE($G752,"-"," ",LEN($G752)-LEN(SUBSTITUTE($G752,"-",""))),"-"," ",LEN($G752)-LEN(SUBSTITUTE($G752,"-",""))-1),"."," ",(LEN(SUBSTITUTE(SUBSTITUTE($G752,"-"," ",LEN($G752)-LEN(SUBSTITUTE($G752,"-",""))),"-"," ",LEN($G752)-LEN(SUBSTITUTE($G752,"-",""))-1))-LEN(SUBSTITUTE(SUBSTITUTE(SUBSTITUTE($G752,"-"," ",LEN($G752)-LEN(SUBSTITUTE($G752,"-",""))),"-"," ",LEN($G752)-LEN(SUBSTITUTE($G752,"-",""))-1),".",""))))),$G752)))</f>
        <v/>
      </c>
    </row>
    <row r="753">
      <c r="A753" s="58" t="n"/>
      <c r="B753" s="58">
        <f>IF($H753="","",LEFT($H753,FIND(" ",$H753&amp;" ")-1))</f>
        <v/>
      </c>
      <c r="C753" s="58">
        <f>IF($H753="","",IFERROR(MID($H753&amp;" ",FIND("|",SUBSTITUTE($H753&amp;" "," ","|",1))+1,FIND("|",SUBSTITUTE($H753&amp;" "," ","|",2))-FIND("|",SUBSTITUTE($H753&amp;" "," ","|",1))-1),""))</f>
        <v/>
      </c>
      <c r="D753" s="58">
        <f>IF($H753="","",IFERROR(MID($H753&amp;" ",FIND("|",SUBSTITUTE($H753&amp;" "," ","|",2))+1,FIND("|",SUBSTITUTE($H753&amp;" "," ","|",3))-FIND("|",SUBSTITUTE($H753&amp;" "," ","|",2))-1),""))</f>
        <v/>
      </c>
      <c r="E753" s="58">
        <f>IF($H753="","",IFERROR(MID($H753&amp;" ",FIND("|",SUBSTITUTE($H753&amp;" "," ","|",3))+1,FIND("|",SUBSTITUTE($H753&amp;" "," ","|",4))-FIND("|",SUBSTITUTE($H753&amp;" "," ","|",3))-1),""))</f>
        <v/>
      </c>
      <c r="F753" s="59">
        <f>IF($H753="","",IFERROR(VALUE(IFERROR(MID($H753&amp;" ",FIND("|",SUBSTITUTE($H753&amp;" "," ","|",4))+1,FIND("|",SUBSTITUTE($H753&amp;" "," ","|",5))-FIND("|",SUBSTITUTE($H753&amp;" "," ","|",4))-1),""))/86400+25569+9/24,""))</f>
        <v/>
      </c>
      <c r="G753" s="58">
        <f>TRIM(SUBSTITUTE(SUBSTITUTE(SUBSTITUTE($A753,CHAR(9)," ")," "," "),CHAR(13),""))</f>
        <v/>
      </c>
      <c r="H753" s="58">
        <f>IF($G753="","",IF(ISNUMBER(FIND(" ",$G753)),$G753,IFERROR(IF((LEN(SUBSTITUTE(SUBSTITUTE($G753,"-"," ",LEN($G753)-LEN(SUBSTITUTE($G753,"-",""))),"-"," ",LEN($G753)-LEN(SUBSTITUTE($G753,"-",""))-1))-LEN(SUBSTITUTE(SUBSTITUTE(SUBSTITUTE($G753,"-"," ",LEN($G753)-LEN(SUBSTITUTE($G753,"-",""))),"-"," ",LEN($G753)-LEN(SUBSTITUTE($G753,"-",""))-1),".","")))=0,SUBSTITUTE(SUBSTITUTE($G753,"-"," ",LEN($G753)-LEN(SUBSTITUTE($G753,"-",""))),"-"," ",LEN($G753)-LEN(SUBSTITUTE($G753,"-",""))-1),SUBSTITUTE(SUBSTITUTE(SUBSTITUTE($G753,"-"," ",LEN($G753)-LEN(SUBSTITUTE($G753,"-",""))),"-"," ",LEN($G753)-LEN(SUBSTITUTE($G753,"-",""))-1),"."," ",(LEN(SUBSTITUTE(SUBSTITUTE($G753,"-"," ",LEN($G753)-LEN(SUBSTITUTE($G753,"-",""))),"-"," ",LEN($G753)-LEN(SUBSTITUTE($G753,"-",""))-1))-LEN(SUBSTITUTE(SUBSTITUTE(SUBSTITUTE($G753,"-"," ",LEN($G753)-LEN(SUBSTITUTE($G753,"-",""))),"-"," ",LEN($G753)-LEN(SUBSTITUTE($G753,"-",""))-1),".",""))))),$G753)))</f>
        <v/>
      </c>
    </row>
    <row r="754">
      <c r="A754" s="58" t="n"/>
      <c r="B754" s="58">
        <f>IF($H754="","",LEFT($H754,FIND(" ",$H754&amp;" ")-1))</f>
        <v/>
      </c>
      <c r="C754" s="58">
        <f>IF($H754="","",IFERROR(MID($H754&amp;" ",FIND("|",SUBSTITUTE($H754&amp;" "," ","|",1))+1,FIND("|",SUBSTITUTE($H754&amp;" "," ","|",2))-FIND("|",SUBSTITUTE($H754&amp;" "," ","|",1))-1),""))</f>
        <v/>
      </c>
      <c r="D754" s="58">
        <f>IF($H754="","",IFERROR(MID($H754&amp;" ",FIND("|",SUBSTITUTE($H754&amp;" "," ","|",2))+1,FIND("|",SUBSTITUTE($H754&amp;" "," ","|",3))-FIND("|",SUBSTITUTE($H754&amp;" "," ","|",2))-1),""))</f>
        <v/>
      </c>
      <c r="E754" s="58">
        <f>IF($H754="","",IFERROR(MID($H754&amp;" ",FIND("|",SUBSTITUTE($H754&amp;" "," ","|",3))+1,FIND("|",SUBSTITUTE($H754&amp;" "," ","|",4))-FIND("|",SUBSTITUTE($H754&amp;" "," ","|",3))-1),""))</f>
        <v/>
      </c>
      <c r="F754" s="59">
        <f>IF($H754="","",IFERROR(VALUE(IFERROR(MID($H754&amp;" ",FIND("|",SUBSTITUTE($H754&amp;" "," ","|",4))+1,FIND("|",SUBSTITUTE($H754&amp;" "," ","|",5))-FIND("|",SUBSTITUTE($H754&amp;" "," ","|",4))-1),""))/86400+25569+9/24,""))</f>
        <v/>
      </c>
      <c r="G754" s="58">
        <f>TRIM(SUBSTITUTE(SUBSTITUTE(SUBSTITUTE($A754,CHAR(9)," ")," "," "),CHAR(13),""))</f>
        <v/>
      </c>
      <c r="H754" s="58">
        <f>IF($G754="","",IF(ISNUMBER(FIND(" ",$G754)),$G754,IFERROR(IF((LEN(SUBSTITUTE(SUBSTITUTE($G754,"-"," ",LEN($G754)-LEN(SUBSTITUTE($G754,"-",""))),"-"," ",LEN($G754)-LEN(SUBSTITUTE($G754,"-",""))-1))-LEN(SUBSTITUTE(SUBSTITUTE(SUBSTITUTE($G754,"-"," ",LEN($G754)-LEN(SUBSTITUTE($G754,"-",""))),"-"," ",LEN($G754)-LEN(SUBSTITUTE($G754,"-",""))-1),".","")))=0,SUBSTITUTE(SUBSTITUTE($G754,"-"," ",LEN($G754)-LEN(SUBSTITUTE($G754,"-",""))),"-"," ",LEN($G754)-LEN(SUBSTITUTE($G754,"-",""))-1),SUBSTITUTE(SUBSTITUTE(SUBSTITUTE($G754,"-"," ",LEN($G754)-LEN(SUBSTITUTE($G754,"-",""))),"-"," ",LEN($G754)-LEN(SUBSTITUTE($G754,"-",""))-1),"."," ",(LEN(SUBSTITUTE(SUBSTITUTE($G754,"-"," ",LEN($G754)-LEN(SUBSTITUTE($G754,"-",""))),"-"," ",LEN($G754)-LEN(SUBSTITUTE($G754,"-",""))-1))-LEN(SUBSTITUTE(SUBSTITUTE(SUBSTITUTE($G754,"-"," ",LEN($G754)-LEN(SUBSTITUTE($G754,"-",""))),"-"," ",LEN($G754)-LEN(SUBSTITUTE($G754,"-",""))-1),".",""))))),$G754)))</f>
        <v/>
      </c>
    </row>
    <row r="755">
      <c r="A755" s="58" t="n"/>
      <c r="B755" s="58">
        <f>IF($H755="","",LEFT($H755,FIND(" ",$H755&amp;" ")-1))</f>
        <v/>
      </c>
      <c r="C755" s="58">
        <f>IF($H755="","",IFERROR(MID($H755&amp;" ",FIND("|",SUBSTITUTE($H755&amp;" "," ","|",1))+1,FIND("|",SUBSTITUTE($H755&amp;" "," ","|",2))-FIND("|",SUBSTITUTE($H755&amp;" "," ","|",1))-1),""))</f>
        <v/>
      </c>
      <c r="D755" s="58">
        <f>IF($H755="","",IFERROR(MID($H755&amp;" ",FIND("|",SUBSTITUTE($H755&amp;" "," ","|",2))+1,FIND("|",SUBSTITUTE($H755&amp;" "," ","|",3))-FIND("|",SUBSTITUTE($H755&amp;" "," ","|",2))-1),""))</f>
        <v/>
      </c>
      <c r="E755" s="58">
        <f>IF($H755="","",IFERROR(MID($H755&amp;" ",FIND("|",SUBSTITUTE($H755&amp;" "," ","|",3))+1,FIND("|",SUBSTITUTE($H755&amp;" "," ","|",4))-FIND("|",SUBSTITUTE($H755&amp;" "," ","|",3))-1),""))</f>
        <v/>
      </c>
      <c r="F755" s="59">
        <f>IF($H755="","",IFERROR(VALUE(IFERROR(MID($H755&amp;" ",FIND("|",SUBSTITUTE($H755&amp;" "," ","|",4))+1,FIND("|",SUBSTITUTE($H755&amp;" "," ","|",5))-FIND("|",SUBSTITUTE($H755&amp;" "," ","|",4))-1),""))/86400+25569+9/24,""))</f>
        <v/>
      </c>
      <c r="G755" s="58">
        <f>TRIM(SUBSTITUTE(SUBSTITUTE(SUBSTITUTE($A755,CHAR(9)," ")," "," "),CHAR(13),""))</f>
        <v/>
      </c>
      <c r="H755" s="58">
        <f>IF($G755="","",IF(ISNUMBER(FIND(" ",$G755)),$G755,IFERROR(IF((LEN(SUBSTITUTE(SUBSTITUTE($G755,"-"," ",LEN($G755)-LEN(SUBSTITUTE($G755,"-",""))),"-"," ",LEN($G755)-LEN(SUBSTITUTE($G755,"-",""))-1))-LEN(SUBSTITUTE(SUBSTITUTE(SUBSTITUTE($G755,"-"," ",LEN($G755)-LEN(SUBSTITUTE($G755,"-",""))),"-"," ",LEN($G755)-LEN(SUBSTITUTE($G755,"-",""))-1),".","")))=0,SUBSTITUTE(SUBSTITUTE($G755,"-"," ",LEN($G755)-LEN(SUBSTITUTE($G755,"-",""))),"-"," ",LEN($G755)-LEN(SUBSTITUTE($G755,"-",""))-1),SUBSTITUTE(SUBSTITUTE(SUBSTITUTE($G755,"-"," ",LEN($G755)-LEN(SUBSTITUTE($G755,"-",""))),"-"," ",LEN($G755)-LEN(SUBSTITUTE($G755,"-",""))-1),"."," ",(LEN(SUBSTITUTE(SUBSTITUTE($G755,"-"," ",LEN($G755)-LEN(SUBSTITUTE($G755,"-",""))),"-"," ",LEN($G755)-LEN(SUBSTITUTE($G755,"-",""))-1))-LEN(SUBSTITUTE(SUBSTITUTE(SUBSTITUTE($G755,"-"," ",LEN($G755)-LEN(SUBSTITUTE($G755,"-",""))),"-"," ",LEN($G755)-LEN(SUBSTITUTE($G755,"-",""))-1),".",""))))),$G755)))</f>
        <v/>
      </c>
    </row>
    <row r="756">
      <c r="A756" s="58" t="n"/>
      <c r="B756" s="58">
        <f>IF($H756="","",LEFT($H756,FIND(" ",$H756&amp;" ")-1))</f>
        <v/>
      </c>
      <c r="C756" s="58">
        <f>IF($H756="","",IFERROR(MID($H756&amp;" ",FIND("|",SUBSTITUTE($H756&amp;" "," ","|",1))+1,FIND("|",SUBSTITUTE($H756&amp;" "," ","|",2))-FIND("|",SUBSTITUTE($H756&amp;" "," ","|",1))-1),""))</f>
        <v/>
      </c>
      <c r="D756" s="58">
        <f>IF($H756="","",IFERROR(MID($H756&amp;" ",FIND("|",SUBSTITUTE($H756&amp;" "," ","|",2))+1,FIND("|",SUBSTITUTE($H756&amp;" "," ","|",3))-FIND("|",SUBSTITUTE($H756&amp;" "," ","|",2))-1),""))</f>
        <v/>
      </c>
      <c r="E756" s="58">
        <f>IF($H756="","",IFERROR(MID($H756&amp;" ",FIND("|",SUBSTITUTE($H756&amp;" "," ","|",3))+1,FIND("|",SUBSTITUTE($H756&amp;" "," ","|",4))-FIND("|",SUBSTITUTE($H756&amp;" "," ","|",3))-1),""))</f>
        <v/>
      </c>
      <c r="F756" s="59">
        <f>IF($H756="","",IFERROR(VALUE(IFERROR(MID($H756&amp;" ",FIND("|",SUBSTITUTE($H756&amp;" "," ","|",4))+1,FIND("|",SUBSTITUTE($H756&amp;" "," ","|",5))-FIND("|",SUBSTITUTE($H756&amp;" "," ","|",4))-1),""))/86400+25569+9/24,""))</f>
        <v/>
      </c>
      <c r="G756" s="58">
        <f>TRIM(SUBSTITUTE(SUBSTITUTE(SUBSTITUTE($A756,CHAR(9)," ")," "," "),CHAR(13),""))</f>
        <v/>
      </c>
      <c r="H756" s="58">
        <f>IF($G756="","",IF(ISNUMBER(FIND(" ",$G756)),$G756,IFERROR(IF((LEN(SUBSTITUTE(SUBSTITUTE($G756,"-"," ",LEN($G756)-LEN(SUBSTITUTE($G756,"-",""))),"-"," ",LEN($G756)-LEN(SUBSTITUTE($G756,"-",""))-1))-LEN(SUBSTITUTE(SUBSTITUTE(SUBSTITUTE($G756,"-"," ",LEN($G756)-LEN(SUBSTITUTE($G756,"-",""))),"-"," ",LEN($G756)-LEN(SUBSTITUTE($G756,"-",""))-1),".","")))=0,SUBSTITUTE(SUBSTITUTE($G756,"-"," ",LEN($G756)-LEN(SUBSTITUTE($G756,"-",""))),"-"," ",LEN($G756)-LEN(SUBSTITUTE($G756,"-",""))-1),SUBSTITUTE(SUBSTITUTE(SUBSTITUTE($G756,"-"," ",LEN($G756)-LEN(SUBSTITUTE($G756,"-",""))),"-"," ",LEN($G756)-LEN(SUBSTITUTE($G756,"-",""))-1),"."," ",(LEN(SUBSTITUTE(SUBSTITUTE($G756,"-"," ",LEN($G756)-LEN(SUBSTITUTE($G756,"-",""))),"-"," ",LEN($G756)-LEN(SUBSTITUTE($G756,"-",""))-1))-LEN(SUBSTITUTE(SUBSTITUTE(SUBSTITUTE($G756,"-"," ",LEN($G756)-LEN(SUBSTITUTE($G756,"-",""))),"-"," ",LEN($G756)-LEN(SUBSTITUTE($G756,"-",""))-1),".",""))))),$G756)))</f>
        <v/>
      </c>
    </row>
    <row r="757">
      <c r="A757" s="58" t="n"/>
      <c r="B757" s="58">
        <f>IF($H757="","",LEFT($H757,FIND(" ",$H757&amp;" ")-1))</f>
        <v/>
      </c>
      <c r="C757" s="58">
        <f>IF($H757="","",IFERROR(MID($H757&amp;" ",FIND("|",SUBSTITUTE($H757&amp;" "," ","|",1))+1,FIND("|",SUBSTITUTE($H757&amp;" "," ","|",2))-FIND("|",SUBSTITUTE($H757&amp;" "," ","|",1))-1),""))</f>
        <v/>
      </c>
      <c r="D757" s="58">
        <f>IF($H757="","",IFERROR(MID($H757&amp;" ",FIND("|",SUBSTITUTE($H757&amp;" "," ","|",2))+1,FIND("|",SUBSTITUTE($H757&amp;" "," ","|",3))-FIND("|",SUBSTITUTE($H757&amp;" "," ","|",2))-1),""))</f>
        <v/>
      </c>
      <c r="E757" s="58">
        <f>IF($H757="","",IFERROR(MID($H757&amp;" ",FIND("|",SUBSTITUTE($H757&amp;" "," ","|",3))+1,FIND("|",SUBSTITUTE($H757&amp;" "," ","|",4))-FIND("|",SUBSTITUTE($H757&amp;" "," ","|",3))-1),""))</f>
        <v/>
      </c>
      <c r="F757" s="59">
        <f>IF($H757="","",IFERROR(VALUE(IFERROR(MID($H757&amp;" ",FIND("|",SUBSTITUTE($H757&amp;" "," ","|",4))+1,FIND("|",SUBSTITUTE($H757&amp;" "," ","|",5))-FIND("|",SUBSTITUTE($H757&amp;" "," ","|",4))-1),""))/86400+25569+9/24,""))</f>
        <v/>
      </c>
      <c r="G757" s="58">
        <f>TRIM(SUBSTITUTE(SUBSTITUTE(SUBSTITUTE($A757,CHAR(9)," ")," "," "),CHAR(13),""))</f>
        <v/>
      </c>
      <c r="H757" s="58">
        <f>IF($G757="","",IF(ISNUMBER(FIND(" ",$G757)),$G757,IFERROR(IF((LEN(SUBSTITUTE(SUBSTITUTE($G757,"-"," ",LEN($G757)-LEN(SUBSTITUTE($G757,"-",""))),"-"," ",LEN($G757)-LEN(SUBSTITUTE($G757,"-",""))-1))-LEN(SUBSTITUTE(SUBSTITUTE(SUBSTITUTE($G757,"-"," ",LEN($G757)-LEN(SUBSTITUTE($G757,"-",""))),"-"," ",LEN($G757)-LEN(SUBSTITUTE($G757,"-",""))-1),".","")))=0,SUBSTITUTE(SUBSTITUTE($G757,"-"," ",LEN($G757)-LEN(SUBSTITUTE($G757,"-",""))),"-"," ",LEN($G757)-LEN(SUBSTITUTE($G757,"-",""))-1),SUBSTITUTE(SUBSTITUTE(SUBSTITUTE($G757,"-"," ",LEN($G757)-LEN(SUBSTITUTE($G757,"-",""))),"-"," ",LEN($G757)-LEN(SUBSTITUTE($G757,"-",""))-1),"."," ",(LEN(SUBSTITUTE(SUBSTITUTE($G757,"-"," ",LEN($G757)-LEN(SUBSTITUTE($G757,"-",""))),"-"," ",LEN($G757)-LEN(SUBSTITUTE($G757,"-",""))-1))-LEN(SUBSTITUTE(SUBSTITUTE(SUBSTITUTE($G757,"-"," ",LEN($G757)-LEN(SUBSTITUTE($G757,"-",""))),"-"," ",LEN($G757)-LEN(SUBSTITUTE($G757,"-",""))-1),".",""))))),$G757)))</f>
        <v/>
      </c>
    </row>
    <row r="758">
      <c r="A758" s="58" t="n"/>
      <c r="B758" s="58">
        <f>IF($H758="","",LEFT($H758,FIND(" ",$H758&amp;" ")-1))</f>
        <v/>
      </c>
      <c r="C758" s="58">
        <f>IF($H758="","",IFERROR(MID($H758&amp;" ",FIND("|",SUBSTITUTE($H758&amp;" "," ","|",1))+1,FIND("|",SUBSTITUTE($H758&amp;" "," ","|",2))-FIND("|",SUBSTITUTE($H758&amp;" "," ","|",1))-1),""))</f>
        <v/>
      </c>
      <c r="D758" s="58">
        <f>IF($H758="","",IFERROR(MID($H758&amp;" ",FIND("|",SUBSTITUTE($H758&amp;" "," ","|",2))+1,FIND("|",SUBSTITUTE($H758&amp;" "," ","|",3))-FIND("|",SUBSTITUTE($H758&amp;" "," ","|",2))-1),""))</f>
        <v/>
      </c>
      <c r="E758" s="58">
        <f>IF($H758="","",IFERROR(MID($H758&amp;" ",FIND("|",SUBSTITUTE($H758&amp;" "," ","|",3))+1,FIND("|",SUBSTITUTE($H758&amp;" "," ","|",4))-FIND("|",SUBSTITUTE($H758&amp;" "," ","|",3))-1),""))</f>
        <v/>
      </c>
      <c r="F758" s="59">
        <f>IF($H758="","",IFERROR(VALUE(IFERROR(MID($H758&amp;" ",FIND("|",SUBSTITUTE($H758&amp;" "," ","|",4))+1,FIND("|",SUBSTITUTE($H758&amp;" "," ","|",5))-FIND("|",SUBSTITUTE($H758&amp;" "," ","|",4))-1),""))/86400+25569+9/24,""))</f>
        <v/>
      </c>
      <c r="G758" s="58">
        <f>TRIM(SUBSTITUTE(SUBSTITUTE(SUBSTITUTE($A758,CHAR(9)," ")," "," "),CHAR(13),""))</f>
        <v/>
      </c>
      <c r="H758" s="58">
        <f>IF($G758="","",IF(ISNUMBER(FIND(" ",$G758)),$G758,IFERROR(IF((LEN(SUBSTITUTE(SUBSTITUTE($G758,"-"," ",LEN($G758)-LEN(SUBSTITUTE($G758,"-",""))),"-"," ",LEN($G758)-LEN(SUBSTITUTE($G758,"-",""))-1))-LEN(SUBSTITUTE(SUBSTITUTE(SUBSTITUTE($G758,"-"," ",LEN($G758)-LEN(SUBSTITUTE($G758,"-",""))),"-"," ",LEN($G758)-LEN(SUBSTITUTE($G758,"-",""))-1),".","")))=0,SUBSTITUTE(SUBSTITUTE($G758,"-"," ",LEN($G758)-LEN(SUBSTITUTE($G758,"-",""))),"-"," ",LEN($G758)-LEN(SUBSTITUTE($G758,"-",""))-1),SUBSTITUTE(SUBSTITUTE(SUBSTITUTE($G758,"-"," ",LEN($G758)-LEN(SUBSTITUTE($G758,"-",""))),"-"," ",LEN($G758)-LEN(SUBSTITUTE($G758,"-",""))-1),"."," ",(LEN(SUBSTITUTE(SUBSTITUTE($G758,"-"," ",LEN($G758)-LEN(SUBSTITUTE($G758,"-",""))),"-"," ",LEN($G758)-LEN(SUBSTITUTE($G758,"-",""))-1))-LEN(SUBSTITUTE(SUBSTITUTE(SUBSTITUTE($G758,"-"," ",LEN($G758)-LEN(SUBSTITUTE($G758,"-",""))),"-"," ",LEN($G758)-LEN(SUBSTITUTE($G758,"-",""))-1),".",""))))),$G758)))</f>
        <v/>
      </c>
    </row>
    <row r="759">
      <c r="A759" s="58" t="n"/>
      <c r="B759" s="58">
        <f>IF($H759="","",LEFT($H759,FIND(" ",$H759&amp;" ")-1))</f>
        <v/>
      </c>
      <c r="C759" s="58">
        <f>IF($H759="","",IFERROR(MID($H759&amp;" ",FIND("|",SUBSTITUTE($H759&amp;" "," ","|",1))+1,FIND("|",SUBSTITUTE($H759&amp;" "," ","|",2))-FIND("|",SUBSTITUTE($H759&amp;" "," ","|",1))-1),""))</f>
        <v/>
      </c>
      <c r="D759" s="58">
        <f>IF($H759="","",IFERROR(MID($H759&amp;" ",FIND("|",SUBSTITUTE($H759&amp;" "," ","|",2))+1,FIND("|",SUBSTITUTE($H759&amp;" "," ","|",3))-FIND("|",SUBSTITUTE($H759&amp;" "," ","|",2))-1),""))</f>
        <v/>
      </c>
      <c r="E759" s="58">
        <f>IF($H759="","",IFERROR(MID($H759&amp;" ",FIND("|",SUBSTITUTE($H759&amp;" "," ","|",3))+1,FIND("|",SUBSTITUTE($H759&amp;" "," ","|",4))-FIND("|",SUBSTITUTE($H759&amp;" "," ","|",3))-1),""))</f>
        <v/>
      </c>
      <c r="F759" s="59">
        <f>IF($H759="","",IFERROR(VALUE(IFERROR(MID($H759&amp;" ",FIND("|",SUBSTITUTE($H759&amp;" "," ","|",4))+1,FIND("|",SUBSTITUTE($H759&amp;" "," ","|",5))-FIND("|",SUBSTITUTE($H759&amp;" "," ","|",4))-1),""))/86400+25569+9/24,""))</f>
        <v/>
      </c>
      <c r="G759" s="58">
        <f>TRIM(SUBSTITUTE(SUBSTITUTE(SUBSTITUTE($A759,CHAR(9)," ")," "," "),CHAR(13),""))</f>
        <v/>
      </c>
      <c r="H759" s="58">
        <f>IF($G759="","",IF(ISNUMBER(FIND(" ",$G759)),$G759,IFERROR(IF((LEN(SUBSTITUTE(SUBSTITUTE($G759,"-"," ",LEN($G759)-LEN(SUBSTITUTE($G759,"-",""))),"-"," ",LEN($G759)-LEN(SUBSTITUTE($G759,"-",""))-1))-LEN(SUBSTITUTE(SUBSTITUTE(SUBSTITUTE($G759,"-"," ",LEN($G759)-LEN(SUBSTITUTE($G759,"-",""))),"-"," ",LEN($G759)-LEN(SUBSTITUTE($G759,"-",""))-1),".","")))=0,SUBSTITUTE(SUBSTITUTE($G759,"-"," ",LEN($G759)-LEN(SUBSTITUTE($G759,"-",""))),"-"," ",LEN($G759)-LEN(SUBSTITUTE($G759,"-",""))-1),SUBSTITUTE(SUBSTITUTE(SUBSTITUTE($G759,"-"," ",LEN($G759)-LEN(SUBSTITUTE($G759,"-",""))),"-"," ",LEN($G759)-LEN(SUBSTITUTE($G759,"-",""))-1),"."," ",(LEN(SUBSTITUTE(SUBSTITUTE($G759,"-"," ",LEN($G759)-LEN(SUBSTITUTE($G759,"-",""))),"-"," ",LEN($G759)-LEN(SUBSTITUTE($G759,"-",""))-1))-LEN(SUBSTITUTE(SUBSTITUTE(SUBSTITUTE($G759,"-"," ",LEN($G759)-LEN(SUBSTITUTE($G759,"-",""))),"-"," ",LEN($G759)-LEN(SUBSTITUTE($G759,"-",""))-1),".",""))))),$G759)))</f>
        <v/>
      </c>
    </row>
    <row r="760">
      <c r="A760" s="58" t="n"/>
      <c r="B760" s="58">
        <f>IF($H760="","",LEFT($H760,FIND(" ",$H760&amp;" ")-1))</f>
        <v/>
      </c>
      <c r="C760" s="58">
        <f>IF($H760="","",IFERROR(MID($H760&amp;" ",FIND("|",SUBSTITUTE($H760&amp;" "," ","|",1))+1,FIND("|",SUBSTITUTE($H760&amp;" "," ","|",2))-FIND("|",SUBSTITUTE($H760&amp;" "," ","|",1))-1),""))</f>
        <v/>
      </c>
      <c r="D760" s="58">
        <f>IF($H760="","",IFERROR(MID($H760&amp;" ",FIND("|",SUBSTITUTE($H760&amp;" "," ","|",2))+1,FIND("|",SUBSTITUTE($H760&amp;" "," ","|",3))-FIND("|",SUBSTITUTE($H760&amp;" "," ","|",2))-1),""))</f>
        <v/>
      </c>
      <c r="E760" s="58">
        <f>IF($H760="","",IFERROR(MID($H760&amp;" ",FIND("|",SUBSTITUTE($H760&amp;" "," ","|",3))+1,FIND("|",SUBSTITUTE($H760&amp;" "," ","|",4))-FIND("|",SUBSTITUTE($H760&amp;" "," ","|",3))-1),""))</f>
        <v/>
      </c>
      <c r="F760" s="59">
        <f>IF($H760="","",IFERROR(VALUE(IFERROR(MID($H760&amp;" ",FIND("|",SUBSTITUTE($H760&amp;" "," ","|",4))+1,FIND("|",SUBSTITUTE($H760&amp;" "," ","|",5))-FIND("|",SUBSTITUTE($H760&amp;" "," ","|",4))-1),""))/86400+25569+9/24,""))</f>
        <v/>
      </c>
      <c r="G760" s="58">
        <f>TRIM(SUBSTITUTE(SUBSTITUTE(SUBSTITUTE($A760,CHAR(9)," ")," "," "),CHAR(13),""))</f>
        <v/>
      </c>
      <c r="H760" s="58">
        <f>IF($G760="","",IF(ISNUMBER(FIND(" ",$G760)),$G760,IFERROR(IF((LEN(SUBSTITUTE(SUBSTITUTE($G760,"-"," ",LEN($G760)-LEN(SUBSTITUTE($G760,"-",""))),"-"," ",LEN($G760)-LEN(SUBSTITUTE($G760,"-",""))-1))-LEN(SUBSTITUTE(SUBSTITUTE(SUBSTITUTE($G760,"-"," ",LEN($G760)-LEN(SUBSTITUTE($G760,"-",""))),"-"," ",LEN($G760)-LEN(SUBSTITUTE($G760,"-",""))-1),".","")))=0,SUBSTITUTE(SUBSTITUTE($G760,"-"," ",LEN($G760)-LEN(SUBSTITUTE($G760,"-",""))),"-"," ",LEN($G760)-LEN(SUBSTITUTE($G760,"-",""))-1),SUBSTITUTE(SUBSTITUTE(SUBSTITUTE($G760,"-"," ",LEN($G760)-LEN(SUBSTITUTE($G760,"-",""))),"-"," ",LEN($G760)-LEN(SUBSTITUTE($G760,"-",""))-1),"."," ",(LEN(SUBSTITUTE(SUBSTITUTE($G760,"-"," ",LEN($G760)-LEN(SUBSTITUTE($G760,"-",""))),"-"," ",LEN($G760)-LEN(SUBSTITUTE($G760,"-",""))-1))-LEN(SUBSTITUTE(SUBSTITUTE(SUBSTITUTE($G760,"-"," ",LEN($G760)-LEN(SUBSTITUTE($G760,"-",""))),"-"," ",LEN($G760)-LEN(SUBSTITUTE($G760,"-",""))-1),".",""))))),$G760)))</f>
        <v/>
      </c>
    </row>
    <row r="761">
      <c r="A761" s="58" t="n"/>
      <c r="B761" s="58">
        <f>IF($H761="","",LEFT($H761,FIND(" ",$H761&amp;" ")-1))</f>
        <v/>
      </c>
      <c r="C761" s="58">
        <f>IF($H761="","",IFERROR(MID($H761&amp;" ",FIND("|",SUBSTITUTE($H761&amp;" "," ","|",1))+1,FIND("|",SUBSTITUTE($H761&amp;" "," ","|",2))-FIND("|",SUBSTITUTE($H761&amp;" "," ","|",1))-1),""))</f>
        <v/>
      </c>
      <c r="D761" s="58">
        <f>IF($H761="","",IFERROR(MID($H761&amp;" ",FIND("|",SUBSTITUTE($H761&amp;" "," ","|",2))+1,FIND("|",SUBSTITUTE($H761&amp;" "," ","|",3))-FIND("|",SUBSTITUTE($H761&amp;" "," ","|",2))-1),""))</f>
        <v/>
      </c>
      <c r="E761" s="58">
        <f>IF($H761="","",IFERROR(MID($H761&amp;" ",FIND("|",SUBSTITUTE($H761&amp;" "," ","|",3))+1,FIND("|",SUBSTITUTE($H761&amp;" "," ","|",4))-FIND("|",SUBSTITUTE($H761&amp;" "," ","|",3))-1),""))</f>
        <v/>
      </c>
      <c r="F761" s="59">
        <f>IF($H761="","",IFERROR(VALUE(IFERROR(MID($H761&amp;" ",FIND("|",SUBSTITUTE($H761&amp;" "," ","|",4))+1,FIND("|",SUBSTITUTE($H761&amp;" "," ","|",5))-FIND("|",SUBSTITUTE($H761&amp;" "," ","|",4))-1),""))/86400+25569+9/24,""))</f>
        <v/>
      </c>
      <c r="G761" s="58">
        <f>TRIM(SUBSTITUTE(SUBSTITUTE(SUBSTITUTE($A761,CHAR(9)," ")," "," "),CHAR(13),""))</f>
        <v/>
      </c>
      <c r="H761" s="58">
        <f>IF($G761="","",IF(ISNUMBER(FIND(" ",$G761)),$G761,IFERROR(IF((LEN(SUBSTITUTE(SUBSTITUTE($G761,"-"," ",LEN($G761)-LEN(SUBSTITUTE($G761,"-",""))),"-"," ",LEN($G761)-LEN(SUBSTITUTE($G761,"-",""))-1))-LEN(SUBSTITUTE(SUBSTITUTE(SUBSTITUTE($G761,"-"," ",LEN($G761)-LEN(SUBSTITUTE($G761,"-",""))),"-"," ",LEN($G761)-LEN(SUBSTITUTE($G761,"-",""))-1),".","")))=0,SUBSTITUTE(SUBSTITUTE($G761,"-"," ",LEN($G761)-LEN(SUBSTITUTE($G761,"-",""))),"-"," ",LEN($G761)-LEN(SUBSTITUTE($G761,"-",""))-1),SUBSTITUTE(SUBSTITUTE(SUBSTITUTE($G761,"-"," ",LEN($G761)-LEN(SUBSTITUTE($G761,"-",""))),"-"," ",LEN($G761)-LEN(SUBSTITUTE($G761,"-",""))-1),"."," ",(LEN(SUBSTITUTE(SUBSTITUTE($G761,"-"," ",LEN($G761)-LEN(SUBSTITUTE($G761,"-",""))),"-"," ",LEN($G761)-LEN(SUBSTITUTE($G761,"-",""))-1))-LEN(SUBSTITUTE(SUBSTITUTE(SUBSTITUTE($G761,"-"," ",LEN($G761)-LEN(SUBSTITUTE($G761,"-",""))),"-"," ",LEN($G761)-LEN(SUBSTITUTE($G761,"-",""))-1),".",""))))),$G761)))</f>
        <v/>
      </c>
    </row>
    <row r="762">
      <c r="A762" s="58" t="n"/>
      <c r="B762" s="58">
        <f>IF($H762="","",LEFT($H762,FIND(" ",$H762&amp;" ")-1))</f>
        <v/>
      </c>
      <c r="C762" s="58">
        <f>IF($H762="","",IFERROR(MID($H762&amp;" ",FIND("|",SUBSTITUTE($H762&amp;" "," ","|",1))+1,FIND("|",SUBSTITUTE($H762&amp;" "," ","|",2))-FIND("|",SUBSTITUTE($H762&amp;" "," ","|",1))-1),""))</f>
        <v/>
      </c>
      <c r="D762" s="58">
        <f>IF($H762="","",IFERROR(MID($H762&amp;" ",FIND("|",SUBSTITUTE($H762&amp;" "," ","|",2))+1,FIND("|",SUBSTITUTE($H762&amp;" "," ","|",3))-FIND("|",SUBSTITUTE($H762&amp;" "," ","|",2))-1),""))</f>
        <v/>
      </c>
      <c r="E762" s="58">
        <f>IF($H762="","",IFERROR(MID($H762&amp;" ",FIND("|",SUBSTITUTE($H762&amp;" "," ","|",3))+1,FIND("|",SUBSTITUTE($H762&amp;" "," ","|",4))-FIND("|",SUBSTITUTE($H762&amp;" "," ","|",3))-1),""))</f>
        <v/>
      </c>
      <c r="F762" s="59">
        <f>IF($H762="","",IFERROR(VALUE(IFERROR(MID($H762&amp;" ",FIND("|",SUBSTITUTE($H762&amp;" "," ","|",4))+1,FIND("|",SUBSTITUTE($H762&amp;" "," ","|",5))-FIND("|",SUBSTITUTE($H762&amp;" "," ","|",4))-1),""))/86400+25569+9/24,""))</f>
        <v/>
      </c>
      <c r="G762" s="58">
        <f>TRIM(SUBSTITUTE(SUBSTITUTE(SUBSTITUTE($A762,CHAR(9)," ")," "," "),CHAR(13),""))</f>
        <v/>
      </c>
      <c r="H762" s="58">
        <f>IF($G762="","",IF(ISNUMBER(FIND(" ",$G762)),$G762,IFERROR(IF((LEN(SUBSTITUTE(SUBSTITUTE($G762,"-"," ",LEN($G762)-LEN(SUBSTITUTE($G762,"-",""))),"-"," ",LEN($G762)-LEN(SUBSTITUTE($G762,"-",""))-1))-LEN(SUBSTITUTE(SUBSTITUTE(SUBSTITUTE($G762,"-"," ",LEN($G762)-LEN(SUBSTITUTE($G762,"-",""))),"-"," ",LEN($G762)-LEN(SUBSTITUTE($G762,"-",""))-1),".","")))=0,SUBSTITUTE(SUBSTITUTE($G762,"-"," ",LEN($G762)-LEN(SUBSTITUTE($G762,"-",""))),"-"," ",LEN($G762)-LEN(SUBSTITUTE($G762,"-",""))-1),SUBSTITUTE(SUBSTITUTE(SUBSTITUTE($G762,"-"," ",LEN($G762)-LEN(SUBSTITUTE($G762,"-",""))),"-"," ",LEN($G762)-LEN(SUBSTITUTE($G762,"-",""))-1),"."," ",(LEN(SUBSTITUTE(SUBSTITUTE($G762,"-"," ",LEN($G762)-LEN(SUBSTITUTE($G762,"-",""))),"-"," ",LEN($G762)-LEN(SUBSTITUTE($G762,"-",""))-1))-LEN(SUBSTITUTE(SUBSTITUTE(SUBSTITUTE($G762,"-"," ",LEN($G762)-LEN(SUBSTITUTE($G762,"-",""))),"-"," ",LEN($G762)-LEN(SUBSTITUTE($G762,"-",""))-1),".",""))))),$G762)))</f>
        <v/>
      </c>
    </row>
    <row r="763">
      <c r="A763" s="58" t="n"/>
      <c r="B763" s="58">
        <f>IF($H763="","",LEFT($H763,FIND(" ",$H763&amp;" ")-1))</f>
        <v/>
      </c>
      <c r="C763" s="58">
        <f>IF($H763="","",IFERROR(MID($H763&amp;" ",FIND("|",SUBSTITUTE($H763&amp;" "," ","|",1))+1,FIND("|",SUBSTITUTE($H763&amp;" "," ","|",2))-FIND("|",SUBSTITUTE($H763&amp;" "," ","|",1))-1),""))</f>
        <v/>
      </c>
      <c r="D763" s="58">
        <f>IF($H763="","",IFERROR(MID($H763&amp;" ",FIND("|",SUBSTITUTE($H763&amp;" "," ","|",2))+1,FIND("|",SUBSTITUTE($H763&amp;" "," ","|",3))-FIND("|",SUBSTITUTE($H763&amp;" "," ","|",2))-1),""))</f>
        <v/>
      </c>
      <c r="E763" s="58">
        <f>IF($H763="","",IFERROR(MID($H763&amp;" ",FIND("|",SUBSTITUTE($H763&amp;" "," ","|",3))+1,FIND("|",SUBSTITUTE($H763&amp;" "," ","|",4))-FIND("|",SUBSTITUTE($H763&amp;" "," ","|",3))-1),""))</f>
        <v/>
      </c>
      <c r="F763" s="59">
        <f>IF($H763="","",IFERROR(VALUE(IFERROR(MID($H763&amp;" ",FIND("|",SUBSTITUTE($H763&amp;" "," ","|",4))+1,FIND("|",SUBSTITUTE($H763&amp;" "," ","|",5))-FIND("|",SUBSTITUTE($H763&amp;" "," ","|",4))-1),""))/86400+25569+9/24,""))</f>
        <v/>
      </c>
      <c r="G763" s="58">
        <f>TRIM(SUBSTITUTE(SUBSTITUTE(SUBSTITUTE($A763,CHAR(9)," ")," "," "),CHAR(13),""))</f>
        <v/>
      </c>
      <c r="H763" s="58">
        <f>IF($G763="","",IF(ISNUMBER(FIND(" ",$G763)),$G763,IFERROR(IF((LEN(SUBSTITUTE(SUBSTITUTE($G763,"-"," ",LEN($G763)-LEN(SUBSTITUTE($G763,"-",""))),"-"," ",LEN($G763)-LEN(SUBSTITUTE($G763,"-",""))-1))-LEN(SUBSTITUTE(SUBSTITUTE(SUBSTITUTE($G763,"-"," ",LEN($G763)-LEN(SUBSTITUTE($G763,"-",""))),"-"," ",LEN($G763)-LEN(SUBSTITUTE($G763,"-",""))-1),".","")))=0,SUBSTITUTE(SUBSTITUTE($G763,"-"," ",LEN($G763)-LEN(SUBSTITUTE($G763,"-",""))),"-"," ",LEN($G763)-LEN(SUBSTITUTE($G763,"-",""))-1),SUBSTITUTE(SUBSTITUTE(SUBSTITUTE($G763,"-"," ",LEN($G763)-LEN(SUBSTITUTE($G763,"-",""))),"-"," ",LEN($G763)-LEN(SUBSTITUTE($G763,"-",""))-1),"."," ",(LEN(SUBSTITUTE(SUBSTITUTE($G763,"-"," ",LEN($G763)-LEN(SUBSTITUTE($G763,"-",""))),"-"," ",LEN($G763)-LEN(SUBSTITUTE($G763,"-",""))-1))-LEN(SUBSTITUTE(SUBSTITUTE(SUBSTITUTE($G763,"-"," ",LEN($G763)-LEN(SUBSTITUTE($G763,"-",""))),"-"," ",LEN($G763)-LEN(SUBSTITUTE($G763,"-",""))-1),".",""))))),$G763)))</f>
        <v/>
      </c>
    </row>
    <row r="764">
      <c r="A764" s="58" t="n"/>
      <c r="B764" s="58">
        <f>IF($H764="","",LEFT($H764,FIND(" ",$H764&amp;" ")-1))</f>
        <v/>
      </c>
      <c r="C764" s="58">
        <f>IF($H764="","",IFERROR(MID($H764&amp;" ",FIND("|",SUBSTITUTE($H764&amp;" "," ","|",1))+1,FIND("|",SUBSTITUTE($H764&amp;" "," ","|",2))-FIND("|",SUBSTITUTE($H764&amp;" "," ","|",1))-1),""))</f>
        <v/>
      </c>
      <c r="D764" s="58">
        <f>IF($H764="","",IFERROR(MID($H764&amp;" ",FIND("|",SUBSTITUTE($H764&amp;" "," ","|",2))+1,FIND("|",SUBSTITUTE($H764&amp;" "," ","|",3))-FIND("|",SUBSTITUTE($H764&amp;" "," ","|",2))-1),""))</f>
        <v/>
      </c>
      <c r="E764" s="58">
        <f>IF($H764="","",IFERROR(MID($H764&amp;" ",FIND("|",SUBSTITUTE($H764&amp;" "," ","|",3))+1,FIND("|",SUBSTITUTE($H764&amp;" "," ","|",4))-FIND("|",SUBSTITUTE($H764&amp;" "," ","|",3))-1),""))</f>
        <v/>
      </c>
      <c r="F764" s="59">
        <f>IF($H764="","",IFERROR(VALUE(IFERROR(MID($H764&amp;" ",FIND("|",SUBSTITUTE($H764&amp;" "," ","|",4))+1,FIND("|",SUBSTITUTE($H764&amp;" "," ","|",5))-FIND("|",SUBSTITUTE($H764&amp;" "," ","|",4))-1),""))/86400+25569+9/24,""))</f>
        <v/>
      </c>
      <c r="G764" s="58">
        <f>TRIM(SUBSTITUTE(SUBSTITUTE(SUBSTITUTE($A764,CHAR(9)," ")," "," "),CHAR(13),""))</f>
        <v/>
      </c>
      <c r="H764" s="58">
        <f>IF($G764="","",IF(ISNUMBER(FIND(" ",$G764)),$G764,IFERROR(IF((LEN(SUBSTITUTE(SUBSTITUTE($G764,"-"," ",LEN($G764)-LEN(SUBSTITUTE($G764,"-",""))),"-"," ",LEN($G764)-LEN(SUBSTITUTE($G764,"-",""))-1))-LEN(SUBSTITUTE(SUBSTITUTE(SUBSTITUTE($G764,"-"," ",LEN($G764)-LEN(SUBSTITUTE($G764,"-",""))),"-"," ",LEN($G764)-LEN(SUBSTITUTE($G764,"-",""))-1),".","")))=0,SUBSTITUTE(SUBSTITUTE($G764,"-"," ",LEN($G764)-LEN(SUBSTITUTE($G764,"-",""))),"-"," ",LEN($G764)-LEN(SUBSTITUTE($G764,"-",""))-1),SUBSTITUTE(SUBSTITUTE(SUBSTITUTE($G764,"-"," ",LEN($G764)-LEN(SUBSTITUTE($G764,"-",""))),"-"," ",LEN($G764)-LEN(SUBSTITUTE($G764,"-",""))-1),"."," ",(LEN(SUBSTITUTE(SUBSTITUTE($G764,"-"," ",LEN($G764)-LEN(SUBSTITUTE($G764,"-",""))),"-"," ",LEN($G764)-LEN(SUBSTITUTE($G764,"-",""))-1))-LEN(SUBSTITUTE(SUBSTITUTE(SUBSTITUTE($G764,"-"," ",LEN($G764)-LEN(SUBSTITUTE($G764,"-",""))),"-"," ",LEN($G764)-LEN(SUBSTITUTE($G764,"-",""))-1),".",""))))),$G764)))</f>
        <v/>
      </c>
    </row>
    <row r="765">
      <c r="A765" s="58" t="n"/>
      <c r="B765" s="58">
        <f>IF($H765="","",LEFT($H765,FIND(" ",$H765&amp;" ")-1))</f>
        <v/>
      </c>
      <c r="C765" s="58">
        <f>IF($H765="","",IFERROR(MID($H765&amp;" ",FIND("|",SUBSTITUTE($H765&amp;" "," ","|",1))+1,FIND("|",SUBSTITUTE($H765&amp;" "," ","|",2))-FIND("|",SUBSTITUTE($H765&amp;" "," ","|",1))-1),""))</f>
        <v/>
      </c>
      <c r="D765" s="58">
        <f>IF($H765="","",IFERROR(MID($H765&amp;" ",FIND("|",SUBSTITUTE($H765&amp;" "," ","|",2))+1,FIND("|",SUBSTITUTE($H765&amp;" "," ","|",3))-FIND("|",SUBSTITUTE($H765&amp;" "," ","|",2))-1),""))</f>
        <v/>
      </c>
      <c r="E765" s="58">
        <f>IF($H765="","",IFERROR(MID($H765&amp;" ",FIND("|",SUBSTITUTE($H765&amp;" "," ","|",3))+1,FIND("|",SUBSTITUTE($H765&amp;" "," ","|",4))-FIND("|",SUBSTITUTE($H765&amp;" "," ","|",3))-1),""))</f>
        <v/>
      </c>
      <c r="F765" s="59">
        <f>IF($H765="","",IFERROR(VALUE(IFERROR(MID($H765&amp;" ",FIND("|",SUBSTITUTE($H765&amp;" "," ","|",4))+1,FIND("|",SUBSTITUTE($H765&amp;" "," ","|",5))-FIND("|",SUBSTITUTE($H765&amp;" "," ","|",4))-1),""))/86400+25569+9/24,""))</f>
        <v/>
      </c>
      <c r="G765" s="58">
        <f>TRIM(SUBSTITUTE(SUBSTITUTE(SUBSTITUTE($A765,CHAR(9)," ")," "," "),CHAR(13),""))</f>
        <v/>
      </c>
      <c r="H765" s="58">
        <f>IF($G765="","",IF(ISNUMBER(FIND(" ",$G765)),$G765,IFERROR(IF((LEN(SUBSTITUTE(SUBSTITUTE($G765,"-"," ",LEN($G765)-LEN(SUBSTITUTE($G765,"-",""))),"-"," ",LEN($G765)-LEN(SUBSTITUTE($G765,"-",""))-1))-LEN(SUBSTITUTE(SUBSTITUTE(SUBSTITUTE($G765,"-"," ",LEN($G765)-LEN(SUBSTITUTE($G765,"-",""))),"-"," ",LEN($G765)-LEN(SUBSTITUTE($G765,"-",""))-1),".","")))=0,SUBSTITUTE(SUBSTITUTE($G765,"-"," ",LEN($G765)-LEN(SUBSTITUTE($G765,"-",""))),"-"," ",LEN($G765)-LEN(SUBSTITUTE($G765,"-",""))-1),SUBSTITUTE(SUBSTITUTE(SUBSTITUTE($G765,"-"," ",LEN($G765)-LEN(SUBSTITUTE($G765,"-",""))),"-"," ",LEN($G765)-LEN(SUBSTITUTE($G765,"-",""))-1),"."," ",(LEN(SUBSTITUTE(SUBSTITUTE($G765,"-"," ",LEN($G765)-LEN(SUBSTITUTE($G765,"-",""))),"-"," ",LEN($G765)-LEN(SUBSTITUTE($G765,"-",""))-1))-LEN(SUBSTITUTE(SUBSTITUTE(SUBSTITUTE($G765,"-"," ",LEN($G765)-LEN(SUBSTITUTE($G765,"-",""))),"-"," ",LEN($G765)-LEN(SUBSTITUTE($G765,"-",""))-1),".",""))))),$G765)))</f>
        <v/>
      </c>
    </row>
    <row r="766">
      <c r="A766" s="58" t="n"/>
      <c r="B766" s="58">
        <f>IF($H766="","",LEFT($H766,FIND(" ",$H766&amp;" ")-1))</f>
        <v/>
      </c>
      <c r="C766" s="58">
        <f>IF($H766="","",IFERROR(MID($H766&amp;" ",FIND("|",SUBSTITUTE($H766&amp;" "," ","|",1))+1,FIND("|",SUBSTITUTE($H766&amp;" "," ","|",2))-FIND("|",SUBSTITUTE($H766&amp;" "," ","|",1))-1),""))</f>
        <v/>
      </c>
      <c r="D766" s="58">
        <f>IF($H766="","",IFERROR(MID($H766&amp;" ",FIND("|",SUBSTITUTE($H766&amp;" "," ","|",2))+1,FIND("|",SUBSTITUTE($H766&amp;" "," ","|",3))-FIND("|",SUBSTITUTE($H766&amp;" "," ","|",2))-1),""))</f>
        <v/>
      </c>
      <c r="E766" s="58">
        <f>IF($H766="","",IFERROR(MID($H766&amp;" ",FIND("|",SUBSTITUTE($H766&amp;" "," ","|",3))+1,FIND("|",SUBSTITUTE($H766&amp;" "," ","|",4))-FIND("|",SUBSTITUTE($H766&amp;" "," ","|",3))-1),""))</f>
        <v/>
      </c>
      <c r="F766" s="59">
        <f>IF($H766="","",IFERROR(VALUE(IFERROR(MID($H766&amp;" ",FIND("|",SUBSTITUTE($H766&amp;" "," ","|",4))+1,FIND("|",SUBSTITUTE($H766&amp;" "," ","|",5))-FIND("|",SUBSTITUTE($H766&amp;" "," ","|",4))-1),""))/86400+25569+9/24,""))</f>
        <v/>
      </c>
      <c r="G766" s="58">
        <f>TRIM(SUBSTITUTE(SUBSTITUTE(SUBSTITUTE($A766,CHAR(9)," ")," "," "),CHAR(13),""))</f>
        <v/>
      </c>
      <c r="H766" s="58">
        <f>IF($G766="","",IF(ISNUMBER(FIND(" ",$G766)),$G766,IFERROR(IF((LEN(SUBSTITUTE(SUBSTITUTE($G766,"-"," ",LEN($G766)-LEN(SUBSTITUTE($G766,"-",""))),"-"," ",LEN($G766)-LEN(SUBSTITUTE($G766,"-",""))-1))-LEN(SUBSTITUTE(SUBSTITUTE(SUBSTITUTE($G766,"-"," ",LEN($G766)-LEN(SUBSTITUTE($G766,"-",""))),"-"," ",LEN($G766)-LEN(SUBSTITUTE($G766,"-",""))-1),".","")))=0,SUBSTITUTE(SUBSTITUTE($G766,"-"," ",LEN($G766)-LEN(SUBSTITUTE($G766,"-",""))),"-"," ",LEN($G766)-LEN(SUBSTITUTE($G766,"-",""))-1),SUBSTITUTE(SUBSTITUTE(SUBSTITUTE($G766,"-"," ",LEN($G766)-LEN(SUBSTITUTE($G766,"-",""))),"-"," ",LEN($G766)-LEN(SUBSTITUTE($G766,"-",""))-1),"."," ",(LEN(SUBSTITUTE(SUBSTITUTE($G766,"-"," ",LEN($G766)-LEN(SUBSTITUTE($G766,"-",""))),"-"," ",LEN($G766)-LEN(SUBSTITUTE($G766,"-",""))-1))-LEN(SUBSTITUTE(SUBSTITUTE(SUBSTITUTE($G766,"-"," ",LEN($G766)-LEN(SUBSTITUTE($G766,"-",""))),"-"," ",LEN($G766)-LEN(SUBSTITUTE($G766,"-",""))-1),".",""))))),$G766)))</f>
        <v/>
      </c>
    </row>
    <row r="767">
      <c r="A767" s="58" t="n"/>
      <c r="B767" s="58">
        <f>IF($H767="","",LEFT($H767,FIND(" ",$H767&amp;" ")-1))</f>
        <v/>
      </c>
      <c r="C767" s="58">
        <f>IF($H767="","",IFERROR(MID($H767&amp;" ",FIND("|",SUBSTITUTE($H767&amp;" "," ","|",1))+1,FIND("|",SUBSTITUTE($H767&amp;" "," ","|",2))-FIND("|",SUBSTITUTE($H767&amp;" "," ","|",1))-1),""))</f>
        <v/>
      </c>
      <c r="D767" s="58">
        <f>IF($H767="","",IFERROR(MID($H767&amp;" ",FIND("|",SUBSTITUTE($H767&amp;" "," ","|",2))+1,FIND("|",SUBSTITUTE($H767&amp;" "," ","|",3))-FIND("|",SUBSTITUTE($H767&amp;" "," ","|",2))-1),""))</f>
        <v/>
      </c>
      <c r="E767" s="58">
        <f>IF($H767="","",IFERROR(MID($H767&amp;" ",FIND("|",SUBSTITUTE($H767&amp;" "," ","|",3))+1,FIND("|",SUBSTITUTE($H767&amp;" "," ","|",4))-FIND("|",SUBSTITUTE($H767&amp;" "," ","|",3))-1),""))</f>
        <v/>
      </c>
      <c r="F767" s="59">
        <f>IF($H767="","",IFERROR(VALUE(IFERROR(MID($H767&amp;" ",FIND("|",SUBSTITUTE($H767&amp;" "," ","|",4))+1,FIND("|",SUBSTITUTE($H767&amp;" "," ","|",5))-FIND("|",SUBSTITUTE($H767&amp;" "," ","|",4))-1),""))/86400+25569+9/24,""))</f>
        <v/>
      </c>
      <c r="G767" s="58">
        <f>TRIM(SUBSTITUTE(SUBSTITUTE(SUBSTITUTE($A767,CHAR(9)," ")," "," "),CHAR(13),""))</f>
        <v/>
      </c>
      <c r="H767" s="58">
        <f>IF($G767="","",IF(ISNUMBER(FIND(" ",$G767)),$G767,IFERROR(IF((LEN(SUBSTITUTE(SUBSTITUTE($G767,"-"," ",LEN($G767)-LEN(SUBSTITUTE($G767,"-",""))),"-"," ",LEN($G767)-LEN(SUBSTITUTE($G767,"-",""))-1))-LEN(SUBSTITUTE(SUBSTITUTE(SUBSTITUTE($G767,"-"," ",LEN($G767)-LEN(SUBSTITUTE($G767,"-",""))),"-"," ",LEN($G767)-LEN(SUBSTITUTE($G767,"-",""))-1),".","")))=0,SUBSTITUTE(SUBSTITUTE($G767,"-"," ",LEN($G767)-LEN(SUBSTITUTE($G767,"-",""))),"-"," ",LEN($G767)-LEN(SUBSTITUTE($G767,"-",""))-1),SUBSTITUTE(SUBSTITUTE(SUBSTITUTE($G767,"-"," ",LEN($G767)-LEN(SUBSTITUTE($G767,"-",""))),"-"," ",LEN($G767)-LEN(SUBSTITUTE($G767,"-",""))-1),"."," ",(LEN(SUBSTITUTE(SUBSTITUTE($G767,"-"," ",LEN($G767)-LEN(SUBSTITUTE($G767,"-",""))),"-"," ",LEN($G767)-LEN(SUBSTITUTE($G767,"-",""))-1))-LEN(SUBSTITUTE(SUBSTITUTE(SUBSTITUTE($G767,"-"," ",LEN($G767)-LEN(SUBSTITUTE($G767,"-",""))),"-"," ",LEN($G767)-LEN(SUBSTITUTE($G767,"-",""))-1),".",""))))),$G767)))</f>
        <v/>
      </c>
    </row>
    <row r="768">
      <c r="A768" s="58" t="n"/>
      <c r="B768" s="58">
        <f>IF($H768="","",LEFT($H768,FIND(" ",$H768&amp;" ")-1))</f>
        <v/>
      </c>
      <c r="C768" s="58">
        <f>IF($H768="","",IFERROR(MID($H768&amp;" ",FIND("|",SUBSTITUTE($H768&amp;" "," ","|",1))+1,FIND("|",SUBSTITUTE($H768&amp;" "," ","|",2))-FIND("|",SUBSTITUTE($H768&amp;" "," ","|",1))-1),""))</f>
        <v/>
      </c>
      <c r="D768" s="58">
        <f>IF($H768="","",IFERROR(MID($H768&amp;" ",FIND("|",SUBSTITUTE($H768&amp;" "," ","|",2))+1,FIND("|",SUBSTITUTE($H768&amp;" "," ","|",3))-FIND("|",SUBSTITUTE($H768&amp;" "," ","|",2))-1),""))</f>
        <v/>
      </c>
      <c r="E768" s="58">
        <f>IF($H768="","",IFERROR(MID($H768&amp;" ",FIND("|",SUBSTITUTE($H768&amp;" "," ","|",3))+1,FIND("|",SUBSTITUTE($H768&amp;" "," ","|",4))-FIND("|",SUBSTITUTE($H768&amp;" "," ","|",3))-1),""))</f>
        <v/>
      </c>
      <c r="F768" s="59">
        <f>IF($H768="","",IFERROR(VALUE(IFERROR(MID($H768&amp;" ",FIND("|",SUBSTITUTE($H768&amp;" "," ","|",4))+1,FIND("|",SUBSTITUTE($H768&amp;" "," ","|",5))-FIND("|",SUBSTITUTE($H768&amp;" "," ","|",4))-1),""))/86400+25569+9/24,""))</f>
        <v/>
      </c>
      <c r="G768" s="58">
        <f>TRIM(SUBSTITUTE(SUBSTITUTE(SUBSTITUTE($A768,CHAR(9)," ")," "," "),CHAR(13),""))</f>
        <v/>
      </c>
      <c r="H768" s="58">
        <f>IF($G768="","",IF(ISNUMBER(FIND(" ",$G768)),$G768,IFERROR(IF((LEN(SUBSTITUTE(SUBSTITUTE($G768,"-"," ",LEN($G768)-LEN(SUBSTITUTE($G768,"-",""))),"-"," ",LEN($G768)-LEN(SUBSTITUTE($G768,"-",""))-1))-LEN(SUBSTITUTE(SUBSTITUTE(SUBSTITUTE($G768,"-"," ",LEN($G768)-LEN(SUBSTITUTE($G768,"-",""))),"-"," ",LEN($G768)-LEN(SUBSTITUTE($G768,"-",""))-1),".","")))=0,SUBSTITUTE(SUBSTITUTE($G768,"-"," ",LEN($G768)-LEN(SUBSTITUTE($G768,"-",""))),"-"," ",LEN($G768)-LEN(SUBSTITUTE($G768,"-",""))-1),SUBSTITUTE(SUBSTITUTE(SUBSTITUTE($G768,"-"," ",LEN($G768)-LEN(SUBSTITUTE($G768,"-",""))),"-"," ",LEN($G768)-LEN(SUBSTITUTE($G768,"-",""))-1),"."," ",(LEN(SUBSTITUTE(SUBSTITUTE($G768,"-"," ",LEN($G768)-LEN(SUBSTITUTE($G768,"-",""))),"-"," ",LEN($G768)-LEN(SUBSTITUTE($G768,"-",""))-1))-LEN(SUBSTITUTE(SUBSTITUTE(SUBSTITUTE($G768,"-"," ",LEN($G768)-LEN(SUBSTITUTE($G768,"-",""))),"-"," ",LEN($G768)-LEN(SUBSTITUTE($G768,"-",""))-1),".",""))))),$G768)))</f>
        <v/>
      </c>
    </row>
    <row r="769">
      <c r="A769" s="58" t="n"/>
      <c r="B769" s="58">
        <f>IF($H769="","",LEFT($H769,FIND(" ",$H769&amp;" ")-1))</f>
        <v/>
      </c>
      <c r="C769" s="58">
        <f>IF($H769="","",IFERROR(MID($H769&amp;" ",FIND("|",SUBSTITUTE($H769&amp;" "," ","|",1))+1,FIND("|",SUBSTITUTE($H769&amp;" "," ","|",2))-FIND("|",SUBSTITUTE($H769&amp;" "," ","|",1))-1),""))</f>
        <v/>
      </c>
      <c r="D769" s="58">
        <f>IF($H769="","",IFERROR(MID($H769&amp;" ",FIND("|",SUBSTITUTE($H769&amp;" "," ","|",2))+1,FIND("|",SUBSTITUTE($H769&amp;" "," ","|",3))-FIND("|",SUBSTITUTE($H769&amp;" "," ","|",2))-1),""))</f>
        <v/>
      </c>
      <c r="E769" s="58">
        <f>IF($H769="","",IFERROR(MID($H769&amp;" ",FIND("|",SUBSTITUTE($H769&amp;" "," ","|",3))+1,FIND("|",SUBSTITUTE($H769&amp;" "," ","|",4))-FIND("|",SUBSTITUTE($H769&amp;" "," ","|",3))-1),""))</f>
        <v/>
      </c>
      <c r="F769" s="59">
        <f>IF($H769="","",IFERROR(VALUE(IFERROR(MID($H769&amp;" ",FIND("|",SUBSTITUTE($H769&amp;" "," ","|",4))+1,FIND("|",SUBSTITUTE($H769&amp;" "," ","|",5))-FIND("|",SUBSTITUTE($H769&amp;" "," ","|",4))-1),""))/86400+25569+9/24,""))</f>
        <v/>
      </c>
      <c r="G769" s="58">
        <f>TRIM(SUBSTITUTE(SUBSTITUTE(SUBSTITUTE($A769,CHAR(9)," ")," "," "),CHAR(13),""))</f>
        <v/>
      </c>
      <c r="H769" s="58">
        <f>IF($G769="","",IF(ISNUMBER(FIND(" ",$G769)),$G769,IFERROR(IF((LEN(SUBSTITUTE(SUBSTITUTE($G769,"-"," ",LEN($G769)-LEN(SUBSTITUTE($G769,"-",""))),"-"," ",LEN($G769)-LEN(SUBSTITUTE($G769,"-",""))-1))-LEN(SUBSTITUTE(SUBSTITUTE(SUBSTITUTE($G769,"-"," ",LEN($G769)-LEN(SUBSTITUTE($G769,"-",""))),"-"," ",LEN($G769)-LEN(SUBSTITUTE($G769,"-",""))-1),".","")))=0,SUBSTITUTE(SUBSTITUTE($G769,"-"," ",LEN($G769)-LEN(SUBSTITUTE($G769,"-",""))),"-"," ",LEN($G769)-LEN(SUBSTITUTE($G769,"-",""))-1),SUBSTITUTE(SUBSTITUTE(SUBSTITUTE($G769,"-"," ",LEN($G769)-LEN(SUBSTITUTE($G769,"-",""))),"-"," ",LEN($G769)-LEN(SUBSTITUTE($G769,"-",""))-1),"."," ",(LEN(SUBSTITUTE(SUBSTITUTE($G769,"-"," ",LEN($G769)-LEN(SUBSTITUTE($G769,"-",""))),"-"," ",LEN($G769)-LEN(SUBSTITUTE($G769,"-",""))-1))-LEN(SUBSTITUTE(SUBSTITUTE(SUBSTITUTE($G769,"-"," ",LEN($G769)-LEN(SUBSTITUTE($G769,"-",""))),"-"," ",LEN($G769)-LEN(SUBSTITUTE($G769,"-",""))-1),".",""))))),$G769)))</f>
        <v/>
      </c>
    </row>
    <row r="770">
      <c r="A770" s="58" t="n"/>
      <c r="B770" s="58">
        <f>IF($H770="","",LEFT($H770,FIND(" ",$H770&amp;" ")-1))</f>
        <v/>
      </c>
      <c r="C770" s="58">
        <f>IF($H770="","",IFERROR(MID($H770&amp;" ",FIND("|",SUBSTITUTE($H770&amp;" "," ","|",1))+1,FIND("|",SUBSTITUTE($H770&amp;" "," ","|",2))-FIND("|",SUBSTITUTE($H770&amp;" "," ","|",1))-1),""))</f>
        <v/>
      </c>
      <c r="D770" s="58">
        <f>IF($H770="","",IFERROR(MID($H770&amp;" ",FIND("|",SUBSTITUTE($H770&amp;" "," ","|",2))+1,FIND("|",SUBSTITUTE($H770&amp;" "," ","|",3))-FIND("|",SUBSTITUTE($H770&amp;" "," ","|",2))-1),""))</f>
        <v/>
      </c>
      <c r="E770" s="58">
        <f>IF($H770="","",IFERROR(MID($H770&amp;" ",FIND("|",SUBSTITUTE($H770&amp;" "," ","|",3))+1,FIND("|",SUBSTITUTE($H770&amp;" "," ","|",4))-FIND("|",SUBSTITUTE($H770&amp;" "," ","|",3))-1),""))</f>
        <v/>
      </c>
      <c r="F770" s="59">
        <f>IF($H770="","",IFERROR(VALUE(IFERROR(MID($H770&amp;" ",FIND("|",SUBSTITUTE($H770&amp;" "," ","|",4))+1,FIND("|",SUBSTITUTE($H770&amp;" "," ","|",5))-FIND("|",SUBSTITUTE($H770&amp;" "," ","|",4))-1),""))/86400+25569+9/24,""))</f>
        <v/>
      </c>
      <c r="G770" s="58">
        <f>TRIM(SUBSTITUTE(SUBSTITUTE(SUBSTITUTE($A770,CHAR(9)," ")," "," "),CHAR(13),""))</f>
        <v/>
      </c>
      <c r="H770" s="58">
        <f>IF($G770="","",IF(ISNUMBER(FIND(" ",$G770)),$G770,IFERROR(IF((LEN(SUBSTITUTE(SUBSTITUTE($G770,"-"," ",LEN($G770)-LEN(SUBSTITUTE($G770,"-",""))),"-"," ",LEN($G770)-LEN(SUBSTITUTE($G770,"-",""))-1))-LEN(SUBSTITUTE(SUBSTITUTE(SUBSTITUTE($G770,"-"," ",LEN($G770)-LEN(SUBSTITUTE($G770,"-",""))),"-"," ",LEN($G770)-LEN(SUBSTITUTE($G770,"-",""))-1),".","")))=0,SUBSTITUTE(SUBSTITUTE($G770,"-"," ",LEN($G770)-LEN(SUBSTITUTE($G770,"-",""))),"-"," ",LEN($G770)-LEN(SUBSTITUTE($G770,"-",""))-1),SUBSTITUTE(SUBSTITUTE(SUBSTITUTE($G770,"-"," ",LEN($G770)-LEN(SUBSTITUTE($G770,"-",""))),"-"," ",LEN($G770)-LEN(SUBSTITUTE($G770,"-",""))-1),"."," ",(LEN(SUBSTITUTE(SUBSTITUTE($G770,"-"," ",LEN($G770)-LEN(SUBSTITUTE($G770,"-",""))),"-"," ",LEN($G770)-LEN(SUBSTITUTE($G770,"-",""))-1))-LEN(SUBSTITUTE(SUBSTITUTE(SUBSTITUTE($G770,"-"," ",LEN($G770)-LEN(SUBSTITUTE($G770,"-",""))),"-"," ",LEN($G770)-LEN(SUBSTITUTE($G770,"-",""))-1),".",""))))),$G770)))</f>
        <v/>
      </c>
    </row>
    <row r="771">
      <c r="A771" s="58" t="n"/>
      <c r="B771" s="58">
        <f>IF($H771="","",LEFT($H771,FIND(" ",$H771&amp;" ")-1))</f>
        <v/>
      </c>
      <c r="C771" s="58">
        <f>IF($H771="","",IFERROR(MID($H771&amp;" ",FIND("|",SUBSTITUTE($H771&amp;" "," ","|",1))+1,FIND("|",SUBSTITUTE($H771&amp;" "," ","|",2))-FIND("|",SUBSTITUTE($H771&amp;" "," ","|",1))-1),""))</f>
        <v/>
      </c>
      <c r="D771" s="58">
        <f>IF($H771="","",IFERROR(MID($H771&amp;" ",FIND("|",SUBSTITUTE($H771&amp;" "," ","|",2))+1,FIND("|",SUBSTITUTE($H771&amp;" "," ","|",3))-FIND("|",SUBSTITUTE($H771&amp;" "," ","|",2))-1),""))</f>
        <v/>
      </c>
      <c r="E771" s="58">
        <f>IF($H771="","",IFERROR(MID($H771&amp;" ",FIND("|",SUBSTITUTE($H771&amp;" "," ","|",3))+1,FIND("|",SUBSTITUTE($H771&amp;" "," ","|",4))-FIND("|",SUBSTITUTE($H771&amp;" "," ","|",3))-1),""))</f>
        <v/>
      </c>
      <c r="F771" s="59">
        <f>IF($H771="","",IFERROR(VALUE(IFERROR(MID($H771&amp;" ",FIND("|",SUBSTITUTE($H771&amp;" "," ","|",4))+1,FIND("|",SUBSTITUTE($H771&amp;" "," ","|",5))-FIND("|",SUBSTITUTE($H771&amp;" "," ","|",4))-1),""))/86400+25569+9/24,""))</f>
        <v/>
      </c>
      <c r="G771" s="58">
        <f>TRIM(SUBSTITUTE(SUBSTITUTE(SUBSTITUTE($A771,CHAR(9)," ")," "," "),CHAR(13),""))</f>
        <v/>
      </c>
      <c r="H771" s="58">
        <f>IF($G771="","",IF(ISNUMBER(FIND(" ",$G771)),$G771,IFERROR(IF((LEN(SUBSTITUTE(SUBSTITUTE($G771,"-"," ",LEN($G771)-LEN(SUBSTITUTE($G771,"-",""))),"-"," ",LEN($G771)-LEN(SUBSTITUTE($G771,"-",""))-1))-LEN(SUBSTITUTE(SUBSTITUTE(SUBSTITUTE($G771,"-"," ",LEN($G771)-LEN(SUBSTITUTE($G771,"-",""))),"-"," ",LEN($G771)-LEN(SUBSTITUTE($G771,"-",""))-1),".","")))=0,SUBSTITUTE(SUBSTITUTE($G771,"-"," ",LEN($G771)-LEN(SUBSTITUTE($G771,"-",""))),"-"," ",LEN($G771)-LEN(SUBSTITUTE($G771,"-",""))-1),SUBSTITUTE(SUBSTITUTE(SUBSTITUTE($G771,"-"," ",LEN($G771)-LEN(SUBSTITUTE($G771,"-",""))),"-"," ",LEN($G771)-LEN(SUBSTITUTE($G771,"-",""))-1),"."," ",(LEN(SUBSTITUTE(SUBSTITUTE($G771,"-"," ",LEN($G771)-LEN(SUBSTITUTE($G771,"-",""))),"-"," ",LEN($G771)-LEN(SUBSTITUTE($G771,"-",""))-1))-LEN(SUBSTITUTE(SUBSTITUTE(SUBSTITUTE($G771,"-"," ",LEN($G771)-LEN(SUBSTITUTE($G771,"-",""))),"-"," ",LEN($G771)-LEN(SUBSTITUTE($G771,"-",""))-1),".",""))))),$G771)))</f>
        <v/>
      </c>
    </row>
    <row r="772">
      <c r="A772" s="58" t="n"/>
      <c r="B772" s="58">
        <f>IF($H772="","",LEFT($H772,FIND(" ",$H772&amp;" ")-1))</f>
        <v/>
      </c>
      <c r="C772" s="58">
        <f>IF($H772="","",IFERROR(MID($H772&amp;" ",FIND("|",SUBSTITUTE($H772&amp;" "," ","|",1))+1,FIND("|",SUBSTITUTE($H772&amp;" "," ","|",2))-FIND("|",SUBSTITUTE($H772&amp;" "," ","|",1))-1),""))</f>
        <v/>
      </c>
      <c r="D772" s="58">
        <f>IF($H772="","",IFERROR(MID($H772&amp;" ",FIND("|",SUBSTITUTE($H772&amp;" "," ","|",2))+1,FIND("|",SUBSTITUTE($H772&amp;" "," ","|",3))-FIND("|",SUBSTITUTE($H772&amp;" "," ","|",2))-1),""))</f>
        <v/>
      </c>
      <c r="E772" s="58">
        <f>IF($H772="","",IFERROR(MID($H772&amp;" ",FIND("|",SUBSTITUTE($H772&amp;" "," ","|",3))+1,FIND("|",SUBSTITUTE($H772&amp;" "," ","|",4))-FIND("|",SUBSTITUTE($H772&amp;" "," ","|",3))-1),""))</f>
        <v/>
      </c>
      <c r="F772" s="59">
        <f>IF($H772="","",IFERROR(VALUE(IFERROR(MID($H772&amp;" ",FIND("|",SUBSTITUTE($H772&amp;" "," ","|",4))+1,FIND("|",SUBSTITUTE($H772&amp;" "," ","|",5))-FIND("|",SUBSTITUTE($H772&amp;" "," ","|",4))-1),""))/86400+25569+9/24,""))</f>
        <v/>
      </c>
      <c r="G772" s="58">
        <f>TRIM(SUBSTITUTE(SUBSTITUTE(SUBSTITUTE($A772,CHAR(9)," ")," "," "),CHAR(13),""))</f>
        <v/>
      </c>
      <c r="H772" s="58">
        <f>IF($G772="","",IF(ISNUMBER(FIND(" ",$G772)),$G772,IFERROR(IF((LEN(SUBSTITUTE(SUBSTITUTE($G772,"-"," ",LEN($G772)-LEN(SUBSTITUTE($G772,"-",""))),"-"," ",LEN($G772)-LEN(SUBSTITUTE($G772,"-",""))-1))-LEN(SUBSTITUTE(SUBSTITUTE(SUBSTITUTE($G772,"-"," ",LEN($G772)-LEN(SUBSTITUTE($G772,"-",""))),"-"," ",LEN($G772)-LEN(SUBSTITUTE($G772,"-",""))-1),".","")))=0,SUBSTITUTE(SUBSTITUTE($G772,"-"," ",LEN($G772)-LEN(SUBSTITUTE($G772,"-",""))),"-"," ",LEN($G772)-LEN(SUBSTITUTE($G772,"-",""))-1),SUBSTITUTE(SUBSTITUTE(SUBSTITUTE($G772,"-"," ",LEN($G772)-LEN(SUBSTITUTE($G772,"-",""))),"-"," ",LEN($G772)-LEN(SUBSTITUTE($G772,"-",""))-1),"."," ",(LEN(SUBSTITUTE(SUBSTITUTE($G772,"-"," ",LEN($G772)-LEN(SUBSTITUTE($G772,"-",""))),"-"," ",LEN($G772)-LEN(SUBSTITUTE($G772,"-",""))-1))-LEN(SUBSTITUTE(SUBSTITUTE(SUBSTITUTE($G772,"-"," ",LEN($G772)-LEN(SUBSTITUTE($G772,"-",""))),"-"," ",LEN($G772)-LEN(SUBSTITUTE($G772,"-",""))-1),".",""))))),$G772)))</f>
        <v/>
      </c>
    </row>
    <row r="773">
      <c r="A773" s="58" t="n"/>
      <c r="B773" s="58">
        <f>IF($H773="","",LEFT($H773,FIND(" ",$H773&amp;" ")-1))</f>
        <v/>
      </c>
      <c r="C773" s="58">
        <f>IF($H773="","",IFERROR(MID($H773&amp;" ",FIND("|",SUBSTITUTE($H773&amp;" "," ","|",1))+1,FIND("|",SUBSTITUTE($H773&amp;" "," ","|",2))-FIND("|",SUBSTITUTE($H773&amp;" "," ","|",1))-1),""))</f>
        <v/>
      </c>
      <c r="D773" s="58">
        <f>IF($H773="","",IFERROR(MID($H773&amp;" ",FIND("|",SUBSTITUTE($H773&amp;" "," ","|",2))+1,FIND("|",SUBSTITUTE($H773&amp;" "," ","|",3))-FIND("|",SUBSTITUTE($H773&amp;" "," ","|",2))-1),""))</f>
        <v/>
      </c>
      <c r="E773" s="58">
        <f>IF($H773="","",IFERROR(MID($H773&amp;" ",FIND("|",SUBSTITUTE($H773&amp;" "," ","|",3))+1,FIND("|",SUBSTITUTE($H773&amp;" "," ","|",4))-FIND("|",SUBSTITUTE($H773&amp;" "," ","|",3))-1),""))</f>
        <v/>
      </c>
      <c r="F773" s="59">
        <f>IF($H773="","",IFERROR(VALUE(IFERROR(MID($H773&amp;" ",FIND("|",SUBSTITUTE($H773&amp;" "," ","|",4))+1,FIND("|",SUBSTITUTE($H773&amp;" "," ","|",5))-FIND("|",SUBSTITUTE($H773&amp;" "," ","|",4))-1),""))/86400+25569+9/24,""))</f>
        <v/>
      </c>
      <c r="G773" s="58">
        <f>TRIM(SUBSTITUTE(SUBSTITUTE(SUBSTITUTE($A773,CHAR(9)," ")," "," "),CHAR(13),""))</f>
        <v/>
      </c>
      <c r="H773" s="58">
        <f>IF($G773="","",IF(ISNUMBER(FIND(" ",$G773)),$G773,IFERROR(IF((LEN(SUBSTITUTE(SUBSTITUTE($G773,"-"," ",LEN($G773)-LEN(SUBSTITUTE($G773,"-",""))),"-"," ",LEN($G773)-LEN(SUBSTITUTE($G773,"-",""))-1))-LEN(SUBSTITUTE(SUBSTITUTE(SUBSTITUTE($G773,"-"," ",LEN($G773)-LEN(SUBSTITUTE($G773,"-",""))),"-"," ",LEN($G773)-LEN(SUBSTITUTE($G773,"-",""))-1),".","")))=0,SUBSTITUTE(SUBSTITUTE($G773,"-"," ",LEN($G773)-LEN(SUBSTITUTE($G773,"-",""))),"-"," ",LEN($G773)-LEN(SUBSTITUTE($G773,"-",""))-1),SUBSTITUTE(SUBSTITUTE(SUBSTITUTE($G773,"-"," ",LEN($G773)-LEN(SUBSTITUTE($G773,"-",""))),"-"," ",LEN($G773)-LEN(SUBSTITUTE($G773,"-",""))-1),"."," ",(LEN(SUBSTITUTE(SUBSTITUTE($G773,"-"," ",LEN($G773)-LEN(SUBSTITUTE($G773,"-",""))),"-"," ",LEN($G773)-LEN(SUBSTITUTE($G773,"-",""))-1))-LEN(SUBSTITUTE(SUBSTITUTE(SUBSTITUTE($G773,"-"," ",LEN($G773)-LEN(SUBSTITUTE($G773,"-",""))),"-"," ",LEN($G773)-LEN(SUBSTITUTE($G773,"-",""))-1),".",""))))),$G773)))</f>
        <v/>
      </c>
    </row>
    <row r="774">
      <c r="A774" s="58" t="n"/>
      <c r="B774" s="58">
        <f>IF($H774="","",LEFT($H774,FIND(" ",$H774&amp;" ")-1))</f>
        <v/>
      </c>
      <c r="C774" s="58">
        <f>IF($H774="","",IFERROR(MID($H774&amp;" ",FIND("|",SUBSTITUTE($H774&amp;" "," ","|",1))+1,FIND("|",SUBSTITUTE($H774&amp;" "," ","|",2))-FIND("|",SUBSTITUTE($H774&amp;" "," ","|",1))-1),""))</f>
        <v/>
      </c>
      <c r="D774" s="58">
        <f>IF($H774="","",IFERROR(MID($H774&amp;" ",FIND("|",SUBSTITUTE($H774&amp;" "," ","|",2))+1,FIND("|",SUBSTITUTE($H774&amp;" "," ","|",3))-FIND("|",SUBSTITUTE($H774&amp;" "," ","|",2))-1),""))</f>
        <v/>
      </c>
      <c r="E774" s="58">
        <f>IF($H774="","",IFERROR(MID($H774&amp;" ",FIND("|",SUBSTITUTE($H774&amp;" "," ","|",3))+1,FIND("|",SUBSTITUTE($H774&amp;" "," ","|",4))-FIND("|",SUBSTITUTE($H774&amp;" "," ","|",3))-1),""))</f>
        <v/>
      </c>
      <c r="F774" s="59">
        <f>IF($H774="","",IFERROR(VALUE(IFERROR(MID($H774&amp;" ",FIND("|",SUBSTITUTE($H774&amp;" "," ","|",4))+1,FIND("|",SUBSTITUTE($H774&amp;" "," ","|",5))-FIND("|",SUBSTITUTE($H774&amp;" "," ","|",4))-1),""))/86400+25569+9/24,""))</f>
        <v/>
      </c>
      <c r="G774" s="58">
        <f>TRIM(SUBSTITUTE(SUBSTITUTE(SUBSTITUTE($A774,CHAR(9)," ")," "," "),CHAR(13),""))</f>
        <v/>
      </c>
      <c r="H774" s="58">
        <f>IF($G774="","",IF(ISNUMBER(FIND(" ",$G774)),$G774,IFERROR(IF((LEN(SUBSTITUTE(SUBSTITUTE($G774,"-"," ",LEN($G774)-LEN(SUBSTITUTE($G774,"-",""))),"-"," ",LEN($G774)-LEN(SUBSTITUTE($G774,"-",""))-1))-LEN(SUBSTITUTE(SUBSTITUTE(SUBSTITUTE($G774,"-"," ",LEN($G774)-LEN(SUBSTITUTE($G774,"-",""))),"-"," ",LEN($G774)-LEN(SUBSTITUTE($G774,"-",""))-1),".","")))=0,SUBSTITUTE(SUBSTITUTE($G774,"-"," ",LEN($G774)-LEN(SUBSTITUTE($G774,"-",""))),"-"," ",LEN($G774)-LEN(SUBSTITUTE($G774,"-",""))-1),SUBSTITUTE(SUBSTITUTE(SUBSTITUTE($G774,"-"," ",LEN($G774)-LEN(SUBSTITUTE($G774,"-",""))),"-"," ",LEN($G774)-LEN(SUBSTITUTE($G774,"-",""))-1),"."," ",(LEN(SUBSTITUTE(SUBSTITUTE($G774,"-"," ",LEN($G774)-LEN(SUBSTITUTE($G774,"-",""))),"-"," ",LEN($G774)-LEN(SUBSTITUTE($G774,"-",""))-1))-LEN(SUBSTITUTE(SUBSTITUTE(SUBSTITUTE($G774,"-"," ",LEN($G774)-LEN(SUBSTITUTE($G774,"-",""))),"-"," ",LEN($G774)-LEN(SUBSTITUTE($G774,"-",""))-1),".",""))))),$G774)))</f>
        <v/>
      </c>
    </row>
    <row r="775">
      <c r="A775" s="58" t="n"/>
      <c r="B775" s="58">
        <f>IF($H775="","",LEFT($H775,FIND(" ",$H775&amp;" ")-1))</f>
        <v/>
      </c>
      <c r="C775" s="58">
        <f>IF($H775="","",IFERROR(MID($H775&amp;" ",FIND("|",SUBSTITUTE($H775&amp;" "," ","|",1))+1,FIND("|",SUBSTITUTE($H775&amp;" "," ","|",2))-FIND("|",SUBSTITUTE($H775&amp;" "," ","|",1))-1),""))</f>
        <v/>
      </c>
      <c r="D775" s="58">
        <f>IF($H775="","",IFERROR(MID($H775&amp;" ",FIND("|",SUBSTITUTE($H775&amp;" "," ","|",2))+1,FIND("|",SUBSTITUTE($H775&amp;" "," ","|",3))-FIND("|",SUBSTITUTE($H775&amp;" "," ","|",2))-1),""))</f>
        <v/>
      </c>
      <c r="E775" s="58">
        <f>IF($H775="","",IFERROR(MID($H775&amp;" ",FIND("|",SUBSTITUTE($H775&amp;" "," ","|",3))+1,FIND("|",SUBSTITUTE($H775&amp;" "," ","|",4))-FIND("|",SUBSTITUTE($H775&amp;" "," ","|",3))-1),""))</f>
        <v/>
      </c>
      <c r="F775" s="59">
        <f>IF($H775="","",IFERROR(VALUE(IFERROR(MID($H775&amp;" ",FIND("|",SUBSTITUTE($H775&amp;" "," ","|",4))+1,FIND("|",SUBSTITUTE($H775&amp;" "," ","|",5))-FIND("|",SUBSTITUTE($H775&amp;" "," ","|",4))-1),""))/86400+25569+9/24,""))</f>
        <v/>
      </c>
      <c r="G775" s="58">
        <f>TRIM(SUBSTITUTE(SUBSTITUTE(SUBSTITUTE($A775,CHAR(9)," ")," "," "),CHAR(13),""))</f>
        <v/>
      </c>
      <c r="H775" s="58">
        <f>IF($G775="","",IF(ISNUMBER(FIND(" ",$G775)),$G775,IFERROR(IF((LEN(SUBSTITUTE(SUBSTITUTE($G775,"-"," ",LEN($G775)-LEN(SUBSTITUTE($G775,"-",""))),"-"," ",LEN($G775)-LEN(SUBSTITUTE($G775,"-",""))-1))-LEN(SUBSTITUTE(SUBSTITUTE(SUBSTITUTE($G775,"-"," ",LEN($G775)-LEN(SUBSTITUTE($G775,"-",""))),"-"," ",LEN($G775)-LEN(SUBSTITUTE($G775,"-",""))-1),".","")))=0,SUBSTITUTE(SUBSTITUTE($G775,"-"," ",LEN($G775)-LEN(SUBSTITUTE($G775,"-",""))),"-"," ",LEN($G775)-LEN(SUBSTITUTE($G775,"-",""))-1),SUBSTITUTE(SUBSTITUTE(SUBSTITUTE($G775,"-"," ",LEN($G775)-LEN(SUBSTITUTE($G775,"-",""))),"-"," ",LEN($G775)-LEN(SUBSTITUTE($G775,"-",""))-1),"."," ",(LEN(SUBSTITUTE(SUBSTITUTE($G775,"-"," ",LEN($G775)-LEN(SUBSTITUTE($G775,"-",""))),"-"," ",LEN($G775)-LEN(SUBSTITUTE($G775,"-",""))-1))-LEN(SUBSTITUTE(SUBSTITUTE(SUBSTITUTE($G775,"-"," ",LEN($G775)-LEN(SUBSTITUTE($G775,"-",""))),"-"," ",LEN($G775)-LEN(SUBSTITUTE($G775,"-",""))-1),".",""))))),$G775)))</f>
        <v/>
      </c>
    </row>
    <row r="776">
      <c r="A776" s="58" t="n"/>
      <c r="B776" s="58">
        <f>IF($H776="","",LEFT($H776,FIND(" ",$H776&amp;" ")-1))</f>
        <v/>
      </c>
      <c r="C776" s="58">
        <f>IF($H776="","",IFERROR(MID($H776&amp;" ",FIND("|",SUBSTITUTE($H776&amp;" "," ","|",1))+1,FIND("|",SUBSTITUTE($H776&amp;" "," ","|",2))-FIND("|",SUBSTITUTE($H776&amp;" "," ","|",1))-1),""))</f>
        <v/>
      </c>
      <c r="D776" s="58">
        <f>IF($H776="","",IFERROR(MID($H776&amp;" ",FIND("|",SUBSTITUTE($H776&amp;" "," ","|",2))+1,FIND("|",SUBSTITUTE($H776&amp;" "," ","|",3))-FIND("|",SUBSTITUTE($H776&amp;" "," ","|",2))-1),""))</f>
        <v/>
      </c>
      <c r="E776" s="58">
        <f>IF($H776="","",IFERROR(MID($H776&amp;" ",FIND("|",SUBSTITUTE($H776&amp;" "," ","|",3))+1,FIND("|",SUBSTITUTE($H776&amp;" "," ","|",4))-FIND("|",SUBSTITUTE($H776&amp;" "," ","|",3))-1),""))</f>
        <v/>
      </c>
      <c r="F776" s="59">
        <f>IF($H776="","",IFERROR(VALUE(IFERROR(MID($H776&amp;" ",FIND("|",SUBSTITUTE($H776&amp;" "," ","|",4))+1,FIND("|",SUBSTITUTE($H776&amp;" "," ","|",5))-FIND("|",SUBSTITUTE($H776&amp;" "," ","|",4))-1),""))/86400+25569+9/24,""))</f>
        <v/>
      </c>
      <c r="G776" s="58">
        <f>TRIM(SUBSTITUTE(SUBSTITUTE(SUBSTITUTE($A776,CHAR(9)," ")," "," "),CHAR(13),""))</f>
        <v/>
      </c>
      <c r="H776" s="58">
        <f>IF($G776="","",IF(ISNUMBER(FIND(" ",$G776)),$G776,IFERROR(IF((LEN(SUBSTITUTE(SUBSTITUTE($G776,"-"," ",LEN($G776)-LEN(SUBSTITUTE($G776,"-",""))),"-"," ",LEN($G776)-LEN(SUBSTITUTE($G776,"-",""))-1))-LEN(SUBSTITUTE(SUBSTITUTE(SUBSTITUTE($G776,"-"," ",LEN($G776)-LEN(SUBSTITUTE($G776,"-",""))),"-"," ",LEN($G776)-LEN(SUBSTITUTE($G776,"-",""))-1),".","")))=0,SUBSTITUTE(SUBSTITUTE($G776,"-"," ",LEN($G776)-LEN(SUBSTITUTE($G776,"-",""))),"-"," ",LEN($G776)-LEN(SUBSTITUTE($G776,"-",""))-1),SUBSTITUTE(SUBSTITUTE(SUBSTITUTE($G776,"-"," ",LEN($G776)-LEN(SUBSTITUTE($G776,"-",""))),"-"," ",LEN($G776)-LEN(SUBSTITUTE($G776,"-",""))-1),"."," ",(LEN(SUBSTITUTE(SUBSTITUTE($G776,"-"," ",LEN($G776)-LEN(SUBSTITUTE($G776,"-",""))),"-"," ",LEN($G776)-LEN(SUBSTITUTE($G776,"-",""))-1))-LEN(SUBSTITUTE(SUBSTITUTE(SUBSTITUTE($G776,"-"," ",LEN($G776)-LEN(SUBSTITUTE($G776,"-",""))),"-"," ",LEN($G776)-LEN(SUBSTITUTE($G776,"-",""))-1),".",""))))),$G776)))</f>
        <v/>
      </c>
    </row>
    <row r="777">
      <c r="A777" s="58" t="n"/>
      <c r="B777" s="58">
        <f>IF($H777="","",LEFT($H777,FIND(" ",$H777&amp;" ")-1))</f>
        <v/>
      </c>
      <c r="C777" s="58">
        <f>IF($H777="","",IFERROR(MID($H777&amp;" ",FIND("|",SUBSTITUTE($H777&amp;" "," ","|",1))+1,FIND("|",SUBSTITUTE($H777&amp;" "," ","|",2))-FIND("|",SUBSTITUTE($H777&amp;" "," ","|",1))-1),""))</f>
        <v/>
      </c>
      <c r="D777" s="58">
        <f>IF($H777="","",IFERROR(MID($H777&amp;" ",FIND("|",SUBSTITUTE($H777&amp;" "," ","|",2))+1,FIND("|",SUBSTITUTE($H777&amp;" "," ","|",3))-FIND("|",SUBSTITUTE($H777&amp;" "," ","|",2))-1),""))</f>
        <v/>
      </c>
      <c r="E777" s="58">
        <f>IF($H777="","",IFERROR(MID($H777&amp;" ",FIND("|",SUBSTITUTE($H777&amp;" "," ","|",3))+1,FIND("|",SUBSTITUTE($H777&amp;" "," ","|",4))-FIND("|",SUBSTITUTE($H777&amp;" "," ","|",3))-1),""))</f>
        <v/>
      </c>
      <c r="F777" s="59">
        <f>IF($H777="","",IFERROR(VALUE(IFERROR(MID($H777&amp;" ",FIND("|",SUBSTITUTE($H777&amp;" "," ","|",4))+1,FIND("|",SUBSTITUTE($H777&amp;" "," ","|",5))-FIND("|",SUBSTITUTE($H777&amp;" "," ","|",4))-1),""))/86400+25569+9/24,""))</f>
        <v/>
      </c>
      <c r="G777" s="58">
        <f>TRIM(SUBSTITUTE(SUBSTITUTE(SUBSTITUTE($A777,CHAR(9)," ")," "," "),CHAR(13),""))</f>
        <v/>
      </c>
      <c r="H777" s="58">
        <f>IF($G777="","",IF(ISNUMBER(FIND(" ",$G777)),$G777,IFERROR(IF((LEN(SUBSTITUTE(SUBSTITUTE($G777,"-"," ",LEN($G777)-LEN(SUBSTITUTE($G777,"-",""))),"-"," ",LEN($G777)-LEN(SUBSTITUTE($G777,"-",""))-1))-LEN(SUBSTITUTE(SUBSTITUTE(SUBSTITUTE($G777,"-"," ",LEN($G777)-LEN(SUBSTITUTE($G777,"-",""))),"-"," ",LEN($G777)-LEN(SUBSTITUTE($G777,"-",""))-1),".","")))=0,SUBSTITUTE(SUBSTITUTE($G777,"-"," ",LEN($G777)-LEN(SUBSTITUTE($G777,"-",""))),"-"," ",LEN($G777)-LEN(SUBSTITUTE($G777,"-",""))-1),SUBSTITUTE(SUBSTITUTE(SUBSTITUTE($G777,"-"," ",LEN($G777)-LEN(SUBSTITUTE($G777,"-",""))),"-"," ",LEN($G777)-LEN(SUBSTITUTE($G777,"-",""))-1),"."," ",(LEN(SUBSTITUTE(SUBSTITUTE($G777,"-"," ",LEN($G777)-LEN(SUBSTITUTE($G777,"-",""))),"-"," ",LEN($G777)-LEN(SUBSTITUTE($G777,"-",""))-1))-LEN(SUBSTITUTE(SUBSTITUTE(SUBSTITUTE($G777,"-"," ",LEN($G777)-LEN(SUBSTITUTE($G777,"-",""))),"-"," ",LEN($G777)-LEN(SUBSTITUTE($G777,"-",""))-1),".",""))))),$G777)))</f>
        <v/>
      </c>
    </row>
    <row r="778">
      <c r="A778" s="58" t="n"/>
      <c r="B778" s="58">
        <f>IF($H778="","",LEFT($H778,FIND(" ",$H778&amp;" ")-1))</f>
        <v/>
      </c>
      <c r="C778" s="58">
        <f>IF($H778="","",IFERROR(MID($H778&amp;" ",FIND("|",SUBSTITUTE($H778&amp;" "," ","|",1))+1,FIND("|",SUBSTITUTE($H778&amp;" "," ","|",2))-FIND("|",SUBSTITUTE($H778&amp;" "," ","|",1))-1),""))</f>
        <v/>
      </c>
      <c r="D778" s="58">
        <f>IF($H778="","",IFERROR(MID($H778&amp;" ",FIND("|",SUBSTITUTE($H778&amp;" "," ","|",2))+1,FIND("|",SUBSTITUTE($H778&amp;" "," ","|",3))-FIND("|",SUBSTITUTE($H778&amp;" "," ","|",2))-1),""))</f>
        <v/>
      </c>
      <c r="E778" s="58">
        <f>IF($H778="","",IFERROR(MID($H778&amp;" ",FIND("|",SUBSTITUTE($H778&amp;" "," ","|",3))+1,FIND("|",SUBSTITUTE($H778&amp;" "," ","|",4))-FIND("|",SUBSTITUTE($H778&amp;" "," ","|",3))-1),""))</f>
        <v/>
      </c>
      <c r="F778" s="59">
        <f>IF($H778="","",IFERROR(VALUE(IFERROR(MID($H778&amp;" ",FIND("|",SUBSTITUTE($H778&amp;" "," ","|",4))+1,FIND("|",SUBSTITUTE($H778&amp;" "," ","|",5))-FIND("|",SUBSTITUTE($H778&amp;" "," ","|",4))-1),""))/86400+25569+9/24,""))</f>
        <v/>
      </c>
      <c r="G778" s="58">
        <f>TRIM(SUBSTITUTE(SUBSTITUTE(SUBSTITUTE($A778,CHAR(9)," ")," "," "),CHAR(13),""))</f>
        <v/>
      </c>
      <c r="H778" s="58">
        <f>IF($G778="","",IF(ISNUMBER(FIND(" ",$G778)),$G778,IFERROR(IF((LEN(SUBSTITUTE(SUBSTITUTE($G778,"-"," ",LEN($G778)-LEN(SUBSTITUTE($G778,"-",""))),"-"," ",LEN($G778)-LEN(SUBSTITUTE($G778,"-",""))-1))-LEN(SUBSTITUTE(SUBSTITUTE(SUBSTITUTE($G778,"-"," ",LEN($G778)-LEN(SUBSTITUTE($G778,"-",""))),"-"," ",LEN($G778)-LEN(SUBSTITUTE($G778,"-",""))-1),".","")))=0,SUBSTITUTE(SUBSTITUTE($G778,"-"," ",LEN($G778)-LEN(SUBSTITUTE($G778,"-",""))),"-"," ",LEN($G778)-LEN(SUBSTITUTE($G778,"-",""))-1),SUBSTITUTE(SUBSTITUTE(SUBSTITUTE($G778,"-"," ",LEN($G778)-LEN(SUBSTITUTE($G778,"-",""))),"-"," ",LEN($G778)-LEN(SUBSTITUTE($G778,"-",""))-1),"."," ",(LEN(SUBSTITUTE(SUBSTITUTE($G778,"-"," ",LEN($G778)-LEN(SUBSTITUTE($G778,"-",""))),"-"," ",LEN($G778)-LEN(SUBSTITUTE($G778,"-",""))-1))-LEN(SUBSTITUTE(SUBSTITUTE(SUBSTITUTE($G778,"-"," ",LEN($G778)-LEN(SUBSTITUTE($G778,"-",""))),"-"," ",LEN($G778)-LEN(SUBSTITUTE($G778,"-",""))-1),".",""))))),$G778)))</f>
        <v/>
      </c>
    </row>
    <row r="779">
      <c r="A779" s="58" t="n"/>
      <c r="B779" s="58">
        <f>IF($H779="","",LEFT($H779,FIND(" ",$H779&amp;" ")-1))</f>
        <v/>
      </c>
      <c r="C779" s="58">
        <f>IF($H779="","",IFERROR(MID($H779&amp;" ",FIND("|",SUBSTITUTE($H779&amp;" "," ","|",1))+1,FIND("|",SUBSTITUTE($H779&amp;" "," ","|",2))-FIND("|",SUBSTITUTE($H779&amp;" "," ","|",1))-1),""))</f>
        <v/>
      </c>
      <c r="D779" s="58">
        <f>IF($H779="","",IFERROR(MID($H779&amp;" ",FIND("|",SUBSTITUTE($H779&amp;" "," ","|",2))+1,FIND("|",SUBSTITUTE($H779&amp;" "," ","|",3))-FIND("|",SUBSTITUTE($H779&amp;" "," ","|",2))-1),""))</f>
        <v/>
      </c>
      <c r="E779" s="58">
        <f>IF($H779="","",IFERROR(MID($H779&amp;" ",FIND("|",SUBSTITUTE($H779&amp;" "," ","|",3))+1,FIND("|",SUBSTITUTE($H779&amp;" "," ","|",4))-FIND("|",SUBSTITUTE($H779&amp;" "," ","|",3))-1),""))</f>
        <v/>
      </c>
      <c r="F779" s="59">
        <f>IF($H779="","",IFERROR(VALUE(IFERROR(MID($H779&amp;" ",FIND("|",SUBSTITUTE($H779&amp;" "," ","|",4))+1,FIND("|",SUBSTITUTE($H779&amp;" "," ","|",5))-FIND("|",SUBSTITUTE($H779&amp;" "," ","|",4))-1),""))/86400+25569+9/24,""))</f>
        <v/>
      </c>
      <c r="G779" s="58">
        <f>TRIM(SUBSTITUTE(SUBSTITUTE(SUBSTITUTE($A779,CHAR(9)," ")," "," "),CHAR(13),""))</f>
        <v/>
      </c>
      <c r="H779" s="58">
        <f>IF($G779="","",IF(ISNUMBER(FIND(" ",$G779)),$G779,IFERROR(IF((LEN(SUBSTITUTE(SUBSTITUTE($G779,"-"," ",LEN($G779)-LEN(SUBSTITUTE($G779,"-",""))),"-"," ",LEN($G779)-LEN(SUBSTITUTE($G779,"-",""))-1))-LEN(SUBSTITUTE(SUBSTITUTE(SUBSTITUTE($G779,"-"," ",LEN($G779)-LEN(SUBSTITUTE($G779,"-",""))),"-"," ",LEN($G779)-LEN(SUBSTITUTE($G779,"-",""))-1),".","")))=0,SUBSTITUTE(SUBSTITUTE($G779,"-"," ",LEN($G779)-LEN(SUBSTITUTE($G779,"-",""))),"-"," ",LEN($G779)-LEN(SUBSTITUTE($G779,"-",""))-1),SUBSTITUTE(SUBSTITUTE(SUBSTITUTE($G779,"-"," ",LEN($G779)-LEN(SUBSTITUTE($G779,"-",""))),"-"," ",LEN($G779)-LEN(SUBSTITUTE($G779,"-",""))-1),"."," ",(LEN(SUBSTITUTE(SUBSTITUTE($G779,"-"," ",LEN($G779)-LEN(SUBSTITUTE($G779,"-",""))),"-"," ",LEN($G779)-LEN(SUBSTITUTE($G779,"-",""))-1))-LEN(SUBSTITUTE(SUBSTITUTE(SUBSTITUTE($G779,"-"," ",LEN($G779)-LEN(SUBSTITUTE($G779,"-",""))),"-"," ",LEN($G779)-LEN(SUBSTITUTE($G779,"-",""))-1),".",""))))),$G779)))</f>
        <v/>
      </c>
    </row>
    <row r="780">
      <c r="A780" s="58" t="n"/>
      <c r="B780" s="58">
        <f>IF($H780="","",LEFT($H780,FIND(" ",$H780&amp;" ")-1))</f>
        <v/>
      </c>
      <c r="C780" s="58">
        <f>IF($H780="","",IFERROR(MID($H780&amp;" ",FIND("|",SUBSTITUTE($H780&amp;" "," ","|",1))+1,FIND("|",SUBSTITUTE($H780&amp;" "," ","|",2))-FIND("|",SUBSTITUTE($H780&amp;" "," ","|",1))-1),""))</f>
        <v/>
      </c>
      <c r="D780" s="58">
        <f>IF($H780="","",IFERROR(MID($H780&amp;" ",FIND("|",SUBSTITUTE($H780&amp;" "," ","|",2))+1,FIND("|",SUBSTITUTE($H780&amp;" "," ","|",3))-FIND("|",SUBSTITUTE($H780&amp;" "," ","|",2))-1),""))</f>
        <v/>
      </c>
      <c r="E780" s="58">
        <f>IF($H780="","",IFERROR(MID($H780&amp;" ",FIND("|",SUBSTITUTE($H780&amp;" "," ","|",3))+1,FIND("|",SUBSTITUTE($H780&amp;" "," ","|",4))-FIND("|",SUBSTITUTE($H780&amp;" "," ","|",3))-1),""))</f>
        <v/>
      </c>
      <c r="F780" s="59">
        <f>IF($H780="","",IFERROR(VALUE(IFERROR(MID($H780&amp;" ",FIND("|",SUBSTITUTE($H780&amp;" "," ","|",4))+1,FIND("|",SUBSTITUTE($H780&amp;" "," ","|",5))-FIND("|",SUBSTITUTE($H780&amp;" "," ","|",4))-1),""))/86400+25569+9/24,""))</f>
        <v/>
      </c>
      <c r="G780" s="58">
        <f>TRIM(SUBSTITUTE(SUBSTITUTE(SUBSTITUTE($A780,CHAR(9)," ")," "," "),CHAR(13),""))</f>
        <v/>
      </c>
      <c r="H780" s="58">
        <f>IF($G780="","",IF(ISNUMBER(FIND(" ",$G780)),$G780,IFERROR(IF((LEN(SUBSTITUTE(SUBSTITUTE($G780,"-"," ",LEN($G780)-LEN(SUBSTITUTE($G780,"-",""))),"-"," ",LEN($G780)-LEN(SUBSTITUTE($G780,"-",""))-1))-LEN(SUBSTITUTE(SUBSTITUTE(SUBSTITUTE($G780,"-"," ",LEN($G780)-LEN(SUBSTITUTE($G780,"-",""))),"-"," ",LEN($G780)-LEN(SUBSTITUTE($G780,"-",""))-1),".","")))=0,SUBSTITUTE(SUBSTITUTE($G780,"-"," ",LEN($G780)-LEN(SUBSTITUTE($G780,"-",""))),"-"," ",LEN($G780)-LEN(SUBSTITUTE($G780,"-",""))-1),SUBSTITUTE(SUBSTITUTE(SUBSTITUTE($G780,"-"," ",LEN($G780)-LEN(SUBSTITUTE($G780,"-",""))),"-"," ",LEN($G780)-LEN(SUBSTITUTE($G780,"-",""))-1),"."," ",(LEN(SUBSTITUTE(SUBSTITUTE($G780,"-"," ",LEN($G780)-LEN(SUBSTITUTE($G780,"-",""))),"-"," ",LEN($G780)-LEN(SUBSTITUTE($G780,"-",""))-1))-LEN(SUBSTITUTE(SUBSTITUTE(SUBSTITUTE($G780,"-"," ",LEN($G780)-LEN(SUBSTITUTE($G780,"-",""))),"-"," ",LEN($G780)-LEN(SUBSTITUTE($G780,"-",""))-1),".",""))))),$G780)))</f>
        <v/>
      </c>
    </row>
    <row r="781">
      <c r="A781" s="58" t="n"/>
      <c r="B781" s="58">
        <f>IF($H781="","",LEFT($H781,FIND(" ",$H781&amp;" ")-1))</f>
        <v/>
      </c>
      <c r="C781" s="58">
        <f>IF($H781="","",IFERROR(MID($H781&amp;" ",FIND("|",SUBSTITUTE($H781&amp;" "," ","|",1))+1,FIND("|",SUBSTITUTE($H781&amp;" "," ","|",2))-FIND("|",SUBSTITUTE($H781&amp;" "," ","|",1))-1),""))</f>
        <v/>
      </c>
      <c r="D781" s="58">
        <f>IF($H781="","",IFERROR(MID($H781&amp;" ",FIND("|",SUBSTITUTE($H781&amp;" "," ","|",2))+1,FIND("|",SUBSTITUTE($H781&amp;" "," ","|",3))-FIND("|",SUBSTITUTE($H781&amp;" "," ","|",2))-1),""))</f>
        <v/>
      </c>
      <c r="E781" s="58">
        <f>IF($H781="","",IFERROR(MID($H781&amp;" ",FIND("|",SUBSTITUTE($H781&amp;" "," ","|",3))+1,FIND("|",SUBSTITUTE($H781&amp;" "," ","|",4))-FIND("|",SUBSTITUTE($H781&amp;" "," ","|",3))-1),""))</f>
        <v/>
      </c>
      <c r="F781" s="59">
        <f>IF($H781="","",IFERROR(VALUE(IFERROR(MID($H781&amp;" ",FIND("|",SUBSTITUTE($H781&amp;" "," ","|",4))+1,FIND("|",SUBSTITUTE($H781&amp;" "," ","|",5))-FIND("|",SUBSTITUTE($H781&amp;" "," ","|",4))-1),""))/86400+25569+9/24,""))</f>
        <v/>
      </c>
      <c r="G781" s="58">
        <f>TRIM(SUBSTITUTE(SUBSTITUTE(SUBSTITUTE($A781,CHAR(9)," ")," "," "),CHAR(13),""))</f>
        <v/>
      </c>
      <c r="H781" s="58">
        <f>IF($G781="","",IF(ISNUMBER(FIND(" ",$G781)),$G781,IFERROR(IF((LEN(SUBSTITUTE(SUBSTITUTE($G781,"-"," ",LEN($G781)-LEN(SUBSTITUTE($G781,"-",""))),"-"," ",LEN($G781)-LEN(SUBSTITUTE($G781,"-",""))-1))-LEN(SUBSTITUTE(SUBSTITUTE(SUBSTITUTE($G781,"-"," ",LEN($G781)-LEN(SUBSTITUTE($G781,"-",""))),"-"," ",LEN($G781)-LEN(SUBSTITUTE($G781,"-",""))-1),".","")))=0,SUBSTITUTE(SUBSTITUTE($G781,"-"," ",LEN($G781)-LEN(SUBSTITUTE($G781,"-",""))),"-"," ",LEN($G781)-LEN(SUBSTITUTE($G781,"-",""))-1),SUBSTITUTE(SUBSTITUTE(SUBSTITUTE($G781,"-"," ",LEN($G781)-LEN(SUBSTITUTE($G781,"-",""))),"-"," ",LEN($G781)-LEN(SUBSTITUTE($G781,"-",""))-1),"."," ",(LEN(SUBSTITUTE(SUBSTITUTE($G781,"-"," ",LEN($G781)-LEN(SUBSTITUTE($G781,"-",""))),"-"," ",LEN($G781)-LEN(SUBSTITUTE($G781,"-",""))-1))-LEN(SUBSTITUTE(SUBSTITUTE(SUBSTITUTE($G781,"-"," ",LEN($G781)-LEN(SUBSTITUTE($G781,"-",""))),"-"," ",LEN($G781)-LEN(SUBSTITUTE($G781,"-",""))-1),".",""))))),$G781)))</f>
        <v/>
      </c>
    </row>
    <row r="782">
      <c r="A782" s="58" t="n"/>
      <c r="B782" s="58">
        <f>IF($H782="","",LEFT($H782,FIND(" ",$H782&amp;" ")-1))</f>
        <v/>
      </c>
      <c r="C782" s="58">
        <f>IF($H782="","",IFERROR(MID($H782&amp;" ",FIND("|",SUBSTITUTE($H782&amp;" "," ","|",1))+1,FIND("|",SUBSTITUTE($H782&amp;" "," ","|",2))-FIND("|",SUBSTITUTE($H782&amp;" "," ","|",1))-1),""))</f>
        <v/>
      </c>
      <c r="D782" s="58">
        <f>IF($H782="","",IFERROR(MID($H782&amp;" ",FIND("|",SUBSTITUTE($H782&amp;" "," ","|",2))+1,FIND("|",SUBSTITUTE($H782&amp;" "," ","|",3))-FIND("|",SUBSTITUTE($H782&amp;" "," ","|",2))-1),""))</f>
        <v/>
      </c>
      <c r="E782" s="58">
        <f>IF($H782="","",IFERROR(MID($H782&amp;" ",FIND("|",SUBSTITUTE($H782&amp;" "," ","|",3))+1,FIND("|",SUBSTITUTE($H782&amp;" "," ","|",4))-FIND("|",SUBSTITUTE($H782&amp;" "," ","|",3))-1),""))</f>
        <v/>
      </c>
      <c r="F782" s="59">
        <f>IF($H782="","",IFERROR(VALUE(IFERROR(MID($H782&amp;" ",FIND("|",SUBSTITUTE($H782&amp;" "," ","|",4))+1,FIND("|",SUBSTITUTE($H782&amp;" "," ","|",5))-FIND("|",SUBSTITUTE($H782&amp;" "," ","|",4))-1),""))/86400+25569+9/24,""))</f>
        <v/>
      </c>
      <c r="G782" s="58">
        <f>TRIM(SUBSTITUTE(SUBSTITUTE(SUBSTITUTE($A782,CHAR(9)," ")," "," "),CHAR(13),""))</f>
        <v/>
      </c>
      <c r="H782" s="58">
        <f>IF($G782="","",IF(ISNUMBER(FIND(" ",$G782)),$G782,IFERROR(IF((LEN(SUBSTITUTE(SUBSTITUTE($G782,"-"," ",LEN($G782)-LEN(SUBSTITUTE($G782,"-",""))),"-"," ",LEN($G782)-LEN(SUBSTITUTE($G782,"-",""))-1))-LEN(SUBSTITUTE(SUBSTITUTE(SUBSTITUTE($G782,"-"," ",LEN($G782)-LEN(SUBSTITUTE($G782,"-",""))),"-"," ",LEN($G782)-LEN(SUBSTITUTE($G782,"-",""))-1),".","")))=0,SUBSTITUTE(SUBSTITUTE($G782,"-"," ",LEN($G782)-LEN(SUBSTITUTE($G782,"-",""))),"-"," ",LEN($G782)-LEN(SUBSTITUTE($G782,"-",""))-1),SUBSTITUTE(SUBSTITUTE(SUBSTITUTE($G782,"-"," ",LEN($G782)-LEN(SUBSTITUTE($G782,"-",""))),"-"," ",LEN($G782)-LEN(SUBSTITUTE($G782,"-",""))-1),"."," ",(LEN(SUBSTITUTE(SUBSTITUTE($G782,"-"," ",LEN($G782)-LEN(SUBSTITUTE($G782,"-",""))),"-"," ",LEN($G782)-LEN(SUBSTITUTE($G782,"-",""))-1))-LEN(SUBSTITUTE(SUBSTITUTE(SUBSTITUTE($G782,"-"," ",LEN($G782)-LEN(SUBSTITUTE($G782,"-",""))),"-"," ",LEN($G782)-LEN(SUBSTITUTE($G782,"-",""))-1),".",""))))),$G782)))</f>
        <v/>
      </c>
    </row>
    <row r="783">
      <c r="A783" s="58" t="n"/>
      <c r="B783" s="58">
        <f>IF($H783="","",LEFT($H783,FIND(" ",$H783&amp;" ")-1))</f>
        <v/>
      </c>
      <c r="C783" s="58">
        <f>IF($H783="","",IFERROR(MID($H783&amp;" ",FIND("|",SUBSTITUTE($H783&amp;" "," ","|",1))+1,FIND("|",SUBSTITUTE($H783&amp;" "," ","|",2))-FIND("|",SUBSTITUTE($H783&amp;" "," ","|",1))-1),""))</f>
        <v/>
      </c>
      <c r="D783" s="58">
        <f>IF($H783="","",IFERROR(MID($H783&amp;" ",FIND("|",SUBSTITUTE($H783&amp;" "," ","|",2))+1,FIND("|",SUBSTITUTE($H783&amp;" "," ","|",3))-FIND("|",SUBSTITUTE($H783&amp;" "," ","|",2))-1),""))</f>
        <v/>
      </c>
      <c r="E783" s="58">
        <f>IF($H783="","",IFERROR(MID($H783&amp;" ",FIND("|",SUBSTITUTE($H783&amp;" "," ","|",3))+1,FIND("|",SUBSTITUTE($H783&amp;" "," ","|",4))-FIND("|",SUBSTITUTE($H783&amp;" "," ","|",3))-1),""))</f>
        <v/>
      </c>
      <c r="F783" s="59">
        <f>IF($H783="","",IFERROR(VALUE(IFERROR(MID($H783&amp;" ",FIND("|",SUBSTITUTE($H783&amp;" "," ","|",4))+1,FIND("|",SUBSTITUTE($H783&amp;" "," ","|",5))-FIND("|",SUBSTITUTE($H783&amp;" "," ","|",4))-1),""))/86400+25569+9/24,""))</f>
        <v/>
      </c>
      <c r="G783" s="58">
        <f>TRIM(SUBSTITUTE(SUBSTITUTE(SUBSTITUTE($A783,CHAR(9)," ")," "," "),CHAR(13),""))</f>
        <v/>
      </c>
      <c r="H783" s="58">
        <f>IF($G783="","",IF(ISNUMBER(FIND(" ",$G783)),$G783,IFERROR(IF((LEN(SUBSTITUTE(SUBSTITUTE($G783,"-"," ",LEN($G783)-LEN(SUBSTITUTE($G783,"-",""))),"-"," ",LEN($G783)-LEN(SUBSTITUTE($G783,"-",""))-1))-LEN(SUBSTITUTE(SUBSTITUTE(SUBSTITUTE($G783,"-"," ",LEN($G783)-LEN(SUBSTITUTE($G783,"-",""))),"-"," ",LEN($G783)-LEN(SUBSTITUTE($G783,"-",""))-1),".","")))=0,SUBSTITUTE(SUBSTITUTE($G783,"-"," ",LEN($G783)-LEN(SUBSTITUTE($G783,"-",""))),"-"," ",LEN($G783)-LEN(SUBSTITUTE($G783,"-",""))-1),SUBSTITUTE(SUBSTITUTE(SUBSTITUTE($G783,"-"," ",LEN($G783)-LEN(SUBSTITUTE($G783,"-",""))),"-"," ",LEN($G783)-LEN(SUBSTITUTE($G783,"-",""))-1),"."," ",(LEN(SUBSTITUTE(SUBSTITUTE($G783,"-"," ",LEN($G783)-LEN(SUBSTITUTE($G783,"-",""))),"-"," ",LEN($G783)-LEN(SUBSTITUTE($G783,"-",""))-1))-LEN(SUBSTITUTE(SUBSTITUTE(SUBSTITUTE($G783,"-"," ",LEN($G783)-LEN(SUBSTITUTE($G783,"-",""))),"-"," ",LEN($G783)-LEN(SUBSTITUTE($G783,"-",""))-1),".",""))))),$G783)))</f>
        <v/>
      </c>
    </row>
    <row r="784">
      <c r="A784" s="58" t="n"/>
      <c r="B784" s="58">
        <f>IF($H784="","",LEFT($H784,FIND(" ",$H784&amp;" ")-1))</f>
        <v/>
      </c>
      <c r="C784" s="58">
        <f>IF($H784="","",IFERROR(MID($H784&amp;" ",FIND("|",SUBSTITUTE($H784&amp;" "," ","|",1))+1,FIND("|",SUBSTITUTE($H784&amp;" "," ","|",2))-FIND("|",SUBSTITUTE($H784&amp;" "," ","|",1))-1),""))</f>
        <v/>
      </c>
      <c r="D784" s="58">
        <f>IF($H784="","",IFERROR(MID($H784&amp;" ",FIND("|",SUBSTITUTE($H784&amp;" "," ","|",2))+1,FIND("|",SUBSTITUTE($H784&amp;" "," ","|",3))-FIND("|",SUBSTITUTE($H784&amp;" "," ","|",2))-1),""))</f>
        <v/>
      </c>
      <c r="E784" s="58">
        <f>IF($H784="","",IFERROR(MID($H784&amp;" ",FIND("|",SUBSTITUTE($H784&amp;" "," ","|",3))+1,FIND("|",SUBSTITUTE($H784&amp;" "," ","|",4))-FIND("|",SUBSTITUTE($H784&amp;" "," ","|",3))-1),""))</f>
        <v/>
      </c>
      <c r="F784" s="59">
        <f>IF($H784="","",IFERROR(VALUE(IFERROR(MID($H784&amp;" ",FIND("|",SUBSTITUTE($H784&amp;" "," ","|",4))+1,FIND("|",SUBSTITUTE($H784&amp;" "," ","|",5))-FIND("|",SUBSTITUTE($H784&amp;" "," ","|",4))-1),""))/86400+25569+9/24,""))</f>
        <v/>
      </c>
      <c r="G784" s="58">
        <f>TRIM(SUBSTITUTE(SUBSTITUTE(SUBSTITUTE($A784,CHAR(9)," ")," "," "),CHAR(13),""))</f>
        <v/>
      </c>
      <c r="H784" s="58">
        <f>IF($G784="","",IF(ISNUMBER(FIND(" ",$G784)),$G784,IFERROR(IF((LEN(SUBSTITUTE(SUBSTITUTE($G784,"-"," ",LEN($G784)-LEN(SUBSTITUTE($G784,"-",""))),"-"," ",LEN($G784)-LEN(SUBSTITUTE($G784,"-",""))-1))-LEN(SUBSTITUTE(SUBSTITUTE(SUBSTITUTE($G784,"-"," ",LEN($G784)-LEN(SUBSTITUTE($G784,"-",""))),"-"," ",LEN($G784)-LEN(SUBSTITUTE($G784,"-",""))-1),".","")))=0,SUBSTITUTE(SUBSTITUTE($G784,"-"," ",LEN($G784)-LEN(SUBSTITUTE($G784,"-",""))),"-"," ",LEN($G784)-LEN(SUBSTITUTE($G784,"-",""))-1),SUBSTITUTE(SUBSTITUTE(SUBSTITUTE($G784,"-"," ",LEN($G784)-LEN(SUBSTITUTE($G784,"-",""))),"-"," ",LEN($G784)-LEN(SUBSTITUTE($G784,"-",""))-1),"."," ",(LEN(SUBSTITUTE(SUBSTITUTE($G784,"-"," ",LEN($G784)-LEN(SUBSTITUTE($G784,"-",""))),"-"," ",LEN($G784)-LEN(SUBSTITUTE($G784,"-",""))-1))-LEN(SUBSTITUTE(SUBSTITUTE(SUBSTITUTE($G784,"-"," ",LEN($G784)-LEN(SUBSTITUTE($G784,"-",""))),"-"," ",LEN($G784)-LEN(SUBSTITUTE($G784,"-",""))-1),".",""))))),$G784)))</f>
        <v/>
      </c>
    </row>
    <row r="785">
      <c r="A785" s="58" t="n"/>
      <c r="B785" s="58">
        <f>IF($H785="","",LEFT($H785,FIND(" ",$H785&amp;" ")-1))</f>
        <v/>
      </c>
      <c r="C785" s="58">
        <f>IF($H785="","",IFERROR(MID($H785&amp;" ",FIND("|",SUBSTITUTE($H785&amp;" "," ","|",1))+1,FIND("|",SUBSTITUTE($H785&amp;" "," ","|",2))-FIND("|",SUBSTITUTE($H785&amp;" "," ","|",1))-1),""))</f>
        <v/>
      </c>
      <c r="D785" s="58">
        <f>IF($H785="","",IFERROR(MID($H785&amp;" ",FIND("|",SUBSTITUTE($H785&amp;" "," ","|",2))+1,FIND("|",SUBSTITUTE($H785&amp;" "," ","|",3))-FIND("|",SUBSTITUTE($H785&amp;" "," ","|",2))-1),""))</f>
        <v/>
      </c>
      <c r="E785" s="58">
        <f>IF($H785="","",IFERROR(MID($H785&amp;" ",FIND("|",SUBSTITUTE($H785&amp;" "," ","|",3))+1,FIND("|",SUBSTITUTE($H785&amp;" "," ","|",4))-FIND("|",SUBSTITUTE($H785&amp;" "," ","|",3))-1),""))</f>
        <v/>
      </c>
      <c r="F785" s="59">
        <f>IF($H785="","",IFERROR(VALUE(IFERROR(MID($H785&amp;" ",FIND("|",SUBSTITUTE($H785&amp;" "," ","|",4))+1,FIND("|",SUBSTITUTE($H785&amp;" "," ","|",5))-FIND("|",SUBSTITUTE($H785&amp;" "," ","|",4))-1),""))/86400+25569+9/24,""))</f>
        <v/>
      </c>
      <c r="G785" s="58">
        <f>TRIM(SUBSTITUTE(SUBSTITUTE(SUBSTITUTE($A785,CHAR(9)," ")," "," "),CHAR(13),""))</f>
        <v/>
      </c>
      <c r="H785" s="58">
        <f>IF($G785="","",IF(ISNUMBER(FIND(" ",$G785)),$G785,IFERROR(IF((LEN(SUBSTITUTE(SUBSTITUTE($G785,"-"," ",LEN($G785)-LEN(SUBSTITUTE($G785,"-",""))),"-"," ",LEN($G785)-LEN(SUBSTITUTE($G785,"-",""))-1))-LEN(SUBSTITUTE(SUBSTITUTE(SUBSTITUTE($G785,"-"," ",LEN($G785)-LEN(SUBSTITUTE($G785,"-",""))),"-"," ",LEN($G785)-LEN(SUBSTITUTE($G785,"-",""))-1),".","")))=0,SUBSTITUTE(SUBSTITUTE($G785,"-"," ",LEN($G785)-LEN(SUBSTITUTE($G785,"-",""))),"-"," ",LEN($G785)-LEN(SUBSTITUTE($G785,"-",""))-1),SUBSTITUTE(SUBSTITUTE(SUBSTITUTE($G785,"-"," ",LEN($G785)-LEN(SUBSTITUTE($G785,"-",""))),"-"," ",LEN($G785)-LEN(SUBSTITUTE($G785,"-",""))-1),"."," ",(LEN(SUBSTITUTE(SUBSTITUTE($G785,"-"," ",LEN($G785)-LEN(SUBSTITUTE($G785,"-",""))),"-"," ",LEN($G785)-LEN(SUBSTITUTE($G785,"-",""))-1))-LEN(SUBSTITUTE(SUBSTITUTE(SUBSTITUTE($G785,"-"," ",LEN($G785)-LEN(SUBSTITUTE($G785,"-",""))),"-"," ",LEN($G785)-LEN(SUBSTITUTE($G785,"-",""))-1),".",""))))),$G785)))</f>
        <v/>
      </c>
    </row>
    <row r="786">
      <c r="A786" s="58" t="n"/>
      <c r="B786" s="58">
        <f>IF($H786="","",LEFT($H786,FIND(" ",$H786&amp;" ")-1))</f>
        <v/>
      </c>
      <c r="C786" s="58">
        <f>IF($H786="","",IFERROR(MID($H786&amp;" ",FIND("|",SUBSTITUTE($H786&amp;" "," ","|",1))+1,FIND("|",SUBSTITUTE($H786&amp;" "," ","|",2))-FIND("|",SUBSTITUTE($H786&amp;" "," ","|",1))-1),""))</f>
        <v/>
      </c>
      <c r="D786" s="58">
        <f>IF($H786="","",IFERROR(MID($H786&amp;" ",FIND("|",SUBSTITUTE($H786&amp;" "," ","|",2))+1,FIND("|",SUBSTITUTE($H786&amp;" "," ","|",3))-FIND("|",SUBSTITUTE($H786&amp;" "," ","|",2))-1),""))</f>
        <v/>
      </c>
      <c r="E786" s="58">
        <f>IF($H786="","",IFERROR(MID($H786&amp;" ",FIND("|",SUBSTITUTE($H786&amp;" "," ","|",3))+1,FIND("|",SUBSTITUTE($H786&amp;" "," ","|",4))-FIND("|",SUBSTITUTE($H786&amp;" "," ","|",3))-1),""))</f>
        <v/>
      </c>
      <c r="F786" s="59">
        <f>IF($H786="","",IFERROR(VALUE(IFERROR(MID($H786&amp;" ",FIND("|",SUBSTITUTE($H786&amp;" "," ","|",4))+1,FIND("|",SUBSTITUTE($H786&amp;" "," ","|",5))-FIND("|",SUBSTITUTE($H786&amp;" "," ","|",4))-1),""))/86400+25569+9/24,""))</f>
        <v/>
      </c>
      <c r="G786" s="58">
        <f>TRIM(SUBSTITUTE(SUBSTITUTE(SUBSTITUTE($A786,CHAR(9)," ")," "," "),CHAR(13),""))</f>
        <v/>
      </c>
      <c r="H786" s="58">
        <f>IF($G786="","",IF(ISNUMBER(FIND(" ",$G786)),$G786,IFERROR(IF((LEN(SUBSTITUTE(SUBSTITUTE($G786,"-"," ",LEN($G786)-LEN(SUBSTITUTE($G786,"-",""))),"-"," ",LEN($G786)-LEN(SUBSTITUTE($G786,"-",""))-1))-LEN(SUBSTITUTE(SUBSTITUTE(SUBSTITUTE($G786,"-"," ",LEN($G786)-LEN(SUBSTITUTE($G786,"-",""))),"-"," ",LEN($G786)-LEN(SUBSTITUTE($G786,"-",""))-1),".","")))=0,SUBSTITUTE(SUBSTITUTE($G786,"-"," ",LEN($G786)-LEN(SUBSTITUTE($G786,"-",""))),"-"," ",LEN($G786)-LEN(SUBSTITUTE($G786,"-",""))-1),SUBSTITUTE(SUBSTITUTE(SUBSTITUTE($G786,"-"," ",LEN($G786)-LEN(SUBSTITUTE($G786,"-",""))),"-"," ",LEN($G786)-LEN(SUBSTITUTE($G786,"-",""))-1),"."," ",(LEN(SUBSTITUTE(SUBSTITUTE($G786,"-"," ",LEN($G786)-LEN(SUBSTITUTE($G786,"-",""))),"-"," ",LEN($G786)-LEN(SUBSTITUTE($G786,"-",""))-1))-LEN(SUBSTITUTE(SUBSTITUTE(SUBSTITUTE($G786,"-"," ",LEN($G786)-LEN(SUBSTITUTE($G786,"-",""))),"-"," ",LEN($G786)-LEN(SUBSTITUTE($G786,"-",""))-1),".",""))))),$G786)))</f>
        <v/>
      </c>
    </row>
    <row r="787">
      <c r="A787" s="58" t="n"/>
      <c r="B787" s="58">
        <f>IF($H787="","",LEFT($H787,FIND(" ",$H787&amp;" ")-1))</f>
        <v/>
      </c>
      <c r="C787" s="58">
        <f>IF($H787="","",IFERROR(MID($H787&amp;" ",FIND("|",SUBSTITUTE($H787&amp;" "," ","|",1))+1,FIND("|",SUBSTITUTE($H787&amp;" "," ","|",2))-FIND("|",SUBSTITUTE($H787&amp;" "," ","|",1))-1),""))</f>
        <v/>
      </c>
      <c r="D787" s="58">
        <f>IF($H787="","",IFERROR(MID($H787&amp;" ",FIND("|",SUBSTITUTE($H787&amp;" "," ","|",2))+1,FIND("|",SUBSTITUTE($H787&amp;" "," ","|",3))-FIND("|",SUBSTITUTE($H787&amp;" "," ","|",2))-1),""))</f>
        <v/>
      </c>
      <c r="E787" s="58">
        <f>IF($H787="","",IFERROR(MID($H787&amp;" ",FIND("|",SUBSTITUTE($H787&amp;" "," ","|",3))+1,FIND("|",SUBSTITUTE($H787&amp;" "," ","|",4))-FIND("|",SUBSTITUTE($H787&amp;" "," ","|",3))-1),""))</f>
        <v/>
      </c>
      <c r="F787" s="59">
        <f>IF($H787="","",IFERROR(VALUE(IFERROR(MID($H787&amp;" ",FIND("|",SUBSTITUTE($H787&amp;" "," ","|",4))+1,FIND("|",SUBSTITUTE($H787&amp;" "," ","|",5))-FIND("|",SUBSTITUTE($H787&amp;" "," ","|",4))-1),""))/86400+25569+9/24,""))</f>
        <v/>
      </c>
      <c r="G787" s="58">
        <f>TRIM(SUBSTITUTE(SUBSTITUTE(SUBSTITUTE($A787,CHAR(9)," ")," "," "),CHAR(13),""))</f>
        <v/>
      </c>
      <c r="H787" s="58">
        <f>IF($G787="","",IF(ISNUMBER(FIND(" ",$G787)),$G787,IFERROR(IF((LEN(SUBSTITUTE(SUBSTITUTE($G787,"-"," ",LEN($G787)-LEN(SUBSTITUTE($G787,"-",""))),"-"," ",LEN($G787)-LEN(SUBSTITUTE($G787,"-",""))-1))-LEN(SUBSTITUTE(SUBSTITUTE(SUBSTITUTE($G787,"-"," ",LEN($G787)-LEN(SUBSTITUTE($G787,"-",""))),"-"," ",LEN($G787)-LEN(SUBSTITUTE($G787,"-",""))-1),".","")))=0,SUBSTITUTE(SUBSTITUTE($G787,"-"," ",LEN($G787)-LEN(SUBSTITUTE($G787,"-",""))),"-"," ",LEN($G787)-LEN(SUBSTITUTE($G787,"-",""))-1),SUBSTITUTE(SUBSTITUTE(SUBSTITUTE($G787,"-"," ",LEN($G787)-LEN(SUBSTITUTE($G787,"-",""))),"-"," ",LEN($G787)-LEN(SUBSTITUTE($G787,"-",""))-1),"."," ",(LEN(SUBSTITUTE(SUBSTITUTE($G787,"-"," ",LEN($G787)-LEN(SUBSTITUTE($G787,"-",""))),"-"," ",LEN($G787)-LEN(SUBSTITUTE($G787,"-",""))-1))-LEN(SUBSTITUTE(SUBSTITUTE(SUBSTITUTE($G787,"-"," ",LEN($G787)-LEN(SUBSTITUTE($G787,"-",""))),"-"," ",LEN($G787)-LEN(SUBSTITUTE($G787,"-",""))-1),".",""))))),$G787)))</f>
        <v/>
      </c>
    </row>
    <row r="788">
      <c r="A788" s="58" t="n"/>
      <c r="B788" s="58">
        <f>IF($H788="","",LEFT($H788,FIND(" ",$H788&amp;" ")-1))</f>
        <v/>
      </c>
      <c r="C788" s="58">
        <f>IF($H788="","",IFERROR(MID($H788&amp;" ",FIND("|",SUBSTITUTE($H788&amp;" "," ","|",1))+1,FIND("|",SUBSTITUTE($H788&amp;" "," ","|",2))-FIND("|",SUBSTITUTE($H788&amp;" "," ","|",1))-1),""))</f>
        <v/>
      </c>
      <c r="D788" s="58">
        <f>IF($H788="","",IFERROR(MID($H788&amp;" ",FIND("|",SUBSTITUTE($H788&amp;" "," ","|",2))+1,FIND("|",SUBSTITUTE($H788&amp;" "," ","|",3))-FIND("|",SUBSTITUTE($H788&amp;" "," ","|",2))-1),""))</f>
        <v/>
      </c>
      <c r="E788" s="58">
        <f>IF($H788="","",IFERROR(MID($H788&amp;" ",FIND("|",SUBSTITUTE($H788&amp;" "," ","|",3))+1,FIND("|",SUBSTITUTE($H788&amp;" "," ","|",4))-FIND("|",SUBSTITUTE($H788&amp;" "," ","|",3))-1),""))</f>
        <v/>
      </c>
      <c r="F788" s="59">
        <f>IF($H788="","",IFERROR(VALUE(IFERROR(MID($H788&amp;" ",FIND("|",SUBSTITUTE($H788&amp;" "," ","|",4))+1,FIND("|",SUBSTITUTE($H788&amp;" "," ","|",5))-FIND("|",SUBSTITUTE($H788&amp;" "," ","|",4))-1),""))/86400+25569+9/24,""))</f>
        <v/>
      </c>
      <c r="G788" s="58">
        <f>TRIM(SUBSTITUTE(SUBSTITUTE(SUBSTITUTE($A788,CHAR(9)," ")," "," "),CHAR(13),""))</f>
        <v/>
      </c>
      <c r="H788" s="58">
        <f>IF($G788="","",IF(ISNUMBER(FIND(" ",$G788)),$G788,IFERROR(IF((LEN(SUBSTITUTE(SUBSTITUTE($G788,"-"," ",LEN($G788)-LEN(SUBSTITUTE($G788,"-",""))),"-"," ",LEN($G788)-LEN(SUBSTITUTE($G788,"-",""))-1))-LEN(SUBSTITUTE(SUBSTITUTE(SUBSTITUTE($G788,"-"," ",LEN($G788)-LEN(SUBSTITUTE($G788,"-",""))),"-"," ",LEN($G788)-LEN(SUBSTITUTE($G788,"-",""))-1),".","")))=0,SUBSTITUTE(SUBSTITUTE($G788,"-"," ",LEN($G788)-LEN(SUBSTITUTE($G788,"-",""))),"-"," ",LEN($G788)-LEN(SUBSTITUTE($G788,"-",""))-1),SUBSTITUTE(SUBSTITUTE(SUBSTITUTE($G788,"-"," ",LEN($G788)-LEN(SUBSTITUTE($G788,"-",""))),"-"," ",LEN($G788)-LEN(SUBSTITUTE($G788,"-",""))-1),"."," ",(LEN(SUBSTITUTE(SUBSTITUTE($G788,"-"," ",LEN($G788)-LEN(SUBSTITUTE($G788,"-",""))),"-"," ",LEN($G788)-LEN(SUBSTITUTE($G788,"-",""))-1))-LEN(SUBSTITUTE(SUBSTITUTE(SUBSTITUTE($G788,"-"," ",LEN($G788)-LEN(SUBSTITUTE($G788,"-",""))),"-"," ",LEN($G788)-LEN(SUBSTITUTE($G788,"-",""))-1),".",""))))),$G788)))</f>
        <v/>
      </c>
    </row>
    <row r="789">
      <c r="A789" s="58" t="n"/>
      <c r="B789" s="58">
        <f>IF($H789="","",LEFT($H789,FIND(" ",$H789&amp;" ")-1))</f>
        <v/>
      </c>
      <c r="C789" s="58">
        <f>IF($H789="","",IFERROR(MID($H789&amp;" ",FIND("|",SUBSTITUTE($H789&amp;" "," ","|",1))+1,FIND("|",SUBSTITUTE($H789&amp;" "," ","|",2))-FIND("|",SUBSTITUTE($H789&amp;" "," ","|",1))-1),""))</f>
        <v/>
      </c>
      <c r="D789" s="58">
        <f>IF($H789="","",IFERROR(MID($H789&amp;" ",FIND("|",SUBSTITUTE($H789&amp;" "," ","|",2))+1,FIND("|",SUBSTITUTE($H789&amp;" "," ","|",3))-FIND("|",SUBSTITUTE($H789&amp;" "," ","|",2))-1),""))</f>
        <v/>
      </c>
      <c r="E789" s="58">
        <f>IF($H789="","",IFERROR(MID($H789&amp;" ",FIND("|",SUBSTITUTE($H789&amp;" "," ","|",3))+1,FIND("|",SUBSTITUTE($H789&amp;" "," ","|",4))-FIND("|",SUBSTITUTE($H789&amp;" "," ","|",3))-1),""))</f>
        <v/>
      </c>
      <c r="F789" s="59">
        <f>IF($H789="","",IFERROR(VALUE(IFERROR(MID($H789&amp;" ",FIND("|",SUBSTITUTE($H789&amp;" "," ","|",4))+1,FIND("|",SUBSTITUTE($H789&amp;" "," ","|",5))-FIND("|",SUBSTITUTE($H789&amp;" "," ","|",4))-1),""))/86400+25569+9/24,""))</f>
        <v/>
      </c>
      <c r="G789" s="58">
        <f>TRIM(SUBSTITUTE(SUBSTITUTE(SUBSTITUTE($A789,CHAR(9)," ")," "," "),CHAR(13),""))</f>
        <v/>
      </c>
      <c r="H789" s="58">
        <f>IF($G789="","",IF(ISNUMBER(FIND(" ",$G789)),$G789,IFERROR(IF((LEN(SUBSTITUTE(SUBSTITUTE($G789,"-"," ",LEN($G789)-LEN(SUBSTITUTE($G789,"-",""))),"-"," ",LEN($G789)-LEN(SUBSTITUTE($G789,"-",""))-1))-LEN(SUBSTITUTE(SUBSTITUTE(SUBSTITUTE($G789,"-"," ",LEN($G789)-LEN(SUBSTITUTE($G789,"-",""))),"-"," ",LEN($G789)-LEN(SUBSTITUTE($G789,"-",""))-1),".","")))=0,SUBSTITUTE(SUBSTITUTE($G789,"-"," ",LEN($G789)-LEN(SUBSTITUTE($G789,"-",""))),"-"," ",LEN($G789)-LEN(SUBSTITUTE($G789,"-",""))-1),SUBSTITUTE(SUBSTITUTE(SUBSTITUTE($G789,"-"," ",LEN($G789)-LEN(SUBSTITUTE($G789,"-",""))),"-"," ",LEN($G789)-LEN(SUBSTITUTE($G789,"-",""))-1),"."," ",(LEN(SUBSTITUTE(SUBSTITUTE($G789,"-"," ",LEN($G789)-LEN(SUBSTITUTE($G789,"-",""))),"-"," ",LEN($G789)-LEN(SUBSTITUTE($G789,"-",""))-1))-LEN(SUBSTITUTE(SUBSTITUTE(SUBSTITUTE($G789,"-"," ",LEN($G789)-LEN(SUBSTITUTE($G789,"-",""))),"-"," ",LEN($G789)-LEN(SUBSTITUTE($G789,"-",""))-1),".",""))))),$G789)))</f>
        <v/>
      </c>
    </row>
    <row r="790">
      <c r="A790" s="58" t="n"/>
      <c r="B790" s="58">
        <f>IF($H790="","",LEFT($H790,FIND(" ",$H790&amp;" ")-1))</f>
        <v/>
      </c>
      <c r="C790" s="58">
        <f>IF($H790="","",IFERROR(MID($H790&amp;" ",FIND("|",SUBSTITUTE($H790&amp;" "," ","|",1))+1,FIND("|",SUBSTITUTE($H790&amp;" "," ","|",2))-FIND("|",SUBSTITUTE($H790&amp;" "," ","|",1))-1),""))</f>
        <v/>
      </c>
      <c r="D790" s="58">
        <f>IF($H790="","",IFERROR(MID($H790&amp;" ",FIND("|",SUBSTITUTE($H790&amp;" "," ","|",2))+1,FIND("|",SUBSTITUTE($H790&amp;" "," ","|",3))-FIND("|",SUBSTITUTE($H790&amp;" "," ","|",2))-1),""))</f>
        <v/>
      </c>
      <c r="E790" s="58">
        <f>IF($H790="","",IFERROR(MID($H790&amp;" ",FIND("|",SUBSTITUTE($H790&amp;" "," ","|",3))+1,FIND("|",SUBSTITUTE($H790&amp;" "," ","|",4))-FIND("|",SUBSTITUTE($H790&amp;" "," ","|",3))-1),""))</f>
        <v/>
      </c>
      <c r="F790" s="59">
        <f>IF($H790="","",IFERROR(VALUE(IFERROR(MID($H790&amp;" ",FIND("|",SUBSTITUTE($H790&amp;" "," ","|",4))+1,FIND("|",SUBSTITUTE($H790&amp;" "," ","|",5))-FIND("|",SUBSTITUTE($H790&amp;" "," ","|",4))-1),""))/86400+25569+9/24,""))</f>
        <v/>
      </c>
      <c r="G790" s="58">
        <f>TRIM(SUBSTITUTE(SUBSTITUTE(SUBSTITUTE($A790,CHAR(9)," ")," "," "),CHAR(13),""))</f>
        <v/>
      </c>
      <c r="H790" s="58">
        <f>IF($G790="","",IF(ISNUMBER(FIND(" ",$G790)),$G790,IFERROR(IF((LEN(SUBSTITUTE(SUBSTITUTE($G790,"-"," ",LEN($G790)-LEN(SUBSTITUTE($G790,"-",""))),"-"," ",LEN($G790)-LEN(SUBSTITUTE($G790,"-",""))-1))-LEN(SUBSTITUTE(SUBSTITUTE(SUBSTITUTE($G790,"-"," ",LEN($G790)-LEN(SUBSTITUTE($G790,"-",""))),"-"," ",LEN($G790)-LEN(SUBSTITUTE($G790,"-",""))-1),".","")))=0,SUBSTITUTE(SUBSTITUTE($G790,"-"," ",LEN($G790)-LEN(SUBSTITUTE($G790,"-",""))),"-"," ",LEN($G790)-LEN(SUBSTITUTE($G790,"-",""))-1),SUBSTITUTE(SUBSTITUTE(SUBSTITUTE($G790,"-"," ",LEN($G790)-LEN(SUBSTITUTE($G790,"-",""))),"-"," ",LEN($G790)-LEN(SUBSTITUTE($G790,"-",""))-1),"."," ",(LEN(SUBSTITUTE(SUBSTITUTE($G790,"-"," ",LEN($G790)-LEN(SUBSTITUTE($G790,"-",""))),"-"," ",LEN($G790)-LEN(SUBSTITUTE($G790,"-",""))-1))-LEN(SUBSTITUTE(SUBSTITUTE(SUBSTITUTE($G790,"-"," ",LEN($G790)-LEN(SUBSTITUTE($G790,"-",""))),"-"," ",LEN($G790)-LEN(SUBSTITUTE($G790,"-",""))-1),".",""))))),$G790)))</f>
        <v/>
      </c>
    </row>
    <row r="791">
      <c r="A791" s="58" t="n"/>
      <c r="B791" s="58">
        <f>IF($H791="","",LEFT($H791,FIND(" ",$H791&amp;" ")-1))</f>
        <v/>
      </c>
      <c r="C791" s="58">
        <f>IF($H791="","",IFERROR(MID($H791&amp;" ",FIND("|",SUBSTITUTE($H791&amp;" "," ","|",1))+1,FIND("|",SUBSTITUTE($H791&amp;" "," ","|",2))-FIND("|",SUBSTITUTE($H791&amp;" "," ","|",1))-1),""))</f>
        <v/>
      </c>
      <c r="D791" s="58">
        <f>IF($H791="","",IFERROR(MID($H791&amp;" ",FIND("|",SUBSTITUTE($H791&amp;" "," ","|",2))+1,FIND("|",SUBSTITUTE($H791&amp;" "," ","|",3))-FIND("|",SUBSTITUTE($H791&amp;" "," ","|",2))-1),""))</f>
        <v/>
      </c>
      <c r="E791" s="58">
        <f>IF($H791="","",IFERROR(MID($H791&amp;" ",FIND("|",SUBSTITUTE($H791&amp;" "," ","|",3))+1,FIND("|",SUBSTITUTE($H791&amp;" "," ","|",4))-FIND("|",SUBSTITUTE($H791&amp;" "," ","|",3))-1),""))</f>
        <v/>
      </c>
      <c r="F791" s="59">
        <f>IF($H791="","",IFERROR(VALUE(IFERROR(MID($H791&amp;" ",FIND("|",SUBSTITUTE($H791&amp;" "," ","|",4))+1,FIND("|",SUBSTITUTE($H791&amp;" "," ","|",5))-FIND("|",SUBSTITUTE($H791&amp;" "," ","|",4))-1),""))/86400+25569+9/24,""))</f>
        <v/>
      </c>
      <c r="G791" s="58">
        <f>TRIM(SUBSTITUTE(SUBSTITUTE(SUBSTITUTE($A791,CHAR(9)," ")," "," "),CHAR(13),""))</f>
        <v/>
      </c>
      <c r="H791" s="58">
        <f>IF($G791="","",IF(ISNUMBER(FIND(" ",$G791)),$G791,IFERROR(IF((LEN(SUBSTITUTE(SUBSTITUTE($G791,"-"," ",LEN($G791)-LEN(SUBSTITUTE($G791,"-",""))),"-"," ",LEN($G791)-LEN(SUBSTITUTE($G791,"-",""))-1))-LEN(SUBSTITUTE(SUBSTITUTE(SUBSTITUTE($G791,"-"," ",LEN($G791)-LEN(SUBSTITUTE($G791,"-",""))),"-"," ",LEN($G791)-LEN(SUBSTITUTE($G791,"-",""))-1),".","")))=0,SUBSTITUTE(SUBSTITUTE($G791,"-"," ",LEN($G791)-LEN(SUBSTITUTE($G791,"-",""))),"-"," ",LEN($G791)-LEN(SUBSTITUTE($G791,"-",""))-1),SUBSTITUTE(SUBSTITUTE(SUBSTITUTE($G791,"-"," ",LEN($G791)-LEN(SUBSTITUTE($G791,"-",""))),"-"," ",LEN($G791)-LEN(SUBSTITUTE($G791,"-",""))-1),"."," ",(LEN(SUBSTITUTE(SUBSTITUTE($G791,"-"," ",LEN($G791)-LEN(SUBSTITUTE($G791,"-",""))),"-"," ",LEN($G791)-LEN(SUBSTITUTE($G791,"-",""))-1))-LEN(SUBSTITUTE(SUBSTITUTE(SUBSTITUTE($G791,"-"," ",LEN($G791)-LEN(SUBSTITUTE($G791,"-",""))),"-"," ",LEN($G791)-LEN(SUBSTITUTE($G791,"-",""))-1),".",""))))),$G791)))</f>
        <v/>
      </c>
    </row>
    <row r="792">
      <c r="A792" s="58" t="n"/>
      <c r="B792" s="58">
        <f>IF($H792="","",LEFT($H792,FIND(" ",$H792&amp;" ")-1))</f>
        <v/>
      </c>
      <c r="C792" s="58">
        <f>IF($H792="","",IFERROR(MID($H792&amp;" ",FIND("|",SUBSTITUTE($H792&amp;" "," ","|",1))+1,FIND("|",SUBSTITUTE($H792&amp;" "," ","|",2))-FIND("|",SUBSTITUTE($H792&amp;" "," ","|",1))-1),""))</f>
        <v/>
      </c>
      <c r="D792" s="58">
        <f>IF($H792="","",IFERROR(MID($H792&amp;" ",FIND("|",SUBSTITUTE($H792&amp;" "," ","|",2))+1,FIND("|",SUBSTITUTE($H792&amp;" "," ","|",3))-FIND("|",SUBSTITUTE($H792&amp;" "," ","|",2))-1),""))</f>
        <v/>
      </c>
      <c r="E792" s="58">
        <f>IF($H792="","",IFERROR(MID($H792&amp;" ",FIND("|",SUBSTITUTE($H792&amp;" "," ","|",3))+1,FIND("|",SUBSTITUTE($H792&amp;" "," ","|",4))-FIND("|",SUBSTITUTE($H792&amp;" "," ","|",3))-1),""))</f>
        <v/>
      </c>
      <c r="F792" s="59">
        <f>IF($H792="","",IFERROR(VALUE(IFERROR(MID($H792&amp;" ",FIND("|",SUBSTITUTE($H792&amp;" "," ","|",4))+1,FIND("|",SUBSTITUTE($H792&amp;" "," ","|",5))-FIND("|",SUBSTITUTE($H792&amp;" "," ","|",4))-1),""))/86400+25569+9/24,""))</f>
        <v/>
      </c>
      <c r="G792" s="58">
        <f>TRIM(SUBSTITUTE(SUBSTITUTE(SUBSTITUTE($A792,CHAR(9)," ")," "," "),CHAR(13),""))</f>
        <v/>
      </c>
      <c r="H792" s="58">
        <f>IF($G792="","",IF(ISNUMBER(FIND(" ",$G792)),$G792,IFERROR(IF((LEN(SUBSTITUTE(SUBSTITUTE($G792,"-"," ",LEN($G792)-LEN(SUBSTITUTE($G792,"-",""))),"-"," ",LEN($G792)-LEN(SUBSTITUTE($G792,"-",""))-1))-LEN(SUBSTITUTE(SUBSTITUTE(SUBSTITUTE($G792,"-"," ",LEN($G792)-LEN(SUBSTITUTE($G792,"-",""))),"-"," ",LEN($G792)-LEN(SUBSTITUTE($G792,"-",""))-1),".","")))=0,SUBSTITUTE(SUBSTITUTE($G792,"-"," ",LEN($G792)-LEN(SUBSTITUTE($G792,"-",""))),"-"," ",LEN($G792)-LEN(SUBSTITUTE($G792,"-",""))-1),SUBSTITUTE(SUBSTITUTE(SUBSTITUTE($G792,"-"," ",LEN($G792)-LEN(SUBSTITUTE($G792,"-",""))),"-"," ",LEN($G792)-LEN(SUBSTITUTE($G792,"-",""))-1),"."," ",(LEN(SUBSTITUTE(SUBSTITUTE($G792,"-"," ",LEN($G792)-LEN(SUBSTITUTE($G792,"-",""))),"-"," ",LEN($G792)-LEN(SUBSTITUTE($G792,"-",""))-1))-LEN(SUBSTITUTE(SUBSTITUTE(SUBSTITUTE($G792,"-"," ",LEN($G792)-LEN(SUBSTITUTE($G792,"-",""))),"-"," ",LEN($G792)-LEN(SUBSTITUTE($G792,"-",""))-1),".",""))))),$G792)))</f>
        <v/>
      </c>
    </row>
    <row r="793">
      <c r="A793" s="58" t="n"/>
      <c r="B793" s="58">
        <f>IF($H793="","",LEFT($H793,FIND(" ",$H793&amp;" ")-1))</f>
        <v/>
      </c>
      <c r="C793" s="58">
        <f>IF($H793="","",IFERROR(MID($H793&amp;" ",FIND("|",SUBSTITUTE($H793&amp;" "," ","|",1))+1,FIND("|",SUBSTITUTE($H793&amp;" "," ","|",2))-FIND("|",SUBSTITUTE($H793&amp;" "," ","|",1))-1),""))</f>
        <v/>
      </c>
      <c r="D793" s="58">
        <f>IF($H793="","",IFERROR(MID($H793&amp;" ",FIND("|",SUBSTITUTE($H793&amp;" "," ","|",2))+1,FIND("|",SUBSTITUTE($H793&amp;" "," ","|",3))-FIND("|",SUBSTITUTE($H793&amp;" "," ","|",2))-1),""))</f>
        <v/>
      </c>
      <c r="E793" s="58">
        <f>IF($H793="","",IFERROR(MID($H793&amp;" ",FIND("|",SUBSTITUTE($H793&amp;" "," ","|",3))+1,FIND("|",SUBSTITUTE($H793&amp;" "," ","|",4))-FIND("|",SUBSTITUTE($H793&amp;" "," ","|",3))-1),""))</f>
        <v/>
      </c>
      <c r="F793" s="59">
        <f>IF($H793="","",IFERROR(VALUE(IFERROR(MID($H793&amp;" ",FIND("|",SUBSTITUTE($H793&amp;" "," ","|",4))+1,FIND("|",SUBSTITUTE($H793&amp;" "," ","|",5))-FIND("|",SUBSTITUTE($H793&amp;" "," ","|",4))-1),""))/86400+25569+9/24,""))</f>
        <v/>
      </c>
      <c r="G793" s="58">
        <f>TRIM(SUBSTITUTE(SUBSTITUTE(SUBSTITUTE($A793,CHAR(9)," ")," "," "),CHAR(13),""))</f>
        <v/>
      </c>
      <c r="H793" s="58">
        <f>IF($G793="","",IF(ISNUMBER(FIND(" ",$G793)),$G793,IFERROR(IF((LEN(SUBSTITUTE(SUBSTITUTE($G793,"-"," ",LEN($G793)-LEN(SUBSTITUTE($G793,"-",""))),"-"," ",LEN($G793)-LEN(SUBSTITUTE($G793,"-",""))-1))-LEN(SUBSTITUTE(SUBSTITUTE(SUBSTITUTE($G793,"-"," ",LEN($G793)-LEN(SUBSTITUTE($G793,"-",""))),"-"," ",LEN($G793)-LEN(SUBSTITUTE($G793,"-",""))-1),".","")))=0,SUBSTITUTE(SUBSTITUTE($G793,"-"," ",LEN($G793)-LEN(SUBSTITUTE($G793,"-",""))),"-"," ",LEN($G793)-LEN(SUBSTITUTE($G793,"-",""))-1),SUBSTITUTE(SUBSTITUTE(SUBSTITUTE($G793,"-"," ",LEN($G793)-LEN(SUBSTITUTE($G793,"-",""))),"-"," ",LEN($G793)-LEN(SUBSTITUTE($G793,"-",""))-1),"."," ",(LEN(SUBSTITUTE(SUBSTITUTE($G793,"-"," ",LEN($G793)-LEN(SUBSTITUTE($G793,"-",""))),"-"," ",LEN($G793)-LEN(SUBSTITUTE($G793,"-",""))-1))-LEN(SUBSTITUTE(SUBSTITUTE(SUBSTITUTE($G793,"-"," ",LEN($G793)-LEN(SUBSTITUTE($G793,"-",""))),"-"," ",LEN($G793)-LEN(SUBSTITUTE($G793,"-",""))-1),".",""))))),$G793)))</f>
        <v/>
      </c>
    </row>
    <row r="794">
      <c r="A794" s="58" t="n"/>
      <c r="B794" s="58">
        <f>IF($H794="","",LEFT($H794,FIND(" ",$H794&amp;" ")-1))</f>
        <v/>
      </c>
      <c r="C794" s="58">
        <f>IF($H794="","",IFERROR(MID($H794&amp;" ",FIND("|",SUBSTITUTE($H794&amp;" "," ","|",1))+1,FIND("|",SUBSTITUTE($H794&amp;" "," ","|",2))-FIND("|",SUBSTITUTE($H794&amp;" "," ","|",1))-1),""))</f>
        <v/>
      </c>
      <c r="D794" s="58">
        <f>IF($H794="","",IFERROR(MID($H794&amp;" ",FIND("|",SUBSTITUTE($H794&amp;" "," ","|",2))+1,FIND("|",SUBSTITUTE($H794&amp;" "," ","|",3))-FIND("|",SUBSTITUTE($H794&amp;" "," ","|",2))-1),""))</f>
        <v/>
      </c>
      <c r="E794" s="58">
        <f>IF($H794="","",IFERROR(MID($H794&amp;" ",FIND("|",SUBSTITUTE($H794&amp;" "," ","|",3))+1,FIND("|",SUBSTITUTE($H794&amp;" "," ","|",4))-FIND("|",SUBSTITUTE($H794&amp;" "," ","|",3))-1),""))</f>
        <v/>
      </c>
      <c r="F794" s="59">
        <f>IF($H794="","",IFERROR(VALUE(IFERROR(MID($H794&amp;" ",FIND("|",SUBSTITUTE($H794&amp;" "," ","|",4))+1,FIND("|",SUBSTITUTE($H794&amp;" "," ","|",5))-FIND("|",SUBSTITUTE($H794&amp;" "," ","|",4))-1),""))/86400+25569+9/24,""))</f>
        <v/>
      </c>
      <c r="G794" s="58">
        <f>TRIM(SUBSTITUTE(SUBSTITUTE(SUBSTITUTE($A794,CHAR(9)," ")," "," "),CHAR(13),""))</f>
        <v/>
      </c>
      <c r="H794" s="58">
        <f>IF($G794="","",IF(ISNUMBER(FIND(" ",$G794)),$G794,IFERROR(IF((LEN(SUBSTITUTE(SUBSTITUTE($G794,"-"," ",LEN($G794)-LEN(SUBSTITUTE($G794,"-",""))),"-"," ",LEN($G794)-LEN(SUBSTITUTE($G794,"-",""))-1))-LEN(SUBSTITUTE(SUBSTITUTE(SUBSTITUTE($G794,"-"," ",LEN($G794)-LEN(SUBSTITUTE($G794,"-",""))),"-"," ",LEN($G794)-LEN(SUBSTITUTE($G794,"-",""))-1),".","")))=0,SUBSTITUTE(SUBSTITUTE($G794,"-"," ",LEN($G794)-LEN(SUBSTITUTE($G794,"-",""))),"-"," ",LEN($G794)-LEN(SUBSTITUTE($G794,"-",""))-1),SUBSTITUTE(SUBSTITUTE(SUBSTITUTE($G794,"-"," ",LEN($G794)-LEN(SUBSTITUTE($G794,"-",""))),"-"," ",LEN($G794)-LEN(SUBSTITUTE($G794,"-",""))-1),"."," ",(LEN(SUBSTITUTE(SUBSTITUTE($G794,"-"," ",LEN($G794)-LEN(SUBSTITUTE($G794,"-",""))),"-"," ",LEN($G794)-LEN(SUBSTITUTE($G794,"-",""))-1))-LEN(SUBSTITUTE(SUBSTITUTE(SUBSTITUTE($G794,"-"," ",LEN($G794)-LEN(SUBSTITUTE($G794,"-",""))),"-"," ",LEN($G794)-LEN(SUBSTITUTE($G794,"-",""))-1),".",""))))),$G794)))</f>
        <v/>
      </c>
    </row>
    <row r="795">
      <c r="A795" s="58" t="n"/>
      <c r="B795" s="58">
        <f>IF($H795="","",LEFT($H795,FIND(" ",$H795&amp;" ")-1))</f>
        <v/>
      </c>
      <c r="C795" s="58">
        <f>IF($H795="","",IFERROR(MID($H795&amp;" ",FIND("|",SUBSTITUTE($H795&amp;" "," ","|",1))+1,FIND("|",SUBSTITUTE($H795&amp;" "," ","|",2))-FIND("|",SUBSTITUTE($H795&amp;" "," ","|",1))-1),""))</f>
        <v/>
      </c>
      <c r="D795" s="58">
        <f>IF($H795="","",IFERROR(MID($H795&amp;" ",FIND("|",SUBSTITUTE($H795&amp;" "," ","|",2))+1,FIND("|",SUBSTITUTE($H795&amp;" "," ","|",3))-FIND("|",SUBSTITUTE($H795&amp;" "," ","|",2))-1),""))</f>
        <v/>
      </c>
      <c r="E795" s="58">
        <f>IF($H795="","",IFERROR(MID($H795&amp;" ",FIND("|",SUBSTITUTE($H795&amp;" "," ","|",3))+1,FIND("|",SUBSTITUTE($H795&amp;" "," ","|",4))-FIND("|",SUBSTITUTE($H795&amp;" "," ","|",3))-1),""))</f>
        <v/>
      </c>
      <c r="F795" s="59">
        <f>IF($H795="","",IFERROR(VALUE(IFERROR(MID($H795&amp;" ",FIND("|",SUBSTITUTE($H795&amp;" "," ","|",4))+1,FIND("|",SUBSTITUTE($H795&amp;" "," ","|",5))-FIND("|",SUBSTITUTE($H795&amp;" "," ","|",4))-1),""))/86400+25569+9/24,""))</f>
        <v/>
      </c>
      <c r="G795" s="58">
        <f>TRIM(SUBSTITUTE(SUBSTITUTE(SUBSTITUTE($A795,CHAR(9)," ")," "," "),CHAR(13),""))</f>
        <v/>
      </c>
      <c r="H795" s="58">
        <f>IF($G795="","",IF(ISNUMBER(FIND(" ",$G795)),$G795,IFERROR(IF((LEN(SUBSTITUTE(SUBSTITUTE($G795,"-"," ",LEN($G795)-LEN(SUBSTITUTE($G795,"-",""))),"-"," ",LEN($G795)-LEN(SUBSTITUTE($G795,"-",""))-1))-LEN(SUBSTITUTE(SUBSTITUTE(SUBSTITUTE($G795,"-"," ",LEN($G795)-LEN(SUBSTITUTE($G795,"-",""))),"-"," ",LEN($G795)-LEN(SUBSTITUTE($G795,"-",""))-1),".","")))=0,SUBSTITUTE(SUBSTITUTE($G795,"-"," ",LEN($G795)-LEN(SUBSTITUTE($G795,"-",""))),"-"," ",LEN($G795)-LEN(SUBSTITUTE($G795,"-",""))-1),SUBSTITUTE(SUBSTITUTE(SUBSTITUTE($G795,"-"," ",LEN($G795)-LEN(SUBSTITUTE($G795,"-",""))),"-"," ",LEN($G795)-LEN(SUBSTITUTE($G795,"-",""))-1),"."," ",(LEN(SUBSTITUTE(SUBSTITUTE($G795,"-"," ",LEN($G795)-LEN(SUBSTITUTE($G795,"-",""))),"-"," ",LEN($G795)-LEN(SUBSTITUTE($G795,"-",""))-1))-LEN(SUBSTITUTE(SUBSTITUTE(SUBSTITUTE($G795,"-"," ",LEN($G795)-LEN(SUBSTITUTE($G795,"-",""))),"-"," ",LEN($G795)-LEN(SUBSTITUTE($G795,"-",""))-1),".",""))))),$G795)))</f>
        <v/>
      </c>
    </row>
    <row r="796">
      <c r="A796" s="58" t="n"/>
      <c r="B796" s="58">
        <f>IF($H796="","",LEFT($H796,FIND(" ",$H796&amp;" ")-1))</f>
        <v/>
      </c>
      <c r="C796" s="58">
        <f>IF($H796="","",IFERROR(MID($H796&amp;" ",FIND("|",SUBSTITUTE($H796&amp;" "," ","|",1))+1,FIND("|",SUBSTITUTE($H796&amp;" "," ","|",2))-FIND("|",SUBSTITUTE($H796&amp;" "," ","|",1))-1),""))</f>
        <v/>
      </c>
      <c r="D796" s="58">
        <f>IF($H796="","",IFERROR(MID($H796&amp;" ",FIND("|",SUBSTITUTE($H796&amp;" "," ","|",2))+1,FIND("|",SUBSTITUTE($H796&amp;" "," ","|",3))-FIND("|",SUBSTITUTE($H796&amp;" "," ","|",2))-1),""))</f>
        <v/>
      </c>
      <c r="E796" s="58">
        <f>IF($H796="","",IFERROR(MID($H796&amp;" ",FIND("|",SUBSTITUTE($H796&amp;" "," ","|",3))+1,FIND("|",SUBSTITUTE($H796&amp;" "," ","|",4))-FIND("|",SUBSTITUTE($H796&amp;" "," ","|",3))-1),""))</f>
        <v/>
      </c>
      <c r="F796" s="59">
        <f>IF($H796="","",IFERROR(VALUE(IFERROR(MID($H796&amp;" ",FIND("|",SUBSTITUTE($H796&amp;" "," ","|",4))+1,FIND("|",SUBSTITUTE($H796&amp;" "," ","|",5))-FIND("|",SUBSTITUTE($H796&amp;" "," ","|",4))-1),""))/86400+25569+9/24,""))</f>
        <v/>
      </c>
      <c r="G796" s="58">
        <f>TRIM(SUBSTITUTE(SUBSTITUTE(SUBSTITUTE($A796,CHAR(9)," ")," "," "),CHAR(13),""))</f>
        <v/>
      </c>
      <c r="H796" s="58">
        <f>IF($G796="","",IF(ISNUMBER(FIND(" ",$G796)),$G796,IFERROR(IF((LEN(SUBSTITUTE(SUBSTITUTE($G796,"-"," ",LEN($G796)-LEN(SUBSTITUTE($G796,"-",""))),"-"," ",LEN($G796)-LEN(SUBSTITUTE($G796,"-",""))-1))-LEN(SUBSTITUTE(SUBSTITUTE(SUBSTITUTE($G796,"-"," ",LEN($G796)-LEN(SUBSTITUTE($G796,"-",""))),"-"," ",LEN($G796)-LEN(SUBSTITUTE($G796,"-",""))-1),".","")))=0,SUBSTITUTE(SUBSTITUTE($G796,"-"," ",LEN($G796)-LEN(SUBSTITUTE($G796,"-",""))),"-"," ",LEN($G796)-LEN(SUBSTITUTE($G796,"-",""))-1),SUBSTITUTE(SUBSTITUTE(SUBSTITUTE($G796,"-"," ",LEN($G796)-LEN(SUBSTITUTE($G796,"-",""))),"-"," ",LEN($G796)-LEN(SUBSTITUTE($G796,"-",""))-1),"."," ",(LEN(SUBSTITUTE(SUBSTITUTE($G796,"-"," ",LEN($G796)-LEN(SUBSTITUTE($G796,"-",""))),"-"," ",LEN($G796)-LEN(SUBSTITUTE($G796,"-",""))-1))-LEN(SUBSTITUTE(SUBSTITUTE(SUBSTITUTE($G796,"-"," ",LEN($G796)-LEN(SUBSTITUTE($G796,"-",""))),"-"," ",LEN($G796)-LEN(SUBSTITUTE($G796,"-",""))-1),".",""))))),$G796)))</f>
        <v/>
      </c>
    </row>
    <row r="797">
      <c r="A797" s="58" t="n"/>
      <c r="B797" s="58">
        <f>IF($H797="","",LEFT($H797,FIND(" ",$H797&amp;" ")-1))</f>
        <v/>
      </c>
      <c r="C797" s="58">
        <f>IF($H797="","",IFERROR(MID($H797&amp;" ",FIND("|",SUBSTITUTE($H797&amp;" "," ","|",1))+1,FIND("|",SUBSTITUTE($H797&amp;" "," ","|",2))-FIND("|",SUBSTITUTE($H797&amp;" "," ","|",1))-1),""))</f>
        <v/>
      </c>
      <c r="D797" s="58">
        <f>IF($H797="","",IFERROR(MID($H797&amp;" ",FIND("|",SUBSTITUTE($H797&amp;" "," ","|",2))+1,FIND("|",SUBSTITUTE($H797&amp;" "," ","|",3))-FIND("|",SUBSTITUTE($H797&amp;" "," ","|",2))-1),""))</f>
        <v/>
      </c>
      <c r="E797" s="58">
        <f>IF($H797="","",IFERROR(MID($H797&amp;" ",FIND("|",SUBSTITUTE($H797&amp;" "," ","|",3))+1,FIND("|",SUBSTITUTE($H797&amp;" "," ","|",4))-FIND("|",SUBSTITUTE($H797&amp;" "," ","|",3))-1),""))</f>
        <v/>
      </c>
      <c r="F797" s="59">
        <f>IF($H797="","",IFERROR(VALUE(IFERROR(MID($H797&amp;" ",FIND("|",SUBSTITUTE($H797&amp;" "," ","|",4))+1,FIND("|",SUBSTITUTE($H797&amp;" "," ","|",5))-FIND("|",SUBSTITUTE($H797&amp;" "," ","|",4))-1),""))/86400+25569+9/24,""))</f>
        <v/>
      </c>
      <c r="G797" s="58">
        <f>TRIM(SUBSTITUTE(SUBSTITUTE(SUBSTITUTE($A797,CHAR(9)," ")," "," "),CHAR(13),""))</f>
        <v/>
      </c>
      <c r="H797" s="58">
        <f>IF($G797="","",IF(ISNUMBER(FIND(" ",$G797)),$G797,IFERROR(IF((LEN(SUBSTITUTE(SUBSTITUTE($G797,"-"," ",LEN($G797)-LEN(SUBSTITUTE($G797,"-",""))),"-"," ",LEN($G797)-LEN(SUBSTITUTE($G797,"-",""))-1))-LEN(SUBSTITUTE(SUBSTITUTE(SUBSTITUTE($G797,"-"," ",LEN($G797)-LEN(SUBSTITUTE($G797,"-",""))),"-"," ",LEN($G797)-LEN(SUBSTITUTE($G797,"-",""))-1),".","")))=0,SUBSTITUTE(SUBSTITUTE($G797,"-"," ",LEN($G797)-LEN(SUBSTITUTE($G797,"-",""))),"-"," ",LEN($G797)-LEN(SUBSTITUTE($G797,"-",""))-1),SUBSTITUTE(SUBSTITUTE(SUBSTITUTE($G797,"-"," ",LEN($G797)-LEN(SUBSTITUTE($G797,"-",""))),"-"," ",LEN($G797)-LEN(SUBSTITUTE($G797,"-",""))-1),"."," ",(LEN(SUBSTITUTE(SUBSTITUTE($G797,"-"," ",LEN($G797)-LEN(SUBSTITUTE($G797,"-",""))),"-"," ",LEN($G797)-LEN(SUBSTITUTE($G797,"-",""))-1))-LEN(SUBSTITUTE(SUBSTITUTE(SUBSTITUTE($G797,"-"," ",LEN($G797)-LEN(SUBSTITUTE($G797,"-",""))),"-"," ",LEN($G797)-LEN(SUBSTITUTE($G797,"-",""))-1),".",""))))),$G797)))</f>
        <v/>
      </c>
    </row>
    <row r="798">
      <c r="A798" s="58" t="n"/>
      <c r="B798" s="58">
        <f>IF($H798="","",LEFT($H798,FIND(" ",$H798&amp;" ")-1))</f>
        <v/>
      </c>
      <c r="C798" s="58">
        <f>IF($H798="","",IFERROR(MID($H798&amp;" ",FIND("|",SUBSTITUTE($H798&amp;" "," ","|",1))+1,FIND("|",SUBSTITUTE($H798&amp;" "," ","|",2))-FIND("|",SUBSTITUTE($H798&amp;" "," ","|",1))-1),""))</f>
        <v/>
      </c>
      <c r="D798" s="58">
        <f>IF($H798="","",IFERROR(MID($H798&amp;" ",FIND("|",SUBSTITUTE($H798&amp;" "," ","|",2))+1,FIND("|",SUBSTITUTE($H798&amp;" "," ","|",3))-FIND("|",SUBSTITUTE($H798&amp;" "," ","|",2))-1),""))</f>
        <v/>
      </c>
      <c r="E798" s="58">
        <f>IF($H798="","",IFERROR(MID($H798&amp;" ",FIND("|",SUBSTITUTE($H798&amp;" "," ","|",3))+1,FIND("|",SUBSTITUTE($H798&amp;" "," ","|",4))-FIND("|",SUBSTITUTE($H798&amp;" "," ","|",3))-1),""))</f>
        <v/>
      </c>
      <c r="F798" s="59">
        <f>IF($H798="","",IFERROR(VALUE(IFERROR(MID($H798&amp;" ",FIND("|",SUBSTITUTE($H798&amp;" "," ","|",4))+1,FIND("|",SUBSTITUTE($H798&amp;" "," ","|",5))-FIND("|",SUBSTITUTE($H798&amp;" "," ","|",4))-1),""))/86400+25569+9/24,""))</f>
        <v/>
      </c>
      <c r="G798" s="58">
        <f>TRIM(SUBSTITUTE(SUBSTITUTE(SUBSTITUTE($A798,CHAR(9)," ")," "," "),CHAR(13),""))</f>
        <v/>
      </c>
      <c r="H798" s="58">
        <f>IF($G798="","",IF(ISNUMBER(FIND(" ",$G798)),$G798,IFERROR(IF((LEN(SUBSTITUTE(SUBSTITUTE($G798,"-"," ",LEN($G798)-LEN(SUBSTITUTE($G798,"-",""))),"-"," ",LEN($G798)-LEN(SUBSTITUTE($G798,"-",""))-1))-LEN(SUBSTITUTE(SUBSTITUTE(SUBSTITUTE($G798,"-"," ",LEN($G798)-LEN(SUBSTITUTE($G798,"-",""))),"-"," ",LEN($G798)-LEN(SUBSTITUTE($G798,"-",""))-1),".","")))=0,SUBSTITUTE(SUBSTITUTE($G798,"-"," ",LEN($G798)-LEN(SUBSTITUTE($G798,"-",""))),"-"," ",LEN($G798)-LEN(SUBSTITUTE($G798,"-",""))-1),SUBSTITUTE(SUBSTITUTE(SUBSTITUTE($G798,"-"," ",LEN($G798)-LEN(SUBSTITUTE($G798,"-",""))),"-"," ",LEN($G798)-LEN(SUBSTITUTE($G798,"-",""))-1),"."," ",(LEN(SUBSTITUTE(SUBSTITUTE($G798,"-"," ",LEN($G798)-LEN(SUBSTITUTE($G798,"-",""))),"-"," ",LEN($G798)-LEN(SUBSTITUTE($G798,"-",""))-1))-LEN(SUBSTITUTE(SUBSTITUTE(SUBSTITUTE($G798,"-"," ",LEN($G798)-LEN(SUBSTITUTE($G798,"-",""))),"-"," ",LEN($G798)-LEN(SUBSTITUTE($G798,"-",""))-1),".",""))))),$G798)))</f>
        <v/>
      </c>
    </row>
    <row r="799">
      <c r="A799" s="58" t="n"/>
      <c r="B799" s="58">
        <f>IF($H799="","",LEFT($H799,FIND(" ",$H799&amp;" ")-1))</f>
        <v/>
      </c>
      <c r="C799" s="58">
        <f>IF($H799="","",IFERROR(MID($H799&amp;" ",FIND("|",SUBSTITUTE($H799&amp;" "," ","|",1))+1,FIND("|",SUBSTITUTE($H799&amp;" "," ","|",2))-FIND("|",SUBSTITUTE($H799&amp;" "," ","|",1))-1),""))</f>
        <v/>
      </c>
      <c r="D799" s="58">
        <f>IF($H799="","",IFERROR(MID($H799&amp;" ",FIND("|",SUBSTITUTE($H799&amp;" "," ","|",2))+1,FIND("|",SUBSTITUTE($H799&amp;" "," ","|",3))-FIND("|",SUBSTITUTE($H799&amp;" "," ","|",2))-1),""))</f>
        <v/>
      </c>
      <c r="E799" s="58">
        <f>IF($H799="","",IFERROR(MID($H799&amp;" ",FIND("|",SUBSTITUTE($H799&amp;" "," ","|",3))+1,FIND("|",SUBSTITUTE($H799&amp;" "," ","|",4))-FIND("|",SUBSTITUTE($H799&amp;" "," ","|",3))-1),""))</f>
        <v/>
      </c>
      <c r="F799" s="59">
        <f>IF($H799="","",IFERROR(VALUE(IFERROR(MID($H799&amp;" ",FIND("|",SUBSTITUTE($H799&amp;" "," ","|",4))+1,FIND("|",SUBSTITUTE($H799&amp;" "," ","|",5))-FIND("|",SUBSTITUTE($H799&amp;" "," ","|",4))-1),""))/86400+25569+9/24,""))</f>
        <v/>
      </c>
      <c r="G799" s="58">
        <f>TRIM(SUBSTITUTE(SUBSTITUTE(SUBSTITUTE($A799,CHAR(9)," ")," "," "),CHAR(13),""))</f>
        <v/>
      </c>
      <c r="H799" s="58">
        <f>IF($G799="","",IF(ISNUMBER(FIND(" ",$G799)),$G799,IFERROR(IF((LEN(SUBSTITUTE(SUBSTITUTE($G799,"-"," ",LEN($G799)-LEN(SUBSTITUTE($G799,"-",""))),"-"," ",LEN($G799)-LEN(SUBSTITUTE($G799,"-",""))-1))-LEN(SUBSTITUTE(SUBSTITUTE(SUBSTITUTE($G799,"-"," ",LEN($G799)-LEN(SUBSTITUTE($G799,"-",""))),"-"," ",LEN($G799)-LEN(SUBSTITUTE($G799,"-",""))-1),".","")))=0,SUBSTITUTE(SUBSTITUTE($G799,"-"," ",LEN($G799)-LEN(SUBSTITUTE($G799,"-",""))),"-"," ",LEN($G799)-LEN(SUBSTITUTE($G799,"-",""))-1),SUBSTITUTE(SUBSTITUTE(SUBSTITUTE($G799,"-"," ",LEN($G799)-LEN(SUBSTITUTE($G799,"-",""))),"-"," ",LEN($G799)-LEN(SUBSTITUTE($G799,"-",""))-1),"."," ",(LEN(SUBSTITUTE(SUBSTITUTE($G799,"-"," ",LEN($G799)-LEN(SUBSTITUTE($G799,"-",""))),"-"," ",LEN($G799)-LEN(SUBSTITUTE($G799,"-",""))-1))-LEN(SUBSTITUTE(SUBSTITUTE(SUBSTITUTE($G799,"-"," ",LEN($G799)-LEN(SUBSTITUTE($G799,"-",""))),"-"," ",LEN($G799)-LEN(SUBSTITUTE($G799,"-",""))-1),".",""))))),$G799)))</f>
        <v/>
      </c>
    </row>
    <row r="800">
      <c r="A800" s="58" t="n"/>
      <c r="B800" s="58">
        <f>IF($H800="","",LEFT($H800,FIND(" ",$H800&amp;" ")-1))</f>
        <v/>
      </c>
      <c r="C800" s="58">
        <f>IF($H800="","",IFERROR(MID($H800&amp;" ",FIND("|",SUBSTITUTE($H800&amp;" "," ","|",1))+1,FIND("|",SUBSTITUTE($H800&amp;" "," ","|",2))-FIND("|",SUBSTITUTE($H800&amp;" "," ","|",1))-1),""))</f>
        <v/>
      </c>
      <c r="D800" s="58">
        <f>IF($H800="","",IFERROR(MID($H800&amp;" ",FIND("|",SUBSTITUTE($H800&amp;" "," ","|",2))+1,FIND("|",SUBSTITUTE($H800&amp;" "," ","|",3))-FIND("|",SUBSTITUTE($H800&amp;" "," ","|",2))-1),""))</f>
        <v/>
      </c>
      <c r="E800" s="58">
        <f>IF($H800="","",IFERROR(MID($H800&amp;" ",FIND("|",SUBSTITUTE($H800&amp;" "," ","|",3))+1,FIND("|",SUBSTITUTE($H800&amp;" "," ","|",4))-FIND("|",SUBSTITUTE($H800&amp;" "," ","|",3))-1),""))</f>
        <v/>
      </c>
      <c r="F800" s="59">
        <f>IF($H800="","",IFERROR(VALUE(IFERROR(MID($H800&amp;" ",FIND("|",SUBSTITUTE($H800&amp;" "," ","|",4))+1,FIND("|",SUBSTITUTE($H800&amp;" "," ","|",5))-FIND("|",SUBSTITUTE($H800&amp;" "," ","|",4))-1),""))/86400+25569+9/24,""))</f>
        <v/>
      </c>
      <c r="G800" s="58">
        <f>TRIM(SUBSTITUTE(SUBSTITUTE(SUBSTITUTE($A800,CHAR(9)," ")," "," "),CHAR(13),""))</f>
        <v/>
      </c>
      <c r="H800" s="58">
        <f>IF($G800="","",IF(ISNUMBER(FIND(" ",$G800)),$G800,IFERROR(IF((LEN(SUBSTITUTE(SUBSTITUTE($G800,"-"," ",LEN($G800)-LEN(SUBSTITUTE($G800,"-",""))),"-"," ",LEN($G800)-LEN(SUBSTITUTE($G800,"-",""))-1))-LEN(SUBSTITUTE(SUBSTITUTE(SUBSTITUTE($G800,"-"," ",LEN($G800)-LEN(SUBSTITUTE($G800,"-",""))),"-"," ",LEN($G800)-LEN(SUBSTITUTE($G800,"-",""))-1),".","")))=0,SUBSTITUTE(SUBSTITUTE($G800,"-"," ",LEN($G800)-LEN(SUBSTITUTE($G800,"-",""))),"-"," ",LEN($G800)-LEN(SUBSTITUTE($G800,"-",""))-1),SUBSTITUTE(SUBSTITUTE(SUBSTITUTE($G800,"-"," ",LEN($G800)-LEN(SUBSTITUTE($G800,"-",""))),"-"," ",LEN($G800)-LEN(SUBSTITUTE($G800,"-",""))-1),"."," ",(LEN(SUBSTITUTE(SUBSTITUTE($G800,"-"," ",LEN($G800)-LEN(SUBSTITUTE($G800,"-",""))),"-"," ",LEN($G800)-LEN(SUBSTITUTE($G800,"-",""))-1))-LEN(SUBSTITUTE(SUBSTITUTE(SUBSTITUTE($G800,"-"," ",LEN($G800)-LEN(SUBSTITUTE($G800,"-",""))),"-"," ",LEN($G800)-LEN(SUBSTITUTE($G800,"-",""))-1),".",""))))),$G800)))</f>
        <v/>
      </c>
    </row>
    <row r="801">
      <c r="A801" s="58" t="n"/>
      <c r="B801" s="58">
        <f>IF($H801="","",LEFT($H801,FIND(" ",$H801&amp;" ")-1))</f>
        <v/>
      </c>
      <c r="C801" s="58">
        <f>IF($H801="","",IFERROR(MID($H801&amp;" ",FIND("|",SUBSTITUTE($H801&amp;" "," ","|",1))+1,FIND("|",SUBSTITUTE($H801&amp;" "," ","|",2))-FIND("|",SUBSTITUTE($H801&amp;" "," ","|",1))-1),""))</f>
        <v/>
      </c>
      <c r="D801" s="58">
        <f>IF($H801="","",IFERROR(MID($H801&amp;" ",FIND("|",SUBSTITUTE($H801&amp;" "," ","|",2))+1,FIND("|",SUBSTITUTE($H801&amp;" "," ","|",3))-FIND("|",SUBSTITUTE($H801&amp;" "," ","|",2))-1),""))</f>
        <v/>
      </c>
      <c r="E801" s="58">
        <f>IF($H801="","",IFERROR(MID($H801&amp;" ",FIND("|",SUBSTITUTE($H801&amp;" "," ","|",3))+1,FIND("|",SUBSTITUTE($H801&amp;" "," ","|",4))-FIND("|",SUBSTITUTE($H801&amp;" "," ","|",3))-1),""))</f>
        <v/>
      </c>
      <c r="F801" s="59">
        <f>IF($H801="","",IFERROR(VALUE(IFERROR(MID($H801&amp;" ",FIND("|",SUBSTITUTE($H801&amp;" "," ","|",4))+1,FIND("|",SUBSTITUTE($H801&amp;" "," ","|",5))-FIND("|",SUBSTITUTE($H801&amp;" "," ","|",4))-1),""))/86400+25569+9/24,""))</f>
        <v/>
      </c>
      <c r="G801" s="58">
        <f>TRIM(SUBSTITUTE(SUBSTITUTE(SUBSTITUTE($A801,CHAR(9)," ")," "," "),CHAR(13),""))</f>
        <v/>
      </c>
      <c r="H801" s="58">
        <f>IF($G801="","",IF(ISNUMBER(FIND(" ",$G801)),$G801,IFERROR(IF((LEN(SUBSTITUTE(SUBSTITUTE($G801,"-"," ",LEN($G801)-LEN(SUBSTITUTE($G801,"-",""))),"-"," ",LEN($G801)-LEN(SUBSTITUTE($G801,"-",""))-1))-LEN(SUBSTITUTE(SUBSTITUTE(SUBSTITUTE($G801,"-"," ",LEN($G801)-LEN(SUBSTITUTE($G801,"-",""))),"-"," ",LEN($G801)-LEN(SUBSTITUTE($G801,"-",""))-1),".","")))=0,SUBSTITUTE(SUBSTITUTE($G801,"-"," ",LEN($G801)-LEN(SUBSTITUTE($G801,"-",""))),"-"," ",LEN($G801)-LEN(SUBSTITUTE($G801,"-",""))-1),SUBSTITUTE(SUBSTITUTE(SUBSTITUTE($G801,"-"," ",LEN($G801)-LEN(SUBSTITUTE($G801,"-",""))),"-"," ",LEN($G801)-LEN(SUBSTITUTE($G801,"-",""))-1),"."," ",(LEN(SUBSTITUTE(SUBSTITUTE($G801,"-"," ",LEN($G801)-LEN(SUBSTITUTE($G801,"-",""))),"-"," ",LEN($G801)-LEN(SUBSTITUTE($G801,"-",""))-1))-LEN(SUBSTITUTE(SUBSTITUTE(SUBSTITUTE($G801,"-"," ",LEN($G801)-LEN(SUBSTITUTE($G801,"-",""))),"-"," ",LEN($G801)-LEN(SUBSTITUTE($G801,"-",""))-1),".",""))))),$G801)))</f>
        <v/>
      </c>
    </row>
    <row r="802">
      <c r="A802" s="58" t="n"/>
      <c r="B802" s="58">
        <f>IF($H802="","",LEFT($H802,FIND(" ",$H802&amp;" ")-1))</f>
        <v/>
      </c>
      <c r="C802" s="58">
        <f>IF($H802="","",IFERROR(MID($H802&amp;" ",FIND("|",SUBSTITUTE($H802&amp;" "," ","|",1))+1,FIND("|",SUBSTITUTE($H802&amp;" "," ","|",2))-FIND("|",SUBSTITUTE($H802&amp;" "," ","|",1))-1),""))</f>
        <v/>
      </c>
      <c r="D802" s="58">
        <f>IF($H802="","",IFERROR(MID($H802&amp;" ",FIND("|",SUBSTITUTE($H802&amp;" "," ","|",2))+1,FIND("|",SUBSTITUTE($H802&amp;" "," ","|",3))-FIND("|",SUBSTITUTE($H802&amp;" "," ","|",2))-1),""))</f>
        <v/>
      </c>
      <c r="E802" s="58">
        <f>IF($H802="","",IFERROR(MID($H802&amp;" ",FIND("|",SUBSTITUTE($H802&amp;" "," ","|",3))+1,FIND("|",SUBSTITUTE($H802&amp;" "," ","|",4))-FIND("|",SUBSTITUTE($H802&amp;" "," ","|",3))-1),""))</f>
        <v/>
      </c>
      <c r="F802" s="59">
        <f>IF($H802="","",IFERROR(VALUE(IFERROR(MID($H802&amp;" ",FIND("|",SUBSTITUTE($H802&amp;" "," ","|",4))+1,FIND("|",SUBSTITUTE($H802&amp;" "," ","|",5))-FIND("|",SUBSTITUTE($H802&amp;" "," ","|",4))-1),""))/86400+25569+9/24,""))</f>
        <v/>
      </c>
      <c r="G802" s="58">
        <f>TRIM(SUBSTITUTE(SUBSTITUTE(SUBSTITUTE($A802,CHAR(9)," ")," "," "),CHAR(13),""))</f>
        <v/>
      </c>
      <c r="H802" s="58">
        <f>IF($G802="","",IF(ISNUMBER(FIND(" ",$G802)),$G802,IFERROR(IF((LEN(SUBSTITUTE(SUBSTITUTE($G802,"-"," ",LEN($G802)-LEN(SUBSTITUTE($G802,"-",""))),"-"," ",LEN($G802)-LEN(SUBSTITUTE($G802,"-",""))-1))-LEN(SUBSTITUTE(SUBSTITUTE(SUBSTITUTE($G802,"-"," ",LEN($G802)-LEN(SUBSTITUTE($G802,"-",""))),"-"," ",LEN($G802)-LEN(SUBSTITUTE($G802,"-",""))-1),".","")))=0,SUBSTITUTE(SUBSTITUTE($G802,"-"," ",LEN($G802)-LEN(SUBSTITUTE($G802,"-",""))),"-"," ",LEN($G802)-LEN(SUBSTITUTE($G802,"-",""))-1),SUBSTITUTE(SUBSTITUTE(SUBSTITUTE($G802,"-"," ",LEN($G802)-LEN(SUBSTITUTE($G802,"-",""))),"-"," ",LEN($G802)-LEN(SUBSTITUTE($G802,"-",""))-1),"."," ",(LEN(SUBSTITUTE(SUBSTITUTE($G802,"-"," ",LEN($G802)-LEN(SUBSTITUTE($G802,"-",""))),"-"," ",LEN($G802)-LEN(SUBSTITUTE($G802,"-",""))-1))-LEN(SUBSTITUTE(SUBSTITUTE(SUBSTITUTE($G802,"-"," ",LEN($G802)-LEN(SUBSTITUTE($G802,"-",""))),"-"," ",LEN($G802)-LEN(SUBSTITUTE($G802,"-",""))-1),".",""))))),$G802)))</f>
        <v/>
      </c>
    </row>
    <row r="803">
      <c r="A803" s="58" t="n"/>
      <c r="B803" s="58">
        <f>IF($H803="","",LEFT($H803,FIND(" ",$H803&amp;" ")-1))</f>
        <v/>
      </c>
      <c r="C803" s="58">
        <f>IF($H803="","",IFERROR(MID($H803&amp;" ",FIND("|",SUBSTITUTE($H803&amp;" "," ","|",1))+1,FIND("|",SUBSTITUTE($H803&amp;" "," ","|",2))-FIND("|",SUBSTITUTE($H803&amp;" "," ","|",1))-1),""))</f>
        <v/>
      </c>
      <c r="D803" s="58">
        <f>IF($H803="","",IFERROR(MID($H803&amp;" ",FIND("|",SUBSTITUTE($H803&amp;" "," ","|",2))+1,FIND("|",SUBSTITUTE($H803&amp;" "," ","|",3))-FIND("|",SUBSTITUTE($H803&amp;" "," ","|",2))-1),""))</f>
        <v/>
      </c>
      <c r="E803" s="58">
        <f>IF($H803="","",IFERROR(MID($H803&amp;" ",FIND("|",SUBSTITUTE($H803&amp;" "," ","|",3))+1,FIND("|",SUBSTITUTE($H803&amp;" "," ","|",4))-FIND("|",SUBSTITUTE($H803&amp;" "," ","|",3))-1),""))</f>
        <v/>
      </c>
      <c r="F803" s="59">
        <f>IF($H803="","",IFERROR(VALUE(IFERROR(MID($H803&amp;" ",FIND("|",SUBSTITUTE($H803&amp;" "," ","|",4))+1,FIND("|",SUBSTITUTE($H803&amp;" "," ","|",5))-FIND("|",SUBSTITUTE($H803&amp;" "," ","|",4))-1),""))/86400+25569+9/24,""))</f>
        <v/>
      </c>
      <c r="G803" s="58">
        <f>TRIM(SUBSTITUTE(SUBSTITUTE(SUBSTITUTE($A803,CHAR(9)," ")," "," "),CHAR(13),""))</f>
        <v/>
      </c>
      <c r="H803" s="58">
        <f>IF($G803="","",IF(ISNUMBER(FIND(" ",$G803)),$G803,IFERROR(IF((LEN(SUBSTITUTE(SUBSTITUTE($G803,"-"," ",LEN($G803)-LEN(SUBSTITUTE($G803,"-",""))),"-"," ",LEN($G803)-LEN(SUBSTITUTE($G803,"-",""))-1))-LEN(SUBSTITUTE(SUBSTITUTE(SUBSTITUTE($G803,"-"," ",LEN($G803)-LEN(SUBSTITUTE($G803,"-",""))),"-"," ",LEN($G803)-LEN(SUBSTITUTE($G803,"-",""))-1),".","")))=0,SUBSTITUTE(SUBSTITUTE($G803,"-"," ",LEN($G803)-LEN(SUBSTITUTE($G803,"-",""))),"-"," ",LEN($G803)-LEN(SUBSTITUTE($G803,"-",""))-1),SUBSTITUTE(SUBSTITUTE(SUBSTITUTE($G803,"-"," ",LEN($G803)-LEN(SUBSTITUTE($G803,"-",""))),"-"," ",LEN($G803)-LEN(SUBSTITUTE($G803,"-",""))-1),"."," ",(LEN(SUBSTITUTE(SUBSTITUTE($G803,"-"," ",LEN($G803)-LEN(SUBSTITUTE($G803,"-",""))),"-"," ",LEN($G803)-LEN(SUBSTITUTE($G803,"-",""))-1))-LEN(SUBSTITUTE(SUBSTITUTE(SUBSTITUTE($G803,"-"," ",LEN($G803)-LEN(SUBSTITUTE($G803,"-",""))),"-"," ",LEN($G803)-LEN(SUBSTITUTE($G803,"-",""))-1),".",""))))),$G803)))</f>
        <v/>
      </c>
    </row>
    <row r="804">
      <c r="A804" s="58" t="n"/>
      <c r="B804" s="58">
        <f>IF($H804="","",LEFT($H804,FIND(" ",$H804&amp;" ")-1))</f>
        <v/>
      </c>
      <c r="C804" s="58">
        <f>IF($H804="","",IFERROR(MID($H804&amp;" ",FIND("|",SUBSTITUTE($H804&amp;" "," ","|",1))+1,FIND("|",SUBSTITUTE($H804&amp;" "," ","|",2))-FIND("|",SUBSTITUTE($H804&amp;" "," ","|",1))-1),""))</f>
        <v/>
      </c>
      <c r="D804" s="58">
        <f>IF($H804="","",IFERROR(MID($H804&amp;" ",FIND("|",SUBSTITUTE($H804&amp;" "," ","|",2))+1,FIND("|",SUBSTITUTE($H804&amp;" "," ","|",3))-FIND("|",SUBSTITUTE($H804&amp;" "," ","|",2))-1),""))</f>
        <v/>
      </c>
      <c r="E804" s="58">
        <f>IF($H804="","",IFERROR(MID($H804&amp;" ",FIND("|",SUBSTITUTE($H804&amp;" "," ","|",3))+1,FIND("|",SUBSTITUTE($H804&amp;" "," ","|",4))-FIND("|",SUBSTITUTE($H804&amp;" "," ","|",3))-1),""))</f>
        <v/>
      </c>
      <c r="F804" s="59">
        <f>IF($H804="","",IFERROR(VALUE(IFERROR(MID($H804&amp;" ",FIND("|",SUBSTITUTE($H804&amp;" "," ","|",4))+1,FIND("|",SUBSTITUTE($H804&amp;" "," ","|",5))-FIND("|",SUBSTITUTE($H804&amp;" "," ","|",4))-1),""))/86400+25569+9/24,""))</f>
        <v/>
      </c>
      <c r="G804" s="58">
        <f>TRIM(SUBSTITUTE(SUBSTITUTE(SUBSTITUTE($A804,CHAR(9)," ")," "," "),CHAR(13),""))</f>
        <v/>
      </c>
      <c r="H804" s="58">
        <f>IF($G804="","",IF(ISNUMBER(FIND(" ",$G804)),$G804,IFERROR(IF((LEN(SUBSTITUTE(SUBSTITUTE($G804,"-"," ",LEN($G804)-LEN(SUBSTITUTE($G804,"-",""))),"-"," ",LEN($G804)-LEN(SUBSTITUTE($G804,"-",""))-1))-LEN(SUBSTITUTE(SUBSTITUTE(SUBSTITUTE($G804,"-"," ",LEN($G804)-LEN(SUBSTITUTE($G804,"-",""))),"-"," ",LEN($G804)-LEN(SUBSTITUTE($G804,"-",""))-1),".","")))=0,SUBSTITUTE(SUBSTITUTE($G804,"-"," ",LEN($G804)-LEN(SUBSTITUTE($G804,"-",""))),"-"," ",LEN($G804)-LEN(SUBSTITUTE($G804,"-",""))-1),SUBSTITUTE(SUBSTITUTE(SUBSTITUTE($G804,"-"," ",LEN($G804)-LEN(SUBSTITUTE($G804,"-",""))),"-"," ",LEN($G804)-LEN(SUBSTITUTE($G804,"-",""))-1),"."," ",(LEN(SUBSTITUTE(SUBSTITUTE($G804,"-"," ",LEN($G804)-LEN(SUBSTITUTE($G804,"-",""))),"-"," ",LEN($G804)-LEN(SUBSTITUTE($G804,"-",""))-1))-LEN(SUBSTITUTE(SUBSTITUTE(SUBSTITUTE($G804,"-"," ",LEN($G804)-LEN(SUBSTITUTE($G804,"-",""))),"-"," ",LEN($G804)-LEN(SUBSTITUTE($G804,"-",""))-1),".",""))))),$G804)))</f>
        <v/>
      </c>
    </row>
    <row r="805">
      <c r="A805" s="58" t="n"/>
      <c r="B805" s="58">
        <f>IF($H805="","",LEFT($H805,FIND(" ",$H805&amp;" ")-1))</f>
        <v/>
      </c>
      <c r="C805" s="58">
        <f>IF($H805="","",IFERROR(MID($H805&amp;" ",FIND("|",SUBSTITUTE($H805&amp;" "," ","|",1))+1,FIND("|",SUBSTITUTE($H805&amp;" "," ","|",2))-FIND("|",SUBSTITUTE($H805&amp;" "," ","|",1))-1),""))</f>
        <v/>
      </c>
      <c r="D805" s="58">
        <f>IF($H805="","",IFERROR(MID($H805&amp;" ",FIND("|",SUBSTITUTE($H805&amp;" "," ","|",2))+1,FIND("|",SUBSTITUTE($H805&amp;" "," ","|",3))-FIND("|",SUBSTITUTE($H805&amp;" "," ","|",2))-1),""))</f>
        <v/>
      </c>
      <c r="E805" s="58">
        <f>IF($H805="","",IFERROR(MID($H805&amp;" ",FIND("|",SUBSTITUTE($H805&amp;" "," ","|",3))+1,FIND("|",SUBSTITUTE($H805&amp;" "," ","|",4))-FIND("|",SUBSTITUTE($H805&amp;" "," ","|",3))-1),""))</f>
        <v/>
      </c>
      <c r="F805" s="59">
        <f>IF($H805="","",IFERROR(VALUE(IFERROR(MID($H805&amp;" ",FIND("|",SUBSTITUTE($H805&amp;" "," ","|",4))+1,FIND("|",SUBSTITUTE($H805&amp;" "," ","|",5))-FIND("|",SUBSTITUTE($H805&amp;" "," ","|",4))-1),""))/86400+25569+9/24,""))</f>
        <v/>
      </c>
      <c r="G805" s="58">
        <f>TRIM(SUBSTITUTE(SUBSTITUTE(SUBSTITUTE($A805,CHAR(9)," ")," "," "),CHAR(13),""))</f>
        <v/>
      </c>
      <c r="H805" s="58">
        <f>IF($G805="","",IF(ISNUMBER(FIND(" ",$G805)),$G805,IFERROR(IF((LEN(SUBSTITUTE(SUBSTITUTE($G805,"-"," ",LEN($G805)-LEN(SUBSTITUTE($G805,"-",""))),"-"," ",LEN($G805)-LEN(SUBSTITUTE($G805,"-",""))-1))-LEN(SUBSTITUTE(SUBSTITUTE(SUBSTITUTE($G805,"-"," ",LEN($G805)-LEN(SUBSTITUTE($G805,"-",""))),"-"," ",LEN($G805)-LEN(SUBSTITUTE($G805,"-",""))-1),".","")))=0,SUBSTITUTE(SUBSTITUTE($G805,"-"," ",LEN($G805)-LEN(SUBSTITUTE($G805,"-",""))),"-"," ",LEN($G805)-LEN(SUBSTITUTE($G805,"-",""))-1),SUBSTITUTE(SUBSTITUTE(SUBSTITUTE($G805,"-"," ",LEN($G805)-LEN(SUBSTITUTE($G805,"-",""))),"-"," ",LEN($G805)-LEN(SUBSTITUTE($G805,"-",""))-1),"."," ",(LEN(SUBSTITUTE(SUBSTITUTE($G805,"-"," ",LEN($G805)-LEN(SUBSTITUTE($G805,"-",""))),"-"," ",LEN($G805)-LEN(SUBSTITUTE($G805,"-",""))-1))-LEN(SUBSTITUTE(SUBSTITUTE(SUBSTITUTE($G805,"-"," ",LEN($G805)-LEN(SUBSTITUTE($G805,"-",""))),"-"," ",LEN($G805)-LEN(SUBSTITUTE($G805,"-",""))-1),".",""))))),$G805)))</f>
        <v/>
      </c>
    </row>
    <row r="806">
      <c r="A806" s="58" t="n"/>
      <c r="B806" s="58">
        <f>IF($H806="","",LEFT($H806,FIND(" ",$H806&amp;" ")-1))</f>
        <v/>
      </c>
      <c r="C806" s="58">
        <f>IF($H806="","",IFERROR(MID($H806&amp;" ",FIND("|",SUBSTITUTE($H806&amp;" "," ","|",1))+1,FIND("|",SUBSTITUTE($H806&amp;" "," ","|",2))-FIND("|",SUBSTITUTE($H806&amp;" "," ","|",1))-1),""))</f>
        <v/>
      </c>
      <c r="D806" s="58">
        <f>IF($H806="","",IFERROR(MID($H806&amp;" ",FIND("|",SUBSTITUTE($H806&amp;" "," ","|",2))+1,FIND("|",SUBSTITUTE($H806&amp;" "," ","|",3))-FIND("|",SUBSTITUTE($H806&amp;" "," ","|",2))-1),""))</f>
        <v/>
      </c>
      <c r="E806" s="58">
        <f>IF($H806="","",IFERROR(MID($H806&amp;" ",FIND("|",SUBSTITUTE($H806&amp;" "," ","|",3))+1,FIND("|",SUBSTITUTE($H806&amp;" "," ","|",4))-FIND("|",SUBSTITUTE($H806&amp;" "," ","|",3))-1),""))</f>
        <v/>
      </c>
      <c r="F806" s="59">
        <f>IF($H806="","",IFERROR(VALUE(IFERROR(MID($H806&amp;" ",FIND("|",SUBSTITUTE($H806&amp;" "," ","|",4))+1,FIND("|",SUBSTITUTE($H806&amp;" "," ","|",5))-FIND("|",SUBSTITUTE($H806&amp;" "," ","|",4))-1),""))/86400+25569+9/24,""))</f>
        <v/>
      </c>
      <c r="G806" s="58">
        <f>TRIM(SUBSTITUTE(SUBSTITUTE(SUBSTITUTE($A806,CHAR(9)," ")," "," "),CHAR(13),""))</f>
        <v/>
      </c>
      <c r="H806" s="58">
        <f>IF($G806="","",IF(ISNUMBER(FIND(" ",$G806)),$G806,IFERROR(IF((LEN(SUBSTITUTE(SUBSTITUTE($G806,"-"," ",LEN($G806)-LEN(SUBSTITUTE($G806,"-",""))),"-"," ",LEN($G806)-LEN(SUBSTITUTE($G806,"-",""))-1))-LEN(SUBSTITUTE(SUBSTITUTE(SUBSTITUTE($G806,"-"," ",LEN($G806)-LEN(SUBSTITUTE($G806,"-",""))),"-"," ",LEN($G806)-LEN(SUBSTITUTE($G806,"-",""))-1),".","")))=0,SUBSTITUTE(SUBSTITUTE($G806,"-"," ",LEN($G806)-LEN(SUBSTITUTE($G806,"-",""))),"-"," ",LEN($G806)-LEN(SUBSTITUTE($G806,"-",""))-1),SUBSTITUTE(SUBSTITUTE(SUBSTITUTE($G806,"-"," ",LEN($G806)-LEN(SUBSTITUTE($G806,"-",""))),"-"," ",LEN($G806)-LEN(SUBSTITUTE($G806,"-",""))-1),"."," ",(LEN(SUBSTITUTE(SUBSTITUTE($G806,"-"," ",LEN($G806)-LEN(SUBSTITUTE($G806,"-",""))),"-"," ",LEN($G806)-LEN(SUBSTITUTE($G806,"-",""))-1))-LEN(SUBSTITUTE(SUBSTITUTE(SUBSTITUTE($G806,"-"," ",LEN($G806)-LEN(SUBSTITUTE($G806,"-",""))),"-"," ",LEN($G806)-LEN(SUBSTITUTE($G806,"-",""))-1),".",""))))),$G806)))</f>
        <v/>
      </c>
    </row>
    <row r="807">
      <c r="A807" s="58" t="n"/>
      <c r="B807" s="58">
        <f>IF($H807="","",LEFT($H807,FIND(" ",$H807&amp;" ")-1))</f>
        <v/>
      </c>
      <c r="C807" s="58">
        <f>IF($H807="","",IFERROR(MID($H807&amp;" ",FIND("|",SUBSTITUTE($H807&amp;" "," ","|",1))+1,FIND("|",SUBSTITUTE($H807&amp;" "," ","|",2))-FIND("|",SUBSTITUTE($H807&amp;" "," ","|",1))-1),""))</f>
        <v/>
      </c>
      <c r="D807" s="58">
        <f>IF($H807="","",IFERROR(MID($H807&amp;" ",FIND("|",SUBSTITUTE($H807&amp;" "," ","|",2))+1,FIND("|",SUBSTITUTE($H807&amp;" "," ","|",3))-FIND("|",SUBSTITUTE($H807&amp;" "," ","|",2))-1),""))</f>
        <v/>
      </c>
      <c r="E807" s="58">
        <f>IF($H807="","",IFERROR(MID($H807&amp;" ",FIND("|",SUBSTITUTE($H807&amp;" "," ","|",3))+1,FIND("|",SUBSTITUTE($H807&amp;" "," ","|",4))-FIND("|",SUBSTITUTE($H807&amp;" "," ","|",3))-1),""))</f>
        <v/>
      </c>
      <c r="F807" s="59">
        <f>IF($H807="","",IFERROR(VALUE(IFERROR(MID($H807&amp;" ",FIND("|",SUBSTITUTE($H807&amp;" "," ","|",4))+1,FIND("|",SUBSTITUTE($H807&amp;" "," ","|",5))-FIND("|",SUBSTITUTE($H807&amp;" "," ","|",4))-1),""))/86400+25569+9/24,""))</f>
        <v/>
      </c>
      <c r="G807" s="58">
        <f>TRIM(SUBSTITUTE(SUBSTITUTE(SUBSTITUTE($A807,CHAR(9)," ")," "," "),CHAR(13),""))</f>
        <v/>
      </c>
      <c r="H807" s="58">
        <f>IF($G807="","",IF(ISNUMBER(FIND(" ",$G807)),$G807,IFERROR(IF((LEN(SUBSTITUTE(SUBSTITUTE($G807,"-"," ",LEN($G807)-LEN(SUBSTITUTE($G807,"-",""))),"-"," ",LEN($G807)-LEN(SUBSTITUTE($G807,"-",""))-1))-LEN(SUBSTITUTE(SUBSTITUTE(SUBSTITUTE($G807,"-"," ",LEN($G807)-LEN(SUBSTITUTE($G807,"-",""))),"-"," ",LEN($G807)-LEN(SUBSTITUTE($G807,"-",""))-1),".","")))=0,SUBSTITUTE(SUBSTITUTE($G807,"-"," ",LEN($G807)-LEN(SUBSTITUTE($G807,"-",""))),"-"," ",LEN($G807)-LEN(SUBSTITUTE($G807,"-",""))-1),SUBSTITUTE(SUBSTITUTE(SUBSTITUTE($G807,"-"," ",LEN($G807)-LEN(SUBSTITUTE($G807,"-",""))),"-"," ",LEN($G807)-LEN(SUBSTITUTE($G807,"-",""))-1),"."," ",(LEN(SUBSTITUTE(SUBSTITUTE($G807,"-"," ",LEN($G807)-LEN(SUBSTITUTE($G807,"-",""))),"-"," ",LEN($G807)-LEN(SUBSTITUTE($G807,"-",""))-1))-LEN(SUBSTITUTE(SUBSTITUTE(SUBSTITUTE($G807,"-"," ",LEN($G807)-LEN(SUBSTITUTE($G807,"-",""))),"-"," ",LEN($G807)-LEN(SUBSTITUTE($G807,"-",""))-1),".",""))))),$G807)))</f>
        <v/>
      </c>
    </row>
    <row r="808">
      <c r="A808" s="58" t="n"/>
      <c r="B808" s="58">
        <f>IF($H808="","",LEFT($H808,FIND(" ",$H808&amp;" ")-1))</f>
        <v/>
      </c>
      <c r="C808" s="58">
        <f>IF($H808="","",IFERROR(MID($H808&amp;" ",FIND("|",SUBSTITUTE($H808&amp;" "," ","|",1))+1,FIND("|",SUBSTITUTE($H808&amp;" "," ","|",2))-FIND("|",SUBSTITUTE($H808&amp;" "," ","|",1))-1),""))</f>
        <v/>
      </c>
      <c r="D808" s="58">
        <f>IF($H808="","",IFERROR(MID($H808&amp;" ",FIND("|",SUBSTITUTE($H808&amp;" "," ","|",2))+1,FIND("|",SUBSTITUTE($H808&amp;" "," ","|",3))-FIND("|",SUBSTITUTE($H808&amp;" "," ","|",2))-1),""))</f>
        <v/>
      </c>
      <c r="E808" s="58">
        <f>IF($H808="","",IFERROR(MID($H808&amp;" ",FIND("|",SUBSTITUTE($H808&amp;" "," ","|",3))+1,FIND("|",SUBSTITUTE($H808&amp;" "," ","|",4))-FIND("|",SUBSTITUTE($H808&amp;" "," ","|",3))-1),""))</f>
        <v/>
      </c>
      <c r="F808" s="59">
        <f>IF($H808="","",IFERROR(VALUE(IFERROR(MID($H808&amp;" ",FIND("|",SUBSTITUTE($H808&amp;" "," ","|",4))+1,FIND("|",SUBSTITUTE($H808&amp;" "," ","|",5))-FIND("|",SUBSTITUTE($H808&amp;" "," ","|",4))-1),""))/86400+25569+9/24,""))</f>
        <v/>
      </c>
      <c r="G808" s="58">
        <f>TRIM(SUBSTITUTE(SUBSTITUTE(SUBSTITUTE($A808,CHAR(9)," ")," "," "),CHAR(13),""))</f>
        <v/>
      </c>
      <c r="H808" s="58">
        <f>IF($G808="","",IF(ISNUMBER(FIND(" ",$G808)),$G808,IFERROR(IF((LEN(SUBSTITUTE(SUBSTITUTE($G808,"-"," ",LEN($G808)-LEN(SUBSTITUTE($G808,"-",""))),"-"," ",LEN($G808)-LEN(SUBSTITUTE($G808,"-",""))-1))-LEN(SUBSTITUTE(SUBSTITUTE(SUBSTITUTE($G808,"-"," ",LEN($G808)-LEN(SUBSTITUTE($G808,"-",""))),"-"," ",LEN($G808)-LEN(SUBSTITUTE($G808,"-",""))-1),".","")))=0,SUBSTITUTE(SUBSTITUTE($G808,"-"," ",LEN($G808)-LEN(SUBSTITUTE($G808,"-",""))),"-"," ",LEN($G808)-LEN(SUBSTITUTE($G808,"-",""))-1),SUBSTITUTE(SUBSTITUTE(SUBSTITUTE($G808,"-"," ",LEN($G808)-LEN(SUBSTITUTE($G808,"-",""))),"-"," ",LEN($G808)-LEN(SUBSTITUTE($G808,"-",""))-1),"."," ",(LEN(SUBSTITUTE(SUBSTITUTE($G808,"-"," ",LEN($G808)-LEN(SUBSTITUTE($G808,"-",""))),"-"," ",LEN($G808)-LEN(SUBSTITUTE($G808,"-",""))-1))-LEN(SUBSTITUTE(SUBSTITUTE(SUBSTITUTE($G808,"-"," ",LEN($G808)-LEN(SUBSTITUTE($G808,"-",""))),"-"," ",LEN($G808)-LEN(SUBSTITUTE($G808,"-",""))-1),".",""))))),$G808)))</f>
        <v/>
      </c>
    </row>
    <row r="809">
      <c r="A809" s="58" t="n"/>
      <c r="B809" s="58">
        <f>IF($H809="","",LEFT($H809,FIND(" ",$H809&amp;" ")-1))</f>
        <v/>
      </c>
      <c r="C809" s="58">
        <f>IF($H809="","",IFERROR(MID($H809&amp;" ",FIND("|",SUBSTITUTE($H809&amp;" "," ","|",1))+1,FIND("|",SUBSTITUTE($H809&amp;" "," ","|",2))-FIND("|",SUBSTITUTE($H809&amp;" "," ","|",1))-1),""))</f>
        <v/>
      </c>
      <c r="D809" s="58">
        <f>IF($H809="","",IFERROR(MID($H809&amp;" ",FIND("|",SUBSTITUTE($H809&amp;" "," ","|",2))+1,FIND("|",SUBSTITUTE($H809&amp;" "," ","|",3))-FIND("|",SUBSTITUTE($H809&amp;" "," ","|",2))-1),""))</f>
        <v/>
      </c>
      <c r="E809" s="58">
        <f>IF($H809="","",IFERROR(MID($H809&amp;" ",FIND("|",SUBSTITUTE($H809&amp;" "," ","|",3))+1,FIND("|",SUBSTITUTE($H809&amp;" "," ","|",4))-FIND("|",SUBSTITUTE($H809&amp;" "," ","|",3))-1),""))</f>
        <v/>
      </c>
      <c r="F809" s="59">
        <f>IF($H809="","",IFERROR(VALUE(IFERROR(MID($H809&amp;" ",FIND("|",SUBSTITUTE($H809&amp;" "," ","|",4))+1,FIND("|",SUBSTITUTE($H809&amp;" "," ","|",5))-FIND("|",SUBSTITUTE($H809&amp;" "," ","|",4))-1),""))/86400+25569+9/24,""))</f>
        <v/>
      </c>
      <c r="G809" s="58">
        <f>TRIM(SUBSTITUTE(SUBSTITUTE(SUBSTITUTE($A809,CHAR(9)," ")," "," "),CHAR(13),""))</f>
        <v/>
      </c>
      <c r="H809" s="58">
        <f>IF($G809="","",IF(ISNUMBER(FIND(" ",$G809)),$G809,IFERROR(IF((LEN(SUBSTITUTE(SUBSTITUTE($G809,"-"," ",LEN($G809)-LEN(SUBSTITUTE($G809,"-",""))),"-"," ",LEN($G809)-LEN(SUBSTITUTE($G809,"-",""))-1))-LEN(SUBSTITUTE(SUBSTITUTE(SUBSTITUTE($G809,"-"," ",LEN($G809)-LEN(SUBSTITUTE($G809,"-",""))),"-"," ",LEN($G809)-LEN(SUBSTITUTE($G809,"-",""))-1),".","")))=0,SUBSTITUTE(SUBSTITUTE($G809,"-"," ",LEN($G809)-LEN(SUBSTITUTE($G809,"-",""))),"-"," ",LEN($G809)-LEN(SUBSTITUTE($G809,"-",""))-1),SUBSTITUTE(SUBSTITUTE(SUBSTITUTE($G809,"-"," ",LEN($G809)-LEN(SUBSTITUTE($G809,"-",""))),"-"," ",LEN($G809)-LEN(SUBSTITUTE($G809,"-",""))-1),"."," ",(LEN(SUBSTITUTE(SUBSTITUTE($G809,"-"," ",LEN($G809)-LEN(SUBSTITUTE($G809,"-",""))),"-"," ",LEN($G809)-LEN(SUBSTITUTE($G809,"-",""))-1))-LEN(SUBSTITUTE(SUBSTITUTE(SUBSTITUTE($G809,"-"," ",LEN($G809)-LEN(SUBSTITUTE($G809,"-",""))),"-"," ",LEN($G809)-LEN(SUBSTITUTE($G809,"-",""))-1),".",""))))),$G809)))</f>
        <v/>
      </c>
    </row>
    <row r="810">
      <c r="A810" s="58" t="n"/>
      <c r="B810" s="58">
        <f>IF($H810="","",LEFT($H810,FIND(" ",$H810&amp;" ")-1))</f>
        <v/>
      </c>
      <c r="C810" s="58">
        <f>IF($H810="","",IFERROR(MID($H810&amp;" ",FIND("|",SUBSTITUTE($H810&amp;" "," ","|",1))+1,FIND("|",SUBSTITUTE($H810&amp;" "," ","|",2))-FIND("|",SUBSTITUTE($H810&amp;" "," ","|",1))-1),""))</f>
        <v/>
      </c>
      <c r="D810" s="58">
        <f>IF($H810="","",IFERROR(MID($H810&amp;" ",FIND("|",SUBSTITUTE($H810&amp;" "," ","|",2))+1,FIND("|",SUBSTITUTE($H810&amp;" "," ","|",3))-FIND("|",SUBSTITUTE($H810&amp;" "," ","|",2))-1),""))</f>
        <v/>
      </c>
      <c r="E810" s="58">
        <f>IF($H810="","",IFERROR(MID($H810&amp;" ",FIND("|",SUBSTITUTE($H810&amp;" "," ","|",3))+1,FIND("|",SUBSTITUTE($H810&amp;" "," ","|",4))-FIND("|",SUBSTITUTE($H810&amp;" "," ","|",3))-1),""))</f>
        <v/>
      </c>
      <c r="F810" s="59">
        <f>IF($H810="","",IFERROR(VALUE(IFERROR(MID($H810&amp;" ",FIND("|",SUBSTITUTE($H810&amp;" "," ","|",4))+1,FIND("|",SUBSTITUTE($H810&amp;" "," ","|",5))-FIND("|",SUBSTITUTE($H810&amp;" "," ","|",4))-1),""))/86400+25569+9/24,""))</f>
        <v/>
      </c>
      <c r="G810" s="58">
        <f>TRIM(SUBSTITUTE(SUBSTITUTE(SUBSTITUTE($A810,CHAR(9)," ")," "," "),CHAR(13),""))</f>
        <v/>
      </c>
      <c r="H810" s="58">
        <f>IF($G810="","",IF(ISNUMBER(FIND(" ",$G810)),$G810,IFERROR(IF((LEN(SUBSTITUTE(SUBSTITUTE($G810,"-"," ",LEN($G810)-LEN(SUBSTITUTE($G810,"-",""))),"-"," ",LEN($G810)-LEN(SUBSTITUTE($G810,"-",""))-1))-LEN(SUBSTITUTE(SUBSTITUTE(SUBSTITUTE($G810,"-"," ",LEN($G810)-LEN(SUBSTITUTE($G810,"-",""))),"-"," ",LEN($G810)-LEN(SUBSTITUTE($G810,"-",""))-1),".","")))=0,SUBSTITUTE(SUBSTITUTE($G810,"-"," ",LEN($G810)-LEN(SUBSTITUTE($G810,"-",""))),"-"," ",LEN($G810)-LEN(SUBSTITUTE($G810,"-",""))-1),SUBSTITUTE(SUBSTITUTE(SUBSTITUTE($G810,"-"," ",LEN($G810)-LEN(SUBSTITUTE($G810,"-",""))),"-"," ",LEN($G810)-LEN(SUBSTITUTE($G810,"-",""))-1),"."," ",(LEN(SUBSTITUTE(SUBSTITUTE($G810,"-"," ",LEN($G810)-LEN(SUBSTITUTE($G810,"-",""))),"-"," ",LEN($G810)-LEN(SUBSTITUTE($G810,"-",""))-1))-LEN(SUBSTITUTE(SUBSTITUTE(SUBSTITUTE($G810,"-"," ",LEN($G810)-LEN(SUBSTITUTE($G810,"-",""))),"-"," ",LEN($G810)-LEN(SUBSTITUTE($G810,"-",""))-1),".",""))))),$G810)))</f>
        <v/>
      </c>
    </row>
    <row r="811">
      <c r="A811" s="58" t="n"/>
      <c r="B811" s="58">
        <f>IF($H811="","",LEFT($H811,FIND(" ",$H811&amp;" ")-1))</f>
        <v/>
      </c>
      <c r="C811" s="58">
        <f>IF($H811="","",IFERROR(MID($H811&amp;" ",FIND("|",SUBSTITUTE($H811&amp;" "," ","|",1))+1,FIND("|",SUBSTITUTE($H811&amp;" "," ","|",2))-FIND("|",SUBSTITUTE($H811&amp;" "," ","|",1))-1),""))</f>
        <v/>
      </c>
      <c r="D811" s="58">
        <f>IF($H811="","",IFERROR(MID($H811&amp;" ",FIND("|",SUBSTITUTE($H811&amp;" "," ","|",2))+1,FIND("|",SUBSTITUTE($H811&amp;" "," ","|",3))-FIND("|",SUBSTITUTE($H811&amp;" "," ","|",2))-1),""))</f>
        <v/>
      </c>
      <c r="E811" s="58">
        <f>IF($H811="","",IFERROR(MID($H811&amp;" ",FIND("|",SUBSTITUTE($H811&amp;" "," ","|",3))+1,FIND("|",SUBSTITUTE($H811&amp;" "," ","|",4))-FIND("|",SUBSTITUTE($H811&amp;" "," ","|",3))-1),""))</f>
        <v/>
      </c>
      <c r="F811" s="59">
        <f>IF($H811="","",IFERROR(VALUE(IFERROR(MID($H811&amp;" ",FIND("|",SUBSTITUTE($H811&amp;" "," ","|",4))+1,FIND("|",SUBSTITUTE($H811&amp;" "," ","|",5))-FIND("|",SUBSTITUTE($H811&amp;" "," ","|",4))-1),""))/86400+25569+9/24,""))</f>
        <v/>
      </c>
      <c r="G811" s="58">
        <f>TRIM(SUBSTITUTE(SUBSTITUTE(SUBSTITUTE($A811,CHAR(9)," ")," "," "),CHAR(13),""))</f>
        <v/>
      </c>
      <c r="H811" s="58">
        <f>IF($G811="","",IF(ISNUMBER(FIND(" ",$G811)),$G811,IFERROR(IF((LEN(SUBSTITUTE(SUBSTITUTE($G811,"-"," ",LEN($G811)-LEN(SUBSTITUTE($G811,"-",""))),"-"," ",LEN($G811)-LEN(SUBSTITUTE($G811,"-",""))-1))-LEN(SUBSTITUTE(SUBSTITUTE(SUBSTITUTE($G811,"-"," ",LEN($G811)-LEN(SUBSTITUTE($G811,"-",""))),"-"," ",LEN($G811)-LEN(SUBSTITUTE($G811,"-",""))-1),".","")))=0,SUBSTITUTE(SUBSTITUTE($G811,"-"," ",LEN($G811)-LEN(SUBSTITUTE($G811,"-",""))),"-"," ",LEN($G811)-LEN(SUBSTITUTE($G811,"-",""))-1),SUBSTITUTE(SUBSTITUTE(SUBSTITUTE($G811,"-"," ",LEN($G811)-LEN(SUBSTITUTE($G811,"-",""))),"-"," ",LEN($G811)-LEN(SUBSTITUTE($G811,"-",""))-1),"."," ",(LEN(SUBSTITUTE(SUBSTITUTE($G811,"-"," ",LEN($G811)-LEN(SUBSTITUTE($G811,"-",""))),"-"," ",LEN($G811)-LEN(SUBSTITUTE($G811,"-",""))-1))-LEN(SUBSTITUTE(SUBSTITUTE(SUBSTITUTE($G811,"-"," ",LEN($G811)-LEN(SUBSTITUTE($G811,"-",""))),"-"," ",LEN($G811)-LEN(SUBSTITUTE($G811,"-",""))-1),".",""))))),$G811)))</f>
        <v/>
      </c>
    </row>
    <row r="812">
      <c r="A812" s="58" t="n"/>
      <c r="B812" s="58">
        <f>IF($H812="","",LEFT($H812,FIND(" ",$H812&amp;" ")-1))</f>
        <v/>
      </c>
      <c r="C812" s="58">
        <f>IF($H812="","",IFERROR(MID($H812&amp;" ",FIND("|",SUBSTITUTE($H812&amp;" "," ","|",1))+1,FIND("|",SUBSTITUTE($H812&amp;" "," ","|",2))-FIND("|",SUBSTITUTE($H812&amp;" "," ","|",1))-1),""))</f>
        <v/>
      </c>
      <c r="D812" s="58">
        <f>IF($H812="","",IFERROR(MID($H812&amp;" ",FIND("|",SUBSTITUTE($H812&amp;" "," ","|",2))+1,FIND("|",SUBSTITUTE($H812&amp;" "," ","|",3))-FIND("|",SUBSTITUTE($H812&amp;" "," ","|",2))-1),""))</f>
        <v/>
      </c>
      <c r="E812" s="58">
        <f>IF($H812="","",IFERROR(MID($H812&amp;" ",FIND("|",SUBSTITUTE($H812&amp;" "," ","|",3))+1,FIND("|",SUBSTITUTE($H812&amp;" "," ","|",4))-FIND("|",SUBSTITUTE($H812&amp;" "," ","|",3))-1),""))</f>
        <v/>
      </c>
      <c r="F812" s="59">
        <f>IF($H812="","",IFERROR(VALUE(IFERROR(MID($H812&amp;" ",FIND("|",SUBSTITUTE($H812&amp;" "," ","|",4))+1,FIND("|",SUBSTITUTE($H812&amp;" "," ","|",5))-FIND("|",SUBSTITUTE($H812&amp;" "," ","|",4))-1),""))/86400+25569+9/24,""))</f>
        <v/>
      </c>
      <c r="G812" s="58">
        <f>TRIM(SUBSTITUTE(SUBSTITUTE(SUBSTITUTE($A812,CHAR(9)," ")," "," "),CHAR(13),""))</f>
        <v/>
      </c>
      <c r="H812" s="58">
        <f>IF($G812="","",IF(ISNUMBER(FIND(" ",$G812)),$G812,IFERROR(IF((LEN(SUBSTITUTE(SUBSTITUTE($G812,"-"," ",LEN($G812)-LEN(SUBSTITUTE($G812,"-",""))),"-"," ",LEN($G812)-LEN(SUBSTITUTE($G812,"-",""))-1))-LEN(SUBSTITUTE(SUBSTITUTE(SUBSTITUTE($G812,"-"," ",LEN($G812)-LEN(SUBSTITUTE($G812,"-",""))),"-"," ",LEN($G812)-LEN(SUBSTITUTE($G812,"-",""))-1),".","")))=0,SUBSTITUTE(SUBSTITUTE($G812,"-"," ",LEN($G812)-LEN(SUBSTITUTE($G812,"-",""))),"-"," ",LEN($G812)-LEN(SUBSTITUTE($G812,"-",""))-1),SUBSTITUTE(SUBSTITUTE(SUBSTITUTE($G812,"-"," ",LEN($G812)-LEN(SUBSTITUTE($G812,"-",""))),"-"," ",LEN($G812)-LEN(SUBSTITUTE($G812,"-",""))-1),"."," ",(LEN(SUBSTITUTE(SUBSTITUTE($G812,"-"," ",LEN($G812)-LEN(SUBSTITUTE($G812,"-",""))),"-"," ",LEN($G812)-LEN(SUBSTITUTE($G812,"-",""))-1))-LEN(SUBSTITUTE(SUBSTITUTE(SUBSTITUTE($G812,"-"," ",LEN($G812)-LEN(SUBSTITUTE($G812,"-",""))),"-"," ",LEN($G812)-LEN(SUBSTITUTE($G812,"-",""))-1),".",""))))),$G812)))</f>
        <v/>
      </c>
    </row>
    <row r="813">
      <c r="A813" s="58" t="n"/>
      <c r="B813" s="58">
        <f>IF($H813="","",LEFT($H813,FIND(" ",$H813&amp;" ")-1))</f>
        <v/>
      </c>
      <c r="C813" s="58">
        <f>IF($H813="","",IFERROR(MID($H813&amp;" ",FIND("|",SUBSTITUTE($H813&amp;" "," ","|",1))+1,FIND("|",SUBSTITUTE($H813&amp;" "," ","|",2))-FIND("|",SUBSTITUTE($H813&amp;" "," ","|",1))-1),""))</f>
        <v/>
      </c>
      <c r="D813" s="58">
        <f>IF($H813="","",IFERROR(MID($H813&amp;" ",FIND("|",SUBSTITUTE($H813&amp;" "," ","|",2))+1,FIND("|",SUBSTITUTE($H813&amp;" "," ","|",3))-FIND("|",SUBSTITUTE($H813&amp;" "," ","|",2))-1),""))</f>
        <v/>
      </c>
      <c r="E813" s="58">
        <f>IF($H813="","",IFERROR(MID($H813&amp;" ",FIND("|",SUBSTITUTE($H813&amp;" "," ","|",3))+1,FIND("|",SUBSTITUTE($H813&amp;" "," ","|",4))-FIND("|",SUBSTITUTE($H813&amp;" "," ","|",3))-1),""))</f>
        <v/>
      </c>
      <c r="F813" s="59">
        <f>IF($H813="","",IFERROR(VALUE(IFERROR(MID($H813&amp;" ",FIND("|",SUBSTITUTE($H813&amp;" "," ","|",4))+1,FIND("|",SUBSTITUTE($H813&amp;" "," ","|",5))-FIND("|",SUBSTITUTE($H813&amp;" "," ","|",4))-1),""))/86400+25569+9/24,""))</f>
        <v/>
      </c>
      <c r="G813" s="58">
        <f>TRIM(SUBSTITUTE(SUBSTITUTE(SUBSTITUTE($A813,CHAR(9)," ")," "," "),CHAR(13),""))</f>
        <v/>
      </c>
      <c r="H813" s="58">
        <f>IF($G813="","",IF(ISNUMBER(FIND(" ",$G813)),$G813,IFERROR(IF((LEN(SUBSTITUTE(SUBSTITUTE($G813,"-"," ",LEN($G813)-LEN(SUBSTITUTE($G813,"-",""))),"-"," ",LEN($G813)-LEN(SUBSTITUTE($G813,"-",""))-1))-LEN(SUBSTITUTE(SUBSTITUTE(SUBSTITUTE($G813,"-"," ",LEN($G813)-LEN(SUBSTITUTE($G813,"-",""))),"-"," ",LEN($G813)-LEN(SUBSTITUTE($G813,"-",""))-1),".","")))=0,SUBSTITUTE(SUBSTITUTE($G813,"-"," ",LEN($G813)-LEN(SUBSTITUTE($G813,"-",""))),"-"," ",LEN($G813)-LEN(SUBSTITUTE($G813,"-",""))-1),SUBSTITUTE(SUBSTITUTE(SUBSTITUTE($G813,"-"," ",LEN($G813)-LEN(SUBSTITUTE($G813,"-",""))),"-"," ",LEN($G813)-LEN(SUBSTITUTE($G813,"-",""))-1),"."," ",(LEN(SUBSTITUTE(SUBSTITUTE($G813,"-"," ",LEN($G813)-LEN(SUBSTITUTE($G813,"-",""))),"-"," ",LEN($G813)-LEN(SUBSTITUTE($G813,"-",""))-1))-LEN(SUBSTITUTE(SUBSTITUTE(SUBSTITUTE($G813,"-"," ",LEN($G813)-LEN(SUBSTITUTE($G813,"-",""))),"-"," ",LEN($G813)-LEN(SUBSTITUTE($G813,"-",""))-1),".",""))))),$G813)))</f>
        <v/>
      </c>
    </row>
    <row r="814">
      <c r="A814" s="58" t="n"/>
      <c r="B814" s="58">
        <f>IF($H814="","",LEFT($H814,FIND(" ",$H814&amp;" ")-1))</f>
        <v/>
      </c>
      <c r="C814" s="58">
        <f>IF($H814="","",IFERROR(MID($H814&amp;" ",FIND("|",SUBSTITUTE($H814&amp;" "," ","|",1))+1,FIND("|",SUBSTITUTE($H814&amp;" "," ","|",2))-FIND("|",SUBSTITUTE($H814&amp;" "," ","|",1))-1),""))</f>
        <v/>
      </c>
      <c r="D814" s="58">
        <f>IF($H814="","",IFERROR(MID($H814&amp;" ",FIND("|",SUBSTITUTE($H814&amp;" "," ","|",2))+1,FIND("|",SUBSTITUTE($H814&amp;" "," ","|",3))-FIND("|",SUBSTITUTE($H814&amp;" "," ","|",2))-1),""))</f>
        <v/>
      </c>
      <c r="E814" s="58">
        <f>IF($H814="","",IFERROR(MID($H814&amp;" ",FIND("|",SUBSTITUTE($H814&amp;" "," ","|",3))+1,FIND("|",SUBSTITUTE($H814&amp;" "," ","|",4))-FIND("|",SUBSTITUTE($H814&amp;" "," ","|",3))-1),""))</f>
        <v/>
      </c>
      <c r="F814" s="59">
        <f>IF($H814="","",IFERROR(VALUE(IFERROR(MID($H814&amp;" ",FIND("|",SUBSTITUTE($H814&amp;" "," ","|",4))+1,FIND("|",SUBSTITUTE($H814&amp;" "," ","|",5))-FIND("|",SUBSTITUTE($H814&amp;" "," ","|",4))-1),""))/86400+25569+9/24,""))</f>
        <v/>
      </c>
      <c r="G814" s="58">
        <f>TRIM(SUBSTITUTE(SUBSTITUTE(SUBSTITUTE($A814,CHAR(9)," ")," "," "),CHAR(13),""))</f>
        <v/>
      </c>
      <c r="H814" s="58">
        <f>IF($G814="","",IF(ISNUMBER(FIND(" ",$G814)),$G814,IFERROR(IF((LEN(SUBSTITUTE(SUBSTITUTE($G814,"-"," ",LEN($G814)-LEN(SUBSTITUTE($G814,"-",""))),"-"," ",LEN($G814)-LEN(SUBSTITUTE($G814,"-",""))-1))-LEN(SUBSTITUTE(SUBSTITUTE(SUBSTITUTE($G814,"-"," ",LEN($G814)-LEN(SUBSTITUTE($G814,"-",""))),"-"," ",LEN($G814)-LEN(SUBSTITUTE($G814,"-",""))-1),".","")))=0,SUBSTITUTE(SUBSTITUTE($G814,"-"," ",LEN($G814)-LEN(SUBSTITUTE($G814,"-",""))),"-"," ",LEN($G814)-LEN(SUBSTITUTE($G814,"-",""))-1),SUBSTITUTE(SUBSTITUTE(SUBSTITUTE($G814,"-"," ",LEN($G814)-LEN(SUBSTITUTE($G814,"-",""))),"-"," ",LEN($G814)-LEN(SUBSTITUTE($G814,"-",""))-1),"."," ",(LEN(SUBSTITUTE(SUBSTITUTE($G814,"-"," ",LEN($G814)-LEN(SUBSTITUTE($G814,"-",""))),"-"," ",LEN($G814)-LEN(SUBSTITUTE($G814,"-",""))-1))-LEN(SUBSTITUTE(SUBSTITUTE(SUBSTITUTE($G814,"-"," ",LEN($G814)-LEN(SUBSTITUTE($G814,"-",""))),"-"," ",LEN($G814)-LEN(SUBSTITUTE($G814,"-",""))-1),".",""))))),$G814)))</f>
        <v/>
      </c>
    </row>
    <row r="815">
      <c r="A815" s="58" t="n"/>
      <c r="B815" s="58">
        <f>IF($H815="","",LEFT($H815,FIND(" ",$H815&amp;" ")-1))</f>
        <v/>
      </c>
      <c r="C815" s="58">
        <f>IF($H815="","",IFERROR(MID($H815&amp;" ",FIND("|",SUBSTITUTE($H815&amp;" "," ","|",1))+1,FIND("|",SUBSTITUTE($H815&amp;" "," ","|",2))-FIND("|",SUBSTITUTE($H815&amp;" "," ","|",1))-1),""))</f>
        <v/>
      </c>
      <c r="D815" s="58">
        <f>IF($H815="","",IFERROR(MID($H815&amp;" ",FIND("|",SUBSTITUTE($H815&amp;" "," ","|",2))+1,FIND("|",SUBSTITUTE($H815&amp;" "," ","|",3))-FIND("|",SUBSTITUTE($H815&amp;" "," ","|",2))-1),""))</f>
        <v/>
      </c>
      <c r="E815" s="58">
        <f>IF($H815="","",IFERROR(MID($H815&amp;" ",FIND("|",SUBSTITUTE($H815&amp;" "," ","|",3))+1,FIND("|",SUBSTITUTE($H815&amp;" "," ","|",4))-FIND("|",SUBSTITUTE($H815&amp;" "," ","|",3))-1),""))</f>
        <v/>
      </c>
      <c r="F815" s="59">
        <f>IF($H815="","",IFERROR(VALUE(IFERROR(MID($H815&amp;" ",FIND("|",SUBSTITUTE($H815&amp;" "," ","|",4))+1,FIND("|",SUBSTITUTE($H815&amp;" "," ","|",5))-FIND("|",SUBSTITUTE($H815&amp;" "," ","|",4))-1),""))/86400+25569+9/24,""))</f>
        <v/>
      </c>
      <c r="G815" s="58">
        <f>TRIM(SUBSTITUTE(SUBSTITUTE(SUBSTITUTE($A815,CHAR(9)," ")," "," "),CHAR(13),""))</f>
        <v/>
      </c>
      <c r="H815" s="58">
        <f>IF($G815="","",IF(ISNUMBER(FIND(" ",$G815)),$G815,IFERROR(IF((LEN(SUBSTITUTE(SUBSTITUTE($G815,"-"," ",LEN($G815)-LEN(SUBSTITUTE($G815,"-",""))),"-"," ",LEN($G815)-LEN(SUBSTITUTE($G815,"-",""))-1))-LEN(SUBSTITUTE(SUBSTITUTE(SUBSTITUTE($G815,"-"," ",LEN($G815)-LEN(SUBSTITUTE($G815,"-",""))),"-"," ",LEN($G815)-LEN(SUBSTITUTE($G815,"-",""))-1),".","")))=0,SUBSTITUTE(SUBSTITUTE($G815,"-"," ",LEN($G815)-LEN(SUBSTITUTE($G815,"-",""))),"-"," ",LEN($G815)-LEN(SUBSTITUTE($G815,"-",""))-1),SUBSTITUTE(SUBSTITUTE(SUBSTITUTE($G815,"-"," ",LEN($G815)-LEN(SUBSTITUTE($G815,"-",""))),"-"," ",LEN($G815)-LEN(SUBSTITUTE($G815,"-",""))-1),"."," ",(LEN(SUBSTITUTE(SUBSTITUTE($G815,"-"," ",LEN($G815)-LEN(SUBSTITUTE($G815,"-",""))),"-"," ",LEN($G815)-LEN(SUBSTITUTE($G815,"-",""))-1))-LEN(SUBSTITUTE(SUBSTITUTE(SUBSTITUTE($G815,"-"," ",LEN($G815)-LEN(SUBSTITUTE($G815,"-",""))),"-"," ",LEN($G815)-LEN(SUBSTITUTE($G815,"-",""))-1),".",""))))),$G815)))</f>
        <v/>
      </c>
    </row>
    <row r="816">
      <c r="A816" s="58" t="n"/>
      <c r="B816" s="58">
        <f>IF($H816="","",LEFT($H816,FIND(" ",$H816&amp;" ")-1))</f>
        <v/>
      </c>
      <c r="C816" s="58">
        <f>IF($H816="","",IFERROR(MID($H816&amp;" ",FIND("|",SUBSTITUTE($H816&amp;" "," ","|",1))+1,FIND("|",SUBSTITUTE($H816&amp;" "," ","|",2))-FIND("|",SUBSTITUTE($H816&amp;" "," ","|",1))-1),""))</f>
        <v/>
      </c>
      <c r="D816" s="58">
        <f>IF($H816="","",IFERROR(MID($H816&amp;" ",FIND("|",SUBSTITUTE($H816&amp;" "," ","|",2))+1,FIND("|",SUBSTITUTE($H816&amp;" "," ","|",3))-FIND("|",SUBSTITUTE($H816&amp;" "," ","|",2))-1),""))</f>
        <v/>
      </c>
      <c r="E816" s="58">
        <f>IF($H816="","",IFERROR(MID($H816&amp;" ",FIND("|",SUBSTITUTE($H816&amp;" "," ","|",3))+1,FIND("|",SUBSTITUTE($H816&amp;" "," ","|",4))-FIND("|",SUBSTITUTE($H816&amp;" "," ","|",3))-1),""))</f>
        <v/>
      </c>
      <c r="F816" s="59">
        <f>IF($H816="","",IFERROR(VALUE(IFERROR(MID($H816&amp;" ",FIND("|",SUBSTITUTE($H816&amp;" "," ","|",4))+1,FIND("|",SUBSTITUTE($H816&amp;" "," ","|",5))-FIND("|",SUBSTITUTE($H816&amp;" "," ","|",4))-1),""))/86400+25569+9/24,""))</f>
        <v/>
      </c>
      <c r="G816" s="58">
        <f>TRIM(SUBSTITUTE(SUBSTITUTE(SUBSTITUTE($A816,CHAR(9)," ")," "," "),CHAR(13),""))</f>
        <v/>
      </c>
      <c r="H816" s="58">
        <f>IF($G816="","",IF(ISNUMBER(FIND(" ",$G816)),$G816,IFERROR(IF((LEN(SUBSTITUTE(SUBSTITUTE($G816,"-"," ",LEN($G816)-LEN(SUBSTITUTE($G816,"-",""))),"-"," ",LEN($G816)-LEN(SUBSTITUTE($G816,"-",""))-1))-LEN(SUBSTITUTE(SUBSTITUTE(SUBSTITUTE($G816,"-"," ",LEN($G816)-LEN(SUBSTITUTE($G816,"-",""))),"-"," ",LEN($G816)-LEN(SUBSTITUTE($G816,"-",""))-1),".","")))=0,SUBSTITUTE(SUBSTITUTE($G816,"-"," ",LEN($G816)-LEN(SUBSTITUTE($G816,"-",""))),"-"," ",LEN($G816)-LEN(SUBSTITUTE($G816,"-",""))-1),SUBSTITUTE(SUBSTITUTE(SUBSTITUTE($G816,"-"," ",LEN($G816)-LEN(SUBSTITUTE($G816,"-",""))),"-"," ",LEN($G816)-LEN(SUBSTITUTE($G816,"-",""))-1),"."," ",(LEN(SUBSTITUTE(SUBSTITUTE($G816,"-"," ",LEN($G816)-LEN(SUBSTITUTE($G816,"-",""))),"-"," ",LEN($G816)-LEN(SUBSTITUTE($G816,"-",""))-1))-LEN(SUBSTITUTE(SUBSTITUTE(SUBSTITUTE($G816,"-"," ",LEN($G816)-LEN(SUBSTITUTE($G816,"-",""))),"-"," ",LEN($G816)-LEN(SUBSTITUTE($G816,"-",""))-1),".",""))))),$G816)))</f>
        <v/>
      </c>
    </row>
    <row r="817">
      <c r="A817" s="58" t="n"/>
      <c r="B817" s="58">
        <f>IF($H817="","",LEFT($H817,FIND(" ",$H817&amp;" ")-1))</f>
        <v/>
      </c>
      <c r="C817" s="58">
        <f>IF($H817="","",IFERROR(MID($H817&amp;" ",FIND("|",SUBSTITUTE($H817&amp;" "," ","|",1))+1,FIND("|",SUBSTITUTE($H817&amp;" "," ","|",2))-FIND("|",SUBSTITUTE($H817&amp;" "," ","|",1))-1),""))</f>
        <v/>
      </c>
      <c r="D817" s="58">
        <f>IF($H817="","",IFERROR(MID($H817&amp;" ",FIND("|",SUBSTITUTE($H817&amp;" "," ","|",2))+1,FIND("|",SUBSTITUTE($H817&amp;" "," ","|",3))-FIND("|",SUBSTITUTE($H817&amp;" "," ","|",2))-1),""))</f>
        <v/>
      </c>
      <c r="E817" s="58">
        <f>IF($H817="","",IFERROR(MID($H817&amp;" ",FIND("|",SUBSTITUTE($H817&amp;" "," ","|",3))+1,FIND("|",SUBSTITUTE($H817&amp;" "," ","|",4))-FIND("|",SUBSTITUTE($H817&amp;" "," ","|",3))-1),""))</f>
        <v/>
      </c>
      <c r="F817" s="59">
        <f>IF($H817="","",IFERROR(VALUE(IFERROR(MID($H817&amp;" ",FIND("|",SUBSTITUTE($H817&amp;" "," ","|",4))+1,FIND("|",SUBSTITUTE($H817&amp;" "," ","|",5))-FIND("|",SUBSTITUTE($H817&amp;" "," ","|",4))-1),""))/86400+25569+9/24,""))</f>
        <v/>
      </c>
      <c r="G817" s="58">
        <f>TRIM(SUBSTITUTE(SUBSTITUTE(SUBSTITUTE($A817,CHAR(9)," ")," "," "),CHAR(13),""))</f>
        <v/>
      </c>
      <c r="H817" s="58">
        <f>IF($G817="","",IF(ISNUMBER(FIND(" ",$G817)),$G817,IFERROR(IF((LEN(SUBSTITUTE(SUBSTITUTE($G817,"-"," ",LEN($G817)-LEN(SUBSTITUTE($G817,"-",""))),"-"," ",LEN($G817)-LEN(SUBSTITUTE($G817,"-",""))-1))-LEN(SUBSTITUTE(SUBSTITUTE(SUBSTITUTE($G817,"-"," ",LEN($G817)-LEN(SUBSTITUTE($G817,"-",""))),"-"," ",LEN($G817)-LEN(SUBSTITUTE($G817,"-",""))-1),".","")))=0,SUBSTITUTE(SUBSTITUTE($G817,"-"," ",LEN($G817)-LEN(SUBSTITUTE($G817,"-",""))),"-"," ",LEN($G817)-LEN(SUBSTITUTE($G817,"-",""))-1),SUBSTITUTE(SUBSTITUTE(SUBSTITUTE($G817,"-"," ",LEN($G817)-LEN(SUBSTITUTE($G817,"-",""))),"-"," ",LEN($G817)-LEN(SUBSTITUTE($G817,"-",""))-1),"."," ",(LEN(SUBSTITUTE(SUBSTITUTE($G817,"-"," ",LEN($G817)-LEN(SUBSTITUTE($G817,"-",""))),"-"," ",LEN($G817)-LEN(SUBSTITUTE($G817,"-",""))-1))-LEN(SUBSTITUTE(SUBSTITUTE(SUBSTITUTE($G817,"-"," ",LEN($G817)-LEN(SUBSTITUTE($G817,"-",""))),"-"," ",LEN($G817)-LEN(SUBSTITUTE($G817,"-",""))-1),".",""))))),$G817)))</f>
        <v/>
      </c>
    </row>
    <row r="818">
      <c r="A818" s="58" t="n"/>
      <c r="B818" s="58">
        <f>IF($H818="","",LEFT($H818,FIND(" ",$H818&amp;" ")-1))</f>
        <v/>
      </c>
      <c r="C818" s="58">
        <f>IF($H818="","",IFERROR(MID($H818&amp;" ",FIND("|",SUBSTITUTE($H818&amp;" "," ","|",1))+1,FIND("|",SUBSTITUTE($H818&amp;" "," ","|",2))-FIND("|",SUBSTITUTE($H818&amp;" "," ","|",1))-1),""))</f>
        <v/>
      </c>
      <c r="D818" s="58">
        <f>IF($H818="","",IFERROR(MID($H818&amp;" ",FIND("|",SUBSTITUTE($H818&amp;" "," ","|",2))+1,FIND("|",SUBSTITUTE($H818&amp;" "," ","|",3))-FIND("|",SUBSTITUTE($H818&amp;" "," ","|",2))-1),""))</f>
        <v/>
      </c>
      <c r="E818" s="58">
        <f>IF($H818="","",IFERROR(MID($H818&amp;" ",FIND("|",SUBSTITUTE($H818&amp;" "," ","|",3))+1,FIND("|",SUBSTITUTE($H818&amp;" "," ","|",4))-FIND("|",SUBSTITUTE($H818&amp;" "," ","|",3))-1),""))</f>
        <v/>
      </c>
      <c r="F818" s="59">
        <f>IF($H818="","",IFERROR(VALUE(IFERROR(MID($H818&amp;" ",FIND("|",SUBSTITUTE($H818&amp;" "," ","|",4))+1,FIND("|",SUBSTITUTE($H818&amp;" "," ","|",5))-FIND("|",SUBSTITUTE($H818&amp;" "," ","|",4))-1),""))/86400+25569+9/24,""))</f>
        <v/>
      </c>
      <c r="G818" s="58">
        <f>TRIM(SUBSTITUTE(SUBSTITUTE(SUBSTITUTE($A818,CHAR(9)," ")," "," "),CHAR(13),""))</f>
        <v/>
      </c>
      <c r="H818" s="58">
        <f>IF($G818="","",IF(ISNUMBER(FIND(" ",$G818)),$G818,IFERROR(IF((LEN(SUBSTITUTE(SUBSTITUTE($G818,"-"," ",LEN($G818)-LEN(SUBSTITUTE($G818,"-",""))),"-"," ",LEN($G818)-LEN(SUBSTITUTE($G818,"-",""))-1))-LEN(SUBSTITUTE(SUBSTITUTE(SUBSTITUTE($G818,"-"," ",LEN($G818)-LEN(SUBSTITUTE($G818,"-",""))),"-"," ",LEN($G818)-LEN(SUBSTITUTE($G818,"-",""))-1),".","")))=0,SUBSTITUTE(SUBSTITUTE($G818,"-"," ",LEN($G818)-LEN(SUBSTITUTE($G818,"-",""))),"-"," ",LEN($G818)-LEN(SUBSTITUTE($G818,"-",""))-1),SUBSTITUTE(SUBSTITUTE(SUBSTITUTE($G818,"-"," ",LEN($G818)-LEN(SUBSTITUTE($G818,"-",""))),"-"," ",LEN($G818)-LEN(SUBSTITUTE($G818,"-",""))-1),"."," ",(LEN(SUBSTITUTE(SUBSTITUTE($G818,"-"," ",LEN($G818)-LEN(SUBSTITUTE($G818,"-",""))),"-"," ",LEN($G818)-LEN(SUBSTITUTE($G818,"-",""))-1))-LEN(SUBSTITUTE(SUBSTITUTE(SUBSTITUTE($G818,"-"," ",LEN($G818)-LEN(SUBSTITUTE($G818,"-",""))),"-"," ",LEN($G818)-LEN(SUBSTITUTE($G818,"-",""))-1),".",""))))),$G818)))</f>
        <v/>
      </c>
    </row>
    <row r="819">
      <c r="A819" s="58" t="n"/>
      <c r="B819" s="58">
        <f>IF($H819="","",LEFT($H819,FIND(" ",$H819&amp;" ")-1))</f>
        <v/>
      </c>
      <c r="C819" s="58">
        <f>IF($H819="","",IFERROR(MID($H819&amp;" ",FIND("|",SUBSTITUTE($H819&amp;" "," ","|",1))+1,FIND("|",SUBSTITUTE($H819&amp;" "," ","|",2))-FIND("|",SUBSTITUTE($H819&amp;" "," ","|",1))-1),""))</f>
        <v/>
      </c>
      <c r="D819" s="58">
        <f>IF($H819="","",IFERROR(MID($H819&amp;" ",FIND("|",SUBSTITUTE($H819&amp;" "," ","|",2))+1,FIND("|",SUBSTITUTE($H819&amp;" "," ","|",3))-FIND("|",SUBSTITUTE($H819&amp;" "," ","|",2))-1),""))</f>
        <v/>
      </c>
      <c r="E819" s="58">
        <f>IF($H819="","",IFERROR(MID($H819&amp;" ",FIND("|",SUBSTITUTE($H819&amp;" "," ","|",3))+1,FIND("|",SUBSTITUTE($H819&amp;" "," ","|",4))-FIND("|",SUBSTITUTE($H819&amp;" "," ","|",3))-1),""))</f>
        <v/>
      </c>
      <c r="F819" s="59">
        <f>IF($H819="","",IFERROR(VALUE(IFERROR(MID($H819&amp;" ",FIND("|",SUBSTITUTE($H819&amp;" "," ","|",4))+1,FIND("|",SUBSTITUTE($H819&amp;" "," ","|",5))-FIND("|",SUBSTITUTE($H819&amp;" "," ","|",4))-1),""))/86400+25569+9/24,""))</f>
        <v/>
      </c>
      <c r="G819" s="58">
        <f>TRIM(SUBSTITUTE(SUBSTITUTE(SUBSTITUTE($A819,CHAR(9)," ")," "," "),CHAR(13),""))</f>
        <v/>
      </c>
      <c r="H819" s="58">
        <f>IF($G819="","",IF(ISNUMBER(FIND(" ",$G819)),$G819,IFERROR(IF((LEN(SUBSTITUTE(SUBSTITUTE($G819,"-"," ",LEN($G819)-LEN(SUBSTITUTE($G819,"-",""))),"-"," ",LEN($G819)-LEN(SUBSTITUTE($G819,"-",""))-1))-LEN(SUBSTITUTE(SUBSTITUTE(SUBSTITUTE($G819,"-"," ",LEN($G819)-LEN(SUBSTITUTE($G819,"-",""))),"-"," ",LEN($G819)-LEN(SUBSTITUTE($G819,"-",""))-1),".","")))=0,SUBSTITUTE(SUBSTITUTE($G819,"-"," ",LEN($G819)-LEN(SUBSTITUTE($G819,"-",""))),"-"," ",LEN($G819)-LEN(SUBSTITUTE($G819,"-",""))-1),SUBSTITUTE(SUBSTITUTE(SUBSTITUTE($G819,"-"," ",LEN($G819)-LEN(SUBSTITUTE($G819,"-",""))),"-"," ",LEN($G819)-LEN(SUBSTITUTE($G819,"-",""))-1),"."," ",(LEN(SUBSTITUTE(SUBSTITUTE($G819,"-"," ",LEN($G819)-LEN(SUBSTITUTE($G819,"-",""))),"-"," ",LEN($G819)-LEN(SUBSTITUTE($G819,"-",""))-1))-LEN(SUBSTITUTE(SUBSTITUTE(SUBSTITUTE($G819,"-"," ",LEN($G819)-LEN(SUBSTITUTE($G819,"-",""))),"-"," ",LEN($G819)-LEN(SUBSTITUTE($G819,"-",""))-1),".",""))))),$G819)))</f>
        <v/>
      </c>
    </row>
    <row r="820">
      <c r="A820" s="58" t="n"/>
      <c r="B820" s="58">
        <f>IF($H820="","",LEFT($H820,FIND(" ",$H820&amp;" ")-1))</f>
        <v/>
      </c>
      <c r="C820" s="58">
        <f>IF($H820="","",IFERROR(MID($H820&amp;" ",FIND("|",SUBSTITUTE($H820&amp;" "," ","|",1))+1,FIND("|",SUBSTITUTE($H820&amp;" "," ","|",2))-FIND("|",SUBSTITUTE($H820&amp;" "," ","|",1))-1),""))</f>
        <v/>
      </c>
      <c r="D820" s="58">
        <f>IF($H820="","",IFERROR(MID($H820&amp;" ",FIND("|",SUBSTITUTE($H820&amp;" "," ","|",2))+1,FIND("|",SUBSTITUTE($H820&amp;" "," ","|",3))-FIND("|",SUBSTITUTE($H820&amp;" "," ","|",2))-1),""))</f>
        <v/>
      </c>
      <c r="E820" s="58">
        <f>IF($H820="","",IFERROR(MID($H820&amp;" ",FIND("|",SUBSTITUTE($H820&amp;" "," ","|",3))+1,FIND("|",SUBSTITUTE($H820&amp;" "," ","|",4))-FIND("|",SUBSTITUTE($H820&amp;" "," ","|",3))-1),""))</f>
        <v/>
      </c>
      <c r="F820" s="59">
        <f>IF($H820="","",IFERROR(VALUE(IFERROR(MID($H820&amp;" ",FIND("|",SUBSTITUTE($H820&amp;" "," ","|",4))+1,FIND("|",SUBSTITUTE($H820&amp;" "," ","|",5))-FIND("|",SUBSTITUTE($H820&amp;" "," ","|",4))-1),""))/86400+25569+9/24,""))</f>
        <v/>
      </c>
      <c r="G820" s="58">
        <f>TRIM(SUBSTITUTE(SUBSTITUTE(SUBSTITUTE($A820,CHAR(9)," ")," "," "),CHAR(13),""))</f>
        <v/>
      </c>
      <c r="H820" s="58">
        <f>IF($G820="","",IF(ISNUMBER(FIND(" ",$G820)),$G820,IFERROR(IF((LEN(SUBSTITUTE(SUBSTITUTE($G820,"-"," ",LEN($G820)-LEN(SUBSTITUTE($G820,"-",""))),"-"," ",LEN($G820)-LEN(SUBSTITUTE($G820,"-",""))-1))-LEN(SUBSTITUTE(SUBSTITUTE(SUBSTITUTE($G820,"-"," ",LEN($G820)-LEN(SUBSTITUTE($G820,"-",""))),"-"," ",LEN($G820)-LEN(SUBSTITUTE($G820,"-",""))-1),".","")))=0,SUBSTITUTE(SUBSTITUTE($G820,"-"," ",LEN($G820)-LEN(SUBSTITUTE($G820,"-",""))),"-"," ",LEN($G820)-LEN(SUBSTITUTE($G820,"-",""))-1),SUBSTITUTE(SUBSTITUTE(SUBSTITUTE($G820,"-"," ",LEN($G820)-LEN(SUBSTITUTE($G820,"-",""))),"-"," ",LEN($G820)-LEN(SUBSTITUTE($G820,"-",""))-1),"."," ",(LEN(SUBSTITUTE(SUBSTITUTE($G820,"-"," ",LEN($G820)-LEN(SUBSTITUTE($G820,"-",""))),"-"," ",LEN($G820)-LEN(SUBSTITUTE($G820,"-",""))-1))-LEN(SUBSTITUTE(SUBSTITUTE(SUBSTITUTE($G820,"-"," ",LEN($G820)-LEN(SUBSTITUTE($G820,"-",""))),"-"," ",LEN($G820)-LEN(SUBSTITUTE($G820,"-",""))-1),".",""))))),$G820)))</f>
        <v/>
      </c>
    </row>
    <row r="821">
      <c r="A821" s="58" t="n"/>
      <c r="B821" s="58">
        <f>IF($H821="","",LEFT($H821,FIND(" ",$H821&amp;" ")-1))</f>
        <v/>
      </c>
      <c r="C821" s="58">
        <f>IF($H821="","",IFERROR(MID($H821&amp;" ",FIND("|",SUBSTITUTE($H821&amp;" "," ","|",1))+1,FIND("|",SUBSTITUTE($H821&amp;" "," ","|",2))-FIND("|",SUBSTITUTE($H821&amp;" "," ","|",1))-1),""))</f>
        <v/>
      </c>
      <c r="D821" s="58">
        <f>IF($H821="","",IFERROR(MID($H821&amp;" ",FIND("|",SUBSTITUTE($H821&amp;" "," ","|",2))+1,FIND("|",SUBSTITUTE($H821&amp;" "," ","|",3))-FIND("|",SUBSTITUTE($H821&amp;" "," ","|",2))-1),""))</f>
        <v/>
      </c>
      <c r="E821" s="58">
        <f>IF($H821="","",IFERROR(MID($H821&amp;" ",FIND("|",SUBSTITUTE($H821&amp;" "," ","|",3))+1,FIND("|",SUBSTITUTE($H821&amp;" "," ","|",4))-FIND("|",SUBSTITUTE($H821&amp;" "," ","|",3))-1),""))</f>
        <v/>
      </c>
      <c r="F821" s="59">
        <f>IF($H821="","",IFERROR(VALUE(IFERROR(MID($H821&amp;" ",FIND("|",SUBSTITUTE($H821&amp;" "," ","|",4))+1,FIND("|",SUBSTITUTE($H821&amp;" "," ","|",5))-FIND("|",SUBSTITUTE($H821&amp;" "," ","|",4))-1),""))/86400+25569+9/24,""))</f>
        <v/>
      </c>
      <c r="G821" s="58">
        <f>TRIM(SUBSTITUTE(SUBSTITUTE(SUBSTITUTE($A821,CHAR(9)," ")," "," "),CHAR(13),""))</f>
        <v/>
      </c>
      <c r="H821" s="58">
        <f>IF($G821="","",IF(ISNUMBER(FIND(" ",$G821)),$G821,IFERROR(IF((LEN(SUBSTITUTE(SUBSTITUTE($G821,"-"," ",LEN($G821)-LEN(SUBSTITUTE($G821,"-",""))),"-"," ",LEN($G821)-LEN(SUBSTITUTE($G821,"-",""))-1))-LEN(SUBSTITUTE(SUBSTITUTE(SUBSTITUTE($G821,"-"," ",LEN($G821)-LEN(SUBSTITUTE($G821,"-",""))),"-"," ",LEN($G821)-LEN(SUBSTITUTE($G821,"-",""))-1),".","")))=0,SUBSTITUTE(SUBSTITUTE($G821,"-"," ",LEN($G821)-LEN(SUBSTITUTE($G821,"-",""))),"-"," ",LEN($G821)-LEN(SUBSTITUTE($G821,"-",""))-1),SUBSTITUTE(SUBSTITUTE(SUBSTITUTE($G821,"-"," ",LEN($G821)-LEN(SUBSTITUTE($G821,"-",""))),"-"," ",LEN($G821)-LEN(SUBSTITUTE($G821,"-",""))-1),"."," ",(LEN(SUBSTITUTE(SUBSTITUTE($G821,"-"," ",LEN($G821)-LEN(SUBSTITUTE($G821,"-",""))),"-"," ",LEN($G821)-LEN(SUBSTITUTE($G821,"-",""))-1))-LEN(SUBSTITUTE(SUBSTITUTE(SUBSTITUTE($G821,"-"," ",LEN($G821)-LEN(SUBSTITUTE($G821,"-",""))),"-"," ",LEN($G821)-LEN(SUBSTITUTE($G821,"-",""))-1),".",""))))),$G821)))</f>
        <v/>
      </c>
    </row>
    <row r="822">
      <c r="A822" s="58" t="n"/>
      <c r="B822" s="58">
        <f>IF($H822="","",LEFT($H822,FIND(" ",$H822&amp;" ")-1))</f>
        <v/>
      </c>
      <c r="C822" s="58">
        <f>IF($H822="","",IFERROR(MID($H822&amp;" ",FIND("|",SUBSTITUTE($H822&amp;" "," ","|",1))+1,FIND("|",SUBSTITUTE($H822&amp;" "," ","|",2))-FIND("|",SUBSTITUTE($H822&amp;" "," ","|",1))-1),""))</f>
        <v/>
      </c>
      <c r="D822" s="58">
        <f>IF($H822="","",IFERROR(MID($H822&amp;" ",FIND("|",SUBSTITUTE($H822&amp;" "," ","|",2))+1,FIND("|",SUBSTITUTE($H822&amp;" "," ","|",3))-FIND("|",SUBSTITUTE($H822&amp;" "," ","|",2))-1),""))</f>
        <v/>
      </c>
      <c r="E822" s="58">
        <f>IF($H822="","",IFERROR(MID($H822&amp;" ",FIND("|",SUBSTITUTE($H822&amp;" "," ","|",3))+1,FIND("|",SUBSTITUTE($H822&amp;" "," ","|",4))-FIND("|",SUBSTITUTE($H822&amp;" "," ","|",3))-1),""))</f>
        <v/>
      </c>
      <c r="F822" s="59">
        <f>IF($H822="","",IFERROR(VALUE(IFERROR(MID($H822&amp;" ",FIND("|",SUBSTITUTE($H822&amp;" "," ","|",4))+1,FIND("|",SUBSTITUTE($H822&amp;" "," ","|",5))-FIND("|",SUBSTITUTE($H822&amp;" "," ","|",4))-1),""))/86400+25569+9/24,""))</f>
        <v/>
      </c>
      <c r="G822" s="58">
        <f>TRIM(SUBSTITUTE(SUBSTITUTE(SUBSTITUTE($A822,CHAR(9)," ")," "," "),CHAR(13),""))</f>
        <v/>
      </c>
      <c r="H822" s="58">
        <f>IF($G822="","",IF(ISNUMBER(FIND(" ",$G822)),$G822,IFERROR(IF((LEN(SUBSTITUTE(SUBSTITUTE($G822,"-"," ",LEN($G822)-LEN(SUBSTITUTE($G822,"-",""))),"-"," ",LEN($G822)-LEN(SUBSTITUTE($G822,"-",""))-1))-LEN(SUBSTITUTE(SUBSTITUTE(SUBSTITUTE($G822,"-"," ",LEN($G822)-LEN(SUBSTITUTE($G822,"-",""))),"-"," ",LEN($G822)-LEN(SUBSTITUTE($G822,"-",""))-1),".","")))=0,SUBSTITUTE(SUBSTITUTE($G822,"-"," ",LEN($G822)-LEN(SUBSTITUTE($G822,"-",""))),"-"," ",LEN($G822)-LEN(SUBSTITUTE($G822,"-",""))-1),SUBSTITUTE(SUBSTITUTE(SUBSTITUTE($G822,"-"," ",LEN($G822)-LEN(SUBSTITUTE($G822,"-",""))),"-"," ",LEN($G822)-LEN(SUBSTITUTE($G822,"-",""))-1),"."," ",(LEN(SUBSTITUTE(SUBSTITUTE($G822,"-"," ",LEN($G822)-LEN(SUBSTITUTE($G822,"-",""))),"-"," ",LEN($G822)-LEN(SUBSTITUTE($G822,"-",""))-1))-LEN(SUBSTITUTE(SUBSTITUTE(SUBSTITUTE($G822,"-"," ",LEN($G822)-LEN(SUBSTITUTE($G822,"-",""))),"-"," ",LEN($G822)-LEN(SUBSTITUTE($G822,"-",""))-1),".",""))))),$G822)))</f>
        <v/>
      </c>
    </row>
    <row r="823">
      <c r="A823" s="58" t="n"/>
      <c r="B823" s="58">
        <f>IF($H823="","",LEFT($H823,FIND(" ",$H823&amp;" ")-1))</f>
        <v/>
      </c>
      <c r="C823" s="58">
        <f>IF($H823="","",IFERROR(MID($H823&amp;" ",FIND("|",SUBSTITUTE($H823&amp;" "," ","|",1))+1,FIND("|",SUBSTITUTE($H823&amp;" "," ","|",2))-FIND("|",SUBSTITUTE($H823&amp;" "," ","|",1))-1),""))</f>
        <v/>
      </c>
      <c r="D823" s="58">
        <f>IF($H823="","",IFERROR(MID($H823&amp;" ",FIND("|",SUBSTITUTE($H823&amp;" "," ","|",2))+1,FIND("|",SUBSTITUTE($H823&amp;" "," ","|",3))-FIND("|",SUBSTITUTE($H823&amp;" "," ","|",2))-1),""))</f>
        <v/>
      </c>
      <c r="E823" s="58">
        <f>IF($H823="","",IFERROR(MID($H823&amp;" ",FIND("|",SUBSTITUTE($H823&amp;" "," ","|",3))+1,FIND("|",SUBSTITUTE($H823&amp;" "," ","|",4))-FIND("|",SUBSTITUTE($H823&amp;" "," ","|",3))-1),""))</f>
        <v/>
      </c>
      <c r="F823" s="59">
        <f>IF($H823="","",IFERROR(VALUE(IFERROR(MID($H823&amp;" ",FIND("|",SUBSTITUTE($H823&amp;" "," ","|",4))+1,FIND("|",SUBSTITUTE($H823&amp;" "," ","|",5))-FIND("|",SUBSTITUTE($H823&amp;" "," ","|",4))-1),""))/86400+25569+9/24,""))</f>
        <v/>
      </c>
      <c r="G823" s="58">
        <f>TRIM(SUBSTITUTE(SUBSTITUTE(SUBSTITUTE($A823,CHAR(9)," ")," "," "),CHAR(13),""))</f>
        <v/>
      </c>
      <c r="H823" s="58">
        <f>IF($G823="","",IF(ISNUMBER(FIND(" ",$G823)),$G823,IFERROR(IF((LEN(SUBSTITUTE(SUBSTITUTE($G823,"-"," ",LEN($G823)-LEN(SUBSTITUTE($G823,"-",""))),"-"," ",LEN($G823)-LEN(SUBSTITUTE($G823,"-",""))-1))-LEN(SUBSTITUTE(SUBSTITUTE(SUBSTITUTE($G823,"-"," ",LEN($G823)-LEN(SUBSTITUTE($G823,"-",""))),"-"," ",LEN($G823)-LEN(SUBSTITUTE($G823,"-",""))-1),".","")))=0,SUBSTITUTE(SUBSTITUTE($G823,"-"," ",LEN($G823)-LEN(SUBSTITUTE($G823,"-",""))),"-"," ",LEN($G823)-LEN(SUBSTITUTE($G823,"-",""))-1),SUBSTITUTE(SUBSTITUTE(SUBSTITUTE($G823,"-"," ",LEN($G823)-LEN(SUBSTITUTE($G823,"-",""))),"-"," ",LEN($G823)-LEN(SUBSTITUTE($G823,"-",""))-1),"."," ",(LEN(SUBSTITUTE(SUBSTITUTE($G823,"-"," ",LEN($G823)-LEN(SUBSTITUTE($G823,"-",""))),"-"," ",LEN($G823)-LEN(SUBSTITUTE($G823,"-",""))-1))-LEN(SUBSTITUTE(SUBSTITUTE(SUBSTITUTE($G823,"-"," ",LEN($G823)-LEN(SUBSTITUTE($G823,"-",""))),"-"," ",LEN($G823)-LEN(SUBSTITUTE($G823,"-",""))-1),".",""))))),$G823)))</f>
        <v/>
      </c>
    </row>
    <row r="824">
      <c r="A824" s="58" t="n"/>
      <c r="B824" s="58">
        <f>IF($H824="","",LEFT($H824,FIND(" ",$H824&amp;" ")-1))</f>
        <v/>
      </c>
      <c r="C824" s="58">
        <f>IF($H824="","",IFERROR(MID($H824&amp;" ",FIND("|",SUBSTITUTE($H824&amp;" "," ","|",1))+1,FIND("|",SUBSTITUTE($H824&amp;" "," ","|",2))-FIND("|",SUBSTITUTE($H824&amp;" "," ","|",1))-1),""))</f>
        <v/>
      </c>
      <c r="D824" s="58">
        <f>IF($H824="","",IFERROR(MID($H824&amp;" ",FIND("|",SUBSTITUTE($H824&amp;" "," ","|",2))+1,FIND("|",SUBSTITUTE($H824&amp;" "," ","|",3))-FIND("|",SUBSTITUTE($H824&amp;" "," ","|",2))-1),""))</f>
        <v/>
      </c>
      <c r="E824" s="58">
        <f>IF($H824="","",IFERROR(MID($H824&amp;" ",FIND("|",SUBSTITUTE($H824&amp;" "," ","|",3))+1,FIND("|",SUBSTITUTE($H824&amp;" "," ","|",4))-FIND("|",SUBSTITUTE($H824&amp;" "," ","|",3))-1),""))</f>
        <v/>
      </c>
      <c r="F824" s="59">
        <f>IF($H824="","",IFERROR(VALUE(IFERROR(MID($H824&amp;" ",FIND("|",SUBSTITUTE($H824&amp;" "," ","|",4))+1,FIND("|",SUBSTITUTE($H824&amp;" "," ","|",5))-FIND("|",SUBSTITUTE($H824&amp;" "," ","|",4))-1),""))/86400+25569+9/24,""))</f>
        <v/>
      </c>
      <c r="G824" s="58">
        <f>TRIM(SUBSTITUTE(SUBSTITUTE(SUBSTITUTE($A824,CHAR(9)," ")," "," "),CHAR(13),""))</f>
        <v/>
      </c>
      <c r="H824" s="58">
        <f>IF($G824="","",IF(ISNUMBER(FIND(" ",$G824)),$G824,IFERROR(IF((LEN(SUBSTITUTE(SUBSTITUTE($G824,"-"," ",LEN($G824)-LEN(SUBSTITUTE($G824,"-",""))),"-"," ",LEN($G824)-LEN(SUBSTITUTE($G824,"-",""))-1))-LEN(SUBSTITUTE(SUBSTITUTE(SUBSTITUTE($G824,"-"," ",LEN($G824)-LEN(SUBSTITUTE($G824,"-",""))),"-"," ",LEN($G824)-LEN(SUBSTITUTE($G824,"-",""))-1),".","")))=0,SUBSTITUTE(SUBSTITUTE($G824,"-"," ",LEN($G824)-LEN(SUBSTITUTE($G824,"-",""))),"-"," ",LEN($G824)-LEN(SUBSTITUTE($G824,"-",""))-1),SUBSTITUTE(SUBSTITUTE(SUBSTITUTE($G824,"-"," ",LEN($G824)-LEN(SUBSTITUTE($G824,"-",""))),"-"," ",LEN($G824)-LEN(SUBSTITUTE($G824,"-",""))-1),"."," ",(LEN(SUBSTITUTE(SUBSTITUTE($G824,"-"," ",LEN($G824)-LEN(SUBSTITUTE($G824,"-",""))),"-"," ",LEN($G824)-LEN(SUBSTITUTE($G824,"-",""))-1))-LEN(SUBSTITUTE(SUBSTITUTE(SUBSTITUTE($G824,"-"," ",LEN($G824)-LEN(SUBSTITUTE($G824,"-",""))),"-"," ",LEN($G824)-LEN(SUBSTITUTE($G824,"-",""))-1),".",""))))),$G824)))</f>
        <v/>
      </c>
    </row>
    <row r="825">
      <c r="A825" s="58" t="n"/>
      <c r="B825" s="58">
        <f>IF($H825="","",LEFT($H825,FIND(" ",$H825&amp;" ")-1))</f>
        <v/>
      </c>
      <c r="C825" s="58">
        <f>IF($H825="","",IFERROR(MID($H825&amp;" ",FIND("|",SUBSTITUTE($H825&amp;" "," ","|",1))+1,FIND("|",SUBSTITUTE($H825&amp;" "," ","|",2))-FIND("|",SUBSTITUTE($H825&amp;" "," ","|",1))-1),""))</f>
        <v/>
      </c>
      <c r="D825" s="58">
        <f>IF($H825="","",IFERROR(MID($H825&amp;" ",FIND("|",SUBSTITUTE($H825&amp;" "," ","|",2))+1,FIND("|",SUBSTITUTE($H825&amp;" "," ","|",3))-FIND("|",SUBSTITUTE($H825&amp;" "," ","|",2))-1),""))</f>
        <v/>
      </c>
      <c r="E825" s="58">
        <f>IF($H825="","",IFERROR(MID($H825&amp;" ",FIND("|",SUBSTITUTE($H825&amp;" "," ","|",3))+1,FIND("|",SUBSTITUTE($H825&amp;" "," ","|",4))-FIND("|",SUBSTITUTE($H825&amp;" "," ","|",3))-1),""))</f>
        <v/>
      </c>
      <c r="F825" s="59">
        <f>IF($H825="","",IFERROR(VALUE(IFERROR(MID($H825&amp;" ",FIND("|",SUBSTITUTE($H825&amp;" "," ","|",4))+1,FIND("|",SUBSTITUTE($H825&amp;" "," ","|",5))-FIND("|",SUBSTITUTE($H825&amp;" "," ","|",4))-1),""))/86400+25569+9/24,""))</f>
        <v/>
      </c>
      <c r="G825" s="58">
        <f>TRIM(SUBSTITUTE(SUBSTITUTE(SUBSTITUTE($A825,CHAR(9)," ")," "," "),CHAR(13),""))</f>
        <v/>
      </c>
      <c r="H825" s="58">
        <f>IF($G825="","",IF(ISNUMBER(FIND(" ",$G825)),$G825,IFERROR(IF((LEN(SUBSTITUTE(SUBSTITUTE($G825,"-"," ",LEN($G825)-LEN(SUBSTITUTE($G825,"-",""))),"-"," ",LEN($G825)-LEN(SUBSTITUTE($G825,"-",""))-1))-LEN(SUBSTITUTE(SUBSTITUTE(SUBSTITUTE($G825,"-"," ",LEN($G825)-LEN(SUBSTITUTE($G825,"-",""))),"-"," ",LEN($G825)-LEN(SUBSTITUTE($G825,"-",""))-1),".","")))=0,SUBSTITUTE(SUBSTITUTE($G825,"-"," ",LEN($G825)-LEN(SUBSTITUTE($G825,"-",""))),"-"," ",LEN($G825)-LEN(SUBSTITUTE($G825,"-",""))-1),SUBSTITUTE(SUBSTITUTE(SUBSTITUTE($G825,"-"," ",LEN($G825)-LEN(SUBSTITUTE($G825,"-",""))),"-"," ",LEN($G825)-LEN(SUBSTITUTE($G825,"-",""))-1),"."," ",(LEN(SUBSTITUTE(SUBSTITUTE($G825,"-"," ",LEN($G825)-LEN(SUBSTITUTE($G825,"-",""))),"-"," ",LEN($G825)-LEN(SUBSTITUTE($G825,"-",""))-1))-LEN(SUBSTITUTE(SUBSTITUTE(SUBSTITUTE($G825,"-"," ",LEN($G825)-LEN(SUBSTITUTE($G825,"-",""))),"-"," ",LEN($G825)-LEN(SUBSTITUTE($G825,"-",""))-1),".",""))))),$G825)))</f>
        <v/>
      </c>
    </row>
    <row r="826">
      <c r="A826" s="58" t="n"/>
      <c r="B826" s="58">
        <f>IF($H826="","",LEFT($H826,FIND(" ",$H826&amp;" ")-1))</f>
        <v/>
      </c>
      <c r="C826" s="58">
        <f>IF($H826="","",IFERROR(MID($H826&amp;" ",FIND("|",SUBSTITUTE($H826&amp;" "," ","|",1))+1,FIND("|",SUBSTITUTE($H826&amp;" "," ","|",2))-FIND("|",SUBSTITUTE($H826&amp;" "," ","|",1))-1),""))</f>
        <v/>
      </c>
      <c r="D826" s="58">
        <f>IF($H826="","",IFERROR(MID($H826&amp;" ",FIND("|",SUBSTITUTE($H826&amp;" "," ","|",2))+1,FIND("|",SUBSTITUTE($H826&amp;" "," ","|",3))-FIND("|",SUBSTITUTE($H826&amp;" "," ","|",2))-1),""))</f>
        <v/>
      </c>
      <c r="E826" s="58">
        <f>IF($H826="","",IFERROR(MID($H826&amp;" ",FIND("|",SUBSTITUTE($H826&amp;" "," ","|",3))+1,FIND("|",SUBSTITUTE($H826&amp;" "," ","|",4))-FIND("|",SUBSTITUTE($H826&amp;" "," ","|",3))-1),""))</f>
        <v/>
      </c>
      <c r="F826" s="59">
        <f>IF($H826="","",IFERROR(VALUE(IFERROR(MID($H826&amp;" ",FIND("|",SUBSTITUTE($H826&amp;" "," ","|",4))+1,FIND("|",SUBSTITUTE($H826&amp;" "," ","|",5))-FIND("|",SUBSTITUTE($H826&amp;" "," ","|",4))-1),""))/86400+25569+9/24,""))</f>
        <v/>
      </c>
      <c r="G826" s="58">
        <f>TRIM(SUBSTITUTE(SUBSTITUTE(SUBSTITUTE($A826,CHAR(9)," ")," "," "),CHAR(13),""))</f>
        <v/>
      </c>
      <c r="H826" s="58">
        <f>IF($G826="","",IF(ISNUMBER(FIND(" ",$G826)),$G826,IFERROR(IF((LEN(SUBSTITUTE(SUBSTITUTE($G826,"-"," ",LEN($G826)-LEN(SUBSTITUTE($G826,"-",""))),"-"," ",LEN($G826)-LEN(SUBSTITUTE($G826,"-",""))-1))-LEN(SUBSTITUTE(SUBSTITUTE(SUBSTITUTE($G826,"-"," ",LEN($G826)-LEN(SUBSTITUTE($G826,"-",""))),"-"," ",LEN($G826)-LEN(SUBSTITUTE($G826,"-",""))-1),".","")))=0,SUBSTITUTE(SUBSTITUTE($G826,"-"," ",LEN($G826)-LEN(SUBSTITUTE($G826,"-",""))),"-"," ",LEN($G826)-LEN(SUBSTITUTE($G826,"-",""))-1),SUBSTITUTE(SUBSTITUTE(SUBSTITUTE($G826,"-"," ",LEN($G826)-LEN(SUBSTITUTE($G826,"-",""))),"-"," ",LEN($G826)-LEN(SUBSTITUTE($G826,"-",""))-1),"."," ",(LEN(SUBSTITUTE(SUBSTITUTE($G826,"-"," ",LEN($G826)-LEN(SUBSTITUTE($G826,"-",""))),"-"," ",LEN($G826)-LEN(SUBSTITUTE($G826,"-",""))-1))-LEN(SUBSTITUTE(SUBSTITUTE(SUBSTITUTE($G826,"-"," ",LEN($G826)-LEN(SUBSTITUTE($G826,"-",""))),"-"," ",LEN($G826)-LEN(SUBSTITUTE($G826,"-",""))-1),".",""))))),$G826)))</f>
        <v/>
      </c>
    </row>
    <row r="827">
      <c r="A827" s="58" t="n"/>
      <c r="B827" s="58">
        <f>IF($H827="","",LEFT($H827,FIND(" ",$H827&amp;" ")-1))</f>
        <v/>
      </c>
      <c r="C827" s="58">
        <f>IF($H827="","",IFERROR(MID($H827&amp;" ",FIND("|",SUBSTITUTE($H827&amp;" "," ","|",1))+1,FIND("|",SUBSTITUTE($H827&amp;" "," ","|",2))-FIND("|",SUBSTITUTE($H827&amp;" "," ","|",1))-1),""))</f>
        <v/>
      </c>
      <c r="D827" s="58">
        <f>IF($H827="","",IFERROR(MID($H827&amp;" ",FIND("|",SUBSTITUTE($H827&amp;" "," ","|",2))+1,FIND("|",SUBSTITUTE($H827&amp;" "," ","|",3))-FIND("|",SUBSTITUTE($H827&amp;" "," ","|",2))-1),""))</f>
        <v/>
      </c>
      <c r="E827" s="58">
        <f>IF($H827="","",IFERROR(MID($H827&amp;" ",FIND("|",SUBSTITUTE($H827&amp;" "," ","|",3))+1,FIND("|",SUBSTITUTE($H827&amp;" "," ","|",4))-FIND("|",SUBSTITUTE($H827&amp;" "," ","|",3))-1),""))</f>
        <v/>
      </c>
      <c r="F827" s="59">
        <f>IF($H827="","",IFERROR(VALUE(IFERROR(MID($H827&amp;" ",FIND("|",SUBSTITUTE($H827&amp;" "," ","|",4))+1,FIND("|",SUBSTITUTE($H827&amp;" "," ","|",5))-FIND("|",SUBSTITUTE($H827&amp;" "," ","|",4))-1),""))/86400+25569+9/24,""))</f>
        <v/>
      </c>
      <c r="G827" s="58">
        <f>TRIM(SUBSTITUTE(SUBSTITUTE(SUBSTITUTE($A827,CHAR(9)," ")," "," "),CHAR(13),""))</f>
        <v/>
      </c>
      <c r="H827" s="58">
        <f>IF($G827="","",IF(ISNUMBER(FIND(" ",$G827)),$G827,IFERROR(IF((LEN(SUBSTITUTE(SUBSTITUTE($G827,"-"," ",LEN($G827)-LEN(SUBSTITUTE($G827,"-",""))),"-"," ",LEN($G827)-LEN(SUBSTITUTE($G827,"-",""))-1))-LEN(SUBSTITUTE(SUBSTITUTE(SUBSTITUTE($G827,"-"," ",LEN($G827)-LEN(SUBSTITUTE($G827,"-",""))),"-"," ",LEN($G827)-LEN(SUBSTITUTE($G827,"-",""))-1),".","")))=0,SUBSTITUTE(SUBSTITUTE($G827,"-"," ",LEN($G827)-LEN(SUBSTITUTE($G827,"-",""))),"-"," ",LEN($G827)-LEN(SUBSTITUTE($G827,"-",""))-1),SUBSTITUTE(SUBSTITUTE(SUBSTITUTE($G827,"-"," ",LEN($G827)-LEN(SUBSTITUTE($G827,"-",""))),"-"," ",LEN($G827)-LEN(SUBSTITUTE($G827,"-",""))-1),"."," ",(LEN(SUBSTITUTE(SUBSTITUTE($G827,"-"," ",LEN($G827)-LEN(SUBSTITUTE($G827,"-",""))),"-"," ",LEN($G827)-LEN(SUBSTITUTE($G827,"-",""))-1))-LEN(SUBSTITUTE(SUBSTITUTE(SUBSTITUTE($G827,"-"," ",LEN($G827)-LEN(SUBSTITUTE($G827,"-",""))),"-"," ",LEN($G827)-LEN(SUBSTITUTE($G827,"-",""))-1),".",""))))),$G827)))</f>
        <v/>
      </c>
    </row>
    <row r="828">
      <c r="A828" s="58" t="n"/>
      <c r="B828" s="58">
        <f>IF($H828="","",LEFT($H828,FIND(" ",$H828&amp;" ")-1))</f>
        <v/>
      </c>
      <c r="C828" s="58">
        <f>IF($H828="","",IFERROR(MID($H828&amp;" ",FIND("|",SUBSTITUTE($H828&amp;" "," ","|",1))+1,FIND("|",SUBSTITUTE($H828&amp;" "," ","|",2))-FIND("|",SUBSTITUTE($H828&amp;" "," ","|",1))-1),""))</f>
        <v/>
      </c>
      <c r="D828" s="58">
        <f>IF($H828="","",IFERROR(MID($H828&amp;" ",FIND("|",SUBSTITUTE($H828&amp;" "," ","|",2))+1,FIND("|",SUBSTITUTE($H828&amp;" "," ","|",3))-FIND("|",SUBSTITUTE($H828&amp;" "," ","|",2))-1),""))</f>
        <v/>
      </c>
      <c r="E828" s="58">
        <f>IF($H828="","",IFERROR(MID($H828&amp;" ",FIND("|",SUBSTITUTE($H828&amp;" "," ","|",3))+1,FIND("|",SUBSTITUTE($H828&amp;" "," ","|",4))-FIND("|",SUBSTITUTE($H828&amp;" "," ","|",3))-1),""))</f>
        <v/>
      </c>
      <c r="F828" s="59">
        <f>IF($H828="","",IFERROR(VALUE(IFERROR(MID($H828&amp;" ",FIND("|",SUBSTITUTE($H828&amp;" "," ","|",4))+1,FIND("|",SUBSTITUTE($H828&amp;" "," ","|",5))-FIND("|",SUBSTITUTE($H828&amp;" "," ","|",4))-1),""))/86400+25569+9/24,""))</f>
        <v/>
      </c>
      <c r="G828" s="58">
        <f>TRIM(SUBSTITUTE(SUBSTITUTE(SUBSTITUTE($A828,CHAR(9)," ")," "," "),CHAR(13),""))</f>
        <v/>
      </c>
      <c r="H828" s="58">
        <f>IF($G828="","",IF(ISNUMBER(FIND(" ",$G828)),$G828,IFERROR(IF((LEN(SUBSTITUTE(SUBSTITUTE($G828,"-"," ",LEN($G828)-LEN(SUBSTITUTE($G828,"-",""))),"-"," ",LEN($G828)-LEN(SUBSTITUTE($G828,"-",""))-1))-LEN(SUBSTITUTE(SUBSTITUTE(SUBSTITUTE($G828,"-"," ",LEN($G828)-LEN(SUBSTITUTE($G828,"-",""))),"-"," ",LEN($G828)-LEN(SUBSTITUTE($G828,"-",""))-1),".","")))=0,SUBSTITUTE(SUBSTITUTE($G828,"-"," ",LEN($G828)-LEN(SUBSTITUTE($G828,"-",""))),"-"," ",LEN($G828)-LEN(SUBSTITUTE($G828,"-",""))-1),SUBSTITUTE(SUBSTITUTE(SUBSTITUTE($G828,"-"," ",LEN($G828)-LEN(SUBSTITUTE($G828,"-",""))),"-"," ",LEN($G828)-LEN(SUBSTITUTE($G828,"-",""))-1),"."," ",(LEN(SUBSTITUTE(SUBSTITUTE($G828,"-"," ",LEN($G828)-LEN(SUBSTITUTE($G828,"-",""))),"-"," ",LEN($G828)-LEN(SUBSTITUTE($G828,"-",""))-1))-LEN(SUBSTITUTE(SUBSTITUTE(SUBSTITUTE($G828,"-"," ",LEN($G828)-LEN(SUBSTITUTE($G828,"-",""))),"-"," ",LEN($G828)-LEN(SUBSTITUTE($G828,"-",""))-1),".",""))))),$G828)))</f>
        <v/>
      </c>
    </row>
    <row r="829">
      <c r="A829" s="58" t="n"/>
      <c r="B829" s="58">
        <f>IF($H829="","",LEFT($H829,FIND(" ",$H829&amp;" ")-1))</f>
        <v/>
      </c>
      <c r="C829" s="58">
        <f>IF($H829="","",IFERROR(MID($H829&amp;" ",FIND("|",SUBSTITUTE($H829&amp;" "," ","|",1))+1,FIND("|",SUBSTITUTE($H829&amp;" "," ","|",2))-FIND("|",SUBSTITUTE($H829&amp;" "," ","|",1))-1),""))</f>
        <v/>
      </c>
      <c r="D829" s="58">
        <f>IF($H829="","",IFERROR(MID($H829&amp;" ",FIND("|",SUBSTITUTE($H829&amp;" "," ","|",2))+1,FIND("|",SUBSTITUTE($H829&amp;" "," ","|",3))-FIND("|",SUBSTITUTE($H829&amp;" "," ","|",2))-1),""))</f>
        <v/>
      </c>
      <c r="E829" s="58">
        <f>IF($H829="","",IFERROR(MID($H829&amp;" ",FIND("|",SUBSTITUTE($H829&amp;" "," ","|",3))+1,FIND("|",SUBSTITUTE($H829&amp;" "," ","|",4))-FIND("|",SUBSTITUTE($H829&amp;" "," ","|",3))-1),""))</f>
        <v/>
      </c>
      <c r="F829" s="59">
        <f>IF($H829="","",IFERROR(VALUE(IFERROR(MID($H829&amp;" ",FIND("|",SUBSTITUTE($H829&amp;" "," ","|",4))+1,FIND("|",SUBSTITUTE($H829&amp;" "," ","|",5))-FIND("|",SUBSTITUTE($H829&amp;" "," ","|",4))-1),""))/86400+25569+9/24,""))</f>
        <v/>
      </c>
      <c r="G829" s="58">
        <f>TRIM(SUBSTITUTE(SUBSTITUTE(SUBSTITUTE($A829,CHAR(9)," ")," "," "),CHAR(13),""))</f>
        <v/>
      </c>
      <c r="H829" s="58">
        <f>IF($G829="","",IF(ISNUMBER(FIND(" ",$G829)),$G829,IFERROR(IF((LEN(SUBSTITUTE(SUBSTITUTE($G829,"-"," ",LEN($G829)-LEN(SUBSTITUTE($G829,"-",""))),"-"," ",LEN($G829)-LEN(SUBSTITUTE($G829,"-",""))-1))-LEN(SUBSTITUTE(SUBSTITUTE(SUBSTITUTE($G829,"-"," ",LEN($G829)-LEN(SUBSTITUTE($G829,"-",""))),"-"," ",LEN($G829)-LEN(SUBSTITUTE($G829,"-",""))-1),".","")))=0,SUBSTITUTE(SUBSTITUTE($G829,"-"," ",LEN($G829)-LEN(SUBSTITUTE($G829,"-",""))),"-"," ",LEN($G829)-LEN(SUBSTITUTE($G829,"-",""))-1),SUBSTITUTE(SUBSTITUTE(SUBSTITUTE($G829,"-"," ",LEN($G829)-LEN(SUBSTITUTE($G829,"-",""))),"-"," ",LEN($G829)-LEN(SUBSTITUTE($G829,"-",""))-1),"."," ",(LEN(SUBSTITUTE(SUBSTITUTE($G829,"-"," ",LEN($G829)-LEN(SUBSTITUTE($G829,"-",""))),"-"," ",LEN($G829)-LEN(SUBSTITUTE($G829,"-",""))-1))-LEN(SUBSTITUTE(SUBSTITUTE(SUBSTITUTE($G829,"-"," ",LEN($G829)-LEN(SUBSTITUTE($G829,"-",""))),"-"," ",LEN($G829)-LEN(SUBSTITUTE($G829,"-",""))-1),".",""))))),$G829)))</f>
        <v/>
      </c>
    </row>
    <row r="830">
      <c r="A830" s="58" t="n"/>
      <c r="B830" s="58">
        <f>IF($H830="","",LEFT($H830,FIND(" ",$H830&amp;" ")-1))</f>
        <v/>
      </c>
      <c r="C830" s="58">
        <f>IF($H830="","",IFERROR(MID($H830&amp;" ",FIND("|",SUBSTITUTE($H830&amp;" "," ","|",1))+1,FIND("|",SUBSTITUTE($H830&amp;" "," ","|",2))-FIND("|",SUBSTITUTE($H830&amp;" "," ","|",1))-1),""))</f>
        <v/>
      </c>
      <c r="D830" s="58">
        <f>IF($H830="","",IFERROR(MID($H830&amp;" ",FIND("|",SUBSTITUTE($H830&amp;" "," ","|",2))+1,FIND("|",SUBSTITUTE($H830&amp;" "," ","|",3))-FIND("|",SUBSTITUTE($H830&amp;" "," ","|",2))-1),""))</f>
        <v/>
      </c>
      <c r="E830" s="58">
        <f>IF($H830="","",IFERROR(MID($H830&amp;" ",FIND("|",SUBSTITUTE($H830&amp;" "," ","|",3))+1,FIND("|",SUBSTITUTE($H830&amp;" "," ","|",4))-FIND("|",SUBSTITUTE($H830&amp;" "," ","|",3))-1),""))</f>
        <v/>
      </c>
      <c r="F830" s="59">
        <f>IF($H830="","",IFERROR(VALUE(IFERROR(MID($H830&amp;" ",FIND("|",SUBSTITUTE($H830&amp;" "," ","|",4))+1,FIND("|",SUBSTITUTE($H830&amp;" "," ","|",5))-FIND("|",SUBSTITUTE($H830&amp;" "," ","|",4))-1),""))/86400+25569+9/24,""))</f>
        <v/>
      </c>
      <c r="G830" s="58">
        <f>TRIM(SUBSTITUTE(SUBSTITUTE(SUBSTITUTE($A830,CHAR(9)," ")," "," "),CHAR(13),""))</f>
        <v/>
      </c>
      <c r="H830" s="58">
        <f>IF($G830="","",IF(ISNUMBER(FIND(" ",$G830)),$G830,IFERROR(IF((LEN(SUBSTITUTE(SUBSTITUTE($G830,"-"," ",LEN($G830)-LEN(SUBSTITUTE($G830,"-",""))),"-"," ",LEN($G830)-LEN(SUBSTITUTE($G830,"-",""))-1))-LEN(SUBSTITUTE(SUBSTITUTE(SUBSTITUTE($G830,"-"," ",LEN($G830)-LEN(SUBSTITUTE($G830,"-",""))),"-"," ",LEN($G830)-LEN(SUBSTITUTE($G830,"-",""))-1),".","")))=0,SUBSTITUTE(SUBSTITUTE($G830,"-"," ",LEN($G830)-LEN(SUBSTITUTE($G830,"-",""))),"-"," ",LEN($G830)-LEN(SUBSTITUTE($G830,"-",""))-1),SUBSTITUTE(SUBSTITUTE(SUBSTITUTE($G830,"-"," ",LEN($G830)-LEN(SUBSTITUTE($G830,"-",""))),"-"," ",LEN($G830)-LEN(SUBSTITUTE($G830,"-",""))-1),"."," ",(LEN(SUBSTITUTE(SUBSTITUTE($G830,"-"," ",LEN($G830)-LEN(SUBSTITUTE($G830,"-",""))),"-"," ",LEN($G830)-LEN(SUBSTITUTE($G830,"-",""))-1))-LEN(SUBSTITUTE(SUBSTITUTE(SUBSTITUTE($G830,"-"," ",LEN($G830)-LEN(SUBSTITUTE($G830,"-",""))),"-"," ",LEN($G830)-LEN(SUBSTITUTE($G830,"-",""))-1),".",""))))),$G830)))</f>
        <v/>
      </c>
    </row>
    <row r="831">
      <c r="A831" s="58" t="n"/>
      <c r="B831" s="58">
        <f>IF($H831="","",LEFT($H831,FIND(" ",$H831&amp;" ")-1))</f>
        <v/>
      </c>
      <c r="C831" s="58">
        <f>IF($H831="","",IFERROR(MID($H831&amp;" ",FIND("|",SUBSTITUTE($H831&amp;" "," ","|",1))+1,FIND("|",SUBSTITUTE($H831&amp;" "," ","|",2))-FIND("|",SUBSTITUTE($H831&amp;" "," ","|",1))-1),""))</f>
        <v/>
      </c>
      <c r="D831" s="58">
        <f>IF($H831="","",IFERROR(MID($H831&amp;" ",FIND("|",SUBSTITUTE($H831&amp;" "," ","|",2))+1,FIND("|",SUBSTITUTE($H831&amp;" "," ","|",3))-FIND("|",SUBSTITUTE($H831&amp;" "," ","|",2))-1),""))</f>
        <v/>
      </c>
      <c r="E831" s="58">
        <f>IF($H831="","",IFERROR(MID($H831&amp;" ",FIND("|",SUBSTITUTE($H831&amp;" "," ","|",3))+1,FIND("|",SUBSTITUTE($H831&amp;" "," ","|",4))-FIND("|",SUBSTITUTE($H831&amp;" "," ","|",3))-1),""))</f>
        <v/>
      </c>
      <c r="F831" s="59">
        <f>IF($H831="","",IFERROR(VALUE(IFERROR(MID($H831&amp;" ",FIND("|",SUBSTITUTE($H831&amp;" "," ","|",4))+1,FIND("|",SUBSTITUTE($H831&amp;" "," ","|",5))-FIND("|",SUBSTITUTE($H831&amp;" "," ","|",4))-1),""))/86400+25569+9/24,""))</f>
        <v/>
      </c>
      <c r="G831" s="58">
        <f>TRIM(SUBSTITUTE(SUBSTITUTE(SUBSTITUTE($A831,CHAR(9)," ")," "," "),CHAR(13),""))</f>
        <v/>
      </c>
      <c r="H831" s="58">
        <f>IF($G831="","",IF(ISNUMBER(FIND(" ",$G831)),$G831,IFERROR(IF((LEN(SUBSTITUTE(SUBSTITUTE($G831,"-"," ",LEN($G831)-LEN(SUBSTITUTE($G831,"-",""))),"-"," ",LEN($G831)-LEN(SUBSTITUTE($G831,"-",""))-1))-LEN(SUBSTITUTE(SUBSTITUTE(SUBSTITUTE($G831,"-"," ",LEN($G831)-LEN(SUBSTITUTE($G831,"-",""))),"-"," ",LEN($G831)-LEN(SUBSTITUTE($G831,"-",""))-1),".","")))=0,SUBSTITUTE(SUBSTITUTE($G831,"-"," ",LEN($G831)-LEN(SUBSTITUTE($G831,"-",""))),"-"," ",LEN($G831)-LEN(SUBSTITUTE($G831,"-",""))-1),SUBSTITUTE(SUBSTITUTE(SUBSTITUTE($G831,"-"," ",LEN($G831)-LEN(SUBSTITUTE($G831,"-",""))),"-"," ",LEN($G831)-LEN(SUBSTITUTE($G831,"-",""))-1),"."," ",(LEN(SUBSTITUTE(SUBSTITUTE($G831,"-"," ",LEN($G831)-LEN(SUBSTITUTE($G831,"-",""))),"-"," ",LEN($G831)-LEN(SUBSTITUTE($G831,"-",""))-1))-LEN(SUBSTITUTE(SUBSTITUTE(SUBSTITUTE($G831,"-"," ",LEN($G831)-LEN(SUBSTITUTE($G831,"-",""))),"-"," ",LEN($G831)-LEN(SUBSTITUTE($G831,"-",""))-1),".",""))))),$G831)))</f>
        <v/>
      </c>
    </row>
    <row r="832">
      <c r="A832" s="58" t="n"/>
      <c r="B832" s="58">
        <f>IF($H832="","",LEFT($H832,FIND(" ",$H832&amp;" ")-1))</f>
        <v/>
      </c>
      <c r="C832" s="58">
        <f>IF($H832="","",IFERROR(MID($H832&amp;" ",FIND("|",SUBSTITUTE($H832&amp;" "," ","|",1))+1,FIND("|",SUBSTITUTE($H832&amp;" "," ","|",2))-FIND("|",SUBSTITUTE($H832&amp;" "," ","|",1))-1),""))</f>
        <v/>
      </c>
      <c r="D832" s="58">
        <f>IF($H832="","",IFERROR(MID($H832&amp;" ",FIND("|",SUBSTITUTE($H832&amp;" "," ","|",2))+1,FIND("|",SUBSTITUTE($H832&amp;" "," ","|",3))-FIND("|",SUBSTITUTE($H832&amp;" "," ","|",2))-1),""))</f>
        <v/>
      </c>
      <c r="E832" s="58">
        <f>IF($H832="","",IFERROR(MID($H832&amp;" ",FIND("|",SUBSTITUTE($H832&amp;" "," ","|",3))+1,FIND("|",SUBSTITUTE($H832&amp;" "," ","|",4))-FIND("|",SUBSTITUTE($H832&amp;" "," ","|",3))-1),""))</f>
        <v/>
      </c>
      <c r="F832" s="59">
        <f>IF($H832="","",IFERROR(VALUE(IFERROR(MID($H832&amp;" ",FIND("|",SUBSTITUTE($H832&amp;" "," ","|",4))+1,FIND("|",SUBSTITUTE($H832&amp;" "," ","|",5))-FIND("|",SUBSTITUTE($H832&amp;" "," ","|",4))-1),""))/86400+25569+9/24,""))</f>
        <v/>
      </c>
      <c r="G832" s="58">
        <f>TRIM(SUBSTITUTE(SUBSTITUTE(SUBSTITUTE($A832,CHAR(9)," ")," "," "),CHAR(13),""))</f>
        <v/>
      </c>
      <c r="H832" s="58">
        <f>IF($G832="","",IF(ISNUMBER(FIND(" ",$G832)),$G832,IFERROR(IF((LEN(SUBSTITUTE(SUBSTITUTE($G832,"-"," ",LEN($G832)-LEN(SUBSTITUTE($G832,"-",""))),"-"," ",LEN($G832)-LEN(SUBSTITUTE($G832,"-",""))-1))-LEN(SUBSTITUTE(SUBSTITUTE(SUBSTITUTE($G832,"-"," ",LEN($G832)-LEN(SUBSTITUTE($G832,"-",""))),"-"," ",LEN($G832)-LEN(SUBSTITUTE($G832,"-",""))-1),".","")))=0,SUBSTITUTE(SUBSTITUTE($G832,"-"," ",LEN($G832)-LEN(SUBSTITUTE($G832,"-",""))),"-"," ",LEN($G832)-LEN(SUBSTITUTE($G832,"-",""))-1),SUBSTITUTE(SUBSTITUTE(SUBSTITUTE($G832,"-"," ",LEN($G832)-LEN(SUBSTITUTE($G832,"-",""))),"-"," ",LEN($G832)-LEN(SUBSTITUTE($G832,"-",""))-1),"."," ",(LEN(SUBSTITUTE(SUBSTITUTE($G832,"-"," ",LEN($G832)-LEN(SUBSTITUTE($G832,"-",""))),"-"," ",LEN($G832)-LEN(SUBSTITUTE($G832,"-",""))-1))-LEN(SUBSTITUTE(SUBSTITUTE(SUBSTITUTE($G832,"-"," ",LEN($G832)-LEN(SUBSTITUTE($G832,"-",""))),"-"," ",LEN($G832)-LEN(SUBSTITUTE($G832,"-",""))-1),".",""))))),$G832)))</f>
        <v/>
      </c>
    </row>
    <row r="833">
      <c r="A833" s="58" t="n"/>
      <c r="B833" s="58">
        <f>IF($H833="","",LEFT($H833,FIND(" ",$H833&amp;" ")-1))</f>
        <v/>
      </c>
      <c r="C833" s="58">
        <f>IF($H833="","",IFERROR(MID($H833&amp;" ",FIND("|",SUBSTITUTE($H833&amp;" "," ","|",1))+1,FIND("|",SUBSTITUTE($H833&amp;" "," ","|",2))-FIND("|",SUBSTITUTE($H833&amp;" "," ","|",1))-1),""))</f>
        <v/>
      </c>
      <c r="D833" s="58">
        <f>IF($H833="","",IFERROR(MID($H833&amp;" ",FIND("|",SUBSTITUTE($H833&amp;" "," ","|",2))+1,FIND("|",SUBSTITUTE($H833&amp;" "," ","|",3))-FIND("|",SUBSTITUTE($H833&amp;" "," ","|",2))-1),""))</f>
        <v/>
      </c>
      <c r="E833" s="58">
        <f>IF($H833="","",IFERROR(MID($H833&amp;" ",FIND("|",SUBSTITUTE($H833&amp;" "," ","|",3))+1,FIND("|",SUBSTITUTE($H833&amp;" "," ","|",4))-FIND("|",SUBSTITUTE($H833&amp;" "," ","|",3))-1),""))</f>
        <v/>
      </c>
      <c r="F833" s="59">
        <f>IF($H833="","",IFERROR(VALUE(IFERROR(MID($H833&amp;" ",FIND("|",SUBSTITUTE($H833&amp;" "," ","|",4))+1,FIND("|",SUBSTITUTE($H833&amp;" "," ","|",5))-FIND("|",SUBSTITUTE($H833&amp;" "," ","|",4))-1),""))/86400+25569+9/24,""))</f>
        <v/>
      </c>
      <c r="G833" s="58">
        <f>TRIM(SUBSTITUTE(SUBSTITUTE(SUBSTITUTE($A833,CHAR(9)," ")," "," "),CHAR(13),""))</f>
        <v/>
      </c>
      <c r="H833" s="58">
        <f>IF($G833="","",IF(ISNUMBER(FIND(" ",$G833)),$G833,IFERROR(IF((LEN(SUBSTITUTE(SUBSTITUTE($G833,"-"," ",LEN($G833)-LEN(SUBSTITUTE($G833,"-",""))),"-"," ",LEN($G833)-LEN(SUBSTITUTE($G833,"-",""))-1))-LEN(SUBSTITUTE(SUBSTITUTE(SUBSTITUTE($G833,"-"," ",LEN($G833)-LEN(SUBSTITUTE($G833,"-",""))),"-"," ",LEN($G833)-LEN(SUBSTITUTE($G833,"-",""))-1),".","")))=0,SUBSTITUTE(SUBSTITUTE($G833,"-"," ",LEN($G833)-LEN(SUBSTITUTE($G833,"-",""))),"-"," ",LEN($G833)-LEN(SUBSTITUTE($G833,"-",""))-1),SUBSTITUTE(SUBSTITUTE(SUBSTITUTE($G833,"-"," ",LEN($G833)-LEN(SUBSTITUTE($G833,"-",""))),"-"," ",LEN($G833)-LEN(SUBSTITUTE($G833,"-",""))-1),"."," ",(LEN(SUBSTITUTE(SUBSTITUTE($G833,"-"," ",LEN($G833)-LEN(SUBSTITUTE($G833,"-",""))),"-"," ",LEN($G833)-LEN(SUBSTITUTE($G833,"-",""))-1))-LEN(SUBSTITUTE(SUBSTITUTE(SUBSTITUTE($G833,"-"," ",LEN($G833)-LEN(SUBSTITUTE($G833,"-",""))),"-"," ",LEN($G833)-LEN(SUBSTITUTE($G833,"-",""))-1),".",""))))),$G833)))</f>
        <v/>
      </c>
    </row>
    <row r="834">
      <c r="A834" s="58" t="n"/>
      <c r="B834" s="58">
        <f>IF($H834="","",LEFT($H834,FIND(" ",$H834&amp;" ")-1))</f>
        <v/>
      </c>
      <c r="C834" s="58">
        <f>IF($H834="","",IFERROR(MID($H834&amp;" ",FIND("|",SUBSTITUTE($H834&amp;" "," ","|",1))+1,FIND("|",SUBSTITUTE($H834&amp;" "," ","|",2))-FIND("|",SUBSTITUTE($H834&amp;" "," ","|",1))-1),""))</f>
        <v/>
      </c>
      <c r="D834" s="58">
        <f>IF($H834="","",IFERROR(MID($H834&amp;" ",FIND("|",SUBSTITUTE($H834&amp;" "," ","|",2))+1,FIND("|",SUBSTITUTE($H834&amp;" "," ","|",3))-FIND("|",SUBSTITUTE($H834&amp;" "," ","|",2))-1),""))</f>
        <v/>
      </c>
      <c r="E834" s="58">
        <f>IF($H834="","",IFERROR(MID($H834&amp;" ",FIND("|",SUBSTITUTE($H834&amp;" "," ","|",3))+1,FIND("|",SUBSTITUTE($H834&amp;" "," ","|",4))-FIND("|",SUBSTITUTE($H834&amp;" "," ","|",3))-1),""))</f>
        <v/>
      </c>
      <c r="F834" s="59">
        <f>IF($H834="","",IFERROR(VALUE(IFERROR(MID($H834&amp;" ",FIND("|",SUBSTITUTE($H834&amp;" "," ","|",4))+1,FIND("|",SUBSTITUTE($H834&amp;" "," ","|",5))-FIND("|",SUBSTITUTE($H834&amp;" "," ","|",4))-1),""))/86400+25569+9/24,""))</f>
        <v/>
      </c>
      <c r="G834" s="58">
        <f>TRIM(SUBSTITUTE(SUBSTITUTE(SUBSTITUTE($A834,CHAR(9)," ")," "," "),CHAR(13),""))</f>
        <v/>
      </c>
      <c r="H834" s="58">
        <f>IF($G834="","",IF(ISNUMBER(FIND(" ",$G834)),$G834,IFERROR(IF((LEN(SUBSTITUTE(SUBSTITUTE($G834,"-"," ",LEN($G834)-LEN(SUBSTITUTE($G834,"-",""))),"-"," ",LEN($G834)-LEN(SUBSTITUTE($G834,"-",""))-1))-LEN(SUBSTITUTE(SUBSTITUTE(SUBSTITUTE($G834,"-"," ",LEN($G834)-LEN(SUBSTITUTE($G834,"-",""))),"-"," ",LEN($G834)-LEN(SUBSTITUTE($G834,"-",""))-1),".","")))=0,SUBSTITUTE(SUBSTITUTE($G834,"-"," ",LEN($G834)-LEN(SUBSTITUTE($G834,"-",""))),"-"," ",LEN($G834)-LEN(SUBSTITUTE($G834,"-",""))-1),SUBSTITUTE(SUBSTITUTE(SUBSTITUTE($G834,"-"," ",LEN($G834)-LEN(SUBSTITUTE($G834,"-",""))),"-"," ",LEN($G834)-LEN(SUBSTITUTE($G834,"-",""))-1),"."," ",(LEN(SUBSTITUTE(SUBSTITUTE($G834,"-"," ",LEN($G834)-LEN(SUBSTITUTE($G834,"-",""))),"-"," ",LEN($G834)-LEN(SUBSTITUTE($G834,"-",""))-1))-LEN(SUBSTITUTE(SUBSTITUTE(SUBSTITUTE($G834,"-"," ",LEN($G834)-LEN(SUBSTITUTE($G834,"-",""))),"-"," ",LEN($G834)-LEN(SUBSTITUTE($G834,"-",""))-1),".",""))))),$G834)))</f>
        <v/>
      </c>
    </row>
    <row r="835">
      <c r="A835" s="58" t="n"/>
      <c r="B835" s="58">
        <f>IF($H835="","",LEFT($H835,FIND(" ",$H835&amp;" ")-1))</f>
        <v/>
      </c>
      <c r="C835" s="58">
        <f>IF($H835="","",IFERROR(MID($H835&amp;" ",FIND("|",SUBSTITUTE($H835&amp;" "," ","|",1))+1,FIND("|",SUBSTITUTE($H835&amp;" "," ","|",2))-FIND("|",SUBSTITUTE($H835&amp;" "," ","|",1))-1),""))</f>
        <v/>
      </c>
      <c r="D835" s="58">
        <f>IF($H835="","",IFERROR(MID($H835&amp;" ",FIND("|",SUBSTITUTE($H835&amp;" "," ","|",2))+1,FIND("|",SUBSTITUTE($H835&amp;" "," ","|",3))-FIND("|",SUBSTITUTE($H835&amp;" "," ","|",2))-1),""))</f>
        <v/>
      </c>
      <c r="E835" s="58">
        <f>IF($H835="","",IFERROR(MID($H835&amp;" ",FIND("|",SUBSTITUTE($H835&amp;" "," ","|",3))+1,FIND("|",SUBSTITUTE($H835&amp;" "," ","|",4))-FIND("|",SUBSTITUTE($H835&amp;" "," ","|",3))-1),""))</f>
        <v/>
      </c>
      <c r="F835" s="59">
        <f>IF($H835="","",IFERROR(VALUE(IFERROR(MID($H835&amp;" ",FIND("|",SUBSTITUTE($H835&amp;" "," ","|",4))+1,FIND("|",SUBSTITUTE($H835&amp;" "," ","|",5))-FIND("|",SUBSTITUTE($H835&amp;" "," ","|",4))-1),""))/86400+25569+9/24,""))</f>
        <v/>
      </c>
      <c r="G835" s="58">
        <f>TRIM(SUBSTITUTE(SUBSTITUTE(SUBSTITUTE($A835,CHAR(9)," ")," "," "),CHAR(13),""))</f>
        <v/>
      </c>
      <c r="H835" s="58">
        <f>IF($G835="","",IF(ISNUMBER(FIND(" ",$G835)),$G835,IFERROR(IF((LEN(SUBSTITUTE(SUBSTITUTE($G835,"-"," ",LEN($G835)-LEN(SUBSTITUTE($G835,"-",""))),"-"," ",LEN($G835)-LEN(SUBSTITUTE($G835,"-",""))-1))-LEN(SUBSTITUTE(SUBSTITUTE(SUBSTITUTE($G835,"-"," ",LEN($G835)-LEN(SUBSTITUTE($G835,"-",""))),"-"," ",LEN($G835)-LEN(SUBSTITUTE($G835,"-",""))-1),".","")))=0,SUBSTITUTE(SUBSTITUTE($G835,"-"," ",LEN($G835)-LEN(SUBSTITUTE($G835,"-",""))),"-"," ",LEN($G835)-LEN(SUBSTITUTE($G835,"-",""))-1),SUBSTITUTE(SUBSTITUTE(SUBSTITUTE($G835,"-"," ",LEN($G835)-LEN(SUBSTITUTE($G835,"-",""))),"-"," ",LEN($G835)-LEN(SUBSTITUTE($G835,"-",""))-1),"."," ",(LEN(SUBSTITUTE(SUBSTITUTE($G835,"-"," ",LEN($G835)-LEN(SUBSTITUTE($G835,"-",""))),"-"," ",LEN($G835)-LEN(SUBSTITUTE($G835,"-",""))-1))-LEN(SUBSTITUTE(SUBSTITUTE(SUBSTITUTE($G835,"-"," ",LEN($G835)-LEN(SUBSTITUTE($G835,"-",""))),"-"," ",LEN($G835)-LEN(SUBSTITUTE($G835,"-",""))-1),".",""))))),$G835)))</f>
        <v/>
      </c>
    </row>
    <row r="836">
      <c r="A836" s="58" t="n"/>
      <c r="B836" s="58">
        <f>IF($H836="","",LEFT($H836,FIND(" ",$H836&amp;" ")-1))</f>
        <v/>
      </c>
      <c r="C836" s="58">
        <f>IF($H836="","",IFERROR(MID($H836&amp;" ",FIND("|",SUBSTITUTE($H836&amp;" "," ","|",1))+1,FIND("|",SUBSTITUTE($H836&amp;" "," ","|",2))-FIND("|",SUBSTITUTE($H836&amp;" "," ","|",1))-1),""))</f>
        <v/>
      </c>
      <c r="D836" s="58">
        <f>IF($H836="","",IFERROR(MID($H836&amp;" ",FIND("|",SUBSTITUTE($H836&amp;" "," ","|",2))+1,FIND("|",SUBSTITUTE($H836&amp;" "," ","|",3))-FIND("|",SUBSTITUTE($H836&amp;" "," ","|",2))-1),""))</f>
        <v/>
      </c>
      <c r="E836" s="58">
        <f>IF($H836="","",IFERROR(MID($H836&amp;" ",FIND("|",SUBSTITUTE($H836&amp;" "," ","|",3))+1,FIND("|",SUBSTITUTE($H836&amp;" "," ","|",4))-FIND("|",SUBSTITUTE($H836&amp;" "," ","|",3))-1),""))</f>
        <v/>
      </c>
      <c r="F836" s="59">
        <f>IF($H836="","",IFERROR(VALUE(IFERROR(MID($H836&amp;" ",FIND("|",SUBSTITUTE($H836&amp;" "," ","|",4))+1,FIND("|",SUBSTITUTE($H836&amp;" "," ","|",5))-FIND("|",SUBSTITUTE($H836&amp;" "," ","|",4))-1),""))/86400+25569+9/24,""))</f>
        <v/>
      </c>
      <c r="G836" s="58">
        <f>TRIM(SUBSTITUTE(SUBSTITUTE(SUBSTITUTE($A836,CHAR(9)," ")," "," "),CHAR(13),""))</f>
        <v/>
      </c>
      <c r="H836" s="58">
        <f>IF($G836="","",IF(ISNUMBER(FIND(" ",$G836)),$G836,IFERROR(IF((LEN(SUBSTITUTE(SUBSTITUTE($G836,"-"," ",LEN($G836)-LEN(SUBSTITUTE($G836,"-",""))),"-"," ",LEN($G836)-LEN(SUBSTITUTE($G836,"-",""))-1))-LEN(SUBSTITUTE(SUBSTITUTE(SUBSTITUTE($G836,"-"," ",LEN($G836)-LEN(SUBSTITUTE($G836,"-",""))),"-"," ",LEN($G836)-LEN(SUBSTITUTE($G836,"-",""))-1),".","")))=0,SUBSTITUTE(SUBSTITUTE($G836,"-"," ",LEN($G836)-LEN(SUBSTITUTE($G836,"-",""))),"-"," ",LEN($G836)-LEN(SUBSTITUTE($G836,"-",""))-1),SUBSTITUTE(SUBSTITUTE(SUBSTITUTE($G836,"-"," ",LEN($G836)-LEN(SUBSTITUTE($G836,"-",""))),"-"," ",LEN($G836)-LEN(SUBSTITUTE($G836,"-",""))-1),"."," ",(LEN(SUBSTITUTE(SUBSTITUTE($G836,"-"," ",LEN($G836)-LEN(SUBSTITUTE($G836,"-",""))),"-"," ",LEN($G836)-LEN(SUBSTITUTE($G836,"-",""))-1))-LEN(SUBSTITUTE(SUBSTITUTE(SUBSTITUTE($G836,"-"," ",LEN($G836)-LEN(SUBSTITUTE($G836,"-",""))),"-"," ",LEN($G836)-LEN(SUBSTITUTE($G836,"-",""))-1),".",""))))),$G836)))</f>
        <v/>
      </c>
    </row>
    <row r="837">
      <c r="A837" s="58" t="n"/>
      <c r="B837" s="58">
        <f>IF($H837="","",LEFT($H837,FIND(" ",$H837&amp;" ")-1))</f>
        <v/>
      </c>
      <c r="C837" s="58">
        <f>IF($H837="","",IFERROR(MID($H837&amp;" ",FIND("|",SUBSTITUTE($H837&amp;" "," ","|",1))+1,FIND("|",SUBSTITUTE($H837&amp;" "," ","|",2))-FIND("|",SUBSTITUTE($H837&amp;" "," ","|",1))-1),""))</f>
        <v/>
      </c>
      <c r="D837" s="58">
        <f>IF($H837="","",IFERROR(MID($H837&amp;" ",FIND("|",SUBSTITUTE($H837&amp;" "," ","|",2))+1,FIND("|",SUBSTITUTE($H837&amp;" "," ","|",3))-FIND("|",SUBSTITUTE($H837&amp;" "," ","|",2))-1),""))</f>
        <v/>
      </c>
      <c r="E837" s="58">
        <f>IF($H837="","",IFERROR(MID($H837&amp;" ",FIND("|",SUBSTITUTE($H837&amp;" "," ","|",3))+1,FIND("|",SUBSTITUTE($H837&amp;" "," ","|",4))-FIND("|",SUBSTITUTE($H837&amp;" "," ","|",3))-1),""))</f>
        <v/>
      </c>
      <c r="F837" s="59">
        <f>IF($H837="","",IFERROR(VALUE(IFERROR(MID($H837&amp;" ",FIND("|",SUBSTITUTE($H837&amp;" "," ","|",4))+1,FIND("|",SUBSTITUTE($H837&amp;" "," ","|",5))-FIND("|",SUBSTITUTE($H837&amp;" "," ","|",4))-1),""))/86400+25569+9/24,""))</f>
        <v/>
      </c>
      <c r="G837" s="58">
        <f>TRIM(SUBSTITUTE(SUBSTITUTE(SUBSTITUTE($A837,CHAR(9)," ")," "," "),CHAR(13),""))</f>
        <v/>
      </c>
      <c r="H837" s="58">
        <f>IF($G837="","",IF(ISNUMBER(FIND(" ",$G837)),$G837,IFERROR(IF((LEN(SUBSTITUTE(SUBSTITUTE($G837,"-"," ",LEN($G837)-LEN(SUBSTITUTE($G837,"-",""))),"-"," ",LEN($G837)-LEN(SUBSTITUTE($G837,"-",""))-1))-LEN(SUBSTITUTE(SUBSTITUTE(SUBSTITUTE($G837,"-"," ",LEN($G837)-LEN(SUBSTITUTE($G837,"-",""))),"-"," ",LEN($G837)-LEN(SUBSTITUTE($G837,"-",""))-1),".","")))=0,SUBSTITUTE(SUBSTITUTE($G837,"-"," ",LEN($G837)-LEN(SUBSTITUTE($G837,"-",""))),"-"," ",LEN($G837)-LEN(SUBSTITUTE($G837,"-",""))-1),SUBSTITUTE(SUBSTITUTE(SUBSTITUTE($G837,"-"," ",LEN($G837)-LEN(SUBSTITUTE($G837,"-",""))),"-"," ",LEN($G837)-LEN(SUBSTITUTE($G837,"-",""))-1),"."," ",(LEN(SUBSTITUTE(SUBSTITUTE($G837,"-"," ",LEN($G837)-LEN(SUBSTITUTE($G837,"-",""))),"-"," ",LEN($G837)-LEN(SUBSTITUTE($G837,"-",""))-1))-LEN(SUBSTITUTE(SUBSTITUTE(SUBSTITUTE($G837,"-"," ",LEN($G837)-LEN(SUBSTITUTE($G837,"-",""))),"-"," ",LEN($G837)-LEN(SUBSTITUTE($G837,"-",""))-1),".",""))))),$G837)))</f>
        <v/>
      </c>
    </row>
    <row r="838">
      <c r="A838" s="58" t="n"/>
      <c r="B838" s="58">
        <f>IF($H838="","",LEFT($H838,FIND(" ",$H838&amp;" ")-1))</f>
        <v/>
      </c>
      <c r="C838" s="58">
        <f>IF($H838="","",IFERROR(MID($H838&amp;" ",FIND("|",SUBSTITUTE($H838&amp;" "," ","|",1))+1,FIND("|",SUBSTITUTE($H838&amp;" "," ","|",2))-FIND("|",SUBSTITUTE($H838&amp;" "," ","|",1))-1),""))</f>
        <v/>
      </c>
      <c r="D838" s="58">
        <f>IF($H838="","",IFERROR(MID($H838&amp;" ",FIND("|",SUBSTITUTE($H838&amp;" "," ","|",2))+1,FIND("|",SUBSTITUTE($H838&amp;" "," ","|",3))-FIND("|",SUBSTITUTE($H838&amp;" "," ","|",2))-1),""))</f>
        <v/>
      </c>
      <c r="E838" s="58">
        <f>IF($H838="","",IFERROR(MID($H838&amp;" ",FIND("|",SUBSTITUTE($H838&amp;" "," ","|",3))+1,FIND("|",SUBSTITUTE($H838&amp;" "," ","|",4))-FIND("|",SUBSTITUTE($H838&amp;" "," ","|",3))-1),""))</f>
        <v/>
      </c>
      <c r="F838" s="59">
        <f>IF($H838="","",IFERROR(VALUE(IFERROR(MID($H838&amp;" ",FIND("|",SUBSTITUTE($H838&amp;" "," ","|",4))+1,FIND("|",SUBSTITUTE($H838&amp;" "," ","|",5))-FIND("|",SUBSTITUTE($H838&amp;" "," ","|",4))-1),""))/86400+25569+9/24,""))</f>
        <v/>
      </c>
      <c r="G838" s="58">
        <f>TRIM(SUBSTITUTE(SUBSTITUTE(SUBSTITUTE($A838,CHAR(9)," ")," "," "),CHAR(13),""))</f>
        <v/>
      </c>
      <c r="H838" s="58">
        <f>IF($G838="","",IF(ISNUMBER(FIND(" ",$G838)),$G838,IFERROR(IF((LEN(SUBSTITUTE(SUBSTITUTE($G838,"-"," ",LEN($G838)-LEN(SUBSTITUTE($G838,"-",""))),"-"," ",LEN($G838)-LEN(SUBSTITUTE($G838,"-",""))-1))-LEN(SUBSTITUTE(SUBSTITUTE(SUBSTITUTE($G838,"-"," ",LEN($G838)-LEN(SUBSTITUTE($G838,"-",""))),"-"," ",LEN($G838)-LEN(SUBSTITUTE($G838,"-",""))-1),".","")))=0,SUBSTITUTE(SUBSTITUTE($G838,"-"," ",LEN($G838)-LEN(SUBSTITUTE($G838,"-",""))),"-"," ",LEN($G838)-LEN(SUBSTITUTE($G838,"-",""))-1),SUBSTITUTE(SUBSTITUTE(SUBSTITUTE($G838,"-"," ",LEN($G838)-LEN(SUBSTITUTE($G838,"-",""))),"-"," ",LEN($G838)-LEN(SUBSTITUTE($G838,"-",""))-1),"."," ",(LEN(SUBSTITUTE(SUBSTITUTE($G838,"-"," ",LEN($G838)-LEN(SUBSTITUTE($G838,"-",""))),"-"," ",LEN($G838)-LEN(SUBSTITUTE($G838,"-",""))-1))-LEN(SUBSTITUTE(SUBSTITUTE(SUBSTITUTE($G838,"-"," ",LEN($G838)-LEN(SUBSTITUTE($G838,"-",""))),"-"," ",LEN($G838)-LEN(SUBSTITUTE($G838,"-",""))-1),".",""))))),$G838)))</f>
        <v/>
      </c>
    </row>
    <row r="839">
      <c r="A839" s="58" t="n"/>
      <c r="B839" s="58">
        <f>IF($H839="","",LEFT($H839,FIND(" ",$H839&amp;" ")-1))</f>
        <v/>
      </c>
      <c r="C839" s="58">
        <f>IF($H839="","",IFERROR(MID($H839&amp;" ",FIND("|",SUBSTITUTE($H839&amp;" "," ","|",1))+1,FIND("|",SUBSTITUTE($H839&amp;" "," ","|",2))-FIND("|",SUBSTITUTE($H839&amp;" "," ","|",1))-1),""))</f>
        <v/>
      </c>
      <c r="D839" s="58">
        <f>IF($H839="","",IFERROR(MID($H839&amp;" ",FIND("|",SUBSTITUTE($H839&amp;" "," ","|",2))+1,FIND("|",SUBSTITUTE($H839&amp;" "," ","|",3))-FIND("|",SUBSTITUTE($H839&amp;" "," ","|",2))-1),""))</f>
        <v/>
      </c>
      <c r="E839" s="58">
        <f>IF($H839="","",IFERROR(MID($H839&amp;" ",FIND("|",SUBSTITUTE($H839&amp;" "," ","|",3))+1,FIND("|",SUBSTITUTE($H839&amp;" "," ","|",4))-FIND("|",SUBSTITUTE($H839&amp;" "," ","|",3))-1),""))</f>
        <v/>
      </c>
      <c r="F839" s="59">
        <f>IF($H839="","",IFERROR(VALUE(IFERROR(MID($H839&amp;" ",FIND("|",SUBSTITUTE($H839&amp;" "," ","|",4))+1,FIND("|",SUBSTITUTE($H839&amp;" "," ","|",5))-FIND("|",SUBSTITUTE($H839&amp;" "," ","|",4))-1),""))/86400+25569+9/24,""))</f>
        <v/>
      </c>
      <c r="G839" s="58">
        <f>TRIM(SUBSTITUTE(SUBSTITUTE(SUBSTITUTE($A839,CHAR(9)," ")," "," "),CHAR(13),""))</f>
        <v/>
      </c>
      <c r="H839" s="58">
        <f>IF($G839="","",IF(ISNUMBER(FIND(" ",$G839)),$G839,IFERROR(IF((LEN(SUBSTITUTE(SUBSTITUTE($G839,"-"," ",LEN($G839)-LEN(SUBSTITUTE($G839,"-",""))),"-"," ",LEN($G839)-LEN(SUBSTITUTE($G839,"-",""))-1))-LEN(SUBSTITUTE(SUBSTITUTE(SUBSTITUTE($G839,"-"," ",LEN($G839)-LEN(SUBSTITUTE($G839,"-",""))),"-"," ",LEN($G839)-LEN(SUBSTITUTE($G839,"-",""))-1),".","")))=0,SUBSTITUTE(SUBSTITUTE($G839,"-"," ",LEN($G839)-LEN(SUBSTITUTE($G839,"-",""))),"-"," ",LEN($G839)-LEN(SUBSTITUTE($G839,"-",""))-1),SUBSTITUTE(SUBSTITUTE(SUBSTITUTE($G839,"-"," ",LEN($G839)-LEN(SUBSTITUTE($G839,"-",""))),"-"," ",LEN($G839)-LEN(SUBSTITUTE($G839,"-",""))-1),"."," ",(LEN(SUBSTITUTE(SUBSTITUTE($G839,"-"," ",LEN($G839)-LEN(SUBSTITUTE($G839,"-",""))),"-"," ",LEN($G839)-LEN(SUBSTITUTE($G839,"-",""))-1))-LEN(SUBSTITUTE(SUBSTITUTE(SUBSTITUTE($G839,"-"," ",LEN($G839)-LEN(SUBSTITUTE($G839,"-",""))),"-"," ",LEN($G839)-LEN(SUBSTITUTE($G839,"-",""))-1),".",""))))),$G839)))</f>
        <v/>
      </c>
    </row>
    <row r="840">
      <c r="A840" s="58" t="n"/>
      <c r="B840" s="58">
        <f>IF($H840="","",LEFT($H840,FIND(" ",$H840&amp;" ")-1))</f>
        <v/>
      </c>
      <c r="C840" s="58">
        <f>IF($H840="","",IFERROR(MID($H840&amp;" ",FIND("|",SUBSTITUTE($H840&amp;" "," ","|",1))+1,FIND("|",SUBSTITUTE($H840&amp;" "," ","|",2))-FIND("|",SUBSTITUTE($H840&amp;" "," ","|",1))-1),""))</f>
        <v/>
      </c>
      <c r="D840" s="58">
        <f>IF($H840="","",IFERROR(MID($H840&amp;" ",FIND("|",SUBSTITUTE($H840&amp;" "," ","|",2))+1,FIND("|",SUBSTITUTE($H840&amp;" "," ","|",3))-FIND("|",SUBSTITUTE($H840&amp;" "," ","|",2))-1),""))</f>
        <v/>
      </c>
      <c r="E840" s="58">
        <f>IF($H840="","",IFERROR(MID($H840&amp;" ",FIND("|",SUBSTITUTE($H840&amp;" "," ","|",3))+1,FIND("|",SUBSTITUTE($H840&amp;" "," ","|",4))-FIND("|",SUBSTITUTE($H840&amp;" "," ","|",3))-1),""))</f>
        <v/>
      </c>
      <c r="F840" s="59">
        <f>IF($H840="","",IFERROR(VALUE(IFERROR(MID($H840&amp;" ",FIND("|",SUBSTITUTE($H840&amp;" "," ","|",4))+1,FIND("|",SUBSTITUTE($H840&amp;" "," ","|",5))-FIND("|",SUBSTITUTE($H840&amp;" "," ","|",4))-1),""))/86400+25569+9/24,""))</f>
        <v/>
      </c>
      <c r="G840" s="58">
        <f>TRIM(SUBSTITUTE(SUBSTITUTE(SUBSTITUTE($A840,CHAR(9)," ")," "," "),CHAR(13),""))</f>
        <v/>
      </c>
      <c r="H840" s="58">
        <f>IF($G840="","",IF(ISNUMBER(FIND(" ",$G840)),$G840,IFERROR(IF((LEN(SUBSTITUTE(SUBSTITUTE($G840,"-"," ",LEN($G840)-LEN(SUBSTITUTE($G840,"-",""))),"-"," ",LEN($G840)-LEN(SUBSTITUTE($G840,"-",""))-1))-LEN(SUBSTITUTE(SUBSTITUTE(SUBSTITUTE($G840,"-"," ",LEN($G840)-LEN(SUBSTITUTE($G840,"-",""))),"-"," ",LEN($G840)-LEN(SUBSTITUTE($G840,"-",""))-1),".","")))=0,SUBSTITUTE(SUBSTITUTE($G840,"-"," ",LEN($G840)-LEN(SUBSTITUTE($G840,"-",""))),"-"," ",LEN($G840)-LEN(SUBSTITUTE($G840,"-",""))-1),SUBSTITUTE(SUBSTITUTE(SUBSTITUTE($G840,"-"," ",LEN($G840)-LEN(SUBSTITUTE($G840,"-",""))),"-"," ",LEN($G840)-LEN(SUBSTITUTE($G840,"-",""))-1),"."," ",(LEN(SUBSTITUTE(SUBSTITUTE($G840,"-"," ",LEN($G840)-LEN(SUBSTITUTE($G840,"-",""))),"-"," ",LEN($G840)-LEN(SUBSTITUTE($G840,"-",""))-1))-LEN(SUBSTITUTE(SUBSTITUTE(SUBSTITUTE($G840,"-"," ",LEN($G840)-LEN(SUBSTITUTE($G840,"-",""))),"-"," ",LEN($G840)-LEN(SUBSTITUTE($G840,"-",""))-1),".",""))))),$G840)))</f>
        <v/>
      </c>
    </row>
    <row r="841">
      <c r="A841" s="58" t="n"/>
      <c r="B841" s="58">
        <f>IF($H841="","",LEFT($H841,FIND(" ",$H841&amp;" ")-1))</f>
        <v/>
      </c>
      <c r="C841" s="58">
        <f>IF($H841="","",IFERROR(MID($H841&amp;" ",FIND("|",SUBSTITUTE($H841&amp;" "," ","|",1))+1,FIND("|",SUBSTITUTE($H841&amp;" "," ","|",2))-FIND("|",SUBSTITUTE($H841&amp;" "," ","|",1))-1),""))</f>
        <v/>
      </c>
      <c r="D841" s="58">
        <f>IF($H841="","",IFERROR(MID($H841&amp;" ",FIND("|",SUBSTITUTE($H841&amp;" "," ","|",2))+1,FIND("|",SUBSTITUTE($H841&amp;" "," ","|",3))-FIND("|",SUBSTITUTE($H841&amp;" "," ","|",2))-1),""))</f>
        <v/>
      </c>
      <c r="E841" s="58">
        <f>IF($H841="","",IFERROR(MID($H841&amp;" ",FIND("|",SUBSTITUTE($H841&amp;" "," ","|",3))+1,FIND("|",SUBSTITUTE($H841&amp;" "," ","|",4))-FIND("|",SUBSTITUTE($H841&amp;" "," ","|",3))-1),""))</f>
        <v/>
      </c>
      <c r="F841" s="59">
        <f>IF($H841="","",IFERROR(VALUE(IFERROR(MID($H841&amp;" ",FIND("|",SUBSTITUTE($H841&amp;" "," ","|",4))+1,FIND("|",SUBSTITUTE($H841&amp;" "," ","|",5))-FIND("|",SUBSTITUTE($H841&amp;" "," ","|",4))-1),""))/86400+25569+9/24,""))</f>
        <v/>
      </c>
      <c r="G841" s="58">
        <f>TRIM(SUBSTITUTE(SUBSTITUTE(SUBSTITUTE($A841,CHAR(9)," ")," "," "),CHAR(13),""))</f>
        <v/>
      </c>
      <c r="H841" s="58">
        <f>IF($G841="","",IF(ISNUMBER(FIND(" ",$G841)),$G841,IFERROR(IF((LEN(SUBSTITUTE(SUBSTITUTE($G841,"-"," ",LEN($G841)-LEN(SUBSTITUTE($G841,"-",""))),"-"," ",LEN($G841)-LEN(SUBSTITUTE($G841,"-",""))-1))-LEN(SUBSTITUTE(SUBSTITUTE(SUBSTITUTE($G841,"-"," ",LEN($G841)-LEN(SUBSTITUTE($G841,"-",""))),"-"," ",LEN($G841)-LEN(SUBSTITUTE($G841,"-",""))-1),".","")))=0,SUBSTITUTE(SUBSTITUTE($G841,"-"," ",LEN($G841)-LEN(SUBSTITUTE($G841,"-",""))),"-"," ",LEN($G841)-LEN(SUBSTITUTE($G841,"-",""))-1),SUBSTITUTE(SUBSTITUTE(SUBSTITUTE($G841,"-"," ",LEN($G841)-LEN(SUBSTITUTE($G841,"-",""))),"-"," ",LEN($G841)-LEN(SUBSTITUTE($G841,"-",""))-1),"."," ",(LEN(SUBSTITUTE(SUBSTITUTE($G841,"-"," ",LEN($G841)-LEN(SUBSTITUTE($G841,"-",""))),"-"," ",LEN($G841)-LEN(SUBSTITUTE($G841,"-",""))-1))-LEN(SUBSTITUTE(SUBSTITUTE(SUBSTITUTE($G841,"-"," ",LEN($G841)-LEN(SUBSTITUTE($G841,"-",""))),"-"," ",LEN($G841)-LEN(SUBSTITUTE($G841,"-",""))-1),".",""))))),$G841)))</f>
        <v/>
      </c>
    </row>
    <row r="842">
      <c r="A842" s="58" t="n"/>
      <c r="B842" s="58">
        <f>IF($H842="","",LEFT($H842,FIND(" ",$H842&amp;" ")-1))</f>
        <v/>
      </c>
      <c r="C842" s="58">
        <f>IF($H842="","",IFERROR(MID($H842&amp;" ",FIND("|",SUBSTITUTE($H842&amp;" "," ","|",1))+1,FIND("|",SUBSTITUTE($H842&amp;" "," ","|",2))-FIND("|",SUBSTITUTE($H842&amp;" "," ","|",1))-1),""))</f>
        <v/>
      </c>
      <c r="D842" s="58">
        <f>IF($H842="","",IFERROR(MID($H842&amp;" ",FIND("|",SUBSTITUTE($H842&amp;" "," ","|",2))+1,FIND("|",SUBSTITUTE($H842&amp;" "," ","|",3))-FIND("|",SUBSTITUTE($H842&amp;" "," ","|",2))-1),""))</f>
        <v/>
      </c>
      <c r="E842" s="58">
        <f>IF($H842="","",IFERROR(MID($H842&amp;" ",FIND("|",SUBSTITUTE($H842&amp;" "," ","|",3))+1,FIND("|",SUBSTITUTE($H842&amp;" "," ","|",4))-FIND("|",SUBSTITUTE($H842&amp;" "," ","|",3))-1),""))</f>
        <v/>
      </c>
      <c r="F842" s="59">
        <f>IF($H842="","",IFERROR(VALUE(IFERROR(MID($H842&amp;" ",FIND("|",SUBSTITUTE($H842&amp;" "," ","|",4))+1,FIND("|",SUBSTITUTE($H842&amp;" "," ","|",5))-FIND("|",SUBSTITUTE($H842&amp;" "," ","|",4))-1),""))/86400+25569+9/24,""))</f>
        <v/>
      </c>
      <c r="G842" s="58">
        <f>TRIM(SUBSTITUTE(SUBSTITUTE(SUBSTITUTE($A842,CHAR(9)," ")," "," "),CHAR(13),""))</f>
        <v/>
      </c>
      <c r="H842" s="58">
        <f>IF($G842="","",IF(ISNUMBER(FIND(" ",$G842)),$G842,IFERROR(IF((LEN(SUBSTITUTE(SUBSTITUTE($G842,"-"," ",LEN($G842)-LEN(SUBSTITUTE($G842,"-",""))),"-"," ",LEN($G842)-LEN(SUBSTITUTE($G842,"-",""))-1))-LEN(SUBSTITUTE(SUBSTITUTE(SUBSTITUTE($G842,"-"," ",LEN($G842)-LEN(SUBSTITUTE($G842,"-",""))),"-"," ",LEN($G842)-LEN(SUBSTITUTE($G842,"-",""))-1),".","")))=0,SUBSTITUTE(SUBSTITUTE($G842,"-"," ",LEN($G842)-LEN(SUBSTITUTE($G842,"-",""))),"-"," ",LEN($G842)-LEN(SUBSTITUTE($G842,"-",""))-1),SUBSTITUTE(SUBSTITUTE(SUBSTITUTE($G842,"-"," ",LEN($G842)-LEN(SUBSTITUTE($G842,"-",""))),"-"," ",LEN($G842)-LEN(SUBSTITUTE($G842,"-",""))-1),"."," ",(LEN(SUBSTITUTE(SUBSTITUTE($G842,"-"," ",LEN($G842)-LEN(SUBSTITUTE($G842,"-",""))),"-"," ",LEN($G842)-LEN(SUBSTITUTE($G842,"-",""))-1))-LEN(SUBSTITUTE(SUBSTITUTE(SUBSTITUTE($G842,"-"," ",LEN($G842)-LEN(SUBSTITUTE($G842,"-",""))),"-"," ",LEN($G842)-LEN(SUBSTITUTE($G842,"-",""))-1),".",""))))),$G842)))</f>
        <v/>
      </c>
    </row>
    <row r="843">
      <c r="A843" s="58" t="n"/>
      <c r="B843" s="58">
        <f>IF($H843="","",LEFT($H843,FIND(" ",$H843&amp;" ")-1))</f>
        <v/>
      </c>
      <c r="C843" s="58">
        <f>IF($H843="","",IFERROR(MID($H843&amp;" ",FIND("|",SUBSTITUTE($H843&amp;" "," ","|",1))+1,FIND("|",SUBSTITUTE($H843&amp;" "," ","|",2))-FIND("|",SUBSTITUTE($H843&amp;" "," ","|",1))-1),""))</f>
        <v/>
      </c>
      <c r="D843" s="58">
        <f>IF($H843="","",IFERROR(MID($H843&amp;" ",FIND("|",SUBSTITUTE($H843&amp;" "," ","|",2))+1,FIND("|",SUBSTITUTE($H843&amp;" "," ","|",3))-FIND("|",SUBSTITUTE($H843&amp;" "," ","|",2))-1),""))</f>
        <v/>
      </c>
      <c r="E843" s="58">
        <f>IF($H843="","",IFERROR(MID($H843&amp;" ",FIND("|",SUBSTITUTE($H843&amp;" "," ","|",3))+1,FIND("|",SUBSTITUTE($H843&amp;" "," ","|",4))-FIND("|",SUBSTITUTE($H843&amp;" "," ","|",3))-1),""))</f>
        <v/>
      </c>
      <c r="F843" s="59">
        <f>IF($H843="","",IFERROR(VALUE(IFERROR(MID($H843&amp;" ",FIND("|",SUBSTITUTE($H843&amp;" "," ","|",4))+1,FIND("|",SUBSTITUTE($H843&amp;" "," ","|",5))-FIND("|",SUBSTITUTE($H843&amp;" "," ","|",4))-1),""))/86400+25569+9/24,""))</f>
        <v/>
      </c>
      <c r="G843" s="58">
        <f>TRIM(SUBSTITUTE(SUBSTITUTE(SUBSTITUTE($A843,CHAR(9)," ")," "," "),CHAR(13),""))</f>
        <v/>
      </c>
      <c r="H843" s="58">
        <f>IF($G843="","",IF(ISNUMBER(FIND(" ",$G843)),$G843,IFERROR(IF((LEN(SUBSTITUTE(SUBSTITUTE($G843,"-"," ",LEN($G843)-LEN(SUBSTITUTE($G843,"-",""))),"-"," ",LEN($G843)-LEN(SUBSTITUTE($G843,"-",""))-1))-LEN(SUBSTITUTE(SUBSTITUTE(SUBSTITUTE($G843,"-"," ",LEN($G843)-LEN(SUBSTITUTE($G843,"-",""))),"-"," ",LEN($G843)-LEN(SUBSTITUTE($G843,"-",""))-1),".","")))=0,SUBSTITUTE(SUBSTITUTE($G843,"-"," ",LEN($G843)-LEN(SUBSTITUTE($G843,"-",""))),"-"," ",LEN($G843)-LEN(SUBSTITUTE($G843,"-",""))-1),SUBSTITUTE(SUBSTITUTE(SUBSTITUTE($G843,"-"," ",LEN($G843)-LEN(SUBSTITUTE($G843,"-",""))),"-"," ",LEN($G843)-LEN(SUBSTITUTE($G843,"-",""))-1),"."," ",(LEN(SUBSTITUTE(SUBSTITUTE($G843,"-"," ",LEN($G843)-LEN(SUBSTITUTE($G843,"-",""))),"-"," ",LEN($G843)-LEN(SUBSTITUTE($G843,"-",""))-1))-LEN(SUBSTITUTE(SUBSTITUTE(SUBSTITUTE($G843,"-"," ",LEN($G843)-LEN(SUBSTITUTE($G843,"-",""))),"-"," ",LEN($G843)-LEN(SUBSTITUTE($G843,"-",""))-1),".",""))))),$G843)))</f>
        <v/>
      </c>
    </row>
    <row r="844">
      <c r="A844" s="58" t="n"/>
      <c r="B844" s="58">
        <f>IF($H844="","",LEFT($H844,FIND(" ",$H844&amp;" ")-1))</f>
        <v/>
      </c>
      <c r="C844" s="58">
        <f>IF($H844="","",IFERROR(MID($H844&amp;" ",FIND("|",SUBSTITUTE($H844&amp;" "," ","|",1))+1,FIND("|",SUBSTITUTE($H844&amp;" "," ","|",2))-FIND("|",SUBSTITUTE($H844&amp;" "," ","|",1))-1),""))</f>
        <v/>
      </c>
      <c r="D844" s="58">
        <f>IF($H844="","",IFERROR(MID($H844&amp;" ",FIND("|",SUBSTITUTE($H844&amp;" "," ","|",2))+1,FIND("|",SUBSTITUTE($H844&amp;" "," ","|",3))-FIND("|",SUBSTITUTE($H844&amp;" "," ","|",2))-1),""))</f>
        <v/>
      </c>
      <c r="E844" s="58">
        <f>IF($H844="","",IFERROR(MID($H844&amp;" ",FIND("|",SUBSTITUTE($H844&amp;" "," ","|",3))+1,FIND("|",SUBSTITUTE($H844&amp;" "," ","|",4))-FIND("|",SUBSTITUTE($H844&amp;" "," ","|",3))-1),""))</f>
        <v/>
      </c>
      <c r="F844" s="59">
        <f>IF($H844="","",IFERROR(VALUE(IFERROR(MID($H844&amp;" ",FIND("|",SUBSTITUTE($H844&amp;" "," ","|",4))+1,FIND("|",SUBSTITUTE($H844&amp;" "," ","|",5))-FIND("|",SUBSTITUTE($H844&amp;" "," ","|",4))-1),""))/86400+25569+9/24,""))</f>
        <v/>
      </c>
      <c r="G844" s="58">
        <f>TRIM(SUBSTITUTE(SUBSTITUTE(SUBSTITUTE($A844,CHAR(9)," ")," "," "),CHAR(13),""))</f>
        <v/>
      </c>
      <c r="H844" s="58">
        <f>IF($G844="","",IF(ISNUMBER(FIND(" ",$G844)),$G844,IFERROR(IF((LEN(SUBSTITUTE(SUBSTITUTE($G844,"-"," ",LEN($G844)-LEN(SUBSTITUTE($G844,"-",""))),"-"," ",LEN($G844)-LEN(SUBSTITUTE($G844,"-",""))-1))-LEN(SUBSTITUTE(SUBSTITUTE(SUBSTITUTE($G844,"-"," ",LEN($G844)-LEN(SUBSTITUTE($G844,"-",""))),"-"," ",LEN($G844)-LEN(SUBSTITUTE($G844,"-",""))-1),".","")))=0,SUBSTITUTE(SUBSTITUTE($G844,"-"," ",LEN($G844)-LEN(SUBSTITUTE($G844,"-",""))),"-"," ",LEN($G844)-LEN(SUBSTITUTE($G844,"-",""))-1),SUBSTITUTE(SUBSTITUTE(SUBSTITUTE($G844,"-"," ",LEN($G844)-LEN(SUBSTITUTE($G844,"-",""))),"-"," ",LEN($G844)-LEN(SUBSTITUTE($G844,"-",""))-1),"."," ",(LEN(SUBSTITUTE(SUBSTITUTE($G844,"-"," ",LEN($G844)-LEN(SUBSTITUTE($G844,"-",""))),"-"," ",LEN($G844)-LEN(SUBSTITUTE($G844,"-",""))-1))-LEN(SUBSTITUTE(SUBSTITUTE(SUBSTITUTE($G844,"-"," ",LEN($G844)-LEN(SUBSTITUTE($G844,"-",""))),"-"," ",LEN($G844)-LEN(SUBSTITUTE($G844,"-",""))-1),".",""))))),$G844)))</f>
        <v/>
      </c>
    </row>
    <row r="845">
      <c r="A845" s="58" t="n"/>
      <c r="B845" s="58">
        <f>IF($H845="","",LEFT($H845,FIND(" ",$H845&amp;" ")-1))</f>
        <v/>
      </c>
      <c r="C845" s="58">
        <f>IF($H845="","",IFERROR(MID($H845&amp;" ",FIND("|",SUBSTITUTE($H845&amp;" "," ","|",1))+1,FIND("|",SUBSTITUTE($H845&amp;" "," ","|",2))-FIND("|",SUBSTITUTE($H845&amp;" "," ","|",1))-1),""))</f>
        <v/>
      </c>
      <c r="D845" s="58">
        <f>IF($H845="","",IFERROR(MID($H845&amp;" ",FIND("|",SUBSTITUTE($H845&amp;" "," ","|",2))+1,FIND("|",SUBSTITUTE($H845&amp;" "," ","|",3))-FIND("|",SUBSTITUTE($H845&amp;" "," ","|",2))-1),""))</f>
        <v/>
      </c>
      <c r="E845" s="58">
        <f>IF($H845="","",IFERROR(MID($H845&amp;" ",FIND("|",SUBSTITUTE($H845&amp;" "," ","|",3))+1,FIND("|",SUBSTITUTE($H845&amp;" "," ","|",4))-FIND("|",SUBSTITUTE($H845&amp;" "," ","|",3))-1),""))</f>
        <v/>
      </c>
      <c r="F845" s="59">
        <f>IF($H845="","",IFERROR(VALUE(IFERROR(MID($H845&amp;" ",FIND("|",SUBSTITUTE($H845&amp;" "," ","|",4))+1,FIND("|",SUBSTITUTE($H845&amp;" "," ","|",5))-FIND("|",SUBSTITUTE($H845&amp;" "," ","|",4))-1),""))/86400+25569+9/24,""))</f>
        <v/>
      </c>
      <c r="G845" s="58">
        <f>TRIM(SUBSTITUTE(SUBSTITUTE(SUBSTITUTE($A845,CHAR(9)," ")," "," "),CHAR(13),""))</f>
        <v/>
      </c>
      <c r="H845" s="58">
        <f>IF($G845="","",IF(ISNUMBER(FIND(" ",$G845)),$G845,IFERROR(IF((LEN(SUBSTITUTE(SUBSTITUTE($G845,"-"," ",LEN($G845)-LEN(SUBSTITUTE($G845,"-",""))),"-"," ",LEN($G845)-LEN(SUBSTITUTE($G845,"-",""))-1))-LEN(SUBSTITUTE(SUBSTITUTE(SUBSTITUTE($G845,"-"," ",LEN($G845)-LEN(SUBSTITUTE($G845,"-",""))),"-"," ",LEN($G845)-LEN(SUBSTITUTE($G845,"-",""))-1),".","")))=0,SUBSTITUTE(SUBSTITUTE($G845,"-"," ",LEN($G845)-LEN(SUBSTITUTE($G845,"-",""))),"-"," ",LEN($G845)-LEN(SUBSTITUTE($G845,"-",""))-1),SUBSTITUTE(SUBSTITUTE(SUBSTITUTE($G845,"-"," ",LEN($G845)-LEN(SUBSTITUTE($G845,"-",""))),"-"," ",LEN($G845)-LEN(SUBSTITUTE($G845,"-",""))-1),"."," ",(LEN(SUBSTITUTE(SUBSTITUTE($G845,"-"," ",LEN($G845)-LEN(SUBSTITUTE($G845,"-",""))),"-"," ",LEN($G845)-LEN(SUBSTITUTE($G845,"-",""))-1))-LEN(SUBSTITUTE(SUBSTITUTE(SUBSTITUTE($G845,"-"," ",LEN($G845)-LEN(SUBSTITUTE($G845,"-",""))),"-"," ",LEN($G845)-LEN(SUBSTITUTE($G845,"-",""))-1),".",""))))),$G845)))</f>
        <v/>
      </c>
    </row>
    <row r="846">
      <c r="A846" s="58" t="n"/>
      <c r="B846" s="58">
        <f>IF($H846="","",LEFT($H846,FIND(" ",$H846&amp;" ")-1))</f>
        <v/>
      </c>
      <c r="C846" s="58">
        <f>IF($H846="","",IFERROR(MID($H846&amp;" ",FIND("|",SUBSTITUTE($H846&amp;" "," ","|",1))+1,FIND("|",SUBSTITUTE($H846&amp;" "," ","|",2))-FIND("|",SUBSTITUTE($H846&amp;" "," ","|",1))-1),""))</f>
        <v/>
      </c>
      <c r="D846" s="58">
        <f>IF($H846="","",IFERROR(MID($H846&amp;" ",FIND("|",SUBSTITUTE($H846&amp;" "," ","|",2))+1,FIND("|",SUBSTITUTE($H846&amp;" "," ","|",3))-FIND("|",SUBSTITUTE($H846&amp;" "," ","|",2))-1),""))</f>
        <v/>
      </c>
      <c r="E846" s="58">
        <f>IF($H846="","",IFERROR(MID($H846&amp;" ",FIND("|",SUBSTITUTE($H846&amp;" "," ","|",3))+1,FIND("|",SUBSTITUTE($H846&amp;" "," ","|",4))-FIND("|",SUBSTITUTE($H846&amp;" "," ","|",3))-1),""))</f>
        <v/>
      </c>
      <c r="F846" s="59">
        <f>IF($H846="","",IFERROR(VALUE(IFERROR(MID($H846&amp;" ",FIND("|",SUBSTITUTE($H846&amp;" "," ","|",4))+1,FIND("|",SUBSTITUTE($H846&amp;" "," ","|",5))-FIND("|",SUBSTITUTE($H846&amp;" "," ","|",4))-1),""))/86400+25569+9/24,""))</f>
        <v/>
      </c>
      <c r="G846" s="58">
        <f>TRIM(SUBSTITUTE(SUBSTITUTE(SUBSTITUTE($A846,CHAR(9)," ")," "," "),CHAR(13),""))</f>
        <v/>
      </c>
      <c r="H846" s="58">
        <f>IF($G846="","",IF(ISNUMBER(FIND(" ",$G846)),$G846,IFERROR(IF((LEN(SUBSTITUTE(SUBSTITUTE($G846,"-"," ",LEN($G846)-LEN(SUBSTITUTE($G846,"-",""))),"-"," ",LEN($G846)-LEN(SUBSTITUTE($G846,"-",""))-1))-LEN(SUBSTITUTE(SUBSTITUTE(SUBSTITUTE($G846,"-"," ",LEN($G846)-LEN(SUBSTITUTE($G846,"-",""))),"-"," ",LEN($G846)-LEN(SUBSTITUTE($G846,"-",""))-1),".","")))=0,SUBSTITUTE(SUBSTITUTE($G846,"-"," ",LEN($G846)-LEN(SUBSTITUTE($G846,"-",""))),"-"," ",LEN($G846)-LEN(SUBSTITUTE($G846,"-",""))-1),SUBSTITUTE(SUBSTITUTE(SUBSTITUTE($G846,"-"," ",LEN($G846)-LEN(SUBSTITUTE($G846,"-",""))),"-"," ",LEN($G846)-LEN(SUBSTITUTE($G846,"-",""))-1),"."," ",(LEN(SUBSTITUTE(SUBSTITUTE($G846,"-"," ",LEN($G846)-LEN(SUBSTITUTE($G846,"-",""))),"-"," ",LEN($G846)-LEN(SUBSTITUTE($G846,"-",""))-1))-LEN(SUBSTITUTE(SUBSTITUTE(SUBSTITUTE($G846,"-"," ",LEN($G846)-LEN(SUBSTITUTE($G846,"-",""))),"-"," ",LEN($G846)-LEN(SUBSTITUTE($G846,"-",""))-1),".",""))))),$G846)))</f>
        <v/>
      </c>
    </row>
    <row r="847">
      <c r="A847" s="58" t="n"/>
      <c r="B847" s="58">
        <f>IF($H847="","",LEFT($H847,FIND(" ",$H847&amp;" ")-1))</f>
        <v/>
      </c>
      <c r="C847" s="58">
        <f>IF($H847="","",IFERROR(MID($H847&amp;" ",FIND("|",SUBSTITUTE($H847&amp;" "," ","|",1))+1,FIND("|",SUBSTITUTE($H847&amp;" "," ","|",2))-FIND("|",SUBSTITUTE($H847&amp;" "," ","|",1))-1),""))</f>
        <v/>
      </c>
      <c r="D847" s="58">
        <f>IF($H847="","",IFERROR(MID($H847&amp;" ",FIND("|",SUBSTITUTE($H847&amp;" "," ","|",2))+1,FIND("|",SUBSTITUTE($H847&amp;" "," ","|",3))-FIND("|",SUBSTITUTE($H847&amp;" "," ","|",2))-1),""))</f>
        <v/>
      </c>
      <c r="E847" s="58">
        <f>IF($H847="","",IFERROR(MID($H847&amp;" ",FIND("|",SUBSTITUTE($H847&amp;" "," ","|",3))+1,FIND("|",SUBSTITUTE($H847&amp;" "," ","|",4))-FIND("|",SUBSTITUTE($H847&amp;" "," ","|",3))-1),""))</f>
        <v/>
      </c>
      <c r="F847" s="59">
        <f>IF($H847="","",IFERROR(VALUE(IFERROR(MID($H847&amp;" ",FIND("|",SUBSTITUTE($H847&amp;" "," ","|",4))+1,FIND("|",SUBSTITUTE($H847&amp;" "," ","|",5))-FIND("|",SUBSTITUTE($H847&amp;" "," ","|",4))-1),""))/86400+25569+9/24,""))</f>
        <v/>
      </c>
      <c r="G847" s="58">
        <f>TRIM(SUBSTITUTE(SUBSTITUTE(SUBSTITUTE($A847,CHAR(9)," ")," "," "),CHAR(13),""))</f>
        <v/>
      </c>
      <c r="H847" s="58">
        <f>IF($G847="","",IF(ISNUMBER(FIND(" ",$G847)),$G847,IFERROR(IF((LEN(SUBSTITUTE(SUBSTITUTE($G847,"-"," ",LEN($G847)-LEN(SUBSTITUTE($G847,"-",""))),"-"," ",LEN($G847)-LEN(SUBSTITUTE($G847,"-",""))-1))-LEN(SUBSTITUTE(SUBSTITUTE(SUBSTITUTE($G847,"-"," ",LEN($G847)-LEN(SUBSTITUTE($G847,"-",""))),"-"," ",LEN($G847)-LEN(SUBSTITUTE($G847,"-",""))-1),".","")))=0,SUBSTITUTE(SUBSTITUTE($G847,"-"," ",LEN($G847)-LEN(SUBSTITUTE($G847,"-",""))),"-"," ",LEN($G847)-LEN(SUBSTITUTE($G847,"-",""))-1),SUBSTITUTE(SUBSTITUTE(SUBSTITUTE($G847,"-"," ",LEN($G847)-LEN(SUBSTITUTE($G847,"-",""))),"-"," ",LEN($G847)-LEN(SUBSTITUTE($G847,"-",""))-1),"."," ",(LEN(SUBSTITUTE(SUBSTITUTE($G847,"-"," ",LEN($G847)-LEN(SUBSTITUTE($G847,"-",""))),"-"," ",LEN($G847)-LEN(SUBSTITUTE($G847,"-",""))-1))-LEN(SUBSTITUTE(SUBSTITUTE(SUBSTITUTE($G847,"-"," ",LEN($G847)-LEN(SUBSTITUTE($G847,"-",""))),"-"," ",LEN($G847)-LEN(SUBSTITUTE($G847,"-",""))-1),".",""))))),$G847)))</f>
        <v/>
      </c>
    </row>
    <row r="848">
      <c r="A848" s="58" t="n"/>
      <c r="B848" s="58">
        <f>IF($H848="","",LEFT($H848,FIND(" ",$H848&amp;" ")-1))</f>
        <v/>
      </c>
      <c r="C848" s="58">
        <f>IF($H848="","",IFERROR(MID($H848&amp;" ",FIND("|",SUBSTITUTE($H848&amp;" "," ","|",1))+1,FIND("|",SUBSTITUTE($H848&amp;" "," ","|",2))-FIND("|",SUBSTITUTE($H848&amp;" "," ","|",1))-1),""))</f>
        <v/>
      </c>
      <c r="D848" s="58">
        <f>IF($H848="","",IFERROR(MID($H848&amp;" ",FIND("|",SUBSTITUTE($H848&amp;" "," ","|",2))+1,FIND("|",SUBSTITUTE($H848&amp;" "," ","|",3))-FIND("|",SUBSTITUTE($H848&amp;" "," ","|",2))-1),""))</f>
        <v/>
      </c>
      <c r="E848" s="58">
        <f>IF($H848="","",IFERROR(MID($H848&amp;" ",FIND("|",SUBSTITUTE($H848&amp;" "," ","|",3))+1,FIND("|",SUBSTITUTE($H848&amp;" "," ","|",4))-FIND("|",SUBSTITUTE($H848&amp;" "," ","|",3))-1),""))</f>
        <v/>
      </c>
      <c r="F848" s="59">
        <f>IF($H848="","",IFERROR(VALUE(IFERROR(MID($H848&amp;" ",FIND("|",SUBSTITUTE($H848&amp;" "," ","|",4))+1,FIND("|",SUBSTITUTE($H848&amp;" "," ","|",5))-FIND("|",SUBSTITUTE($H848&amp;" "," ","|",4))-1),""))/86400+25569+9/24,""))</f>
        <v/>
      </c>
      <c r="G848" s="58">
        <f>TRIM(SUBSTITUTE(SUBSTITUTE(SUBSTITUTE($A848,CHAR(9)," ")," "," "),CHAR(13),""))</f>
        <v/>
      </c>
      <c r="H848" s="58">
        <f>IF($G848="","",IF(ISNUMBER(FIND(" ",$G848)),$G848,IFERROR(IF((LEN(SUBSTITUTE(SUBSTITUTE($G848,"-"," ",LEN($G848)-LEN(SUBSTITUTE($G848,"-",""))),"-"," ",LEN($G848)-LEN(SUBSTITUTE($G848,"-",""))-1))-LEN(SUBSTITUTE(SUBSTITUTE(SUBSTITUTE($G848,"-"," ",LEN($G848)-LEN(SUBSTITUTE($G848,"-",""))),"-"," ",LEN($G848)-LEN(SUBSTITUTE($G848,"-",""))-1),".","")))=0,SUBSTITUTE(SUBSTITUTE($G848,"-"," ",LEN($G848)-LEN(SUBSTITUTE($G848,"-",""))),"-"," ",LEN($G848)-LEN(SUBSTITUTE($G848,"-",""))-1),SUBSTITUTE(SUBSTITUTE(SUBSTITUTE($G848,"-"," ",LEN($G848)-LEN(SUBSTITUTE($G848,"-",""))),"-"," ",LEN($G848)-LEN(SUBSTITUTE($G848,"-",""))-1),"."," ",(LEN(SUBSTITUTE(SUBSTITUTE($G848,"-"," ",LEN($G848)-LEN(SUBSTITUTE($G848,"-",""))),"-"," ",LEN($G848)-LEN(SUBSTITUTE($G848,"-",""))-1))-LEN(SUBSTITUTE(SUBSTITUTE(SUBSTITUTE($G848,"-"," ",LEN($G848)-LEN(SUBSTITUTE($G848,"-",""))),"-"," ",LEN($G848)-LEN(SUBSTITUTE($G848,"-",""))-1),".",""))))),$G848)))</f>
        <v/>
      </c>
    </row>
    <row r="849">
      <c r="A849" s="58" t="n"/>
      <c r="B849" s="58">
        <f>IF($H849="","",LEFT($H849,FIND(" ",$H849&amp;" ")-1))</f>
        <v/>
      </c>
      <c r="C849" s="58">
        <f>IF($H849="","",IFERROR(MID($H849&amp;" ",FIND("|",SUBSTITUTE($H849&amp;" "," ","|",1))+1,FIND("|",SUBSTITUTE($H849&amp;" "," ","|",2))-FIND("|",SUBSTITUTE($H849&amp;" "," ","|",1))-1),""))</f>
        <v/>
      </c>
      <c r="D849" s="58">
        <f>IF($H849="","",IFERROR(MID($H849&amp;" ",FIND("|",SUBSTITUTE($H849&amp;" "," ","|",2))+1,FIND("|",SUBSTITUTE($H849&amp;" "," ","|",3))-FIND("|",SUBSTITUTE($H849&amp;" "," ","|",2))-1),""))</f>
        <v/>
      </c>
      <c r="E849" s="58">
        <f>IF($H849="","",IFERROR(MID($H849&amp;" ",FIND("|",SUBSTITUTE($H849&amp;" "," ","|",3))+1,FIND("|",SUBSTITUTE($H849&amp;" "," ","|",4))-FIND("|",SUBSTITUTE($H849&amp;" "," ","|",3))-1),""))</f>
        <v/>
      </c>
      <c r="F849" s="59">
        <f>IF($H849="","",IFERROR(VALUE(IFERROR(MID($H849&amp;" ",FIND("|",SUBSTITUTE($H849&amp;" "," ","|",4))+1,FIND("|",SUBSTITUTE($H849&amp;" "," ","|",5))-FIND("|",SUBSTITUTE($H849&amp;" "," ","|",4))-1),""))/86400+25569+9/24,""))</f>
        <v/>
      </c>
      <c r="G849" s="58">
        <f>TRIM(SUBSTITUTE(SUBSTITUTE(SUBSTITUTE($A849,CHAR(9)," ")," "," "),CHAR(13),""))</f>
        <v/>
      </c>
      <c r="H849" s="58">
        <f>IF($G849="","",IF(ISNUMBER(FIND(" ",$G849)),$G849,IFERROR(IF((LEN(SUBSTITUTE(SUBSTITUTE($G849,"-"," ",LEN($G849)-LEN(SUBSTITUTE($G849,"-",""))),"-"," ",LEN($G849)-LEN(SUBSTITUTE($G849,"-",""))-1))-LEN(SUBSTITUTE(SUBSTITUTE(SUBSTITUTE($G849,"-"," ",LEN($G849)-LEN(SUBSTITUTE($G849,"-",""))),"-"," ",LEN($G849)-LEN(SUBSTITUTE($G849,"-",""))-1),".","")))=0,SUBSTITUTE(SUBSTITUTE($G849,"-"," ",LEN($G849)-LEN(SUBSTITUTE($G849,"-",""))),"-"," ",LEN($G849)-LEN(SUBSTITUTE($G849,"-",""))-1),SUBSTITUTE(SUBSTITUTE(SUBSTITUTE($G849,"-"," ",LEN($G849)-LEN(SUBSTITUTE($G849,"-",""))),"-"," ",LEN($G849)-LEN(SUBSTITUTE($G849,"-",""))-1),"."," ",(LEN(SUBSTITUTE(SUBSTITUTE($G849,"-"," ",LEN($G849)-LEN(SUBSTITUTE($G849,"-",""))),"-"," ",LEN($G849)-LEN(SUBSTITUTE($G849,"-",""))-1))-LEN(SUBSTITUTE(SUBSTITUTE(SUBSTITUTE($G849,"-"," ",LEN($G849)-LEN(SUBSTITUTE($G849,"-",""))),"-"," ",LEN($G849)-LEN(SUBSTITUTE($G849,"-",""))-1),".",""))))),$G849)))</f>
        <v/>
      </c>
    </row>
    <row r="850">
      <c r="A850" s="58" t="n"/>
      <c r="B850" s="58">
        <f>IF($H850="","",LEFT($H850,FIND(" ",$H850&amp;" ")-1))</f>
        <v/>
      </c>
      <c r="C850" s="58">
        <f>IF($H850="","",IFERROR(MID($H850&amp;" ",FIND("|",SUBSTITUTE($H850&amp;" "," ","|",1))+1,FIND("|",SUBSTITUTE($H850&amp;" "," ","|",2))-FIND("|",SUBSTITUTE($H850&amp;" "," ","|",1))-1),""))</f>
        <v/>
      </c>
      <c r="D850" s="58">
        <f>IF($H850="","",IFERROR(MID($H850&amp;" ",FIND("|",SUBSTITUTE($H850&amp;" "," ","|",2))+1,FIND("|",SUBSTITUTE($H850&amp;" "," ","|",3))-FIND("|",SUBSTITUTE($H850&amp;" "," ","|",2))-1),""))</f>
        <v/>
      </c>
      <c r="E850" s="58">
        <f>IF($H850="","",IFERROR(MID($H850&amp;" ",FIND("|",SUBSTITUTE($H850&amp;" "," ","|",3))+1,FIND("|",SUBSTITUTE($H850&amp;" "," ","|",4))-FIND("|",SUBSTITUTE($H850&amp;" "," ","|",3))-1),""))</f>
        <v/>
      </c>
      <c r="F850" s="59">
        <f>IF($H850="","",IFERROR(VALUE(IFERROR(MID($H850&amp;" ",FIND("|",SUBSTITUTE($H850&amp;" "," ","|",4))+1,FIND("|",SUBSTITUTE($H850&amp;" "," ","|",5))-FIND("|",SUBSTITUTE($H850&amp;" "," ","|",4))-1),""))/86400+25569+9/24,""))</f>
        <v/>
      </c>
      <c r="G850" s="58">
        <f>TRIM(SUBSTITUTE(SUBSTITUTE(SUBSTITUTE($A850,CHAR(9)," ")," "," "),CHAR(13),""))</f>
        <v/>
      </c>
      <c r="H850" s="58">
        <f>IF($G850="","",IF(ISNUMBER(FIND(" ",$G850)),$G850,IFERROR(IF((LEN(SUBSTITUTE(SUBSTITUTE($G850,"-"," ",LEN($G850)-LEN(SUBSTITUTE($G850,"-",""))),"-"," ",LEN($G850)-LEN(SUBSTITUTE($G850,"-",""))-1))-LEN(SUBSTITUTE(SUBSTITUTE(SUBSTITUTE($G850,"-"," ",LEN($G850)-LEN(SUBSTITUTE($G850,"-",""))),"-"," ",LEN($G850)-LEN(SUBSTITUTE($G850,"-",""))-1),".","")))=0,SUBSTITUTE(SUBSTITUTE($G850,"-"," ",LEN($G850)-LEN(SUBSTITUTE($G850,"-",""))),"-"," ",LEN($G850)-LEN(SUBSTITUTE($G850,"-",""))-1),SUBSTITUTE(SUBSTITUTE(SUBSTITUTE($G850,"-"," ",LEN($G850)-LEN(SUBSTITUTE($G850,"-",""))),"-"," ",LEN($G850)-LEN(SUBSTITUTE($G850,"-",""))-1),"."," ",(LEN(SUBSTITUTE(SUBSTITUTE($G850,"-"," ",LEN($G850)-LEN(SUBSTITUTE($G850,"-",""))),"-"," ",LEN($G850)-LEN(SUBSTITUTE($G850,"-",""))-1))-LEN(SUBSTITUTE(SUBSTITUTE(SUBSTITUTE($G850,"-"," ",LEN($G850)-LEN(SUBSTITUTE($G850,"-",""))),"-"," ",LEN($G850)-LEN(SUBSTITUTE($G850,"-",""))-1),".",""))))),$G850)))</f>
        <v/>
      </c>
    </row>
    <row r="851">
      <c r="A851" s="58" t="n"/>
      <c r="B851" s="58">
        <f>IF($H851="","",LEFT($H851,FIND(" ",$H851&amp;" ")-1))</f>
        <v/>
      </c>
      <c r="C851" s="58">
        <f>IF($H851="","",IFERROR(MID($H851&amp;" ",FIND("|",SUBSTITUTE($H851&amp;" "," ","|",1))+1,FIND("|",SUBSTITUTE($H851&amp;" "," ","|",2))-FIND("|",SUBSTITUTE($H851&amp;" "," ","|",1))-1),""))</f>
        <v/>
      </c>
      <c r="D851" s="58">
        <f>IF($H851="","",IFERROR(MID($H851&amp;" ",FIND("|",SUBSTITUTE($H851&amp;" "," ","|",2))+1,FIND("|",SUBSTITUTE($H851&amp;" "," ","|",3))-FIND("|",SUBSTITUTE($H851&amp;" "," ","|",2))-1),""))</f>
        <v/>
      </c>
      <c r="E851" s="58">
        <f>IF($H851="","",IFERROR(MID($H851&amp;" ",FIND("|",SUBSTITUTE($H851&amp;" "," ","|",3))+1,FIND("|",SUBSTITUTE($H851&amp;" "," ","|",4))-FIND("|",SUBSTITUTE($H851&amp;" "," ","|",3))-1),""))</f>
        <v/>
      </c>
      <c r="F851" s="59">
        <f>IF($H851="","",IFERROR(VALUE(IFERROR(MID($H851&amp;" ",FIND("|",SUBSTITUTE($H851&amp;" "," ","|",4))+1,FIND("|",SUBSTITUTE($H851&amp;" "," ","|",5))-FIND("|",SUBSTITUTE($H851&amp;" "," ","|",4))-1),""))/86400+25569+9/24,""))</f>
        <v/>
      </c>
      <c r="G851" s="58">
        <f>TRIM(SUBSTITUTE(SUBSTITUTE(SUBSTITUTE($A851,CHAR(9)," ")," "," "),CHAR(13),""))</f>
        <v/>
      </c>
      <c r="H851" s="58">
        <f>IF($G851="","",IF(ISNUMBER(FIND(" ",$G851)),$G851,IFERROR(IF((LEN(SUBSTITUTE(SUBSTITUTE($G851,"-"," ",LEN($G851)-LEN(SUBSTITUTE($G851,"-",""))),"-"," ",LEN($G851)-LEN(SUBSTITUTE($G851,"-",""))-1))-LEN(SUBSTITUTE(SUBSTITUTE(SUBSTITUTE($G851,"-"," ",LEN($G851)-LEN(SUBSTITUTE($G851,"-",""))),"-"," ",LEN($G851)-LEN(SUBSTITUTE($G851,"-",""))-1),".","")))=0,SUBSTITUTE(SUBSTITUTE($G851,"-"," ",LEN($G851)-LEN(SUBSTITUTE($G851,"-",""))),"-"," ",LEN($G851)-LEN(SUBSTITUTE($G851,"-",""))-1),SUBSTITUTE(SUBSTITUTE(SUBSTITUTE($G851,"-"," ",LEN($G851)-LEN(SUBSTITUTE($G851,"-",""))),"-"," ",LEN($G851)-LEN(SUBSTITUTE($G851,"-",""))-1),"."," ",(LEN(SUBSTITUTE(SUBSTITUTE($G851,"-"," ",LEN($G851)-LEN(SUBSTITUTE($G851,"-",""))),"-"," ",LEN($G851)-LEN(SUBSTITUTE($G851,"-",""))-1))-LEN(SUBSTITUTE(SUBSTITUTE(SUBSTITUTE($G851,"-"," ",LEN($G851)-LEN(SUBSTITUTE($G851,"-",""))),"-"," ",LEN($G851)-LEN(SUBSTITUTE($G851,"-",""))-1),".",""))))),$G851)))</f>
        <v/>
      </c>
    </row>
    <row r="852">
      <c r="A852" s="58" t="n"/>
      <c r="B852" s="58">
        <f>IF($H852="","",LEFT($H852,FIND(" ",$H852&amp;" ")-1))</f>
        <v/>
      </c>
      <c r="C852" s="58">
        <f>IF($H852="","",IFERROR(MID($H852&amp;" ",FIND("|",SUBSTITUTE($H852&amp;" "," ","|",1))+1,FIND("|",SUBSTITUTE($H852&amp;" "," ","|",2))-FIND("|",SUBSTITUTE($H852&amp;" "," ","|",1))-1),""))</f>
        <v/>
      </c>
      <c r="D852" s="58">
        <f>IF($H852="","",IFERROR(MID($H852&amp;" ",FIND("|",SUBSTITUTE($H852&amp;" "," ","|",2))+1,FIND("|",SUBSTITUTE($H852&amp;" "," ","|",3))-FIND("|",SUBSTITUTE($H852&amp;" "," ","|",2))-1),""))</f>
        <v/>
      </c>
      <c r="E852" s="58">
        <f>IF($H852="","",IFERROR(MID($H852&amp;" ",FIND("|",SUBSTITUTE($H852&amp;" "," ","|",3))+1,FIND("|",SUBSTITUTE($H852&amp;" "," ","|",4))-FIND("|",SUBSTITUTE($H852&amp;" "," ","|",3))-1),""))</f>
        <v/>
      </c>
      <c r="F852" s="59">
        <f>IF($H852="","",IFERROR(VALUE(IFERROR(MID($H852&amp;" ",FIND("|",SUBSTITUTE($H852&amp;" "," ","|",4))+1,FIND("|",SUBSTITUTE($H852&amp;" "," ","|",5))-FIND("|",SUBSTITUTE($H852&amp;" "," ","|",4))-1),""))/86400+25569+9/24,""))</f>
        <v/>
      </c>
      <c r="G852" s="58">
        <f>TRIM(SUBSTITUTE(SUBSTITUTE(SUBSTITUTE($A852,CHAR(9)," ")," "," "),CHAR(13),""))</f>
        <v/>
      </c>
      <c r="H852" s="58">
        <f>IF($G852="","",IF(ISNUMBER(FIND(" ",$G852)),$G852,IFERROR(IF((LEN(SUBSTITUTE(SUBSTITUTE($G852,"-"," ",LEN($G852)-LEN(SUBSTITUTE($G852,"-",""))),"-"," ",LEN($G852)-LEN(SUBSTITUTE($G852,"-",""))-1))-LEN(SUBSTITUTE(SUBSTITUTE(SUBSTITUTE($G852,"-"," ",LEN($G852)-LEN(SUBSTITUTE($G852,"-",""))),"-"," ",LEN($G852)-LEN(SUBSTITUTE($G852,"-",""))-1),".","")))=0,SUBSTITUTE(SUBSTITUTE($G852,"-"," ",LEN($G852)-LEN(SUBSTITUTE($G852,"-",""))),"-"," ",LEN($G852)-LEN(SUBSTITUTE($G852,"-",""))-1),SUBSTITUTE(SUBSTITUTE(SUBSTITUTE($G852,"-"," ",LEN($G852)-LEN(SUBSTITUTE($G852,"-",""))),"-"," ",LEN($G852)-LEN(SUBSTITUTE($G852,"-",""))-1),"."," ",(LEN(SUBSTITUTE(SUBSTITUTE($G852,"-"," ",LEN($G852)-LEN(SUBSTITUTE($G852,"-",""))),"-"," ",LEN($G852)-LEN(SUBSTITUTE($G852,"-",""))-1))-LEN(SUBSTITUTE(SUBSTITUTE(SUBSTITUTE($G852,"-"," ",LEN($G852)-LEN(SUBSTITUTE($G852,"-",""))),"-"," ",LEN($G852)-LEN(SUBSTITUTE($G852,"-",""))-1),".",""))))),$G852)))</f>
        <v/>
      </c>
    </row>
    <row r="853">
      <c r="A853" s="58" t="n"/>
      <c r="B853" s="58">
        <f>IF($H853="","",LEFT($H853,FIND(" ",$H853&amp;" ")-1))</f>
        <v/>
      </c>
      <c r="C853" s="58">
        <f>IF($H853="","",IFERROR(MID($H853&amp;" ",FIND("|",SUBSTITUTE($H853&amp;" "," ","|",1))+1,FIND("|",SUBSTITUTE($H853&amp;" "," ","|",2))-FIND("|",SUBSTITUTE($H853&amp;" "," ","|",1))-1),""))</f>
        <v/>
      </c>
      <c r="D853" s="58">
        <f>IF($H853="","",IFERROR(MID($H853&amp;" ",FIND("|",SUBSTITUTE($H853&amp;" "," ","|",2))+1,FIND("|",SUBSTITUTE($H853&amp;" "," ","|",3))-FIND("|",SUBSTITUTE($H853&amp;" "," ","|",2))-1),""))</f>
        <v/>
      </c>
      <c r="E853" s="58">
        <f>IF($H853="","",IFERROR(MID($H853&amp;" ",FIND("|",SUBSTITUTE($H853&amp;" "," ","|",3))+1,FIND("|",SUBSTITUTE($H853&amp;" "," ","|",4))-FIND("|",SUBSTITUTE($H853&amp;" "," ","|",3))-1),""))</f>
        <v/>
      </c>
      <c r="F853" s="59">
        <f>IF($H853="","",IFERROR(VALUE(IFERROR(MID($H853&amp;" ",FIND("|",SUBSTITUTE($H853&amp;" "," ","|",4))+1,FIND("|",SUBSTITUTE($H853&amp;" "," ","|",5))-FIND("|",SUBSTITUTE($H853&amp;" "," ","|",4))-1),""))/86400+25569+9/24,""))</f>
        <v/>
      </c>
      <c r="G853" s="58">
        <f>TRIM(SUBSTITUTE(SUBSTITUTE(SUBSTITUTE($A853,CHAR(9)," ")," "," "),CHAR(13),""))</f>
        <v/>
      </c>
      <c r="H853" s="58">
        <f>IF($G853="","",IF(ISNUMBER(FIND(" ",$G853)),$G853,IFERROR(IF((LEN(SUBSTITUTE(SUBSTITUTE($G853,"-"," ",LEN($G853)-LEN(SUBSTITUTE($G853,"-",""))),"-"," ",LEN($G853)-LEN(SUBSTITUTE($G853,"-",""))-1))-LEN(SUBSTITUTE(SUBSTITUTE(SUBSTITUTE($G853,"-"," ",LEN($G853)-LEN(SUBSTITUTE($G853,"-",""))),"-"," ",LEN($G853)-LEN(SUBSTITUTE($G853,"-",""))-1),".","")))=0,SUBSTITUTE(SUBSTITUTE($G853,"-"," ",LEN($G853)-LEN(SUBSTITUTE($G853,"-",""))),"-"," ",LEN($G853)-LEN(SUBSTITUTE($G853,"-",""))-1),SUBSTITUTE(SUBSTITUTE(SUBSTITUTE($G853,"-"," ",LEN($G853)-LEN(SUBSTITUTE($G853,"-",""))),"-"," ",LEN($G853)-LEN(SUBSTITUTE($G853,"-",""))-1),"."," ",(LEN(SUBSTITUTE(SUBSTITUTE($G853,"-"," ",LEN($G853)-LEN(SUBSTITUTE($G853,"-",""))),"-"," ",LEN($G853)-LEN(SUBSTITUTE($G853,"-",""))-1))-LEN(SUBSTITUTE(SUBSTITUTE(SUBSTITUTE($G853,"-"," ",LEN($G853)-LEN(SUBSTITUTE($G853,"-",""))),"-"," ",LEN($G853)-LEN(SUBSTITUTE($G853,"-",""))-1),".",""))))),$G853)))</f>
        <v/>
      </c>
    </row>
    <row r="854">
      <c r="A854" s="58" t="n"/>
      <c r="B854" s="58">
        <f>IF($H854="","",LEFT($H854,FIND(" ",$H854&amp;" ")-1))</f>
        <v/>
      </c>
      <c r="C854" s="58">
        <f>IF($H854="","",IFERROR(MID($H854&amp;" ",FIND("|",SUBSTITUTE($H854&amp;" "," ","|",1))+1,FIND("|",SUBSTITUTE($H854&amp;" "," ","|",2))-FIND("|",SUBSTITUTE($H854&amp;" "," ","|",1))-1),""))</f>
        <v/>
      </c>
      <c r="D854" s="58">
        <f>IF($H854="","",IFERROR(MID($H854&amp;" ",FIND("|",SUBSTITUTE($H854&amp;" "," ","|",2))+1,FIND("|",SUBSTITUTE($H854&amp;" "," ","|",3))-FIND("|",SUBSTITUTE($H854&amp;" "," ","|",2))-1),""))</f>
        <v/>
      </c>
      <c r="E854" s="58">
        <f>IF($H854="","",IFERROR(MID($H854&amp;" ",FIND("|",SUBSTITUTE($H854&amp;" "," ","|",3))+1,FIND("|",SUBSTITUTE($H854&amp;" "," ","|",4))-FIND("|",SUBSTITUTE($H854&amp;" "," ","|",3))-1),""))</f>
        <v/>
      </c>
      <c r="F854" s="59">
        <f>IF($H854="","",IFERROR(VALUE(IFERROR(MID($H854&amp;" ",FIND("|",SUBSTITUTE($H854&amp;" "," ","|",4))+1,FIND("|",SUBSTITUTE($H854&amp;" "," ","|",5))-FIND("|",SUBSTITUTE($H854&amp;" "," ","|",4))-1),""))/86400+25569+9/24,""))</f>
        <v/>
      </c>
      <c r="G854" s="58">
        <f>TRIM(SUBSTITUTE(SUBSTITUTE(SUBSTITUTE($A854,CHAR(9)," ")," "," "),CHAR(13),""))</f>
        <v/>
      </c>
      <c r="H854" s="58">
        <f>IF($G854="","",IF(ISNUMBER(FIND(" ",$G854)),$G854,IFERROR(IF((LEN(SUBSTITUTE(SUBSTITUTE($G854,"-"," ",LEN($G854)-LEN(SUBSTITUTE($G854,"-",""))),"-"," ",LEN($G854)-LEN(SUBSTITUTE($G854,"-",""))-1))-LEN(SUBSTITUTE(SUBSTITUTE(SUBSTITUTE($G854,"-"," ",LEN($G854)-LEN(SUBSTITUTE($G854,"-",""))),"-"," ",LEN($G854)-LEN(SUBSTITUTE($G854,"-",""))-1),".","")))=0,SUBSTITUTE(SUBSTITUTE($G854,"-"," ",LEN($G854)-LEN(SUBSTITUTE($G854,"-",""))),"-"," ",LEN($G854)-LEN(SUBSTITUTE($G854,"-",""))-1),SUBSTITUTE(SUBSTITUTE(SUBSTITUTE($G854,"-"," ",LEN($G854)-LEN(SUBSTITUTE($G854,"-",""))),"-"," ",LEN($G854)-LEN(SUBSTITUTE($G854,"-",""))-1),"."," ",(LEN(SUBSTITUTE(SUBSTITUTE($G854,"-"," ",LEN($G854)-LEN(SUBSTITUTE($G854,"-",""))),"-"," ",LEN($G854)-LEN(SUBSTITUTE($G854,"-",""))-1))-LEN(SUBSTITUTE(SUBSTITUTE(SUBSTITUTE($G854,"-"," ",LEN($G854)-LEN(SUBSTITUTE($G854,"-",""))),"-"," ",LEN($G854)-LEN(SUBSTITUTE($G854,"-",""))-1),".",""))))),$G854)))</f>
        <v/>
      </c>
    </row>
    <row r="855">
      <c r="A855" s="58" t="n"/>
      <c r="B855" s="58">
        <f>IF($H855="","",LEFT($H855,FIND(" ",$H855&amp;" ")-1))</f>
        <v/>
      </c>
      <c r="C855" s="58">
        <f>IF($H855="","",IFERROR(MID($H855&amp;" ",FIND("|",SUBSTITUTE($H855&amp;" "," ","|",1))+1,FIND("|",SUBSTITUTE($H855&amp;" "," ","|",2))-FIND("|",SUBSTITUTE($H855&amp;" "," ","|",1))-1),""))</f>
        <v/>
      </c>
      <c r="D855" s="58">
        <f>IF($H855="","",IFERROR(MID($H855&amp;" ",FIND("|",SUBSTITUTE($H855&amp;" "," ","|",2))+1,FIND("|",SUBSTITUTE($H855&amp;" "," ","|",3))-FIND("|",SUBSTITUTE($H855&amp;" "," ","|",2))-1),""))</f>
        <v/>
      </c>
      <c r="E855" s="58">
        <f>IF($H855="","",IFERROR(MID($H855&amp;" ",FIND("|",SUBSTITUTE($H855&amp;" "," ","|",3))+1,FIND("|",SUBSTITUTE($H855&amp;" "," ","|",4))-FIND("|",SUBSTITUTE($H855&amp;" "," ","|",3))-1),""))</f>
        <v/>
      </c>
      <c r="F855" s="59">
        <f>IF($H855="","",IFERROR(VALUE(IFERROR(MID($H855&amp;" ",FIND("|",SUBSTITUTE($H855&amp;" "," ","|",4))+1,FIND("|",SUBSTITUTE($H855&amp;" "," ","|",5))-FIND("|",SUBSTITUTE($H855&amp;" "," ","|",4))-1),""))/86400+25569+9/24,""))</f>
        <v/>
      </c>
      <c r="G855" s="58">
        <f>TRIM(SUBSTITUTE(SUBSTITUTE(SUBSTITUTE($A855,CHAR(9)," ")," "," "),CHAR(13),""))</f>
        <v/>
      </c>
      <c r="H855" s="58">
        <f>IF($G855="","",IF(ISNUMBER(FIND(" ",$G855)),$G855,IFERROR(IF((LEN(SUBSTITUTE(SUBSTITUTE($G855,"-"," ",LEN($G855)-LEN(SUBSTITUTE($G855,"-",""))),"-"," ",LEN($G855)-LEN(SUBSTITUTE($G855,"-",""))-1))-LEN(SUBSTITUTE(SUBSTITUTE(SUBSTITUTE($G855,"-"," ",LEN($G855)-LEN(SUBSTITUTE($G855,"-",""))),"-"," ",LEN($G855)-LEN(SUBSTITUTE($G855,"-",""))-1),".","")))=0,SUBSTITUTE(SUBSTITUTE($G855,"-"," ",LEN($G855)-LEN(SUBSTITUTE($G855,"-",""))),"-"," ",LEN($G855)-LEN(SUBSTITUTE($G855,"-",""))-1),SUBSTITUTE(SUBSTITUTE(SUBSTITUTE($G855,"-"," ",LEN($G855)-LEN(SUBSTITUTE($G855,"-",""))),"-"," ",LEN($G855)-LEN(SUBSTITUTE($G855,"-",""))-1),"."," ",(LEN(SUBSTITUTE(SUBSTITUTE($G855,"-"," ",LEN($G855)-LEN(SUBSTITUTE($G855,"-",""))),"-"," ",LEN($G855)-LEN(SUBSTITUTE($G855,"-",""))-1))-LEN(SUBSTITUTE(SUBSTITUTE(SUBSTITUTE($G855,"-"," ",LEN($G855)-LEN(SUBSTITUTE($G855,"-",""))),"-"," ",LEN($G855)-LEN(SUBSTITUTE($G855,"-",""))-1),".",""))))),$G855)))</f>
        <v/>
      </c>
    </row>
    <row r="856">
      <c r="A856" s="58" t="n"/>
      <c r="B856" s="58">
        <f>IF($H856="","",LEFT($H856,FIND(" ",$H856&amp;" ")-1))</f>
        <v/>
      </c>
      <c r="C856" s="58">
        <f>IF($H856="","",IFERROR(MID($H856&amp;" ",FIND("|",SUBSTITUTE($H856&amp;" "," ","|",1))+1,FIND("|",SUBSTITUTE($H856&amp;" "," ","|",2))-FIND("|",SUBSTITUTE($H856&amp;" "," ","|",1))-1),""))</f>
        <v/>
      </c>
      <c r="D856" s="58">
        <f>IF($H856="","",IFERROR(MID($H856&amp;" ",FIND("|",SUBSTITUTE($H856&amp;" "," ","|",2))+1,FIND("|",SUBSTITUTE($H856&amp;" "," ","|",3))-FIND("|",SUBSTITUTE($H856&amp;" "," ","|",2))-1),""))</f>
        <v/>
      </c>
      <c r="E856" s="58">
        <f>IF($H856="","",IFERROR(MID($H856&amp;" ",FIND("|",SUBSTITUTE($H856&amp;" "," ","|",3))+1,FIND("|",SUBSTITUTE($H856&amp;" "," ","|",4))-FIND("|",SUBSTITUTE($H856&amp;" "," ","|",3))-1),""))</f>
        <v/>
      </c>
      <c r="F856" s="59">
        <f>IF($H856="","",IFERROR(VALUE(IFERROR(MID($H856&amp;" ",FIND("|",SUBSTITUTE($H856&amp;" "," ","|",4))+1,FIND("|",SUBSTITUTE($H856&amp;" "," ","|",5))-FIND("|",SUBSTITUTE($H856&amp;" "," ","|",4))-1),""))/86400+25569+9/24,""))</f>
        <v/>
      </c>
      <c r="G856" s="58">
        <f>TRIM(SUBSTITUTE(SUBSTITUTE(SUBSTITUTE($A856,CHAR(9)," ")," "," "),CHAR(13),""))</f>
        <v/>
      </c>
      <c r="H856" s="58">
        <f>IF($G856="","",IF(ISNUMBER(FIND(" ",$G856)),$G856,IFERROR(IF((LEN(SUBSTITUTE(SUBSTITUTE($G856,"-"," ",LEN($G856)-LEN(SUBSTITUTE($G856,"-",""))),"-"," ",LEN($G856)-LEN(SUBSTITUTE($G856,"-",""))-1))-LEN(SUBSTITUTE(SUBSTITUTE(SUBSTITUTE($G856,"-"," ",LEN($G856)-LEN(SUBSTITUTE($G856,"-",""))),"-"," ",LEN($G856)-LEN(SUBSTITUTE($G856,"-",""))-1),".","")))=0,SUBSTITUTE(SUBSTITUTE($G856,"-"," ",LEN($G856)-LEN(SUBSTITUTE($G856,"-",""))),"-"," ",LEN($G856)-LEN(SUBSTITUTE($G856,"-",""))-1),SUBSTITUTE(SUBSTITUTE(SUBSTITUTE($G856,"-"," ",LEN($G856)-LEN(SUBSTITUTE($G856,"-",""))),"-"," ",LEN($G856)-LEN(SUBSTITUTE($G856,"-",""))-1),"."," ",(LEN(SUBSTITUTE(SUBSTITUTE($G856,"-"," ",LEN($G856)-LEN(SUBSTITUTE($G856,"-",""))),"-"," ",LEN($G856)-LEN(SUBSTITUTE($G856,"-",""))-1))-LEN(SUBSTITUTE(SUBSTITUTE(SUBSTITUTE($G856,"-"," ",LEN($G856)-LEN(SUBSTITUTE($G856,"-",""))),"-"," ",LEN($G856)-LEN(SUBSTITUTE($G856,"-",""))-1),".",""))))),$G856)))</f>
        <v/>
      </c>
    </row>
    <row r="857">
      <c r="A857" s="58" t="n"/>
      <c r="B857" s="58">
        <f>IF($H857="","",LEFT($H857,FIND(" ",$H857&amp;" ")-1))</f>
        <v/>
      </c>
      <c r="C857" s="58">
        <f>IF($H857="","",IFERROR(MID($H857&amp;" ",FIND("|",SUBSTITUTE($H857&amp;" "," ","|",1))+1,FIND("|",SUBSTITUTE($H857&amp;" "," ","|",2))-FIND("|",SUBSTITUTE($H857&amp;" "," ","|",1))-1),""))</f>
        <v/>
      </c>
      <c r="D857" s="58">
        <f>IF($H857="","",IFERROR(MID($H857&amp;" ",FIND("|",SUBSTITUTE($H857&amp;" "," ","|",2))+1,FIND("|",SUBSTITUTE($H857&amp;" "," ","|",3))-FIND("|",SUBSTITUTE($H857&amp;" "," ","|",2))-1),""))</f>
        <v/>
      </c>
      <c r="E857" s="58">
        <f>IF($H857="","",IFERROR(MID($H857&amp;" ",FIND("|",SUBSTITUTE($H857&amp;" "," ","|",3))+1,FIND("|",SUBSTITUTE($H857&amp;" "," ","|",4))-FIND("|",SUBSTITUTE($H857&amp;" "," ","|",3))-1),""))</f>
        <v/>
      </c>
      <c r="F857" s="59">
        <f>IF($H857="","",IFERROR(VALUE(IFERROR(MID($H857&amp;" ",FIND("|",SUBSTITUTE($H857&amp;" "," ","|",4))+1,FIND("|",SUBSTITUTE($H857&amp;" "," ","|",5))-FIND("|",SUBSTITUTE($H857&amp;" "," ","|",4))-1),""))/86400+25569+9/24,""))</f>
        <v/>
      </c>
      <c r="G857" s="58">
        <f>TRIM(SUBSTITUTE(SUBSTITUTE(SUBSTITUTE($A857,CHAR(9)," ")," "," "),CHAR(13),""))</f>
        <v/>
      </c>
      <c r="H857" s="58">
        <f>IF($G857="","",IF(ISNUMBER(FIND(" ",$G857)),$G857,IFERROR(IF((LEN(SUBSTITUTE(SUBSTITUTE($G857,"-"," ",LEN($G857)-LEN(SUBSTITUTE($G857,"-",""))),"-"," ",LEN($G857)-LEN(SUBSTITUTE($G857,"-",""))-1))-LEN(SUBSTITUTE(SUBSTITUTE(SUBSTITUTE($G857,"-"," ",LEN($G857)-LEN(SUBSTITUTE($G857,"-",""))),"-"," ",LEN($G857)-LEN(SUBSTITUTE($G857,"-",""))-1),".","")))=0,SUBSTITUTE(SUBSTITUTE($G857,"-"," ",LEN($G857)-LEN(SUBSTITUTE($G857,"-",""))),"-"," ",LEN($G857)-LEN(SUBSTITUTE($G857,"-",""))-1),SUBSTITUTE(SUBSTITUTE(SUBSTITUTE($G857,"-"," ",LEN($G857)-LEN(SUBSTITUTE($G857,"-",""))),"-"," ",LEN($G857)-LEN(SUBSTITUTE($G857,"-",""))-1),"."," ",(LEN(SUBSTITUTE(SUBSTITUTE($G857,"-"," ",LEN($G857)-LEN(SUBSTITUTE($G857,"-",""))),"-"," ",LEN($G857)-LEN(SUBSTITUTE($G857,"-",""))-1))-LEN(SUBSTITUTE(SUBSTITUTE(SUBSTITUTE($G857,"-"," ",LEN($G857)-LEN(SUBSTITUTE($G857,"-",""))),"-"," ",LEN($G857)-LEN(SUBSTITUTE($G857,"-",""))-1),".",""))))),$G857)))</f>
        <v/>
      </c>
    </row>
    <row r="858">
      <c r="A858" s="58" t="n"/>
      <c r="B858" s="58">
        <f>IF($H858="","",LEFT($H858,FIND(" ",$H858&amp;" ")-1))</f>
        <v/>
      </c>
      <c r="C858" s="58">
        <f>IF($H858="","",IFERROR(MID($H858&amp;" ",FIND("|",SUBSTITUTE($H858&amp;" "," ","|",1))+1,FIND("|",SUBSTITUTE($H858&amp;" "," ","|",2))-FIND("|",SUBSTITUTE($H858&amp;" "," ","|",1))-1),""))</f>
        <v/>
      </c>
      <c r="D858" s="58">
        <f>IF($H858="","",IFERROR(MID($H858&amp;" ",FIND("|",SUBSTITUTE($H858&amp;" "," ","|",2))+1,FIND("|",SUBSTITUTE($H858&amp;" "," ","|",3))-FIND("|",SUBSTITUTE($H858&amp;" "," ","|",2))-1),""))</f>
        <v/>
      </c>
      <c r="E858" s="58">
        <f>IF($H858="","",IFERROR(MID($H858&amp;" ",FIND("|",SUBSTITUTE($H858&amp;" "," ","|",3))+1,FIND("|",SUBSTITUTE($H858&amp;" "," ","|",4))-FIND("|",SUBSTITUTE($H858&amp;" "," ","|",3))-1),""))</f>
        <v/>
      </c>
      <c r="F858" s="59">
        <f>IF($H858="","",IFERROR(VALUE(IFERROR(MID($H858&amp;" ",FIND("|",SUBSTITUTE($H858&amp;" "," ","|",4))+1,FIND("|",SUBSTITUTE($H858&amp;" "," ","|",5))-FIND("|",SUBSTITUTE($H858&amp;" "," ","|",4))-1),""))/86400+25569+9/24,""))</f>
        <v/>
      </c>
      <c r="G858" s="58">
        <f>TRIM(SUBSTITUTE(SUBSTITUTE(SUBSTITUTE($A858,CHAR(9)," ")," "," "),CHAR(13),""))</f>
        <v/>
      </c>
      <c r="H858" s="58">
        <f>IF($G858="","",IF(ISNUMBER(FIND(" ",$G858)),$G858,IFERROR(IF((LEN(SUBSTITUTE(SUBSTITUTE($G858,"-"," ",LEN($G858)-LEN(SUBSTITUTE($G858,"-",""))),"-"," ",LEN($G858)-LEN(SUBSTITUTE($G858,"-",""))-1))-LEN(SUBSTITUTE(SUBSTITUTE(SUBSTITUTE($G858,"-"," ",LEN($G858)-LEN(SUBSTITUTE($G858,"-",""))),"-"," ",LEN($G858)-LEN(SUBSTITUTE($G858,"-",""))-1),".","")))=0,SUBSTITUTE(SUBSTITUTE($G858,"-"," ",LEN($G858)-LEN(SUBSTITUTE($G858,"-",""))),"-"," ",LEN($G858)-LEN(SUBSTITUTE($G858,"-",""))-1),SUBSTITUTE(SUBSTITUTE(SUBSTITUTE($G858,"-"," ",LEN($G858)-LEN(SUBSTITUTE($G858,"-",""))),"-"," ",LEN($G858)-LEN(SUBSTITUTE($G858,"-",""))-1),"."," ",(LEN(SUBSTITUTE(SUBSTITUTE($G858,"-"," ",LEN($G858)-LEN(SUBSTITUTE($G858,"-",""))),"-"," ",LEN($G858)-LEN(SUBSTITUTE($G858,"-",""))-1))-LEN(SUBSTITUTE(SUBSTITUTE(SUBSTITUTE($G858,"-"," ",LEN($G858)-LEN(SUBSTITUTE($G858,"-",""))),"-"," ",LEN($G858)-LEN(SUBSTITUTE($G858,"-",""))-1),".",""))))),$G858)))</f>
        <v/>
      </c>
    </row>
    <row r="859">
      <c r="A859" s="58" t="n"/>
      <c r="B859" s="58">
        <f>IF($H859="","",LEFT($H859,FIND(" ",$H859&amp;" ")-1))</f>
        <v/>
      </c>
      <c r="C859" s="58">
        <f>IF($H859="","",IFERROR(MID($H859&amp;" ",FIND("|",SUBSTITUTE($H859&amp;" "," ","|",1))+1,FIND("|",SUBSTITUTE($H859&amp;" "," ","|",2))-FIND("|",SUBSTITUTE($H859&amp;" "," ","|",1))-1),""))</f>
        <v/>
      </c>
      <c r="D859" s="58">
        <f>IF($H859="","",IFERROR(MID($H859&amp;" ",FIND("|",SUBSTITUTE($H859&amp;" "," ","|",2))+1,FIND("|",SUBSTITUTE($H859&amp;" "," ","|",3))-FIND("|",SUBSTITUTE($H859&amp;" "," ","|",2))-1),""))</f>
        <v/>
      </c>
      <c r="E859" s="58">
        <f>IF($H859="","",IFERROR(MID($H859&amp;" ",FIND("|",SUBSTITUTE($H859&amp;" "," ","|",3))+1,FIND("|",SUBSTITUTE($H859&amp;" "," ","|",4))-FIND("|",SUBSTITUTE($H859&amp;" "," ","|",3))-1),""))</f>
        <v/>
      </c>
      <c r="F859" s="59">
        <f>IF($H859="","",IFERROR(VALUE(IFERROR(MID($H859&amp;" ",FIND("|",SUBSTITUTE($H859&amp;" "," ","|",4))+1,FIND("|",SUBSTITUTE($H859&amp;" "," ","|",5))-FIND("|",SUBSTITUTE($H859&amp;" "," ","|",4))-1),""))/86400+25569+9/24,""))</f>
        <v/>
      </c>
      <c r="G859" s="58">
        <f>TRIM(SUBSTITUTE(SUBSTITUTE(SUBSTITUTE($A859,CHAR(9)," ")," "," "),CHAR(13),""))</f>
        <v/>
      </c>
      <c r="H859" s="58">
        <f>IF($G859="","",IF(ISNUMBER(FIND(" ",$G859)),$G859,IFERROR(IF((LEN(SUBSTITUTE(SUBSTITUTE($G859,"-"," ",LEN($G859)-LEN(SUBSTITUTE($G859,"-",""))),"-"," ",LEN($G859)-LEN(SUBSTITUTE($G859,"-",""))-1))-LEN(SUBSTITUTE(SUBSTITUTE(SUBSTITUTE($G859,"-"," ",LEN($G859)-LEN(SUBSTITUTE($G859,"-",""))),"-"," ",LEN($G859)-LEN(SUBSTITUTE($G859,"-",""))-1),".","")))=0,SUBSTITUTE(SUBSTITUTE($G859,"-"," ",LEN($G859)-LEN(SUBSTITUTE($G859,"-",""))),"-"," ",LEN($G859)-LEN(SUBSTITUTE($G859,"-",""))-1),SUBSTITUTE(SUBSTITUTE(SUBSTITUTE($G859,"-"," ",LEN($G859)-LEN(SUBSTITUTE($G859,"-",""))),"-"," ",LEN($G859)-LEN(SUBSTITUTE($G859,"-",""))-1),"."," ",(LEN(SUBSTITUTE(SUBSTITUTE($G859,"-"," ",LEN($G859)-LEN(SUBSTITUTE($G859,"-",""))),"-"," ",LEN($G859)-LEN(SUBSTITUTE($G859,"-",""))-1))-LEN(SUBSTITUTE(SUBSTITUTE(SUBSTITUTE($G859,"-"," ",LEN($G859)-LEN(SUBSTITUTE($G859,"-",""))),"-"," ",LEN($G859)-LEN(SUBSTITUTE($G859,"-",""))-1),".",""))))),$G859)))</f>
        <v/>
      </c>
    </row>
    <row r="860">
      <c r="A860" s="58" t="n"/>
      <c r="B860" s="58">
        <f>IF($H860="","",LEFT($H860,FIND(" ",$H860&amp;" ")-1))</f>
        <v/>
      </c>
      <c r="C860" s="58">
        <f>IF($H860="","",IFERROR(MID($H860&amp;" ",FIND("|",SUBSTITUTE($H860&amp;" "," ","|",1))+1,FIND("|",SUBSTITUTE($H860&amp;" "," ","|",2))-FIND("|",SUBSTITUTE($H860&amp;" "," ","|",1))-1),""))</f>
        <v/>
      </c>
      <c r="D860" s="58">
        <f>IF($H860="","",IFERROR(MID($H860&amp;" ",FIND("|",SUBSTITUTE($H860&amp;" "," ","|",2))+1,FIND("|",SUBSTITUTE($H860&amp;" "," ","|",3))-FIND("|",SUBSTITUTE($H860&amp;" "," ","|",2))-1),""))</f>
        <v/>
      </c>
      <c r="E860" s="58">
        <f>IF($H860="","",IFERROR(MID($H860&amp;" ",FIND("|",SUBSTITUTE($H860&amp;" "," ","|",3))+1,FIND("|",SUBSTITUTE($H860&amp;" "," ","|",4))-FIND("|",SUBSTITUTE($H860&amp;" "," ","|",3))-1),""))</f>
        <v/>
      </c>
      <c r="F860" s="59">
        <f>IF($H860="","",IFERROR(VALUE(IFERROR(MID($H860&amp;" ",FIND("|",SUBSTITUTE($H860&amp;" "," ","|",4))+1,FIND("|",SUBSTITUTE($H860&amp;" "," ","|",5))-FIND("|",SUBSTITUTE($H860&amp;" "," ","|",4))-1),""))/86400+25569+9/24,""))</f>
        <v/>
      </c>
      <c r="G860" s="58">
        <f>TRIM(SUBSTITUTE(SUBSTITUTE(SUBSTITUTE($A860,CHAR(9)," ")," "," "),CHAR(13),""))</f>
        <v/>
      </c>
      <c r="H860" s="58">
        <f>IF($G860="","",IF(ISNUMBER(FIND(" ",$G860)),$G860,IFERROR(IF((LEN(SUBSTITUTE(SUBSTITUTE($G860,"-"," ",LEN($G860)-LEN(SUBSTITUTE($G860,"-",""))),"-"," ",LEN($G860)-LEN(SUBSTITUTE($G860,"-",""))-1))-LEN(SUBSTITUTE(SUBSTITUTE(SUBSTITUTE($G860,"-"," ",LEN($G860)-LEN(SUBSTITUTE($G860,"-",""))),"-"," ",LEN($G860)-LEN(SUBSTITUTE($G860,"-",""))-1),".","")))=0,SUBSTITUTE(SUBSTITUTE($G860,"-"," ",LEN($G860)-LEN(SUBSTITUTE($G860,"-",""))),"-"," ",LEN($G860)-LEN(SUBSTITUTE($G860,"-",""))-1),SUBSTITUTE(SUBSTITUTE(SUBSTITUTE($G860,"-"," ",LEN($G860)-LEN(SUBSTITUTE($G860,"-",""))),"-"," ",LEN($G860)-LEN(SUBSTITUTE($G860,"-",""))-1),"."," ",(LEN(SUBSTITUTE(SUBSTITUTE($G860,"-"," ",LEN($G860)-LEN(SUBSTITUTE($G860,"-",""))),"-"," ",LEN($G860)-LEN(SUBSTITUTE($G860,"-",""))-1))-LEN(SUBSTITUTE(SUBSTITUTE(SUBSTITUTE($G860,"-"," ",LEN($G860)-LEN(SUBSTITUTE($G860,"-",""))),"-"," ",LEN($G860)-LEN(SUBSTITUTE($G860,"-",""))-1),".",""))))),$G860)))</f>
        <v/>
      </c>
    </row>
    <row r="861">
      <c r="A861" s="58" t="n"/>
      <c r="B861" s="58">
        <f>IF($H861="","",LEFT($H861,FIND(" ",$H861&amp;" ")-1))</f>
        <v/>
      </c>
      <c r="C861" s="58">
        <f>IF($H861="","",IFERROR(MID($H861&amp;" ",FIND("|",SUBSTITUTE($H861&amp;" "," ","|",1))+1,FIND("|",SUBSTITUTE($H861&amp;" "," ","|",2))-FIND("|",SUBSTITUTE($H861&amp;" "," ","|",1))-1),""))</f>
        <v/>
      </c>
      <c r="D861" s="58">
        <f>IF($H861="","",IFERROR(MID($H861&amp;" ",FIND("|",SUBSTITUTE($H861&amp;" "," ","|",2))+1,FIND("|",SUBSTITUTE($H861&amp;" "," ","|",3))-FIND("|",SUBSTITUTE($H861&amp;" "," ","|",2))-1),""))</f>
        <v/>
      </c>
      <c r="E861" s="58">
        <f>IF($H861="","",IFERROR(MID($H861&amp;" ",FIND("|",SUBSTITUTE($H861&amp;" "," ","|",3))+1,FIND("|",SUBSTITUTE($H861&amp;" "," ","|",4))-FIND("|",SUBSTITUTE($H861&amp;" "," ","|",3))-1),""))</f>
        <v/>
      </c>
      <c r="F861" s="59">
        <f>IF($H861="","",IFERROR(VALUE(IFERROR(MID($H861&amp;" ",FIND("|",SUBSTITUTE($H861&amp;" "," ","|",4))+1,FIND("|",SUBSTITUTE($H861&amp;" "," ","|",5))-FIND("|",SUBSTITUTE($H861&amp;" "," ","|",4))-1),""))/86400+25569+9/24,""))</f>
        <v/>
      </c>
      <c r="G861" s="58">
        <f>TRIM(SUBSTITUTE(SUBSTITUTE(SUBSTITUTE($A861,CHAR(9)," ")," "," "),CHAR(13),""))</f>
        <v/>
      </c>
      <c r="H861" s="58">
        <f>IF($G861="","",IF(ISNUMBER(FIND(" ",$G861)),$G861,IFERROR(IF((LEN(SUBSTITUTE(SUBSTITUTE($G861,"-"," ",LEN($G861)-LEN(SUBSTITUTE($G861,"-",""))),"-"," ",LEN($G861)-LEN(SUBSTITUTE($G861,"-",""))-1))-LEN(SUBSTITUTE(SUBSTITUTE(SUBSTITUTE($G861,"-"," ",LEN($G861)-LEN(SUBSTITUTE($G861,"-",""))),"-"," ",LEN($G861)-LEN(SUBSTITUTE($G861,"-",""))-1),".","")))=0,SUBSTITUTE(SUBSTITUTE($G861,"-"," ",LEN($G861)-LEN(SUBSTITUTE($G861,"-",""))),"-"," ",LEN($G861)-LEN(SUBSTITUTE($G861,"-",""))-1),SUBSTITUTE(SUBSTITUTE(SUBSTITUTE($G861,"-"," ",LEN($G861)-LEN(SUBSTITUTE($G861,"-",""))),"-"," ",LEN($G861)-LEN(SUBSTITUTE($G861,"-",""))-1),"."," ",(LEN(SUBSTITUTE(SUBSTITUTE($G861,"-"," ",LEN($G861)-LEN(SUBSTITUTE($G861,"-",""))),"-"," ",LEN($G861)-LEN(SUBSTITUTE($G861,"-",""))-1))-LEN(SUBSTITUTE(SUBSTITUTE(SUBSTITUTE($G861,"-"," ",LEN($G861)-LEN(SUBSTITUTE($G861,"-",""))),"-"," ",LEN($G861)-LEN(SUBSTITUTE($G861,"-",""))-1),".",""))))),$G861)))</f>
        <v/>
      </c>
    </row>
    <row r="862">
      <c r="A862" s="58" t="n"/>
      <c r="B862" s="58">
        <f>IF($H862="","",LEFT($H862,FIND(" ",$H862&amp;" ")-1))</f>
        <v/>
      </c>
      <c r="C862" s="58">
        <f>IF($H862="","",IFERROR(MID($H862&amp;" ",FIND("|",SUBSTITUTE($H862&amp;" "," ","|",1))+1,FIND("|",SUBSTITUTE($H862&amp;" "," ","|",2))-FIND("|",SUBSTITUTE($H862&amp;" "," ","|",1))-1),""))</f>
        <v/>
      </c>
      <c r="D862" s="58">
        <f>IF($H862="","",IFERROR(MID($H862&amp;" ",FIND("|",SUBSTITUTE($H862&amp;" "," ","|",2))+1,FIND("|",SUBSTITUTE($H862&amp;" "," ","|",3))-FIND("|",SUBSTITUTE($H862&amp;" "," ","|",2))-1),""))</f>
        <v/>
      </c>
      <c r="E862" s="58">
        <f>IF($H862="","",IFERROR(MID($H862&amp;" ",FIND("|",SUBSTITUTE($H862&amp;" "," ","|",3))+1,FIND("|",SUBSTITUTE($H862&amp;" "," ","|",4))-FIND("|",SUBSTITUTE($H862&amp;" "," ","|",3))-1),""))</f>
        <v/>
      </c>
      <c r="F862" s="59">
        <f>IF($H862="","",IFERROR(VALUE(IFERROR(MID($H862&amp;" ",FIND("|",SUBSTITUTE($H862&amp;" "," ","|",4))+1,FIND("|",SUBSTITUTE($H862&amp;" "," ","|",5))-FIND("|",SUBSTITUTE($H862&amp;" "," ","|",4))-1),""))/86400+25569+9/24,""))</f>
        <v/>
      </c>
      <c r="G862" s="58">
        <f>TRIM(SUBSTITUTE(SUBSTITUTE(SUBSTITUTE($A862,CHAR(9)," ")," "," "),CHAR(13),""))</f>
        <v/>
      </c>
      <c r="H862" s="58">
        <f>IF($G862="","",IF(ISNUMBER(FIND(" ",$G862)),$G862,IFERROR(IF((LEN(SUBSTITUTE(SUBSTITUTE($G862,"-"," ",LEN($G862)-LEN(SUBSTITUTE($G862,"-",""))),"-"," ",LEN($G862)-LEN(SUBSTITUTE($G862,"-",""))-1))-LEN(SUBSTITUTE(SUBSTITUTE(SUBSTITUTE($G862,"-"," ",LEN($G862)-LEN(SUBSTITUTE($G862,"-",""))),"-"," ",LEN($G862)-LEN(SUBSTITUTE($G862,"-",""))-1),".","")))=0,SUBSTITUTE(SUBSTITUTE($G862,"-"," ",LEN($G862)-LEN(SUBSTITUTE($G862,"-",""))),"-"," ",LEN($G862)-LEN(SUBSTITUTE($G862,"-",""))-1),SUBSTITUTE(SUBSTITUTE(SUBSTITUTE($G862,"-"," ",LEN($G862)-LEN(SUBSTITUTE($G862,"-",""))),"-"," ",LEN($G862)-LEN(SUBSTITUTE($G862,"-",""))-1),"."," ",(LEN(SUBSTITUTE(SUBSTITUTE($G862,"-"," ",LEN($G862)-LEN(SUBSTITUTE($G862,"-",""))),"-"," ",LEN($G862)-LEN(SUBSTITUTE($G862,"-",""))-1))-LEN(SUBSTITUTE(SUBSTITUTE(SUBSTITUTE($G862,"-"," ",LEN($G862)-LEN(SUBSTITUTE($G862,"-",""))),"-"," ",LEN($G862)-LEN(SUBSTITUTE($G862,"-",""))-1),".",""))))),$G862)))</f>
        <v/>
      </c>
    </row>
    <row r="863">
      <c r="A863" s="58" t="n"/>
      <c r="B863" s="58">
        <f>IF($H863="","",LEFT($H863,FIND(" ",$H863&amp;" ")-1))</f>
        <v/>
      </c>
      <c r="C863" s="58">
        <f>IF($H863="","",IFERROR(MID($H863&amp;" ",FIND("|",SUBSTITUTE($H863&amp;" "," ","|",1))+1,FIND("|",SUBSTITUTE($H863&amp;" "," ","|",2))-FIND("|",SUBSTITUTE($H863&amp;" "," ","|",1))-1),""))</f>
        <v/>
      </c>
      <c r="D863" s="58">
        <f>IF($H863="","",IFERROR(MID($H863&amp;" ",FIND("|",SUBSTITUTE($H863&amp;" "," ","|",2))+1,FIND("|",SUBSTITUTE($H863&amp;" "," ","|",3))-FIND("|",SUBSTITUTE($H863&amp;" "," ","|",2))-1),""))</f>
        <v/>
      </c>
      <c r="E863" s="58">
        <f>IF($H863="","",IFERROR(MID($H863&amp;" ",FIND("|",SUBSTITUTE($H863&amp;" "," ","|",3))+1,FIND("|",SUBSTITUTE($H863&amp;" "," ","|",4))-FIND("|",SUBSTITUTE($H863&amp;" "," ","|",3))-1),""))</f>
        <v/>
      </c>
      <c r="F863" s="59">
        <f>IF($H863="","",IFERROR(VALUE(IFERROR(MID($H863&amp;" ",FIND("|",SUBSTITUTE($H863&amp;" "," ","|",4))+1,FIND("|",SUBSTITUTE($H863&amp;" "," ","|",5))-FIND("|",SUBSTITUTE($H863&amp;" "," ","|",4))-1),""))/86400+25569+9/24,""))</f>
        <v/>
      </c>
      <c r="G863" s="58">
        <f>TRIM(SUBSTITUTE(SUBSTITUTE(SUBSTITUTE($A863,CHAR(9)," ")," "," "),CHAR(13),""))</f>
        <v/>
      </c>
      <c r="H863" s="58">
        <f>IF($G863="","",IF(ISNUMBER(FIND(" ",$G863)),$G863,IFERROR(IF((LEN(SUBSTITUTE(SUBSTITUTE($G863,"-"," ",LEN($G863)-LEN(SUBSTITUTE($G863,"-",""))),"-"," ",LEN($G863)-LEN(SUBSTITUTE($G863,"-",""))-1))-LEN(SUBSTITUTE(SUBSTITUTE(SUBSTITUTE($G863,"-"," ",LEN($G863)-LEN(SUBSTITUTE($G863,"-",""))),"-"," ",LEN($G863)-LEN(SUBSTITUTE($G863,"-",""))-1),".","")))=0,SUBSTITUTE(SUBSTITUTE($G863,"-"," ",LEN($G863)-LEN(SUBSTITUTE($G863,"-",""))),"-"," ",LEN($G863)-LEN(SUBSTITUTE($G863,"-",""))-1),SUBSTITUTE(SUBSTITUTE(SUBSTITUTE($G863,"-"," ",LEN($G863)-LEN(SUBSTITUTE($G863,"-",""))),"-"," ",LEN($G863)-LEN(SUBSTITUTE($G863,"-",""))-1),"."," ",(LEN(SUBSTITUTE(SUBSTITUTE($G863,"-"," ",LEN($G863)-LEN(SUBSTITUTE($G863,"-",""))),"-"," ",LEN($G863)-LEN(SUBSTITUTE($G863,"-",""))-1))-LEN(SUBSTITUTE(SUBSTITUTE(SUBSTITUTE($G863,"-"," ",LEN($G863)-LEN(SUBSTITUTE($G863,"-",""))),"-"," ",LEN($G863)-LEN(SUBSTITUTE($G863,"-",""))-1),".",""))))),$G863)))</f>
        <v/>
      </c>
    </row>
    <row r="864">
      <c r="A864" s="58" t="n"/>
      <c r="B864" s="58">
        <f>IF($H864="","",LEFT($H864,FIND(" ",$H864&amp;" ")-1))</f>
        <v/>
      </c>
      <c r="C864" s="58">
        <f>IF($H864="","",IFERROR(MID($H864&amp;" ",FIND("|",SUBSTITUTE($H864&amp;" "," ","|",1))+1,FIND("|",SUBSTITUTE($H864&amp;" "," ","|",2))-FIND("|",SUBSTITUTE($H864&amp;" "," ","|",1))-1),""))</f>
        <v/>
      </c>
      <c r="D864" s="58">
        <f>IF($H864="","",IFERROR(MID($H864&amp;" ",FIND("|",SUBSTITUTE($H864&amp;" "," ","|",2))+1,FIND("|",SUBSTITUTE($H864&amp;" "," ","|",3))-FIND("|",SUBSTITUTE($H864&amp;" "," ","|",2))-1),""))</f>
        <v/>
      </c>
      <c r="E864" s="58">
        <f>IF($H864="","",IFERROR(MID($H864&amp;" ",FIND("|",SUBSTITUTE($H864&amp;" "," ","|",3))+1,FIND("|",SUBSTITUTE($H864&amp;" "," ","|",4))-FIND("|",SUBSTITUTE($H864&amp;" "," ","|",3))-1),""))</f>
        <v/>
      </c>
      <c r="F864" s="59">
        <f>IF($H864="","",IFERROR(VALUE(IFERROR(MID($H864&amp;" ",FIND("|",SUBSTITUTE($H864&amp;" "," ","|",4))+1,FIND("|",SUBSTITUTE($H864&amp;" "," ","|",5))-FIND("|",SUBSTITUTE($H864&amp;" "," ","|",4))-1),""))/86400+25569+9/24,""))</f>
        <v/>
      </c>
      <c r="G864" s="58">
        <f>TRIM(SUBSTITUTE(SUBSTITUTE(SUBSTITUTE($A864,CHAR(9)," ")," "," "),CHAR(13),""))</f>
        <v/>
      </c>
      <c r="H864" s="58">
        <f>IF($G864="","",IF(ISNUMBER(FIND(" ",$G864)),$G864,IFERROR(IF((LEN(SUBSTITUTE(SUBSTITUTE($G864,"-"," ",LEN($G864)-LEN(SUBSTITUTE($G864,"-",""))),"-"," ",LEN($G864)-LEN(SUBSTITUTE($G864,"-",""))-1))-LEN(SUBSTITUTE(SUBSTITUTE(SUBSTITUTE($G864,"-"," ",LEN($G864)-LEN(SUBSTITUTE($G864,"-",""))),"-"," ",LEN($G864)-LEN(SUBSTITUTE($G864,"-",""))-1),".","")))=0,SUBSTITUTE(SUBSTITUTE($G864,"-"," ",LEN($G864)-LEN(SUBSTITUTE($G864,"-",""))),"-"," ",LEN($G864)-LEN(SUBSTITUTE($G864,"-",""))-1),SUBSTITUTE(SUBSTITUTE(SUBSTITUTE($G864,"-"," ",LEN($G864)-LEN(SUBSTITUTE($G864,"-",""))),"-"," ",LEN($G864)-LEN(SUBSTITUTE($G864,"-",""))-1),"."," ",(LEN(SUBSTITUTE(SUBSTITUTE($G864,"-"," ",LEN($G864)-LEN(SUBSTITUTE($G864,"-",""))),"-"," ",LEN($G864)-LEN(SUBSTITUTE($G864,"-",""))-1))-LEN(SUBSTITUTE(SUBSTITUTE(SUBSTITUTE($G864,"-"," ",LEN($G864)-LEN(SUBSTITUTE($G864,"-",""))),"-"," ",LEN($G864)-LEN(SUBSTITUTE($G864,"-",""))-1),".",""))))),$G864)))</f>
        <v/>
      </c>
    </row>
    <row r="865">
      <c r="A865" s="58" t="n"/>
      <c r="B865" s="58">
        <f>IF($H865="","",LEFT($H865,FIND(" ",$H865&amp;" ")-1))</f>
        <v/>
      </c>
      <c r="C865" s="58">
        <f>IF($H865="","",IFERROR(MID($H865&amp;" ",FIND("|",SUBSTITUTE($H865&amp;" "," ","|",1))+1,FIND("|",SUBSTITUTE($H865&amp;" "," ","|",2))-FIND("|",SUBSTITUTE($H865&amp;" "," ","|",1))-1),""))</f>
        <v/>
      </c>
      <c r="D865" s="58">
        <f>IF($H865="","",IFERROR(MID($H865&amp;" ",FIND("|",SUBSTITUTE($H865&amp;" "," ","|",2))+1,FIND("|",SUBSTITUTE($H865&amp;" "," ","|",3))-FIND("|",SUBSTITUTE($H865&amp;" "," ","|",2))-1),""))</f>
        <v/>
      </c>
      <c r="E865" s="58">
        <f>IF($H865="","",IFERROR(MID($H865&amp;" ",FIND("|",SUBSTITUTE($H865&amp;" "," ","|",3))+1,FIND("|",SUBSTITUTE($H865&amp;" "," ","|",4))-FIND("|",SUBSTITUTE($H865&amp;" "," ","|",3))-1),""))</f>
        <v/>
      </c>
      <c r="F865" s="59">
        <f>IF($H865="","",IFERROR(VALUE(IFERROR(MID($H865&amp;" ",FIND("|",SUBSTITUTE($H865&amp;" "," ","|",4))+1,FIND("|",SUBSTITUTE($H865&amp;" "," ","|",5))-FIND("|",SUBSTITUTE($H865&amp;" "," ","|",4))-1),""))/86400+25569+9/24,""))</f>
        <v/>
      </c>
      <c r="G865" s="58">
        <f>TRIM(SUBSTITUTE(SUBSTITUTE(SUBSTITUTE($A865,CHAR(9)," ")," "," "),CHAR(13),""))</f>
        <v/>
      </c>
      <c r="H865" s="58">
        <f>IF($G865="","",IF(ISNUMBER(FIND(" ",$G865)),$G865,IFERROR(IF((LEN(SUBSTITUTE(SUBSTITUTE($G865,"-"," ",LEN($G865)-LEN(SUBSTITUTE($G865,"-",""))),"-"," ",LEN($G865)-LEN(SUBSTITUTE($G865,"-",""))-1))-LEN(SUBSTITUTE(SUBSTITUTE(SUBSTITUTE($G865,"-"," ",LEN($G865)-LEN(SUBSTITUTE($G865,"-",""))),"-"," ",LEN($G865)-LEN(SUBSTITUTE($G865,"-",""))-1),".","")))=0,SUBSTITUTE(SUBSTITUTE($G865,"-"," ",LEN($G865)-LEN(SUBSTITUTE($G865,"-",""))),"-"," ",LEN($G865)-LEN(SUBSTITUTE($G865,"-",""))-1),SUBSTITUTE(SUBSTITUTE(SUBSTITUTE($G865,"-"," ",LEN($G865)-LEN(SUBSTITUTE($G865,"-",""))),"-"," ",LEN($G865)-LEN(SUBSTITUTE($G865,"-",""))-1),"."," ",(LEN(SUBSTITUTE(SUBSTITUTE($G865,"-"," ",LEN($G865)-LEN(SUBSTITUTE($G865,"-",""))),"-"," ",LEN($G865)-LEN(SUBSTITUTE($G865,"-",""))-1))-LEN(SUBSTITUTE(SUBSTITUTE(SUBSTITUTE($G865,"-"," ",LEN($G865)-LEN(SUBSTITUTE($G865,"-",""))),"-"," ",LEN($G865)-LEN(SUBSTITUTE($G865,"-",""))-1),".",""))))),$G865)))</f>
        <v/>
      </c>
    </row>
    <row r="866">
      <c r="A866" s="58" t="n"/>
      <c r="B866" s="58">
        <f>IF($H866="","",LEFT($H866,FIND(" ",$H866&amp;" ")-1))</f>
        <v/>
      </c>
      <c r="C866" s="58">
        <f>IF($H866="","",IFERROR(MID($H866&amp;" ",FIND("|",SUBSTITUTE($H866&amp;" "," ","|",1))+1,FIND("|",SUBSTITUTE($H866&amp;" "," ","|",2))-FIND("|",SUBSTITUTE($H866&amp;" "," ","|",1))-1),""))</f>
        <v/>
      </c>
      <c r="D866" s="58">
        <f>IF($H866="","",IFERROR(MID($H866&amp;" ",FIND("|",SUBSTITUTE($H866&amp;" "," ","|",2))+1,FIND("|",SUBSTITUTE($H866&amp;" "," ","|",3))-FIND("|",SUBSTITUTE($H866&amp;" "," ","|",2))-1),""))</f>
        <v/>
      </c>
      <c r="E866" s="58">
        <f>IF($H866="","",IFERROR(MID($H866&amp;" ",FIND("|",SUBSTITUTE($H866&amp;" "," ","|",3))+1,FIND("|",SUBSTITUTE($H866&amp;" "," ","|",4))-FIND("|",SUBSTITUTE($H866&amp;" "," ","|",3))-1),""))</f>
        <v/>
      </c>
      <c r="F866" s="59">
        <f>IF($H866="","",IFERROR(VALUE(IFERROR(MID($H866&amp;" ",FIND("|",SUBSTITUTE($H866&amp;" "," ","|",4))+1,FIND("|",SUBSTITUTE($H866&amp;" "," ","|",5))-FIND("|",SUBSTITUTE($H866&amp;" "," ","|",4))-1),""))/86400+25569+9/24,""))</f>
        <v/>
      </c>
      <c r="G866" s="58">
        <f>TRIM(SUBSTITUTE(SUBSTITUTE(SUBSTITUTE($A866,CHAR(9)," ")," "," "),CHAR(13),""))</f>
        <v/>
      </c>
      <c r="H866" s="58">
        <f>IF($G866="","",IF(ISNUMBER(FIND(" ",$G866)),$G866,IFERROR(IF((LEN(SUBSTITUTE(SUBSTITUTE($G866,"-"," ",LEN($G866)-LEN(SUBSTITUTE($G866,"-",""))),"-"," ",LEN($G866)-LEN(SUBSTITUTE($G866,"-",""))-1))-LEN(SUBSTITUTE(SUBSTITUTE(SUBSTITUTE($G866,"-"," ",LEN($G866)-LEN(SUBSTITUTE($G866,"-",""))),"-"," ",LEN($G866)-LEN(SUBSTITUTE($G866,"-",""))-1),".","")))=0,SUBSTITUTE(SUBSTITUTE($G866,"-"," ",LEN($G866)-LEN(SUBSTITUTE($G866,"-",""))),"-"," ",LEN($G866)-LEN(SUBSTITUTE($G866,"-",""))-1),SUBSTITUTE(SUBSTITUTE(SUBSTITUTE($G866,"-"," ",LEN($G866)-LEN(SUBSTITUTE($G866,"-",""))),"-"," ",LEN($G866)-LEN(SUBSTITUTE($G866,"-",""))-1),"."," ",(LEN(SUBSTITUTE(SUBSTITUTE($G866,"-"," ",LEN($G866)-LEN(SUBSTITUTE($G866,"-",""))),"-"," ",LEN($G866)-LEN(SUBSTITUTE($G866,"-",""))-1))-LEN(SUBSTITUTE(SUBSTITUTE(SUBSTITUTE($G866,"-"," ",LEN($G866)-LEN(SUBSTITUTE($G866,"-",""))),"-"," ",LEN($G866)-LEN(SUBSTITUTE($G866,"-",""))-1),".",""))))),$G866)))</f>
        <v/>
      </c>
    </row>
    <row r="867">
      <c r="A867" s="58" t="n"/>
      <c r="B867" s="58">
        <f>IF($H867="","",LEFT($H867,FIND(" ",$H867&amp;" ")-1))</f>
        <v/>
      </c>
      <c r="C867" s="58">
        <f>IF($H867="","",IFERROR(MID($H867&amp;" ",FIND("|",SUBSTITUTE($H867&amp;" "," ","|",1))+1,FIND("|",SUBSTITUTE($H867&amp;" "," ","|",2))-FIND("|",SUBSTITUTE($H867&amp;" "," ","|",1))-1),""))</f>
        <v/>
      </c>
      <c r="D867" s="58">
        <f>IF($H867="","",IFERROR(MID($H867&amp;" ",FIND("|",SUBSTITUTE($H867&amp;" "," ","|",2))+1,FIND("|",SUBSTITUTE($H867&amp;" "," ","|",3))-FIND("|",SUBSTITUTE($H867&amp;" "," ","|",2))-1),""))</f>
        <v/>
      </c>
      <c r="E867" s="58">
        <f>IF($H867="","",IFERROR(MID($H867&amp;" ",FIND("|",SUBSTITUTE($H867&amp;" "," ","|",3))+1,FIND("|",SUBSTITUTE($H867&amp;" "," ","|",4))-FIND("|",SUBSTITUTE($H867&amp;" "," ","|",3))-1),""))</f>
        <v/>
      </c>
      <c r="F867" s="59">
        <f>IF($H867="","",IFERROR(VALUE(IFERROR(MID($H867&amp;" ",FIND("|",SUBSTITUTE($H867&amp;" "," ","|",4))+1,FIND("|",SUBSTITUTE($H867&amp;" "," ","|",5))-FIND("|",SUBSTITUTE($H867&amp;" "," ","|",4))-1),""))/86400+25569+9/24,""))</f>
        <v/>
      </c>
      <c r="G867" s="58">
        <f>TRIM(SUBSTITUTE(SUBSTITUTE(SUBSTITUTE($A867,CHAR(9)," ")," "," "),CHAR(13),""))</f>
        <v/>
      </c>
      <c r="H867" s="58">
        <f>IF($G867="","",IF(ISNUMBER(FIND(" ",$G867)),$G867,IFERROR(IF((LEN(SUBSTITUTE(SUBSTITUTE($G867,"-"," ",LEN($G867)-LEN(SUBSTITUTE($G867,"-",""))),"-"," ",LEN($G867)-LEN(SUBSTITUTE($G867,"-",""))-1))-LEN(SUBSTITUTE(SUBSTITUTE(SUBSTITUTE($G867,"-"," ",LEN($G867)-LEN(SUBSTITUTE($G867,"-",""))),"-"," ",LEN($G867)-LEN(SUBSTITUTE($G867,"-",""))-1),".","")))=0,SUBSTITUTE(SUBSTITUTE($G867,"-"," ",LEN($G867)-LEN(SUBSTITUTE($G867,"-",""))),"-"," ",LEN($G867)-LEN(SUBSTITUTE($G867,"-",""))-1),SUBSTITUTE(SUBSTITUTE(SUBSTITUTE($G867,"-"," ",LEN($G867)-LEN(SUBSTITUTE($G867,"-",""))),"-"," ",LEN($G867)-LEN(SUBSTITUTE($G867,"-",""))-1),"."," ",(LEN(SUBSTITUTE(SUBSTITUTE($G867,"-"," ",LEN($G867)-LEN(SUBSTITUTE($G867,"-",""))),"-"," ",LEN($G867)-LEN(SUBSTITUTE($G867,"-",""))-1))-LEN(SUBSTITUTE(SUBSTITUTE(SUBSTITUTE($G867,"-"," ",LEN($G867)-LEN(SUBSTITUTE($G867,"-",""))),"-"," ",LEN($G867)-LEN(SUBSTITUTE($G867,"-",""))-1),".",""))))),$G867)))</f>
        <v/>
      </c>
    </row>
    <row r="868">
      <c r="A868" s="58" t="n"/>
      <c r="B868" s="58">
        <f>IF($H868="","",LEFT($H868,FIND(" ",$H868&amp;" ")-1))</f>
        <v/>
      </c>
      <c r="C868" s="58">
        <f>IF($H868="","",IFERROR(MID($H868&amp;" ",FIND("|",SUBSTITUTE($H868&amp;" "," ","|",1))+1,FIND("|",SUBSTITUTE($H868&amp;" "," ","|",2))-FIND("|",SUBSTITUTE($H868&amp;" "," ","|",1))-1),""))</f>
        <v/>
      </c>
      <c r="D868" s="58">
        <f>IF($H868="","",IFERROR(MID($H868&amp;" ",FIND("|",SUBSTITUTE($H868&amp;" "," ","|",2))+1,FIND("|",SUBSTITUTE($H868&amp;" "," ","|",3))-FIND("|",SUBSTITUTE($H868&amp;" "," ","|",2))-1),""))</f>
        <v/>
      </c>
      <c r="E868" s="58">
        <f>IF($H868="","",IFERROR(MID($H868&amp;" ",FIND("|",SUBSTITUTE($H868&amp;" "," ","|",3))+1,FIND("|",SUBSTITUTE($H868&amp;" "," ","|",4))-FIND("|",SUBSTITUTE($H868&amp;" "," ","|",3))-1),""))</f>
        <v/>
      </c>
      <c r="F868" s="59">
        <f>IF($H868="","",IFERROR(VALUE(IFERROR(MID($H868&amp;" ",FIND("|",SUBSTITUTE($H868&amp;" "," ","|",4))+1,FIND("|",SUBSTITUTE($H868&amp;" "," ","|",5))-FIND("|",SUBSTITUTE($H868&amp;" "," ","|",4))-1),""))/86400+25569+9/24,""))</f>
        <v/>
      </c>
      <c r="G868" s="58">
        <f>TRIM(SUBSTITUTE(SUBSTITUTE(SUBSTITUTE($A868,CHAR(9)," ")," "," "),CHAR(13),""))</f>
        <v/>
      </c>
      <c r="H868" s="58">
        <f>IF($G868="","",IF(ISNUMBER(FIND(" ",$G868)),$G868,IFERROR(IF((LEN(SUBSTITUTE(SUBSTITUTE($G868,"-"," ",LEN($G868)-LEN(SUBSTITUTE($G868,"-",""))),"-"," ",LEN($G868)-LEN(SUBSTITUTE($G868,"-",""))-1))-LEN(SUBSTITUTE(SUBSTITUTE(SUBSTITUTE($G868,"-"," ",LEN($G868)-LEN(SUBSTITUTE($G868,"-",""))),"-"," ",LEN($G868)-LEN(SUBSTITUTE($G868,"-",""))-1),".","")))=0,SUBSTITUTE(SUBSTITUTE($G868,"-"," ",LEN($G868)-LEN(SUBSTITUTE($G868,"-",""))),"-"," ",LEN($G868)-LEN(SUBSTITUTE($G868,"-",""))-1),SUBSTITUTE(SUBSTITUTE(SUBSTITUTE($G868,"-"," ",LEN($G868)-LEN(SUBSTITUTE($G868,"-",""))),"-"," ",LEN($G868)-LEN(SUBSTITUTE($G868,"-",""))-1),"."," ",(LEN(SUBSTITUTE(SUBSTITUTE($G868,"-"," ",LEN($G868)-LEN(SUBSTITUTE($G868,"-",""))),"-"," ",LEN($G868)-LEN(SUBSTITUTE($G868,"-",""))-1))-LEN(SUBSTITUTE(SUBSTITUTE(SUBSTITUTE($G868,"-"," ",LEN($G868)-LEN(SUBSTITUTE($G868,"-",""))),"-"," ",LEN($G868)-LEN(SUBSTITUTE($G868,"-",""))-1),".",""))))),$G868)))</f>
        <v/>
      </c>
    </row>
    <row r="869">
      <c r="A869" s="58" t="n"/>
      <c r="B869" s="58">
        <f>IF($H869="","",LEFT($H869,FIND(" ",$H869&amp;" ")-1))</f>
        <v/>
      </c>
      <c r="C869" s="58">
        <f>IF($H869="","",IFERROR(MID($H869&amp;" ",FIND("|",SUBSTITUTE($H869&amp;" "," ","|",1))+1,FIND("|",SUBSTITUTE($H869&amp;" "," ","|",2))-FIND("|",SUBSTITUTE($H869&amp;" "," ","|",1))-1),""))</f>
        <v/>
      </c>
      <c r="D869" s="58">
        <f>IF($H869="","",IFERROR(MID($H869&amp;" ",FIND("|",SUBSTITUTE($H869&amp;" "," ","|",2))+1,FIND("|",SUBSTITUTE($H869&amp;" "," ","|",3))-FIND("|",SUBSTITUTE($H869&amp;" "," ","|",2))-1),""))</f>
        <v/>
      </c>
      <c r="E869" s="58">
        <f>IF($H869="","",IFERROR(MID($H869&amp;" ",FIND("|",SUBSTITUTE($H869&amp;" "," ","|",3))+1,FIND("|",SUBSTITUTE($H869&amp;" "," ","|",4))-FIND("|",SUBSTITUTE($H869&amp;" "," ","|",3))-1),""))</f>
        <v/>
      </c>
      <c r="F869" s="59">
        <f>IF($H869="","",IFERROR(VALUE(IFERROR(MID($H869&amp;" ",FIND("|",SUBSTITUTE($H869&amp;" "," ","|",4))+1,FIND("|",SUBSTITUTE($H869&amp;" "," ","|",5))-FIND("|",SUBSTITUTE($H869&amp;" "," ","|",4))-1),""))/86400+25569+9/24,""))</f>
        <v/>
      </c>
      <c r="G869" s="58">
        <f>TRIM(SUBSTITUTE(SUBSTITUTE(SUBSTITUTE($A869,CHAR(9)," ")," "," "),CHAR(13),""))</f>
        <v/>
      </c>
      <c r="H869" s="58">
        <f>IF($G869="","",IF(ISNUMBER(FIND(" ",$G869)),$G869,IFERROR(IF((LEN(SUBSTITUTE(SUBSTITUTE($G869,"-"," ",LEN($G869)-LEN(SUBSTITUTE($G869,"-",""))),"-"," ",LEN($G869)-LEN(SUBSTITUTE($G869,"-",""))-1))-LEN(SUBSTITUTE(SUBSTITUTE(SUBSTITUTE($G869,"-"," ",LEN($G869)-LEN(SUBSTITUTE($G869,"-",""))),"-"," ",LEN($G869)-LEN(SUBSTITUTE($G869,"-",""))-1),".","")))=0,SUBSTITUTE(SUBSTITUTE($G869,"-"," ",LEN($G869)-LEN(SUBSTITUTE($G869,"-",""))),"-"," ",LEN($G869)-LEN(SUBSTITUTE($G869,"-",""))-1),SUBSTITUTE(SUBSTITUTE(SUBSTITUTE($G869,"-"," ",LEN($G869)-LEN(SUBSTITUTE($G869,"-",""))),"-"," ",LEN($G869)-LEN(SUBSTITUTE($G869,"-",""))-1),"."," ",(LEN(SUBSTITUTE(SUBSTITUTE($G869,"-"," ",LEN($G869)-LEN(SUBSTITUTE($G869,"-",""))),"-"," ",LEN($G869)-LEN(SUBSTITUTE($G869,"-",""))-1))-LEN(SUBSTITUTE(SUBSTITUTE(SUBSTITUTE($G869,"-"," ",LEN($G869)-LEN(SUBSTITUTE($G869,"-",""))),"-"," ",LEN($G869)-LEN(SUBSTITUTE($G869,"-",""))-1),".",""))))),$G869)))</f>
        <v/>
      </c>
    </row>
    <row r="870">
      <c r="A870" s="58" t="n"/>
      <c r="B870" s="58">
        <f>IF($H870="","",LEFT($H870,FIND(" ",$H870&amp;" ")-1))</f>
        <v/>
      </c>
      <c r="C870" s="58">
        <f>IF($H870="","",IFERROR(MID($H870&amp;" ",FIND("|",SUBSTITUTE($H870&amp;" "," ","|",1))+1,FIND("|",SUBSTITUTE($H870&amp;" "," ","|",2))-FIND("|",SUBSTITUTE($H870&amp;" "," ","|",1))-1),""))</f>
        <v/>
      </c>
      <c r="D870" s="58">
        <f>IF($H870="","",IFERROR(MID($H870&amp;" ",FIND("|",SUBSTITUTE($H870&amp;" "," ","|",2))+1,FIND("|",SUBSTITUTE($H870&amp;" "," ","|",3))-FIND("|",SUBSTITUTE($H870&amp;" "," ","|",2))-1),""))</f>
        <v/>
      </c>
      <c r="E870" s="58">
        <f>IF($H870="","",IFERROR(MID($H870&amp;" ",FIND("|",SUBSTITUTE($H870&amp;" "," ","|",3))+1,FIND("|",SUBSTITUTE($H870&amp;" "," ","|",4))-FIND("|",SUBSTITUTE($H870&amp;" "," ","|",3))-1),""))</f>
        <v/>
      </c>
      <c r="F870" s="59">
        <f>IF($H870="","",IFERROR(VALUE(IFERROR(MID($H870&amp;" ",FIND("|",SUBSTITUTE($H870&amp;" "," ","|",4))+1,FIND("|",SUBSTITUTE($H870&amp;" "," ","|",5))-FIND("|",SUBSTITUTE($H870&amp;" "," ","|",4))-1),""))/86400+25569+9/24,""))</f>
        <v/>
      </c>
      <c r="G870" s="58">
        <f>TRIM(SUBSTITUTE(SUBSTITUTE(SUBSTITUTE($A870,CHAR(9)," ")," "," "),CHAR(13),""))</f>
        <v/>
      </c>
      <c r="H870" s="58">
        <f>IF($G870="","",IF(ISNUMBER(FIND(" ",$G870)),$G870,IFERROR(IF((LEN(SUBSTITUTE(SUBSTITUTE($G870,"-"," ",LEN($G870)-LEN(SUBSTITUTE($G870,"-",""))),"-"," ",LEN($G870)-LEN(SUBSTITUTE($G870,"-",""))-1))-LEN(SUBSTITUTE(SUBSTITUTE(SUBSTITUTE($G870,"-"," ",LEN($G870)-LEN(SUBSTITUTE($G870,"-",""))),"-"," ",LEN($G870)-LEN(SUBSTITUTE($G870,"-",""))-1),".","")))=0,SUBSTITUTE(SUBSTITUTE($G870,"-"," ",LEN($G870)-LEN(SUBSTITUTE($G870,"-",""))),"-"," ",LEN($G870)-LEN(SUBSTITUTE($G870,"-",""))-1),SUBSTITUTE(SUBSTITUTE(SUBSTITUTE($G870,"-"," ",LEN($G870)-LEN(SUBSTITUTE($G870,"-",""))),"-"," ",LEN($G870)-LEN(SUBSTITUTE($G870,"-",""))-1),"."," ",(LEN(SUBSTITUTE(SUBSTITUTE($G870,"-"," ",LEN($G870)-LEN(SUBSTITUTE($G870,"-",""))),"-"," ",LEN($G870)-LEN(SUBSTITUTE($G870,"-",""))-1))-LEN(SUBSTITUTE(SUBSTITUTE(SUBSTITUTE($G870,"-"," ",LEN($G870)-LEN(SUBSTITUTE($G870,"-",""))),"-"," ",LEN($G870)-LEN(SUBSTITUTE($G870,"-",""))-1),".",""))))),$G870)))</f>
        <v/>
      </c>
    </row>
    <row r="871">
      <c r="A871" s="58" t="n"/>
      <c r="B871" s="58">
        <f>IF($H871="","",LEFT($H871,FIND(" ",$H871&amp;" ")-1))</f>
        <v/>
      </c>
      <c r="C871" s="58">
        <f>IF($H871="","",IFERROR(MID($H871&amp;" ",FIND("|",SUBSTITUTE($H871&amp;" "," ","|",1))+1,FIND("|",SUBSTITUTE($H871&amp;" "," ","|",2))-FIND("|",SUBSTITUTE($H871&amp;" "," ","|",1))-1),""))</f>
        <v/>
      </c>
      <c r="D871" s="58">
        <f>IF($H871="","",IFERROR(MID($H871&amp;" ",FIND("|",SUBSTITUTE($H871&amp;" "," ","|",2))+1,FIND("|",SUBSTITUTE($H871&amp;" "," ","|",3))-FIND("|",SUBSTITUTE($H871&amp;" "," ","|",2))-1),""))</f>
        <v/>
      </c>
      <c r="E871" s="58">
        <f>IF($H871="","",IFERROR(MID($H871&amp;" ",FIND("|",SUBSTITUTE($H871&amp;" "," ","|",3))+1,FIND("|",SUBSTITUTE($H871&amp;" "," ","|",4))-FIND("|",SUBSTITUTE($H871&amp;" "," ","|",3))-1),""))</f>
        <v/>
      </c>
      <c r="F871" s="59">
        <f>IF($H871="","",IFERROR(VALUE(IFERROR(MID($H871&amp;" ",FIND("|",SUBSTITUTE($H871&amp;" "," ","|",4))+1,FIND("|",SUBSTITUTE($H871&amp;" "," ","|",5))-FIND("|",SUBSTITUTE($H871&amp;" "," ","|",4))-1),""))/86400+25569+9/24,""))</f>
        <v/>
      </c>
      <c r="G871" s="58">
        <f>TRIM(SUBSTITUTE(SUBSTITUTE(SUBSTITUTE($A871,CHAR(9)," ")," "," "),CHAR(13),""))</f>
        <v/>
      </c>
      <c r="H871" s="58">
        <f>IF($G871="","",IF(ISNUMBER(FIND(" ",$G871)),$G871,IFERROR(IF((LEN(SUBSTITUTE(SUBSTITUTE($G871,"-"," ",LEN($G871)-LEN(SUBSTITUTE($G871,"-",""))),"-"," ",LEN($G871)-LEN(SUBSTITUTE($G871,"-",""))-1))-LEN(SUBSTITUTE(SUBSTITUTE(SUBSTITUTE($G871,"-"," ",LEN($G871)-LEN(SUBSTITUTE($G871,"-",""))),"-"," ",LEN($G871)-LEN(SUBSTITUTE($G871,"-",""))-1),".","")))=0,SUBSTITUTE(SUBSTITUTE($G871,"-"," ",LEN($G871)-LEN(SUBSTITUTE($G871,"-",""))),"-"," ",LEN($G871)-LEN(SUBSTITUTE($G871,"-",""))-1),SUBSTITUTE(SUBSTITUTE(SUBSTITUTE($G871,"-"," ",LEN($G871)-LEN(SUBSTITUTE($G871,"-",""))),"-"," ",LEN($G871)-LEN(SUBSTITUTE($G871,"-",""))-1),"."," ",(LEN(SUBSTITUTE(SUBSTITUTE($G871,"-"," ",LEN($G871)-LEN(SUBSTITUTE($G871,"-",""))),"-"," ",LEN($G871)-LEN(SUBSTITUTE($G871,"-",""))-1))-LEN(SUBSTITUTE(SUBSTITUTE(SUBSTITUTE($G871,"-"," ",LEN($G871)-LEN(SUBSTITUTE($G871,"-",""))),"-"," ",LEN($G871)-LEN(SUBSTITUTE($G871,"-",""))-1),".",""))))),$G871)))</f>
        <v/>
      </c>
    </row>
    <row r="872">
      <c r="A872" s="58" t="n"/>
      <c r="B872" s="58">
        <f>IF($H872="","",LEFT($H872,FIND(" ",$H872&amp;" ")-1))</f>
        <v/>
      </c>
      <c r="C872" s="58">
        <f>IF($H872="","",IFERROR(MID($H872&amp;" ",FIND("|",SUBSTITUTE($H872&amp;" "," ","|",1))+1,FIND("|",SUBSTITUTE($H872&amp;" "," ","|",2))-FIND("|",SUBSTITUTE($H872&amp;" "," ","|",1))-1),""))</f>
        <v/>
      </c>
      <c r="D872" s="58">
        <f>IF($H872="","",IFERROR(MID($H872&amp;" ",FIND("|",SUBSTITUTE($H872&amp;" "," ","|",2))+1,FIND("|",SUBSTITUTE($H872&amp;" "," ","|",3))-FIND("|",SUBSTITUTE($H872&amp;" "," ","|",2))-1),""))</f>
        <v/>
      </c>
      <c r="E872" s="58">
        <f>IF($H872="","",IFERROR(MID($H872&amp;" ",FIND("|",SUBSTITUTE($H872&amp;" "," ","|",3))+1,FIND("|",SUBSTITUTE($H872&amp;" "," ","|",4))-FIND("|",SUBSTITUTE($H872&amp;" "," ","|",3))-1),""))</f>
        <v/>
      </c>
      <c r="F872" s="59">
        <f>IF($H872="","",IFERROR(VALUE(IFERROR(MID($H872&amp;" ",FIND("|",SUBSTITUTE($H872&amp;" "," ","|",4))+1,FIND("|",SUBSTITUTE($H872&amp;" "," ","|",5))-FIND("|",SUBSTITUTE($H872&amp;" "," ","|",4))-1),""))/86400+25569+9/24,""))</f>
        <v/>
      </c>
      <c r="G872" s="58">
        <f>TRIM(SUBSTITUTE(SUBSTITUTE(SUBSTITUTE($A872,CHAR(9)," ")," "," "),CHAR(13),""))</f>
        <v/>
      </c>
      <c r="H872" s="58">
        <f>IF($G872="","",IF(ISNUMBER(FIND(" ",$G872)),$G872,IFERROR(IF((LEN(SUBSTITUTE(SUBSTITUTE($G872,"-"," ",LEN($G872)-LEN(SUBSTITUTE($G872,"-",""))),"-"," ",LEN($G872)-LEN(SUBSTITUTE($G872,"-",""))-1))-LEN(SUBSTITUTE(SUBSTITUTE(SUBSTITUTE($G872,"-"," ",LEN($G872)-LEN(SUBSTITUTE($G872,"-",""))),"-"," ",LEN($G872)-LEN(SUBSTITUTE($G872,"-",""))-1),".","")))=0,SUBSTITUTE(SUBSTITUTE($G872,"-"," ",LEN($G872)-LEN(SUBSTITUTE($G872,"-",""))),"-"," ",LEN($G872)-LEN(SUBSTITUTE($G872,"-",""))-1),SUBSTITUTE(SUBSTITUTE(SUBSTITUTE($G872,"-"," ",LEN($G872)-LEN(SUBSTITUTE($G872,"-",""))),"-"," ",LEN($G872)-LEN(SUBSTITUTE($G872,"-",""))-1),"."," ",(LEN(SUBSTITUTE(SUBSTITUTE($G872,"-"," ",LEN($G872)-LEN(SUBSTITUTE($G872,"-",""))),"-"," ",LEN($G872)-LEN(SUBSTITUTE($G872,"-",""))-1))-LEN(SUBSTITUTE(SUBSTITUTE(SUBSTITUTE($G872,"-"," ",LEN($G872)-LEN(SUBSTITUTE($G872,"-",""))),"-"," ",LEN($G872)-LEN(SUBSTITUTE($G872,"-",""))-1),".",""))))),$G872)))</f>
        <v/>
      </c>
    </row>
    <row r="873">
      <c r="A873" s="58" t="n"/>
      <c r="B873" s="58">
        <f>IF($H873="","",LEFT($H873,FIND(" ",$H873&amp;" ")-1))</f>
        <v/>
      </c>
      <c r="C873" s="58">
        <f>IF($H873="","",IFERROR(MID($H873&amp;" ",FIND("|",SUBSTITUTE($H873&amp;" "," ","|",1))+1,FIND("|",SUBSTITUTE($H873&amp;" "," ","|",2))-FIND("|",SUBSTITUTE($H873&amp;" "," ","|",1))-1),""))</f>
        <v/>
      </c>
      <c r="D873" s="58">
        <f>IF($H873="","",IFERROR(MID($H873&amp;" ",FIND("|",SUBSTITUTE($H873&amp;" "," ","|",2))+1,FIND("|",SUBSTITUTE($H873&amp;" "," ","|",3))-FIND("|",SUBSTITUTE($H873&amp;" "," ","|",2))-1),""))</f>
        <v/>
      </c>
      <c r="E873" s="58">
        <f>IF($H873="","",IFERROR(MID($H873&amp;" ",FIND("|",SUBSTITUTE($H873&amp;" "," ","|",3))+1,FIND("|",SUBSTITUTE($H873&amp;" "," ","|",4))-FIND("|",SUBSTITUTE($H873&amp;" "," ","|",3))-1),""))</f>
        <v/>
      </c>
      <c r="F873" s="59">
        <f>IF($H873="","",IFERROR(VALUE(IFERROR(MID($H873&amp;" ",FIND("|",SUBSTITUTE($H873&amp;" "," ","|",4))+1,FIND("|",SUBSTITUTE($H873&amp;" "," ","|",5))-FIND("|",SUBSTITUTE($H873&amp;" "," ","|",4))-1),""))/86400+25569+9/24,""))</f>
        <v/>
      </c>
      <c r="G873" s="58">
        <f>TRIM(SUBSTITUTE(SUBSTITUTE(SUBSTITUTE($A873,CHAR(9)," ")," "," "),CHAR(13),""))</f>
        <v/>
      </c>
      <c r="H873" s="58">
        <f>IF($G873="","",IF(ISNUMBER(FIND(" ",$G873)),$G873,IFERROR(IF((LEN(SUBSTITUTE(SUBSTITUTE($G873,"-"," ",LEN($G873)-LEN(SUBSTITUTE($G873,"-",""))),"-"," ",LEN($G873)-LEN(SUBSTITUTE($G873,"-",""))-1))-LEN(SUBSTITUTE(SUBSTITUTE(SUBSTITUTE($G873,"-"," ",LEN($G873)-LEN(SUBSTITUTE($G873,"-",""))),"-"," ",LEN($G873)-LEN(SUBSTITUTE($G873,"-",""))-1),".","")))=0,SUBSTITUTE(SUBSTITUTE($G873,"-"," ",LEN($G873)-LEN(SUBSTITUTE($G873,"-",""))),"-"," ",LEN($G873)-LEN(SUBSTITUTE($G873,"-",""))-1),SUBSTITUTE(SUBSTITUTE(SUBSTITUTE($G873,"-"," ",LEN($G873)-LEN(SUBSTITUTE($G873,"-",""))),"-"," ",LEN($G873)-LEN(SUBSTITUTE($G873,"-",""))-1),"."," ",(LEN(SUBSTITUTE(SUBSTITUTE($G873,"-"," ",LEN($G873)-LEN(SUBSTITUTE($G873,"-",""))),"-"," ",LEN($G873)-LEN(SUBSTITUTE($G873,"-",""))-1))-LEN(SUBSTITUTE(SUBSTITUTE(SUBSTITUTE($G873,"-"," ",LEN($G873)-LEN(SUBSTITUTE($G873,"-",""))),"-"," ",LEN($G873)-LEN(SUBSTITUTE($G873,"-",""))-1),".",""))))),$G873)))</f>
        <v/>
      </c>
    </row>
    <row r="874">
      <c r="A874" s="58" t="n"/>
      <c r="B874" s="58">
        <f>IF($H874="","",LEFT($H874,FIND(" ",$H874&amp;" ")-1))</f>
        <v/>
      </c>
      <c r="C874" s="58">
        <f>IF($H874="","",IFERROR(MID($H874&amp;" ",FIND("|",SUBSTITUTE($H874&amp;" "," ","|",1))+1,FIND("|",SUBSTITUTE($H874&amp;" "," ","|",2))-FIND("|",SUBSTITUTE($H874&amp;" "," ","|",1))-1),""))</f>
        <v/>
      </c>
      <c r="D874" s="58">
        <f>IF($H874="","",IFERROR(MID($H874&amp;" ",FIND("|",SUBSTITUTE($H874&amp;" "," ","|",2))+1,FIND("|",SUBSTITUTE($H874&amp;" "," ","|",3))-FIND("|",SUBSTITUTE($H874&amp;" "," ","|",2))-1),""))</f>
        <v/>
      </c>
      <c r="E874" s="58">
        <f>IF($H874="","",IFERROR(MID($H874&amp;" ",FIND("|",SUBSTITUTE($H874&amp;" "," ","|",3))+1,FIND("|",SUBSTITUTE($H874&amp;" "," ","|",4))-FIND("|",SUBSTITUTE($H874&amp;" "," ","|",3))-1),""))</f>
        <v/>
      </c>
      <c r="F874" s="59">
        <f>IF($H874="","",IFERROR(VALUE(IFERROR(MID($H874&amp;" ",FIND("|",SUBSTITUTE($H874&amp;" "," ","|",4))+1,FIND("|",SUBSTITUTE($H874&amp;" "," ","|",5))-FIND("|",SUBSTITUTE($H874&amp;" "," ","|",4))-1),""))/86400+25569+9/24,""))</f>
        <v/>
      </c>
      <c r="G874" s="58">
        <f>TRIM(SUBSTITUTE(SUBSTITUTE(SUBSTITUTE($A874,CHAR(9)," ")," "," "),CHAR(13),""))</f>
        <v/>
      </c>
      <c r="H874" s="58">
        <f>IF($G874="","",IF(ISNUMBER(FIND(" ",$G874)),$G874,IFERROR(IF((LEN(SUBSTITUTE(SUBSTITUTE($G874,"-"," ",LEN($G874)-LEN(SUBSTITUTE($G874,"-",""))),"-"," ",LEN($G874)-LEN(SUBSTITUTE($G874,"-",""))-1))-LEN(SUBSTITUTE(SUBSTITUTE(SUBSTITUTE($G874,"-"," ",LEN($G874)-LEN(SUBSTITUTE($G874,"-",""))),"-"," ",LEN($G874)-LEN(SUBSTITUTE($G874,"-",""))-1),".","")))=0,SUBSTITUTE(SUBSTITUTE($G874,"-"," ",LEN($G874)-LEN(SUBSTITUTE($G874,"-",""))),"-"," ",LEN($G874)-LEN(SUBSTITUTE($G874,"-",""))-1),SUBSTITUTE(SUBSTITUTE(SUBSTITUTE($G874,"-"," ",LEN($G874)-LEN(SUBSTITUTE($G874,"-",""))),"-"," ",LEN($G874)-LEN(SUBSTITUTE($G874,"-",""))-1),"."," ",(LEN(SUBSTITUTE(SUBSTITUTE($G874,"-"," ",LEN($G874)-LEN(SUBSTITUTE($G874,"-",""))),"-"," ",LEN($G874)-LEN(SUBSTITUTE($G874,"-",""))-1))-LEN(SUBSTITUTE(SUBSTITUTE(SUBSTITUTE($G874,"-"," ",LEN($G874)-LEN(SUBSTITUTE($G874,"-",""))),"-"," ",LEN($G874)-LEN(SUBSTITUTE($G874,"-",""))-1),".",""))))),$G874)))</f>
        <v/>
      </c>
    </row>
    <row r="875">
      <c r="A875" s="58" t="n"/>
      <c r="B875" s="58">
        <f>IF($H875="","",LEFT($H875,FIND(" ",$H875&amp;" ")-1))</f>
        <v/>
      </c>
      <c r="C875" s="58">
        <f>IF($H875="","",IFERROR(MID($H875&amp;" ",FIND("|",SUBSTITUTE($H875&amp;" "," ","|",1))+1,FIND("|",SUBSTITUTE($H875&amp;" "," ","|",2))-FIND("|",SUBSTITUTE($H875&amp;" "," ","|",1))-1),""))</f>
        <v/>
      </c>
      <c r="D875" s="58">
        <f>IF($H875="","",IFERROR(MID($H875&amp;" ",FIND("|",SUBSTITUTE($H875&amp;" "," ","|",2))+1,FIND("|",SUBSTITUTE($H875&amp;" "," ","|",3))-FIND("|",SUBSTITUTE($H875&amp;" "," ","|",2))-1),""))</f>
        <v/>
      </c>
      <c r="E875" s="58">
        <f>IF($H875="","",IFERROR(MID($H875&amp;" ",FIND("|",SUBSTITUTE($H875&amp;" "," ","|",3))+1,FIND("|",SUBSTITUTE($H875&amp;" "," ","|",4))-FIND("|",SUBSTITUTE($H875&amp;" "," ","|",3))-1),""))</f>
        <v/>
      </c>
      <c r="F875" s="59">
        <f>IF($H875="","",IFERROR(VALUE(IFERROR(MID($H875&amp;" ",FIND("|",SUBSTITUTE($H875&amp;" "," ","|",4))+1,FIND("|",SUBSTITUTE($H875&amp;" "," ","|",5))-FIND("|",SUBSTITUTE($H875&amp;" "," ","|",4))-1),""))/86400+25569+9/24,""))</f>
        <v/>
      </c>
      <c r="G875" s="58">
        <f>TRIM(SUBSTITUTE(SUBSTITUTE(SUBSTITUTE($A875,CHAR(9)," ")," "," "),CHAR(13),""))</f>
        <v/>
      </c>
      <c r="H875" s="58">
        <f>IF($G875="","",IF(ISNUMBER(FIND(" ",$G875)),$G875,IFERROR(IF((LEN(SUBSTITUTE(SUBSTITUTE($G875,"-"," ",LEN($G875)-LEN(SUBSTITUTE($G875,"-",""))),"-"," ",LEN($G875)-LEN(SUBSTITUTE($G875,"-",""))-1))-LEN(SUBSTITUTE(SUBSTITUTE(SUBSTITUTE($G875,"-"," ",LEN($G875)-LEN(SUBSTITUTE($G875,"-",""))),"-"," ",LEN($G875)-LEN(SUBSTITUTE($G875,"-",""))-1),".","")))=0,SUBSTITUTE(SUBSTITUTE($G875,"-"," ",LEN($G875)-LEN(SUBSTITUTE($G875,"-",""))),"-"," ",LEN($G875)-LEN(SUBSTITUTE($G875,"-",""))-1),SUBSTITUTE(SUBSTITUTE(SUBSTITUTE($G875,"-"," ",LEN($G875)-LEN(SUBSTITUTE($G875,"-",""))),"-"," ",LEN($G875)-LEN(SUBSTITUTE($G875,"-",""))-1),"."," ",(LEN(SUBSTITUTE(SUBSTITUTE($G875,"-"," ",LEN($G875)-LEN(SUBSTITUTE($G875,"-",""))),"-"," ",LEN($G875)-LEN(SUBSTITUTE($G875,"-",""))-1))-LEN(SUBSTITUTE(SUBSTITUTE(SUBSTITUTE($G875,"-"," ",LEN($G875)-LEN(SUBSTITUTE($G875,"-",""))),"-"," ",LEN($G875)-LEN(SUBSTITUTE($G875,"-",""))-1),".",""))))),$G875)))</f>
        <v/>
      </c>
    </row>
    <row r="876">
      <c r="A876" s="58" t="n"/>
      <c r="B876" s="58">
        <f>IF($H876="","",LEFT($H876,FIND(" ",$H876&amp;" ")-1))</f>
        <v/>
      </c>
      <c r="C876" s="58">
        <f>IF($H876="","",IFERROR(MID($H876&amp;" ",FIND("|",SUBSTITUTE($H876&amp;" "," ","|",1))+1,FIND("|",SUBSTITUTE($H876&amp;" "," ","|",2))-FIND("|",SUBSTITUTE($H876&amp;" "," ","|",1))-1),""))</f>
        <v/>
      </c>
      <c r="D876" s="58">
        <f>IF($H876="","",IFERROR(MID($H876&amp;" ",FIND("|",SUBSTITUTE($H876&amp;" "," ","|",2))+1,FIND("|",SUBSTITUTE($H876&amp;" "," ","|",3))-FIND("|",SUBSTITUTE($H876&amp;" "," ","|",2))-1),""))</f>
        <v/>
      </c>
      <c r="E876" s="58">
        <f>IF($H876="","",IFERROR(MID($H876&amp;" ",FIND("|",SUBSTITUTE($H876&amp;" "," ","|",3))+1,FIND("|",SUBSTITUTE($H876&amp;" "," ","|",4))-FIND("|",SUBSTITUTE($H876&amp;" "," ","|",3))-1),""))</f>
        <v/>
      </c>
      <c r="F876" s="59">
        <f>IF($H876="","",IFERROR(VALUE(IFERROR(MID($H876&amp;" ",FIND("|",SUBSTITUTE($H876&amp;" "," ","|",4))+1,FIND("|",SUBSTITUTE($H876&amp;" "," ","|",5))-FIND("|",SUBSTITUTE($H876&amp;" "," ","|",4))-1),""))/86400+25569+9/24,""))</f>
        <v/>
      </c>
      <c r="G876" s="58">
        <f>TRIM(SUBSTITUTE(SUBSTITUTE(SUBSTITUTE($A876,CHAR(9)," ")," "," "),CHAR(13),""))</f>
        <v/>
      </c>
      <c r="H876" s="58">
        <f>IF($G876="","",IF(ISNUMBER(FIND(" ",$G876)),$G876,IFERROR(IF((LEN(SUBSTITUTE(SUBSTITUTE($G876,"-"," ",LEN($G876)-LEN(SUBSTITUTE($G876,"-",""))),"-"," ",LEN($G876)-LEN(SUBSTITUTE($G876,"-",""))-1))-LEN(SUBSTITUTE(SUBSTITUTE(SUBSTITUTE($G876,"-"," ",LEN($G876)-LEN(SUBSTITUTE($G876,"-",""))),"-"," ",LEN($G876)-LEN(SUBSTITUTE($G876,"-",""))-1),".","")))=0,SUBSTITUTE(SUBSTITUTE($G876,"-"," ",LEN($G876)-LEN(SUBSTITUTE($G876,"-",""))),"-"," ",LEN($G876)-LEN(SUBSTITUTE($G876,"-",""))-1),SUBSTITUTE(SUBSTITUTE(SUBSTITUTE($G876,"-"," ",LEN($G876)-LEN(SUBSTITUTE($G876,"-",""))),"-"," ",LEN($G876)-LEN(SUBSTITUTE($G876,"-",""))-1),"."," ",(LEN(SUBSTITUTE(SUBSTITUTE($G876,"-"," ",LEN($G876)-LEN(SUBSTITUTE($G876,"-",""))),"-"," ",LEN($G876)-LEN(SUBSTITUTE($G876,"-",""))-1))-LEN(SUBSTITUTE(SUBSTITUTE(SUBSTITUTE($G876,"-"," ",LEN($G876)-LEN(SUBSTITUTE($G876,"-",""))),"-"," ",LEN($G876)-LEN(SUBSTITUTE($G876,"-",""))-1),".",""))))),$G876)))</f>
        <v/>
      </c>
    </row>
    <row r="877">
      <c r="A877" s="58" t="n"/>
      <c r="B877" s="58">
        <f>IF($H877="","",LEFT($H877,FIND(" ",$H877&amp;" ")-1))</f>
        <v/>
      </c>
      <c r="C877" s="58">
        <f>IF($H877="","",IFERROR(MID($H877&amp;" ",FIND("|",SUBSTITUTE($H877&amp;" "," ","|",1))+1,FIND("|",SUBSTITUTE($H877&amp;" "," ","|",2))-FIND("|",SUBSTITUTE($H877&amp;" "," ","|",1))-1),""))</f>
        <v/>
      </c>
      <c r="D877" s="58">
        <f>IF($H877="","",IFERROR(MID($H877&amp;" ",FIND("|",SUBSTITUTE($H877&amp;" "," ","|",2))+1,FIND("|",SUBSTITUTE($H877&amp;" "," ","|",3))-FIND("|",SUBSTITUTE($H877&amp;" "," ","|",2))-1),""))</f>
        <v/>
      </c>
      <c r="E877" s="58">
        <f>IF($H877="","",IFERROR(MID($H877&amp;" ",FIND("|",SUBSTITUTE($H877&amp;" "," ","|",3))+1,FIND("|",SUBSTITUTE($H877&amp;" "," ","|",4))-FIND("|",SUBSTITUTE($H877&amp;" "," ","|",3))-1),""))</f>
        <v/>
      </c>
      <c r="F877" s="59">
        <f>IF($H877="","",IFERROR(VALUE(IFERROR(MID($H877&amp;" ",FIND("|",SUBSTITUTE($H877&amp;" "," ","|",4))+1,FIND("|",SUBSTITUTE($H877&amp;" "," ","|",5))-FIND("|",SUBSTITUTE($H877&amp;" "," ","|",4))-1),""))/86400+25569+9/24,""))</f>
        <v/>
      </c>
      <c r="G877" s="58">
        <f>TRIM(SUBSTITUTE(SUBSTITUTE(SUBSTITUTE($A877,CHAR(9)," ")," "," "),CHAR(13),""))</f>
        <v/>
      </c>
      <c r="H877" s="58">
        <f>IF($G877="","",IF(ISNUMBER(FIND(" ",$G877)),$G877,IFERROR(IF((LEN(SUBSTITUTE(SUBSTITUTE($G877,"-"," ",LEN($G877)-LEN(SUBSTITUTE($G877,"-",""))),"-"," ",LEN($G877)-LEN(SUBSTITUTE($G877,"-",""))-1))-LEN(SUBSTITUTE(SUBSTITUTE(SUBSTITUTE($G877,"-"," ",LEN($G877)-LEN(SUBSTITUTE($G877,"-",""))),"-"," ",LEN($G877)-LEN(SUBSTITUTE($G877,"-",""))-1),".","")))=0,SUBSTITUTE(SUBSTITUTE($G877,"-"," ",LEN($G877)-LEN(SUBSTITUTE($G877,"-",""))),"-"," ",LEN($G877)-LEN(SUBSTITUTE($G877,"-",""))-1),SUBSTITUTE(SUBSTITUTE(SUBSTITUTE($G877,"-"," ",LEN($G877)-LEN(SUBSTITUTE($G877,"-",""))),"-"," ",LEN($G877)-LEN(SUBSTITUTE($G877,"-",""))-1),"."," ",(LEN(SUBSTITUTE(SUBSTITUTE($G877,"-"," ",LEN($G877)-LEN(SUBSTITUTE($G877,"-",""))),"-"," ",LEN($G877)-LEN(SUBSTITUTE($G877,"-",""))-1))-LEN(SUBSTITUTE(SUBSTITUTE(SUBSTITUTE($G877,"-"," ",LEN($G877)-LEN(SUBSTITUTE($G877,"-",""))),"-"," ",LEN($G877)-LEN(SUBSTITUTE($G877,"-",""))-1),".",""))))),$G877)))</f>
        <v/>
      </c>
    </row>
    <row r="878">
      <c r="A878" s="58" t="n"/>
      <c r="B878" s="58">
        <f>IF($H878="","",LEFT($H878,FIND(" ",$H878&amp;" ")-1))</f>
        <v/>
      </c>
      <c r="C878" s="58">
        <f>IF($H878="","",IFERROR(MID($H878&amp;" ",FIND("|",SUBSTITUTE($H878&amp;" "," ","|",1))+1,FIND("|",SUBSTITUTE($H878&amp;" "," ","|",2))-FIND("|",SUBSTITUTE($H878&amp;" "," ","|",1))-1),""))</f>
        <v/>
      </c>
      <c r="D878" s="58">
        <f>IF($H878="","",IFERROR(MID($H878&amp;" ",FIND("|",SUBSTITUTE($H878&amp;" "," ","|",2))+1,FIND("|",SUBSTITUTE($H878&amp;" "," ","|",3))-FIND("|",SUBSTITUTE($H878&amp;" "," ","|",2))-1),""))</f>
        <v/>
      </c>
      <c r="E878" s="58">
        <f>IF($H878="","",IFERROR(MID($H878&amp;" ",FIND("|",SUBSTITUTE($H878&amp;" "," ","|",3))+1,FIND("|",SUBSTITUTE($H878&amp;" "," ","|",4))-FIND("|",SUBSTITUTE($H878&amp;" "," ","|",3))-1),""))</f>
        <v/>
      </c>
      <c r="F878" s="59">
        <f>IF($H878="","",IFERROR(VALUE(IFERROR(MID($H878&amp;" ",FIND("|",SUBSTITUTE($H878&amp;" "," ","|",4))+1,FIND("|",SUBSTITUTE($H878&amp;" "," ","|",5))-FIND("|",SUBSTITUTE($H878&amp;" "," ","|",4))-1),""))/86400+25569+9/24,""))</f>
        <v/>
      </c>
      <c r="G878" s="58">
        <f>TRIM(SUBSTITUTE(SUBSTITUTE(SUBSTITUTE($A878,CHAR(9)," ")," "," "),CHAR(13),""))</f>
        <v/>
      </c>
      <c r="H878" s="58">
        <f>IF($G878="","",IF(ISNUMBER(FIND(" ",$G878)),$G878,IFERROR(IF((LEN(SUBSTITUTE(SUBSTITUTE($G878,"-"," ",LEN($G878)-LEN(SUBSTITUTE($G878,"-",""))),"-"," ",LEN($G878)-LEN(SUBSTITUTE($G878,"-",""))-1))-LEN(SUBSTITUTE(SUBSTITUTE(SUBSTITUTE($G878,"-"," ",LEN($G878)-LEN(SUBSTITUTE($G878,"-",""))),"-"," ",LEN($G878)-LEN(SUBSTITUTE($G878,"-",""))-1),".","")))=0,SUBSTITUTE(SUBSTITUTE($G878,"-"," ",LEN($G878)-LEN(SUBSTITUTE($G878,"-",""))),"-"," ",LEN($G878)-LEN(SUBSTITUTE($G878,"-",""))-1),SUBSTITUTE(SUBSTITUTE(SUBSTITUTE($G878,"-"," ",LEN($G878)-LEN(SUBSTITUTE($G878,"-",""))),"-"," ",LEN($G878)-LEN(SUBSTITUTE($G878,"-",""))-1),"."," ",(LEN(SUBSTITUTE(SUBSTITUTE($G878,"-"," ",LEN($G878)-LEN(SUBSTITUTE($G878,"-",""))),"-"," ",LEN($G878)-LEN(SUBSTITUTE($G878,"-",""))-1))-LEN(SUBSTITUTE(SUBSTITUTE(SUBSTITUTE($G878,"-"," ",LEN($G878)-LEN(SUBSTITUTE($G878,"-",""))),"-"," ",LEN($G878)-LEN(SUBSTITUTE($G878,"-",""))-1),".",""))))),$G878)))</f>
        <v/>
      </c>
    </row>
    <row r="879">
      <c r="A879" s="58" t="n"/>
      <c r="B879" s="58">
        <f>IF($H879="","",LEFT($H879,FIND(" ",$H879&amp;" ")-1))</f>
        <v/>
      </c>
      <c r="C879" s="58">
        <f>IF($H879="","",IFERROR(MID($H879&amp;" ",FIND("|",SUBSTITUTE($H879&amp;" "," ","|",1))+1,FIND("|",SUBSTITUTE($H879&amp;" "," ","|",2))-FIND("|",SUBSTITUTE($H879&amp;" "," ","|",1))-1),""))</f>
        <v/>
      </c>
      <c r="D879" s="58">
        <f>IF($H879="","",IFERROR(MID($H879&amp;" ",FIND("|",SUBSTITUTE($H879&amp;" "," ","|",2))+1,FIND("|",SUBSTITUTE($H879&amp;" "," ","|",3))-FIND("|",SUBSTITUTE($H879&amp;" "," ","|",2))-1),""))</f>
        <v/>
      </c>
      <c r="E879" s="58">
        <f>IF($H879="","",IFERROR(MID($H879&amp;" ",FIND("|",SUBSTITUTE($H879&amp;" "," ","|",3))+1,FIND("|",SUBSTITUTE($H879&amp;" "," ","|",4))-FIND("|",SUBSTITUTE($H879&amp;" "," ","|",3))-1),""))</f>
        <v/>
      </c>
      <c r="F879" s="59">
        <f>IF($H879="","",IFERROR(VALUE(IFERROR(MID($H879&amp;" ",FIND("|",SUBSTITUTE($H879&amp;" "," ","|",4))+1,FIND("|",SUBSTITUTE($H879&amp;" "," ","|",5))-FIND("|",SUBSTITUTE($H879&amp;" "," ","|",4))-1),""))/86400+25569+9/24,""))</f>
        <v/>
      </c>
      <c r="G879" s="58">
        <f>TRIM(SUBSTITUTE(SUBSTITUTE(SUBSTITUTE($A879,CHAR(9)," ")," "," "),CHAR(13),""))</f>
        <v/>
      </c>
      <c r="H879" s="58">
        <f>IF($G879="","",IF(ISNUMBER(FIND(" ",$G879)),$G879,IFERROR(IF((LEN(SUBSTITUTE(SUBSTITUTE($G879,"-"," ",LEN($G879)-LEN(SUBSTITUTE($G879,"-",""))),"-"," ",LEN($G879)-LEN(SUBSTITUTE($G879,"-",""))-1))-LEN(SUBSTITUTE(SUBSTITUTE(SUBSTITUTE($G879,"-"," ",LEN($G879)-LEN(SUBSTITUTE($G879,"-",""))),"-"," ",LEN($G879)-LEN(SUBSTITUTE($G879,"-",""))-1),".","")))=0,SUBSTITUTE(SUBSTITUTE($G879,"-"," ",LEN($G879)-LEN(SUBSTITUTE($G879,"-",""))),"-"," ",LEN($G879)-LEN(SUBSTITUTE($G879,"-",""))-1),SUBSTITUTE(SUBSTITUTE(SUBSTITUTE($G879,"-"," ",LEN($G879)-LEN(SUBSTITUTE($G879,"-",""))),"-"," ",LEN($G879)-LEN(SUBSTITUTE($G879,"-",""))-1),"."," ",(LEN(SUBSTITUTE(SUBSTITUTE($G879,"-"," ",LEN($G879)-LEN(SUBSTITUTE($G879,"-",""))),"-"," ",LEN($G879)-LEN(SUBSTITUTE($G879,"-",""))-1))-LEN(SUBSTITUTE(SUBSTITUTE(SUBSTITUTE($G879,"-"," ",LEN($G879)-LEN(SUBSTITUTE($G879,"-",""))),"-"," ",LEN($G879)-LEN(SUBSTITUTE($G879,"-",""))-1),".",""))))),$G879)))</f>
        <v/>
      </c>
    </row>
    <row r="880">
      <c r="A880" s="58" t="n"/>
      <c r="B880" s="58">
        <f>IF($H880="","",LEFT($H880,FIND(" ",$H880&amp;" ")-1))</f>
        <v/>
      </c>
      <c r="C880" s="58">
        <f>IF($H880="","",IFERROR(MID($H880&amp;" ",FIND("|",SUBSTITUTE($H880&amp;" "," ","|",1))+1,FIND("|",SUBSTITUTE($H880&amp;" "," ","|",2))-FIND("|",SUBSTITUTE($H880&amp;" "," ","|",1))-1),""))</f>
        <v/>
      </c>
      <c r="D880" s="58">
        <f>IF($H880="","",IFERROR(MID($H880&amp;" ",FIND("|",SUBSTITUTE($H880&amp;" "," ","|",2))+1,FIND("|",SUBSTITUTE($H880&amp;" "," ","|",3))-FIND("|",SUBSTITUTE($H880&amp;" "," ","|",2))-1),""))</f>
        <v/>
      </c>
      <c r="E880" s="58">
        <f>IF($H880="","",IFERROR(MID($H880&amp;" ",FIND("|",SUBSTITUTE($H880&amp;" "," ","|",3))+1,FIND("|",SUBSTITUTE($H880&amp;" "," ","|",4))-FIND("|",SUBSTITUTE($H880&amp;" "," ","|",3))-1),""))</f>
        <v/>
      </c>
      <c r="F880" s="59">
        <f>IF($H880="","",IFERROR(VALUE(IFERROR(MID($H880&amp;" ",FIND("|",SUBSTITUTE($H880&amp;" "," ","|",4))+1,FIND("|",SUBSTITUTE($H880&amp;" "," ","|",5))-FIND("|",SUBSTITUTE($H880&amp;" "," ","|",4))-1),""))/86400+25569+9/24,""))</f>
        <v/>
      </c>
      <c r="G880" s="58">
        <f>TRIM(SUBSTITUTE(SUBSTITUTE(SUBSTITUTE($A880,CHAR(9)," ")," "," "),CHAR(13),""))</f>
        <v/>
      </c>
      <c r="H880" s="58">
        <f>IF($G880="","",IF(ISNUMBER(FIND(" ",$G880)),$G880,IFERROR(IF((LEN(SUBSTITUTE(SUBSTITUTE($G880,"-"," ",LEN($G880)-LEN(SUBSTITUTE($G880,"-",""))),"-"," ",LEN($G880)-LEN(SUBSTITUTE($G880,"-",""))-1))-LEN(SUBSTITUTE(SUBSTITUTE(SUBSTITUTE($G880,"-"," ",LEN($G880)-LEN(SUBSTITUTE($G880,"-",""))),"-"," ",LEN($G880)-LEN(SUBSTITUTE($G880,"-",""))-1),".","")))=0,SUBSTITUTE(SUBSTITUTE($G880,"-"," ",LEN($G880)-LEN(SUBSTITUTE($G880,"-",""))),"-"," ",LEN($G880)-LEN(SUBSTITUTE($G880,"-",""))-1),SUBSTITUTE(SUBSTITUTE(SUBSTITUTE($G880,"-"," ",LEN($G880)-LEN(SUBSTITUTE($G880,"-",""))),"-"," ",LEN($G880)-LEN(SUBSTITUTE($G880,"-",""))-1),"."," ",(LEN(SUBSTITUTE(SUBSTITUTE($G880,"-"," ",LEN($G880)-LEN(SUBSTITUTE($G880,"-",""))),"-"," ",LEN($G880)-LEN(SUBSTITUTE($G880,"-",""))-1))-LEN(SUBSTITUTE(SUBSTITUTE(SUBSTITUTE($G880,"-"," ",LEN($G880)-LEN(SUBSTITUTE($G880,"-",""))),"-"," ",LEN($G880)-LEN(SUBSTITUTE($G880,"-",""))-1),".",""))))),$G880)))</f>
        <v/>
      </c>
    </row>
    <row r="881">
      <c r="A881" s="58" t="n"/>
      <c r="B881" s="58">
        <f>IF($H881="","",LEFT($H881,FIND(" ",$H881&amp;" ")-1))</f>
        <v/>
      </c>
      <c r="C881" s="58">
        <f>IF($H881="","",IFERROR(MID($H881&amp;" ",FIND("|",SUBSTITUTE($H881&amp;" "," ","|",1))+1,FIND("|",SUBSTITUTE($H881&amp;" "," ","|",2))-FIND("|",SUBSTITUTE($H881&amp;" "," ","|",1))-1),""))</f>
        <v/>
      </c>
      <c r="D881" s="58">
        <f>IF($H881="","",IFERROR(MID($H881&amp;" ",FIND("|",SUBSTITUTE($H881&amp;" "," ","|",2))+1,FIND("|",SUBSTITUTE($H881&amp;" "," ","|",3))-FIND("|",SUBSTITUTE($H881&amp;" "," ","|",2))-1),""))</f>
        <v/>
      </c>
      <c r="E881" s="58">
        <f>IF($H881="","",IFERROR(MID($H881&amp;" ",FIND("|",SUBSTITUTE($H881&amp;" "," ","|",3))+1,FIND("|",SUBSTITUTE($H881&amp;" "," ","|",4))-FIND("|",SUBSTITUTE($H881&amp;" "," ","|",3))-1),""))</f>
        <v/>
      </c>
      <c r="F881" s="59">
        <f>IF($H881="","",IFERROR(VALUE(IFERROR(MID($H881&amp;" ",FIND("|",SUBSTITUTE($H881&amp;" "," ","|",4))+1,FIND("|",SUBSTITUTE($H881&amp;" "," ","|",5))-FIND("|",SUBSTITUTE($H881&amp;" "," ","|",4))-1),""))/86400+25569+9/24,""))</f>
        <v/>
      </c>
      <c r="G881" s="58">
        <f>TRIM(SUBSTITUTE(SUBSTITUTE(SUBSTITUTE($A881,CHAR(9)," ")," "," "),CHAR(13),""))</f>
        <v/>
      </c>
      <c r="H881" s="58">
        <f>IF($G881="","",IF(ISNUMBER(FIND(" ",$G881)),$G881,IFERROR(IF((LEN(SUBSTITUTE(SUBSTITUTE($G881,"-"," ",LEN($G881)-LEN(SUBSTITUTE($G881,"-",""))),"-"," ",LEN($G881)-LEN(SUBSTITUTE($G881,"-",""))-1))-LEN(SUBSTITUTE(SUBSTITUTE(SUBSTITUTE($G881,"-"," ",LEN($G881)-LEN(SUBSTITUTE($G881,"-",""))),"-"," ",LEN($G881)-LEN(SUBSTITUTE($G881,"-",""))-1),".","")))=0,SUBSTITUTE(SUBSTITUTE($G881,"-"," ",LEN($G881)-LEN(SUBSTITUTE($G881,"-",""))),"-"," ",LEN($G881)-LEN(SUBSTITUTE($G881,"-",""))-1),SUBSTITUTE(SUBSTITUTE(SUBSTITUTE($G881,"-"," ",LEN($G881)-LEN(SUBSTITUTE($G881,"-",""))),"-"," ",LEN($G881)-LEN(SUBSTITUTE($G881,"-",""))-1),"."," ",(LEN(SUBSTITUTE(SUBSTITUTE($G881,"-"," ",LEN($G881)-LEN(SUBSTITUTE($G881,"-",""))),"-"," ",LEN($G881)-LEN(SUBSTITUTE($G881,"-",""))-1))-LEN(SUBSTITUTE(SUBSTITUTE(SUBSTITUTE($G881,"-"," ",LEN($G881)-LEN(SUBSTITUTE($G881,"-",""))),"-"," ",LEN($G881)-LEN(SUBSTITUTE($G881,"-",""))-1),".",""))))),$G881)))</f>
        <v/>
      </c>
    </row>
    <row r="882">
      <c r="A882" s="58" t="n"/>
      <c r="B882" s="58">
        <f>IF($H882="","",LEFT($H882,FIND(" ",$H882&amp;" ")-1))</f>
        <v/>
      </c>
      <c r="C882" s="58">
        <f>IF($H882="","",IFERROR(MID($H882&amp;" ",FIND("|",SUBSTITUTE($H882&amp;" "," ","|",1))+1,FIND("|",SUBSTITUTE($H882&amp;" "," ","|",2))-FIND("|",SUBSTITUTE($H882&amp;" "," ","|",1))-1),""))</f>
        <v/>
      </c>
      <c r="D882" s="58">
        <f>IF($H882="","",IFERROR(MID($H882&amp;" ",FIND("|",SUBSTITUTE($H882&amp;" "," ","|",2))+1,FIND("|",SUBSTITUTE($H882&amp;" "," ","|",3))-FIND("|",SUBSTITUTE($H882&amp;" "," ","|",2))-1),""))</f>
        <v/>
      </c>
      <c r="E882" s="58">
        <f>IF($H882="","",IFERROR(MID($H882&amp;" ",FIND("|",SUBSTITUTE($H882&amp;" "," ","|",3))+1,FIND("|",SUBSTITUTE($H882&amp;" "," ","|",4))-FIND("|",SUBSTITUTE($H882&amp;" "," ","|",3))-1),""))</f>
        <v/>
      </c>
      <c r="F882" s="59">
        <f>IF($H882="","",IFERROR(VALUE(IFERROR(MID($H882&amp;" ",FIND("|",SUBSTITUTE($H882&amp;" "," ","|",4))+1,FIND("|",SUBSTITUTE($H882&amp;" "," ","|",5))-FIND("|",SUBSTITUTE($H882&amp;" "," ","|",4))-1),""))/86400+25569+9/24,""))</f>
        <v/>
      </c>
      <c r="G882" s="58">
        <f>TRIM(SUBSTITUTE(SUBSTITUTE(SUBSTITUTE($A882,CHAR(9)," ")," "," "),CHAR(13),""))</f>
        <v/>
      </c>
      <c r="H882" s="58">
        <f>IF($G882="","",IF(ISNUMBER(FIND(" ",$G882)),$G882,IFERROR(IF((LEN(SUBSTITUTE(SUBSTITUTE($G882,"-"," ",LEN($G882)-LEN(SUBSTITUTE($G882,"-",""))),"-"," ",LEN($G882)-LEN(SUBSTITUTE($G882,"-",""))-1))-LEN(SUBSTITUTE(SUBSTITUTE(SUBSTITUTE($G882,"-"," ",LEN($G882)-LEN(SUBSTITUTE($G882,"-",""))),"-"," ",LEN($G882)-LEN(SUBSTITUTE($G882,"-",""))-1),".","")))=0,SUBSTITUTE(SUBSTITUTE($G882,"-"," ",LEN($G882)-LEN(SUBSTITUTE($G882,"-",""))),"-"," ",LEN($G882)-LEN(SUBSTITUTE($G882,"-",""))-1),SUBSTITUTE(SUBSTITUTE(SUBSTITUTE($G882,"-"," ",LEN($G882)-LEN(SUBSTITUTE($G882,"-",""))),"-"," ",LEN($G882)-LEN(SUBSTITUTE($G882,"-",""))-1),"."," ",(LEN(SUBSTITUTE(SUBSTITUTE($G882,"-"," ",LEN($G882)-LEN(SUBSTITUTE($G882,"-",""))),"-"," ",LEN($G882)-LEN(SUBSTITUTE($G882,"-",""))-1))-LEN(SUBSTITUTE(SUBSTITUTE(SUBSTITUTE($G882,"-"," ",LEN($G882)-LEN(SUBSTITUTE($G882,"-",""))),"-"," ",LEN($G882)-LEN(SUBSTITUTE($G882,"-",""))-1),".",""))))),$G882)))</f>
        <v/>
      </c>
    </row>
    <row r="883">
      <c r="A883" s="58" t="n"/>
      <c r="B883" s="58">
        <f>IF($H883="","",LEFT($H883,FIND(" ",$H883&amp;" ")-1))</f>
        <v/>
      </c>
      <c r="C883" s="58">
        <f>IF($H883="","",IFERROR(MID($H883&amp;" ",FIND("|",SUBSTITUTE($H883&amp;" "," ","|",1))+1,FIND("|",SUBSTITUTE($H883&amp;" "," ","|",2))-FIND("|",SUBSTITUTE($H883&amp;" "," ","|",1))-1),""))</f>
        <v/>
      </c>
      <c r="D883" s="58">
        <f>IF($H883="","",IFERROR(MID($H883&amp;" ",FIND("|",SUBSTITUTE($H883&amp;" "," ","|",2))+1,FIND("|",SUBSTITUTE($H883&amp;" "," ","|",3))-FIND("|",SUBSTITUTE($H883&amp;" "," ","|",2))-1),""))</f>
        <v/>
      </c>
      <c r="E883" s="58">
        <f>IF($H883="","",IFERROR(MID($H883&amp;" ",FIND("|",SUBSTITUTE($H883&amp;" "," ","|",3))+1,FIND("|",SUBSTITUTE($H883&amp;" "," ","|",4))-FIND("|",SUBSTITUTE($H883&amp;" "," ","|",3))-1),""))</f>
        <v/>
      </c>
      <c r="F883" s="59">
        <f>IF($H883="","",IFERROR(VALUE(IFERROR(MID($H883&amp;" ",FIND("|",SUBSTITUTE($H883&amp;" "," ","|",4))+1,FIND("|",SUBSTITUTE($H883&amp;" "," ","|",5))-FIND("|",SUBSTITUTE($H883&amp;" "," ","|",4))-1),""))/86400+25569+9/24,""))</f>
        <v/>
      </c>
      <c r="G883" s="58">
        <f>TRIM(SUBSTITUTE(SUBSTITUTE(SUBSTITUTE($A883,CHAR(9)," ")," "," "),CHAR(13),""))</f>
        <v/>
      </c>
      <c r="H883" s="58">
        <f>IF($G883="","",IF(ISNUMBER(FIND(" ",$G883)),$G883,IFERROR(IF((LEN(SUBSTITUTE(SUBSTITUTE($G883,"-"," ",LEN($G883)-LEN(SUBSTITUTE($G883,"-",""))),"-"," ",LEN($G883)-LEN(SUBSTITUTE($G883,"-",""))-1))-LEN(SUBSTITUTE(SUBSTITUTE(SUBSTITUTE($G883,"-"," ",LEN($G883)-LEN(SUBSTITUTE($G883,"-",""))),"-"," ",LEN($G883)-LEN(SUBSTITUTE($G883,"-",""))-1),".","")))=0,SUBSTITUTE(SUBSTITUTE($G883,"-"," ",LEN($G883)-LEN(SUBSTITUTE($G883,"-",""))),"-"," ",LEN($G883)-LEN(SUBSTITUTE($G883,"-",""))-1),SUBSTITUTE(SUBSTITUTE(SUBSTITUTE($G883,"-"," ",LEN($G883)-LEN(SUBSTITUTE($G883,"-",""))),"-"," ",LEN($G883)-LEN(SUBSTITUTE($G883,"-",""))-1),"."," ",(LEN(SUBSTITUTE(SUBSTITUTE($G883,"-"," ",LEN($G883)-LEN(SUBSTITUTE($G883,"-",""))),"-"," ",LEN($G883)-LEN(SUBSTITUTE($G883,"-",""))-1))-LEN(SUBSTITUTE(SUBSTITUTE(SUBSTITUTE($G883,"-"," ",LEN($G883)-LEN(SUBSTITUTE($G883,"-",""))),"-"," ",LEN($G883)-LEN(SUBSTITUTE($G883,"-",""))-1),".",""))))),$G883)))</f>
        <v/>
      </c>
    </row>
    <row r="884">
      <c r="A884" s="58" t="n"/>
      <c r="B884" s="58">
        <f>IF($H884="","",LEFT($H884,FIND(" ",$H884&amp;" ")-1))</f>
        <v/>
      </c>
      <c r="C884" s="58">
        <f>IF($H884="","",IFERROR(MID($H884&amp;" ",FIND("|",SUBSTITUTE($H884&amp;" "," ","|",1))+1,FIND("|",SUBSTITUTE($H884&amp;" "," ","|",2))-FIND("|",SUBSTITUTE($H884&amp;" "," ","|",1))-1),""))</f>
        <v/>
      </c>
      <c r="D884" s="58">
        <f>IF($H884="","",IFERROR(MID($H884&amp;" ",FIND("|",SUBSTITUTE($H884&amp;" "," ","|",2))+1,FIND("|",SUBSTITUTE($H884&amp;" "," ","|",3))-FIND("|",SUBSTITUTE($H884&amp;" "," ","|",2))-1),""))</f>
        <v/>
      </c>
      <c r="E884" s="58">
        <f>IF($H884="","",IFERROR(MID($H884&amp;" ",FIND("|",SUBSTITUTE($H884&amp;" "," ","|",3))+1,FIND("|",SUBSTITUTE($H884&amp;" "," ","|",4))-FIND("|",SUBSTITUTE($H884&amp;" "," ","|",3))-1),""))</f>
        <v/>
      </c>
      <c r="F884" s="59">
        <f>IF($H884="","",IFERROR(VALUE(IFERROR(MID($H884&amp;" ",FIND("|",SUBSTITUTE($H884&amp;" "," ","|",4))+1,FIND("|",SUBSTITUTE($H884&amp;" "," ","|",5))-FIND("|",SUBSTITUTE($H884&amp;" "," ","|",4))-1),""))/86400+25569+9/24,""))</f>
        <v/>
      </c>
      <c r="G884" s="58">
        <f>TRIM(SUBSTITUTE(SUBSTITUTE(SUBSTITUTE($A884,CHAR(9)," ")," "," "),CHAR(13),""))</f>
        <v/>
      </c>
      <c r="H884" s="58">
        <f>IF($G884="","",IF(ISNUMBER(FIND(" ",$G884)),$G884,IFERROR(IF((LEN(SUBSTITUTE(SUBSTITUTE($G884,"-"," ",LEN($G884)-LEN(SUBSTITUTE($G884,"-",""))),"-"," ",LEN($G884)-LEN(SUBSTITUTE($G884,"-",""))-1))-LEN(SUBSTITUTE(SUBSTITUTE(SUBSTITUTE($G884,"-"," ",LEN($G884)-LEN(SUBSTITUTE($G884,"-",""))),"-"," ",LEN($G884)-LEN(SUBSTITUTE($G884,"-",""))-1),".","")))=0,SUBSTITUTE(SUBSTITUTE($G884,"-"," ",LEN($G884)-LEN(SUBSTITUTE($G884,"-",""))),"-"," ",LEN($G884)-LEN(SUBSTITUTE($G884,"-",""))-1),SUBSTITUTE(SUBSTITUTE(SUBSTITUTE($G884,"-"," ",LEN($G884)-LEN(SUBSTITUTE($G884,"-",""))),"-"," ",LEN($G884)-LEN(SUBSTITUTE($G884,"-",""))-1),"."," ",(LEN(SUBSTITUTE(SUBSTITUTE($G884,"-"," ",LEN($G884)-LEN(SUBSTITUTE($G884,"-",""))),"-"," ",LEN($G884)-LEN(SUBSTITUTE($G884,"-",""))-1))-LEN(SUBSTITUTE(SUBSTITUTE(SUBSTITUTE($G884,"-"," ",LEN($G884)-LEN(SUBSTITUTE($G884,"-",""))),"-"," ",LEN($G884)-LEN(SUBSTITUTE($G884,"-",""))-1),".",""))))),$G884)))</f>
        <v/>
      </c>
    </row>
    <row r="885">
      <c r="A885" s="58" t="n"/>
      <c r="B885" s="58">
        <f>IF($H885="","",LEFT($H885,FIND(" ",$H885&amp;" ")-1))</f>
        <v/>
      </c>
      <c r="C885" s="58">
        <f>IF($H885="","",IFERROR(MID($H885&amp;" ",FIND("|",SUBSTITUTE($H885&amp;" "," ","|",1))+1,FIND("|",SUBSTITUTE($H885&amp;" "," ","|",2))-FIND("|",SUBSTITUTE($H885&amp;" "," ","|",1))-1),""))</f>
        <v/>
      </c>
      <c r="D885" s="58">
        <f>IF($H885="","",IFERROR(MID($H885&amp;" ",FIND("|",SUBSTITUTE($H885&amp;" "," ","|",2))+1,FIND("|",SUBSTITUTE($H885&amp;" "," ","|",3))-FIND("|",SUBSTITUTE($H885&amp;" "," ","|",2))-1),""))</f>
        <v/>
      </c>
      <c r="E885" s="58">
        <f>IF($H885="","",IFERROR(MID($H885&amp;" ",FIND("|",SUBSTITUTE($H885&amp;" "," ","|",3))+1,FIND("|",SUBSTITUTE($H885&amp;" "," ","|",4))-FIND("|",SUBSTITUTE($H885&amp;" "," ","|",3))-1),""))</f>
        <v/>
      </c>
      <c r="F885" s="59">
        <f>IF($H885="","",IFERROR(VALUE(IFERROR(MID($H885&amp;" ",FIND("|",SUBSTITUTE($H885&amp;" "," ","|",4))+1,FIND("|",SUBSTITUTE($H885&amp;" "," ","|",5))-FIND("|",SUBSTITUTE($H885&amp;" "," ","|",4))-1),""))/86400+25569+9/24,""))</f>
        <v/>
      </c>
      <c r="G885" s="58">
        <f>TRIM(SUBSTITUTE(SUBSTITUTE(SUBSTITUTE($A885,CHAR(9)," ")," "," "),CHAR(13),""))</f>
        <v/>
      </c>
      <c r="H885" s="58">
        <f>IF($G885="","",IF(ISNUMBER(FIND(" ",$G885)),$G885,IFERROR(IF((LEN(SUBSTITUTE(SUBSTITUTE($G885,"-"," ",LEN($G885)-LEN(SUBSTITUTE($G885,"-",""))),"-"," ",LEN($G885)-LEN(SUBSTITUTE($G885,"-",""))-1))-LEN(SUBSTITUTE(SUBSTITUTE(SUBSTITUTE($G885,"-"," ",LEN($G885)-LEN(SUBSTITUTE($G885,"-",""))),"-"," ",LEN($G885)-LEN(SUBSTITUTE($G885,"-",""))-1),".","")))=0,SUBSTITUTE(SUBSTITUTE($G885,"-"," ",LEN($G885)-LEN(SUBSTITUTE($G885,"-",""))),"-"," ",LEN($G885)-LEN(SUBSTITUTE($G885,"-",""))-1),SUBSTITUTE(SUBSTITUTE(SUBSTITUTE($G885,"-"," ",LEN($G885)-LEN(SUBSTITUTE($G885,"-",""))),"-"," ",LEN($G885)-LEN(SUBSTITUTE($G885,"-",""))-1),"."," ",(LEN(SUBSTITUTE(SUBSTITUTE($G885,"-"," ",LEN($G885)-LEN(SUBSTITUTE($G885,"-",""))),"-"," ",LEN($G885)-LEN(SUBSTITUTE($G885,"-",""))-1))-LEN(SUBSTITUTE(SUBSTITUTE(SUBSTITUTE($G885,"-"," ",LEN($G885)-LEN(SUBSTITUTE($G885,"-",""))),"-"," ",LEN($G885)-LEN(SUBSTITUTE($G885,"-",""))-1),".",""))))),$G885)))</f>
        <v/>
      </c>
    </row>
    <row r="886">
      <c r="A886" s="58" t="n"/>
      <c r="B886" s="58">
        <f>IF($H886="","",LEFT($H886,FIND(" ",$H886&amp;" ")-1))</f>
        <v/>
      </c>
      <c r="C886" s="58">
        <f>IF($H886="","",IFERROR(MID($H886&amp;" ",FIND("|",SUBSTITUTE($H886&amp;" "," ","|",1))+1,FIND("|",SUBSTITUTE($H886&amp;" "," ","|",2))-FIND("|",SUBSTITUTE($H886&amp;" "," ","|",1))-1),""))</f>
        <v/>
      </c>
      <c r="D886" s="58">
        <f>IF($H886="","",IFERROR(MID($H886&amp;" ",FIND("|",SUBSTITUTE($H886&amp;" "," ","|",2))+1,FIND("|",SUBSTITUTE($H886&amp;" "," ","|",3))-FIND("|",SUBSTITUTE($H886&amp;" "," ","|",2))-1),""))</f>
        <v/>
      </c>
      <c r="E886" s="58">
        <f>IF($H886="","",IFERROR(MID($H886&amp;" ",FIND("|",SUBSTITUTE($H886&amp;" "," ","|",3))+1,FIND("|",SUBSTITUTE($H886&amp;" "," ","|",4))-FIND("|",SUBSTITUTE($H886&amp;" "," ","|",3))-1),""))</f>
        <v/>
      </c>
      <c r="F886" s="59">
        <f>IF($H886="","",IFERROR(VALUE(IFERROR(MID($H886&amp;" ",FIND("|",SUBSTITUTE($H886&amp;" "," ","|",4))+1,FIND("|",SUBSTITUTE($H886&amp;" "," ","|",5))-FIND("|",SUBSTITUTE($H886&amp;" "," ","|",4))-1),""))/86400+25569+9/24,""))</f>
        <v/>
      </c>
      <c r="G886" s="58">
        <f>TRIM(SUBSTITUTE(SUBSTITUTE(SUBSTITUTE($A886,CHAR(9)," ")," "," "),CHAR(13),""))</f>
        <v/>
      </c>
      <c r="H886" s="58">
        <f>IF($G886="","",IF(ISNUMBER(FIND(" ",$G886)),$G886,IFERROR(IF((LEN(SUBSTITUTE(SUBSTITUTE($G886,"-"," ",LEN($G886)-LEN(SUBSTITUTE($G886,"-",""))),"-"," ",LEN($G886)-LEN(SUBSTITUTE($G886,"-",""))-1))-LEN(SUBSTITUTE(SUBSTITUTE(SUBSTITUTE($G886,"-"," ",LEN($G886)-LEN(SUBSTITUTE($G886,"-",""))),"-"," ",LEN($G886)-LEN(SUBSTITUTE($G886,"-",""))-1),".","")))=0,SUBSTITUTE(SUBSTITUTE($G886,"-"," ",LEN($G886)-LEN(SUBSTITUTE($G886,"-",""))),"-"," ",LEN($G886)-LEN(SUBSTITUTE($G886,"-",""))-1),SUBSTITUTE(SUBSTITUTE(SUBSTITUTE($G886,"-"," ",LEN($G886)-LEN(SUBSTITUTE($G886,"-",""))),"-"," ",LEN($G886)-LEN(SUBSTITUTE($G886,"-",""))-1),"."," ",(LEN(SUBSTITUTE(SUBSTITUTE($G886,"-"," ",LEN($G886)-LEN(SUBSTITUTE($G886,"-",""))),"-"," ",LEN($G886)-LEN(SUBSTITUTE($G886,"-",""))-1))-LEN(SUBSTITUTE(SUBSTITUTE(SUBSTITUTE($G886,"-"," ",LEN($G886)-LEN(SUBSTITUTE($G886,"-",""))),"-"," ",LEN($G886)-LEN(SUBSTITUTE($G886,"-",""))-1),".",""))))),$G886)))</f>
        <v/>
      </c>
    </row>
    <row r="887">
      <c r="A887" s="58" t="n"/>
      <c r="B887" s="58">
        <f>IF($H887="","",LEFT($H887,FIND(" ",$H887&amp;" ")-1))</f>
        <v/>
      </c>
      <c r="C887" s="58">
        <f>IF($H887="","",IFERROR(MID($H887&amp;" ",FIND("|",SUBSTITUTE($H887&amp;" "," ","|",1))+1,FIND("|",SUBSTITUTE($H887&amp;" "," ","|",2))-FIND("|",SUBSTITUTE($H887&amp;" "," ","|",1))-1),""))</f>
        <v/>
      </c>
      <c r="D887" s="58">
        <f>IF($H887="","",IFERROR(MID($H887&amp;" ",FIND("|",SUBSTITUTE($H887&amp;" "," ","|",2))+1,FIND("|",SUBSTITUTE($H887&amp;" "," ","|",3))-FIND("|",SUBSTITUTE($H887&amp;" "," ","|",2))-1),""))</f>
        <v/>
      </c>
      <c r="E887" s="58">
        <f>IF($H887="","",IFERROR(MID($H887&amp;" ",FIND("|",SUBSTITUTE($H887&amp;" "," ","|",3))+1,FIND("|",SUBSTITUTE($H887&amp;" "," ","|",4))-FIND("|",SUBSTITUTE($H887&amp;" "," ","|",3))-1),""))</f>
        <v/>
      </c>
      <c r="F887" s="59">
        <f>IF($H887="","",IFERROR(VALUE(IFERROR(MID($H887&amp;" ",FIND("|",SUBSTITUTE($H887&amp;" "," ","|",4))+1,FIND("|",SUBSTITUTE($H887&amp;" "," ","|",5))-FIND("|",SUBSTITUTE($H887&amp;" "," ","|",4))-1),""))/86400+25569+9/24,""))</f>
        <v/>
      </c>
      <c r="G887" s="58">
        <f>TRIM(SUBSTITUTE(SUBSTITUTE(SUBSTITUTE($A887,CHAR(9)," ")," "," "),CHAR(13),""))</f>
        <v/>
      </c>
      <c r="H887" s="58">
        <f>IF($G887="","",IF(ISNUMBER(FIND(" ",$G887)),$G887,IFERROR(IF((LEN(SUBSTITUTE(SUBSTITUTE($G887,"-"," ",LEN($G887)-LEN(SUBSTITUTE($G887,"-",""))),"-"," ",LEN($G887)-LEN(SUBSTITUTE($G887,"-",""))-1))-LEN(SUBSTITUTE(SUBSTITUTE(SUBSTITUTE($G887,"-"," ",LEN($G887)-LEN(SUBSTITUTE($G887,"-",""))),"-"," ",LEN($G887)-LEN(SUBSTITUTE($G887,"-",""))-1),".","")))=0,SUBSTITUTE(SUBSTITUTE($G887,"-"," ",LEN($G887)-LEN(SUBSTITUTE($G887,"-",""))),"-"," ",LEN($G887)-LEN(SUBSTITUTE($G887,"-",""))-1),SUBSTITUTE(SUBSTITUTE(SUBSTITUTE($G887,"-"," ",LEN($G887)-LEN(SUBSTITUTE($G887,"-",""))),"-"," ",LEN($G887)-LEN(SUBSTITUTE($G887,"-",""))-1),"."," ",(LEN(SUBSTITUTE(SUBSTITUTE($G887,"-"," ",LEN($G887)-LEN(SUBSTITUTE($G887,"-",""))),"-"," ",LEN($G887)-LEN(SUBSTITUTE($G887,"-",""))-1))-LEN(SUBSTITUTE(SUBSTITUTE(SUBSTITUTE($G887,"-"," ",LEN($G887)-LEN(SUBSTITUTE($G887,"-",""))),"-"," ",LEN($G887)-LEN(SUBSTITUTE($G887,"-",""))-1),".",""))))),$G887)))</f>
        <v/>
      </c>
    </row>
    <row r="888">
      <c r="A888" s="58" t="n"/>
      <c r="B888" s="58">
        <f>IF($H888="","",LEFT($H888,FIND(" ",$H888&amp;" ")-1))</f>
        <v/>
      </c>
      <c r="C888" s="58">
        <f>IF($H888="","",IFERROR(MID($H888&amp;" ",FIND("|",SUBSTITUTE($H888&amp;" "," ","|",1))+1,FIND("|",SUBSTITUTE($H888&amp;" "," ","|",2))-FIND("|",SUBSTITUTE($H888&amp;" "," ","|",1))-1),""))</f>
        <v/>
      </c>
      <c r="D888" s="58">
        <f>IF($H888="","",IFERROR(MID($H888&amp;" ",FIND("|",SUBSTITUTE($H888&amp;" "," ","|",2))+1,FIND("|",SUBSTITUTE($H888&amp;" "," ","|",3))-FIND("|",SUBSTITUTE($H888&amp;" "," ","|",2))-1),""))</f>
        <v/>
      </c>
      <c r="E888" s="58">
        <f>IF($H888="","",IFERROR(MID($H888&amp;" ",FIND("|",SUBSTITUTE($H888&amp;" "," ","|",3))+1,FIND("|",SUBSTITUTE($H888&amp;" "," ","|",4))-FIND("|",SUBSTITUTE($H888&amp;" "," ","|",3))-1),""))</f>
        <v/>
      </c>
      <c r="F888" s="59">
        <f>IF($H888="","",IFERROR(VALUE(IFERROR(MID($H888&amp;" ",FIND("|",SUBSTITUTE($H888&amp;" "," ","|",4))+1,FIND("|",SUBSTITUTE($H888&amp;" "," ","|",5))-FIND("|",SUBSTITUTE($H888&amp;" "," ","|",4))-1),""))/86400+25569+9/24,""))</f>
        <v/>
      </c>
      <c r="G888" s="58">
        <f>TRIM(SUBSTITUTE(SUBSTITUTE(SUBSTITUTE($A888,CHAR(9)," ")," "," "),CHAR(13),""))</f>
        <v/>
      </c>
      <c r="H888" s="58">
        <f>IF($G888="","",IF(ISNUMBER(FIND(" ",$G888)),$G888,IFERROR(IF((LEN(SUBSTITUTE(SUBSTITUTE($G888,"-"," ",LEN($G888)-LEN(SUBSTITUTE($G888,"-",""))),"-"," ",LEN($G888)-LEN(SUBSTITUTE($G888,"-",""))-1))-LEN(SUBSTITUTE(SUBSTITUTE(SUBSTITUTE($G888,"-"," ",LEN($G888)-LEN(SUBSTITUTE($G888,"-",""))),"-"," ",LEN($G888)-LEN(SUBSTITUTE($G888,"-",""))-1),".","")))=0,SUBSTITUTE(SUBSTITUTE($G888,"-"," ",LEN($G888)-LEN(SUBSTITUTE($G888,"-",""))),"-"," ",LEN($G888)-LEN(SUBSTITUTE($G888,"-",""))-1),SUBSTITUTE(SUBSTITUTE(SUBSTITUTE($G888,"-"," ",LEN($G888)-LEN(SUBSTITUTE($G888,"-",""))),"-"," ",LEN($G888)-LEN(SUBSTITUTE($G888,"-",""))-1),"."," ",(LEN(SUBSTITUTE(SUBSTITUTE($G888,"-"," ",LEN($G888)-LEN(SUBSTITUTE($G888,"-",""))),"-"," ",LEN($G888)-LEN(SUBSTITUTE($G888,"-",""))-1))-LEN(SUBSTITUTE(SUBSTITUTE(SUBSTITUTE($G888,"-"," ",LEN($G888)-LEN(SUBSTITUTE($G888,"-",""))),"-"," ",LEN($G888)-LEN(SUBSTITUTE($G888,"-",""))-1),".",""))))),$G888)))</f>
        <v/>
      </c>
    </row>
    <row r="889">
      <c r="A889" s="58" t="n"/>
      <c r="B889" s="58">
        <f>IF($H889="","",LEFT($H889,FIND(" ",$H889&amp;" ")-1))</f>
        <v/>
      </c>
      <c r="C889" s="58">
        <f>IF($H889="","",IFERROR(MID($H889&amp;" ",FIND("|",SUBSTITUTE($H889&amp;" "," ","|",1))+1,FIND("|",SUBSTITUTE($H889&amp;" "," ","|",2))-FIND("|",SUBSTITUTE($H889&amp;" "," ","|",1))-1),""))</f>
        <v/>
      </c>
      <c r="D889" s="58">
        <f>IF($H889="","",IFERROR(MID($H889&amp;" ",FIND("|",SUBSTITUTE($H889&amp;" "," ","|",2))+1,FIND("|",SUBSTITUTE($H889&amp;" "," ","|",3))-FIND("|",SUBSTITUTE($H889&amp;" "," ","|",2))-1),""))</f>
        <v/>
      </c>
      <c r="E889" s="58">
        <f>IF($H889="","",IFERROR(MID($H889&amp;" ",FIND("|",SUBSTITUTE($H889&amp;" "," ","|",3))+1,FIND("|",SUBSTITUTE($H889&amp;" "," ","|",4))-FIND("|",SUBSTITUTE($H889&amp;" "," ","|",3))-1),""))</f>
        <v/>
      </c>
      <c r="F889" s="59">
        <f>IF($H889="","",IFERROR(VALUE(IFERROR(MID($H889&amp;" ",FIND("|",SUBSTITUTE($H889&amp;" "," ","|",4))+1,FIND("|",SUBSTITUTE($H889&amp;" "," ","|",5))-FIND("|",SUBSTITUTE($H889&amp;" "," ","|",4))-1),""))/86400+25569+9/24,""))</f>
        <v/>
      </c>
      <c r="G889" s="58">
        <f>TRIM(SUBSTITUTE(SUBSTITUTE(SUBSTITUTE($A889,CHAR(9)," ")," "," "),CHAR(13),""))</f>
        <v/>
      </c>
      <c r="H889" s="58">
        <f>IF($G889="","",IF(ISNUMBER(FIND(" ",$G889)),$G889,IFERROR(IF((LEN(SUBSTITUTE(SUBSTITUTE($G889,"-"," ",LEN($G889)-LEN(SUBSTITUTE($G889,"-",""))),"-"," ",LEN($G889)-LEN(SUBSTITUTE($G889,"-",""))-1))-LEN(SUBSTITUTE(SUBSTITUTE(SUBSTITUTE($G889,"-"," ",LEN($G889)-LEN(SUBSTITUTE($G889,"-",""))),"-"," ",LEN($G889)-LEN(SUBSTITUTE($G889,"-",""))-1),".","")))=0,SUBSTITUTE(SUBSTITUTE($G889,"-"," ",LEN($G889)-LEN(SUBSTITUTE($G889,"-",""))),"-"," ",LEN($G889)-LEN(SUBSTITUTE($G889,"-",""))-1),SUBSTITUTE(SUBSTITUTE(SUBSTITUTE($G889,"-"," ",LEN($G889)-LEN(SUBSTITUTE($G889,"-",""))),"-"," ",LEN($G889)-LEN(SUBSTITUTE($G889,"-",""))-1),"."," ",(LEN(SUBSTITUTE(SUBSTITUTE($G889,"-"," ",LEN($G889)-LEN(SUBSTITUTE($G889,"-",""))),"-"," ",LEN($G889)-LEN(SUBSTITUTE($G889,"-",""))-1))-LEN(SUBSTITUTE(SUBSTITUTE(SUBSTITUTE($G889,"-"," ",LEN($G889)-LEN(SUBSTITUTE($G889,"-",""))),"-"," ",LEN($G889)-LEN(SUBSTITUTE($G889,"-",""))-1),".",""))))),$G889)))</f>
        <v/>
      </c>
    </row>
    <row r="890">
      <c r="A890" s="58" t="n"/>
      <c r="B890" s="58">
        <f>IF($H890="","",LEFT($H890,FIND(" ",$H890&amp;" ")-1))</f>
        <v/>
      </c>
      <c r="C890" s="58">
        <f>IF($H890="","",IFERROR(MID($H890&amp;" ",FIND("|",SUBSTITUTE($H890&amp;" "," ","|",1))+1,FIND("|",SUBSTITUTE($H890&amp;" "," ","|",2))-FIND("|",SUBSTITUTE($H890&amp;" "," ","|",1))-1),""))</f>
        <v/>
      </c>
      <c r="D890" s="58">
        <f>IF($H890="","",IFERROR(MID($H890&amp;" ",FIND("|",SUBSTITUTE($H890&amp;" "," ","|",2))+1,FIND("|",SUBSTITUTE($H890&amp;" "," ","|",3))-FIND("|",SUBSTITUTE($H890&amp;" "," ","|",2))-1),""))</f>
        <v/>
      </c>
      <c r="E890" s="58">
        <f>IF($H890="","",IFERROR(MID($H890&amp;" ",FIND("|",SUBSTITUTE($H890&amp;" "," ","|",3))+1,FIND("|",SUBSTITUTE($H890&amp;" "," ","|",4))-FIND("|",SUBSTITUTE($H890&amp;" "," ","|",3))-1),""))</f>
        <v/>
      </c>
      <c r="F890" s="59">
        <f>IF($H890="","",IFERROR(VALUE(IFERROR(MID($H890&amp;" ",FIND("|",SUBSTITUTE($H890&amp;" "," ","|",4))+1,FIND("|",SUBSTITUTE($H890&amp;" "," ","|",5))-FIND("|",SUBSTITUTE($H890&amp;" "," ","|",4))-1),""))/86400+25569+9/24,""))</f>
        <v/>
      </c>
      <c r="G890" s="58">
        <f>TRIM(SUBSTITUTE(SUBSTITUTE(SUBSTITUTE($A890,CHAR(9)," ")," "," "),CHAR(13),""))</f>
        <v/>
      </c>
      <c r="H890" s="58">
        <f>IF($G890="","",IF(ISNUMBER(FIND(" ",$G890)),$G890,IFERROR(IF((LEN(SUBSTITUTE(SUBSTITUTE($G890,"-"," ",LEN($G890)-LEN(SUBSTITUTE($G890,"-",""))),"-"," ",LEN($G890)-LEN(SUBSTITUTE($G890,"-",""))-1))-LEN(SUBSTITUTE(SUBSTITUTE(SUBSTITUTE($G890,"-"," ",LEN($G890)-LEN(SUBSTITUTE($G890,"-",""))),"-"," ",LEN($G890)-LEN(SUBSTITUTE($G890,"-",""))-1),".","")))=0,SUBSTITUTE(SUBSTITUTE($G890,"-"," ",LEN($G890)-LEN(SUBSTITUTE($G890,"-",""))),"-"," ",LEN($G890)-LEN(SUBSTITUTE($G890,"-",""))-1),SUBSTITUTE(SUBSTITUTE(SUBSTITUTE($G890,"-"," ",LEN($G890)-LEN(SUBSTITUTE($G890,"-",""))),"-"," ",LEN($G890)-LEN(SUBSTITUTE($G890,"-",""))-1),"."," ",(LEN(SUBSTITUTE(SUBSTITUTE($G890,"-"," ",LEN($G890)-LEN(SUBSTITUTE($G890,"-",""))),"-"," ",LEN($G890)-LEN(SUBSTITUTE($G890,"-",""))-1))-LEN(SUBSTITUTE(SUBSTITUTE(SUBSTITUTE($G890,"-"," ",LEN($G890)-LEN(SUBSTITUTE($G890,"-",""))),"-"," ",LEN($G890)-LEN(SUBSTITUTE($G890,"-",""))-1),".",""))))),$G890)))</f>
        <v/>
      </c>
    </row>
    <row r="891">
      <c r="A891" s="58" t="n"/>
      <c r="B891" s="58">
        <f>IF($H891="","",LEFT($H891,FIND(" ",$H891&amp;" ")-1))</f>
        <v/>
      </c>
      <c r="C891" s="58">
        <f>IF($H891="","",IFERROR(MID($H891&amp;" ",FIND("|",SUBSTITUTE($H891&amp;" "," ","|",1))+1,FIND("|",SUBSTITUTE($H891&amp;" "," ","|",2))-FIND("|",SUBSTITUTE($H891&amp;" "," ","|",1))-1),""))</f>
        <v/>
      </c>
      <c r="D891" s="58">
        <f>IF($H891="","",IFERROR(MID($H891&amp;" ",FIND("|",SUBSTITUTE($H891&amp;" "," ","|",2))+1,FIND("|",SUBSTITUTE($H891&amp;" "," ","|",3))-FIND("|",SUBSTITUTE($H891&amp;" "," ","|",2))-1),""))</f>
        <v/>
      </c>
      <c r="E891" s="58">
        <f>IF($H891="","",IFERROR(MID($H891&amp;" ",FIND("|",SUBSTITUTE($H891&amp;" "," ","|",3))+1,FIND("|",SUBSTITUTE($H891&amp;" "," ","|",4))-FIND("|",SUBSTITUTE($H891&amp;" "," ","|",3))-1),""))</f>
        <v/>
      </c>
      <c r="F891" s="59">
        <f>IF($H891="","",IFERROR(VALUE(IFERROR(MID($H891&amp;" ",FIND("|",SUBSTITUTE($H891&amp;" "," ","|",4))+1,FIND("|",SUBSTITUTE($H891&amp;" "," ","|",5))-FIND("|",SUBSTITUTE($H891&amp;" "," ","|",4))-1),""))/86400+25569+9/24,""))</f>
        <v/>
      </c>
      <c r="G891" s="58">
        <f>TRIM(SUBSTITUTE(SUBSTITUTE(SUBSTITUTE($A891,CHAR(9)," ")," "," "),CHAR(13),""))</f>
        <v/>
      </c>
      <c r="H891" s="58">
        <f>IF($G891="","",IF(ISNUMBER(FIND(" ",$G891)),$G891,IFERROR(IF((LEN(SUBSTITUTE(SUBSTITUTE($G891,"-"," ",LEN($G891)-LEN(SUBSTITUTE($G891,"-",""))),"-"," ",LEN($G891)-LEN(SUBSTITUTE($G891,"-",""))-1))-LEN(SUBSTITUTE(SUBSTITUTE(SUBSTITUTE($G891,"-"," ",LEN($G891)-LEN(SUBSTITUTE($G891,"-",""))),"-"," ",LEN($G891)-LEN(SUBSTITUTE($G891,"-",""))-1),".","")))=0,SUBSTITUTE(SUBSTITUTE($G891,"-"," ",LEN($G891)-LEN(SUBSTITUTE($G891,"-",""))),"-"," ",LEN($G891)-LEN(SUBSTITUTE($G891,"-",""))-1),SUBSTITUTE(SUBSTITUTE(SUBSTITUTE($G891,"-"," ",LEN($G891)-LEN(SUBSTITUTE($G891,"-",""))),"-"," ",LEN($G891)-LEN(SUBSTITUTE($G891,"-",""))-1),"."," ",(LEN(SUBSTITUTE(SUBSTITUTE($G891,"-"," ",LEN($G891)-LEN(SUBSTITUTE($G891,"-",""))),"-"," ",LEN($G891)-LEN(SUBSTITUTE($G891,"-",""))-1))-LEN(SUBSTITUTE(SUBSTITUTE(SUBSTITUTE($G891,"-"," ",LEN($G891)-LEN(SUBSTITUTE($G891,"-",""))),"-"," ",LEN($G891)-LEN(SUBSTITUTE($G891,"-",""))-1),".",""))))),$G891)))</f>
        <v/>
      </c>
    </row>
    <row r="892">
      <c r="A892" s="58" t="n"/>
      <c r="B892" s="58">
        <f>IF($H892="","",LEFT($H892,FIND(" ",$H892&amp;" ")-1))</f>
        <v/>
      </c>
      <c r="C892" s="58">
        <f>IF($H892="","",IFERROR(MID($H892&amp;" ",FIND("|",SUBSTITUTE($H892&amp;" "," ","|",1))+1,FIND("|",SUBSTITUTE($H892&amp;" "," ","|",2))-FIND("|",SUBSTITUTE($H892&amp;" "," ","|",1))-1),""))</f>
        <v/>
      </c>
      <c r="D892" s="58">
        <f>IF($H892="","",IFERROR(MID($H892&amp;" ",FIND("|",SUBSTITUTE($H892&amp;" "," ","|",2))+1,FIND("|",SUBSTITUTE($H892&amp;" "," ","|",3))-FIND("|",SUBSTITUTE($H892&amp;" "," ","|",2))-1),""))</f>
        <v/>
      </c>
      <c r="E892" s="58">
        <f>IF($H892="","",IFERROR(MID($H892&amp;" ",FIND("|",SUBSTITUTE($H892&amp;" "," ","|",3))+1,FIND("|",SUBSTITUTE($H892&amp;" "," ","|",4))-FIND("|",SUBSTITUTE($H892&amp;" "," ","|",3))-1),""))</f>
        <v/>
      </c>
      <c r="F892" s="59">
        <f>IF($H892="","",IFERROR(VALUE(IFERROR(MID($H892&amp;" ",FIND("|",SUBSTITUTE($H892&amp;" "," ","|",4))+1,FIND("|",SUBSTITUTE($H892&amp;" "," ","|",5))-FIND("|",SUBSTITUTE($H892&amp;" "," ","|",4))-1),""))/86400+25569+9/24,""))</f>
        <v/>
      </c>
      <c r="G892" s="58">
        <f>TRIM(SUBSTITUTE(SUBSTITUTE(SUBSTITUTE($A892,CHAR(9)," ")," "," "),CHAR(13),""))</f>
        <v/>
      </c>
      <c r="H892" s="58">
        <f>IF($G892="","",IF(ISNUMBER(FIND(" ",$G892)),$G892,IFERROR(IF((LEN(SUBSTITUTE(SUBSTITUTE($G892,"-"," ",LEN($G892)-LEN(SUBSTITUTE($G892,"-",""))),"-"," ",LEN($G892)-LEN(SUBSTITUTE($G892,"-",""))-1))-LEN(SUBSTITUTE(SUBSTITUTE(SUBSTITUTE($G892,"-"," ",LEN($G892)-LEN(SUBSTITUTE($G892,"-",""))),"-"," ",LEN($G892)-LEN(SUBSTITUTE($G892,"-",""))-1),".","")))=0,SUBSTITUTE(SUBSTITUTE($G892,"-"," ",LEN($G892)-LEN(SUBSTITUTE($G892,"-",""))),"-"," ",LEN($G892)-LEN(SUBSTITUTE($G892,"-",""))-1),SUBSTITUTE(SUBSTITUTE(SUBSTITUTE($G892,"-"," ",LEN($G892)-LEN(SUBSTITUTE($G892,"-",""))),"-"," ",LEN($G892)-LEN(SUBSTITUTE($G892,"-",""))-1),"."," ",(LEN(SUBSTITUTE(SUBSTITUTE($G892,"-"," ",LEN($G892)-LEN(SUBSTITUTE($G892,"-",""))),"-"," ",LEN($G892)-LEN(SUBSTITUTE($G892,"-",""))-1))-LEN(SUBSTITUTE(SUBSTITUTE(SUBSTITUTE($G892,"-"," ",LEN($G892)-LEN(SUBSTITUTE($G892,"-",""))),"-"," ",LEN($G892)-LEN(SUBSTITUTE($G892,"-",""))-1),".",""))))),$G892)))</f>
        <v/>
      </c>
    </row>
    <row r="893">
      <c r="A893" s="58" t="n"/>
      <c r="B893" s="58">
        <f>IF($H893="","",LEFT($H893,FIND(" ",$H893&amp;" ")-1))</f>
        <v/>
      </c>
      <c r="C893" s="58">
        <f>IF($H893="","",IFERROR(MID($H893&amp;" ",FIND("|",SUBSTITUTE($H893&amp;" "," ","|",1))+1,FIND("|",SUBSTITUTE($H893&amp;" "," ","|",2))-FIND("|",SUBSTITUTE($H893&amp;" "," ","|",1))-1),""))</f>
        <v/>
      </c>
      <c r="D893" s="58">
        <f>IF($H893="","",IFERROR(MID($H893&amp;" ",FIND("|",SUBSTITUTE($H893&amp;" "," ","|",2))+1,FIND("|",SUBSTITUTE($H893&amp;" "," ","|",3))-FIND("|",SUBSTITUTE($H893&amp;" "," ","|",2))-1),""))</f>
        <v/>
      </c>
      <c r="E893" s="58">
        <f>IF($H893="","",IFERROR(MID($H893&amp;" ",FIND("|",SUBSTITUTE($H893&amp;" "," ","|",3))+1,FIND("|",SUBSTITUTE($H893&amp;" "," ","|",4))-FIND("|",SUBSTITUTE($H893&amp;" "," ","|",3))-1),""))</f>
        <v/>
      </c>
      <c r="F893" s="59">
        <f>IF($H893="","",IFERROR(VALUE(IFERROR(MID($H893&amp;" ",FIND("|",SUBSTITUTE($H893&amp;" "," ","|",4))+1,FIND("|",SUBSTITUTE($H893&amp;" "," ","|",5))-FIND("|",SUBSTITUTE($H893&amp;" "," ","|",4))-1),""))/86400+25569+9/24,""))</f>
        <v/>
      </c>
      <c r="G893" s="58">
        <f>TRIM(SUBSTITUTE(SUBSTITUTE(SUBSTITUTE($A893,CHAR(9)," ")," "," "),CHAR(13),""))</f>
        <v/>
      </c>
      <c r="H893" s="58">
        <f>IF($G893="","",IF(ISNUMBER(FIND(" ",$G893)),$G893,IFERROR(IF((LEN(SUBSTITUTE(SUBSTITUTE($G893,"-"," ",LEN($G893)-LEN(SUBSTITUTE($G893,"-",""))),"-"," ",LEN($G893)-LEN(SUBSTITUTE($G893,"-",""))-1))-LEN(SUBSTITUTE(SUBSTITUTE(SUBSTITUTE($G893,"-"," ",LEN($G893)-LEN(SUBSTITUTE($G893,"-",""))),"-"," ",LEN($G893)-LEN(SUBSTITUTE($G893,"-",""))-1),".","")))=0,SUBSTITUTE(SUBSTITUTE($G893,"-"," ",LEN($G893)-LEN(SUBSTITUTE($G893,"-",""))),"-"," ",LEN($G893)-LEN(SUBSTITUTE($G893,"-",""))-1),SUBSTITUTE(SUBSTITUTE(SUBSTITUTE($G893,"-"," ",LEN($G893)-LEN(SUBSTITUTE($G893,"-",""))),"-"," ",LEN($G893)-LEN(SUBSTITUTE($G893,"-",""))-1),"."," ",(LEN(SUBSTITUTE(SUBSTITUTE($G893,"-"," ",LEN($G893)-LEN(SUBSTITUTE($G893,"-",""))),"-"," ",LEN($G893)-LEN(SUBSTITUTE($G893,"-",""))-1))-LEN(SUBSTITUTE(SUBSTITUTE(SUBSTITUTE($G893,"-"," ",LEN($G893)-LEN(SUBSTITUTE($G893,"-",""))),"-"," ",LEN($G893)-LEN(SUBSTITUTE($G893,"-",""))-1),".",""))))),$G893)))</f>
        <v/>
      </c>
    </row>
    <row r="894">
      <c r="A894" s="58" t="n"/>
      <c r="B894" s="58">
        <f>IF($H894="","",LEFT($H894,FIND(" ",$H894&amp;" ")-1))</f>
        <v/>
      </c>
      <c r="C894" s="58">
        <f>IF($H894="","",IFERROR(MID($H894&amp;" ",FIND("|",SUBSTITUTE($H894&amp;" "," ","|",1))+1,FIND("|",SUBSTITUTE($H894&amp;" "," ","|",2))-FIND("|",SUBSTITUTE($H894&amp;" "," ","|",1))-1),""))</f>
        <v/>
      </c>
      <c r="D894" s="58">
        <f>IF($H894="","",IFERROR(MID($H894&amp;" ",FIND("|",SUBSTITUTE($H894&amp;" "," ","|",2))+1,FIND("|",SUBSTITUTE($H894&amp;" "," ","|",3))-FIND("|",SUBSTITUTE($H894&amp;" "," ","|",2))-1),""))</f>
        <v/>
      </c>
      <c r="E894" s="58">
        <f>IF($H894="","",IFERROR(MID($H894&amp;" ",FIND("|",SUBSTITUTE($H894&amp;" "," ","|",3))+1,FIND("|",SUBSTITUTE($H894&amp;" "," ","|",4))-FIND("|",SUBSTITUTE($H894&amp;" "," ","|",3))-1),""))</f>
        <v/>
      </c>
      <c r="F894" s="59">
        <f>IF($H894="","",IFERROR(VALUE(IFERROR(MID($H894&amp;" ",FIND("|",SUBSTITUTE($H894&amp;" "," ","|",4))+1,FIND("|",SUBSTITUTE($H894&amp;" "," ","|",5))-FIND("|",SUBSTITUTE($H894&amp;" "," ","|",4))-1),""))/86400+25569+9/24,""))</f>
        <v/>
      </c>
      <c r="G894" s="58">
        <f>TRIM(SUBSTITUTE(SUBSTITUTE(SUBSTITUTE($A894,CHAR(9)," ")," "," "),CHAR(13),""))</f>
        <v/>
      </c>
      <c r="H894" s="58">
        <f>IF($G894="","",IF(ISNUMBER(FIND(" ",$G894)),$G894,IFERROR(IF((LEN(SUBSTITUTE(SUBSTITUTE($G894,"-"," ",LEN($G894)-LEN(SUBSTITUTE($G894,"-",""))),"-"," ",LEN($G894)-LEN(SUBSTITUTE($G894,"-",""))-1))-LEN(SUBSTITUTE(SUBSTITUTE(SUBSTITUTE($G894,"-"," ",LEN($G894)-LEN(SUBSTITUTE($G894,"-",""))),"-"," ",LEN($G894)-LEN(SUBSTITUTE($G894,"-",""))-1),".","")))=0,SUBSTITUTE(SUBSTITUTE($G894,"-"," ",LEN($G894)-LEN(SUBSTITUTE($G894,"-",""))),"-"," ",LEN($G894)-LEN(SUBSTITUTE($G894,"-",""))-1),SUBSTITUTE(SUBSTITUTE(SUBSTITUTE($G894,"-"," ",LEN($G894)-LEN(SUBSTITUTE($G894,"-",""))),"-"," ",LEN($G894)-LEN(SUBSTITUTE($G894,"-",""))-1),"."," ",(LEN(SUBSTITUTE(SUBSTITUTE($G894,"-"," ",LEN($G894)-LEN(SUBSTITUTE($G894,"-",""))),"-"," ",LEN($G894)-LEN(SUBSTITUTE($G894,"-",""))-1))-LEN(SUBSTITUTE(SUBSTITUTE(SUBSTITUTE($G894,"-"," ",LEN($G894)-LEN(SUBSTITUTE($G894,"-",""))),"-"," ",LEN($G894)-LEN(SUBSTITUTE($G894,"-",""))-1),".",""))))),$G894)))</f>
        <v/>
      </c>
    </row>
    <row r="895">
      <c r="A895" s="58" t="n"/>
      <c r="B895" s="58">
        <f>IF($H895="","",LEFT($H895,FIND(" ",$H895&amp;" ")-1))</f>
        <v/>
      </c>
      <c r="C895" s="58">
        <f>IF($H895="","",IFERROR(MID($H895&amp;" ",FIND("|",SUBSTITUTE($H895&amp;" "," ","|",1))+1,FIND("|",SUBSTITUTE($H895&amp;" "," ","|",2))-FIND("|",SUBSTITUTE($H895&amp;" "," ","|",1))-1),""))</f>
        <v/>
      </c>
      <c r="D895" s="58">
        <f>IF($H895="","",IFERROR(MID($H895&amp;" ",FIND("|",SUBSTITUTE($H895&amp;" "," ","|",2))+1,FIND("|",SUBSTITUTE($H895&amp;" "," ","|",3))-FIND("|",SUBSTITUTE($H895&amp;" "," ","|",2))-1),""))</f>
        <v/>
      </c>
      <c r="E895" s="58">
        <f>IF($H895="","",IFERROR(MID($H895&amp;" ",FIND("|",SUBSTITUTE($H895&amp;" "," ","|",3))+1,FIND("|",SUBSTITUTE($H895&amp;" "," ","|",4))-FIND("|",SUBSTITUTE($H895&amp;" "," ","|",3))-1),""))</f>
        <v/>
      </c>
      <c r="F895" s="59">
        <f>IF($H895="","",IFERROR(VALUE(IFERROR(MID($H895&amp;" ",FIND("|",SUBSTITUTE($H895&amp;" "," ","|",4))+1,FIND("|",SUBSTITUTE($H895&amp;" "," ","|",5))-FIND("|",SUBSTITUTE($H895&amp;" "," ","|",4))-1),""))/86400+25569+9/24,""))</f>
        <v/>
      </c>
      <c r="G895" s="58">
        <f>TRIM(SUBSTITUTE(SUBSTITUTE(SUBSTITUTE($A895,CHAR(9)," ")," "," "),CHAR(13),""))</f>
        <v/>
      </c>
      <c r="H895" s="58">
        <f>IF($G895="","",IF(ISNUMBER(FIND(" ",$G895)),$G895,IFERROR(IF((LEN(SUBSTITUTE(SUBSTITUTE($G895,"-"," ",LEN($G895)-LEN(SUBSTITUTE($G895,"-",""))),"-"," ",LEN($G895)-LEN(SUBSTITUTE($G895,"-",""))-1))-LEN(SUBSTITUTE(SUBSTITUTE(SUBSTITUTE($G895,"-"," ",LEN($G895)-LEN(SUBSTITUTE($G895,"-",""))),"-"," ",LEN($G895)-LEN(SUBSTITUTE($G895,"-",""))-1),".","")))=0,SUBSTITUTE(SUBSTITUTE($G895,"-"," ",LEN($G895)-LEN(SUBSTITUTE($G895,"-",""))),"-"," ",LEN($G895)-LEN(SUBSTITUTE($G895,"-",""))-1),SUBSTITUTE(SUBSTITUTE(SUBSTITUTE($G895,"-"," ",LEN($G895)-LEN(SUBSTITUTE($G895,"-",""))),"-"," ",LEN($G895)-LEN(SUBSTITUTE($G895,"-",""))-1),"."," ",(LEN(SUBSTITUTE(SUBSTITUTE($G895,"-"," ",LEN($G895)-LEN(SUBSTITUTE($G895,"-",""))),"-"," ",LEN($G895)-LEN(SUBSTITUTE($G895,"-",""))-1))-LEN(SUBSTITUTE(SUBSTITUTE(SUBSTITUTE($G895,"-"," ",LEN($G895)-LEN(SUBSTITUTE($G895,"-",""))),"-"," ",LEN($G895)-LEN(SUBSTITUTE($G895,"-",""))-1),".",""))))),$G895)))</f>
        <v/>
      </c>
    </row>
    <row r="896">
      <c r="A896" s="58" t="n"/>
      <c r="B896" s="58">
        <f>IF($H896="","",LEFT($H896,FIND(" ",$H896&amp;" ")-1))</f>
        <v/>
      </c>
      <c r="C896" s="58">
        <f>IF($H896="","",IFERROR(MID($H896&amp;" ",FIND("|",SUBSTITUTE($H896&amp;" "," ","|",1))+1,FIND("|",SUBSTITUTE($H896&amp;" "," ","|",2))-FIND("|",SUBSTITUTE($H896&amp;" "," ","|",1))-1),""))</f>
        <v/>
      </c>
      <c r="D896" s="58">
        <f>IF($H896="","",IFERROR(MID($H896&amp;" ",FIND("|",SUBSTITUTE($H896&amp;" "," ","|",2))+1,FIND("|",SUBSTITUTE($H896&amp;" "," ","|",3))-FIND("|",SUBSTITUTE($H896&amp;" "," ","|",2))-1),""))</f>
        <v/>
      </c>
      <c r="E896" s="58">
        <f>IF($H896="","",IFERROR(MID($H896&amp;" ",FIND("|",SUBSTITUTE($H896&amp;" "," ","|",3))+1,FIND("|",SUBSTITUTE($H896&amp;" "," ","|",4))-FIND("|",SUBSTITUTE($H896&amp;" "," ","|",3))-1),""))</f>
        <v/>
      </c>
      <c r="F896" s="59">
        <f>IF($H896="","",IFERROR(VALUE(IFERROR(MID($H896&amp;" ",FIND("|",SUBSTITUTE($H896&amp;" "," ","|",4))+1,FIND("|",SUBSTITUTE($H896&amp;" "," ","|",5))-FIND("|",SUBSTITUTE($H896&amp;" "," ","|",4))-1),""))/86400+25569+9/24,""))</f>
        <v/>
      </c>
      <c r="G896" s="58">
        <f>TRIM(SUBSTITUTE(SUBSTITUTE(SUBSTITUTE($A896,CHAR(9)," ")," "," "),CHAR(13),""))</f>
        <v/>
      </c>
      <c r="H896" s="58">
        <f>IF($G896="","",IF(ISNUMBER(FIND(" ",$G896)),$G896,IFERROR(IF((LEN(SUBSTITUTE(SUBSTITUTE($G896,"-"," ",LEN($G896)-LEN(SUBSTITUTE($G896,"-",""))),"-"," ",LEN($G896)-LEN(SUBSTITUTE($G896,"-",""))-1))-LEN(SUBSTITUTE(SUBSTITUTE(SUBSTITUTE($G896,"-"," ",LEN($G896)-LEN(SUBSTITUTE($G896,"-",""))),"-"," ",LEN($G896)-LEN(SUBSTITUTE($G896,"-",""))-1),".","")))=0,SUBSTITUTE(SUBSTITUTE($G896,"-"," ",LEN($G896)-LEN(SUBSTITUTE($G896,"-",""))),"-"," ",LEN($G896)-LEN(SUBSTITUTE($G896,"-",""))-1),SUBSTITUTE(SUBSTITUTE(SUBSTITUTE($G896,"-"," ",LEN($G896)-LEN(SUBSTITUTE($G896,"-",""))),"-"," ",LEN($G896)-LEN(SUBSTITUTE($G896,"-",""))-1),"."," ",(LEN(SUBSTITUTE(SUBSTITUTE($G896,"-"," ",LEN($G896)-LEN(SUBSTITUTE($G896,"-",""))),"-"," ",LEN($G896)-LEN(SUBSTITUTE($G896,"-",""))-1))-LEN(SUBSTITUTE(SUBSTITUTE(SUBSTITUTE($G896,"-"," ",LEN($G896)-LEN(SUBSTITUTE($G896,"-",""))),"-"," ",LEN($G896)-LEN(SUBSTITUTE($G896,"-",""))-1),".",""))))),$G896)))</f>
        <v/>
      </c>
    </row>
    <row r="897">
      <c r="A897" s="58" t="n"/>
      <c r="B897" s="58">
        <f>IF($H897="","",LEFT($H897,FIND(" ",$H897&amp;" ")-1))</f>
        <v/>
      </c>
      <c r="C897" s="58">
        <f>IF($H897="","",IFERROR(MID($H897&amp;" ",FIND("|",SUBSTITUTE($H897&amp;" "," ","|",1))+1,FIND("|",SUBSTITUTE($H897&amp;" "," ","|",2))-FIND("|",SUBSTITUTE($H897&amp;" "," ","|",1))-1),""))</f>
        <v/>
      </c>
      <c r="D897" s="58">
        <f>IF($H897="","",IFERROR(MID($H897&amp;" ",FIND("|",SUBSTITUTE($H897&amp;" "," ","|",2))+1,FIND("|",SUBSTITUTE($H897&amp;" "," ","|",3))-FIND("|",SUBSTITUTE($H897&amp;" "," ","|",2))-1),""))</f>
        <v/>
      </c>
      <c r="E897" s="58">
        <f>IF($H897="","",IFERROR(MID($H897&amp;" ",FIND("|",SUBSTITUTE($H897&amp;" "," ","|",3))+1,FIND("|",SUBSTITUTE($H897&amp;" "," ","|",4))-FIND("|",SUBSTITUTE($H897&amp;" "," ","|",3))-1),""))</f>
        <v/>
      </c>
      <c r="F897" s="59">
        <f>IF($H897="","",IFERROR(VALUE(IFERROR(MID($H897&amp;" ",FIND("|",SUBSTITUTE($H897&amp;" "," ","|",4))+1,FIND("|",SUBSTITUTE($H897&amp;" "," ","|",5))-FIND("|",SUBSTITUTE($H897&amp;" "," ","|",4))-1),""))/86400+25569+9/24,""))</f>
        <v/>
      </c>
      <c r="G897" s="58">
        <f>TRIM(SUBSTITUTE(SUBSTITUTE(SUBSTITUTE($A897,CHAR(9)," ")," "," "),CHAR(13),""))</f>
        <v/>
      </c>
      <c r="H897" s="58">
        <f>IF($G897="","",IF(ISNUMBER(FIND(" ",$G897)),$G897,IFERROR(IF((LEN(SUBSTITUTE(SUBSTITUTE($G897,"-"," ",LEN($G897)-LEN(SUBSTITUTE($G897,"-",""))),"-"," ",LEN($G897)-LEN(SUBSTITUTE($G897,"-",""))-1))-LEN(SUBSTITUTE(SUBSTITUTE(SUBSTITUTE($G897,"-"," ",LEN($G897)-LEN(SUBSTITUTE($G897,"-",""))),"-"," ",LEN($G897)-LEN(SUBSTITUTE($G897,"-",""))-1),".","")))=0,SUBSTITUTE(SUBSTITUTE($G897,"-"," ",LEN($G897)-LEN(SUBSTITUTE($G897,"-",""))),"-"," ",LEN($G897)-LEN(SUBSTITUTE($G897,"-",""))-1),SUBSTITUTE(SUBSTITUTE(SUBSTITUTE($G897,"-"," ",LEN($G897)-LEN(SUBSTITUTE($G897,"-",""))),"-"," ",LEN($G897)-LEN(SUBSTITUTE($G897,"-",""))-1),"."," ",(LEN(SUBSTITUTE(SUBSTITUTE($G897,"-"," ",LEN($G897)-LEN(SUBSTITUTE($G897,"-",""))),"-"," ",LEN($G897)-LEN(SUBSTITUTE($G897,"-",""))-1))-LEN(SUBSTITUTE(SUBSTITUTE(SUBSTITUTE($G897,"-"," ",LEN($G897)-LEN(SUBSTITUTE($G897,"-",""))),"-"," ",LEN($G897)-LEN(SUBSTITUTE($G897,"-",""))-1),".",""))))),$G897)))</f>
        <v/>
      </c>
    </row>
    <row r="898">
      <c r="A898" s="58" t="n"/>
      <c r="B898" s="58">
        <f>IF($H898="","",LEFT($H898,FIND(" ",$H898&amp;" ")-1))</f>
        <v/>
      </c>
      <c r="C898" s="58">
        <f>IF($H898="","",IFERROR(MID($H898&amp;" ",FIND("|",SUBSTITUTE($H898&amp;" "," ","|",1))+1,FIND("|",SUBSTITUTE($H898&amp;" "," ","|",2))-FIND("|",SUBSTITUTE($H898&amp;" "," ","|",1))-1),""))</f>
        <v/>
      </c>
      <c r="D898" s="58">
        <f>IF($H898="","",IFERROR(MID($H898&amp;" ",FIND("|",SUBSTITUTE($H898&amp;" "," ","|",2))+1,FIND("|",SUBSTITUTE($H898&amp;" "," ","|",3))-FIND("|",SUBSTITUTE($H898&amp;" "," ","|",2))-1),""))</f>
        <v/>
      </c>
      <c r="E898" s="58">
        <f>IF($H898="","",IFERROR(MID($H898&amp;" ",FIND("|",SUBSTITUTE($H898&amp;" "," ","|",3))+1,FIND("|",SUBSTITUTE($H898&amp;" "," ","|",4))-FIND("|",SUBSTITUTE($H898&amp;" "," ","|",3))-1),""))</f>
        <v/>
      </c>
      <c r="F898" s="59">
        <f>IF($H898="","",IFERROR(VALUE(IFERROR(MID($H898&amp;" ",FIND("|",SUBSTITUTE($H898&amp;" "," ","|",4))+1,FIND("|",SUBSTITUTE($H898&amp;" "," ","|",5))-FIND("|",SUBSTITUTE($H898&amp;" "," ","|",4))-1),""))/86400+25569+9/24,""))</f>
        <v/>
      </c>
      <c r="G898" s="58">
        <f>TRIM(SUBSTITUTE(SUBSTITUTE(SUBSTITUTE($A898,CHAR(9)," ")," "," "),CHAR(13),""))</f>
        <v/>
      </c>
      <c r="H898" s="58">
        <f>IF($G898="","",IF(ISNUMBER(FIND(" ",$G898)),$G898,IFERROR(IF((LEN(SUBSTITUTE(SUBSTITUTE($G898,"-"," ",LEN($G898)-LEN(SUBSTITUTE($G898,"-",""))),"-"," ",LEN($G898)-LEN(SUBSTITUTE($G898,"-",""))-1))-LEN(SUBSTITUTE(SUBSTITUTE(SUBSTITUTE($G898,"-"," ",LEN($G898)-LEN(SUBSTITUTE($G898,"-",""))),"-"," ",LEN($G898)-LEN(SUBSTITUTE($G898,"-",""))-1),".","")))=0,SUBSTITUTE(SUBSTITUTE($G898,"-"," ",LEN($G898)-LEN(SUBSTITUTE($G898,"-",""))),"-"," ",LEN($G898)-LEN(SUBSTITUTE($G898,"-",""))-1),SUBSTITUTE(SUBSTITUTE(SUBSTITUTE($G898,"-"," ",LEN($G898)-LEN(SUBSTITUTE($G898,"-",""))),"-"," ",LEN($G898)-LEN(SUBSTITUTE($G898,"-",""))-1),"."," ",(LEN(SUBSTITUTE(SUBSTITUTE($G898,"-"," ",LEN($G898)-LEN(SUBSTITUTE($G898,"-",""))),"-"," ",LEN($G898)-LEN(SUBSTITUTE($G898,"-",""))-1))-LEN(SUBSTITUTE(SUBSTITUTE(SUBSTITUTE($G898,"-"," ",LEN($G898)-LEN(SUBSTITUTE($G898,"-",""))),"-"," ",LEN($G898)-LEN(SUBSTITUTE($G898,"-",""))-1),".",""))))),$G898)))</f>
        <v/>
      </c>
    </row>
    <row r="899">
      <c r="A899" s="58" t="n"/>
      <c r="B899" s="58">
        <f>IF($H899="","",LEFT($H899,FIND(" ",$H899&amp;" ")-1))</f>
        <v/>
      </c>
      <c r="C899" s="58">
        <f>IF($H899="","",IFERROR(MID($H899&amp;" ",FIND("|",SUBSTITUTE($H899&amp;" "," ","|",1))+1,FIND("|",SUBSTITUTE($H899&amp;" "," ","|",2))-FIND("|",SUBSTITUTE($H899&amp;" "," ","|",1))-1),""))</f>
        <v/>
      </c>
      <c r="D899" s="58">
        <f>IF($H899="","",IFERROR(MID($H899&amp;" ",FIND("|",SUBSTITUTE($H899&amp;" "," ","|",2))+1,FIND("|",SUBSTITUTE($H899&amp;" "," ","|",3))-FIND("|",SUBSTITUTE($H899&amp;" "," ","|",2))-1),""))</f>
        <v/>
      </c>
      <c r="E899" s="58">
        <f>IF($H899="","",IFERROR(MID($H899&amp;" ",FIND("|",SUBSTITUTE($H899&amp;" "," ","|",3))+1,FIND("|",SUBSTITUTE($H899&amp;" "," ","|",4))-FIND("|",SUBSTITUTE($H899&amp;" "," ","|",3))-1),""))</f>
        <v/>
      </c>
      <c r="F899" s="59">
        <f>IF($H899="","",IFERROR(VALUE(IFERROR(MID($H899&amp;" ",FIND("|",SUBSTITUTE($H899&amp;" "," ","|",4))+1,FIND("|",SUBSTITUTE($H899&amp;" "," ","|",5))-FIND("|",SUBSTITUTE($H899&amp;" "," ","|",4))-1),""))/86400+25569+9/24,""))</f>
        <v/>
      </c>
      <c r="G899" s="58">
        <f>TRIM(SUBSTITUTE(SUBSTITUTE(SUBSTITUTE($A899,CHAR(9)," ")," "," "),CHAR(13),""))</f>
        <v/>
      </c>
      <c r="H899" s="58">
        <f>IF($G899="","",IF(ISNUMBER(FIND(" ",$G899)),$G899,IFERROR(IF((LEN(SUBSTITUTE(SUBSTITUTE($G899,"-"," ",LEN($G899)-LEN(SUBSTITUTE($G899,"-",""))),"-"," ",LEN($G899)-LEN(SUBSTITUTE($G899,"-",""))-1))-LEN(SUBSTITUTE(SUBSTITUTE(SUBSTITUTE($G899,"-"," ",LEN($G899)-LEN(SUBSTITUTE($G899,"-",""))),"-"," ",LEN($G899)-LEN(SUBSTITUTE($G899,"-",""))-1),".","")))=0,SUBSTITUTE(SUBSTITUTE($G899,"-"," ",LEN($G899)-LEN(SUBSTITUTE($G899,"-",""))),"-"," ",LEN($G899)-LEN(SUBSTITUTE($G899,"-",""))-1),SUBSTITUTE(SUBSTITUTE(SUBSTITUTE($G899,"-"," ",LEN($G899)-LEN(SUBSTITUTE($G899,"-",""))),"-"," ",LEN($G899)-LEN(SUBSTITUTE($G899,"-",""))-1),"."," ",(LEN(SUBSTITUTE(SUBSTITUTE($G899,"-"," ",LEN($G899)-LEN(SUBSTITUTE($G899,"-",""))),"-"," ",LEN($G899)-LEN(SUBSTITUTE($G899,"-",""))-1))-LEN(SUBSTITUTE(SUBSTITUTE(SUBSTITUTE($G899,"-"," ",LEN($G899)-LEN(SUBSTITUTE($G899,"-",""))),"-"," ",LEN($G899)-LEN(SUBSTITUTE($G899,"-",""))-1),".",""))))),$G899)))</f>
        <v/>
      </c>
    </row>
    <row r="900">
      <c r="A900" s="58" t="n"/>
      <c r="B900" s="58">
        <f>IF($H900="","",LEFT($H900,FIND(" ",$H900&amp;" ")-1))</f>
        <v/>
      </c>
      <c r="C900" s="58">
        <f>IF($H900="","",IFERROR(MID($H900&amp;" ",FIND("|",SUBSTITUTE($H900&amp;" "," ","|",1))+1,FIND("|",SUBSTITUTE($H900&amp;" "," ","|",2))-FIND("|",SUBSTITUTE($H900&amp;" "," ","|",1))-1),""))</f>
        <v/>
      </c>
      <c r="D900" s="58">
        <f>IF($H900="","",IFERROR(MID($H900&amp;" ",FIND("|",SUBSTITUTE($H900&amp;" "," ","|",2))+1,FIND("|",SUBSTITUTE($H900&amp;" "," ","|",3))-FIND("|",SUBSTITUTE($H900&amp;" "," ","|",2))-1),""))</f>
        <v/>
      </c>
      <c r="E900" s="58">
        <f>IF($H900="","",IFERROR(MID($H900&amp;" ",FIND("|",SUBSTITUTE($H900&amp;" "," ","|",3))+1,FIND("|",SUBSTITUTE($H900&amp;" "," ","|",4))-FIND("|",SUBSTITUTE($H900&amp;" "," ","|",3))-1),""))</f>
        <v/>
      </c>
      <c r="F900" s="59">
        <f>IF($H900="","",IFERROR(VALUE(IFERROR(MID($H900&amp;" ",FIND("|",SUBSTITUTE($H900&amp;" "," ","|",4))+1,FIND("|",SUBSTITUTE($H900&amp;" "," ","|",5))-FIND("|",SUBSTITUTE($H900&amp;" "," ","|",4))-1),""))/86400+25569+9/24,""))</f>
        <v/>
      </c>
      <c r="G900" s="58">
        <f>TRIM(SUBSTITUTE(SUBSTITUTE(SUBSTITUTE($A900,CHAR(9)," ")," "," "),CHAR(13),""))</f>
        <v/>
      </c>
      <c r="H900" s="58">
        <f>IF($G900="","",IF(ISNUMBER(FIND(" ",$G900)),$G900,IFERROR(IF((LEN(SUBSTITUTE(SUBSTITUTE($G900,"-"," ",LEN($G900)-LEN(SUBSTITUTE($G900,"-",""))),"-"," ",LEN($G900)-LEN(SUBSTITUTE($G900,"-",""))-1))-LEN(SUBSTITUTE(SUBSTITUTE(SUBSTITUTE($G900,"-"," ",LEN($G900)-LEN(SUBSTITUTE($G900,"-",""))),"-"," ",LEN($G900)-LEN(SUBSTITUTE($G900,"-",""))-1),".","")))=0,SUBSTITUTE(SUBSTITUTE($G900,"-"," ",LEN($G900)-LEN(SUBSTITUTE($G900,"-",""))),"-"," ",LEN($G900)-LEN(SUBSTITUTE($G900,"-",""))-1),SUBSTITUTE(SUBSTITUTE(SUBSTITUTE($G900,"-"," ",LEN($G900)-LEN(SUBSTITUTE($G900,"-",""))),"-"," ",LEN($G900)-LEN(SUBSTITUTE($G900,"-",""))-1),"."," ",(LEN(SUBSTITUTE(SUBSTITUTE($G900,"-"," ",LEN($G900)-LEN(SUBSTITUTE($G900,"-",""))),"-"," ",LEN($G900)-LEN(SUBSTITUTE($G900,"-",""))-1))-LEN(SUBSTITUTE(SUBSTITUTE(SUBSTITUTE($G900,"-"," ",LEN($G900)-LEN(SUBSTITUTE($G900,"-",""))),"-"," ",LEN($G900)-LEN(SUBSTITUTE($G900,"-",""))-1),".",""))))),$G900)))</f>
        <v/>
      </c>
    </row>
    <row r="901">
      <c r="A901" s="58" t="n"/>
      <c r="B901" s="58">
        <f>IF($H901="","",LEFT($H901,FIND(" ",$H901&amp;" ")-1))</f>
        <v/>
      </c>
      <c r="C901" s="58">
        <f>IF($H901="","",IFERROR(MID($H901&amp;" ",FIND("|",SUBSTITUTE($H901&amp;" "," ","|",1))+1,FIND("|",SUBSTITUTE($H901&amp;" "," ","|",2))-FIND("|",SUBSTITUTE($H901&amp;" "," ","|",1))-1),""))</f>
        <v/>
      </c>
      <c r="D901" s="58">
        <f>IF($H901="","",IFERROR(MID($H901&amp;" ",FIND("|",SUBSTITUTE($H901&amp;" "," ","|",2))+1,FIND("|",SUBSTITUTE($H901&amp;" "," ","|",3))-FIND("|",SUBSTITUTE($H901&amp;" "," ","|",2))-1),""))</f>
        <v/>
      </c>
      <c r="E901" s="58">
        <f>IF($H901="","",IFERROR(MID($H901&amp;" ",FIND("|",SUBSTITUTE($H901&amp;" "," ","|",3))+1,FIND("|",SUBSTITUTE($H901&amp;" "," ","|",4))-FIND("|",SUBSTITUTE($H901&amp;" "," ","|",3))-1),""))</f>
        <v/>
      </c>
      <c r="F901" s="59">
        <f>IF($H901="","",IFERROR(VALUE(IFERROR(MID($H901&amp;" ",FIND("|",SUBSTITUTE($H901&amp;" "," ","|",4))+1,FIND("|",SUBSTITUTE($H901&amp;" "," ","|",5))-FIND("|",SUBSTITUTE($H901&amp;" "," ","|",4))-1),""))/86400+25569+9/24,""))</f>
        <v/>
      </c>
      <c r="G901" s="58">
        <f>TRIM(SUBSTITUTE(SUBSTITUTE(SUBSTITUTE($A901,CHAR(9)," ")," "," "),CHAR(13),""))</f>
        <v/>
      </c>
      <c r="H901" s="58">
        <f>IF($G901="","",IF(ISNUMBER(FIND(" ",$G901)),$G901,IFERROR(IF((LEN(SUBSTITUTE(SUBSTITUTE($G901,"-"," ",LEN($G901)-LEN(SUBSTITUTE($G901,"-",""))),"-"," ",LEN($G901)-LEN(SUBSTITUTE($G901,"-",""))-1))-LEN(SUBSTITUTE(SUBSTITUTE(SUBSTITUTE($G901,"-"," ",LEN($G901)-LEN(SUBSTITUTE($G901,"-",""))),"-"," ",LEN($G901)-LEN(SUBSTITUTE($G901,"-",""))-1),".","")))=0,SUBSTITUTE(SUBSTITUTE($G901,"-"," ",LEN($G901)-LEN(SUBSTITUTE($G901,"-",""))),"-"," ",LEN($G901)-LEN(SUBSTITUTE($G901,"-",""))-1),SUBSTITUTE(SUBSTITUTE(SUBSTITUTE($G901,"-"," ",LEN($G901)-LEN(SUBSTITUTE($G901,"-",""))),"-"," ",LEN($G901)-LEN(SUBSTITUTE($G901,"-",""))-1),"."," ",(LEN(SUBSTITUTE(SUBSTITUTE($G901,"-"," ",LEN($G901)-LEN(SUBSTITUTE($G901,"-",""))),"-"," ",LEN($G901)-LEN(SUBSTITUTE($G901,"-",""))-1))-LEN(SUBSTITUTE(SUBSTITUTE(SUBSTITUTE($G901,"-"," ",LEN($G901)-LEN(SUBSTITUTE($G901,"-",""))),"-"," ",LEN($G901)-LEN(SUBSTITUTE($G901,"-",""))-1),".",""))))),$G901)))</f>
        <v/>
      </c>
    </row>
    <row r="902">
      <c r="A902" s="58" t="n"/>
      <c r="B902" s="58">
        <f>IF($H902="","",LEFT($H902,FIND(" ",$H902&amp;" ")-1))</f>
        <v/>
      </c>
      <c r="C902" s="58">
        <f>IF($H902="","",IFERROR(MID($H902&amp;" ",FIND("|",SUBSTITUTE($H902&amp;" "," ","|",1))+1,FIND("|",SUBSTITUTE($H902&amp;" "," ","|",2))-FIND("|",SUBSTITUTE($H902&amp;" "," ","|",1))-1),""))</f>
        <v/>
      </c>
      <c r="D902" s="58">
        <f>IF($H902="","",IFERROR(MID($H902&amp;" ",FIND("|",SUBSTITUTE($H902&amp;" "," ","|",2))+1,FIND("|",SUBSTITUTE($H902&amp;" "," ","|",3))-FIND("|",SUBSTITUTE($H902&amp;" "," ","|",2))-1),""))</f>
        <v/>
      </c>
      <c r="E902" s="58">
        <f>IF($H902="","",IFERROR(MID($H902&amp;" ",FIND("|",SUBSTITUTE($H902&amp;" "," ","|",3))+1,FIND("|",SUBSTITUTE($H902&amp;" "," ","|",4))-FIND("|",SUBSTITUTE($H902&amp;" "," ","|",3))-1),""))</f>
        <v/>
      </c>
      <c r="F902" s="59">
        <f>IF($H902="","",IFERROR(VALUE(IFERROR(MID($H902&amp;" ",FIND("|",SUBSTITUTE($H902&amp;" "," ","|",4))+1,FIND("|",SUBSTITUTE($H902&amp;" "," ","|",5))-FIND("|",SUBSTITUTE($H902&amp;" "," ","|",4))-1),""))/86400+25569+9/24,""))</f>
        <v/>
      </c>
      <c r="G902" s="58">
        <f>TRIM(SUBSTITUTE(SUBSTITUTE(SUBSTITUTE($A902,CHAR(9)," ")," "," "),CHAR(13),""))</f>
        <v/>
      </c>
      <c r="H902" s="58">
        <f>IF($G902="","",IF(ISNUMBER(FIND(" ",$G902)),$G902,IFERROR(IF((LEN(SUBSTITUTE(SUBSTITUTE($G902,"-"," ",LEN($G902)-LEN(SUBSTITUTE($G902,"-",""))),"-"," ",LEN($G902)-LEN(SUBSTITUTE($G902,"-",""))-1))-LEN(SUBSTITUTE(SUBSTITUTE(SUBSTITUTE($G902,"-"," ",LEN($G902)-LEN(SUBSTITUTE($G902,"-",""))),"-"," ",LEN($G902)-LEN(SUBSTITUTE($G902,"-",""))-1),".","")))=0,SUBSTITUTE(SUBSTITUTE($G902,"-"," ",LEN($G902)-LEN(SUBSTITUTE($G902,"-",""))),"-"," ",LEN($G902)-LEN(SUBSTITUTE($G902,"-",""))-1),SUBSTITUTE(SUBSTITUTE(SUBSTITUTE($G902,"-"," ",LEN($G902)-LEN(SUBSTITUTE($G902,"-",""))),"-"," ",LEN($G902)-LEN(SUBSTITUTE($G902,"-",""))-1),"."," ",(LEN(SUBSTITUTE(SUBSTITUTE($G902,"-"," ",LEN($G902)-LEN(SUBSTITUTE($G902,"-",""))),"-"," ",LEN($G902)-LEN(SUBSTITUTE($G902,"-",""))-1))-LEN(SUBSTITUTE(SUBSTITUTE(SUBSTITUTE($G902,"-"," ",LEN($G902)-LEN(SUBSTITUTE($G902,"-",""))),"-"," ",LEN($G902)-LEN(SUBSTITUTE($G902,"-",""))-1),".",""))))),$G902)))</f>
        <v/>
      </c>
    </row>
    <row r="903">
      <c r="A903" s="58" t="n"/>
      <c r="B903" s="58">
        <f>IF($H903="","",LEFT($H903,FIND(" ",$H903&amp;" ")-1))</f>
        <v/>
      </c>
      <c r="C903" s="58">
        <f>IF($H903="","",IFERROR(MID($H903&amp;" ",FIND("|",SUBSTITUTE($H903&amp;" "," ","|",1))+1,FIND("|",SUBSTITUTE($H903&amp;" "," ","|",2))-FIND("|",SUBSTITUTE($H903&amp;" "," ","|",1))-1),""))</f>
        <v/>
      </c>
      <c r="D903" s="58">
        <f>IF($H903="","",IFERROR(MID($H903&amp;" ",FIND("|",SUBSTITUTE($H903&amp;" "," ","|",2))+1,FIND("|",SUBSTITUTE($H903&amp;" "," ","|",3))-FIND("|",SUBSTITUTE($H903&amp;" "," ","|",2))-1),""))</f>
        <v/>
      </c>
      <c r="E903" s="58">
        <f>IF($H903="","",IFERROR(MID($H903&amp;" ",FIND("|",SUBSTITUTE($H903&amp;" "," ","|",3))+1,FIND("|",SUBSTITUTE($H903&amp;" "," ","|",4))-FIND("|",SUBSTITUTE($H903&amp;" "," ","|",3))-1),""))</f>
        <v/>
      </c>
      <c r="F903" s="59">
        <f>IF($H903="","",IFERROR(VALUE(IFERROR(MID($H903&amp;" ",FIND("|",SUBSTITUTE($H903&amp;" "," ","|",4))+1,FIND("|",SUBSTITUTE($H903&amp;" "," ","|",5))-FIND("|",SUBSTITUTE($H903&amp;" "," ","|",4))-1),""))/86400+25569+9/24,""))</f>
        <v/>
      </c>
      <c r="G903" s="58">
        <f>TRIM(SUBSTITUTE(SUBSTITUTE(SUBSTITUTE($A903,CHAR(9)," ")," "," "),CHAR(13),""))</f>
        <v/>
      </c>
      <c r="H903" s="58">
        <f>IF($G903="","",IF(ISNUMBER(FIND(" ",$G903)),$G903,IFERROR(IF((LEN(SUBSTITUTE(SUBSTITUTE($G903,"-"," ",LEN($G903)-LEN(SUBSTITUTE($G903,"-",""))),"-"," ",LEN($G903)-LEN(SUBSTITUTE($G903,"-",""))-1))-LEN(SUBSTITUTE(SUBSTITUTE(SUBSTITUTE($G903,"-"," ",LEN($G903)-LEN(SUBSTITUTE($G903,"-",""))),"-"," ",LEN($G903)-LEN(SUBSTITUTE($G903,"-",""))-1),".","")))=0,SUBSTITUTE(SUBSTITUTE($G903,"-"," ",LEN($G903)-LEN(SUBSTITUTE($G903,"-",""))),"-"," ",LEN($G903)-LEN(SUBSTITUTE($G903,"-",""))-1),SUBSTITUTE(SUBSTITUTE(SUBSTITUTE($G903,"-"," ",LEN($G903)-LEN(SUBSTITUTE($G903,"-",""))),"-"," ",LEN($G903)-LEN(SUBSTITUTE($G903,"-",""))-1),"."," ",(LEN(SUBSTITUTE(SUBSTITUTE($G903,"-"," ",LEN($G903)-LEN(SUBSTITUTE($G903,"-",""))),"-"," ",LEN($G903)-LEN(SUBSTITUTE($G903,"-",""))-1))-LEN(SUBSTITUTE(SUBSTITUTE(SUBSTITUTE($G903,"-"," ",LEN($G903)-LEN(SUBSTITUTE($G903,"-",""))),"-"," ",LEN($G903)-LEN(SUBSTITUTE($G903,"-",""))-1),".",""))))),$G903)))</f>
        <v/>
      </c>
    </row>
    <row r="904">
      <c r="A904" s="58" t="n"/>
      <c r="B904" s="58">
        <f>IF($H904="","",LEFT($H904,FIND(" ",$H904&amp;" ")-1))</f>
        <v/>
      </c>
      <c r="C904" s="58">
        <f>IF($H904="","",IFERROR(MID($H904&amp;" ",FIND("|",SUBSTITUTE($H904&amp;" "," ","|",1))+1,FIND("|",SUBSTITUTE($H904&amp;" "," ","|",2))-FIND("|",SUBSTITUTE($H904&amp;" "," ","|",1))-1),""))</f>
        <v/>
      </c>
      <c r="D904" s="58">
        <f>IF($H904="","",IFERROR(MID($H904&amp;" ",FIND("|",SUBSTITUTE($H904&amp;" "," ","|",2))+1,FIND("|",SUBSTITUTE($H904&amp;" "," ","|",3))-FIND("|",SUBSTITUTE($H904&amp;" "," ","|",2))-1),""))</f>
        <v/>
      </c>
      <c r="E904" s="58">
        <f>IF($H904="","",IFERROR(MID($H904&amp;" ",FIND("|",SUBSTITUTE($H904&amp;" "," ","|",3))+1,FIND("|",SUBSTITUTE($H904&amp;" "," ","|",4))-FIND("|",SUBSTITUTE($H904&amp;" "," ","|",3))-1),""))</f>
        <v/>
      </c>
      <c r="F904" s="59">
        <f>IF($H904="","",IFERROR(VALUE(IFERROR(MID($H904&amp;" ",FIND("|",SUBSTITUTE($H904&amp;" "," ","|",4))+1,FIND("|",SUBSTITUTE($H904&amp;" "," ","|",5))-FIND("|",SUBSTITUTE($H904&amp;" "," ","|",4))-1),""))/86400+25569+9/24,""))</f>
        <v/>
      </c>
      <c r="G904" s="58">
        <f>TRIM(SUBSTITUTE(SUBSTITUTE(SUBSTITUTE($A904,CHAR(9)," ")," "," "),CHAR(13),""))</f>
        <v/>
      </c>
      <c r="H904" s="58">
        <f>IF($G904="","",IF(ISNUMBER(FIND(" ",$G904)),$G904,IFERROR(IF((LEN(SUBSTITUTE(SUBSTITUTE($G904,"-"," ",LEN($G904)-LEN(SUBSTITUTE($G904,"-",""))),"-"," ",LEN($G904)-LEN(SUBSTITUTE($G904,"-",""))-1))-LEN(SUBSTITUTE(SUBSTITUTE(SUBSTITUTE($G904,"-"," ",LEN($G904)-LEN(SUBSTITUTE($G904,"-",""))),"-"," ",LEN($G904)-LEN(SUBSTITUTE($G904,"-",""))-1),".","")))=0,SUBSTITUTE(SUBSTITUTE($G904,"-"," ",LEN($G904)-LEN(SUBSTITUTE($G904,"-",""))),"-"," ",LEN($G904)-LEN(SUBSTITUTE($G904,"-",""))-1),SUBSTITUTE(SUBSTITUTE(SUBSTITUTE($G904,"-"," ",LEN($G904)-LEN(SUBSTITUTE($G904,"-",""))),"-"," ",LEN($G904)-LEN(SUBSTITUTE($G904,"-",""))-1),"."," ",(LEN(SUBSTITUTE(SUBSTITUTE($G904,"-"," ",LEN($G904)-LEN(SUBSTITUTE($G904,"-",""))),"-"," ",LEN($G904)-LEN(SUBSTITUTE($G904,"-",""))-1))-LEN(SUBSTITUTE(SUBSTITUTE(SUBSTITUTE($G904,"-"," ",LEN($G904)-LEN(SUBSTITUTE($G904,"-",""))),"-"," ",LEN($G904)-LEN(SUBSTITUTE($G904,"-",""))-1),".",""))))),$G904)))</f>
        <v/>
      </c>
    </row>
    <row r="905">
      <c r="A905" s="58" t="n"/>
      <c r="B905" s="58">
        <f>IF($H905="","",LEFT($H905,FIND(" ",$H905&amp;" ")-1))</f>
        <v/>
      </c>
      <c r="C905" s="58">
        <f>IF($H905="","",IFERROR(MID($H905&amp;" ",FIND("|",SUBSTITUTE($H905&amp;" "," ","|",1))+1,FIND("|",SUBSTITUTE($H905&amp;" "," ","|",2))-FIND("|",SUBSTITUTE($H905&amp;" "," ","|",1))-1),""))</f>
        <v/>
      </c>
      <c r="D905" s="58">
        <f>IF($H905="","",IFERROR(MID($H905&amp;" ",FIND("|",SUBSTITUTE($H905&amp;" "," ","|",2))+1,FIND("|",SUBSTITUTE($H905&amp;" "," ","|",3))-FIND("|",SUBSTITUTE($H905&amp;" "," ","|",2))-1),""))</f>
        <v/>
      </c>
      <c r="E905" s="58">
        <f>IF($H905="","",IFERROR(MID($H905&amp;" ",FIND("|",SUBSTITUTE($H905&amp;" "," ","|",3))+1,FIND("|",SUBSTITUTE($H905&amp;" "," ","|",4))-FIND("|",SUBSTITUTE($H905&amp;" "," ","|",3))-1),""))</f>
        <v/>
      </c>
      <c r="F905" s="59">
        <f>IF($H905="","",IFERROR(VALUE(IFERROR(MID($H905&amp;" ",FIND("|",SUBSTITUTE($H905&amp;" "," ","|",4))+1,FIND("|",SUBSTITUTE($H905&amp;" "," ","|",5))-FIND("|",SUBSTITUTE($H905&amp;" "," ","|",4))-1),""))/86400+25569+9/24,""))</f>
        <v/>
      </c>
      <c r="G905" s="58">
        <f>TRIM(SUBSTITUTE(SUBSTITUTE(SUBSTITUTE($A905,CHAR(9)," ")," "," "),CHAR(13),""))</f>
        <v/>
      </c>
      <c r="H905" s="58">
        <f>IF($G905="","",IF(ISNUMBER(FIND(" ",$G905)),$G905,IFERROR(IF((LEN(SUBSTITUTE(SUBSTITUTE($G905,"-"," ",LEN($G905)-LEN(SUBSTITUTE($G905,"-",""))),"-"," ",LEN($G905)-LEN(SUBSTITUTE($G905,"-",""))-1))-LEN(SUBSTITUTE(SUBSTITUTE(SUBSTITUTE($G905,"-"," ",LEN($G905)-LEN(SUBSTITUTE($G905,"-",""))),"-"," ",LEN($G905)-LEN(SUBSTITUTE($G905,"-",""))-1),".","")))=0,SUBSTITUTE(SUBSTITUTE($G905,"-"," ",LEN($G905)-LEN(SUBSTITUTE($G905,"-",""))),"-"," ",LEN($G905)-LEN(SUBSTITUTE($G905,"-",""))-1),SUBSTITUTE(SUBSTITUTE(SUBSTITUTE($G905,"-"," ",LEN($G905)-LEN(SUBSTITUTE($G905,"-",""))),"-"," ",LEN($G905)-LEN(SUBSTITUTE($G905,"-",""))-1),"."," ",(LEN(SUBSTITUTE(SUBSTITUTE($G905,"-"," ",LEN($G905)-LEN(SUBSTITUTE($G905,"-",""))),"-"," ",LEN($G905)-LEN(SUBSTITUTE($G905,"-",""))-1))-LEN(SUBSTITUTE(SUBSTITUTE(SUBSTITUTE($G905,"-"," ",LEN($G905)-LEN(SUBSTITUTE($G905,"-",""))),"-"," ",LEN($G905)-LEN(SUBSTITUTE($G905,"-",""))-1),".",""))))),$G905)))</f>
        <v/>
      </c>
    </row>
    <row r="906">
      <c r="A906" s="58" t="n"/>
      <c r="B906" s="58">
        <f>IF($H906="","",LEFT($H906,FIND(" ",$H906&amp;" ")-1))</f>
        <v/>
      </c>
      <c r="C906" s="58">
        <f>IF($H906="","",IFERROR(MID($H906&amp;" ",FIND("|",SUBSTITUTE($H906&amp;" "," ","|",1))+1,FIND("|",SUBSTITUTE($H906&amp;" "," ","|",2))-FIND("|",SUBSTITUTE($H906&amp;" "," ","|",1))-1),""))</f>
        <v/>
      </c>
      <c r="D906" s="58">
        <f>IF($H906="","",IFERROR(MID($H906&amp;" ",FIND("|",SUBSTITUTE($H906&amp;" "," ","|",2))+1,FIND("|",SUBSTITUTE($H906&amp;" "," ","|",3))-FIND("|",SUBSTITUTE($H906&amp;" "," ","|",2))-1),""))</f>
        <v/>
      </c>
      <c r="E906" s="58">
        <f>IF($H906="","",IFERROR(MID($H906&amp;" ",FIND("|",SUBSTITUTE($H906&amp;" "," ","|",3))+1,FIND("|",SUBSTITUTE($H906&amp;" "," ","|",4))-FIND("|",SUBSTITUTE($H906&amp;" "," ","|",3))-1),""))</f>
        <v/>
      </c>
      <c r="F906" s="59">
        <f>IF($H906="","",IFERROR(VALUE(IFERROR(MID($H906&amp;" ",FIND("|",SUBSTITUTE($H906&amp;" "," ","|",4))+1,FIND("|",SUBSTITUTE($H906&amp;" "," ","|",5))-FIND("|",SUBSTITUTE($H906&amp;" "," ","|",4))-1),""))/86400+25569+9/24,""))</f>
        <v/>
      </c>
      <c r="G906" s="58">
        <f>TRIM(SUBSTITUTE(SUBSTITUTE(SUBSTITUTE($A906,CHAR(9)," ")," "," "),CHAR(13),""))</f>
        <v/>
      </c>
      <c r="H906" s="58">
        <f>IF($G906="","",IF(ISNUMBER(FIND(" ",$G906)),$G906,IFERROR(IF((LEN(SUBSTITUTE(SUBSTITUTE($G906,"-"," ",LEN($G906)-LEN(SUBSTITUTE($G906,"-",""))),"-"," ",LEN($G906)-LEN(SUBSTITUTE($G906,"-",""))-1))-LEN(SUBSTITUTE(SUBSTITUTE(SUBSTITUTE($G906,"-"," ",LEN($G906)-LEN(SUBSTITUTE($G906,"-",""))),"-"," ",LEN($G906)-LEN(SUBSTITUTE($G906,"-",""))-1),".","")))=0,SUBSTITUTE(SUBSTITUTE($G906,"-"," ",LEN($G906)-LEN(SUBSTITUTE($G906,"-",""))),"-"," ",LEN($G906)-LEN(SUBSTITUTE($G906,"-",""))-1),SUBSTITUTE(SUBSTITUTE(SUBSTITUTE($G906,"-"," ",LEN($G906)-LEN(SUBSTITUTE($G906,"-",""))),"-"," ",LEN($G906)-LEN(SUBSTITUTE($G906,"-",""))-1),"."," ",(LEN(SUBSTITUTE(SUBSTITUTE($G906,"-"," ",LEN($G906)-LEN(SUBSTITUTE($G906,"-",""))),"-"," ",LEN($G906)-LEN(SUBSTITUTE($G906,"-",""))-1))-LEN(SUBSTITUTE(SUBSTITUTE(SUBSTITUTE($G906,"-"," ",LEN($G906)-LEN(SUBSTITUTE($G906,"-",""))),"-"," ",LEN($G906)-LEN(SUBSTITUTE($G906,"-",""))-1),".",""))))),$G906)))</f>
        <v/>
      </c>
    </row>
    <row r="907">
      <c r="A907" s="58" t="n"/>
      <c r="B907" s="58">
        <f>IF($H907="","",LEFT($H907,FIND(" ",$H907&amp;" ")-1))</f>
        <v/>
      </c>
      <c r="C907" s="58">
        <f>IF($H907="","",IFERROR(MID($H907&amp;" ",FIND("|",SUBSTITUTE($H907&amp;" "," ","|",1))+1,FIND("|",SUBSTITUTE($H907&amp;" "," ","|",2))-FIND("|",SUBSTITUTE($H907&amp;" "," ","|",1))-1),""))</f>
        <v/>
      </c>
      <c r="D907" s="58">
        <f>IF($H907="","",IFERROR(MID($H907&amp;" ",FIND("|",SUBSTITUTE($H907&amp;" "," ","|",2))+1,FIND("|",SUBSTITUTE($H907&amp;" "," ","|",3))-FIND("|",SUBSTITUTE($H907&amp;" "," ","|",2))-1),""))</f>
        <v/>
      </c>
      <c r="E907" s="58">
        <f>IF($H907="","",IFERROR(MID($H907&amp;" ",FIND("|",SUBSTITUTE($H907&amp;" "," ","|",3))+1,FIND("|",SUBSTITUTE($H907&amp;" "," ","|",4))-FIND("|",SUBSTITUTE($H907&amp;" "," ","|",3))-1),""))</f>
        <v/>
      </c>
      <c r="F907" s="59">
        <f>IF($H907="","",IFERROR(VALUE(IFERROR(MID($H907&amp;" ",FIND("|",SUBSTITUTE($H907&amp;" "," ","|",4))+1,FIND("|",SUBSTITUTE($H907&amp;" "," ","|",5))-FIND("|",SUBSTITUTE($H907&amp;" "," ","|",4))-1),""))/86400+25569+9/24,""))</f>
        <v/>
      </c>
      <c r="G907" s="58">
        <f>TRIM(SUBSTITUTE(SUBSTITUTE(SUBSTITUTE($A907,CHAR(9)," ")," "," "),CHAR(13),""))</f>
        <v/>
      </c>
      <c r="H907" s="58">
        <f>IF($G907="","",IF(ISNUMBER(FIND(" ",$G907)),$G907,IFERROR(IF((LEN(SUBSTITUTE(SUBSTITUTE($G907,"-"," ",LEN($G907)-LEN(SUBSTITUTE($G907,"-",""))),"-"," ",LEN($G907)-LEN(SUBSTITUTE($G907,"-",""))-1))-LEN(SUBSTITUTE(SUBSTITUTE(SUBSTITUTE($G907,"-"," ",LEN($G907)-LEN(SUBSTITUTE($G907,"-",""))),"-"," ",LEN($G907)-LEN(SUBSTITUTE($G907,"-",""))-1),".","")))=0,SUBSTITUTE(SUBSTITUTE($G907,"-"," ",LEN($G907)-LEN(SUBSTITUTE($G907,"-",""))),"-"," ",LEN($G907)-LEN(SUBSTITUTE($G907,"-",""))-1),SUBSTITUTE(SUBSTITUTE(SUBSTITUTE($G907,"-"," ",LEN($G907)-LEN(SUBSTITUTE($G907,"-",""))),"-"," ",LEN($G907)-LEN(SUBSTITUTE($G907,"-",""))-1),"."," ",(LEN(SUBSTITUTE(SUBSTITUTE($G907,"-"," ",LEN($G907)-LEN(SUBSTITUTE($G907,"-",""))),"-"," ",LEN($G907)-LEN(SUBSTITUTE($G907,"-",""))-1))-LEN(SUBSTITUTE(SUBSTITUTE(SUBSTITUTE($G907,"-"," ",LEN($G907)-LEN(SUBSTITUTE($G907,"-",""))),"-"," ",LEN($G907)-LEN(SUBSTITUTE($G907,"-",""))-1),".",""))))),$G907)))</f>
        <v/>
      </c>
    </row>
    <row r="908">
      <c r="A908" s="58" t="n"/>
      <c r="B908" s="58">
        <f>IF($H908="","",LEFT($H908,FIND(" ",$H908&amp;" ")-1))</f>
        <v/>
      </c>
      <c r="C908" s="58">
        <f>IF($H908="","",IFERROR(MID($H908&amp;" ",FIND("|",SUBSTITUTE($H908&amp;" "," ","|",1))+1,FIND("|",SUBSTITUTE($H908&amp;" "," ","|",2))-FIND("|",SUBSTITUTE($H908&amp;" "," ","|",1))-1),""))</f>
        <v/>
      </c>
      <c r="D908" s="58">
        <f>IF($H908="","",IFERROR(MID($H908&amp;" ",FIND("|",SUBSTITUTE($H908&amp;" "," ","|",2))+1,FIND("|",SUBSTITUTE($H908&amp;" "," ","|",3))-FIND("|",SUBSTITUTE($H908&amp;" "," ","|",2))-1),""))</f>
        <v/>
      </c>
      <c r="E908" s="58">
        <f>IF($H908="","",IFERROR(MID($H908&amp;" ",FIND("|",SUBSTITUTE($H908&amp;" "," ","|",3))+1,FIND("|",SUBSTITUTE($H908&amp;" "," ","|",4))-FIND("|",SUBSTITUTE($H908&amp;" "," ","|",3))-1),""))</f>
        <v/>
      </c>
      <c r="F908" s="59">
        <f>IF($H908="","",IFERROR(VALUE(IFERROR(MID($H908&amp;" ",FIND("|",SUBSTITUTE($H908&amp;" "," ","|",4))+1,FIND("|",SUBSTITUTE($H908&amp;" "," ","|",5))-FIND("|",SUBSTITUTE($H908&amp;" "," ","|",4))-1),""))/86400+25569+9/24,""))</f>
        <v/>
      </c>
      <c r="G908" s="58">
        <f>TRIM(SUBSTITUTE(SUBSTITUTE(SUBSTITUTE($A908,CHAR(9)," ")," "," "),CHAR(13),""))</f>
        <v/>
      </c>
      <c r="H908" s="58">
        <f>IF($G908="","",IF(ISNUMBER(FIND(" ",$G908)),$G908,IFERROR(IF((LEN(SUBSTITUTE(SUBSTITUTE($G908,"-"," ",LEN($G908)-LEN(SUBSTITUTE($G908,"-",""))),"-"," ",LEN($G908)-LEN(SUBSTITUTE($G908,"-",""))-1))-LEN(SUBSTITUTE(SUBSTITUTE(SUBSTITUTE($G908,"-"," ",LEN($G908)-LEN(SUBSTITUTE($G908,"-",""))),"-"," ",LEN($G908)-LEN(SUBSTITUTE($G908,"-",""))-1),".","")))=0,SUBSTITUTE(SUBSTITUTE($G908,"-"," ",LEN($G908)-LEN(SUBSTITUTE($G908,"-",""))),"-"," ",LEN($G908)-LEN(SUBSTITUTE($G908,"-",""))-1),SUBSTITUTE(SUBSTITUTE(SUBSTITUTE($G908,"-"," ",LEN($G908)-LEN(SUBSTITUTE($G908,"-",""))),"-"," ",LEN($G908)-LEN(SUBSTITUTE($G908,"-",""))-1),"."," ",(LEN(SUBSTITUTE(SUBSTITUTE($G908,"-"," ",LEN($G908)-LEN(SUBSTITUTE($G908,"-",""))),"-"," ",LEN($G908)-LEN(SUBSTITUTE($G908,"-",""))-1))-LEN(SUBSTITUTE(SUBSTITUTE(SUBSTITUTE($G908,"-"," ",LEN($G908)-LEN(SUBSTITUTE($G908,"-",""))),"-"," ",LEN($G908)-LEN(SUBSTITUTE($G908,"-",""))-1),".",""))))),$G908)))</f>
        <v/>
      </c>
    </row>
    <row r="909">
      <c r="A909" s="58" t="n"/>
      <c r="B909" s="58">
        <f>IF($H909="","",LEFT($H909,FIND(" ",$H909&amp;" ")-1))</f>
        <v/>
      </c>
      <c r="C909" s="58">
        <f>IF($H909="","",IFERROR(MID($H909&amp;" ",FIND("|",SUBSTITUTE($H909&amp;" "," ","|",1))+1,FIND("|",SUBSTITUTE($H909&amp;" "," ","|",2))-FIND("|",SUBSTITUTE($H909&amp;" "," ","|",1))-1),""))</f>
        <v/>
      </c>
      <c r="D909" s="58">
        <f>IF($H909="","",IFERROR(MID($H909&amp;" ",FIND("|",SUBSTITUTE($H909&amp;" "," ","|",2))+1,FIND("|",SUBSTITUTE($H909&amp;" "," ","|",3))-FIND("|",SUBSTITUTE($H909&amp;" "," ","|",2))-1),""))</f>
        <v/>
      </c>
      <c r="E909" s="58">
        <f>IF($H909="","",IFERROR(MID($H909&amp;" ",FIND("|",SUBSTITUTE($H909&amp;" "," ","|",3))+1,FIND("|",SUBSTITUTE($H909&amp;" "," ","|",4))-FIND("|",SUBSTITUTE($H909&amp;" "," ","|",3))-1),""))</f>
        <v/>
      </c>
      <c r="F909" s="59">
        <f>IF($H909="","",IFERROR(VALUE(IFERROR(MID($H909&amp;" ",FIND("|",SUBSTITUTE($H909&amp;" "," ","|",4))+1,FIND("|",SUBSTITUTE($H909&amp;" "," ","|",5))-FIND("|",SUBSTITUTE($H909&amp;" "," ","|",4))-1),""))/86400+25569+9/24,""))</f>
        <v/>
      </c>
      <c r="G909" s="58">
        <f>TRIM(SUBSTITUTE(SUBSTITUTE(SUBSTITUTE($A909,CHAR(9)," ")," "," "),CHAR(13),""))</f>
        <v/>
      </c>
      <c r="H909" s="58">
        <f>IF($G909="","",IF(ISNUMBER(FIND(" ",$G909)),$G909,IFERROR(IF((LEN(SUBSTITUTE(SUBSTITUTE($G909,"-"," ",LEN($G909)-LEN(SUBSTITUTE($G909,"-",""))),"-"," ",LEN($G909)-LEN(SUBSTITUTE($G909,"-",""))-1))-LEN(SUBSTITUTE(SUBSTITUTE(SUBSTITUTE($G909,"-"," ",LEN($G909)-LEN(SUBSTITUTE($G909,"-",""))),"-"," ",LEN($G909)-LEN(SUBSTITUTE($G909,"-",""))-1),".","")))=0,SUBSTITUTE(SUBSTITUTE($G909,"-"," ",LEN($G909)-LEN(SUBSTITUTE($G909,"-",""))),"-"," ",LEN($G909)-LEN(SUBSTITUTE($G909,"-",""))-1),SUBSTITUTE(SUBSTITUTE(SUBSTITUTE($G909,"-"," ",LEN($G909)-LEN(SUBSTITUTE($G909,"-",""))),"-"," ",LEN($G909)-LEN(SUBSTITUTE($G909,"-",""))-1),"."," ",(LEN(SUBSTITUTE(SUBSTITUTE($G909,"-"," ",LEN($G909)-LEN(SUBSTITUTE($G909,"-",""))),"-"," ",LEN($G909)-LEN(SUBSTITUTE($G909,"-",""))-1))-LEN(SUBSTITUTE(SUBSTITUTE(SUBSTITUTE($G909,"-"," ",LEN($G909)-LEN(SUBSTITUTE($G909,"-",""))),"-"," ",LEN($G909)-LEN(SUBSTITUTE($G909,"-",""))-1),".",""))))),$G909)))</f>
        <v/>
      </c>
    </row>
    <row r="910">
      <c r="A910" s="58" t="n"/>
      <c r="B910" s="58">
        <f>IF($H910="","",LEFT($H910,FIND(" ",$H910&amp;" ")-1))</f>
        <v/>
      </c>
      <c r="C910" s="58">
        <f>IF($H910="","",IFERROR(MID($H910&amp;" ",FIND("|",SUBSTITUTE($H910&amp;" "," ","|",1))+1,FIND("|",SUBSTITUTE($H910&amp;" "," ","|",2))-FIND("|",SUBSTITUTE($H910&amp;" "," ","|",1))-1),""))</f>
        <v/>
      </c>
      <c r="D910" s="58">
        <f>IF($H910="","",IFERROR(MID($H910&amp;" ",FIND("|",SUBSTITUTE($H910&amp;" "," ","|",2))+1,FIND("|",SUBSTITUTE($H910&amp;" "," ","|",3))-FIND("|",SUBSTITUTE($H910&amp;" "," ","|",2))-1),""))</f>
        <v/>
      </c>
      <c r="E910" s="58">
        <f>IF($H910="","",IFERROR(MID($H910&amp;" ",FIND("|",SUBSTITUTE($H910&amp;" "," ","|",3))+1,FIND("|",SUBSTITUTE($H910&amp;" "," ","|",4))-FIND("|",SUBSTITUTE($H910&amp;" "," ","|",3))-1),""))</f>
        <v/>
      </c>
      <c r="F910" s="59">
        <f>IF($H910="","",IFERROR(VALUE(IFERROR(MID($H910&amp;" ",FIND("|",SUBSTITUTE($H910&amp;" "," ","|",4))+1,FIND("|",SUBSTITUTE($H910&amp;" "," ","|",5))-FIND("|",SUBSTITUTE($H910&amp;" "," ","|",4))-1),""))/86400+25569+9/24,""))</f>
        <v/>
      </c>
      <c r="G910" s="58">
        <f>TRIM(SUBSTITUTE(SUBSTITUTE(SUBSTITUTE($A910,CHAR(9)," ")," "," "),CHAR(13),""))</f>
        <v/>
      </c>
      <c r="H910" s="58">
        <f>IF($G910="","",IF(ISNUMBER(FIND(" ",$G910)),$G910,IFERROR(IF((LEN(SUBSTITUTE(SUBSTITUTE($G910,"-"," ",LEN($G910)-LEN(SUBSTITUTE($G910,"-",""))),"-"," ",LEN($G910)-LEN(SUBSTITUTE($G910,"-",""))-1))-LEN(SUBSTITUTE(SUBSTITUTE(SUBSTITUTE($G910,"-"," ",LEN($G910)-LEN(SUBSTITUTE($G910,"-",""))),"-"," ",LEN($G910)-LEN(SUBSTITUTE($G910,"-",""))-1),".","")))=0,SUBSTITUTE(SUBSTITUTE($G910,"-"," ",LEN($G910)-LEN(SUBSTITUTE($G910,"-",""))),"-"," ",LEN($G910)-LEN(SUBSTITUTE($G910,"-",""))-1),SUBSTITUTE(SUBSTITUTE(SUBSTITUTE($G910,"-"," ",LEN($G910)-LEN(SUBSTITUTE($G910,"-",""))),"-"," ",LEN($G910)-LEN(SUBSTITUTE($G910,"-",""))-1),"."," ",(LEN(SUBSTITUTE(SUBSTITUTE($G910,"-"," ",LEN($G910)-LEN(SUBSTITUTE($G910,"-",""))),"-"," ",LEN($G910)-LEN(SUBSTITUTE($G910,"-",""))-1))-LEN(SUBSTITUTE(SUBSTITUTE(SUBSTITUTE($G910,"-"," ",LEN($G910)-LEN(SUBSTITUTE($G910,"-",""))),"-"," ",LEN($G910)-LEN(SUBSTITUTE($G910,"-",""))-1),".",""))))),$G910)))</f>
        <v/>
      </c>
    </row>
    <row r="911">
      <c r="A911" s="58" t="n"/>
      <c r="B911" s="58">
        <f>IF($H911="","",LEFT($H911,FIND(" ",$H911&amp;" ")-1))</f>
        <v/>
      </c>
      <c r="C911" s="58">
        <f>IF($H911="","",IFERROR(MID($H911&amp;" ",FIND("|",SUBSTITUTE($H911&amp;" "," ","|",1))+1,FIND("|",SUBSTITUTE($H911&amp;" "," ","|",2))-FIND("|",SUBSTITUTE($H911&amp;" "," ","|",1))-1),""))</f>
        <v/>
      </c>
      <c r="D911" s="58">
        <f>IF($H911="","",IFERROR(MID($H911&amp;" ",FIND("|",SUBSTITUTE($H911&amp;" "," ","|",2))+1,FIND("|",SUBSTITUTE($H911&amp;" "," ","|",3))-FIND("|",SUBSTITUTE($H911&amp;" "," ","|",2))-1),""))</f>
        <v/>
      </c>
      <c r="E911" s="58">
        <f>IF($H911="","",IFERROR(MID($H911&amp;" ",FIND("|",SUBSTITUTE($H911&amp;" "," ","|",3))+1,FIND("|",SUBSTITUTE($H911&amp;" "," ","|",4))-FIND("|",SUBSTITUTE($H911&amp;" "," ","|",3))-1),""))</f>
        <v/>
      </c>
      <c r="F911" s="59">
        <f>IF($H911="","",IFERROR(VALUE(IFERROR(MID($H911&amp;" ",FIND("|",SUBSTITUTE($H911&amp;" "," ","|",4))+1,FIND("|",SUBSTITUTE($H911&amp;" "," ","|",5))-FIND("|",SUBSTITUTE($H911&amp;" "," ","|",4))-1),""))/86400+25569+9/24,""))</f>
        <v/>
      </c>
      <c r="G911" s="58">
        <f>TRIM(SUBSTITUTE(SUBSTITUTE(SUBSTITUTE($A911,CHAR(9)," ")," "," "),CHAR(13),""))</f>
        <v/>
      </c>
      <c r="H911" s="58">
        <f>IF($G911="","",IF(ISNUMBER(FIND(" ",$G911)),$G911,IFERROR(IF((LEN(SUBSTITUTE(SUBSTITUTE($G911,"-"," ",LEN($G911)-LEN(SUBSTITUTE($G911,"-",""))),"-"," ",LEN($G911)-LEN(SUBSTITUTE($G911,"-",""))-1))-LEN(SUBSTITUTE(SUBSTITUTE(SUBSTITUTE($G911,"-"," ",LEN($G911)-LEN(SUBSTITUTE($G911,"-",""))),"-"," ",LEN($G911)-LEN(SUBSTITUTE($G911,"-",""))-1),".","")))=0,SUBSTITUTE(SUBSTITUTE($G911,"-"," ",LEN($G911)-LEN(SUBSTITUTE($G911,"-",""))),"-"," ",LEN($G911)-LEN(SUBSTITUTE($G911,"-",""))-1),SUBSTITUTE(SUBSTITUTE(SUBSTITUTE($G911,"-"," ",LEN($G911)-LEN(SUBSTITUTE($G911,"-",""))),"-"," ",LEN($G911)-LEN(SUBSTITUTE($G911,"-",""))-1),"."," ",(LEN(SUBSTITUTE(SUBSTITUTE($G911,"-"," ",LEN($G911)-LEN(SUBSTITUTE($G911,"-",""))),"-"," ",LEN($G911)-LEN(SUBSTITUTE($G911,"-",""))-1))-LEN(SUBSTITUTE(SUBSTITUTE(SUBSTITUTE($G911,"-"," ",LEN($G911)-LEN(SUBSTITUTE($G911,"-",""))),"-"," ",LEN($G911)-LEN(SUBSTITUTE($G911,"-",""))-1),".",""))))),$G911)))</f>
        <v/>
      </c>
    </row>
    <row r="912">
      <c r="A912" s="58" t="n"/>
      <c r="B912" s="58">
        <f>IF($H912="","",LEFT($H912,FIND(" ",$H912&amp;" ")-1))</f>
        <v/>
      </c>
      <c r="C912" s="58">
        <f>IF($H912="","",IFERROR(MID($H912&amp;" ",FIND("|",SUBSTITUTE($H912&amp;" "," ","|",1))+1,FIND("|",SUBSTITUTE($H912&amp;" "," ","|",2))-FIND("|",SUBSTITUTE($H912&amp;" "," ","|",1))-1),""))</f>
        <v/>
      </c>
      <c r="D912" s="58">
        <f>IF($H912="","",IFERROR(MID($H912&amp;" ",FIND("|",SUBSTITUTE($H912&amp;" "," ","|",2))+1,FIND("|",SUBSTITUTE($H912&amp;" "," ","|",3))-FIND("|",SUBSTITUTE($H912&amp;" "," ","|",2))-1),""))</f>
        <v/>
      </c>
      <c r="E912" s="58">
        <f>IF($H912="","",IFERROR(MID($H912&amp;" ",FIND("|",SUBSTITUTE($H912&amp;" "," ","|",3))+1,FIND("|",SUBSTITUTE($H912&amp;" "," ","|",4))-FIND("|",SUBSTITUTE($H912&amp;" "," ","|",3))-1),""))</f>
        <v/>
      </c>
      <c r="F912" s="59">
        <f>IF($H912="","",IFERROR(VALUE(IFERROR(MID($H912&amp;" ",FIND("|",SUBSTITUTE($H912&amp;" "," ","|",4))+1,FIND("|",SUBSTITUTE($H912&amp;" "," ","|",5))-FIND("|",SUBSTITUTE($H912&amp;" "," ","|",4))-1),""))/86400+25569+9/24,""))</f>
        <v/>
      </c>
      <c r="G912" s="58">
        <f>TRIM(SUBSTITUTE(SUBSTITUTE(SUBSTITUTE($A912,CHAR(9)," ")," "," "),CHAR(13),""))</f>
        <v/>
      </c>
      <c r="H912" s="58">
        <f>IF($G912="","",IF(ISNUMBER(FIND(" ",$G912)),$G912,IFERROR(IF((LEN(SUBSTITUTE(SUBSTITUTE($G912,"-"," ",LEN($G912)-LEN(SUBSTITUTE($G912,"-",""))),"-"," ",LEN($G912)-LEN(SUBSTITUTE($G912,"-",""))-1))-LEN(SUBSTITUTE(SUBSTITUTE(SUBSTITUTE($G912,"-"," ",LEN($G912)-LEN(SUBSTITUTE($G912,"-",""))),"-"," ",LEN($G912)-LEN(SUBSTITUTE($G912,"-",""))-1),".","")))=0,SUBSTITUTE(SUBSTITUTE($G912,"-"," ",LEN($G912)-LEN(SUBSTITUTE($G912,"-",""))),"-"," ",LEN($G912)-LEN(SUBSTITUTE($G912,"-",""))-1),SUBSTITUTE(SUBSTITUTE(SUBSTITUTE($G912,"-"," ",LEN($G912)-LEN(SUBSTITUTE($G912,"-",""))),"-"," ",LEN($G912)-LEN(SUBSTITUTE($G912,"-",""))-1),"."," ",(LEN(SUBSTITUTE(SUBSTITUTE($G912,"-"," ",LEN($G912)-LEN(SUBSTITUTE($G912,"-",""))),"-"," ",LEN($G912)-LEN(SUBSTITUTE($G912,"-",""))-1))-LEN(SUBSTITUTE(SUBSTITUTE(SUBSTITUTE($G912,"-"," ",LEN($G912)-LEN(SUBSTITUTE($G912,"-",""))),"-"," ",LEN($G912)-LEN(SUBSTITUTE($G912,"-",""))-1),".",""))))),$G912)))</f>
        <v/>
      </c>
    </row>
    <row r="913">
      <c r="A913" s="58" t="n"/>
      <c r="B913" s="58">
        <f>IF($H913="","",LEFT($H913,FIND(" ",$H913&amp;" ")-1))</f>
        <v/>
      </c>
      <c r="C913" s="58">
        <f>IF($H913="","",IFERROR(MID($H913&amp;" ",FIND("|",SUBSTITUTE($H913&amp;" "," ","|",1))+1,FIND("|",SUBSTITUTE($H913&amp;" "," ","|",2))-FIND("|",SUBSTITUTE($H913&amp;" "," ","|",1))-1),""))</f>
        <v/>
      </c>
      <c r="D913" s="58">
        <f>IF($H913="","",IFERROR(MID($H913&amp;" ",FIND("|",SUBSTITUTE($H913&amp;" "," ","|",2))+1,FIND("|",SUBSTITUTE($H913&amp;" "," ","|",3))-FIND("|",SUBSTITUTE($H913&amp;" "," ","|",2))-1),""))</f>
        <v/>
      </c>
      <c r="E913" s="58">
        <f>IF($H913="","",IFERROR(MID($H913&amp;" ",FIND("|",SUBSTITUTE($H913&amp;" "," ","|",3))+1,FIND("|",SUBSTITUTE($H913&amp;" "," ","|",4))-FIND("|",SUBSTITUTE($H913&amp;" "," ","|",3))-1),""))</f>
        <v/>
      </c>
      <c r="F913" s="59">
        <f>IF($H913="","",IFERROR(VALUE(IFERROR(MID($H913&amp;" ",FIND("|",SUBSTITUTE($H913&amp;" "," ","|",4))+1,FIND("|",SUBSTITUTE($H913&amp;" "," ","|",5))-FIND("|",SUBSTITUTE($H913&amp;" "," ","|",4))-1),""))/86400+25569+9/24,""))</f>
        <v/>
      </c>
      <c r="G913" s="58">
        <f>TRIM(SUBSTITUTE(SUBSTITUTE(SUBSTITUTE($A913,CHAR(9)," ")," "," "),CHAR(13),""))</f>
        <v/>
      </c>
      <c r="H913" s="58">
        <f>IF($G913="","",IF(ISNUMBER(FIND(" ",$G913)),$G913,IFERROR(IF((LEN(SUBSTITUTE(SUBSTITUTE($G913,"-"," ",LEN($G913)-LEN(SUBSTITUTE($G913,"-",""))),"-"," ",LEN($G913)-LEN(SUBSTITUTE($G913,"-",""))-1))-LEN(SUBSTITUTE(SUBSTITUTE(SUBSTITUTE($G913,"-"," ",LEN($G913)-LEN(SUBSTITUTE($G913,"-",""))),"-"," ",LEN($G913)-LEN(SUBSTITUTE($G913,"-",""))-1),".","")))=0,SUBSTITUTE(SUBSTITUTE($G913,"-"," ",LEN($G913)-LEN(SUBSTITUTE($G913,"-",""))),"-"," ",LEN($G913)-LEN(SUBSTITUTE($G913,"-",""))-1),SUBSTITUTE(SUBSTITUTE(SUBSTITUTE($G913,"-"," ",LEN($G913)-LEN(SUBSTITUTE($G913,"-",""))),"-"," ",LEN($G913)-LEN(SUBSTITUTE($G913,"-",""))-1),"."," ",(LEN(SUBSTITUTE(SUBSTITUTE($G913,"-"," ",LEN($G913)-LEN(SUBSTITUTE($G913,"-",""))),"-"," ",LEN($G913)-LEN(SUBSTITUTE($G913,"-",""))-1))-LEN(SUBSTITUTE(SUBSTITUTE(SUBSTITUTE($G913,"-"," ",LEN($G913)-LEN(SUBSTITUTE($G913,"-",""))),"-"," ",LEN($G913)-LEN(SUBSTITUTE($G913,"-",""))-1),".",""))))),$G913)))</f>
        <v/>
      </c>
    </row>
    <row r="914">
      <c r="A914" s="58" t="n"/>
      <c r="B914" s="58">
        <f>IF($H914="","",LEFT($H914,FIND(" ",$H914&amp;" ")-1))</f>
        <v/>
      </c>
      <c r="C914" s="58">
        <f>IF($H914="","",IFERROR(MID($H914&amp;" ",FIND("|",SUBSTITUTE($H914&amp;" "," ","|",1))+1,FIND("|",SUBSTITUTE($H914&amp;" "," ","|",2))-FIND("|",SUBSTITUTE($H914&amp;" "," ","|",1))-1),""))</f>
        <v/>
      </c>
      <c r="D914" s="58">
        <f>IF($H914="","",IFERROR(MID($H914&amp;" ",FIND("|",SUBSTITUTE($H914&amp;" "," ","|",2))+1,FIND("|",SUBSTITUTE($H914&amp;" "," ","|",3))-FIND("|",SUBSTITUTE($H914&amp;" "," ","|",2))-1),""))</f>
        <v/>
      </c>
      <c r="E914" s="58">
        <f>IF($H914="","",IFERROR(MID($H914&amp;" ",FIND("|",SUBSTITUTE($H914&amp;" "," ","|",3))+1,FIND("|",SUBSTITUTE($H914&amp;" "," ","|",4))-FIND("|",SUBSTITUTE($H914&amp;" "," ","|",3))-1),""))</f>
        <v/>
      </c>
      <c r="F914" s="59">
        <f>IF($H914="","",IFERROR(VALUE(IFERROR(MID($H914&amp;" ",FIND("|",SUBSTITUTE($H914&amp;" "," ","|",4))+1,FIND("|",SUBSTITUTE($H914&amp;" "," ","|",5))-FIND("|",SUBSTITUTE($H914&amp;" "," ","|",4))-1),""))/86400+25569+9/24,""))</f>
        <v/>
      </c>
      <c r="G914" s="58">
        <f>TRIM(SUBSTITUTE(SUBSTITUTE(SUBSTITUTE($A914,CHAR(9)," ")," "," "),CHAR(13),""))</f>
        <v/>
      </c>
      <c r="H914" s="58">
        <f>IF($G914="","",IF(ISNUMBER(FIND(" ",$G914)),$G914,IFERROR(IF((LEN(SUBSTITUTE(SUBSTITUTE($G914,"-"," ",LEN($G914)-LEN(SUBSTITUTE($G914,"-",""))),"-"," ",LEN($G914)-LEN(SUBSTITUTE($G914,"-",""))-1))-LEN(SUBSTITUTE(SUBSTITUTE(SUBSTITUTE($G914,"-"," ",LEN($G914)-LEN(SUBSTITUTE($G914,"-",""))),"-"," ",LEN($G914)-LEN(SUBSTITUTE($G914,"-",""))-1),".","")))=0,SUBSTITUTE(SUBSTITUTE($G914,"-"," ",LEN($G914)-LEN(SUBSTITUTE($G914,"-",""))),"-"," ",LEN($G914)-LEN(SUBSTITUTE($G914,"-",""))-1),SUBSTITUTE(SUBSTITUTE(SUBSTITUTE($G914,"-"," ",LEN($G914)-LEN(SUBSTITUTE($G914,"-",""))),"-"," ",LEN($G914)-LEN(SUBSTITUTE($G914,"-",""))-1),"."," ",(LEN(SUBSTITUTE(SUBSTITUTE($G914,"-"," ",LEN($G914)-LEN(SUBSTITUTE($G914,"-",""))),"-"," ",LEN($G914)-LEN(SUBSTITUTE($G914,"-",""))-1))-LEN(SUBSTITUTE(SUBSTITUTE(SUBSTITUTE($G914,"-"," ",LEN($G914)-LEN(SUBSTITUTE($G914,"-",""))),"-"," ",LEN($G914)-LEN(SUBSTITUTE($G914,"-",""))-1),".",""))))),$G914)))</f>
        <v/>
      </c>
    </row>
    <row r="915">
      <c r="A915" s="58" t="n"/>
      <c r="B915" s="58">
        <f>IF($H915="","",LEFT($H915,FIND(" ",$H915&amp;" ")-1))</f>
        <v/>
      </c>
      <c r="C915" s="58">
        <f>IF($H915="","",IFERROR(MID($H915&amp;" ",FIND("|",SUBSTITUTE($H915&amp;" "," ","|",1))+1,FIND("|",SUBSTITUTE($H915&amp;" "," ","|",2))-FIND("|",SUBSTITUTE($H915&amp;" "," ","|",1))-1),""))</f>
        <v/>
      </c>
      <c r="D915" s="58">
        <f>IF($H915="","",IFERROR(MID($H915&amp;" ",FIND("|",SUBSTITUTE($H915&amp;" "," ","|",2))+1,FIND("|",SUBSTITUTE($H915&amp;" "," ","|",3))-FIND("|",SUBSTITUTE($H915&amp;" "," ","|",2))-1),""))</f>
        <v/>
      </c>
      <c r="E915" s="58">
        <f>IF($H915="","",IFERROR(MID($H915&amp;" ",FIND("|",SUBSTITUTE($H915&amp;" "," ","|",3))+1,FIND("|",SUBSTITUTE($H915&amp;" "," ","|",4))-FIND("|",SUBSTITUTE($H915&amp;" "," ","|",3))-1),""))</f>
        <v/>
      </c>
      <c r="F915" s="59">
        <f>IF($H915="","",IFERROR(VALUE(IFERROR(MID($H915&amp;" ",FIND("|",SUBSTITUTE($H915&amp;" "," ","|",4))+1,FIND("|",SUBSTITUTE($H915&amp;" "," ","|",5))-FIND("|",SUBSTITUTE($H915&amp;" "," ","|",4))-1),""))/86400+25569+9/24,""))</f>
        <v/>
      </c>
      <c r="G915" s="58">
        <f>TRIM(SUBSTITUTE(SUBSTITUTE(SUBSTITUTE($A915,CHAR(9)," ")," "," "),CHAR(13),""))</f>
        <v/>
      </c>
      <c r="H915" s="58">
        <f>IF($G915="","",IF(ISNUMBER(FIND(" ",$G915)),$G915,IFERROR(IF((LEN(SUBSTITUTE(SUBSTITUTE($G915,"-"," ",LEN($G915)-LEN(SUBSTITUTE($G915,"-",""))),"-"," ",LEN($G915)-LEN(SUBSTITUTE($G915,"-",""))-1))-LEN(SUBSTITUTE(SUBSTITUTE(SUBSTITUTE($G915,"-"," ",LEN($G915)-LEN(SUBSTITUTE($G915,"-",""))),"-"," ",LEN($G915)-LEN(SUBSTITUTE($G915,"-",""))-1),".","")))=0,SUBSTITUTE(SUBSTITUTE($G915,"-"," ",LEN($G915)-LEN(SUBSTITUTE($G915,"-",""))),"-"," ",LEN($G915)-LEN(SUBSTITUTE($G915,"-",""))-1),SUBSTITUTE(SUBSTITUTE(SUBSTITUTE($G915,"-"," ",LEN($G915)-LEN(SUBSTITUTE($G915,"-",""))),"-"," ",LEN($G915)-LEN(SUBSTITUTE($G915,"-",""))-1),"."," ",(LEN(SUBSTITUTE(SUBSTITUTE($G915,"-"," ",LEN($G915)-LEN(SUBSTITUTE($G915,"-",""))),"-"," ",LEN($G915)-LEN(SUBSTITUTE($G915,"-",""))-1))-LEN(SUBSTITUTE(SUBSTITUTE(SUBSTITUTE($G915,"-"," ",LEN($G915)-LEN(SUBSTITUTE($G915,"-",""))),"-"," ",LEN($G915)-LEN(SUBSTITUTE($G915,"-",""))-1),".",""))))),$G915)))</f>
        <v/>
      </c>
    </row>
    <row r="916">
      <c r="A916" s="58" t="n"/>
      <c r="B916" s="58">
        <f>IF($H916="","",LEFT($H916,FIND(" ",$H916&amp;" ")-1))</f>
        <v/>
      </c>
      <c r="C916" s="58">
        <f>IF($H916="","",IFERROR(MID($H916&amp;" ",FIND("|",SUBSTITUTE($H916&amp;" "," ","|",1))+1,FIND("|",SUBSTITUTE($H916&amp;" "," ","|",2))-FIND("|",SUBSTITUTE($H916&amp;" "," ","|",1))-1),""))</f>
        <v/>
      </c>
      <c r="D916" s="58">
        <f>IF($H916="","",IFERROR(MID($H916&amp;" ",FIND("|",SUBSTITUTE($H916&amp;" "," ","|",2))+1,FIND("|",SUBSTITUTE($H916&amp;" "," ","|",3))-FIND("|",SUBSTITUTE($H916&amp;" "," ","|",2))-1),""))</f>
        <v/>
      </c>
      <c r="E916" s="58">
        <f>IF($H916="","",IFERROR(MID($H916&amp;" ",FIND("|",SUBSTITUTE($H916&amp;" "," ","|",3))+1,FIND("|",SUBSTITUTE($H916&amp;" "," ","|",4))-FIND("|",SUBSTITUTE($H916&amp;" "," ","|",3))-1),""))</f>
        <v/>
      </c>
      <c r="F916" s="59">
        <f>IF($H916="","",IFERROR(VALUE(IFERROR(MID($H916&amp;" ",FIND("|",SUBSTITUTE($H916&amp;" "," ","|",4))+1,FIND("|",SUBSTITUTE($H916&amp;" "," ","|",5))-FIND("|",SUBSTITUTE($H916&amp;" "," ","|",4))-1),""))/86400+25569+9/24,""))</f>
        <v/>
      </c>
      <c r="G916" s="58">
        <f>TRIM(SUBSTITUTE(SUBSTITUTE(SUBSTITUTE($A916,CHAR(9)," ")," "," "),CHAR(13),""))</f>
        <v/>
      </c>
      <c r="H916" s="58">
        <f>IF($G916="","",IF(ISNUMBER(FIND(" ",$G916)),$G916,IFERROR(IF((LEN(SUBSTITUTE(SUBSTITUTE($G916,"-"," ",LEN($G916)-LEN(SUBSTITUTE($G916,"-",""))),"-"," ",LEN($G916)-LEN(SUBSTITUTE($G916,"-",""))-1))-LEN(SUBSTITUTE(SUBSTITUTE(SUBSTITUTE($G916,"-"," ",LEN($G916)-LEN(SUBSTITUTE($G916,"-",""))),"-"," ",LEN($G916)-LEN(SUBSTITUTE($G916,"-",""))-1),".","")))=0,SUBSTITUTE(SUBSTITUTE($G916,"-"," ",LEN($G916)-LEN(SUBSTITUTE($G916,"-",""))),"-"," ",LEN($G916)-LEN(SUBSTITUTE($G916,"-",""))-1),SUBSTITUTE(SUBSTITUTE(SUBSTITUTE($G916,"-"," ",LEN($G916)-LEN(SUBSTITUTE($G916,"-",""))),"-"," ",LEN($G916)-LEN(SUBSTITUTE($G916,"-",""))-1),"."," ",(LEN(SUBSTITUTE(SUBSTITUTE($G916,"-"," ",LEN($G916)-LEN(SUBSTITUTE($G916,"-",""))),"-"," ",LEN($G916)-LEN(SUBSTITUTE($G916,"-",""))-1))-LEN(SUBSTITUTE(SUBSTITUTE(SUBSTITUTE($G916,"-"," ",LEN($G916)-LEN(SUBSTITUTE($G916,"-",""))),"-"," ",LEN($G916)-LEN(SUBSTITUTE($G916,"-",""))-1),".",""))))),$G916)))</f>
        <v/>
      </c>
    </row>
    <row r="917">
      <c r="A917" s="58" t="n"/>
      <c r="B917" s="58">
        <f>IF($H917="","",LEFT($H917,FIND(" ",$H917&amp;" ")-1))</f>
        <v/>
      </c>
      <c r="C917" s="58">
        <f>IF($H917="","",IFERROR(MID($H917&amp;" ",FIND("|",SUBSTITUTE($H917&amp;" "," ","|",1))+1,FIND("|",SUBSTITUTE($H917&amp;" "," ","|",2))-FIND("|",SUBSTITUTE($H917&amp;" "," ","|",1))-1),""))</f>
        <v/>
      </c>
      <c r="D917" s="58">
        <f>IF($H917="","",IFERROR(MID($H917&amp;" ",FIND("|",SUBSTITUTE($H917&amp;" "," ","|",2))+1,FIND("|",SUBSTITUTE($H917&amp;" "," ","|",3))-FIND("|",SUBSTITUTE($H917&amp;" "," ","|",2))-1),""))</f>
        <v/>
      </c>
      <c r="E917" s="58">
        <f>IF($H917="","",IFERROR(MID($H917&amp;" ",FIND("|",SUBSTITUTE($H917&amp;" "," ","|",3))+1,FIND("|",SUBSTITUTE($H917&amp;" "," ","|",4))-FIND("|",SUBSTITUTE($H917&amp;" "," ","|",3))-1),""))</f>
        <v/>
      </c>
      <c r="F917" s="59">
        <f>IF($H917="","",IFERROR(VALUE(IFERROR(MID($H917&amp;" ",FIND("|",SUBSTITUTE($H917&amp;" "," ","|",4))+1,FIND("|",SUBSTITUTE($H917&amp;" "," ","|",5))-FIND("|",SUBSTITUTE($H917&amp;" "," ","|",4))-1),""))/86400+25569+9/24,""))</f>
        <v/>
      </c>
      <c r="G917" s="58">
        <f>TRIM(SUBSTITUTE(SUBSTITUTE(SUBSTITUTE($A917,CHAR(9)," ")," "," "),CHAR(13),""))</f>
        <v/>
      </c>
      <c r="H917" s="58">
        <f>IF($G917="","",IF(ISNUMBER(FIND(" ",$G917)),$G917,IFERROR(IF((LEN(SUBSTITUTE(SUBSTITUTE($G917,"-"," ",LEN($G917)-LEN(SUBSTITUTE($G917,"-",""))),"-"," ",LEN($G917)-LEN(SUBSTITUTE($G917,"-",""))-1))-LEN(SUBSTITUTE(SUBSTITUTE(SUBSTITUTE($G917,"-"," ",LEN($G917)-LEN(SUBSTITUTE($G917,"-",""))),"-"," ",LEN($G917)-LEN(SUBSTITUTE($G917,"-",""))-1),".","")))=0,SUBSTITUTE(SUBSTITUTE($G917,"-"," ",LEN($G917)-LEN(SUBSTITUTE($G917,"-",""))),"-"," ",LEN($G917)-LEN(SUBSTITUTE($G917,"-",""))-1),SUBSTITUTE(SUBSTITUTE(SUBSTITUTE($G917,"-"," ",LEN($G917)-LEN(SUBSTITUTE($G917,"-",""))),"-"," ",LEN($G917)-LEN(SUBSTITUTE($G917,"-",""))-1),"."," ",(LEN(SUBSTITUTE(SUBSTITUTE($G917,"-"," ",LEN($G917)-LEN(SUBSTITUTE($G917,"-",""))),"-"," ",LEN($G917)-LEN(SUBSTITUTE($G917,"-",""))-1))-LEN(SUBSTITUTE(SUBSTITUTE(SUBSTITUTE($G917,"-"," ",LEN($G917)-LEN(SUBSTITUTE($G917,"-",""))),"-"," ",LEN($G917)-LEN(SUBSTITUTE($G917,"-",""))-1),".",""))))),$G917)))</f>
        <v/>
      </c>
    </row>
    <row r="918">
      <c r="A918" s="58" t="n"/>
      <c r="B918" s="58">
        <f>IF($H918="","",LEFT($H918,FIND(" ",$H918&amp;" ")-1))</f>
        <v/>
      </c>
      <c r="C918" s="58">
        <f>IF($H918="","",IFERROR(MID($H918&amp;" ",FIND("|",SUBSTITUTE($H918&amp;" "," ","|",1))+1,FIND("|",SUBSTITUTE($H918&amp;" "," ","|",2))-FIND("|",SUBSTITUTE($H918&amp;" "," ","|",1))-1),""))</f>
        <v/>
      </c>
      <c r="D918" s="58">
        <f>IF($H918="","",IFERROR(MID($H918&amp;" ",FIND("|",SUBSTITUTE($H918&amp;" "," ","|",2))+1,FIND("|",SUBSTITUTE($H918&amp;" "," ","|",3))-FIND("|",SUBSTITUTE($H918&amp;" "," ","|",2))-1),""))</f>
        <v/>
      </c>
      <c r="E918" s="58">
        <f>IF($H918="","",IFERROR(MID($H918&amp;" ",FIND("|",SUBSTITUTE($H918&amp;" "," ","|",3))+1,FIND("|",SUBSTITUTE($H918&amp;" "," ","|",4))-FIND("|",SUBSTITUTE($H918&amp;" "," ","|",3))-1),""))</f>
        <v/>
      </c>
      <c r="F918" s="59">
        <f>IF($H918="","",IFERROR(VALUE(IFERROR(MID($H918&amp;" ",FIND("|",SUBSTITUTE($H918&amp;" "," ","|",4))+1,FIND("|",SUBSTITUTE($H918&amp;" "," ","|",5))-FIND("|",SUBSTITUTE($H918&amp;" "," ","|",4))-1),""))/86400+25569+9/24,""))</f>
        <v/>
      </c>
      <c r="G918" s="58">
        <f>TRIM(SUBSTITUTE(SUBSTITUTE(SUBSTITUTE($A918,CHAR(9)," ")," "," "),CHAR(13),""))</f>
        <v/>
      </c>
      <c r="H918" s="58">
        <f>IF($G918="","",IF(ISNUMBER(FIND(" ",$G918)),$G918,IFERROR(IF((LEN(SUBSTITUTE(SUBSTITUTE($G918,"-"," ",LEN($G918)-LEN(SUBSTITUTE($G918,"-",""))),"-"," ",LEN($G918)-LEN(SUBSTITUTE($G918,"-",""))-1))-LEN(SUBSTITUTE(SUBSTITUTE(SUBSTITUTE($G918,"-"," ",LEN($G918)-LEN(SUBSTITUTE($G918,"-",""))),"-"," ",LEN($G918)-LEN(SUBSTITUTE($G918,"-",""))-1),".","")))=0,SUBSTITUTE(SUBSTITUTE($G918,"-"," ",LEN($G918)-LEN(SUBSTITUTE($G918,"-",""))),"-"," ",LEN($G918)-LEN(SUBSTITUTE($G918,"-",""))-1),SUBSTITUTE(SUBSTITUTE(SUBSTITUTE($G918,"-"," ",LEN($G918)-LEN(SUBSTITUTE($G918,"-",""))),"-"," ",LEN($G918)-LEN(SUBSTITUTE($G918,"-",""))-1),"."," ",(LEN(SUBSTITUTE(SUBSTITUTE($G918,"-"," ",LEN($G918)-LEN(SUBSTITUTE($G918,"-",""))),"-"," ",LEN($G918)-LEN(SUBSTITUTE($G918,"-",""))-1))-LEN(SUBSTITUTE(SUBSTITUTE(SUBSTITUTE($G918,"-"," ",LEN($G918)-LEN(SUBSTITUTE($G918,"-",""))),"-"," ",LEN($G918)-LEN(SUBSTITUTE($G918,"-",""))-1),".",""))))),$G918)))</f>
        <v/>
      </c>
    </row>
    <row r="919">
      <c r="A919" s="58" t="n"/>
      <c r="B919" s="58">
        <f>IF($H919="","",LEFT($H919,FIND(" ",$H919&amp;" ")-1))</f>
        <v/>
      </c>
      <c r="C919" s="58">
        <f>IF($H919="","",IFERROR(MID($H919&amp;" ",FIND("|",SUBSTITUTE($H919&amp;" "," ","|",1))+1,FIND("|",SUBSTITUTE($H919&amp;" "," ","|",2))-FIND("|",SUBSTITUTE($H919&amp;" "," ","|",1))-1),""))</f>
        <v/>
      </c>
      <c r="D919" s="58">
        <f>IF($H919="","",IFERROR(MID($H919&amp;" ",FIND("|",SUBSTITUTE($H919&amp;" "," ","|",2))+1,FIND("|",SUBSTITUTE($H919&amp;" "," ","|",3))-FIND("|",SUBSTITUTE($H919&amp;" "," ","|",2))-1),""))</f>
        <v/>
      </c>
      <c r="E919" s="58">
        <f>IF($H919="","",IFERROR(MID($H919&amp;" ",FIND("|",SUBSTITUTE($H919&amp;" "," ","|",3))+1,FIND("|",SUBSTITUTE($H919&amp;" "," ","|",4))-FIND("|",SUBSTITUTE($H919&amp;" "," ","|",3))-1),""))</f>
        <v/>
      </c>
      <c r="F919" s="59">
        <f>IF($H919="","",IFERROR(VALUE(IFERROR(MID($H919&amp;" ",FIND("|",SUBSTITUTE($H919&amp;" "," ","|",4))+1,FIND("|",SUBSTITUTE($H919&amp;" "," ","|",5))-FIND("|",SUBSTITUTE($H919&amp;" "," ","|",4))-1),""))/86400+25569+9/24,""))</f>
        <v/>
      </c>
      <c r="G919" s="58">
        <f>TRIM(SUBSTITUTE(SUBSTITUTE(SUBSTITUTE($A919,CHAR(9)," ")," "," "),CHAR(13),""))</f>
        <v/>
      </c>
      <c r="H919" s="58">
        <f>IF($G919="","",IF(ISNUMBER(FIND(" ",$G919)),$G919,IFERROR(IF((LEN(SUBSTITUTE(SUBSTITUTE($G919,"-"," ",LEN($G919)-LEN(SUBSTITUTE($G919,"-",""))),"-"," ",LEN($G919)-LEN(SUBSTITUTE($G919,"-",""))-1))-LEN(SUBSTITUTE(SUBSTITUTE(SUBSTITUTE($G919,"-"," ",LEN($G919)-LEN(SUBSTITUTE($G919,"-",""))),"-"," ",LEN($G919)-LEN(SUBSTITUTE($G919,"-",""))-1),".","")))=0,SUBSTITUTE(SUBSTITUTE($G919,"-"," ",LEN($G919)-LEN(SUBSTITUTE($G919,"-",""))),"-"," ",LEN($G919)-LEN(SUBSTITUTE($G919,"-",""))-1),SUBSTITUTE(SUBSTITUTE(SUBSTITUTE($G919,"-"," ",LEN($G919)-LEN(SUBSTITUTE($G919,"-",""))),"-"," ",LEN($G919)-LEN(SUBSTITUTE($G919,"-",""))-1),"."," ",(LEN(SUBSTITUTE(SUBSTITUTE($G919,"-"," ",LEN($G919)-LEN(SUBSTITUTE($G919,"-",""))),"-"," ",LEN($G919)-LEN(SUBSTITUTE($G919,"-",""))-1))-LEN(SUBSTITUTE(SUBSTITUTE(SUBSTITUTE($G919,"-"," ",LEN($G919)-LEN(SUBSTITUTE($G919,"-",""))),"-"," ",LEN($G919)-LEN(SUBSTITUTE($G919,"-",""))-1),".",""))))),$G919)))</f>
        <v/>
      </c>
    </row>
    <row r="920">
      <c r="A920" s="58" t="n"/>
      <c r="B920" s="58">
        <f>IF($H920="","",LEFT($H920,FIND(" ",$H920&amp;" ")-1))</f>
        <v/>
      </c>
      <c r="C920" s="58">
        <f>IF($H920="","",IFERROR(MID($H920&amp;" ",FIND("|",SUBSTITUTE($H920&amp;" "," ","|",1))+1,FIND("|",SUBSTITUTE($H920&amp;" "," ","|",2))-FIND("|",SUBSTITUTE($H920&amp;" "," ","|",1))-1),""))</f>
        <v/>
      </c>
      <c r="D920" s="58">
        <f>IF($H920="","",IFERROR(MID($H920&amp;" ",FIND("|",SUBSTITUTE($H920&amp;" "," ","|",2))+1,FIND("|",SUBSTITUTE($H920&amp;" "," ","|",3))-FIND("|",SUBSTITUTE($H920&amp;" "," ","|",2))-1),""))</f>
        <v/>
      </c>
      <c r="E920" s="58">
        <f>IF($H920="","",IFERROR(MID($H920&amp;" ",FIND("|",SUBSTITUTE($H920&amp;" "," ","|",3))+1,FIND("|",SUBSTITUTE($H920&amp;" "," ","|",4))-FIND("|",SUBSTITUTE($H920&amp;" "," ","|",3))-1),""))</f>
        <v/>
      </c>
      <c r="F920" s="59">
        <f>IF($H920="","",IFERROR(VALUE(IFERROR(MID($H920&amp;" ",FIND("|",SUBSTITUTE($H920&amp;" "," ","|",4))+1,FIND("|",SUBSTITUTE($H920&amp;" "," ","|",5))-FIND("|",SUBSTITUTE($H920&amp;" "," ","|",4))-1),""))/86400+25569+9/24,""))</f>
        <v/>
      </c>
      <c r="G920" s="58">
        <f>TRIM(SUBSTITUTE(SUBSTITUTE(SUBSTITUTE($A920,CHAR(9)," ")," "," "),CHAR(13),""))</f>
        <v/>
      </c>
      <c r="H920" s="58">
        <f>IF($G920="","",IF(ISNUMBER(FIND(" ",$G920)),$G920,IFERROR(IF((LEN(SUBSTITUTE(SUBSTITUTE($G920,"-"," ",LEN($G920)-LEN(SUBSTITUTE($G920,"-",""))),"-"," ",LEN($G920)-LEN(SUBSTITUTE($G920,"-",""))-1))-LEN(SUBSTITUTE(SUBSTITUTE(SUBSTITUTE($G920,"-"," ",LEN($G920)-LEN(SUBSTITUTE($G920,"-",""))),"-"," ",LEN($G920)-LEN(SUBSTITUTE($G920,"-",""))-1),".","")))=0,SUBSTITUTE(SUBSTITUTE($G920,"-"," ",LEN($G920)-LEN(SUBSTITUTE($G920,"-",""))),"-"," ",LEN($G920)-LEN(SUBSTITUTE($G920,"-",""))-1),SUBSTITUTE(SUBSTITUTE(SUBSTITUTE($G920,"-"," ",LEN($G920)-LEN(SUBSTITUTE($G920,"-",""))),"-"," ",LEN($G920)-LEN(SUBSTITUTE($G920,"-",""))-1),"."," ",(LEN(SUBSTITUTE(SUBSTITUTE($G920,"-"," ",LEN($G920)-LEN(SUBSTITUTE($G920,"-",""))),"-"," ",LEN($G920)-LEN(SUBSTITUTE($G920,"-",""))-1))-LEN(SUBSTITUTE(SUBSTITUTE(SUBSTITUTE($G920,"-"," ",LEN($G920)-LEN(SUBSTITUTE($G920,"-",""))),"-"," ",LEN($G920)-LEN(SUBSTITUTE($G920,"-",""))-1),".",""))))),$G920)))</f>
        <v/>
      </c>
    </row>
    <row r="921">
      <c r="A921" s="58" t="n"/>
      <c r="B921" s="58">
        <f>IF($H921="","",LEFT($H921,FIND(" ",$H921&amp;" ")-1))</f>
        <v/>
      </c>
      <c r="C921" s="58">
        <f>IF($H921="","",IFERROR(MID($H921&amp;" ",FIND("|",SUBSTITUTE($H921&amp;" "," ","|",1))+1,FIND("|",SUBSTITUTE($H921&amp;" "," ","|",2))-FIND("|",SUBSTITUTE($H921&amp;" "," ","|",1))-1),""))</f>
        <v/>
      </c>
      <c r="D921" s="58">
        <f>IF($H921="","",IFERROR(MID($H921&amp;" ",FIND("|",SUBSTITUTE($H921&amp;" "," ","|",2))+1,FIND("|",SUBSTITUTE($H921&amp;" "," ","|",3))-FIND("|",SUBSTITUTE($H921&amp;" "," ","|",2))-1),""))</f>
        <v/>
      </c>
      <c r="E921" s="58">
        <f>IF($H921="","",IFERROR(MID($H921&amp;" ",FIND("|",SUBSTITUTE($H921&amp;" "," ","|",3))+1,FIND("|",SUBSTITUTE($H921&amp;" "," ","|",4))-FIND("|",SUBSTITUTE($H921&amp;" "," ","|",3))-1),""))</f>
        <v/>
      </c>
      <c r="F921" s="59">
        <f>IF($H921="","",IFERROR(VALUE(IFERROR(MID($H921&amp;" ",FIND("|",SUBSTITUTE($H921&amp;" "," ","|",4))+1,FIND("|",SUBSTITUTE($H921&amp;" "," ","|",5))-FIND("|",SUBSTITUTE($H921&amp;" "," ","|",4))-1),""))/86400+25569+9/24,""))</f>
        <v/>
      </c>
      <c r="G921" s="58">
        <f>TRIM(SUBSTITUTE(SUBSTITUTE(SUBSTITUTE($A921,CHAR(9)," ")," "," "),CHAR(13),""))</f>
        <v/>
      </c>
      <c r="H921" s="58">
        <f>IF($G921="","",IF(ISNUMBER(FIND(" ",$G921)),$G921,IFERROR(IF((LEN(SUBSTITUTE(SUBSTITUTE($G921,"-"," ",LEN($G921)-LEN(SUBSTITUTE($G921,"-",""))),"-"," ",LEN($G921)-LEN(SUBSTITUTE($G921,"-",""))-1))-LEN(SUBSTITUTE(SUBSTITUTE(SUBSTITUTE($G921,"-"," ",LEN($G921)-LEN(SUBSTITUTE($G921,"-",""))),"-"," ",LEN($G921)-LEN(SUBSTITUTE($G921,"-",""))-1),".","")))=0,SUBSTITUTE(SUBSTITUTE($G921,"-"," ",LEN($G921)-LEN(SUBSTITUTE($G921,"-",""))),"-"," ",LEN($G921)-LEN(SUBSTITUTE($G921,"-",""))-1),SUBSTITUTE(SUBSTITUTE(SUBSTITUTE($G921,"-"," ",LEN($G921)-LEN(SUBSTITUTE($G921,"-",""))),"-"," ",LEN($G921)-LEN(SUBSTITUTE($G921,"-",""))-1),"."," ",(LEN(SUBSTITUTE(SUBSTITUTE($G921,"-"," ",LEN($G921)-LEN(SUBSTITUTE($G921,"-",""))),"-"," ",LEN($G921)-LEN(SUBSTITUTE($G921,"-",""))-1))-LEN(SUBSTITUTE(SUBSTITUTE(SUBSTITUTE($G921,"-"," ",LEN($G921)-LEN(SUBSTITUTE($G921,"-",""))),"-"," ",LEN($G921)-LEN(SUBSTITUTE($G921,"-",""))-1),".",""))))),$G921)))</f>
        <v/>
      </c>
    </row>
    <row r="922">
      <c r="A922" s="58" t="n"/>
      <c r="B922" s="58">
        <f>IF($H922="","",LEFT($H922,FIND(" ",$H922&amp;" ")-1))</f>
        <v/>
      </c>
      <c r="C922" s="58">
        <f>IF($H922="","",IFERROR(MID($H922&amp;" ",FIND("|",SUBSTITUTE($H922&amp;" "," ","|",1))+1,FIND("|",SUBSTITUTE($H922&amp;" "," ","|",2))-FIND("|",SUBSTITUTE($H922&amp;" "," ","|",1))-1),""))</f>
        <v/>
      </c>
      <c r="D922" s="58">
        <f>IF($H922="","",IFERROR(MID($H922&amp;" ",FIND("|",SUBSTITUTE($H922&amp;" "," ","|",2))+1,FIND("|",SUBSTITUTE($H922&amp;" "," ","|",3))-FIND("|",SUBSTITUTE($H922&amp;" "," ","|",2))-1),""))</f>
        <v/>
      </c>
      <c r="E922" s="58">
        <f>IF($H922="","",IFERROR(MID($H922&amp;" ",FIND("|",SUBSTITUTE($H922&amp;" "," ","|",3))+1,FIND("|",SUBSTITUTE($H922&amp;" "," ","|",4))-FIND("|",SUBSTITUTE($H922&amp;" "," ","|",3))-1),""))</f>
        <v/>
      </c>
      <c r="F922" s="59">
        <f>IF($H922="","",IFERROR(VALUE(IFERROR(MID($H922&amp;" ",FIND("|",SUBSTITUTE($H922&amp;" "," ","|",4))+1,FIND("|",SUBSTITUTE($H922&amp;" "," ","|",5))-FIND("|",SUBSTITUTE($H922&amp;" "," ","|",4))-1),""))/86400+25569+9/24,""))</f>
        <v/>
      </c>
      <c r="G922" s="58">
        <f>TRIM(SUBSTITUTE(SUBSTITUTE(SUBSTITUTE($A922,CHAR(9)," ")," "," "),CHAR(13),""))</f>
        <v/>
      </c>
      <c r="H922" s="58">
        <f>IF($G922="","",IF(ISNUMBER(FIND(" ",$G922)),$G922,IFERROR(IF((LEN(SUBSTITUTE(SUBSTITUTE($G922,"-"," ",LEN($G922)-LEN(SUBSTITUTE($G922,"-",""))),"-"," ",LEN($G922)-LEN(SUBSTITUTE($G922,"-",""))-1))-LEN(SUBSTITUTE(SUBSTITUTE(SUBSTITUTE($G922,"-"," ",LEN($G922)-LEN(SUBSTITUTE($G922,"-",""))),"-"," ",LEN($G922)-LEN(SUBSTITUTE($G922,"-",""))-1),".","")))=0,SUBSTITUTE(SUBSTITUTE($G922,"-"," ",LEN($G922)-LEN(SUBSTITUTE($G922,"-",""))),"-"," ",LEN($G922)-LEN(SUBSTITUTE($G922,"-",""))-1),SUBSTITUTE(SUBSTITUTE(SUBSTITUTE($G922,"-"," ",LEN($G922)-LEN(SUBSTITUTE($G922,"-",""))),"-"," ",LEN($G922)-LEN(SUBSTITUTE($G922,"-",""))-1),"."," ",(LEN(SUBSTITUTE(SUBSTITUTE($G922,"-"," ",LEN($G922)-LEN(SUBSTITUTE($G922,"-",""))),"-"," ",LEN($G922)-LEN(SUBSTITUTE($G922,"-",""))-1))-LEN(SUBSTITUTE(SUBSTITUTE(SUBSTITUTE($G922,"-"," ",LEN($G922)-LEN(SUBSTITUTE($G922,"-",""))),"-"," ",LEN($G922)-LEN(SUBSTITUTE($G922,"-",""))-1),".",""))))),$G922)))</f>
        <v/>
      </c>
    </row>
    <row r="923">
      <c r="A923" s="58" t="n"/>
      <c r="B923" s="58">
        <f>IF($H923="","",LEFT($H923,FIND(" ",$H923&amp;" ")-1))</f>
        <v/>
      </c>
      <c r="C923" s="58">
        <f>IF($H923="","",IFERROR(MID($H923&amp;" ",FIND("|",SUBSTITUTE($H923&amp;" "," ","|",1))+1,FIND("|",SUBSTITUTE($H923&amp;" "," ","|",2))-FIND("|",SUBSTITUTE($H923&amp;" "," ","|",1))-1),""))</f>
        <v/>
      </c>
      <c r="D923" s="58">
        <f>IF($H923="","",IFERROR(MID($H923&amp;" ",FIND("|",SUBSTITUTE($H923&amp;" "," ","|",2))+1,FIND("|",SUBSTITUTE($H923&amp;" "," ","|",3))-FIND("|",SUBSTITUTE($H923&amp;" "," ","|",2))-1),""))</f>
        <v/>
      </c>
      <c r="E923" s="58">
        <f>IF($H923="","",IFERROR(MID($H923&amp;" ",FIND("|",SUBSTITUTE($H923&amp;" "," ","|",3))+1,FIND("|",SUBSTITUTE($H923&amp;" "," ","|",4))-FIND("|",SUBSTITUTE($H923&amp;" "," ","|",3))-1),""))</f>
        <v/>
      </c>
      <c r="F923" s="59">
        <f>IF($H923="","",IFERROR(VALUE(IFERROR(MID($H923&amp;" ",FIND("|",SUBSTITUTE($H923&amp;" "," ","|",4))+1,FIND("|",SUBSTITUTE($H923&amp;" "," ","|",5))-FIND("|",SUBSTITUTE($H923&amp;" "," ","|",4))-1),""))/86400+25569+9/24,""))</f>
        <v/>
      </c>
      <c r="G923" s="58">
        <f>TRIM(SUBSTITUTE(SUBSTITUTE(SUBSTITUTE($A923,CHAR(9)," ")," "," "),CHAR(13),""))</f>
        <v/>
      </c>
      <c r="H923" s="58">
        <f>IF($G923="","",IF(ISNUMBER(FIND(" ",$G923)),$G923,IFERROR(IF((LEN(SUBSTITUTE(SUBSTITUTE($G923,"-"," ",LEN($G923)-LEN(SUBSTITUTE($G923,"-",""))),"-"," ",LEN($G923)-LEN(SUBSTITUTE($G923,"-",""))-1))-LEN(SUBSTITUTE(SUBSTITUTE(SUBSTITUTE($G923,"-"," ",LEN($G923)-LEN(SUBSTITUTE($G923,"-",""))),"-"," ",LEN($G923)-LEN(SUBSTITUTE($G923,"-",""))-1),".","")))=0,SUBSTITUTE(SUBSTITUTE($G923,"-"," ",LEN($G923)-LEN(SUBSTITUTE($G923,"-",""))),"-"," ",LEN($G923)-LEN(SUBSTITUTE($G923,"-",""))-1),SUBSTITUTE(SUBSTITUTE(SUBSTITUTE($G923,"-"," ",LEN($G923)-LEN(SUBSTITUTE($G923,"-",""))),"-"," ",LEN($G923)-LEN(SUBSTITUTE($G923,"-",""))-1),"."," ",(LEN(SUBSTITUTE(SUBSTITUTE($G923,"-"," ",LEN($G923)-LEN(SUBSTITUTE($G923,"-",""))),"-"," ",LEN($G923)-LEN(SUBSTITUTE($G923,"-",""))-1))-LEN(SUBSTITUTE(SUBSTITUTE(SUBSTITUTE($G923,"-"," ",LEN($G923)-LEN(SUBSTITUTE($G923,"-",""))),"-"," ",LEN($G923)-LEN(SUBSTITUTE($G923,"-",""))-1),".",""))))),$G923)))</f>
        <v/>
      </c>
    </row>
    <row r="924">
      <c r="A924" s="58" t="n"/>
      <c r="B924" s="58">
        <f>IF($H924="","",LEFT($H924,FIND(" ",$H924&amp;" ")-1))</f>
        <v/>
      </c>
      <c r="C924" s="58">
        <f>IF($H924="","",IFERROR(MID($H924&amp;" ",FIND("|",SUBSTITUTE($H924&amp;" "," ","|",1))+1,FIND("|",SUBSTITUTE($H924&amp;" "," ","|",2))-FIND("|",SUBSTITUTE($H924&amp;" "," ","|",1))-1),""))</f>
        <v/>
      </c>
      <c r="D924" s="58">
        <f>IF($H924="","",IFERROR(MID($H924&amp;" ",FIND("|",SUBSTITUTE($H924&amp;" "," ","|",2))+1,FIND("|",SUBSTITUTE($H924&amp;" "," ","|",3))-FIND("|",SUBSTITUTE($H924&amp;" "," ","|",2))-1),""))</f>
        <v/>
      </c>
      <c r="E924" s="58">
        <f>IF($H924="","",IFERROR(MID($H924&amp;" ",FIND("|",SUBSTITUTE($H924&amp;" "," ","|",3))+1,FIND("|",SUBSTITUTE($H924&amp;" "," ","|",4))-FIND("|",SUBSTITUTE($H924&amp;" "," ","|",3))-1),""))</f>
        <v/>
      </c>
      <c r="F924" s="59">
        <f>IF($H924="","",IFERROR(VALUE(IFERROR(MID($H924&amp;" ",FIND("|",SUBSTITUTE($H924&amp;" "," ","|",4))+1,FIND("|",SUBSTITUTE($H924&amp;" "," ","|",5))-FIND("|",SUBSTITUTE($H924&amp;" "," ","|",4))-1),""))/86400+25569+9/24,""))</f>
        <v/>
      </c>
      <c r="G924" s="58">
        <f>TRIM(SUBSTITUTE(SUBSTITUTE(SUBSTITUTE($A924,CHAR(9)," ")," "," "),CHAR(13),""))</f>
        <v/>
      </c>
      <c r="H924" s="58">
        <f>IF($G924="","",IF(ISNUMBER(FIND(" ",$G924)),$G924,IFERROR(IF((LEN(SUBSTITUTE(SUBSTITUTE($G924,"-"," ",LEN($G924)-LEN(SUBSTITUTE($G924,"-",""))),"-"," ",LEN($G924)-LEN(SUBSTITUTE($G924,"-",""))-1))-LEN(SUBSTITUTE(SUBSTITUTE(SUBSTITUTE($G924,"-"," ",LEN($G924)-LEN(SUBSTITUTE($G924,"-",""))),"-"," ",LEN($G924)-LEN(SUBSTITUTE($G924,"-",""))-1),".","")))=0,SUBSTITUTE(SUBSTITUTE($G924,"-"," ",LEN($G924)-LEN(SUBSTITUTE($G924,"-",""))),"-"," ",LEN($G924)-LEN(SUBSTITUTE($G924,"-",""))-1),SUBSTITUTE(SUBSTITUTE(SUBSTITUTE($G924,"-"," ",LEN($G924)-LEN(SUBSTITUTE($G924,"-",""))),"-"," ",LEN($G924)-LEN(SUBSTITUTE($G924,"-",""))-1),"."," ",(LEN(SUBSTITUTE(SUBSTITUTE($G924,"-"," ",LEN($G924)-LEN(SUBSTITUTE($G924,"-",""))),"-"," ",LEN($G924)-LEN(SUBSTITUTE($G924,"-",""))-1))-LEN(SUBSTITUTE(SUBSTITUTE(SUBSTITUTE($G924,"-"," ",LEN($G924)-LEN(SUBSTITUTE($G924,"-",""))),"-"," ",LEN($G924)-LEN(SUBSTITUTE($G924,"-",""))-1),".",""))))),$G924)))</f>
        <v/>
      </c>
    </row>
    <row r="925">
      <c r="A925" s="58" t="n"/>
      <c r="B925" s="58">
        <f>IF($H925="","",LEFT($H925,FIND(" ",$H925&amp;" ")-1))</f>
        <v/>
      </c>
      <c r="C925" s="58">
        <f>IF($H925="","",IFERROR(MID($H925&amp;" ",FIND("|",SUBSTITUTE($H925&amp;" "," ","|",1))+1,FIND("|",SUBSTITUTE($H925&amp;" "," ","|",2))-FIND("|",SUBSTITUTE($H925&amp;" "," ","|",1))-1),""))</f>
        <v/>
      </c>
      <c r="D925" s="58">
        <f>IF($H925="","",IFERROR(MID($H925&amp;" ",FIND("|",SUBSTITUTE($H925&amp;" "," ","|",2))+1,FIND("|",SUBSTITUTE($H925&amp;" "," ","|",3))-FIND("|",SUBSTITUTE($H925&amp;" "," ","|",2))-1),""))</f>
        <v/>
      </c>
      <c r="E925" s="58">
        <f>IF($H925="","",IFERROR(MID($H925&amp;" ",FIND("|",SUBSTITUTE($H925&amp;" "," ","|",3))+1,FIND("|",SUBSTITUTE($H925&amp;" "," ","|",4))-FIND("|",SUBSTITUTE($H925&amp;" "," ","|",3))-1),""))</f>
        <v/>
      </c>
      <c r="F925" s="59">
        <f>IF($H925="","",IFERROR(VALUE(IFERROR(MID($H925&amp;" ",FIND("|",SUBSTITUTE($H925&amp;" "," ","|",4))+1,FIND("|",SUBSTITUTE($H925&amp;" "," ","|",5))-FIND("|",SUBSTITUTE($H925&amp;" "," ","|",4))-1),""))/86400+25569+9/24,""))</f>
        <v/>
      </c>
      <c r="G925" s="58">
        <f>TRIM(SUBSTITUTE(SUBSTITUTE(SUBSTITUTE($A925,CHAR(9)," ")," "," "),CHAR(13),""))</f>
        <v/>
      </c>
      <c r="H925" s="58">
        <f>IF($G925="","",IF(ISNUMBER(FIND(" ",$G925)),$G925,IFERROR(IF((LEN(SUBSTITUTE(SUBSTITUTE($G925,"-"," ",LEN($G925)-LEN(SUBSTITUTE($G925,"-",""))),"-"," ",LEN($G925)-LEN(SUBSTITUTE($G925,"-",""))-1))-LEN(SUBSTITUTE(SUBSTITUTE(SUBSTITUTE($G925,"-"," ",LEN($G925)-LEN(SUBSTITUTE($G925,"-",""))),"-"," ",LEN($G925)-LEN(SUBSTITUTE($G925,"-",""))-1),".","")))=0,SUBSTITUTE(SUBSTITUTE($G925,"-"," ",LEN($G925)-LEN(SUBSTITUTE($G925,"-",""))),"-"," ",LEN($G925)-LEN(SUBSTITUTE($G925,"-",""))-1),SUBSTITUTE(SUBSTITUTE(SUBSTITUTE($G925,"-"," ",LEN($G925)-LEN(SUBSTITUTE($G925,"-",""))),"-"," ",LEN($G925)-LEN(SUBSTITUTE($G925,"-",""))-1),"."," ",(LEN(SUBSTITUTE(SUBSTITUTE($G925,"-"," ",LEN($G925)-LEN(SUBSTITUTE($G925,"-",""))),"-"," ",LEN($G925)-LEN(SUBSTITUTE($G925,"-",""))-1))-LEN(SUBSTITUTE(SUBSTITUTE(SUBSTITUTE($G925,"-"," ",LEN($G925)-LEN(SUBSTITUTE($G925,"-",""))),"-"," ",LEN($G925)-LEN(SUBSTITUTE($G925,"-",""))-1),".",""))))),$G925)))</f>
        <v/>
      </c>
    </row>
    <row r="926">
      <c r="A926" s="58" t="n"/>
      <c r="B926" s="58">
        <f>IF($H926="","",LEFT($H926,FIND(" ",$H926&amp;" ")-1))</f>
        <v/>
      </c>
      <c r="C926" s="58">
        <f>IF($H926="","",IFERROR(MID($H926&amp;" ",FIND("|",SUBSTITUTE($H926&amp;" "," ","|",1))+1,FIND("|",SUBSTITUTE($H926&amp;" "," ","|",2))-FIND("|",SUBSTITUTE($H926&amp;" "," ","|",1))-1),""))</f>
        <v/>
      </c>
      <c r="D926" s="58">
        <f>IF($H926="","",IFERROR(MID($H926&amp;" ",FIND("|",SUBSTITUTE($H926&amp;" "," ","|",2))+1,FIND("|",SUBSTITUTE($H926&amp;" "," ","|",3))-FIND("|",SUBSTITUTE($H926&amp;" "," ","|",2))-1),""))</f>
        <v/>
      </c>
      <c r="E926" s="58">
        <f>IF($H926="","",IFERROR(MID($H926&amp;" ",FIND("|",SUBSTITUTE($H926&amp;" "," ","|",3))+1,FIND("|",SUBSTITUTE($H926&amp;" "," ","|",4))-FIND("|",SUBSTITUTE($H926&amp;" "," ","|",3))-1),""))</f>
        <v/>
      </c>
      <c r="F926" s="59">
        <f>IF($H926="","",IFERROR(VALUE(IFERROR(MID($H926&amp;" ",FIND("|",SUBSTITUTE($H926&amp;" "," ","|",4))+1,FIND("|",SUBSTITUTE($H926&amp;" "," ","|",5))-FIND("|",SUBSTITUTE($H926&amp;" "," ","|",4))-1),""))/86400+25569+9/24,""))</f>
        <v/>
      </c>
      <c r="G926" s="58">
        <f>TRIM(SUBSTITUTE(SUBSTITUTE(SUBSTITUTE($A926,CHAR(9)," ")," "," "),CHAR(13),""))</f>
        <v/>
      </c>
      <c r="H926" s="58">
        <f>IF($G926="","",IF(ISNUMBER(FIND(" ",$G926)),$G926,IFERROR(IF((LEN(SUBSTITUTE(SUBSTITUTE($G926,"-"," ",LEN($G926)-LEN(SUBSTITUTE($G926,"-",""))),"-"," ",LEN($G926)-LEN(SUBSTITUTE($G926,"-",""))-1))-LEN(SUBSTITUTE(SUBSTITUTE(SUBSTITUTE($G926,"-"," ",LEN($G926)-LEN(SUBSTITUTE($G926,"-",""))),"-"," ",LEN($G926)-LEN(SUBSTITUTE($G926,"-",""))-1),".","")))=0,SUBSTITUTE(SUBSTITUTE($G926,"-"," ",LEN($G926)-LEN(SUBSTITUTE($G926,"-",""))),"-"," ",LEN($G926)-LEN(SUBSTITUTE($G926,"-",""))-1),SUBSTITUTE(SUBSTITUTE(SUBSTITUTE($G926,"-"," ",LEN($G926)-LEN(SUBSTITUTE($G926,"-",""))),"-"," ",LEN($G926)-LEN(SUBSTITUTE($G926,"-",""))-1),"."," ",(LEN(SUBSTITUTE(SUBSTITUTE($G926,"-"," ",LEN($G926)-LEN(SUBSTITUTE($G926,"-",""))),"-"," ",LEN($G926)-LEN(SUBSTITUTE($G926,"-",""))-1))-LEN(SUBSTITUTE(SUBSTITUTE(SUBSTITUTE($G926,"-"," ",LEN($G926)-LEN(SUBSTITUTE($G926,"-",""))),"-"," ",LEN($G926)-LEN(SUBSTITUTE($G926,"-",""))-1),".",""))))),$G926)))</f>
        <v/>
      </c>
    </row>
    <row r="927">
      <c r="A927" s="58" t="n"/>
      <c r="B927" s="58">
        <f>IF($H927="","",LEFT($H927,FIND(" ",$H927&amp;" ")-1))</f>
        <v/>
      </c>
      <c r="C927" s="58">
        <f>IF($H927="","",IFERROR(MID($H927&amp;" ",FIND("|",SUBSTITUTE($H927&amp;" "," ","|",1))+1,FIND("|",SUBSTITUTE($H927&amp;" "," ","|",2))-FIND("|",SUBSTITUTE($H927&amp;" "," ","|",1))-1),""))</f>
        <v/>
      </c>
      <c r="D927" s="58">
        <f>IF($H927="","",IFERROR(MID($H927&amp;" ",FIND("|",SUBSTITUTE($H927&amp;" "," ","|",2))+1,FIND("|",SUBSTITUTE($H927&amp;" "," ","|",3))-FIND("|",SUBSTITUTE($H927&amp;" "," ","|",2))-1),""))</f>
        <v/>
      </c>
      <c r="E927" s="58">
        <f>IF($H927="","",IFERROR(MID($H927&amp;" ",FIND("|",SUBSTITUTE($H927&amp;" "," ","|",3))+1,FIND("|",SUBSTITUTE($H927&amp;" "," ","|",4))-FIND("|",SUBSTITUTE($H927&amp;" "," ","|",3))-1),""))</f>
        <v/>
      </c>
      <c r="F927" s="59">
        <f>IF($H927="","",IFERROR(VALUE(IFERROR(MID($H927&amp;" ",FIND("|",SUBSTITUTE($H927&amp;" "," ","|",4))+1,FIND("|",SUBSTITUTE($H927&amp;" "," ","|",5))-FIND("|",SUBSTITUTE($H927&amp;" "," ","|",4))-1),""))/86400+25569+9/24,""))</f>
        <v/>
      </c>
      <c r="G927" s="58">
        <f>TRIM(SUBSTITUTE(SUBSTITUTE(SUBSTITUTE($A927,CHAR(9)," ")," "," "),CHAR(13),""))</f>
        <v/>
      </c>
      <c r="H927" s="58">
        <f>IF($G927="","",IF(ISNUMBER(FIND(" ",$G927)),$G927,IFERROR(IF((LEN(SUBSTITUTE(SUBSTITUTE($G927,"-"," ",LEN($G927)-LEN(SUBSTITUTE($G927,"-",""))),"-"," ",LEN($G927)-LEN(SUBSTITUTE($G927,"-",""))-1))-LEN(SUBSTITUTE(SUBSTITUTE(SUBSTITUTE($G927,"-"," ",LEN($G927)-LEN(SUBSTITUTE($G927,"-",""))),"-"," ",LEN($G927)-LEN(SUBSTITUTE($G927,"-",""))-1),".","")))=0,SUBSTITUTE(SUBSTITUTE($G927,"-"," ",LEN($G927)-LEN(SUBSTITUTE($G927,"-",""))),"-"," ",LEN($G927)-LEN(SUBSTITUTE($G927,"-",""))-1),SUBSTITUTE(SUBSTITUTE(SUBSTITUTE($G927,"-"," ",LEN($G927)-LEN(SUBSTITUTE($G927,"-",""))),"-"," ",LEN($G927)-LEN(SUBSTITUTE($G927,"-",""))-1),"."," ",(LEN(SUBSTITUTE(SUBSTITUTE($G927,"-"," ",LEN($G927)-LEN(SUBSTITUTE($G927,"-",""))),"-"," ",LEN($G927)-LEN(SUBSTITUTE($G927,"-",""))-1))-LEN(SUBSTITUTE(SUBSTITUTE(SUBSTITUTE($G927,"-"," ",LEN($G927)-LEN(SUBSTITUTE($G927,"-",""))),"-"," ",LEN($G927)-LEN(SUBSTITUTE($G927,"-",""))-1),".",""))))),$G927)))</f>
        <v/>
      </c>
    </row>
    <row r="928">
      <c r="A928" s="58" t="n"/>
      <c r="B928" s="58">
        <f>IF($H928="","",LEFT($H928,FIND(" ",$H928&amp;" ")-1))</f>
        <v/>
      </c>
      <c r="C928" s="58">
        <f>IF($H928="","",IFERROR(MID($H928&amp;" ",FIND("|",SUBSTITUTE($H928&amp;" "," ","|",1))+1,FIND("|",SUBSTITUTE($H928&amp;" "," ","|",2))-FIND("|",SUBSTITUTE($H928&amp;" "," ","|",1))-1),""))</f>
        <v/>
      </c>
      <c r="D928" s="58">
        <f>IF($H928="","",IFERROR(MID($H928&amp;" ",FIND("|",SUBSTITUTE($H928&amp;" "," ","|",2))+1,FIND("|",SUBSTITUTE($H928&amp;" "," ","|",3))-FIND("|",SUBSTITUTE($H928&amp;" "," ","|",2))-1),""))</f>
        <v/>
      </c>
      <c r="E928" s="58">
        <f>IF($H928="","",IFERROR(MID($H928&amp;" ",FIND("|",SUBSTITUTE($H928&amp;" "," ","|",3))+1,FIND("|",SUBSTITUTE($H928&amp;" "," ","|",4))-FIND("|",SUBSTITUTE($H928&amp;" "," ","|",3))-1),""))</f>
        <v/>
      </c>
      <c r="F928" s="59">
        <f>IF($H928="","",IFERROR(VALUE(IFERROR(MID($H928&amp;" ",FIND("|",SUBSTITUTE($H928&amp;" "," ","|",4))+1,FIND("|",SUBSTITUTE($H928&amp;" "," ","|",5))-FIND("|",SUBSTITUTE($H928&amp;" "," ","|",4))-1),""))/86400+25569+9/24,""))</f>
        <v/>
      </c>
      <c r="G928" s="58">
        <f>TRIM(SUBSTITUTE(SUBSTITUTE(SUBSTITUTE($A928,CHAR(9)," ")," "," "),CHAR(13),""))</f>
        <v/>
      </c>
      <c r="H928" s="58">
        <f>IF($G928="","",IF(ISNUMBER(FIND(" ",$G928)),$G928,IFERROR(IF((LEN(SUBSTITUTE(SUBSTITUTE($G928,"-"," ",LEN($G928)-LEN(SUBSTITUTE($G928,"-",""))),"-"," ",LEN($G928)-LEN(SUBSTITUTE($G928,"-",""))-1))-LEN(SUBSTITUTE(SUBSTITUTE(SUBSTITUTE($G928,"-"," ",LEN($G928)-LEN(SUBSTITUTE($G928,"-",""))),"-"," ",LEN($G928)-LEN(SUBSTITUTE($G928,"-",""))-1),".","")))=0,SUBSTITUTE(SUBSTITUTE($G928,"-"," ",LEN($G928)-LEN(SUBSTITUTE($G928,"-",""))),"-"," ",LEN($G928)-LEN(SUBSTITUTE($G928,"-",""))-1),SUBSTITUTE(SUBSTITUTE(SUBSTITUTE($G928,"-"," ",LEN($G928)-LEN(SUBSTITUTE($G928,"-",""))),"-"," ",LEN($G928)-LEN(SUBSTITUTE($G928,"-",""))-1),"."," ",(LEN(SUBSTITUTE(SUBSTITUTE($G928,"-"," ",LEN($G928)-LEN(SUBSTITUTE($G928,"-",""))),"-"," ",LEN($G928)-LEN(SUBSTITUTE($G928,"-",""))-1))-LEN(SUBSTITUTE(SUBSTITUTE(SUBSTITUTE($G928,"-"," ",LEN($G928)-LEN(SUBSTITUTE($G928,"-",""))),"-"," ",LEN($G928)-LEN(SUBSTITUTE($G928,"-",""))-1),".",""))))),$G928)))</f>
        <v/>
      </c>
    </row>
    <row r="929">
      <c r="A929" s="58" t="n"/>
      <c r="B929" s="58">
        <f>IF($H929="","",LEFT($H929,FIND(" ",$H929&amp;" ")-1))</f>
        <v/>
      </c>
      <c r="C929" s="58">
        <f>IF($H929="","",IFERROR(MID($H929&amp;" ",FIND("|",SUBSTITUTE($H929&amp;" "," ","|",1))+1,FIND("|",SUBSTITUTE($H929&amp;" "," ","|",2))-FIND("|",SUBSTITUTE($H929&amp;" "," ","|",1))-1),""))</f>
        <v/>
      </c>
      <c r="D929" s="58">
        <f>IF($H929="","",IFERROR(MID($H929&amp;" ",FIND("|",SUBSTITUTE($H929&amp;" "," ","|",2))+1,FIND("|",SUBSTITUTE($H929&amp;" "," ","|",3))-FIND("|",SUBSTITUTE($H929&amp;" "," ","|",2))-1),""))</f>
        <v/>
      </c>
      <c r="E929" s="58">
        <f>IF($H929="","",IFERROR(MID($H929&amp;" ",FIND("|",SUBSTITUTE($H929&amp;" "," ","|",3))+1,FIND("|",SUBSTITUTE($H929&amp;" "," ","|",4))-FIND("|",SUBSTITUTE($H929&amp;" "," ","|",3))-1),""))</f>
        <v/>
      </c>
      <c r="F929" s="59">
        <f>IF($H929="","",IFERROR(VALUE(IFERROR(MID($H929&amp;" ",FIND("|",SUBSTITUTE($H929&amp;" "," ","|",4))+1,FIND("|",SUBSTITUTE($H929&amp;" "," ","|",5))-FIND("|",SUBSTITUTE($H929&amp;" "," ","|",4))-1),""))/86400+25569+9/24,""))</f>
        <v/>
      </c>
      <c r="G929" s="58">
        <f>TRIM(SUBSTITUTE(SUBSTITUTE(SUBSTITUTE($A929,CHAR(9)," ")," "," "),CHAR(13),""))</f>
        <v/>
      </c>
      <c r="H929" s="58">
        <f>IF($G929="","",IF(ISNUMBER(FIND(" ",$G929)),$G929,IFERROR(IF((LEN(SUBSTITUTE(SUBSTITUTE($G929,"-"," ",LEN($G929)-LEN(SUBSTITUTE($G929,"-",""))),"-"," ",LEN($G929)-LEN(SUBSTITUTE($G929,"-",""))-1))-LEN(SUBSTITUTE(SUBSTITUTE(SUBSTITUTE($G929,"-"," ",LEN($G929)-LEN(SUBSTITUTE($G929,"-",""))),"-"," ",LEN($G929)-LEN(SUBSTITUTE($G929,"-",""))-1),".","")))=0,SUBSTITUTE(SUBSTITUTE($G929,"-"," ",LEN($G929)-LEN(SUBSTITUTE($G929,"-",""))),"-"," ",LEN($G929)-LEN(SUBSTITUTE($G929,"-",""))-1),SUBSTITUTE(SUBSTITUTE(SUBSTITUTE($G929,"-"," ",LEN($G929)-LEN(SUBSTITUTE($G929,"-",""))),"-"," ",LEN($G929)-LEN(SUBSTITUTE($G929,"-",""))-1),"."," ",(LEN(SUBSTITUTE(SUBSTITUTE($G929,"-"," ",LEN($G929)-LEN(SUBSTITUTE($G929,"-",""))),"-"," ",LEN($G929)-LEN(SUBSTITUTE($G929,"-",""))-1))-LEN(SUBSTITUTE(SUBSTITUTE(SUBSTITUTE($G929,"-"," ",LEN($G929)-LEN(SUBSTITUTE($G929,"-",""))),"-"," ",LEN($G929)-LEN(SUBSTITUTE($G929,"-",""))-1),".",""))))),$G929)))</f>
        <v/>
      </c>
    </row>
    <row r="930">
      <c r="A930" s="58" t="n"/>
      <c r="B930" s="58">
        <f>IF($H930="","",LEFT($H930,FIND(" ",$H930&amp;" ")-1))</f>
        <v/>
      </c>
      <c r="C930" s="58">
        <f>IF($H930="","",IFERROR(MID($H930&amp;" ",FIND("|",SUBSTITUTE($H930&amp;" "," ","|",1))+1,FIND("|",SUBSTITUTE($H930&amp;" "," ","|",2))-FIND("|",SUBSTITUTE($H930&amp;" "," ","|",1))-1),""))</f>
        <v/>
      </c>
      <c r="D930" s="58">
        <f>IF($H930="","",IFERROR(MID($H930&amp;" ",FIND("|",SUBSTITUTE($H930&amp;" "," ","|",2))+1,FIND("|",SUBSTITUTE($H930&amp;" "," ","|",3))-FIND("|",SUBSTITUTE($H930&amp;" "," ","|",2))-1),""))</f>
        <v/>
      </c>
      <c r="E930" s="58">
        <f>IF($H930="","",IFERROR(MID($H930&amp;" ",FIND("|",SUBSTITUTE($H930&amp;" "," ","|",3))+1,FIND("|",SUBSTITUTE($H930&amp;" "," ","|",4))-FIND("|",SUBSTITUTE($H930&amp;" "," ","|",3))-1),""))</f>
        <v/>
      </c>
      <c r="F930" s="59">
        <f>IF($H930="","",IFERROR(VALUE(IFERROR(MID($H930&amp;" ",FIND("|",SUBSTITUTE($H930&amp;" "," ","|",4))+1,FIND("|",SUBSTITUTE($H930&amp;" "," ","|",5))-FIND("|",SUBSTITUTE($H930&amp;" "," ","|",4))-1),""))/86400+25569+9/24,""))</f>
        <v/>
      </c>
      <c r="G930" s="58">
        <f>TRIM(SUBSTITUTE(SUBSTITUTE(SUBSTITUTE($A930,CHAR(9)," ")," "," "),CHAR(13),""))</f>
        <v/>
      </c>
      <c r="H930" s="58">
        <f>IF($G930="","",IF(ISNUMBER(FIND(" ",$G930)),$G930,IFERROR(IF((LEN(SUBSTITUTE(SUBSTITUTE($G930,"-"," ",LEN($G930)-LEN(SUBSTITUTE($G930,"-",""))),"-"," ",LEN($G930)-LEN(SUBSTITUTE($G930,"-",""))-1))-LEN(SUBSTITUTE(SUBSTITUTE(SUBSTITUTE($G930,"-"," ",LEN($G930)-LEN(SUBSTITUTE($G930,"-",""))),"-"," ",LEN($G930)-LEN(SUBSTITUTE($G930,"-",""))-1),".","")))=0,SUBSTITUTE(SUBSTITUTE($G930,"-"," ",LEN($G930)-LEN(SUBSTITUTE($G930,"-",""))),"-"," ",LEN($G930)-LEN(SUBSTITUTE($G930,"-",""))-1),SUBSTITUTE(SUBSTITUTE(SUBSTITUTE($G930,"-"," ",LEN($G930)-LEN(SUBSTITUTE($G930,"-",""))),"-"," ",LEN($G930)-LEN(SUBSTITUTE($G930,"-",""))-1),"."," ",(LEN(SUBSTITUTE(SUBSTITUTE($G930,"-"," ",LEN($G930)-LEN(SUBSTITUTE($G930,"-",""))),"-"," ",LEN($G930)-LEN(SUBSTITUTE($G930,"-",""))-1))-LEN(SUBSTITUTE(SUBSTITUTE(SUBSTITUTE($G930,"-"," ",LEN($G930)-LEN(SUBSTITUTE($G930,"-",""))),"-"," ",LEN($G930)-LEN(SUBSTITUTE($G930,"-",""))-1),".",""))))),$G930)))</f>
        <v/>
      </c>
    </row>
    <row r="931">
      <c r="A931" s="58" t="n"/>
      <c r="B931" s="58">
        <f>IF($H931="","",LEFT($H931,FIND(" ",$H931&amp;" ")-1))</f>
        <v/>
      </c>
      <c r="C931" s="58">
        <f>IF($H931="","",IFERROR(MID($H931&amp;" ",FIND("|",SUBSTITUTE($H931&amp;" "," ","|",1))+1,FIND("|",SUBSTITUTE($H931&amp;" "," ","|",2))-FIND("|",SUBSTITUTE($H931&amp;" "," ","|",1))-1),""))</f>
        <v/>
      </c>
      <c r="D931" s="58">
        <f>IF($H931="","",IFERROR(MID($H931&amp;" ",FIND("|",SUBSTITUTE($H931&amp;" "," ","|",2))+1,FIND("|",SUBSTITUTE($H931&amp;" "," ","|",3))-FIND("|",SUBSTITUTE($H931&amp;" "," ","|",2))-1),""))</f>
        <v/>
      </c>
      <c r="E931" s="58">
        <f>IF($H931="","",IFERROR(MID($H931&amp;" ",FIND("|",SUBSTITUTE($H931&amp;" "," ","|",3))+1,FIND("|",SUBSTITUTE($H931&amp;" "," ","|",4))-FIND("|",SUBSTITUTE($H931&amp;" "," ","|",3))-1),""))</f>
        <v/>
      </c>
      <c r="F931" s="59">
        <f>IF($H931="","",IFERROR(VALUE(IFERROR(MID($H931&amp;" ",FIND("|",SUBSTITUTE($H931&amp;" "," ","|",4))+1,FIND("|",SUBSTITUTE($H931&amp;" "," ","|",5))-FIND("|",SUBSTITUTE($H931&amp;" "," ","|",4))-1),""))/86400+25569+9/24,""))</f>
        <v/>
      </c>
      <c r="G931" s="58">
        <f>TRIM(SUBSTITUTE(SUBSTITUTE(SUBSTITUTE($A931,CHAR(9)," ")," "," "),CHAR(13),""))</f>
        <v/>
      </c>
      <c r="H931" s="58">
        <f>IF($G931="","",IF(ISNUMBER(FIND(" ",$G931)),$G931,IFERROR(IF((LEN(SUBSTITUTE(SUBSTITUTE($G931,"-"," ",LEN($G931)-LEN(SUBSTITUTE($G931,"-",""))),"-"," ",LEN($G931)-LEN(SUBSTITUTE($G931,"-",""))-1))-LEN(SUBSTITUTE(SUBSTITUTE(SUBSTITUTE($G931,"-"," ",LEN($G931)-LEN(SUBSTITUTE($G931,"-",""))),"-"," ",LEN($G931)-LEN(SUBSTITUTE($G931,"-",""))-1),".","")))=0,SUBSTITUTE(SUBSTITUTE($G931,"-"," ",LEN($G931)-LEN(SUBSTITUTE($G931,"-",""))),"-"," ",LEN($G931)-LEN(SUBSTITUTE($G931,"-",""))-1),SUBSTITUTE(SUBSTITUTE(SUBSTITUTE($G931,"-"," ",LEN($G931)-LEN(SUBSTITUTE($G931,"-",""))),"-"," ",LEN($G931)-LEN(SUBSTITUTE($G931,"-",""))-1),"."," ",(LEN(SUBSTITUTE(SUBSTITUTE($G931,"-"," ",LEN($G931)-LEN(SUBSTITUTE($G931,"-",""))),"-"," ",LEN($G931)-LEN(SUBSTITUTE($G931,"-",""))-1))-LEN(SUBSTITUTE(SUBSTITUTE(SUBSTITUTE($G931,"-"," ",LEN($G931)-LEN(SUBSTITUTE($G931,"-",""))),"-"," ",LEN($G931)-LEN(SUBSTITUTE($G931,"-",""))-1),".",""))))),$G931)))</f>
        <v/>
      </c>
    </row>
    <row r="932">
      <c r="A932" s="58" t="n"/>
      <c r="B932" s="58">
        <f>IF($H932="","",LEFT($H932,FIND(" ",$H932&amp;" ")-1))</f>
        <v/>
      </c>
      <c r="C932" s="58">
        <f>IF($H932="","",IFERROR(MID($H932&amp;" ",FIND("|",SUBSTITUTE($H932&amp;" "," ","|",1))+1,FIND("|",SUBSTITUTE($H932&amp;" "," ","|",2))-FIND("|",SUBSTITUTE($H932&amp;" "," ","|",1))-1),""))</f>
        <v/>
      </c>
      <c r="D932" s="58">
        <f>IF($H932="","",IFERROR(MID($H932&amp;" ",FIND("|",SUBSTITUTE($H932&amp;" "," ","|",2))+1,FIND("|",SUBSTITUTE($H932&amp;" "," ","|",3))-FIND("|",SUBSTITUTE($H932&amp;" "," ","|",2))-1),""))</f>
        <v/>
      </c>
      <c r="E932" s="58">
        <f>IF($H932="","",IFERROR(MID($H932&amp;" ",FIND("|",SUBSTITUTE($H932&amp;" "," ","|",3))+1,FIND("|",SUBSTITUTE($H932&amp;" "," ","|",4))-FIND("|",SUBSTITUTE($H932&amp;" "," ","|",3))-1),""))</f>
        <v/>
      </c>
      <c r="F932" s="59">
        <f>IF($H932="","",IFERROR(VALUE(IFERROR(MID($H932&amp;" ",FIND("|",SUBSTITUTE($H932&amp;" "," ","|",4))+1,FIND("|",SUBSTITUTE($H932&amp;" "," ","|",5))-FIND("|",SUBSTITUTE($H932&amp;" "," ","|",4))-1),""))/86400+25569+9/24,""))</f>
        <v/>
      </c>
      <c r="G932" s="58">
        <f>TRIM(SUBSTITUTE(SUBSTITUTE(SUBSTITUTE($A932,CHAR(9)," ")," "," "),CHAR(13),""))</f>
        <v/>
      </c>
      <c r="H932" s="58">
        <f>IF($G932="","",IF(ISNUMBER(FIND(" ",$G932)),$G932,IFERROR(IF((LEN(SUBSTITUTE(SUBSTITUTE($G932,"-"," ",LEN($G932)-LEN(SUBSTITUTE($G932,"-",""))),"-"," ",LEN($G932)-LEN(SUBSTITUTE($G932,"-",""))-1))-LEN(SUBSTITUTE(SUBSTITUTE(SUBSTITUTE($G932,"-"," ",LEN($G932)-LEN(SUBSTITUTE($G932,"-",""))),"-"," ",LEN($G932)-LEN(SUBSTITUTE($G932,"-",""))-1),".","")))=0,SUBSTITUTE(SUBSTITUTE($G932,"-"," ",LEN($G932)-LEN(SUBSTITUTE($G932,"-",""))),"-"," ",LEN($G932)-LEN(SUBSTITUTE($G932,"-",""))-1),SUBSTITUTE(SUBSTITUTE(SUBSTITUTE($G932,"-"," ",LEN($G932)-LEN(SUBSTITUTE($G932,"-",""))),"-"," ",LEN($G932)-LEN(SUBSTITUTE($G932,"-",""))-1),"."," ",(LEN(SUBSTITUTE(SUBSTITUTE($G932,"-"," ",LEN($G932)-LEN(SUBSTITUTE($G932,"-",""))),"-"," ",LEN($G932)-LEN(SUBSTITUTE($G932,"-",""))-1))-LEN(SUBSTITUTE(SUBSTITUTE(SUBSTITUTE($G932,"-"," ",LEN($G932)-LEN(SUBSTITUTE($G932,"-",""))),"-"," ",LEN($G932)-LEN(SUBSTITUTE($G932,"-",""))-1),".",""))))),$G932)))</f>
        <v/>
      </c>
    </row>
    <row r="933">
      <c r="A933" s="58" t="n"/>
      <c r="B933" s="58">
        <f>IF($H933="","",LEFT($H933,FIND(" ",$H933&amp;" ")-1))</f>
        <v/>
      </c>
      <c r="C933" s="58">
        <f>IF($H933="","",IFERROR(MID($H933&amp;" ",FIND("|",SUBSTITUTE($H933&amp;" "," ","|",1))+1,FIND("|",SUBSTITUTE($H933&amp;" "," ","|",2))-FIND("|",SUBSTITUTE($H933&amp;" "," ","|",1))-1),""))</f>
        <v/>
      </c>
      <c r="D933" s="58">
        <f>IF($H933="","",IFERROR(MID($H933&amp;" ",FIND("|",SUBSTITUTE($H933&amp;" "," ","|",2))+1,FIND("|",SUBSTITUTE($H933&amp;" "," ","|",3))-FIND("|",SUBSTITUTE($H933&amp;" "," ","|",2))-1),""))</f>
        <v/>
      </c>
      <c r="E933" s="58">
        <f>IF($H933="","",IFERROR(MID($H933&amp;" ",FIND("|",SUBSTITUTE($H933&amp;" "," ","|",3))+1,FIND("|",SUBSTITUTE($H933&amp;" "," ","|",4))-FIND("|",SUBSTITUTE($H933&amp;" "," ","|",3))-1),""))</f>
        <v/>
      </c>
      <c r="F933" s="59">
        <f>IF($H933="","",IFERROR(VALUE(IFERROR(MID($H933&amp;" ",FIND("|",SUBSTITUTE($H933&amp;" "," ","|",4))+1,FIND("|",SUBSTITUTE($H933&amp;" "," ","|",5))-FIND("|",SUBSTITUTE($H933&amp;" "," ","|",4))-1),""))/86400+25569+9/24,""))</f>
        <v/>
      </c>
      <c r="G933" s="58">
        <f>TRIM(SUBSTITUTE(SUBSTITUTE(SUBSTITUTE($A933,CHAR(9)," ")," "," "),CHAR(13),""))</f>
        <v/>
      </c>
      <c r="H933" s="58">
        <f>IF($G933="","",IF(ISNUMBER(FIND(" ",$G933)),$G933,IFERROR(IF((LEN(SUBSTITUTE(SUBSTITUTE($G933,"-"," ",LEN($G933)-LEN(SUBSTITUTE($G933,"-",""))),"-"," ",LEN($G933)-LEN(SUBSTITUTE($G933,"-",""))-1))-LEN(SUBSTITUTE(SUBSTITUTE(SUBSTITUTE($G933,"-"," ",LEN($G933)-LEN(SUBSTITUTE($G933,"-",""))),"-"," ",LEN($G933)-LEN(SUBSTITUTE($G933,"-",""))-1),".","")))=0,SUBSTITUTE(SUBSTITUTE($G933,"-"," ",LEN($G933)-LEN(SUBSTITUTE($G933,"-",""))),"-"," ",LEN($G933)-LEN(SUBSTITUTE($G933,"-",""))-1),SUBSTITUTE(SUBSTITUTE(SUBSTITUTE($G933,"-"," ",LEN($G933)-LEN(SUBSTITUTE($G933,"-",""))),"-"," ",LEN($G933)-LEN(SUBSTITUTE($G933,"-",""))-1),"."," ",(LEN(SUBSTITUTE(SUBSTITUTE($G933,"-"," ",LEN($G933)-LEN(SUBSTITUTE($G933,"-",""))),"-"," ",LEN($G933)-LEN(SUBSTITUTE($G933,"-",""))-1))-LEN(SUBSTITUTE(SUBSTITUTE(SUBSTITUTE($G933,"-"," ",LEN($G933)-LEN(SUBSTITUTE($G933,"-",""))),"-"," ",LEN($G933)-LEN(SUBSTITUTE($G933,"-",""))-1),".",""))))),$G933)))</f>
        <v/>
      </c>
    </row>
    <row r="934">
      <c r="A934" s="58" t="n"/>
      <c r="B934" s="58">
        <f>IF($H934="","",LEFT($H934,FIND(" ",$H934&amp;" ")-1))</f>
        <v/>
      </c>
      <c r="C934" s="58">
        <f>IF($H934="","",IFERROR(MID($H934&amp;" ",FIND("|",SUBSTITUTE($H934&amp;" "," ","|",1))+1,FIND("|",SUBSTITUTE($H934&amp;" "," ","|",2))-FIND("|",SUBSTITUTE($H934&amp;" "," ","|",1))-1),""))</f>
        <v/>
      </c>
      <c r="D934" s="58">
        <f>IF($H934="","",IFERROR(MID($H934&amp;" ",FIND("|",SUBSTITUTE($H934&amp;" "," ","|",2))+1,FIND("|",SUBSTITUTE($H934&amp;" "," ","|",3))-FIND("|",SUBSTITUTE($H934&amp;" "," ","|",2))-1),""))</f>
        <v/>
      </c>
      <c r="E934" s="58">
        <f>IF($H934="","",IFERROR(MID($H934&amp;" ",FIND("|",SUBSTITUTE($H934&amp;" "," ","|",3))+1,FIND("|",SUBSTITUTE($H934&amp;" "," ","|",4))-FIND("|",SUBSTITUTE($H934&amp;" "," ","|",3))-1),""))</f>
        <v/>
      </c>
      <c r="F934" s="59">
        <f>IF($H934="","",IFERROR(VALUE(IFERROR(MID($H934&amp;" ",FIND("|",SUBSTITUTE($H934&amp;" "," ","|",4))+1,FIND("|",SUBSTITUTE($H934&amp;" "," ","|",5))-FIND("|",SUBSTITUTE($H934&amp;" "," ","|",4))-1),""))/86400+25569+9/24,""))</f>
        <v/>
      </c>
      <c r="G934" s="58">
        <f>TRIM(SUBSTITUTE(SUBSTITUTE(SUBSTITUTE($A934,CHAR(9)," ")," "," "),CHAR(13),""))</f>
        <v/>
      </c>
      <c r="H934" s="58">
        <f>IF($G934="","",IF(ISNUMBER(FIND(" ",$G934)),$G934,IFERROR(IF((LEN(SUBSTITUTE(SUBSTITUTE($G934,"-"," ",LEN($G934)-LEN(SUBSTITUTE($G934,"-",""))),"-"," ",LEN($G934)-LEN(SUBSTITUTE($G934,"-",""))-1))-LEN(SUBSTITUTE(SUBSTITUTE(SUBSTITUTE($G934,"-"," ",LEN($G934)-LEN(SUBSTITUTE($G934,"-",""))),"-"," ",LEN($G934)-LEN(SUBSTITUTE($G934,"-",""))-1),".","")))=0,SUBSTITUTE(SUBSTITUTE($G934,"-"," ",LEN($G934)-LEN(SUBSTITUTE($G934,"-",""))),"-"," ",LEN($G934)-LEN(SUBSTITUTE($G934,"-",""))-1),SUBSTITUTE(SUBSTITUTE(SUBSTITUTE($G934,"-"," ",LEN($G934)-LEN(SUBSTITUTE($G934,"-",""))),"-"," ",LEN($G934)-LEN(SUBSTITUTE($G934,"-",""))-1),"."," ",(LEN(SUBSTITUTE(SUBSTITUTE($G934,"-"," ",LEN($G934)-LEN(SUBSTITUTE($G934,"-",""))),"-"," ",LEN($G934)-LEN(SUBSTITUTE($G934,"-",""))-1))-LEN(SUBSTITUTE(SUBSTITUTE(SUBSTITUTE($G934,"-"," ",LEN($G934)-LEN(SUBSTITUTE($G934,"-",""))),"-"," ",LEN($G934)-LEN(SUBSTITUTE($G934,"-",""))-1),".",""))))),$G934)))</f>
        <v/>
      </c>
    </row>
    <row r="935">
      <c r="A935" s="58" t="n"/>
      <c r="B935" s="58">
        <f>IF($H935="","",LEFT($H935,FIND(" ",$H935&amp;" ")-1))</f>
        <v/>
      </c>
      <c r="C935" s="58">
        <f>IF($H935="","",IFERROR(MID($H935&amp;" ",FIND("|",SUBSTITUTE($H935&amp;" "," ","|",1))+1,FIND("|",SUBSTITUTE($H935&amp;" "," ","|",2))-FIND("|",SUBSTITUTE($H935&amp;" "," ","|",1))-1),""))</f>
        <v/>
      </c>
      <c r="D935" s="58">
        <f>IF($H935="","",IFERROR(MID($H935&amp;" ",FIND("|",SUBSTITUTE($H935&amp;" "," ","|",2))+1,FIND("|",SUBSTITUTE($H935&amp;" "," ","|",3))-FIND("|",SUBSTITUTE($H935&amp;" "," ","|",2))-1),""))</f>
        <v/>
      </c>
      <c r="E935" s="58">
        <f>IF($H935="","",IFERROR(MID($H935&amp;" ",FIND("|",SUBSTITUTE($H935&amp;" "," ","|",3))+1,FIND("|",SUBSTITUTE($H935&amp;" "," ","|",4))-FIND("|",SUBSTITUTE($H935&amp;" "," ","|",3))-1),""))</f>
        <v/>
      </c>
      <c r="F935" s="59">
        <f>IF($H935="","",IFERROR(VALUE(IFERROR(MID($H935&amp;" ",FIND("|",SUBSTITUTE($H935&amp;" "," ","|",4))+1,FIND("|",SUBSTITUTE($H935&amp;" "," ","|",5))-FIND("|",SUBSTITUTE($H935&amp;" "," ","|",4))-1),""))/86400+25569+9/24,""))</f>
        <v/>
      </c>
      <c r="G935" s="58">
        <f>TRIM(SUBSTITUTE(SUBSTITUTE(SUBSTITUTE($A935,CHAR(9)," ")," "," "),CHAR(13),""))</f>
        <v/>
      </c>
      <c r="H935" s="58">
        <f>IF($G935="","",IF(ISNUMBER(FIND(" ",$G935)),$G935,IFERROR(IF((LEN(SUBSTITUTE(SUBSTITUTE($G935,"-"," ",LEN($G935)-LEN(SUBSTITUTE($G935,"-",""))),"-"," ",LEN($G935)-LEN(SUBSTITUTE($G935,"-",""))-1))-LEN(SUBSTITUTE(SUBSTITUTE(SUBSTITUTE($G935,"-"," ",LEN($G935)-LEN(SUBSTITUTE($G935,"-",""))),"-"," ",LEN($G935)-LEN(SUBSTITUTE($G935,"-",""))-1),".","")))=0,SUBSTITUTE(SUBSTITUTE($G935,"-"," ",LEN($G935)-LEN(SUBSTITUTE($G935,"-",""))),"-"," ",LEN($G935)-LEN(SUBSTITUTE($G935,"-",""))-1),SUBSTITUTE(SUBSTITUTE(SUBSTITUTE($G935,"-"," ",LEN($G935)-LEN(SUBSTITUTE($G935,"-",""))),"-"," ",LEN($G935)-LEN(SUBSTITUTE($G935,"-",""))-1),"."," ",(LEN(SUBSTITUTE(SUBSTITUTE($G935,"-"," ",LEN($G935)-LEN(SUBSTITUTE($G935,"-",""))),"-"," ",LEN($G935)-LEN(SUBSTITUTE($G935,"-",""))-1))-LEN(SUBSTITUTE(SUBSTITUTE(SUBSTITUTE($G935,"-"," ",LEN($G935)-LEN(SUBSTITUTE($G935,"-",""))),"-"," ",LEN($G935)-LEN(SUBSTITUTE($G935,"-",""))-1),".",""))))),$G935)))</f>
        <v/>
      </c>
    </row>
    <row r="936">
      <c r="A936" s="58" t="n"/>
      <c r="B936" s="58">
        <f>IF($H936="","",LEFT($H936,FIND(" ",$H936&amp;" ")-1))</f>
        <v/>
      </c>
      <c r="C936" s="58">
        <f>IF($H936="","",IFERROR(MID($H936&amp;" ",FIND("|",SUBSTITUTE($H936&amp;" "," ","|",1))+1,FIND("|",SUBSTITUTE($H936&amp;" "," ","|",2))-FIND("|",SUBSTITUTE($H936&amp;" "," ","|",1))-1),""))</f>
        <v/>
      </c>
      <c r="D936" s="58">
        <f>IF($H936="","",IFERROR(MID($H936&amp;" ",FIND("|",SUBSTITUTE($H936&amp;" "," ","|",2))+1,FIND("|",SUBSTITUTE($H936&amp;" "," ","|",3))-FIND("|",SUBSTITUTE($H936&amp;" "," ","|",2))-1),""))</f>
        <v/>
      </c>
      <c r="E936" s="58">
        <f>IF($H936="","",IFERROR(MID($H936&amp;" ",FIND("|",SUBSTITUTE($H936&amp;" "," ","|",3))+1,FIND("|",SUBSTITUTE($H936&amp;" "," ","|",4))-FIND("|",SUBSTITUTE($H936&amp;" "," ","|",3))-1),""))</f>
        <v/>
      </c>
      <c r="F936" s="59">
        <f>IF($H936="","",IFERROR(VALUE(IFERROR(MID($H936&amp;" ",FIND("|",SUBSTITUTE($H936&amp;" "," ","|",4))+1,FIND("|",SUBSTITUTE($H936&amp;" "," ","|",5))-FIND("|",SUBSTITUTE($H936&amp;" "," ","|",4))-1),""))/86400+25569+9/24,""))</f>
        <v/>
      </c>
      <c r="G936" s="58">
        <f>TRIM(SUBSTITUTE(SUBSTITUTE(SUBSTITUTE($A936,CHAR(9)," ")," "," "),CHAR(13),""))</f>
        <v/>
      </c>
      <c r="H936" s="58">
        <f>IF($G936="","",IF(ISNUMBER(FIND(" ",$G936)),$G936,IFERROR(IF((LEN(SUBSTITUTE(SUBSTITUTE($G936,"-"," ",LEN($G936)-LEN(SUBSTITUTE($G936,"-",""))),"-"," ",LEN($G936)-LEN(SUBSTITUTE($G936,"-",""))-1))-LEN(SUBSTITUTE(SUBSTITUTE(SUBSTITUTE($G936,"-"," ",LEN($G936)-LEN(SUBSTITUTE($G936,"-",""))),"-"," ",LEN($G936)-LEN(SUBSTITUTE($G936,"-",""))-1),".","")))=0,SUBSTITUTE(SUBSTITUTE($G936,"-"," ",LEN($G936)-LEN(SUBSTITUTE($G936,"-",""))),"-"," ",LEN($G936)-LEN(SUBSTITUTE($G936,"-",""))-1),SUBSTITUTE(SUBSTITUTE(SUBSTITUTE($G936,"-"," ",LEN($G936)-LEN(SUBSTITUTE($G936,"-",""))),"-"," ",LEN($G936)-LEN(SUBSTITUTE($G936,"-",""))-1),"."," ",(LEN(SUBSTITUTE(SUBSTITUTE($G936,"-"," ",LEN($G936)-LEN(SUBSTITUTE($G936,"-",""))),"-"," ",LEN($G936)-LEN(SUBSTITUTE($G936,"-",""))-1))-LEN(SUBSTITUTE(SUBSTITUTE(SUBSTITUTE($G936,"-"," ",LEN($G936)-LEN(SUBSTITUTE($G936,"-",""))),"-"," ",LEN($G936)-LEN(SUBSTITUTE($G936,"-",""))-1),".",""))))),$G936)))</f>
        <v/>
      </c>
    </row>
    <row r="937">
      <c r="A937" s="58" t="n"/>
      <c r="B937" s="58">
        <f>IF($H937="","",LEFT($H937,FIND(" ",$H937&amp;" ")-1))</f>
        <v/>
      </c>
      <c r="C937" s="58">
        <f>IF($H937="","",IFERROR(MID($H937&amp;" ",FIND("|",SUBSTITUTE($H937&amp;" "," ","|",1))+1,FIND("|",SUBSTITUTE($H937&amp;" "," ","|",2))-FIND("|",SUBSTITUTE($H937&amp;" "," ","|",1))-1),""))</f>
        <v/>
      </c>
      <c r="D937" s="58">
        <f>IF($H937="","",IFERROR(MID($H937&amp;" ",FIND("|",SUBSTITUTE($H937&amp;" "," ","|",2))+1,FIND("|",SUBSTITUTE($H937&amp;" "," ","|",3))-FIND("|",SUBSTITUTE($H937&amp;" "," ","|",2))-1),""))</f>
        <v/>
      </c>
      <c r="E937" s="58">
        <f>IF($H937="","",IFERROR(MID($H937&amp;" ",FIND("|",SUBSTITUTE($H937&amp;" "," ","|",3))+1,FIND("|",SUBSTITUTE($H937&amp;" "," ","|",4))-FIND("|",SUBSTITUTE($H937&amp;" "," ","|",3))-1),""))</f>
        <v/>
      </c>
      <c r="F937" s="59">
        <f>IF($H937="","",IFERROR(VALUE(IFERROR(MID($H937&amp;" ",FIND("|",SUBSTITUTE($H937&amp;" "," ","|",4))+1,FIND("|",SUBSTITUTE($H937&amp;" "," ","|",5))-FIND("|",SUBSTITUTE($H937&amp;" "," ","|",4))-1),""))/86400+25569+9/24,""))</f>
        <v/>
      </c>
      <c r="G937" s="58">
        <f>TRIM(SUBSTITUTE(SUBSTITUTE(SUBSTITUTE($A937,CHAR(9)," ")," "," "),CHAR(13),""))</f>
        <v/>
      </c>
      <c r="H937" s="58">
        <f>IF($G937="","",IF(ISNUMBER(FIND(" ",$G937)),$G937,IFERROR(IF((LEN(SUBSTITUTE(SUBSTITUTE($G937,"-"," ",LEN($G937)-LEN(SUBSTITUTE($G937,"-",""))),"-"," ",LEN($G937)-LEN(SUBSTITUTE($G937,"-",""))-1))-LEN(SUBSTITUTE(SUBSTITUTE(SUBSTITUTE($G937,"-"," ",LEN($G937)-LEN(SUBSTITUTE($G937,"-",""))),"-"," ",LEN($G937)-LEN(SUBSTITUTE($G937,"-",""))-1),".","")))=0,SUBSTITUTE(SUBSTITUTE($G937,"-"," ",LEN($G937)-LEN(SUBSTITUTE($G937,"-",""))),"-"," ",LEN($G937)-LEN(SUBSTITUTE($G937,"-",""))-1),SUBSTITUTE(SUBSTITUTE(SUBSTITUTE($G937,"-"," ",LEN($G937)-LEN(SUBSTITUTE($G937,"-",""))),"-"," ",LEN($G937)-LEN(SUBSTITUTE($G937,"-",""))-1),"."," ",(LEN(SUBSTITUTE(SUBSTITUTE($G937,"-"," ",LEN($G937)-LEN(SUBSTITUTE($G937,"-",""))),"-"," ",LEN($G937)-LEN(SUBSTITUTE($G937,"-",""))-1))-LEN(SUBSTITUTE(SUBSTITUTE(SUBSTITUTE($G937,"-"," ",LEN($G937)-LEN(SUBSTITUTE($G937,"-",""))),"-"," ",LEN($G937)-LEN(SUBSTITUTE($G937,"-",""))-1),".",""))))),$G937)))</f>
        <v/>
      </c>
    </row>
    <row r="938">
      <c r="A938" s="58" t="n"/>
      <c r="B938" s="58">
        <f>IF($H938="","",LEFT($H938,FIND(" ",$H938&amp;" ")-1))</f>
        <v/>
      </c>
      <c r="C938" s="58">
        <f>IF($H938="","",IFERROR(MID($H938&amp;" ",FIND("|",SUBSTITUTE($H938&amp;" "," ","|",1))+1,FIND("|",SUBSTITUTE($H938&amp;" "," ","|",2))-FIND("|",SUBSTITUTE($H938&amp;" "," ","|",1))-1),""))</f>
        <v/>
      </c>
      <c r="D938" s="58">
        <f>IF($H938="","",IFERROR(MID($H938&amp;" ",FIND("|",SUBSTITUTE($H938&amp;" "," ","|",2))+1,FIND("|",SUBSTITUTE($H938&amp;" "," ","|",3))-FIND("|",SUBSTITUTE($H938&amp;" "," ","|",2))-1),""))</f>
        <v/>
      </c>
      <c r="E938" s="58">
        <f>IF($H938="","",IFERROR(MID($H938&amp;" ",FIND("|",SUBSTITUTE($H938&amp;" "," ","|",3))+1,FIND("|",SUBSTITUTE($H938&amp;" "," ","|",4))-FIND("|",SUBSTITUTE($H938&amp;" "," ","|",3))-1),""))</f>
        <v/>
      </c>
      <c r="F938" s="59">
        <f>IF($H938="","",IFERROR(VALUE(IFERROR(MID($H938&amp;" ",FIND("|",SUBSTITUTE($H938&amp;" "," ","|",4))+1,FIND("|",SUBSTITUTE($H938&amp;" "," ","|",5))-FIND("|",SUBSTITUTE($H938&amp;" "," ","|",4))-1),""))/86400+25569+9/24,""))</f>
        <v/>
      </c>
      <c r="G938" s="58">
        <f>TRIM(SUBSTITUTE(SUBSTITUTE(SUBSTITUTE($A938,CHAR(9)," ")," "," "),CHAR(13),""))</f>
        <v/>
      </c>
      <c r="H938" s="58">
        <f>IF($G938="","",IF(ISNUMBER(FIND(" ",$G938)),$G938,IFERROR(IF((LEN(SUBSTITUTE(SUBSTITUTE($G938,"-"," ",LEN($G938)-LEN(SUBSTITUTE($G938,"-",""))),"-"," ",LEN($G938)-LEN(SUBSTITUTE($G938,"-",""))-1))-LEN(SUBSTITUTE(SUBSTITUTE(SUBSTITUTE($G938,"-"," ",LEN($G938)-LEN(SUBSTITUTE($G938,"-",""))),"-"," ",LEN($G938)-LEN(SUBSTITUTE($G938,"-",""))-1),".","")))=0,SUBSTITUTE(SUBSTITUTE($G938,"-"," ",LEN($G938)-LEN(SUBSTITUTE($G938,"-",""))),"-"," ",LEN($G938)-LEN(SUBSTITUTE($G938,"-",""))-1),SUBSTITUTE(SUBSTITUTE(SUBSTITUTE($G938,"-"," ",LEN($G938)-LEN(SUBSTITUTE($G938,"-",""))),"-"," ",LEN($G938)-LEN(SUBSTITUTE($G938,"-",""))-1),"."," ",(LEN(SUBSTITUTE(SUBSTITUTE($G938,"-"," ",LEN($G938)-LEN(SUBSTITUTE($G938,"-",""))),"-"," ",LEN($G938)-LEN(SUBSTITUTE($G938,"-",""))-1))-LEN(SUBSTITUTE(SUBSTITUTE(SUBSTITUTE($G938,"-"," ",LEN($G938)-LEN(SUBSTITUTE($G938,"-",""))),"-"," ",LEN($G938)-LEN(SUBSTITUTE($G938,"-",""))-1),".",""))))),$G938)))</f>
        <v/>
      </c>
    </row>
    <row r="939">
      <c r="A939" s="58" t="n"/>
      <c r="B939" s="58">
        <f>IF($H939="","",LEFT($H939,FIND(" ",$H939&amp;" ")-1))</f>
        <v/>
      </c>
      <c r="C939" s="58">
        <f>IF($H939="","",IFERROR(MID($H939&amp;" ",FIND("|",SUBSTITUTE($H939&amp;" "," ","|",1))+1,FIND("|",SUBSTITUTE($H939&amp;" "," ","|",2))-FIND("|",SUBSTITUTE($H939&amp;" "," ","|",1))-1),""))</f>
        <v/>
      </c>
      <c r="D939" s="58">
        <f>IF($H939="","",IFERROR(MID($H939&amp;" ",FIND("|",SUBSTITUTE($H939&amp;" "," ","|",2))+1,FIND("|",SUBSTITUTE($H939&amp;" "," ","|",3))-FIND("|",SUBSTITUTE($H939&amp;" "," ","|",2))-1),""))</f>
        <v/>
      </c>
      <c r="E939" s="58">
        <f>IF($H939="","",IFERROR(MID($H939&amp;" ",FIND("|",SUBSTITUTE($H939&amp;" "," ","|",3))+1,FIND("|",SUBSTITUTE($H939&amp;" "," ","|",4))-FIND("|",SUBSTITUTE($H939&amp;" "," ","|",3))-1),""))</f>
        <v/>
      </c>
      <c r="F939" s="59">
        <f>IF($H939="","",IFERROR(VALUE(IFERROR(MID($H939&amp;" ",FIND("|",SUBSTITUTE($H939&amp;" "," ","|",4))+1,FIND("|",SUBSTITUTE($H939&amp;" "," ","|",5))-FIND("|",SUBSTITUTE($H939&amp;" "," ","|",4))-1),""))/86400+25569+9/24,""))</f>
        <v/>
      </c>
      <c r="G939" s="58">
        <f>TRIM(SUBSTITUTE(SUBSTITUTE(SUBSTITUTE($A939,CHAR(9)," ")," "," "),CHAR(13),""))</f>
        <v/>
      </c>
      <c r="H939" s="58">
        <f>IF($G939="","",IF(ISNUMBER(FIND(" ",$G939)),$G939,IFERROR(IF((LEN(SUBSTITUTE(SUBSTITUTE($G939,"-"," ",LEN($G939)-LEN(SUBSTITUTE($G939,"-",""))),"-"," ",LEN($G939)-LEN(SUBSTITUTE($G939,"-",""))-1))-LEN(SUBSTITUTE(SUBSTITUTE(SUBSTITUTE($G939,"-"," ",LEN($G939)-LEN(SUBSTITUTE($G939,"-",""))),"-"," ",LEN($G939)-LEN(SUBSTITUTE($G939,"-",""))-1),".","")))=0,SUBSTITUTE(SUBSTITUTE($G939,"-"," ",LEN($G939)-LEN(SUBSTITUTE($G939,"-",""))),"-"," ",LEN($G939)-LEN(SUBSTITUTE($G939,"-",""))-1),SUBSTITUTE(SUBSTITUTE(SUBSTITUTE($G939,"-"," ",LEN($G939)-LEN(SUBSTITUTE($G939,"-",""))),"-"," ",LEN($G939)-LEN(SUBSTITUTE($G939,"-",""))-1),"."," ",(LEN(SUBSTITUTE(SUBSTITUTE($G939,"-"," ",LEN($G939)-LEN(SUBSTITUTE($G939,"-",""))),"-"," ",LEN($G939)-LEN(SUBSTITUTE($G939,"-",""))-1))-LEN(SUBSTITUTE(SUBSTITUTE(SUBSTITUTE($G939,"-"," ",LEN($G939)-LEN(SUBSTITUTE($G939,"-",""))),"-"," ",LEN($G939)-LEN(SUBSTITUTE($G939,"-",""))-1),".",""))))),$G939)))</f>
        <v/>
      </c>
    </row>
    <row r="940">
      <c r="A940" s="58" t="n"/>
      <c r="B940" s="58">
        <f>IF($H940="","",LEFT($H940,FIND(" ",$H940&amp;" ")-1))</f>
        <v/>
      </c>
      <c r="C940" s="58">
        <f>IF($H940="","",IFERROR(MID($H940&amp;" ",FIND("|",SUBSTITUTE($H940&amp;" "," ","|",1))+1,FIND("|",SUBSTITUTE($H940&amp;" "," ","|",2))-FIND("|",SUBSTITUTE($H940&amp;" "," ","|",1))-1),""))</f>
        <v/>
      </c>
      <c r="D940" s="58">
        <f>IF($H940="","",IFERROR(MID($H940&amp;" ",FIND("|",SUBSTITUTE($H940&amp;" "," ","|",2))+1,FIND("|",SUBSTITUTE($H940&amp;" "," ","|",3))-FIND("|",SUBSTITUTE($H940&amp;" "," ","|",2))-1),""))</f>
        <v/>
      </c>
      <c r="E940" s="58">
        <f>IF($H940="","",IFERROR(MID($H940&amp;" ",FIND("|",SUBSTITUTE($H940&amp;" "," ","|",3))+1,FIND("|",SUBSTITUTE($H940&amp;" "," ","|",4))-FIND("|",SUBSTITUTE($H940&amp;" "," ","|",3))-1),""))</f>
        <v/>
      </c>
      <c r="F940" s="59">
        <f>IF($H940="","",IFERROR(VALUE(IFERROR(MID($H940&amp;" ",FIND("|",SUBSTITUTE($H940&amp;" "," ","|",4))+1,FIND("|",SUBSTITUTE($H940&amp;" "," ","|",5))-FIND("|",SUBSTITUTE($H940&amp;" "," ","|",4))-1),""))/86400+25569+9/24,""))</f>
        <v/>
      </c>
      <c r="G940" s="58">
        <f>TRIM(SUBSTITUTE(SUBSTITUTE(SUBSTITUTE($A940,CHAR(9)," ")," "," "),CHAR(13),""))</f>
        <v/>
      </c>
      <c r="H940" s="58">
        <f>IF($G940="","",IF(ISNUMBER(FIND(" ",$G940)),$G940,IFERROR(IF((LEN(SUBSTITUTE(SUBSTITUTE($G940,"-"," ",LEN($G940)-LEN(SUBSTITUTE($G940,"-",""))),"-"," ",LEN($G940)-LEN(SUBSTITUTE($G940,"-",""))-1))-LEN(SUBSTITUTE(SUBSTITUTE(SUBSTITUTE($G940,"-"," ",LEN($G940)-LEN(SUBSTITUTE($G940,"-",""))),"-"," ",LEN($G940)-LEN(SUBSTITUTE($G940,"-",""))-1),".","")))=0,SUBSTITUTE(SUBSTITUTE($G940,"-"," ",LEN($G940)-LEN(SUBSTITUTE($G940,"-",""))),"-"," ",LEN($G940)-LEN(SUBSTITUTE($G940,"-",""))-1),SUBSTITUTE(SUBSTITUTE(SUBSTITUTE($G940,"-"," ",LEN($G940)-LEN(SUBSTITUTE($G940,"-",""))),"-"," ",LEN($G940)-LEN(SUBSTITUTE($G940,"-",""))-1),"."," ",(LEN(SUBSTITUTE(SUBSTITUTE($G940,"-"," ",LEN($G940)-LEN(SUBSTITUTE($G940,"-",""))),"-"," ",LEN($G940)-LEN(SUBSTITUTE($G940,"-",""))-1))-LEN(SUBSTITUTE(SUBSTITUTE(SUBSTITUTE($G940,"-"," ",LEN($G940)-LEN(SUBSTITUTE($G940,"-",""))),"-"," ",LEN($G940)-LEN(SUBSTITUTE($G940,"-",""))-1),".",""))))),$G940)))</f>
        <v/>
      </c>
    </row>
    <row r="941">
      <c r="A941" s="58" t="n"/>
      <c r="B941" s="58">
        <f>IF($H941="","",LEFT($H941,FIND(" ",$H941&amp;" ")-1))</f>
        <v/>
      </c>
      <c r="C941" s="58">
        <f>IF($H941="","",IFERROR(MID($H941&amp;" ",FIND("|",SUBSTITUTE($H941&amp;" "," ","|",1))+1,FIND("|",SUBSTITUTE($H941&amp;" "," ","|",2))-FIND("|",SUBSTITUTE($H941&amp;" "," ","|",1))-1),""))</f>
        <v/>
      </c>
      <c r="D941" s="58">
        <f>IF($H941="","",IFERROR(MID($H941&amp;" ",FIND("|",SUBSTITUTE($H941&amp;" "," ","|",2))+1,FIND("|",SUBSTITUTE($H941&amp;" "," ","|",3))-FIND("|",SUBSTITUTE($H941&amp;" "," ","|",2))-1),""))</f>
        <v/>
      </c>
      <c r="E941" s="58">
        <f>IF($H941="","",IFERROR(MID($H941&amp;" ",FIND("|",SUBSTITUTE($H941&amp;" "," ","|",3))+1,FIND("|",SUBSTITUTE($H941&amp;" "," ","|",4))-FIND("|",SUBSTITUTE($H941&amp;" "," ","|",3))-1),""))</f>
        <v/>
      </c>
      <c r="F941" s="59">
        <f>IF($H941="","",IFERROR(VALUE(IFERROR(MID($H941&amp;" ",FIND("|",SUBSTITUTE($H941&amp;" "," ","|",4))+1,FIND("|",SUBSTITUTE($H941&amp;" "," ","|",5))-FIND("|",SUBSTITUTE($H941&amp;" "," ","|",4))-1),""))/86400+25569+9/24,""))</f>
        <v/>
      </c>
      <c r="G941" s="58">
        <f>TRIM(SUBSTITUTE(SUBSTITUTE(SUBSTITUTE($A941,CHAR(9)," ")," "," "),CHAR(13),""))</f>
        <v/>
      </c>
      <c r="H941" s="58">
        <f>IF($G941="","",IF(ISNUMBER(FIND(" ",$G941)),$G941,IFERROR(IF((LEN(SUBSTITUTE(SUBSTITUTE($G941,"-"," ",LEN($G941)-LEN(SUBSTITUTE($G941,"-",""))),"-"," ",LEN($G941)-LEN(SUBSTITUTE($G941,"-",""))-1))-LEN(SUBSTITUTE(SUBSTITUTE(SUBSTITUTE($G941,"-"," ",LEN($G941)-LEN(SUBSTITUTE($G941,"-",""))),"-"," ",LEN($G941)-LEN(SUBSTITUTE($G941,"-",""))-1),".","")))=0,SUBSTITUTE(SUBSTITUTE($G941,"-"," ",LEN($G941)-LEN(SUBSTITUTE($G941,"-",""))),"-"," ",LEN($G941)-LEN(SUBSTITUTE($G941,"-",""))-1),SUBSTITUTE(SUBSTITUTE(SUBSTITUTE($G941,"-"," ",LEN($G941)-LEN(SUBSTITUTE($G941,"-",""))),"-"," ",LEN($G941)-LEN(SUBSTITUTE($G941,"-",""))-1),"."," ",(LEN(SUBSTITUTE(SUBSTITUTE($G941,"-"," ",LEN($G941)-LEN(SUBSTITUTE($G941,"-",""))),"-"," ",LEN($G941)-LEN(SUBSTITUTE($G941,"-",""))-1))-LEN(SUBSTITUTE(SUBSTITUTE(SUBSTITUTE($G941,"-"," ",LEN($G941)-LEN(SUBSTITUTE($G941,"-",""))),"-"," ",LEN($G941)-LEN(SUBSTITUTE($G941,"-",""))-1),".",""))))),$G941)))</f>
        <v/>
      </c>
    </row>
    <row r="942">
      <c r="A942" s="58" t="n"/>
      <c r="B942" s="58">
        <f>IF($H942="","",LEFT($H942,FIND(" ",$H942&amp;" ")-1))</f>
        <v/>
      </c>
      <c r="C942" s="58">
        <f>IF($H942="","",IFERROR(MID($H942&amp;" ",FIND("|",SUBSTITUTE($H942&amp;" "," ","|",1))+1,FIND("|",SUBSTITUTE($H942&amp;" "," ","|",2))-FIND("|",SUBSTITUTE($H942&amp;" "," ","|",1))-1),""))</f>
        <v/>
      </c>
      <c r="D942" s="58">
        <f>IF($H942="","",IFERROR(MID($H942&amp;" ",FIND("|",SUBSTITUTE($H942&amp;" "," ","|",2))+1,FIND("|",SUBSTITUTE($H942&amp;" "," ","|",3))-FIND("|",SUBSTITUTE($H942&amp;" "," ","|",2))-1),""))</f>
        <v/>
      </c>
      <c r="E942" s="58">
        <f>IF($H942="","",IFERROR(MID($H942&amp;" ",FIND("|",SUBSTITUTE($H942&amp;" "," ","|",3))+1,FIND("|",SUBSTITUTE($H942&amp;" "," ","|",4))-FIND("|",SUBSTITUTE($H942&amp;" "," ","|",3))-1),""))</f>
        <v/>
      </c>
      <c r="F942" s="59">
        <f>IF($H942="","",IFERROR(VALUE(IFERROR(MID($H942&amp;" ",FIND("|",SUBSTITUTE($H942&amp;" "," ","|",4))+1,FIND("|",SUBSTITUTE($H942&amp;" "," ","|",5))-FIND("|",SUBSTITUTE($H942&amp;" "," ","|",4))-1),""))/86400+25569+9/24,""))</f>
        <v/>
      </c>
      <c r="G942" s="58">
        <f>TRIM(SUBSTITUTE(SUBSTITUTE(SUBSTITUTE($A942,CHAR(9)," ")," "," "),CHAR(13),""))</f>
        <v/>
      </c>
      <c r="H942" s="58">
        <f>IF($G942="","",IF(ISNUMBER(FIND(" ",$G942)),$G942,IFERROR(IF((LEN(SUBSTITUTE(SUBSTITUTE($G942,"-"," ",LEN($G942)-LEN(SUBSTITUTE($G942,"-",""))),"-"," ",LEN($G942)-LEN(SUBSTITUTE($G942,"-",""))-1))-LEN(SUBSTITUTE(SUBSTITUTE(SUBSTITUTE($G942,"-"," ",LEN($G942)-LEN(SUBSTITUTE($G942,"-",""))),"-"," ",LEN($G942)-LEN(SUBSTITUTE($G942,"-",""))-1),".","")))=0,SUBSTITUTE(SUBSTITUTE($G942,"-"," ",LEN($G942)-LEN(SUBSTITUTE($G942,"-",""))),"-"," ",LEN($G942)-LEN(SUBSTITUTE($G942,"-",""))-1),SUBSTITUTE(SUBSTITUTE(SUBSTITUTE($G942,"-"," ",LEN($G942)-LEN(SUBSTITUTE($G942,"-",""))),"-"," ",LEN($G942)-LEN(SUBSTITUTE($G942,"-",""))-1),"."," ",(LEN(SUBSTITUTE(SUBSTITUTE($G942,"-"," ",LEN($G942)-LEN(SUBSTITUTE($G942,"-",""))),"-"," ",LEN($G942)-LEN(SUBSTITUTE($G942,"-",""))-1))-LEN(SUBSTITUTE(SUBSTITUTE(SUBSTITUTE($G942,"-"," ",LEN($G942)-LEN(SUBSTITUTE($G942,"-",""))),"-"," ",LEN($G942)-LEN(SUBSTITUTE($G942,"-",""))-1),".",""))))),$G942)))</f>
        <v/>
      </c>
    </row>
    <row r="943">
      <c r="A943" s="58" t="n"/>
      <c r="B943" s="58">
        <f>IF($H943="","",LEFT($H943,FIND(" ",$H943&amp;" ")-1))</f>
        <v/>
      </c>
      <c r="C943" s="58">
        <f>IF($H943="","",IFERROR(MID($H943&amp;" ",FIND("|",SUBSTITUTE($H943&amp;" "," ","|",1))+1,FIND("|",SUBSTITUTE($H943&amp;" "," ","|",2))-FIND("|",SUBSTITUTE($H943&amp;" "," ","|",1))-1),""))</f>
        <v/>
      </c>
      <c r="D943" s="58">
        <f>IF($H943="","",IFERROR(MID($H943&amp;" ",FIND("|",SUBSTITUTE($H943&amp;" "," ","|",2))+1,FIND("|",SUBSTITUTE($H943&amp;" "," ","|",3))-FIND("|",SUBSTITUTE($H943&amp;" "," ","|",2))-1),""))</f>
        <v/>
      </c>
      <c r="E943" s="58">
        <f>IF($H943="","",IFERROR(MID($H943&amp;" ",FIND("|",SUBSTITUTE($H943&amp;" "," ","|",3))+1,FIND("|",SUBSTITUTE($H943&amp;" "," ","|",4))-FIND("|",SUBSTITUTE($H943&amp;" "," ","|",3))-1),""))</f>
        <v/>
      </c>
      <c r="F943" s="59">
        <f>IF($H943="","",IFERROR(VALUE(IFERROR(MID($H943&amp;" ",FIND("|",SUBSTITUTE($H943&amp;" "," ","|",4))+1,FIND("|",SUBSTITUTE($H943&amp;" "," ","|",5))-FIND("|",SUBSTITUTE($H943&amp;" "," ","|",4))-1),""))/86400+25569+9/24,""))</f>
        <v/>
      </c>
      <c r="G943" s="58">
        <f>TRIM(SUBSTITUTE(SUBSTITUTE(SUBSTITUTE($A943,CHAR(9)," ")," "," "),CHAR(13),""))</f>
        <v/>
      </c>
      <c r="H943" s="58">
        <f>IF($G943="","",IF(ISNUMBER(FIND(" ",$G943)),$G943,IFERROR(IF((LEN(SUBSTITUTE(SUBSTITUTE($G943,"-"," ",LEN($G943)-LEN(SUBSTITUTE($G943,"-",""))),"-"," ",LEN($G943)-LEN(SUBSTITUTE($G943,"-",""))-1))-LEN(SUBSTITUTE(SUBSTITUTE(SUBSTITUTE($G943,"-"," ",LEN($G943)-LEN(SUBSTITUTE($G943,"-",""))),"-"," ",LEN($G943)-LEN(SUBSTITUTE($G943,"-",""))-1),".","")))=0,SUBSTITUTE(SUBSTITUTE($G943,"-"," ",LEN($G943)-LEN(SUBSTITUTE($G943,"-",""))),"-"," ",LEN($G943)-LEN(SUBSTITUTE($G943,"-",""))-1),SUBSTITUTE(SUBSTITUTE(SUBSTITUTE($G943,"-"," ",LEN($G943)-LEN(SUBSTITUTE($G943,"-",""))),"-"," ",LEN($G943)-LEN(SUBSTITUTE($G943,"-",""))-1),"."," ",(LEN(SUBSTITUTE(SUBSTITUTE($G943,"-"," ",LEN($G943)-LEN(SUBSTITUTE($G943,"-",""))),"-"," ",LEN($G943)-LEN(SUBSTITUTE($G943,"-",""))-1))-LEN(SUBSTITUTE(SUBSTITUTE(SUBSTITUTE($G943,"-"," ",LEN($G943)-LEN(SUBSTITUTE($G943,"-",""))),"-"," ",LEN($G943)-LEN(SUBSTITUTE($G943,"-",""))-1),".",""))))),$G943)))</f>
        <v/>
      </c>
    </row>
    <row r="944">
      <c r="A944" s="58" t="n"/>
      <c r="B944" s="58">
        <f>IF($H944="","",LEFT($H944,FIND(" ",$H944&amp;" ")-1))</f>
        <v/>
      </c>
      <c r="C944" s="58">
        <f>IF($H944="","",IFERROR(MID($H944&amp;" ",FIND("|",SUBSTITUTE($H944&amp;" "," ","|",1))+1,FIND("|",SUBSTITUTE($H944&amp;" "," ","|",2))-FIND("|",SUBSTITUTE($H944&amp;" "," ","|",1))-1),""))</f>
        <v/>
      </c>
      <c r="D944" s="58">
        <f>IF($H944="","",IFERROR(MID($H944&amp;" ",FIND("|",SUBSTITUTE($H944&amp;" "," ","|",2))+1,FIND("|",SUBSTITUTE($H944&amp;" "," ","|",3))-FIND("|",SUBSTITUTE($H944&amp;" "," ","|",2))-1),""))</f>
        <v/>
      </c>
      <c r="E944" s="58">
        <f>IF($H944="","",IFERROR(MID($H944&amp;" ",FIND("|",SUBSTITUTE($H944&amp;" "," ","|",3))+1,FIND("|",SUBSTITUTE($H944&amp;" "," ","|",4))-FIND("|",SUBSTITUTE($H944&amp;" "," ","|",3))-1),""))</f>
        <v/>
      </c>
      <c r="F944" s="59">
        <f>IF($H944="","",IFERROR(VALUE(IFERROR(MID($H944&amp;" ",FIND("|",SUBSTITUTE($H944&amp;" "," ","|",4))+1,FIND("|",SUBSTITUTE($H944&amp;" "," ","|",5))-FIND("|",SUBSTITUTE($H944&amp;" "," ","|",4))-1),""))/86400+25569+9/24,""))</f>
        <v/>
      </c>
      <c r="G944" s="58">
        <f>TRIM(SUBSTITUTE(SUBSTITUTE(SUBSTITUTE($A944,CHAR(9)," ")," "," "),CHAR(13),""))</f>
        <v/>
      </c>
      <c r="H944" s="58">
        <f>IF($G944="","",IF(ISNUMBER(FIND(" ",$G944)),$G944,IFERROR(IF((LEN(SUBSTITUTE(SUBSTITUTE($G944,"-"," ",LEN($G944)-LEN(SUBSTITUTE($G944,"-",""))),"-"," ",LEN($G944)-LEN(SUBSTITUTE($G944,"-",""))-1))-LEN(SUBSTITUTE(SUBSTITUTE(SUBSTITUTE($G944,"-"," ",LEN($G944)-LEN(SUBSTITUTE($G944,"-",""))),"-"," ",LEN($G944)-LEN(SUBSTITUTE($G944,"-",""))-1),".","")))=0,SUBSTITUTE(SUBSTITUTE($G944,"-"," ",LEN($G944)-LEN(SUBSTITUTE($G944,"-",""))),"-"," ",LEN($G944)-LEN(SUBSTITUTE($G944,"-",""))-1),SUBSTITUTE(SUBSTITUTE(SUBSTITUTE($G944,"-"," ",LEN($G944)-LEN(SUBSTITUTE($G944,"-",""))),"-"," ",LEN($G944)-LEN(SUBSTITUTE($G944,"-",""))-1),"."," ",(LEN(SUBSTITUTE(SUBSTITUTE($G944,"-"," ",LEN($G944)-LEN(SUBSTITUTE($G944,"-",""))),"-"," ",LEN($G944)-LEN(SUBSTITUTE($G944,"-",""))-1))-LEN(SUBSTITUTE(SUBSTITUTE(SUBSTITUTE($G944,"-"," ",LEN($G944)-LEN(SUBSTITUTE($G944,"-",""))),"-"," ",LEN($G944)-LEN(SUBSTITUTE($G944,"-",""))-1),".",""))))),$G944)))</f>
        <v/>
      </c>
    </row>
    <row r="945">
      <c r="A945" s="58" t="n"/>
      <c r="B945" s="58">
        <f>IF($H945="","",LEFT($H945,FIND(" ",$H945&amp;" ")-1))</f>
        <v/>
      </c>
      <c r="C945" s="58">
        <f>IF($H945="","",IFERROR(MID($H945&amp;" ",FIND("|",SUBSTITUTE($H945&amp;" "," ","|",1))+1,FIND("|",SUBSTITUTE($H945&amp;" "," ","|",2))-FIND("|",SUBSTITUTE($H945&amp;" "," ","|",1))-1),""))</f>
        <v/>
      </c>
      <c r="D945" s="58">
        <f>IF($H945="","",IFERROR(MID($H945&amp;" ",FIND("|",SUBSTITUTE($H945&amp;" "," ","|",2))+1,FIND("|",SUBSTITUTE($H945&amp;" "," ","|",3))-FIND("|",SUBSTITUTE($H945&amp;" "," ","|",2))-1),""))</f>
        <v/>
      </c>
      <c r="E945" s="58">
        <f>IF($H945="","",IFERROR(MID($H945&amp;" ",FIND("|",SUBSTITUTE($H945&amp;" "," ","|",3))+1,FIND("|",SUBSTITUTE($H945&amp;" "," ","|",4))-FIND("|",SUBSTITUTE($H945&amp;" "," ","|",3))-1),""))</f>
        <v/>
      </c>
      <c r="F945" s="59">
        <f>IF($H945="","",IFERROR(VALUE(IFERROR(MID($H945&amp;" ",FIND("|",SUBSTITUTE($H945&amp;" "," ","|",4))+1,FIND("|",SUBSTITUTE($H945&amp;" "," ","|",5))-FIND("|",SUBSTITUTE($H945&amp;" "," ","|",4))-1),""))/86400+25569+9/24,""))</f>
        <v/>
      </c>
      <c r="G945" s="58">
        <f>TRIM(SUBSTITUTE(SUBSTITUTE(SUBSTITUTE($A945,CHAR(9)," ")," "," "),CHAR(13),""))</f>
        <v/>
      </c>
      <c r="H945" s="58">
        <f>IF($G945="","",IF(ISNUMBER(FIND(" ",$G945)),$G945,IFERROR(IF((LEN(SUBSTITUTE(SUBSTITUTE($G945,"-"," ",LEN($G945)-LEN(SUBSTITUTE($G945,"-",""))),"-"," ",LEN($G945)-LEN(SUBSTITUTE($G945,"-",""))-1))-LEN(SUBSTITUTE(SUBSTITUTE(SUBSTITUTE($G945,"-"," ",LEN($G945)-LEN(SUBSTITUTE($G945,"-",""))),"-"," ",LEN($G945)-LEN(SUBSTITUTE($G945,"-",""))-1),".","")))=0,SUBSTITUTE(SUBSTITUTE($G945,"-"," ",LEN($G945)-LEN(SUBSTITUTE($G945,"-",""))),"-"," ",LEN($G945)-LEN(SUBSTITUTE($G945,"-",""))-1),SUBSTITUTE(SUBSTITUTE(SUBSTITUTE($G945,"-"," ",LEN($G945)-LEN(SUBSTITUTE($G945,"-",""))),"-"," ",LEN($G945)-LEN(SUBSTITUTE($G945,"-",""))-1),"."," ",(LEN(SUBSTITUTE(SUBSTITUTE($G945,"-"," ",LEN($G945)-LEN(SUBSTITUTE($G945,"-",""))),"-"," ",LEN($G945)-LEN(SUBSTITUTE($G945,"-",""))-1))-LEN(SUBSTITUTE(SUBSTITUTE(SUBSTITUTE($G945,"-"," ",LEN($G945)-LEN(SUBSTITUTE($G945,"-",""))),"-"," ",LEN($G945)-LEN(SUBSTITUTE($G945,"-",""))-1),".",""))))),$G945)))</f>
        <v/>
      </c>
    </row>
    <row r="946">
      <c r="A946" s="58" t="n"/>
      <c r="B946" s="58">
        <f>IF($H946="","",LEFT($H946,FIND(" ",$H946&amp;" ")-1))</f>
        <v/>
      </c>
      <c r="C946" s="58">
        <f>IF($H946="","",IFERROR(MID($H946&amp;" ",FIND("|",SUBSTITUTE($H946&amp;" "," ","|",1))+1,FIND("|",SUBSTITUTE($H946&amp;" "," ","|",2))-FIND("|",SUBSTITUTE($H946&amp;" "," ","|",1))-1),""))</f>
        <v/>
      </c>
      <c r="D946" s="58">
        <f>IF($H946="","",IFERROR(MID($H946&amp;" ",FIND("|",SUBSTITUTE($H946&amp;" "," ","|",2))+1,FIND("|",SUBSTITUTE($H946&amp;" "," ","|",3))-FIND("|",SUBSTITUTE($H946&amp;" "," ","|",2))-1),""))</f>
        <v/>
      </c>
      <c r="E946" s="58">
        <f>IF($H946="","",IFERROR(MID($H946&amp;" ",FIND("|",SUBSTITUTE($H946&amp;" "," ","|",3))+1,FIND("|",SUBSTITUTE($H946&amp;" "," ","|",4))-FIND("|",SUBSTITUTE($H946&amp;" "," ","|",3))-1),""))</f>
        <v/>
      </c>
      <c r="F946" s="59">
        <f>IF($H946="","",IFERROR(VALUE(IFERROR(MID($H946&amp;" ",FIND("|",SUBSTITUTE($H946&amp;" "," ","|",4))+1,FIND("|",SUBSTITUTE($H946&amp;" "," ","|",5))-FIND("|",SUBSTITUTE($H946&amp;" "," ","|",4))-1),""))/86400+25569+9/24,""))</f>
        <v/>
      </c>
      <c r="G946" s="58">
        <f>TRIM(SUBSTITUTE(SUBSTITUTE(SUBSTITUTE($A946,CHAR(9)," ")," "," "),CHAR(13),""))</f>
        <v/>
      </c>
      <c r="H946" s="58">
        <f>IF($G946="","",IF(ISNUMBER(FIND(" ",$G946)),$G946,IFERROR(IF((LEN(SUBSTITUTE(SUBSTITUTE($G946,"-"," ",LEN($G946)-LEN(SUBSTITUTE($G946,"-",""))),"-"," ",LEN($G946)-LEN(SUBSTITUTE($G946,"-",""))-1))-LEN(SUBSTITUTE(SUBSTITUTE(SUBSTITUTE($G946,"-"," ",LEN($G946)-LEN(SUBSTITUTE($G946,"-",""))),"-"," ",LEN($G946)-LEN(SUBSTITUTE($G946,"-",""))-1),".","")))=0,SUBSTITUTE(SUBSTITUTE($G946,"-"," ",LEN($G946)-LEN(SUBSTITUTE($G946,"-",""))),"-"," ",LEN($G946)-LEN(SUBSTITUTE($G946,"-",""))-1),SUBSTITUTE(SUBSTITUTE(SUBSTITUTE($G946,"-"," ",LEN($G946)-LEN(SUBSTITUTE($G946,"-",""))),"-"," ",LEN($G946)-LEN(SUBSTITUTE($G946,"-",""))-1),"."," ",(LEN(SUBSTITUTE(SUBSTITUTE($G946,"-"," ",LEN($G946)-LEN(SUBSTITUTE($G946,"-",""))),"-"," ",LEN($G946)-LEN(SUBSTITUTE($G946,"-",""))-1))-LEN(SUBSTITUTE(SUBSTITUTE(SUBSTITUTE($G946,"-"," ",LEN($G946)-LEN(SUBSTITUTE($G946,"-",""))),"-"," ",LEN($G946)-LEN(SUBSTITUTE($G946,"-",""))-1),".",""))))),$G946)))</f>
        <v/>
      </c>
    </row>
    <row r="947">
      <c r="A947" s="58" t="n"/>
      <c r="B947" s="58">
        <f>IF($H947="","",LEFT($H947,FIND(" ",$H947&amp;" ")-1))</f>
        <v/>
      </c>
      <c r="C947" s="58">
        <f>IF($H947="","",IFERROR(MID($H947&amp;" ",FIND("|",SUBSTITUTE($H947&amp;" "," ","|",1))+1,FIND("|",SUBSTITUTE($H947&amp;" "," ","|",2))-FIND("|",SUBSTITUTE($H947&amp;" "," ","|",1))-1),""))</f>
        <v/>
      </c>
      <c r="D947" s="58">
        <f>IF($H947="","",IFERROR(MID($H947&amp;" ",FIND("|",SUBSTITUTE($H947&amp;" "," ","|",2))+1,FIND("|",SUBSTITUTE($H947&amp;" "," ","|",3))-FIND("|",SUBSTITUTE($H947&amp;" "," ","|",2))-1),""))</f>
        <v/>
      </c>
      <c r="E947" s="58">
        <f>IF($H947="","",IFERROR(MID($H947&amp;" ",FIND("|",SUBSTITUTE($H947&amp;" "," ","|",3))+1,FIND("|",SUBSTITUTE($H947&amp;" "," ","|",4))-FIND("|",SUBSTITUTE($H947&amp;" "," ","|",3))-1),""))</f>
        <v/>
      </c>
      <c r="F947" s="59">
        <f>IF($H947="","",IFERROR(VALUE(IFERROR(MID($H947&amp;" ",FIND("|",SUBSTITUTE($H947&amp;" "," ","|",4))+1,FIND("|",SUBSTITUTE($H947&amp;" "," ","|",5))-FIND("|",SUBSTITUTE($H947&amp;" "," ","|",4))-1),""))/86400+25569+9/24,""))</f>
        <v/>
      </c>
      <c r="G947" s="58">
        <f>TRIM(SUBSTITUTE(SUBSTITUTE(SUBSTITUTE($A947,CHAR(9)," ")," "," "),CHAR(13),""))</f>
        <v/>
      </c>
      <c r="H947" s="58">
        <f>IF($G947="","",IF(ISNUMBER(FIND(" ",$G947)),$G947,IFERROR(IF((LEN(SUBSTITUTE(SUBSTITUTE($G947,"-"," ",LEN($G947)-LEN(SUBSTITUTE($G947,"-",""))),"-"," ",LEN($G947)-LEN(SUBSTITUTE($G947,"-",""))-1))-LEN(SUBSTITUTE(SUBSTITUTE(SUBSTITUTE($G947,"-"," ",LEN($G947)-LEN(SUBSTITUTE($G947,"-",""))),"-"," ",LEN($G947)-LEN(SUBSTITUTE($G947,"-",""))-1),".","")))=0,SUBSTITUTE(SUBSTITUTE($G947,"-"," ",LEN($G947)-LEN(SUBSTITUTE($G947,"-",""))),"-"," ",LEN($G947)-LEN(SUBSTITUTE($G947,"-",""))-1),SUBSTITUTE(SUBSTITUTE(SUBSTITUTE($G947,"-"," ",LEN($G947)-LEN(SUBSTITUTE($G947,"-",""))),"-"," ",LEN($G947)-LEN(SUBSTITUTE($G947,"-",""))-1),"."," ",(LEN(SUBSTITUTE(SUBSTITUTE($G947,"-"," ",LEN($G947)-LEN(SUBSTITUTE($G947,"-",""))),"-"," ",LEN($G947)-LEN(SUBSTITUTE($G947,"-",""))-1))-LEN(SUBSTITUTE(SUBSTITUTE(SUBSTITUTE($G947,"-"," ",LEN($G947)-LEN(SUBSTITUTE($G947,"-",""))),"-"," ",LEN($G947)-LEN(SUBSTITUTE($G947,"-",""))-1),".",""))))),$G947)))</f>
        <v/>
      </c>
    </row>
    <row r="948">
      <c r="A948" s="58" t="n"/>
      <c r="B948" s="58">
        <f>IF($H948="","",LEFT($H948,FIND(" ",$H948&amp;" ")-1))</f>
        <v/>
      </c>
      <c r="C948" s="58">
        <f>IF($H948="","",IFERROR(MID($H948&amp;" ",FIND("|",SUBSTITUTE($H948&amp;" "," ","|",1))+1,FIND("|",SUBSTITUTE($H948&amp;" "," ","|",2))-FIND("|",SUBSTITUTE($H948&amp;" "," ","|",1))-1),""))</f>
        <v/>
      </c>
      <c r="D948" s="58">
        <f>IF($H948="","",IFERROR(MID($H948&amp;" ",FIND("|",SUBSTITUTE($H948&amp;" "," ","|",2))+1,FIND("|",SUBSTITUTE($H948&amp;" "," ","|",3))-FIND("|",SUBSTITUTE($H948&amp;" "," ","|",2))-1),""))</f>
        <v/>
      </c>
      <c r="E948" s="58">
        <f>IF($H948="","",IFERROR(MID($H948&amp;" ",FIND("|",SUBSTITUTE($H948&amp;" "," ","|",3))+1,FIND("|",SUBSTITUTE($H948&amp;" "," ","|",4))-FIND("|",SUBSTITUTE($H948&amp;" "," ","|",3))-1),""))</f>
        <v/>
      </c>
      <c r="F948" s="59">
        <f>IF($H948="","",IFERROR(VALUE(IFERROR(MID($H948&amp;" ",FIND("|",SUBSTITUTE($H948&amp;" "," ","|",4))+1,FIND("|",SUBSTITUTE($H948&amp;" "," ","|",5))-FIND("|",SUBSTITUTE($H948&amp;" "," ","|",4))-1),""))/86400+25569+9/24,""))</f>
        <v/>
      </c>
      <c r="G948" s="58">
        <f>TRIM(SUBSTITUTE(SUBSTITUTE(SUBSTITUTE($A948,CHAR(9)," ")," "," "),CHAR(13),""))</f>
        <v/>
      </c>
      <c r="H948" s="58">
        <f>IF($G948="","",IF(ISNUMBER(FIND(" ",$G948)),$G948,IFERROR(IF((LEN(SUBSTITUTE(SUBSTITUTE($G948,"-"," ",LEN($G948)-LEN(SUBSTITUTE($G948,"-",""))),"-"," ",LEN($G948)-LEN(SUBSTITUTE($G948,"-",""))-1))-LEN(SUBSTITUTE(SUBSTITUTE(SUBSTITUTE($G948,"-"," ",LEN($G948)-LEN(SUBSTITUTE($G948,"-",""))),"-"," ",LEN($G948)-LEN(SUBSTITUTE($G948,"-",""))-1),".","")))=0,SUBSTITUTE(SUBSTITUTE($G948,"-"," ",LEN($G948)-LEN(SUBSTITUTE($G948,"-",""))),"-"," ",LEN($G948)-LEN(SUBSTITUTE($G948,"-",""))-1),SUBSTITUTE(SUBSTITUTE(SUBSTITUTE($G948,"-"," ",LEN($G948)-LEN(SUBSTITUTE($G948,"-",""))),"-"," ",LEN($G948)-LEN(SUBSTITUTE($G948,"-",""))-1),"."," ",(LEN(SUBSTITUTE(SUBSTITUTE($G948,"-"," ",LEN($G948)-LEN(SUBSTITUTE($G948,"-",""))),"-"," ",LEN($G948)-LEN(SUBSTITUTE($G948,"-",""))-1))-LEN(SUBSTITUTE(SUBSTITUTE(SUBSTITUTE($G948,"-"," ",LEN($G948)-LEN(SUBSTITUTE($G948,"-",""))),"-"," ",LEN($G948)-LEN(SUBSTITUTE($G948,"-",""))-1),".",""))))),$G948)))</f>
        <v/>
      </c>
    </row>
    <row r="949">
      <c r="A949" s="58" t="n"/>
      <c r="B949" s="58">
        <f>IF($H949="","",LEFT($H949,FIND(" ",$H949&amp;" ")-1))</f>
        <v/>
      </c>
      <c r="C949" s="58">
        <f>IF($H949="","",IFERROR(MID($H949&amp;" ",FIND("|",SUBSTITUTE($H949&amp;" "," ","|",1))+1,FIND("|",SUBSTITUTE($H949&amp;" "," ","|",2))-FIND("|",SUBSTITUTE($H949&amp;" "," ","|",1))-1),""))</f>
        <v/>
      </c>
      <c r="D949" s="58">
        <f>IF($H949="","",IFERROR(MID($H949&amp;" ",FIND("|",SUBSTITUTE($H949&amp;" "," ","|",2))+1,FIND("|",SUBSTITUTE($H949&amp;" "," ","|",3))-FIND("|",SUBSTITUTE($H949&amp;" "," ","|",2))-1),""))</f>
        <v/>
      </c>
      <c r="E949" s="58">
        <f>IF($H949="","",IFERROR(MID($H949&amp;" ",FIND("|",SUBSTITUTE($H949&amp;" "," ","|",3))+1,FIND("|",SUBSTITUTE($H949&amp;" "," ","|",4))-FIND("|",SUBSTITUTE($H949&amp;" "," ","|",3))-1),""))</f>
        <v/>
      </c>
      <c r="F949" s="59">
        <f>IF($H949="","",IFERROR(VALUE(IFERROR(MID($H949&amp;" ",FIND("|",SUBSTITUTE($H949&amp;" "," ","|",4))+1,FIND("|",SUBSTITUTE($H949&amp;" "," ","|",5))-FIND("|",SUBSTITUTE($H949&amp;" "," ","|",4))-1),""))/86400+25569+9/24,""))</f>
        <v/>
      </c>
      <c r="G949" s="58">
        <f>TRIM(SUBSTITUTE(SUBSTITUTE(SUBSTITUTE($A949,CHAR(9)," ")," "," "),CHAR(13),""))</f>
        <v/>
      </c>
      <c r="H949" s="58">
        <f>IF($G949="","",IF(ISNUMBER(FIND(" ",$G949)),$G949,IFERROR(IF((LEN(SUBSTITUTE(SUBSTITUTE($G949,"-"," ",LEN($G949)-LEN(SUBSTITUTE($G949,"-",""))),"-"," ",LEN($G949)-LEN(SUBSTITUTE($G949,"-",""))-1))-LEN(SUBSTITUTE(SUBSTITUTE(SUBSTITUTE($G949,"-"," ",LEN($G949)-LEN(SUBSTITUTE($G949,"-",""))),"-"," ",LEN($G949)-LEN(SUBSTITUTE($G949,"-",""))-1),".","")))=0,SUBSTITUTE(SUBSTITUTE($G949,"-"," ",LEN($G949)-LEN(SUBSTITUTE($G949,"-",""))),"-"," ",LEN($G949)-LEN(SUBSTITUTE($G949,"-",""))-1),SUBSTITUTE(SUBSTITUTE(SUBSTITUTE($G949,"-"," ",LEN($G949)-LEN(SUBSTITUTE($G949,"-",""))),"-"," ",LEN($G949)-LEN(SUBSTITUTE($G949,"-",""))-1),"."," ",(LEN(SUBSTITUTE(SUBSTITUTE($G949,"-"," ",LEN($G949)-LEN(SUBSTITUTE($G949,"-",""))),"-"," ",LEN($G949)-LEN(SUBSTITUTE($G949,"-",""))-1))-LEN(SUBSTITUTE(SUBSTITUTE(SUBSTITUTE($G949,"-"," ",LEN($G949)-LEN(SUBSTITUTE($G949,"-",""))),"-"," ",LEN($G949)-LEN(SUBSTITUTE($G949,"-",""))-1),".",""))))),$G949)))</f>
        <v/>
      </c>
    </row>
    <row r="950">
      <c r="A950" s="58" t="n"/>
      <c r="B950" s="58">
        <f>IF($H950="","",LEFT($H950,FIND(" ",$H950&amp;" ")-1))</f>
        <v/>
      </c>
      <c r="C950" s="58">
        <f>IF($H950="","",IFERROR(MID($H950&amp;" ",FIND("|",SUBSTITUTE($H950&amp;" "," ","|",1))+1,FIND("|",SUBSTITUTE($H950&amp;" "," ","|",2))-FIND("|",SUBSTITUTE($H950&amp;" "," ","|",1))-1),""))</f>
        <v/>
      </c>
      <c r="D950" s="58">
        <f>IF($H950="","",IFERROR(MID($H950&amp;" ",FIND("|",SUBSTITUTE($H950&amp;" "," ","|",2))+1,FIND("|",SUBSTITUTE($H950&amp;" "," ","|",3))-FIND("|",SUBSTITUTE($H950&amp;" "," ","|",2))-1),""))</f>
        <v/>
      </c>
      <c r="E950" s="58">
        <f>IF($H950="","",IFERROR(MID($H950&amp;" ",FIND("|",SUBSTITUTE($H950&amp;" "," ","|",3))+1,FIND("|",SUBSTITUTE($H950&amp;" "," ","|",4))-FIND("|",SUBSTITUTE($H950&amp;" "," ","|",3))-1),""))</f>
        <v/>
      </c>
      <c r="F950" s="59">
        <f>IF($H950="","",IFERROR(VALUE(IFERROR(MID($H950&amp;" ",FIND("|",SUBSTITUTE($H950&amp;" "," ","|",4))+1,FIND("|",SUBSTITUTE($H950&amp;" "," ","|",5))-FIND("|",SUBSTITUTE($H950&amp;" "," ","|",4))-1),""))/86400+25569+9/24,""))</f>
        <v/>
      </c>
      <c r="G950" s="58">
        <f>TRIM(SUBSTITUTE(SUBSTITUTE(SUBSTITUTE($A950,CHAR(9)," ")," "," "),CHAR(13),""))</f>
        <v/>
      </c>
      <c r="H950" s="58">
        <f>IF($G950="","",IF(ISNUMBER(FIND(" ",$G950)),$G950,IFERROR(IF((LEN(SUBSTITUTE(SUBSTITUTE($G950,"-"," ",LEN($G950)-LEN(SUBSTITUTE($G950,"-",""))),"-"," ",LEN($G950)-LEN(SUBSTITUTE($G950,"-",""))-1))-LEN(SUBSTITUTE(SUBSTITUTE(SUBSTITUTE($G950,"-"," ",LEN($G950)-LEN(SUBSTITUTE($G950,"-",""))),"-"," ",LEN($G950)-LEN(SUBSTITUTE($G950,"-",""))-1),".","")))=0,SUBSTITUTE(SUBSTITUTE($G950,"-"," ",LEN($G950)-LEN(SUBSTITUTE($G950,"-",""))),"-"," ",LEN($G950)-LEN(SUBSTITUTE($G950,"-",""))-1),SUBSTITUTE(SUBSTITUTE(SUBSTITUTE($G950,"-"," ",LEN($G950)-LEN(SUBSTITUTE($G950,"-",""))),"-"," ",LEN($G950)-LEN(SUBSTITUTE($G950,"-",""))-1),"."," ",(LEN(SUBSTITUTE(SUBSTITUTE($G950,"-"," ",LEN($G950)-LEN(SUBSTITUTE($G950,"-",""))),"-"," ",LEN($G950)-LEN(SUBSTITUTE($G950,"-",""))-1))-LEN(SUBSTITUTE(SUBSTITUTE(SUBSTITUTE($G950,"-"," ",LEN($G950)-LEN(SUBSTITUTE($G950,"-",""))),"-"," ",LEN($G950)-LEN(SUBSTITUTE($G950,"-",""))-1),".",""))))),$G950)))</f>
        <v/>
      </c>
    </row>
    <row r="951">
      <c r="A951" s="58" t="n"/>
      <c r="B951" s="58">
        <f>IF($H951="","",LEFT($H951,FIND(" ",$H951&amp;" ")-1))</f>
        <v/>
      </c>
      <c r="C951" s="58">
        <f>IF($H951="","",IFERROR(MID($H951&amp;" ",FIND("|",SUBSTITUTE($H951&amp;" "," ","|",1))+1,FIND("|",SUBSTITUTE($H951&amp;" "," ","|",2))-FIND("|",SUBSTITUTE($H951&amp;" "," ","|",1))-1),""))</f>
        <v/>
      </c>
      <c r="D951" s="58">
        <f>IF($H951="","",IFERROR(MID($H951&amp;" ",FIND("|",SUBSTITUTE($H951&amp;" "," ","|",2))+1,FIND("|",SUBSTITUTE($H951&amp;" "," ","|",3))-FIND("|",SUBSTITUTE($H951&amp;" "," ","|",2))-1),""))</f>
        <v/>
      </c>
      <c r="E951" s="58">
        <f>IF($H951="","",IFERROR(MID($H951&amp;" ",FIND("|",SUBSTITUTE($H951&amp;" "," ","|",3))+1,FIND("|",SUBSTITUTE($H951&amp;" "," ","|",4))-FIND("|",SUBSTITUTE($H951&amp;" "," ","|",3))-1),""))</f>
        <v/>
      </c>
      <c r="F951" s="59">
        <f>IF($H951="","",IFERROR(VALUE(IFERROR(MID($H951&amp;" ",FIND("|",SUBSTITUTE($H951&amp;" "," ","|",4))+1,FIND("|",SUBSTITUTE($H951&amp;" "," ","|",5))-FIND("|",SUBSTITUTE($H951&amp;" "," ","|",4))-1),""))/86400+25569+9/24,""))</f>
        <v/>
      </c>
      <c r="G951" s="58">
        <f>TRIM(SUBSTITUTE(SUBSTITUTE(SUBSTITUTE($A951,CHAR(9)," ")," "," "),CHAR(13),""))</f>
        <v/>
      </c>
      <c r="H951" s="58">
        <f>IF($G951="","",IF(ISNUMBER(FIND(" ",$G951)),$G951,IFERROR(IF((LEN(SUBSTITUTE(SUBSTITUTE($G951,"-"," ",LEN($G951)-LEN(SUBSTITUTE($G951,"-",""))),"-"," ",LEN($G951)-LEN(SUBSTITUTE($G951,"-",""))-1))-LEN(SUBSTITUTE(SUBSTITUTE(SUBSTITUTE($G951,"-"," ",LEN($G951)-LEN(SUBSTITUTE($G951,"-",""))),"-"," ",LEN($G951)-LEN(SUBSTITUTE($G951,"-",""))-1),".","")))=0,SUBSTITUTE(SUBSTITUTE($G951,"-"," ",LEN($G951)-LEN(SUBSTITUTE($G951,"-",""))),"-"," ",LEN($G951)-LEN(SUBSTITUTE($G951,"-",""))-1),SUBSTITUTE(SUBSTITUTE(SUBSTITUTE($G951,"-"," ",LEN($G951)-LEN(SUBSTITUTE($G951,"-",""))),"-"," ",LEN($G951)-LEN(SUBSTITUTE($G951,"-",""))-1),"."," ",(LEN(SUBSTITUTE(SUBSTITUTE($G951,"-"," ",LEN($G951)-LEN(SUBSTITUTE($G951,"-",""))),"-"," ",LEN($G951)-LEN(SUBSTITUTE($G951,"-",""))-1))-LEN(SUBSTITUTE(SUBSTITUTE(SUBSTITUTE($G951,"-"," ",LEN($G951)-LEN(SUBSTITUTE($G951,"-",""))),"-"," ",LEN($G951)-LEN(SUBSTITUTE($G951,"-",""))-1),".",""))))),$G951)))</f>
        <v/>
      </c>
    </row>
    <row r="952">
      <c r="A952" s="58" t="n"/>
      <c r="B952" s="58">
        <f>IF($H952="","",LEFT($H952,FIND(" ",$H952&amp;" ")-1))</f>
        <v/>
      </c>
      <c r="C952" s="58">
        <f>IF($H952="","",IFERROR(MID($H952&amp;" ",FIND("|",SUBSTITUTE($H952&amp;" "," ","|",1))+1,FIND("|",SUBSTITUTE($H952&amp;" "," ","|",2))-FIND("|",SUBSTITUTE($H952&amp;" "," ","|",1))-1),""))</f>
        <v/>
      </c>
      <c r="D952" s="58">
        <f>IF($H952="","",IFERROR(MID($H952&amp;" ",FIND("|",SUBSTITUTE($H952&amp;" "," ","|",2))+1,FIND("|",SUBSTITUTE($H952&amp;" "," ","|",3))-FIND("|",SUBSTITUTE($H952&amp;" "," ","|",2))-1),""))</f>
        <v/>
      </c>
      <c r="E952" s="58">
        <f>IF($H952="","",IFERROR(MID($H952&amp;" ",FIND("|",SUBSTITUTE($H952&amp;" "," ","|",3))+1,FIND("|",SUBSTITUTE($H952&amp;" "," ","|",4))-FIND("|",SUBSTITUTE($H952&amp;" "," ","|",3))-1),""))</f>
        <v/>
      </c>
      <c r="F952" s="59">
        <f>IF($H952="","",IFERROR(VALUE(IFERROR(MID($H952&amp;" ",FIND("|",SUBSTITUTE($H952&amp;" "," ","|",4))+1,FIND("|",SUBSTITUTE($H952&amp;" "," ","|",5))-FIND("|",SUBSTITUTE($H952&amp;" "," ","|",4))-1),""))/86400+25569+9/24,""))</f>
        <v/>
      </c>
      <c r="G952" s="58">
        <f>TRIM(SUBSTITUTE(SUBSTITUTE(SUBSTITUTE($A952,CHAR(9)," ")," "," "),CHAR(13),""))</f>
        <v/>
      </c>
      <c r="H952" s="58">
        <f>IF($G952="","",IF(ISNUMBER(FIND(" ",$G952)),$G952,IFERROR(IF((LEN(SUBSTITUTE(SUBSTITUTE($G952,"-"," ",LEN($G952)-LEN(SUBSTITUTE($G952,"-",""))),"-"," ",LEN($G952)-LEN(SUBSTITUTE($G952,"-",""))-1))-LEN(SUBSTITUTE(SUBSTITUTE(SUBSTITUTE($G952,"-"," ",LEN($G952)-LEN(SUBSTITUTE($G952,"-",""))),"-"," ",LEN($G952)-LEN(SUBSTITUTE($G952,"-",""))-1),".","")))=0,SUBSTITUTE(SUBSTITUTE($G952,"-"," ",LEN($G952)-LEN(SUBSTITUTE($G952,"-",""))),"-"," ",LEN($G952)-LEN(SUBSTITUTE($G952,"-",""))-1),SUBSTITUTE(SUBSTITUTE(SUBSTITUTE($G952,"-"," ",LEN($G952)-LEN(SUBSTITUTE($G952,"-",""))),"-"," ",LEN($G952)-LEN(SUBSTITUTE($G952,"-",""))-1),"."," ",(LEN(SUBSTITUTE(SUBSTITUTE($G952,"-"," ",LEN($G952)-LEN(SUBSTITUTE($G952,"-",""))),"-"," ",LEN($G952)-LEN(SUBSTITUTE($G952,"-",""))-1))-LEN(SUBSTITUTE(SUBSTITUTE(SUBSTITUTE($G952,"-"," ",LEN($G952)-LEN(SUBSTITUTE($G952,"-",""))),"-"," ",LEN($G952)-LEN(SUBSTITUTE($G952,"-",""))-1),".",""))))),$G952)))</f>
        <v/>
      </c>
    </row>
    <row r="953">
      <c r="A953" s="58" t="n"/>
      <c r="B953" s="58">
        <f>IF($H953="","",LEFT($H953,FIND(" ",$H953&amp;" ")-1))</f>
        <v/>
      </c>
      <c r="C953" s="58">
        <f>IF($H953="","",IFERROR(MID($H953&amp;" ",FIND("|",SUBSTITUTE($H953&amp;" "," ","|",1))+1,FIND("|",SUBSTITUTE($H953&amp;" "," ","|",2))-FIND("|",SUBSTITUTE($H953&amp;" "," ","|",1))-1),""))</f>
        <v/>
      </c>
      <c r="D953" s="58">
        <f>IF($H953="","",IFERROR(MID($H953&amp;" ",FIND("|",SUBSTITUTE($H953&amp;" "," ","|",2))+1,FIND("|",SUBSTITUTE($H953&amp;" "," ","|",3))-FIND("|",SUBSTITUTE($H953&amp;" "," ","|",2))-1),""))</f>
        <v/>
      </c>
      <c r="E953" s="58">
        <f>IF($H953="","",IFERROR(MID($H953&amp;" ",FIND("|",SUBSTITUTE($H953&amp;" "," ","|",3))+1,FIND("|",SUBSTITUTE($H953&amp;" "," ","|",4))-FIND("|",SUBSTITUTE($H953&amp;" "," ","|",3))-1),""))</f>
        <v/>
      </c>
      <c r="F953" s="59">
        <f>IF($H953="","",IFERROR(VALUE(IFERROR(MID($H953&amp;" ",FIND("|",SUBSTITUTE($H953&amp;" "," ","|",4))+1,FIND("|",SUBSTITUTE($H953&amp;" "," ","|",5))-FIND("|",SUBSTITUTE($H953&amp;" "," ","|",4))-1),""))/86400+25569+9/24,""))</f>
        <v/>
      </c>
      <c r="G953" s="58">
        <f>TRIM(SUBSTITUTE(SUBSTITUTE(SUBSTITUTE($A953,CHAR(9)," ")," "," "),CHAR(13),""))</f>
        <v/>
      </c>
      <c r="H953" s="58">
        <f>IF($G953="","",IF(ISNUMBER(FIND(" ",$G953)),$G953,IFERROR(IF((LEN(SUBSTITUTE(SUBSTITUTE($G953,"-"," ",LEN($G953)-LEN(SUBSTITUTE($G953,"-",""))),"-"," ",LEN($G953)-LEN(SUBSTITUTE($G953,"-",""))-1))-LEN(SUBSTITUTE(SUBSTITUTE(SUBSTITUTE($G953,"-"," ",LEN($G953)-LEN(SUBSTITUTE($G953,"-",""))),"-"," ",LEN($G953)-LEN(SUBSTITUTE($G953,"-",""))-1),".","")))=0,SUBSTITUTE(SUBSTITUTE($G953,"-"," ",LEN($G953)-LEN(SUBSTITUTE($G953,"-",""))),"-"," ",LEN($G953)-LEN(SUBSTITUTE($G953,"-",""))-1),SUBSTITUTE(SUBSTITUTE(SUBSTITUTE($G953,"-"," ",LEN($G953)-LEN(SUBSTITUTE($G953,"-",""))),"-"," ",LEN($G953)-LEN(SUBSTITUTE($G953,"-",""))-1),"."," ",(LEN(SUBSTITUTE(SUBSTITUTE($G953,"-"," ",LEN($G953)-LEN(SUBSTITUTE($G953,"-",""))),"-"," ",LEN($G953)-LEN(SUBSTITUTE($G953,"-",""))-1))-LEN(SUBSTITUTE(SUBSTITUTE(SUBSTITUTE($G953,"-"," ",LEN($G953)-LEN(SUBSTITUTE($G953,"-",""))),"-"," ",LEN($G953)-LEN(SUBSTITUTE($G953,"-",""))-1),".",""))))),$G953)))</f>
        <v/>
      </c>
    </row>
    <row r="954">
      <c r="A954" s="58" t="n"/>
      <c r="B954" s="58">
        <f>IF($H954="","",LEFT($H954,FIND(" ",$H954&amp;" ")-1))</f>
        <v/>
      </c>
      <c r="C954" s="58">
        <f>IF($H954="","",IFERROR(MID($H954&amp;" ",FIND("|",SUBSTITUTE($H954&amp;" "," ","|",1))+1,FIND("|",SUBSTITUTE($H954&amp;" "," ","|",2))-FIND("|",SUBSTITUTE($H954&amp;" "," ","|",1))-1),""))</f>
        <v/>
      </c>
      <c r="D954" s="58">
        <f>IF($H954="","",IFERROR(MID($H954&amp;" ",FIND("|",SUBSTITUTE($H954&amp;" "," ","|",2))+1,FIND("|",SUBSTITUTE($H954&amp;" "," ","|",3))-FIND("|",SUBSTITUTE($H954&amp;" "," ","|",2))-1),""))</f>
        <v/>
      </c>
      <c r="E954" s="58">
        <f>IF($H954="","",IFERROR(MID($H954&amp;" ",FIND("|",SUBSTITUTE($H954&amp;" "," ","|",3))+1,FIND("|",SUBSTITUTE($H954&amp;" "," ","|",4))-FIND("|",SUBSTITUTE($H954&amp;" "," ","|",3))-1),""))</f>
        <v/>
      </c>
      <c r="F954" s="59">
        <f>IF($H954="","",IFERROR(VALUE(IFERROR(MID($H954&amp;" ",FIND("|",SUBSTITUTE($H954&amp;" "," ","|",4))+1,FIND("|",SUBSTITUTE($H954&amp;" "," ","|",5))-FIND("|",SUBSTITUTE($H954&amp;" "," ","|",4))-1),""))/86400+25569+9/24,""))</f>
        <v/>
      </c>
      <c r="G954" s="58">
        <f>TRIM(SUBSTITUTE(SUBSTITUTE(SUBSTITUTE($A954,CHAR(9)," ")," "," "),CHAR(13),""))</f>
        <v/>
      </c>
      <c r="H954" s="58">
        <f>IF($G954="","",IF(ISNUMBER(FIND(" ",$G954)),$G954,IFERROR(IF((LEN(SUBSTITUTE(SUBSTITUTE($G954,"-"," ",LEN($G954)-LEN(SUBSTITUTE($G954,"-",""))),"-"," ",LEN($G954)-LEN(SUBSTITUTE($G954,"-",""))-1))-LEN(SUBSTITUTE(SUBSTITUTE(SUBSTITUTE($G954,"-"," ",LEN($G954)-LEN(SUBSTITUTE($G954,"-",""))),"-"," ",LEN($G954)-LEN(SUBSTITUTE($G954,"-",""))-1),".","")))=0,SUBSTITUTE(SUBSTITUTE($G954,"-"," ",LEN($G954)-LEN(SUBSTITUTE($G954,"-",""))),"-"," ",LEN($G954)-LEN(SUBSTITUTE($G954,"-",""))-1),SUBSTITUTE(SUBSTITUTE(SUBSTITUTE($G954,"-"," ",LEN($G954)-LEN(SUBSTITUTE($G954,"-",""))),"-"," ",LEN($G954)-LEN(SUBSTITUTE($G954,"-",""))-1),"."," ",(LEN(SUBSTITUTE(SUBSTITUTE($G954,"-"," ",LEN($G954)-LEN(SUBSTITUTE($G954,"-",""))),"-"," ",LEN($G954)-LEN(SUBSTITUTE($G954,"-",""))-1))-LEN(SUBSTITUTE(SUBSTITUTE(SUBSTITUTE($G954,"-"," ",LEN($G954)-LEN(SUBSTITUTE($G954,"-",""))),"-"," ",LEN($G954)-LEN(SUBSTITUTE($G954,"-",""))-1),".",""))))),$G954)))</f>
        <v/>
      </c>
    </row>
    <row r="955">
      <c r="A955" s="58" t="n"/>
      <c r="B955" s="58">
        <f>IF($H955="","",LEFT($H955,FIND(" ",$H955&amp;" ")-1))</f>
        <v/>
      </c>
      <c r="C955" s="58">
        <f>IF($H955="","",IFERROR(MID($H955&amp;" ",FIND("|",SUBSTITUTE($H955&amp;" "," ","|",1))+1,FIND("|",SUBSTITUTE($H955&amp;" "," ","|",2))-FIND("|",SUBSTITUTE($H955&amp;" "," ","|",1))-1),""))</f>
        <v/>
      </c>
      <c r="D955" s="58">
        <f>IF($H955="","",IFERROR(MID($H955&amp;" ",FIND("|",SUBSTITUTE($H955&amp;" "," ","|",2))+1,FIND("|",SUBSTITUTE($H955&amp;" "," ","|",3))-FIND("|",SUBSTITUTE($H955&amp;" "," ","|",2))-1),""))</f>
        <v/>
      </c>
      <c r="E955" s="58">
        <f>IF($H955="","",IFERROR(MID($H955&amp;" ",FIND("|",SUBSTITUTE($H955&amp;" "," ","|",3))+1,FIND("|",SUBSTITUTE($H955&amp;" "," ","|",4))-FIND("|",SUBSTITUTE($H955&amp;" "," ","|",3))-1),""))</f>
        <v/>
      </c>
      <c r="F955" s="59">
        <f>IF($H955="","",IFERROR(VALUE(IFERROR(MID($H955&amp;" ",FIND("|",SUBSTITUTE($H955&amp;" "," ","|",4))+1,FIND("|",SUBSTITUTE($H955&amp;" "," ","|",5))-FIND("|",SUBSTITUTE($H955&amp;" "," ","|",4))-1),""))/86400+25569+9/24,""))</f>
        <v/>
      </c>
      <c r="G955" s="58">
        <f>TRIM(SUBSTITUTE(SUBSTITUTE(SUBSTITUTE($A955,CHAR(9)," ")," "," "),CHAR(13),""))</f>
        <v/>
      </c>
      <c r="H955" s="58">
        <f>IF($G955="","",IF(ISNUMBER(FIND(" ",$G955)),$G955,IFERROR(IF((LEN(SUBSTITUTE(SUBSTITUTE($G955,"-"," ",LEN($G955)-LEN(SUBSTITUTE($G955,"-",""))),"-"," ",LEN($G955)-LEN(SUBSTITUTE($G955,"-",""))-1))-LEN(SUBSTITUTE(SUBSTITUTE(SUBSTITUTE($G955,"-"," ",LEN($G955)-LEN(SUBSTITUTE($G955,"-",""))),"-"," ",LEN($G955)-LEN(SUBSTITUTE($G955,"-",""))-1),".","")))=0,SUBSTITUTE(SUBSTITUTE($G955,"-"," ",LEN($G955)-LEN(SUBSTITUTE($G955,"-",""))),"-"," ",LEN($G955)-LEN(SUBSTITUTE($G955,"-",""))-1),SUBSTITUTE(SUBSTITUTE(SUBSTITUTE($G955,"-"," ",LEN($G955)-LEN(SUBSTITUTE($G955,"-",""))),"-"," ",LEN($G955)-LEN(SUBSTITUTE($G955,"-",""))-1),"."," ",(LEN(SUBSTITUTE(SUBSTITUTE($G955,"-"," ",LEN($G955)-LEN(SUBSTITUTE($G955,"-",""))),"-"," ",LEN($G955)-LEN(SUBSTITUTE($G955,"-",""))-1))-LEN(SUBSTITUTE(SUBSTITUTE(SUBSTITUTE($G955,"-"," ",LEN($G955)-LEN(SUBSTITUTE($G955,"-",""))),"-"," ",LEN($G955)-LEN(SUBSTITUTE($G955,"-",""))-1),".",""))))),$G955)))</f>
        <v/>
      </c>
    </row>
    <row r="956">
      <c r="A956" s="58" t="n"/>
      <c r="B956" s="58">
        <f>IF($H956="","",LEFT($H956,FIND(" ",$H956&amp;" ")-1))</f>
        <v/>
      </c>
      <c r="C956" s="58">
        <f>IF($H956="","",IFERROR(MID($H956&amp;" ",FIND("|",SUBSTITUTE($H956&amp;" "," ","|",1))+1,FIND("|",SUBSTITUTE($H956&amp;" "," ","|",2))-FIND("|",SUBSTITUTE($H956&amp;" "," ","|",1))-1),""))</f>
        <v/>
      </c>
      <c r="D956" s="58">
        <f>IF($H956="","",IFERROR(MID($H956&amp;" ",FIND("|",SUBSTITUTE($H956&amp;" "," ","|",2))+1,FIND("|",SUBSTITUTE($H956&amp;" "," ","|",3))-FIND("|",SUBSTITUTE($H956&amp;" "," ","|",2))-1),""))</f>
        <v/>
      </c>
      <c r="E956" s="58">
        <f>IF($H956="","",IFERROR(MID($H956&amp;" ",FIND("|",SUBSTITUTE($H956&amp;" "," ","|",3))+1,FIND("|",SUBSTITUTE($H956&amp;" "," ","|",4))-FIND("|",SUBSTITUTE($H956&amp;" "," ","|",3))-1),""))</f>
        <v/>
      </c>
      <c r="F956" s="59">
        <f>IF($H956="","",IFERROR(VALUE(IFERROR(MID($H956&amp;" ",FIND("|",SUBSTITUTE($H956&amp;" "," ","|",4))+1,FIND("|",SUBSTITUTE($H956&amp;" "," ","|",5))-FIND("|",SUBSTITUTE($H956&amp;" "," ","|",4))-1),""))/86400+25569+9/24,""))</f>
        <v/>
      </c>
      <c r="G956" s="58">
        <f>TRIM(SUBSTITUTE(SUBSTITUTE(SUBSTITUTE($A956,CHAR(9)," ")," "," "),CHAR(13),""))</f>
        <v/>
      </c>
      <c r="H956" s="58">
        <f>IF($G956="","",IF(ISNUMBER(FIND(" ",$G956)),$G956,IFERROR(IF((LEN(SUBSTITUTE(SUBSTITUTE($G956,"-"," ",LEN($G956)-LEN(SUBSTITUTE($G956,"-",""))),"-"," ",LEN($G956)-LEN(SUBSTITUTE($G956,"-",""))-1))-LEN(SUBSTITUTE(SUBSTITUTE(SUBSTITUTE($G956,"-"," ",LEN($G956)-LEN(SUBSTITUTE($G956,"-",""))),"-"," ",LEN($G956)-LEN(SUBSTITUTE($G956,"-",""))-1),".","")))=0,SUBSTITUTE(SUBSTITUTE($G956,"-"," ",LEN($G956)-LEN(SUBSTITUTE($G956,"-",""))),"-"," ",LEN($G956)-LEN(SUBSTITUTE($G956,"-",""))-1),SUBSTITUTE(SUBSTITUTE(SUBSTITUTE($G956,"-"," ",LEN($G956)-LEN(SUBSTITUTE($G956,"-",""))),"-"," ",LEN($G956)-LEN(SUBSTITUTE($G956,"-",""))-1),"."," ",(LEN(SUBSTITUTE(SUBSTITUTE($G956,"-"," ",LEN($G956)-LEN(SUBSTITUTE($G956,"-",""))),"-"," ",LEN($G956)-LEN(SUBSTITUTE($G956,"-",""))-1))-LEN(SUBSTITUTE(SUBSTITUTE(SUBSTITUTE($G956,"-"," ",LEN($G956)-LEN(SUBSTITUTE($G956,"-",""))),"-"," ",LEN($G956)-LEN(SUBSTITUTE($G956,"-",""))-1),".",""))))),$G956)))</f>
        <v/>
      </c>
    </row>
    <row r="957">
      <c r="A957" s="58" t="n"/>
      <c r="B957" s="58">
        <f>IF($H957="","",LEFT($H957,FIND(" ",$H957&amp;" ")-1))</f>
        <v/>
      </c>
      <c r="C957" s="58">
        <f>IF($H957="","",IFERROR(MID($H957&amp;" ",FIND("|",SUBSTITUTE($H957&amp;" "," ","|",1))+1,FIND("|",SUBSTITUTE($H957&amp;" "," ","|",2))-FIND("|",SUBSTITUTE($H957&amp;" "," ","|",1))-1),""))</f>
        <v/>
      </c>
      <c r="D957" s="58">
        <f>IF($H957="","",IFERROR(MID($H957&amp;" ",FIND("|",SUBSTITUTE($H957&amp;" "," ","|",2))+1,FIND("|",SUBSTITUTE($H957&amp;" "," ","|",3))-FIND("|",SUBSTITUTE($H957&amp;" "," ","|",2))-1),""))</f>
        <v/>
      </c>
      <c r="E957" s="58">
        <f>IF($H957="","",IFERROR(MID($H957&amp;" ",FIND("|",SUBSTITUTE($H957&amp;" "," ","|",3))+1,FIND("|",SUBSTITUTE($H957&amp;" "," ","|",4))-FIND("|",SUBSTITUTE($H957&amp;" "," ","|",3))-1),""))</f>
        <v/>
      </c>
      <c r="F957" s="59">
        <f>IF($H957="","",IFERROR(VALUE(IFERROR(MID($H957&amp;" ",FIND("|",SUBSTITUTE($H957&amp;" "," ","|",4))+1,FIND("|",SUBSTITUTE($H957&amp;" "," ","|",5))-FIND("|",SUBSTITUTE($H957&amp;" "," ","|",4))-1),""))/86400+25569+9/24,""))</f>
        <v/>
      </c>
      <c r="G957" s="58">
        <f>TRIM(SUBSTITUTE(SUBSTITUTE(SUBSTITUTE($A957,CHAR(9)," ")," "," "),CHAR(13),""))</f>
        <v/>
      </c>
      <c r="H957" s="58">
        <f>IF($G957="","",IF(ISNUMBER(FIND(" ",$G957)),$G957,IFERROR(IF((LEN(SUBSTITUTE(SUBSTITUTE($G957,"-"," ",LEN($G957)-LEN(SUBSTITUTE($G957,"-",""))),"-"," ",LEN($G957)-LEN(SUBSTITUTE($G957,"-",""))-1))-LEN(SUBSTITUTE(SUBSTITUTE(SUBSTITUTE($G957,"-"," ",LEN($G957)-LEN(SUBSTITUTE($G957,"-",""))),"-"," ",LEN($G957)-LEN(SUBSTITUTE($G957,"-",""))-1),".","")))=0,SUBSTITUTE(SUBSTITUTE($G957,"-"," ",LEN($G957)-LEN(SUBSTITUTE($G957,"-",""))),"-"," ",LEN($G957)-LEN(SUBSTITUTE($G957,"-",""))-1),SUBSTITUTE(SUBSTITUTE(SUBSTITUTE($G957,"-"," ",LEN($G957)-LEN(SUBSTITUTE($G957,"-",""))),"-"," ",LEN($G957)-LEN(SUBSTITUTE($G957,"-",""))-1),"."," ",(LEN(SUBSTITUTE(SUBSTITUTE($G957,"-"," ",LEN($G957)-LEN(SUBSTITUTE($G957,"-",""))),"-"," ",LEN($G957)-LEN(SUBSTITUTE($G957,"-",""))-1))-LEN(SUBSTITUTE(SUBSTITUTE(SUBSTITUTE($G957,"-"," ",LEN($G957)-LEN(SUBSTITUTE($G957,"-",""))),"-"," ",LEN($G957)-LEN(SUBSTITUTE($G957,"-",""))-1),".",""))))),$G957)))</f>
        <v/>
      </c>
    </row>
    <row r="958">
      <c r="A958" s="58" t="n"/>
      <c r="B958" s="58">
        <f>IF($H958="","",LEFT($H958,FIND(" ",$H958&amp;" ")-1))</f>
        <v/>
      </c>
      <c r="C958" s="58">
        <f>IF($H958="","",IFERROR(MID($H958&amp;" ",FIND("|",SUBSTITUTE($H958&amp;" "," ","|",1))+1,FIND("|",SUBSTITUTE($H958&amp;" "," ","|",2))-FIND("|",SUBSTITUTE($H958&amp;" "," ","|",1))-1),""))</f>
        <v/>
      </c>
      <c r="D958" s="58">
        <f>IF($H958="","",IFERROR(MID($H958&amp;" ",FIND("|",SUBSTITUTE($H958&amp;" "," ","|",2))+1,FIND("|",SUBSTITUTE($H958&amp;" "," ","|",3))-FIND("|",SUBSTITUTE($H958&amp;" "," ","|",2))-1),""))</f>
        <v/>
      </c>
      <c r="E958" s="58">
        <f>IF($H958="","",IFERROR(MID($H958&amp;" ",FIND("|",SUBSTITUTE($H958&amp;" "," ","|",3))+1,FIND("|",SUBSTITUTE($H958&amp;" "," ","|",4))-FIND("|",SUBSTITUTE($H958&amp;" "," ","|",3))-1),""))</f>
        <v/>
      </c>
      <c r="F958" s="59">
        <f>IF($H958="","",IFERROR(VALUE(IFERROR(MID($H958&amp;" ",FIND("|",SUBSTITUTE($H958&amp;" "," ","|",4))+1,FIND("|",SUBSTITUTE($H958&amp;" "," ","|",5))-FIND("|",SUBSTITUTE($H958&amp;" "," ","|",4))-1),""))/86400+25569+9/24,""))</f>
        <v/>
      </c>
      <c r="G958" s="58">
        <f>TRIM(SUBSTITUTE(SUBSTITUTE(SUBSTITUTE($A958,CHAR(9)," ")," "," "),CHAR(13),""))</f>
        <v/>
      </c>
      <c r="H958" s="58">
        <f>IF($G958="","",IF(ISNUMBER(FIND(" ",$G958)),$G958,IFERROR(IF((LEN(SUBSTITUTE(SUBSTITUTE($G958,"-"," ",LEN($G958)-LEN(SUBSTITUTE($G958,"-",""))),"-"," ",LEN($G958)-LEN(SUBSTITUTE($G958,"-",""))-1))-LEN(SUBSTITUTE(SUBSTITUTE(SUBSTITUTE($G958,"-"," ",LEN($G958)-LEN(SUBSTITUTE($G958,"-",""))),"-"," ",LEN($G958)-LEN(SUBSTITUTE($G958,"-",""))-1),".","")))=0,SUBSTITUTE(SUBSTITUTE($G958,"-"," ",LEN($G958)-LEN(SUBSTITUTE($G958,"-",""))),"-"," ",LEN($G958)-LEN(SUBSTITUTE($G958,"-",""))-1),SUBSTITUTE(SUBSTITUTE(SUBSTITUTE($G958,"-"," ",LEN($G958)-LEN(SUBSTITUTE($G958,"-",""))),"-"," ",LEN($G958)-LEN(SUBSTITUTE($G958,"-",""))-1),"."," ",(LEN(SUBSTITUTE(SUBSTITUTE($G958,"-"," ",LEN($G958)-LEN(SUBSTITUTE($G958,"-",""))),"-"," ",LEN($G958)-LEN(SUBSTITUTE($G958,"-",""))-1))-LEN(SUBSTITUTE(SUBSTITUTE(SUBSTITUTE($G958,"-"," ",LEN($G958)-LEN(SUBSTITUTE($G958,"-",""))),"-"," ",LEN($G958)-LEN(SUBSTITUTE($G958,"-",""))-1),".",""))))),$G958)))</f>
        <v/>
      </c>
    </row>
    <row r="959">
      <c r="A959" s="58" t="n"/>
      <c r="B959" s="58">
        <f>IF($H959="","",LEFT($H959,FIND(" ",$H959&amp;" ")-1))</f>
        <v/>
      </c>
      <c r="C959" s="58">
        <f>IF($H959="","",IFERROR(MID($H959&amp;" ",FIND("|",SUBSTITUTE($H959&amp;" "," ","|",1))+1,FIND("|",SUBSTITUTE($H959&amp;" "," ","|",2))-FIND("|",SUBSTITUTE($H959&amp;" "," ","|",1))-1),""))</f>
        <v/>
      </c>
      <c r="D959" s="58">
        <f>IF($H959="","",IFERROR(MID($H959&amp;" ",FIND("|",SUBSTITUTE($H959&amp;" "," ","|",2))+1,FIND("|",SUBSTITUTE($H959&amp;" "," ","|",3))-FIND("|",SUBSTITUTE($H959&amp;" "," ","|",2))-1),""))</f>
        <v/>
      </c>
      <c r="E959" s="58">
        <f>IF($H959="","",IFERROR(MID($H959&amp;" ",FIND("|",SUBSTITUTE($H959&amp;" "," ","|",3))+1,FIND("|",SUBSTITUTE($H959&amp;" "," ","|",4))-FIND("|",SUBSTITUTE($H959&amp;" "," ","|",3))-1),""))</f>
        <v/>
      </c>
      <c r="F959" s="59">
        <f>IF($H959="","",IFERROR(VALUE(IFERROR(MID($H959&amp;" ",FIND("|",SUBSTITUTE($H959&amp;" "," ","|",4))+1,FIND("|",SUBSTITUTE($H959&amp;" "," ","|",5))-FIND("|",SUBSTITUTE($H959&amp;" "," ","|",4))-1),""))/86400+25569+9/24,""))</f>
        <v/>
      </c>
      <c r="G959" s="58">
        <f>TRIM(SUBSTITUTE(SUBSTITUTE(SUBSTITUTE($A959,CHAR(9)," ")," "," "),CHAR(13),""))</f>
        <v/>
      </c>
      <c r="H959" s="58">
        <f>IF($G959="","",IF(ISNUMBER(FIND(" ",$G959)),$G959,IFERROR(IF((LEN(SUBSTITUTE(SUBSTITUTE($G959,"-"," ",LEN($G959)-LEN(SUBSTITUTE($G959,"-",""))),"-"," ",LEN($G959)-LEN(SUBSTITUTE($G959,"-",""))-1))-LEN(SUBSTITUTE(SUBSTITUTE(SUBSTITUTE($G959,"-"," ",LEN($G959)-LEN(SUBSTITUTE($G959,"-",""))),"-"," ",LEN($G959)-LEN(SUBSTITUTE($G959,"-",""))-1),".","")))=0,SUBSTITUTE(SUBSTITUTE($G959,"-"," ",LEN($G959)-LEN(SUBSTITUTE($G959,"-",""))),"-"," ",LEN($G959)-LEN(SUBSTITUTE($G959,"-",""))-1),SUBSTITUTE(SUBSTITUTE(SUBSTITUTE($G959,"-"," ",LEN($G959)-LEN(SUBSTITUTE($G959,"-",""))),"-"," ",LEN($G959)-LEN(SUBSTITUTE($G959,"-",""))-1),"."," ",(LEN(SUBSTITUTE(SUBSTITUTE($G959,"-"," ",LEN($G959)-LEN(SUBSTITUTE($G959,"-",""))),"-"," ",LEN($G959)-LEN(SUBSTITUTE($G959,"-",""))-1))-LEN(SUBSTITUTE(SUBSTITUTE(SUBSTITUTE($G959,"-"," ",LEN($G959)-LEN(SUBSTITUTE($G959,"-",""))),"-"," ",LEN($G959)-LEN(SUBSTITUTE($G959,"-",""))-1),".",""))))),$G959)))</f>
        <v/>
      </c>
    </row>
    <row r="960">
      <c r="A960" s="58" t="n"/>
      <c r="B960" s="58">
        <f>IF($H960="","",LEFT($H960,FIND(" ",$H960&amp;" ")-1))</f>
        <v/>
      </c>
      <c r="C960" s="58">
        <f>IF($H960="","",IFERROR(MID($H960&amp;" ",FIND("|",SUBSTITUTE($H960&amp;" "," ","|",1))+1,FIND("|",SUBSTITUTE($H960&amp;" "," ","|",2))-FIND("|",SUBSTITUTE($H960&amp;" "," ","|",1))-1),""))</f>
        <v/>
      </c>
      <c r="D960" s="58">
        <f>IF($H960="","",IFERROR(MID($H960&amp;" ",FIND("|",SUBSTITUTE($H960&amp;" "," ","|",2))+1,FIND("|",SUBSTITUTE($H960&amp;" "," ","|",3))-FIND("|",SUBSTITUTE($H960&amp;" "," ","|",2))-1),""))</f>
        <v/>
      </c>
      <c r="E960" s="58">
        <f>IF($H960="","",IFERROR(MID($H960&amp;" ",FIND("|",SUBSTITUTE($H960&amp;" "," ","|",3))+1,FIND("|",SUBSTITUTE($H960&amp;" "," ","|",4))-FIND("|",SUBSTITUTE($H960&amp;" "," ","|",3))-1),""))</f>
        <v/>
      </c>
      <c r="F960" s="59">
        <f>IF($H960="","",IFERROR(VALUE(IFERROR(MID($H960&amp;" ",FIND("|",SUBSTITUTE($H960&amp;" "," ","|",4))+1,FIND("|",SUBSTITUTE($H960&amp;" "," ","|",5))-FIND("|",SUBSTITUTE($H960&amp;" "," ","|",4))-1),""))/86400+25569+9/24,""))</f>
        <v/>
      </c>
      <c r="G960" s="58">
        <f>TRIM(SUBSTITUTE(SUBSTITUTE(SUBSTITUTE($A960,CHAR(9)," ")," "," "),CHAR(13),""))</f>
        <v/>
      </c>
      <c r="H960" s="58">
        <f>IF($G960="","",IF(ISNUMBER(FIND(" ",$G960)),$G960,IFERROR(IF((LEN(SUBSTITUTE(SUBSTITUTE($G960,"-"," ",LEN($G960)-LEN(SUBSTITUTE($G960,"-",""))),"-"," ",LEN($G960)-LEN(SUBSTITUTE($G960,"-",""))-1))-LEN(SUBSTITUTE(SUBSTITUTE(SUBSTITUTE($G960,"-"," ",LEN($G960)-LEN(SUBSTITUTE($G960,"-",""))),"-"," ",LEN($G960)-LEN(SUBSTITUTE($G960,"-",""))-1),".","")))=0,SUBSTITUTE(SUBSTITUTE($G960,"-"," ",LEN($G960)-LEN(SUBSTITUTE($G960,"-",""))),"-"," ",LEN($G960)-LEN(SUBSTITUTE($G960,"-",""))-1),SUBSTITUTE(SUBSTITUTE(SUBSTITUTE($G960,"-"," ",LEN($G960)-LEN(SUBSTITUTE($G960,"-",""))),"-"," ",LEN($G960)-LEN(SUBSTITUTE($G960,"-",""))-1),"."," ",(LEN(SUBSTITUTE(SUBSTITUTE($G960,"-"," ",LEN($G960)-LEN(SUBSTITUTE($G960,"-",""))),"-"," ",LEN($G960)-LEN(SUBSTITUTE($G960,"-",""))-1))-LEN(SUBSTITUTE(SUBSTITUTE(SUBSTITUTE($G960,"-"," ",LEN($G960)-LEN(SUBSTITUTE($G960,"-",""))),"-"," ",LEN($G960)-LEN(SUBSTITUTE($G960,"-",""))-1),".",""))))),$G960)))</f>
        <v/>
      </c>
    </row>
    <row r="961">
      <c r="A961" s="58" t="n"/>
      <c r="B961" s="58">
        <f>IF($H961="","",LEFT($H961,FIND(" ",$H961&amp;" ")-1))</f>
        <v/>
      </c>
      <c r="C961" s="58">
        <f>IF($H961="","",IFERROR(MID($H961&amp;" ",FIND("|",SUBSTITUTE($H961&amp;" "," ","|",1))+1,FIND("|",SUBSTITUTE($H961&amp;" "," ","|",2))-FIND("|",SUBSTITUTE($H961&amp;" "," ","|",1))-1),""))</f>
        <v/>
      </c>
      <c r="D961" s="58">
        <f>IF($H961="","",IFERROR(MID($H961&amp;" ",FIND("|",SUBSTITUTE($H961&amp;" "," ","|",2))+1,FIND("|",SUBSTITUTE($H961&amp;" "," ","|",3))-FIND("|",SUBSTITUTE($H961&amp;" "," ","|",2))-1),""))</f>
        <v/>
      </c>
      <c r="E961" s="58">
        <f>IF($H961="","",IFERROR(MID($H961&amp;" ",FIND("|",SUBSTITUTE($H961&amp;" "," ","|",3))+1,FIND("|",SUBSTITUTE($H961&amp;" "," ","|",4))-FIND("|",SUBSTITUTE($H961&amp;" "," ","|",3))-1),""))</f>
        <v/>
      </c>
      <c r="F961" s="59">
        <f>IF($H961="","",IFERROR(VALUE(IFERROR(MID($H961&amp;" ",FIND("|",SUBSTITUTE($H961&amp;" "," ","|",4))+1,FIND("|",SUBSTITUTE($H961&amp;" "," ","|",5))-FIND("|",SUBSTITUTE($H961&amp;" "," ","|",4))-1),""))/86400+25569+9/24,""))</f>
        <v/>
      </c>
      <c r="G961" s="58">
        <f>TRIM(SUBSTITUTE(SUBSTITUTE(SUBSTITUTE($A961,CHAR(9)," ")," "," "),CHAR(13),""))</f>
        <v/>
      </c>
      <c r="H961" s="58">
        <f>IF($G961="","",IF(ISNUMBER(FIND(" ",$G961)),$G961,IFERROR(IF((LEN(SUBSTITUTE(SUBSTITUTE($G961,"-"," ",LEN($G961)-LEN(SUBSTITUTE($G961,"-",""))),"-"," ",LEN($G961)-LEN(SUBSTITUTE($G961,"-",""))-1))-LEN(SUBSTITUTE(SUBSTITUTE(SUBSTITUTE($G961,"-"," ",LEN($G961)-LEN(SUBSTITUTE($G961,"-",""))),"-"," ",LEN($G961)-LEN(SUBSTITUTE($G961,"-",""))-1),".","")))=0,SUBSTITUTE(SUBSTITUTE($G961,"-"," ",LEN($G961)-LEN(SUBSTITUTE($G961,"-",""))),"-"," ",LEN($G961)-LEN(SUBSTITUTE($G961,"-",""))-1),SUBSTITUTE(SUBSTITUTE(SUBSTITUTE($G961,"-"," ",LEN($G961)-LEN(SUBSTITUTE($G961,"-",""))),"-"," ",LEN($G961)-LEN(SUBSTITUTE($G961,"-",""))-1),"."," ",(LEN(SUBSTITUTE(SUBSTITUTE($G961,"-"," ",LEN($G961)-LEN(SUBSTITUTE($G961,"-",""))),"-"," ",LEN($G961)-LEN(SUBSTITUTE($G961,"-",""))-1))-LEN(SUBSTITUTE(SUBSTITUTE(SUBSTITUTE($G961,"-"," ",LEN($G961)-LEN(SUBSTITUTE($G961,"-",""))),"-"," ",LEN($G961)-LEN(SUBSTITUTE($G961,"-",""))-1),".",""))))),$G961)))</f>
        <v/>
      </c>
    </row>
    <row r="962">
      <c r="A962" s="58" t="n"/>
      <c r="B962" s="58">
        <f>IF($H962="","",LEFT($H962,FIND(" ",$H962&amp;" ")-1))</f>
        <v/>
      </c>
      <c r="C962" s="58">
        <f>IF($H962="","",IFERROR(MID($H962&amp;" ",FIND("|",SUBSTITUTE($H962&amp;" "," ","|",1))+1,FIND("|",SUBSTITUTE($H962&amp;" "," ","|",2))-FIND("|",SUBSTITUTE($H962&amp;" "," ","|",1))-1),""))</f>
        <v/>
      </c>
      <c r="D962" s="58">
        <f>IF($H962="","",IFERROR(MID($H962&amp;" ",FIND("|",SUBSTITUTE($H962&amp;" "," ","|",2))+1,FIND("|",SUBSTITUTE($H962&amp;" "," ","|",3))-FIND("|",SUBSTITUTE($H962&amp;" "," ","|",2))-1),""))</f>
        <v/>
      </c>
      <c r="E962" s="58">
        <f>IF($H962="","",IFERROR(MID($H962&amp;" ",FIND("|",SUBSTITUTE($H962&amp;" "," ","|",3))+1,FIND("|",SUBSTITUTE($H962&amp;" "," ","|",4))-FIND("|",SUBSTITUTE($H962&amp;" "," ","|",3))-1),""))</f>
        <v/>
      </c>
      <c r="F962" s="59">
        <f>IF($H962="","",IFERROR(VALUE(IFERROR(MID($H962&amp;" ",FIND("|",SUBSTITUTE($H962&amp;" "," ","|",4))+1,FIND("|",SUBSTITUTE($H962&amp;" "," ","|",5))-FIND("|",SUBSTITUTE($H962&amp;" "," ","|",4))-1),""))/86400+25569+9/24,""))</f>
        <v/>
      </c>
      <c r="G962" s="58">
        <f>TRIM(SUBSTITUTE(SUBSTITUTE(SUBSTITUTE($A962,CHAR(9)," ")," "," "),CHAR(13),""))</f>
        <v/>
      </c>
      <c r="H962" s="58">
        <f>IF($G962="","",IF(ISNUMBER(FIND(" ",$G962)),$G962,IFERROR(IF((LEN(SUBSTITUTE(SUBSTITUTE($G962,"-"," ",LEN($G962)-LEN(SUBSTITUTE($G962,"-",""))),"-"," ",LEN($G962)-LEN(SUBSTITUTE($G962,"-",""))-1))-LEN(SUBSTITUTE(SUBSTITUTE(SUBSTITUTE($G962,"-"," ",LEN($G962)-LEN(SUBSTITUTE($G962,"-",""))),"-"," ",LEN($G962)-LEN(SUBSTITUTE($G962,"-",""))-1),".","")))=0,SUBSTITUTE(SUBSTITUTE($G962,"-"," ",LEN($G962)-LEN(SUBSTITUTE($G962,"-",""))),"-"," ",LEN($G962)-LEN(SUBSTITUTE($G962,"-",""))-1),SUBSTITUTE(SUBSTITUTE(SUBSTITUTE($G962,"-"," ",LEN($G962)-LEN(SUBSTITUTE($G962,"-",""))),"-"," ",LEN($G962)-LEN(SUBSTITUTE($G962,"-",""))-1),"."," ",(LEN(SUBSTITUTE(SUBSTITUTE($G962,"-"," ",LEN($G962)-LEN(SUBSTITUTE($G962,"-",""))),"-"," ",LEN($G962)-LEN(SUBSTITUTE($G962,"-",""))-1))-LEN(SUBSTITUTE(SUBSTITUTE(SUBSTITUTE($G962,"-"," ",LEN($G962)-LEN(SUBSTITUTE($G962,"-",""))),"-"," ",LEN($G962)-LEN(SUBSTITUTE($G962,"-",""))-1),".",""))))),$G962)))</f>
        <v/>
      </c>
    </row>
    <row r="963">
      <c r="A963" s="58" t="n"/>
      <c r="B963" s="58">
        <f>IF($H963="","",LEFT($H963,FIND(" ",$H963&amp;" ")-1))</f>
        <v/>
      </c>
      <c r="C963" s="58">
        <f>IF($H963="","",IFERROR(MID($H963&amp;" ",FIND("|",SUBSTITUTE($H963&amp;" "," ","|",1))+1,FIND("|",SUBSTITUTE($H963&amp;" "," ","|",2))-FIND("|",SUBSTITUTE($H963&amp;" "," ","|",1))-1),""))</f>
        <v/>
      </c>
      <c r="D963" s="58">
        <f>IF($H963="","",IFERROR(MID($H963&amp;" ",FIND("|",SUBSTITUTE($H963&amp;" "," ","|",2))+1,FIND("|",SUBSTITUTE($H963&amp;" "," ","|",3))-FIND("|",SUBSTITUTE($H963&amp;" "," ","|",2))-1),""))</f>
        <v/>
      </c>
      <c r="E963" s="58">
        <f>IF($H963="","",IFERROR(MID($H963&amp;" ",FIND("|",SUBSTITUTE($H963&amp;" "," ","|",3))+1,FIND("|",SUBSTITUTE($H963&amp;" "," ","|",4))-FIND("|",SUBSTITUTE($H963&amp;" "," ","|",3))-1),""))</f>
        <v/>
      </c>
      <c r="F963" s="59">
        <f>IF($H963="","",IFERROR(VALUE(IFERROR(MID($H963&amp;" ",FIND("|",SUBSTITUTE($H963&amp;" "," ","|",4))+1,FIND("|",SUBSTITUTE($H963&amp;" "," ","|",5))-FIND("|",SUBSTITUTE($H963&amp;" "," ","|",4))-1),""))/86400+25569+9/24,""))</f>
        <v/>
      </c>
      <c r="G963" s="58">
        <f>TRIM(SUBSTITUTE(SUBSTITUTE(SUBSTITUTE($A963,CHAR(9)," ")," "," "),CHAR(13),""))</f>
        <v/>
      </c>
      <c r="H963" s="58">
        <f>IF($G963="","",IF(ISNUMBER(FIND(" ",$G963)),$G963,IFERROR(IF((LEN(SUBSTITUTE(SUBSTITUTE($G963,"-"," ",LEN($G963)-LEN(SUBSTITUTE($G963,"-",""))),"-"," ",LEN($G963)-LEN(SUBSTITUTE($G963,"-",""))-1))-LEN(SUBSTITUTE(SUBSTITUTE(SUBSTITUTE($G963,"-"," ",LEN($G963)-LEN(SUBSTITUTE($G963,"-",""))),"-"," ",LEN($G963)-LEN(SUBSTITUTE($G963,"-",""))-1),".","")))=0,SUBSTITUTE(SUBSTITUTE($G963,"-"," ",LEN($G963)-LEN(SUBSTITUTE($G963,"-",""))),"-"," ",LEN($G963)-LEN(SUBSTITUTE($G963,"-",""))-1),SUBSTITUTE(SUBSTITUTE(SUBSTITUTE($G963,"-"," ",LEN($G963)-LEN(SUBSTITUTE($G963,"-",""))),"-"," ",LEN($G963)-LEN(SUBSTITUTE($G963,"-",""))-1),"."," ",(LEN(SUBSTITUTE(SUBSTITUTE($G963,"-"," ",LEN($G963)-LEN(SUBSTITUTE($G963,"-",""))),"-"," ",LEN($G963)-LEN(SUBSTITUTE($G963,"-",""))-1))-LEN(SUBSTITUTE(SUBSTITUTE(SUBSTITUTE($G963,"-"," ",LEN($G963)-LEN(SUBSTITUTE($G963,"-",""))),"-"," ",LEN($G963)-LEN(SUBSTITUTE($G963,"-",""))-1),".",""))))),$G963)))</f>
        <v/>
      </c>
    </row>
    <row r="964">
      <c r="A964" s="58" t="n"/>
      <c r="B964" s="58">
        <f>IF($H964="","",LEFT($H964,FIND(" ",$H964&amp;" ")-1))</f>
        <v/>
      </c>
      <c r="C964" s="58">
        <f>IF($H964="","",IFERROR(MID($H964&amp;" ",FIND("|",SUBSTITUTE($H964&amp;" "," ","|",1))+1,FIND("|",SUBSTITUTE($H964&amp;" "," ","|",2))-FIND("|",SUBSTITUTE($H964&amp;" "," ","|",1))-1),""))</f>
        <v/>
      </c>
      <c r="D964" s="58">
        <f>IF($H964="","",IFERROR(MID($H964&amp;" ",FIND("|",SUBSTITUTE($H964&amp;" "," ","|",2))+1,FIND("|",SUBSTITUTE($H964&amp;" "," ","|",3))-FIND("|",SUBSTITUTE($H964&amp;" "," ","|",2))-1),""))</f>
        <v/>
      </c>
      <c r="E964" s="58">
        <f>IF($H964="","",IFERROR(MID($H964&amp;" ",FIND("|",SUBSTITUTE($H964&amp;" "," ","|",3))+1,FIND("|",SUBSTITUTE($H964&amp;" "," ","|",4))-FIND("|",SUBSTITUTE($H964&amp;" "," ","|",3))-1),""))</f>
        <v/>
      </c>
      <c r="F964" s="59">
        <f>IF($H964="","",IFERROR(VALUE(IFERROR(MID($H964&amp;" ",FIND("|",SUBSTITUTE($H964&amp;" "," ","|",4))+1,FIND("|",SUBSTITUTE($H964&amp;" "," ","|",5))-FIND("|",SUBSTITUTE($H964&amp;" "," ","|",4))-1),""))/86400+25569+9/24,""))</f>
        <v/>
      </c>
      <c r="G964" s="58">
        <f>TRIM(SUBSTITUTE(SUBSTITUTE(SUBSTITUTE($A964,CHAR(9)," ")," "," "),CHAR(13),""))</f>
        <v/>
      </c>
      <c r="H964" s="58">
        <f>IF($G964="","",IF(ISNUMBER(FIND(" ",$G964)),$G964,IFERROR(IF((LEN(SUBSTITUTE(SUBSTITUTE($G964,"-"," ",LEN($G964)-LEN(SUBSTITUTE($G964,"-",""))),"-"," ",LEN($G964)-LEN(SUBSTITUTE($G964,"-",""))-1))-LEN(SUBSTITUTE(SUBSTITUTE(SUBSTITUTE($G964,"-"," ",LEN($G964)-LEN(SUBSTITUTE($G964,"-",""))),"-"," ",LEN($G964)-LEN(SUBSTITUTE($G964,"-",""))-1),".","")))=0,SUBSTITUTE(SUBSTITUTE($G964,"-"," ",LEN($G964)-LEN(SUBSTITUTE($G964,"-",""))),"-"," ",LEN($G964)-LEN(SUBSTITUTE($G964,"-",""))-1),SUBSTITUTE(SUBSTITUTE(SUBSTITUTE($G964,"-"," ",LEN($G964)-LEN(SUBSTITUTE($G964,"-",""))),"-"," ",LEN($G964)-LEN(SUBSTITUTE($G964,"-",""))-1),"."," ",(LEN(SUBSTITUTE(SUBSTITUTE($G964,"-"," ",LEN($G964)-LEN(SUBSTITUTE($G964,"-",""))),"-"," ",LEN($G964)-LEN(SUBSTITUTE($G964,"-",""))-1))-LEN(SUBSTITUTE(SUBSTITUTE(SUBSTITUTE($G964,"-"," ",LEN($G964)-LEN(SUBSTITUTE($G964,"-",""))),"-"," ",LEN($G964)-LEN(SUBSTITUTE($G964,"-",""))-1),".",""))))),$G964)))</f>
        <v/>
      </c>
    </row>
    <row r="965">
      <c r="A965" s="58" t="n"/>
      <c r="B965" s="58">
        <f>IF($H965="","",LEFT($H965,FIND(" ",$H965&amp;" ")-1))</f>
        <v/>
      </c>
      <c r="C965" s="58">
        <f>IF($H965="","",IFERROR(MID($H965&amp;" ",FIND("|",SUBSTITUTE($H965&amp;" "," ","|",1))+1,FIND("|",SUBSTITUTE($H965&amp;" "," ","|",2))-FIND("|",SUBSTITUTE($H965&amp;" "," ","|",1))-1),""))</f>
        <v/>
      </c>
      <c r="D965" s="58">
        <f>IF($H965="","",IFERROR(MID($H965&amp;" ",FIND("|",SUBSTITUTE($H965&amp;" "," ","|",2))+1,FIND("|",SUBSTITUTE($H965&amp;" "," ","|",3))-FIND("|",SUBSTITUTE($H965&amp;" "," ","|",2))-1),""))</f>
        <v/>
      </c>
      <c r="E965" s="58">
        <f>IF($H965="","",IFERROR(MID($H965&amp;" ",FIND("|",SUBSTITUTE($H965&amp;" "," ","|",3))+1,FIND("|",SUBSTITUTE($H965&amp;" "," ","|",4))-FIND("|",SUBSTITUTE($H965&amp;" "," ","|",3))-1),""))</f>
        <v/>
      </c>
      <c r="F965" s="59">
        <f>IF($H965="","",IFERROR(VALUE(IFERROR(MID($H965&amp;" ",FIND("|",SUBSTITUTE($H965&amp;" "," ","|",4))+1,FIND("|",SUBSTITUTE($H965&amp;" "," ","|",5))-FIND("|",SUBSTITUTE($H965&amp;" "," ","|",4))-1),""))/86400+25569+9/24,""))</f>
        <v/>
      </c>
      <c r="G965" s="58">
        <f>TRIM(SUBSTITUTE(SUBSTITUTE(SUBSTITUTE($A965,CHAR(9)," ")," "," "),CHAR(13),""))</f>
        <v/>
      </c>
      <c r="H965" s="58">
        <f>IF($G965="","",IF(ISNUMBER(FIND(" ",$G965)),$G965,IFERROR(IF((LEN(SUBSTITUTE(SUBSTITUTE($G965,"-"," ",LEN($G965)-LEN(SUBSTITUTE($G965,"-",""))),"-"," ",LEN($G965)-LEN(SUBSTITUTE($G965,"-",""))-1))-LEN(SUBSTITUTE(SUBSTITUTE(SUBSTITUTE($G965,"-"," ",LEN($G965)-LEN(SUBSTITUTE($G965,"-",""))),"-"," ",LEN($G965)-LEN(SUBSTITUTE($G965,"-",""))-1),".","")))=0,SUBSTITUTE(SUBSTITUTE($G965,"-"," ",LEN($G965)-LEN(SUBSTITUTE($G965,"-",""))),"-"," ",LEN($G965)-LEN(SUBSTITUTE($G965,"-",""))-1),SUBSTITUTE(SUBSTITUTE(SUBSTITUTE($G965,"-"," ",LEN($G965)-LEN(SUBSTITUTE($G965,"-",""))),"-"," ",LEN($G965)-LEN(SUBSTITUTE($G965,"-",""))-1),"."," ",(LEN(SUBSTITUTE(SUBSTITUTE($G965,"-"," ",LEN($G965)-LEN(SUBSTITUTE($G965,"-",""))),"-"," ",LEN($G965)-LEN(SUBSTITUTE($G965,"-",""))-1))-LEN(SUBSTITUTE(SUBSTITUTE(SUBSTITUTE($G965,"-"," ",LEN($G965)-LEN(SUBSTITUTE($G965,"-",""))),"-"," ",LEN($G965)-LEN(SUBSTITUTE($G965,"-",""))-1),".",""))))),$G965)))</f>
        <v/>
      </c>
    </row>
    <row r="966">
      <c r="A966" s="58" t="n"/>
      <c r="B966" s="58">
        <f>IF($H966="","",LEFT($H966,FIND(" ",$H966&amp;" ")-1))</f>
        <v/>
      </c>
      <c r="C966" s="58">
        <f>IF($H966="","",IFERROR(MID($H966&amp;" ",FIND("|",SUBSTITUTE($H966&amp;" "," ","|",1))+1,FIND("|",SUBSTITUTE($H966&amp;" "," ","|",2))-FIND("|",SUBSTITUTE($H966&amp;" "," ","|",1))-1),""))</f>
        <v/>
      </c>
      <c r="D966" s="58">
        <f>IF($H966="","",IFERROR(MID($H966&amp;" ",FIND("|",SUBSTITUTE($H966&amp;" "," ","|",2))+1,FIND("|",SUBSTITUTE($H966&amp;" "," ","|",3))-FIND("|",SUBSTITUTE($H966&amp;" "," ","|",2))-1),""))</f>
        <v/>
      </c>
      <c r="E966" s="58">
        <f>IF($H966="","",IFERROR(MID($H966&amp;" ",FIND("|",SUBSTITUTE($H966&amp;" "," ","|",3))+1,FIND("|",SUBSTITUTE($H966&amp;" "," ","|",4))-FIND("|",SUBSTITUTE($H966&amp;" "," ","|",3))-1),""))</f>
        <v/>
      </c>
      <c r="F966" s="59">
        <f>IF($H966="","",IFERROR(VALUE(IFERROR(MID($H966&amp;" ",FIND("|",SUBSTITUTE($H966&amp;" "," ","|",4))+1,FIND("|",SUBSTITUTE($H966&amp;" "," ","|",5))-FIND("|",SUBSTITUTE($H966&amp;" "," ","|",4))-1),""))/86400+25569+9/24,""))</f>
        <v/>
      </c>
      <c r="G966" s="58">
        <f>TRIM(SUBSTITUTE(SUBSTITUTE(SUBSTITUTE($A966,CHAR(9)," ")," "," "),CHAR(13),""))</f>
        <v/>
      </c>
      <c r="H966" s="58">
        <f>IF($G966="","",IF(ISNUMBER(FIND(" ",$G966)),$G966,IFERROR(IF((LEN(SUBSTITUTE(SUBSTITUTE($G966,"-"," ",LEN($G966)-LEN(SUBSTITUTE($G966,"-",""))),"-"," ",LEN($G966)-LEN(SUBSTITUTE($G966,"-",""))-1))-LEN(SUBSTITUTE(SUBSTITUTE(SUBSTITUTE($G966,"-"," ",LEN($G966)-LEN(SUBSTITUTE($G966,"-",""))),"-"," ",LEN($G966)-LEN(SUBSTITUTE($G966,"-",""))-1),".","")))=0,SUBSTITUTE(SUBSTITUTE($G966,"-"," ",LEN($G966)-LEN(SUBSTITUTE($G966,"-",""))),"-"," ",LEN($G966)-LEN(SUBSTITUTE($G966,"-",""))-1),SUBSTITUTE(SUBSTITUTE(SUBSTITUTE($G966,"-"," ",LEN($G966)-LEN(SUBSTITUTE($G966,"-",""))),"-"," ",LEN($G966)-LEN(SUBSTITUTE($G966,"-",""))-1),"."," ",(LEN(SUBSTITUTE(SUBSTITUTE($G966,"-"," ",LEN($G966)-LEN(SUBSTITUTE($G966,"-",""))),"-"," ",LEN($G966)-LEN(SUBSTITUTE($G966,"-",""))-1))-LEN(SUBSTITUTE(SUBSTITUTE(SUBSTITUTE($G966,"-"," ",LEN($G966)-LEN(SUBSTITUTE($G966,"-",""))),"-"," ",LEN($G966)-LEN(SUBSTITUTE($G966,"-",""))-1),".",""))))),$G966)))</f>
        <v/>
      </c>
    </row>
    <row r="967">
      <c r="A967" s="58" t="n"/>
      <c r="B967" s="58">
        <f>IF($H967="","",LEFT($H967,FIND(" ",$H967&amp;" ")-1))</f>
        <v/>
      </c>
      <c r="C967" s="58">
        <f>IF($H967="","",IFERROR(MID($H967&amp;" ",FIND("|",SUBSTITUTE($H967&amp;" "," ","|",1))+1,FIND("|",SUBSTITUTE($H967&amp;" "," ","|",2))-FIND("|",SUBSTITUTE($H967&amp;" "," ","|",1))-1),""))</f>
        <v/>
      </c>
      <c r="D967" s="58">
        <f>IF($H967="","",IFERROR(MID($H967&amp;" ",FIND("|",SUBSTITUTE($H967&amp;" "," ","|",2))+1,FIND("|",SUBSTITUTE($H967&amp;" "," ","|",3))-FIND("|",SUBSTITUTE($H967&amp;" "," ","|",2))-1),""))</f>
        <v/>
      </c>
      <c r="E967" s="58">
        <f>IF($H967="","",IFERROR(MID($H967&amp;" ",FIND("|",SUBSTITUTE($H967&amp;" "," ","|",3))+1,FIND("|",SUBSTITUTE($H967&amp;" "," ","|",4))-FIND("|",SUBSTITUTE($H967&amp;" "," ","|",3))-1),""))</f>
        <v/>
      </c>
      <c r="F967" s="59">
        <f>IF($H967="","",IFERROR(VALUE(IFERROR(MID($H967&amp;" ",FIND("|",SUBSTITUTE($H967&amp;" "," ","|",4))+1,FIND("|",SUBSTITUTE($H967&amp;" "," ","|",5))-FIND("|",SUBSTITUTE($H967&amp;" "," ","|",4))-1),""))/86400+25569+9/24,""))</f>
        <v/>
      </c>
      <c r="G967" s="58">
        <f>TRIM(SUBSTITUTE(SUBSTITUTE(SUBSTITUTE($A967,CHAR(9)," ")," "," "),CHAR(13),""))</f>
        <v/>
      </c>
      <c r="H967" s="58">
        <f>IF($G967="","",IF(ISNUMBER(FIND(" ",$G967)),$G967,IFERROR(IF((LEN(SUBSTITUTE(SUBSTITUTE($G967,"-"," ",LEN($G967)-LEN(SUBSTITUTE($G967,"-",""))),"-"," ",LEN($G967)-LEN(SUBSTITUTE($G967,"-",""))-1))-LEN(SUBSTITUTE(SUBSTITUTE(SUBSTITUTE($G967,"-"," ",LEN($G967)-LEN(SUBSTITUTE($G967,"-",""))),"-"," ",LEN($G967)-LEN(SUBSTITUTE($G967,"-",""))-1),".","")))=0,SUBSTITUTE(SUBSTITUTE($G967,"-"," ",LEN($G967)-LEN(SUBSTITUTE($G967,"-",""))),"-"," ",LEN($G967)-LEN(SUBSTITUTE($G967,"-",""))-1),SUBSTITUTE(SUBSTITUTE(SUBSTITUTE($G967,"-"," ",LEN($G967)-LEN(SUBSTITUTE($G967,"-",""))),"-"," ",LEN($G967)-LEN(SUBSTITUTE($G967,"-",""))-1),"."," ",(LEN(SUBSTITUTE(SUBSTITUTE($G967,"-"," ",LEN($G967)-LEN(SUBSTITUTE($G967,"-",""))),"-"," ",LEN($G967)-LEN(SUBSTITUTE($G967,"-",""))-1))-LEN(SUBSTITUTE(SUBSTITUTE(SUBSTITUTE($G967,"-"," ",LEN($G967)-LEN(SUBSTITUTE($G967,"-",""))),"-"," ",LEN($G967)-LEN(SUBSTITUTE($G967,"-",""))-1),".",""))))),$G967)))</f>
        <v/>
      </c>
    </row>
    <row r="968">
      <c r="A968" s="58" t="n"/>
      <c r="B968" s="58">
        <f>IF($H968="","",LEFT($H968,FIND(" ",$H968&amp;" ")-1))</f>
        <v/>
      </c>
      <c r="C968" s="58">
        <f>IF($H968="","",IFERROR(MID($H968&amp;" ",FIND("|",SUBSTITUTE($H968&amp;" "," ","|",1))+1,FIND("|",SUBSTITUTE($H968&amp;" "," ","|",2))-FIND("|",SUBSTITUTE($H968&amp;" "," ","|",1))-1),""))</f>
        <v/>
      </c>
      <c r="D968" s="58">
        <f>IF($H968="","",IFERROR(MID($H968&amp;" ",FIND("|",SUBSTITUTE($H968&amp;" "," ","|",2))+1,FIND("|",SUBSTITUTE($H968&amp;" "," ","|",3))-FIND("|",SUBSTITUTE($H968&amp;" "," ","|",2))-1),""))</f>
        <v/>
      </c>
      <c r="E968" s="58">
        <f>IF($H968="","",IFERROR(MID($H968&amp;" ",FIND("|",SUBSTITUTE($H968&amp;" "," ","|",3))+1,FIND("|",SUBSTITUTE($H968&amp;" "," ","|",4))-FIND("|",SUBSTITUTE($H968&amp;" "," ","|",3))-1),""))</f>
        <v/>
      </c>
      <c r="F968" s="59">
        <f>IF($H968="","",IFERROR(VALUE(IFERROR(MID($H968&amp;" ",FIND("|",SUBSTITUTE($H968&amp;" "," ","|",4))+1,FIND("|",SUBSTITUTE($H968&amp;" "," ","|",5))-FIND("|",SUBSTITUTE($H968&amp;" "," ","|",4))-1),""))/86400+25569+9/24,""))</f>
        <v/>
      </c>
      <c r="G968" s="58">
        <f>TRIM(SUBSTITUTE(SUBSTITUTE(SUBSTITUTE($A968,CHAR(9)," ")," "," "),CHAR(13),""))</f>
        <v/>
      </c>
      <c r="H968" s="58">
        <f>IF($G968="","",IF(ISNUMBER(FIND(" ",$G968)),$G968,IFERROR(IF((LEN(SUBSTITUTE(SUBSTITUTE($G968,"-"," ",LEN($G968)-LEN(SUBSTITUTE($G968,"-",""))),"-"," ",LEN($G968)-LEN(SUBSTITUTE($G968,"-",""))-1))-LEN(SUBSTITUTE(SUBSTITUTE(SUBSTITUTE($G968,"-"," ",LEN($G968)-LEN(SUBSTITUTE($G968,"-",""))),"-"," ",LEN($G968)-LEN(SUBSTITUTE($G968,"-",""))-1),".","")))=0,SUBSTITUTE(SUBSTITUTE($G968,"-"," ",LEN($G968)-LEN(SUBSTITUTE($G968,"-",""))),"-"," ",LEN($G968)-LEN(SUBSTITUTE($G968,"-",""))-1),SUBSTITUTE(SUBSTITUTE(SUBSTITUTE($G968,"-"," ",LEN($G968)-LEN(SUBSTITUTE($G968,"-",""))),"-"," ",LEN($G968)-LEN(SUBSTITUTE($G968,"-",""))-1),"."," ",(LEN(SUBSTITUTE(SUBSTITUTE($G968,"-"," ",LEN($G968)-LEN(SUBSTITUTE($G968,"-",""))),"-"," ",LEN($G968)-LEN(SUBSTITUTE($G968,"-",""))-1))-LEN(SUBSTITUTE(SUBSTITUTE(SUBSTITUTE($G968,"-"," ",LEN($G968)-LEN(SUBSTITUTE($G968,"-",""))),"-"," ",LEN($G968)-LEN(SUBSTITUTE($G968,"-",""))-1),".",""))))),$G968)))</f>
        <v/>
      </c>
    </row>
    <row r="969">
      <c r="A969" s="58" t="n"/>
      <c r="B969" s="58">
        <f>IF($H969="","",LEFT($H969,FIND(" ",$H969&amp;" ")-1))</f>
        <v/>
      </c>
      <c r="C969" s="58">
        <f>IF($H969="","",IFERROR(MID($H969&amp;" ",FIND("|",SUBSTITUTE($H969&amp;" "," ","|",1))+1,FIND("|",SUBSTITUTE($H969&amp;" "," ","|",2))-FIND("|",SUBSTITUTE($H969&amp;" "," ","|",1))-1),""))</f>
        <v/>
      </c>
      <c r="D969" s="58">
        <f>IF($H969="","",IFERROR(MID($H969&amp;" ",FIND("|",SUBSTITUTE($H969&amp;" "," ","|",2))+1,FIND("|",SUBSTITUTE($H969&amp;" "," ","|",3))-FIND("|",SUBSTITUTE($H969&amp;" "," ","|",2))-1),""))</f>
        <v/>
      </c>
      <c r="E969" s="58">
        <f>IF($H969="","",IFERROR(MID($H969&amp;" ",FIND("|",SUBSTITUTE($H969&amp;" "," ","|",3))+1,FIND("|",SUBSTITUTE($H969&amp;" "," ","|",4))-FIND("|",SUBSTITUTE($H969&amp;" "," ","|",3))-1),""))</f>
        <v/>
      </c>
      <c r="F969" s="59">
        <f>IF($H969="","",IFERROR(VALUE(IFERROR(MID($H969&amp;" ",FIND("|",SUBSTITUTE($H969&amp;" "," ","|",4))+1,FIND("|",SUBSTITUTE($H969&amp;" "," ","|",5))-FIND("|",SUBSTITUTE($H969&amp;" "," ","|",4))-1),""))/86400+25569+9/24,""))</f>
        <v/>
      </c>
      <c r="G969" s="58">
        <f>TRIM(SUBSTITUTE(SUBSTITUTE(SUBSTITUTE($A969,CHAR(9)," ")," "," "),CHAR(13),""))</f>
        <v/>
      </c>
      <c r="H969" s="58">
        <f>IF($G969="","",IF(ISNUMBER(FIND(" ",$G969)),$G969,IFERROR(IF((LEN(SUBSTITUTE(SUBSTITUTE($G969,"-"," ",LEN($G969)-LEN(SUBSTITUTE($G969,"-",""))),"-"," ",LEN($G969)-LEN(SUBSTITUTE($G969,"-",""))-1))-LEN(SUBSTITUTE(SUBSTITUTE(SUBSTITUTE($G969,"-"," ",LEN($G969)-LEN(SUBSTITUTE($G969,"-",""))),"-"," ",LEN($G969)-LEN(SUBSTITUTE($G969,"-",""))-1),".","")))=0,SUBSTITUTE(SUBSTITUTE($G969,"-"," ",LEN($G969)-LEN(SUBSTITUTE($G969,"-",""))),"-"," ",LEN($G969)-LEN(SUBSTITUTE($G969,"-",""))-1),SUBSTITUTE(SUBSTITUTE(SUBSTITUTE($G969,"-"," ",LEN($G969)-LEN(SUBSTITUTE($G969,"-",""))),"-"," ",LEN($G969)-LEN(SUBSTITUTE($G969,"-",""))-1),"."," ",(LEN(SUBSTITUTE(SUBSTITUTE($G969,"-"," ",LEN($G969)-LEN(SUBSTITUTE($G969,"-",""))),"-"," ",LEN($G969)-LEN(SUBSTITUTE($G969,"-",""))-1))-LEN(SUBSTITUTE(SUBSTITUTE(SUBSTITUTE($G969,"-"," ",LEN($G969)-LEN(SUBSTITUTE($G969,"-",""))),"-"," ",LEN($G969)-LEN(SUBSTITUTE($G969,"-",""))-1),".",""))))),$G969)))</f>
        <v/>
      </c>
    </row>
    <row r="970">
      <c r="A970" s="58" t="n"/>
      <c r="B970" s="58">
        <f>IF($H970="","",LEFT($H970,FIND(" ",$H970&amp;" ")-1))</f>
        <v/>
      </c>
      <c r="C970" s="58">
        <f>IF($H970="","",IFERROR(MID($H970&amp;" ",FIND("|",SUBSTITUTE($H970&amp;" "," ","|",1))+1,FIND("|",SUBSTITUTE($H970&amp;" "," ","|",2))-FIND("|",SUBSTITUTE($H970&amp;" "," ","|",1))-1),""))</f>
        <v/>
      </c>
      <c r="D970" s="58">
        <f>IF($H970="","",IFERROR(MID($H970&amp;" ",FIND("|",SUBSTITUTE($H970&amp;" "," ","|",2))+1,FIND("|",SUBSTITUTE($H970&amp;" "," ","|",3))-FIND("|",SUBSTITUTE($H970&amp;" "," ","|",2))-1),""))</f>
        <v/>
      </c>
      <c r="E970" s="58">
        <f>IF($H970="","",IFERROR(MID($H970&amp;" ",FIND("|",SUBSTITUTE($H970&amp;" "," ","|",3))+1,FIND("|",SUBSTITUTE($H970&amp;" "," ","|",4))-FIND("|",SUBSTITUTE($H970&amp;" "," ","|",3))-1),""))</f>
        <v/>
      </c>
      <c r="F970" s="59">
        <f>IF($H970="","",IFERROR(VALUE(IFERROR(MID($H970&amp;" ",FIND("|",SUBSTITUTE($H970&amp;" "," ","|",4))+1,FIND("|",SUBSTITUTE($H970&amp;" "," ","|",5))-FIND("|",SUBSTITUTE($H970&amp;" "," ","|",4))-1),""))/86400+25569+9/24,""))</f>
        <v/>
      </c>
      <c r="G970" s="58">
        <f>TRIM(SUBSTITUTE(SUBSTITUTE(SUBSTITUTE($A970,CHAR(9)," ")," "," "),CHAR(13),""))</f>
        <v/>
      </c>
      <c r="H970" s="58">
        <f>IF($G970="","",IF(ISNUMBER(FIND(" ",$G970)),$G970,IFERROR(IF((LEN(SUBSTITUTE(SUBSTITUTE($G970,"-"," ",LEN($G970)-LEN(SUBSTITUTE($G970,"-",""))),"-"," ",LEN($G970)-LEN(SUBSTITUTE($G970,"-",""))-1))-LEN(SUBSTITUTE(SUBSTITUTE(SUBSTITUTE($G970,"-"," ",LEN($G970)-LEN(SUBSTITUTE($G970,"-",""))),"-"," ",LEN($G970)-LEN(SUBSTITUTE($G970,"-",""))-1),".","")))=0,SUBSTITUTE(SUBSTITUTE($G970,"-"," ",LEN($G970)-LEN(SUBSTITUTE($G970,"-",""))),"-"," ",LEN($G970)-LEN(SUBSTITUTE($G970,"-",""))-1),SUBSTITUTE(SUBSTITUTE(SUBSTITUTE($G970,"-"," ",LEN($G970)-LEN(SUBSTITUTE($G970,"-",""))),"-"," ",LEN($G970)-LEN(SUBSTITUTE($G970,"-",""))-1),"."," ",(LEN(SUBSTITUTE(SUBSTITUTE($G970,"-"," ",LEN($G970)-LEN(SUBSTITUTE($G970,"-",""))),"-"," ",LEN($G970)-LEN(SUBSTITUTE($G970,"-",""))-1))-LEN(SUBSTITUTE(SUBSTITUTE(SUBSTITUTE($G970,"-"," ",LEN($G970)-LEN(SUBSTITUTE($G970,"-",""))),"-"," ",LEN($G970)-LEN(SUBSTITUTE($G970,"-",""))-1),".",""))))),$G970)))</f>
        <v/>
      </c>
    </row>
    <row r="971">
      <c r="A971" s="58" t="n"/>
      <c r="B971" s="58">
        <f>IF($H971="","",LEFT($H971,FIND(" ",$H971&amp;" ")-1))</f>
        <v/>
      </c>
      <c r="C971" s="58">
        <f>IF($H971="","",IFERROR(MID($H971&amp;" ",FIND("|",SUBSTITUTE($H971&amp;" "," ","|",1))+1,FIND("|",SUBSTITUTE($H971&amp;" "," ","|",2))-FIND("|",SUBSTITUTE($H971&amp;" "," ","|",1))-1),""))</f>
        <v/>
      </c>
      <c r="D971" s="58">
        <f>IF($H971="","",IFERROR(MID($H971&amp;" ",FIND("|",SUBSTITUTE($H971&amp;" "," ","|",2))+1,FIND("|",SUBSTITUTE($H971&amp;" "," ","|",3))-FIND("|",SUBSTITUTE($H971&amp;" "," ","|",2))-1),""))</f>
        <v/>
      </c>
      <c r="E971" s="58">
        <f>IF($H971="","",IFERROR(MID($H971&amp;" ",FIND("|",SUBSTITUTE($H971&amp;" "," ","|",3))+1,FIND("|",SUBSTITUTE($H971&amp;" "," ","|",4))-FIND("|",SUBSTITUTE($H971&amp;" "," ","|",3))-1),""))</f>
        <v/>
      </c>
      <c r="F971" s="59">
        <f>IF($H971="","",IFERROR(VALUE(IFERROR(MID($H971&amp;" ",FIND("|",SUBSTITUTE($H971&amp;" "," ","|",4))+1,FIND("|",SUBSTITUTE($H971&amp;" "," ","|",5))-FIND("|",SUBSTITUTE($H971&amp;" "," ","|",4))-1),""))/86400+25569+9/24,""))</f>
        <v/>
      </c>
      <c r="G971" s="58">
        <f>TRIM(SUBSTITUTE(SUBSTITUTE(SUBSTITUTE($A971,CHAR(9)," ")," "," "),CHAR(13),""))</f>
        <v/>
      </c>
      <c r="H971" s="58">
        <f>IF($G971="","",IF(ISNUMBER(FIND(" ",$G971)),$G971,IFERROR(IF((LEN(SUBSTITUTE(SUBSTITUTE($G971,"-"," ",LEN($G971)-LEN(SUBSTITUTE($G971,"-",""))),"-"," ",LEN($G971)-LEN(SUBSTITUTE($G971,"-",""))-1))-LEN(SUBSTITUTE(SUBSTITUTE(SUBSTITUTE($G971,"-"," ",LEN($G971)-LEN(SUBSTITUTE($G971,"-",""))),"-"," ",LEN($G971)-LEN(SUBSTITUTE($G971,"-",""))-1),".","")))=0,SUBSTITUTE(SUBSTITUTE($G971,"-"," ",LEN($G971)-LEN(SUBSTITUTE($G971,"-",""))),"-"," ",LEN($G971)-LEN(SUBSTITUTE($G971,"-",""))-1),SUBSTITUTE(SUBSTITUTE(SUBSTITUTE($G971,"-"," ",LEN($G971)-LEN(SUBSTITUTE($G971,"-",""))),"-"," ",LEN($G971)-LEN(SUBSTITUTE($G971,"-",""))-1),"."," ",(LEN(SUBSTITUTE(SUBSTITUTE($G971,"-"," ",LEN($G971)-LEN(SUBSTITUTE($G971,"-",""))),"-"," ",LEN($G971)-LEN(SUBSTITUTE($G971,"-",""))-1))-LEN(SUBSTITUTE(SUBSTITUTE(SUBSTITUTE($G971,"-"," ",LEN($G971)-LEN(SUBSTITUTE($G971,"-",""))),"-"," ",LEN($G971)-LEN(SUBSTITUTE($G971,"-",""))-1),".",""))))),$G971)))</f>
        <v/>
      </c>
    </row>
    <row r="972">
      <c r="A972" s="58" t="n"/>
      <c r="B972" s="58">
        <f>IF($H972="","",LEFT($H972,FIND(" ",$H972&amp;" ")-1))</f>
        <v/>
      </c>
      <c r="C972" s="58">
        <f>IF($H972="","",IFERROR(MID($H972&amp;" ",FIND("|",SUBSTITUTE($H972&amp;" "," ","|",1))+1,FIND("|",SUBSTITUTE($H972&amp;" "," ","|",2))-FIND("|",SUBSTITUTE($H972&amp;" "," ","|",1))-1),""))</f>
        <v/>
      </c>
      <c r="D972" s="58">
        <f>IF($H972="","",IFERROR(MID($H972&amp;" ",FIND("|",SUBSTITUTE($H972&amp;" "," ","|",2))+1,FIND("|",SUBSTITUTE($H972&amp;" "," ","|",3))-FIND("|",SUBSTITUTE($H972&amp;" "," ","|",2))-1),""))</f>
        <v/>
      </c>
      <c r="E972" s="58">
        <f>IF($H972="","",IFERROR(MID($H972&amp;" ",FIND("|",SUBSTITUTE($H972&amp;" "," ","|",3))+1,FIND("|",SUBSTITUTE($H972&amp;" "," ","|",4))-FIND("|",SUBSTITUTE($H972&amp;" "," ","|",3))-1),""))</f>
        <v/>
      </c>
      <c r="F972" s="59">
        <f>IF($H972="","",IFERROR(VALUE(IFERROR(MID($H972&amp;" ",FIND("|",SUBSTITUTE($H972&amp;" "," ","|",4))+1,FIND("|",SUBSTITUTE($H972&amp;" "," ","|",5))-FIND("|",SUBSTITUTE($H972&amp;" "," ","|",4))-1),""))/86400+25569+9/24,""))</f>
        <v/>
      </c>
      <c r="G972" s="58">
        <f>TRIM(SUBSTITUTE(SUBSTITUTE(SUBSTITUTE($A972,CHAR(9)," ")," "," "),CHAR(13),""))</f>
        <v/>
      </c>
      <c r="H972" s="58">
        <f>IF($G972="","",IF(ISNUMBER(FIND(" ",$G972)),$G972,IFERROR(IF((LEN(SUBSTITUTE(SUBSTITUTE($G972,"-"," ",LEN($G972)-LEN(SUBSTITUTE($G972,"-",""))),"-"," ",LEN($G972)-LEN(SUBSTITUTE($G972,"-",""))-1))-LEN(SUBSTITUTE(SUBSTITUTE(SUBSTITUTE($G972,"-"," ",LEN($G972)-LEN(SUBSTITUTE($G972,"-",""))),"-"," ",LEN($G972)-LEN(SUBSTITUTE($G972,"-",""))-1),".","")))=0,SUBSTITUTE(SUBSTITUTE($G972,"-"," ",LEN($G972)-LEN(SUBSTITUTE($G972,"-",""))),"-"," ",LEN($G972)-LEN(SUBSTITUTE($G972,"-",""))-1),SUBSTITUTE(SUBSTITUTE(SUBSTITUTE($G972,"-"," ",LEN($G972)-LEN(SUBSTITUTE($G972,"-",""))),"-"," ",LEN($G972)-LEN(SUBSTITUTE($G972,"-",""))-1),"."," ",(LEN(SUBSTITUTE(SUBSTITUTE($G972,"-"," ",LEN($G972)-LEN(SUBSTITUTE($G972,"-",""))),"-"," ",LEN($G972)-LEN(SUBSTITUTE($G972,"-",""))-1))-LEN(SUBSTITUTE(SUBSTITUTE(SUBSTITUTE($G972,"-"," ",LEN($G972)-LEN(SUBSTITUTE($G972,"-",""))),"-"," ",LEN($G972)-LEN(SUBSTITUTE($G972,"-",""))-1),".",""))))),$G972)))</f>
        <v/>
      </c>
    </row>
    <row r="973">
      <c r="A973" s="58" t="n"/>
      <c r="B973" s="58">
        <f>IF($H973="","",LEFT($H973,FIND(" ",$H973&amp;" ")-1))</f>
        <v/>
      </c>
      <c r="C973" s="58">
        <f>IF($H973="","",IFERROR(MID($H973&amp;" ",FIND("|",SUBSTITUTE($H973&amp;" "," ","|",1))+1,FIND("|",SUBSTITUTE($H973&amp;" "," ","|",2))-FIND("|",SUBSTITUTE($H973&amp;" "," ","|",1))-1),""))</f>
        <v/>
      </c>
      <c r="D973" s="58">
        <f>IF($H973="","",IFERROR(MID($H973&amp;" ",FIND("|",SUBSTITUTE($H973&amp;" "," ","|",2))+1,FIND("|",SUBSTITUTE($H973&amp;" "," ","|",3))-FIND("|",SUBSTITUTE($H973&amp;" "," ","|",2))-1),""))</f>
        <v/>
      </c>
      <c r="E973" s="58">
        <f>IF($H973="","",IFERROR(MID($H973&amp;" ",FIND("|",SUBSTITUTE($H973&amp;" "," ","|",3))+1,FIND("|",SUBSTITUTE($H973&amp;" "," ","|",4))-FIND("|",SUBSTITUTE($H973&amp;" "," ","|",3))-1),""))</f>
        <v/>
      </c>
      <c r="F973" s="59">
        <f>IF($H973="","",IFERROR(VALUE(IFERROR(MID($H973&amp;" ",FIND("|",SUBSTITUTE($H973&amp;" "," ","|",4))+1,FIND("|",SUBSTITUTE($H973&amp;" "," ","|",5))-FIND("|",SUBSTITUTE($H973&amp;" "," ","|",4))-1),""))/86400+25569+9/24,""))</f>
        <v/>
      </c>
      <c r="G973" s="58">
        <f>TRIM(SUBSTITUTE(SUBSTITUTE(SUBSTITUTE($A973,CHAR(9)," ")," "," "),CHAR(13),""))</f>
        <v/>
      </c>
      <c r="H973" s="58">
        <f>IF($G973="","",IF(ISNUMBER(FIND(" ",$G973)),$G973,IFERROR(IF((LEN(SUBSTITUTE(SUBSTITUTE($G973,"-"," ",LEN($G973)-LEN(SUBSTITUTE($G973,"-",""))),"-"," ",LEN($G973)-LEN(SUBSTITUTE($G973,"-",""))-1))-LEN(SUBSTITUTE(SUBSTITUTE(SUBSTITUTE($G973,"-"," ",LEN($G973)-LEN(SUBSTITUTE($G973,"-",""))),"-"," ",LEN($G973)-LEN(SUBSTITUTE($G973,"-",""))-1),".","")))=0,SUBSTITUTE(SUBSTITUTE($G973,"-"," ",LEN($G973)-LEN(SUBSTITUTE($G973,"-",""))),"-"," ",LEN($G973)-LEN(SUBSTITUTE($G973,"-",""))-1),SUBSTITUTE(SUBSTITUTE(SUBSTITUTE($G973,"-"," ",LEN($G973)-LEN(SUBSTITUTE($G973,"-",""))),"-"," ",LEN($G973)-LEN(SUBSTITUTE($G973,"-",""))-1),"."," ",(LEN(SUBSTITUTE(SUBSTITUTE($G973,"-"," ",LEN($G973)-LEN(SUBSTITUTE($G973,"-",""))),"-"," ",LEN($G973)-LEN(SUBSTITUTE($G973,"-",""))-1))-LEN(SUBSTITUTE(SUBSTITUTE(SUBSTITUTE($G973,"-"," ",LEN($G973)-LEN(SUBSTITUTE($G973,"-",""))),"-"," ",LEN($G973)-LEN(SUBSTITUTE($G973,"-",""))-1),".",""))))),$G973)))</f>
        <v/>
      </c>
    </row>
    <row r="974">
      <c r="A974" s="58" t="n"/>
      <c r="B974" s="58">
        <f>IF($H974="","",LEFT($H974,FIND(" ",$H974&amp;" ")-1))</f>
        <v/>
      </c>
      <c r="C974" s="58">
        <f>IF($H974="","",IFERROR(MID($H974&amp;" ",FIND("|",SUBSTITUTE($H974&amp;" "," ","|",1))+1,FIND("|",SUBSTITUTE($H974&amp;" "," ","|",2))-FIND("|",SUBSTITUTE($H974&amp;" "," ","|",1))-1),""))</f>
        <v/>
      </c>
      <c r="D974" s="58">
        <f>IF($H974="","",IFERROR(MID($H974&amp;" ",FIND("|",SUBSTITUTE($H974&amp;" "," ","|",2))+1,FIND("|",SUBSTITUTE($H974&amp;" "," ","|",3))-FIND("|",SUBSTITUTE($H974&amp;" "," ","|",2))-1),""))</f>
        <v/>
      </c>
      <c r="E974" s="58">
        <f>IF($H974="","",IFERROR(MID($H974&amp;" ",FIND("|",SUBSTITUTE($H974&amp;" "," ","|",3))+1,FIND("|",SUBSTITUTE($H974&amp;" "," ","|",4))-FIND("|",SUBSTITUTE($H974&amp;" "," ","|",3))-1),""))</f>
        <v/>
      </c>
      <c r="F974" s="59">
        <f>IF($H974="","",IFERROR(VALUE(IFERROR(MID($H974&amp;" ",FIND("|",SUBSTITUTE($H974&amp;" "," ","|",4))+1,FIND("|",SUBSTITUTE($H974&amp;" "," ","|",5))-FIND("|",SUBSTITUTE($H974&amp;" "," ","|",4))-1),""))/86400+25569+9/24,""))</f>
        <v/>
      </c>
      <c r="G974" s="58">
        <f>TRIM(SUBSTITUTE(SUBSTITUTE(SUBSTITUTE($A974,CHAR(9)," ")," "," "),CHAR(13),""))</f>
        <v/>
      </c>
      <c r="H974" s="58">
        <f>IF($G974="","",IF(ISNUMBER(FIND(" ",$G974)),$G974,IFERROR(IF((LEN(SUBSTITUTE(SUBSTITUTE($G974,"-"," ",LEN($G974)-LEN(SUBSTITUTE($G974,"-",""))),"-"," ",LEN($G974)-LEN(SUBSTITUTE($G974,"-",""))-1))-LEN(SUBSTITUTE(SUBSTITUTE(SUBSTITUTE($G974,"-"," ",LEN($G974)-LEN(SUBSTITUTE($G974,"-",""))),"-"," ",LEN($G974)-LEN(SUBSTITUTE($G974,"-",""))-1),".","")))=0,SUBSTITUTE(SUBSTITUTE($G974,"-"," ",LEN($G974)-LEN(SUBSTITUTE($G974,"-",""))),"-"," ",LEN($G974)-LEN(SUBSTITUTE($G974,"-",""))-1),SUBSTITUTE(SUBSTITUTE(SUBSTITUTE($G974,"-"," ",LEN($G974)-LEN(SUBSTITUTE($G974,"-",""))),"-"," ",LEN($G974)-LEN(SUBSTITUTE($G974,"-",""))-1),"."," ",(LEN(SUBSTITUTE(SUBSTITUTE($G974,"-"," ",LEN($G974)-LEN(SUBSTITUTE($G974,"-",""))),"-"," ",LEN($G974)-LEN(SUBSTITUTE($G974,"-",""))-1))-LEN(SUBSTITUTE(SUBSTITUTE(SUBSTITUTE($G974,"-"," ",LEN($G974)-LEN(SUBSTITUTE($G974,"-",""))),"-"," ",LEN($G974)-LEN(SUBSTITUTE($G974,"-",""))-1),".",""))))),$G974)))</f>
        <v/>
      </c>
    </row>
    <row r="975">
      <c r="A975" s="58" t="n"/>
      <c r="B975" s="58">
        <f>IF($H975="","",LEFT($H975,FIND(" ",$H975&amp;" ")-1))</f>
        <v/>
      </c>
      <c r="C975" s="58">
        <f>IF($H975="","",IFERROR(MID($H975&amp;" ",FIND("|",SUBSTITUTE($H975&amp;" "," ","|",1))+1,FIND("|",SUBSTITUTE($H975&amp;" "," ","|",2))-FIND("|",SUBSTITUTE($H975&amp;" "," ","|",1))-1),""))</f>
        <v/>
      </c>
      <c r="D975" s="58">
        <f>IF($H975="","",IFERROR(MID($H975&amp;" ",FIND("|",SUBSTITUTE($H975&amp;" "," ","|",2))+1,FIND("|",SUBSTITUTE($H975&amp;" "," ","|",3))-FIND("|",SUBSTITUTE($H975&amp;" "," ","|",2))-1),""))</f>
        <v/>
      </c>
      <c r="E975" s="58">
        <f>IF($H975="","",IFERROR(MID($H975&amp;" ",FIND("|",SUBSTITUTE($H975&amp;" "," ","|",3))+1,FIND("|",SUBSTITUTE($H975&amp;" "," ","|",4))-FIND("|",SUBSTITUTE($H975&amp;" "," ","|",3))-1),""))</f>
        <v/>
      </c>
      <c r="F975" s="59">
        <f>IF($H975="","",IFERROR(VALUE(IFERROR(MID($H975&amp;" ",FIND("|",SUBSTITUTE($H975&amp;" "," ","|",4))+1,FIND("|",SUBSTITUTE($H975&amp;" "," ","|",5))-FIND("|",SUBSTITUTE($H975&amp;" "," ","|",4))-1),""))/86400+25569+9/24,""))</f>
        <v/>
      </c>
      <c r="G975" s="58">
        <f>TRIM(SUBSTITUTE(SUBSTITUTE(SUBSTITUTE($A975,CHAR(9)," ")," "," "),CHAR(13),""))</f>
        <v/>
      </c>
      <c r="H975" s="58">
        <f>IF($G975="","",IF(ISNUMBER(FIND(" ",$G975)),$G975,IFERROR(IF((LEN(SUBSTITUTE(SUBSTITUTE($G975,"-"," ",LEN($G975)-LEN(SUBSTITUTE($G975,"-",""))),"-"," ",LEN($G975)-LEN(SUBSTITUTE($G975,"-",""))-1))-LEN(SUBSTITUTE(SUBSTITUTE(SUBSTITUTE($G975,"-"," ",LEN($G975)-LEN(SUBSTITUTE($G975,"-",""))),"-"," ",LEN($G975)-LEN(SUBSTITUTE($G975,"-",""))-1),".","")))=0,SUBSTITUTE(SUBSTITUTE($G975,"-"," ",LEN($G975)-LEN(SUBSTITUTE($G975,"-",""))),"-"," ",LEN($G975)-LEN(SUBSTITUTE($G975,"-",""))-1),SUBSTITUTE(SUBSTITUTE(SUBSTITUTE($G975,"-"," ",LEN($G975)-LEN(SUBSTITUTE($G975,"-",""))),"-"," ",LEN($G975)-LEN(SUBSTITUTE($G975,"-",""))-1),"."," ",(LEN(SUBSTITUTE(SUBSTITUTE($G975,"-"," ",LEN($G975)-LEN(SUBSTITUTE($G975,"-",""))),"-"," ",LEN($G975)-LEN(SUBSTITUTE($G975,"-",""))-1))-LEN(SUBSTITUTE(SUBSTITUTE(SUBSTITUTE($G975,"-"," ",LEN($G975)-LEN(SUBSTITUTE($G975,"-",""))),"-"," ",LEN($G975)-LEN(SUBSTITUTE($G975,"-",""))-1),".",""))))),$G975)))</f>
        <v/>
      </c>
    </row>
    <row r="976">
      <c r="A976" s="58" t="n"/>
      <c r="B976" s="58">
        <f>IF($H976="","",LEFT($H976,FIND(" ",$H976&amp;" ")-1))</f>
        <v/>
      </c>
      <c r="C976" s="58">
        <f>IF($H976="","",IFERROR(MID($H976&amp;" ",FIND("|",SUBSTITUTE($H976&amp;" "," ","|",1))+1,FIND("|",SUBSTITUTE($H976&amp;" "," ","|",2))-FIND("|",SUBSTITUTE($H976&amp;" "," ","|",1))-1),""))</f>
        <v/>
      </c>
      <c r="D976" s="58">
        <f>IF($H976="","",IFERROR(MID($H976&amp;" ",FIND("|",SUBSTITUTE($H976&amp;" "," ","|",2))+1,FIND("|",SUBSTITUTE($H976&amp;" "," ","|",3))-FIND("|",SUBSTITUTE($H976&amp;" "," ","|",2))-1),""))</f>
        <v/>
      </c>
      <c r="E976" s="58">
        <f>IF($H976="","",IFERROR(MID($H976&amp;" ",FIND("|",SUBSTITUTE($H976&amp;" "," ","|",3))+1,FIND("|",SUBSTITUTE($H976&amp;" "," ","|",4))-FIND("|",SUBSTITUTE($H976&amp;" "," ","|",3))-1),""))</f>
        <v/>
      </c>
      <c r="F976" s="59">
        <f>IF($H976="","",IFERROR(VALUE(IFERROR(MID($H976&amp;" ",FIND("|",SUBSTITUTE($H976&amp;" "," ","|",4))+1,FIND("|",SUBSTITUTE($H976&amp;" "," ","|",5))-FIND("|",SUBSTITUTE($H976&amp;" "," ","|",4))-1),""))/86400+25569+9/24,""))</f>
        <v/>
      </c>
      <c r="G976" s="58">
        <f>TRIM(SUBSTITUTE(SUBSTITUTE(SUBSTITUTE($A976,CHAR(9)," ")," "," "),CHAR(13),""))</f>
        <v/>
      </c>
      <c r="H976" s="58">
        <f>IF($G976="","",IF(ISNUMBER(FIND(" ",$G976)),$G976,IFERROR(IF((LEN(SUBSTITUTE(SUBSTITUTE($G976,"-"," ",LEN($G976)-LEN(SUBSTITUTE($G976,"-",""))),"-"," ",LEN($G976)-LEN(SUBSTITUTE($G976,"-",""))-1))-LEN(SUBSTITUTE(SUBSTITUTE(SUBSTITUTE($G976,"-"," ",LEN($G976)-LEN(SUBSTITUTE($G976,"-",""))),"-"," ",LEN($G976)-LEN(SUBSTITUTE($G976,"-",""))-1),".","")))=0,SUBSTITUTE(SUBSTITUTE($G976,"-"," ",LEN($G976)-LEN(SUBSTITUTE($G976,"-",""))),"-"," ",LEN($G976)-LEN(SUBSTITUTE($G976,"-",""))-1),SUBSTITUTE(SUBSTITUTE(SUBSTITUTE($G976,"-"," ",LEN($G976)-LEN(SUBSTITUTE($G976,"-",""))),"-"," ",LEN($G976)-LEN(SUBSTITUTE($G976,"-",""))-1),"."," ",(LEN(SUBSTITUTE(SUBSTITUTE($G976,"-"," ",LEN($G976)-LEN(SUBSTITUTE($G976,"-",""))),"-"," ",LEN($G976)-LEN(SUBSTITUTE($G976,"-",""))-1))-LEN(SUBSTITUTE(SUBSTITUTE(SUBSTITUTE($G976,"-"," ",LEN($G976)-LEN(SUBSTITUTE($G976,"-",""))),"-"," ",LEN($G976)-LEN(SUBSTITUTE($G976,"-",""))-1),".",""))))),$G976)))</f>
        <v/>
      </c>
    </row>
    <row r="977">
      <c r="A977" s="58" t="n"/>
      <c r="B977" s="58">
        <f>IF($H977="","",LEFT($H977,FIND(" ",$H977&amp;" ")-1))</f>
        <v/>
      </c>
      <c r="C977" s="58">
        <f>IF($H977="","",IFERROR(MID($H977&amp;" ",FIND("|",SUBSTITUTE($H977&amp;" "," ","|",1))+1,FIND("|",SUBSTITUTE($H977&amp;" "," ","|",2))-FIND("|",SUBSTITUTE($H977&amp;" "," ","|",1))-1),""))</f>
        <v/>
      </c>
      <c r="D977" s="58">
        <f>IF($H977="","",IFERROR(MID($H977&amp;" ",FIND("|",SUBSTITUTE($H977&amp;" "," ","|",2))+1,FIND("|",SUBSTITUTE($H977&amp;" "," ","|",3))-FIND("|",SUBSTITUTE($H977&amp;" "," ","|",2))-1),""))</f>
        <v/>
      </c>
      <c r="E977" s="58">
        <f>IF($H977="","",IFERROR(MID($H977&amp;" ",FIND("|",SUBSTITUTE($H977&amp;" "," ","|",3))+1,FIND("|",SUBSTITUTE($H977&amp;" "," ","|",4))-FIND("|",SUBSTITUTE($H977&amp;" "," ","|",3))-1),""))</f>
        <v/>
      </c>
      <c r="F977" s="59">
        <f>IF($H977="","",IFERROR(VALUE(IFERROR(MID($H977&amp;" ",FIND("|",SUBSTITUTE($H977&amp;" "," ","|",4))+1,FIND("|",SUBSTITUTE($H977&amp;" "," ","|",5))-FIND("|",SUBSTITUTE($H977&amp;" "," ","|",4))-1),""))/86400+25569+9/24,""))</f>
        <v/>
      </c>
      <c r="G977" s="58">
        <f>TRIM(SUBSTITUTE(SUBSTITUTE(SUBSTITUTE($A977,CHAR(9)," ")," "," "),CHAR(13),""))</f>
        <v/>
      </c>
      <c r="H977" s="58">
        <f>IF($G977="","",IF(ISNUMBER(FIND(" ",$G977)),$G977,IFERROR(IF((LEN(SUBSTITUTE(SUBSTITUTE($G977,"-"," ",LEN($G977)-LEN(SUBSTITUTE($G977,"-",""))),"-"," ",LEN($G977)-LEN(SUBSTITUTE($G977,"-",""))-1))-LEN(SUBSTITUTE(SUBSTITUTE(SUBSTITUTE($G977,"-"," ",LEN($G977)-LEN(SUBSTITUTE($G977,"-",""))),"-"," ",LEN($G977)-LEN(SUBSTITUTE($G977,"-",""))-1),".","")))=0,SUBSTITUTE(SUBSTITUTE($G977,"-"," ",LEN($G977)-LEN(SUBSTITUTE($G977,"-",""))),"-"," ",LEN($G977)-LEN(SUBSTITUTE($G977,"-",""))-1),SUBSTITUTE(SUBSTITUTE(SUBSTITUTE($G977,"-"," ",LEN($G977)-LEN(SUBSTITUTE($G977,"-",""))),"-"," ",LEN($G977)-LEN(SUBSTITUTE($G977,"-",""))-1),"."," ",(LEN(SUBSTITUTE(SUBSTITUTE($G977,"-"," ",LEN($G977)-LEN(SUBSTITUTE($G977,"-",""))),"-"," ",LEN($G977)-LEN(SUBSTITUTE($G977,"-",""))-1))-LEN(SUBSTITUTE(SUBSTITUTE(SUBSTITUTE($G977,"-"," ",LEN($G977)-LEN(SUBSTITUTE($G977,"-",""))),"-"," ",LEN($G977)-LEN(SUBSTITUTE($G977,"-",""))-1),".",""))))),$G977)))</f>
        <v/>
      </c>
    </row>
    <row r="978">
      <c r="A978" s="58" t="n"/>
      <c r="B978" s="58">
        <f>IF($H978="","",LEFT($H978,FIND(" ",$H978&amp;" ")-1))</f>
        <v/>
      </c>
      <c r="C978" s="58">
        <f>IF($H978="","",IFERROR(MID($H978&amp;" ",FIND("|",SUBSTITUTE($H978&amp;" "," ","|",1))+1,FIND("|",SUBSTITUTE($H978&amp;" "," ","|",2))-FIND("|",SUBSTITUTE($H978&amp;" "," ","|",1))-1),""))</f>
        <v/>
      </c>
      <c r="D978" s="58">
        <f>IF($H978="","",IFERROR(MID($H978&amp;" ",FIND("|",SUBSTITUTE($H978&amp;" "," ","|",2))+1,FIND("|",SUBSTITUTE($H978&amp;" "," ","|",3))-FIND("|",SUBSTITUTE($H978&amp;" "," ","|",2))-1),""))</f>
        <v/>
      </c>
      <c r="E978" s="58">
        <f>IF($H978="","",IFERROR(MID($H978&amp;" ",FIND("|",SUBSTITUTE($H978&amp;" "," ","|",3))+1,FIND("|",SUBSTITUTE($H978&amp;" "," ","|",4))-FIND("|",SUBSTITUTE($H978&amp;" "," ","|",3))-1),""))</f>
        <v/>
      </c>
      <c r="F978" s="59">
        <f>IF($H978="","",IFERROR(VALUE(IFERROR(MID($H978&amp;" ",FIND("|",SUBSTITUTE($H978&amp;" "," ","|",4))+1,FIND("|",SUBSTITUTE($H978&amp;" "," ","|",5))-FIND("|",SUBSTITUTE($H978&amp;" "," ","|",4))-1),""))/86400+25569+9/24,""))</f>
        <v/>
      </c>
      <c r="G978" s="58">
        <f>TRIM(SUBSTITUTE(SUBSTITUTE(SUBSTITUTE($A978,CHAR(9)," ")," "," "),CHAR(13),""))</f>
        <v/>
      </c>
      <c r="H978" s="58">
        <f>IF($G978="","",IF(ISNUMBER(FIND(" ",$G978)),$G978,IFERROR(IF((LEN(SUBSTITUTE(SUBSTITUTE($G978,"-"," ",LEN($G978)-LEN(SUBSTITUTE($G978,"-",""))),"-"," ",LEN($G978)-LEN(SUBSTITUTE($G978,"-",""))-1))-LEN(SUBSTITUTE(SUBSTITUTE(SUBSTITUTE($G978,"-"," ",LEN($G978)-LEN(SUBSTITUTE($G978,"-",""))),"-"," ",LEN($G978)-LEN(SUBSTITUTE($G978,"-",""))-1),".","")))=0,SUBSTITUTE(SUBSTITUTE($G978,"-"," ",LEN($G978)-LEN(SUBSTITUTE($G978,"-",""))),"-"," ",LEN($G978)-LEN(SUBSTITUTE($G978,"-",""))-1),SUBSTITUTE(SUBSTITUTE(SUBSTITUTE($G978,"-"," ",LEN($G978)-LEN(SUBSTITUTE($G978,"-",""))),"-"," ",LEN($G978)-LEN(SUBSTITUTE($G978,"-",""))-1),"."," ",(LEN(SUBSTITUTE(SUBSTITUTE($G978,"-"," ",LEN($G978)-LEN(SUBSTITUTE($G978,"-",""))),"-"," ",LEN($G978)-LEN(SUBSTITUTE($G978,"-",""))-1))-LEN(SUBSTITUTE(SUBSTITUTE(SUBSTITUTE($G978,"-"," ",LEN($G978)-LEN(SUBSTITUTE($G978,"-",""))),"-"," ",LEN($G978)-LEN(SUBSTITUTE($G978,"-",""))-1),".",""))))),$G978)))</f>
        <v/>
      </c>
    </row>
    <row r="979">
      <c r="A979" s="58" t="n"/>
      <c r="B979" s="58">
        <f>IF($H979="","",LEFT($H979,FIND(" ",$H979&amp;" ")-1))</f>
        <v/>
      </c>
      <c r="C979" s="58">
        <f>IF($H979="","",IFERROR(MID($H979&amp;" ",FIND("|",SUBSTITUTE($H979&amp;" "," ","|",1))+1,FIND("|",SUBSTITUTE($H979&amp;" "," ","|",2))-FIND("|",SUBSTITUTE($H979&amp;" "," ","|",1))-1),""))</f>
        <v/>
      </c>
      <c r="D979" s="58">
        <f>IF($H979="","",IFERROR(MID($H979&amp;" ",FIND("|",SUBSTITUTE($H979&amp;" "," ","|",2))+1,FIND("|",SUBSTITUTE($H979&amp;" "," ","|",3))-FIND("|",SUBSTITUTE($H979&amp;" "," ","|",2))-1),""))</f>
        <v/>
      </c>
      <c r="E979" s="58">
        <f>IF($H979="","",IFERROR(MID($H979&amp;" ",FIND("|",SUBSTITUTE($H979&amp;" "," ","|",3))+1,FIND("|",SUBSTITUTE($H979&amp;" "," ","|",4))-FIND("|",SUBSTITUTE($H979&amp;" "," ","|",3))-1),""))</f>
        <v/>
      </c>
      <c r="F979" s="59">
        <f>IF($H979="","",IFERROR(VALUE(IFERROR(MID($H979&amp;" ",FIND("|",SUBSTITUTE($H979&amp;" "," ","|",4))+1,FIND("|",SUBSTITUTE($H979&amp;" "," ","|",5))-FIND("|",SUBSTITUTE($H979&amp;" "," ","|",4))-1),""))/86400+25569+9/24,""))</f>
        <v/>
      </c>
      <c r="G979" s="58">
        <f>TRIM(SUBSTITUTE(SUBSTITUTE(SUBSTITUTE($A979,CHAR(9)," ")," "," "),CHAR(13),""))</f>
        <v/>
      </c>
      <c r="H979" s="58">
        <f>IF($G979="","",IF(ISNUMBER(FIND(" ",$G979)),$G979,IFERROR(IF((LEN(SUBSTITUTE(SUBSTITUTE($G979,"-"," ",LEN($G979)-LEN(SUBSTITUTE($G979,"-",""))),"-"," ",LEN($G979)-LEN(SUBSTITUTE($G979,"-",""))-1))-LEN(SUBSTITUTE(SUBSTITUTE(SUBSTITUTE($G979,"-"," ",LEN($G979)-LEN(SUBSTITUTE($G979,"-",""))),"-"," ",LEN($G979)-LEN(SUBSTITUTE($G979,"-",""))-1),".","")))=0,SUBSTITUTE(SUBSTITUTE($G979,"-"," ",LEN($G979)-LEN(SUBSTITUTE($G979,"-",""))),"-"," ",LEN($G979)-LEN(SUBSTITUTE($G979,"-",""))-1),SUBSTITUTE(SUBSTITUTE(SUBSTITUTE($G979,"-"," ",LEN($G979)-LEN(SUBSTITUTE($G979,"-",""))),"-"," ",LEN($G979)-LEN(SUBSTITUTE($G979,"-",""))-1),"."," ",(LEN(SUBSTITUTE(SUBSTITUTE($G979,"-"," ",LEN($G979)-LEN(SUBSTITUTE($G979,"-",""))),"-"," ",LEN($G979)-LEN(SUBSTITUTE($G979,"-",""))-1))-LEN(SUBSTITUTE(SUBSTITUTE(SUBSTITUTE($G979,"-"," ",LEN($G979)-LEN(SUBSTITUTE($G979,"-",""))),"-"," ",LEN($G979)-LEN(SUBSTITUTE($G979,"-",""))-1),".",""))))),$G979)))</f>
        <v/>
      </c>
    </row>
    <row r="980">
      <c r="A980" s="58" t="n"/>
      <c r="B980" s="58">
        <f>IF($H980="","",LEFT($H980,FIND(" ",$H980&amp;" ")-1))</f>
        <v/>
      </c>
      <c r="C980" s="58">
        <f>IF($H980="","",IFERROR(MID($H980&amp;" ",FIND("|",SUBSTITUTE($H980&amp;" "," ","|",1))+1,FIND("|",SUBSTITUTE($H980&amp;" "," ","|",2))-FIND("|",SUBSTITUTE($H980&amp;" "," ","|",1))-1),""))</f>
        <v/>
      </c>
      <c r="D980" s="58">
        <f>IF($H980="","",IFERROR(MID($H980&amp;" ",FIND("|",SUBSTITUTE($H980&amp;" "," ","|",2))+1,FIND("|",SUBSTITUTE($H980&amp;" "," ","|",3))-FIND("|",SUBSTITUTE($H980&amp;" "," ","|",2))-1),""))</f>
        <v/>
      </c>
      <c r="E980" s="58">
        <f>IF($H980="","",IFERROR(MID($H980&amp;" ",FIND("|",SUBSTITUTE($H980&amp;" "," ","|",3))+1,FIND("|",SUBSTITUTE($H980&amp;" "," ","|",4))-FIND("|",SUBSTITUTE($H980&amp;" "," ","|",3))-1),""))</f>
        <v/>
      </c>
      <c r="F980" s="59">
        <f>IF($H980="","",IFERROR(VALUE(IFERROR(MID($H980&amp;" ",FIND("|",SUBSTITUTE($H980&amp;" "," ","|",4))+1,FIND("|",SUBSTITUTE($H980&amp;" "," ","|",5))-FIND("|",SUBSTITUTE($H980&amp;" "," ","|",4))-1),""))/86400+25569+9/24,""))</f>
        <v/>
      </c>
      <c r="G980" s="58">
        <f>TRIM(SUBSTITUTE(SUBSTITUTE(SUBSTITUTE($A980,CHAR(9)," ")," "," "),CHAR(13),""))</f>
        <v/>
      </c>
      <c r="H980" s="58">
        <f>IF($G980="","",IF(ISNUMBER(FIND(" ",$G980)),$G980,IFERROR(IF((LEN(SUBSTITUTE(SUBSTITUTE($G980,"-"," ",LEN($G980)-LEN(SUBSTITUTE($G980,"-",""))),"-"," ",LEN($G980)-LEN(SUBSTITUTE($G980,"-",""))-1))-LEN(SUBSTITUTE(SUBSTITUTE(SUBSTITUTE($G980,"-"," ",LEN($G980)-LEN(SUBSTITUTE($G980,"-",""))),"-"," ",LEN($G980)-LEN(SUBSTITUTE($G980,"-",""))-1),".","")))=0,SUBSTITUTE(SUBSTITUTE($G980,"-"," ",LEN($G980)-LEN(SUBSTITUTE($G980,"-",""))),"-"," ",LEN($G980)-LEN(SUBSTITUTE($G980,"-",""))-1),SUBSTITUTE(SUBSTITUTE(SUBSTITUTE($G980,"-"," ",LEN($G980)-LEN(SUBSTITUTE($G980,"-",""))),"-"," ",LEN($G980)-LEN(SUBSTITUTE($G980,"-",""))-1),"."," ",(LEN(SUBSTITUTE(SUBSTITUTE($G980,"-"," ",LEN($G980)-LEN(SUBSTITUTE($G980,"-",""))),"-"," ",LEN($G980)-LEN(SUBSTITUTE($G980,"-",""))-1))-LEN(SUBSTITUTE(SUBSTITUTE(SUBSTITUTE($G980,"-"," ",LEN($G980)-LEN(SUBSTITUTE($G980,"-",""))),"-"," ",LEN($G980)-LEN(SUBSTITUTE($G980,"-",""))-1),".",""))))),$G980)))</f>
        <v/>
      </c>
    </row>
    <row r="981">
      <c r="A981" s="58" t="n"/>
      <c r="B981" s="58">
        <f>IF($H981="","",LEFT($H981,FIND(" ",$H981&amp;" ")-1))</f>
        <v/>
      </c>
      <c r="C981" s="58">
        <f>IF($H981="","",IFERROR(MID($H981&amp;" ",FIND("|",SUBSTITUTE($H981&amp;" "," ","|",1))+1,FIND("|",SUBSTITUTE($H981&amp;" "," ","|",2))-FIND("|",SUBSTITUTE($H981&amp;" "," ","|",1))-1),""))</f>
        <v/>
      </c>
      <c r="D981" s="58">
        <f>IF($H981="","",IFERROR(MID($H981&amp;" ",FIND("|",SUBSTITUTE($H981&amp;" "," ","|",2))+1,FIND("|",SUBSTITUTE($H981&amp;" "," ","|",3))-FIND("|",SUBSTITUTE($H981&amp;" "," ","|",2))-1),""))</f>
        <v/>
      </c>
      <c r="E981" s="58">
        <f>IF($H981="","",IFERROR(MID($H981&amp;" ",FIND("|",SUBSTITUTE($H981&amp;" "," ","|",3))+1,FIND("|",SUBSTITUTE($H981&amp;" "," ","|",4))-FIND("|",SUBSTITUTE($H981&amp;" "," ","|",3))-1),""))</f>
        <v/>
      </c>
      <c r="F981" s="59">
        <f>IF($H981="","",IFERROR(VALUE(IFERROR(MID($H981&amp;" ",FIND("|",SUBSTITUTE($H981&amp;" "," ","|",4))+1,FIND("|",SUBSTITUTE($H981&amp;" "," ","|",5))-FIND("|",SUBSTITUTE($H981&amp;" "," ","|",4))-1),""))/86400+25569+9/24,""))</f>
        <v/>
      </c>
      <c r="G981" s="58">
        <f>TRIM(SUBSTITUTE(SUBSTITUTE(SUBSTITUTE($A981,CHAR(9)," ")," "," "),CHAR(13),""))</f>
        <v/>
      </c>
      <c r="H981" s="58">
        <f>IF($G981="","",IF(ISNUMBER(FIND(" ",$G981)),$G981,IFERROR(IF((LEN(SUBSTITUTE(SUBSTITUTE($G981,"-"," ",LEN($G981)-LEN(SUBSTITUTE($G981,"-",""))),"-"," ",LEN($G981)-LEN(SUBSTITUTE($G981,"-",""))-1))-LEN(SUBSTITUTE(SUBSTITUTE(SUBSTITUTE($G981,"-"," ",LEN($G981)-LEN(SUBSTITUTE($G981,"-",""))),"-"," ",LEN($G981)-LEN(SUBSTITUTE($G981,"-",""))-1),".","")))=0,SUBSTITUTE(SUBSTITUTE($G981,"-"," ",LEN($G981)-LEN(SUBSTITUTE($G981,"-",""))),"-"," ",LEN($G981)-LEN(SUBSTITUTE($G981,"-",""))-1),SUBSTITUTE(SUBSTITUTE(SUBSTITUTE($G981,"-"," ",LEN($G981)-LEN(SUBSTITUTE($G981,"-",""))),"-"," ",LEN($G981)-LEN(SUBSTITUTE($G981,"-",""))-1),"."," ",(LEN(SUBSTITUTE(SUBSTITUTE($G981,"-"," ",LEN($G981)-LEN(SUBSTITUTE($G981,"-",""))),"-"," ",LEN($G981)-LEN(SUBSTITUTE($G981,"-",""))-1))-LEN(SUBSTITUTE(SUBSTITUTE(SUBSTITUTE($G981,"-"," ",LEN($G981)-LEN(SUBSTITUTE($G981,"-",""))),"-"," ",LEN($G981)-LEN(SUBSTITUTE($G981,"-",""))-1),".",""))))),$G981)))</f>
        <v/>
      </c>
    </row>
    <row r="982">
      <c r="A982" s="58" t="n"/>
      <c r="B982" s="58">
        <f>IF($H982="","",LEFT($H982,FIND(" ",$H982&amp;" ")-1))</f>
        <v/>
      </c>
      <c r="C982" s="58">
        <f>IF($H982="","",IFERROR(MID($H982&amp;" ",FIND("|",SUBSTITUTE($H982&amp;" "," ","|",1))+1,FIND("|",SUBSTITUTE($H982&amp;" "," ","|",2))-FIND("|",SUBSTITUTE($H982&amp;" "," ","|",1))-1),""))</f>
        <v/>
      </c>
      <c r="D982" s="58">
        <f>IF($H982="","",IFERROR(MID($H982&amp;" ",FIND("|",SUBSTITUTE($H982&amp;" "," ","|",2))+1,FIND("|",SUBSTITUTE($H982&amp;" "," ","|",3))-FIND("|",SUBSTITUTE($H982&amp;" "," ","|",2))-1),""))</f>
        <v/>
      </c>
      <c r="E982" s="58">
        <f>IF($H982="","",IFERROR(MID($H982&amp;" ",FIND("|",SUBSTITUTE($H982&amp;" "," ","|",3))+1,FIND("|",SUBSTITUTE($H982&amp;" "," ","|",4))-FIND("|",SUBSTITUTE($H982&amp;" "," ","|",3))-1),""))</f>
        <v/>
      </c>
      <c r="F982" s="59">
        <f>IF($H982="","",IFERROR(VALUE(IFERROR(MID($H982&amp;" ",FIND("|",SUBSTITUTE($H982&amp;" "," ","|",4))+1,FIND("|",SUBSTITUTE($H982&amp;" "," ","|",5))-FIND("|",SUBSTITUTE($H982&amp;" "," ","|",4))-1),""))/86400+25569+9/24,""))</f>
        <v/>
      </c>
      <c r="G982" s="58">
        <f>TRIM(SUBSTITUTE(SUBSTITUTE(SUBSTITUTE($A982,CHAR(9)," ")," "," "),CHAR(13),""))</f>
        <v/>
      </c>
      <c r="H982" s="58">
        <f>IF($G982="","",IF(ISNUMBER(FIND(" ",$G982)),$G982,IFERROR(IF((LEN(SUBSTITUTE(SUBSTITUTE($G982,"-"," ",LEN($G982)-LEN(SUBSTITUTE($G982,"-",""))),"-"," ",LEN($G982)-LEN(SUBSTITUTE($G982,"-",""))-1))-LEN(SUBSTITUTE(SUBSTITUTE(SUBSTITUTE($G982,"-"," ",LEN($G982)-LEN(SUBSTITUTE($G982,"-",""))),"-"," ",LEN($G982)-LEN(SUBSTITUTE($G982,"-",""))-1),".","")))=0,SUBSTITUTE(SUBSTITUTE($G982,"-"," ",LEN($G982)-LEN(SUBSTITUTE($G982,"-",""))),"-"," ",LEN($G982)-LEN(SUBSTITUTE($G982,"-",""))-1),SUBSTITUTE(SUBSTITUTE(SUBSTITUTE($G982,"-"," ",LEN($G982)-LEN(SUBSTITUTE($G982,"-",""))),"-"," ",LEN($G982)-LEN(SUBSTITUTE($G982,"-",""))-1),"."," ",(LEN(SUBSTITUTE(SUBSTITUTE($G982,"-"," ",LEN($G982)-LEN(SUBSTITUTE($G982,"-",""))),"-"," ",LEN($G982)-LEN(SUBSTITUTE($G982,"-",""))-1))-LEN(SUBSTITUTE(SUBSTITUTE(SUBSTITUTE($G982,"-"," ",LEN($G982)-LEN(SUBSTITUTE($G982,"-",""))),"-"," ",LEN($G982)-LEN(SUBSTITUTE($G982,"-",""))-1),".",""))))),$G982)))</f>
        <v/>
      </c>
    </row>
    <row r="983">
      <c r="A983" s="58" t="n"/>
      <c r="B983" s="58">
        <f>IF($H983="","",LEFT($H983,FIND(" ",$H983&amp;" ")-1))</f>
        <v/>
      </c>
      <c r="C983" s="58">
        <f>IF($H983="","",IFERROR(MID($H983&amp;" ",FIND("|",SUBSTITUTE($H983&amp;" "," ","|",1))+1,FIND("|",SUBSTITUTE($H983&amp;" "," ","|",2))-FIND("|",SUBSTITUTE($H983&amp;" "," ","|",1))-1),""))</f>
        <v/>
      </c>
      <c r="D983" s="58">
        <f>IF($H983="","",IFERROR(MID($H983&amp;" ",FIND("|",SUBSTITUTE($H983&amp;" "," ","|",2))+1,FIND("|",SUBSTITUTE($H983&amp;" "," ","|",3))-FIND("|",SUBSTITUTE($H983&amp;" "," ","|",2))-1),""))</f>
        <v/>
      </c>
      <c r="E983" s="58">
        <f>IF($H983="","",IFERROR(MID($H983&amp;" ",FIND("|",SUBSTITUTE($H983&amp;" "," ","|",3))+1,FIND("|",SUBSTITUTE($H983&amp;" "," ","|",4))-FIND("|",SUBSTITUTE($H983&amp;" "," ","|",3))-1),""))</f>
        <v/>
      </c>
      <c r="F983" s="59">
        <f>IF($H983="","",IFERROR(VALUE(IFERROR(MID($H983&amp;" ",FIND("|",SUBSTITUTE($H983&amp;" "," ","|",4))+1,FIND("|",SUBSTITUTE($H983&amp;" "," ","|",5))-FIND("|",SUBSTITUTE($H983&amp;" "," ","|",4))-1),""))/86400+25569+9/24,""))</f>
        <v/>
      </c>
      <c r="G983" s="58">
        <f>TRIM(SUBSTITUTE(SUBSTITUTE(SUBSTITUTE($A983,CHAR(9)," ")," "," "),CHAR(13),""))</f>
        <v/>
      </c>
      <c r="H983" s="58">
        <f>IF($G983="","",IF(ISNUMBER(FIND(" ",$G983)),$G983,IFERROR(IF((LEN(SUBSTITUTE(SUBSTITUTE($G983,"-"," ",LEN($G983)-LEN(SUBSTITUTE($G983,"-",""))),"-"," ",LEN($G983)-LEN(SUBSTITUTE($G983,"-",""))-1))-LEN(SUBSTITUTE(SUBSTITUTE(SUBSTITUTE($G983,"-"," ",LEN($G983)-LEN(SUBSTITUTE($G983,"-",""))),"-"," ",LEN($G983)-LEN(SUBSTITUTE($G983,"-",""))-1),".","")))=0,SUBSTITUTE(SUBSTITUTE($G983,"-"," ",LEN($G983)-LEN(SUBSTITUTE($G983,"-",""))),"-"," ",LEN($G983)-LEN(SUBSTITUTE($G983,"-",""))-1),SUBSTITUTE(SUBSTITUTE(SUBSTITUTE($G983,"-"," ",LEN($G983)-LEN(SUBSTITUTE($G983,"-",""))),"-"," ",LEN($G983)-LEN(SUBSTITUTE($G983,"-",""))-1),"."," ",(LEN(SUBSTITUTE(SUBSTITUTE($G983,"-"," ",LEN($G983)-LEN(SUBSTITUTE($G983,"-",""))),"-"," ",LEN($G983)-LEN(SUBSTITUTE($G983,"-",""))-1))-LEN(SUBSTITUTE(SUBSTITUTE(SUBSTITUTE($G983,"-"," ",LEN($G983)-LEN(SUBSTITUTE($G983,"-",""))),"-"," ",LEN($G983)-LEN(SUBSTITUTE($G983,"-",""))-1),".",""))))),$G983)))</f>
        <v/>
      </c>
    </row>
    <row r="984">
      <c r="A984" s="58" t="n"/>
      <c r="B984" s="58">
        <f>IF($H984="","",LEFT($H984,FIND(" ",$H984&amp;" ")-1))</f>
        <v/>
      </c>
      <c r="C984" s="58">
        <f>IF($H984="","",IFERROR(MID($H984&amp;" ",FIND("|",SUBSTITUTE($H984&amp;" "," ","|",1))+1,FIND("|",SUBSTITUTE($H984&amp;" "," ","|",2))-FIND("|",SUBSTITUTE($H984&amp;" "," ","|",1))-1),""))</f>
        <v/>
      </c>
      <c r="D984" s="58">
        <f>IF($H984="","",IFERROR(MID($H984&amp;" ",FIND("|",SUBSTITUTE($H984&amp;" "," ","|",2))+1,FIND("|",SUBSTITUTE($H984&amp;" "," ","|",3))-FIND("|",SUBSTITUTE($H984&amp;" "," ","|",2))-1),""))</f>
        <v/>
      </c>
      <c r="E984" s="58">
        <f>IF($H984="","",IFERROR(MID($H984&amp;" ",FIND("|",SUBSTITUTE($H984&amp;" "," ","|",3))+1,FIND("|",SUBSTITUTE($H984&amp;" "," ","|",4))-FIND("|",SUBSTITUTE($H984&amp;" "," ","|",3))-1),""))</f>
        <v/>
      </c>
      <c r="F984" s="59">
        <f>IF($H984="","",IFERROR(VALUE(IFERROR(MID($H984&amp;" ",FIND("|",SUBSTITUTE($H984&amp;" "," ","|",4))+1,FIND("|",SUBSTITUTE($H984&amp;" "," ","|",5))-FIND("|",SUBSTITUTE($H984&amp;" "," ","|",4))-1),""))/86400+25569+9/24,""))</f>
        <v/>
      </c>
      <c r="G984" s="58">
        <f>TRIM(SUBSTITUTE(SUBSTITUTE(SUBSTITUTE($A984,CHAR(9)," ")," "," "),CHAR(13),""))</f>
        <v/>
      </c>
      <c r="H984" s="58">
        <f>IF($G984="","",IF(ISNUMBER(FIND(" ",$G984)),$G984,IFERROR(IF((LEN(SUBSTITUTE(SUBSTITUTE($G984,"-"," ",LEN($G984)-LEN(SUBSTITUTE($G984,"-",""))),"-"," ",LEN($G984)-LEN(SUBSTITUTE($G984,"-",""))-1))-LEN(SUBSTITUTE(SUBSTITUTE(SUBSTITUTE($G984,"-"," ",LEN($G984)-LEN(SUBSTITUTE($G984,"-",""))),"-"," ",LEN($G984)-LEN(SUBSTITUTE($G984,"-",""))-1),".","")))=0,SUBSTITUTE(SUBSTITUTE($G984,"-"," ",LEN($G984)-LEN(SUBSTITUTE($G984,"-",""))),"-"," ",LEN($G984)-LEN(SUBSTITUTE($G984,"-",""))-1),SUBSTITUTE(SUBSTITUTE(SUBSTITUTE($G984,"-"," ",LEN($G984)-LEN(SUBSTITUTE($G984,"-",""))),"-"," ",LEN($G984)-LEN(SUBSTITUTE($G984,"-",""))-1),"."," ",(LEN(SUBSTITUTE(SUBSTITUTE($G984,"-"," ",LEN($G984)-LEN(SUBSTITUTE($G984,"-",""))),"-"," ",LEN($G984)-LEN(SUBSTITUTE($G984,"-",""))-1))-LEN(SUBSTITUTE(SUBSTITUTE(SUBSTITUTE($G984,"-"," ",LEN($G984)-LEN(SUBSTITUTE($G984,"-",""))),"-"," ",LEN($G984)-LEN(SUBSTITUTE($G984,"-",""))-1),".",""))))),$G984)))</f>
        <v/>
      </c>
    </row>
    <row r="985">
      <c r="A985" s="58" t="n"/>
      <c r="B985" s="58">
        <f>IF($H985="","",LEFT($H985,FIND(" ",$H985&amp;" ")-1))</f>
        <v/>
      </c>
      <c r="C985" s="58">
        <f>IF($H985="","",IFERROR(MID($H985&amp;" ",FIND("|",SUBSTITUTE($H985&amp;" "," ","|",1))+1,FIND("|",SUBSTITUTE($H985&amp;" "," ","|",2))-FIND("|",SUBSTITUTE($H985&amp;" "," ","|",1))-1),""))</f>
        <v/>
      </c>
      <c r="D985" s="58">
        <f>IF($H985="","",IFERROR(MID($H985&amp;" ",FIND("|",SUBSTITUTE($H985&amp;" "," ","|",2))+1,FIND("|",SUBSTITUTE($H985&amp;" "," ","|",3))-FIND("|",SUBSTITUTE($H985&amp;" "," ","|",2))-1),""))</f>
        <v/>
      </c>
      <c r="E985" s="58">
        <f>IF($H985="","",IFERROR(MID($H985&amp;" ",FIND("|",SUBSTITUTE($H985&amp;" "," ","|",3))+1,FIND("|",SUBSTITUTE($H985&amp;" "," ","|",4))-FIND("|",SUBSTITUTE($H985&amp;" "," ","|",3))-1),""))</f>
        <v/>
      </c>
      <c r="F985" s="59">
        <f>IF($H985="","",IFERROR(VALUE(IFERROR(MID($H985&amp;" ",FIND("|",SUBSTITUTE($H985&amp;" "," ","|",4))+1,FIND("|",SUBSTITUTE($H985&amp;" "," ","|",5))-FIND("|",SUBSTITUTE($H985&amp;" "," ","|",4))-1),""))/86400+25569+9/24,""))</f>
        <v/>
      </c>
      <c r="G985" s="58">
        <f>TRIM(SUBSTITUTE(SUBSTITUTE(SUBSTITUTE($A985,CHAR(9)," ")," "," "),CHAR(13),""))</f>
        <v/>
      </c>
      <c r="H985" s="58">
        <f>IF($G985="","",IF(ISNUMBER(FIND(" ",$G985)),$G985,IFERROR(IF((LEN(SUBSTITUTE(SUBSTITUTE($G985,"-"," ",LEN($G985)-LEN(SUBSTITUTE($G985,"-",""))),"-"," ",LEN($G985)-LEN(SUBSTITUTE($G985,"-",""))-1))-LEN(SUBSTITUTE(SUBSTITUTE(SUBSTITUTE($G985,"-"," ",LEN($G985)-LEN(SUBSTITUTE($G985,"-",""))),"-"," ",LEN($G985)-LEN(SUBSTITUTE($G985,"-",""))-1),".","")))=0,SUBSTITUTE(SUBSTITUTE($G985,"-"," ",LEN($G985)-LEN(SUBSTITUTE($G985,"-",""))),"-"," ",LEN($G985)-LEN(SUBSTITUTE($G985,"-",""))-1),SUBSTITUTE(SUBSTITUTE(SUBSTITUTE($G985,"-"," ",LEN($G985)-LEN(SUBSTITUTE($G985,"-",""))),"-"," ",LEN($G985)-LEN(SUBSTITUTE($G985,"-",""))-1),"."," ",(LEN(SUBSTITUTE(SUBSTITUTE($G985,"-"," ",LEN($G985)-LEN(SUBSTITUTE($G985,"-",""))),"-"," ",LEN($G985)-LEN(SUBSTITUTE($G985,"-",""))-1))-LEN(SUBSTITUTE(SUBSTITUTE(SUBSTITUTE($G985,"-"," ",LEN($G985)-LEN(SUBSTITUTE($G985,"-",""))),"-"," ",LEN($G985)-LEN(SUBSTITUTE($G985,"-",""))-1),".",""))))),$G985)))</f>
        <v/>
      </c>
    </row>
    <row r="986">
      <c r="A986" s="58" t="n"/>
      <c r="B986" s="58">
        <f>IF($H986="","",LEFT($H986,FIND(" ",$H986&amp;" ")-1))</f>
        <v/>
      </c>
      <c r="C986" s="58">
        <f>IF($H986="","",IFERROR(MID($H986&amp;" ",FIND("|",SUBSTITUTE($H986&amp;" "," ","|",1))+1,FIND("|",SUBSTITUTE($H986&amp;" "," ","|",2))-FIND("|",SUBSTITUTE($H986&amp;" "," ","|",1))-1),""))</f>
        <v/>
      </c>
      <c r="D986" s="58">
        <f>IF($H986="","",IFERROR(MID($H986&amp;" ",FIND("|",SUBSTITUTE($H986&amp;" "," ","|",2))+1,FIND("|",SUBSTITUTE($H986&amp;" "," ","|",3))-FIND("|",SUBSTITUTE($H986&amp;" "," ","|",2))-1),""))</f>
        <v/>
      </c>
      <c r="E986" s="58">
        <f>IF($H986="","",IFERROR(MID($H986&amp;" ",FIND("|",SUBSTITUTE($H986&amp;" "," ","|",3))+1,FIND("|",SUBSTITUTE($H986&amp;" "," ","|",4))-FIND("|",SUBSTITUTE($H986&amp;" "," ","|",3))-1),""))</f>
        <v/>
      </c>
      <c r="F986" s="59">
        <f>IF($H986="","",IFERROR(VALUE(IFERROR(MID($H986&amp;" ",FIND("|",SUBSTITUTE($H986&amp;" "," ","|",4))+1,FIND("|",SUBSTITUTE($H986&amp;" "," ","|",5))-FIND("|",SUBSTITUTE($H986&amp;" "," ","|",4))-1),""))/86400+25569+9/24,""))</f>
        <v/>
      </c>
      <c r="G986" s="58">
        <f>TRIM(SUBSTITUTE(SUBSTITUTE(SUBSTITUTE($A986,CHAR(9)," ")," "," "),CHAR(13),""))</f>
        <v/>
      </c>
      <c r="H986" s="58">
        <f>IF($G986="","",IF(ISNUMBER(FIND(" ",$G986)),$G986,IFERROR(IF((LEN(SUBSTITUTE(SUBSTITUTE($G986,"-"," ",LEN($G986)-LEN(SUBSTITUTE($G986,"-",""))),"-"," ",LEN($G986)-LEN(SUBSTITUTE($G986,"-",""))-1))-LEN(SUBSTITUTE(SUBSTITUTE(SUBSTITUTE($G986,"-"," ",LEN($G986)-LEN(SUBSTITUTE($G986,"-",""))),"-"," ",LEN($G986)-LEN(SUBSTITUTE($G986,"-",""))-1),".","")))=0,SUBSTITUTE(SUBSTITUTE($G986,"-"," ",LEN($G986)-LEN(SUBSTITUTE($G986,"-",""))),"-"," ",LEN($G986)-LEN(SUBSTITUTE($G986,"-",""))-1),SUBSTITUTE(SUBSTITUTE(SUBSTITUTE($G986,"-"," ",LEN($G986)-LEN(SUBSTITUTE($G986,"-",""))),"-"," ",LEN($G986)-LEN(SUBSTITUTE($G986,"-",""))-1),"."," ",(LEN(SUBSTITUTE(SUBSTITUTE($G986,"-"," ",LEN($G986)-LEN(SUBSTITUTE($G986,"-",""))),"-"," ",LEN($G986)-LEN(SUBSTITUTE($G986,"-",""))-1))-LEN(SUBSTITUTE(SUBSTITUTE(SUBSTITUTE($G986,"-"," ",LEN($G986)-LEN(SUBSTITUTE($G986,"-",""))),"-"," ",LEN($G986)-LEN(SUBSTITUTE($G986,"-",""))-1),".",""))))),$G986)))</f>
        <v/>
      </c>
    </row>
    <row r="987">
      <c r="A987" s="58" t="n"/>
      <c r="B987" s="58">
        <f>IF($H987="","",LEFT($H987,FIND(" ",$H987&amp;" ")-1))</f>
        <v/>
      </c>
      <c r="C987" s="58">
        <f>IF($H987="","",IFERROR(MID($H987&amp;" ",FIND("|",SUBSTITUTE($H987&amp;" "," ","|",1))+1,FIND("|",SUBSTITUTE($H987&amp;" "," ","|",2))-FIND("|",SUBSTITUTE($H987&amp;" "," ","|",1))-1),""))</f>
        <v/>
      </c>
      <c r="D987" s="58">
        <f>IF($H987="","",IFERROR(MID($H987&amp;" ",FIND("|",SUBSTITUTE($H987&amp;" "," ","|",2))+1,FIND("|",SUBSTITUTE($H987&amp;" "," ","|",3))-FIND("|",SUBSTITUTE($H987&amp;" "," ","|",2))-1),""))</f>
        <v/>
      </c>
      <c r="E987" s="58">
        <f>IF($H987="","",IFERROR(MID($H987&amp;" ",FIND("|",SUBSTITUTE($H987&amp;" "," ","|",3))+1,FIND("|",SUBSTITUTE($H987&amp;" "," ","|",4))-FIND("|",SUBSTITUTE($H987&amp;" "," ","|",3))-1),""))</f>
        <v/>
      </c>
      <c r="F987" s="59">
        <f>IF($H987="","",IFERROR(VALUE(IFERROR(MID($H987&amp;" ",FIND("|",SUBSTITUTE($H987&amp;" "," ","|",4))+1,FIND("|",SUBSTITUTE($H987&amp;" "," ","|",5))-FIND("|",SUBSTITUTE($H987&amp;" "," ","|",4))-1),""))/86400+25569+9/24,""))</f>
        <v/>
      </c>
      <c r="G987" s="58">
        <f>TRIM(SUBSTITUTE(SUBSTITUTE(SUBSTITUTE($A987,CHAR(9)," ")," "," "),CHAR(13),""))</f>
        <v/>
      </c>
      <c r="H987" s="58">
        <f>IF($G987="","",IF(ISNUMBER(FIND(" ",$G987)),$G987,IFERROR(IF((LEN(SUBSTITUTE(SUBSTITUTE($G987,"-"," ",LEN($G987)-LEN(SUBSTITUTE($G987,"-",""))),"-"," ",LEN($G987)-LEN(SUBSTITUTE($G987,"-",""))-1))-LEN(SUBSTITUTE(SUBSTITUTE(SUBSTITUTE($G987,"-"," ",LEN($G987)-LEN(SUBSTITUTE($G987,"-",""))),"-"," ",LEN($G987)-LEN(SUBSTITUTE($G987,"-",""))-1),".","")))=0,SUBSTITUTE(SUBSTITUTE($G987,"-"," ",LEN($G987)-LEN(SUBSTITUTE($G987,"-",""))),"-"," ",LEN($G987)-LEN(SUBSTITUTE($G987,"-",""))-1),SUBSTITUTE(SUBSTITUTE(SUBSTITUTE($G987,"-"," ",LEN($G987)-LEN(SUBSTITUTE($G987,"-",""))),"-"," ",LEN($G987)-LEN(SUBSTITUTE($G987,"-",""))-1),"."," ",(LEN(SUBSTITUTE(SUBSTITUTE($G987,"-"," ",LEN($G987)-LEN(SUBSTITUTE($G987,"-",""))),"-"," ",LEN($G987)-LEN(SUBSTITUTE($G987,"-",""))-1))-LEN(SUBSTITUTE(SUBSTITUTE(SUBSTITUTE($G987,"-"," ",LEN($G987)-LEN(SUBSTITUTE($G987,"-",""))),"-"," ",LEN($G987)-LEN(SUBSTITUTE($G987,"-",""))-1),".",""))))),$G987)))</f>
        <v/>
      </c>
    </row>
    <row r="988">
      <c r="A988" s="58" t="n"/>
      <c r="B988" s="58">
        <f>IF($H988="","",LEFT($H988,FIND(" ",$H988&amp;" ")-1))</f>
        <v/>
      </c>
      <c r="C988" s="58">
        <f>IF($H988="","",IFERROR(MID($H988&amp;" ",FIND("|",SUBSTITUTE($H988&amp;" "," ","|",1))+1,FIND("|",SUBSTITUTE($H988&amp;" "," ","|",2))-FIND("|",SUBSTITUTE($H988&amp;" "," ","|",1))-1),""))</f>
        <v/>
      </c>
      <c r="D988" s="58">
        <f>IF($H988="","",IFERROR(MID($H988&amp;" ",FIND("|",SUBSTITUTE($H988&amp;" "," ","|",2))+1,FIND("|",SUBSTITUTE($H988&amp;" "," ","|",3))-FIND("|",SUBSTITUTE($H988&amp;" "," ","|",2))-1),""))</f>
        <v/>
      </c>
      <c r="E988" s="58">
        <f>IF($H988="","",IFERROR(MID($H988&amp;" ",FIND("|",SUBSTITUTE($H988&amp;" "," ","|",3))+1,FIND("|",SUBSTITUTE($H988&amp;" "," ","|",4))-FIND("|",SUBSTITUTE($H988&amp;" "," ","|",3))-1),""))</f>
        <v/>
      </c>
      <c r="F988" s="59">
        <f>IF($H988="","",IFERROR(VALUE(IFERROR(MID($H988&amp;" ",FIND("|",SUBSTITUTE($H988&amp;" "," ","|",4))+1,FIND("|",SUBSTITUTE($H988&amp;" "," ","|",5))-FIND("|",SUBSTITUTE($H988&amp;" "," ","|",4))-1),""))/86400+25569+9/24,""))</f>
        <v/>
      </c>
      <c r="G988" s="58">
        <f>TRIM(SUBSTITUTE(SUBSTITUTE(SUBSTITUTE($A988,CHAR(9)," ")," "," "),CHAR(13),""))</f>
        <v/>
      </c>
      <c r="H988" s="58">
        <f>IF($G988="","",IF(ISNUMBER(FIND(" ",$G988)),$G988,IFERROR(IF((LEN(SUBSTITUTE(SUBSTITUTE($G988,"-"," ",LEN($G988)-LEN(SUBSTITUTE($G988,"-",""))),"-"," ",LEN($G988)-LEN(SUBSTITUTE($G988,"-",""))-1))-LEN(SUBSTITUTE(SUBSTITUTE(SUBSTITUTE($G988,"-"," ",LEN($G988)-LEN(SUBSTITUTE($G988,"-",""))),"-"," ",LEN($G988)-LEN(SUBSTITUTE($G988,"-",""))-1),".","")))=0,SUBSTITUTE(SUBSTITUTE($G988,"-"," ",LEN($G988)-LEN(SUBSTITUTE($G988,"-",""))),"-"," ",LEN($G988)-LEN(SUBSTITUTE($G988,"-",""))-1),SUBSTITUTE(SUBSTITUTE(SUBSTITUTE($G988,"-"," ",LEN($G988)-LEN(SUBSTITUTE($G988,"-",""))),"-"," ",LEN($G988)-LEN(SUBSTITUTE($G988,"-",""))-1),"."," ",(LEN(SUBSTITUTE(SUBSTITUTE($G988,"-"," ",LEN($G988)-LEN(SUBSTITUTE($G988,"-",""))),"-"," ",LEN($G988)-LEN(SUBSTITUTE($G988,"-",""))-1))-LEN(SUBSTITUTE(SUBSTITUTE(SUBSTITUTE($G988,"-"," ",LEN($G988)-LEN(SUBSTITUTE($G988,"-",""))),"-"," ",LEN($G988)-LEN(SUBSTITUTE($G988,"-",""))-1),".",""))))),$G988)))</f>
        <v/>
      </c>
    </row>
    <row r="989">
      <c r="A989" s="58" t="n"/>
      <c r="B989" s="58">
        <f>IF($H989="","",LEFT($H989,FIND(" ",$H989&amp;" ")-1))</f>
        <v/>
      </c>
      <c r="C989" s="58">
        <f>IF($H989="","",IFERROR(MID($H989&amp;" ",FIND("|",SUBSTITUTE($H989&amp;" "," ","|",1))+1,FIND("|",SUBSTITUTE($H989&amp;" "," ","|",2))-FIND("|",SUBSTITUTE($H989&amp;" "," ","|",1))-1),""))</f>
        <v/>
      </c>
      <c r="D989" s="58">
        <f>IF($H989="","",IFERROR(MID($H989&amp;" ",FIND("|",SUBSTITUTE($H989&amp;" "," ","|",2))+1,FIND("|",SUBSTITUTE($H989&amp;" "," ","|",3))-FIND("|",SUBSTITUTE($H989&amp;" "," ","|",2))-1),""))</f>
        <v/>
      </c>
      <c r="E989" s="58">
        <f>IF($H989="","",IFERROR(MID($H989&amp;" ",FIND("|",SUBSTITUTE($H989&amp;" "," ","|",3))+1,FIND("|",SUBSTITUTE($H989&amp;" "," ","|",4))-FIND("|",SUBSTITUTE($H989&amp;" "," ","|",3))-1),""))</f>
        <v/>
      </c>
      <c r="F989" s="59">
        <f>IF($H989="","",IFERROR(VALUE(IFERROR(MID($H989&amp;" ",FIND("|",SUBSTITUTE($H989&amp;" "," ","|",4))+1,FIND("|",SUBSTITUTE($H989&amp;" "," ","|",5))-FIND("|",SUBSTITUTE($H989&amp;" "," ","|",4))-1),""))/86400+25569+9/24,""))</f>
        <v/>
      </c>
      <c r="G989" s="58">
        <f>TRIM(SUBSTITUTE(SUBSTITUTE(SUBSTITUTE($A989,CHAR(9)," ")," "," "),CHAR(13),""))</f>
        <v/>
      </c>
      <c r="H989" s="58">
        <f>IF($G989="","",IF(ISNUMBER(FIND(" ",$G989)),$G989,IFERROR(IF((LEN(SUBSTITUTE(SUBSTITUTE($G989,"-"," ",LEN($G989)-LEN(SUBSTITUTE($G989,"-",""))),"-"," ",LEN($G989)-LEN(SUBSTITUTE($G989,"-",""))-1))-LEN(SUBSTITUTE(SUBSTITUTE(SUBSTITUTE($G989,"-"," ",LEN($G989)-LEN(SUBSTITUTE($G989,"-",""))),"-"," ",LEN($G989)-LEN(SUBSTITUTE($G989,"-",""))-1),".","")))=0,SUBSTITUTE(SUBSTITUTE($G989,"-"," ",LEN($G989)-LEN(SUBSTITUTE($G989,"-",""))),"-"," ",LEN($G989)-LEN(SUBSTITUTE($G989,"-",""))-1),SUBSTITUTE(SUBSTITUTE(SUBSTITUTE($G989,"-"," ",LEN($G989)-LEN(SUBSTITUTE($G989,"-",""))),"-"," ",LEN($G989)-LEN(SUBSTITUTE($G989,"-",""))-1),"."," ",(LEN(SUBSTITUTE(SUBSTITUTE($G989,"-"," ",LEN($G989)-LEN(SUBSTITUTE($G989,"-",""))),"-"," ",LEN($G989)-LEN(SUBSTITUTE($G989,"-",""))-1))-LEN(SUBSTITUTE(SUBSTITUTE(SUBSTITUTE($G989,"-"," ",LEN($G989)-LEN(SUBSTITUTE($G989,"-",""))),"-"," ",LEN($G989)-LEN(SUBSTITUTE($G989,"-",""))-1),".",""))))),$G989)))</f>
        <v/>
      </c>
    </row>
    <row r="990">
      <c r="A990" s="58" t="n"/>
      <c r="B990" s="58">
        <f>IF($H990="","",LEFT($H990,FIND(" ",$H990&amp;" ")-1))</f>
        <v/>
      </c>
      <c r="C990" s="58">
        <f>IF($H990="","",IFERROR(MID($H990&amp;" ",FIND("|",SUBSTITUTE($H990&amp;" "," ","|",1))+1,FIND("|",SUBSTITUTE($H990&amp;" "," ","|",2))-FIND("|",SUBSTITUTE($H990&amp;" "," ","|",1))-1),""))</f>
        <v/>
      </c>
      <c r="D990" s="58">
        <f>IF($H990="","",IFERROR(MID($H990&amp;" ",FIND("|",SUBSTITUTE($H990&amp;" "," ","|",2))+1,FIND("|",SUBSTITUTE($H990&amp;" "," ","|",3))-FIND("|",SUBSTITUTE($H990&amp;" "," ","|",2))-1),""))</f>
        <v/>
      </c>
      <c r="E990" s="58">
        <f>IF($H990="","",IFERROR(MID($H990&amp;" ",FIND("|",SUBSTITUTE($H990&amp;" "," ","|",3))+1,FIND("|",SUBSTITUTE($H990&amp;" "," ","|",4))-FIND("|",SUBSTITUTE($H990&amp;" "," ","|",3))-1),""))</f>
        <v/>
      </c>
      <c r="F990" s="59">
        <f>IF($H990="","",IFERROR(VALUE(IFERROR(MID($H990&amp;" ",FIND("|",SUBSTITUTE($H990&amp;" "," ","|",4))+1,FIND("|",SUBSTITUTE($H990&amp;" "," ","|",5))-FIND("|",SUBSTITUTE($H990&amp;" "," ","|",4))-1),""))/86400+25569+9/24,""))</f>
        <v/>
      </c>
      <c r="G990" s="58">
        <f>TRIM(SUBSTITUTE(SUBSTITUTE(SUBSTITUTE($A990,CHAR(9)," ")," "," "),CHAR(13),""))</f>
        <v/>
      </c>
      <c r="H990" s="58">
        <f>IF($G990="","",IF(ISNUMBER(FIND(" ",$G990)),$G990,IFERROR(IF((LEN(SUBSTITUTE(SUBSTITUTE($G990,"-"," ",LEN($G990)-LEN(SUBSTITUTE($G990,"-",""))),"-"," ",LEN($G990)-LEN(SUBSTITUTE($G990,"-",""))-1))-LEN(SUBSTITUTE(SUBSTITUTE(SUBSTITUTE($G990,"-"," ",LEN($G990)-LEN(SUBSTITUTE($G990,"-",""))),"-"," ",LEN($G990)-LEN(SUBSTITUTE($G990,"-",""))-1),".","")))=0,SUBSTITUTE(SUBSTITUTE($G990,"-"," ",LEN($G990)-LEN(SUBSTITUTE($G990,"-",""))),"-"," ",LEN($G990)-LEN(SUBSTITUTE($G990,"-",""))-1),SUBSTITUTE(SUBSTITUTE(SUBSTITUTE($G990,"-"," ",LEN($G990)-LEN(SUBSTITUTE($G990,"-",""))),"-"," ",LEN($G990)-LEN(SUBSTITUTE($G990,"-",""))-1),"."," ",(LEN(SUBSTITUTE(SUBSTITUTE($G990,"-"," ",LEN($G990)-LEN(SUBSTITUTE($G990,"-",""))),"-"," ",LEN($G990)-LEN(SUBSTITUTE($G990,"-",""))-1))-LEN(SUBSTITUTE(SUBSTITUTE(SUBSTITUTE($G990,"-"," ",LEN($G990)-LEN(SUBSTITUTE($G990,"-",""))),"-"," ",LEN($G990)-LEN(SUBSTITUTE($G990,"-",""))-1),".",""))))),$G990)))</f>
        <v/>
      </c>
    </row>
    <row r="991">
      <c r="A991" s="58" t="n"/>
      <c r="B991" s="58">
        <f>IF($H991="","",LEFT($H991,FIND(" ",$H991&amp;" ")-1))</f>
        <v/>
      </c>
      <c r="C991" s="58">
        <f>IF($H991="","",IFERROR(MID($H991&amp;" ",FIND("|",SUBSTITUTE($H991&amp;" "," ","|",1))+1,FIND("|",SUBSTITUTE($H991&amp;" "," ","|",2))-FIND("|",SUBSTITUTE($H991&amp;" "," ","|",1))-1),""))</f>
        <v/>
      </c>
      <c r="D991" s="58">
        <f>IF($H991="","",IFERROR(MID($H991&amp;" ",FIND("|",SUBSTITUTE($H991&amp;" "," ","|",2))+1,FIND("|",SUBSTITUTE($H991&amp;" "," ","|",3))-FIND("|",SUBSTITUTE($H991&amp;" "," ","|",2))-1),""))</f>
        <v/>
      </c>
      <c r="E991" s="58">
        <f>IF($H991="","",IFERROR(MID($H991&amp;" ",FIND("|",SUBSTITUTE($H991&amp;" "," ","|",3))+1,FIND("|",SUBSTITUTE($H991&amp;" "," ","|",4))-FIND("|",SUBSTITUTE($H991&amp;" "," ","|",3))-1),""))</f>
        <v/>
      </c>
      <c r="F991" s="59">
        <f>IF($H991="","",IFERROR(VALUE(IFERROR(MID($H991&amp;" ",FIND("|",SUBSTITUTE($H991&amp;" "," ","|",4))+1,FIND("|",SUBSTITUTE($H991&amp;" "," ","|",5))-FIND("|",SUBSTITUTE($H991&amp;" "," ","|",4))-1),""))/86400+25569+9/24,""))</f>
        <v/>
      </c>
      <c r="G991" s="58">
        <f>TRIM(SUBSTITUTE(SUBSTITUTE(SUBSTITUTE($A991,CHAR(9)," ")," "," "),CHAR(13),""))</f>
        <v/>
      </c>
      <c r="H991" s="58">
        <f>IF($G991="","",IF(ISNUMBER(FIND(" ",$G991)),$G991,IFERROR(IF((LEN(SUBSTITUTE(SUBSTITUTE($G991,"-"," ",LEN($G991)-LEN(SUBSTITUTE($G991,"-",""))),"-"," ",LEN($G991)-LEN(SUBSTITUTE($G991,"-",""))-1))-LEN(SUBSTITUTE(SUBSTITUTE(SUBSTITUTE($G991,"-"," ",LEN($G991)-LEN(SUBSTITUTE($G991,"-",""))),"-"," ",LEN($G991)-LEN(SUBSTITUTE($G991,"-",""))-1),".","")))=0,SUBSTITUTE(SUBSTITUTE($G991,"-"," ",LEN($G991)-LEN(SUBSTITUTE($G991,"-",""))),"-"," ",LEN($G991)-LEN(SUBSTITUTE($G991,"-",""))-1),SUBSTITUTE(SUBSTITUTE(SUBSTITUTE($G991,"-"," ",LEN($G991)-LEN(SUBSTITUTE($G991,"-",""))),"-"," ",LEN($G991)-LEN(SUBSTITUTE($G991,"-",""))-1),"."," ",(LEN(SUBSTITUTE(SUBSTITUTE($G991,"-"," ",LEN($G991)-LEN(SUBSTITUTE($G991,"-",""))),"-"," ",LEN($G991)-LEN(SUBSTITUTE($G991,"-",""))-1))-LEN(SUBSTITUTE(SUBSTITUTE(SUBSTITUTE($G991,"-"," ",LEN($G991)-LEN(SUBSTITUTE($G991,"-",""))),"-"," ",LEN($G991)-LEN(SUBSTITUTE($G991,"-",""))-1),".",""))))),$G991)))</f>
        <v/>
      </c>
    </row>
    <row r="992">
      <c r="A992" s="58" t="n"/>
      <c r="B992" s="58">
        <f>IF($H992="","",LEFT($H992,FIND(" ",$H992&amp;" ")-1))</f>
        <v/>
      </c>
      <c r="C992" s="58">
        <f>IF($H992="","",IFERROR(MID($H992&amp;" ",FIND("|",SUBSTITUTE($H992&amp;" "," ","|",1))+1,FIND("|",SUBSTITUTE($H992&amp;" "," ","|",2))-FIND("|",SUBSTITUTE($H992&amp;" "," ","|",1))-1),""))</f>
        <v/>
      </c>
      <c r="D992" s="58">
        <f>IF($H992="","",IFERROR(MID($H992&amp;" ",FIND("|",SUBSTITUTE($H992&amp;" "," ","|",2))+1,FIND("|",SUBSTITUTE($H992&amp;" "," ","|",3))-FIND("|",SUBSTITUTE($H992&amp;" "," ","|",2))-1),""))</f>
        <v/>
      </c>
      <c r="E992" s="58">
        <f>IF($H992="","",IFERROR(MID($H992&amp;" ",FIND("|",SUBSTITUTE($H992&amp;" "," ","|",3))+1,FIND("|",SUBSTITUTE($H992&amp;" "," ","|",4))-FIND("|",SUBSTITUTE($H992&amp;" "," ","|",3))-1),""))</f>
        <v/>
      </c>
      <c r="F992" s="59">
        <f>IF($H992="","",IFERROR(VALUE(IFERROR(MID($H992&amp;" ",FIND("|",SUBSTITUTE($H992&amp;" "," ","|",4))+1,FIND("|",SUBSTITUTE($H992&amp;" "," ","|",5))-FIND("|",SUBSTITUTE($H992&amp;" "," ","|",4))-1),""))/86400+25569+9/24,""))</f>
        <v/>
      </c>
      <c r="G992" s="58">
        <f>TRIM(SUBSTITUTE(SUBSTITUTE(SUBSTITUTE($A992,CHAR(9)," ")," "," "),CHAR(13),""))</f>
        <v/>
      </c>
      <c r="H992" s="58">
        <f>IF($G992="","",IF(ISNUMBER(FIND(" ",$G992)),$G992,IFERROR(IF((LEN(SUBSTITUTE(SUBSTITUTE($G992,"-"," ",LEN($G992)-LEN(SUBSTITUTE($G992,"-",""))),"-"," ",LEN($G992)-LEN(SUBSTITUTE($G992,"-",""))-1))-LEN(SUBSTITUTE(SUBSTITUTE(SUBSTITUTE($G992,"-"," ",LEN($G992)-LEN(SUBSTITUTE($G992,"-",""))),"-"," ",LEN($G992)-LEN(SUBSTITUTE($G992,"-",""))-1),".","")))=0,SUBSTITUTE(SUBSTITUTE($G992,"-"," ",LEN($G992)-LEN(SUBSTITUTE($G992,"-",""))),"-"," ",LEN($G992)-LEN(SUBSTITUTE($G992,"-",""))-1),SUBSTITUTE(SUBSTITUTE(SUBSTITUTE($G992,"-"," ",LEN($G992)-LEN(SUBSTITUTE($G992,"-",""))),"-"," ",LEN($G992)-LEN(SUBSTITUTE($G992,"-",""))-1),"."," ",(LEN(SUBSTITUTE(SUBSTITUTE($G992,"-"," ",LEN($G992)-LEN(SUBSTITUTE($G992,"-",""))),"-"," ",LEN($G992)-LEN(SUBSTITUTE($G992,"-",""))-1))-LEN(SUBSTITUTE(SUBSTITUTE(SUBSTITUTE($G992,"-"," ",LEN($G992)-LEN(SUBSTITUTE($G992,"-",""))),"-"," ",LEN($G992)-LEN(SUBSTITUTE($G992,"-",""))-1),".",""))))),$G992)))</f>
        <v/>
      </c>
    </row>
    <row r="993">
      <c r="A993" s="58" t="n"/>
      <c r="B993" s="58">
        <f>IF($H993="","",LEFT($H993,FIND(" ",$H993&amp;" ")-1))</f>
        <v/>
      </c>
      <c r="C993" s="58">
        <f>IF($H993="","",IFERROR(MID($H993&amp;" ",FIND("|",SUBSTITUTE($H993&amp;" "," ","|",1))+1,FIND("|",SUBSTITUTE($H993&amp;" "," ","|",2))-FIND("|",SUBSTITUTE($H993&amp;" "," ","|",1))-1),""))</f>
        <v/>
      </c>
      <c r="D993" s="58">
        <f>IF($H993="","",IFERROR(MID($H993&amp;" ",FIND("|",SUBSTITUTE($H993&amp;" "," ","|",2))+1,FIND("|",SUBSTITUTE($H993&amp;" "," ","|",3))-FIND("|",SUBSTITUTE($H993&amp;" "," ","|",2))-1),""))</f>
        <v/>
      </c>
      <c r="E993" s="58">
        <f>IF($H993="","",IFERROR(MID($H993&amp;" ",FIND("|",SUBSTITUTE($H993&amp;" "," ","|",3))+1,FIND("|",SUBSTITUTE($H993&amp;" "," ","|",4))-FIND("|",SUBSTITUTE($H993&amp;" "," ","|",3))-1),""))</f>
        <v/>
      </c>
      <c r="F993" s="59">
        <f>IF($H993="","",IFERROR(VALUE(IFERROR(MID($H993&amp;" ",FIND("|",SUBSTITUTE($H993&amp;" "," ","|",4))+1,FIND("|",SUBSTITUTE($H993&amp;" "," ","|",5))-FIND("|",SUBSTITUTE($H993&amp;" "," ","|",4))-1),""))/86400+25569+9/24,""))</f>
        <v/>
      </c>
      <c r="G993" s="58">
        <f>TRIM(SUBSTITUTE(SUBSTITUTE(SUBSTITUTE($A993,CHAR(9)," ")," "," "),CHAR(13),""))</f>
        <v/>
      </c>
      <c r="H993" s="58">
        <f>IF($G993="","",IF(ISNUMBER(FIND(" ",$G993)),$G993,IFERROR(IF((LEN(SUBSTITUTE(SUBSTITUTE($G993,"-"," ",LEN($G993)-LEN(SUBSTITUTE($G993,"-",""))),"-"," ",LEN($G993)-LEN(SUBSTITUTE($G993,"-",""))-1))-LEN(SUBSTITUTE(SUBSTITUTE(SUBSTITUTE($G993,"-"," ",LEN($G993)-LEN(SUBSTITUTE($G993,"-",""))),"-"," ",LEN($G993)-LEN(SUBSTITUTE($G993,"-",""))-1),".","")))=0,SUBSTITUTE(SUBSTITUTE($G993,"-"," ",LEN($G993)-LEN(SUBSTITUTE($G993,"-",""))),"-"," ",LEN($G993)-LEN(SUBSTITUTE($G993,"-",""))-1),SUBSTITUTE(SUBSTITUTE(SUBSTITUTE($G993,"-"," ",LEN($G993)-LEN(SUBSTITUTE($G993,"-",""))),"-"," ",LEN($G993)-LEN(SUBSTITUTE($G993,"-",""))-1),"."," ",(LEN(SUBSTITUTE(SUBSTITUTE($G993,"-"," ",LEN($G993)-LEN(SUBSTITUTE($G993,"-",""))),"-"," ",LEN($G993)-LEN(SUBSTITUTE($G993,"-",""))-1))-LEN(SUBSTITUTE(SUBSTITUTE(SUBSTITUTE($G993,"-"," ",LEN($G993)-LEN(SUBSTITUTE($G993,"-",""))),"-"," ",LEN($G993)-LEN(SUBSTITUTE($G993,"-",""))-1),".",""))))),$G993)))</f>
        <v/>
      </c>
    </row>
    <row r="994">
      <c r="A994" s="58" t="n"/>
      <c r="B994" s="58">
        <f>IF($H994="","",LEFT($H994,FIND(" ",$H994&amp;" ")-1))</f>
        <v/>
      </c>
      <c r="C994" s="58">
        <f>IF($H994="","",IFERROR(MID($H994&amp;" ",FIND("|",SUBSTITUTE($H994&amp;" "," ","|",1))+1,FIND("|",SUBSTITUTE($H994&amp;" "," ","|",2))-FIND("|",SUBSTITUTE($H994&amp;" "," ","|",1))-1),""))</f>
        <v/>
      </c>
      <c r="D994" s="58">
        <f>IF($H994="","",IFERROR(MID($H994&amp;" ",FIND("|",SUBSTITUTE($H994&amp;" "," ","|",2))+1,FIND("|",SUBSTITUTE($H994&amp;" "," ","|",3))-FIND("|",SUBSTITUTE($H994&amp;" "," ","|",2))-1),""))</f>
        <v/>
      </c>
      <c r="E994" s="58">
        <f>IF($H994="","",IFERROR(MID($H994&amp;" ",FIND("|",SUBSTITUTE($H994&amp;" "," ","|",3))+1,FIND("|",SUBSTITUTE($H994&amp;" "," ","|",4))-FIND("|",SUBSTITUTE($H994&amp;" "," ","|",3))-1),""))</f>
        <v/>
      </c>
      <c r="F994" s="59">
        <f>IF($H994="","",IFERROR(VALUE(IFERROR(MID($H994&amp;" ",FIND("|",SUBSTITUTE($H994&amp;" "," ","|",4))+1,FIND("|",SUBSTITUTE($H994&amp;" "," ","|",5))-FIND("|",SUBSTITUTE($H994&amp;" "," ","|",4))-1),""))/86400+25569+9/24,""))</f>
        <v/>
      </c>
      <c r="G994" s="58">
        <f>TRIM(SUBSTITUTE(SUBSTITUTE(SUBSTITUTE($A994,CHAR(9)," ")," "," "),CHAR(13),""))</f>
        <v/>
      </c>
      <c r="H994" s="58">
        <f>IF($G994="","",IF(ISNUMBER(FIND(" ",$G994)),$G994,IFERROR(IF((LEN(SUBSTITUTE(SUBSTITUTE($G994,"-"," ",LEN($G994)-LEN(SUBSTITUTE($G994,"-",""))),"-"," ",LEN($G994)-LEN(SUBSTITUTE($G994,"-",""))-1))-LEN(SUBSTITUTE(SUBSTITUTE(SUBSTITUTE($G994,"-"," ",LEN($G994)-LEN(SUBSTITUTE($G994,"-",""))),"-"," ",LEN($G994)-LEN(SUBSTITUTE($G994,"-",""))-1),".","")))=0,SUBSTITUTE(SUBSTITUTE($G994,"-"," ",LEN($G994)-LEN(SUBSTITUTE($G994,"-",""))),"-"," ",LEN($G994)-LEN(SUBSTITUTE($G994,"-",""))-1),SUBSTITUTE(SUBSTITUTE(SUBSTITUTE($G994,"-"," ",LEN($G994)-LEN(SUBSTITUTE($G994,"-",""))),"-"," ",LEN($G994)-LEN(SUBSTITUTE($G994,"-",""))-1),"."," ",(LEN(SUBSTITUTE(SUBSTITUTE($G994,"-"," ",LEN($G994)-LEN(SUBSTITUTE($G994,"-",""))),"-"," ",LEN($G994)-LEN(SUBSTITUTE($G994,"-",""))-1))-LEN(SUBSTITUTE(SUBSTITUTE(SUBSTITUTE($G994,"-"," ",LEN($G994)-LEN(SUBSTITUTE($G994,"-",""))),"-"," ",LEN($G994)-LEN(SUBSTITUTE($G994,"-",""))-1),".",""))))),$G994)))</f>
        <v/>
      </c>
    </row>
    <row r="995">
      <c r="A995" s="58" t="n"/>
      <c r="B995" s="58">
        <f>IF($H995="","",LEFT($H995,FIND(" ",$H995&amp;" ")-1))</f>
        <v/>
      </c>
      <c r="C995" s="58">
        <f>IF($H995="","",IFERROR(MID($H995&amp;" ",FIND("|",SUBSTITUTE($H995&amp;" "," ","|",1))+1,FIND("|",SUBSTITUTE($H995&amp;" "," ","|",2))-FIND("|",SUBSTITUTE($H995&amp;" "," ","|",1))-1),""))</f>
        <v/>
      </c>
      <c r="D995" s="58">
        <f>IF($H995="","",IFERROR(MID($H995&amp;" ",FIND("|",SUBSTITUTE($H995&amp;" "," ","|",2))+1,FIND("|",SUBSTITUTE($H995&amp;" "," ","|",3))-FIND("|",SUBSTITUTE($H995&amp;" "," ","|",2))-1),""))</f>
        <v/>
      </c>
      <c r="E995" s="58">
        <f>IF($H995="","",IFERROR(MID($H995&amp;" ",FIND("|",SUBSTITUTE($H995&amp;" "," ","|",3))+1,FIND("|",SUBSTITUTE($H995&amp;" "," ","|",4))-FIND("|",SUBSTITUTE($H995&amp;" "," ","|",3))-1),""))</f>
        <v/>
      </c>
      <c r="F995" s="59">
        <f>IF($H995="","",IFERROR(VALUE(IFERROR(MID($H995&amp;" ",FIND("|",SUBSTITUTE($H995&amp;" "," ","|",4))+1,FIND("|",SUBSTITUTE($H995&amp;" "," ","|",5))-FIND("|",SUBSTITUTE($H995&amp;" "," ","|",4))-1),""))/86400+25569+9/24,""))</f>
        <v/>
      </c>
      <c r="G995" s="58">
        <f>TRIM(SUBSTITUTE(SUBSTITUTE(SUBSTITUTE($A995,CHAR(9)," ")," "," "),CHAR(13),""))</f>
        <v/>
      </c>
      <c r="H995" s="58">
        <f>IF($G995="","",IF(ISNUMBER(FIND(" ",$G995)),$G995,IFERROR(IF((LEN(SUBSTITUTE(SUBSTITUTE($G995,"-"," ",LEN($G995)-LEN(SUBSTITUTE($G995,"-",""))),"-"," ",LEN($G995)-LEN(SUBSTITUTE($G995,"-",""))-1))-LEN(SUBSTITUTE(SUBSTITUTE(SUBSTITUTE($G995,"-"," ",LEN($G995)-LEN(SUBSTITUTE($G995,"-",""))),"-"," ",LEN($G995)-LEN(SUBSTITUTE($G995,"-",""))-1),".","")))=0,SUBSTITUTE(SUBSTITUTE($G995,"-"," ",LEN($G995)-LEN(SUBSTITUTE($G995,"-",""))),"-"," ",LEN($G995)-LEN(SUBSTITUTE($G995,"-",""))-1),SUBSTITUTE(SUBSTITUTE(SUBSTITUTE($G995,"-"," ",LEN($G995)-LEN(SUBSTITUTE($G995,"-",""))),"-"," ",LEN($G995)-LEN(SUBSTITUTE($G995,"-",""))-1),"."," ",(LEN(SUBSTITUTE(SUBSTITUTE($G995,"-"," ",LEN($G995)-LEN(SUBSTITUTE($G995,"-",""))),"-"," ",LEN($G995)-LEN(SUBSTITUTE($G995,"-",""))-1))-LEN(SUBSTITUTE(SUBSTITUTE(SUBSTITUTE($G995,"-"," ",LEN($G995)-LEN(SUBSTITUTE($G995,"-",""))),"-"," ",LEN($G995)-LEN(SUBSTITUTE($G995,"-",""))-1),".",""))))),$G995)))</f>
        <v/>
      </c>
    </row>
    <row r="996">
      <c r="A996" s="58" t="n"/>
      <c r="B996" s="58">
        <f>IF($H996="","",LEFT($H996,FIND(" ",$H996&amp;" ")-1))</f>
        <v/>
      </c>
      <c r="C996" s="58">
        <f>IF($H996="","",IFERROR(MID($H996&amp;" ",FIND("|",SUBSTITUTE($H996&amp;" "," ","|",1))+1,FIND("|",SUBSTITUTE($H996&amp;" "," ","|",2))-FIND("|",SUBSTITUTE($H996&amp;" "," ","|",1))-1),""))</f>
        <v/>
      </c>
      <c r="D996" s="58">
        <f>IF($H996="","",IFERROR(MID($H996&amp;" ",FIND("|",SUBSTITUTE($H996&amp;" "," ","|",2))+1,FIND("|",SUBSTITUTE($H996&amp;" "," ","|",3))-FIND("|",SUBSTITUTE($H996&amp;" "," ","|",2))-1),""))</f>
        <v/>
      </c>
      <c r="E996" s="58">
        <f>IF($H996="","",IFERROR(MID($H996&amp;" ",FIND("|",SUBSTITUTE($H996&amp;" "," ","|",3))+1,FIND("|",SUBSTITUTE($H996&amp;" "," ","|",4))-FIND("|",SUBSTITUTE($H996&amp;" "," ","|",3))-1),""))</f>
        <v/>
      </c>
      <c r="F996" s="59">
        <f>IF($H996="","",IFERROR(VALUE(IFERROR(MID($H996&amp;" ",FIND("|",SUBSTITUTE($H996&amp;" "," ","|",4))+1,FIND("|",SUBSTITUTE($H996&amp;" "," ","|",5))-FIND("|",SUBSTITUTE($H996&amp;" "," ","|",4))-1),""))/86400+25569+9/24,""))</f>
        <v/>
      </c>
      <c r="G996" s="58">
        <f>TRIM(SUBSTITUTE(SUBSTITUTE(SUBSTITUTE($A996,CHAR(9)," ")," "," "),CHAR(13),""))</f>
        <v/>
      </c>
      <c r="H996" s="58">
        <f>IF($G996="","",IF(ISNUMBER(FIND(" ",$G996)),$G996,IFERROR(IF((LEN(SUBSTITUTE(SUBSTITUTE($G996,"-"," ",LEN($G996)-LEN(SUBSTITUTE($G996,"-",""))),"-"," ",LEN($G996)-LEN(SUBSTITUTE($G996,"-",""))-1))-LEN(SUBSTITUTE(SUBSTITUTE(SUBSTITUTE($G996,"-"," ",LEN($G996)-LEN(SUBSTITUTE($G996,"-",""))),"-"," ",LEN($G996)-LEN(SUBSTITUTE($G996,"-",""))-1),".","")))=0,SUBSTITUTE(SUBSTITUTE($G996,"-"," ",LEN($G996)-LEN(SUBSTITUTE($G996,"-",""))),"-"," ",LEN($G996)-LEN(SUBSTITUTE($G996,"-",""))-1),SUBSTITUTE(SUBSTITUTE(SUBSTITUTE($G996,"-"," ",LEN($G996)-LEN(SUBSTITUTE($G996,"-",""))),"-"," ",LEN($G996)-LEN(SUBSTITUTE($G996,"-",""))-1),"."," ",(LEN(SUBSTITUTE(SUBSTITUTE($G996,"-"," ",LEN($G996)-LEN(SUBSTITUTE($G996,"-",""))),"-"," ",LEN($G996)-LEN(SUBSTITUTE($G996,"-",""))-1))-LEN(SUBSTITUTE(SUBSTITUTE(SUBSTITUTE($G996,"-"," ",LEN($G996)-LEN(SUBSTITUTE($G996,"-",""))),"-"," ",LEN($G996)-LEN(SUBSTITUTE($G996,"-",""))-1),".",""))))),$G996)))</f>
        <v/>
      </c>
    </row>
    <row r="997">
      <c r="A997" s="58" t="n"/>
      <c r="B997" s="58">
        <f>IF($H997="","",LEFT($H997,FIND(" ",$H997&amp;" ")-1))</f>
        <v/>
      </c>
      <c r="C997" s="58">
        <f>IF($H997="","",IFERROR(MID($H997&amp;" ",FIND("|",SUBSTITUTE($H997&amp;" "," ","|",1))+1,FIND("|",SUBSTITUTE($H997&amp;" "," ","|",2))-FIND("|",SUBSTITUTE($H997&amp;" "," ","|",1))-1),""))</f>
        <v/>
      </c>
      <c r="D997" s="58">
        <f>IF($H997="","",IFERROR(MID($H997&amp;" ",FIND("|",SUBSTITUTE($H997&amp;" "," ","|",2))+1,FIND("|",SUBSTITUTE($H997&amp;" "," ","|",3))-FIND("|",SUBSTITUTE($H997&amp;" "," ","|",2))-1),""))</f>
        <v/>
      </c>
      <c r="E997" s="58">
        <f>IF($H997="","",IFERROR(MID($H997&amp;" ",FIND("|",SUBSTITUTE($H997&amp;" "," ","|",3))+1,FIND("|",SUBSTITUTE($H997&amp;" "," ","|",4))-FIND("|",SUBSTITUTE($H997&amp;" "," ","|",3))-1),""))</f>
        <v/>
      </c>
      <c r="F997" s="59">
        <f>IF($H997="","",IFERROR(VALUE(IFERROR(MID($H997&amp;" ",FIND("|",SUBSTITUTE($H997&amp;" "," ","|",4))+1,FIND("|",SUBSTITUTE($H997&amp;" "," ","|",5))-FIND("|",SUBSTITUTE($H997&amp;" "," ","|",4))-1),""))/86400+25569+9/24,""))</f>
        <v/>
      </c>
      <c r="G997" s="58">
        <f>TRIM(SUBSTITUTE(SUBSTITUTE(SUBSTITUTE($A997,CHAR(9)," ")," "," "),CHAR(13),""))</f>
        <v/>
      </c>
      <c r="H997" s="58">
        <f>IF($G997="","",IF(ISNUMBER(FIND(" ",$G997)),$G997,IFERROR(IF((LEN(SUBSTITUTE(SUBSTITUTE($G997,"-"," ",LEN($G997)-LEN(SUBSTITUTE($G997,"-",""))),"-"," ",LEN($G997)-LEN(SUBSTITUTE($G997,"-",""))-1))-LEN(SUBSTITUTE(SUBSTITUTE(SUBSTITUTE($G997,"-"," ",LEN($G997)-LEN(SUBSTITUTE($G997,"-",""))),"-"," ",LEN($G997)-LEN(SUBSTITUTE($G997,"-",""))-1),".","")))=0,SUBSTITUTE(SUBSTITUTE($G997,"-"," ",LEN($G997)-LEN(SUBSTITUTE($G997,"-",""))),"-"," ",LEN($G997)-LEN(SUBSTITUTE($G997,"-",""))-1),SUBSTITUTE(SUBSTITUTE(SUBSTITUTE($G997,"-"," ",LEN($G997)-LEN(SUBSTITUTE($G997,"-",""))),"-"," ",LEN($G997)-LEN(SUBSTITUTE($G997,"-",""))-1),"."," ",(LEN(SUBSTITUTE(SUBSTITUTE($G997,"-"," ",LEN($G997)-LEN(SUBSTITUTE($G997,"-",""))),"-"," ",LEN($G997)-LEN(SUBSTITUTE($G997,"-",""))-1))-LEN(SUBSTITUTE(SUBSTITUTE(SUBSTITUTE($G997,"-"," ",LEN($G997)-LEN(SUBSTITUTE($G997,"-",""))),"-"," ",LEN($G997)-LEN(SUBSTITUTE($G997,"-",""))-1),".",""))))),$G997)))</f>
        <v/>
      </c>
    </row>
    <row r="998">
      <c r="A998" s="58" t="n"/>
      <c r="B998" s="58">
        <f>IF($H998="","",LEFT($H998,FIND(" ",$H998&amp;" ")-1))</f>
        <v/>
      </c>
      <c r="C998" s="58">
        <f>IF($H998="","",IFERROR(MID($H998&amp;" ",FIND("|",SUBSTITUTE($H998&amp;" "," ","|",1))+1,FIND("|",SUBSTITUTE($H998&amp;" "," ","|",2))-FIND("|",SUBSTITUTE($H998&amp;" "," ","|",1))-1),""))</f>
        <v/>
      </c>
      <c r="D998" s="58">
        <f>IF($H998="","",IFERROR(MID($H998&amp;" ",FIND("|",SUBSTITUTE($H998&amp;" "," ","|",2))+1,FIND("|",SUBSTITUTE($H998&amp;" "," ","|",3))-FIND("|",SUBSTITUTE($H998&amp;" "," ","|",2))-1),""))</f>
        <v/>
      </c>
      <c r="E998" s="58">
        <f>IF($H998="","",IFERROR(MID($H998&amp;" ",FIND("|",SUBSTITUTE($H998&amp;" "," ","|",3))+1,FIND("|",SUBSTITUTE($H998&amp;" "," ","|",4))-FIND("|",SUBSTITUTE($H998&amp;" "," ","|",3))-1),""))</f>
        <v/>
      </c>
      <c r="F998" s="59">
        <f>IF($H998="","",IFERROR(VALUE(IFERROR(MID($H998&amp;" ",FIND("|",SUBSTITUTE($H998&amp;" "," ","|",4))+1,FIND("|",SUBSTITUTE($H998&amp;" "," ","|",5))-FIND("|",SUBSTITUTE($H998&amp;" "," ","|",4))-1),""))/86400+25569+9/24,""))</f>
        <v/>
      </c>
      <c r="G998" s="58">
        <f>TRIM(SUBSTITUTE(SUBSTITUTE(SUBSTITUTE($A998,CHAR(9)," ")," "," "),CHAR(13),""))</f>
        <v/>
      </c>
      <c r="H998" s="58">
        <f>IF($G998="","",IF(ISNUMBER(FIND(" ",$G998)),$G998,IFERROR(IF((LEN(SUBSTITUTE(SUBSTITUTE($G998,"-"," ",LEN($G998)-LEN(SUBSTITUTE($G998,"-",""))),"-"," ",LEN($G998)-LEN(SUBSTITUTE($G998,"-",""))-1))-LEN(SUBSTITUTE(SUBSTITUTE(SUBSTITUTE($G998,"-"," ",LEN($G998)-LEN(SUBSTITUTE($G998,"-",""))),"-"," ",LEN($G998)-LEN(SUBSTITUTE($G998,"-",""))-1),".","")))=0,SUBSTITUTE(SUBSTITUTE($G998,"-"," ",LEN($G998)-LEN(SUBSTITUTE($G998,"-",""))),"-"," ",LEN($G998)-LEN(SUBSTITUTE($G998,"-",""))-1),SUBSTITUTE(SUBSTITUTE(SUBSTITUTE($G998,"-"," ",LEN($G998)-LEN(SUBSTITUTE($G998,"-",""))),"-"," ",LEN($G998)-LEN(SUBSTITUTE($G998,"-",""))-1),"."," ",(LEN(SUBSTITUTE(SUBSTITUTE($G998,"-"," ",LEN($G998)-LEN(SUBSTITUTE($G998,"-",""))),"-"," ",LEN($G998)-LEN(SUBSTITUTE($G998,"-",""))-1))-LEN(SUBSTITUTE(SUBSTITUTE(SUBSTITUTE($G998,"-"," ",LEN($G998)-LEN(SUBSTITUTE($G998,"-",""))),"-"," ",LEN($G998)-LEN(SUBSTITUTE($G998,"-",""))-1),".",""))))),$G998)))</f>
        <v/>
      </c>
    </row>
    <row r="999">
      <c r="A999" s="58" t="n"/>
      <c r="B999" s="58">
        <f>IF($H999="","",LEFT($H999,FIND(" ",$H999&amp;" ")-1))</f>
        <v/>
      </c>
      <c r="C999" s="58">
        <f>IF($H999="","",IFERROR(MID($H999&amp;" ",FIND("|",SUBSTITUTE($H999&amp;" "," ","|",1))+1,FIND("|",SUBSTITUTE($H999&amp;" "," ","|",2))-FIND("|",SUBSTITUTE($H999&amp;" "," ","|",1))-1),""))</f>
        <v/>
      </c>
      <c r="D999" s="58">
        <f>IF($H999="","",IFERROR(MID($H999&amp;" ",FIND("|",SUBSTITUTE($H999&amp;" "," ","|",2))+1,FIND("|",SUBSTITUTE($H999&amp;" "," ","|",3))-FIND("|",SUBSTITUTE($H999&amp;" "," ","|",2))-1),""))</f>
        <v/>
      </c>
      <c r="E999" s="58">
        <f>IF($H999="","",IFERROR(MID($H999&amp;" ",FIND("|",SUBSTITUTE($H999&amp;" "," ","|",3))+1,FIND("|",SUBSTITUTE($H999&amp;" "," ","|",4))-FIND("|",SUBSTITUTE($H999&amp;" "," ","|",3))-1),""))</f>
        <v/>
      </c>
      <c r="F999" s="59">
        <f>IF($H999="","",IFERROR(VALUE(IFERROR(MID($H999&amp;" ",FIND("|",SUBSTITUTE($H999&amp;" "," ","|",4))+1,FIND("|",SUBSTITUTE($H999&amp;" "," ","|",5))-FIND("|",SUBSTITUTE($H999&amp;" "," ","|",4))-1),""))/86400+25569+9/24,""))</f>
        <v/>
      </c>
      <c r="G999" s="58">
        <f>TRIM(SUBSTITUTE(SUBSTITUTE(SUBSTITUTE($A999,CHAR(9)," ")," "," "),CHAR(13),""))</f>
        <v/>
      </c>
      <c r="H999" s="58">
        <f>IF($G999="","",IF(ISNUMBER(FIND(" ",$G999)),$G999,IFERROR(IF((LEN(SUBSTITUTE(SUBSTITUTE($G999,"-"," ",LEN($G999)-LEN(SUBSTITUTE($G999,"-",""))),"-"," ",LEN($G999)-LEN(SUBSTITUTE($G999,"-",""))-1))-LEN(SUBSTITUTE(SUBSTITUTE(SUBSTITUTE($G999,"-"," ",LEN($G999)-LEN(SUBSTITUTE($G999,"-",""))),"-"," ",LEN($G999)-LEN(SUBSTITUTE($G999,"-",""))-1),".","")))=0,SUBSTITUTE(SUBSTITUTE($G999,"-"," ",LEN($G999)-LEN(SUBSTITUTE($G999,"-",""))),"-"," ",LEN($G999)-LEN(SUBSTITUTE($G999,"-",""))-1),SUBSTITUTE(SUBSTITUTE(SUBSTITUTE($G999,"-"," ",LEN($G999)-LEN(SUBSTITUTE($G999,"-",""))),"-"," ",LEN($G999)-LEN(SUBSTITUTE($G999,"-",""))-1),"."," ",(LEN(SUBSTITUTE(SUBSTITUTE($G999,"-"," ",LEN($G999)-LEN(SUBSTITUTE($G999,"-",""))),"-"," ",LEN($G999)-LEN(SUBSTITUTE($G999,"-",""))-1))-LEN(SUBSTITUTE(SUBSTITUTE(SUBSTITUTE($G999,"-"," ",LEN($G999)-LEN(SUBSTITUTE($G999,"-",""))),"-"," ",LEN($G999)-LEN(SUBSTITUTE($G999,"-",""))-1),".",""))))),$G999)))</f>
        <v/>
      </c>
    </row>
    <row r="1000">
      <c r="A1000" s="58" t="n"/>
      <c r="B1000" s="58">
        <f>IF($H1000="","",LEFT($H1000,FIND(" ",$H1000&amp;" ")-1))</f>
        <v/>
      </c>
      <c r="C1000" s="58">
        <f>IF($H1000="","",IFERROR(MID($H1000&amp;" ",FIND("|",SUBSTITUTE($H1000&amp;" "," ","|",1))+1,FIND("|",SUBSTITUTE($H1000&amp;" "," ","|",2))-FIND("|",SUBSTITUTE($H1000&amp;" "," ","|",1))-1),""))</f>
        <v/>
      </c>
      <c r="D1000" s="58">
        <f>IF($H1000="","",IFERROR(MID($H1000&amp;" ",FIND("|",SUBSTITUTE($H1000&amp;" "," ","|",2))+1,FIND("|",SUBSTITUTE($H1000&amp;" "," ","|",3))-FIND("|",SUBSTITUTE($H1000&amp;" "," ","|",2))-1),""))</f>
        <v/>
      </c>
      <c r="E1000" s="58">
        <f>IF($H1000="","",IFERROR(MID($H1000&amp;" ",FIND("|",SUBSTITUTE($H1000&amp;" "," ","|",3))+1,FIND("|",SUBSTITUTE($H1000&amp;" "," ","|",4))-FIND("|",SUBSTITUTE($H1000&amp;" "," ","|",3))-1),""))</f>
        <v/>
      </c>
      <c r="F1000" s="59">
        <f>IF($H1000="","",IFERROR(VALUE(IFERROR(MID($H1000&amp;" ",FIND("|",SUBSTITUTE($H1000&amp;" "," ","|",4))+1,FIND("|",SUBSTITUTE($H1000&amp;" "," ","|",5))-FIND("|",SUBSTITUTE($H1000&amp;" "," ","|",4))-1),""))/86400+25569+9/24,""))</f>
        <v/>
      </c>
      <c r="G1000" s="58">
        <f>TRIM(SUBSTITUTE(SUBSTITUTE(SUBSTITUTE($A1000,CHAR(9)," ")," "," "),CHAR(13),""))</f>
        <v/>
      </c>
      <c r="H1000" s="58">
        <f>IF($G1000="","",IF(ISNUMBER(FIND(" ",$G1000)),$G1000,IFERROR(IF((LEN(SUBSTITUTE(SUBSTITUTE($G1000,"-"," ",LEN($G1000)-LEN(SUBSTITUTE($G1000,"-",""))),"-"," ",LEN($G1000)-LEN(SUBSTITUTE($G1000,"-",""))-1))-LEN(SUBSTITUTE(SUBSTITUTE(SUBSTITUTE($G1000,"-"," ",LEN($G1000)-LEN(SUBSTITUTE($G1000,"-",""))),"-"," ",LEN($G1000)-LEN(SUBSTITUTE($G1000,"-",""))-1),".","")))=0,SUBSTITUTE(SUBSTITUTE($G1000,"-"," ",LEN($G1000)-LEN(SUBSTITUTE($G1000,"-",""))),"-"," ",LEN($G1000)-LEN(SUBSTITUTE($G1000,"-",""))-1),SUBSTITUTE(SUBSTITUTE(SUBSTITUTE($G1000,"-"," ",LEN($G1000)-LEN(SUBSTITUTE($G1000,"-",""))),"-"," ",LEN($G1000)-LEN(SUBSTITUTE($G1000,"-",""))-1),"."," ",(LEN(SUBSTITUTE(SUBSTITUTE($G1000,"-"," ",LEN($G1000)-LEN(SUBSTITUTE($G1000,"-",""))),"-"," ",LEN($G1000)-LEN(SUBSTITUTE($G1000,"-",""))-1))-LEN(SUBSTITUTE(SUBSTITUTE(SUBSTITUTE($G1000,"-"," ",LEN($G1000)-LEN(SUBSTITUTE($G1000,"-",""))),"-"," ",LEN($G1000)-LEN(SUBSTITUTE($G1000,"-",""))-1),".",""))))),$G1000)))</f>
        <v/>
      </c>
    </row>
    <row r="1001">
      <c r="A1001" s="58" t="n"/>
      <c r="B1001" s="58">
        <f>IF($H1001="","",LEFT($H1001,FIND(" ",$H1001&amp;" ")-1))</f>
        <v/>
      </c>
      <c r="C1001" s="58">
        <f>IF($H1001="","",IFERROR(MID($H1001&amp;" ",FIND("|",SUBSTITUTE($H1001&amp;" "," ","|",1))+1,FIND("|",SUBSTITUTE($H1001&amp;" "," ","|",2))-FIND("|",SUBSTITUTE($H1001&amp;" "," ","|",1))-1),""))</f>
        <v/>
      </c>
      <c r="D1001" s="58">
        <f>IF($H1001="","",IFERROR(MID($H1001&amp;" ",FIND("|",SUBSTITUTE($H1001&amp;" "," ","|",2))+1,FIND("|",SUBSTITUTE($H1001&amp;" "," ","|",3))-FIND("|",SUBSTITUTE($H1001&amp;" "," ","|",2))-1),""))</f>
        <v/>
      </c>
      <c r="E1001" s="58">
        <f>IF($H1001="","",IFERROR(MID($H1001&amp;" ",FIND("|",SUBSTITUTE($H1001&amp;" "," ","|",3))+1,FIND("|",SUBSTITUTE($H1001&amp;" "," ","|",4))-FIND("|",SUBSTITUTE($H1001&amp;" "," ","|",3))-1),""))</f>
        <v/>
      </c>
      <c r="F1001" s="59">
        <f>IF($H1001="","",IFERROR(VALUE(IFERROR(MID($H1001&amp;" ",FIND("|",SUBSTITUTE($H1001&amp;" "," ","|",4))+1,FIND("|",SUBSTITUTE($H1001&amp;" "," ","|",5))-FIND("|",SUBSTITUTE($H1001&amp;" "," ","|",4))-1),""))/86400+25569+9/24,""))</f>
        <v/>
      </c>
      <c r="G1001" s="58">
        <f>TRIM(SUBSTITUTE(SUBSTITUTE(SUBSTITUTE($A1001,CHAR(9)," ")," "," "),CHAR(13),""))</f>
        <v/>
      </c>
      <c r="H1001" s="58">
        <f>IF($G1001="","",IF(ISNUMBER(FIND(" ",$G1001)),$G1001,IFERROR(IF((LEN(SUBSTITUTE(SUBSTITUTE($G1001,"-"," ",LEN($G1001)-LEN(SUBSTITUTE($G1001,"-",""))),"-"," ",LEN($G1001)-LEN(SUBSTITUTE($G1001,"-",""))-1))-LEN(SUBSTITUTE(SUBSTITUTE(SUBSTITUTE($G1001,"-"," ",LEN($G1001)-LEN(SUBSTITUTE($G1001,"-",""))),"-"," ",LEN($G1001)-LEN(SUBSTITUTE($G1001,"-",""))-1),".","")))=0,SUBSTITUTE(SUBSTITUTE($G1001,"-"," ",LEN($G1001)-LEN(SUBSTITUTE($G1001,"-",""))),"-"," ",LEN($G1001)-LEN(SUBSTITUTE($G1001,"-",""))-1),SUBSTITUTE(SUBSTITUTE(SUBSTITUTE($G1001,"-"," ",LEN($G1001)-LEN(SUBSTITUTE($G1001,"-",""))),"-"," ",LEN($G1001)-LEN(SUBSTITUTE($G1001,"-",""))-1),"."," ",(LEN(SUBSTITUTE(SUBSTITUTE($G1001,"-"," ",LEN($G1001)-LEN(SUBSTITUTE($G1001,"-",""))),"-"," ",LEN($G1001)-LEN(SUBSTITUTE($G1001,"-",""))-1))-LEN(SUBSTITUTE(SUBSTITUTE(SUBSTITUTE($G1001,"-"," ",LEN($G1001)-LEN(SUBSTITUTE($G1001,"-",""))),"-"," ",LEN($G1001)-LEN(SUBSTITUTE($G1001,"-",""))-1),".",""))))),$G1001)))</f>
        <v/>
      </c>
    </row>
    <row r="1002">
      <c r="A1002" s="58" t="n"/>
      <c r="B1002" s="58">
        <f>IF($H1002="","",LEFT($H1002,FIND(" ",$H1002&amp;" ")-1))</f>
        <v/>
      </c>
      <c r="C1002" s="58">
        <f>IF($H1002="","",IFERROR(MID($H1002&amp;" ",FIND("|",SUBSTITUTE($H1002&amp;" "," ","|",1))+1,FIND("|",SUBSTITUTE($H1002&amp;" "," ","|",2))-FIND("|",SUBSTITUTE($H1002&amp;" "," ","|",1))-1),""))</f>
        <v/>
      </c>
      <c r="D1002" s="58">
        <f>IF($H1002="","",IFERROR(MID($H1002&amp;" ",FIND("|",SUBSTITUTE($H1002&amp;" "," ","|",2))+1,FIND("|",SUBSTITUTE($H1002&amp;" "," ","|",3))-FIND("|",SUBSTITUTE($H1002&amp;" "," ","|",2))-1),""))</f>
        <v/>
      </c>
      <c r="E1002" s="58">
        <f>IF($H1002="","",IFERROR(MID($H1002&amp;" ",FIND("|",SUBSTITUTE($H1002&amp;" "," ","|",3))+1,FIND("|",SUBSTITUTE($H1002&amp;" "," ","|",4))-FIND("|",SUBSTITUTE($H1002&amp;" "," ","|",3))-1),""))</f>
        <v/>
      </c>
      <c r="F1002" s="59">
        <f>IF($H1002="","",IFERROR(VALUE(IFERROR(MID($H1002&amp;" ",FIND("|",SUBSTITUTE($H1002&amp;" "," ","|",4))+1,FIND("|",SUBSTITUTE($H1002&amp;" "," ","|",5))-FIND("|",SUBSTITUTE($H1002&amp;" "," ","|",4))-1),""))/86400+25569+9/24,""))</f>
        <v/>
      </c>
      <c r="G1002" s="58">
        <f>TRIM(SUBSTITUTE(SUBSTITUTE(SUBSTITUTE($A1002,CHAR(9)," ")," "," "),CHAR(13),""))</f>
        <v/>
      </c>
      <c r="H1002" s="58">
        <f>IF($G1002="","",IF(ISNUMBER(FIND(" ",$G1002)),$G1002,IFERROR(IF((LEN(SUBSTITUTE(SUBSTITUTE($G1002,"-"," ",LEN($G1002)-LEN(SUBSTITUTE($G1002,"-",""))),"-"," ",LEN($G1002)-LEN(SUBSTITUTE($G1002,"-",""))-1))-LEN(SUBSTITUTE(SUBSTITUTE(SUBSTITUTE($G1002,"-"," ",LEN($G1002)-LEN(SUBSTITUTE($G1002,"-",""))),"-"," ",LEN($G1002)-LEN(SUBSTITUTE($G1002,"-",""))-1),".","")))=0,SUBSTITUTE(SUBSTITUTE($G1002,"-"," ",LEN($G1002)-LEN(SUBSTITUTE($G1002,"-",""))),"-"," ",LEN($G1002)-LEN(SUBSTITUTE($G1002,"-",""))-1),SUBSTITUTE(SUBSTITUTE(SUBSTITUTE($G1002,"-"," ",LEN($G1002)-LEN(SUBSTITUTE($G1002,"-",""))),"-"," ",LEN($G1002)-LEN(SUBSTITUTE($G1002,"-",""))-1),"."," ",(LEN(SUBSTITUTE(SUBSTITUTE($G1002,"-"," ",LEN($G1002)-LEN(SUBSTITUTE($G1002,"-",""))),"-"," ",LEN($G1002)-LEN(SUBSTITUTE($G1002,"-",""))-1))-LEN(SUBSTITUTE(SUBSTITUTE(SUBSTITUTE($G1002,"-"," ",LEN($G1002)-LEN(SUBSTITUTE($G1002,"-",""))),"-"," ",LEN($G1002)-LEN(SUBSTITUTE($G1002,"-",""))-1),".",""))))),$G1002)))</f>
        <v/>
      </c>
    </row>
    <row r="1003">
      <c r="A1003" s="58" t="n"/>
      <c r="B1003" s="58">
        <f>IF($H1003="","",LEFT($H1003,FIND(" ",$H1003&amp;" ")-1))</f>
        <v/>
      </c>
      <c r="C1003" s="58">
        <f>IF($H1003="","",IFERROR(MID($H1003&amp;" ",FIND("|",SUBSTITUTE($H1003&amp;" "," ","|",1))+1,FIND("|",SUBSTITUTE($H1003&amp;" "," ","|",2))-FIND("|",SUBSTITUTE($H1003&amp;" "," ","|",1))-1),""))</f>
        <v/>
      </c>
      <c r="D1003" s="58">
        <f>IF($H1003="","",IFERROR(MID($H1003&amp;" ",FIND("|",SUBSTITUTE($H1003&amp;" "," ","|",2))+1,FIND("|",SUBSTITUTE($H1003&amp;" "," ","|",3))-FIND("|",SUBSTITUTE($H1003&amp;" "," ","|",2))-1),""))</f>
        <v/>
      </c>
      <c r="E1003" s="58">
        <f>IF($H1003="","",IFERROR(MID($H1003&amp;" ",FIND("|",SUBSTITUTE($H1003&amp;" "," ","|",3))+1,FIND("|",SUBSTITUTE($H1003&amp;" "," ","|",4))-FIND("|",SUBSTITUTE($H1003&amp;" "," ","|",3))-1),""))</f>
        <v/>
      </c>
      <c r="F1003" s="59">
        <f>IF($H1003="","",IFERROR(VALUE(IFERROR(MID($H1003&amp;" ",FIND("|",SUBSTITUTE($H1003&amp;" "," ","|",4))+1,FIND("|",SUBSTITUTE($H1003&amp;" "," ","|",5))-FIND("|",SUBSTITUTE($H1003&amp;" "," ","|",4))-1),""))/86400+25569+9/24,""))</f>
        <v/>
      </c>
      <c r="G1003" s="58">
        <f>TRIM(SUBSTITUTE(SUBSTITUTE(SUBSTITUTE($A1003,CHAR(9)," ")," "," "),CHAR(13),""))</f>
        <v/>
      </c>
      <c r="H1003" s="58">
        <f>IF($G1003="","",IF(ISNUMBER(FIND(" ",$G1003)),$G1003,IFERROR(IF((LEN(SUBSTITUTE(SUBSTITUTE($G1003,"-"," ",LEN($G1003)-LEN(SUBSTITUTE($G1003,"-",""))),"-"," ",LEN($G1003)-LEN(SUBSTITUTE($G1003,"-",""))-1))-LEN(SUBSTITUTE(SUBSTITUTE(SUBSTITUTE($G1003,"-"," ",LEN($G1003)-LEN(SUBSTITUTE($G1003,"-",""))),"-"," ",LEN($G1003)-LEN(SUBSTITUTE($G1003,"-",""))-1),".","")))=0,SUBSTITUTE(SUBSTITUTE($G1003,"-"," ",LEN($G1003)-LEN(SUBSTITUTE($G1003,"-",""))),"-"," ",LEN($G1003)-LEN(SUBSTITUTE($G1003,"-",""))-1),SUBSTITUTE(SUBSTITUTE(SUBSTITUTE($G1003,"-"," ",LEN($G1003)-LEN(SUBSTITUTE($G1003,"-",""))),"-"," ",LEN($G1003)-LEN(SUBSTITUTE($G1003,"-",""))-1),"."," ",(LEN(SUBSTITUTE(SUBSTITUTE($G1003,"-"," ",LEN($G1003)-LEN(SUBSTITUTE($G1003,"-",""))),"-"," ",LEN($G1003)-LEN(SUBSTITUTE($G1003,"-",""))-1))-LEN(SUBSTITUTE(SUBSTITUTE(SUBSTITUTE($G1003,"-"," ",LEN($G1003)-LEN(SUBSTITUTE($G1003,"-",""))),"-"," ",LEN($G1003)-LEN(SUBSTITUTE($G1003,"-",""))-1),".",""))))),$G1003)))</f>
        <v/>
      </c>
    </row>
    <row r="1004">
      <c r="A1004" s="58" t="n"/>
      <c r="B1004" s="58">
        <f>IF($H1004="","",LEFT($H1004,FIND(" ",$H1004&amp;" ")-1))</f>
        <v/>
      </c>
      <c r="C1004" s="58">
        <f>IF($H1004="","",IFERROR(MID($H1004&amp;" ",FIND("|",SUBSTITUTE($H1004&amp;" "," ","|",1))+1,FIND("|",SUBSTITUTE($H1004&amp;" "," ","|",2))-FIND("|",SUBSTITUTE($H1004&amp;" "," ","|",1))-1),""))</f>
        <v/>
      </c>
      <c r="D1004" s="58">
        <f>IF($H1004="","",IFERROR(MID($H1004&amp;" ",FIND("|",SUBSTITUTE($H1004&amp;" "," ","|",2))+1,FIND("|",SUBSTITUTE($H1004&amp;" "," ","|",3))-FIND("|",SUBSTITUTE($H1004&amp;" "," ","|",2))-1),""))</f>
        <v/>
      </c>
      <c r="E1004" s="58">
        <f>IF($H1004="","",IFERROR(MID($H1004&amp;" ",FIND("|",SUBSTITUTE($H1004&amp;" "," ","|",3))+1,FIND("|",SUBSTITUTE($H1004&amp;" "," ","|",4))-FIND("|",SUBSTITUTE($H1004&amp;" "," ","|",3))-1),""))</f>
        <v/>
      </c>
      <c r="F1004" s="59">
        <f>IF($H1004="","",IFERROR(VALUE(IFERROR(MID($H1004&amp;" ",FIND("|",SUBSTITUTE($H1004&amp;" "," ","|",4))+1,FIND("|",SUBSTITUTE($H1004&amp;" "," ","|",5))-FIND("|",SUBSTITUTE($H1004&amp;" "," ","|",4))-1),""))/86400+25569+9/24,""))</f>
        <v/>
      </c>
      <c r="G1004" s="58">
        <f>TRIM(SUBSTITUTE(SUBSTITUTE(SUBSTITUTE($A1004,CHAR(9)," ")," "," "),CHAR(13),""))</f>
        <v/>
      </c>
      <c r="H1004" s="58">
        <f>IF($G1004="","",IF(ISNUMBER(FIND(" ",$G1004)),$G1004,IFERROR(IF((LEN(SUBSTITUTE(SUBSTITUTE($G1004,"-"," ",LEN($G1004)-LEN(SUBSTITUTE($G1004,"-",""))),"-"," ",LEN($G1004)-LEN(SUBSTITUTE($G1004,"-",""))-1))-LEN(SUBSTITUTE(SUBSTITUTE(SUBSTITUTE($G1004,"-"," ",LEN($G1004)-LEN(SUBSTITUTE($G1004,"-",""))),"-"," ",LEN($G1004)-LEN(SUBSTITUTE($G1004,"-",""))-1),".","")))=0,SUBSTITUTE(SUBSTITUTE($G1004,"-"," ",LEN($G1004)-LEN(SUBSTITUTE($G1004,"-",""))),"-"," ",LEN($G1004)-LEN(SUBSTITUTE($G1004,"-",""))-1),SUBSTITUTE(SUBSTITUTE(SUBSTITUTE($G1004,"-"," ",LEN($G1004)-LEN(SUBSTITUTE($G1004,"-",""))),"-"," ",LEN($G1004)-LEN(SUBSTITUTE($G1004,"-",""))-1),"."," ",(LEN(SUBSTITUTE(SUBSTITUTE($G1004,"-"," ",LEN($G1004)-LEN(SUBSTITUTE($G1004,"-",""))),"-"," ",LEN($G1004)-LEN(SUBSTITUTE($G1004,"-",""))-1))-LEN(SUBSTITUTE(SUBSTITUTE(SUBSTITUTE($G1004,"-"," ",LEN($G1004)-LEN(SUBSTITUTE($G1004,"-",""))),"-"," ",LEN($G1004)-LEN(SUBSTITUTE($G1004,"-",""))-1),".",""))))),$G1004)))</f>
        <v/>
      </c>
    </row>
    <row r="1005">
      <c r="A1005" s="58" t="n"/>
      <c r="B1005" s="58">
        <f>IF($H1005="","",LEFT($H1005,FIND(" ",$H1005&amp;" ")-1))</f>
        <v/>
      </c>
      <c r="C1005" s="58">
        <f>IF($H1005="","",IFERROR(MID($H1005&amp;" ",FIND("|",SUBSTITUTE($H1005&amp;" "," ","|",1))+1,FIND("|",SUBSTITUTE($H1005&amp;" "," ","|",2))-FIND("|",SUBSTITUTE($H1005&amp;" "," ","|",1))-1),""))</f>
        <v/>
      </c>
      <c r="D1005" s="58">
        <f>IF($H1005="","",IFERROR(MID($H1005&amp;" ",FIND("|",SUBSTITUTE($H1005&amp;" "," ","|",2))+1,FIND("|",SUBSTITUTE($H1005&amp;" "," ","|",3))-FIND("|",SUBSTITUTE($H1005&amp;" "," ","|",2))-1),""))</f>
        <v/>
      </c>
      <c r="E1005" s="58">
        <f>IF($H1005="","",IFERROR(MID($H1005&amp;" ",FIND("|",SUBSTITUTE($H1005&amp;" "," ","|",3))+1,FIND("|",SUBSTITUTE($H1005&amp;" "," ","|",4))-FIND("|",SUBSTITUTE($H1005&amp;" "," ","|",3))-1),""))</f>
        <v/>
      </c>
      <c r="F1005" s="59">
        <f>IF($H1005="","",IFERROR(VALUE(IFERROR(MID($H1005&amp;" ",FIND("|",SUBSTITUTE($H1005&amp;" "," ","|",4))+1,FIND("|",SUBSTITUTE($H1005&amp;" "," ","|",5))-FIND("|",SUBSTITUTE($H1005&amp;" "," ","|",4))-1),""))/86400+25569+9/24,""))</f>
        <v/>
      </c>
      <c r="G1005" s="58">
        <f>TRIM(SUBSTITUTE(SUBSTITUTE(SUBSTITUTE($A1005,CHAR(9)," ")," "," "),CHAR(13),""))</f>
        <v/>
      </c>
      <c r="H1005" s="58">
        <f>IF($G1005="","",IF(ISNUMBER(FIND(" ",$G1005)),$G1005,IFERROR(IF((LEN(SUBSTITUTE(SUBSTITUTE($G1005,"-"," ",LEN($G1005)-LEN(SUBSTITUTE($G1005,"-",""))),"-"," ",LEN($G1005)-LEN(SUBSTITUTE($G1005,"-",""))-1))-LEN(SUBSTITUTE(SUBSTITUTE(SUBSTITUTE($G1005,"-"," ",LEN($G1005)-LEN(SUBSTITUTE($G1005,"-",""))),"-"," ",LEN($G1005)-LEN(SUBSTITUTE($G1005,"-",""))-1),".","")))=0,SUBSTITUTE(SUBSTITUTE($G1005,"-"," ",LEN($G1005)-LEN(SUBSTITUTE($G1005,"-",""))),"-"," ",LEN($G1005)-LEN(SUBSTITUTE($G1005,"-",""))-1),SUBSTITUTE(SUBSTITUTE(SUBSTITUTE($G1005,"-"," ",LEN($G1005)-LEN(SUBSTITUTE($G1005,"-",""))),"-"," ",LEN($G1005)-LEN(SUBSTITUTE($G1005,"-",""))-1),"."," ",(LEN(SUBSTITUTE(SUBSTITUTE($G1005,"-"," ",LEN($G1005)-LEN(SUBSTITUTE($G1005,"-",""))),"-"," ",LEN($G1005)-LEN(SUBSTITUTE($G1005,"-",""))-1))-LEN(SUBSTITUTE(SUBSTITUTE(SUBSTITUTE($G1005,"-"," ",LEN($G1005)-LEN(SUBSTITUTE($G1005,"-",""))),"-"," ",LEN($G1005)-LEN(SUBSTITUTE($G1005,"-",""))-1),".",""))))),$G1005)))</f>
        <v/>
      </c>
    </row>
    <row r="1006">
      <c r="A1006" s="58" t="n"/>
      <c r="B1006" s="58">
        <f>IF($H1006="","",LEFT($H1006,FIND(" ",$H1006&amp;" ")-1))</f>
        <v/>
      </c>
      <c r="C1006" s="58">
        <f>IF($H1006="","",IFERROR(MID($H1006&amp;" ",FIND("|",SUBSTITUTE($H1006&amp;" "," ","|",1))+1,FIND("|",SUBSTITUTE($H1006&amp;" "," ","|",2))-FIND("|",SUBSTITUTE($H1006&amp;" "," ","|",1))-1),""))</f>
        <v/>
      </c>
      <c r="D1006" s="58">
        <f>IF($H1006="","",IFERROR(MID($H1006&amp;" ",FIND("|",SUBSTITUTE($H1006&amp;" "," ","|",2))+1,FIND("|",SUBSTITUTE($H1006&amp;" "," ","|",3))-FIND("|",SUBSTITUTE($H1006&amp;" "," ","|",2))-1),""))</f>
        <v/>
      </c>
      <c r="E1006" s="58">
        <f>IF($H1006="","",IFERROR(MID($H1006&amp;" ",FIND("|",SUBSTITUTE($H1006&amp;" "," ","|",3))+1,FIND("|",SUBSTITUTE($H1006&amp;" "," ","|",4))-FIND("|",SUBSTITUTE($H1006&amp;" "," ","|",3))-1),""))</f>
        <v/>
      </c>
      <c r="F1006" s="59">
        <f>IF($H1006="","",IFERROR(VALUE(IFERROR(MID($H1006&amp;" ",FIND("|",SUBSTITUTE($H1006&amp;" "," ","|",4))+1,FIND("|",SUBSTITUTE($H1006&amp;" "," ","|",5))-FIND("|",SUBSTITUTE($H1006&amp;" "," ","|",4))-1),""))/86400+25569+9/24,""))</f>
        <v/>
      </c>
      <c r="G1006" s="58">
        <f>TRIM(SUBSTITUTE(SUBSTITUTE(SUBSTITUTE($A1006,CHAR(9)," ")," "," "),CHAR(13),""))</f>
        <v/>
      </c>
      <c r="H1006" s="58">
        <f>IF($G1006="","",IF(ISNUMBER(FIND(" ",$G1006)),$G1006,IFERROR(IF((LEN(SUBSTITUTE(SUBSTITUTE($G1006,"-"," ",LEN($G1006)-LEN(SUBSTITUTE($G1006,"-",""))),"-"," ",LEN($G1006)-LEN(SUBSTITUTE($G1006,"-",""))-1))-LEN(SUBSTITUTE(SUBSTITUTE(SUBSTITUTE($G1006,"-"," ",LEN($G1006)-LEN(SUBSTITUTE($G1006,"-",""))),"-"," ",LEN($G1006)-LEN(SUBSTITUTE($G1006,"-",""))-1),".","")))=0,SUBSTITUTE(SUBSTITUTE($G1006,"-"," ",LEN($G1006)-LEN(SUBSTITUTE($G1006,"-",""))),"-"," ",LEN($G1006)-LEN(SUBSTITUTE($G1006,"-",""))-1),SUBSTITUTE(SUBSTITUTE(SUBSTITUTE($G1006,"-"," ",LEN($G1006)-LEN(SUBSTITUTE($G1006,"-",""))),"-"," ",LEN($G1006)-LEN(SUBSTITUTE($G1006,"-",""))-1),"."," ",(LEN(SUBSTITUTE(SUBSTITUTE($G1006,"-"," ",LEN($G1006)-LEN(SUBSTITUTE($G1006,"-",""))),"-"," ",LEN($G1006)-LEN(SUBSTITUTE($G1006,"-",""))-1))-LEN(SUBSTITUTE(SUBSTITUTE(SUBSTITUTE($G1006,"-"," ",LEN($G1006)-LEN(SUBSTITUTE($G1006,"-",""))),"-"," ",LEN($G1006)-LEN(SUBSTITUTE($G1006,"-",""))-1),".",""))))),$G1006)))</f>
        <v/>
      </c>
    </row>
    <row r="1007">
      <c r="A1007" s="58" t="n"/>
      <c r="B1007" s="58">
        <f>IF($H1007="","",LEFT($H1007,FIND(" ",$H1007&amp;" ")-1))</f>
        <v/>
      </c>
      <c r="C1007" s="58">
        <f>IF($H1007="","",IFERROR(MID($H1007&amp;" ",FIND("|",SUBSTITUTE($H1007&amp;" "," ","|",1))+1,FIND("|",SUBSTITUTE($H1007&amp;" "," ","|",2))-FIND("|",SUBSTITUTE($H1007&amp;" "," ","|",1))-1),""))</f>
        <v/>
      </c>
      <c r="D1007" s="58">
        <f>IF($H1007="","",IFERROR(MID($H1007&amp;" ",FIND("|",SUBSTITUTE($H1007&amp;" "," ","|",2))+1,FIND("|",SUBSTITUTE($H1007&amp;" "," ","|",3))-FIND("|",SUBSTITUTE($H1007&amp;" "," ","|",2))-1),""))</f>
        <v/>
      </c>
      <c r="E1007" s="58">
        <f>IF($H1007="","",IFERROR(MID($H1007&amp;" ",FIND("|",SUBSTITUTE($H1007&amp;" "," ","|",3))+1,FIND("|",SUBSTITUTE($H1007&amp;" "," ","|",4))-FIND("|",SUBSTITUTE($H1007&amp;" "," ","|",3))-1),""))</f>
        <v/>
      </c>
      <c r="F1007" s="59">
        <f>IF($H1007="","",IFERROR(VALUE(IFERROR(MID($H1007&amp;" ",FIND("|",SUBSTITUTE($H1007&amp;" "," ","|",4))+1,FIND("|",SUBSTITUTE($H1007&amp;" "," ","|",5))-FIND("|",SUBSTITUTE($H1007&amp;" "," ","|",4))-1),""))/86400+25569+9/24,""))</f>
        <v/>
      </c>
      <c r="G1007" s="58">
        <f>TRIM(SUBSTITUTE(SUBSTITUTE(SUBSTITUTE($A1007,CHAR(9)," ")," "," "),CHAR(13),""))</f>
        <v/>
      </c>
      <c r="H1007" s="58">
        <f>IF($G1007="","",IF(ISNUMBER(FIND(" ",$G1007)),$G1007,IFERROR(IF((LEN(SUBSTITUTE(SUBSTITUTE($G1007,"-"," ",LEN($G1007)-LEN(SUBSTITUTE($G1007,"-",""))),"-"," ",LEN($G1007)-LEN(SUBSTITUTE($G1007,"-",""))-1))-LEN(SUBSTITUTE(SUBSTITUTE(SUBSTITUTE($G1007,"-"," ",LEN($G1007)-LEN(SUBSTITUTE($G1007,"-",""))),"-"," ",LEN($G1007)-LEN(SUBSTITUTE($G1007,"-",""))-1),".","")))=0,SUBSTITUTE(SUBSTITUTE($G1007,"-"," ",LEN($G1007)-LEN(SUBSTITUTE($G1007,"-",""))),"-"," ",LEN($G1007)-LEN(SUBSTITUTE($G1007,"-",""))-1),SUBSTITUTE(SUBSTITUTE(SUBSTITUTE($G1007,"-"," ",LEN($G1007)-LEN(SUBSTITUTE($G1007,"-",""))),"-"," ",LEN($G1007)-LEN(SUBSTITUTE($G1007,"-",""))-1),"."," ",(LEN(SUBSTITUTE(SUBSTITUTE($G1007,"-"," ",LEN($G1007)-LEN(SUBSTITUTE($G1007,"-",""))),"-"," ",LEN($G1007)-LEN(SUBSTITUTE($G1007,"-",""))-1))-LEN(SUBSTITUTE(SUBSTITUTE(SUBSTITUTE($G1007,"-"," ",LEN($G1007)-LEN(SUBSTITUTE($G1007,"-",""))),"-"," ",LEN($G1007)-LEN(SUBSTITUTE($G1007,"-",""))-1),".",""))))),$G1007)))</f>
        <v/>
      </c>
    </row>
    <row r="1008">
      <c r="A1008" s="58" t="n"/>
      <c r="B1008" s="58">
        <f>IF($H1008="","",LEFT($H1008,FIND(" ",$H1008&amp;" ")-1))</f>
        <v/>
      </c>
      <c r="C1008" s="58">
        <f>IF($H1008="","",IFERROR(MID($H1008&amp;" ",FIND("|",SUBSTITUTE($H1008&amp;" "," ","|",1))+1,FIND("|",SUBSTITUTE($H1008&amp;" "," ","|",2))-FIND("|",SUBSTITUTE($H1008&amp;" "," ","|",1))-1),""))</f>
        <v/>
      </c>
      <c r="D1008" s="58">
        <f>IF($H1008="","",IFERROR(MID($H1008&amp;" ",FIND("|",SUBSTITUTE($H1008&amp;" "," ","|",2))+1,FIND("|",SUBSTITUTE($H1008&amp;" "," ","|",3))-FIND("|",SUBSTITUTE($H1008&amp;" "," ","|",2))-1),""))</f>
        <v/>
      </c>
      <c r="E1008" s="58">
        <f>IF($H1008="","",IFERROR(MID($H1008&amp;" ",FIND("|",SUBSTITUTE($H1008&amp;" "," ","|",3))+1,FIND("|",SUBSTITUTE($H1008&amp;" "," ","|",4))-FIND("|",SUBSTITUTE($H1008&amp;" "," ","|",3))-1),""))</f>
        <v/>
      </c>
      <c r="F1008" s="59">
        <f>IF($H1008="","",IFERROR(VALUE(IFERROR(MID($H1008&amp;" ",FIND("|",SUBSTITUTE($H1008&amp;" "," ","|",4))+1,FIND("|",SUBSTITUTE($H1008&amp;" "," ","|",5))-FIND("|",SUBSTITUTE($H1008&amp;" "," ","|",4))-1),""))/86400+25569+9/24,""))</f>
        <v/>
      </c>
      <c r="G1008" s="58">
        <f>TRIM(SUBSTITUTE(SUBSTITUTE(SUBSTITUTE($A1008,CHAR(9)," ")," "," "),CHAR(13),""))</f>
        <v/>
      </c>
      <c r="H1008" s="58">
        <f>IF($G1008="","",IF(ISNUMBER(FIND(" ",$G1008)),$G1008,IFERROR(IF((LEN(SUBSTITUTE(SUBSTITUTE($G1008,"-"," ",LEN($G1008)-LEN(SUBSTITUTE($G1008,"-",""))),"-"," ",LEN($G1008)-LEN(SUBSTITUTE($G1008,"-",""))-1))-LEN(SUBSTITUTE(SUBSTITUTE(SUBSTITUTE($G1008,"-"," ",LEN($G1008)-LEN(SUBSTITUTE($G1008,"-",""))),"-"," ",LEN($G1008)-LEN(SUBSTITUTE($G1008,"-",""))-1),".","")))=0,SUBSTITUTE(SUBSTITUTE($G1008,"-"," ",LEN($G1008)-LEN(SUBSTITUTE($G1008,"-",""))),"-"," ",LEN($G1008)-LEN(SUBSTITUTE($G1008,"-",""))-1),SUBSTITUTE(SUBSTITUTE(SUBSTITUTE($G1008,"-"," ",LEN($G1008)-LEN(SUBSTITUTE($G1008,"-",""))),"-"," ",LEN($G1008)-LEN(SUBSTITUTE($G1008,"-",""))-1),"."," ",(LEN(SUBSTITUTE(SUBSTITUTE($G1008,"-"," ",LEN($G1008)-LEN(SUBSTITUTE($G1008,"-",""))),"-"," ",LEN($G1008)-LEN(SUBSTITUTE($G1008,"-",""))-1))-LEN(SUBSTITUTE(SUBSTITUTE(SUBSTITUTE($G1008,"-"," ",LEN($G1008)-LEN(SUBSTITUTE($G1008,"-",""))),"-"," ",LEN($G1008)-LEN(SUBSTITUTE($G1008,"-",""))-1),".",""))))),$G1008)))</f>
        <v/>
      </c>
    </row>
    <row r="1009">
      <c r="A1009" s="58" t="n"/>
      <c r="B1009" s="58">
        <f>IF($H1009="","",LEFT($H1009,FIND(" ",$H1009&amp;" ")-1))</f>
        <v/>
      </c>
      <c r="C1009" s="58">
        <f>IF($H1009="","",IFERROR(MID($H1009&amp;" ",FIND("|",SUBSTITUTE($H1009&amp;" "," ","|",1))+1,FIND("|",SUBSTITUTE($H1009&amp;" "," ","|",2))-FIND("|",SUBSTITUTE($H1009&amp;" "," ","|",1))-1),""))</f>
        <v/>
      </c>
      <c r="D1009" s="58">
        <f>IF($H1009="","",IFERROR(MID($H1009&amp;" ",FIND("|",SUBSTITUTE($H1009&amp;" "," ","|",2))+1,FIND("|",SUBSTITUTE($H1009&amp;" "," ","|",3))-FIND("|",SUBSTITUTE($H1009&amp;" "," ","|",2))-1),""))</f>
        <v/>
      </c>
      <c r="E1009" s="58">
        <f>IF($H1009="","",IFERROR(MID($H1009&amp;" ",FIND("|",SUBSTITUTE($H1009&amp;" "," ","|",3))+1,FIND("|",SUBSTITUTE($H1009&amp;" "," ","|",4))-FIND("|",SUBSTITUTE($H1009&amp;" "," ","|",3))-1),""))</f>
        <v/>
      </c>
      <c r="F1009" s="59">
        <f>IF($H1009="","",IFERROR(VALUE(IFERROR(MID($H1009&amp;" ",FIND("|",SUBSTITUTE($H1009&amp;" "," ","|",4))+1,FIND("|",SUBSTITUTE($H1009&amp;" "," ","|",5))-FIND("|",SUBSTITUTE($H1009&amp;" "," ","|",4))-1),""))/86400+25569+9/24,""))</f>
        <v/>
      </c>
      <c r="G1009" s="58">
        <f>TRIM(SUBSTITUTE(SUBSTITUTE(SUBSTITUTE($A1009,CHAR(9)," ")," "," "),CHAR(13),""))</f>
        <v/>
      </c>
      <c r="H1009" s="58">
        <f>IF($G1009="","",IF(ISNUMBER(FIND(" ",$G1009)),$G1009,IFERROR(IF((LEN(SUBSTITUTE(SUBSTITUTE($G1009,"-"," ",LEN($G1009)-LEN(SUBSTITUTE($G1009,"-",""))),"-"," ",LEN($G1009)-LEN(SUBSTITUTE($G1009,"-",""))-1))-LEN(SUBSTITUTE(SUBSTITUTE(SUBSTITUTE($G1009,"-"," ",LEN($G1009)-LEN(SUBSTITUTE($G1009,"-",""))),"-"," ",LEN($G1009)-LEN(SUBSTITUTE($G1009,"-",""))-1),".","")))=0,SUBSTITUTE(SUBSTITUTE($G1009,"-"," ",LEN($G1009)-LEN(SUBSTITUTE($G1009,"-",""))),"-"," ",LEN($G1009)-LEN(SUBSTITUTE($G1009,"-",""))-1),SUBSTITUTE(SUBSTITUTE(SUBSTITUTE($G1009,"-"," ",LEN($G1009)-LEN(SUBSTITUTE($G1009,"-",""))),"-"," ",LEN($G1009)-LEN(SUBSTITUTE($G1009,"-",""))-1),"."," ",(LEN(SUBSTITUTE(SUBSTITUTE($G1009,"-"," ",LEN($G1009)-LEN(SUBSTITUTE($G1009,"-",""))),"-"," ",LEN($G1009)-LEN(SUBSTITUTE($G1009,"-",""))-1))-LEN(SUBSTITUTE(SUBSTITUTE(SUBSTITUTE($G1009,"-"," ",LEN($G1009)-LEN(SUBSTITUTE($G1009,"-",""))),"-"," ",LEN($G1009)-LEN(SUBSTITUTE($G1009,"-",""))-1),".",""))))),$G1009)))</f>
        <v/>
      </c>
    </row>
    <row r="1010">
      <c r="A1010" s="58" t="n"/>
      <c r="B1010" s="58">
        <f>IF($H1010="","",LEFT($H1010,FIND(" ",$H1010&amp;" ")-1))</f>
        <v/>
      </c>
      <c r="C1010" s="58">
        <f>IF($H1010="","",IFERROR(MID($H1010&amp;" ",FIND("|",SUBSTITUTE($H1010&amp;" "," ","|",1))+1,FIND("|",SUBSTITUTE($H1010&amp;" "," ","|",2))-FIND("|",SUBSTITUTE($H1010&amp;" "," ","|",1))-1),""))</f>
        <v/>
      </c>
      <c r="D1010" s="58">
        <f>IF($H1010="","",IFERROR(MID($H1010&amp;" ",FIND("|",SUBSTITUTE($H1010&amp;" "," ","|",2))+1,FIND("|",SUBSTITUTE($H1010&amp;" "," ","|",3))-FIND("|",SUBSTITUTE($H1010&amp;" "," ","|",2))-1),""))</f>
        <v/>
      </c>
      <c r="E1010" s="58">
        <f>IF($H1010="","",IFERROR(MID($H1010&amp;" ",FIND("|",SUBSTITUTE($H1010&amp;" "," ","|",3))+1,FIND("|",SUBSTITUTE($H1010&amp;" "," ","|",4))-FIND("|",SUBSTITUTE($H1010&amp;" "," ","|",3))-1),""))</f>
        <v/>
      </c>
      <c r="F1010" s="59">
        <f>IF($H1010="","",IFERROR(VALUE(IFERROR(MID($H1010&amp;" ",FIND("|",SUBSTITUTE($H1010&amp;" "," ","|",4))+1,FIND("|",SUBSTITUTE($H1010&amp;" "," ","|",5))-FIND("|",SUBSTITUTE($H1010&amp;" "," ","|",4))-1),""))/86400+25569+9/24,""))</f>
        <v/>
      </c>
      <c r="G1010" s="58">
        <f>TRIM(SUBSTITUTE(SUBSTITUTE(SUBSTITUTE($A1010,CHAR(9)," ")," "," "),CHAR(13),""))</f>
        <v/>
      </c>
      <c r="H1010" s="58">
        <f>IF($G1010="","",IF(ISNUMBER(FIND(" ",$G1010)),$G1010,IFERROR(IF((LEN(SUBSTITUTE(SUBSTITUTE($G1010,"-"," ",LEN($G1010)-LEN(SUBSTITUTE($G1010,"-",""))),"-"," ",LEN($G1010)-LEN(SUBSTITUTE($G1010,"-",""))-1))-LEN(SUBSTITUTE(SUBSTITUTE(SUBSTITUTE($G1010,"-"," ",LEN($G1010)-LEN(SUBSTITUTE($G1010,"-",""))),"-"," ",LEN($G1010)-LEN(SUBSTITUTE($G1010,"-",""))-1),".","")))=0,SUBSTITUTE(SUBSTITUTE($G1010,"-"," ",LEN($G1010)-LEN(SUBSTITUTE($G1010,"-",""))),"-"," ",LEN($G1010)-LEN(SUBSTITUTE($G1010,"-",""))-1),SUBSTITUTE(SUBSTITUTE(SUBSTITUTE($G1010,"-"," ",LEN($G1010)-LEN(SUBSTITUTE($G1010,"-",""))),"-"," ",LEN($G1010)-LEN(SUBSTITUTE($G1010,"-",""))-1),"."," ",(LEN(SUBSTITUTE(SUBSTITUTE($G1010,"-"," ",LEN($G1010)-LEN(SUBSTITUTE($G1010,"-",""))),"-"," ",LEN($G1010)-LEN(SUBSTITUTE($G1010,"-",""))-1))-LEN(SUBSTITUTE(SUBSTITUTE(SUBSTITUTE($G1010,"-"," ",LEN($G1010)-LEN(SUBSTITUTE($G1010,"-",""))),"-"," ",LEN($G1010)-LEN(SUBSTITUTE($G1010,"-",""))-1),".",""))))),$G1010)))</f>
        <v/>
      </c>
    </row>
    <row r="1011">
      <c r="A1011" s="58" t="n"/>
      <c r="B1011" s="58">
        <f>IF($H1011="","",LEFT($H1011,FIND(" ",$H1011&amp;" ")-1))</f>
        <v/>
      </c>
      <c r="C1011" s="58">
        <f>IF($H1011="","",IFERROR(MID($H1011&amp;" ",FIND("|",SUBSTITUTE($H1011&amp;" "," ","|",1))+1,FIND("|",SUBSTITUTE($H1011&amp;" "," ","|",2))-FIND("|",SUBSTITUTE($H1011&amp;" "," ","|",1))-1),""))</f>
        <v/>
      </c>
      <c r="D1011" s="58">
        <f>IF($H1011="","",IFERROR(MID($H1011&amp;" ",FIND("|",SUBSTITUTE($H1011&amp;" "," ","|",2))+1,FIND("|",SUBSTITUTE($H1011&amp;" "," ","|",3))-FIND("|",SUBSTITUTE($H1011&amp;" "," ","|",2))-1),""))</f>
        <v/>
      </c>
      <c r="E1011" s="58">
        <f>IF($H1011="","",IFERROR(MID($H1011&amp;" ",FIND("|",SUBSTITUTE($H1011&amp;" "," ","|",3))+1,FIND("|",SUBSTITUTE($H1011&amp;" "," ","|",4))-FIND("|",SUBSTITUTE($H1011&amp;" "," ","|",3))-1),""))</f>
        <v/>
      </c>
      <c r="F1011" s="59">
        <f>IF($H1011="","",IFERROR(VALUE(IFERROR(MID($H1011&amp;" ",FIND("|",SUBSTITUTE($H1011&amp;" "," ","|",4))+1,FIND("|",SUBSTITUTE($H1011&amp;" "," ","|",5))-FIND("|",SUBSTITUTE($H1011&amp;" "," ","|",4))-1),""))/86400+25569+9/24,""))</f>
        <v/>
      </c>
      <c r="G1011" s="58">
        <f>TRIM(SUBSTITUTE(SUBSTITUTE(SUBSTITUTE($A1011,CHAR(9)," ")," "," "),CHAR(13),""))</f>
        <v/>
      </c>
      <c r="H1011" s="58">
        <f>IF($G1011="","",IF(ISNUMBER(FIND(" ",$G1011)),$G1011,IFERROR(IF((LEN(SUBSTITUTE(SUBSTITUTE($G1011,"-"," ",LEN($G1011)-LEN(SUBSTITUTE($G1011,"-",""))),"-"," ",LEN($G1011)-LEN(SUBSTITUTE($G1011,"-",""))-1))-LEN(SUBSTITUTE(SUBSTITUTE(SUBSTITUTE($G1011,"-"," ",LEN($G1011)-LEN(SUBSTITUTE($G1011,"-",""))),"-"," ",LEN($G1011)-LEN(SUBSTITUTE($G1011,"-",""))-1),".","")))=0,SUBSTITUTE(SUBSTITUTE($G1011,"-"," ",LEN($G1011)-LEN(SUBSTITUTE($G1011,"-",""))),"-"," ",LEN($G1011)-LEN(SUBSTITUTE($G1011,"-",""))-1),SUBSTITUTE(SUBSTITUTE(SUBSTITUTE($G1011,"-"," ",LEN($G1011)-LEN(SUBSTITUTE($G1011,"-",""))),"-"," ",LEN($G1011)-LEN(SUBSTITUTE($G1011,"-",""))-1),"."," ",(LEN(SUBSTITUTE(SUBSTITUTE($G1011,"-"," ",LEN($G1011)-LEN(SUBSTITUTE($G1011,"-",""))),"-"," ",LEN($G1011)-LEN(SUBSTITUTE($G1011,"-",""))-1))-LEN(SUBSTITUTE(SUBSTITUTE(SUBSTITUTE($G1011,"-"," ",LEN($G1011)-LEN(SUBSTITUTE($G1011,"-",""))),"-"," ",LEN($G1011)-LEN(SUBSTITUTE($G1011,"-",""))-1),".",""))))),$G1011)))</f>
        <v/>
      </c>
    </row>
    <row r="1012">
      <c r="A1012" s="58" t="n"/>
      <c r="B1012" s="58">
        <f>IF($H1012="","",LEFT($H1012,FIND(" ",$H1012&amp;" ")-1))</f>
        <v/>
      </c>
      <c r="C1012" s="58">
        <f>IF($H1012="","",IFERROR(MID($H1012&amp;" ",FIND("|",SUBSTITUTE($H1012&amp;" "," ","|",1))+1,FIND("|",SUBSTITUTE($H1012&amp;" "," ","|",2))-FIND("|",SUBSTITUTE($H1012&amp;" "," ","|",1))-1),""))</f>
        <v/>
      </c>
      <c r="D1012" s="58">
        <f>IF($H1012="","",IFERROR(MID($H1012&amp;" ",FIND("|",SUBSTITUTE($H1012&amp;" "," ","|",2))+1,FIND("|",SUBSTITUTE($H1012&amp;" "," ","|",3))-FIND("|",SUBSTITUTE($H1012&amp;" "," ","|",2))-1),""))</f>
        <v/>
      </c>
      <c r="E1012" s="58">
        <f>IF($H1012="","",IFERROR(MID($H1012&amp;" ",FIND("|",SUBSTITUTE($H1012&amp;" "," ","|",3))+1,FIND("|",SUBSTITUTE($H1012&amp;" "," ","|",4))-FIND("|",SUBSTITUTE($H1012&amp;" "," ","|",3))-1),""))</f>
        <v/>
      </c>
      <c r="F1012" s="59">
        <f>IF($H1012="","",IFERROR(VALUE(IFERROR(MID($H1012&amp;" ",FIND("|",SUBSTITUTE($H1012&amp;" "," ","|",4))+1,FIND("|",SUBSTITUTE($H1012&amp;" "," ","|",5))-FIND("|",SUBSTITUTE($H1012&amp;" "," ","|",4))-1),""))/86400+25569+9/24,""))</f>
        <v/>
      </c>
      <c r="G1012" s="58">
        <f>TRIM(SUBSTITUTE(SUBSTITUTE(SUBSTITUTE($A1012,CHAR(9)," ")," "," "),CHAR(13),""))</f>
        <v/>
      </c>
      <c r="H1012" s="58">
        <f>IF($G1012="","",IF(ISNUMBER(FIND(" ",$G1012)),$G1012,IFERROR(IF((LEN(SUBSTITUTE(SUBSTITUTE($G1012,"-"," ",LEN($G1012)-LEN(SUBSTITUTE($G1012,"-",""))),"-"," ",LEN($G1012)-LEN(SUBSTITUTE($G1012,"-",""))-1))-LEN(SUBSTITUTE(SUBSTITUTE(SUBSTITUTE($G1012,"-"," ",LEN($G1012)-LEN(SUBSTITUTE($G1012,"-",""))),"-"," ",LEN($G1012)-LEN(SUBSTITUTE($G1012,"-",""))-1),".","")))=0,SUBSTITUTE(SUBSTITUTE($G1012,"-"," ",LEN($G1012)-LEN(SUBSTITUTE($G1012,"-",""))),"-"," ",LEN($G1012)-LEN(SUBSTITUTE($G1012,"-",""))-1),SUBSTITUTE(SUBSTITUTE(SUBSTITUTE($G1012,"-"," ",LEN($G1012)-LEN(SUBSTITUTE($G1012,"-",""))),"-"," ",LEN($G1012)-LEN(SUBSTITUTE($G1012,"-",""))-1),"."," ",(LEN(SUBSTITUTE(SUBSTITUTE($G1012,"-"," ",LEN($G1012)-LEN(SUBSTITUTE($G1012,"-",""))),"-"," ",LEN($G1012)-LEN(SUBSTITUTE($G1012,"-",""))-1))-LEN(SUBSTITUTE(SUBSTITUTE(SUBSTITUTE($G1012,"-"," ",LEN($G1012)-LEN(SUBSTITUTE($G1012,"-",""))),"-"," ",LEN($G1012)-LEN(SUBSTITUTE($G1012,"-",""))-1),".",""))))),$G1012)))</f>
        <v/>
      </c>
    </row>
    <row r="1013">
      <c r="A1013" s="58" t="n"/>
      <c r="B1013" s="58">
        <f>IF($H1013="","",LEFT($H1013,FIND(" ",$H1013&amp;" ")-1))</f>
        <v/>
      </c>
      <c r="C1013" s="58">
        <f>IF($H1013="","",IFERROR(MID($H1013&amp;" ",FIND("|",SUBSTITUTE($H1013&amp;" "," ","|",1))+1,FIND("|",SUBSTITUTE($H1013&amp;" "," ","|",2))-FIND("|",SUBSTITUTE($H1013&amp;" "," ","|",1))-1),""))</f>
        <v/>
      </c>
      <c r="D1013" s="58">
        <f>IF($H1013="","",IFERROR(MID($H1013&amp;" ",FIND("|",SUBSTITUTE($H1013&amp;" "," ","|",2))+1,FIND("|",SUBSTITUTE($H1013&amp;" "," ","|",3))-FIND("|",SUBSTITUTE($H1013&amp;" "," ","|",2))-1),""))</f>
        <v/>
      </c>
      <c r="E1013" s="58">
        <f>IF($H1013="","",IFERROR(MID($H1013&amp;" ",FIND("|",SUBSTITUTE($H1013&amp;" "," ","|",3))+1,FIND("|",SUBSTITUTE($H1013&amp;" "," ","|",4))-FIND("|",SUBSTITUTE($H1013&amp;" "," ","|",3))-1),""))</f>
        <v/>
      </c>
      <c r="F1013" s="59">
        <f>IF($H1013="","",IFERROR(VALUE(IFERROR(MID($H1013&amp;" ",FIND("|",SUBSTITUTE($H1013&amp;" "," ","|",4))+1,FIND("|",SUBSTITUTE($H1013&amp;" "," ","|",5))-FIND("|",SUBSTITUTE($H1013&amp;" "," ","|",4))-1),""))/86400+25569+9/24,""))</f>
        <v/>
      </c>
      <c r="G1013" s="58">
        <f>TRIM(SUBSTITUTE(SUBSTITUTE(SUBSTITUTE($A1013,CHAR(9)," ")," "," "),CHAR(13),""))</f>
        <v/>
      </c>
      <c r="H1013" s="58">
        <f>IF($G1013="","",IF(ISNUMBER(FIND(" ",$G1013)),$G1013,IFERROR(IF((LEN(SUBSTITUTE(SUBSTITUTE($G1013,"-"," ",LEN($G1013)-LEN(SUBSTITUTE($G1013,"-",""))),"-"," ",LEN($G1013)-LEN(SUBSTITUTE($G1013,"-",""))-1))-LEN(SUBSTITUTE(SUBSTITUTE(SUBSTITUTE($G1013,"-"," ",LEN($G1013)-LEN(SUBSTITUTE($G1013,"-",""))),"-"," ",LEN($G1013)-LEN(SUBSTITUTE($G1013,"-",""))-1),".","")))=0,SUBSTITUTE(SUBSTITUTE($G1013,"-"," ",LEN($G1013)-LEN(SUBSTITUTE($G1013,"-",""))),"-"," ",LEN($G1013)-LEN(SUBSTITUTE($G1013,"-",""))-1),SUBSTITUTE(SUBSTITUTE(SUBSTITUTE($G1013,"-"," ",LEN($G1013)-LEN(SUBSTITUTE($G1013,"-",""))),"-"," ",LEN($G1013)-LEN(SUBSTITUTE($G1013,"-",""))-1),"."," ",(LEN(SUBSTITUTE(SUBSTITUTE($G1013,"-"," ",LEN($G1013)-LEN(SUBSTITUTE($G1013,"-",""))),"-"," ",LEN($G1013)-LEN(SUBSTITUTE($G1013,"-",""))-1))-LEN(SUBSTITUTE(SUBSTITUTE(SUBSTITUTE($G1013,"-"," ",LEN($G1013)-LEN(SUBSTITUTE($G1013,"-",""))),"-"," ",LEN($G1013)-LEN(SUBSTITUTE($G1013,"-",""))-1),".",""))))),$G1013)))</f>
        <v/>
      </c>
    </row>
    <row r="1014">
      <c r="A1014" s="58" t="n"/>
      <c r="B1014" s="58">
        <f>IF($H1014="","",LEFT($H1014,FIND(" ",$H1014&amp;" ")-1))</f>
        <v/>
      </c>
      <c r="C1014" s="58">
        <f>IF($H1014="","",IFERROR(MID($H1014&amp;" ",FIND("|",SUBSTITUTE($H1014&amp;" "," ","|",1))+1,FIND("|",SUBSTITUTE($H1014&amp;" "," ","|",2))-FIND("|",SUBSTITUTE($H1014&amp;" "," ","|",1))-1),""))</f>
        <v/>
      </c>
      <c r="D1014" s="58">
        <f>IF($H1014="","",IFERROR(MID($H1014&amp;" ",FIND("|",SUBSTITUTE($H1014&amp;" "," ","|",2))+1,FIND("|",SUBSTITUTE($H1014&amp;" "," ","|",3))-FIND("|",SUBSTITUTE($H1014&amp;" "," ","|",2))-1),""))</f>
        <v/>
      </c>
      <c r="E1014" s="58">
        <f>IF($H1014="","",IFERROR(MID($H1014&amp;" ",FIND("|",SUBSTITUTE($H1014&amp;" "," ","|",3))+1,FIND("|",SUBSTITUTE($H1014&amp;" "," ","|",4))-FIND("|",SUBSTITUTE($H1014&amp;" "," ","|",3))-1),""))</f>
        <v/>
      </c>
      <c r="F1014" s="59">
        <f>IF($H1014="","",IFERROR(VALUE(IFERROR(MID($H1014&amp;" ",FIND("|",SUBSTITUTE($H1014&amp;" "," ","|",4))+1,FIND("|",SUBSTITUTE($H1014&amp;" "," ","|",5))-FIND("|",SUBSTITUTE($H1014&amp;" "," ","|",4))-1),""))/86400+25569+9/24,""))</f>
        <v/>
      </c>
      <c r="G1014" s="58">
        <f>TRIM(SUBSTITUTE(SUBSTITUTE(SUBSTITUTE($A1014,CHAR(9)," ")," "," "),CHAR(13),""))</f>
        <v/>
      </c>
      <c r="H1014" s="58">
        <f>IF($G1014="","",IF(ISNUMBER(FIND(" ",$G1014)),$G1014,IFERROR(IF((LEN(SUBSTITUTE(SUBSTITUTE($G1014,"-"," ",LEN($G1014)-LEN(SUBSTITUTE($G1014,"-",""))),"-"," ",LEN($G1014)-LEN(SUBSTITUTE($G1014,"-",""))-1))-LEN(SUBSTITUTE(SUBSTITUTE(SUBSTITUTE($G1014,"-"," ",LEN($G1014)-LEN(SUBSTITUTE($G1014,"-",""))),"-"," ",LEN($G1014)-LEN(SUBSTITUTE($G1014,"-",""))-1),".","")))=0,SUBSTITUTE(SUBSTITUTE($G1014,"-"," ",LEN($G1014)-LEN(SUBSTITUTE($G1014,"-",""))),"-"," ",LEN($G1014)-LEN(SUBSTITUTE($G1014,"-",""))-1),SUBSTITUTE(SUBSTITUTE(SUBSTITUTE($G1014,"-"," ",LEN($G1014)-LEN(SUBSTITUTE($G1014,"-",""))),"-"," ",LEN($G1014)-LEN(SUBSTITUTE($G1014,"-",""))-1),"."," ",(LEN(SUBSTITUTE(SUBSTITUTE($G1014,"-"," ",LEN($G1014)-LEN(SUBSTITUTE($G1014,"-",""))),"-"," ",LEN($G1014)-LEN(SUBSTITUTE($G1014,"-",""))-1))-LEN(SUBSTITUTE(SUBSTITUTE(SUBSTITUTE($G1014,"-"," ",LEN($G1014)-LEN(SUBSTITUTE($G1014,"-",""))),"-"," ",LEN($G1014)-LEN(SUBSTITUTE($G1014,"-",""))-1),".",""))))),$G1014)))</f>
        <v/>
      </c>
    </row>
    <row r="1015">
      <c r="A1015" s="58" t="n"/>
      <c r="B1015" s="58">
        <f>IF($H1015="","",LEFT($H1015,FIND(" ",$H1015&amp;" ")-1))</f>
        <v/>
      </c>
      <c r="C1015" s="58">
        <f>IF($H1015="","",IFERROR(MID($H1015&amp;" ",FIND("|",SUBSTITUTE($H1015&amp;" "," ","|",1))+1,FIND("|",SUBSTITUTE($H1015&amp;" "," ","|",2))-FIND("|",SUBSTITUTE($H1015&amp;" "," ","|",1))-1),""))</f>
        <v/>
      </c>
      <c r="D1015" s="58">
        <f>IF($H1015="","",IFERROR(MID($H1015&amp;" ",FIND("|",SUBSTITUTE($H1015&amp;" "," ","|",2))+1,FIND("|",SUBSTITUTE($H1015&amp;" "," ","|",3))-FIND("|",SUBSTITUTE($H1015&amp;" "," ","|",2))-1),""))</f>
        <v/>
      </c>
      <c r="E1015" s="58">
        <f>IF($H1015="","",IFERROR(MID($H1015&amp;" ",FIND("|",SUBSTITUTE($H1015&amp;" "," ","|",3))+1,FIND("|",SUBSTITUTE($H1015&amp;" "," ","|",4))-FIND("|",SUBSTITUTE($H1015&amp;" "," ","|",3))-1),""))</f>
        <v/>
      </c>
      <c r="F1015" s="59">
        <f>IF($H1015="","",IFERROR(VALUE(IFERROR(MID($H1015&amp;" ",FIND("|",SUBSTITUTE($H1015&amp;" "," ","|",4))+1,FIND("|",SUBSTITUTE($H1015&amp;" "," ","|",5))-FIND("|",SUBSTITUTE($H1015&amp;" "," ","|",4))-1),""))/86400+25569+9/24,""))</f>
        <v/>
      </c>
      <c r="G1015" s="58">
        <f>TRIM(SUBSTITUTE(SUBSTITUTE(SUBSTITUTE($A1015,CHAR(9)," ")," "," "),CHAR(13),""))</f>
        <v/>
      </c>
      <c r="H1015" s="58">
        <f>IF($G1015="","",IF(ISNUMBER(FIND(" ",$G1015)),$G1015,IFERROR(IF((LEN(SUBSTITUTE(SUBSTITUTE($G1015,"-"," ",LEN($G1015)-LEN(SUBSTITUTE($G1015,"-",""))),"-"," ",LEN($G1015)-LEN(SUBSTITUTE($G1015,"-",""))-1))-LEN(SUBSTITUTE(SUBSTITUTE(SUBSTITUTE($G1015,"-"," ",LEN($G1015)-LEN(SUBSTITUTE($G1015,"-",""))),"-"," ",LEN($G1015)-LEN(SUBSTITUTE($G1015,"-",""))-1),".","")))=0,SUBSTITUTE(SUBSTITUTE($G1015,"-"," ",LEN($G1015)-LEN(SUBSTITUTE($G1015,"-",""))),"-"," ",LEN($G1015)-LEN(SUBSTITUTE($G1015,"-",""))-1),SUBSTITUTE(SUBSTITUTE(SUBSTITUTE($G1015,"-"," ",LEN($G1015)-LEN(SUBSTITUTE($G1015,"-",""))),"-"," ",LEN($G1015)-LEN(SUBSTITUTE($G1015,"-",""))-1),"."," ",(LEN(SUBSTITUTE(SUBSTITUTE($G1015,"-"," ",LEN($G1015)-LEN(SUBSTITUTE($G1015,"-",""))),"-"," ",LEN($G1015)-LEN(SUBSTITUTE($G1015,"-",""))-1))-LEN(SUBSTITUTE(SUBSTITUTE(SUBSTITUTE($G1015,"-"," ",LEN($G1015)-LEN(SUBSTITUTE($G1015,"-",""))),"-"," ",LEN($G1015)-LEN(SUBSTITUTE($G1015,"-",""))-1),".",""))))),$G1015)))</f>
        <v/>
      </c>
    </row>
    <row r="1016">
      <c r="A1016" s="58" t="n"/>
      <c r="B1016" s="58">
        <f>IF($H1016="","",LEFT($H1016,FIND(" ",$H1016&amp;" ")-1))</f>
        <v/>
      </c>
      <c r="C1016" s="58">
        <f>IF($H1016="","",IFERROR(MID($H1016&amp;" ",FIND("|",SUBSTITUTE($H1016&amp;" "," ","|",1))+1,FIND("|",SUBSTITUTE($H1016&amp;" "," ","|",2))-FIND("|",SUBSTITUTE($H1016&amp;" "," ","|",1))-1),""))</f>
        <v/>
      </c>
      <c r="D1016" s="58">
        <f>IF($H1016="","",IFERROR(MID($H1016&amp;" ",FIND("|",SUBSTITUTE($H1016&amp;" "," ","|",2))+1,FIND("|",SUBSTITUTE($H1016&amp;" "," ","|",3))-FIND("|",SUBSTITUTE($H1016&amp;" "," ","|",2))-1),""))</f>
        <v/>
      </c>
      <c r="E1016" s="58">
        <f>IF($H1016="","",IFERROR(MID($H1016&amp;" ",FIND("|",SUBSTITUTE($H1016&amp;" "," ","|",3))+1,FIND("|",SUBSTITUTE($H1016&amp;" "," ","|",4))-FIND("|",SUBSTITUTE($H1016&amp;" "," ","|",3))-1),""))</f>
        <v/>
      </c>
      <c r="F1016" s="59">
        <f>IF($H1016="","",IFERROR(VALUE(IFERROR(MID($H1016&amp;" ",FIND("|",SUBSTITUTE($H1016&amp;" "," ","|",4))+1,FIND("|",SUBSTITUTE($H1016&amp;" "," ","|",5))-FIND("|",SUBSTITUTE($H1016&amp;" "," ","|",4))-1),""))/86400+25569+9/24,""))</f>
        <v/>
      </c>
      <c r="G1016" s="58">
        <f>TRIM(SUBSTITUTE(SUBSTITUTE(SUBSTITUTE($A1016,CHAR(9)," ")," "," "),CHAR(13),""))</f>
        <v/>
      </c>
      <c r="H1016" s="58">
        <f>IF($G1016="","",IF(ISNUMBER(FIND(" ",$G1016)),$G1016,IFERROR(IF((LEN(SUBSTITUTE(SUBSTITUTE($G1016,"-"," ",LEN($G1016)-LEN(SUBSTITUTE($G1016,"-",""))),"-"," ",LEN($G1016)-LEN(SUBSTITUTE($G1016,"-",""))-1))-LEN(SUBSTITUTE(SUBSTITUTE(SUBSTITUTE($G1016,"-"," ",LEN($G1016)-LEN(SUBSTITUTE($G1016,"-",""))),"-"," ",LEN($G1016)-LEN(SUBSTITUTE($G1016,"-",""))-1),".","")))=0,SUBSTITUTE(SUBSTITUTE($G1016,"-"," ",LEN($G1016)-LEN(SUBSTITUTE($G1016,"-",""))),"-"," ",LEN($G1016)-LEN(SUBSTITUTE($G1016,"-",""))-1),SUBSTITUTE(SUBSTITUTE(SUBSTITUTE($G1016,"-"," ",LEN($G1016)-LEN(SUBSTITUTE($G1016,"-",""))),"-"," ",LEN($G1016)-LEN(SUBSTITUTE($G1016,"-",""))-1),"."," ",(LEN(SUBSTITUTE(SUBSTITUTE($G1016,"-"," ",LEN($G1016)-LEN(SUBSTITUTE($G1016,"-",""))),"-"," ",LEN($G1016)-LEN(SUBSTITUTE($G1016,"-",""))-1))-LEN(SUBSTITUTE(SUBSTITUTE(SUBSTITUTE($G1016,"-"," ",LEN($G1016)-LEN(SUBSTITUTE($G1016,"-",""))),"-"," ",LEN($G1016)-LEN(SUBSTITUTE($G1016,"-",""))-1),".",""))))),$G1016)))</f>
        <v/>
      </c>
    </row>
    <row r="1017">
      <c r="A1017" s="58" t="n"/>
      <c r="B1017" s="58">
        <f>IF($H1017="","",LEFT($H1017,FIND(" ",$H1017&amp;" ")-1))</f>
        <v/>
      </c>
      <c r="C1017" s="58">
        <f>IF($H1017="","",IFERROR(MID($H1017&amp;" ",FIND("|",SUBSTITUTE($H1017&amp;" "," ","|",1))+1,FIND("|",SUBSTITUTE($H1017&amp;" "," ","|",2))-FIND("|",SUBSTITUTE($H1017&amp;" "," ","|",1))-1),""))</f>
        <v/>
      </c>
      <c r="D1017" s="58">
        <f>IF($H1017="","",IFERROR(MID($H1017&amp;" ",FIND("|",SUBSTITUTE($H1017&amp;" "," ","|",2))+1,FIND("|",SUBSTITUTE($H1017&amp;" "," ","|",3))-FIND("|",SUBSTITUTE($H1017&amp;" "," ","|",2))-1),""))</f>
        <v/>
      </c>
      <c r="E1017" s="58">
        <f>IF($H1017="","",IFERROR(MID($H1017&amp;" ",FIND("|",SUBSTITUTE($H1017&amp;" "," ","|",3))+1,FIND("|",SUBSTITUTE($H1017&amp;" "," ","|",4))-FIND("|",SUBSTITUTE($H1017&amp;" "," ","|",3))-1),""))</f>
        <v/>
      </c>
      <c r="F1017" s="59">
        <f>IF($H1017="","",IFERROR(VALUE(IFERROR(MID($H1017&amp;" ",FIND("|",SUBSTITUTE($H1017&amp;" "," ","|",4))+1,FIND("|",SUBSTITUTE($H1017&amp;" "," ","|",5))-FIND("|",SUBSTITUTE($H1017&amp;" "," ","|",4))-1),""))/86400+25569+9/24,""))</f>
        <v/>
      </c>
      <c r="G1017" s="58">
        <f>TRIM(SUBSTITUTE(SUBSTITUTE(SUBSTITUTE($A1017,CHAR(9)," ")," "," "),CHAR(13),""))</f>
        <v/>
      </c>
      <c r="H1017" s="58">
        <f>IF($G1017="","",IF(ISNUMBER(FIND(" ",$G1017)),$G1017,IFERROR(IF((LEN(SUBSTITUTE(SUBSTITUTE($G1017,"-"," ",LEN($G1017)-LEN(SUBSTITUTE($G1017,"-",""))),"-"," ",LEN($G1017)-LEN(SUBSTITUTE($G1017,"-",""))-1))-LEN(SUBSTITUTE(SUBSTITUTE(SUBSTITUTE($G1017,"-"," ",LEN($G1017)-LEN(SUBSTITUTE($G1017,"-",""))),"-"," ",LEN($G1017)-LEN(SUBSTITUTE($G1017,"-",""))-1),".","")))=0,SUBSTITUTE(SUBSTITUTE($G1017,"-"," ",LEN($G1017)-LEN(SUBSTITUTE($G1017,"-",""))),"-"," ",LEN($G1017)-LEN(SUBSTITUTE($G1017,"-",""))-1),SUBSTITUTE(SUBSTITUTE(SUBSTITUTE($G1017,"-"," ",LEN($G1017)-LEN(SUBSTITUTE($G1017,"-",""))),"-"," ",LEN($G1017)-LEN(SUBSTITUTE($G1017,"-",""))-1),"."," ",(LEN(SUBSTITUTE(SUBSTITUTE($G1017,"-"," ",LEN($G1017)-LEN(SUBSTITUTE($G1017,"-",""))),"-"," ",LEN($G1017)-LEN(SUBSTITUTE($G1017,"-",""))-1))-LEN(SUBSTITUTE(SUBSTITUTE(SUBSTITUTE($G1017,"-"," ",LEN($G1017)-LEN(SUBSTITUTE($G1017,"-",""))),"-"," ",LEN($G1017)-LEN(SUBSTITUTE($G1017,"-",""))-1),".",""))))),$G1017)))</f>
        <v/>
      </c>
    </row>
    <row r="1018">
      <c r="A1018" s="58" t="n"/>
      <c r="B1018" s="58">
        <f>IF($H1018="","",LEFT($H1018,FIND(" ",$H1018&amp;" ")-1))</f>
        <v/>
      </c>
      <c r="C1018" s="58">
        <f>IF($H1018="","",IFERROR(MID($H1018&amp;" ",FIND("|",SUBSTITUTE($H1018&amp;" "," ","|",1))+1,FIND("|",SUBSTITUTE($H1018&amp;" "," ","|",2))-FIND("|",SUBSTITUTE($H1018&amp;" "," ","|",1))-1),""))</f>
        <v/>
      </c>
      <c r="D1018" s="58">
        <f>IF($H1018="","",IFERROR(MID($H1018&amp;" ",FIND("|",SUBSTITUTE($H1018&amp;" "," ","|",2))+1,FIND("|",SUBSTITUTE($H1018&amp;" "," ","|",3))-FIND("|",SUBSTITUTE($H1018&amp;" "," ","|",2))-1),""))</f>
        <v/>
      </c>
      <c r="E1018" s="58">
        <f>IF($H1018="","",IFERROR(MID($H1018&amp;" ",FIND("|",SUBSTITUTE($H1018&amp;" "," ","|",3))+1,FIND("|",SUBSTITUTE($H1018&amp;" "," ","|",4))-FIND("|",SUBSTITUTE($H1018&amp;" "," ","|",3))-1),""))</f>
        <v/>
      </c>
      <c r="F1018" s="59">
        <f>IF($H1018="","",IFERROR(VALUE(IFERROR(MID($H1018&amp;" ",FIND("|",SUBSTITUTE($H1018&amp;" "," ","|",4))+1,FIND("|",SUBSTITUTE($H1018&amp;" "," ","|",5))-FIND("|",SUBSTITUTE($H1018&amp;" "," ","|",4))-1),""))/86400+25569+9/24,""))</f>
        <v/>
      </c>
      <c r="G1018" s="58">
        <f>TRIM(SUBSTITUTE(SUBSTITUTE(SUBSTITUTE($A1018,CHAR(9)," ")," "," "),CHAR(13),""))</f>
        <v/>
      </c>
      <c r="H1018" s="58">
        <f>IF($G1018="","",IF(ISNUMBER(FIND(" ",$G1018)),$G1018,IFERROR(IF((LEN(SUBSTITUTE(SUBSTITUTE($G1018,"-"," ",LEN($G1018)-LEN(SUBSTITUTE($G1018,"-",""))),"-"," ",LEN($G1018)-LEN(SUBSTITUTE($G1018,"-",""))-1))-LEN(SUBSTITUTE(SUBSTITUTE(SUBSTITUTE($G1018,"-"," ",LEN($G1018)-LEN(SUBSTITUTE($G1018,"-",""))),"-"," ",LEN($G1018)-LEN(SUBSTITUTE($G1018,"-",""))-1),".","")))=0,SUBSTITUTE(SUBSTITUTE($G1018,"-"," ",LEN($G1018)-LEN(SUBSTITUTE($G1018,"-",""))),"-"," ",LEN($G1018)-LEN(SUBSTITUTE($G1018,"-",""))-1),SUBSTITUTE(SUBSTITUTE(SUBSTITUTE($G1018,"-"," ",LEN($G1018)-LEN(SUBSTITUTE($G1018,"-",""))),"-"," ",LEN($G1018)-LEN(SUBSTITUTE($G1018,"-",""))-1),"."," ",(LEN(SUBSTITUTE(SUBSTITUTE($G1018,"-"," ",LEN($G1018)-LEN(SUBSTITUTE($G1018,"-",""))),"-"," ",LEN($G1018)-LEN(SUBSTITUTE($G1018,"-",""))-1))-LEN(SUBSTITUTE(SUBSTITUTE(SUBSTITUTE($G1018,"-"," ",LEN($G1018)-LEN(SUBSTITUTE($G1018,"-",""))),"-"," ",LEN($G1018)-LEN(SUBSTITUTE($G1018,"-",""))-1),".",""))))),$G1018)))</f>
        <v/>
      </c>
    </row>
    <row r="1019">
      <c r="A1019" s="58" t="n"/>
      <c r="B1019" s="58">
        <f>IF($H1019="","",LEFT($H1019,FIND(" ",$H1019&amp;" ")-1))</f>
        <v/>
      </c>
      <c r="C1019" s="58">
        <f>IF($H1019="","",IFERROR(MID($H1019&amp;" ",FIND("|",SUBSTITUTE($H1019&amp;" "," ","|",1))+1,FIND("|",SUBSTITUTE($H1019&amp;" "," ","|",2))-FIND("|",SUBSTITUTE($H1019&amp;" "," ","|",1))-1),""))</f>
        <v/>
      </c>
      <c r="D1019" s="58">
        <f>IF($H1019="","",IFERROR(MID($H1019&amp;" ",FIND("|",SUBSTITUTE($H1019&amp;" "," ","|",2))+1,FIND("|",SUBSTITUTE($H1019&amp;" "," ","|",3))-FIND("|",SUBSTITUTE($H1019&amp;" "," ","|",2))-1),""))</f>
        <v/>
      </c>
      <c r="E1019" s="58">
        <f>IF($H1019="","",IFERROR(MID($H1019&amp;" ",FIND("|",SUBSTITUTE($H1019&amp;" "," ","|",3))+1,FIND("|",SUBSTITUTE($H1019&amp;" "," ","|",4))-FIND("|",SUBSTITUTE($H1019&amp;" "," ","|",3))-1),""))</f>
        <v/>
      </c>
      <c r="F1019" s="59">
        <f>IF($H1019="","",IFERROR(VALUE(IFERROR(MID($H1019&amp;" ",FIND("|",SUBSTITUTE($H1019&amp;" "," ","|",4))+1,FIND("|",SUBSTITUTE($H1019&amp;" "," ","|",5))-FIND("|",SUBSTITUTE($H1019&amp;" "," ","|",4))-1),""))/86400+25569+9/24,""))</f>
        <v/>
      </c>
      <c r="G1019" s="58">
        <f>TRIM(SUBSTITUTE(SUBSTITUTE(SUBSTITUTE($A1019,CHAR(9)," ")," "," "),CHAR(13),""))</f>
        <v/>
      </c>
      <c r="H1019" s="58">
        <f>IF($G1019="","",IF(ISNUMBER(FIND(" ",$G1019)),$G1019,IFERROR(IF((LEN(SUBSTITUTE(SUBSTITUTE($G1019,"-"," ",LEN($G1019)-LEN(SUBSTITUTE($G1019,"-",""))),"-"," ",LEN($G1019)-LEN(SUBSTITUTE($G1019,"-",""))-1))-LEN(SUBSTITUTE(SUBSTITUTE(SUBSTITUTE($G1019,"-"," ",LEN($G1019)-LEN(SUBSTITUTE($G1019,"-",""))),"-"," ",LEN($G1019)-LEN(SUBSTITUTE($G1019,"-",""))-1),".","")))=0,SUBSTITUTE(SUBSTITUTE($G1019,"-"," ",LEN($G1019)-LEN(SUBSTITUTE($G1019,"-",""))),"-"," ",LEN($G1019)-LEN(SUBSTITUTE($G1019,"-",""))-1),SUBSTITUTE(SUBSTITUTE(SUBSTITUTE($G1019,"-"," ",LEN($G1019)-LEN(SUBSTITUTE($G1019,"-",""))),"-"," ",LEN($G1019)-LEN(SUBSTITUTE($G1019,"-",""))-1),"."," ",(LEN(SUBSTITUTE(SUBSTITUTE($G1019,"-"," ",LEN($G1019)-LEN(SUBSTITUTE($G1019,"-",""))),"-"," ",LEN($G1019)-LEN(SUBSTITUTE($G1019,"-",""))-1))-LEN(SUBSTITUTE(SUBSTITUTE(SUBSTITUTE($G1019,"-"," ",LEN($G1019)-LEN(SUBSTITUTE($G1019,"-",""))),"-"," ",LEN($G1019)-LEN(SUBSTITUTE($G1019,"-",""))-1),".",""))))),$G1019)))</f>
        <v/>
      </c>
    </row>
    <row r="1020">
      <c r="A1020" s="58" t="n"/>
      <c r="B1020" s="58">
        <f>IF($H1020="","",LEFT($H1020,FIND(" ",$H1020&amp;" ")-1))</f>
        <v/>
      </c>
      <c r="C1020" s="58">
        <f>IF($H1020="","",IFERROR(MID($H1020&amp;" ",FIND("|",SUBSTITUTE($H1020&amp;" "," ","|",1))+1,FIND("|",SUBSTITUTE($H1020&amp;" "," ","|",2))-FIND("|",SUBSTITUTE($H1020&amp;" "," ","|",1))-1),""))</f>
        <v/>
      </c>
      <c r="D1020" s="58">
        <f>IF($H1020="","",IFERROR(MID($H1020&amp;" ",FIND("|",SUBSTITUTE($H1020&amp;" "," ","|",2))+1,FIND("|",SUBSTITUTE($H1020&amp;" "," ","|",3))-FIND("|",SUBSTITUTE($H1020&amp;" "," ","|",2))-1),""))</f>
        <v/>
      </c>
      <c r="E1020" s="58">
        <f>IF($H1020="","",IFERROR(MID($H1020&amp;" ",FIND("|",SUBSTITUTE($H1020&amp;" "," ","|",3))+1,FIND("|",SUBSTITUTE($H1020&amp;" "," ","|",4))-FIND("|",SUBSTITUTE($H1020&amp;" "," ","|",3))-1),""))</f>
        <v/>
      </c>
      <c r="F1020" s="59">
        <f>IF($H1020="","",IFERROR(VALUE(IFERROR(MID($H1020&amp;" ",FIND("|",SUBSTITUTE($H1020&amp;" "," ","|",4))+1,FIND("|",SUBSTITUTE($H1020&amp;" "," ","|",5))-FIND("|",SUBSTITUTE($H1020&amp;" "," ","|",4))-1),""))/86400+25569+9/24,""))</f>
        <v/>
      </c>
      <c r="G1020" s="58">
        <f>TRIM(SUBSTITUTE(SUBSTITUTE(SUBSTITUTE($A1020,CHAR(9)," ")," "," "),CHAR(13),""))</f>
        <v/>
      </c>
      <c r="H1020" s="58">
        <f>IF($G1020="","",IF(ISNUMBER(FIND(" ",$G1020)),$G1020,IFERROR(IF((LEN(SUBSTITUTE(SUBSTITUTE($G1020,"-"," ",LEN($G1020)-LEN(SUBSTITUTE($G1020,"-",""))),"-"," ",LEN($G1020)-LEN(SUBSTITUTE($G1020,"-",""))-1))-LEN(SUBSTITUTE(SUBSTITUTE(SUBSTITUTE($G1020,"-"," ",LEN($G1020)-LEN(SUBSTITUTE($G1020,"-",""))),"-"," ",LEN($G1020)-LEN(SUBSTITUTE($G1020,"-",""))-1),".","")))=0,SUBSTITUTE(SUBSTITUTE($G1020,"-"," ",LEN($G1020)-LEN(SUBSTITUTE($G1020,"-",""))),"-"," ",LEN($G1020)-LEN(SUBSTITUTE($G1020,"-",""))-1),SUBSTITUTE(SUBSTITUTE(SUBSTITUTE($G1020,"-"," ",LEN($G1020)-LEN(SUBSTITUTE($G1020,"-",""))),"-"," ",LEN($G1020)-LEN(SUBSTITUTE($G1020,"-",""))-1),"."," ",(LEN(SUBSTITUTE(SUBSTITUTE($G1020,"-"," ",LEN($G1020)-LEN(SUBSTITUTE($G1020,"-",""))),"-"," ",LEN($G1020)-LEN(SUBSTITUTE($G1020,"-",""))-1))-LEN(SUBSTITUTE(SUBSTITUTE(SUBSTITUTE($G1020,"-"," ",LEN($G1020)-LEN(SUBSTITUTE($G1020,"-",""))),"-"," ",LEN($G1020)-LEN(SUBSTITUTE($G1020,"-",""))-1),".",""))))),$G1020)))</f>
        <v/>
      </c>
    </row>
    <row r="1021">
      <c r="A1021" s="58" t="n"/>
      <c r="B1021" s="58">
        <f>IF($H1021="","",LEFT($H1021,FIND(" ",$H1021&amp;" ")-1))</f>
        <v/>
      </c>
      <c r="C1021" s="58">
        <f>IF($H1021="","",IFERROR(MID($H1021&amp;" ",FIND("|",SUBSTITUTE($H1021&amp;" "," ","|",1))+1,FIND("|",SUBSTITUTE($H1021&amp;" "," ","|",2))-FIND("|",SUBSTITUTE($H1021&amp;" "," ","|",1))-1),""))</f>
        <v/>
      </c>
      <c r="D1021" s="58">
        <f>IF($H1021="","",IFERROR(MID($H1021&amp;" ",FIND("|",SUBSTITUTE($H1021&amp;" "," ","|",2))+1,FIND("|",SUBSTITUTE($H1021&amp;" "," ","|",3))-FIND("|",SUBSTITUTE($H1021&amp;" "," ","|",2))-1),""))</f>
        <v/>
      </c>
      <c r="E1021" s="58">
        <f>IF($H1021="","",IFERROR(MID($H1021&amp;" ",FIND("|",SUBSTITUTE($H1021&amp;" "," ","|",3))+1,FIND("|",SUBSTITUTE($H1021&amp;" "," ","|",4))-FIND("|",SUBSTITUTE($H1021&amp;" "," ","|",3))-1),""))</f>
        <v/>
      </c>
      <c r="F1021" s="59">
        <f>IF($H1021="","",IFERROR(VALUE(IFERROR(MID($H1021&amp;" ",FIND("|",SUBSTITUTE($H1021&amp;" "," ","|",4))+1,FIND("|",SUBSTITUTE($H1021&amp;" "," ","|",5))-FIND("|",SUBSTITUTE($H1021&amp;" "," ","|",4))-1),""))/86400+25569+9/24,""))</f>
        <v/>
      </c>
      <c r="G1021" s="58">
        <f>TRIM(SUBSTITUTE(SUBSTITUTE(SUBSTITUTE($A1021,CHAR(9)," ")," "," "),CHAR(13),""))</f>
        <v/>
      </c>
      <c r="H1021" s="58">
        <f>IF($G1021="","",IF(ISNUMBER(FIND(" ",$G1021)),$G1021,IFERROR(IF((LEN(SUBSTITUTE(SUBSTITUTE($G1021,"-"," ",LEN($G1021)-LEN(SUBSTITUTE($G1021,"-",""))),"-"," ",LEN($G1021)-LEN(SUBSTITUTE($G1021,"-",""))-1))-LEN(SUBSTITUTE(SUBSTITUTE(SUBSTITUTE($G1021,"-"," ",LEN($G1021)-LEN(SUBSTITUTE($G1021,"-",""))),"-"," ",LEN($G1021)-LEN(SUBSTITUTE($G1021,"-",""))-1),".","")))=0,SUBSTITUTE(SUBSTITUTE($G1021,"-"," ",LEN($G1021)-LEN(SUBSTITUTE($G1021,"-",""))),"-"," ",LEN($G1021)-LEN(SUBSTITUTE($G1021,"-",""))-1),SUBSTITUTE(SUBSTITUTE(SUBSTITUTE($G1021,"-"," ",LEN($G1021)-LEN(SUBSTITUTE($G1021,"-",""))),"-"," ",LEN($G1021)-LEN(SUBSTITUTE($G1021,"-",""))-1),"."," ",(LEN(SUBSTITUTE(SUBSTITUTE($G1021,"-"," ",LEN($G1021)-LEN(SUBSTITUTE($G1021,"-",""))),"-"," ",LEN($G1021)-LEN(SUBSTITUTE($G1021,"-",""))-1))-LEN(SUBSTITUTE(SUBSTITUTE(SUBSTITUTE($G1021,"-"," ",LEN($G1021)-LEN(SUBSTITUTE($G1021,"-",""))),"-"," ",LEN($G1021)-LEN(SUBSTITUTE($G1021,"-",""))-1),".",""))))),$G1021)))</f>
        <v/>
      </c>
    </row>
    <row r="1022">
      <c r="A1022" s="58" t="n"/>
      <c r="B1022" s="58">
        <f>IF($H1022="","",LEFT($H1022,FIND(" ",$H1022&amp;" ")-1))</f>
        <v/>
      </c>
      <c r="C1022" s="58">
        <f>IF($H1022="","",IFERROR(MID($H1022&amp;" ",FIND("|",SUBSTITUTE($H1022&amp;" "," ","|",1))+1,FIND("|",SUBSTITUTE($H1022&amp;" "," ","|",2))-FIND("|",SUBSTITUTE($H1022&amp;" "," ","|",1))-1),""))</f>
        <v/>
      </c>
      <c r="D1022" s="58">
        <f>IF($H1022="","",IFERROR(MID($H1022&amp;" ",FIND("|",SUBSTITUTE($H1022&amp;" "," ","|",2))+1,FIND("|",SUBSTITUTE($H1022&amp;" "," ","|",3))-FIND("|",SUBSTITUTE($H1022&amp;" "," ","|",2))-1),""))</f>
        <v/>
      </c>
      <c r="E1022" s="58">
        <f>IF($H1022="","",IFERROR(MID($H1022&amp;" ",FIND("|",SUBSTITUTE($H1022&amp;" "," ","|",3))+1,FIND("|",SUBSTITUTE($H1022&amp;" "," ","|",4))-FIND("|",SUBSTITUTE($H1022&amp;" "," ","|",3))-1),""))</f>
        <v/>
      </c>
      <c r="F1022" s="59">
        <f>IF($H1022="","",IFERROR(VALUE(IFERROR(MID($H1022&amp;" ",FIND("|",SUBSTITUTE($H1022&amp;" "," ","|",4))+1,FIND("|",SUBSTITUTE($H1022&amp;" "," ","|",5))-FIND("|",SUBSTITUTE($H1022&amp;" "," ","|",4))-1),""))/86400+25569+9/24,""))</f>
        <v/>
      </c>
      <c r="G1022" s="58">
        <f>TRIM(SUBSTITUTE(SUBSTITUTE(SUBSTITUTE($A1022,CHAR(9)," ")," "," "),CHAR(13),""))</f>
        <v/>
      </c>
      <c r="H1022" s="58">
        <f>IF($G1022="","",IF(ISNUMBER(FIND(" ",$G1022)),$G1022,IFERROR(IF((LEN(SUBSTITUTE(SUBSTITUTE($G1022,"-"," ",LEN($G1022)-LEN(SUBSTITUTE($G1022,"-",""))),"-"," ",LEN($G1022)-LEN(SUBSTITUTE($G1022,"-",""))-1))-LEN(SUBSTITUTE(SUBSTITUTE(SUBSTITUTE($G1022,"-"," ",LEN($G1022)-LEN(SUBSTITUTE($G1022,"-",""))),"-"," ",LEN($G1022)-LEN(SUBSTITUTE($G1022,"-",""))-1),".","")))=0,SUBSTITUTE(SUBSTITUTE($G1022,"-"," ",LEN($G1022)-LEN(SUBSTITUTE($G1022,"-",""))),"-"," ",LEN($G1022)-LEN(SUBSTITUTE($G1022,"-",""))-1),SUBSTITUTE(SUBSTITUTE(SUBSTITUTE($G1022,"-"," ",LEN($G1022)-LEN(SUBSTITUTE($G1022,"-",""))),"-"," ",LEN($G1022)-LEN(SUBSTITUTE($G1022,"-",""))-1),"."," ",(LEN(SUBSTITUTE(SUBSTITUTE($G1022,"-"," ",LEN($G1022)-LEN(SUBSTITUTE($G1022,"-",""))),"-"," ",LEN($G1022)-LEN(SUBSTITUTE($G1022,"-",""))-1))-LEN(SUBSTITUTE(SUBSTITUTE(SUBSTITUTE($G1022,"-"," ",LEN($G1022)-LEN(SUBSTITUTE($G1022,"-",""))),"-"," ",LEN($G1022)-LEN(SUBSTITUTE($G1022,"-",""))-1),".",""))))),$G1022)))</f>
        <v/>
      </c>
    </row>
    <row r="1023">
      <c r="A1023" s="58" t="n"/>
      <c r="B1023" s="58">
        <f>IF($H1023="","",LEFT($H1023,FIND(" ",$H1023&amp;" ")-1))</f>
        <v/>
      </c>
      <c r="C1023" s="58">
        <f>IF($H1023="","",IFERROR(MID($H1023&amp;" ",FIND("|",SUBSTITUTE($H1023&amp;" "," ","|",1))+1,FIND("|",SUBSTITUTE($H1023&amp;" "," ","|",2))-FIND("|",SUBSTITUTE($H1023&amp;" "," ","|",1))-1),""))</f>
        <v/>
      </c>
      <c r="D1023" s="58">
        <f>IF($H1023="","",IFERROR(MID($H1023&amp;" ",FIND("|",SUBSTITUTE($H1023&amp;" "," ","|",2))+1,FIND("|",SUBSTITUTE($H1023&amp;" "," ","|",3))-FIND("|",SUBSTITUTE($H1023&amp;" "," ","|",2))-1),""))</f>
        <v/>
      </c>
      <c r="E1023" s="58">
        <f>IF($H1023="","",IFERROR(MID($H1023&amp;" ",FIND("|",SUBSTITUTE($H1023&amp;" "," ","|",3))+1,FIND("|",SUBSTITUTE($H1023&amp;" "," ","|",4))-FIND("|",SUBSTITUTE($H1023&amp;" "," ","|",3))-1),""))</f>
        <v/>
      </c>
      <c r="F1023" s="59">
        <f>IF($H1023="","",IFERROR(VALUE(IFERROR(MID($H1023&amp;" ",FIND("|",SUBSTITUTE($H1023&amp;" "," ","|",4))+1,FIND("|",SUBSTITUTE($H1023&amp;" "," ","|",5))-FIND("|",SUBSTITUTE($H1023&amp;" "," ","|",4))-1),""))/86400+25569+9/24,""))</f>
        <v/>
      </c>
      <c r="G1023" s="58">
        <f>TRIM(SUBSTITUTE(SUBSTITUTE(SUBSTITUTE($A1023,CHAR(9)," ")," "," "),CHAR(13),""))</f>
        <v/>
      </c>
      <c r="H1023" s="58">
        <f>IF($G1023="","",IF(ISNUMBER(FIND(" ",$G1023)),$G1023,IFERROR(IF((LEN(SUBSTITUTE(SUBSTITUTE($G1023,"-"," ",LEN($G1023)-LEN(SUBSTITUTE($G1023,"-",""))),"-"," ",LEN($G1023)-LEN(SUBSTITUTE($G1023,"-",""))-1))-LEN(SUBSTITUTE(SUBSTITUTE(SUBSTITUTE($G1023,"-"," ",LEN($G1023)-LEN(SUBSTITUTE($G1023,"-",""))),"-"," ",LEN($G1023)-LEN(SUBSTITUTE($G1023,"-",""))-1),".","")))=0,SUBSTITUTE(SUBSTITUTE($G1023,"-"," ",LEN($G1023)-LEN(SUBSTITUTE($G1023,"-",""))),"-"," ",LEN($G1023)-LEN(SUBSTITUTE($G1023,"-",""))-1),SUBSTITUTE(SUBSTITUTE(SUBSTITUTE($G1023,"-"," ",LEN($G1023)-LEN(SUBSTITUTE($G1023,"-",""))),"-"," ",LEN($G1023)-LEN(SUBSTITUTE($G1023,"-",""))-1),"."," ",(LEN(SUBSTITUTE(SUBSTITUTE($G1023,"-"," ",LEN($G1023)-LEN(SUBSTITUTE($G1023,"-",""))),"-"," ",LEN($G1023)-LEN(SUBSTITUTE($G1023,"-",""))-1))-LEN(SUBSTITUTE(SUBSTITUTE(SUBSTITUTE($G1023,"-"," ",LEN($G1023)-LEN(SUBSTITUTE($G1023,"-",""))),"-"," ",LEN($G1023)-LEN(SUBSTITUTE($G1023,"-",""))-1),".",""))))),$G1023)))</f>
        <v/>
      </c>
    </row>
    <row r="1024">
      <c r="A1024" s="58" t="n"/>
      <c r="B1024" s="58">
        <f>IF($H1024="","",LEFT($H1024,FIND(" ",$H1024&amp;" ")-1))</f>
        <v/>
      </c>
      <c r="C1024" s="58">
        <f>IF($H1024="","",IFERROR(MID($H1024&amp;" ",FIND("|",SUBSTITUTE($H1024&amp;" "," ","|",1))+1,FIND("|",SUBSTITUTE($H1024&amp;" "," ","|",2))-FIND("|",SUBSTITUTE($H1024&amp;" "," ","|",1))-1),""))</f>
        <v/>
      </c>
      <c r="D1024" s="58">
        <f>IF($H1024="","",IFERROR(MID($H1024&amp;" ",FIND("|",SUBSTITUTE($H1024&amp;" "," ","|",2))+1,FIND("|",SUBSTITUTE($H1024&amp;" "," ","|",3))-FIND("|",SUBSTITUTE($H1024&amp;" "," ","|",2))-1),""))</f>
        <v/>
      </c>
      <c r="E1024" s="58">
        <f>IF($H1024="","",IFERROR(MID($H1024&amp;" ",FIND("|",SUBSTITUTE($H1024&amp;" "," ","|",3))+1,FIND("|",SUBSTITUTE($H1024&amp;" "," ","|",4))-FIND("|",SUBSTITUTE($H1024&amp;" "," ","|",3))-1),""))</f>
        <v/>
      </c>
      <c r="F1024" s="59">
        <f>IF($H1024="","",IFERROR(VALUE(IFERROR(MID($H1024&amp;" ",FIND("|",SUBSTITUTE($H1024&amp;" "," ","|",4))+1,FIND("|",SUBSTITUTE($H1024&amp;" "," ","|",5))-FIND("|",SUBSTITUTE($H1024&amp;" "," ","|",4))-1),""))/86400+25569+9/24,""))</f>
        <v/>
      </c>
      <c r="G1024" s="58">
        <f>TRIM(SUBSTITUTE(SUBSTITUTE(SUBSTITUTE($A1024,CHAR(9)," ")," "," "),CHAR(13),""))</f>
        <v/>
      </c>
      <c r="H1024" s="58">
        <f>IF($G1024="","",IF(ISNUMBER(FIND(" ",$G1024)),$G1024,IFERROR(IF((LEN(SUBSTITUTE(SUBSTITUTE($G1024,"-"," ",LEN($G1024)-LEN(SUBSTITUTE($G1024,"-",""))),"-"," ",LEN($G1024)-LEN(SUBSTITUTE($G1024,"-",""))-1))-LEN(SUBSTITUTE(SUBSTITUTE(SUBSTITUTE($G1024,"-"," ",LEN($G1024)-LEN(SUBSTITUTE($G1024,"-",""))),"-"," ",LEN($G1024)-LEN(SUBSTITUTE($G1024,"-",""))-1),".","")))=0,SUBSTITUTE(SUBSTITUTE($G1024,"-"," ",LEN($G1024)-LEN(SUBSTITUTE($G1024,"-",""))),"-"," ",LEN($G1024)-LEN(SUBSTITUTE($G1024,"-",""))-1),SUBSTITUTE(SUBSTITUTE(SUBSTITUTE($G1024,"-"," ",LEN($G1024)-LEN(SUBSTITUTE($G1024,"-",""))),"-"," ",LEN($G1024)-LEN(SUBSTITUTE($G1024,"-",""))-1),"."," ",(LEN(SUBSTITUTE(SUBSTITUTE($G1024,"-"," ",LEN($G1024)-LEN(SUBSTITUTE($G1024,"-",""))),"-"," ",LEN($G1024)-LEN(SUBSTITUTE($G1024,"-",""))-1))-LEN(SUBSTITUTE(SUBSTITUTE(SUBSTITUTE($G1024,"-"," ",LEN($G1024)-LEN(SUBSTITUTE($G1024,"-",""))),"-"," ",LEN($G1024)-LEN(SUBSTITUTE($G1024,"-",""))-1),".",""))))),$G1024)))</f>
        <v/>
      </c>
    </row>
    <row r="1025">
      <c r="A1025" s="58" t="n"/>
      <c r="B1025" s="58">
        <f>IF($H1025="","",LEFT($H1025,FIND(" ",$H1025&amp;" ")-1))</f>
        <v/>
      </c>
      <c r="C1025" s="58">
        <f>IF($H1025="","",IFERROR(MID($H1025&amp;" ",FIND("|",SUBSTITUTE($H1025&amp;" "," ","|",1))+1,FIND("|",SUBSTITUTE($H1025&amp;" "," ","|",2))-FIND("|",SUBSTITUTE($H1025&amp;" "," ","|",1))-1),""))</f>
        <v/>
      </c>
      <c r="D1025" s="58">
        <f>IF($H1025="","",IFERROR(MID($H1025&amp;" ",FIND("|",SUBSTITUTE($H1025&amp;" "," ","|",2))+1,FIND("|",SUBSTITUTE($H1025&amp;" "," ","|",3))-FIND("|",SUBSTITUTE($H1025&amp;" "," ","|",2))-1),""))</f>
        <v/>
      </c>
      <c r="E1025" s="58">
        <f>IF($H1025="","",IFERROR(MID($H1025&amp;" ",FIND("|",SUBSTITUTE($H1025&amp;" "," ","|",3))+1,FIND("|",SUBSTITUTE($H1025&amp;" "," ","|",4))-FIND("|",SUBSTITUTE($H1025&amp;" "," ","|",3))-1),""))</f>
        <v/>
      </c>
      <c r="F1025" s="59">
        <f>IF($H1025="","",IFERROR(VALUE(IFERROR(MID($H1025&amp;" ",FIND("|",SUBSTITUTE($H1025&amp;" "," ","|",4))+1,FIND("|",SUBSTITUTE($H1025&amp;" "," ","|",5))-FIND("|",SUBSTITUTE($H1025&amp;" "," ","|",4))-1),""))/86400+25569+9/24,""))</f>
        <v/>
      </c>
      <c r="G1025" s="58">
        <f>TRIM(SUBSTITUTE(SUBSTITUTE(SUBSTITUTE($A1025,CHAR(9)," ")," "," "),CHAR(13),""))</f>
        <v/>
      </c>
      <c r="H1025" s="58">
        <f>IF($G1025="","",IF(ISNUMBER(FIND(" ",$G1025)),$G1025,IFERROR(IF((LEN(SUBSTITUTE(SUBSTITUTE($G1025,"-"," ",LEN($G1025)-LEN(SUBSTITUTE($G1025,"-",""))),"-"," ",LEN($G1025)-LEN(SUBSTITUTE($G1025,"-",""))-1))-LEN(SUBSTITUTE(SUBSTITUTE(SUBSTITUTE($G1025,"-"," ",LEN($G1025)-LEN(SUBSTITUTE($G1025,"-",""))),"-"," ",LEN($G1025)-LEN(SUBSTITUTE($G1025,"-",""))-1),".","")))=0,SUBSTITUTE(SUBSTITUTE($G1025,"-"," ",LEN($G1025)-LEN(SUBSTITUTE($G1025,"-",""))),"-"," ",LEN($G1025)-LEN(SUBSTITUTE($G1025,"-",""))-1),SUBSTITUTE(SUBSTITUTE(SUBSTITUTE($G1025,"-"," ",LEN($G1025)-LEN(SUBSTITUTE($G1025,"-",""))),"-"," ",LEN($G1025)-LEN(SUBSTITUTE($G1025,"-",""))-1),"."," ",(LEN(SUBSTITUTE(SUBSTITUTE($G1025,"-"," ",LEN($G1025)-LEN(SUBSTITUTE($G1025,"-",""))),"-"," ",LEN($G1025)-LEN(SUBSTITUTE($G1025,"-",""))-1))-LEN(SUBSTITUTE(SUBSTITUTE(SUBSTITUTE($G1025,"-"," ",LEN($G1025)-LEN(SUBSTITUTE($G1025,"-",""))),"-"," ",LEN($G1025)-LEN(SUBSTITUTE($G1025,"-",""))-1),".",""))))),$G1025)))</f>
        <v/>
      </c>
    </row>
    <row r="1026">
      <c r="A1026" s="58" t="n"/>
      <c r="B1026" s="58">
        <f>IF($H1026="","",LEFT($H1026,FIND(" ",$H1026&amp;" ")-1))</f>
        <v/>
      </c>
      <c r="C1026" s="58">
        <f>IF($H1026="","",IFERROR(MID($H1026&amp;" ",FIND("|",SUBSTITUTE($H1026&amp;" "," ","|",1))+1,FIND("|",SUBSTITUTE($H1026&amp;" "," ","|",2))-FIND("|",SUBSTITUTE($H1026&amp;" "," ","|",1))-1),""))</f>
        <v/>
      </c>
      <c r="D1026" s="58">
        <f>IF($H1026="","",IFERROR(MID($H1026&amp;" ",FIND("|",SUBSTITUTE($H1026&amp;" "," ","|",2))+1,FIND("|",SUBSTITUTE($H1026&amp;" "," ","|",3))-FIND("|",SUBSTITUTE($H1026&amp;" "," ","|",2))-1),""))</f>
        <v/>
      </c>
      <c r="E1026" s="58">
        <f>IF($H1026="","",IFERROR(MID($H1026&amp;" ",FIND("|",SUBSTITUTE($H1026&amp;" "," ","|",3))+1,FIND("|",SUBSTITUTE($H1026&amp;" "," ","|",4))-FIND("|",SUBSTITUTE($H1026&amp;" "," ","|",3))-1),""))</f>
        <v/>
      </c>
      <c r="F1026" s="59">
        <f>IF($H1026="","",IFERROR(VALUE(IFERROR(MID($H1026&amp;" ",FIND("|",SUBSTITUTE($H1026&amp;" "," ","|",4))+1,FIND("|",SUBSTITUTE($H1026&amp;" "," ","|",5))-FIND("|",SUBSTITUTE($H1026&amp;" "," ","|",4))-1),""))/86400+25569+9/24,""))</f>
        <v/>
      </c>
      <c r="G1026" s="58">
        <f>TRIM(SUBSTITUTE(SUBSTITUTE(SUBSTITUTE($A1026,CHAR(9)," ")," "," "),CHAR(13),""))</f>
        <v/>
      </c>
      <c r="H1026" s="58">
        <f>IF($G1026="","",IF(ISNUMBER(FIND(" ",$G1026)),$G1026,IFERROR(IF((LEN(SUBSTITUTE(SUBSTITUTE($G1026,"-"," ",LEN($G1026)-LEN(SUBSTITUTE($G1026,"-",""))),"-"," ",LEN($G1026)-LEN(SUBSTITUTE($G1026,"-",""))-1))-LEN(SUBSTITUTE(SUBSTITUTE(SUBSTITUTE($G1026,"-"," ",LEN($G1026)-LEN(SUBSTITUTE($G1026,"-",""))),"-"," ",LEN($G1026)-LEN(SUBSTITUTE($G1026,"-",""))-1),".","")))=0,SUBSTITUTE(SUBSTITUTE($G1026,"-"," ",LEN($G1026)-LEN(SUBSTITUTE($G1026,"-",""))),"-"," ",LEN($G1026)-LEN(SUBSTITUTE($G1026,"-",""))-1),SUBSTITUTE(SUBSTITUTE(SUBSTITUTE($G1026,"-"," ",LEN($G1026)-LEN(SUBSTITUTE($G1026,"-",""))),"-"," ",LEN($G1026)-LEN(SUBSTITUTE($G1026,"-",""))-1),"."," ",(LEN(SUBSTITUTE(SUBSTITUTE($G1026,"-"," ",LEN($G1026)-LEN(SUBSTITUTE($G1026,"-",""))),"-"," ",LEN($G1026)-LEN(SUBSTITUTE($G1026,"-",""))-1))-LEN(SUBSTITUTE(SUBSTITUTE(SUBSTITUTE($G1026,"-"," ",LEN($G1026)-LEN(SUBSTITUTE($G1026,"-",""))),"-"," ",LEN($G1026)-LEN(SUBSTITUTE($G1026,"-",""))-1),".",""))))),$G1026)))</f>
        <v/>
      </c>
    </row>
    <row r="1027">
      <c r="A1027" s="58" t="n"/>
      <c r="B1027" s="58">
        <f>IF($H1027="","",LEFT($H1027,FIND(" ",$H1027&amp;" ")-1))</f>
        <v/>
      </c>
      <c r="C1027" s="58">
        <f>IF($H1027="","",IFERROR(MID($H1027&amp;" ",FIND("|",SUBSTITUTE($H1027&amp;" "," ","|",1))+1,FIND("|",SUBSTITUTE($H1027&amp;" "," ","|",2))-FIND("|",SUBSTITUTE($H1027&amp;" "," ","|",1))-1),""))</f>
        <v/>
      </c>
      <c r="D1027" s="58">
        <f>IF($H1027="","",IFERROR(MID($H1027&amp;" ",FIND("|",SUBSTITUTE($H1027&amp;" "," ","|",2))+1,FIND("|",SUBSTITUTE($H1027&amp;" "," ","|",3))-FIND("|",SUBSTITUTE($H1027&amp;" "," ","|",2))-1),""))</f>
        <v/>
      </c>
      <c r="E1027" s="58">
        <f>IF($H1027="","",IFERROR(MID($H1027&amp;" ",FIND("|",SUBSTITUTE($H1027&amp;" "," ","|",3))+1,FIND("|",SUBSTITUTE($H1027&amp;" "," ","|",4))-FIND("|",SUBSTITUTE($H1027&amp;" "," ","|",3))-1),""))</f>
        <v/>
      </c>
      <c r="F1027" s="59">
        <f>IF($H1027="","",IFERROR(VALUE(IFERROR(MID($H1027&amp;" ",FIND("|",SUBSTITUTE($H1027&amp;" "," ","|",4))+1,FIND("|",SUBSTITUTE($H1027&amp;" "," ","|",5))-FIND("|",SUBSTITUTE($H1027&amp;" "," ","|",4))-1),""))/86400+25569+9/24,""))</f>
        <v/>
      </c>
      <c r="G1027" s="58">
        <f>TRIM(SUBSTITUTE(SUBSTITUTE(SUBSTITUTE($A1027,CHAR(9)," ")," "," "),CHAR(13),""))</f>
        <v/>
      </c>
      <c r="H1027" s="58">
        <f>IF($G1027="","",IF(ISNUMBER(FIND(" ",$G1027)),$G1027,IFERROR(IF((LEN(SUBSTITUTE(SUBSTITUTE($G1027,"-"," ",LEN($G1027)-LEN(SUBSTITUTE($G1027,"-",""))),"-"," ",LEN($G1027)-LEN(SUBSTITUTE($G1027,"-",""))-1))-LEN(SUBSTITUTE(SUBSTITUTE(SUBSTITUTE($G1027,"-"," ",LEN($G1027)-LEN(SUBSTITUTE($G1027,"-",""))),"-"," ",LEN($G1027)-LEN(SUBSTITUTE($G1027,"-",""))-1),".","")))=0,SUBSTITUTE(SUBSTITUTE($G1027,"-"," ",LEN($G1027)-LEN(SUBSTITUTE($G1027,"-",""))),"-"," ",LEN($G1027)-LEN(SUBSTITUTE($G1027,"-",""))-1),SUBSTITUTE(SUBSTITUTE(SUBSTITUTE($G1027,"-"," ",LEN($G1027)-LEN(SUBSTITUTE($G1027,"-",""))),"-"," ",LEN($G1027)-LEN(SUBSTITUTE($G1027,"-",""))-1),"."," ",(LEN(SUBSTITUTE(SUBSTITUTE($G1027,"-"," ",LEN($G1027)-LEN(SUBSTITUTE($G1027,"-",""))),"-"," ",LEN($G1027)-LEN(SUBSTITUTE($G1027,"-",""))-1))-LEN(SUBSTITUTE(SUBSTITUTE(SUBSTITUTE($G1027,"-"," ",LEN($G1027)-LEN(SUBSTITUTE($G1027,"-",""))),"-"," ",LEN($G1027)-LEN(SUBSTITUTE($G1027,"-",""))-1),".",""))))),$G1027)))</f>
        <v/>
      </c>
    </row>
    <row r="1028">
      <c r="A1028" s="58" t="n"/>
      <c r="B1028" s="58">
        <f>IF($H1028="","",LEFT($H1028,FIND(" ",$H1028&amp;" ")-1))</f>
        <v/>
      </c>
      <c r="C1028" s="58">
        <f>IF($H1028="","",IFERROR(MID($H1028&amp;" ",FIND("|",SUBSTITUTE($H1028&amp;" "," ","|",1))+1,FIND("|",SUBSTITUTE($H1028&amp;" "," ","|",2))-FIND("|",SUBSTITUTE($H1028&amp;" "," ","|",1))-1),""))</f>
        <v/>
      </c>
      <c r="D1028" s="58">
        <f>IF($H1028="","",IFERROR(MID($H1028&amp;" ",FIND("|",SUBSTITUTE($H1028&amp;" "," ","|",2))+1,FIND("|",SUBSTITUTE($H1028&amp;" "," ","|",3))-FIND("|",SUBSTITUTE($H1028&amp;" "," ","|",2))-1),""))</f>
        <v/>
      </c>
      <c r="E1028" s="58">
        <f>IF($H1028="","",IFERROR(MID($H1028&amp;" ",FIND("|",SUBSTITUTE($H1028&amp;" "," ","|",3))+1,FIND("|",SUBSTITUTE($H1028&amp;" "," ","|",4))-FIND("|",SUBSTITUTE($H1028&amp;" "," ","|",3))-1),""))</f>
        <v/>
      </c>
      <c r="F1028" s="59">
        <f>IF($H1028="","",IFERROR(VALUE(IFERROR(MID($H1028&amp;" ",FIND("|",SUBSTITUTE($H1028&amp;" "," ","|",4))+1,FIND("|",SUBSTITUTE($H1028&amp;" "," ","|",5))-FIND("|",SUBSTITUTE($H1028&amp;" "," ","|",4))-1),""))/86400+25569+9/24,""))</f>
        <v/>
      </c>
      <c r="G1028" s="58">
        <f>TRIM(SUBSTITUTE(SUBSTITUTE(SUBSTITUTE($A1028,CHAR(9)," ")," "," "),CHAR(13),""))</f>
        <v/>
      </c>
      <c r="H1028" s="58">
        <f>IF($G1028="","",IF(ISNUMBER(FIND(" ",$G1028)),$G1028,IFERROR(IF((LEN(SUBSTITUTE(SUBSTITUTE($G1028,"-"," ",LEN($G1028)-LEN(SUBSTITUTE($G1028,"-",""))),"-"," ",LEN($G1028)-LEN(SUBSTITUTE($G1028,"-",""))-1))-LEN(SUBSTITUTE(SUBSTITUTE(SUBSTITUTE($G1028,"-"," ",LEN($G1028)-LEN(SUBSTITUTE($G1028,"-",""))),"-"," ",LEN($G1028)-LEN(SUBSTITUTE($G1028,"-",""))-1),".","")))=0,SUBSTITUTE(SUBSTITUTE($G1028,"-"," ",LEN($G1028)-LEN(SUBSTITUTE($G1028,"-",""))),"-"," ",LEN($G1028)-LEN(SUBSTITUTE($G1028,"-",""))-1),SUBSTITUTE(SUBSTITUTE(SUBSTITUTE($G1028,"-"," ",LEN($G1028)-LEN(SUBSTITUTE($G1028,"-",""))),"-"," ",LEN($G1028)-LEN(SUBSTITUTE($G1028,"-",""))-1),"."," ",(LEN(SUBSTITUTE(SUBSTITUTE($G1028,"-"," ",LEN($G1028)-LEN(SUBSTITUTE($G1028,"-",""))),"-"," ",LEN($G1028)-LEN(SUBSTITUTE($G1028,"-",""))-1))-LEN(SUBSTITUTE(SUBSTITUTE(SUBSTITUTE($G1028,"-"," ",LEN($G1028)-LEN(SUBSTITUTE($G1028,"-",""))),"-"," ",LEN($G1028)-LEN(SUBSTITUTE($G1028,"-",""))-1),".",""))))),$G1028)))</f>
        <v/>
      </c>
    </row>
    <row r="1029">
      <c r="A1029" s="58" t="n"/>
      <c r="B1029" s="58">
        <f>IF($H1029="","",LEFT($H1029,FIND(" ",$H1029&amp;" ")-1))</f>
        <v/>
      </c>
      <c r="C1029" s="58">
        <f>IF($H1029="","",IFERROR(MID($H1029&amp;" ",FIND("|",SUBSTITUTE($H1029&amp;" "," ","|",1))+1,FIND("|",SUBSTITUTE($H1029&amp;" "," ","|",2))-FIND("|",SUBSTITUTE($H1029&amp;" "," ","|",1))-1),""))</f>
        <v/>
      </c>
      <c r="D1029" s="58">
        <f>IF($H1029="","",IFERROR(MID($H1029&amp;" ",FIND("|",SUBSTITUTE($H1029&amp;" "," ","|",2))+1,FIND("|",SUBSTITUTE($H1029&amp;" "," ","|",3))-FIND("|",SUBSTITUTE($H1029&amp;" "," ","|",2))-1),""))</f>
        <v/>
      </c>
      <c r="E1029" s="58">
        <f>IF($H1029="","",IFERROR(MID($H1029&amp;" ",FIND("|",SUBSTITUTE($H1029&amp;" "," ","|",3))+1,FIND("|",SUBSTITUTE($H1029&amp;" "," ","|",4))-FIND("|",SUBSTITUTE($H1029&amp;" "," ","|",3))-1),""))</f>
        <v/>
      </c>
      <c r="F1029" s="59">
        <f>IF($H1029="","",IFERROR(VALUE(IFERROR(MID($H1029&amp;" ",FIND("|",SUBSTITUTE($H1029&amp;" "," ","|",4))+1,FIND("|",SUBSTITUTE($H1029&amp;" "," ","|",5))-FIND("|",SUBSTITUTE($H1029&amp;" "," ","|",4))-1),""))/86400+25569+9/24,""))</f>
        <v/>
      </c>
      <c r="G1029" s="58">
        <f>TRIM(SUBSTITUTE(SUBSTITUTE(SUBSTITUTE($A1029,CHAR(9)," ")," "," "),CHAR(13),""))</f>
        <v/>
      </c>
      <c r="H1029" s="58">
        <f>IF($G1029="","",IF(ISNUMBER(FIND(" ",$G1029)),$G1029,IFERROR(IF((LEN(SUBSTITUTE(SUBSTITUTE($G1029,"-"," ",LEN($G1029)-LEN(SUBSTITUTE($G1029,"-",""))),"-"," ",LEN($G1029)-LEN(SUBSTITUTE($G1029,"-",""))-1))-LEN(SUBSTITUTE(SUBSTITUTE(SUBSTITUTE($G1029,"-"," ",LEN($G1029)-LEN(SUBSTITUTE($G1029,"-",""))),"-"," ",LEN($G1029)-LEN(SUBSTITUTE($G1029,"-",""))-1),".","")))=0,SUBSTITUTE(SUBSTITUTE($G1029,"-"," ",LEN($G1029)-LEN(SUBSTITUTE($G1029,"-",""))),"-"," ",LEN($G1029)-LEN(SUBSTITUTE($G1029,"-",""))-1),SUBSTITUTE(SUBSTITUTE(SUBSTITUTE($G1029,"-"," ",LEN($G1029)-LEN(SUBSTITUTE($G1029,"-",""))),"-"," ",LEN($G1029)-LEN(SUBSTITUTE($G1029,"-",""))-1),"."," ",(LEN(SUBSTITUTE(SUBSTITUTE($G1029,"-"," ",LEN($G1029)-LEN(SUBSTITUTE($G1029,"-",""))),"-"," ",LEN($G1029)-LEN(SUBSTITUTE($G1029,"-",""))-1))-LEN(SUBSTITUTE(SUBSTITUTE(SUBSTITUTE($G1029,"-"," ",LEN($G1029)-LEN(SUBSTITUTE($G1029,"-",""))),"-"," ",LEN($G1029)-LEN(SUBSTITUTE($G1029,"-",""))-1),".",""))))),$G1029)))</f>
        <v/>
      </c>
    </row>
    <row r="1030">
      <c r="A1030" s="58" t="n"/>
      <c r="B1030" s="58">
        <f>IF($H1030="","",LEFT($H1030,FIND(" ",$H1030&amp;" ")-1))</f>
        <v/>
      </c>
      <c r="C1030" s="58">
        <f>IF($H1030="","",IFERROR(MID($H1030&amp;" ",FIND("|",SUBSTITUTE($H1030&amp;" "," ","|",1))+1,FIND("|",SUBSTITUTE($H1030&amp;" "," ","|",2))-FIND("|",SUBSTITUTE($H1030&amp;" "," ","|",1))-1),""))</f>
        <v/>
      </c>
      <c r="D1030" s="58">
        <f>IF($H1030="","",IFERROR(MID($H1030&amp;" ",FIND("|",SUBSTITUTE($H1030&amp;" "," ","|",2))+1,FIND("|",SUBSTITUTE($H1030&amp;" "," ","|",3))-FIND("|",SUBSTITUTE($H1030&amp;" "," ","|",2))-1),""))</f>
        <v/>
      </c>
      <c r="E1030" s="58">
        <f>IF($H1030="","",IFERROR(MID($H1030&amp;" ",FIND("|",SUBSTITUTE($H1030&amp;" "," ","|",3))+1,FIND("|",SUBSTITUTE($H1030&amp;" "," ","|",4))-FIND("|",SUBSTITUTE($H1030&amp;" "," ","|",3))-1),""))</f>
        <v/>
      </c>
      <c r="F1030" s="59">
        <f>IF($H1030="","",IFERROR(VALUE(IFERROR(MID($H1030&amp;" ",FIND("|",SUBSTITUTE($H1030&amp;" "," ","|",4))+1,FIND("|",SUBSTITUTE($H1030&amp;" "," ","|",5))-FIND("|",SUBSTITUTE($H1030&amp;" "," ","|",4))-1),""))/86400+25569+9/24,""))</f>
        <v/>
      </c>
      <c r="G1030" s="58">
        <f>TRIM(SUBSTITUTE(SUBSTITUTE(SUBSTITUTE($A1030,CHAR(9)," ")," "," "),CHAR(13),""))</f>
        <v/>
      </c>
      <c r="H1030" s="58">
        <f>IF($G1030="","",IF(ISNUMBER(FIND(" ",$G1030)),$G1030,IFERROR(IF((LEN(SUBSTITUTE(SUBSTITUTE($G1030,"-"," ",LEN($G1030)-LEN(SUBSTITUTE($G1030,"-",""))),"-"," ",LEN($G1030)-LEN(SUBSTITUTE($G1030,"-",""))-1))-LEN(SUBSTITUTE(SUBSTITUTE(SUBSTITUTE($G1030,"-"," ",LEN($G1030)-LEN(SUBSTITUTE($G1030,"-",""))),"-"," ",LEN($G1030)-LEN(SUBSTITUTE($G1030,"-",""))-1),".","")))=0,SUBSTITUTE(SUBSTITUTE($G1030,"-"," ",LEN($G1030)-LEN(SUBSTITUTE($G1030,"-",""))),"-"," ",LEN($G1030)-LEN(SUBSTITUTE($G1030,"-",""))-1),SUBSTITUTE(SUBSTITUTE(SUBSTITUTE($G1030,"-"," ",LEN($G1030)-LEN(SUBSTITUTE($G1030,"-",""))),"-"," ",LEN($G1030)-LEN(SUBSTITUTE($G1030,"-",""))-1),"."," ",(LEN(SUBSTITUTE(SUBSTITUTE($G1030,"-"," ",LEN($G1030)-LEN(SUBSTITUTE($G1030,"-",""))),"-"," ",LEN($G1030)-LEN(SUBSTITUTE($G1030,"-",""))-1))-LEN(SUBSTITUTE(SUBSTITUTE(SUBSTITUTE($G1030,"-"," ",LEN($G1030)-LEN(SUBSTITUTE($G1030,"-",""))),"-"," ",LEN($G1030)-LEN(SUBSTITUTE($G1030,"-",""))-1),".",""))))),$G1030)))</f>
        <v/>
      </c>
    </row>
    <row r="1031">
      <c r="A1031" s="58" t="n"/>
      <c r="B1031" s="58">
        <f>IF($H1031="","",LEFT($H1031,FIND(" ",$H1031&amp;" ")-1))</f>
        <v/>
      </c>
      <c r="C1031" s="58">
        <f>IF($H1031="","",IFERROR(MID($H1031&amp;" ",FIND("|",SUBSTITUTE($H1031&amp;" "," ","|",1))+1,FIND("|",SUBSTITUTE($H1031&amp;" "," ","|",2))-FIND("|",SUBSTITUTE($H1031&amp;" "," ","|",1))-1),""))</f>
        <v/>
      </c>
      <c r="D1031" s="58">
        <f>IF($H1031="","",IFERROR(MID($H1031&amp;" ",FIND("|",SUBSTITUTE($H1031&amp;" "," ","|",2))+1,FIND("|",SUBSTITUTE($H1031&amp;" "," ","|",3))-FIND("|",SUBSTITUTE($H1031&amp;" "," ","|",2))-1),""))</f>
        <v/>
      </c>
      <c r="E1031" s="58">
        <f>IF($H1031="","",IFERROR(MID($H1031&amp;" ",FIND("|",SUBSTITUTE($H1031&amp;" "," ","|",3))+1,FIND("|",SUBSTITUTE($H1031&amp;" "," ","|",4))-FIND("|",SUBSTITUTE($H1031&amp;" "," ","|",3))-1),""))</f>
        <v/>
      </c>
      <c r="F1031" s="59">
        <f>IF($H1031="","",IFERROR(VALUE(IFERROR(MID($H1031&amp;" ",FIND("|",SUBSTITUTE($H1031&amp;" "," ","|",4))+1,FIND("|",SUBSTITUTE($H1031&amp;" "," ","|",5))-FIND("|",SUBSTITUTE($H1031&amp;" "," ","|",4))-1),""))/86400+25569+9/24,""))</f>
        <v/>
      </c>
      <c r="G1031" s="58">
        <f>TRIM(SUBSTITUTE(SUBSTITUTE(SUBSTITUTE($A1031,CHAR(9)," ")," "," "),CHAR(13),""))</f>
        <v/>
      </c>
      <c r="H1031" s="58">
        <f>IF($G1031="","",IF(ISNUMBER(FIND(" ",$G1031)),$G1031,IFERROR(IF((LEN(SUBSTITUTE(SUBSTITUTE($G1031,"-"," ",LEN($G1031)-LEN(SUBSTITUTE($G1031,"-",""))),"-"," ",LEN($G1031)-LEN(SUBSTITUTE($G1031,"-",""))-1))-LEN(SUBSTITUTE(SUBSTITUTE(SUBSTITUTE($G1031,"-"," ",LEN($G1031)-LEN(SUBSTITUTE($G1031,"-",""))),"-"," ",LEN($G1031)-LEN(SUBSTITUTE($G1031,"-",""))-1),".","")))=0,SUBSTITUTE(SUBSTITUTE($G1031,"-"," ",LEN($G1031)-LEN(SUBSTITUTE($G1031,"-",""))),"-"," ",LEN($G1031)-LEN(SUBSTITUTE($G1031,"-",""))-1),SUBSTITUTE(SUBSTITUTE(SUBSTITUTE($G1031,"-"," ",LEN($G1031)-LEN(SUBSTITUTE($G1031,"-",""))),"-"," ",LEN($G1031)-LEN(SUBSTITUTE($G1031,"-",""))-1),"."," ",(LEN(SUBSTITUTE(SUBSTITUTE($G1031,"-"," ",LEN($G1031)-LEN(SUBSTITUTE($G1031,"-",""))),"-"," ",LEN($G1031)-LEN(SUBSTITUTE($G1031,"-",""))-1))-LEN(SUBSTITUTE(SUBSTITUTE(SUBSTITUTE($G1031,"-"," ",LEN($G1031)-LEN(SUBSTITUTE($G1031,"-",""))),"-"," ",LEN($G1031)-LEN(SUBSTITUTE($G1031,"-",""))-1),".",""))))),$G1031)))</f>
        <v/>
      </c>
    </row>
    <row r="1032">
      <c r="A1032" s="58" t="n"/>
      <c r="B1032" s="58">
        <f>IF($H1032="","",LEFT($H1032,FIND(" ",$H1032&amp;" ")-1))</f>
        <v/>
      </c>
      <c r="C1032" s="58">
        <f>IF($H1032="","",IFERROR(MID($H1032&amp;" ",FIND("|",SUBSTITUTE($H1032&amp;" "," ","|",1))+1,FIND("|",SUBSTITUTE($H1032&amp;" "," ","|",2))-FIND("|",SUBSTITUTE($H1032&amp;" "," ","|",1))-1),""))</f>
        <v/>
      </c>
      <c r="D1032" s="58">
        <f>IF($H1032="","",IFERROR(MID($H1032&amp;" ",FIND("|",SUBSTITUTE($H1032&amp;" "," ","|",2))+1,FIND("|",SUBSTITUTE($H1032&amp;" "," ","|",3))-FIND("|",SUBSTITUTE($H1032&amp;" "," ","|",2))-1),""))</f>
        <v/>
      </c>
      <c r="E1032" s="58">
        <f>IF($H1032="","",IFERROR(MID($H1032&amp;" ",FIND("|",SUBSTITUTE($H1032&amp;" "," ","|",3))+1,FIND("|",SUBSTITUTE($H1032&amp;" "," ","|",4))-FIND("|",SUBSTITUTE($H1032&amp;" "," ","|",3))-1),""))</f>
        <v/>
      </c>
      <c r="F1032" s="59">
        <f>IF($H1032="","",IFERROR(VALUE(IFERROR(MID($H1032&amp;" ",FIND("|",SUBSTITUTE($H1032&amp;" "," ","|",4))+1,FIND("|",SUBSTITUTE($H1032&amp;" "," ","|",5))-FIND("|",SUBSTITUTE($H1032&amp;" "," ","|",4))-1),""))/86400+25569+9/24,""))</f>
        <v/>
      </c>
      <c r="G1032" s="58">
        <f>TRIM(SUBSTITUTE(SUBSTITUTE(SUBSTITUTE($A1032,CHAR(9)," ")," "," "),CHAR(13),""))</f>
        <v/>
      </c>
      <c r="H1032" s="58">
        <f>IF($G1032="","",IF(ISNUMBER(FIND(" ",$G1032)),$G1032,IFERROR(IF((LEN(SUBSTITUTE(SUBSTITUTE($G1032,"-"," ",LEN($G1032)-LEN(SUBSTITUTE($G1032,"-",""))),"-"," ",LEN($G1032)-LEN(SUBSTITUTE($G1032,"-",""))-1))-LEN(SUBSTITUTE(SUBSTITUTE(SUBSTITUTE($G1032,"-"," ",LEN($G1032)-LEN(SUBSTITUTE($G1032,"-",""))),"-"," ",LEN($G1032)-LEN(SUBSTITUTE($G1032,"-",""))-1),".","")))=0,SUBSTITUTE(SUBSTITUTE($G1032,"-"," ",LEN($G1032)-LEN(SUBSTITUTE($G1032,"-",""))),"-"," ",LEN($G1032)-LEN(SUBSTITUTE($G1032,"-",""))-1),SUBSTITUTE(SUBSTITUTE(SUBSTITUTE($G1032,"-"," ",LEN($G1032)-LEN(SUBSTITUTE($G1032,"-",""))),"-"," ",LEN($G1032)-LEN(SUBSTITUTE($G1032,"-",""))-1),"."," ",(LEN(SUBSTITUTE(SUBSTITUTE($G1032,"-"," ",LEN($G1032)-LEN(SUBSTITUTE($G1032,"-",""))),"-"," ",LEN($G1032)-LEN(SUBSTITUTE($G1032,"-",""))-1))-LEN(SUBSTITUTE(SUBSTITUTE(SUBSTITUTE($G1032,"-"," ",LEN($G1032)-LEN(SUBSTITUTE($G1032,"-",""))),"-"," ",LEN($G1032)-LEN(SUBSTITUTE($G1032,"-",""))-1),".",""))))),$G1032)))</f>
        <v/>
      </c>
    </row>
    <row r="1033">
      <c r="A1033" s="58" t="n"/>
      <c r="B1033" s="58">
        <f>IF($H1033="","",LEFT($H1033,FIND(" ",$H1033&amp;" ")-1))</f>
        <v/>
      </c>
      <c r="C1033" s="58">
        <f>IF($H1033="","",IFERROR(MID($H1033&amp;" ",FIND("|",SUBSTITUTE($H1033&amp;" "," ","|",1))+1,FIND("|",SUBSTITUTE($H1033&amp;" "," ","|",2))-FIND("|",SUBSTITUTE($H1033&amp;" "," ","|",1))-1),""))</f>
        <v/>
      </c>
      <c r="D1033" s="58">
        <f>IF($H1033="","",IFERROR(MID($H1033&amp;" ",FIND("|",SUBSTITUTE($H1033&amp;" "," ","|",2))+1,FIND("|",SUBSTITUTE($H1033&amp;" "," ","|",3))-FIND("|",SUBSTITUTE($H1033&amp;" "," ","|",2))-1),""))</f>
        <v/>
      </c>
      <c r="E1033" s="58">
        <f>IF($H1033="","",IFERROR(MID($H1033&amp;" ",FIND("|",SUBSTITUTE($H1033&amp;" "," ","|",3))+1,FIND("|",SUBSTITUTE($H1033&amp;" "," ","|",4))-FIND("|",SUBSTITUTE($H1033&amp;" "," ","|",3))-1),""))</f>
        <v/>
      </c>
      <c r="F1033" s="59">
        <f>IF($H1033="","",IFERROR(VALUE(IFERROR(MID($H1033&amp;" ",FIND("|",SUBSTITUTE($H1033&amp;" "," ","|",4))+1,FIND("|",SUBSTITUTE($H1033&amp;" "," ","|",5))-FIND("|",SUBSTITUTE($H1033&amp;" "," ","|",4))-1),""))/86400+25569+9/24,""))</f>
        <v/>
      </c>
      <c r="G1033" s="58">
        <f>TRIM(SUBSTITUTE(SUBSTITUTE(SUBSTITUTE($A1033,CHAR(9)," ")," "," "),CHAR(13),""))</f>
        <v/>
      </c>
      <c r="H1033" s="58">
        <f>IF($G1033="","",IF(ISNUMBER(FIND(" ",$G1033)),$G1033,IFERROR(IF((LEN(SUBSTITUTE(SUBSTITUTE($G1033,"-"," ",LEN($G1033)-LEN(SUBSTITUTE($G1033,"-",""))),"-"," ",LEN($G1033)-LEN(SUBSTITUTE($G1033,"-",""))-1))-LEN(SUBSTITUTE(SUBSTITUTE(SUBSTITUTE($G1033,"-"," ",LEN($G1033)-LEN(SUBSTITUTE($G1033,"-",""))),"-"," ",LEN($G1033)-LEN(SUBSTITUTE($G1033,"-",""))-1),".","")))=0,SUBSTITUTE(SUBSTITUTE($G1033,"-"," ",LEN($G1033)-LEN(SUBSTITUTE($G1033,"-",""))),"-"," ",LEN($G1033)-LEN(SUBSTITUTE($G1033,"-",""))-1),SUBSTITUTE(SUBSTITUTE(SUBSTITUTE($G1033,"-"," ",LEN($G1033)-LEN(SUBSTITUTE($G1033,"-",""))),"-"," ",LEN($G1033)-LEN(SUBSTITUTE($G1033,"-",""))-1),"."," ",(LEN(SUBSTITUTE(SUBSTITUTE($G1033,"-"," ",LEN($G1033)-LEN(SUBSTITUTE($G1033,"-",""))),"-"," ",LEN($G1033)-LEN(SUBSTITUTE($G1033,"-",""))-1))-LEN(SUBSTITUTE(SUBSTITUTE(SUBSTITUTE($G1033,"-"," ",LEN($G1033)-LEN(SUBSTITUTE($G1033,"-",""))),"-"," ",LEN($G1033)-LEN(SUBSTITUTE($G1033,"-",""))-1),".",""))))),$G1033)))</f>
        <v/>
      </c>
    </row>
    <row r="1034">
      <c r="A1034" s="58" t="n"/>
      <c r="B1034" s="58">
        <f>IF($H1034="","",LEFT($H1034,FIND(" ",$H1034&amp;" ")-1))</f>
        <v/>
      </c>
      <c r="C1034" s="58">
        <f>IF($H1034="","",IFERROR(MID($H1034&amp;" ",FIND("|",SUBSTITUTE($H1034&amp;" "," ","|",1))+1,FIND("|",SUBSTITUTE($H1034&amp;" "," ","|",2))-FIND("|",SUBSTITUTE($H1034&amp;" "," ","|",1))-1),""))</f>
        <v/>
      </c>
      <c r="D1034" s="58">
        <f>IF($H1034="","",IFERROR(MID($H1034&amp;" ",FIND("|",SUBSTITUTE($H1034&amp;" "," ","|",2))+1,FIND("|",SUBSTITUTE($H1034&amp;" "," ","|",3))-FIND("|",SUBSTITUTE($H1034&amp;" "," ","|",2))-1),""))</f>
        <v/>
      </c>
      <c r="E1034" s="58">
        <f>IF($H1034="","",IFERROR(MID($H1034&amp;" ",FIND("|",SUBSTITUTE($H1034&amp;" "," ","|",3))+1,FIND("|",SUBSTITUTE($H1034&amp;" "," ","|",4))-FIND("|",SUBSTITUTE($H1034&amp;" "," ","|",3))-1),""))</f>
        <v/>
      </c>
      <c r="F1034" s="59">
        <f>IF($H1034="","",IFERROR(VALUE(IFERROR(MID($H1034&amp;" ",FIND("|",SUBSTITUTE($H1034&amp;" "," ","|",4))+1,FIND("|",SUBSTITUTE($H1034&amp;" "," ","|",5))-FIND("|",SUBSTITUTE($H1034&amp;" "," ","|",4))-1),""))/86400+25569+9/24,""))</f>
        <v/>
      </c>
      <c r="G1034" s="58">
        <f>TRIM(SUBSTITUTE(SUBSTITUTE(SUBSTITUTE($A1034,CHAR(9)," ")," "," "),CHAR(13),""))</f>
        <v/>
      </c>
      <c r="H1034" s="58">
        <f>IF($G1034="","",IF(ISNUMBER(FIND(" ",$G1034)),$G1034,IFERROR(IF((LEN(SUBSTITUTE(SUBSTITUTE($G1034,"-"," ",LEN($G1034)-LEN(SUBSTITUTE($G1034,"-",""))),"-"," ",LEN($G1034)-LEN(SUBSTITUTE($G1034,"-",""))-1))-LEN(SUBSTITUTE(SUBSTITUTE(SUBSTITUTE($G1034,"-"," ",LEN($G1034)-LEN(SUBSTITUTE($G1034,"-",""))),"-"," ",LEN($G1034)-LEN(SUBSTITUTE($G1034,"-",""))-1),".","")))=0,SUBSTITUTE(SUBSTITUTE($G1034,"-"," ",LEN($G1034)-LEN(SUBSTITUTE($G1034,"-",""))),"-"," ",LEN($G1034)-LEN(SUBSTITUTE($G1034,"-",""))-1),SUBSTITUTE(SUBSTITUTE(SUBSTITUTE($G1034,"-"," ",LEN($G1034)-LEN(SUBSTITUTE($G1034,"-",""))),"-"," ",LEN($G1034)-LEN(SUBSTITUTE($G1034,"-",""))-1),"."," ",(LEN(SUBSTITUTE(SUBSTITUTE($G1034,"-"," ",LEN($G1034)-LEN(SUBSTITUTE($G1034,"-",""))),"-"," ",LEN($G1034)-LEN(SUBSTITUTE($G1034,"-",""))-1))-LEN(SUBSTITUTE(SUBSTITUTE(SUBSTITUTE($G1034,"-"," ",LEN($G1034)-LEN(SUBSTITUTE($G1034,"-",""))),"-"," ",LEN($G1034)-LEN(SUBSTITUTE($G1034,"-",""))-1),".",""))))),$G1034)))</f>
        <v/>
      </c>
    </row>
    <row r="1035">
      <c r="A1035" s="58" t="n"/>
      <c r="B1035" s="58">
        <f>IF($H1035="","",LEFT($H1035,FIND(" ",$H1035&amp;" ")-1))</f>
        <v/>
      </c>
      <c r="C1035" s="58">
        <f>IF($H1035="","",IFERROR(MID($H1035&amp;" ",FIND("|",SUBSTITUTE($H1035&amp;" "," ","|",1))+1,FIND("|",SUBSTITUTE($H1035&amp;" "," ","|",2))-FIND("|",SUBSTITUTE($H1035&amp;" "," ","|",1))-1),""))</f>
        <v/>
      </c>
      <c r="D1035" s="58">
        <f>IF($H1035="","",IFERROR(MID($H1035&amp;" ",FIND("|",SUBSTITUTE($H1035&amp;" "," ","|",2))+1,FIND("|",SUBSTITUTE($H1035&amp;" "," ","|",3))-FIND("|",SUBSTITUTE($H1035&amp;" "," ","|",2))-1),""))</f>
        <v/>
      </c>
      <c r="E1035" s="58">
        <f>IF($H1035="","",IFERROR(MID($H1035&amp;" ",FIND("|",SUBSTITUTE($H1035&amp;" "," ","|",3))+1,FIND("|",SUBSTITUTE($H1035&amp;" "," ","|",4))-FIND("|",SUBSTITUTE($H1035&amp;" "," ","|",3))-1),""))</f>
        <v/>
      </c>
      <c r="F1035" s="59">
        <f>IF($H1035="","",IFERROR(VALUE(IFERROR(MID($H1035&amp;" ",FIND("|",SUBSTITUTE($H1035&amp;" "," ","|",4))+1,FIND("|",SUBSTITUTE($H1035&amp;" "," ","|",5))-FIND("|",SUBSTITUTE($H1035&amp;" "," ","|",4))-1),""))/86400+25569+9/24,""))</f>
        <v/>
      </c>
      <c r="G1035" s="58">
        <f>TRIM(SUBSTITUTE(SUBSTITUTE(SUBSTITUTE($A1035,CHAR(9)," ")," "," "),CHAR(13),""))</f>
        <v/>
      </c>
      <c r="H1035" s="58">
        <f>IF($G1035="","",IF(ISNUMBER(FIND(" ",$G1035)),$G1035,IFERROR(IF((LEN(SUBSTITUTE(SUBSTITUTE($G1035,"-"," ",LEN($G1035)-LEN(SUBSTITUTE($G1035,"-",""))),"-"," ",LEN($G1035)-LEN(SUBSTITUTE($G1035,"-",""))-1))-LEN(SUBSTITUTE(SUBSTITUTE(SUBSTITUTE($G1035,"-"," ",LEN($G1035)-LEN(SUBSTITUTE($G1035,"-",""))),"-"," ",LEN($G1035)-LEN(SUBSTITUTE($G1035,"-",""))-1),".","")))=0,SUBSTITUTE(SUBSTITUTE($G1035,"-"," ",LEN($G1035)-LEN(SUBSTITUTE($G1035,"-",""))),"-"," ",LEN($G1035)-LEN(SUBSTITUTE($G1035,"-",""))-1),SUBSTITUTE(SUBSTITUTE(SUBSTITUTE($G1035,"-"," ",LEN($G1035)-LEN(SUBSTITUTE($G1035,"-",""))),"-"," ",LEN($G1035)-LEN(SUBSTITUTE($G1035,"-",""))-1),"."," ",(LEN(SUBSTITUTE(SUBSTITUTE($G1035,"-"," ",LEN($G1035)-LEN(SUBSTITUTE($G1035,"-",""))),"-"," ",LEN($G1035)-LEN(SUBSTITUTE($G1035,"-",""))-1))-LEN(SUBSTITUTE(SUBSTITUTE(SUBSTITUTE($G1035,"-"," ",LEN($G1035)-LEN(SUBSTITUTE($G1035,"-",""))),"-"," ",LEN($G1035)-LEN(SUBSTITUTE($G1035,"-",""))-1),".",""))))),$G1035)))</f>
        <v/>
      </c>
    </row>
    <row r="1036">
      <c r="A1036" s="58" t="n"/>
      <c r="B1036" s="58">
        <f>IF($H1036="","",LEFT($H1036,FIND(" ",$H1036&amp;" ")-1))</f>
        <v/>
      </c>
      <c r="C1036" s="58">
        <f>IF($H1036="","",IFERROR(MID($H1036&amp;" ",FIND("|",SUBSTITUTE($H1036&amp;" "," ","|",1))+1,FIND("|",SUBSTITUTE($H1036&amp;" "," ","|",2))-FIND("|",SUBSTITUTE($H1036&amp;" "," ","|",1))-1),""))</f>
        <v/>
      </c>
      <c r="D1036" s="58">
        <f>IF($H1036="","",IFERROR(MID($H1036&amp;" ",FIND("|",SUBSTITUTE($H1036&amp;" "," ","|",2))+1,FIND("|",SUBSTITUTE($H1036&amp;" "," ","|",3))-FIND("|",SUBSTITUTE($H1036&amp;" "," ","|",2))-1),""))</f>
        <v/>
      </c>
      <c r="E1036" s="58">
        <f>IF($H1036="","",IFERROR(MID($H1036&amp;" ",FIND("|",SUBSTITUTE($H1036&amp;" "," ","|",3))+1,FIND("|",SUBSTITUTE($H1036&amp;" "," ","|",4))-FIND("|",SUBSTITUTE($H1036&amp;" "," ","|",3))-1),""))</f>
        <v/>
      </c>
      <c r="F1036" s="59">
        <f>IF($H1036="","",IFERROR(VALUE(IFERROR(MID($H1036&amp;" ",FIND("|",SUBSTITUTE($H1036&amp;" "," ","|",4))+1,FIND("|",SUBSTITUTE($H1036&amp;" "," ","|",5))-FIND("|",SUBSTITUTE($H1036&amp;" "," ","|",4))-1),""))/86400+25569+9/24,""))</f>
        <v/>
      </c>
      <c r="G1036" s="58">
        <f>TRIM(SUBSTITUTE(SUBSTITUTE(SUBSTITUTE($A1036,CHAR(9)," ")," "," "),CHAR(13),""))</f>
        <v/>
      </c>
      <c r="H1036" s="58">
        <f>IF($G1036="","",IF(ISNUMBER(FIND(" ",$G1036)),$G1036,IFERROR(IF((LEN(SUBSTITUTE(SUBSTITUTE($G1036,"-"," ",LEN($G1036)-LEN(SUBSTITUTE($G1036,"-",""))),"-"," ",LEN($G1036)-LEN(SUBSTITUTE($G1036,"-",""))-1))-LEN(SUBSTITUTE(SUBSTITUTE(SUBSTITUTE($G1036,"-"," ",LEN($G1036)-LEN(SUBSTITUTE($G1036,"-",""))),"-"," ",LEN($G1036)-LEN(SUBSTITUTE($G1036,"-",""))-1),".","")))=0,SUBSTITUTE(SUBSTITUTE($G1036,"-"," ",LEN($G1036)-LEN(SUBSTITUTE($G1036,"-",""))),"-"," ",LEN($G1036)-LEN(SUBSTITUTE($G1036,"-",""))-1),SUBSTITUTE(SUBSTITUTE(SUBSTITUTE($G1036,"-"," ",LEN($G1036)-LEN(SUBSTITUTE($G1036,"-",""))),"-"," ",LEN($G1036)-LEN(SUBSTITUTE($G1036,"-",""))-1),"."," ",(LEN(SUBSTITUTE(SUBSTITUTE($G1036,"-"," ",LEN($G1036)-LEN(SUBSTITUTE($G1036,"-",""))),"-"," ",LEN($G1036)-LEN(SUBSTITUTE($G1036,"-",""))-1))-LEN(SUBSTITUTE(SUBSTITUTE(SUBSTITUTE($G1036,"-"," ",LEN($G1036)-LEN(SUBSTITUTE($G1036,"-",""))),"-"," ",LEN($G1036)-LEN(SUBSTITUTE($G1036,"-",""))-1),".",""))))),$G1036)))</f>
        <v/>
      </c>
    </row>
    <row r="1037">
      <c r="A1037" s="58" t="n"/>
      <c r="B1037" s="58">
        <f>IF($H1037="","",LEFT($H1037,FIND(" ",$H1037&amp;" ")-1))</f>
        <v/>
      </c>
      <c r="C1037" s="58">
        <f>IF($H1037="","",IFERROR(MID($H1037&amp;" ",FIND("|",SUBSTITUTE($H1037&amp;" "," ","|",1))+1,FIND("|",SUBSTITUTE($H1037&amp;" "," ","|",2))-FIND("|",SUBSTITUTE($H1037&amp;" "," ","|",1))-1),""))</f>
        <v/>
      </c>
      <c r="D1037" s="58">
        <f>IF($H1037="","",IFERROR(MID($H1037&amp;" ",FIND("|",SUBSTITUTE($H1037&amp;" "," ","|",2))+1,FIND("|",SUBSTITUTE($H1037&amp;" "," ","|",3))-FIND("|",SUBSTITUTE($H1037&amp;" "," ","|",2))-1),""))</f>
        <v/>
      </c>
      <c r="E1037" s="58">
        <f>IF($H1037="","",IFERROR(MID($H1037&amp;" ",FIND("|",SUBSTITUTE($H1037&amp;" "," ","|",3))+1,FIND("|",SUBSTITUTE($H1037&amp;" "," ","|",4))-FIND("|",SUBSTITUTE($H1037&amp;" "," ","|",3))-1),""))</f>
        <v/>
      </c>
      <c r="F1037" s="59">
        <f>IF($H1037="","",IFERROR(VALUE(IFERROR(MID($H1037&amp;" ",FIND("|",SUBSTITUTE($H1037&amp;" "," ","|",4))+1,FIND("|",SUBSTITUTE($H1037&amp;" "," ","|",5))-FIND("|",SUBSTITUTE($H1037&amp;" "," ","|",4))-1),""))/86400+25569+9/24,""))</f>
        <v/>
      </c>
      <c r="G1037" s="58">
        <f>TRIM(SUBSTITUTE(SUBSTITUTE(SUBSTITUTE($A1037,CHAR(9)," ")," "," "),CHAR(13),""))</f>
        <v/>
      </c>
      <c r="H1037" s="58">
        <f>IF($G1037="","",IF(ISNUMBER(FIND(" ",$G1037)),$G1037,IFERROR(IF((LEN(SUBSTITUTE(SUBSTITUTE($G1037,"-"," ",LEN($G1037)-LEN(SUBSTITUTE($G1037,"-",""))),"-"," ",LEN($G1037)-LEN(SUBSTITUTE($G1037,"-",""))-1))-LEN(SUBSTITUTE(SUBSTITUTE(SUBSTITUTE($G1037,"-"," ",LEN($G1037)-LEN(SUBSTITUTE($G1037,"-",""))),"-"," ",LEN($G1037)-LEN(SUBSTITUTE($G1037,"-",""))-1),".","")))=0,SUBSTITUTE(SUBSTITUTE($G1037,"-"," ",LEN($G1037)-LEN(SUBSTITUTE($G1037,"-",""))),"-"," ",LEN($G1037)-LEN(SUBSTITUTE($G1037,"-",""))-1),SUBSTITUTE(SUBSTITUTE(SUBSTITUTE($G1037,"-"," ",LEN($G1037)-LEN(SUBSTITUTE($G1037,"-",""))),"-"," ",LEN($G1037)-LEN(SUBSTITUTE($G1037,"-",""))-1),"."," ",(LEN(SUBSTITUTE(SUBSTITUTE($G1037,"-"," ",LEN($G1037)-LEN(SUBSTITUTE($G1037,"-",""))),"-"," ",LEN($G1037)-LEN(SUBSTITUTE($G1037,"-",""))-1))-LEN(SUBSTITUTE(SUBSTITUTE(SUBSTITUTE($G1037,"-"," ",LEN($G1037)-LEN(SUBSTITUTE($G1037,"-",""))),"-"," ",LEN($G1037)-LEN(SUBSTITUTE($G1037,"-",""))-1),".",""))))),$G1037)))</f>
        <v/>
      </c>
    </row>
    <row r="1038">
      <c r="A1038" s="58" t="n"/>
      <c r="B1038" s="58">
        <f>IF($H1038="","",LEFT($H1038,FIND(" ",$H1038&amp;" ")-1))</f>
        <v/>
      </c>
      <c r="C1038" s="58">
        <f>IF($H1038="","",IFERROR(MID($H1038&amp;" ",FIND("|",SUBSTITUTE($H1038&amp;" "," ","|",1))+1,FIND("|",SUBSTITUTE($H1038&amp;" "," ","|",2))-FIND("|",SUBSTITUTE($H1038&amp;" "," ","|",1))-1),""))</f>
        <v/>
      </c>
      <c r="D1038" s="58">
        <f>IF($H1038="","",IFERROR(MID($H1038&amp;" ",FIND("|",SUBSTITUTE($H1038&amp;" "," ","|",2))+1,FIND("|",SUBSTITUTE($H1038&amp;" "," ","|",3))-FIND("|",SUBSTITUTE($H1038&amp;" "," ","|",2))-1),""))</f>
        <v/>
      </c>
      <c r="E1038" s="58">
        <f>IF($H1038="","",IFERROR(MID($H1038&amp;" ",FIND("|",SUBSTITUTE($H1038&amp;" "," ","|",3))+1,FIND("|",SUBSTITUTE($H1038&amp;" "," ","|",4))-FIND("|",SUBSTITUTE($H1038&amp;" "," ","|",3))-1),""))</f>
        <v/>
      </c>
      <c r="F1038" s="59">
        <f>IF($H1038="","",IFERROR(VALUE(IFERROR(MID($H1038&amp;" ",FIND("|",SUBSTITUTE($H1038&amp;" "," ","|",4))+1,FIND("|",SUBSTITUTE($H1038&amp;" "," ","|",5))-FIND("|",SUBSTITUTE($H1038&amp;" "," ","|",4))-1),""))/86400+25569+9/24,""))</f>
        <v/>
      </c>
      <c r="G1038" s="58">
        <f>TRIM(SUBSTITUTE(SUBSTITUTE(SUBSTITUTE($A1038,CHAR(9)," ")," "," "),CHAR(13),""))</f>
        <v/>
      </c>
      <c r="H1038" s="58">
        <f>IF($G1038="","",IF(ISNUMBER(FIND(" ",$G1038)),$G1038,IFERROR(IF((LEN(SUBSTITUTE(SUBSTITUTE($G1038,"-"," ",LEN($G1038)-LEN(SUBSTITUTE($G1038,"-",""))),"-"," ",LEN($G1038)-LEN(SUBSTITUTE($G1038,"-",""))-1))-LEN(SUBSTITUTE(SUBSTITUTE(SUBSTITUTE($G1038,"-"," ",LEN($G1038)-LEN(SUBSTITUTE($G1038,"-",""))),"-"," ",LEN($G1038)-LEN(SUBSTITUTE($G1038,"-",""))-1),".","")))=0,SUBSTITUTE(SUBSTITUTE($G1038,"-"," ",LEN($G1038)-LEN(SUBSTITUTE($G1038,"-",""))),"-"," ",LEN($G1038)-LEN(SUBSTITUTE($G1038,"-",""))-1),SUBSTITUTE(SUBSTITUTE(SUBSTITUTE($G1038,"-"," ",LEN($G1038)-LEN(SUBSTITUTE($G1038,"-",""))),"-"," ",LEN($G1038)-LEN(SUBSTITUTE($G1038,"-",""))-1),"."," ",(LEN(SUBSTITUTE(SUBSTITUTE($G1038,"-"," ",LEN($G1038)-LEN(SUBSTITUTE($G1038,"-",""))),"-"," ",LEN($G1038)-LEN(SUBSTITUTE($G1038,"-",""))-1))-LEN(SUBSTITUTE(SUBSTITUTE(SUBSTITUTE($G1038,"-"," ",LEN($G1038)-LEN(SUBSTITUTE($G1038,"-",""))),"-"," ",LEN($G1038)-LEN(SUBSTITUTE($G1038,"-",""))-1),".",""))))),$G1038)))</f>
        <v/>
      </c>
    </row>
    <row r="1039">
      <c r="A1039" s="58" t="n"/>
      <c r="B1039" s="58">
        <f>IF($H1039="","",LEFT($H1039,FIND(" ",$H1039&amp;" ")-1))</f>
        <v/>
      </c>
      <c r="C1039" s="58">
        <f>IF($H1039="","",IFERROR(MID($H1039&amp;" ",FIND("|",SUBSTITUTE($H1039&amp;" "," ","|",1))+1,FIND("|",SUBSTITUTE($H1039&amp;" "," ","|",2))-FIND("|",SUBSTITUTE($H1039&amp;" "," ","|",1))-1),""))</f>
        <v/>
      </c>
      <c r="D1039" s="58">
        <f>IF($H1039="","",IFERROR(MID($H1039&amp;" ",FIND("|",SUBSTITUTE($H1039&amp;" "," ","|",2))+1,FIND("|",SUBSTITUTE($H1039&amp;" "," ","|",3))-FIND("|",SUBSTITUTE($H1039&amp;" "," ","|",2))-1),""))</f>
        <v/>
      </c>
      <c r="E1039" s="58">
        <f>IF($H1039="","",IFERROR(MID($H1039&amp;" ",FIND("|",SUBSTITUTE($H1039&amp;" "," ","|",3))+1,FIND("|",SUBSTITUTE($H1039&amp;" "," ","|",4))-FIND("|",SUBSTITUTE($H1039&amp;" "," ","|",3))-1),""))</f>
        <v/>
      </c>
      <c r="F1039" s="59">
        <f>IF($H1039="","",IFERROR(VALUE(IFERROR(MID($H1039&amp;" ",FIND("|",SUBSTITUTE($H1039&amp;" "," ","|",4))+1,FIND("|",SUBSTITUTE($H1039&amp;" "," ","|",5))-FIND("|",SUBSTITUTE($H1039&amp;" "," ","|",4))-1),""))/86400+25569+9/24,""))</f>
        <v/>
      </c>
      <c r="G1039" s="58">
        <f>TRIM(SUBSTITUTE(SUBSTITUTE(SUBSTITUTE($A1039,CHAR(9)," ")," "," "),CHAR(13),""))</f>
        <v/>
      </c>
      <c r="H1039" s="58">
        <f>IF($G1039="","",IF(ISNUMBER(FIND(" ",$G1039)),$G1039,IFERROR(IF((LEN(SUBSTITUTE(SUBSTITUTE($G1039,"-"," ",LEN($G1039)-LEN(SUBSTITUTE($G1039,"-",""))),"-"," ",LEN($G1039)-LEN(SUBSTITUTE($G1039,"-",""))-1))-LEN(SUBSTITUTE(SUBSTITUTE(SUBSTITUTE($G1039,"-"," ",LEN($G1039)-LEN(SUBSTITUTE($G1039,"-",""))),"-"," ",LEN($G1039)-LEN(SUBSTITUTE($G1039,"-",""))-1),".","")))=0,SUBSTITUTE(SUBSTITUTE($G1039,"-"," ",LEN($G1039)-LEN(SUBSTITUTE($G1039,"-",""))),"-"," ",LEN($G1039)-LEN(SUBSTITUTE($G1039,"-",""))-1),SUBSTITUTE(SUBSTITUTE(SUBSTITUTE($G1039,"-"," ",LEN($G1039)-LEN(SUBSTITUTE($G1039,"-",""))),"-"," ",LEN($G1039)-LEN(SUBSTITUTE($G1039,"-",""))-1),"."," ",(LEN(SUBSTITUTE(SUBSTITUTE($G1039,"-"," ",LEN($G1039)-LEN(SUBSTITUTE($G1039,"-",""))),"-"," ",LEN($G1039)-LEN(SUBSTITUTE($G1039,"-",""))-1))-LEN(SUBSTITUTE(SUBSTITUTE(SUBSTITUTE($G1039,"-"," ",LEN($G1039)-LEN(SUBSTITUTE($G1039,"-",""))),"-"," ",LEN($G1039)-LEN(SUBSTITUTE($G1039,"-",""))-1),".",""))))),$G1039)))</f>
        <v/>
      </c>
    </row>
    <row r="1040">
      <c r="A1040" s="58" t="n"/>
      <c r="B1040" s="58">
        <f>IF($H1040="","",LEFT($H1040,FIND(" ",$H1040&amp;" ")-1))</f>
        <v/>
      </c>
      <c r="C1040" s="58">
        <f>IF($H1040="","",IFERROR(MID($H1040&amp;" ",FIND("|",SUBSTITUTE($H1040&amp;" "," ","|",1))+1,FIND("|",SUBSTITUTE($H1040&amp;" "," ","|",2))-FIND("|",SUBSTITUTE($H1040&amp;" "," ","|",1))-1),""))</f>
        <v/>
      </c>
      <c r="D1040" s="58">
        <f>IF($H1040="","",IFERROR(MID($H1040&amp;" ",FIND("|",SUBSTITUTE($H1040&amp;" "," ","|",2))+1,FIND("|",SUBSTITUTE($H1040&amp;" "," ","|",3))-FIND("|",SUBSTITUTE($H1040&amp;" "," ","|",2))-1),""))</f>
        <v/>
      </c>
      <c r="E1040" s="58">
        <f>IF($H1040="","",IFERROR(MID($H1040&amp;" ",FIND("|",SUBSTITUTE($H1040&amp;" "," ","|",3))+1,FIND("|",SUBSTITUTE($H1040&amp;" "," ","|",4))-FIND("|",SUBSTITUTE($H1040&amp;" "," ","|",3))-1),""))</f>
        <v/>
      </c>
      <c r="F1040" s="59">
        <f>IF($H1040="","",IFERROR(VALUE(IFERROR(MID($H1040&amp;" ",FIND("|",SUBSTITUTE($H1040&amp;" "," ","|",4))+1,FIND("|",SUBSTITUTE($H1040&amp;" "," ","|",5))-FIND("|",SUBSTITUTE($H1040&amp;" "," ","|",4))-1),""))/86400+25569+9/24,""))</f>
        <v/>
      </c>
      <c r="G1040" s="58">
        <f>TRIM(SUBSTITUTE(SUBSTITUTE(SUBSTITUTE($A1040,CHAR(9)," ")," "," "),CHAR(13),""))</f>
        <v/>
      </c>
      <c r="H1040" s="58">
        <f>IF($G1040="","",IF(ISNUMBER(FIND(" ",$G1040)),$G1040,IFERROR(IF((LEN(SUBSTITUTE(SUBSTITUTE($G1040,"-"," ",LEN($G1040)-LEN(SUBSTITUTE($G1040,"-",""))),"-"," ",LEN($G1040)-LEN(SUBSTITUTE($G1040,"-",""))-1))-LEN(SUBSTITUTE(SUBSTITUTE(SUBSTITUTE($G1040,"-"," ",LEN($G1040)-LEN(SUBSTITUTE($G1040,"-",""))),"-"," ",LEN($G1040)-LEN(SUBSTITUTE($G1040,"-",""))-1),".","")))=0,SUBSTITUTE(SUBSTITUTE($G1040,"-"," ",LEN($G1040)-LEN(SUBSTITUTE($G1040,"-",""))),"-"," ",LEN($G1040)-LEN(SUBSTITUTE($G1040,"-",""))-1),SUBSTITUTE(SUBSTITUTE(SUBSTITUTE($G1040,"-"," ",LEN($G1040)-LEN(SUBSTITUTE($G1040,"-",""))),"-"," ",LEN($G1040)-LEN(SUBSTITUTE($G1040,"-",""))-1),"."," ",(LEN(SUBSTITUTE(SUBSTITUTE($G1040,"-"," ",LEN($G1040)-LEN(SUBSTITUTE($G1040,"-",""))),"-"," ",LEN($G1040)-LEN(SUBSTITUTE($G1040,"-",""))-1))-LEN(SUBSTITUTE(SUBSTITUTE(SUBSTITUTE($G1040,"-"," ",LEN($G1040)-LEN(SUBSTITUTE($G1040,"-",""))),"-"," ",LEN($G1040)-LEN(SUBSTITUTE($G1040,"-",""))-1),".",""))))),$G1040)))</f>
        <v/>
      </c>
    </row>
    <row r="1041">
      <c r="A1041" s="58" t="n"/>
      <c r="B1041" s="58">
        <f>IF($H1041="","",LEFT($H1041,FIND(" ",$H1041&amp;" ")-1))</f>
        <v/>
      </c>
      <c r="C1041" s="58">
        <f>IF($H1041="","",IFERROR(MID($H1041&amp;" ",FIND("|",SUBSTITUTE($H1041&amp;" "," ","|",1))+1,FIND("|",SUBSTITUTE($H1041&amp;" "," ","|",2))-FIND("|",SUBSTITUTE($H1041&amp;" "," ","|",1))-1),""))</f>
        <v/>
      </c>
      <c r="D1041" s="58">
        <f>IF($H1041="","",IFERROR(MID($H1041&amp;" ",FIND("|",SUBSTITUTE($H1041&amp;" "," ","|",2))+1,FIND("|",SUBSTITUTE($H1041&amp;" "," ","|",3))-FIND("|",SUBSTITUTE($H1041&amp;" "," ","|",2))-1),""))</f>
        <v/>
      </c>
      <c r="E1041" s="58">
        <f>IF($H1041="","",IFERROR(MID($H1041&amp;" ",FIND("|",SUBSTITUTE($H1041&amp;" "," ","|",3))+1,FIND("|",SUBSTITUTE($H1041&amp;" "," ","|",4))-FIND("|",SUBSTITUTE($H1041&amp;" "," ","|",3))-1),""))</f>
        <v/>
      </c>
      <c r="F1041" s="59">
        <f>IF($H1041="","",IFERROR(VALUE(IFERROR(MID($H1041&amp;" ",FIND("|",SUBSTITUTE($H1041&amp;" "," ","|",4))+1,FIND("|",SUBSTITUTE($H1041&amp;" "," ","|",5))-FIND("|",SUBSTITUTE($H1041&amp;" "," ","|",4))-1),""))/86400+25569+9/24,""))</f>
        <v/>
      </c>
      <c r="G1041" s="58">
        <f>TRIM(SUBSTITUTE(SUBSTITUTE(SUBSTITUTE($A1041,CHAR(9)," ")," "," "),CHAR(13),""))</f>
        <v/>
      </c>
      <c r="H1041" s="58">
        <f>IF($G1041="","",IF(ISNUMBER(FIND(" ",$G1041)),$G1041,IFERROR(IF((LEN(SUBSTITUTE(SUBSTITUTE($G1041,"-"," ",LEN($G1041)-LEN(SUBSTITUTE($G1041,"-",""))),"-"," ",LEN($G1041)-LEN(SUBSTITUTE($G1041,"-",""))-1))-LEN(SUBSTITUTE(SUBSTITUTE(SUBSTITUTE($G1041,"-"," ",LEN($G1041)-LEN(SUBSTITUTE($G1041,"-",""))),"-"," ",LEN($G1041)-LEN(SUBSTITUTE($G1041,"-",""))-1),".","")))=0,SUBSTITUTE(SUBSTITUTE($G1041,"-"," ",LEN($G1041)-LEN(SUBSTITUTE($G1041,"-",""))),"-"," ",LEN($G1041)-LEN(SUBSTITUTE($G1041,"-",""))-1),SUBSTITUTE(SUBSTITUTE(SUBSTITUTE($G1041,"-"," ",LEN($G1041)-LEN(SUBSTITUTE($G1041,"-",""))),"-"," ",LEN($G1041)-LEN(SUBSTITUTE($G1041,"-",""))-1),"."," ",(LEN(SUBSTITUTE(SUBSTITUTE($G1041,"-"," ",LEN($G1041)-LEN(SUBSTITUTE($G1041,"-",""))),"-"," ",LEN($G1041)-LEN(SUBSTITUTE($G1041,"-",""))-1))-LEN(SUBSTITUTE(SUBSTITUTE(SUBSTITUTE($G1041,"-"," ",LEN($G1041)-LEN(SUBSTITUTE($G1041,"-",""))),"-"," ",LEN($G1041)-LEN(SUBSTITUTE($G1041,"-",""))-1),".",""))))),$G1041)))</f>
        <v/>
      </c>
    </row>
    <row r="1042">
      <c r="A1042" s="58" t="n"/>
      <c r="B1042" s="58">
        <f>IF($H1042="","",LEFT($H1042,FIND(" ",$H1042&amp;" ")-1))</f>
        <v/>
      </c>
      <c r="C1042" s="58">
        <f>IF($H1042="","",IFERROR(MID($H1042&amp;" ",FIND("|",SUBSTITUTE($H1042&amp;" "," ","|",1))+1,FIND("|",SUBSTITUTE($H1042&amp;" "," ","|",2))-FIND("|",SUBSTITUTE($H1042&amp;" "," ","|",1))-1),""))</f>
        <v/>
      </c>
      <c r="D1042" s="58">
        <f>IF($H1042="","",IFERROR(MID($H1042&amp;" ",FIND("|",SUBSTITUTE($H1042&amp;" "," ","|",2))+1,FIND("|",SUBSTITUTE($H1042&amp;" "," ","|",3))-FIND("|",SUBSTITUTE($H1042&amp;" "," ","|",2))-1),""))</f>
        <v/>
      </c>
      <c r="E1042" s="58">
        <f>IF($H1042="","",IFERROR(MID($H1042&amp;" ",FIND("|",SUBSTITUTE($H1042&amp;" "," ","|",3))+1,FIND("|",SUBSTITUTE($H1042&amp;" "," ","|",4))-FIND("|",SUBSTITUTE($H1042&amp;" "," ","|",3))-1),""))</f>
        <v/>
      </c>
      <c r="F1042" s="59">
        <f>IF($H1042="","",IFERROR(VALUE(IFERROR(MID($H1042&amp;" ",FIND("|",SUBSTITUTE($H1042&amp;" "," ","|",4))+1,FIND("|",SUBSTITUTE($H1042&amp;" "," ","|",5))-FIND("|",SUBSTITUTE($H1042&amp;" "," ","|",4))-1),""))/86400+25569+9/24,""))</f>
        <v/>
      </c>
      <c r="G1042" s="58">
        <f>TRIM(SUBSTITUTE(SUBSTITUTE(SUBSTITUTE($A1042,CHAR(9)," ")," "," "),CHAR(13),""))</f>
        <v/>
      </c>
      <c r="H1042" s="58">
        <f>IF($G1042="","",IF(ISNUMBER(FIND(" ",$G1042)),$G1042,IFERROR(IF((LEN(SUBSTITUTE(SUBSTITUTE($G1042,"-"," ",LEN($G1042)-LEN(SUBSTITUTE($G1042,"-",""))),"-"," ",LEN($G1042)-LEN(SUBSTITUTE($G1042,"-",""))-1))-LEN(SUBSTITUTE(SUBSTITUTE(SUBSTITUTE($G1042,"-"," ",LEN($G1042)-LEN(SUBSTITUTE($G1042,"-",""))),"-"," ",LEN($G1042)-LEN(SUBSTITUTE($G1042,"-",""))-1),".","")))=0,SUBSTITUTE(SUBSTITUTE($G1042,"-"," ",LEN($G1042)-LEN(SUBSTITUTE($G1042,"-",""))),"-"," ",LEN($G1042)-LEN(SUBSTITUTE($G1042,"-",""))-1),SUBSTITUTE(SUBSTITUTE(SUBSTITUTE($G1042,"-"," ",LEN($G1042)-LEN(SUBSTITUTE($G1042,"-",""))),"-"," ",LEN($G1042)-LEN(SUBSTITUTE($G1042,"-",""))-1),"."," ",(LEN(SUBSTITUTE(SUBSTITUTE($G1042,"-"," ",LEN($G1042)-LEN(SUBSTITUTE($G1042,"-",""))),"-"," ",LEN($G1042)-LEN(SUBSTITUTE($G1042,"-",""))-1))-LEN(SUBSTITUTE(SUBSTITUTE(SUBSTITUTE($G1042,"-"," ",LEN($G1042)-LEN(SUBSTITUTE($G1042,"-",""))),"-"," ",LEN($G1042)-LEN(SUBSTITUTE($G1042,"-",""))-1),".",""))))),$G1042)))</f>
        <v/>
      </c>
    </row>
    <row r="1043">
      <c r="A1043" s="58" t="n"/>
      <c r="B1043" s="58">
        <f>IF($H1043="","",LEFT($H1043,FIND(" ",$H1043&amp;" ")-1))</f>
        <v/>
      </c>
      <c r="C1043" s="58">
        <f>IF($H1043="","",IFERROR(MID($H1043&amp;" ",FIND("|",SUBSTITUTE($H1043&amp;" "," ","|",1))+1,FIND("|",SUBSTITUTE($H1043&amp;" "," ","|",2))-FIND("|",SUBSTITUTE($H1043&amp;" "," ","|",1))-1),""))</f>
        <v/>
      </c>
      <c r="D1043" s="58">
        <f>IF($H1043="","",IFERROR(MID($H1043&amp;" ",FIND("|",SUBSTITUTE($H1043&amp;" "," ","|",2))+1,FIND("|",SUBSTITUTE($H1043&amp;" "," ","|",3))-FIND("|",SUBSTITUTE($H1043&amp;" "," ","|",2))-1),""))</f>
        <v/>
      </c>
      <c r="E1043" s="58">
        <f>IF($H1043="","",IFERROR(MID($H1043&amp;" ",FIND("|",SUBSTITUTE($H1043&amp;" "," ","|",3))+1,FIND("|",SUBSTITUTE($H1043&amp;" "," ","|",4))-FIND("|",SUBSTITUTE($H1043&amp;" "," ","|",3))-1),""))</f>
        <v/>
      </c>
      <c r="F1043" s="59">
        <f>IF($H1043="","",IFERROR(VALUE(IFERROR(MID($H1043&amp;" ",FIND("|",SUBSTITUTE($H1043&amp;" "," ","|",4))+1,FIND("|",SUBSTITUTE($H1043&amp;" "," ","|",5))-FIND("|",SUBSTITUTE($H1043&amp;" "," ","|",4))-1),""))/86400+25569+9/24,""))</f>
        <v/>
      </c>
      <c r="G1043" s="58">
        <f>TRIM(SUBSTITUTE(SUBSTITUTE(SUBSTITUTE($A1043,CHAR(9)," ")," "," "),CHAR(13),""))</f>
        <v/>
      </c>
      <c r="H1043" s="58">
        <f>IF($G1043="","",IF(ISNUMBER(FIND(" ",$G1043)),$G1043,IFERROR(IF((LEN(SUBSTITUTE(SUBSTITUTE($G1043,"-"," ",LEN($G1043)-LEN(SUBSTITUTE($G1043,"-",""))),"-"," ",LEN($G1043)-LEN(SUBSTITUTE($G1043,"-",""))-1))-LEN(SUBSTITUTE(SUBSTITUTE(SUBSTITUTE($G1043,"-"," ",LEN($G1043)-LEN(SUBSTITUTE($G1043,"-",""))),"-"," ",LEN($G1043)-LEN(SUBSTITUTE($G1043,"-",""))-1),".","")))=0,SUBSTITUTE(SUBSTITUTE($G1043,"-"," ",LEN($G1043)-LEN(SUBSTITUTE($G1043,"-",""))),"-"," ",LEN($G1043)-LEN(SUBSTITUTE($G1043,"-",""))-1),SUBSTITUTE(SUBSTITUTE(SUBSTITUTE($G1043,"-"," ",LEN($G1043)-LEN(SUBSTITUTE($G1043,"-",""))),"-"," ",LEN($G1043)-LEN(SUBSTITUTE($G1043,"-",""))-1),"."," ",(LEN(SUBSTITUTE(SUBSTITUTE($G1043,"-"," ",LEN($G1043)-LEN(SUBSTITUTE($G1043,"-",""))),"-"," ",LEN($G1043)-LEN(SUBSTITUTE($G1043,"-",""))-1))-LEN(SUBSTITUTE(SUBSTITUTE(SUBSTITUTE($G1043,"-"," ",LEN($G1043)-LEN(SUBSTITUTE($G1043,"-",""))),"-"," ",LEN($G1043)-LEN(SUBSTITUTE($G1043,"-",""))-1),".",""))))),$G1043)))</f>
        <v/>
      </c>
    </row>
    <row r="1044">
      <c r="A1044" s="58" t="n"/>
      <c r="B1044" s="58">
        <f>IF($H1044="","",LEFT($H1044,FIND(" ",$H1044&amp;" ")-1))</f>
        <v/>
      </c>
      <c r="C1044" s="58">
        <f>IF($H1044="","",IFERROR(MID($H1044&amp;" ",FIND("|",SUBSTITUTE($H1044&amp;" "," ","|",1))+1,FIND("|",SUBSTITUTE($H1044&amp;" "," ","|",2))-FIND("|",SUBSTITUTE($H1044&amp;" "," ","|",1))-1),""))</f>
        <v/>
      </c>
      <c r="D1044" s="58">
        <f>IF($H1044="","",IFERROR(MID($H1044&amp;" ",FIND("|",SUBSTITUTE($H1044&amp;" "," ","|",2))+1,FIND("|",SUBSTITUTE($H1044&amp;" "," ","|",3))-FIND("|",SUBSTITUTE($H1044&amp;" "," ","|",2))-1),""))</f>
        <v/>
      </c>
      <c r="E1044" s="58">
        <f>IF($H1044="","",IFERROR(MID($H1044&amp;" ",FIND("|",SUBSTITUTE($H1044&amp;" "," ","|",3))+1,FIND("|",SUBSTITUTE($H1044&amp;" "," ","|",4))-FIND("|",SUBSTITUTE($H1044&amp;" "," ","|",3))-1),""))</f>
        <v/>
      </c>
      <c r="F1044" s="59">
        <f>IF($H1044="","",IFERROR(VALUE(IFERROR(MID($H1044&amp;" ",FIND("|",SUBSTITUTE($H1044&amp;" "," ","|",4))+1,FIND("|",SUBSTITUTE($H1044&amp;" "," ","|",5))-FIND("|",SUBSTITUTE($H1044&amp;" "," ","|",4))-1),""))/86400+25569+9/24,""))</f>
        <v/>
      </c>
      <c r="G1044" s="58">
        <f>TRIM(SUBSTITUTE(SUBSTITUTE(SUBSTITUTE($A1044,CHAR(9)," ")," "," "),CHAR(13),""))</f>
        <v/>
      </c>
      <c r="H1044" s="58">
        <f>IF($G1044="","",IF(ISNUMBER(FIND(" ",$G1044)),$G1044,IFERROR(IF((LEN(SUBSTITUTE(SUBSTITUTE($G1044,"-"," ",LEN($G1044)-LEN(SUBSTITUTE($G1044,"-",""))),"-"," ",LEN($G1044)-LEN(SUBSTITUTE($G1044,"-",""))-1))-LEN(SUBSTITUTE(SUBSTITUTE(SUBSTITUTE($G1044,"-"," ",LEN($G1044)-LEN(SUBSTITUTE($G1044,"-",""))),"-"," ",LEN($G1044)-LEN(SUBSTITUTE($G1044,"-",""))-1),".","")))=0,SUBSTITUTE(SUBSTITUTE($G1044,"-"," ",LEN($G1044)-LEN(SUBSTITUTE($G1044,"-",""))),"-"," ",LEN($G1044)-LEN(SUBSTITUTE($G1044,"-",""))-1),SUBSTITUTE(SUBSTITUTE(SUBSTITUTE($G1044,"-"," ",LEN($G1044)-LEN(SUBSTITUTE($G1044,"-",""))),"-"," ",LEN($G1044)-LEN(SUBSTITUTE($G1044,"-",""))-1),"."," ",(LEN(SUBSTITUTE(SUBSTITUTE($G1044,"-"," ",LEN($G1044)-LEN(SUBSTITUTE($G1044,"-",""))),"-"," ",LEN($G1044)-LEN(SUBSTITUTE($G1044,"-",""))-1))-LEN(SUBSTITUTE(SUBSTITUTE(SUBSTITUTE($G1044,"-"," ",LEN($G1044)-LEN(SUBSTITUTE($G1044,"-",""))),"-"," ",LEN($G1044)-LEN(SUBSTITUTE($G1044,"-",""))-1),".",""))))),$G1044)))</f>
        <v/>
      </c>
    </row>
    <row r="1045">
      <c r="A1045" s="58" t="n"/>
      <c r="B1045" s="58">
        <f>IF($H1045="","",LEFT($H1045,FIND(" ",$H1045&amp;" ")-1))</f>
        <v/>
      </c>
      <c r="C1045" s="58">
        <f>IF($H1045="","",IFERROR(MID($H1045&amp;" ",FIND("|",SUBSTITUTE($H1045&amp;" "," ","|",1))+1,FIND("|",SUBSTITUTE($H1045&amp;" "," ","|",2))-FIND("|",SUBSTITUTE($H1045&amp;" "," ","|",1))-1),""))</f>
        <v/>
      </c>
      <c r="D1045" s="58">
        <f>IF($H1045="","",IFERROR(MID($H1045&amp;" ",FIND("|",SUBSTITUTE($H1045&amp;" "," ","|",2))+1,FIND("|",SUBSTITUTE($H1045&amp;" "," ","|",3))-FIND("|",SUBSTITUTE($H1045&amp;" "," ","|",2))-1),""))</f>
        <v/>
      </c>
      <c r="E1045" s="58">
        <f>IF($H1045="","",IFERROR(MID($H1045&amp;" ",FIND("|",SUBSTITUTE($H1045&amp;" "," ","|",3))+1,FIND("|",SUBSTITUTE($H1045&amp;" "," ","|",4))-FIND("|",SUBSTITUTE($H1045&amp;" "," ","|",3))-1),""))</f>
        <v/>
      </c>
      <c r="F1045" s="59">
        <f>IF($H1045="","",IFERROR(VALUE(IFERROR(MID($H1045&amp;" ",FIND("|",SUBSTITUTE($H1045&amp;" "," ","|",4))+1,FIND("|",SUBSTITUTE($H1045&amp;" "," ","|",5))-FIND("|",SUBSTITUTE($H1045&amp;" "," ","|",4))-1),""))/86400+25569+9/24,""))</f>
        <v/>
      </c>
      <c r="G1045" s="58">
        <f>TRIM(SUBSTITUTE(SUBSTITUTE(SUBSTITUTE($A1045,CHAR(9)," ")," "," "),CHAR(13),""))</f>
        <v/>
      </c>
      <c r="H1045" s="58">
        <f>IF($G1045="","",IF(ISNUMBER(FIND(" ",$G1045)),$G1045,IFERROR(IF((LEN(SUBSTITUTE(SUBSTITUTE($G1045,"-"," ",LEN($G1045)-LEN(SUBSTITUTE($G1045,"-",""))),"-"," ",LEN($G1045)-LEN(SUBSTITUTE($G1045,"-",""))-1))-LEN(SUBSTITUTE(SUBSTITUTE(SUBSTITUTE($G1045,"-"," ",LEN($G1045)-LEN(SUBSTITUTE($G1045,"-",""))),"-"," ",LEN($G1045)-LEN(SUBSTITUTE($G1045,"-",""))-1),".","")))=0,SUBSTITUTE(SUBSTITUTE($G1045,"-"," ",LEN($G1045)-LEN(SUBSTITUTE($G1045,"-",""))),"-"," ",LEN($G1045)-LEN(SUBSTITUTE($G1045,"-",""))-1),SUBSTITUTE(SUBSTITUTE(SUBSTITUTE($G1045,"-"," ",LEN($G1045)-LEN(SUBSTITUTE($G1045,"-",""))),"-"," ",LEN($G1045)-LEN(SUBSTITUTE($G1045,"-",""))-1),"."," ",(LEN(SUBSTITUTE(SUBSTITUTE($G1045,"-"," ",LEN($G1045)-LEN(SUBSTITUTE($G1045,"-",""))),"-"," ",LEN($G1045)-LEN(SUBSTITUTE($G1045,"-",""))-1))-LEN(SUBSTITUTE(SUBSTITUTE(SUBSTITUTE($G1045,"-"," ",LEN($G1045)-LEN(SUBSTITUTE($G1045,"-",""))),"-"," ",LEN($G1045)-LEN(SUBSTITUTE($G1045,"-",""))-1),".",""))))),$G1045)))</f>
        <v/>
      </c>
    </row>
    <row r="1046">
      <c r="A1046" s="58" t="n"/>
      <c r="B1046" s="58">
        <f>IF($H1046="","",LEFT($H1046,FIND(" ",$H1046&amp;" ")-1))</f>
        <v/>
      </c>
      <c r="C1046" s="58">
        <f>IF($H1046="","",IFERROR(MID($H1046&amp;" ",FIND("|",SUBSTITUTE($H1046&amp;" "," ","|",1))+1,FIND("|",SUBSTITUTE($H1046&amp;" "," ","|",2))-FIND("|",SUBSTITUTE($H1046&amp;" "," ","|",1))-1),""))</f>
        <v/>
      </c>
      <c r="D1046" s="58">
        <f>IF($H1046="","",IFERROR(MID($H1046&amp;" ",FIND("|",SUBSTITUTE($H1046&amp;" "," ","|",2))+1,FIND("|",SUBSTITUTE($H1046&amp;" "," ","|",3))-FIND("|",SUBSTITUTE($H1046&amp;" "," ","|",2))-1),""))</f>
        <v/>
      </c>
      <c r="E1046" s="58">
        <f>IF($H1046="","",IFERROR(MID($H1046&amp;" ",FIND("|",SUBSTITUTE($H1046&amp;" "," ","|",3))+1,FIND("|",SUBSTITUTE($H1046&amp;" "," ","|",4))-FIND("|",SUBSTITUTE($H1046&amp;" "," ","|",3))-1),""))</f>
        <v/>
      </c>
      <c r="F1046" s="59">
        <f>IF($H1046="","",IFERROR(VALUE(IFERROR(MID($H1046&amp;" ",FIND("|",SUBSTITUTE($H1046&amp;" "," ","|",4))+1,FIND("|",SUBSTITUTE($H1046&amp;" "," ","|",5))-FIND("|",SUBSTITUTE($H1046&amp;" "," ","|",4))-1),""))/86400+25569+9/24,""))</f>
        <v/>
      </c>
      <c r="G1046" s="58">
        <f>TRIM(SUBSTITUTE(SUBSTITUTE(SUBSTITUTE($A1046,CHAR(9)," ")," "," "),CHAR(13),""))</f>
        <v/>
      </c>
      <c r="H1046" s="58">
        <f>IF($G1046="","",IF(ISNUMBER(FIND(" ",$G1046)),$G1046,IFERROR(IF((LEN(SUBSTITUTE(SUBSTITUTE($G1046,"-"," ",LEN($G1046)-LEN(SUBSTITUTE($G1046,"-",""))),"-"," ",LEN($G1046)-LEN(SUBSTITUTE($G1046,"-",""))-1))-LEN(SUBSTITUTE(SUBSTITUTE(SUBSTITUTE($G1046,"-"," ",LEN($G1046)-LEN(SUBSTITUTE($G1046,"-",""))),"-"," ",LEN($G1046)-LEN(SUBSTITUTE($G1046,"-",""))-1),".","")))=0,SUBSTITUTE(SUBSTITUTE($G1046,"-"," ",LEN($G1046)-LEN(SUBSTITUTE($G1046,"-",""))),"-"," ",LEN($G1046)-LEN(SUBSTITUTE($G1046,"-",""))-1),SUBSTITUTE(SUBSTITUTE(SUBSTITUTE($G1046,"-"," ",LEN($G1046)-LEN(SUBSTITUTE($G1046,"-",""))),"-"," ",LEN($G1046)-LEN(SUBSTITUTE($G1046,"-",""))-1),"."," ",(LEN(SUBSTITUTE(SUBSTITUTE($G1046,"-"," ",LEN($G1046)-LEN(SUBSTITUTE($G1046,"-",""))),"-"," ",LEN($G1046)-LEN(SUBSTITUTE($G1046,"-",""))-1))-LEN(SUBSTITUTE(SUBSTITUTE(SUBSTITUTE($G1046,"-"," ",LEN($G1046)-LEN(SUBSTITUTE($G1046,"-",""))),"-"," ",LEN($G1046)-LEN(SUBSTITUTE($G1046,"-",""))-1),".",""))))),$G1046)))</f>
        <v/>
      </c>
    </row>
    <row r="1047">
      <c r="A1047" s="58" t="n"/>
      <c r="B1047" s="58">
        <f>IF($H1047="","",LEFT($H1047,FIND(" ",$H1047&amp;" ")-1))</f>
        <v/>
      </c>
      <c r="C1047" s="58">
        <f>IF($H1047="","",IFERROR(MID($H1047&amp;" ",FIND("|",SUBSTITUTE($H1047&amp;" "," ","|",1))+1,FIND("|",SUBSTITUTE($H1047&amp;" "," ","|",2))-FIND("|",SUBSTITUTE($H1047&amp;" "," ","|",1))-1),""))</f>
        <v/>
      </c>
      <c r="D1047" s="58">
        <f>IF($H1047="","",IFERROR(MID($H1047&amp;" ",FIND("|",SUBSTITUTE($H1047&amp;" "," ","|",2))+1,FIND("|",SUBSTITUTE($H1047&amp;" "," ","|",3))-FIND("|",SUBSTITUTE($H1047&amp;" "," ","|",2))-1),""))</f>
        <v/>
      </c>
      <c r="E1047" s="58">
        <f>IF($H1047="","",IFERROR(MID($H1047&amp;" ",FIND("|",SUBSTITUTE($H1047&amp;" "," ","|",3))+1,FIND("|",SUBSTITUTE($H1047&amp;" "," ","|",4))-FIND("|",SUBSTITUTE($H1047&amp;" "," ","|",3))-1),""))</f>
        <v/>
      </c>
      <c r="F1047" s="59">
        <f>IF($H1047="","",IFERROR(VALUE(IFERROR(MID($H1047&amp;" ",FIND("|",SUBSTITUTE($H1047&amp;" "," ","|",4))+1,FIND("|",SUBSTITUTE($H1047&amp;" "," ","|",5))-FIND("|",SUBSTITUTE($H1047&amp;" "," ","|",4))-1),""))/86400+25569+9/24,""))</f>
        <v/>
      </c>
      <c r="G1047" s="58">
        <f>TRIM(SUBSTITUTE(SUBSTITUTE(SUBSTITUTE($A1047,CHAR(9)," ")," "," "),CHAR(13),""))</f>
        <v/>
      </c>
      <c r="H1047" s="58">
        <f>IF($G1047="","",IF(ISNUMBER(FIND(" ",$G1047)),$G1047,IFERROR(IF((LEN(SUBSTITUTE(SUBSTITUTE($G1047,"-"," ",LEN($G1047)-LEN(SUBSTITUTE($G1047,"-",""))),"-"," ",LEN($G1047)-LEN(SUBSTITUTE($G1047,"-",""))-1))-LEN(SUBSTITUTE(SUBSTITUTE(SUBSTITUTE($G1047,"-"," ",LEN($G1047)-LEN(SUBSTITUTE($G1047,"-",""))),"-"," ",LEN($G1047)-LEN(SUBSTITUTE($G1047,"-",""))-1),".","")))=0,SUBSTITUTE(SUBSTITUTE($G1047,"-"," ",LEN($G1047)-LEN(SUBSTITUTE($G1047,"-",""))),"-"," ",LEN($G1047)-LEN(SUBSTITUTE($G1047,"-",""))-1),SUBSTITUTE(SUBSTITUTE(SUBSTITUTE($G1047,"-"," ",LEN($G1047)-LEN(SUBSTITUTE($G1047,"-",""))),"-"," ",LEN($G1047)-LEN(SUBSTITUTE($G1047,"-",""))-1),"."," ",(LEN(SUBSTITUTE(SUBSTITUTE($G1047,"-"," ",LEN($G1047)-LEN(SUBSTITUTE($G1047,"-",""))),"-"," ",LEN($G1047)-LEN(SUBSTITUTE($G1047,"-",""))-1))-LEN(SUBSTITUTE(SUBSTITUTE(SUBSTITUTE($G1047,"-"," ",LEN($G1047)-LEN(SUBSTITUTE($G1047,"-",""))),"-"," ",LEN($G1047)-LEN(SUBSTITUTE($G1047,"-",""))-1),".",""))))),$G1047)))</f>
        <v/>
      </c>
    </row>
    <row r="1048">
      <c r="A1048" s="58" t="n"/>
      <c r="B1048" s="58">
        <f>IF($H1048="","",LEFT($H1048,FIND(" ",$H1048&amp;" ")-1))</f>
        <v/>
      </c>
      <c r="C1048" s="58">
        <f>IF($H1048="","",IFERROR(MID($H1048&amp;" ",FIND("|",SUBSTITUTE($H1048&amp;" "," ","|",1))+1,FIND("|",SUBSTITUTE($H1048&amp;" "," ","|",2))-FIND("|",SUBSTITUTE($H1048&amp;" "," ","|",1))-1),""))</f>
        <v/>
      </c>
      <c r="D1048" s="58">
        <f>IF($H1048="","",IFERROR(MID($H1048&amp;" ",FIND("|",SUBSTITUTE($H1048&amp;" "," ","|",2))+1,FIND("|",SUBSTITUTE($H1048&amp;" "," ","|",3))-FIND("|",SUBSTITUTE($H1048&amp;" "," ","|",2))-1),""))</f>
        <v/>
      </c>
      <c r="E1048" s="58">
        <f>IF($H1048="","",IFERROR(MID($H1048&amp;" ",FIND("|",SUBSTITUTE($H1048&amp;" "," ","|",3))+1,FIND("|",SUBSTITUTE($H1048&amp;" "," ","|",4))-FIND("|",SUBSTITUTE($H1048&amp;" "," ","|",3))-1),""))</f>
        <v/>
      </c>
      <c r="F1048" s="59">
        <f>IF($H1048="","",IFERROR(VALUE(IFERROR(MID($H1048&amp;" ",FIND("|",SUBSTITUTE($H1048&amp;" "," ","|",4))+1,FIND("|",SUBSTITUTE($H1048&amp;" "," ","|",5))-FIND("|",SUBSTITUTE($H1048&amp;" "," ","|",4))-1),""))/86400+25569+9/24,""))</f>
        <v/>
      </c>
      <c r="G1048" s="58">
        <f>TRIM(SUBSTITUTE(SUBSTITUTE(SUBSTITUTE($A1048,CHAR(9)," ")," "," "),CHAR(13),""))</f>
        <v/>
      </c>
      <c r="H1048" s="58">
        <f>IF($G1048="","",IF(ISNUMBER(FIND(" ",$G1048)),$G1048,IFERROR(IF((LEN(SUBSTITUTE(SUBSTITUTE($G1048,"-"," ",LEN($G1048)-LEN(SUBSTITUTE($G1048,"-",""))),"-"," ",LEN($G1048)-LEN(SUBSTITUTE($G1048,"-",""))-1))-LEN(SUBSTITUTE(SUBSTITUTE(SUBSTITUTE($G1048,"-"," ",LEN($G1048)-LEN(SUBSTITUTE($G1048,"-",""))),"-"," ",LEN($G1048)-LEN(SUBSTITUTE($G1048,"-",""))-1),".","")))=0,SUBSTITUTE(SUBSTITUTE($G1048,"-"," ",LEN($G1048)-LEN(SUBSTITUTE($G1048,"-",""))),"-"," ",LEN($G1048)-LEN(SUBSTITUTE($G1048,"-",""))-1),SUBSTITUTE(SUBSTITUTE(SUBSTITUTE($G1048,"-"," ",LEN($G1048)-LEN(SUBSTITUTE($G1048,"-",""))),"-"," ",LEN($G1048)-LEN(SUBSTITUTE($G1048,"-",""))-1),"."," ",(LEN(SUBSTITUTE(SUBSTITUTE($G1048,"-"," ",LEN($G1048)-LEN(SUBSTITUTE($G1048,"-",""))),"-"," ",LEN($G1048)-LEN(SUBSTITUTE($G1048,"-",""))-1))-LEN(SUBSTITUTE(SUBSTITUTE(SUBSTITUTE($G1048,"-"," ",LEN($G1048)-LEN(SUBSTITUTE($G1048,"-",""))),"-"," ",LEN($G1048)-LEN(SUBSTITUTE($G1048,"-",""))-1),".",""))))),$G1048)))</f>
        <v/>
      </c>
    </row>
    <row r="1049">
      <c r="A1049" s="58" t="n"/>
      <c r="B1049" s="58">
        <f>IF($H1049="","",LEFT($H1049,FIND(" ",$H1049&amp;" ")-1))</f>
        <v/>
      </c>
      <c r="C1049" s="58">
        <f>IF($H1049="","",IFERROR(MID($H1049&amp;" ",FIND("|",SUBSTITUTE($H1049&amp;" "," ","|",1))+1,FIND("|",SUBSTITUTE($H1049&amp;" "," ","|",2))-FIND("|",SUBSTITUTE($H1049&amp;" "," ","|",1))-1),""))</f>
        <v/>
      </c>
      <c r="D1049" s="58">
        <f>IF($H1049="","",IFERROR(MID($H1049&amp;" ",FIND("|",SUBSTITUTE($H1049&amp;" "," ","|",2))+1,FIND("|",SUBSTITUTE($H1049&amp;" "," ","|",3))-FIND("|",SUBSTITUTE($H1049&amp;" "," ","|",2))-1),""))</f>
        <v/>
      </c>
      <c r="E1049" s="58">
        <f>IF($H1049="","",IFERROR(MID($H1049&amp;" ",FIND("|",SUBSTITUTE($H1049&amp;" "," ","|",3))+1,FIND("|",SUBSTITUTE($H1049&amp;" "," ","|",4))-FIND("|",SUBSTITUTE($H1049&amp;" "," ","|",3))-1),""))</f>
        <v/>
      </c>
      <c r="F1049" s="59">
        <f>IF($H1049="","",IFERROR(VALUE(IFERROR(MID($H1049&amp;" ",FIND("|",SUBSTITUTE($H1049&amp;" "," ","|",4))+1,FIND("|",SUBSTITUTE($H1049&amp;" "," ","|",5))-FIND("|",SUBSTITUTE($H1049&amp;" "," ","|",4))-1),""))/86400+25569+9/24,""))</f>
        <v/>
      </c>
      <c r="G1049" s="58">
        <f>TRIM(SUBSTITUTE(SUBSTITUTE(SUBSTITUTE($A1049,CHAR(9)," ")," "," "),CHAR(13),""))</f>
        <v/>
      </c>
      <c r="H1049" s="58">
        <f>IF($G1049="","",IF(ISNUMBER(FIND(" ",$G1049)),$G1049,IFERROR(IF((LEN(SUBSTITUTE(SUBSTITUTE($G1049,"-"," ",LEN($G1049)-LEN(SUBSTITUTE($G1049,"-",""))),"-"," ",LEN($G1049)-LEN(SUBSTITUTE($G1049,"-",""))-1))-LEN(SUBSTITUTE(SUBSTITUTE(SUBSTITUTE($G1049,"-"," ",LEN($G1049)-LEN(SUBSTITUTE($G1049,"-",""))),"-"," ",LEN($G1049)-LEN(SUBSTITUTE($G1049,"-",""))-1),".","")))=0,SUBSTITUTE(SUBSTITUTE($G1049,"-"," ",LEN($G1049)-LEN(SUBSTITUTE($G1049,"-",""))),"-"," ",LEN($G1049)-LEN(SUBSTITUTE($G1049,"-",""))-1),SUBSTITUTE(SUBSTITUTE(SUBSTITUTE($G1049,"-"," ",LEN($G1049)-LEN(SUBSTITUTE($G1049,"-",""))),"-"," ",LEN($G1049)-LEN(SUBSTITUTE($G1049,"-",""))-1),"."," ",(LEN(SUBSTITUTE(SUBSTITUTE($G1049,"-"," ",LEN($G1049)-LEN(SUBSTITUTE($G1049,"-",""))),"-"," ",LEN($G1049)-LEN(SUBSTITUTE($G1049,"-",""))-1))-LEN(SUBSTITUTE(SUBSTITUTE(SUBSTITUTE($G1049,"-"," ",LEN($G1049)-LEN(SUBSTITUTE($G1049,"-",""))),"-"," ",LEN($G1049)-LEN(SUBSTITUTE($G1049,"-",""))-1),".",""))))),$G1049)))</f>
        <v/>
      </c>
    </row>
    <row r="1050">
      <c r="A1050" s="58" t="n"/>
      <c r="B1050" s="58">
        <f>IF($H1050="","",LEFT($H1050,FIND(" ",$H1050&amp;" ")-1))</f>
        <v/>
      </c>
      <c r="C1050" s="58">
        <f>IF($H1050="","",IFERROR(MID($H1050&amp;" ",FIND("|",SUBSTITUTE($H1050&amp;" "," ","|",1))+1,FIND("|",SUBSTITUTE($H1050&amp;" "," ","|",2))-FIND("|",SUBSTITUTE($H1050&amp;" "," ","|",1))-1),""))</f>
        <v/>
      </c>
      <c r="D1050" s="58">
        <f>IF($H1050="","",IFERROR(MID($H1050&amp;" ",FIND("|",SUBSTITUTE($H1050&amp;" "," ","|",2))+1,FIND("|",SUBSTITUTE($H1050&amp;" "," ","|",3))-FIND("|",SUBSTITUTE($H1050&amp;" "," ","|",2))-1),""))</f>
        <v/>
      </c>
      <c r="E1050" s="58">
        <f>IF($H1050="","",IFERROR(MID($H1050&amp;" ",FIND("|",SUBSTITUTE($H1050&amp;" "," ","|",3))+1,FIND("|",SUBSTITUTE($H1050&amp;" "," ","|",4))-FIND("|",SUBSTITUTE($H1050&amp;" "," ","|",3))-1),""))</f>
        <v/>
      </c>
      <c r="F1050" s="59">
        <f>IF($H1050="","",IFERROR(VALUE(IFERROR(MID($H1050&amp;" ",FIND("|",SUBSTITUTE($H1050&amp;" "," ","|",4))+1,FIND("|",SUBSTITUTE($H1050&amp;" "," ","|",5))-FIND("|",SUBSTITUTE($H1050&amp;" "," ","|",4))-1),""))/86400+25569+9/24,""))</f>
        <v/>
      </c>
      <c r="G1050" s="58">
        <f>TRIM(SUBSTITUTE(SUBSTITUTE(SUBSTITUTE($A1050,CHAR(9)," ")," "," "),CHAR(13),""))</f>
        <v/>
      </c>
      <c r="H1050" s="58">
        <f>IF($G1050="","",IF(ISNUMBER(FIND(" ",$G1050)),$G1050,IFERROR(IF((LEN(SUBSTITUTE(SUBSTITUTE($G1050,"-"," ",LEN($G1050)-LEN(SUBSTITUTE($G1050,"-",""))),"-"," ",LEN($G1050)-LEN(SUBSTITUTE($G1050,"-",""))-1))-LEN(SUBSTITUTE(SUBSTITUTE(SUBSTITUTE($G1050,"-"," ",LEN($G1050)-LEN(SUBSTITUTE($G1050,"-",""))),"-"," ",LEN($G1050)-LEN(SUBSTITUTE($G1050,"-",""))-1),".","")))=0,SUBSTITUTE(SUBSTITUTE($G1050,"-"," ",LEN($G1050)-LEN(SUBSTITUTE($G1050,"-",""))),"-"," ",LEN($G1050)-LEN(SUBSTITUTE($G1050,"-",""))-1),SUBSTITUTE(SUBSTITUTE(SUBSTITUTE($G1050,"-"," ",LEN($G1050)-LEN(SUBSTITUTE($G1050,"-",""))),"-"," ",LEN($G1050)-LEN(SUBSTITUTE($G1050,"-",""))-1),"."," ",(LEN(SUBSTITUTE(SUBSTITUTE($G1050,"-"," ",LEN($G1050)-LEN(SUBSTITUTE($G1050,"-",""))),"-"," ",LEN($G1050)-LEN(SUBSTITUTE($G1050,"-",""))-1))-LEN(SUBSTITUTE(SUBSTITUTE(SUBSTITUTE($G1050,"-"," ",LEN($G1050)-LEN(SUBSTITUTE($G1050,"-",""))),"-"," ",LEN($G1050)-LEN(SUBSTITUTE($G1050,"-",""))-1),".",""))))),$G1050)))</f>
        <v/>
      </c>
    </row>
    <row r="1051">
      <c r="A1051" s="58" t="n"/>
      <c r="B1051" s="58">
        <f>IF($H1051="","",LEFT($H1051,FIND(" ",$H1051&amp;" ")-1))</f>
        <v/>
      </c>
      <c r="C1051" s="58">
        <f>IF($H1051="","",IFERROR(MID($H1051&amp;" ",FIND("|",SUBSTITUTE($H1051&amp;" "," ","|",1))+1,FIND("|",SUBSTITUTE($H1051&amp;" "," ","|",2))-FIND("|",SUBSTITUTE($H1051&amp;" "," ","|",1))-1),""))</f>
        <v/>
      </c>
      <c r="D1051" s="58">
        <f>IF($H1051="","",IFERROR(MID($H1051&amp;" ",FIND("|",SUBSTITUTE($H1051&amp;" "," ","|",2))+1,FIND("|",SUBSTITUTE($H1051&amp;" "," ","|",3))-FIND("|",SUBSTITUTE($H1051&amp;" "," ","|",2))-1),""))</f>
        <v/>
      </c>
      <c r="E1051" s="58">
        <f>IF($H1051="","",IFERROR(MID($H1051&amp;" ",FIND("|",SUBSTITUTE($H1051&amp;" "," ","|",3))+1,FIND("|",SUBSTITUTE($H1051&amp;" "," ","|",4))-FIND("|",SUBSTITUTE($H1051&amp;" "," ","|",3))-1),""))</f>
        <v/>
      </c>
      <c r="F1051" s="59">
        <f>IF($H1051="","",IFERROR(VALUE(IFERROR(MID($H1051&amp;" ",FIND("|",SUBSTITUTE($H1051&amp;" "," ","|",4))+1,FIND("|",SUBSTITUTE($H1051&amp;" "," ","|",5))-FIND("|",SUBSTITUTE($H1051&amp;" "," ","|",4))-1),""))/86400+25569+9/24,""))</f>
        <v/>
      </c>
      <c r="G1051" s="58">
        <f>TRIM(SUBSTITUTE(SUBSTITUTE(SUBSTITUTE($A1051,CHAR(9)," ")," "," "),CHAR(13),""))</f>
        <v/>
      </c>
      <c r="H1051" s="58">
        <f>IF($G1051="","",IF(ISNUMBER(FIND(" ",$G1051)),$G1051,IFERROR(IF((LEN(SUBSTITUTE(SUBSTITUTE($G1051,"-"," ",LEN($G1051)-LEN(SUBSTITUTE($G1051,"-",""))),"-"," ",LEN($G1051)-LEN(SUBSTITUTE($G1051,"-",""))-1))-LEN(SUBSTITUTE(SUBSTITUTE(SUBSTITUTE($G1051,"-"," ",LEN($G1051)-LEN(SUBSTITUTE($G1051,"-",""))),"-"," ",LEN($G1051)-LEN(SUBSTITUTE($G1051,"-",""))-1),".","")))=0,SUBSTITUTE(SUBSTITUTE($G1051,"-"," ",LEN($G1051)-LEN(SUBSTITUTE($G1051,"-",""))),"-"," ",LEN($G1051)-LEN(SUBSTITUTE($G1051,"-",""))-1),SUBSTITUTE(SUBSTITUTE(SUBSTITUTE($G1051,"-"," ",LEN($G1051)-LEN(SUBSTITUTE($G1051,"-",""))),"-"," ",LEN($G1051)-LEN(SUBSTITUTE($G1051,"-",""))-1),"."," ",(LEN(SUBSTITUTE(SUBSTITUTE($G1051,"-"," ",LEN($G1051)-LEN(SUBSTITUTE($G1051,"-",""))),"-"," ",LEN($G1051)-LEN(SUBSTITUTE($G1051,"-",""))-1))-LEN(SUBSTITUTE(SUBSTITUTE(SUBSTITUTE($G1051,"-"," ",LEN($G1051)-LEN(SUBSTITUTE($G1051,"-",""))),"-"," ",LEN($G1051)-LEN(SUBSTITUTE($G1051,"-",""))-1),".",""))))),$G1051)))</f>
        <v/>
      </c>
    </row>
    <row r="1052">
      <c r="A1052" s="58" t="n"/>
      <c r="B1052" s="58">
        <f>IF($H1052="","",LEFT($H1052,FIND(" ",$H1052&amp;" ")-1))</f>
        <v/>
      </c>
      <c r="C1052" s="58">
        <f>IF($H1052="","",IFERROR(MID($H1052&amp;" ",FIND("|",SUBSTITUTE($H1052&amp;" "," ","|",1))+1,FIND("|",SUBSTITUTE($H1052&amp;" "," ","|",2))-FIND("|",SUBSTITUTE($H1052&amp;" "," ","|",1))-1),""))</f>
        <v/>
      </c>
      <c r="D1052" s="58">
        <f>IF($H1052="","",IFERROR(MID($H1052&amp;" ",FIND("|",SUBSTITUTE($H1052&amp;" "," ","|",2))+1,FIND("|",SUBSTITUTE($H1052&amp;" "," ","|",3))-FIND("|",SUBSTITUTE($H1052&amp;" "," ","|",2))-1),""))</f>
        <v/>
      </c>
      <c r="E1052" s="58">
        <f>IF($H1052="","",IFERROR(MID($H1052&amp;" ",FIND("|",SUBSTITUTE($H1052&amp;" "," ","|",3))+1,FIND("|",SUBSTITUTE($H1052&amp;" "," ","|",4))-FIND("|",SUBSTITUTE($H1052&amp;" "," ","|",3))-1),""))</f>
        <v/>
      </c>
      <c r="F1052" s="59">
        <f>IF($H1052="","",IFERROR(VALUE(IFERROR(MID($H1052&amp;" ",FIND("|",SUBSTITUTE($H1052&amp;" "," ","|",4))+1,FIND("|",SUBSTITUTE($H1052&amp;" "," ","|",5))-FIND("|",SUBSTITUTE($H1052&amp;" "," ","|",4))-1),""))/86400+25569+9/24,""))</f>
        <v/>
      </c>
      <c r="G1052" s="58">
        <f>TRIM(SUBSTITUTE(SUBSTITUTE(SUBSTITUTE($A1052,CHAR(9)," ")," "," "),CHAR(13),""))</f>
        <v/>
      </c>
      <c r="H1052" s="58">
        <f>IF($G1052="","",IF(ISNUMBER(FIND(" ",$G1052)),$G1052,IFERROR(IF((LEN(SUBSTITUTE(SUBSTITUTE($G1052,"-"," ",LEN($G1052)-LEN(SUBSTITUTE($G1052,"-",""))),"-"," ",LEN($G1052)-LEN(SUBSTITUTE($G1052,"-",""))-1))-LEN(SUBSTITUTE(SUBSTITUTE(SUBSTITUTE($G1052,"-"," ",LEN($G1052)-LEN(SUBSTITUTE($G1052,"-",""))),"-"," ",LEN($G1052)-LEN(SUBSTITUTE($G1052,"-",""))-1),".","")))=0,SUBSTITUTE(SUBSTITUTE($G1052,"-"," ",LEN($G1052)-LEN(SUBSTITUTE($G1052,"-",""))),"-"," ",LEN($G1052)-LEN(SUBSTITUTE($G1052,"-",""))-1),SUBSTITUTE(SUBSTITUTE(SUBSTITUTE($G1052,"-"," ",LEN($G1052)-LEN(SUBSTITUTE($G1052,"-",""))),"-"," ",LEN($G1052)-LEN(SUBSTITUTE($G1052,"-",""))-1),"."," ",(LEN(SUBSTITUTE(SUBSTITUTE($G1052,"-"," ",LEN($G1052)-LEN(SUBSTITUTE($G1052,"-",""))),"-"," ",LEN($G1052)-LEN(SUBSTITUTE($G1052,"-",""))-1))-LEN(SUBSTITUTE(SUBSTITUTE(SUBSTITUTE($G1052,"-"," ",LEN($G1052)-LEN(SUBSTITUTE($G1052,"-",""))),"-"," ",LEN($G1052)-LEN(SUBSTITUTE($G1052,"-",""))-1),".",""))))),$G1052)))</f>
        <v/>
      </c>
    </row>
    <row r="1053">
      <c r="A1053" s="58" t="n"/>
      <c r="B1053" s="58">
        <f>IF($H1053="","",LEFT($H1053,FIND(" ",$H1053&amp;" ")-1))</f>
        <v/>
      </c>
      <c r="C1053" s="58">
        <f>IF($H1053="","",IFERROR(MID($H1053&amp;" ",FIND("|",SUBSTITUTE($H1053&amp;" "," ","|",1))+1,FIND("|",SUBSTITUTE($H1053&amp;" "," ","|",2))-FIND("|",SUBSTITUTE($H1053&amp;" "," ","|",1))-1),""))</f>
        <v/>
      </c>
      <c r="D1053" s="58">
        <f>IF($H1053="","",IFERROR(MID($H1053&amp;" ",FIND("|",SUBSTITUTE($H1053&amp;" "," ","|",2))+1,FIND("|",SUBSTITUTE($H1053&amp;" "," ","|",3))-FIND("|",SUBSTITUTE($H1053&amp;" "," ","|",2))-1),""))</f>
        <v/>
      </c>
      <c r="E1053" s="58">
        <f>IF($H1053="","",IFERROR(MID($H1053&amp;" ",FIND("|",SUBSTITUTE($H1053&amp;" "," ","|",3))+1,FIND("|",SUBSTITUTE($H1053&amp;" "," ","|",4))-FIND("|",SUBSTITUTE($H1053&amp;" "," ","|",3))-1),""))</f>
        <v/>
      </c>
      <c r="F1053" s="59">
        <f>IF($H1053="","",IFERROR(VALUE(IFERROR(MID($H1053&amp;" ",FIND("|",SUBSTITUTE($H1053&amp;" "," ","|",4))+1,FIND("|",SUBSTITUTE($H1053&amp;" "," ","|",5))-FIND("|",SUBSTITUTE($H1053&amp;" "," ","|",4))-1),""))/86400+25569+9/24,""))</f>
        <v/>
      </c>
      <c r="G1053" s="58">
        <f>TRIM(SUBSTITUTE(SUBSTITUTE(SUBSTITUTE($A1053,CHAR(9)," ")," "," "),CHAR(13),""))</f>
        <v/>
      </c>
      <c r="H1053" s="58">
        <f>IF($G1053="","",IF(ISNUMBER(FIND(" ",$G1053)),$G1053,IFERROR(IF((LEN(SUBSTITUTE(SUBSTITUTE($G1053,"-"," ",LEN($G1053)-LEN(SUBSTITUTE($G1053,"-",""))),"-"," ",LEN($G1053)-LEN(SUBSTITUTE($G1053,"-",""))-1))-LEN(SUBSTITUTE(SUBSTITUTE(SUBSTITUTE($G1053,"-"," ",LEN($G1053)-LEN(SUBSTITUTE($G1053,"-",""))),"-"," ",LEN($G1053)-LEN(SUBSTITUTE($G1053,"-",""))-1),".","")))=0,SUBSTITUTE(SUBSTITUTE($G1053,"-"," ",LEN($G1053)-LEN(SUBSTITUTE($G1053,"-",""))),"-"," ",LEN($G1053)-LEN(SUBSTITUTE($G1053,"-",""))-1),SUBSTITUTE(SUBSTITUTE(SUBSTITUTE($G1053,"-"," ",LEN($G1053)-LEN(SUBSTITUTE($G1053,"-",""))),"-"," ",LEN($G1053)-LEN(SUBSTITUTE($G1053,"-",""))-1),"."," ",(LEN(SUBSTITUTE(SUBSTITUTE($G1053,"-"," ",LEN($G1053)-LEN(SUBSTITUTE($G1053,"-",""))),"-"," ",LEN($G1053)-LEN(SUBSTITUTE($G1053,"-",""))-1))-LEN(SUBSTITUTE(SUBSTITUTE(SUBSTITUTE($G1053,"-"," ",LEN($G1053)-LEN(SUBSTITUTE($G1053,"-",""))),"-"," ",LEN($G1053)-LEN(SUBSTITUTE($G1053,"-",""))-1),".",""))))),$G1053)))</f>
        <v/>
      </c>
    </row>
    <row r="1054">
      <c r="A1054" s="58" t="n"/>
      <c r="B1054" s="58">
        <f>IF($H1054="","",LEFT($H1054,FIND(" ",$H1054&amp;" ")-1))</f>
        <v/>
      </c>
      <c r="C1054" s="58">
        <f>IF($H1054="","",IFERROR(MID($H1054&amp;" ",FIND("|",SUBSTITUTE($H1054&amp;" "," ","|",1))+1,FIND("|",SUBSTITUTE($H1054&amp;" "," ","|",2))-FIND("|",SUBSTITUTE($H1054&amp;" "," ","|",1))-1),""))</f>
        <v/>
      </c>
      <c r="D1054" s="58">
        <f>IF($H1054="","",IFERROR(MID($H1054&amp;" ",FIND("|",SUBSTITUTE($H1054&amp;" "," ","|",2))+1,FIND("|",SUBSTITUTE($H1054&amp;" "," ","|",3))-FIND("|",SUBSTITUTE($H1054&amp;" "," ","|",2))-1),""))</f>
        <v/>
      </c>
      <c r="E1054" s="58">
        <f>IF($H1054="","",IFERROR(MID($H1054&amp;" ",FIND("|",SUBSTITUTE($H1054&amp;" "," ","|",3))+1,FIND("|",SUBSTITUTE($H1054&amp;" "," ","|",4))-FIND("|",SUBSTITUTE($H1054&amp;" "," ","|",3))-1),""))</f>
        <v/>
      </c>
      <c r="F1054" s="59">
        <f>IF($H1054="","",IFERROR(VALUE(IFERROR(MID($H1054&amp;" ",FIND("|",SUBSTITUTE($H1054&amp;" "," ","|",4))+1,FIND("|",SUBSTITUTE($H1054&amp;" "," ","|",5))-FIND("|",SUBSTITUTE($H1054&amp;" "," ","|",4))-1),""))/86400+25569+9/24,""))</f>
        <v/>
      </c>
      <c r="G1054" s="58">
        <f>TRIM(SUBSTITUTE(SUBSTITUTE(SUBSTITUTE($A1054,CHAR(9)," ")," "," "),CHAR(13),""))</f>
        <v/>
      </c>
      <c r="H1054" s="58">
        <f>IF($G1054="","",IF(ISNUMBER(FIND(" ",$G1054)),$G1054,IFERROR(IF((LEN(SUBSTITUTE(SUBSTITUTE($G1054,"-"," ",LEN($G1054)-LEN(SUBSTITUTE($G1054,"-",""))),"-"," ",LEN($G1054)-LEN(SUBSTITUTE($G1054,"-",""))-1))-LEN(SUBSTITUTE(SUBSTITUTE(SUBSTITUTE($G1054,"-"," ",LEN($G1054)-LEN(SUBSTITUTE($G1054,"-",""))),"-"," ",LEN($G1054)-LEN(SUBSTITUTE($G1054,"-",""))-1),".","")))=0,SUBSTITUTE(SUBSTITUTE($G1054,"-"," ",LEN($G1054)-LEN(SUBSTITUTE($G1054,"-",""))),"-"," ",LEN($G1054)-LEN(SUBSTITUTE($G1054,"-",""))-1),SUBSTITUTE(SUBSTITUTE(SUBSTITUTE($G1054,"-"," ",LEN($G1054)-LEN(SUBSTITUTE($G1054,"-",""))),"-"," ",LEN($G1054)-LEN(SUBSTITUTE($G1054,"-",""))-1),"."," ",(LEN(SUBSTITUTE(SUBSTITUTE($G1054,"-"," ",LEN($G1054)-LEN(SUBSTITUTE($G1054,"-",""))),"-"," ",LEN($G1054)-LEN(SUBSTITUTE($G1054,"-",""))-1))-LEN(SUBSTITUTE(SUBSTITUTE(SUBSTITUTE($G1054,"-"," ",LEN($G1054)-LEN(SUBSTITUTE($G1054,"-",""))),"-"," ",LEN($G1054)-LEN(SUBSTITUTE($G1054,"-",""))-1),".",""))))),$G1054)))</f>
        <v/>
      </c>
    </row>
    <row r="1055">
      <c r="A1055" s="58" t="n"/>
      <c r="B1055" s="58">
        <f>IF($H1055="","",LEFT($H1055,FIND(" ",$H1055&amp;" ")-1))</f>
        <v/>
      </c>
      <c r="C1055" s="58">
        <f>IF($H1055="","",IFERROR(MID($H1055&amp;" ",FIND("|",SUBSTITUTE($H1055&amp;" "," ","|",1))+1,FIND("|",SUBSTITUTE($H1055&amp;" "," ","|",2))-FIND("|",SUBSTITUTE($H1055&amp;" "," ","|",1))-1),""))</f>
        <v/>
      </c>
      <c r="D1055" s="58">
        <f>IF($H1055="","",IFERROR(MID($H1055&amp;" ",FIND("|",SUBSTITUTE($H1055&amp;" "," ","|",2))+1,FIND("|",SUBSTITUTE($H1055&amp;" "," ","|",3))-FIND("|",SUBSTITUTE($H1055&amp;" "," ","|",2))-1),""))</f>
        <v/>
      </c>
      <c r="E1055" s="58">
        <f>IF($H1055="","",IFERROR(MID($H1055&amp;" ",FIND("|",SUBSTITUTE($H1055&amp;" "," ","|",3))+1,FIND("|",SUBSTITUTE($H1055&amp;" "," ","|",4))-FIND("|",SUBSTITUTE($H1055&amp;" "," ","|",3))-1),""))</f>
        <v/>
      </c>
      <c r="F1055" s="59">
        <f>IF($H1055="","",IFERROR(VALUE(IFERROR(MID($H1055&amp;" ",FIND("|",SUBSTITUTE($H1055&amp;" "," ","|",4))+1,FIND("|",SUBSTITUTE($H1055&amp;" "," ","|",5))-FIND("|",SUBSTITUTE($H1055&amp;" "," ","|",4))-1),""))/86400+25569+9/24,""))</f>
        <v/>
      </c>
      <c r="G1055" s="58">
        <f>TRIM(SUBSTITUTE(SUBSTITUTE(SUBSTITUTE($A1055,CHAR(9)," ")," "," "),CHAR(13),""))</f>
        <v/>
      </c>
      <c r="H1055" s="58">
        <f>IF($G1055="","",IF(ISNUMBER(FIND(" ",$G1055)),$G1055,IFERROR(IF((LEN(SUBSTITUTE(SUBSTITUTE($G1055,"-"," ",LEN($G1055)-LEN(SUBSTITUTE($G1055,"-",""))),"-"," ",LEN($G1055)-LEN(SUBSTITUTE($G1055,"-",""))-1))-LEN(SUBSTITUTE(SUBSTITUTE(SUBSTITUTE($G1055,"-"," ",LEN($G1055)-LEN(SUBSTITUTE($G1055,"-",""))),"-"," ",LEN($G1055)-LEN(SUBSTITUTE($G1055,"-",""))-1),".","")))=0,SUBSTITUTE(SUBSTITUTE($G1055,"-"," ",LEN($G1055)-LEN(SUBSTITUTE($G1055,"-",""))),"-"," ",LEN($G1055)-LEN(SUBSTITUTE($G1055,"-",""))-1),SUBSTITUTE(SUBSTITUTE(SUBSTITUTE($G1055,"-"," ",LEN($G1055)-LEN(SUBSTITUTE($G1055,"-",""))),"-"," ",LEN($G1055)-LEN(SUBSTITUTE($G1055,"-",""))-1),"."," ",(LEN(SUBSTITUTE(SUBSTITUTE($G1055,"-"," ",LEN($G1055)-LEN(SUBSTITUTE($G1055,"-",""))),"-"," ",LEN($G1055)-LEN(SUBSTITUTE($G1055,"-",""))-1))-LEN(SUBSTITUTE(SUBSTITUTE(SUBSTITUTE($G1055,"-"," ",LEN($G1055)-LEN(SUBSTITUTE($G1055,"-",""))),"-"," ",LEN($G1055)-LEN(SUBSTITUTE($G1055,"-",""))-1),".",""))))),$G1055)))</f>
        <v/>
      </c>
    </row>
    <row r="1056">
      <c r="A1056" s="58" t="n"/>
      <c r="B1056" s="58">
        <f>IF($H1056="","",LEFT($H1056,FIND(" ",$H1056&amp;" ")-1))</f>
        <v/>
      </c>
      <c r="C1056" s="58">
        <f>IF($H1056="","",IFERROR(MID($H1056&amp;" ",FIND("|",SUBSTITUTE($H1056&amp;" "," ","|",1))+1,FIND("|",SUBSTITUTE($H1056&amp;" "," ","|",2))-FIND("|",SUBSTITUTE($H1056&amp;" "," ","|",1))-1),""))</f>
        <v/>
      </c>
      <c r="D1056" s="58">
        <f>IF($H1056="","",IFERROR(MID($H1056&amp;" ",FIND("|",SUBSTITUTE($H1056&amp;" "," ","|",2))+1,FIND("|",SUBSTITUTE($H1056&amp;" "," ","|",3))-FIND("|",SUBSTITUTE($H1056&amp;" "," ","|",2))-1),""))</f>
        <v/>
      </c>
      <c r="E1056" s="58">
        <f>IF($H1056="","",IFERROR(MID($H1056&amp;" ",FIND("|",SUBSTITUTE($H1056&amp;" "," ","|",3))+1,FIND("|",SUBSTITUTE($H1056&amp;" "," ","|",4))-FIND("|",SUBSTITUTE($H1056&amp;" "," ","|",3))-1),""))</f>
        <v/>
      </c>
      <c r="F1056" s="59">
        <f>IF($H1056="","",IFERROR(VALUE(IFERROR(MID($H1056&amp;" ",FIND("|",SUBSTITUTE($H1056&amp;" "," ","|",4))+1,FIND("|",SUBSTITUTE($H1056&amp;" "," ","|",5))-FIND("|",SUBSTITUTE($H1056&amp;" "," ","|",4))-1),""))/86400+25569+9/24,""))</f>
        <v/>
      </c>
      <c r="G1056" s="58">
        <f>TRIM(SUBSTITUTE(SUBSTITUTE(SUBSTITUTE($A1056,CHAR(9)," ")," "," "),CHAR(13),""))</f>
        <v/>
      </c>
      <c r="H1056" s="58">
        <f>IF($G1056="","",IF(ISNUMBER(FIND(" ",$G1056)),$G1056,IFERROR(IF((LEN(SUBSTITUTE(SUBSTITUTE($G1056,"-"," ",LEN($G1056)-LEN(SUBSTITUTE($G1056,"-",""))),"-"," ",LEN($G1056)-LEN(SUBSTITUTE($G1056,"-",""))-1))-LEN(SUBSTITUTE(SUBSTITUTE(SUBSTITUTE($G1056,"-"," ",LEN($G1056)-LEN(SUBSTITUTE($G1056,"-",""))),"-"," ",LEN($G1056)-LEN(SUBSTITUTE($G1056,"-",""))-1),".","")))=0,SUBSTITUTE(SUBSTITUTE($G1056,"-"," ",LEN($G1056)-LEN(SUBSTITUTE($G1056,"-",""))),"-"," ",LEN($G1056)-LEN(SUBSTITUTE($G1056,"-",""))-1),SUBSTITUTE(SUBSTITUTE(SUBSTITUTE($G1056,"-"," ",LEN($G1056)-LEN(SUBSTITUTE($G1056,"-",""))),"-"," ",LEN($G1056)-LEN(SUBSTITUTE($G1056,"-",""))-1),"."," ",(LEN(SUBSTITUTE(SUBSTITUTE($G1056,"-"," ",LEN($G1056)-LEN(SUBSTITUTE($G1056,"-",""))),"-"," ",LEN($G1056)-LEN(SUBSTITUTE($G1056,"-",""))-1))-LEN(SUBSTITUTE(SUBSTITUTE(SUBSTITUTE($G1056,"-"," ",LEN($G1056)-LEN(SUBSTITUTE($G1056,"-",""))),"-"," ",LEN($G1056)-LEN(SUBSTITUTE($G1056,"-",""))-1),".",""))))),$G1056)))</f>
        <v/>
      </c>
    </row>
    <row r="1057">
      <c r="A1057" s="58" t="n"/>
      <c r="B1057" s="58">
        <f>IF($H1057="","",LEFT($H1057,FIND(" ",$H1057&amp;" ")-1))</f>
        <v/>
      </c>
      <c r="C1057" s="58">
        <f>IF($H1057="","",IFERROR(MID($H1057&amp;" ",FIND("|",SUBSTITUTE($H1057&amp;" "," ","|",1))+1,FIND("|",SUBSTITUTE($H1057&amp;" "," ","|",2))-FIND("|",SUBSTITUTE($H1057&amp;" "," ","|",1))-1),""))</f>
        <v/>
      </c>
      <c r="D1057" s="58">
        <f>IF($H1057="","",IFERROR(MID($H1057&amp;" ",FIND("|",SUBSTITUTE($H1057&amp;" "," ","|",2))+1,FIND("|",SUBSTITUTE($H1057&amp;" "," ","|",3))-FIND("|",SUBSTITUTE($H1057&amp;" "," ","|",2))-1),""))</f>
        <v/>
      </c>
      <c r="E1057" s="58">
        <f>IF($H1057="","",IFERROR(MID($H1057&amp;" ",FIND("|",SUBSTITUTE($H1057&amp;" "," ","|",3))+1,FIND("|",SUBSTITUTE($H1057&amp;" "," ","|",4))-FIND("|",SUBSTITUTE($H1057&amp;" "," ","|",3))-1),""))</f>
        <v/>
      </c>
      <c r="F1057" s="59">
        <f>IF($H1057="","",IFERROR(VALUE(IFERROR(MID($H1057&amp;" ",FIND("|",SUBSTITUTE($H1057&amp;" "," ","|",4))+1,FIND("|",SUBSTITUTE($H1057&amp;" "," ","|",5))-FIND("|",SUBSTITUTE($H1057&amp;" "," ","|",4))-1),""))/86400+25569+9/24,""))</f>
        <v/>
      </c>
      <c r="G1057" s="58">
        <f>TRIM(SUBSTITUTE(SUBSTITUTE(SUBSTITUTE($A1057,CHAR(9)," ")," "," "),CHAR(13),""))</f>
        <v/>
      </c>
      <c r="H1057" s="58">
        <f>IF($G1057="","",IF(ISNUMBER(FIND(" ",$G1057)),$G1057,IFERROR(IF((LEN(SUBSTITUTE(SUBSTITUTE($G1057,"-"," ",LEN($G1057)-LEN(SUBSTITUTE($G1057,"-",""))),"-"," ",LEN($G1057)-LEN(SUBSTITUTE($G1057,"-",""))-1))-LEN(SUBSTITUTE(SUBSTITUTE(SUBSTITUTE($G1057,"-"," ",LEN($G1057)-LEN(SUBSTITUTE($G1057,"-",""))),"-"," ",LEN($G1057)-LEN(SUBSTITUTE($G1057,"-",""))-1),".","")))=0,SUBSTITUTE(SUBSTITUTE($G1057,"-"," ",LEN($G1057)-LEN(SUBSTITUTE($G1057,"-",""))),"-"," ",LEN($G1057)-LEN(SUBSTITUTE($G1057,"-",""))-1),SUBSTITUTE(SUBSTITUTE(SUBSTITUTE($G1057,"-"," ",LEN($G1057)-LEN(SUBSTITUTE($G1057,"-",""))),"-"," ",LEN($G1057)-LEN(SUBSTITUTE($G1057,"-",""))-1),"."," ",(LEN(SUBSTITUTE(SUBSTITUTE($G1057,"-"," ",LEN($G1057)-LEN(SUBSTITUTE($G1057,"-",""))),"-"," ",LEN($G1057)-LEN(SUBSTITUTE($G1057,"-",""))-1))-LEN(SUBSTITUTE(SUBSTITUTE(SUBSTITUTE($G1057,"-"," ",LEN($G1057)-LEN(SUBSTITUTE($G1057,"-",""))),"-"," ",LEN($G1057)-LEN(SUBSTITUTE($G1057,"-",""))-1),".",""))))),$G1057)))</f>
        <v/>
      </c>
    </row>
    <row r="1058">
      <c r="A1058" s="58" t="n"/>
      <c r="B1058" s="58">
        <f>IF($H1058="","",LEFT($H1058,FIND(" ",$H1058&amp;" ")-1))</f>
        <v/>
      </c>
      <c r="C1058" s="58">
        <f>IF($H1058="","",IFERROR(MID($H1058&amp;" ",FIND("|",SUBSTITUTE($H1058&amp;" "," ","|",1))+1,FIND("|",SUBSTITUTE($H1058&amp;" "," ","|",2))-FIND("|",SUBSTITUTE($H1058&amp;" "," ","|",1))-1),""))</f>
        <v/>
      </c>
      <c r="D1058" s="58">
        <f>IF($H1058="","",IFERROR(MID($H1058&amp;" ",FIND("|",SUBSTITUTE($H1058&amp;" "," ","|",2))+1,FIND("|",SUBSTITUTE($H1058&amp;" "," ","|",3))-FIND("|",SUBSTITUTE($H1058&amp;" "," ","|",2))-1),""))</f>
        <v/>
      </c>
      <c r="E1058" s="58">
        <f>IF($H1058="","",IFERROR(MID($H1058&amp;" ",FIND("|",SUBSTITUTE($H1058&amp;" "," ","|",3))+1,FIND("|",SUBSTITUTE($H1058&amp;" "," ","|",4))-FIND("|",SUBSTITUTE($H1058&amp;" "," ","|",3))-1),""))</f>
        <v/>
      </c>
      <c r="F1058" s="59">
        <f>IF($H1058="","",IFERROR(VALUE(IFERROR(MID($H1058&amp;" ",FIND("|",SUBSTITUTE($H1058&amp;" "," ","|",4))+1,FIND("|",SUBSTITUTE($H1058&amp;" "," ","|",5))-FIND("|",SUBSTITUTE($H1058&amp;" "," ","|",4))-1),""))/86400+25569+9/24,""))</f>
        <v/>
      </c>
      <c r="G1058" s="58">
        <f>TRIM(SUBSTITUTE(SUBSTITUTE(SUBSTITUTE($A1058,CHAR(9)," ")," "," "),CHAR(13),""))</f>
        <v/>
      </c>
      <c r="H1058" s="58">
        <f>IF($G1058="","",IF(ISNUMBER(FIND(" ",$G1058)),$G1058,IFERROR(IF((LEN(SUBSTITUTE(SUBSTITUTE($G1058,"-"," ",LEN($G1058)-LEN(SUBSTITUTE($G1058,"-",""))),"-"," ",LEN($G1058)-LEN(SUBSTITUTE($G1058,"-",""))-1))-LEN(SUBSTITUTE(SUBSTITUTE(SUBSTITUTE($G1058,"-"," ",LEN($G1058)-LEN(SUBSTITUTE($G1058,"-",""))),"-"," ",LEN($G1058)-LEN(SUBSTITUTE($G1058,"-",""))-1),".","")))=0,SUBSTITUTE(SUBSTITUTE($G1058,"-"," ",LEN($G1058)-LEN(SUBSTITUTE($G1058,"-",""))),"-"," ",LEN($G1058)-LEN(SUBSTITUTE($G1058,"-",""))-1),SUBSTITUTE(SUBSTITUTE(SUBSTITUTE($G1058,"-"," ",LEN($G1058)-LEN(SUBSTITUTE($G1058,"-",""))),"-"," ",LEN($G1058)-LEN(SUBSTITUTE($G1058,"-",""))-1),"."," ",(LEN(SUBSTITUTE(SUBSTITUTE($G1058,"-"," ",LEN($G1058)-LEN(SUBSTITUTE($G1058,"-",""))),"-"," ",LEN($G1058)-LEN(SUBSTITUTE($G1058,"-",""))-1))-LEN(SUBSTITUTE(SUBSTITUTE(SUBSTITUTE($G1058,"-"," ",LEN($G1058)-LEN(SUBSTITUTE($G1058,"-",""))),"-"," ",LEN($G1058)-LEN(SUBSTITUTE($G1058,"-",""))-1),".",""))))),$G1058)))</f>
        <v/>
      </c>
    </row>
    <row r="1059">
      <c r="A1059" s="58" t="n"/>
      <c r="B1059" s="58">
        <f>IF($H1059="","",LEFT($H1059,FIND(" ",$H1059&amp;" ")-1))</f>
        <v/>
      </c>
      <c r="C1059" s="58">
        <f>IF($H1059="","",IFERROR(MID($H1059&amp;" ",FIND("|",SUBSTITUTE($H1059&amp;" "," ","|",1))+1,FIND("|",SUBSTITUTE($H1059&amp;" "," ","|",2))-FIND("|",SUBSTITUTE($H1059&amp;" "," ","|",1))-1),""))</f>
        <v/>
      </c>
      <c r="D1059" s="58">
        <f>IF($H1059="","",IFERROR(MID($H1059&amp;" ",FIND("|",SUBSTITUTE($H1059&amp;" "," ","|",2))+1,FIND("|",SUBSTITUTE($H1059&amp;" "," ","|",3))-FIND("|",SUBSTITUTE($H1059&amp;" "," ","|",2))-1),""))</f>
        <v/>
      </c>
      <c r="E1059" s="58">
        <f>IF($H1059="","",IFERROR(MID($H1059&amp;" ",FIND("|",SUBSTITUTE($H1059&amp;" "," ","|",3))+1,FIND("|",SUBSTITUTE($H1059&amp;" "," ","|",4))-FIND("|",SUBSTITUTE($H1059&amp;" "," ","|",3))-1),""))</f>
        <v/>
      </c>
      <c r="F1059" s="59">
        <f>IF($H1059="","",IFERROR(VALUE(IFERROR(MID($H1059&amp;" ",FIND("|",SUBSTITUTE($H1059&amp;" "," ","|",4))+1,FIND("|",SUBSTITUTE($H1059&amp;" "," ","|",5))-FIND("|",SUBSTITUTE($H1059&amp;" "," ","|",4))-1),""))/86400+25569+9/24,""))</f>
        <v/>
      </c>
      <c r="G1059" s="58">
        <f>TRIM(SUBSTITUTE(SUBSTITUTE(SUBSTITUTE($A1059,CHAR(9)," ")," "," "),CHAR(13),""))</f>
        <v/>
      </c>
      <c r="H1059" s="58">
        <f>IF($G1059="","",IF(ISNUMBER(FIND(" ",$G1059)),$G1059,IFERROR(IF((LEN(SUBSTITUTE(SUBSTITUTE($G1059,"-"," ",LEN($G1059)-LEN(SUBSTITUTE($G1059,"-",""))),"-"," ",LEN($G1059)-LEN(SUBSTITUTE($G1059,"-",""))-1))-LEN(SUBSTITUTE(SUBSTITUTE(SUBSTITUTE($G1059,"-"," ",LEN($G1059)-LEN(SUBSTITUTE($G1059,"-",""))),"-"," ",LEN($G1059)-LEN(SUBSTITUTE($G1059,"-",""))-1),".","")))=0,SUBSTITUTE(SUBSTITUTE($G1059,"-"," ",LEN($G1059)-LEN(SUBSTITUTE($G1059,"-",""))),"-"," ",LEN($G1059)-LEN(SUBSTITUTE($G1059,"-",""))-1),SUBSTITUTE(SUBSTITUTE(SUBSTITUTE($G1059,"-"," ",LEN($G1059)-LEN(SUBSTITUTE($G1059,"-",""))),"-"," ",LEN($G1059)-LEN(SUBSTITUTE($G1059,"-",""))-1),"."," ",(LEN(SUBSTITUTE(SUBSTITUTE($G1059,"-"," ",LEN($G1059)-LEN(SUBSTITUTE($G1059,"-",""))),"-"," ",LEN($G1059)-LEN(SUBSTITUTE($G1059,"-",""))-1))-LEN(SUBSTITUTE(SUBSTITUTE(SUBSTITUTE($G1059,"-"," ",LEN($G1059)-LEN(SUBSTITUTE($G1059,"-",""))),"-"," ",LEN($G1059)-LEN(SUBSTITUTE($G1059,"-",""))-1),".",""))))),$G1059)))</f>
        <v/>
      </c>
    </row>
    <row r="1060">
      <c r="A1060" s="58" t="n"/>
      <c r="B1060" s="58">
        <f>IF($H1060="","",LEFT($H1060,FIND(" ",$H1060&amp;" ")-1))</f>
        <v/>
      </c>
      <c r="C1060" s="58">
        <f>IF($H1060="","",IFERROR(MID($H1060&amp;" ",FIND("|",SUBSTITUTE($H1060&amp;" "," ","|",1))+1,FIND("|",SUBSTITUTE($H1060&amp;" "," ","|",2))-FIND("|",SUBSTITUTE($H1060&amp;" "," ","|",1))-1),""))</f>
        <v/>
      </c>
      <c r="D1060" s="58">
        <f>IF($H1060="","",IFERROR(MID($H1060&amp;" ",FIND("|",SUBSTITUTE($H1060&amp;" "," ","|",2))+1,FIND("|",SUBSTITUTE($H1060&amp;" "," ","|",3))-FIND("|",SUBSTITUTE($H1060&amp;" "," ","|",2))-1),""))</f>
        <v/>
      </c>
      <c r="E1060" s="58">
        <f>IF($H1060="","",IFERROR(MID($H1060&amp;" ",FIND("|",SUBSTITUTE($H1060&amp;" "," ","|",3))+1,FIND("|",SUBSTITUTE($H1060&amp;" "," ","|",4))-FIND("|",SUBSTITUTE($H1060&amp;" "," ","|",3))-1),""))</f>
        <v/>
      </c>
      <c r="F1060" s="59">
        <f>IF($H1060="","",IFERROR(VALUE(IFERROR(MID($H1060&amp;" ",FIND("|",SUBSTITUTE($H1060&amp;" "," ","|",4))+1,FIND("|",SUBSTITUTE($H1060&amp;" "," ","|",5))-FIND("|",SUBSTITUTE($H1060&amp;" "," ","|",4))-1),""))/86400+25569+9/24,""))</f>
        <v/>
      </c>
      <c r="G1060" s="58">
        <f>TRIM(SUBSTITUTE(SUBSTITUTE(SUBSTITUTE($A1060,CHAR(9)," ")," "," "),CHAR(13),""))</f>
        <v/>
      </c>
      <c r="H1060" s="58">
        <f>IF($G1060="","",IF(ISNUMBER(FIND(" ",$G1060)),$G1060,IFERROR(IF((LEN(SUBSTITUTE(SUBSTITUTE($G1060,"-"," ",LEN($G1060)-LEN(SUBSTITUTE($G1060,"-",""))),"-"," ",LEN($G1060)-LEN(SUBSTITUTE($G1060,"-",""))-1))-LEN(SUBSTITUTE(SUBSTITUTE(SUBSTITUTE($G1060,"-"," ",LEN($G1060)-LEN(SUBSTITUTE($G1060,"-",""))),"-"," ",LEN($G1060)-LEN(SUBSTITUTE($G1060,"-",""))-1),".","")))=0,SUBSTITUTE(SUBSTITUTE($G1060,"-"," ",LEN($G1060)-LEN(SUBSTITUTE($G1060,"-",""))),"-"," ",LEN($G1060)-LEN(SUBSTITUTE($G1060,"-",""))-1),SUBSTITUTE(SUBSTITUTE(SUBSTITUTE($G1060,"-"," ",LEN($G1060)-LEN(SUBSTITUTE($G1060,"-",""))),"-"," ",LEN($G1060)-LEN(SUBSTITUTE($G1060,"-",""))-1),"."," ",(LEN(SUBSTITUTE(SUBSTITUTE($G1060,"-"," ",LEN($G1060)-LEN(SUBSTITUTE($G1060,"-",""))),"-"," ",LEN($G1060)-LEN(SUBSTITUTE($G1060,"-",""))-1))-LEN(SUBSTITUTE(SUBSTITUTE(SUBSTITUTE($G1060,"-"," ",LEN($G1060)-LEN(SUBSTITUTE($G1060,"-",""))),"-"," ",LEN($G1060)-LEN(SUBSTITUTE($G1060,"-",""))-1),".",""))))),$G1060)))</f>
        <v/>
      </c>
    </row>
    <row r="1061">
      <c r="A1061" s="58" t="n"/>
      <c r="B1061" s="58">
        <f>IF($H1061="","",LEFT($H1061,FIND(" ",$H1061&amp;" ")-1))</f>
        <v/>
      </c>
      <c r="C1061" s="58">
        <f>IF($H1061="","",IFERROR(MID($H1061&amp;" ",FIND("|",SUBSTITUTE($H1061&amp;" "," ","|",1))+1,FIND("|",SUBSTITUTE($H1061&amp;" "," ","|",2))-FIND("|",SUBSTITUTE($H1061&amp;" "," ","|",1))-1),""))</f>
        <v/>
      </c>
      <c r="D1061" s="58">
        <f>IF($H1061="","",IFERROR(MID($H1061&amp;" ",FIND("|",SUBSTITUTE($H1061&amp;" "," ","|",2))+1,FIND("|",SUBSTITUTE($H1061&amp;" "," ","|",3))-FIND("|",SUBSTITUTE($H1061&amp;" "," ","|",2))-1),""))</f>
        <v/>
      </c>
      <c r="E1061" s="58">
        <f>IF($H1061="","",IFERROR(MID($H1061&amp;" ",FIND("|",SUBSTITUTE($H1061&amp;" "," ","|",3))+1,FIND("|",SUBSTITUTE($H1061&amp;" "," ","|",4))-FIND("|",SUBSTITUTE($H1061&amp;" "," ","|",3))-1),""))</f>
        <v/>
      </c>
      <c r="F1061" s="59">
        <f>IF($H1061="","",IFERROR(VALUE(IFERROR(MID($H1061&amp;" ",FIND("|",SUBSTITUTE($H1061&amp;" "," ","|",4))+1,FIND("|",SUBSTITUTE($H1061&amp;" "," ","|",5))-FIND("|",SUBSTITUTE($H1061&amp;" "," ","|",4))-1),""))/86400+25569+9/24,""))</f>
        <v/>
      </c>
      <c r="G1061" s="58">
        <f>TRIM(SUBSTITUTE(SUBSTITUTE(SUBSTITUTE($A1061,CHAR(9)," ")," "," "),CHAR(13),""))</f>
        <v/>
      </c>
      <c r="H1061" s="58">
        <f>IF($G1061="","",IF(ISNUMBER(FIND(" ",$G1061)),$G1061,IFERROR(IF((LEN(SUBSTITUTE(SUBSTITUTE($G1061,"-"," ",LEN($G1061)-LEN(SUBSTITUTE($G1061,"-",""))),"-"," ",LEN($G1061)-LEN(SUBSTITUTE($G1061,"-",""))-1))-LEN(SUBSTITUTE(SUBSTITUTE(SUBSTITUTE($G1061,"-"," ",LEN($G1061)-LEN(SUBSTITUTE($G1061,"-",""))),"-"," ",LEN($G1061)-LEN(SUBSTITUTE($G1061,"-",""))-1),".","")))=0,SUBSTITUTE(SUBSTITUTE($G1061,"-"," ",LEN($G1061)-LEN(SUBSTITUTE($G1061,"-",""))),"-"," ",LEN($G1061)-LEN(SUBSTITUTE($G1061,"-",""))-1),SUBSTITUTE(SUBSTITUTE(SUBSTITUTE($G1061,"-"," ",LEN($G1061)-LEN(SUBSTITUTE($G1061,"-",""))),"-"," ",LEN($G1061)-LEN(SUBSTITUTE($G1061,"-",""))-1),"."," ",(LEN(SUBSTITUTE(SUBSTITUTE($G1061,"-"," ",LEN($G1061)-LEN(SUBSTITUTE($G1061,"-",""))),"-"," ",LEN($G1061)-LEN(SUBSTITUTE($G1061,"-",""))-1))-LEN(SUBSTITUTE(SUBSTITUTE(SUBSTITUTE($G1061,"-"," ",LEN($G1061)-LEN(SUBSTITUTE($G1061,"-",""))),"-"," ",LEN($G1061)-LEN(SUBSTITUTE($G1061,"-",""))-1),".",""))))),$G1061)))</f>
        <v/>
      </c>
    </row>
    <row r="1062">
      <c r="A1062" s="58" t="n"/>
      <c r="B1062" s="58">
        <f>IF($H1062="","",LEFT($H1062,FIND(" ",$H1062&amp;" ")-1))</f>
        <v/>
      </c>
      <c r="C1062" s="58">
        <f>IF($H1062="","",IFERROR(MID($H1062&amp;" ",FIND("|",SUBSTITUTE($H1062&amp;" "," ","|",1))+1,FIND("|",SUBSTITUTE($H1062&amp;" "," ","|",2))-FIND("|",SUBSTITUTE($H1062&amp;" "," ","|",1))-1),""))</f>
        <v/>
      </c>
      <c r="D1062" s="58">
        <f>IF($H1062="","",IFERROR(MID($H1062&amp;" ",FIND("|",SUBSTITUTE($H1062&amp;" "," ","|",2))+1,FIND("|",SUBSTITUTE($H1062&amp;" "," ","|",3))-FIND("|",SUBSTITUTE($H1062&amp;" "," ","|",2))-1),""))</f>
        <v/>
      </c>
      <c r="E1062" s="58">
        <f>IF($H1062="","",IFERROR(MID($H1062&amp;" ",FIND("|",SUBSTITUTE($H1062&amp;" "," ","|",3))+1,FIND("|",SUBSTITUTE($H1062&amp;" "," ","|",4))-FIND("|",SUBSTITUTE($H1062&amp;" "," ","|",3))-1),""))</f>
        <v/>
      </c>
      <c r="F1062" s="59">
        <f>IF($H1062="","",IFERROR(VALUE(IFERROR(MID($H1062&amp;" ",FIND("|",SUBSTITUTE($H1062&amp;" "," ","|",4))+1,FIND("|",SUBSTITUTE($H1062&amp;" "," ","|",5))-FIND("|",SUBSTITUTE($H1062&amp;" "," ","|",4))-1),""))/86400+25569+9/24,""))</f>
        <v/>
      </c>
      <c r="G1062" s="58">
        <f>TRIM(SUBSTITUTE(SUBSTITUTE(SUBSTITUTE($A1062,CHAR(9)," ")," "," "),CHAR(13),""))</f>
        <v/>
      </c>
      <c r="H1062" s="58">
        <f>IF($G1062="","",IF(ISNUMBER(FIND(" ",$G1062)),$G1062,IFERROR(IF((LEN(SUBSTITUTE(SUBSTITUTE($G1062,"-"," ",LEN($G1062)-LEN(SUBSTITUTE($G1062,"-",""))),"-"," ",LEN($G1062)-LEN(SUBSTITUTE($G1062,"-",""))-1))-LEN(SUBSTITUTE(SUBSTITUTE(SUBSTITUTE($G1062,"-"," ",LEN($G1062)-LEN(SUBSTITUTE($G1062,"-",""))),"-"," ",LEN($G1062)-LEN(SUBSTITUTE($G1062,"-",""))-1),".","")))=0,SUBSTITUTE(SUBSTITUTE($G1062,"-"," ",LEN($G1062)-LEN(SUBSTITUTE($G1062,"-",""))),"-"," ",LEN($G1062)-LEN(SUBSTITUTE($G1062,"-",""))-1),SUBSTITUTE(SUBSTITUTE(SUBSTITUTE($G1062,"-"," ",LEN($G1062)-LEN(SUBSTITUTE($G1062,"-",""))),"-"," ",LEN($G1062)-LEN(SUBSTITUTE($G1062,"-",""))-1),"."," ",(LEN(SUBSTITUTE(SUBSTITUTE($G1062,"-"," ",LEN($G1062)-LEN(SUBSTITUTE($G1062,"-",""))),"-"," ",LEN($G1062)-LEN(SUBSTITUTE($G1062,"-",""))-1))-LEN(SUBSTITUTE(SUBSTITUTE(SUBSTITUTE($G1062,"-"," ",LEN($G1062)-LEN(SUBSTITUTE($G1062,"-",""))),"-"," ",LEN($G1062)-LEN(SUBSTITUTE($G1062,"-",""))-1),".",""))))),$G1062)))</f>
        <v/>
      </c>
    </row>
    <row r="1063">
      <c r="A1063" s="58" t="n"/>
      <c r="B1063" s="58">
        <f>IF($H1063="","",LEFT($H1063,FIND(" ",$H1063&amp;" ")-1))</f>
        <v/>
      </c>
      <c r="C1063" s="58">
        <f>IF($H1063="","",IFERROR(MID($H1063&amp;" ",FIND("|",SUBSTITUTE($H1063&amp;" "," ","|",1))+1,FIND("|",SUBSTITUTE($H1063&amp;" "," ","|",2))-FIND("|",SUBSTITUTE($H1063&amp;" "," ","|",1))-1),""))</f>
        <v/>
      </c>
      <c r="D1063" s="58">
        <f>IF($H1063="","",IFERROR(MID($H1063&amp;" ",FIND("|",SUBSTITUTE($H1063&amp;" "," ","|",2))+1,FIND("|",SUBSTITUTE($H1063&amp;" "," ","|",3))-FIND("|",SUBSTITUTE($H1063&amp;" "," ","|",2))-1),""))</f>
        <v/>
      </c>
      <c r="E1063" s="58">
        <f>IF($H1063="","",IFERROR(MID($H1063&amp;" ",FIND("|",SUBSTITUTE($H1063&amp;" "," ","|",3))+1,FIND("|",SUBSTITUTE($H1063&amp;" "," ","|",4))-FIND("|",SUBSTITUTE($H1063&amp;" "," ","|",3))-1),""))</f>
        <v/>
      </c>
      <c r="F1063" s="59">
        <f>IF($H1063="","",IFERROR(VALUE(IFERROR(MID($H1063&amp;" ",FIND("|",SUBSTITUTE($H1063&amp;" "," ","|",4))+1,FIND("|",SUBSTITUTE($H1063&amp;" "," ","|",5))-FIND("|",SUBSTITUTE($H1063&amp;" "," ","|",4))-1),""))/86400+25569+9/24,""))</f>
        <v/>
      </c>
      <c r="G1063" s="58">
        <f>TRIM(SUBSTITUTE(SUBSTITUTE(SUBSTITUTE($A1063,CHAR(9)," ")," "," "),CHAR(13),""))</f>
        <v/>
      </c>
      <c r="H1063" s="58">
        <f>IF($G1063="","",IF(ISNUMBER(FIND(" ",$G1063)),$G1063,IFERROR(IF((LEN(SUBSTITUTE(SUBSTITUTE($G1063,"-"," ",LEN($G1063)-LEN(SUBSTITUTE($G1063,"-",""))),"-"," ",LEN($G1063)-LEN(SUBSTITUTE($G1063,"-",""))-1))-LEN(SUBSTITUTE(SUBSTITUTE(SUBSTITUTE($G1063,"-"," ",LEN($G1063)-LEN(SUBSTITUTE($G1063,"-",""))),"-"," ",LEN($G1063)-LEN(SUBSTITUTE($G1063,"-",""))-1),".","")))=0,SUBSTITUTE(SUBSTITUTE($G1063,"-"," ",LEN($G1063)-LEN(SUBSTITUTE($G1063,"-",""))),"-"," ",LEN($G1063)-LEN(SUBSTITUTE($G1063,"-",""))-1),SUBSTITUTE(SUBSTITUTE(SUBSTITUTE($G1063,"-"," ",LEN($G1063)-LEN(SUBSTITUTE($G1063,"-",""))),"-"," ",LEN($G1063)-LEN(SUBSTITUTE($G1063,"-",""))-1),"."," ",(LEN(SUBSTITUTE(SUBSTITUTE($G1063,"-"," ",LEN($G1063)-LEN(SUBSTITUTE($G1063,"-",""))),"-"," ",LEN($G1063)-LEN(SUBSTITUTE($G1063,"-",""))-1))-LEN(SUBSTITUTE(SUBSTITUTE(SUBSTITUTE($G1063,"-"," ",LEN($G1063)-LEN(SUBSTITUTE($G1063,"-",""))),"-"," ",LEN($G1063)-LEN(SUBSTITUTE($G1063,"-",""))-1),".",""))))),$G1063)))</f>
        <v/>
      </c>
    </row>
    <row r="1064">
      <c r="A1064" s="58" t="n"/>
      <c r="B1064" s="58">
        <f>IF($H1064="","",LEFT($H1064,FIND(" ",$H1064&amp;" ")-1))</f>
        <v/>
      </c>
      <c r="C1064" s="58">
        <f>IF($H1064="","",IFERROR(MID($H1064&amp;" ",FIND("|",SUBSTITUTE($H1064&amp;" "," ","|",1))+1,FIND("|",SUBSTITUTE($H1064&amp;" "," ","|",2))-FIND("|",SUBSTITUTE($H1064&amp;" "," ","|",1))-1),""))</f>
        <v/>
      </c>
      <c r="D1064" s="58">
        <f>IF($H1064="","",IFERROR(MID($H1064&amp;" ",FIND("|",SUBSTITUTE($H1064&amp;" "," ","|",2))+1,FIND("|",SUBSTITUTE($H1064&amp;" "," ","|",3))-FIND("|",SUBSTITUTE($H1064&amp;" "," ","|",2))-1),""))</f>
        <v/>
      </c>
      <c r="E1064" s="58">
        <f>IF($H1064="","",IFERROR(MID($H1064&amp;" ",FIND("|",SUBSTITUTE($H1064&amp;" "," ","|",3))+1,FIND("|",SUBSTITUTE($H1064&amp;" "," ","|",4))-FIND("|",SUBSTITUTE($H1064&amp;" "," ","|",3))-1),""))</f>
        <v/>
      </c>
      <c r="F1064" s="59">
        <f>IF($H1064="","",IFERROR(VALUE(IFERROR(MID($H1064&amp;" ",FIND("|",SUBSTITUTE($H1064&amp;" "," ","|",4))+1,FIND("|",SUBSTITUTE($H1064&amp;" "," ","|",5))-FIND("|",SUBSTITUTE($H1064&amp;" "," ","|",4))-1),""))/86400+25569+9/24,""))</f>
        <v/>
      </c>
      <c r="G1064" s="58">
        <f>TRIM(SUBSTITUTE(SUBSTITUTE(SUBSTITUTE($A1064,CHAR(9)," ")," "," "),CHAR(13),""))</f>
        <v/>
      </c>
      <c r="H1064" s="58">
        <f>IF($G1064="","",IF(ISNUMBER(FIND(" ",$G1064)),$G1064,IFERROR(IF((LEN(SUBSTITUTE(SUBSTITUTE($G1064,"-"," ",LEN($G1064)-LEN(SUBSTITUTE($G1064,"-",""))),"-"," ",LEN($G1064)-LEN(SUBSTITUTE($G1064,"-",""))-1))-LEN(SUBSTITUTE(SUBSTITUTE(SUBSTITUTE($G1064,"-"," ",LEN($G1064)-LEN(SUBSTITUTE($G1064,"-",""))),"-"," ",LEN($G1064)-LEN(SUBSTITUTE($G1064,"-",""))-1),".","")))=0,SUBSTITUTE(SUBSTITUTE($G1064,"-"," ",LEN($G1064)-LEN(SUBSTITUTE($G1064,"-",""))),"-"," ",LEN($G1064)-LEN(SUBSTITUTE($G1064,"-",""))-1),SUBSTITUTE(SUBSTITUTE(SUBSTITUTE($G1064,"-"," ",LEN($G1064)-LEN(SUBSTITUTE($G1064,"-",""))),"-"," ",LEN($G1064)-LEN(SUBSTITUTE($G1064,"-",""))-1),"."," ",(LEN(SUBSTITUTE(SUBSTITUTE($G1064,"-"," ",LEN($G1064)-LEN(SUBSTITUTE($G1064,"-",""))),"-"," ",LEN($G1064)-LEN(SUBSTITUTE($G1064,"-",""))-1))-LEN(SUBSTITUTE(SUBSTITUTE(SUBSTITUTE($G1064,"-"," ",LEN($G1064)-LEN(SUBSTITUTE($G1064,"-",""))),"-"," ",LEN($G1064)-LEN(SUBSTITUTE($G1064,"-",""))-1),".",""))))),$G1064)))</f>
        <v/>
      </c>
    </row>
    <row r="1065">
      <c r="A1065" s="58" t="n"/>
      <c r="B1065" s="58">
        <f>IF($H1065="","",LEFT($H1065,FIND(" ",$H1065&amp;" ")-1))</f>
        <v/>
      </c>
      <c r="C1065" s="58">
        <f>IF($H1065="","",IFERROR(MID($H1065&amp;" ",FIND("|",SUBSTITUTE($H1065&amp;" "," ","|",1))+1,FIND("|",SUBSTITUTE($H1065&amp;" "," ","|",2))-FIND("|",SUBSTITUTE($H1065&amp;" "," ","|",1))-1),""))</f>
        <v/>
      </c>
      <c r="D1065" s="58">
        <f>IF($H1065="","",IFERROR(MID($H1065&amp;" ",FIND("|",SUBSTITUTE($H1065&amp;" "," ","|",2))+1,FIND("|",SUBSTITUTE($H1065&amp;" "," ","|",3))-FIND("|",SUBSTITUTE($H1065&amp;" "," ","|",2))-1),""))</f>
        <v/>
      </c>
      <c r="E1065" s="58">
        <f>IF($H1065="","",IFERROR(MID($H1065&amp;" ",FIND("|",SUBSTITUTE($H1065&amp;" "," ","|",3))+1,FIND("|",SUBSTITUTE($H1065&amp;" "," ","|",4))-FIND("|",SUBSTITUTE($H1065&amp;" "," ","|",3))-1),""))</f>
        <v/>
      </c>
      <c r="F1065" s="59">
        <f>IF($H1065="","",IFERROR(VALUE(IFERROR(MID($H1065&amp;" ",FIND("|",SUBSTITUTE($H1065&amp;" "," ","|",4))+1,FIND("|",SUBSTITUTE($H1065&amp;" "," ","|",5))-FIND("|",SUBSTITUTE($H1065&amp;" "," ","|",4))-1),""))/86400+25569+9/24,""))</f>
        <v/>
      </c>
      <c r="G1065" s="58">
        <f>TRIM(SUBSTITUTE(SUBSTITUTE(SUBSTITUTE($A1065,CHAR(9)," ")," "," "),CHAR(13),""))</f>
        <v/>
      </c>
      <c r="H1065" s="58">
        <f>IF($G1065="","",IF(ISNUMBER(FIND(" ",$G1065)),$G1065,IFERROR(IF((LEN(SUBSTITUTE(SUBSTITUTE($G1065,"-"," ",LEN($G1065)-LEN(SUBSTITUTE($G1065,"-",""))),"-"," ",LEN($G1065)-LEN(SUBSTITUTE($G1065,"-",""))-1))-LEN(SUBSTITUTE(SUBSTITUTE(SUBSTITUTE($G1065,"-"," ",LEN($G1065)-LEN(SUBSTITUTE($G1065,"-",""))),"-"," ",LEN($G1065)-LEN(SUBSTITUTE($G1065,"-",""))-1),".","")))=0,SUBSTITUTE(SUBSTITUTE($G1065,"-"," ",LEN($G1065)-LEN(SUBSTITUTE($G1065,"-",""))),"-"," ",LEN($G1065)-LEN(SUBSTITUTE($G1065,"-",""))-1),SUBSTITUTE(SUBSTITUTE(SUBSTITUTE($G1065,"-"," ",LEN($G1065)-LEN(SUBSTITUTE($G1065,"-",""))),"-"," ",LEN($G1065)-LEN(SUBSTITUTE($G1065,"-",""))-1),"."," ",(LEN(SUBSTITUTE(SUBSTITUTE($G1065,"-"," ",LEN($G1065)-LEN(SUBSTITUTE($G1065,"-",""))),"-"," ",LEN($G1065)-LEN(SUBSTITUTE($G1065,"-",""))-1))-LEN(SUBSTITUTE(SUBSTITUTE(SUBSTITUTE($G1065,"-"," ",LEN($G1065)-LEN(SUBSTITUTE($G1065,"-",""))),"-"," ",LEN($G1065)-LEN(SUBSTITUTE($G1065,"-",""))-1),".",""))))),$G1065)))</f>
        <v/>
      </c>
    </row>
    <row r="1066">
      <c r="A1066" s="58" t="n"/>
      <c r="B1066" s="58">
        <f>IF($H1066="","",LEFT($H1066,FIND(" ",$H1066&amp;" ")-1))</f>
        <v/>
      </c>
      <c r="C1066" s="58">
        <f>IF($H1066="","",IFERROR(MID($H1066&amp;" ",FIND("|",SUBSTITUTE($H1066&amp;" "," ","|",1))+1,FIND("|",SUBSTITUTE($H1066&amp;" "," ","|",2))-FIND("|",SUBSTITUTE($H1066&amp;" "," ","|",1))-1),""))</f>
        <v/>
      </c>
      <c r="D1066" s="58">
        <f>IF($H1066="","",IFERROR(MID($H1066&amp;" ",FIND("|",SUBSTITUTE($H1066&amp;" "," ","|",2))+1,FIND("|",SUBSTITUTE($H1066&amp;" "," ","|",3))-FIND("|",SUBSTITUTE($H1066&amp;" "," ","|",2))-1),""))</f>
        <v/>
      </c>
      <c r="E1066" s="58">
        <f>IF($H1066="","",IFERROR(MID($H1066&amp;" ",FIND("|",SUBSTITUTE($H1066&amp;" "," ","|",3))+1,FIND("|",SUBSTITUTE($H1066&amp;" "," ","|",4))-FIND("|",SUBSTITUTE($H1066&amp;" "," ","|",3))-1),""))</f>
        <v/>
      </c>
      <c r="F1066" s="59">
        <f>IF($H1066="","",IFERROR(VALUE(IFERROR(MID($H1066&amp;" ",FIND("|",SUBSTITUTE($H1066&amp;" "," ","|",4))+1,FIND("|",SUBSTITUTE($H1066&amp;" "," ","|",5))-FIND("|",SUBSTITUTE($H1066&amp;" "," ","|",4))-1),""))/86400+25569+9/24,""))</f>
        <v/>
      </c>
      <c r="G1066" s="58">
        <f>TRIM(SUBSTITUTE(SUBSTITUTE(SUBSTITUTE($A1066,CHAR(9)," ")," "," "),CHAR(13),""))</f>
        <v/>
      </c>
      <c r="H1066" s="58">
        <f>IF($G1066="","",IF(ISNUMBER(FIND(" ",$G1066)),$G1066,IFERROR(IF((LEN(SUBSTITUTE(SUBSTITUTE($G1066,"-"," ",LEN($G1066)-LEN(SUBSTITUTE($G1066,"-",""))),"-"," ",LEN($G1066)-LEN(SUBSTITUTE($G1066,"-",""))-1))-LEN(SUBSTITUTE(SUBSTITUTE(SUBSTITUTE($G1066,"-"," ",LEN($G1066)-LEN(SUBSTITUTE($G1066,"-",""))),"-"," ",LEN($G1066)-LEN(SUBSTITUTE($G1066,"-",""))-1),".","")))=0,SUBSTITUTE(SUBSTITUTE($G1066,"-"," ",LEN($G1066)-LEN(SUBSTITUTE($G1066,"-",""))),"-"," ",LEN($G1066)-LEN(SUBSTITUTE($G1066,"-",""))-1),SUBSTITUTE(SUBSTITUTE(SUBSTITUTE($G1066,"-"," ",LEN($G1066)-LEN(SUBSTITUTE($G1066,"-",""))),"-"," ",LEN($G1066)-LEN(SUBSTITUTE($G1066,"-",""))-1),"."," ",(LEN(SUBSTITUTE(SUBSTITUTE($G1066,"-"," ",LEN($G1066)-LEN(SUBSTITUTE($G1066,"-",""))),"-"," ",LEN($G1066)-LEN(SUBSTITUTE($G1066,"-",""))-1))-LEN(SUBSTITUTE(SUBSTITUTE(SUBSTITUTE($G1066,"-"," ",LEN($G1066)-LEN(SUBSTITUTE($G1066,"-",""))),"-"," ",LEN($G1066)-LEN(SUBSTITUTE($G1066,"-",""))-1),".",""))))),$G1066)))</f>
        <v/>
      </c>
    </row>
    <row r="1067">
      <c r="A1067" s="58" t="n"/>
      <c r="B1067" s="58">
        <f>IF($H1067="","",LEFT($H1067,FIND(" ",$H1067&amp;" ")-1))</f>
        <v/>
      </c>
      <c r="C1067" s="58">
        <f>IF($H1067="","",IFERROR(MID($H1067&amp;" ",FIND("|",SUBSTITUTE($H1067&amp;" "," ","|",1))+1,FIND("|",SUBSTITUTE($H1067&amp;" "," ","|",2))-FIND("|",SUBSTITUTE($H1067&amp;" "," ","|",1))-1),""))</f>
        <v/>
      </c>
      <c r="D1067" s="58">
        <f>IF($H1067="","",IFERROR(MID($H1067&amp;" ",FIND("|",SUBSTITUTE($H1067&amp;" "," ","|",2))+1,FIND("|",SUBSTITUTE($H1067&amp;" "," ","|",3))-FIND("|",SUBSTITUTE($H1067&amp;" "," ","|",2))-1),""))</f>
        <v/>
      </c>
      <c r="E1067" s="58">
        <f>IF($H1067="","",IFERROR(MID($H1067&amp;" ",FIND("|",SUBSTITUTE($H1067&amp;" "," ","|",3))+1,FIND("|",SUBSTITUTE($H1067&amp;" "," ","|",4))-FIND("|",SUBSTITUTE($H1067&amp;" "," ","|",3))-1),""))</f>
        <v/>
      </c>
      <c r="F1067" s="59">
        <f>IF($H1067="","",IFERROR(VALUE(IFERROR(MID($H1067&amp;" ",FIND("|",SUBSTITUTE($H1067&amp;" "," ","|",4))+1,FIND("|",SUBSTITUTE($H1067&amp;" "," ","|",5))-FIND("|",SUBSTITUTE($H1067&amp;" "," ","|",4))-1),""))/86400+25569+9/24,""))</f>
        <v/>
      </c>
      <c r="G1067" s="58">
        <f>TRIM(SUBSTITUTE(SUBSTITUTE(SUBSTITUTE($A1067,CHAR(9)," ")," "," "),CHAR(13),""))</f>
        <v/>
      </c>
      <c r="H1067" s="58">
        <f>IF($G1067="","",IF(ISNUMBER(FIND(" ",$G1067)),$G1067,IFERROR(IF((LEN(SUBSTITUTE(SUBSTITUTE($G1067,"-"," ",LEN($G1067)-LEN(SUBSTITUTE($G1067,"-",""))),"-"," ",LEN($G1067)-LEN(SUBSTITUTE($G1067,"-",""))-1))-LEN(SUBSTITUTE(SUBSTITUTE(SUBSTITUTE($G1067,"-"," ",LEN($G1067)-LEN(SUBSTITUTE($G1067,"-",""))),"-"," ",LEN($G1067)-LEN(SUBSTITUTE($G1067,"-",""))-1),".","")))=0,SUBSTITUTE(SUBSTITUTE($G1067,"-"," ",LEN($G1067)-LEN(SUBSTITUTE($G1067,"-",""))),"-"," ",LEN($G1067)-LEN(SUBSTITUTE($G1067,"-",""))-1),SUBSTITUTE(SUBSTITUTE(SUBSTITUTE($G1067,"-"," ",LEN($G1067)-LEN(SUBSTITUTE($G1067,"-",""))),"-"," ",LEN($G1067)-LEN(SUBSTITUTE($G1067,"-",""))-1),"."," ",(LEN(SUBSTITUTE(SUBSTITUTE($G1067,"-"," ",LEN($G1067)-LEN(SUBSTITUTE($G1067,"-",""))),"-"," ",LEN($G1067)-LEN(SUBSTITUTE($G1067,"-",""))-1))-LEN(SUBSTITUTE(SUBSTITUTE(SUBSTITUTE($G1067,"-"," ",LEN($G1067)-LEN(SUBSTITUTE($G1067,"-",""))),"-"," ",LEN($G1067)-LEN(SUBSTITUTE($G1067,"-",""))-1),".",""))))),$G1067)))</f>
        <v/>
      </c>
    </row>
    <row r="1068">
      <c r="A1068" s="58" t="n"/>
      <c r="B1068" s="58">
        <f>IF($H1068="","",LEFT($H1068,FIND(" ",$H1068&amp;" ")-1))</f>
        <v/>
      </c>
      <c r="C1068" s="58">
        <f>IF($H1068="","",IFERROR(MID($H1068&amp;" ",FIND("|",SUBSTITUTE($H1068&amp;" "," ","|",1))+1,FIND("|",SUBSTITUTE($H1068&amp;" "," ","|",2))-FIND("|",SUBSTITUTE($H1068&amp;" "," ","|",1))-1),""))</f>
        <v/>
      </c>
      <c r="D1068" s="58">
        <f>IF($H1068="","",IFERROR(MID($H1068&amp;" ",FIND("|",SUBSTITUTE($H1068&amp;" "," ","|",2))+1,FIND("|",SUBSTITUTE($H1068&amp;" "," ","|",3))-FIND("|",SUBSTITUTE($H1068&amp;" "," ","|",2))-1),""))</f>
        <v/>
      </c>
      <c r="E1068" s="58">
        <f>IF($H1068="","",IFERROR(MID($H1068&amp;" ",FIND("|",SUBSTITUTE($H1068&amp;" "," ","|",3))+1,FIND("|",SUBSTITUTE($H1068&amp;" "," ","|",4))-FIND("|",SUBSTITUTE($H1068&amp;" "," ","|",3))-1),""))</f>
        <v/>
      </c>
      <c r="F1068" s="59">
        <f>IF($H1068="","",IFERROR(VALUE(IFERROR(MID($H1068&amp;" ",FIND("|",SUBSTITUTE($H1068&amp;" "," ","|",4))+1,FIND("|",SUBSTITUTE($H1068&amp;" "," ","|",5))-FIND("|",SUBSTITUTE($H1068&amp;" "," ","|",4))-1),""))/86400+25569+9/24,""))</f>
        <v/>
      </c>
      <c r="G1068" s="58">
        <f>TRIM(SUBSTITUTE(SUBSTITUTE(SUBSTITUTE($A1068,CHAR(9)," ")," "," "),CHAR(13),""))</f>
        <v/>
      </c>
      <c r="H1068" s="58">
        <f>IF($G1068="","",IF(ISNUMBER(FIND(" ",$G1068)),$G1068,IFERROR(IF((LEN(SUBSTITUTE(SUBSTITUTE($G1068,"-"," ",LEN($G1068)-LEN(SUBSTITUTE($G1068,"-",""))),"-"," ",LEN($G1068)-LEN(SUBSTITUTE($G1068,"-",""))-1))-LEN(SUBSTITUTE(SUBSTITUTE(SUBSTITUTE($G1068,"-"," ",LEN($G1068)-LEN(SUBSTITUTE($G1068,"-",""))),"-"," ",LEN($G1068)-LEN(SUBSTITUTE($G1068,"-",""))-1),".","")))=0,SUBSTITUTE(SUBSTITUTE($G1068,"-"," ",LEN($G1068)-LEN(SUBSTITUTE($G1068,"-",""))),"-"," ",LEN($G1068)-LEN(SUBSTITUTE($G1068,"-",""))-1),SUBSTITUTE(SUBSTITUTE(SUBSTITUTE($G1068,"-"," ",LEN($G1068)-LEN(SUBSTITUTE($G1068,"-",""))),"-"," ",LEN($G1068)-LEN(SUBSTITUTE($G1068,"-",""))-1),"."," ",(LEN(SUBSTITUTE(SUBSTITUTE($G1068,"-"," ",LEN($G1068)-LEN(SUBSTITUTE($G1068,"-",""))),"-"," ",LEN($G1068)-LEN(SUBSTITUTE($G1068,"-",""))-1))-LEN(SUBSTITUTE(SUBSTITUTE(SUBSTITUTE($G1068,"-"," ",LEN($G1068)-LEN(SUBSTITUTE($G1068,"-",""))),"-"," ",LEN($G1068)-LEN(SUBSTITUTE($G1068,"-",""))-1),".",""))))),$G1068)))</f>
        <v/>
      </c>
    </row>
    <row r="1069">
      <c r="A1069" s="58" t="n"/>
      <c r="B1069" s="58">
        <f>IF($H1069="","",LEFT($H1069,FIND(" ",$H1069&amp;" ")-1))</f>
        <v/>
      </c>
      <c r="C1069" s="58">
        <f>IF($H1069="","",IFERROR(MID($H1069&amp;" ",FIND("|",SUBSTITUTE($H1069&amp;" "," ","|",1))+1,FIND("|",SUBSTITUTE($H1069&amp;" "," ","|",2))-FIND("|",SUBSTITUTE($H1069&amp;" "," ","|",1))-1),""))</f>
        <v/>
      </c>
      <c r="D1069" s="58">
        <f>IF($H1069="","",IFERROR(MID($H1069&amp;" ",FIND("|",SUBSTITUTE($H1069&amp;" "," ","|",2))+1,FIND("|",SUBSTITUTE($H1069&amp;" "," ","|",3))-FIND("|",SUBSTITUTE($H1069&amp;" "," ","|",2))-1),""))</f>
        <v/>
      </c>
      <c r="E1069" s="58">
        <f>IF($H1069="","",IFERROR(MID($H1069&amp;" ",FIND("|",SUBSTITUTE($H1069&amp;" "," ","|",3))+1,FIND("|",SUBSTITUTE($H1069&amp;" "," ","|",4))-FIND("|",SUBSTITUTE($H1069&amp;" "," ","|",3))-1),""))</f>
        <v/>
      </c>
      <c r="F1069" s="59">
        <f>IF($H1069="","",IFERROR(VALUE(IFERROR(MID($H1069&amp;" ",FIND("|",SUBSTITUTE($H1069&amp;" "," ","|",4))+1,FIND("|",SUBSTITUTE($H1069&amp;" "," ","|",5))-FIND("|",SUBSTITUTE($H1069&amp;" "," ","|",4))-1),""))/86400+25569+9/24,""))</f>
        <v/>
      </c>
      <c r="G1069" s="58">
        <f>TRIM(SUBSTITUTE(SUBSTITUTE(SUBSTITUTE($A1069,CHAR(9)," ")," "," "),CHAR(13),""))</f>
        <v/>
      </c>
      <c r="H1069" s="58">
        <f>IF($G1069="","",IF(ISNUMBER(FIND(" ",$G1069)),$G1069,IFERROR(IF((LEN(SUBSTITUTE(SUBSTITUTE($G1069,"-"," ",LEN($G1069)-LEN(SUBSTITUTE($G1069,"-",""))),"-"," ",LEN($G1069)-LEN(SUBSTITUTE($G1069,"-",""))-1))-LEN(SUBSTITUTE(SUBSTITUTE(SUBSTITUTE($G1069,"-"," ",LEN($G1069)-LEN(SUBSTITUTE($G1069,"-",""))),"-"," ",LEN($G1069)-LEN(SUBSTITUTE($G1069,"-",""))-1),".","")))=0,SUBSTITUTE(SUBSTITUTE($G1069,"-"," ",LEN($G1069)-LEN(SUBSTITUTE($G1069,"-",""))),"-"," ",LEN($G1069)-LEN(SUBSTITUTE($G1069,"-",""))-1),SUBSTITUTE(SUBSTITUTE(SUBSTITUTE($G1069,"-"," ",LEN($G1069)-LEN(SUBSTITUTE($G1069,"-",""))),"-"," ",LEN($G1069)-LEN(SUBSTITUTE($G1069,"-",""))-1),"."," ",(LEN(SUBSTITUTE(SUBSTITUTE($G1069,"-"," ",LEN($G1069)-LEN(SUBSTITUTE($G1069,"-",""))),"-"," ",LEN($G1069)-LEN(SUBSTITUTE($G1069,"-",""))-1))-LEN(SUBSTITUTE(SUBSTITUTE(SUBSTITUTE($G1069,"-"," ",LEN($G1069)-LEN(SUBSTITUTE($G1069,"-",""))),"-"," ",LEN($G1069)-LEN(SUBSTITUTE($G1069,"-",""))-1),".",""))))),$G1069)))</f>
        <v/>
      </c>
    </row>
    <row r="1070">
      <c r="A1070" s="58" t="n"/>
      <c r="B1070" s="58">
        <f>IF($H1070="","",LEFT($H1070,FIND(" ",$H1070&amp;" ")-1))</f>
        <v/>
      </c>
      <c r="C1070" s="58">
        <f>IF($H1070="","",IFERROR(MID($H1070&amp;" ",FIND("|",SUBSTITUTE($H1070&amp;" "," ","|",1))+1,FIND("|",SUBSTITUTE($H1070&amp;" "," ","|",2))-FIND("|",SUBSTITUTE($H1070&amp;" "," ","|",1))-1),""))</f>
        <v/>
      </c>
      <c r="D1070" s="58">
        <f>IF($H1070="","",IFERROR(MID($H1070&amp;" ",FIND("|",SUBSTITUTE($H1070&amp;" "," ","|",2))+1,FIND("|",SUBSTITUTE($H1070&amp;" "," ","|",3))-FIND("|",SUBSTITUTE($H1070&amp;" "," ","|",2))-1),""))</f>
        <v/>
      </c>
      <c r="E1070" s="58">
        <f>IF($H1070="","",IFERROR(MID($H1070&amp;" ",FIND("|",SUBSTITUTE($H1070&amp;" "," ","|",3))+1,FIND("|",SUBSTITUTE($H1070&amp;" "," ","|",4))-FIND("|",SUBSTITUTE($H1070&amp;" "," ","|",3))-1),""))</f>
        <v/>
      </c>
      <c r="F1070" s="59">
        <f>IF($H1070="","",IFERROR(VALUE(IFERROR(MID($H1070&amp;" ",FIND("|",SUBSTITUTE($H1070&amp;" "," ","|",4))+1,FIND("|",SUBSTITUTE($H1070&amp;" "," ","|",5))-FIND("|",SUBSTITUTE($H1070&amp;" "," ","|",4))-1),""))/86400+25569+9/24,""))</f>
        <v/>
      </c>
      <c r="G1070" s="58">
        <f>TRIM(SUBSTITUTE(SUBSTITUTE(SUBSTITUTE($A1070,CHAR(9)," ")," "," "),CHAR(13),""))</f>
        <v/>
      </c>
      <c r="H1070" s="58">
        <f>IF($G1070="","",IF(ISNUMBER(FIND(" ",$G1070)),$G1070,IFERROR(IF((LEN(SUBSTITUTE(SUBSTITUTE($G1070,"-"," ",LEN($G1070)-LEN(SUBSTITUTE($G1070,"-",""))),"-"," ",LEN($G1070)-LEN(SUBSTITUTE($G1070,"-",""))-1))-LEN(SUBSTITUTE(SUBSTITUTE(SUBSTITUTE($G1070,"-"," ",LEN($G1070)-LEN(SUBSTITUTE($G1070,"-",""))),"-"," ",LEN($G1070)-LEN(SUBSTITUTE($G1070,"-",""))-1),".","")))=0,SUBSTITUTE(SUBSTITUTE($G1070,"-"," ",LEN($G1070)-LEN(SUBSTITUTE($G1070,"-",""))),"-"," ",LEN($G1070)-LEN(SUBSTITUTE($G1070,"-",""))-1),SUBSTITUTE(SUBSTITUTE(SUBSTITUTE($G1070,"-"," ",LEN($G1070)-LEN(SUBSTITUTE($G1070,"-",""))),"-"," ",LEN($G1070)-LEN(SUBSTITUTE($G1070,"-",""))-1),"."," ",(LEN(SUBSTITUTE(SUBSTITUTE($G1070,"-"," ",LEN($G1070)-LEN(SUBSTITUTE($G1070,"-",""))),"-"," ",LEN($G1070)-LEN(SUBSTITUTE($G1070,"-",""))-1))-LEN(SUBSTITUTE(SUBSTITUTE(SUBSTITUTE($G1070,"-"," ",LEN($G1070)-LEN(SUBSTITUTE($G1070,"-",""))),"-"," ",LEN($G1070)-LEN(SUBSTITUTE($G1070,"-",""))-1),".",""))))),$G1070)))</f>
        <v/>
      </c>
    </row>
    <row r="1071">
      <c r="A1071" s="58" t="n"/>
      <c r="B1071" s="58">
        <f>IF($H1071="","",LEFT($H1071,FIND(" ",$H1071&amp;" ")-1))</f>
        <v/>
      </c>
      <c r="C1071" s="58">
        <f>IF($H1071="","",IFERROR(MID($H1071&amp;" ",FIND("|",SUBSTITUTE($H1071&amp;" "," ","|",1))+1,FIND("|",SUBSTITUTE($H1071&amp;" "," ","|",2))-FIND("|",SUBSTITUTE($H1071&amp;" "," ","|",1))-1),""))</f>
        <v/>
      </c>
      <c r="D1071" s="58">
        <f>IF($H1071="","",IFERROR(MID($H1071&amp;" ",FIND("|",SUBSTITUTE($H1071&amp;" "," ","|",2))+1,FIND("|",SUBSTITUTE($H1071&amp;" "," ","|",3))-FIND("|",SUBSTITUTE($H1071&amp;" "," ","|",2))-1),""))</f>
        <v/>
      </c>
      <c r="E1071" s="58">
        <f>IF($H1071="","",IFERROR(MID($H1071&amp;" ",FIND("|",SUBSTITUTE($H1071&amp;" "," ","|",3))+1,FIND("|",SUBSTITUTE($H1071&amp;" "," ","|",4))-FIND("|",SUBSTITUTE($H1071&amp;" "," ","|",3))-1),""))</f>
        <v/>
      </c>
      <c r="F1071" s="59">
        <f>IF($H1071="","",IFERROR(VALUE(IFERROR(MID($H1071&amp;" ",FIND("|",SUBSTITUTE($H1071&amp;" "," ","|",4))+1,FIND("|",SUBSTITUTE($H1071&amp;" "," ","|",5))-FIND("|",SUBSTITUTE($H1071&amp;" "," ","|",4))-1),""))/86400+25569+9/24,""))</f>
        <v/>
      </c>
      <c r="G1071" s="58">
        <f>TRIM(SUBSTITUTE(SUBSTITUTE(SUBSTITUTE($A1071,CHAR(9)," ")," "," "),CHAR(13),""))</f>
        <v/>
      </c>
      <c r="H1071" s="58">
        <f>IF($G1071="","",IF(ISNUMBER(FIND(" ",$G1071)),$G1071,IFERROR(IF((LEN(SUBSTITUTE(SUBSTITUTE($G1071,"-"," ",LEN($G1071)-LEN(SUBSTITUTE($G1071,"-",""))),"-"," ",LEN($G1071)-LEN(SUBSTITUTE($G1071,"-",""))-1))-LEN(SUBSTITUTE(SUBSTITUTE(SUBSTITUTE($G1071,"-"," ",LEN($G1071)-LEN(SUBSTITUTE($G1071,"-",""))),"-"," ",LEN($G1071)-LEN(SUBSTITUTE($G1071,"-",""))-1),".","")))=0,SUBSTITUTE(SUBSTITUTE($G1071,"-"," ",LEN($G1071)-LEN(SUBSTITUTE($G1071,"-",""))),"-"," ",LEN($G1071)-LEN(SUBSTITUTE($G1071,"-",""))-1),SUBSTITUTE(SUBSTITUTE(SUBSTITUTE($G1071,"-"," ",LEN($G1071)-LEN(SUBSTITUTE($G1071,"-",""))),"-"," ",LEN($G1071)-LEN(SUBSTITUTE($G1071,"-",""))-1),"."," ",(LEN(SUBSTITUTE(SUBSTITUTE($G1071,"-"," ",LEN($G1071)-LEN(SUBSTITUTE($G1071,"-",""))),"-"," ",LEN($G1071)-LEN(SUBSTITUTE($G1071,"-",""))-1))-LEN(SUBSTITUTE(SUBSTITUTE(SUBSTITUTE($G1071,"-"," ",LEN($G1071)-LEN(SUBSTITUTE($G1071,"-",""))),"-"," ",LEN($G1071)-LEN(SUBSTITUTE($G1071,"-",""))-1),".",""))))),$G1071)))</f>
        <v/>
      </c>
    </row>
    <row r="1072">
      <c r="A1072" s="58" t="n"/>
      <c r="B1072" s="58">
        <f>IF($H1072="","",LEFT($H1072,FIND(" ",$H1072&amp;" ")-1))</f>
        <v/>
      </c>
      <c r="C1072" s="58">
        <f>IF($H1072="","",IFERROR(MID($H1072&amp;" ",FIND("|",SUBSTITUTE($H1072&amp;" "," ","|",1))+1,FIND("|",SUBSTITUTE($H1072&amp;" "," ","|",2))-FIND("|",SUBSTITUTE($H1072&amp;" "," ","|",1))-1),""))</f>
        <v/>
      </c>
      <c r="D1072" s="58">
        <f>IF($H1072="","",IFERROR(MID($H1072&amp;" ",FIND("|",SUBSTITUTE($H1072&amp;" "," ","|",2))+1,FIND("|",SUBSTITUTE($H1072&amp;" "," ","|",3))-FIND("|",SUBSTITUTE($H1072&amp;" "," ","|",2))-1),""))</f>
        <v/>
      </c>
      <c r="E1072" s="58">
        <f>IF($H1072="","",IFERROR(MID($H1072&amp;" ",FIND("|",SUBSTITUTE($H1072&amp;" "," ","|",3))+1,FIND("|",SUBSTITUTE($H1072&amp;" "," ","|",4))-FIND("|",SUBSTITUTE($H1072&amp;" "," ","|",3))-1),""))</f>
        <v/>
      </c>
      <c r="F1072" s="59">
        <f>IF($H1072="","",IFERROR(VALUE(IFERROR(MID($H1072&amp;" ",FIND("|",SUBSTITUTE($H1072&amp;" "," ","|",4))+1,FIND("|",SUBSTITUTE($H1072&amp;" "," ","|",5))-FIND("|",SUBSTITUTE($H1072&amp;" "," ","|",4))-1),""))/86400+25569+9/24,""))</f>
        <v/>
      </c>
      <c r="G1072" s="58">
        <f>TRIM(SUBSTITUTE(SUBSTITUTE(SUBSTITUTE($A1072,CHAR(9)," ")," "," "),CHAR(13),""))</f>
        <v/>
      </c>
      <c r="H1072" s="58">
        <f>IF($G1072="","",IF(ISNUMBER(FIND(" ",$G1072)),$G1072,IFERROR(IF((LEN(SUBSTITUTE(SUBSTITUTE($G1072,"-"," ",LEN($G1072)-LEN(SUBSTITUTE($G1072,"-",""))),"-"," ",LEN($G1072)-LEN(SUBSTITUTE($G1072,"-",""))-1))-LEN(SUBSTITUTE(SUBSTITUTE(SUBSTITUTE($G1072,"-"," ",LEN($G1072)-LEN(SUBSTITUTE($G1072,"-",""))),"-"," ",LEN($G1072)-LEN(SUBSTITUTE($G1072,"-",""))-1),".","")))=0,SUBSTITUTE(SUBSTITUTE($G1072,"-"," ",LEN($G1072)-LEN(SUBSTITUTE($G1072,"-",""))),"-"," ",LEN($G1072)-LEN(SUBSTITUTE($G1072,"-",""))-1),SUBSTITUTE(SUBSTITUTE(SUBSTITUTE($G1072,"-"," ",LEN($G1072)-LEN(SUBSTITUTE($G1072,"-",""))),"-"," ",LEN($G1072)-LEN(SUBSTITUTE($G1072,"-",""))-1),"."," ",(LEN(SUBSTITUTE(SUBSTITUTE($G1072,"-"," ",LEN($G1072)-LEN(SUBSTITUTE($G1072,"-",""))),"-"," ",LEN($G1072)-LEN(SUBSTITUTE($G1072,"-",""))-1))-LEN(SUBSTITUTE(SUBSTITUTE(SUBSTITUTE($G1072,"-"," ",LEN($G1072)-LEN(SUBSTITUTE($G1072,"-",""))),"-"," ",LEN($G1072)-LEN(SUBSTITUTE($G1072,"-",""))-1),".",""))))),$G1072)))</f>
        <v/>
      </c>
    </row>
    <row r="1073">
      <c r="A1073" s="58" t="n"/>
      <c r="B1073" s="58">
        <f>IF($H1073="","",LEFT($H1073,FIND(" ",$H1073&amp;" ")-1))</f>
        <v/>
      </c>
      <c r="C1073" s="58">
        <f>IF($H1073="","",IFERROR(MID($H1073&amp;" ",FIND("|",SUBSTITUTE($H1073&amp;" "," ","|",1))+1,FIND("|",SUBSTITUTE($H1073&amp;" "," ","|",2))-FIND("|",SUBSTITUTE($H1073&amp;" "," ","|",1))-1),""))</f>
        <v/>
      </c>
      <c r="D1073" s="58">
        <f>IF($H1073="","",IFERROR(MID($H1073&amp;" ",FIND("|",SUBSTITUTE($H1073&amp;" "," ","|",2))+1,FIND("|",SUBSTITUTE($H1073&amp;" "," ","|",3))-FIND("|",SUBSTITUTE($H1073&amp;" "," ","|",2))-1),""))</f>
        <v/>
      </c>
      <c r="E1073" s="58">
        <f>IF($H1073="","",IFERROR(MID($H1073&amp;" ",FIND("|",SUBSTITUTE($H1073&amp;" "," ","|",3))+1,FIND("|",SUBSTITUTE($H1073&amp;" "," ","|",4))-FIND("|",SUBSTITUTE($H1073&amp;" "," ","|",3))-1),""))</f>
        <v/>
      </c>
      <c r="F1073" s="59">
        <f>IF($H1073="","",IFERROR(VALUE(IFERROR(MID($H1073&amp;" ",FIND("|",SUBSTITUTE($H1073&amp;" "," ","|",4))+1,FIND("|",SUBSTITUTE($H1073&amp;" "," ","|",5))-FIND("|",SUBSTITUTE($H1073&amp;" "," ","|",4))-1),""))/86400+25569+9/24,""))</f>
        <v/>
      </c>
      <c r="G1073" s="58">
        <f>TRIM(SUBSTITUTE(SUBSTITUTE(SUBSTITUTE($A1073,CHAR(9)," ")," "," "),CHAR(13),""))</f>
        <v/>
      </c>
      <c r="H1073" s="58">
        <f>IF($G1073="","",IF(ISNUMBER(FIND(" ",$G1073)),$G1073,IFERROR(IF((LEN(SUBSTITUTE(SUBSTITUTE($G1073,"-"," ",LEN($G1073)-LEN(SUBSTITUTE($G1073,"-",""))),"-"," ",LEN($G1073)-LEN(SUBSTITUTE($G1073,"-",""))-1))-LEN(SUBSTITUTE(SUBSTITUTE(SUBSTITUTE($G1073,"-"," ",LEN($G1073)-LEN(SUBSTITUTE($G1073,"-",""))),"-"," ",LEN($G1073)-LEN(SUBSTITUTE($G1073,"-",""))-1),".","")))=0,SUBSTITUTE(SUBSTITUTE($G1073,"-"," ",LEN($G1073)-LEN(SUBSTITUTE($G1073,"-",""))),"-"," ",LEN($G1073)-LEN(SUBSTITUTE($G1073,"-",""))-1),SUBSTITUTE(SUBSTITUTE(SUBSTITUTE($G1073,"-"," ",LEN($G1073)-LEN(SUBSTITUTE($G1073,"-",""))),"-"," ",LEN($G1073)-LEN(SUBSTITUTE($G1073,"-",""))-1),"."," ",(LEN(SUBSTITUTE(SUBSTITUTE($G1073,"-"," ",LEN($G1073)-LEN(SUBSTITUTE($G1073,"-",""))),"-"," ",LEN($G1073)-LEN(SUBSTITUTE($G1073,"-",""))-1))-LEN(SUBSTITUTE(SUBSTITUTE(SUBSTITUTE($G1073,"-"," ",LEN($G1073)-LEN(SUBSTITUTE($G1073,"-",""))),"-"," ",LEN($G1073)-LEN(SUBSTITUTE($G1073,"-",""))-1),".",""))))),$G1073)))</f>
        <v/>
      </c>
    </row>
    <row r="1074">
      <c r="A1074" s="58" t="n"/>
      <c r="B1074" s="58">
        <f>IF($H1074="","",LEFT($H1074,FIND(" ",$H1074&amp;" ")-1))</f>
        <v/>
      </c>
      <c r="C1074" s="58">
        <f>IF($H1074="","",IFERROR(MID($H1074&amp;" ",FIND("|",SUBSTITUTE($H1074&amp;" "," ","|",1))+1,FIND("|",SUBSTITUTE($H1074&amp;" "," ","|",2))-FIND("|",SUBSTITUTE($H1074&amp;" "," ","|",1))-1),""))</f>
        <v/>
      </c>
      <c r="D1074" s="58">
        <f>IF($H1074="","",IFERROR(MID($H1074&amp;" ",FIND("|",SUBSTITUTE($H1074&amp;" "," ","|",2))+1,FIND("|",SUBSTITUTE($H1074&amp;" "," ","|",3))-FIND("|",SUBSTITUTE($H1074&amp;" "," ","|",2))-1),""))</f>
        <v/>
      </c>
      <c r="E1074" s="58">
        <f>IF($H1074="","",IFERROR(MID($H1074&amp;" ",FIND("|",SUBSTITUTE($H1074&amp;" "," ","|",3))+1,FIND("|",SUBSTITUTE($H1074&amp;" "," ","|",4))-FIND("|",SUBSTITUTE($H1074&amp;" "," ","|",3))-1),""))</f>
        <v/>
      </c>
      <c r="F1074" s="59">
        <f>IF($H1074="","",IFERROR(VALUE(IFERROR(MID($H1074&amp;" ",FIND("|",SUBSTITUTE($H1074&amp;" "," ","|",4))+1,FIND("|",SUBSTITUTE($H1074&amp;" "," ","|",5))-FIND("|",SUBSTITUTE($H1074&amp;" "," ","|",4))-1),""))/86400+25569+9/24,""))</f>
        <v/>
      </c>
      <c r="G1074" s="58">
        <f>TRIM(SUBSTITUTE(SUBSTITUTE(SUBSTITUTE($A1074,CHAR(9)," ")," "," "),CHAR(13),""))</f>
        <v/>
      </c>
      <c r="H1074" s="58">
        <f>IF($G1074="","",IF(ISNUMBER(FIND(" ",$G1074)),$G1074,IFERROR(IF((LEN(SUBSTITUTE(SUBSTITUTE($G1074,"-"," ",LEN($G1074)-LEN(SUBSTITUTE($G1074,"-",""))),"-"," ",LEN($G1074)-LEN(SUBSTITUTE($G1074,"-",""))-1))-LEN(SUBSTITUTE(SUBSTITUTE(SUBSTITUTE($G1074,"-"," ",LEN($G1074)-LEN(SUBSTITUTE($G1074,"-",""))),"-"," ",LEN($G1074)-LEN(SUBSTITUTE($G1074,"-",""))-1),".","")))=0,SUBSTITUTE(SUBSTITUTE($G1074,"-"," ",LEN($G1074)-LEN(SUBSTITUTE($G1074,"-",""))),"-"," ",LEN($G1074)-LEN(SUBSTITUTE($G1074,"-",""))-1),SUBSTITUTE(SUBSTITUTE(SUBSTITUTE($G1074,"-"," ",LEN($G1074)-LEN(SUBSTITUTE($G1074,"-",""))),"-"," ",LEN($G1074)-LEN(SUBSTITUTE($G1074,"-",""))-1),"."," ",(LEN(SUBSTITUTE(SUBSTITUTE($G1074,"-"," ",LEN($G1074)-LEN(SUBSTITUTE($G1074,"-",""))),"-"," ",LEN($G1074)-LEN(SUBSTITUTE($G1074,"-",""))-1))-LEN(SUBSTITUTE(SUBSTITUTE(SUBSTITUTE($G1074,"-"," ",LEN($G1074)-LEN(SUBSTITUTE($G1074,"-",""))),"-"," ",LEN($G1074)-LEN(SUBSTITUTE($G1074,"-",""))-1),".",""))))),$G1074)))</f>
        <v/>
      </c>
    </row>
    <row r="1075">
      <c r="A1075" s="58" t="n"/>
      <c r="B1075" s="58">
        <f>IF($H1075="","",LEFT($H1075,FIND(" ",$H1075&amp;" ")-1))</f>
        <v/>
      </c>
      <c r="C1075" s="58">
        <f>IF($H1075="","",IFERROR(MID($H1075&amp;" ",FIND("|",SUBSTITUTE($H1075&amp;" "," ","|",1))+1,FIND("|",SUBSTITUTE($H1075&amp;" "," ","|",2))-FIND("|",SUBSTITUTE($H1075&amp;" "," ","|",1))-1),""))</f>
        <v/>
      </c>
      <c r="D1075" s="58">
        <f>IF($H1075="","",IFERROR(MID($H1075&amp;" ",FIND("|",SUBSTITUTE($H1075&amp;" "," ","|",2))+1,FIND("|",SUBSTITUTE($H1075&amp;" "," ","|",3))-FIND("|",SUBSTITUTE($H1075&amp;" "," ","|",2))-1),""))</f>
        <v/>
      </c>
      <c r="E1075" s="58">
        <f>IF($H1075="","",IFERROR(MID($H1075&amp;" ",FIND("|",SUBSTITUTE($H1075&amp;" "," ","|",3))+1,FIND("|",SUBSTITUTE($H1075&amp;" "," ","|",4))-FIND("|",SUBSTITUTE($H1075&amp;" "," ","|",3))-1),""))</f>
        <v/>
      </c>
      <c r="F1075" s="59">
        <f>IF($H1075="","",IFERROR(VALUE(IFERROR(MID($H1075&amp;" ",FIND("|",SUBSTITUTE($H1075&amp;" "," ","|",4))+1,FIND("|",SUBSTITUTE($H1075&amp;" "," ","|",5))-FIND("|",SUBSTITUTE($H1075&amp;" "," ","|",4))-1),""))/86400+25569+9/24,""))</f>
        <v/>
      </c>
      <c r="G1075" s="58">
        <f>TRIM(SUBSTITUTE(SUBSTITUTE(SUBSTITUTE($A1075,CHAR(9)," ")," "," "),CHAR(13),""))</f>
        <v/>
      </c>
      <c r="H1075" s="58">
        <f>IF($G1075="","",IF(ISNUMBER(FIND(" ",$G1075)),$G1075,IFERROR(IF((LEN(SUBSTITUTE(SUBSTITUTE($G1075,"-"," ",LEN($G1075)-LEN(SUBSTITUTE($G1075,"-",""))),"-"," ",LEN($G1075)-LEN(SUBSTITUTE($G1075,"-",""))-1))-LEN(SUBSTITUTE(SUBSTITUTE(SUBSTITUTE($G1075,"-"," ",LEN($G1075)-LEN(SUBSTITUTE($G1075,"-",""))),"-"," ",LEN($G1075)-LEN(SUBSTITUTE($G1075,"-",""))-1),".","")))=0,SUBSTITUTE(SUBSTITUTE($G1075,"-"," ",LEN($G1075)-LEN(SUBSTITUTE($G1075,"-",""))),"-"," ",LEN($G1075)-LEN(SUBSTITUTE($G1075,"-",""))-1),SUBSTITUTE(SUBSTITUTE(SUBSTITUTE($G1075,"-"," ",LEN($G1075)-LEN(SUBSTITUTE($G1075,"-",""))),"-"," ",LEN($G1075)-LEN(SUBSTITUTE($G1075,"-",""))-1),"."," ",(LEN(SUBSTITUTE(SUBSTITUTE($G1075,"-"," ",LEN($G1075)-LEN(SUBSTITUTE($G1075,"-",""))),"-"," ",LEN($G1075)-LEN(SUBSTITUTE($G1075,"-",""))-1))-LEN(SUBSTITUTE(SUBSTITUTE(SUBSTITUTE($G1075,"-"," ",LEN($G1075)-LEN(SUBSTITUTE($G1075,"-",""))),"-"," ",LEN($G1075)-LEN(SUBSTITUTE($G1075,"-",""))-1),".",""))))),$G1075)))</f>
        <v/>
      </c>
    </row>
    <row r="1076">
      <c r="A1076" s="58" t="n"/>
      <c r="B1076" s="58">
        <f>IF($H1076="","",LEFT($H1076,FIND(" ",$H1076&amp;" ")-1))</f>
        <v/>
      </c>
      <c r="C1076" s="58">
        <f>IF($H1076="","",IFERROR(MID($H1076&amp;" ",FIND("|",SUBSTITUTE($H1076&amp;" "," ","|",1))+1,FIND("|",SUBSTITUTE($H1076&amp;" "," ","|",2))-FIND("|",SUBSTITUTE($H1076&amp;" "," ","|",1))-1),""))</f>
        <v/>
      </c>
      <c r="D1076" s="58">
        <f>IF($H1076="","",IFERROR(MID($H1076&amp;" ",FIND("|",SUBSTITUTE($H1076&amp;" "," ","|",2))+1,FIND("|",SUBSTITUTE($H1076&amp;" "," ","|",3))-FIND("|",SUBSTITUTE($H1076&amp;" "," ","|",2))-1),""))</f>
        <v/>
      </c>
      <c r="E1076" s="58">
        <f>IF($H1076="","",IFERROR(MID($H1076&amp;" ",FIND("|",SUBSTITUTE($H1076&amp;" "," ","|",3))+1,FIND("|",SUBSTITUTE($H1076&amp;" "," ","|",4))-FIND("|",SUBSTITUTE($H1076&amp;" "," ","|",3))-1),""))</f>
        <v/>
      </c>
      <c r="F1076" s="59">
        <f>IF($H1076="","",IFERROR(VALUE(IFERROR(MID($H1076&amp;" ",FIND("|",SUBSTITUTE($H1076&amp;" "," ","|",4))+1,FIND("|",SUBSTITUTE($H1076&amp;" "," ","|",5))-FIND("|",SUBSTITUTE($H1076&amp;" "," ","|",4))-1),""))/86400+25569+9/24,""))</f>
        <v/>
      </c>
      <c r="G1076" s="58">
        <f>TRIM(SUBSTITUTE(SUBSTITUTE(SUBSTITUTE($A1076,CHAR(9)," ")," "," "),CHAR(13),""))</f>
        <v/>
      </c>
      <c r="H1076" s="58">
        <f>IF($G1076="","",IF(ISNUMBER(FIND(" ",$G1076)),$G1076,IFERROR(IF((LEN(SUBSTITUTE(SUBSTITUTE($G1076,"-"," ",LEN($G1076)-LEN(SUBSTITUTE($G1076,"-",""))),"-"," ",LEN($G1076)-LEN(SUBSTITUTE($G1076,"-",""))-1))-LEN(SUBSTITUTE(SUBSTITUTE(SUBSTITUTE($G1076,"-"," ",LEN($G1076)-LEN(SUBSTITUTE($G1076,"-",""))),"-"," ",LEN($G1076)-LEN(SUBSTITUTE($G1076,"-",""))-1),".","")))=0,SUBSTITUTE(SUBSTITUTE($G1076,"-"," ",LEN($G1076)-LEN(SUBSTITUTE($G1076,"-",""))),"-"," ",LEN($G1076)-LEN(SUBSTITUTE($G1076,"-",""))-1),SUBSTITUTE(SUBSTITUTE(SUBSTITUTE($G1076,"-"," ",LEN($G1076)-LEN(SUBSTITUTE($G1076,"-",""))),"-"," ",LEN($G1076)-LEN(SUBSTITUTE($G1076,"-",""))-1),"."," ",(LEN(SUBSTITUTE(SUBSTITUTE($G1076,"-"," ",LEN($G1076)-LEN(SUBSTITUTE($G1076,"-",""))),"-"," ",LEN($G1076)-LEN(SUBSTITUTE($G1076,"-",""))-1))-LEN(SUBSTITUTE(SUBSTITUTE(SUBSTITUTE($G1076,"-"," ",LEN($G1076)-LEN(SUBSTITUTE($G1076,"-",""))),"-"," ",LEN($G1076)-LEN(SUBSTITUTE($G1076,"-",""))-1),".",""))))),$G1076)))</f>
        <v/>
      </c>
    </row>
    <row r="1077">
      <c r="A1077" s="58" t="n"/>
      <c r="B1077" s="58">
        <f>IF($H1077="","",LEFT($H1077,FIND(" ",$H1077&amp;" ")-1))</f>
        <v/>
      </c>
      <c r="C1077" s="58">
        <f>IF($H1077="","",IFERROR(MID($H1077&amp;" ",FIND("|",SUBSTITUTE($H1077&amp;" "," ","|",1))+1,FIND("|",SUBSTITUTE($H1077&amp;" "," ","|",2))-FIND("|",SUBSTITUTE($H1077&amp;" "," ","|",1))-1),""))</f>
        <v/>
      </c>
      <c r="D1077" s="58">
        <f>IF($H1077="","",IFERROR(MID($H1077&amp;" ",FIND("|",SUBSTITUTE($H1077&amp;" "," ","|",2))+1,FIND("|",SUBSTITUTE($H1077&amp;" "," ","|",3))-FIND("|",SUBSTITUTE($H1077&amp;" "," ","|",2))-1),""))</f>
        <v/>
      </c>
      <c r="E1077" s="58">
        <f>IF($H1077="","",IFERROR(MID($H1077&amp;" ",FIND("|",SUBSTITUTE($H1077&amp;" "," ","|",3))+1,FIND("|",SUBSTITUTE($H1077&amp;" "," ","|",4))-FIND("|",SUBSTITUTE($H1077&amp;" "," ","|",3))-1),""))</f>
        <v/>
      </c>
      <c r="F1077" s="59">
        <f>IF($H1077="","",IFERROR(VALUE(IFERROR(MID($H1077&amp;" ",FIND("|",SUBSTITUTE($H1077&amp;" "," ","|",4))+1,FIND("|",SUBSTITUTE($H1077&amp;" "," ","|",5))-FIND("|",SUBSTITUTE($H1077&amp;" "," ","|",4))-1),""))/86400+25569+9/24,""))</f>
        <v/>
      </c>
      <c r="G1077" s="58">
        <f>TRIM(SUBSTITUTE(SUBSTITUTE(SUBSTITUTE($A1077,CHAR(9)," ")," "," "),CHAR(13),""))</f>
        <v/>
      </c>
      <c r="H1077" s="58">
        <f>IF($G1077="","",IF(ISNUMBER(FIND(" ",$G1077)),$G1077,IFERROR(IF((LEN(SUBSTITUTE(SUBSTITUTE($G1077,"-"," ",LEN($G1077)-LEN(SUBSTITUTE($G1077,"-",""))),"-"," ",LEN($G1077)-LEN(SUBSTITUTE($G1077,"-",""))-1))-LEN(SUBSTITUTE(SUBSTITUTE(SUBSTITUTE($G1077,"-"," ",LEN($G1077)-LEN(SUBSTITUTE($G1077,"-",""))),"-"," ",LEN($G1077)-LEN(SUBSTITUTE($G1077,"-",""))-1),".","")))=0,SUBSTITUTE(SUBSTITUTE($G1077,"-"," ",LEN($G1077)-LEN(SUBSTITUTE($G1077,"-",""))),"-"," ",LEN($G1077)-LEN(SUBSTITUTE($G1077,"-",""))-1),SUBSTITUTE(SUBSTITUTE(SUBSTITUTE($G1077,"-"," ",LEN($G1077)-LEN(SUBSTITUTE($G1077,"-",""))),"-"," ",LEN($G1077)-LEN(SUBSTITUTE($G1077,"-",""))-1),"."," ",(LEN(SUBSTITUTE(SUBSTITUTE($G1077,"-"," ",LEN($G1077)-LEN(SUBSTITUTE($G1077,"-",""))),"-"," ",LEN($G1077)-LEN(SUBSTITUTE($G1077,"-",""))-1))-LEN(SUBSTITUTE(SUBSTITUTE(SUBSTITUTE($G1077,"-"," ",LEN($G1077)-LEN(SUBSTITUTE($G1077,"-",""))),"-"," ",LEN($G1077)-LEN(SUBSTITUTE($G1077,"-",""))-1),".",""))))),$G1077)))</f>
        <v/>
      </c>
    </row>
    <row r="1078">
      <c r="A1078" s="58" t="n"/>
      <c r="B1078" s="58">
        <f>IF($H1078="","",LEFT($H1078,FIND(" ",$H1078&amp;" ")-1))</f>
        <v/>
      </c>
      <c r="C1078" s="58">
        <f>IF($H1078="","",IFERROR(MID($H1078&amp;" ",FIND("|",SUBSTITUTE($H1078&amp;" "," ","|",1))+1,FIND("|",SUBSTITUTE($H1078&amp;" "," ","|",2))-FIND("|",SUBSTITUTE($H1078&amp;" "," ","|",1))-1),""))</f>
        <v/>
      </c>
      <c r="D1078" s="58">
        <f>IF($H1078="","",IFERROR(MID($H1078&amp;" ",FIND("|",SUBSTITUTE($H1078&amp;" "," ","|",2))+1,FIND("|",SUBSTITUTE($H1078&amp;" "," ","|",3))-FIND("|",SUBSTITUTE($H1078&amp;" "," ","|",2))-1),""))</f>
        <v/>
      </c>
      <c r="E1078" s="58">
        <f>IF($H1078="","",IFERROR(MID($H1078&amp;" ",FIND("|",SUBSTITUTE($H1078&amp;" "," ","|",3))+1,FIND("|",SUBSTITUTE($H1078&amp;" "," ","|",4))-FIND("|",SUBSTITUTE($H1078&amp;" "," ","|",3))-1),""))</f>
        <v/>
      </c>
      <c r="F1078" s="59">
        <f>IF($H1078="","",IFERROR(VALUE(IFERROR(MID($H1078&amp;" ",FIND("|",SUBSTITUTE($H1078&amp;" "," ","|",4))+1,FIND("|",SUBSTITUTE($H1078&amp;" "," ","|",5))-FIND("|",SUBSTITUTE($H1078&amp;" "," ","|",4))-1),""))/86400+25569+9/24,""))</f>
        <v/>
      </c>
      <c r="G1078" s="58">
        <f>TRIM(SUBSTITUTE(SUBSTITUTE(SUBSTITUTE($A1078,CHAR(9)," ")," "," "),CHAR(13),""))</f>
        <v/>
      </c>
      <c r="H1078" s="58">
        <f>IF($G1078="","",IF(ISNUMBER(FIND(" ",$G1078)),$G1078,IFERROR(IF((LEN(SUBSTITUTE(SUBSTITUTE($G1078,"-"," ",LEN($G1078)-LEN(SUBSTITUTE($G1078,"-",""))),"-"," ",LEN($G1078)-LEN(SUBSTITUTE($G1078,"-",""))-1))-LEN(SUBSTITUTE(SUBSTITUTE(SUBSTITUTE($G1078,"-"," ",LEN($G1078)-LEN(SUBSTITUTE($G1078,"-",""))),"-"," ",LEN($G1078)-LEN(SUBSTITUTE($G1078,"-",""))-1),".","")))=0,SUBSTITUTE(SUBSTITUTE($G1078,"-"," ",LEN($G1078)-LEN(SUBSTITUTE($G1078,"-",""))),"-"," ",LEN($G1078)-LEN(SUBSTITUTE($G1078,"-",""))-1),SUBSTITUTE(SUBSTITUTE(SUBSTITUTE($G1078,"-"," ",LEN($G1078)-LEN(SUBSTITUTE($G1078,"-",""))),"-"," ",LEN($G1078)-LEN(SUBSTITUTE($G1078,"-",""))-1),"."," ",(LEN(SUBSTITUTE(SUBSTITUTE($G1078,"-"," ",LEN($G1078)-LEN(SUBSTITUTE($G1078,"-",""))),"-"," ",LEN($G1078)-LEN(SUBSTITUTE($G1078,"-",""))-1))-LEN(SUBSTITUTE(SUBSTITUTE(SUBSTITUTE($G1078,"-"," ",LEN($G1078)-LEN(SUBSTITUTE($G1078,"-",""))),"-"," ",LEN($G1078)-LEN(SUBSTITUTE($G1078,"-",""))-1),".",""))))),$G1078)))</f>
        <v/>
      </c>
    </row>
    <row r="1079">
      <c r="A1079" s="58" t="n"/>
      <c r="B1079" s="58">
        <f>IF($H1079="","",LEFT($H1079,FIND(" ",$H1079&amp;" ")-1))</f>
        <v/>
      </c>
      <c r="C1079" s="58">
        <f>IF($H1079="","",IFERROR(MID($H1079&amp;" ",FIND("|",SUBSTITUTE($H1079&amp;" "," ","|",1))+1,FIND("|",SUBSTITUTE($H1079&amp;" "," ","|",2))-FIND("|",SUBSTITUTE($H1079&amp;" "," ","|",1))-1),""))</f>
        <v/>
      </c>
      <c r="D1079" s="58">
        <f>IF($H1079="","",IFERROR(MID($H1079&amp;" ",FIND("|",SUBSTITUTE($H1079&amp;" "," ","|",2))+1,FIND("|",SUBSTITUTE($H1079&amp;" "," ","|",3))-FIND("|",SUBSTITUTE($H1079&amp;" "," ","|",2))-1),""))</f>
        <v/>
      </c>
      <c r="E1079" s="58">
        <f>IF($H1079="","",IFERROR(MID($H1079&amp;" ",FIND("|",SUBSTITUTE($H1079&amp;" "," ","|",3))+1,FIND("|",SUBSTITUTE($H1079&amp;" "," ","|",4))-FIND("|",SUBSTITUTE($H1079&amp;" "," ","|",3))-1),""))</f>
        <v/>
      </c>
      <c r="F1079" s="59">
        <f>IF($H1079="","",IFERROR(VALUE(IFERROR(MID($H1079&amp;" ",FIND("|",SUBSTITUTE($H1079&amp;" "," ","|",4))+1,FIND("|",SUBSTITUTE($H1079&amp;" "," ","|",5))-FIND("|",SUBSTITUTE($H1079&amp;" "," ","|",4))-1),""))/86400+25569+9/24,""))</f>
        <v/>
      </c>
      <c r="G1079" s="58">
        <f>TRIM(SUBSTITUTE(SUBSTITUTE(SUBSTITUTE($A1079,CHAR(9)," ")," "," "),CHAR(13),""))</f>
        <v/>
      </c>
      <c r="H1079" s="58">
        <f>IF($G1079="","",IF(ISNUMBER(FIND(" ",$G1079)),$G1079,IFERROR(IF((LEN(SUBSTITUTE(SUBSTITUTE($G1079,"-"," ",LEN($G1079)-LEN(SUBSTITUTE($G1079,"-",""))),"-"," ",LEN($G1079)-LEN(SUBSTITUTE($G1079,"-",""))-1))-LEN(SUBSTITUTE(SUBSTITUTE(SUBSTITUTE($G1079,"-"," ",LEN($G1079)-LEN(SUBSTITUTE($G1079,"-",""))),"-"," ",LEN($G1079)-LEN(SUBSTITUTE($G1079,"-",""))-1),".","")))=0,SUBSTITUTE(SUBSTITUTE($G1079,"-"," ",LEN($G1079)-LEN(SUBSTITUTE($G1079,"-",""))),"-"," ",LEN($G1079)-LEN(SUBSTITUTE($G1079,"-",""))-1),SUBSTITUTE(SUBSTITUTE(SUBSTITUTE($G1079,"-"," ",LEN($G1079)-LEN(SUBSTITUTE($G1079,"-",""))),"-"," ",LEN($G1079)-LEN(SUBSTITUTE($G1079,"-",""))-1),"."," ",(LEN(SUBSTITUTE(SUBSTITUTE($G1079,"-"," ",LEN($G1079)-LEN(SUBSTITUTE($G1079,"-",""))),"-"," ",LEN($G1079)-LEN(SUBSTITUTE($G1079,"-",""))-1))-LEN(SUBSTITUTE(SUBSTITUTE(SUBSTITUTE($G1079,"-"," ",LEN($G1079)-LEN(SUBSTITUTE($G1079,"-",""))),"-"," ",LEN($G1079)-LEN(SUBSTITUTE($G1079,"-",""))-1),".",""))))),$G1079)))</f>
        <v/>
      </c>
    </row>
    <row r="1080">
      <c r="A1080" s="58" t="n"/>
      <c r="B1080" s="58">
        <f>IF($H1080="","",LEFT($H1080,FIND(" ",$H1080&amp;" ")-1))</f>
        <v/>
      </c>
      <c r="C1080" s="58">
        <f>IF($H1080="","",IFERROR(MID($H1080&amp;" ",FIND("|",SUBSTITUTE($H1080&amp;" "," ","|",1))+1,FIND("|",SUBSTITUTE($H1080&amp;" "," ","|",2))-FIND("|",SUBSTITUTE($H1080&amp;" "," ","|",1))-1),""))</f>
        <v/>
      </c>
      <c r="D1080" s="58">
        <f>IF($H1080="","",IFERROR(MID($H1080&amp;" ",FIND("|",SUBSTITUTE($H1080&amp;" "," ","|",2))+1,FIND("|",SUBSTITUTE($H1080&amp;" "," ","|",3))-FIND("|",SUBSTITUTE($H1080&amp;" "," ","|",2))-1),""))</f>
        <v/>
      </c>
      <c r="E1080" s="58">
        <f>IF($H1080="","",IFERROR(MID($H1080&amp;" ",FIND("|",SUBSTITUTE($H1080&amp;" "," ","|",3))+1,FIND("|",SUBSTITUTE($H1080&amp;" "," ","|",4))-FIND("|",SUBSTITUTE($H1080&amp;" "," ","|",3))-1),""))</f>
        <v/>
      </c>
      <c r="F1080" s="59">
        <f>IF($H1080="","",IFERROR(VALUE(IFERROR(MID($H1080&amp;" ",FIND("|",SUBSTITUTE($H1080&amp;" "," ","|",4))+1,FIND("|",SUBSTITUTE($H1080&amp;" "," ","|",5))-FIND("|",SUBSTITUTE($H1080&amp;" "," ","|",4))-1),""))/86400+25569+9/24,""))</f>
        <v/>
      </c>
      <c r="G1080" s="58">
        <f>TRIM(SUBSTITUTE(SUBSTITUTE(SUBSTITUTE($A1080,CHAR(9)," ")," "," "),CHAR(13),""))</f>
        <v/>
      </c>
      <c r="H1080" s="58">
        <f>IF($G1080="","",IF(ISNUMBER(FIND(" ",$G1080)),$G1080,IFERROR(IF((LEN(SUBSTITUTE(SUBSTITUTE($G1080,"-"," ",LEN($G1080)-LEN(SUBSTITUTE($G1080,"-",""))),"-"," ",LEN($G1080)-LEN(SUBSTITUTE($G1080,"-",""))-1))-LEN(SUBSTITUTE(SUBSTITUTE(SUBSTITUTE($G1080,"-"," ",LEN($G1080)-LEN(SUBSTITUTE($G1080,"-",""))),"-"," ",LEN($G1080)-LEN(SUBSTITUTE($G1080,"-",""))-1),".","")))=0,SUBSTITUTE(SUBSTITUTE($G1080,"-"," ",LEN($G1080)-LEN(SUBSTITUTE($G1080,"-",""))),"-"," ",LEN($G1080)-LEN(SUBSTITUTE($G1080,"-",""))-1),SUBSTITUTE(SUBSTITUTE(SUBSTITUTE($G1080,"-"," ",LEN($G1080)-LEN(SUBSTITUTE($G1080,"-",""))),"-"," ",LEN($G1080)-LEN(SUBSTITUTE($G1080,"-",""))-1),"."," ",(LEN(SUBSTITUTE(SUBSTITUTE($G1080,"-"," ",LEN($G1080)-LEN(SUBSTITUTE($G1080,"-",""))),"-"," ",LEN($G1080)-LEN(SUBSTITUTE($G1080,"-",""))-1))-LEN(SUBSTITUTE(SUBSTITUTE(SUBSTITUTE($G1080,"-"," ",LEN($G1080)-LEN(SUBSTITUTE($G1080,"-",""))),"-"," ",LEN($G1080)-LEN(SUBSTITUTE($G1080,"-",""))-1),".",""))))),$G1080)))</f>
        <v/>
      </c>
    </row>
    <row r="1081">
      <c r="A1081" s="58" t="n"/>
      <c r="B1081" s="58">
        <f>IF($H1081="","",LEFT($H1081,FIND(" ",$H1081&amp;" ")-1))</f>
        <v/>
      </c>
      <c r="C1081" s="58">
        <f>IF($H1081="","",IFERROR(MID($H1081&amp;" ",FIND("|",SUBSTITUTE($H1081&amp;" "," ","|",1))+1,FIND("|",SUBSTITUTE($H1081&amp;" "," ","|",2))-FIND("|",SUBSTITUTE($H1081&amp;" "," ","|",1))-1),""))</f>
        <v/>
      </c>
      <c r="D1081" s="58">
        <f>IF($H1081="","",IFERROR(MID($H1081&amp;" ",FIND("|",SUBSTITUTE($H1081&amp;" "," ","|",2))+1,FIND("|",SUBSTITUTE($H1081&amp;" "," ","|",3))-FIND("|",SUBSTITUTE($H1081&amp;" "," ","|",2))-1),""))</f>
        <v/>
      </c>
      <c r="E1081" s="58">
        <f>IF($H1081="","",IFERROR(MID($H1081&amp;" ",FIND("|",SUBSTITUTE($H1081&amp;" "," ","|",3))+1,FIND("|",SUBSTITUTE($H1081&amp;" "," ","|",4))-FIND("|",SUBSTITUTE($H1081&amp;" "," ","|",3))-1),""))</f>
        <v/>
      </c>
      <c r="F1081" s="59">
        <f>IF($H1081="","",IFERROR(VALUE(IFERROR(MID($H1081&amp;" ",FIND("|",SUBSTITUTE($H1081&amp;" "," ","|",4))+1,FIND("|",SUBSTITUTE($H1081&amp;" "," ","|",5))-FIND("|",SUBSTITUTE($H1081&amp;" "," ","|",4))-1),""))/86400+25569+9/24,""))</f>
        <v/>
      </c>
      <c r="G1081" s="58">
        <f>TRIM(SUBSTITUTE(SUBSTITUTE(SUBSTITUTE($A1081,CHAR(9)," ")," "," "),CHAR(13),""))</f>
        <v/>
      </c>
      <c r="H1081" s="58">
        <f>IF($G1081="","",IF(ISNUMBER(FIND(" ",$G1081)),$G1081,IFERROR(IF((LEN(SUBSTITUTE(SUBSTITUTE($G1081,"-"," ",LEN($G1081)-LEN(SUBSTITUTE($G1081,"-",""))),"-"," ",LEN($G1081)-LEN(SUBSTITUTE($G1081,"-",""))-1))-LEN(SUBSTITUTE(SUBSTITUTE(SUBSTITUTE($G1081,"-"," ",LEN($G1081)-LEN(SUBSTITUTE($G1081,"-",""))),"-"," ",LEN($G1081)-LEN(SUBSTITUTE($G1081,"-",""))-1),".","")))=0,SUBSTITUTE(SUBSTITUTE($G1081,"-"," ",LEN($G1081)-LEN(SUBSTITUTE($G1081,"-",""))),"-"," ",LEN($G1081)-LEN(SUBSTITUTE($G1081,"-",""))-1),SUBSTITUTE(SUBSTITUTE(SUBSTITUTE($G1081,"-"," ",LEN($G1081)-LEN(SUBSTITUTE($G1081,"-",""))),"-"," ",LEN($G1081)-LEN(SUBSTITUTE($G1081,"-",""))-1),"."," ",(LEN(SUBSTITUTE(SUBSTITUTE($G1081,"-"," ",LEN($G1081)-LEN(SUBSTITUTE($G1081,"-",""))),"-"," ",LEN($G1081)-LEN(SUBSTITUTE($G1081,"-",""))-1))-LEN(SUBSTITUTE(SUBSTITUTE(SUBSTITUTE($G1081,"-"," ",LEN($G1081)-LEN(SUBSTITUTE($G1081,"-",""))),"-"," ",LEN($G1081)-LEN(SUBSTITUTE($G1081,"-",""))-1),".",""))))),$G1081)))</f>
        <v/>
      </c>
    </row>
    <row r="1082">
      <c r="A1082" s="58" t="n"/>
      <c r="B1082" s="58">
        <f>IF($H1082="","",LEFT($H1082,FIND(" ",$H1082&amp;" ")-1))</f>
        <v/>
      </c>
      <c r="C1082" s="58">
        <f>IF($H1082="","",IFERROR(MID($H1082&amp;" ",FIND("|",SUBSTITUTE($H1082&amp;" "," ","|",1))+1,FIND("|",SUBSTITUTE($H1082&amp;" "," ","|",2))-FIND("|",SUBSTITUTE($H1082&amp;" "," ","|",1))-1),""))</f>
        <v/>
      </c>
      <c r="D1082" s="58">
        <f>IF($H1082="","",IFERROR(MID($H1082&amp;" ",FIND("|",SUBSTITUTE($H1082&amp;" "," ","|",2))+1,FIND("|",SUBSTITUTE($H1082&amp;" "," ","|",3))-FIND("|",SUBSTITUTE($H1082&amp;" "," ","|",2))-1),""))</f>
        <v/>
      </c>
      <c r="E1082" s="58">
        <f>IF($H1082="","",IFERROR(MID($H1082&amp;" ",FIND("|",SUBSTITUTE($H1082&amp;" "," ","|",3))+1,FIND("|",SUBSTITUTE($H1082&amp;" "," ","|",4))-FIND("|",SUBSTITUTE($H1082&amp;" "," ","|",3))-1),""))</f>
        <v/>
      </c>
      <c r="F1082" s="59">
        <f>IF($H1082="","",IFERROR(VALUE(IFERROR(MID($H1082&amp;" ",FIND("|",SUBSTITUTE($H1082&amp;" "," ","|",4))+1,FIND("|",SUBSTITUTE($H1082&amp;" "," ","|",5))-FIND("|",SUBSTITUTE($H1082&amp;" "," ","|",4))-1),""))/86400+25569+9/24,""))</f>
        <v/>
      </c>
      <c r="G1082" s="58">
        <f>TRIM(SUBSTITUTE(SUBSTITUTE(SUBSTITUTE($A1082,CHAR(9)," ")," "," "),CHAR(13),""))</f>
        <v/>
      </c>
      <c r="H1082" s="58">
        <f>IF($G1082="","",IF(ISNUMBER(FIND(" ",$G1082)),$G1082,IFERROR(IF((LEN(SUBSTITUTE(SUBSTITUTE($G1082,"-"," ",LEN($G1082)-LEN(SUBSTITUTE($G1082,"-",""))),"-"," ",LEN($G1082)-LEN(SUBSTITUTE($G1082,"-",""))-1))-LEN(SUBSTITUTE(SUBSTITUTE(SUBSTITUTE($G1082,"-"," ",LEN($G1082)-LEN(SUBSTITUTE($G1082,"-",""))),"-"," ",LEN($G1082)-LEN(SUBSTITUTE($G1082,"-",""))-1),".","")))=0,SUBSTITUTE(SUBSTITUTE($G1082,"-"," ",LEN($G1082)-LEN(SUBSTITUTE($G1082,"-",""))),"-"," ",LEN($G1082)-LEN(SUBSTITUTE($G1082,"-",""))-1),SUBSTITUTE(SUBSTITUTE(SUBSTITUTE($G1082,"-"," ",LEN($G1082)-LEN(SUBSTITUTE($G1082,"-",""))),"-"," ",LEN($G1082)-LEN(SUBSTITUTE($G1082,"-",""))-1),"."," ",(LEN(SUBSTITUTE(SUBSTITUTE($G1082,"-"," ",LEN($G1082)-LEN(SUBSTITUTE($G1082,"-",""))),"-"," ",LEN($G1082)-LEN(SUBSTITUTE($G1082,"-",""))-1))-LEN(SUBSTITUTE(SUBSTITUTE(SUBSTITUTE($G1082,"-"," ",LEN($G1082)-LEN(SUBSTITUTE($G1082,"-",""))),"-"," ",LEN($G1082)-LEN(SUBSTITUTE($G1082,"-",""))-1),".",""))))),$G1082)))</f>
        <v/>
      </c>
    </row>
    <row r="1083">
      <c r="A1083" s="58" t="n"/>
      <c r="B1083" s="58">
        <f>IF($H1083="","",LEFT($H1083,FIND(" ",$H1083&amp;" ")-1))</f>
        <v/>
      </c>
      <c r="C1083" s="58">
        <f>IF($H1083="","",IFERROR(MID($H1083&amp;" ",FIND("|",SUBSTITUTE($H1083&amp;" "," ","|",1))+1,FIND("|",SUBSTITUTE($H1083&amp;" "," ","|",2))-FIND("|",SUBSTITUTE($H1083&amp;" "," ","|",1))-1),""))</f>
        <v/>
      </c>
      <c r="D1083" s="58">
        <f>IF($H1083="","",IFERROR(MID($H1083&amp;" ",FIND("|",SUBSTITUTE($H1083&amp;" "," ","|",2))+1,FIND("|",SUBSTITUTE($H1083&amp;" "," ","|",3))-FIND("|",SUBSTITUTE($H1083&amp;" "," ","|",2))-1),""))</f>
        <v/>
      </c>
      <c r="E1083" s="58">
        <f>IF($H1083="","",IFERROR(MID($H1083&amp;" ",FIND("|",SUBSTITUTE($H1083&amp;" "," ","|",3))+1,FIND("|",SUBSTITUTE($H1083&amp;" "," ","|",4))-FIND("|",SUBSTITUTE($H1083&amp;" "," ","|",3))-1),""))</f>
        <v/>
      </c>
      <c r="F1083" s="59">
        <f>IF($H1083="","",IFERROR(VALUE(IFERROR(MID($H1083&amp;" ",FIND("|",SUBSTITUTE($H1083&amp;" "," ","|",4))+1,FIND("|",SUBSTITUTE($H1083&amp;" "," ","|",5))-FIND("|",SUBSTITUTE($H1083&amp;" "," ","|",4))-1),""))/86400+25569+9/24,""))</f>
        <v/>
      </c>
      <c r="G1083" s="58">
        <f>TRIM(SUBSTITUTE(SUBSTITUTE(SUBSTITUTE($A1083,CHAR(9)," ")," "," "),CHAR(13),""))</f>
        <v/>
      </c>
      <c r="H1083" s="58">
        <f>IF($G1083="","",IF(ISNUMBER(FIND(" ",$G1083)),$G1083,IFERROR(IF((LEN(SUBSTITUTE(SUBSTITUTE($G1083,"-"," ",LEN($G1083)-LEN(SUBSTITUTE($G1083,"-",""))),"-"," ",LEN($G1083)-LEN(SUBSTITUTE($G1083,"-",""))-1))-LEN(SUBSTITUTE(SUBSTITUTE(SUBSTITUTE($G1083,"-"," ",LEN($G1083)-LEN(SUBSTITUTE($G1083,"-",""))),"-"," ",LEN($G1083)-LEN(SUBSTITUTE($G1083,"-",""))-1),".","")))=0,SUBSTITUTE(SUBSTITUTE($G1083,"-"," ",LEN($G1083)-LEN(SUBSTITUTE($G1083,"-",""))),"-"," ",LEN($G1083)-LEN(SUBSTITUTE($G1083,"-",""))-1),SUBSTITUTE(SUBSTITUTE(SUBSTITUTE($G1083,"-"," ",LEN($G1083)-LEN(SUBSTITUTE($G1083,"-",""))),"-"," ",LEN($G1083)-LEN(SUBSTITUTE($G1083,"-",""))-1),"."," ",(LEN(SUBSTITUTE(SUBSTITUTE($G1083,"-"," ",LEN($G1083)-LEN(SUBSTITUTE($G1083,"-",""))),"-"," ",LEN($G1083)-LEN(SUBSTITUTE($G1083,"-",""))-1))-LEN(SUBSTITUTE(SUBSTITUTE(SUBSTITUTE($G1083,"-"," ",LEN($G1083)-LEN(SUBSTITUTE($G1083,"-",""))),"-"," ",LEN($G1083)-LEN(SUBSTITUTE($G1083,"-",""))-1),".",""))))),$G1083)))</f>
        <v/>
      </c>
    </row>
    <row r="1084">
      <c r="A1084" s="58" t="n"/>
      <c r="B1084" s="58">
        <f>IF($H1084="","",LEFT($H1084,FIND(" ",$H1084&amp;" ")-1))</f>
        <v/>
      </c>
      <c r="C1084" s="58">
        <f>IF($H1084="","",IFERROR(MID($H1084&amp;" ",FIND("|",SUBSTITUTE($H1084&amp;" "," ","|",1))+1,FIND("|",SUBSTITUTE($H1084&amp;" "," ","|",2))-FIND("|",SUBSTITUTE($H1084&amp;" "," ","|",1))-1),""))</f>
        <v/>
      </c>
      <c r="D1084" s="58">
        <f>IF($H1084="","",IFERROR(MID($H1084&amp;" ",FIND("|",SUBSTITUTE($H1084&amp;" "," ","|",2))+1,FIND("|",SUBSTITUTE($H1084&amp;" "," ","|",3))-FIND("|",SUBSTITUTE($H1084&amp;" "," ","|",2))-1),""))</f>
        <v/>
      </c>
      <c r="E1084" s="58">
        <f>IF($H1084="","",IFERROR(MID($H1084&amp;" ",FIND("|",SUBSTITUTE($H1084&amp;" "," ","|",3))+1,FIND("|",SUBSTITUTE($H1084&amp;" "," ","|",4))-FIND("|",SUBSTITUTE($H1084&amp;" "," ","|",3))-1),""))</f>
        <v/>
      </c>
      <c r="F1084" s="59">
        <f>IF($H1084="","",IFERROR(VALUE(IFERROR(MID($H1084&amp;" ",FIND("|",SUBSTITUTE($H1084&amp;" "," ","|",4))+1,FIND("|",SUBSTITUTE($H1084&amp;" "," ","|",5))-FIND("|",SUBSTITUTE($H1084&amp;" "," ","|",4))-1),""))/86400+25569+9/24,""))</f>
        <v/>
      </c>
      <c r="G1084" s="58">
        <f>TRIM(SUBSTITUTE(SUBSTITUTE(SUBSTITUTE($A1084,CHAR(9)," ")," "," "),CHAR(13),""))</f>
        <v/>
      </c>
      <c r="H1084" s="58">
        <f>IF($G1084="","",IF(ISNUMBER(FIND(" ",$G1084)),$G1084,IFERROR(IF((LEN(SUBSTITUTE(SUBSTITUTE($G1084,"-"," ",LEN($G1084)-LEN(SUBSTITUTE($G1084,"-",""))),"-"," ",LEN($G1084)-LEN(SUBSTITUTE($G1084,"-",""))-1))-LEN(SUBSTITUTE(SUBSTITUTE(SUBSTITUTE($G1084,"-"," ",LEN($G1084)-LEN(SUBSTITUTE($G1084,"-",""))),"-"," ",LEN($G1084)-LEN(SUBSTITUTE($G1084,"-",""))-1),".","")))=0,SUBSTITUTE(SUBSTITUTE($G1084,"-"," ",LEN($G1084)-LEN(SUBSTITUTE($G1084,"-",""))),"-"," ",LEN($G1084)-LEN(SUBSTITUTE($G1084,"-",""))-1),SUBSTITUTE(SUBSTITUTE(SUBSTITUTE($G1084,"-"," ",LEN($G1084)-LEN(SUBSTITUTE($G1084,"-",""))),"-"," ",LEN($G1084)-LEN(SUBSTITUTE($G1084,"-",""))-1),"."," ",(LEN(SUBSTITUTE(SUBSTITUTE($G1084,"-"," ",LEN($G1084)-LEN(SUBSTITUTE($G1084,"-",""))),"-"," ",LEN($G1084)-LEN(SUBSTITUTE($G1084,"-",""))-1))-LEN(SUBSTITUTE(SUBSTITUTE(SUBSTITUTE($G1084,"-"," ",LEN($G1084)-LEN(SUBSTITUTE($G1084,"-",""))),"-"," ",LEN($G1084)-LEN(SUBSTITUTE($G1084,"-",""))-1),".",""))))),$G1084)))</f>
        <v/>
      </c>
    </row>
    <row r="1085">
      <c r="A1085" s="58" t="n"/>
      <c r="B1085" s="58">
        <f>IF($H1085="","",LEFT($H1085,FIND(" ",$H1085&amp;" ")-1))</f>
        <v/>
      </c>
      <c r="C1085" s="58">
        <f>IF($H1085="","",IFERROR(MID($H1085&amp;" ",FIND("|",SUBSTITUTE($H1085&amp;" "," ","|",1))+1,FIND("|",SUBSTITUTE($H1085&amp;" "," ","|",2))-FIND("|",SUBSTITUTE($H1085&amp;" "," ","|",1))-1),""))</f>
        <v/>
      </c>
      <c r="D1085" s="58">
        <f>IF($H1085="","",IFERROR(MID($H1085&amp;" ",FIND("|",SUBSTITUTE($H1085&amp;" "," ","|",2))+1,FIND("|",SUBSTITUTE($H1085&amp;" "," ","|",3))-FIND("|",SUBSTITUTE($H1085&amp;" "," ","|",2))-1),""))</f>
        <v/>
      </c>
      <c r="E1085" s="58">
        <f>IF($H1085="","",IFERROR(MID($H1085&amp;" ",FIND("|",SUBSTITUTE($H1085&amp;" "," ","|",3))+1,FIND("|",SUBSTITUTE($H1085&amp;" "," ","|",4))-FIND("|",SUBSTITUTE($H1085&amp;" "," ","|",3))-1),""))</f>
        <v/>
      </c>
      <c r="F1085" s="59">
        <f>IF($H1085="","",IFERROR(VALUE(IFERROR(MID($H1085&amp;" ",FIND("|",SUBSTITUTE($H1085&amp;" "," ","|",4))+1,FIND("|",SUBSTITUTE($H1085&amp;" "," ","|",5))-FIND("|",SUBSTITUTE($H1085&amp;" "," ","|",4))-1),""))/86400+25569+9/24,""))</f>
        <v/>
      </c>
      <c r="G1085" s="58">
        <f>TRIM(SUBSTITUTE(SUBSTITUTE(SUBSTITUTE($A1085,CHAR(9)," ")," "," "),CHAR(13),""))</f>
        <v/>
      </c>
      <c r="H1085" s="58">
        <f>IF($G1085="","",IF(ISNUMBER(FIND(" ",$G1085)),$G1085,IFERROR(IF((LEN(SUBSTITUTE(SUBSTITUTE($G1085,"-"," ",LEN($G1085)-LEN(SUBSTITUTE($G1085,"-",""))),"-"," ",LEN($G1085)-LEN(SUBSTITUTE($G1085,"-",""))-1))-LEN(SUBSTITUTE(SUBSTITUTE(SUBSTITUTE($G1085,"-"," ",LEN($G1085)-LEN(SUBSTITUTE($G1085,"-",""))),"-"," ",LEN($G1085)-LEN(SUBSTITUTE($G1085,"-",""))-1),".","")))=0,SUBSTITUTE(SUBSTITUTE($G1085,"-"," ",LEN($G1085)-LEN(SUBSTITUTE($G1085,"-",""))),"-"," ",LEN($G1085)-LEN(SUBSTITUTE($G1085,"-",""))-1),SUBSTITUTE(SUBSTITUTE(SUBSTITUTE($G1085,"-"," ",LEN($G1085)-LEN(SUBSTITUTE($G1085,"-",""))),"-"," ",LEN($G1085)-LEN(SUBSTITUTE($G1085,"-",""))-1),"."," ",(LEN(SUBSTITUTE(SUBSTITUTE($G1085,"-"," ",LEN($G1085)-LEN(SUBSTITUTE($G1085,"-",""))),"-"," ",LEN($G1085)-LEN(SUBSTITUTE($G1085,"-",""))-1))-LEN(SUBSTITUTE(SUBSTITUTE(SUBSTITUTE($G1085,"-"," ",LEN($G1085)-LEN(SUBSTITUTE($G1085,"-",""))),"-"," ",LEN($G1085)-LEN(SUBSTITUTE($G1085,"-",""))-1),".",""))))),$G1085)))</f>
        <v/>
      </c>
    </row>
    <row r="1086">
      <c r="A1086" s="58" t="n"/>
      <c r="B1086" s="58">
        <f>IF($H1086="","",LEFT($H1086,FIND(" ",$H1086&amp;" ")-1))</f>
        <v/>
      </c>
      <c r="C1086" s="58">
        <f>IF($H1086="","",IFERROR(MID($H1086&amp;" ",FIND("|",SUBSTITUTE($H1086&amp;" "," ","|",1))+1,FIND("|",SUBSTITUTE($H1086&amp;" "," ","|",2))-FIND("|",SUBSTITUTE($H1086&amp;" "," ","|",1))-1),""))</f>
        <v/>
      </c>
      <c r="D1086" s="58">
        <f>IF($H1086="","",IFERROR(MID($H1086&amp;" ",FIND("|",SUBSTITUTE($H1086&amp;" "," ","|",2))+1,FIND("|",SUBSTITUTE($H1086&amp;" "," ","|",3))-FIND("|",SUBSTITUTE($H1086&amp;" "," ","|",2))-1),""))</f>
        <v/>
      </c>
      <c r="E1086" s="58">
        <f>IF($H1086="","",IFERROR(MID($H1086&amp;" ",FIND("|",SUBSTITUTE($H1086&amp;" "," ","|",3))+1,FIND("|",SUBSTITUTE($H1086&amp;" "," ","|",4))-FIND("|",SUBSTITUTE($H1086&amp;" "," ","|",3))-1),""))</f>
        <v/>
      </c>
      <c r="F1086" s="59">
        <f>IF($H1086="","",IFERROR(VALUE(IFERROR(MID($H1086&amp;" ",FIND("|",SUBSTITUTE($H1086&amp;" "," ","|",4))+1,FIND("|",SUBSTITUTE($H1086&amp;" "," ","|",5))-FIND("|",SUBSTITUTE($H1086&amp;" "," ","|",4))-1),""))/86400+25569+9/24,""))</f>
        <v/>
      </c>
      <c r="G1086" s="58">
        <f>TRIM(SUBSTITUTE(SUBSTITUTE(SUBSTITUTE($A1086,CHAR(9)," ")," "," "),CHAR(13),""))</f>
        <v/>
      </c>
      <c r="H1086" s="58">
        <f>IF($G1086="","",IF(ISNUMBER(FIND(" ",$G1086)),$G1086,IFERROR(IF((LEN(SUBSTITUTE(SUBSTITUTE($G1086,"-"," ",LEN($G1086)-LEN(SUBSTITUTE($G1086,"-",""))),"-"," ",LEN($G1086)-LEN(SUBSTITUTE($G1086,"-",""))-1))-LEN(SUBSTITUTE(SUBSTITUTE(SUBSTITUTE($G1086,"-"," ",LEN($G1086)-LEN(SUBSTITUTE($G1086,"-",""))),"-"," ",LEN($G1086)-LEN(SUBSTITUTE($G1086,"-",""))-1),".","")))=0,SUBSTITUTE(SUBSTITUTE($G1086,"-"," ",LEN($G1086)-LEN(SUBSTITUTE($G1086,"-",""))),"-"," ",LEN($G1086)-LEN(SUBSTITUTE($G1086,"-",""))-1),SUBSTITUTE(SUBSTITUTE(SUBSTITUTE($G1086,"-"," ",LEN($G1086)-LEN(SUBSTITUTE($G1086,"-",""))),"-"," ",LEN($G1086)-LEN(SUBSTITUTE($G1086,"-",""))-1),"."," ",(LEN(SUBSTITUTE(SUBSTITUTE($G1086,"-"," ",LEN($G1086)-LEN(SUBSTITUTE($G1086,"-",""))),"-"," ",LEN($G1086)-LEN(SUBSTITUTE($G1086,"-",""))-1))-LEN(SUBSTITUTE(SUBSTITUTE(SUBSTITUTE($G1086,"-"," ",LEN($G1086)-LEN(SUBSTITUTE($G1086,"-",""))),"-"," ",LEN($G1086)-LEN(SUBSTITUTE($G1086,"-",""))-1),".",""))))),$G1086)))</f>
        <v/>
      </c>
    </row>
    <row r="1087">
      <c r="A1087" s="58" t="n"/>
      <c r="B1087" s="58">
        <f>IF($H1087="","",LEFT($H1087,FIND(" ",$H1087&amp;" ")-1))</f>
        <v/>
      </c>
      <c r="C1087" s="58">
        <f>IF($H1087="","",IFERROR(MID($H1087&amp;" ",FIND("|",SUBSTITUTE($H1087&amp;" "," ","|",1))+1,FIND("|",SUBSTITUTE($H1087&amp;" "," ","|",2))-FIND("|",SUBSTITUTE($H1087&amp;" "," ","|",1))-1),""))</f>
        <v/>
      </c>
      <c r="D1087" s="58">
        <f>IF($H1087="","",IFERROR(MID($H1087&amp;" ",FIND("|",SUBSTITUTE($H1087&amp;" "," ","|",2))+1,FIND("|",SUBSTITUTE($H1087&amp;" "," ","|",3))-FIND("|",SUBSTITUTE($H1087&amp;" "," ","|",2))-1),""))</f>
        <v/>
      </c>
      <c r="E1087" s="58">
        <f>IF($H1087="","",IFERROR(MID($H1087&amp;" ",FIND("|",SUBSTITUTE($H1087&amp;" "," ","|",3))+1,FIND("|",SUBSTITUTE($H1087&amp;" "," ","|",4))-FIND("|",SUBSTITUTE($H1087&amp;" "," ","|",3))-1),""))</f>
        <v/>
      </c>
      <c r="F1087" s="59">
        <f>IF($H1087="","",IFERROR(VALUE(IFERROR(MID($H1087&amp;" ",FIND("|",SUBSTITUTE($H1087&amp;" "," ","|",4))+1,FIND("|",SUBSTITUTE($H1087&amp;" "," ","|",5))-FIND("|",SUBSTITUTE($H1087&amp;" "," ","|",4))-1),""))/86400+25569+9/24,""))</f>
        <v/>
      </c>
      <c r="G1087" s="58">
        <f>TRIM(SUBSTITUTE(SUBSTITUTE(SUBSTITUTE($A1087,CHAR(9)," ")," "," "),CHAR(13),""))</f>
        <v/>
      </c>
      <c r="H1087" s="58">
        <f>IF($G1087="","",IF(ISNUMBER(FIND(" ",$G1087)),$G1087,IFERROR(IF((LEN(SUBSTITUTE(SUBSTITUTE($G1087,"-"," ",LEN($G1087)-LEN(SUBSTITUTE($G1087,"-",""))),"-"," ",LEN($G1087)-LEN(SUBSTITUTE($G1087,"-",""))-1))-LEN(SUBSTITUTE(SUBSTITUTE(SUBSTITUTE($G1087,"-"," ",LEN($G1087)-LEN(SUBSTITUTE($G1087,"-",""))),"-"," ",LEN($G1087)-LEN(SUBSTITUTE($G1087,"-",""))-1),".","")))=0,SUBSTITUTE(SUBSTITUTE($G1087,"-"," ",LEN($G1087)-LEN(SUBSTITUTE($G1087,"-",""))),"-"," ",LEN($G1087)-LEN(SUBSTITUTE($G1087,"-",""))-1),SUBSTITUTE(SUBSTITUTE(SUBSTITUTE($G1087,"-"," ",LEN($G1087)-LEN(SUBSTITUTE($G1087,"-",""))),"-"," ",LEN($G1087)-LEN(SUBSTITUTE($G1087,"-",""))-1),"."," ",(LEN(SUBSTITUTE(SUBSTITUTE($G1087,"-"," ",LEN($G1087)-LEN(SUBSTITUTE($G1087,"-",""))),"-"," ",LEN($G1087)-LEN(SUBSTITUTE($G1087,"-",""))-1))-LEN(SUBSTITUTE(SUBSTITUTE(SUBSTITUTE($G1087,"-"," ",LEN($G1087)-LEN(SUBSTITUTE($G1087,"-",""))),"-"," ",LEN($G1087)-LEN(SUBSTITUTE($G1087,"-",""))-1),".",""))))),$G1087)))</f>
        <v/>
      </c>
    </row>
    <row r="1088">
      <c r="A1088" s="58" t="n"/>
      <c r="B1088" s="58">
        <f>IF($H1088="","",LEFT($H1088,FIND(" ",$H1088&amp;" ")-1))</f>
        <v/>
      </c>
      <c r="C1088" s="58">
        <f>IF($H1088="","",IFERROR(MID($H1088&amp;" ",FIND("|",SUBSTITUTE($H1088&amp;" "," ","|",1))+1,FIND("|",SUBSTITUTE($H1088&amp;" "," ","|",2))-FIND("|",SUBSTITUTE($H1088&amp;" "," ","|",1))-1),""))</f>
        <v/>
      </c>
      <c r="D1088" s="58">
        <f>IF($H1088="","",IFERROR(MID($H1088&amp;" ",FIND("|",SUBSTITUTE($H1088&amp;" "," ","|",2))+1,FIND("|",SUBSTITUTE($H1088&amp;" "," ","|",3))-FIND("|",SUBSTITUTE($H1088&amp;" "," ","|",2))-1),""))</f>
        <v/>
      </c>
      <c r="E1088" s="58">
        <f>IF($H1088="","",IFERROR(MID($H1088&amp;" ",FIND("|",SUBSTITUTE($H1088&amp;" "," ","|",3))+1,FIND("|",SUBSTITUTE($H1088&amp;" "," ","|",4))-FIND("|",SUBSTITUTE($H1088&amp;" "," ","|",3))-1),""))</f>
        <v/>
      </c>
      <c r="F1088" s="59">
        <f>IF($H1088="","",IFERROR(VALUE(IFERROR(MID($H1088&amp;" ",FIND("|",SUBSTITUTE($H1088&amp;" "," ","|",4))+1,FIND("|",SUBSTITUTE($H1088&amp;" "," ","|",5))-FIND("|",SUBSTITUTE($H1088&amp;" "," ","|",4))-1),""))/86400+25569+9/24,""))</f>
        <v/>
      </c>
      <c r="G1088" s="58">
        <f>TRIM(SUBSTITUTE(SUBSTITUTE(SUBSTITUTE($A1088,CHAR(9)," ")," "," "),CHAR(13),""))</f>
        <v/>
      </c>
      <c r="H1088" s="58">
        <f>IF($G1088="","",IF(ISNUMBER(FIND(" ",$G1088)),$G1088,IFERROR(IF((LEN(SUBSTITUTE(SUBSTITUTE($G1088,"-"," ",LEN($G1088)-LEN(SUBSTITUTE($G1088,"-",""))),"-"," ",LEN($G1088)-LEN(SUBSTITUTE($G1088,"-",""))-1))-LEN(SUBSTITUTE(SUBSTITUTE(SUBSTITUTE($G1088,"-"," ",LEN($G1088)-LEN(SUBSTITUTE($G1088,"-",""))),"-"," ",LEN($G1088)-LEN(SUBSTITUTE($G1088,"-",""))-1),".","")))=0,SUBSTITUTE(SUBSTITUTE($G1088,"-"," ",LEN($G1088)-LEN(SUBSTITUTE($G1088,"-",""))),"-"," ",LEN($G1088)-LEN(SUBSTITUTE($G1088,"-",""))-1),SUBSTITUTE(SUBSTITUTE(SUBSTITUTE($G1088,"-"," ",LEN($G1088)-LEN(SUBSTITUTE($G1088,"-",""))),"-"," ",LEN($G1088)-LEN(SUBSTITUTE($G1088,"-",""))-1),"."," ",(LEN(SUBSTITUTE(SUBSTITUTE($G1088,"-"," ",LEN($G1088)-LEN(SUBSTITUTE($G1088,"-",""))),"-"," ",LEN($G1088)-LEN(SUBSTITUTE($G1088,"-",""))-1))-LEN(SUBSTITUTE(SUBSTITUTE(SUBSTITUTE($G1088,"-"," ",LEN($G1088)-LEN(SUBSTITUTE($G1088,"-",""))),"-"," ",LEN($G1088)-LEN(SUBSTITUTE($G1088,"-",""))-1),".",""))))),$G1088)))</f>
        <v/>
      </c>
    </row>
    <row r="1089">
      <c r="A1089" s="58" t="n"/>
      <c r="B1089" s="58">
        <f>IF($H1089="","",LEFT($H1089,FIND(" ",$H1089&amp;" ")-1))</f>
        <v/>
      </c>
      <c r="C1089" s="58">
        <f>IF($H1089="","",IFERROR(MID($H1089&amp;" ",FIND("|",SUBSTITUTE($H1089&amp;" "," ","|",1))+1,FIND("|",SUBSTITUTE($H1089&amp;" "," ","|",2))-FIND("|",SUBSTITUTE($H1089&amp;" "," ","|",1))-1),""))</f>
        <v/>
      </c>
      <c r="D1089" s="58">
        <f>IF($H1089="","",IFERROR(MID($H1089&amp;" ",FIND("|",SUBSTITUTE($H1089&amp;" "," ","|",2))+1,FIND("|",SUBSTITUTE($H1089&amp;" "," ","|",3))-FIND("|",SUBSTITUTE($H1089&amp;" "," ","|",2))-1),""))</f>
        <v/>
      </c>
      <c r="E1089" s="58">
        <f>IF($H1089="","",IFERROR(MID($H1089&amp;" ",FIND("|",SUBSTITUTE($H1089&amp;" "," ","|",3))+1,FIND("|",SUBSTITUTE($H1089&amp;" "," ","|",4))-FIND("|",SUBSTITUTE($H1089&amp;" "," ","|",3))-1),""))</f>
        <v/>
      </c>
      <c r="F1089" s="59">
        <f>IF($H1089="","",IFERROR(VALUE(IFERROR(MID($H1089&amp;" ",FIND("|",SUBSTITUTE($H1089&amp;" "," ","|",4))+1,FIND("|",SUBSTITUTE($H1089&amp;" "," ","|",5))-FIND("|",SUBSTITUTE($H1089&amp;" "," ","|",4))-1),""))/86400+25569+9/24,""))</f>
        <v/>
      </c>
      <c r="G1089" s="58">
        <f>TRIM(SUBSTITUTE(SUBSTITUTE(SUBSTITUTE($A1089,CHAR(9)," ")," "," "),CHAR(13),""))</f>
        <v/>
      </c>
      <c r="H1089" s="58">
        <f>IF($G1089="","",IF(ISNUMBER(FIND(" ",$G1089)),$G1089,IFERROR(IF((LEN(SUBSTITUTE(SUBSTITUTE($G1089,"-"," ",LEN($G1089)-LEN(SUBSTITUTE($G1089,"-",""))),"-"," ",LEN($G1089)-LEN(SUBSTITUTE($G1089,"-",""))-1))-LEN(SUBSTITUTE(SUBSTITUTE(SUBSTITUTE($G1089,"-"," ",LEN($G1089)-LEN(SUBSTITUTE($G1089,"-",""))),"-"," ",LEN($G1089)-LEN(SUBSTITUTE($G1089,"-",""))-1),".","")))=0,SUBSTITUTE(SUBSTITUTE($G1089,"-"," ",LEN($G1089)-LEN(SUBSTITUTE($G1089,"-",""))),"-"," ",LEN($G1089)-LEN(SUBSTITUTE($G1089,"-",""))-1),SUBSTITUTE(SUBSTITUTE(SUBSTITUTE($G1089,"-"," ",LEN($G1089)-LEN(SUBSTITUTE($G1089,"-",""))),"-"," ",LEN($G1089)-LEN(SUBSTITUTE($G1089,"-",""))-1),"."," ",(LEN(SUBSTITUTE(SUBSTITUTE($G1089,"-"," ",LEN($G1089)-LEN(SUBSTITUTE($G1089,"-",""))),"-"," ",LEN($G1089)-LEN(SUBSTITUTE($G1089,"-",""))-1))-LEN(SUBSTITUTE(SUBSTITUTE(SUBSTITUTE($G1089,"-"," ",LEN($G1089)-LEN(SUBSTITUTE($G1089,"-",""))),"-"," ",LEN($G1089)-LEN(SUBSTITUTE($G1089,"-",""))-1),".",""))))),$G1089)))</f>
        <v/>
      </c>
    </row>
    <row r="1090">
      <c r="A1090" s="58" t="n"/>
      <c r="B1090" s="58">
        <f>IF($H1090="","",LEFT($H1090,FIND(" ",$H1090&amp;" ")-1))</f>
        <v/>
      </c>
      <c r="C1090" s="58">
        <f>IF($H1090="","",IFERROR(MID($H1090&amp;" ",FIND("|",SUBSTITUTE($H1090&amp;" "," ","|",1))+1,FIND("|",SUBSTITUTE($H1090&amp;" "," ","|",2))-FIND("|",SUBSTITUTE($H1090&amp;" "," ","|",1))-1),""))</f>
        <v/>
      </c>
      <c r="D1090" s="58">
        <f>IF($H1090="","",IFERROR(MID($H1090&amp;" ",FIND("|",SUBSTITUTE($H1090&amp;" "," ","|",2))+1,FIND("|",SUBSTITUTE($H1090&amp;" "," ","|",3))-FIND("|",SUBSTITUTE($H1090&amp;" "," ","|",2))-1),""))</f>
        <v/>
      </c>
      <c r="E1090" s="58">
        <f>IF($H1090="","",IFERROR(MID($H1090&amp;" ",FIND("|",SUBSTITUTE($H1090&amp;" "," ","|",3))+1,FIND("|",SUBSTITUTE($H1090&amp;" "," ","|",4))-FIND("|",SUBSTITUTE($H1090&amp;" "," ","|",3))-1),""))</f>
        <v/>
      </c>
      <c r="F1090" s="59">
        <f>IF($H1090="","",IFERROR(VALUE(IFERROR(MID($H1090&amp;" ",FIND("|",SUBSTITUTE($H1090&amp;" "," ","|",4))+1,FIND("|",SUBSTITUTE($H1090&amp;" "," ","|",5))-FIND("|",SUBSTITUTE($H1090&amp;" "," ","|",4))-1),""))/86400+25569+9/24,""))</f>
        <v/>
      </c>
      <c r="G1090" s="58">
        <f>TRIM(SUBSTITUTE(SUBSTITUTE(SUBSTITUTE($A1090,CHAR(9)," ")," "," "),CHAR(13),""))</f>
        <v/>
      </c>
      <c r="H1090" s="58">
        <f>IF($G1090="","",IF(ISNUMBER(FIND(" ",$G1090)),$G1090,IFERROR(IF((LEN(SUBSTITUTE(SUBSTITUTE($G1090,"-"," ",LEN($G1090)-LEN(SUBSTITUTE($G1090,"-",""))),"-"," ",LEN($G1090)-LEN(SUBSTITUTE($G1090,"-",""))-1))-LEN(SUBSTITUTE(SUBSTITUTE(SUBSTITUTE($G1090,"-"," ",LEN($G1090)-LEN(SUBSTITUTE($G1090,"-",""))),"-"," ",LEN($G1090)-LEN(SUBSTITUTE($G1090,"-",""))-1),".","")))=0,SUBSTITUTE(SUBSTITUTE($G1090,"-"," ",LEN($G1090)-LEN(SUBSTITUTE($G1090,"-",""))),"-"," ",LEN($G1090)-LEN(SUBSTITUTE($G1090,"-",""))-1),SUBSTITUTE(SUBSTITUTE(SUBSTITUTE($G1090,"-"," ",LEN($G1090)-LEN(SUBSTITUTE($G1090,"-",""))),"-"," ",LEN($G1090)-LEN(SUBSTITUTE($G1090,"-",""))-1),"."," ",(LEN(SUBSTITUTE(SUBSTITUTE($G1090,"-"," ",LEN($G1090)-LEN(SUBSTITUTE($G1090,"-",""))),"-"," ",LEN($G1090)-LEN(SUBSTITUTE($G1090,"-",""))-1))-LEN(SUBSTITUTE(SUBSTITUTE(SUBSTITUTE($G1090,"-"," ",LEN($G1090)-LEN(SUBSTITUTE($G1090,"-",""))),"-"," ",LEN($G1090)-LEN(SUBSTITUTE($G1090,"-",""))-1),".",""))))),$G1090)))</f>
        <v/>
      </c>
    </row>
    <row r="1091">
      <c r="A1091" s="58" t="n"/>
      <c r="B1091" s="58">
        <f>IF($H1091="","",LEFT($H1091,FIND(" ",$H1091&amp;" ")-1))</f>
        <v/>
      </c>
      <c r="C1091" s="58">
        <f>IF($H1091="","",IFERROR(MID($H1091&amp;" ",FIND("|",SUBSTITUTE($H1091&amp;" "," ","|",1))+1,FIND("|",SUBSTITUTE($H1091&amp;" "," ","|",2))-FIND("|",SUBSTITUTE($H1091&amp;" "," ","|",1))-1),""))</f>
        <v/>
      </c>
      <c r="D1091" s="58">
        <f>IF($H1091="","",IFERROR(MID($H1091&amp;" ",FIND("|",SUBSTITUTE($H1091&amp;" "," ","|",2))+1,FIND("|",SUBSTITUTE($H1091&amp;" "," ","|",3))-FIND("|",SUBSTITUTE($H1091&amp;" "," ","|",2))-1),""))</f>
        <v/>
      </c>
      <c r="E1091" s="58">
        <f>IF($H1091="","",IFERROR(MID($H1091&amp;" ",FIND("|",SUBSTITUTE($H1091&amp;" "," ","|",3))+1,FIND("|",SUBSTITUTE($H1091&amp;" "," ","|",4))-FIND("|",SUBSTITUTE($H1091&amp;" "," ","|",3))-1),""))</f>
        <v/>
      </c>
      <c r="F1091" s="59">
        <f>IF($H1091="","",IFERROR(VALUE(IFERROR(MID($H1091&amp;" ",FIND("|",SUBSTITUTE($H1091&amp;" "," ","|",4))+1,FIND("|",SUBSTITUTE($H1091&amp;" "," ","|",5))-FIND("|",SUBSTITUTE($H1091&amp;" "," ","|",4))-1),""))/86400+25569+9/24,""))</f>
        <v/>
      </c>
      <c r="G1091" s="58">
        <f>TRIM(SUBSTITUTE(SUBSTITUTE(SUBSTITUTE($A1091,CHAR(9)," ")," "," "),CHAR(13),""))</f>
        <v/>
      </c>
      <c r="H1091" s="58">
        <f>IF($G1091="","",IF(ISNUMBER(FIND(" ",$G1091)),$G1091,IFERROR(IF((LEN(SUBSTITUTE(SUBSTITUTE($G1091,"-"," ",LEN($G1091)-LEN(SUBSTITUTE($G1091,"-",""))),"-"," ",LEN($G1091)-LEN(SUBSTITUTE($G1091,"-",""))-1))-LEN(SUBSTITUTE(SUBSTITUTE(SUBSTITUTE($G1091,"-"," ",LEN($G1091)-LEN(SUBSTITUTE($G1091,"-",""))),"-"," ",LEN($G1091)-LEN(SUBSTITUTE($G1091,"-",""))-1),".","")))=0,SUBSTITUTE(SUBSTITUTE($G1091,"-"," ",LEN($G1091)-LEN(SUBSTITUTE($G1091,"-",""))),"-"," ",LEN($G1091)-LEN(SUBSTITUTE($G1091,"-",""))-1),SUBSTITUTE(SUBSTITUTE(SUBSTITUTE($G1091,"-"," ",LEN($G1091)-LEN(SUBSTITUTE($G1091,"-",""))),"-"," ",LEN($G1091)-LEN(SUBSTITUTE($G1091,"-",""))-1),"."," ",(LEN(SUBSTITUTE(SUBSTITUTE($G1091,"-"," ",LEN($G1091)-LEN(SUBSTITUTE($G1091,"-",""))),"-"," ",LEN($G1091)-LEN(SUBSTITUTE($G1091,"-",""))-1))-LEN(SUBSTITUTE(SUBSTITUTE(SUBSTITUTE($G1091,"-"," ",LEN($G1091)-LEN(SUBSTITUTE($G1091,"-",""))),"-"," ",LEN($G1091)-LEN(SUBSTITUTE($G1091,"-",""))-1),".",""))))),$G1091)))</f>
        <v/>
      </c>
    </row>
    <row r="1092">
      <c r="A1092" s="58" t="n"/>
      <c r="B1092" s="58">
        <f>IF($H1092="","",LEFT($H1092,FIND(" ",$H1092&amp;" ")-1))</f>
        <v/>
      </c>
      <c r="C1092" s="58">
        <f>IF($H1092="","",IFERROR(MID($H1092&amp;" ",FIND("|",SUBSTITUTE($H1092&amp;" "," ","|",1))+1,FIND("|",SUBSTITUTE($H1092&amp;" "," ","|",2))-FIND("|",SUBSTITUTE($H1092&amp;" "," ","|",1))-1),""))</f>
        <v/>
      </c>
      <c r="D1092" s="58">
        <f>IF($H1092="","",IFERROR(MID($H1092&amp;" ",FIND("|",SUBSTITUTE($H1092&amp;" "," ","|",2))+1,FIND("|",SUBSTITUTE($H1092&amp;" "," ","|",3))-FIND("|",SUBSTITUTE($H1092&amp;" "," ","|",2))-1),""))</f>
        <v/>
      </c>
      <c r="E1092" s="58">
        <f>IF($H1092="","",IFERROR(MID($H1092&amp;" ",FIND("|",SUBSTITUTE($H1092&amp;" "," ","|",3))+1,FIND("|",SUBSTITUTE($H1092&amp;" "," ","|",4))-FIND("|",SUBSTITUTE($H1092&amp;" "," ","|",3))-1),""))</f>
        <v/>
      </c>
      <c r="F1092" s="59">
        <f>IF($H1092="","",IFERROR(VALUE(IFERROR(MID($H1092&amp;" ",FIND("|",SUBSTITUTE($H1092&amp;" "," ","|",4))+1,FIND("|",SUBSTITUTE($H1092&amp;" "," ","|",5))-FIND("|",SUBSTITUTE($H1092&amp;" "," ","|",4))-1),""))/86400+25569+9/24,""))</f>
        <v/>
      </c>
      <c r="G1092" s="58">
        <f>TRIM(SUBSTITUTE(SUBSTITUTE(SUBSTITUTE($A1092,CHAR(9)," ")," "," "),CHAR(13),""))</f>
        <v/>
      </c>
      <c r="H1092" s="58">
        <f>IF($G1092="","",IF(ISNUMBER(FIND(" ",$G1092)),$G1092,IFERROR(IF((LEN(SUBSTITUTE(SUBSTITUTE($G1092,"-"," ",LEN($G1092)-LEN(SUBSTITUTE($G1092,"-",""))),"-"," ",LEN($G1092)-LEN(SUBSTITUTE($G1092,"-",""))-1))-LEN(SUBSTITUTE(SUBSTITUTE(SUBSTITUTE($G1092,"-"," ",LEN($G1092)-LEN(SUBSTITUTE($G1092,"-",""))),"-"," ",LEN($G1092)-LEN(SUBSTITUTE($G1092,"-",""))-1),".","")))=0,SUBSTITUTE(SUBSTITUTE($G1092,"-"," ",LEN($G1092)-LEN(SUBSTITUTE($G1092,"-",""))),"-"," ",LEN($G1092)-LEN(SUBSTITUTE($G1092,"-",""))-1),SUBSTITUTE(SUBSTITUTE(SUBSTITUTE($G1092,"-"," ",LEN($G1092)-LEN(SUBSTITUTE($G1092,"-",""))),"-"," ",LEN($G1092)-LEN(SUBSTITUTE($G1092,"-",""))-1),"."," ",(LEN(SUBSTITUTE(SUBSTITUTE($G1092,"-"," ",LEN($G1092)-LEN(SUBSTITUTE($G1092,"-",""))),"-"," ",LEN($G1092)-LEN(SUBSTITUTE($G1092,"-",""))-1))-LEN(SUBSTITUTE(SUBSTITUTE(SUBSTITUTE($G1092,"-"," ",LEN($G1092)-LEN(SUBSTITUTE($G1092,"-",""))),"-"," ",LEN($G1092)-LEN(SUBSTITUTE($G1092,"-",""))-1),".",""))))),$G1092)))</f>
        <v/>
      </c>
    </row>
    <row r="1093">
      <c r="A1093" s="58" t="n"/>
      <c r="B1093" s="58">
        <f>IF($H1093="","",LEFT($H1093,FIND(" ",$H1093&amp;" ")-1))</f>
        <v/>
      </c>
      <c r="C1093" s="58">
        <f>IF($H1093="","",IFERROR(MID($H1093&amp;" ",FIND("|",SUBSTITUTE($H1093&amp;" "," ","|",1))+1,FIND("|",SUBSTITUTE($H1093&amp;" "," ","|",2))-FIND("|",SUBSTITUTE($H1093&amp;" "," ","|",1))-1),""))</f>
        <v/>
      </c>
      <c r="D1093" s="58">
        <f>IF($H1093="","",IFERROR(MID($H1093&amp;" ",FIND("|",SUBSTITUTE($H1093&amp;" "," ","|",2))+1,FIND("|",SUBSTITUTE($H1093&amp;" "," ","|",3))-FIND("|",SUBSTITUTE($H1093&amp;" "," ","|",2))-1),""))</f>
        <v/>
      </c>
      <c r="E1093" s="58">
        <f>IF($H1093="","",IFERROR(MID($H1093&amp;" ",FIND("|",SUBSTITUTE($H1093&amp;" "," ","|",3))+1,FIND("|",SUBSTITUTE($H1093&amp;" "," ","|",4))-FIND("|",SUBSTITUTE($H1093&amp;" "," ","|",3))-1),""))</f>
        <v/>
      </c>
      <c r="F1093" s="59">
        <f>IF($H1093="","",IFERROR(VALUE(IFERROR(MID($H1093&amp;" ",FIND("|",SUBSTITUTE($H1093&amp;" "," ","|",4))+1,FIND("|",SUBSTITUTE($H1093&amp;" "," ","|",5))-FIND("|",SUBSTITUTE($H1093&amp;" "," ","|",4))-1),""))/86400+25569+9/24,""))</f>
        <v/>
      </c>
      <c r="G1093" s="58">
        <f>TRIM(SUBSTITUTE(SUBSTITUTE(SUBSTITUTE($A1093,CHAR(9)," ")," "," "),CHAR(13),""))</f>
        <v/>
      </c>
      <c r="H1093" s="58">
        <f>IF($G1093="","",IF(ISNUMBER(FIND(" ",$G1093)),$G1093,IFERROR(IF((LEN(SUBSTITUTE(SUBSTITUTE($G1093,"-"," ",LEN($G1093)-LEN(SUBSTITUTE($G1093,"-",""))),"-"," ",LEN($G1093)-LEN(SUBSTITUTE($G1093,"-",""))-1))-LEN(SUBSTITUTE(SUBSTITUTE(SUBSTITUTE($G1093,"-"," ",LEN($G1093)-LEN(SUBSTITUTE($G1093,"-",""))),"-"," ",LEN($G1093)-LEN(SUBSTITUTE($G1093,"-",""))-1),".","")))=0,SUBSTITUTE(SUBSTITUTE($G1093,"-"," ",LEN($G1093)-LEN(SUBSTITUTE($G1093,"-",""))),"-"," ",LEN($G1093)-LEN(SUBSTITUTE($G1093,"-",""))-1),SUBSTITUTE(SUBSTITUTE(SUBSTITUTE($G1093,"-"," ",LEN($G1093)-LEN(SUBSTITUTE($G1093,"-",""))),"-"," ",LEN($G1093)-LEN(SUBSTITUTE($G1093,"-",""))-1),"."," ",(LEN(SUBSTITUTE(SUBSTITUTE($G1093,"-"," ",LEN($G1093)-LEN(SUBSTITUTE($G1093,"-",""))),"-"," ",LEN($G1093)-LEN(SUBSTITUTE($G1093,"-",""))-1))-LEN(SUBSTITUTE(SUBSTITUTE(SUBSTITUTE($G1093,"-"," ",LEN($G1093)-LEN(SUBSTITUTE($G1093,"-",""))),"-"," ",LEN($G1093)-LEN(SUBSTITUTE($G1093,"-",""))-1),".",""))))),$G1093)))</f>
        <v/>
      </c>
    </row>
    <row r="1094">
      <c r="A1094" s="58" t="n"/>
      <c r="B1094" s="58">
        <f>IF($H1094="","",LEFT($H1094,FIND(" ",$H1094&amp;" ")-1))</f>
        <v/>
      </c>
      <c r="C1094" s="58">
        <f>IF($H1094="","",IFERROR(MID($H1094&amp;" ",FIND("|",SUBSTITUTE($H1094&amp;" "," ","|",1))+1,FIND("|",SUBSTITUTE($H1094&amp;" "," ","|",2))-FIND("|",SUBSTITUTE($H1094&amp;" "," ","|",1))-1),""))</f>
        <v/>
      </c>
      <c r="D1094" s="58">
        <f>IF($H1094="","",IFERROR(MID($H1094&amp;" ",FIND("|",SUBSTITUTE($H1094&amp;" "," ","|",2))+1,FIND("|",SUBSTITUTE($H1094&amp;" "," ","|",3))-FIND("|",SUBSTITUTE($H1094&amp;" "," ","|",2))-1),""))</f>
        <v/>
      </c>
      <c r="E1094" s="58">
        <f>IF($H1094="","",IFERROR(MID($H1094&amp;" ",FIND("|",SUBSTITUTE($H1094&amp;" "," ","|",3))+1,FIND("|",SUBSTITUTE($H1094&amp;" "," ","|",4))-FIND("|",SUBSTITUTE($H1094&amp;" "," ","|",3))-1),""))</f>
        <v/>
      </c>
      <c r="F1094" s="59">
        <f>IF($H1094="","",IFERROR(VALUE(IFERROR(MID($H1094&amp;" ",FIND("|",SUBSTITUTE($H1094&amp;" "," ","|",4))+1,FIND("|",SUBSTITUTE($H1094&amp;" "," ","|",5))-FIND("|",SUBSTITUTE($H1094&amp;" "," ","|",4))-1),""))/86400+25569+9/24,""))</f>
        <v/>
      </c>
      <c r="G1094" s="58">
        <f>TRIM(SUBSTITUTE(SUBSTITUTE(SUBSTITUTE($A1094,CHAR(9)," ")," "," "),CHAR(13),""))</f>
        <v/>
      </c>
      <c r="H1094" s="58">
        <f>IF($G1094="","",IF(ISNUMBER(FIND(" ",$G1094)),$G1094,IFERROR(IF((LEN(SUBSTITUTE(SUBSTITUTE($G1094,"-"," ",LEN($G1094)-LEN(SUBSTITUTE($G1094,"-",""))),"-"," ",LEN($G1094)-LEN(SUBSTITUTE($G1094,"-",""))-1))-LEN(SUBSTITUTE(SUBSTITUTE(SUBSTITUTE($G1094,"-"," ",LEN($G1094)-LEN(SUBSTITUTE($G1094,"-",""))),"-"," ",LEN($G1094)-LEN(SUBSTITUTE($G1094,"-",""))-1),".","")))=0,SUBSTITUTE(SUBSTITUTE($G1094,"-"," ",LEN($G1094)-LEN(SUBSTITUTE($G1094,"-",""))),"-"," ",LEN($G1094)-LEN(SUBSTITUTE($G1094,"-",""))-1),SUBSTITUTE(SUBSTITUTE(SUBSTITUTE($G1094,"-"," ",LEN($G1094)-LEN(SUBSTITUTE($G1094,"-",""))),"-"," ",LEN($G1094)-LEN(SUBSTITUTE($G1094,"-",""))-1),"."," ",(LEN(SUBSTITUTE(SUBSTITUTE($G1094,"-"," ",LEN($G1094)-LEN(SUBSTITUTE($G1094,"-",""))),"-"," ",LEN($G1094)-LEN(SUBSTITUTE($G1094,"-",""))-1))-LEN(SUBSTITUTE(SUBSTITUTE(SUBSTITUTE($G1094,"-"," ",LEN($G1094)-LEN(SUBSTITUTE($G1094,"-",""))),"-"," ",LEN($G1094)-LEN(SUBSTITUTE($G1094,"-",""))-1),".",""))))),$G1094)))</f>
        <v/>
      </c>
    </row>
    <row r="1095">
      <c r="A1095" s="58" t="n"/>
      <c r="B1095" s="58">
        <f>IF($H1095="","",LEFT($H1095,FIND(" ",$H1095&amp;" ")-1))</f>
        <v/>
      </c>
      <c r="C1095" s="58">
        <f>IF($H1095="","",IFERROR(MID($H1095&amp;" ",FIND("|",SUBSTITUTE($H1095&amp;" "," ","|",1))+1,FIND("|",SUBSTITUTE($H1095&amp;" "," ","|",2))-FIND("|",SUBSTITUTE($H1095&amp;" "," ","|",1))-1),""))</f>
        <v/>
      </c>
      <c r="D1095" s="58">
        <f>IF($H1095="","",IFERROR(MID($H1095&amp;" ",FIND("|",SUBSTITUTE($H1095&amp;" "," ","|",2))+1,FIND("|",SUBSTITUTE($H1095&amp;" "," ","|",3))-FIND("|",SUBSTITUTE($H1095&amp;" "," ","|",2))-1),""))</f>
        <v/>
      </c>
      <c r="E1095" s="58">
        <f>IF($H1095="","",IFERROR(MID($H1095&amp;" ",FIND("|",SUBSTITUTE($H1095&amp;" "," ","|",3))+1,FIND("|",SUBSTITUTE($H1095&amp;" "," ","|",4))-FIND("|",SUBSTITUTE($H1095&amp;" "," ","|",3))-1),""))</f>
        <v/>
      </c>
      <c r="F1095" s="59">
        <f>IF($H1095="","",IFERROR(VALUE(IFERROR(MID($H1095&amp;" ",FIND("|",SUBSTITUTE($H1095&amp;" "," ","|",4))+1,FIND("|",SUBSTITUTE($H1095&amp;" "," ","|",5))-FIND("|",SUBSTITUTE($H1095&amp;" "," ","|",4))-1),""))/86400+25569+9/24,""))</f>
        <v/>
      </c>
      <c r="G1095" s="58">
        <f>TRIM(SUBSTITUTE(SUBSTITUTE(SUBSTITUTE($A1095,CHAR(9)," ")," "," "),CHAR(13),""))</f>
        <v/>
      </c>
      <c r="H1095" s="58">
        <f>IF($G1095="","",IF(ISNUMBER(FIND(" ",$G1095)),$G1095,IFERROR(IF((LEN(SUBSTITUTE(SUBSTITUTE($G1095,"-"," ",LEN($G1095)-LEN(SUBSTITUTE($G1095,"-",""))),"-"," ",LEN($G1095)-LEN(SUBSTITUTE($G1095,"-",""))-1))-LEN(SUBSTITUTE(SUBSTITUTE(SUBSTITUTE($G1095,"-"," ",LEN($G1095)-LEN(SUBSTITUTE($G1095,"-",""))),"-"," ",LEN($G1095)-LEN(SUBSTITUTE($G1095,"-",""))-1),".","")))=0,SUBSTITUTE(SUBSTITUTE($G1095,"-"," ",LEN($G1095)-LEN(SUBSTITUTE($G1095,"-",""))),"-"," ",LEN($G1095)-LEN(SUBSTITUTE($G1095,"-",""))-1),SUBSTITUTE(SUBSTITUTE(SUBSTITUTE($G1095,"-"," ",LEN($G1095)-LEN(SUBSTITUTE($G1095,"-",""))),"-"," ",LEN($G1095)-LEN(SUBSTITUTE($G1095,"-",""))-1),"."," ",(LEN(SUBSTITUTE(SUBSTITUTE($G1095,"-"," ",LEN($G1095)-LEN(SUBSTITUTE($G1095,"-",""))),"-"," ",LEN($G1095)-LEN(SUBSTITUTE($G1095,"-",""))-1))-LEN(SUBSTITUTE(SUBSTITUTE(SUBSTITUTE($G1095,"-"," ",LEN($G1095)-LEN(SUBSTITUTE($G1095,"-",""))),"-"," ",LEN($G1095)-LEN(SUBSTITUTE($G1095,"-",""))-1),".",""))))),$G1095)))</f>
        <v/>
      </c>
    </row>
    <row r="1096">
      <c r="A1096" s="58" t="n"/>
      <c r="B1096" s="58">
        <f>IF($H1096="","",LEFT($H1096,FIND(" ",$H1096&amp;" ")-1))</f>
        <v/>
      </c>
      <c r="C1096" s="58">
        <f>IF($H1096="","",IFERROR(MID($H1096&amp;" ",FIND("|",SUBSTITUTE($H1096&amp;" "," ","|",1))+1,FIND("|",SUBSTITUTE($H1096&amp;" "," ","|",2))-FIND("|",SUBSTITUTE($H1096&amp;" "," ","|",1))-1),""))</f>
        <v/>
      </c>
      <c r="D1096" s="58">
        <f>IF($H1096="","",IFERROR(MID($H1096&amp;" ",FIND("|",SUBSTITUTE($H1096&amp;" "," ","|",2))+1,FIND("|",SUBSTITUTE($H1096&amp;" "," ","|",3))-FIND("|",SUBSTITUTE($H1096&amp;" "," ","|",2))-1),""))</f>
        <v/>
      </c>
      <c r="E1096" s="58">
        <f>IF($H1096="","",IFERROR(MID($H1096&amp;" ",FIND("|",SUBSTITUTE($H1096&amp;" "," ","|",3))+1,FIND("|",SUBSTITUTE($H1096&amp;" "," ","|",4))-FIND("|",SUBSTITUTE($H1096&amp;" "," ","|",3))-1),""))</f>
        <v/>
      </c>
      <c r="F1096" s="59">
        <f>IF($H1096="","",IFERROR(VALUE(IFERROR(MID($H1096&amp;" ",FIND("|",SUBSTITUTE($H1096&amp;" "," ","|",4))+1,FIND("|",SUBSTITUTE($H1096&amp;" "," ","|",5))-FIND("|",SUBSTITUTE($H1096&amp;" "," ","|",4))-1),""))/86400+25569+9/24,""))</f>
        <v/>
      </c>
      <c r="G1096" s="58">
        <f>TRIM(SUBSTITUTE(SUBSTITUTE(SUBSTITUTE($A1096,CHAR(9)," ")," "," "),CHAR(13),""))</f>
        <v/>
      </c>
      <c r="H1096" s="58">
        <f>IF($G1096="","",IF(ISNUMBER(FIND(" ",$G1096)),$G1096,IFERROR(IF((LEN(SUBSTITUTE(SUBSTITUTE($G1096,"-"," ",LEN($G1096)-LEN(SUBSTITUTE($G1096,"-",""))),"-"," ",LEN($G1096)-LEN(SUBSTITUTE($G1096,"-",""))-1))-LEN(SUBSTITUTE(SUBSTITUTE(SUBSTITUTE($G1096,"-"," ",LEN($G1096)-LEN(SUBSTITUTE($G1096,"-",""))),"-"," ",LEN($G1096)-LEN(SUBSTITUTE($G1096,"-",""))-1),".","")))=0,SUBSTITUTE(SUBSTITUTE($G1096,"-"," ",LEN($G1096)-LEN(SUBSTITUTE($G1096,"-",""))),"-"," ",LEN($G1096)-LEN(SUBSTITUTE($G1096,"-",""))-1),SUBSTITUTE(SUBSTITUTE(SUBSTITUTE($G1096,"-"," ",LEN($G1096)-LEN(SUBSTITUTE($G1096,"-",""))),"-"," ",LEN($G1096)-LEN(SUBSTITUTE($G1096,"-",""))-1),"."," ",(LEN(SUBSTITUTE(SUBSTITUTE($G1096,"-"," ",LEN($G1096)-LEN(SUBSTITUTE($G1096,"-",""))),"-"," ",LEN($G1096)-LEN(SUBSTITUTE($G1096,"-",""))-1))-LEN(SUBSTITUTE(SUBSTITUTE(SUBSTITUTE($G1096,"-"," ",LEN($G1096)-LEN(SUBSTITUTE($G1096,"-",""))),"-"," ",LEN($G1096)-LEN(SUBSTITUTE($G1096,"-",""))-1),".",""))))),$G1096)))</f>
        <v/>
      </c>
    </row>
    <row r="1097">
      <c r="A1097" s="58" t="n"/>
      <c r="B1097" s="58">
        <f>IF($H1097="","",LEFT($H1097,FIND(" ",$H1097&amp;" ")-1))</f>
        <v/>
      </c>
      <c r="C1097" s="58">
        <f>IF($H1097="","",IFERROR(MID($H1097&amp;" ",FIND("|",SUBSTITUTE($H1097&amp;" "," ","|",1))+1,FIND("|",SUBSTITUTE($H1097&amp;" "," ","|",2))-FIND("|",SUBSTITUTE($H1097&amp;" "," ","|",1))-1),""))</f>
        <v/>
      </c>
      <c r="D1097" s="58">
        <f>IF($H1097="","",IFERROR(MID($H1097&amp;" ",FIND("|",SUBSTITUTE($H1097&amp;" "," ","|",2))+1,FIND("|",SUBSTITUTE($H1097&amp;" "," ","|",3))-FIND("|",SUBSTITUTE($H1097&amp;" "," ","|",2))-1),""))</f>
        <v/>
      </c>
      <c r="E1097" s="58">
        <f>IF($H1097="","",IFERROR(MID($H1097&amp;" ",FIND("|",SUBSTITUTE($H1097&amp;" "," ","|",3))+1,FIND("|",SUBSTITUTE($H1097&amp;" "," ","|",4))-FIND("|",SUBSTITUTE($H1097&amp;" "," ","|",3))-1),""))</f>
        <v/>
      </c>
      <c r="F1097" s="59">
        <f>IF($H1097="","",IFERROR(VALUE(IFERROR(MID($H1097&amp;" ",FIND("|",SUBSTITUTE($H1097&amp;" "," ","|",4))+1,FIND("|",SUBSTITUTE($H1097&amp;" "," ","|",5))-FIND("|",SUBSTITUTE($H1097&amp;" "," ","|",4))-1),""))/86400+25569+9/24,""))</f>
        <v/>
      </c>
      <c r="G1097" s="58">
        <f>TRIM(SUBSTITUTE(SUBSTITUTE(SUBSTITUTE($A1097,CHAR(9)," ")," "," "),CHAR(13),""))</f>
        <v/>
      </c>
      <c r="H1097" s="58">
        <f>IF($G1097="","",IF(ISNUMBER(FIND(" ",$G1097)),$G1097,IFERROR(IF((LEN(SUBSTITUTE(SUBSTITUTE($G1097,"-"," ",LEN($G1097)-LEN(SUBSTITUTE($G1097,"-",""))),"-"," ",LEN($G1097)-LEN(SUBSTITUTE($G1097,"-",""))-1))-LEN(SUBSTITUTE(SUBSTITUTE(SUBSTITUTE($G1097,"-"," ",LEN($G1097)-LEN(SUBSTITUTE($G1097,"-",""))),"-"," ",LEN($G1097)-LEN(SUBSTITUTE($G1097,"-",""))-1),".","")))=0,SUBSTITUTE(SUBSTITUTE($G1097,"-"," ",LEN($G1097)-LEN(SUBSTITUTE($G1097,"-",""))),"-"," ",LEN($G1097)-LEN(SUBSTITUTE($G1097,"-",""))-1),SUBSTITUTE(SUBSTITUTE(SUBSTITUTE($G1097,"-"," ",LEN($G1097)-LEN(SUBSTITUTE($G1097,"-",""))),"-"," ",LEN($G1097)-LEN(SUBSTITUTE($G1097,"-",""))-1),"."," ",(LEN(SUBSTITUTE(SUBSTITUTE($G1097,"-"," ",LEN($G1097)-LEN(SUBSTITUTE($G1097,"-",""))),"-"," ",LEN($G1097)-LEN(SUBSTITUTE($G1097,"-",""))-1))-LEN(SUBSTITUTE(SUBSTITUTE(SUBSTITUTE($G1097,"-"," ",LEN($G1097)-LEN(SUBSTITUTE($G1097,"-",""))),"-"," ",LEN($G1097)-LEN(SUBSTITUTE($G1097,"-",""))-1),".",""))))),$G1097)))</f>
        <v/>
      </c>
    </row>
    <row r="1098">
      <c r="A1098" s="58" t="n"/>
      <c r="B1098" s="58">
        <f>IF($H1098="","",LEFT($H1098,FIND(" ",$H1098&amp;" ")-1))</f>
        <v/>
      </c>
      <c r="C1098" s="58">
        <f>IF($H1098="","",IFERROR(MID($H1098&amp;" ",FIND("|",SUBSTITUTE($H1098&amp;" "," ","|",1))+1,FIND("|",SUBSTITUTE($H1098&amp;" "," ","|",2))-FIND("|",SUBSTITUTE($H1098&amp;" "," ","|",1))-1),""))</f>
        <v/>
      </c>
      <c r="D1098" s="58">
        <f>IF($H1098="","",IFERROR(MID($H1098&amp;" ",FIND("|",SUBSTITUTE($H1098&amp;" "," ","|",2))+1,FIND("|",SUBSTITUTE($H1098&amp;" "," ","|",3))-FIND("|",SUBSTITUTE($H1098&amp;" "," ","|",2))-1),""))</f>
        <v/>
      </c>
      <c r="E1098" s="58">
        <f>IF($H1098="","",IFERROR(MID($H1098&amp;" ",FIND("|",SUBSTITUTE($H1098&amp;" "," ","|",3))+1,FIND("|",SUBSTITUTE($H1098&amp;" "," ","|",4))-FIND("|",SUBSTITUTE($H1098&amp;" "," ","|",3))-1),""))</f>
        <v/>
      </c>
      <c r="F1098" s="59">
        <f>IF($H1098="","",IFERROR(VALUE(IFERROR(MID($H1098&amp;" ",FIND("|",SUBSTITUTE($H1098&amp;" "," ","|",4))+1,FIND("|",SUBSTITUTE($H1098&amp;" "," ","|",5))-FIND("|",SUBSTITUTE($H1098&amp;" "," ","|",4))-1),""))/86400+25569+9/24,""))</f>
        <v/>
      </c>
      <c r="G1098" s="58">
        <f>TRIM(SUBSTITUTE(SUBSTITUTE(SUBSTITUTE($A1098,CHAR(9)," ")," "," "),CHAR(13),""))</f>
        <v/>
      </c>
      <c r="H1098" s="58">
        <f>IF($G1098="","",IF(ISNUMBER(FIND(" ",$G1098)),$G1098,IFERROR(IF((LEN(SUBSTITUTE(SUBSTITUTE($G1098,"-"," ",LEN($G1098)-LEN(SUBSTITUTE($G1098,"-",""))),"-"," ",LEN($G1098)-LEN(SUBSTITUTE($G1098,"-",""))-1))-LEN(SUBSTITUTE(SUBSTITUTE(SUBSTITUTE($G1098,"-"," ",LEN($G1098)-LEN(SUBSTITUTE($G1098,"-",""))),"-"," ",LEN($G1098)-LEN(SUBSTITUTE($G1098,"-",""))-1),".","")))=0,SUBSTITUTE(SUBSTITUTE($G1098,"-"," ",LEN($G1098)-LEN(SUBSTITUTE($G1098,"-",""))),"-"," ",LEN($G1098)-LEN(SUBSTITUTE($G1098,"-",""))-1),SUBSTITUTE(SUBSTITUTE(SUBSTITUTE($G1098,"-"," ",LEN($G1098)-LEN(SUBSTITUTE($G1098,"-",""))),"-"," ",LEN($G1098)-LEN(SUBSTITUTE($G1098,"-",""))-1),"."," ",(LEN(SUBSTITUTE(SUBSTITUTE($G1098,"-"," ",LEN($G1098)-LEN(SUBSTITUTE($G1098,"-",""))),"-"," ",LEN($G1098)-LEN(SUBSTITUTE($G1098,"-",""))-1))-LEN(SUBSTITUTE(SUBSTITUTE(SUBSTITUTE($G1098,"-"," ",LEN($G1098)-LEN(SUBSTITUTE($G1098,"-",""))),"-"," ",LEN($G1098)-LEN(SUBSTITUTE($G1098,"-",""))-1),".",""))))),$G1098)))</f>
        <v/>
      </c>
    </row>
    <row r="1099">
      <c r="A1099" s="58" t="n"/>
      <c r="B1099" s="58">
        <f>IF($H1099="","",LEFT($H1099,FIND(" ",$H1099&amp;" ")-1))</f>
        <v/>
      </c>
      <c r="C1099" s="58">
        <f>IF($H1099="","",IFERROR(MID($H1099&amp;" ",FIND("|",SUBSTITUTE($H1099&amp;" "," ","|",1))+1,FIND("|",SUBSTITUTE($H1099&amp;" "," ","|",2))-FIND("|",SUBSTITUTE($H1099&amp;" "," ","|",1))-1),""))</f>
        <v/>
      </c>
      <c r="D1099" s="58">
        <f>IF($H1099="","",IFERROR(MID($H1099&amp;" ",FIND("|",SUBSTITUTE($H1099&amp;" "," ","|",2))+1,FIND("|",SUBSTITUTE($H1099&amp;" "," ","|",3))-FIND("|",SUBSTITUTE($H1099&amp;" "," ","|",2))-1),""))</f>
        <v/>
      </c>
      <c r="E1099" s="58">
        <f>IF($H1099="","",IFERROR(MID($H1099&amp;" ",FIND("|",SUBSTITUTE($H1099&amp;" "," ","|",3))+1,FIND("|",SUBSTITUTE($H1099&amp;" "," ","|",4))-FIND("|",SUBSTITUTE($H1099&amp;" "," ","|",3))-1),""))</f>
        <v/>
      </c>
      <c r="F1099" s="59">
        <f>IF($H1099="","",IFERROR(VALUE(IFERROR(MID($H1099&amp;" ",FIND("|",SUBSTITUTE($H1099&amp;" "," ","|",4))+1,FIND("|",SUBSTITUTE($H1099&amp;" "," ","|",5))-FIND("|",SUBSTITUTE($H1099&amp;" "," ","|",4))-1),""))/86400+25569+9/24,""))</f>
        <v/>
      </c>
      <c r="G1099" s="58">
        <f>TRIM(SUBSTITUTE(SUBSTITUTE(SUBSTITUTE($A1099,CHAR(9)," ")," "," "),CHAR(13),""))</f>
        <v/>
      </c>
      <c r="H1099" s="58">
        <f>IF($G1099="","",IF(ISNUMBER(FIND(" ",$G1099)),$G1099,IFERROR(IF((LEN(SUBSTITUTE(SUBSTITUTE($G1099,"-"," ",LEN($G1099)-LEN(SUBSTITUTE($G1099,"-",""))),"-"," ",LEN($G1099)-LEN(SUBSTITUTE($G1099,"-",""))-1))-LEN(SUBSTITUTE(SUBSTITUTE(SUBSTITUTE($G1099,"-"," ",LEN($G1099)-LEN(SUBSTITUTE($G1099,"-",""))),"-"," ",LEN($G1099)-LEN(SUBSTITUTE($G1099,"-",""))-1),".","")))=0,SUBSTITUTE(SUBSTITUTE($G1099,"-"," ",LEN($G1099)-LEN(SUBSTITUTE($G1099,"-",""))),"-"," ",LEN($G1099)-LEN(SUBSTITUTE($G1099,"-",""))-1),SUBSTITUTE(SUBSTITUTE(SUBSTITUTE($G1099,"-"," ",LEN($G1099)-LEN(SUBSTITUTE($G1099,"-",""))),"-"," ",LEN($G1099)-LEN(SUBSTITUTE($G1099,"-",""))-1),"."," ",(LEN(SUBSTITUTE(SUBSTITUTE($G1099,"-"," ",LEN($G1099)-LEN(SUBSTITUTE($G1099,"-",""))),"-"," ",LEN($G1099)-LEN(SUBSTITUTE($G1099,"-",""))-1))-LEN(SUBSTITUTE(SUBSTITUTE(SUBSTITUTE($G1099,"-"," ",LEN($G1099)-LEN(SUBSTITUTE($G1099,"-",""))),"-"," ",LEN($G1099)-LEN(SUBSTITUTE($G1099,"-",""))-1),".",""))))),$G1099)))</f>
        <v/>
      </c>
    </row>
    <row r="1100">
      <c r="A1100" s="58" t="n"/>
      <c r="B1100" s="58">
        <f>IF($H1100="","",LEFT($H1100,FIND(" ",$H1100&amp;" ")-1))</f>
        <v/>
      </c>
      <c r="C1100" s="58">
        <f>IF($H1100="","",IFERROR(MID($H1100&amp;" ",FIND("|",SUBSTITUTE($H1100&amp;" "," ","|",1))+1,FIND("|",SUBSTITUTE($H1100&amp;" "," ","|",2))-FIND("|",SUBSTITUTE($H1100&amp;" "," ","|",1))-1),""))</f>
        <v/>
      </c>
      <c r="D1100" s="58">
        <f>IF($H1100="","",IFERROR(MID($H1100&amp;" ",FIND("|",SUBSTITUTE($H1100&amp;" "," ","|",2))+1,FIND("|",SUBSTITUTE($H1100&amp;" "," ","|",3))-FIND("|",SUBSTITUTE($H1100&amp;" "," ","|",2))-1),""))</f>
        <v/>
      </c>
      <c r="E1100" s="58">
        <f>IF($H1100="","",IFERROR(MID($H1100&amp;" ",FIND("|",SUBSTITUTE($H1100&amp;" "," ","|",3))+1,FIND("|",SUBSTITUTE($H1100&amp;" "," ","|",4))-FIND("|",SUBSTITUTE($H1100&amp;" "," ","|",3))-1),""))</f>
        <v/>
      </c>
      <c r="F1100" s="59">
        <f>IF($H1100="","",IFERROR(VALUE(IFERROR(MID($H1100&amp;" ",FIND("|",SUBSTITUTE($H1100&amp;" "," ","|",4))+1,FIND("|",SUBSTITUTE($H1100&amp;" "," ","|",5))-FIND("|",SUBSTITUTE($H1100&amp;" "," ","|",4))-1),""))/86400+25569+9/24,""))</f>
        <v/>
      </c>
      <c r="G1100" s="58">
        <f>TRIM(SUBSTITUTE(SUBSTITUTE(SUBSTITUTE($A1100,CHAR(9)," ")," "," "),CHAR(13),""))</f>
        <v/>
      </c>
      <c r="H1100" s="58">
        <f>IF($G1100="","",IF(ISNUMBER(FIND(" ",$G1100)),$G1100,IFERROR(IF((LEN(SUBSTITUTE(SUBSTITUTE($G1100,"-"," ",LEN($G1100)-LEN(SUBSTITUTE($G1100,"-",""))),"-"," ",LEN($G1100)-LEN(SUBSTITUTE($G1100,"-",""))-1))-LEN(SUBSTITUTE(SUBSTITUTE(SUBSTITUTE($G1100,"-"," ",LEN($G1100)-LEN(SUBSTITUTE($G1100,"-",""))),"-"," ",LEN($G1100)-LEN(SUBSTITUTE($G1100,"-",""))-1),".","")))=0,SUBSTITUTE(SUBSTITUTE($G1100,"-"," ",LEN($G1100)-LEN(SUBSTITUTE($G1100,"-",""))),"-"," ",LEN($G1100)-LEN(SUBSTITUTE($G1100,"-",""))-1),SUBSTITUTE(SUBSTITUTE(SUBSTITUTE($G1100,"-"," ",LEN($G1100)-LEN(SUBSTITUTE($G1100,"-",""))),"-"," ",LEN($G1100)-LEN(SUBSTITUTE($G1100,"-",""))-1),"."," ",(LEN(SUBSTITUTE(SUBSTITUTE($G1100,"-"," ",LEN($G1100)-LEN(SUBSTITUTE($G1100,"-",""))),"-"," ",LEN($G1100)-LEN(SUBSTITUTE($G1100,"-",""))-1))-LEN(SUBSTITUTE(SUBSTITUTE(SUBSTITUTE($G1100,"-"," ",LEN($G1100)-LEN(SUBSTITUTE($G1100,"-",""))),"-"," ",LEN($G1100)-LEN(SUBSTITUTE($G1100,"-",""))-1),".",""))))),$G1100)))</f>
        <v/>
      </c>
    </row>
    <row r="1101">
      <c r="A1101" s="58" t="n"/>
      <c r="B1101" s="58">
        <f>IF($H1101="","",LEFT($H1101,FIND(" ",$H1101&amp;" ")-1))</f>
        <v/>
      </c>
      <c r="C1101" s="58">
        <f>IF($H1101="","",IFERROR(MID($H1101&amp;" ",FIND("|",SUBSTITUTE($H1101&amp;" "," ","|",1))+1,FIND("|",SUBSTITUTE($H1101&amp;" "," ","|",2))-FIND("|",SUBSTITUTE($H1101&amp;" "," ","|",1))-1),""))</f>
        <v/>
      </c>
      <c r="D1101" s="58">
        <f>IF($H1101="","",IFERROR(MID($H1101&amp;" ",FIND("|",SUBSTITUTE($H1101&amp;" "," ","|",2))+1,FIND("|",SUBSTITUTE($H1101&amp;" "," ","|",3))-FIND("|",SUBSTITUTE($H1101&amp;" "," ","|",2))-1),""))</f>
        <v/>
      </c>
      <c r="E1101" s="58">
        <f>IF($H1101="","",IFERROR(MID($H1101&amp;" ",FIND("|",SUBSTITUTE($H1101&amp;" "," ","|",3))+1,FIND("|",SUBSTITUTE($H1101&amp;" "," ","|",4))-FIND("|",SUBSTITUTE($H1101&amp;" "," ","|",3))-1),""))</f>
        <v/>
      </c>
      <c r="F1101" s="59">
        <f>IF($H1101="","",IFERROR(VALUE(IFERROR(MID($H1101&amp;" ",FIND("|",SUBSTITUTE($H1101&amp;" "," ","|",4))+1,FIND("|",SUBSTITUTE($H1101&amp;" "," ","|",5))-FIND("|",SUBSTITUTE($H1101&amp;" "," ","|",4))-1),""))/86400+25569+9/24,""))</f>
        <v/>
      </c>
      <c r="G1101" s="58">
        <f>TRIM(SUBSTITUTE(SUBSTITUTE(SUBSTITUTE($A1101,CHAR(9)," ")," "," "),CHAR(13),""))</f>
        <v/>
      </c>
      <c r="H1101" s="58">
        <f>IF($G1101="","",IF(ISNUMBER(FIND(" ",$G1101)),$G1101,IFERROR(IF((LEN(SUBSTITUTE(SUBSTITUTE($G1101,"-"," ",LEN($G1101)-LEN(SUBSTITUTE($G1101,"-",""))),"-"," ",LEN($G1101)-LEN(SUBSTITUTE($G1101,"-",""))-1))-LEN(SUBSTITUTE(SUBSTITUTE(SUBSTITUTE($G1101,"-"," ",LEN($G1101)-LEN(SUBSTITUTE($G1101,"-",""))),"-"," ",LEN($G1101)-LEN(SUBSTITUTE($G1101,"-",""))-1),".","")))=0,SUBSTITUTE(SUBSTITUTE($G1101,"-"," ",LEN($G1101)-LEN(SUBSTITUTE($G1101,"-",""))),"-"," ",LEN($G1101)-LEN(SUBSTITUTE($G1101,"-",""))-1),SUBSTITUTE(SUBSTITUTE(SUBSTITUTE($G1101,"-"," ",LEN($G1101)-LEN(SUBSTITUTE($G1101,"-",""))),"-"," ",LEN($G1101)-LEN(SUBSTITUTE($G1101,"-",""))-1),"."," ",(LEN(SUBSTITUTE(SUBSTITUTE($G1101,"-"," ",LEN($G1101)-LEN(SUBSTITUTE($G1101,"-",""))),"-"," ",LEN($G1101)-LEN(SUBSTITUTE($G1101,"-",""))-1))-LEN(SUBSTITUTE(SUBSTITUTE(SUBSTITUTE($G1101,"-"," ",LEN($G1101)-LEN(SUBSTITUTE($G1101,"-",""))),"-"," ",LEN($G1101)-LEN(SUBSTITUTE($G1101,"-",""))-1),".",""))))),$G1101)))</f>
        <v/>
      </c>
    </row>
    <row r="1102">
      <c r="A1102" s="58" t="n"/>
      <c r="B1102" s="58">
        <f>IF($H1102="","",LEFT($H1102,FIND(" ",$H1102&amp;" ")-1))</f>
        <v/>
      </c>
      <c r="C1102" s="58">
        <f>IF($H1102="","",IFERROR(MID($H1102&amp;" ",FIND("|",SUBSTITUTE($H1102&amp;" "," ","|",1))+1,FIND("|",SUBSTITUTE($H1102&amp;" "," ","|",2))-FIND("|",SUBSTITUTE($H1102&amp;" "," ","|",1))-1),""))</f>
        <v/>
      </c>
      <c r="D1102" s="58">
        <f>IF($H1102="","",IFERROR(MID($H1102&amp;" ",FIND("|",SUBSTITUTE($H1102&amp;" "," ","|",2))+1,FIND("|",SUBSTITUTE($H1102&amp;" "," ","|",3))-FIND("|",SUBSTITUTE($H1102&amp;" "," ","|",2))-1),""))</f>
        <v/>
      </c>
      <c r="E1102" s="58">
        <f>IF($H1102="","",IFERROR(MID($H1102&amp;" ",FIND("|",SUBSTITUTE($H1102&amp;" "," ","|",3))+1,FIND("|",SUBSTITUTE($H1102&amp;" "," ","|",4))-FIND("|",SUBSTITUTE($H1102&amp;" "," ","|",3))-1),""))</f>
        <v/>
      </c>
      <c r="F1102" s="59">
        <f>IF($H1102="","",IFERROR(VALUE(IFERROR(MID($H1102&amp;" ",FIND("|",SUBSTITUTE($H1102&amp;" "," ","|",4))+1,FIND("|",SUBSTITUTE($H1102&amp;" "," ","|",5))-FIND("|",SUBSTITUTE($H1102&amp;" "," ","|",4))-1),""))/86400+25569+9/24,""))</f>
        <v/>
      </c>
      <c r="G1102" s="58">
        <f>TRIM(SUBSTITUTE(SUBSTITUTE(SUBSTITUTE($A1102,CHAR(9)," ")," "," "),CHAR(13),""))</f>
        <v/>
      </c>
      <c r="H1102" s="58">
        <f>IF($G1102="","",IF(ISNUMBER(FIND(" ",$G1102)),$G1102,IFERROR(IF((LEN(SUBSTITUTE(SUBSTITUTE($G1102,"-"," ",LEN($G1102)-LEN(SUBSTITUTE($G1102,"-",""))),"-"," ",LEN($G1102)-LEN(SUBSTITUTE($G1102,"-",""))-1))-LEN(SUBSTITUTE(SUBSTITUTE(SUBSTITUTE($G1102,"-"," ",LEN($G1102)-LEN(SUBSTITUTE($G1102,"-",""))),"-"," ",LEN($G1102)-LEN(SUBSTITUTE($G1102,"-",""))-1),".","")))=0,SUBSTITUTE(SUBSTITUTE($G1102,"-"," ",LEN($G1102)-LEN(SUBSTITUTE($G1102,"-",""))),"-"," ",LEN($G1102)-LEN(SUBSTITUTE($G1102,"-",""))-1),SUBSTITUTE(SUBSTITUTE(SUBSTITUTE($G1102,"-"," ",LEN($G1102)-LEN(SUBSTITUTE($G1102,"-",""))),"-"," ",LEN($G1102)-LEN(SUBSTITUTE($G1102,"-",""))-1),"."," ",(LEN(SUBSTITUTE(SUBSTITUTE($G1102,"-"," ",LEN($G1102)-LEN(SUBSTITUTE($G1102,"-",""))),"-"," ",LEN($G1102)-LEN(SUBSTITUTE($G1102,"-",""))-1))-LEN(SUBSTITUTE(SUBSTITUTE(SUBSTITUTE($G1102,"-"," ",LEN($G1102)-LEN(SUBSTITUTE($G1102,"-",""))),"-"," ",LEN($G1102)-LEN(SUBSTITUTE($G1102,"-",""))-1),".",""))))),$G1102)))</f>
        <v/>
      </c>
    </row>
    <row r="1103">
      <c r="A1103" s="58" t="n"/>
      <c r="B1103" s="58">
        <f>IF($H1103="","",LEFT($H1103,FIND(" ",$H1103&amp;" ")-1))</f>
        <v/>
      </c>
      <c r="C1103" s="58">
        <f>IF($H1103="","",IFERROR(MID($H1103&amp;" ",FIND("|",SUBSTITUTE($H1103&amp;" "," ","|",1))+1,FIND("|",SUBSTITUTE($H1103&amp;" "," ","|",2))-FIND("|",SUBSTITUTE($H1103&amp;" "," ","|",1))-1),""))</f>
        <v/>
      </c>
      <c r="D1103" s="58">
        <f>IF($H1103="","",IFERROR(MID($H1103&amp;" ",FIND("|",SUBSTITUTE($H1103&amp;" "," ","|",2))+1,FIND("|",SUBSTITUTE($H1103&amp;" "," ","|",3))-FIND("|",SUBSTITUTE($H1103&amp;" "," ","|",2))-1),""))</f>
        <v/>
      </c>
      <c r="E1103" s="58">
        <f>IF($H1103="","",IFERROR(MID($H1103&amp;" ",FIND("|",SUBSTITUTE($H1103&amp;" "," ","|",3))+1,FIND("|",SUBSTITUTE($H1103&amp;" "," ","|",4))-FIND("|",SUBSTITUTE($H1103&amp;" "," ","|",3))-1),""))</f>
        <v/>
      </c>
      <c r="F1103" s="59">
        <f>IF($H1103="","",IFERROR(VALUE(IFERROR(MID($H1103&amp;" ",FIND("|",SUBSTITUTE($H1103&amp;" "," ","|",4))+1,FIND("|",SUBSTITUTE($H1103&amp;" "," ","|",5))-FIND("|",SUBSTITUTE($H1103&amp;" "," ","|",4))-1),""))/86400+25569+9/24,""))</f>
        <v/>
      </c>
      <c r="G1103" s="58">
        <f>TRIM(SUBSTITUTE(SUBSTITUTE(SUBSTITUTE($A1103,CHAR(9)," ")," "," "),CHAR(13),""))</f>
        <v/>
      </c>
      <c r="H1103" s="58">
        <f>IF($G1103="","",IF(ISNUMBER(FIND(" ",$G1103)),$G1103,IFERROR(IF((LEN(SUBSTITUTE(SUBSTITUTE($G1103,"-"," ",LEN($G1103)-LEN(SUBSTITUTE($G1103,"-",""))),"-"," ",LEN($G1103)-LEN(SUBSTITUTE($G1103,"-",""))-1))-LEN(SUBSTITUTE(SUBSTITUTE(SUBSTITUTE($G1103,"-"," ",LEN($G1103)-LEN(SUBSTITUTE($G1103,"-",""))),"-"," ",LEN($G1103)-LEN(SUBSTITUTE($G1103,"-",""))-1),".","")))=0,SUBSTITUTE(SUBSTITUTE($G1103,"-"," ",LEN($G1103)-LEN(SUBSTITUTE($G1103,"-",""))),"-"," ",LEN($G1103)-LEN(SUBSTITUTE($G1103,"-",""))-1),SUBSTITUTE(SUBSTITUTE(SUBSTITUTE($G1103,"-"," ",LEN($G1103)-LEN(SUBSTITUTE($G1103,"-",""))),"-"," ",LEN($G1103)-LEN(SUBSTITUTE($G1103,"-",""))-1),"."," ",(LEN(SUBSTITUTE(SUBSTITUTE($G1103,"-"," ",LEN($G1103)-LEN(SUBSTITUTE($G1103,"-",""))),"-"," ",LEN($G1103)-LEN(SUBSTITUTE($G1103,"-",""))-1))-LEN(SUBSTITUTE(SUBSTITUTE(SUBSTITUTE($G1103,"-"," ",LEN($G1103)-LEN(SUBSTITUTE($G1103,"-",""))),"-"," ",LEN($G1103)-LEN(SUBSTITUTE($G1103,"-",""))-1),".",""))))),$G1103)))</f>
        <v/>
      </c>
    </row>
    <row r="1104">
      <c r="A1104" s="58" t="n"/>
      <c r="B1104" s="58">
        <f>IF($H1104="","",LEFT($H1104,FIND(" ",$H1104&amp;" ")-1))</f>
        <v/>
      </c>
      <c r="C1104" s="58">
        <f>IF($H1104="","",IFERROR(MID($H1104&amp;" ",FIND("|",SUBSTITUTE($H1104&amp;" "," ","|",1))+1,FIND("|",SUBSTITUTE($H1104&amp;" "," ","|",2))-FIND("|",SUBSTITUTE($H1104&amp;" "," ","|",1))-1),""))</f>
        <v/>
      </c>
      <c r="D1104" s="58">
        <f>IF($H1104="","",IFERROR(MID($H1104&amp;" ",FIND("|",SUBSTITUTE($H1104&amp;" "," ","|",2))+1,FIND("|",SUBSTITUTE($H1104&amp;" "," ","|",3))-FIND("|",SUBSTITUTE($H1104&amp;" "," ","|",2))-1),""))</f>
        <v/>
      </c>
      <c r="E1104" s="58">
        <f>IF($H1104="","",IFERROR(MID($H1104&amp;" ",FIND("|",SUBSTITUTE($H1104&amp;" "," ","|",3))+1,FIND("|",SUBSTITUTE($H1104&amp;" "," ","|",4))-FIND("|",SUBSTITUTE($H1104&amp;" "," ","|",3))-1),""))</f>
        <v/>
      </c>
      <c r="F1104" s="59">
        <f>IF($H1104="","",IFERROR(VALUE(IFERROR(MID($H1104&amp;" ",FIND("|",SUBSTITUTE($H1104&amp;" "," ","|",4))+1,FIND("|",SUBSTITUTE($H1104&amp;" "," ","|",5))-FIND("|",SUBSTITUTE($H1104&amp;" "," ","|",4))-1),""))/86400+25569+9/24,""))</f>
        <v/>
      </c>
      <c r="G1104" s="58">
        <f>TRIM(SUBSTITUTE(SUBSTITUTE(SUBSTITUTE($A1104,CHAR(9)," ")," "," "),CHAR(13),""))</f>
        <v/>
      </c>
      <c r="H1104" s="58">
        <f>IF($G1104="","",IF(ISNUMBER(FIND(" ",$G1104)),$G1104,IFERROR(IF((LEN(SUBSTITUTE(SUBSTITUTE($G1104,"-"," ",LEN($G1104)-LEN(SUBSTITUTE($G1104,"-",""))),"-"," ",LEN($G1104)-LEN(SUBSTITUTE($G1104,"-",""))-1))-LEN(SUBSTITUTE(SUBSTITUTE(SUBSTITUTE($G1104,"-"," ",LEN($G1104)-LEN(SUBSTITUTE($G1104,"-",""))),"-"," ",LEN($G1104)-LEN(SUBSTITUTE($G1104,"-",""))-1),".","")))=0,SUBSTITUTE(SUBSTITUTE($G1104,"-"," ",LEN($G1104)-LEN(SUBSTITUTE($G1104,"-",""))),"-"," ",LEN($G1104)-LEN(SUBSTITUTE($G1104,"-",""))-1),SUBSTITUTE(SUBSTITUTE(SUBSTITUTE($G1104,"-"," ",LEN($G1104)-LEN(SUBSTITUTE($G1104,"-",""))),"-"," ",LEN($G1104)-LEN(SUBSTITUTE($G1104,"-",""))-1),"."," ",(LEN(SUBSTITUTE(SUBSTITUTE($G1104,"-"," ",LEN($G1104)-LEN(SUBSTITUTE($G1104,"-",""))),"-"," ",LEN($G1104)-LEN(SUBSTITUTE($G1104,"-",""))-1))-LEN(SUBSTITUTE(SUBSTITUTE(SUBSTITUTE($G1104,"-"," ",LEN($G1104)-LEN(SUBSTITUTE($G1104,"-",""))),"-"," ",LEN($G1104)-LEN(SUBSTITUTE($G1104,"-",""))-1),".",""))))),$G1104)))</f>
        <v/>
      </c>
    </row>
    <row r="1105">
      <c r="A1105" s="58" t="n"/>
      <c r="B1105" s="58">
        <f>IF($H1105="","",LEFT($H1105,FIND(" ",$H1105&amp;" ")-1))</f>
        <v/>
      </c>
      <c r="C1105" s="58">
        <f>IF($H1105="","",IFERROR(MID($H1105&amp;" ",FIND("|",SUBSTITUTE($H1105&amp;" "," ","|",1))+1,FIND("|",SUBSTITUTE($H1105&amp;" "," ","|",2))-FIND("|",SUBSTITUTE($H1105&amp;" "," ","|",1))-1),""))</f>
        <v/>
      </c>
      <c r="D1105" s="58">
        <f>IF($H1105="","",IFERROR(MID($H1105&amp;" ",FIND("|",SUBSTITUTE($H1105&amp;" "," ","|",2))+1,FIND("|",SUBSTITUTE($H1105&amp;" "," ","|",3))-FIND("|",SUBSTITUTE($H1105&amp;" "," ","|",2))-1),""))</f>
        <v/>
      </c>
      <c r="E1105" s="58">
        <f>IF($H1105="","",IFERROR(MID($H1105&amp;" ",FIND("|",SUBSTITUTE($H1105&amp;" "," ","|",3))+1,FIND("|",SUBSTITUTE($H1105&amp;" "," ","|",4))-FIND("|",SUBSTITUTE($H1105&amp;" "," ","|",3))-1),""))</f>
        <v/>
      </c>
      <c r="F1105" s="59">
        <f>IF($H1105="","",IFERROR(VALUE(IFERROR(MID($H1105&amp;" ",FIND("|",SUBSTITUTE($H1105&amp;" "," ","|",4))+1,FIND("|",SUBSTITUTE($H1105&amp;" "," ","|",5))-FIND("|",SUBSTITUTE($H1105&amp;" "," ","|",4))-1),""))/86400+25569+9/24,""))</f>
        <v/>
      </c>
      <c r="G1105" s="58">
        <f>TRIM(SUBSTITUTE(SUBSTITUTE(SUBSTITUTE($A1105,CHAR(9)," ")," "," "),CHAR(13),""))</f>
        <v/>
      </c>
      <c r="H1105" s="58">
        <f>IF($G1105="","",IF(ISNUMBER(FIND(" ",$G1105)),$G1105,IFERROR(IF((LEN(SUBSTITUTE(SUBSTITUTE($G1105,"-"," ",LEN($G1105)-LEN(SUBSTITUTE($G1105,"-",""))),"-"," ",LEN($G1105)-LEN(SUBSTITUTE($G1105,"-",""))-1))-LEN(SUBSTITUTE(SUBSTITUTE(SUBSTITUTE($G1105,"-"," ",LEN($G1105)-LEN(SUBSTITUTE($G1105,"-",""))),"-"," ",LEN($G1105)-LEN(SUBSTITUTE($G1105,"-",""))-1),".","")))=0,SUBSTITUTE(SUBSTITUTE($G1105,"-"," ",LEN($G1105)-LEN(SUBSTITUTE($G1105,"-",""))),"-"," ",LEN($G1105)-LEN(SUBSTITUTE($G1105,"-",""))-1),SUBSTITUTE(SUBSTITUTE(SUBSTITUTE($G1105,"-"," ",LEN($G1105)-LEN(SUBSTITUTE($G1105,"-",""))),"-"," ",LEN($G1105)-LEN(SUBSTITUTE($G1105,"-",""))-1),"."," ",(LEN(SUBSTITUTE(SUBSTITUTE($G1105,"-"," ",LEN($G1105)-LEN(SUBSTITUTE($G1105,"-",""))),"-"," ",LEN($G1105)-LEN(SUBSTITUTE($G1105,"-",""))-1))-LEN(SUBSTITUTE(SUBSTITUTE(SUBSTITUTE($G1105,"-"," ",LEN($G1105)-LEN(SUBSTITUTE($G1105,"-",""))),"-"," ",LEN($G1105)-LEN(SUBSTITUTE($G1105,"-",""))-1),".",""))))),$G1105)))</f>
        <v/>
      </c>
    </row>
    <row r="1106">
      <c r="A1106" s="58" t="n"/>
      <c r="B1106" s="58">
        <f>IF($H1106="","",LEFT($H1106,FIND(" ",$H1106&amp;" ")-1))</f>
        <v/>
      </c>
      <c r="C1106" s="58">
        <f>IF($H1106="","",IFERROR(MID($H1106&amp;" ",FIND("|",SUBSTITUTE($H1106&amp;" "," ","|",1))+1,FIND("|",SUBSTITUTE($H1106&amp;" "," ","|",2))-FIND("|",SUBSTITUTE($H1106&amp;" "," ","|",1))-1),""))</f>
        <v/>
      </c>
      <c r="D1106" s="58">
        <f>IF($H1106="","",IFERROR(MID($H1106&amp;" ",FIND("|",SUBSTITUTE($H1106&amp;" "," ","|",2))+1,FIND("|",SUBSTITUTE($H1106&amp;" "," ","|",3))-FIND("|",SUBSTITUTE($H1106&amp;" "," ","|",2))-1),""))</f>
        <v/>
      </c>
      <c r="E1106" s="58">
        <f>IF($H1106="","",IFERROR(MID($H1106&amp;" ",FIND("|",SUBSTITUTE($H1106&amp;" "," ","|",3))+1,FIND("|",SUBSTITUTE($H1106&amp;" "," ","|",4))-FIND("|",SUBSTITUTE($H1106&amp;" "," ","|",3))-1),""))</f>
        <v/>
      </c>
      <c r="F1106" s="59">
        <f>IF($H1106="","",IFERROR(VALUE(IFERROR(MID($H1106&amp;" ",FIND("|",SUBSTITUTE($H1106&amp;" "," ","|",4))+1,FIND("|",SUBSTITUTE($H1106&amp;" "," ","|",5))-FIND("|",SUBSTITUTE($H1106&amp;" "," ","|",4))-1),""))/86400+25569+9/24,""))</f>
        <v/>
      </c>
      <c r="G1106" s="58">
        <f>TRIM(SUBSTITUTE(SUBSTITUTE(SUBSTITUTE($A1106,CHAR(9)," ")," "," "),CHAR(13),""))</f>
        <v/>
      </c>
      <c r="H1106" s="58">
        <f>IF($G1106="","",IF(ISNUMBER(FIND(" ",$G1106)),$G1106,IFERROR(IF((LEN(SUBSTITUTE(SUBSTITUTE($G1106,"-"," ",LEN($G1106)-LEN(SUBSTITUTE($G1106,"-",""))),"-"," ",LEN($G1106)-LEN(SUBSTITUTE($G1106,"-",""))-1))-LEN(SUBSTITUTE(SUBSTITUTE(SUBSTITUTE($G1106,"-"," ",LEN($G1106)-LEN(SUBSTITUTE($G1106,"-",""))),"-"," ",LEN($G1106)-LEN(SUBSTITUTE($G1106,"-",""))-1),".","")))=0,SUBSTITUTE(SUBSTITUTE($G1106,"-"," ",LEN($G1106)-LEN(SUBSTITUTE($G1106,"-",""))),"-"," ",LEN($G1106)-LEN(SUBSTITUTE($G1106,"-",""))-1),SUBSTITUTE(SUBSTITUTE(SUBSTITUTE($G1106,"-"," ",LEN($G1106)-LEN(SUBSTITUTE($G1106,"-",""))),"-"," ",LEN($G1106)-LEN(SUBSTITUTE($G1106,"-",""))-1),"."," ",(LEN(SUBSTITUTE(SUBSTITUTE($G1106,"-"," ",LEN($G1106)-LEN(SUBSTITUTE($G1106,"-",""))),"-"," ",LEN($G1106)-LEN(SUBSTITUTE($G1106,"-",""))-1))-LEN(SUBSTITUTE(SUBSTITUTE(SUBSTITUTE($G1106,"-"," ",LEN($G1106)-LEN(SUBSTITUTE($G1106,"-",""))),"-"," ",LEN($G1106)-LEN(SUBSTITUTE($G1106,"-",""))-1),".",""))))),$G1106)))</f>
        <v/>
      </c>
    </row>
    <row r="1107">
      <c r="A1107" s="58" t="n"/>
      <c r="B1107" s="58">
        <f>IF($H1107="","",LEFT($H1107,FIND(" ",$H1107&amp;" ")-1))</f>
        <v/>
      </c>
      <c r="C1107" s="58">
        <f>IF($H1107="","",IFERROR(MID($H1107&amp;" ",FIND("|",SUBSTITUTE($H1107&amp;" "," ","|",1))+1,FIND("|",SUBSTITUTE($H1107&amp;" "," ","|",2))-FIND("|",SUBSTITUTE($H1107&amp;" "," ","|",1))-1),""))</f>
        <v/>
      </c>
      <c r="D1107" s="58">
        <f>IF($H1107="","",IFERROR(MID($H1107&amp;" ",FIND("|",SUBSTITUTE($H1107&amp;" "," ","|",2))+1,FIND("|",SUBSTITUTE($H1107&amp;" "," ","|",3))-FIND("|",SUBSTITUTE($H1107&amp;" "," ","|",2))-1),""))</f>
        <v/>
      </c>
      <c r="E1107" s="58">
        <f>IF($H1107="","",IFERROR(MID($H1107&amp;" ",FIND("|",SUBSTITUTE($H1107&amp;" "," ","|",3))+1,FIND("|",SUBSTITUTE($H1107&amp;" "," ","|",4))-FIND("|",SUBSTITUTE($H1107&amp;" "," ","|",3))-1),""))</f>
        <v/>
      </c>
      <c r="F1107" s="59">
        <f>IF($H1107="","",IFERROR(VALUE(IFERROR(MID($H1107&amp;" ",FIND("|",SUBSTITUTE($H1107&amp;" "," ","|",4))+1,FIND("|",SUBSTITUTE($H1107&amp;" "," ","|",5))-FIND("|",SUBSTITUTE($H1107&amp;" "," ","|",4))-1),""))/86400+25569+9/24,""))</f>
        <v/>
      </c>
      <c r="G1107" s="58">
        <f>TRIM(SUBSTITUTE(SUBSTITUTE(SUBSTITUTE($A1107,CHAR(9)," ")," "," "),CHAR(13),""))</f>
        <v/>
      </c>
      <c r="H1107" s="58">
        <f>IF($G1107="","",IF(ISNUMBER(FIND(" ",$G1107)),$G1107,IFERROR(IF((LEN(SUBSTITUTE(SUBSTITUTE($G1107,"-"," ",LEN($G1107)-LEN(SUBSTITUTE($G1107,"-",""))),"-"," ",LEN($G1107)-LEN(SUBSTITUTE($G1107,"-",""))-1))-LEN(SUBSTITUTE(SUBSTITUTE(SUBSTITUTE($G1107,"-"," ",LEN($G1107)-LEN(SUBSTITUTE($G1107,"-",""))),"-"," ",LEN($G1107)-LEN(SUBSTITUTE($G1107,"-",""))-1),".","")))=0,SUBSTITUTE(SUBSTITUTE($G1107,"-"," ",LEN($G1107)-LEN(SUBSTITUTE($G1107,"-",""))),"-"," ",LEN($G1107)-LEN(SUBSTITUTE($G1107,"-",""))-1),SUBSTITUTE(SUBSTITUTE(SUBSTITUTE($G1107,"-"," ",LEN($G1107)-LEN(SUBSTITUTE($G1107,"-",""))),"-"," ",LEN($G1107)-LEN(SUBSTITUTE($G1107,"-",""))-1),"."," ",(LEN(SUBSTITUTE(SUBSTITUTE($G1107,"-"," ",LEN($G1107)-LEN(SUBSTITUTE($G1107,"-",""))),"-"," ",LEN($G1107)-LEN(SUBSTITUTE($G1107,"-",""))-1))-LEN(SUBSTITUTE(SUBSTITUTE(SUBSTITUTE($G1107,"-"," ",LEN($G1107)-LEN(SUBSTITUTE($G1107,"-",""))),"-"," ",LEN($G1107)-LEN(SUBSTITUTE($G1107,"-",""))-1),".",""))))),$G1107)))</f>
        <v/>
      </c>
    </row>
    <row r="1108">
      <c r="A1108" s="58" t="n"/>
      <c r="B1108" s="58">
        <f>IF($H1108="","",LEFT($H1108,FIND(" ",$H1108&amp;" ")-1))</f>
        <v/>
      </c>
      <c r="C1108" s="58">
        <f>IF($H1108="","",IFERROR(MID($H1108&amp;" ",FIND("|",SUBSTITUTE($H1108&amp;" "," ","|",1))+1,FIND("|",SUBSTITUTE($H1108&amp;" "," ","|",2))-FIND("|",SUBSTITUTE($H1108&amp;" "," ","|",1))-1),""))</f>
        <v/>
      </c>
      <c r="D1108" s="58">
        <f>IF($H1108="","",IFERROR(MID($H1108&amp;" ",FIND("|",SUBSTITUTE($H1108&amp;" "," ","|",2))+1,FIND("|",SUBSTITUTE($H1108&amp;" "," ","|",3))-FIND("|",SUBSTITUTE($H1108&amp;" "," ","|",2))-1),""))</f>
        <v/>
      </c>
      <c r="E1108" s="58">
        <f>IF($H1108="","",IFERROR(MID($H1108&amp;" ",FIND("|",SUBSTITUTE($H1108&amp;" "," ","|",3))+1,FIND("|",SUBSTITUTE($H1108&amp;" "," ","|",4))-FIND("|",SUBSTITUTE($H1108&amp;" "," ","|",3))-1),""))</f>
        <v/>
      </c>
      <c r="F1108" s="59">
        <f>IF($H1108="","",IFERROR(VALUE(IFERROR(MID($H1108&amp;" ",FIND("|",SUBSTITUTE($H1108&amp;" "," ","|",4))+1,FIND("|",SUBSTITUTE($H1108&amp;" "," ","|",5))-FIND("|",SUBSTITUTE($H1108&amp;" "," ","|",4))-1),""))/86400+25569+9/24,""))</f>
        <v/>
      </c>
      <c r="G1108" s="58">
        <f>TRIM(SUBSTITUTE(SUBSTITUTE(SUBSTITUTE($A1108,CHAR(9)," ")," "," "),CHAR(13),""))</f>
        <v/>
      </c>
      <c r="H1108" s="58">
        <f>IF($G1108="","",IF(ISNUMBER(FIND(" ",$G1108)),$G1108,IFERROR(IF((LEN(SUBSTITUTE(SUBSTITUTE($G1108,"-"," ",LEN($G1108)-LEN(SUBSTITUTE($G1108,"-",""))),"-"," ",LEN($G1108)-LEN(SUBSTITUTE($G1108,"-",""))-1))-LEN(SUBSTITUTE(SUBSTITUTE(SUBSTITUTE($G1108,"-"," ",LEN($G1108)-LEN(SUBSTITUTE($G1108,"-",""))),"-"," ",LEN($G1108)-LEN(SUBSTITUTE($G1108,"-",""))-1),".","")))=0,SUBSTITUTE(SUBSTITUTE($G1108,"-"," ",LEN($G1108)-LEN(SUBSTITUTE($G1108,"-",""))),"-"," ",LEN($G1108)-LEN(SUBSTITUTE($G1108,"-",""))-1),SUBSTITUTE(SUBSTITUTE(SUBSTITUTE($G1108,"-"," ",LEN($G1108)-LEN(SUBSTITUTE($G1108,"-",""))),"-"," ",LEN($G1108)-LEN(SUBSTITUTE($G1108,"-",""))-1),"."," ",(LEN(SUBSTITUTE(SUBSTITUTE($G1108,"-"," ",LEN($G1108)-LEN(SUBSTITUTE($G1108,"-",""))),"-"," ",LEN($G1108)-LEN(SUBSTITUTE($G1108,"-",""))-1))-LEN(SUBSTITUTE(SUBSTITUTE(SUBSTITUTE($G1108,"-"," ",LEN($G1108)-LEN(SUBSTITUTE($G1108,"-",""))),"-"," ",LEN($G1108)-LEN(SUBSTITUTE($G1108,"-",""))-1),".",""))))),$G1108)))</f>
        <v/>
      </c>
    </row>
    <row r="1109">
      <c r="A1109" s="58" t="n"/>
      <c r="B1109" s="58">
        <f>IF($H1109="","",LEFT($H1109,FIND(" ",$H1109&amp;" ")-1))</f>
        <v/>
      </c>
      <c r="C1109" s="58">
        <f>IF($H1109="","",IFERROR(MID($H1109&amp;" ",FIND("|",SUBSTITUTE($H1109&amp;" "," ","|",1))+1,FIND("|",SUBSTITUTE($H1109&amp;" "," ","|",2))-FIND("|",SUBSTITUTE($H1109&amp;" "," ","|",1))-1),""))</f>
        <v/>
      </c>
      <c r="D1109" s="58">
        <f>IF($H1109="","",IFERROR(MID($H1109&amp;" ",FIND("|",SUBSTITUTE($H1109&amp;" "," ","|",2))+1,FIND("|",SUBSTITUTE($H1109&amp;" "," ","|",3))-FIND("|",SUBSTITUTE($H1109&amp;" "," ","|",2))-1),""))</f>
        <v/>
      </c>
      <c r="E1109" s="58">
        <f>IF($H1109="","",IFERROR(MID($H1109&amp;" ",FIND("|",SUBSTITUTE($H1109&amp;" "," ","|",3))+1,FIND("|",SUBSTITUTE($H1109&amp;" "," ","|",4))-FIND("|",SUBSTITUTE($H1109&amp;" "," ","|",3))-1),""))</f>
        <v/>
      </c>
      <c r="F1109" s="59">
        <f>IF($H1109="","",IFERROR(VALUE(IFERROR(MID($H1109&amp;" ",FIND("|",SUBSTITUTE($H1109&amp;" "," ","|",4))+1,FIND("|",SUBSTITUTE($H1109&amp;" "," ","|",5))-FIND("|",SUBSTITUTE($H1109&amp;" "," ","|",4))-1),""))/86400+25569+9/24,""))</f>
        <v/>
      </c>
      <c r="G1109" s="58">
        <f>TRIM(SUBSTITUTE(SUBSTITUTE(SUBSTITUTE($A1109,CHAR(9)," ")," "," "),CHAR(13),""))</f>
        <v/>
      </c>
      <c r="H1109" s="58">
        <f>IF($G1109="","",IF(ISNUMBER(FIND(" ",$G1109)),$G1109,IFERROR(IF((LEN(SUBSTITUTE(SUBSTITUTE($G1109,"-"," ",LEN($G1109)-LEN(SUBSTITUTE($G1109,"-",""))),"-"," ",LEN($G1109)-LEN(SUBSTITUTE($G1109,"-",""))-1))-LEN(SUBSTITUTE(SUBSTITUTE(SUBSTITUTE($G1109,"-"," ",LEN($G1109)-LEN(SUBSTITUTE($G1109,"-",""))),"-"," ",LEN($G1109)-LEN(SUBSTITUTE($G1109,"-",""))-1),".","")))=0,SUBSTITUTE(SUBSTITUTE($G1109,"-"," ",LEN($G1109)-LEN(SUBSTITUTE($G1109,"-",""))),"-"," ",LEN($G1109)-LEN(SUBSTITUTE($G1109,"-",""))-1),SUBSTITUTE(SUBSTITUTE(SUBSTITUTE($G1109,"-"," ",LEN($G1109)-LEN(SUBSTITUTE($G1109,"-",""))),"-"," ",LEN($G1109)-LEN(SUBSTITUTE($G1109,"-",""))-1),"."," ",(LEN(SUBSTITUTE(SUBSTITUTE($G1109,"-"," ",LEN($G1109)-LEN(SUBSTITUTE($G1109,"-",""))),"-"," ",LEN($G1109)-LEN(SUBSTITUTE($G1109,"-",""))-1))-LEN(SUBSTITUTE(SUBSTITUTE(SUBSTITUTE($G1109,"-"," ",LEN($G1109)-LEN(SUBSTITUTE($G1109,"-",""))),"-"," ",LEN($G1109)-LEN(SUBSTITUTE($G1109,"-",""))-1),".",""))))),$G1109)))</f>
        <v/>
      </c>
    </row>
    <row r="1110">
      <c r="A1110" s="58" t="n"/>
      <c r="B1110" s="58">
        <f>IF($H1110="","",LEFT($H1110,FIND(" ",$H1110&amp;" ")-1))</f>
        <v/>
      </c>
      <c r="C1110" s="58">
        <f>IF($H1110="","",IFERROR(MID($H1110&amp;" ",FIND("|",SUBSTITUTE($H1110&amp;" "," ","|",1))+1,FIND("|",SUBSTITUTE($H1110&amp;" "," ","|",2))-FIND("|",SUBSTITUTE($H1110&amp;" "," ","|",1))-1),""))</f>
        <v/>
      </c>
      <c r="D1110" s="58">
        <f>IF($H1110="","",IFERROR(MID($H1110&amp;" ",FIND("|",SUBSTITUTE($H1110&amp;" "," ","|",2))+1,FIND("|",SUBSTITUTE($H1110&amp;" "," ","|",3))-FIND("|",SUBSTITUTE($H1110&amp;" "," ","|",2))-1),""))</f>
        <v/>
      </c>
      <c r="E1110" s="58">
        <f>IF($H1110="","",IFERROR(MID($H1110&amp;" ",FIND("|",SUBSTITUTE($H1110&amp;" "," ","|",3))+1,FIND("|",SUBSTITUTE($H1110&amp;" "," ","|",4))-FIND("|",SUBSTITUTE($H1110&amp;" "," ","|",3))-1),""))</f>
        <v/>
      </c>
      <c r="F1110" s="59">
        <f>IF($H1110="","",IFERROR(VALUE(IFERROR(MID($H1110&amp;" ",FIND("|",SUBSTITUTE($H1110&amp;" "," ","|",4))+1,FIND("|",SUBSTITUTE($H1110&amp;" "," ","|",5))-FIND("|",SUBSTITUTE($H1110&amp;" "," ","|",4))-1),""))/86400+25569+9/24,""))</f>
        <v/>
      </c>
      <c r="G1110" s="58">
        <f>TRIM(SUBSTITUTE(SUBSTITUTE(SUBSTITUTE($A1110,CHAR(9)," ")," "," "),CHAR(13),""))</f>
        <v/>
      </c>
      <c r="H1110" s="58">
        <f>IF($G1110="","",IF(ISNUMBER(FIND(" ",$G1110)),$G1110,IFERROR(IF((LEN(SUBSTITUTE(SUBSTITUTE($G1110,"-"," ",LEN($G1110)-LEN(SUBSTITUTE($G1110,"-",""))),"-"," ",LEN($G1110)-LEN(SUBSTITUTE($G1110,"-",""))-1))-LEN(SUBSTITUTE(SUBSTITUTE(SUBSTITUTE($G1110,"-"," ",LEN($G1110)-LEN(SUBSTITUTE($G1110,"-",""))),"-"," ",LEN($G1110)-LEN(SUBSTITUTE($G1110,"-",""))-1),".","")))=0,SUBSTITUTE(SUBSTITUTE($G1110,"-"," ",LEN($G1110)-LEN(SUBSTITUTE($G1110,"-",""))),"-"," ",LEN($G1110)-LEN(SUBSTITUTE($G1110,"-",""))-1),SUBSTITUTE(SUBSTITUTE(SUBSTITUTE($G1110,"-"," ",LEN($G1110)-LEN(SUBSTITUTE($G1110,"-",""))),"-"," ",LEN($G1110)-LEN(SUBSTITUTE($G1110,"-",""))-1),"."," ",(LEN(SUBSTITUTE(SUBSTITUTE($G1110,"-"," ",LEN($G1110)-LEN(SUBSTITUTE($G1110,"-",""))),"-"," ",LEN($G1110)-LEN(SUBSTITUTE($G1110,"-",""))-1))-LEN(SUBSTITUTE(SUBSTITUTE(SUBSTITUTE($G1110,"-"," ",LEN($G1110)-LEN(SUBSTITUTE($G1110,"-",""))),"-"," ",LEN($G1110)-LEN(SUBSTITUTE($G1110,"-",""))-1),".",""))))),$G1110)))</f>
        <v/>
      </c>
    </row>
    <row r="1111">
      <c r="A1111" s="58" t="n"/>
      <c r="B1111" s="58">
        <f>IF($H1111="","",LEFT($H1111,FIND(" ",$H1111&amp;" ")-1))</f>
        <v/>
      </c>
      <c r="C1111" s="58">
        <f>IF($H1111="","",IFERROR(MID($H1111&amp;" ",FIND("|",SUBSTITUTE($H1111&amp;" "," ","|",1))+1,FIND("|",SUBSTITUTE($H1111&amp;" "," ","|",2))-FIND("|",SUBSTITUTE($H1111&amp;" "," ","|",1))-1),""))</f>
        <v/>
      </c>
      <c r="D1111" s="58">
        <f>IF($H1111="","",IFERROR(MID($H1111&amp;" ",FIND("|",SUBSTITUTE($H1111&amp;" "," ","|",2))+1,FIND("|",SUBSTITUTE($H1111&amp;" "," ","|",3))-FIND("|",SUBSTITUTE($H1111&amp;" "," ","|",2))-1),""))</f>
        <v/>
      </c>
      <c r="E1111" s="58">
        <f>IF($H1111="","",IFERROR(MID($H1111&amp;" ",FIND("|",SUBSTITUTE($H1111&amp;" "," ","|",3))+1,FIND("|",SUBSTITUTE($H1111&amp;" "," ","|",4))-FIND("|",SUBSTITUTE($H1111&amp;" "," ","|",3))-1),""))</f>
        <v/>
      </c>
      <c r="F1111" s="59">
        <f>IF($H1111="","",IFERROR(VALUE(IFERROR(MID($H1111&amp;" ",FIND("|",SUBSTITUTE($H1111&amp;" "," ","|",4))+1,FIND("|",SUBSTITUTE($H1111&amp;" "," ","|",5))-FIND("|",SUBSTITUTE($H1111&amp;" "," ","|",4))-1),""))/86400+25569+9/24,""))</f>
        <v/>
      </c>
      <c r="G1111" s="58">
        <f>TRIM(SUBSTITUTE(SUBSTITUTE(SUBSTITUTE($A1111,CHAR(9)," ")," "," "),CHAR(13),""))</f>
        <v/>
      </c>
      <c r="H1111" s="58">
        <f>IF($G1111="","",IF(ISNUMBER(FIND(" ",$G1111)),$G1111,IFERROR(IF((LEN(SUBSTITUTE(SUBSTITUTE($G1111,"-"," ",LEN($G1111)-LEN(SUBSTITUTE($G1111,"-",""))),"-"," ",LEN($G1111)-LEN(SUBSTITUTE($G1111,"-",""))-1))-LEN(SUBSTITUTE(SUBSTITUTE(SUBSTITUTE($G1111,"-"," ",LEN($G1111)-LEN(SUBSTITUTE($G1111,"-",""))),"-"," ",LEN($G1111)-LEN(SUBSTITUTE($G1111,"-",""))-1),".","")))=0,SUBSTITUTE(SUBSTITUTE($G1111,"-"," ",LEN($G1111)-LEN(SUBSTITUTE($G1111,"-",""))),"-"," ",LEN($G1111)-LEN(SUBSTITUTE($G1111,"-",""))-1),SUBSTITUTE(SUBSTITUTE(SUBSTITUTE($G1111,"-"," ",LEN($G1111)-LEN(SUBSTITUTE($G1111,"-",""))),"-"," ",LEN($G1111)-LEN(SUBSTITUTE($G1111,"-",""))-1),"."," ",(LEN(SUBSTITUTE(SUBSTITUTE($G1111,"-"," ",LEN($G1111)-LEN(SUBSTITUTE($G1111,"-",""))),"-"," ",LEN($G1111)-LEN(SUBSTITUTE($G1111,"-",""))-1))-LEN(SUBSTITUTE(SUBSTITUTE(SUBSTITUTE($G1111,"-"," ",LEN($G1111)-LEN(SUBSTITUTE($G1111,"-",""))),"-"," ",LEN($G1111)-LEN(SUBSTITUTE($G1111,"-",""))-1),".",""))))),$G1111)))</f>
        <v/>
      </c>
    </row>
    <row r="1112">
      <c r="A1112" s="58" t="n"/>
      <c r="B1112" s="58">
        <f>IF($H1112="","",LEFT($H1112,FIND(" ",$H1112&amp;" ")-1))</f>
        <v/>
      </c>
      <c r="C1112" s="58">
        <f>IF($H1112="","",IFERROR(MID($H1112&amp;" ",FIND("|",SUBSTITUTE($H1112&amp;" "," ","|",1))+1,FIND("|",SUBSTITUTE($H1112&amp;" "," ","|",2))-FIND("|",SUBSTITUTE($H1112&amp;" "," ","|",1))-1),""))</f>
        <v/>
      </c>
      <c r="D1112" s="58">
        <f>IF($H1112="","",IFERROR(MID($H1112&amp;" ",FIND("|",SUBSTITUTE($H1112&amp;" "," ","|",2))+1,FIND("|",SUBSTITUTE($H1112&amp;" "," ","|",3))-FIND("|",SUBSTITUTE($H1112&amp;" "," ","|",2))-1),""))</f>
        <v/>
      </c>
      <c r="E1112" s="58">
        <f>IF($H1112="","",IFERROR(MID($H1112&amp;" ",FIND("|",SUBSTITUTE($H1112&amp;" "," ","|",3))+1,FIND("|",SUBSTITUTE($H1112&amp;" "," ","|",4))-FIND("|",SUBSTITUTE($H1112&amp;" "," ","|",3))-1),""))</f>
        <v/>
      </c>
      <c r="F1112" s="59">
        <f>IF($H1112="","",IFERROR(VALUE(IFERROR(MID($H1112&amp;" ",FIND("|",SUBSTITUTE($H1112&amp;" "," ","|",4))+1,FIND("|",SUBSTITUTE($H1112&amp;" "," ","|",5))-FIND("|",SUBSTITUTE($H1112&amp;" "," ","|",4))-1),""))/86400+25569+9/24,""))</f>
        <v/>
      </c>
      <c r="G1112" s="58">
        <f>TRIM(SUBSTITUTE(SUBSTITUTE(SUBSTITUTE($A1112,CHAR(9)," ")," "," "),CHAR(13),""))</f>
        <v/>
      </c>
      <c r="H1112" s="58">
        <f>IF($G1112="","",IF(ISNUMBER(FIND(" ",$G1112)),$G1112,IFERROR(IF((LEN(SUBSTITUTE(SUBSTITUTE($G1112,"-"," ",LEN($G1112)-LEN(SUBSTITUTE($G1112,"-",""))),"-"," ",LEN($G1112)-LEN(SUBSTITUTE($G1112,"-",""))-1))-LEN(SUBSTITUTE(SUBSTITUTE(SUBSTITUTE($G1112,"-"," ",LEN($G1112)-LEN(SUBSTITUTE($G1112,"-",""))),"-"," ",LEN($G1112)-LEN(SUBSTITUTE($G1112,"-",""))-1),".","")))=0,SUBSTITUTE(SUBSTITUTE($G1112,"-"," ",LEN($G1112)-LEN(SUBSTITUTE($G1112,"-",""))),"-"," ",LEN($G1112)-LEN(SUBSTITUTE($G1112,"-",""))-1),SUBSTITUTE(SUBSTITUTE(SUBSTITUTE($G1112,"-"," ",LEN($G1112)-LEN(SUBSTITUTE($G1112,"-",""))),"-"," ",LEN($G1112)-LEN(SUBSTITUTE($G1112,"-",""))-1),"."," ",(LEN(SUBSTITUTE(SUBSTITUTE($G1112,"-"," ",LEN($G1112)-LEN(SUBSTITUTE($G1112,"-",""))),"-"," ",LEN($G1112)-LEN(SUBSTITUTE($G1112,"-",""))-1))-LEN(SUBSTITUTE(SUBSTITUTE(SUBSTITUTE($G1112,"-"," ",LEN($G1112)-LEN(SUBSTITUTE($G1112,"-",""))),"-"," ",LEN($G1112)-LEN(SUBSTITUTE($G1112,"-",""))-1),".",""))))),$G1112)))</f>
        <v/>
      </c>
    </row>
    <row r="1113">
      <c r="A1113" s="58" t="n"/>
      <c r="B1113" s="58">
        <f>IF($H1113="","",LEFT($H1113,FIND(" ",$H1113&amp;" ")-1))</f>
        <v/>
      </c>
      <c r="C1113" s="58">
        <f>IF($H1113="","",IFERROR(MID($H1113&amp;" ",FIND("|",SUBSTITUTE($H1113&amp;" "," ","|",1))+1,FIND("|",SUBSTITUTE($H1113&amp;" "," ","|",2))-FIND("|",SUBSTITUTE($H1113&amp;" "," ","|",1))-1),""))</f>
        <v/>
      </c>
      <c r="D1113" s="58">
        <f>IF($H1113="","",IFERROR(MID($H1113&amp;" ",FIND("|",SUBSTITUTE($H1113&amp;" "," ","|",2))+1,FIND("|",SUBSTITUTE($H1113&amp;" "," ","|",3))-FIND("|",SUBSTITUTE($H1113&amp;" "," ","|",2))-1),""))</f>
        <v/>
      </c>
      <c r="E1113" s="58">
        <f>IF($H1113="","",IFERROR(MID($H1113&amp;" ",FIND("|",SUBSTITUTE($H1113&amp;" "," ","|",3))+1,FIND("|",SUBSTITUTE($H1113&amp;" "," ","|",4))-FIND("|",SUBSTITUTE($H1113&amp;" "," ","|",3))-1),""))</f>
        <v/>
      </c>
      <c r="F1113" s="59">
        <f>IF($H1113="","",IFERROR(VALUE(IFERROR(MID($H1113&amp;" ",FIND("|",SUBSTITUTE($H1113&amp;" "," ","|",4))+1,FIND("|",SUBSTITUTE($H1113&amp;" "," ","|",5))-FIND("|",SUBSTITUTE($H1113&amp;" "," ","|",4))-1),""))/86400+25569+9/24,""))</f>
        <v/>
      </c>
      <c r="G1113" s="58">
        <f>TRIM(SUBSTITUTE(SUBSTITUTE(SUBSTITUTE($A1113,CHAR(9)," ")," "," "),CHAR(13),""))</f>
        <v/>
      </c>
      <c r="H1113" s="58">
        <f>IF($G1113="","",IF(ISNUMBER(FIND(" ",$G1113)),$G1113,IFERROR(IF((LEN(SUBSTITUTE(SUBSTITUTE($G1113,"-"," ",LEN($G1113)-LEN(SUBSTITUTE($G1113,"-",""))),"-"," ",LEN($G1113)-LEN(SUBSTITUTE($G1113,"-",""))-1))-LEN(SUBSTITUTE(SUBSTITUTE(SUBSTITUTE($G1113,"-"," ",LEN($G1113)-LEN(SUBSTITUTE($G1113,"-",""))),"-"," ",LEN($G1113)-LEN(SUBSTITUTE($G1113,"-",""))-1),".","")))=0,SUBSTITUTE(SUBSTITUTE($G1113,"-"," ",LEN($G1113)-LEN(SUBSTITUTE($G1113,"-",""))),"-"," ",LEN($G1113)-LEN(SUBSTITUTE($G1113,"-",""))-1),SUBSTITUTE(SUBSTITUTE(SUBSTITUTE($G1113,"-"," ",LEN($G1113)-LEN(SUBSTITUTE($G1113,"-",""))),"-"," ",LEN($G1113)-LEN(SUBSTITUTE($G1113,"-",""))-1),"."," ",(LEN(SUBSTITUTE(SUBSTITUTE($G1113,"-"," ",LEN($G1113)-LEN(SUBSTITUTE($G1113,"-",""))),"-"," ",LEN($G1113)-LEN(SUBSTITUTE($G1113,"-",""))-1))-LEN(SUBSTITUTE(SUBSTITUTE(SUBSTITUTE($G1113,"-"," ",LEN($G1113)-LEN(SUBSTITUTE($G1113,"-",""))),"-"," ",LEN($G1113)-LEN(SUBSTITUTE($G1113,"-",""))-1),".",""))))),$G1113)))</f>
        <v/>
      </c>
    </row>
    <row r="1114">
      <c r="A1114" s="58" t="n"/>
      <c r="B1114" s="58">
        <f>IF($H1114="","",LEFT($H1114,FIND(" ",$H1114&amp;" ")-1))</f>
        <v/>
      </c>
      <c r="C1114" s="58">
        <f>IF($H1114="","",IFERROR(MID($H1114&amp;" ",FIND("|",SUBSTITUTE($H1114&amp;" "," ","|",1))+1,FIND("|",SUBSTITUTE($H1114&amp;" "," ","|",2))-FIND("|",SUBSTITUTE($H1114&amp;" "," ","|",1))-1),""))</f>
        <v/>
      </c>
      <c r="D1114" s="58">
        <f>IF($H1114="","",IFERROR(MID($H1114&amp;" ",FIND("|",SUBSTITUTE($H1114&amp;" "," ","|",2))+1,FIND("|",SUBSTITUTE($H1114&amp;" "," ","|",3))-FIND("|",SUBSTITUTE($H1114&amp;" "," ","|",2))-1),""))</f>
        <v/>
      </c>
      <c r="E1114" s="58">
        <f>IF($H1114="","",IFERROR(MID($H1114&amp;" ",FIND("|",SUBSTITUTE($H1114&amp;" "," ","|",3))+1,FIND("|",SUBSTITUTE($H1114&amp;" "," ","|",4))-FIND("|",SUBSTITUTE($H1114&amp;" "," ","|",3))-1),""))</f>
        <v/>
      </c>
      <c r="F1114" s="59">
        <f>IF($H1114="","",IFERROR(VALUE(IFERROR(MID($H1114&amp;" ",FIND("|",SUBSTITUTE($H1114&amp;" "," ","|",4))+1,FIND("|",SUBSTITUTE($H1114&amp;" "," ","|",5))-FIND("|",SUBSTITUTE($H1114&amp;" "," ","|",4))-1),""))/86400+25569+9/24,""))</f>
        <v/>
      </c>
      <c r="G1114" s="58">
        <f>TRIM(SUBSTITUTE(SUBSTITUTE(SUBSTITUTE($A1114,CHAR(9)," ")," "," "),CHAR(13),""))</f>
        <v/>
      </c>
      <c r="H1114" s="58">
        <f>IF($G1114="","",IF(ISNUMBER(FIND(" ",$G1114)),$G1114,IFERROR(IF((LEN(SUBSTITUTE(SUBSTITUTE($G1114,"-"," ",LEN($G1114)-LEN(SUBSTITUTE($G1114,"-",""))),"-"," ",LEN($G1114)-LEN(SUBSTITUTE($G1114,"-",""))-1))-LEN(SUBSTITUTE(SUBSTITUTE(SUBSTITUTE($G1114,"-"," ",LEN($G1114)-LEN(SUBSTITUTE($G1114,"-",""))),"-"," ",LEN($G1114)-LEN(SUBSTITUTE($G1114,"-",""))-1),".","")))=0,SUBSTITUTE(SUBSTITUTE($G1114,"-"," ",LEN($G1114)-LEN(SUBSTITUTE($G1114,"-",""))),"-"," ",LEN($G1114)-LEN(SUBSTITUTE($G1114,"-",""))-1),SUBSTITUTE(SUBSTITUTE(SUBSTITUTE($G1114,"-"," ",LEN($G1114)-LEN(SUBSTITUTE($G1114,"-",""))),"-"," ",LEN($G1114)-LEN(SUBSTITUTE($G1114,"-",""))-1),"."," ",(LEN(SUBSTITUTE(SUBSTITUTE($G1114,"-"," ",LEN($G1114)-LEN(SUBSTITUTE($G1114,"-",""))),"-"," ",LEN($G1114)-LEN(SUBSTITUTE($G1114,"-",""))-1))-LEN(SUBSTITUTE(SUBSTITUTE(SUBSTITUTE($G1114,"-"," ",LEN($G1114)-LEN(SUBSTITUTE($G1114,"-",""))),"-"," ",LEN($G1114)-LEN(SUBSTITUTE($G1114,"-",""))-1),".",""))))),$G1114)))</f>
        <v/>
      </c>
    </row>
    <row r="1115">
      <c r="A1115" s="58" t="n"/>
      <c r="B1115" s="58">
        <f>IF($H1115="","",LEFT($H1115,FIND(" ",$H1115&amp;" ")-1))</f>
        <v/>
      </c>
      <c r="C1115" s="58">
        <f>IF($H1115="","",IFERROR(MID($H1115&amp;" ",FIND("|",SUBSTITUTE($H1115&amp;" "," ","|",1))+1,FIND("|",SUBSTITUTE($H1115&amp;" "," ","|",2))-FIND("|",SUBSTITUTE($H1115&amp;" "," ","|",1))-1),""))</f>
        <v/>
      </c>
      <c r="D1115" s="58">
        <f>IF($H1115="","",IFERROR(MID($H1115&amp;" ",FIND("|",SUBSTITUTE($H1115&amp;" "," ","|",2))+1,FIND("|",SUBSTITUTE($H1115&amp;" "," ","|",3))-FIND("|",SUBSTITUTE($H1115&amp;" "," ","|",2))-1),""))</f>
        <v/>
      </c>
      <c r="E1115" s="58">
        <f>IF($H1115="","",IFERROR(MID($H1115&amp;" ",FIND("|",SUBSTITUTE($H1115&amp;" "," ","|",3))+1,FIND("|",SUBSTITUTE($H1115&amp;" "," ","|",4))-FIND("|",SUBSTITUTE($H1115&amp;" "," ","|",3))-1),""))</f>
        <v/>
      </c>
      <c r="F1115" s="59">
        <f>IF($H1115="","",IFERROR(VALUE(IFERROR(MID($H1115&amp;" ",FIND("|",SUBSTITUTE($H1115&amp;" "," ","|",4))+1,FIND("|",SUBSTITUTE($H1115&amp;" "," ","|",5))-FIND("|",SUBSTITUTE($H1115&amp;" "," ","|",4))-1),""))/86400+25569+9/24,""))</f>
        <v/>
      </c>
      <c r="G1115" s="58">
        <f>TRIM(SUBSTITUTE(SUBSTITUTE(SUBSTITUTE($A1115,CHAR(9)," ")," "," "),CHAR(13),""))</f>
        <v/>
      </c>
      <c r="H1115" s="58">
        <f>IF($G1115="","",IF(ISNUMBER(FIND(" ",$G1115)),$G1115,IFERROR(IF((LEN(SUBSTITUTE(SUBSTITUTE($G1115,"-"," ",LEN($G1115)-LEN(SUBSTITUTE($G1115,"-",""))),"-"," ",LEN($G1115)-LEN(SUBSTITUTE($G1115,"-",""))-1))-LEN(SUBSTITUTE(SUBSTITUTE(SUBSTITUTE($G1115,"-"," ",LEN($G1115)-LEN(SUBSTITUTE($G1115,"-",""))),"-"," ",LEN($G1115)-LEN(SUBSTITUTE($G1115,"-",""))-1),".","")))=0,SUBSTITUTE(SUBSTITUTE($G1115,"-"," ",LEN($G1115)-LEN(SUBSTITUTE($G1115,"-",""))),"-"," ",LEN($G1115)-LEN(SUBSTITUTE($G1115,"-",""))-1),SUBSTITUTE(SUBSTITUTE(SUBSTITUTE($G1115,"-"," ",LEN($G1115)-LEN(SUBSTITUTE($G1115,"-",""))),"-"," ",LEN($G1115)-LEN(SUBSTITUTE($G1115,"-",""))-1),"."," ",(LEN(SUBSTITUTE(SUBSTITUTE($G1115,"-"," ",LEN($G1115)-LEN(SUBSTITUTE($G1115,"-",""))),"-"," ",LEN($G1115)-LEN(SUBSTITUTE($G1115,"-",""))-1))-LEN(SUBSTITUTE(SUBSTITUTE(SUBSTITUTE($G1115,"-"," ",LEN($G1115)-LEN(SUBSTITUTE($G1115,"-",""))),"-"," ",LEN($G1115)-LEN(SUBSTITUTE($G1115,"-",""))-1),".",""))))),$G1115)))</f>
        <v/>
      </c>
    </row>
    <row r="1116">
      <c r="A1116" s="58" t="n"/>
      <c r="B1116" s="58">
        <f>IF($H1116="","",LEFT($H1116,FIND(" ",$H1116&amp;" ")-1))</f>
        <v/>
      </c>
      <c r="C1116" s="58">
        <f>IF($H1116="","",IFERROR(MID($H1116&amp;" ",FIND("|",SUBSTITUTE($H1116&amp;" "," ","|",1))+1,FIND("|",SUBSTITUTE($H1116&amp;" "," ","|",2))-FIND("|",SUBSTITUTE($H1116&amp;" "," ","|",1))-1),""))</f>
        <v/>
      </c>
      <c r="D1116" s="58">
        <f>IF($H1116="","",IFERROR(MID($H1116&amp;" ",FIND("|",SUBSTITUTE($H1116&amp;" "," ","|",2))+1,FIND("|",SUBSTITUTE($H1116&amp;" "," ","|",3))-FIND("|",SUBSTITUTE($H1116&amp;" "," ","|",2))-1),""))</f>
        <v/>
      </c>
      <c r="E1116" s="58">
        <f>IF($H1116="","",IFERROR(MID($H1116&amp;" ",FIND("|",SUBSTITUTE($H1116&amp;" "," ","|",3))+1,FIND("|",SUBSTITUTE($H1116&amp;" "," ","|",4))-FIND("|",SUBSTITUTE($H1116&amp;" "," ","|",3))-1),""))</f>
        <v/>
      </c>
      <c r="F1116" s="59">
        <f>IF($H1116="","",IFERROR(VALUE(IFERROR(MID($H1116&amp;" ",FIND("|",SUBSTITUTE($H1116&amp;" "," ","|",4))+1,FIND("|",SUBSTITUTE($H1116&amp;" "," ","|",5))-FIND("|",SUBSTITUTE($H1116&amp;" "," ","|",4))-1),""))/86400+25569+9/24,""))</f>
        <v/>
      </c>
      <c r="G1116" s="58">
        <f>TRIM(SUBSTITUTE(SUBSTITUTE(SUBSTITUTE($A1116,CHAR(9)," ")," "," "),CHAR(13),""))</f>
        <v/>
      </c>
      <c r="H1116" s="58">
        <f>IF($G1116="","",IF(ISNUMBER(FIND(" ",$G1116)),$G1116,IFERROR(IF((LEN(SUBSTITUTE(SUBSTITUTE($G1116,"-"," ",LEN($G1116)-LEN(SUBSTITUTE($G1116,"-",""))),"-"," ",LEN($G1116)-LEN(SUBSTITUTE($G1116,"-",""))-1))-LEN(SUBSTITUTE(SUBSTITUTE(SUBSTITUTE($G1116,"-"," ",LEN($G1116)-LEN(SUBSTITUTE($G1116,"-",""))),"-"," ",LEN($G1116)-LEN(SUBSTITUTE($G1116,"-",""))-1),".","")))=0,SUBSTITUTE(SUBSTITUTE($G1116,"-"," ",LEN($G1116)-LEN(SUBSTITUTE($G1116,"-",""))),"-"," ",LEN($G1116)-LEN(SUBSTITUTE($G1116,"-",""))-1),SUBSTITUTE(SUBSTITUTE(SUBSTITUTE($G1116,"-"," ",LEN($G1116)-LEN(SUBSTITUTE($G1116,"-",""))),"-"," ",LEN($G1116)-LEN(SUBSTITUTE($G1116,"-",""))-1),"."," ",(LEN(SUBSTITUTE(SUBSTITUTE($G1116,"-"," ",LEN($G1116)-LEN(SUBSTITUTE($G1116,"-",""))),"-"," ",LEN($G1116)-LEN(SUBSTITUTE($G1116,"-",""))-1))-LEN(SUBSTITUTE(SUBSTITUTE(SUBSTITUTE($G1116,"-"," ",LEN($G1116)-LEN(SUBSTITUTE($G1116,"-",""))),"-"," ",LEN($G1116)-LEN(SUBSTITUTE($G1116,"-",""))-1),".",""))))),$G1116)))</f>
        <v/>
      </c>
    </row>
    <row r="1117">
      <c r="A1117" s="58" t="n"/>
      <c r="B1117" s="58">
        <f>IF($H1117="","",LEFT($H1117,FIND(" ",$H1117&amp;" ")-1))</f>
        <v/>
      </c>
      <c r="C1117" s="58">
        <f>IF($H1117="","",IFERROR(MID($H1117&amp;" ",FIND("|",SUBSTITUTE($H1117&amp;" "," ","|",1))+1,FIND("|",SUBSTITUTE($H1117&amp;" "," ","|",2))-FIND("|",SUBSTITUTE($H1117&amp;" "," ","|",1))-1),""))</f>
        <v/>
      </c>
      <c r="D1117" s="58">
        <f>IF($H1117="","",IFERROR(MID($H1117&amp;" ",FIND("|",SUBSTITUTE($H1117&amp;" "," ","|",2))+1,FIND("|",SUBSTITUTE($H1117&amp;" "," ","|",3))-FIND("|",SUBSTITUTE($H1117&amp;" "," ","|",2))-1),""))</f>
        <v/>
      </c>
      <c r="E1117" s="58">
        <f>IF($H1117="","",IFERROR(MID($H1117&amp;" ",FIND("|",SUBSTITUTE($H1117&amp;" "," ","|",3))+1,FIND("|",SUBSTITUTE($H1117&amp;" "," ","|",4))-FIND("|",SUBSTITUTE($H1117&amp;" "," ","|",3))-1),""))</f>
        <v/>
      </c>
      <c r="F1117" s="59">
        <f>IF($H1117="","",IFERROR(VALUE(IFERROR(MID($H1117&amp;" ",FIND("|",SUBSTITUTE($H1117&amp;" "," ","|",4))+1,FIND("|",SUBSTITUTE($H1117&amp;" "," ","|",5))-FIND("|",SUBSTITUTE($H1117&amp;" "," ","|",4))-1),""))/86400+25569+9/24,""))</f>
        <v/>
      </c>
      <c r="G1117" s="58">
        <f>TRIM(SUBSTITUTE(SUBSTITUTE(SUBSTITUTE($A1117,CHAR(9)," ")," "," "),CHAR(13),""))</f>
        <v/>
      </c>
      <c r="H1117" s="58">
        <f>IF($G1117="","",IF(ISNUMBER(FIND(" ",$G1117)),$G1117,IFERROR(IF((LEN(SUBSTITUTE(SUBSTITUTE($G1117,"-"," ",LEN($G1117)-LEN(SUBSTITUTE($G1117,"-",""))),"-"," ",LEN($G1117)-LEN(SUBSTITUTE($G1117,"-",""))-1))-LEN(SUBSTITUTE(SUBSTITUTE(SUBSTITUTE($G1117,"-"," ",LEN($G1117)-LEN(SUBSTITUTE($G1117,"-",""))),"-"," ",LEN($G1117)-LEN(SUBSTITUTE($G1117,"-",""))-1),".","")))=0,SUBSTITUTE(SUBSTITUTE($G1117,"-"," ",LEN($G1117)-LEN(SUBSTITUTE($G1117,"-",""))),"-"," ",LEN($G1117)-LEN(SUBSTITUTE($G1117,"-",""))-1),SUBSTITUTE(SUBSTITUTE(SUBSTITUTE($G1117,"-"," ",LEN($G1117)-LEN(SUBSTITUTE($G1117,"-",""))),"-"," ",LEN($G1117)-LEN(SUBSTITUTE($G1117,"-",""))-1),"."," ",(LEN(SUBSTITUTE(SUBSTITUTE($G1117,"-"," ",LEN($G1117)-LEN(SUBSTITUTE($G1117,"-",""))),"-"," ",LEN($G1117)-LEN(SUBSTITUTE($G1117,"-",""))-1))-LEN(SUBSTITUTE(SUBSTITUTE(SUBSTITUTE($G1117,"-"," ",LEN($G1117)-LEN(SUBSTITUTE($G1117,"-",""))),"-"," ",LEN($G1117)-LEN(SUBSTITUTE($G1117,"-",""))-1),".",""))))),$G1117)))</f>
        <v/>
      </c>
    </row>
    <row r="1118">
      <c r="A1118" s="58" t="n"/>
      <c r="B1118" s="58">
        <f>IF($H1118="","",LEFT($H1118,FIND(" ",$H1118&amp;" ")-1))</f>
        <v/>
      </c>
      <c r="C1118" s="58">
        <f>IF($H1118="","",IFERROR(MID($H1118&amp;" ",FIND("|",SUBSTITUTE($H1118&amp;" "," ","|",1))+1,FIND("|",SUBSTITUTE($H1118&amp;" "," ","|",2))-FIND("|",SUBSTITUTE($H1118&amp;" "," ","|",1))-1),""))</f>
        <v/>
      </c>
      <c r="D1118" s="58">
        <f>IF($H1118="","",IFERROR(MID($H1118&amp;" ",FIND("|",SUBSTITUTE($H1118&amp;" "," ","|",2))+1,FIND("|",SUBSTITUTE($H1118&amp;" "," ","|",3))-FIND("|",SUBSTITUTE($H1118&amp;" "," ","|",2))-1),""))</f>
        <v/>
      </c>
      <c r="E1118" s="58">
        <f>IF($H1118="","",IFERROR(MID($H1118&amp;" ",FIND("|",SUBSTITUTE($H1118&amp;" "," ","|",3))+1,FIND("|",SUBSTITUTE($H1118&amp;" "," ","|",4))-FIND("|",SUBSTITUTE($H1118&amp;" "," ","|",3))-1),""))</f>
        <v/>
      </c>
      <c r="F1118" s="59">
        <f>IF($H1118="","",IFERROR(VALUE(IFERROR(MID($H1118&amp;" ",FIND("|",SUBSTITUTE($H1118&amp;" "," ","|",4))+1,FIND("|",SUBSTITUTE($H1118&amp;" "," ","|",5))-FIND("|",SUBSTITUTE($H1118&amp;" "," ","|",4))-1),""))/86400+25569+9/24,""))</f>
        <v/>
      </c>
      <c r="G1118" s="58">
        <f>TRIM(SUBSTITUTE(SUBSTITUTE(SUBSTITUTE($A1118,CHAR(9)," ")," "," "),CHAR(13),""))</f>
        <v/>
      </c>
      <c r="H1118" s="58">
        <f>IF($G1118="","",IF(ISNUMBER(FIND(" ",$G1118)),$G1118,IFERROR(IF((LEN(SUBSTITUTE(SUBSTITUTE($G1118,"-"," ",LEN($G1118)-LEN(SUBSTITUTE($G1118,"-",""))),"-"," ",LEN($G1118)-LEN(SUBSTITUTE($G1118,"-",""))-1))-LEN(SUBSTITUTE(SUBSTITUTE(SUBSTITUTE($G1118,"-"," ",LEN($G1118)-LEN(SUBSTITUTE($G1118,"-",""))),"-"," ",LEN($G1118)-LEN(SUBSTITUTE($G1118,"-",""))-1),".","")))=0,SUBSTITUTE(SUBSTITUTE($G1118,"-"," ",LEN($G1118)-LEN(SUBSTITUTE($G1118,"-",""))),"-"," ",LEN($G1118)-LEN(SUBSTITUTE($G1118,"-",""))-1),SUBSTITUTE(SUBSTITUTE(SUBSTITUTE($G1118,"-"," ",LEN($G1118)-LEN(SUBSTITUTE($G1118,"-",""))),"-"," ",LEN($G1118)-LEN(SUBSTITUTE($G1118,"-",""))-1),"."," ",(LEN(SUBSTITUTE(SUBSTITUTE($G1118,"-"," ",LEN($G1118)-LEN(SUBSTITUTE($G1118,"-",""))),"-"," ",LEN($G1118)-LEN(SUBSTITUTE($G1118,"-",""))-1))-LEN(SUBSTITUTE(SUBSTITUTE(SUBSTITUTE($G1118,"-"," ",LEN($G1118)-LEN(SUBSTITUTE($G1118,"-",""))),"-"," ",LEN($G1118)-LEN(SUBSTITUTE($G1118,"-",""))-1),".",""))))),$G1118)))</f>
        <v/>
      </c>
    </row>
    <row r="1119">
      <c r="A1119" s="58" t="n"/>
      <c r="B1119" s="58">
        <f>IF($H1119="","",LEFT($H1119,FIND(" ",$H1119&amp;" ")-1))</f>
        <v/>
      </c>
      <c r="C1119" s="58">
        <f>IF($H1119="","",IFERROR(MID($H1119&amp;" ",FIND("|",SUBSTITUTE($H1119&amp;" "," ","|",1))+1,FIND("|",SUBSTITUTE($H1119&amp;" "," ","|",2))-FIND("|",SUBSTITUTE($H1119&amp;" "," ","|",1))-1),""))</f>
        <v/>
      </c>
      <c r="D1119" s="58">
        <f>IF($H1119="","",IFERROR(MID($H1119&amp;" ",FIND("|",SUBSTITUTE($H1119&amp;" "," ","|",2))+1,FIND("|",SUBSTITUTE($H1119&amp;" "," ","|",3))-FIND("|",SUBSTITUTE($H1119&amp;" "," ","|",2))-1),""))</f>
        <v/>
      </c>
      <c r="E1119" s="58">
        <f>IF($H1119="","",IFERROR(MID($H1119&amp;" ",FIND("|",SUBSTITUTE($H1119&amp;" "," ","|",3))+1,FIND("|",SUBSTITUTE($H1119&amp;" "," ","|",4))-FIND("|",SUBSTITUTE($H1119&amp;" "," ","|",3))-1),""))</f>
        <v/>
      </c>
      <c r="F1119" s="59">
        <f>IF($H1119="","",IFERROR(VALUE(IFERROR(MID($H1119&amp;" ",FIND("|",SUBSTITUTE($H1119&amp;" "," ","|",4))+1,FIND("|",SUBSTITUTE($H1119&amp;" "," ","|",5))-FIND("|",SUBSTITUTE($H1119&amp;" "," ","|",4))-1),""))/86400+25569+9/24,""))</f>
        <v/>
      </c>
      <c r="G1119" s="58">
        <f>TRIM(SUBSTITUTE(SUBSTITUTE(SUBSTITUTE($A1119,CHAR(9)," ")," "," "),CHAR(13),""))</f>
        <v/>
      </c>
      <c r="H1119" s="58">
        <f>IF($G1119="","",IF(ISNUMBER(FIND(" ",$G1119)),$G1119,IFERROR(IF((LEN(SUBSTITUTE(SUBSTITUTE($G1119,"-"," ",LEN($G1119)-LEN(SUBSTITUTE($G1119,"-",""))),"-"," ",LEN($G1119)-LEN(SUBSTITUTE($G1119,"-",""))-1))-LEN(SUBSTITUTE(SUBSTITUTE(SUBSTITUTE($G1119,"-"," ",LEN($G1119)-LEN(SUBSTITUTE($G1119,"-",""))),"-"," ",LEN($G1119)-LEN(SUBSTITUTE($G1119,"-",""))-1),".","")))=0,SUBSTITUTE(SUBSTITUTE($G1119,"-"," ",LEN($G1119)-LEN(SUBSTITUTE($G1119,"-",""))),"-"," ",LEN($G1119)-LEN(SUBSTITUTE($G1119,"-",""))-1),SUBSTITUTE(SUBSTITUTE(SUBSTITUTE($G1119,"-"," ",LEN($G1119)-LEN(SUBSTITUTE($G1119,"-",""))),"-"," ",LEN($G1119)-LEN(SUBSTITUTE($G1119,"-",""))-1),"."," ",(LEN(SUBSTITUTE(SUBSTITUTE($G1119,"-"," ",LEN($G1119)-LEN(SUBSTITUTE($G1119,"-",""))),"-"," ",LEN($G1119)-LEN(SUBSTITUTE($G1119,"-",""))-1))-LEN(SUBSTITUTE(SUBSTITUTE(SUBSTITUTE($G1119,"-"," ",LEN($G1119)-LEN(SUBSTITUTE($G1119,"-",""))),"-"," ",LEN($G1119)-LEN(SUBSTITUTE($G1119,"-",""))-1),".",""))))),$G1119)))</f>
        <v/>
      </c>
    </row>
    <row r="1120">
      <c r="A1120" s="58" t="n"/>
      <c r="B1120" s="58">
        <f>IF($H1120="","",LEFT($H1120,FIND(" ",$H1120&amp;" ")-1))</f>
        <v/>
      </c>
      <c r="C1120" s="58">
        <f>IF($H1120="","",IFERROR(MID($H1120&amp;" ",FIND("|",SUBSTITUTE($H1120&amp;" "," ","|",1))+1,FIND("|",SUBSTITUTE($H1120&amp;" "," ","|",2))-FIND("|",SUBSTITUTE($H1120&amp;" "," ","|",1))-1),""))</f>
        <v/>
      </c>
      <c r="D1120" s="58">
        <f>IF($H1120="","",IFERROR(MID($H1120&amp;" ",FIND("|",SUBSTITUTE($H1120&amp;" "," ","|",2))+1,FIND("|",SUBSTITUTE($H1120&amp;" "," ","|",3))-FIND("|",SUBSTITUTE($H1120&amp;" "," ","|",2))-1),""))</f>
        <v/>
      </c>
      <c r="E1120" s="58">
        <f>IF($H1120="","",IFERROR(MID($H1120&amp;" ",FIND("|",SUBSTITUTE($H1120&amp;" "," ","|",3))+1,FIND("|",SUBSTITUTE($H1120&amp;" "," ","|",4))-FIND("|",SUBSTITUTE($H1120&amp;" "," ","|",3))-1),""))</f>
        <v/>
      </c>
      <c r="F1120" s="59">
        <f>IF($H1120="","",IFERROR(VALUE(IFERROR(MID($H1120&amp;" ",FIND("|",SUBSTITUTE($H1120&amp;" "," ","|",4))+1,FIND("|",SUBSTITUTE($H1120&amp;" "," ","|",5))-FIND("|",SUBSTITUTE($H1120&amp;" "," ","|",4))-1),""))/86400+25569+9/24,""))</f>
        <v/>
      </c>
      <c r="G1120" s="58">
        <f>TRIM(SUBSTITUTE(SUBSTITUTE(SUBSTITUTE($A1120,CHAR(9)," ")," "," "),CHAR(13),""))</f>
        <v/>
      </c>
      <c r="H1120" s="58">
        <f>IF($G1120="","",IF(ISNUMBER(FIND(" ",$G1120)),$G1120,IFERROR(IF((LEN(SUBSTITUTE(SUBSTITUTE($G1120,"-"," ",LEN($G1120)-LEN(SUBSTITUTE($G1120,"-",""))),"-"," ",LEN($G1120)-LEN(SUBSTITUTE($G1120,"-",""))-1))-LEN(SUBSTITUTE(SUBSTITUTE(SUBSTITUTE($G1120,"-"," ",LEN($G1120)-LEN(SUBSTITUTE($G1120,"-",""))),"-"," ",LEN($G1120)-LEN(SUBSTITUTE($G1120,"-",""))-1),".","")))=0,SUBSTITUTE(SUBSTITUTE($G1120,"-"," ",LEN($G1120)-LEN(SUBSTITUTE($G1120,"-",""))),"-"," ",LEN($G1120)-LEN(SUBSTITUTE($G1120,"-",""))-1),SUBSTITUTE(SUBSTITUTE(SUBSTITUTE($G1120,"-"," ",LEN($G1120)-LEN(SUBSTITUTE($G1120,"-",""))),"-"," ",LEN($G1120)-LEN(SUBSTITUTE($G1120,"-",""))-1),"."," ",(LEN(SUBSTITUTE(SUBSTITUTE($G1120,"-"," ",LEN($G1120)-LEN(SUBSTITUTE($G1120,"-",""))),"-"," ",LEN($G1120)-LEN(SUBSTITUTE($G1120,"-",""))-1))-LEN(SUBSTITUTE(SUBSTITUTE(SUBSTITUTE($G1120,"-"," ",LEN($G1120)-LEN(SUBSTITUTE($G1120,"-",""))),"-"," ",LEN($G1120)-LEN(SUBSTITUTE($G1120,"-",""))-1),".",""))))),$G1120)))</f>
        <v/>
      </c>
    </row>
    <row r="1121">
      <c r="A1121" s="58" t="n"/>
      <c r="B1121" s="58">
        <f>IF($H1121="","",LEFT($H1121,FIND(" ",$H1121&amp;" ")-1))</f>
        <v/>
      </c>
      <c r="C1121" s="58">
        <f>IF($H1121="","",IFERROR(MID($H1121&amp;" ",FIND("|",SUBSTITUTE($H1121&amp;" "," ","|",1))+1,FIND("|",SUBSTITUTE($H1121&amp;" "," ","|",2))-FIND("|",SUBSTITUTE($H1121&amp;" "," ","|",1))-1),""))</f>
        <v/>
      </c>
      <c r="D1121" s="58">
        <f>IF($H1121="","",IFERROR(MID($H1121&amp;" ",FIND("|",SUBSTITUTE($H1121&amp;" "," ","|",2))+1,FIND("|",SUBSTITUTE($H1121&amp;" "," ","|",3))-FIND("|",SUBSTITUTE($H1121&amp;" "," ","|",2))-1),""))</f>
        <v/>
      </c>
      <c r="E1121" s="58">
        <f>IF($H1121="","",IFERROR(MID($H1121&amp;" ",FIND("|",SUBSTITUTE($H1121&amp;" "," ","|",3))+1,FIND("|",SUBSTITUTE($H1121&amp;" "," ","|",4))-FIND("|",SUBSTITUTE($H1121&amp;" "," ","|",3))-1),""))</f>
        <v/>
      </c>
      <c r="F1121" s="59">
        <f>IF($H1121="","",IFERROR(VALUE(IFERROR(MID($H1121&amp;" ",FIND("|",SUBSTITUTE($H1121&amp;" "," ","|",4))+1,FIND("|",SUBSTITUTE($H1121&amp;" "," ","|",5))-FIND("|",SUBSTITUTE($H1121&amp;" "," ","|",4))-1),""))/86400+25569+9/24,""))</f>
        <v/>
      </c>
      <c r="G1121" s="58">
        <f>TRIM(SUBSTITUTE(SUBSTITUTE(SUBSTITUTE($A1121,CHAR(9)," ")," "," "),CHAR(13),""))</f>
        <v/>
      </c>
      <c r="H1121" s="58">
        <f>IF($G1121="","",IF(ISNUMBER(FIND(" ",$G1121)),$G1121,IFERROR(IF((LEN(SUBSTITUTE(SUBSTITUTE($G1121,"-"," ",LEN($G1121)-LEN(SUBSTITUTE($G1121,"-",""))),"-"," ",LEN($G1121)-LEN(SUBSTITUTE($G1121,"-",""))-1))-LEN(SUBSTITUTE(SUBSTITUTE(SUBSTITUTE($G1121,"-"," ",LEN($G1121)-LEN(SUBSTITUTE($G1121,"-",""))),"-"," ",LEN($G1121)-LEN(SUBSTITUTE($G1121,"-",""))-1),".","")))=0,SUBSTITUTE(SUBSTITUTE($G1121,"-"," ",LEN($G1121)-LEN(SUBSTITUTE($G1121,"-",""))),"-"," ",LEN($G1121)-LEN(SUBSTITUTE($G1121,"-",""))-1),SUBSTITUTE(SUBSTITUTE(SUBSTITUTE($G1121,"-"," ",LEN($G1121)-LEN(SUBSTITUTE($G1121,"-",""))),"-"," ",LEN($G1121)-LEN(SUBSTITUTE($G1121,"-",""))-1),"."," ",(LEN(SUBSTITUTE(SUBSTITUTE($G1121,"-"," ",LEN($G1121)-LEN(SUBSTITUTE($G1121,"-",""))),"-"," ",LEN($G1121)-LEN(SUBSTITUTE($G1121,"-",""))-1))-LEN(SUBSTITUTE(SUBSTITUTE(SUBSTITUTE($G1121,"-"," ",LEN($G1121)-LEN(SUBSTITUTE($G1121,"-",""))),"-"," ",LEN($G1121)-LEN(SUBSTITUTE($G1121,"-",""))-1),".",""))))),$G1121)))</f>
        <v/>
      </c>
    </row>
    <row r="1122">
      <c r="A1122" s="58" t="n"/>
      <c r="B1122" s="58">
        <f>IF($H1122="","",LEFT($H1122,FIND(" ",$H1122&amp;" ")-1))</f>
        <v/>
      </c>
      <c r="C1122" s="58">
        <f>IF($H1122="","",IFERROR(MID($H1122&amp;" ",FIND("|",SUBSTITUTE($H1122&amp;" "," ","|",1))+1,FIND("|",SUBSTITUTE($H1122&amp;" "," ","|",2))-FIND("|",SUBSTITUTE($H1122&amp;" "," ","|",1))-1),""))</f>
        <v/>
      </c>
      <c r="D1122" s="58">
        <f>IF($H1122="","",IFERROR(MID($H1122&amp;" ",FIND("|",SUBSTITUTE($H1122&amp;" "," ","|",2))+1,FIND("|",SUBSTITUTE($H1122&amp;" "," ","|",3))-FIND("|",SUBSTITUTE($H1122&amp;" "," ","|",2))-1),""))</f>
        <v/>
      </c>
      <c r="E1122" s="58">
        <f>IF($H1122="","",IFERROR(MID($H1122&amp;" ",FIND("|",SUBSTITUTE($H1122&amp;" "," ","|",3))+1,FIND("|",SUBSTITUTE($H1122&amp;" "," ","|",4))-FIND("|",SUBSTITUTE($H1122&amp;" "," ","|",3))-1),""))</f>
        <v/>
      </c>
      <c r="F1122" s="59">
        <f>IF($H1122="","",IFERROR(VALUE(IFERROR(MID($H1122&amp;" ",FIND("|",SUBSTITUTE($H1122&amp;" "," ","|",4))+1,FIND("|",SUBSTITUTE($H1122&amp;" "," ","|",5))-FIND("|",SUBSTITUTE($H1122&amp;" "," ","|",4))-1),""))/86400+25569+9/24,""))</f>
        <v/>
      </c>
      <c r="G1122" s="58">
        <f>TRIM(SUBSTITUTE(SUBSTITUTE(SUBSTITUTE($A1122,CHAR(9)," ")," "," "),CHAR(13),""))</f>
        <v/>
      </c>
      <c r="H1122" s="58">
        <f>IF($G1122="","",IF(ISNUMBER(FIND(" ",$G1122)),$G1122,IFERROR(IF((LEN(SUBSTITUTE(SUBSTITUTE($G1122,"-"," ",LEN($G1122)-LEN(SUBSTITUTE($G1122,"-",""))),"-"," ",LEN($G1122)-LEN(SUBSTITUTE($G1122,"-",""))-1))-LEN(SUBSTITUTE(SUBSTITUTE(SUBSTITUTE($G1122,"-"," ",LEN($G1122)-LEN(SUBSTITUTE($G1122,"-",""))),"-"," ",LEN($G1122)-LEN(SUBSTITUTE($G1122,"-",""))-1),".","")))=0,SUBSTITUTE(SUBSTITUTE($G1122,"-"," ",LEN($G1122)-LEN(SUBSTITUTE($G1122,"-",""))),"-"," ",LEN($G1122)-LEN(SUBSTITUTE($G1122,"-",""))-1),SUBSTITUTE(SUBSTITUTE(SUBSTITUTE($G1122,"-"," ",LEN($G1122)-LEN(SUBSTITUTE($G1122,"-",""))),"-"," ",LEN($G1122)-LEN(SUBSTITUTE($G1122,"-",""))-1),"."," ",(LEN(SUBSTITUTE(SUBSTITUTE($G1122,"-"," ",LEN($G1122)-LEN(SUBSTITUTE($G1122,"-",""))),"-"," ",LEN($G1122)-LEN(SUBSTITUTE($G1122,"-",""))-1))-LEN(SUBSTITUTE(SUBSTITUTE(SUBSTITUTE($G1122,"-"," ",LEN($G1122)-LEN(SUBSTITUTE($G1122,"-",""))),"-"," ",LEN($G1122)-LEN(SUBSTITUTE($G1122,"-",""))-1),".",""))))),$G1122)))</f>
        <v/>
      </c>
    </row>
    <row r="1123">
      <c r="A1123" s="58" t="n"/>
      <c r="B1123" s="58">
        <f>IF($H1123="","",LEFT($H1123,FIND(" ",$H1123&amp;" ")-1))</f>
        <v/>
      </c>
      <c r="C1123" s="58">
        <f>IF($H1123="","",IFERROR(MID($H1123&amp;" ",FIND("|",SUBSTITUTE($H1123&amp;" "," ","|",1))+1,FIND("|",SUBSTITUTE($H1123&amp;" "," ","|",2))-FIND("|",SUBSTITUTE($H1123&amp;" "," ","|",1))-1),""))</f>
        <v/>
      </c>
      <c r="D1123" s="58">
        <f>IF($H1123="","",IFERROR(MID($H1123&amp;" ",FIND("|",SUBSTITUTE($H1123&amp;" "," ","|",2))+1,FIND("|",SUBSTITUTE($H1123&amp;" "," ","|",3))-FIND("|",SUBSTITUTE($H1123&amp;" "," ","|",2))-1),""))</f>
        <v/>
      </c>
      <c r="E1123" s="58">
        <f>IF($H1123="","",IFERROR(MID($H1123&amp;" ",FIND("|",SUBSTITUTE($H1123&amp;" "," ","|",3))+1,FIND("|",SUBSTITUTE($H1123&amp;" "," ","|",4))-FIND("|",SUBSTITUTE($H1123&amp;" "," ","|",3))-1),""))</f>
        <v/>
      </c>
      <c r="F1123" s="59">
        <f>IF($H1123="","",IFERROR(VALUE(IFERROR(MID($H1123&amp;" ",FIND("|",SUBSTITUTE($H1123&amp;" "," ","|",4))+1,FIND("|",SUBSTITUTE($H1123&amp;" "," ","|",5))-FIND("|",SUBSTITUTE($H1123&amp;" "," ","|",4))-1),""))/86400+25569+9/24,""))</f>
        <v/>
      </c>
      <c r="G1123" s="58">
        <f>TRIM(SUBSTITUTE(SUBSTITUTE(SUBSTITUTE($A1123,CHAR(9)," ")," "," "),CHAR(13),""))</f>
        <v/>
      </c>
      <c r="H1123" s="58">
        <f>IF($G1123="","",IF(ISNUMBER(FIND(" ",$G1123)),$G1123,IFERROR(IF((LEN(SUBSTITUTE(SUBSTITUTE($G1123,"-"," ",LEN($G1123)-LEN(SUBSTITUTE($G1123,"-",""))),"-"," ",LEN($G1123)-LEN(SUBSTITUTE($G1123,"-",""))-1))-LEN(SUBSTITUTE(SUBSTITUTE(SUBSTITUTE($G1123,"-"," ",LEN($G1123)-LEN(SUBSTITUTE($G1123,"-",""))),"-"," ",LEN($G1123)-LEN(SUBSTITUTE($G1123,"-",""))-1),".","")))=0,SUBSTITUTE(SUBSTITUTE($G1123,"-"," ",LEN($G1123)-LEN(SUBSTITUTE($G1123,"-",""))),"-"," ",LEN($G1123)-LEN(SUBSTITUTE($G1123,"-",""))-1),SUBSTITUTE(SUBSTITUTE(SUBSTITUTE($G1123,"-"," ",LEN($G1123)-LEN(SUBSTITUTE($G1123,"-",""))),"-"," ",LEN($G1123)-LEN(SUBSTITUTE($G1123,"-",""))-1),"."," ",(LEN(SUBSTITUTE(SUBSTITUTE($G1123,"-"," ",LEN($G1123)-LEN(SUBSTITUTE($G1123,"-",""))),"-"," ",LEN($G1123)-LEN(SUBSTITUTE($G1123,"-",""))-1))-LEN(SUBSTITUTE(SUBSTITUTE(SUBSTITUTE($G1123,"-"," ",LEN($G1123)-LEN(SUBSTITUTE($G1123,"-",""))),"-"," ",LEN($G1123)-LEN(SUBSTITUTE($G1123,"-",""))-1),".",""))))),$G1123)))</f>
        <v/>
      </c>
    </row>
    <row r="1124">
      <c r="A1124" s="58" t="n"/>
      <c r="B1124" s="58">
        <f>IF($H1124="","",LEFT($H1124,FIND(" ",$H1124&amp;" ")-1))</f>
        <v/>
      </c>
      <c r="C1124" s="58">
        <f>IF($H1124="","",IFERROR(MID($H1124&amp;" ",FIND("|",SUBSTITUTE($H1124&amp;" "," ","|",1))+1,FIND("|",SUBSTITUTE($H1124&amp;" "," ","|",2))-FIND("|",SUBSTITUTE($H1124&amp;" "," ","|",1))-1),""))</f>
        <v/>
      </c>
      <c r="D1124" s="58">
        <f>IF($H1124="","",IFERROR(MID($H1124&amp;" ",FIND("|",SUBSTITUTE($H1124&amp;" "," ","|",2))+1,FIND("|",SUBSTITUTE($H1124&amp;" "," ","|",3))-FIND("|",SUBSTITUTE($H1124&amp;" "," ","|",2))-1),""))</f>
        <v/>
      </c>
      <c r="E1124" s="58">
        <f>IF($H1124="","",IFERROR(MID($H1124&amp;" ",FIND("|",SUBSTITUTE($H1124&amp;" "," ","|",3))+1,FIND("|",SUBSTITUTE($H1124&amp;" "," ","|",4))-FIND("|",SUBSTITUTE($H1124&amp;" "," ","|",3))-1),""))</f>
        <v/>
      </c>
      <c r="F1124" s="59">
        <f>IF($H1124="","",IFERROR(VALUE(IFERROR(MID($H1124&amp;" ",FIND("|",SUBSTITUTE($H1124&amp;" "," ","|",4))+1,FIND("|",SUBSTITUTE($H1124&amp;" "," ","|",5))-FIND("|",SUBSTITUTE($H1124&amp;" "," ","|",4))-1),""))/86400+25569+9/24,""))</f>
        <v/>
      </c>
      <c r="G1124" s="58">
        <f>TRIM(SUBSTITUTE(SUBSTITUTE(SUBSTITUTE($A1124,CHAR(9)," ")," "," "),CHAR(13),""))</f>
        <v/>
      </c>
      <c r="H1124" s="58">
        <f>IF($G1124="","",IF(ISNUMBER(FIND(" ",$G1124)),$G1124,IFERROR(IF((LEN(SUBSTITUTE(SUBSTITUTE($G1124,"-"," ",LEN($G1124)-LEN(SUBSTITUTE($G1124,"-",""))),"-"," ",LEN($G1124)-LEN(SUBSTITUTE($G1124,"-",""))-1))-LEN(SUBSTITUTE(SUBSTITUTE(SUBSTITUTE($G1124,"-"," ",LEN($G1124)-LEN(SUBSTITUTE($G1124,"-",""))),"-"," ",LEN($G1124)-LEN(SUBSTITUTE($G1124,"-",""))-1),".","")))=0,SUBSTITUTE(SUBSTITUTE($G1124,"-"," ",LEN($G1124)-LEN(SUBSTITUTE($G1124,"-",""))),"-"," ",LEN($G1124)-LEN(SUBSTITUTE($G1124,"-",""))-1),SUBSTITUTE(SUBSTITUTE(SUBSTITUTE($G1124,"-"," ",LEN($G1124)-LEN(SUBSTITUTE($G1124,"-",""))),"-"," ",LEN($G1124)-LEN(SUBSTITUTE($G1124,"-",""))-1),"."," ",(LEN(SUBSTITUTE(SUBSTITUTE($G1124,"-"," ",LEN($G1124)-LEN(SUBSTITUTE($G1124,"-",""))),"-"," ",LEN($G1124)-LEN(SUBSTITUTE($G1124,"-",""))-1))-LEN(SUBSTITUTE(SUBSTITUTE(SUBSTITUTE($G1124,"-"," ",LEN($G1124)-LEN(SUBSTITUTE($G1124,"-",""))),"-"," ",LEN($G1124)-LEN(SUBSTITUTE($G1124,"-",""))-1),".",""))))),$G1124)))</f>
        <v/>
      </c>
    </row>
    <row r="1125">
      <c r="A1125" s="58" t="n"/>
      <c r="B1125" s="58">
        <f>IF($H1125="","",LEFT($H1125,FIND(" ",$H1125&amp;" ")-1))</f>
        <v/>
      </c>
      <c r="C1125" s="58">
        <f>IF($H1125="","",IFERROR(MID($H1125&amp;" ",FIND("|",SUBSTITUTE($H1125&amp;" "," ","|",1))+1,FIND("|",SUBSTITUTE($H1125&amp;" "," ","|",2))-FIND("|",SUBSTITUTE($H1125&amp;" "," ","|",1))-1),""))</f>
        <v/>
      </c>
      <c r="D1125" s="58">
        <f>IF($H1125="","",IFERROR(MID($H1125&amp;" ",FIND("|",SUBSTITUTE($H1125&amp;" "," ","|",2))+1,FIND("|",SUBSTITUTE($H1125&amp;" "," ","|",3))-FIND("|",SUBSTITUTE($H1125&amp;" "," ","|",2))-1),""))</f>
        <v/>
      </c>
      <c r="E1125" s="58">
        <f>IF($H1125="","",IFERROR(MID($H1125&amp;" ",FIND("|",SUBSTITUTE($H1125&amp;" "," ","|",3))+1,FIND("|",SUBSTITUTE($H1125&amp;" "," ","|",4))-FIND("|",SUBSTITUTE($H1125&amp;" "," ","|",3))-1),""))</f>
        <v/>
      </c>
      <c r="F1125" s="59">
        <f>IF($H1125="","",IFERROR(VALUE(IFERROR(MID($H1125&amp;" ",FIND("|",SUBSTITUTE($H1125&amp;" "," ","|",4))+1,FIND("|",SUBSTITUTE($H1125&amp;" "," ","|",5))-FIND("|",SUBSTITUTE($H1125&amp;" "," ","|",4))-1),""))/86400+25569+9/24,""))</f>
        <v/>
      </c>
      <c r="G1125" s="58">
        <f>TRIM(SUBSTITUTE(SUBSTITUTE(SUBSTITUTE($A1125,CHAR(9)," ")," "," "),CHAR(13),""))</f>
        <v/>
      </c>
      <c r="H1125" s="58">
        <f>IF($G1125="","",IF(ISNUMBER(FIND(" ",$G1125)),$G1125,IFERROR(IF((LEN(SUBSTITUTE(SUBSTITUTE($G1125,"-"," ",LEN($G1125)-LEN(SUBSTITUTE($G1125,"-",""))),"-"," ",LEN($G1125)-LEN(SUBSTITUTE($G1125,"-",""))-1))-LEN(SUBSTITUTE(SUBSTITUTE(SUBSTITUTE($G1125,"-"," ",LEN($G1125)-LEN(SUBSTITUTE($G1125,"-",""))),"-"," ",LEN($G1125)-LEN(SUBSTITUTE($G1125,"-",""))-1),".","")))=0,SUBSTITUTE(SUBSTITUTE($G1125,"-"," ",LEN($G1125)-LEN(SUBSTITUTE($G1125,"-",""))),"-"," ",LEN($G1125)-LEN(SUBSTITUTE($G1125,"-",""))-1),SUBSTITUTE(SUBSTITUTE(SUBSTITUTE($G1125,"-"," ",LEN($G1125)-LEN(SUBSTITUTE($G1125,"-",""))),"-"," ",LEN($G1125)-LEN(SUBSTITUTE($G1125,"-",""))-1),"."," ",(LEN(SUBSTITUTE(SUBSTITUTE($G1125,"-"," ",LEN($G1125)-LEN(SUBSTITUTE($G1125,"-",""))),"-"," ",LEN($G1125)-LEN(SUBSTITUTE($G1125,"-",""))-1))-LEN(SUBSTITUTE(SUBSTITUTE(SUBSTITUTE($G1125,"-"," ",LEN($G1125)-LEN(SUBSTITUTE($G1125,"-",""))),"-"," ",LEN($G1125)-LEN(SUBSTITUTE($G1125,"-",""))-1),".",""))))),$G1125)))</f>
        <v/>
      </c>
    </row>
    <row r="1126">
      <c r="A1126" s="58" t="n"/>
      <c r="B1126" s="58">
        <f>IF($H1126="","",LEFT($H1126,FIND(" ",$H1126&amp;" ")-1))</f>
        <v/>
      </c>
      <c r="C1126" s="58">
        <f>IF($H1126="","",IFERROR(MID($H1126&amp;" ",FIND("|",SUBSTITUTE($H1126&amp;" "," ","|",1))+1,FIND("|",SUBSTITUTE($H1126&amp;" "," ","|",2))-FIND("|",SUBSTITUTE($H1126&amp;" "," ","|",1))-1),""))</f>
        <v/>
      </c>
      <c r="D1126" s="58">
        <f>IF($H1126="","",IFERROR(MID($H1126&amp;" ",FIND("|",SUBSTITUTE($H1126&amp;" "," ","|",2))+1,FIND("|",SUBSTITUTE($H1126&amp;" "," ","|",3))-FIND("|",SUBSTITUTE($H1126&amp;" "," ","|",2))-1),""))</f>
        <v/>
      </c>
      <c r="E1126" s="58">
        <f>IF($H1126="","",IFERROR(MID($H1126&amp;" ",FIND("|",SUBSTITUTE($H1126&amp;" "," ","|",3))+1,FIND("|",SUBSTITUTE($H1126&amp;" "," ","|",4))-FIND("|",SUBSTITUTE($H1126&amp;" "," ","|",3))-1),""))</f>
        <v/>
      </c>
      <c r="F1126" s="59">
        <f>IF($H1126="","",IFERROR(VALUE(IFERROR(MID($H1126&amp;" ",FIND("|",SUBSTITUTE($H1126&amp;" "," ","|",4))+1,FIND("|",SUBSTITUTE($H1126&amp;" "," ","|",5))-FIND("|",SUBSTITUTE($H1126&amp;" "," ","|",4))-1),""))/86400+25569+9/24,""))</f>
        <v/>
      </c>
      <c r="G1126" s="58">
        <f>TRIM(SUBSTITUTE(SUBSTITUTE(SUBSTITUTE($A1126,CHAR(9)," ")," "," "),CHAR(13),""))</f>
        <v/>
      </c>
      <c r="H1126" s="58">
        <f>IF($G1126="","",IF(ISNUMBER(FIND(" ",$G1126)),$G1126,IFERROR(IF((LEN(SUBSTITUTE(SUBSTITUTE($G1126,"-"," ",LEN($G1126)-LEN(SUBSTITUTE($G1126,"-",""))),"-"," ",LEN($G1126)-LEN(SUBSTITUTE($G1126,"-",""))-1))-LEN(SUBSTITUTE(SUBSTITUTE(SUBSTITUTE($G1126,"-"," ",LEN($G1126)-LEN(SUBSTITUTE($G1126,"-",""))),"-"," ",LEN($G1126)-LEN(SUBSTITUTE($G1126,"-",""))-1),".","")))=0,SUBSTITUTE(SUBSTITUTE($G1126,"-"," ",LEN($G1126)-LEN(SUBSTITUTE($G1126,"-",""))),"-"," ",LEN($G1126)-LEN(SUBSTITUTE($G1126,"-",""))-1),SUBSTITUTE(SUBSTITUTE(SUBSTITUTE($G1126,"-"," ",LEN($G1126)-LEN(SUBSTITUTE($G1126,"-",""))),"-"," ",LEN($G1126)-LEN(SUBSTITUTE($G1126,"-",""))-1),"."," ",(LEN(SUBSTITUTE(SUBSTITUTE($G1126,"-"," ",LEN($G1126)-LEN(SUBSTITUTE($G1126,"-",""))),"-"," ",LEN($G1126)-LEN(SUBSTITUTE($G1126,"-",""))-1))-LEN(SUBSTITUTE(SUBSTITUTE(SUBSTITUTE($G1126,"-"," ",LEN($G1126)-LEN(SUBSTITUTE($G1126,"-",""))),"-"," ",LEN($G1126)-LEN(SUBSTITUTE($G1126,"-",""))-1),".",""))))),$G1126)))</f>
        <v/>
      </c>
    </row>
    <row r="1127">
      <c r="A1127" s="58" t="n"/>
      <c r="B1127" s="58">
        <f>IF($H1127="","",LEFT($H1127,FIND(" ",$H1127&amp;" ")-1))</f>
        <v/>
      </c>
      <c r="C1127" s="58">
        <f>IF($H1127="","",IFERROR(MID($H1127&amp;" ",FIND("|",SUBSTITUTE($H1127&amp;" "," ","|",1))+1,FIND("|",SUBSTITUTE($H1127&amp;" "," ","|",2))-FIND("|",SUBSTITUTE($H1127&amp;" "," ","|",1))-1),""))</f>
        <v/>
      </c>
      <c r="D1127" s="58">
        <f>IF($H1127="","",IFERROR(MID($H1127&amp;" ",FIND("|",SUBSTITUTE($H1127&amp;" "," ","|",2))+1,FIND("|",SUBSTITUTE($H1127&amp;" "," ","|",3))-FIND("|",SUBSTITUTE($H1127&amp;" "," ","|",2))-1),""))</f>
        <v/>
      </c>
      <c r="E1127" s="58">
        <f>IF($H1127="","",IFERROR(MID($H1127&amp;" ",FIND("|",SUBSTITUTE($H1127&amp;" "," ","|",3))+1,FIND("|",SUBSTITUTE($H1127&amp;" "," ","|",4))-FIND("|",SUBSTITUTE($H1127&amp;" "," ","|",3))-1),""))</f>
        <v/>
      </c>
      <c r="F1127" s="59">
        <f>IF($H1127="","",IFERROR(VALUE(IFERROR(MID($H1127&amp;" ",FIND("|",SUBSTITUTE($H1127&amp;" "," ","|",4))+1,FIND("|",SUBSTITUTE($H1127&amp;" "," ","|",5))-FIND("|",SUBSTITUTE($H1127&amp;" "," ","|",4))-1),""))/86400+25569+9/24,""))</f>
        <v/>
      </c>
      <c r="G1127" s="58">
        <f>TRIM(SUBSTITUTE(SUBSTITUTE(SUBSTITUTE($A1127,CHAR(9)," ")," "," "),CHAR(13),""))</f>
        <v/>
      </c>
      <c r="H1127" s="58">
        <f>IF($G1127="","",IF(ISNUMBER(FIND(" ",$G1127)),$G1127,IFERROR(IF((LEN(SUBSTITUTE(SUBSTITUTE($G1127,"-"," ",LEN($G1127)-LEN(SUBSTITUTE($G1127,"-",""))),"-"," ",LEN($G1127)-LEN(SUBSTITUTE($G1127,"-",""))-1))-LEN(SUBSTITUTE(SUBSTITUTE(SUBSTITUTE($G1127,"-"," ",LEN($G1127)-LEN(SUBSTITUTE($G1127,"-",""))),"-"," ",LEN($G1127)-LEN(SUBSTITUTE($G1127,"-",""))-1),".","")))=0,SUBSTITUTE(SUBSTITUTE($G1127,"-"," ",LEN($G1127)-LEN(SUBSTITUTE($G1127,"-",""))),"-"," ",LEN($G1127)-LEN(SUBSTITUTE($G1127,"-",""))-1),SUBSTITUTE(SUBSTITUTE(SUBSTITUTE($G1127,"-"," ",LEN($G1127)-LEN(SUBSTITUTE($G1127,"-",""))),"-"," ",LEN($G1127)-LEN(SUBSTITUTE($G1127,"-",""))-1),"."," ",(LEN(SUBSTITUTE(SUBSTITUTE($G1127,"-"," ",LEN($G1127)-LEN(SUBSTITUTE($G1127,"-",""))),"-"," ",LEN($G1127)-LEN(SUBSTITUTE($G1127,"-",""))-1))-LEN(SUBSTITUTE(SUBSTITUTE(SUBSTITUTE($G1127,"-"," ",LEN($G1127)-LEN(SUBSTITUTE($G1127,"-",""))),"-"," ",LEN($G1127)-LEN(SUBSTITUTE($G1127,"-",""))-1),".",""))))),$G1127)))</f>
        <v/>
      </c>
    </row>
    <row r="1128">
      <c r="A1128" s="58" t="n"/>
      <c r="B1128" s="58">
        <f>IF($H1128="","",LEFT($H1128,FIND(" ",$H1128&amp;" ")-1))</f>
        <v/>
      </c>
      <c r="C1128" s="58">
        <f>IF($H1128="","",IFERROR(MID($H1128&amp;" ",FIND("|",SUBSTITUTE($H1128&amp;" "," ","|",1))+1,FIND("|",SUBSTITUTE($H1128&amp;" "," ","|",2))-FIND("|",SUBSTITUTE($H1128&amp;" "," ","|",1))-1),""))</f>
        <v/>
      </c>
      <c r="D1128" s="58">
        <f>IF($H1128="","",IFERROR(MID($H1128&amp;" ",FIND("|",SUBSTITUTE($H1128&amp;" "," ","|",2))+1,FIND("|",SUBSTITUTE($H1128&amp;" "," ","|",3))-FIND("|",SUBSTITUTE($H1128&amp;" "," ","|",2))-1),""))</f>
        <v/>
      </c>
      <c r="E1128" s="58">
        <f>IF($H1128="","",IFERROR(MID($H1128&amp;" ",FIND("|",SUBSTITUTE($H1128&amp;" "," ","|",3))+1,FIND("|",SUBSTITUTE($H1128&amp;" "," ","|",4))-FIND("|",SUBSTITUTE($H1128&amp;" "," ","|",3))-1),""))</f>
        <v/>
      </c>
      <c r="F1128" s="59">
        <f>IF($H1128="","",IFERROR(VALUE(IFERROR(MID($H1128&amp;" ",FIND("|",SUBSTITUTE($H1128&amp;" "," ","|",4))+1,FIND("|",SUBSTITUTE($H1128&amp;" "," ","|",5))-FIND("|",SUBSTITUTE($H1128&amp;" "," ","|",4))-1),""))/86400+25569+9/24,""))</f>
        <v/>
      </c>
      <c r="G1128" s="58">
        <f>TRIM(SUBSTITUTE(SUBSTITUTE(SUBSTITUTE($A1128,CHAR(9)," ")," "," "),CHAR(13),""))</f>
        <v/>
      </c>
      <c r="H1128" s="58">
        <f>IF($G1128="","",IF(ISNUMBER(FIND(" ",$G1128)),$G1128,IFERROR(IF((LEN(SUBSTITUTE(SUBSTITUTE($G1128,"-"," ",LEN($G1128)-LEN(SUBSTITUTE($G1128,"-",""))),"-"," ",LEN($G1128)-LEN(SUBSTITUTE($G1128,"-",""))-1))-LEN(SUBSTITUTE(SUBSTITUTE(SUBSTITUTE($G1128,"-"," ",LEN($G1128)-LEN(SUBSTITUTE($G1128,"-",""))),"-"," ",LEN($G1128)-LEN(SUBSTITUTE($G1128,"-",""))-1),".","")))=0,SUBSTITUTE(SUBSTITUTE($G1128,"-"," ",LEN($G1128)-LEN(SUBSTITUTE($G1128,"-",""))),"-"," ",LEN($G1128)-LEN(SUBSTITUTE($G1128,"-",""))-1),SUBSTITUTE(SUBSTITUTE(SUBSTITUTE($G1128,"-"," ",LEN($G1128)-LEN(SUBSTITUTE($G1128,"-",""))),"-"," ",LEN($G1128)-LEN(SUBSTITUTE($G1128,"-",""))-1),"."," ",(LEN(SUBSTITUTE(SUBSTITUTE($G1128,"-"," ",LEN($G1128)-LEN(SUBSTITUTE($G1128,"-",""))),"-"," ",LEN($G1128)-LEN(SUBSTITUTE($G1128,"-",""))-1))-LEN(SUBSTITUTE(SUBSTITUTE(SUBSTITUTE($G1128,"-"," ",LEN($G1128)-LEN(SUBSTITUTE($G1128,"-",""))),"-"," ",LEN($G1128)-LEN(SUBSTITUTE($G1128,"-",""))-1),".",""))))),$G1128)))</f>
        <v/>
      </c>
    </row>
    <row r="1129">
      <c r="A1129" s="58" t="n"/>
      <c r="B1129" s="58">
        <f>IF($H1129="","",LEFT($H1129,FIND(" ",$H1129&amp;" ")-1))</f>
        <v/>
      </c>
      <c r="C1129" s="58">
        <f>IF($H1129="","",IFERROR(MID($H1129&amp;" ",FIND("|",SUBSTITUTE($H1129&amp;" "," ","|",1))+1,FIND("|",SUBSTITUTE($H1129&amp;" "," ","|",2))-FIND("|",SUBSTITUTE($H1129&amp;" "," ","|",1))-1),""))</f>
        <v/>
      </c>
      <c r="D1129" s="58">
        <f>IF($H1129="","",IFERROR(MID($H1129&amp;" ",FIND("|",SUBSTITUTE($H1129&amp;" "," ","|",2))+1,FIND("|",SUBSTITUTE($H1129&amp;" "," ","|",3))-FIND("|",SUBSTITUTE($H1129&amp;" "," ","|",2))-1),""))</f>
        <v/>
      </c>
      <c r="E1129" s="58">
        <f>IF($H1129="","",IFERROR(MID($H1129&amp;" ",FIND("|",SUBSTITUTE($H1129&amp;" "," ","|",3))+1,FIND("|",SUBSTITUTE($H1129&amp;" "," ","|",4))-FIND("|",SUBSTITUTE($H1129&amp;" "," ","|",3))-1),""))</f>
        <v/>
      </c>
      <c r="F1129" s="59">
        <f>IF($H1129="","",IFERROR(VALUE(IFERROR(MID($H1129&amp;" ",FIND("|",SUBSTITUTE($H1129&amp;" "," ","|",4))+1,FIND("|",SUBSTITUTE($H1129&amp;" "," ","|",5))-FIND("|",SUBSTITUTE($H1129&amp;" "," ","|",4))-1),""))/86400+25569+9/24,""))</f>
        <v/>
      </c>
      <c r="G1129" s="58">
        <f>TRIM(SUBSTITUTE(SUBSTITUTE(SUBSTITUTE($A1129,CHAR(9)," ")," "," "),CHAR(13),""))</f>
        <v/>
      </c>
      <c r="H1129" s="58">
        <f>IF($G1129="","",IF(ISNUMBER(FIND(" ",$G1129)),$G1129,IFERROR(IF((LEN(SUBSTITUTE(SUBSTITUTE($G1129,"-"," ",LEN($G1129)-LEN(SUBSTITUTE($G1129,"-",""))),"-"," ",LEN($G1129)-LEN(SUBSTITUTE($G1129,"-",""))-1))-LEN(SUBSTITUTE(SUBSTITUTE(SUBSTITUTE($G1129,"-"," ",LEN($G1129)-LEN(SUBSTITUTE($G1129,"-",""))),"-"," ",LEN($G1129)-LEN(SUBSTITUTE($G1129,"-",""))-1),".","")))=0,SUBSTITUTE(SUBSTITUTE($G1129,"-"," ",LEN($G1129)-LEN(SUBSTITUTE($G1129,"-",""))),"-"," ",LEN($G1129)-LEN(SUBSTITUTE($G1129,"-",""))-1),SUBSTITUTE(SUBSTITUTE(SUBSTITUTE($G1129,"-"," ",LEN($G1129)-LEN(SUBSTITUTE($G1129,"-",""))),"-"," ",LEN($G1129)-LEN(SUBSTITUTE($G1129,"-",""))-1),"."," ",(LEN(SUBSTITUTE(SUBSTITUTE($G1129,"-"," ",LEN($G1129)-LEN(SUBSTITUTE($G1129,"-",""))),"-"," ",LEN($G1129)-LEN(SUBSTITUTE($G1129,"-",""))-1))-LEN(SUBSTITUTE(SUBSTITUTE(SUBSTITUTE($G1129,"-"," ",LEN($G1129)-LEN(SUBSTITUTE($G1129,"-",""))),"-"," ",LEN($G1129)-LEN(SUBSTITUTE($G1129,"-",""))-1),".",""))))),$G1129)))</f>
        <v/>
      </c>
    </row>
    <row r="1130">
      <c r="A1130" s="58" t="n"/>
      <c r="B1130" s="58">
        <f>IF($H1130="","",LEFT($H1130,FIND(" ",$H1130&amp;" ")-1))</f>
        <v/>
      </c>
      <c r="C1130" s="58">
        <f>IF($H1130="","",IFERROR(MID($H1130&amp;" ",FIND("|",SUBSTITUTE($H1130&amp;" "," ","|",1))+1,FIND("|",SUBSTITUTE($H1130&amp;" "," ","|",2))-FIND("|",SUBSTITUTE($H1130&amp;" "," ","|",1))-1),""))</f>
        <v/>
      </c>
      <c r="D1130" s="58">
        <f>IF($H1130="","",IFERROR(MID($H1130&amp;" ",FIND("|",SUBSTITUTE($H1130&amp;" "," ","|",2))+1,FIND("|",SUBSTITUTE($H1130&amp;" "," ","|",3))-FIND("|",SUBSTITUTE($H1130&amp;" "," ","|",2))-1),""))</f>
        <v/>
      </c>
      <c r="E1130" s="58">
        <f>IF($H1130="","",IFERROR(MID($H1130&amp;" ",FIND("|",SUBSTITUTE($H1130&amp;" "," ","|",3))+1,FIND("|",SUBSTITUTE($H1130&amp;" "," ","|",4))-FIND("|",SUBSTITUTE($H1130&amp;" "," ","|",3))-1),""))</f>
        <v/>
      </c>
      <c r="F1130" s="59">
        <f>IF($H1130="","",IFERROR(VALUE(IFERROR(MID($H1130&amp;" ",FIND("|",SUBSTITUTE($H1130&amp;" "," ","|",4))+1,FIND("|",SUBSTITUTE($H1130&amp;" "," ","|",5))-FIND("|",SUBSTITUTE($H1130&amp;" "," ","|",4))-1),""))/86400+25569+9/24,""))</f>
        <v/>
      </c>
      <c r="G1130" s="58">
        <f>TRIM(SUBSTITUTE(SUBSTITUTE(SUBSTITUTE($A1130,CHAR(9)," ")," "," "),CHAR(13),""))</f>
        <v/>
      </c>
      <c r="H1130" s="58">
        <f>IF($G1130="","",IF(ISNUMBER(FIND(" ",$G1130)),$G1130,IFERROR(IF((LEN(SUBSTITUTE(SUBSTITUTE($G1130,"-"," ",LEN($G1130)-LEN(SUBSTITUTE($G1130,"-",""))),"-"," ",LEN($G1130)-LEN(SUBSTITUTE($G1130,"-",""))-1))-LEN(SUBSTITUTE(SUBSTITUTE(SUBSTITUTE($G1130,"-"," ",LEN($G1130)-LEN(SUBSTITUTE($G1130,"-",""))),"-"," ",LEN($G1130)-LEN(SUBSTITUTE($G1130,"-",""))-1),".","")))=0,SUBSTITUTE(SUBSTITUTE($G1130,"-"," ",LEN($G1130)-LEN(SUBSTITUTE($G1130,"-",""))),"-"," ",LEN($G1130)-LEN(SUBSTITUTE($G1130,"-",""))-1),SUBSTITUTE(SUBSTITUTE(SUBSTITUTE($G1130,"-"," ",LEN($G1130)-LEN(SUBSTITUTE($G1130,"-",""))),"-"," ",LEN($G1130)-LEN(SUBSTITUTE($G1130,"-",""))-1),"."," ",(LEN(SUBSTITUTE(SUBSTITUTE($G1130,"-"," ",LEN($G1130)-LEN(SUBSTITUTE($G1130,"-",""))),"-"," ",LEN($G1130)-LEN(SUBSTITUTE($G1130,"-",""))-1))-LEN(SUBSTITUTE(SUBSTITUTE(SUBSTITUTE($G1130,"-"," ",LEN($G1130)-LEN(SUBSTITUTE($G1130,"-",""))),"-"," ",LEN($G1130)-LEN(SUBSTITUTE($G1130,"-",""))-1),".",""))))),$G1130)))</f>
        <v/>
      </c>
    </row>
    <row r="1131">
      <c r="A1131" s="58" t="n"/>
      <c r="B1131" s="58">
        <f>IF($H1131="","",LEFT($H1131,FIND(" ",$H1131&amp;" ")-1))</f>
        <v/>
      </c>
      <c r="C1131" s="58">
        <f>IF($H1131="","",IFERROR(MID($H1131&amp;" ",FIND("|",SUBSTITUTE($H1131&amp;" "," ","|",1))+1,FIND("|",SUBSTITUTE($H1131&amp;" "," ","|",2))-FIND("|",SUBSTITUTE($H1131&amp;" "," ","|",1))-1),""))</f>
        <v/>
      </c>
      <c r="D1131" s="58">
        <f>IF($H1131="","",IFERROR(MID($H1131&amp;" ",FIND("|",SUBSTITUTE($H1131&amp;" "," ","|",2))+1,FIND("|",SUBSTITUTE($H1131&amp;" "," ","|",3))-FIND("|",SUBSTITUTE($H1131&amp;" "," ","|",2))-1),""))</f>
        <v/>
      </c>
      <c r="E1131" s="58">
        <f>IF($H1131="","",IFERROR(MID($H1131&amp;" ",FIND("|",SUBSTITUTE($H1131&amp;" "," ","|",3))+1,FIND("|",SUBSTITUTE($H1131&amp;" "," ","|",4))-FIND("|",SUBSTITUTE($H1131&amp;" "," ","|",3))-1),""))</f>
        <v/>
      </c>
      <c r="F1131" s="59">
        <f>IF($H1131="","",IFERROR(VALUE(IFERROR(MID($H1131&amp;" ",FIND("|",SUBSTITUTE($H1131&amp;" "," ","|",4))+1,FIND("|",SUBSTITUTE($H1131&amp;" "," ","|",5))-FIND("|",SUBSTITUTE($H1131&amp;" "," ","|",4))-1),""))/86400+25569+9/24,""))</f>
        <v/>
      </c>
      <c r="G1131" s="58">
        <f>TRIM(SUBSTITUTE(SUBSTITUTE(SUBSTITUTE($A1131,CHAR(9)," ")," "," "),CHAR(13),""))</f>
        <v/>
      </c>
      <c r="H1131" s="58">
        <f>IF($G1131="","",IF(ISNUMBER(FIND(" ",$G1131)),$G1131,IFERROR(IF((LEN(SUBSTITUTE(SUBSTITUTE($G1131,"-"," ",LEN($G1131)-LEN(SUBSTITUTE($G1131,"-",""))),"-"," ",LEN($G1131)-LEN(SUBSTITUTE($G1131,"-",""))-1))-LEN(SUBSTITUTE(SUBSTITUTE(SUBSTITUTE($G1131,"-"," ",LEN($G1131)-LEN(SUBSTITUTE($G1131,"-",""))),"-"," ",LEN($G1131)-LEN(SUBSTITUTE($G1131,"-",""))-1),".","")))=0,SUBSTITUTE(SUBSTITUTE($G1131,"-"," ",LEN($G1131)-LEN(SUBSTITUTE($G1131,"-",""))),"-"," ",LEN($G1131)-LEN(SUBSTITUTE($G1131,"-",""))-1),SUBSTITUTE(SUBSTITUTE(SUBSTITUTE($G1131,"-"," ",LEN($G1131)-LEN(SUBSTITUTE($G1131,"-",""))),"-"," ",LEN($G1131)-LEN(SUBSTITUTE($G1131,"-",""))-1),"."," ",(LEN(SUBSTITUTE(SUBSTITUTE($G1131,"-"," ",LEN($G1131)-LEN(SUBSTITUTE($G1131,"-",""))),"-"," ",LEN($G1131)-LEN(SUBSTITUTE($G1131,"-",""))-1))-LEN(SUBSTITUTE(SUBSTITUTE(SUBSTITUTE($G1131,"-"," ",LEN($G1131)-LEN(SUBSTITUTE($G1131,"-",""))),"-"," ",LEN($G1131)-LEN(SUBSTITUTE($G1131,"-",""))-1),".",""))))),$G1131)))</f>
        <v/>
      </c>
    </row>
    <row r="1132">
      <c r="A1132" s="58" t="n"/>
      <c r="B1132" s="58">
        <f>IF($H1132="","",LEFT($H1132,FIND(" ",$H1132&amp;" ")-1))</f>
        <v/>
      </c>
      <c r="C1132" s="58">
        <f>IF($H1132="","",IFERROR(MID($H1132&amp;" ",FIND("|",SUBSTITUTE($H1132&amp;" "," ","|",1))+1,FIND("|",SUBSTITUTE($H1132&amp;" "," ","|",2))-FIND("|",SUBSTITUTE($H1132&amp;" "," ","|",1))-1),""))</f>
        <v/>
      </c>
      <c r="D1132" s="58">
        <f>IF($H1132="","",IFERROR(MID($H1132&amp;" ",FIND("|",SUBSTITUTE($H1132&amp;" "," ","|",2))+1,FIND("|",SUBSTITUTE($H1132&amp;" "," ","|",3))-FIND("|",SUBSTITUTE($H1132&amp;" "," ","|",2))-1),""))</f>
        <v/>
      </c>
      <c r="E1132" s="58">
        <f>IF($H1132="","",IFERROR(MID($H1132&amp;" ",FIND("|",SUBSTITUTE($H1132&amp;" "," ","|",3))+1,FIND("|",SUBSTITUTE($H1132&amp;" "," ","|",4))-FIND("|",SUBSTITUTE($H1132&amp;" "," ","|",3))-1),""))</f>
        <v/>
      </c>
      <c r="F1132" s="59">
        <f>IF($H1132="","",IFERROR(VALUE(IFERROR(MID($H1132&amp;" ",FIND("|",SUBSTITUTE($H1132&amp;" "," ","|",4))+1,FIND("|",SUBSTITUTE($H1132&amp;" "," ","|",5))-FIND("|",SUBSTITUTE($H1132&amp;" "," ","|",4))-1),""))/86400+25569+9/24,""))</f>
        <v/>
      </c>
      <c r="G1132" s="58">
        <f>TRIM(SUBSTITUTE(SUBSTITUTE(SUBSTITUTE($A1132,CHAR(9)," ")," "," "),CHAR(13),""))</f>
        <v/>
      </c>
      <c r="H1132" s="58">
        <f>IF($G1132="","",IF(ISNUMBER(FIND(" ",$G1132)),$G1132,IFERROR(IF((LEN(SUBSTITUTE(SUBSTITUTE($G1132,"-"," ",LEN($G1132)-LEN(SUBSTITUTE($G1132,"-",""))),"-"," ",LEN($G1132)-LEN(SUBSTITUTE($G1132,"-",""))-1))-LEN(SUBSTITUTE(SUBSTITUTE(SUBSTITUTE($G1132,"-"," ",LEN($G1132)-LEN(SUBSTITUTE($G1132,"-",""))),"-"," ",LEN($G1132)-LEN(SUBSTITUTE($G1132,"-",""))-1),".","")))=0,SUBSTITUTE(SUBSTITUTE($G1132,"-"," ",LEN($G1132)-LEN(SUBSTITUTE($G1132,"-",""))),"-"," ",LEN($G1132)-LEN(SUBSTITUTE($G1132,"-",""))-1),SUBSTITUTE(SUBSTITUTE(SUBSTITUTE($G1132,"-"," ",LEN($G1132)-LEN(SUBSTITUTE($G1132,"-",""))),"-"," ",LEN($G1132)-LEN(SUBSTITUTE($G1132,"-",""))-1),"."," ",(LEN(SUBSTITUTE(SUBSTITUTE($G1132,"-"," ",LEN($G1132)-LEN(SUBSTITUTE($G1132,"-",""))),"-"," ",LEN($G1132)-LEN(SUBSTITUTE($G1132,"-",""))-1))-LEN(SUBSTITUTE(SUBSTITUTE(SUBSTITUTE($G1132,"-"," ",LEN($G1132)-LEN(SUBSTITUTE($G1132,"-",""))),"-"," ",LEN($G1132)-LEN(SUBSTITUTE($G1132,"-",""))-1),".",""))))),$G1132)))</f>
        <v/>
      </c>
    </row>
    <row r="1133">
      <c r="A1133" s="58" t="n"/>
      <c r="B1133" s="58">
        <f>IF($H1133="","",LEFT($H1133,FIND(" ",$H1133&amp;" ")-1))</f>
        <v/>
      </c>
      <c r="C1133" s="58">
        <f>IF($H1133="","",IFERROR(MID($H1133&amp;" ",FIND("|",SUBSTITUTE($H1133&amp;" "," ","|",1))+1,FIND("|",SUBSTITUTE($H1133&amp;" "," ","|",2))-FIND("|",SUBSTITUTE($H1133&amp;" "," ","|",1))-1),""))</f>
        <v/>
      </c>
      <c r="D1133" s="58">
        <f>IF($H1133="","",IFERROR(MID($H1133&amp;" ",FIND("|",SUBSTITUTE($H1133&amp;" "," ","|",2))+1,FIND("|",SUBSTITUTE($H1133&amp;" "," ","|",3))-FIND("|",SUBSTITUTE($H1133&amp;" "," ","|",2))-1),""))</f>
        <v/>
      </c>
      <c r="E1133" s="58">
        <f>IF($H1133="","",IFERROR(MID($H1133&amp;" ",FIND("|",SUBSTITUTE($H1133&amp;" "," ","|",3))+1,FIND("|",SUBSTITUTE($H1133&amp;" "," ","|",4))-FIND("|",SUBSTITUTE($H1133&amp;" "," ","|",3))-1),""))</f>
        <v/>
      </c>
      <c r="F1133" s="59">
        <f>IF($H1133="","",IFERROR(VALUE(IFERROR(MID($H1133&amp;" ",FIND("|",SUBSTITUTE($H1133&amp;" "," ","|",4))+1,FIND("|",SUBSTITUTE($H1133&amp;" "," ","|",5))-FIND("|",SUBSTITUTE($H1133&amp;" "," ","|",4))-1),""))/86400+25569+9/24,""))</f>
        <v/>
      </c>
      <c r="G1133" s="58">
        <f>TRIM(SUBSTITUTE(SUBSTITUTE(SUBSTITUTE($A1133,CHAR(9)," ")," "," "),CHAR(13),""))</f>
        <v/>
      </c>
      <c r="H1133" s="58">
        <f>IF($G1133="","",IF(ISNUMBER(FIND(" ",$G1133)),$G1133,IFERROR(IF((LEN(SUBSTITUTE(SUBSTITUTE($G1133,"-"," ",LEN($G1133)-LEN(SUBSTITUTE($G1133,"-",""))),"-"," ",LEN($G1133)-LEN(SUBSTITUTE($G1133,"-",""))-1))-LEN(SUBSTITUTE(SUBSTITUTE(SUBSTITUTE($G1133,"-"," ",LEN($G1133)-LEN(SUBSTITUTE($G1133,"-",""))),"-"," ",LEN($G1133)-LEN(SUBSTITUTE($G1133,"-",""))-1),".","")))=0,SUBSTITUTE(SUBSTITUTE($G1133,"-"," ",LEN($G1133)-LEN(SUBSTITUTE($G1133,"-",""))),"-"," ",LEN($G1133)-LEN(SUBSTITUTE($G1133,"-",""))-1),SUBSTITUTE(SUBSTITUTE(SUBSTITUTE($G1133,"-"," ",LEN($G1133)-LEN(SUBSTITUTE($G1133,"-",""))),"-"," ",LEN($G1133)-LEN(SUBSTITUTE($G1133,"-",""))-1),"."," ",(LEN(SUBSTITUTE(SUBSTITUTE($G1133,"-"," ",LEN($G1133)-LEN(SUBSTITUTE($G1133,"-",""))),"-"," ",LEN($G1133)-LEN(SUBSTITUTE($G1133,"-",""))-1))-LEN(SUBSTITUTE(SUBSTITUTE(SUBSTITUTE($G1133,"-"," ",LEN($G1133)-LEN(SUBSTITUTE($G1133,"-",""))),"-"," ",LEN($G1133)-LEN(SUBSTITUTE($G1133,"-",""))-1),".",""))))),$G1133)))</f>
        <v/>
      </c>
    </row>
    <row r="1134">
      <c r="A1134" s="58" t="n"/>
      <c r="B1134" s="58">
        <f>IF($H1134="","",LEFT($H1134,FIND(" ",$H1134&amp;" ")-1))</f>
        <v/>
      </c>
      <c r="C1134" s="58">
        <f>IF($H1134="","",IFERROR(MID($H1134&amp;" ",FIND("|",SUBSTITUTE($H1134&amp;" "," ","|",1))+1,FIND("|",SUBSTITUTE($H1134&amp;" "," ","|",2))-FIND("|",SUBSTITUTE($H1134&amp;" "," ","|",1))-1),""))</f>
        <v/>
      </c>
      <c r="D1134" s="58">
        <f>IF($H1134="","",IFERROR(MID($H1134&amp;" ",FIND("|",SUBSTITUTE($H1134&amp;" "," ","|",2))+1,FIND("|",SUBSTITUTE($H1134&amp;" "," ","|",3))-FIND("|",SUBSTITUTE($H1134&amp;" "," ","|",2))-1),""))</f>
        <v/>
      </c>
      <c r="E1134" s="58">
        <f>IF($H1134="","",IFERROR(MID($H1134&amp;" ",FIND("|",SUBSTITUTE($H1134&amp;" "," ","|",3))+1,FIND("|",SUBSTITUTE($H1134&amp;" "," ","|",4))-FIND("|",SUBSTITUTE($H1134&amp;" "," ","|",3))-1),""))</f>
        <v/>
      </c>
      <c r="F1134" s="59">
        <f>IF($H1134="","",IFERROR(VALUE(IFERROR(MID($H1134&amp;" ",FIND("|",SUBSTITUTE($H1134&amp;" "," ","|",4))+1,FIND("|",SUBSTITUTE($H1134&amp;" "," ","|",5))-FIND("|",SUBSTITUTE($H1134&amp;" "," ","|",4))-1),""))/86400+25569+9/24,""))</f>
        <v/>
      </c>
      <c r="G1134" s="58">
        <f>TRIM(SUBSTITUTE(SUBSTITUTE(SUBSTITUTE($A1134,CHAR(9)," ")," "," "),CHAR(13),""))</f>
        <v/>
      </c>
      <c r="H1134" s="58">
        <f>IF($G1134="","",IF(ISNUMBER(FIND(" ",$G1134)),$G1134,IFERROR(IF((LEN(SUBSTITUTE(SUBSTITUTE($G1134,"-"," ",LEN($G1134)-LEN(SUBSTITUTE($G1134,"-",""))),"-"," ",LEN($G1134)-LEN(SUBSTITUTE($G1134,"-",""))-1))-LEN(SUBSTITUTE(SUBSTITUTE(SUBSTITUTE($G1134,"-"," ",LEN($G1134)-LEN(SUBSTITUTE($G1134,"-",""))),"-"," ",LEN($G1134)-LEN(SUBSTITUTE($G1134,"-",""))-1),".","")))=0,SUBSTITUTE(SUBSTITUTE($G1134,"-"," ",LEN($G1134)-LEN(SUBSTITUTE($G1134,"-",""))),"-"," ",LEN($G1134)-LEN(SUBSTITUTE($G1134,"-",""))-1),SUBSTITUTE(SUBSTITUTE(SUBSTITUTE($G1134,"-"," ",LEN($G1134)-LEN(SUBSTITUTE($G1134,"-",""))),"-"," ",LEN($G1134)-LEN(SUBSTITUTE($G1134,"-",""))-1),"."," ",(LEN(SUBSTITUTE(SUBSTITUTE($G1134,"-"," ",LEN($G1134)-LEN(SUBSTITUTE($G1134,"-",""))),"-"," ",LEN($G1134)-LEN(SUBSTITUTE($G1134,"-",""))-1))-LEN(SUBSTITUTE(SUBSTITUTE(SUBSTITUTE($G1134,"-"," ",LEN($G1134)-LEN(SUBSTITUTE($G1134,"-",""))),"-"," ",LEN($G1134)-LEN(SUBSTITUTE($G1134,"-",""))-1),".",""))))),$G1134)))</f>
        <v/>
      </c>
    </row>
    <row r="1135">
      <c r="A1135" s="58" t="n"/>
      <c r="B1135" s="58">
        <f>IF($H1135="","",LEFT($H1135,FIND(" ",$H1135&amp;" ")-1))</f>
        <v/>
      </c>
      <c r="C1135" s="58">
        <f>IF($H1135="","",IFERROR(MID($H1135&amp;" ",FIND("|",SUBSTITUTE($H1135&amp;" "," ","|",1))+1,FIND("|",SUBSTITUTE($H1135&amp;" "," ","|",2))-FIND("|",SUBSTITUTE($H1135&amp;" "," ","|",1))-1),""))</f>
        <v/>
      </c>
      <c r="D1135" s="58">
        <f>IF($H1135="","",IFERROR(MID($H1135&amp;" ",FIND("|",SUBSTITUTE($H1135&amp;" "," ","|",2))+1,FIND("|",SUBSTITUTE($H1135&amp;" "," ","|",3))-FIND("|",SUBSTITUTE($H1135&amp;" "," ","|",2))-1),""))</f>
        <v/>
      </c>
      <c r="E1135" s="58">
        <f>IF($H1135="","",IFERROR(MID($H1135&amp;" ",FIND("|",SUBSTITUTE($H1135&amp;" "," ","|",3))+1,FIND("|",SUBSTITUTE($H1135&amp;" "," ","|",4))-FIND("|",SUBSTITUTE($H1135&amp;" "," ","|",3))-1),""))</f>
        <v/>
      </c>
      <c r="F1135" s="59">
        <f>IF($H1135="","",IFERROR(VALUE(IFERROR(MID($H1135&amp;" ",FIND("|",SUBSTITUTE($H1135&amp;" "," ","|",4))+1,FIND("|",SUBSTITUTE($H1135&amp;" "," ","|",5))-FIND("|",SUBSTITUTE($H1135&amp;" "," ","|",4))-1),""))/86400+25569+9/24,""))</f>
        <v/>
      </c>
      <c r="G1135" s="58">
        <f>TRIM(SUBSTITUTE(SUBSTITUTE(SUBSTITUTE($A1135,CHAR(9)," ")," "," "),CHAR(13),""))</f>
        <v/>
      </c>
      <c r="H1135" s="58">
        <f>IF($G1135="","",IF(ISNUMBER(FIND(" ",$G1135)),$G1135,IFERROR(IF((LEN(SUBSTITUTE(SUBSTITUTE($G1135,"-"," ",LEN($G1135)-LEN(SUBSTITUTE($G1135,"-",""))),"-"," ",LEN($G1135)-LEN(SUBSTITUTE($G1135,"-",""))-1))-LEN(SUBSTITUTE(SUBSTITUTE(SUBSTITUTE($G1135,"-"," ",LEN($G1135)-LEN(SUBSTITUTE($G1135,"-",""))),"-"," ",LEN($G1135)-LEN(SUBSTITUTE($G1135,"-",""))-1),".","")))=0,SUBSTITUTE(SUBSTITUTE($G1135,"-"," ",LEN($G1135)-LEN(SUBSTITUTE($G1135,"-",""))),"-"," ",LEN($G1135)-LEN(SUBSTITUTE($G1135,"-",""))-1),SUBSTITUTE(SUBSTITUTE(SUBSTITUTE($G1135,"-"," ",LEN($G1135)-LEN(SUBSTITUTE($G1135,"-",""))),"-"," ",LEN($G1135)-LEN(SUBSTITUTE($G1135,"-",""))-1),"."," ",(LEN(SUBSTITUTE(SUBSTITUTE($G1135,"-"," ",LEN($G1135)-LEN(SUBSTITUTE($G1135,"-",""))),"-"," ",LEN($G1135)-LEN(SUBSTITUTE($G1135,"-",""))-1))-LEN(SUBSTITUTE(SUBSTITUTE(SUBSTITUTE($G1135,"-"," ",LEN($G1135)-LEN(SUBSTITUTE($G1135,"-",""))),"-"," ",LEN($G1135)-LEN(SUBSTITUTE($G1135,"-",""))-1),".",""))))),$G1135)))</f>
        <v/>
      </c>
    </row>
    <row r="1136">
      <c r="A1136" s="58" t="n"/>
      <c r="B1136" s="58">
        <f>IF($H1136="","",LEFT($H1136,FIND(" ",$H1136&amp;" ")-1))</f>
        <v/>
      </c>
      <c r="C1136" s="58">
        <f>IF($H1136="","",IFERROR(MID($H1136&amp;" ",FIND("|",SUBSTITUTE($H1136&amp;" "," ","|",1))+1,FIND("|",SUBSTITUTE($H1136&amp;" "," ","|",2))-FIND("|",SUBSTITUTE($H1136&amp;" "," ","|",1))-1),""))</f>
        <v/>
      </c>
      <c r="D1136" s="58">
        <f>IF($H1136="","",IFERROR(MID($H1136&amp;" ",FIND("|",SUBSTITUTE($H1136&amp;" "," ","|",2))+1,FIND("|",SUBSTITUTE($H1136&amp;" "," ","|",3))-FIND("|",SUBSTITUTE($H1136&amp;" "," ","|",2))-1),""))</f>
        <v/>
      </c>
      <c r="E1136" s="58">
        <f>IF($H1136="","",IFERROR(MID($H1136&amp;" ",FIND("|",SUBSTITUTE($H1136&amp;" "," ","|",3))+1,FIND("|",SUBSTITUTE($H1136&amp;" "," ","|",4))-FIND("|",SUBSTITUTE($H1136&amp;" "," ","|",3))-1),""))</f>
        <v/>
      </c>
      <c r="F1136" s="59">
        <f>IF($H1136="","",IFERROR(VALUE(IFERROR(MID($H1136&amp;" ",FIND("|",SUBSTITUTE($H1136&amp;" "," ","|",4))+1,FIND("|",SUBSTITUTE($H1136&amp;" "," ","|",5))-FIND("|",SUBSTITUTE($H1136&amp;" "," ","|",4))-1),""))/86400+25569+9/24,""))</f>
        <v/>
      </c>
      <c r="G1136" s="58">
        <f>TRIM(SUBSTITUTE(SUBSTITUTE(SUBSTITUTE($A1136,CHAR(9)," ")," "," "),CHAR(13),""))</f>
        <v/>
      </c>
      <c r="H1136" s="58">
        <f>IF($G1136="","",IF(ISNUMBER(FIND(" ",$G1136)),$G1136,IFERROR(IF((LEN(SUBSTITUTE(SUBSTITUTE($G1136,"-"," ",LEN($G1136)-LEN(SUBSTITUTE($G1136,"-",""))),"-"," ",LEN($G1136)-LEN(SUBSTITUTE($G1136,"-",""))-1))-LEN(SUBSTITUTE(SUBSTITUTE(SUBSTITUTE($G1136,"-"," ",LEN($G1136)-LEN(SUBSTITUTE($G1136,"-",""))),"-"," ",LEN($G1136)-LEN(SUBSTITUTE($G1136,"-",""))-1),".","")))=0,SUBSTITUTE(SUBSTITUTE($G1136,"-"," ",LEN($G1136)-LEN(SUBSTITUTE($G1136,"-",""))),"-"," ",LEN($G1136)-LEN(SUBSTITUTE($G1136,"-",""))-1),SUBSTITUTE(SUBSTITUTE(SUBSTITUTE($G1136,"-"," ",LEN($G1136)-LEN(SUBSTITUTE($G1136,"-",""))),"-"," ",LEN($G1136)-LEN(SUBSTITUTE($G1136,"-",""))-1),"."," ",(LEN(SUBSTITUTE(SUBSTITUTE($G1136,"-"," ",LEN($G1136)-LEN(SUBSTITUTE($G1136,"-",""))),"-"," ",LEN($G1136)-LEN(SUBSTITUTE($G1136,"-",""))-1))-LEN(SUBSTITUTE(SUBSTITUTE(SUBSTITUTE($G1136,"-"," ",LEN($G1136)-LEN(SUBSTITUTE($G1136,"-",""))),"-"," ",LEN($G1136)-LEN(SUBSTITUTE($G1136,"-",""))-1),".",""))))),$G1136)))</f>
        <v/>
      </c>
    </row>
    <row r="1137">
      <c r="A1137" s="58" t="n"/>
      <c r="B1137" s="58">
        <f>IF($H1137="","",LEFT($H1137,FIND(" ",$H1137&amp;" ")-1))</f>
        <v/>
      </c>
      <c r="C1137" s="58">
        <f>IF($H1137="","",IFERROR(MID($H1137&amp;" ",FIND("|",SUBSTITUTE($H1137&amp;" "," ","|",1))+1,FIND("|",SUBSTITUTE($H1137&amp;" "," ","|",2))-FIND("|",SUBSTITUTE($H1137&amp;" "," ","|",1))-1),""))</f>
        <v/>
      </c>
      <c r="D1137" s="58">
        <f>IF($H1137="","",IFERROR(MID($H1137&amp;" ",FIND("|",SUBSTITUTE($H1137&amp;" "," ","|",2))+1,FIND("|",SUBSTITUTE($H1137&amp;" "," ","|",3))-FIND("|",SUBSTITUTE($H1137&amp;" "," ","|",2))-1),""))</f>
        <v/>
      </c>
      <c r="E1137" s="58">
        <f>IF($H1137="","",IFERROR(MID($H1137&amp;" ",FIND("|",SUBSTITUTE($H1137&amp;" "," ","|",3))+1,FIND("|",SUBSTITUTE($H1137&amp;" "," ","|",4))-FIND("|",SUBSTITUTE($H1137&amp;" "," ","|",3))-1),""))</f>
        <v/>
      </c>
      <c r="F1137" s="59">
        <f>IF($H1137="","",IFERROR(VALUE(IFERROR(MID($H1137&amp;" ",FIND("|",SUBSTITUTE($H1137&amp;" "," ","|",4))+1,FIND("|",SUBSTITUTE($H1137&amp;" "," ","|",5))-FIND("|",SUBSTITUTE($H1137&amp;" "," ","|",4))-1),""))/86400+25569+9/24,""))</f>
        <v/>
      </c>
      <c r="G1137" s="58">
        <f>TRIM(SUBSTITUTE(SUBSTITUTE(SUBSTITUTE($A1137,CHAR(9)," ")," "," "),CHAR(13),""))</f>
        <v/>
      </c>
      <c r="H1137" s="58">
        <f>IF($G1137="","",IF(ISNUMBER(FIND(" ",$G1137)),$G1137,IFERROR(IF((LEN(SUBSTITUTE(SUBSTITUTE($G1137,"-"," ",LEN($G1137)-LEN(SUBSTITUTE($G1137,"-",""))),"-"," ",LEN($G1137)-LEN(SUBSTITUTE($G1137,"-",""))-1))-LEN(SUBSTITUTE(SUBSTITUTE(SUBSTITUTE($G1137,"-"," ",LEN($G1137)-LEN(SUBSTITUTE($G1137,"-",""))),"-"," ",LEN($G1137)-LEN(SUBSTITUTE($G1137,"-",""))-1),".","")))=0,SUBSTITUTE(SUBSTITUTE($G1137,"-"," ",LEN($G1137)-LEN(SUBSTITUTE($G1137,"-",""))),"-"," ",LEN($G1137)-LEN(SUBSTITUTE($G1137,"-",""))-1),SUBSTITUTE(SUBSTITUTE(SUBSTITUTE($G1137,"-"," ",LEN($G1137)-LEN(SUBSTITUTE($G1137,"-",""))),"-"," ",LEN($G1137)-LEN(SUBSTITUTE($G1137,"-",""))-1),"."," ",(LEN(SUBSTITUTE(SUBSTITUTE($G1137,"-"," ",LEN($G1137)-LEN(SUBSTITUTE($G1137,"-",""))),"-"," ",LEN($G1137)-LEN(SUBSTITUTE($G1137,"-",""))-1))-LEN(SUBSTITUTE(SUBSTITUTE(SUBSTITUTE($G1137,"-"," ",LEN($G1137)-LEN(SUBSTITUTE($G1137,"-",""))),"-"," ",LEN($G1137)-LEN(SUBSTITUTE($G1137,"-",""))-1),".",""))))),$G1137)))</f>
        <v/>
      </c>
    </row>
    <row r="1138">
      <c r="A1138" s="58" t="n"/>
      <c r="B1138" s="58">
        <f>IF($H1138="","",LEFT($H1138,FIND(" ",$H1138&amp;" ")-1))</f>
        <v/>
      </c>
      <c r="C1138" s="58">
        <f>IF($H1138="","",IFERROR(MID($H1138&amp;" ",FIND("|",SUBSTITUTE($H1138&amp;" "," ","|",1))+1,FIND("|",SUBSTITUTE($H1138&amp;" "," ","|",2))-FIND("|",SUBSTITUTE($H1138&amp;" "," ","|",1))-1),""))</f>
        <v/>
      </c>
      <c r="D1138" s="58">
        <f>IF($H1138="","",IFERROR(MID($H1138&amp;" ",FIND("|",SUBSTITUTE($H1138&amp;" "," ","|",2))+1,FIND("|",SUBSTITUTE($H1138&amp;" "," ","|",3))-FIND("|",SUBSTITUTE($H1138&amp;" "," ","|",2))-1),""))</f>
        <v/>
      </c>
      <c r="E1138" s="58">
        <f>IF($H1138="","",IFERROR(MID($H1138&amp;" ",FIND("|",SUBSTITUTE($H1138&amp;" "," ","|",3))+1,FIND("|",SUBSTITUTE($H1138&amp;" "," ","|",4))-FIND("|",SUBSTITUTE($H1138&amp;" "," ","|",3))-1),""))</f>
        <v/>
      </c>
      <c r="F1138" s="59">
        <f>IF($H1138="","",IFERROR(VALUE(IFERROR(MID($H1138&amp;" ",FIND("|",SUBSTITUTE($H1138&amp;" "," ","|",4))+1,FIND("|",SUBSTITUTE($H1138&amp;" "," ","|",5))-FIND("|",SUBSTITUTE($H1138&amp;" "," ","|",4))-1),""))/86400+25569+9/24,""))</f>
        <v/>
      </c>
      <c r="G1138" s="58">
        <f>TRIM(SUBSTITUTE(SUBSTITUTE(SUBSTITUTE($A1138,CHAR(9)," ")," "," "),CHAR(13),""))</f>
        <v/>
      </c>
      <c r="H1138" s="58">
        <f>IF($G1138="","",IF(ISNUMBER(FIND(" ",$G1138)),$G1138,IFERROR(IF((LEN(SUBSTITUTE(SUBSTITUTE($G1138,"-"," ",LEN($G1138)-LEN(SUBSTITUTE($G1138,"-",""))),"-"," ",LEN($G1138)-LEN(SUBSTITUTE($G1138,"-",""))-1))-LEN(SUBSTITUTE(SUBSTITUTE(SUBSTITUTE($G1138,"-"," ",LEN($G1138)-LEN(SUBSTITUTE($G1138,"-",""))),"-"," ",LEN($G1138)-LEN(SUBSTITUTE($G1138,"-",""))-1),".","")))=0,SUBSTITUTE(SUBSTITUTE($G1138,"-"," ",LEN($G1138)-LEN(SUBSTITUTE($G1138,"-",""))),"-"," ",LEN($G1138)-LEN(SUBSTITUTE($G1138,"-",""))-1),SUBSTITUTE(SUBSTITUTE(SUBSTITUTE($G1138,"-"," ",LEN($G1138)-LEN(SUBSTITUTE($G1138,"-",""))),"-"," ",LEN($G1138)-LEN(SUBSTITUTE($G1138,"-",""))-1),"."," ",(LEN(SUBSTITUTE(SUBSTITUTE($G1138,"-"," ",LEN($G1138)-LEN(SUBSTITUTE($G1138,"-",""))),"-"," ",LEN($G1138)-LEN(SUBSTITUTE($G1138,"-",""))-1))-LEN(SUBSTITUTE(SUBSTITUTE(SUBSTITUTE($G1138,"-"," ",LEN($G1138)-LEN(SUBSTITUTE($G1138,"-",""))),"-"," ",LEN($G1138)-LEN(SUBSTITUTE($G1138,"-",""))-1),".",""))))),$G1138)))</f>
        <v/>
      </c>
    </row>
    <row r="1139">
      <c r="A1139" s="58" t="n"/>
      <c r="B1139" s="58">
        <f>IF($H1139="","",LEFT($H1139,FIND(" ",$H1139&amp;" ")-1))</f>
        <v/>
      </c>
      <c r="C1139" s="58">
        <f>IF($H1139="","",IFERROR(MID($H1139&amp;" ",FIND("|",SUBSTITUTE($H1139&amp;" "," ","|",1))+1,FIND("|",SUBSTITUTE($H1139&amp;" "," ","|",2))-FIND("|",SUBSTITUTE($H1139&amp;" "," ","|",1))-1),""))</f>
        <v/>
      </c>
      <c r="D1139" s="58">
        <f>IF($H1139="","",IFERROR(MID($H1139&amp;" ",FIND("|",SUBSTITUTE($H1139&amp;" "," ","|",2))+1,FIND("|",SUBSTITUTE($H1139&amp;" "," ","|",3))-FIND("|",SUBSTITUTE($H1139&amp;" "," ","|",2))-1),""))</f>
        <v/>
      </c>
      <c r="E1139" s="58">
        <f>IF($H1139="","",IFERROR(MID($H1139&amp;" ",FIND("|",SUBSTITUTE($H1139&amp;" "," ","|",3))+1,FIND("|",SUBSTITUTE($H1139&amp;" "," ","|",4))-FIND("|",SUBSTITUTE($H1139&amp;" "," ","|",3))-1),""))</f>
        <v/>
      </c>
      <c r="F1139" s="59">
        <f>IF($H1139="","",IFERROR(VALUE(IFERROR(MID($H1139&amp;" ",FIND("|",SUBSTITUTE($H1139&amp;" "," ","|",4))+1,FIND("|",SUBSTITUTE($H1139&amp;" "," ","|",5))-FIND("|",SUBSTITUTE($H1139&amp;" "," ","|",4))-1),""))/86400+25569+9/24,""))</f>
        <v/>
      </c>
      <c r="G1139" s="58">
        <f>TRIM(SUBSTITUTE(SUBSTITUTE(SUBSTITUTE($A1139,CHAR(9)," ")," "," "),CHAR(13),""))</f>
        <v/>
      </c>
      <c r="H1139" s="58">
        <f>IF($G1139="","",IF(ISNUMBER(FIND(" ",$G1139)),$G1139,IFERROR(IF((LEN(SUBSTITUTE(SUBSTITUTE($G1139,"-"," ",LEN($G1139)-LEN(SUBSTITUTE($G1139,"-",""))),"-"," ",LEN($G1139)-LEN(SUBSTITUTE($G1139,"-",""))-1))-LEN(SUBSTITUTE(SUBSTITUTE(SUBSTITUTE($G1139,"-"," ",LEN($G1139)-LEN(SUBSTITUTE($G1139,"-",""))),"-"," ",LEN($G1139)-LEN(SUBSTITUTE($G1139,"-",""))-1),".","")))=0,SUBSTITUTE(SUBSTITUTE($G1139,"-"," ",LEN($G1139)-LEN(SUBSTITUTE($G1139,"-",""))),"-"," ",LEN($G1139)-LEN(SUBSTITUTE($G1139,"-",""))-1),SUBSTITUTE(SUBSTITUTE(SUBSTITUTE($G1139,"-"," ",LEN($G1139)-LEN(SUBSTITUTE($G1139,"-",""))),"-"," ",LEN($G1139)-LEN(SUBSTITUTE($G1139,"-",""))-1),"."," ",(LEN(SUBSTITUTE(SUBSTITUTE($G1139,"-"," ",LEN($G1139)-LEN(SUBSTITUTE($G1139,"-",""))),"-"," ",LEN($G1139)-LEN(SUBSTITUTE($G1139,"-",""))-1))-LEN(SUBSTITUTE(SUBSTITUTE(SUBSTITUTE($G1139,"-"," ",LEN($G1139)-LEN(SUBSTITUTE($G1139,"-",""))),"-"," ",LEN($G1139)-LEN(SUBSTITUTE($G1139,"-",""))-1),".",""))))),$G1139)))</f>
        <v/>
      </c>
    </row>
    <row r="1140">
      <c r="A1140" s="58" t="n"/>
      <c r="B1140" s="58">
        <f>IF($H1140="","",LEFT($H1140,FIND(" ",$H1140&amp;" ")-1))</f>
        <v/>
      </c>
      <c r="C1140" s="58">
        <f>IF($H1140="","",IFERROR(MID($H1140&amp;" ",FIND("|",SUBSTITUTE($H1140&amp;" "," ","|",1))+1,FIND("|",SUBSTITUTE($H1140&amp;" "," ","|",2))-FIND("|",SUBSTITUTE($H1140&amp;" "," ","|",1))-1),""))</f>
        <v/>
      </c>
      <c r="D1140" s="58">
        <f>IF($H1140="","",IFERROR(MID($H1140&amp;" ",FIND("|",SUBSTITUTE($H1140&amp;" "," ","|",2))+1,FIND("|",SUBSTITUTE($H1140&amp;" "," ","|",3))-FIND("|",SUBSTITUTE($H1140&amp;" "," ","|",2))-1),""))</f>
        <v/>
      </c>
      <c r="E1140" s="58">
        <f>IF($H1140="","",IFERROR(MID($H1140&amp;" ",FIND("|",SUBSTITUTE($H1140&amp;" "," ","|",3))+1,FIND("|",SUBSTITUTE($H1140&amp;" "," ","|",4))-FIND("|",SUBSTITUTE($H1140&amp;" "," ","|",3))-1),""))</f>
        <v/>
      </c>
      <c r="F1140" s="59">
        <f>IF($H1140="","",IFERROR(VALUE(IFERROR(MID($H1140&amp;" ",FIND("|",SUBSTITUTE($H1140&amp;" "," ","|",4))+1,FIND("|",SUBSTITUTE($H1140&amp;" "," ","|",5))-FIND("|",SUBSTITUTE($H1140&amp;" "," ","|",4))-1),""))/86400+25569+9/24,""))</f>
        <v/>
      </c>
      <c r="G1140" s="58">
        <f>TRIM(SUBSTITUTE(SUBSTITUTE(SUBSTITUTE($A1140,CHAR(9)," ")," "," "),CHAR(13),""))</f>
        <v/>
      </c>
      <c r="H1140" s="58">
        <f>IF($G1140="","",IF(ISNUMBER(FIND(" ",$G1140)),$G1140,IFERROR(IF((LEN(SUBSTITUTE(SUBSTITUTE($G1140,"-"," ",LEN($G1140)-LEN(SUBSTITUTE($G1140,"-",""))),"-"," ",LEN($G1140)-LEN(SUBSTITUTE($G1140,"-",""))-1))-LEN(SUBSTITUTE(SUBSTITUTE(SUBSTITUTE($G1140,"-"," ",LEN($G1140)-LEN(SUBSTITUTE($G1140,"-",""))),"-"," ",LEN($G1140)-LEN(SUBSTITUTE($G1140,"-",""))-1),".","")))=0,SUBSTITUTE(SUBSTITUTE($G1140,"-"," ",LEN($G1140)-LEN(SUBSTITUTE($G1140,"-",""))),"-"," ",LEN($G1140)-LEN(SUBSTITUTE($G1140,"-",""))-1),SUBSTITUTE(SUBSTITUTE(SUBSTITUTE($G1140,"-"," ",LEN($G1140)-LEN(SUBSTITUTE($G1140,"-",""))),"-"," ",LEN($G1140)-LEN(SUBSTITUTE($G1140,"-",""))-1),"."," ",(LEN(SUBSTITUTE(SUBSTITUTE($G1140,"-"," ",LEN($G1140)-LEN(SUBSTITUTE($G1140,"-",""))),"-"," ",LEN($G1140)-LEN(SUBSTITUTE($G1140,"-",""))-1))-LEN(SUBSTITUTE(SUBSTITUTE(SUBSTITUTE($G1140,"-"," ",LEN($G1140)-LEN(SUBSTITUTE($G1140,"-",""))),"-"," ",LEN($G1140)-LEN(SUBSTITUTE($G1140,"-",""))-1),".",""))))),$G1140)))</f>
        <v/>
      </c>
    </row>
    <row r="1141">
      <c r="A1141" s="58" t="n"/>
      <c r="B1141" s="58">
        <f>IF($H1141="","",LEFT($H1141,FIND(" ",$H1141&amp;" ")-1))</f>
        <v/>
      </c>
      <c r="C1141" s="58">
        <f>IF($H1141="","",IFERROR(MID($H1141&amp;" ",FIND("|",SUBSTITUTE($H1141&amp;" "," ","|",1))+1,FIND("|",SUBSTITUTE($H1141&amp;" "," ","|",2))-FIND("|",SUBSTITUTE($H1141&amp;" "," ","|",1))-1),""))</f>
        <v/>
      </c>
      <c r="D1141" s="58">
        <f>IF($H1141="","",IFERROR(MID($H1141&amp;" ",FIND("|",SUBSTITUTE($H1141&amp;" "," ","|",2))+1,FIND("|",SUBSTITUTE($H1141&amp;" "," ","|",3))-FIND("|",SUBSTITUTE($H1141&amp;" "," ","|",2))-1),""))</f>
        <v/>
      </c>
      <c r="E1141" s="58">
        <f>IF($H1141="","",IFERROR(MID($H1141&amp;" ",FIND("|",SUBSTITUTE($H1141&amp;" "," ","|",3))+1,FIND("|",SUBSTITUTE($H1141&amp;" "," ","|",4))-FIND("|",SUBSTITUTE($H1141&amp;" "," ","|",3))-1),""))</f>
        <v/>
      </c>
      <c r="F1141" s="59">
        <f>IF($H1141="","",IFERROR(VALUE(IFERROR(MID($H1141&amp;" ",FIND("|",SUBSTITUTE($H1141&amp;" "," ","|",4))+1,FIND("|",SUBSTITUTE($H1141&amp;" "," ","|",5))-FIND("|",SUBSTITUTE($H1141&amp;" "," ","|",4))-1),""))/86400+25569+9/24,""))</f>
        <v/>
      </c>
      <c r="G1141" s="58">
        <f>TRIM(SUBSTITUTE(SUBSTITUTE(SUBSTITUTE($A1141,CHAR(9)," ")," "," "),CHAR(13),""))</f>
        <v/>
      </c>
      <c r="H1141" s="58">
        <f>IF($G1141="","",IF(ISNUMBER(FIND(" ",$G1141)),$G1141,IFERROR(IF((LEN(SUBSTITUTE(SUBSTITUTE($G1141,"-"," ",LEN($G1141)-LEN(SUBSTITUTE($G1141,"-",""))),"-"," ",LEN($G1141)-LEN(SUBSTITUTE($G1141,"-",""))-1))-LEN(SUBSTITUTE(SUBSTITUTE(SUBSTITUTE($G1141,"-"," ",LEN($G1141)-LEN(SUBSTITUTE($G1141,"-",""))),"-"," ",LEN($G1141)-LEN(SUBSTITUTE($G1141,"-",""))-1),".","")))=0,SUBSTITUTE(SUBSTITUTE($G1141,"-"," ",LEN($G1141)-LEN(SUBSTITUTE($G1141,"-",""))),"-"," ",LEN($G1141)-LEN(SUBSTITUTE($G1141,"-",""))-1),SUBSTITUTE(SUBSTITUTE(SUBSTITUTE($G1141,"-"," ",LEN($G1141)-LEN(SUBSTITUTE($G1141,"-",""))),"-"," ",LEN($G1141)-LEN(SUBSTITUTE($G1141,"-",""))-1),"."," ",(LEN(SUBSTITUTE(SUBSTITUTE($G1141,"-"," ",LEN($G1141)-LEN(SUBSTITUTE($G1141,"-",""))),"-"," ",LEN($G1141)-LEN(SUBSTITUTE($G1141,"-",""))-1))-LEN(SUBSTITUTE(SUBSTITUTE(SUBSTITUTE($G1141,"-"," ",LEN($G1141)-LEN(SUBSTITUTE($G1141,"-",""))),"-"," ",LEN($G1141)-LEN(SUBSTITUTE($G1141,"-",""))-1),".",""))))),$G1141)))</f>
        <v/>
      </c>
    </row>
    <row r="1142">
      <c r="A1142" s="58" t="n"/>
      <c r="B1142" s="58">
        <f>IF($H1142="","",LEFT($H1142,FIND(" ",$H1142&amp;" ")-1))</f>
        <v/>
      </c>
      <c r="C1142" s="58">
        <f>IF($H1142="","",IFERROR(MID($H1142&amp;" ",FIND("|",SUBSTITUTE($H1142&amp;" "," ","|",1))+1,FIND("|",SUBSTITUTE($H1142&amp;" "," ","|",2))-FIND("|",SUBSTITUTE($H1142&amp;" "," ","|",1))-1),""))</f>
        <v/>
      </c>
      <c r="D1142" s="58">
        <f>IF($H1142="","",IFERROR(MID($H1142&amp;" ",FIND("|",SUBSTITUTE($H1142&amp;" "," ","|",2))+1,FIND("|",SUBSTITUTE($H1142&amp;" "," ","|",3))-FIND("|",SUBSTITUTE($H1142&amp;" "," ","|",2))-1),""))</f>
        <v/>
      </c>
      <c r="E1142" s="58">
        <f>IF($H1142="","",IFERROR(MID($H1142&amp;" ",FIND("|",SUBSTITUTE($H1142&amp;" "," ","|",3))+1,FIND("|",SUBSTITUTE($H1142&amp;" "," ","|",4))-FIND("|",SUBSTITUTE($H1142&amp;" "," ","|",3))-1),""))</f>
        <v/>
      </c>
      <c r="F1142" s="59">
        <f>IF($H1142="","",IFERROR(VALUE(IFERROR(MID($H1142&amp;" ",FIND("|",SUBSTITUTE($H1142&amp;" "," ","|",4))+1,FIND("|",SUBSTITUTE($H1142&amp;" "," ","|",5))-FIND("|",SUBSTITUTE($H1142&amp;" "," ","|",4))-1),""))/86400+25569+9/24,""))</f>
        <v/>
      </c>
      <c r="G1142" s="58">
        <f>TRIM(SUBSTITUTE(SUBSTITUTE(SUBSTITUTE($A1142,CHAR(9)," ")," "," "),CHAR(13),""))</f>
        <v/>
      </c>
      <c r="H1142" s="58">
        <f>IF($G1142="","",IF(ISNUMBER(FIND(" ",$G1142)),$G1142,IFERROR(IF((LEN(SUBSTITUTE(SUBSTITUTE($G1142,"-"," ",LEN($G1142)-LEN(SUBSTITUTE($G1142,"-",""))),"-"," ",LEN($G1142)-LEN(SUBSTITUTE($G1142,"-",""))-1))-LEN(SUBSTITUTE(SUBSTITUTE(SUBSTITUTE($G1142,"-"," ",LEN($G1142)-LEN(SUBSTITUTE($G1142,"-",""))),"-"," ",LEN($G1142)-LEN(SUBSTITUTE($G1142,"-",""))-1),".","")))=0,SUBSTITUTE(SUBSTITUTE($G1142,"-"," ",LEN($G1142)-LEN(SUBSTITUTE($G1142,"-",""))),"-"," ",LEN($G1142)-LEN(SUBSTITUTE($G1142,"-",""))-1),SUBSTITUTE(SUBSTITUTE(SUBSTITUTE($G1142,"-"," ",LEN($G1142)-LEN(SUBSTITUTE($G1142,"-",""))),"-"," ",LEN($G1142)-LEN(SUBSTITUTE($G1142,"-",""))-1),"."," ",(LEN(SUBSTITUTE(SUBSTITUTE($G1142,"-"," ",LEN($G1142)-LEN(SUBSTITUTE($G1142,"-",""))),"-"," ",LEN($G1142)-LEN(SUBSTITUTE($G1142,"-",""))-1))-LEN(SUBSTITUTE(SUBSTITUTE(SUBSTITUTE($G1142,"-"," ",LEN($G1142)-LEN(SUBSTITUTE($G1142,"-",""))),"-"," ",LEN($G1142)-LEN(SUBSTITUTE($G1142,"-",""))-1),".",""))))),$G1142)))</f>
        <v/>
      </c>
    </row>
    <row r="1143">
      <c r="A1143" s="58" t="n"/>
      <c r="B1143" s="58">
        <f>IF($H1143="","",LEFT($H1143,FIND(" ",$H1143&amp;" ")-1))</f>
        <v/>
      </c>
      <c r="C1143" s="58">
        <f>IF($H1143="","",IFERROR(MID($H1143&amp;" ",FIND("|",SUBSTITUTE($H1143&amp;" "," ","|",1))+1,FIND("|",SUBSTITUTE($H1143&amp;" "," ","|",2))-FIND("|",SUBSTITUTE($H1143&amp;" "," ","|",1))-1),""))</f>
        <v/>
      </c>
      <c r="D1143" s="58">
        <f>IF($H1143="","",IFERROR(MID($H1143&amp;" ",FIND("|",SUBSTITUTE($H1143&amp;" "," ","|",2))+1,FIND("|",SUBSTITUTE($H1143&amp;" "," ","|",3))-FIND("|",SUBSTITUTE($H1143&amp;" "," ","|",2))-1),""))</f>
        <v/>
      </c>
      <c r="E1143" s="58">
        <f>IF($H1143="","",IFERROR(MID($H1143&amp;" ",FIND("|",SUBSTITUTE($H1143&amp;" "," ","|",3))+1,FIND("|",SUBSTITUTE($H1143&amp;" "," ","|",4))-FIND("|",SUBSTITUTE($H1143&amp;" "," ","|",3))-1),""))</f>
        <v/>
      </c>
      <c r="F1143" s="59">
        <f>IF($H1143="","",IFERROR(VALUE(IFERROR(MID($H1143&amp;" ",FIND("|",SUBSTITUTE($H1143&amp;" "," ","|",4))+1,FIND("|",SUBSTITUTE($H1143&amp;" "," ","|",5))-FIND("|",SUBSTITUTE($H1143&amp;" "," ","|",4))-1),""))/86400+25569+9/24,""))</f>
        <v/>
      </c>
      <c r="G1143" s="58">
        <f>TRIM(SUBSTITUTE(SUBSTITUTE(SUBSTITUTE($A1143,CHAR(9)," ")," "," "),CHAR(13),""))</f>
        <v/>
      </c>
      <c r="H1143" s="58">
        <f>IF($G1143="","",IF(ISNUMBER(FIND(" ",$G1143)),$G1143,IFERROR(IF((LEN(SUBSTITUTE(SUBSTITUTE($G1143,"-"," ",LEN($G1143)-LEN(SUBSTITUTE($G1143,"-",""))),"-"," ",LEN($G1143)-LEN(SUBSTITUTE($G1143,"-",""))-1))-LEN(SUBSTITUTE(SUBSTITUTE(SUBSTITUTE($G1143,"-"," ",LEN($G1143)-LEN(SUBSTITUTE($G1143,"-",""))),"-"," ",LEN($G1143)-LEN(SUBSTITUTE($G1143,"-",""))-1),".","")))=0,SUBSTITUTE(SUBSTITUTE($G1143,"-"," ",LEN($G1143)-LEN(SUBSTITUTE($G1143,"-",""))),"-"," ",LEN($G1143)-LEN(SUBSTITUTE($G1143,"-",""))-1),SUBSTITUTE(SUBSTITUTE(SUBSTITUTE($G1143,"-"," ",LEN($G1143)-LEN(SUBSTITUTE($G1143,"-",""))),"-"," ",LEN($G1143)-LEN(SUBSTITUTE($G1143,"-",""))-1),"."," ",(LEN(SUBSTITUTE(SUBSTITUTE($G1143,"-"," ",LEN($G1143)-LEN(SUBSTITUTE($G1143,"-",""))),"-"," ",LEN($G1143)-LEN(SUBSTITUTE($G1143,"-",""))-1))-LEN(SUBSTITUTE(SUBSTITUTE(SUBSTITUTE($G1143,"-"," ",LEN($G1143)-LEN(SUBSTITUTE($G1143,"-",""))),"-"," ",LEN($G1143)-LEN(SUBSTITUTE($G1143,"-",""))-1),".",""))))),$G1143)))</f>
        <v/>
      </c>
    </row>
    <row r="1144">
      <c r="A1144" s="58" t="n"/>
      <c r="B1144" s="58">
        <f>IF($H1144="","",LEFT($H1144,FIND(" ",$H1144&amp;" ")-1))</f>
        <v/>
      </c>
      <c r="C1144" s="58">
        <f>IF($H1144="","",IFERROR(MID($H1144&amp;" ",FIND("|",SUBSTITUTE($H1144&amp;" "," ","|",1))+1,FIND("|",SUBSTITUTE($H1144&amp;" "," ","|",2))-FIND("|",SUBSTITUTE($H1144&amp;" "," ","|",1))-1),""))</f>
        <v/>
      </c>
      <c r="D1144" s="58">
        <f>IF($H1144="","",IFERROR(MID($H1144&amp;" ",FIND("|",SUBSTITUTE($H1144&amp;" "," ","|",2))+1,FIND("|",SUBSTITUTE($H1144&amp;" "," ","|",3))-FIND("|",SUBSTITUTE($H1144&amp;" "," ","|",2))-1),""))</f>
        <v/>
      </c>
      <c r="E1144" s="58">
        <f>IF($H1144="","",IFERROR(MID($H1144&amp;" ",FIND("|",SUBSTITUTE($H1144&amp;" "," ","|",3))+1,FIND("|",SUBSTITUTE($H1144&amp;" "," ","|",4))-FIND("|",SUBSTITUTE($H1144&amp;" "," ","|",3))-1),""))</f>
        <v/>
      </c>
      <c r="F1144" s="59">
        <f>IF($H1144="","",IFERROR(VALUE(IFERROR(MID($H1144&amp;" ",FIND("|",SUBSTITUTE($H1144&amp;" "," ","|",4))+1,FIND("|",SUBSTITUTE($H1144&amp;" "," ","|",5))-FIND("|",SUBSTITUTE($H1144&amp;" "," ","|",4))-1),""))/86400+25569+9/24,""))</f>
        <v/>
      </c>
      <c r="G1144" s="58">
        <f>TRIM(SUBSTITUTE(SUBSTITUTE(SUBSTITUTE($A1144,CHAR(9)," ")," "," "),CHAR(13),""))</f>
        <v/>
      </c>
      <c r="H1144" s="58">
        <f>IF($G1144="","",IF(ISNUMBER(FIND(" ",$G1144)),$G1144,IFERROR(IF((LEN(SUBSTITUTE(SUBSTITUTE($G1144,"-"," ",LEN($G1144)-LEN(SUBSTITUTE($G1144,"-",""))),"-"," ",LEN($G1144)-LEN(SUBSTITUTE($G1144,"-",""))-1))-LEN(SUBSTITUTE(SUBSTITUTE(SUBSTITUTE($G1144,"-"," ",LEN($G1144)-LEN(SUBSTITUTE($G1144,"-",""))),"-"," ",LEN($G1144)-LEN(SUBSTITUTE($G1144,"-",""))-1),".","")))=0,SUBSTITUTE(SUBSTITUTE($G1144,"-"," ",LEN($G1144)-LEN(SUBSTITUTE($G1144,"-",""))),"-"," ",LEN($G1144)-LEN(SUBSTITUTE($G1144,"-",""))-1),SUBSTITUTE(SUBSTITUTE(SUBSTITUTE($G1144,"-"," ",LEN($G1144)-LEN(SUBSTITUTE($G1144,"-",""))),"-"," ",LEN($G1144)-LEN(SUBSTITUTE($G1144,"-",""))-1),"."," ",(LEN(SUBSTITUTE(SUBSTITUTE($G1144,"-"," ",LEN($G1144)-LEN(SUBSTITUTE($G1144,"-",""))),"-"," ",LEN($G1144)-LEN(SUBSTITUTE($G1144,"-",""))-1))-LEN(SUBSTITUTE(SUBSTITUTE(SUBSTITUTE($G1144,"-"," ",LEN($G1144)-LEN(SUBSTITUTE($G1144,"-",""))),"-"," ",LEN($G1144)-LEN(SUBSTITUTE($G1144,"-",""))-1),".",""))))),$G1144)))</f>
        <v/>
      </c>
    </row>
    <row r="1145">
      <c r="A1145" s="58" t="n"/>
      <c r="B1145" s="58">
        <f>IF($H1145="","",LEFT($H1145,FIND(" ",$H1145&amp;" ")-1))</f>
        <v/>
      </c>
      <c r="C1145" s="58">
        <f>IF($H1145="","",IFERROR(MID($H1145&amp;" ",FIND("|",SUBSTITUTE($H1145&amp;" "," ","|",1))+1,FIND("|",SUBSTITUTE($H1145&amp;" "," ","|",2))-FIND("|",SUBSTITUTE($H1145&amp;" "," ","|",1))-1),""))</f>
        <v/>
      </c>
      <c r="D1145" s="58">
        <f>IF($H1145="","",IFERROR(MID($H1145&amp;" ",FIND("|",SUBSTITUTE($H1145&amp;" "," ","|",2))+1,FIND("|",SUBSTITUTE($H1145&amp;" "," ","|",3))-FIND("|",SUBSTITUTE($H1145&amp;" "," ","|",2))-1),""))</f>
        <v/>
      </c>
      <c r="E1145" s="58">
        <f>IF($H1145="","",IFERROR(MID($H1145&amp;" ",FIND("|",SUBSTITUTE($H1145&amp;" "," ","|",3))+1,FIND("|",SUBSTITUTE($H1145&amp;" "," ","|",4))-FIND("|",SUBSTITUTE($H1145&amp;" "," ","|",3))-1),""))</f>
        <v/>
      </c>
      <c r="F1145" s="59">
        <f>IF($H1145="","",IFERROR(VALUE(IFERROR(MID($H1145&amp;" ",FIND("|",SUBSTITUTE($H1145&amp;" "," ","|",4))+1,FIND("|",SUBSTITUTE($H1145&amp;" "," ","|",5))-FIND("|",SUBSTITUTE($H1145&amp;" "," ","|",4))-1),""))/86400+25569+9/24,""))</f>
        <v/>
      </c>
      <c r="G1145" s="58">
        <f>TRIM(SUBSTITUTE(SUBSTITUTE(SUBSTITUTE($A1145,CHAR(9)," ")," "," "),CHAR(13),""))</f>
        <v/>
      </c>
      <c r="H1145" s="58">
        <f>IF($G1145="","",IF(ISNUMBER(FIND(" ",$G1145)),$G1145,IFERROR(IF((LEN(SUBSTITUTE(SUBSTITUTE($G1145,"-"," ",LEN($G1145)-LEN(SUBSTITUTE($G1145,"-",""))),"-"," ",LEN($G1145)-LEN(SUBSTITUTE($G1145,"-",""))-1))-LEN(SUBSTITUTE(SUBSTITUTE(SUBSTITUTE($G1145,"-"," ",LEN($G1145)-LEN(SUBSTITUTE($G1145,"-",""))),"-"," ",LEN($G1145)-LEN(SUBSTITUTE($G1145,"-",""))-1),".","")))=0,SUBSTITUTE(SUBSTITUTE($G1145,"-"," ",LEN($G1145)-LEN(SUBSTITUTE($G1145,"-",""))),"-"," ",LEN($G1145)-LEN(SUBSTITUTE($G1145,"-",""))-1),SUBSTITUTE(SUBSTITUTE(SUBSTITUTE($G1145,"-"," ",LEN($G1145)-LEN(SUBSTITUTE($G1145,"-",""))),"-"," ",LEN($G1145)-LEN(SUBSTITUTE($G1145,"-",""))-1),"."," ",(LEN(SUBSTITUTE(SUBSTITUTE($G1145,"-"," ",LEN($G1145)-LEN(SUBSTITUTE($G1145,"-",""))),"-"," ",LEN($G1145)-LEN(SUBSTITUTE($G1145,"-",""))-1))-LEN(SUBSTITUTE(SUBSTITUTE(SUBSTITUTE($G1145,"-"," ",LEN($G1145)-LEN(SUBSTITUTE($G1145,"-",""))),"-"," ",LEN($G1145)-LEN(SUBSTITUTE($G1145,"-",""))-1),".",""))))),$G1145)))</f>
        <v/>
      </c>
    </row>
    <row r="1146">
      <c r="A1146" s="58" t="n"/>
      <c r="B1146" s="58">
        <f>IF($H1146="","",LEFT($H1146,FIND(" ",$H1146&amp;" ")-1))</f>
        <v/>
      </c>
      <c r="C1146" s="58">
        <f>IF($H1146="","",IFERROR(MID($H1146&amp;" ",FIND("|",SUBSTITUTE($H1146&amp;" "," ","|",1))+1,FIND("|",SUBSTITUTE($H1146&amp;" "," ","|",2))-FIND("|",SUBSTITUTE($H1146&amp;" "," ","|",1))-1),""))</f>
        <v/>
      </c>
      <c r="D1146" s="58">
        <f>IF($H1146="","",IFERROR(MID($H1146&amp;" ",FIND("|",SUBSTITUTE($H1146&amp;" "," ","|",2))+1,FIND("|",SUBSTITUTE($H1146&amp;" "," ","|",3))-FIND("|",SUBSTITUTE($H1146&amp;" "," ","|",2))-1),""))</f>
        <v/>
      </c>
      <c r="E1146" s="58">
        <f>IF($H1146="","",IFERROR(MID($H1146&amp;" ",FIND("|",SUBSTITUTE($H1146&amp;" "," ","|",3))+1,FIND("|",SUBSTITUTE($H1146&amp;" "," ","|",4))-FIND("|",SUBSTITUTE($H1146&amp;" "," ","|",3))-1),""))</f>
        <v/>
      </c>
      <c r="F1146" s="59">
        <f>IF($H1146="","",IFERROR(VALUE(IFERROR(MID($H1146&amp;" ",FIND("|",SUBSTITUTE($H1146&amp;" "," ","|",4))+1,FIND("|",SUBSTITUTE($H1146&amp;" "," ","|",5))-FIND("|",SUBSTITUTE($H1146&amp;" "," ","|",4))-1),""))/86400+25569+9/24,""))</f>
        <v/>
      </c>
      <c r="G1146" s="58">
        <f>TRIM(SUBSTITUTE(SUBSTITUTE(SUBSTITUTE($A1146,CHAR(9)," ")," "," "),CHAR(13),""))</f>
        <v/>
      </c>
      <c r="H1146" s="58">
        <f>IF($G1146="","",IF(ISNUMBER(FIND(" ",$G1146)),$G1146,IFERROR(IF((LEN(SUBSTITUTE(SUBSTITUTE($G1146,"-"," ",LEN($G1146)-LEN(SUBSTITUTE($G1146,"-",""))),"-"," ",LEN($G1146)-LEN(SUBSTITUTE($G1146,"-",""))-1))-LEN(SUBSTITUTE(SUBSTITUTE(SUBSTITUTE($G1146,"-"," ",LEN($G1146)-LEN(SUBSTITUTE($G1146,"-",""))),"-"," ",LEN($G1146)-LEN(SUBSTITUTE($G1146,"-",""))-1),".","")))=0,SUBSTITUTE(SUBSTITUTE($G1146,"-"," ",LEN($G1146)-LEN(SUBSTITUTE($G1146,"-",""))),"-"," ",LEN($G1146)-LEN(SUBSTITUTE($G1146,"-",""))-1),SUBSTITUTE(SUBSTITUTE(SUBSTITUTE($G1146,"-"," ",LEN($G1146)-LEN(SUBSTITUTE($G1146,"-",""))),"-"," ",LEN($G1146)-LEN(SUBSTITUTE($G1146,"-",""))-1),"."," ",(LEN(SUBSTITUTE(SUBSTITUTE($G1146,"-"," ",LEN($G1146)-LEN(SUBSTITUTE($G1146,"-",""))),"-"," ",LEN($G1146)-LEN(SUBSTITUTE($G1146,"-",""))-1))-LEN(SUBSTITUTE(SUBSTITUTE(SUBSTITUTE($G1146,"-"," ",LEN($G1146)-LEN(SUBSTITUTE($G1146,"-",""))),"-"," ",LEN($G1146)-LEN(SUBSTITUTE($G1146,"-",""))-1),".",""))))),$G1146)))</f>
        <v/>
      </c>
    </row>
    <row r="1147">
      <c r="A1147" s="58" t="n"/>
      <c r="B1147" s="58">
        <f>IF($H1147="","",LEFT($H1147,FIND(" ",$H1147&amp;" ")-1))</f>
        <v/>
      </c>
      <c r="C1147" s="58">
        <f>IF($H1147="","",IFERROR(MID($H1147&amp;" ",FIND("|",SUBSTITUTE($H1147&amp;" "," ","|",1))+1,FIND("|",SUBSTITUTE($H1147&amp;" "," ","|",2))-FIND("|",SUBSTITUTE($H1147&amp;" "," ","|",1))-1),""))</f>
        <v/>
      </c>
      <c r="D1147" s="58">
        <f>IF($H1147="","",IFERROR(MID($H1147&amp;" ",FIND("|",SUBSTITUTE($H1147&amp;" "," ","|",2))+1,FIND("|",SUBSTITUTE($H1147&amp;" "," ","|",3))-FIND("|",SUBSTITUTE($H1147&amp;" "," ","|",2))-1),""))</f>
        <v/>
      </c>
      <c r="E1147" s="58">
        <f>IF($H1147="","",IFERROR(MID($H1147&amp;" ",FIND("|",SUBSTITUTE($H1147&amp;" "," ","|",3))+1,FIND("|",SUBSTITUTE($H1147&amp;" "," ","|",4))-FIND("|",SUBSTITUTE($H1147&amp;" "," ","|",3))-1),""))</f>
        <v/>
      </c>
      <c r="F1147" s="59">
        <f>IF($H1147="","",IFERROR(VALUE(IFERROR(MID($H1147&amp;" ",FIND("|",SUBSTITUTE($H1147&amp;" "," ","|",4))+1,FIND("|",SUBSTITUTE($H1147&amp;" "," ","|",5))-FIND("|",SUBSTITUTE($H1147&amp;" "," ","|",4))-1),""))/86400+25569+9/24,""))</f>
        <v/>
      </c>
      <c r="G1147" s="58">
        <f>TRIM(SUBSTITUTE(SUBSTITUTE(SUBSTITUTE($A1147,CHAR(9)," ")," "," "),CHAR(13),""))</f>
        <v/>
      </c>
      <c r="H1147" s="58">
        <f>IF($G1147="","",IF(ISNUMBER(FIND(" ",$G1147)),$G1147,IFERROR(IF((LEN(SUBSTITUTE(SUBSTITUTE($G1147,"-"," ",LEN($G1147)-LEN(SUBSTITUTE($G1147,"-",""))),"-"," ",LEN($G1147)-LEN(SUBSTITUTE($G1147,"-",""))-1))-LEN(SUBSTITUTE(SUBSTITUTE(SUBSTITUTE($G1147,"-"," ",LEN($G1147)-LEN(SUBSTITUTE($G1147,"-",""))),"-"," ",LEN($G1147)-LEN(SUBSTITUTE($G1147,"-",""))-1),".","")))=0,SUBSTITUTE(SUBSTITUTE($G1147,"-"," ",LEN($G1147)-LEN(SUBSTITUTE($G1147,"-",""))),"-"," ",LEN($G1147)-LEN(SUBSTITUTE($G1147,"-",""))-1),SUBSTITUTE(SUBSTITUTE(SUBSTITUTE($G1147,"-"," ",LEN($G1147)-LEN(SUBSTITUTE($G1147,"-",""))),"-"," ",LEN($G1147)-LEN(SUBSTITUTE($G1147,"-",""))-1),"."," ",(LEN(SUBSTITUTE(SUBSTITUTE($G1147,"-"," ",LEN($G1147)-LEN(SUBSTITUTE($G1147,"-",""))),"-"," ",LEN($G1147)-LEN(SUBSTITUTE($G1147,"-",""))-1))-LEN(SUBSTITUTE(SUBSTITUTE(SUBSTITUTE($G1147,"-"," ",LEN($G1147)-LEN(SUBSTITUTE($G1147,"-",""))),"-"," ",LEN($G1147)-LEN(SUBSTITUTE($G1147,"-",""))-1),".",""))))),$G1147)))</f>
        <v/>
      </c>
    </row>
    <row r="1148">
      <c r="A1148" s="58" t="n"/>
      <c r="B1148" s="58">
        <f>IF($H1148="","",LEFT($H1148,FIND(" ",$H1148&amp;" ")-1))</f>
        <v/>
      </c>
      <c r="C1148" s="58">
        <f>IF($H1148="","",IFERROR(MID($H1148&amp;" ",FIND("|",SUBSTITUTE($H1148&amp;" "," ","|",1))+1,FIND("|",SUBSTITUTE($H1148&amp;" "," ","|",2))-FIND("|",SUBSTITUTE($H1148&amp;" "," ","|",1))-1),""))</f>
        <v/>
      </c>
      <c r="D1148" s="58">
        <f>IF($H1148="","",IFERROR(MID($H1148&amp;" ",FIND("|",SUBSTITUTE($H1148&amp;" "," ","|",2))+1,FIND("|",SUBSTITUTE($H1148&amp;" "," ","|",3))-FIND("|",SUBSTITUTE($H1148&amp;" "," ","|",2))-1),""))</f>
        <v/>
      </c>
      <c r="E1148" s="58">
        <f>IF($H1148="","",IFERROR(MID($H1148&amp;" ",FIND("|",SUBSTITUTE($H1148&amp;" "," ","|",3))+1,FIND("|",SUBSTITUTE($H1148&amp;" "," ","|",4))-FIND("|",SUBSTITUTE($H1148&amp;" "," ","|",3))-1),""))</f>
        <v/>
      </c>
      <c r="F1148" s="59">
        <f>IF($H1148="","",IFERROR(VALUE(IFERROR(MID($H1148&amp;" ",FIND("|",SUBSTITUTE($H1148&amp;" "," ","|",4))+1,FIND("|",SUBSTITUTE($H1148&amp;" "," ","|",5))-FIND("|",SUBSTITUTE($H1148&amp;" "," ","|",4))-1),""))/86400+25569+9/24,""))</f>
        <v/>
      </c>
      <c r="G1148" s="58">
        <f>TRIM(SUBSTITUTE(SUBSTITUTE(SUBSTITUTE($A1148,CHAR(9)," ")," "," "),CHAR(13),""))</f>
        <v/>
      </c>
      <c r="H1148" s="58">
        <f>IF($G1148="","",IF(ISNUMBER(FIND(" ",$G1148)),$G1148,IFERROR(IF((LEN(SUBSTITUTE(SUBSTITUTE($G1148,"-"," ",LEN($G1148)-LEN(SUBSTITUTE($G1148,"-",""))),"-"," ",LEN($G1148)-LEN(SUBSTITUTE($G1148,"-",""))-1))-LEN(SUBSTITUTE(SUBSTITUTE(SUBSTITUTE($G1148,"-"," ",LEN($G1148)-LEN(SUBSTITUTE($G1148,"-",""))),"-"," ",LEN($G1148)-LEN(SUBSTITUTE($G1148,"-",""))-1),".","")))=0,SUBSTITUTE(SUBSTITUTE($G1148,"-"," ",LEN($G1148)-LEN(SUBSTITUTE($G1148,"-",""))),"-"," ",LEN($G1148)-LEN(SUBSTITUTE($G1148,"-",""))-1),SUBSTITUTE(SUBSTITUTE(SUBSTITUTE($G1148,"-"," ",LEN($G1148)-LEN(SUBSTITUTE($G1148,"-",""))),"-"," ",LEN($G1148)-LEN(SUBSTITUTE($G1148,"-",""))-1),"."," ",(LEN(SUBSTITUTE(SUBSTITUTE($G1148,"-"," ",LEN($G1148)-LEN(SUBSTITUTE($G1148,"-",""))),"-"," ",LEN($G1148)-LEN(SUBSTITUTE($G1148,"-",""))-1))-LEN(SUBSTITUTE(SUBSTITUTE(SUBSTITUTE($G1148,"-"," ",LEN($G1148)-LEN(SUBSTITUTE($G1148,"-",""))),"-"," ",LEN($G1148)-LEN(SUBSTITUTE($G1148,"-",""))-1),".",""))))),$G1148)))</f>
        <v/>
      </c>
    </row>
    <row r="1149">
      <c r="A1149" s="58" t="n"/>
      <c r="B1149" s="58">
        <f>IF($H1149="","",LEFT($H1149,FIND(" ",$H1149&amp;" ")-1))</f>
        <v/>
      </c>
      <c r="C1149" s="58">
        <f>IF($H1149="","",IFERROR(MID($H1149&amp;" ",FIND("|",SUBSTITUTE($H1149&amp;" "," ","|",1))+1,FIND("|",SUBSTITUTE($H1149&amp;" "," ","|",2))-FIND("|",SUBSTITUTE($H1149&amp;" "," ","|",1))-1),""))</f>
        <v/>
      </c>
      <c r="D1149" s="58">
        <f>IF($H1149="","",IFERROR(MID($H1149&amp;" ",FIND("|",SUBSTITUTE($H1149&amp;" "," ","|",2))+1,FIND("|",SUBSTITUTE($H1149&amp;" "," ","|",3))-FIND("|",SUBSTITUTE($H1149&amp;" "," ","|",2))-1),""))</f>
        <v/>
      </c>
      <c r="E1149" s="58">
        <f>IF($H1149="","",IFERROR(MID($H1149&amp;" ",FIND("|",SUBSTITUTE($H1149&amp;" "," ","|",3))+1,FIND("|",SUBSTITUTE($H1149&amp;" "," ","|",4))-FIND("|",SUBSTITUTE($H1149&amp;" "," ","|",3))-1),""))</f>
        <v/>
      </c>
      <c r="F1149" s="59">
        <f>IF($H1149="","",IFERROR(VALUE(IFERROR(MID($H1149&amp;" ",FIND("|",SUBSTITUTE($H1149&amp;" "," ","|",4))+1,FIND("|",SUBSTITUTE($H1149&amp;" "," ","|",5))-FIND("|",SUBSTITUTE($H1149&amp;" "," ","|",4))-1),""))/86400+25569+9/24,""))</f>
        <v/>
      </c>
      <c r="G1149" s="58">
        <f>TRIM(SUBSTITUTE(SUBSTITUTE(SUBSTITUTE($A1149,CHAR(9)," ")," "," "),CHAR(13),""))</f>
        <v/>
      </c>
      <c r="H1149" s="58">
        <f>IF($G1149="","",IF(ISNUMBER(FIND(" ",$G1149)),$G1149,IFERROR(IF((LEN(SUBSTITUTE(SUBSTITUTE($G1149,"-"," ",LEN($G1149)-LEN(SUBSTITUTE($G1149,"-",""))),"-"," ",LEN($G1149)-LEN(SUBSTITUTE($G1149,"-",""))-1))-LEN(SUBSTITUTE(SUBSTITUTE(SUBSTITUTE($G1149,"-"," ",LEN($G1149)-LEN(SUBSTITUTE($G1149,"-",""))),"-"," ",LEN($G1149)-LEN(SUBSTITUTE($G1149,"-",""))-1),".","")))=0,SUBSTITUTE(SUBSTITUTE($G1149,"-"," ",LEN($G1149)-LEN(SUBSTITUTE($G1149,"-",""))),"-"," ",LEN($G1149)-LEN(SUBSTITUTE($G1149,"-",""))-1),SUBSTITUTE(SUBSTITUTE(SUBSTITUTE($G1149,"-"," ",LEN($G1149)-LEN(SUBSTITUTE($G1149,"-",""))),"-"," ",LEN($G1149)-LEN(SUBSTITUTE($G1149,"-",""))-1),"."," ",(LEN(SUBSTITUTE(SUBSTITUTE($G1149,"-"," ",LEN($G1149)-LEN(SUBSTITUTE($G1149,"-",""))),"-"," ",LEN($G1149)-LEN(SUBSTITUTE($G1149,"-",""))-1))-LEN(SUBSTITUTE(SUBSTITUTE(SUBSTITUTE($G1149,"-"," ",LEN($G1149)-LEN(SUBSTITUTE($G1149,"-",""))),"-"," ",LEN($G1149)-LEN(SUBSTITUTE($G1149,"-",""))-1),".",""))))),$G1149)))</f>
        <v/>
      </c>
    </row>
    <row r="1150">
      <c r="A1150" s="58" t="n"/>
      <c r="B1150" s="58">
        <f>IF($H1150="","",LEFT($H1150,FIND(" ",$H1150&amp;" ")-1))</f>
        <v/>
      </c>
      <c r="C1150" s="58">
        <f>IF($H1150="","",IFERROR(MID($H1150&amp;" ",FIND("|",SUBSTITUTE($H1150&amp;" "," ","|",1))+1,FIND("|",SUBSTITUTE($H1150&amp;" "," ","|",2))-FIND("|",SUBSTITUTE($H1150&amp;" "," ","|",1))-1),""))</f>
        <v/>
      </c>
      <c r="D1150" s="58">
        <f>IF($H1150="","",IFERROR(MID($H1150&amp;" ",FIND("|",SUBSTITUTE($H1150&amp;" "," ","|",2))+1,FIND("|",SUBSTITUTE($H1150&amp;" "," ","|",3))-FIND("|",SUBSTITUTE($H1150&amp;" "," ","|",2))-1),""))</f>
        <v/>
      </c>
      <c r="E1150" s="58">
        <f>IF($H1150="","",IFERROR(MID($H1150&amp;" ",FIND("|",SUBSTITUTE($H1150&amp;" "," ","|",3))+1,FIND("|",SUBSTITUTE($H1150&amp;" "," ","|",4))-FIND("|",SUBSTITUTE($H1150&amp;" "," ","|",3))-1),""))</f>
        <v/>
      </c>
      <c r="F1150" s="59">
        <f>IF($H1150="","",IFERROR(VALUE(IFERROR(MID($H1150&amp;" ",FIND("|",SUBSTITUTE($H1150&amp;" "," ","|",4))+1,FIND("|",SUBSTITUTE($H1150&amp;" "," ","|",5))-FIND("|",SUBSTITUTE($H1150&amp;" "," ","|",4))-1),""))/86400+25569+9/24,""))</f>
        <v/>
      </c>
      <c r="G1150" s="58">
        <f>TRIM(SUBSTITUTE(SUBSTITUTE(SUBSTITUTE($A1150,CHAR(9)," ")," "," "),CHAR(13),""))</f>
        <v/>
      </c>
      <c r="H1150" s="58">
        <f>IF($G1150="","",IF(ISNUMBER(FIND(" ",$G1150)),$G1150,IFERROR(IF((LEN(SUBSTITUTE(SUBSTITUTE($G1150,"-"," ",LEN($G1150)-LEN(SUBSTITUTE($G1150,"-",""))),"-"," ",LEN($G1150)-LEN(SUBSTITUTE($G1150,"-",""))-1))-LEN(SUBSTITUTE(SUBSTITUTE(SUBSTITUTE($G1150,"-"," ",LEN($G1150)-LEN(SUBSTITUTE($G1150,"-",""))),"-"," ",LEN($G1150)-LEN(SUBSTITUTE($G1150,"-",""))-1),".","")))=0,SUBSTITUTE(SUBSTITUTE($G1150,"-"," ",LEN($G1150)-LEN(SUBSTITUTE($G1150,"-",""))),"-"," ",LEN($G1150)-LEN(SUBSTITUTE($G1150,"-",""))-1),SUBSTITUTE(SUBSTITUTE(SUBSTITUTE($G1150,"-"," ",LEN($G1150)-LEN(SUBSTITUTE($G1150,"-",""))),"-"," ",LEN($G1150)-LEN(SUBSTITUTE($G1150,"-",""))-1),"."," ",(LEN(SUBSTITUTE(SUBSTITUTE($G1150,"-"," ",LEN($G1150)-LEN(SUBSTITUTE($G1150,"-",""))),"-"," ",LEN($G1150)-LEN(SUBSTITUTE($G1150,"-",""))-1))-LEN(SUBSTITUTE(SUBSTITUTE(SUBSTITUTE($G1150,"-"," ",LEN($G1150)-LEN(SUBSTITUTE($G1150,"-",""))),"-"," ",LEN($G1150)-LEN(SUBSTITUTE($G1150,"-",""))-1),".",""))))),$G1150)))</f>
        <v/>
      </c>
    </row>
    <row r="1151">
      <c r="A1151" s="58" t="n"/>
      <c r="B1151" s="58">
        <f>IF($H1151="","",LEFT($H1151,FIND(" ",$H1151&amp;" ")-1))</f>
        <v/>
      </c>
      <c r="C1151" s="58">
        <f>IF($H1151="","",IFERROR(MID($H1151&amp;" ",FIND("|",SUBSTITUTE($H1151&amp;" "," ","|",1))+1,FIND("|",SUBSTITUTE($H1151&amp;" "," ","|",2))-FIND("|",SUBSTITUTE($H1151&amp;" "," ","|",1))-1),""))</f>
        <v/>
      </c>
      <c r="D1151" s="58">
        <f>IF($H1151="","",IFERROR(MID($H1151&amp;" ",FIND("|",SUBSTITUTE($H1151&amp;" "," ","|",2))+1,FIND("|",SUBSTITUTE($H1151&amp;" "," ","|",3))-FIND("|",SUBSTITUTE($H1151&amp;" "," ","|",2))-1),""))</f>
        <v/>
      </c>
      <c r="E1151" s="58">
        <f>IF($H1151="","",IFERROR(MID($H1151&amp;" ",FIND("|",SUBSTITUTE($H1151&amp;" "," ","|",3))+1,FIND("|",SUBSTITUTE($H1151&amp;" "," ","|",4))-FIND("|",SUBSTITUTE($H1151&amp;" "," ","|",3))-1),""))</f>
        <v/>
      </c>
      <c r="F1151" s="59">
        <f>IF($H1151="","",IFERROR(VALUE(IFERROR(MID($H1151&amp;" ",FIND("|",SUBSTITUTE($H1151&amp;" "," ","|",4))+1,FIND("|",SUBSTITUTE($H1151&amp;" "," ","|",5))-FIND("|",SUBSTITUTE($H1151&amp;" "," ","|",4))-1),""))/86400+25569+9/24,""))</f>
        <v/>
      </c>
      <c r="G1151" s="58">
        <f>TRIM(SUBSTITUTE(SUBSTITUTE(SUBSTITUTE($A1151,CHAR(9)," ")," "," "),CHAR(13),""))</f>
        <v/>
      </c>
      <c r="H1151" s="58">
        <f>IF($G1151="","",IF(ISNUMBER(FIND(" ",$G1151)),$G1151,IFERROR(IF((LEN(SUBSTITUTE(SUBSTITUTE($G1151,"-"," ",LEN($G1151)-LEN(SUBSTITUTE($G1151,"-",""))),"-"," ",LEN($G1151)-LEN(SUBSTITUTE($G1151,"-",""))-1))-LEN(SUBSTITUTE(SUBSTITUTE(SUBSTITUTE($G1151,"-"," ",LEN($G1151)-LEN(SUBSTITUTE($G1151,"-",""))),"-"," ",LEN($G1151)-LEN(SUBSTITUTE($G1151,"-",""))-1),".","")))=0,SUBSTITUTE(SUBSTITUTE($G1151,"-"," ",LEN($G1151)-LEN(SUBSTITUTE($G1151,"-",""))),"-"," ",LEN($G1151)-LEN(SUBSTITUTE($G1151,"-",""))-1),SUBSTITUTE(SUBSTITUTE(SUBSTITUTE($G1151,"-"," ",LEN($G1151)-LEN(SUBSTITUTE($G1151,"-",""))),"-"," ",LEN($G1151)-LEN(SUBSTITUTE($G1151,"-",""))-1),"."," ",(LEN(SUBSTITUTE(SUBSTITUTE($G1151,"-"," ",LEN($G1151)-LEN(SUBSTITUTE($G1151,"-",""))),"-"," ",LEN($G1151)-LEN(SUBSTITUTE($G1151,"-",""))-1))-LEN(SUBSTITUTE(SUBSTITUTE(SUBSTITUTE($G1151,"-"," ",LEN($G1151)-LEN(SUBSTITUTE($G1151,"-",""))),"-"," ",LEN($G1151)-LEN(SUBSTITUTE($G1151,"-",""))-1),".",""))))),$G1151)))</f>
        <v/>
      </c>
    </row>
    <row r="1152">
      <c r="A1152" s="58" t="n"/>
      <c r="B1152" s="58">
        <f>IF($H1152="","",LEFT($H1152,FIND(" ",$H1152&amp;" ")-1))</f>
        <v/>
      </c>
      <c r="C1152" s="58">
        <f>IF($H1152="","",IFERROR(MID($H1152&amp;" ",FIND("|",SUBSTITUTE($H1152&amp;" "," ","|",1))+1,FIND("|",SUBSTITUTE($H1152&amp;" "," ","|",2))-FIND("|",SUBSTITUTE($H1152&amp;" "," ","|",1))-1),""))</f>
        <v/>
      </c>
      <c r="D1152" s="58">
        <f>IF($H1152="","",IFERROR(MID($H1152&amp;" ",FIND("|",SUBSTITUTE($H1152&amp;" "," ","|",2))+1,FIND("|",SUBSTITUTE($H1152&amp;" "," ","|",3))-FIND("|",SUBSTITUTE($H1152&amp;" "," ","|",2))-1),""))</f>
        <v/>
      </c>
      <c r="E1152" s="58">
        <f>IF($H1152="","",IFERROR(MID($H1152&amp;" ",FIND("|",SUBSTITUTE($H1152&amp;" "," ","|",3))+1,FIND("|",SUBSTITUTE($H1152&amp;" "," ","|",4))-FIND("|",SUBSTITUTE($H1152&amp;" "," ","|",3))-1),""))</f>
        <v/>
      </c>
      <c r="F1152" s="59">
        <f>IF($H1152="","",IFERROR(VALUE(IFERROR(MID($H1152&amp;" ",FIND("|",SUBSTITUTE($H1152&amp;" "," ","|",4))+1,FIND("|",SUBSTITUTE($H1152&amp;" "," ","|",5))-FIND("|",SUBSTITUTE($H1152&amp;" "," ","|",4))-1),""))/86400+25569+9/24,""))</f>
        <v/>
      </c>
      <c r="G1152" s="58">
        <f>TRIM(SUBSTITUTE(SUBSTITUTE(SUBSTITUTE($A1152,CHAR(9)," ")," "," "),CHAR(13),""))</f>
        <v/>
      </c>
      <c r="H1152" s="58">
        <f>IF($G1152="","",IF(ISNUMBER(FIND(" ",$G1152)),$G1152,IFERROR(IF((LEN(SUBSTITUTE(SUBSTITUTE($G1152,"-"," ",LEN($G1152)-LEN(SUBSTITUTE($G1152,"-",""))),"-"," ",LEN($G1152)-LEN(SUBSTITUTE($G1152,"-",""))-1))-LEN(SUBSTITUTE(SUBSTITUTE(SUBSTITUTE($G1152,"-"," ",LEN($G1152)-LEN(SUBSTITUTE($G1152,"-",""))),"-"," ",LEN($G1152)-LEN(SUBSTITUTE($G1152,"-",""))-1),".","")))=0,SUBSTITUTE(SUBSTITUTE($G1152,"-"," ",LEN($G1152)-LEN(SUBSTITUTE($G1152,"-",""))),"-"," ",LEN($G1152)-LEN(SUBSTITUTE($G1152,"-",""))-1),SUBSTITUTE(SUBSTITUTE(SUBSTITUTE($G1152,"-"," ",LEN($G1152)-LEN(SUBSTITUTE($G1152,"-",""))),"-"," ",LEN($G1152)-LEN(SUBSTITUTE($G1152,"-",""))-1),"."," ",(LEN(SUBSTITUTE(SUBSTITUTE($G1152,"-"," ",LEN($G1152)-LEN(SUBSTITUTE($G1152,"-",""))),"-"," ",LEN($G1152)-LEN(SUBSTITUTE($G1152,"-",""))-1))-LEN(SUBSTITUTE(SUBSTITUTE(SUBSTITUTE($G1152,"-"," ",LEN($G1152)-LEN(SUBSTITUTE($G1152,"-",""))),"-"," ",LEN($G1152)-LEN(SUBSTITUTE($G1152,"-",""))-1),".",""))))),$G1152)))</f>
        <v/>
      </c>
    </row>
    <row r="1153">
      <c r="A1153" s="58" t="n"/>
      <c r="B1153" s="58">
        <f>IF($H1153="","",LEFT($H1153,FIND(" ",$H1153&amp;" ")-1))</f>
        <v/>
      </c>
      <c r="C1153" s="58">
        <f>IF($H1153="","",IFERROR(MID($H1153&amp;" ",FIND("|",SUBSTITUTE($H1153&amp;" "," ","|",1))+1,FIND("|",SUBSTITUTE($H1153&amp;" "," ","|",2))-FIND("|",SUBSTITUTE($H1153&amp;" "," ","|",1))-1),""))</f>
        <v/>
      </c>
      <c r="D1153" s="58">
        <f>IF($H1153="","",IFERROR(MID($H1153&amp;" ",FIND("|",SUBSTITUTE($H1153&amp;" "," ","|",2))+1,FIND("|",SUBSTITUTE($H1153&amp;" "," ","|",3))-FIND("|",SUBSTITUTE($H1153&amp;" "," ","|",2))-1),""))</f>
        <v/>
      </c>
      <c r="E1153" s="58">
        <f>IF($H1153="","",IFERROR(MID($H1153&amp;" ",FIND("|",SUBSTITUTE($H1153&amp;" "," ","|",3))+1,FIND("|",SUBSTITUTE($H1153&amp;" "," ","|",4))-FIND("|",SUBSTITUTE($H1153&amp;" "," ","|",3))-1),""))</f>
        <v/>
      </c>
      <c r="F1153" s="59">
        <f>IF($H1153="","",IFERROR(VALUE(IFERROR(MID($H1153&amp;" ",FIND("|",SUBSTITUTE($H1153&amp;" "," ","|",4))+1,FIND("|",SUBSTITUTE($H1153&amp;" "," ","|",5))-FIND("|",SUBSTITUTE($H1153&amp;" "," ","|",4))-1),""))/86400+25569+9/24,""))</f>
        <v/>
      </c>
      <c r="G1153" s="58">
        <f>TRIM(SUBSTITUTE(SUBSTITUTE(SUBSTITUTE($A1153,CHAR(9)," ")," "," "),CHAR(13),""))</f>
        <v/>
      </c>
      <c r="H1153" s="58">
        <f>IF($G1153="","",IF(ISNUMBER(FIND(" ",$G1153)),$G1153,IFERROR(IF((LEN(SUBSTITUTE(SUBSTITUTE($G1153,"-"," ",LEN($G1153)-LEN(SUBSTITUTE($G1153,"-",""))),"-"," ",LEN($G1153)-LEN(SUBSTITUTE($G1153,"-",""))-1))-LEN(SUBSTITUTE(SUBSTITUTE(SUBSTITUTE($G1153,"-"," ",LEN($G1153)-LEN(SUBSTITUTE($G1153,"-",""))),"-"," ",LEN($G1153)-LEN(SUBSTITUTE($G1153,"-",""))-1),".","")))=0,SUBSTITUTE(SUBSTITUTE($G1153,"-"," ",LEN($G1153)-LEN(SUBSTITUTE($G1153,"-",""))),"-"," ",LEN($G1153)-LEN(SUBSTITUTE($G1153,"-",""))-1),SUBSTITUTE(SUBSTITUTE(SUBSTITUTE($G1153,"-"," ",LEN($G1153)-LEN(SUBSTITUTE($G1153,"-",""))),"-"," ",LEN($G1153)-LEN(SUBSTITUTE($G1153,"-",""))-1),"."," ",(LEN(SUBSTITUTE(SUBSTITUTE($G1153,"-"," ",LEN($G1153)-LEN(SUBSTITUTE($G1153,"-",""))),"-"," ",LEN($G1153)-LEN(SUBSTITUTE($G1153,"-",""))-1))-LEN(SUBSTITUTE(SUBSTITUTE(SUBSTITUTE($G1153,"-"," ",LEN($G1153)-LEN(SUBSTITUTE($G1153,"-",""))),"-"," ",LEN($G1153)-LEN(SUBSTITUTE($G1153,"-",""))-1),".",""))))),$G1153)))</f>
        <v/>
      </c>
    </row>
    <row r="1154">
      <c r="A1154" s="58" t="n"/>
      <c r="B1154" s="58">
        <f>IF($H1154="","",LEFT($H1154,FIND(" ",$H1154&amp;" ")-1))</f>
        <v/>
      </c>
      <c r="C1154" s="58">
        <f>IF($H1154="","",IFERROR(MID($H1154&amp;" ",FIND("|",SUBSTITUTE($H1154&amp;" "," ","|",1))+1,FIND("|",SUBSTITUTE($H1154&amp;" "," ","|",2))-FIND("|",SUBSTITUTE($H1154&amp;" "," ","|",1))-1),""))</f>
        <v/>
      </c>
      <c r="D1154" s="58">
        <f>IF($H1154="","",IFERROR(MID($H1154&amp;" ",FIND("|",SUBSTITUTE($H1154&amp;" "," ","|",2))+1,FIND("|",SUBSTITUTE($H1154&amp;" "," ","|",3))-FIND("|",SUBSTITUTE($H1154&amp;" "," ","|",2))-1),""))</f>
        <v/>
      </c>
      <c r="E1154" s="58">
        <f>IF($H1154="","",IFERROR(MID($H1154&amp;" ",FIND("|",SUBSTITUTE($H1154&amp;" "," ","|",3))+1,FIND("|",SUBSTITUTE($H1154&amp;" "," ","|",4))-FIND("|",SUBSTITUTE($H1154&amp;" "," ","|",3))-1),""))</f>
        <v/>
      </c>
      <c r="F1154" s="59">
        <f>IF($H1154="","",IFERROR(VALUE(IFERROR(MID($H1154&amp;" ",FIND("|",SUBSTITUTE($H1154&amp;" "," ","|",4))+1,FIND("|",SUBSTITUTE($H1154&amp;" "," ","|",5))-FIND("|",SUBSTITUTE($H1154&amp;" "," ","|",4))-1),""))/86400+25569+9/24,""))</f>
        <v/>
      </c>
      <c r="G1154" s="58">
        <f>TRIM(SUBSTITUTE(SUBSTITUTE(SUBSTITUTE($A1154,CHAR(9)," ")," "," "),CHAR(13),""))</f>
        <v/>
      </c>
      <c r="H1154" s="58">
        <f>IF($G1154="","",IF(ISNUMBER(FIND(" ",$G1154)),$G1154,IFERROR(IF((LEN(SUBSTITUTE(SUBSTITUTE($G1154,"-"," ",LEN($G1154)-LEN(SUBSTITUTE($G1154,"-",""))),"-"," ",LEN($G1154)-LEN(SUBSTITUTE($G1154,"-",""))-1))-LEN(SUBSTITUTE(SUBSTITUTE(SUBSTITUTE($G1154,"-"," ",LEN($G1154)-LEN(SUBSTITUTE($G1154,"-",""))),"-"," ",LEN($G1154)-LEN(SUBSTITUTE($G1154,"-",""))-1),".","")))=0,SUBSTITUTE(SUBSTITUTE($G1154,"-"," ",LEN($G1154)-LEN(SUBSTITUTE($G1154,"-",""))),"-"," ",LEN($G1154)-LEN(SUBSTITUTE($G1154,"-",""))-1),SUBSTITUTE(SUBSTITUTE(SUBSTITUTE($G1154,"-"," ",LEN($G1154)-LEN(SUBSTITUTE($G1154,"-",""))),"-"," ",LEN($G1154)-LEN(SUBSTITUTE($G1154,"-",""))-1),"."," ",(LEN(SUBSTITUTE(SUBSTITUTE($G1154,"-"," ",LEN($G1154)-LEN(SUBSTITUTE($G1154,"-",""))),"-"," ",LEN($G1154)-LEN(SUBSTITUTE($G1154,"-",""))-1))-LEN(SUBSTITUTE(SUBSTITUTE(SUBSTITUTE($G1154,"-"," ",LEN($G1154)-LEN(SUBSTITUTE($G1154,"-",""))),"-"," ",LEN($G1154)-LEN(SUBSTITUTE($G1154,"-",""))-1),".",""))))),$G1154)))</f>
        <v/>
      </c>
    </row>
    <row r="1155">
      <c r="A1155" s="58" t="n"/>
      <c r="B1155" s="58">
        <f>IF($H1155="","",LEFT($H1155,FIND(" ",$H1155&amp;" ")-1))</f>
        <v/>
      </c>
      <c r="C1155" s="58">
        <f>IF($H1155="","",IFERROR(MID($H1155&amp;" ",FIND("|",SUBSTITUTE($H1155&amp;" "," ","|",1))+1,FIND("|",SUBSTITUTE($H1155&amp;" "," ","|",2))-FIND("|",SUBSTITUTE($H1155&amp;" "," ","|",1))-1),""))</f>
        <v/>
      </c>
      <c r="D1155" s="58">
        <f>IF($H1155="","",IFERROR(MID($H1155&amp;" ",FIND("|",SUBSTITUTE($H1155&amp;" "," ","|",2))+1,FIND("|",SUBSTITUTE($H1155&amp;" "," ","|",3))-FIND("|",SUBSTITUTE($H1155&amp;" "," ","|",2))-1),""))</f>
        <v/>
      </c>
      <c r="E1155" s="58">
        <f>IF($H1155="","",IFERROR(MID($H1155&amp;" ",FIND("|",SUBSTITUTE($H1155&amp;" "," ","|",3))+1,FIND("|",SUBSTITUTE($H1155&amp;" "," ","|",4))-FIND("|",SUBSTITUTE($H1155&amp;" "," ","|",3))-1),""))</f>
        <v/>
      </c>
      <c r="F1155" s="59">
        <f>IF($H1155="","",IFERROR(VALUE(IFERROR(MID($H1155&amp;" ",FIND("|",SUBSTITUTE($H1155&amp;" "," ","|",4))+1,FIND("|",SUBSTITUTE($H1155&amp;" "," ","|",5))-FIND("|",SUBSTITUTE($H1155&amp;" "," ","|",4))-1),""))/86400+25569+9/24,""))</f>
        <v/>
      </c>
      <c r="G1155" s="58">
        <f>TRIM(SUBSTITUTE(SUBSTITUTE(SUBSTITUTE($A1155,CHAR(9)," ")," "," "),CHAR(13),""))</f>
        <v/>
      </c>
      <c r="H1155" s="58">
        <f>IF($G1155="","",IF(ISNUMBER(FIND(" ",$G1155)),$G1155,IFERROR(IF((LEN(SUBSTITUTE(SUBSTITUTE($G1155,"-"," ",LEN($G1155)-LEN(SUBSTITUTE($G1155,"-",""))),"-"," ",LEN($G1155)-LEN(SUBSTITUTE($G1155,"-",""))-1))-LEN(SUBSTITUTE(SUBSTITUTE(SUBSTITUTE($G1155,"-"," ",LEN($G1155)-LEN(SUBSTITUTE($G1155,"-",""))),"-"," ",LEN($G1155)-LEN(SUBSTITUTE($G1155,"-",""))-1),".","")))=0,SUBSTITUTE(SUBSTITUTE($G1155,"-"," ",LEN($G1155)-LEN(SUBSTITUTE($G1155,"-",""))),"-"," ",LEN($G1155)-LEN(SUBSTITUTE($G1155,"-",""))-1),SUBSTITUTE(SUBSTITUTE(SUBSTITUTE($G1155,"-"," ",LEN($G1155)-LEN(SUBSTITUTE($G1155,"-",""))),"-"," ",LEN($G1155)-LEN(SUBSTITUTE($G1155,"-",""))-1),"."," ",(LEN(SUBSTITUTE(SUBSTITUTE($G1155,"-"," ",LEN($G1155)-LEN(SUBSTITUTE($G1155,"-",""))),"-"," ",LEN($G1155)-LEN(SUBSTITUTE($G1155,"-",""))-1))-LEN(SUBSTITUTE(SUBSTITUTE(SUBSTITUTE($G1155,"-"," ",LEN($G1155)-LEN(SUBSTITUTE($G1155,"-",""))),"-"," ",LEN($G1155)-LEN(SUBSTITUTE($G1155,"-",""))-1),".",""))))),$G1155)))</f>
        <v/>
      </c>
    </row>
    <row r="1156">
      <c r="A1156" s="58" t="n"/>
      <c r="B1156" s="58">
        <f>IF($H1156="","",LEFT($H1156,FIND(" ",$H1156&amp;" ")-1))</f>
        <v/>
      </c>
      <c r="C1156" s="58">
        <f>IF($H1156="","",IFERROR(MID($H1156&amp;" ",FIND("|",SUBSTITUTE($H1156&amp;" "," ","|",1))+1,FIND("|",SUBSTITUTE($H1156&amp;" "," ","|",2))-FIND("|",SUBSTITUTE($H1156&amp;" "," ","|",1))-1),""))</f>
        <v/>
      </c>
      <c r="D1156" s="58">
        <f>IF($H1156="","",IFERROR(MID($H1156&amp;" ",FIND("|",SUBSTITUTE($H1156&amp;" "," ","|",2))+1,FIND("|",SUBSTITUTE($H1156&amp;" "," ","|",3))-FIND("|",SUBSTITUTE($H1156&amp;" "," ","|",2))-1),""))</f>
        <v/>
      </c>
      <c r="E1156" s="58">
        <f>IF($H1156="","",IFERROR(MID($H1156&amp;" ",FIND("|",SUBSTITUTE($H1156&amp;" "," ","|",3))+1,FIND("|",SUBSTITUTE($H1156&amp;" "," ","|",4))-FIND("|",SUBSTITUTE($H1156&amp;" "," ","|",3))-1),""))</f>
        <v/>
      </c>
      <c r="F1156" s="59">
        <f>IF($H1156="","",IFERROR(VALUE(IFERROR(MID($H1156&amp;" ",FIND("|",SUBSTITUTE($H1156&amp;" "," ","|",4))+1,FIND("|",SUBSTITUTE($H1156&amp;" "," ","|",5))-FIND("|",SUBSTITUTE($H1156&amp;" "," ","|",4))-1),""))/86400+25569+9/24,""))</f>
        <v/>
      </c>
      <c r="G1156" s="58">
        <f>TRIM(SUBSTITUTE(SUBSTITUTE(SUBSTITUTE($A1156,CHAR(9)," ")," "," "),CHAR(13),""))</f>
        <v/>
      </c>
      <c r="H1156" s="58">
        <f>IF($G1156="","",IF(ISNUMBER(FIND(" ",$G1156)),$G1156,IFERROR(IF((LEN(SUBSTITUTE(SUBSTITUTE($G1156,"-"," ",LEN($G1156)-LEN(SUBSTITUTE($G1156,"-",""))),"-"," ",LEN($G1156)-LEN(SUBSTITUTE($G1156,"-",""))-1))-LEN(SUBSTITUTE(SUBSTITUTE(SUBSTITUTE($G1156,"-"," ",LEN($G1156)-LEN(SUBSTITUTE($G1156,"-",""))),"-"," ",LEN($G1156)-LEN(SUBSTITUTE($G1156,"-",""))-1),".","")))=0,SUBSTITUTE(SUBSTITUTE($G1156,"-"," ",LEN($G1156)-LEN(SUBSTITUTE($G1156,"-",""))),"-"," ",LEN($G1156)-LEN(SUBSTITUTE($G1156,"-",""))-1),SUBSTITUTE(SUBSTITUTE(SUBSTITUTE($G1156,"-"," ",LEN($G1156)-LEN(SUBSTITUTE($G1156,"-",""))),"-"," ",LEN($G1156)-LEN(SUBSTITUTE($G1156,"-",""))-1),"."," ",(LEN(SUBSTITUTE(SUBSTITUTE($G1156,"-"," ",LEN($G1156)-LEN(SUBSTITUTE($G1156,"-",""))),"-"," ",LEN($G1156)-LEN(SUBSTITUTE($G1156,"-",""))-1))-LEN(SUBSTITUTE(SUBSTITUTE(SUBSTITUTE($G1156,"-"," ",LEN($G1156)-LEN(SUBSTITUTE($G1156,"-",""))),"-"," ",LEN($G1156)-LEN(SUBSTITUTE($G1156,"-",""))-1),".",""))))),$G1156)))</f>
        <v/>
      </c>
    </row>
    <row r="1157">
      <c r="A1157" s="58" t="n"/>
      <c r="B1157" s="58">
        <f>IF($H1157="","",LEFT($H1157,FIND(" ",$H1157&amp;" ")-1))</f>
        <v/>
      </c>
      <c r="C1157" s="58">
        <f>IF($H1157="","",IFERROR(MID($H1157&amp;" ",FIND("|",SUBSTITUTE($H1157&amp;" "," ","|",1))+1,FIND("|",SUBSTITUTE($H1157&amp;" "," ","|",2))-FIND("|",SUBSTITUTE($H1157&amp;" "," ","|",1))-1),""))</f>
        <v/>
      </c>
      <c r="D1157" s="58">
        <f>IF($H1157="","",IFERROR(MID($H1157&amp;" ",FIND("|",SUBSTITUTE($H1157&amp;" "," ","|",2))+1,FIND("|",SUBSTITUTE($H1157&amp;" "," ","|",3))-FIND("|",SUBSTITUTE($H1157&amp;" "," ","|",2))-1),""))</f>
        <v/>
      </c>
      <c r="E1157" s="58">
        <f>IF($H1157="","",IFERROR(MID($H1157&amp;" ",FIND("|",SUBSTITUTE($H1157&amp;" "," ","|",3))+1,FIND("|",SUBSTITUTE($H1157&amp;" "," ","|",4))-FIND("|",SUBSTITUTE($H1157&amp;" "," ","|",3))-1),""))</f>
        <v/>
      </c>
      <c r="F1157" s="59">
        <f>IF($H1157="","",IFERROR(VALUE(IFERROR(MID($H1157&amp;" ",FIND("|",SUBSTITUTE($H1157&amp;" "," ","|",4))+1,FIND("|",SUBSTITUTE($H1157&amp;" "," ","|",5))-FIND("|",SUBSTITUTE($H1157&amp;" "," ","|",4))-1),""))/86400+25569+9/24,""))</f>
        <v/>
      </c>
      <c r="G1157" s="58">
        <f>TRIM(SUBSTITUTE(SUBSTITUTE(SUBSTITUTE($A1157,CHAR(9)," ")," "," "),CHAR(13),""))</f>
        <v/>
      </c>
      <c r="H1157" s="58">
        <f>IF($G1157="","",IF(ISNUMBER(FIND(" ",$G1157)),$G1157,IFERROR(IF((LEN(SUBSTITUTE(SUBSTITUTE($G1157,"-"," ",LEN($G1157)-LEN(SUBSTITUTE($G1157,"-",""))),"-"," ",LEN($G1157)-LEN(SUBSTITUTE($G1157,"-",""))-1))-LEN(SUBSTITUTE(SUBSTITUTE(SUBSTITUTE($G1157,"-"," ",LEN($G1157)-LEN(SUBSTITUTE($G1157,"-",""))),"-"," ",LEN($G1157)-LEN(SUBSTITUTE($G1157,"-",""))-1),".","")))=0,SUBSTITUTE(SUBSTITUTE($G1157,"-"," ",LEN($G1157)-LEN(SUBSTITUTE($G1157,"-",""))),"-"," ",LEN($G1157)-LEN(SUBSTITUTE($G1157,"-",""))-1),SUBSTITUTE(SUBSTITUTE(SUBSTITUTE($G1157,"-"," ",LEN($G1157)-LEN(SUBSTITUTE($G1157,"-",""))),"-"," ",LEN($G1157)-LEN(SUBSTITUTE($G1157,"-",""))-1),"."," ",(LEN(SUBSTITUTE(SUBSTITUTE($G1157,"-"," ",LEN($G1157)-LEN(SUBSTITUTE($G1157,"-",""))),"-"," ",LEN($G1157)-LEN(SUBSTITUTE($G1157,"-",""))-1))-LEN(SUBSTITUTE(SUBSTITUTE(SUBSTITUTE($G1157,"-"," ",LEN($G1157)-LEN(SUBSTITUTE($G1157,"-",""))),"-"," ",LEN($G1157)-LEN(SUBSTITUTE($G1157,"-",""))-1),".",""))))),$G1157)))</f>
        <v/>
      </c>
    </row>
    <row r="1158">
      <c r="A1158" s="58" t="n"/>
      <c r="B1158" s="58">
        <f>IF($H1158="","",LEFT($H1158,FIND(" ",$H1158&amp;" ")-1))</f>
        <v/>
      </c>
      <c r="C1158" s="58">
        <f>IF($H1158="","",IFERROR(MID($H1158&amp;" ",FIND("|",SUBSTITUTE($H1158&amp;" "," ","|",1))+1,FIND("|",SUBSTITUTE($H1158&amp;" "," ","|",2))-FIND("|",SUBSTITUTE($H1158&amp;" "," ","|",1))-1),""))</f>
        <v/>
      </c>
      <c r="D1158" s="58">
        <f>IF($H1158="","",IFERROR(MID($H1158&amp;" ",FIND("|",SUBSTITUTE($H1158&amp;" "," ","|",2))+1,FIND("|",SUBSTITUTE($H1158&amp;" "," ","|",3))-FIND("|",SUBSTITUTE($H1158&amp;" "," ","|",2))-1),""))</f>
        <v/>
      </c>
      <c r="E1158" s="58">
        <f>IF($H1158="","",IFERROR(MID($H1158&amp;" ",FIND("|",SUBSTITUTE($H1158&amp;" "," ","|",3))+1,FIND("|",SUBSTITUTE($H1158&amp;" "," ","|",4))-FIND("|",SUBSTITUTE($H1158&amp;" "," ","|",3))-1),""))</f>
        <v/>
      </c>
      <c r="F1158" s="59">
        <f>IF($H1158="","",IFERROR(VALUE(IFERROR(MID($H1158&amp;" ",FIND("|",SUBSTITUTE($H1158&amp;" "," ","|",4))+1,FIND("|",SUBSTITUTE($H1158&amp;" "," ","|",5))-FIND("|",SUBSTITUTE($H1158&amp;" "," ","|",4))-1),""))/86400+25569+9/24,""))</f>
        <v/>
      </c>
      <c r="G1158" s="58">
        <f>TRIM(SUBSTITUTE(SUBSTITUTE(SUBSTITUTE($A1158,CHAR(9)," ")," "," "),CHAR(13),""))</f>
        <v/>
      </c>
      <c r="H1158" s="58">
        <f>IF($G1158="","",IF(ISNUMBER(FIND(" ",$G1158)),$G1158,IFERROR(IF((LEN(SUBSTITUTE(SUBSTITUTE($G1158,"-"," ",LEN($G1158)-LEN(SUBSTITUTE($G1158,"-",""))),"-"," ",LEN($G1158)-LEN(SUBSTITUTE($G1158,"-",""))-1))-LEN(SUBSTITUTE(SUBSTITUTE(SUBSTITUTE($G1158,"-"," ",LEN($G1158)-LEN(SUBSTITUTE($G1158,"-",""))),"-"," ",LEN($G1158)-LEN(SUBSTITUTE($G1158,"-",""))-1),".","")))=0,SUBSTITUTE(SUBSTITUTE($G1158,"-"," ",LEN($G1158)-LEN(SUBSTITUTE($G1158,"-",""))),"-"," ",LEN($G1158)-LEN(SUBSTITUTE($G1158,"-",""))-1),SUBSTITUTE(SUBSTITUTE(SUBSTITUTE($G1158,"-"," ",LEN($G1158)-LEN(SUBSTITUTE($G1158,"-",""))),"-"," ",LEN($G1158)-LEN(SUBSTITUTE($G1158,"-",""))-1),"."," ",(LEN(SUBSTITUTE(SUBSTITUTE($G1158,"-"," ",LEN($G1158)-LEN(SUBSTITUTE($G1158,"-",""))),"-"," ",LEN($G1158)-LEN(SUBSTITUTE($G1158,"-",""))-1))-LEN(SUBSTITUTE(SUBSTITUTE(SUBSTITUTE($G1158,"-"," ",LEN($G1158)-LEN(SUBSTITUTE($G1158,"-",""))),"-"," ",LEN($G1158)-LEN(SUBSTITUTE($G1158,"-",""))-1),".",""))))),$G1158)))</f>
        <v/>
      </c>
    </row>
    <row r="1159">
      <c r="A1159" s="58" t="n"/>
      <c r="B1159" s="58">
        <f>IF($H1159="","",LEFT($H1159,FIND(" ",$H1159&amp;" ")-1))</f>
        <v/>
      </c>
      <c r="C1159" s="58">
        <f>IF($H1159="","",IFERROR(MID($H1159&amp;" ",FIND("|",SUBSTITUTE($H1159&amp;" "," ","|",1))+1,FIND("|",SUBSTITUTE($H1159&amp;" "," ","|",2))-FIND("|",SUBSTITUTE($H1159&amp;" "," ","|",1))-1),""))</f>
        <v/>
      </c>
      <c r="D1159" s="58">
        <f>IF($H1159="","",IFERROR(MID($H1159&amp;" ",FIND("|",SUBSTITUTE($H1159&amp;" "," ","|",2))+1,FIND("|",SUBSTITUTE($H1159&amp;" "," ","|",3))-FIND("|",SUBSTITUTE($H1159&amp;" "," ","|",2))-1),""))</f>
        <v/>
      </c>
      <c r="E1159" s="58">
        <f>IF($H1159="","",IFERROR(MID($H1159&amp;" ",FIND("|",SUBSTITUTE($H1159&amp;" "," ","|",3))+1,FIND("|",SUBSTITUTE($H1159&amp;" "," ","|",4))-FIND("|",SUBSTITUTE($H1159&amp;" "," ","|",3))-1),""))</f>
        <v/>
      </c>
      <c r="F1159" s="59">
        <f>IF($H1159="","",IFERROR(VALUE(IFERROR(MID($H1159&amp;" ",FIND("|",SUBSTITUTE($H1159&amp;" "," ","|",4))+1,FIND("|",SUBSTITUTE($H1159&amp;" "," ","|",5))-FIND("|",SUBSTITUTE($H1159&amp;" "," ","|",4))-1),""))/86400+25569+9/24,""))</f>
        <v/>
      </c>
      <c r="G1159" s="58">
        <f>TRIM(SUBSTITUTE(SUBSTITUTE(SUBSTITUTE($A1159,CHAR(9)," ")," "," "),CHAR(13),""))</f>
        <v/>
      </c>
      <c r="H1159" s="58">
        <f>IF($G1159="","",IF(ISNUMBER(FIND(" ",$G1159)),$G1159,IFERROR(IF((LEN(SUBSTITUTE(SUBSTITUTE($G1159,"-"," ",LEN($G1159)-LEN(SUBSTITUTE($G1159,"-",""))),"-"," ",LEN($G1159)-LEN(SUBSTITUTE($G1159,"-",""))-1))-LEN(SUBSTITUTE(SUBSTITUTE(SUBSTITUTE($G1159,"-"," ",LEN($G1159)-LEN(SUBSTITUTE($G1159,"-",""))),"-"," ",LEN($G1159)-LEN(SUBSTITUTE($G1159,"-",""))-1),".","")))=0,SUBSTITUTE(SUBSTITUTE($G1159,"-"," ",LEN($G1159)-LEN(SUBSTITUTE($G1159,"-",""))),"-"," ",LEN($G1159)-LEN(SUBSTITUTE($G1159,"-",""))-1),SUBSTITUTE(SUBSTITUTE(SUBSTITUTE($G1159,"-"," ",LEN($G1159)-LEN(SUBSTITUTE($G1159,"-",""))),"-"," ",LEN($G1159)-LEN(SUBSTITUTE($G1159,"-",""))-1),"."," ",(LEN(SUBSTITUTE(SUBSTITUTE($G1159,"-"," ",LEN($G1159)-LEN(SUBSTITUTE($G1159,"-",""))),"-"," ",LEN($G1159)-LEN(SUBSTITUTE($G1159,"-",""))-1))-LEN(SUBSTITUTE(SUBSTITUTE(SUBSTITUTE($G1159,"-"," ",LEN($G1159)-LEN(SUBSTITUTE($G1159,"-",""))),"-"," ",LEN($G1159)-LEN(SUBSTITUTE($G1159,"-",""))-1),".",""))))),$G1159)))</f>
        <v/>
      </c>
    </row>
    <row r="1160">
      <c r="A1160" s="58" t="n"/>
      <c r="B1160" s="58">
        <f>IF($H1160="","",LEFT($H1160,FIND(" ",$H1160&amp;" ")-1))</f>
        <v/>
      </c>
      <c r="C1160" s="58">
        <f>IF($H1160="","",IFERROR(MID($H1160&amp;" ",FIND("|",SUBSTITUTE($H1160&amp;" "," ","|",1))+1,FIND("|",SUBSTITUTE($H1160&amp;" "," ","|",2))-FIND("|",SUBSTITUTE($H1160&amp;" "," ","|",1))-1),""))</f>
        <v/>
      </c>
      <c r="D1160" s="58">
        <f>IF($H1160="","",IFERROR(MID($H1160&amp;" ",FIND("|",SUBSTITUTE($H1160&amp;" "," ","|",2))+1,FIND("|",SUBSTITUTE($H1160&amp;" "," ","|",3))-FIND("|",SUBSTITUTE($H1160&amp;" "," ","|",2))-1),""))</f>
        <v/>
      </c>
      <c r="E1160" s="58">
        <f>IF($H1160="","",IFERROR(MID($H1160&amp;" ",FIND("|",SUBSTITUTE($H1160&amp;" "," ","|",3))+1,FIND("|",SUBSTITUTE($H1160&amp;" "," ","|",4))-FIND("|",SUBSTITUTE($H1160&amp;" "," ","|",3))-1),""))</f>
        <v/>
      </c>
      <c r="F1160" s="59">
        <f>IF($H1160="","",IFERROR(VALUE(IFERROR(MID($H1160&amp;" ",FIND("|",SUBSTITUTE($H1160&amp;" "," ","|",4))+1,FIND("|",SUBSTITUTE($H1160&amp;" "," ","|",5))-FIND("|",SUBSTITUTE($H1160&amp;" "," ","|",4))-1),""))/86400+25569+9/24,""))</f>
        <v/>
      </c>
      <c r="G1160" s="58">
        <f>TRIM(SUBSTITUTE(SUBSTITUTE(SUBSTITUTE($A1160,CHAR(9)," ")," "," "),CHAR(13),""))</f>
        <v/>
      </c>
      <c r="H1160" s="58">
        <f>IF($G1160="","",IF(ISNUMBER(FIND(" ",$G1160)),$G1160,IFERROR(IF((LEN(SUBSTITUTE(SUBSTITUTE($G1160,"-"," ",LEN($G1160)-LEN(SUBSTITUTE($G1160,"-",""))),"-"," ",LEN($G1160)-LEN(SUBSTITUTE($G1160,"-",""))-1))-LEN(SUBSTITUTE(SUBSTITUTE(SUBSTITUTE($G1160,"-"," ",LEN($G1160)-LEN(SUBSTITUTE($G1160,"-",""))),"-"," ",LEN($G1160)-LEN(SUBSTITUTE($G1160,"-",""))-1),".","")))=0,SUBSTITUTE(SUBSTITUTE($G1160,"-"," ",LEN($G1160)-LEN(SUBSTITUTE($G1160,"-",""))),"-"," ",LEN($G1160)-LEN(SUBSTITUTE($G1160,"-",""))-1),SUBSTITUTE(SUBSTITUTE(SUBSTITUTE($G1160,"-"," ",LEN($G1160)-LEN(SUBSTITUTE($G1160,"-",""))),"-"," ",LEN($G1160)-LEN(SUBSTITUTE($G1160,"-",""))-1),"."," ",(LEN(SUBSTITUTE(SUBSTITUTE($G1160,"-"," ",LEN($G1160)-LEN(SUBSTITUTE($G1160,"-",""))),"-"," ",LEN($G1160)-LEN(SUBSTITUTE($G1160,"-",""))-1))-LEN(SUBSTITUTE(SUBSTITUTE(SUBSTITUTE($G1160,"-"," ",LEN($G1160)-LEN(SUBSTITUTE($G1160,"-",""))),"-"," ",LEN($G1160)-LEN(SUBSTITUTE($G1160,"-",""))-1),".",""))))),$G1160)))</f>
        <v/>
      </c>
    </row>
    <row r="1161">
      <c r="A1161" s="58" t="n"/>
      <c r="B1161" s="58">
        <f>IF($H1161="","",LEFT($H1161,FIND(" ",$H1161&amp;" ")-1))</f>
        <v/>
      </c>
      <c r="C1161" s="58">
        <f>IF($H1161="","",IFERROR(MID($H1161&amp;" ",FIND("|",SUBSTITUTE($H1161&amp;" "," ","|",1))+1,FIND("|",SUBSTITUTE($H1161&amp;" "," ","|",2))-FIND("|",SUBSTITUTE($H1161&amp;" "," ","|",1))-1),""))</f>
        <v/>
      </c>
      <c r="D1161" s="58">
        <f>IF($H1161="","",IFERROR(MID($H1161&amp;" ",FIND("|",SUBSTITUTE($H1161&amp;" "," ","|",2))+1,FIND("|",SUBSTITUTE($H1161&amp;" "," ","|",3))-FIND("|",SUBSTITUTE($H1161&amp;" "," ","|",2))-1),""))</f>
        <v/>
      </c>
      <c r="E1161" s="58">
        <f>IF($H1161="","",IFERROR(MID($H1161&amp;" ",FIND("|",SUBSTITUTE($H1161&amp;" "," ","|",3))+1,FIND("|",SUBSTITUTE($H1161&amp;" "," ","|",4))-FIND("|",SUBSTITUTE($H1161&amp;" "," ","|",3))-1),""))</f>
        <v/>
      </c>
      <c r="F1161" s="59">
        <f>IF($H1161="","",IFERROR(VALUE(IFERROR(MID($H1161&amp;" ",FIND("|",SUBSTITUTE($H1161&amp;" "," ","|",4))+1,FIND("|",SUBSTITUTE($H1161&amp;" "," ","|",5))-FIND("|",SUBSTITUTE($H1161&amp;" "," ","|",4))-1),""))/86400+25569+9/24,""))</f>
        <v/>
      </c>
      <c r="G1161" s="58">
        <f>TRIM(SUBSTITUTE(SUBSTITUTE(SUBSTITUTE($A1161,CHAR(9)," ")," "," "),CHAR(13),""))</f>
        <v/>
      </c>
      <c r="H1161" s="58">
        <f>IF($G1161="","",IF(ISNUMBER(FIND(" ",$G1161)),$G1161,IFERROR(IF((LEN(SUBSTITUTE(SUBSTITUTE($G1161,"-"," ",LEN($G1161)-LEN(SUBSTITUTE($G1161,"-",""))),"-"," ",LEN($G1161)-LEN(SUBSTITUTE($G1161,"-",""))-1))-LEN(SUBSTITUTE(SUBSTITUTE(SUBSTITUTE($G1161,"-"," ",LEN($G1161)-LEN(SUBSTITUTE($G1161,"-",""))),"-"," ",LEN($G1161)-LEN(SUBSTITUTE($G1161,"-",""))-1),".","")))=0,SUBSTITUTE(SUBSTITUTE($G1161,"-"," ",LEN($G1161)-LEN(SUBSTITUTE($G1161,"-",""))),"-"," ",LEN($G1161)-LEN(SUBSTITUTE($G1161,"-",""))-1),SUBSTITUTE(SUBSTITUTE(SUBSTITUTE($G1161,"-"," ",LEN($G1161)-LEN(SUBSTITUTE($G1161,"-",""))),"-"," ",LEN($G1161)-LEN(SUBSTITUTE($G1161,"-",""))-1),"."," ",(LEN(SUBSTITUTE(SUBSTITUTE($G1161,"-"," ",LEN($G1161)-LEN(SUBSTITUTE($G1161,"-",""))),"-"," ",LEN($G1161)-LEN(SUBSTITUTE($G1161,"-",""))-1))-LEN(SUBSTITUTE(SUBSTITUTE(SUBSTITUTE($G1161,"-"," ",LEN($G1161)-LEN(SUBSTITUTE($G1161,"-",""))),"-"," ",LEN($G1161)-LEN(SUBSTITUTE($G1161,"-",""))-1),".",""))))),$G1161)))</f>
        <v/>
      </c>
    </row>
    <row r="1162">
      <c r="A1162" s="58" t="n"/>
      <c r="B1162" s="58">
        <f>IF($H1162="","",LEFT($H1162,FIND(" ",$H1162&amp;" ")-1))</f>
        <v/>
      </c>
      <c r="C1162" s="58">
        <f>IF($H1162="","",IFERROR(MID($H1162&amp;" ",FIND("|",SUBSTITUTE($H1162&amp;" "," ","|",1))+1,FIND("|",SUBSTITUTE($H1162&amp;" "," ","|",2))-FIND("|",SUBSTITUTE($H1162&amp;" "," ","|",1))-1),""))</f>
        <v/>
      </c>
      <c r="D1162" s="58">
        <f>IF($H1162="","",IFERROR(MID($H1162&amp;" ",FIND("|",SUBSTITUTE($H1162&amp;" "," ","|",2))+1,FIND("|",SUBSTITUTE($H1162&amp;" "," ","|",3))-FIND("|",SUBSTITUTE($H1162&amp;" "," ","|",2))-1),""))</f>
        <v/>
      </c>
      <c r="E1162" s="58">
        <f>IF($H1162="","",IFERROR(MID($H1162&amp;" ",FIND("|",SUBSTITUTE($H1162&amp;" "," ","|",3))+1,FIND("|",SUBSTITUTE($H1162&amp;" "," ","|",4))-FIND("|",SUBSTITUTE($H1162&amp;" "," ","|",3))-1),""))</f>
        <v/>
      </c>
      <c r="F1162" s="59">
        <f>IF($H1162="","",IFERROR(VALUE(IFERROR(MID($H1162&amp;" ",FIND("|",SUBSTITUTE($H1162&amp;" "," ","|",4))+1,FIND("|",SUBSTITUTE($H1162&amp;" "," ","|",5))-FIND("|",SUBSTITUTE($H1162&amp;" "," ","|",4))-1),""))/86400+25569+9/24,""))</f>
        <v/>
      </c>
      <c r="G1162" s="58">
        <f>TRIM(SUBSTITUTE(SUBSTITUTE(SUBSTITUTE($A1162,CHAR(9)," ")," "," "),CHAR(13),""))</f>
        <v/>
      </c>
      <c r="H1162" s="58">
        <f>IF($G1162="","",IF(ISNUMBER(FIND(" ",$G1162)),$G1162,IFERROR(IF((LEN(SUBSTITUTE(SUBSTITUTE($G1162,"-"," ",LEN($G1162)-LEN(SUBSTITUTE($G1162,"-",""))),"-"," ",LEN($G1162)-LEN(SUBSTITUTE($G1162,"-",""))-1))-LEN(SUBSTITUTE(SUBSTITUTE(SUBSTITUTE($G1162,"-"," ",LEN($G1162)-LEN(SUBSTITUTE($G1162,"-",""))),"-"," ",LEN($G1162)-LEN(SUBSTITUTE($G1162,"-",""))-1),".","")))=0,SUBSTITUTE(SUBSTITUTE($G1162,"-"," ",LEN($G1162)-LEN(SUBSTITUTE($G1162,"-",""))),"-"," ",LEN($G1162)-LEN(SUBSTITUTE($G1162,"-",""))-1),SUBSTITUTE(SUBSTITUTE(SUBSTITUTE($G1162,"-"," ",LEN($G1162)-LEN(SUBSTITUTE($G1162,"-",""))),"-"," ",LEN($G1162)-LEN(SUBSTITUTE($G1162,"-",""))-1),"."," ",(LEN(SUBSTITUTE(SUBSTITUTE($G1162,"-"," ",LEN($G1162)-LEN(SUBSTITUTE($G1162,"-",""))),"-"," ",LEN($G1162)-LEN(SUBSTITUTE($G1162,"-",""))-1))-LEN(SUBSTITUTE(SUBSTITUTE(SUBSTITUTE($G1162,"-"," ",LEN($G1162)-LEN(SUBSTITUTE($G1162,"-",""))),"-"," ",LEN($G1162)-LEN(SUBSTITUTE($G1162,"-",""))-1),".",""))))),$G1162)))</f>
        <v/>
      </c>
    </row>
    <row r="1163">
      <c r="A1163" s="58" t="n"/>
      <c r="B1163" s="58">
        <f>IF($H1163="","",LEFT($H1163,FIND(" ",$H1163&amp;" ")-1))</f>
        <v/>
      </c>
      <c r="C1163" s="58">
        <f>IF($H1163="","",IFERROR(MID($H1163&amp;" ",FIND("|",SUBSTITUTE($H1163&amp;" "," ","|",1))+1,FIND("|",SUBSTITUTE($H1163&amp;" "," ","|",2))-FIND("|",SUBSTITUTE($H1163&amp;" "," ","|",1))-1),""))</f>
        <v/>
      </c>
      <c r="D1163" s="58">
        <f>IF($H1163="","",IFERROR(MID($H1163&amp;" ",FIND("|",SUBSTITUTE($H1163&amp;" "," ","|",2))+1,FIND("|",SUBSTITUTE($H1163&amp;" "," ","|",3))-FIND("|",SUBSTITUTE($H1163&amp;" "," ","|",2))-1),""))</f>
        <v/>
      </c>
      <c r="E1163" s="58">
        <f>IF($H1163="","",IFERROR(MID($H1163&amp;" ",FIND("|",SUBSTITUTE($H1163&amp;" "," ","|",3))+1,FIND("|",SUBSTITUTE($H1163&amp;" "," ","|",4))-FIND("|",SUBSTITUTE($H1163&amp;" "," ","|",3))-1),""))</f>
        <v/>
      </c>
      <c r="F1163" s="59">
        <f>IF($H1163="","",IFERROR(VALUE(IFERROR(MID($H1163&amp;" ",FIND("|",SUBSTITUTE($H1163&amp;" "," ","|",4))+1,FIND("|",SUBSTITUTE($H1163&amp;" "," ","|",5))-FIND("|",SUBSTITUTE($H1163&amp;" "," ","|",4))-1),""))/86400+25569+9/24,""))</f>
        <v/>
      </c>
      <c r="G1163" s="58">
        <f>TRIM(SUBSTITUTE(SUBSTITUTE(SUBSTITUTE($A1163,CHAR(9)," ")," "," "),CHAR(13),""))</f>
        <v/>
      </c>
      <c r="H1163" s="58">
        <f>IF($G1163="","",IF(ISNUMBER(FIND(" ",$G1163)),$G1163,IFERROR(IF((LEN(SUBSTITUTE(SUBSTITUTE($G1163,"-"," ",LEN($G1163)-LEN(SUBSTITUTE($G1163,"-",""))),"-"," ",LEN($G1163)-LEN(SUBSTITUTE($G1163,"-",""))-1))-LEN(SUBSTITUTE(SUBSTITUTE(SUBSTITUTE($G1163,"-"," ",LEN($G1163)-LEN(SUBSTITUTE($G1163,"-",""))),"-"," ",LEN($G1163)-LEN(SUBSTITUTE($G1163,"-",""))-1),".","")))=0,SUBSTITUTE(SUBSTITUTE($G1163,"-"," ",LEN($G1163)-LEN(SUBSTITUTE($G1163,"-",""))),"-"," ",LEN($G1163)-LEN(SUBSTITUTE($G1163,"-",""))-1),SUBSTITUTE(SUBSTITUTE(SUBSTITUTE($G1163,"-"," ",LEN($G1163)-LEN(SUBSTITUTE($G1163,"-",""))),"-"," ",LEN($G1163)-LEN(SUBSTITUTE($G1163,"-",""))-1),"."," ",(LEN(SUBSTITUTE(SUBSTITUTE($G1163,"-"," ",LEN($G1163)-LEN(SUBSTITUTE($G1163,"-",""))),"-"," ",LEN($G1163)-LEN(SUBSTITUTE($G1163,"-",""))-1))-LEN(SUBSTITUTE(SUBSTITUTE(SUBSTITUTE($G1163,"-"," ",LEN($G1163)-LEN(SUBSTITUTE($G1163,"-",""))),"-"," ",LEN($G1163)-LEN(SUBSTITUTE($G1163,"-",""))-1),".",""))))),$G1163)))</f>
        <v/>
      </c>
    </row>
    <row r="1164">
      <c r="A1164" s="58" t="n"/>
      <c r="B1164" s="58">
        <f>IF($H1164="","",LEFT($H1164,FIND(" ",$H1164&amp;" ")-1))</f>
        <v/>
      </c>
      <c r="C1164" s="58">
        <f>IF($H1164="","",IFERROR(MID($H1164&amp;" ",FIND("|",SUBSTITUTE($H1164&amp;" "," ","|",1))+1,FIND("|",SUBSTITUTE($H1164&amp;" "," ","|",2))-FIND("|",SUBSTITUTE($H1164&amp;" "," ","|",1))-1),""))</f>
        <v/>
      </c>
      <c r="D1164" s="58">
        <f>IF($H1164="","",IFERROR(MID($H1164&amp;" ",FIND("|",SUBSTITUTE($H1164&amp;" "," ","|",2))+1,FIND("|",SUBSTITUTE($H1164&amp;" "," ","|",3))-FIND("|",SUBSTITUTE($H1164&amp;" "," ","|",2))-1),""))</f>
        <v/>
      </c>
      <c r="E1164" s="58">
        <f>IF($H1164="","",IFERROR(MID($H1164&amp;" ",FIND("|",SUBSTITUTE($H1164&amp;" "," ","|",3))+1,FIND("|",SUBSTITUTE($H1164&amp;" "," ","|",4))-FIND("|",SUBSTITUTE($H1164&amp;" "," ","|",3))-1),""))</f>
        <v/>
      </c>
      <c r="F1164" s="59">
        <f>IF($H1164="","",IFERROR(VALUE(IFERROR(MID($H1164&amp;" ",FIND("|",SUBSTITUTE($H1164&amp;" "," ","|",4))+1,FIND("|",SUBSTITUTE($H1164&amp;" "," ","|",5))-FIND("|",SUBSTITUTE($H1164&amp;" "," ","|",4))-1),""))/86400+25569+9/24,""))</f>
        <v/>
      </c>
      <c r="G1164" s="58">
        <f>TRIM(SUBSTITUTE(SUBSTITUTE(SUBSTITUTE($A1164,CHAR(9)," ")," "," "),CHAR(13),""))</f>
        <v/>
      </c>
      <c r="H1164" s="58">
        <f>IF($G1164="","",IF(ISNUMBER(FIND(" ",$G1164)),$G1164,IFERROR(IF((LEN(SUBSTITUTE(SUBSTITUTE($G1164,"-"," ",LEN($G1164)-LEN(SUBSTITUTE($G1164,"-",""))),"-"," ",LEN($G1164)-LEN(SUBSTITUTE($G1164,"-",""))-1))-LEN(SUBSTITUTE(SUBSTITUTE(SUBSTITUTE($G1164,"-"," ",LEN($G1164)-LEN(SUBSTITUTE($G1164,"-",""))),"-"," ",LEN($G1164)-LEN(SUBSTITUTE($G1164,"-",""))-1),".","")))=0,SUBSTITUTE(SUBSTITUTE($G1164,"-"," ",LEN($G1164)-LEN(SUBSTITUTE($G1164,"-",""))),"-"," ",LEN($G1164)-LEN(SUBSTITUTE($G1164,"-",""))-1),SUBSTITUTE(SUBSTITUTE(SUBSTITUTE($G1164,"-"," ",LEN($G1164)-LEN(SUBSTITUTE($G1164,"-",""))),"-"," ",LEN($G1164)-LEN(SUBSTITUTE($G1164,"-",""))-1),"."," ",(LEN(SUBSTITUTE(SUBSTITUTE($G1164,"-"," ",LEN($G1164)-LEN(SUBSTITUTE($G1164,"-",""))),"-"," ",LEN($G1164)-LEN(SUBSTITUTE($G1164,"-",""))-1))-LEN(SUBSTITUTE(SUBSTITUTE(SUBSTITUTE($G1164,"-"," ",LEN($G1164)-LEN(SUBSTITUTE($G1164,"-",""))),"-"," ",LEN($G1164)-LEN(SUBSTITUTE($G1164,"-",""))-1),".",""))))),$G1164)))</f>
        <v/>
      </c>
    </row>
    <row r="1165">
      <c r="A1165" s="58" t="n"/>
      <c r="B1165" s="58">
        <f>IF($H1165="","",LEFT($H1165,FIND(" ",$H1165&amp;" ")-1))</f>
        <v/>
      </c>
      <c r="C1165" s="58">
        <f>IF($H1165="","",IFERROR(MID($H1165&amp;" ",FIND("|",SUBSTITUTE($H1165&amp;" "," ","|",1))+1,FIND("|",SUBSTITUTE($H1165&amp;" "," ","|",2))-FIND("|",SUBSTITUTE($H1165&amp;" "," ","|",1))-1),""))</f>
        <v/>
      </c>
      <c r="D1165" s="58">
        <f>IF($H1165="","",IFERROR(MID($H1165&amp;" ",FIND("|",SUBSTITUTE($H1165&amp;" "," ","|",2))+1,FIND("|",SUBSTITUTE($H1165&amp;" "," ","|",3))-FIND("|",SUBSTITUTE($H1165&amp;" "," ","|",2))-1),""))</f>
        <v/>
      </c>
      <c r="E1165" s="58">
        <f>IF($H1165="","",IFERROR(MID($H1165&amp;" ",FIND("|",SUBSTITUTE($H1165&amp;" "," ","|",3))+1,FIND("|",SUBSTITUTE($H1165&amp;" "," ","|",4))-FIND("|",SUBSTITUTE($H1165&amp;" "," ","|",3))-1),""))</f>
        <v/>
      </c>
      <c r="F1165" s="59">
        <f>IF($H1165="","",IFERROR(VALUE(IFERROR(MID($H1165&amp;" ",FIND("|",SUBSTITUTE($H1165&amp;" "," ","|",4))+1,FIND("|",SUBSTITUTE($H1165&amp;" "," ","|",5))-FIND("|",SUBSTITUTE($H1165&amp;" "," ","|",4))-1),""))/86400+25569+9/24,""))</f>
        <v/>
      </c>
      <c r="G1165" s="58">
        <f>TRIM(SUBSTITUTE(SUBSTITUTE(SUBSTITUTE($A1165,CHAR(9)," ")," "," "),CHAR(13),""))</f>
        <v/>
      </c>
      <c r="H1165" s="58">
        <f>IF($G1165="","",IF(ISNUMBER(FIND(" ",$G1165)),$G1165,IFERROR(IF((LEN(SUBSTITUTE(SUBSTITUTE($G1165,"-"," ",LEN($G1165)-LEN(SUBSTITUTE($G1165,"-",""))),"-"," ",LEN($G1165)-LEN(SUBSTITUTE($G1165,"-",""))-1))-LEN(SUBSTITUTE(SUBSTITUTE(SUBSTITUTE($G1165,"-"," ",LEN($G1165)-LEN(SUBSTITUTE($G1165,"-",""))),"-"," ",LEN($G1165)-LEN(SUBSTITUTE($G1165,"-",""))-1),".","")))=0,SUBSTITUTE(SUBSTITUTE($G1165,"-"," ",LEN($G1165)-LEN(SUBSTITUTE($G1165,"-",""))),"-"," ",LEN($G1165)-LEN(SUBSTITUTE($G1165,"-",""))-1),SUBSTITUTE(SUBSTITUTE(SUBSTITUTE($G1165,"-"," ",LEN($G1165)-LEN(SUBSTITUTE($G1165,"-",""))),"-"," ",LEN($G1165)-LEN(SUBSTITUTE($G1165,"-",""))-1),"."," ",(LEN(SUBSTITUTE(SUBSTITUTE($G1165,"-"," ",LEN($G1165)-LEN(SUBSTITUTE($G1165,"-",""))),"-"," ",LEN($G1165)-LEN(SUBSTITUTE($G1165,"-",""))-1))-LEN(SUBSTITUTE(SUBSTITUTE(SUBSTITUTE($G1165,"-"," ",LEN($G1165)-LEN(SUBSTITUTE($G1165,"-",""))),"-"," ",LEN($G1165)-LEN(SUBSTITUTE($G1165,"-",""))-1),".",""))))),$G1165)))</f>
        <v/>
      </c>
    </row>
    <row r="1166">
      <c r="A1166" s="58" t="n"/>
      <c r="B1166" s="58">
        <f>IF($H1166="","",LEFT($H1166,FIND(" ",$H1166&amp;" ")-1))</f>
        <v/>
      </c>
      <c r="C1166" s="58">
        <f>IF($H1166="","",IFERROR(MID($H1166&amp;" ",FIND("|",SUBSTITUTE($H1166&amp;" "," ","|",1))+1,FIND("|",SUBSTITUTE($H1166&amp;" "," ","|",2))-FIND("|",SUBSTITUTE($H1166&amp;" "," ","|",1))-1),""))</f>
        <v/>
      </c>
      <c r="D1166" s="58">
        <f>IF($H1166="","",IFERROR(MID($H1166&amp;" ",FIND("|",SUBSTITUTE($H1166&amp;" "," ","|",2))+1,FIND("|",SUBSTITUTE($H1166&amp;" "," ","|",3))-FIND("|",SUBSTITUTE($H1166&amp;" "," ","|",2))-1),""))</f>
        <v/>
      </c>
      <c r="E1166" s="58">
        <f>IF($H1166="","",IFERROR(MID($H1166&amp;" ",FIND("|",SUBSTITUTE($H1166&amp;" "," ","|",3))+1,FIND("|",SUBSTITUTE($H1166&amp;" "," ","|",4))-FIND("|",SUBSTITUTE($H1166&amp;" "," ","|",3))-1),""))</f>
        <v/>
      </c>
      <c r="F1166" s="59">
        <f>IF($H1166="","",IFERROR(VALUE(IFERROR(MID($H1166&amp;" ",FIND("|",SUBSTITUTE($H1166&amp;" "," ","|",4))+1,FIND("|",SUBSTITUTE($H1166&amp;" "," ","|",5))-FIND("|",SUBSTITUTE($H1166&amp;" "," ","|",4))-1),""))/86400+25569+9/24,""))</f>
        <v/>
      </c>
      <c r="G1166" s="58">
        <f>TRIM(SUBSTITUTE(SUBSTITUTE(SUBSTITUTE($A1166,CHAR(9)," ")," "," "),CHAR(13),""))</f>
        <v/>
      </c>
      <c r="H1166" s="58">
        <f>IF($G1166="","",IF(ISNUMBER(FIND(" ",$G1166)),$G1166,IFERROR(IF((LEN(SUBSTITUTE(SUBSTITUTE($G1166,"-"," ",LEN($G1166)-LEN(SUBSTITUTE($G1166,"-",""))),"-"," ",LEN($G1166)-LEN(SUBSTITUTE($G1166,"-",""))-1))-LEN(SUBSTITUTE(SUBSTITUTE(SUBSTITUTE($G1166,"-"," ",LEN($G1166)-LEN(SUBSTITUTE($G1166,"-",""))),"-"," ",LEN($G1166)-LEN(SUBSTITUTE($G1166,"-",""))-1),".","")))=0,SUBSTITUTE(SUBSTITUTE($G1166,"-"," ",LEN($G1166)-LEN(SUBSTITUTE($G1166,"-",""))),"-"," ",LEN($G1166)-LEN(SUBSTITUTE($G1166,"-",""))-1),SUBSTITUTE(SUBSTITUTE(SUBSTITUTE($G1166,"-"," ",LEN($G1166)-LEN(SUBSTITUTE($G1166,"-",""))),"-"," ",LEN($G1166)-LEN(SUBSTITUTE($G1166,"-",""))-1),"."," ",(LEN(SUBSTITUTE(SUBSTITUTE($G1166,"-"," ",LEN($G1166)-LEN(SUBSTITUTE($G1166,"-",""))),"-"," ",LEN($G1166)-LEN(SUBSTITUTE($G1166,"-",""))-1))-LEN(SUBSTITUTE(SUBSTITUTE(SUBSTITUTE($G1166,"-"," ",LEN($G1166)-LEN(SUBSTITUTE($G1166,"-",""))),"-"," ",LEN($G1166)-LEN(SUBSTITUTE($G1166,"-",""))-1),".",""))))),$G1166)))</f>
        <v/>
      </c>
    </row>
    <row r="1167">
      <c r="A1167" s="58" t="n"/>
      <c r="B1167" s="58">
        <f>IF($H1167="","",LEFT($H1167,FIND(" ",$H1167&amp;" ")-1))</f>
        <v/>
      </c>
      <c r="C1167" s="58">
        <f>IF($H1167="","",IFERROR(MID($H1167&amp;" ",FIND("|",SUBSTITUTE($H1167&amp;" "," ","|",1))+1,FIND("|",SUBSTITUTE($H1167&amp;" "," ","|",2))-FIND("|",SUBSTITUTE($H1167&amp;" "," ","|",1))-1),""))</f>
        <v/>
      </c>
      <c r="D1167" s="58">
        <f>IF($H1167="","",IFERROR(MID($H1167&amp;" ",FIND("|",SUBSTITUTE($H1167&amp;" "," ","|",2))+1,FIND("|",SUBSTITUTE($H1167&amp;" "," ","|",3))-FIND("|",SUBSTITUTE($H1167&amp;" "," ","|",2))-1),""))</f>
        <v/>
      </c>
      <c r="E1167" s="58">
        <f>IF($H1167="","",IFERROR(MID($H1167&amp;" ",FIND("|",SUBSTITUTE($H1167&amp;" "," ","|",3))+1,FIND("|",SUBSTITUTE($H1167&amp;" "," ","|",4))-FIND("|",SUBSTITUTE($H1167&amp;" "," ","|",3))-1),""))</f>
        <v/>
      </c>
      <c r="F1167" s="59">
        <f>IF($H1167="","",IFERROR(VALUE(IFERROR(MID($H1167&amp;" ",FIND("|",SUBSTITUTE($H1167&amp;" "," ","|",4))+1,FIND("|",SUBSTITUTE($H1167&amp;" "," ","|",5))-FIND("|",SUBSTITUTE($H1167&amp;" "," ","|",4))-1),""))/86400+25569+9/24,""))</f>
        <v/>
      </c>
      <c r="G1167" s="58">
        <f>TRIM(SUBSTITUTE(SUBSTITUTE(SUBSTITUTE($A1167,CHAR(9)," ")," "," "),CHAR(13),""))</f>
        <v/>
      </c>
      <c r="H1167" s="58">
        <f>IF($G1167="","",IF(ISNUMBER(FIND(" ",$G1167)),$G1167,IFERROR(IF((LEN(SUBSTITUTE(SUBSTITUTE($G1167,"-"," ",LEN($G1167)-LEN(SUBSTITUTE($G1167,"-",""))),"-"," ",LEN($G1167)-LEN(SUBSTITUTE($G1167,"-",""))-1))-LEN(SUBSTITUTE(SUBSTITUTE(SUBSTITUTE($G1167,"-"," ",LEN($G1167)-LEN(SUBSTITUTE($G1167,"-",""))),"-"," ",LEN($G1167)-LEN(SUBSTITUTE($G1167,"-",""))-1),".","")))=0,SUBSTITUTE(SUBSTITUTE($G1167,"-"," ",LEN($G1167)-LEN(SUBSTITUTE($G1167,"-",""))),"-"," ",LEN($G1167)-LEN(SUBSTITUTE($G1167,"-",""))-1),SUBSTITUTE(SUBSTITUTE(SUBSTITUTE($G1167,"-"," ",LEN($G1167)-LEN(SUBSTITUTE($G1167,"-",""))),"-"," ",LEN($G1167)-LEN(SUBSTITUTE($G1167,"-",""))-1),"."," ",(LEN(SUBSTITUTE(SUBSTITUTE($G1167,"-"," ",LEN($G1167)-LEN(SUBSTITUTE($G1167,"-",""))),"-"," ",LEN($G1167)-LEN(SUBSTITUTE($G1167,"-",""))-1))-LEN(SUBSTITUTE(SUBSTITUTE(SUBSTITUTE($G1167,"-"," ",LEN($G1167)-LEN(SUBSTITUTE($G1167,"-",""))),"-"," ",LEN($G1167)-LEN(SUBSTITUTE($G1167,"-",""))-1),".",""))))),$G1167)))</f>
        <v/>
      </c>
    </row>
    <row r="1168">
      <c r="A1168" s="58" t="n"/>
      <c r="B1168" s="58">
        <f>IF($H1168="","",LEFT($H1168,FIND(" ",$H1168&amp;" ")-1))</f>
        <v/>
      </c>
      <c r="C1168" s="58">
        <f>IF($H1168="","",IFERROR(MID($H1168&amp;" ",FIND("|",SUBSTITUTE($H1168&amp;" "," ","|",1))+1,FIND("|",SUBSTITUTE($H1168&amp;" "," ","|",2))-FIND("|",SUBSTITUTE($H1168&amp;" "," ","|",1))-1),""))</f>
        <v/>
      </c>
      <c r="D1168" s="58">
        <f>IF($H1168="","",IFERROR(MID($H1168&amp;" ",FIND("|",SUBSTITUTE($H1168&amp;" "," ","|",2))+1,FIND("|",SUBSTITUTE($H1168&amp;" "," ","|",3))-FIND("|",SUBSTITUTE($H1168&amp;" "," ","|",2))-1),""))</f>
        <v/>
      </c>
      <c r="E1168" s="58">
        <f>IF($H1168="","",IFERROR(MID($H1168&amp;" ",FIND("|",SUBSTITUTE($H1168&amp;" "," ","|",3))+1,FIND("|",SUBSTITUTE($H1168&amp;" "," ","|",4))-FIND("|",SUBSTITUTE($H1168&amp;" "," ","|",3))-1),""))</f>
        <v/>
      </c>
      <c r="F1168" s="59">
        <f>IF($H1168="","",IFERROR(VALUE(IFERROR(MID($H1168&amp;" ",FIND("|",SUBSTITUTE($H1168&amp;" "," ","|",4))+1,FIND("|",SUBSTITUTE($H1168&amp;" "," ","|",5))-FIND("|",SUBSTITUTE($H1168&amp;" "," ","|",4))-1),""))/86400+25569+9/24,""))</f>
        <v/>
      </c>
      <c r="G1168" s="58">
        <f>TRIM(SUBSTITUTE(SUBSTITUTE(SUBSTITUTE($A1168,CHAR(9)," ")," "," "),CHAR(13),""))</f>
        <v/>
      </c>
      <c r="H1168" s="58">
        <f>IF($G1168="","",IF(ISNUMBER(FIND(" ",$G1168)),$G1168,IFERROR(IF((LEN(SUBSTITUTE(SUBSTITUTE($G1168,"-"," ",LEN($G1168)-LEN(SUBSTITUTE($G1168,"-",""))),"-"," ",LEN($G1168)-LEN(SUBSTITUTE($G1168,"-",""))-1))-LEN(SUBSTITUTE(SUBSTITUTE(SUBSTITUTE($G1168,"-"," ",LEN($G1168)-LEN(SUBSTITUTE($G1168,"-",""))),"-"," ",LEN($G1168)-LEN(SUBSTITUTE($G1168,"-",""))-1),".","")))=0,SUBSTITUTE(SUBSTITUTE($G1168,"-"," ",LEN($G1168)-LEN(SUBSTITUTE($G1168,"-",""))),"-"," ",LEN($G1168)-LEN(SUBSTITUTE($G1168,"-",""))-1),SUBSTITUTE(SUBSTITUTE(SUBSTITUTE($G1168,"-"," ",LEN($G1168)-LEN(SUBSTITUTE($G1168,"-",""))),"-"," ",LEN($G1168)-LEN(SUBSTITUTE($G1168,"-",""))-1),"."," ",(LEN(SUBSTITUTE(SUBSTITUTE($G1168,"-"," ",LEN($G1168)-LEN(SUBSTITUTE($G1168,"-",""))),"-"," ",LEN($G1168)-LEN(SUBSTITUTE($G1168,"-",""))-1))-LEN(SUBSTITUTE(SUBSTITUTE(SUBSTITUTE($G1168,"-"," ",LEN($G1168)-LEN(SUBSTITUTE($G1168,"-",""))),"-"," ",LEN($G1168)-LEN(SUBSTITUTE($G1168,"-",""))-1),".",""))))),$G1168)))</f>
        <v/>
      </c>
    </row>
    <row r="1169">
      <c r="A1169" s="58" t="n"/>
      <c r="B1169" s="58">
        <f>IF($H1169="","",LEFT($H1169,FIND(" ",$H1169&amp;" ")-1))</f>
        <v/>
      </c>
      <c r="C1169" s="58">
        <f>IF($H1169="","",IFERROR(MID($H1169&amp;" ",FIND("|",SUBSTITUTE($H1169&amp;" "," ","|",1))+1,FIND("|",SUBSTITUTE($H1169&amp;" "," ","|",2))-FIND("|",SUBSTITUTE($H1169&amp;" "," ","|",1))-1),""))</f>
        <v/>
      </c>
      <c r="D1169" s="58">
        <f>IF($H1169="","",IFERROR(MID($H1169&amp;" ",FIND("|",SUBSTITUTE($H1169&amp;" "," ","|",2))+1,FIND("|",SUBSTITUTE($H1169&amp;" "," ","|",3))-FIND("|",SUBSTITUTE($H1169&amp;" "," ","|",2))-1),""))</f>
        <v/>
      </c>
      <c r="E1169" s="58">
        <f>IF($H1169="","",IFERROR(MID($H1169&amp;" ",FIND("|",SUBSTITUTE($H1169&amp;" "," ","|",3))+1,FIND("|",SUBSTITUTE($H1169&amp;" "," ","|",4))-FIND("|",SUBSTITUTE($H1169&amp;" "," ","|",3))-1),""))</f>
        <v/>
      </c>
      <c r="F1169" s="59">
        <f>IF($H1169="","",IFERROR(VALUE(IFERROR(MID($H1169&amp;" ",FIND("|",SUBSTITUTE($H1169&amp;" "," ","|",4))+1,FIND("|",SUBSTITUTE($H1169&amp;" "," ","|",5))-FIND("|",SUBSTITUTE($H1169&amp;" "," ","|",4))-1),""))/86400+25569+9/24,""))</f>
        <v/>
      </c>
      <c r="G1169" s="58">
        <f>TRIM(SUBSTITUTE(SUBSTITUTE(SUBSTITUTE($A1169,CHAR(9)," ")," "," "),CHAR(13),""))</f>
        <v/>
      </c>
      <c r="H1169" s="58">
        <f>IF($G1169="","",IF(ISNUMBER(FIND(" ",$G1169)),$G1169,IFERROR(IF((LEN(SUBSTITUTE(SUBSTITUTE($G1169,"-"," ",LEN($G1169)-LEN(SUBSTITUTE($G1169,"-",""))),"-"," ",LEN($G1169)-LEN(SUBSTITUTE($G1169,"-",""))-1))-LEN(SUBSTITUTE(SUBSTITUTE(SUBSTITUTE($G1169,"-"," ",LEN($G1169)-LEN(SUBSTITUTE($G1169,"-",""))),"-"," ",LEN($G1169)-LEN(SUBSTITUTE($G1169,"-",""))-1),".","")))=0,SUBSTITUTE(SUBSTITUTE($G1169,"-"," ",LEN($G1169)-LEN(SUBSTITUTE($G1169,"-",""))),"-"," ",LEN($G1169)-LEN(SUBSTITUTE($G1169,"-",""))-1),SUBSTITUTE(SUBSTITUTE(SUBSTITUTE($G1169,"-"," ",LEN($G1169)-LEN(SUBSTITUTE($G1169,"-",""))),"-"," ",LEN($G1169)-LEN(SUBSTITUTE($G1169,"-",""))-1),"."," ",(LEN(SUBSTITUTE(SUBSTITUTE($G1169,"-"," ",LEN($G1169)-LEN(SUBSTITUTE($G1169,"-",""))),"-"," ",LEN($G1169)-LEN(SUBSTITUTE($G1169,"-",""))-1))-LEN(SUBSTITUTE(SUBSTITUTE(SUBSTITUTE($G1169,"-"," ",LEN($G1169)-LEN(SUBSTITUTE($G1169,"-",""))),"-"," ",LEN($G1169)-LEN(SUBSTITUTE($G1169,"-",""))-1),".",""))))),$G1169)))</f>
        <v/>
      </c>
    </row>
    <row r="1170">
      <c r="A1170" s="58" t="n"/>
      <c r="B1170" s="58">
        <f>IF($H1170="","",LEFT($H1170,FIND(" ",$H1170&amp;" ")-1))</f>
        <v/>
      </c>
      <c r="C1170" s="58">
        <f>IF($H1170="","",IFERROR(MID($H1170&amp;" ",FIND("|",SUBSTITUTE($H1170&amp;" "," ","|",1))+1,FIND("|",SUBSTITUTE($H1170&amp;" "," ","|",2))-FIND("|",SUBSTITUTE($H1170&amp;" "," ","|",1))-1),""))</f>
        <v/>
      </c>
      <c r="D1170" s="58">
        <f>IF($H1170="","",IFERROR(MID($H1170&amp;" ",FIND("|",SUBSTITUTE($H1170&amp;" "," ","|",2))+1,FIND("|",SUBSTITUTE($H1170&amp;" "," ","|",3))-FIND("|",SUBSTITUTE($H1170&amp;" "," ","|",2))-1),""))</f>
        <v/>
      </c>
      <c r="E1170" s="58">
        <f>IF($H1170="","",IFERROR(MID($H1170&amp;" ",FIND("|",SUBSTITUTE($H1170&amp;" "," ","|",3))+1,FIND("|",SUBSTITUTE($H1170&amp;" "," ","|",4))-FIND("|",SUBSTITUTE($H1170&amp;" "," ","|",3))-1),""))</f>
        <v/>
      </c>
      <c r="F1170" s="59">
        <f>IF($H1170="","",IFERROR(VALUE(IFERROR(MID($H1170&amp;" ",FIND("|",SUBSTITUTE($H1170&amp;" "," ","|",4))+1,FIND("|",SUBSTITUTE($H1170&amp;" "," ","|",5))-FIND("|",SUBSTITUTE($H1170&amp;" "," ","|",4))-1),""))/86400+25569+9/24,""))</f>
        <v/>
      </c>
      <c r="G1170" s="58">
        <f>TRIM(SUBSTITUTE(SUBSTITUTE(SUBSTITUTE($A1170,CHAR(9)," ")," "," "),CHAR(13),""))</f>
        <v/>
      </c>
      <c r="H1170" s="58">
        <f>IF($G1170="","",IF(ISNUMBER(FIND(" ",$G1170)),$G1170,IFERROR(IF((LEN(SUBSTITUTE(SUBSTITUTE($G1170,"-"," ",LEN($G1170)-LEN(SUBSTITUTE($G1170,"-",""))),"-"," ",LEN($G1170)-LEN(SUBSTITUTE($G1170,"-",""))-1))-LEN(SUBSTITUTE(SUBSTITUTE(SUBSTITUTE($G1170,"-"," ",LEN($G1170)-LEN(SUBSTITUTE($G1170,"-",""))),"-"," ",LEN($G1170)-LEN(SUBSTITUTE($G1170,"-",""))-1),".","")))=0,SUBSTITUTE(SUBSTITUTE($G1170,"-"," ",LEN($G1170)-LEN(SUBSTITUTE($G1170,"-",""))),"-"," ",LEN($G1170)-LEN(SUBSTITUTE($G1170,"-",""))-1),SUBSTITUTE(SUBSTITUTE(SUBSTITUTE($G1170,"-"," ",LEN($G1170)-LEN(SUBSTITUTE($G1170,"-",""))),"-"," ",LEN($G1170)-LEN(SUBSTITUTE($G1170,"-",""))-1),"."," ",(LEN(SUBSTITUTE(SUBSTITUTE($G1170,"-"," ",LEN($G1170)-LEN(SUBSTITUTE($G1170,"-",""))),"-"," ",LEN($G1170)-LEN(SUBSTITUTE($G1170,"-",""))-1))-LEN(SUBSTITUTE(SUBSTITUTE(SUBSTITUTE($G1170,"-"," ",LEN($G1170)-LEN(SUBSTITUTE($G1170,"-",""))),"-"," ",LEN($G1170)-LEN(SUBSTITUTE($G1170,"-",""))-1),".",""))))),$G1170)))</f>
        <v/>
      </c>
    </row>
    <row r="1171">
      <c r="A1171" s="58" t="n"/>
      <c r="B1171" s="58">
        <f>IF($H1171="","",LEFT($H1171,FIND(" ",$H1171&amp;" ")-1))</f>
        <v/>
      </c>
      <c r="C1171" s="58">
        <f>IF($H1171="","",IFERROR(MID($H1171&amp;" ",FIND("|",SUBSTITUTE($H1171&amp;" "," ","|",1))+1,FIND("|",SUBSTITUTE($H1171&amp;" "," ","|",2))-FIND("|",SUBSTITUTE($H1171&amp;" "," ","|",1))-1),""))</f>
        <v/>
      </c>
      <c r="D1171" s="58">
        <f>IF($H1171="","",IFERROR(MID($H1171&amp;" ",FIND("|",SUBSTITUTE($H1171&amp;" "," ","|",2))+1,FIND("|",SUBSTITUTE($H1171&amp;" "," ","|",3))-FIND("|",SUBSTITUTE($H1171&amp;" "," ","|",2))-1),""))</f>
        <v/>
      </c>
      <c r="E1171" s="58">
        <f>IF($H1171="","",IFERROR(MID($H1171&amp;" ",FIND("|",SUBSTITUTE($H1171&amp;" "," ","|",3))+1,FIND("|",SUBSTITUTE($H1171&amp;" "," ","|",4))-FIND("|",SUBSTITUTE($H1171&amp;" "," ","|",3))-1),""))</f>
        <v/>
      </c>
      <c r="F1171" s="59">
        <f>IF($H1171="","",IFERROR(VALUE(IFERROR(MID($H1171&amp;" ",FIND("|",SUBSTITUTE($H1171&amp;" "," ","|",4))+1,FIND("|",SUBSTITUTE($H1171&amp;" "," ","|",5))-FIND("|",SUBSTITUTE($H1171&amp;" "," ","|",4))-1),""))/86400+25569+9/24,""))</f>
        <v/>
      </c>
      <c r="G1171" s="58">
        <f>TRIM(SUBSTITUTE(SUBSTITUTE(SUBSTITUTE($A1171,CHAR(9)," ")," "," "),CHAR(13),""))</f>
        <v/>
      </c>
      <c r="H1171" s="58">
        <f>IF($G1171="","",IF(ISNUMBER(FIND(" ",$G1171)),$G1171,IFERROR(IF((LEN(SUBSTITUTE(SUBSTITUTE($G1171,"-"," ",LEN($G1171)-LEN(SUBSTITUTE($G1171,"-",""))),"-"," ",LEN($G1171)-LEN(SUBSTITUTE($G1171,"-",""))-1))-LEN(SUBSTITUTE(SUBSTITUTE(SUBSTITUTE($G1171,"-"," ",LEN($G1171)-LEN(SUBSTITUTE($G1171,"-",""))),"-"," ",LEN($G1171)-LEN(SUBSTITUTE($G1171,"-",""))-1),".","")))=0,SUBSTITUTE(SUBSTITUTE($G1171,"-"," ",LEN($G1171)-LEN(SUBSTITUTE($G1171,"-",""))),"-"," ",LEN($G1171)-LEN(SUBSTITUTE($G1171,"-",""))-1),SUBSTITUTE(SUBSTITUTE(SUBSTITUTE($G1171,"-"," ",LEN($G1171)-LEN(SUBSTITUTE($G1171,"-",""))),"-"," ",LEN($G1171)-LEN(SUBSTITUTE($G1171,"-",""))-1),"."," ",(LEN(SUBSTITUTE(SUBSTITUTE($G1171,"-"," ",LEN($G1171)-LEN(SUBSTITUTE($G1171,"-",""))),"-"," ",LEN($G1171)-LEN(SUBSTITUTE($G1171,"-",""))-1))-LEN(SUBSTITUTE(SUBSTITUTE(SUBSTITUTE($G1171,"-"," ",LEN($G1171)-LEN(SUBSTITUTE($G1171,"-",""))),"-"," ",LEN($G1171)-LEN(SUBSTITUTE($G1171,"-",""))-1),".",""))))),$G1171)))</f>
        <v/>
      </c>
    </row>
    <row r="1172">
      <c r="A1172" s="58" t="n"/>
      <c r="B1172" s="58">
        <f>IF($H1172="","",LEFT($H1172,FIND(" ",$H1172&amp;" ")-1))</f>
        <v/>
      </c>
      <c r="C1172" s="58">
        <f>IF($H1172="","",IFERROR(MID($H1172&amp;" ",FIND("|",SUBSTITUTE($H1172&amp;" "," ","|",1))+1,FIND("|",SUBSTITUTE($H1172&amp;" "," ","|",2))-FIND("|",SUBSTITUTE($H1172&amp;" "," ","|",1))-1),""))</f>
        <v/>
      </c>
      <c r="D1172" s="58">
        <f>IF($H1172="","",IFERROR(MID($H1172&amp;" ",FIND("|",SUBSTITUTE($H1172&amp;" "," ","|",2))+1,FIND("|",SUBSTITUTE($H1172&amp;" "," ","|",3))-FIND("|",SUBSTITUTE($H1172&amp;" "," ","|",2))-1),""))</f>
        <v/>
      </c>
      <c r="E1172" s="58">
        <f>IF($H1172="","",IFERROR(MID($H1172&amp;" ",FIND("|",SUBSTITUTE($H1172&amp;" "," ","|",3))+1,FIND("|",SUBSTITUTE($H1172&amp;" "," ","|",4))-FIND("|",SUBSTITUTE($H1172&amp;" "," ","|",3))-1),""))</f>
        <v/>
      </c>
      <c r="F1172" s="59">
        <f>IF($H1172="","",IFERROR(VALUE(IFERROR(MID($H1172&amp;" ",FIND("|",SUBSTITUTE($H1172&amp;" "," ","|",4))+1,FIND("|",SUBSTITUTE($H1172&amp;" "," ","|",5))-FIND("|",SUBSTITUTE($H1172&amp;" "," ","|",4))-1),""))/86400+25569+9/24,""))</f>
        <v/>
      </c>
      <c r="G1172" s="58">
        <f>TRIM(SUBSTITUTE(SUBSTITUTE(SUBSTITUTE($A1172,CHAR(9)," ")," "," "),CHAR(13),""))</f>
        <v/>
      </c>
      <c r="H1172" s="58">
        <f>IF($G1172="","",IF(ISNUMBER(FIND(" ",$G1172)),$G1172,IFERROR(IF((LEN(SUBSTITUTE(SUBSTITUTE($G1172,"-"," ",LEN($G1172)-LEN(SUBSTITUTE($G1172,"-",""))),"-"," ",LEN($G1172)-LEN(SUBSTITUTE($G1172,"-",""))-1))-LEN(SUBSTITUTE(SUBSTITUTE(SUBSTITUTE($G1172,"-"," ",LEN($G1172)-LEN(SUBSTITUTE($G1172,"-",""))),"-"," ",LEN($G1172)-LEN(SUBSTITUTE($G1172,"-",""))-1),".","")))=0,SUBSTITUTE(SUBSTITUTE($G1172,"-"," ",LEN($G1172)-LEN(SUBSTITUTE($G1172,"-",""))),"-"," ",LEN($G1172)-LEN(SUBSTITUTE($G1172,"-",""))-1),SUBSTITUTE(SUBSTITUTE(SUBSTITUTE($G1172,"-"," ",LEN($G1172)-LEN(SUBSTITUTE($G1172,"-",""))),"-"," ",LEN($G1172)-LEN(SUBSTITUTE($G1172,"-",""))-1),"."," ",(LEN(SUBSTITUTE(SUBSTITUTE($G1172,"-"," ",LEN($G1172)-LEN(SUBSTITUTE($G1172,"-",""))),"-"," ",LEN($G1172)-LEN(SUBSTITUTE($G1172,"-",""))-1))-LEN(SUBSTITUTE(SUBSTITUTE(SUBSTITUTE($G1172,"-"," ",LEN($G1172)-LEN(SUBSTITUTE($G1172,"-",""))),"-"," ",LEN($G1172)-LEN(SUBSTITUTE($G1172,"-",""))-1),".",""))))),$G1172)))</f>
        <v/>
      </c>
    </row>
    <row r="1173">
      <c r="A1173" s="58" t="n"/>
      <c r="B1173" s="58">
        <f>IF($H1173="","",LEFT($H1173,FIND(" ",$H1173&amp;" ")-1))</f>
        <v/>
      </c>
      <c r="C1173" s="58">
        <f>IF($H1173="","",IFERROR(MID($H1173&amp;" ",FIND("|",SUBSTITUTE($H1173&amp;" "," ","|",1))+1,FIND("|",SUBSTITUTE($H1173&amp;" "," ","|",2))-FIND("|",SUBSTITUTE($H1173&amp;" "," ","|",1))-1),""))</f>
        <v/>
      </c>
      <c r="D1173" s="58">
        <f>IF($H1173="","",IFERROR(MID($H1173&amp;" ",FIND("|",SUBSTITUTE($H1173&amp;" "," ","|",2))+1,FIND("|",SUBSTITUTE($H1173&amp;" "," ","|",3))-FIND("|",SUBSTITUTE($H1173&amp;" "," ","|",2))-1),""))</f>
        <v/>
      </c>
      <c r="E1173" s="58">
        <f>IF($H1173="","",IFERROR(MID($H1173&amp;" ",FIND("|",SUBSTITUTE($H1173&amp;" "," ","|",3))+1,FIND("|",SUBSTITUTE($H1173&amp;" "," ","|",4))-FIND("|",SUBSTITUTE($H1173&amp;" "," ","|",3))-1),""))</f>
        <v/>
      </c>
      <c r="F1173" s="59">
        <f>IF($H1173="","",IFERROR(VALUE(IFERROR(MID($H1173&amp;" ",FIND("|",SUBSTITUTE($H1173&amp;" "," ","|",4))+1,FIND("|",SUBSTITUTE($H1173&amp;" "," ","|",5))-FIND("|",SUBSTITUTE($H1173&amp;" "," ","|",4))-1),""))/86400+25569+9/24,""))</f>
        <v/>
      </c>
      <c r="G1173" s="58">
        <f>TRIM(SUBSTITUTE(SUBSTITUTE(SUBSTITUTE($A1173,CHAR(9)," ")," "," "),CHAR(13),""))</f>
        <v/>
      </c>
      <c r="H1173" s="58">
        <f>IF($G1173="","",IF(ISNUMBER(FIND(" ",$G1173)),$G1173,IFERROR(IF((LEN(SUBSTITUTE(SUBSTITUTE($G1173,"-"," ",LEN($G1173)-LEN(SUBSTITUTE($G1173,"-",""))),"-"," ",LEN($G1173)-LEN(SUBSTITUTE($G1173,"-",""))-1))-LEN(SUBSTITUTE(SUBSTITUTE(SUBSTITUTE($G1173,"-"," ",LEN($G1173)-LEN(SUBSTITUTE($G1173,"-",""))),"-"," ",LEN($G1173)-LEN(SUBSTITUTE($G1173,"-",""))-1),".","")))=0,SUBSTITUTE(SUBSTITUTE($G1173,"-"," ",LEN($G1173)-LEN(SUBSTITUTE($G1173,"-",""))),"-"," ",LEN($G1173)-LEN(SUBSTITUTE($G1173,"-",""))-1),SUBSTITUTE(SUBSTITUTE(SUBSTITUTE($G1173,"-"," ",LEN($G1173)-LEN(SUBSTITUTE($G1173,"-",""))),"-"," ",LEN($G1173)-LEN(SUBSTITUTE($G1173,"-",""))-1),"."," ",(LEN(SUBSTITUTE(SUBSTITUTE($G1173,"-"," ",LEN($G1173)-LEN(SUBSTITUTE($G1173,"-",""))),"-"," ",LEN($G1173)-LEN(SUBSTITUTE($G1173,"-",""))-1))-LEN(SUBSTITUTE(SUBSTITUTE(SUBSTITUTE($G1173,"-"," ",LEN($G1173)-LEN(SUBSTITUTE($G1173,"-",""))),"-"," ",LEN($G1173)-LEN(SUBSTITUTE($G1173,"-",""))-1),".",""))))),$G1173)))</f>
        <v/>
      </c>
    </row>
    <row r="1174">
      <c r="A1174" s="58" t="n"/>
      <c r="B1174" s="58">
        <f>IF($H1174="","",LEFT($H1174,FIND(" ",$H1174&amp;" ")-1))</f>
        <v/>
      </c>
      <c r="C1174" s="58">
        <f>IF($H1174="","",IFERROR(MID($H1174&amp;" ",FIND("|",SUBSTITUTE($H1174&amp;" "," ","|",1))+1,FIND("|",SUBSTITUTE($H1174&amp;" "," ","|",2))-FIND("|",SUBSTITUTE($H1174&amp;" "," ","|",1))-1),""))</f>
        <v/>
      </c>
      <c r="D1174" s="58">
        <f>IF($H1174="","",IFERROR(MID($H1174&amp;" ",FIND("|",SUBSTITUTE($H1174&amp;" "," ","|",2))+1,FIND("|",SUBSTITUTE($H1174&amp;" "," ","|",3))-FIND("|",SUBSTITUTE($H1174&amp;" "," ","|",2))-1),""))</f>
        <v/>
      </c>
      <c r="E1174" s="58">
        <f>IF($H1174="","",IFERROR(MID($H1174&amp;" ",FIND("|",SUBSTITUTE($H1174&amp;" "," ","|",3))+1,FIND("|",SUBSTITUTE($H1174&amp;" "," ","|",4))-FIND("|",SUBSTITUTE($H1174&amp;" "," ","|",3))-1),""))</f>
        <v/>
      </c>
      <c r="F1174" s="59">
        <f>IF($H1174="","",IFERROR(VALUE(IFERROR(MID($H1174&amp;" ",FIND("|",SUBSTITUTE($H1174&amp;" "," ","|",4))+1,FIND("|",SUBSTITUTE($H1174&amp;" "," ","|",5))-FIND("|",SUBSTITUTE($H1174&amp;" "," ","|",4))-1),""))/86400+25569+9/24,""))</f>
        <v/>
      </c>
      <c r="G1174" s="58">
        <f>TRIM(SUBSTITUTE(SUBSTITUTE(SUBSTITUTE($A1174,CHAR(9)," ")," "," "),CHAR(13),""))</f>
        <v/>
      </c>
      <c r="H1174" s="58">
        <f>IF($G1174="","",IF(ISNUMBER(FIND(" ",$G1174)),$G1174,IFERROR(IF((LEN(SUBSTITUTE(SUBSTITUTE($G1174,"-"," ",LEN($G1174)-LEN(SUBSTITUTE($G1174,"-",""))),"-"," ",LEN($G1174)-LEN(SUBSTITUTE($G1174,"-",""))-1))-LEN(SUBSTITUTE(SUBSTITUTE(SUBSTITUTE($G1174,"-"," ",LEN($G1174)-LEN(SUBSTITUTE($G1174,"-",""))),"-"," ",LEN($G1174)-LEN(SUBSTITUTE($G1174,"-",""))-1),".","")))=0,SUBSTITUTE(SUBSTITUTE($G1174,"-"," ",LEN($G1174)-LEN(SUBSTITUTE($G1174,"-",""))),"-"," ",LEN($G1174)-LEN(SUBSTITUTE($G1174,"-",""))-1),SUBSTITUTE(SUBSTITUTE(SUBSTITUTE($G1174,"-"," ",LEN($G1174)-LEN(SUBSTITUTE($G1174,"-",""))),"-"," ",LEN($G1174)-LEN(SUBSTITUTE($G1174,"-",""))-1),"."," ",(LEN(SUBSTITUTE(SUBSTITUTE($G1174,"-"," ",LEN($G1174)-LEN(SUBSTITUTE($G1174,"-",""))),"-"," ",LEN($G1174)-LEN(SUBSTITUTE($G1174,"-",""))-1))-LEN(SUBSTITUTE(SUBSTITUTE(SUBSTITUTE($G1174,"-"," ",LEN($G1174)-LEN(SUBSTITUTE($G1174,"-",""))),"-"," ",LEN($G1174)-LEN(SUBSTITUTE($G1174,"-",""))-1),".",""))))),$G1174)))</f>
        <v/>
      </c>
    </row>
    <row r="1175">
      <c r="A1175" s="58" t="n"/>
      <c r="B1175" s="58">
        <f>IF($H1175="","",LEFT($H1175,FIND(" ",$H1175&amp;" ")-1))</f>
        <v/>
      </c>
      <c r="C1175" s="58">
        <f>IF($H1175="","",IFERROR(MID($H1175&amp;" ",FIND("|",SUBSTITUTE($H1175&amp;" "," ","|",1))+1,FIND("|",SUBSTITUTE($H1175&amp;" "," ","|",2))-FIND("|",SUBSTITUTE($H1175&amp;" "," ","|",1))-1),""))</f>
        <v/>
      </c>
      <c r="D1175" s="58">
        <f>IF($H1175="","",IFERROR(MID($H1175&amp;" ",FIND("|",SUBSTITUTE($H1175&amp;" "," ","|",2))+1,FIND("|",SUBSTITUTE($H1175&amp;" "," ","|",3))-FIND("|",SUBSTITUTE($H1175&amp;" "," ","|",2))-1),""))</f>
        <v/>
      </c>
      <c r="E1175" s="58">
        <f>IF($H1175="","",IFERROR(MID($H1175&amp;" ",FIND("|",SUBSTITUTE($H1175&amp;" "," ","|",3))+1,FIND("|",SUBSTITUTE($H1175&amp;" "," ","|",4))-FIND("|",SUBSTITUTE($H1175&amp;" "," ","|",3))-1),""))</f>
        <v/>
      </c>
      <c r="F1175" s="59">
        <f>IF($H1175="","",IFERROR(VALUE(IFERROR(MID($H1175&amp;" ",FIND("|",SUBSTITUTE($H1175&amp;" "," ","|",4))+1,FIND("|",SUBSTITUTE($H1175&amp;" "," ","|",5))-FIND("|",SUBSTITUTE($H1175&amp;" "," ","|",4))-1),""))/86400+25569+9/24,""))</f>
        <v/>
      </c>
      <c r="G1175" s="58">
        <f>TRIM(SUBSTITUTE(SUBSTITUTE(SUBSTITUTE($A1175,CHAR(9)," ")," "," "),CHAR(13),""))</f>
        <v/>
      </c>
      <c r="H1175" s="58">
        <f>IF($G1175="","",IF(ISNUMBER(FIND(" ",$G1175)),$G1175,IFERROR(IF((LEN(SUBSTITUTE(SUBSTITUTE($G1175,"-"," ",LEN($G1175)-LEN(SUBSTITUTE($G1175,"-",""))),"-"," ",LEN($G1175)-LEN(SUBSTITUTE($G1175,"-",""))-1))-LEN(SUBSTITUTE(SUBSTITUTE(SUBSTITUTE($G1175,"-"," ",LEN($G1175)-LEN(SUBSTITUTE($G1175,"-",""))),"-"," ",LEN($G1175)-LEN(SUBSTITUTE($G1175,"-",""))-1),".","")))=0,SUBSTITUTE(SUBSTITUTE($G1175,"-"," ",LEN($G1175)-LEN(SUBSTITUTE($G1175,"-",""))),"-"," ",LEN($G1175)-LEN(SUBSTITUTE($G1175,"-",""))-1),SUBSTITUTE(SUBSTITUTE(SUBSTITUTE($G1175,"-"," ",LEN($G1175)-LEN(SUBSTITUTE($G1175,"-",""))),"-"," ",LEN($G1175)-LEN(SUBSTITUTE($G1175,"-",""))-1),"."," ",(LEN(SUBSTITUTE(SUBSTITUTE($G1175,"-"," ",LEN($G1175)-LEN(SUBSTITUTE($G1175,"-",""))),"-"," ",LEN($G1175)-LEN(SUBSTITUTE($G1175,"-",""))-1))-LEN(SUBSTITUTE(SUBSTITUTE(SUBSTITUTE($G1175,"-"," ",LEN($G1175)-LEN(SUBSTITUTE($G1175,"-",""))),"-"," ",LEN($G1175)-LEN(SUBSTITUTE($G1175,"-",""))-1),".",""))))),$G1175)))</f>
        <v/>
      </c>
    </row>
    <row r="1176">
      <c r="A1176" s="58" t="n"/>
      <c r="B1176" s="58">
        <f>IF($H1176="","",LEFT($H1176,FIND(" ",$H1176&amp;" ")-1))</f>
        <v/>
      </c>
      <c r="C1176" s="58">
        <f>IF($H1176="","",IFERROR(MID($H1176&amp;" ",FIND("|",SUBSTITUTE($H1176&amp;" "," ","|",1))+1,FIND("|",SUBSTITUTE($H1176&amp;" "," ","|",2))-FIND("|",SUBSTITUTE($H1176&amp;" "," ","|",1))-1),""))</f>
        <v/>
      </c>
      <c r="D1176" s="58">
        <f>IF($H1176="","",IFERROR(MID($H1176&amp;" ",FIND("|",SUBSTITUTE($H1176&amp;" "," ","|",2))+1,FIND("|",SUBSTITUTE($H1176&amp;" "," ","|",3))-FIND("|",SUBSTITUTE($H1176&amp;" "," ","|",2))-1),""))</f>
        <v/>
      </c>
      <c r="E1176" s="58">
        <f>IF($H1176="","",IFERROR(MID($H1176&amp;" ",FIND("|",SUBSTITUTE($H1176&amp;" "," ","|",3))+1,FIND("|",SUBSTITUTE($H1176&amp;" "," ","|",4))-FIND("|",SUBSTITUTE($H1176&amp;" "," ","|",3))-1),""))</f>
        <v/>
      </c>
      <c r="F1176" s="59">
        <f>IF($H1176="","",IFERROR(VALUE(IFERROR(MID($H1176&amp;" ",FIND("|",SUBSTITUTE($H1176&amp;" "," ","|",4))+1,FIND("|",SUBSTITUTE($H1176&amp;" "," ","|",5))-FIND("|",SUBSTITUTE($H1176&amp;" "," ","|",4))-1),""))/86400+25569+9/24,""))</f>
        <v/>
      </c>
      <c r="G1176" s="58">
        <f>TRIM(SUBSTITUTE(SUBSTITUTE(SUBSTITUTE($A1176,CHAR(9)," ")," "," "),CHAR(13),""))</f>
        <v/>
      </c>
      <c r="H1176" s="58">
        <f>IF($G1176="","",IF(ISNUMBER(FIND(" ",$G1176)),$G1176,IFERROR(IF((LEN(SUBSTITUTE(SUBSTITUTE($G1176,"-"," ",LEN($G1176)-LEN(SUBSTITUTE($G1176,"-",""))),"-"," ",LEN($G1176)-LEN(SUBSTITUTE($G1176,"-",""))-1))-LEN(SUBSTITUTE(SUBSTITUTE(SUBSTITUTE($G1176,"-"," ",LEN($G1176)-LEN(SUBSTITUTE($G1176,"-",""))),"-"," ",LEN($G1176)-LEN(SUBSTITUTE($G1176,"-",""))-1),".","")))=0,SUBSTITUTE(SUBSTITUTE($G1176,"-"," ",LEN($G1176)-LEN(SUBSTITUTE($G1176,"-",""))),"-"," ",LEN($G1176)-LEN(SUBSTITUTE($G1176,"-",""))-1),SUBSTITUTE(SUBSTITUTE(SUBSTITUTE($G1176,"-"," ",LEN($G1176)-LEN(SUBSTITUTE($G1176,"-",""))),"-"," ",LEN($G1176)-LEN(SUBSTITUTE($G1176,"-",""))-1),"."," ",(LEN(SUBSTITUTE(SUBSTITUTE($G1176,"-"," ",LEN($G1176)-LEN(SUBSTITUTE($G1176,"-",""))),"-"," ",LEN($G1176)-LEN(SUBSTITUTE($G1176,"-",""))-1))-LEN(SUBSTITUTE(SUBSTITUTE(SUBSTITUTE($G1176,"-"," ",LEN($G1176)-LEN(SUBSTITUTE($G1176,"-",""))),"-"," ",LEN($G1176)-LEN(SUBSTITUTE($G1176,"-",""))-1),".",""))))),$G1176)))</f>
        <v/>
      </c>
    </row>
    <row r="1177">
      <c r="A1177" s="58" t="n"/>
      <c r="B1177" s="58">
        <f>IF($H1177="","",LEFT($H1177,FIND(" ",$H1177&amp;" ")-1))</f>
        <v/>
      </c>
      <c r="C1177" s="58">
        <f>IF($H1177="","",IFERROR(MID($H1177&amp;" ",FIND("|",SUBSTITUTE($H1177&amp;" "," ","|",1))+1,FIND("|",SUBSTITUTE($H1177&amp;" "," ","|",2))-FIND("|",SUBSTITUTE($H1177&amp;" "," ","|",1))-1),""))</f>
        <v/>
      </c>
      <c r="D1177" s="58">
        <f>IF($H1177="","",IFERROR(MID($H1177&amp;" ",FIND("|",SUBSTITUTE($H1177&amp;" "," ","|",2))+1,FIND("|",SUBSTITUTE($H1177&amp;" "," ","|",3))-FIND("|",SUBSTITUTE($H1177&amp;" "," ","|",2))-1),""))</f>
        <v/>
      </c>
      <c r="E1177" s="58">
        <f>IF($H1177="","",IFERROR(MID($H1177&amp;" ",FIND("|",SUBSTITUTE($H1177&amp;" "," ","|",3))+1,FIND("|",SUBSTITUTE($H1177&amp;" "," ","|",4))-FIND("|",SUBSTITUTE($H1177&amp;" "," ","|",3))-1),""))</f>
        <v/>
      </c>
      <c r="F1177" s="59">
        <f>IF($H1177="","",IFERROR(VALUE(IFERROR(MID($H1177&amp;" ",FIND("|",SUBSTITUTE($H1177&amp;" "," ","|",4))+1,FIND("|",SUBSTITUTE($H1177&amp;" "," ","|",5))-FIND("|",SUBSTITUTE($H1177&amp;" "," ","|",4))-1),""))/86400+25569+9/24,""))</f>
        <v/>
      </c>
      <c r="G1177" s="58">
        <f>TRIM(SUBSTITUTE(SUBSTITUTE(SUBSTITUTE($A1177,CHAR(9)," ")," "," "),CHAR(13),""))</f>
        <v/>
      </c>
      <c r="H1177" s="58">
        <f>IF($G1177="","",IF(ISNUMBER(FIND(" ",$G1177)),$G1177,IFERROR(IF((LEN(SUBSTITUTE(SUBSTITUTE($G1177,"-"," ",LEN($G1177)-LEN(SUBSTITUTE($G1177,"-",""))),"-"," ",LEN($G1177)-LEN(SUBSTITUTE($G1177,"-",""))-1))-LEN(SUBSTITUTE(SUBSTITUTE(SUBSTITUTE($G1177,"-"," ",LEN($G1177)-LEN(SUBSTITUTE($G1177,"-",""))),"-"," ",LEN($G1177)-LEN(SUBSTITUTE($G1177,"-",""))-1),".","")))=0,SUBSTITUTE(SUBSTITUTE($G1177,"-"," ",LEN($G1177)-LEN(SUBSTITUTE($G1177,"-",""))),"-"," ",LEN($G1177)-LEN(SUBSTITUTE($G1177,"-",""))-1),SUBSTITUTE(SUBSTITUTE(SUBSTITUTE($G1177,"-"," ",LEN($G1177)-LEN(SUBSTITUTE($G1177,"-",""))),"-"," ",LEN($G1177)-LEN(SUBSTITUTE($G1177,"-",""))-1),"."," ",(LEN(SUBSTITUTE(SUBSTITUTE($G1177,"-"," ",LEN($G1177)-LEN(SUBSTITUTE($G1177,"-",""))),"-"," ",LEN($G1177)-LEN(SUBSTITUTE($G1177,"-",""))-1))-LEN(SUBSTITUTE(SUBSTITUTE(SUBSTITUTE($G1177,"-"," ",LEN($G1177)-LEN(SUBSTITUTE($G1177,"-",""))),"-"," ",LEN($G1177)-LEN(SUBSTITUTE($G1177,"-",""))-1),".",""))))),$G1177)))</f>
        <v/>
      </c>
    </row>
    <row r="1178">
      <c r="A1178" s="58" t="n"/>
      <c r="B1178" s="58">
        <f>IF($H1178="","",LEFT($H1178,FIND(" ",$H1178&amp;" ")-1))</f>
        <v/>
      </c>
      <c r="C1178" s="58">
        <f>IF($H1178="","",IFERROR(MID($H1178&amp;" ",FIND("|",SUBSTITUTE($H1178&amp;" "," ","|",1))+1,FIND("|",SUBSTITUTE($H1178&amp;" "," ","|",2))-FIND("|",SUBSTITUTE($H1178&amp;" "," ","|",1))-1),""))</f>
        <v/>
      </c>
      <c r="D1178" s="58">
        <f>IF($H1178="","",IFERROR(MID($H1178&amp;" ",FIND("|",SUBSTITUTE($H1178&amp;" "," ","|",2))+1,FIND("|",SUBSTITUTE($H1178&amp;" "," ","|",3))-FIND("|",SUBSTITUTE($H1178&amp;" "," ","|",2))-1),""))</f>
        <v/>
      </c>
      <c r="E1178" s="58">
        <f>IF($H1178="","",IFERROR(MID($H1178&amp;" ",FIND("|",SUBSTITUTE($H1178&amp;" "," ","|",3))+1,FIND("|",SUBSTITUTE($H1178&amp;" "," ","|",4))-FIND("|",SUBSTITUTE($H1178&amp;" "," ","|",3))-1),""))</f>
        <v/>
      </c>
      <c r="F1178" s="59">
        <f>IF($H1178="","",IFERROR(VALUE(IFERROR(MID($H1178&amp;" ",FIND("|",SUBSTITUTE($H1178&amp;" "," ","|",4))+1,FIND("|",SUBSTITUTE($H1178&amp;" "," ","|",5))-FIND("|",SUBSTITUTE($H1178&amp;" "," ","|",4))-1),""))/86400+25569+9/24,""))</f>
        <v/>
      </c>
      <c r="G1178" s="58">
        <f>TRIM(SUBSTITUTE(SUBSTITUTE(SUBSTITUTE($A1178,CHAR(9)," ")," "," "),CHAR(13),""))</f>
        <v/>
      </c>
      <c r="H1178" s="58">
        <f>IF($G1178="","",IF(ISNUMBER(FIND(" ",$G1178)),$G1178,IFERROR(IF((LEN(SUBSTITUTE(SUBSTITUTE($G1178,"-"," ",LEN($G1178)-LEN(SUBSTITUTE($G1178,"-",""))),"-"," ",LEN($G1178)-LEN(SUBSTITUTE($G1178,"-",""))-1))-LEN(SUBSTITUTE(SUBSTITUTE(SUBSTITUTE($G1178,"-"," ",LEN($G1178)-LEN(SUBSTITUTE($G1178,"-",""))),"-"," ",LEN($G1178)-LEN(SUBSTITUTE($G1178,"-",""))-1),".","")))=0,SUBSTITUTE(SUBSTITUTE($G1178,"-"," ",LEN($G1178)-LEN(SUBSTITUTE($G1178,"-",""))),"-"," ",LEN($G1178)-LEN(SUBSTITUTE($G1178,"-",""))-1),SUBSTITUTE(SUBSTITUTE(SUBSTITUTE($G1178,"-"," ",LEN($G1178)-LEN(SUBSTITUTE($G1178,"-",""))),"-"," ",LEN($G1178)-LEN(SUBSTITUTE($G1178,"-",""))-1),"."," ",(LEN(SUBSTITUTE(SUBSTITUTE($G1178,"-"," ",LEN($G1178)-LEN(SUBSTITUTE($G1178,"-",""))),"-"," ",LEN($G1178)-LEN(SUBSTITUTE($G1178,"-",""))-1))-LEN(SUBSTITUTE(SUBSTITUTE(SUBSTITUTE($G1178,"-"," ",LEN($G1178)-LEN(SUBSTITUTE($G1178,"-",""))),"-"," ",LEN($G1178)-LEN(SUBSTITUTE($G1178,"-",""))-1),".",""))))),$G1178)))</f>
        <v/>
      </c>
    </row>
    <row r="1179">
      <c r="A1179" s="58" t="n"/>
      <c r="B1179" s="58">
        <f>IF($H1179="","",LEFT($H1179,FIND(" ",$H1179&amp;" ")-1))</f>
        <v/>
      </c>
      <c r="C1179" s="58">
        <f>IF($H1179="","",IFERROR(MID($H1179&amp;" ",FIND("|",SUBSTITUTE($H1179&amp;" "," ","|",1))+1,FIND("|",SUBSTITUTE($H1179&amp;" "," ","|",2))-FIND("|",SUBSTITUTE($H1179&amp;" "," ","|",1))-1),""))</f>
        <v/>
      </c>
      <c r="D1179" s="58">
        <f>IF($H1179="","",IFERROR(MID($H1179&amp;" ",FIND("|",SUBSTITUTE($H1179&amp;" "," ","|",2))+1,FIND("|",SUBSTITUTE($H1179&amp;" "," ","|",3))-FIND("|",SUBSTITUTE($H1179&amp;" "," ","|",2))-1),""))</f>
        <v/>
      </c>
      <c r="E1179" s="58">
        <f>IF($H1179="","",IFERROR(MID($H1179&amp;" ",FIND("|",SUBSTITUTE($H1179&amp;" "," ","|",3))+1,FIND("|",SUBSTITUTE($H1179&amp;" "," ","|",4))-FIND("|",SUBSTITUTE($H1179&amp;" "," ","|",3))-1),""))</f>
        <v/>
      </c>
      <c r="F1179" s="59">
        <f>IF($H1179="","",IFERROR(VALUE(IFERROR(MID($H1179&amp;" ",FIND("|",SUBSTITUTE($H1179&amp;" "," ","|",4))+1,FIND("|",SUBSTITUTE($H1179&amp;" "," ","|",5))-FIND("|",SUBSTITUTE($H1179&amp;" "," ","|",4))-1),""))/86400+25569+9/24,""))</f>
        <v/>
      </c>
      <c r="G1179" s="58">
        <f>TRIM(SUBSTITUTE(SUBSTITUTE(SUBSTITUTE($A1179,CHAR(9)," ")," "," "),CHAR(13),""))</f>
        <v/>
      </c>
      <c r="H1179" s="58">
        <f>IF($G1179="","",IF(ISNUMBER(FIND(" ",$G1179)),$G1179,IFERROR(IF((LEN(SUBSTITUTE(SUBSTITUTE($G1179,"-"," ",LEN($G1179)-LEN(SUBSTITUTE($G1179,"-",""))),"-"," ",LEN($G1179)-LEN(SUBSTITUTE($G1179,"-",""))-1))-LEN(SUBSTITUTE(SUBSTITUTE(SUBSTITUTE($G1179,"-"," ",LEN($G1179)-LEN(SUBSTITUTE($G1179,"-",""))),"-"," ",LEN($G1179)-LEN(SUBSTITUTE($G1179,"-",""))-1),".","")))=0,SUBSTITUTE(SUBSTITUTE($G1179,"-"," ",LEN($G1179)-LEN(SUBSTITUTE($G1179,"-",""))),"-"," ",LEN($G1179)-LEN(SUBSTITUTE($G1179,"-",""))-1),SUBSTITUTE(SUBSTITUTE(SUBSTITUTE($G1179,"-"," ",LEN($G1179)-LEN(SUBSTITUTE($G1179,"-",""))),"-"," ",LEN($G1179)-LEN(SUBSTITUTE($G1179,"-",""))-1),"."," ",(LEN(SUBSTITUTE(SUBSTITUTE($G1179,"-"," ",LEN($G1179)-LEN(SUBSTITUTE($G1179,"-",""))),"-"," ",LEN($G1179)-LEN(SUBSTITUTE($G1179,"-",""))-1))-LEN(SUBSTITUTE(SUBSTITUTE(SUBSTITUTE($G1179,"-"," ",LEN($G1179)-LEN(SUBSTITUTE($G1179,"-",""))),"-"," ",LEN($G1179)-LEN(SUBSTITUTE($G1179,"-",""))-1),".",""))))),$G1179)))</f>
        <v/>
      </c>
    </row>
    <row r="1180">
      <c r="A1180" s="58" t="n"/>
      <c r="B1180" s="58">
        <f>IF($H1180="","",LEFT($H1180,FIND(" ",$H1180&amp;" ")-1))</f>
        <v/>
      </c>
      <c r="C1180" s="58">
        <f>IF($H1180="","",IFERROR(MID($H1180&amp;" ",FIND("|",SUBSTITUTE($H1180&amp;" "," ","|",1))+1,FIND("|",SUBSTITUTE($H1180&amp;" "," ","|",2))-FIND("|",SUBSTITUTE($H1180&amp;" "," ","|",1))-1),""))</f>
        <v/>
      </c>
      <c r="D1180" s="58">
        <f>IF($H1180="","",IFERROR(MID($H1180&amp;" ",FIND("|",SUBSTITUTE($H1180&amp;" "," ","|",2))+1,FIND("|",SUBSTITUTE($H1180&amp;" "," ","|",3))-FIND("|",SUBSTITUTE($H1180&amp;" "," ","|",2))-1),""))</f>
        <v/>
      </c>
      <c r="E1180" s="58">
        <f>IF($H1180="","",IFERROR(MID($H1180&amp;" ",FIND("|",SUBSTITUTE($H1180&amp;" "," ","|",3))+1,FIND("|",SUBSTITUTE($H1180&amp;" "," ","|",4))-FIND("|",SUBSTITUTE($H1180&amp;" "," ","|",3))-1),""))</f>
        <v/>
      </c>
      <c r="F1180" s="59">
        <f>IF($H1180="","",IFERROR(VALUE(IFERROR(MID($H1180&amp;" ",FIND("|",SUBSTITUTE($H1180&amp;" "," ","|",4))+1,FIND("|",SUBSTITUTE($H1180&amp;" "," ","|",5))-FIND("|",SUBSTITUTE($H1180&amp;" "," ","|",4))-1),""))/86400+25569+9/24,""))</f>
        <v/>
      </c>
      <c r="G1180" s="58">
        <f>TRIM(SUBSTITUTE(SUBSTITUTE(SUBSTITUTE($A1180,CHAR(9)," ")," "," "),CHAR(13),""))</f>
        <v/>
      </c>
      <c r="H1180" s="58">
        <f>IF($G1180="","",IF(ISNUMBER(FIND(" ",$G1180)),$G1180,IFERROR(IF((LEN(SUBSTITUTE(SUBSTITUTE($G1180,"-"," ",LEN($G1180)-LEN(SUBSTITUTE($G1180,"-",""))),"-"," ",LEN($G1180)-LEN(SUBSTITUTE($G1180,"-",""))-1))-LEN(SUBSTITUTE(SUBSTITUTE(SUBSTITUTE($G1180,"-"," ",LEN($G1180)-LEN(SUBSTITUTE($G1180,"-",""))),"-"," ",LEN($G1180)-LEN(SUBSTITUTE($G1180,"-",""))-1),".","")))=0,SUBSTITUTE(SUBSTITUTE($G1180,"-"," ",LEN($G1180)-LEN(SUBSTITUTE($G1180,"-",""))),"-"," ",LEN($G1180)-LEN(SUBSTITUTE($G1180,"-",""))-1),SUBSTITUTE(SUBSTITUTE(SUBSTITUTE($G1180,"-"," ",LEN($G1180)-LEN(SUBSTITUTE($G1180,"-",""))),"-"," ",LEN($G1180)-LEN(SUBSTITUTE($G1180,"-",""))-1),"."," ",(LEN(SUBSTITUTE(SUBSTITUTE($G1180,"-"," ",LEN($G1180)-LEN(SUBSTITUTE($G1180,"-",""))),"-"," ",LEN($G1180)-LEN(SUBSTITUTE($G1180,"-",""))-1))-LEN(SUBSTITUTE(SUBSTITUTE(SUBSTITUTE($G1180,"-"," ",LEN($G1180)-LEN(SUBSTITUTE($G1180,"-",""))),"-"," ",LEN($G1180)-LEN(SUBSTITUTE($G1180,"-",""))-1),".",""))))),$G1180)))</f>
        <v/>
      </c>
    </row>
    <row r="1181">
      <c r="A1181" s="58" t="n"/>
      <c r="B1181" s="58">
        <f>IF($H1181="","",LEFT($H1181,FIND(" ",$H1181&amp;" ")-1))</f>
        <v/>
      </c>
      <c r="C1181" s="58">
        <f>IF($H1181="","",IFERROR(MID($H1181&amp;" ",FIND("|",SUBSTITUTE($H1181&amp;" "," ","|",1))+1,FIND("|",SUBSTITUTE($H1181&amp;" "," ","|",2))-FIND("|",SUBSTITUTE($H1181&amp;" "," ","|",1))-1),""))</f>
        <v/>
      </c>
      <c r="D1181" s="58">
        <f>IF($H1181="","",IFERROR(MID($H1181&amp;" ",FIND("|",SUBSTITUTE($H1181&amp;" "," ","|",2))+1,FIND("|",SUBSTITUTE($H1181&amp;" "," ","|",3))-FIND("|",SUBSTITUTE($H1181&amp;" "," ","|",2))-1),""))</f>
        <v/>
      </c>
      <c r="E1181" s="58">
        <f>IF($H1181="","",IFERROR(MID($H1181&amp;" ",FIND("|",SUBSTITUTE($H1181&amp;" "," ","|",3))+1,FIND("|",SUBSTITUTE($H1181&amp;" "," ","|",4))-FIND("|",SUBSTITUTE($H1181&amp;" "," ","|",3))-1),""))</f>
        <v/>
      </c>
      <c r="F1181" s="59">
        <f>IF($H1181="","",IFERROR(VALUE(IFERROR(MID($H1181&amp;" ",FIND("|",SUBSTITUTE($H1181&amp;" "," ","|",4))+1,FIND("|",SUBSTITUTE($H1181&amp;" "," ","|",5))-FIND("|",SUBSTITUTE($H1181&amp;" "," ","|",4))-1),""))/86400+25569+9/24,""))</f>
        <v/>
      </c>
      <c r="G1181" s="58">
        <f>TRIM(SUBSTITUTE(SUBSTITUTE(SUBSTITUTE($A1181,CHAR(9)," ")," "," "),CHAR(13),""))</f>
        <v/>
      </c>
      <c r="H1181" s="58">
        <f>IF($G1181="","",IF(ISNUMBER(FIND(" ",$G1181)),$G1181,IFERROR(IF((LEN(SUBSTITUTE(SUBSTITUTE($G1181,"-"," ",LEN($G1181)-LEN(SUBSTITUTE($G1181,"-",""))),"-"," ",LEN($G1181)-LEN(SUBSTITUTE($G1181,"-",""))-1))-LEN(SUBSTITUTE(SUBSTITUTE(SUBSTITUTE($G1181,"-"," ",LEN($G1181)-LEN(SUBSTITUTE($G1181,"-",""))),"-"," ",LEN($G1181)-LEN(SUBSTITUTE($G1181,"-",""))-1),".","")))=0,SUBSTITUTE(SUBSTITUTE($G1181,"-"," ",LEN($G1181)-LEN(SUBSTITUTE($G1181,"-",""))),"-"," ",LEN($G1181)-LEN(SUBSTITUTE($G1181,"-",""))-1),SUBSTITUTE(SUBSTITUTE(SUBSTITUTE($G1181,"-"," ",LEN($G1181)-LEN(SUBSTITUTE($G1181,"-",""))),"-"," ",LEN($G1181)-LEN(SUBSTITUTE($G1181,"-",""))-1),"."," ",(LEN(SUBSTITUTE(SUBSTITUTE($G1181,"-"," ",LEN($G1181)-LEN(SUBSTITUTE($G1181,"-",""))),"-"," ",LEN($G1181)-LEN(SUBSTITUTE($G1181,"-",""))-1))-LEN(SUBSTITUTE(SUBSTITUTE(SUBSTITUTE($G1181,"-"," ",LEN($G1181)-LEN(SUBSTITUTE($G1181,"-",""))),"-"," ",LEN($G1181)-LEN(SUBSTITUTE($G1181,"-",""))-1),".",""))))),$G1181)))</f>
        <v/>
      </c>
    </row>
    <row r="1182">
      <c r="A1182" s="58" t="n"/>
      <c r="B1182" s="58">
        <f>IF($H1182="","",LEFT($H1182,FIND(" ",$H1182&amp;" ")-1))</f>
        <v/>
      </c>
      <c r="C1182" s="58">
        <f>IF($H1182="","",IFERROR(MID($H1182&amp;" ",FIND("|",SUBSTITUTE($H1182&amp;" "," ","|",1))+1,FIND("|",SUBSTITUTE($H1182&amp;" "," ","|",2))-FIND("|",SUBSTITUTE($H1182&amp;" "," ","|",1))-1),""))</f>
        <v/>
      </c>
      <c r="D1182" s="58">
        <f>IF($H1182="","",IFERROR(MID($H1182&amp;" ",FIND("|",SUBSTITUTE($H1182&amp;" "," ","|",2))+1,FIND("|",SUBSTITUTE($H1182&amp;" "," ","|",3))-FIND("|",SUBSTITUTE($H1182&amp;" "," ","|",2))-1),""))</f>
        <v/>
      </c>
      <c r="E1182" s="58">
        <f>IF($H1182="","",IFERROR(MID($H1182&amp;" ",FIND("|",SUBSTITUTE($H1182&amp;" "," ","|",3))+1,FIND("|",SUBSTITUTE($H1182&amp;" "," ","|",4))-FIND("|",SUBSTITUTE($H1182&amp;" "," ","|",3))-1),""))</f>
        <v/>
      </c>
      <c r="F1182" s="59">
        <f>IF($H1182="","",IFERROR(VALUE(IFERROR(MID($H1182&amp;" ",FIND("|",SUBSTITUTE($H1182&amp;" "," ","|",4))+1,FIND("|",SUBSTITUTE($H1182&amp;" "," ","|",5))-FIND("|",SUBSTITUTE($H1182&amp;" "," ","|",4))-1),""))/86400+25569+9/24,""))</f>
        <v/>
      </c>
      <c r="G1182" s="58">
        <f>TRIM(SUBSTITUTE(SUBSTITUTE(SUBSTITUTE($A1182,CHAR(9)," ")," "," "),CHAR(13),""))</f>
        <v/>
      </c>
      <c r="H1182" s="58">
        <f>IF($G1182="","",IF(ISNUMBER(FIND(" ",$G1182)),$G1182,IFERROR(IF((LEN(SUBSTITUTE(SUBSTITUTE($G1182,"-"," ",LEN($G1182)-LEN(SUBSTITUTE($G1182,"-",""))),"-"," ",LEN($G1182)-LEN(SUBSTITUTE($G1182,"-",""))-1))-LEN(SUBSTITUTE(SUBSTITUTE(SUBSTITUTE($G1182,"-"," ",LEN($G1182)-LEN(SUBSTITUTE($G1182,"-",""))),"-"," ",LEN($G1182)-LEN(SUBSTITUTE($G1182,"-",""))-1),".","")))=0,SUBSTITUTE(SUBSTITUTE($G1182,"-"," ",LEN($G1182)-LEN(SUBSTITUTE($G1182,"-",""))),"-"," ",LEN($G1182)-LEN(SUBSTITUTE($G1182,"-",""))-1),SUBSTITUTE(SUBSTITUTE(SUBSTITUTE($G1182,"-"," ",LEN($G1182)-LEN(SUBSTITUTE($G1182,"-",""))),"-"," ",LEN($G1182)-LEN(SUBSTITUTE($G1182,"-",""))-1),"."," ",(LEN(SUBSTITUTE(SUBSTITUTE($G1182,"-"," ",LEN($G1182)-LEN(SUBSTITUTE($G1182,"-",""))),"-"," ",LEN($G1182)-LEN(SUBSTITUTE($G1182,"-",""))-1))-LEN(SUBSTITUTE(SUBSTITUTE(SUBSTITUTE($G1182,"-"," ",LEN($G1182)-LEN(SUBSTITUTE($G1182,"-",""))),"-"," ",LEN($G1182)-LEN(SUBSTITUTE($G1182,"-",""))-1),".",""))))),$G1182)))</f>
        <v/>
      </c>
    </row>
    <row r="1183">
      <c r="A1183" s="58" t="n"/>
      <c r="B1183" s="58">
        <f>IF($H1183="","",LEFT($H1183,FIND(" ",$H1183&amp;" ")-1))</f>
        <v/>
      </c>
      <c r="C1183" s="58">
        <f>IF($H1183="","",IFERROR(MID($H1183&amp;" ",FIND("|",SUBSTITUTE($H1183&amp;" "," ","|",1))+1,FIND("|",SUBSTITUTE($H1183&amp;" "," ","|",2))-FIND("|",SUBSTITUTE($H1183&amp;" "," ","|",1))-1),""))</f>
        <v/>
      </c>
      <c r="D1183" s="58">
        <f>IF($H1183="","",IFERROR(MID($H1183&amp;" ",FIND("|",SUBSTITUTE($H1183&amp;" "," ","|",2))+1,FIND("|",SUBSTITUTE($H1183&amp;" "," ","|",3))-FIND("|",SUBSTITUTE($H1183&amp;" "," ","|",2))-1),""))</f>
        <v/>
      </c>
      <c r="E1183" s="58">
        <f>IF($H1183="","",IFERROR(MID($H1183&amp;" ",FIND("|",SUBSTITUTE($H1183&amp;" "," ","|",3))+1,FIND("|",SUBSTITUTE($H1183&amp;" "," ","|",4))-FIND("|",SUBSTITUTE($H1183&amp;" "," ","|",3))-1),""))</f>
        <v/>
      </c>
      <c r="F1183" s="59">
        <f>IF($H1183="","",IFERROR(VALUE(IFERROR(MID($H1183&amp;" ",FIND("|",SUBSTITUTE($H1183&amp;" "," ","|",4))+1,FIND("|",SUBSTITUTE($H1183&amp;" "," ","|",5))-FIND("|",SUBSTITUTE($H1183&amp;" "," ","|",4))-1),""))/86400+25569+9/24,""))</f>
        <v/>
      </c>
      <c r="G1183" s="58">
        <f>TRIM(SUBSTITUTE(SUBSTITUTE(SUBSTITUTE($A1183,CHAR(9)," ")," "," "),CHAR(13),""))</f>
        <v/>
      </c>
      <c r="H1183" s="58">
        <f>IF($G1183="","",IF(ISNUMBER(FIND(" ",$G1183)),$G1183,IFERROR(IF((LEN(SUBSTITUTE(SUBSTITUTE($G1183,"-"," ",LEN($G1183)-LEN(SUBSTITUTE($G1183,"-",""))),"-"," ",LEN($G1183)-LEN(SUBSTITUTE($G1183,"-",""))-1))-LEN(SUBSTITUTE(SUBSTITUTE(SUBSTITUTE($G1183,"-"," ",LEN($G1183)-LEN(SUBSTITUTE($G1183,"-",""))),"-"," ",LEN($G1183)-LEN(SUBSTITUTE($G1183,"-",""))-1),".","")))=0,SUBSTITUTE(SUBSTITUTE($G1183,"-"," ",LEN($G1183)-LEN(SUBSTITUTE($G1183,"-",""))),"-"," ",LEN($G1183)-LEN(SUBSTITUTE($G1183,"-",""))-1),SUBSTITUTE(SUBSTITUTE(SUBSTITUTE($G1183,"-"," ",LEN($G1183)-LEN(SUBSTITUTE($G1183,"-",""))),"-"," ",LEN($G1183)-LEN(SUBSTITUTE($G1183,"-",""))-1),"."," ",(LEN(SUBSTITUTE(SUBSTITUTE($G1183,"-"," ",LEN($G1183)-LEN(SUBSTITUTE($G1183,"-",""))),"-"," ",LEN($G1183)-LEN(SUBSTITUTE($G1183,"-",""))-1))-LEN(SUBSTITUTE(SUBSTITUTE(SUBSTITUTE($G1183,"-"," ",LEN($G1183)-LEN(SUBSTITUTE($G1183,"-",""))),"-"," ",LEN($G1183)-LEN(SUBSTITUTE($G1183,"-",""))-1),".",""))))),$G1183)))</f>
        <v/>
      </c>
    </row>
    <row r="1184">
      <c r="A1184" s="58" t="n"/>
      <c r="B1184" s="58">
        <f>IF($H1184="","",LEFT($H1184,FIND(" ",$H1184&amp;" ")-1))</f>
        <v/>
      </c>
      <c r="C1184" s="58">
        <f>IF($H1184="","",IFERROR(MID($H1184&amp;" ",FIND("|",SUBSTITUTE($H1184&amp;" "," ","|",1))+1,FIND("|",SUBSTITUTE($H1184&amp;" "," ","|",2))-FIND("|",SUBSTITUTE($H1184&amp;" "," ","|",1))-1),""))</f>
        <v/>
      </c>
      <c r="D1184" s="58">
        <f>IF($H1184="","",IFERROR(MID($H1184&amp;" ",FIND("|",SUBSTITUTE($H1184&amp;" "," ","|",2))+1,FIND("|",SUBSTITUTE($H1184&amp;" "," ","|",3))-FIND("|",SUBSTITUTE($H1184&amp;" "," ","|",2))-1),""))</f>
        <v/>
      </c>
      <c r="E1184" s="58">
        <f>IF($H1184="","",IFERROR(MID($H1184&amp;" ",FIND("|",SUBSTITUTE($H1184&amp;" "," ","|",3))+1,FIND("|",SUBSTITUTE($H1184&amp;" "," ","|",4))-FIND("|",SUBSTITUTE($H1184&amp;" "," ","|",3))-1),""))</f>
        <v/>
      </c>
      <c r="F1184" s="59">
        <f>IF($H1184="","",IFERROR(VALUE(IFERROR(MID($H1184&amp;" ",FIND("|",SUBSTITUTE($H1184&amp;" "," ","|",4))+1,FIND("|",SUBSTITUTE($H1184&amp;" "," ","|",5))-FIND("|",SUBSTITUTE($H1184&amp;" "," ","|",4))-1),""))/86400+25569+9/24,""))</f>
        <v/>
      </c>
      <c r="G1184" s="58">
        <f>TRIM(SUBSTITUTE(SUBSTITUTE(SUBSTITUTE($A1184,CHAR(9)," ")," "," "),CHAR(13),""))</f>
        <v/>
      </c>
      <c r="H1184" s="58">
        <f>IF($G1184="","",IF(ISNUMBER(FIND(" ",$G1184)),$G1184,IFERROR(IF((LEN(SUBSTITUTE(SUBSTITUTE($G1184,"-"," ",LEN($G1184)-LEN(SUBSTITUTE($G1184,"-",""))),"-"," ",LEN($G1184)-LEN(SUBSTITUTE($G1184,"-",""))-1))-LEN(SUBSTITUTE(SUBSTITUTE(SUBSTITUTE($G1184,"-"," ",LEN($G1184)-LEN(SUBSTITUTE($G1184,"-",""))),"-"," ",LEN($G1184)-LEN(SUBSTITUTE($G1184,"-",""))-1),".","")))=0,SUBSTITUTE(SUBSTITUTE($G1184,"-"," ",LEN($G1184)-LEN(SUBSTITUTE($G1184,"-",""))),"-"," ",LEN($G1184)-LEN(SUBSTITUTE($G1184,"-",""))-1),SUBSTITUTE(SUBSTITUTE(SUBSTITUTE($G1184,"-"," ",LEN($G1184)-LEN(SUBSTITUTE($G1184,"-",""))),"-"," ",LEN($G1184)-LEN(SUBSTITUTE($G1184,"-",""))-1),"."," ",(LEN(SUBSTITUTE(SUBSTITUTE($G1184,"-"," ",LEN($G1184)-LEN(SUBSTITUTE($G1184,"-",""))),"-"," ",LEN($G1184)-LEN(SUBSTITUTE($G1184,"-",""))-1))-LEN(SUBSTITUTE(SUBSTITUTE(SUBSTITUTE($G1184,"-"," ",LEN($G1184)-LEN(SUBSTITUTE($G1184,"-",""))),"-"," ",LEN($G1184)-LEN(SUBSTITUTE($G1184,"-",""))-1),".",""))))),$G1184)))</f>
        <v/>
      </c>
    </row>
    <row r="1185">
      <c r="A1185" s="58" t="n"/>
      <c r="B1185" s="58">
        <f>IF($H1185="","",LEFT($H1185,FIND(" ",$H1185&amp;" ")-1))</f>
        <v/>
      </c>
      <c r="C1185" s="58">
        <f>IF($H1185="","",IFERROR(MID($H1185&amp;" ",FIND("|",SUBSTITUTE($H1185&amp;" "," ","|",1))+1,FIND("|",SUBSTITUTE($H1185&amp;" "," ","|",2))-FIND("|",SUBSTITUTE($H1185&amp;" "," ","|",1))-1),""))</f>
        <v/>
      </c>
      <c r="D1185" s="58">
        <f>IF($H1185="","",IFERROR(MID($H1185&amp;" ",FIND("|",SUBSTITUTE($H1185&amp;" "," ","|",2))+1,FIND("|",SUBSTITUTE($H1185&amp;" "," ","|",3))-FIND("|",SUBSTITUTE($H1185&amp;" "," ","|",2))-1),""))</f>
        <v/>
      </c>
      <c r="E1185" s="58">
        <f>IF($H1185="","",IFERROR(MID($H1185&amp;" ",FIND("|",SUBSTITUTE($H1185&amp;" "," ","|",3))+1,FIND("|",SUBSTITUTE($H1185&amp;" "," ","|",4))-FIND("|",SUBSTITUTE($H1185&amp;" "," ","|",3))-1),""))</f>
        <v/>
      </c>
      <c r="F1185" s="59">
        <f>IF($H1185="","",IFERROR(VALUE(IFERROR(MID($H1185&amp;" ",FIND("|",SUBSTITUTE($H1185&amp;" "," ","|",4))+1,FIND("|",SUBSTITUTE($H1185&amp;" "," ","|",5))-FIND("|",SUBSTITUTE($H1185&amp;" "," ","|",4))-1),""))/86400+25569+9/24,""))</f>
        <v/>
      </c>
      <c r="G1185" s="58">
        <f>TRIM(SUBSTITUTE(SUBSTITUTE(SUBSTITUTE($A1185,CHAR(9)," ")," "," "),CHAR(13),""))</f>
        <v/>
      </c>
      <c r="H1185" s="58">
        <f>IF($G1185="","",IF(ISNUMBER(FIND(" ",$G1185)),$G1185,IFERROR(IF((LEN(SUBSTITUTE(SUBSTITUTE($G1185,"-"," ",LEN($G1185)-LEN(SUBSTITUTE($G1185,"-",""))),"-"," ",LEN($G1185)-LEN(SUBSTITUTE($G1185,"-",""))-1))-LEN(SUBSTITUTE(SUBSTITUTE(SUBSTITUTE($G1185,"-"," ",LEN($G1185)-LEN(SUBSTITUTE($G1185,"-",""))),"-"," ",LEN($G1185)-LEN(SUBSTITUTE($G1185,"-",""))-1),".","")))=0,SUBSTITUTE(SUBSTITUTE($G1185,"-"," ",LEN($G1185)-LEN(SUBSTITUTE($G1185,"-",""))),"-"," ",LEN($G1185)-LEN(SUBSTITUTE($G1185,"-",""))-1),SUBSTITUTE(SUBSTITUTE(SUBSTITUTE($G1185,"-"," ",LEN($G1185)-LEN(SUBSTITUTE($G1185,"-",""))),"-"," ",LEN($G1185)-LEN(SUBSTITUTE($G1185,"-",""))-1),"."," ",(LEN(SUBSTITUTE(SUBSTITUTE($G1185,"-"," ",LEN($G1185)-LEN(SUBSTITUTE($G1185,"-",""))),"-"," ",LEN($G1185)-LEN(SUBSTITUTE($G1185,"-",""))-1))-LEN(SUBSTITUTE(SUBSTITUTE(SUBSTITUTE($G1185,"-"," ",LEN($G1185)-LEN(SUBSTITUTE($G1185,"-",""))),"-"," ",LEN($G1185)-LEN(SUBSTITUTE($G1185,"-",""))-1),".",""))))),$G1185)))</f>
        <v/>
      </c>
    </row>
    <row r="1186">
      <c r="A1186" s="58" t="n"/>
      <c r="B1186" s="58">
        <f>IF($H1186="","",LEFT($H1186,FIND(" ",$H1186&amp;" ")-1))</f>
        <v/>
      </c>
      <c r="C1186" s="58">
        <f>IF($H1186="","",IFERROR(MID($H1186&amp;" ",FIND("|",SUBSTITUTE($H1186&amp;" "," ","|",1))+1,FIND("|",SUBSTITUTE($H1186&amp;" "," ","|",2))-FIND("|",SUBSTITUTE($H1186&amp;" "," ","|",1))-1),""))</f>
        <v/>
      </c>
      <c r="D1186" s="58">
        <f>IF($H1186="","",IFERROR(MID($H1186&amp;" ",FIND("|",SUBSTITUTE($H1186&amp;" "," ","|",2))+1,FIND("|",SUBSTITUTE($H1186&amp;" "," ","|",3))-FIND("|",SUBSTITUTE($H1186&amp;" "," ","|",2))-1),""))</f>
        <v/>
      </c>
      <c r="E1186" s="58">
        <f>IF($H1186="","",IFERROR(MID($H1186&amp;" ",FIND("|",SUBSTITUTE($H1186&amp;" "," ","|",3))+1,FIND("|",SUBSTITUTE($H1186&amp;" "," ","|",4))-FIND("|",SUBSTITUTE($H1186&amp;" "," ","|",3))-1),""))</f>
        <v/>
      </c>
      <c r="F1186" s="59">
        <f>IF($H1186="","",IFERROR(VALUE(IFERROR(MID($H1186&amp;" ",FIND("|",SUBSTITUTE($H1186&amp;" "," ","|",4))+1,FIND("|",SUBSTITUTE($H1186&amp;" "," ","|",5))-FIND("|",SUBSTITUTE($H1186&amp;" "," ","|",4))-1),""))/86400+25569+9/24,""))</f>
        <v/>
      </c>
      <c r="G1186" s="58">
        <f>TRIM(SUBSTITUTE(SUBSTITUTE(SUBSTITUTE($A1186,CHAR(9)," ")," "," "),CHAR(13),""))</f>
        <v/>
      </c>
      <c r="H1186" s="58">
        <f>IF($G1186="","",IF(ISNUMBER(FIND(" ",$G1186)),$G1186,IFERROR(IF((LEN(SUBSTITUTE(SUBSTITUTE($G1186,"-"," ",LEN($G1186)-LEN(SUBSTITUTE($G1186,"-",""))),"-"," ",LEN($G1186)-LEN(SUBSTITUTE($G1186,"-",""))-1))-LEN(SUBSTITUTE(SUBSTITUTE(SUBSTITUTE($G1186,"-"," ",LEN($G1186)-LEN(SUBSTITUTE($G1186,"-",""))),"-"," ",LEN($G1186)-LEN(SUBSTITUTE($G1186,"-",""))-1),".","")))=0,SUBSTITUTE(SUBSTITUTE($G1186,"-"," ",LEN($G1186)-LEN(SUBSTITUTE($G1186,"-",""))),"-"," ",LEN($G1186)-LEN(SUBSTITUTE($G1186,"-",""))-1),SUBSTITUTE(SUBSTITUTE(SUBSTITUTE($G1186,"-"," ",LEN($G1186)-LEN(SUBSTITUTE($G1186,"-",""))),"-"," ",LEN($G1186)-LEN(SUBSTITUTE($G1186,"-",""))-1),"."," ",(LEN(SUBSTITUTE(SUBSTITUTE($G1186,"-"," ",LEN($G1186)-LEN(SUBSTITUTE($G1186,"-",""))),"-"," ",LEN($G1186)-LEN(SUBSTITUTE($G1186,"-",""))-1))-LEN(SUBSTITUTE(SUBSTITUTE(SUBSTITUTE($G1186,"-"," ",LEN($G1186)-LEN(SUBSTITUTE($G1186,"-",""))),"-"," ",LEN($G1186)-LEN(SUBSTITUTE($G1186,"-",""))-1),".",""))))),$G1186)))</f>
        <v/>
      </c>
    </row>
    <row r="1187">
      <c r="A1187" s="58" t="n"/>
      <c r="B1187" s="58">
        <f>IF($H1187="","",LEFT($H1187,FIND(" ",$H1187&amp;" ")-1))</f>
        <v/>
      </c>
      <c r="C1187" s="58">
        <f>IF($H1187="","",IFERROR(MID($H1187&amp;" ",FIND("|",SUBSTITUTE($H1187&amp;" "," ","|",1))+1,FIND("|",SUBSTITUTE($H1187&amp;" "," ","|",2))-FIND("|",SUBSTITUTE($H1187&amp;" "," ","|",1))-1),""))</f>
        <v/>
      </c>
      <c r="D1187" s="58">
        <f>IF($H1187="","",IFERROR(MID($H1187&amp;" ",FIND("|",SUBSTITUTE($H1187&amp;" "," ","|",2))+1,FIND("|",SUBSTITUTE($H1187&amp;" "," ","|",3))-FIND("|",SUBSTITUTE($H1187&amp;" "," ","|",2))-1),""))</f>
        <v/>
      </c>
      <c r="E1187" s="58">
        <f>IF($H1187="","",IFERROR(MID($H1187&amp;" ",FIND("|",SUBSTITUTE($H1187&amp;" "," ","|",3))+1,FIND("|",SUBSTITUTE($H1187&amp;" "," ","|",4))-FIND("|",SUBSTITUTE($H1187&amp;" "," ","|",3))-1),""))</f>
        <v/>
      </c>
      <c r="F1187" s="59">
        <f>IF($H1187="","",IFERROR(VALUE(IFERROR(MID($H1187&amp;" ",FIND("|",SUBSTITUTE($H1187&amp;" "," ","|",4))+1,FIND("|",SUBSTITUTE($H1187&amp;" "," ","|",5))-FIND("|",SUBSTITUTE($H1187&amp;" "," ","|",4))-1),""))/86400+25569+9/24,""))</f>
        <v/>
      </c>
      <c r="G1187" s="58">
        <f>TRIM(SUBSTITUTE(SUBSTITUTE(SUBSTITUTE($A1187,CHAR(9)," ")," "," "),CHAR(13),""))</f>
        <v/>
      </c>
      <c r="H1187" s="58">
        <f>IF($G1187="","",IF(ISNUMBER(FIND(" ",$G1187)),$G1187,IFERROR(IF((LEN(SUBSTITUTE(SUBSTITUTE($G1187,"-"," ",LEN($G1187)-LEN(SUBSTITUTE($G1187,"-",""))),"-"," ",LEN($G1187)-LEN(SUBSTITUTE($G1187,"-",""))-1))-LEN(SUBSTITUTE(SUBSTITUTE(SUBSTITUTE($G1187,"-"," ",LEN($G1187)-LEN(SUBSTITUTE($G1187,"-",""))),"-"," ",LEN($G1187)-LEN(SUBSTITUTE($G1187,"-",""))-1),".","")))=0,SUBSTITUTE(SUBSTITUTE($G1187,"-"," ",LEN($G1187)-LEN(SUBSTITUTE($G1187,"-",""))),"-"," ",LEN($G1187)-LEN(SUBSTITUTE($G1187,"-",""))-1),SUBSTITUTE(SUBSTITUTE(SUBSTITUTE($G1187,"-"," ",LEN($G1187)-LEN(SUBSTITUTE($G1187,"-",""))),"-"," ",LEN($G1187)-LEN(SUBSTITUTE($G1187,"-",""))-1),"."," ",(LEN(SUBSTITUTE(SUBSTITUTE($G1187,"-"," ",LEN($G1187)-LEN(SUBSTITUTE($G1187,"-",""))),"-"," ",LEN($G1187)-LEN(SUBSTITUTE($G1187,"-",""))-1))-LEN(SUBSTITUTE(SUBSTITUTE(SUBSTITUTE($G1187,"-"," ",LEN($G1187)-LEN(SUBSTITUTE($G1187,"-",""))),"-"," ",LEN($G1187)-LEN(SUBSTITUTE($G1187,"-",""))-1),".",""))))),$G1187)))</f>
        <v/>
      </c>
    </row>
    <row r="1188">
      <c r="A1188" s="58" t="n"/>
      <c r="B1188" s="58">
        <f>IF($H1188="","",LEFT($H1188,FIND(" ",$H1188&amp;" ")-1))</f>
        <v/>
      </c>
      <c r="C1188" s="58">
        <f>IF($H1188="","",IFERROR(MID($H1188&amp;" ",FIND("|",SUBSTITUTE($H1188&amp;" "," ","|",1))+1,FIND("|",SUBSTITUTE($H1188&amp;" "," ","|",2))-FIND("|",SUBSTITUTE($H1188&amp;" "," ","|",1))-1),""))</f>
        <v/>
      </c>
      <c r="D1188" s="58">
        <f>IF($H1188="","",IFERROR(MID($H1188&amp;" ",FIND("|",SUBSTITUTE($H1188&amp;" "," ","|",2))+1,FIND("|",SUBSTITUTE($H1188&amp;" "," ","|",3))-FIND("|",SUBSTITUTE($H1188&amp;" "," ","|",2))-1),""))</f>
        <v/>
      </c>
      <c r="E1188" s="58">
        <f>IF($H1188="","",IFERROR(MID($H1188&amp;" ",FIND("|",SUBSTITUTE($H1188&amp;" "," ","|",3))+1,FIND("|",SUBSTITUTE($H1188&amp;" "," ","|",4))-FIND("|",SUBSTITUTE($H1188&amp;" "," ","|",3))-1),""))</f>
        <v/>
      </c>
      <c r="F1188" s="59">
        <f>IF($H1188="","",IFERROR(VALUE(IFERROR(MID($H1188&amp;" ",FIND("|",SUBSTITUTE($H1188&amp;" "," ","|",4))+1,FIND("|",SUBSTITUTE($H1188&amp;" "," ","|",5))-FIND("|",SUBSTITUTE($H1188&amp;" "," ","|",4))-1),""))/86400+25569+9/24,""))</f>
        <v/>
      </c>
      <c r="G1188" s="58">
        <f>TRIM(SUBSTITUTE(SUBSTITUTE(SUBSTITUTE($A1188,CHAR(9)," ")," "," "),CHAR(13),""))</f>
        <v/>
      </c>
      <c r="H1188" s="58">
        <f>IF($G1188="","",IF(ISNUMBER(FIND(" ",$G1188)),$G1188,IFERROR(IF((LEN(SUBSTITUTE(SUBSTITUTE($G1188,"-"," ",LEN($G1188)-LEN(SUBSTITUTE($G1188,"-",""))),"-"," ",LEN($G1188)-LEN(SUBSTITUTE($G1188,"-",""))-1))-LEN(SUBSTITUTE(SUBSTITUTE(SUBSTITUTE($G1188,"-"," ",LEN($G1188)-LEN(SUBSTITUTE($G1188,"-",""))),"-"," ",LEN($G1188)-LEN(SUBSTITUTE($G1188,"-",""))-1),".","")))=0,SUBSTITUTE(SUBSTITUTE($G1188,"-"," ",LEN($G1188)-LEN(SUBSTITUTE($G1188,"-",""))),"-"," ",LEN($G1188)-LEN(SUBSTITUTE($G1188,"-",""))-1),SUBSTITUTE(SUBSTITUTE(SUBSTITUTE($G1188,"-"," ",LEN($G1188)-LEN(SUBSTITUTE($G1188,"-",""))),"-"," ",LEN($G1188)-LEN(SUBSTITUTE($G1188,"-",""))-1),"."," ",(LEN(SUBSTITUTE(SUBSTITUTE($G1188,"-"," ",LEN($G1188)-LEN(SUBSTITUTE($G1188,"-",""))),"-"," ",LEN($G1188)-LEN(SUBSTITUTE($G1188,"-",""))-1))-LEN(SUBSTITUTE(SUBSTITUTE(SUBSTITUTE($G1188,"-"," ",LEN($G1188)-LEN(SUBSTITUTE($G1188,"-",""))),"-"," ",LEN($G1188)-LEN(SUBSTITUTE($G1188,"-",""))-1),".",""))))),$G1188)))</f>
        <v/>
      </c>
    </row>
    <row r="1189">
      <c r="A1189" s="58" t="n"/>
      <c r="B1189" s="58">
        <f>IF($H1189="","",LEFT($H1189,FIND(" ",$H1189&amp;" ")-1))</f>
        <v/>
      </c>
      <c r="C1189" s="58">
        <f>IF($H1189="","",IFERROR(MID($H1189&amp;" ",FIND("|",SUBSTITUTE($H1189&amp;" "," ","|",1))+1,FIND("|",SUBSTITUTE($H1189&amp;" "," ","|",2))-FIND("|",SUBSTITUTE($H1189&amp;" "," ","|",1))-1),""))</f>
        <v/>
      </c>
      <c r="D1189" s="58">
        <f>IF($H1189="","",IFERROR(MID($H1189&amp;" ",FIND("|",SUBSTITUTE($H1189&amp;" "," ","|",2))+1,FIND("|",SUBSTITUTE($H1189&amp;" "," ","|",3))-FIND("|",SUBSTITUTE($H1189&amp;" "," ","|",2))-1),""))</f>
        <v/>
      </c>
      <c r="E1189" s="58">
        <f>IF($H1189="","",IFERROR(MID($H1189&amp;" ",FIND("|",SUBSTITUTE($H1189&amp;" "," ","|",3))+1,FIND("|",SUBSTITUTE($H1189&amp;" "," ","|",4))-FIND("|",SUBSTITUTE($H1189&amp;" "," ","|",3))-1),""))</f>
        <v/>
      </c>
      <c r="F1189" s="59">
        <f>IF($H1189="","",IFERROR(VALUE(IFERROR(MID($H1189&amp;" ",FIND("|",SUBSTITUTE($H1189&amp;" "," ","|",4))+1,FIND("|",SUBSTITUTE($H1189&amp;" "," ","|",5))-FIND("|",SUBSTITUTE($H1189&amp;" "," ","|",4))-1),""))/86400+25569+9/24,""))</f>
        <v/>
      </c>
      <c r="G1189" s="58">
        <f>TRIM(SUBSTITUTE(SUBSTITUTE(SUBSTITUTE($A1189,CHAR(9)," ")," "," "),CHAR(13),""))</f>
        <v/>
      </c>
      <c r="H1189" s="58">
        <f>IF($G1189="","",IF(ISNUMBER(FIND(" ",$G1189)),$G1189,IFERROR(IF((LEN(SUBSTITUTE(SUBSTITUTE($G1189,"-"," ",LEN($G1189)-LEN(SUBSTITUTE($G1189,"-",""))),"-"," ",LEN($G1189)-LEN(SUBSTITUTE($G1189,"-",""))-1))-LEN(SUBSTITUTE(SUBSTITUTE(SUBSTITUTE($G1189,"-"," ",LEN($G1189)-LEN(SUBSTITUTE($G1189,"-",""))),"-"," ",LEN($G1189)-LEN(SUBSTITUTE($G1189,"-",""))-1),".","")))=0,SUBSTITUTE(SUBSTITUTE($G1189,"-"," ",LEN($G1189)-LEN(SUBSTITUTE($G1189,"-",""))),"-"," ",LEN($G1189)-LEN(SUBSTITUTE($G1189,"-",""))-1),SUBSTITUTE(SUBSTITUTE(SUBSTITUTE($G1189,"-"," ",LEN($G1189)-LEN(SUBSTITUTE($G1189,"-",""))),"-"," ",LEN($G1189)-LEN(SUBSTITUTE($G1189,"-",""))-1),"."," ",(LEN(SUBSTITUTE(SUBSTITUTE($G1189,"-"," ",LEN($G1189)-LEN(SUBSTITUTE($G1189,"-",""))),"-"," ",LEN($G1189)-LEN(SUBSTITUTE($G1189,"-",""))-1))-LEN(SUBSTITUTE(SUBSTITUTE(SUBSTITUTE($G1189,"-"," ",LEN($G1189)-LEN(SUBSTITUTE($G1189,"-",""))),"-"," ",LEN($G1189)-LEN(SUBSTITUTE($G1189,"-",""))-1),".",""))))),$G1189)))</f>
        <v/>
      </c>
    </row>
    <row r="1190">
      <c r="A1190" s="58" t="n"/>
      <c r="B1190" s="58">
        <f>IF($H1190="","",LEFT($H1190,FIND(" ",$H1190&amp;" ")-1))</f>
        <v/>
      </c>
      <c r="C1190" s="58">
        <f>IF($H1190="","",IFERROR(MID($H1190&amp;" ",FIND("|",SUBSTITUTE($H1190&amp;" "," ","|",1))+1,FIND("|",SUBSTITUTE($H1190&amp;" "," ","|",2))-FIND("|",SUBSTITUTE($H1190&amp;" "," ","|",1))-1),""))</f>
        <v/>
      </c>
      <c r="D1190" s="58">
        <f>IF($H1190="","",IFERROR(MID($H1190&amp;" ",FIND("|",SUBSTITUTE($H1190&amp;" "," ","|",2))+1,FIND("|",SUBSTITUTE($H1190&amp;" "," ","|",3))-FIND("|",SUBSTITUTE($H1190&amp;" "," ","|",2))-1),""))</f>
        <v/>
      </c>
      <c r="E1190" s="58">
        <f>IF($H1190="","",IFERROR(MID($H1190&amp;" ",FIND("|",SUBSTITUTE($H1190&amp;" "," ","|",3))+1,FIND("|",SUBSTITUTE($H1190&amp;" "," ","|",4))-FIND("|",SUBSTITUTE($H1190&amp;" "," ","|",3))-1),""))</f>
        <v/>
      </c>
      <c r="F1190" s="59">
        <f>IF($H1190="","",IFERROR(VALUE(IFERROR(MID($H1190&amp;" ",FIND("|",SUBSTITUTE($H1190&amp;" "," ","|",4))+1,FIND("|",SUBSTITUTE($H1190&amp;" "," ","|",5))-FIND("|",SUBSTITUTE($H1190&amp;" "," ","|",4))-1),""))/86400+25569+9/24,""))</f>
        <v/>
      </c>
      <c r="G1190" s="58">
        <f>TRIM(SUBSTITUTE(SUBSTITUTE(SUBSTITUTE($A1190,CHAR(9)," ")," "," "),CHAR(13),""))</f>
        <v/>
      </c>
      <c r="H1190" s="58">
        <f>IF($G1190="","",IF(ISNUMBER(FIND(" ",$G1190)),$G1190,IFERROR(IF((LEN(SUBSTITUTE(SUBSTITUTE($G1190,"-"," ",LEN($G1190)-LEN(SUBSTITUTE($G1190,"-",""))),"-"," ",LEN($G1190)-LEN(SUBSTITUTE($G1190,"-",""))-1))-LEN(SUBSTITUTE(SUBSTITUTE(SUBSTITUTE($G1190,"-"," ",LEN($G1190)-LEN(SUBSTITUTE($G1190,"-",""))),"-"," ",LEN($G1190)-LEN(SUBSTITUTE($G1190,"-",""))-1),".","")))=0,SUBSTITUTE(SUBSTITUTE($G1190,"-"," ",LEN($G1190)-LEN(SUBSTITUTE($G1190,"-",""))),"-"," ",LEN($G1190)-LEN(SUBSTITUTE($G1190,"-",""))-1),SUBSTITUTE(SUBSTITUTE(SUBSTITUTE($G1190,"-"," ",LEN($G1190)-LEN(SUBSTITUTE($G1190,"-",""))),"-"," ",LEN($G1190)-LEN(SUBSTITUTE($G1190,"-",""))-1),"."," ",(LEN(SUBSTITUTE(SUBSTITUTE($G1190,"-"," ",LEN($G1190)-LEN(SUBSTITUTE($G1190,"-",""))),"-"," ",LEN($G1190)-LEN(SUBSTITUTE($G1190,"-",""))-1))-LEN(SUBSTITUTE(SUBSTITUTE(SUBSTITUTE($G1190,"-"," ",LEN($G1190)-LEN(SUBSTITUTE($G1190,"-",""))),"-"," ",LEN($G1190)-LEN(SUBSTITUTE($G1190,"-",""))-1),".",""))))),$G1190)))</f>
        <v/>
      </c>
    </row>
    <row r="1191">
      <c r="A1191" s="58" t="n"/>
      <c r="B1191" s="58">
        <f>IF($H1191="","",LEFT($H1191,FIND(" ",$H1191&amp;" ")-1))</f>
        <v/>
      </c>
      <c r="C1191" s="58">
        <f>IF($H1191="","",IFERROR(MID($H1191&amp;" ",FIND("|",SUBSTITUTE($H1191&amp;" "," ","|",1))+1,FIND("|",SUBSTITUTE($H1191&amp;" "," ","|",2))-FIND("|",SUBSTITUTE($H1191&amp;" "," ","|",1))-1),""))</f>
        <v/>
      </c>
      <c r="D1191" s="58">
        <f>IF($H1191="","",IFERROR(MID($H1191&amp;" ",FIND("|",SUBSTITUTE($H1191&amp;" "," ","|",2))+1,FIND("|",SUBSTITUTE($H1191&amp;" "," ","|",3))-FIND("|",SUBSTITUTE($H1191&amp;" "," ","|",2))-1),""))</f>
        <v/>
      </c>
      <c r="E1191" s="58">
        <f>IF($H1191="","",IFERROR(MID($H1191&amp;" ",FIND("|",SUBSTITUTE($H1191&amp;" "," ","|",3))+1,FIND("|",SUBSTITUTE($H1191&amp;" "," ","|",4))-FIND("|",SUBSTITUTE($H1191&amp;" "," ","|",3))-1),""))</f>
        <v/>
      </c>
      <c r="F1191" s="59">
        <f>IF($H1191="","",IFERROR(VALUE(IFERROR(MID($H1191&amp;" ",FIND("|",SUBSTITUTE($H1191&amp;" "," ","|",4))+1,FIND("|",SUBSTITUTE($H1191&amp;" "," ","|",5))-FIND("|",SUBSTITUTE($H1191&amp;" "," ","|",4))-1),""))/86400+25569+9/24,""))</f>
        <v/>
      </c>
      <c r="G1191" s="58">
        <f>TRIM(SUBSTITUTE(SUBSTITUTE(SUBSTITUTE($A1191,CHAR(9)," ")," "," "),CHAR(13),""))</f>
        <v/>
      </c>
      <c r="H1191" s="58">
        <f>IF($G1191="","",IF(ISNUMBER(FIND(" ",$G1191)),$G1191,IFERROR(IF((LEN(SUBSTITUTE(SUBSTITUTE($G1191,"-"," ",LEN($G1191)-LEN(SUBSTITUTE($G1191,"-",""))),"-"," ",LEN($G1191)-LEN(SUBSTITUTE($G1191,"-",""))-1))-LEN(SUBSTITUTE(SUBSTITUTE(SUBSTITUTE($G1191,"-"," ",LEN($G1191)-LEN(SUBSTITUTE($G1191,"-",""))),"-"," ",LEN($G1191)-LEN(SUBSTITUTE($G1191,"-",""))-1),".","")))=0,SUBSTITUTE(SUBSTITUTE($G1191,"-"," ",LEN($G1191)-LEN(SUBSTITUTE($G1191,"-",""))),"-"," ",LEN($G1191)-LEN(SUBSTITUTE($G1191,"-",""))-1),SUBSTITUTE(SUBSTITUTE(SUBSTITUTE($G1191,"-"," ",LEN($G1191)-LEN(SUBSTITUTE($G1191,"-",""))),"-"," ",LEN($G1191)-LEN(SUBSTITUTE($G1191,"-",""))-1),"."," ",(LEN(SUBSTITUTE(SUBSTITUTE($G1191,"-"," ",LEN($G1191)-LEN(SUBSTITUTE($G1191,"-",""))),"-"," ",LEN($G1191)-LEN(SUBSTITUTE($G1191,"-",""))-1))-LEN(SUBSTITUTE(SUBSTITUTE(SUBSTITUTE($G1191,"-"," ",LEN($G1191)-LEN(SUBSTITUTE($G1191,"-",""))),"-"," ",LEN($G1191)-LEN(SUBSTITUTE($G1191,"-",""))-1),".",""))))),$G1191)))</f>
        <v/>
      </c>
    </row>
    <row r="1192">
      <c r="A1192" s="58" t="n"/>
      <c r="B1192" s="58">
        <f>IF($H1192="","",LEFT($H1192,FIND(" ",$H1192&amp;" ")-1))</f>
        <v/>
      </c>
      <c r="C1192" s="58">
        <f>IF($H1192="","",IFERROR(MID($H1192&amp;" ",FIND("|",SUBSTITUTE($H1192&amp;" "," ","|",1))+1,FIND("|",SUBSTITUTE($H1192&amp;" "," ","|",2))-FIND("|",SUBSTITUTE($H1192&amp;" "," ","|",1))-1),""))</f>
        <v/>
      </c>
      <c r="D1192" s="58">
        <f>IF($H1192="","",IFERROR(MID($H1192&amp;" ",FIND("|",SUBSTITUTE($H1192&amp;" "," ","|",2))+1,FIND("|",SUBSTITUTE($H1192&amp;" "," ","|",3))-FIND("|",SUBSTITUTE($H1192&amp;" "," ","|",2))-1),""))</f>
        <v/>
      </c>
      <c r="E1192" s="58">
        <f>IF($H1192="","",IFERROR(MID($H1192&amp;" ",FIND("|",SUBSTITUTE($H1192&amp;" "," ","|",3))+1,FIND("|",SUBSTITUTE($H1192&amp;" "," ","|",4))-FIND("|",SUBSTITUTE($H1192&amp;" "," ","|",3))-1),""))</f>
        <v/>
      </c>
      <c r="F1192" s="59">
        <f>IF($H1192="","",IFERROR(VALUE(IFERROR(MID($H1192&amp;" ",FIND("|",SUBSTITUTE($H1192&amp;" "," ","|",4))+1,FIND("|",SUBSTITUTE($H1192&amp;" "," ","|",5))-FIND("|",SUBSTITUTE($H1192&amp;" "," ","|",4))-1),""))/86400+25569+9/24,""))</f>
        <v/>
      </c>
      <c r="G1192" s="58">
        <f>TRIM(SUBSTITUTE(SUBSTITUTE(SUBSTITUTE($A1192,CHAR(9)," ")," "," "),CHAR(13),""))</f>
        <v/>
      </c>
      <c r="H1192" s="58">
        <f>IF($G1192="","",IF(ISNUMBER(FIND(" ",$G1192)),$G1192,IFERROR(IF((LEN(SUBSTITUTE(SUBSTITUTE($G1192,"-"," ",LEN($G1192)-LEN(SUBSTITUTE($G1192,"-",""))),"-"," ",LEN($G1192)-LEN(SUBSTITUTE($G1192,"-",""))-1))-LEN(SUBSTITUTE(SUBSTITUTE(SUBSTITUTE($G1192,"-"," ",LEN($G1192)-LEN(SUBSTITUTE($G1192,"-",""))),"-"," ",LEN($G1192)-LEN(SUBSTITUTE($G1192,"-",""))-1),".","")))=0,SUBSTITUTE(SUBSTITUTE($G1192,"-"," ",LEN($G1192)-LEN(SUBSTITUTE($G1192,"-",""))),"-"," ",LEN($G1192)-LEN(SUBSTITUTE($G1192,"-",""))-1),SUBSTITUTE(SUBSTITUTE(SUBSTITUTE($G1192,"-"," ",LEN($G1192)-LEN(SUBSTITUTE($G1192,"-",""))),"-"," ",LEN($G1192)-LEN(SUBSTITUTE($G1192,"-",""))-1),"."," ",(LEN(SUBSTITUTE(SUBSTITUTE($G1192,"-"," ",LEN($G1192)-LEN(SUBSTITUTE($G1192,"-",""))),"-"," ",LEN($G1192)-LEN(SUBSTITUTE($G1192,"-",""))-1))-LEN(SUBSTITUTE(SUBSTITUTE(SUBSTITUTE($G1192,"-"," ",LEN($G1192)-LEN(SUBSTITUTE($G1192,"-",""))),"-"," ",LEN($G1192)-LEN(SUBSTITUTE($G1192,"-",""))-1),".",""))))),$G1192)))</f>
        <v/>
      </c>
    </row>
    <row r="1193">
      <c r="A1193" s="58" t="n"/>
      <c r="B1193" s="58">
        <f>IF($H1193="","",LEFT($H1193,FIND(" ",$H1193&amp;" ")-1))</f>
        <v/>
      </c>
      <c r="C1193" s="58">
        <f>IF($H1193="","",IFERROR(MID($H1193&amp;" ",FIND("|",SUBSTITUTE($H1193&amp;" "," ","|",1))+1,FIND("|",SUBSTITUTE($H1193&amp;" "," ","|",2))-FIND("|",SUBSTITUTE($H1193&amp;" "," ","|",1))-1),""))</f>
        <v/>
      </c>
      <c r="D1193" s="58">
        <f>IF($H1193="","",IFERROR(MID($H1193&amp;" ",FIND("|",SUBSTITUTE($H1193&amp;" "," ","|",2))+1,FIND("|",SUBSTITUTE($H1193&amp;" "," ","|",3))-FIND("|",SUBSTITUTE($H1193&amp;" "," ","|",2))-1),""))</f>
        <v/>
      </c>
      <c r="E1193" s="58">
        <f>IF($H1193="","",IFERROR(MID($H1193&amp;" ",FIND("|",SUBSTITUTE($H1193&amp;" "," ","|",3))+1,FIND("|",SUBSTITUTE($H1193&amp;" "," ","|",4))-FIND("|",SUBSTITUTE($H1193&amp;" "," ","|",3))-1),""))</f>
        <v/>
      </c>
      <c r="F1193" s="59">
        <f>IF($H1193="","",IFERROR(VALUE(IFERROR(MID($H1193&amp;" ",FIND("|",SUBSTITUTE($H1193&amp;" "," ","|",4))+1,FIND("|",SUBSTITUTE($H1193&amp;" "," ","|",5))-FIND("|",SUBSTITUTE($H1193&amp;" "," ","|",4))-1),""))/86400+25569+9/24,""))</f>
        <v/>
      </c>
      <c r="G1193" s="58">
        <f>TRIM(SUBSTITUTE(SUBSTITUTE(SUBSTITUTE($A1193,CHAR(9)," ")," "," "),CHAR(13),""))</f>
        <v/>
      </c>
      <c r="H1193" s="58">
        <f>IF($G1193="","",IF(ISNUMBER(FIND(" ",$G1193)),$G1193,IFERROR(IF((LEN(SUBSTITUTE(SUBSTITUTE($G1193,"-"," ",LEN($G1193)-LEN(SUBSTITUTE($G1193,"-",""))),"-"," ",LEN($G1193)-LEN(SUBSTITUTE($G1193,"-",""))-1))-LEN(SUBSTITUTE(SUBSTITUTE(SUBSTITUTE($G1193,"-"," ",LEN($G1193)-LEN(SUBSTITUTE($G1193,"-",""))),"-"," ",LEN($G1193)-LEN(SUBSTITUTE($G1193,"-",""))-1),".","")))=0,SUBSTITUTE(SUBSTITUTE($G1193,"-"," ",LEN($G1193)-LEN(SUBSTITUTE($G1193,"-",""))),"-"," ",LEN($G1193)-LEN(SUBSTITUTE($G1193,"-",""))-1),SUBSTITUTE(SUBSTITUTE(SUBSTITUTE($G1193,"-"," ",LEN($G1193)-LEN(SUBSTITUTE($G1193,"-",""))),"-"," ",LEN($G1193)-LEN(SUBSTITUTE($G1193,"-",""))-1),"."," ",(LEN(SUBSTITUTE(SUBSTITUTE($G1193,"-"," ",LEN($G1193)-LEN(SUBSTITUTE($G1193,"-",""))),"-"," ",LEN($G1193)-LEN(SUBSTITUTE($G1193,"-",""))-1))-LEN(SUBSTITUTE(SUBSTITUTE(SUBSTITUTE($G1193,"-"," ",LEN($G1193)-LEN(SUBSTITUTE($G1193,"-",""))),"-"," ",LEN($G1193)-LEN(SUBSTITUTE($G1193,"-",""))-1),".",""))))),$G1193)))</f>
        <v/>
      </c>
    </row>
    <row r="1194">
      <c r="A1194" s="58" t="n"/>
      <c r="B1194" s="58">
        <f>IF($H1194="","",LEFT($H1194,FIND(" ",$H1194&amp;" ")-1))</f>
        <v/>
      </c>
      <c r="C1194" s="58">
        <f>IF($H1194="","",IFERROR(MID($H1194&amp;" ",FIND("|",SUBSTITUTE($H1194&amp;" "," ","|",1))+1,FIND("|",SUBSTITUTE($H1194&amp;" "," ","|",2))-FIND("|",SUBSTITUTE($H1194&amp;" "," ","|",1))-1),""))</f>
        <v/>
      </c>
      <c r="D1194" s="58">
        <f>IF($H1194="","",IFERROR(MID($H1194&amp;" ",FIND("|",SUBSTITUTE($H1194&amp;" "," ","|",2))+1,FIND("|",SUBSTITUTE($H1194&amp;" "," ","|",3))-FIND("|",SUBSTITUTE($H1194&amp;" "," ","|",2))-1),""))</f>
        <v/>
      </c>
      <c r="E1194" s="58">
        <f>IF($H1194="","",IFERROR(MID($H1194&amp;" ",FIND("|",SUBSTITUTE($H1194&amp;" "," ","|",3))+1,FIND("|",SUBSTITUTE($H1194&amp;" "," ","|",4))-FIND("|",SUBSTITUTE($H1194&amp;" "," ","|",3))-1),""))</f>
        <v/>
      </c>
      <c r="F1194" s="59">
        <f>IF($H1194="","",IFERROR(VALUE(IFERROR(MID($H1194&amp;" ",FIND("|",SUBSTITUTE($H1194&amp;" "," ","|",4))+1,FIND("|",SUBSTITUTE($H1194&amp;" "," ","|",5))-FIND("|",SUBSTITUTE($H1194&amp;" "," ","|",4))-1),""))/86400+25569+9/24,""))</f>
        <v/>
      </c>
      <c r="G1194" s="58">
        <f>TRIM(SUBSTITUTE(SUBSTITUTE(SUBSTITUTE($A1194,CHAR(9)," ")," "," "),CHAR(13),""))</f>
        <v/>
      </c>
      <c r="H1194" s="58">
        <f>IF($G1194="","",IF(ISNUMBER(FIND(" ",$G1194)),$G1194,IFERROR(IF((LEN(SUBSTITUTE(SUBSTITUTE($G1194,"-"," ",LEN($G1194)-LEN(SUBSTITUTE($G1194,"-",""))),"-"," ",LEN($G1194)-LEN(SUBSTITUTE($G1194,"-",""))-1))-LEN(SUBSTITUTE(SUBSTITUTE(SUBSTITUTE($G1194,"-"," ",LEN($G1194)-LEN(SUBSTITUTE($G1194,"-",""))),"-"," ",LEN($G1194)-LEN(SUBSTITUTE($G1194,"-",""))-1),".","")))=0,SUBSTITUTE(SUBSTITUTE($G1194,"-"," ",LEN($G1194)-LEN(SUBSTITUTE($G1194,"-",""))),"-"," ",LEN($G1194)-LEN(SUBSTITUTE($G1194,"-",""))-1),SUBSTITUTE(SUBSTITUTE(SUBSTITUTE($G1194,"-"," ",LEN($G1194)-LEN(SUBSTITUTE($G1194,"-",""))),"-"," ",LEN($G1194)-LEN(SUBSTITUTE($G1194,"-",""))-1),"."," ",(LEN(SUBSTITUTE(SUBSTITUTE($G1194,"-"," ",LEN($G1194)-LEN(SUBSTITUTE($G1194,"-",""))),"-"," ",LEN($G1194)-LEN(SUBSTITUTE($G1194,"-",""))-1))-LEN(SUBSTITUTE(SUBSTITUTE(SUBSTITUTE($G1194,"-"," ",LEN($G1194)-LEN(SUBSTITUTE($G1194,"-",""))),"-"," ",LEN($G1194)-LEN(SUBSTITUTE($G1194,"-",""))-1),".",""))))),$G1194)))</f>
        <v/>
      </c>
    </row>
    <row r="1195">
      <c r="A1195" s="58" t="n"/>
      <c r="B1195" s="58">
        <f>IF($H1195="","",LEFT($H1195,FIND(" ",$H1195&amp;" ")-1))</f>
        <v/>
      </c>
      <c r="C1195" s="58">
        <f>IF($H1195="","",IFERROR(MID($H1195&amp;" ",FIND("|",SUBSTITUTE($H1195&amp;" "," ","|",1))+1,FIND("|",SUBSTITUTE($H1195&amp;" "," ","|",2))-FIND("|",SUBSTITUTE($H1195&amp;" "," ","|",1))-1),""))</f>
        <v/>
      </c>
      <c r="D1195" s="58">
        <f>IF($H1195="","",IFERROR(MID($H1195&amp;" ",FIND("|",SUBSTITUTE($H1195&amp;" "," ","|",2))+1,FIND("|",SUBSTITUTE($H1195&amp;" "," ","|",3))-FIND("|",SUBSTITUTE($H1195&amp;" "," ","|",2))-1),""))</f>
        <v/>
      </c>
      <c r="E1195" s="58">
        <f>IF($H1195="","",IFERROR(MID($H1195&amp;" ",FIND("|",SUBSTITUTE($H1195&amp;" "," ","|",3))+1,FIND("|",SUBSTITUTE($H1195&amp;" "," ","|",4))-FIND("|",SUBSTITUTE($H1195&amp;" "," ","|",3))-1),""))</f>
        <v/>
      </c>
      <c r="F1195" s="59">
        <f>IF($H1195="","",IFERROR(VALUE(IFERROR(MID($H1195&amp;" ",FIND("|",SUBSTITUTE($H1195&amp;" "," ","|",4))+1,FIND("|",SUBSTITUTE($H1195&amp;" "," ","|",5))-FIND("|",SUBSTITUTE($H1195&amp;" "," ","|",4))-1),""))/86400+25569+9/24,""))</f>
        <v/>
      </c>
      <c r="G1195" s="58">
        <f>TRIM(SUBSTITUTE(SUBSTITUTE(SUBSTITUTE($A1195,CHAR(9)," ")," "," "),CHAR(13),""))</f>
        <v/>
      </c>
      <c r="H1195" s="58">
        <f>IF($G1195="","",IF(ISNUMBER(FIND(" ",$G1195)),$G1195,IFERROR(IF((LEN(SUBSTITUTE(SUBSTITUTE($G1195,"-"," ",LEN($G1195)-LEN(SUBSTITUTE($G1195,"-",""))),"-"," ",LEN($G1195)-LEN(SUBSTITUTE($G1195,"-",""))-1))-LEN(SUBSTITUTE(SUBSTITUTE(SUBSTITUTE($G1195,"-"," ",LEN($G1195)-LEN(SUBSTITUTE($G1195,"-",""))),"-"," ",LEN($G1195)-LEN(SUBSTITUTE($G1195,"-",""))-1),".","")))=0,SUBSTITUTE(SUBSTITUTE($G1195,"-"," ",LEN($G1195)-LEN(SUBSTITUTE($G1195,"-",""))),"-"," ",LEN($G1195)-LEN(SUBSTITUTE($G1195,"-",""))-1),SUBSTITUTE(SUBSTITUTE(SUBSTITUTE($G1195,"-"," ",LEN($G1195)-LEN(SUBSTITUTE($G1195,"-",""))),"-"," ",LEN($G1195)-LEN(SUBSTITUTE($G1195,"-",""))-1),"."," ",(LEN(SUBSTITUTE(SUBSTITUTE($G1195,"-"," ",LEN($G1195)-LEN(SUBSTITUTE($G1195,"-",""))),"-"," ",LEN($G1195)-LEN(SUBSTITUTE($G1195,"-",""))-1))-LEN(SUBSTITUTE(SUBSTITUTE(SUBSTITUTE($G1195,"-"," ",LEN($G1195)-LEN(SUBSTITUTE($G1195,"-",""))),"-"," ",LEN($G1195)-LEN(SUBSTITUTE($G1195,"-",""))-1),".",""))))),$G1195)))</f>
        <v/>
      </c>
    </row>
    <row r="1196">
      <c r="A1196" s="58" t="n"/>
      <c r="B1196" s="58">
        <f>IF($H1196="","",LEFT($H1196,FIND(" ",$H1196&amp;" ")-1))</f>
        <v/>
      </c>
      <c r="C1196" s="58">
        <f>IF($H1196="","",IFERROR(MID($H1196&amp;" ",FIND("|",SUBSTITUTE($H1196&amp;" "," ","|",1))+1,FIND("|",SUBSTITUTE($H1196&amp;" "," ","|",2))-FIND("|",SUBSTITUTE($H1196&amp;" "," ","|",1))-1),""))</f>
        <v/>
      </c>
      <c r="D1196" s="58">
        <f>IF($H1196="","",IFERROR(MID($H1196&amp;" ",FIND("|",SUBSTITUTE($H1196&amp;" "," ","|",2))+1,FIND("|",SUBSTITUTE($H1196&amp;" "," ","|",3))-FIND("|",SUBSTITUTE($H1196&amp;" "," ","|",2))-1),""))</f>
        <v/>
      </c>
      <c r="E1196" s="58">
        <f>IF($H1196="","",IFERROR(MID($H1196&amp;" ",FIND("|",SUBSTITUTE($H1196&amp;" "," ","|",3))+1,FIND("|",SUBSTITUTE($H1196&amp;" "," ","|",4))-FIND("|",SUBSTITUTE($H1196&amp;" "," ","|",3))-1),""))</f>
        <v/>
      </c>
      <c r="F1196" s="59">
        <f>IF($H1196="","",IFERROR(VALUE(IFERROR(MID($H1196&amp;" ",FIND("|",SUBSTITUTE($H1196&amp;" "," ","|",4))+1,FIND("|",SUBSTITUTE($H1196&amp;" "," ","|",5))-FIND("|",SUBSTITUTE($H1196&amp;" "," ","|",4))-1),""))/86400+25569+9/24,""))</f>
        <v/>
      </c>
      <c r="G1196" s="58">
        <f>TRIM(SUBSTITUTE(SUBSTITUTE(SUBSTITUTE($A1196,CHAR(9)," ")," "," "),CHAR(13),""))</f>
        <v/>
      </c>
      <c r="H1196" s="58">
        <f>IF($G1196="","",IF(ISNUMBER(FIND(" ",$G1196)),$G1196,IFERROR(IF((LEN(SUBSTITUTE(SUBSTITUTE($G1196,"-"," ",LEN($G1196)-LEN(SUBSTITUTE($G1196,"-",""))),"-"," ",LEN($G1196)-LEN(SUBSTITUTE($G1196,"-",""))-1))-LEN(SUBSTITUTE(SUBSTITUTE(SUBSTITUTE($G1196,"-"," ",LEN($G1196)-LEN(SUBSTITUTE($G1196,"-",""))),"-"," ",LEN($G1196)-LEN(SUBSTITUTE($G1196,"-",""))-1),".","")))=0,SUBSTITUTE(SUBSTITUTE($G1196,"-"," ",LEN($G1196)-LEN(SUBSTITUTE($G1196,"-",""))),"-"," ",LEN($G1196)-LEN(SUBSTITUTE($G1196,"-",""))-1),SUBSTITUTE(SUBSTITUTE(SUBSTITUTE($G1196,"-"," ",LEN($G1196)-LEN(SUBSTITUTE($G1196,"-",""))),"-"," ",LEN($G1196)-LEN(SUBSTITUTE($G1196,"-",""))-1),"."," ",(LEN(SUBSTITUTE(SUBSTITUTE($G1196,"-"," ",LEN($G1196)-LEN(SUBSTITUTE($G1196,"-",""))),"-"," ",LEN($G1196)-LEN(SUBSTITUTE($G1196,"-",""))-1))-LEN(SUBSTITUTE(SUBSTITUTE(SUBSTITUTE($G1196,"-"," ",LEN($G1196)-LEN(SUBSTITUTE($G1196,"-",""))),"-"," ",LEN($G1196)-LEN(SUBSTITUTE($G1196,"-",""))-1),".",""))))),$G1196)))</f>
        <v/>
      </c>
    </row>
    <row r="1197">
      <c r="A1197" s="58" t="n"/>
      <c r="B1197" s="58">
        <f>IF($H1197="","",LEFT($H1197,FIND(" ",$H1197&amp;" ")-1))</f>
        <v/>
      </c>
      <c r="C1197" s="58">
        <f>IF($H1197="","",IFERROR(MID($H1197&amp;" ",FIND("|",SUBSTITUTE($H1197&amp;" "," ","|",1))+1,FIND("|",SUBSTITUTE($H1197&amp;" "," ","|",2))-FIND("|",SUBSTITUTE($H1197&amp;" "," ","|",1))-1),""))</f>
        <v/>
      </c>
      <c r="D1197" s="58">
        <f>IF($H1197="","",IFERROR(MID($H1197&amp;" ",FIND("|",SUBSTITUTE($H1197&amp;" "," ","|",2))+1,FIND("|",SUBSTITUTE($H1197&amp;" "," ","|",3))-FIND("|",SUBSTITUTE($H1197&amp;" "," ","|",2))-1),""))</f>
        <v/>
      </c>
      <c r="E1197" s="58">
        <f>IF($H1197="","",IFERROR(MID($H1197&amp;" ",FIND("|",SUBSTITUTE($H1197&amp;" "," ","|",3))+1,FIND("|",SUBSTITUTE($H1197&amp;" "," ","|",4))-FIND("|",SUBSTITUTE($H1197&amp;" "," ","|",3))-1),""))</f>
        <v/>
      </c>
      <c r="F1197" s="59">
        <f>IF($H1197="","",IFERROR(VALUE(IFERROR(MID($H1197&amp;" ",FIND("|",SUBSTITUTE($H1197&amp;" "," ","|",4))+1,FIND("|",SUBSTITUTE($H1197&amp;" "," ","|",5))-FIND("|",SUBSTITUTE($H1197&amp;" "," ","|",4))-1),""))/86400+25569+9/24,""))</f>
        <v/>
      </c>
      <c r="G1197" s="58">
        <f>TRIM(SUBSTITUTE(SUBSTITUTE(SUBSTITUTE($A1197,CHAR(9)," ")," "," "),CHAR(13),""))</f>
        <v/>
      </c>
      <c r="H1197" s="58">
        <f>IF($G1197="","",IF(ISNUMBER(FIND(" ",$G1197)),$G1197,IFERROR(IF((LEN(SUBSTITUTE(SUBSTITUTE($G1197,"-"," ",LEN($G1197)-LEN(SUBSTITUTE($G1197,"-",""))),"-"," ",LEN($G1197)-LEN(SUBSTITUTE($G1197,"-",""))-1))-LEN(SUBSTITUTE(SUBSTITUTE(SUBSTITUTE($G1197,"-"," ",LEN($G1197)-LEN(SUBSTITUTE($G1197,"-",""))),"-"," ",LEN($G1197)-LEN(SUBSTITUTE($G1197,"-",""))-1),".","")))=0,SUBSTITUTE(SUBSTITUTE($G1197,"-"," ",LEN($G1197)-LEN(SUBSTITUTE($G1197,"-",""))),"-"," ",LEN($G1197)-LEN(SUBSTITUTE($G1197,"-",""))-1),SUBSTITUTE(SUBSTITUTE(SUBSTITUTE($G1197,"-"," ",LEN($G1197)-LEN(SUBSTITUTE($G1197,"-",""))),"-"," ",LEN($G1197)-LEN(SUBSTITUTE($G1197,"-",""))-1),"."," ",(LEN(SUBSTITUTE(SUBSTITUTE($G1197,"-"," ",LEN($G1197)-LEN(SUBSTITUTE($G1197,"-",""))),"-"," ",LEN($G1197)-LEN(SUBSTITUTE($G1197,"-",""))-1))-LEN(SUBSTITUTE(SUBSTITUTE(SUBSTITUTE($G1197,"-"," ",LEN($G1197)-LEN(SUBSTITUTE($G1197,"-",""))),"-"," ",LEN($G1197)-LEN(SUBSTITUTE($G1197,"-",""))-1),".",""))))),$G1197)))</f>
        <v/>
      </c>
    </row>
    <row r="1198">
      <c r="A1198" s="58" t="n"/>
      <c r="B1198" s="58">
        <f>IF($H1198="","",LEFT($H1198,FIND(" ",$H1198&amp;" ")-1))</f>
        <v/>
      </c>
      <c r="C1198" s="58">
        <f>IF($H1198="","",IFERROR(MID($H1198&amp;" ",FIND("|",SUBSTITUTE($H1198&amp;" "," ","|",1))+1,FIND("|",SUBSTITUTE($H1198&amp;" "," ","|",2))-FIND("|",SUBSTITUTE($H1198&amp;" "," ","|",1))-1),""))</f>
        <v/>
      </c>
      <c r="D1198" s="58">
        <f>IF($H1198="","",IFERROR(MID($H1198&amp;" ",FIND("|",SUBSTITUTE($H1198&amp;" "," ","|",2))+1,FIND("|",SUBSTITUTE($H1198&amp;" "," ","|",3))-FIND("|",SUBSTITUTE($H1198&amp;" "," ","|",2))-1),""))</f>
        <v/>
      </c>
      <c r="E1198" s="58">
        <f>IF($H1198="","",IFERROR(MID($H1198&amp;" ",FIND("|",SUBSTITUTE($H1198&amp;" "," ","|",3))+1,FIND("|",SUBSTITUTE($H1198&amp;" "," ","|",4))-FIND("|",SUBSTITUTE($H1198&amp;" "," ","|",3))-1),""))</f>
        <v/>
      </c>
      <c r="F1198" s="59">
        <f>IF($H1198="","",IFERROR(VALUE(IFERROR(MID($H1198&amp;" ",FIND("|",SUBSTITUTE($H1198&amp;" "," ","|",4))+1,FIND("|",SUBSTITUTE($H1198&amp;" "," ","|",5))-FIND("|",SUBSTITUTE($H1198&amp;" "," ","|",4))-1),""))/86400+25569+9/24,""))</f>
        <v/>
      </c>
      <c r="G1198" s="58">
        <f>TRIM(SUBSTITUTE(SUBSTITUTE(SUBSTITUTE($A1198,CHAR(9)," ")," "," "),CHAR(13),""))</f>
        <v/>
      </c>
      <c r="H1198" s="58">
        <f>IF($G1198="","",IF(ISNUMBER(FIND(" ",$G1198)),$G1198,IFERROR(IF((LEN(SUBSTITUTE(SUBSTITUTE($G1198,"-"," ",LEN($G1198)-LEN(SUBSTITUTE($G1198,"-",""))),"-"," ",LEN($G1198)-LEN(SUBSTITUTE($G1198,"-",""))-1))-LEN(SUBSTITUTE(SUBSTITUTE(SUBSTITUTE($G1198,"-"," ",LEN($G1198)-LEN(SUBSTITUTE($G1198,"-",""))),"-"," ",LEN($G1198)-LEN(SUBSTITUTE($G1198,"-",""))-1),".","")))=0,SUBSTITUTE(SUBSTITUTE($G1198,"-"," ",LEN($G1198)-LEN(SUBSTITUTE($G1198,"-",""))),"-"," ",LEN($G1198)-LEN(SUBSTITUTE($G1198,"-",""))-1),SUBSTITUTE(SUBSTITUTE(SUBSTITUTE($G1198,"-"," ",LEN($G1198)-LEN(SUBSTITUTE($G1198,"-",""))),"-"," ",LEN($G1198)-LEN(SUBSTITUTE($G1198,"-",""))-1),"."," ",(LEN(SUBSTITUTE(SUBSTITUTE($G1198,"-"," ",LEN($G1198)-LEN(SUBSTITUTE($G1198,"-",""))),"-"," ",LEN($G1198)-LEN(SUBSTITUTE($G1198,"-",""))-1))-LEN(SUBSTITUTE(SUBSTITUTE(SUBSTITUTE($G1198,"-"," ",LEN($G1198)-LEN(SUBSTITUTE($G1198,"-",""))),"-"," ",LEN($G1198)-LEN(SUBSTITUTE($G1198,"-",""))-1),".",""))))),$G1198)))</f>
        <v/>
      </c>
    </row>
    <row r="1199">
      <c r="A1199" s="58" t="n"/>
      <c r="B1199" s="58">
        <f>IF($H1199="","",LEFT($H1199,FIND(" ",$H1199&amp;" ")-1))</f>
        <v/>
      </c>
      <c r="C1199" s="58">
        <f>IF($H1199="","",IFERROR(MID($H1199&amp;" ",FIND("|",SUBSTITUTE($H1199&amp;" "," ","|",1))+1,FIND("|",SUBSTITUTE($H1199&amp;" "," ","|",2))-FIND("|",SUBSTITUTE($H1199&amp;" "," ","|",1))-1),""))</f>
        <v/>
      </c>
      <c r="D1199" s="58">
        <f>IF($H1199="","",IFERROR(MID($H1199&amp;" ",FIND("|",SUBSTITUTE($H1199&amp;" "," ","|",2))+1,FIND("|",SUBSTITUTE($H1199&amp;" "," ","|",3))-FIND("|",SUBSTITUTE($H1199&amp;" "," ","|",2))-1),""))</f>
        <v/>
      </c>
      <c r="E1199" s="58">
        <f>IF($H1199="","",IFERROR(MID($H1199&amp;" ",FIND("|",SUBSTITUTE($H1199&amp;" "," ","|",3))+1,FIND("|",SUBSTITUTE($H1199&amp;" "," ","|",4))-FIND("|",SUBSTITUTE($H1199&amp;" "," ","|",3))-1),""))</f>
        <v/>
      </c>
      <c r="F1199" s="59">
        <f>IF($H1199="","",IFERROR(VALUE(IFERROR(MID($H1199&amp;" ",FIND("|",SUBSTITUTE($H1199&amp;" "," ","|",4))+1,FIND("|",SUBSTITUTE($H1199&amp;" "," ","|",5))-FIND("|",SUBSTITUTE($H1199&amp;" "," ","|",4))-1),""))/86400+25569+9/24,""))</f>
        <v/>
      </c>
      <c r="G1199" s="58">
        <f>TRIM(SUBSTITUTE(SUBSTITUTE(SUBSTITUTE($A1199,CHAR(9)," ")," "," "),CHAR(13),""))</f>
        <v/>
      </c>
      <c r="H1199" s="58">
        <f>IF($G1199="","",IF(ISNUMBER(FIND(" ",$G1199)),$G1199,IFERROR(IF((LEN(SUBSTITUTE(SUBSTITUTE($G1199,"-"," ",LEN($G1199)-LEN(SUBSTITUTE($G1199,"-",""))),"-"," ",LEN($G1199)-LEN(SUBSTITUTE($G1199,"-",""))-1))-LEN(SUBSTITUTE(SUBSTITUTE(SUBSTITUTE($G1199,"-"," ",LEN($G1199)-LEN(SUBSTITUTE($G1199,"-",""))),"-"," ",LEN($G1199)-LEN(SUBSTITUTE($G1199,"-",""))-1),".","")))=0,SUBSTITUTE(SUBSTITUTE($G1199,"-"," ",LEN($G1199)-LEN(SUBSTITUTE($G1199,"-",""))),"-"," ",LEN($G1199)-LEN(SUBSTITUTE($G1199,"-",""))-1),SUBSTITUTE(SUBSTITUTE(SUBSTITUTE($G1199,"-"," ",LEN($G1199)-LEN(SUBSTITUTE($G1199,"-",""))),"-"," ",LEN($G1199)-LEN(SUBSTITUTE($G1199,"-",""))-1),"."," ",(LEN(SUBSTITUTE(SUBSTITUTE($G1199,"-"," ",LEN($G1199)-LEN(SUBSTITUTE($G1199,"-",""))),"-"," ",LEN($G1199)-LEN(SUBSTITUTE($G1199,"-",""))-1))-LEN(SUBSTITUTE(SUBSTITUTE(SUBSTITUTE($G1199,"-"," ",LEN($G1199)-LEN(SUBSTITUTE($G1199,"-",""))),"-"," ",LEN($G1199)-LEN(SUBSTITUTE($G1199,"-",""))-1),".",""))))),$G1199)))</f>
        <v/>
      </c>
    </row>
    <row r="1200">
      <c r="A1200" s="58" t="n"/>
      <c r="B1200" s="58">
        <f>IF($H1200="","",LEFT($H1200,FIND(" ",$H1200&amp;" ")-1))</f>
        <v/>
      </c>
      <c r="C1200" s="58">
        <f>IF($H1200="","",IFERROR(MID($H1200&amp;" ",FIND("|",SUBSTITUTE($H1200&amp;" "," ","|",1))+1,FIND("|",SUBSTITUTE($H1200&amp;" "," ","|",2))-FIND("|",SUBSTITUTE($H1200&amp;" "," ","|",1))-1),""))</f>
        <v/>
      </c>
      <c r="D1200" s="58">
        <f>IF($H1200="","",IFERROR(MID($H1200&amp;" ",FIND("|",SUBSTITUTE($H1200&amp;" "," ","|",2))+1,FIND("|",SUBSTITUTE($H1200&amp;" "," ","|",3))-FIND("|",SUBSTITUTE($H1200&amp;" "," ","|",2))-1),""))</f>
        <v/>
      </c>
      <c r="E1200" s="58">
        <f>IF($H1200="","",IFERROR(MID($H1200&amp;" ",FIND("|",SUBSTITUTE($H1200&amp;" "," ","|",3))+1,FIND("|",SUBSTITUTE($H1200&amp;" "," ","|",4))-FIND("|",SUBSTITUTE($H1200&amp;" "," ","|",3))-1),""))</f>
        <v/>
      </c>
      <c r="F1200" s="59">
        <f>IF($H1200="","",IFERROR(VALUE(IFERROR(MID($H1200&amp;" ",FIND("|",SUBSTITUTE($H1200&amp;" "," ","|",4))+1,FIND("|",SUBSTITUTE($H1200&amp;" "," ","|",5))-FIND("|",SUBSTITUTE($H1200&amp;" "," ","|",4))-1),""))/86400+25569+9/24,""))</f>
        <v/>
      </c>
      <c r="G1200" s="58">
        <f>TRIM(SUBSTITUTE(SUBSTITUTE(SUBSTITUTE($A1200,CHAR(9)," ")," "," "),CHAR(13),""))</f>
        <v/>
      </c>
      <c r="H1200" s="58">
        <f>IF($G1200="","",IF(ISNUMBER(FIND(" ",$G1200)),$G1200,IFERROR(IF((LEN(SUBSTITUTE(SUBSTITUTE($G1200,"-"," ",LEN($G1200)-LEN(SUBSTITUTE($G1200,"-",""))),"-"," ",LEN($G1200)-LEN(SUBSTITUTE($G1200,"-",""))-1))-LEN(SUBSTITUTE(SUBSTITUTE(SUBSTITUTE($G1200,"-"," ",LEN($G1200)-LEN(SUBSTITUTE($G1200,"-",""))),"-"," ",LEN($G1200)-LEN(SUBSTITUTE($G1200,"-",""))-1),".","")))=0,SUBSTITUTE(SUBSTITUTE($G1200,"-"," ",LEN($G1200)-LEN(SUBSTITUTE($G1200,"-",""))),"-"," ",LEN($G1200)-LEN(SUBSTITUTE($G1200,"-",""))-1),SUBSTITUTE(SUBSTITUTE(SUBSTITUTE($G1200,"-"," ",LEN($G1200)-LEN(SUBSTITUTE($G1200,"-",""))),"-"," ",LEN($G1200)-LEN(SUBSTITUTE($G1200,"-",""))-1),"."," ",(LEN(SUBSTITUTE(SUBSTITUTE($G1200,"-"," ",LEN($G1200)-LEN(SUBSTITUTE($G1200,"-",""))),"-"," ",LEN($G1200)-LEN(SUBSTITUTE($G1200,"-",""))-1))-LEN(SUBSTITUTE(SUBSTITUTE(SUBSTITUTE($G1200,"-"," ",LEN($G1200)-LEN(SUBSTITUTE($G1200,"-",""))),"-"," ",LEN($G1200)-LEN(SUBSTITUTE($G1200,"-",""))-1),".",""))))),$G1200)))</f>
        <v/>
      </c>
    </row>
    <row r="1201">
      <c r="A1201" s="58" t="n"/>
      <c r="B1201" s="58">
        <f>IF($H1201="","",LEFT($H1201,FIND(" ",$H1201&amp;" ")-1))</f>
        <v/>
      </c>
      <c r="C1201" s="58">
        <f>IF($H1201="","",IFERROR(MID($H1201&amp;" ",FIND("|",SUBSTITUTE($H1201&amp;" "," ","|",1))+1,FIND("|",SUBSTITUTE($H1201&amp;" "," ","|",2))-FIND("|",SUBSTITUTE($H1201&amp;" "," ","|",1))-1),""))</f>
        <v/>
      </c>
      <c r="D1201" s="58">
        <f>IF($H1201="","",IFERROR(MID($H1201&amp;" ",FIND("|",SUBSTITUTE($H1201&amp;" "," ","|",2))+1,FIND("|",SUBSTITUTE($H1201&amp;" "," ","|",3))-FIND("|",SUBSTITUTE($H1201&amp;" "," ","|",2))-1),""))</f>
        <v/>
      </c>
      <c r="E1201" s="58">
        <f>IF($H1201="","",IFERROR(MID($H1201&amp;" ",FIND("|",SUBSTITUTE($H1201&amp;" "," ","|",3))+1,FIND("|",SUBSTITUTE($H1201&amp;" "," ","|",4))-FIND("|",SUBSTITUTE($H1201&amp;" "," ","|",3))-1),""))</f>
        <v/>
      </c>
      <c r="F1201" s="59">
        <f>IF($H1201="","",IFERROR(VALUE(IFERROR(MID($H1201&amp;" ",FIND("|",SUBSTITUTE($H1201&amp;" "," ","|",4))+1,FIND("|",SUBSTITUTE($H1201&amp;" "," ","|",5))-FIND("|",SUBSTITUTE($H1201&amp;" "," ","|",4))-1),""))/86400+25569+9/24,""))</f>
        <v/>
      </c>
      <c r="G1201" s="58">
        <f>TRIM(SUBSTITUTE(SUBSTITUTE(SUBSTITUTE($A1201,CHAR(9)," ")," "," "),CHAR(13),""))</f>
        <v/>
      </c>
      <c r="H1201" s="58">
        <f>IF($G1201="","",IF(ISNUMBER(FIND(" ",$G1201)),$G1201,IFERROR(IF((LEN(SUBSTITUTE(SUBSTITUTE($G1201,"-"," ",LEN($G1201)-LEN(SUBSTITUTE($G1201,"-",""))),"-"," ",LEN($G1201)-LEN(SUBSTITUTE($G1201,"-",""))-1))-LEN(SUBSTITUTE(SUBSTITUTE(SUBSTITUTE($G1201,"-"," ",LEN($G1201)-LEN(SUBSTITUTE($G1201,"-",""))),"-"," ",LEN($G1201)-LEN(SUBSTITUTE($G1201,"-",""))-1),".","")))=0,SUBSTITUTE(SUBSTITUTE($G1201,"-"," ",LEN($G1201)-LEN(SUBSTITUTE($G1201,"-",""))),"-"," ",LEN($G1201)-LEN(SUBSTITUTE($G1201,"-",""))-1),SUBSTITUTE(SUBSTITUTE(SUBSTITUTE($G1201,"-"," ",LEN($G1201)-LEN(SUBSTITUTE($G1201,"-",""))),"-"," ",LEN($G1201)-LEN(SUBSTITUTE($G1201,"-",""))-1),"."," ",(LEN(SUBSTITUTE(SUBSTITUTE($G1201,"-"," ",LEN($G1201)-LEN(SUBSTITUTE($G1201,"-",""))),"-"," ",LEN($G1201)-LEN(SUBSTITUTE($G1201,"-",""))-1))-LEN(SUBSTITUTE(SUBSTITUTE(SUBSTITUTE($G1201,"-"," ",LEN($G1201)-LEN(SUBSTITUTE($G1201,"-",""))),"-"," ",LEN($G1201)-LEN(SUBSTITUTE($G1201,"-",""))-1),".",""))))),$G1201)))</f>
        <v/>
      </c>
    </row>
    <row r="1202">
      <c r="A1202" s="58" t="n"/>
      <c r="B1202" s="58">
        <f>IF($H1202="","",LEFT($H1202,FIND(" ",$H1202&amp;" ")-1))</f>
        <v/>
      </c>
      <c r="C1202" s="58">
        <f>IF($H1202="","",IFERROR(MID($H1202&amp;" ",FIND("|",SUBSTITUTE($H1202&amp;" "," ","|",1))+1,FIND("|",SUBSTITUTE($H1202&amp;" "," ","|",2))-FIND("|",SUBSTITUTE($H1202&amp;" "," ","|",1))-1),""))</f>
        <v/>
      </c>
      <c r="D1202" s="58">
        <f>IF($H1202="","",IFERROR(MID($H1202&amp;" ",FIND("|",SUBSTITUTE($H1202&amp;" "," ","|",2))+1,FIND("|",SUBSTITUTE($H1202&amp;" "," ","|",3))-FIND("|",SUBSTITUTE($H1202&amp;" "," ","|",2))-1),""))</f>
        <v/>
      </c>
      <c r="E1202" s="58">
        <f>IF($H1202="","",IFERROR(MID($H1202&amp;" ",FIND("|",SUBSTITUTE($H1202&amp;" "," ","|",3))+1,FIND("|",SUBSTITUTE($H1202&amp;" "," ","|",4))-FIND("|",SUBSTITUTE($H1202&amp;" "," ","|",3))-1),""))</f>
        <v/>
      </c>
      <c r="F1202" s="59">
        <f>IF($H1202="","",IFERROR(VALUE(IFERROR(MID($H1202&amp;" ",FIND("|",SUBSTITUTE($H1202&amp;" "," ","|",4))+1,FIND("|",SUBSTITUTE($H1202&amp;" "," ","|",5))-FIND("|",SUBSTITUTE($H1202&amp;" "," ","|",4))-1),""))/86400+25569+9/24,""))</f>
        <v/>
      </c>
      <c r="G1202" s="58">
        <f>TRIM(SUBSTITUTE(SUBSTITUTE(SUBSTITUTE($A1202,CHAR(9)," ")," "," "),CHAR(13),""))</f>
        <v/>
      </c>
      <c r="H1202" s="58">
        <f>IF($G1202="","",IF(ISNUMBER(FIND(" ",$G1202)),$G1202,IFERROR(IF((LEN(SUBSTITUTE(SUBSTITUTE($G1202,"-"," ",LEN($G1202)-LEN(SUBSTITUTE($G1202,"-",""))),"-"," ",LEN($G1202)-LEN(SUBSTITUTE($G1202,"-",""))-1))-LEN(SUBSTITUTE(SUBSTITUTE(SUBSTITUTE($G1202,"-"," ",LEN($G1202)-LEN(SUBSTITUTE($G1202,"-",""))),"-"," ",LEN($G1202)-LEN(SUBSTITUTE($G1202,"-",""))-1),".","")))=0,SUBSTITUTE(SUBSTITUTE($G1202,"-"," ",LEN($G1202)-LEN(SUBSTITUTE($G1202,"-",""))),"-"," ",LEN($G1202)-LEN(SUBSTITUTE($G1202,"-",""))-1),SUBSTITUTE(SUBSTITUTE(SUBSTITUTE($G1202,"-"," ",LEN($G1202)-LEN(SUBSTITUTE($G1202,"-",""))),"-"," ",LEN($G1202)-LEN(SUBSTITUTE($G1202,"-",""))-1),"."," ",(LEN(SUBSTITUTE(SUBSTITUTE($G1202,"-"," ",LEN($G1202)-LEN(SUBSTITUTE($G1202,"-",""))),"-"," ",LEN($G1202)-LEN(SUBSTITUTE($G1202,"-",""))-1))-LEN(SUBSTITUTE(SUBSTITUTE(SUBSTITUTE($G1202,"-"," ",LEN($G1202)-LEN(SUBSTITUTE($G1202,"-",""))),"-"," ",LEN($G1202)-LEN(SUBSTITUTE($G1202,"-",""))-1),".",""))))),$G1202)))</f>
        <v/>
      </c>
    </row>
    <row r="1203">
      <c r="A1203" s="58" t="n"/>
      <c r="B1203" s="58">
        <f>IF($H1203="","",LEFT($H1203,FIND(" ",$H1203&amp;" ")-1))</f>
        <v/>
      </c>
      <c r="C1203" s="58">
        <f>IF($H1203="","",IFERROR(MID($H1203&amp;" ",FIND("|",SUBSTITUTE($H1203&amp;" "," ","|",1))+1,FIND("|",SUBSTITUTE($H1203&amp;" "," ","|",2))-FIND("|",SUBSTITUTE($H1203&amp;" "," ","|",1))-1),""))</f>
        <v/>
      </c>
      <c r="D1203" s="58">
        <f>IF($H1203="","",IFERROR(MID($H1203&amp;" ",FIND("|",SUBSTITUTE($H1203&amp;" "," ","|",2))+1,FIND("|",SUBSTITUTE($H1203&amp;" "," ","|",3))-FIND("|",SUBSTITUTE($H1203&amp;" "," ","|",2))-1),""))</f>
        <v/>
      </c>
      <c r="E1203" s="58">
        <f>IF($H1203="","",IFERROR(MID($H1203&amp;" ",FIND("|",SUBSTITUTE($H1203&amp;" "," ","|",3))+1,FIND("|",SUBSTITUTE($H1203&amp;" "," ","|",4))-FIND("|",SUBSTITUTE($H1203&amp;" "," ","|",3))-1),""))</f>
        <v/>
      </c>
      <c r="F1203" s="59">
        <f>IF($H1203="","",IFERROR(VALUE(IFERROR(MID($H1203&amp;" ",FIND("|",SUBSTITUTE($H1203&amp;" "," ","|",4))+1,FIND("|",SUBSTITUTE($H1203&amp;" "," ","|",5))-FIND("|",SUBSTITUTE($H1203&amp;" "," ","|",4))-1),""))/86400+25569+9/24,""))</f>
        <v/>
      </c>
      <c r="G1203" s="58">
        <f>TRIM(SUBSTITUTE(SUBSTITUTE(SUBSTITUTE($A1203,CHAR(9)," ")," "," "),CHAR(13),""))</f>
        <v/>
      </c>
      <c r="H1203" s="58">
        <f>IF($G1203="","",IF(ISNUMBER(FIND(" ",$G1203)),$G1203,IFERROR(IF((LEN(SUBSTITUTE(SUBSTITUTE($G1203,"-"," ",LEN($G1203)-LEN(SUBSTITUTE($G1203,"-",""))),"-"," ",LEN($G1203)-LEN(SUBSTITUTE($G1203,"-",""))-1))-LEN(SUBSTITUTE(SUBSTITUTE(SUBSTITUTE($G1203,"-"," ",LEN($G1203)-LEN(SUBSTITUTE($G1203,"-",""))),"-"," ",LEN($G1203)-LEN(SUBSTITUTE($G1203,"-",""))-1),".","")))=0,SUBSTITUTE(SUBSTITUTE($G1203,"-"," ",LEN($G1203)-LEN(SUBSTITUTE($G1203,"-",""))),"-"," ",LEN($G1203)-LEN(SUBSTITUTE($G1203,"-",""))-1),SUBSTITUTE(SUBSTITUTE(SUBSTITUTE($G1203,"-"," ",LEN($G1203)-LEN(SUBSTITUTE($G1203,"-",""))),"-"," ",LEN($G1203)-LEN(SUBSTITUTE($G1203,"-",""))-1),"."," ",(LEN(SUBSTITUTE(SUBSTITUTE($G1203,"-"," ",LEN($G1203)-LEN(SUBSTITUTE($G1203,"-",""))),"-"," ",LEN($G1203)-LEN(SUBSTITUTE($G1203,"-",""))-1))-LEN(SUBSTITUTE(SUBSTITUTE(SUBSTITUTE($G1203,"-"," ",LEN($G1203)-LEN(SUBSTITUTE($G1203,"-",""))),"-"," ",LEN($G1203)-LEN(SUBSTITUTE($G1203,"-",""))-1),".",""))))),$G1203)))</f>
        <v/>
      </c>
    </row>
    <row r="1204">
      <c r="A1204" s="58" t="n"/>
      <c r="B1204" s="58">
        <f>IF($H1204="","",LEFT($H1204,FIND(" ",$H1204&amp;" ")-1))</f>
        <v/>
      </c>
      <c r="C1204" s="58">
        <f>IF($H1204="","",IFERROR(MID($H1204&amp;" ",FIND("|",SUBSTITUTE($H1204&amp;" "," ","|",1))+1,FIND("|",SUBSTITUTE($H1204&amp;" "," ","|",2))-FIND("|",SUBSTITUTE($H1204&amp;" "," ","|",1))-1),""))</f>
        <v/>
      </c>
      <c r="D1204" s="58">
        <f>IF($H1204="","",IFERROR(MID($H1204&amp;" ",FIND("|",SUBSTITUTE($H1204&amp;" "," ","|",2))+1,FIND("|",SUBSTITUTE($H1204&amp;" "," ","|",3))-FIND("|",SUBSTITUTE($H1204&amp;" "," ","|",2))-1),""))</f>
        <v/>
      </c>
      <c r="E1204" s="58">
        <f>IF($H1204="","",IFERROR(MID($H1204&amp;" ",FIND("|",SUBSTITUTE($H1204&amp;" "," ","|",3))+1,FIND("|",SUBSTITUTE($H1204&amp;" "," ","|",4))-FIND("|",SUBSTITUTE($H1204&amp;" "," ","|",3))-1),""))</f>
        <v/>
      </c>
      <c r="F1204" s="59">
        <f>IF($H1204="","",IFERROR(VALUE(IFERROR(MID($H1204&amp;" ",FIND("|",SUBSTITUTE($H1204&amp;" "," ","|",4))+1,FIND("|",SUBSTITUTE($H1204&amp;" "," ","|",5))-FIND("|",SUBSTITUTE($H1204&amp;" "," ","|",4))-1),""))/86400+25569+9/24,""))</f>
        <v/>
      </c>
      <c r="G1204" s="58">
        <f>TRIM(SUBSTITUTE(SUBSTITUTE(SUBSTITUTE($A1204,CHAR(9)," ")," "," "),CHAR(13),""))</f>
        <v/>
      </c>
      <c r="H1204" s="58">
        <f>IF($G1204="","",IF(ISNUMBER(FIND(" ",$G1204)),$G1204,IFERROR(IF((LEN(SUBSTITUTE(SUBSTITUTE($G1204,"-"," ",LEN($G1204)-LEN(SUBSTITUTE($G1204,"-",""))),"-"," ",LEN($G1204)-LEN(SUBSTITUTE($G1204,"-",""))-1))-LEN(SUBSTITUTE(SUBSTITUTE(SUBSTITUTE($G1204,"-"," ",LEN($G1204)-LEN(SUBSTITUTE($G1204,"-",""))),"-"," ",LEN($G1204)-LEN(SUBSTITUTE($G1204,"-",""))-1),".","")))=0,SUBSTITUTE(SUBSTITUTE($G1204,"-"," ",LEN($G1204)-LEN(SUBSTITUTE($G1204,"-",""))),"-"," ",LEN($G1204)-LEN(SUBSTITUTE($G1204,"-",""))-1),SUBSTITUTE(SUBSTITUTE(SUBSTITUTE($G1204,"-"," ",LEN($G1204)-LEN(SUBSTITUTE($G1204,"-",""))),"-"," ",LEN($G1204)-LEN(SUBSTITUTE($G1204,"-",""))-1),"."," ",(LEN(SUBSTITUTE(SUBSTITUTE($G1204,"-"," ",LEN($G1204)-LEN(SUBSTITUTE($G1204,"-",""))),"-"," ",LEN($G1204)-LEN(SUBSTITUTE($G1204,"-",""))-1))-LEN(SUBSTITUTE(SUBSTITUTE(SUBSTITUTE($G1204,"-"," ",LEN($G1204)-LEN(SUBSTITUTE($G1204,"-",""))),"-"," ",LEN($G1204)-LEN(SUBSTITUTE($G1204,"-",""))-1),".",""))))),$G1204)))</f>
        <v/>
      </c>
    </row>
    <row r="1205">
      <c r="A1205" s="58" t="n"/>
      <c r="B1205" s="58">
        <f>IF($H1205="","",LEFT($H1205,FIND(" ",$H1205&amp;" ")-1))</f>
        <v/>
      </c>
      <c r="C1205" s="58">
        <f>IF($H1205="","",IFERROR(MID($H1205&amp;" ",FIND("|",SUBSTITUTE($H1205&amp;" "," ","|",1))+1,FIND("|",SUBSTITUTE($H1205&amp;" "," ","|",2))-FIND("|",SUBSTITUTE($H1205&amp;" "," ","|",1))-1),""))</f>
        <v/>
      </c>
      <c r="D1205" s="58">
        <f>IF($H1205="","",IFERROR(MID($H1205&amp;" ",FIND("|",SUBSTITUTE($H1205&amp;" "," ","|",2))+1,FIND("|",SUBSTITUTE($H1205&amp;" "," ","|",3))-FIND("|",SUBSTITUTE($H1205&amp;" "," ","|",2))-1),""))</f>
        <v/>
      </c>
      <c r="E1205" s="58">
        <f>IF($H1205="","",IFERROR(MID($H1205&amp;" ",FIND("|",SUBSTITUTE($H1205&amp;" "," ","|",3))+1,FIND("|",SUBSTITUTE($H1205&amp;" "," ","|",4))-FIND("|",SUBSTITUTE($H1205&amp;" "," ","|",3))-1),""))</f>
        <v/>
      </c>
      <c r="F1205" s="59">
        <f>IF($H1205="","",IFERROR(VALUE(IFERROR(MID($H1205&amp;" ",FIND("|",SUBSTITUTE($H1205&amp;" "," ","|",4))+1,FIND("|",SUBSTITUTE($H1205&amp;" "," ","|",5))-FIND("|",SUBSTITUTE($H1205&amp;" "," ","|",4))-1),""))/86400+25569+9/24,""))</f>
        <v/>
      </c>
      <c r="G1205" s="58">
        <f>TRIM(SUBSTITUTE(SUBSTITUTE(SUBSTITUTE($A1205,CHAR(9)," ")," "," "),CHAR(13),""))</f>
        <v/>
      </c>
      <c r="H1205" s="58">
        <f>IF($G1205="","",IF(ISNUMBER(FIND(" ",$G1205)),$G1205,IFERROR(IF((LEN(SUBSTITUTE(SUBSTITUTE($G1205,"-"," ",LEN($G1205)-LEN(SUBSTITUTE($G1205,"-",""))),"-"," ",LEN($G1205)-LEN(SUBSTITUTE($G1205,"-",""))-1))-LEN(SUBSTITUTE(SUBSTITUTE(SUBSTITUTE($G1205,"-"," ",LEN($G1205)-LEN(SUBSTITUTE($G1205,"-",""))),"-"," ",LEN($G1205)-LEN(SUBSTITUTE($G1205,"-",""))-1),".","")))=0,SUBSTITUTE(SUBSTITUTE($G1205,"-"," ",LEN($G1205)-LEN(SUBSTITUTE($G1205,"-",""))),"-"," ",LEN($G1205)-LEN(SUBSTITUTE($G1205,"-",""))-1),SUBSTITUTE(SUBSTITUTE(SUBSTITUTE($G1205,"-"," ",LEN($G1205)-LEN(SUBSTITUTE($G1205,"-",""))),"-"," ",LEN($G1205)-LEN(SUBSTITUTE($G1205,"-",""))-1),"."," ",(LEN(SUBSTITUTE(SUBSTITUTE($G1205,"-"," ",LEN($G1205)-LEN(SUBSTITUTE($G1205,"-",""))),"-"," ",LEN($G1205)-LEN(SUBSTITUTE($G1205,"-",""))-1))-LEN(SUBSTITUTE(SUBSTITUTE(SUBSTITUTE($G1205,"-"," ",LEN($G1205)-LEN(SUBSTITUTE($G1205,"-",""))),"-"," ",LEN($G1205)-LEN(SUBSTITUTE($G1205,"-",""))-1),".",""))))),$G1205)))</f>
        <v/>
      </c>
    </row>
    <row r="1206">
      <c r="A1206" s="58" t="n"/>
      <c r="B1206" s="58">
        <f>IF($H1206="","",LEFT($H1206,FIND(" ",$H1206&amp;" ")-1))</f>
        <v/>
      </c>
      <c r="C1206" s="58">
        <f>IF($H1206="","",IFERROR(MID($H1206&amp;" ",FIND("|",SUBSTITUTE($H1206&amp;" "," ","|",1))+1,FIND("|",SUBSTITUTE($H1206&amp;" "," ","|",2))-FIND("|",SUBSTITUTE($H1206&amp;" "," ","|",1))-1),""))</f>
        <v/>
      </c>
      <c r="D1206" s="58">
        <f>IF($H1206="","",IFERROR(MID($H1206&amp;" ",FIND("|",SUBSTITUTE($H1206&amp;" "," ","|",2))+1,FIND("|",SUBSTITUTE($H1206&amp;" "," ","|",3))-FIND("|",SUBSTITUTE($H1206&amp;" "," ","|",2))-1),""))</f>
        <v/>
      </c>
      <c r="E1206" s="58">
        <f>IF($H1206="","",IFERROR(MID($H1206&amp;" ",FIND("|",SUBSTITUTE($H1206&amp;" "," ","|",3))+1,FIND("|",SUBSTITUTE($H1206&amp;" "," ","|",4))-FIND("|",SUBSTITUTE($H1206&amp;" "," ","|",3))-1),""))</f>
        <v/>
      </c>
      <c r="F1206" s="59">
        <f>IF($H1206="","",IFERROR(VALUE(IFERROR(MID($H1206&amp;" ",FIND("|",SUBSTITUTE($H1206&amp;" "," ","|",4))+1,FIND("|",SUBSTITUTE($H1206&amp;" "," ","|",5))-FIND("|",SUBSTITUTE($H1206&amp;" "," ","|",4))-1),""))/86400+25569+9/24,""))</f>
        <v/>
      </c>
      <c r="G1206" s="58">
        <f>TRIM(SUBSTITUTE(SUBSTITUTE(SUBSTITUTE($A1206,CHAR(9)," ")," "," "),CHAR(13),""))</f>
        <v/>
      </c>
      <c r="H1206" s="58">
        <f>IF($G1206="","",IF(ISNUMBER(FIND(" ",$G1206)),$G1206,IFERROR(IF((LEN(SUBSTITUTE(SUBSTITUTE($G1206,"-"," ",LEN($G1206)-LEN(SUBSTITUTE($G1206,"-",""))),"-"," ",LEN($G1206)-LEN(SUBSTITUTE($G1206,"-",""))-1))-LEN(SUBSTITUTE(SUBSTITUTE(SUBSTITUTE($G1206,"-"," ",LEN($G1206)-LEN(SUBSTITUTE($G1206,"-",""))),"-"," ",LEN($G1206)-LEN(SUBSTITUTE($G1206,"-",""))-1),".","")))=0,SUBSTITUTE(SUBSTITUTE($G1206,"-"," ",LEN($G1206)-LEN(SUBSTITUTE($G1206,"-",""))),"-"," ",LEN($G1206)-LEN(SUBSTITUTE($G1206,"-",""))-1),SUBSTITUTE(SUBSTITUTE(SUBSTITUTE($G1206,"-"," ",LEN($G1206)-LEN(SUBSTITUTE($G1206,"-",""))),"-"," ",LEN($G1206)-LEN(SUBSTITUTE($G1206,"-",""))-1),"."," ",(LEN(SUBSTITUTE(SUBSTITUTE($G1206,"-"," ",LEN($G1206)-LEN(SUBSTITUTE($G1206,"-",""))),"-"," ",LEN($G1206)-LEN(SUBSTITUTE($G1206,"-",""))-1))-LEN(SUBSTITUTE(SUBSTITUTE(SUBSTITUTE($G1206,"-"," ",LEN($G1206)-LEN(SUBSTITUTE($G1206,"-",""))),"-"," ",LEN($G1206)-LEN(SUBSTITUTE($G1206,"-",""))-1),".",""))))),$G1206)))</f>
        <v/>
      </c>
    </row>
    <row r="1207">
      <c r="A1207" s="58" t="n"/>
      <c r="B1207" s="58">
        <f>IF($H1207="","",LEFT($H1207,FIND(" ",$H1207&amp;" ")-1))</f>
        <v/>
      </c>
      <c r="C1207" s="58">
        <f>IF($H1207="","",IFERROR(MID($H1207&amp;" ",FIND("|",SUBSTITUTE($H1207&amp;" "," ","|",1))+1,FIND("|",SUBSTITUTE($H1207&amp;" "," ","|",2))-FIND("|",SUBSTITUTE($H1207&amp;" "," ","|",1))-1),""))</f>
        <v/>
      </c>
      <c r="D1207" s="58">
        <f>IF($H1207="","",IFERROR(MID($H1207&amp;" ",FIND("|",SUBSTITUTE($H1207&amp;" "," ","|",2))+1,FIND("|",SUBSTITUTE($H1207&amp;" "," ","|",3))-FIND("|",SUBSTITUTE($H1207&amp;" "," ","|",2))-1),""))</f>
        <v/>
      </c>
      <c r="E1207" s="58">
        <f>IF($H1207="","",IFERROR(MID($H1207&amp;" ",FIND("|",SUBSTITUTE($H1207&amp;" "," ","|",3))+1,FIND("|",SUBSTITUTE($H1207&amp;" "," ","|",4))-FIND("|",SUBSTITUTE($H1207&amp;" "," ","|",3))-1),""))</f>
        <v/>
      </c>
      <c r="F1207" s="59">
        <f>IF($H1207="","",IFERROR(VALUE(IFERROR(MID($H1207&amp;" ",FIND("|",SUBSTITUTE($H1207&amp;" "," ","|",4))+1,FIND("|",SUBSTITUTE($H1207&amp;" "," ","|",5))-FIND("|",SUBSTITUTE($H1207&amp;" "," ","|",4))-1),""))/86400+25569+9/24,""))</f>
        <v/>
      </c>
      <c r="G1207" s="58">
        <f>TRIM(SUBSTITUTE(SUBSTITUTE(SUBSTITUTE($A1207,CHAR(9)," ")," "," "),CHAR(13),""))</f>
        <v/>
      </c>
      <c r="H1207" s="58">
        <f>IF($G1207="","",IF(ISNUMBER(FIND(" ",$G1207)),$G1207,IFERROR(IF((LEN(SUBSTITUTE(SUBSTITUTE($G1207,"-"," ",LEN($G1207)-LEN(SUBSTITUTE($G1207,"-",""))),"-"," ",LEN($G1207)-LEN(SUBSTITUTE($G1207,"-",""))-1))-LEN(SUBSTITUTE(SUBSTITUTE(SUBSTITUTE($G1207,"-"," ",LEN($G1207)-LEN(SUBSTITUTE($G1207,"-",""))),"-"," ",LEN($G1207)-LEN(SUBSTITUTE($G1207,"-",""))-1),".","")))=0,SUBSTITUTE(SUBSTITUTE($G1207,"-"," ",LEN($G1207)-LEN(SUBSTITUTE($G1207,"-",""))),"-"," ",LEN($G1207)-LEN(SUBSTITUTE($G1207,"-",""))-1),SUBSTITUTE(SUBSTITUTE(SUBSTITUTE($G1207,"-"," ",LEN($G1207)-LEN(SUBSTITUTE($G1207,"-",""))),"-"," ",LEN($G1207)-LEN(SUBSTITUTE($G1207,"-",""))-1),"."," ",(LEN(SUBSTITUTE(SUBSTITUTE($G1207,"-"," ",LEN($G1207)-LEN(SUBSTITUTE($G1207,"-",""))),"-"," ",LEN($G1207)-LEN(SUBSTITUTE($G1207,"-",""))-1))-LEN(SUBSTITUTE(SUBSTITUTE(SUBSTITUTE($G1207,"-"," ",LEN($G1207)-LEN(SUBSTITUTE($G1207,"-",""))),"-"," ",LEN($G1207)-LEN(SUBSTITUTE($G1207,"-",""))-1),".",""))))),$G1207)))</f>
        <v/>
      </c>
    </row>
    <row r="1208">
      <c r="A1208" s="58" t="n"/>
      <c r="B1208" s="58">
        <f>IF($H1208="","",LEFT($H1208,FIND(" ",$H1208&amp;" ")-1))</f>
        <v/>
      </c>
      <c r="C1208" s="58">
        <f>IF($H1208="","",IFERROR(MID($H1208&amp;" ",FIND("|",SUBSTITUTE($H1208&amp;" "," ","|",1))+1,FIND("|",SUBSTITUTE($H1208&amp;" "," ","|",2))-FIND("|",SUBSTITUTE($H1208&amp;" "," ","|",1))-1),""))</f>
        <v/>
      </c>
      <c r="D1208" s="58">
        <f>IF($H1208="","",IFERROR(MID($H1208&amp;" ",FIND("|",SUBSTITUTE($H1208&amp;" "," ","|",2))+1,FIND("|",SUBSTITUTE($H1208&amp;" "," ","|",3))-FIND("|",SUBSTITUTE($H1208&amp;" "," ","|",2))-1),""))</f>
        <v/>
      </c>
      <c r="E1208" s="58">
        <f>IF($H1208="","",IFERROR(MID($H1208&amp;" ",FIND("|",SUBSTITUTE($H1208&amp;" "," ","|",3))+1,FIND("|",SUBSTITUTE($H1208&amp;" "," ","|",4))-FIND("|",SUBSTITUTE($H1208&amp;" "," ","|",3))-1),""))</f>
        <v/>
      </c>
      <c r="F1208" s="59">
        <f>IF($H1208="","",IFERROR(VALUE(IFERROR(MID($H1208&amp;" ",FIND("|",SUBSTITUTE($H1208&amp;" "," ","|",4))+1,FIND("|",SUBSTITUTE($H1208&amp;" "," ","|",5))-FIND("|",SUBSTITUTE($H1208&amp;" "," ","|",4))-1),""))/86400+25569+9/24,""))</f>
        <v/>
      </c>
      <c r="G1208" s="58">
        <f>TRIM(SUBSTITUTE(SUBSTITUTE(SUBSTITUTE($A1208,CHAR(9)," ")," "," "),CHAR(13),""))</f>
        <v/>
      </c>
      <c r="H1208" s="58">
        <f>IF($G1208="","",IF(ISNUMBER(FIND(" ",$G1208)),$G1208,IFERROR(IF((LEN(SUBSTITUTE(SUBSTITUTE($G1208,"-"," ",LEN($G1208)-LEN(SUBSTITUTE($G1208,"-",""))),"-"," ",LEN($G1208)-LEN(SUBSTITUTE($G1208,"-",""))-1))-LEN(SUBSTITUTE(SUBSTITUTE(SUBSTITUTE($G1208,"-"," ",LEN($G1208)-LEN(SUBSTITUTE($G1208,"-",""))),"-"," ",LEN($G1208)-LEN(SUBSTITUTE($G1208,"-",""))-1),".","")))=0,SUBSTITUTE(SUBSTITUTE($G1208,"-"," ",LEN($G1208)-LEN(SUBSTITUTE($G1208,"-",""))),"-"," ",LEN($G1208)-LEN(SUBSTITUTE($G1208,"-",""))-1),SUBSTITUTE(SUBSTITUTE(SUBSTITUTE($G1208,"-"," ",LEN($G1208)-LEN(SUBSTITUTE($G1208,"-",""))),"-"," ",LEN($G1208)-LEN(SUBSTITUTE($G1208,"-",""))-1),"."," ",(LEN(SUBSTITUTE(SUBSTITUTE($G1208,"-"," ",LEN($G1208)-LEN(SUBSTITUTE($G1208,"-",""))),"-"," ",LEN($G1208)-LEN(SUBSTITUTE($G1208,"-",""))-1))-LEN(SUBSTITUTE(SUBSTITUTE(SUBSTITUTE($G1208,"-"," ",LEN($G1208)-LEN(SUBSTITUTE($G1208,"-",""))),"-"," ",LEN($G1208)-LEN(SUBSTITUTE($G1208,"-",""))-1),".",""))))),$G1208)))</f>
        <v/>
      </c>
    </row>
    <row r="1209">
      <c r="A1209" s="58" t="n"/>
      <c r="B1209" s="58">
        <f>IF($H1209="","",LEFT($H1209,FIND(" ",$H1209&amp;" ")-1))</f>
        <v/>
      </c>
      <c r="C1209" s="58">
        <f>IF($H1209="","",IFERROR(MID($H1209&amp;" ",FIND("|",SUBSTITUTE($H1209&amp;" "," ","|",1))+1,FIND("|",SUBSTITUTE($H1209&amp;" "," ","|",2))-FIND("|",SUBSTITUTE($H1209&amp;" "," ","|",1))-1),""))</f>
        <v/>
      </c>
      <c r="D1209" s="58">
        <f>IF($H1209="","",IFERROR(MID($H1209&amp;" ",FIND("|",SUBSTITUTE($H1209&amp;" "," ","|",2))+1,FIND("|",SUBSTITUTE($H1209&amp;" "," ","|",3))-FIND("|",SUBSTITUTE($H1209&amp;" "," ","|",2))-1),""))</f>
        <v/>
      </c>
      <c r="E1209" s="58">
        <f>IF($H1209="","",IFERROR(MID($H1209&amp;" ",FIND("|",SUBSTITUTE($H1209&amp;" "," ","|",3))+1,FIND("|",SUBSTITUTE($H1209&amp;" "," ","|",4))-FIND("|",SUBSTITUTE($H1209&amp;" "," ","|",3))-1),""))</f>
        <v/>
      </c>
      <c r="F1209" s="59">
        <f>IF($H1209="","",IFERROR(VALUE(IFERROR(MID($H1209&amp;" ",FIND("|",SUBSTITUTE($H1209&amp;" "," ","|",4))+1,FIND("|",SUBSTITUTE($H1209&amp;" "," ","|",5))-FIND("|",SUBSTITUTE($H1209&amp;" "," ","|",4))-1),""))/86400+25569+9/24,""))</f>
        <v/>
      </c>
      <c r="G1209" s="58">
        <f>TRIM(SUBSTITUTE(SUBSTITUTE(SUBSTITUTE($A1209,CHAR(9)," ")," "," "),CHAR(13),""))</f>
        <v/>
      </c>
      <c r="H1209" s="58">
        <f>IF($G1209="","",IF(ISNUMBER(FIND(" ",$G1209)),$G1209,IFERROR(IF((LEN(SUBSTITUTE(SUBSTITUTE($G1209,"-"," ",LEN($G1209)-LEN(SUBSTITUTE($G1209,"-",""))),"-"," ",LEN($G1209)-LEN(SUBSTITUTE($G1209,"-",""))-1))-LEN(SUBSTITUTE(SUBSTITUTE(SUBSTITUTE($G1209,"-"," ",LEN($G1209)-LEN(SUBSTITUTE($G1209,"-",""))),"-"," ",LEN($G1209)-LEN(SUBSTITUTE($G1209,"-",""))-1),".","")))=0,SUBSTITUTE(SUBSTITUTE($G1209,"-"," ",LEN($G1209)-LEN(SUBSTITUTE($G1209,"-",""))),"-"," ",LEN($G1209)-LEN(SUBSTITUTE($G1209,"-",""))-1),SUBSTITUTE(SUBSTITUTE(SUBSTITUTE($G1209,"-"," ",LEN($G1209)-LEN(SUBSTITUTE($G1209,"-",""))),"-"," ",LEN($G1209)-LEN(SUBSTITUTE($G1209,"-",""))-1),"."," ",(LEN(SUBSTITUTE(SUBSTITUTE($G1209,"-"," ",LEN($G1209)-LEN(SUBSTITUTE($G1209,"-",""))),"-"," ",LEN($G1209)-LEN(SUBSTITUTE($G1209,"-",""))-1))-LEN(SUBSTITUTE(SUBSTITUTE(SUBSTITUTE($G1209,"-"," ",LEN($G1209)-LEN(SUBSTITUTE($G1209,"-",""))),"-"," ",LEN($G1209)-LEN(SUBSTITUTE($G1209,"-",""))-1),".",""))))),$G1209)))</f>
        <v/>
      </c>
    </row>
    <row r="1210">
      <c r="A1210" s="58" t="n"/>
      <c r="B1210" s="58">
        <f>IF($H1210="","",LEFT($H1210,FIND(" ",$H1210&amp;" ")-1))</f>
        <v/>
      </c>
      <c r="C1210" s="58">
        <f>IF($H1210="","",IFERROR(MID($H1210&amp;" ",FIND("|",SUBSTITUTE($H1210&amp;" "," ","|",1))+1,FIND("|",SUBSTITUTE($H1210&amp;" "," ","|",2))-FIND("|",SUBSTITUTE($H1210&amp;" "," ","|",1))-1),""))</f>
        <v/>
      </c>
      <c r="D1210" s="58">
        <f>IF($H1210="","",IFERROR(MID($H1210&amp;" ",FIND("|",SUBSTITUTE($H1210&amp;" "," ","|",2))+1,FIND("|",SUBSTITUTE($H1210&amp;" "," ","|",3))-FIND("|",SUBSTITUTE($H1210&amp;" "," ","|",2))-1),""))</f>
        <v/>
      </c>
      <c r="E1210" s="58">
        <f>IF($H1210="","",IFERROR(MID($H1210&amp;" ",FIND("|",SUBSTITUTE($H1210&amp;" "," ","|",3))+1,FIND("|",SUBSTITUTE($H1210&amp;" "," ","|",4))-FIND("|",SUBSTITUTE($H1210&amp;" "," ","|",3))-1),""))</f>
        <v/>
      </c>
      <c r="F1210" s="59">
        <f>IF($H1210="","",IFERROR(VALUE(IFERROR(MID($H1210&amp;" ",FIND("|",SUBSTITUTE($H1210&amp;" "," ","|",4))+1,FIND("|",SUBSTITUTE($H1210&amp;" "," ","|",5))-FIND("|",SUBSTITUTE($H1210&amp;" "," ","|",4))-1),""))/86400+25569+9/24,""))</f>
        <v/>
      </c>
      <c r="G1210" s="58">
        <f>TRIM(SUBSTITUTE(SUBSTITUTE(SUBSTITUTE($A1210,CHAR(9)," ")," "," "),CHAR(13),""))</f>
        <v/>
      </c>
      <c r="H1210" s="58">
        <f>IF($G1210="","",IF(ISNUMBER(FIND(" ",$G1210)),$G1210,IFERROR(IF((LEN(SUBSTITUTE(SUBSTITUTE($G1210,"-"," ",LEN($G1210)-LEN(SUBSTITUTE($G1210,"-",""))),"-"," ",LEN($G1210)-LEN(SUBSTITUTE($G1210,"-",""))-1))-LEN(SUBSTITUTE(SUBSTITUTE(SUBSTITUTE($G1210,"-"," ",LEN($G1210)-LEN(SUBSTITUTE($G1210,"-",""))),"-"," ",LEN($G1210)-LEN(SUBSTITUTE($G1210,"-",""))-1),".","")))=0,SUBSTITUTE(SUBSTITUTE($G1210,"-"," ",LEN($G1210)-LEN(SUBSTITUTE($G1210,"-",""))),"-"," ",LEN($G1210)-LEN(SUBSTITUTE($G1210,"-",""))-1),SUBSTITUTE(SUBSTITUTE(SUBSTITUTE($G1210,"-"," ",LEN($G1210)-LEN(SUBSTITUTE($G1210,"-",""))),"-"," ",LEN($G1210)-LEN(SUBSTITUTE($G1210,"-",""))-1),"."," ",(LEN(SUBSTITUTE(SUBSTITUTE($G1210,"-"," ",LEN($G1210)-LEN(SUBSTITUTE($G1210,"-",""))),"-"," ",LEN($G1210)-LEN(SUBSTITUTE($G1210,"-",""))-1))-LEN(SUBSTITUTE(SUBSTITUTE(SUBSTITUTE($G1210,"-"," ",LEN($G1210)-LEN(SUBSTITUTE($G1210,"-",""))),"-"," ",LEN($G1210)-LEN(SUBSTITUTE($G1210,"-",""))-1),".",""))))),$G1210)))</f>
        <v/>
      </c>
    </row>
    <row r="1211">
      <c r="A1211" s="58" t="n"/>
      <c r="B1211" s="58">
        <f>IF($H1211="","",LEFT($H1211,FIND(" ",$H1211&amp;" ")-1))</f>
        <v/>
      </c>
      <c r="C1211" s="58">
        <f>IF($H1211="","",IFERROR(MID($H1211&amp;" ",FIND("|",SUBSTITUTE($H1211&amp;" "," ","|",1))+1,FIND("|",SUBSTITUTE($H1211&amp;" "," ","|",2))-FIND("|",SUBSTITUTE($H1211&amp;" "," ","|",1))-1),""))</f>
        <v/>
      </c>
      <c r="D1211" s="58">
        <f>IF($H1211="","",IFERROR(MID($H1211&amp;" ",FIND("|",SUBSTITUTE($H1211&amp;" "," ","|",2))+1,FIND("|",SUBSTITUTE($H1211&amp;" "," ","|",3))-FIND("|",SUBSTITUTE($H1211&amp;" "," ","|",2))-1),""))</f>
        <v/>
      </c>
      <c r="E1211" s="58">
        <f>IF($H1211="","",IFERROR(MID($H1211&amp;" ",FIND("|",SUBSTITUTE($H1211&amp;" "," ","|",3))+1,FIND("|",SUBSTITUTE($H1211&amp;" "," ","|",4))-FIND("|",SUBSTITUTE($H1211&amp;" "," ","|",3))-1),""))</f>
        <v/>
      </c>
      <c r="F1211" s="59">
        <f>IF($H1211="","",IFERROR(VALUE(IFERROR(MID($H1211&amp;" ",FIND("|",SUBSTITUTE($H1211&amp;" "," ","|",4))+1,FIND("|",SUBSTITUTE($H1211&amp;" "," ","|",5))-FIND("|",SUBSTITUTE($H1211&amp;" "," ","|",4))-1),""))/86400+25569+9/24,""))</f>
        <v/>
      </c>
      <c r="G1211" s="58">
        <f>TRIM(SUBSTITUTE(SUBSTITUTE(SUBSTITUTE($A1211,CHAR(9)," ")," "," "),CHAR(13),""))</f>
        <v/>
      </c>
      <c r="H1211" s="58">
        <f>IF($G1211="","",IF(ISNUMBER(FIND(" ",$G1211)),$G1211,IFERROR(IF((LEN(SUBSTITUTE(SUBSTITUTE($G1211,"-"," ",LEN($G1211)-LEN(SUBSTITUTE($G1211,"-",""))),"-"," ",LEN($G1211)-LEN(SUBSTITUTE($G1211,"-",""))-1))-LEN(SUBSTITUTE(SUBSTITUTE(SUBSTITUTE($G1211,"-"," ",LEN($G1211)-LEN(SUBSTITUTE($G1211,"-",""))),"-"," ",LEN($G1211)-LEN(SUBSTITUTE($G1211,"-",""))-1),".","")))=0,SUBSTITUTE(SUBSTITUTE($G1211,"-"," ",LEN($G1211)-LEN(SUBSTITUTE($G1211,"-",""))),"-"," ",LEN($G1211)-LEN(SUBSTITUTE($G1211,"-",""))-1),SUBSTITUTE(SUBSTITUTE(SUBSTITUTE($G1211,"-"," ",LEN($G1211)-LEN(SUBSTITUTE($G1211,"-",""))),"-"," ",LEN($G1211)-LEN(SUBSTITUTE($G1211,"-",""))-1),"."," ",(LEN(SUBSTITUTE(SUBSTITUTE($G1211,"-"," ",LEN($G1211)-LEN(SUBSTITUTE($G1211,"-",""))),"-"," ",LEN($G1211)-LEN(SUBSTITUTE($G1211,"-",""))-1))-LEN(SUBSTITUTE(SUBSTITUTE(SUBSTITUTE($G1211,"-"," ",LEN($G1211)-LEN(SUBSTITUTE($G1211,"-",""))),"-"," ",LEN($G1211)-LEN(SUBSTITUTE($G1211,"-",""))-1),".",""))))),$G1211)))</f>
        <v/>
      </c>
    </row>
    <row r="1212">
      <c r="A1212" s="58" t="n"/>
      <c r="B1212" s="58">
        <f>IF($H1212="","",LEFT($H1212,FIND(" ",$H1212&amp;" ")-1))</f>
        <v/>
      </c>
      <c r="C1212" s="58">
        <f>IF($H1212="","",IFERROR(MID($H1212&amp;" ",FIND("|",SUBSTITUTE($H1212&amp;" "," ","|",1))+1,FIND("|",SUBSTITUTE($H1212&amp;" "," ","|",2))-FIND("|",SUBSTITUTE($H1212&amp;" "," ","|",1))-1),""))</f>
        <v/>
      </c>
      <c r="D1212" s="58">
        <f>IF($H1212="","",IFERROR(MID($H1212&amp;" ",FIND("|",SUBSTITUTE($H1212&amp;" "," ","|",2))+1,FIND("|",SUBSTITUTE($H1212&amp;" "," ","|",3))-FIND("|",SUBSTITUTE($H1212&amp;" "," ","|",2))-1),""))</f>
        <v/>
      </c>
      <c r="E1212" s="58">
        <f>IF($H1212="","",IFERROR(MID($H1212&amp;" ",FIND("|",SUBSTITUTE($H1212&amp;" "," ","|",3))+1,FIND("|",SUBSTITUTE($H1212&amp;" "," ","|",4))-FIND("|",SUBSTITUTE($H1212&amp;" "," ","|",3))-1),""))</f>
        <v/>
      </c>
      <c r="F1212" s="59">
        <f>IF($H1212="","",IFERROR(VALUE(IFERROR(MID($H1212&amp;" ",FIND("|",SUBSTITUTE($H1212&amp;" "," ","|",4))+1,FIND("|",SUBSTITUTE($H1212&amp;" "," ","|",5))-FIND("|",SUBSTITUTE($H1212&amp;" "," ","|",4))-1),""))/86400+25569+9/24,""))</f>
        <v/>
      </c>
      <c r="G1212" s="58">
        <f>TRIM(SUBSTITUTE(SUBSTITUTE(SUBSTITUTE($A1212,CHAR(9)," ")," "," "),CHAR(13),""))</f>
        <v/>
      </c>
      <c r="H1212" s="58">
        <f>IF($G1212="","",IF(ISNUMBER(FIND(" ",$G1212)),$G1212,IFERROR(IF((LEN(SUBSTITUTE(SUBSTITUTE($G1212,"-"," ",LEN($G1212)-LEN(SUBSTITUTE($G1212,"-",""))),"-"," ",LEN($G1212)-LEN(SUBSTITUTE($G1212,"-",""))-1))-LEN(SUBSTITUTE(SUBSTITUTE(SUBSTITUTE($G1212,"-"," ",LEN($G1212)-LEN(SUBSTITUTE($G1212,"-",""))),"-"," ",LEN($G1212)-LEN(SUBSTITUTE($G1212,"-",""))-1),".","")))=0,SUBSTITUTE(SUBSTITUTE($G1212,"-"," ",LEN($G1212)-LEN(SUBSTITUTE($G1212,"-",""))),"-"," ",LEN($G1212)-LEN(SUBSTITUTE($G1212,"-",""))-1),SUBSTITUTE(SUBSTITUTE(SUBSTITUTE($G1212,"-"," ",LEN($G1212)-LEN(SUBSTITUTE($G1212,"-",""))),"-"," ",LEN($G1212)-LEN(SUBSTITUTE($G1212,"-",""))-1),"."," ",(LEN(SUBSTITUTE(SUBSTITUTE($G1212,"-"," ",LEN($G1212)-LEN(SUBSTITUTE($G1212,"-",""))),"-"," ",LEN($G1212)-LEN(SUBSTITUTE($G1212,"-",""))-1))-LEN(SUBSTITUTE(SUBSTITUTE(SUBSTITUTE($G1212,"-"," ",LEN($G1212)-LEN(SUBSTITUTE($G1212,"-",""))),"-"," ",LEN($G1212)-LEN(SUBSTITUTE($G1212,"-",""))-1),".",""))))),$G1212)))</f>
        <v/>
      </c>
    </row>
    <row r="1213">
      <c r="A1213" s="58" t="n"/>
      <c r="B1213" s="58">
        <f>IF($H1213="","",LEFT($H1213,FIND(" ",$H1213&amp;" ")-1))</f>
        <v/>
      </c>
      <c r="C1213" s="58">
        <f>IF($H1213="","",IFERROR(MID($H1213&amp;" ",FIND("|",SUBSTITUTE($H1213&amp;" "," ","|",1))+1,FIND("|",SUBSTITUTE($H1213&amp;" "," ","|",2))-FIND("|",SUBSTITUTE($H1213&amp;" "," ","|",1))-1),""))</f>
        <v/>
      </c>
      <c r="D1213" s="58">
        <f>IF($H1213="","",IFERROR(MID($H1213&amp;" ",FIND("|",SUBSTITUTE($H1213&amp;" "," ","|",2))+1,FIND("|",SUBSTITUTE($H1213&amp;" "," ","|",3))-FIND("|",SUBSTITUTE($H1213&amp;" "," ","|",2))-1),""))</f>
        <v/>
      </c>
      <c r="E1213" s="58">
        <f>IF($H1213="","",IFERROR(MID($H1213&amp;" ",FIND("|",SUBSTITUTE($H1213&amp;" "," ","|",3))+1,FIND("|",SUBSTITUTE($H1213&amp;" "," ","|",4))-FIND("|",SUBSTITUTE($H1213&amp;" "," ","|",3))-1),""))</f>
        <v/>
      </c>
      <c r="F1213" s="59">
        <f>IF($H1213="","",IFERROR(VALUE(IFERROR(MID($H1213&amp;" ",FIND("|",SUBSTITUTE($H1213&amp;" "," ","|",4))+1,FIND("|",SUBSTITUTE($H1213&amp;" "," ","|",5))-FIND("|",SUBSTITUTE($H1213&amp;" "," ","|",4))-1),""))/86400+25569+9/24,""))</f>
        <v/>
      </c>
      <c r="G1213" s="58">
        <f>TRIM(SUBSTITUTE(SUBSTITUTE(SUBSTITUTE($A1213,CHAR(9)," ")," "," "),CHAR(13),""))</f>
        <v/>
      </c>
      <c r="H1213" s="58">
        <f>IF($G1213="","",IF(ISNUMBER(FIND(" ",$G1213)),$G1213,IFERROR(IF((LEN(SUBSTITUTE(SUBSTITUTE($G1213,"-"," ",LEN($G1213)-LEN(SUBSTITUTE($G1213,"-",""))),"-"," ",LEN($G1213)-LEN(SUBSTITUTE($G1213,"-",""))-1))-LEN(SUBSTITUTE(SUBSTITUTE(SUBSTITUTE($G1213,"-"," ",LEN($G1213)-LEN(SUBSTITUTE($G1213,"-",""))),"-"," ",LEN($G1213)-LEN(SUBSTITUTE($G1213,"-",""))-1),".","")))=0,SUBSTITUTE(SUBSTITUTE($G1213,"-"," ",LEN($G1213)-LEN(SUBSTITUTE($G1213,"-",""))),"-"," ",LEN($G1213)-LEN(SUBSTITUTE($G1213,"-",""))-1),SUBSTITUTE(SUBSTITUTE(SUBSTITUTE($G1213,"-"," ",LEN($G1213)-LEN(SUBSTITUTE($G1213,"-",""))),"-"," ",LEN($G1213)-LEN(SUBSTITUTE($G1213,"-",""))-1),"."," ",(LEN(SUBSTITUTE(SUBSTITUTE($G1213,"-"," ",LEN($G1213)-LEN(SUBSTITUTE($G1213,"-",""))),"-"," ",LEN($G1213)-LEN(SUBSTITUTE($G1213,"-",""))-1))-LEN(SUBSTITUTE(SUBSTITUTE(SUBSTITUTE($G1213,"-"," ",LEN($G1213)-LEN(SUBSTITUTE($G1213,"-",""))),"-"," ",LEN($G1213)-LEN(SUBSTITUTE($G1213,"-",""))-1),".",""))))),$G1213)))</f>
        <v/>
      </c>
    </row>
    <row r="1214">
      <c r="A1214" s="58" t="n"/>
      <c r="B1214" s="58">
        <f>IF($H1214="","",LEFT($H1214,FIND(" ",$H1214&amp;" ")-1))</f>
        <v/>
      </c>
      <c r="C1214" s="58">
        <f>IF($H1214="","",IFERROR(MID($H1214&amp;" ",FIND("|",SUBSTITUTE($H1214&amp;" "," ","|",1))+1,FIND("|",SUBSTITUTE($H1214&amp;" "," ","|",2))-FIND("|",SUBSTITUTE($H1214&amp;" "," ","|",1))-1),""))</f>
        <v/>
      </c>
      <c r="D1214" s="58">
        <f>IF($H1214="","",IFERROR(MID($H1214&amp;" ",FIND("|",SUBSTITUTE($H1214&amp;" "," ","|",2))+1,FIND("|",SUBSTITUTE($H1214&amp;" "," ","|",3))-FIND("|",SUBSTITUTE($H1214&amp;" "," ","|",2))-1),""))</f>
        <v/>
      </c>
      <c r="E1214" s="58">
        <f>IF($H1214="","",IFERROR(MID($H1214&amp;" ",FIND("|",SUBSTITUTE($H1214&amp;" "," ","|",3))+1,FIND("|",SUBSTITUTE($H1214&amp;" "," ","|",4))-FIND("|",SUBSTITUTE($H1214&amp;" "," ","|",3))-1),""))</f>
        <v/>
      </c>
      <c r="F1214" s="59">
        <f>IF($H1214="","",IFERROR(VALUE(IFERROR(MID($H1214&amp;" ",FIND("|",SUBSTITUTE($H1214&amp;" "," ","|",4))+1,FIND("|",SUBSTITUTE($H1214&amp;" "," ","|",5))-FIND("|",SUBSTITUTE($H1214&amp;" "," ","|",4))-1),""))/86400+25569+9/24,""))</f>
        <v/>
      </c>
      <c r="G1214" s="58">
        <f>TRIM(SUBSTITUTE(SUBSTITUTE(SUBSTITUTE($A1214,CHAR(9)," ")," "," "),CHAR(13),""))</f>
        <v/>
      </c>
      <c r="H1214" s="58">
        <f>IF($G1214="","",IF(ISNUMBER(FIND(" ",$G1214)),$G1214,IFERROR(IF((LEN(SUBSTITUTE(SUBSTITUTE($G1214,"-"," ",LEN($G1214)-LEN(SUBSTITUTE($G1214,"-",""))),"-"," ",LEN($G1214)-LEN(SUBSTITUTE($G1214,"-",""))-1))-LEN(SUBSTITUTE(SUBSTITUTE(SUBSTITUTE($G1214,"-"," ",LEN($G1214)-LEN(SUBSTITUTE($G1214,"-",""))),"-"," ",LEN($G1214)-LEN(SUBSTITUTE($G1214,"-",""))-1),".","")))=0,SUBSTITUTE(SUBSTITUTE($G1214,"-"," ",LEN($G1214)-LEN(SUBSTITUTE($G1214,"-",""))),"-"," ",LEN($G1214)-LEN(SUBSTITUTE($G1214,"-",""))-1),SUBSTITUTE(SUBSTITUTE(SUBSTITUTE($G1214,"-"," ",LEN($G1214)-LEN(SUBSTITUTE($G1214,"-",""))),"-"," ",LEN($G1214)-LEN(SUBSTITUTE($G1214,"-",""))-1),"."," ",(LEN(SUBSTITUTE(SUBSTITUTE($G1214,"-"," ",LEN($G1214)-LEN(SUBSTITUTE($G1214,"-",""))),"-"," ",LEN($G1214)-LEN(SUBSTITUTE($G1214,"-",""))-1))-LEN(SUBSTITUTE(SUBSTITUTE(SUBSTITUTE($G1214,"-"," ",LEN($G1214)-LEN(SUBSTITUTE($G1214,"-",""))),"-"," ",LEN($G1214)-LEN(SUBSTITUTE($G1214,"-",""))-1),".",""))))),$G1214)))</f>
        <v/>
      </c>
    </row>
    <row r="1215">
      <c r="A1215" s="58" t="n"/>
      <c r="B1215" s="58">
        <f>IF($H1215="","",LEFT($H1215,FIND(" ",$H1215&amp;" ")-1))</f>
        <v/>
      </c>
      <c r="C1215" s="58">
        <f>IF($H1215="","",IFERROR(MID($H1215&amp;" ",FIND("|",SUBSTITUTE($H1215&amp;" "," ","|",1))+1,FIND("|",SUBSTITUTE($H1215&amp;" "," ","|",2))-FIND("|",SUBSTITUTE($H1215&amp;" "," ","|",1))-1),""))</f>
        <v/>
      </c>
      <c r="D1215" s="58">
        <f>IF($H1215="","",IFERROR(MID($H1215&amp;" ",FIND("|",SUBSTITUTE($H1215&amp;" "," ","|",2))+1,FIND("|",SUBSTITUTE($H1215&amp;" "," ","|",3))-FIND("|",SUBSTITUTE($H1215&amp;" "," ","|",2))-1),""))</f>
        <v/>
      </c>
      <c r="E1215" s="58">
        <f>IF($H1215="","",IFERROR(MID($H1215&amp;" ",FIND("|",SUBSTITUTE($H1215&amp;" "," ","|",3))+1,FIND("|",SUBSTITUTE($H1215&amp;" "," ","|",4))-FIND("|",SUBSTITUTE($H1215&amp;" "," ","|",3))-1),""))</f>
        <v/>
      </c>
      <c r="F1215" s="59">
        <f>IF($H1215="","",IFERROR(VALUE(IFERROR(MID($H1215&amp;" ",FIND("|",SUBSTITUTE($H1215&amp;" "," ","|",4))+1,FIND("|",SUBSTITUTE($H1215&amp;" "," ","|",5))-FIND("|",SUBSTITUTE($H1215&amp;" "," ","|",4))-1),""))/86400+25569+9/24,""))</f>
        <v/>
      </c>
      <c r="G1215" s="58">
        <f>TRIM(SUBSTITUTE(SUBSTITUTE(SUBSTITUTE($A1215,CHAR(9)," ")," "," "),CHAR(13),""))</f>
        <v/>
      </c>
      <c r="H1215" s="58">
        <f>IF($G1215="","",IF(ISNUMBER(FIND(" ",$G1215)),$G1215,IFERROR(IF((LEN(SUBSTITUTE(SUBSTITUTE($G1215,"-"," ",LEN($G1215)-LEN(SUBSTITUTE($G1215,"-",""))),"-"," ",LEN($G1215)-LEN(SUBSTITUTE($G1215,"-",""))-1))-LEN(SUBSTITUTE(SUBSTITUTE(SUBSTITUTE($G1215,"-"," ",LEN($G1215)-LEN(SUBSTITUTE($G1215,"-",""))),"-"," ",LEN($G1215)-LEN(SUBSTITUTE($G1215,"-",""))-1),".","")))=0,SUBSTITUTE(SUBSTITUTE($G1215,"-"," ",LEN($G1215)-LEN(SUBSTITUTE($G1215,"-",""))),"-"," ",LEN($G1215)-LEN(SUBSTITUTE($G1215,"-",""))-1),SUBSTITUTE(SUBSTITUTE(SUBSTITUTE($G1215,"-"," ",LEN($G1215)-LEN(SUBSTITUTE($G1215,"-",""))),"-"," ",LEN($G1215)-LEN(SUBSTITUTE($G1215,"-",""))-1),"."," ",(LEN(SUBSTITUTE(SUBSTITUTE($G1215,"-"," ",LEN($G1215)-LEN(SUBSTITUTE($G1215,"-",""))),"-"," ",LEN($G1215)-LEN(SUBSTITUTE($G1215,"-",""))-1))-LEN(SUBSTITUTE(SUBSTITUTE(SUBSTITUTE($G1215,"-"," ",LEN($G1215)-LEN(SUBSTITUTE($G1215,"-",""))),"-"," ",LEN($G1215)-LEN(SUBSTITUTE($G1215,"-",""))-1),".",""))))),$G1215)))</f>
        <v/>
      </c>
    </row>
    <row r="1216">
      <c r="A1216" s="58" t="n"/>
      <c r="B1216" s="58">
        <f>IF($H1216="","",LEFT($H1216,FIND(" ",$H1216&amp;" ")-1))</f>
        <v/>
      </c>
      <c r="C1216" s="58">
        <f>IF($H1216="","",IFERROR(MID($H1216&amp;" ",FIND("|",SUBSTITUTE($H1216&amp;" "," ","|",1))+1,FIND("|",SUBSTITUTE($H1216&amp;" "," ","|",2))-FIND("|",SUBSTITUTE($H1216&amp;" "," ","|",1))-1),""))</f>
        <v/>
      </c>
      <c r="D1216" s="58">
        <f>IF($H1216="","",IFERROR(MID($H1216&amp;" ",FIND("|",SUBSTITUTE($H1216&amp;" "," ","|",2))+1,FIND("|",SUBSTITUTE($H1216&amp;" "," ","|",3))-FIND("|",SUBSTITUTE($H1216&amp;" "," ","|",2))-1),""))</f>
        <v/>
      </c>
      <c r="E1216" s="58">
        <f>IF($H1216="","",IFERROR(MID($H1216&amp;" ",FIND("|",SUBSTITUTE($H1216&amp;" "," ","|",3))+1,FIND("|",SUBSTITUTE($H1216&amp;" "," ","|",4))-FIND("|",SUBSTITUTE($H1216&amp;" "," ","|",3))-1),""))</f>
        <v/>
      </c>
      <c r="F1216" s="59">
        <f>IF($H1216="","",IFERROR(VALUE(IFERROR(MID($H1216&amp;" ",FIND("|",SUBSTITUTE($H1216&amp;" "," ","|",4))+1,FIND("|",SUBSTITUTE($H1216&amp;" "," ","|",5))-FIND("|",SUBSTITUTE($H1216&amp;" "," ","|",4))-1),""))/86400+25569+9/24,""))</f>
        <v/>
      </c>
      <c r="G1216" s="58">
        <f>TRIM(SUBSTITUTE(SUBSTITUTE(SUBSTITUTE($A1216,CHAR(9)," ")," "," "),CHAR(13),""))</f>
        <v/>
      </c>
      <c r="H1216" s="58">
        <f>IF($G1216="","",IF(ISNUMBER(FIND(" ",$G1216)),$G1216,IFERROR(IF((LEN(SUBSTITUTE(SUBSTITUTE($G1216,"-"," ",LEN($G1216)-LEN(SUBSTITUTE($G1216,"-",""))),"-"," ",LEN($G1216)-LEN(SUBSTITUTE($G1216,"-",""))-1))-LEN(SUBSTITUTE(SUBSTITUTE(SUBSTITUTE($G1216,"-"," ",LEN($G1216)-LEN(SUBSTITUTE($G1216,"-",""))),"-"," ",LEN($G1216)-LEN(SUBSTITUTE($G1216,"-",""))-1),".","")))=0,SUBSTITUTE(SUBSTITUTE($G1216,"-"," ",LEN($G1216)-LEN(SUBSTITUTE($G1216,"-",""))),"-"," ",LEN($G1216)-LEN(SUBSTITUTE($G1216,"-",""))-1),SUBSTITUTE(SUBSTITUTE(SUBSTITUTE($G1216,"-"," ",LEN($G1216)-LEN(SUBSTITUTE($G1216,"-",""))),"-"," ",LEN($G1216)-LEN(SUBSTITUTE($G1216,"-",""))-1),"."," ",(LEN(SUBSTITUTE(SUBSTITUTE($G1216,"-"," ",LEN($G1216)-LEN(SUBSTITUTE($G1216,"-",""))),"-"," ",LEN($G1216)-LEN(SUBSTITUTE($G1216,"-",""))-1))-LEN(SUBSTITUTE(SUBSTITUTE(SUBSTITUTE($G1216,"-"," ",LEN($G1216)-LEN(SUBSTITUTE($G1216,"-",""))),"-"," ",LEN($G1216)-LEN(SUBSTITUTE($G1216,"-",""))-1),".",""))))),$G1216)))</f>
        <v/>
      </c>
    </row>
    <row r="1217">
      <c r="A1217" s="58" t="n"/>
      <c r="B1217" s="58">
        <f>IF($H1217="","",LEFT($H1217,FIND(" ",$H1217&amp;" ")-1))</f>
        <v/>
      </c>
      <c r="C1217" s="58">
        <f>IF($H1217="","",IFERROR(MID($H1217&amp;" ",FIND("|",SUBSTITUTE($H1217&amp;" "," ","|",1))+1,FIND("|",SUBSTITUTE($H1217&amp;" "," ","|",2))-FIND("|",SUBSTITUTE($H1217&amp;" "," ","|",1))-1),""))</f>
        <v/>
      </c>
      <c r="D1217" s="58">
        <f>IF($H1217="","",IFERROR(MID($H1217&amp;" ",FIND("|",SUBSTITUTE($H1217&amp;" "," ","|",2))+1,FIND("|",SUBSTITUTE($H1217&amp;" "," ","|",3))-FIND("|",SUBSTITUTE($H1217&amp;" "," ","|",2))-1),""))</f>
        <v/>
      </c>
      <c r="E1217" s="58">
        <f>IF($H1217="","",IFERROR(MID($H1217&amp;" ",FIND("|",SUBSTITUTE($H1217&amp;" "," ","|",3))+1,FIND("|",SUBSTITUTE($H1217&amp;" "," ","|",4))-FIND("|",SUBSTITUTE($H1217&amp;" "," ","|",3))-1),""))</f>
        <v/>
      </c>
      <c r="F1217" s="59">
        <f>IF($H1217="","",IFERROR(VALUE(IFERROR(MID($H1217&amp;" ",FIND("|",SUBSTITUTE($H1217&amp;" "," ","|",4))+1,FIND("|",SUBSTITUTE($H1217&amp;" "," ","|",5))-FIND("|",SUBSTITUTE($H1217&amp;" "," ","|",4))-1),""))/86400+25569+9/24,""))</f>
        <v/>
      </c>
      <c r="G1217" s="58">
        <f>TRIM(SUBSTITUTE(SUBSTITUTE(SUBSTITUTE($A1217,CHAR(9)," ")," "," "),CHAR(13),""))</f>
        <v/>
      </c>
      <c r="H1217" s="58">
        <f>IF($G1217="","",IF(ISNUMBER(FIND(" ",$G1217)),$G1217,IFERROR(IF((LEN(SUBSTITUTE(SUBSTITUTE($G1217,"-"," ",LEN($G1217)-LEN(SUBSTITUTE($G1217,"-",""))),"-"," ",LEN($G1217)-LEN(SUBSTITUTE($G1217,"-",""))-1))-LEN(SUBSTITUTE(SUBSTITUTE(SUBSTITUTE($G1217,"-"," ",LEN($G1217)-LEN(SUBSTITUTE($G1217,"-",""))),"-"," ",LEN($G1217)-LEN(SUBSTITUTE($G1217,"-",""))-1),".","")))=0,SUBSTITUTE(SUBSTITUTE($G1217,"-"," ",LEN($G1217)-LEN(SUBSTITUTE($G1217,"-",""))),"-"," ",LEN($G1217)-LEN(SUBSTITUTE($G1217,"-",""))-1),SUBSTITUTE(SUBSTITUTE(SUBSTITUTE($G1217,"-"," ",LEN($G1217)-LEN(SUBSTITUTE($G1217,"-",""))),"-"," ",LEN($G1217)-LEN(SUBSTITUTE($G1217,"-",""))-1),"."," ",(LEN(SUBSTITUTE(SUBSTITUTE($G1217,"-"," ",LEN($G1217)-LEN(SUBSTITUTE($G1217,"-",""))),"-"," ",LEN($G1217)-LEN(SUBSTITUTE($G1217,"-",""))-1))-LEN(SUBSTITUTE(SUBSTITUTE(SUBSTITUTE($G1217,"-"," ",LEN($G1217)-LEN(SUBSTITUTE($G1217,"-",""))),"-"," ",LEN($G1217)-LEN(SUBSTITUTE($G1217,"-",""))-1),".",""))))),$G1217)))</f>
        <v/>
      </c>
    </row>
    <row r="1218">
      <c r="A1218" s="58" t="n"/>
      <c r="B1218" s="58">
        <f>IF($H1218="","",LEFT($H1218,FIND(" ",$H1218&amp;" ")-1))</f>
        <v/>
      </c>
      <c r="C1218" s="58">
        <f>IF($H1218="","",IFERROR(MID($H1218&amp;" ",FIND("|",SUBSTITUTE($H1218&amp;" "," ","|",1))+1,FIND("|",SUBSTITUTE($H1218&amp;" "," ","|",2))-FIND("|",SUBSTITUTE($H1218&amp;" "," ","|",1))-1),""))</f>
        <v/>
      </c>
      <c r="D1218" s="58">
        <f>IF($H1218="","",IFERROR(MID($H1218&amp;" ",FIND("|",SUBSTITUTE($H1218&amp;" "," ","|",2))+1,FIND("|",SUBSTITUTE($H1218&amp;" "," ","|",3))-FIND("|",SUBSTITUTE($H1218&amp;" "," ","|",2))-1),""))</f>
        <v/>
      </c>
      <c r="E1218" s="58">
        <f>IF($H1218="","",IFERROR(MID($H1218&amp;" ",FIND("|",SUBSTITUTE($H1218&amp;" "," ","|",3))+1,FIND("|",SUBSTITUTE($H1218&amp;" "," ","|",4))-FIND("|",SUBSTITUTE($H1218&amp;" "," ","|",3))-1),""))</f>
        <v/>
      </c>
      <c r="F1218" s="59">
        <f>IF($H1218="","",IFERROR(VALUE(IFERROR(MID($H1218&amp;" ",FIND("|",SUBSTITUTE($H1218&amp;" "," ","|",4))+1,FIND("|",SUBSTITUTE($H1218&amp;" "," ","|",5))-FIND("|",SUBSTITUTE($H1218&amp;" "," ","|",4))-1),""))/86400+25569+9/24,""))</f>
        <v/>
      </c>
      <c r="G1218" s="58">
        <f>TRIM(SUBSTITUTE(SUBSTITUTE(SUBSTITUTE($A1218,CHAR(9)," ")," "," "),CHAR(13),""))</f>
        <v/>
      </c>
      <c r="H1218" s="58">
        <f>IF($G1218="","",IF(ISNUMBER(FIND(" ",$G1218)),$G1218,IFERROR(IF((LEN(SUBSTITUTE(SUBSTITUTE($G1218,"-"," ",LEN($G1218)-LEN(SUBSTITUTE($G1218,"-",""))),"-"," ",LEN($G1218)-LEN(SUBSTITUTE($G1218,"-",""))-1))-LEN(SUBSTITUTE(SUBSTITUTE(SUBSTITUTE($G1218,"-"," ",LEN($G1218)-LEN(SUBSTITUTE($G1218,"-",""))),"-"," ",LEN($G1218)-LEN(SUBSTITUTE($G1218,"-",""))-1),".","")))=0,SUBSTITUTE(SUBSTITUTE($G1218,"-"," ",LEN($G1218)-LEN(SUBSTITUTE($G1218,"-",""))),"-"," ",LEN($G1218)-LEN(SUBSTITUTE($G1218,"-",""))-1),SUBSTITUTE(SUBSTITUTE(SUBSTITUTE($G1218,"-"," ",LEN($G1218)-LEN(SUBSTITUTE($G1218,"-",""))),"-"," ",LEN($G1218)-LEN(SUBSTITUTE($G1218,"-",""))-1),"."," ",(LEN(SUBSTITUTE(SUBSTITUTE($G1218,"-"," ",LEN($G1218)-LEN(SUBSTITUTE($G1218,"-",""))),"-"," ",LEN($G1218)-LEN(SUBSTITUTE($G1218,"-",""))-1))-LEN(SUBSTITUTE(SUBSTITUTE(SUBSTITUTE($G1218,"-"," ",LEN($G1218)-LEN(SUBSTITUTE($G1218,"-",""))),"-"," ",LEN($G1218)-LEN(SUBSTITUTE($G1218,"-",""))-1),".",""))))),$G1218)))</f>
        <v/>
      </c>
    </row>
    <row r="1219">
      <c r="A1219" s="58" t="n"/>
      <c r="B1219" s="58">
        <f>IF($H1219="","",LEFT($H1219,FIND(" ",$H1219&amp;" ")-1))</f>
        <v/>
      </c>
      <c r="C1219" s="58">
        <f>IF($H1219="","",IFERROR(MID($H1219&amp;" ",FIND("|",SUBSTITUTE($H1219&amp;" "," ","|",1))+1,FIND("|",SUBSTITUTE($H1219&amp;" "," ","|",2))-FIND("|",SUBSTITUTE($H1219&amp;" "," ","|",1))-1),""))</f>
        <v/>
      </c>
      <c r="D1219" s="58">
        <f>IF($H1219="","",IFERROR(MID($H1219&amp;" ",FIND("|",SUBSTITUTE($H1219&amp;" "," ","|",2))+1,FIND("|",SUBSTITUTE($H1219&amp;" "," ","|",3))-FIND("|",SUBSTITUTE($H1219&amp;" "," ","|",2))-1),""))</f>
        <v/>
      </c>
      <c r="E1219" s="58">
        <f>IF($H1219="","",IFERROR(MID($H1219&amp;" ",FIND("|",SUBSTITUTE($H1219&amp;" "," ","|",3))+1,FIND("|",SUBSTITUTE($H1219&amp;" "," ","|",4))-FIND("|",SUBSTITUTE($H1219&amp;" "," ","|",3))-1),""))</f>
        <v/>
      </c>
      <c r="F1219" s="59">
        <f>IF($H1219="","",IFERROR(VALUE(IFERROR(MID($H1219&amp;" ",FIND("|",SUBSTITUTE($H1219&amp;" "," ","|",4))+1,FIND("|",SUBSTITUTE($H1219&amp;" "," ","|",5))-FIND("|",SUBSTITUTE($H1219&amp;" "," ","|",4))-1),""))/86400+25569+9/24,""))</f>
        <v/>
      </c>
      <c r="G1219" s="58">
        <f>TRIM(SUBSTITUTE(SUBSTITUTE(SUBSTITUTE($A1219,CHAR(9)," ")," "," "),CHAR(13),""))</f>
        <v/>
      </c>
      <c r="H1219" s="58">
        <f>IF($G1219="","",IF(ISNUMBER(FIND(" ",$G1219)),$G1219,IFERROR(IF((LEN(SUBSTITUTE(SUBSTITUTE($G1219,"-"," ",LEN($G1219)-LEN(SUBSTITUTE($G1219,"-",""))),"-"," ",LEN($G1219)-LEN(SUBSTITUTE($G1219,"-",""))-1))-LEN(SUBSTITUTE(SUBSTITUTE(SUBSTITUTE($G1219,"-"," ",LEN($G1219)-LEN(SUBSTITUTE($G1219,"-",""))),"-"," ",LEN($G1219)-LEN(SUBSTITUTE($G1219,"-",""))-1),".","")))=0,SUBSTITUTE(SUBSTITUTE($G1219,"-"," ",LEN($G1219)-LEN(SUBSTITUTE($G1219,"-",""))),"-"," ",LEN($G1219)-LEN(SUBSTITUTE($G1219,"-",""))-1),SUBSTITUTE(SUBSTITUTE(SUBSTITUTE($G1219,"-"," ",LEN($G1219)-LEN(SUBSTITUTE($G1219,"-",""))),"-"," ",LEN($G1219)-LEN(SUBSTITUTE($G1219,"-",""))-1),"."," ",(LEN(SUBSTITUTE(SUBSTITUTE($G1219,"-"," ",LEN($G1219)-LEN(SUBSTITUTE($G1219,"-",""))),"-"," ",LEN($G1219)-LEN(SUBSTITUTE($G1219,"-",""))-1))-LEN(SUBSTITUTE(SUBSTITUTE(SUBSTITUTE($G1219,"-"," ",LEN($G1219)-LEN(SUBSTITUTE($G1219,"-",""))),"-"," ",LEN($G1219)-LEN(SUBSTITUTE($G1219,"-",""))-1),".",""))))),$G1219)))</f>
        <v/>
      </c>
    </row>
    <row r="1220">
      <c r="A1220" s="58" t="n"/>
      <c r="B1220" s="58">
        <f>IF($H1220="","",LEFT($H1220,FIND(" ",$H1220&amp;" ")-1))</f>
        <v/>
      </c>
      <c r="C1220" s="58">
        <f>IF($H1220="","",IFERROR(MID($H1220&amp;" ",FIND("|",SUBSTITUTE($H1220&amp;" "," ","|",1))+1,FIND("|",SUBSTITUTE($H1220&amp;" "," ","|",2))-FIND("|",SUBSTITUTE($H1220&amp;" "," ","|",1))-1),""))</f>
        <v/>
      </c>
      <c r="D1220" s="58">
        <f>IF($H1220="","",IFERROR(MID($H1220&amp;" ",FIND("|",SUBSTITUTE($H1220&amp;" "," ","|",2))+1,FIND("|",SUBSTITUTE($H1220&amp;" "," ","|",3))-FIND("|",SUBSTITUTE($H1220&amp;" "," ","|",2))-1),""))</f>
        <v/>
      </c>
      <c r="E1220" s="58">
        <f>IF($H1220="","",IFERROR(MID($H1220&amp;" ",FIND("|",SUBSTITUTE($H1220&amp;" "," ","|",3))+1,FIND("|",SUBSTITUTE($H1220&amp;" "," ","|",4))-FIND("|",SUBSTITUTE($H1220&amp;" "," ","|",3))-1),""))</f>
        <v/>
      </c>
      <c r="F1220" s="59">
        <f>IF($H1220="","",IFERROR(VALUE(IFERROR(MID($H1220&amp;" ",FIND("|",SUBSTITUTE($H1220&amp;" "," ","|",4))+1,FIND("|",SUBSTITUTE($H1220&amp;" "," ","|",5))-FIND("|",SUBSTITUTE($H1220&amp;" "," ","|",4))-1),""))/86400+25569+9/24,""))</f>
        <v/>
      </c>
      <c r="G1220" s="58">
        <f>TRIM(SUBSTITUTE(SUBSTITUTE(SUBSTITUTE($A1220,CHAR(9)," ")," "," "),CHAR(13),""))</f>
        <v/>
      </c>
      <c r="H1220" s="58">
        <f>IF($G1220="","",IF(ISNUMBER(FIND(" ",$G1220)),$G1220,IFERROR(IF((LEN(SUBSTITUTE(SUBSTITUTE($G1220,"-"," ",LEN($G1220)-LEN(SUBSTITUTE($G1220,"-",""))),"-"," ",LEN($G1220)-LEN(SUBSTITUTE($G1220,"-",""))-1))-LEN(SUBSTITUTE(SUBSTITUTE(SUBSTITUTE($G1220,"-"," ",LEN($G1220)-LEN(SUBSTITUTE($G1220,"-",""))),"-"," ",LEN($G1220)-LEN(SUBSTITUTE($G1220,"-",""))-1),".","")))=0,SUBSTITUTE(SUBSTITUTE($G1220,"-"," ",LEN($G1220)-LEN(SUBSTITUTE($G1220,"-",""))),"-"," ",LEN($G1220)-LEN(SUBSTITUTE($G1220,"-",""))-1),SUBSTITUTE(SUBSTITUTE(SUBSTITUTE($G1220,"-"," ",LEN($G1220)-LEN(SUBSTITUTE($G1220,"-",""))),"-"," ",LEN($G1220)-LEN(SUBSTITUTE($G1220,"-",""))-1),"."," ",(LEN(SUBSTITUTE(SUBSTITUTE($G1220,"-"," ",LEN($G1220)-LEN(SUBSTITUTE($G1220,"-",""))),"-"," ",LEN($G1220)-LEN(SUBSTITUTE($G1220,"-",""))-1))-LEN(SUBSTITUTE(SUBSTITUTE(SUBSTITUTE($G1220,"-"," ",LEN($G1220)-LEN(SUBSTITUTE($G1220,"-",""))),"-"," ",LEN($G1220)-LEN(SUBSTITUTE($G1220,"-",""))-1),".",""))))),$G1220)))</f>
        <v/>
      </c>
    </row>
    <row r="1221">
      <c r="A1221" s="58" t="n"/>
      <c r="B1221" s="58">
        <f>IF($H1221="","",LEFT($H1221,FIND(" ",$H1221&amp;" ")-1))</f>
        <v/>
      </c>
      <c r="C1221" s="58">
        <f>IF($H1221="","",IFERROR(MID($H1221&amp;" ",FIND("|",SUBSTITUTE($H1221&amp;" "," ","|",1))+1,FIND("|",SUBSTITUTE($H1221&amp;" "," ","|",2))-FIND("|",SUBSTITUTE($H1221&amp;" "," ","|",1))-1),""))</f>
        <v/>
      </c>
      <c r="D1221" s="58">
        <f>IF($H1221="","",IFERROR(MID($H1221&amp;" ",FIND("|",SUBSTITUTE($H1221&amp;" "," ","|",2))+1,FIND("|",SUBSTITUTE($H1221&amp;" "," ","|",3))-FIND("|",SUBSTITUTE($H1221&amp;" "," ","|",2))-1),""))</f>
        <v/>
      </c>
      <c r="E1221" s="58">
        <f>IF($H1221="","",IFERROR(MID($H1221&amp;" ",FIND("|",SUBSTITUTE($H1221&amp;" "," ","|",3))+1,FIND("|",SUBSTITUTE($H1221&amp;" "," ","|",4))-FIND("|",SUBSTITUTE($H1221&amp;" "," ","|",3))-1),""))</f>
        <v/>
      </c>
      <c r="F1221" s="59">
        <f>IF($H1221="","",IFERROR(VALUE(IFERROR(MID($H1221&amp;" ",FIND("|",SUBSTITUTE($H1221&amp;" "," ","|",4))+1,FIND("|",SUBSTITUTE($H1221&amp;" "," ","|",5))-FIND("|",SUBSTITUTE($H1221&amp;" "," ","|",4))-1),""))/86400+25569+9/24,""))</f>
        <v/>
      </c>
      <c r="G1221" s="58">
        <f>TRIM(SUBSTITUTE(SUBSTITUTE(SUBSTITUTE($A1221,CHAR(9)," ")," "," "),CHAR(13),""))</f>
        <v/>
      </c>
      <c r="H1221" s="58">
        <f>IF($G1221="","",IF(ISNUMBER(FIND(" ",$G1221)),$G1221,IFERROR(IF((LEN(SUBSTITUTE(SUBSTITUTE($G1221,"-"," ",LEN($G1221)-LEN(SUBSTITUTE($G1221,"-",""))),"-"," ",LEN($G1221)-LEN(SUBSTITUTE($G1221,"-",""))-1))-LEN(SUBSTITUTE(SUBSTITUTE(SUBSTITUTE($G1221,"-"," ",LEN($G1221)-LEN(SUBSTITUTE($G1221,"-",""))),"-"," ",LEN($G1221)-LEN(SUBSTITUTE($G1221,"-",""))-1),".","")))=0,SUBSTITUTE(SUBSTITUTE($G1221,"-"," ",LEN($G1221)-LEN(SUBSTITUTE($G1221,"-",""))),"-"," ",LEN($G1221)-LEN(SUBSTITUTE($G1221,"-",""))-1),SUBSTITUTE(SUBSTITUTE(SUBSTITUTE($G1221,"-"," ",LEN($G1221)-LEN(SUBSTITUTE($G1221,"-",""))),"-"," ",LEN($G1221)-LEN(SUBSTITUTE($G1221,"-",""))-1),"."," ",(LEN(SUBSTITUTE(SUBSTITUTE($G1221,"-"," ",LEN($G1221)-LEN(SUBSTITUTE($G1221,"-",""))),"-"," ",LEN($G1221)-LEN(SUBSTITUTE($G1221,"-",""))-1))-LEN(SUBSTITUTE(SUBSTITUTE(SUBSTITUTE($G1221,"-"," ",LEN($G1221)-LEN(SUBSTITUTE($G1221,"-",""))),"-"," ",LEN($G1221)-LEN(SUBSTITUTE($G1221,"-",""))-1),".",""))))),$G1221)))</f>
        <v/>
      </c>
    </row>
    <row r="1222">
      <c r="A1222" s="58" t="n"/>
      <c r="B1222" s="58">
        <f>IF($H1222="","",LEFT($H1222,FIND(" ",$H1222&amp;" ")-1))</f>
        <v/>
      </c>
      <c r="C1222" s="58">
        <f>IF($H1222="","",IFERROR(MID($H1222&amp;" ",FIND("|",SUBSTITUTE($H1222&amp;" "," ","|",1))+1,FIND("|",SUBSTITUTE($H1222&amp;" "," ","|",2))-FIND("|",SUBSTITUTE($H1222&amp;" "," ","|",1))-1),""))</f>
        <v/>
      </c>
      <c r="D1222" s="58">
        <f>IF($H1222="","",IFERROR(MID($H1222&amp;" ",FIND("|",SUBSTITUTE($H1222&amp;" "," ","|",2))+1,FIND("|",SUBSTITUTE($H1222&amp;" "," ","|",3))-FIND("|",SUBSTITUTE($H1222&amp;" "," ","|",2))-1),""))</f>
        <v/>
      </c>
      <c r="E1222" s="58">
        <f>IF($H1222="","",IFERROR(MID($H1222&amp;" ",FIND("|",SUBSTITUTE($H1222&amp;" "," ","|",3))+1,FIND("|",SUBSTITUTE($H1222&amp;" "," ","|",4))-FIND("|",SUBSTITUTE($H1222&amp;" "," ","|",3))-1),""))</f>
        <v/>
      </c>
      <c r="F1222" s="59">
        <f>IF($H1222="","",IFERROR(VALUE(IFERROR(MID($H1222&amp;" ",FIND("|",SUBSTITUTE($H1222&amp;" "," ","|",4))+1,FIND("|",SUBSTITUTE($H1222&amp;" "," ","|",5))-FIND("|",SUBSTITUTE($H1222&amp;" "," ","|",4))-1),""))/86400+25569+9/24,""))</f>
        <v/>
      </c>
      <c r="G1222" s="58">
        <f>TRIM(SUBSTITUTE(SUBSTITUTE(SUBSTITUTE($A1222,CHAR(9)," ")," "," "),CHAR(13),""))</f>
        <v/>
      </c>
      <c r="H1222" s="58">
        <f>IF($G1222="","",IF(ISNUMBER(FIND(" ",$G1222)),$G1222,IFERROR(IF((LEN(SUBSTITUTE(SUBSTITUTE($G1222,"-"," ",LEN($G1222)-LEN(SUBSTITUTE($G1222,"-",""))),"-"," ",LEN($G1222)-LEN(SUBSTITUTE($G1222,"-",""))-1))-LEN(SUBSTITUTE(SUBSTITUTE(SUBSTITUTE($G1222,"-"," ",LEN($G1222)-LEN(SUBSTITUTE($G1222,"-",""))),"-"," ",LEN($G1222)-LEN(SUBSTITUTE($G1222,"-",""))-1),".","")))=0,SUBSTITUTE(SUBSTITUTE($G1222,"-"," ",LEN($G1222)-LEN(SUBSTITUTE($G1222,"-",""))),"-"," ",LEN($G1222)-LEN(SUBSTITUTE($G1222,"-",""))-1),SUBSTITUTE(SUBSTITUTE(SUBSTITUTE($G1222,"-"," ",LEN($G1222)-LEN(SUBSTITUTE($G1222,"-",""))),"-"," ",LEN($G1222)-LEN(SUBSTITUTE($G1222,"-",""))-1),"."," ",(LEN(SUBSTITUTE(SUBSTITUTE($G1222,"-"," ",LEN($G1222)-LEN(SUBSTITUTE($G1222,"-",""))),"-"," ",LEN($G1222)-LEN(SUBSTITUTE($G1222,"-",""))-1))-LEN(SUBSTITUTE(SUBSTITUTE(SUBSTITUTE($G1222,"-"," ",LEN($G1222)-LEN(SUBSTITUTE($G1222,"-",""))),"-"," ",LEN($G1222)-LEN(SUBSTITUTE($G1222,"-",""))-1),".",""))))),$G1222)))</f>
        <v/>
      </c>
    </row>
    <row r="1223">
      <c r="A1223" s="58" t="n"/>
      <c r="B1223" s="58">
        <f>IF($H1223="","",LEFT($H1223,FIND(" ",$H1223&amp;" ")-1))</f>
        <v/>
      </c>
      <c r="C1223" s="58">
        <f>IF($H1223="","",IFERROR(MID($H1223&amp;" ",FIND("|",SUBSTITUTE($H1223&amp;" "," ","|",1))+1,FIND("|",SUBSTITUTE($H1223&amp;" "," ","|",2))-FIND("|",SUBSTITUTE($H1223&amp;" "," ","|",1))-1),""))</f>
        <v/>
      </c>
      <c r="D1223" s="58">
        <f>IF($H1223="","",IFERROR(MID($H1223&amp;" ",FIND("|",SUBSTITUTE($H1223&amp;" "," ","|",2))+1,FIND("|",SUBSTITUTE($H1223&amp;" "," ","|",3))-FIND("|",SUBSTITUTE($H1223&amp;" "," ","|",2))-1),""))</f>
        <v/>
      </c>
      <c r="E1223" s="58">
        <f>IF($H1223="","",IFERROR(MID($H1223&amp;" ",FIND("|",SUBSTITUTE($H1223&amp;" "," ","|",3))+1,FIND("|",SUBSTITUTE($H1223&amp;" "," ","|",4))-FIND("|",SUBSTITUTE($H1223&amp;" "," ","|",3))-1),""))</f>
        <v/>
      </c>
      <c r="F1223" s="59">
        <f>IF($H1223="","",IFERROR(VALUE(IFERROR(MID($H1223&amp;" ",FIND("|",SUBSTITUTE($H1223&amp;" "," ","|",4))+1,FIND("|",SUBSTITUTE($H1223&amp;" "," ","|",5))-FIND("|",SUBSTITUTE($H1223&amp;" "," ","|",4))-1),""))/86400+25569+9/24,""))</f>
        <v/>
      </c>
      <c r="G1223" s="58">
        <f>TRIM(SUBSTITUTE(SUBSTITUTE(SUBSTITUTE($A1223,CHAR(9)," ")," "," "),CHAR(13),""))</f>
        <v/>
      </c>
      <c r="H1223" s="58">
        <f>IF($G1223="","",IF(ISNUMBER(FIND(" ",$G1223)),$G1223,IFERROR(IF((LEN(SUBSTITUTE(SUBSTITUTE($G1223,"-"," ",LEN($G1223)-LEN(SUBSTITUTE($G1223,"-",""))),"-"," ",LEN($G1223)-LEN(SUBSTITUTE($G1223,"-",""))-1))-LEN(SUBSTITUTE(SUBSTITUTE(SUBSTITUTE($G1223,"-"," ",LEN($G1223)-LEN(SUBSTITUTE($G1223,"-",""))),"-"," ",LEN($G1223)-LEN(SUBSTITUTE($G1223,"-",""))-1),".","")))=0,SUBSTITUTE(SUBSTITUTE($G1223,"-"," ",LEN($G1223)-LEN(SUBSTITUTE($G1223,"-",""))),"-"," ",LEN($G1223)-LEN(SUBSTITUTE($G1223,"-",""))-1),SUBSTITUTE(SUBSTITUTE(SUBSTITUTE($G1223,"-"," ",LEN($G1223)-LEN(SUBSTITUTE($G1223,"-",""))),"-"," ",LEN($G1223)-LEN(SUBSTITUTE($G1223,"-",""))-1),"."," ",(LEN(SUBSTITUTE(SUBSTITUTE($G1223,"-"," ",LEN($G1223)-LEN(SUBSTITUTE($G1223,"-",""))),"-"," ",LEN($G1223)-LEN(SUBSTITUTE($G1223,"-",""))-1))-LEN(SUBSTITUTE(SUBSTITUTE(SUBSTITUTE($G1223,"-"," ",LEN($G1223)-LEN(SUBSTITUTE($G1223,"-",""))),"-"," ",LEN($G1223)-LEN(SUBSTITUTE($G1223,"-",""))-1),".",""))))),$G1223)))</f>
        <v/>
      </c>
    </row>
    <row r="1224">
      <c r="A1224" s="58" t="n"/>
      <c r="B1224" s="58">
        <f>IF($H1224="","",LEFT($H1224,FIND(" ",$H1224&amp;" ")-1))</f>
        <v/>
      </c>
      <c r="C1224" s="58">
        <f>IF($H1224="","",IFERROR(MID($H1224&amp;" ",FIND("|",SUBSTITUTE($H1224&amp;" "," ","|",1))+1,FIND("|",SUBSTITUTE($H1224&amp;" "," ","|",2))-FIND("|",SUBSTITUTE($H1224&amp;" "," ","|",1))-1),""))</f>
        <v/>
      </c>
      <c r="D1224" s="58">
        <f>IF($H1224="","",IFERROR(MID($H1224&amp;" ",FIND("|",SUBSTITUTE($H1224&amp;" "," ","|",2))+1,FIND("|",SUBSTITUTE($H1224&amp;" "," ","|",3))-FIND("|",SUBSTITUTE($H1224&amp;" "," ","|",2))-1),""))</f>
        <v/>
      </c>
      <c r="E1224" s="58">
        <f>IF($H1224="","",IFERROR(MID($H1224&amp;" ",FIND("|",SUBSTITUTE($H1224&amp;" "," ","|",3))+1,FIND("|",SUBSTITUTE($H1224&amp;" "," ","|",4))-FIND("|",SUBSTITUTE($H1224&amp;" "," ","|",3))-1),""))</f>
        <v/>
      </c>
      <c r="F1224" s="59">
        <f>IF($H1224="","",IFERROR(VALUE(IFERROR(MID($H1224&amp;" ",FIND("|",SUBSTITUTE($H1224&amp;" "," ","|",4))+1,FIND("|",SUBSTITUTE($H1224&amp;" "," ","|",5))-FIND("|",SUBSTITUTE($H1224&amp;" "," ","|",4))-1),""))/86400+25569+9/24,""))</f>
        <v/>
      </c>
      <c r="G1224" s="58">
        <f>TRIM(SUBSTITUTE(SUBSTITUTE(SUBSTITUTE($A1224,CHAR(9)," ")," "," "),CHAR(13),""))</f>
        <v/>
      </c>
      <c r="H1224" s="58">
        <f>IF($G1224="","",IF(ISNUMBER(FIND(" ",$G1224)),$G1224,IFERROR(IF((LEN(SUBSTITUTE(SUBSTITUTE($G1224,"-"," ",LEN($G1224)-LEN(SUBSTITUTE($G1224,"-",""))),"-"," ",LEN($G1224)-LEN(SUBSTITUTE($G1224,"-",""))-1))-LEN(SUBSTITUTE(SUBSTITUTE(SUBSTITUTE($G1224,"-"," ",LEN($G1224)-LEN(SUBSTITUTE($G1224,"-",""))),"-"," ",LEN($G1224)-LEN(SUBSTITUTE($G1224,"-",""))-1),".","")))=0,SUBSTITUTE(SUBSTITUTE($G1224,"-"," ",LEN($G1224)-LEN(SUBSTITUTE($G1224,"-",""))),"-"," ",LEN($G1224)-LEN(SUBSTITUTE($G1224,"-",""))-1),SUBSTITUTE(SUBSTITUTE(SUBSTITUTE($G1224,"-"," ",LEN($G1224)-LEN(SUBSTITUTE($G1224,"-",""))),"-"," ",LEN($G1224)-LEN(SUBSTITUTE($G1224,"-",""))-1),"."," ",(LEN(SUBSTITUTE(SUBSTITUTE($G1224,"-"," ",LEN($G1224)-LEN(SUBSTITUTE($G1224,"-",""))),"-"," ",LEN($G1224)-LEN(SUBSTITUTE($G1224,"-",""))-1))-LEN(SUBSTITUTE(SUBSTITUTE(SUBSTITUTE($G1224,"-"," ",LEN($G1224)-LEN(SUBSTITUTE($G1224,"-",""))),"-"," ",LEN($G1224)-LEN(SUBSTITUTE($G1224,"-",""))-1),".",""))))),$G1224)))</f>
        <v/>
      </c>
    </row>
    <row r="1225">
      <c r="A1225" s="58" t="n"/>
      <c r="B1225" s="58">
        <f>IF($H1225="","",LEFT($H1225,FIND(" ",$H1225&amp;" ")-1))</f>
        <v/>
      </c>
      <c r="C1225" s="58">
        <f>IF($H1225="","",IFERROR(MID($H1225&amp;" ",FIND("|",SUBSTITUTE($H1225&amp;" "," ","|",1))+1,FIND("|",SUBSTITUTE($H1225&amp;" "," ","|",2))-FIND("|",SUBSTITUTE($H1225&amp;" "," ","|",1))-1),""))</f>
        <v/>
      </c>
      <c r="D1225" s="58">
        <f>IF($H1225="","",IFERROR(MID($H1225&amp;" ",FIND("|",SUBSTITUTE($H1225&amp;" "," ","|",2))+1,FIND("|",SUBSTITUTE($H1225&amp;" "," ","|",3))-FIND("|",SUBSTITUTE($H1225&amp;" "," ","|",2))-1),""))</f>
        <v/>
      </c>
      <c r="E1225" s="58">
        <f>IF($H1225="","",IFERROR(MID($H1225&amp;" ",FIND("|",SUBSTITUTE($H1225&amp;" "," ","|",3))+1,FIND("|",SUBSTITUTE($H1225&amp;" "," ","|",4))-FIND("|",SUBSTITUTE($H1225&amp;" "," ","|",3))-1),""))</f>
        <v/>
      </c>
      <c r="F1225" s="59">
        <f>IF($H1225="","",IFERROR(VALUE(IFERROR(MID($H1225&amp;" ",FIND("|",SUBSTITUTE($H1225&amp;" "," ","|",4))+1,FIND("|",SUBSTITUTE($H1225&amp;" "," ","|",5))-FIND("|",SUBSTITUTE($H1225&amp;" "," ","|",4))-1),""))/86400+25569+9/24,""))</f>
        <v/>
      </c>
      <c r="G1225" s="58">
        <f>TRIM(SUBSTITUTE(SUBSTITUTE(SUBSTITUTE($A1225,CHAR(9)," ")," "," "),CHAR(13),""))</f>
        <v/>
      </c>
      <c r="H1225" s="58">
        <f>IF($G1225="","",IF(ISNUMBER(FIND(" ",$G1225)),$G1225,IFERROR(IF((LEN(SUBSTITUTE(SUBSTITUTE($G1225,"-"," ",LEN($G1225)-LEN(SUBSTITUTE($G1225,"-",""))),"-"," ",LEN($G1225)-LEN(SUBSTITUTE($G1225,"-",""))-1))-LEN(SUBSTITUTE(SUBSTITUTE(SUBSTITUTE($G1225,"-"," ",LEN($G1225)-LEN(SUBSTITUTE($G1225,"-",""))),"-"," ",LEN($G1225)-LEN(SUBSTITUTE($G1225,"-",""))-1),".","")))=0,SUBSTITUTE(SUBSTITUTE($G1225,"-"," ",LEN($G1225)-LEN(SUBSTITUTE($G1225,"-",""))),"-"," ",LEN($G1225)-LEN(SUBSTITUTE($G1225,"-",""))-1),SUBSTITUTE(SUBSTITUTE(SUBSTITUTE($G1225,"-"," ",LEN($G1225)-LEN(SUBSTITUTE($G1225,"-",""))),"-"," ",LEN($G1225)-LEN(SUBSTITUTE($G1225,"-",""))-1),"."," ",(LEN(SUBSTITUTE(SUBSTITUTE($G1225,"-"," ",LEN($G1225)-LEN(SUBSTITUTE($G1225,"-",""))),"-"," ",LEN($G1225)-LEN(SUBSTITUTE($G1225,"-",""))-1))-LEN(SUBSTITUTE(SUBSTITUTE(SUBSTITUTE($G1225,"-"," ",LEN($G1225)-LEN(SUBSTITUTE($G1225,"-",""))),"-"," ",LEN($G1225)-LEN(SUBSTITUTE($G1225,"-",""))-1),".",""))))),$G1225)))</f>
        <v/>
      </c>
    </row>
    <row r="1226">
      <c r="A1226" s="58" t="n"/>
      <c r="B1226" s="58">
        <f>IF($H1226="","",LEFT($H1226,FIND(" ",$H1226&amp;" ")-1))</f>
        <v/>
      </c>
      <c r="C1226" s="58">
        <f>IF($H1226="","",IFERROR(MID($H1226&amp;" ",FIND("|",SUBSTITUTE($H1226&amp;" "," ","|",1))+1,FIND("|",SUBSTITUTE($H1226&amp;" "," ","|",2))-FIND("|",SUBSTITUTE($H1226&amp;" "," ","|",1))-1),""))</f>
        <v/>
      </c>
      <c r="D1226" s="58">
        <f>IF($H1226="","",IFERROR(MID($H1226&amp;" ",FIND("|",SUBSTITUTE($H1226&amp;" "," ","|",2))+1,FIND("|",SUBSTITUTE($H1226&amp;" "," ","|",3))-FIND("|",SUBSTITUTE($H1226&amp;" "," ","|",2))-1),""))</f>
        <v/>
      </c>
      <c r="E1226" s="58">
        <f>IF($H1226="","",IFERROR(MID($H1226&amp;" ",FIND("|",SUBSTITUTE($H1226&amp;" "," ","|",3))+1,FIND("|",SUBSTITUTE($H1226&amp;" "," ","|",4))-FIND("|",SUBSTITUTE($H1226&amp;" "," ","|",3))-1),""))</f>
        <v/>
      </c>
      <c r="F1226" s="59">
        <f>IF($H1226="","",IFERROR(VALUE(IFERROR(MID($H1226&amp;" ",FIND("|",SUBSTITUTE($H1226&amp;" "," ","|",4))+1,FIND("|",SUBSTITUTE($H1226&amp;" "," ","|",5))-FIND("|",SUBSTITUTE($H1226&amp;" "," ","|",4))-1),""))/86400+25569+9/24,""))</f>
        <v/>
      </c>
      <c r="G1226" s="58">
        <f>TRIM(SUBSTITUTE(SUBSTITUTE(SUBSTITUTE($A1226,CHAR(9)," ")," "," "),CHAR(13),""))</f>
        <v/>
      </c>
      <c r="H1226" s="58">
        <f>IF($G1226="","",IF(ISNUMBER(FIND(" ",$G1226)),$G1226,IFERROR(IF((LEN(SUBSTITUTE(SUBSTITUTE($G1226,"-"," ",LEN($G1226)-LEN(SUBSTITUTE($G1226,"-",""))),"-"," ",LEN($G1226)-LEN(SUBSTITUTE($G1226,"-",""))-1))-LEN(SUBSTITUTE(SUBSTITUTE(SUBSTITUTE($G1226,"-"," ",LEN($G1226)-LEN(SUBSTITUTE($G1226,"-",""))),"-"," ",LEN($G1226)-LEN(SUBSTITUTE($G1226,"-",""))-1),".","")))=0,SUBSTITUTE(SUBSTITUTE($G1226,"-"," ",LEN($G1226)-LEN(SUBSTITUTE($G1226,"-",""))),"-"," ",LEN($G1226)-LEN(SUBSTITUTE($G1226,"-",""))-1),SUBSTITUTE(SUBSTITUTE(SUBSTITUTE($G1226,"-"," ",LEN($G1226)-LEN(SUBSTITUTE($G1226,"-",""))),"-"," ",LEN($G1226)-LEN(SUBSTITUTE($G1226,"-",""))-1),"."," ",(LEN(SUBSTITUTE(SUBSTITUTE($G1226,"-"," ",LEN($G1226)-LEN(SUBSTITUTE($G1226,"-",""))),"-"," ",LEN($G1226)-LEN(SUBSTITUTE($G1226,"-",""))-1))-LEN(SUBSTITUTE(SUBSTITUTE(SUBSTITUTE($G1226,"-"," ",LEN($G1226)-LEN(SUBSTITUTE($G1226,"-",""))),"-"," ",LEN($G1226)-LEN(SUBSTITUTE($G1226,"-",""))-1),".",""))))),$G1226)))</f>
        <v/>
      </c>
    </row>
    <row r="1227">
      <c r="A1227" s="58" t="n"/>
      <c r="B1227" s="58">
        <f>IF($H1227="","",LEFT($H1227,FIND(" ",$H1227&amp;" ")-1))</f>
        <v/>
      </c>
      <c r="C1227" s="58">
        <f>IF($H1227="","",IFERROR(MID($H1227&amp;" ",FIND("|",SUBSTITUTE($H1227&amp;" "," ","|",1))+1,FIND("|",SUBSTITUTE($H1227&amp;" "," ","|",2))-FIND("|",SUBSTITUTE($H1227&amp;" "," ","|",1))-1),""))</f>
        <v/>
      </c>
      <c r="D1227" s="58">
        <f>IF($H1227="","",IFERROR(MID($H1227&amp;" ",FIND("|",SUBSTITUTE($H1227&amp;" "," ","|",2))+1,FIND("|",SUBSTITUTE($H1227&amp;" "," ","|",3))-FIND("|",SUBSTITUTE($H1227&amp;" "," ","|",2))-1),""))</f>
        <v/>
      </c>
      <c r="E1227" s="58">
        <f>IF($H1227="","",IFERROR(MID($H1227&amp;" ",FIND("|",SUBSTITUTE($H1227&amp;" "," ","|",3))+1,FIND("|",SUBSTITUTE($H1227&amp;" "," ","|",4))-FIND("|",SUBSTITUTE($H1227&amp;" "," ","|",3))-1),""))</f>
        <v/>
      </c>
      <c r="F1227" s="59">
        <f>IF($H1227="","",IFERROR(VALUE(IFERROR(MID($H1227&amp;" ",FIND("|",SUBSTITUTE($H1227&amp;" "," ","|",4))+1,FIND("|",SUBSTITUTE($H1227&amp;" "," ","|",5))-FIND("|",SUBSTITUTE($H1227&amp;" "," ","|",4))-1),""))/86400+25569+9/24,""))</f>
        <v/>
      </c>
      <c r="G1227" s="58">
        <f>TRIM(SUBSTITUTE(SUBSTITUTE(SUBSTITUTE($A1227,CHAR(9)," ")," "," "),CHAR(13),""))</f>
        <v/>
      </c>
      <c r="H1227" s="58">
        <f>IF($G1227="","",IF(ISNUMBER(FIND(" ",$G1227)),$G1227,IFERROR(IF((LEN(SUBSTITUTE(SUBSTITUTE($G1227,"-"," ",LEN($G1227)-LEN(SUBSTITUTE($G1227,"-",""))),"-"," ",LEN($G1227)-LEN(SUBSTITUTE($G1227,"-",""))-1))-LEN(SUBSTITUTE(SUBSTITUTE(SUBSTITUTE($G1227,"-"," ",LEN($G1227)-LEN(SUBSTITUTE($G1227,"-",""))),"-"," ",LEN($G1227)-LEN(SUBSTITUTE($G1227,"-",""))-1),".","")))=0,SUBSTITUTE(SUBSTITUTE($G1227,"-"," ",LEN($G1227)-LEN(SUBSTITUTE($G1227,"-",""))),"-"," ",LEN($G1227)-LEN(SUBSTITUTE($G1227,"-",""))-1),SUBSTITUTE(SUBSTITUTE(SUBSTITUTE($G1227,"-"," ",LEN($G1227)-LEN(SUBSTITUTE($G1227,"-",""))),"-"," ",LEN($G1227)-LEN(SUBSTITUTE($G1227,"-",""))-1),"."," ",(LEN(SUBSTITUTE(SUBSTITUTE($G1227,"-"," ",LEN($G1227)-LEN(SUBSTITUTE($G1227,"-",""))),"-"," ",LEN($G1227)-LEN(SUBSTITUTE($G1227,"-",""))-1))-LEN(SUBSTITUTE(SUBSTITUTE(SUBSTITUTE($G1227,"-"," ",LEN($G1227)-LEN(SUBSTITUTE($G1227,"-",""))),"-"," ",LEN($G1227)-LEN(SUBSTITUTE($G1227,"-",""))-1),".",""))))),$G1227)))</f>
        <v/>
      </c>
    </row>
    <row r="1228">
      <c r="A1228" s="58" t="n"/>
      <c r="B1228" s="58">
        <f>IF($H1228="","",LEFT($H1228,FIND(" ",$H1228&amp;" ")-1))</f>
        <v/>
      </c>
      <c r="C1228" s="58">
        <f>IF($H1228="","",IFERROR(MID($H1228&amp;" ",FIND("|",SUBSTITUTE($H1228&amp;" "," ","|",1))+1,FIND("|",SUBSTITUTE($H1228&amp;" "," ","|",2))-FIND("|",SUBSTITUTE($H1228&amp;" "," ","|",1))-1),""))</f>
        <v/>
      </c>
      <c r="D1228" s="58">
        <f>IF($H1228="","",IFERROR(MID($H1228&amp;" ",FIND("|",SUBSTITUTE($H1228&amp;" "," ","|",2))+1,FIND("|",SUBSTITUTE($H1228&amp;" "," ","|",3))-FIND("|",SUBSTITUTE($H1228&amp;" "," ","|",2))-1),""))</f>
        <v/>
      </c>
      <c r="E1228" s="58">
        <f>IF($H1228="","",IFERROR(MID($H1228&amp;" ",FIND("|",SUBSTITUTE($H1228&amp;" "," ","|",3))+1,FIND("|",SUBSTITUTE($H1228&amp;" "," ","|",4))-FIND("|",SUBSTITUTE($H1228&amp;" "," ","|",3))-1),""))</f>
        <v/>
      </c>
      <c r="F1228" s="59">
        <f>IF($H1228="","",IFERROR(VALUE(IFERROR(MID($H1228&amp;" ",FIND("|",SUBSTITUTE($H1228&amp;" "," ","|",4))+1,FIND("|",SUBSTITUTE($H1228&amp;" "," ","|",5))-FIND("|",SUBSTITUTE($H1228&amp;" "," ","|",4))-1),""))/86400+25569+9/24,""))</f>
        <v/>
      </c>
      <c r="G1228" s="58">
        <f>TRIM(SUBSTITUTE(SUBSTITUTE(SUBSTITUTE($A1228,CHAR(9)," ")," "," "),CHAR(13),""))</f>
        <v/>
      </c>
      <c r="H1228" s="58">
        <f>IF($G1228="","",IF(ISNUMBER(FIND(" ",$G1228)),$G1228,IFERROR(IF((LEN(SUBSTITUTE(SUBSTITUTE($G1228,"-"," ",LEN($G1228)-LEN(SUBSTITUTE($G1228,"-",""))),"-"," ",LEN($G1228)-LEN(SUBSTITUTE($G1228,"-",""))-1))-LEN(SUBSTITUTE(SUBSTITUTE(SUBSTITUTE($G1228,"-"," ",LEN($G1228)-LEN(SUBSTITUTE($G1228,"-",""))),"-"," ",LEN($G1228)-LEN(SUBSTITUTE($G1228,"-",""))-1),".","")))=0,SUBSTITUTE(SUBSTITUTE($G1228,"-"," ",LEN($G1228)-LEN(SUBSTITUTE($G1228,"-",""))),"-"," ",LEN($G1228)-LEN(SUBSTITUTE($G1228,"-",""))-1),SUBSTITUTE(SUBSTITUTE(SUBSTITUTE($G1228,"-"," ",LEN($G1228)-LEN(SUBSTITUTE($G1228,"-",""))),"-"," ",LEN($G1228)-LEN(SUBSTITUTE($G1228,"-",""))-1),"."," ",(LEN(SUBSTITUTE(SUBSTITUTE($G1228,"-"," ",LEN($G1228)-LEN(SUBSTITUTE($G1228,"-",""))),"-"," ",LEN($G1228)-LEN(SUBSTITUTE($G1228,"-",""))-1))-LEN(SUBSTITUTE(SUBSTITUTE(SUBSTITUTE($G1228,"-"," ",LEN($G1228)-LEN(SUBSTITUTE($G1228,"-",""))),"-"," ",LEN($G1228)-LEN(SUBSTITUTE($G1228,"-",""))-1),".",""))))),$G1228)))</f>
        <v/>
      </c>
    </row>
    <row r="1229">
      <c r="A1229" s="58" t="n"/>
      <c r="B1229" s="58">
        <f>IF($H1229="","",LEFT($H1229,FIND(" ",$H1229&amp;" ")-1))</f>
        <v/>
      </c>
      <c r="C1229" s="58">
        <f>IF($H1229="","",IFERROR(MID($H1229&amp;" ",FIND("|",SUBSTITUTE($H1229&amp;" "," ","|",1))+1,FIND("|",SUBSTITUTE($H1229&amp;" "," ","|",2))-FIND("|",SUBSTITUTE($H1229&amp;" "," ","|",1))-1),""))</f>
        <v/>
      </c>
      <c r="D1229" s="58">
        <f>IF($H1229="","",IFERROR(MID($H1229&amp;" ",FIND("|",SUBSTITUTE($H1229&amp;" "," ","|",2))+1,FIND("|",SUBSTITUTE($H1229&amp;" "," ","|",3))-FIND("|",SUBSTITUTE($H1229&amp;" "," ","|",2))-1),""))</f>
        <v/>
      </c>
      <c r="E1229" s="58">
        <f>IF($H1229="","",IFERROR(MID($H1229&amp;" ",FIND("|",SUBSTITUTE($H1229&amp;" "," ","|",3))+1,FIND("|",SUBSTITUTE($H1229&amp;" "," ","|",4))-FIND("|",SUBSTITUTE($H1229&amp;" "," ","|",3))-1),""))</f>
        <v/>
      </c>
      <c r="F1229" s="59">
        <f>IF($H1229="","",IFERROR(VALUE(IFERROR(MID($H1229&amp;" ",FIND("|",SUBSTITUTE($H1229&amp;" "," ","|",4))+1,FIND("|",SUBSTITUTE($H1229&amp;" "," ","|",5))-FIND("|",SUBSTITUTE($H1229&amp;" "," ","|",4))-1),""))/86400+25569+9/24,""))</f>
        <v/>
      </c>
      <c r="G1229" s="58">
        <f>TRIM(SUBSTITUTE(SUBSTITUTE(SUBSTITUTE($A1229,CHAR(9)," ")," "," "),CHAR(13),""))</f>
        <v/>
      </c>
      <c r="H1229" s="58">
        <f>IF($G1229="","",IF(ISNUMBER(FIND(" ",$G1229)),$G1229,IFERROR(IF((LEN(SUBSTITUTE(SUBSTITUTE($G1229,"-"," ",LEN($G1229)-LEN(SUBSTITUTE($G1229,"-",""))),"-"," ",LEN($G1229)-LEN(SUBSTITUTE($G1229,"-",""))-1))-LEN(SUBSTITUTE(SUBSTITUTE(SUBSTITUTE($G1229,"-"," ",LEN($G1229)-LEN(SUBSTITUTE($G1229,"-",""))),"-"," ",LEN($G1229)-LEN(SUBSTITUTE($G1229,"-",""))-1),".","")))=0,SUBSTITUTE(SUBSTITUTE($G1229,"-"," ",LEN($G1229)-LEN(SUBSTITUTE($G1229,"-",""))),"-"," ",LEN($G1229)-LEN(SUBSTITUTE($G1229,"-",""))-1),SUBSTITUTE(SUBSTITUTE(SUBSTITUTE($G1229,"-"," ",LEN($G1229)-LEN(SUBSTITUTE($G1229,"-",""))),"-"," ",LEN($G1229)-LEN(SUBSTITUTE($G1229,"-",""))-1),"."," ",(LEN(SUBSTITUTE(SUBSTITUTE($G1229,"-"," ",LEN($G1229)-LEN(SUBSTITUTE($G1229,"-",""))),"-"," ",LEN($G1229)-LEN(SUBSTITUTE($G1229,"-",""))-1))-LEN(SUBSTITUTE(SUBSTITUTE(SUBSTITUTE($G1229,"-"," ",LEN($G1229)-LEN(SUBSTITUTE($G1229,"-",""))),"-"," ",LEN($G1229)-LEN(SUBSTITUTE($G1229,"-",""))-1),".",""))))),$G1229)))</f>
        <v/>
      </c>
    </row>
    <row r="1230">
      <c r="A1230" s="58" t="n"/>
      <c r="B1230" s="58">
        <f>IF($H1230="","",LEFT($H1230,FIND(" ",$H1230&amp;" ")-1))</f>
        <v/>
      </c>
      <c r="C1230" s="58">
        <f>IF($H1230="","",IFERROR(MID($H1230&amp;" ",FIND("|",SUBSTITUTE($H1230&amp;" "," ","|",1))+1,FIND("|",SUBSTITUTE($H1230&amp;" "," ","|",2))-FIND("|",SUBSTITUTE($H1230&amp;" "," ","|",1))-1),""))</f>
        <v/>
      </c>
      <c r="D1230" s="58">
        <f>IF($H1230="","",IFERROR(MID($H1230&amp;" ",FIND("|",SUBSTITUTE($H1230&amp;" "," ","|",2))+1,FIND("|",SUBSTITUTE($H1230&amp;" "," ","|",3))-FIND("|",SUBSTITUTE($H1230&amp;" "," ","|",2))-1),""))</f>
        <v/>
      </c>
      <c r="E1230" s="58">
        <f>IF($H1230="","",IFERROR(MID($H1230&amp;" ",FIND("|",SUBSTITUTE($H1230&amp;" "," ","|",3))+1,FIND("|",SUBSTITUTE($H1230&amp;" "," ","|",4))-FIND("|",SUBSTITUTE($H1230&amp;" "," ","|",3))-1),""))</f>
        <v/>
      </c>
      <c r="F1230" s="59">
        <f>IF($H1230="","",IFERROR(VALUE(IFERROR(MID($H1230&amp;" ",FIND("|",SUBSTITUTE($H1230&amp;" "," ","|",4))+1,FIND("|",SUBSTITUTE($H1230&amp;" "," ","|",5))-FIND("|",SUBSTITUTE($H1230&amp;" "," ","|",4))-1),""))/86400+25569+9/24,""))</f>
        <v/>
      </c>
      <c r="G1230" s="58">
        <f>TRIM(SUBSTITUTE(SUBSTITUTE(SUBSTITUTE($A1230,CHAR(9)," ")," "," "),CHAR(13),""))</f>
        <v/>
      </c>
      <c r="H1230" s="58">
        <f>IF($G1230="","",IF(ISNUMBER(FIND(" ",$G1230)),$G1230,IFERROR(IF((LEN(SUBSTITUTE(SUBSTITUTE($G1230,"-"," ",LEN($G1230)-LEN(SUBSTITUTE($G1230,"-",""))),"-"," ",LEN($G1230)-LEN(SUBSTITUTE($G1230,"-",""))-1))-LEN(SUBSTITUTE(SUBSTITUTE(SUBSTITUTE($G1230,"-"," ",LEN($G1230)-LEN(SUBSTITUTE($G1230,"-",""))),"-"," ",LEN($G1230)-LEN(SUBSTITUTE($G1230,"-",""))-1),".","")))=0,SUBSTITUTE(SUBSTITUTE($G1230,"-"," ",LEN($G1230)-LEN(SUBSTITUTE($G1230,"-",""))),"-"," ",LEN($G1230)-LEN(SUBSTITUTE($G1230,"-",""))-1),SUBSTITUTE(SUBSTITUTE(SUBSTITUTE($G1230,"-"," ",LEN($G1230)-LEN(SUBSTITUTE($G1230,"-",""))),"-"," ",LEN($G1230)-LEN(SUBSTITUTE($G1230,"-",""))-1),"."," ",(LEN(SUBSTITUTE(SUBSTITUTE($G1230,"-"," ",LEN($G1230)-LEN(SUBSTITUTE($G1230,"-",""))),"-"," ",LEN($G1230)-LEN(SUBSTITUTE($G1230,"-",""))-1))-LEN(SUBSTITUTE(SUBSTITUTE(SUBSTITUTE($G1230,"-"," ",LEN($G1230)-LEN(SUBSTITUTE($G1230,"-",""))),"-"," ",LEN($G1230)-LEN(SUBSTITUTE($G1230,"-",""))-1),".",""))))),$G1230)))</f>
        <v/>
      </c>
    </row>
    <row r="1231">
      <c r="A1231" s="58" t="n"/>
      <c r="B1231" s="58">
        <f>IF($H1231="","",LEFT($H1231,FIND(" ",$H1231&amp;" ")-1))</f>
        <v/>
      </c>
      <c r="C1231" s="58">
        <f>IF($H1231="","",IFERROR(MID($H1231&amp;" ",FIND("|",SUBSTITUTE($H1231&amp;" "," ","|",1))+1,FIND("|",SUBSTITUTE($H1231&amp;" "," ","|",2))-FIND("|",SUBSTITUTE($H1231&amp;" "," ","|",1))-1),""))</f>
        <v/>
      </c>
      <c r="D1231" s="58">
        <f>IF($H1231="","",IFERROR(MID($H1231&amp;" ",FIND("|",SUBSTITUTE($H1231&amp;" "," ","|",2))+1,FIND("|",SUBSTITUTE($H1231&amp;" "," ","|",3))-FIND("|",SUBSTITUTE($H1231&amp;" "," ","|",2))-1),""))</f>
        <v/>
      </c>
      <c r="E1231" s="58">
        <f>IF($H1231="","",IFERROR(MID($H1231&amp;" ",FIND("|",SUBSTITUTE($H1231&amp;" "," ","|",3))+1,FIND("|",SUBSTITUTE($H1231&amp;" "," ","|",4))-FIND("|",SUBSTITUTE($H1231&amp;" "," ","|",3))-1),""))</f>
        <v/>
      </c>
      <c r="F1231" s="59">
        <f>IF($H1231="","",IFERROR(VALUE(IFERROR(MID($H1231&amp;" ",FIND("|",SUBSTITUTE($H1231&amp;" "," ","|",4))+1,FIND("|",SUBSTITUTE($H1231&amp;" "," ","|",5))-FIND("|",SUBSTITUTE($H1231&amp;" "," ","|",4))-1),""))/86400+25569+9/24,""))</f>
        <v/>
      </c>
      <c r="G1231" s="58">
        <f>TRIM(SUBSTITUTE(SUBSTITUTE(SUBSTITUTE($A1231,CHAR(9)," ")," "," "),CHAR(13),""))</f>
        <v/>
      </c>
      <c r="H1231" s="58">
        <f>IF($G1231="","",IF(ISNUMBER(FIND(" ",$G1231)),$G1231,IFERROR(IF((LEN(SUBSTITUTE(SUBSTITUTE($G1231,"-"," ",LEN($G1231)-LEN(SUBSTITUTE($G1231,"-",""))),"-"," ",LEN($G1231)-LEN(SUBSTITUTE($G1231,"-",""))-1))-LEN(SUBSTITUTE(SUBSTITUTE(SUBSTITUTE($G1231,"-"," ",LEN($G1231)-LEN(SUBSTITUTE($G1231,"-",""))),"-"," ",LEN($G1231)-LEN(SUBSTITUTE($G1231,"-",""))-1),".","")))=0,SUBSTITUTE(SUBSTITUTE($G1231,"-"," ",LEN($G1231)-LEN(SUBSTITUTE($G1231,"-",""))),"-"," ",LEN($G1231)-LEN(SUBSTITUTE($G1231,"-",""))-1),SUBSTITUTE(SUBSTITUTE(SUBSTITUTE($G1231,"-"," ",LEN($G1231)-LEN(SUBSTITUTE($G1231,"-",""))),"-"," ",LEN($G1231)-LEN(SUBSTITUTE($G1231,"-",""))-1),"."," ",(LEN(SUBSTITUTE(SUBSTITUTE($G1231,"-"," ",LEN($G1231)-LEN(SUBSTITUTE($G1231,"-",""))),"-"," ",LEN($G1231)-LEN(SUBSTITUTE($G1231,"-",""))-1))-LEN(SUBSTITUTE(SUBSTITUTE(SUBSTITUTE($G1231,"-"," ",LEN($G1231)-LEN(SUBSTITUTE($G1231,"-",""))),"-"," ",LEN($G1231)-LEN(SUBSTITUTE($G1231,"-",""))-1),".",""))))),$G1231)))</f>
        <v/>
      </c>
    </row>
    <row r="1232">
      <c r="A1232" s="58" t="n"/>
      <c r="B1232" s="58">
        <f>IF($H1232="","",LEFT($H1232,FIND(" ",$H1232&amp;" ")-1))</f>
        <v/>
      </c>
      <c r="C1232" s="58">
        <f>IF($H1232="","",IFERROR(MID($H1232&amp;" ",FIND("|",SUBSTITUTE($H1232&amp;" "," ","|",1))+1,FIND("|",SUBSTITUTE($H1232&amp;" "," ","|",2))-FIND("|",SUBSTITUTE($H1232&amp;" "," ","|",1))-1),""))</f>
        <v/>
      </c>
      <c r="D1232" s="58">
        <f>IF($H1232="","",IFERROR(MID($H1232&amp;" ",FIND("|",SUBSTITUTE($H1232&amp;" "," ","|",2))+1,FIND("|",SUBSTITUTE($H1232&amp;" "," ","|",3))-FIND("|",SUBSTITUTE($H1232&amp;" "," ","|",2))-1),""))</f>
        <v/>
      </c>
      <c r="E1232" s="58">
        <f>IF($H1232="","",IFERROR(MID($H1232&amp;" ",FIND("|",SUBSTITUTE($H1232&amp;" "," ","|",3))+1,FIND("|",SUBSTITUTE($H1232&amp;" "," ","|",4))-FIND("|",SUBSTITUTE($H1232&amp;" "," ","|",3))-1),""))</f>
        <v/>
      </c>
      <c r="F1232" s="59">
        <f>IF($H1232="","",IFERROR(VALUE(IFERROR(MID($H1232&amp;" ",FIND("|",SUBSTITUTE($H1232&amp;" "," ","|",4))+1,FIND("|",SUBSTITUTE($H1232&amp;" "," ","|",5))-FIND("|",SUBSTITUTE($H1232&amp;" "," ","|",4))-1),""))/86400+25569+9/24,""))</f>
        <v/>
      </c>
      <c r="G1232" s="58">
        <f>TRIM(SUBSTITUTE(SUBSTITUTE(SUBSTITUTE($A1232,CHAR(9)," ")," "," "),CHAR(13),""))</f>
        <v/>
      </c>
      <c r="H1232" s="58">
        <f>IF($G1232="","",IF(ISNUMBER(FIND(" ",$G1232)),$G1232,IFERROR(IF((LEN(SUBSTITUTE(SUBSTITUTE($G1232,"-"," ",LEN($G1232)-LEN(SUBSTITUTE($G1232,"-",""))),"-"," ",LEN($G1232)-LEN(SUBSTITUTE($G1232,"-",""))-1))-LEN(SUBSTITUTE(SUBSTITUTE(SUBSTITUTE($G1232,"-"," ",LEN($G1232)-LEN(SUBSTITUTE($G1232,"-",""))),"-"," ",LEN($G1232)-LEN(SUBSTITUTE($G1232,"-",""))-1),".","")))=0,SUBSTITUTE(SUBSTITUTE($G1232,"-"," ",LEN($G1232)-LEN(SUBSTITUTE($G1232,"-",""))),"-"," ",LEN($G1232)-LEN(SUBSTITUTE($G1232,"-",""))-1),SUBSTITUTE(SUBSTITUTE(SUBSTITUTE($G1232,"-"," ",LEN($G1232)-LEN(SUBSTITUTE($G1232,"-",""))),"-"," ",LEN($G1232)-LEN(SUBSTITUTE($G1232,"-",""))-1),"."," ",(LEN(SUBSTITUTE(SUBSTITUTE($G1232,"-"," ",LEN($G1232)-LEN(SUBSTITUTE($G1232,"-",""))),"-"," ",LEN($G1232)-LEN(SUBSTITUTE($G1232,"-",""))-1))-LEN(SUBSTITUTE(SUBSTITUTE(SUBSTITUTE($G1232,"-"," ",LEN($G1232)-LEN(SUBSTITUTE($G1232,"-",""))),"-"," ",LEN($G1232)-LEN(SUBSTITUTE($G1232,"-",""))-1),".",""))))),$G1232)))</f>
        <v/>
      </c>
    </row>
    <row r="1233">
      <c r="A1233" s="58" t="n"/>
      <c r="B1233" s="58">
        <f>IF($H1233="","",LEFT($H1233,FIND(" ",$H1233&amp;" ")-1))</f>
        <v/>
      </c>
      <c r="C1233" s="58">
        <f>IF($H1233="","",IFERROR(MID($H1233&amp;" ",FIND("|",SUBSTITUTE($H1233&amp;" "," ","|",1))+1,FIND("|",SUBSTITUTE($H1233&amp;" "," ","|",2))-FIND("|",SUBSTITUTE($H1233&amp;" "," ","|",1))-1),""))</f>
        <v/>
      </c>
      <c r="D1233" s="58">
        <f>IF($H1233="","",IFERROR(MID($H1233&amp;" ",FIND("|",SUBSTITUTE($H1233&amp;" "," ","|",2))+1,FIND("|",SUBSTITUTE($H1233&amp;" "," ","|",3))-FIND("|",SUBSTITUTE($H1233&amp;" "," ","|",2))-1),""))</f>
        <v/>
      </c>
      <c r="E1233" s="58">
        <f>IF($H1233="","",IFERROR(MID($H1233&amp;" ",FIND("|",SUBSTITUTE($H1233&amp;" "," ","|",3))+1,FIND("|",SUBSTITUTE($H1233&amp;" "," ","|",4))-FIND("|",SUBSTITUTE($H1233&amp;" "," ","|",3))-1),""))</f>
        <v/>
      </c>
      <c r="F1233" s="59">
        <f>IF($H1233="","",IFERROR(VALUE(IFERROR(MID($H1233&amp;" ",FIND("|",SUBSTITUTE($H1233&amp;" "," ","|",4))+1,FIND("|",SUBSTITUTE($H1233&amp;" "," ","|",5))-FIND("|",SUBSTITUTE($H1233&amp;" "," ","|",4))-1),""))/86400+25569+9/24,""))</f>
        <v/>
      </c>
      <c r="G1233" s="58">
        <f>TRIM(SUBSTITUTE(SUBSTITUTE(SUBSTITUTE($A1233,CHAR(9)," ")," "," "),CHAR(13),""))</f>
        <v/>
      </c>
      <c r="H1233" s="58">
        <f>IF($G1233="","",IF(ISNUMBER(FIND(" ",$G1233)),$G1233,IFERROR(IF((LEN(SUBSTITUTE(SUBSTITUTE($G1233,"-"," ",LEN($G1233)-LEN(SUBSTITUTE($G1233,"-",""))),"-"," ",LEN($G1233)-LEN(SUBSTITUTE($G1233,"-",""))-1))-LEN(SUBSTITUTE(SUBSTITUTE(SUBSTITUTE($G1233,"-"," ",LEN($G1233)-LEN(SUBSTITUTE($G1233,"-",""))),"-"," ",LEN($G1233)-LEN(SUBSTITUTE($G1233,"-",""))-1),".","")))=0,SUBSTITUTE(SUBSTITUTE($G1233,"-"," ",LEN($G1233)-LEN(SUBSTITUTE($G1233,"-",""))),"-"," ",LEN($G1233)-LEN(SUBSTITUTE($G1233,"-",""))-1),SUBSTITUTE(SUBSTITUTE(SUBSTITUTE($G1233,"-"," ",LEN($G1233)-LEN(SUBSTITUTE($G1233,"-",""))),"-"," ",LEN($G1233)-LEN(SUBSTITUTE($G1233,"-",""))-1),"."," ",(LEN(SUBSTITUTE(SUBSTITUTE($G1233,"-"," ",LEN($G1233)-LEN(SUBSTITUTE($G1233,"-",""))),"-"," ",LEN($G1233)-LEN(SUBSTITUTE($G1233,"-",""))-1))-LEN(SUBSTITUTE(SUBSTITUTE(SUBSTITUTE($G1233,"-"," ",LEN($G1233)-LEN(SUBSTITUTE($G1233,"-",""))),"-"," ",LEN($G1233)-LEN(SUBSTITUTE($G1233,"-",""))-1),".",""))))),$G1233)))</f>
        <v/>
      </c>
    </row>
    <row r="1234">
      <c r="A1234" s="58" t="n"/>
      <c r="B1234" s="58">
        <f>IF($H1234="","",LEFT($H1234,FIND(" ",$H1234&amp;" ")-1))</f>
        <v/>
      </c>
      <c r="C1234" s="58">
        <f>IF($H1234="","",IFERROR(MID($H1234&amp;" ",FIND("|",SUBSTITUTE($H1234&amp;" "," ","|",1))+1,FIND("|",SUBSTITUTE($H1234&amp;" "," ","|",2))-FIND("|",SUBSTITUTE($H1234&amp;" "," ","|",1))-1),""))</f>
        <v/>
      </c>
      <c r="D1234" s="58">
        <f>IF($H1234="","",IFERROR(MID($H1234&amp;" ",FIND("|",SUBSTITUTE($H1234&amp;" "," ","|",2))+1,FIND("|",SUBSTITUTE($H1234&amp;" "," ","|",3))-FIND("|",SUBSTITUTE($H1234&amp;" "," ","|",2))-1),""))</f>
        <v/>
      </c>
      <c r="E1234" s="58">
        <f>IF($H1234="","",IFERROR(MID($H1234&amp;" ",FIND("|",SUBSTITUTE($H1234&amp;" "," ","|",3))+1,FIND("|",SUBSTITUTE($H1234&amp;" "," ","|",4))-FIND("|",SUBSTITUTE($H1234&amp;" "," ","|",3))-1),""))</f>
        <v/>
      </c>
      <c r="F1234" s="59">
        <f>IF($H1234="","",IFERROR(VALUE(IFERROR(MID($H1234&amp;" ",FIND("|",SUBSTITUTE($H1234&amp;" "," ","|",4))+1,FIND("|",SUBSTITUTE($H1234&amp;" "," ","|",5))-FIND("|",SUBSTITUTE($H1234&amp;" "," ","|",4))-1),""))/86400+25569+9/24,""))</f>
        <v/>
      </c>
      <c r="G1234" s="58">
        <f>TRIM(SUBSTITUTE(SUBSTITUTE(SUBSTITUTE($A1234,CHAR(9)," ")," "," "),CHAR(13),""))</f>
        <v/>
      </c>
      <c r="H1234" s="58">
        <f>IF($G1234="","",IF(ISNUMBER(FIND(" ",$G1234)),$G1234,IFERROR(IF((LEN(SUBSTITUTE(SUBSTITUTE($G1234,"-"," ",LEN($G1234)-LEN(SUBSTITUTE($G1234,"-",""))),"-"," ",LEN($G1234)-LEN(SUBSTITUTE($G1234,"-",""))-1))-LEN(SUBSTITUTE(SUBSTITUTE(SUBSTITUTE($G1234,"-"," ",LEN($G1234)-LEN(SUBSTITUTE($G1234,"-",""))),"-"," ",LEN($G1234)-LEN(SUBSTITUTE($G1234,"-",""))-1),".","")))=0,SUBSTITUTE(SUBSTITUTE($G1234,"-"," ",LEN($G1234)-LEN(SUBSTITUTE($G1234,"-",""))),"-"," ",LEN($G1234)-LEN(SUBSTITUTE($G1234,"-",""))-1),SUBSTITUTE(SUBSTITUTE(SUBSTITUTE($G1234,"-"," ",LEN($G1234)-LEN(SUBSTITUTE($G1234,"-",""))),"-"," ",LEN($G1234)-LEN(SUBSTITUTE($G1234,"-",""))-1),"."," ",(LEN(SUBSTITUTE(SUBSTITUTE($G1234,"-"," ",LEN($G1234)-LEN(SUBSTITUTE($G1234,"-",""))),"-"," ",LEN($G1234)-LEN(SUBSTITUTE($G1234,"-",""))-1))-LEN(SUBSTITUTE(SUBSTITUTE(SUBSTITUTE($G1234,"-"," ",LEN($G1234)-LEN(SUBSTITUTE($G1234,"-",""))),"-"," ",LEN($G1234)-LEN(SUBSTITUTE($G1234,"-",""))-1),".",""))))),$G1234)))</f>
        <v/>
      </c>
    </row>
    <row r="1235">
      <c r="A1235" s="58" t="n"/>
      <c r="B1235" s="58">
        <f>IF($H1235="","",LEFT($H1235,FIND(" ",$H1235&amp;" ")-1))</f>
        <v/>
      </c>
      <c r="C1235" s="58">
        <f>IF($H1235="","",IFERROR(MID($H1235&amp;" ",FIND("|",SUBSTITUTE($H1235&amp;" "," ","|",1))+1,FIND("|",SUBSTITUTE($H1235&amp;" "," ","|",2))-FIND("|",SUBSTITUTE($H1235&amp;" "," ","|",1))-1),""))</f>
        <v/>
      </c>
      <c r="D1235" s="58">
        <f>IF($H1235="","",IFERROR(MID($H1235&amp;" ",FIND("|",SUBSTITUTE($H1235&amp;" "," ","|",2))+1,FIND("|",SUBSTITUTE($H1235&amp;" "," ","|",3))-FIND("|",SUBSTITUTE($H1235&amp;" "," ","|",2))-1),""))</f>
        <v/>
      </c>
      <c r="E1235" s="58">
        <f>IF($H1235="","",IFERROR(MID($H1235&amp;" ",FIND("|",SUBSTITUTE($H1235&amp;" "," ","|",3))+1,FIND("|",SUBSTITUTE($H1235&amp;" "," ","|",4))-FIND("|",SUBSTITUTE($H1235&amp;" "," ","|",3))-1),""))</f>
        <v/>
      </c>
      <c r="F1235" s="59">
        <f>IF($H1235="","",IFERROR(VALUE(IFERROR(MID($H1235&amp;" ",FIND("|",SUBSTITUTE($H1235&amp;" "," ","|",4))+1,FIND("|",SUBSTITUTE($H1235&amp;" "," ","|",5))-FIND("|",SUBSTITUTE($H1235&amp;" "," ","|",4))-1),""))/86400+25569+9/24,""))</f>
        <v/>
      </c>
      <c r="G1235" s="58">
        <f>TRIM(SUBSTITUTE(SUBSTITUTE(SUBSTITUTE($A1235,CHAR(9)," ")," "," "),CHAR(13),""))</f>
        <v/>
      </c>
      <c r="H1235" s="58">
        <f>IF($G1235="","",IF(ISNUMBER(FIND(" ",$G1235)),$G1235,IFERROR(IF((LEN(SUBSTITUTE(SUBSTITUTE($G1235,"-"," ",LEN($G1235)-LEN(SUBSTITUTE($G1235,"-",""))),"-"," ",LEN($G1235)-LEN(SUBSTITUTE($G1235,"-",""))-1))-LEN(SUBSTITUTE(SUBSTITUTE(SUBSTITUTE($G1235,"-"," ",LEN($G1235)-LEN(SUBSTITUTE($G1235,"-",""))),"-"," ",LEN($G1235)-LEN(SUBSTITUTE($G1235,"-",""))-1),".","")))=0,SUBSTITUTE(SUBSTITUTE($G1235,"-"," ",LEN($G1235)-LEN(SUBSTITUTE($G1235,"-",""))),"-"," ",LEN($G1235)-LEN(SUBSTITUTE($G1235,"-",""))-1),SUBSTITUTE(SUBSTITUTE(SUBSTITUTE($G1235,"-"," ",LEN($G1235)-LEN(SUBSTITUTE($G1235,"-",""))),"-"," ",LEN($G1235)-LEN(SUBSTITUTE($G1235,"-",""))-1),"."," ",(LEN(SUBSTITUTE(SUBSTITUTE($G1235,"-"," ",LEN($G1235)-LEN(SUBSTITUTE($G1235,"-",""))),"-"," ",LEN($G1235)-LEN(SUBSTITUTE($G1235,"-",""))-1))-LEN(SUBSTITUTE(SUBSTITUTE(SUBSTITUTE($G1235,"-"," ",LEN($G1235)-LEN(SUBSTITUTE($G1235,"-",""))),"-"," ",LEN($G1235)-LEN(SUBSTITUTE($G1235,"-",""))-1),".",""))))),$G1235)))</f>
        <v/>
      </c>
    </row>
    <row r="1236">
      <c r="A1236" s="58" t="n"/>
      <c r="B1236" s="58">
        <f>IF($H1236="","",LEFT($H1236,FIND(" ",$H1236&amp;" ")-1))</f>
        <v/>
      </c>
      <c r="C1236" s="58">
        <f>IF($H1236="","",IFERROR(MID($H1236&amp;" ",FIND("|",SUBSTITUTE($H1236&amp;" "," ","|",1))+1,FIND("|",SUBSTITUTE($H1236&amp;" "," ","|",2))-FIND("|",SUBSTITUTE($H1236&amp;" "," ","|",1))-1),""))</f>
        <v/>
      </c>
      <c r="D1236" s="58">
        <f>IF($H1236="","",IFERROR(MID($H1236&amp;" ",FIND("|",SUBSTITUTE($H1236&amp;" "," ","|",2))+1,FIND("|",SUBSTITUTE($H1236&amp;" "," ","|",3))-FIND("|",SUBSTITUTE($H1236&amp;" "," ","|",2))-1),""))</f>
        <v/>
      </c>
      <c r="E1236" s="58">
        <f>IF($H1236="","",IFERROR(MID($H1236&amp;" ",FIND("|",SUBSTITUTE($H1236&amp;" "," ","|",3))+1,FIND("|",SUBSTITUTE($H1236&amp;" "," ","|",4))-FIND("|",SUBSTITUTE($H1236&amp;" "," ","|",3))-1),""))</f>
        <v/>
      </c>
      <c r="F1236" s="59">
        <f>IF($H1236="","",IFERROR(VALUE(IFERROR(MID($H1236&amp;" ",FIND("|",SUBSTITUTE($H1236&amp;" "," ","|",4))+1,FIND("|",SUBSTITUTE($H1236&amp;" "," ","|",5))-FIND("|",SUBSTITUTE($H1236&amp;" "," ","|",4))-1),""))/86400+25569+9/24,""))</f>
        <v/>
      </c>
      <c r="G1236" s="58">
        <f>TRIM(SUBSTITUTE(SUBSTITUTE(SUBSTITUTE($A1236,CHAR(9)," ")," "," "),CHAR(13),""))</f>
        <v/>
      </c>
      <c r="H1236" s="58">
        <f>IF($G1236="","",IF(ISNUMBER(FIND(" ",$G1236)),$G1236,IFERROR(IF((LEN(SUBSTITUTE(SUBSTITUTE($G1236,"-"," ",LEN($G1236)-LEN(SUBSTITUTE($G1236,"-",""))),"-"," ",LEN($G1236)-LEN(SUBSTITUTE($G1236,"-",""))-1))-LEN(SUBSTITUTE(SUBSTITUTE(SUBSTITUTE($G1236,"-"," ",LEN($G1236)-LEN(SUBSTITUTE($G1236,"-",""))),"-"," ",LEN($G1236)-LEN(SUBSTITUTE($G1236,"-",""))-1),".","")))=0,SUBSTITUTE(SUBSTITUTE($G1236,"-"," ",LEN($G1236)-LEN(SUBSTITUTE($G1236,"-",""))),"-"," ",LEN($G1236)-LEN(SUBSTITUTE($G1236,"-",""))-1),SUBSTITUTE(SUBSTITUTE(SUBSTITUTE($G1236,"-"," ",LEN($G1236)-LEN(SUBSTITUTE($G1236,"-",""))),"-"," ",LEN($G1236)-LEN(SUBSTITUTE($G1236,"-",""))-1),"."," ",(LEN(SUBSTITUTE(SUBSTITUTE($G1236,"-"," ",LEN($G1236)-LEN(SUBSTITUTE($G1236,"-",""))),"-"," ",LEN($G1236)-LEN(SUBSTITUTE($G1236,"-",""))-1))-LEN(SUBSTITUTE(SUBSTITUTE(SUBSTITUTE($G1236,"-"," ",LEN($G1236)-LEN(SUBSTITUTE($G1236,"-",""))),"-"," ",LEN($G1236)-LEN(SUBSTITUTE($G1236,"-",""))-1),".",""))))),$G1236)))</f>
        <v/>
      </c>
    </row>
    <row r="1237">
      <c r="A1237" s="58" t="n"/>
      <c r="B1237" s="58">
        <f>IF($H1237="","",LEFT($H1237,FIND(" ",$H1237&amp;" ")-1))</f>
        <v/>
      </c>
      <c r="C1237" s="58">
        <f>IF($H1237="","",IFERROR(MID($H1237&amp;" ",FIND("|",SUBSTITUTE($H1237&amp;" "," ","|",1))+1,FIND("|",SUBSTITUTE($H1237&amp;" "," ","|",2))-FIND("|",SUBSTITUTE($H1237&amp;" "," ","|",1))-1),""))</f>
        <v/>
      </c>
      <c r="D1237" s="58">
        <f>IF($H1237="","",IFERROR(MID($H1237&amp;" ",FIND("|",SUBSTITUTE($H1237&amp;" "," ","|",2))+1,FIND("|",SUBSTITUTE($H1237&amp;" "," ","|",3))-FIND("|",SUBSTITUTE($H1237&amp;" "," ","|",2))-1),""))</f>
        <v/>
      </c>
      <c r="E1237" s="58">
        <f>IF($H1237="","",IFERROR(MID($H1237&amp;" ",FIND("|",SUBSTITUTE($H1237&amp;" "," ","|",3))+1,FIND("|",SUBSTITUTE($H1237&amp;" "," ","|",4))-FIND("|",SUBSTITUTE($H1237&amp;" "," ","|",3))-1),""))</f>
        <v/>
      </c>
      <c r="F1237" s="59">
        <f>IF($H1237="","",IFERROR(VALUE(IFERROR(MID($H1237&amp;" ",FIND("|",SUBSTITUTE($H1237&amp;" "," ","|",4))+1,FIND("|",SUBSTITUTE($H1237&amp;" "," ","|",5))-FIND("|",SUBSTITUTE($H1237&amp;" "," ","|",4))-1),""))/86400+25569+9/24,""))</f>
        <v/>
      </c>
      <c r="G1237" s="58">
        <f>TRIM(SUBSTITUTE(SUBSTITUTE(SUBSTITUTE($A1237,CHAR(9)," ")," "," "),CHAR(13),""))</f>
        <v/>
      </c>
      <c r="H1237" s="58">
        <f>IF($G1237="","",IF(ISNUMBER(FIND(" ",$G1237)),$G1237,IFERROR(IF((LEN(SUBSTITUTE(SUBSTITUTE($G1237,"-"," ",LEN($G1237)-LEN(SUBSTITUTE($G1237,"-",""))),"-"," ",LEN($G1237)-LEN(SUBSTITUTE($G1237,"-",""))-1))-LEN(SUBSTITUTE(SUBSTITUTE(SUBSTITUTE($G1237,"-"," ",LEN($G1237)-LEN(SUBSTITUTE($G1237,"-",""))),"-"," ",LEN($G1237)-LEN(SUBSTITUTE($G1237,"-",""))-1),".","")))=0,SUBSTITUTE(SUBSTITUTE($G1237,"-"," ",LEN($G1237)-LEN(SUBSTITUTE($G1237,"-",""))),"-"," ",LEN($G1237)-LEN(SUBSTITUTE($G1237,"-",""))-1),SUBSTITUTE(SUBSTITUTE(SUBSTITUTE($G1237,"-"," ",LEN($G1237)-LEN(SUBSTITUTE($G1237,"-",""))),"-"," ",LEN($G1237)-LEN(SUBSTITUTE($G1237,"-",""))-1),"."," ",(LEN(SUBSTITUTE(SUBSTITUTE($G1237,"-"," ",LEN($G1237)-LEN(SUBSTITUTE($G1237,"-",""))),"-"," ",LEN($G1237)-LEN(SUBSTITUTE($G1237,"-",""))-1))-LEN(SUBSTITUTE(SUBSTITUTE(SUBSTITUTE($G1237,"-"," ",LEN($G1237)-LEN(SUBSTITUTE($G1237,"-",""))),"-"," ",LEN($G1237)-LEN(SUBSTITUTE($G1237,"-",""))-1),".",""))))),$G1237)))</f>
        <v/>
      </c>
    </row>
    <row r="1238">
      <c r="A1238" s="58" t="n"/>
      <c r="B1238" s="58">
        <f>IF($H1238="","",LEFT($H1238,FIND(" ",$H1238&amp;" ")-1))</f>
        <v/>
      </c>
      <c r="C1238" s="58">
        <f>IF($H1238="","",IFERROR(MID($H1238&amp;" ",FIND("|",SUBSTITUTE($H1238&amp;" "," ","|",1))+1,FIND("|",SUBSTITUTE($H1238&amp;" "," ","|",2))-FIND("|",SUBSTITUTE($H1238&amp;" "," ","|",1))-1),""))</f>
        <v/>
      </c>
      <c r="D1238" s="58">
        <f>IF($H1238="","",IFERROR(MID($H1238&amp;" ",FIND("|",SUBSTITUTE($H1238&amp;" "," ","|",2))+1,FIND("|",SUBSTITUTE($H1238&amp;" "," ","|",3))-FIND("|",SUBSTITUTE($H1238&amp;" "," ","|",2))-1),""))</f>
        <v/>
      </c>
      <c r="E1238" s="58">
        <f>IF($H1238="","",IFERROR(MID($H1238&amp;" ",FIND("|",SUBSTITUTE($H1238&amp;" "," ","|",3))+1,FIND("|",SUBSTITUTE($H1238&amp;" "," ","|",4))-FIND("|",SUBSTITUTE($H1238&amp;" "," ","|",3))-1),""))</f>
        <v/>
      </c>
      <c r="F1238" s="59">
        <f>IF($H1238="","",IFERROR(VALUE(IFERROR(MID($H1238&amp;" ",FIND("|",SUBSTITUTE($H1238&amp;" "," ","|",4))+1,FIND("|",SUBSTITUTE($H1238&amp;" "," ","|",5))-FIND("|",SUBSTITUTE($H1238&amp;" "," ","|",4))-1),""))/86400+25569+9/24,""))</f>
        <v/>
      </c>
      <c r="G1238" s="58">
        <f>TRIM(SUBSTITUTE(SUBSTITUTE(SUBSTITUTE($A1238,CHAR(9)," ")," "," "),CHAR(13),""))</f>
        <v/>
      </c>
      <c r="H1238" s="58">
        <f>IF($G1238="","",IF(ISNUMBER(FIND(" ",$G1238)),$G1238,IFERROR(IF((LEN(SUBSTITUTE(SUBSTITUTE($G1238,"-"," ",LEN($G1238)-LEN(SUBSTITUTE($G1238,"-",""))),"-"," ",LEN($G1238)-LEN(SUBSTITUTE($G1238,"-",""))-1))-LEN(SUBSTITUTE(SUBSTITUTE(SUBSTITUTE($G1238,"-"," ",LEN($G1238)-LEN(SUBSTITUTE($G1238,"-",""))),"-"," ",LEN($G1238)-LEN(SUBSTITUTE($G1238,"-",""))-1),".","")))=0,SUBSTITUTE(SUBSTITUTE($G1238,"-"," ",LEN($G1238)-LEN(SUBSTITUTE($G1238,"-",""))),"-"," ",LEN($G1238)-LEN(SUBSTITUTE($G1238,"-",""))-1),SUBSTITUTE(SUBSTITUTE(SUBSTITUTE($G1238,"-"," ",LEN($G1238)-LEN(SUBSTITUTE($G1238,"-",""))),"-"," ",LEN($G1238)-LEN(SUBSTITUTE($G1238,"-",""))-1),"."," ",(LEN(SUBSTITUTE(SUBSTITUTE($G1238,"-"," ",LEN($G1238)-LEN(SUBSTITUTE($G1238,"-",""))),"-"," ",LEN($G1238)-LEN(SUBSTITUTE($G1238,"-",""))-1))-LEN(SUBSTITUTE(SUBSTITUTE(SUBSTITUTE($G1238,"-"," ",LEN($G1238)-LEN(SUBSTITUTE($G1238,"-",""))),"-"," ",LEN($G1238)-LEN(SUBSTITUTE($G1238,"-",""))-1),".",""))))),$G1238)))</f>
        <v/>
      </c>
    </row>
    <row r="1239">
      <c r="A1239" s="58" t="n"/>
      <c r="B1239" s="58">
        <f>IF($H1239="","",LEFT($H1239,FIND(" ",$H1239&amp;" ")-1))</f>
        <v/>
      </c>
      <c r="C1239" s="58">
        <f>IF($H1239="","",IFERROR(MID($H1239&amp;" ",FIND("|",SUBSTITUTE($H1239&amp;" "," ","|",1))+1,FIND("|",SUBSTITUTE($H1239&amp;" "," ","|",2))-FIND("|",SUBSTITUTE($H1239&amp;" "," ","|",1))-1),""))</f>
        <v/>
      </c>
      <c r="D1239" s="58">
        <f>IF($H1239="","",IFERROR(MID($H1239&amp;" ",FIND("|",SUBSTITUTE($H1239&amp;" "," ","|",2))+1,FIND("|",SUBSTITUTE($H1239&amp;" "," ","|",3))-FIND("|",SUBSTITUTE($H1239&amp;" "," ","|",2))-1),""))</f>
        <v/>
      </c>
      <c r="E1239" s="58">
        <f>IF($H1239="","",IFERROR(MID($H1239&amp;" ",FIND("|",SUBSTITUTE($H1239&amp;" "," ","|",3))+1,FIND("|",SUBSTITUTE($H1239&amp;" "," ","|",4))-FIND("|",SUBSTITUTE($H1239&amp;" "," ","|",3))-1),""))</f>
        <v/>
      </c>
      <c r="F1239" s="59">
        <f>IF($H1239="","",IFERROR(VALUE(IFERROR(MID($H1239&amp;" ",FIND("|",SUBSTITUTE($H1239&amp;" "," ","|",4))+1,FIND("|",SUBSTITUTE($H1239&amp;" "," ","|",5))-FIND("|",SUBSTITUTE($H1239&amp;" "," ","|",4))-1),""))/86400+25569+9/24,""))</f>
        <v/>
      </c>
      <c r="G1239" s="58">
        <f>TRIM(SUBSTITUTE(SUBSTITUTE(SUBSTITUTE($A1239,CHAR(9)," ")," "," "),CHAR(13),""))</f>
        <v/>
      </c>
      <c r="H1239" s="58">
        <f>IF($G1239="","",IF(ISNUMBER(FIND(" ",$G1239)),$G1239,IFERROR(IF((LEN(SUBSTITUTE(SUBSTITUTE($G1239,"-"," ",LEN($G1239)-LEN(SUBSTITUTE($G1239,"-",""))),"-"," ",LEN($G1239)-LEN(SUBSTITUTE($G1239,"-",""))-1))-LEN(SUBSTITUTE(SUBSTITUTE(SUBSTITUTE($G1239,"-"," ",LEN($G1239)-LEN(SUBSTITUTE($G1239,"-",""))),"-"," ",LEN($G1239)-LEN(SUBSTITUTE($G1239,"-",""))-1),".","")))=0,SUBSTITUTE(SUBSTITUTE($G1239,"-"," ",LEN($G1239)-LEN(SUBSTITUTE($G1239,"-",""))),"-"," ",LEN($G1239)-LEN(SUBSTITUTE($G1239,"-",""))-1),SUBSTITUTE(SUBSTITUTE(SUBSTITUTE($G1239,"-"," ",LEN($G1239)-LEN(SUBSTITUTE($G1239,"-",""))),"-"," ",LEN($G1239)-LEN(SUBSTITUTE($G1239,"-",""))-1),"."," ",(LEN(SUBSTITUTE(SUBSTITUTE($G1239,"-"," ",LEN($G1239)-LEN(SUBSTITUTE($G1239,"-",""))),"-"," ",LEN($G1239)-LEN(SUBSTITUTE($G1239,"-",""))-1))-LEN(SUBSTITUTE(SUBSTITUTE(SUBSTITUTE($G1239,"-"," ",LEN($G1239)-LEN(SUBSTITUTE($G1239,"-",""))),"-"," ",LEN($G1239)-LEN(SUBSTITUTE($G1239,"-",""))-1),".",""))))),$G1239)))</f>
        <v/>
      </c>
    </row>
    <row r="1240">
      <c r="A1240" s="58" t="n"/>
      <c r="B1240" s="58">
        <f>IF($H1240="","",LEFT($H1240,FIND(" ",$H1240&amp;" ")-1))</f>
        <v/>
      </c>
      <c r="C1240" s="58">
        <f>IF($H1240="","",IFERROR(MID($H1240&amp;" ",FIND("|",SUBSTITUTE($H1240&amp;" "," ","|",1))+1,FIND("|",SUBSTITUTE($H1240&amp;" "," ","|",2))-FIND("|",SUBSTITUTE($H1240&amp;" "," ","|",1))-1),""))</f>
        <v/>
      </c>
      <c r="D1240" s="58">
        <f>IF($H1240="","",IFERROR(MID($H1240&amp;" ",FIND("|",SUBSTITUTE($H1240&amp;" "," ","|",2))+1,FIND("|",SUBSTITUTE($H1240&amp;" "," ","|",3))-FIND("|",SUBSTITUTE($H1240&amp;" "," ","|",2))-1),""))</f>
        <v/>
      </c>
      <c r="E1240" s="58">
        <f>IF($H1240="","",IFERROR(MID($H1240&amp;" ",FIND("|",SUBSTITUTE($H1240&amp;" "," ","|",3))+1,FIND("|",SUBSTITUTE($H1240&amp;" "," ","|",4))-FIND("|",SUBSTITUTE($H1240&amp;" "," ","|",3))-1),""))</f>
        <v/>
      </c>
      <c r="F1240" s="59">
        <f>IF($H1240="","",IFERROR(VALUE(IFERROR(MID($H1240&amp;" ",FIND("|",SUBSTITUTE($H1240&amp;" "," ","|",4))+1,FIND("|",SUBSTITUTE($H1240&amp;" "," ","|",5))-FIND("|",SUBSTITUTE($H1240&amp;" "," ","|",4))-1),""))/86400+25569+9/24,""))</f>
        <v/>
      </c>
      <c r="G1240" s="58">
        <f>TRIM(SUBSTITUTE(SUBSTITUTE(SUBSTITUTE($A1240,CHAR(9)," ")," "," "),CHAR(13),""))</f>
        <v/>
      </c>
      <c r="H1240" s="58">
        <f>IF($G1240="","",IF(ISNUMBER(FIND(" ",$G1240)),$G1240,IFERROR(IF((LEN(SUBSTITUTE(SUBSTITUTE($G1240,"-"," ",LEN($G1240)-LEN(SUBSTITUTE($G1240,"-",""))),"-"," ",LEN($G1240)-LEN(SUBSTITUTE($G1240,"-",""))-1))-LEN(SUBSTITUTE(SUBSTITUTE(SUBSTITUTE($G1240,"-"," ",LEN($G1240)-LEN(SUBSTITUTE($G1240,"-",""))),"-"," ",LEN($G1240)-LEN(SUBSTITUTE($G1240,"-",""))-1),".","")))=0,SUBSTITUTE(SUBSTITUTE($G1240,"-"," ",LEN($G1240)-LEN(SUBSTITUTE($G1240,"-",""))),"-"," ",LEN($G1240)-LEN(SUBSTITUTE($G1240,"-",""))-1),SUBSTITUTE(SUBSTITUTE(SUBSTITUTE($G1240,"-"," ",LEN($G1240)-LEN(SUBSTITUTE($G1240,"-",""))),"-"," ",LEN($G1240)-LEN(SUBSTITUTE($G1240,"-",""))-1),"."," ",(LEN(SUBSTITUTE(SUBSTITUTE($G1240,"-"," ",LEN($G1240)-LEN(SUBSTITUTE($G1240,"-",""))),"-"," ",LEN($G1240)-LEN(SUBSTITUTE($G1240,"-",""))-1))-LEN(SUBSTITUTE(SUBSTITUTE(SUBSTITUTE($G1240,"-"," ",LEN($G1240)-LEN(SUBSTITUTE($G1240,"-",""))),"-"," ",LEN($G1240)-LEN(SUBSTITUTE($G1240,"-",""))-1),".",""))))),$G1240)))</f>
        <v/>
      </c>
    </row>
    <row r="1241">
      <c r="A1241" s="58" t="n"/>
      <c r="B1241" s="58">
        <f>IF($H1241="","",LEFT($H1241,FIND(" ",$H1241&amp;" ")-1))</f>
        <v/>
      </c>
      <c r="C1241" s="58">
        <f>IF($H1241="","",IFERROR(MID($H1241&amp;" ",FIND("|",SUBSTITUTE($H1241&amp;" "," ","|",1))+1,FIND("|",SUBSTITUTE($H1241&amp;" "," ","|",2))-FIND("|",SUBSTITUTE($H1241&amp;" "," ","|",1))-1),""))</f>
        <v/>
      </c>
      <c r="D1241" s="58">
        <f>IF($H1241="","",IFERROR(MID($H1241&amp;" ",FIND("|",SUBSTITUTE($H1241&amp;" "," ","|",2))+1,FIND("|",SUBSTITUTE($H1241&amp;" "," ","|",3))-FIND("|",SUBSTITUTE($H1241&amp;" "," ","|",2))-1),""))</f>
        <v/>
      </c>
      <c r="E1241" s="58">
        <f>IF($H1241="","",IFERROR(MID($H1241&amp;" ",FIND("|",SUBSTITUTE($H1241&amp;" "," ","|",3))+1,FIND("|",SUBSTITUTE($H1241&amp;" "," ","|",4))-FIND("|",SUBSTITUTE($H1241&amp;" "," ","|",3))-1),""))</f>
        <v/>
      </c>
      <c r="F1241" s="59">
        <f>IF($H1241="","",IFERROR(VALUE(IFERROR(MID($H1241&amp;" ",FIND("|",SUBSTITUTE($H1241&amp;" "," ","|",4))+1,FIND("|",SUBSTITUTE($H1241&amp;" "," ","|",5))-FIND("|",SUBSTITUTE($H1241&amp;" "," ","|",4))-1),""))/86400+25569+9/24,""))</f>
        <v/>
      </c>
      <c r="G1241" s="58">
        <f>TRIM(SUBSTITUTE(SUBSTITUTE(SUBSTITUTE($A1241,CHAR(9)," ")," "," "),CHAR(13),""))</f>
        <v/>
      </c>
      <c r="H1241" s="58">
        <f>IF($G1241="","",IF(ISNUMBER(FIND(" ",$G1241)),$G1241,IFERROR(IF((LEN(SUBSTITUTE(SUBSTITUTE($G1241,"-"," ",LEN($G1241)-LEN(SUBSTITUTE($G1241,"-",""))),"-"," ",LEN($G1241)-LEN(SUBSTITUTE($G1241,"-",""))-1))-LEN(SUBSTITUTE(SUBSTITUTE(SUBSTITUTE($G1241,"-"," ",LEN($G1241)-LEN(SUBSTITUTE($G1241,"-",""))),"-"," ",LEN($G1241)-LEN(SUBSTITUTE($G1241,"-",""))-1),".","")))=0,SUBSTITUTE(SUBSTITUTE($G1241,"-"," ",LEN($G1241)-LEN(SUBSTITUTE($G1241,"-",""))),"-"," ",LEN($G1241)-LEN(SUBSTITUTE($G1241,"-",""))-1),SUBSTITUTE(SUBSTITUTE(SUBSTITUTE($G1241,"-"," ",LEN($G1241)-LEN(SUBSTITUTE($G1241,"-",""))),"-"," ",LEN($G1241)-LEN(SUBSTITUTE($G1241,"-",""))-1),"."," ",(LEN(SUBSTITUTE(SUBSTITUTE($G1241,"-"," ",LEN($G1241)-LEN(SUBSTITUTE($G1241,"-",""))),"-"," ",LEN($G1241)-LEN(SUBSTITUTE($G1241,"-",""))-1))-LEN(SUBSTITUTE(SUBSTITUTE(SUBSTITUTE($G1241,"-"," ",LEN($G1241)-LEN(SUBSTITUTE($G1241,"-",""))),"-"," ",LEN($G1241)-LEN(SUBSTITUTE($G1241,"-",""))-1),".",""))))),$G1241)))</f>
        <v/>
      </c>
    </row>
    <row r="1242">
      <c r="A1242" s="58" t="n"/>
      <c r="B1242" s="58">
        <f>IF($H1242="","",LEFT($H1242,FIND(" ",$H1242&amp;" ")-1))</f>
        <v/>
      </c>
      <c r="C1242" s="58">
        <f>IF($H1242="","",IFERROR(MID($H1242&amp;" ",FIND("|",SUBSTITUTE($H1242&amp;" "," ","|",1))+1,FIND("|",SUBSTITUTE($H1242&amp;" "," ","|",2))-FIND("|",SUBSTITUTE($H1242&amp;" "," ","|",1))-1),""))</f>
        <v/>
      </c>
      <c r="D1242" s="58">
        <f>IF($H1242="","",IFERROR(MID($H1242&amp;" ",FIND("|",SUBSTITUTE($H1242&amp;" "," ","|",2))+1,FIND("|",SUBSTITUTE($H1242&amp;" "," ","|",3))-FIND("|",SUBSTITUTE($H1242&amp;" "," ","|",2))-1),""))</f>
        <v/>
      </c>
      <c r="E1242" s="58">
        <f>IF($H1242="","",IFERROR(MID($H1242&amp;" ",FIND("|",SUBSTITUTE($H1242&amp;" "," ","|",3))+1,FIND("|",SUBSTITUTE($H1242&amp;" "," ","|",4))-FIND("|",SUBSTITUTE($H1242&amp;" "," ","|",3))-1),""))</f>
        <v/>
      </c>
      <c r="F1242" s="59">
        <f>IF($H1242="","",IFERROR(VALUE(IFERROR(MID($H1242&amp;" ",FIND("|",SUBSTITUTE($H1242&amp;" "," ","|",4))+1,FIND("|",SUBSTITUTE($H1242&amp;" "," ","|",5))-FIND("|",SUBSTITUTE($H1242&amp;" "," ","|",4))-1),""))/86400+25569+9/24,""))</f>
        <v/>
      </c>
      <c r="G1242" s="58">
        <f>TRIM(SUBSTITUTE(SUBSTITUTE(SUBSTITUTE($A1242,CHAR(9)," ")," "," "),CHAR(13),""))</f>
        <v/>
      </c>
      <c r="H1242" s="58">
        <f>IF($G1242="","",IF(ISNUMBER(FIND(" ",$G1242)),$G1242,IFERROR(IF((LEN(SUBSTITUTE(SUBSTITUTE($G1242,"-"," ",LEN($G1242)-LEN(SUBSTITUTE($G1242,"-",""))),"-"," ",LEN($G1242)-LEN(SUBSTITUTE($G1242,"-",""))-1))-LEN(SUBSTITUTE(SUBSTITUTE(SUBSTITUTE($G1242,"-"," ",LEN($G1242)-LEN(SUBSTITUTE($G1242,"-",""))),"-"," ",LEN($G1242)-LEN(SUBSTITUTE($G1242,"-",""))-1),".","")))=0,SUBSTITUTE(SUBSTITUTE($G1242,"-"," ",LEN($G1242)-LEN(SUBSTITUTE($G1242,"-",""))),"-"," ",LEN($G1242)-LEN(SUBSTITUTE($G1242,"-",""))-1),SUBSTITUTE(SUBSTITUTE(SUBSTITUTE($G1242,"-"," ",LEN($G1242)-LEN(SUBSTITUTE($G1242,"-",""))),"-"," ",LEN($G1242)-LEN(SUBSTITUTE($G1242,"-",""))-1),"."," ",(LEN(SUBSTITUTE(SUBSTITUTE($G1242,"-"," ",LEN($G1242)-LEN(SUBSTITUTE($G1242,"-",""))),"-"," ",LEN($G1242)-LEN(SUBSTITUTE($G1242,"-",""))-1))-LEN(SUBSTITUTE(SUBSTITUTE(SUBSTITUTE($G1242,"-"," ",LEN($G1242)-LEN(SUBSTITUTE($G1242,"-",""))),"-"," ",LEN($G1242)-LEN(SUBSTITUTE($G1242,"-",""))-1),".",""))))),$G1242)))</f>
        <v/>
      </c>
    </row>
    <row r="1243">
      <c r="A1243" s="58" t="n"/>
      <c r="B1243" s="58">
        <f>IF($H1243="","",LEFT($H1243,FIND(" ",$H1243&amp;" ")-1))</f>
        <v/>
      </c>
      <c r="C1243" s="58">
        <f>IF($H1243="","",IFERROR(MID($H1243&amp;" ",FIND("|",SUBSTITUTE($H1243&amp;" "," ","|",1))+1,FIND("|",SUBSTITUTE($H1243&amp;" "," ","|",2))-FIND("|",SUBSTITUTE($H1243&amp;" "," ","|",1))-1),""))</f>
        <v/>
      </c>
      <c r="D1243" s="58">
        <f>IF($H1243="","",IFERROR(MID($H1243&amp;" ",FIND("|",SUBSTITUTE($H1243&amp;" "," ","|",2))+1,FIND("|",SUBSTITUTE($H1243&amp;" "," ","|",3))-FIND("|",SUBSTITUTE($H1243&amp;" "," ","|",2))-1),""))</f>
        <v/>
      </c>
      <c r="E1243" s="58">
        <f>IF($H1243="","",IFERROR(MID($H1243&amp;" ",FIND("|",SUBSTITUTE($H1243&amp;" "," ","|",3))+1,FIND("|",SUBSTITUTE($H1243&amp;" "," ","|",4))-FIND("|",SUBSTITUTE($H1243&amp;" "," ","|",3))-1),""))</f>
        <v/>
      </c>
      <c r="F1243" s="59">
        <f>IF($H1243="","",IFERROR(VALUE(IFERROR(MID($H1243&amp;" ",FIND("|",SUBSTITUTE($H1243&amp;" "," ","|",4))+1,FIND("|",SUBSTITUTE($H1243&amp;" "," ","|",5))-FIND("|",SUBSTITUTE($H1243&amp;" "," ","|",4))-1),""))/86400+25569+9/24,""))</f>
        <v/>
      </c>
      <c r="G1243" s="58">
        <f>TRIM(SUBSTITUTE(SUBSTITUTE(SUBSTITUTE($A1243,CHAR(9)," ")," "," "),CHAR(13),""))</f>
        <v/>
      </c>
      <c r="H1243" s="58">
        <f>IF($G1243="","",IF(ISNUMBER(FIND(" ",$G1243)),$G1243,IFERROR(IF((LEN(SUBSTITUTE(SUBSTITUTE($G1243,"-"," ",LEN($G1243)-LEN(SUBSTITUTE($G1243,"-",""))),"-"," ",LEN($G1243)-LEN(SUBSTITUTE($G1243,"-",""))-1))-LEN(SUBSTITUTE(SUBSTITUTE(SUBSTITUTE($G1243,"-"," ",LEN($G1243)-LEN(SUBSTITUTE($G1243,"-",""))),"-"," ",LEN($G1243)-LEN(SUBSTITUTE($G1243,"-",""))-1),".","")))=0,SUBSTITUTE(SUBSTITUTE($G1243,"-"," ",LEN($G1243)-LEN(SUBSTITUTE($G1243,"-",""))),"-"," ",LEN($G1243)-LEN(SUBSTITUTE($G1243,"-",""))-1),SUBSTITUTE(SUBSTITUTE(SUBSTITUTE($G1243,"-"," ",LEN($G1243)-LEN(SUBSTITUTE($G1243,"-",""))),"-"," ",LEN($G1243)-LEN(SUBSTITUTE($G1243,"-",""))-1),"."," ",(LEN(SUBSTITUTE(SUBSTITUTE($G1243,"-"," ",LEN($G1243)-LEN(SUBSTITUTE($G1243,"-",""))),"-"," ",LEN($G1243)-LEN(SUBSTITUTE($G1243,"-",""))-1))-LEN(SUBSTITUTE(SUBSTITUTE(SUBSTITUTE($G1243,"-"," ",LEN($G1243)-LEN(SUBSTITUTE($G1243,"-",""))),"-"," ",LEN($G1243)-LEN(SUBSTITUTE($G1243,"-",""))-1),".",""))))),$G1243)))</f>
        <v/>
      </c>
    </row>
    <row r="1244">
      <c r="A1244" s="58" t="n"/>
      <c r="B1244" s="58">
        <f>IF($H1244="","",LEFT($H1244,FIND(" ",$H1244&amp;" ")-1))</f>
        <v/>
      </c>
      <c r="C1244" s="58">
        <f>IF($H1244="","",IFERROR(MID($H1244&amp;" ",FIND("|",SUBSTITUTE($H1244&amp;" "," ","|",1))+1,FIND("|",SUBSTITUTE($H1244&amp;" "," ","|",2))-FIND("|",SUBSTITUTE($H1244&amp;" "," ","|",1))-1),""))</f>
        <v/>
      </c>
      <c r="D1244" s="58">
        <f>IF($H1244="","",IFERROR(MID($H1244&amp;" ",FIND("|",SUBSTITUTE($H1244&amp;" "," ","|",2))+1,FIND("|",SUBSTITUTE($H1244&amp;" "," ","|",3))-FIND("|",SUBSTITUTE($H1244&amp;" "," ","|",2))-1),""))</f>
        <v/>
      </c>
      <c r="E1244" s="58">
        <f>IF($H1244="","",IFERROR(MID($H1244&amp;" ",FIND("|",SUBSTITUTE($H1244&amp;" "," ","|",3))+1,FIND("|",SUBSTITUTE($H1244&amp;" "," ","|",4))-FIND("|",SUBSTITUTE($H1244&amp;" "," ","|",3))-1),""))</f>
        <v/>
      </c>
      <c r="F1244" s="59">
        <f>IF($H1244="","",IFERROR(VALUE(IFERROR(MID($H1244&amp;" ",FIND("|",SUBSTITUTE($H1244&amp;" "," ","|",4))+1,FIND("|",SUBSTITUTE($H1244&amp;" "," ","|",5))-FIND("|",SUBSTITUTE($H1244&amp;" "," ","|",4))-1),""))/86400+25569+9/24,""))</f>
        <v/>
      </c>
      <c r="G1244" s="58">
        <f>TRIM(SUBSTITUTE(SUBSTITUTE(SUBSTITUTE($A1244,CHAR(9)," ")," "," "),CHAR(13),""))</f>
        <v/>
      </c>
      <c r="H1244" s="58">
        <f>IF($G1244="","",IF(ISNUMBER(FIND(" ",$G1244)),$G1244,IFERROR(IF((LEN(SUBSTITUTE(SUBSTITUTE($G1244,"-"," ",LEN($G1244)-LEN(SUBSTITUTE($G1244,"-",""))),"-"," ",LEN($G1244)-LEN(SUBSTITUTE($G1244,"-",""))-1))-LEN(SUBSTITUTE(SUBSTITUTE(SUBSTITUTE($G1244,"-"," ",LEN($G1244)-LEN(SUBSTITUTE($G1244,"-",""))),"-"," ",LEN($G1244)-LEN(SUBSTITUTE($G1244,"-",""))-1),".","")))=0,SUBSTITUTE(SUBSTITUTE($G1244,"-"," ",LEN($G1244)-LEN(SUBSTITUTE($G1244,"-",""))),"-"," ",LEN($G1244)-LEN(SUBSTITUTE($G1244,"-",""))-1),SUBSTITUTE(SUBSTITUTE(SUBSTITUTE($G1244,"-"," ",LEN($G1244)-LEN(SUBSTITUTE($G1244,"-",""))),"-"," ",LEN($G1244)-LEN(SUBSTITUTE($G1244,"-",""))-1),"."," ",(LEN(SUBSTITUTE(SUBSTITUTE($G1244,"-"," ",LEN($G1244)-LEN(SUBSTITUTE($G1244,"-",""))),"-"," ",LEN($G1244)-LEN(SUBSTITUTE($G1244,"-",""))-1))-LEN(SUBSTITUTE(SUBSTITUTE(SUBSTITUTE($G1244,"-"," ",LEN($G1244)-LEN(SUBSTITUTE($G1244,"-",""))),"-"," ",LEN($G1244)-LEN(SUBSTITUTE($G1244,"-",""))-1),".",""))))),$G1244)))</f>
        <v/>
      </c>
    </row>
    <row r="1245">
      <c r="A1245" s="58" t="n"/>
      <c r="B1245" s="58">
        <f>IF($H1245="","",LEFT($H1245,FIND(" ",$H1245&amp;" ")-1))</f>
        <v/>
      </c>
      <c r="C1245" s="58">
        <f>IF($H1245="","",IFERROR(MID($H1245&amp;" ",FIND("|",SUBSTITUTE($H1245&amp;" "," ","|",1))+1,FIND("|",SUBSTITUTE($H1245&amp;" "," ","|",2))-FIND("|",SUBSTITUTE($H1245&amp;" "," ","|",1))-1),""))</f>
        <v/>
      </c>
      <c r="D1245" s="58">
        <f>IF($H1245="","",IFERROR(MID($H1245&amp;" ",FIND("|",SUBSTITUTE($H1245&amp;" "," ","|",2))+1,FIND("|",SUBSTITUTE($H1245&amp;" "," ","|",3))-FIND("|",SUBSTITUTE($H1245&amp;" "," ","|",2))-1),""))</f>
        <v/>
      </c>
      <c r="E1245" s="58">
        <f>IF($H1245="","",IFERROR(MID($H1245&amp;" ",FIND("|",SUBSTITUTE($H1245&amp;" "," ","|",3))+1,FIND("|",SUBSTITUTE($H1245&amp;" "," ","|",4))-FIND("|",SUBSTITUTE($H1245&amp;" "," ","|",3))-1),""))</f>
        <v/>
      </c>
      <c r="F1245" s="59">
        <f>IF($H1245="","",IFERROR(VALUE(IFERROR(MID($H1245&amp;" ",FIND("|",SUBSTITUTE($H1245&amp;" "," ","|",4))+1,FIND("|",SUBSTITUTE($H1245&amp;" "," ","|",5))-FIND("|",SUBSTITUTE($H1245&amp;" "," ","|",4))-1),""))/86400+25569+9/24,""))</f>
        <v/>
      </c>
      <c r="G1245" s="58">
        <f>TRIM(SUBSTITUTE(SUBSTITUTE(SUBSTITUTE($A1245,CHAR(9)," ")," "," "),CHAR(13),""))</f>
        <v/>
      </c>
      <c r="H1245" s="58">
        <f>IF($G1245="","",IF(ISNUMBER(FIND(" ",$G1245)),$G1245,IFERROR(IF((LEN(SUBSTITUTE(SUBSTITUTE($G1245,"-"," ",LEN($G1245)-LEN(SUBSTITUTE($G1245,"-",""))),"-"," ",LEN($G1245)-LEN(SUBSTITUTE($G1245,"-",""))-1))-LEN(SUBSTITUTE(SUBSTITUTE(SUBSTITUTE($G1245,"-"," ",LEN($G1245)-LEN(SUBSTITUTE($G1245,"-",""))),"-"," ",LEN($G1245)-LEN(SUBSTITUTE($G1245,"-",""))-1),".","")))=0,SUBSTITUTE(SUBSTITUTE($G1245,"-"," ",LEN($G1245)-LEN(SUBSTITUTE($G1245,"-",""))),"-"," ",LEN($G1245)-LEN(SUBSTITUTE($G1245,"-",""))-1),SUBSTITUTE(SUBSTITUTE(SUBSTITUTE($G1245,"-"," ",LEN($G1245)-LEN(SUBSTITUTE($G1245,"-",""))),"-"," ",LEN($G1245)-LEN(SUBSTITUTE($G1245,"-",""))-1),"."," ",(LEN(SUBSTITUTE(SUBSTITUTE($G1245,"-"," ",LEN($G1245)-LEN(SUBSTITUTE($G1245,"-",""))),"-"," ",LEN($G1245)-LEN(SUBSTITUTE($G1245,"-",""))-1))-LEN(SUBSTITUTE(SUBSTITUTE(SUBSTITUTE($G1245,"-"," ",LEN($G1245)-LEN(SUBSTITUTE($G1245,"-",""))),"-"," ",LEN($G1245)-LEN(SUBSTITUTE($G1245,"-",""))-1),".",""))))),$G1245)))</f>
        <v/>
      </c>
    </row>
    <row r="1246">
      <c r="A1246" s="58" t="n"/>
      <c r="B1246" s="58">
        <f>IF($H1246="","",LEFT($H1246,FIND(" ",$H1246&amp;" ")-1))</f>
        <v/>
      </c>
      <c r="C1246" s="58">
        <f>IF($H1246="","",IFERROR(MID($H1246&amp;" ",FIND("|",SUBSTITUTE($H1246&amp;" "," ","|",1))+1,FIND("|",SUBSTITUTE($H1246&amp;" "," ","|",2))-FIND("|",SUBSTITUTE($H1246&amp;" "," ","|",1))-1),""))</f>
        <v/>
      </c>
      <c r="D1246" s="58">
        <f>IF($H1246="","",IFERROR(MID($H1246&amp;" ",FIND("|",SUBSTITUTE($H1246&amp;" "," ","|",2))+1,FIND("|",SUBSTITUTE($H1246&amp;" "," ","|",3))-FIND("|",SUBSTITUTE($H1246&amp;" "," ","|",2))-1),""))</f>
        <v/>
      </c>
      <c r="E1246" s="58">
        <f>IF($H1246="","",IFERROR(MID($H1246&amp;" ",FIND("|",SUBSTITUTE($H1246&amp;" "," ","|",3))+1,FIND("|",SUBSTITUTE($H1246&amp;" "," ","|",4))-FIND("|",SUBSTITUTE($H1246&amp;" "," ","|",3))-1),""))</f>
        <v/>
      </c>
      <c r="F1246" s="59">
        <f>IF($H1246="","",IFERROR(VALUE(IFERROR(MID($H1246&amp;" ",FIND("|",SUBSTITUTE($H1246&amp;" "," ","|",4))+1,FIND("|",SUBSTITUTE($H1246&amp;" "," ","|",5))-FIND("|",SUBSTITUTE($H1246&amp;" "," ","|",4))-1),""))/86400+25569+9/24,""))</f>
        <v/>
      </c>
      <c r="G1246" s="58">
        <f>TRIM(SUBSTITUTE(SUBSTITUTE(SUBSTITUTE($A1246,CHAR(9)," ")," "," "),CHAR(13),""))</f>
        <v/>
      </c>
      <c r="H1246" s="58">
        <f>IF($G1246="","",IF(ISNUMBER(FIND(" ",$G1246)),$G1246,IFERROR(IF((LEN(SUBSTITUTE(SUBSTITUTE($G1246,"-"," ",LEN($G1246)-LEN(SUBSTITUTE($G1246,"-",""))),"-"," ",LEN($G1246)-LEN(SUBSTITUTE($G1246,"-",""))-1))-LEN(SUBSTITUTE(SUBSTITUTE(SUBSTITUTE($G1246,"-"," ",LEN($G1246)-LEN(SUBSTITUTE($G1246,"-",""))),"-"," ",LEN($G1246)-LEN(SUBSTITUTE($G1246,"-",""))-1),".","")))=0,SUBSTITUTE(SUBSTITUTE($G1246,"-"," ",LEN($G1246)-LEN(SUBSTITUTE($G1246,"-",""))),"-"," ",LEN($G1246)-LEN(SUBSTITUTE($G1246,"-",""))-1),SUBSTITUTE(SUBSTITUTE(SUBSTITUTE($G1246,"-"," ",LEN($G1246)-LEN(SUBSTITUTE($G1246,"-",""))),"-"," ",LEN($G1246)-LEN(SUBSTITUTE($G1246,"-",""))-1),"."," ",(LEN(SUBSTITUTE(SUBSTITUTE($G1246,"-"," ",LEN($G1246)-LEN(SUBSTITUTE($G1246,"-",""))),"-"," ",LEN($G1246)-LEN(SUBSTITUTE($G1246,"-",""))-1))-LEN(SUBSTITUTE(SUBSTITUTE(SUBSTITUTE($G1246,"-"," ",LEN($G1246)-LEN(SUBSTITUTE($G1246,"-",""))),"-"," ",LEN($G1246)-LEN(SUBSTITUTE($G1246,"-",""))-1),".",""))))),$G1246)))</f>
        <v/>
      </c>
    </row>
    <row r="1247">
      <c r="A1247" s="58" t="n"/>
      <c r="B1247" s="58">
        <f>IF($H1247="","",LEFT($H1247,FIND(" ",$H1247&amp;" ")-1))</f>
        <v/>
      </c>
      <c r="C1247" s="58">
        <f>IF($H1247="","",IFERROR(MID($H1247&amp;" ",FIND("|",SUBSTITUTE($H1247&amp;" "," ","|",1))+1,FIND("|",SUBSTITUTE($H1247&amp;" "," ","|",2))-FIND("|",SUBSTITUTE($H1247&amp;" "," ","|",1))-1),""))</f>
        <v/>
      </c>
      <c r="D1247" s="58">
        <f>IF($H1247="","",IFERROR(MID($H1247&amp;" ",FIND("|",SUBSTITUTE($H1247&amp;" "," ","|",2))+1,FIND("|",SUBSTITUTE($H1247&amp;" "," ","|",3))-FIND("|",SUBSTITUTE($H1247&amp;" "," ","|",2))-1),""))</f>
        <v/>
      </c>
      <c r="E1247" s="58">
        <f>IF($H1247="","",IFERROR(MID($H1247&amp;" ",FIND("|",SUBSTITUTE($H1247&amp;" "," ","|",3))+1,FIND("|",SUBSTITUTE($H1247&amp;" "," ","|",4))-FIND("|",SUBSTITUTE($H1247&amp;" "," ","|",3))-1),""))</f>
        <v/>
      </c>
      <c r="F1247" s="59">
        <f>IF($H1247="","",IFERROR(VALUE(IFERROR(MID($H1247&amp;" ",FIND("|",SUBSTITUTE($H1247&amp;" "," ","|",4))+1,FIND("|",SUBSTITUTE($H1247&amp;" "," ","|",5))-FIND("|",SUBSTITUTE($H1247&amp;" "," ","|",4))-1),""))/86400+25569+9/24,""))</f>
        <v/>
      </c>
      <c r="G1247" s="58">
        <f>TRIM(SUBSTITUTE(SUBSTITUTE(SUBSTITUTE($A1247,CHAR(9)," ")," "," "),CHAR(13),""))</f>
        <v/>
      </c>
      <c r="H1247" s="58">
        <f>IF($G1247="","",IF(ISNUMBER(FIND(" ",$G1247)),$G1247,IFERROR(IF((LEN(SUBSTITUTE(SUBSTITUTE($G1247,"-"," ",LEN($G1247)-LEN(SUBSTITUTE($G1247,"-",""))),"-"," ",LEN($G1247)-LEN(SUBSTITUTE($G1247,"-",""))-1))-LEN(SUBSTITUTE(SUBSTITUTE(SUBSTITUTE($G1247,"-"," ",LEN($G1247)-LEN(SUBSTITUTE($G1247,"-",""))),"-"," ",LEN($G1247)-LEN(SUBSTITUTE($G1247,"-",""))-1),".","")))=0,SUBSTITUTE(SUBSTITUTE($G1247,"-"," ",LEN($G1247)-LEN(SUBSTITUTE($G1247,"-",""))),"-"," ",LEN($G1247)-LEN(SUBSTITUTE($G1247,"-",""))-1),SUBSTITUTE(SUBSTITUTE(SUBSTITUTE($G1247,"-"," ",LEN($G1247)-LEN(SUBSTITUTE($G1247,"-",""))),"-"," ",LEN($G1247)-LEN(SUBSTITUTE($G1247,"-",""))-1),"."," ",(LEN(SUBSTITUTE(SUBSTITUTE($G1247,"-"," ",LEN($G1247)-LEN(SUBSTITUTE($G1247,"-",""))),"-"," ",LEN($G1247)-LEN(SUBSTITUTE($G1247,"-",""))-1))-LEN(SUBSTITUTE(SUBSTITUTE(SUBSTITUTE($G1247,"-"," ",LEN($G1247)-LEN(SUBSTITUTE($G1247,"-",""))),"-"," ",LEN($G1247)-LEN(SUBSTITUTE($G1247,"-",""))-1),".",""))))),$G1247)))</f>
        <v/>
      </c>
    </row>
    <row r="1248">
      <c r="A1248" s="58" t="n"/>
      <c r="B1248" s="58">
        <f>IF($H1248="","",LEFT($H1248,FIND(" ",$H1248&amp;" ")-1))</f>
        <v/>
      </c>
      <c r="C1248" s="58">
        <f>IF($H1248="","",IFERROR(MID($H1248&amp;" ",FIND("|",SUBSTITUTE($H1248&amp;" "," ","|",1))+1,FIND("|",SUBSTITUTE($H1248&amp;" "," ","|",2))-FIND("|",SUBSTITUTE($H1248&amp;" "," ","|",1))-1),""))</f>
        <v/>
      </c>
      <c r="D1248" s="58">
        <f>IF($H1248="","",IFERROR(MID($H1248&amp;" ",FIND("|",SUBSTITUTE($H1248&amp;" "," ","|",2))+1,FIND("|",SUBSTITUTE($H1248&amp;" "," ","|",3))-FIND("|",SUBSTITUTE($H1248&amp;" "," ","|",2))-1),""))</f>
        <v/>
      </c>
      <c r="E1248" s="58">
        <f>IF($H1248="","",IFERROR(MID($H1248&amp;" ",FIND("|",SUBSTITUTE($H1248&amp;" "," ","|",3))+1,FIND("|",SUBSTITUTE($H1248&amp;" "," ","|",4))-FIND("|",SUBSTITUTE($H1248&amp;" "," ","|",3))-1),""))</f>
        <v/>
      </c>
      <c r="F1248" s="59">
        <f>IF($H1248="","",IFERROR(VALUE(IFERROR(MID($H1248&amp;" ",FIND("|",SUBSTITUTE($H1248&amp;" "," ","|",4))+1,FIND("|",SUBSTITUTE($H1248&amp;" "," ","|",5))-FIND("|",SUBSTITUTE($H1248&amp;" "," ","|",4))-1),""))/86400+25569+9/24,""))</f>
        <v/>
      </c>
      <c r="G1248" s="58">
        <f>TRIM(SUBSTITUTE(SUBSTITUTE(SUBSTITUTE($A1248,CHAR(9)," ")," "," "),CHAR(13),""))</f>
        <v/>
      </c>
      <c r="H1248" s="58">
        <f>IF($G1248="","",IF(ISNUMBER(FIND(" ",$G1248)),$G1248,IFERROR(IF((LEN(SUBSTITUTE(SUBSTITUTE($G1248,"-"," ",LEN($G1248)-LEN(SUBSTITUTE($G1248,"-",""))),"-"," ",LEN($G1248)-LEN(SUBSTITUTE($G1248,"-",""))-1))-LEN(SUBSTITUTE(SUBSTITUTE(SUBSTITUTE($G1248,"-"," ",LEN($G1248)-LEN(SUBSTITUTE($G1248,"-",""))),"-"," ",LEN($G1248)-LEN(SUBSTITUTE($G1248,"-",""))-1),".","")))=0,SUBSTITUTE(SUBSTITUTE($G1248,"-"," ",LEN($G1248)-LEN(SUBSTITUTE($G1248,"-",""))),"-"," ",LEN($G1248)-LEN(SUBSTITUTE($G1248,"-",""))-1),SUBSTITUTE(SUBSTITUTE(SUBSTITUTE($G1248,"-"," ",LEN($G1248)-LEN(SUBSTITUTE($G1248,"-",""))),"-"," ",LEN($G1248)-LEN(SUBSTITUTE($G1248,"-",""))-1),"."," ",(LEN(SUBSTITUTE(SUBSTITUTE($G1248,"-"," ",LEN($G1248)-LEN(SUBSTITUTE($G1248,"-",""))),"-"," ",LEN($G1248)-LEN(SUBSTITUTE($G1248,"-",""))-1))-LEN(SUBSTITUTE(SUBSTITUTE(SUBSTITUTE($G1248,"-"," ",LEN($G1248)-LEN(SUBSTITUTE($G1248,"-",""))),"-"," ",LEN($G1248)-LEN(SUBSTITUTE($G1248,"-",""))-1),".",""))))),$G1248)))</f>
        <v/>
      </c>
    </row>
    <row r="1249">
      <c r="A1249" s="58" t="n"/>
      <c r="B1249" s="58">
        <f>IF($H1249="","",LEFT($H1249,FIND(" ",$H1249&amp;" ")-1))</f>
        <v/>
      </c>
      <c r="C1249" s="58">
        <f>IF($H1249="","",IFERROR(MID($H1249&amp;" ",FIND("|",SUBSTITUTE($H1249&amp;" "," ","|",1))+1,FIND("|",SUBSTITUTE($H1249&amp;" "," ","|",2))-FIND("|",SUBSTITUTE($H1249&amp;" "," ","|",1))-1),""))</f>
        <v/>
      </c>
      <c r="D1249" s="58">
        <f>IF($H1249="","",IFERROR(MID($H1249&amp;" ",FIND("|",SUBSTITUTE($H1249&amp;" "," ","|",2))+1,FIND("|",SUBSTITUTE($H1249&amp;" "," ","|",3))-FIND("|",SUBSTITUTE($H1249&amp;" "," ","|",2))-1),""))</f>
        <v/>
      </c>
      <c r="E1249" s="58">
        <f>IF($H1249="","",IFERROR(MID($H1249&amp;" ",FIND("|",SUBSTITUTE($H1249&amp;" "," ","|",3))+1,FIND("|",SUBSTITUTE($H1249&amp;" "," ","|",4))-FIND("|",SUBSTITUTE($H1249&amp;" "," ","|",3))-1),""))</f>
        <v/>
      </c>
      <c r="F1249" s="59">
        <f>IF($H1249="","",IFERROR(VALUE(IFERROR(MID($H1249&amp;" ",FIND("|",SUBSTITUTE($H1249&amp;" "," ","|",4))+1,FIND("|",SUBSTITUTE($H1249&amp;" "," ","|",5))-FIND("|",SUBSTITUTE($H1249&amp;" "," ","|",4))-1),""))/86400+25569+9/24,""))</f>
        <v/>
      </c>
      <c r="G1249" s="58">
        <f>TRIM(SUBSTITUTE(SUBSTITUTE(SUBSTITUTE($A1249,CHAR(9)," ")," "," "),CHAR(13),""))</f>
        <v/>
      </c>
      <c r="H1249" s="58">
        <f>IF($G1249="","",IF(ISNUMBER(FIND(" ",$G1249)),$G1249,IFERROR(IF((LEN(SUBSTITUTE(SUBSTITUTE($G1249,"-"," ",LEN($G1249)-LEN(SUBSTITUTE($G1249,"-",""))),"-"," ",LEN($G1249)-LEN(SUBSTITUTE($G1249,"-",""))-1))-LEN(SUBSTITUTE(SUBSTITUTE(SUBSTITUTE($G1249,"-"," ",LEN($G1249)-LEN(SUBSTITUTE($G1249,"-",""))),"-"," ",LEN($G1249)-LEN(SUBSTITUTE($G1249,"-",""))-1),".","")))=0,SUBSTITUTE(SUBSTITUTE($G1249,"-"," ",LEN($G1249)-LEN(SUBSTITUTE($G1249,"-",""))),"-"," ",LEN($G1249)-LEN(SUBSTITUTE($G1249,"-",""))-1),SUBSTITUTE(SUBSTITUTE(SUBSTITUTE($G1249,"-"," ",LEN($G1249)-LEN(SUBSTITUTE($G1249,"-",""))),"-"," ",LEN($G1249)-LEN(SUBSTITUTE($G1249,"-",""))-1),"."," ",(LEN(SUBSTITUTE(SUBSTITUTE($G1249,"-"," ",LEN($G1249)-LEN(SUBSTITUTE($G1249,"-",""))),"-"," ",LEN($G1249)-LEN(SUBSTITUTE($G1249,"-",""))-1))-LEN(SUBSTITUTE(SUBSTITUTE(SUBSTITUTE($G1249,"-"," ",LEN($G1249)-LEN(SUBSTITUTE($G1249,"-",""))),"-"," ",LEN($G1249)-LEN(SUBSTITUTE($G1249,"-",""))-1),".",""))))),$G1249)))</f>
        <v/>
      </c>
    </row>
    <row r="1250">
      <c r="A1250" s="58" t="n"/>
      <c r="B1250" s="58">
        <f>IF($H1250="","",LEFT($H1250,FIND(" ",$H1250&amp;" ")-1))</f>
        <v/>
      </c>
      <c r="C1250" s="58">
        <f>IF($H1250="","",IFERROR(MID($H1250&amp;" ",FIND("|",SUBSTITUTE($H1250&amp;" "," ","|",1))+1,FIND("|",SUBSTITUTE($H1250&amp;" "," ","|",2))-FIND("|",SUBSTITUTE($H1250&amp;" "," ","|",1))-1),""))</f>
        <v/>
      </c>
      <c r="D1250" s="58">
        <f>IF($H1250="","",IFERROR(MID($H1250&amp;" ",FIND("|",SUBSTITUTE($H1250&amp;" "," ","|",2))+1,FIND("|",SUBSTITUTE($H1250&amp;" "," ","|",3))-FIND("|",SUBSTITUTE($H1250&amp;" "," ","|",2))-1),""))</f>
        <v/>
      </c>
      <c r="E1250" s="58">
        <f>IF($H1250="","",IFERROR(MID($H1250&amp;" ",FIND("|",SUBSTITUTE($H1250&amp;" "," ","|",3))+1,FIND("|",SUBSTITUTE($H1250&amp;" "," ","|",4))-FIND("|",SUBSTITUTE($H1250&amp;" "," ","|",3))-1),""))</f>
        <v/>
      </c>
      <c r="F1250" s="59">
        <f>IF($H1250="","",IFERROR(VALUE(IFERROR(MID($H1250&amp;" ",FIND("|",SUBSTITUTE($H1250&amp;" "," ","|",4))+1,FIND("|",SUBSTITUTE($H1250&amp;" "," ","|",5))-FIND("|",SUBSTITUTE($H1250&amp;" "," ","|",4))-1),""))/86400+25569+9/24,""))</f>
        <v/>
      </c>
      <c r="G1250" s="58">
        <f>TRIM(SUBSTITUTE(SUBSTITUTE(SUBSTITUTE($A1250,CHAR(9)," ")," "," "),CHAR(13),""))</f>
        <v/>
      </c>
      <c r="H1250" s="58">
        <f>IF($G1250="","",IF(ISNUMBER(FIND(" ",$G1250)),$G1250,IFERROR(IF((LEN(SUBSTITUTE(SUBSTITUTE($G1250,"-"," ",LEN($G1250)-LEN(SUBSTITUTE($G1250,"-",""))),"-"," ",LEN($G1250)-LEN(SUBSTITUTE($G1250,"-",""))-1))-LEN(SUBSTITUTE(SUBSTITUTE(SUBSTITUTE($G1250,"-"," ",LEN($G1250)-LEN(SUBSTITUTE($G1250,"-",""))),"-"," ",LEN($G1250)-LEN(SUBSTITUTE($G1250,"-",""))-1),".","")))=0,SUBSTITUTE(SUBSTITUTE($G1250,"-"," ",LEN($G1250)-LEN(SUBSTITUTE($G1250,"-",""))),"-"," ",LEN($G1250)-LEN(SUBSTITUTE($G1250,"-",""))-1),SUBSTITUTE(SUBSTITUTE(SUBSTITUTE($G1250,"-"," ",LEN($G1250)-LEN(SUBSTITUTE($G1250,"-",""))),"-"," ",LEN($G1250)-LEN(SUBSTITUTE($G1250,"-",""))-1),"."," ",(LEN(SUBSTITUTE(SUBSTITUTE($G1250,"-"," ",LEN($G1250)-LEN(SUBSTITUTE($G1250,"-",""))),"-"," ",LEN($G1250)-LEN(SUBSTITUTE($G1250,"-",""))-1))-LEN(SUBSTITUTE(SUBSTITUTE(SUBSTITUTE($G1250,"-"," ",LEN($G1250)-LEN(SUBSTITUTE($G1250,"-",""))),"-"," ",LEN($G1250)-LEN(SUBSTITUTE($G1250,"-",""))-1),".",""))))),$G1250)))</f>
        <v/>
      </c>
    </row>
    <row r="1251">
      <c r="A1251" s="58" t="n"/>
      <c r="B1251" s="58">
        <f>IF($H1251="","",LEFT($H1251,FIND(" ",$H1251&amp;" ")-1))</f>
        <v/>
      </c>
      <c r="C1251" s="58">
        <f>IF($H1251="","",IFERROR(MID($H1251&amp;" ",FIND("|",SUBSTITUTE($H1251&amp;" "," ","|",1))+1,FIND("|",SUBSTITUTE($H1251&amp;" "," ","|",2))-FIND("|",SUBSTITUTE($H1251&amp;" "," ","|",1))-1),""))</f>
        <v/>
      </c>
      <c r="D1251" s="58">
        <f>IF($H1251="","",IFERROR(MID($H1251&amp;" ",FIND("|",SUBSTITUTE($H1251&amp;" "," ","|",2))+1,FIND("|",SUBSTITUTE($H1251&amp;" "," ","|",3))-FIND("|",SUBSTITUTE($H1251&amp;" "," ","|",2))-1),""))</f>
        <v/>
      </c>
      <c r="E1251" s="58">
        <f>IF($H1251="","",IFERROR(MID($H1251&amp;" ",FIND("|",SUBSTITUTE($H1251&amp;" "," ","|",3))+1,FIND("|",SUBSTITUTE($H1251&amp;" "," ","|",4))-FIND("|",SUBSTITUTE($H1251&amp;" "," ","|",3))-1),""))</f>
        <v/>
      </c>
      <c r="F1251" s="59">
        <f>IF($H1251="","",IFERROR(VALUE(IFERROR(MID($H1251&amp;" ",FIND("|",SUBSTITUTE($H1251&amp;" "," ","|",4))+1,FIND("|",SUBSTITUTE($H1251&amp;" "," ","|",5))-FIND("|",SUBSTITUTE($H1251&amp;" "," ","|",4))-1),""))/86400+25569+9/24,""))</f>
        <v/>
      </c>
      <c r="G1251" s="58">
        <f>TRIM(SUBSTITUTE(SUBSTITUTE(SUBSTITUTE($A1251,CHAR(9)," ")," "," "),CHAR(13),""))</f>
        <v/>
      </c>
      <c r="H1251" s="58">
        <f>IF($G1251="","",IF(ISNUMBER(FIND(" ",$G1251)),$G1251,IFERROR(IF((LEN(SUBSTITUTE(SUBSTITUTE($G1251,"-"," ",LEN($G1251)-LEN(SUBSTITUTE($G1251,"-",""))),"-"," ",LEN($G1251)-LEN(SUBSTITUTE($G1251,"-",""))-1))-LEN(SUBSTITUTE(SUBSTITUTE(SUBSTITUTE($G1251,"-"," ",LEN($G1251)-LEN(SUBSTITUTE($G1251,"-",""))),"-"," ",LEN($G1251)-LEN(SUBSTITUTE($G1251,"-",""))-1),".","")))=0,SUBSTITUTE(SUBSTITUTE($G1251,"-"," ",LEN($G1251)-LEN(SUBSTITUTE($G1251,"-",""))),"-"," ",LEN($G1251)-LEN(SUBSTITUTE($G1251,"-",""))-1),SUBSTITUTE(SUBSTITUTE(SUBSTITUTE($G1251,"-"," ",LEN($G1251)-LEN(SUBSTITUTE($G1251,"-",""))),"-"," ",LEN($G1251)-LEN(SUBSTITUTE($G1251,"-",""))-1),"."," ",(LEN(SUBSTITUTE(SUBSTITUTE($G1251,"-"," ",LEN($G1251)-LEN(SUBSTITUTE($G1251,"-",""))),"-"," ",LEN($G1251)-LEN(SUBSTITUTE($G1251,"-",""))-1))-LEN(SUBSTITUTE(SUBSTITUTE(SUBSTITUTE($G1251,"-"," ",LEN($G1251)-LEN(SUBSTITUTE($G1251,"-",""))),"-"," ",LEN($G1251)-LEN(SUBSTITUTE($G1251,"-",""))-1),".",""))))),$G1251)))</f>
        <v/>
      </c>
    </row>
    <row r="1252">
      <c r="A1252" s="58" t="n"/>
      <c r="B1252" s="58">
        <f>IF($H1252="","",LEFT($H1252,FIND(" ",$H1252&amp;" ")-1))</f>
        <v/>
      </c>
      <c r="C1252" s="58">
        <f>IF($H1252="","",IFERROR(MID($H1252&amp;" ",FIND("|",SUBSTITUTE($H1252&amp;" "," ","|",1))+1,FIND("|",SUBSTITUTE($H1252&amp;" "," ","|",2))-FIND("|",SUBSTITUTE($H1252&amp;" "," ","|",1))-1),""))</f>
        <v/>
      </c>
      <c r="D1252" s="58">
        <f>IF($H1252="","",IFERROR(MID($H1252&amp;" ",FIND("|",SUBSTITUTE($H1252&amp;" "," ","|",2))+1,FIND("|",SUBSTITUTE($H1252&amp;" "," ","|",3))-FIND("|",SUBSTITUTE($H1252&amp;" "," ","|",2))-1),""))</f>
        <v/>
      </c>
      <c r="E1252" s="58">
        <f>IF($H1252="","",IFERROR(MID($H1252&amp;" ",FIND("|",SUBSTITUTE($H1252&amp;" "," ","|",3))+1,FIND("|",SUBSTITUTE($H1252&amp;" "," ","|",4))-FIND("|",SUBSTITUTE($H1252&amp;" "," ","|",3))-1),""))</f>
        <v/>
      </c>
      <c r="F1252" s="59">
        <f>IF($H1252="","",IFERROR(VALUE(IFERROR(MID($H1252&amp;" ",FIND("|",SUBSTITUTE($H1252&amp;" "," ","|",4))+1,FIND("|",SUBSTITUTE($H1252&amp;" "," ","|",5))-FIND("|",SUBSTITUTE($H1252&amp;" "," ","|",4))-1),""))/86400+25569+9/24,""))</f>
        <v/>
      </c>
      <c r="G1252" s="58">
        <f>TRIM(SUBSTITUTE(SUBSTITUTE(SUBSTITUTE($A1252,CHAR(9)," ")," "," "),CHAR(13),""))</f>
        <v/>
      </c>
      <c r="H1252" s="58">
        <f>IF($G1252="","",IF(ISNUMBER(FIND(" ",$G1252)),$G1252,IFERROR(IF((LEN(SUBSTITUTE(SUBSTITUTE($G1252,"-"," ",LEN($G1252)-LEN(SUBSTITUTE($G1252,"-",""))),"-"," ",LEN($G1252)-LEN(SUBSTITUTE($G1252,"-",""))-1))-LEN(SUBSTITUTE(SUBSTITUTE(SUBSTITUTE($G1252,"-"," ",LEN($G1252)-LEN(SUBSTITUTE($G1252,"-",""))),"-"," ",LEN($G1252)-LEN(SUBSTITUTE($G1252,"-",""))-1),".","")))=0,SUBSTITUTE(SUBSTITUTE($G1252,"-"," ",LEN($G1252)-LEN(SUBSTITUTE($G1252,"-",""))),"-"," ",LEN($G1252)-LEN(SUBSTITUTE($G1252,"-",""))-1),SUBSTITUTE(SUBSTITUTE(SUBSTITUTE($G1252,"-"," ",LEN($G1252)-LEN(SUBSTITUTE($G1252,"-",""))),"-"," ",LEN($G1252)-LEN(SUBSTITUTE($G1252,"-",""))-1),"."," ",(LEN(SUBSTITUTE(SUBSTITUTE($G1252,"-"," ",LEN($G1252)-LEN(SUBSTITUTE($G1252,"-",""))),"-"," ",LEN($G1252)-LEN(SUBSTITUTE($G1252,"-",""))-1))-LEN(SUBSTITUTE(SUBSTITUTE(SUBSTITUTE($G1252,"-"," ",LEN($G1252)-LEN(SUBSTITUTE($G1252,"-",""))),"-"," ",LEN($G1252)-LEN(SUBSTITUTE($G1252,"-",""))-1),".",""))))),$G1252)))</f>
        <v/>
      </c>
    </row>
    <row r="1253">
      <c r="A1253" s="58" t="n"/>
      <c r="B1253" s="58">
        <f>IF($H1253="","",LEFT($H1253,FIND(" ",$H1253&amp;" ")-1))</f>
        <v/>
      </c>
      <c r="C1253" s="58">
        <f>IF($H1253="","",IFERROR(MID($H1253&amp;" ",FIND("|",SUBSTITUTE($H1253&amp;" "," ","|",1))+1,FIND("|",SUBSTITUTE($H1253&amp;" "," ","|",2))-FIND("|",SUBSTITUTE($H1253&amp;" "," ","|",1))-1),""))</f>
        <v/>
      </c>
      <c r="D1253" s="58">
        <f>IF($H1253="","",IFERROR(MID($H1253&amp;" ",FIND("|",SUBSTITUTE($H1253&amp;" "," ","|",2))+1,FIND("|",SUBSTITUTE($H1253&amp;" "," ","|",3))-FIND("|",SUBSTITUTE($H1253&amp;" "," ","|",2))-1),""))</f>
        <v/>
      </c>
      <c r="E1253" s="58">
        <f>IF($H1253="","",IFERROR(MID($H1253&amp;" ",FIND("|",SUBSTITUTE($H1253&amp;" "," ","|",3))+1,FIND("|",SUBSTITUTE($H1253&amp;" "," ","|",4))-FIND("|",SUBSTITUTE($H1253&amp;" "," ","|",3))-1),""))</f>
        <v/>
      </c>
      <c r="F1253" s="59">
        <f>IF($H1253="","",IFERROR(VALUE(IFERROR(MID($H1253&amp;" ",FIND("|",SUBSTITUTE($H1253&amp;" "," ","|",4))+1,FIND("|",SUBSTITUTE($H1253&amp;" "," ","|",5))-FIND("|",SUBSTITUTE($H1253&amp;" "," ","|",4))-1),""))/86400+25569+9/24,""))</f>
        <v/>
      </c>
      <c r="G1253" s="58">
        <f>TRIM(SUBSTITUTE(SUBSTITUTE(SUBSTITUTE($A1253,CHAR(9)," ")," "," "),CHAR(13),""))</f>
        <v/>
      </c>
      <c r="H1253" s="58">
        <f>IF($G1253="","",IF(ISNUMBER(FIND(" ",$G1253)),$G1253,IFERROR(IF((LEN(SUBSTITUTE(SUBSTITUTE($G1253,"-"," ",LEN($G1253)-LEN(SUBSTITUTE($G1253,"-",""))),"-"," ",LEN($G1253)-LEN(SUBSTITUTE($G1253,"-",""))-1))-LEN(SUBSTITUTE(SUBSTITUTE(SUBSTITUTE($G1253,"-"," ",LEN($G1253)-LEN(SUBSTITUTE($G1253,"-",""))),"-"," ",LEN($G1253)-LEN(SUBSTITUTE($G1253,"-",""))-1),".","")))=0,SUBSTITUTE(SUBSTITUTE($G1253,"-"," ",LEN($G1253)-LEN(SUBSTITUTE($G1253,"-",""))),"-"," ",LEN($G1253)-LEN(SUBSTITUTE($G1253,"-",""))-1),SUBSTITUTE(SUBSTITUTE(SUBSTITUTE($G1253,"-"," ",LEN($G1253)-LEN(SUBSTITUTE($G1253,"-",""))),"-"," ",LEN($G1253)-LEN(SUBSTITUTE($G1253,"-",""))-1),"."," ",(LEN(SUBSTITUTE(SUBSTITUTE($G1253,"-"," ",LEN($G1253)-LEN(SUBSTITUTE($G1253,"-",""))),"-"," ",LEN($G1253)-LEN(SUBSTITUTE($G1253,"-",""))-1))-LEN(SUBSTITUTE(SUBSTITUTE(SUBSTITUTE($G1253,"-"," ",LEN($G1253)-LEN(SUBSTITUTE($G1253,"-",""))),"-"," ",LEN($G1253)-LEN(SUBSTITUTE($G1253,"-",""))-1),".",""))))),$G1253)))</f>
        <v/>
      </c>
    </row>
    <row r="1254">
      <c r="A1254" s="58" t="n"/>
      <c r="B1254" s="58">
        <f>IF($H1254="","",LEFT($H1254,FIND(" ",$H1254&amp;" ")-1))</f>
        <v/>
      </c>
      <c r="C1254" s="58">
        <f>IF($H1254="","",IFERROR(MID($H1254&amp;" ",FIND("|",SUBSTITUTE($H1254&amp;" "," ","|",1))+1,FIND("|",SUBSTITUTE($H1254&amp;" "," ","|",2))-FIND("|",SUBSTITUTE($H1254&amp;" "," ","|",1))-1),""))</f>
        <v/>
      </c>
      <c r="D1254" s="58">
        <f>IF($H1254="","",IFERROR(MID($H1254&amp;" ",FIND("|",SUBSTITUTE($H1254&amp;" "," ","|",2))+1,FIND("|",SUBSTITUTE($H1254&amp;" "," ","|",3))-FIND("|",SUBSTITUTE($H1254&amp;" "," ","|",2))-1),""))</f>
        <v/>
      </c>
      <c r="E1254" s="58">
        <f>IF($H1254="","",IFERROR(MID($H1254&amp;" ",FIND("|",SUBSTITUTE($H1254&amp;" "," ","|",3))+1,FIND("|",SUBSTITUTE($H1254&amp;" "," ","|",4))-FIND("|",SUBSTITUTE($H1254&amp;" "," ","|",3))-1),""))</f>
        <v/>
      </c>
      <c r="F1254" s="59">
        <f>IF($H1254="","",IFERROR(VALUE(IFERROR(MID($H1254&amp;" ",FIND("|",SUBSTITUTE($H1254&amp;" "," ","|",4))+1,FIND("|",SUBSTITUTE($H1254&amp;" "," ","|",5))-FIND("|",SUBSTITUTE($H1254&amp;" "," ","|",4))-1),""))/86400+25569+9/24,""))</f>
        <v/>
      </c>
      <c r="G1254" s="58">
        <f>TRIM(SUBSTITUTE(SUBSTITUTE(SUBSTITUTE($A1254,CHAR(9)," ")," "," "),CHAR(13),""))</f>
        <v/>
      </c>
      <c r="H1254" s="58">
        <f>IF($G1254="","",IF(ISNUMBER(FIND(" ",$G1254)),$G1254,IFERROR(IF((LEN(SUBSTITUTE(SUBSTITUTE($G1254,"-"," ",LEN($G1254)-LEN(SUBSTITUTE($G1254,"-",""))),"-"," ",LEN($G1254)-LEN(SUBSTITUTE($G1254,"-",""))-1))-LEN(SUBSTITUTE(SUBSTITUTE(SUBSTITUTE($G1254,"-"," ",LEN($G1254)-LEN(SUBSTITUTE($G1254,"-",""))),"-"," ",LEN($G1254)-LEN(SUBSTITUTE($G1254,"-",""))-1),".","")))=0,SUBSTITUTE(SUBSTITUTE($G1254,"-"," ",LEN($G1254)-LEN(SUBSTITUTE($G1254,"-",""))),"-"," ",LEN($G1254)-LEN(SUBSTITUTE($G1254,"-",""))-1),SUBSTITUTE(SUBSTITUTE(SUBSTITUTE($G1254,"-"," ",LEN($G1254)-LEN(SUBSTITUTE($G1254,"-",""))),"-"," ",LEN($G1254)-LEN(SUBSTITUTE($G1254,"-",""))-1),"."," ",(LEN(SUBSTITUTE(SUBSTITUTE($G1254,"-"," ",LEN($G1254)-LEN(SUBSTITUTE($G1254,"-",""))),"-"," ",LEN($G1254)-LEN(SUBSTITUTE($G1254,"-",""))-1))-LEN(SUBSTITUTE(SUBSTITUTE(SUBSTITUTE($G1254,"-"," ",LEN($G1254)-LEN(SUBSTITUTE($G1254,"-",""))),"-"," ",LEN($G1254)-LEN(SUBSTITUTE($G1254,"-",""))-1),".",""))))),$G1254)))</f>
        <v/>
      </c>
    </row>
    <row r="1255">
      <c r="A1255" s="58" t="n"/>
      <c r="B1255" s="58">
        <f>IF($H1255="","",LEFT($H1255,FIND(" ",$H1255&amp;" ")-1))</f>
        <v/>
      </c>
      <c r="C1255" s="58">
        <f>IF($H1255="","",IFERROR(MID($H1255&amp;" ",FIND("|",SUBSTITUTE($H1255&amp;" "," ","|",1))+1,FIND("|",SUBSTITUTE($H1255&amp;" "," ","|",2))-FIND("|",SUBSTITUTE($H1255&amp;" "," ","|",1))-1),""))</f>
        <v/>
      </c>
      <c r="D1255" s="58">
        <f>IF($H1255="","",IFERROR(MID($H1255&amp;" ",FIND("|",SUBSTITUTE($H1255&amp;" "," ","|",2))+1,FIND("|",SUBSTITUTE($H1255&amp;" "," ","|",3))-FIND("|",SUBSTITUTE($H1255&amp;" "," ","|",2))-1),""))</f>
        <v/>
      </c>
      <c r="E1255" s="58">
        <f>IF($H1255="","",IFERROR(MID($H1255&amp;" ",FIND("|",SUBSTITUTE($H1255&amp;" "," ","|",3))+1,FIND("|",SUBSTITUTE($H1255&amp;" "," ","|",4))-FIND("|",SUBSTITUTE($H1255&amp;" "," ","|",3))-1),""))</f>
        <v/>
      </c>
      <c r="F1255" s="59">
        <f>IF($H1255="","",IFERROR(VALUE(IFERROR(MID($H1255&amp;" ",FIND("|",SUBSTITUTE($H1255&amp;" "," ","|",4))+1,FIND("|",SUBSTITUTE($H1255&amp;" "," ","|",5))-FIND("|",SUBSTITUTE($H1255&amp;" "," ","|",4))-1),""))/86400+25569+9/24,""))</f>
        <v/>
      </c>
      <c r="G1255" s="58">
        <f>TRIM(SUBSTITUTE(SUBSTITUTE(SUBSTITUTE($A1255,CHAR(9)," ")," "," "),CHAR(13),""))</f>
        <v/>
      </c>
      <c r="H1255" s="58">
        <f>IF($G1255="","",IF(ISNUMBER(FIND(" ",$G1255)),$G1255,IFERROR(IF((LEN(SUBSTITUTE(SUBSTITUTE($G1255,"-"," ",LEN($G1255)-LEN(SUBSTITUTE($G1255,"-",""))),"-"," ",LEN($G1255)-LEN(SUBSTITUTE($G1255,"-",""))-1))-LEN(SUBSTITUTE(SUBSTITUTE(SUBSTITUTE($G1255,"-"," ",LEN($G1255)-LEN(SUBSTITUTE($G1255,"-",""))),"-"," ",LEN($G1255)-LEN(SUBSTITUTE($G1255,"-",""))-1),".","")))=0,SUBSTITUTE(SUBSTITUTE($G1255,"-"," ",LEN($G1255)-LEN(SUBSTITUTE($G1255,"-",""))),"-"," ",LEN($G1255)-LEN(SUBSTITUTE($G1255,"-",""))-1),SUBSTITUTE(SUBSTITUTE(SUBSTITUTE($G1255,"-"," ",LEN($G1255)-LEN(SUBSTITUTE($G1255,"-",""))),"-"," ",LEN($G1255)-LEN(SUBSTITUTE($G1255,"-",""))-1),"."," ",(LEN(SUBSTITUTE(SUBSTITUTE($G1255,"-"," ",LEN($G1255)-LEN(SUBSTITUTE($G1255,"-",""))),"-"," ",LEN($G1255)-LEN(SUBSTITUTE($G1255,"-",""))-1))-LEN(SUBSTITUTE(SUBSTITUTE(SUBSTITUTE($G1255,"-"," ",LEN($G1255)-LEN(SUBSTITUTE($G1255,"-",""))),"-"," ",LEN($G1255)-LEN(SUBSTITUTE($G1255,"-",""))-1),".",""))))),$G1255)))</f>
        <v/>
      </c>
    </row>
    <row r="1256">
      <c r="A1256" s="58" t="n"/>
      <c r="B1256" s="58">
        <f>IF($H1256="","",LEFT($H1256,FIND(" ",$H1256&amp;" ")-1))</f>
        <v/>
      </c>
      <c r="C1256" s="58">
        <f>IF($H1256="","",IFERROR(MID($H1256&amp;" ",FIND("|",SUBSTITUTE($H1256&amp;" "," ","|",1))+1,FIND("|",SUBSTITUTE($H1256&amp;" "," ","|",2))-FIND("|",SUBSTITUTE($H1256&amp;" "," ","|",1))-1),""))</f>
        <v/>
      </c>
      <c r="D1256" s="58">
        <f>IF($H1256="","",IFERROR(MID($H1256&amp;" ",FIND("|",SUBSTITUTE($H1256&amp;" "," ","|",2))+1,FIND("|",SUBSTITUTE($H1256&amp;" "," ","|",3))-FIND("|",SUBSTITUTE($H1256&amp;" "," ","|",2))-1),""))</f>
        <v/>
      </c>
      <c r="E1256" s="58">
        <f>IF($H1256="","",IFERROR(MID($H1256&amp;" ",FIND("|",SUBSTITUTE($H1256&amp;" "," ","|",3))+1,FIND("|",SUBSTITUTE($H1256&amp;" "," ","|",4))-FIND("|",SUBSTITUTE($H1256&amp;" "," ","|",3))-1),""))</f>
        <v/>
      </c>
      <c r="F1256" s="59">
        <f>IF($H1256="","",IFERROR(VALUE(IFERROR(MID($H1256&amp;" ",FIND("|",SUBSTITUTE($H1256&amp;" "," ","|",4))+1,FIND("|",SUBSTITUTE($H1256&amp;" "," ","|",5))-FIND("|",SUBSTITUTE($H1256&amp;" "," ","|",4))-1),""))/86400+25569+9/24,""))</f>
        <v/>
      </c>
      <c r="G1256" s="58">
        <f>TRIM(SUBSTITUTE(SUBSTITUTE(SUBSTITUTE($A1256,CHAR(9)," ")," "," "),CHAR(13),""))</f>
        <v/>
      </c>
      <c r="H1256" s="58">
        <f>IF($G1256="","",IF(ISNUMBER(FIND(" ",$G1256)),$G1256,IFERROR(IF((LEN(SUBSTITUTE(SUBSTITUTE($G1256,"-"," ",LEN($G1256)-LEN(SUBSTITUTE($G1256,"-",""))),"-"," ",LEN($G1256)-LEN(SUBSTITUTE($G1256,"-",""))-1))-LEN(SUBSTITUTE(SUBSTITUTE(SUBSTITUTE($G1256,"-"," ",LEN($G1256)-LEN(SUBSTITUTE($G1256,"-",""))),"-"," ",LEN($G1256)-LEN(SUBSTITUTE($G1256,"-",""))-1),".","")))=0,SUBSTITUTE(SUBSTITUTE($G1256,"-"," ",LEN($G1256)-LEN(SUBSTITUTE($G1256,"-",""))),"-"," ",LEN($G1256)-LEN(SUBSTITUTE($G1256,"-",""))-1),SUBSTITUTE(SUBSTITUTE(SUBSTITUTE($G1256,"-"," ",LEN($G1256)-LEN(SUBSTITUTE($G1256,"-",""))),"-"," ",LEN($G1256)-LEN(SUBSTITUTE($G1256,"-",""))-1),"."," ",(LEN(SUBSTITUTE(SUBSTITUTE($G1256,"-"," ",LEN($G1256)-LEN(SUBSTITUTE($G1256,"-",""))),"-"," ",LEN($G1256)-LEN(SUBSTITUTE($G1256,"-",""))-1))-LEN(SUBSTITUTE(SUBSTITUTE(SUBSTITUTE($G1256,"-"," ",LEN($G1256)-LEN(SUBSTITUTE($G1256,"-",""))),"-"," ",LEN($G1256)-LEN(SUBSTITUTE($G1256,"-",""))-1),".",""))))),$G1256)))</f>
        <v/>
      </c>
    </row>
    <row r="1257">
      <c r="A1257" s="58" t="n"/>
      <c r="B1257" s="58">
        <f>IF($H1257="","",LEFT($H1257,FIND(" ",$H1257&amp;" ")-1))</f>
        <v/>
      </c>
      <c r="C1257" s="58">
        <f>IF($H1257="","",IFERROR(MID($H1257&amp;" ",FIND("|",SUBSTITUTE($H1257&amp;" "," ","|",1))+1,FIND("|",SUBSTITUTE($H1257&amp;" "," ","|",2))-FIND("|",SUBSTITUTE($H1257&amp;" "," ","|",1))-1),""))</f>
        <v/>
      </c>
      <c r="D1257" s="58">
        <f>IF($H1257="","",IFERROR(MID($H1257&amp;" ",FIND("|",SUBSTITUTE($H1257&amp;" "," ","|",2))+1,FIND("|",SUBSTITUTE($H1257&amp;" "," ","|",3))-FIND("|",SUBSTITUTE($H1257&amp;" "," ","|",2))-1),""))</f>
        <v/>
      </c>
      <c r="E1257" s="58">
        <f>IF($H1257="","",IFERROR(MID($H1257&amp;" ",FIND("|",SUBSTITUTE($H1257&amp;" "," ","|",3))+1,FIND("|",SUBSTITUTE($H1257&amp;" "," ","|",4))-FIND("|",SUBSTITUTE($H1257&amp;" "," ","|",3))-1),""))</f>
        <v/>
      </c>
      <c r="F1257" s="59">
        <f>IF($H1257="","",IFERROR(VALUE(IFERROR(MID($H1257&amp;" ",FIND("|",SUBSTITUTE($H1257&amp;" "," ","|",4))+1,FIND("|",SUBSTITUTE($H1257&amp;" "," ","|",5))-FIND("|",SUBSTITUTE($H1257&amp;" "," ","|",4))-1),""))/86400+25569+9/24,""))</f>
        <v/>
      </c>
      <c r="G1257" s="58">
        <f>TRIM(SUBSTITUTE(SUBSTITUTE(SUBSTITUTE($A1257,CHAR(9)," ")," "," "),CHAR(13),""))</f>
        <v/>
      </c>
      <c r="H1257" s="58">
        <f>IF($G1257="","",IF(ISNUMBER(FIND(" ",$G1257)),$G1257,IFERROR(IF((LEN(SUBSTITUTE(SUBSTITUTE($G1257,"-"," ",LEN($G1257)-LEN(SUBSTITUTE($G1257,"-",""))),"-"," ",LEN($G1257)-LEN(SUBSTITUTE($G1257,"-",""))-1))-LEN(SUBSTITUTE(SUBSTITUTE(SUBSTITUTE($G1257,"-"," ",LEN($G1257)-LEN(SUBSTITUTE($G1257,"-",""))),"-"," ",LEN($G1257)-LEN(SUBSTITUTE($G1257,"-",""))-1),".","")))=0,SUBSTITUTE(SUBSTITUTE($G1257,"-"," ",LEN($G1257)-LEN(SUBSTITUTE($G1257,"-",""))),"-"," ",LEN($G1257)-LEN(SUBSTITUTE($G1257,"-",""))-1),SUBSTITUTE(SUBSTITUTE(SUBSTITUTE($G1257,"-"," ",LEN($G1257)-LEN(SUBSTITUTE($G1257,"-",""))),"-"," ",LEN($G1257)-LEN(SUBSTITUTE($G1257,"-",""))-1),"."," ",(LEN(SUBSTITUTE(SUBSTITUTE($G1257,"-"," ",LEN($G1257)-LEN(SUBSTITUTE($G1257,"-",""))),"-"," ",LEN($G1257)-LEN(SUBSTITUTE($G1257,"-",""))-1))-LEN(SUBSTITUTE(SUBSTITUTE(SUBSTITUTE($G1257,"-"," ",LEN($G1257)-LEN(SUBSTITUTE($G1257,"-",""))),"-"," ",LEN($G1257)-LEN(SUBSTITUTE($G1257,"-",""))-1),".",""))))),$G1257)))</f>
        <v/>
      </c>
    </row>
    <row r="1258">
      <c r="A1258" s="58" t="n"/>
      <c r="B1258" s="58">
        <f>IF($H1258="","",LEFT($H1258,FIND(" ",$H1258&amp;" ")-1))</f>
        <v/>
      </c>
      <c r="C1258" s="58">
        <f>IF($H1258="","",IFERROR(MID($H1258&amp;" ",FIND("|",SUBSTITUTE($H1258&amp;" "," ","|",1))+1,FIND("|",SUBSTITUTE($H1258&amp;" "," ","|",2))-FIND("|",SUBSTITUTE($H1258&amp;" "," ","|",1))-1),""))</f>
        <v/>
      </c>
      <c r="D1258" s="58">
        <f>IF($H1258="","",IFERROR(MID($H1258&amp;" ",FIND("|",SUBSTITUTE($H1258&amp;" "," ","|",2))+1,FIND("|",SUBSTITUTE($H1258&amp;" "," ","|",3))-FIND("|",SUBSTITUTE($H1258&amp;" "," ","|",2))-1),""))</f>
        <v/>
      </c>
      <c r="E1258" s="58">
        <f>IF($H1258="","",IFERROR(MID($H1258&amp;" ",FIND("|",SUBSTITUTE($H1258&amp;" "," ","|",3))+1,FIND("|",SUBSTITUTE($H1258&amp;" "," ","|",4))-FIND("|",SUBSTITUTE($H1258&amp;" "," ","|",3))-1),""))</f>
        <v/>
      </c>
      <c r="F1258" s="59">
        <f>IF($H1258="","",IFERROR(VALUE(IFERROR(MID($H1258&amp;" ",FIND("|",SUBSTITUTE($H1258&amp;" "," ","|",4))+1,FIND("|",SUBSTITUTE($H1258&amp;" "," ","|",5))-FIND("|",SUBSTITUTE($H1258&amp;" "," ","|",4))-1),""))/86400+25569+9/24,""))</f>
        <v/>
      </c>
      <c r="G1258" s="58">
        <f>TRIM(SUBSTITUTE(SUBSTITUTE(SUBSTITUTE($A1258,CHAR(9)," ")," "," "),CHAR(13),""))</f>
        <v/>
      </c>
      <c r="H1258" s="58">
        <f>IF($G1258="","",IF(ISNUMBER(FIND(" ",$G1258)),$G1258,IFERROR(IF((LEN(SUBSTITUTE(SUBSTITUTE($G1258,"-"," ",LEN($G1258)-LEN(SUBSTITUTE($G1258,"-",""))),"-"," ",LEN($G1258)-LEN(SUBSTITUTE($G1258,"-",""))-1))-LEN(SUBSTITUTE(SUBSTITUTE(SUBSTITUTE($G1258,"-"," ",LEN($G1258)-LEN(SUBSTITUTE($G1258,"-",""))),"-"," ",LEN($G1258)-LEN(SUBSTITUTE($G1258,"-",""))-1),".","")))=0,SUBSTITUTE(SUBSTITUTE($G1258,"-"," ",LEN($G1258)-LEN(SUBSTITUTE($G1258,"-",""))),"-"," ",LEN($G1258)-LEN(SUBSTITUTE($G1258,"-",""))-1),SUBSTITUTE(SUBSTITUTE(SUBSTITUTE($G1258,"-"," ",LEN($G1258)-LEN(SUBSTITUTE($G1258,"-",""))),"-"," ",LEN($G1258)-LEN(SUBSTITUTE($G1258,"-",""))-1),"."," ",(LEN(SUBSTITUTE(SUBSTITUTE($G1258,"-"," ",LEN($G1258)-LEN(SUBSTITUTE($G1258,"-",""))),"-"," ",LEN($G1258)-LEN(SUBSTITUTE($G1258,"-",""))-1))-LEN(SUBSTITUTE(SUBSTITUTE(SUBSTITUTE($G1258,"-"," ",LEN($G1258)-LEN(SUBSTITUTE($G1258,"-",""))),"-"," ",LEN($G1258)-LEN(SUBSTITUTE($G1258,"-",""))-1),".",""))))),$G1258)))</f>
        <v/>
      </c>
    </row>
    <row r="1259">
      <c r="A1259" s="58" t="n"/>
      <c r="B1259" s="58">
        <f>IF($H1259="","",LEFT($H1259,FIND(" ",$H1259&amp;" ")-1))</f>
        <v/>
      </c>
      <c r="C1259" s="58">
        <f>IF($H1259="","",IFERROR(MID($H1259&amp;" ",FIND("|",SUBSTITUTE($H1259&amp;" "," ","|",1))+1,FIND("|",SUBSTITUTE($H1259&amp;" "," ","|",2))-FIND("|",SUBSTITUTE($H1259&amp;" "," ","|",1))-1),""))</f>
        <v/>
      </c>
      <c r="D1259" s="58">
        <f>IF($H1259="","",IFERROR(MID($H1259&amp;" ",FIND("|",SUBSTITUTE($H1259&amp;" "," ","|",2))+1,FIND("|",SUBSTITUTE($H1259&amp;" "," ","|",3))-FIND("|",SUBSTITUTE($H1259&amp;" "," ","|",2))-1),""))</f>
        <v/>
      </c>
      <c r="E1259" s="58">
        <f>IF($H1259="","",IFERROR(MID($H1259&amp;" ",FIND("|",SUBSTITUTE($H1259&amp;" "," ","|",3))+1,FIND("|",SUBSTITUTE($H1259&amp;" "," ","|",4))-FIND("|",SUBSTITUTE($H1259&amp;" "," ","|",3))-1),""))</f>
        <v/>
      </c>
      <c r="F1259" s="59">
        <f>IF($H1259="","",IFERROR(VALUE(IFERROR(MID($H1259&amp;" ",FIND("|",SUBSTITUTE($H1259&amp;" "," ","|",4))+1,FIND("|",SUBSTITUTE($H1259&amp;" "," ","|",5))-FIND("|",SUBSTITUTE($H1259&amp;" "," ","|",4))-1),""))/86400+25569+9/24,""))</f>
        <v/>
      </c>
      <c r="G1259" s="58">
        <f>TRIM(SUBSTITUTE(SUBSTITUTE(SUBSTITUTE($A1259,CHAR(9)," ")," "," "),CHAR(13),""))</f>
        <v/>
      </c>
      <c r="H1259" s="58">
        <f>IF($G1259="","",IF(ISNUMBER(FIND(" ",$G1259)),$G1259,IFERROR(IF((LEN(SUBSTITUTE(SUBSTITUTE($G1259,"-"," ",LEN($G1259)-LEN(SUBSTITUTE($G1259,"-",""))),"-"," ",LEN($G1259)-LEN(SUBSTITUTE($G1259,"-",""))-1))-LEN(SUBSTITUTE(SUBSTITUTE(SUBSTITUTE($G1259,"-"," ",LEN($G1259)-LEN(SUBSTITUTE($G1259,"-",""))),"-"," ",LEN($G1259)-LEN(SUBSTITUTE($G1259,"-",""))-1),".","")))=0,SUBSTITUTE(SUBSTITUTE($G1259,"-"," ",LEN($G1259)-LEN(SUBSTITUTE($G1259,"-",""))),"-"," ",LEN($G1259)-LEN(SUBSTITUTE($G1259,"-",""))-1),SUBSTITUTE(SUBSTITUTE(SUBSTITUTE($G1259,"-"," ",LEN($G1259)-LEN(SUBSTITUTE($G1259,"-",""))),"-"," ",LEN($G1259)-LEN(SUBSTITUTE($G1259,"-",""))-1),"."," ",(LEN(SUBSTITUTE(SUBSTITUTE($G1259,"-"," ",LEN($G1259)-LEN(SUBSTITUTE($G1259,"-",""))),"-"," ",LEN($G1259)-LEN(SUBSTITUTE($G1259,"-",""))-1))-LEN(SUBSTITUTE(SUBSTITUTE(SUBSTITUTE($G1259,"-"," ",LEN($G1259)-LEN(SUBSTITUTE($G1259,"-",""))),"-"," ",LEN($G1259)-LEN(SUBSTITUTE($G1259,"-",""))-1),".",""))))),$G1259)))</f>
        <v/>
      </c>
    </row>
    <row r="1260">
      <c r="A1260" s="58" t="n"/>
      <c r="B1260" s="58">
        <f>IF($H1260="","",LEFT($H1260,FIND(" ",$H1260&amp;" ")-1))</f>
        <v/>
      </c>
      <c r="C1260" s="58">
        <f>IF($H1260="","",IFERROR(MID($H1260&amp;" ",FIND("|",SUBSTITUTE($H1260&amp;" "," ","|",1))+1,FIND("|",SUBSTITUTE($H1260&amp;" "," ","|",2))-FIND("|",SUBSTITUTE($H1260&amp;" "," ","|",1))-1),""))</f>
        <v/>
      </c>
      <c r="D1260" s="58">
        <f>IF($H1260="","",IFERROR(MID($H1260&amp;" ",FIND("|",SUBSTITUTE($H1260&amp;" "," ","|",2))+1,FIND("|",SUBSTITUTE($H1260&amp;" "," ","|",3))-FIND("|",SUBSTITUTE($H1260&amp;" "," ","|",2))-1),""))</f>
        <v/>
      </c>
      <c r="E1260" s="58">
        <f>IF($H1260="","",IFERROR(MID($H1260&amp;" ",FIND("|",SUBSTITUTE($H1260&amp;" "," ","|",3))+1,FIND("|",SUBSTITUTE($H1260&amp;" "," ","|",4))-FIND("|",SUBSTITUTE($H1260&amp;" "," ","|",3))-1),""))</f>
        <v/>
      </c>
      <c r="F1260" s="59">
        <f>IF($H1260="","",IFERROR(VALUE(IFERROR(MID($H1260&amp;" ",FIND("|",SUBSTITUTE($H1260&amp;" "," ","|",4))+1,FIND("|",SUBSTITUTE($H1260&amp;" "," ","|",5))-FIND("|",SUBSTITUTE($H1260&amp;" "," ","|",4))-1),""))/86400+25569+9/24,""))</f>
        <v/>
      </c>
      <c r="G1260" s="58">
        <f>TRIM(SUBSTITUTE(SUBSTITUTE(SUBSTITUTE($A1260,CHAR(9)," ")," "," "),CHAR(13),""))</f>
        <v/>
      </c>
      <c r="H1260" s="58">
        <f>IF($G1260="","",IF(ISNUMBER(FIND(" ",$G1260)),$G1260,IFERROR(IF((LEN(SUBSTITUTE(SUBSTITUTE($G1260,"-"," ",LEN($G1260)-LEN(SUBSTITUTE($G1260,"-",""))),"-"," ",LEN($G1260)-LEN(SUBSTITUTE($G1260,"-",""))-1))-LEN(SUBSTITUTE(SUBSTITUTE(SUBSTITUTE($G1260,"-"," ",LEN($G1260)-LEN(SUBSTITUTE($G1260,"-",""))),"-"," ",LEN($G1260)-LEN(SUBSTITUTE($G1260,"-",""))-1),".","")))=0,SUBSTITUTE(SUBSTITUTE($G1260,"-"," ",LEN($G1260)-LEN(SUBSTITUTE($G1260,"-",""))),"-"," ",LEN($G1260)-LEN(SUBSTITUTE($G1260,"-",""))-1),SUBSTITUTE(SUBSTITUTE(SUBSTITUTE($G1260,"-"," ",LEN($G1260)-LEN(SUBSTITUTE($G1260,"-",""))),"-"," ",LEN($G1260)-LEN(SUBSTITUTE($G1260,"-",""))-1),"."," ",(LEN(SUBSTITUTE(SUBSTITUTE($G1260,"-"," ",LEN($G1260)-LEN(SUBSTITUTE($G1260,"-",""))),"-"," ",LEN($G1260)-LEN(SUBSTITUTE($G1260,"-",""))-1))-LEN(SUBSTITUTE(SUBSTITUTE(SUBSTITUTE($G1260,"-"," ",LEN($G1260)-LEN(SUBSTITUTE($G1260,"-",""))),"-"," ",LEN($G1260)-LEN(SUBSTITUTE($G1260,"-",""))-1),".",""))))),$G1260)))</f>
        <v/>
      </c>
    </row>
    <row r="1261">
      <c r="A1261" s="58" t="n"/>
      <c r="B1261" s="58">
        <f>IF($H1261="","",LEFT($H1261,FIND(" ",$H1261&amp;" ")-1))</f>
        <v/>
      </c>
      <c r="C1261" s="58">
        <f>IF($H1261="","",IFERROR(MID($H1261&amp;" ",FIND("|",SUBSTITUTE($H1261&amp;" "," ","|",1))+1,FIND("|",SUBSTITUTE($H1261&amp;" "," ","|",2))-FIND("|",SUBSTITUTE($H1261&amp;" "," ","|",1))-1),""))</f>
        <v/>
      </c>
      <c r="D1261" s="58">
        <f>IF($H1261="","",IFERROR(MID($H1261&amp;" ",FIND("|",SUBSTITUTE($H1261&amp;" "," ","|",2))+1,FIND("|",SUBSTITUTE($H1261&amp;" "," ","|",3))-FIND("|",SUBSTITUTE($H1261&amp;" "," ","|",2))-1),""))</f>
        <v/>
      </c>
      <c r="E1261" s="58">
        <f>IF($H1261="","",IFERROR(MID($H1261&amp;" ",FIND("|",SUBSTITUTE($H1261&amp;" "," ","|",3))+1,FIND("|",SUBSTITUTE($H1261&amp;" "," ","|",4))-FIND("|",SUBSTITUTE($H1261&amp;" "," ","|",3))-1),""))</f>
        <v/>
      </c>
      <c r="F1261" s="59">
        <f>IF($H1261="","",IFERROR(VALUE(IFERROR(MID($H1261&amp;" ",FIND("|",SUBSTITUTE($H1261&amp;" "," ","|",4))+1,FIND("|",SUBSTITUTE($H1261&amp;" "," ","|",5))-FIND("|",SUBSTITUTE($H1261&amp;" "," ","|",4))-1),""))/86400+25569+9/24,""))</f>
        <v/>
      </c>
      <c r="G1261" s="58">
        <f>TRIM(SUBSTITUTE(SUBSTITUTE(SUBSTITUTE($A1261,CHAR(9)," ")," "," "),CHAR(13),""))</f>
        <v/>
      </c>
      <c r="H1261" s="58">
        <f>IF($G1261="","",IF(ISNUMBER(FIND(" ",$G1261)),$G1261,IFERROR(IF((LEN(SUBSTITUTE(SUBSTITUTE($G1261,"-"," ",LEN($G1261)-LEN(SUBSTITUTE($G1261,"-",""))),"-"," ",LEN($G1261)-LEN(SUBSTITUTE($G1261,"-",""))-1))-LEN(SUBSTITUTE(SUBSTITUTE(SUBSTITUTE($G1261,"-"," ",LEN($G1261)-LEN(SUBSTITUTE($G1261,"-",""))),"-"," ",LEN($G1261)-LEN(SUBSTITUTE($G1261,"-",""))-1),".","")))=0,SUBSTITUTE(SUBSTITUTE($G1261,"-"," ",LEN($G1261)-LEN(SUBSTITUTE($G1261,"-",""))),"-"," ",LEN($G1261)-LEN(SUBSTITUTE($G1261,"-",""))-1),SUBSTITUTE(SUBSTITUTE(SUBSTITUTE($G1261,"-"," ",LEN($G1261)-LEN(SUBSTITUTE($G1261,"-",""))),"-"," ",LEN($G1261)-LEN(SUBSTITUTE($G1261,"-",""))-1),"."," ",(LEN(SUBSTITUTE(SUBSTITUTE($G1261,"-"," ",LEN($G1261)-LEN(SUBSTITUTE($G1261,"-",""))),"-"," ",LEN($G1261)-LEN(SUBSTITUTE($G1261,"-",""))-1))-LEN(SUBSTITUTE(SUBSTITUTE(SUBSTITUTE($G1261,"-"," ",LEN($G1261)-LEN(SUBSTITUTE($G1261,"-",""))),"-"," ",LEN($G1261)-LEN(SUBSTITUTE($G1261,"-",""))-1),".",""))))),$G1261)))</f>
        <v/>
      </c>
    </row>
    <row r="1262">
      <c r="A1262" s="58" t="n"/>
      <c r="B1262" s="58">
        <f>IF($H1262="","",LEFT($H1262,FIND(" ",$H1262&amp;" ")-1))</f>
        <v/>
      </c>
      <c r="C1262" s="58">
        <f>IF($H1262="","",IFERROR(MID($H1262&amp;" ",FIND("|",SUBSTITUTE($H1262&amp;" "," ","|",1))+1,FIND("|",SUBSTITUTE($H1262&amp;" "," ","|",2))-FIND("|",SUBSTITUTE($H1262&amp;" "," ","|",1))-1),""))</f>
        <v/>
      </c>
      <c r="D1262" s="58">
        <f>IF($H1262="","",IFERROR(MID($H1262&amp;" ",FIND("|",SUBSTITUTE($H1262&amp;" "," ","|",2))+1,FIND("|",SUBSTITUTE($H1262&amp;" "," ","|",3))-FIND("|",SUBSTITUTE($H1262&amp;" "," ","|",2))-1),""))</f>
        <v/>
      </c>
      <c r="E1262" s="58">
        <f>IF($H1262="","",IFERROR(MID($H1262&amp;" ",FIND("|",SUBSTITUTE($H1262&amp;" "," ","|",3))+1,FIND("|",SUBSTITUTE($H1262&amp;" "," ","|",4))-FIND("|",SUBSTITUTE($H1262&amp;" "," ","|",3))-1),""))</f>
        <v/>
      </c>
      <c r="F1262" s="59">
        <f>IF($H1262="","",IFERROR(VALUE(IFERROR(MID($H1262&amp;" ",FIND("|",SUBSTITUTE($H1262&amp;" "," ","|",4))+1,FIND("|",SUBSTITUTE($H1262&amp;" "," ","|",5))-FIND("|",SUBSTITUTE($H1262&amp;" "," ","|",4))-1),""))/86400+25569+9/24,""))</f>
        <v/>
      </c>
      <c r="G1262" s="58">
        <f>TRIM(SUBSTITUTE(SUBSTITUTE(SUBSTITUTE($A1262,CHAR(9)," ")," "," "),CHAR(13),""))</f>
        <v/>
      </c>
      <c r="H1262" s="58">
        <f>IF($G1262="","",IF(ISNUMBER(FIND(" ",$G1262)),$G1262,IFERROR(IF((LEN(SUBSTITUTE(SUBSTITUTE($G1262,"-"," ",LEN($G1262)-LEN(SUBSTITUTE($G1262,"-",""))),"-"," ",LEN($G1262)-LEN(SUBSTITUTE($G1262,"-",""))-1))-LEN(SUBSTITUTE(SUBSTITUTE(SUBSTITUTE($G1262,"-"," ",LEN($G1262)-LEN(SUBSTITUTE($G1262,"-",""))),"-"," ",LEN($G1262)-LEN(SUBSTITUTE($G1262,"-",""))-1),".","")))=0,SUBSTITUTE(SUBSTITUTE($G1262,"-"," ",LEN($G1262)-LEN(SUBSTITUTE($G1262,"-",""))),"-"," ",LEN($G1262)-LEN(SUBSTITUTE($G1262,"-",""))-1),SUBSTITUTE(SUBSTITUTE(SUBSTITUTE($G1262,"-"," ",LEN($G1262)-LEN(SUBSTITUTE($G1262,"-",""))),"-"," ",LEN($G1262)-LEN(SUBSTITUTE($G1262,"-",""))-1),"."," ",(LEN(SUBSTITUTE(SUBSTITUTE($G1262,"-"," ",LEN($G1262)-LEN(SUBSTITUTE($G1262,"-",""))),"-"," ",LEN($G1262)-LEN(SUBSTITUTE($G1262,"-",""))-1))-LEN(SUBSTITUTE(SUBSTITUTE(SUBSTITUTE($G1262,"-"," ",LEN($G1262)-LEN(SUBSTITUTE($G1262,"-",""))),"-"," ",LEN($G1262)-LEN(SUBSTITUTE($G1262,"-",""))-1),".",""))))),$G1262)))</f>
        <v/>
      </c>
    </row>
    <row r="1263">
      <c r="A1263" s="58" t="n"/>
      <c r="B1263" s="58">
        <f>IF($H1263="","",LEFT($H1263,FIND(" ",$H1263&amp;" ")-1))</f>
        <v/>
      </c>
      <c r="C1263" s="58">
        <f>IF($H1263="","",IFERROR(MID($H1263&amp;" ",FIND("|",SUBSTITUTE($H1263&amp;" "," ","|",1))+1,FIND("|",SUBSTITUTE($H1263&amp;" "," ","|",2))-FIND("|",SUBSTITUTE($H1263&amp;" "," ","|",1))-1),""))</f>
        <v/>
      </c>
      <c r="D1263" s="58">
        <f>IF($H1263="","",IFERROR(MID($H1263&amp;" ",FIND("|",SUBSTITUTE($H1263&amp;" "," ","|",2))+1,FIND("|",SUBSTITUTE($H1263&amp;" "," ","|",3))-FIND("|",SUBSTITUTE($H1263&amp;" "," ","|",2))-1),""))</f>
        <v/>
      </c>
      <c r="E1263" s="58">
        <f>IF($H1263="","",IFERROR(MID($H1263&amp;" ",FIND("|",SUBSTITUTE($H1263&amp;" "," ","|",3))+1,FIND("|",SUBSTITUTE($H1263&amp;" "," ","|",4))-FIND("|",SUBSTITUTE($H1263&amp;" "," ","|",3))-1),""))</f>
        <v/>
      </c>
      <c r="F1263" s="59">
        <f>IF($H1263="","",IFERROR(VALUE(IFERROR(MID($H1263&amp;" ",FIND("|",SUBSTITUTE($H1263&amp;" "," ","|",4))+1,FIND("|",SUBSTITUTE($H1263&amp;" "," ","|",5))-FIND("|",SUBSTITUTE($H1263&amp;" "," ","|",4))-1),""))/86400+25569+9/24,""))</f>
        <v/>
      </c>
      <c r="G1263" s="58">
        <f>TRIM(SUBSTITUTE(SUBSTITUTE(SUBSTITUTE($A1263,CHAR(9)," ")," "," "),CHAR(13),""))</f>
        <v/>
      </c>
      <c r="H1263" s="58">
        <f>IF($G1263="","",IF(ISNUMBER(FIND(" ",$G1263)),$G1263,IFERROR(IF((LEN(SUBSTITUTE(SUBSTITUTE($G1263,"-"," ",LEN($G1263)-LEN(SUBSTITUTE($G1263,"-",""))),"-"," ",LEN($G1263)-LEN(SUBSTITUTE($G1263,"-",""))-1))-LEN(SUBSTITUTE(SUBSTITUTE(SUBSTITUTE($G1263,"-"," ",LEN($G1263)-LEN(SUBSTITUTE($G1263,"-",""))),"-"," ",LEN($G1263)-LEN(SUBSTITUTE($G1263,"-",""))-1),".","")))=0,SUBSTITUTE(SUBSTITUTE($G1263,"-"," ",LEN($G1263)-LEN(SUBSTITUTE($G1263,"-",""))),"-"," ",LEN($G1263)-LEN(SUBSTITUTE($G1263,"-",""))-1),SUBSTITUTE(SUBSTITUTE(SUBSTITUTE($G1263,"-"," ",LEN($G1263)-LEN(SUBSTITUTE($G1263,"-",""))),"-"," ",LEN($G1263)-LEN(SUBSTITUTE($G1263,"-",""))-1),"."," ",(LEN(SUBSTITUTE(SUBSTITUTE($G1263,"-"," ",LEN($G1263)-LEN(SUBSTITUTE($G1263,"-",""))),"-"," ",LEN($G1263)-LEN(SUBSTITUTE($G1263,"-",""))-1))-LEN(SUBSTITUTE(SUBSTITUTE(SUBSTITUTE($G1263,"-"," ",LEN($G1263)-LEN(SUBSTITUTE($G1263,"-",""))),"-"," ",LEN($G1263)-LEN(SUBSTITUTE($G1263,"-",""))-1),".",""))))),$G1263)))</f>
        <v/>
      </c>
    </row>
    <row r="1264">
      <c r="A1264" s="58" t="n"/>
      <c r="B1264" s="58">
        <f>IF($H1264="","",LEFT($H1264,FIND(" ",$H1264&amp;" ")-1))</f>
        <v/>
      </c>
      <c r="C1264" s="58">
        <f>IF($H1264="","",IFERROR(MID($H1264&amp;" ",FIND("|",SUBSTITUTE($H1264&amp;" "," ","|",1))+1,FIND("|",SUBSTITUTE($H1264&amp;" "," ","|",2))-FIND("|",SUBSTITUTE($H1264&amp;" "," ","|",1))-1),""))</f>
        <v/>
      </c>
      <c r="D1264" s="58">
        <f>IF($H1264="","",IFERROR(MID($H1264&amp;" ",FIND("|",SUBSTITUTE($H1264&amp;" "," ","|",2))+1,FIND("|",SUBSTITUTE($H1264&amp;" "," ","|",3))-FIND("|",SUBSTITUTE($H1264&amp;" "," ","|",2))-1),""))</f>
        <v/>
      </c>
      <c r="E1264" s="58">
        <f>IF($H1264="","",IFERROR(MID($H1264&amp;" ",FIND("|",SUBSTITUTE($H1264&amp;" "," ","|",3))+1,FIND("|",SUBSTITUTE($H1264&amp;" "," ","|",4))-FIND("|",SUBSTITUTE($H1264&amp;" "," ","|",3))-1),""))</f>
        <v/>
      </c>
      <c r="F1264" s="59">
        <f>IF($H1264="","",IFERROR(VALUE(IFERROR(MID($H1264&amp;" ",FIND("|",SUBSTITUTE($H1264&amp;" "," ","|",4))+1,FIND("|",SUBSTITUTE($H1264&amp;" "," ","|",5))-FIND("|",SUBSTITUTE($H1264&amp;" "," ","|",4))-1),""))/86400+25569+9/24,""))</f>
        <v/>
      </c>
      <c r="G1264" s="58">
        <f>TRIM(SUBSTITUTE(SUBSTITUTE(SUBSTITUTE($A1264,CHAR(9)," ")," "," "),CHAR(13),""))</f>
        <v/>
      </c>
      <c r="H1264" s="58">
        <f>IF($G1264="","",IF(ISNUMBER(FIND(" ",$G1264)),$G1264,IFERROR(IF((LEN(SUBSTITUTE(SUBSTITUTE($G1264,"-"," ",LEN($G1264)-LEN(SUBSTITUTE($G1264,"-",""))),"-"," ",LEN($G1264)-LEN(SUBSTITUTE($G1264,"-",""))-1))-LEN(SUBSTITUTE(SUBSTITUTE(SUBSTITUTE($G1264,"-"," ",LEN($G1264)-LEN(SUBSTITUTE($G1264,"-",""))),"-"," ",LEN($G1264)-LEN(SUBSTITUTE($G1264,"-",""))-1),".","")))=0,SUBSTITUTE(SUBSTITUTE($G1264,"-"," ",LEN($G1264)-LEN(SUBSTITUTE($G1264,"-",""))),"-"," ",LEN($G1264)-LEN(SUBSTITUTE($G1264,"-",""))-1),SUBSTITUTE(SUBSTITUTE(SUBSTITUTE($G1264,"-"," ",LEN($G1264)-LEN(SUBSTITUTE($G1264,"-",""))),"-"," ",LEN($G1264)-LEN(SUBSTITUTE($G1264,"-",""))-1),"."," ",(LEN(SUBSTITUTE(SUBSTITUTE($G1264,"-"," ",LEN($G1264)-LEN(SUBSTITUTE($G1264,"-",""))),"-"," ",LEN($G1264)-LEN(SUBSTITUTE($G1264,"-",""))-1))-LEN(SUBSTITUTE(SUBSTITUTE(SUBSTITUTE($G1264,"-"," ",LEN($G1264)-LEN(SUBSTITUTE($G1264,"-",""))),"-"," ",LEN($G1264)-LEN(SUBSTITUTE($G1264,"-",""))-1),".",""))))),$G1264)))</f>
        <v/>
      </c>
    </row>
    <row r="1265">
      <c r="A1265" s="58" t="n"/>
      <c r="B1265" s="58">
        <f>IF($H1265="","",LEFT($H1265,FIND(" ",$H1265&amp;" ")-1))</f>
        <v/>
      </c>
      <c r="C1265" s="58">
        <f>IF($H1265="","",IFERROR(MID($H1265&amp;" ",FIND("|",SUBSTITUTE($H1265&amp;" "," ","|",1))+1,FIND("|",SUBSTITUTE($H1265&amp;" "," ","|",2))-FIND("|",SUBSTITUTE($H1265&amp;" "," ","|",1))-1),""))</f>
        <v/>
      </c>
      <c r="D1265" s="58">
        <f>IF($H1265="","",IFERROR(MID($H1265&amp;" ",FIND("|",SUBSTITUTE($H1265&amp;" "," ","|",2))+1,FIND("|",SUBSTITUTE($H1265&amp;" "," ","|",3))-FIND("|",SUBSTITUTE($H1265&amp;" "," ","|",2))-1),""))</f>
        <v/>
      </c>
      <c r="E1265" s="58">
        <f>IF($H1265="","",IFERROR(MID($H1265&amp;" ",FIND("|",SUBSTITUTE($H1265&amp;" "," ","|",3))+1,FIND("|",SUBSTITUTE($H1265&amp;" "," ","|",4))-FIND("|",SUBSTITUTE($H1265&amp;" "," ","|",3))-1),""))</f>
        <v/>
      </c>
      <c r="F1265" s="59">
        <f>IF($H1265="","",IFERROR(VALUE(IFERROR(MID($H1265&amp;" ",FIND("|",SUBSTITUTE($H1265&amp;" "," ","|",4))+1,FIND("|",SUBSTITUTE($H1265&amp;" "," ","|",5))-FIND("|",SUBSTITUTE($H1265&amp;" "," ","|",4))-1),""))/86400+25569+9/24,""))</f>
        <v/>
      </c>
      <c r="G1265" s="58">
        <f>TRIM(SUBSTITUTE(SUBSTITUTE(SUBSTITUTE($A1265,CHAR(9)," ")," "," "),CHAR(13),""))</f>
        <v/>
      </c>
      <c r="H1265" s="58">
        <f>IF($G1265="","",IF(ISNUMBER(FIND(" ",$G1265)),$G1265,IFERROR(IF((LEN(SUBSTITUTE(SUBSTITUTE($G1265,"-"," ",LEN($G1265)-LEN(SUBSTITUTE($G1265,"-",""))),"-"," ",LEN($G1265)-LEN(SUBSTITUTE($G1265,"-",""))-1))-LEN(SUBSTITUTE(SUBSTITUTE(SUBSTITUTE($G1265,"-"," ",LEN($G1265)-LEN(SUBSTITUTE($G1265,"-",""))),"-"," ",LEN($G1265)-LEN(SUBSTITUTE($G1265,"-",""))-1),".","")))=0,SUBSTITUTE(SUBSTITUTE($G1265,"-"," ",LEN($G1265)-LEN(SUBSTITUTE($G1265,"-",""))),"-"," ",LEN($G1265)-LEN(SUBSTITUTE($G1265,"-",""))-1),SUBSTITUTE(SUBSTITUTE(SUBSTITUTE($G1265,"-"," ",LEN($G1265)-LEN(SUBSTITUTE($G1265,"-",""))),"-"," ",LEN($G1265)-LEN(SUBSTITUTE($G1265,"-",""))-1),"."," ",(LEN(SUBSTITUTE(SUBSTITUTE($G1265,"-"," ",LEN($G1265)-LEN(SUBSTITUTE($G1265,"-",""))),"-"," ",LEN($G1265)-LEN(SUBSTITUTE($G1265,"-",""))-1))-LEN(SUBSTITUTE(SUBSTITUTE(SUBSTITUTE($G1265,"-"," ",LEN($G1265)-LEN(SUBSTITUTE($G1265,"-",""))),"-"," ",LEN($G1265)-LEN(SUBSTITUTE($G1265,"-",""))-1),".",""))))),$G1265)))</f>
        <v/>
      </c>
    </row>
    <row r="1266">
      <c r="A1266" s="58" t="n"/>
      <c r="B1266" s="58">
        <f>IF($H1266="","",LEFT($H1266,FIND(" ",$H1266&amp;" ")-1))</f>
        <v/>
      </c>
      <c r="C1266" s="58">
        <f>IF($H1266="","",IFERROR(MID($H1266&amp;" ",FIND("|",SUBSTITUTE($H1266&amp;" "," ","|",1))+1,FIND("|",SUBSTITUTE($H1266&amp;" "," ","|",2))-FIND("|",SUBSTITUTE($H1266&amp;" "," ","|",1))-1),""))</f>
        <v/>
      </c>
      <c r="D1266" s="58">
        <f>IF($H1266="","",IFERROR(MID($H1266&amp;" ",FIND("|",SUBSTITUTE($H1266&amp;" "," ","|",2))+1,FIND("|",SUBSTITUTE($H1266&amp;" "," ","|",3))-FIND("|",SUBSTITUTE($H1266&amp;" "," ","|",2))-1),""))</f>
        <v/>
      </c>
      <c r="E1266" s="58">
        <f>IF($H1266="","",IFERROR(MID($H1266&amp;" ",FIND("|",SUBSTITUTE($H1266&amp;" "," ","|",3))+1,FIND("|",SUBSTITUTE($H1266&amp;" "," ","|",4))-FIND("|",SUBSTITUTE($H1266&amp;" "," ","|",3))-1),""))</f>
        <v/>
      </c>
      <c r="F1266" s="59">
        <f>IF($H1266="","",IFERROR(VALUE(IFERROR(MID($H1266&amp;" ",FIND("|",SUBSTITUTE($H1266&amp;" "," ","|",4))+1,FIND("|",SUBSTITUTE($H1266&amp;" "," ","|",5))-FIND("|",SUBSTITUTE($H1266&amp;" "," ","|",4))-1),""))/86400+25569+9/24,""))</f>
        <v/>
      </c>
      <c r="G1266" s="58">
        <f>TRIM(SUBSTITUTE(SUBSTITUTE(SUBSTITUTE($A1266,CHAR(9)," ")," "," "),CHAR(13),""))</f>
        <v/>
      </c>
      <c r="H1266" s="58">
        <f>IF($G1266="","",IF(ISNUMBER(FIND(" ",$G1266)),$G1266,IFERROR(IF((LEN(SUBSTITUTE(SUBSTITUTE($G1266,"-"," ",LEN($G1266)-LEN(SUBSTITUTE($G1266,"-",""))),"-"," ",LEN($G1266)-LEN(SUBSTITUTE($G1266,"-",""))-1))-LEN(SUBSTITUTE(SUBSTITUTE(SUBSTITUTE($G1266,"-"," ",LEN($G1266)-LEN(SUBSTITUTE($G1266,"-",""))),"-"," ",LEN($G1266)-LEN(SUBSTITUTE($G1266,"-",""))-1),".","")))=0,SUBSTITUTE(SUBSTITUTE($G1266,"-"," ",LEN($G1266)-LEN(SUBSTITUTE($G1266,"-",""))),"-"," ",LEN($G1266)-LEN(SUBSTITUTE($G1266,"-",""))-1),SUBSTITUTE(SUBSTITUTE(SUBSTITUTE($G1266,"-"," ",LEN($G1266)-LEN(SUBSTITUTE($G1266,"-",""))),"-"," ",LEN($G1266)-LEN(SUBSTITUTE($G1266,"-",""))-1),"."," ",(LEN(SUBSTITUTE(SUBSTITUTE($G1266,"-"," ",LEN($G1266)-LEN(SUBSTITUTE($G1266,"-",""))),"-"," ",LEN($G1266)-LEN(SUBSTITUTE($G1266,"-",""))-1))-LEN(SUBSTITUTE(SUBSTITUTE(SUBSTITUTE($G1266,"-"," ",LEN($G1266)-LEN(SUBSTITUTE($G1266,"-",""))),"-"," ",LEN($G1266)-LEN(SUBSTITUTE($G1266,"-",""))-1),".",""))))),$G1266)))</f>
        <v/>
      </c>
    </row>
    <row r="1267">
      <c r="A1267" s="58" t="n"/>
      <c r="B1267" s="58">
        <f>IF($H1267="","",LEFT($H1267,FIND(" ",$H1267&amp;" ")-1))</f>
        <v/>
      </c>
      <c r="C1267" s="58">
        <f>IF($H1267="","",IFERROR(MID($H1267&amp;" ",FIND("|",SUBSTITUTE($H1267&amp;" "," ","|",1))+1,FIND("|",SUBSTITUTE($H1267&amp;" "," ","|",2))-FIND("|",SUBSTITUTE($H1267&amp;" "," ","|",1))-1),""))</f>
        <v/>
      </c>
      <c r="D1267" s="58">
        <f>IF($H1267="","",IFERROR(MID($H1267&amp;" ",FIND("|",SUBSTITUTE($H1267&amp;" "," ","|",2))+1,FIND("|",SUBSTITUTE($H1267&amp;" "," ","|",3))-FIND("|",SUBSTITUTE($H1267&amp;" "," ","|",2))-1),""))</f>
        <v/>
      </c>
      <c r="E1267" s="58">
        <f>IF($H1267="","",IFERROR(MID($H1267&amp;" ",FIND("|",SUBSTITUTE($H1267&amp;" "," ","|",3))+1,FIND("|",SUBSTITUTE($H1267&amp;" "," ","|",4))-FIND("|",SUBSTITUTE($H1267&amp;" "," ","|",3))-1),""))</f>
        <v/>
      </c>
      <c r="F1267" s="59">
        <f>IF($H1267="","",IFERROR(VALUE(IFERROR(MID($H1267&amp;" ",FIND("|",SUBSTITUTE($H1267&amp;" "," ","|",4))+1,FIND("|",SUBSTITUTE($H1267&amp;" "," ","|",5))-FIND("|",SUBSTITUTE($H1267&amp;" "," ","|",4))-1),""))/86400+25569+9/24,""))</f>
        <v/>
      </c>
      <c r="G1267" s="58">
        <f>TRIM(SUBSTITUTE(SUBSTITUTE(SUBSTITUTE($A1267,CHAR(9)," ")," "," "),CHAR(13),""))</f>
        <v/>
      </c>
      <c r="H1267" s="58">
        <f>IF($G1267="","",IF(ISNUMBER(FIND(" ",$G1267)),$G1267,IFERROR(IF((LEN(SUBSTITUTE(SUBSTITUTE($G1267,"-"," ",LEN($G1267)-LEN(SUBSTITUTE($G1267,"-",""))),"-"," ",LEN($G1267)-LEN(SUBSTITUTE($G1267,"-",""))-1))-LEN(SUBSTITUTE(SUBSTITUTE(SUBSTITUTE($G1267,"-"," ",LEN($G1267)-LEN(SUBSTITUTE($G1267,"-",""))),"-"," ",LEN($G1267)-LEN(SUBSTITUTE($G1267,"-",""))-1),".","")))=0,SUBSTITUTE(SUBSTITUTE($G1267,"-"," ",LEN($G1267)-LEN(SUBSTITUTE($G1267,"-",""))),"-"," ",LEN($G1267)-LEN(SUBSTITUTE($G1267,"-",""))-1),SUBSTITUTE(SUBSTITUTE(SUBSTITUTE($G1267,"-"," ",LEN($G1267)-LEN(SUBSTITUTE($G1267,"-",""))),"-"," ",LEN($G1267)-LEN(SUBSTITUTE($G1267,"-",""))-1),"."," ",(LEN(SUBSTITUTE(SUBSTITUTE($G1267,"-"," ",LEN($G1267)-LEN(SUBSTITUTE($G1267,"-",""))),"-"," ",LEN($G1267)-LEN(SUBSTITUTE($G1267,"-",""))-1))-LEN(SUBSTITUTE(SUBSTITUTE(SUBSTITUTE($G1267,"-"," ",LEN($G1267)-LEN(SUBSTITUTE($G1267,"-",""))),"-"," ",LEN($G1267)-LEN(SUBSTITUTE($G1267,"-",""))-1),".",""))))),$G1267)))</f>
        <v/>
      </c>
    </row>
    <row r="1268">
      <c r="A1268" s="58" t="n"/>
      <c r="B1268" s="58">
        <f>IF($H1268="","",LEFT($H1268,FIND(" ",$H1268&amp;" ")-1))</f>
        <v/>
      </c>
      <c r="C1268" s="58">
        <f>IF($H1268="","",IFERROR(MID($H1268&amp;" ",FIND("|",SUBSTITUTE($H1268&amp;" "," ","|",1))+1,FIND("|",SUBSTITUTE($H1268&amp;" "," ","|",2))-FIND("|",SUBSTITUTE($H1268&amp;" "," ","|",1))-1),""))</f>
        <v/>
      </c>
      <c r="D1268" s="58">
        <f>IF($H1268="","",IFERROR(MID($H1268&amp;" ",FIND("|",SUBSTITUTE($H1268&amp;" "," ","|",2))+1,FIND("|",SUBSTITUTE($H1268&amp;" "," ","|",3))-FIND("|",SUBSTITUTE($H1268&amp;" "," ","|",2))-1),""))</f>
        <v/>
      </c>
      <c r="E1268" s="58">
        <f>IF($H1268="","",IFERROR(MID($H1268&amp;" ",FIND("|",SUBSTITUTE($H1268&amp;" "," ","|",3))+1,FIND("|",SUBSTITUTE($H1268&amp;" "," ","|",4))-FIND("|",SUBSTITUTE($H1268&amp;" "," ","|",3))-1),""))</f>
        <v/>
      </c>
      <c r="F1268" s="59">
        <f>IF($H1268="","",IFERROR(VALUE(IFERROR(MID($H1268&amp;" ",FIND("|",SUBSTITUTE($H1268&amp;" "," ","|",4))+1,FIND("|",SUBSTITUTE($H1268&amp;" "," ","|",5))-FIND("|",SUBSTITUTE($H1268&amp;" "," ","|",4))-1),""))/86400+25569+9/24,""))</f>
        <v/>
      </c>
      <c r="G1268" s="58">
        <f>TRIM(SUBSTITUTE(SUBSTITUTE(SUBSTITUTE($A1268,CHAR(9)," ")," "," "),CHAR(13),""))</f>
        <v/>
      </c>
      <c r="H1268" s="58">
        <f>IF($G1268="","",IF(ISNUMBER(FIND(" ",$G1268)),$G1268,IFERROR(IF((LEN(SUBSTITUTE(SUBSTITUTE($G1268,"-"," ",LEN($G1268)-LEN(SUBSTITUTE($G1268,"-",""))),"-"," ",LEN($G1268)-LEN(SUBSTITUTE($G1268,"-",""))-1))-LEN(SUBSTITUTE(SUBSTITUTE(SUBSTITUTE($G1268,"-"," ",LEN($G1268)-LEN(SUBSTITUTE($G1268,"-",""))),"-"," ",LEN($G1268)-LEN(SUBSTITUTE($G1268,"-",""))-1),".","")))=0,SUBSTITUTE(SUBSTITUTE($G1268,"-"," ",LEN($G1268)-LEN(SUBSTITUTE($G1268,"-",""))),"-"," ",LEN($G1268)-LEN(SUBSTITUTE($G1268,"-",""))-1),SUBSTITUTE(SUBSTITUTE(SUBSTITUTE($G1268,"-"," ",LEN($G1268)-LEN(SUBSTITUTE($G1268,"-",""))),"-"," ",LEN($G1268)-LEN(SUBSTITUTE($G1268,"-",""))-1),"."," ",(LEN(SUBSTITUTE(SUBSTITUTE($G1268,"-"," ",LEN($G1268)-LEN(SUBSTITUTE($G1268,"-",""))),"-"," ",LEN($G1268)-LEN(SUBSTITUTE($G1268,"-",""))-1))-LEN(SUBSTITUTE(SUBSTITUTE(SUBSTITUTE($G1268,"-"," ",LEN($G1268)-LEN(SUBSTITUTE($G1268,"-",""))),"-"," ",LEN($G1268)-LEN(SUBSTITUTE($G1268,"-",""))-1),".",""))))),$G1268)))</f>
        <v/>
      </c>
    </row>
    <row r="1269">
      <c r="A1269" s="58" t="n"/>
      <c r="B1269" s="58">
        <f>IF($H1269="","",LEFT($H1269,FIND(" ",$H1269&amp;" ")-1))</f>
        <v/>
      </c>
      <c r="C1269" s="58">
        <f>IF($H1269="","",IFERROR(MID($H1269&amp;" ",FIND("|",SUBSTITUTE($H1269&amp;" "," ","|",1))+1,FIND("|",SUBSTITUTE($H1269&amp;" "," ","|",2))-FIND("|",SUBSTITUTE($H1269&amp;" "," ","|",1))-1),""))</f>
        <v/>
      </c>
      <c r="D1269" s="58">
        <f>IF($H1269="","",IFERROR(MID($H1269&amp;" ",FIND("|",SUBSTITUTE($H1269&amp;" "," ","|",2))+1,FIND("|",SUBSTITUTE($H1269&amp;" "," ","|",3))-FIND("|",SUBSTITUTE($H1269&amp;" "," ","|",2))-1),""))</f>
        <v/>
      </c>
      <c r="E1269" s="58">
        <f>IF($H1269="","",IFERROR(MID($H1269&amp;" ",FIND("|",SUBSTITUTE($H1269&amp;" "," ","|",3))+1,FIND("|",SUBSTITUTE($H1269&amp;" "," ","|",4))-FIND("|",SUBSTITUTE($H1269&amp;" "," ","|",3))-1),""))</f>
        <v/>
      </c>
      <c r="F1269" s="59">
        <f>IF($H1269="","",IFERROR(VALUE(IFERROR(MID($H1269&amp;" ",FIND("|",SUBSTITUTE($H1269&amp;" "," ","|",4))+1,FIND("|",SUBSTITUTE($H1269&amp;" "," ","|",5))-FIND("|",SUBSTITUTE($H1269&amp;" "," ","|",4))-1),""))/86400+25569+9/24,""))</f>
        <v/>
      </c>
      <c r="G1269" s="58">
        <f>TRIM(SUBSTITUTE(SUBSTITUTE(SUBSTITUTE($A1269,CHAR(9)," ")," "," "),CHAR(13),""))</f>
        <v/>
      </c>
      <c r="H1269" s="58">
        <f>IF($G1269="","",IF(ISNUMBER(FIND(" ",$G1269)),$G1269,IFERROR(IF((LEN(SUBSTITUTE(SUBSTITUTE($G1269,"-"," ",LEN($G1269)-LEN(SUBSTITUTE($G1269,"-",""))),"-"," ",LEN($G1269)-LEN(SUBSTITUTE($G1269,"-",""))-1))-LEN(SUBSTITUTE(SUBSTITUTE(SUBSTITUTE($G1269,"-"," ",LEN($G1269)-LEN(SUBSTITUTE($G1269,"-",""))),"-"," ",LEN($G1269)-LEN(SUBSTITUTE($G1269,"-",""))-1),".","")))=0,SUBSTITUTE(SUBSTITUTE($G1269,"-"," ",LEN($G1269)-LEN(SUBSTITUTE($G1269,"-",""))),"-"," ",LEN($G1269)-LEN(SUBSTITUTE($G1269,"-",""))-1),SUBSTITUTE(SUBSTITUTE(SUBSTITUTE($G1269,"-"," ",LEN($G1269)-LEN(SUBSTITUTE($G1269,"-",""))),"-"," ",LEN($G1269)-LEN(SUBSTITUTE($G1269,"-",""))-1),"."," ",(LEN(SUBSTITUTE(SUBSTITUTE($G1269,"-"," ",LEN($G1269)-LEN(SUBSTITUTE($G1269,"-",""))),"-"," ",LEN($G1269)-LEN(SUBSTITUTE($G1269,"-",""))-1))-LEN(SUBSTITUTE(SUBSTITUTE(SUBSTITUTE($G1269,"-"," ",LEN($G1269)-LEN(SUBSTITUTE($G1269,"-",""))),"-"," ",LEN($G1269)-LEN(SUBSTITUTE($G1269,"-",""))-1),".",""))))),$G1269)))</f>
        <v/>
      </c>
    </row>
    <row r="1270">
      <c r="A1270" s="58" t="n"/>
      <c r="B1270" s="58">
        <f>IF($H1270="","",LEFT($H1270,FIND(" ",$H1270&amp;" ")-1))</f>
        <v/>
      </c>
      <c r="C1270" s="58">
        <f>IF($H1270="","",IFERROR(MID($H1270&amp;" ",FIND("|",SUBSTITUTE($H1270&amp;" "," ","|",1))+1,FIND("|",SUBSTITUTE($H1270&amp;" "," ","|",2))-FIND("|",SUBSTITUTE($H1270&amp;" "," ","|",1))-1),""))</f>
        <v/>
      </c>
      <c r="D1270" s="58">
        <f>IF($H1270="","",IFERROR(MID($H1270&amp;" ",FIND("|",SUBSTITUTE($H1270&amp;" "," ","|",2))+1,FIND("|",SUBSTITUTE($H1270&amp;" "," ","|",3))-FIND("|",SUBSTITUTE($H1270&amp;" "," ","|",2))-1),""))</f>
        <v/>
      </c>
      <c r="E1270" s="58">
        <f>IF($H1270="","",IFERROR(MID($H1270&amp;" ",FIND("|",SUBSTITUTE($H1270&amp;" "," ","|",3))+1,FIND("|",SUBSTITUTE($H1270&amp;" "," ","|",4))-FIND("|",SUBSTITUTE($H1270&amp;" "," ","|",3))-1),""))</f>
        <v/>
      </c>
      <c r="F1270" s="59">
        <f>IF($H1270="","",IFERROR(VALUE(IFERROR(MID($H1270&amp;" ",FIND("|",SUBSTITUTE($H1270&amp;" "," ","|",4))+1,FIND("|",SUBSTITUTE($H1270&amp;" "," ","|",5))-FIND("|",SUBSTITUTE($H1270&amp;" "," ","|",4))-1),""))/86400+25569+9/24,""))</f>
        <v/>
      </c>
      <c r="G1270" s="58">
        <f>TRIM(SUBSTITUTE(SUBSTITUTE(SUBSTITUTE($A1270,CHAR(9)," ")," "," "),CHAR(13),""))</f>
        <v/>
      </c>
      <c r="H1270" s="58">
        <f>IF($G1270="","",IF(ISNUMBER(FIND(" ",$G1270)),$G1270,IFERROR(IF((LEN(SUBSTITUTE(SUBSTITUTE($G1270,"-"," ",LEN($G1270)-LEN(SUBSTITUTE($G1270,"-",""))),"-"," ",LEN($G1270)-LEN(SUBSTITUTE($G1270,"-",""))-1))-LEN(SUBSTITUTE(SUBSTITUTE(SUBSTITUTE($G1270,"-"," ",LEN($G1270)-LEN(SUBSTITUTE($G1270,"-",""))),"-"," ",LEN($G1270)-LEN(SUBSTITUTE($G1270,"-",""))-1),".","")))=0,SUBSTITUTE(SUBSTITUTE($G1270,"-"," ",LEN($G1270)-LEN(SUBSTITUTE($G1270,"-",""))),"-"," ",LEN($G1270)-LEN(SUBSTITUTE($G1270,"-",""))-1),SUBSTITUTE(SUBSTITUTE(SUBSTITUTE($G1270,"-"," ",LEN($G1270)-LEN(SUBSTITUTE($G1270,"-",""))),"-"," ",LEN($G1270)-LEN(SUBSTITUTE($G1270,"-",""))-1),"."," ",(LEN(SUBSTITUTE(SUBSTITUTE($G1270,"-"," ",LEN($G1270)-LEN(SUBSTITUTE($G1270,"-",""))),"-"," ",LEN($G1270)-LEN(SUBSTITUTE($G1270,"-",""))-1))-LEN(SUBSTITUTE(SUBSTITUTE(SUBSTITUTE($G1270,"-"," ",LEN($G1270)-LEN(SUBSTITUTE($G1270,"-",""))),"-"," ",LEN($G1270)-LEN(SUBSTITUTE($G1270,"-",""))-1),".",""))))),$G1270)))</f>
        <v/>
      </c>
    </row>
    <row r="1271">
      <c r="A1271" s="58" t="n"/>
      <c r="B1271" s="58">
        <f>IF($H1271="","",LEFT($H1271,FIND(" ",$H1271&amp;" ")-1))</f>
        <v/>
      </c>
      <c r="C1271" s="58">
        <f>IF($H1271="","",IFERROR(MID($H1271&amp;" ",FIND("|",SUBSTITUTE($H1271&amp;" "," ","|",1))+1,FIND("|",SUBSTITUTE($H1271&amp;" "," ","|",2))-FIND("|",SUBSTITUTE($H1271&amp;" "," ","|",1))-1),""))</f>
        <v/>
      </c>
      <c r="D1271" s="58">
        <f>IF($H1271="","",IFERROR(MID($H1271&amp;" ",FIND("|",SUBSTITUTE($H1271&amp;" "," ","|",2))+1,FIND("|",SUBSTITUTE($H1271&amp;" "," ","|",3))-FIND("|",SUBSTITUTE($H1271&amp;" "," ","|",2))-1),""))</f>
        <v/>
      </c>
      <c r="E1271" s="58">
        <f>IF($H1271="","",IFERROR(MID($H1271&amp;" ",FIND("|",SUBSTITUTE($H1271&amp;" "," ","|",3))+1,FIND("|",SUBSTITUTE($H1271&amp;" "," ","|",4))-FIND("|",SUBSTITUTE($H1271&amp;" "," ","|",3))-1),""))</f>
        <v/>
      </c>
      <c r="F1271" s="59">
        <f>IF($H1271="","",IFERROR(VALUE(IFERROR(MID($H1271&amp;" ",FIND("|",SUBSTITUTE($H1271&amp;" "," ","|",4))+1,FIND("|",SUBSTITUTE($H1271&amp;" "," ","|",5))-FIND("|",SUBSTITUTE($H1271&amp;" "," ","|",4))-1),""))/86400+25569+9/24,""))</f>
        <v/>
      </c>
      <c r="G1271" s="58">
        <f>TRIM(SUBSTITUTE(SUBSTITUTE(SUBSTITUTE($A1271,CHAR(9)," ")," "," "),CHAR(13),""))</f>
        <v/>
      </c>
      <c r="H1271" s="58">
        <f>IF($G1271="","",IF(ISNUMBER(FIND(" ",$G1271)),$G1271,IFERROR(IF((LEN(SUBSTITUTE(SUBSTITUTE($G1271,"-"," ",LEN($G1271)-LEN(SUBSTITUTE($G1271,"-",""))),"-"," ",LEN($G1271)-LEN(SUBSTITUTE($G1271,"-",""))-1))-LEN(SUBSTITUTE(SUBSTITUTE(SUBSTITUTE($G1271,"-"," ",LEN($G1271)-LEN(SUBSTITUTE($G1271,"-",""))),"-"," ",LEN($G1271)-LEN(SUBSTITUTE($G1271,"-",""))-1),".","")))=0,SUBSTITUTE(SUBSTITUTE($G1271,"-"," ",LEN($G1271)-LEN(SUBSTITUTE($G1271,"-",""))),"-"," ",LEN($G1271)-LEN(SUBSTITUTE($G1271,"-",""))-1),SUBSTITUTE(SUBSTITUTE(SUBSTITUTE($G1271,"-"," ",LEN($G1271)-LEN(SUBSTITUTE($G1271,"-",""))),"-"," ",LEN($G1271)-LEN(SUBSTITUTE($G1271,"-",""))-1),"."," ",(LEN(SUBSTITUTE(SUBSTITUTE($G1271,"-"," ",LEN($G1271)-LEN(SUBSTITUTE($G1271,"-",""))),"-"," ",LEN($G1271)-LEN(SUBSTITUTE($G1271,"-",""))-1))-LEN(SUBSTITUTE(SUBSTITUTE(SUBSTITUTE($G1271,"-"," ",LEN($G1271)-LEN(SUBSTITUTE($G1271,"-",""))),"-"," ",LEN($G1271)-LEN(SUBSTITUTE($G1271,"-",""))-1),".",""))))),$G1271)))</f>
        <v/>
      </c>
    </row>
    <row r="1272">
      <c r="A1272" s="58" t="n"/>
      <c r="B1272" s="58">
        <f>IF($H1272="","",LEFT($H1272,FIND(" ",$H1272&amp;" ")-1))</f>
        <v/>
      </c>
      <c r="C1272" s="58">
        <f>IF($H1272="","",IFERROR(MID($H1272&amp;" ",FIND("|",SUBSTITUTE($H1272&amp;" "," ","|",1))+1,FIND("|",SUBSTITUTE($H1272&amp;" "," ","|",2))-FIND("|",SUBSTITUTE($H1272&amp;" "," ","|",1))-1),""))</f>
        <v/>
      </c>
      <c r="D1272" s="58">
        <f>IF($H1272="","",IFERROR(MID($H1272&amp;" ",FIND("|",SUBSTITUTE($H1272&amp;" "," ","|",2))+1,FIND("|",SUBSTITUTE($H1272&amp;" "," ","|",3))-FIND("|",SUBSTITUTE($H1272&amp;" "," ","|",2))-1),""))</f>
        <v/>
      </c>
      <c r="E1272" s="58">
        <f>IF($H1272="","",IFERROR(MID($H1272&amp;" ",FIND("|",SUBSTITUTE($H1272&amp;" "," ","|",3))+1,FIND("|",SUBSTITUTE($H1272&amp;" "," ","|",4))-FIND("|",SUBSTITUTE($H1272&amp;" "," ","|",3))-1),""))</f>
        <v/>
      </c>
      <c r="F1272" s="59">
        <f>IF($H1272="","",IFERROR(VALUE(IFERROR(MID($H1272&amp;" ",FIND("|",SUBSTITUTE($H1272&amp;" "," ","|",4))+1,FIND("|",SUBSTITUTE($H1272&amp;" "," ","|",5))-FIND("|",SUBSTITUTE($H1272&amp;" "," ","|",4))-1),""))/86400+25569+9/24,""))</f>
        <v/>
      </c>
      <c r="G1272" s="58">
        <f>TRIM(SUBSTITUTE(SUBSTITUTE(SUBSTITUTE($A1272,CHAR(9)," ")," "," "),CHAR(13),""))</f>
        <v/>
      </c>
      <c r="H1272" s="58">
        <f>IF($G1272="","",IF(ISNUMBER(FIND(" ",$G1272)),$G1272,IFERROR(IF((LEN(SUBSTITUTE(SUBSTITUTE($G1272,"-"," ",LEN($G1272)-LEN(SUBSTITUTE($G1272,"-",""))),"-"," ",LEN($G1272)-LEN(SUBSTITUTE($G1272,"-",""))-1))-LEN(SUBSTITUTE(SUBSTITUTE(SUBSTITUTE($G1272,"-"," ",LEN($G1272)-LEN(SUBSTITUTE($G1272,"-",""))),"-"," ",LEN($G1272)-LEN(SUBSTITUTE($G1272,"-",""))-1),".","")))=0,SUBSTITUTE(SUBSTITUTE($G1272,"-"," ",LEN($G1272)-LEN(SUBSTITUTE($G1272,"-",""))),"-"," ",LEN($G1272)-LEN(SUBSTITUTE($G1272,"-",""))-1),SUBSTITUTE(SUBSTITUTE(SUBSTITUTE($G1272,"-"," ",LEN($G1272)-LEN(SUBSTITUTE($G1272,"-",""))),"-"," ",LEN($G1272)-LEN(SUBSTITUTE($G1272,"-",""))-1),"."," ",(LEN(SUBSTITUTE(SUBSTITUTE($G1272,"-"," ",LEN($G1272)-LEN(SUBSTITUTE($G1272,"-",""))),"-"," ",LEN($G1272)-LEN(SUBSTITUTE($G1272,"-",""))-1))-LEN(SUBSTITUTE(SUBSTITUTE(SUBSTITUTE($G1272,"-"," ",LEN($G1272)-LEN(SUBSTITUTE($G1272,"-",""))),"-"," ",LEN($G1272)-LEN(SUBSTITUTE($G1272,"-",""))-1),".",""))))),$G1272)))</f>
        <v/>
      </c>
    </row>
    <row r="1273">
      <c r="A1273" s="58" t="n"/>
      <c r="B1273" s="58">
        <f>IF($H1273="","",LEFT($H1273,FIND(" ",$H1273&amp;" ")-1))</f>
        <v/>
      </c>
      <c r="C1273" s="58">
        <f>IF($H1273="","",IFERROR(MID($H1273&amp;" ",FIND("|",SUBSTITUTE($H1273&amp;" "," ","|",1))+1,FIND("|",SUBSTITUTE($H1273&amp;" "," ","|",2))-FIND("|",SUBSTITUTE($H1273&amp;" "," ","|",1))-1),""))</f>
        <v/>
      </c>
      <c r="D1273" s="58">
        <f>IF($H1273="","",IFERROR(MID($H1273&amp;" ",FIND("|",SUBSTITUTE($H1273&amp;" "," ","|",2))+1,FIND("|",SUBSTITUTE($H1273&amp;" "," ","|",3))-FIND("|",SUBSTITUTE($H1273&amp;" "," ","|",2))-1),""))</f>
        <v/>
      </c>
      <c r="E1273" s="58">
        <f>IF($H1273="","",IFERROR(MID($H1273&amp;" ",FIND("|",SUBSTITUTE($H1273&amp;" "," ","|",3))+1,FIND("|",SUBSTITUTE($H1273&amp;" "," ","|",4))-FIND("|",SUBSTITUTE($H1273&amp;" "," ","|",3))-1),""))</f>
        <v/>
      </c>
      <c r="F1273" s="59">
        <f>IF($H1273="","",IFERROR(VALUE(IFERROR(MID($H1273&amp;" ",FIND("|",SUBSTITUTE($H1273&amp;" "," ","|",4))+1,FIND("|",SUBSTITUTE($H1273&amp;" "," ","|",5))-FIND("|",SUBSTITUTE($H1273&amp;" "," ","|",4))-1),""))/86400+25569+9/24,""))</f>
        <v/>
      </c>
      <c r="G1273" s="58">
        <f>TRIM(SUBSTITUTE(SUBSTITUTE(SUBSTITUTE($A1273,CHAR(9)," ")," "," "),CHAR(13),""))</f>
        <v/>
      </c>
      <c r="H1273" s="58">
        <f>IF($G1273="","",IF(ISNUMBER(FIND(" ",$G1273)),$G1273,IFERROR(IF((LEN(SUBSTITUTE(SUBSTITUTE($G1273,"-"," ",LEN($G1273)-LEN(SUBSTITUTE($G1273,"-",""))),"-"," ",LEN($G1273)-LEN(SUBSTITUTE($G1273,"-",""))-1))-LEN(SUBSTITUTE(SUBSTITUTE(SUBSTITUTE($G1273,"-"," ",LEN($G1273)-LEN(SUBSTITUTE($G1273,"-",""))),"-"," ",LEN($G1273)-LEN(SUBSTITUTE($G1273,"-",""))-1),".","")))=0,SUBSTITUTE(SUBSTITUTE($G1273,"-"," ",LEN($G1273)-LEN(SUBSTITUTE($G1273,"-",""))),"-"," ",LEN($G1273)-LEN(SUBSTITUTE($G1273,"-",""))-1),SUBSTITUTE(SUBSTITUTE(SUBSTITUTE($G1273,"-"," ",LEN($G1273)-LEN(SUBSTITUTE($G1273,"-",""))),"-"," ",LEN($G1273)-LEN(SUBSTITUTE($G1273,"-",""))-1),"."," ",(LEN(SUBSTITUTE(SUBSTITUTE($G1273,"-"," ",LEN($G1273)-LEN(SUBSTITUTE($G1273,"-",""))),"-"," ",LEN($G1273)-LEN(SUBSTITUTE($G1273,"-",""))-1))-LEN(SUBSTITUTE(SUBSTITUTE(SUBSTITUTE($G1273,"-"," ",LEN($G1273)-LEN(SUBSTITUTE($G1273,"-",""))),"-"," ",LEN($G1273)-LEN(SUBSTITUTE($G1273,"-",""))-1),".",""))))),$G1273)))</f>
        <v/>
      </c>
    </row>
    <row r="1274">
      <c r="A1274" s="58" t="n"/>
      <c r="B1274" s="58">
        <f>IF($H1274="","",LEFT($H1274,FIND(" ",$H1274&amp;" ")-1))</f>
        <v/>
      </c>
      <c r="C1274" s="58">
        <f>IF($H1274="","",IFERROR(MID($H1274&amp;" ",FIND("|",SUBSTITUTE($H1274&amp;" "," ","|",1))+1,FIND("|",SUBSTITUTE($H1274&amp;" "," ","|",2))-FIND("|",SUBSTITUTE($H1274&amp;" "," ","|",1))-1),""))</f>
        <v/>
      </c>
      <c r="D1274" s="58">
        <f>IF($H1274="","",IFERROR(MID($H1274&amp;" ",FIND("|",SUBSTITUTE($H1274&amp;" "," ","|",2))+1,FIND("|",SUBSTITUTE($H1274&amp;" "," ","|",3))-FIND("|",SUBSTITUTE($H1274&amp;" "," ","|",2))-1),""))</f>
        <v/>
      </c>
      <c r="E1274" s="58">
        <f>IF($H1274="","",IFERROR(MID($H1274&amp;" ",FIND("|",SUBSTITUTE($H1274&amp;" "," ","|",3))+1,FIND("|",SUBSTITUTE($H1274&amp;" "," ","|",4))-FIND("|",SUBSTITUTE($H1274&amp;" "," ","|",3))-1),""))</f>
        <v/>
      </c>
      <c r="F1274" s="59">
        <f>IF($H1274="","",IFERROR(VALUE(IFERROR(MID($H1274&amp;" ",FIND("|",SUBSTITUTE($H1274&amp;" "," ","|",4))+1,FIND("|",SUBSTITUTE($H1274&amp;" "," ","|",5))-FIND("|",SUBSTITUTE($H1274&amp;" "," ","|",4))-1),""))/86400+25569+9/24,""))</f>
        <v/>
      </c>
      <c r="G1274" s="58">
        <f>TRIM(SUBSTITUTE(SUBSTITUTE(SUBSTITUTE($A1274,CHAR(9)," ")," "," "),CHAR(13),""))</f>
        <v/>
      </c>
      <c r="H1274" s="58">
        <f>IF($G1274="","",IF(ISNUMBER(FIND(" ",$G1274)),$G1274,IFERROR(IF((LEN(SUBSTITUTE(SUBSTITUTE($G1274,"-"," ",LEN($G1274)-LEN(SUBSTITUTE($G1274,"-",""))),"-"," ",LEN($G1274)-LEN(SUBSTITUTE($G1274,"-",""))-1))-LEN(SUBSTITUTE(SUBSTITUTE(SUBSTITUTE($G1274,"-"," ",LEN($G1274)-LEN(SUBSTITUTE($G1274,"-",""))),"-"," ",LEN($G1274)-LEN(SUBSTITUTE($G1274,"-",""))-1),".","")))=0,SUBSTITUTE(SUBSTITUTE($G1274,"-"," ",LEN($G1274)-LEN(SUBSTITUTE($G1274,"-",""))),"-"," ",LEN($G1274)-LEN(SUBSTITUTE($G1274,"-",""))-1),SUBSTITUTE(SUBSTITUTE(SUBSTITUTE($G1274,"-"," ",LEN($G1274)-LEN(SUBSTITUTE($G1274,"-",""))),"-"," ",LEN($G1274)-LEN(SUBSTITUTE($G1274,"-",""))-1),"."," ",(LEN(SUBSTITUTE(SUBSTITUTE($G1274,"-"," ",LEN($G1274)-LEN(SUBSTITUTE($G1274,"-",""))),"-"," ",LEN($G1274)-LEN(SUBSTITUTE($G1274,"-",""))-1))-LEN(SUBSTITUTE(SUBSTITUTE(SUBSTITUTE($G1274,"-"," ",LEN($G1274)-LEN(SUBSTITUTE($G1274,"-",""))),"-"," ",LEN($G1274)-LEN(SUBSTITUTE($G1274,"-",""))-1),".",""))))),$G1274)))</f>
        <v/>
      </c>
    </row>
    <row r="1275">
      <c r="A1275" s="58" t="n"/>
      <c r="B1275" s="58">
        <f>IF($H1275="","",LEFT($H1275,FIND(" ",$H1275&amp;" ")-1))</f>
        <v/>
      </c>
      <c r="C1275" s="58">
        <f>IF($H1275="","",IFERROR(MID($H1275&amp;" ",FIND("|",SUBSTITUTE($H1275&amp;" "," ","|",1))+1,FIND("|",SUBSTITUTE($H1275&amp;" "," ","|",2))-FIND("|",SUBSTITUTE($H1275&amp;" "," ","|",1))-1),""))</f>
        <v/>
      </c>
      <c r="D1275" s="58">
        <f>IF($H1275="","",IFERROR(MID($H1275&amp;" ",FIND("|",SUBSTITUTE($H1275&amp;" "," ","|",2))+1,FIND("|",SUBSTITUTE($H1275&amp;" "," ","|",3))-FIND("|",SUBSTITUTE($H1275&amp;" "," ","|",2))-1),""))</f>
        <v/>
      </c>
      <c r="E1275" s="58">
        <f>IF($H1275="","",IFERROR(MID($H1275&amp;" ",FIND("|",SUBSTITUTE($H1275&amp;" "," ","|",3))+1,FIND("|",SUBSTITUTE($H1275&amp;" "," ","|",4))-FIND("|",SUBSTITUTE($H1275&amp;" "," ","|",3))-1),""))</f>
        <v/>
      </c>
      <c r="F1275" s="59">
        <f>IF($H1275="","",IFERROR(VALUE(IFERROR(MID($H1275&amp;" ",FIND("|",SUBSTITUTE($H1275&amp;" "," ","|",4))+1,FIND("|",SUBSTITUTE($H1275&amp;" "," ","|",5))-FIND("|",SUBSTITUTE($H1275&amp;" "," ","|",4))-1),""))/86400+25569+9/24,""))</f>
        <v/>
      </c>
      <c r="G1275" s="58">
        <f>TRIM(SUBSTITUTE(SUBSTITUTE(SUBSTITUTE($A1275,CHAR(9)," ")," "," "),CHAR(13),""))</f>
        <v/>
      </c>
      <c r="H1275" s="58">
        <f>IF($G1275="","",IF(ISNUMBER(FIND(" ",$G1275)),$G1275,IFERROR(IF((LEN(SUBSTITUTE(SUBSTITUTE($G1275,"-"," ",LEN($G1275)-LEN(SUBSTITUTE($G1275,"-",""))),"-"," ",LEN($G1275)-LEN(SUBSTITUTE($G1275,"-",""))-1))-LEN(SUBSTITUTE(SUBSTITUTE(SUBSTITUTE($G1275,"-"," ",LEN($G1275)-LEN(SUBSTITUTE($G1275,"-",""))),"-"," ",LEN($G1275)-LEN(SUBSTITUTE($G1275,"-",""))-1),".","")))=0,SUBSTITUTE(SUBSTITUTE($G1275,"-"," ",LEN($G1275)-LEN(SUBSTITUTE($G1275,"-",""))),"-"," ",LEN($G1275)-LEN(SUBSTITUTE($G1275,"-",""))-1),SUBSTITUTE(SUBSTITUTE(SUBSTITUTE($G1275,"-"," ",LEN($G1275)-LEN(SUBSTITUTE($G1275,"-",""))),"-"," ",LEN($G1275)-LEN(SUBSTITUTE($G1275,"-",""))-1),"."," ",(LEN(SUBSTITUTE(SUBSTITUTE($G1275,"-"," ",LEN($G1275)-LEN(SUBSTITUTE($G1275,"-",""))),"-"," ",LEN($G1275)-LEN(SUBSTITUTE($G1275,"-",""))-1))-LEN(SUBSTITUTE(SUBSTITUTE(SUBSTITUTE($G1275,"-"," ",LEN($G1275)-LEN(SUBSTITUTE($G1275,"-",""))),"-"," ",LEN($G1275)-LEN(SUBSTITUTE($G1275,"-",""))-1),".",""))))),$G1275)))</f>
        <v/>
      </c>
    </row>
    <row r="1276">
      <c r="A1276" s="58" t="n"/>
      <c r="B1276" s="58">
        <f>IF($H1276="","",LEFT($H1276,FIND(" ",$H1276&amp;" ")-1))</f>
        <v/>
      </c>
      <c r="C1276" s="58">
        <f>IF($H1276="","",IFERROR(MID($H1276&amp;" ",FIND("|",SUBSTITUTE($H1276&amp;" "," ","|",1))+1,FIND("|",SUBSTITUTE($H1276&amp;" "," ","|",2))-FIND("|",SUBSTITUTE($H1276&amp;" "," ","|",1))-1),""))</f>
        <v/>
      </c>
      <c r="D1276" s="58">
        <f>IF($H1276="","",IFERROR(MID($H1276&amp;" ",FIND("|",SUBSTITUTE($H1276&amp;" "," ","|",2))+1,FIND("|",SUBSTITUTE($H1276&amp;" "," ","|",3))-FIND("|",SUBSTITUTE($H1276&amp;" "," ","|",2))-1),""))</f>
        <v/>
      </c>
      <c r="E1276" s="58">
        <f>IF($H1276="","",IFERROR(MID($H1276&amp;" ",FIND("|",SUBSTITUTE($H1276&amp;" "," ","|",3))+1,FIND("|",SUBSTITUTE($H1276&amp;" "," ","|",4))-FIND("|",SUBSTITUTE($H1276&amp;" "," ","|",3))-1),""))</f>
        <v/>
      </c>
      <c r="F1276" s="59">
        <f>IF($H1276="","",IFERROR(VALUE(IFERROR(MID($H1276&amp;" ",FIND("|",SUBSTITUTE($H1276&amp;" "," ","|",4))+1,FIND("|",SUBSTITUTE($H1276&amp;" "," ","|",5))-FIND("|",SUBSTITUTE($H1276&amp;" "," ","|",4))-1),""))/86400+25569+9/24,""))</f>
        <v/>
      </c>
      <c r="G1276" s="58">
        <f>TRIM(SUBSTITUTE(SUBSTITUTE(SUBSTITUTE($A1276,CHAR(9)," ")," "," "),CHAR(13),""))</f>
        <v/>
      </c>
      <c r="H1276" s="58">
        <f>IF($G1276="","",IF(ISNUMBER(FIND(" ",$G1276)),$G1276,IFERROR(IF((LEN(SUBSTITUTE(SUBSTITUTE($G1276,"-"," ",LEN($G1276)-LEN(SUBSTITUTE($G1276,"-",""))),"-"," ",LEN($G1276)-LEN(SUBSTITUTE($G1276,"-",""))-1))-LEN(SUBSTITUTE(SUBSTITUTE(SUBSTITUTE($G1276,"-"," ",LEN($G1276)-LEN(SUBSTITUTE($G1276,"-",""))),"-"," ",LEN($G1276)-LEN(SUBSTITUTE($G1276,"-",""))-1),".","")))=0,SUBSTITUTE(SUBSTITUTE($G1276,"-"," ",LEN($G1276)-LEN(SUBSTITUTE($G1276,"-",""))),"-"," ",LEN($G1276)-LEN(SUBSTITUTE($G1276,"-",""))-1),SUBSTITUTE(SUBSTITUTE(SUBSTITUTE($G1276,"-"," ",LEN($G1276)-LEN(SUBSTITUTE($G1276,"-",""))),"-"," ",LEN($G1276)-LEN(SUBSTITUTE($G1276,"-",""))-1),"."," ",(LEN(SUBSTITUTE(SUBSTITUTE($G1276,"-"," ",LEN($G1276)-LEN(SUBSTITUTE($G1276,"-",""))),"-"," ",LEN($G1276)-LEN(SUBSTITUTE($G1276,"-",""))-1))-LEN(SUBSTITUTE(SUBSTITUTE(SUBSTITUTE($G1276,"-"," ",LEN($G1276)-LEN(SUBSTITUTE($G1276,"-",""))),"-"," ",LEN($G1276)-LEN(SUBSTITUTE($G1276,"-",""))-1),".",""))))),$G1276)))</f>
        <v/>
      </c>
    </row>
    <row r="1277">
      <c r="A1277" s="58" t="n"/>
      <c r="B1277" s="58">
        <f>IF($H1277="","",LEFT($H1277,FIND(" ",$H1277&amp;" ")-1))</f>
        <v/>
      </c>
      <c r="C1277" s="58">
        <f>IF($H1277="","",IFERROR(MID($H1277&amp;" ",FIND("|",SUBSTITUTE($H1277&amp;" "," ","|",1))+1,FIND("|",SUBSTITUTE($H1277&amp;" "," ","|",2))-FIND("|",SUBSTITUTE($H1277&amp;" "," ","|",1))-1),""))</f>
        <v/>
      </c>
      <c r="D1277" s="58">
        <f>IF($H1277="","",IFERROR(MID($H1277&amp;" ",FIND("|",SUBSTITUTE($H1277&amp;" "," ","|",2))+1,FIND("|",SUBSTITUTE($H1277&amp;" "," ","|",3))-FIND("|",SUBSTITUTE($H1277&amp;" "," ","|",2))-1),""))</f>
        <v/>
      </c>
      <c r="E1277" s="58">
        <f>IF($H1277="","",IFERROR(MID($H1277&amp;" ",FIND("|",SUBSTITUTE($H1277&amp;" "," ","|",3))+1,FIND("|",SUBSTITUTE($H1277&amp;" "," ","|",4))-FIND("|",SUBSTITUTE($H1277&amp;" "," ","|",3))-1),""))</f>
        <v/>
      </c>
      <c r="F1277" s="59">
        <f>IF($H1277="","",IFERROR(VALUE(IFERROR(MID($H1277&amp;" ",FIND("|",SUBSTITUTE($H1277&amp;" "," ","|",4))+1,FIND("|",SUBSTITUTE($H1277&amp;" "," ","|",5))-FIND("|",SUBSTITUTE($H1277&amp;" "," ","|",4))-1),""))/86400+25569+9/24,""))</f>
        <v/>
      </c>
      <c r="G1277" s="58">
        <f>TRIM(SUBSTITUTE(SUBSTITUTE(SUBSTITUTE($A1277,CHAR(9)," ")," "," "),CHAR(13),""))</f>
        <v/>
      </c>
      <c r="H1277" s="58">
        <f>IF($G1277="","",IF(ISNUMBER(FIND(" ",$G1277)),$G1277,IFERROR(IF((LEN(SUBSTITUTE(SUBSTITUTE($G1277,"-"," ",LEN($G1277)-LEN(SUBSTITUTE($G1277,"-",""))),"-"," ",LEN($G1277)-LEN(SUBSTITUTE($G1277,"-",""))-1))-LEN(SUBSTITUTE(SUBSTITUTE(SUBSTITUTE($G1277,"-"," ",LEN($G1277)-LEN(SUBSTITUTE($G1277,"-",""))),"-"," ",LEN($G1277)-LEN(SUBSTITUTE($G1277,"-",""))-1),".","")))=0,SUBSTITUTE(SUBSTITUTE($G1277,"-"," ",LEN($G1277)-LEN(SUBSTITUTE($G1277,"-",""))),"-"," ",LEN($G1277)-LEN(SUBSTITUTE($G1277,"-",""))-1),SUBSTITUTE(SUBSTITUTE(SUBSTITUTE($G1277,"-"," ",LEN($G1277)-LEN(SUBSTITUTE($G1277,"-",""))),"-"," ",LEN($G1277)-LEN(SUBSTITUTE($G1277,"-",""))-1),"."," ",(LEN(SUBSTITUTE(SUBSTITUTE($G1277,"-"," ",LEN($G1277)-LEN(SUBSTITUTE($G1277,"-",""))),"-"," ",LEN($G1277)-LEN(SUBSTITUTE($G1277,"-",""))-1))-LEN(SUBSTITUTE(SUBSTITUTE(SUBSTITUTE($G1277,"-"," ",LEN($G1277)-LEN(SUBSTITUTE($G1277,"-",""))),"-"," ",LEN($G1277)-LEN(SUBSTITUTE($G1277,"-",""))-1),".",""))))),$G1277)))</f>
        <v/>
      </c>
    </row>
    <row r="1278">
      <c r="A1278" s="58" t="n"/>
      <c r="B1278" s="58">
        <f>IF($H1278="","",LEFT($H1278,FIND(" ",$H1278&amp;" ")-1))</f>
        <v/>
      </c>
      <c r="C1278" s="58">
        <f>IF($H1278="","",IFERROR(MID($H1278&amp;" ",FIND("|",SUBSTITUTE($H1278&amp;" "," ","|",1))+1,FIND("|",SUBSTITUTE($H1278&amp;" "," ","|",2))-FIND("|",SUBSTITUTE($H1278&amp;" "," ","|",1))-1),""))</f>
        <v/>
      </c>
      <c r="D1278" s="58">
        <f>IF($H1278="","",IFERROR(MID($H1278&amp;" ",FIND("|",SUBSTITUTE($H1278&amp;" "," ","|",2))+1,FIND("|",SUBSTITUTE($H1278&amp;" "," ","|",3))-FIND("|",SUBSTITUTE($H1278&amp;" "," ","|",2))-1),""))</f>
        <v/>
      </c>
      <c r="E1278" s="58">
        <f>IF($H1278="","",IFERROR(MID($H1278&amp;" ",FIND("|",SUBSTITUTE($H1278&amp;" "," ","|",3))+1,FIND("|",SUBSTITUTE($H1278&amp;" "," ","|",4))-FIND("|",SUBSTITUTE($H1278&amp;" "," ","|",3))-1),""))</f>
        <v/>
      </c>
      <c r="F1278" s="59">
        <f>IF($H1278="","",IFERROR(VALUE(IFERROR(MID($H1278&amp;" ",FIND("|",SUBSTITUTE($H1278&amp;" "," ","|",4))+1,FIND("|",SUBSTITUTE($H1278&amp;" "," ","|",5))-FIND("|",SUBSTITUTE($H1278&amp;" "," ","|",4))-1),""))/86400+25569+9/24,""))</f>
        <v/>
      </c>
      <c r="G1278" s="58">
        <f>TRIM(SUBSTITUTE(SUBSTITUTE(SUBSTITUTE($A1278,CHAR(9)," ")," "," "),CHAR(13),""))</f>
        <v/>
      </c>
      <c r="H1278" s="58">
        <f>IF($G1278="","",IF(ISNUMBER(FIND(" ",$G1278)),$G1278,IFERROR(IF((LEN(SUBSTITUTE(SUBSTITUTE($G1278,"-"," ",LEN($G1278)-LEN(SUBSTITUTE($G1278,"-",""))),"-"," ",LEN($G1278)-LEN(SUBSTITUTE($G1278,"-",""))-1))-LEN(SUBSTITUTE(SUBSTITUTE(SUBSTITUTE($G1278,"-"," ",LEN($G1278)-LEN(SUBSTITUTE($G1278,"-",""))),"-"," ",LEN($G1278)-LEN(SUBSTITUTE($G1278,"-",""))-1),".","")))=0,SUBSTITUTE(SUBSTITUTE($G1278,"-"," ",LEN($G1278)-LEN(SUBSTITUTE($G1278,"-",""))),"-"," ",LEN($G1278)-LEN(SUBSTITUTE($G1278,"-",""))-1),SUBSTITUTE(SUBSTITUTE(SUBSTITUTE($G1278,"-"," ",LEN($G1278)-LEN(SUBSTITUTE($G1278,"-",""))),"-"," ",LEN($G1278)-LEN(SUBSTITUTE($G1278,"-",""))-1),"."," ",(LEN(SUBSTITUTE(SUBSTITUTE($G1278,"-"," ",LEN($G1278)-LEN(SUBSTITUTE($G1278,"-",""))),"-"," ",LEN($G1278)-LEN(SUBSTITUTE($G1278,"-",""))-1))-LEN(SUBSTITUTE(SUBSTITUTE(SUBSTITUTE($G1278,"-"," ",LEN($G1278)-LEN(SUBSTITUTE($G1278,"-",""))),"-"," ",LEN($G1278)-LEN(SUBSTITUTE($G1278,"-",""))-1),".",""))))),$G1278)))</f>
        <v/>
      </c>
    </row>
    <row r="1279">
      <c r="A1279" s="58" t="n"/>
      <c r="B1279" s="58">
        <f>IF($H1279="","",LEFT($H1279,FIND(" ",$H1279&amp;" ")-1))</f>
        <v/>
      </c>
      <c r="C1279" s="58">
        <f>IF($H1279="","",IFERROR(MID($H1279&amp;" ",FIND("|",SUBSTITUTE($H1279&amp;" "," ","|",1))+1,FIND("|",SUBSTITUTE($H1279&amp;" "," ","|",2))-FIND("|",SUBSTITUTE($H1279&amp;" "," ","|",1))-1),""))</f>
        <v/>
      </c>
      <c r="D1279" s="58">
        <f>IF($H1279="","",IFERROR(MID($H1279&amp;" ",FIND("|",SUBSTITUTE($H1279&amp;" "," ","|",2))+1,FIND("|",SUBSTITUTE($H1279&amp;" "," ","|",3))-FIND("|",SUBSTITUTE($H1279&amp;" "," ","|",2))-1),""))</f>
        <v/>
      </c>
      <c r="E1279" s="58">
        <f>IF($H1279="","",IFERROR(MID($H1279&amp;" ",FIND("|",SUBSTITUTE($H1279&amp;" "," ","|",3))+1,FIND("|",SUBSTITUTE($H1279&amp;" "," ","|",4))-FIND("|",SUBSTITUTE($H1279&amp;" "," ","|",3))-1),""))</f>
        <v/>
      </c>
      <c r="F1279" s="59">
        <f>IF($H1279="","",IFERROR(VALUE(IFERROR(MID($H1279&amp;" ",FIND("|",SUBSTITUTE($H1279&amp;" "," ","|",4))+1,FIND("|",SUBSTITUTE($H1279&amp;" "," ","|",5))-FIND("|",SUBSTITUTE($H1279&amp;" "," ","|",4))-1),""))/86400+25569+9/24,""))</f>
        <v/>
      </c>
      <c r="G1279" s="58">
        <f>TRIM(SUBSTITUTE(SUBSTITUTE(SUBSTITUTE($A1279,CHAR(9)," ")," "," "),CHAR(13),""))</f>
        <v/>
      </c>
      <c r="H1279" s="58">
        <f>IF($G1279="","",IF(ISNUMBER(FIND(" ",$G1279)),$G1279,IFERROR(IF((LEN(SUBSTITUTE(SUBSTITUTE($G1279,"-"," ",LEN($G1279)-LEN(SUBSTITUTE($G1279,"-",""))),"-"," ",LEN($G1279)-LEN(SUBSTITUTE($G1279,"-",""))-1))-LEN(SUBSTITUTE(SUBSTITUTE(SUBSTITUTE($G1279,"-"," ",LEN($G1279)-LEN(SUBSTITUTE($G1279,"-",""))),"-"," ",LEN($G1279)-LEN(SUBSTITUTE($G1279,"-",""))-1),".","")))=0,SUBSTITUTE(SUBSTITUTE($G1279,"-"," ",LEN($G1279)-LEN(SUBSTITUTE($G1279,"-",""))),"-"," ",LEN($G1279)-LEN(SUBSTITUTE($G1279,"-",""))-1),SUBSTITUTE(SUBSTITUTE(SUBSTITUTE($G1279,"-"," ",LEN($G1279)-LEN(SUBSTITUTE($G1279,"-",""))),"-"," ",LEN($G1279)-LEN(SUBSTITUTE($G1279,"-",""))-1),"."," ",(LEN(SUBSTITUTE(SUBSTITUTE($G1279,"-"," ",LEN($G1279)-LEN(SUBSTITUTE($G1279,"-",""))),"-"," ",LEN($G1279)-LEN(SUBSTITUTE($G1279,"-",""))-1))-LEN(SUBSTITUTE(SUBSTITUTE(SUBSTITUTE($G1279,"-"," ",LEN($G1279)-LEN(SUBSTITUTE($G1279,"-",""))),"-"," ",LEN($G1279)-LEN(SUBSTITUTE($G1279,"-",""))-1),".",""))))),$G1279)))</f>
        <v/>
      </c>
    </row>
    <row r="1280">
      <c r="A1280" s="58" t="n"/>
      <c r="B1280" s="58">
        <f>IF($H1280="","",LEFT($H1280,FIND(" ",$H1280&amp;" ")-1))</f>
        <v/>
      </c>
      <c r="C1280" s="58">
        <f>IF($H1280="","",IFERROR(MID($H1280&amp;" ",FIND("|",SUBSTITUTE($H1280&amp;" "," ","|",1))+1,FIND("|",SUBSTITUTE($H1280&amp;" "," ","|",2))-FIND("|",SUBSTITUTE($H1280&amp;" "," ","|",1))-1),""))</f>
        <v/>
      </c>
      <c r="D1280" s="58">
        <f>IF($H1280="","",IFERROR(MID($H1280&amp;" ",FIND("|",SUBSTITUTE($H1280&amp;" "," ","|",2))+1,FIND("|",SUBSTITUTE($H1280&amp;" "," ","|",3))-FIND("|",SUBSTITUTE($H1280&amp;" "," ","|",2))-1),""))</f>
        <v/>
      </c>
      <c r="E1280" s="58">
        <f>IF($H1280="","",IFERROR(MID($H1280&amp;" ",FIND("|",SUBSTITUTE($H1280&amp;" "," ","|",3))+1,FIND("|",SUBSTITUTE($H1280&amp;" "," ","|",4))-FIND("|",SUBSTITUTE($H1280&amp;" "," ","|",3))-1),""))</f>
        <v/>
      </c>
      <c r="F1280" s="59">
        <f>IF($H1280="","",IFERROR(VALUE(IFERROR(MID($H1280&amp;" ",FIND("|",SUBSTITUTE($H1280&amp;" "," ","|",4))+1,FIND("|",SUBSTITUTE($H1280&amp;" "," ","|",5))-FIND("|",SUBSTITUTE($H1280&amp;" "," ","|",4))-1),""))/86400+25569+9/24,""))</f>
        <v/>
      </c>
      <c r="G1280" s="58">
        <f>TRIM(SUBSTITUTE(SUBSTITUTE(SUBSTITUTE($A1280,CHAR(9)," ")," "," "),CHAR(13),""))</f>
        <v/>
      </c>
      <c r="H1280" s="58">
        <f>IF($G1280="","",IF(ISNUMBER(FIND(" ",$G1280)),$G1280,IFERROR(IF((LEN(SUBSTITUTE(SUBSTITUTE($G1280,"-"," ",LEN($G1280)-LEN(SUBSTITUTE($G1280,"-",""))),"-"," ",LEN($G1280)-LEN(SUBSTITUTE($G1280,"-",""))-1))-LEN(SUBSTITUTE(SUBSTITUTE(SUBSTITUTE($G1280,"-"," ",LEN($G1280)-LEN(SUBSTITUTE($G1280,"-",""))),"-"," ",LEN($G1280)-LEN(SUBSTITUTE($G1280,"-",""))-1),".","")))=0,SUBSTITUTE(SUBSTITUTE($G1280,"-"," ",LEN($G1280)-LEN(SUBSTITUTE($G1280,"-",""))),"-"," ",LEN($G1280)-LEN(SUBSTITUTE($G1280,"-",""))-1),SUBSTITUTE(SUBSTITUTE(SUBSTITUTE($G1280,"-"," ",LEN($G1280)-LEN(SUBSTITUTE($G1280,"-",""))),"-"," ",LEN($G1280)-LEN(SUBSTITUTE($G1280,"-",""))-1),"."," ",(LEN(SUBSTITUTE(SUBSTITUTE($G1280,"-"," ",LEN($G1280)-LEN(SUBSTITUTE($G1280,"-",""))),"-"," ",LEN($G1280)-LEN(SUBSTITUTE($G1280,"-",""))-1))-LEN(SUBSTITUTE(SUBSTITUTE(SUBSTITUTE($G1280,"-"," ",LEN($G1280)-LEN(SUBSTITUTE($G1280,"-",""))),"-"," ",LEN($G1280)-LEN(SUBSTITUTE($G1280,"-",""))-1),".",""))))),$G1280)))</f>
        <v/>
      </c>
    </row>
    <row r="1281">
      <c r="A1281" s="58" t="n"/>
      <c r="B1281" s="58">
        <f>IF($H1281="","",LEFT($H1281,FIND(" ",$H1281&amp;" ")-1))</f>
        <v/>
      </c>
      <c r="C1281" s="58">
        <f>IF($H1281="","",IFERROR(MID($H1281&amp;" ",FIND("|",SUBSTITUTE($H1281&amp;" "," ","|",1))+1,FIND("|",SUBSTITUTE($H1281&amp;" "," ","|",2))-FIND("|",SUBSTITUTE($H1281&amp;" "," ","|",1))-1),""))</f>
        <v/>
      </c>
      <c r="D1281" s="58">
        <f>IF($H1281="","",IFERROR(MID($H1281&amp;" ",FIND("|",SUBSTITUTE($H1281&amp;" "," ","|",2))+1,FIND("|",SUBSTITUTE($H1281&amp;" "," ","|",3))-FIND("|",SUBSTITUTE($H1281&amp;" "," ","|",2))-1),""))</f>
        <v/>
      </c>
      <c r="E1281" s="58">
        <f>IF($H1281="","",IFERROR(MID($H1281&amp;" ",FIND("|",SUBSTITUTE($H1281&amp;" "," ","|",3))+1,FIND("|",SUBSTITUTE($H1281&amp;" "," ","|",4))-FIND("|",SUBSTITUTE($H1281&amp;" "," ","|",3))-1),""))</f>
        <v/>
      </c>
      <c r="F1281" s="59">
        <f>IF($H1281="","",IFERROR(VALUE(IFERROR(MID($H1281&amp;" ",FIND("|",SUBSTITUTE($H1281&amp;" "," ","|",4))+1,FIND("|",SUBSTITUTE($H1281&amp;" "," ","|",5))-FIND("|",SUBSTITUTE($H1281&amp;" "," ","|",4))-1),""))/86400+25569+9/24,""))</f>
        <v/>
      </c>
      <c r="G1281" s="58">
        <f>TRIM(SUBSTITUTE(SUBSTITUTE(SUBSTITUTE($A1281,CHAR(9)," ")," "," "),CHAR(13),""))</f>
        <v/>
      </c>
      <c r="H1281" s="58">
        <f>IF($G1281="","",IF(ISNUMBER(FIND(" ",$G1281)),$G1281,IFERROR(IF((LEN(SUBSTITUTE(SUBSTITUTE($G1281,"-"," ",LEN($G1281)-LEN(SUBSTITUTE($G1281,"-",""))),"-"," ",LEN($G1281)-LEN(SUBSTITUTE($G1281,"-",""))-1))-LEN(SUBSTITUTE(SUBSTITUTE(SUBSTITUTE($G1281,"-"," ",LEN($G1281)-LEN(SUBSTITUTE($G1281,"-",""))),"-"," ",LEN($G1281)-LEN(SUBSTITUTE($G1281,"-",""))-1),".","")))=0,SUBSTITUTE(SUBSTITUTE($G1281,"-"," ",LEN($G1281)-LEN(SUBSTITUTE($G1281,"-",""))),"-"," ",LEN($G1281)-LEN(SUBSTITUTE($G1281,"-",""))-1),SUBSTITUTE(SUBSTITUTE(SUBSTITUTE($G1281,"-"," ",LEN($G1281)-LEN(SUBSTITUTE($G1281,"-",""))),"-"," ",LEN($G1281)-LEN(SUBSTITUTE($G1281,"-",""))-1),"."," ",(LEN(SUBSTITUTE(SUBSTITUTE($G1281,"-"," ",LEN($G1281)-LEN(SUBSTITUTE($G1281,"-",""))),"-"," ",LEN($G1281)-LEN(SUBSTITUTE($G1281,"-",""))-1))-LEN(SUBSTITUTE(SUBSTITUTE(SUBSTITUTE($G1281,"-"," ",LEN($G1281)-LEN(SUBSTITUTE($G1281,"-",""))),"-"," ",LEN($G1281)-LEN(SUBSTITUTE($G1281,"-",""))-1),".",""))))),$G1281)))</f>
        <v/>
      </c>
    </row>
    <row r="1282">
      <c r="A1282" s="58" t="n"/>
      <c r="B1282" s="58">
        <f>IF($H1282="","",LEFT($H1282,FIND(" ",$H1282&amp;" ")-1))</f>
        <v/>
      </c>
      <c r="C1282" s="58">
        <f>IF($H1282="","",IFERROR(MID($H1282&amp;" ",FIND("|",SUBSTITUTE($H1282&amp;" "," ","|",1))+1,FIND("|",SUBSTITUTE($H1282&amp;" "," ","|",2))-FIND("|",SUBSTITUTE($H1282&amp;" "," ","|",1))-1),""))</f>
        <v/>
      </c>
      <c r="D1282" s="58">
        <f>IF($H1282="","",IFERROR(MID($H1282&amp;" ",FIND("|",SUBSTITUTE($H1282&amp;" "," ","|",2))+1,FIND("|",SUBSTITUTE($H1282&amp;" "," ","|",3))-FIND("|",SUBSTITUTE($H1282&amp;" "," ","|",2))-1),""))</f>
        <v/>
      </c>
      <c r="E1282" s="58">
        <f>IF($H1282="","",IFERROR(MID($H1282&amp;" ",FIND("|",SUBSTITUTE($H1282&amp;" "," ","|",3))+1,FIND("|",SUBSTITUTE($H1282&amp;" "," ","|",4))-FIND("|",SUBSTITUTE($H1282&amp;" "," ","|",3))-1),""))</f>
        <v/>
      </c>
      <c r="F1282" s="59">
        <f>IF($H1282="","",IFERROR(VALUE(IFERROR(MID($H1282&amp;" ",FIND("|",SUBSTITUTE($H1282&amp;" "," ","|",4))+1,FIND("|",SUBSTITUTE($H1282&amp;" "," ","|",5))-FIND("|",SUBSTITUTE($H1282&amp;" "," ","|",4))-1),""))/86400+25569+9/24,""))</f>
        <v/>
      </c>
      <c r="G1282" s="58">
        <f>TRIM(SUBSTITUTE(SUBSTITUTE(SUBSTITUTE($A1282,CHAR(9)," ")," "," "),CHAR(13),""))</f>
        <v/>
      </c>
      <c r="H1282" s="58">
        <f>IF($G1282="","",IF(ISNUMBER(FIND(" ",$G1282)),$G1282,IFERROR(IF((LEN(SUBSTITUTE(SUBSTITUTE($G1282,"-"," ",LEN($G1282)-LEN(SUBSTITUTE($G1282,"-",""))),"-"," ",LEN($G1282)-LEN(SUBSTITUTE($G1282,"-",""))-1))-LEN(SUBSTITUTE(SUBSTITUTE(SUBSTITUTE($G1282,"-"," ",LEN($G1282)-LEN(SUBSTITUTE($G1282,"-",""))),"-"," ",LEN($G1282)-LEN(SUBSTITUTE($G1282,"-",""))-1),".","")))=0,SUBSTITUTE(SUBSTITUTE($G1282,"-"," ",LEN($G1282)-LEN(SUBSTITUTE($G1282,"-",""))),"-"," ",LEN($G1282)-LEN(SUBSTITUTE($G1282,"-",""))-1),SUBSTITUTE(SUBSTITUTE(SUBSTITUTE($G1282,"-"," ",LEN($G1282)-LEN(SUBSTITUTE($G1282,"-",""))),"-"," ",LEN($G1282)-LEN(SUBSTITUTE($G1282,"-",""))-1),"."," ",(LEN(SUBSTITUTE(SUBSTITUTE($G1282,"-"," ",LEN($G1282)-LEN(SUBSTITUTE($G1282,"-",""))),"-"," ",LEN($G1282)-LEN(SUBSTITUTE($G1282,"-",""))-1))-LEN(SUBSTITUTE(SUBSTITUTE(SUBSTITUTE($G1282,"-"," ",LEN($G1282)-LEN(SUBSTITUTE($G1282,"-",""))),"-"," ",LEN($G1282)-LEN(SUBSTITUTE($G1282,"-",""))-1),".",""))))),$G1282)))</f>
        <v/>
      </c>
    </row>
    <row r="1283">
      <c r="A1283" s="58" t="n"/>
      <c r="B1283" s="58">
        <f>IF($H1283="","",LEFT($H1283,FIND(" ",$H1283&amp;" ")-1))</f>
        <v/>
      </c>
      <c r="C1283" s="58">
        <f>IF($H1283="","",IFERROR(MID($H1283&amp;" ",FIND("|",SUBSTITUTE($H1283&amp;" "," ","|",1))+1,FIND("|",SUBSTITUTE($H1283&amp;" "," ","|",2))-FIND("|",SUBSTITUTE($H1283&amp;" "," ","|",1))-1),""))</f>
        <v/>
      </c>
      <c r="D1283" s="58">
        <f>IF($H1283="","",IFERROR(MID($H1283&amp;" ",FIND("|",SUBSTITUTE($H1283&amp;" "," ","|",2))+1,FIND("|",SUBSTITUTE($H1283&amp;" "," ","|",3))-FIND("|",SUBSTITUTE($H1283&amp;" "," ","|",2))-1),""))</f>
        <v/>
      </c>
      <c r="E1283" s="58">
        <f>IF($H1283="","",IFERROR(MID($H1283&amp;" ",FIND("|",SUBSTITUTE($H1283&amp;" "," ","|",3))+1,FIND("|",SUBSTITUTE($H1283&amp;" "," ","|",4))-FIND("|",SUBSTITUTE($H1283&amp;" "," ","|",3))-1),""))</f>
        <v/>
      </c>
      <c r="F1283" s="59">
        <f>IF($H1283="","",IFERROR(VALUE(IFERROR(MID($H1283&amp;" ",FIND("|",SUBSTITUTE($H1283&amp;" "," ","|",4))+1,FIND("|",SUBSTITUTE($H1283&amp;" "," ","|",5))-FIND("|",SUBSTITUTE($H1283&amp;" "," ","|",4))-1),""))/86400+25569+9/24,""))</f>
        <v/>
      </c>
      <c r="G1283" s="58">
        <f>TRIM(SUBSTITUTE(SUBSTITUTE(SUBSTITUTE($A1283,CHAR(9)," ")," "," "),CHAR(13),""))</f>
        <v/>
      </c>
      <c r="H1283" s="58">
        <f>IF($G1283="","",IF(ISNUMBER(FIND(" ",$G1283)),$G1283,IFERROR(IF((LEN(SUBSTITUTE(SUBSTITUTE($G1283,"-"," ",LEN($G1283)-LEN(SUBSTITUTE($G1283,"-",""))),"-"," ",LEN($G1283)-LEN(SUBSTITUTE($G1283,"-",""))-1))-LEN(SUBSTITUTE(SUBSTITUTE(SUBSTITUTE($G1283,"-"," ",LEN($G1283)-LEN(SUBSTITUTE($G1283,"-",""))),"-"," ",LEN($G1283)-LEN(SUBSTITUTE($G1283,"-",""))-1),".","")))=0,SUBSTITUTE(SUBSTITUTE($G1283,"-"," ",LEN($G1283)-LEN(SUBSTITUTE($G1283,"-",""))),"-"," ",LEN($G1283)-LEN(SUBSTITUTE($G1283,"-",""))-1),SUBSTITUTE(SUBSTITUTE(SUBSTITUTE($G1283,"-"," ",LEN($G1283)-LEN(SUBSTITUTE($G1283,"-",""))),"-"," ",LEN($G1283)-LEN(SUBSTITUTE($G1283,"-",""))-1),"."," ",(LEN(SUBSTITUTE(SUBSTITUTE($G1283,"-"," ",LEN($G1283)-LEN(SUBSTITUTE($G1283,"-",""))),"-"," ",LEN($G1283)-LEN(SUBSTITUTE($G1283,"-",""))-1))-LEN(SUBSTITUTE(SUBSTITUTE(SUBSTITUTE($G1283,"-"," ",LEN($G1283)-LEN(SUBSTITUTE($G1283,"-",""))),"-"," ",LEN($G1283)-LEN(SUBSTITUTE($G1283,"-",""))-1),".",""))))),$G1283)))</f>
        <v/>
      </c>
    </row>
    <row r="1284">
      <c r="A1284" s="58" t="n"/>
      <c r="B1284" s="58">
        <f>IF($H1284="","",LEFT($H1284,FIND(" ",$H1284&amp;" ")-1))</f>
        <v/>
      </c>
      <c r="C1284" s="58">
        <f>IF($H1284="","",IFERROR(MID($H1284&amp;" ",FIND("|",SUBSTITUTE($H1284&amp;" "," ","|",1))+1,FIND("|",SUBSTITUTE($H1284&amp;" "," ","|",2))-FIND("|",SUBSTITUTE($H1284&amp;" "," ","|",1))-1),""))</f>
        <v/>
      </c>
      <c r="D1284" s="58">
        <f>IF($H1284="","",IFERROR(MID($H1284&amp;" ",FIND("|",SUBSTITUTE($H1284&amp;" "," ","|",2))+1,FIND("|",SUBSTITUTE($H1284&amp;" "," ","|",3))-FIND("|",SUBSTITUTE($H1284&amp;" "," ","|",2))-1),""))</f>
        <v/>
      </c>
      <c r="E1284" s="58">
        <f>IF($H1284="","",IFERROR(MID($H1284&amp;" ",FIND("|",SUBSTITUTE($H1284&amp;" "," ","|",3))+1,FIND("|",SUBSTITUTE($H1284&amp;" "," ","|",4))-FIND("|",SUBSTITUTE($H1284&amp;" "," ","|",3))-1),""))</f>
        <v/>
      </c>
      <c r="F1284" s="59">
        <f>IF($H1284="","",IFERROR(VALUE(IFERROR(MID($H1284&amp;" ",FIND("|",SUBSTITUTE($H1284&amp;" "," ","|",4))+1,FIND("|",SUBSTITUTE($H1284&amp;" "," ","|",5))-FIND("|",SUBSTITUTE($H1284&amp;" "," ","|",4))-1),""))/86400+25569+9/24,""))</f>
        <v/>
      </c>
      <c r="G1284" s="58">
        <f>TRIM(SUBSTITUTE(SUBSTITUTE(SUBSTITUTE($A1284,CHAR(9)," ")," "," "),CHAR(13),""))</f>
        <v/>
      </c>
      <c r="H1284" s="58">
        <f>IF($G1284="","",IF(ISNUMBER(FIND(" ",$G1284)),$G1284,IFERROR(IF((LEN(SUBSTITUTE(SUBSTITUTE($G1284,"-"," ",LEN($G1284)-LEN(SUBSTITUTE($G1284,"-",""))),"-"," ",LEN($G1284)-LEN(SUBSTITUTE($G1284,"-",""))-1))-LEN(SUBSTITUTE(SUBSTITUTE(SUBSTITUTE($G1284,"-"," ",LEN($G1284)-LEN(SUBSTITUTE($G1284,"-",""))),"-"," ",LEN($G1284)-LEN(SUBSTITUTE($G1284,"-",""))-1),".","")))=0,SUBSTITUTE(SUBSTITUTE($G1284,"-"," ",LEN($G1284)-LEN(SUBSTITUTE($G1284,"-",""))),"-"," ",LEN($G1284)-LEN(SUBSTITUTE($G1284,"-",""))-1),SUBSTITUTE(SUBSTITUTE(SUBSTITUTE($G1284,"-"," ",LEN($G1284)-LEN(SUBSTITUTE($G1284,"-",""))),"-"," ",LEN($G1284)-LEN(SUBSTITUTE($G1284,"-",""))-1),"."," ",(LEN(SUBSTITUTE(SUBSTITUTE($G1284,"-"," ",LEN($G1284)-LEN(SUBSTITUTE($G1284,"-",""))),"-"," ",LEN($G1284)-LEN(SUBSTITUTE($G1284,"-",""))-1))-LEN(SUBSTITUTE(SUBSTITUTE(SUBSTITUTE($G1284,"-"," ",LEN($G1284)-LEN(SUBSTITUTE($G1284,"-",""))),"-"," ",LEN($G1284)-LEN(SUBSTITUTE($G1284,"-",""))-1),".",""))))),$G1284)))</f>
        <v/>
      </c>
    </row>
    <row r="1285">
      <c r="A1285" s="58" t="n"/>
      <c r="B1285" s="58">
        <f>IF($H1285="","",LEFT($H1285,FIND(" ",$H1285&amp;" ")-1))</f>
        <v/>
      </c>
      <c r="C1285" s="58">
        <f>IF($H1285="","",IFERROR(MID($H1285&amp;" ",FIND("|",SUBSTITUTE($H1285&amp;" "," ","|",1))+1,FIND("|",SUBSTITUTE($H1285&amp;" "," ","|",2))-FIND("|",SUBSTITUTE($H1285&amp;" "," ","|",1))-1),""))</f>
        <v/>
      </c>
      <c r="D1285" s="58">
        <f>IF($H1285="","",IFERROR(MID($H1285&amp;" ",FIND("|",SUBSTITUTE($H1285&amp;" "," ","|",2))+1,FIND("|",SUBSTITUTE($H1285&amp;" "," ","|",3))-FIND("|",SUBSTITUTE($H1285&amp;" "," ","|",2))-1),""))</f>
        <v/>
      </c>
      <c r="E1285" s="58">
        <f>IF($H1285="","",IFERROR(MID($H1285&amp;" ",FIND("|",SUBSTITUTE($H1285&amp;" "," ","|",3))+1,FIND("|",SUBSTITUTE($H1285&amp;" "," ","|",4))-FIND("|",SUBSTITUTE($H1285&amp;" "," ","|",3))-1),""))</f>
        <v/>
      </c>
      <c r="F1285" s="59">
        <f>IF($H1285="","",IFERROR(VALUE(IFERROR(MID($H1285&amp;" ",FIND("|",SUBSTITUTE($H1285&amp;" "," ","|",4))+1,FIND("|",SUBSTITUTE($H1285&amp;" "," ","|",5))-FIND("|",SUBSTITUTE($H1285&amp;" "," ","|",4))-1),""))/86400+25569+9/24,""))</f>
        <v/>
      </c>
      <c r="G1285" s="58">
        <f>TRIM(SUBSTITUTE(SUBSTITUTE(SUBSTITUTE($A1285,CHAR(9)," ")," "," "),CHAR(13),""))</f>
        <v/>
      </c>
      <c r="H1285" s="58">
        <f>IF($G1285="","",IF(ISNUMBER(FIND(" ",$G1285)),$G1285,IFERROR(IF((LEN(SUBSTITUTE(SUBSTITUTE($G1285,"-"," ",LEN($G1285)-LEN(SUBSTITUTE($G1285,"-",""))),"-"," ",LEN($G1285)-LEN(SUBSTITUTE($G1285,"-",""))-1))-LEN(SUBSTITUTE(SUBSTITUTE(SUBSTITUTE($G1285,"-"," ",LEN($G1285)-LEN(SUBSTITUTE($G1285,"-",""))),"-"," ",LEN($G1285)-LEN(SUBSTITUTE($G1285,"-",""))-1),".","")))=0,SUBSTITUTE(SUBSTITUTE($G1285,"-"," ",LEN($G1285)-LEN(SUBSTITUTE($G1285,"-",""))),"-"," ",LEN($G1285)-LEN(SUBSTITUTE($G1285,"-",""))-1),SUBSTITUTE(SUBSTITUTE(SUBSTITUTE($G1285,"-"," ",LEN($G1285)-LEN(SUBSTITUTE($G1285,"-",""))),"-"," ",LEN($G1285)-LEN(SUBSTITUTE($G1285,"-",""))-1),"."," ",(LEN(SUBSTITUTE(SUBSTITUTE($G1285,"-"," ",LEN($G1285)-LEN(SUBSTITUTE($G1285,"-",""))),"-"," ",LEN($G1285)-LEN(SUBSTITUTE($G1285,"-",""))-1))-LEN(SUBSTITUTE(SUBSTITUTE(SUBSTITUTE($G1285,"-"," ",LEN($G1285)-LEN(SUBSTITUTE($G1285,"-",""))),"-"," ",LEN($G1285)-LEN(SUBSTITUTE($G1285,"-",""))-1),".",""))))),$G1285)))</f>
        <v/>
      </c>
    </row>
    <row r="1286">
      <c r="A1286" s="58" t="n"/>
      <c r="B1286" s="58">
        <f>IF($H1286="","",LEFT($H1286,FIND(" ",$H1286&amp;" ")-1))</f>
        <v/>
      </c>
      <c r="C1286" s="58">
        <f>IF($H1286="","",IFERROR(MID($H1286&amp;" ",FIND("|",SUBSTITUTE($H1286&amp;" "," ","|",1))+1,FIND("|",SUBSTITUTE($H1286&amp;" "," ","|",2))-FIND("|",SUBSTITUTE($H1286&amp;" "," ","|",1))-1),""))</f>
        <v/>
      </c>
      <c r="D1286" s="58">
        <f>IF($H1286="","",IFERROR(MID($H1286&amp;" ",FIND("|",SUBSTITUTE($H1286&amp;" "," ","|",2))+1,FIND("|",SUBSTITUTE($H1286&amp;" "," ","|",3))-FIND("|",SUBSTITUTE($H1286&amp;" "," ","|",2))-1),""))</f>
        <v/>
      </c>
      <c r="E1286" s="58">
        <f>IF($H1286="","",IFERROR(MID($H1286&amp;" ",FIND("|",SUBSTITUTE($H1286&amp;" "," ","|",3))+1,FIND("|",SUBSTITUTE($H1286&amp;" "," ","|",4))-FIND("|",SUBSTITUTE($H1286&amp;" "," ","|",3))-1),""))</f>
        <v/>
      </c>
      <c r="F1286" s="59">
        <f>IF($H1286="","",IFERROR(VALUE(IFERROR(MID($H1286&amp;" ",FIND("|",SUBSTITUTE($H1286&amp;" "," ","|",4))+1,FIND("|",SUBSTITUTE($H1286&amp;" "," ","|",5))-FIND("|",SUBSTITUTE($H1286&amp;" "," ","|",4))-1),""))/86400+25569+9/24,""))</f>
        <v/>
      </c>
      <c r="G1286" s="58">
        <f>TRIM(SUBSTITUTE(SUBSTITUTE(SUBSTITUTE($A1286,CHAR(9)," ")," "," "),CHAR(13),""))</f>
        <v/>
      </c>
      <c r="H1286" s="58">
        <f>IF($G1286="","",IF(ISNUMBER(FIND(" ",$G1286)),$G1286,IFERROR(IF((LEN(SUBSTITUTE(SUBSTITUTE($G1286,"-"," ",LEN($G1286)-LEN(SUBSTITUTE($G1286,"-",""))),"-"," ",LEN($G1286)-LEN(SUBSTITUTE($G1286,"-",""))-1))-LEN(SUBSTITUTE(SUBSTITUTE(SUBSTITUTE($G1286,"-"," ",LEN($G1286)-LEN(SUBSTITUTE($G1286,"-",""))),"-"," ",LEN($G1286)-LEN(SUBSTITUTE($G1286,"-",""))-1),".","")))=0,SUBSTITUTE(SUBSTITUTE($G1286,"-"," ",LEN($G1286)-LEN(SUBSTITUTE($G1286,"-",""))),"-"," ",LEN($G1286)-LEN(SUBSTITUTE($G1286,"-",""))-1),SUBSTITUTE(SUBSTITUTE(SUBSTITUTE($G1286,"-"," ",LEN($G1286)-LEN(SUBSTITUTE($G1286,"-",""))),"-"," ",LEN($G1286)-LEN(SUBSTITUTE($G1286,"-",""))-1),"."," ",(LEN(SUBSTITUTE(SUBSTITUTE($G1286,"-"," ",LEN($G1286)-LEN(SUBSTITUTE($G1286,"-",""))),"-"," ",LEN($G1286)-LEN(SUBSTITUTE($G1286,"-",""))-1))-LEN(SUBSTITUTE(SUBSTITUTE(SUBSTITUTE($G1286,"-"," ",LEN($G1286)-LEN(SUBSTITUTE($G1286,"-",""))),"-"," ",LEN($G1286)-LEN(SUBSTITUTE($G1286,"-",""))-1),".",""))))),$G1286)))</f>
        <v/>
      </c>
    </row>
    <row r="1287">
      <c r="A1287" s="58" t="n"/>
      <c r="B1287" s="58">
        <f>IF($H1287="","",LEFT($H1287,FIND(" ",$H1287&amp;" ")-1))</f>
        <v/>
      </c>
      <c r="C1287" s="58">
        <f>IF($H1287="","",IFERROR(MID($H1287&amp;" ",FIND("|",SUBSTITUTE($H1287&amp;" "," ","|",1))+1,FIND("|",SUBSTITUTE($H1287&amp;" "," ","|",2))-FIND("|",SUBSTITUTE($H1287&amp;" "," ","|",1))-1),""))</f>
        <v/>
      </c>
      <c r="D1287" s="58">
        <f>IF($H1287="","",IFERROR(MID($H1287&amp;" ",FIND("|",SUBSTITUTE($H1287&amp;" "," ","|",2))+1,FIND("|",SUBSTITUTE($H1287&amp;" "," ","|",3))-FIND("|",SUBSTITUTE($H1287&amp;" "," ","|",2))-1),""))</f>
        <v/>
      </c>
      <c r="E1287" s="58">
        <f>IF($H1287="","",IFERROR(MID($H1287&amp;" ",FIND("|",SUBSTITUTE($H1287&amp;" "," ","|",3))+1,FIND("|",SUBSTITUTE($H1287&amp;" "," ","|",4))-FIND("|",SUBSTITUTE($H1287&amp;" "," ","|",3))-1),""))</f>
        <v/>
      </c>
      <c r="F1287" s="59">
        <f>IF($H1287="","",IFERROR(VALUE(IFERROR(MID($H1287&amp;" ",FIND("|",SUBSTITUTE($H1287&amp;" "," ","|",4))+1,FIND("|",SUBSTITUTE($H1287&amp;" "," ","|",5))-FIND("|",SUBSTITUTE($H1287&amp;" "," ","|",4))-1),""))/86400+25569+9/24,""))</f>
        <v/>
      </c>
      <c r="G1287" s="58">
        <f>TRIM(SUBSTITUTE(SUBSTITUTE(SUBSTITUTE($A1287,CHAR(9)," ")," "," "),CHAR(13),""))</f>
        <v/>
      </c>
      <c r="H1287" s="58">
        <f>IF($G1287="","",IF(ISNUMBER(FIND(" ",$G1287)),$G1287,IFERROR(IF((LEN(SUBSTITUTE(SUBSTITUTE($G1287,"-"," ",LEN($G1287)-LEN(SUBSTITUTE($G1287,"-",""))),"-"," ",LEN($G1287)-LEN(SUBSTITUTE($G1287,"-",""))-1))-LEN(SUBSTITUTE(SUBSTITUTE(SUBSTITUTE($G1287,"-"," ",LEN($G1287)-LEN(SUBSTITUTE($G1287,"-",""))),"-"," ",LEN($G1287)-LEN(SUBSTITUTE($G1287,"-",""))-1),".","")))=0,SUBSTITUTE(SUBSTITUTE($G1287,"-"," ",LEN($G1287)-LEN(SUBSTITUTE($G1287,"-",""))),"-"," ",LEN($G1287)-LEN(SUBSTITUTE($G1287,"-",""))-1),SUBSTITUTE(SUBSTITUTE(SUBSTITUTE($G1287,"-"," ",LEN($G1287)-LEN(SUBSTITUTE($G1287,"-",""))),"-"," ",LEN($G1287)-LEN(SUBSTITUTE($G1287,"-",""))-1),"."," ",(LEN(SUBSTITUTE(SUBSTITUTE($G1287,"-"," ",LEN($G1287)-LEN(SUBSTITUTE($G1287,"-",""))),"-"," ",LEN($G1287)-LEN(SUBSTITUTE($G1287,"-",""))-1))-LEN(SUBSTITUTE(SUBSTITUTE(SUBSTITUTE($G1287,"-"," ",LEN($G1287)-LEN(SUBSTITUTE($G1287,"-",""))),"-"," ",LEN($G1287)-LEN(SUBSTITUTE($G1287,"-",""))-1),".",""))))),$G1287)))</f>
        <v/>
      </c>
    </row>
    <row r="1288">
      <c r="A1288" s="58" t="n"/>
      <c r="B1288" s="58">
        <f>IF($H1288="","",LEFT($H1288,FIND(" ",$H1288&amp;" ")-1))</f>
        <v/>
      </c>
      <c r="C1288" s="58">
        <f>IF($H1288="","",IFERROR(MID($H1288&amp;" ",FIND("|",SUBSTITUTE($H1288&amp;" "," ","|",1))+1,FIND("|",SUBSTITUTE($H1288&amp;" "," ","|",2))-FIND("|",SUBSTITUTE($H1288&amp;" "," ","|",1))-1),""))</f>
        <v/>
      </c>
      <c r="D1288" s="58">
        <f>IF($H1288="","",IFERROR(MID($H1288&amp;" ",FIND("|",SUBSTITUTE($H1288&amp;" "," ","|",2))+1,FIND("|",SUBSTITUTE($H1288&amp;" "," ","|",3))-FIND("|",SUBSTITUTE($H1288&amp;" "," ","|",2))-1),""))</f>
        <v/>
      </c>
      <c r="E1288" s="58">
        <f>IF($H1288="","",IFERROR(MID($H1288&amp;" ",FIND("|",SUBSTITUTE($H1288&amp;" "," ","|",3))+1,FIND("|",SUBSTITUTE($H1288&amp;" "," ","|",4))-FIND("|",SUBSTITUTE($H1288&amp;" "," ","|",3))-1),""))</f>
        <v/>
      </c>
      <c r="F1288" s="59">
        <f>IF($H1288="","",IFERROR(VALUE(IFERROR(MID($H1288&amp;" ",FIND("|",SUBSTITUTE($H1288&amp;" "," ","|",4))+1,FIND("|",SUBSTITUTE($H1288&amp;" "," ","|",5))-FIND("|",SUBSTITUTE($H1288&amp;" "," ","|",4))-1),""))/86400+25569+9/24,""))</f>
        <v/>
      </c>
      <c r="G1288" s="58">
        <f>TRIM(SUBSTITUTE(SUBSTITUTE(SUBSTITUTE($A1288,CHAR(9)," ")," "," "),CHAR(13),""))</f>
        <v/>
      </c>
      <c r="H1288" s="58">
        <f>IF($G1288="","",IF(ISNUMBER(FIND(" ",$G1288)),$G1288,IFERROR(IF((LEN(SUBSTITUTE(SUBSTITUTE($G1288,"-"," ",LEN($G1288)-LEN(SUBSTITUTE($G1288,"-",""))),"-"," ",LEN($G1288)-LEN(SUBSTITUTE($G1288,"-",""))-1))-LEN(SUBSTITUTE(SUBSTITUTE(SUBSTITUTE($G1288,"-"," ",LEN($G1288)-LEN(SUBSTITUTE($G1288,"-",""))),"-"," ",LEN($G1288)-LEN(SUBSTITUTE($G1288,"-",""))-1),".","")))=0,SUBSTITUTE(SUBSTITUTE($G1288,"-"," ",LEN($G1288)-LEN(SUBSTITUTE($G1288,"-",""))),"-"," ",LEN($G1288)-LEN(SUBSTITUTE($G1288,"-",""))-1),SUBSTITUTE(SUBSTITUTE(SUBSTITUTE($G1288,"-"," ",LEN($G1288)-LEN(SUBSTITUTE($G1288,"-",""))),"-"," ",LEN($G1288)-LEN(SUBSTITUTE($G1288,"-",""))-1),"."," ",(LEN(SUBSTITUTE(SUBSTITUTE($G1288,"-"," ",LEN($G1288)-LEN(SUBSTITUTE($G1288,"-",""))),"-"," ",LEN($G1288)-LEN(SUBSTITUTE($G1288,"-",""))-1))-LEN(SUBSTITUTE(SUBSTITUTE(SUBSTITUTE($G1288,"-"," ",LEN($G1288)-LEN(SUBSTITUTE($G1288,"-",""))),"-"," ",LEN($G1288)-LEN(SUBSTITUTE($G1288,"-",""))-1),".",""))))),$G1288)))</f>
        <v/>
      </c>
    </row>
    <row r="1289">
      <c r="A1289" s="58" t="n"/>
      <c r="B1289" s="58">
        <f>IF($H1289="","",LEFT($H1289,FIND(" ",$H1289&amp;" ")-1))</f>
        <v/>
      </c>
      <c r="C1289" s="58">
        <f>IF($H1289="","",IFERROR(MID($H1289&amp;" ",FIND("|",SUBSTITUTE($H1289&amp;" "," ","|",1))+1,FIND("|",SUBSTITUTE($H1289&amp;" "," ","|",2))-FIND("|",SUBSTITUTE($H1289&amp;" "," ","|",1))-1),""))</f>
        <v/>
      </c>
      <c r="D1289" s="58">
        <f>IF($H1289="","",IFERROR(MID($H1289&amp;" ",FIND("|",SUBSTITUTE($H1289&amp;" "," ","|",2))+1,FIND("|",SUBSTITUTE($H1289&amp;" "," ","|",3))-FIND("|",SUBSTITUTE($H1289&amp;" "," ","|",2))-1),""))</f>
        <v/>
      </c>
      <c r="E1289" s="58">
        <f>IF($H1289="","",IFERROR(MID($H1289&amp;" ",FIND("|",SUBSTITUTE($H1289&amp;" "," ","|",3))+1,FIND("|",SUBSTITUTE($H1289&amp;" "," ","|",4))-FIND("|",SUBSTITUTE($H1289&amp;" "," ","|",3))-1),""))</f>
        <v/>
      </c>
      <c r="F1289" s="59">
        <f>IF($H1289="","",IFERROR(VALUE(IFERROR(MID($H1289&amp;" ",FIND("|",SUBSTITUTE($H1289&amp;" "," ","|",4))+1,FIND("|",SUBSTITUTE($H1289&amp;" "," ","|",5))-FIND("|",SUBSTITUTE($H1289&amp;" "," ","|",4))-1),""))/86400+25569+9/24,""))</f>
        <v/>
      </c>
      <c r="G1289" s="58">
        <f>TRIM(SUBSTITUTE(SUBSTITUTE(SUBSTITUTE($A1289,CHAR(9)," ")," "," "),CHAR(13),""))</f>
        <v/>
      </c>
      <c r="H1289" s="58">
        <f>IF($G1289="","",IF(ISNUMBER(FIND(" ",$G1289)),$G1289,IFERROR(IF((LEN(SUBSTITUTE(SUBSTITUTE($G1289,"-"," ",LEN($G1289)-LEN(SUBSTITUTE($G1289,"-",""))),"-"," ",LEN($G1289)-LEN(SUBSTITUTE($G1289,"-",""))-1))-LEN(SUBSTITUTE(SUBSTITUTE(SUBSTITUTE($G1289,"-"," ",LEN($G1289)-LEN(SUBSTITUTE($G1289,"-",""))),"-"," ",LEN($G1289)-LEN(SUBSTITUTE($G1289,"-",""))-1),".","")))=0,SUBSTITUTE(SUBSTITUTE($G1289,"-"," ",LEN($G1289)-LEN(SUBSTITUTE($G1289,"-",""))),"-"," ",LEN($G1289)-LEN(SUBSTITUTE($G1289,"-",""))-1),SUBSTITUTE(SUBSTITUTE(SUBSTITUTE($G1289,"-"," ",LEN($G1289)-LEN(SUBSTITUTE($G1289,"-",""))),"-"," ",LEN($G1289)-LEN(SUBSTITUTE($G1289,"-",""))-1),"."," ",(LEN(SUBSTITUTE(SUBSTITUTE($G1289,"-"," ",LEN($G1289)-LEN(SUBSTITUTE($G1289,"-",""))),"-"," ",LEN($G1289)-LEN(SUBSTITUTE($G1289,"-",""))-1))-LEN(SUBSTITUTE(SUBSTITUTE(SUBSTITUTE($G1289,"-"," ",LEN($G1289)-LEN(SUBSTITUTE($G1289,"-",""))),"-"," ",LEN($G1289)-LEN(SUBSTITUTE($G1289,"-",""))-1),".",""))))),$G1289)))</f>
        <v/>
      </c>
    </row>
    <row r="1290">
      <c r="A1290" s="58" t="n"/>
      <c r="B1290" s="58">
        <f>IF($H1290="","",LEFT($H1290,FIND(" ",$H1290&amp;" ")-1))</f>
        <v/>
      </c>
      <c r="C1290" s="58">
        <f>IF($H1290="","",IFERROR(MID($H1290&amp;" ",FIND("|",SUBSTITUTE($H1290&amp;" "," ","|",1))+1,FIND("|",SUBSTITUTE($H1290&amp;" "," ","|",2))-FIND("|",SUBSTITUTE($H1290&amp;" "," ","|",1))-1),""))</f>
        <v/>
      </c>
      <c r="D1290" s="58">
        <f>IF($H1290="","",IFERROR(MID($H1290&amp;" ",FIND("|",SUBSTITUTE($H1290&amp;" "," ","|",2))+1,FIND("|",SUBSTITUTE($H1290&amp;" "," ","|",3))-FIND("|",SUBSTITUTE($H1290&amp;" "," ","|",2))-1),""))</f>
        <v/>
      </c>
      <c r="E1290" s="58">
        <f>IF($H1290="","",IFERROR(MID($H1290&amp;" ",FIND("|",SUBSTITUTE($H1290&amp;" "," ","|",3))+1,FIND("|",SUBSTITUTE($H1290&amp;" "," ","|",4))-FIND("|",SUBSTITUTE($H1290&amp;" "," ","|",3))-1),""))</f>
        <v/>
      </c>
      <c r="F1290" s="59">
        <f>IF($H1290="","",IFERROR(VALUE(IFERROR(MID($H1290&amp;" ",FIND("|",SUBSTITUTE($H1290&amp;" "," ","|",4))+1,FIND("|",SUBSTITUTE($H1290&amp;" "," ","|",5))-FIND("|",SUBSTITUTE($H1290&amp;" "," ","|",4))-1),""))/86400+25569+9/24,""))</f>
        <v/>
      </c>
      <c r="G1290" s="58">
        <f>TRIM(SUBSTITUTE(SUBSTITUTE(SUBSTITUTE($A1290,CHAR(9)," ")," "," "),CHAR(13),""))</f>
        <v/>
      </c>
      <c r="H1290" s="58">
        <f>IF($G1290="","",IF(ISNUMBER(FIND(" ",$G1290)),$G1290,IFERROR(IF((LEN(SUBSTITUTE(SUBSTITUTE($G1290,"-"," ",LEN($G1290)-LEN(SUBSTITUTE($G1290,"-",""))),"-"," ",LEN($G1290)-LEN(SUBSTITUTE($G1290,"-",""))-1))-LEN(SUBSTITUTE(SUBSTITUTE(SUBSTITUTE($G1290,"-"," ",LEN($G1290)-LEN(SUBSTITUTE($G1290,"-",""))),"-"," ",LEN($G1290)-LEN(SUBSTITUTE($G1290,"-",""))-1),".","")))=0,SUBSTITUTE(SUBSTITUTE($G1290,"-"," ",LEN($G1290)-LEN(SUBSTITUTE($G1290,"-",""))),"-"," ",LEN($G1290)-LEN(SUBSTITUTE($G1290,"-",""))-1),SUBSTITUTE(SUBSTITUTE(SUBSTITUTE($G1290,"-"," ",LEN($G1290)-LEN(SUBSTITUTE($G1290,"-",""))),"-"," ",LEN($G1290)-LEN(SUBSTITUTE($G1290,"-",""))-1),"."," ",(LEN(SUBSTITUTE(SUBSTITUTE($G1290,"-"," ",LEN($G1290)-LEN(SUBSTITUTE($G1290,"-",""))),"-"," ",LEN($G1290)-LEN(SUBSTITUTE($G1290,"-",""))-1))-LEN(SUBSTITUTE(SUBSTITUTE(SUBSTITUTE($G1290,"-"," ",LEN($G1290)-LEN(SUBSTITUTE($G1290,"-",""))),"-"," ",LEN($G1290)-LEN(SUBSTITUTE($G1290,"-",""))-1),".",""))))),$G1290)))</f>
        <v/>
      </c>
    </row>
    <row r="1291">
      <c r="A1291" s="58" t="n"/>
      <c r="B1291" s="58">
        <f>IF($H1291="","",LEFT($H1291,FIND(" ",$H1291&amp;" ")-1))</f>
        <v/>
      </c>
      <c r="C1291" s="58">
        <f>IF($H1291="","",IFERROR(MID($H1291&amp;" ",FIND("|",SUBSTITUTE($H1291&amp;" "," ","|",1))+1,FIND("|",SUBSTITUTE($H1291&amp;" "," ","|",2))-FIND("|",SUBSTITUTE($H1291&amp;" "," ","|",1))-1),""))</f>
        <v/>
      </c>
      <c r="D1291" s="58">
        <f>IF($H1291="","",IFERROR(MID($H1291&amp;" ",FIND("|",SUBSTITUTE($H1291&amp;" "," ","|",2))+1,FIND("|",SUBSTITUTE($H1291&amp;" "," ","|",3))-FIND("|",SUBSTITUTE($H1291&amp;" "," ","|",2))-1),""))</f>
        <v/>
      </c>
      <c r="E1291" s="58">
        <f>IF($H1291="","",IFERROR(MID($H1291&amp;" ",FIND("|",SUBSTITUTE($H1291&amp;" "," ","|",3))+1,FIND("|",SUBSTITUTE($H1291&amp;" "," ","|",4))-FIND("|",SUBSTITUTE($H1291&amp;" "," ","|",3))-1),""))</f>
        <v/>
      </c>
      <c r="F1291" s="59">
        <f>IF($H1291="","",IFERROR(VALUE(IFERROR(MID($H1291&amp;" ",FIND("|",SUBSTITUTE($H1291&amp;" "," ","|",4))+1,FIND("|",SUBSTITUTE($H1291&amp;" "," ","|",5))-FIND("|",SUBSTITUTE($H1291&amp;" "," ","|",4))-1),""))/86400+25569+9/24,""))</f>
        <v/>
      </c>
      <c r="G1291" s="58">
        <f>TRIM(SUBSTITUTE(SUBSTITUTE(SUBSTITUTE($A1291,CHAR(9)," ")," "," "),CHAR(13),""))</f>
        <v/>
      </c>
      <c r="H1291" s="58">
        <f>IF($G1291="","",IF(ISNUMBER(FIND(" ",$G1291)),$G1291,IFERROR(IF((LEN(SUBSTITUTE(SUBSTITUTE($G1291,"-"," ",LEN($G1291)-LEN(SUBSTITUTE($G1291,"-",""))),"-"," ",LEN($G1291)-LEN(SUBSTITUTE($G1291,"-",""))-1))-LEN(SUBSTITUTE(SUBSTITUTE(SUBSTITUTE($G1291,"-"," ",LEN($G1291)-LEN(SUBSTITUTE($G1291,"-",""))),"-"," ",LEN($G1291)-LEN(SUBSTITUTE($G1291,"-",""))-1),".","")))=0,SUBSTITUTE(SUBSTITUTE($G1291,"-"," ",LEN($G1291)-LEN(SUBSTITUTE($G1291,"-",""))),"-"," ",LEN($G1291)-LEN(SUBSTITUTE($G1291,"-",""))-1),SUBSTITUTE(SUBSTITUTE(SUBSTITUTE($G1291,"-"," ",LEN($G1291)-LEN(SUBSTITUTE($G1291,"-",""))),"-"," ",LEN($G1291)-LEN(SUBSTITUTE($G1291,"-",""))-1),"."," ",(LEN(SUBSTITUTE(SUBSTITUTE($G1291,"-"," ",LEN($G1291)-LEN(SUBSTITUTE($G1291,"-",""))),"-"," ",LEN($G1291)-LEN(SUBSTITUTE($G1291,"-",""))-1))-LEN(SUBSTITUTE(SUBSTITUTE(SUBSTITUTE($G1291,"-"," ",LEN($G1291)-LEN(SUBSTITUTE($G1291,"-",""))),"-"," ",LEN($G1291)-LEN(SUBSTITUTE($G1291,"-",""))-1),".",""))))),$G1291)))</f>
        <v/>
      </c>
    </row>
    <row r="1292">
      <c r="A1292" s="58" t="n"/>
      <c r="B1292" s="58">
        <f>IF($H1292="","",LEFT($H1292,FIND(" ",$H1292&amp;" ")-1))</f>
        <v/>
      </c>
      <c r="C1292" s="58">
        <f>IF($H1292="","",IFERROR(MID($H1292&amp;" ",FIND("|",SUBSTITUTE($H1292&amp;" "," ","|",1))+1,FIND("|",SUBSTITUTE($H1292&amp;" "," ","|",2))-FIND("|",SUBSTITUTE($H1292&amp;" "," ","|",1))-1),""))</f>
        <v/>
      </c>
      <c r="D1292" s="58">
        <f>IF($H1292="","",IFERROR(MID($H1292&amp;" ",FIND("|",SUBSTITUTE($H1292&amp;" "," ","|",2))+1,FIND("|",SUBSTITUTE($H1292&amp;" "," ","|",3))-FIND("|",SUBSTITUTE($H1292&amp;" "," ","|",2))-1),""))</f>
        <v/>
      </c>
      <c r="E1292" s="58">
        <f>IF($H1292="","",IFERROR(MID($H1292&amp;" ",FIND("|",SUBSTITUTE($H1292&amp;" "," ","|",3))+1,FIND("|",SUBSTITUTE($H1292&amp;" "," ","|",4))-FIND("|",SUBSTITUTE($H1292&amp;" "," ","|",3))-1),""))</f>
        <v/>
      </c>
      <c r="F1292" s="59">
        <f>IF($H1292="","",IFERROR(VALUE(IFERROR(MID($H1292&amp;" ",FIND("|",SUBSTITUTE($H1292&amp;" "," ","|",4))+1,FIND("|",SUBSTITUTE($H1292&amp;" "," ","|",5))-FIND("|",SUBSTITUTE($H1292&amp;" "," ","|",4))-1),""))/86400+25569+9/24,""))</f>
        <v/>
      </c>
      <c r="G1292" s="58">
        <f>TRIM(SUBSTITUTE(SUBSTITUTE(SUBSTITUTE($A1292,CHAR(9)," ")," "," "),CHAR(13),""))</f>
        <v/>
      </c>
      <c r="H1292" s="58">
        <f>IF($G1292="","",IF(ISNUMBER(FIND(" ",$G1292)),$G1292,IFERROR(IF((LEN(SUBSTITUTE(SUBSTITUTE($G1292,"-"," ",LEN($G1292)-LEN(SUBSTITUTE($G1292,"-",""))),"-"," ",LEN($G1292)-LEN(SUBSTITUTE($G1292,"-",""))-1))-LEN(SUBSTITUTE(SUBSTITUTE(SUBSTITUTE($G1292,"-"," ",LEN($G1292)-LEN(SUBSTITUTE($G1292,"-",""))),"-"," ",LEN($G1292)-LEN(SUBSTITUTE($G1292,"-",""))-1),".","")))=0,SUBSTITUTE(SUBSTITUTE($G1292,"-"," ",LEN($G1292)-LEN(SUBSTITUTE($G1292,"-",""))),"-"," ",LEN($G1292)-LEN(SUBSTITUTE($G1292,"-",""))-1),SUBSTITUTE(SUBSTITUTE(SUBSTITUTE($G1292,"-"," ",LEN($G1292)-LEN(SUBSTITUTE($G1292,"-",""))),"-"," ",LEN($G1292)-LEN(SUBSTITUTE($G1292,"-",""))-1),"."," ",(LEN(SUBSTITUTE(SUBSTITUTE($G1292,"-"," ",LEN($G1292)-LEN(SUBSTITUTE($G1292,"-",""))),"-"," ",LEN($G1292)-LEN(SUBSTITUTE($G1292,"-",""))-1))-LEN(SUBSTITUTE(SUBSTITUTE(SUBSTITUTE($G1292,"-"," ",LEN($G1292)-LEN(SUBSTITUTE($G1292,"-",""))),"-"," ",LEN($G1292)-LEN(SUBSTITUTE($G1292,"-",""))-1),".",""))))),$G1292)))</f>
        <v/>
      </c>
    </row>
    <row r="1293">
      <c r="A1293" s="58" t="n"/>
      <c r="B1293" s="58">
        <f>IF($H1293="","",LEFT($H1293,FIND(" ",$H1293&amp;" ")-1))</f>
        <v/>
      </c>
      <c r="C1293" s="58">
        <f>IF($H1293="","",IFERROR(MID($H1293&amp;" ",FIND("|",SUBSTITUTE($H1293&amp;" "," ","|",1))+1,FIND("|",SUBSTITUTE($H1293&amp;" "," ","|",2))-FIND("|",SUBSTITUTE($H1293&amp;" "," ","|",1))-1),""))</f>
        <v/>
      </c>
      <c r="D1293" s="58">
        <f>IF($H1293="","",IFERROR(MID($H1293&amp;" ",FIND("|",SUBSTITUTE($H1293&amp;" "," ","|",2))+1,FIND("|",SUBSTITUTE($H1293&amp;" "," ","|",3))-FIND("|",SUBSTITUTE($H1293&amp;" "," ","|",2))-1),""))</f>
        <v/>
      </c>
      <c r="E1293" s="58">
        <f>IF($H1293="","",IFERROR(MID($H1293&amp;" ",FIND("|",SUBSTITUTE($H1293&amp;" "," ","|",3))+1,FIND("|",SUBSTITUTE($H1293&amp;" "," ","|",4))-FIND("|",SUBSTITUTE($H1293&amp;" "," ","|",3))-1),""))</f>
        <v/>
      </c>
      <c r="F1293" s="59">
        <f>IF($H1293="","",IFERROR(VALUE(IFERROR(MID($H1293&amp;" ",FIND("|",SUBSTITUTE($H1293&amp;" "," ","|",4))+1,FIND("|",SUBSTITUTE($H1293&amp;" "," ","|",5))-FIND("|",SUBSTITUTE($H1293&amp;" "," ","|",4))-1),""))/86400+25569+9/24,""))</f>
        <v/>
      </c>
      <c r="G1293" s="58">
        <f>TRIM(SUBSTITUTE(SUBSTITUTE(SUBSTITUTE($A1293,CHAR(9)," ")," "," "),CHAR(13),""))</f>
        <v/>
      </c>
      <c r="H1293" s="58">
        <f>IF($G1293="","",IF(ISNUMBER(FIND(" ",$G1293)),$G1293,IFERROR(IF((LEN(SUBSTITUTE(SUBSTITUTE($G1293,"-"," ",LEN($G1293)-LEN(SUBSTITUTE($G1293,"-",""))),"-"," ",LEN($G1293)-LEN(SUBSTITUTE($G1293,"-",""))-1))-LEN(SUBSTITUTE(SUBSTITUTE(SUBSTITUTE($G1293,"-"," ",LEN($G1293)-LEN(SUBSTITUTE($G1293,"-",""))),"-"," ",LEN($G1293)-LEN(SUBSTITUTE($G1293,"-",""))-1),".","")))=0,SUBSTITUTE(SUBSTITUTE($G1293,"-"," ",LEN($G1293)-LEN(SUBSTITUTE($G1293,"-",""))),"-"," ",LEN($G1293)-LEN(SUBSTITUTE($G1293,"-",""))-1),SUBSTITUTE(SUBSTITUTE(SUBSTITUTE($G1293,"-"," ",LEN($G1293)-LEN(SUBSTITUTE($G1293,"-",""))),"-"," ",LEN($G1293)-LEN(SUBSTITUTE($G1293,"-",""))-1),"."," ",(LEN(SUBSTITUTE(SUBSTITUTE($G1293,"-"," ",LEN($G1293)-LEN(SUBSTITUTE($G1293,"-",""))),"-"," ",LEN($G1293)-LEN(SUBSTITUTE($G1293,"-",""))-1))-LEN(SUBSTITUTE(SUBSTITUTE(SUBSTITUTE($G1293,"-"," ",LEN($G1293)-LEN(SUBSTITUTE($G1293,"-",""))),"-"," ",LEN($G1293)-LEN(SUBSTITUTE($G1293,"-",""))-1),".",""))))),$G1293)))</f>
        <v/>
      </c>
    </row>
    <row r="1294">
      <c r="A1294" s="58" t="n"/>
      <c r="B1294" s="58">
        <f>IF($H1294="","",LEFT($H1294,FIND(" ",$H1294&amp;" ")-1))</f>
        <v/>
      </c>
      <c r="C1294" s="58">
        <f>IF($H1294="","",IFERROR(MID($H1294&amp;" ",FIND("|",SUBSTITUTE($H1294&amp;" "," ","|",1))+1,FIND("|",SUBSTITUTE($H1294&amp;" "," ","|",2))-FIND("|",SUBSTITUTE($H1294&amp;" "," ","|",1))-1),""))</f>
        <v/>
      </c>
      <c r="D1294" s="58">
        <f>IF($H1294="","",IFERROR(MID($H1294&amp;" ",FIND("|",SUBSTITUTE($H1294&amp;" "," ","|",2))+1,FIND("|",SUBSTITUTE($H1294&amp;" "," ","|",3))-FIND("|",SUBSTITUTE($H1294&amp;" "," ","|",2))-1),""))</f>
        <v/>
      </c>
      <c r="E1294" s="58">
        <f>IF($H1294="","",IFERROR(MID($H1294&amp;" ",FIND("|",SUBSTITUTE($H1294&amp;" "," ","|",3))+1,FIND("|",SUBSTITUTE($H1294&amp;" "," ","|",4))-FIND("|",SUBSTITUTE($H1294&amp;" "," ","|",3))-1),""))</f>
        <v/>
      </c>
      <c r="F1294" s="59">
        <f>IF($H1294="","",IFERROR(VALUE(IFERROR(MID($H1294&amp;" ",FIND("|",SUBSTITUTE($H1294&amp;" "," ","|",4))+1,FIND("|",SUBSTITUTE($H1294&amp;" "," ","|",5))-FIND("|",SUBSTITUTE($H1294&amp;" "," ","|",4))-1),""))/86400+25569+9/24,""))</f>
        <v/>
      </c>
      <c r="G1294" s="58">
        <f>TRIM(SUBSTITUTE(SUBSTITUTE(SUBSTITUTE($A1294,CHAR(9)," ")," "," "),CHAR(13),""))</f>
        <v/>
      </c>
      <c r="H1294" s="58">
        <f>IF($G1294="","",IF(ISNUMBER(FIND(" ",$G1294)),$G1294,IFERROR(IF((LEN(SUBSTITUTE(SUBSTITUTE($G1294,"-"," ",LEN($G1294)-LEN(SUBSTITUTE($G1294,"-",""))),"-"," ",LEN($G1294)-LEN(SUBSTITUTE($G1294,"-",""))-1))-LEN(SUBSTITUTE(SUBSTITUTE(SUBSTITUTE($G1294,"-"," ",LEN($G1294)-LEN(SUBSTITUTE($G1294,"-",""))),"-"," ",LEN($G1294)-LEN(SUBSTITUTE($G1294,"-",""))-1),".","")))=0,SUBSTITUTE(SUBSTITUTE($G1294,"-"," ",LEN($G1294)-LEN(SUBSTITUTE($G1294,"-",""))),"-"," ",LEN($G1294)-LEN(SUBSTITUTE($G1294,"-",""))-1),SUBSTITUTE(SUBSTITUTE(SUBSTITUTE($G1294,"-"," ",LEN($G1294)-LEN(SUBSTITUTE($G1294,"-",""))),"-"," ",LEN($G1294)-LEN(SUBSTITUTE($G1294,"-",""))-1),"."," ",(LEN(SUBSTITUTE(SUBSTITUTE($G1294,"-"," ",LEN($G1294)-LEN(SUBSTITUTE($G1294,"-",""))),"-"," ",LEN($G1294)-LEN(SUBSTITUTE($G1294,"-",""))-1))-LEN(SUBSTITUTE(SUBSTITUTE(SUBSTITUTE($G1294,"-"," ",LEN($G1294)-LEN(SUBSTITUTE($G1294,"-",""))),"-"," ",LEN($G1294)-LEN(SUBSTITUTE($G1294,"-",""))-1),".",""))))),$G1294)))</f>
        <v/>
      </c>
    </row>
    <row r="1295">
      <c r="A1295" s="58" t="n"/>
      <c r="B1295" s="58">
        <f>IF($H1295="","",LEFT($H1295,FIND(" ",$H1295&amp;" ")-1))</f>
        <v/>
      </c>
      <c r="C1295" s="58">
        <f>IF($H1295="","",IFERROR(MID($H1295&amp;" ",FIND("|",SUBSTITUTE($H1295&amp;" "," ","|",1))+1,FIND("|",SUBSTITUTE($H1295&amp;" "," ","|",2))-FIND("|",SUBSTITUTE($H1295&amp;" "," ","|",1))-1),""))</f>
        <v/>
      </c>
      <c r="D1295" s="58">
        <f>IF($H1295="","",IFERROR(MID($H1295&amp;" ",FIND("|",SUBSTITUTE($H1295&amp;" "," ","|",2))+1,FIND("|",SUBSTITUTE($H1295&amp;" "," ","|",3))-FIND("|",SUBSTITUTE($H1295&amp;" "," ","|",2))-1),""))</f>
        <v/>
      </c>
      <c r="E1295" s="58">
        <f>IF($H1295="","",IFERROR(MID($H1295&amp;" ",FIND("|",SUBSTITUTE($H1295&amp;" "," ","|",3))+1,FIND("|",SUBSTITUTE($H1295&amp;" "," ","|",4))-FIND("|",SUBSTITUTE($H1295&amp;" "," ","|",3))-1),""))</f>
        <v/>
      </c>
      <c r="F1295" s="59">
        <f>IF($H1295="","",IFERROR(VALUE(IFERROR(MID($H1295&amp;" ",FIND("|",SUBSTITUTE($H1295&amp;" "," ","|",4))+1,FIND("|",SUBSTITUTE($H1295&amp;" "," ","|",5))-FIND("|",SUBSTITUTE($H1295&amp;" "," ","|",4))-1),""))/86400+25569+9/24,""))</f>
        <v/>
      </c>
      <c r="G1295" s="58">
        <f>TRIM(SUBSTITUTE(SUBSTITUTE(SUBSTITUTE($A1295,CHAR(9)," ")," "," "),CHAR(13),""))</f>
        <v/>
      </c>
      <c r="H1295" s="58">
        <f>IF($G1295="","",IF(ISNUMBER(FIND(" ",$G1295)),$G1295,IFERROR(IF((LEN(SUBSTITUTE(SUBSTITUTE($G1295,"-"," ",LEN($G1295)-LEN(SUBSTITUTE($G1295,"-",""))),"-"," ",LEN($G1295)-LEN(SUBSTITUTE($G1295,"-",""))-1))-LEN(SUBSTITUTE(SUBSTITUTE(SUBSTITUTE($G1295,"-"," ",LEN($G1295)-LEN(SUBSTITUTE($G1295,"-",""))),"-"," ",LEN($G1295)-LEN(SUBSTITUTE($G1295,"-",""))-1),".","")))=0,SUBSTITUTE(SUBSTITUTE($G1295,"-"," ",LEN($G1295)-LEN(SUBSTITUTE($G1295,"-",""))),"-"," ",LEN($G1295)-LEN(SUBSTITUTE($G1295,"-",""))-1),SUBSTITUTE(SUBSTITUTE(SUBSTITUTE($G1295,"-"," ",LEN($G1295)-LEN(SUBSTITUTE($G1295,"-",""))),"-"," ",LEN($G1295)-LEN(SUBSTITUTE($G1295,"-",""))-1),"."," ",(LEN(SUBSTITUTE(SUBSTITUTE($G1295,"-"," ",LEN($G1295)-LEN(SUBSTITUTE($G1295,"-",""))),"-"," ",LEN($G1295)-LEN(SUBSTITUTE($G1295,"-",""))-1))-LEN(SUBSTITUTE(SUBSTITUTE(SUBSTITUTE($G1295,"-"," ",LEN($G1295)-LEN(SUBSTITUTE($G1295,"-",""))),"-"," ",LEN($G1295)-LEN(SUBSTITUTE($G1295,"-",""))-1),".",""))))),$G1295)))</f>
        <v/>
      </c>
    </row>
    <row r="1296">
      <c r="A1296" s="58" t="n"/>
      <c r="B1296" s="58">
        <f>IF($H1296="","",LEFT($H1296,FIND(" ",$H1296&amp;" ")-1))</f>
        <v/>
      </c>
      <c r="C1296" s="58">
        <f>IF($H1296="","",IFERROR(MID($H1296&amp;" ",FIND("|",SUBSTITUTE($H1296&amp;" "," ","|",1))+1,FIND("|",SUBSTITUTE($H1296&amp;" "," ","|",2))-FIND("|",SUBSTITUTE($H1296&amp;" "," ","|",1))-1),""))</f>
        <v/>
      </c>
      <c r="D1296" s="58">
        <f>IF($H1296="","",IFERROR(MID($H1296&amp;" ",FIND("|",SUBSTITUTE($H1296&amp;" "," ","|",2))+1,FIND("|",SUBSTITUTE($H1296&amp;" "," ","|",3))-FIND("|",SUBSTITUTE($H1296&amp;" "," ","|",2))-1),""))</f>
        <v/>
      </c>
      <c r="E1296" s="58">
        <f>IF($H1296="","",IFERROR(MID($H1296&amp;" ",FIND("|",SUBSTITUTE($H1296&amp;" "," ","|",3))+1,FIND("|",SUBSTITUTE($H1296&amp;" "," ","|",4))-FIND("|",SUBSTITUTE($H1296&amp;" "," ","|",3))-1),""))</f>
        <v/>
      </c>
      <c r="F1296" s="59">
        <f>IF($H1296="","",IFERROR(VALUE(IFERROR(MID($H1296&amp;" ",FIND("|",SUBSTITUTE($H1296&amp;" "," ","|",4))+1,FIND("|",SUBSTITUTE($H1296&amp;" "," ","|",5))-FIND("|",SUBSTITUTE($H1296&amp;" "," ","|",4))-1),""))/86400+25569+9/24,""))</f>
        <v/>
      </c>
      <c r="G1296" s="58">
        <f>TRIM(SUBSTITUTE(SUBSTITUTE(SUBSTITUTE($A1296,CHAR(9)," ")," "," "),CHAR(13),""))</f>
        <v/>
      </c>
      <c r="H1296" s="58">
        <f>IF($G1296="","",IF(ISNUMBER(FIND(" ",$G1296)),$G1296,IFERROR(IF((LEN(SUBSTITUTE(SUBSTITUTE($G1296,"-"," ",LEN($G1296)-LEN(SUBSTITUTE($G1296,"-",""))),"-"," ",LEN($G1296)-LEN(SUBSTITUTE($G1296,"-",""))-1))-LEN(SUBSTITUTE(SUBSTITUTE(SUBSTITUTE($G1296,"-"," ",LEN($G1296)-LEN(SUBSTITUTE($G1296,"-",""))),"-"," ",LEN($G1296)-LEN(SUBSTITUTE($G1296,"-",""))-1),".","")))=0,SUBSTITUTE(SUBSTITUTE($G1296,"-"," ",LEN($G1296)-LEN(SUBSTITUTE($G1296,"-",""))),"-"," ",LEN($G1296)-LEN(SUBSTITUTE($G1296,"-",""))-1),SUBSTITUTE(SUBSTITUTE(SUBSTITUTE($G1296,"-"," ",LEN($G1296)-LEN(SUBSTITUTE($G1296,"-",""))),"-"," ",LEN($G1296)-LEN(SUBSTITUTE($G1296,"-",""))-1),"."," ",(LEN(SUBSTITUTE(SUBSTITUTE($G1296,"-"," ",LEN($G1296)-LEN(SUBSTITUTE($G1296,"-",""))),"-"," ",LEN($G1296)-LEN(SUBSTITUTE($G1296,"-",""))-1))-LEN(SUBSTITUTE(SUBSTITUTE(SUBSTITUTE($G1296,"-"," ",LEN($G1296)-LEN(SUBSTITUTE($G1296,"-",""))),"-"," ",LEN($G1296)-LEN(SUBSTITUTE($G1296,"-",""))-1),".",""))))),$G1296)))</f>
        <v/>
      </c>
    </row>
    <row r="1297">
      <c r="A1297" s="58" t="n"/>
      <c r="B1297" s="58">
        <f>IF($H1297="","",LEFT($H1297,FIND(" ",$H1297&amp;" ")-1))</f>
        <v/>
      </c>
      <c r="C1297" s="58">
        <f>IF($H1297="","",IFERROR(MID($H1297&amp;" ",FIND("|",SUBSTITUTE($H1297&amp;" "," ","|",1))+1,FIND("|",SUBSTITUTE($H1297&amp;" "," ","|",2))-FIND("|",SUBSTITUTE($H1297&amp;" "," ","|",1))-1),""))</f>
        <v/>
      </c>
      <c r="D1297" s="58">
        <f>IF($H1297="","",IFERROR(MID($H1297&amp;" ",FIND("|",SUBSTITUTE($H1297&amp;" "," ","|",2))+1,FIND("|",SUBSTITUTE($H1297&amp;" "," ","|",3))-FIND("|",SUBSTITUTE($H1297&amp;" "," ","|",2))-1),""))</f>
        <v/>
      </c>
      <c r="E1297" s="58">
        <f>IF($H1297="","",IFERROR(MID($H1297&amp;" ",FIND("|",SUBSTITUTE($H1297&amp;" "," ","|",3))+1,FIND("|",SUBSTITUTE($H1297&amp;" "," ","|",4))-FIND("|",SUBSTITUTE($H1297&amp;" "," ","|",3))-1),""))</f>
        <v/>
      </c>
      <c r="F1297" s="59">
        <f>IF($H1297="","",IFERROR(VALUE(IFERROR(MID($H1297&amp;" ",FIND("|",SUBSTITUTE($H1297&amp;" "," ","|",4))+1,FIND("|",SUBSTITUTE($H1297&amp;" "," ","|",5))-FIND("|",SUBSTITUTE($H1297&amp;" "," ","|",4))-1),""))/86400+25569+9/24,""))</f>
        <v/>
      </c>
      <c r="G1297" s="58">
        <f>TRIM(SUBSTITUTE(SUBSTITUTE(SUBSTITUTE($A1297,CHAR(9)," ")," "," "),CHAR(13),""))</f>
        <v/>
      </c>
      <c r="H1297" s="58">
        <f>IF($G1297="","",IF(ISNUMBER(FIND(" ",$G1297)),$G1297,IFERROR(IF((LEN(SUBSTITUTE(SUBSTITUTE($G1297,"-"," ",LEN($G1297)-LEN(SUBSTITUTE($G1297,"-",""))),"-"," ",LEN($G1297)-LEN(SUBSTITUTE($G1297,"-",""))-1))-LEN(SUBSTITUTE(SUBSTITUTE(SUBSTITUTE($G1297,"-"," ",LEN($G1297)-LEN(SUBSTITUTE($G1297,"-",""))),"-"," ",LEN($G1297)-LEN(SUBSTITUTE($G1297,"-",""))-1),".","")))=0,SUBSTITUTE(SUBSTITUTE($G1297,"-"," ",LEN($G1297)-LEN(SUBSTITUTE($G1297,"-",""))),"-"," ",LEN($G1297)-LEN(SUBSTITUTE($G1297,"-",""))-1),SUBSTITUTE(SUBSTITUTE(SUBSTITUTE($G1297,"-"," ",LEN($G1297)-LEN(SUBSTITUTE($G1297,"-",""))),"-"," ",LEN($G1297)-LEN(SUBSTITUTE($G1297,"-",""))-1),"."," ",(LEN(SUBSTITUTE(SUBSTITUTE($G1297,"-"," ",LEN($G1297)-LEN(SUBSTITUTE($G1297,"-",""))),"-"," ",LEN($G1297)-LEN(SUBSTITUTE($G1297,"-",""))-1))-LEN(SUBSTITUTE(SUBSTITUTE(SUBSTITUTE($G1297,"-"," ",LEN($G1297)-LEN(SUBSTITUTE($G1297,"-",""))),"-"," ",LEN($G1297)-LEN(SUBSTITUTE($G1297,"-",""))-1),".",""))))),$G1297)))</f>
        <v/>
      </c>
    </row>
    <row r="1298">
      <c r="A1298" s="58" t="n"/>
      <c r="B1298" s="58">
        <f>IF($H1298="","",LEFT($H1298,FIND(" ",$H1298&amp;" ")-1))</f>
        <v/>
      </c>
      <c r="C1298" s="58">
        <f>IF($H1298="","",IFERROR(MID($H1298&amp;" ",FIND("|",SUBSTITUTE($H1298&amp;" "," ","|",1))+1,FIND("|",SUBSTITUTE($H1298&amp;" "," ","|",2))-FIND("|",SUBSTITUTE($H1298&amp;" "," ","|",1))-1),""))</f>
        <v/>
      </c>
      <c r="D1298" s="58">
        <f>IF($H1298="","",IFERROR(MID($H1298&amp;" ",FIND("|",SUBSTITUTE($H1298&amp;" "," ","|",2))+1,FIND("|",SUBSTITUTE($H1298&amp;" "," ","|",3))-FIND("|",SUBSTITUTE($H1298&amp;" "," ","|",2))-1),""))</f>
        <v/>
      </c>
      <c r="E1298" s="58">
        <f>IF($H1298="","",IFERROR(MID($H1298&amp;" ",FIND("|",SUBSTITUTE($H1298&amp;" "," ","|",3))+1,FIND("|",SUBSTITUTE($H1298&amp;" "," ","|",4))-FIND("|",SUBSTITUTE($H1298&amp;" "," ","|",3))-1),""))</f>
        <v/>
      </c>
      <c r="F1298" s="59">
        <f>IF($H1298="","",IFERROR(VALUE(IFERROR(MID($H1298&amp;" ",FIND("|",SUBSTITUTE($H1298&amp;" "," ","|",4))+1,FIND("|",SUBSTITUTE($H1298&amp;" "," ","|",5))-FIND("|",SUBSTITUTE($H1298&amp;" "," ","|",4))-1),""))/86400+25569+9/24,""))</f>
        <v/>
      </c>
      <c r="G1298" s="58">
        <f>TRIM(SUBSTITUTE(SUBSTITUTE(SUBSTITUTE($A1298,CHAR(9)," ")," "," "),CHAR(13),""))</f>
        <v/>
      </c>
      <c r="H1298" s="58">
        <f>IF($G1298="","",IF(ISNUMBER(FIND(" ",$G1298)),$G1298,IFERROR(IF((LEN(SUBSTITUTE(SUBSTITUTE($G1298,"-"," ",LEN($G1298)-LEN(SUBSTITUTE($G1298,"-",""))),"-"," ",LEN($G1298)-LEN(SUBSTITUTE($G1298,"-",""))-1))-LEN(SUBSTITUTE(SUBSTITUTE(SUBSTITUTE($G1298,"-"," ",LEN($G1298)-LEN(SUBSTITUTE($G1298,"-",""))),"-"," ",LEN($G1298)-LEN(SUBSTITUTE($G1298,"-",""))-1),".","")))=0,SUBSTITUTE(SUBSTITUTE($G1298,"-"," ",LEN($G1298)-LEN(SUBSTITUTE($G1298,"-",""))),"-"," ",LEN($G1298)-LEN(SUBSTITUTE($G1298,"-",""))-1),SUBSTITUTE(SUBSTITUTE(SUBSTITUTE($G1298,"-"," ",LEN($G1298)-LEN(SUBSTITUTE($G1298,"-",""))),"-"," ",LEN($G1298)-LEN(SUBSTITUTE($G1298,"-",""))-1),"."," ",(LEN(SUBSTITUTE(SUBSTITUTE($G1298,"-"," ",LEN($G1298)-LEN(SUBSTITUTE($G1298,"-",""))),"-"," ",LEN($G1298)-LEN(SUBSTITUTE($G1298,"-",""))-1))-LEN(SUBSTITUTE(SUBSTITUTE(SUBSTITUTE($G1298,"-"," ",LEN($G1298)-LEN(SUBSTITUTE($G1298,"-",""))),"-"," ",LEN($G1298)-LEN(SUBSTITUTE($G1298,"-",""))-1),".",""))))),$G1298)))</f>
        <v/>
      </c>
    </row>
    <row r="1299">
      <c r="A1299" s="58" t="n"/>
      <c r="B1299" s="58">
        <f>IF($H1299="","",LEFT($H1299,FIND(" ",$H1299&amp;" ")-1))</f>
        <v/>
      </c>
      <c r="C1299" s="58">
        <f>IF($H1299="","",IFERROR(MID($H1299&amp;" ",FIND("|",SUBSTITUTE($H1299&amp;" "," ","|",1))+1,FIND("|",SUBSTITUTE($H1299&amp;" "," ","|",2))-FIND("|",SUBSTITUTE($H1299&amp;" "," ","|",1))-1),""))</f>
        <v/>
      </c>
      <c r="D1299" s="58">
        <f>IF($H1299="","",IFERROR(MID($H1299&amp;" ",FIND("|",SUBSTITUTE($H1299&amp;" "," ","|",2))+1,FIND("|",SUBSTITUTE($H1299&amp;" "," ","|",3))-FIND("|",SUBSTITUTE($H1299&amp;" "," ","|",2))-1),""))</f>
        <v/>
      </c>
      <c r="E1299" s="58">
        <f>IF($H1299="","",IFERROR(MID($H1299&amp;" ",FIND("|",SUBSTITUTE($H1299&amp;" "," ","|",3))+1,FIND("|",SUBSTITUTE($H1299&amp;" "," ","|",4))-FIND("|",SUBSTITUTE($H1299&amp;" "," ","|",3))-1),""))</f>
        <v/>
      </c>
      <c r="F1299" s="59">
        <f>IF($H1299="","",IFERROR(VALUE(IFERROR(MID($H1299&amp;" ",FIND("|",SUBSTITUTE($H1299&amp;" "," ","|",4))+1,FIND("|",SUBSTITUTE($H1299&amp;" "," ","|",5))-FIND("|",SUBSTITUTE($H1299&amp;" "," ","|",4))-1),""))/86400+25569+9/24,""))</f>
        <v/>
      </c>
      <c r="G1299" s="58">
        <f>TRIM(SUBSTITUTE(SUBSTITUTE(SUBSTITUTE($A1299,CHAR(9)," ")," "," "),CHAR(13),""))</f>
        <v/>
      </c>
      <c r="H1299" s="58">
        <f>IF($G1299="","",IF(ISNUMBER(FIND(" ",$G1299)),$G1299,IFERROR(IF((LEN(SUBSTITUTE(SUBSTITUTE($G1299,"-"," ",LEN($G1299)-LEN(SUBSTITUTE($G1299,"-",""))),"-"," ",LEN($G1299)-LEN(SUBSTITUTE($G1299,"-",""))-1))-LEN(SUBSTITUTE(SUBSTITUTE(SUBSTITUTE($G1299,"-"," ",LEN($G1299)-LEN(SUBSTITUTE($G1299,"-",""))),"-"," ",LEN($G1299)-LEN(SUBSTITUTE($G1299,"-",""))-1),".","")))=0,SUBSTITUTE(SUBSTITUTE($G1299,"-"," ",LEN($G1299)-LEN(SUBSTITUTE($G1299,"-",""))),"-"," ",LEN($G1299)-LEN(SUBSTITUTE($G1299,"-",""))-1),SUBSTITUTE(SUBSTITUTE(SUBSTITUTE($G1299,"-"," ",LEN($G1299)-LEN(SUBSTITUTE($G1299,"-",""))),"-"," ",LEN($G1299)-LEN(SUBSTITUTE($G1299,"-",""))-1),"."," ",(LEN(SUBSTITUTE(SUBSTITUTE($G1299,"-"," ",LEN($G1299)-LEN(SUBSTITUTE($G1299,"-",""))),"-"," ",LEN($G1299)-LEN(SUBSTITUTE($G1299,"-",""))-1))-LEN(SUBSTITUTE(SUBSTITUTE(SUBSTITUTE($G1299,"-"," ",LEN($G1299)-LEN(SUBSTITUTE($G1299,"-",""))),"-"," ",LEN($G1299)-LEN(SUBSTITUTE($G1299,"-",""))-1),".",""))))),$G1299)))</f>
        <v/>
      </c>
    </row>
    <row r="1300">
      <c r="A1300" s="58" t="n"/>
      <c r="B1300" s="58">
        <f>IF($H1300="","",LEFT($H1300,FIND(" ",$H1300&amp;" ")-1))</f>
        <v/>
      </c>
      <c r="C1300" s="58">
        <f>IF($H1300="","",IFERROR(MID($H1300&amp;" ",FIND("|",SUBSTITUTE($H1300&amp;" "," ","|",1))+1,FIND("|",SUBSTITUTE($H1300&amp;" "," ","|",2))-FIND("|",SUBSTITUTE($H1300&amp;" "," ","|",1))-1),""))</f>
        <v/>
      </c>
      <c r="D1300" s="58">
        <f>IF($H1300="","",IFERROR(MID($H1300&amp;" ",FIND("|",SUBSTITUTE($H1300&amp;" "," ","|",2))+1,FIND("|",SUBSTITUTE($H1300&amp;" "," ","|",3))-FIND("|",SUBSTITUTE($H1300&amp;" "," ","|",2))-1),""))</f>
        <v/>
      </c>
      <c r="E1300" s="58">
        <f>IF($H1300="","",IFERROR(MID($H1300&amp;" ",FIND("|",SUBSTITUTE($H1300&amp;" "," ","|",3))+1,FIND("|",SUBSTITUTE($H1300&amp;" "," ","|",4))-FIND("|",SUBSTITUTE($H1300&amp;" "," ","|",3))-1),""))</f>
        <v/>
      </c>
      <c r="F1300" s="59">
        <f>IF($H1300="","",IFERROR(VALUE(IFERROR(MID($H1300&amp;" ",FIND("|",SUBSTITUTE($H1300&amp;" "," ","|",4))+1,FIND("|",SUBSTITUTE($H1300&amp;" "," ","|",5))-FIND("|",SUBSTITUTE($H1300&amp;" "," ","|",4))-1),""))/86400+25569+9/24,""))</f>
        <v/>
      </c>
      <c r="G1300" s="58">
        <f>TRIM(SUBSTITUTE(SUBSTITUTE(SUBSTITUTE($A1300,CHAR(9)," ")," "," "),CHAR(13),""))</f>
        <v/>
      </c>
      <c r="H1300" s="58">
        <f>IF($G1300="","",IF(ISNUMBER(FIND(" ",$G1300)),$G1300,IFERROR(IF((LEN(SUBSTITUTE(SUBSTITUTE($G1300,"-"," ",LEN($G1300)-LEN(SUBSTITUTE($G1300,"-",""))),"-"," ",LEN($G1300)-LEN(SUBSTITUTE($G1300,"-",""))-1))-LEN(SUBSTITUTE(SUBSTITUTE(SUBSTITUTE($G1300,"-"," ",LEN($G1300)-LEN(SUBSTITUTE($G1300,"-",""))),"-"," ",LEN($G1300)-LEN(SUBSTITUTE($G1300,"-",""))-1),".","")))=0,SUBSTITUTE(SUBSTITUTE($G1300,"-"," ",LEN($G1300)-LEN(SUBSTITUTE($G1300,"-",""))),"-"," ",LEN($G1300)-LEN(SUBSTITUTE($G1300,"-",""))-1),SUBSTITUTE(SUBSTITUTE(SUBSTITUTE($G1300,"-"," ",LEN($G1300)-LEN(SUBSTITUTE($G1300,"-",""))),"-"," ",LEN($G1300)-LEN(SUBSTITUTE($G1300,"-",""))-1),"."," ",(LEN(SUBSTITUTE(SUBSTITUTE($G1300,"-"," ",LEN($G1300)-LEN(SUBSTITUTE($G1300,"-",""))),"-"," ",LEN($G1300)-LEN(SUBSTITUTE($G1300,"-",""))-1))-LEN(SUBSTITUTE(SUBSTITUTE(SUBSTITUTE($G1300,"-"," ",LEN($G1300)-LEN(SUBSTITUTE($G1300,"-",""))),"-"," ",LEN($G1300)-LEN(SUBSTITUTE($G1300,"-",""))-1),".",""))))),$G1300)))</f>
        <v/>
      </c>
    </row>
    <row r="1301">
      <c r="A1301" s="58" t="n"/>
      <c r="B1301" s="58">
        <f>IF($H1301="","",LEFT($H1301,FIND(" ",$H1301&amp;" ")-1))</f>
        <v/>
      </c>
      <c r="C1301" s="58">
        <f>IF($H1301="","",IFERROR(MID($H1301&amp;" ",FIND("|",SUBSTITUTE($H1301&amp;" "," ","|",1))+1,FIND("|",SUBSTITUTE($H1301&amp;" "," ","|",2))-FIND("|",SUBSTITUTE($H1301&amp;" "," ","|",1))-1),""))</f>
        <v/>
      </c>
      <c r="D1301" s="58">
        <f>IF($H1301="","",IFERROR(MID($H1301&amp;" ",FIND("|",SUBSTITUTE($H1301&amp;" "," ","|",2))+1,FIND("|",SUBSTITUTE($H1301&amp;" "," ","|",3))-FIND("|",SUBSTITUTE($H1301&amp;" "," ","|",2))-1),""))</f>
        <v/>
      </c>
      <c r="E1301" s="58">
        <f>IF($H1301="","",IFERROR(MID($H1301&amp;" ",FIND("|",SUBSTITUTE($H1301&amp;" "," ","|",3))+1,FIND("|",SUBSTITUTE($H1301&amp;" "," ","|",4))-FIND("|",SUBSTITUTE($H1301&amp;" "," ","|",3))-1),""))</f>
        <v/>
      </c>
      <c r="F1301" s="59">
        <f>IF($H1301="","",IFERROR(VALUE(IFERROR(MID($H1301&amp;" ",FIND("|",SUBSTITUTE($H1301&amp;" "," ","|",4))+1,FIND("|",SUBSTITUTE($H1301&amp;" "," ","|",5))-FIND("|",SUBSTITUTE($H1301&amp;" "," ","|",4))-1),""))/86400+25569+9/24,""))</f>
        <v/>
      </c>
      <c r="G1301" s="58">
        <f>TRIM(SUBSTITUTE(SUBSTITUTE(SUBSTITUTE($A1301,CHAR(9)," ")," "," "),CHAR(13),""))</f>
        <v/>
      </c>
      <c r="H1301" s="58">
        <f>IF($G1301="","",IF(ISNUMBER(FIND(" ",$G1301)),$G1301,IFERROR(IF((LEN(SUBSTITUTE(SUBSTITUTE($G1301,"-"," ",LEN($G1301)-LEN(SUBSTITUTE($G1301,"-",""))),"-"," ",LEN($G1301)-LEN(SUBSTITUTE($G1301,"-",""))-1))-LEN(SUBSTITUTE(SUBSTITUTE(SUBSTITUTE($G1301,"-"," ",LEN($G1301)-LEN(SUBSTITUTE($G1301,"-",""))),"-"," ",LEN($G1301)-LEN(SUBSTITUTE($G1301,"-",""))-1),".","")))=0,SUBSTITUTE(SUBSTITUTE($G1301,"-"," ",LEN($G1301)-LEN(SUBSTITUTE($G1301,"-",""))),"-"," ",LEN($G1301)-LEN(SUBSTITUTE($G1301,"-",""))-1),SUBSTITUTE(SUBSTITUTE(SUBSTITUTE($G1301,"-"," ",LEN($G1301)-LEN(SUBSTITUTE($G1301,"-",""))),"-"," ",LEN($G1301)-LEN(SUBSTITUTE($G1301,"-",""))-1),"."," ",(LEN(SUBSTITUTE(SUBSTITUTE($G1301,"-"," ",LEN($G1301)-LEN(SUBSTITUTE($G1301,"-",""))),"-"," ",LEN($G1301)-LEN(SUBSTITUTE($G1301,"-",""))-1))-LEN(SUBSTITUTE(SUBSTITUTE(SUBSTITUTE($G1301,"-"," ",LEN($G1301)-LEN(SUBSTITUTE($G1301,"-",""))),"-"," ",LEN($G1301)-LEN(SUBSTITUTE($G1301,"-",""))-1),".",""))))),$G1301)))</f>
        <v/>
      </c>
    </row>
    <row r="1302">
      <c r="A1302" s="58" t="n"/>
      <c r="B1302" s="58">
        <f>IF($H1302="","",LEFT($H1302,FIND(" ",$H1302&amp;" ")-1))</f>
        <v/>
      </c>
      <c r="C1302" s="58">
        <f>IF($H1302="","",IFERROR(MID($H1302&amp;" ",FIND("|",SUBSTITUTE($H1302&amp;" "," ","|",1))+1,FIND("|",SUBSTITUTE($H1302&amp;" "," ","|",2))-FIND("|",SUBSTITUTE($H1302&amp;" "," ","|",1))-1),""))</f>
        <v/>
      </c>
      <c r="D1302" s="58">
        <f>IF($H1302="","",IFERROR(MID($H1302&amp;" ",FIND("|",SUBSTITUTE($H1302&amp;" "," ","|",2))+1,FIND("|",SUBSTITUTE($H1302&amp;" "," ","|",3))-FIND("|",SUBSTITUTE($H1302&amp;" "," ","|",2))-1),""))</f>
        <v/>
      </c>
      <c r="E1302" s="58">
        <f>IF($H1302="","",IFERROR(MID($H1302&amp;" ",FIND("|",SUBSTITUTE($H1302&amp;" "," ","|",3))+1,FIND("|",SUBSTITUTE($H1302&amp;" "," ","|",4))-FIND("|",SUBSTITUTE($H1302&amp;" "," ","|",3))-1),""))</f>
        <v/>
      </c>
      <c r="F1302" s="59">
        <f>IF($H1302="","",IFERROR(VALUE(IFERROR(MID($H1302&amp;" ",FIND("|",SUBSTITUTE($H1302&amp;" "," ","|",4))+1,FIND("|",SUBSTITUTE($H1302&amp;" "," ","|",5))-FIND("|",SUBSTITUTE($H1302&amp;" "," ","|",4))-1),""))/86400+25569+9/24,""))</f>
        <v/>
      </c>
      <c r="G1302" s="58">
        <f>TRIM(SUBSTITUTE(SUBSTITUTE(SUBSTITUTE($A1302,CHAR(9)," ")," "," "),CHAR(13),""))</f>
        <v/>
      </c>
      <c r="H1302" s="58">
        <f>IF($G1302="","",IF(ISNUMBER(FIND(" ",$G1302)),$G1302,IFERROR(IF((LEN(SUBSTITUTE(SUBSTITUTE($G1302,"-"," ",LEN($G1302)-LEN(SUBSTITUTE($G1302,"-",""))),"-"," ",LEN($G1302)-LEN(SUBSTITUTE($G1302,"-",""))-1))-LEN(SUBSTITUTE(SUBSTITUTE(SUBSTITUTE($G1302,"-"," ",LEN($G1302)-LEN(SUBSTITUTE($G1302,"-",""))),"-"," ",LEN($G1302)-LEN(SUBSTITUTE($G1302,"-",""))-1),".","")))=0,SUBSTITUTE(SUBSTITUTE($G1302,"-"," ",LEN($G1302)-LEN(SUBSTITUTE($G1302,"-",""))),"-"," ",LEN($G1302)-LEN(SUBSTITUTE($G1302,"-",""))-1),SUBSTITUTE(SUBSTITUTE(SUBSTITUTE($G1302,"-"," ",LEN($G1302)-LEN(SUBSTITUTE($G1302,"-",""))),"-"," ",LEN($G1302)-LEN(SUBSTITUTE($G1302,"-",""))-1),"."," ",(LEN(SUBSTITUTE(SUBSTITUTE($G1302,"-"," ",LEN($G1302)-LEN(SUBSTITUTE($G1302,"-",""))),"-"," ",LEN($G1302)-LEN(SUBSTITUTE($G1302,"-",""))-1))-LEN(SUBSTITUTE(SUBSTITUTE(SUBSTITUTE($G1302,"-"," ",LEN($G1302)-LEN(SUBSTITUTE($G1302,"-",""))),"-"," ",LEN($G1302)-LEN(SUBSTITUTE($G1302,"-",""))-1),".",""))))),$G1302)))</f>
        <v/>
      </c>
    </row>
    <row r="1303">
      <c r="A1303" s="58" t="n"/>
      <c r="B1303" s="58">
        <f>IF($H1303="","",LEFT($H1303,FIND(" ",$H1303&amp;" ")-1))</f>
        <v/>
      </c>
      <c r="C1303" s="58">
        <f>IF($H1303="","",IFERROR(MID($H1303&amp;" ",FIND("|",SUBSTITUTE($H1303&amp;" "," ","|",1))+1,FIND("|",SUBSTITUTE($H1303&amp;" "," ","|",2))-FIND("|",SUBSTITUTE($H1303&amp;" "," ","|",1))-1),""))</f>
        <v/>
      </c>
      <c r="D1303" s="58">
        <f>IF($H1303="","",IFERROR(MID($H1303&amp;" ",FIND("|",SUBSTITUTE($H1303&amp;" "," ","|",2))+1,FIND("|",SUBSTITUTE($H1303&amp;" "," ","|",3))-FIND("|",SUBSTITUTE($H1303&amp;" "," ","|",2))-1),""))</f>
        <v/>
      </c>
      <c r="E1303" s="58">
        <f>IF($H1303="","",IFERROR(MID($H1303&amp;" ",FIND("|",SUBSTITUTE($H1303&amp;" "," ","|",3))+1,FIND("|",SUBSTITUTE($H1303&amp;" "," ","|",4))-FIND("|",SUBSTITUTE($H1303&amp;" "," ","|",3))-1),""))</f>
        <v/>
      </c>
      <c r="F1303" s="59">
        <f>IF($H1303="","",IFERROR(VALUE(IFERROR(MID($H1303&amp;" ",FIND("|",SUBSTITUTE($H1303&amp;" "," ","|",4))+1,FIND("|",SUBSTITUTE($H1303&amp;" "," ","|",5))-FIND("|",SUBSTITUTE($H1303&amp;" "," ","|",4))-1),""))/86400+25569+9/24,""))</f>
        <v/>
      </c>
      <c r="G1303" s="58">
        <f>TRIM(SUBSTITUTE(SUBSTITUTE(SUBSTITUTE($A1303,CHAR(9)," ")," "," "),CHAR(13),""))</f>
        <v/>
      </c>
      <c r="H1303" s="58">
        <f>IF($G1303="","",IF(ISNUMBER(FIND(" ",$G1303)),$G1303,IFERROR(IF((LEN(SUBSTITUTE(SUBSTITUTE($G1303,"-"," ",LEN($G1303)-LEN(SUBSTITUTE($G1303,"-",""))),"-"," ",LEN($G1303)-LEN(SUBSTITUTE($G1303,"-",""))-1))-LEN(SUBSTITUTE(SUBSTITUTE(SUBSTITUTE($G1303,"-"," ",LEN($G1303)-LEN(SUBSTITUTE($G1303,"-",""))),"-"," ",LEN($G1303)-LEN(SUBSTITUTE($G1303,"-",""))-1),".","")))=0,SUBSTITUTE(SUBSTITUTE($G1303,"-"," ",LEN($G1303)-LEN(SUBSTITUTE($G1303,"-",""))),"-"," ",LEN($G1303)-LEN(SUBSTITUTE($G1303,"-",""))-1),SUBSTITUTE(SUBSTITUTE(SUBSTITUTE($G1303,"-"," ",LEN($G1303)-LEN(SUBSTITUTE($G1303,"-",""))),"-"," ",LEN($G1303)-LEN(SUBSTITUTE($G1303,"-",""))-1),"."," ",(LEN(SUBSTITUTE(SUBSTITUTE($G1303,"-"," ",LEN($G1303)-LEN(SUBSTITUTE($G1303,"-",""))),"-"," ",LEN($G1303)-LEN(SUBSTITUTE($G1303,"-",""))-1))-LEN(SUBSTITUTE(SUBSTITUTE(SUBSTITUTE($G1303,"-"," ",LEN($G1303)-LEN(SUBSTITUTE($G1303,"-",""))),"-"," ",LEN($G1303)-LEN(SUBSTITUTE($G1303,"-",""))-1),".",""))))),$G1303)))</f>
        <v/>
      </c>
    </row>
    <row r="1304">
      <c r="A1304" s="58" t="n"/>
      <c r="B1304" s="58">
        <f>IF($H1304="","",LEFT($H1304,FIND(" ",$H1304&amp;" ")-1))</f>
        <v/>
      </c>
      <c r="C1304" s="58">
        <f>IF($H1304="","",IFERROR(MID($H1304&amp;" ",FIND("|",SUBSTITUTE($H1304&amp;" "," ","|",1))+1,FIND("|",SUBSTITUTE($H1304&amp;" "," ","|",2))-FIND("|",SUBSTITUTE($H1304&amp;" "," ","|",1))-1),""))</f>
        <v/>
      </c>
      <c r="D1304" s="58">
        <f>IF($H1304="","",IFERROR(MID($H1304&amp;" ",FIND("|",SUBSTITUTE($H1304&amp;" "," ","|",2))+1,FIND("|",SUBSTITUTE($H1304&amp;" "," ","|",3))-FIND("|",SUBSTITUTE($H1304&amp;" "," ","|",2))-1),""))</f>
        <v/>
      </c>
      <c r="E1304" s="58">
        <f>IF($H1304="","",IFERROR(MID($H1304&amp;" ",FIND("|",SUBSTITUTE($H1304&amp;" "," ","|",3))+1,FIND("|",SUBSTITUTE($H1304&amp;" "," ","|",4))-FIND("|",SUBSTITUTE($H1304&amp;" "," ","|",3))-1),""))</f>
        <v/>
      </c>
      <c r="F1304" s="59">
        <f>IF($H1304="","",IFERROR(VALUE(IFERROR(MID($H1304&amp;" ",FIND("|",SUBSTITUTE($H1304&amp;" "," ","|",4))+1,FIND("|",SUBSTITUTE($H1304&amp;" "," ","|",5))-FIND("|",SUBSTITUTE($H1304&amp;" "," ","|",4))-1),""))/86400+25569+9/24,""))</f>
        <v/>
      </c>
      <c r="G1304" s="58">
        <f>TRIM(SUBSTITUTE(SUBSTITUTE(SUBSTITUTE($A1304,CHAR(9)," ")," "," "),CHAR(13),""))</f>
        <v/>
      </c>
      <c r="H1304" s="58">
        <f>IF($G1304="","",IF(ISNUMBER(FIND(" ",$G1304)),$G1304,IFERROR(IF((LEN(SUBSTITUTE(SUBSTITUTE($G1304,"-"," ",LEN($G1304)-LEN(SUBSTITUTE($G1304,"-",""))),"-"," ",LEN($G1304)-LEN(SUBSTITUTE($G1304,"-",""))-1))-LEN(SUBSTITUTE(SUBSTITUTE(SUBSTITUTE($G1304,"-"," ",LEN($G1304)-LEN(SUBSTITUTE($G1304,"-",""))),"-"," ",LEN($G1304)-LEN(SUBSTITUTE($G1304,"-",""))-1),".","")))=0,SUBSTITUTE(SUBSTITUTE($G1304,"-"," ",LEN($G1304)-LEN(SUBSTITUTE($G1304,"-",""))),"-"," ",LEN($G1304)-LEN(SUBSTITUTE($G1304,"-",""))-1),SUBSTITUTE(SUBSTITUTE(SUBSTITUTE($G1304,"-"," ",LEN($G1304)-LEN(SUBSTITUTE($G1304,"-",""))),"-"," ",LEN($G1304)-LEN(SUBSTITUTE($G1304,"-",""))-1),"."," ",(LEN(SUBSTITUTE(SUBSTITUTE($G1304,"-"," ",LEN($G1304)-LEN(SUBSTITUTE($G1304,"-",""))),"-"," ",LEN($G1304)-LEN(SUBSTITUTE($G1304,"-",""))-1))-LEN(SUBSTITUTE(SUBSTITUTE(SUBSTITUTE($G1304,"-"," ",LEN($G1304)-LEN(SUBSTITUTE($G1304,"-",""))),"-"," ",LEN($G1304)-LEN(SUBSTITUTE($G1304,"-",""))-1),".",""))))),$G1304)))</f>
        <v/>
      </c>
    </row>
    <row r="1305">
      <c r="A1305" s="58" t="n"/>
      <c r="B1305" s="58">
        <f>IF($H1305="","",LEFT($H1305,FIND(" ",$H1305&amp;" ")-1))</f>
        <v/>
      </c>
      <c r="C1305" s="58">
        <f>IF($H1305="","",IFERROR(MID($H1305&amp;" ",FIND("|",SUBSTITUTE($H1305&amp;" "," ","|",1))+1,FIND("|",SUBSTITUTE($H1305&amp;" "," ","|",2))-FIND("|",SUBSTITUTE($H1305&amp;" "," ","|",1))-1),""))</f>
        <v/>
      </c>
      <c r="D1305" s="58">
        <f>IF($H1305="","",IFERROR(MID($H1305&amp;" ",FIND("|",SUBSTITUTE($H1305&amp;" "," ","|",2))+1,FIND("|",SUBSTITUTE($H1305&amp;" "," ","|",3))-FIND("|",SUBSTITUTE($H1305&amp;" "," ","|",2))-1),""))</f>
        <v/>
      </c>
      <c r="E1305" s="58">
        <f>IF($H1305="","",IFERROR(MID($H1305&amp;" ",FIND("|",SUBSTITUTE($H1305&amp;" "," ","|",3))+1,FIND("|",SUBSTITUTE($H1305&amp;" "," ","|",4))-FIND("|",SUBSTITUTE($H1305&amp;" "," ","|",3))-1),""))</f>
        <v/>
      </c>
      <c r="F1305" s="59">
        <f>IF($H1305="","",IFERROR(VALUE(IFERROR(MID($H1305&amp;" ",FIND("|",SUBSTITUTE($H1305&amp;" "," ","|",4))+1,FIND("|",SUBSTITUTE($H1305&amp;" "," ","|",5))-FIND("|",SUBSTITUTE($H1305&amp;" "," ","|",4))-1),""))/86400+25569+9/24,""))</f>
        <v/>
      </c>
      <c r="G1305" s="58">
        <f>TRIM(SUBSTITUTE(SUBSTITUTE(SUBSTITUTE($A1305,CHAR(9)," ")," "," "),CHAR(13),""))</f>
        <v/>
      </c>
      <c r="H1305" s="58">
        <f>IF($G1305="","",IF(ISNUMBER(FIND(" ",$G1305)),$G1305,IFERROR(IF((LEN(SUBSTITUTE(SUBSTITUTE($G1305,"-"," ",LEN($G1305)-LEN(SUBSTITUTE($G1305,"-",""))),"-"," ",LEN($G1305)-LEN(SUBSTITUTE($G1305,"-",""))-1))-LEN(SUBSTITUTE(SUBSTITUTE(SUBSTITUTE($G1305,"-"," ",LEN($G1305)-LEN(SUBSTITUTE($G1305,"-",""))),"-"," ",LEN($G1305)-LEN(SUBSTITUTE($G1305,"-",""))-1),".","")))=0,SUBSTITUTE(SUBSTITUTE($G1305,"-"," ",LEN($G1305)-LEN(SUBSTITUTE($G1305,"-",""))),"-"," ",LEN($G1305)-LEN(SUBSTITUTE($G1305,"-",""))-1),SUBSTITUTE(SUBSTITUTE(SUBSTITUTE($G1305,"-"," ",LEN($G1305)-LEN(SUBSTITUTE($G1305,"-",""))),"-"," ",LEN($G1305)-LEN(SUBSTITUTE($G1305,"-",""))-1),"."," ",(LEN(SUBSTITUTE(SUBSTITUTE($G1305,"-"," ",LEN($G1305)-LEN(SUBSTITUTE($G1305,"-",""))),"-"," ",LEN($G1305)-LEN(SUBSTITUTE($G1305,"-",""))-1))-LEN(SUBSTITUTE(SUBSTITUTE(SUBSTITUTE($G1305,"-"," ",LEN($G1305)-LEN(SUBSTITUTE($G1305,"-",""))),"-"," ",LEN($G1305)-LEN(SUBSTITUTE($G1305,"-",""))-1),".",""))))),$G1305)))</f>
        <v/>
      </c>
    </row>
    <row r="1306">
      <c r="A1306" s="58" t="n"/>
      <c r="B1306" s="58">
        <f>IF($H1306="","",LEFT($H1306,FIND(" ",$H1306&amp;" ")-1))</f>
        <v/>
      </c>
      <c r="C1306" s="58">
        <f>IF($H1306="","",IFERROR(MID($H1306&amp;" ",FIND("|",SUBSTITUTE($H1306&amp;" "," ","|",1))+1,FIND("|",SUBSTITUTE($H1306&amp;" "," ","|",2))-FIND("|",SUBSTITUTE($H1306&amp;" "," ","|",1))-1),""))</f>
        <v/>
      </c>
      <c r="D1306" s="58">
        <f>IF($H1306="","",IFERROR(MID($H1306&amp;" ",FIND("|",SUBSTITUTE($H1306&amp;" "," ","|",2))+1,FIND("|",SUBSTITUTE($H1306&amp;" "," ","|",3))-FIND("|",SUBSTITUTE($H1306&amp;" "," ","|",2))-1),""))</f>
        <v/>
      </c>
      <c r="E1306" s="58">
        <f>IF($H1306="","",IFERROR(MID($H1306&amp;" ",FIND("|",SUBSTITUTE($H1306&amp;" "," ","|",3))+1,FIND("|",SUBSTITUTE($H1306&amp;" "," ","|",4))-FIND("|",SUBSTITUTE($H1306&amp;" "," ","|",3))-1),""))</f>
        <v/>
      </c>
      <c r="F1306" s="59">
        <f>IF($H1306="","",IFERROR(VALUE(IFERROR(MID($H1306&amp;" ",FIND("|",SUBSTITUTE($H1306&amp;" "," ","|",4))+1,FIND("|",SUBSTITUTE($H1306&amp;" "," ","|",5))-FIND("|",SUBSTITUTE($H1306&amp;" "," ","|",4))-1),""))/86400+25569+9/24,""))</f>
        <v/>
      </c>
      <c r="G1306" s="58">
        <f>TRIM(SUBSTITUTE(SUBSTITUTE(SUBSTITUTE($A1306,CHAR(9)," ")," "," "),CHAR(13),""))</f>
        <v/>
      </c>
      <c r="H1306" s="58">
        <f>IF($G1306="","",IF(ISNUMBER(FIND(" ",$G1306)),$G1306,IFERROR(IF((LEN(SUBSTITUTE(SUBSTITUTE($G1306,"-"," ",LEN($G1306)-LEN(SUBSTITUTE($G1306,"-",""))),"-"," ",LEN($G1306)-LEN(SUBSTITUTE($G1306,"-",""))-1))-LEN(SUBSTITUTE(SUBSTITUTE(SUBSTITUTE($G1306,"-"," ",LEN($G1306)-LEN(SUBSTITUTE($G1306,"-",""))),"-"," ",LEN($G1306)-LEN(SUBSTITUTE($G1306,"-",""))-1),".","")))=0,SUBSTITUTE(SUBSTITUTE($G1306,"-"," ",LEN($G1306)-LEN(SUBSTITUTE($G1306,"-",""))),"-"," ",LEN($G1306)-LEN(SUBSTITUTE($G1306,"-",""))-1),SUBSTITUTE(SUBSTITUTE(SUBSTITUTE($G1306,"-"," ",LEN($G1306)-LEN(SUBSTITUTE($G1306,"-",""))),"-"," ",LEN($G1306)-LEN(SUBSTITUTE($G1306,"-",""))-1),"."," ",(LEN(SUBSTITUTE(SUBSTITUTE($G1306,"-"," ",LEN($G1306)-LEN(SUBSTITUTE($G1306,"-",""))),"-"," ",LEN($G1306)-LEN(SUBSTITUTE($G1306,"-",""))-1))-LEN(SUBSTITUTE(SUBSTITUTE(SUBSTITUTE($G1306,"-"," ",LEN($G1306)-LEN(SUBSTITUTE($G1306,"-",""))),"-"," ",LEN($G1306)-LEN(SUBSTITUTE($G1306,"-",""))-1),".",""))))),$G1306)))</f>
        <v/>
      </c>
    </row>
    <row r="1307">
      <c r="A1307" s="58" t="n"/>
      <c r="B1307" s="58">
        <f>IF($H1307="","",LEFT($H1307,FIND(" ",$H1307&amp;" ")-1))</f>
        <v/>
      </c>
      <c r="C1307" s="58">
        <f>IF($H1307="","",IFERROR(MID($H1307&amp;" ",FIND("|",SUBSTITUTE($H1307&amp;" "," ","|",1))+1,FIND("|",SUBSTITUTE($H1307&amp;" "," ","|",2))-FIND("|",SUBSTITUTE($H1307&amp;" "," ","|",1))-1),""))</f>
        <v/>
      </c>
      <c r="D1307" s="58">
        <f>IF($H1307="","",IFERROR(MID($H1307&amp;" ",FIND("|",SUBSTITUTE($H1307&amp;" "," ","|",2))+1,FIND("|",SUBSTITUTE($H1307&amp;" "," ","|",3))-FIND("|",SUBSTITUTE($H1307&amp;" "," ","|",2))-1),""))</f>
        <v/>
      </c>
      <c r="E1307" s="58">
        <f>IF($H1307="","",IFERROR(MID($H1307&amp;" ",FIND("|",SUBSTITUTE($H1307&amp;" "," ","|",3))+1,FIND("|",SUBSTITUTE($H1307&amp;" "," ","|",4))-FIND("|",SUBSTITUTE($H1307&amp;" "," ","|",3))-1),""))</f>
        <v/>
      </c>
      <c r="F1307" s="59">
        <f>IF($H1307="","",IFERROR(VALUE(IFERROR(MID($H1307&amp;" ",FIND("|",SUBSTITUTE($H1307&amp;" "," ","|",4))+1,FIND("|",SUBSTITUTE($H1307&amp;" "," ","|",5))-FIND("|",SUBSTITUTE($H1307&amp;" "," ","|",4))-1),""))/86400+25569+9/24,""))</f>
        <v/>
      </c>
      <c r="G1307" s="58">
        <f>TRIM(SUBSTITUTE(SUBSTITUTE(SUBSTITUTE($A1307,CHAR(9)," ")," "," "),CHAR(13),""))</f>
        <v/>
      </c>
      <c r="H1307" s="58">
        <f>IF($G1307="","",IF(ISNUMBER(FIND(" ",$G1307)),$G1307,IFERROR(IF((LEN(SUBSTITUTE(SUBSTITUTE($G1307,"-"," ",LEN($G1307)-LEN(SUBSTITUTE($G1307,"-",""))),"-"," ",LEN($G1307)-LEN(SUBSTITUTE($G1307,"-",""))-1))-LEN(SUBSTITUTE(SUBSTITUTE(SUBSTITUTE($G1307,"-"," ",LEN($G1307)-LEN(SUBSTITUTE($G1307,"-",""))),"-"," ",LEN($G1307)-LEN(SUBSTITUTE($G1307,"-",""))-1),".","")))=0,SUBSTITUTE(SUBSTITUTE($G1307,"-"," ",LEN($G1307)-LEN(SUBSTITUTE($G1307,"-",""))),"-"," ",LEN($G1307)-LEN(SUBSTITUTE($G1307,"-",""))-1),SUBSTITUTE(SUBSTITUTE(SUBSTITUTE($G1307,"-"," ",LEN($G1307)-LEN(SUBSTITUTE($G1307,"-",""))),"-"," ",LEN($G1307)-LEN(SUBSTITUTE($G1307,"-",""))-1),"."," ",(LEN(SUBSTITUTE(SUBSTITUTE($G1307,"-"," ",LEN($G1307)-LEN(SUBSTITUTE($G1307,"-",""))),"-"," ",LEN($G1307)-LEN(SUBSTITUTE($G1307,"-",""))-1))-LEN(SUBSTITUTE(SUBSTITUTE(SUBSTITUTE($G1307,"-"," ",LEN($G1307)-LEN(SUBSTITUTE($G1307,"-",""))),"-"," ",LEN($G1307)-LEN(SUBSTITUTE($G1307,"-",""))-1),".",""))))),$G1307)))</f>
        <v/>
      </c>
    </row>
    <row r="1308">
      <c r="A1308" s="58" t="n"/>
      <c r="B1308" s="58">
        <f>IF($H1308="","",LEFT($H1308,FIND(" ",$H1308&amp;" ")-1))</f>
        <v/>
      </c>
      <c r="C1308" s="58">
        <f>IF($H1308="","",IFERROR(MID($H1308&amp;" ",FIND("|",SUBSTITUTE($H1308&amp;" "," ","|",1))+1,FIND("|",SUBSTITUTE($H1308&amp;" "," ","|",2))-FIND("|",SUBSTITUTE($H1308&amp;" "," ","|",1))-1),""))</f>
        <v/>
      </c>
      <c r="D1308" s="58">
        <f>IF($H1308="","",IFERROR(MID($H1308&amp;" ",FIND("|",SUBSTITUTE($H1308&amp;" "," ","|",2))+1,FIND("|",SUBSTITUTE($H1308&amp;" "," ","|",3))-FIND("|",SUBSTITUTE($H1308&amp;" "," ","|",2))-1),""))</f>
        <v/>
      </c>
      <c r="E1308" s="58">
        <f>IF($H1308="","",IFERROR(MID($H1308&amp;" ",FIND("|",SUBSTITUTE($H1308&amp;" "," ","|",3))+1,FIND("|",SUBSTITUTE($H1308&amp;" "," ","|",4))-FIND("|",SUBSTITUTE($H1308&amp;" "," ","|",3))-1),""))</f>
        <v/>
      </c>
      <c r="F1308" s="59">
        <f>IF($H1308="","",IFERROR(VALUE(IFERROR(MID($H1308&amp;" ",FIND("|",SUBSTITUTE($H1308&amp;" "," ","|",4))+1,FIND("|",SUBSTITUTE($H1308&amp;" "," ","|",5))-FIND("|",SUBSTITUTE($H1308&amp;" "," ","|",4))-1),""))/86400+25569+9/24,""))</f>
        <v/>
      </c>
      <c r="G1308" s="58">
        <f>TRIM(SUBSTITUTE(SUBSTITUTE(SUBSTITUTE($A1308,CHAR(9)," ")," "," "),CHAR(13),""))</f>
        <v/>
      </c>
      <c r="H1308" s="58">
        <f>IF($G1308="","",IF(ISNUMBER(FIND(" ",$G1308)),$G1308,IFERROR(IF((LEN(SUBSTITUTE(SUBSTITUTE($G1308,"-"," ",LEN($G1308)-LEN(SUBSTITUTE($G1308,"-",""))),"-"," ",LEN($G1308)-LEN(SUBSTITUTE($G1308,"-",""))-1))-LEN(SUBSTITUTE(SUBSTITUTE(SUBSTITUTE($G1308,"-"," ",LEN($G1308)-LEN(SUBSTITUTE($G1308,"-",""))),"-"," ",LEN($G1308)-LEN(SUBSTITUTE($G1308,"-",""))-1),".","")))=0,SUBSTITUTE(SUBSTITUTE($G1308,"-"," ",LEN($G1308)-LEN(SUBSTITUTE($G1308,"-",""))),"-"," ",LEN($G1308)-LEN(SUBSTITUTE($G1308,"-",""))-1),SUBSTITUTE(SUBSTITUTE(SUBSTITUTE($G1308,"-"," ",LEN($G1308)-LEN(SUBSTITUTE($G1308,"-",""))),"-"," ",LEN($G1308)-LEN(SUBSTITUTE($G1308,"-",""))-1),"."," ",(LEN(SUBSTITUTE(SUBSTITUTE($G1308,"-"," ",LEN($G1308)-LEN(SUBSTITUTE($G1308,"-",""))),"-"," ",LEN($G1308)-LEN(SUBSTITUTE($G1308,"-",""))-1))-LEN(SUBSTITUTE(SUBSTITUTE(SUBSTITUTE($G1308,"-"," ",LEN($G1308)-LEN(SUBSTITUTE($G1308,"-",""))),"-"," ",LEN($G1308)-LEN(SUBSTITUTE($G1308,"-",""))-1),".",""))))),$G1308)))</f>
        <v/>
      </c>
    </row>
    <row r="1309">
      <c r="A1309" s="58" t="n"/>
      <c r="B1309" s="58">
        <f>IF($H1309="","",LEFT($H1309,FIND(" ",$H1309&amp;" ")-1))</f>
        <v/>
      </c>
      <c r="C1309" s="58">
        <f>IF($H1309="","",IFERROR(MID($H1309&amp;" ",FIND("|",SUBSTITUTE($H1309&amp;" "," ","|",1))+1,FIND("|",SUBSTITUTE($H1309&amp;" "," ","|",2))-FIND("|",SUBSTITUTE($H1309&amp;" "," ","|",1))-1),""))</f>
        <v/>
      </c>
      <c r="D1309" s="58">
        <f>IF($H1309="","",IFERROR(MID($H1309&amp;" ",FIND("|",SUBSTITUTE($H1309&amp;" "," ","|",2))+1,FIND("|",SUBSTITUTE($H1309&amp;" "," ","|",3))-FIND("|",SUBSTITUTE($H1309&amp;" "," ","|",2))-1),""))</f>
        <v/>
      </c>
      <c r="E1309" s="58">
        <f>IF($H1309="","",IFERROR(MID($H1309&amp;" ",FIND("|",SUBSTITUTE($H1309&amp;" "," ","|",3))+1,FIND("|",SUBSTITUTE($H1309&amp;" "," ","|",4))-FIND("|",SUBSTITUTE($H1309&amp;" "," ","|",3))-1),""))</f>
        <v/>
      </c>
      <c r="F1309" s="59">
        <f>IF($H1309="","",IFERROR(VALUE(IFERROR(MID($H1309&amp;" ",FIND("|",SUBSTITUTE($H1309&amp;" "," ","|",4))+1,FIND("|",SUBSTITUTE($H1309&amp;" "," ","|",5))-FIND("|",SUBSTITUTE($H1309&amp;" "," ","|",4))-1),""))/86400+25569+9/24,""))</f>
        <v/>
      </c>
      <c r="G1309" s="58">
        <f>TRIM(SUBSTITUTE(SUBSTITUTE(SUBSTITUTE($A1309,CHAR(9)," ")," "," "),CHAR(13),""))</f>
        <v/>
      </c>
      <c r="H1309" s="58">
        <f>IF($G1309="","",IF(ISNUMBER(FIND(" ",$G1309)),$G1309,IFERROR(IF((LEN(SUBSTITUTE(SUBSTITUTE($G1309,"-"," ",LEN($G1309)-LEN(SUBSTITUTE($G1309,"-",""))),"-"," ",LEN($G1309)-LEN(SUBSTITUTE($G1309,"-",""))-1))-LEN(SUBSTITUTE(SUBSTITUTE(SUBSTITUTE($G1309,"-"," ",LEN($G1309)-LEN(SUBSTITUTE($G1309,"-",""))),"-"," ",LEN($G1309)-LEN(SUBSTITUTE($G1309,"-",""))-1),".","")))=0,SUBSTITUTE(SUBSTITUTE($G1309,"-"," ",LEN($G1309)-LEN(SUBSTITUTE($G1309,"-",""))),"-"," ",LEN($G1309)-LEN(SUBSTITUTE($G1309,"-",""))-1),SUBSTITUTE(SUBSTITUTE(SUBSTITUTE($G1309,"-"," ",LEN($G1309)-LEN(SUBSTITUTE($G1309,"-",""))),"-"," ",LEN($G1309)-LEN(SUBSTITUTE($G1309,"-",""))-1),"."," ",(LEN(SUBSTITUTE(SUBSTITUTE($G1309,"-"," ",LEN($G1309)-LEN(SUBSTITUTE($G1309,"-",""))),"-"," ",LEN($G1309)-LEN(SUBSTITUTE($G1309,"-",""))-1))-LEN(SUBSTITUTE(SUBSTITUTE(SUBSTITUTE($G1309,"-"," ",LEN($G1309)-LEN(SUBSTITUTE($G1309,"-",""))),"-"," ",LEN($G1309)-LEN(SUBSTITUTE($G1309,"-",""))-1),".",""))))),$G1309)))</f>
        <v/>
      </c>
    </row>
    <row r="1310">
      <c r="A1310" s="58" t="n"/>
      <c r="B1310" s="58">
        <f>IF($H1310="","",LEFT($H1310,FIND(" ",$H1310&amp;" ")-1))</f>
        <v/>
      </c>
      <c r="C1310" s="58">
        <f>IF($H1310="","",IFERROR(MID($H1310&amp;" ",FIND("|",SUBSTITUTE($H1310&amp;" "," ","|",1))+1,FIND("|",SUBSTITUTE($H1310&amp;" "," ","|",2))-FIND("|",SUBSTITUTE($H1310&amp;" "," ","|",1))-1),""))</f>
        <v/>
      </c>
      <c r="D1310" s="58">
        <f>IF($H1310="","",IFERROR(MID($H1310&amp;" ",FIND("|",SUBSTITUTE($H1310&amp;" "," ","|",2))+1,FIND("|",SUBSTITUTE($H1310&amp;" "," ","|",3))-FIND("|",SUBSTITUTE($H1310&amp;" "," ","|",2))-1),""))</f>
        <v/>
      </c>
      <c r="E1310" s="58">
        <f>IF($H1310="","",IFERROR(MID($H1310&amp;" ",FIND("|",SUBSTITUTE($H1310&amp;" "," ","|",3))+1,FIND("|",SUBSTITUTE($H1310&amp;" "," ","|",4))-FIND("|",SUBSTITUTE($H1310&amp;" "," ","|",3))-1),""))</f>
        <v/>
      </c>
      <c r="F1310" s="59">
        <f>IF($H1310="","",IFERROR(VALUE(IFERROR(MID($H1310&amp;" ",FIND("|",SUBSTITUTE($H1310&amp;" "," ","|",4))+1,FIND("|",SUBSTITUTE($H1310&amp;" "," ","|",5))-FIND("|",SUBSTITUTE($H1310&amp;" "," ","|",4))-1),""))/86400+25569+9/24,""))</f>
        <v/>
      </c>
      <c r="G1310" s="58">
        <f>TRIM(SUBSTITUTE(SUBSTITUTE(SUBSTITUTE($A1310,CHAR(9)," ")," "," "),CHAR(13),""))</f>
        <v/>
      </c>
      <c r="H1310" s="58">
        <f>IF($G1310="","",IF(ISNUMBER(FIND(" ",$G1310)),$G1310,IFERROR(IF((LEN(SUBSTITUTE(SUBSTITUTE($G1310,"-"," ",LEN($G1310)-LEN(SUBSTITUTE($G1310,"-",""))),"-"," ",LEN($G1310)-LEN(SUBSTITUTE($G1310,"-",""))-1))-LEN(SUBSTITUTE(SUBSTITUTE(SUBSTITUTE($G1310,"-"," ",LEN($G1310)-LEN(SUBSTITUTE($G1310,"-",""))),"-"," ",LEN($G1310)-LEN(SUBSTITUTE($G1310,"-",""))-1),".","")))=0,SUBSTITUTE(SUBSTITUTE($G1310,"-"," ",LEN($G1310)-LEN(SUBSTITUTE($G1310,"-",""))),"-"," ",LEN($G1310)-LEN(SUBSTITUTE($G1310,"-",""))-1),SUBSTITUTE(SUBSTITUTE(SUBSTITUTE($G1310,"-"," ",LEN($G1310)-LEN(SUBSTITUTE($G1310,"-",""))),"-"," ",LEN($G1310)-LEN(SUBSTITUTE($G1310,"-",""))-1),"."," ",(LEN(SUBSTITUTE(SUBSTITUTE($G1310,"-"," ",LEN($G1310)-LEN(SUBSTITUTE($G1310,"-",""))),"-"," ",LEN($G1310)-LEN(SUBSTITUTE($G1310,"-",""))-1))-LEN(SUBSTITUTE(SUBSTITUTE(SUBSTITUTE($G1310,"-"," ",LEN($G1310)-LEN(SUBSTITUTE($G1310,"-",""))),"-"," ",LEN($G1310)-LEN(SUBSTITUTE($G1310,"-",""))-1),".",""))))),$G1310)))</f>
        <v/>
      </c>
    </row>
    <row r="1311">
      <c r="A1311" s="58" t="n"/>
      <c r="B1311" s="58">
        <f>IF($H1311="","",LEFT($H1311,FIND(" ",$H1311&amp;" ")-1))</f>
        <v/>
      </c>
      <c r="C1311" s="58">
        <f>IF($H1311="","",IFERROR(MID($H1311&amp;" ",FIND("|",SUBSTITUTE($H1311&amp;" "," ","|",1))+1,FIND("|",SUBSTITUTE($H1311&amp;" "," ","|",2))-FIND("|",SUBSTITUTE($H1311&amp;" "," ","|",1))-1),""))</f>
        <v/>
      </c>
      <c r="D1311" s="58">
        <f>IF($H1311="","",IFERROR(MID($H1311&amp;" ",FIND("|",SUBSTITUTE($H1311&amp;" "," ","|",2))+1,FIND("|",SUBSTITUTE($H1311&amp;" "," ","|",3))-FIND("|",SUBSTITUTE($H1311&amp;" "," ","|",2))-1),""))</f>
        <v/>
      </c>
      <c r="E1311" s="58">
        <f>IF($H1311="","",IFERROR(MID($H1311&amp;" ",FIND("|",SUBSTITUTE($H1311&amp;" "," ","|",3))+1,FIND("|",SUBSTITUTE($H1311&amp;" "," ","|",4))-FIND("|",SUBSTITUTE($H1311&amp;" "," ","|",3))-1),""))</f>
        <v/>
      </c>
      <c r="F1311" s="59">
        <f>IF($H1311="","",IFERROR(VALUE(IFERROR(MID($H1311&amp;" ",FIND("|",SUBSTITUTE($H1311&amp;" "," ","|",4))+1,FIND("|",SUBSTITUTE($H1311&amp;" "," ","|",5))-FIND("|",SUBSTITUTE($H1311&amp;" "," ","|",4))-1),""))/86400+25569+9/24,""))</f>
        <v/>
      </c>
      <c r="G1311" s="58">
        <f>TRIM(SUBSTITUTE(SUBSTITUTE(SUBSTITUTE($A1311,CHAR(9)," ")," "," "),CHAR(13),""))</f>
        <v/>
      </c>
      <c r="H1311" s="58">
        <f>IF($G1311="","",IF(ISNUMBER(FIND(" ",$G1311)),$G1311,IFERROR(IF((LEN(SUBSTITUTE(SUBSTITUTE($G1311,"-"," ",LEN($G1311)-LEN(SUBSTITUTE($G1311,"-",""))),"-"," ",LEN($G1311)-LEN(SUBSTITUTE($G1311,"-",""))-1))-LEN(SUBSTITUTE(SUBSTITUTE(SUBSTITUTE($G1311,"-"," ",LEN($G1311)-LEN(SUBSTITUTE($G1311,"-",""))),"-"," ",LEN($G1311)-LEN(SUBSTITUTE($G1311,"-",""))-1),".","")))=0,SUBSTITUTE(SUBSTITUTE($G1311,"-"," ",LEN($G1311)-LEN(SUBSTITUTE($G1311,"-",""))),"-"," ",LEN($G1311)-LEN(SUBSTITUTE($G1311,"-",""))-1),SUBSTITUTE(SUBSTITUTE(SUBSTITUTE($G1311,"-"," ",LEN($G1311)-LEN(SUBSTITUTE($G1311,"-",""))),"-"," ",LEN($G1311)-LEN(SUBSTITUTE($G1311,"-",""))-1),"."," ",(LEN(SUBSTITUTE(SUBSTITUTE($G1311,"-"," ",LEN($G1311)-LEN(SUBSTITUTE($G1311,"-",""))),"-"," ",LEN($G1311)-LEN(SUBSTITUTE($G1311,"-",""))-1))-LEN(SUBSTITUTE(SUBSTITUTE(SUBSTITUTE($G1311,"-"," ",LEN($G1311)-LEN(SUBSTITUTE($G1311,"-",""))),"-"," ",LEN($G1311)-LEN(SUBSTITUTE($G1311,"-",""))-1),".",""))))),$G1311)))</f>
        <v/>
      </c>
    </row>
    <row r="1312">
      <c r="A1312" s="58" t="n"/>
      <c r="B1312" s="58">
        <f>IF($H1312="","",LEFT($H1312,FIND(" ",$H1312&amp;" ")-1))</f>
        <v/>
      </c>
      <c r="C1312" s="58">
        <f>IF($H1312="","",IFERROR(MID($H1312&amp;" ",FIND("|",SUBSTITUTE($H1312&amp;" "," ","|",1))+1,FIND("|",SUBSTITUTE($H1312&amp;" "," ","|",2))-FIND("|",SUBSTITUTE($H1312&amp;" "," ","|",1))-1),""))</f>
        <v/>
      </c>
      <c r="D1312" s="58">
        <f>IF($H1312="","",IFERROR(MID($H1312&amp;" ",FIND("|",SUBSTITUTE($H1312&amp;" "," ","|",2))+1,FIND("|",SUBSTITUTE($H1312&amp;" "," ","|",3))-FIND("|",SUBSTITUTE($H1312&amp;" "," ","|",2))-1),""))</f>
        <v/>
      </c>
      <c r="E1312" s="58">
        <f>IF($H1312="","",IFERROR(MID($H1312&amp;" ",FIND("|",SUBSTITUTE($H1312&amp;" "," ","|",3))+1,FIND("|",SUBSTITUTE($H1312&amp;" "," ","|",4))-FIND("|",SUBSTITUTE($H1312&amp;" "," ","|",3))-1),""))</f>
        <v/>
      </c>
      <c r="F1312" s="59">
        <f>IF($H1312="","",IFERROR(VALUE(IFERROR(MID($H1312&amp;" ",FIND("|",SUBSTITUTE($H1312&amp;" "," ","|",4))+1,FIND("|",SUBSTITUTE($H1312&amp;" "," ","|",5))-FIND("|",SUBSTITUTE($H1312&amp;" "," ","|",4))-1),""))/86400+25569+9/24,""))</f>
        <v/>
      </c>
      <c r="G1312" s="58">
        <f>TRIM(SUBSTITUTE(SUBSTITUTE(SUBSTITUTE($A1312,CHAR(9)," ")," "," "),CHAR(13),""))</f>
        <v/>
      </c>
      <c r="H1312" s="58">
        <f>IF($G1312="","",IF(ISNUMBER(FIND(" ",$G1312)),$G1312,IFERROR(IF((LEN(SUBSTITUTE(SUBSTITUTE($G1312,"-"," ",LEN($G1312)-LEN(SUBSTITUTE($G1312,"-",""))),"-"," ",LEN($G1312)-LEN(SUBSTITUTE($G1312,"-",""))-1))-LEN(SUBSTITUTE(SUBSTITUTE(SUBSTITUTE($G1312,"-"," ",LEN($G1312)-LEN(SUBSTITUTE($G1312,"-",""))),"-"," ",LEN($G1312)-LEN(SUBSTITUTE($G1312,"-",""))-1),".","")))=0,SUBSTITUTE(SUBSTITUTE($G1312,"-"," ",LEN($G1312)-LEN(SUBSTITUTE($G1312,"-",""))),"-"," ",LEN($G1312)-LEN(SUBSTITUTE($G1312,"-",""))-1),SUBSTITUTE(SUBSTITUTE(SUBSTITUTE($G1312,"-"," ",LEN($G1312)-LEN(SUBSTITUTE($G1312,"-",""))),"-"," ",LEN($G1312)-LEN(SUBSTITUTE($G1312,"-",""))-1),"."," ",(LEN(SUBSTITUTE(SUBSTITUTE($G1312,"-"," ",LEN($G1312)-LEN(SUBSTITUTE($G1312,"-",""))),"-"," ",LEN($G1312)-LEN(SUBSTITUTE($G1312,"-",""))-1))-LEN(SUBSTITUTE(SUBSTITUTE(SUBSTITUTE($G1312,"-"," ",LEN($G1312)-LEN(SUBSTITUTE($G1312,"-",""))),"-"," ",LEN($G1312)-LEN(SUBSTITUTE($G1312,"-",""))-1),".",""))))),$G1312)))</f>
        <v/>
      </c>
    </row>
    <row r="1313">
      <c r="A1313" s="58" t="n"/>
      <c r="B1313" s="58">
        <f>IF($H1313="","",LEFT($H1313,FIND(" ",$H1313&amp;" ")-1))</f>
        <v/>
      </c>
      <c r="C1313" s="58">
        <f>IF($H1313="","",IFERROR(MID($H1313&amp;" ",FIND("|",SUBSTITUTE($H1313&amp;" "," ","|",1))+1,FIND("|",SUBSTITUTE($H1313&amp;" "," ","|",2))-FIND("|",SUBSTITUTE($H1313&amp;" "," ","|",1))-1),""))</f>
        <v/>
      </c>
      <c r="D1313" s="58">
        <f>IF($H1313="","",IFERROR(MID($H1313&amp;" ",FIND("|",SUBSTITUTE($H1313&amp;" "," ","|",2))+1,FIND("|",SUBSTITUTE($H1313&amp;" "," ","|",3))-FIND("|",SUBSTITUTE($H1313&amp;" "," ","|",2))-1),""))</f>
        <v/>
      </c>
      <c r="E1313" s="58">
        <f>IF($H1313="","",IFERROR(MID($H1313&amp;" ",FIND("|",SUBSTITUTE($H1313&amp;" "," ","|",3))+1,FIND("|",SUBSTITUTE($H1313&amp;" "," ","|",4))-FIND("|",SUBSTITUTE($H1313&amp;" "," ","|",3))-1),""))</f>
        <v/>
      </c>
      <c r="F1313" s="59">
        <f>IF($H1313="","",IFERROR(VALUE(IFERROR(MID($H1313&amp;" ",FIND("|",SUBSTITUTE($H1313&amp;" "," ","|",4))+1,FIND("|",SUBSTITUTE($H1313&amp;" "," ","|",5))-FIND("|",SUBSTITUTE($H1313&amp;" "," ","|",4))-1),""))/86400+25569+9/24,""))</f>
        <v/>
      </c>
      <c r="G1313" s="58">
        <f>TRIM(SUBSTITUTE(SUBSTITUTE(SUBSTITUTE($A1313,CHAR(9)," ")," "," "),CHAR(13),""))</f>
        <v/>
      </c>
      <c r="H1313" s="58">
        <f>IF($G1313="","",IF(ISNUMBER(FIND(" ",$G1313)),$G1313,IFERROR(IF((LEN(SUBSTITUTE(SUBSTITUTE($G1313,"-"," ",LEN($G1313)-LEN(SUBSTITUTE($G1313,"-",""))),"-"," ",LEN($G1313)-LEN(SUBSTITUTE($G1313,"-",""))-1))-LEN(SUBSTITUTE(SUBSTITUTE(SUBSTITUTE($G1313,"-"," ",LEN($G1313)-LEN(SUBSTITUTE($G1313,"-",""))),"-"," ",LEN($G1313)-LEN(SUBSTITUTE($G1313,"-",""))-1),".","")))=0,SUBSTITUTE(SUBSTITUTE($G1313,"-"," ",LEN($G1313)-LEN(SUBSTITUTE($G1313,"-",""))),"-"," ",LEN($G1313)-LEN(SUBSTITUTE($G1313,"-",""))-1),SUBSTITUTE(SUBSTITUTE(SUBSTITUTE($G1313,"-"," ",LEN($G1313)-LEN(SUBSTITUTE($G1313,"-",""))),"-"," ",LEN($G1313)-LEN(SUBSTITUTE($G1313,"-",""))-1),"."," ",(LEN(SUBSTITUTE(SUBSTITUTE($G1313,"-"," ",LEN($G1313)-LEN(SUBSTITUTE($G1313,"-",""))),"-"," ",LEN($G1313)-LEN(SUBSTITUTE($G1313,"-",""))-1))-LEN(SUBSTITUTE(SUBSTITUTE(SUBSTITUTE($G1313,"-"," ",LEN($G1313)-LEN(SUBSTITUTE($G1313,"-",""))),"-"," ",LEN($G1313)-LEN(SUBSTITUTE($G1313,"-",""))-1),".",""))))),$G1313)))</f>
        <v/>
      </c>
    </row>
    <row r="1314">
      <c r="A1314" s="58" t="n"/>
      <c r="B1314" s="58">
        <f>IF($H1314="","",LEFT($H1314,FIND(" ",$H1314&amp;" ")-1))</f>
        <v/>
      </c>
      <c r="C1314" s="58">
        <f>IF($H1314="","",IFERROR(MID($H1314&amp;" ",FIND("|",SUBSTITUTE($H1314&amp;" "," ","|",1))+1,FIND("|",SUBSTITUTE($H1314&amp;" "," ","|",2))-FIND("|",SUBSTITUTE($H1314&amp;" "," ","|",1))-1),""))</f>
        <v/>
      </c>
      <c r="D1314" s="58">
        <f>IF($H1314="","",IFERROR(MID($H1314&amp;" ",FIND("|",SUBSTITUTE($H1314&amp;" "," ","|",2))+1,FIND("|",SUBSTITUTE($H1314&amp;" "," ","|",3))-FIND("|",SUBSTITUTE($H1314&amp;" "," ","|",2))-1),""))</f>
        <v/>
      </c>
      <c r="E1314" s="58">
        <f>IF($H1314="","",IFERROR(MID($H1314&amp;" ",FIND("|",SUBSTITUTE($H1314&amp;" "," ","|",3))+1,FIND("|",SUBSTITUTE($H1314&amp;" "," ","|",4))-FIND("|",SUBSTITUTE($H1314&amp;" "," ","|",3))-1),""))</f>
        <v/>
      </c>
      <c r="F1314" s="59">
        <f>IF($H1314="","",IFERROR(VALUE(IFERROR(MID($H1314&amp;" ",FIND("|",SUBSTITUTE($H1314&amp;" "," ","|",4))+1,FIND("|",SUBSTITUTE($H1314&amp;" "," ","|",5))-FIND("|",SUBSTITUTE($H1314&amp;" "," ","|",4))-1),""))/86400+25569+9/24,""))</f>
        <v/>
      </c>
      <c r="G1314" s="58">
        <f>TRIM(SUBSTITUTE(SUBSTITUTE(SUBSTITUTE($A1314,CHAR(9)," ")," "," "),CHAR(13),""))</f>
        <v/>
      </c>
      <c r="H1314" s="58">
        <f>IF($G1314="","",IF(ISNUMBER(FIND(" ",$G1314)),$G1314,IFERROR(IF((LEN(SUBSTITUTE(SUBSTITUTE($G1314,"-"," ",LEN($G1314)-LEN(SUBSTITUTE($G1314,"-",""))),"-"," ",LEN($G1314)-LEN(SUBSTITUTE($G1314,"-",""))-1))-LEN(SUBSTITUTE(SUBSTITUTE(SUBSTITUTE($G1314,"-"," ",LEN($G1314)-LEN(SUBSTITUTE($G1314,"-",""))),"-"," ",LEN($G1314)-LEN(SUBSTITUTE($G1314,"-",""))-1),".","")))=0,SUBSTITUTE(SUBSTITUTE($G1314,"-"," ",LEN($G1314)-LEN(SUBSTITUTE($G1314,"-",""))),"-"," ",LEN($G1314)-LEN(SUBSTITUTE($G1314,"-",""))-1),SUBSTITUTE(SUBSTITUTE(SUBSTITUTE($G1314,"-"," ",LEN($G1314)-LEN(SUBSTITUTE($G1314,"-",""))),"-"," ",LEN($G1314)-LEN(SUBSTITUTE($G1314,"-",""))-1),"."," ",(LEN(SUBSTITUTE(SUBSTITUTE($G1314,"-"," ",LEN($G1314)-LEN(SUBSTITUTE($G1314,"-",""))),"-"," ",LEN($G1314)-LEN(SUBSTITUTE($G1314,"-",""))-1))-LEN(SUBSTITUTE(SUBSTITUTE(SUBSTITUTE($G1314,"-"," ",LEN($G1314)-LEN(SUBSTITUTE($G1314,"-",""))),"-"," ",LEN($G1314)-LEN(SUBSTITUTE($G1314,"-",""))-1),".",""))))),$G1314)))</f>
        <v/>
      </c>
    </row>
    <row r="1315">
      <c r="A1315" s="58" t="n"/>
      <c r="B1315" s="58">
        <f>IF($H1315="","",LEFT($H1315,FIND(" ",$H1315&amp;" ")-1))</f>
        <v/>
      </c>
      <c r="C1315" s="58">
        <f>IF($H1315="","",IFERROR(MID($H1315&amp;" ",FIND("|",SUBSTITUTE($H1315&amp;" "," ","|",1))+1,FIND("|",SUBSTITUTE($H1315&amp;" "," ","|",2))-FIND("|",SUBSTITUTE($H1315&amp;" "," ","|",1))-1),""))</f>
        <v/>
      </c>
      <c r="D1315" s="58">
        <f>IF($H1315="","",IFERROR(MID($H1315&amp;" ",FIND("|",SUBSTITUTE($H1315&amp;" "," ","|",2))+1,FIND("|",SUBSTITUTE($H1315&amp;" "," ","|",3))-FIND("|",SUBSTITUTE($H1315&amp;" "," ","|",2))-1),""))</f>
        <v/>
      </c>
      <c r="E1315" s="58">
        <f>IF($H1315="","",IFERROR(MID($H1315&amp;" ",FIND("|",SUBSTITUTE($H1315&amp;" "," ","|",3))+1,FIND("|",SUBSTITUTE($H1315&amp;" "," ","|",4))-FIND("|",SUBSTITUTE($H1315&amp;" "," ","|",3))-1),""))</f>
        <v/>
      </c>
      <c r="F1315" s="59">
        <f>IF($H1315="","",IFERROR(VALUE(IFERROR(MID($H1315&amp;" ",FIND("|",SUBSTITUTE($H1315&amp;" "," ","|",4))+1,FIND("|",SUBSTITUTE($H1315&amp;" "," ","|",5))-FIND("|",SUBSTITUTE($H1315&amp;" "," ","|",4))-1),""))/86400+25569+9/24,""))</f>
        <v/>
      </c>
      <c r="G1315" s="58">
        <f>TRIM(SUBSTITUTE(SUBSTITUTE(SUBSTITUTE($A1315,CHAR(9)," ")," "," "),CHAR(13),""))</f>
        <v/>
      </c>
      <c r="H1315" s="58">
        <f>IF($G1315="","",IF(ISNUMBER(FIND(" ",$G1315)),$G1315,IFERROR(IF((LEN(SUBSTITUTE(SUBSTITUTE($G1315,"-"," ",LEN($G1315)-LEN(SUBSTITUTE($G1315,"-",""))),"-"," ",LEN($G1315)-LEN(SUBSTITUTE($G1315,"-",""))-1))-LEN(SUBSTITUTE(SUBSTITUTE(SUBSTITUTE($G1315,"-"," ",LEN($G1315)-LEN(SUBSTITUTE($G1315,"-",""))),"-"," ",LEN($G1315)-LEN(SUBSTITUTE($G1315,"-",""))-1),".","")))=0,SUBSTITUTE(SUBSTITUTE($G1315,"-"," ",LEN($G1315)-LEN(SUBSTITUTE($G1315,"-",""))),"-"," ",LEN($G1315)-LEN(SUBSTITUTE($G1315,"-",""))-1),SUBSTITUTE(SUBSTITUTE(SUBSTITUTE($G1315,"-"," ",LEN($G1315)-LEN(SUBSTITUTE($G1315,"-",""))),"-"," ",LEN($G1315)-LEN(SUBSTITUTE($G1315,"-",""))-1),"."," ",(LEN(SUBSTITUTE(SUBSTITUTE($G1315,"-"," ",LEN($G1315)-LEN(SUBSTITUTE($G1315,"-",""))),"-"," ",LEN($G1315)-LEN(SUBSTITUTE($G1315,"-",""))-1))-LEN(SUBSTITUTE(SUBSTITUTE(SUBSTITUTE($G1315,"-"," ",LEN($G1315)-LEN(SUBSTITUTE($G1315,"-",""))),"-"," ",LEN($G1315)-LEN(SUBSTITUTE($G1315,"-",""))-1),".",""))))),$G1315)))</f>
        <v/>
      </c>
    </row>
    <row r="1316">
      <c r="A1316" s="58" t="n"/>
      <c r="B1316" s="58">
        <f>IF($H1316="","",LEFT($H1316,FIND(" ",$H1316&amp;" ")-1))</f>
        <v/>
      </c>
      <c r="C1316" s="58">
        <f>IF($H1316="","",IFERROR(MID($H1316&amp;" ",FIND("|",SUBSTITUTE($H1316&amp;" "," ","|",1))+1,FIND("|",SUBSTITUTE($H1316&amp;" "," ","|",2))-FIND("|",SUBSTITUTE($H1316&amp;" "," ","|",1))-1),""))</f>
        <v/>
      </c>
      <c r="D1316" s="58">
        <f>IF($H1316="","",IFERROR(MID($H1316&amp;" ",FIND("|",SUBSTITUTE($H1316&amp;" "," ","|",2))+1,FIND("|",SUBSTITUTE($H1316&amp;" "," ","|",3))-FIND("|",SUBSTITUTE($H1316&amp;" "," ","|",2))-1),""))</f>
        <v/>
      </c>
      <c r="E1316" s="58">
        <f>IF($H1316="","",IFERROR(MID($H1316&amp;" ",FIND("|",SUBSTITUTE($H1316&amp;" "," ","|",3))+1,FIND("|",SUBSTITUTE($H1316&amp;" "," ","|",4))-FIND("|",SUBSTITUTE($H1316&amp;" "," ","|",3))-1),""))</f>
        <v/>
      </c>
      <c r="F1316" s="59">
        <f>IF($H1316="","",IFERROR(VALUE(IFERROR(MID($H1316&amp;" ",FIND("|",SUBSTITUTE($H1316&amp;" "," ","|",4))+1,FIND("|",SUBSTITUTE($H1316&amp;" "," ","|",5))-FIND("|",SUBSTITUTE($H1316&amp;" "," ","|",4))-1),""))/86400+25569+9/24,""))</f>
        <v/>
      </c>
      <c r="G1316" s="58">
        <f>TRIM(SUBSTITUTE(SUBSTITUTE(SUBSTITUTE($A1316,CHAR(9)," ")," "," "),CHAR(13),""))</f>
        <v/>
      </c>
      <c r="H1316" s="58">
        <f>IF($G1316="","",IF(ISNUMBER(FIND(" ",$G1316)),$G1316,IFERROR(IF((LEN(SUBSTITUTE(SUBSTITUTE($G1316,"-"," ",LEN($G1316)-LEN(SUBSTITUTE($G1316,"-",""))),"-"," ",LEN($G1316)-LEN(SUBSTITUTE($G1316,"-",""))-1))-LEN(SUBSTITUTE(SUBSTITUTE(SUBSTITUTE($G1316,"-"," ",LEN($G1316)-LEN(SUBSTITUTE($G1316,"-",""))),"-"," ",LEN($G1316)-LEN(SUBSTITUTE($G1316,"-",""))-1),".","")))=0,SUBSTITUTE(SUBSTITUTE($G1316,"-"," ",LEN($G1316)-LEN(SUBSTITUTE($G1316,"-",""))),"-"," ",LEN($G1316)-LEN(SUBSTITUTE($G1316,"-",""))-1),SUBSTITUTE(SUBSTITUTE(SUBSTITUTE($G1316,"-"," ",LEN($G1316)-LEN(SUBSTITUTE($G1316,"-",""))),"-"," ",LEN($G1316)-LEN(SUBSTITUTE($G1316,"-",""))-1),"."," ",(LEN(SUBSTITUTE(SUBSTITUTE($G1316,"-"," ",LEN($G1316)-LEN(SUBSTITUTE($G1316,"-",""))),"-"," ",LEN($G1316)-LEN(SUBSTITUTE($G1316,"-",""))-1))-LEN(SUBSTITUTE(SUBSTITUTE(SUBSTITUTE($G1316,"-"," ",LEN($G1316)-LEN(SUBSTITUTE($G1316,"-",""))),"-"," ",LEN($G1316)-LEN(SUBSTITUTE($G1316,"-",""))-1),".",""))))),$G1316)))</f>
        <v/>
      </c>
    </row>
    <row r="1317">
      <c r="A1317" s="58" t="n"/>
      <c r="B1317" s="58">
        <f>IF($H1317="","",LEFT($H1317,FIND(" ",$H1317&amp;" ")-1))</f>
        <v/>
      </c>
      <c r="C1317" s="58">
        <f>IF($H1317="","",IFERROR(MID($H1317&amp;" ",FIND("|",SUBSTITUTE($H1317&amp;" "," ","|",1))+1,FIND("|",SUBSTITUTE($H1317&amp;" "," ","|",2))-FIND("|",SUBSTITUTE($H1317&amp;" "," ","|",1))-1),""))</f>
        <v/>
      </c>
      <c r="D1317" s="58">
        <f>IF($H1317="","",IFERROR(MID($H1317&amp;" ",FIND("|",SUBSTITUTE($H1317&amp;" "," ","|",2))+1,FIND("|",SUBSTITUTE($H1317&amp;" "," ","|",3))-FIND("|",SUBSTITUTE($H1317&amp;" "," ","|",2))-1),""))</f>
        <v/>
      </c>
      <c r="E1317" s="58">
        <f>IF($H1317="","",IFERROR(MID($H1317&amp;" ",FIND("|",SUBSTITUTE($H1317&amp;" "," ","|",3))+1,FIND("|",SUBSTITUTE($H1317&amp;" "," ","|",4))-FIND("|",SUBSTITUTE($H1317&amp;" "," ","|",3))-1),""))</f>
        <v/>
      </c>
      <c r="F1317" s="59">
        <f>IF($H1317="","",IFERROR(VALUE(IFERROR(MID($H1317&amp;" ",FIND("|",SUBSTITUTE($H1317&amp;" "," ","|",4))+1,FIND("|",SUBSTITUTE($H1317&amp;" "," ","|",5))-FIND("|",SUBSTITUTE($H1317&amp;" "," ","|",4))-1),""))/86400+25569+9/24,""))</f>
        <v/>
      </c>
      <c r="G1317" s="58">
        <f>TRIM(SUBSTITUTE(SUBSTITUTE(SUBSTITUTE($A1317,CHAR(9)," ")," "," "),CHAR(13),""))</f>
        <v/>
      </c>
      <c r="H1317" s="58">
        <f>IF($G1317="","",IF(ISNUMBER(FIND(" ",$G1317)),$G1317,IFERROR(IF((LEN(SUBSTITUTE(SUBSTITUTE($G1317,"-"," ",LEN($G1317)-LEN(SUBSTITUTE($G1317,"-",""))),"-"," ",LEN($G1317)-LEN(SUBSTITUTE($G1317,"-",""))-1))-LEN(SUBSTITUTE(SUBSTITUTE(SUBSTITUTE($G1317,"-"," ",LEN($G1317)-LEN(SUBSTITUTE($G1317,"-",""))),"-"," ",LEN($G1317)-LEN(SUBSTITUTE($G1317,"-",""))-1),".","")))=0,SUBSTITUTE(SUBSTITUTE($G1317,"-"," ",LEN($G1317)-LEN(SUBSTITUTE($G1317,"-",""))),"-"," ",LEN($G1317)-LEN(SUBSTITUTE($G1317,"-",""))-1),SUBSTITUTE(SUBSTITUTE(SUBSTITUTE($G1317,"-"," ",LEN($G1317)-LEN(SUBSTITUTE($G1317,"-",""))),"-"," ",LEN($G1317)-LEN(SUBSTITUTE($G1317,"-",""))-1),"."," ",(LEN(SUBSTITUTE(SUBSTITUTE($G1317,"-"," ",LEN($G1317)-LEN(SUBSTITUTE($G1317,"-",""))),"-"," ",LEN($G1317)-LEN(SUBSTITUTE($G1317,"-",""))-1))-LEN(SUBSTITUTE(SUBSTITUTE(SUBSTITUTE($G1317,"-"," ",LEN($G1317)-LEN(SUBSTITUTE($G1317,"-",""))),"-"," ",LEN($G1317)-LEN(SUBSTITUTE($G1317,"-",""))-1),".",""))))),$G1317)))</f>
        <v/>
      </c>
    </row>
    <row r="1318">
      <c r="A1318" s="58" t="n"/>
      <c r="B1318" s="58">
        <f>IF($H1318="","",LEFT($H1318,FIND(" ",$H1318&amp;" ")-1))</f>
        <v/>
      </c>
      <c r="C1318" s="58">
        <f>IF($H1318="","",IFERROR(MID($H1318&amp;" ",FIND("|",SUBSTITUTE($H1318&amp;" "," ","|",1))+1,FIND("|",SUBSTITUTE($H1318&amp;" "," ","|",2))-FIND("|",SUBSTITUTE($H1318&amp;" "," ","|",1))-1),""))</f>
        <v/>
      </c>
      <c r="D1318" s="58">
        <f>IF($H1318="","",IFERROR(MID($H1318&amp;" ",FIND("|",SUBSTITUTE($H1318&amp;" "," ","|",2))+1,FIND("|",SUBSTITUTE($H1318&amp;" "," ","|",3))-FIND("|",SUBSTITUTE($H1318&amp;" "," ","|",2))-1),""))</f>
        <v/>
      </c>
      <c r="E1318" s="58">
        <f>IF($H1318="","",IFERROR(MID($H1318&amp;" ",FIND("|",SUBSTITUTE($H1318&amp;" "," ","|",3))+1,FIND("|",SUBSTITUTE($H1318&amp;" "," ","|",4))-FIND("|",SUBSTITUTE($H1318&amp;" "," ","|",3))-1),""))</f>
        <v/>
      </c>
      <c r="F1318" s="59">
        <f>IF($H1318="","",IFERROR(VALUE(IFERROR(MID($H1318&amp;" ",FIND("|",SUBSTITUTE($H1318&amp;" "," ","|",4))+1,FIND("|",SUBSTITUTE($H1318&amp;" "," ","|",5))-FIND("|",SUBSTITUTE($H1318&amp;" "," ","|",4))-1),""))/86400+25569+9/24,""))</f>
        <v/>
      </c>
      <c r="G1318" s="58">
        <f>TRIM(SUBSTITUTE(SUBSTITUTE(SUBSTITUTE($A1318,CHAR(9)," ")," "," "),CHAR(13),""))</f>
        <v/>
      </c>
      <c r="H1318" s="58">
        <f>IF($G1318="","",IF(ISNUMBER(FIND(" ",$G1318)),$G1318,IFERROR(IF((LEN(SUBSTITUTE(SUBSTITUTE($G1318,"-"," ",LEN($G1318)-LEN(SUBSTITUTE($G1318,"-",""))),"-"," ",LEN($G1318)-LEN(SUBSTITUTE($G1318,"-",""))-1))-LEN(SUBSTITUTE(SUBSTITUTE(SUBSTITUTE($G1318,"-"," ",LEN($G1318)-LEN(SUBSTITUTE($G1318,"-",""))),"-"," ",LEN($G1318)-LEN(SUBSTITUTE($G1318,"-",""))-1),".","")))=0,SUBSTITUTE(SUBSTITUTE($G1318,"-"," ",LEN($G1318)-LEN(SUBSTITUTE($G1318,"-",""))),"-"," ",LEN($G1318)-LEN(SUBSTITUTE($G1318,"-",""))-1),SUBSTITUTE(SUBSTITUTE(SUBSTITUTE($G1318,"-"," ",LEN($G1318)-LEN(SUBSTITUTE($G1318,"-",""))),"-"," ",LEN($G1318)-LEN(SUBSTITUTE($G1318,"-",""))-1),"."," ",(LEN(SUBSTITUTE(SUBSTITUTE($G1318,"-"," ",LEN($G1318)-LEN(SUBSTITUTE($G1318,"-",""))),"-"," ",LEN($G1318)-LEN(SUBSTITUTE($G1318,"-",""))-1))-LEN(SUBSTITUTE(SUBSTITUTE(SUBSTITUTE($G1318,"-"," ",LEN($G1318)-LEN(SUBSTITUTE($G1318,"-",""))),"-"," ",LEN($G1318)-LEN(SUBSTITUTE($G1318,"-",""))-1),".",""))))),$G1318)))</f>
        <v/>
      </c>
    </row>
    <row r="1319">
      <c r="A1319" s="58" t="n"/>
      <c r="B1319" s="58">
        <f>IF($H1319="","",LEFT($H1319,FIND(" ",$H1319&amp;" ")-1))</f>
        <v/>
      </c>
      <c r="C1319" s="58">
        <f>IF($H1319="","",IFERROR(MID($H1319&amp;" ",FIND("|",SUBSTITUTE($H1319&amp;" "," ","|",1))+1,FIND("|",SUBSTITUTE($H1319&amp;" "," ","|",2))-FIND("|",SUBSTITUTE($H1319&amp;" "," ","|",1))-1),""))</f>
        <v/>
      </c>
      <c r="D1319" s="58">
        <f>IF($H1319="","",IFERROR(MID($H1319&amp;" ",FIND("|",SUBSTITUTE($H1319&amp;" "," ","|",2))+1,FIND("|",SUBSTITUTE($H1319&amp;" "," ","|",3))-FIND("|",SUBSTITUTE($H1319&amp;" "," ","|",2))-1),""))</f>
        <v/>
      </c>
      <c r="E1319" s="58">
        <f>IF($H1319="","",IFERROR(MID($H1319&amp;" ",FIND("|",SUBSTITUTE($H1319&amp;" "," ","|",3))+1,FIND("|",SUBSTITUTE($H1319&amp;" "," ","|",4))-FIND("|",SUBSTITUTE($H1319&amp;" "," ","|",3))-1),""))</f>
        <v/>
      </c>
      <c r="F1319" s="59">
        <f>IF($H1319="","",IFERROR(VALUE(IFERROR(MID($H1319&amp;" ",FIND("|",SUBSTITUTE($H1319&amp;" "," ","|",4))+1,FIND("|",SUBSTITUTE($H1319&amp;" "," ","|",5))-FIND("|",SUBSTITUTE($H1319&amp;" "," ","|",4))-1),""))/86400+25569+9/24,""))</f>
        <v/>
      </c>
      <c r="G1319" s="58">
        <f>TRIM(SUBSTITUTE(SUBSTITUTE(SUBSTITUTE($A1319,CHAR(9)," ")," "," "),CHAR(13),""))</f>
        <v/>
      </c>
      <c r="H1319" s="58">
        <f>IF($G1319="","",IF(ISNUMBER(FIND(" ",$G1319)),$G1319,IFERROR(IF((LEN(SUBSTITUTE(SUBSTITUTE($G1319,"-"," ",LEN($G1319)-LEN(SUBSTITUTE($G1319,"-",""))),"-"," ",LEN($G1319)-LEN(SUBSTITUTE($G1319,"-",""))-1))-LEN(SUBSTITUTE(SUBSTITUTE(SUBSTITUTE($G1319,"-"," ",LEN($G1319)-LEN(SUBSTITUTE($G1319,"-",""))),"-"," ",LEN($G1319)-LEN(SUBSTITUTE($G1319,"-",""))-1),".","")))=0,SUBSTITUTE(SUBSTITUTE($G1319,"-"," ",LEN($G1319)-LEN(SUBSTITUTE($G1319,"-",""))),"-"," ",LEN($G1319)-LEN(SUBSTITUTE($G1319,"-",""))-1),SUBSTITUTE(SUBSTITUTE(SUBSTITUTE($G1319,"-"," ",LEN($G1319)-LEN(SUBSTITUTE($G1319,"-",""))),"-"," ",LEN($G1319)-LEN(SUBSTITUTE($G1319,"-",""))-1),"."," ",(LEN(SUBSTITUTE(SUBSTITUTE($G1319,"-"," ",LEN($G1319)-LEN(SUBSTITUTE($G1319,"-",""))),"-"," ",LEN($G1319)-LEN(SUBSTITUTE($G1319,"-",""))-1))-LEN(SUBSTITUTE(SUBSTITUTE(SUBSTITUTE($G1319,"-"," ",LEN($G1319)-LEN(SUBSTITUTE($G1319,"-",""))),"-"," ",LEN($G1319)-LEN(SUBSTITUTE($G1319,"-",""))-1),".",""))))),$G1319)))</f>
        <v/>
      </c>
    </row>
    <row r="1320">
      <c r="A1320" s="58" t="n"/>
      <c r="B1320" s="58">
        <f>IF($H1320="","",LEFT($H1320,FIND(" ",$H1320&amp;" ")-1))</f>
        <v/>
      </c>
      <c r="C1320" s="58">
        <f>IF($H1320="","",IFERROR(MID($H1320&amp;" ",FIND("|",SUBSTITUTE($H1320&amp;" "," ","|",1))+1,FIND("|",SUBSTITUTE($H1320&amp;" "," ","|",2))-FIND("|",SUBSTITUTE($H1320&amp;" "," ","|",1))-1),""))</f>
        <v/>
      </c>
      <c r="D1320" s="58">
        <f>IF($H1320="","",IFERROR(MID($H1320&amp;" ",FIND("|",SUBSTITUTE($H1320&amp;" "," ","|",2))+1,FIND("|",SUBSTITUTE($H1320&amp;" "," ","|",3))-FIND("|",SUBSTITUTE($H1320&amp;" "," ","|",2))-1),""))</f>
        <v/>
      </c>
      <c r="E1320" s="58">
        <f>IF($H1320="","",IFERROR(MID($H1320&amp;" ",FIND("|",SUBSTITUTE($H1320&amp;" "," ","|",3))+1,FIND("|",SUBSTITUTE($H1320&amp;" "," ","|",4))-FIND("|",SUBSTITUTE($H1320&amp;" "," ","|",3))-1),""))</f>
        <v/>
      </c>
      <c r="F1320" s="59">
        <f>IF($H1320="","",IFERROR(VALUE(IFERROR(MID($H1320&amp;" ",FIND("|",SUBSTITUTE($H1320&amp;" "," ","|",4))+1,FIND("|",SUBSTITUTE($H1320&amp;" "," ","|",5))-FIND("|",SUBSTITUTE($H1320&amp;" "," ","|",4))-1),""))/86400+25569+9/24,""))</f>
        <v/>
      </c>
      <c r="G1320" s="58">
        <f>TRIM(SUBSTITUTE(SUBSTITUTE(SUBSTITUTE($A1320,CHAR(9)," ")," "," "),CHAR(13),""))</f>
        <v/>
      </c>
      <c r="H1320" s="58">
        <f>IF($G1320="","",IF(ISNUMBER(FIND(" ",$G1320)),$G1320,IFERROR(IF((LEN(SUBSTITUTE(SUBSTITUTE($G1320,"-"," ",LEN($G1320)-LEN(SUBSTITUTE($G1320,"-",""))),"-"," ",LEN($G1320)-LEN(SUBSTITUTE($G1320,"-",""))-1))-LEN(SUBSTITUTE(SUBSTITUTE(SUBSTITUTE($G1320,"-"," ",LEN($G1320)-LEN(SUBSTITUTE($G1320,"-",""))),"-"," ",LEN($G1320)-LEN(SUBSTITUTE($G1320,"-",""))-1),".","")))=0,SUBSTITUTE(SUBSTITUTE($G1320,"-"," ",LEN($G1320)-LEN(SUBSTITUTE($G1320,"-",""))),"-"," ",LEN($G1320)-LEN(SUBSTITUTE($G1320,"-",""))-1),SUBSTITUTE(SUBSTITUTE(SUBSTITUTE($G1320,"-"," ",LEN($G1320)-LEN(SUBSTITUTE($G1320,"-",""))),"-"," ",LEN($G1320)-LEN(SUBSTITUTE($G1320,"-",""))-1),"."," ",(LEN(SUBSTITUTE(SUBSTITUTE($G1320,"-"," ",LEN($G1320)-LEN(SUBSTITUTE($G1320,"-",""))),"-"," ",LEN($G1320)-LEN(SUBSTITUTE($G1320,"-",""))-1))-LEN(SUBSTITUTE(SUBSTITUTE(SUBSTITUTE($G1320,"-"," ",LEN($G1320)-LEN(SUBSTITUTE($G1320,"-",""))),"-"," ",LEN($G1320)-LEN(SUBSTITUTE($G1320,"-",""))-1),".",""))))),$G1320)))</f>
        <v/>
      </c>
    </row>
    <row r="1321">
      <c r="A1321" s="58" t="n"/>
      <c r="B1321" s="58">
        <f>IF($H1321="","",LEFT($H1321,FIND(" ",$H1321&amp;" ")-1))</f>
        <v/>
      </c>
      <c r="C1321" s="58">
        <f>IF($H1321="","",IFERROR(MID($H1321&amp;" ",FIND("|",SUBSTITUTE($H1321&amp;" "," ","|",1))+1,FIND("|",SUBSTITUTE($H1321&amp;" "," ","|",2))-FIND("|",SUBSTITUTE($H1321&amp;" "," ","|",1))-1),""))</f>
        <v/>
      </c>
      <c r="D1321" s="58">
        <f>IF($H1321="","",IFERROR(MID($H1321&amp;" ",FIND("|",SUBSTITUTE($H1321&amp;" "," ","|",2))+1,FIND("|",SUBSTITUTE($H1321&amp;" "," ","|",3))-FIND("|",SUBSTITUTE($H1321&amp;" "," ","|",2))-1),""))</f>
        <v/>
      </c>
      <c r="E1321" s="58">
        <f>IF($H1321="","",IFERROR(MID($H1321&amp;" ",FIND("|",SUBSTITUTE($H1321&amp;" "," ","|",3))+1,FIND("|",SUBSTITUTE($H1321&amp;" "," ","|",4))-FIND("|",SUBSTITUTE($H1321&amp;" "," ","|",3))-1),""))</f>
        <v/>
      </c>
      <c r="F1321" s="59">
        <f>IF($H1321="","",IFERROR(VALUE(IFERROR(MID($H1321&amp;" ",FIND("|",SUBSTITUTE($H1321&amp;" "," ","|",4))+1,FIND("|",SUBSTITUTE($H1321&amp;" "," ","|",5))-FIND("|",SUBSTITUTE($H1321&amp;" "," ","|",4))-1),""))/86400+25569+9/24,""))</f>
        <v/>
      </c>
      <c r="G1321" s="58">
        <f>TRIM(SUBSTITUTE(SUBSTITUTE(SUBSTITUTE($A1321,CHAR(9)," ")," "," "),CHAR(13),""))</f>
        <v/>
      </c>
      <c r="H1321" s="58">
        <f>IF($G1321="","",IF(ISNUMBER(FIND(" ",$G1321)),$G1321,IFERROR(IF((LEN(SUBSTITUTE(SUBSTITUTE($G1321,"-"," ",LEN($G1321)-LEN(SUBSTITUTE($G1321,"-",""))),"-"," ",LEN($G1321)-LEN(SUBSTITUTE($G1321,"-",""))-1))-LEN(SUBSTITUTE(SUBSTITUTE(SUBSTITUTE($G1321,"-"," ",LEN($G1321)-LEN(SUBSTITUTE($G1321,"-",""))),"-"," ",LEN($G1321)-LEN(SUBSTITUTE($G1321,"-",""))-1),".","")))=0,SUBSTITUTE(SUBSTITUTE($G1321,"-"," ",LEN($G1321)-LEN(SUBSTITUTE($G1321,"-",""))),"-"," ",LEN($G1321)-LEN(SUBSTITUTE($G1321,"-",""))-1),SUBSTITUTE(SUBSTITUTE(SUBSTITUTE($G1321,"-"," ",LEN($G1321)-LEN(SUBSTITUTE($G1321,"-",""))),"-"," ",LEN($G1321)-LEN(SUBSTITUTE($G1321,"-",""))-1),"."," ",(LEN(SUBSTITUTE(SUBSTITUTE($G1321,"-"," ",LEN($G1321)-LEN(SUBSTITUTE($G1321,"-",""))),"-"," ",LEN($G1321)-LEN(SUBSTITUTE($G1321,"-",""))-1))-LEN(SUBSTITUTE(SUBSTITUTE(SUBSTITUTE($G1321,"-"," ",LEN($G1321)-LEN(SUBSTITUTE($G1321,"-",""))),"-"," ",LEN($G1321)-LEN(SUBSTITUTE($G1321,"-",""))-1),".",""))))),$G1321)))</f>
        <v/>
      </c>
    </row>
    <row r="1322">
      <c r="A1322" s="58" t="n"/>
      <c r="B1322" s="58">
        <f>IF($H1322="","",LEFT($H1322,FIND(" ",$H1322&amp;" ")-1))</f>
        <v/>
      </c>
      <c r="C1322" s="58">
        <f>IF($H1322="","",IFERROR(MID($H1322&amp;" ",FIND("|",SUBSTITUTE($H1322&amp;" "," ","|",1))+1,FIND("|",SUBSTITUTE($H1322&amp;" "," ","|",2))-FIND("|",SUBSTITUTE($H1322&amp;" "," ","|",1))-1),""))</f>
        <v/>
      </c>
      <c r="D1322" s="58">
        <f>IF($H1322="","",IFERROR(MID($H1322&amp;" ",FIND("|",SUBSTITUTE($H1322&amp;" "," ","|",2))+1,FIND("|",SUBSTITUTE($H1322&amp;" "," ","|",3))-FIND("|",SUBSTITUTE($H1322&amp;" "," ","|",2))-1),""))</f>
        <v/>
      </c>
      <c r="E1322" s="58">
        <f>IF($H1322="","",IFERROR(MID($H1322&amp;" ",FIND("|",SUBSTITUTE($H1322&amp;" "," ","|",3))+1,FIND("|",SUBSTITUTE($H1322&amp;" "," ","|",4))-FIND("|",SUBSTITUTE($H1322&amp;" "," ","|",3))-1),""))</f>
        <v/>
      </c>
      <c r="F1322" s="59">
        <f>IF($H1322="","",IFERROR(VALUE(IFERROR(MID($H1322&amp;" ",FIND("|",SUBSTITUTE($H1322&amp;" "," ","|",4))+1,FIND("|",SUBSTITUTE($H1322&amp;" "," ","|",5))-FIND("|",SUBSTITUTE($H1322&amp;" "," ","|",4))-1),""))/86400+25569+9/24,""))</f>
        <v/>
      </c>
      <c r="G1322" s="58">
        <f>TRIM(SUBSTITUTE(SUBSTITUTE(SUBSTITUTE($A1322,CHAR(9)," ")," "," "),CHAR(13),""))</f>
        <v/>
      </c>
      <c r="H1322" s="58">
        <f>IF($G1322="","",IF(ISNUMBER(FIND(" ",$G1322)),$G1322,IFERROR(IF((LEN(SUBSTITUTE(SUBSTITUTE($G1322,"-"," ",LEN($G1322)-LEN(SUBSTITUTE($G1322,"-",""))),"-"," ",LEN($G1322)-LEN(SUBSTITUTE($G1322,"-",""))-1))-LEN(SUBSTITUTE(SUBSTITUTE(SUBSTITUTE($G1322,"-"," ",LEN($G1322)-LEN(SUBSTITUTE($G1322,"-",""))),"-"," ",LEN($G1322)-LEN(SUBSTITUTE($G1322,"-",""))-1),".","")))=0,SUBSTITUTE(SUBSTITUTE($G1322,"-"," ",LEN($G1322)-LEN(SUBSTITUTE($G1322,"-",""))),"-"," ",LEN($G1322)-LEN(SUBSTITUTE($G1322,"-",""))-1),SUBSTITUTE(SUBSTITUTE(SUBSTITUTE($G1322,"-"," ",LEN($G1322)-LEN(SUBSTITUTE($G1322,"-",""))),"-"," ",LEN($G1322)-LEN(SUBSTITUTE($G1322,"-",""))-1),"."," ",(LEN(SUBSTITUTE(SUBSTITUTE($G1322,"-"," ",LEN($G1322)-LEN(SUBSTITUTE($G1322,"-",""))),"-"," ",LEN($G1322)-LEN(SUBSTITUTE($G1322,"-",""))-1))-LEN(SUBSTITUTE(SUBSTITUTE(SUBSTITUTE($G1322,"-"," ",LEN($G1322)-LEN(SUBSTITUTE($G1322,"-",""))),"-"," ",LEN($G1322)-LEN(SUBSTITUTE($G1322,"-",""))-1),".",""))))),$G1322)))</f>
        <v/>
      </c>
    </row>
    <row r="1323">
      <c r="A1323" s="58" t="n"/>
      <c r="B1323" s="58">
        <f>IF($H1323="","",LEFT($H1323,FIND(" ",$H1323&amp;" ")-1))</f>
        <v/>
      </c>
      <c r="C1323" s="58">
        <f>IF($H1323="","",IFERROR(MID($H1323&amp;" ",FIND("|",SUBSTITUTE($H1323&amp;" "," ","|",1))+1,FIND("|",SUBSTITUTE($H1323&amp;" "," ","|",2))-FIND("|",SUBSTITUTE($H1323&amp;" "," ","|",1))-1),""))</f>
        <v/>
      </c>
      <c r="D1323" s="58">
        <f>IF($H1323="","",IFERROR(MID($H1323&amp;" ",FIND("|",SUBSTITUTE($H1323&amp;" "," ","|",2))+1,FIND("|",SUBSTITUTE($H1323&amp;" "," ","|",3))-FIND("|",SUBSTITUTE($H1323&amp;" "," ","|",2))-1),""))</f>
        <v/>
      </c>
      <c r="E1323" s="58">
        <f>IF($H1323="","",IFERROR(MID($H1323&amp;" ",FIND("|",SUBSTITUTE($H1323&amp;" "," ","|",3))+1,FIND("|",SUBSTITUTE($H1323&amp;" "," ","|",4))-FIND("|",SUBSTITUTE($H1323&amp;" "," ","|",3))-1),""))</f>
        <v/>
      </c>
      <c r="F1323" s="59">
        <f>IF($H1323="","",IFERROR(VALUE(IFERROR(MID($H1323&amp;" ",FIND("|",SUBSTITUTE($H1323&amp;" "," ","|",4))+1,FIND("|",SUBSTITUTE($H1323&amp;" "," ","|",5))-FIND("|",SUBSTITUTE($H1323&amp;" "," ","|",4))-1),""))/86400+25569+9/24,""))</f>
        <v/>
      </c>
      <c r="G1323" s="58">
        <f>TRIM(SUBSTITUTE(SUBSTITUTE(SUBSTITUTE($A1323,CHAR(9)," ")," "," "),CHAR(13),""))</f>
        <v/>
      </c>
      <c r="H1323" s="58">
        <f>IF($G1323="","",IF(ISNUMBER(FIND(" ",$G1323)),$G1323,IFERROR(IF((LEN(SUBSTITUTE(SUBSTITUTE($G1323,"-"," ",LEN($G1323)-LEN(SUBSTITUTE($G1323,"-",""))),"-"," ",LEN($G1323)-LEN(SUBSTITUTE($G1323,"-",""))-1))-LEN(SUBSTITUTE(SUBSTITUTE(SUBSTITUTE($G1323,"-"," ",LEN($G1323)-LEN(SUBSTITUTE($G1323,"-",""))),"-"," ",LEN($G1323)-LEN(SUBSTITUTE($G1323,"-",""))-1),".","")))=0,SUBSTITUTE(SUBSTITUTE($G1323,"-"," ",LEN($G1323)-LEN(SUBSTITUTE($G1323,"-",""))),"-"," ",LEN($G1323)-LEN(SUBSTITUTE($G1323,"-",""))-1),SUBSTITUTE(SUBSTITUTE(SUBSTITUTE($G1323,"-"," ",LEN($G1323)-LEN(SUBSTITUTE($G1323,"-",""))),"-"," ",LEN($G1323)-LEN(SUBSTITUTE($G1323,"-",""))-1),"."," ",(LEN(SUBSTITUTE(SUBSTITUTE($G1323,"-"," ",LEN($G1323)-LEN(SUBSTITUTE($G1323,"-",""))),"-"," ",LEN($G1323)-LEN(SUBSTITUTE($G1323,"-",""))-1))-LEN(SUBSTITUTE(SUBSTITUTE(SUBSTITUTE($G1323,"-"," ",LEN($G1323)-LEN(SUBSTITUTE($G1323,"-",""))),"-"," ",LEN($G1323)-LEN(SUBSTITUTE($G1323,"-",""))-1),".",""))))),$G1323)))</f>
        <v/>
      </c>
    </row>
    <row r="1324">
      <c r="A1324" s="58" t="n"/>
      <c r="B1324" s="58">
        <f>IF($H1324="","",LEFT($H1324,FIND(" ",$H1324&amp;" ")-1))</f>
        <v/>
      </c>
      <c r="C1324" s="58">
        <f>IF($H1324="","",IFERROR(MID($H1324&amp;" ",FIND("|",SUBSTITUTE($H1324&amp;" "," ","|",1))+1,FIND("|",SUBSTITUTE($H1324&amp;" "," ","|",2))-FIND("|",SUBSTITUTE($H1324&amp;" "," ","|",1))-1),""))</f>
        <v/>
      </c>
      <c r="D1324" s="58">
        <f>IF($H1324="","",IFERROR(MID($H1324&amp;" ",FIND("|",SUBSTITUTE($H1324&amp;" "," ","|",2))+1,FIND("|",SUBSTITUTE($H1324&amp;" "," ","|",3))-FIND("|",SUBSTITUTE($H1324&amp;" "," ","|",2))-1),""))</f>
        <v/>
      </c>
      <c r="E1324" s="58">
        <f>IF($H1324="","",IFERROR(MID($H1324&amp;" ",FIND("|",SUBSTITUTE($H1324&amp;" "," ","|",3))+1,FIND("|",SUBSTITUTE($H1324&amp;" "," ","|",4))-FIND("|",SUBSTITUTE($H1324&amp;" "," ","|",3))-1),""))</f>
        <v/>
      </c>
      <c r="F1324" s="59">
        <f>IF($H1324="","",IFERROR(VALUE(IFERROR(MID($H1324&amp;" ",FIND("|",SUBSTITUTE($H1324&amp;" "," ","|",4))+1,FIND("|",SUBSTITUTE($H1324&amp;" "," ","|",5))-FIND("|",SUBSTITUTE($H1324&amp;" "," ","|",4))-1),""))/86400+25569+9/24,""))</f>
        <v/>
      </c>
      <c r="G1324" s="58">
        <f>TRIM(SUBSTITUTE(SUBSTITUTE(SUBSTITUTE($A1324,CHAR(9)," ")," "," "),CHAR(13),""))</f>
        <v/>
      </c>
      <c r="H1324" s="58">
        <f>IF($G1324="","",IF(ISNUMBER(FIND(" ",$G1324)),$G1324,IFERROR(IF((LEN(SUBSTITUTE(SUBSTITUTE($G1324,"-"," ",LEN($G1324)-LEN(SUBSTITUTE($G1324,"-",""))),"-"," ",LEN($G1324)-LEN(SUBSTITUTE($G1324,"-",""))-1))-LEN(SUBSTITUTE(SUBSTITUTE(SUBSTITUTE($G1324,"-"," ",LEN($G1324)-LEN(SUBSTITUTE($G1324,"-",""))),"-"," ",LEN($G1324)-LEN(SUBSTITUTE($G1324,"-",""))-1),".","")))=0,SUBSTITUTE(SUBSTITUTE($G1324,"-"," ",LEN($G1324)-LEN(SUBSTITUTE($G1324,"-",""))),"-"," ",LEN($G1324)-LEN(SUBSTITUTE($G1324,"-",""))-1),SUBSTITUTE(SUBSTITUTE(SUBSTITUTE($G1324,"-"," ",LEN($G1324)-LEN(SUBSTITUTE($G1324,"-",""))),"-"," ",LEN($G1324)-LEN(SUBSTITUTE($G1324,"-",""))-1),"."," ",(LEN(SUBSTITUTE(SUBSTITUTE($G1324,"-"," ",LEN($G1324)-LEN(SUBSTITUTE($G1324,"-",""))),"-"," ",LEN($G1324)-LEN(SUBSTITUTE($G1324,"-",""))-1))-LEN(SUBSTITUTE(SUBSTITUTE(SUBSTITUTE($G1324,"-"," ",LEN($G1324)-LEN(SUBSTITUTE($G1324,"-",""))),"-"," ",LEN($G1324)-LEN(SUBSTITUTE($G1324,"-",""))-1),".",""))))),$G1324)))</f>
        <v/>
      </c>
    </row>
    <row r="1325">
      <c r="A1325" s="58" t="n"/>
      <c r="B1325" s="58">
        <f>IF($H1325="","",LEFT($H1325,FIND(" ",$H1325&amp;" ")-1))</f>
        <v/>
      </c>
      <c r="C1325" s="58">
        <f>IF($H1325="","",IFERROR(MID($H1325&amp;" ",FIND("|",SUBSTITUTE($H1325&amp;" "," ","|",1))+1,FIND("|",SUBSTITUTE($H1325&amp;" "," ","|",2))-FIND("|",SUBSTITUTE($H1325&amp;" "," ","|",1))-1),""))</f>
        <v/>
      </c>
      <c r="D1325" s="58">
        <f>IF($H1325="","",IFERROR(MID($H1325&amp;" ",FIND("|",SUBSTITUTE($H1325&amp;" "," ","|",2))+1,FIND("|",SUBSTITUTE($H1325&amp;" "," ","|",3))-FIND("|",SUBSTITUTE($H1325&amp;" "," ","|",2))-1),""))</f>
        <v/>
      </c>
      <c r="E1325" s="58">
        <f>IF($H1325="","",IFERROR(MID($H1325&amp;" ",FIND("|",SUBSTITUTE($H1325&amp;" "," ","|",3))+1,FIND("|",SUBSTITUTE($H1325&amp;" "," ","|",4))-FIND("|",SUBSTITUTE($H1325&amp;" "," ","|",3))-1),""))</f>
        <v/>
      </c>
      <c r="F1325" s="59">
        <f>IF($H1325="","",IFERROR(VALUE(IFERROR(MID($H1325&amp;" ",FIND("|",SUBSTITUTE($H1325&amp;" "," ","|",4))+1,FIND("|",SUBSTITUTE($H1325&amp;" "," ","|",5))-FIND("|",SUBSTITUTE($H1325&amp;" "," ","|",4))-1),""))/86400+25569+9/24,""))</f>
        <v/>
      </c>
      <c r="G1325" s="58">
        <f>TRIM(SUBSTITUTE(SUBSTITUTE(SUBSTITUTE($A1325,CHAR(9)," ")," "," "),CHAR(13),""))</f>
        <v/>
      </c>
      <c r="H1325" s="58">
        <f>IF($G1325="","",IF(ISNUMBER(FIND(" ",$G1325)),$G1325,IFERROR(IF((LEN(SUBSTITUTE(SUBSTITUTE($G1325,"-"," ",LEN($G1325)-LEN(SUBSTITUTE($G1325,"-",""))),"-"," ",LEN($G1325)-LEN(SUBSTITUTE($G1325,"-",""))-1))-LEN(SUBSTITUTE(SUBSTITUTE(SUBSTITUTE($G1325,"-"," ",LEN($G1325)-LEN(SUBSTITUTE($G1325,"-",""))),"-"," ",LEN($G1325)-LEN(SUBSTITUTE($G1325,"-",""))-1),".","")))=0,SUBSTITUTE(SUBSTITUTE($G1325,"-"," ",LEN($G1325)-LEN(SUBSTITUTE($G1325,"-",""))),"-"," ",LEN($G1325)-LEN(SUBSTITUTE($G1325,"-",""))-1),SUBSTITUTE(SUBSTITUTE(SUBSTITUTE($G1325,"-"," ",LEN($G1325)-LEN(SUBSTITUTE($G1325,"-",""))),"-"," ",LEN($G1325)-LEN(SUBSTITUTE($G1325,"-",""))-1),"."," ",(LEN(SUBSTITUTE(SUBSTITUTE($G1325,"-"," ",LEN($G1325)-LEN(SUBSTITUTE($G1325,"-",""))),"-"," ",LEN($G1325)-LEN(SUBSTITUTE($G1325,"-",""))-1))-LEN(SUBSTITUTE(SUBSTITUTE(SUBSTITUTE($G1325,"-"," ",LEN($G1325)-LEN(SUBSTITUTE($G1325,"-",""))),"-"," ",LEN($G1325)-LEN(SUBSTITUTE($G1325,"-",""))-1),".",""))))),$G1325)))</f>
        <v/>
      </c>
    </row>
    <row r="1326">
      <c r="A1326" s="58" t="n"/>
      <c r="B1326" s="58">
        <f>IF($H1326="","",LEFT($H1326,FIND(" ",$H1326&amp;" ")-1))</f>
        <v/>
      </c>
      <c r="C1326" s="58">
        <f>IF($H1326="","",IFERROR(MID($H1326&amp;" ",FIND("|",SUBSTITUTE($H1326&amp;" "," ","|",1))+1,FIND("|",SUBSTITUTE($H1326&amp;" "," ","|",2))-FIND("|",SUBSTITUTE($H1326&amp;" "," ","|",1))-1),""))</f>
        <v/>
      </c>
      <c r="D1326" s="58">
        <f>IF($H1326="","",IFERROR(MID($H1326&amp;" ",FIND("|",SUBSTITUTE($H1326&amp;" "," ","|",2))+1,FIND("|",SUBSTITUTE($H1326&amp;" "," ","|",3))-FIND("|",SUBSTITUTE($H1326&amp;" "," ","|",2))-1),""))</f>
        <v/>
      </c>
      <c r="E1326" s="58">
        <f>IF($H1326="","",IFERROR(MID($H1326&amp;" ",FIND("|",SUBSTITUTE($H1326&amp;" "," ","|",3))+1,FIND("|",SUBSTITUTE($H1326&amp;" "," ","|",4))-FIND("|",SUBSTITUTE($H1326&amp;" "," ","|",3))-1),""))</f>
        <v/>
      </c>
      <c r="F1326" s="59">
        <f>IF($H1326="","",IFERROR(VALUE(IFERROR(MID($H1326&amp;" ",FIND("|",SUBSTITUTE($H1326&amp;" "," ","|",4))+1,FIND("|",SUBSTITUTE($H1326&amp;" "," ","|",5))-FIND("|",SUBSTITUTE($H1326&amp;" "," ","|",4))-1),""))/86400+25569+9/24,""))</f>
        <v/>
      </c>
      <c r="G1326" s="58">
        <f>TRIM(SUBSTITUTE(SUBSTITUTE(SUBSTITUTE($A1326,CHAR(9)," ")," "," "),CHAR(13),""))</f>
        <v/>
      </c>
      <c r="H1326" s="58">
        <f>IF($G1326="","",IF(ISNUMBER(FIND(" ",$G1326)),$G1326,IFERROR(IF((LEN(SUBSTITUTE(SUBSTITUTE($G1326,"-"," ",LEN($G1326)-LEN(SUBSTITUTE($G1326,"-",""))),"-"," ",LEN($G1326)-LEN(SUBSTITUTE($G1326,"-",""))-1))-LEN(SUBSTITUTE(SUBSTITUTE(SUBSTITUTE($G1326,"-"," ",LEN($G1326)-LEN(SUBSTITUTE($G1326,"-",""))),"-"," ",LEN($G1326)-LEN(SUBSTITUTE($G1326,"-",""))-1),".","")))=0,SUBSTITUTE(SUBSTITUTE($G1326,"-"," ",LEN($G1326)-LEN(SUBSTITUTE($G1326,"-",""))),"-"," ",LEN($G1326)-LEN(SUBSTITUTE($G1326,"-",""))-1),SUBSTITUTE(SUBSTITUTE(SUBSTITUTE($G1326,"-"," ",LEN($G1326)-LEN(SUBSTITUTE($G1326,"-",""))),"-"," ",LEN($G1326)-LEN(SUBSTITUTE($G1326,"-",""))-1),"."," ",(LEN(SUBSTITUTE(SUBSTITUTE($G1326,"-"," ",LEN($G1326)-LEN(SUBSTITUTE($G1326,"-",""))),"-"," ",LEN($G1326)-LEN(SUBSTITUTE($G1326,"-",""))-1))-LEN(SUBSTITUTE(SUBSTITUTE(SUBSTITUTE($G1326,"-"," ",LEN($G1326)-LEN(SUBSTITUTE($G1326,"-",""))),"-"," ",LEN($G1326)-LEN(SUBSTITUTE($G1326,"-",""))-1),".",""))))),$G1326)))</f>
        <v/>
      </c>
    </row>
    <row r="1327">
      <c r="A1327" s="58" t="n"/>
      <c r="B1327" s="58">
        <f>IF($H1327="","",LEFT($H1327,FIND(" ",$H1327&amp;" ")-1))</f>
        <v/>
      </c>
      <c r="C1327" s="58">
        <f>IF($H1327="","",IFERROR(MID($H1327&amp;" ",FIND("|",SUBSTITUTE($H1327&amp;" "," ","|",1))+1,FIND("|",SUBSTITUTE($H1327&amp;" "," ","|",2))-FIND("|",SUBSTITUTE($H1327&amp;" "," ","|",1))-1),""))</f>
        <v/>
      </c>
      <c r="D1327" s="58">
        <f>IF($H1327="","",IFERROR(MID($H1327&amp;" ",FIND("|",SUBSTITUTE($H1327&amp;" "," ","|",2))+1,FIND("|",SUBSTITUTE($H1327&amp;" "," ","|",3))-FIND("|",SUBSTITUTE($H1327&amp;" "," ","|",2))-1),""))</f>
        <v/>
      </c>
      <c r="E1327" s="58">
        <f>IF($H1327="","",IFERROR(MID($H1327&amp;" ",FIND("|",SUBSTITUTE($H1327&amp;" "," ","|",3))+1,FIND("|",SUBSTITUTE($H1327&amp;" "," ","|",4))-FIND("|",SUBSTITUTE($H1327&amp;" "," ","|",3))-1),""))</f>
        <v/>
      </c>
      <c r="F1327" s="59">
        <f>IF($H1327="","",IFERROR(VALUE(IFERROR(MID($H1327&amp;" ",FIND("|",SUBSTITUTE($H1327&amp;" "," ","|",4))+1,FIND("|",SUBSTITUTE($H1327&amp;" "," ","|",5))-FIND("|",SUBSTITUTE($H1327&amp;" "," ","|",4))-1),""))/86400+25569+9/24,""))</f>
        <v/>
      </c>
      <c r="G1327" s="58">
        <f>TRIM(SUBSTITUTE(SUBSTITUTE(SUBSTITUTE($A1327,CHAR(9)," ")," "," "),CHAR(13),""))</f>
        <v/>
      </c>
      <c r="H1327" s="58">
        <f>IF($G1327="","",IF(ISNUMBER(FIND(" ",$G1327)),$G1327,IFERROR(IF((LEN(SUBSTITUTE(SUBSTITUTE($G1327,"-"," ",LEN($G1327)-LEN(SUBSTITUTE($G1327,"-",""))),"-"," ",LEN($G1327)-LEN(SUBSTITUTE($G1327,"-",""))-1))-LEN(SUBSTITUTE(SUBSTITUTE(SUBSTITUTE($G1327,"-"," ",LEN($G1327)-LEN(SUBSTITUTE($G1327,"-",""))),"-"," ",LEN($G1327)-LEN(SUBSTITUTE($G1327,"-",""))-1),".","")))=0,SUBSTITUTE(SUBSTITUTE($G1327,"-"," ",LEN($G1327)-LEN(SUBSTITUTE($G1327,"-",""))),"-"," ",LEN($G1327)-LEN(SUBSTITUTE($G1327,"-",""))-1),SUBSTITUTE(SUBSTITUTE(SUBSTITUTE($G1327,"-"," ",LEN($G1327)-LEN(SUBSTITUTE($G1327,"-",""))),"-"," ",LEN($G1327)-LEN(SUBSTITUTE($G1327,"-",""))-1),"."," ",(LEN(SUBSTITUTE(SUBSTITUTE($G1327,"-"," ",LEN($G1327)-LEN(SUBSTITUTE($G1327,"-",""))),"-"," ",LEN($G1327)-LEN(SUBSTITUTE($G1327,"-",""))-1))-LEN(SUBSTITUTE(SUBSTITUTE(SUBSTITUTE($G1327,"-"," ",LEN($G1327)-LEN(SUBSTITUTE($G1327,"-",""))),"-"," ",LEN($G1327)-LEN(SUBSTITUTE($G1327,"-",""))-1),".",""))))),$G1327)))</f>
        <v/>
      </c>
    </row>
    <row r="1328">
      <c r="A1328" s="58" t="n"/>
      <c r="B1328" s="58">
        <f>IF($H1328="","",LEFT($H1328,FIND(" ",$H1328&amp;" ")-1))</f>
        <v/>
      </c>
      <c r="C1328" s="58">
        <f>IF($H1328="","",IFERROR(MID($H1328&amp;" ",FIND("|",SUBSTITUTE($H1328&amp;" "," ","|",1))+1,FIND("|",SUBSTITUTE($H1328&amp;" "," ","|",2))-FIND("|",SUBSTITUTE($H1328&amp;" "," ","|",1))-1),""))</f>
        <v/>
      </c>
      <c r="D1328" s="58">
        <f>IF($H1328="","",IFERROR(MID($H1328&amp;" ",FIND("|",SUBSTITUTE($H1328&amp;" "," ","|",2))+1,FIND("|",SUBSTITUTE($H1328&amp;" "," ","|",3))-FIND("|",SUBSTITUTE($H1328&amp;" "," ","|",2))-1),""))</f>
        <v/>
      </c>
      <c r="E1328" s="58">
        <f>IF($H1328="","",IFERROR(MID($H1328&amp;" ",FIND("|",SUBSTITUTE($H1328&amp;" "," ","|",3))+1,FIND("|",SUBSTITUTE($H1328&amp;" "," ","|",4))-FIND("|",SUBSTITUTE($H1328&amp;" "," ","|",3))-1),""))</f>
        <v/>
      </c>
      <c r="F1328" s="59">
        <f>IF($H1328="","",IFERROR(VALUE(IFERROR(MID($H1328&amp;" ",FIND("|",SUBSTITUTE($H1328&amp;" "," ","|",4))+1,FIND("|",SUBSTITUTE($H1328&amp;" "," ","|",5))-FIND("|",SUBSTITUTE($H1328&amp;" "," ","|",4))-1),""))/86400+25569+9/24,""))</f>
        <v/>
      </c>
      <c r="G1328" s="58">
        <f>TRIM(SUBSTITUTE(SUBSTITUTE(SUBSTITUTE($A1328,CHAR(9)," ")," "," "),CHAR(13),""))</f>
        <v/>
      </c>
      <c r="H1328" s="58">
        <f>IF($G1328="","",IF(ISNUMBER(FIND(" ",$G1328)),$G1328,IFERROR(IF((LEN(SUBSTITUTE(SUBSTITUTE($G1328,"-"," ",LEN($G1328)-LEN(SUBSTITUTE($G1328,"-",""))),"-"," ",LEN($G1328)-LEN(SUBSTITUTE($G1328,"-",""))-1))-LEN(SUBSTITUTE(SUBSTITUTE(SUBSTITUTE($G1328,"-"," ",LEN($G1328)-LEN(SUBSTITUTE($G1328,"-",""))),"-"," ",LEN($G1328)-LEN(SUBSTITUTE($G1328,"-",""))-1),".","")))=0,SUBSTITUTE(SUBSTITUTE($G1328,"-"," ",LEN($G1328)-LEN(SUBSTITUTE($G1328,"-",""))),"-"," ",LEN($G1328)-LEN(SUBSTITUTE($G1328,"-",""))-1),SUBSTITUTE(SUBSTITUTE(SUBSTITUTE($G1328,"-"," ",LEN($G1328)-LEN(SUBSTITUTE($G1328,"-",""))),"-"," ",LEN($G1328)-LEN(SUBSTITUTE($G1328,"-",""))-1),"."," ",(LEN(SUBSTITUTE(SUBSTITUTE($G1328,"-"," ",LEN($G1328)-LEN(SUBSTITUTE($G1328,"-",""))),"-"," ",LEN($G1328)-LEN(SUBSTITUTE($G1328,"-",""))-1))-LEN(SUBSTITUTE(SUBSTITUTE(SUBSTITUTE($G1328,"-"," ",LEN($G1328)-LEN(SUBSTITUTE($G1328,"-",""))),"-"," ",LEN($G1328)-LEN(SUBSTITUTE($G1328,"-",""))-1),".",""))))),$G1328)))</f>
        <v/>
      </c>
    </row>
    <row r="1329">
      <c r="A1329" s="58" t="n"/>
      <c r="B1329" s="58">
        <f>IF($H1329="","",LEFT($H1329,FIND(" ",$H1329&amp;" ")-1))</f>
        <v/>
      </c>
      <c r="C1329" s="58">
        <f>IF($H1329="","",IFERROR(MID($H1329&amp;" ",FIND("|",SUBSTITUTE($H1329&amp;" "," ","|",1))+1,FIND("|",SUBSTITUTE($H1329&amp;" "," ","|",2))-FIND("|",SUBSTITUTE($H1329&amp;" "," ","|",1))-1),""))</f>
        <v/>
      </c>
      <c r="D1329" s="58">
        <f>IF($H1329="","",IFERROR(MID($H1329&amp;" ",FIND("|",SUBSTITUTE($H1329&amp;" "," ","|",2))+1,FIND("|",SUBSTITUTE($H1329&amp;" "," ","|",3))-FIND("|",SUBSTITUTE($H1329&amp;" "," ","|",2))-1),""))</f>
        <v/>
      </c>
      <c r="E1329" s="58">
        <f>IF($H1329="","",IFERROR(MID($H1329&amp;" ",FIND("|",SUBSTITUTE($H1329&amp;" "," ","|",3))+1,FIND("|",SUBSTITUTE($H1329&amp;" "," ","|",4))-FIND("|",SUBSTITUTE($H1329&amp;" "," ","|",3))-1),""))</f>
        <v/>
      </c>
      <c r="F1329" s="59">
        <f>IF($H1329="","",IFERROR(VALUE(IFERROR(MID($H1329&amp;" ",FIND("|",SUBSTITUTE($H1329&amp;" "," ","|",4))+1,FIND("|",SUBSTITUTE($H1329&amp;" "," ","|",5))-FIND("|",SUBSTITUTE($H1329&amp;" "," ","|",4))-1),""))/86400+25569+9/24,""))</f>
        <v/>
      </c>
      <c r="G1329" s="58">
        <f>TRIM(SUBSTITUTE(SUBSTITUTE(SUBSTITUTE($A1329,CHAR(9)," ")," "," "),CHAR(13),""))</f>
        <v/>
      </c>
      <c r="H1329" s="58">
        <f>IF($G1329="","",IF(ISNUMBER(FIND(" ",$G1329)),$G1329,IFERROR(IF((LEN(SUBSTITUTE(SUBSTITUTE($G1329,"-"," ",LEN($G1329)-LEN(SUBSTITUTE($G1329,"-",""))),"-"," ",LEN($G1329)-LEN(SUBSTITUTE($G1329,"-",""))-1))-LEN(SUBSTITUTE(SUBSTITUTE(SUBSTITUTE($G1329,"-"," ",LEN($G1329)-LEN(SUBSTITUTE($G1329,"-",""))),"-"," ",LEN($G1329)-LEN(SUBSTITUTE($G1329,"-",""))-1),".","")))=0,SUBSTITUTE(SUBSTITUTE($G1329,"-"," ",LEN($G1329)-LEN(SUBSTITUTE($G1329,"-",""))),"-"," ",LEN($G1329)-LEN(SUBSTITUTE($G1329,"-",""))-1),SUBSTITUTE(SUBSTITUTE(SUBSTITUTE($G1329,"-"," ",LEN($G1329)-LEN(SUBSTITUTE($G1329,"-",""))),"-"," ",LEN($G1329)-LEN(SUBSTITUTE($G1329,"-",""))-1),"."," ",(LEN(SUBSTITUTE(SUBSTITUTE($G1329,"-"," ",LEN($G1329)-LEN(SUBSTITUTE($G1329,"-",""))),"-"," ",LEN($G1329)-LEN(SUBSTITUTE($G1329,"-",""))-1))-LEN(SUBSTITUTE(SUBSTITUTE(SUBSTITUTE($G1329,"-"," ",LEN($G1329)-LEN(SUBSTITUTE($G1329,"-",""))),"-"," ",LEN($G1329)-LEN(SUBSTITUTE($G1329,"-",""))-1),".",""))))),$G1329)))</f>
        <v/>
      </c>
    </row>
    <row r="1330">
      <c r="A1330" s="58" t="n"/>
      <c r="B1330" s="58">
        <f>IF($H1330="","",LEFT($H1330,FIND(" ",$H1330&amp;" ")-1))</f>
        <v/>
      </c>
      <c r="C1330" s="58">
        <f>IF($H1330="","",IFERROR(MID($H1330&amp;" ",FIND("|",SUBSTITUTE($H1330&amp;" "," ","|",1))+1,FIND("|",SUBSTITUTE($H1330&amp;" "," ","|",2))-FIND("|",SUBSTITUTE($H1330&amp;" "," ","|",1))-1),""))</f>
        <v/>
      </c>
      <c r="D1330" s="58">
        <f>IF($H1330="","",IFERROR(MID($H1330&amp;" ",FIND("|",SUBSTITUTE($H1330&amp;" "," ","|",2))+1,FIND("|",SUBSTITUTE($H1330&amp;" "," ","|",3))-FIND("|",SUBSTITUTE($H1330&amp;" "," ","|",2))-1),""))</f>
        <v/>
      </c>
      <c r="E1330" s="58">
        <f>IF($H1330="","",IFERROR(MID($H1330&amp;" ",FIND("|",SUBSTITUTE($H1330&amp;" "," ","|",3))+1,FIND("|",SUBSTITUTE($H1330&amp;" "," ","|",4))-FIND("|",SUBSTITUTE($H1330&amp;" "," ","|",3))-1),""))</f>
        <v/>
      </c>
      <c r="F1330" s="59">
        <f>IF($H1330="","",IFERROR(VALUE(IFERROR(MID($H1330&amp;" ",FIND("|",SUBSTITUTE($H1330&amp;" "," ","|",4))+1,FIND("|",SUBSTITUTE($H1330&amp;" "," ","|",5))-FIND("|",SUBSTITUTE($H1330&amp;" "," ","|",4))-1),""))/86400+25569+9/24,""))</f>
        <v/>
      </c>
      <c r="G1330" s="58">
        <f>TRIM(SUBSTITUTE(SUBSTITUTE(SUBSTITUTE($A1330,CHAR(9)," ")," "," "),CHAR(13),""))</f>
        <v/>
      </c>
      <c r="H1330" s="58">
        <f>IF($G1330="","",IF(ISNUMBER(FIND(" ",$G1330)),$G1330,IFERROR(IF((LEN(SUBSTITUTE(SUBSTITUTE($G1330,"-"," ",LEN($G1330)-LEN(SUBSTITUTE($G1330,"-",""))),"-"," ",LEN($G1330)-LEN(SUBSTITUTE($G1330,"-",""))-1))-LEN(SUBSTITUTE(SUBSTITUTE(SUBSTITUTE($G1330,"-"," ",LEN($G1330)-LEN(SUBSTITUTE($G1330,"-",""))),"-"," ",LEN($G1330)-LEN(SUBSTITUTE($G1330,"-",""))-1),".","")))=0,SUBSTITUTE(SUBSTITUTE($G1330,"-"," ",LEN($G1330)-LEN(SUBSTITUTE($G1330,"-",""))),"-"," ",LEN($G1330)-LEN(SUBSTITUTE($G1330,"-",""))-1),SUBSTITUTE(SUBSTITUTE(SUBSTITUTE($G1330,"-"," ",LEN($G1330)-LEN(SUBSTITUTE($G1330,"-",""))),"-"," ",LEN($G1330)-LEN(SUBSTITUTE($G1330,"-",""))-1),"."," ",(LEN(SUBSTITUTE(SUBSTITUTE($G1330,"-"," ",LEN($G1330)-LEN(SUBSTITUTE($G1330,"-",""))),"-"," ",LEN($G1330)-LEN(SUBSTITUTE($G1330,"-",""))-1))-LEN(SUBSTITUTE(SUBSTITUTE(SUBSTITUTE($G1330,"-"," ",LEN($G1330)-LEN(SUBSTITUTE($G1330,"-",""))),"-"," ",LEN($G1330)-LEN(SUBSTITUTE($G1330,"-",""))-1),".",""))))),$G1330)))</f>
        <v/>
      </c>
    </row>
    <row r="1331">
      <c r="A1331" s="58" t="n"/>
      <c r="B1331" s="58">
        <f>IF($H1331="","",LEFT($H1331,FIND(" ",$H1331&amp;" ")-1))</f>
        <v/>
      </c>
      <c r="C1331" s="58">
        <f>IF($H1331="","",IFERROR(MID($H1331&amp;" ",FIND("|",SUBSTITUTE($H1331&amp;" "," ","|",1))+1,FIND("|",SUBSTITUTE($H1331&amp;" "," ","|",2))-FIND("|",SUBSTITUTE($H1331&amp;" "," ","|",1))-1),""))</f>
        <v/>
      </c>
      <c r="D1331" s="58">
        <f>IF($H1331="","",IFERROR(MID($H1331&amp;" ",FIND("|",SUBSTITUTE($H1331&amp;" "," ","|",2))+1,FIND("|",SUBSTITUTE($H1331&amp;" "," ","|",3))-FIND("|",SUBSTITUTE($H1331&amp;" "," ","|",2))-1),""))</f>
        <v/>
      </c>
      <c r="E1331" s="58">
        <f>IF($H1331="","",IFERROR(MID($H1331&amp;" ",FIND("|",SUBSTITUTE($H1331&amp;" "," ","|",3))+1,FIND("|",SUBSTITUTE($H1331&amp;" "," ","|",4))-FIND("|",SUBSTITUTE($H1331&amp;" "," ","|",3))-1),""))</f>
        <v/>
      </c>
      <c r="F1331" s="59">
        <f>IF($H1331="","",IFERROR(VALUE(IFERROR(MID($H1331&amp;" ",FIND("|",SUBSTITUTE($H1331&amp;" "," ","|",4))+1,FIND("|",SUBSTITUTE($H1331&amp;" "," ","|",5))-FIND("|",SUBSTITUTE($H1331&amp;" "," ","|",4))-1),""))/86400+25569+9/24,""))</f>
        <v/>
      </c>
      <c r="G1331" s="58">
        <f>TRIM(SUBSTITUTE(SUBSTITUTE(SUBSTITUTE($A1331,CHAR(9)," ")," "," "),CHAR(13),""))</f>
        <v/>
      </c>
      <c r="H1331" s="58">
        <f>IF($G1331="","",IF(ISNUMBER(FIND(" ",$G1331)),$G1331,IFERROR(IF((LEN(SUBSTITUTE(SUBSTITUTE($G1331,"-"," ",LEN($G1331)-LEN(SUBSTITUTE($G1331,"-",""))),"-"," ",LEN($G1331)-LEN(SUBSTITUTE($G1331,"-",""))-1))-LEN(SUBSTITUTE(SUBSTITUTE(SUBSTITUTE($G1331,"-"," ",LEN($G1331)-LEN(SUBSTITUTE($G1331,"-",""))),"-"," ",LEN($G1331)-LEN(SUBSTITUTE($G1331,"-",""))-1),".","")))=0,SUBSTITUTE(SUBSTITUTE($G1331,"-"," ",LEN($G1331)-LEN(SUBSTITUTE($G1331,"-",""))),"-"," ",LEN($G1331)-LEN(SUBSTITUTE($G1331,"-",""))-1),SUBSTITUTE(SUBSTITUTE(SUBSTITUTE($G1331,"-"," ",LEN($G1331)-LEN(SUBSTITUTE($G1331,"-",""))),"-"," ",LEN($G1331)-LEN(SUBSTITUTE($G1331,"-",""))-1),"."," ",(LEN(SUBSTITUTE(SUBSTITUTE($G1331,"-"," ",LEN($G1331)-LEN(SUBSTITUTE($G1331,"-",""))),"-"," ",LEN($G1331)-LEN(SUBSTITUTE($G1331,"-",""))-1))-LEN(SUBSTITUTE(SUBSTITUTE(SUBSTITUTE($G1331,"-"," ",LEN($G1331)-LEN(SUBSTITUTE($G1331,"-",""))),"-"," ",LEN($G1331)-LEN(SUBSTITUTE($G1331,"-",""))-1),".",""))))),$G1331)))</f>
        <v/>
      </c>
    </row>
    <row r="1332">
      <c r="A1332" s="58" t="n"/>
      <c r="B1332" s="58">
        <f>IF($H1332="","",LEFT($H1332,FIND(" ",$H1332&amp;" ")-1))</f>
        <v/>
      </c>
      <c r="C1332" s="58">
        <f>IF($H1332="","",IFERROR(MID($H1332&amp;" ",FIND("|",SUBSTITUTE($H1332&amp;" "," ","|",1))+1,FIND("|",SUBSTITUTE($H1332&amp;" "," ","|",2))-FIND("|",SUBSTITUTE($H1332&amp;" "," ","|",1))-1),""))</f>
        <v/>
      </c>
      <c r="D1332" s="58">
        <f>IF($H1332="","",IFERROR(MID($H1332&amp;" ",FIND("|",SUBSTITUTE($H1332&amp;" "," ","|",2))+1,FIND("|",SUBSTITUTE($H1332&amp;" "," ","|",3))-FIND("|",SUBSTITUTE($H1332&amp;" "," ","|",2))-1),""))</f>
        <v/>
      </c>
      <c r="E1332" s="58">
        <f>IF($H1332="","",IFERROR(MID($H1332&amp;" ",FIND("|",SUBSTITUTE($H1332&amp;" "," ","|",3))+1,FIND("|",SUBSTITUTE($H1332&amp;" "," ","|",4))-FIND("|",SUBSTITUTE($H1332&amp;" "," ","|",3))-1),""))</f>
        <v/>
      </c>
      <c r="F1332" s="59">
        <f>IF($H1332="","",IFERROR(VALUE(IFERROR(MID($H1332&amp;" ",FIND("|",SUBSTITUTE($H1332&amp;" "," ","|",4))+1,FIND("|",SUBSTITUTE($H1332&amp;" "," ","|",5))-FIND("|",SUBSTITUTE($H1332&amp;" "," ","|",4))-1),""))/86400+25569+9/24,""))</f>
        <v/>
      </c>
      <c r="G1332" s="58">
        <f>TRIM(SUBSTITUTE(SUBSTITUTE(SUBSTITUTE($A1332,CHAR(9)," ")," "," "),CHAR(13),""))</f>
        <v/>
      </c>
      <c r="H1332" s="58">
        <f>IF($G1332="","",IF(ISNUMBER(FIND(" ",$G1332)),$G1332,IFERROR(IF((LEN(SUBSTITUTE(SUBSTITUTE($G1332,"-"," ",LEN($G1332)-LEN(SUBSTITUTE($G1332,"-",""))),"-"," ",LEN($G1332)-LEN(SUBSTITUTE($G1332,"-",""))-1))-LEN(SUBSTITUTE(SUBSTITUTE(SUBSTITUTE($G1332,"-"," ",LEN($G1332)-LEN(SUBSTITUTE($G1332,"-",""))),"-"," ",LEN($G1332)-LEN(SUBSTITUTE($G1332,"-",""))-1),".","")))=0,SUBSTITUTE(SUBSTITUTE($G1332,"-"," ",LEN($G1332)-LEN(SUBSTITUTE($G1332,"-",""))),"-"," ",LEN($G1332)-LEN(SUBSTITUTE($G1332,"-",""))-1),SUBSTITUTE(SUBSTITUTE(SUBSTITUTE($G1332,"-"," ",LEN($G1332)-LEN(SUBSTITUTE($G1332,"-",""))),"-"," ",LEN($G1332)-LEN(SUBSTITUTE($G1332,"-",""))-1),"."," ",(LEN(SUBSTITUTE(SUBSTITUTE($G1332,"-"," ",LEN($G1332)-LEN(SUBSTITUTE($G1332,"-",""))),"-"," ",LEN($G1332)-LEN(SUBSTITUTE($G1332,"-",""))-1))-LEN(SUBSTITUTE(SUBSTITUTE(SUBSTITUTE($G1332,"-"," ",LEN($G1332)-LEN(SUBSTITUTE($G1332,"-",""))),"-"," ",LEN($G1332)-LEN(SUBSTITUTE($G1332,"-",""))-1),".",""))))),$G1332)))</f>
        <v/>
      </c>
    </row>
    <row r="1333">
      <c r="A1333" s="58" t="n"/>
      <c r="B1333" s="58">
        <f>IF($H1333="","",LEFT($H1333,FIND(" ",$H1333&amp;" ")-1))</f>
        <v/>
      </c>
      <c r="C1333" s="58">
        <f>IF($H1333="","",IFERROR(MID($H1333&amp;" ",FIND("|",SUBSTITUTE($H1333&amp;" "," ","|",1))+1,FIND("|",SUBSTITUTE($H1333&amp;" "," ","|",2))-FIND("|",SUBSTITUTE($H1333&amp;" "," ","|",1))-1),""))</f>
        <v/>
      </c>
      <c r="D1333" s="58">
        <f>IF($H1333="","",IFERROR(MID($H1333&amp;" ",FIND("|",SUBSTITUTE($H1333&amp;" "," ","|",2))+1,FIND("|",SUBSTITUTE($H1333&amp;" "," ","|",3))-FIND("|",SUBSTITUTE($H1333&amp;" "," ","|",2))-1),""))</f>
        <v/>
      </c>
      <c r="E1333" s="58">
        <f>IF($H1333="","",IFERROR(MID($H1333&amp;" ",FIND("|",SUBSTITUTE($H1333&amp;" "," ","|",3))+1,FIND("|",SUBSTITUTE($H1333&amp;" "," ","|",4))-FIND("|",SUBSTITUTE($H1333&amp;" "," ","|",3))-1),""))</f>
        <v/>
      </c>
      <c r="F1333" s="59">
        <f>IF($H1333="","",IFERROR(VALUE(IFERROR(MID($H1333&amp;" ",FIND("|",SUBSTITUTE($H1333&amp;" "," ","|",4))+1,FIND("|",SUBSTITUTE($H1333&amp;" "," ","|",5))-FIND("|",SUBSTITUTE($H1333&amp;" "," ","|",4))-1),""))/86400+25569+9/24,""))</f>
        <v/>
      </c>
      <c r="G1333" s="58">
        <f>TRIM(SUBSTITUTE(SUBSTITUTE(SUBSTITUTE($A1333,CHAR(9)," ")," "," "),CHAR(13),""))</f>
        <v/>
      </c>
      <c r="H1333" s="58">
        <f>IF($G1333="","",IF(ISNUMBER(FIND(" ",$G1333)),$G1333,IFERROR(IF((LEN(SUBSTITUTE(SUBSTITUTE($G1333,"-"," ",LEN($G1333)-LEN(SUBSTITUTE($G1333,"-",""))),"-"," ",LEN($G1333)-LEN(SUBSTITUTE($G1333,"-",""))-1))-LEN(SUBSTITUTE(SUBSTITUTE(SUBSTITUTE($G1333,"-"," ",LEN($G1333)-LEN(SUBSTITUTE($G1333,"-",""))),"-"," ",LEN($G1333)-LEN(SUBSTITUTE($G1333,"-",""))-1),".","")))=0,SUBSTITUTE(SUBSTITUTE($G1333,"-"," ",LEN($G1333)-LEN(SUBSTITUTE($G1333,"-",""))),"-"," ",LEN($G1333)-LEN(SUBSTITUTE($G1333,"-",""))-1),SUBSTITUTE(SUBSTITUTE(SUBSTITUTE($G1333,"-"," ",LEN($G1333)-LEN(SUBSTITUTE($G1333,"-",""))),"-"," ",LEN($G1333)-LEN(SUBSTITUTE($G1333,"-",""))-1),"."," ",(LEN(SUBSTITUTE(SUBSTITUTE($G1333,"-"," ",LEN($G1333)-LEN(SUBSTITUTE($G1333,"-",""))),"-"," ",LEN($G1333)-LEN(SUBSTITUTE($G1333,"-",""))-1))-LEN(SUBSTITUTE(SUBSTITUTE(SUBSTITUTE($G1333,"-"," ",LEN($G1333)-LEN(SUBSTITUTE($G1333,"-",""))),"-"," ",LEN($G1333)-LEN(SUBSTITUTE($G1333,"-",""))-1),".",""))))),$G1333)))</f>
        <v/>
      </c>
    </row>
    <row r="1334">
      <c r="A1334" s="58" t="n"/>
      <c r="B1334" s="58">
        <f>IF($H1334="","",LEFT($H1334,FIND(" ",$H1334&amp;" ")-1))</f>
        <v/>
      </c>
      <c r="C1334" s="58">
        <f>IF($H1334="","",IFERROR(MID($H1334&amp;" ",FIND("|",SUBSTITUTE($H1334&amp;" "," ","|",1))+1,FIND("|",SUBSTITUTE($H1334&amp;" "," ","|",2))-FIND("|",SUBSTITUTE($H1334&amp;" "," ","|",1))-1),""))</f>
        <v/>
      </c>
      <c r="D1334" s="58">
        <f>IF($H1334="","",IFERROR(MID($H1334&amp;" ",FIND("|",SUBSTITUTE($H1334&amp;" "," ","|",2))+1,FIND("|",SUBSTITUTE($H1334&amp;" "," ","|",3))-FIND("|",SUBSTITUTE($H1334&amp;" "," ","|",2))-1),""))</f>
        <v/>
      </c>
      <c r="E1334" s="58">
        <f>IF($H1334="","",IFERROR(MID($H1334&amp;" ",FIND("|",SUBSTITUTE($H1334&amp;" "," ","|",3))+1,FIND("|",SUBSTITUTE($H1334&amp;" "," ","|",4))-FIND("|",SUBSTITUTE($H1334&amp;" "," ","|",3))-1),""))</f>
        <v/>
      </c>
      <c r="F1334" s="59">
        <f>IF($H1334="","",IFERROR(VALUE(IFERROR(MID($H1334&amp;" ",FIND("|",SUBSTITUTE($H1334&amp;" "," ","|",4))+1,FIND("|",SUBSTITUTE($H1334&amp;" "," ","|",5))-FIND("|",SUBSTITUTE($H1334&amp;" "," ","|",4))-1),""))/86400+25569+9/24,""))</f>
        <v/>
      </c>
      <c r="G1334" s="58">
        <f>TRIM(SUBSTITUTE(SUBSTITUTE(SUBSTITUTE($A1334,CHAR(9)," ")," "," "),CHAR(13),""))</f>
        <v/>
      </c>
      <c r="H1334" s="58">
        <f>IF($G1334="","",IF(ISNUMBER(FIND(" ",$G1334)),$G1334,IFERROR(IF((LEN(SUBSTITUTE(SUBSTITUTE($G1334,"-"," ",LEN($G1334)-LEN(SUBSTITUTE($G1334,"-",""))),"-"," ",LEN($G1334)-LEN(SUBSTITUTE($G1334,"-",""))-1))-LEN(SUBSTITUTE(SUBSTITUTE(SUBSTITUTE($G1334,"-"," ",LEN($G1334)-LEN(SUBSTITUTE($G1334,"-",""))),"-"," ",LEN($G1334)-LEN(SUBSTITUTE($G1334,"-",""))-1),".","")))=0,SUBSTITUTE(SUBSTITUTE($G1334,"-"," ",LEN($G1334)-LEN(SUBSTITUTE($G1334,"-",""))),"-"," ",LEN($G1334)-LEN(SUBSTITUTE($G1334,"-",""))-1),SUBSTITUTE(SUBSTITUTE(SUBSTITUTE($G1334,"-"," ",LEN($G1334)-LEN(SUBSTITUTE($G1334,"-",""))),"-"," ",LEN($G1334)-LEN(SUBSTITUTE($G1334,"-",""))-1),"."," ",(LEN(SUBSTITUTE(SUBSTITUTE($G1334,"-"," ",LEN($G1334)-LEN(SUBSTITUTE($G1334,"-",""))),"-"," ",LEN($G1334)-LEN(SUBSTITUTE($G1334,"-",""))-1))-LEN(SUBSTITUTE(SUBSTITUTE(SUBSTITUTE($G1334,"-"," ",LEN($G1334)-LEN(SUBSTITUTE($G1334,"-",""))),"-"," ",LEN($G1334)-LEN(SUBSTITUTE($G1334,"-",""))-1),".",""))))),$G1334)))</f>
        <v/>
      </c>
    </row>
    <row r="1335">
      <c r="A1335" s="58" t="n"/>
      <c r="B1335" s="58">
        <f>IF($H1335="","",LEFT($H1335,FIND(" ",$H1335&amp;" ")-1))</f>
        <v/>
      </c>
      <c r="C1335" s="58">
        <f>IF($H1335="","",IFERROR(MID($H1335&amp;" ",FIND("|",SUBSTITUTE($H1335&amp;" "," ","|",1))+1,FIND("|",SUBSTITUTE($H1335&amp;" "," ","|",2))-FIND("|",SUBSTITUTE($H1335&amp;" "," ","|",1))-1),""))</f>
        <v/>
      </c>
      <c r="D1335" s="58">
        <f>IF($H1335="","",IFERROR(MID($H1335&amp;" ",FIND("|",SUBSTITUTE($H1335&amp;" "," ","|",2))+1,FIND("|",SUBSTITUTE($H1335&amp;" "," ","|",3))-FIND("|",SUBSTITUTE($H1335&amp;" "," ","|",2))-1),""))</f>
        <v/>
      </c>
      <c r="E1335" s="58">
        <f>IF($H1335="","",IFERROR(MID($H1335&amp;" ",FIND("|",SUBSTITUTE($H1335&amp;" "," ","|",3))+1,FIND("|",SUBSTITUTE($H1335&amp;" "," ","|",4))-FIND("|",SUBSTITUTE($H1335&amp;" "," ","|",3))-1),""))</f>
        <v/>
      </c>
      <c r="F1335" s="59">
        <f>IF($H1335="","",IFERROR(VALUE(IFERROR(MID($H1335&amp;" ",FIND("|",SUBSTITUTE($H1335&amp;" "," ","|",4))+1,FIND("|",SUBSTITUTE($H1335&amp;" "," ","|",5))-FIND("|",SUBSTITUTE($H1335&amp;" "," ","|",4))-1),""))/86400+25569+9/24,""))</f>
        <v/>
      </c>
      <c r="G1335" s="58">
        <f>TRIM(SUBSTITUTE(SUBSTITUTE(SUBSTITUTE($A1335,CHAR(9)," ")," "," "),CHAR(13),""))</f>
        <v/>
      </c>
      <c r="H1335" s="58">
        <f>IF($G1335="","",IF(ISNUMBER(FIND(" ",$G1335)),$G1335,IFERROR(IF((LEN(SUBSTITUTE(SUBSTITUTE($G1335,"-"," ",LEN($G1335)-LEN(SUBSTITUTE($G1335,"-",""))),"-"," ",LEN($G1335)-LEN(SUBSTITUTE($G1335,"-",""))-1))-LEN(SUBSTITUTE(SUBSTITUTE(SUBSTITUTE($G1335,"-"," ",LEN($G1335)-LEN(SUBSTITUTE($G1335,"-",""))),"-"," ",LEN($G1335)-LEN(SUBSTITUTE($G1335,"-",""))-1),".","")))=0,SUBSTITUTE(SUBSTITUTE($G1335,"-"," ",LEN($G1335)-LEN(SUBSTITUTE($G1335,"-",""))),"-"," ",LEN($G1335)-LEN(SUBSTITUTE($G1335,"-",""))-1),SUBSTITUTE(SUBSTITUTE(SUBSTITUTE($G1335,"-"," ",LEN($G1335)-LEN(SUBSTITUTE($G1335,"-",""))),"-"," ",LEN($G1335)-LEN(SUBSTITUTE($G1335,"-",""))-1),"."," ",(LEN(SUBSTITUTE(SUBSTITUTE($G1335,"-"," ",LEN($G1335)-LEN(SUBSTITUTE($G1335,"-",""))),"-"," ",LEN($G1335)-LEN(SUBSTITUTE($G1335,"-",""))-1))-LEN(SUBSTITUTE(SUBSTITUTE(SUBSTITUTE($G1335,"-"," ",LEN($G1335)-LEN(SUBSTITUTE($G1335,"-",""))),"-"," ",LEN($G1335)-LEN(SUBSTITUTE($G1335,"-",""))-1),".",""))))),$G1335)))</f>
        <v/>
      </c>
    </row>
    <row r="1336">
      <c r="A1336" s="58" t="n"/>
      <c r="B1336" s="58">
        <f>IF($H1336="","",LEFT($H1336,FIND(" ",$H1336&amp;" ")-1))</f>
        <v/>
      </c>
      <c r="C1336" s="58">
        <f>IF($H1336="","",IFERROR(MID($H1336&amp;" ",FIND("|",SUBSTITUTE($H1336&amp;" "," ","|",1))+1,FIND("|",SUBSTITUTE($H1336&amp;" "," ","|",2))-FIND("|",SUBSTITUTE($H1336&amp;" "," ","|",1))-1),""))</f>
        <v/>
      </c>
      <c r="D1336" s="58">
        <f>IF($H1336="","",IFERROR(MID($H1336&amp;" ",FIND("|",SUBSTITUTE($H1336&amp;" "," ","|",2))+1,FIND("|",SUBSTITUTE($H1336&amp;" "," ","|",3))-FIND("|",SUBSTITUTE($H1336&amp;" "," ","|",2))-1),""))</f>
        <v/>
      </c>
      <c r="E1336" s="58">
        <f>IF($H1336="","",IFERROR(MID($H1336&amp;" ",FIND("|",SUBSTITUTE($H1336&amp;" "," ","|",3))+1,FIND("|",SUBSTITUTE($H1336&amp;" "," ","|",4))-FIND("|",SUBSTITUTE($H1336&amp;" "," ","|",3))-1),""))</f>
        <v/>
      </c>
      <c r="F1336" s="59">
        <f>IF($H1336="","",IFERROR(VALUE(IFERROR(MID($H1336&amp;" ",FIND("|",SUBSTITUTE($H1336&amp;" "," ","|",4))+1,FIND("|",SUBSTITUTE($H1336&amp;" "," ","|",5))-FIND("|",SUBSTITUTE($H1336&amp;" "," ","|",4))-1),""))/86400+25569+9/24,""))</f>
        <v/>
      </c>
      <c r="G1336" s="58">
        <f>TRIM(SUBSTITUTE(SUBSTITUTE(SUBSTITUTE($A1336,CHAR(9)," ")," "," "),CHAR(13),""))</f>
        <v/>
      </c>
      <c r="H1336" s="58">
        <f>IF($G1336="","",IF(ISNUMBER(FIND(" ",$G1336)),$G1336,IFERROR(IF((LEN(SUBSTITUTE(SUBSTITUTE($G1336,"-"," ",LEN($G1336)-LEN(SUBSTITUTE($G1336,"-",""))),"-"," ",LEN($G1336)-LEN(SUBSTITUTE($G1336,"-",""))-1))-LEN(SUBSTITUTE(SUBSTITUTE(SUBSTITUTE($G1336,"-"," ",LEN($G1336)-LEN(SUBSTITUTE($G1336,"-",""))),"-"," ",LEN($G1336)-LEN(SUBSTITUTE($G1336,"-",""))-1),".","")))=0,SUBSTITUTE(SUBSTITUTE($G1336,"-"," ",LEN($G1336)-LEN(SUBSTITUTE($G1336,"-",""))),"-"," ",LEN($G1336)-LEN(SUBSTITUTE($G1336,"-",""))-1),SUBSTITUTE(SUBSTITUTE(SUBSTITUTE($G1336,"-"," ",LEN($G1336)-LEN(SUBSTITUTE($G1336,"-",""))),"-"," ",LEN($G1336)-LEN(SUBSTITUTE($G1336,"-",""))-1),"."," ",(LEN(SUBSTITUTE(SUBSTITUTE($G1336,"-"," ",LEN($G1336)-LEN(SUBSTITUTE($G1336,"-",""))),"-"," ",LEN($G1336)-LEN(SUBSTITUTE($G1336,"-",""))-1))-LEN(SUBSTITUTE(SUBSTITUTE(SUBSTITUTE($G1336,"-"," ",LEN($G1336)-LEN(SUBSTITUTE($G1336,"-",""))),"-"," ",LEN($G1336)-LEN(SUBSTITUTE($G1336,"-",""))-1),".",""))))),$G1336)))</f>
        <v/>
      </c>
    </row>
    <row r="1337">
      <c r="A1337" s="58" t="n"/>
      <c r="B1337" s="58">
        <f>IF($H1337="","",LEFT($H1337,FIND(" ",$H1337&amp;" ")-1))</f>
        <v/>
      </c>
      <c r="C1337" s="58">
        <f>IF($H1337="","",IFERROR(MID($H1337&amp;" ",FIND("|",SUBSTITUTE($H1337&amp;" "," ","|",1))+1,FIND("|",SUBSTITUTE($H1337&amp;" "," ","|",2))-FIND("|",SUBSTITUTE($H1337&amp;" "," ","|",1))-1),""))</f>
        <v/>
      </c>
      <c r="D1337" s="58">
        <f>IF($H1337="","",IFERROR(MID($H1337&amp;" ",FIND("|",SUBSTITUTE($H1337&amp;" "," ","|",2))+1,FIND("|",SUBSTITUTE($H1337&amp;" "," ","|",3))-FIND("|",SUBSTITUTE($H1337&amp;" "," ","|",2))-1),""))</f>
        <v/>
      </c>
      <c r="E1337" s="58">
        <f>IF($H1337="","",IFERROR(MID($H1337&amp;" ",FIND("|",SUBSTITUTE($H1337&amp;" "," ","|",3))+1,FIND("|",SUBSTITUTE($H1337&amp;" "," ","|",4))-FIND("|",SUBSTITUTE($H1337&amp;" "," ","|",3))-1),""))</f>
        <v/>
      </c>
      <c r="F1337" s="59">
        <f>IF($H1337="","",IFERROR(VALUE(IFERROR(MID($H1337&amp;" ",FIND("|",SUBSTITUTE($H1337&amp;" "," ","|",4))+1,FIND("|",SUBSTITUTE($H1337&amp;" "," ","|",5))-FIND("|",SUBSTITUTE($H1337&amp;" "," ","|",4))-1),""))/86400+25569+9/24,""))</f>
        <v/>
      </c>
      <c r="G1337" s="58">
        <f>TRIM(SUBSTITUTE(SUBSTITUTE(SUBSTITUTE($A1337,CHAR(9)," ")," "," "),CHAR(13),""))</f>
        <v/>
      </c>
      <c r="H1337" s="58">
        <f>IF($G1337="","",IF(ISNUMBER(FIND(" ",$G1337)),$G1337,IFERROR(IF((LEN(SUBSTITUTE(SUBSTITUTE($G1337,"-"," ",LEN($G1337)-LEN(SUBSTITUTE($G1337,"-",""))),"-"," ",LEN($G1337)-LEN(SUBSTITUTE($G1337,"-",""))-1))-LEN(SUBSTITUTE(SUBSTITUTE(SUBSTITUTE($G1337,"-"," ",LEN($G1337)-LEN(SUBSTITUTE($G1337,"-",""))),"-"," ",LEN($G1337)-LEN(SUBSTITUTE($G1337,"-",""))-1),".","")))=0,SUBSTITUTE(SUBSTITUTE($G1337,"-"," ",LEN($G1337)-LEN(SUBSTITUTE($G1337,"-",""))),"-"," ",LEN($G1337)-LEN(SUBSTITUTE($G1337,"-",""))-1),SUBSTITUTE(SUBSTITUTE(SUBSTITUTE($G1337,"-"," ",LEN($G1337)-LEN(SUBSTITUTE($G1337,"-",""))),"-"," ",LEN($G1337)-LEN(SUBSTITUTE($G1337,"-",""))-1),"."," ",(LEN(SUBSTITUTE(SUBSTITUTE($G1337,"-"," ",LEN($G1337)-LEN(SUBSTITUTE($G1337,"-",""))),"-"," ",LEN($G1337)-LEN(SUBSTITUTE($G1337,"-",""))-1))-LEN(SUBSTITUTE(SUBSTITUTE(SUBSTITUTE($G1337,"-"," ",LEN($G1337)-LEN(SUBSTITUTE($G1337,"-",""))),"-"," ",LEN($G1337)-LEN(SUBSTITUTE($G1337,"-",""))-1),".",""))))),$G1337)))</f>
        <v/>
      </c>
    </row>
    <row r="1338">
      <c r="A1338" s="58" t="n"/>
      <c r="B1338" s="58">
        <f>IF($H1338="","",LEFT($H1338,FIND(" ",$H1338&amp;" ")-1))</f>
        <v/>
      </c>
      <c r="C1338" s="58">
        <f>IF($H1338="","",IFERROR(MID($H1338&amp;" ",FIND("|",SUBSTITUTE($H1338&amp;" "," ","|",1))+1,FIND("|",SUBSTITUTE($H1338&amp;" "," ","|",2))-FIND("|",SUBSTITUTE($H1338&amp;" "," ","|",1))-1),""))</f>
        <v/>
      </c>
      <c r="D1338" s="58">
        <f>IF($H1338="","",IFERROR(MID($H1338&amp;" ",FIND("|",SUBSTITUTE($H1338&amp;" "," ","|",2))+1,FIND("|",SUBSTITUTE($H1338&amp;" "," ","|",3))-FIND("|",SUBSTITUTE($H1338&amp;" "," ","|",2))-1),""))</f>
        <v/>
      </c>
      <c r="E1338" s="58">
        <f>IF($H1338="","",IFERROR(MID($H1338&amp;" ",FIND("|",SUBSTITUTE($H1338&amp;" "," ","|",3))+1,FIND("|",SUBSTITUTE($H1338&amp;" "," ","|",4))-FIND("|",SUBSTITUTE($H1338&amp;" "," ","|",3))-1),""))</f>
        <v/>
      </c>
      <c r="F1338" s="59">
        <f>IF($H1338="","",IFERROR(VALUE(IFERROR(MID($H1338&amp;" ",FIND("|",SUBSTITUTE($H1338&amp;" "," ","|",4))+1,FIND("|",SUBSTITUTE($H1338&amp;" "," ","|",5))-FIND("|",SUBSTITUTE($H1338&amp;" "," ","|",4))-1),""))/86400+25569+9/24,""))</f>
        <v/>
      </c>
      <c r="G1338" s="58">
        <f>TRIM(SUBSTITUTE(SUBSTITUTE(SUBSTITUTE($A1338,CHAR(9)," ")," "," "),CHAR(13),""))</f>
        <v/>
      </c>
      <c r="H1338" s="58">
        <f>IF($G1338="","",IF(ISNUMBER(FIND(" ",$G1338)),$G1338,IFERROR(IF((LEN(SUBSTITUTE(SUBSTITUTE($G1338,"-"," ",LEN($G1338)-LEN(SUBSTITUTE($G1338,"-",""))),"-"," ",LEN($G1338)-LEN(SUBSTITUTE($G1338,"-",""))-1))-LEN(SUBSTITUTE(SUBSTITUTE(SUBSTITUTE($G1338,"-"," ",LEN($G1338)-LEN(SUBSTITUTE($G1338,"-",""))),"-"," ",LEN($G1338)-LEN(SUBSTITUTE($G1338,"-",""))-1),".","")))=0,SUBSTITUTE(SUBSTITUTE($G1338,"-"," ",LEN($G1338)-LEN(SUBSTITUTE($G1338,"-",""))),"-"," ",LEN($G1338)-LEN(SUBSTITUTE($G1338,"-",""))-1),SUBSTITUTE(SUBSTITUTE(SUBSTITUTE($G1338,"-"," ",LEN($G1338)-LEN(SUBSTITUTE($G1338,"-",""))),"-"," ",LEN($G1338)-LEN(SUBSTITUTE($G1338,"-",""))-1),"."," ",(LEN(SUBSTITUTE(SUBSTITUTE($G1338,"-"," ",LEN($G1338)-LEN(SUBSTITUTE($G1338,"-",""))),"-"," ",LEN($G1338)-LEN(SUBSTITUTE($G1338,"-",""))-1))-LEN(SUBSTITUTE(SUBSTITUTE(SUBSTITUTE($G1338,"-"," ",LEN($G1338)-LEN(SUBSTITUTE($G1338,"-",""))),"-"," ",LEN($G1338)-LEN(SUBSTITUTE($G1338,"-",""))-1),".",""))))),$G1338)))</f>
        <v/>
      </c>
    </row>
    <row r="1339">
      <c r="A1339" s="58" t="n"/>
      <c r="B1339" s="58">
        <f>IF($H1339="","",LEFT($H1339,FIND(" ",$H1339&amp;" ")-1))</f>
        <v/>
      </c>
      <c r="C1339" s="58">
        <f>IF($H1339="","",IFERROR(MID($H1339&amp;" ",FIND("|",SUBSTITUTE($H1339&amp;" "," ","|",1))+1,FIND("|",SUBSTITUTE($H1339&amp;" "," ","|",2))-FIND("|",SUBSTITUTE($H1339&amp;" "," ","|",1))-1),""))</f>
        <v/>
      </c>
      <c r="D1339" s="58">
        <f>IF($H1339="","",IFERROR(MID($H1339&amp;" ",FIND("|",SUBSTITUTE($H1339&amp;" "," ","|",2))+1,FIND("|",SUBSTITUTE($H1339&amp;" "," ","|",3))-FIND("|",SUBSTITUTE($H1339&amp;" "," ","|",2))-1),""))</f>
        <v/>
      </c>
      <c r="E1339" s="58">
        <f>IF($H1339="","",IFERROR(MID($H1339&amp;" ",FIND("|",SUBSTITUTE($H1339&amp;" "," ","|",3))+1,FIND("|",SUBSTITUTE($H1339&amp;" "," ","|",4))-FIND("|",SUBSTITUTE($H1339&amp;" "," ","|",3))-1),""))</f>
        <v/>
      </c>
      <c r="F1339" s="59">
        <f>IF($H1339="","",IFERROR(VALUE(IFERROR(MID($H1339&amp;" ",FIND("|",SUBSTITUTE($H1339&amp;" "," ","|",4))+1,FIND("|",SUBSTITUTE($H1339&amp;" "," ","|",5))-FIND("|",SUBSTITUTE($H1339&amp;" "," ","|",4))-1),""))/86400+25569+9/24,""))</f>
        <v/>
      </c>
      <c r="G1339" s="58">
        <f>TRIM(SUBSTITUTE(SUBSTITUTE(SUBSTITUTE($A1339,CHAR(9)," ")," "," "),CHAR(13),""))</f>
        <v/>
      </c>
      <c r="H1339" s="58">
        <f>IF($G1339="","",IF(ISNUMBER(FIND(" ",$G1339)),$G1339,IFERROR(IF((LEN(SUBSTITUTE(SUBSTITUTE($G1339,"-"," ",LEN($G1339)-LEN(SUBSTITUTE($G1339,"-",""))),"-"," ",LEN($G1339)-LEN(SUBSTITUTE($G1339,"-",""))-1))-LEN(SUBSTITUTE(SUBSTITUTE(SUBSTITUTE($G1339,"-"," ",LEN($G1339)-LEN(SUBSTITUTE($G1339,"-",""))),"-"," ",LEN($G1339)-LEN(SUBSTITUTE($G1339,"-",""))-1),".","")))=0,SUBSTITUTE(SUBSTITUTE($G1339,"-"," ",LEN($G1339)-LEN(SUBSTITUTE($G1339,"-",""))),"-"," ",LEN($G1339)-LEN(SUBSTITUTE($G1339,"-",""))-1),SUBSTITUTE(SUBSTITUTE(SUBSTITUTE($G1339,"-"," ",LEN($G1339)-LEN(SUBSTITUTE($G1339,"-",""))),"-"," ",LEN($G1339)-LEN(SUBSTITUTE($G1339,"-",""))-1),"."," ",(LEN(SUBSTITUTE(SUBSTITUTE($G1339,"-"," ",LEN($G1339)-LEN(SUBSTITUTE($G1339,"-",""))),"-"," ",LEN($G1339)-LEN(SUBSTITUTE($G1339,"-",""))-1))-LEN(SUBSTITUTE(SUBSTITUTE(SUBSTITUTE($G1339,"-"," ",LEN($G1339)-LEN(SUBSTITUTE($G1339,"-",""))),"-"," ",LEN($G1339)-LEN(SUBSTITUTE($G1339,"-",""))-1),".",""))))),$G1339)))</f>
        <v/>
      </c>
    </row>
    <row r="1340">
      <c r="A1340" s="58" t="n"/>
      <c r="B1340" s="58">
        <f>IF($H1340="","",LEFT($H1340,FIND(" ",$H1340&amp;" ")-1))</f>
        <v/>
      </c>
      <c r="C1340" s="58">
        <f>IF($H1340="","",IFERROR(MID($H1340&amp;" ",FIND("|",SUBSTITUTE($H1340&amp;" "," ","|",1))+1,FIND("|",SUBSTITUTE($H1340&amp;" "," ","|",2))-FIND("|",SUBSTITUTE($H1340&amp;" "," ","|",1))-1),""))</f>
        <v/>
      </c>
      <c r="D1340" s="58">
        <f>IF($H1340="","",IFERROR(MID($H1340&amp;" ",FIND("|",SUBSTITUTE($H1340&amp;" "," ","|",2))+1,FIND("|",SUBSTITUTE($H1340&amp;" "," ","|",3))-FIND("|",SUBSTITUTE($H1340&amp;" "," ","|",2))-1),""))</f>
        <v/>
      </c>
      <c r="E1340" s="58">
        <f>IF($H1340="","",IFERROR(MID($H1340&amp;" ",FIND("|",SUBSTITUTE($H1340&amp;" "," ","|",3))+1,FIND("|",SUBSTITUTE($H1340&amp;" "," ","|",4))-FIND("|",SUBSTITUTE($H1340&amp;" "," ","|",3))-1),""))</f>
        <v/>
      </c>
      <c r="F1340" s="59">
        <f>IF($H1340="","",IFERROR(VALUE(IFERROR(MID($H1340&amp;" ",FIND("|",SUBSTITUTE($H1340&amp;" "," ","|",4))+1,FIND("|",SUBSTITUTE($H1340&amp;" "," ","|",5))-FIND("|",SUBSTITUTE($H1340&amp;" "," ","|",4))-1),""))/86400+25569+9/24,""))</f>
        <v/>
      </c>
      <c r="G1340" s="58">
        <f>TRIM(SUBSTITUTE(SUBSTITUTE(SUBSTITUTE($A1340,CHAR(9)," ")," "," "),CHAR(13),""))</f>
        <v/>
      </c>
      <c r="H1340" s="58">
        <f>IF($G1340="","",IF(ISNUMBER(FIND(" ",$G1340)),$G1340,IFERROR(IF((LEN(SUBSTITUTE(SUBSTITUTE($G1340,"-"," ",LEN($G1340)-LEN(SUBSTITUTE($G1340,"-",""))),"-"," ",LEN($G1340)-LEN(SUBSTITUTE($G1340,"-",""))-1))-LEN(SUBSTITUTE(SUBSTITUTE(SUBSTITUTE($G1340,"-"," ",LEN($G1340)-LEN(SUBSTITUTE($G1340,"-",""))),"-"," ",LEN($G1340)-LEN(SUBSTITUTE($G1340,"-",""))-1),".","")))=0,SUBSTITUTE(SUBSTITUTE($G1340,"-"," ",LEN($G1340)-LEN(SUBSTITUTE($G1340,"-",""))),"-"," ",LEN($G1340)-LEN(SUBSTITUTE($G1340,"-",""))-1),SUBSTITUTE(SUBSTITUTE(SUBSTITUTE($G1340,"-"," ",LEN($G1340)-LEN(SUBSTITUTE($G1340,"-",""))),"-"," ",LEN($G1340)-LEN(SUBSTITUTE($G1340,"-",""))-1),"."," ",(LEN(SUBSTITUTE(SUBSTITUTE($G1340,"-"," ",LEN($G1340)-LEN(SUBSTITUTE($G1340,"-",""))),"-"," ",LEN($G1340)-LEN(SUBSTITUTE($G1340,"-",""))-1))-LEN(SUBSTITUTE(SUBSTITUTE(SUBSTITUTE($G1340,"-"," ",LEN($G1340)-LEN(SUBSTITUTE($G1340,"-",""))),"-"," ",LEN($G1340)-LEN(SUBSTITUTE($G1340,"-",""))-1),".",""))))),$G1340)))</f>
        <v/>
      </c>
    </row>
    <row r="1341">
      <c r="A1341" s="58" t="n"/>
      <c r="B1341" s="58">
        <f>IF($H1341="","",LEFT($H1341,FIND(" ",$H1341&amp;" ")-1))</f>
        <v/>
      </c>
      <c r="C1341" s="58">
        <f>IF($H1341="","",IFERROR(MID($H1341&amp;" ",FIND("|",SUBSTITUTE($H1341&amp;" "," ","|",1))+1,FIND("|",SUBSTITUTE($H1341&amp;" "," ","|",2))-FIND("|",SUBSTITUTE($H1341&amp;" "," ","|",1))-1),""))</f>
        <v/>
      </c>
      <c r="D1341" s="58">
        <f>IF($H1341="","",IFERROR(MID($H1341&amp;" ",FIND("|",SUBSTITUTE($H1341&amp;" "," ","|",2))+1,FIND("|",SUBSTITUTE($H1341&amp;" "," ","|",3))-FIND("|",SUBSTITUTE($H1341&amp;" "," ","|",2))-1),""))</f>
        <v/>
      </c>
      <c r="E1341" s="58">
        <f>IF($H1341="","",IFERROR(MID($H1341&amp;" ",FIND("|",SUBSTITUTE($H1341&amp;" "," ","|",3))+1,FIND("|",SUBSTITUTE($H1341&amp;" "," ","|",4))-FIND("|",SUBSTITUTE($H1341&amp;" "," ","|",3))-1),""))</f>
        <v/>
      </c>
      <c r="F1341" s="59">
        <f>IF($H1341="","",IFERROR(VALUE(IFERROR(MID($H1341&amp;" ",FIND("|",SUBSTITUTE($H1341&amp;" "," ","|",4))+1,FIND("|",SUBSTITUTE($H1341&amp;" "," ","|",5))-FIND("|",SUBSTITUTE($H1341&amp;" "," ","|",4))-1),""))/86400+25569+9/24,""))</f>
        <v/>
      </c>
      <c r="G1341" s="58">
        <f>TRIM(SUBSTITUTE(SUBSTITUTE(SUBSTITUTE($A1341,CHAR(9)," ")," "," "),CHAR(13),""))</f>
        <v/>
      </c>
      <c r="H1341" s="58">
        <f>IF($G1341="","",IF(ISNUMBER(FIND(" ",$G1341)),$G1341,IFERROR(IF((LEN(SUBSTITUTE(SUBSTITUTE($G1341,"-"," ",LEN($G1341)-LEN(SUBSTITUTE($G1341,"-",""))),"-"," ",LEN($G1341)-LEN(SUBSTITUTE($G1341,"-",""))-1))-LEN(SUBSTITUTE(SUBSTITUTE(SUBSTITUTE($G1341,"-"," ",LEN($G1341)-LEN(SUBSTITUTE($G1341,"-",""))),"-"," ",LEN($G1341)-LEN(SUBSTITUTE($G1341,"-",""))-1),".","")))=0,SUBSTITUTE(SUBSTITUTE($G1341,"-"," ",LEN($G1341)-LEN(SUBSTITUTE($G1341,"-",""))),"-"," ",LEN($G1341)-LEN(SUBSTITUTE($G1341,"-",""))-1),SUBSTITUTE(SUBSTITUTE(SUBSTITUTE($G1341,"-"," ",LEN($G1341)-LEN(SUBSTITUTE($G1341,"-",""))),"-"," ",LEN($G1341)-LEN(SUBSTITUTE($G1341,"-",""))-1),"."," ",(LEN(SUBSTITUTE(SUBSTITUTE($G1341,"-"," ",LEN($G1341)-LEN(SUBSTITUTE($G1341,"-",""))),"-"," ",LEN($G1341)-LEN(SUBSTITUTE($G1341,"-",""))-1))-LEN(SUBSTITUTE(SUBSTITUTE(SUBSTITUTE($G1341,"-"," ",LEN($G1341)-LEN(SUBSTITUTE($G1341,"-",""))),"-"," ",LEN($G1341)-LEN(SUBSTITUTE($G1341,"-",""))-1),".",""))))),$G1341)))</f>
        <v/>
      </c>
    </row>
    <row r="1342">
      <c r="A1342" s="58" t="n"/>
      <c r="B1342" s="58">
        <f>IF($H1342="","",LEFT($H1342,FIND(" ",$H1342&amp;" ")-1))</f>
        <v/>
      </c>
      <c r="C1342" s="58">
        <f>IF($H1342="","",IFERROR(MID($H1342&amp;" ",FIND("|",SUBSTITUTE($H1342&amp;" "," ","|",1))+1,FIND("|",SUBSTITUTE($H1342&amp;" "," ","|",2))-FIND("|",SUBSTITUTE($H1342&amp;" "," ","|",1))-1),""))</f>
        <v/>
      </c>
      <c r="D1342" s="58">
        <f>IF($H1342="","",IFERROR(MID($H1342&amp;" ",FIND("|",SUBSTITUTE($H1342&amp;" "," ","|",2))+1,FIND("|",SUBSTITUTE($H1342&amp;" "," ","|",3))-FIND("|",SUBSTITUTE($H1342&amp;" "," ","|",2))-1),""))</f>
        <v/>
      </c>
      <c r="E1342" s="58">
        <f>IF($H1342="","",IFERROR(MID($H1342&amp;" ",FIND("|",SUBSTITUTE($H1342&amp;" "," ","|",3))+1,FIND("|",SUBSTITUTE($H1342&amp;" "," ","|",4))-FIND("|",SUBSTITUTE($H1342&amp;" "," ","|",3))-1),""))</f>
        <v/>
      </c>
      <c r="F1342" s="59">
        <f>IF($H1342="","",IFERROR(VALUE(IFERROR(MID($H1342&amp;" ",FIND("|",SUBSTITUTE($H1342&amp;" "," ","|",4))+1,FIND("|",SUBSTITUTE($H1342&amp;" "," ","|",5))-FIND("|",SUBSTITUTE($H1342&amp;" "," ","|",4))-1),""))/86400+25569+9/24,""))</f>
        <v/>
      </c>
      <c r="G1342" s="58">
        <f>TRIM(SUBSTITUTE(SUBSTITUTE(SUBSTITUTE($A1342,CHAR(9)," ")," "," "),CHAR(13),""))</f>
        <v/>
      </c>
      <c r="H1342" s="58">
        <f>IF($G1342="","",IF(ISNUMBER(FIND(" ",$G1342)),$G1342,IFERROR(IF((LEN(SUBSTITUTE(SUBSTITUTE($G1342,"-"," ",LEN($G1342)-LEN(SUBSTITUTE($G1342,"-",""))),"-"," ",LEN($G1342)-LEN(SUBSTITUTE($G1342,"-",""))-1))-LEN(SUBSTITUTE(SUBSTITUTE(SUBSTITUTE($G1342,"-"," ",LEN($G1342)-LEN(SUBSTITUTE($G1342,"-",""))),"-"," ",LEN($G1342)-LEN(SUBSTITUTE($G1342,"-",""))-1),".","")))=0,SUBSTITUTE(SUBSTITUTE($G1342,"-"," ",LEN($G1342)-LEN(SUBSTITUTE($G1342,"-",""))),"-"," ",LEN($G1342)-LEN(SUBSTITUTE($G1342,"-",""))-1),SUBSTITUTE(SUBSTITUTE(SUBSTITUTE($G1342,"-"," ",LEN($G1342)-LEN(SUBSTITUTE($G1342,"-",""))),"-"," ",LEN($G1342)-LEN(SUBSTITUTE($G1342,"-",""))-1),"."," ",(LEN(SUBSTITUTE(SUBSTITUTE($G1342,"-"," ",LEN($G1342)-LEN(SUBSTITUTE($G1342,"-",""))),"-"," ",LEN($G1342)-LEN(SUBSTITUTE($G1342,"-",""))-1))-LEN(SUBSTITUTE(SUBSTITUTE(SUBSTITUTE($G1342,"-"," ",LEN($G1342)-LEN(SUBSTITUTE($G1342,"-",""))),"-"," ",LEN($G1342)-LEN(SUBSTITUTE($G1342,"-",""))-1),".",""))))),$G1342)))</f>
        <v/>
      </c>
    </row>
    <row r="1343">
      <c r="A1343" s="58" t="n"/>
      <c r="B1343" s="58">
        <f>IF($H1343="","",LEFT($H1343,FIND(" ",$H1343&amp;" ")-1))</f>
        <v/>
      </c>
      <c r="C1343" s="58">
        <f>IF($H1343="","",IFERROR(MID($H1343&amp;" ",FIND("|",SUBSTITUTE($H1343&amp;" "," ","|",1))+1,FIND("|",SUBSTITUTE($H1343&amp;" "," ","|",2))-FIND("|",SUBSTITUTE($H1343&amp;" "," ","|",1))-1),""))</f>
        <v/>
      </c>
      <c r="D1343" s="58">
        <f>IF($H1343="","",IFERROR(MID($H1343&amp;" ",FIND("|",SUBSTITUTE($H1343&amp;" "," ","|",2))+1,FIND("|",SUBSTITUTE($H1343&amp;" "," ","|",3))-FIND("|",SUBSTITUTE($H1343&amp;" "," ","|",2))-1),""))</f>
        <v/>
      </c>
      <c r="E1343" s="58">
        <f>IF($H1343="","",IFERROR(MID($H1343&amp;" ",FIND("|",SUBSTITUTE($H1343&amp;" "," ","|",3))+1,FIND("|",SUBSTITUTE($H1343&amp;" "," ","|",4))-FIND("|",SUBSTITUTE($H1343&amp;" "," ","|",3))-1),""))</f>
        <v/>
      </c>
      <c r="F1343" s="59">
        <f>IF($H1343="","",IFERROR(VALUE(IFERROR(MID($H1343&amp;" ",FIND("|",SUBSTITUTE($H1343&amp;" "," ","|",4))+1,FIND("|",SUBSTITUTE($H1343&amp;" "," ","|",5))-FIND("|",SUBSTITUTE($H1343&amp;" "," ","|",4))-1),""))/86400+25569+9/24,""))</f>
        <v/>
      </c>
      <c r="G1343" s="58">
        <f>TRIM(SUBSTITUTE(SUBSTITUTE(SUBSTITUTE($A1343,CHAR(9)," ")," "," "),CHAR(13),""))</f>
        <v/>
      </c>
      <c r="H1343" s="58">
        <f>IF($G1343="","",IF(ISNUMBER(FIND(" ",$G1343)),$G1343,IFERROR(IF((LEN(SUBSTITUTE(SUBSTITUTE($G1343,"-"," ",LEN($G1343)-LEN(SUBSTITUTE($G1343,"-",""))),"-"," ",LEN($G1343)-LEN(SUBSTITUTE($G1343,"-",""))-1))-LEN(SUBSTITUTE(SUBSTITUTE(SUBSTITUTE($G1343,"-"," ",LEN($G1343)-LEN(SUBSTITUTE($G1343,"-",""))),"-"," ",LEN($G1343)-LEN(SUBSTITUTE($G1343,"-",""))-1),".","")))=0,SUBSTITUTE(SUBSTITUTE($G1343,"-"," ",LEN($G1343)-LEN(SUBSTITUTE($G1343,"-",""))),"-"," ",LEN($G1343)-LEN(SUBSTITUTE($G1343,"-",""))-1),SUBSTITUTE(SUBSTITUTE(SUBSTITUTE($G1343,"-"," ",LEN($G1343)-LEN(SUBSTITUTE($G1343,"-",""))),"-"," ",LEN($G1343)-LEN(SUBSTITUTE($G1343,"-",""))-1),"."," ",(LEN(SUBSTITUTE(SUBSTITUTE($G1343,"-"," ",LEN($G1343)-LEN(SUBSTITUTE($G1343,"-",""))),"-"," ",LEN($G1343)-LEN(SUBSTITUTE($G1343,"-",""))-1))-LEN(SUBSTITUTE(SUBSTITUTE(SUBSTITUTE($G1343,"-"," ",LEN($G1343)-LEN(SUBSTITUTE($G1343,"-",""))),"-"," ",LEN($G1343)-LEN(SUBSTITUTE($G1343,"-",""))-1),".",""))))),$G1343)))</f>
        <v/>
      </c>
    </row>
    <row r="1344">
      <c r="A1344" s="58" t="n"/>
      <c r="B1344" s="58">
        <f>IF($H1344="","",LEFT($H1344,FIND(" ",$H1344&amp;" ")-1))</f>
        <v/>
      </c>
      <c r="C1344" s="58">
        <f>IF($H1344="","",IFERROR(MID($H1344&amp;" ",FIND("|",SUBSTITUTE($H1344&amp;" "," ","|",1))+1,FIND("|",SUBSTITUTE($H1344&amp;" "," ","|",2))-FIND("|",SUBSTITUTE($H1344&amp;" "," ","|",1))-1),""))</f>
        <v/>
      </c>
      <c r="D1344" s="58">
        <f>IF($H1344="","",IFERROR(MID($H1344&amp;" ",FIND("|",SUBSTITUTE($H1344&amp;" "," ","|",2))+1,FIND("|",SUBSTITUTE($H1344&amp;" "," ","|",3))-FIND("|",SUBSTITUTE($H1344&amp;" "," ","|",2))-1),""))</f>
        <v/>
      </c>
      <c r="E1344" s="58">
        <f>IF($H1344="","",IFERROR(MID($H1344&amp;" ",FIND("|",SUBSTITUTE($H1344&amp;" "," ","|",3))+1,FIND("|",SUBSTITUTE($H1344&amp;" "," ","|",4))-FIND("|",SUBSTITUTE($H1344&amp;" "," ","|",3))-1),""))</f>
        <v/>
      </c>
      <c r="F1344" s="59">
        <f>IF($H1344="","",IFERROR(VALUE(IFERROR(MID($H1344&amp;" ",FIND("|",SUBSTITUTE($H1344&amp;" "," ","|",4))+1,FIND("|",SUBSTITUTE($H1344&amp;" "," ","|",5))-FIND("|",SUBSTITUTE($H1344&amp;" "," ","|",4))-1),""))/86400+25569+9/24,""))</f>
        <v/>
      </c>
      <c r="G1344" s="58">
        <f>TRIM(SUBSTITUTE(SUBSTITUTE(SUBSTITUTE($A1344,CHAR(9)," ")," "," "),CHAR(13),""))</f>
        <v/>
      </c>
      <c r="H1344" s="58">
        <f>IF($G1344="","",IF(ISNUMBER(FIND(" ",$G1344)),$G1344,IFERROR(IF((LEN(SUBSTITUTE(SUBSTITUTE($G1344,"-"," ",LEN($G1344)-LEN(SUBSTITUTE($G1344,"-",""))),"-"," ",LEN($G1344)-LEN(SUBSTITUTE($G1344,"-",""))-1))-LEN(SUBSTITUTE(SUBSTITUTE(SUBSTITUTE($G1344,"-"," ",LEN($G1344)-LEN(SUBSTITUTE($G1344,"-",""))),"-"," ",LEN($G1344)-LEN(SUBSTITUTE($G1344,"-",""))-1),".","")))=0,SUBSTITUTE(SUBSTITUTE($G1344,"-"," ",LEN($G1344)-LEN(SUBSTITUTE($G1344,"-",""))),"-"," ",LEN($G1344)-LEN(SUBSTITUTE($G1344,"-",""))-1),SUBSTITUTE(SUBSTITUTE(SUBSTITUTE($G1344,"-"," ",LEN($G1344)-LEN(SUBSTITUTE($G1344,"-",""))),"-"," ",LEN($G1344)-LEN(SUBSTITUTE($G1344,"-",""))-1),"."," ",(LEN(SUBSTITUTE(SUBSTITUTE($G1344,"-"," ",LEN($G1344)-LEN(SUBSTITUTE($G1344,"-",""))),"-"," ",LEN($G1344)-LEN(SUBSTITUTE($G1344,"-",""))-1))-LEN(SUBSTITUTE(SUBSTITUTE(SUBSTITUTE($G1344,"-"," ",LEN($G1344)-LEN(SUBSTITUTE($G1344,"-",""))),"-"," ",LEN($G1344)-LEN(SUBSTITUTE($G1344,"-",""))-1),".",""))))),$G1344)))</f>
        <v/>
      </c>
    </row>
    <row r="1345">
      <c r="A1345" s="58" t="n"/>
      <c r="B1345" s="58">
        <f>IF($H1345="","",LEFT($H1345,FIND(" ",$H1345&amp;" ")-1))</f>
        <v/>
      </c>
      <c r="C1345" s="58">
        <f>IF($H1345="","",IFERROR(MID($H1345&amp;" ",FIND("|",SUBSTITUTE($H1345&amp;" "," ","|",1))+1,FIND("|",SUBSTITUTE($H1345&amp;" "," ","|",2))-FIND("|",SUBSTITUTE($H1345&amp;" "," ","|",1))-1),""))</f>
        <v/>
      </c>
      <c r="D1345" s="58">
        <f>IF($H1345="","",IFERROR(MID($H1345&amp;" ",FIND("|",SUBSTITUTE($H1345&amp;" "," ","|",2))+1,FIND("|",SUBSTITUTE($H1345&amp;" "," ","|",3))-FIND("|",SUBSTITUTE($H1345&amp;" "," ","|",2))-1),""))</f>
        <v/>
      </c>
      <c r="E1345" s="58">
        <f>IF($H1345="","",IFERROR(MID($H1345&amp;" ",FIND("|",SUBSTITUTE($H1345&amp;" "," ","|",3))+1,FIND("|",SUBSTITUTE($H1345&amp;" "," ","|",4))-FIND("|",SUBSTITUTE($H1345&amp;" "," ","|",3))-1),""))</f>
        <v/>
      </c>
      <c r="F1345" s="59">
        <f>IF($H1345="","",IFERROR(VALUE(IFERROR(MID($H1345&amp;" ",FIND("|",SUBSTITUTE($H1345&amp;" "," ","|",4))+1,FIND("|",SUBSTITUTE($H1345&amp;" "," ","|",5))-FIND("|",SUBSTITUTE($H1345&amp;" "," ","|",4))-1),""))/86400+25569+9/24,""))</f>
        <v/>
      </c>
      <c r="G1345" s="58">
        <f>TRIM(SUBSTITUTE(SUBSTITUTE(SUBSTITUTE($A1345,CHAR(9)," ")," "," "),CHAR(13),""))</f>
        <v/>
      </c>
      <c r="H1345" s="58">
        <f>IF($G1345="","",IF(ISNUMBER(FIND(" ",$G1345)),$G1345,IFERROR(IF((LEN(SUBSTITUTE(SUBSTITUTE($G1345,"-"," ",LEN($G1345)-LEN(SUBSTITUTE($G1345,"-",""))),"-"," ",LEN($G1345)-LEN(SUBSTITUTE($G1345,"-",""))-1))-LEN(SUBSTITUTE(SUBSTITUTE(SUBSTITUTE($G1345,"-"," ",LEN($G1345)-LEN(SUBSTITUTE($G1345,"-",""))),"-"," ",LEN($G1345)-LEN(SUBSTITUTE($G1345,"-",""))-1),".","")))=0,SUBSTITUTE(SUBSTITUTE($G1345,"-"," ",LEN($G1345)-LEN(SUBSTITUTE($G1345,"-",""))),"-"," ",LEN($G1345)-LEN(SUBSTITUTE($G1345,"-",""))-1),SUBSTITUTE(SUBSTITUTE(SUBSTITUTE($G1345,"-"," ",LEN($G1345)-LEN(SUBSTITUTE($G1345,"-",""))),"-"," ",LEN($G1345)-LEN(SUBSTITUTE($G1345,"-",""))-1),"."," ",(LEN(SUBSTITUTE(SUBSTITUTE($G1345,"-"," ",LEN($G1345)-LEN(SUBSTITUTE($G1345,"-",""))),"-"," ",LEN($G1345)-LEN(SUBSTITUTE($G1345,"-",""))-1))-LEN(SUBSTITUTE(SUBSTITUTE(SUBSTITUTE($G1345,"-"," ",LEN($G1345)-LEN(SUBSTITUTE($G1345,"-",""))),"-"," ",LEN($G1345)-LEN(SUBSTITUTE($G1345,"-",""))-1),".",""))))),$G1345)))</f>
        <v/>
      </c>
    </row>
    <row r="1346">
      <c r="A1346" s="58" t="n"/>
      <c r="B1346" s="58">
        <f>IF($H1346="","",LEFT($H1346,FIND(" ",$H1346&amp;" ")-1))</f>
        <v/>
      </c>
      <c r="C1346" s="58">
        <f>IF($H1346="","",IFERROR(MID($H1346&amp;" ",FIND("|",SUBSTITUTE($H1346&amp;" "," ","|",1))+1,FIND("|",SUBSTITUTE($H1346&amp;" "," ","|",2))-FIND("|",SUBSTITUTE($H1346&amp;" "," ","|",1))-1),""))</f>
        <v/>
      </c>
      <c r="D1346" s="58">
        <f>IF($H1346="","",IFERROR(MID($H1346&amp;" ",FIND("|",SUBSTITUTE($H1346&amp;" "," ","|",2))+1,FIND("|",SUBSTITUTE($H1346&amp;" "," ","|",3))-FIND("|",SUBSTITUTE($H1346&amp;" "," ","|",2))-1),""))</f>
        <v/>
      </c>
      <c r="E1346" s="58">
        <f>IF($H1346="","",IFERROR(MID($H1346&amp;" ",FIND("|",SUBSTITUTE($H1346&amp;" "," ","|",3))+1,FIND("|",SUBSTITUTE($H1346&amp;" "," ","|",4))-FIND("|",SUBSTITUTE($H1346&amp;" "," ","|",3))-1),""))</f>
        <v/>
      </c>
      <c r="F1346" s="59">
        <f>IF($H1346="","",IFERROR(VALUE(IFERROR(MID($H1346&amp;" ",FIND("|",SUBSTITUTE($H1346&amp;" "," ","|",4))+1,FIND("|",SUBSTITUTE($H1346&amp;" "," ","|",5))-FIND("|",SUBSTITUTE($H1346&amp;" "," ","|",4))-1),""))/86400+25569+9/24,""))</f>
        <v/>
      </c>
      <c r="G1346" s="58">
        <f>TRIM(SUBSTITUTE(SUBSTITUTE(SUBSTITUTE($A1346,CHAR(9)," ")," "," "),CHAR(13),""))</f>
        <v/>
      </c>
      <c r="H1346" s="58">
        <f>IF($G1346="","",IF(ISNUMBER(FIND(" ",$G1346)),$G1346,IFERROR(IF((LEN(SUBSTITUTE(SUBSTITUTE($G1346,"-"," ",LEN($G1346)-LEN(SUBSTITUTE($G1346,"-",""))),"-"," ",LEN($G1346)-LEN(SUBSTITUTE($G1346,"-",""))-1))-LEN(SUBSTITUTE(SUBSTITUTE(SUBSTITUTE($G1346,"-"," ",LEN($G1346)-LEN(SUBSTITUTE($G1346,"-",""))),"-"," ",LEN($G1346)-LEN(SUBSTITUTE($G1346,"-",""))-1),".","")))=0,SUBSTITUTE(SUBSTITUTE($G1346,"-"," ",LEN($G1346)-LEN(SUBSTITUTE($G1346,"-",""))),"-"," ",LEN($G1346)-LEN(SUBSTITUTE($G1346,"-",""))-1),SUBSTITUTE(SUBSTITUTE(SUBSTITUTE($G1346,"-"," ",LEN($G1346)-LEN(SUBSTITUTE($G1346,"-",""))),"-"," ",LEN($G1346)-LEN(SUBSTITUTE($G1346,"-",""))-1),"."," ",(LEN(SUBSTITUTE(SUBSTITUTE($G1346,"-"," ",LEN($G1346)-LEN(SUBSTITUTE($G1346,"-",""))),"-"," ",LEN($G1346)-LEN(SUBSTITUTE($G1346,"-",""))-1))-LEN(SUBSTITUTE(SUBSTITUTE(SUBSTITUTE($G1346,"-"," ",LEN($G1346)-LEN(SUBSTITUTE($G1346,"-",""))),"-"," ",LEN($G1346)-LEN(SUBSTITUTE($G1346,"-",""))-1),".",""))))),$G1346)))</f>
        <v/>
      </c>
    </row>
    <row r="1347">
      <c r="A1347" s="58" t="n"/>
      <c r="B1347" s="58">
        <f>IF($H1347="","",LEFT($H1347,FIND(" ",$H1347&amp;" ")-1))</f>
        <v/>
      </c>
      <c r="C1347" s="58">
        <f>IF($H1347="","",IFERROR(MID($H1347&amp;" ",FIND("|",SUBSTITUTE($H1347&amp;" "," ","|",1))+1,FIND("|",SUBSTITUTE($H1347&amp;" "," ","|",2))-FIND("|",SUBSTITUTE($H1347&amp;" "," ","|",1))-1),""))</f>
        <v/>
      </c>
      <c r="D1347" s="58">
        <f>IF($H1347="","",IFERROR(MID($H1347&amp;" ",FIND("|",SUBSTITUTE($H1347&amp;" "," ","|",2))+1,FIND("|",SUBSTITUTE($H1347&amp;" "," ","|",3))-FIND("|",SUBSTITUTE($H1347&amp;" "," ","|",2))-1),""))</f>
        <v/>
      </c>
      <c r="E1347" s="58">
        <f>IF($H1347="","",IFERROR(MID($H1347&amp;" ",FIND("|",SUBSTITUTE($H1347&amp;" "," ","|",3))+1,FIND("|",SUBSTITUTE($H1347&amp;" "," ","|",4))-FIND("|",SUBSTITUTE($H1347&amp;" "," ","|",3))-1),""))</f>
        <v/>
      </c>
      <c r="F1347" s="59">
        <f>IF($H1347="","",IFERROR(VALUE(IFERROR(MID($H1347&amp;" ",FIND("|",SUBSTITUTE($H1347&amp;" "," ","|",4))+1,FIND("|",SUBSTITUTE($H1347&amp;" "," ","|",5))-FIND("|",SUBSTITUTE($H1347&amp;" "," ","|",4))-1),""))/86400+25569+9/24,""))</f>
        <v/>
      </c>
      <c r="G1347" s="58">
        <f>TRIM(SUBSTITUTE(SUBSTITUTE(SUBSTITUTE($A1347,CHAR(9)," ")," "," "),CHAR(13),""))</f>
        <v/>
      </c>
      <c r="H1347" s="58">
        <f>IF($G1347="","",IF(ISNUMBER(FIND(" ",$G1347)),$G1347,IFERROR(IF((LEN(SUBSTITUTE(SUBSTITUTE($G1347,"-"," ",LEN($G1347)-LEN(SUBSTITUTE($G1347,"-",""))),"-"," ",LEN($G1347)-LEN(SUBSTITUTE($G1347,"-",""))-1))-LEN(SUBSTITUTE(SUBSTITUTE(SUBSTITUTE($G1347,"-"," ",LEN($G1347)-LEN(SUBSTITUTE($G1347,"-",""))),"-"," ",LEN($G1347)-LEN(SUBSTITUTE($G1347,"-",""))-1),".","")))=0,SUBSTITUTE(SUBSTITUTE($G1347,"-"," ",LEN($G1347)-LEN(SUBSTITUTE($G1347,"-",""))),"-"," ",LEN($G1347)-LEN(SUBSTITUTE($G1347,"-",""))-1),SUBSTITUTE(SUBSTITUTE(SUBSTITUTE($G1347,"-"," ",LEN($G1347)-LEN(SUBSTITUTE($G1347,"-",""))),"-"," ",LEN($G1347)-LEN(SUBSTITUTE($G1347,"-",""))-1),"."," ",(LEN(SUBSTITUTE(SUBSTITUTE($G1347,"-"," ",LEN($G1347)-LEN(SUBSTITUTE($G1347,"-",""))),"-"," ",LEN($G1347)-LEN(SUBSTITUTE($G1347,"-",""))-1))-LEN(SUBSTITUTE(SUBSTITUTE(SUBSTITUTE($G1347,"-"," ",LEN($G1347)-LEN(SUBSTITUTE($G1347,"-",""))),"-"," ",LEN($G1347)-LEN(SUBSTITUTE($G1347,"-",""))-1),".",""))))),$G1347)))</f>
        <v/>
      </c>
    </row>
    <row r="1348">
      <c r="A1348" s="58" t="n"/>
      <c r="B1348" s="58">
        <f>IF($H1348="","",LEFT($H1348,FIND(" ",$H1348&amp;" ")-1))</f>
        <v/>
      </c>
      <c r="C1348" s="58">
        <f>IF($H1348="","",IFERROR(MID($H1348&amp;" ",FIND("|",SUBSTITUTE($H1348&amp;" "," ","|",1))+1,FIND("|",SUBSTITUTE($H1348&amp;" "," ","|",2))-FIND("|",SUBSTITUTE($H1348&amp;" "," ","|",1))-1),""))</f>
        <v/>
      </c>
      <c r="D1348" s="58">
        <f>IF($H1348="","",IFERROR(MID($H1348&amp;" ",FIND("|",SUBSTITUTE($H1348&amp;" "," ","|",2))+1,FIND("|",SUBSTITUTE($H1348&amp;" "," ","|",3))-FIND("|",SUBSTITUTE($H1348&amp;" "," ","|",2))-1),""))</f>
        <v/>
      </c>
      <c r="E1348" s="58">
        <f>IF($H1348="","",IFERROR(MID($H1348&amp;" ",FIND("|",SUBSTITUTE($H1348&amp;" "," ","|",3))+1,FIND("|",SUBSTITUTE($H1348&amp;" "," ","|",4))-FIND("|",SUBSTITUTE($H1348&amp;" "," ","|",3))-1),""))</f>
        <v/>
      </c>
      <c r="F1348" s="59">
        <f>IF($H1348="","",IFERROR(VALUE(IFERROR(MID($H1348&amp;" ",FIND("|",SUBSTITUTE($H1348&amp;" "," ","|",4))+1,FIND("|",SUBSTITUTE($H1348&amp;" "," ","|",5))-FIND("|",SUBSTITUTE($H1348&amp;" "," ","|",4))-1),""))/86400+25569+9/24,""))</f>
        <v/>
      </c>
      <c r="G1348" s="58">
        <f>TRIM(SUBSTITUTE(SUBSTITUTE(SUBSTITUTE($A1348,CHAR(9)," ")," "," "),CHAR(13),""))</f>
        <v/>
      </c>
      <c r="H1348" s="58">
        <f>IF($G1348="","",IF(ISNUMBER(FIND(" ",$G1348)),$G1348,IFERROR(IF((LEN(SUBSTITUTE(SUBSTITUTE($G1348,"-"," ",LEN($G1348)-LEN(SUBSTITUTE($G1348,"-",""))),"-"," ",LEN($G1348)-LEN(SUBSTITUTE($G1348,"-",""))-1))-LEN(SUBSTITUTE(SUBSTITUTE(SUBSTITUTE($G1348,"-"," ",LEN($G1348)-LEN(SUBSTITUTE($G1348,"-",""))),"-"," ",LEN($G1348)-LEN(SUBSTITUTE($G1348,"-",""))-1),".","")))=0,SUBSTITUTE(SUBSTITUTE($G1348,"-"," ",LEN($G1348)-LEN(SUBSTITUTE($G1348,"-",""))),"-"," ",LEN($G1348)-LEN(SUBSTITUTE($G1348,"-",""))-1),SUBSTITUTE(SUBSTITUTE(SUBSTITUTE($G1348,"-"," ",LEN($G1348)-LEN(SUBSTITUTE($G1348,"-",""))),"-"," ",LEN($G1348)-LEN(SUBSTITUTE($G1348,"-",""))-1),"."," ",(LEN(SUBSTITUTE(SUBSTITUTE($G1348,"-"," ",LEN($G1348)-LEN(SUBSTITUTE($G1348,"-",""))),"-"," ",LEN($G1348)-LEN(SUBSTITUTE($G1348,"-",""))-1))-LEN(SUBSTITUTE(SUBSTITUTE(SUBSTITUTE($G1348,"-"," ",LEN($G1348)-LEN(SUBSTITUTE($G1348,"-",""))),"-"," ",LEN($G1348)-LEN(SUBSTITUTE($G1348,"-",""))-1),".",""))))),$G1348)))</f>
        <v/>
      </c>
    </row>
    <row r="1349">
      <c r="A1349" s="58" t="n"/>
      <c r="B1349" s="58">
        <f>IF($H1349="","",LEFT($H1349,FIND(" ",$H1349&amp;" ")-1))</f>
        <v/>
      </c>
      <c r="C1349" s="58">
        <f>IF($H1349="","",IFERROR(MID($H1349&amp;" ",FIND("|",SUBSTITUTE($H1349&amp;" "," ","|",1))+1,FIND("|",SUBSTITUTE($H1349&amp;" "," ","|",2))-FIND("|",SUBSTITUTE($H1349&amp;" "," ","|",1))-1),""))</f>
        <v/>
      </c>
      <c r="D1349" s="58">
        <f>IF($H1349="","",IFERROR(MID($H1349&amp;" ",FIND("|",SUBSTITUTE($H1349&amp;" "," ","|",2))+1,FIND("|",SUBSTITUTE($H1349&amp;" "," ","|",3))-FIND("|",SUBSTITUTE($H1349&amp;" "," ","|",2))-1),""))</f>
        <v/>
      </c>
      <c r="E1349" s="58">
        <f>IF($H1349="","",IFERROR(MID($H1349&amp;" ",FIND("|",SUBSTITUTE($H1349&amp;" "," ","|",3))+1,FIND("|",SUBSTITUTE($H1349&amp;" "," ","|",4))-FIND("|",SUBSTITUTE($H1349&amp;" "," ","|",3))-1),""))</f>
        <v/>
      </c>
      <c r="F1349" s="59">
        <f>IF($H1349="","",IFERROR(VALUE(IFERROR(MID($H1349&amp;" ",FIND("|",SUBSTITUTE($H1349&amp;" "," ","|",4))+1,FIND("|",SUBSTITUTE($H1349&amp;" "," ","|",5))-FIND("|",SUBSTITUTE($H1349&amp;" "," ","|",4))-1),""))/86400+25569+9/24,""))</f>
        <v/>
      </c>
      <c r="G1349" s="58">
        <f>TRIM(SUBSTITUTE(SUBSTITUTE(SUBSTITUTE($A1349,CHAR(9)," ")," "," "),CHAR(13),""))</f>
        <v/>
      </c>
      <c r="H1349" s="58">
        <f>IF($G1349="","",IF(ISNUMBER(FIND(" ",$G1349)),$G1349,IFERROR(IF((LEN(SUBSTITUTE(SUBSTITUTE($G1349,"-"," ",LEN($G1349)-LEN(SUBSTITUTE($G1349,"-",""))),"-"," ",LEN($G1349)-LEN(SUBSTITUTE($G1349,"-",""))-1))-LEN(SUBSTITUTE(SUBSTITUTE(SUBSTITUTE($G1349,"-"," ",LEN($G1349)-LEN(SUBSTITUTE($G1349,"-",""))),"-"," ",LEN($G1349)-LEN(SUBSTITUTE($G1349,"-",""))-1),".","")))=0,SUBSTITUTE(SUBSTITUTE($G1349,"-"," ",LEN($G1349)-LEN(SUBSTITUTE($G1349,"-",""))),"-"," ",LEN($G1349)-LEN(SUBSTITUTE($G1349,"-",""))-1),SUBSTITUTE(SUBSTITUTE(SUBSTITUTE($G1349,"-"," ",LEN($G1349)-LEN(SUBSTITUTE($G1349,"-",""))),"-"," ",LEN($G1349)-LEN(SUBSTITUTE($G1349,"-",""))-1),"."," ",(LEN(SUBSTITUTE(SUBSTITUTE($G1349,"-"," ",LEN($G1349)-LEN(SUBSTITUTE($G1349,"-",""))),"-"," ",LEN($G1349)-LEN(SUBSTITUTE($G1349,"-",""))-1))-LEN(SUBSTITUTE(SUBSTITUTE(SUBSTITUTE($G1349,"-"," ",LEN($G1349)-LEN(SUBSTITUTE($G1349,"-",""))),"-"," ",LEN($G1349)-LEN(SUBSTITUTE($G1349,"-",""))-1),".",""))))),$G1349)))</f>
        <v/>
      </c>
    </row>
    <row r="1350">
      <c r="A1350" s="58" t="n"/>
      <c r="B1350" s="58">
        <f>IF($H1350="","",LEFT($H1350,FIND(" ",$H1350&amp;" ")-1))</f>
        <v/>
      </c>
      <c r="C1350" s="58">
        <f>IF($H1350="","",IFERROR(MID($H1350&amp;" ",FIND("|",SUBSTITUTE($H1350&amp;" "," ","|",1))+1,FIND("|",SUBSTITUTE($H1350&amp;" "," ","|",2))-FIND("|",SUBSTITUTE($H1350&amp;" "," ","|",1))-1),""))</f>
        <v/>
      </c>
      <c r="D1350" s="58">
        <f>IF($H1350="","",IFERROR(MID($H1350&amp;" ",FIND("|",SUBSTITUTE($H1350&amp;" "," ","|",2))+1,FIND("|",SUBSTITUTE($H1350&amp;" "," ","|",3))-FIND("|",SUBSTITUTE($H1350&amp;" "," ","|",2))-1),""))</f>
        <v/>
      </c>
      <c r="E1350" s="58">
        <f>IF($H1350="","",IFERROR(MID($H1350&amp;" ",FIND("|",SUBSTITUTE($H1350&amp;" "," ","|",3))+1,FIND("|",SUBSTITUTE($H1350&amp;" "," ","|",4))-FIND("|",SUBSTITUTE($H1350&amp;" "," ","|",3))-1),""))</f>
        <v/>
      </c>
      <c r="F1350" s="59">
        <f>IF($H1350="","",IFERROR(VALUE(IFERROR(MID($H1350&amp;" ",FIND("|",SUBSTITUTE($H1350&amp;" "," ","|",4))+1,FIND("|",SUBSTITUTE($H1350&amp;" "," ","|",5))-FIND("|",SUBSTITUTE($H1350&amp;" "," ","|",4))-1),""))/86400+25569+9/24,""))</f>
        <v/>
      </c>
      <c r="G1350" s="58">
        <f>TRIM(SUBSTITUTE(SUBSTITUTE(SUBSTITUTE($A1350,CHAR(9)," ")," "," "),CHAR(13),""))</f>
        <v/>
      </c>
      <c r="H1350" s="58">
        <f>IF($G1350="","",IF(ISNUMBER(FIND(" ",$G1350)),$G1350,IFERROR(IF((LEN(SUBSTITUTE(SUBSTITUTE($G1350,"-"," ",LEN($G1350)-LEN(SUBSTITUTE($G1350,"-",""))),"-"," ",LEN($G1350)-LEN(SUBSTITUTE($G1350,"-",""))-1))-LEN(SUBSTITUTE(SUBSTITUTE(SUBSTITUTE($G1350,"-"," ",LEN($G1350)-LEN(SUBSTITUTE($G1350,"-",""))),"-"," ",LEN($G1350)-LEN(SUBSTITUTE($G1350,"-",""))-1),".","")))=0,SUBSTITUTE(SUBSTITUTE($G1350,"-"," ",LEN($G1350)-LEN(SUBSTITUTE($G1350,"-",""))),"-"," ",LEN($G1350)-LEN(SUBSTITUTE($G1350,"-",""))-1),SUBSTITUTE(SUBSTITUTE(SUBSTITUTE($G1350,"-"," ",LEN($G1350)-LEN(SUBSTITUTE($G1350,"-",""))),"-"," ",LEN($G1350)-LEN(SUBSTITUTE($G1350,"-",""))-1),"."," ",(LEN(SUBSTITUTE(SUBSTITUTE($G1350,"-"," ",LEN($G1350)-LEN(SUBSTITUTE($G1350,"-",""))),"-"," ",LEN($G1350)-LEN(SUBSTITUTE($G1350,"-",""))-1))-LEN(SUBSTITUTE(SUBSTITUTE(SUBSTITUTE($G1350,"-"," ",LEN($G1350)-LEN(SUBSTITUTE($G1350,"-",""))),"-"," ",LEN($G1350)-LEN(SUBSTITUTE($G1350,"-",""))-1),".",""))))),$G1350)))</f>
        <v/>
      </c>
    </row>
    <row r="1351">
      <c r="A1351" s="58" t="n"/>
      <c r="B1351" s="58">
        <f>IF($H1351="","",LEFT($H1351,FIND(" ",$H1351&amp;" ")-1))</f>
        <v/>
      </c>
      <c r="C1351" s="58">
        <f>IF($H1351="","",IFERROR(MID($H1351&amp;" ",FIND("|",SUBSTITUTE($H1351&amp;" "," ","|",1))+1,FIND("|",SUBSTITUTE($H1351&amp;" "," ","|",2))-FIND("|",SUBSTITUTE($H1351&amp;" "," ","|",1))-1),""))</f>
        <v/>
      </c>
      <c r="D1351" s="58">
        <f>IF($H1351="","",IFERROR(MID($H1351&amp;" ",FIND("|",SUBSTITUTE($H1351&amp;" "," ","|",2))+1,FIND("|",SUBSTITUTE($H1351&amp;" "," ","|",3))-FIND("|",SUBSTITUTE($H1351&amp;" "," ","|",2))-1),""))</f>
        <v/>
      </c>
      <c r="E1351" s="58">
        <f>IF($H1351="","",IFERROR(MID($H1351&amp;" ",FIND("|",SUBSTITUTE($H1351&amp;" "," ","|",3))+1,FIND("|",SUBSTITUTE($H1351&amp;" "," ","|",4))-FIND("|",SUBSTITUTE($H1351&amp;" "," ","|",3))-1),""))</f>
        <v/>
      </c>
      <c r="F1351" s="59">
        <f>IF($H1351="","",IFERROR(VALUE(IFERROR(MID($H1351&amp;" ",FIND("|",SUBSTITUTE($H1351&amp;" "," ","|",4))+1,FIND("|",SUBSTITUTE($H1351&amp;" "," ","|",5))-FIND("|",SUBSTITUTE($H1351&amp;" "," ","|",4))-1),""))/86400+25569+9/24,""))</f>
        <v/>
      </c>
      <c r="G1351" s="58">
        <f>TRIM(SUBSTITUTE(SUBSTITUTE(SUBSTITUTE($A1351,CHAR(9)," ")," "," "),CHAR(13),""))</f>
        <v/>
      </c>
      <c r="H1351" s="58">
        <f>IF($G1351="","",IF(ISNUMBER(FIND(" ",$G1351)),$G1351,IFERROR(IF((LEN(SUBSTITUTE(SUBSTITUTE($G1351,"-"," ",LEN($G1351)-LEN(SUBSTITUTE($G1351,"-",""))),"-"," ",LEN($G1351)-LEN(SUBSTITUTE($G1351,"-",""))-1))-LEN(SUBSTITUTE(SUBSTITUTE(SUBSTITUTE($G1351,"-"," ",LEN($G1351)-LEN(SUBSTITUTE($G1351,"-",""))),"-"," ",LEN($G1351)-LEN(SUBSTITUTE($G1351,"-",""))-1),".","")))=0,SUBSTITUTE(SUBSTITUTE($G1351,"-"," ",LEN($G1351)-LEN(SUBSTITUTE($G1351,"-",""))),"-"," ",LEN($G1351)-LEN(SUBSTITUTE($G1351,"-",""))-1),SUBSTITUTE(SUBSTITUTE(SUBSTITUTE($G1351,"-"," ",LEN($G1351)-LEN(SUBSTITUTE($G1351,"-",""))),"-"," ",LEN($G1351)-LEN(SUBSTITUTE($G1351,"-",""))-1),"."," ",(LEN(SUBSTITUTE(SUBSTITUTE($G1351,"-"," ",LEN($G1351)-LEN(SUBSTITUTE($G1351,"-",""))),"-"," ",LEN($G1351)-LEN(SUBSTITUTE($G1351,"-",""))-1))-LEN(SUBSTITUTE(SUBSTITUTE(SUBSTITUTE($G1351,"-"," ",LEN($G1351)-LEN(SUBSTITUTE($G1351,"-",""))),"-"," ",LEN($G1351)-LEN(SUBSTITUTE($G1351,"-",""))-1),".",""))))),$G1351)))</f>
        <v/>
      </c>
    </row>
    <row r="1352">
      <c r="A1352" s="58" t="n"/>
      <c r="B1352" s="58">
        <f>IF($H1352="","",LEFT($H1352,FIND(" ",$H1352&amp;" ")-1))</f>
        <v/>
      </c>
      <c r="C1352" s="58">
        <f>IF($H1352="","",IFERROR(MID($H1352&amp;" ",FIND("|",SUBSTITUTE($H1352&amp;" "," ","|",1))+1,FIND("|",SUBSTITUTE($H1352&amp;" "," ","|",2))-FIND("|",SUBSTITUTE($H1352&amp;" "," ","|",1))-1),""))</f>
        <v/>
      </c>
      <c r="D1352" s="58">
        <f>IF($H1352="","",IFERROR(MID($H1352&amp;" ",FIND("|",SUBSTITUTE($H1352&amp;" "," ","|",2))+1,FIND("|",SUBSTITUTE($H1352&amp;" "," ","|",3))-FIND("|",SUBSTITUTE($H1352&amp;" "," ","|",2))-1),""))</f>
        <v/>
      </c>
      <c r="E1352" s="58">
        <f>IF($H1352="","",IFERROR(MID($H1352&amp;" ",FIND("|",SUBSTITUTE($H1352&amp;" "," ","|",3))+1,FIND("|",SUBSTITUTE($H1352&amp;" "," ","|",4))-FIND("|",SUBSTITUTE($H1352&amp;" "," ","|",3))-1),""))</f>
        <v/>
      </c>
      <c r="F1352" s="59">
        <f>IF($H1352="","",IFERROR(VALUE(IFERROR(MID($H1352&amp;" ",FIND("|",SUBSTITUTE($H1352&amp;" "," ","|",4))+1,FIND("|",SUBSTITUTE($H1352&amp;" "," ","|",5))-FIND("|",SUBSTITUTE($H1352&amp;" "," ","|",4))-1),""))/86400+25569+9/24,""))</f>
        <v/>
      </c>
      <c r="G1352" s="58">
        <f>TRIM(SUBSTITUTE(SUBSTITUTE(SUBSTITUTE($A1352,CHAR(9)," ")," "," "),CHAR(13),""))</f>
        <v/>
      </c>
      <c r="H1352" s="58">
        <f>IF($G1352="","",IF(ISNUMBER(FIND(" ",$G1352)),$G1352,IFERROR(IF((LEN(SUBSTITUTE(SUBSTITUTE($G1352,"-"," ",LEN($G1352)-LEN(SUBSTITUTE($G1352,"-",""))),"-"," ",LEN($G1352)-LEN(SUBSTITUTE($G1352,"-",""))-1))-LEN(SUBSTITUTE(SUBSTITUTE(SUBSTITUTE($G1352,"-"," ",LEN($G1352)-LEN(SUBSTITUTE($G1352,"-",""))),"-"," ",LEN($G1352)-LEN(SUBSTITUTE($G1352,"-",""))-1),".","")))=0,SUBSTITUTE(SUBSTITUTE($G1352,"-"," ",LEN($G1352)-LEN(SUBSTITUTE($G1352,"-",""))),"-"," ",LEN($G1352)-LEN(SUBSTITUTE($G1352,"-",""))-1),SUBSTITUTE(SUBSTITUTE(SUBSTITUTE($G1352,"-"," ",LEN($G1352)-LEN(SUBSTITUTE($G1352,"-",""))),"-"," ",LEN($G1352)-LEN(SUBSTITUTE($G1352,"-",""))-1),"."," ",(LEN(SUBSTITUTE(SUBSTITUTE($G1352,"-"," ",LEN($G1352)-LEN(SUBSTITUTE($G1352,"-",""))),"-"," ",LEN($G1352)-LEN(SUBSTITUTE($G1352,"-",""))-1))-LEN(SUBSTITUTE(SUBSTITUTE(SUBSTITUTE($G1352,"-"," ",LEN($G1352)-LEN(SUBSTITUTE($G1352,"-",""))),"-"," ",LEN($G1352)-LEN(SUBSTITUTE($G1352,"-",""))-1),".",""))))),$G1352)))</f>
        <v/>
      </c>
    </row>
    <row r="1353">
      <c r="A1353" s="58" t="n"/>
      <c r="B1353" s="58">
        <f>IF($H1353="","",LEFT($H1353,FIND(" ",$H1353&amp;" ")-1))</f>
        <v/>
      </c>
      <c r="C1353" s="58">
        <f>IF($H1353="","",IFERROR(MID($H1353&amp;" ",FIND("|",SUBSTITUTE($H1353&amp;" "," ","|",1))+1,FIND("|",SUBSTITUTE($H1353&amp;" "," ","|",2))-FIND("|",SUBSTITUTE($H1353&amp;" "," ","|",1))-1),""))</f>
        <v/>
      </c>
      <c r="D1353" s="58">
        <f>IF($H1353="","",IFERROR(MID($H1353&amp;" ",FIND("|",SUBSTITUTE($H1353&amp;" "," ","|",2))+1,FIND("|",SUBSTITUTE($H1353&amp;" "," ","|",3))-FIND("|",SUBSTITUTE($H1353&amp;" "," ","|",2))-1),""))</f>
        <v/>
      </c>
      <c r="E1353" s="58">
        <f>IF($H1353="","",IFERROR(MID($H1353&amp;" ",FIND("|",SUBSTITUTE($H1353&amp;" "," ","|",3))+1,FIND("|",SUBSTITUTE($H1353&amp;" "," ","|",4))-FIND("|",SUBSTITUTE($H1353&amp;" "," ","|",3))-1),""))</f>
        <v/>
      </c>
      <c r="F1353" s="59">
        <f>IF($H1353="","",IFERROR(VALUE(IFERROR(MID($H1353&amp;" ",FIND("|",SUBSTITUTE($H1353&amp;" "," ","|",4))+1,FIND("|",SUBSTITUTE($H1353&amp;" "," ","|",5))-FIND("|",SUBSTITUTE($H1353&amp;" "," ","|",4))-1),""))/86400+25569+9/24,""))</f>
        <v/>
      </c>
      <c r="G1353" s="58">
        <f>TRIM(SUBSTITUTE(SUBSTITUTE(SUBSTITUTE($A1353,CHAR(9)," ")," "," "),CHAR(13),""))</f>
        <v/>
      </c>
      <c r="H1353" s="58">
        <f>IF($G1353="","",IF(ISNUMBER(FIND(" ",$G1353)),$G1353,IFERROR(IF((LEN(SUBSTITUTE(SUBSTITUTE($G1353,"-"," ",LEN($G1353)-LEN(SUBSTITUTE($G1353,"-",""))),"-"," ",LEN($G1353)-LEN(SUBSTITUTE($G1353,"-",""))-1))-LEN(SUBSTITUTE(SUBSTITUTE(SUBSTITUTE($G1353,"-"," ",LEN($G1353)-LEN(SUBSTITUTE($G1353,"-",""))),"-"," ",LEN($G1353)-LEN(SUBSTITUTE($G1353,"-",""))-1),".","")))=0,SUBSTITUTE(SUBSTITUTE($G1353,"-"," ",LEN($G1353)-LEN(SUBSTITUTE($G1353,"-",""))),"-"," ",LEN($G1353)-LEN(SUBSTITUTE($G1353,"-",""))-1),SUBSTITUTE(SUBSTITUTE(SUBSTITUTE($G1353,"-"," ",LEN($G1353)-LEN(SUBSTITUTE($G1353,"-",""))),"-"," ",LEN($G1353)-LEN(SUBSTITUTE($G1353,"-",""))-1),"."," ",(LEN(SUBSTITUTE(SUBSTITUTE($G1353,"-"," ",LEN($G1353)-LEN(SUBSTITUTE($G1353,"-",""))),"-"," ",LEN($G1353)-LEN(SUBSTITUTE($G1353,"-",""))-1))-LEN(SUBSTITUTE(SUBSTITUTE(SUBSTITUTE($G1353,"-"," ",LEN($G1353)-LEN(SUBSTITUTE($G1353,"-",""))),"-"," ",LEN($G1353)-LEN(SUBSTITUTE($G1353,"-",""))-1),".",""))))),$G1353)))</f>
        <v/>
      </c>
    </row>
    <row r="1354">
      <c r="A1354" s="58" t="n"/>
      <c r="B1354" s="58">
        <f>IF($H1354="","",LEFT($H1354,FIND(" ",$H1354&amp;" ")-1))</f>
        <v/>
      </c>
      <c r="C1354" s="58">
        <f>IF($H1354="","",IFERROR(MID($H1354&amp;" ",FIND("|",SUBSTITUTE($H1354&amp;" "," ","|",1))+1,FIND("|",SUBSTITUTE($H1354&amp;" "," ","|",2))-FIND("|",SUBSTITUTE($H1354&amp;" "," ","|",1))-1),""))</f>
        <v/>
      </c>
      <c r="D1354" s="58">
        <f>IF($H1354="","",IFERROR(MID($H1354&amp;" ",FIND("|",SUBSTITUTE($H1354&amp;" "," ","|",2))+1,FIND("|",SUBSTITUTE($H1354&amp;" "," ","|",3))-FIND("|",SUBSTITUTE($H1354&amp;" "," ","|",2))-1),""))</f>
        <v/>
      </c>
      <c r="E1354" s="58">
        <f>IF($H1354="","",IFERROR(MID($H1354&amp;" ",FIND("|",SUBSTITUTE($H1354&amp;" "," ","|",3))+1,FIND("|",SUBSTITUTE($H1354&amp;" "," ","|",4))-FIND("|",SUBSTITUTE($H1354&amp;" "," ","|",3))-1),""))</f>
        <v/>
      </c>
      <c r="F1354" s="59">
        <f>IF($H1354="","",IFERROR(VALUE(IFERROR(MID($H1354&amp;" ",FIND("|",SUBSTITUTE($H1354&amp;" "," ","|",4))+1,FIND("|",SUBSTITUTE($H1354&amp;" "," ","|",5))-FIND("|",SUBSTITUTE($H1354&amp;" "," ","|",4))-1),""))/86400+25569+9/24,""))</f>
        <v/>
      </c>
      <c r="G1354" s="58">
        <f>TRIM(SUBSTITUTE(SUBSTITUTE(SUBSTITUTE($A1354,CHAR(9)," ")," "," "),CHAR(13),""))</f>
        <v/>
      </c>
      <c r="H1354" s="58">
        <f>IF($G1354="","",IF(ISNUMBER(FIND(" ",$G1354)),$G1354,IFERROR(IF((LEN(SUBSTITUTE(SUBSTITUTE($G1354,"-"," ",LEN($G1354)-LEN(SUBSTITUTE($G1354,"-",""))),"-"," ",LEN($G1354)-LEN(SUBSTITUTE($G1354,"-",""))-1))-LEN(SUBSTITUTE(SUBSTITUTE(SUBSTITUTE($G1354,"-"," ",LEN($G1354)-LEN(SUBSTITUTE($G1354,"-",""))),"-"," ",LEN($G1354)-LEN(SUBSTITUTE($G1354,"-",""))-1),".","")))=0,SUBSTITUTE(SUBSTITUTE($G1354,"-"," ",LEN($G1354)-LEN(SUBSTITUTE($G1354,"-",""))),"-"," ",LEN($G1354)-LEN(SUBSTITUTE($G1354,"-",""))-1),SUBSTITUTE(SUBSTITUTE(SUBSTITUTE($G1354,"-"," ",LEN($G1354)-LEN(SUBSTITUTE($G1354,"-",""))),"-"," ",LEN($G1354)-LEN(SUBSTITUTE($G1354,"-",""))-1),"."," ",(LEN(SUBSTITUTE(SUBSTITUTE($G1354,"-"," ",LEN($G1354)-LEN(SUBSTITUTE($G1354,"-",""))),"-"," ",LEN($G1354)-LEN(SUBSTITUTE($G1354,"-",""))-1))-LEN(SUBSTITUTE(SUBSTITUTE(SUBSTITUTE($G1354,"-"," ",LEN($G1354)-LEN(SUBSTITUTE($G1354,"-",""))),"-"," ",LEN($G1354)-LEN(SUBSTITUTE($G1354,"-",""))-1),".",""))))),$G1354)))</f>
        <v/>
      </c>
    </row>
    <row r="1355">
      <c r="A1355" s="58" t="n"/>
      <c r="B1355" s="58">
        <f>IF($H1355="","",LEFT($H1355,FIND(" ",$H1355&amp;" ")-1))</f>
        <v/>
      </c>
      <c r="C1355" s="58">
        <f>IF($H1355="","",IFERROR(MID($H1355&amp;" ",FIND("|",SUBSTITUTE($H1355&amp;" "," ","|",1))+1,FIND("|",SUBSTITUTE($H1355&amp;" "," ","|",2))-FIND("|",SUBSTITUTE($H1355&amp;" "," ","|",1))-1),""))</f>
        <v/>
      </c>
      <c r="D1355" s="58">
        <f>IF($H1355="","",IFERROR(MID($H1355&amp;" ",FIND("|",SUBSTITUTE($H1355&amp;" "," ","|",2))+1,FIND("|",SUBSTITUTE($H1355&amp;" "," ","|",3))-FIND("|",SUBSTITUTE($H1355&amp;" "," ","|",2))-1),""))</f>
        <v/>
      </c>
      <c r="E1355" s="58">
        <f>IF($H1355="","",IFERROR(MID($H1355&amp;" ",FIND("|",SUBSTITUTE($H1355&amp;" "," ","|",3))+1,FIND("|",SUBSTITUTE($H1355&amp;" "," ","|",4))-FIND("|",SUBSTITUTE($H1355&amp;" "," ","|",3))-1),""))</f>
        <v/>
      </c>
      <c r="F1355" s="59">
        <f>IF($H1355="","",IFERROR(VALUE(IFERROR(MID($H1355&amp;" ",FIND("|",SUBSTITUTE($H1355&amp;" "," ","|",4))+1,FIND("|",SUBSTITUTE($H1355&amp;" "," ","|",5))-FIND("|",SUBSTITUTE($H1355&amp;" "," ","|",4))-1),""))/86400+25569+9/24,""))</f>
        <v/>
      </c>
      <c r="G1355" s="58">
        <f>TRIM(SUBSTITUTE(SUBSTITUTE(SUBSTITUTE($A1355,CHAR(9)," ")," "," "),CHAR(13),""))</f>
        <v/>
      </c>
      <c r="H1355" s="58">
        <f>IF($G1355="","",IF(ISNUMBER(FIND(" ",$G1355)),$G1355,IFERROR(IF((LEN(SUBSTITUTE(SUBSTITUTE($G1355,"-"," ",LEN($G1355)-LEN(SUBSTITUTE($G1355,"-",""))),"-"," ",LEN($G1355)-LEN(SUBSTITUTE($G1355,"-",""))-1))-LEN(SUBSTITUTE(SUBSTITUTE(SUBSTITUTE($G1355,"-"," ",LEN($G1355)-LEN(SUBSTITUTE($G1355,"-",""))),"-"," ",LEN($G1355)-LEN(SUBSTITUTE($G1355,"-",""))-1),".","")))=0,SUBSTITUTE(SUBSTITUTE($G1355,"-"," ",LEN($G1355)-LEN(SUBSTITUTE($G1355,"-",""))),"-"," ",LEN($G1355)-LEN(SUBSTITUTE($G1355,"-",""))-1),SUBSTITUTE(SUBSTITUTE(SUBSTITUTE($G1355,"-"," ",LEN($G1355)-LEN(SUBSTITUTE($G1355,"-",""))),"-"," ",LEN($G1355)-LEN(SUBSTITUTE($G1355,"-",""))-1),"."," ",(LEN(SUBSTITUTE(SUBSTITUTE($G1355,"-"," ",LEN($G1355)-LEN(SUBSTITUTE($G1355,"-",""))),"-"," ",LEN($G1355)-LEN(SUBSTITUTE($G1355,"-",""))-1))-LEN(SUBSTITUTE(SUBSTITUTE(SUBSTITUTE($G1355,"-"," ",LEN($G1355)-LEN(SUBSTITUTE($G1355,"-",""))),"-"," ",LEN($G1355)-LEN(SUBSTITUTE($G1355,"-",""))-1),".",""))))),$G1355)))</f>
        <v/>
      </c>
    </row>
    <row r="1356">
      <c r="A1356" s="58" t="n"/>
      <c r="B1356" s="58">
        <f>IF($H1356="","",LEFT($H1356,FIND(" ",$H1356&amp;" ")-1))</f>
        <v/>
      </c>
      <c r="C1356" s="58">
        <f>IF($H1356="","",IFERROR(MID($H1356&amp;" ",FIND("|",SUBSTITUTE($H1356&amp;" "," ","|",1))+1,FIND("|",SUBSTITUTE($H1356&amp;" "," ","|",2))-FIND("|",SUBSTITUTE($H1356&amp;" "," ","|",1))-1),""))</f>
        <v/>
      </c>
      <c r="D1356" s="58">
        <f>IF($H1356="","",IFERROR(MID($H1356&amp;" ",FIND("|",SUBSTITUTE($H1356&amp;" "," ","|",2))+1,FIND("|",SUBSTITUTE($H1356&amp;" "," ","|",3))-FIND("|",SUBSTITUTE($H1356&amp;" "," ","|",2))-1),""))</f>
        <v/>
      </c>
      <c r="E1356" s="58">
        <f>IF($H1356="","",IFERROR(MID($H1356&amp;" ",FIND("|",SUBSTITUTE($H1356&amp;" "," ","|",3))+1,FIND("|",SUBSTITUTE($H1356&amp;" "," ","|",4))-FIND("|",SUBSTITUTE($H1356&amp;" "," ","|",3))-1),""))</f>
        <v/>
      </c>
      <c r="F1356" s="59">
        <f>IF($H1356="","",IFERROR(VALUE(IFERROR(MID($H1356&amp;" ",FIND("|",SUBSTITUTE($H1356&amp;" "," ","|",4))+1,FIND("|",SUBSTITUTE($H1356&amp;" "," ","|",5))-FIND("|",SUBSTITUTE($H1356&amp;" "," ","|",4))-1),""))/86400+25569+9/24,""))</f>
        <v/>
      </c>
      <c r="G1356" s="58">
        <f>TRIM(SUBSTITUTE(SUBSTITUTE(SUBSTITUTE($A1356,CHAR(9)," ")," "," "),CHAR(13),""))</f>
        <v/>
      </c>
      <c r="H1356" s="58">
        <f>IF($G1356="","",IF(ISNUMBER(FIND(" ",$G1356)),$G1356,IFERROR(IF((LEN(SUBSTITUTE(SUBSTITUTE($G1356,"-"," ",LEN($G1356)-LEN(SUBSTITUTE($G1356,"-",""))),"-"," ",LEN($G1356)-LEN(SUBSTITUTE($G1356,"-",""))-1))-LEN(SUBSTITUTE(SUBSTITUTE(SUBSTITUTE($G1356,"-"," ",LEN($G1356)-LEN(SUBSTITUTE($G1356,"-",""))),"-"," ",LEN($G1356)-LEN(SUBSTITUTE($G1356,"-",""))-1),".","")))=0,SUBSTITUTE(SUBSTITUTE($G1356,"-"," ",LEN($G1356)-LEN(SUBSTITUTE($G1356,"-",""))),"-"," ",LEN($G1356)-LEN(SUBSTITUTE($G1356,"-",""))-1),SUBSTITUTE(SUBSTITUTE(SUBSTITUTE($G1356,"-"," ",LEN($G1356)-LEN(SUBSTITUTE($G1356,"-",""))),"-"," ",LEN($G1356)-LEN(SUBSTITUTE($G1356,"-",""))-1),"."," ",(LEN(SUBSTITUTE(SUBSTITUTE($G1356,"-"," ",LEN($G1356)-LEN(SUBSTITUTE($G1356,"-",""))),"-"," ",LEN($G1356)-LEN(SUBSTITUTE($G1356,"-",""))-1))-LEN(SUBSTITUTE(SUBSTITUTE(SUBSTITUTE($G1356,"-"," ",LEN($G1356)-LEN(SUBSTITUTE($G1356,"-",""))),"-"," ",LEN($G1356)-LEN(SUBSTITUTE($G1356,"-",""))-1),".",""))))),$G1356)))</f>
        <v/>
      </c>
    </row>
    <row r="1357">
      <c r="A1357" s="58" t="n"/>
      <c r="B1357" s="58">
        <f>IF($H1357="","",LEFT($H1357,FIND(" ",$H1357&amp;" ")-1))</f>
        <v/>
      </c>
      <c r="C1357" s="58">
        <f>IF($H1357="","",IFERROR(MID($H1357&amp;" ",FIND("|",SUBSTITUTE($H1357&amp;" "," ","|",1))+1,FIND("|",SUBSTITUTE($H1357&amp;" "," ","|",2))-FIND("|",SUBSTITUTE($H1357&amp;" "," ","|",1))-1),""))</f>
        <v/>
      </c>
      <c r="D1357" s="58">
        <f>IF($H1357="","",IFERROR(MID($H1357&amp;" ",FIND("|",SUBSTITUTE($H1357&amp;" "," ","|",2))+1,FIND("|",SUBSTITUTE($H1357&amp;" "," ","|",3))-FIND("|",SUBSTITUTE($H1357&amp;" "," ","|",2))-1),""))</f>
        <v/>
      </c>
      <c r="E1357" s="58">
        <f>IF($H1357="","",IFERROR(MID($H1357&amp;" ",FIND("|",SUBSTITUTE($H1357&amp;" "," ","|",3))+1,FIND("|",SUBSTITUTE($H1357&amp;" "," ","|",4))-FIND("|",SUBSTITUTE($H1357&amp;" "," ","|",3))-1),""))</f>
        <v/>
      </c>
      <c r="F1357" s="59">
        <f>IF($H1357="","",IFERROR(VALUE(IFERROR(MID($H1357&amp;" ",FIND("|",SUBSTITUTE($H1357&amp;" "," ","|",4))+1,FIND("|",SUBSTITUTE($H1357&amp;" "," ","|",5))-FIND("|",SUBSTITUTE($H1357&amp;" "," ","|",4))-1),""))/86400+25569+9/24,""))</f>
        <v/>
      </c>
      <c r="G1357" s="58">
        <f>TRIM(SUBSTITUTE(SUBSTITUTE(SUBSTITUTE($A1357,CHAR(9)," ")," "," "),CHAR(13),""))</f>
        <v/>
      </c>
      <c r="H1357" s="58">
        <f>IF($G1357="","",IF(ISNUMBER(FIND(" ",$G1357)),$G1357,IFERROR(IF((LEN(SUBSTITUTE(SUBSTITUTE($G1357,"-"," ",LEN($G1357)-LEN(SUBSTITUTE($G1357,"-",""))),"-"," ",LEN($G1357)-LEN(SUBSTITUTE($G1357,"-",""))-1))-LEN(SUBSTITUTE(SUBSTITUTE(SUBSTITUTE($G1357,"-"," ",LEN($G1357)-LEN(SUBSTITUTE($G1357,"-",""))),"-"," ",LEN($G1357)-LEN(SUBSTITUTE($G1357,"-",""))-1),".","")))=0,SUBSTITUTE(SUBSTITUTE($G1357,"-"," ",LEN($G1357)-LEN(SUBSTITUTE($G1357,"-",""))),"-"," ",LEN($G1357)-LEN(SUBSTITUTE($G1357,"-",""))-1),SUBSTITUTE(SUBSTITUTE(SUBSTITUTE($G1357,"-"," ",LEN($G1357)-LEN(SUBSTITUTE($G1357,"-",""))),"-"," ",LEN($G1357)-LEN(SUBSTITUTE($G1357,"-",""))-1),"."," ",(LEN(SUBSTITUTE(SUBSTITUTE($G1357,"-"," ",LEN($G1357)-LEN(SUBSTITUTE($G1357,"-",""))),"-"," ",LEN($G1357)-LEN(SUBSTITUTE($G1357,"-",""))-1))-LEN(SUBSTITUTE(SUBSTITUTE(SUBSTITUTE($G1357,"-"," ",LEN($G1357)-LEN(SUBSTITUTE($G1357,"-",""))),"-"," ",LEN($G1357)-LEN(SUBSTITUTE($G1357,"-",""))-1),".",""))))),$G1357)))</f>
        <v/>
      </c>
    </row>
    <row r="1358">
      <c r="A1358" s="58" t="n"/>
      <c r="B1358" s="58">
        <f>IF($H1358="","",LEFT($H1358,FIND(" ",$H1358&amp;" ")-1))</f>
        <v/>
      </c>
      <c r="C1358" s="58">
        <f>IF($H1358="","",IFERROR(MID($H1358&amp;" ",FIND("|",SUBSTITUTE($H1358&amp;" "," ","|",1))+1,FIND("|",SUBSTITUTE($H1358&amp;" "," ","|",2))-FIND("|",SUBSTITUTE($H1358&amp;" "," ","|",1))-1),""))</f>
        <v/>
      </c>
      <c r="D1358" s="58">
        <f>IF($H1358="","",IFERROR(MID($H1358&amp;" ",FIND("|",SUBSTITUTE($H1358&amp;" "," ","|",2))+1,FIND("|",SUBSTITUTE($H1358&amp;" "," ","|",3))-FIND("|",SUBSTITUTE($H1358&amp;" "," ","|",2))-1),""))</f>
        <v/>
      </c>
      <c r="E1358" s="58">
        <f>IF($H1358="","",IFERROR(MID($H1358&amp;" ",FIND("|",SUBSTITUTE($H1358&amp;" "," ","|",3))+1,FIND("|",SUBSTITUTE($H1358&amp;" "," ","|",4))-FIND("|",SUBSTITUTE($H1358&amp;" "," ","|",3))-1),""))</f>
        <v/>
      </c>
      <c r="F1358" s="59">
        <f>IF($H1358="","",IFERROR(VALUE(IFERROR(MID($H1358&amp;" ",FIND("|",SUBSTITUTE($H1358&amp;" "," ","|",4))+1,FIND("|",SUBSTITUTE($H1358&amp;" "," ","|",5))-FIND("|",SUBSTITUTE($H1358&amp;" "," ","|",4))-1),""))/86400+25569+9/24,""))</f>
        <v/>
      </c>
      <c r="G1358" s="58">
        <f>TRIM(SUBSTITUTE(SUBSTITUTE(SUBSTITUTE($A1358,CHAR(9)," ")," "," "),CHAR(13),""))</f>
        <v/>
      </c>
      <c r="H1358" s="58">
        <f>IF($G1358="","",IF(ISNUMBER(FIND(" ",$G1358)),$G1358,IFERROR(IF((LEN(SUBSTITUTE(SUBSTITUTE($G1358,"-"," ",LEN($G1358)-LEN(SUBSTITUTE($G1358,"-",""))),"-"," ",LEN($G1358)-LEN(SUBSTITUTE($G1358,"-",""))-1))-LEN(SUBSTITUTE(SUBSTITUTE(SUBSTITUTE($G1358,"-"," ",LEN($G1358)-LEN(SUBSTITUTE($G1358,"-",""))),"-"," ",LEN($G1358)-LEN(SUBSTITUTE($G1358,"-",""))-1),".","")))=0,SUBSTITUTE(SUBSTITUTE($G1358,"-"," ",LEN($G1358)-LEN(SUBSTITUTE($G1358,"-",""))),"-"," ",LEN($G1358)-LEN(SUBSTITUTE($G1358,"-",""))-1),SUBSTITUTE(SUBSTITUTE(SUBSTITUTE($G1358,"-"," ",LEN($G1358)-LEN(SUBSTITUTE($G1358,"-",""))),"-"," ",LEN($G1358)-LEN(SUBSTITUTE($G1358,"-",""))-1),"."," ",(LEN(SUBSTITUTE(SUBSTITUTE($G1358,"-"," ",LEN($G1358)-LEN(SUBSTITUTE($G1358,"-",""))),"-"," ",LEN($G1358)-LEN(SUBSTITUTE($G1358,"-",""))-1))-LEN(SUBSTITUTE(SUBSTITUTE(SUBSTITUTE($G1358,"-"," ",LEN($G1358)-LEN(SUBSTITUTE($G1358,"-",""))),"-"," ",LEN($G1358)-LEN(SUBSTITUTE($G1358,"-",""))-1),".",""))))),$G1358)))</f>
        <v/>
      </c>
    </row>
    <row r="1359">
      <c r="A1359" s="58" t="n"/>
      <c r="B1359" s="58">
        <f>IF($H1359="","",LEFT($H1359,FIND(" ",$H1359&amp;" ")-1))</f>
        <v/>
      </c>
      <c r="C1359" s="58">
        <f>IF($H1359="","",IFERROR(MID($H1359&amp;" ",FIND("|",SUBSTITUTE($H1359&amp;" "," ","|",1))+1,FIND("|",SUBSTITUTE($H1359&amp;" "," ","|",2))-FIND("|",SUBSTITUTE($H1359&amp;" "," ","|",1))-1),""))</f>
        <v/>
      </c>
      <c r="D1359" s="58">
        <f>IF($H1359="","",IFERROR(MID($H1359&amp;" ",FIND("|",SUBSTITUTE($H1359&amp;" "," ","|",2))+1,FIND("|",SUBSTITUTE($H1359&amp;" "," ","|",3))-FIND("|",SUBSTITUTE($H1359&amp;" "," ","|",2))-1),""))</f>
        <v/>
      </c>
      <c r="E1359" s="58">
        <f>IF($H1359="","",IFERROR(MID($H1359&amp;" ",FIND("|",SUBSTITUTE($H1359&amp;" "," ","|",3))+1,FIND("|",SUBSTITUTE($H1359&amp;" "," ","|",4))-FIND("|",SUBSTITUTE($H1359&amp;" "," ","|",3))-1),""))</f>
        <v/>
      </c>
      <c r="F1359" s="59">
        <f>IF($H1359="","",IFERROR(VALUE(IFERROR(MID($H1359&amp;" ",FIND("|",SUBSTITUTE($H1359&amp;" "," ","|",4))+1,FIND("|",SUBSTITUTE($H1359&amp;" "," ","|",5))-FIND("|",SUBSTITUTE($H1359&amp;" "," ","|",4))-1),""))/86400+25569+9/24,""))</f>
        <v/>
      </c>
      <c r="G1359" s="58">
        <f>TRIM(SUBSTITUTE(SUBSTITUTE(SUBSTITUTE($A1359,CHAR(9)," ")," "," "),CHAR(13),""))</f>
        <v/>
      </c>
      <c r="H1359" s="58">
        <f>IF($G1359="","",IF(ISNUMBER(FIND(" ",$G1359)),$G1359,IFERROR(IF((LEN(SUBSTITUTE(SUBSTITUTE($G1359,"-"," ",LEN($G1359)-LEN(SUBSTITUTE($G1359,"-",""))),"-"," ",LEN($G1359)-LEN(SUBSTITUTE($G1359,"-",""))-1))-LEN(SUBSTITUTE(SUBSTITUTE(SUBSTITUTE($G1359,"-"," ",LEN($G1359)-LEN(SUBSTITUTE($G1359,"-",""))),"-"," ",LEN($G1359)-LEN(SUBSTITUTE($G1359,"-",""))-1),".","")))=0,SUBSTITUTE(SUBSTITUTE($G1359,"-"," ",LEN($G1359)-LEN(SUBSTITUTE($G1359,"-",""))),"-"," ",LEN($G1359)-LEN(SUBSTITUTE($G1359,"-",""))-1),SUBSTITUTE(SUBSTITUTE(SUBSTITUTE($G1359,"-"," ",LEN($G1359)-LEN(SUBSTITUTE($G1359,"-",""))),"-"," ",LEN($G1359)-LEN(SUBSTITUTE($G1359,"-",""))-1),"."," ",(LEN(SUBSTITUTE(SUBSTITUTE($G1359,"-"," ",LEN($G1359)-LEN(SUBSTITUTE($G1359,"-",""))),"-"," ",LEN($G1359)-LEN(SUBSTITUTE($G1359,"-",""))-1))-LEN(SUBSTITUTE(SUBSTITUTE(SUBSTITUTE($G1359,"-"," ",LEN($G1359)-LEN(SUBSTITUTE($G1359,"-",""))),"-"," ",LEN($G1359)-LEN(SUBSTITUTE($G1359,"-",""))-1),".",""))))),$G1359)))</f>
        <v/>
      </c>
    </row>
    <row r="1360">
      <c r="A1360" s="58" t="n"/>
      <c r="B1360" s="58">
        <f>IF($H1360="","",LEFT($H1360,FIND(" ",$H1360&amp;" ")-1))</f>
        <v/>
      </c>
      <c r="C1360" s="58">
        <f>IF($H1360="","",IFERROR(MID($H1360&amp;" ",FIND("|",SUBSTITUTE($H1360&amp;" "," ","|",1))+1,FIND("|",SUBSTITUTE($H1360&amp;" "," ","|",2))-FIND("|",SUBSTITUTE($H1360&amp;" "," ","|",1))-1),""))</f>
        <v/>
      </c>
      <c r="D1360" s="58">
        <f>IF($H1360="","",IFERROR(MID($H1360&amp;" ",FIND("|",SUBSTITUTE($H1360&amp;" "," ","|",2))+1,FIND("|",SUBSTITUTE($H1360&amp;" "," ","|",3))-FIND("|",SUBSTITUTE($H1360&amp;" "," ","|",2))-1),""))</f>
        <v/>
      </c>
      <c r="E1360" s="58">
        <f>IF($H1360="","",IFERROR(MID($H1360&amp;" ",FIND("|",SUBSTITUTE($H1360&amp;" "," ","|",3))+1,FIND("|",SUBSTITUTE($H1360&amp;" "," ","|",4))-FIND("|",SUBSTITUTE($H1360&amp;" "," ","|",3))-1),""))</f>
        <v/>
      </c>
      <c r="F1360" s="59">
        <f>IF($H1360="","",IFERROR(VALUE(IFERROR(MID($H1360&amp;" ",FIND("|",SUBSTITUTE($H1360&amp;" "," ","|",4))+1,FIND("|",SUBSTITUTE($H1360&amp;" "," ","|",5))-FIND("|",SUBSTITUTE($H1360&amp;" "," ","|",4))-1),""))/86400+25569+9/24,""))</f>
        <v/>
      </c>
      <c r="G1360" s="58">
        <f>TRIM(SUBSTITUTE(SUBSTITUTE(SUBSTITUTE($A1360,CHAR(9)," ")," "," "),CHAR(13),""))</f>
        <v/>
      </c>
      <c r="H1360" s="58">
        <f>IF($G1360="","",IF(ISNUMBER(FIND(" ",$G1360)),$G1360,IFERROR(IF((LEN(SUBSTITUTE(SUBSTITUTE($G1360,"-"," ",LEN($G1360)-LEN(SUBSTITUTE($G1360,"-",""))),"-"," ",LEN($G1360)-LEN(SUBSTITUTE($G1360,"-",""))-1))-LEN(SUBSTITUTE(SUBSTITUTE(SUBSTITUTE($G1360,"-"," ",LEN($G1360)-LEN(SUBSTITUTE($G1360,"-",""))),"-"," ",LEN($G1360)-LEN(SUBSTITUTE($G1360,"-",""))-1),".","")))=0,SUBSTITUTE(SUBSTITUTE($G1360,"-"," ",LEN($G1360)-LEN(SUBSTITUTE($G1360,"-",""))),"-"," ",LEN($G1360)-LEN(SUBSTITUTE($G1360,"-",""))-1),SUBSTITUTE(SUBSTITUTE(SUBSTITUTE($G1360,"-"," ",LEN($G1360)-LEN(SUBSTITUTE($G1360,"-",""))),"-"," ",LEN($G1360)-LEN(SUBSTITUTE($G1360,"-",""))-1),"."," ",(LEN(SUBSTITUTE(SUBSTITUTE($G1360,"-"," ",LEN($G1360)-LEN(SUBSTITUTE($G1360,"-",""))),"-"," ",LEN($G1360)-LEN(SUBSTITUTE($G1360,"-",""))-1))-LEN(SUBSTITUTE(SUBSTITUTE(SUBSTITUTE($G1360,"-"," ",LEN($G1360)-LEN(SUBSTITUTE($G1360,"-",""))),"-"," ",LEN($G1360)-LEN(SUBSTITUTE($G1360,"-",""))-1),".",""))))),$G1360)))</f>
        <v/>
      </c>
    </row>
    <row r="1361">
      <c r="A1361" s="58" t="n"/>
      <c r="B1361" s="58">
        <f>IF($H1361="","",LEFT($H1361,FIND(" ",$H1361&amp;" ")-1))</f>
        <v/>
      </c>
      <c r="C1361" s="58">
        <f>IF($H1361="","",IFERROR(MID($H1361&amp;" ",FIND("|",SUBSTITUTE($H1361&amp;" "," ","|",1))+1,FIND("|",SUBSTITUTE($H1361&amp;" "," ","|",2))-FIND("|",SUBSTITUTE($H1361&amp;" "," ","|",1))-1),""))</f>
        <v/>
      </c>
      <c r="D1361" s="58">
        <f>IF($H1361="","",IFERROR(MID($H1361&amp;" ",FIND("|",SUBSTITUTE($H1361&amp;" "," ","|",2))+1,FIND("|",SUBSTITUTE($H1361&amp;" "," ","|",3))-FIND("|",SUBSTITUTE($H1361&amp;" "," ","|",2))-1),""))</f>
        <v/>
      </c>
      <c r="E1361" s="58">
        <f>IF($H1361="","",IFERROR(MID($H1361&amp;" ",FIND("|",SUBSTITUTE($H1361&amp;" "," ","|",3))+1,FIND("|",SUBSTITUTE($H1361&amp;" "," ","|",4))-FIND("|",SUBSTITUTE($H1361&amp;" "," ","|",3))-1),""))</f>
        <v/>
      </c>
      <c r="F1361" s="59">
        <f>IF($H1361="","",IFERROR(VALUE(IFERROR(MID($H1361&amp;" ",FIND("|",SUBSTITUTE($H1361&amp;" "," ","|",4))+1,FIND("|",SUBSTITUTE($H1361&amp;" "," ","|",5))-FIND("|",SUBSTITUTE($H1361&amp;" "," ","|",4))-1),""))/86400+25569+9/24,""))</f>
        <v/>
      </c>
      <c r="G1361" s="58">
        <f>TRIM(SUBSTITUTE(SUBSTITUTE(SUBSTITUTE($A1361,CHAR(9)," ")," "," "),CHAR(13),""))</f>
        <v/>
      </c>
      <c r="H1361" s="58">
        <f>IF($G1361="","",IF(ISNUMBER(FIND(" ",$G1361)),$G1361,IFERROR(IF((LEN(SUBSTITUTE(SUBSTITUTE($G1361,"-"," ",LEN($G1361)-LEN(SUBSTITUTE($G1361,"-",""))),"-"," ",LEN($G1361)-LEN(SUBSTITUTE($G1361,"-",""))-1))-LEN(SUBSTITUTE(SUBSTITUTE(SUBSTITUTE($G1361,"-"," ",LEN($G1361)-LEN(SUBSTITUTE($G1361,"-",""))),"-"," ",LEN($G1361)-LEN(SUBSTITUTE($G1361,"-",""))-1),".","")))=0,SUBSTITUTE(SUBSTITUTE($G1361,"-"," ",LEN($G1361)-LEN(SUBSTITUTE($G1361,"-",""))),"-"," ",LEN($G1361)-LEN(SUBSTITUTE($G1361,"-",""))-1),SUBSTITUTE(SUBSTITUTE(SUBSTITUTE($G1361,"-"," ",LEN($G1361)-LEN(SUBSTITUTE($G1361,"-",""))),"-"," ",LEN($G1361)-LEN(SUBSTITUTE($G1361,"-",""))-1),"."," ",(LEN(SUBSTITUTE(SUBSTITUTE($G1361,"-"," ",LEN($G1361)-LEN(SUBSTITUTE($G1361,"-",""))),"-"," ",LEN($G1361)-LEN(SUBSTITUTE($G1361,"-",""))-1))-LEN(SUBSTITUTE(SUBSTITUTE(SUBSTITUTE($G1361,"-"," ",LEN($G1361)-LEN(SUBSTITUTE($G1361,"-",""))),"-"," ",LEN($G1361)-LEN(SUBSTITUTE($G1361,"-",""))-1),".",""))))),$G1361)))</f>
        <v/>
      </c>
    </row>
    <row r="1362">
      <c r="A1362" s="58" t="n"/>
      <c r="B1362" s="58">
        <f>IF($H1362="","",LEFT($H1362,FIND(" ",$H1362&amp;" ")-1))</f>
        <v/>
      </c>
      <c r="C1362" s="58">
        <f>IF($H1362="","",IFERROR(MID($H1362&amp;" ",FIND("|",SUBSTITUTE($H1362&amp;" "," ","|",1))+1,FIND("|",SUBSTITUTE($H1362&amp;" "," ","|",2))-FIND("|",SUBSTITUTE($H1362&amp;" "," ","|",1))-1),""))</f>
        <v/>
      </c>
      <c r="D1362" s="58">
        <f>IF($H1362="","",IFERROR(MID($H1362&amp;" ",FIND("|",SUBSTITUTE($H1362&amp;" "," ","|",2))+1,FIND("|",SUBSTITUTE($H1362&amp;" "," ","|",3))-FIND("|",SUBSTITUTE($H1362&amp;" "," ","|",2))-1),""))</f>
        <v/>
      </c>
      <c r="E1362" s="58">
        <f>IF($H1362="","",IFERROR(MID($H1362&amp;" ",FIND("|",SUBSTITUTE($H1362&amp;" "," ","|",3))+1,FIND("|",SUBSTITUTE($H1362&amp;" "," ","|",4))-FIND("|",SUBSTITUTE($H1362&amp;" "," ","|",3))-1),""))</f>
        <v/>
      </c>
      <c r="F1362" s="59">
        <f>IF($H1362="","",IFERROR(VALUE(IFERROR(MID($H1362&amp;" ",FIND("|",SUBSTITUTE($H1362&amp;" "," ","|",4))+1,FIND("|",SUBSTITUTE($H1362&amp;" "," ","|",5))-FIND("|",SUBSTITUTE($H1362&amp;" "," ","|",4))-1),""))/86400+25569+9/24,""))</f>
        <v/>
      </c>
      <c r="G1362" s="58">
        <f>TRIM(SUBSTITUTE(SUBSTITUTE(SUBSTITUTE($A1362,CHAR(9)," ")," "," "),CHAR(13),""))</f>
        <v/>
      </c>
      <c r="H1362" s="58">
        <f>IF($G1362="","",IF(ISNUMBER(FIND(" ",$G1362)),$G1362,IFERROR(IF((LEN(SUBSTITUTE(SUBSTITUTE($G1362,"-"," ",LEN($G1362)-LEN(SUBSTITUTE($G1362,"-",""))),"-"," ",LEN($G1362)-LEN(SUBSTITUTE($G1362,"-",""))-1))-LEN(SUBSTITUTE(SUBSTITUTE(SUBSTITUTE($G1362,"-"," ",LEN($G1362)-LEN(SUBSTITUTE($G1362,"-",""))),"-"," ",LEN($G1362)-LEN(SUBSTITUTE($G1362,"-",""))-1),".","")))=0,SUBSTITUTE(SUBSTITUTE($G1362,"-"," ",LEN($G1362)-LEN(SUBSTITUTE($G1362,"-",""))),"-"," ",LEN($G1362)-LEN(SUBSTITUTE($G1362,"-",""))-1),SUBSTITUTE(SUBSTITUTE(SUBSTITUTE($G1362,"-"," ",LEN($G1362)-LEN(SUBSTITUTE($G1362,"-",""))),"-"," ",LEN($G1362)-LEN(SUBSTITUTE($G1362,"-",""))-1),"."," ",(LEN(SUBSTITUTE(SUBSTITUTE($G1362,"-"," ",LEN($G1362)-LEN(SUBSTITUTE($G1362,"-",""))),"-"," ",LEN($G1362)-LEN(SUBSTITUTE($G1362,"-",""))-1))-LEN(SUBSTITUTE(SUBSTITUTE(SUBSTITUTE($G1362,"-"," ",LEN($G1362)-LEN(SUBSTITUTE($G1362,"-",""))),"-"," ",LEN($G1362)-LEN(SUBSTITUTE($G1362,"-",""))-1),".",""))))),$G1362)))</f>
        <v/>
      </c>
    </row>
    <row r="1363">
      <c r="A1363" s="58" t="n"/>
      <c r="B1363" s="58">
        <f>IF($H1363="","",LEFT($H1363,FIND(" ",$H1363&amp;" ")-1))</f>
        <v/>
      </c>
      <c r="C1363" s="58">
        <f>IF($H1363="","",IFERROR(MID($H1363&amp;" ",FIND("|",SUBSTITUTE($H1363&amp;" "," ","|",1))+1,FIND("|",SUBSTITUTE($H1363&amp;" "," ","|",2))-FIND("|",SUBSTITUTE($H1363&amp;" "," ","|",1))-1),""))</f>
        <v/>
      </c>
      <c r="D1363" s="58">
        <f>IF($H1363="","",IFERROR(MID($H1363&amp;" ",FIND("|",SUBSTITUTE($H1363&amp;" "," ","|",2))+1,FIND("|",SUBSTITUTE($H1363&amp;" "," ","|",3))-FIND("|",SUBSTITUTE($H1363&amp;" "," ","|",2))-1),""))</f>
        <v/>
      </c>
      <c r="E1363" s="58">
        <f>IF($H1363="","",IFERROR(MID($H1363&amp;" ",FIND("|",SUBSTITUTE($H1363&amp;" "," ","|",3))+1,FIND("|",SUBSTITUTE($H1363&amp;" "," ","|",4))-FIND("|",SUBSTITUTE($H1363&amp;" "," ","|",3))-1),""))</f>
        <v/>
      </c>
      <c r="F1363" s="59">
        <f>IF($H1363="","",IFERROR(VALUE(IFERROR(MID($H1363&amp;" ",FIND("|",SUBSTITUTE($H1363&amp;" "," ","|",4))+1,FIND("|",SUBSTITUTE($H1363&amp;" "," ","|",5))-FIND("|",SUBSTITUTE($H1363&amp;" "," ","|",4))-1),""))/86400+25569+9/24,""))</f>
        <v/>
      </c>
      <c r="G1363" s="58">
        <f>TRIM(SUBSTITUTE(SUBSTITUTE(SUBSTITUTE($A1363,CHAR(9)," ")," "," "),CHAR(13),""))</f>
        <v/>
      </c>
      <c r="H1363" s="58">
        <f>IF($G1363="","",IF(ISNUMBER(FIND(" ",$G1363)),$G1363,IFERROR(IF((LEN(SUBSTITUTE(SUBSTITUTE($G1363,"-"," ",LEN($G1363)-LEN(SUBSTITUTE($G1363,"-",""))),"-"," ",LEN($G1363)-LEN(SUBSTITUTE($G1363,"-",""))-1))-LEN(SUBSTITUTE(SUBSTITUTE(SUBSTITUTE($G1363,"-"," ",LEN($G1363)-LEN(SUBSTITUTE($G1363,"-",""))),"-"," ",LEN($G1363)-LEN(SUBSTITUTE($G1363,"-",""))-1),".","")))=0,SUBSTITUTE(SUBSTITUTE($G1363,"-"," ",LEN($G1363)-LEN(SUBSTITUTE($G1363,"-",""))),"-"," ",LEN($G1363)-LEN(SUBSTITUTE($G1363,"-",""))-1),SUBSTITUTE(SUBSTITUTE(SUBSTITUTE($G1363,"-"," ",LEN($G1363)-LEN(SUBSTITUTE($G1363,"-",""))),"-"," ",LEN($G1363)-LEN(SUBSTITUTE($G1363,"-",""))-1),"."," ",(LEN(SUBSTITUTE(SUBSTITUTE($G1363,"-"," ",LEN($G1363)-LEN(SUBSTITUTE($G1363,"-",""))),"-"," ",LEN($G1363)-LEN(SUBSTITUTE($G1363,"-",""))-1))-LEN(SUBSTITUTE(SUBSTITUTE(SUBSTITUTE($G1363,"-"," ",LEN($G1363)-LEN(SUBSTITUTE($G1363,"-",""))),"-"," ",LEN($G1363)-LEN(SUBSTITUTE($G1363,"-",""))-1),".",""))))),$G1363)))</f>
        <v/>
      </c>
    </row>
    <row r="1364">
      <c r="A1364" s="58" t="n"/>
      <c r="B1364" s="58">
        <f>IF($H1364="","",LEFT($H1364,FIND(" ",$H1364&amp;" ")-1))</f>
        <v/>
      </c>
      <c r="C1364" s="58">
        <f>IF($H1364="","",IFERROR(MID($H1364&amp;" ",FIND("|",SUBSTITUTE($H1364&amp;" "," ","|",1))+1,FIND("|",SUBSTITUTE($H1364&amp;" "," ","|",2))-FIND("|",SUBSTITUTE($H1364&amp;" "," ","|",1))-1),""))</f>
        <v/>
      </c>
      <c r="D1364" s="58">
        <f>IF($H1364="","",IFERROR(MID($H1364&amp;" ",FIND("|",SUBSTITUTE($H1364&amp;" "," ","|",2))+1,FIND("|",SUBSTITUTE($H1364&amp;" "," ","|",3))-FIND("|",SUBSTITUTE($H1364&amp;" "," ","|",2))-1),""))</f>
        <v/>
      </c>
      <c r="E1364" s="58">
        <f>IF($H1364="","",IFERROR(MID($H1364&amp;" ",FIND("|",SUBSTITUTE($H1364&amp;" "," ","|",3))+1,FIND("|",SUBSTITUTE($H1364&amp;" "," ","|",4))-FIND("|",SUBSTITUTE($H1364&amp;" "," ","|",3))-1),""))</f>
        <v/>
      </c>
      <c r="F1364" s="59">
        <f>IF($H1364="","",IFERROR(VALUE(IFERROR(MID($H1364&amp;" ",FIND("|",SUBSTITUTE($H1364&amp;" "," ","|",4))+1,FIND("|",SUBSTITUTE($H1364&amp;" "," ","|",5))-FIND("|",SUBSTITUTE($H1364&amp;" "," ","|",4))-1),""))/86400+25569+9/24,""))</f>
        <v/>
      </c>
      <c r="G1364" s="58">
        <f>TRIM(SUBSTITUTE(SUBSTITUTE(SUBSTITUTE($A1364,CHAR(9)," ")," "," "),CHAR(13),""))</f>
        <v/>
      </c>
      <c r="H1364" s="58">
        <f>IF($G1364="","",IF(ISNUMBER(FIND(" ",$G1364)),$G1364,IFERROR(IF((LEN(SUBSTITUTE(SUBSTITUTE($G1364,"-"," ",LEN($G1364)-LEN(SUBSTITUTE($G1364,"-",""))),"-"," ",LEN($G1364)-LEN(SUBSTITUTE($G1364,"-",""))-1))-LEN(SUBSTITUTE(SUBSTITUTE(SUBSTITUTE($G1364,"-"," ",LEN($G1364)-LEN(SUBSTITUTE($G1364,"-",""))),"-"," ",LEN($G1364)-LEN(SUBSTITUTE($G1364,"-",""))-1),".","")))=0,SUBSTITUTE(SUBSTITUTE($G1364,"-"," ",LEN($G1364)-LEN(SUBSTITUTE($G1364,"-",""))),"-"," ",LEN($G1364)-LEN(SUBSTITUTE($G1364,"-",""))-1),SUBSTITUTE(SUBSTITUTE(SUBSTITUTE($G1364,"-"," ",LEN($G1364)-LEN(SUBSTITUTE($G1364,"-",""))),"-"," ",LEN($G1364)-LEN(SUBSTITUTE($G1364,"-",""))-1),"."," ",(LEN(SUBSTITUTE(SUBSTITUTE($G1364,"-"," ",LEN($G1364)-LEN(SUBSTITUTE($G1364,"-",""))),"-"," ",LEN($G1364)-LEN(SUBSTITUTE($G1364,"-",""))-1))-LEN(SUBSTITUTE(SUBSTITUTE(SUBSTITUTE($G1364,"-"," ",LEN($G1364)-LEN(SUBSTITUTE($G1364,"-",""))),"-"," ",LEN($G1364)-LEN(SUBSTITUTE($G1364,"-",""))-1),".",""))))),$G1364)))</f>
        <v/>
      </c>
    </row>
    <row r="1365">
      <c r="A1365" s="58" t="n"/>
      <c r="B1365" s="58">
        <f>IF($H1365="","",LEFT($H1365,FIND(" ",$H1365&amp;" ")-1))</f>
        <v/>
      </c>
      <c r="C1365" s="58">
        <f>IF($H1365="","",IFERROR(MID($H1365&amp;" ",FIND("|",SUBSTITUTE($H1365&amp;" "," ","|",1))+1,FIND("|",SUBSTITUTE($H1365&amp;" "," ","|",2))-FIND("|",SUBSTITUTE($H1365&amp;" "," ","|",1))-1),""))</f>
        <v/>
      </c>
      <c r="D1365" s="58">
        <f>IF($H1365="","",IFERROR(MID($H1365&amp;" ",FIND("|",SUBSTITUTE($H1365&amp;" "," ","|",2))+1,FIND("|",SUBSTITUTE($H1365&amp;" "," ","|",3))-FIND("|",SUBSTITUTE($H1365&amp;" "," ","|",2))-1),""))</f>
        <v/>
      </c>
      <c r="E1365" s="58">
        <f>IF($H1365="","",IFERROR(MID($H1365&amp;" ",FIND("|",SUBSTITUTE($H1365&amp;" "," ","|",3))+1,FIND("|",SUBSTITUTE($H1365&amp;" "," ","|",4))-FIND("|",SUBSTITUTE($H1365&amp;" "," ","|",3))-1),""))</f>
        <v/>
      </c>
      <c r="F1365" s="59">
        <f>IF($H1365="","",IFERROR(VALUE(IFERROR(MID($H1365&amp;" ",FIND("|",SUBSTITUTE($H1365&amp;" "," ","|",4))+1,FIND("|",SUBSTITUTE($H1365&amp;" "," ","|",5))-FIND("|",SUBSTITUTE($H1365&amp;" "," ","|",4))-1),""))/86400+25569+9/24,""))</f>
        <v/>
      </c>
      <c r="G1365" s="58">
        <f>TRIM(SUBSTITUTE(SUBSTITUTE(SUBSTITUTE($A1365,CHAR(9)," ")," "," "),CHAR(13),""))</f>
        <v/>
      </c>
      <c r="H1365" s="58">
        <f>IF($G1365="","",IF(ISNUMBER(FIND(" ",$G1365)),$G1365,IFERROR(IF((LEN(SUBSTITUTE(SUBSTITUTE($G1365,"-"," ",LEN($G1365)-LEN(SUBSTITUTE($G1365,"-",""))),"-"," ",LEN($G1365)-LEN(SUBSTITUTE($G1365,"-",""))-1))-LEN(SUBSTITUTE(SUBSTITUTE(SUBSTITUTE($G1365,"-"," ",LEN($G1365)-LEN(SUBSTITUTE($G1365,"-",""))),"-"," ",LEN($G1365)-LEN(SUBSTITUTE($G1365,"-",""))-1),".","")))=0,SUBSTITUTE(SUBSTITUTE($G1365,"-"," ",LEN($G1365)-LEN(SUBSTITUTE($G1365,"-",""))),"-"," ",LEN($G1365)-LEN(SUBSTITUTE($G1365,"-",""))-1),SUBSTITUTE(SUBSTITUTE(SUBSTITUTE($G1365,"-"," ",LEN($G1365)-LEN(SUBSTITUTE($G1365,"-",""))),"-"," ",LEN($G1365)-LEN(SUBSTITUTE($G1365,"-",""))-1),"."," ",(LEN(SUBSTITUTE(SUBSTITUTE($G1365,"-"," ",LEN($G1365)-LEN(SUBSTITUTE($G1365,"-",""))),"-"," ",LEN($G1365)-LEN(SUBSTITUTE($G1365,"-",""))-1))-LEN(SUBSTITUTE(SUBSTITUTE(SUBSTITUTE($G1365,"-"," ",LEN($G1365)-LEN(SUBSTITUTE($G1365,"-",""))),"-"," ",LEN($G1365)-LEN(SUBSTITUTE($G1365,"-",""))-1),".",""))))),$G1365)))</f>
        <v/>
      </c>
    </row>
    <row r="1366">
      <c r="A1366" s="58" t="n"/>
      <c r="B1366" s="58">
        <f>IF($H1366="","",LEFT($H1366,FIND(" ",$H1366&amp;" ")-1))</f>
        <v/>
      </c>
      <c r="C1366" s="58">
        <f>IF($H1366="","",IFERROR(MID($H1366&amp;" ",FIND("|",SUBSTITUTE($H1366&amp;" "," ","|",1))+1,FIND("|",SUBSTITUTE($H1366&amp;" "," ","|",2))-FIND("|",SUBSTITUTE($H1366&amp;" "," ","|",1))-1),""))</f>
        <v/>
      </c>
      <c r="D1366" s="58">
        <f>IF($H1366="","",IFERROR(MID($H1366&amp;" ",FIND("|",SUBSTITUTE($H1366&amp;" "," ","|",2))+1,FIND("|",SUBSTITUTE($H1366&amp;" "," ","|",3))-FIND("|",SUBSTITUTE($H1366&amp;" "," ","|",2))-1),""))</f>
        <v/>
      </c>
      <c r="E1366" s="58">
        <f>IF($H1366="","",IFERROR(MID($H1366&amp;" ",FIND("|",SUBSTITUTE($H1366&amp;" "," ","|",3))+1,FIND("|",SUBSTITUTE($H1366&amp;" "," ","|",4))-FIND("|",SUBSTITUTE($H1366&amp;" "," ","|",3))-1),""))</f>
        <v/>
      </c>
      <c r="F1366" s="59">
        <f>IF($H1366="","",IFERROR(VALUE(IFERROR(MID($H1366&amp;" ",FIND("|",SUBSTITUTE($H1366&amp;" "," ","|",4))+1,FIND("|",SUBSTITUTE($H1366&amp;" "," ","|",5))-FIND("|",SUBSTITUTE($H1366&amp;" "," ","|",4))-1),""))/86400+25569+9/24,""))</f>
        <v/>
      </c>
      <c r="G1366" s="58">
        <f>TRIM(SUBSTITUTE(SUBSTITUTE(SUBSTITUTE($A1366,CHAR(9)," ")," "," "),CHAR(13),""))</f>
        <v/>
      </c>
      <c r="H1366" s="58">
        <f>IF($G1366="","",IF(ISNUMBER(FIND(" ",$G1366)),$G1366,IFERROR(IF((LEN(SUBSTITUTE(SUBSTITUTE($G1366,"-"," ",LEN($G1366)-LEN(SUBSTITUTE($G1366,"-",""))),"-"," ",LEN($G1366)-LEN(SUBSTITUTE($G1366,"-",""))-1))-LEN(SUBSTITUTE(SUBSTITUTE(SUBSTITUTE($G1366,"-"," ",LEN($G1366)-LEN(SUBSTITUTE($G1366,"-",""))),"-"," ",LEN($G1366)-LEN(SUBSTITUTE($G1366,"-",""))-1),".","")))=0,SUBSTITUTE(SUBSTITUTE($G1366,"-"," ",LEN($G1366)-LEN(SUBSTITUTE($G1366,"-",""))),"-"," ",LEN($G1366)-LEN(SUBSTITUTE($G1366,"-",""))-1),SUBSTITUTE(SUBSTITUTE(SUBSTITUTE($G1366,"-"," ",LEN($G1366)-LEN(SUBSTITUTE($G1366,"-",""))),"-"," ",LEN($G1366)-LEN(SUBSTITUTE($G1366,"-",""))-1),"."," ",(LEN(SUBSTITUTE(SUBSTITUTE($G1366,"-"," ",LEN($G1366)-LEN(SUBSTITUTE($G1366,"-",""))),"-"," ",LEN($G1366)-LEN(SUBSTITUTE($G1366,"-",""))-1))-LEN(SUBSTITUTE(SUBSTITUTE(SUBSTITUTE($G1366,"-"," ",LEN($G1366)-LEN(SUBSTITUTE($G1366,"-",""))),"-"," ",LEN($G1366)-LEN(SUBSTITUTE($G1366,"-",""))-1),".",""))))),$G1366)))</f>
        <v/>
      </c>
    </row>
    <row r="1367">
      <c r="A1367" s="58" t="n"/>
      <c r="B1367" s="58">
        <f>IF($H1367="","",LEFT($H1367,FIND(" ",$H1367&amp;" ")-1))</f>
        <v/>
      </c>
      <c r="C1367" s="58">
        <f>IF($H1367="","",IFERROR(MID($H1367&amp;" ",FIND("|",SUBSTITUTE($H1367&amp;" "," ","|",1))+1,FIND("|",SUBSTITUTE($H1367&amp;" "," ","|",2))-FIND("|",SUBSTITUTE($H1367&amp;" "," ","|",1))-1),""))</f>
        <v/>
      </c>
      <c r="D1367" s="58">
        <f>IF($H1367="","",IFERROR(MID($H1367&amp;" ",FIND("|",SUBSTITUTE($H1367&amp;" "," ","|",2))+1,FIND("|",SUBSTITUTE($H1367&amp;" "," ","|",3))-FIND("|",SUBSTITUTE($H1367&amp;" "," ","|",2))-1),""))</f>
        <v/>
      </c>
      <c r="E1367" s="58">
        <f>IF($H1367="","",IFERROR(MID($H1367&amp;" ",FIND("|",SUBSTITUTE($H1367&amp;" "," ","|",3))+1,FIND("|",SUBSTITUTE($H1367&amp;" "," ","|",4))-FIND("|",SUBSTITUTE($H1367&amp;" "," ","|",3))-1),""))</f>
        <v/>
      </c>
      <c r="F1367" s="59">
        <f>IF($H1367="","",IFERROR(VALUE(IFERROR(MID($H1367&amp;" ",FIND("|",SUBSTITUTE($H1367&amp;" "," ","|",4))+1,FIND("|",SUBSTITUTE($H1367&amp;" "," ","|",5))-FIND("|",SUBSTITUTE($H1367&amp;" "," ","|",4))-1),""))/86400+25569+9/24,""))</f>
        <v/>
      </c>
      <c r="G1367" s="58">
        <f>TRIM(SUBSTITUTE(SUBSTITUTE(SUBSTITUTE($A1367,CHAR(9)," ")," "," "),CHAR(13),""))</f>
        <v/>
      </c>
      <c r="H1367" s="58">
        <f>IF($G1367="","",IF(ISNUMBER(FIND(" ",$G1367)),$G1367,IFERROR(IF((LEN(SUBSTITUTE(SUBSTITUTE($G1367,"-"," ",LEN($G1367)-LEN(SUBSTITUTE($G1367,"-",""))),"-"," ",LEN($G1367)-LEN(SUBSTITUTE($G1367,"-",""))-1))-LEN(SUBSTITUTE(SUBSTITUTE(SUBSTITUTE($G1367,"-"," ",LEN($G1367)-LEN(SUBSTITUTE($G1367,"-",""))),"-"," ",LEN($G1367)-LEN(SUBSTITUTE($G1367,"-",""))-1),".","")))=0,SUBSTITUTE(SUBSTITUTE($G1367,"-"," ",LEN($G1367)-LEN(SUBSTITUTE($G1367,"-",""))),"-"," ",LEN($G1367)-LEN(SUBSTITUTE($G1367,"-",""))-1),SUBSTITUTE(SUBSTITUTE(SUBSTITUTE($G1367,"-"," ",LEN($G1367)-LEN(SUBSTITUTE($G1367,"-",""))),"-"," ",LEN($G1367)-LEN(SUBSTITUTE($G1367,"-",""))-1),"."," ",(LEN(SUBSTITUTE(SUBSTITUTE($G1367,"-"," ",LEN($G1367)-LEN(SUBSTITUTE($G1367,"-",""))),"-"," ",LEN($G1367)-LEN(SUBSTITUTE($G1367,"-",""))-1))-LEN(SUBSTITUTE(SUBSTITUTE(SUBSTITUTE($G1367,"-"," ",LEN($G1367)-LEN(SUBSTITUTE($G1367,"-",""))),"-"," ",LEN($G1367)-LEN(SUBSTITUTE($G1367,"-",""))-1),".",""))))),$G1367)))</f>
        <v/>
      </c>
    </row>
    <row r="1368">
      <c r="A1368" s="58" t="n"/>
      <c r="B1368" s="58">
        <f>IF($H1368="","",LEFT($H1368,FIND(" ",$H1368&amp;" ")-1))</f>
        <v/>
      </c>
      <c r="C1368" s="58">
        <f>IF($H1368="","",IFERROR(MID($H1368&amp;" ",FIND("|",SUBSTITUTE($H1368&amp;" "," ","|",1))+1,FIND("|",SUBSTITUTE($H1368&amp;" "," ","|",2))-FIND("|",SUBSTITUTE($H1368&amp;" "," ","|",1))-1),""))</f>
        <v/>
      </c>
      <c r="D1368" s="58">
        <f>IF($H1368="","",IFERROR(MID($H1368&amp;" ",FIND("|",SUBSTITUTE($H1368&amp;" "," ","|",2))+1,FIND("|",SUBSTITUTE($H1368&amp;" "," ","|",3))-FIND("|",SUBSTITUTE($H1368&amp;" "," ","|",2))-1),""))</f>
        <v/>
      </c>
      <c r="E1368" s="58">
        <f>IF($H1368="","",IFERROR(MID($H1368&amp;" ",FIND("|",SUBSTITUTE($H1368&amp;" "," ","|",3))+1,FIND("|",SUBSTITUTE($H1368&amp;" "," ","|",4))-FIND("|",SUBSTITUTE($H1368&amp;" "," ","|",3))-1),""))</f>
        <v/>
      </c>
      <c r="F1368" s="59">
        <f>IF($H1368="","",IFERROR(VALUE(IFERROR(MID($H1368&amp;" ",FIND("|",SUBSTITUTE($H1368&amp;" "," ","|",4))+1,FIND("|",SUBSTITUTE($H1368&amp;" "," ","|",5))-FIND("|",SUBSTITUTE($H1368&amp;" "," ","|",4))-1),""))/86400+25569+9/24,""))</f>
        <v/>
      </c>
      <c r="G1368" s="58">
        <f>TRIM(SUBSTITUTE(SUBSTITUTE(SUBSTITUTE($A1368,CHAR(9)," ")," "," "),CHAR(13),""))</f>
        <v/>
      </c>
      <c r="H1368" s="58">
        <f>IF($G1368="","",IF(ISNUMBER(FIND(" ",$G1368)),$G1368,IFERROR(IF((LEN(SUBSTITUTE(SUBSTITUTE($G1368,"-"," ",LEN($G1368)-LEN(SUBSTITUTE($G1368,"-",""))),"-"," ",LEN($G1368)-LEN(SUBSTITUTE($G1368,"-",""))-1))-LEN(SUBSTITUTE(SUBSTITUTE(SUBSTITUTE($G1368,"-"," ",LEN($G1368)-LEN(SUBSTITUTE($G1368,"-",""))),"-"," ",LEN($G1368)-LEN(SUBSTITUTE($G1368,"-",""))-1),".","")))=0,SUBSTITUTE(SUBSTITUTE($G1368,"-"," ",LEN($G1368)-LEN(SUBSTITUTE($G1368,"-",""))),"-"," ",LEN($G1368)-LEN(SUBSTITUTE($G1368,"-",""))-1),SUBSTITUTE(SUBSTITUTE(SUBSTITUTE($G1368,"-"," ",LEN($G1368)-LEN(SUBSTITUTE($G1368,"-",""))),"-"," ",LEN($G1368)-LEN(SUBSTITUTE($G1368,"-",""))-1),"."," ",(LEN(SUBSTITUTE(SUBSTITUTE($G1368,"-"," ",LEN($G1368)-LEN(SUBSTITUTE($G1368,"-",""))),"-"," ",LEN($G1368)-LEN(SUBSTITUTE($G1368,"-",""))-1))-LEN(SUBSTITUTE(SUBSTITUTE(SUBSTITUTE($G1368,"-"," ",LEN($G1368)-LEN(SUBSTITUTE($G1368,"-",""))),"-"," ",LEN($G1368)-LEN(SUBSTITUTE($G1368,"-",""))-1),".",""))))),$G1368)))</f>
        <v/>
      </c>
    </row>
    <row r="1369">
      <c r="A1369" s="58" t="n"/>
      <c r="B1369" s="58">
        <f>IF($H1369="","",LEFT($H1369,FIND(" ",$H1369&amp;" ")-1))</f>
        <v/>
      </c>
      <c r="C1369" s="58">
        <f>IF($H1369="","",IFERROR(MID($H1369&amp;" ",FIND("|",SUBSTITUTE($H1369&amp;" "," ","|",1))+1,FIND("|",SUBSTITUTE($H1369&amp;" "," ","|",2))-FIND("|",SUBSTITUTE($H1369&amp;" "," ","|",1))-1),""))</f>
        <v/>
      </c>
      <c r="D1369" s="58">
        <f>IF($H1369="","",IFERROR(MID($H1369&amp;" ",FIND("|",SUBSTITUTE($H1369&amp;" "," ","|",2))+1,FIND("|",SUBSTITUTE($H1369&amp;" "," ","|",3))-FIND("|",SUBSTITUTE($H1369&amp;" "," ","|",2))-1),""))</f>
        <v/>
      </c>
      <c r="E1369" s="58">
        <f>IF($H1369="","",IFERROR(MID($H1369&amp;" ",FIND("|",SUBSTITUTE($H1369&amp;" "," ","|",3))+1,FIND("|",SUBSTITUTE($H1369&amp;" "," ","|",4))-FIND("|",SUBSTITUTE($H1369&amp;" "," ","|",3))-1),""))</f>
        <v/>
      </c>
      <c r="F1369" s="59">
        <f>IF($H1369="","",IFERROR(VALUE(IFERROR(MID($H1369&amp;" ",FIND("|",SUBSTITUTE($H1369&amp;" "," ","|",4))+1,FIND("|",SUBSTITUTE($H1369&amp;" "," ","|",5))-FIND("|",SUBSTITUTE($H1369&amp;" "," ","|",4))-1),""))/86400+25569+9/24,""))</f>
        <v/>
      </c>
      <c r="G1369" s="58">
        <f>TRIM(SUBSTITUTE(SUBSTITUTE(SUBSTITUTE($A1369,CHAR(9)," ")," "," "),CHAR(13),""))</f>
        <v/>
      </c>
      <c r="H1369" s="58">
        <f>IF($G1369="","",IF(ISNUMBER(FIND(" ",$G1369)),$G1369,IFERROR(IF((LEN(SUBSTITUTE(SUBSTITUTE($G1369,"-"," ",LEN($G1369)-LEN(SUBSTITUTE($G1369,"-",""))),"-"," ",LEN($G1369)-LEN(SUBSTITUTE($G1369,"-",""))-1))-LEN(SUBSTITUTE(SUBSTITUTE(SUBSTITUTE($G1369,"-"," ",LEN($G1369)-LEN(SUBSTITUTE($G1369,"-",""))),"-"," ",LEN($G1369)-LEN(SUBSTITUTE($G1369,"-",""))-1),".","")))=0,SUBSTITUTE(SUBSTITUTE($G1369,"-"," ",LEN($G1369)-LEN(SUBSTITUTE($G1369,"-",""))),"-"," ",LEN($G1369)-LEN(SUBSTITUTE($G1369,"-",""))-1),SUBSTITUTE(SUBSTITUTE(SUBSTITUTE($G1369,"-"," ",LEN($G1369)-LEN(SUBSTITUTE($G1369,"-",""))),"-"," ",LEN($G1369)-LEN(SUBSTITUTE($G1369,"-",""))-1),"."," ",(LEN(SUBSTITUTE(SUBSTITUTE($G1369,"-"," ",LEN($G1369)-LEN(SUBSTITUTE($G1369,"-",""))),"-"," ",LEN($G1369)-LEN(SUBSTITUTE($G1369,"-",""))-1))-LEN(SUBSTITUTE(SUBSTITUTE(SUBSTITUTE($G1369,"-"," ",LEN($G1369)-LEN(SUBSTITUTE($G1369,"-",""))),"-"," ",LEN($G1369)-LEN(SUBSTITUTE($G1369,"-",""))-1),".",""))))),$G1369)))</f>
        <v/>
      </c>
    </row>
    <row r="1370">
      <c r="A1370" s="58" t="n"/>
      <c r="B1370" s="58">
        <f>IF($H1370="","",LEFT($H1370,FIND(" ",$H1370&amp;" ")-1))</f>
        <v/>
      </c>
      <c r="C1370" s="58">
        <f>IF($H1370="","",IFERROR(MID($H1370&amp;" ",FIND("|",SUBSTITUTE($H1370&amp;" "," ","|",1))+1,FIND("|",SUBSTITUTE($H1370&amp;" "," ","|",2))-FIND("|",SUBSTITUTE($H1370&amp;" "," ","|",1))-1),""))</f>
        <v/>
      </c>
      <c r="D1370" s="58">
        <f>IF($H1370="","",IFERROR(MID($H1370&amp;" ",FIND("|",SUBSTITUTE($H1370&amp;" "," ","|",2))+1,FIND("|",SUBSTITUTE($H1370&amp;" "," ","|",3))-FIND("|",SUBSTITUTE($H1370&amp;" "," ","|",2))-1),""))</f>
        <v/>
      </c>
      <c r="E1370" s="58">
        <f>IF($H1370="","",IFERROR(MID($H1370&amp;" ",FIND("|",SUBSTITUTE($H1370&amp;" "," ","|",3))+1,FIND("|",SUBSTITUTE($H1370&amp;" "," ","|",4))-FIND("|",SUBSTITUTE($H1370&amp;" "," ","|",3))-1),""))</f>
        <v/>
      </c>
      <c r="F1370" s="59">
        <f>IF($H1370="","",IFERROR(VALUE(IFERROR(MID($H1370&amp;" ",FIND("|",SUBSTITUTE($H1370&amp;" "," ","|",4))+1,FIND("|",SUBSTITUTE($H1370&amp;" "," ","|",5))-FIND("|",SUBSTITUTE($H1370&amp;" "," ","|",4))-1),""))/86400+25569+9/24,""))</f>
        <v/>
      </c>
      <c r="G1370" s="58">
        <f>TRIM(SUBSTITUTE(SUBSTITUTE(SUBSTITUTE($A1370,CHAR(9)," ")," "," "),CHAR(13),""))</f>
        <v/>
      </c>
      <c r="H1370" s="58">
        <f>IF($G1370="","",IF(ISNUMBER(FIND(" ",$G1370)),$G1370,IFERROR(IF((LEN(SUBSTITUTE(SUBSTITUTE($G1370,"-"," ",LEN($G1370)-LEN(SUBSTITUTE($G1370,"-",""))),"-"," ",LEN($G1370)-LEN(SUBSTITUTE($G1370,"-",""))-1))-LEN(SUBSTITUTE(SUBSTITUTE(SUBSTITUTE($G1370,"-"," ",LEN($G1370)-LEN(SUBSTITUTE($G1370,"-",""))),"-"," ",LEN($G1370)-LEN(SUBSTITUTE($G1370,"-",""))-1),".","")))=0,SUBSTITUTE(SUBSTITUTE($G1370,"-"," ",LEN($G1370)-LEN(SUBSTITUTE($G1370,"-",""))),"-"," ",LEN($G1370)-LEN(SUBSTITUTE($G1370,"-",""))-1),SUBSTITUTE(SUBSTITUTE(SUBSTITUTE($G1370,"-"," ",LEN($G1370)-LEN(SUBSTITUTE($G1370,"-",""))),"-"," ",LEN($G1370)-LEN(SUBSTITUTE($G1370,"-",""))-1),"."," ",(LEN(SUBSTITUTE(SUBSTITUTE($G1370,"-"," ",LEN($G1370)-LEN(SUBSTITUTE($G1370,"-",""))),"-"," ",LEN($G1370)-LEN(SUBSTITUTE($G1370,"-",""))-1))-LEN(SUBSTITUTE(SUBSTITUTE(SUBSTITUTE($G1370,"-"," ",LEN($G1370)-LEN(SUBSTITUTE($G1370,"-",""))),"-"," ",LEN($G1370)-LEN(SUBSTITUTE($G1370,"-",""))-1),".",""))))),$G1370)))</f>
        <v/>
      </c>
    </row>
    <row r="1371">
      <c r="A1371" s="58" t="n"/>
      <c r="B1371" s="58">
        <f>IF($H1371="","",LEFT($H1371,FIND(" ",$H1371&amp;" ")-1))</f>
        <v/>
      </c>
      <c r="C1371" s="58">
        <f>IF($H1371="","",IFERROR(MID($H1371&amp;" ",FIND("|",SUBSTITUTE($H1371&amp;" "," ","|",1))+1,FIND("|",SUBSTITUTE($H1371&amp;" "," ","|",2))-FIND("|",SUBSTITUTE($H1371&amp;" "," ","|",1))-1),""))</f>
        <v/>
      </c>
      <c r="D1371" s="58">
        <f>IF($H1371="","",IFERROR(MID($H1371&amp;" ",FIND("|",SUBSTITUTE($H1371&amp;" "," ","|",2))+1,FIND("|",SUBSTITUTE($H1371&amp;" "," ","|",3))-FIND("|",SUBSTITUTE($H1371&amp;" "," ","|",2))-1),""))</f>
        <v/>
      </c>
      <c r="E1371" s="58">
        <f>IF($H1371="","",IFERROR(MID($H1371&amp;" ",FIND("|",SUBSTITUTE($H1371&amp;" "," ","|",3))+1,FIND("|",SUBSTITUTE($H1371&amp;" "," ","|",4))-FIND("|",SUBSTITUTE($H1371&amp;" "," ","|",3))-1),""))</f>
        <v/>
      </c>
      <c r="F1371" s="59">
        <f>IF($H1371="","",IFERROR(VALUE(IFERROR(MID($H1371&amp;" ",FIND("|",SUBSTITUTE($H1371&amp;" "," ","|",4))+1,FIND("|",SUBSTITUTE($H1371&amp;" "," ","|",5))-FIND("|",SUBSTITUTE($H1371&amp;" "," ","|",4))-1),""))/86400+25569+9/24,""))</f>
        <v/>
      </c>
      <c r="G1371" s="58">
        <f>TRIM(SUBSTITUTE(SUBSTITUTE(SUBSTITUTE($A1371,CHAR(9)," ")," "," "),CHAR(13),""))</f>
        <v/>
      </c>
      <c r="H1371" s="58">
        <f>IF($G1371="","",IF(ISNUMBER(FIND(" ",$G1371)),$G1371,IFERROR(IF((LEN(SUBSTITUTE(SUBSTITUTE($G1371,"-"," ",LEN($G1371)-LEN(SUBSTITUTE($G1371,"-",""))),"-"," ",LEN($G1371)-LEN(SUBSTITUTE($G1371,"-",""))-1))-LEN(SUBSTITUTE(SUBSTITUTE(SUBSTITUTE($G1371,"-"," ",LEN($G1371)-LEN(SUBSTITUTE($G1371,"-",""))),"-"," ",LEN($G1371)-LEN(SUBSTITUTE($G1371,"-",""))-1),".","")))=0,SUBSTITUTE(SUBSTITUTE($G1371,"-"," ",LEN($G1371)-LEN(SUBSTITUTE($G1371,"-",""))),"-"," ",LEN($G1371)-LEN(SUBSTITUTE($G1371,"-",""))-1),SUBSTITUTE(SUBSTITUTE(SUBSTITUTE($G1371,"-"," ",LEN($G1371)-LEN(SUBSTITUTE($G1371,"-",""))),"-"," ",LEN($G1371)-LEN(SUBSTITUTE($G1371,"-",""))-1),"."," ",(LEN(SUBSTITUTE(SUBSTITUTE($G1371,"-"," ",LEN($G1371)-LEN(SUBSTITUTE($G1371,"-",""))),"-"," ",LEN($G1371)-LEN(SUBSTITUTE($G1371,"-",""))-1))-LEN(SUBSTITUTE(SUBSTITUTE(SUBSTITUTE($G1371,"-"," ",LEN($G1371)-LEN(SUBSTITUTE($G1371,"-",""))),"-"," ",LEN($G1371)-LEN(SUBSTITUTE($G1371,"-",""))-1),".",""))))),$G1371)))</f>
        <v/>
      </c>
    </row>
    <row r="1372">
      <c r="A1372" s="58" t="n"/>
      <c r="B1372" s="58">
        <f>IF($H1372="","",LEFT($H1372,FIND(" ",$H1372&amp;" ")-1))</f>
        <v/>
      </c>
      <c r="C1372" s="58">
        <f>IF($H1372="","",IFERROR(MID($H1372&amp;" ",FIND("|",SUBSTITUTE($H1372&amp;" "," ","|",1))+1,FIND("|",SUBSTITUTE($H1372&amp;" "," ","|",2))-FIND("|",SUBSTITUTE($H1372&amp;" "," ","|",1))-1),""))</f>
        <v/>
      </c>
      <c r="D1372" s="58">
        <f>IF($H1372="","",IFERROR(MID($H1372&amp;" ",FIND("|",SUBSTITUTE($H1372&amp;" "," ","|",2))+1,FIND("|",SUBSTITUTE($H1372&amp;" "," ","|",3))-FIND("|",SUBSTITUTE($H1372&amp;" "," ","|",2))-1),""))</f>
        <v/>
      </c>
      <c r="E1372" s="58">
        <f>IF($H1372="","",IFERROR(MID($H1372&amp;" ",FIND("|",SUBSTITUTE($H1372&amp;" "," ","|",3))+1,FIND("|",SUBSTITUTE($H1372&amp;" "," ","|",4))-FIND("|",SUBSTITUTE($H1372&amp;" "," ","|",3))-1),""))</f>
        <v/>
      </c>
      <c r="F1372" s="59">
        <f>IF($H1372="","",IFERROR(VALUE(IFERROR(MID($H1372&amp;" ",FIND("|",SUBSTITUTE($H1372&amp;" "," ","|",4))+1,FIND("|",SUBSTITUTE($H1372&amp;" "," ","|",5))-FIND("|",SUBSTITUTE($H1372&amp;" "," ","|",4))-1),""))/86400+25569+9/24,""))</f>
        <v/>
      </c>
      <c r="G1372" s="58">
        <f>TRIM(SUBSTITUTE(SUBSTITUTE(SUBSTITUTE($A1372,CHAR(9)," ")," "," "),CHAR(13),""))</f>
        <v/>
      </c>
      <c r="H1372" s="58">
        <f>IF($G1372="","",IF(ISNUMBER(FIND(" ",$G1372)),$G1372,IFERROR(IF((LEN(SUBSTITUTE(SUBSTITUTE($G1372,"-"," ",LEN($G1372)-LEN(SUBSTITUTE($G1372,"-",""))),"-"," ",LEN($G1372)-LEN(SUBSTITUTE($G1372,"-",""))-1))-LEN(SUBSTITUTE(SUBSTITUTE(SUBSTITUTE($G1372,"-"," ",LEN($G1372)-LEN(SUBSTITUTE($G1372,"-",""))),"-"," ",LEN($G1372)-LEN(SUBSTITUTE($G1372,"-",""))-1),".","")))=0,SUBSTITUTE(SUBSTITUTE($G1372,"-"," ",LEN($G1372)-LEN(SUBSTITUTE($G1372,"-",""))),"-"," ",LEN($G1372)-LEN(SUBSTITUTE($G1372,"-",""))-1),SUBSTITUTE(SUBSTITUTE(SUBSTITUTE($G1372,"-"," ",LEN($G1372)-LEN(SUBSTITUTE($G1372,"-",""))),"-"," ",LEN($G1372)-LEN(SUBSTITUTE($G1372,"-",""))-1),"."," ",(LEN(SUBSTITUTE(SUBSTITUTE($G1372,"-"," ",LEN($G1372)-LEN(SUBSTITUTE($G1372,"-",""))),"-"," ",LEN($G1372)-LEN(SUBSTITUTE($G1372,"-",""))-1))-LEN(SUBSTITUTE(SUBSTITUTE(SUBSTITUTE($G1372,"-"," ",LEN($G1372)-LEN(SUBSTITUTE($G1372,"-",""))),"-"," ",LEN($G1372)-LEN(SUBSTITUTE($G1372,"-",""))-1),".",""))))),$G1372)))</f>
        <v/>
      </c>
    </row>
    <row r="1373">
      <c r="A1373" s="58" t="n"/>
      <c r="B1373" s="58">
        <f>IF($H1373="","",LEFT($H1373,FIND(" ",$H1373&amp;" ")-1))</f>
        <v/>
      </c>
      <c r="C1373" s="58">
        <f>IF($H1373="","",IFERROR(MID($H1373&amp;" ",FIND("|",SUBSTITUTE($H1373&amp;" "," ","|",1))+1,FIND("|",SUBSTITUTE($H1373&amp;" "," ","|",2))-FIND("|",SUBSTITUTE($H1373&amp;" "," ","|",1))-1),""))</f>
        <v/>
      </c>
      <c r="D1373" s="58">
        <f>IF($H1373="","",IFERROR(MID($H1373&amp;" ",FIND("|",SUBSTITUTE($H1373&amp;" "," ","|",2))+1,FIND("|",SUBSTITUTE($H1373&amp;" "," ","|",3))-FIND("|",SUBSTITUTE($H1373&amp;" "," ","|",2))-1),""))</f>
        <v/>
      </c>
      <c r="E1373" s="58">
        <f>IF($H1373="","",IFERROR(MID($H1373&amp;" ",FIND("|",SUBSTITUTE($H1373&amp;" "," ","|",3))+1,FIND("|",SUBSTITUTE($H1373&amp;" "," ","|",4))-FIND("|",SUBSTITUTE($H1373&amp;" "," ","|",3))-1),""))</f>
        <v/>
      </c>
      <c r="F1373" s="59">
        <f>IF($H1373="","",IFERROR(VALUE(IFERROR(MID($H1373&amp;" ",FIND("|",SUBSTITUTE($H1373&amp;" "," ","|",4))+1,FIND("|",SUBSTITUTE($H1373&amp;" "," ","|",5))-FIND("|",SUBSTITUTE($H1373&amp;" "," ","|",4))-1),""))/86400+25569+9/24,""))</f>
        <v/>
      </c>
      <c r="G1373" s="58">
        <f>TRIM(SUBSTITUTE(SUBSTITUTE(SUBSTITUTE($A1373,CHAR(9)," ")," "," "),CHAR(13),""))</f>
        <v/>
      </c>
      <c r="H1373" s="58">
        <f>IF($G1373="","",IF(ISNUMBER(FIND(" ",$G1373)),$G1373,IFERROR(IF((LEN(SUBSTITUTE(SUBSTITUTE($G1373,"-"," ",LEN($G1373)-LEN(SUBSTITUTE($G1373,"-",""))),"-"," ",LEN($G1373)-LEN(SUBSTITUTE($G1373,"-",""))-1))-LEN(SUBSTITUTE(SUBSTITUTE(SUBSTITUTE($G1373,"-"," ",LEN($G1373)-LEN(SUBSTITUTE($G1373,"-",""))),"-"," ",LEN($G1373)-LEN(SUBSTITUTE($G1373,"-",""))-1),".","")))=0,SUBSTITUTE(SUBSTITUTE($G1373,"-"," ",LEN($G1373)-LEN(SUBSTITUTE($G1373,"-",""))),"-"," ",LEN($G1373)-LEN(SUBSTITUTE($G1373,"-",""))-1),SUBSTITUTE(SUBSTITUTE(SUBSTITUTE($G1373,"-"," ",LEN($G1373)-LEN(SUBSTITUTE($G1373,"-",""))),"-"," ",LEN($G1373)-LEN(SUBSTITUTE($G1373,"-",""))-1),"."," ",(LEN(SUBSTITUTE(SUBSTITUTE($G1373,"-"," ",LEN($G1373)-LEN(SUBSTITUTE($G1373,"-",""))),"-"," ",LEN($G1373)-LEN(SUBSTITUTE($G1373,"-",""))-1))-LEN(SUBSTITUTE(SUBSTITUTE(SUBSTITUTE($G1373,"-"," ",LEN($G1373)-LEN(SUBSTITUTE($G1373,"-",""))),"-"," ",LEN($G1373)-LEN(SUBSTITUTE($G1373,"-",""))-1),".",""))))),$G1373)))</f>
        <v/>
      </c>
    </row>
    <row r="1374">
      <c r="A1374" s="58" t="n"/>
      <c r="B1374" s="58">
        <f>IF($H1374="","",LEFT($H1374,FIND(" ",$H1374&amp;" ")-1))</f>
        <v/>
      </c>
      <c r="C1374" s="58">
        <f>IF($H1374="","",IFERROR(MID($H1374&amp;" ",FIND("|",SUBSTITUTE($H1374&amp;" "," ","|",1))+1,FIND("|",SUBSTITUTE($H1374&amp;" "," ","|",2))-FIND("|",SUBSTITUTE($H1374&amp;" "," ","|",1))-1),""))</f>
        <v/>
      </c>
      <c r="D1374" s="58">
        <f>IF($H1374="","",IFERROR(MID($H1374&amp;" ",FIND("|",SUBSTITUTE($H1374&amp;" "," ","|",2))+1,FIND("|",SUBSTITUTE($H1374&amp;" "," ","|",3))-FIND("|",SUBSTITUTE($H1374&amp;" "," ","|",2))-1),""))</f>
        <v/>
      </c>
      <c r="E1374" s="58">
        <f>IF($H1374="","",IFERROR(MID($H1374&amp;" ",FIND("|",SUBSTITUTE($H1374&amp;" "," ","|",3))+1,FIND("|",SUBSTITUTE($H1374&amp;" "," ","|",4))-FIND("|",SUBSTITUTE($H1374&amp;" "," ","|",3))-1),""))</f>
        <v/>
      </c>
      <c r="F1374" s="59">
        <f>IF($H1374="","",IFERROR(VALUE(IFERROR(MID($H1374&amp;" ",FIND("|",SUBSTITUTE($H1374&amp;" "," ","|",4))+1,FIND("|",SUBSTITUTE($H1374&amp;" "," ","|",5))-FIND("|",SUBSTITUTE($H1374&amp;" "," ","|",4))-1),""))/86400+25569+9/24,""))</f>
        <v/>
      </c>
      <c r="G1374" s="58">
        <f>TRIM(SUBSTITUTE(SUBSTITUTE(SUBSTITUTE($A1374,CHAR(9)," ")," "," "),CHAR(13),""))</f>
        <v/>
      </c>
      <c r="H1374" s="58">
        <f>IF($G1374="","",IF(ISNUMBER(FIND(" ",$G1374)),$G1374,IFERROR(IF((LEN(SUBSTITUTE(SUBSTITUTE($G1374,"-"," ",LEN($G1374)-LEN(SUBSTITUTE($G1374,"-",""))),"-"," ",LEN($G1374)-LEN(SUBSTITUTE($G1374,"-",""))-1))-LEN(SUBSTITUTE(SUBSTITUTE(SUBSTITUTE($G1374,"-"," ",LEN($G1374)-LEN(SUBSTITUTE($G1374,"-",""))),"-"," ",LEN($G1374)-LEN(SUBSTITUTE($G1374,"-",""))-1),".","")))=0,SUBSTITUTE(SUBSTITUTE($G1374,"-"," ",LEN($G1374)-LEN(SUBSTITUTE($G1374,"-",""))),"-"," ",LEN($G1374)-LEN(SUBSTITUTE($G1374,"-",""))-1),SUBSTITUTE(SUBSTITUTE(SUBSTITUTE($G1374,"-"," ",LEN($G1374)-LEN(SUBSTITUTE($G1374,"-",""))),"-"," ",LEN($G1374)-LEN(SUBSTITUTE($G1374,"-",""))-1),"."," ",(LEN(SUBSTITUTE(SUBSTITUTE($G1374,"-"," ",LEN($G1374)-LEN(SUBSTITUTE($G1374,"-",""))),"-"," ",LEN($G1374)-LEN(SUBSTITUTE($G1374,"-",""))-1))-LEN(SUBSTITUTE(SUBSTITUTE(SUBSTITUTE($G1374,"-"," ",LEN($G1374)-LEN(SUBSTITUTE($G1374,"-",""))),"-"," ",LEN($G1374)-LEN(SUBSTITUTE($G1374,"-",""))-1),".",""))))),$G1374)))</f>
        <v/>
      </c>
    </row>
    <row r="1375">
      <c r="A1375" s="58" t="n"/>
      <c r="B1375" s="58">
        <f>IF($H1375="","",LEFT($H1375,FIND(" ",$H1375&amp;" ")-1))</f>
        <v/>
      </c>
      <c r="C1375" s="58">
        <f>IF($H1375="","",IFERROR(MID($H1375&amp;" ",FIND("|",SUBSTITUTE($H1375&amp;" "," ","|",1))+1,FIND("|",SUBSTITUTE($H1375&amp;" "," ","|",2))-FIND("|",SUBSTITUTE($H1375&amp;" "," ","|",1))-1),""))</f>
        <v/>
      </c>
      <c r="D1375" s="58">
        <f>IF($H1375="","",IFERROR(MID($H1375&amp;" ",FIND("|",SUBSTITUTE($H1375&amp;" "," ","|",2))+1,FIND("|",SUBSTITUTE($H1375&amp;" "," ","|",3))-FIND("|",SUBSTITUTE($H1375&amp;" "," ","|",2))-1),""))</f>
        <v/>
      </c>
      <c r="E1375" s="58">
        <f>IF($H1375="","",IFERROR(MID($H1375&amp;" ",FIND("|",SUBSTITUTE($H1375&amp;" "," ","|",3))+1,FIND("|",SUBSTITUTE($H1375&amp;" "," ","|",4))-FIND("|",SUBSTITUTE($H1375&amp;" "," ","|",3))-1),""))</f>
        <v/>
      </c>
      <c r="F1375" s="59">
        <f>IF($H1375="","",IFERROR(VALUE(IFERROR(MID($H1375&amp;" ",FIND("|",SUBSTITUTE($H1375&amp;" "," ","|",4))+1,FIND("|",SUBSTITUTE($H1375&amp;" "," ","|",5))-FIND("|",SUBSTITUTE($H1375&amp;" "," ","|",4))-1),""))/86400+25569+9/24,""))</f>
        <v/>
      </c>
      <c r="G1375" s="58">
        <f>TRIM(SUBSTITUTE(SUBSTITUTE(SUBSTITUTE($A1375,CHAR(9)," ")," "," "),CHAR(13),""))</f>
        <v/>
      </c>
      <c r="H1375" s="58">
        <f>IF($G1375="","",IF(ISNUMBER(FIND(" ",$G1375)),$G1375,IFERROR(IF((LEN(SUBSTITUTE(SUBSTITUTE($G1375,"-"," ",LEN($G1375)-LEN(SUBSTITUTE($G1375,"-",""))),"-"," ",LEN($G1375)-LEN(SUBSTITUTE($G1375,"-",""))-1))-LEN(SUBSTITUTE(SUBSTITUTE(SUBSTITUTE($G1375,"-"," ",LEN($G1375)-LEN(SUBSTITUTE($G1375,"-",""))),"-"," ",LEN($G1375)-LEN(SUBSTITUTE($G1375,"-",""))-1),".","")))=0,SUBSTITUTE(SUBSTITUTE($G1375,"-"," ",LEN($G1375)-LEN(SUBSTITUTE($G1375,"-",""))),"-"," ",LEN($G1375)-LEN(SUBSTITUTE($G1375,"-",""))-1),SUBSTITUTE(SUBSTITUTE(SUBSTITUTE($G1375,"-"," ",LEN($G1375)-LEN(SUBSTITUTE($G1375,"-",""))),"-"," ",LEN($G1375)-LEN(SUBSTITUTE($G1375,"-",""))-1),"."," ",(LEN(SUBSTITUTE(SUBSTITUTE($G1375,"-"," ",LEN($G1375)-LEN(SUBSTITUTE($G1375,"-",""))),"-"," ",LEN($G1375)-LEN(SUBSTITUTE($G1375,"-",""))-1))-LEN(SUBSTITUTE(SUBSTITUTE(SUBSTITUTE($G1375,"-"," ",LEN($G1375)-LEN(SUBSTITUTE($G1375,"-",""))),"-"," ",LEN($G1375)-LEN(SUBSTITUTE($G1375,"-",""))-1),".",""))))),$G1375)))</f>
        <v/>
      </c>
    </row>
    <row r="1376">
      <c r="A1376" s="58" t="n"/>
      <c r="B1376" s="58">
        <f>IF($H1376="","",LEFT($H1376,FIND(" ",$H1376&amp;" ")-1))</f>
        <v/>
      </c>
      <c r="C1376" s="58">
        <f>IF($H1376="","",IFERROR(MID($H1376&amp;" ",FIND("|",SUBSTITUTE($H1376&amp;" "," ","|",1))+1,FIND("|",SUBSTITUTE($H1376&amp;" "," ","|",2))-FIND("|",SUBSTITUTE($H1376&amp;" "," ","|",1))-1),""))</f>
        <v/>
      </c>
      <c r="D1376" s="58">
        <f>IF($H1376="","",IFERROR(MID($H1376&amp;" ",FIND("|",SUBSTITUTE($H1376&amp;" "," ","|",2))+1,FIND("|",SUBSTITUTE($H1376&amp;" "," ","|",3))-FIND("|",SUBSTITUTE($H1376&amp;" "," ","|",2))-1),""))</f>
        <v/>
      </c>
      <c r="E1376" s="58">
        <f>IF($H1376="","",IFERROR(MID($H1376&amp;" ",FIND("|",SUBSTITUTE($H1376&amp;" "," ","|",3))+1,FIND("|",SUBSTITUTE($H1376&amp;" "," ","|",4))-FIND("|",SUBSTITUTE($H1376&amp;" "," ","|",3))-1),""))</f>
        <v/>
      </c>
      <c r="F1376" s="59">
        <f>IF($H1376="","",IFERROR(VALUE(IFERROR(MID($H1376&amp;" ",FIND("|",SUBSTITUTE($H1376&amp;" "," ","|",4))+1,FIND("|",SUBSTITUTE($H1376&amp;" "," ","|",5))-FIND("|",SUBSTITUTE($H1376&amp;" "," ","|",4))-1),""))/86400+25569+9/24,""))</f>
        <v/>
      </c>
      <c r="G1376" s="58">
        <f>TRIM(SUBSTITUTE(SUBSTITUTE(SUBSTITUTE($A1376,CHAR(9)," ")," "," "),CHAR(13),""))</f>
        <v/>
      </c>
      <c r="H1376" s="58">
        <f>IF($G1376="","",IF(ISNUMBER(FIND(" ",$G1376)),$G1376,IFERROR(IF((LEN(SUBSTITUTE(SUBSTITUTE($G1376,"-"," ",LEN($G1376)-LEN(SUBSTITUTE($G1376,"-",""))),"-"," ",LEN($G1376)-LEN(SUBSTITUTE($G1376,"-",""))-1))-LEN(SUBSTITUTE(SUBSTITUTE(SUBSTITUTE($G1376,"-"," ",LEN($G1376)-LEN(SUBSTITUTE($G1376,"-",""))),"-"," ",LEN($G1376)-LEN(SUBSTITUTE($G1376,"-",""))-1),".","")))=0,SUBSTITUTE(SUBSTITUTE($G1376,"-"," ",LEN($G1376)-LEN(SUBSTITUTE($G1376,"-",""))),"-"," ",LEN($G1376)-LEN(SUBSTITUTE($G1376,"-",""))-1),SUBSTITUTE(SUBSTITUTE(SUBSTITUTE($G1376,"-"," ",LEN($G1376)-LEN(SUBSTITUTE($G1376,"-",""))),"-"," ",LEN($G1376)-LEN(SUBSTITUTE($G1376,"-",""))-1),"."," ",(LEN(SUBSTITUTE(SUBSTITUTE($G1376,"-"," ",LEN($G1376)-LEN(SUBSTITUTE($G1376,"-",""))),"-"," ",LEN($G1376)-LEN(SUBSTITUTE($G1376,"-",""))-1))-LEN(SUBSTITUTE(SUBSTITUTE(SUBSTITUTE($G1376,"-"," ",LEN($G1376)-LEN(SUBSTITUTE($G1376,"-",""))),"-"," ",LEN($G1376)-LEN(SUBSTITUTE($G1376,"-",""))-1),".",""))))),$G1376)))</f>
        <v/>
      </c>
    </row>
    <row r="1377">
      <c r="A1377" s="58" t="n"/>
      <c r="B1377" s="58">
        <f>IF($H1377="","",LEFT($H1377,FIND(" ",$H1377&amp;" ")-1))</f>
        <v/>
      </c>
      <c r="C1377" s="58">
        <f>IF($H1377="","",IFERROR(MID($H1377&amp;" ",FIND("|",SUBSTITUTE($H1377&amp;" "," ","|",1))+1,FIND("|",SUBSTITUTE($H1377&amp;" "," ","|",2))-FIND("|",SUBSTITUTE($H1377&amp;" "," ","|",1))-1),""))</f>
        <v/>
      </c>
      <c r="D1377" s="58">
        <f>IF($H1377="","",IFERROR(MID($H1377&amp;" ",FIND("|",SUBSTITUTE($H1377&amp;" "," ","|",2))+1,FIND("|",SUBSTITUTE($H1377&amp;" "," ","|",3))-FIND("|",SUBSTITUTE($H1377&amp;" "," ","|",2))-1),""))</f>
        <v/>
      </c>
      <c r="E1377" s="58">
        <f>IF($H1377="","",IFERROR(MID($H1377&amp;" ",FIND("|",SUBSTITUTE($H1377&amp;" "," ","|",3))+1,FIND("|",SUBSTITUTE($H1377&amp;" "," ","|",4))-FIND("|",SUBSTITUTE($H1377&amp;" "," ","|",3))-1),""))</f>
        <v/>
      </c>
      <c r="F1377" s="59">
        <f>IF($H1377="","",IFERROR(VALUE(IFERROR(MID($H1377&amp;" ",FIND("|",SUBSTITUTE($H1377&amp;" "," ","|",4))+1,FIND("|",SUBSTITUTE($H1377&amp;" "," ","|",5))-FIND("|",SUBSTITUTE($H1377&amp;" "," ","|",4))-1),""))/86400+25569+9/24,""))</f>
        <v/>
      </c>
      <c r="G1377" s="58">
        <f>TRIM(SUBSTITUTE(SUBSTITUTE(SUBSTITUTE($A1377,CHAR(9)," ")," "," "),CHAR(13),""))</f>
        <v/>
      </c>
      <c r="H1377" s="58">
        <f>IF($G1377="","",IF(ISNUMBER(FIND(" ",$G1377)),$G1377,IFERROR(IF((LEN(SUBSTITUTE(SUBSTITUTE($G1377,"-"," ",LEN($G1377)-LEN(SUBSTITUTE($G1377,"-",""))),"-"," ",LEN($G1377)-LEN(SUBSTITUTE($G1377,"-",""))-1))-LEN(SUBSTITUTE(SUBSTITUTE(SUBSTITUTE($G1377,"-"," ",LEN($G1377)-LEN(SUBSTITUTE($G1377,"-",""))),"-"," ",LEN($G1377)-LEN(SUBSTITUTE($G1377,"-",""))-1),".","")))=0,SUBSTITUTE(SUBSTITUTE($G1377,"-"," ",LEN($G1377)-LEN(SUBSTITUTE($G1377,"-",""))),"-"," ",LEN($G1377)-LEN(SUBSTITUTE($G1377,"-",""))-1),SUBSTITUTE(SUBSTITUTE(SUBSTITUTE($G1377,"-"," ",LEN($G1377)-LEN(SUBSTITUTE($G1377,"-",""))),"-"," ",LEN($G1377)-LEN(SUBSTITUTE($G1377,"-",""))-1),"."," ",(LEN(SUBSTITUTE(SUBSTITUTE($G1377,"-"," ",LEN($G1377)-LEN(SUBSTITUTE($G1377,"-",""))),"-"," ",LEN($G1377)-LEN(SUBSTITUTE($G1377,"-",""))-1))-LEN(SUBSTITUTE(SUBSTITUTE(SUBSTITUTE($G1377,"-"," ",LEN($G1377)-LEN(SUBSTITUTE($G1377,"-",""))),"-"," ",LEN($G1377)-LEN(SUBSTITUTE($G1377,"-",""))-1),".",""))))),$G1377)))</f>
        <v/>
      </c>
    </row>
    <row r="1378">
      <c r="A1378" s="58" t="n"/>
      <c r="B1378" s="58">
        <f>IF($H1378="","",LEFT($H1378,FIND(" ",$H1378&amp;" ")-1))</f>
        <v/>
      </c>
      <c r="C1378" s="58">
        <f>IF($H1378="","",IFERROR(MID($H1378&amp;" ",FIND("|",SUBSTITUTE($H1378&amp;" "," ","|",1))+1,FIND("|",SUBSTITUTE($H1378&amp;" "," ","|",2))-FIND("|",SUBSTITUTE($H1378&amp;" "," ","|",1))-1),""))</f>
        <v/>
      </c>
      <c r="D1378" s="58">
        <f>IF($H1378="","",IFERROR(MID($H1378&amp;" ",FIND("|",SUBSTITUTE($H1378&amp;" "," ","|",2))+1,FIND("|",SUBSTITUTE($H1378&amp;" "," ","|",3))-FIND("|",SUBSTITUTE($H1378&amp;" "," ","|",2))-1),""))</f>
        <v/>
      </c>
      <c r="E1378" s="58">
        <f>IF($H1378="","",IFERROR(MID($H1378&amp;" ",FIND("|",SUBSTITUTE($H1378&amp;" "," ","|",3))+1,FIND("|",SUBSTITUTE($H1378&amp;" "," ","|",4))-FIND("|",SUBSTITUTE($H1378&amp;" "," ","|",3))-1),""))</f>
        <v/>
      </c>
      <c r="F1378" s="59">
        <f>IF($H1378="","",IFERROR(VALUE(IFERROR(MID($H1378&amp;" ",FIND("|",SUBSTITUTE($H1378&amp;" "," ","|",4))+1,FIND("|",SUBSTITUTE($H1378&amp;" "," ","|",5))-FIND("|",SUBSTITUTE($H1378&amp;" "," ","|",4))-1),""))/86400+25569+9/24,""))</f>
        <v/>
      </c>
      <c r="G1378" s="58">
        <f>TRIM(SUBSTITUTE(SUBSTITUTE(SUBSTITUTE($A1378,CHAR(9)," ")," "," "),CHAR(13),""))</f>
        <v/>
      </c>
      <c r="H1378" s="58">
        <f>IF($G1378="","",IF(ISNUMBER(FIND(" ",$G1378)),$G1378,IFERROR(IF((LEN(SUBSTITUTE(SUBSTITUTE($G1378,"-"," ",LEN($G1378)-LEN(SUBSTITUTE($G1378,"-",""))),"-"," ",LEN($G1378)-LEN(SUBSTITUTE($G1378,"-",""))-1))-LEN(SUBSTITUTE(SUBSTITUTE(SUBSTITUTE($G1378,"-"," ",LEN($G1378)-LEN(SUBSTITUTE($G1378,"-",""))),"-"," ",LEN($G1378)-LEN(SUBSTITUTE($G1378,"-",""))-1),".","")))=0,SUBSTITUTE(SUBSTITUTE($G1378,"-"," ",LEN($G1378)-LEN(SUBSTITUTE($G1378,"-",""))),"-"," ",LEN($G1378)-LEN(SUBSTITUTE($G1378,"-",""))-1),SUBSTITUTE(SUBSTITUTE(SUBSTITUTE($G1378,"-"," ",LEN($G1378)-LEN(SUBSTITUTE($G1378,"-",""))),"-"," ",LEN($G1378)-LEN(SUBSTITUTE($G1378,"-",""))-1),"."," ",(LEN(SUBSTITUTE(SUBSTITUTE($G1378,"-"," ",LEN($G1378)-LEN(SUBSTITUTE($G1378,"-",""))),"-"," ",LEN($G1378)-LEN(SUBSTITUTE($G1378,"-",""))-1))-LEN(SUBSTITUTE(SUBSTITUTE(SUBSTITUTE($G1378,"-"," ",LEN($G1378)-LEN(SUBSTITUTE($G1378,"-",""))),"-"," ",LEN($G1378)-LEN(SUBSTITUTE($G1378,"-",""))-1),".",""))))),$G1378)))</f>
        <v/>
      </c>
    </row>
    <row r="1379">
      <c r="A1379" s="58" t="n"/>
      <c r="B1379" s="58">
        <f>IF($H1379="","",LEFT($H1379,FIND(" ",$H1379&amp;" ")-1))</f>
        <v/>
      </c>
      <c r="C1379" s="58">
        <f>IF($H1379="","",IFERROR(MID($H1379&amp;" ",FIND("|",SUBSTITUTE($H1379&amp;" "," ","|",1))+1,FIND("|",SUBSTITUTE($H1379&amp;" "," ","|",2))-FIND("|",SUBSTITUTE($H1379&amp;" "," ","|",1))-1),""))</f>
        <v/>
      </c>
      <c r="D1379" s="58">
        <f>IF($H1379="","",IFERROR(MID($H1379&amp;" ",FIND("|",SUBSTITUTE($H1379&amp;" "," ","|",2))+1,FIND("|",SUBSTITUTE($H1379&amp;" "," ","|",3))-FIND("|",SUBSTITUTE($H1379&amp;" "," ","|",2))-1),""))</f>
        <v/>
      </c>
      <c r="E1379" s="58">
        <f>IF($H1379="","",IFERROR(MID($H1379&amp;" ",FIND("|",SUBSTITUTE($H1379&amp;" "," ","|",3))+1,FIND("|",SUBSTITUTE($H1379&amp;" "," ","|",4))-FIND("|",SUBSTITUTE($H1379&amp;" "," ","|",3))-1),""))</f>
        <v/>
      </c>
      <c r="F1379" s="59">
        <f>IF($H1379="","",IFERROR(VALUE(IFERROR(MID($H1379&amp;" ",FIND("|",SUBSTITUTE($H1379&amp;" "," ","|",4))+1,FIND("|",SUBSTITUTE($H1379&amp;" "," ","|",5))-FIND("|",SUBSTITUTE($H1379&amp;" "," ","|",4))-1),""))/86400+25569+9/24,""))</f>
        <v/>
      </c>
      <c r="G1379" s="58">
        <f>TRIM(SUBSTITUTE(SUBSTITUTE(SUBSTITUTE($A1379,CHAR(9)," ")," "," "),CHAR(13),""))</f>
        <v/>
      </c>
      <c r="H1379" s="58">
        <f>IF($G1379="","",IF(ISNUMBER(FIND(" ",$G1379)),$G1379,IFERROR(IF((LEN(SUBSTITUTE(SUBSTITUTE($G1379,"-"," ",LEN($G1379)-LEN(SUBSTITUTE($G1379,"-",""))),"-"," ",LEN($G1379)-LEN(SUBSTITUTE($G1379,"-",""))-1))-LEN(SUBSTITUTE(SUBSTITUTE(SUBSTITUTE($G1379,"-"," ",LEN($G1379)-LEN(SUBSTITUTE($G1379,"-",""))),"-"," ",LEN($G1379)-LEN(SUBSTITUTE($G1379,"-",""))-1),".","")))=0,SUBSTITUTE(SUBSTITUTE($G1379,"-"," ",LEN($G1379)-LEN(SUBSTITUTE($G1379,"-",""))),"-"," ",LEN($G1379)-LEN(SUBSTITUTE($G1379,"-",""))-1),SUBSTITUTE(SUBSTITUTE(SUBSTITUTE($G1379,"-"," ",LEN($G1379)-LEN(SUBSTITUTE($G1379,"-",""))),"-"," ",LEN($G1379)-LEN(SUBSTITUTE($G1379,"-",""))-1),"."," ",(LEN(SUBSTITUTE(SUBSTITUTE($G1379,"-"," ",LEN($G1379)-LEN(SUBSTITUTE($G1379,"-",""))),"-"," ",LEN($G1379)-LEN(SUBSTITUTE($G1379,"-",""))-1))-LEN(SUBSTITUTE(SUBSTITUTE(SUBSTITUTE($G1379,"-"," ",LEN($G1379)-LEN(SUBSTITUTE($G1379,"-",""))),"-"," ",LEN($G1379)-LEN(SUBSTITUTE($G1379,"-",""))-1),".",""))))),$G1379)))</f>
        <v/>
      </c>
    </row>
    <row r="1380">
      <c r="A1380" s="58" t="n"/>
      <c r="B1380" s="58">
        <f>IF($H1380="","",LEFT($H1380,FIND(" ",$H1380&amp;" ")-1))</f>
        <v/>
      </c>
      <c r="C1380" s="58">
        <f>IF($H1380="","",IFERROR(MID($H1380&amp;" ",FIND("|",SUBSTITUTE($H1380&amp;" "," ","|",1))+1,FIND("|",SUBSTITUTE($H1380&amp;" "," ","|",2))-FIND("|",SUBSTITUTE($H1380&amp;" "," ","|",1))-1),""))</f>
        <v/>
      </c>
      <c r="D1380" s="58">
        <f>IF($H1380="","",IFERROR(MID($H1380&amp;" ",FIND("|",SUBSTITUTE($H1380&amp;" "," ","|",2))+1,FIND("|",SUBSTITUTE($H1380&amp;" "," ","|",3))-FIND("|",SUBSTITUTE($H1380&amp;" "," ","|",2))-1),""))</f>
        <v/>
      </c>
      <c r="E1380" s="58">
        <f>IF($H1380="","",IFERROR(MID($H1380&amp;" ",FIND("|",SUBSTITUTE($H1380&amp;" "," ","|",3))+1,FIND("|",SUBSTITUTE($H1380&amp;" "," ","|",4))-FIND("|",SUBSTITUTE($H1380&amp;" "," ","|",3))-1),""))</f>
        <v/>
      </c>
      <c r="F1380" s="59">
        <f>IF($H1380="","",IFERROR(VALUE(IFERROR(MID($H1380&amp;" ",FIND("|",SUBSTITUTE($H1380&amp;" "," ","|",4))+1,FIND("|",SUBSTITUTE($H1380&amp;" "," ","|",5))-FIND("|",SUBSTITUTE($H1380&amp;" "," ","|",4))-1),""))/86400+25569+9/24,""))</f>
        <v/>
      </c>
      <c r="G1380" s="58">
        <f>TRIM(SUBSTITUTE(SUBSTITUTE(SUBSTITUTE($A1380,CHAR(9)," ")," "," "),CHAR(13),""))</f>
        <v/>
      </c>
      <c r="H1380" s="58">
        <f>IF($G1380="","",IF(ISNUMBER(FIND(" ",$G1380)),$G1380,IFERROR(IF((LEN(SUBSTITUTE(SUBSTITUTE($G1380,"-"," ",LEN($G1380)-LEN(SUBSTITUTE($G1380,"-",""))),"-"," ",LEN($G1380)-LEN(SUBSTITUTE($G1380,"-",""))-1))-LEN(SUBSTITUTE(SUBSTITUTE(SUBSTITUTE($G1380,"-"," ",LEN($G1380)-LEN(SUBSTITUTE($G1380,"-",""))),"-"," ",LEN($G1380)-LEN(SUBSTITUTE($G1380,"-",""))-1),".","")))=0,SUBSTITUTE(SUBSTITUTE($G1380,"-"," ",LEN($G1380)-LEN(SUBSTITUTE($G1380,"-",""))),"-"," ",LEN($G1380)-LEN(SUBSTITUTE($G1380,"-",""))-1),SUBSTITUTE(SUBSTITUTE(SUBSTITUTE($G1380,"-"," ",LEN($G1380)-LEN(SUBSTITUTE($G1380,"-",""))),"-"," ",LEN($G1380)-LEN(SUBSTITUTE($G1380,"-",""))-1),"."," ",(LEN(SUBSTITUTE(SUBSTITUTE($G1380,"-"," ",LEN($G1380)-LEN(SUBSTITUTE($G1380,"-",""))),"-"," ",LEN($G1380)-LEN(SUBSTITUTE($G1380,"-",""))-1))-LEN(SUBSTITUTE(SUBSTITUTE(SUBSTITUTE($G1380,"-"," ",LEN($G1380)-LEN(SUBSTITUTE($G1380,"-",""))),"-"," ",LEN($G1380)-LEN(SUBSTITUTE($G1380,"-",""))-1),".",""))))),$G1380)))</f>
        <v/>
      </c>
    </row>
    <row r="1381">
      <c r="A1381" s="58" t="n"/>
      <c r="B1381" s="58">
        <f>IF($H1381="","",LEFT($H1381,FIND(" ",$H1381&amp;" ")-1))</f>
        <v/>
      </c>
      <c r="C1381" s="58">
        <f>IF($H1381="","",IFERROR(MID($H1381&amp;" ",FIND("|",SUBSTITUTE($H1381&amp;" "," ","|",1))+1,FIND("|",SUBSTITUTE($H1381&amp;" "," ","|",2))-FIND("|",SUBSTITUTE($H1381&amp;" "," ","|",1))-1),""))</f>
        <v/>
      </c>
      <c r="D1381" s="58">
        <f>IF($H1381="","",IFERROR(MID($H1381&amp;" ",FIND("|",SUBSTITUTE($H1381&amp;" "," ","|",2))+1,FIND("|",SUBSTITUTE($H1381&amp;" "," ","|",3))-FIND("|",SUBSTITUTE($H1381&amp;" "," ","|",2))-1),""))</f>
        <v/>
      </c>
      <c r="E1381" s="58">
        <f>IF($H1381="","",IFERROR(MID($H1381&amp;" ",FIND("|",SUBSTITUTE($H1381&amp;" "," ","|",3))+1,FIND("|",SUBSTITUTE($H1381&amp;" "," ","|",4))-FIND("|",SUBSTITUTE($H1381&amp;" "," ","|",3))-1),""))</f>
        <v/>
      </c>
      <c r="F1381" s="59">
        <f>IF($H1381="","",IFERROR(VALUE(IFERROR(MID($H1381&amp;" ",FIND("|",SUBSTITUTE($H1381&amp;" "," ","|",4))+1,FIND("|",SUBSTITUTE($H1381&amp;" "," ","|",5))-FIND("|",SUBSTITUTE($H1381&amp;" "," ","|",4))-1),""))/86400+25569+9/24,""))</f>
        <v/>
      </c>
      <c r="G1381" s="58">
        <f>TRIM(SUBSTITUTE(SUBSTITUTE(SUBSTITUTE($A1381,CHAR(9)," ")," "," "),CHAR(13),""))</f>
        <v/>
      </c>
      <c r="H1381" s="58">
        <f>IF($G1381="","",IF(ISNUMBER(FIND(" ",$G1381)),$G1381,IFERROR(IF((LEN(SUBSTITUTE(SUBSTITUTE($G1381,"-"," ",LEN($G1381)-LEN(SUBSTITUTE($G1381,"-",""))),"-"," ",LEN($G1381)-LEN(SUBSTITUTE($G1381,"-",""))-1))-LEN(SUBSTITUTE(SUBSTITUTE(SUBSTITUTE($G1381,"-"," ",LEN($G1381)-LEN(SUBSTITUTE($G1381,"-",""))),"-"," ",LEN($G1381)-LEN(SUBSTITUTE($G1381,"-",""))-1),".","")))=0,SUBSTITUTE(SUBSTITUTE($G1381,"-"," ",LEN($G1381)-LEN(SUBSTITUTE($G1381,"-",""))),"-"," ",LEN($G1381)-LEN(SUBSTITUTE($G1381,"-",""))-1),SUBSTITUTE(SUBSTITUTE(SUBSTITUTE($G1381,"-"," ",LEN($G1381)-LEN(SUBSTITUTE($G1381,"-",""))),"-"," ",LEN($G1381)-LEN(SUBSTITUTE($G1381,"-",""))-1),"."," ",(LEN(SUBSTITUTE(SUBSTITUTE($G1381,"-"," ",LEN($G1381)-LEN(SUBSTITUTE($G1381,"-",""))),"-"," ",LEN($G1381)-LEN(SUBSTITUTE($G1381,"-",""))-1))-LEN(SUBSTITUTE(SUBSTITUTE(SUBSTITUTE($G1381,"-"," ",LEN($G1381)-LEN(SUBSTITUTE($G1381,"-",""))),"-"," ",LEN($G1381)-LEN(SUBSTITUTE($G1381,"-",""))-1),".",""))))),$G1381)))</f>
        <v/>
      </c>
    </row>
    <row r="1382">
      <c r="A1382" s="58" t="n"/>
      <c r="B1382" s="58">
        <f>IF($H1382="","",LEFT($H1382,FIND(" ",$H1382&amp;" ")-1))</f>
        <v/>
      </c>
      <c r="C1382" s="58">
        <f>IF($H1382="","",IFERROR(MID($H1382&amp;" ",FIND("|",SUBSTITUTE($H1382&amp;" "," ","|",1))+1,FIND("|",SUBSTITUTE($H1382&amp;" "," ","|",2))-FIND("|",SUBSTITUTE($H1382&amp;" "," ","|",1))-1),""))</f>
        <v/>
      </c>
      <c r="D1382" s="58">
        <f>IF($H1382="","",IFERROR(MID($H1382&amp;" ",FIND("|",SUBSTITUTE($H1382&amp;" "," ","|",2))+1,FIND("|",SUBSTITUTE($H1382&amp;" "," ","|",3))-FIND("|",SUBSTITUTE($H1382&amp;" "," ","|",2))-1),""))</f>
        <v/>
      </c>
      <c r="E1382" s="58">
        <f>IF($H1382="","",IFERROR(MID($H1382&amp;" ",FIND("|",SUBSTITUTE($H1382&amp;" "," ","|",3))+1,FIND("|",SUBSTITUTE($H1382&amp;" "," ","|",4))-FIND("|",SUBSTITUTE($H1382&amp;" "," ","|",3))-1),""))</f>
        <v/>
      </c>
      <c r="F1382" s="59">
        <f>IF($H1382="","",IFERROR(VALUE(IFERROR(MID($H1382&amp;" ",FIND("|",SUBSTITUTE($H1382&amp;" "," ","|",4))+1,FIND("|",SUBSTITUTE($H1382&amp;" "," ","|",5))-FIND("|",SUBSTITUTE($H1382&amp;" "," ","|",4))-1),""))/86400+25569+9/24,""))</f>
        <v/>
      </c>
      <c r="G1382" s="58">
        <f>TRIM(SUBSTITUTE(SUBSTITUTE(SUBSTITUTE($A1382,CHAR(9)," ")," "," "),CHAR(13),""))</f>
        <v/>
      </c>
      <c r="H1382" s="58">
        <f>IF($G1382="","",IF(ISNUMBER(FIND(" ",$G1382)),$G1382,IFERROR(IF((LEN(SUBSTITUTE(SUBSTITUTE($G1382,"-"," ",LEN($G1382)-LEN(SUBSTITUTE($G1382,"-",""))),"-"," ",LEN($G1382)-LEN(SUBSTITUTE($G1382,"-",""))-1))-LEN(SUBSTITUTE(SUBSTITUTE(SUBSTITUTE($G1382,"-"," ",LEN($G1382)-LEN(SUBSTITUTE($G1382,"-",""))),"-"," ",LEN($G1382)-LEN(SUBSTITUTE($G1382,"-",""))-1),".","")))=0,SUBSTITUTE(SUBSTITUTE($G1382,"-"," ",LEN($G1382)-LEN(SUBSTITUTE($G1382,"-",""))),"-"," ",LEN($G1382)-LEN(SUBSTITUTE($G1382,"-",""))-1),SUBSTITUTE(SUBSTITUTE(SUBSTITUTE($G1382,"-"," ",LEN($G1382)-LEN(SUBSTITUTE($G1382,"-",""))),"-"," ",LEN($G1382)-LEN(SUBSTITUTE($G1382,"-",""))-1),"."," ",(LEN(SUBSTITUTE(SUBSTITUTE($G1382,"-"," ",LEN($G1382)-LEN(SUBSTITUTE($G1382,"-",""))),"-"," ",LEN($G1382)-LEN(SUBSTITUTE($G1382,"-",""))-1))-LEN(SUBSTITUTE(SUBSTITUTE(SUBSTITUTE($G1382,"-"," ",LEN($G1382)-LEN(SUBSTITUTE($G1382,"-",""))),"-"," ",LEN($G1382)-LEN(SUBSTITUTE($G1382,"-",""))-1),".",""))))),$G1382)))</f>
        <v/>
      </c>
    </row>
    <row r="1383">
      <c r="A1383" s="58" t="n"/>
      <c r="B1383" s="58">
        <f>IF($H1383="","",LEFT($H1383,FIND(" ",$H1383&amp;" ")-1))</f>
        <v/>
      </c>
      <c r="C1383" s="58">
        <f>IF($H1383="","",IFERROR(MID($H1383&amp;" ",FIND("|",SUBSTITUTE($H1383&amp;" "," ","|",1))+1,FIND("|",SUBSTITUTE($H1383&amp;" "," ","|",2))-FIND("|",SUBSTITUTE($H1383&amp;" "," ","|",1))-1),""))</f>
        <v/>
      </c>
      <c r="D1383" s="58">
        <f>IF($H1383="","",IFERROR(MID($H1383&amp;" ",FIND("|",SUBSTITUTE($H1383&amp;" "," ","|",2))+1,FIND("|",SUBSTITUTE($H1383&amp;" "," ","|",3))-FIND("|",SUBSTITUTE($H1383&amp;" "," ","|",2))-1),""))</f>
        <v/>
      </c>
      <c r="E1383" s="58">
        <f>IF($H1383="","",IFERROR(MID($H1383&amp;" ",FIND("|",SUBSTITUTE($H1383&amp;" "," ","|",3))+1,FIND("|",SUBSTITUTE($H1383&amp;" "," ","|",4))-FIND("|",SUBSTITUTE($H1383&amp;" "," ","|",3))-1),""))</f>
        <v/>
      </c>
      <c r="F1383" s="59">
        <f>IF($H1383="","",IFERROR(VALUE(IFERROR(MID($H1383&amp;" ",FIND("|",SUBSTITUTE($H1383&amp;" "," ","|",4))+1,FIND("|",SUBSTITUTE($H1383&amp;" "," ","|",5))-FIND("|",SUBSTITUTE($H1383&amp;" "," ","|",4))-1),""))/86400+25569+9/24,""))</f>
        <v/>
      </c>
      <c r="G1383" s="58">
        <f>TRIM(SUBSTITUTE(SUBSTITUTE(SUBSTITUTE($A1383,CHAR(9)," ")," "," "),CHAR(13),""))</f>
        <v/>
      </c>
      <c r="H1383" s="58">
        <f>IF($G1383="","",IF(ISNUMBER(FIND(" ",$G1383)),$G1383,IFERROR(IF((LEN(SUBSTITUTE(SUBSTITUTE($G1383,"-"," ",LEN($G1383)-LEN(SUBSTITUTE($G1383,"-",""))),"-"," ",LEN($G1383)-LEN(SUBSTITUTE($G1383,"-",""))-1))-LEN(SUBSTITUTE(SUBSTITUTE(SUBSTITUTE($G1383,"-"," ",LEN($G1383)-LEN(SUBSTITUTE($G1383,"-",""))),"-"," ",LEN($G1383)-LEN(SUBSTITUTE($G1383,"-",""))-1),".","")))=0,SUBSTITUTE(SUBSTITUTE($G1383,"-"," ",LEN($G1383)-LEN(SUBSTITUTE($G1383,"-",""))),"-"," ",LEN($G1383)-LEN(SUBSTITUTE($G1383,"-",""))-1),SUBSTITUTE(SUBSTITUTE(SUBSTITUTE($G1383,"-"," ",LEN($G1383)-LEN(SUBSTITUTE($G1383,"-",""))),"-"," ",LEN($G1383)-LEN(SUBSTITUTE($G1383,"-",""))-1),"."," ",(LEN(SUBSTITUTE(SUBSTITUTE($G1383,"-"," ",LEN($G1383)-LEN(SUBSTITUTE($G1383,"-",""))),"-"," ",LEN($G1383)-LEN(SUBSTITUTE($G1383,"-",""))-1))-LEN(SUBSTITUTE(SUBSTITUTE(SUBSTITUTE($G1383,"-"," ",LEN($G1383)-LEN(SUBSTITUTE($G1383,"-",""))),"-"," ",LEN($G1383)-LEN(SUBSTITUTE($G1383,"-",""))-1),".",""))))),$G1383)))</f>
        <v/>
      </c>
    </row>
    <row r="1384">
      <c r="A1384" s="58" t="n"/>
      <c r="B1384" s="58">
        <f>IF($H1384="","",LEFT($H1384,FIND(" ",$H1384&amp;" ")-1))</f>
        <v/>
      </c>
      <c r="C1384" s="58">
        <f>IF($H1384="","",IFERROR(MID($H1384&amp;" ",FIND("|",SUBSTITUTE($H1384&amp;" "," ","|",1))+1,FIND("|",SUBSTITUTE($H1384&amp;" "," ","|",2))-FIND("|",SUBSTITUTE($H1384&amp;" "," ","|",1))-1),""))</f>
        <v/>
      </c>
      <c r="D1384" s="58">
        <f>IF($H1384="","",IFERROR(MID($H1384&amp;" ",FIND("|",SUBSTITUTE($H1384&amp;" "," ","|",2))+1,FIND("|",SUBSTITUTE($H1384&amp;" "," ","|",3))-FIND("|",SUBSTITUTE($H1384&amp;" "," ","|",2))-1),""))</f>
        <v/>
      </c>
      <c r="E1384" s="58">
        <f>IF($H1384="","",IFERROR(MID($H1384&amp;" ",FIND("|",SUBSTITUTE($H1384&amp;" "," ","|",3))+1,FIND("|",SUBSTITUTE($H1384&amp;" "," ","|",4))-FIND("|",SUBSTITUTE($H1384&amp;" "," ","|",3))-1),""))</f>
        <v/>
      </c>
      <c r="F1384" s="59">
        <f>IF($H1384="","",IFERROR(VALUE(IFERROR(MID($H1384&amp;" ",FIND("|",SUBSTITUTE($H1384&amp;" "," ","|",4))+1,FIND("|",SUBSTITUTE($H1384&amp;" "," ","|",5))-FIND("|",SUBSTITUTE($H1384&amp;" "," ","|",4))-1),""))/86400+25569+9/24,""))</f>
        <v/>
      </c>
      <c r="G1384" s="58">
        <f>TRIM(SUBSTITUTE(SUBSTITUTE(SUBSTITUTE($A1384,CHAR(9)," ")," "," "),CHAR(13),""))</f>
        <v/>
      </c>
      <c r="H1384" s="58">
        <f>IF($G1384="","",IF(ISNUMBER(FIND(" ",$G1384)),$G1384,IFERROR(IF((LEN(SUBSTITUTE(SUBSTITUTE($G1384,"-"," ",LEN($G1384)-LEN(SUBSTITUTE($G1384,"-",""))),"-"," ",LEN($G1384)-LEN(SUBSTITUTE($G1384,"-",""))-1))-LEN(SUBSTITUTE(SUBSTITUTE(SUBSTITUTE($G1384,"-"," ",LEN($G1384)-LEN(SUBSTITUTE($G1384,"-",""))),"-"," ",LEN($G1384)-LEN(SUBSTITUTE($G1384,"-",""))-1),".","")))=0,SUBSTITUTE(SUBSTITUTE($G1384,"-"," ",LEN($G1384)-LEN(SUBSTITUTE($G1384,"-",""))),"-"," ",LEN($G1384)-LEN(SUBSTITUTE($G1384,"-",""))-1),SUBSTITUTE(SUBSTITUTE(SUBSTITUTE($G1384,"-"," ",LEN($G1384)-LEN(SUBSTITUTE($G1384,"-",""))),"-"," ",LEN($G1384)-LEN(SUBSTITUTE($G1384,"-",""))-1),"."," ",(LEN(SUBSTITUTE(SUBSTITUTE($G1384,"-"," ",LEN($G1384)-LEN(SUBSTITUTE($G1384,"-",""))),"-"," ",LEN($G1384)-LEN(SUBSTITUTE($G1384,"-",""))-1))-LEN(SUBSTITUTE(SUBSTITUTE(SUBSTITUTE($G1384,"-"," ",LEN($G1384)-LEN(SUBSTITUTE($G1384,"-",""))),"-"," ",LEN($G1384)-LEN(SUBSTITUTE($G1384,"-",""))-1),".",""))))),$G1384)))</f>
        <v/>
      </c>
    </row>
    <row r="1385">
      <c r="A1385" s="58" t="n"/>
      <c r="B1385" s="58">
        <f>IF($H1385="","",LEFT($H1385,FIND(" ",$H1385&amp;" ")-1))</f>
        <v/>
      </c>
      <c r="C1385" s="58">
        <f>IF($H1385="","",IFERROR(MID($H1385&amp;" ",FIND("|",SUBSTITUTE($H1385&amp;" "," ","|",1))+1,FIND("|",SUBSTITUTE($H1385&amp;" "," ","|",2))-FIND("|",SUBSTITUTE($H1385&amp;" "," ","|",1))-1),""))</f>
        <v/>
      </c>
      <c r="D1385" s="58">
        <f>IF($H1385="","",IFERROR(MID($H1385&amp;" ",FIND("|",SUBSTITUTE($H1385&amp;" "," ","|",2))+1,FIND("|",SUBSTITUTE($H1385&amp;" "," ","|",3))-FIND("|",SUBSTITUTE($H1385&amp;" "," ","|",2))-1),""))</f>
        <v/>
      </c>
      <c r="E1385" s="58">
        <f>IF($H1385="","",IFERROR(MID($H1385&amp;" ",FIND("|",SUBSTITUTE($H1385&amp;" "," ","|",3))+1,FIND("|",SUBSTITUTE($H1385&amp;" "," ","|",4))-FIND("|",SUBSTITUTE($H1385&amp;" "," ","|",3))-1),""))</f>
        <v/>
      </c>
      <c r="F1385" s="59">
        <f>IF($H1385="","",IFERROR(VALUE(IFERROR(MID($H1385&amp;" ",FIND("|",SUBSTITUTE($H1385&amp;" "," ","|",4))+1,FIND("|",SUBSTITUTE($H1385&amp;" "," ","|",5))-FIND("|",SUBSTITUTE($H1385&amp;" "," ","|",4))-1),""))/86400+25569+9/24,""))</f>
        <v/>
      </c>
      <c r="G1385" s="58">
        <f>TRIM(SUBSTITUTE(SUBSTITUTE(SUBSTITUTE($A1385,CHAR(9)," ")," "," "),CHAR(13),""))</f>
        <v/>
      </c>
      <c r="H1385" s="58">
        <f>IF($G1385="","",IF(ISNUMBER(FIND(" ",$G1385)),$G1385,IFERROR(IF((LEN(SUBSTITUTE(SUBSTITUTE($G1385,"-"," ",LEN($G1385)-LEN(SUBSTITUTE($G1385,"-",""))),"-"," ",LEN($G1385)-LEN(SUBSTITUTE($G1385,"-",""))-1))-LEN(SUBSTITUTE(SUBSTITUTE(SUBSTITUTE($G1385,"-"," ",LEN($G1385)-LEN(SUBSTITUTE($G1385,"-",""))),"-"," ",LEN($G1385)-LEN(SUBSTITUTE($G1385,"-",""))-1),".","")))=0,SUBSTITUTE(SUBSTITUTE($G1385,"-"," ",LEN($G1385)-LEN(SUBSTITUTE($G1385,"-",""))),"-"," ",LEN($G1385)-LEN(SUBSTITUTE($G1385,"-",""))-1),SUBSTITUTE(SUBSTITUTE(SUBSTITUTE($G1385,"-"," ",LEN($G1385)-LEN(SUBSTITUTE($G1385,"-",""))),"-"," ",LEN($G1385)-LEN(SUBSTITUTE($G1385,"-",""))-1),"."," ",(LEN(SUBSTITUTE(SUBSTITUTE($G1385,"-"," ",LEN($G1385)-LEN(SUBSTITUTE($G1385,"-",""))),"-"," ",LEN($G1385)-LEN(SUBSTITUTE($G1385,"-",""))-1))-LEN(SUBSTITUTE(SUBSTITUTE(SUBSTITUTE($G1385,"-"," ",LEN($G1385)-LEN(SUBSTITUTE($G1385,"-",""))),"-"," ",LEN($G1385)-LEN(SUBSTITUTE($G1385,"-",""))-1),".",""))))),$G1385)))</f>
        <v/>
      </c>
    </row>
    <row r="1386">
      <c r="A1386" s="58" t="n"/>
      <c r="B1386" s="58">
        <f>IF($H1386="","",LEFT($H1386,FIND(" ",$H1386&amp;" ")-1))</f>
        <v/>
      </c>
      <c r="C1386" s="58">
        <f>IF($H1386="","",IFERROR(MID($H1386&amp;" ",FIND("|",SUBSTITUTE($H1386&amp;" "," ","|",1))+1,FIND("|",SUBSTITUTE($H1386&amp;" "," ","|",2))-FIND("|",SUBSTITUTE($H1386&amp;" "," ","|",1))-1),""))</f>
        <v/>
      </c>
      <c r="D1386" s="58">
        <f>IF($H1386="","",IFERROR(MID($H1386&amp;" ",FIND("|",SUBSTITUTE($H1386&amp;" "," ","|",2))+1,FIND("|",SUBSTITUTE($H1386&amp;" "," ","|",3))-FIND("|",SUBSTITUTE($H1386&amp;" "," ","|",2))-1),""))</f>
        <v/>
      </c>
      <c r="E1386" s="58">
        <f>IF($H1386="","",IFERROR(MID($H1386&amp;" ",FIND("|",SUBSTITUTE($H1386&amp;" "," ","|",3))+1,FIND("|",SUBSTITUTE($H1386&amp;" "," ","|",4))-FIND("|",SUBSTITUTE($H1386&amp;" "," ","|",3))-1),""))</f>
        <v/>
      </c>
      <c r="F1386" s="59">
        <f>IF($H1386="","",IFERROR(VALUE(IFERROR(MID($H1386&amp;" ",FIND("|",SUBSTITUTE($H1386&amp;" "," ","|",4))+1,FIND("|",SUBSTITUTE($H1386&amp;" "," ","|",5))-FIND("|",SUBSTITUTE($H1386&amp;" "," ","|",4))-1),""))/86400+25569+9/24,""))</f>
        <v/>
      </c>
      <c r="G1386" s="58">
        <f>TRIM(SUBSTITUTE(SUBSTITUTE(SUBSTITUTE($A1386,CHAR(9)," ")," "," "),CHAR(13),""))</f>
        <v/>
      </c>
      <c r="H1386" s="58">
        <f>IF($G1386="","",IF(ISNUMBER(FIND(" ",$G1386)),$G1386,IFERROR(IF((LEN(SUBSTITUTE(SUBSTITUTE($G1386,"-"," ",LEN($G1386)-LEN(SUBSTITUTE($G1386,"-",""))),"-"," ",LEN($G1386)-LEN(SUBSTITUTE($G1386,"-",""))-1))-LEN(SUBSTITUTE(SUBSTITUTE(SUBSTITUTE($G1386,"-"," ",LEN($G1386)-LEN(SUBSTITUTE($G1386,"-",""))),"-"," ",LEN($G1386)-LEN(SUBSTITUTE($G1386,"-",""))-1),".","")))=0,SUBSTITUTE(SUBSTITUTE($G1386,"-"," ",LEN($G1386)-LEN(SUBSTITUTE($G1386,"-",""))),"-"," ",LEN($G1386)-LEN(SUBSTITUTE($G1386,"-",""))-1),SUBSTITUTE(SUBSTITUTE(SUBSTITUTE($G1386,"-"," ",LEN($G1386)-LEN(SUBSTITUTE($G1386,"-",""))),"-"," ",LEN($G1386)-LEN(SUBSTITUTE($G1386,"-",""))-1),"."," ",(LEN(SUBSTITUTE(SUBSTITUTE($G1386,"-"," ",LEN($G1386)-LEN(SUBSTITUTE($G1386,"-",""))),"-"," ",LEN($G1386)-LEN(SUBSTITUTE($G1386,"-",""))-1))-LEN(SUBSTITUTE(SUBSTITUTE(SUBSTITUTE($G1386,"-"," ",LEN($G1386)-LEN(SUBSTITUTE($G1386,"-",""))),"-"," ",LEN($G1386)-LEN(SUBSTITUTE($G1386,"-",""))-1),".",""))))),$G1386)))</f>
        <v/>
      </c>
    </row>
    <row r="1387">
      <c r="A1387" s="58" t="n"/>
      <c r="B1387" s="58">
        <f>IF($H1387="","",LEFT($H1387,FIND(" ",$H1387&amp;" ")-1))</f>
        <v/>
      </c>
      <c r="C1387" s="58">
        <f>IF($H1387="","",IFERROR(MID($H1387&amp;" ",FIND("|",SUBSTITUTE($H1387&amp;" "," ","|",1))+1,FIND("|",SUBSTITUTE($H1387&amp;" "," ","|",2))-FIND("|",SUBSTITUTE($H1387&amp;" "," ","|",1))-1),""))</f>
        <v/>
      </c>
      <c r="D1387" s="58">
        <f>IF($H1387="","",IFERROR(MID($H1387&amp;" ",FIND("|",SUBSTITUTE($H1387&amp;" "," ","|",2))+1,FIND("|",SUBSTITUTE($H1387&amp;" "," ","|",3))-FIND("|",SUBSTITUTE($H1387&amp;" "," ","|",2))-1),""))</f>
        <v/>
      </c>
      <c r="E1387" s="58">
        <f>IF($H1387="","",IFERROR(MID($H1387&amp;" ",FIND("|",SUBSTITUTE($H1387&amp;" "," ","|",3))+1,FIND("|",SUBSTITUTE($H1387&amp;" "," ","|",4))-FIND("|",SUBSTITUTE($H1387&amp;" "," ","|",3))-1),""))</f>
        <v/>
      </c>
      <c r="F1387" s="59">
        <f>IF($H1387="","",IFERROR(VALUE(IFERROR(MID($H1387&amp;" ",FIND("|",SUBSTITUTE($H1387&amp;" "," ","|",4))+1,FIND("|",SUBSTITUTE($H1387&amp;" "," ","|",5))-FIND("|",SUBSTITUTE($H1387&amp;" "," ","|",4))-1),""))/86400+25569+9/24,""))</f>
        <v/>
      </c>
      <c r="G1387" s="58">
        <f>TRIM(SUBSTITUTE(SUBSTITUTE(SUBSTITUTE($A1387,CHAR(9)," ")," "," "),CHAR(13),""))</f>
        <v/>
      </c>
      <c r="H1387" s="58">
        <f>IF($G1387="","",IF(ISNUMBER(FIND(" ",$G1387)),$G1387,IFERROR(IF((LEN(SUBSTITUTE(SUBSTITUTE($G1387,"-"," ",LEN($G1387)-LEN(SUBSTITUTE($G1387,"-",""))),"-"," ",LEN($G1387)-LEN(SUBSTITUTE($G1387,"-",""))-1))-LEN(SUBSTITUTE(SUBSTITUTE(SUBSTITUTE($G1387,"-"," ",LEN($G1387)-LEN(SUBSTITUTE($G1387,"-",""))),"-"," ",LEN($G1387)-LEN(SUBSTITUTE($G1387,"-",""))-1),".","")))=0,SUBSTITUTE(SUBSTITUTE($G1387,"-"," ",LEN($G1387)-LEN(SUBSTITUTE($G1387,"-",""))),"-"," ",LEN($G1387)-LEN(SUBSTITUTE($G1387,"-",""))-1),SUBSTITUTE(SUBSTITUTE(SUBSTITUTE($G1387,"-"," ",LEN($G1387)-LEN(SUBSTITUTE($G1387,"-",""))),"-"," ",LEN($G1387)-LEN(SUBSTITUTE($G1387,"-",""))-1),"."," ",(LEN(SUBSTITUTE(SUBSTITUTE($G1387,"-"," ",LEN($G1387)-LEN(SUBSTITUTE($G1387,"-",""))),"-"," ",LEN($G1387)-LEN(SUBSTITUTE($G1387,"-",""))-1))-LEN(SUBSTITUTE(SUBSTITUTE(SUBSTITUTE($G1387,"-"," ",LEN($G1387)-LEN(SUBSTITUTE($G1387,"-",""))),"-"," ",LEN($G1387)-LEN(SUBSTITUTE($G1387,"-",""))-1),".",""))))),$G1387)))</f>
        <v/>
      </c>
    </row>
    <row r="1388">
      <c r="A1388" s="58" t="n"/>
      <c r="B1388" s="58">
        <f>IF($H1388="","",LEFT($H1388,FIND(" ",$H1388&amp;" ")-1))</f>
        <v/>
      </c>
      <c r="C1388" s="58">
        <f>IF($H1388="","",IFERROR(MID($H1388&amp;" ",FIND("|",SUBSTITUTE($H1388&amp;" "," ","|",1))+1,FIND("|",SUBSTITUTE($H1388&amp;" "," ","|",2))-FIND("|",SUBSTITUTE($H1388&amp;" "," ","|",1))-1),""))</f>
        <v/>
      </c>
      <c r="D1388" s="58">
        <f>IF($H1388="","",IFERROR(MID($H1388&amp;" ",FIND("|",SUBSTITUTE($H1388&amp;" "," ","|",2))+1,FIND("|",SUBSTITUTE($H1388&amp;" "," ","|",3))-FIND("|",SUBSTITUTE($H1388&amp;" "," ","|",2))-1),""))</f>
        <v/>
      </c>
      <c r="E1388" s="58">
        <f>IF($H1388="","",IFERROR(MID($H1388&amp;" ",FIND("|",SUBSTITUTE($H1388&amp;" "," ","|",3))+1,FIND("|",SUBSTITUTE($H1388&amp;" "," ","|",4))-FIND("|",SUBSTITUTE($H1388&amp;" "," ","|",3))-1),""))</f>
        <v/>
      </c>
      <c r="F1388" s="59">
        <f>IF($H1388="","",IFERROR(VALUE(IFERROR(MID($H1388&amp;" ",FIND("|",SUBSTITUTE($H1388&amp;" "," ","|",4))+1,FIND("|",SUBSTITUTE($H1388&amp;" "," ","|",5))-FIND("|",SUBSTITUTE($H1388&amp;" "," ","|",4))-1),""))/86400+25569+9/24,""))</f>
        <v/>
      </c>
      <c r="G1388" s="58">
        <f>TRIM(SUBSTITUTE(SUBSTITUTE(SUBSTITUTE($A1388,CHAR(9)," ")," "," "),CHAR(13),""))</f>
        <v/>
      </c>
      <c r="H1388" s="58">
        <f>IF($G1388="","",IF(ISNUMBER(FIND(" ",$G1388)),$G1388,IFERROR(IF((LEN(SUBSTITUTE(SUBSTITUTE($G1388,"-"," ",LEN($G1388)-LEN(SUBSTITUTE($G1388,"-",""))),"-"," ",LEN($G1388)-LEN(SUBSTITUTE($G1388,"-",""))-1))-LEN(SUBSTITUTE(SUBSTITUTE(SUBSTITUTE($G1388,"-"," ",LEN($G1388)-LEN(SUBSTITUTE($G1388,"-",""))),"-"," ",LEN($G1388)-LEN(SUBSTITUTE($G1388,"-",""))-1),".","")))=0,SUBSTITUTE(SUBSTITUTE($G1388,"-"," ",LEN($G1388)-LEN(SUBSTITUTE($G1388,"-",""))),"-"," ",LEN($G1388)-LEN(SUBSTITUTE($G1388,"-",""))-1),SUBSTITUTE(SUBSTITUTE(SUBSTITUTE($G1388,"-"," ",LEN($G1388)-LEN(SUBSTITUTE($G1388,"-",""))),"-"," ",LEN($G1388)-LEN(SUBSTITUTE($G1388,"-",""))-1),"."," ",(LEN(SUBSTITUTE(SUBSTITUTE($G1388,"-"," ",LEN($G1388)-LEN(SUBSTITUTE($G1388,"-",""))),"-"," ",LEN($G1388)-LEN(SUBSTITUTE($G1388,"-",""))-1))-LEN(SUBSTITUTE(SUBSTITUTE(SUBSTITUTE($G1388,"-"," ",LEN($G1388)-LEN(SUBSTITUTE($G1388,"-",""))),"-"," ",LEN($G1388)-LEN(SUBSTITUTE($G1388,"-",""))-1),".",""))))),$G1388)))</f>
        <v/>
      </c>
    </row>
    <row r="1389">
      <c r="A1389" s="58" t="n"/>
      <c r="B1389" s="58">
        <f>IF($H1389="","",LEFT($H1389,FIND(" ",$H1389&amp;" ")-1))</f>
        <v/>
      </c>
      <c r="C1389" s="58">
        <f>IF($H1389="","",IFERROR(MID($H1389&amp;" ",FIND("|",SUBSTITUTE($H1389&amp;" "," ","|",1))+1,FIND("|",SUBSTITUTE($H1389&amp;" "," ","|",2))-FIND("|",SUBSTITUTE($H1389&amp;" "," ","|",1))-1),""))</f>
        <v/>
      </c>
      <c r="D1389" s="58">
        <f>IF($H1389="","",IFERROR(MID($H1389&amp;" ",FIND("|",SUBSTITUTE($H1389&amp;" "," ","|",2))+1,FIND("|",SUBSTITUTE($H1389&amp;" "," ","|",3))-FIND("|",SUBSTITUTE($H1389&amp;" "," ","|",2))-1),""))</f>
        <v/>
      </c>
      <c r="E1389" s="58">
        <f>IF($H1389="","",IFERROR(MID($H1389&amp;" ",FIND("|",SUBSTITUTE($H1389&amp;" "," ","|",3))+1,FIND("|",SUBSTITUTE($H1389&amp;" "," ","|",4))-FIND("|",SUBSTITUTE($H1389&amp;" "," ","|",3))-1),""))</f>
        <v/>
      </c>
      <c r="F1389" s="59">
        <f>IF($H1389="","",IFERROR(VALUE(IFERROR(MID($H1389&amp;" ",FIND("|",SUBSTITUTE($H1389&amp;" "," ","|",4))+1,FIND("|",SUBSTITUTE($H1389&amp;" "," ","|",5))-FIND("|",SUBSTITUTE($H1389&amp;" "," ","|",4))-1),""))/86400+25569+9/24,""))</f>
        <v/>
      </c>
      <c r="G1389" s="58">
        <f>TRIM(SUBSTITUTE(SUBSTITUTE(SUBSTITUTE($A1389,CHAR(9)," ")," "," "),CHAR(13),""))</f>
        <v/>
      </c>
      <c r="H1389" s="58">
        <f>IF($G1389="","",IF(ISNUMBER(FIND(" ",$G1389)),$G1389,IFERROR(IF((LEN(SUBSTITUTE(SUBSTITUTE($G1389,"-"," ",LEN($G1389)-LEN(SUBSTITUTE($G1389,"-",""))),"-"," ",LEN($G1389)-LEN(SUBSTITUTE($G1389,"-",""))-1))-LEN(SUBSTITUTE(SUBSTITUTE(SUBSTITUTE($G1389,"-"," ",LEN($G1389)-LEN(SUBSTITUTE($G1389,"-",""))),"-"," ",LEN($G1389)-LEN(SUBSTITUTE($G1389,"-",""))-1),".","")))=0,SUBSTITUTE(SUBSTITUTE($G1389,"-"," ",LEN($G1389)-LEN(SUBSTITUTE($G1389,"-",""))),"-"," ",LEN($G1389)-LEN(SUBSTITUTE($G1389,"-",""))-1),SUBSTITUTE(SUBSTITUTE(SUBSTITUTE($G1389,"-"," ",LEN($G1389)-LEN(SUBSTITUTE($G1389,"-",""))),"-"," ",LEN($G1389)-LEN(SUBSTITUTE($G1389,"-",""))-1),"."," ",(LEN(SUBSTITUTE(SUBSTITUTE($G1389,"-"," ",LEN($G1389)-LEN(SUBSTITUTE($G1389,"-",""))),"-"," ",LEN($G1389)-LEN(SUBSTITUTE($G1389,"-",""))-1))-LEN(SUBSTITUTE(SUBSTITUTE(SUBSTITUTE($G1389,"-"," ",LEN($G1389)-LEN(SUBSTITUTE($G1389,"-",""))),"-"," ",LEN($G1389)-LEN(SUBSTITUTE($G1389,"-",""))-1),".",""))))),$G1389)))</f>
        <v/>
      </c>
    </row>
    <row r="1390">
      <c r="A1390" s="58" t="n"/>
      <c r="B1390" s="58">
        <f>IF($H1390="","",LEFT($H1390,FIND(" ",$H1390&amp;" ")-1))</f>
        <v/>
      </c>
      <c r="C1390" s="58">
        <f>IF($H1390="","",IFERROR(MID($H1390&amp;" ",FIND("|",SUBSTITUTE($H1390&amp;" "," ","|",1))+1,FIND("|",SUBSTITUTE($H1390&amp;" "," ","|",2))-FIND("|",SUBSTITUTE($H1390&amp;" "," ","|",1))-1),""))</f>
        <v/>
      </c>
      <c r="D1390" s="58">
        <f>IF($H1390="","",IFERROR(MID($H1390&amp;" ",FIND("|",SUBSTITUTE($H1390&amp;" "," ","|",2))+1,FIND("|",SUBSTITUTE($H1390&amp;" "," ","|",3))-FIND("|",SUBSTITUTE($H1390&amp;" "," ","|",2))-1),""))</f>
        <v/>
      </c>
      <c r="E1390" s="58">
        <f>IF($H1390="","",IFERROR(MID($H1390&amp;" ",FIND("|",SUBSTITUTE($H1390&amp;" "," ","|",3))+1,FIND("|",SUBSTITUTE($H1390&amp;" "," ","|",4))-FIND("|",SUBSTITUTE($H1390&amp;" "," ","|",3))-1),""))</f>
        <v/>
      </c>
      <c r="F1390" s="59">
        <f>IF($H1390="","",IFERROR(VALUE(IFERROR(MID($H1390&amp;" ",FIND("|",SUBSTITUTE($H1390&amp;" "," ","|",4))+1,FIND("|",SUBSTITUTE($H1390&amp;" "," ","|",5))-FIND("|",SUBSTITUTE($H1390&amp;" "," ","|",4))-1),""))/86400+25569+9/24,""))</f>
        <v/>
      </c>
      <c r="G1390" s="58">
        <f>TRIM(SUBSTITUTE(SUBSTITUTE(SUBSTITUTE($A1390,CHAR(9)," ")," "," "),CHAR(13),""))</f>
        <v/>
      </c>
      <c r="H1390" s="58">
        <f>IF($G1390="","",IF(ISNUMBER(FIND(" ",$G1390)),$G1390,IFERROR(IF((LEN(SUBSTITUTE(SUBSTITUTE($G1390,"-"," ",LEN($G1390)-LEN(SUBSTITUTE($G1390,"-",""))),"-"," ",LEN($G1390)-LEN(SUBSTITUTE($G1390,"-",""))-1))-LEN(SUBSTITUTE(SUBSTITUTE(SUBSTITUTE($G1390,"-"," ",LEN($G1390)-LEN(SUBSTITUTE($G1390,"-",""))),"-"," ",LEN($G1390)-LEN(SUBSTITUTE($G1390,"-",""))-1),".","")))=0,SUBSTITUTE(SUBSTITUTE($G1390,"-"," ",LEN($G1390)-LEN(SUBSTITUTE($G1390,"-",""))),"-"," ",LEN($G1390)-LEN(SUBSTITUTE($G1390,"-",""))-1),SUBSTITUTE(SUBSTITUTE(SUBSTITUTE($G1390,"-"," ",LEN($G1390)-LEN(SUBSTITUTE($G1390,"-",""))),"-"," ",LEN($G1390)-LEN(SUBSTITUTE($G1390,"-",""))-1),"."," ",(LEN(SUBSTITUTE(SUBSTITUTE($G1390,"-"," ",LEN($G1390)-LEN(SUBSTITUTE($G1390,"-",""))),"-"," ",LEN($G1390)-LEN(SUBSTITUTE($G1390,"-",""))-1))-LEN(SUBSTITUTE(SUBSTITUTE(SUBSTITUTE($G1390,"-"," ",LEN($G1390)-LEN(SUBSTITUTE($G1390,"-",""))),"-"," ",LEN($G1390)-LEN(SUBSTITUTE($G1390,"-",""))-1),".",""))))),$G1390)))</f>
        <v/>
      </c>
    </row>
    <row r="1391">
      <c r="A1391" s="58" t="n"/>
      <c r="B1391" s="58">
        <f>IF($H1391="","",LEFT($H1391,FIND(" ",$H1391&amp;" ")-1))</f>
        <v/>
      </c>
      <c r="C1391" s="58">
        <f>IF($H1391="","",IFERROR(MID($H1391&amp;" ",FIND("|",SUBSTITUTE($H1391&amp;" "," ","|",1))+1,FIND("|",SUBSTITUTE($H1391&amp;" "," ","|",2))-FIND("|",SUBSTITUTE($H1391&amp;" "," ","|",1))-1),""))</f>
        <v/>
      </c>
      <c r="D1391" s="58">
        <f>IF($H1391="","",IFERROR(MID($H1391&amp;" ",FIND("|",SUBSTITUTE($H1391&amp;" "," ","|",2))+1,FIND("|",SUBSTITUTE($H1391&amp;" "," ","|",3))-FIND("|",SUBSTITUTE($H1391&amp;" "," ","|",2))-1),""))</f>
        <v/>
      </c>
      <c r="E1391" s="58">
        <f>IF($H1391="","",IFERROR(MID($H1391&amp;" ",FIND("|",SUBSTITUTE($H1391&amp;" "," ","|",3))+1,FIND("|",SUBSTITUTE($H1391&amp;" "," ","|",4))-FIND("|",SUBSTITUTE($H1391&amp;" "," ","|",3))-1),""))</f>
        <v/>
      </c>
      <c r="F1391" s="59">
        <f>IF($H1391="","",IFERROR(VALUE(IFERROR(MID($H1391&amp;" ",FIND("|",SUBSTITUTE($H1391&amp;" "," ","|",4))+1,FIND("|",SUBSTITUTE($H1391&amp;" "," ","|",5))-FIND("|",SUBSTITUTE($H1391&amp;" "," ","|",4))-1),""))/86400+25569+9/24,""))</f>
        <v/>
      </c>
      <c r="G1391" s="58">
        <f>TRIM(SUBSTITUTE(SUBSTITUTE(SUBSTITUTE($A1391,CHAR(9)," ")," "," "),CHAR(13),""))</f>
        <v/>
      </c>
      <c r="H1391" s="58">
        <f>IF($G1391="","",IF(ISNUMBER(FIND(" ",$G1391)),$G1391,IFERROR(IF((LEN(SUBSTITUTE(SUBSTITUTE($G1391,"-"," ",LEN($G1391)-LEN(SUBSTITUTE($G1391,"-",""))),"-"," ",LEN($G1391)-LEN(SUBSTITUTE($G1391,"-",""))-1))-LEN(SUBSTITUTE(SUBSTITUTE(SUBSTITUTE($G1391,"-"," ",LEN($G1391)-LEN(SUBSTITUTE($G1391,"-",""))),"-"," ",LEN($G1391)-LEN(SUBSTITUTE($G1391,"-",""))-1),".","")))=0,SUBSTITUTE(SUBSTITUTE($G1391,"-"," ",LEN($G1391)-LEN(SUBSTITUTE($G1391,"-",""))),"-"," ",LEN($G1391)-LEN(SUBSTITUTE($G1391,"-",""))-1),SUBSTITUTE(SUBSTITUTE(SUBSTITUTE($G1391,"-"," ",LEN($G1391)-LEN(SUBSTITUTE($G1391,"-",""))),"-"," ",LEN($G1391)-LEN(SUBSTITUTE($G1391,"-",""))-1),"."," ",(LEN(SUBSTITUTE(SUBSTITUTE($G1391,"-"," ",LEN($G1391)-LEN(SUBSTITUTE($G1391,"-",""))),"-"," ",LEN($G1391)-LEN(SUBSTITUTE($G1391,"-",""))-1))-LEN(SUBSTITUTE(SUBSTITUTE(SUBSTITUTE($G1391,"-"," ",LEN($G1391)-LEN(SUBSTITUTE($G1391,"-",""))),"-"," ",LEN($G1391)-LEN(SUBSTITUTE($G1391,"-",""))-1),".",""))))),$G1391)))</f>
        <v/>
      </c>
    </row>
    <row r="1392">
      <c r="A1392" s="58" t="n"/>
      <c r="B1392" s="58">
        <f>IF($H1392="","",LEFT($H1392,FIND(" ",$H1392&amp;" ")-1))</f>
        <v/>
      </c>
      <c r="C1392" s="58">
        <f>IF($H1392="","",IFERROR(MID($H1392&amp;" ",FIND("|",SUBSTITUTE($H1392&amp;" "," ","|",1))+1,FIND("|",SUBSTITUTE($H1392&amp;" "," ","|",2))-FIND("|",SUBSTITUTE($H1392&amp;" "," ","|",1))-1),""))</f>
        <v/>
      </c>
      <c r="D1392" s="58">
        <f>IF($H1392="","",IFERROR(MID($H1392&amp;" ",FIND("|",SUBSTITUTE($H1392&amp;" "," ","|",2))+1,FIND("|",SUBSTITUTE($H1392&amp;" "," ","|",3))-FIND("|",SUBSTITUTE($H1392&amp;" "," ","|",2))-1),""))</f>
        <v/>
      </c>
      <c r="E1392" s="58">
        <f>IF($H1392="","",IFERROR(MID($H1392&amp;" ",FIND("|",SUBSTITUTE($H1392&amp;" "," ","|",3))+1,FIND("|",SUBSTITUTE($H1392&amp;" "," ","|",4))-FIND("|",SUBSTITUTE($H1392&amp;" "," ","|",3))-1),""))</f>
        <v/>
      </c>
      <c r="F1392" s="59">
        <f>IF($H1392="","",IFERROR(VALUE(IFERROR(MID($H1392&amp;" ",FIND("|",SUBSTITUTE($H1392&amp;" "," ","|",4))+1,FIND("|",SUBSTITUTE($H1392&amp;" "," ","|",5))-FIND("|",SUBSTITUTE($H1392&amp;" "," ","|",4))-1),""))/86400+25569+9/24,""))</f>
        <v/>
      </c>
      <c r="G1392" s="58">
        <f>TRIM(SUBSTITUTE(SUBSTITUTE(SUBSTITUTE($A1392,CHAR(9)," ")," "," "),CHAR(13),""))</f>
        <v/>
      </c>
      <c r="H1392" s="58">
        <f>IF($G1392="","",IF(ISNUMBER(FIND(" ",$G1392)),$G1392,IFERROR(IF((LEN(SUBSTITUTE(SUBSTITUTE($G1392,"-"," ",LEN($G1392)-LEN(SUBSTITUTE($G1392,"-",""))),"-"," ",LEN($G1392)-LEN(SUBSTITUTE($G1392,"-",""))-1))-LEN(SUBSTITUTE(SUBSTITUTE(SUBSTITUTE($G1392,"-"," ",LEN($G1392)-LEN(SUBSTITUTE($G1392,"-",""))),"-"," ",LEN($G1392)-LEN(SUBSTITUTE($G1392,"-",""))-1),".","")))=0,SUBSTITUTE(SUBSTITUTE($G1392,"-"," ",LEN($G1392)-LEN(SUBSTITUTE($G1392,"-",""))),"-"," ",LEN($G1392)-LEN(SUBSTITUTE($G1392,"-",""))-1),SUBSTITUTE(SUBSTITUTE(SUBSTITUTE($G1392,"-"," ",LEN($G1392)-LEN(SUBSTITUTE($G1392,"-",""))),"-"," ",LEN($G1392)-LEN(SUBSTITUTE($G1392,"-",""))-1),"."," ",(LEN(SUBSTITUTE(SUBSTITUTE($G1392,"-"," ",LEN($G1392)-LEN(SUBSTITUTE($G1392,"-",""))),"-"," ",LEN($G1392)-LEN(SUBSTITUTE($G1392,"-",""))-1))-LEN(SUBSTITUTE(SUBSTITUTE(SUBSTITUTE($G1392,"-"," ",LEN($G1392)-LEN(SUBSTITUTE($G1392,"-",""))),"-"," ",LEN($G1392)-LEN(SUBSTITUTE($G1392,"-",""))-1),".",""))))),$G1392)))</f>
        <v/>
      </c>
    </row>
    <row r="1393">
      <c r="A1393" s="58" t="n"/>
      <c r="B1393" s="58">
        <f>IF($H1393="","",LEFT($H1393,FIND(" ",$H1393&amp;" ")-1))</f>
        <v/>
      </c>
      <c r="C1393" s="58">
        <f>IF($H1393="","",IFERROR(MID($H1393&amp;" ",FIND("|",SUBSTITUTE($H1393&amp;" "," ","|",1))+1,FIND("|",SUBSTITUTE($H1393&amp;" "," ","|",2))-FIND("|",SUBSTITUTE($H1393&amp;" "," ","|",1))-1),""))</f>
        <v/>
      </c>
      <c r="D1393" s="58">
        <f>IF($H1393="","",IFERROR(MID($H1393&amp;" ",FIND("|",SUBSTITUTE($H1393&amp;" "," ","|",2))+1,FIND("|",SUBSTITUTE($H1393&amp;" "," ","|",3))-FIND("|",SUBSTITUTE($H1393&amp;" "," ","|",2))-1),""))</f>
        <v/>
      </c>
      <c r="E1393" s="58">
        <f>IF($H1393="","",IFERROR(MID($H1393&amp;" ",FIND("|",SUBSTITUTE($H1393&amp;" "," ","|",3))+1,FIND("|",SUBSTITUTE($H1393&amp;" "," ","|",4))-FIND("|",SUBSTITUTE($H1393&amp;" "," ","|",3))-1),""))</f>
        <v/>
      </c>
      <c r="F1393" s="59">
        <f>IF($H1393="","",IFERROR(VALUE(IFERROR(MID($H1393&amp;" ",FIND("|",SUBSTITUTE($H1393&amp;" "," ","|",4))+1,FIND("|",SUBSTITUTE($H1393&amp;" "," ","|",5))-FIND("|",SUBSTITUTE($H1393&amp;" "," ","|",4))-1),""))/86400+25569+9/24,""))</f>
        <v/>
      </c>
      <c r="G1393" s="58">
        <f>TRIM(SUBSTITUTE(SUBSTITUTE(SUBSTITUTE($A1393,CHAR(9)," ")," "," "),CHAR(13),""))</f>
        <v/>
      </c>
      <c r="H1393" s="58">
        <f>IF($G1393="","",IF(ISNUMBER(FIND(" ",$G1393)),$G1393,IFERROR(IF((LEN(SUBSTITUTE(SUBSTITUTE($G1393,"-"," ",LEN($G1393)-LEN(SUBSTITUTE($G1393,"-",""))),"-"," ",LEN($G1393)-LEN(SUBSTITUTE($G1393,"-",""))-1))-LEN(SUBSTITUTE(SUBSTITUTE(SUBSTITUTE($G1393,"-"," ",LEN($G1393)-LEN(SUBSTITUTE($G1393,"-",""))),"-"," ",LEN($G1393)-LEN(SUBSTITUTE($G1393,"-",""))-1),".","")))=0,SUBSTITUTE(SUBSTITUTE($G1393,"-"," ",LEN($G1393)-LEN(SUBSTITUTE($G1393,"-",""))),"-"," ",LEN($G1393)-LEN(SUBSTITUTE($G1393,"-",""))-1),SUBSTITUTE(SUBSTITUTE(SUBSTITUTE($G1393,"-"," ",LEN($G1393)-LEN(SUBSTITUTE($G1393,"-",""))),"-"," ",LEN($G1393)-LEN(SUBSTITUTE($G1393,"-",""))-1),"."," ",(LEN(SUBSTITUTE(SUBSTITUTE($G1393,"-"," ",LEN($G1393)-LEN(SUBSTITUTE($G1393,"-",""))),"-"," ",LEN($G1393)-LEN(SUBSTITUTE($G1393,"-",""))-1))-LEN(SUBSTITUTE(SUBSTITUTE(SUBSTITUTE($G1393,"-"," ",LEN($G1393)-LEN(SUBSTITUTE($G1393,"-",""))),"-"," ",LEN($G1393)-LEN(SUBSTITUTE($G1393,"-",""))-1),".",""))))),$G1393)))</f>
        <v/>
      </c>
    </row>
    <row r="1394">
      <c r="A1394" s="58" t="n"/>
      <c r="B1394" s="58">
        <f>IF($H1394="","",LEFT($H1394,FIND(" ",$H1394&amp;" ")-1))</f>
        <v/>
      </c>
      <c r="C1394" s="58">
        <f>IF($H1394="","",IFERROR(MID($H1394&amp;" ",FIND("|",SUBSTITUTE($H1394&amp;" "," ","|",1))+1,FIND("|",SUBSTITUTE($H1394&amp;" "," ","|",2))-FIND("|",SUBSTITUTE($H1394&amp;" "," ","|",1))-1),""))</f>
        <v/>
      </c>
      <c r="D1394" s="58">
        <f>IF($H1394="","",IFERROR(MID($H1394&amp;" ",FIND("|",SUBSTITUTE($H1394&amp;" "," ","|",2))+1,FIND("|",SUBSTITUTE($H1394&amp;" "," ","|",3))-FIND("|",SUBSTITUTE($H1394&amp;" "," ","|",2))-1),""))</f>
        <v/>
      </c>
      <c r="E1394" s="58">
        <f>IF($H1394="","",IFERROR(MID($H1394&amp;" ",FIND("|",SUBSTITUTE($H1394&amp;" "," ","|",3))+1,FIND("|",SUBSTITUTE($H1394&amp;" "," ","|",4))-FIND("|",SUBSTITUTE($H1394&amp;" "," ","|",3))-1),""))</f>
        <v/>
      </c>
      <c r="F1394" s="59">
        <f>IF($H1394="","",IFERROR(VALUE(IFERROR(MID($H1394&amp;" ",FIND("|",SUBSTITUTE($H1394&amp;" "," ","|",4))+1,FIND("|",SUBSTITUTE($H1394&amp;" "," ","|",5))-FIND("|",SUBSTITUTE($H1394&amp;" "," ","|",4))-1),""))/86400+25569+9/24,""))</f>
        <v/>
      </c>
      <c r="G1394" s="58">
        <f>TRIM(SUBSTITUTE(SUBSTITUTE(SUBSTITUTE($A1394,CHAR(9)," ")," "," "),CHAR(13),""))</f>
        <v/>
      </c>
      <c r="H1394" s="58">
        <f>IF($G1394="","",IF(ISNUMBER(FIND(" ",$G1394)),$G1394,IFERROR(IF((LEN(SUBSTITUTE(SUBSTITUTE($G1394,"-"," ",LEN($G1394)-LEN(SUBSTITUTE($G1394,"-",""))),"-"," ",LEN($G1394)-LEN(SUBSTITUTE($G1394,"-",""))-1))-LEN(SUBSTITUTE(SUBSTITUTE(SUBSTITUTE($G1394,"-"," ",LEN($G1394)-LEN(SUBSTITUTE($G1394,"-",""))),"-"," ",LEN($G1394)-LEN(SUBSTITUTE($G1394,"-",""))-1),".","")))=0,SUBSTITUTE(SUBSTITUTE($G1394,"-"," ",LEN($G1394)-LEN(SUBSTITUTE($G1394,"-",""))),"-"," ",LEN($G1394)-LEN(SUBSTITUTE($G1394,"-",""))-1),SUBSTITUTE(SUBSTITUTE(SUBSTITUTE($G1394,"-"," ",LEN($G1394)-LEN(SUBSTITUTE($G1394,"-",""))),"-"," ",LEN($G1394)-LEN(SUBSTITUTE($G1394,"-",""))-1),"."," ",(LEN(SUBSTITUTE(SUBSTITUTE($G1394,"-"," ",LEN($G1394)-LEN(SUBSTITUTE($G1394,"-",""))),"-"," ",LEN($G1394)-LEN(SUBSTITUTE($G1394,"-",""))-1))-LEN(SUBSTITUTE(SUBSTITUTE(SUBSTITUTE($G1394,"-"," ",LEN($G1394)-LEN(SUBSTITUTE($G1394,"-",""))),"-"," ",LEN($G1394)-LEN(SUBSTITUTE($G1394,"-",""))-1),".",""))))),$G1394)))</f>
        <v/>
      </c>
    </row>
    <row r="1395">
      <c r="A1395" s="58" t="n"/>
      <c r="B1395" s="58">
        <f>IF($H1395="","",LEFT($H1395,FIND(" ",$H1395&amp;" ")-1))</f>
        <v/>
      </c>
      <c r="C1395" s="58">
        <f>IF($H1395="","",IFERROR(MID($H1395&amp;" ",FIND("|",SUBSTITUTE($H1395&amp;" "," ","|",1))+1,FIND("|",SUBSTITUTE($H1395&amp;" "," ","|",2))-FIND("|",SUBSTITUTE($H1395&amp;" "," ","|",1))-1),""))</f>
        <v/>
      </c>
      <c r="D1395" s="58">
        <f>IF($H1395="","",IFERROR(MID($H1395&amp;" ",FIND("|",SUBSTITUTE($H1395&amp;" "," ","|",2))+1,FIND("|",SUBSTITUTE($H1395&amp;" "," ","|",3))-FIND("|",SUBSTITUTE($H1395&amp;" "," ","|",2))-1),""))</f>
        <v/>
      </c>
      <c r="E1395" s="58">
        <f>IF($H1395="","",IFERROR(MID($H1395&amp;" ",FIND("|",SUBSTITUTE($H1395&amp;" "," ","|",3))+1,FIND("|",SUBSTITUTE($H1395&amp;" "," ","|",4))-FIND("|",SUBSTITUTE($H1395&amp;" "," ","|",3))-1),""))</f>
        <v/>
      </c>
      <c r="F1395" s="59">
        <f>IF($H1395="","",IFERROR(VALUE(IFERROR(MID($H1395&amp;" ",FIND("|",SUBSTITUTE($H1395&amp;" "," ","|",4))+1,FIND("|",SUBSTITUTE($H1395&amp;" "," ","|",5))-FIND("|",SUBSTITUTE($H1395&amp;" "," ","|",4))-1),""))/86400+25569+9/24,""))</f>
        <v/>
      </c>
      <c r="G1395" s="58">
        <f>TRIM(SUBSTITUTE(SUBSTITUTE(SUBSTITUTE($A1395,CHAR(9)," ")," "," "),CHAR(13),""))</f>
        <v/>
      </c>
      <c r="H1395" s="58">
        <f>IF($G1395="","",IF(ISNUMBER(FIND(" ",$G1395)),$G1395,IFERROR(IF((LEN(SUBSTITUTE(SUBSTITUTE($G1395,"-"," ",LEN($G1395)-LEN(SUBSTITUTE($G1395,"-",""))),"-"," ",LEN($G1395)-LEN(SUBSTITUTE($G1395,"-",""))-1))-LEN(SUBSTITUTE(SUBSTITUTE(SUBSTITUTE($G1395,"-"," ",LEN($G1395)-LEN(SUBSTITUTE($G1395,"-",""))),"-"," ",LEN($G1395)-LEN(SUBSTITUTE($G1395,"-",""))-1),".","")))=0,SUBSTITUTE(SUBSTITUTE($G1395,"-"," ",LEN($G1395)-LEN(SUBSTITUTE($G1395,"-",""))),"-"," ",LEN($G1395)-LEN(SUBSTITUTE($G1395,"-",""))-1),SUBSTITUTE(SUBSTITUTE(SUBSTITUTE($G1395,"-"," ",LEN($G1395)-LEN(SUBSTITUTE($G1395,"-",""))),"-"," ",LEN($G1395)-LEN(SUBSTITUTE($G1395,"-",""))-1),"."," ",(LEN(SUBSTITUTE(SUBSTITUTE($G1395,"-"," ",LEN($G1395)-LEN(SUBSTITUTE($G1395,"-",""))),"-"," ",LEN($G1395)-LEN(SUBSTITUTE($G1395,"-",""))-1))-LEN(SUBSTITUTE(SUBSTITUTE(SUBSTITUTE($G1395,"-"," ",LEN($G1395)-LEN(SUBSTITUTE($G1395,"-",""))),"-"," ",LEN($G1395)-LEN(SUBSTITUTE($G1395,"-",""))-1),".",""))))),$G1395)))</f>
        <v/>
      </c>
    </row>
    <row r="1396">
      <c r="A1396" s="58" t="n"/>
      <c r="B1396" s="58">
        <f>IF($H1396="","",LEFT($H1396,FIND(" ",$H1396&amp;" ")-1))</f>
        <v/>
      </c>
      <c r="C1396" s="58">
        <f>IF($H1396="","",IFERROR(MID($H1396&amp;" ",FIND("|",SUBSTITUTE($H1396&amp;" "," ","|",1))+1,FIND("|",SUBSTITUTE($H1396&amp;" "," ","|",2))-FIND("|",SUBSTITUTE($H1396&amp;" "," ","|",1))-1),""))</f>
        <v/>
      </c>
      <c r="D1396" s="58">
        <f>IF($H1396="","",IFERROR(MID($H1396&amp;" ",FIND("|",SUBSTITUTE($H1396&amp;" "," ","|",2))+1,FIND("|",SUBSTITUTE($H1396&amp;" "," ","|",3))-FIND("|",SUBSTITUTE($H1396&amp;" "," ","|",2))-1),""))</f>
        <v/>
      </c>
      <c r="E1396" s="58">
        <f>IF($H1396="","",IFERROR(MID($H1396&amp;" ",FIND("|",SUBSTITUTE($H1396&amp;" "," ","|",3))+1,FIND("|",SUBSTITUTE($H1396&amp;" "," ","|",4))-FIND("|",SUBSTITUTE($H1396&amp;" "," ","|",3))-1),""))</f>
        <v/>
      </c>
      <c r="F1396" s="59">
        <f>IF($H1396="","",IFERROR(VALUE(IFERROR(MID($H1396&amp;" ",FIND("|",SUBSTITUTE($H1396&amp;" "," ","|",4))+1,FIND("|",SUBSTITUTE($H1396&amp;" "," ","|",5))-FIND("|",SUBSTITUTE($H1396&amp;" "," ","|",4))-1),""))/86400+25569+9/24,""))</f>
        <v/>
      </c>
      <c r="G1396" s="58">
        <f>TRIM(SUBSTITUTE(SUBSTITUTE(SUBSTITUTE($A1396,CHAR(9)," ")," "," "),CHAR(13),""))</f>
        <v/>
      </c>
      <c r="H1396" s="58">
        <f>IF($G1396="","",IF(ISNUMBER(FIND(" ",$G1396)),$G1396,IFERROR(IF((LEN(SUBSTITUTE(SUBSTITUTE($G1396,"-"," ",LEN($G1396)-LEN(SUBSTITUTE($G1396,"-",""))),"-"," ",LEN($G1396)-LEN(SUBSTITUTE($G1396,"-",""))-1))-LEN(SUBSTITUTE(SUBSTITUTE(SUBSTITUTE($G1396,"-"," ",LEN($G1396)-LEN(SUBSTITUTE($G1396,"-",""))),"-"," ",LEN($G1396)-LEN(SUBSTITUTE($G1396,"-",""))-1),".","")))=0,SUBSTITUTE(SUBSTITUTE($G1396,"-"," ",LEN($G1396)-LEN(SUBSTITUTE($G1396,"-",""))),"-"," ",LEN($G1396)-LEN(SUBSTITUTE($G1396,"-",""))-1),SUBSTITUTE(SUBSTITUTE(SUBSTITUTE($G1396,"-"," ",LEN($G1396)-LEN(SUBSTITUTE($G1396,"-",""))),"-"," ",LEN($G1396)-LEN(SUBSTITUTE($G1396,"-",""))-1),"."," ",(LEN(SUBSTITUTE(SUBSTITUTE($G1396,"-"," ",LEN($G1396)-LEN(SUBSTITUTE($G1396,"-",""))),"-"," ",LEN($G1396)-LEN(SUBSTITUTE($G1396,"-",""))-1))-LEN(SUBSTITUTE(SUBSTITUTE(SUBSTITUTE($G1396,"-"," ",LEN($G1396)-LEN(SUBSTITUTE($G1396,"-",""))),"-"," ",LEN($G1396)-LEN(SUBSTITUTE($G1396,"-",""))-1),".",""))))),$G1396)))</f>
        <v/>
      </c>
    </row>
    <row r="1397">
      <c r="A1397" s="58" t="n"/>
      <c r="B1397" s="58">
        <f>IF($H1397="","",LEFT($H1397,FIND(" ",$H1397&amp;" ")-1))</f>
        <v/>
      </c>
      <c r="C1397" s="58">
        <f>IF($H1397="","",IFERROR(MID($H1397&amp;" ",FIND("|",SUBSTITUTE($H1397&amp;" "," ","|",1))+1,FIND("|",SUBSTITUTE($H1397&amp;" "," ","|",2))-FIND("|",SUBSTITUTE($H1397&amp;" "," ","|",1))-1),""))</f>
        <v/>
      </c>
      <c r="D1397" s="58">
        <f>IF($H1397="","",IFERROR(MID($H1397&amp;" ",FIND("|",SUBSTITUTE($H1397&amp;" "," ","|",2))+1,FIND("|",SUBSTITUTE($H1397&amp;" "," ","|",3))-FIND("|",SUBSTITUTE($H1397&amp;" "," ","|",2))-1),""))</f>
        <v/>
      </c>
      <c r="E1397" s="58">
        <f>IF($H1397="","",IFERROR(MID($H1397&amp;" ",FIND("|",SUBSTITUTE($H1397&amp;" "," ","|",3))+1,FIND("|",SUBSTITUTE($H1397&amp;" "," ","|",4))-FIND("|",SUBSTITUTE($H1397&amp;" "," ","|",3))-1),""))</f>
        <v/>
      </c>
      <c r="F1397" s="59">
        <f>IF($H1397="","",IFERROR(VALUE(IFERROR(MID($H1397&amp;" ",FIND("|",SUBSTITUTE($H1397&amp;" "," ","|",4))+1,FIND("|",SUBSTITUTE($H1397&amp;" "," ","|",5))-FIND("|",SUBSTITUTE($H1397&amp;" "," ","|",4))-1),""))/86400+25569+9/24,""))</f>
        <v/>
      </c>
      <c r="G1397" s="58">
        <f>TRIM(SUBSTITUTE(SUBSTITUTE(SUBSTITUTE($A1397,CHAR(9)," ")," "," "),CHAR(13),""))</f>
        <v/>
      </c>
      <c r="H1397" s="58">
        <f>IF($G1397="","",IF(ISNUMBER(FIND(" ",$G1397)),$G1397,IFERROR(IF((LEN(SUBSTITUTE(SUBSTITUTE($G1397,"-"," ",LEN($G1397)-LEN(SUBSTITUTE($G1397,"-",""))),"-"," ",LEN($G1397)-LEN(SUBSTITUTE($G1397,"-",""))-1))-LEN(SUBSTITUTE(SUBSTITUTE(SUBSTITUTE($G1397,"-"," ",LEN($G1397)-LEN(SUBSTITUTE($G1397,"-",""))),"-"," ",LEN($G1397)-LEN(SUBSTITUTE($G1397,"-",""))-1),".","")))=0,SUBSTITUTE(SUBSTITUTE($G1397,"-"," ",LEN($G1397)-LEN(SUBSTITUTE($G1397,"-",""))),"-"," ",LEN($G1397)-LEN(SUBSTITUTE($G1397,"-",""))-1),SUBSTITUTE(SUBSTITUTE(SUBSTITUTE($G1397,"-"," ",LEN($G1397)-LEN(SUBSTITUTE($G1397,"-",""))),"-"," ",LEN($G1397)-LEN(SUBSTITUTE($G1397,"-",""))-1),"."," ",(LEN(SUBSTITUTE(SUBSTITUTE($G1397,"-"," ",LEN($G1397)-LEN(SUBSTITUTE($G1397,"-",""))),"-"," ",LEN($G1397)-LEN(SUBSTITUTE($G1397,"-",""))-1))-LEN(SUBSTITUTE(SUBSTITUTE(SUBSTITUTE($G1397,"-"," ",LEN($G1397)-LEN(SUBSTITUTE($G1397,"-",""))),"-"," ",LEN($G1397)-LEN(SUBSTITUTE($G1397,"-",""))-1),".",""))))),$G1397)))</f>
        <v/>
      </c>
    </row>
    <row r="1398">
      <c r="A1398" s="58" t="n"/>
      <c r="B1398" s="58">
        <f>IF($H1398="","",LEFT($H1398,FIND(" ",$H1398&amp;" ")-1))</f>
        <v/>
      </c>
      <c r="C1398" s="58">
        <f>IF($H1398="","",IFERROR(MID($H1398&amp;" ",FIND("|",SUBSTITUTE($H1398&amp;" "," ","|",1))+1,FIND("|",SUBSTITUTE($H1398&amp;" "," ","|",2))-FIND("|",SUBSTITUTE($H1398&amp;" "," ","|",1))-1),""))</f>
        <v/>
      </c>
      <c r="D1398" s="58">
        <f>IF($H1398="","",IFERROR(MID($H1398&amp;" ",FIND("|",SUBSTITUTE($H1398&amp;" "," ","|",2))+1,FIND("|",SUBSTITUTE($H1398&amp;" "," ","|",3))-FIND("|",SUBSTITUTE($H1398&amp;" "," ","|",2))-1),""))</f>
        <v/>
      </c>
      <c r="E1398" s="58">
        <f>IF($H1398="","",IFERROR(MID($H1398&amp;" ",FIND("|",SUBSTITUTE($H1398&amp;" "," ","|",3))+1,FIND("|",SUBSTITUTE($H1398&amp;" "," ","|",4))-FIND("|",SUBSTITUTE($H1398&amp;" "," ","|",3))-1),""))</f>
        <v/>
      </c>
      <c r="F1398" s="59">
        <f>IF($H1398="","",IFERROR(VALUE(IFERROR(MID($H1398&amp;" ",FIND("|",SUBSTITUTE($H1398&amp;" "," ","|",4))+1,FIND("|",SUBSTITUTE($H1398&amp;" "," ","|",5))-FIND("|",SUBSTITUTE($H1398&amp;" "," ","|",4))-1),""))/86400+25569+9/24,""))</f>
        <v/>
      </c>
      <c r="G1398" s="58">
        <f>TRIM(SUBSTITUTE(SUBSTITUTE(SUBSTITUTE($A1398,CHAR(9)," ")," "," "),CHAR(13),""))</f>
        <v/>
      </c>
      <c r="H1398" s="58">
        <f>IF($G1398="","",IF(ISNUMBER(FIND(" ",$G1398)),$G1398,IFERROR(IF((LEN(SUBSTITUTE(SUBSTITUTE($G1398,"-"," ",LEN($G1398)-LEN(SUBSTITUTE($G1398,"-",""))),"-"," ",LEN($G1398)-LEN(SUBSTITUTE($G1398,"-",""))-1))-LEN(SUBSTITUTE(SUBSTITUTE(SUBSTITUTE($G1398,"-"," ",LEN($G1398)-LEN(SUBSTITUTE($G1398,"-",""))),"-"," ",LEN($G1398)-LEN(SUBSTITUTE($G1398,"-",""))-1),".","")))=0,SUBSTITUTE(SUBSTITUTE($G1398,"-"," ",LEN($G1398)-LEN(SUBSTITUTE($G1398,"-",""))),"-"," ",LEN($G1398)-LEN(SUBSTITUTE($G1398,"-",""))-1),SUBSTITUTE(SUBSTITUTE(SUBSTITUTE($G1398,"-"," ",LEN($G1398)-LEN(SUBSTITUTE($G1398,"-",""))),"-"," ",LEN($G1398)-LEN(SUBSTITUTE($G1398,"-",""))-1),"."," ",(LEN(SUBSTITUTE(SUBSTITUTE($G1398,"-"," ",LEN($G1398)-LEN(SUBSTITUTE($G1398,"-",""))),"-"," ",LEN($G1398)-LEN(SUBSTITUTE($G1398,"-",""))-1))-LEN(SUBSTITUTE(SUBSTITUTE(SUBSTITUTE($G1398,"-"," ",LEN($G1398)-LEN(SUBSTITUTE($G1398,"-",""))),"-"," ",LEN($G1398)-LEN(SUBSTITUTE($G1398,"-",""))-1),".",""))))),$G1398)))</f>
        <v/>
      </c>
    </row>
    <row r="1399">
      <c r="A1399" s="58" t="n"/>
      <c r="B1399" s="58">
        <f>IF($H1399="","",LEFT($H1399,FIND(" ",$H1399&amp;" ")-1))</f>
        <v/>
      </c>
      <c r="C1399" s="58">
        <f>IF($H1399="","",IFERROR(MID($H1399&amp;" ",FIND("|",SUBSTITUTE($H1399&amp;" "," ","|",1))+1,FIND("|",SUBSTITUTE($H1399&amp;" "," ","|",2))-FIND("|",SUBSTITUTE($H1399&amp;" "," ","|",1))-1),""))</f>
        <v/>
      </c>
      <c r="D1399" s="58">
        <f>IF($H1399="","",IFERROR(MID($H1399&amp;" ",FIND("|",SUBSTITUTE($H1399&amp;" "," ","|",2))+1,FIND("|",SUBSTITUTE($H1399&amp;" "," ","|",3))-FIND("|",SUBSTITUTE($H1399&amp;" "," ","|",2))-1),""))</f>
        <v/>
      </c>
      <c r="E1399" s="58">
        <f>IF($H1399="","",IFERROR(MID($H1399&amp;" ",FIND("|",SUBSTITUTE($H1399&amp;" "," ","|",3))+1,FIND("|",SUBSTITUTE($H1399&amp;" "," ","|",4))-FIND("|",SUBSTITUTE($H1399&amp;" "," ","|",3))-1),""))</f>
        <v/>
      </c>
      <c r="F1399" s="59">
        <f>IF($H1399="","",IFERROR(VALUE(IFERROR(MID($H1399&amp;" ",FIND("|",SUBSTITUTE($H1399&amp;" "," ","|",4))+1,FIND("|",SUBSTITUTE($H1399&amp;" "," ","|",5))-FIND("|",SUBSTITUTE($H1399&amp;" "," ","|",4))-1),""))/86400+25569+9/24,""))</f>
        <v/>
      </c>
      <c r="G1399" s="58">
        <f>TRIM(SUBSTITUTE(SUBSTITUTE(SUBSTITUTE($A1399,CHAR(9)," ")," "," "),CHAR(13),""))</f>
        <v/>
      </c>
      <c r="H1399" s="58">
        <f>IF($G1399="","",IF(ISNUMBER(FIND(" ",$G1399)),$G1399,IFERROR(IF((LEN(SUBSTITUTE(SUBSTITUTE($G1399,"-"," ",LEN($G1399)-LEN(SUBSTITUTE($G1399,"-",""))),"-"," ",LEN($G1399)-LEN(SUBSTITUTE($G1399,"-",""))-1))-LEN(SUBSTITUTE(SUBSTITUTE(SUBSTITUTE($G1399,"-"," ",LEN($G1399)-LEN(SUBSTITUTE($G1399,"-",""))),"-"," ",LEN($G1399)-LEN(SUBSTITUTE($G1399,"-",""))-1),".","")))=0,SUBSTITUTE(SUBSTITUTE($G1399,"-"," ",LEN($G1399)-LEN(SUBSTITUTE($G1399,"-",""))),"-"," ",LEN($G1399)-LEN(SUBSTITUTE($G1399,"-",""))-1),SUBSTITUTE(SUBSTITUTE(SUBSTITUTE($G1399,"-"," ",LEN($G1399)-LEN(SUBSTITUTE($G1399,"-",""))),"-"," ",LEN($G1399)-LEN(SUBSTITUTE($G1399,"-",""))-1),"."," ",(LEN(SUBSTITUTE(SUBSTITUTE($G1399,"-"," ",LEN($G1399)-LEN(SUBSTITUTE($G1399,"-",""))),"-"," ",LEN($G1399)-LEN(SUBSTITUTE($G1399,"-",""))-1))-LEN(SUBSTITUTE(SUBSTITUTE(SUBSTITUTE($G1399,"-"," ",LEN($G1399)-LEN(SUBSTITUTE($G1399,"-",""))),"-"," ",LEN($G1399)-LEN(SUBSTITUTE($G1399,"-",""))-1),".",""))))),$G1399)))</f>
        <v/>
      </c>
    </row>
    <row r="1400">
      <c r="A1400" s="58" t="n"/>
      <c r="B1400" s="58">
        <f>IF($H1400="","",LEFT($H1400,FIND(" ",$H1400&amp;" ")-1))</f>
        <v/>
      </c>
      <c r="C1400" s="58">
        <f>IF($H1400="","",IFERROR(MID($H1400&amp;" ",FIND("|",SUBSTITUTE($H1400&amp;" "," ","|",1))+1,FIND("|",SUBSTITUTE($H1400&amp;" "," ","|",2))-FIND("|",SUBSTITUTE($H1400&amp;" "," ","|",1))-1),""))</f>
        <v/>
      </c>
      <c r="D1400" s="58">
        <f>IF($H1400="","",IFERROR(MID($H1400&amp;" ",FIND("|",SUBSTITUTE($H1400&amp;" "," ","|",2))+1,FIND("|",SUBSTITUTE($H1400&amp;" "," ","|",3))-FIND("|",SUBSTITUTE($H1400&amp;" "," ","|",2))-1),""))</f>
        <v/>
      </c>
      <c r="E1400" s="58">
        <f>IF($H1400="","",IFERROR(MID($H1400&amp;" ",FIND("|",SUBSTITUTE($H1400&amp;" "," ","|",3))+1,FIND("|",SUBSTITUTE($H1400&amp;" "," ","|",4))-FIND("|",SUBSTITUTE($H1400&amp;" "," ","|",3))-1),""))</f>
        <v/>
      </c>
      <c r="F1400" s="59">
        <f>IF($H1400="","",IFERROR(VALUE(IFERROR(MID($H1400&amp;" ",FIND("|",SUBSTITUTE($H1400&amp;" "," ","|",4))+1,FIND("|",SUBSTITUTE($H1400&amp;" "," ","|",5))-FIND("|",SUBSTITUTE($H1400&amp;" "," ","|",4))-1),""))/86400+25569+9/24,""))</f>
        <v/>
      </c>
      <c r="G1400" s="58">
        <f>TRIM(SUBSTITUTE(SUBSTITUTE(SUBSTITUTE($A1400,CHAR(9)," ")," "," "),CHAR(13),""))</f>
        <v/>
      </c>
      <c r="H1400" s="58">
        <f>IF($G1400="","",IF(ISNUMBER(FIND(" ",$G1400)),$G1400,IFERROR(IF((LEN(SUBSTITUTE(SUBSTITUTE($G1400,"-"," ",LEN($G1400)-LEN(SUBSTITUTE($G1400,"-",""))),"-"," ",LEN($G1400)-LEN(SUBSTITUTE($G1400,"-",""))-1))-LEN(SUBSTITUTE(SUBSTITUTE(SUBSTITUTE($G1400,"-"," ",LEN($G1400)-LEN(SUBSTITUTE($G1400,"-",""))),"-"," ",LEN($G1400)-LEN(SUBSTITUTE($G1400,"-",""))-1),".","")))=0,SUBSTITUTE(SUBSTITUTE($G1400,"-"," ",LEN($G1400)-LEN(SUBSTITUTE($G1400,"-",""))),"-"," ",LEN($G1400)-LEN(SUBSTITUTE($G1400,"-",""))-1),SUBSTITUTE(SUBSTITUTE(SUBSTITUTE($G1400,"-"," ",LEN($G1400)-LEN(SUBSTITUTE($G1400,"-",""))),"-"," ",LEN($G1400)-LEN(SUBSTITUTE($G1400,"-",""))-1),"."," ",(LEN(SUBSTITUTE(SUBSTITUTE($G1400,"-"," ",LEN($G1400)-LEN(SUBSTITUTE($G1400,"-",""))),"-"," ",LEN($G1400)-LEN(SUBSTITUTE($G1400,"-",""))-1))-LEN(SUBSTITUTE(SUBSTITUTE(SUBSTITUTE($G1400,"-"," ",LEN($G1400)-LEN(SUBSTITUTE($G1400,"-",""))),"-"," ",LEN($G1400)-LEN(SUBSTITUTE($G1400,"-",""))-1),".",""))))),$G1400)))</f>
        <v/>
      </c>
    </row>
    <row r="1401">
      <c r="A1401" s="58" t="n"/>
      <c r="B1401" s="58">
        <f>IF($H1401="","",LEFT($H1401,FIND(" ",$H1401&amp;" ")-1))</f>
        <v/>
      </c>
      <c r="C1401" s="58">
        <f>IF($H1401="","",IFERROR(MID($H1401&amp;" ",FIND("|",SUBSTITUTE($H1401&amp;" "," ","|",1))+1,FIND("|",SUBSTITUTE($H1401&amp;" "," ","|",2))-FIND("|",SUBSTITUTE($H1401&amp;" "," ","|",1))-1),""))</f>
        <v/>
      </c>
      <c r="D1401" s="58">
        <f>IF($H1401="","",IFERROR(MID($H1401&amp;" ",FIND("|",SUBSTITUTE($H1401&amp;" "," ","|",2))+1,FIND("|",SUBSTITUTE($H1401&amp;" "," ","|",3))-FIND("|",SUBSTITUTE($H1401&amp;" "," ","|",2))-1),""))</f>
        <v/>
      </c>
      <c r="E1401" s="58">
        <f>IF($H1401="","",IFERROR(MID($H1401&amp;" ",FIND("|",SUBSTITUTE($H1401&amp;" "," ","|",3))+1,FIND("|",SUBSTITUTE($H1401&amp;" "," ","|",4))-FIND("|",SUBSTITUTE($H1401&amp;" "," ","|",3))-1),""))</f>
        <v/>
      </c>
      <c r="F1401" s="59">
        <f>IF($H1401="","",IFERROR(VALUE(IFERROR(MID($H1401&amp;" ",FIND("|",SUBSTITUTE($H1401&amp;" "," ","|",4))+1,FIND("|",SUBSTITUTE($H1401&amp;" "," ","|",5))-FIND("|",SUBSTITUTE($H1401&amp;" "," ","|",4))-1),""))/86400+25569+9/24,""))</f>
        <v/>
      </c>
      <c r="G1401" s="58">
        <f>TRIM(SUBSTITUTE(SUBSTITUTE(SUBSTITUTE($A1401,CHAR(9)," ")," "," "),CHAR(13),""))</f>
        <v/>
      </c>
      <c r="H1401" s="58">
        <f>IF($G1401="","",IF(ISNUMBER(FIND(" ",$G1401)),$G1401,IFERROR(IF((LEN(SUBSTITUTE(SUBSTITUTE($G1401,"-"," ",LEN($G1401)-LEN(SUBSTITUTE($G1401,"-",""))),"-"," ",LEN($G1401)-LEN(SUBSTITUTE($G1401,"-",""))-1))-LEN(SUBSTITUTE(SUBSTITUTE(SUBSTITUTE($G1401,"-"," ",LEN($G1401)-LEN(SUBSTITUTE($G1401,"-",""))),"-"," ",LEN($G1401)-LEN(SUBSTITUTE($G1401,"-",""))-1),".","")))=0,SUBSTITUTE(SUBSTITUTE($G1401,"-"," ",LEN($G1401)-LEN(SUBSTITUTE($G1401,"-",""))),"-"," ",LEN($G1401)-LEN(SUBSTITUTE($G1401,"-",""))-1),SUBSTITUTE(SUBSTITUTE(SUBSTITUTE($G1401,"-"," ",LEN($G1401)-LEN(SUBSTITUTE($G1401,"-",""))),"-"," ",LEN($G1401)-LEN(SUBSTITUTE($G1401,"-",""))-1),"."," ",(LEN(SUBSTITUTE(SUBSTITUTE($G1401,"-"," ",LEN($G1401)-LEN(SUBSTITUTE($G1401,"-",""))),"-"," ",LEN($G1401)-LEN(SUBSTITUTE($G1401,"-",""))-1))-LEN(SUBSTITUTE(SUBSTITUTE(SUBSTITUTE($G1401,"-"," ",LEN($G1401)-LEN(SUBSTITUTE($G1401,"-",""))),"-"," ",LEN($G1401)-LEN(SUBSTITUTE($G1401,"-",""))-1),".",""))))),$G1401)))</f>
        <v/>
      </c>
    </row>
    <row r="1402">
      <c r="A1402" s="58" t="n"/>
      <c r="B1402" s="58">
        <f>IF($H1402="","",LEFT($H1402,FIND(" ",$H1402&amp;" ")-1))</f>
        <v/>
      </c>
      <c r="C1402" s="58">
        <f>IF($H1402="","",IFERROR(MID($H1402&amp;" ",FIND("|",SUBSTITUTE($H1402&amp;" "," ","|",1))+1,FIND("|",SUBSTITUTE($H1402&amp;" "," ","|",2))-FIND("|",SUBSTITUTE($H1402&amp;" "," ","|",1))-1),""))</f>
        <v/>
      </c>
      <c r="D1402" s="58">
        <f>IF($H1402="","",IFERROR(MID($H1402&amp;" ",FIND("|",SUBSTITUTE($H1402&amp;" "," ","|",2))+1,FIND("|",SUBSTITUTE($H1402&amp;" "," ","|",3))-FIND("|",SUBSTITUTE($H1402&amp;" "," ","|",2))-1),""))</f>
        <v/>
      </c>
      <c r="E1402" s="58">
        <f>IF($H1402="","",IFERROR(MID($H1402&amp;" ",FIND("|",SUBSTITUTE($H1402&amp;" "," ","|",3))+1,FIND("|",SUBSTITUTE($H1402&amp;" "," ","|",4))-FIND("|",SUBSTITUTE($H1402&amp;" "," ","|",3))-1),""))</f>
        <v/>
      </c>
      <c r="F1402" s="59">
        <f>IF($H1402="","",IFERROR(VALUE(IFERROR(MID($H1402&amp;" ",FIND("|",SUBSTITUTE($H1402&amp;" "," ","|",4))+1,FIND("|",SUBSTITUTE($H1402&amp;" "," ","|",5))-FIND("|",SUBSTITUTE($H1402&amp;" "," ","|",4))-1),""))/86400+25569+9/24,""))</f>
        <v/>
      </c>
      <c r="G1402" s="58">
        <f>TRIM(SUBSTITUTE(SUBSTITUTE(SUBSTITUTE($A1402,CHAR(9)," ")," "," "),CHAR(13),""))</f>
        <v/>
      </c>
      <c r="H1402" s="58">
        <f>IF($G1402="","",IF(ISNUMBER(FIND(" ",$G1402)),$G1402,IFERROR(IF((LEN(SUBSTITUTE(SUBSTITUTE($G1402,"-"," ",LEN($G1402)-LEN(SUBSTITUTE($G1402,"-",""))),"-"," ",LEN($G1402)-LEN(SUBSTITUTE($G1402,"-",""))-1))-LEN(SUBSTITUTE(SUBSTITUTE(SUBSTITUTE($G1402,"-"," ",LEN($G1402)-LEN(SUBSTITUTE($G1402,"-",""))),"-"," ",LEN($G1402)-LEN(SUBSTITUTE($G1402,"-",""))-1),".","")))=0,SUBSTITUTE(SUBSTITUTE($G1402,"-"," ",LEN($G1402)-LEN(SUBSTITUTE($G1402,"-",""))),"-"," ",LEN($G1402)-LEN(SUBSTITUTE($G1402,"-",""))-1),SUBSTITUTE(SUBSTITUTE(SUBSTITUTE($G1402,"-"," ",LEN($G1402)-LEN(SUBSTITUTE($G1402,"-",""))),"-"," ",LEN($G1402)-LEN(SUBSTITUTE($G1402,"-",""))-1),"."," ",(LEN(SUBSTITUTE(SUBSTITUTE($G1402,"-"," ",LEN($G1402)-LEN(SUBSTITUTE($G1402,"-",""))),"-"," ",LEN($G1402)-LEN(SUBSTITUTE($G1402,"-",""))-1))-LEN(SUBSTITUTE(SUBSTITUTE(SUBSTITUTE($G1402,"-"," ",LEN($G1402)-LEN(SUBSTITUTE($G1402,"-",""))),"-"," ",LEN($G1402)-LEN(SUBSTITUTE($G1402,"-",""))-1),".",""))))),$G1402)))</f>
        <v/>
      </c>
    </row>
    <row r="1403">
      <c r="A1403" s="58" t="n"/>
      <c r="B1403" s="58">
        <f>IF($H1403="","",LEFT($H1403,FIND(" ",$H1403&amp;" ")-1))</f>
        <v/>
      </c>
      <c r="C1403" s="58">
        <f>IF($H1403="","",IFERROR(MID($H1403&amp;" ",FIND("|",SUBSTITUTE($H1403&amp;" "," ","|",1))+1,FIND("|",SUBSTITUTE($H1403&amp;" "," ","|",2))-FIND("|",SUBSTITUTE($H1403&amp;" "," ","|",1))-1),""))</f>
        <v/>
      </c>
      <c r="D1403" s="58">
        <f>IF($H1403="","",IFERROR(MID($H1403&amp;" ",FIND("|",SUBSTITUTE($H1403&amp;" "," ","|",2))+1,FIND("|",SUBSTITUTE($H1403&amp;" "," ","|",3))-FIND("|",SUBSTITUTE($H1403&amp;" "," ","|",2))-1),""))</f>
        <v/>
      </c>
      <c r="E1403" s="58">
        <f>IF($H1403="","",IFERROR(MID($H1403&amp;" ",FIND("|",SUBSTITUTE($H1403&amp;" "," ","|",3))+1,FIND("|",SUBSTITUTE($H1403&amp;" "," ","|",4))-FIND("|",SUBSTITUTE($H1403&amp;" "," ","|",3))-1),""))</f>
        <v/>
      </c>
      <c r="F1403" s="59">
        <f>IF($H1403="","",IFERROR(VALUE(IFERROR(MID($H1403&amp;" ",FIND("|",SUBSTITUTE($H1403&amp;" "," ","|",4))+1,FIND("|",SUBSTITUTE($H1403&amp;" "," ","|",5))-FIND("|",SUBSTITUTE($H1403&amp;" "," ","|",4))-1),""))/86400+25569+9/24,""))</f>
        <v/>
      </c>
      <c r="G1403" s="58">
        <f>TRIM(SUBSTITUTE(SUBSTITUTE(SUBSTITUTE($A1403,CHAR(9)," ")," "," "),CHAR(13),""))</f>
        <v/>
      </c>
      <c r="H1403" s="58">
        <f>IF($G1403="","",IF(ISNUMBER(FIND(" ",$G1403)),$G1403,IFERROR(IF((LEN(SUBSTITUTE(SUBSTITUTE($G1403,"-"," ",LEN($G1403)-LEN(SUBSTITUTE($G1403,"-",""))),"-"," ",LEN($G1403)-LEN(SUBSTITUTE($G1403,"-",""))-1))-LEN(SUBSTITUTE(SUBSTITUTE(SUBSTITUTE($G1403,"-"," ",LEN($G1403)-LEN(SUBSTITUTE($G1403,"-",""))),"-"," ",LEN($G1403)-LEN(SUBSTITUTE($G1403,"-",""))-1),".","")))=0,SUBSTITUTE(SUBSTITUTE($G1403,"-"," ",LEN($G1403)-LEN(SUBSTITUTE($G1403,"-",""))),"-"," ",LEN($G1403)-LEN(SUBSTITUTE($G1403,"-",""))-1),SUBSTITUTE(SUBSTITUTE(SUBSTITUTE($G1403,"-"," ",LEN($G1403)-LEN(SUBSTITUTE($G1403,"-",""))),"-"," ",LEN($G1403)-LEN(SUBSTITUTE($G1403,"-",""))-1),"."," ",(LEN(SUBSTITUTE(SUBSTITUTE($G1403,"-"," ",LEN($G1403)-LEN(SUBSTITUTE($G1403,"-",""))),"-"," ",LEN($G1403)-LEN(SUBSTITUTE($G1403,"-",""))-1))-LEN(SUBSTITUTE(SUBSTITUTE(SUBSTITUTE($G1403,"-"," ",LEN($G1403)-LEN(SUBSTITUTE($G1403,"-",""))),"-"," ",LEN($G1403)-LEN(SUBSTITUTE($G1403,"-",""))-1),".",""))))),$G1403)))</f>
        <v/>
      </c>
    </row>
    <row r="1404">
      <c r="A1404" s="58" t="n"/>
      <c r="B1404" s="58">
        <f>IF($H1404="","",LEFT($H1404,FIND(" ",$H1404&amp;" ")-1))</f>
        <v/>
      </c>
      <c r="C1404" s="58">
        <f>IF($H1404="","",IFERROR(MID($H1404&amp;" ",FIND("|",SUBSTITUTE($H1404&amp;" "," ","|",1))+1,FIND("|",SUBSTITUTE($H1404&amp;" "," ","|",2))-FIND("|",SUBSTITUTE($H1404&amp;" "," ","|",1))-1),""))</f>
        <v/>
      </c>
      <c r="D1404" s="58">
        <f>IF($H1404="","",IFERROR(MID($H1404&amp;" ",FIND("|",SUBSTITUTE($H1404&amp;" "," ","|",2))+1,FIND("|",SUBSTITUTE($H1404&amp;" "," ","|",3))-FIND("|",SUBSTITUTE($H1404&amp;" "," ","|",2))-1),""))</f>
        <v/>
      </c>
      <c r="E1404" s="58">
        <f>IF($H1404="","",IFERROR(MID($H1404&amp;" ",FIND("|",SUBSTITUTE($H1404&amp;" "," ","|",3))+1,FIND("|",SUBSTITUTE($H1404&amp;" "," ","|",4))-FIND("|",SUBSTITUTE($H1404&amp;" "," ","|",3))-1),""))</f>
        <v/>
      </c>
      <c r="F1404" s="59">
        <f>IF($H1404="","",IFERROR(VALUE(IFERROR(MID($H1404&amp;" ",FIND("|",SUBSTITUTE($H1404&amp;" "," ","|",4))+1,FIND("|",SUBSTITUTE($H1404&amp;" "," ","|",5))-FIND("|",SUBSTITUTE($H1404&amp;" "," ","|",4))-1),""))/86400+25569+9/24,""))</f>
        <v/>
      </c>
      <c r="G1404" s="58">
        <f>TRIM(SUBSTITUTE(SUBSTITUTE(SUBSTITUTE($A1404,CHAR(9)," ")," "," "),CHAR(13),""))</f>
        <v/>
      </c>
      <c r="H1404" s="58">
        <f>IF($G1404="","",IF(ISNUMBER(FIND(" ",$G1404)),$G1404,IFERROR(IF((LEN(SUBSTITUTE(SUBSTITUTE($G1404,"-"," ",LEN($G1404)-LEN(SUBSTITUTE($G1404,"-",""))),"-"," ",LEN($G1404)-LEN(SUBSTITUTE($G1404,"-",""))-1))-LEN(SUBSTITUTE(SUBSTITUTE(SUBSTITUTE($G1404,"-"," ",LEN($G1404)-LEN(SUBSTITUTE($G1404,"-",""))),"-"," ",LEN($G1404)-LEN(SUBSTITUTE($G1404,"-",""))-1),".","")))=0,SUBSTITUTE(SUBSTITUTE($G1404,"-"," ",LEN($G1404)-LEN(SUBSTITUTE($G1404,"-",""))),"-"," ",LEN($G1404)-LEN(SUBSTITUTE($G1404,"-",""))-1),SUBSTITUTE(SUBSTITUTE(SUBSTITUTE($G1404,"-"," ",LEN($G1404)-LEN(SUBSTITUTE($G1404,"-",""))),"-"," ",LEN($G1404)-LEN(SUBSTITUTE($G1404,"-",""))-1),"."," ",(LEN(SUBSTITUTE(SUBSTITUTE($G1404,"-"," ",LEN($G1404)-LEN(SUBSTITUTE($G1404,"-",""))),"-"," ",LEN($G1404)-LEN(SUBSTITUTE($G1404,"-",""))-1))-LEN(SUBSTITUTE(SUBSTITUTE(SUBSTITUTE($G1404,"-"," ",LEN($G1404)-LEN(SUBSTITUTE($G1404,"-",""))),"-"," ",LEN($G1404)-LEN(SUBSTITUTE($G1404,"-",""))-1),".",""))))),$G1404)))</f>
        <v/>
      </c>
    </row>
    <row r="1405">
      <c r="A1405" s="58" t="n"/>
      <c r="B1405" s="58">
        <f>IF($H1405="","",LEFT($H1405,FIND(" ",$H1405&amp;" ")-1))</f>
        <v/>
      </c>
      <c r="C1405" s="58">
        <f>IF($H1405="","",IFERROR(MID($H1405&amp;" ",FIND("|",SUBSTITUTE($H1405&amp;" "," ","|",1))+1,FIND("|",SUBSTITUTE($H1405&amp;" "," ","|",2))-FIND("|",SUBSTITUTE($H1405&amp;" "," ","|",1))-1),""))</f>
        <v/>
      </c>
      <c r="D1405" s="58">
        <f>IF($H1405="","",IFERROR(MID($H1405&amp;" ",FIND("|",SUBSTITUTE($H1405&amp;" "," ","|",2))+1,FIND("|",SUBSTITUTE($H1405&amp;" "," ","|",3))-FIND("|",SUBSTITUTE($H1405&amp;" "," ","|",2))-1),""))</f>
        <v/>
      </c>
      <c r="E1405" s="58">
        <f>IF($H1405="","",IFERROR(MID($H1405&amp;" ",FIND("|",SUBSTITUTE($H1405&amp;" "," ","|",3))+1,FIND("|",SUBSTITUTE($H1405&amp;" "," ","|",4))-FIND("|",SUBSTITUTE($H1405&amp;" "," ","|",3))-1),""))</f>
        <v/>
      </c>
      <c r="F1405" s="59">
        <f>IF($H1405="","",IFERROR(VALUE(IFERROR(MID($H1405&amp;" ",FIND("|",SUBSTITUTE($H1405&amp;" "," ","|",4))+1,FIND("|",SUBSTITUTE($H1405&amp;" "," ","|",5))-FIND("|",SUBSTITUTE($H1405&amp;" "," ","|",4))-1),""))/86400+25569+9/24,""))</f>
        <v/>
      </c>
      <c r="G1405" s="58">
        <f>TRIM(SUBSTITUTE(SUBSTITUTE(SUBSTITUTE($A1405,CHAR(9)," ")," "," "),CHAR(13),""))</f>
        <v/>
      </c>
      <c r="H1405" s="58">
        <f>IF($G1405="","",IF(ISNUMBER(FIND(" ",$G1405)),$G1405,IFERROR(IF((LEN(SUBSTITUTE(SUBSTITUTE($G1405,"-"," ",LEN($G1405)-LEN(SUBSTITUTE($G1405,"-",""))),"-"," ",LEN($G1405)-LEN(SUBSTITUTE($G1405,"-",""))-1))-LEN(SUBSTITUTE(SUBSTITUTE(SUBSTITUTE($G1405,"-"," ",LEN($G1405)-LEN(SUBSTITUTE($G1405,"-",""))),"-"," ",LEN($G1405)-LEN(SUBSTITUTE($G1405,"-",""))-1),".","")))=0,SUBSTITUTE(SUBSTITUTE($G1405,"-"," ",LEN($G1405)-LEN(SUBSTITUTE($G1405,"-",""))),"-"," ",LEN($G1405)-LEN(SUBSTITUTE($G1405,"-",""))-1),SUBSTITUTE(SUBSTITUTE(SUBSTITUTE($G1405,"-"," ",LEN($G1405)-LEN(SUBSTITUTE($G1405,"-",""))),"-"," ",LEN($G1405)-LEN(SUBSTITUTE($G1405,"-",""))-1),"."," ",(LEN(SUBSTITUTE(SUBSTITUTE($G1405,"-"," ",LEN($G1405)-LEN(SUBSTITUTE($G1405,"-",""))),"-"," ",LEN($G1405)-LEN(SUBSTITUTE($G1405,"-",""))-1))-LEN(SUBSTITUTE(SUBSTITUTE(SUBSTITUTE($G1405,"-"," ",LEN($G1405)-LEN(SUBSTITUTE($G1405,"-",""))),"-"," ",LEN($G1405)-LEN(SUBSTITUTE($G1405,"-",""))-1),".",""))))),$G1405)))</f>
        <v/>
      </c>
    </row>
    <row r="1406">
      <c r="A1406" s="58" t="n"/>
      <c r="B1406" s="58">
        <f>IF($H1406="","",LEFT($H1406,FIND(" ",$H1406&amp;" ")-1))</f>
        <v/>
      </c>
      <c r="C1406" s="58">
        <f>IF($H1406="","",IFERROR(MID($H1406&amp;" ",FIND("|",SUBSTITUTE($H1406&amp;" "," ","|",1))+1,FIND("|",SUBSTITUTE($H1406&amp;" "," ","|",2))-FIND("|",SUBSTITUTE($H1406&amp;" "," ","|",1))-1),""))</f>
        <v/>
      </c>
      <c r="D1406" s="58">
        <f>IF($H1406="","",IFERROR(MID($H1406&amp;" ",FIND("|",SUBSTITUTE($H1406&amp;" "," ","|",2))+1,FIND("|",SUBSTITUTE($H1406&amp;" "," ","|",3))-FIND("|",SUBSTITUTE($H1406&amp;" "," ","|",2))-1),""))</f>
        <v/>
      </c>
      <c r="E1406" s="58">
        <f>IF($H1406="","",IFERROR(MID($H1406&amp;" ",FIND("|",SUBSTITUTE($H1406&amp;" "," ","|",3))+1,FIND("|",SUBSTITUTE($H1406&amp;" "," ","|",4))-FIND("|",SUBSTITUTE($H1406&amp;" "," ","|",3))-1),""))</f>
        <v/>
      </c>
      <c r="F1406" s="59">
        <f>IF($H1406="","",IFERROR(VALUE(IFERROR(MID($H1406&amp;" ",FIND("|",SUBSTITUTE($H1406&amp;" "," ","|",4))+1,FIND("|",SUBSTITUTE($H1406&amp;" "," ","|",5))-FIND("|",SUBSTITUTE($H1406&amp;" "," ","|",4))-1),""))/86400+25569+9/24,""))</f>
        <v/>
      </c>
      <c r="G1406" s="58">
        <f>TRIM(SUBSTITUTE(SUBSTITUTE(SUBSTITUTE($A1406,CHAR(9)," ")," "," "),CHAR(13),""))</f>
        <v/>
      </c>
      <c r="H1406" s="58">
        <f>IF($G1406="","",IF(ISNUMBER(FIND(" ",$G1406)),$G1406,IFERROR(IF((LEN(SUBSTITUTE(SUBSTITUTE($G1406,"-"," ",LEN($G1406)-LEN(SUBSTITUTE($G1406,"-",""))),"-"," ",LEN($G1406)-LEN(SUBSTITUTE($G1406,"-",""))-1))-LEN(SUBSTITUTE(SUBSTITUTE(SUBSTITUTE($G1406,"-"," ",LEN($G1406)-LEN(SUBSTITUTE($G1406,"-",""))),"-"," ",LEN($G1406)-LEN(SUBSTITUTE($G1406,"-",""))-1),".","")))=0,SUBSTITUTE(SUBSTITUTE($G1406,"-"," ",LEN($G1406)-LEN(SUBSTITUTE($G1406,"-",""))),"-"," ",LEN($G1406)-LEN(SUBSTITUTE($G1406,"-",""))-1),SUBSTITUTE(SUBSTITUTE(SUBSTITUTE($G1406,"-"," ",LEN($G1406)-LEN(SUBSTITUTE($G1406,"-",""))),"-"," ",LEN($G1406)-LEN(SUBSTITUTE($G1406,"-",""))-1),"."," ",(LEN(SUBSTITUTE(SUBSTITUTE($G1406,"-"," ",LEN($G1406)-LEN(SUBSTITUTE($G1406,"-",""))),"-"," ",LEN($G1406)-LEN(SUBSTITUTE($G1406,"-",""))-1))-LEN(SUBSTITUTE(SUBSTITUTE(SUBSTITUTE($G1406,"-"," ",LEN($G1406)-LEN(SUBSTITUTE($G1406,"-",""))),"-"," ",LEN($G1406)-LEN(SUBSTITUTE($G1406,"-",""))-1),".",""))))),$G1406)))</f>
        <v/>
      </c>
    </row>
    <row r="1407">
      <c r="A1407" s="58" t="n"/>
      <c r="B1407" s="58">
        <f>IF($H1407="","",LEFT($H1407,FIND(" ",$H1407&amp;" ")-1))</f>
        <v/>
      </c>
      <c r="C1407" s="58">
        <f>IF($H1407="","",IFERROR(MID($H1407&amp;" ",FIND("|",SUBSTITUTE($H1407&amp;" "," ","|",1))+1,FIND("|",SUBSTITUTE($H1407&amp;" "," ","|",2))-FIND("|",SUBSTITUTE($H1407&amp;" "," ","|",1))-1),""))</f>
        <v/>
      </c>
      <c r="D1407" s="58">
        <f>IF($H1407="","",IFERROR(MID($H1407&amp;" ",FIND("|",SUBSTITUTE($H1407&amp;" "," ","|",2))+1,FIND("|",SUBSTITUTE($H1407&amp;" "," ","|",3))-FIND("|",SUBSTITUTE($H1407&amp;" "," ","|",2))-1),""))</f>
        <v/>
      </c>
      <c r="E1407" s="58">
        <f>IF($H1407="","",IFERROR(MID($H1407&amp;" ",FIND("|",SUBSTITUTE($H1407&amp;" "," ","|",3))+1,FIND("|",SUBSTITUTE($H1407&amp;" "," ","|",4))-FIND("|",SUBSTITUTE($H1407&amp;" "," ","|",3))-1),""))</f>
        <v/>
      </c>
      <c r="F1407" s="59">
        <f>IF($H1407="","",IFERROR(VALUE(IFERROR(MID($H1407&amp;" ",FIND("|",SUBSTITUTE($H1407&amp;" "," ","|",4))+1,FIND("|",SUBSTITUTE($H1407&amp;" "," ","|",5))-FIND("|",SUBSTITUTE($H1407&amp;" "," ","|",4))-1),""))/86400+25569+9/24,""))</f>
        <v/>
      </c>
      <c r="G1407" s="58">
        <f>TRIM(SUBSTITUTE(SUBSTITUTE(SUBSTITUTE($A1407,CHAR(9)," ")," "," "),CHAR(13),""))</f>
        <v/>
      </c>
      <c r="H1407" s="58">
        <f>IF($G1407="","",IF(ISNUMBER(FIND(" ",$G1407)),$G1407,IFERROR(IF((LEN(SUBSTITUTE(SUBSTITUTE($G1407,"-"," ",LEN($G1407)-LEN(SUBSTITUTE($G1407,"-",""))),"-"," ",LEN($G1407)-LEN(SUBSTITUTE($G1407,"-",""))-1))-LEN(SUBSTITUTE(SUBSTITUTE(SUBSTITUTE($G1407,"-"," ",LEN($G1407)-LEN(SUBSTITUTE($G1407,"-",""))),"-"," ",LEN($G1407)-LEN(SUBSTITUTE($G1407,"-",""))-1),".","")))=0,SUBSTITUTE(SUBSTITUTE($G1407,"-"," ",LEN($G1407)-LEN(SUBSTITUTE($G1407,"-",""))),"-"," ",LEN($G1407)-LEN(SUBSTITUTE($G1407,"-",""))-1),SUBSTITUTE(SUBSTITUTE(SUBSTITUTE($G1407,"-"," ",LEN($G1407)-LEN(SUBSTITUTE($G1407,"-",""))),"-"," ",LEN($G1407)-LEN(SUBSTITUTE($G1407,"-",""))-1),"."," ",(LEN(SUBSTITUTE(SUBSTITUTE($G1407,"-"," ",LEN($G1407)-LEN(SUBSTITUTE($G1407,"-",""))),"-"," ",LEN($G1407)-LEN(SUBSTITUTE($G1407,"-",""))-1))-LEN(SUBSTITUTE(SUBSTITUTE(SUBSTITUTE($G1407,"-"," ",LEN($G1407)-LEN(SUBSTITUTE($G1407,"-",""))),"-"," ",LEN($G1407)-LEN(SUBSTITUTE($G1407,"-",""))-1),".",""))))),$G1407)))</f>
        <v/>
      </c>
    </row>
    <row r="1408">
      <c r="A1408" s="58" t="n"/>
      <c r="B1408" s="58">
        <f>IF($H1408="","",LEFT($H1408,FIND(" ",$H1408&amp;" ")-1))</f>
        <v/>
      </c>
      <c r="C1408" s="58">
        <f>IF($H1408="","",IFERROR(MID($H1408&amp;" ",FIND("|",SUBSTITUTE($H1408&amp;" "," ","|",1))+1,FIND("|",SUBSTITUTE($H1408&amp;" "," ","|",2))-FIND("|",SUBSTITUTE($H1408&amp;" "," ","|",1))-1),""))</f>
        <v/>
      </c>
      <c r="D1408" s="58">
        <f>IF($H1408="","",IFERROR(MID($H1408&amp;" ",FIND("|",SUBSTITUTE($H1408&amp;" "," ","|",2))+1,FIND("|",SUBSTITUTE($H1408&amp;" "," ","|",3))-FIND("|",SUBSTITUTE($H1408&amp;" "," ","|",2))-1),""))</f>
        <v/>
      </c>
      <c r="E1408" s="58">
        <f>IF($H1408="","",IFERROR(MID($H1408&amp;" ",FIND("|",SUBSTITUTE($H1408&amp;" "," ","|",3))+1,FIND("|",SUBSTITUTE($H1408&amp;" "," ","|",4))-FIND("|",SUBSTITUTE($H1408&amp;" "," ","|",3))-1),""))</f>
        <v/>
      </c>
      <c r="F1408" s="59">
        <f>IF($H1408="","",IFERROR(VALUE(IFERROR(MID($H1408&amp;" ",FIND("|",SUBSTITUTE($H1408&amp;" "," ","|",4))+1,FIND("|",SUBSTITUTE($H1408&amp;" "," ","|",5))-FIND("|",SUBSTITUTE($H1408&amp;" "," ","|",4))-1),""))/86400+25569+9/24,""))</f>
        <v/>
      </c>
      <c r="G1408" s="58">
        <f>TRIM(SUBSTITUTE(SUBSTITUTE(SUBSTITUTE($A1408,CHAR(9)," ")," "," "),CHAR(13),""))</f>
        <v/>
      </c>
      <c r="H1408" s="58">
        <f>IF($G1408="","",IF(ISNUMBER(FIND(" ",$G1408)),$G1408,IFERROR(IF((LEN(SUBSTITUTE(SUBSTITUTE($G1408,"-"," ",LEN($G1408)-LEN(SUBSTITUTE($G1408,"-",""))),"-"," ",LEN($G1408)-LEN(SUBSTITUTE($G1408,"-",""))-1))-LEN(SUBSTITUTE(SUBSTITUTE(SUBSTITUTE($G1408,"-"," ",LEN($G1408)-LEN(SUBSTITUTE($G1408,"-",""))),"-"," ",LEN($G1408)-LEN(SUBSTITUTE($G1408,"-",""))-1),".","")))=0,SUBSTITUTE(SUBSTITUTE($G1408,"-"," ",LEN($G1408)-LEN(SUBSTITUTE($G1408,"-",""))),"-"," ",LEN($G1408)-LEN(SUBSTITUTE($G1408,"-",""))-1),SUBSTITUTE(SUBSTITUTE(SUBSTITUTE($G1408,"-"," ",LEN($G1408)-LEN(SUBSTITUTE($G1408,"-",""))),"-"," ",LEN($G1408)-LEN(SUBSTITUTE($G1408,"-",""))-1),"."," ",(LEN(SUBSTITUTE(SUBSTITUTE($G1408,"-"," ",LEN($G1408)-LEN(SUBSTITUTE($G1408,"-",""))),"-"," ",LEN($G1408)-LEN(SUBSTITUTE($G1408,"-",""))-1))-LEN(SUBSTITUTE(SUBSTITUTE(SUBSTITUTE($G1408,"-"," ",LEN($G1408)-LEN(SUBSTITUTE($G1408,"-",""))),"-"," ",LEN($G1408)-LEN(SUBSTITUTE($G1408,"-",""))-1),".",""))))),$G1408)))</f>
        <v/>
      </c>
    </row>
    <row r="1409">
      <c r="A1409" s="58" t="n"/>
      <c r="B1409" s="58">
        <f>IF($H1409="","",LEFT($H1409,FIND(" ",$H1409&amp;" ")-1))</f>
        <v/>
      </c>
      <c r="C1409" s="58">
        <f>IF($H1409="","",IFERROR(MID($H1409&amp;" ",FIND("|",SUBSTITUTE($H1409&amp;" "," ","|",1))+1,FIND("|",SUBSTITUTE($H1409&amp;" "," ","|",2))-FIND("|",SUBSTITUTE($H1409&amp;" "," ","|",1))-1),""))</f>
        <v/>
      </c>
      <c r="D1409" s="58">
        <f>IF($H1409="","",IFERROR(MID($H1409&amp;" ",FIND("|",SUBSTITUTE($H1409&amp;" "," ","|",2))+1,FIND("|",SUBSTITUTE($H1409&amp;" "," ","|",3))-FIND("|",SUBSTITUTE($H1409&amp;" "," ","|",2))-1),""))</f>
        <v/>
      </c>
      <c r="E1409" s="58">
        <f>IF($H1409="","",IFERROR(MID($H1409&amp;" ",FIND("|",SUBSTITUTE($H1409&amp;" "," ","|",3))+1,FIND("|",SUBSTITUTE($H1409&amp;" "," ","|",4))-FIND("|",SUBSTITUTE($H1409&amp;" "," ","|",3))-1),""))</f>
        <v/>
      </c>
      <c r="F1409" s="59">
        <f>IF($H1409="","",IFERROR(VALUE(IFERROR(MID($H1409&amp;" ",FIND("|",SUBSTITUTE($H1409&amp;" "," ","|",4))+1,FIND("|",SUBSTITUTE($H1409&amp;" "," ","|",5))-FIND("|",SUBSTITUTE($H1409&amp;" "," ","|",4))-1),""))/86400+25569+9/24,""))</f>
        <v/>
      </c>
      <c r="G1409" s="58">
        <f>TRIM(SUBSTITUTE(SUBSTITUTE(SUBSTITUTE($A1409,CHAR(9)," ")," "," "),CHAR(13),""))</f>
        <v/>
      </c>
      <c r="H1409" s="58">
        <f>IF($G1409="","",IF(ISNUMBER(FIND(" ",$G1409)),$G1409,IFERROR(IF((LEN(SUBSTITUTE(SUBSTITUTE($G1409,"-"," ",LEN($G1409)-LEN(SUBSTITUTE($G1409,"-",""))),"-"," ",LEN($G1409)-LEN(SUBSTITUTE($G1409,"-",""))-1))-LEN(SUBSTITUTE(SUBSTITUTE(SUBSTITUTE($G1409,"-"," ",LEN($G1409)-LEN(SUBSTITUTE($G1409,"-",""))),"-"," ",LEN($G1409)-LEN(SUBSTITUTE($G1409,"-",""))-1),".","")))=0,SUBSTITUTE(SUBSTITUTE($G1409,"-"," ",LEN($G1409)-LEN(SUBSTITUTE($G1409,"-",""))),"-"," ",LEN($G1409)-LEN(SUBSTITUTE($G1409,"-",""))-1),SUBSTITUTE(SUBSTITUTE(SUBSTITUTE($G1409,"-"," ",LEN($G1409)-LEN(SUBSTITUTE($G1409,"-",""))),"-"," ",LEN($G1409)-LEN(SUBSTITUTE($G1409,"-",""))-1),"."," ",(LEN(SUBSTITUTE(SUBSTITUTE($G1409,"-"," ",LEN($G1409)-LEN(SUBSTITUTE($G1409,"-",""))),"-"," ",LEN($G1409)-LEN(SUBSTITUTE($G1409,"-",""))-1))-LEN(SUBSTITUTE(SUBSTITUTE(SUBSTITUTE($G1409,"-"," ",LEN($G1409)-LEN(SUBSTITUTE($G1409,"-",""))),"-"," ",LEN($G1409)-LEN(SUBSTITUTE($G1409,"-",""))-1),".",""))))),$G1409)))</f>
        <v/>
      </c>
    </row>
    <row r="1410">
      <c r="A1410" s="58" t="n"/>
      <c r="B1410" s="58">
        <f>IF($H1410="","",LEFT($H1410,FIND(" ",$H1410&amp;" ")-1))</f>
        <v/>
      </c>
      <c r="C1410" s="58">
        <f>IF($H1410="","",IFERROR(MID($H1410&amp;" ",FIND("|",SUBSTITUTE($H1410&amp;" "," ","|",1))+1,FIND("|",SUBSTITUTE($H1410&amp;" "," ","|",2))-FIND("|",SUBSTITUTE($H1410&amp;" "," ","|",1))-1),""))</f>
        <v/>
      </c>
      <c r="D1410" s="58">
        <f>IF($H1410="","",IFERROR(MID($H1410&amp;" ",FIND("|",SUBSTITUTE($H1410&amp;" "," ","|",2))+1,FIND("|",SUBSTITUTE($H1410&amp;" "," ","|",3))-FIND("|",SUBSTITUTE($H1410&amp;" "," ","|",2))-1),""))</f>
        <v/>
      </c>
      <c r="E1410" s="58">
        <f>IF($H1410="","",IFERROR(MID($H1410&amp;" ",FIND("|",SUBSTITUTE($H1410&amp;" "," ","|",3))+1,FIND("|",SUBSTITUTE($H1410&amp;" "," ","|",4))-FIND("|",SUBSTITUTE($H1410&amp;" "," ","|",3))-1),""))</f>
        <v/>
      </c>
      <c r="F1410" s="59">
        <f>IF($H1410="","",IFERROR(VALUE(IFERROR(MID($H1410&amp;" ",FIND("|",SUBSTITUTE($H1410&amp;" "," ","|",4))+1,FIND("|",SUBSTITUTE($H1410&amp;" "," ","|",5))-FIND("|",SUBSTITUTE($H1410&amp;" "," ","|",4))-1),""))/86400+25569+9/24,""))</f>
        <v/>
      </c>
      <c r="G1410" s="58">
        <f>TRIM(SUBSTITUTE(SUBSTITUTE(SUBSTITUTE($A1410,CHAR(9)," ")," "," "),CHAR(13),""))</f>
        <v/>
      </c>
      <c r="H1410" s="58">
        <f>IF($G1410="","",IF(ISNUMBER(FIND(" ",$G1410)),$G1410,IFERROR(IF((LEN(SUBSTITUTE(SUBSTITUTE($G1410,"-"," ",LEN($G1410)-LEN(SUBSTITUTE($G1410,"-",""))),"-"," ",LEN($G1410)-LEN(SUBSTITUTE($G1410,"-",""))-1))-LEN(SUBSTITUTE(SUBSTITUTE(SUBSTITUTE($G1410,"-"," ",LEN($G1410)-LEN(SUBSTITUTE($G1410,"-",""))),"-"," ",LEN($G1410)-LEN(SUBSTITUTE($G1410,"-",""))-1),".","")))=0,SUBSTITUTE(SUBSTITUTE($G1410,"-"," ",LEN($G1410)-LEN(SUBSTITUTE($G1410,"-",""))),"-"," ",LEN($G1410)-LEN(SUBSTITUTE($G1410,"-",""))-1),SUBSTITUTE(SUBSTITUTE(SUBSTITUTE($G1410,"-"," ",LEN($G1410)-LEN(SUBSTITUTE($G1410,"-",""))),"-"," ",LEN($G1410)-LEN(SUBSTITUTE($G1410,"-",""))-1),"."," ",(LEN(SUBSTITUTE(SUBSTITUTE($G1410,"-"," ",LEN($G1410)-LEN(SUBSTITUTE($G1410,"-",""))),"-"," ",LEN($G1410)-LEN(SUBSTITUTE($G1410,"-",""))-1))-LEN(SUBSTITUTE(SUBSTITUTE(SUBSTITUTE($G1410,"-"," ",LEN($G1410)-LEN(SUBSTITUTE($G1410,"-",""))),"-"," ",LEN($G1410)-LEN(SUBSTITUTE($G1410,"-",""))-1),".",""))))),$G1410)))</f>
        <v/>
      </c>
    </row>
    <row r="1411">
      <c r="A1411" s="58" t="n"/>
      <c r="B1411" s="58">
        <f>IF($H1411="","",LEFT($H1411,FIND(" ",$H1411&amp;" ")-1))</f>
        <v/>
      </c>
      <c r="C1411" s="58">
        <f>IF($H1411="","",IFERROR(MID($H1411&amp;" ",FIND("|",SUBSTITUTE($H1411&amp;" "," ","|",1))+1,FIND("|",SUBSTITUTE($H1411&amp;" "," ","|",2))-FIND("|",SUBSTITUTE($H1411&amp;" "," ","|",1))-1),""))</f>
        <v/>
      </c>
      <c r="D1411" s="58">
        <f>IF($H1411="","",IFERROR(MID($H1411&amp;" ",FIND("|",SUBSTITUTE($H1411&amp;" "," ","|",2))+1,FIND("|",SUBSTITUTE($H1411&amp;" "," ","|",3))-FIND("|",SUBSTITUTE($H1411&amp;" "," ","|",2))-1),""))</f>
        <v/>
      </c>
      <c r="E1411" s="58">
        <f>IF($H1411="","",IFERROR(MID($H1411&amp;" ",FIND("|",SUBSTITUTE($H1411&amp;" "," ","|",3))+1,FIND("|",SUBSTITUTE($H1411&amp;" "," ","|",4))-FIND("|",SUBSTITUTE($H1411&amp;" "," ","|",3))-1),""))</f>
        <v/>
      </c>
      <c r="F1411" s="59">
        <f>IF($H1411="","",IFERROR(VALUE(IFERROR(MID($H1411&amp;" ",FIND("|",SUBSTITUTE($H1411&amp;" "," ","|",4))+1,FIND("|",SUBSTITUTE($H1411&amp;" "," ","|",5))-FIND("|",SUBSTITUTE($H1411&amp;" "," ","|",4))-1),""))/86400+25569+9/24,""))</f>
        <v/>
      </c>
      <c r="G1411" s="58">
        <f>TRIM(SUBSTITUTE(SUBSTITUTE(SUBSTITUTE($A1411,CHAR(9)," ")," "," "),CHAR(13),""))</f>
        <v/>
      </c>
      <c r="H1411" s="58">
        <f>IF($G1411="","",IF(ISNUMBER(FIND(" ",$G1411)),$G1411,IFERROR(IF((LEN(SUBSTITUTE(SUBSTITUTE($G1411,"-"," ",LEN($G1411)-LEN(SUBSTITUTE($G1411,"-",""))),"-"," ",LEN($G1411)-LEN(SUBSTITUTE($G1411,"-",""))-1))-LEN(SUBSTITUTE(SUBSTITUTE(SUBSTITUTE($G1411,"-"," ",LEN($G1411)-LEN(SUBSTITUTE($G1411,"-",""))),"-"," ",LEN($G1411)-LEN(SUBSTITUTE($G1411,"-",""))-1),".","")))=0,SUBSTITUTE(SUBSTITUTE($G1411,"-"," ",LEN($G1411)-LEN(SUBSTITUTE($G1411,"-",""))),"-"," ",LEN($G1411)-LEN(SUBSTITUTE($G1411,"-",""))-1),SUBSTITUTE(SUBSTITUTE(SUBSTITUTE($G1411,"-"," ",LEN($G1411)-LEN(SUBSTITUTE($G1411,"-",""))),"-"," ",LEN($G1411)-LEN(SUBSTITUTE($G1411,"-",""))-1),"."," ",(LEN(SUBSTITUTE(SUBSTITUTE($G1411,"-"," ",LEN($G1411)-LEN(SUBSTITUTE($G1411,"-",""))),"-"," ",LEN($G1411)-LEN(SUBSTITUTE($G1411,"-",""))-1))-LEN(SUBSTITUTE(SUBSTITUTE(SUBSTITUTE($G1411,"-"," ",LEN($G1411)-LEN(SUBSTITUTE($G1411,"-",""))),"-"," ",LEN($G1411)-LEN(SUBSTITUTE($G1411,"-",""))-1),".",""))))),$G1411)))</f>
        <v/>
      </c>
    </row>
    <row r="1412">
      <c r="A1412" s="58" t="n"/>
      <c r="B1412" s="58">
        <f>IF($H1412="","",LEFT($H1412,FIND(" ",$H1412&amp;" ")-1))</f>
        <v/>
      </c>
      <c r="C1412" s="58">
        <f>IF($H1412="","",IFERROR(MID($H1412&amp;" ",FIND("|",SUBSTITUTE($H1412&amp;" "," ","|",1))+1,FIND("|",SUBSTITUTE($H1412&amp;" "," ","|",2))-FIND("|",SUBSTITUTE($H1412&amp;" "," ","|",1))-1),""))</f>
        <v/>
      </c>
      <c r="D1412" s="58">
        <f>IF($H1412="","",IFERROR(MID($H1412&amp;" ",FIND("|",SUBSTITUTE($H1412&amp;" "," ","|",2))+1,FIND("|",SUBSTITUTE($H1412&amp;" "," ","|",3))-FIND("|",SUBSTITUTE($H1412&amp;" "," ","|",2))-1),""))</f>
        <v/>
      </c>
      <c r="E1412" s="58">
        <f>IF($H1412="","",IFERROR(MID($H1412&amp;" ",FIND("|",SUBSTITUTE($H1412&amp;" "," ","|",3))+1,FIND("|",SUBSTITUTE($H1412&amp;" "," ","|",4))-FIND("|",SUBSTITUTE($H1412&amp;" "," ","|",3))-1),""))</f>
        <v/>
      </c>
      <c r="F1412" s="59">
        <f>IF($H1412="","",IFERROR(VALUE(IFERROR(MID($H1412&amp;" ",FIND("|",SUBSTITUTE($H1412&amp;" "," ","|",4))+1,FIND("|",SUBSTITUTE($H1412&amp;" "," ","|",5))-FIND("|",SUBSTITUTE($H1412&amp;" "," ","|",4))-1),""))/86400+25569+9/24,""))</f>
        <v/>
      </c>
      <c r="G1412" s="58">
        <f>TRIM(SUBSTITUTE(SUBSTITUTE(SUBSTITUTE($A1412,CHAR(9)," ")," "," "),CHAR(13),""))</f>
        <v/>
      </c>
      <c r="H1412" s="58">
        <f>IF($G1412="","",IF(ISNUMBER(FIND(" ",$G1412)),$G1412,IFERROR(IF((LEN(SUBSTITUTE(SUBSTITUTE($G1412,"-"," ",LEN($G1412)-LEN(SUBSTITUTE($G1412,"-",""))),"-"," ",LEN($G1412)-LEN(SUBSTITUTE($G1412,"-",""))-1))-LEN(SUBSTITUTE(SUBSTITUTE(SUBSTITUTE($G1412,"-"," ",LEN($G1412)-LEN(SUBSTITUTE($G1412,"-",""))),"-"," ",LEN($G1412)-LEN(SUBSTITUTE($G1412,"-",""))-1),".","")))=0,SUBSTITUTE(SUBSTITUTE($G1412,"-"," ",LEN($G1412)-LEN(SUBSTITUTE($G1412,"-",""))),"-"," ",LEN($G1412)-LEN(SUBSTITUTE($G1412,"-",""))-1),SUBSTITUTE(SUBSTITUTE(SUBSTITUTE($G1412,"-"," ",LEN($G1412)-LEN(SUBSTITUTE($G1412,"-",""))),"-"," ",LEN($G1412)-LEN(SUBSTITUTE($G1412,"-",""))-1),"."," ",(LEN(SUBSTITUTE(SUBSTITUTE($G1412,"-"," ",LEN($G1412)-LEN(SUBSTITUTE($G1412,"-",""))),"-"," ",LEN($G1412)-LEN(SUBSTITUTE($G1412,"-",""))-1))-LEN(SUBSTITUTE(SUBSTITUTE(SUBSTITUTE($G1412,"-"," ",LEN($G1412)-LEN(SUBSTITUTE($G1412,"-",""))),"-"," ",LEN($G1412)-LEN(SUBSTITUTE($G1412,"-",""))-1),".",""))))),$G1412)))</f>
        <v/>
      </c>
    </row>
    <row r="1413">
      <c r="A1413" s="58" t="n"/>
      <c r="B1413" s="58">
        <f>IF($H1413="","",LEFT($H1413,FIND(" ",$H1413&amp;" ")-1))</f>
        <v/>
      </c>
      <c r="C1413" s="58">
        <f>IF($H1413="","",IFERROR(MID($H1413&amp;" ",FIND("|",SUBSTITUTE($H1413&amp;" "," ","|",1))+1,FIND("|",SUBSTITUTE($H1413&amp;" "," ","|",2))-FIND("|",SUBSTITUTE($H1413&amp;" "," ","|",1))-1),""))</f>
        <v/>
      </c>
      <c r="D1413" s="58">
        <f>IF($H1413="","",IFERROR(MID($H1413&amp;" ",FIND("|",SUBSTITUTE($H1413&amp;" "," ","|",2))+1,FIND("|",SUBSTITUTE($H1413&amp;" "," ","|",3))-FIND("|",SUBSTITUTE($H1413&amp;" "," ","|",2))-1),""))</f>
        <v/>
      </c>
      <c r="E1413" s="58">
        <f>IF($H1413="","",IFERROR(MID($H1413&amp;" ",FIND("|",SUBSTITUTE($H1413&amp;" "," ","|",3))+1,FIND("|",SUBSTITUTE($H1413&amp;" "," ","|",4))-FIND("|",SUBSTITUTE($H1413&amp;" "," ","|",3))-1),""))</f>
        <v/>
      </c>
      <c r="F1413" s="59">
        <f>IF($H1413="","",IFERROR(VALUE(IFERROR(MID($H1413&amp;" ",FIND("|",SUBSTITUTE($H1413&amp;" "," ","|",4))+1,FIND("|",SUBSTITUTE($H1413&amp;" "," ","|",5))-FIND("|",SUBSTITUTE($H1413&amp;" "," ","|",4))-1),""))/86400+25569+9/24,""))</f>
        <v/>
      </c>
      <c r="G1413" s="58">
        <f>TRIM(SUBSTITUTE(SUBSTITUTE(SUBSTITUTE($A1413,CHAR(9)," ")," "," "),CHAR(13),""))</f>
        <v/>
      </c>
      <c r="H1413" s="58">
        <f>IF($G1413="","",IF(ISNUMBER(FIND(" ",$G1413)),$G1413,IFERROR(IF((LEN(SUBSTITUTE(SUBSTITUTE($G1413,"-"," ",LEN($G1413)-LEN(SUBSTITUTE($G1413,"-",""))),"-"," ",LEN($G1413)-LEN(SUBSTITUTE($G1413,"-",""))-1))-LEN(SUBSTITUTE(SUBSTITUTE(SUBSTITUTE($G1413,"-"," ",LEN($G1413)-LEN(SUBSTITUTE($G1413,"-",""))),"-"," ",LEN($G1413)-LEN(SUBSTITUTE($G1413,"-",""))-1),".","")))=0,SUBSTITUTE(SUBSTITUTE($G1413,"-"," ",LEN($G1413)-LEN(SUBSTITUTE($G1413,"-",""))),"-"," ",LEN($G1413)-LEN(SUBSTITUTE($G1413,"-",""))-1),SUBSTITUTE(SUBSTITUTE(SUBSTITUTE($G1413,"-"," ",LEN($G1413)-LEN(SUBSTITUTE($G1413,"-",""))),"-"," ",LEN($G1413)-LEN(SUBSTITUTE($G1413,"-",""))-1),"."," ",(LEN(SUBSTITUTE(SUBSTITUTE($G1413,"-"," ",LEN($G1413)-LEN(SUBSTITUTE($G1413,"-",""))),"-"," ",LEN($G1413)-LEN(SUBSTITUTE($G1413,"-",""))-1))-LEN(SUBSTITUTE(SUBSTITUTE(SUBSTITUTE($G1413,"-"," ",LEN($G1413)-LEN(SUBSTITUTE($G1413,"-",""))),"-"," ",LEN($G1413)-LEN(SUBSTITUTE($G1413,"-",""))-1),".",""))))),$G1413)))</f>
        <v/>
      </c>
    </row>
    <row r="1414">
      <c r="A1414" s="58" t="n"/>
      <c r="B1414" s="58">
        <f>IF($H1414="","",LEFT($H1414,FIND(" ",$H1414&amp;" ")-1))</f>
        <v/>
      </c>
      <c r="C1414" s="58">
        <f>IF($H1414="","",IFERROR(MID($H1414&amp;" ",FIND("|",SUBSTITUTE($H1414&amp;" "," ","|",1))+1,FIND("|",SUBSTITUTE($H1414&amp;" "," ","|",2))-FIND("|",SUBSTITUTE($H1414&amp;" "," ","|",1))-1),""))</f>
        <v/>
      </c>
      <c r="D1414" s="58">
        <f>IF($H1414="","",IFERROR(MID($H1414&amp;" ",FIND("|",SUBSTITUTE($H1414&amp;" "," ","|",2))+1,FIND("|",SUBSTITUTE($H1414&amp;" "," ","|",3))-FIND("|",SUBSTITUTE($H1414&amp;" "," ","|",2))-1),""))</f>
        <v/>
      </c>
      <c r="E1414" s="58">
        <f>IF($H1414="","",IFERROR(MID($H1414&amp;" ",FIND("|",SUBSTITUTE($H1414&amp;" "," ","|",3))+1,FIND("|",SUBSTITUTE($H1414&amp;" "," ","|",4))-FIND("|",SUBSTITUTE($H1414&amp;" "," ","|",3))-1),""))</f>
        <v/>
      </c>
      <c r="F1414" s="59">
        <f>IF($H1414="","",IFERROR(VALUE(IFERROR(MID($H1414&amp;" ",FIND("|",SUBSTITUTE($H1414&amp;" "," ","|",4))+1,FIND("|",SUBSTITUTE($H1414&amp;" "," ","|",5))-FIND("|",SUBSTITUTE($H1414&amp;" "," ","|",4))-1),""))/86400+25569+9/24,""))</f>
        <v/>
      </c>
      <c r="G1414" s="58">
        <f>TRIM(SUBSTITUTE(SUBSTITUTE(SUBSTITUTE($A1414,CHAR(9)," ")," "," "),CHAR(13),""))</f>
        <v/>
      </c>
      <c r="H1414" s="58">
        <f>IF($G1414="","",IF(ISNUMBER(FIND(" ",$G1414)),$G1414,IFERROR(IF((LEN(SUBSTITUTE(SUBSTITUTE($G1414,"-"," ",LEN($G1414)-LEN(SUBSTITUTE($G1414,"-",""))),"-"," ",LEN($G1414)-LEN(SUBSTITUTE($G1414,"-",""))-1))-LEN(SUBSTITUTE(SUBSTITUTE(SUBSTITUTE($G1414,"-"," ",LEN($G1414)-LEN(SUBSTITUTE($G1414,"-",""))),"-"," ",LEN($G1414)-LEN(SUBSTITUTE($G1414,"-",""))-1),".","")))=0,SUBSTITUTE(SUBSTITUTE($G1414,"-"," ",LEN($G1414)-LEN(SUBSTITUTE($G1414,"-",""))),"-"," ",LEN($G1414)-LEN(SUBSTITUTE($G1414,"-",""))-1),SUBSTITUTE(SUBSTITUTE(SUBSTITUTE($G1414,"-"," ",LEN($G1414)-LEN(SUBSTITUTE($G1414,"-",""))),"-"," ",LEN($G1414)-LEN(SUBSTITUTE($G1414,"-",""))-1),"."," ",(LEN(SUBSTITUTE(SUBSTITUTE($G1414,"-"," ",LEN($G1414)-LEN(SUBSTITUTE($G1414,"-",""))),"-"," ",LEN($G1414)-LEN(SUBSTITUTE($G1414,"-",""))-1))-LEN(SUBSTITUTE(SUBSTITUTE(SUBSTITUTE($G1414,"-"," ",LEN($G1414)-LEN(SUBSTITUTE($G1414,"-",""))),"-"," ",LEN($G1414)-LEN(SUBSTITUTE($G1414,"-",""))-1),".",""))))),$G1414)))</f>
        <v/>
      </c>
    </row>
    <row r="1415">
      <c r="A1415" s="58" t="n"/>
      <c r="B1415" s="58">
        <f>IF($H1415="","",LEFT($H1415,FIND(" ",$H1415&amp;" ")-1))</f>
        <v/>
      </c>
      <c r="C1415" s="58">
        <f>IF($H1415="","",IFERROR(MID($H1415&amp;" ",FIND("|",SUBSTITUTE($H1415&amp;" "," ","|",1))+1,FIND("|",SUBSTITUTE($H1415&amp;" "," ","|",2))-FIND("|",SUBSTITUTE($H1415&amp;" "," ","|",1))-1),""))</f>
        <v/>
      </c>
      <c r="D1415" s="58">
        <f>IF($H1415="","",IFERROR(MID($H1415&amp;" ",FIND("|",SUBSTITUTE($H1415&amp;" "," ","|",2))+1,FIND("|",SUBSTITUTE($H1415&amp;" "," ","|",3))-FIND("|",SUBSTITUTE($H1415&amp;" "," ","|",2))-1),""))</f>
        <v/>
      </c>
      <c r="E1415" s="58">
        <f>IF($H1415="","",IFERROR(MID($H1415&amp;" ",FIND("|",SUBSTITUTE($H1415&amp;" "," ","|",3))+1,FIND("|",SUBSTITUTE($H1415&amp;" "," ","|",4))-FIND("|",SUBSTITUTE($H1415&amp;" "," ","|",3))-1),""))</f>
        <v/>
      </c>
      <c r="F1415" s="59">
        <f>IF($H1415="","",IFERROR(VALUE(IFERROR(MID($H1415&amp;" ",FIND("|",SUBSTITUTE($H1415&amp;" "," ","|",4))+1,FIND("|",SUBSTITUTE($H1415&amp;" "," ","|",5))-FIND("|",SUBSTITUTE($H1415&amp;" "," ","|",4))-1),""))/86400+25569+9/24,""))</f>
        <v/>
      </c>
      <c r="G1415" s="58">
        <f>TRIM(SUBSTITUTE(SUBSTITUTE(SUBSTITUTE($A1415,CHAR(9)," ")," "," "),CHAR(13),""))</f>
        <v/>
      </c>
      <c r="H1415" s="58">
        <f>IF($G1415="","",IF(ISNUMBER(FIND(" ",$G1415)),$G1415,IFERROR(IF((LEN(SUBSTITUTE(SUBSTITUTE($G1415,"-"," ",LEN($G1415)-LEN(SUBSTITUTE($G1415,"-",""))),"-"," ",LEN($G1415)-LEN(SUBSTITUTE($G1415,"-",""))-1))-LEN(SUBSTITUTE(SUBSTITUTE(SUBSTITUTE($G1415,"-"," ",LEN($G1415)-LEN(SUBSTITUTE($G1415,"-",""))),"-"," ",LEN($G1415)-LEN(SUBSTITUTE($G1415,"-",""))-1),".","")))=0,SUBSTITUTE(SUBSTITUTE($G1415,"-"," ",LEN($G1415)-LEN(SUBSTITUTE($G1415,"-",""))),"-"," ",LEN($G1415)-LEN(SUBSTITUTE($G1415,"-",""))-1),SUBSTITUTE(SUBSTITUTE(SUBSTITUTE($G1415,"-"," ",LEN($G1415)-LEN(SUBSTITUTE($G1415,"-",""))),"-"," ",LEN($G1415)-LEN(SUBSTITUTE($G1415,"-",""))-1),"."," ",(LEN(SUBSTITUTE(SUBSTITUTE($G1415,"-"," ",LEN($G1415)-LEN(SUBSTITUTE($G1415,"-",""))),"-"," ",LEN($G1415)-LEN(SUBSTITUTE($G1415,"-",""))-1))-LEN(SUBSTITUTE(SUBSTITUTE(SUBSTITUTE($G1415,"-"," ",LEN($G1415)-LEN(SUBSTITUTE($G1415,"-",""))),"-"," ",LEN($G1415)-LEN(SUBSTITUTE($G1415,"-",""))-1),".",""))))),$G1415)))</f>
        <v/>
      </c>
    </row>
    <row r="1416">
      <c r="A1416" s="58" t="n"/>
      <c r="B1416" s="58">
        <f>IF($H1416="","",LEFT($H1416,FIND(" ",$H1416&amp;" ")-1))</f>
        <v/>
      </c>
      <c r="C1416" s="58">
        <f>IF($H1416="","",IFERROR(MID($H1416&amp;" ",FIND("|",SUBSTITUTE($H1416&amp;" "," ","|",1))+1,FIND("|",SUBSTITUTE($H1416&amp;" "," ","|",2))-FIND("|",SUBSTITUTE($H1416&amp;" "," ","|",1))-1),""))</f>
        <v/>
      </c>
      <c r="D1416" s="58">
        <f>IF($H1416="","",IFERROR(MID($H1416&amp;" ",FIND("|",SUBSTITUTE($H1416&amp;" "," ","|",2))+1,FIND("|",SUBSTITUTE($H1416&amp;" "," ","|",3))-FIND("|",SUBSTITUTE($H1416&amp;" "," ","|",2))-1),""))</f>
        <v/>
      </c>
      <c r="E1416" s="58">
        <f>IF($H1416="","",IFERROR(MID($H1416&amp;" ",FIND("|",SUBSTITUTE($H1416&amp;" "," ","|",3))+1,FIND("|",SUBSTITUTE($H1416&amp;" "," ","|",4))-FIND("|",SUBSTITUTE($H1416&amp;" "," ","|",3))-1),""))</f>
        <v/>
      </c>
      <c r="F1416" s="59">
        <f>IF($H1416="","",IFERROR(VALUE(IFERROR(MID($H1416&amp;" ",FIND("|",SUBSTITUTE($H1416&amp;" "," ","|",4))+1,FIND("|",SUBSTITUTE($H1416&amp;" "," ","|",5))-FIND("|",SUBSTITUTE($H1416&amp;" "," ","|",4))-1),""))/86400+25569+9/24,""))</f>
        <v/>
      </c>
      <c r="G1416" s="58">
        <f>TRIM(SUBSTITUTE(SUBSTITUTE(SUBSTITUTE($A1416,CHAR(9)," ")," "," "),CHAR(13),""))</f>
        <v/>
      </c>
      <c r="H1416" s="58">
        <f>IF($G1416="","",IF(ISNUMBER(FIND(" ",$G1416)),$G1416,IFERROR(IF((LEN(SUBSTITUTE(SUBSTITUTE($G1416,"-"," ",LEN($G1416)-LEN(SUBSTITUTE($G1416,"-",""))),"-"," ",LEN($G1416)-LEN(SUBSTITUTE($G1416,"-",""))-1))-LEN(SUBSTITUTE(SUBSTITUTE(SUBSTITUTE($G1416,"-"," ",LEN($G1416)-LEN(SUBSTITUTE($G1416,"-",""))),"-"," ",LEN($G1416)-LEN(SUBSTITUTE($G1416,"-",""))-1),".","")))=0,SUBSTITUTE(SUBSTITUTE($G1416,"-"," ",LEN($G1416)-LEN(SUBSTITUTE($G1416,"-",""))),"-"," ",LEN($G1416)-LEN(SUBSTITUTE($G1416,"-",""))-1),SUBSTITUTE(SUBSTITUTE(SUBSTITUTE($G1416,"-"," ",LEN($G1416)-LEN(SUBSTITUTE($G1416,"-",""))),"-"," ",LEN($G1416)-LEN(SUBSTITUTE($G1416,"-",""))-1),"."," ",(LEN(SUBSTITUTE(SUBSTITUTE($G1416,"-"," ",LEN($G1416)-LEN(SUBSTITUTE($G1416,"-",""))),"-"," ",LEN($G1416)-LEN(SUBSTITUTE($G1416,"-",""))-1))-LEN(SUBSTITUTE(SUBSTITUTE(SUBSTITUTE($G1416,"-"," ",LEN($G1416)-LEN(SUBSTITUTE($G1416,"-",""))),"-"," ",LEN($G1416)-LEN(SUBSTITUTE($G1416,"-",""))-1),".",""))))),$G1416)))</f>
        <v/>
      </c>
    </row>
    <row r="1417">
      <c r="A1417" s="58" t="n"/>
      <c r="B1417" s="58">
        <f>IF($H1417="","",LEFT($H1417,FIND(" ",$H1417&amp;" ")-1))</f>
        <v/>
      </c>
      <c r="C1417" s="58">
        <f>IF($H1417="","",IFERROR(MID($H1417&amp;" ",FIND("|",SUBSTITUTE($H1417&amp;" "," ","|",1))+1,FIND("|",SUBSTITUTE($H1417&amp;" "," ","|",2))-FIND("|",SUBSTITUTE($H1417&amp;" "," ","|",1))-1),""))</f>
        <v/>
      </c>
      <c r="D1417" s="58">
        <f>IF($H1417="","",IFERROR(MID($H1417&amp;" ",FIND("|",SUBSTITUTE($H1417&amp;" "," ","|",2))+1,FIND("|",SUBSTITUTE($H1417&amp;" "," ","|",3))-FIND("|",SUBSTITUTE($H1417&amp;" "," ","|",2))-1),""))</f>
        <v/>
      </c>
      <c r="E1417" s="58">
        <f>IF($H1417="","",IFERROR(MID($H1417&amp;" ",FIND("|",SUBSTITUTE($H1417&amp;" "," ","|",3))+1,FIND("|",SUBSTITUTE($H1417&amp;" "," ","|",4))-FIND("|",SUBSTITUTE($H1417&amp;" "," ","|",3))-1),""))</f>
        <v/>
      </c>
      <c r="F1417" s="59">
        <f>IF($H1417="","",IFERROR(VALUE(IFERROR(MID($H1417&amp;" ",FIND("|",SUBSTITUTE($H1417&amp;" "," ","|",4))+1,FIND("|",SUBSTITUTE($H1417&amp;" "," ","|",5))-FIND("|",SUBSTITUTE($H1417&amp;" "," ","|",4))-1),""))/86400+25569+9/24,""))</f>
        <v/>
      </c>
      <c r="G1417" s="58">
        <f>TRIM(SUBSTITUTE(SUBSTITUTE(SUBSTITUTE($A1417,CHAR(9)," ")," "," "),CHAR(13),""))</f>
        <v/>
      </c>
      <c r="H1417" s="58">
        <f>IF($G1417="","",IF(ISNUMBER(FIND(" ",$G1417)),$G1417,IFERROR(IF((LEN(SUBSTITUTE(SUBSTITUTE($G1417,"-"," ",LEN($G1417)-LEN(SUBSTITUTE($G1417,"-",""))),"-"," ",LEN($G1417)-LEN(SUBSTITUTE($G1417,"-",""))-1))-LEN(SUBSTITUTE(SUBSTITUTE(SUBSTITUTE($G1417,"-"," ",LEN($G1417)-LEN(SUBSTITUTE($G1417,"-",""))),"-"," ",LEN($G1417)-LEN(SUBSTITUTE($G1417,"-",""))-1),".","")))=0,SUBSTITUTE(SUBSTITUTE($G1417,"-"," ",LEN($G1417)-LEN(SUBSTITUTE($G1417,"-",""))),"-"," ",LEN($G1417)-LEN(SUBSTITUTE($G1417,"-",""))-1),SUBSTITUTE(SUBSTITUTE(SUBSTITUTE($G1417,"-"," ",LEN($G1417)-LEN(SUBSTITUTE($G1417,"-",""))),"-"," ",LEN($G1417)-LEN(SUBSTITUTE($G1417,"-",""))-1),"."," ",(LEN(SUBSTITUTE(SUBSTITUTE($G1417,"-"," ",LEN($G1417)-LEN(SUBSTITUTE($G1417,"-",""))),"-"," ",LEN($G1417)-LEN(SUBSTITUTE($G1417,"-",""))-1))-LEN(SUBSTITUTE(SUBSTITUTE(SUBSTITUTE($G1417,"-"," ",LEN($G1417)-LEN(SUBSTITUTE($G1417,"-",""))),"-"," ",LEN($G1417)-LEN(SUBSTITUTE($G1417,"-",""))-1),".",""))))),$G1417)))</f>
        <v/>
      </c>
    </row>
    <row r="1418">
      <c r="A1418" s="58" t="n"/>
      <c r="B1418" s="58">
        <f>IF($H1418="","",LEFT($H1418,FIND(" ",$H1418&amp;" ")-1))</f>
        <v/>
      </c>
      <c r="C1418" s="58">
        <f>IF($H1418="","",IFERROR(MID($H1418&amp;" ",FIND("|",SUBSTITUTE($H1418&amp;" "," ","|",1))+1,FIND("|",SUBSTITUTE($H1418&amp;" "," ","|",2))-FIND("|",SUBSTITUTE($H1418&amp;" "," ","|",1))-1),""))</f>
        <v/>
      </c>
      <c r="D1418" s="58">
        <f>IF($H1418="","",IFERROR(MID($H1418&amp;" ",FIND("|",SUBSTITUTE($H1418&amp;" "," ","|",2))+1,FIND("|",SUBSTITUTE($H1418&amp;" "," ","|",3))-FIND("|",SUBSTITUTE($H1418&amp;" "," ","|",2))-1),""))</f>
        <v/>
      </c>
      <c r="E1418" s="58">
        <f>IF($H1418="","",IFERROR(MID($H1418&amp;" ",FIND("|",SUBSTITUTE($H1418&amp;" "," ","|",3))+1,FIND("|",SUBSTITUTE($H1418&amp;" "," ","|",4))-FIND("|",SUBSTITUTE($H1418&amp;" "," ","|",3))-1),""))</f>
        <v/>
      </c>
      <c r="F1418" s="59">
        <f>IF($H1418="","",IFERROR(VALUE(IFERROR(MID($H1418&amp;" ",FIND("|",SUBSTITUTE($H1418&amp;" "," ","|",4))+1,FIND("|",SUBSTITUTE($H1418&amp;" "," ","|",5))-FIND("|",SUBSTITUTE($H1418&amp;" "," ","|",4))-1),""))/86400+25569+9/24,""))</f>
        <v/>
      </c>
      <c r="G1418" s="58">
        <f>TRIM(SUBSTITUTE(SUBSTITUTE(SUBSTITUTE($A1418,CHAR(9)," ")," "," "),CHAR(13),""))</f>
        <v/>
      </c>
      <c r="H1418" s="58">
        <f>IF($G1418="","",IF(ISNUMBER(FIND(" ",$G1418)),$G1418,IFERROR(IF((LEN(SUBSTITUTE(SUBSTITUTE($G1418,"-"," ",LEN($G1418)-LEN(SUBSTITUTE($G1418,"-",""))),"-"," ",LEN($G1418)-LEN(SUBSTITUTE($G1418,"-",""))-1))-LEN(SUBSTITUTE(SUBSTITUTE(SUBSTITUTE($G1418,"-"," ",LEN($G1418)-LEN(SUBSTITUTE($G1418,"-",""))),"-"," ",LEN($G1418)-LEN(SUBSTITUTE($G1418,"-",""))-1),".","")))=0,SUBSTITUTE(SUBSTITUTE($G1418,"-"," ",LEN($G1418)-LEN(SUBSTITUTE($G1418,"-",""))),"-"," ",LEN($G1418)-LEN(SUBSTITUTE($G1418,"-",""))-1),SUBSTITUTE(SUBSTITUTE(SUBSTITUTE($G1418,"-"," ",LEN($G1418)-LEN(SUBSTITUTE($G1418,"-",""))),"-"," ",LEN($G1418)-LEN(SUBSTITUTE($G1418,"-",""))-1),"."," ",(LEN(SUBSTITUTE(SUBSTITUTE($G1418,"-"," ",LEN($G1418)-LEN(SUBSTITUTE($G1418,"-",""))),"-"," ",LEN($G1418)-LEN(SUBSTITUTE($G1418,"-",""))-1))-LEN(SUBSTITUTE(SUBSTITUTE(SUBSTITUTE($G1418,"-"," ",LEN($G1418)-LEN(SUBSTITUTE($G1418,"-",""))),"-"," ",LEN($G1418)-LEN(SUBSTITUTE($G1418,"-",""))-1),".",""))))),$G1418)))</f>
        <v/>
      </c>
    </row>
    <row r="1419">
      <c r="A1419" s="58" t="n"/>
      <c r="B1419" s="58">
        <f>IF($H1419="","",LEFT($H1419,FIND(" ",$H1419&amp;" ")-1))</f>
        <v/>
      </c>
      <c r="C1419" s="58">
        <f>IF($H1419="","",IFERROR(MID($H1419&amp;" ",FIND("|",SUBSTITUTE($H1419&amp;" "," ","|",1))+1,FIND("|",SUBSTITUTE($H1419&amp;" "," ","|",2))-FIND("|",SUBSTITUTE($H1419&amp;" "," ","|",1))-1),""))</f>
        <v/>
      </c>
      <c r="D1419" s="58">
        <f>IF($H1419="","",IFERROR(MID($H1419&amp;" ",FIND("|",SUBSTITUTE($H1419&amp;" "," ","|",2))+1,FIND("|",SUBSTITUTE($H1419&amp;" "," ","|",3))-FIND("|",SUBSTITUTE($H1419&amp;" "," ","|",2))-1),""))</f>
        <v/>
      </c>
      <c r="E1419" s="58">
        <f>IF($H1419="","",IFERROR(MID($H1419&amp;" ",FIND("|",SUBSTITUTE($H1419&amp;" "," ","|",3))+1,FIND("|",SUBSTITUTE($H1419&amp;" "," ","|",4))-FIND("|",SUBSTITUTE($H1419&amp;" "," ","|",3))-1),""))</f>
        <v/>
      </c>
      <c r="F1419" s="59">
        <f>IF($H1419="","",IFERROR(VALUE(IFERROR(MID($H1419&amp;" ",FIND("|",SUBSTITUTE($H1419&amp;" "," ","|",4))+1,FIND("|",SUBSTITUTE($H1419&amp;" "," ","|",5))-FIND("|",SUBSTITUTE($H1419&amp;" "," ","|",4))-1),""))/86400+25569+9/24,""))</f>
        <v/>
      </c>
      <c r="G1419" s="58">
        <f>TRIM(SUBSTITUTE(SUBSTITUTE(SUBSTITUTE($A1419,CHAR(9)," ")," "," "),CHAR(13),""))</f>
        <v/>
      </c>
      <c r="H1419" s="58">
        <f>IF($G1419="","",IF(ISNUMBER(FIND(" ",$G1419)),$G1419,IFERROR(IF((LEN(SUBSTITUTE(SUBSTITUTE($G1419,"-"," ",LEN($G1419)-LEN(SUBSTITUTE($G1419,"-",""))),"-"," ",LEN($G1419)-LEN(SUBSTITUTE($G1419,"-",""))-1))-LEN(SUBSTITUTE(SUBSTITUTE(SUBSTITUTE($G1419,"-"," ",LEN($G1419)-LEN(SUBSTITUTE($G1419,"-",""))),"-"," ",LEN($G1419)-LEN(SUBSTITUTE($G1419,"-",""))-1),".","")))=0,SUBSTITUTE(SUBSTITUTE($G1419,"-"," ",LEN($G1419)-LEN(SUBSTITUTE($G1419,"-",""))),"-"," ",LEN($G1419)-LEN(SUBSTITUTE($G1419,"-",""))-1),SUBSTITUTE(SUBSTITUTE(SUBSTITUTE($G1419,"-"," ",LEN($G1419)-LEN(SUBSTITUTE($G1419,"-",""))),"-"," ",LEN($G1419)-LEN(SUBSTITUTE($G1419,"-",""))-1),"."," ",(LEN(SUBSTITUTE(SUBSTITUTE($G1419,"-"," ",LEN($G1419)-LEN(SUBSTITUTE($G1419,"-",""))),"-"," ",LEN($G1419)-LEN(SUBSTITUTE($G1419,"-",""))-1))-LEN(SUBSTITUTE(SUBSTITUTE(SUBSTITUTE($G1419,"-"," ",LEN($G1419)-LEN(SUBSTITUTE($G1419,"-",""))),"-"," ",LEN($G1419)-LEN(SUBSTITUTE($G1419,"-",""))-1),".",""))))),$G1419)))</f>
        <v/>
      </c>
    </row>
    <row r="1420">
      <c r="A1420" s="58" t="n"/>
      <c r="B1420" s="58">
        <f>IF($H1420="","",LEFT($H1420,FIND(" ",$H1420&amp;" ")-1))</f>
        <v/>
      </c>
      <c r="C1420" s="58">
        <f>IF($H1420="","",IFERROR(MID($H1420&amp;" ",FIND("|",SUBSTITUTE($H1420&amp;" "," ","|",1))+1,FIND("|",SUBSTITUTE($H1420&amp;" "," ","|",2))-FIND("|",SUBSTITUTE($H1420&amp;" "," ","|",1))-1),""))</f>
        <v/>
      </c>
      <c r="D1420" s="58">
        <f>IF($H1420="","",IFERROR(MID($H1420&amp;" ",FIND("|",SUBSTITUTE($H1420&amp;" "," ","|",2))+1,FIND("|",SUBSTITUTE($H1420&amp;" "," ","|",3))-FIND("|",SUBSTITUTE($H1420&amp;" "," ","|",2))-1),""))</f>
        <v/>
      </c>
      <c r="E1420" s="58">
        <f>IF($H1420="","",IFERROR(MID($H1420&amp;" ",FIND("|",SUBSTITUTE($H1420&amp;" "," ","|",3))+1,FIND("|",SUBSTITUTE($H1420&amp;" "," ","|",4))-FIND("|",SUBSTITUTE($H1420&amp;" "," ","|",3))-1),""))</f>
        <v/>
      </c>
      <c r="F1420" s="59">
        <f>IF($H1420="","",IFERROR(VALUE(IFERROR(MID($H1420&amp;" ",FIND("|",SUBSTITUTE($H1420&amp;" "," ","|",4))+1,FIND("|",SUBSTITUTE($H1420&amp;" "," ","|",5))-FIND("|",SUBSTITUTE($H1420&amp;" "," ","|",4))-1),""))/86400+25569+9/24,""))</f>
        <v/>
      </c>
      <c r="G1420" s="58">
        <f>TRIM(SUBSTITUTE(SUBSTITUTE(SUBSTITUTE($A1420,CHAR(9)," ")," "," "),CHAR(13),""))</f>
        <v/>
      </c>
      <c r="H1420" s="58">
        <f>IF($G1420="","",IF(ISNUMBER(FIND(" ",$G1420)),$G1420,IFERROR(IF((LEN(SUBSTITUTE(SUBSTITUTE($G1420,"-"," ",LEN($G1420)-LEN(SUBSTITUTE($G1420,"-",""))),"-"," ",LEN($G1420)-LEN(SUBSTITUTE($G1420,"-",""))-1))-LEN(SUBSTITUTE(SUBSTITUTE(SUBSTITUTE($G1420,"-"," ",LEN($G1420)-LEN(SUBSTITUTE($G1420,"-",""))),"-"," ",LEN($G1420)-LEN(SUBSTITUTE($G1420,"-",""))-1),".","")))=0,SUBSTITUTE(SUBSTITUTE($G1420,"-"," ",LEN($G1420)-LEN(SUBSTITUTE($G1420,"-",""))),"-"," ",LEN($G1420)-LEN(SUBSTITUTE($G1420,"-",""))-1),SUBSTITUTE(SUBSTITUTE(SUBSTITUTE($G1420,"-"," ",LEN($G1420)-LEN(SUBSTITUTE($G1420,"-",""))),"-"," ",LEN($G1420)-LEN(SUBSTITUTE($G1420,"-",""))-1),"."," ",(LEN(SUBSTITUTE(SUBSTITUTE($G1420,"-"," ",LEN($G1420)-LEN(SUBSTITUTE($G1420,"-",""))),"-"," ",LEN($G1420)-LEN(SUBSTITUTE($G1420,"-",""))-1))-LEN(SUBSTITUTE(SUBSTITUTE(SUBSTITUTE($G1420,"-"," ",LEN($G1420)-LEN(SUBSTITUTE($G1420,"-",""))),"-"," ",LEN($G1420)-LEN(SUBSTITUTE($G1420,"-",""))-1),".",""))))),$G1420)))</f>
        <v/>
      </c>
    </row>
    <row r="1421">
      <c r="A1421" s="58" t="n"/>
      <c r="B1421" s="58">
        <f>IF($H1421="","",LEFT($H1421,FIND(" ",$H1421&amp;" ")-1))</f>
        <v/>
      </c>
      <c r="C1421" s="58">
        <f>IF($H1421="","",IFERROR(MID($H1421&amp;" ",FIND("|",SUBSTITUTE($H1421&amp;" "," ","|",1))+1,FIND("|",SUBSTITUTE($H1421&amp;" "," ","|",2))-FIND("|",SUBSTITUTE($H1421&amp;" "," ","|",1))-1),""))</f>
        <v/>
      </c>
      <c r="D1421" s="58">
        <f>IF($H1421="","",IFERROR(MID($H1421&amp;" ",FIND("|",SUBSTITUTE($H1421&amp;" "," ","|",2))+1,FIND("|",SUBSTITUTE($H1421&amp;" "," ","|",3))-FIND("|",SUBSTITUTE($H1421&amp;" "," ","|",2))-1),""))</f>
        <v/>
      </c>
      <c r="E1421" s="58">
        <f>IF($H1421="","",IFERROR(MID($H1421&amp;" ",FIND("|",SUBSTITUTE($H1421&amp;" "," ","|",3))+1,FIND("|",SUBSTITUTE($H1421&amp;" "," ","|",4))-FIND("|",SUBSTITUTE($H1421&amp;" "," ","|",3))-1),""))</f>
        <v/>
      </c>
      <c r="F1421" s="59">
        <f>IF($H1421="","",IFERROR(VALUE(IFERROR(MID($H1421&amp;" ",FIND("|",SUBSTITUTE($H1421&amp;" "," ","|",4))+1,FIND("|",SUBSTITUTE($H1421&amp;" "," ","|",5))-FIND("|",SUBSTITUTE($H1421&amp;" "," ","|",4))-1),""))/86400+25569+9/24,""))</f>
        <v/>
      </c>
      <c r="G1421" s="58">
        <f>TRIM(SUBSTITUTE(SUBSTITUTE(SUBSTITUTE($A1421,CHAR(9)," ")," "," "),CHAR(13),""))</f>
        <v/>
      </c>
      <c r="H1421" s="58">
        <f>IF($G1421="","",IF(ISNUMBER(FIND(" ",$G1421)),$G1421,IFERROR(IF((LEN(SUBSTITUTE(SUBSTITUTE($G1421,"-"," ",LEN($G1421)-LEN(SUBSTITUTE($G1421,"-",""))),"-"," ",LEN($G1421)-LEN(SUBSTITUTE($G1421,"-",""))-1))-LEN(SUBSTITUTE(SUBSTITUTE(SUBSTITUTE($G1421,"-"," ",LEN($G1421)-LEN(SUBSTITUTE($G1421,"-",""))),"-"," ",LEN($G1421)-LEN(SUBSTITUTE($G1421,"-",""))-1),".","")))=0,SUBSTITUTE(SUBSTITUTE($G1421,"-"," ",LEN($G1421)-LEN(SUBSTITUTE($G1421,"-",""))),"-"," ",LEN($G1421)-LEN(SUBSTITUTE($G1421,"-",""))-1),SUBSTITUTE(SUBSTITUTE(SUBSTITUTE($G1421,"-"," ",LEN($G1421)-LEN(SUBSTITUTE($G1421,"-",""))),"-"," ",LEN($G1421)-LEN(SUBSTITUTE($G1421,"-",""))-1),"."," ",(LEN(SUBSTITUTE(SUBSTITUTE($G1421,"-"," ",LEN($G1421)-LEN(SUBSTITUTE($G1421,"-",""))),"-"," ",LEN($G1421)-LEN(SUBSTITUTE($G1421,"-",""))-1))-LEN(SUBSTITUTE(SUBSTITUTE(SUBSTITUTE($G1421,"-"," ",LEN($G1421)-LEN(SUBSTITUTE($G1421,"-",""))),"-"," ",LEN($G1421)-LEN(SUBSTITUTE($G1421,"-",""))-1),".",""))))),$G1421)))</f>
        <v/>
      </c>
    </row>
    <row r="1422">
      <c r="A1422" s="58" t="n"/>
      <c r="B1422" s="58">
        <f>IF($H1422="","",LEFT($H1422,FIND(" ",$H1422&amp;" ")-1))</f>
        <v/>
      </c>
      <c r="C1422" s="58">
        <f>IF($H1422="","",IFERROR(MID($H1422&amp;" ",FIND("|",SUBSTITUTE($H1422&amp;" "," ","|",1))+1,FIND("|",SUBSTITUTE($H1422&amp;" "," ","|",2))-FIND("|",SUBSTITUTE($H1422&amp;" "," ","|",1))-1),""))</f>
        <v/>
      </c>
      <c r="D1422" s="58">
        <f>IF($H1422="","",IFERROR(MID($H1422&amp;" ",FIND("|",SUBSTITUTE($H1422&amp;" "," ","|",2))+1,FIND("|",SUBSTITUTE($H1422&amp;" "," ","|",3))-FIND("|",SUBSTITUTE($H1422&amp;" "," ","|",2))-1),""))</f>
        <v/>
      </c>
      <c r="E1422" s="58">
        <f>IF($H1422="","",IFERROR(MID($H1422&amp;" ",FIND("|",SUBSTITUTE($H1422&amp;" "," ","|",3))+1,FIND("|",SUBSTITUTE($H1422&amp;" "," ","|",4))-FIND("|",SUBSTITUTE($H1422&amp;" "," ","|",3))-1),""))</f>
        <v/>
      </c>
      <c r="F1422" s="59">
        <f>IF($H1422="","",IFERROR(VALUE(IFERROR(MID($H1422&amp;" ",FIND("|",SUBSTITUTE($H1422&amp;" "," ","|",4))+1,FIND("|",SUBSTITUTE($H1422&amp;" "," ","|",5))-FIND("|",SUBSTITUTE($H1422&amp;" "," ","|",4))-1),""))/86400+25569+9/24,""))</f>
        <v/>
      </c>
      <c r="G1422" s="58">
        <f>TRIM(SUBSTITUTE(SUBSTITUTE(SUBSTITUTE($A1422,CHAR(9)," ")," "," "),CHAR(13),""))</f>
        <v/>
      </c>
      <c r="H1422" s="58">
        <f>IF($G1422="","",IF(ISNUMBER(FIND(" ",$G1422)),$G1422,IFERROR(IF((LEN(SUBSTITUTE(SUBSTITUTE($G1422,"-"," ",LEN($G1422)-LEN(SUBSTITUTE($G1422,"-",""))),"-"," ",LEN($G1422)-LEN(SUBSTITUTE($G1422,"-",""))-1))-LEN(SUBSTITUTE(SUBSTITUTE(SUBSTITUTE($G1422,"-"," ",LEN($G1422)-LEN(SUBSTITUTE($G1422,"-",""))),"-"," ",LEN($G1422)-LEN(SUBSTITUTE($G1422,"-",""))-1),".","")))=0,SUBSTITUTE(SUBSTITUTE($G1422,"-"," ",LEN($G1422)-LEN(SUBSTITUTE($G1422,"-",""))),"-"," ",LEN($G1422)-LEN(SUBSTITUTE($G1422,"-",""))-1),SUBSTITUTE(SUBSTITUTE(SUBSTITUTE($G1422,"-"," ",LEN($G1422)-LEN(SUBSTITUTE($G1422,"-",""))),"-"," ",LEN($G1422)-LEN(SUBSTITUTE($G1422,"-",""))-1),"."," ",(LEN(SUBSTITUTE(SUBSTITUTE($G1422,"-"," ",LEN($G1422)-LEN(SUBSTITUTE($G1422,"-",""))),"-"," ",LEN($G1422)-LEN(SUBSTITUTE($G1422,"-",""))-1))-LEN(SUBSTITUTE(SUBSTITUTE(SUBSTITUTE($G1422,"-"," ",LEN($G1422)-LEN(SUBSTITUTE($G1422,"-",""))),"-"," ",LEN($G1422)-LEN(SUBSTITUTE($G1422,"-",""))-1),".",""))))),$G1422)))</f>
        <v/>
      </c>
    </row>
    <row r="1423">
      <c r="A1423" s="58" t="n"/>
      <c r="B1423" s="58">
        <f>IF($H1423="","",LEFT($H1423,FIND(" ",$H1423&amp;" ")-1))</f>
        <v/>
      </c>
      <c r="C1423" s="58">
        <f>IF($H1423="","",IFERROR(MID($H1423&amp;" ",FIND("|",SUBSTITUTE($H1423&amp;" "," ","|",1))+1,FIND("|",SUBSTITUTE($H1423&amp;" "," ","|",2))-FIND("|",SUBSTITUTE($H1423&amp;" "," ","|",1))-1),""))</f>
        <v/>
      </c>
      <c r="D1423" s="58">
        <f>IF($H1423="","",IFERROR(MID($H1423&amp;" ",FIND("|",SUBSTITUTE($H1423&amp;" "," ","|",2))+1,FIND("|",SUBSTITUTE($H1423&amp;" "," ","|",3))-FIND("|",SUBSTITUTE($H1423&amp;" "," ","|",2))-1),""))</f>
        <v/>
      </c>
      <c r="E1423" s="58">
        <f>IF($H1423="","",IFERROR(MID($H1423&amp;" ",FIND("|",SUBSTITUTE($H1423&amp;" "," ","|",3))+1,FIND("|",SUBSTITUTE($H1423&amp;" "," ","|",4))-FIND("|",SUBSTITUTE($H1423&amp;" "," ","|",3))-1),""))</f>
        <v/>
      </c>
      <c r="F1423" s="59">
        <f>IF($H1423="","",IFERROR(VALUE(IFERROR(MID($H1423&amp;" ",FIND("|",SUBSTITUTE($H1423&amp;" "," ","|",4))+1,FIND("|",SUBSTITUTE($H1423&amp;" "," ","|",5))-FIND("|",SUBSTITUTE($H1423&amp;" "," ","|",4))-1),""))/86400+25569+9/24,""))</f>
        <v/>
      </c>
      <c r="G1423" s="58">
        <f>TRIM(SUBSTITUTE(SUBSTITUTE(SUBSTITUTE($A1423,CHAR(9)," ")," "," "),CHAR(13),""))</f>
        <v/>
      </c>
      <c r="H1423" s="58">
        <f>IF($G1423="","",IF(ISNUMBER(FIND(" ",$G1423)),$G1423,IFERROR(IF((LEN(SUBSTITUTE(SUBSTITUTE($G1423,"-"," ",LEN($G1423)-LEN(SUBSTITUTE($G1423,"-",""))),"-"," ",LEN($G1423)-LEN(SUBSTITUTE($G1423,"-",""))-1))-LEN(SUBSTITUTE(SUBSTITUTE(SUBSTITUTE($G1423,"-"," ",LEN($G1423)-LEN(SUBSTITUTE($G1423,"-",""))),"-"," ",LEN($G1423)-LEN(SUBSTITUTE($G1423,"-",""))-1),".","")))=0,SUBSTITUTE(SUBSTITUTE($G1423,"-"," ",LEN($G1423)-LEN(SUBSTITUTE($G1423,"-",""))),"-"," ",LEN($G1423)-LEN(SUBSTITUTE($G1423,"-",""))-1),SUBSTITUTE(SUBSTITUTE(SUBSTITUTE($G1423,"-"," ",LEN($G1423)-LEN(SUBSTITUTE($G1423,"-",""))),"-"," ",LEN($G1423)-LEN(SUBSTITUTE($G1423,"-",""))-1),"."," ",(LEN(SUBSTITUTE(SUBSTITUTE($G1423,"-"," ",LEN($G1423)-LEN(SUBSTITUTE($G1423,"-",""))),"-"," ",LEN($G1423)-LEN(SUBSTITUTE($G1423,"-",""))-1))-LEN(SUBSTITUTE(SUBSTITUTE(SUBSTITUTE($G1423,"-"," ",LEN($G1423)-LEN(SUBSTITUTE($G1423,"-",""))),"-"," ",LEN($G1423)-LEN(SUBSTITUTE($G1423,"-",""))-1),".",""))))),$G1423)))</f>
        <v/>
      </c>
    </row>
    <row r="1424">
      <c r="A1424" s="58" t="n"/>
      <c r="B1424" s="58">
        <f>IF($H1424="","",LEFT($H1424,FIND(" ",$H1424&amp;" ")-1))</f>
        <v/>
      </c>
      <c r="C1424" s="58">
        <f>IF($H1424="","",IFERROR(MID($H1424&amp;" ",FIND("|",SUBSTITUTE($H1424&amp;" "," ","|",1))+1,FIND("|",SUBSTITUTE($H1424&amp;" "," ","|",2))-FIND("|",SUBSTITUTE($H1424&amp;" "," ","|",1))-1),""))</f>
        <v/>
      </c>
      <c r="D1424" s="58">
        <f>IF($H1424="","",IFERROR(MID($H1424&amp;" ",FIND("|",SUBSTITUTE($H1424&amp;" "," ","|",2))+1,FIND("|",SUBSTITUTE($H1424&amp;" "," ","|",3))-FIND("|",SUBSTITUTE($H1424&amp;" "," ","|",2))-1),""))</f>
        <v/>
      </c>
      <c r="E1424" s="58">
        <f>IF($H1424="","",IFERROR(MID($H1424&amp;" ",FIND("|",SUBSTITUTE($H1424&amp;" "," ","|",3))+1,FIND("|",SUBSTITUTE($H1424&amp;" "," ","|",4))-FIND("|",SUBSTITUTE($H1424&amp;" "," ","|",3))-1),""))</f>
        <v/>
      </c>
      <c r="F1424" s="59">
        <f>IF($H1424="","",IFERROR(VALUE(IFERROR(MID($H1424&amp;" ",FIND("|",SUBSTITUTE($H1424&amp;" "," ","|",4))+1,FIND("|",SUBSTITUTE($H1424&amp;" "," ","|",5))-FIND("|",SUBSTITUTE($H1424&amp;" "," ","|",4))-1),""))/86400+25569+9/24,""))</f>
        <v/>
      </c>
      <c r="G1424" s="58">
        <f>TRIM(SUBSTITUTE(SUBSTITUTE(SUBSTITUTE($A1424,CHAR(9)," ")," "," "),CHAR(13),""))</f>
        <v/>
      </c>
      <c r="H1424" s="58">
        <f>IF($G1424="","",IF(ISNUMBER(FIND(" ",$G1424)),$G1424,IFERROR(IF((LEN(SUBSTITUTE(SUBSTITUTE($G1424,"-"," ",LEN($G1424)-LEN(SUBSTITUTE($G1424,"-",""))),"-"," ",LEN($G1424)-LEN(SUBSTITUTE($G1424,"-",""))-1))-LEN(SUBSTITUTE(SUBSTITUTE(SUBSTITUTE($G1424,"-"," ",LEN($G1424)-LEN(SUBSTITUTE($G1424,"-",""))),"-"," ",LEN($G1424)-LEN(SUBSTITUTE($G1424,"-",""))-1),".","")))=0,SUBSTITUTE(SUBSTITUTE($G1424,"-"," ",LEN($G1424)-LEN(SUBSTITUTE($G1424,"-",""))),"-"," ",LEN($G1424)-LEN(SUBSTITUTE($G1424,"-",""))-1),SUBSTITUTE(SUBSTITUTE(SUBSTITUTE($G1424,"-"," ",LEN($G1424)-LEN(SUBSTITUTE($G1424,"-",""))),"-"," ",LEN($G1424)-LEN(SUBSTITUTE($G1424,"-",""))-1),"."," ",(LEN(SUBSTITUTE(SUBSTITUTE($G1424,"-"," ",LEN($G1424)-LEN(SUBSTITUTE($G1424,"-",""))),"-"," ",LEN($G1424)-LEN(SUBSTITUTE($G1424,"-",""))-1))-LEN(SUBSTITUTE(SUBSTITUTE(SUBSTITUTE($G1424,"-"," ",LEN($G1424)-LEN(SUBSTITUTE($G1424,"-",""))),"-"," ",LEN($G1424)-LEN(SUBSTITUTE($G1424,"-",""))-1),".",""))))),$G1424)))</f>
        <v/>
      </c>
    </row>
    <row r="1425">
      <c r="A1425" s="58" t="n"/>
      <c r="B1425" s="58">
        <f>IF($H1425="","",LEFT($H1425,FIND(" ",$H1425&amp;" ")-1))</f>
        <v/>
      </c>
      <c r="C1425" s="58">
        <f>IF($H1425="","",IFERROR(MID($H1425&amp;" ",FIND("|",SUBSTITUTE($H1425&amp;" "," ","|",1))+1,FIND("|",SUBSTITUTE($H1425&amp;" "," ","|",2))-FIND("|",SUBSTITUTE($H1425&amp;" "," ","|",1))-1),""))</f>
        <v/>
      </c>
      <c r="D1425" s="58">
        <f>IF($H1425="","",IFERROR(MID($H1425&amp;" ",FIND("|",SUBSTITUTE($H1425&amp;" "," ","|",2))+1,FIND("|",SUBSTITUTE($H1425&amp;" "," ","|",3))-FIND("|",SUBSTITUTE($H1425&amp;" "," ","|",2))-1),""))</f>
        <v/>
      </c>
      <c r="E1425" s="58">
        <f>IF($H1425="","",IFERROR(MID($H1425&amp;" ",FIND("|",SUBSTITUTE($H1425&amp;" "," ","|",3))+1,FIND("|",SUBSTITUTE($H1425&amp;" "," ","|",4))-FIND("|",SUBSTITUTE($H1425&amp;" "," ","|",3))-1),""))</f>
        <v/>
      </c>
      <c r="F1425" s="59">
        <f>IF($H1425="","",IFERROR(VALUE(IFERROR(MID($H1425&amp;" ",FIND("|",SUBSTITUTE($H1425&amp;" "," ","|",4))+1,FIND("|",SUBSTITUTE($H1425&amp;" "," ","|",5))-FIND("|",SUBSTITUTE($H1425&amp;" "," ","|",4))-1),""))/86400+25569+9/24,""))</f>
        <v/>
      </c>
      <c r="G1425" s="58">
        <f>TRIM(SUBSTITUTE(SUBSTITUTE(SUBSTITUTE($A1425,CHAR(9)," ")," "," "),CHAR(13),""))</f>
        <v/>
      </c>
      <c r="H1425" s="58">
        <f>IF($G1425="","",IF(ISNUMBER(FIND(" ",$G1425)),$G1425,IFERROR(IF((LEN(SUBSTITUTE(SUBSTITUTE($G1425,"-"," ",LEN($G1425)-LEN(SUBSTITUTE($G1425,"-",""))),"-"," ",LEN($G1425)-LEN(SUBSTITUTE($G1425,"-",""))-1))-LEN(SUBSTITUTE(SUBSTITUTE(SUBSTITUTE($G1425,"-"," ",LEN($G1425)-LEN(SUBSTITUTE($G1425,"-",""))),"-"," ",LEN($G1425)-LEN(SUBSTITUTE($G1425,"-",""))-1),".","")))=0,SUBSTITUTE(SUBSTITUTE($G1425,"-"," ",LEN($G1425)-LEN(SUBSTITUTE($G1425,"-",""))),"-"," ",LEN($G1425)-LEN(SUBSTITUTE($G1425,"-",""))-1),SUBSTITUTE(SUBSTITUTE(SUBSTITUTE($G1425,"-"," ",LEN($G1425)-LEN(SUBSTITUTE($G1425,"-",""))),"-"," ",LEN($G1425)-LEN(SUBSTITUTE($G1425,"-",""))-1),"."," ",(LEN(SUBSTITUTE(SUBSTITUTE($G1425,"-"," ",LEN($G1425)-LEN(SUBSTITUTE($G1425,"-",""))),"-"," ",LEN($G1425)-LEN(SUBSTITUTE($G1425,"-",""))-1))-LEN(SUBSTITUTE(SUBSTITUTE(SUBSTITUTE($G1425,"-"," ",LEN($G1425)-LEN(SUBSTITUTE($G1425,"-",""))),"-"," ",LEN($G1425)-LEN(SUBSTITUTE($G1425,"-",""))-1),".",""))))),$G1425)))</f>
        <v/>
      </c>
    </row>
    <row r="1426">
      <c r="A1426" s="58" t="n"/>
      <c r="B1426" s="58">
        <f>IF($H1426="","",LEFT($H1426,FIND(" ",$H1426&amp;" ")-1))</f>
        <v/>
      </c>
      <c r="C1426" s="58">
        <f>IF($H1426="","",IFERROR(MID($H1426&amp;" ",FIND("|",SUBSTITUTE($H1426&amp;" "," ","|",1))+1,FIND("|",SUBSTITUTE($H1426&amp;" "," ","|",2))-FIND("|",SUBSTITUTE($H1426&amp;" "," ","|",1))-1),""))</f>
        <v/>
      </c>
      <c r="D1426" s="58">
        <f>IF($H1426="","",IFERROR(MID($H1426&amp;" ",FIND("|",SUBSTITUTE($H1426&amp;" "," ","|",2))+1,FIND("|",SUBSTITUTE($H1426&amp;" "," ","|",3))-FIND("|",SUBSTITUTE($H1426&amp;" "," ","|",2))-1),""))</f>
        <v/>
      </c>
      <c r="E1426" s="58">
        <f>IF($H1426="","",IFERROR(MID($H1426&amp;" ",FIND("|",SUBSTITUTE($H1426&amp;" "," ","|",3))+1,FIND("|",SUBSTITUTE($H1426&amp;" "," ","|",4))-FIND("|",SUBSTITUTE($H1426&amp;" "," ","|",3))-1),""))</f>
        <v/>
      </c>
      <c r="F1426" s="59">
        <f>IF($H1426="","",IFERROR(VALUE(IFERROR(MID($H1426&amp;" ",FIND("|",SUBSTITUTE($H1426&amp;" "," ","|",4))+1,FIND("|",SUBSTITUTE($H1426&amp;" "," ","|",5))-FIND("|",SUBSTITUTE($H1426&amp;" "," ","|",4))-1),""))/86400+25569+9/24,""))</f>
        <v/>
      </c>
      <c r="G1426" s="58">
        <f>TRIM(SUBSTITUTE(SUBSTITUTE(SUBSTITUTE($A1426,CHAR(9)," ")," "," "),CHAR(13),""))</f>
        <v/>
      </c>
      <c r="H1426" s="58">
        <f>IF($G1426="","",IF(ISNUMBER(FIND(" ",$G1426)),$G1426,IFERROR(IF((LEN(SUBSTITUTE(SUBSTITUTE($G1426,"-"," ",LEN($G1426)-LEN(SUBSTITUTE($G1426,"-",""))),"-"," ",LEN($G1426)-LEN(SUBSTITUTE($G1426,"-",""))-1))-LEN(SUBSTITUTE(SUBSTITUTE(SUBSTITUTE($G1426,"-"," ",LEN($G1426)-LEN(SUBSTITUTE($G1426,"-",""))),"-"," ",LEN($G1426)-LEN(SUBSTITUTE($G1426,"-",""))-1),".","")))=0,SUBSTITUTE(SUBSTITUTE($G1426,"-"," ",LEN($G1426)-LEN(SUBSTITUTE($G1426,"-",""))),"-"," ",LEN($G1426)-LEN(SUBSTITUTE($G1426,"-",""))-1),SUBSTITUTE(SUBSTITUTE(SUBSTITUTE($G1426,"-"," ",LEN($G1426)-LEN(SUBSTITUTE($G1426,"-",""))),"-"," ",LEN($G1426)-LEN(SUBSTITUTE($G1426,"-",""))-1),"."," ",(LEN(SUBSTITUTE(SUBSTITUTE($G1426,"-"," ",LEN($G1426)-LEN(SUBSTITUTE($G1426,"-",""))),"-"," ",LEN($G1426)-LEN(SUBSTITUTE($G1426,"-",""))-1))-LEN(SUBSTITUTE(SUBSTITUTE(SUBSTITUTE($G1426,"-"," ",LEN($G1426)-LEN(SUBSTITUTE($G1426,"-",""))),"-"," ",LEN($G1426)-LEN(SUBSTITUTE($G1426,"-",""))-1),".",""))))),$G1426)))</f>
        <v/>
      </c>
    </row>
    <row r="1427">
      <c r="A1427" s="58" t="n"/>
      <c r="B1427" s="58">
        <f>IF($H1427="","",LEFT($H1427,FIND(" ",$H1427&amp;" ")-1))</f>
        <v/>
      </c>
      <c r="C1427" s="58">
        <f>IF($H1427="","",IFERROR(MID($H1427&amp;" ",FIND("|",SUBSTITUTE($H1427&amp;" "," ","|",1))+1,FIND("|",SUBSTITUTE($H1427&amp;" "," ","|",2))-FIND("|",SUBSTITUTE($H1427&amp;" "," ","|",1))-1),""))</f>
        <v/>
      </c>
      <c r="D1427" s="58">
        <f>IF($H1427="","",IFERROR(MID($H1427&amp;" ",FIND("|",SUBSTITUTE($H1427&amp;" "," ","|",2))+1,FIND("|",SUBSTITUTE($H1427&amp;" "," ","|",3))-FIND("|",SUBSTITUTE($H1427&amp;" "," ","|",2))-1),""))</f>
        <v/>
      </c>
      <c r="E1427" s="58">
        <f>IF($H1427="","",IFERROR(MID($H1427&amp;" ",FIND("|",SUBSTITUTE($H1427&amp;" "," ","|",3))+1,FIND("|",SUBSTITUTE($H1427&amp;" "," ","|",4))-FIND("|",SUBSTITUTE($H1427&amp;" "," ","|",3))-1),""))</f>
        <v/>
      </c>
      <c r="F1427" s="59">
        <f>IF($H1427="","",IFERROR(VALUE(IFERROR(MID($H1427&amp;" ",FIND("|",SUBSTITUTE($H1427&amp;" "," ","|",4))+1,FIND("|",SUBSTITUTE($H1427&amp;" "," ","|",5))-FIND("|",SUBSTITUTE($H1427&amp;" "," ","|",4))-1),""))/86400+25569+9/24,""))</f>
        <v/>
      </c>
      <c r="G1427" s="58">
        <f>TRIM(SUBSTITUTE(SUBSTITUTE(SUBSTITUTE($A1427,CHAR(9)," ")," "," "),CHAR(13),""))</f>
        <v/>
      </c>
      <c r="H1427" s="58">
        <f>IF($G1427="","",IF(ISNUMBER(FIND(" ",$G1427)),$G1427,IFERROR(IF((LEN(SUBSTITUTE(SUBSTITUTE($G1427,"-"," ",LEN($G1427)-LEN(SUBSTITUTE($G1427,"-",""))),"-"," ",LEN($G1427)-LEN(SUBSTITUTE($G1427,"-",""))-1))-LEN(SUBSTITUTE(SUBSTITUTE(SUBSTITUTE($G1427,"-"," ",LEN($G1427)-LEN(SUBSTITUTE($G1427,"-",""))),"-"," ",LEN($G1427)-LEN(SUBSTITUTE($G1427,"-",""))-1),".","")))=0,SUBSTITUTE(SUBSTITUTE($G1427,"-"," ",LEN($G1427)-LEN(SUBSTITUTE($G1427,"-",""))),"-"," ",LEN($G1427)-LEN(SUBSTITUTE($G1427,"-",""))-1),SUBSTITUTE(SUBSTITUTE(SUBSTITUTE($G1427,"-"," ",LEN($G1427)-LEN(SUBSTITUTE($G1427,"-",""))),"-"," ",LEN($G1427)-LEN(SUBSTITUTE($G1427,"-",""))-1),"."," ",(LEN(SUBSTITUTE(SUBSTITUTE($G1427,"-"," ",LEN($G1427)-LEN(SUBSTITUTE($G1427,"-",""))),"-"," ",LEN($G1427)-LEN(SUBSTITUTE($G1427,"-",""))-1))-LEN(SUBSTITUTE(SUBSTITUTE(SUBSTITUTE($G1427,"-"," ",LEN($G1427)-LEN(SUBSTITUTE($G1427,"-",""))),"-"," ",LEN($G1427)-LEN(SUBSTITUTE($G1427,"-",""))-1),".",""))))),$G1427)))</f>
        <v/>
      </c>
    </row>
    <row r="1428">
      <c r="A1428" s="58" t="n"/>
      <c r="B1428" s="58">
        <f>IF($H1428="","",LEFT($H1428,FIND(" ",$H1428&amp;" ")-1))</f>
        <v/>
      </c>
      <c r="C1428" s="58">
        <f>IF($H1428="","",IFERROR(MID($H1428&amp;" ",FIND("|",SUBSTITUTE($H1428&amp;" "," ","|",1))+1,FIND("|",SUBSTITUTE($H1428&amp;" "," ","|",2))-FIND("|",SUBSTITUTE($H1428&amp;" "," ","|",1))-1),""))</f>
        <v/>
      </c>
      <c r="D1428" s="58">
        <f>IF($H1428="","",IFERROR(MID($H1428&amp;" ",FIND("|",SUBSTITUTE($H1428&amp;" "," ","|",2))+1,FIND("|",SUBSTITUTE($H1428&amp;" "," ","|",3))-FIND("|",SUBSTITUTE($H1428&amp;" "," ","|",2))-1),""))</f>
        <v/>
      </c>
      <c r="E1428" s="58">
        <f>IF($H1428="","",IFERROR(MID($H1428&amp;" ",FIND("|",SUBSTITUTE($H1428&amp;" "," ","|",3))+1,FIND("|",SUBSTITUTE($H1428&amp;" "," ","|",4))-FIND("|",SUBSTITUTE($H1428&amp;" "," ","|",3))-1),""))</f>
        <v/>
      </c>
      <c r="F1428" s="59">
        <f>IF($H1428="","",IFERROR(VALUE(IFERROR(MID($H1428&amp;" ",FIND("|",SUBSTITUTE($H1428&amp;" "," ","|",4))+1,FIND("|",SUBSTITUTE($H1428&amp;" "," ","|",5))-FIND("|",SUBSTITUTE($H1428&amp;" "," ","|",4))-1),""))/86400+25569+9/24,""))</f>
        <v/>
      </c>
      <c r="G1428" s="58">
        <f>TRIM(SUBSTITUTE(SUBSTITUTE(SUBSTITUTE($A1428,CHAR(9)," ")," "," "),CHAR(13),""))</f>
        <v/>
      </c>
      <c r="H1428" s="58">
        <f>IF($G1428="","",IF(ISNUMBER(FIND(" ",$G1428)),$G1428,IFERROR(IF((LEN(SUBSTITUTE(SUBSTITUTE($G1428,"-"," ",LEN($G1428)-LEN(SUBSTITUTE($G1428,"-",""))),"-"," ",LEN($G1428)-LEN(SUBSTITUTE($G1428,"-",""))-1))-LEN(SUBSTITUTE(SUBSTITUTE(SUBSTITUTE($G1428,"-"," ",LEN($G1428)-LEN(SUBSTITUTE($G1428,"-",""))),"-"," ",LEN($G1428)-LEN(SUBSTITUTE($G1428,"-",""))-1),".","")))=0,SUBSTITUTE(SUBSTITUTE($G1428,"-"," ",LEN($G1428)-LEN(SUBSTITUTE($G1428,"-",""))),"-"," ",LEN($G1428)-LEN(SUBSTITUTE($G1428,"-",""))-1),SUBSTITUTE(SUBSTITUTE(SUBSTITUTE($G1428,"-"," ",LEN($G1428)-LEN(SUBSTITUTE($G1428,"-",""))),"-"," ",LEN($G1428)-LEN(SUBSTITUTE($G1428,"-",""))-1),"."," ",(LEN(SUBSTITUTE(SUBSTITUTE($G1428,"-"," ",LEN($G1428)-LEN(SUBSTITUTE($G1428,"-",""))),"-"," ",LEN($G1428)-LEN(SUBSTITUTE($G1428,"-",""))-1))-LEN(SUBSTITUTE(SUBSTITUTE(SUBSTITUTE($G1428,"-"," ",LEN($G1428)-LEN(SUBSTITUTE($G1428,"-",""))),"-"," ",LEN($G1428)-LEN(SUBSTITUTE($G1428,"-",""))-1),".",""))))),$G1428)))</f>
        <v/>
      </c>
    </row>
    <row r="1429">
      <c r="A1429" s="58" t="n"/>
      <c r="B1429" s="58">
        <f>IF($H1429="","",LEFT($H1429,FIND(" ",$H1429&amp;" ")-1))</f>
        <v/>
      </c>
      <c r="C1429" s="58">
        <f>IF($H1429="","",IFERROR(MID($H1429&amp;" ",FIND("|",SUBSTITUTE($H1429&amp;" "," ","|",1))+1,FIND("|",SUBSTITUTE($H1429&amp;" "," ","|",2))-FIND("|",SUBSTITUTE($H1429&amp;" "," ","|",1))-1),""))</f>
        <v/>
      </c>
      <c r="D1429" s="58">
        <f>IF($H1429="","",IFERROR(MID($H1429&amp;" ",FIND("|",SUBSTITUTE($H1429&amp;" "," ","|",2))+1,FIND("|",SUBSTITUTE($H1429&amp;" "," ","|",3))-FIND("|",SUBSTITUTE($H1429&amp;" "," ","|",2))-1),""))</f>
        <v/>
      </c>
      <c r="E1429" s="58">
        <f>IF($H1429="","",IFERROR(MID($H1429&amp;" ",FIND("|",SUBSTITUTE($H1429&amp;" "," ","|",3))+1,FIND("|",SUBSTITUTE($H1429&amp;" "," ","|",4))-FIND("|",SUBSTITUTE($H1429&amp;" "," ","|",3))-1),""))</f>
        <v/>
      </c>
      <c r="F1429" s="59">
        <f>IF($H1429="","",IFERROR(VALUE(IFERROR(MID($H1429&amp;" ",FIND("|",SUBSTITUTE($H1429&amp;" "," ","|",4))+1,FIND("|",SUBSTITUTE($H1429&amp;" "," ","|",5))-FIND("|",SUBSTITUTE($H1429&amp;" "," ","|",4))-1),""))/86400+25569+9/24,""))</f>
        <v/>
      </c>
      <c r="G1429" s="58">
        <f>TRIM(SUBSTITUTE(SUBSTITUTE(SUBSTITUTE($A1429,CHAR(9)," ")," "," "),CHAR(13),""))</f>
        <v/>
      </c>
      <c r="H1429" s="58">
        <f>IF($G1429="","",IF(ISNUMBER(FIND(" ",$G1429)),$G1429,IFERROR(IF((LEN(SUBSTITUTE(SUBSTITUTE($G1429,"-"," ",LEN($G1429)-LEN(SUBSTITUTE($G1429,"-",""))),"-"," ",LEN($G1429)-LEN(SUBSTITUTE($G1429,"-",""))-1))-LEN(SUBSTITUTE(SUBSTITUTE(SUBSTITUTE($G1429,"-"," ",LEN($G1429)-LEN(SUBSTITUTE($G1429,"-",""))),"-"," ",LEN($G1429)-LEN(SUBSTITUTE($G1429,"-",""))-1),".","")))=0,SUBSTITUTE(SUBSTITUTE($G1429,"-"," ",LEN($G1429)-LEN(SUBSTITUTE($G1429,"-",""))),"-"," ",LEN($G1429)-LEN(SUBSTITUTE($G1429,"-",""))-1),SUBSTITUTE(SUBSTITUTE(SUBSTITUTE($G1429,"-"," ",LEN($G1429)-LEN(SUBSTITUTE($G1429,"-",""))),"-"," ",LEN($G1429)-LEN(SUBSTITUTE($G1429,"-",""))-1),"."," ",(LEN(SUBSTITUTE(SUBSTITUTE($G1429,"-"," ",LEN($G1429)-LEN(SUBSTITUTE($G1429,"-",""))),"-"," ",LEN($G1429)-LEN(SUBSTITUTE($G1429,"-",""))-1))-LEN(SUBSTITUTE(SUBSTITUTE(SUBSTITUTE($G1429,"-"," ",LEN($G1429)-LEN(SUBSTITUTE($G1429,"-",""))),"-"," ",LEN($G1429)-LEN(SUBSTITUTE($G1429,"-",""))-1),".",""))))),$G1429)))</f>
        <v/>
      </c>
    </row>
    <row r="1430">
      <c r="A1430" s="58" t="n"/>
      <c r="B1430" s="58">
        <f>IF($H1430="","",LEFT($H1430,FIND(" ",$H1430&amp;" ")-1))</f>
        <v/>
      </c>
      <c r="C1430" s="58">
        <f>IF($H1430="","",IFERROR(MID($H1430&amp;" ",FIND("|",SUBSTITUTE($H1430&amp;" "," ","|",1))+1,FIND("|",SUBSTITUTE($H1430&amp;" "," ","|",2))-FIND("|",SUBSTITUTE($H1430&amp;" "," ","|",1))-1),""))</f>
        <v/>
      </c>
      <c r="D1430" s="58">
        <f>IF($H1430="","",IFERROR(MID($H1430&amp;" ",FIND("|",SUBSTITUTE($H1430&amp;" "," ","|",2))+1,FIND("|",SUBSTITUTE($H1430&amp;" "," ","|",3))-FIND("|",SUBSTITUTE($H1430&amp;" "," ","|",2))-1),""))</f>
        <v/>
      </c>
      <c r="E1430" s="58">
        <f>IF($H1430="","",IFERROR(MID($H1430&amp;" ",FIND("|",SUBSTITUTE($H1430&amp;" "," ","|",3))+1,FIND("|",SUBSTITUTE($H1430&amp;" "," ","|",4))-FIND("|",SUBSTITUTE($H1430&amp;" "," ","|",3))-1),""))</f>
        <v/>
      </c>
      <c r="F1430" s="59">
        <f>IF($H1430="","",IFERROR(VALUE(IFERROR(MID($H1430&amp;" ",FIND("|",SUBSTITUTE($H1430&amp;" "," ","|",4))+1,FIND("|",SUBSTITUTE($H1430&amp;" "," ","|",5))-FIND("|",SUBSTITUTE($H1430&amp;" "," ","|",4))-1),""))/86400+25569+9/24,""))</f>
        <v/>
      </c>
      <c r="G1430" s="58">
        <f>TRIM(SUBSTITUTE(SUBSTITUTE(SUBSTITUTE($A1430,CHAR(9)," ")," "," "),CHAR(13),""))</f>
        <v/>
      </c>
      <c r="H1430" s="58">
        <f>IF($G1430="","",IF(ISNUMBER(FIND(" ",$G1430)),$G1430,IFERROR(IF((LEN(SUBSTITUTE(SUBSTITUTE($G1430,"-"," ",LEN($G1430)-LEN(SUBSTITUTE($G1430,"-",""))),"-"," ",LEN($G1430)-LEN(SUBSTITUTE($G1430,"-",""))-1))-LEN(SUBSTITUTE(SUBSTITUTE(SUBSTITUTE($G1430,"-"," ",LEN($G1430)-LEN(SUBSTITUTE($G1430,"-",""))),"-"," ",LEN($G1430)-LEN(SUBSTITUTE($G1430,"-",""))-1),".","")))=0,SUBSTITUTE(SUBSTITUTE($G1430,"-"," ",LEN($G1430)-LEN(SUBSTITUTE($G1430,"-",""))),"-"," ",LEN($G1430)-LEN(SUBSTITUTE($G1430,"-",""))-1),SUBSTITUTE(SUBSTITUTE(SUBSTITUTE($G1430,"-"," ",LEN($G1430)-LEN(SUBSTITUTE($G1430,"-",""))),"-"," ",LEN($G1430)-LEN(SUBSTITUTE($G1430,"-",""))-1),"."," ",(LEN(SUBSTITUTE(SUBSTITUTE($G1430,"-"," ",LEN($G1430)-LEN(SUBSTITUTE($G1430,"-",""))),"-"," ",LEN($G1430)-LEN(SUBSTITUTE($G1430,"-",""))-1))-LEN(SUBSTITUTE(SUBSTITUTE(SUBSTITUTE($G1430,"-"," ",LEN($G1430)-LEN(SUBSTITUTE($G1430,"-",""))),"-"," ",LEN($G1430)-LEN(SUBSTITUTE($G1430,"-",""))-1),".",""))))),$G1430)))</f>
        <v/>
      </c>
    </row>
    <row r="1431">
      <c r="A1431" s="58" t="n"/>
      <c r="B1431" s="58">
        <f>IF($H1431="","",LEFT($H1431,FIND(" ",$H1431&amp;" ")-1))</f>
        <v/>
      </c>
      <c r="C1431" s="58">
        <f>IF($H1431="","",IFERROR(MID($H1431&amp;" ",FIND("|",SUBSTITUTE($H1431&amp;" "," ","|",1))+1,FIND("|",SUBSTITUTE($H1431&amp;" "," ","|",2))-FIND("|",SUBSTITUTE($H1431&amp;" "," ","|",1))-1),""))</f>
        <v/>
      </c>
      <c r="D1431" s="58">
        <f>IF($H1431="","",IFERROR(MID($H1431&amp;" ",FIND("|",SUBSTITUTE($H1431&amp;" "," ","|",2))+1,FIND("|",SUBSTITUTE($H1431&amp;" "," ","|",3))-FIND("|",SUBSTITUTE($H1431&amp;" "," ","|",2))-1),""))</f>
        <v/>
      </c>
      <c r="E1431" s="58">
        <f>IF($H1431="","",IFERROR(MID($H1431&amp;" ",FIND("|",SUBSTITUTE($H1431&amp;" "," ","|",3))+1,FIND("|",SUBSTITUTE($H1431&amp;" "," ","|",4))-FIND("|",SUBSTITUTE($H1431&amp;" "," ","|",3))-1),""))</f>
        <v/>
      </c>
      <c r="F1431" s="59">
        <f>IF($H1431="","",IFERROR(VALUE(IFERROR(MID($H1431&amp;" ",FIND("|",SUBSTITUTE($H1431&amp;" "," ","|",4))+1,FIND("|",SUBSTITUTE($H1431&amp;" "," ","|",5))-FIND("|",SUBSTITUTE($H1431&amp;" "," ","|",4))-1),""))/86400+25569+9/24,""))</f>
        <v/>
      </c>
      <c r="G1431" s="58">
        <f>TRIM(SUBSTITUTE(SUBSTITUTE(SUBSTITUTE($A1431,CHAR(9)," ")," "," "),CHAR(13),""))</f>
        <v/>
      </c>
      <c r="H1431" s="58">
        <f>IF($G1431="","",IF(ISNUMBER(FIND(" ",$G1431)),$G1431,IFERROR(IF((LEN(SUBSTITUTE(SUBSTITUTE($G1431,"-"," ",LEN($G1431)-LEN(SUBSTITUTE($G1431,"-",""))),"-"," ",LEN($G1431)-LEN(SUBSTITUTE($G1431,"-",""))-1))-LEN(SUBSTITUTE(SUBSTITUTE(SUBSTITUTE($G1431,"-"," ",LEN($G1431)-LEN(SUBSTITUTE($G1431,"-",""))),"-"," ",LEN($G1431)-LEN(SUBSTITUTE($G1431,"-",""))-1),".","")))=0,SUBSTITUTE(SUBSTITUTE($G1431,"-"," ",LEN($G1431)-LEN(SUBSTITUTE($G1431,"-",""))),"-"," ",LEN($G1431)-LEN(SUBSTITUTE($G1431,"-",""))-1),SUBSTITUTE(SUBSTITUTE(SUBSTITUTE($G1431,"-"," ",LEN($G1431)-LEN(SUBSTITUTE($G1431,"-",""))),"-"," ",LEN($G1431)-LEN(SUBSTITUTE($G1431,"-",""))-1),"."," ",(LEN(SUBSTITUTE(SUBSTITUTE($G1431,"-"," ",LEN($G1431)-LEN(SUBSTITUTE($G1431,"-",""))),"-"," ",LEN($G1431)-LEN(SUBSTITUTE($G1431,"-",""))-1))-LEN(SUBSTITUTE(SUBSTITUTE(SUBSTITUTE($G1431,"-"," ",LEN($G1431)-LEN(SUBSTITUTE($G1431,"-",""))),"-"," ",LEN($G1431)-LEN(SUBSTITUTE($G1431,"-",""))-1),".",""))))),$G1431)))</f>
        <v/>
      </c>
    </row>
    <row r="1432">
      <c r="A1432" s="58" t="n"/>
      <c r="B1432" s="58">
        <f>IF($H1432="","",LEFT($H1432,FIND(" ",$H1432&amp;" ")-1))</f>
        <v/>
      </c>
      <c r="C1432" s="58">
        <f>IF($H1432="","",IFERROR(MID($H1432&amp;" ",FIND("|",SUBSTITUTE($H1432&amp;" "," ","|",1))+1,FIND("|",SUBSTITUTE($H1432&amp;" "," ","|",2))-FIND("|",SUBSTITUTE($H1432&amp;" "," ","|",1))-1),""))</f>
        <v/>
      </c>
      <c r="D1432" s="58">
        <f>IF($H1432="","",IFERROR(MID($H1432&amp;" ",FIND("|",SUBSTITUTE($H1432&amp;" "," ","|",2))+1,FIND("|",SUBSTITUTE($H1432&amp;" "," ","|",3))-FIND("|",SUBSTITUTE($H1432&amp;" "," ","|",2))-1),""))</f>
        <v/>
      </c>
      <c r="E1432" s="58">
        <f>IF($H1432="","",IFERROR(MID($H1432&amp;" ",FIND("|",SUBSTITUTE($H1432&amp;" "," ","|",3))+1,FIND("|",SUBSTITUTE($H1432&amp;" "," ","|",4))-FIND("|",SUBSTITUTE($H1432&amp;" "," ","|",3))-1),""))</f>
        <v/>
      </c>
      <c r="F1432" s="59">
        <f>IF($H1432="","",IFERROR(VALUE(IFERROR(MID($H1432&amp;" ",FIND("|",SUBSTITUTE($H1432&amp;" "," ","|",4))+1,FIND("|",SUBSTITUTE($H1432&amp;" "," ","|",5))-FIND("|",SUBSTITUTE($H1432&amp;" "," ","|",4))-1),""))/86400+25569+9/24,""))</f>
        <v/>
      </c>
      <c r="G1432" s="58">
        <f>TRIM(SUBSTITUTE(SUBSTITUTE(SUBSTITUTE($A1432,CHAR(9)," ")," "," "),CHAR(13),""))</f>
        <v/>
      </c>
      <c r="H1432" s="58">
        <f>IF($G1432="","",IF(ISNUMBER(FIND(" ",$G1432)),$G1432,IFERROR(IF((LEN(SUBSTITUTE(SUBSTITUTE($G1432,"-"," ",LEN($G1432)-LEN(SUBSTITUTE($G1432,"-",""))),"-"," ",LEN($G1432)-LEN(SUBSTITUTE($G1432,"-",""))-1))-LEN(SUBSTITUTE(SUBSTITUTE(SUBSTITUTE($G1432,"-"," ",LEN($G1432)-LEN(SUBSTITUTE($G1432,"-",""))),"-"," ",LEN($G1432)-LEN(SUBSTITUTE($G1432,"-",""))-1),".","")))=0,SUBSTITUTE(SUBSTITUTE($G1432,"-"," ",LEN($G1432)-LEN(SUBSTITUTE($G1432,"-",""))),"-"," ",LEN($G1432)-LEN(SUBSTITUTE($G1432,"-",""))-1),SUBSTITUTE(SUBSTITUTE(SUBSTITUTE($G1432,"-"," ",LEN($G1432)-LEN(SUBSTITUTE($G1432,"-",""))),"-"," ",LEN($G1432)-LEN(SUBSTITUTE($G1432,"-",""))-1),"."," ",(LEN(SUBSTITUTE(SUBSTITUTE($G1432,"-"," ",LEN($G1432)-LEN(SUBSTITUTE($G1432,"-",""))),"-"," ",LEN($G1432)-LEN(SUBSTITUTE($G1432,"-",""))-1))-LEN(SUBSTITUTE(SUBSTITUTE(SUBSTITUTE($G1432,"-"," ",LEN($G1432)-LEN(SUBSTITUTE($G1432,"-",""))),"-"," ",LEN($G1432)-LEN(SUBSTITUTE($G1432,"-",""))-1),".",""))))),$G1432)))</f>
        <v/>
      </c>
    </row>
    <row r="1433">
      <c r="A1433" s="58" t="n"/>
      <c r="B1433" s="58">
        <f>IF($H1433="","",LEFT($H1433,FIND(" ",$H1433&amp;" ")-1))</f>
        <v/>
      </c>
      <c r="C1433" s="58">
        <f>IF($H1433="","",IFERROR(MID($H1433&amp;" ",FIND("|",SUBSTITUTE($H1433&amp;" "," ","|",1))+1,FIND("|",SUBSTITUTE($H1433&amp;" "," ","|",2))-FIND("|",SUBSTITUTE($H1433&amp;" "," ","|",1))-1),""))</f>
        <v/>
      </c>
      <c r="D1433" s="58">
        <f>IF($H1433="","",IFERROR(MID($H1433&amp;" ",FIND("|",SUBSTITUTE($H1433&amp;" "," ","|",2))+1,FIND("|",SUBSTITUTE($H1433&amp;" "," ","|",3))-FIND("|",SUBSTITUTE($H1433&amp;" "," ","|",2))-1),""))</f>
        <v/>
      </c>
      <c r="E1433" s="58">
        <f>IF($H1433="","",IFERROR(MID($H1433&amp;" ",FIND("|",SUBSTITUTE($H1433&amp;" "," ","|",3))+1,FIND("|",SUBSTITUTE($H1433&amp;" "," ","|",4))-FIND("|",SUBSTITUTE($H1433&amp;" "," ","|",3))-1),""))</f>
        <v/>
      </c>
      <c r="F1433" s="59">
        <f>IF($H1433="","",IFERROR(VALUE(IFERROR(MID($H1433&amp;" ",FIND("|",SUBSTITUTE($H1433&amp;" "," ","|",4))+1,FIND("|",SUBSTITUTE($H1433&amp;" "," ","|",5))-FIND("|",SUBSTITUTE($H1433&amp;" "," ","|",4))-1),""))/86400+25569+9/24,""))</f>
        <v/>
      </c>
      <c r="G1433" s="58">
        <f>TRIM(SUBSTITUTE(SUBSTITUTE(SUBSTITUTE($A1433,CHAR(9)," ")," "," "),CHAR(13),""))</f>
        <v/>
      </c>
      <c r="H1433" s="58">
        <f>IF($G1433="","",IF(ISNUMBER(FIND(" ",$G1433)),$G1433,IFERROR(IF((LEN(SUBSTITUTE(SUBSTITUTE($G1433,"-"," ",LEN($G1433)-LEN(SUBSTITUTE($G1433,"-",""))),"-"," ",LEN($G1433)-LEN(SUBSTITUTE($G1433,"-",""))-1))-LEN(SUBSTITUTE(SUBSTITUTE(SUBSTITUTE($G1433,"-"," ",LEN($G1433)-LEN(SUBSTITUTE($G1433,"-",""))),"-"," ",LEN($G1433)-LEN(SUBSTITUTE($G1433,"-",""))-1),".","")))=0,SUBSTITUTE(SUBSTITUTE($G1433,"-"," ",LEN($G1433)-LEN(SUBSTITUTE($G1433,"-",""))),"-"," ",LEN($G1433)-LEN(SUBSTITUTE($G1433,"-",""))-1),SUBSTITUTE(SUBSTITUTE(SUBSTITUTE($G1433,"-"," ",LEN($G1433)-LEN(SUBSTITUTE($G1433,"-",""))),"-"," ",LEN($G1433)-LEN(SUBSTITUTE($G1433,"-",""))-1),"."," ",(LEN(SUBSTITUTE(SUBSTITUTE($G1433,"-"," ",LEN($G1433)-LEN(SUBSTITUTE($G1433,"-",""))),"-"," ",LEN($G1433)-LEN(SUBSTITUTE($G1433,"-",""))-1))-LEN(SUBSTITUTE(SUBSTITUTE(SUBSTITUTE($G1433,"-"," ",LEN($G1433)-LEN(SUBSTITUTE($G1433,"-",""))),"-"," ",LEN($G1433)-LEN(SUBSTITUTE($G1433,"-",""))-1),".",""))))),$G1433)))</f>
        <v/>
      </c>
    </row>
    <row r="1434">
      <c r="A1434" s="58" t="n"/>
      <c r="B1434" s="58">
        <f>IF($H1434="","",LEFT($H1434,FIND(" ",$H1434&amp;" ")-1))</f>
        <v/>
      </c>
      <c r="C1434" s="58">
        <f>IF($H1434="","",IFERROR(MID($H1434&amp;" ",FIND("|",SUBSTITUTE($H1434&amp;" "," ","|",1))+1,FIND("|",SUBSTITUTE($H1434&amp;" "," ","|",2))-FIND("|",SUBSTITUTE($H1434&amp;" "," ","|",1))-1),""))</f>
        <v/>
      </c>
      <c r="D1434" s="58">
        <f>IF($H1434="","",IFERROR(MID($H1434&amp;" ",FIND("|",SUBSTITUTE($H1434&amp;" "," ","|",2))+1,FIND("|",SUBSTITUTE($H1434&amp;" "," ","|",3))-FIND("|",SUBSTITUTE($H1434&amp;" "," ","|",2))-1),""))</f>
        <v/>
      </c>
      <c r="E1434" s="58">
        <f>IF($H1434="","",IFERROR(MID($H1434&amp;" ",FIND("|",SUBSTITUTE($H1434&amp;" "," ","|",3))+1,FIND("|",SUBSTITUTE($H1434&amp;" "," ","|",4))-FIND("|",SUBSTITUTE($H1434&amp;" "," ","|",3))-1),""))</f>
        <v/>
      </c>
      <c r="F1434" s="59">
        <f>IF($H1434="","",IFERROR(VALUE(IFERROR(MID($H1434&amp;" ",FIND("|",SUBSTITUTE($H1434&amp;" "," ","|",4))+1,FIND("|",SUBSTITUTE($H1434&amp;" "," ","|",5))-FIND("|",SUBSTITUTE($H1434&amp;" "," ","|",4))-1),""))/86400+25569+9/24,""))</f>
        <v/>
      </c>
      <c r="G1434" s="58">
        <f>TRIM(SUBSTITUTE(SUBSTITUTE(SUBSTITUTE($A1434,CHAR(9)," ")," "," "),CHAR(13),""))</f>
        <v/>
      </c>
      <c r="H1434" s="58">
        <f>IF($G1434="","",IF(ISNUMBER(FIND(" ",$G1434)),$G1434,IFERROR(IF((LEN(SUBSTITUTE(SUBSTITUTE($G1434,"-"," ",LEN($G1434)-LEN(SUBSTITUTE($G1434,"-",""))),"-"," ",LEN($G1434)-LEN(SUBSTITUTE($G1434,"-",""))-1))-LEN(SUBSTITUTE(SUBSTITUTE(SUBSTITUTE($G1434,"-"," ",LEN($G1434)-LEN(SUBSTITUTE($G1434,"-",""))),"-"," ",LEN($G1434)-LEN(SUBSTITUTE($G1434,"-",""))-1),".","")))=0,SUBSTITUTE(SUBSTITUTE($G1434,"-"," ",LEN($G1434)-LEN(SUBSTITUTE($G1434,"-",""))),"-"," ",LEN($G1434)-LEN(SUBSTITUTE($G1434,"-",""))-1),SUBSTITUTE(SUBSTITUTE(SUBSTITUTE($G1434,"-"," ",LEN($G1434)-LEN(SUBSTITUTE($G1434,"-",""))),"-"," ",LEN($G1434)-LEN(SUBSTITUTE($G1434,"-",""))-1),"."," ",(LEN(SUBSTITUTE(SUBSTITUTE($G1434,"-"," ",LEN($G1434)-LEN(SUBSTITUTE($G1434,"-",""))),"-"," ",LEN($G1434)-LEN(SUBSTITUTE($G1434,"-",""))-1))-LEN(SUBSTITUTE(SUBSTITUTE(SUBSTITUTE($G1434,"-"," ",LEN($G1434)-LEN(SUBSTITUTE($G1434,"-",""))),"-"," ",LEN($G1434)-LEN(SUBSTITUTE($G1434,"-",""))-1),".",""))))),$G1434)))</f>
        <v/>
      </c>
    </row>
    <row r="1435">
      <c r="A1435" s="58" t="n"/>
      <c r="B1435" s="58">
        <f>IF($H1435="","",LEFT($H1435,FIND(" ",$H1435&amp;" ")-1))</f>
        <v/>
      </c>
      <c r="C1435" s="58">
        <f>IF($H1435="","",IFERROR(MID($H1435&amp;" ",FIND("|",SUBSTITUTE($H1435&amp;" "," ","|",1))+1,FIND("|",SUBSTITUTE($H1435&amp;" "," ","|",2))-FIND("|",SUBSTITUTE($H1435&amp;" "," ","|",1))-1),""))</f>
        <v/>
      </c>
      <c r="D1435" s="58">
        <f>IF($H1435="","",IFERROR(MID($H1435&amp;" ",FIND("|",SUBSTITUTE($H1435&amp;" "," ","|",2))+1,FIND("|",SUBSTITUTE($H1435&amp;" "," ","|",3))-FIND("|",SUBSTITUTE($H1435&amp;" "," ","|",2))-1),""))</f>
        <v/>
      </c>
      <c r="E1435" s="58">
        <f>IF($H1435="","",IFERROR(MID($H1435&amp;" ",FIND("|",SUBSTITUTE($H1435&amp;" "," ","|",3))+1,FIND("|",SUBSTITUTE($H1435&amp;" "," ","|",4))-FIND("|",SUBSTITUTE($H1435&amp;" "," ","|",3))-1),""))</f>
        <v/>
      </c>
      <c r="F1435" s="59">
        <f>IF($H1435="","",IFERROR(VALUE(IFERROR(MID($H1435&amp;" ",FIND("|",SUBSTITUTE($H1435&amp;" "," ","|",4))+1,FIND("|",SUBSTITUTE($H1435&amp;" "," ","|",5))-FIND("|",SUBSTITUTE($H1435&amp;" "," ","|",4))-1),""))/86400+25569+9/24,""))</f>
        <v/>
      </c>
      <c r="G1435" s="58">
        <f>TRIM(SUBSTITUTE(SUBSTITUTE(SUBSTITUTE($A1435,CHAR(9)," ")," "," "),CHAR(13),""))</f>
        <v/>
      </c>
      <c r="H1435" s="58">
        <f>IF($G1435="","",IF(ISNUMBER(FIND(" ",$G1435)),$G1435,IFERROR(IF((LEN(SUBSTITUTE(SUBSTITUTE($G1435,"-"," ",LEN($G1435)-LEN(SUBSTITUTE($G1435,"-",""))),"-"," ",LEN($G1435)-LEN(SUBSTITUTE($G1435,"-",""))-1))-LEN(SUBSTITUTE(SUBSTITUTE(SUBSTITUTE($G1435,"-"," ",LEN($G1435)-LEN(SUBSTITUTE($G1435,"-",""))),"-"," ",LEN($G1435)-LEN(SUBSTITUTE($G1435,"-",""))-1),".","")))=0,SUBSTITUTE(SUBSTITUTE($G1435,"-"," ",LEN($G1435)-LEN(SUBSTITUTE($G1435,"-",""))),"-"," ",LEN($G1435)-LEN(SUBSTITUTE($G1435,"-",""))-1),SUBSTITUTE(SUBSTITUTE(SUBSTITUTE($G1435,"-"," ",LEN($G1435)-LEN(SUBSTITUTE($G1435,"-",""))),"-"," ",LEN($G1435)-LEN(SUBSTITUTE($G1435,"-",""))-1),"."," ",(LEN(SUBSTITUTE(SUBSTITUTE($G1435,"-"," ",LEN($G1435)-LEN(SUBSTITUTE($G1435,"-",""))),"-"," ",LEN($G1435)-LEN(SUBSTITUTE($G1435,"-",""))-1))-LEN(SUBSTITUTE(SUBSTITUTE(SUBSTITUTE($G1435,"-"," ",LEN($G1435)-LEN(SUBSTITUTE($G1435,"-",""))),"-"," ",LEN($G1435)-LEN(SUBSTITUTE($G1435,"-",""))-1),".",""))))),$G1435)))</f>
        <v/>
      </c>
    </row>
    <row r="1436">
      <c r="A1436" s="58" t="n"/>
      <c r="B1436" s="58">
        <f>IF($H1436="","",LEFT($H1436,FIND(" ",$H1436&amp;" ")-1))</f>
        <v/>
      </c>
      <c r="C1436" s="58">
        <f>IF($H1436="","",IFERROR(MID($H1436&amp;" ",FIND("|",SUBSTITUTE($H1436&amp;" "," ","|",1))+1,FIND("|",SUBSTITUTE($H1436&amp;" "," ","|",2))-FIND("|",SUBSTITUTE($H1436&amp;" "," ","|",1))-1),""))</f>
        <v/>
      </c>
      <c r="D1436" s="58">
        <f>IF($H1436="","",IFERROR(MID($H1436&amp;" ",FIND("|",SUBSTITUTE($H1436&amp;" "," ","|",2))+1,FIND("|",SUBSTITUTE($H1436&amp;" "," ","|",3))-FIND("|",SUBSTITUTE($H1436&amp;" "," ","|",2))-1),""))</f>
        <v/>
      </c>
      <c r="E1436" s="58">
        <f>IF($H1436="","",IFERROR(MID($H1436&amp;" ",FIND("|",SUBSTITUTE($H1436&amp;" "," ","|",3))+1,FIND("|",SUBSTITUTE($H1436&amp;" "," ","|",4))-FIND("|",SUBSTITUTE($H1436&amp;" "," ","|",3))-1),""))</f>
        <v/>
      </c>
      <c r="F1436" s="59">
        <f>IF($H1436="","",IFERROR(VALUE(IFERROR(MID($H1436&amp;" ",FIND("|",SUBSTITUTE($H1436&amp;" "," ","|",4))+1,FIND("|",SUBSTITUTE($H1436&amp;" "," ","|",5))-FIND("|",SUBSTITUTE($H1436&amp;" "," ","|",4))-1),""))/86400+25569+9/24,""))</f>
        <v/>
      </c>
      <c r="G1436" s="58">
        <f>TRIM(SUBSTITUTE(SUBSTITUTE(SUBSTITUTE($A1436,CHAR(9)," ")," "," "),CHAR(13),""))</f>
        <v/>
      </c>
      <c r="H1436" s="58">
        <f>IF($G1436="","",IF(ISNUMBER(FIND(" ",$G1436)),$G1436,IFERROR(IF((LEN(SUBSTITUTE(SUBSTITUTE($G1436,"-"," ",LEN($G1436)-LEN(SUBSTITUTE($G1436,"-",""))),"-"," ",LEN($G1436)-LEN(SUBSTITUTE($G1436,"-",""))-1))-LEN(SUBSTITUTE(SUBSTITUTE(SUBSTITUTE($G1436,"-"," ",LEN($G1436)-LEN(SUBSTITUTE($G1436,"-",""))),"-"," ",LEN($G1436)-LEN(SUBSTITUTE($G1436,"-",""))-1),".","")))=0,SUBSTITUTE(SUBSTITUTE($G1436,"-"," ",LEN($G1436)-LEN(SUBSTITUTE($G1436,"-",""))),"-"," ",LEN($G1436)-LEN(SUBSTITUTE($G1436,"-",""))-1),SUBSTITUTE(SUBSTITUTE(SUBSTITUTE($G1436,"-"," ",LEN($G1436)-LEN(SUBSTITUTE($G1436,"-",""))),"-"," ",LEN($G1436)-LEN(SUBSTITUTE($G1436,"-",""))-1),"."," ",(LEN(SUBSTITUTE(SUBSTITUTE($G1436,"-"," ",LEN($G1436)-LEN(SUBSTITUTE($G1436,"-",""))),"-"," ",LEN($G1436)-LEN(SUBSTITUTE($G1436,"-",""))-1))-LEN(SUBSTITUTE(SUBSTITUTE(SUBSTITUTE($G1436,"-"," ",LEN($G1436)-LEN(SUBSTITUTE($G1436,"-",""))),"-"," ",LEN($G1436)-LEN(SUBSTITUTE($G1436,"-",""))-1),".",""))))),$G1436)))</f>
        <v/>
      </c>
    </row>
    <row r="1437">
      <c r="A1437" s="58" t="n"/>
      <c r="B1437" s="58">
        <f>IF($H1437="","",LEFT($H1437,FIND(" ",$H1437&amp;" ")-1))</f>
        <v/>
      </c>
      <c r="C1437" s="58">
        <f>IF($H1437="","",IFERROR(MID($H1437&amp;" ",FIND("|",SUBSTITUTE($H1437&amp;" "," ","|",1))+1,FIND("|",SUBSTITUTE($H1437&amp;" "," ","|",2))-FIND("|",SUBSTITUTE($H1437&amp;" "," ","|",1))-1),""))</f>
        <v/>
      </c>
      <c r="D1437" s="58">
        <f>IF($H1437="","",IFERROR(MID($H1437&amp;" ",FIND("|",SUBSTITUTE($H1437&amp;" "," ","|",2))+1,FIND("|",SUBSTITUTE($H1437&amp;" "," ","|",3))-FIND("|",SUBSTITUTE($H1437&amp;" "," ","|",2))-1),""))</f>
        <v/>
      </c>
      <c r="E1437" s="58">
        <f>IF($H1437="","",IFERROR(MID($H1437&amp;" ",FIND("|",SUBSTITUTE($H1437&amp;" "," ","|",3))+1,FIND("|",SUBSTITUTE($H1437&amp;" "," ","|",4))-FIND("|",SUBSTITUTE($H1437&amp;" "," ","|",3))-1),""))</f>
        <v/>
      </c>
      <c r="F1437" s="59">
        <f>IF($H1437="","",IFERROR(VALUE(IFERROR(MID($H1437&amp;" ",FIND("|",SUBSTITUTE($H1437&amp;" "," ","|",4))+1,FIND("|",SUBSTITUTE($H1437&amp;" "," ","|",5))-FIND("|",SUBSTITUTE($H1437&amp;" "," ","|",4))-1),""))/86400+25569+9/24,""))</f>
        <v/>
      </c>
      <c r="G1437" s="58">
        <f>TRIM(SUBSTITUTE(SUBSTITUTE(SUBSTITUTE($A1437,CHAR(9)," ")," "," "),CHAR(13),""))</f>
        <v/>
      </c>
      <c r="H1437" s="58">
        <f>IF($G1437="","",IF(ISNUMBER(FIND(" ",$G1437)),$G1437,IFERROR(IF((LEN(SUBSTITUTE(SUBSTITUTE($G1437,"-"," ",LEN($G1437)-LEN(SUBSTITUTE($G1437,"-",""))),"-"," ",LEN($G1437)-LEN(SUBSTITUTE($G1437,"-",""))-1))-LEN(SUBSTITUTE(SUBSTITUTE(SUBSTITUTE($G1437,"-"," ",LEN($G1437)-LEN(SUBSTITUTE($G1437,"-",""))),"-"," ",LEN($G1437)-LEN(SUBSTITUTE($G1437,"-",""))-1),".","")))=0,SUBSTITUTE(SUBSTITUTE($G1437,"-"," ",LEN($G1437)-LEN(SUBSTITUTE($G1437,"-",""))),"-"," ",LEN($G1437)-LEN(SUBSTITUTE($G1437,"-",""))-1),SUBSTITUTE(SUBSTITUTE(SUBSTITUTE($G1437,"-"," ",LEN($G1437)-LEN(SUBSTITUTE($G1437,"-",""))),"-"," ",LEN($G1437)-LEN(SUBSTITUTE($G1437,"-",""))-1),"."," ",(LEN(SUBSTITUTE(SUBSTITUTE($G1437,"-"," ",LEN($G1437)-LEN(SUBSTITUTE($G1437,"-",""))),"-"," ",LEN($G1437)-LEN(SUBSTITUTE($G1437,"-",""))-1))-LEN(SUBSTITUTE(SUBSTITUTE(SUBSTITUTE($G1437,"-"," ",LEN($G1437)-LEN(SUBSTITUTE($G1437,"-",""))),"-"," ",LEN($G1437)-LEN(SUBSTITUTE($G1437,"-",""))-1),".",""))))),$G1437)))</f>
        <v/>
      </c>
    </row>
    <row r="1438">
      <c r="A1438" s="58" t="n"/>
      <c r="B1438" s="58">
        <f>IF($H1438="","",LEFT($H1438,FIND(" ",$H1438&amp;" ")-1))</f>
        <v/>
      </c>
      <c r="C1438" s="58">
        <f>IF($H1438="","",IFERROR(MID($H1438&amp;" ",FIND("|",SUBSTITUTE($H1438&amp;" "," ","|",1))+1,FIND("|",SUBSTITUTE($H1438&amp;" "," ","|",2))-FIND("|",SUBSTITUTE($H1438&amp;" "," ","|",1))-1),""))</f>
        <v/>
      </c>
      <c r="D1438" s="58">
        <f>IF($H1438="","",IFERROR(MID($H1438&amp;" ",FIND("|",SUBSTITUTE($H1438&amp;" "," ","|",2))+1,FIND("|",SUBSTITUTE($H1438&amp;" "," ","|",3))-FIND("|",SUBSTITUTE($H1438&amp;" "," ","|",2))-1),""))</f>
        <v/>
      </c>
      <c r="E1438" s="58">
        <f>IF($H1438="","",IFERROR(MID($H1438&amp;" ",FIND("|",SUBSTITUTE($H1438&amp;" "," ","|",3))+1,FIND("|",SUBSTITUTE($H1438&amp;" "," ","|",4))-FIND("|",SUBSTITUTE($H1438&amp;" "," ","|",3))-1),""))</f>
        <v/>
      </c>
      <c r="F1438" s="59">
        <f>IF($H1438="","",IFERROR(VALUE(IFERROR(MID($H1438&amp;" ",FIND("|",SUBSTITUTE($H1438&amp;" "," ","|",4))+1,FIND("|",SUBSTITUTE($H1438&amp;" "," ","|",5))-FIND("|",SUBSTITUTE($H1438&amp;" "," ","|",4))-1),""))/86400+25569+9/24,""))</f>
        <v/>
      </c>
      <c r="G1438" s="58">
        <f>TRIM(SUBSTITUTE(SUBSTITUTE(SUBSTITUTE($A1438,CHAR(9)," ")," "," "),CHAR(13),""))</f>
        <v/>
      </c>
      <c r="H1438" s="58">
        <f>IF($G1438="","",IF(ISNUMBER(FIND(" ",$G1438)),$G1438,IFERROR(IF((LEN(SUBSTITUTE(SUBSTITUTE($G1438,"-"," ",LEN($G1438)-LEN(SUBSTITUTE($G1438,"-",""))),"-"," ",LEN($G1438)-LEN(SUBSTITUTE($G1438,"-",""))-1))-LEN(SUBSTITUTE(SUBSTITUTE(SUBSTITUTE($G1438,"-"," ",LEN($G1438)-LEN(SUBSTITUTE($G1438,"-",""))),"-"," ",LEN($G1438)-LEN(SUBSTITUTE($G1438,"-",""))-1),".","")))=0,SUBSTITUTE(SUBSTITUTE($G1438,"-"," ",LEN($G1438)-LEN(SUBSTITUTE($G1438,"-",""))),"-"," ",LEN($G1438)-LEN(SUBSTITUTE($G1438,"-",""))-1),SUBSTITUTE(SUBSTITUTE(SUBSTITUTE($G1438,"-"," ",LEN($G1438)-LEN(SUBSTITUTE($G1438,"-",""))),"-"," ",LEN($G1438)-LEN(SUBSTITUTE($G1438,"-",""))-1),"."," ",(LEN(SUBSTITUTE(SUBSTITUTE($G1438,"-"," ",LEN($G1438)-LEN(SUBSTITUTE($G1438,"-",""))),"-"," ",LEN($G1438)-LEN(SUBSTITUTE($G1438,"-",""))-1))-LEN(SUBSTITUTE(SUBSTITUTE(SUBSTITUTE($G1438,"-"," ",LEN($G1438)-LEN(SUBSTITUTE($G1438,"-",""))),"-"," ",LEN($G1438)-LEN(SUBSTITUTE($G1438,"-",""))-1),".",""))))),$G1438)))</f>
        <v/>
      </c>
    </row>
    <row r="1439">
      <c r="A1439" s="58" t="n"/>
      <c r="B1439" s="58">
        <f>IF($H1439="","",LEFT($H1439,FIND(" ",$H1439&amp;" ")-1))</f>
        <v/>
      </c>
      <c r="C1439" s="58">
        <f>IF($H1439="","",IFERROR(MID($H1439&amp;" ",FIND("|",SUBSTITUTE($H1439&amp;" "," ","|",1))+1,FIND("|",SUBSTITUTE($H1439&amp;" "," ","|",2))-FIND("|",SUBSTITUTE($H1439&amp;" "," ","|",1))-1),""))</f>
        <v/>
      </c>
      <c r="D1439" s="58">
        <f>IF($H1439="","",IFERROR(MID($H1439&amp;" ",FIND("|",SUBSTITUTE($H1439&amp;" "," ","|",2))+1,FIND("|",SUBSTITUTE($H1439&amp;" "," ","|",3))-FIND("|",SUBSTITUTE($H1439&amp;" "," ","|",2))-1),""))</f>
        <v/>
      </c>
      <c r="E1439" s="58">
        <f>IF($H1439="","",IFERROR(MID($H1439&amp;" ",FIND("|",SUBSTITUTE($H1439&amp;" "," ","|",3))+1,FIND("|",SUBSTITUTE($H1439&amp;" "," ","|",4))-FIND("|",SUBSTITUTE($H1439&amp;" "," ","|",3))-1),""))</f>
        <v/>
      </c>
      <c r="F1439" s="59">
        <f>IF($H1439="","",IFERROR(VALUE(IFERROR(MID($H1439&amp;" ",FIND("|",SUBSTITUTE($H1439&amp;" "," ","|",4))+1,FIND("|",SUBSTITUTE($H1439&amp;" "," ","|",5))-FIND("|",SUBSTITUTE($H1439&amp;" "," ","|",4))-1),""))/86400+25569+9/24,""))</f>
        <v/>
      </c>
      <c r="G1439" s="58">
        <f>TRIM(SUBSTITUTE(SUBSTITUTE(SUBSTITUTE($A1439,CHAR(9)," ")," "," "),CHAR(13),""))</f>
        <v/>
      </c>
      <c r="H1439" s="58">
        <f>IF($G1439="","",IF(ISNUMBER(FIND(" ",$G1439)),$G1439,IFERROR(IF((LEN(SUBSTITUTE(SUBSTITUTE($G1439,"-"," ",LEN($G1439)-LEN(SUBSTITUTE($G1439,"-",""))),"-"," ",LEN($G1439)-LEN(SUBSTITUTE($G1439,"-",""))-1))-LEN(SUBSTITUTE(SUBSTITUTE(SUBSTITUTE($G1439,"-"," ",LEN($G1439)-LEN(SUBSTITUTE($G1439,"-",""))),"-"," ",LEN($G1439)-LEN(SUBSTITUTE($G1439,"-",""))-1),".","")))=0,SUBSTITUTE(SUBSTITUTE($G1439,"-"," ",LEN($G1439)-LEN(SUBSTITUTE($G1439,"-",""))),"-"," ",LEN($G1439)-LEN(SUBSTITUTE($G1439,"-",""))-1),SUBSTITUTE(SUBSTITUTE(SUBSTITUTE($G1439,"-"," ",LEN($G1439)-LEN(SUBSTITUTE($G1439,"-",""))),"-"," ",LEN($G1439)-LEN(SUBSTITUTE($G1439,"-",""))-1),"."," ",(LEN(SUBSTITUTE(SUBSTITUTE($G1439,"-"," ",LEN($G1439)-LEN(SUBSTITUTE($G1439,"-",""))),"-"," ",LEN($G1439)-LEN(SUBSTITUTE($G1439,"-",""))-1))-LEN(SUBSTITUTE(SUBSTITUTE(SUBSTITUTE($G1439,"-"," ",LEN($G1439)-LEN(SUBSTITUTE($G1439,"-",""))),"-"," ",LEN($G1439)-LEN(SUBSTITUTE($G1439,"-",""))-1),".",""))))),$G1439)))</f>
        <v/>
      </c>
    </row>
    <row r="1440">
      <c r="A1440" s="58" t="n"/>
      <c r="B1440" s="58">
        <f>IF($H1440="","",LEFT($H1440,FIND(" ",$H1440&amp;" ")-1))</f>
        <v/>
      </c>
      <c r="C1440" s="58">
        <f>IF($H1440="","",IFERROR(MID($H1440&amp;" ",FIND("|",SUBSTITUTE($H1440&amp;" "," ","|",1))+1,FIND("|",SUBSTITUTE($H1440&amp;" "," ","|",2))-FIND("|",SUBSTITUTE($H1440&amp;" "," ","|",1))-1),""))</f>
        <v/>
      </c>
      <c r="D1440" s="58">
        <f>IF($H1440="","",IFERROR(MID($H1440&amp;" ",FIND("|",SUBSTITUTE($H1440&amp;" "," ","|",2))+1,FIND("|",SUBSTITUTE($H1440&amp;" "," ","|",3))-FIND("|",SUBSTITUTE($H1440&amp;" "," ","|",2))-1),""))</f>
        <v/>
      </c>
      <c r="E1440" s="58">
        <f>IF($H1440="","",IFERROR(MID($H1440&amp;" ",FIND("|",SUBSTITUTE($H1440&amp;" "," ","|",3))+1,FIND("|",SUBSTITUTE($H1440&amp;" "," ","|",4))-FIND("|",SUBSTITUTE($H1440&amp;" "," ","|",3))-1),""))</f>
        <v/>
      </c>
      <c r="F1440" s="59">
        <f>IF($H1440="","",IFERROR(VALUE(IFERROR(MID($H1440&amp;" ",FIND("|",SUBSTITUTE($H1440&amp;" "," ","|",4))+1,FIND("|",SUBSTITUTE($H1440&amp;" "," ","|",5))-FIND("|",SUBSTITUTE($H1440&amp;" "," ","|",4))-1),""))/86400+25569+9/24,""))</f>
        <v/>
      </c>
      <c r="G1440" s="58">
        <f>TRIM(SUBSTITUTE(SUBSTITUTE(SUBSTITUTE($A1440,CHAR(9)," ")," "," "),CHAR(13),""))</f>
        <v/>
      </c>
      <c r="H1440" s="58">
        <f>IF($G1440="","",IF(ISNUMBER(FIND(" ",$G1440)),$G1440,IFERROR(IF((LEN(SUBSTITUTE(SUBSTITUTE($G1440,"-"," ",LEN($G1440)-LEN(SUBSTITUTE($G1440,"-",""))),"-"," ",LEN($G1440)-LEN(SUBSTITUTE($G1440,"-",""))-1))-LEN(SUBSTITUTE(SUBSTITUTE(SUBSTITUTE($G1440,"-"," ",LEN($G1440)-LEN(SUBSTITUTE($G1440,"-",""))),"-"," ",LEN($G1440)-LEN(SUBSTITUTE($G1440,"-",""))-1),".","")))=0,SUBSTITUTE(SUBSTITUTE($G1440,"-"," ",LEN($G1440)-LEN(SUBSTITUTE($G1440,"-",""))),"-"," ",LEN($G1440)-LEN(SUBSTITUTE($G1440,"-",""))-1),SUBSTITUTE(SUBSTITUTE(SUBSTITUTE($G1440,"-"," ",LEN($G1440)-LEN(SUBSTITUTE($G1440,"-",""))),"-"," ",LEN($G1440)-LEN(SUBSTITUTE($G1440,"-",""))-1),"."," ",(LEN(SUBSTITUTE(SUBSTITUTE($G1440,"-"," ",LEN($G1440)-LEN(SUBSTITUTE($G1440,"-",""))),"-"," ",LEN($G1440)-LEN(SUBSTITUTE($G1440,"-",""))-1))-LEN(SUBSTITUTE(SUBSTITUTE(SUBSTITUTE($G1440,"-"," ",LEN($G1440)-LEN(SUBSTITUTE($G1440,"-",""))),"-"," ",LEN($G1440)-LEN(SUBSTITUTE($G1440,"-",""))-1),".",""))))),$G1440)))</f>
        <v/>
      </c>
    </row>
    <row r="1441">
      <c r="A1441" s="58" t="n"/>
      <c r="B1441" s="58">
        <f>IF($H1441="","",LEFT($H1441,FIND(" ",$H1441&amp;" ")-1))</f>
        <v/>
      </c>
      <c r="C1441" s="58">
        <f>IF($H1441="","",IFERROR(MID($H1441&amp;" ",FIND("|",SUBSTITUTE($H1441&amp;" "," ","|",1))+1,FIND("|",SUBSTITUTE($H1441&amp;" "," ","|",2))-FIND("|",SUBSTITUTE($H1441&amp;" "," ","|",1))-1),""))</f>
        <v/>
      </c>
      <c r="D1441" s="58">
        <f>IF($H1441="","",IFERROR(MID($H1441&amp;" ",FIND("|",SUBSTITUTE($H1441&amp;" "," ","|",2))+1,FIND("|",SUBSTITUTE($H1441&amp;" "," ","|",3))-FIND("|",SUBSTITUTE($H1441&amp;" "," ","|",2))-1),""))</f>
        <v/>
      </c>
      <c r="E1441" s="58">
        <f>IF($H1441="","",IFERROR(MID($H1441&amp;" ",FIND("|",SUBSTITUTE($H1441&amp;" "," ","|",3))+1,FIND("|",SUBSTITUTE($H1441&amp;" "," ","|",4))-FIND("|",SUBSTITUTE($H1441&amp;" "," ","|",3))-1),""))</f>
        <v/>
      </c>
      <c r="F1441" s="59">
        <f>IF($H1441="","",IFERROR(VALUE(IFERROR(MID($H1441&amp;" ",FIND("|",SUBSTITUTE($H1441&amp;" "," ","|",4))+1,FIND("|",SUBSTITUTE($H1441&amp;" "," ","|",5))-FIND("|",SUBSTITUTE($H1441&amp;" "," ","|",4))-1),""))/86400+25569+9/24,""))</f>
        <v/>
      </c>
      <c r="G1441" s="58">
        <f>TRIM(SUBSTITUTE(SUBSTITUTE(SUBSTITUTE($A1441,CHAR(9)," ")," "," "),CHAR(13),""))</f>
        <v/>
      </c>
      <c r="H1441" s="58">
        <f>IF($G1441="","",IF(ISNUMBER(FIND(" ",$G1441)),$G1441,IFERROR(IF((LEN(SUBSTITUTE(SUBSTITUTE($G1441,"-"," ",LEN($G1441)-LEN(SUBSTITUTE($G1441,"-",""))),"-"," ",LEN($G1441)-LEN(SUBSTITUTE($G1441,"-",""))-1))-LEN(SUBSTITUTE(SUBSTITUTE(SUBSTITUTE($G1441,"-"," ",LEN($G1441)-LEN(SUBSTITUTE($G1441,"-",""))),"-"," ",LEN($G1441)-LEN(SUBSTITUTE($G1441,"-",""))-1),".","")))=0,SUBSTITUTE(SUBSTITUTE($G1441,"-"," ",LEN($G1441)-LEN(SUBSTITUTE($G1441,"-",""))),"-"," ",LEN($G1441)-LEN(SUBSTITUTE($G1441,"-",""))-1),SUBSTITUTE(SUBSTITUTE(SUBSTITUTE($G1441,"-"," ",LEN($G1441)-LEN(SUBSTITUTE($G1441,"-",""))),"-"," ",LEN($G1441)-LEN(SUBSTITUTE($G1441,"-",""))-1),"."," ",(LEN(SUBSTITUTE(SUBSTITUTE($G1441,"-"," ",LEN($G1441)-LEN(SUBSTITUTE($G1441,"-",""))),"-"," ",LEN($G1441)-LEN(SUBSTITUTE($G1441,"-",""))-1))-LEN(SUBSTITUTE(SUBSTITUTE(SUBSTITUTE($G1441,"-"," ",LEN($G1441)-LEN(SUBSTITUTE($G1441,"-",""))),"-"," ",LEN($G1441)-LEN(SUBSTITUTE($G1441,"-",""))-1),".",""))))),$G1441)))</f>
        <v/>
      </c>
    </row>
    <row r="1442">
      <c r="A1442" s="58" t="n"/>
      <c r="B1442" s="58">
        <f>IF($H1442="","",LEFT($H1442,FIND(" ",$H1442&amp;" ")-1))</f>
        <v/>
      </c>
      <c r="C1442" s="58">
        <f>IF($H1442="","",IFERROR(MID($H1442&amp;" ",FIND("|",SUBSTITUTE($H1442&amp;" "," ","|",1))+1,FIND("|",SUBSTITUTE($H1442&amp;" "," ","|",2))-FIND("|",SUBSTITUTE($H1442&amp;" "," ","|",1))-1),""))</f>
        <v/>
      </c>
      <c r="D1442" s="58">
        <f>IF($H1442="","",IFERROR(MID($H1442&amp;" ",FIND("|",SUBSTITUTE($H1442&amp;" "," ","|",2))+1,FIND("|",SUBSTITUTE($H1442&amp;" "," ","|",3))-FIND("|",SUBSTITUTE($H1442&amp;" "," ","|",2))-1),""))</f>
        <v/>
      </c>
      <c r="E1442" s="58">
        <f>IF($H1442="","",IFERROR(MID($H1442&amp;" ",FIND("|",SUBSTITUTE($H1442&amp;" "," ","|",3))+1,FIND("|",SUBSTITUTE($H1442&amp;" "," ","|",4))-FIND("|",SUBSTITUTE($H1442&amp;" "," ","|",3))-1),""))</f>
        <v/>
      </c>
      <c r="F1442" s="59">
        <f>IF($H1442="","",IFERROR(VALUE(IFERROR(MID($H1442&amp;" ",FIND("|",SUBSTITUTE($H1442&amp;" "," ","|",4))+1,FIND("|",SUBSTITUTE($H1442&amp;" "," ","|",5))-FIND("|",SUBSTITUTE($H1442&amp;" "," ","|",4))-1),""))/86400+25569+9/24,""))</f>
        <v/>
      </c>
      <c r="G1442" s="58">
        <f>TRIM(SUBSTITUTE(SUBSTITUTE(SUBSTITUTE($A1442,CHAR(9)," ")," "," "),CHAR(13),""))</f>
        <v/>
      </c>
      <c r="H1442" s="58">
        <f>IF($G1442="","",IF(ISNUMBER(FIND(" ",$G1442)),$G1442,IFERROR(IF((LEN(SUBSTITUTE(SUBSTITUTE($G1442,"-"," ",LEN($G1442)-LEN(SUBSTITUTE($G1442,"-",""))),"-"," ",LEN($G1442)-LEN(SUBSTITUTE($G1442,"-",""))-1))-LEN(SUBSTITUTE(SUBSTITUTE(SUBSTITUTE($G1442,"-"," ",LEN($G1442)-LEN(SUBSTITUTE($G1442,"-",""))),"-"," ",LEN($G1442)-LEN(SUBSTITUTE($G1442,"-",""))-1),".","")))=0,SUBSTITUTE(SUBSTITUTE($G1442,"-"," ",LEN($G1442)-LEN(SUBSTITUTE($G1442,"-",""))),"-"," ",LEN($G1442)-LEN(SUBSTITUTE($G1442,"-",""))-1),SUBSTITUTE(SUBSTITUTE(SUBSTITUTE($G1442,"-"," ",LEN($G1442)-LEN(SUBSTITUTE($G1442,"-",""))),"-"," ",LEN($G1442)-LEN(SUBSTITUTE($G1442,"-",""))-1),"."," ",(LEN(SUBSTITUTE(SUBSTITUTE($G1442,"-"," ",LEN($G1442)-LEN(SUBSTITUTE($G1442,"-",""))),"-"," ",LEN($G1442)-LEN(SUBSTITUTE($G1442,"-",""))-1))-LEN(SUBSTITUTE(SUBSTITUTE(SUBSTITUTE($G1442,"-"," ",LEN($G1442)-LEN(SUBSTITUTE($G1442,"-",""))),"-"," ",LEN($G1442)-LEN(SUBSTITUTE($G1442,"-",""))-1),".",""))))),$G1442)))</f>
        <v/>
      </c>
    </row>
    <row r="1443">
      <c r="A1443" s="58" t="n"/>
      <c r="B1443" s="58">
        <f>IF($H1443="","",LEFT($H1443,FIND(" ",$H1443&amp;" ")-1))</f>
        <v/>
      </c>
      <c r="C1443" s="58">
        <f>IF($H1443="","",IFERROR(MID($H1443&amp;" ",FIND("|",SUBSTITUTE($H1443&amp;" "," ","|",1))+1,FIND("|",SUBSTITUTE($H1443&amp;" "," ","|",2))-FIND("|",SUBSTITUTE($H1443&amp;" "," ","|",1))-1),""))</f>
        <v/>
      </c>
      <c r="D1443" s="58">
        <f>IF($H1443="","",IFERROR(MID($H1443&amp;" ",FIND("|",SUBSTITUTE($H1443&amp;" "," ","|",2))+1,FIND("|",SUBSTITUTE($H1443&amp;" "," ","|",3))-FIND("|",SUBSTITUTE($H1443&amp;" "," ","|",2))-1),""))</f>
        <v/>
      </c>
      <c r="E1443" s="58">
        <f>IF($H1443="","",IFERROR(MID($H1443&amp;" ",FIND("|",SUBSTITUTE($H1443&amp;" "," ","|",3))+1,FIND("|",SUBSTITUTE($H1443&amp;" "," ","|",4))-FIND("|",SUBSTITUTE($H1443&amp;" "," ","|",3))-1),""))</f>
        <v/>
      </c>
      <c r="F1443" s="59">
        <f>IF($H1443="","",IFERROR(VALUE(IFERROR(MID($H1443&amp;" ",FIND("|",SUBSTITUTE($H1443&amp;" "," ","|",4))+1,FIND("|",SUBSTITUTE($H1443&amp;" "," ","|",5))-FIND("|",SUBSTITUTE($H1443&amp;" "," ","|",4))-1),""))/86400+25569+9/24,""))</f>
        <v/>
      </c>
      <c r="G1443" s="58">
        <f>TRIM(SUBSTITUTE(SUBSTITUTE(SUBSTITUTE($A1443,CHAR(9)," ")," "," "),CHAR(13),""))</f>
        <v/>
      </c>
      <c r="H1443" s="58">
        <f>IF($G1443="","",IF(ISNUMBER(FIND(" ",$G1443)),$G1443,IFERROR(IF((LEN(SUBSTITUTE(SUBSTITUTE($G1443,"-"," ",LEN($G1443)-LEN(SUBSTITUTE($G1443,"-",""))),"-"," ",LEN($G1443)-LEN(SUBSTITUTE($G1443,"-",""))-1))-LEN(SUBSTITUTE(SUBSTITUTE(SUBSTITUTE($G1443,"-"," ",LEN($G1443)-LEN(SUBSTITUTE($G1443,"-",""))),"-"," ",LEN($G1443)-LEN(SUBSTITUTE($G1443,"-",""))-1),".","")))=0,SUBSTITUTE(SUBSTITUTE($G1443,"-"," ",LEN($G1443)-LEN(SUBSTITUTE($G1443,"-",""))),"-"," ",LEN($G1443)-LEN(SUBSTITUTE($G1443,"-",""))-1),SUBSTITUTE(SUBSTITUTE(SUBSTITUTE($G1443,"-"," ",LEN($G1443)-LEN(SUBSTITUTE($G1443,"-",""))),"-"," ",LEN($G1443)-LEN(SUBSTITUTE($G1443,"-",""))-1),"."," ",(LEN(SUBSTITUTE(SUBSTITUTE($G1443,"-"," ",LEN($G1443)-LEN(SUBSTITUTE($G1443,"-",""))),"-"," ",LEN($G1443)-LEN(SUBSTITUTE($G1443,"-",""))-1))-LEN(SUBSTITUTE(SUBSTITUTE(SUBSTITUTE($G1443,"-"," ",LEN($G1443)-LEN(SUBSTITUTE($G1443,"-",""))),"-"," ",LEN($G1443)-LEN(SUBSTITUTE($G1443,"-",""))-1),".",""))))),$G1443)))</f>
        <v/>
      </c>
    </row>
    <row r="1444">
      <c r="A1444" s="58" t="n"/>
      <c r="B1444" s="58">
        <f>IF($H1444="","",LEFT($H1444,FIND(" ",$H1444&amp;" ")-1))</f>
        <v/>
      </c>
      <c r="C1444" s="58">
        <f>IF($H1444="","",IFERROR(MID($H1444&amp;" ",FIND("|",SUBSTITUTE($H1444&amp;" "," ","|",1))+1,FIND("|",SUBSTITUTE($H1444&amp;" "," ","|",2))-FIND("|",SUBSTITUTE($H1444&amp;" "," ","|",1))-1),""))</f>
        <v/>
      </c>
      <c r="D1444" s="58">
        <f>IF($H1444="","",IFERROR(MID($H1444&amp;" ",FIND("|",SUBSTITUTE($H1444&amp;" "," ","|",2))+1,FIND("|",SUBSTITUTE($H1444&amp;" "," ","|",3))-FIND("|",SUBSTITUTE($H1444&amp;" "," ","|",2))-1),""))</f>
        <v/>
      </c>
      <c r="E1444" s="58">
        <f>IF($H1444="","",IFERROR(MID($H1444&amp;" ",FIND("|",SUBSTITUTE($H1444&amp;" "," ","|",3))+1,FIND("|",SUBSTITUTE($H1444&amp;" "," ","|",4))-FIND("|",SUBSTITUTE($H1444&amp;" "," ","|",3))-1),""))</f>
        <v/>
      </c>
      <c r="F1444" s="59">
        <f>IF($H1444="","",IFERROR(VALUE(IFERROR(MID($H1444&amp;" ",FIND("|",SUBSTITUTE($H1444&amp;" "," ","|",4))+1,FIND("|",SUBSTITUTE($H1444&amp;" "," ","|",5))-FIND("|",SUBSTITUTE($H1444&amp;" "," ","|",4))-1),""))/86400+25569+9/24,""))</f>
        <v/>
      </c>
      <c r="G1444" s="58">
        <f>TRIM(SUBSTITUTE(SUBSTITUTE(SUBSTITUTE($A1444,CHAR(9)," ")," "," "),CHAR(13),""))</f>
        <v/>
      </c>
      <c r="H1444" s="58">
        <f>IF($G1444="","",IF(ISNUMBER(FIND(" ",$G1444)),$G1444,IFERROR(IF((LEN(SUBSTITUTE(SUBSTITUTE($G1444,"-"," ",LEN($G1444)-LEN(SUBSTITUTE($G1444,"-",""))),"-"," ",LEN($G1444)-LEN(SUBSTITUTE($G1444,"-",""))-1))-LEN(SUBSTITUTE(SUBSTITUTE(SUBSTITUTE($G1444,"-"," ",LEN($G1444)-LEN(SUBSTITUTE($G1444,"-",""))),"-"," ",LEN($G1444)-LEN(SUBSTITUTE($G1444,"-",""))-1),".","")))=0,SUBSTITUTE(SUBSTITUTE($G1444,"-"," ",LEN($G1444)-LEN(SUBSTITUTE($G1444,"-",""))),"-"," ",LEN($G1444)-LEN(SUBSTITUTE($G1444,"-",""))-1),SUBSTITUTE(SUBSTITUTE(SUBSTITUTE($G1444,"-"," ",LEN($G1444)-LEN(SUBSTITUTE($G1444,"-",""))),"-"," ",LEN($G1444)-LEN(SUBSTITUTE($G1444,"-",""))-1),"."," ",(LEN(SUBSTITUTE(SUBSTITUTE($G1444,"-"," ",LEN($G1444)-LEN(SUBSTITUTE($G1444,"-",""))),"-"," ",LEN($G1444)-LEN(SUBSTITUTE($G1444,"-",""))-1))-LEN(SUBSTITUTE(SUBSTITUTE(SUBSTITUTE($G1444,"-"," ",LEN($G1444)-LEN(SUBSTITUTE($G1444,"-",""))),"-"," ",LEN($G1444)-LEN(SUBSTITUTE($G1444,"-",""))-1),".",""))))),$G1444)))</f>
        <v/>
      </c>
    </row>
    <row r="1445">
      <c r="A1445" s="58" t="n"/>
      <c r="B1445" s="58">
        <f>IF($H1445="","",LEFT($H1445,FIND(" ",$H1445&amp;" ")-1))</f>
        <v/>
      </c>
      <c r="C1445" s="58">
        <f>IF($H1445="","",IFERROR(MID($H1445&amp;" ",FIND("|",SUBSTITUTE($H1445&amp;" "," ","|",1))+1,FIND("|",SUBSTITUTE($H1445&amp;" "," ","|",2))-FIND("|",SUBSTITUTE($H1445&amp;" "," ","|",1))-1),""))</f>
        <v/>
      </c>
      <c r="D1445" s="58">
        <f>IF($H1445="","",IFERROR(MID($H1445&amp;" ",FIND("|",SUBSTITUTE($H1445&amp;" "," ","|",2))+1,FIND("|",SUBSTITUTE($H1445&amp;" "," ","|",3))-FIND("|",SUBSTITUTE($H1445&amp;" "," ","|",2))-1),""))</f>
        <v/>
      </c>
      <c r="E1445" s="58">
        <f>IF($H1445="","",IFERROR(MID($H1445&amp;" ",FIND("|",SUBSTITUTE($H1445&amp;" "," ","|",3))+1,FIND("|",SUBSTITUTE($H1445&amp;" "," ","|",4))-FIND("|",SUBSTITUTE($H1445&amp;" "," ","|",3))-1),""))</f>
        <v/>
      </c>
      <c r="F1445" s="59">
        <f>IF($H1445="","",IFERROR(VALUE(IFERROR(MID($H1445&amp;" ",FIND("|",SUBSTITUTE($H1445&amp;" "," ","|",4))+1,FIND("|",SUBSTITUTE($H1445&amp;" "," ","|",5))-FIND("|",SUBSTITUTE($H1445&amp;" "," ","|",4))-1),""))/86400+25569+9/24,""))</f>
        <v/>
      </c>
      <c r="G1445" s="58">
        <f>TRIM(SUBSTITUTE(SUBSTITUTE(SUBSTITUTE($A1445,CHAR(9)," ")," "," "),CHAR(13),""))</f>
        <v/>
      </c>
      <c r="H1445" s="58">
        <f>IF($G1445="","",IF(ISNUMBER(FIND(" ",$G1445)),$G1445,IFERROR(IF((LEN(SUBSTITUTE(SUBSTITUTE($G1445,"-"," ",LEN($G1445)-LEN(SUBSTITUTE($G1445,"-",""))),"-"," ",LEN($G1445)-LEN(SUBSTITUTE($G1445,"-",""))-1))-LEN(SUBSTITUTE(SUBSTITUTE(SUBSTITUTE($G1445,"-"," ",LEN($G1445)-LEN(SUBSTITUTE($G1445,"-",""))),"-"," ",LEN($G1445)-LEN(SUBSTITUTE($G1445,"-",""))-1),".","")))=0,SUBSTITUTE(SUBSTITUTE($G1445,"-"," ",LEN($G1445)-LEN(SUBSTITUTE($G1445,"-",""))),"-"," ",LEN($G1445)-LEN(SUBSTITUTE($G1445,"-",""))-1),SUBSTITUTE(SUBSTITUTE(SUBSTITUTE($G1445,"-"," ",LEN($G1445)-LEN(SUBSTITUTE($G1445,"-",""))),"-"," ",LEN($G1445)-LEN(SUBSTITUTE($G1445,"-",""))-1),"."," ",(LEN(SUBSTITUTE(SUBSTITUTE($G1445,"-"," ",LEN($G1445)-LEN(SUBSTITUTE($G1445,"-",""))),"-"," ",LEN($G1445)-LEN(SUBSTITUTE($G1445,"-",""))-1))-LEN(SUBSTITUTE(SUBSTITUTE(SUBSTITUTE($G1445,"-"," ",LEN($G1445)-LEN(SUBSTITUTE($G1445,"-",""))),"-"," ",LEN($G1445)-LEN(SUBSTITUTE($G1445,"-",""))-1),".",""))))),$G1445)))</f>
        <v/>
      </c>
    </row>
    <row r="1446">
      <c r="A1446" s="58" t="n"/>
      <c r="B1446" s="58">
        <f>IF($H1446="","",LEFT($H1446,FIND(" ",$H1446&amp;" ")-1))</f>
        <v/>
      </c>
      <c r="C1446" s="58">
        <f>IF($H1446="","",IFERROR(MID($H1446&amp;" ",FIND("|",SUBSTITUTE($H1446&amp;" "," ","|",1))+1,FIND("|",SUBSTITUTE($H1446&amp;" "," ","|",2))-FIND("|",SUBSTITUTE($H1446&amp;" "," ","|",1))-1),""))</f>
        <v/>
      </c>
      <c r="D1446" s="58">
        <f>IF($H1446="","",IFERROR(MID($H1446&amp;" ",FIND("|",SUBSTITUTE($H1446&amp;" "," ","|",2))+1,FIND("|",SUBSTITUTE($H1446&amp;" "," ","|",3))-FIND("|",SUBSTITUTE($H1446&amp;" "," ","|",2))-1),""))</f>
        <v/>
      </c>
      <c r="E1446" s="58">
        <f>IF($H1446="","",IFERROR(MID($H1446&amp;" ",FIND("|",SUBSTITUTE($H1446&amp;" "," ","|",3))+1,FIND("|",SUBSTITUTE($H1446&amp;" "," ","|",4))-FIND("|",SUBSTITUTE($H1446&amp;" "," ","|",3))-1),""))</f>
        <v/>
      </c>
      <c r="F1446" s="59">
        <f>IF($H1446="","",IFERROR(VALUE(IFERROR(MID($H1446&amp;" ",FIND("|",SUBSTITUTE($H1446&amp;" "," ","|",4))+1,FIND("|",SUBSTITUTE($H1446&amp;" "," ","|",5))-FIND("|",SUBSTITUTE($H1446&amp;" "," ","|",4))-1),""))/86400+25569+9/24,""))</f>
        <v/>
      </c>
      <c r="G1446" s="58">
        <f>TRIM(SUBSTITUTE(SUBSTITUTE(SUBSTITUTE($A1446,CHAR(9)," ")," "," "),CHAR(13),""))</f>
        <v/>
      </c>
      <c r="H1446" s="58">
        <f>IF($G1446="","",IF(ISNUMBER(FIND(" ",$G1446)),$G1446,IFERROR(IF((LEN(SUBSTITUTE(SUBSTITUTE($G1446,"-"," ",LEN($G1446)-LEN(SUBSTITUTE($G1446,"-",""))),"-"," ",LEN($G1446)-LEN(SUBSTITUTE($G1446,"-",""))-1))-LEN(SUBSTITUTE(SUBSTITUTE(SUBSTITUTE($G1446,"-"," ",LEN($G1446)-LEN(SUBSTITUTE($G1446,"-",""))),"-"," ",LEN($G1446)-LEN(SUBSTITUTE($G1446,"-",""))-1),".","")))=0,SUBSTITUTE(SUBSTITUTE($G1446,"-"," ",LEN($G1446)-LEN(SUBSTITUTE($G1446,"-",""))),"-"," ",LEN($G1446)-LEN(SUBSTITUTE($G1446,"-",""))-1),SUBSTITUTE(SUBSTITUTE(SUBSTITUTE($G1446,"-"," ",LEN($G1446)-LEN(SUBSTITUTE($G1446,"-",""))),"-"," ",LEN($G1446)-LEN(SUBSTITUTE($G1446,"-",""))-1),"."," ",(LEN(SUBSTITUTE(SUBSTITUTE($G1446,"-"," ",LEN($G1446)-LEN(SUBSTITUTE($G1446,"-",""))),"-"," ",LEN($G1446)-LEN(SUBSTITUTE($G1446,"-",""))-1))-LEN(SUBSTITUTE(SUBSTITUTE(SUBSTITUTE($G1446,"-"," ",LEN($G1446)-LEN(SUBSTITUTE($G1446,"-",""))),"-"," ",LEN($G1446)-LEN(SUBSTITUTE($G1446,"-",""))-1),".",""))))),$G1446)))</f>
        <v/>
      </c>
    </row>
    <row r="1447">
      <c r="A1447" s="58" t="n"/>
      <c r="B1447" s="58">
        <f>IF($H1447="","",LEFT($H1447,FIND(" ",$H1447&amp;" ")-1))</f>
        <v/>
      </c>
      <c r="C1447" s="58">
        <f>IF($H1447="","",IFERROR(MID($H1447&amp;" ",FIND("|",SUBSTITUTE($H1447&amp;" "," ","|",1))+1,FIND("|",SUBSTITUTE($H1447&amp;" "," ","|",2))-FIND("|",SUBSTITUTE($H1447&amp;" "," ","|",1))-1),""))</f>
        <v/>
      </c>
      <c r="D1447" s="58">
        <f>IF($H1447="","",IFERROR(MID($H1447&amp;" ",FIND("|",SUBSTITUTE($H1447&amp;" "," ","|",2))+1,FIND("|",SUBSTITUTE($H1447&amp;" "," ","|",3))-FIND("|",SUBSTITUTE($H1447&amp;" "," ","|",2))-1),""))</f>
        <v/>
      </c>
      <c r="E1447" s="58">
        <f>IF($H1447="","",IFERROR(MID($H1447&amp;" ",FIND("|",SUBSTITUTE($H1447&amp;" "," ","|",3))+1,FIND("|",SUBSTITUTE($H1447&amp;" "," ","|",4))-FIND("|",SUBSTITUTE($H1447&amp;" "," ","|",3))-1),""))</f>
        <v/>
      </c>
      <c r="F1447" s="59">
        <f>IF($H1447="","",IFERROR(VALUE(IFERROR(MID($H1447&amp;" ",FIND("|",SUBSTITUTE($H1447&amp;" "," ","|",4))+1,FIND("|",SUBSTITUTE($H1447&amp;" "," ","|",5))-FIND("|",SUBSTITUTE($H1447&amp;" "," ","|",4))-1),""))/86400+25569+9/24,""))</f>
        <v/>
      </c>
      <c r="G1447" s="58">
        <f>TRIM(SUBSTITUTE(SUBSTITUTE(SUBSTITUTE($A1447,CHAR(9)," ")," "," "),CHAR(13),""))</f>
        <v/>
      </c>
      <c r="H1447" s="58">
        <f>IF($G1447="","",IF(ISNUMBER(FIND(" ",$G1447)),$G1447,IFERROR(IF((LEN(SUBSTITUTE(SUBSTITUTE($G1447,"-"," ",LEN($G1447)-LEN(SUBSTITUTE($G1447,"-",""))),"-"," ",LEN($G1447)-LEN(SUBSTITUTE($G1447,"-",""))-1))-LEN(SUBSTITUTE(SUBSTITUTE(SUBSTITUTE($G1447,"-"," ",LEN($G1447)-LEN(SUBSTITUTE($G1447,"-",""))),"-"," ",LEN($G1447)-LEN(SUBSTITUTE($G1447,"-",""))-1),".","")))=0,SUBSTITUTE(SUBSTITUTE($G1447,"-"," ",LEN($G1447)-LEN(SUBSTITUTE($G1447,"-",""))),"-"," ",LEN($G1447)-LEN(SUBSTITUTE($G1447,"-",""))-1),SUBSTITUTE(SUBSTITUTE(SUBSTITUTE($G1447,"-"," ",LEN($G1447)-LEN(SUBSTITUTE($G1447,"-",""))),"-"," ",LEN($G1447)-LEN(SUBSTITUTE($G1447,"-",""))-1),"."," ",(LEN(SUBSTITUTE(SUBSTITUTE($G1447,"-"," ",LEN($G1447)-LEN(SUBSTITUTE($G1447,"-",""))),"-"," ",LEN($G1447)-LEN(SUBSTITUTE($G1447,"-",""))-1))-LEN(SUBSTITUTE(SUBSTITUTE(SUBSTITUTE($G1447,"-"," ",LEN($G1447)-LEN(SUBSTITUTE($G1447,"-",""))),"-"," ",LEN($G1447)-LEN(SUBSTITUTE($G1447,"-",""))-1),".",""))))),$G1447)))</f>
        <v/>
      </c>
    </row>
    <row r="1448">
      <c r="A1448" s="58" t="n"/>
      <c r="B1448" s="58">
        <f>IF($H1448="","",LEFT($H1448,FIND(" ",$H1448&amp;" ")-1))</f>
        <v/>
      </c>
      <c r="C1448" s="58">
        <f>IF($H1448="","",IFERROR(MID($H1448&amp;" ",FIND("|",SUBSTITUTE($H1448&amp;" "," ","|",1))+1,FIND("|",SUBSTITUTE($H1448&amp;" "," ","|",2))-FIND("|",SUBSTITUTE($H1448&amp;" "," ","|",1))-1),""))</f>
        <v/>
      </c>
      <c r="D1448" s="58">
        <f>IF($H1448="","",IFERROR(MID($H1448&amp;" ",FIND("|",SUBSTITUTE($H1448&amp;" "," ","|",2))+1,FIND("|",SUBSTITUTE($H1448&amp;" "," ","|",3))-FIND("|",SUBSTITUTE($H1448&amp;" "," ","|",2))-1),""))</f>
        <v/>
      </c>
      <c r="E1448" s="58">
        <f>IF($H1448="","",IFERROR(MID($H1448&amp;" ",FIND("|",SUBSTITUTE($H1448&amp;" "," ","|",3))+1,FIND("|",SUBSTITUTE($H1448&amp;" "," ","|",4))-FIND("|",SUBSTITUTE($H1448&amp;" "," ","|",3))-1),""))</f>
        <v/>
      </c>
      <c r="F1448" s="59">
        <f>IF($H1448="","",IFERROR(VALUE(IFERROR(MID($H1448&amp;" ",FIND("|",SUBSTITUTE($H1448&amp;" "," ","|",4))+1,FIND("|",SUBSTITUTE($H1448&amp;" "," ","|",5))-FIND("|",SUBSTITUTE($H1448&amp;" "," ","|",4))-1),""))/86400+25569+9/24,""))</f>
        <v/>
      </c>
      <c r="G1448" s="58">
        <f>TRIM(SUBSTITUTE(SUBSTITUTE(SUBSTITUTE($A1448,CHAR(9)," ")," "," "),CHAR(13),""))</f>
        <v/>
      </c>
      <c r="H1448" s="58">
        <f>IF($G1448="","",IF(ISNUMBER(FIND(" ",$G1448)),$G1448,IFERROR(IF((LEN(SUBSTITUTE(SUBSTITUTE($G1448,"-"," ",LEN($G1448)-LEN(SUBSTITUTE($G1448,"-",""))),"-"," ",LEN($G1448)-LEN(SUBSTITUTE($G1448,"-",""))-1))-LEN(SUBSTITUTE(SUBSTITUTE(SUBSTITUTE($G1448,"-"," ",LEN($G1448)-LEN(SUBSTITUTE($G1448,"-",""))),"-"," ",LEN($G1448)-LEN(SUBSTITUTE($G1448,"-",""))-1),".","")))=0,SUBSTITUTE(SUBSTITUTE($G1448,"-"," ",LEN($G1448)-LEN(SUBSTITUTE($G1448,"-",""))),"-"," ",LEN($G1448)-LEN(SUBSTITUTE($G1448,"-",""))-1),SUBSTITUTE(SUBSTITUTE(SUBSTITUTE($G1448,"-"," ",LEN($G1448)-LEN(SUBSTITUTE($G1448,"-",""))),"-"," ",LEN($G1448)-LEN(SUBSTITUTE($G1448,"-",""))-1),"."," ",(LEN(SUBSTITUTE(SUBSTITUTE($G1448,"-"," ",LEN($G1448)-LEN(SUBSTITUTE($G1448,"-",""))),"-"," ",LEN($G1448)-LEN(SUBSTITUTE($G1448,"-",""))-1))-LEN(SUBSTITUTE(SUBSTITUTE(SUBSTITUTE($G1448,"-"," ",LEN($G1448)-LEN(SUBSTITUTE($G1448,"-",""))),"-"," ",LEN($G1448)-LEN(SUBSTITUTE($G1448,"-",""))-1),".",""))))),$G1448)))</f>
        <v/>
      </c>
    </row>
    <row r="1449">
      <c r="A1449" s="58" t="n"/>
      <c r="B1449" s="58">
        <f>IF($H1449="","",LEFT($H1449,FIND(" ",$H1449&amp;" ")-1))</f>
        <v/>
      </c>
      <c r="C1449" s="58">
        <f>IF($H1449="","",IFERROR(MID($H1449&amp;" ",FIND("|",SUBSTITUTE($H1449&amp;" "," ","|",1))+1,FIND("|",SUBSTITUTE($H1449&amp;" "," ","|",2))-FIND("|",SUBSTITUTE($H1449&amp;" "," ","|",1))-1),""))</f>
        <v/>
      </c>
      <c r="D1449" s="58">
        <f>IF($H1449="","",IFERROR(MID($H1449&amp;" ",FIND("|",SUBSTITUTE($H1449&amp;" "," ","|",2))+1,FIND("|",SUBSTITUTE($H1449&amp;" "," ","|",3))-FIND("|",SUBSTITUTE($H1449&amp;" "," ","|",2))-1),""))</f>
        <v/>
      </c>
      <c r="E1449" s="58">
        <f>IF($H1449="","",IFERROR(MID($H1449&amp;" ",FIND("|",SUBSTITUTE($H1449&amp;" "," ","|",3))+1,FIND("|",SUBSTITUTE($H1449&amp;" "," ","|",4))-FIND("|",SUBSTITUTE($H1449&amp;" "," ","|",3))-1),""))</f>
        <v/>
      </c>
      <c r="F1449" s="59">
        <f>IF($H1449="","",IFERROR(VALUE(IFERROR(MID($H1449&amp;" ",FIND("|",SUBSTITUTE($H1449&amp;" "," ","|",4))+1,FIND("|",SUBSTITUTE($H1449&amp;" "," ","|",5))-FIND("|",SUBSTITUTE($H1449&amp;" "," ","|",4))-1),""))/86400+25569+9/24,""))</f>
        <v/>
      </c>
      <c r="G1449" s="58">
        <f>TRIM(SUBSTITUTE(SUBSTITUTE(SUBSTITUTE($A1449,CHAR(9)," ")," "," "),CHAR(13),""))</f>
        <v/>
      </c>
      <c r="H1449" s="58">
        <f>IF($G1449="","",IF(ISNUMBER(FIND(" ",$G1449)),$G1449,IFERROR(IF((LEN(SUBSTITUTE(SUBSTITUTE($G1449,"-"," ",LEN($G1449)-LEN(SUBSTITUTE($G1449,"-",""))),"-"," ",LEN($G1449)-LEN(SUBSTITUTE($G1449,"-",""))-1))-LEN(SUBSTITUTE(SUBSTITUTE(SUBSTITUTE($G1449,"-"," ",LEN($G1449)-LEN(SUBSTITUTE($G1449,"-",""))),"-"," ",LEN($G1449)-LEN(SUBSTITUTE($G1449,"-",""))-1),".","")))=0,SUBSTITUTE(SUBSTITUTE($G1449,"-"," ",LEN($G1449)-LEN(SUBSTITUTE($G1449,"-",""))),"-"," ",LEN($G1449)-LEN(SUBSTITUTE($G1449,"-",""))-1),SUBSTITUTE(SUBSTITUTE(SUBSTITUTE($G1449,"-"," ",LEN($G1449)-LEN(SUBSTITUTE($G1449,"-",""))),"-"," ",LEN($G1449)-LEN(SUBSTITUTE($G1449,"-",""))-1),"."," ",(LEN(SUBSTITUTE(SUBSTITUTE($G1449,"-"," ",LEN($G1449)-LEN(SUBSTITUTE($G1449,"-",""))),"-"," ",LEN($G1449)-LEN(SUBSTITUTE($G1449,"-",""))-1))-LEN(SUBSTITUTE(SUBSTITUTE(SUBSTITUTE($G1449,"-"," ",LEN($G1449)-LEN(SUBSTITUTE($G1449,"-",""))),"-"," ",LEN($G1449)-LEN(SUBSTITUTE($G1449,"-",""))-1),".",""))))),$G1449)))</f>
        <v/>
      </c>
    </row>
    <row r="1450">
      <c r="A1450" s="58" t="n"/>
      <c r="B1450" s="58">
        <f>IF($H1450="","",LEFT($H1450,FIND(" ",$H1450&amp;" ")-1))</f>
        <v/>
      </c>
      <c r="C1450" s="58">
        <f>IF($H1450="","",IFERROR(MID($H1450&amp;" ",FIND("|",SUBSTITUTE($H1450&amp;" "," ","|",1))+1,FIND("|",SUBSTITUTE($H1450&amp;" "," ","|",2))-FIND("|",SUBSTITUTE($H1450&amp;" "," ","|",1))-1),""))</f>
        <v/>
      </c>
      <c r="D1450" s="58">
        <f>IF($H1450="","",IFERROR(MID($H1450&amp;" ",FIND("|",SUBSTITUTE($H1450&amp;" "," ","|",2))+1,FIND("|",SUBSTITUTE($H1450&amp;" "," ","|",3))-FIND("|",SUBSTITUTE($H1450&amp;" "," ","|",2))-1),""))</f>
        <v/>
      </c>
      <c r="E1450" s="58">
        <f>IF($H1450="","",IFERROR(MID($H1450&amp;" ",FIND("|",SUBSTITUTE($H1450&amp;" "," ","|",3))+1,FIND("|",SUBSTITUTE($H1450&amp;" "," ","|",4))-FIND("|",SUBSTITUTE($H1450&amp;" "," ","|",3))-1),""))</f>
        <v/>
      </c>
      <c r="F1450" s="59">
        <f>IF($H1450="","",IFERROR(VALUE(IFERROR(MID($H1450&amp;" ",FIND("|",SUBSTITUTE($H1450&amp;" "," ","|",4))+1,FIND("|",SUBSTITUTE($H1450&amp;" "," ","|",5))-FIND("|",SUBSTITUTE($H1450&amp;" "," ","|",4))-1),""))/86400+25569+9/24,""))</f>
        <v/>
      </c>
      <c r="G1450" s="58">
        <f>TRIM(SUBSTITUTE(SUBSTITUTE(SUBSTITUTE($A1450,CHAR(9)," ")," "," "),CHAR(13),""))</f>
        <v/>
      </c>
      <c r="H1450" s="58">
        <f>IF($G1450="","",IF(ISNUMBER(FIND(" ",$G1450)),$G1450,IFERROR(IF((LEN(SUBSTITUTE(SUBSTITUTE($G1450,"-"," ",LEN($G1450)-LEN(SUBSTITUTE($G1450,"-",""))),"-"," ",LEN($G1450)-LEN(SUBSTITUTE($G1450,"-",""))-1))-LEN(SUBSTITUTE(SUBSTITUTE(SUBSTITUTE($G1450,"-"," ",LEN($G1450)-LEN(SUBSTITUTE($G1450,"-",""))),"-"," ",LEN($G1450)-LEN(SUBSTITUTE($G1450,"-",""))-1),".","")))=0,SUBSTITUTE(SUBSTITUTE($G1450,"-"," ",LEN($G1450)-LEN(SUBSTITUTE($G1450,"-",""))),"-"," ",LEN($G1450)-LEN(SUBSTITUTE($G1450,"-",""))-1),SUBSTITUTE(SUBSTITUTE(SUBSTITUTE($G1450,"-"," ",LEN($G1450)-LEN(SUBSTITUTE($G1450,"-",""))),"-"," ",LEN($G1450)-LEN(SUBSTITUTE($G1450,"-",""))-1),"."," ",(LEN(SUBSTITUTE(SUBSTITUTE($G1450,"-"," ",LEN($G1450)-LEN(SUBSTITUTE($G1450,"-",""))),"-"," ",LEN($G1450)-LEN(SUBSTITUTE($G1450,"-",""))-1))-LEN(SUBSTITUTE(SUBSTITUTE(SUBSTITUTE($G1450,"-"," ",LEN($G1450)-LEN(SUBSTITUTE($G1450,"-",""))),"-"," ",LEN($G1450)-LEN(SUBSTITUTE($G1450,"-",""))-1),".",""))))),$G1450)))</f>
        <v/>
      </c>
    </row>
    <row r="1451">
      <c r="A1451" s="58" t="n"/>
      <c r="B1451" s="58">
        <f>IF($H1451="","",LEFT($H1451,FIND(" ",$H1451&amp;" ")-1))</f>
        <v/>
      </c>
      <c r="C1451" s="58">
        <f>IF($H1451="","",IFERROR(MID($H1451&amp;" ",FIND("|",SUBSTITUTE($H1451&amp;" "," ","|",1))+1,FIND("|",SUBSTITUTE($H1451&amp;" "," ","|",2))-FIND("|",SUBSTITUTE($H1451&amp;" "," ","|",1))-1),""))</f>
        <v/>
      </c>
      <c r="D1451" s="58">
        <f>IF($H1451="","",IFERROR(MID($H1451&amp;" ",FIND("|",SUBSTITUTE($H1451&amp;" "," ","|",2))+1,FIND("|",SUBSTITUTE($H1451&amp;" "," ","|",3))-FIND("|",SUBSTITUTE($H1451&amp;" "," ","|",2))-1),""))</f>
        <v/>
      </c>
      <c r="E1451" s="58">
        <f>IF($H1451="","",IFERROR(MID($H1451&amp;" ",FIND("|",SUBSTITUTE($H1451&amp;" "," ","|",3))+1,FIND("|",SUBSTITUTE($H1451&amp;" "," ","|",4))-FIND("|",SUBSTITUTE($H1451&amp;" "," ","|",3))-1),""))</f>
        <v/>
      </c>
      <c r="F1451" s="59">
        <f>IF($H1451="","",IFERROR(VALUE(IFERROR(MID($H1451&amp;" ",FIND("|",SUBSTITUTE($H1451&amp;" "," ","|",4))+1,FIND("|",SUBSTITUTE($H1451&amp;" "," ","|",5))-FIND("|",SUBSTITUTE($H1451&amp;" "," ","|",4))-1),""))/86400+25569+9/24,""))</f>
        <v/>
      </c>
      <c r="G1451" s="58">
        <f>TRIM(SUBSTITUTE(SUBSTITUTE(SUBSTITUTE($A1451,CHAR(9)," ")," "," "),CHAR(13),""))</f>
        <v/>
      </c>
      <c r="H1451" s="58">
        <f>IF($G1451="","",IF(ISNUMBER(FIND(" ",$G1451)),$G1451,IFERROR(IF((LEN(SUBSTITUTE(SUBSTITUTE($G1451,"-"," ",LEN($G1451)-LEN(SUBSTITUTE($G1451,"-",""))),"-"," ",LEN($G1451)-LEN(SUBSTITUTE($G1451,"-",""))-1))-LEN(SUBSTITUTE(SUBSTITUTE(SUBSTITUTE($G1451,"-"," ",LEN($G1451)-LEN(SUBSTITUTE($G1451,"-",""))),"-"," ",LEN($G1451)-LEN(SUBSTITUTE($G1451,"-",""))-1),".","")))=0,SUBSTITUTE(SUBSTITUTE($G1451,"-"," ",LEN($G1451)-LEN(SUBSTITUTE($G1451,"-",""))),"-"," ",LEN($G1451)-LEN(SUBSTITUTE($G1451,"-",""))-1),SUBSTITUTE(SUBSTITUTE(SUBSTITUTE($G1451,"-"," ",LEN($G1451)-LEN(SUBSTITUTE($G1451,"-",""))),"-"," ",LEN($G1451)-LEN(SUBSTITUTE($G1451,"-",""))-1),"."," ",(LEN(SUBSTITUTE(SUBSTITUTE($G1451,"-"," ",LEN($G1451)-LEN(SUBSTITUTE($G1451,"-",""))),"-"," ",LEN($G1451)-LEN(SUBSTITUTE($G1451,"-",""))-1))-LEN(SUBSTITUTE(SUBSTITUTE(SUBSTITUTE($G1451,"-"," ",LEN($G1451)-LEN(SUBSTITUTE($G1451,"-",""))),"-"," ",LEN($G1451)-LEN(SUBSTITUTE($G1451,"-",""))-1),".",""))))),$G1451)))</f>
        <v/>
      </c>
    </row>
    <row r="1452">
      <c r="A1452" s="58" t="n"/>
      <c r="B1452" s="58">
        <f>IF($H1452="","",LEFT($H1452,FIND(" ",$H1452&amp;" ")-1))</f>
        <v/>
      </c>
      <c r="C1452" s="58">
        <f>IF($H1452="","",IFERROR(MID($H1452&amp;" ",FIND("|",SUBSTITUTE($H1452&amp;" "," ","|",1))+1,FIND("|",SUBSTITUTE($H1452&amp;" "," ","|",2))-FIND("|",SUBSTITUTE($H1452&amp;" "," ","|",1))-1),""))</f>
        <v/>
      </c>
      <c r="D1452" s="58">
        <f>IF($H1452="","",IFERROR(MID($H1452&amp;" ",FIND("|",SUBSTITUTE($H1452&amp;" "," ","|",2))+1,FIND("|",SUBSTITUTE($H1452&amp;" "," ","|",3))-FIND("|",SUBSTITUTE($H1452&amp;" "," ","|",2))-1),""))</f>
        <v/>
      </c>
      <c r="E1452" s="58">
        <f>IF($H1452="","",IFERROR(MID($H1452&amp;" ",FIND("|",SUBSTITUTE($H1452&amp;" "," ","|",3))+1,FIND("|",SUBSTITUTE($H1452&amp;" "," ","|",4))-FIND("|",SUBSTITUTE($H1452&amp;" "," ","|",3))-1),""))</f>
        <v/>
      </c>
      <c r="F1452" s="59">
        <f>IF($H1452="","",IFERROR(VALUE(IFERROR(MID($H1452&amp;" ",FIND("|",SUBSTITUTE($H1452&amp;" "," ","|",4))+1,FIND("|",SUBSTITUTE($H1452&amp;" "," ","|",5))-FIND("|",SUBSTITUTE($H1452&amp;" "," ","|",4))-1),""))/86400+25569+9/24,""))</f>
        <v/>
      </c>
      <c r="G1452" s="58">
        <f>TRIM(SUBSTITUTE(SUBSTITUTE(SUBSTITUTE($A1452,CHAR(9)," ")," "," "),CHAR(13),""))</f>
        <v/>
      </c>
      <c r="H1452" s="58">
        <f>IF($G1452="","",IF(ISNUMBER(FIND(" ",$G1452)),$G1452,IFERROR(IF((LEN(SUBSTITUTE(SUBSTITUTE($G1452,"-"," ",LEN($G1452)-LEN(SUBSTITUTE($G1452,"-",""))),"-"," ",LEN($G1452)-LEN(SUBSTITUTE($G1452,"-",""))-1))-LEN(SUBSTITUTE(SUBSTITUTE(SUBSTITUTE($G1452,"-"," ",LEN($G1452)-LEN(SUBSTITUTE($G1452,"-",""))),"-"," ",LEN($G1452)-LEN(SUBSTITUTE($G1452,"-",""))-1),".","")))=0,SUBSTITUTE(SUBSTITUTE($G1452,"-"," ",LEN($G1452)-LEN(SUBSTITUTE($G1452,"-",""))),"-"," ",LEN($G1452)-LEN(SUBSTITUTE($G1452,"-",""))-1),SUBSTITUTE(SUBSTITUTE(SUBSTITUTE($G1452,"-"," ",LEN($G1452)-LEN(SUBSTITUTE($G1452,"-",""))),"-"," ",LEN($G1452)-LEN(SUBSTITUTE($G1452,"-",""))-1),"."," ",(LEN(SUBSTITUTE(SUBSTITUTE($G1452,"-"," ",LEN($G1452)-LEN(SUBSTITUTE($G1452,"-",""))),"-"," ",LEN($G1452)-LEN(SUBSTITUTE($G1452,"-",""))-1))-LEN(SUBSTITUTE(SUBSTITUTE(SUBSTITUTE($G1452,"-"," ",LEN($G1452)-LEN(SUBSTITUTE($G1452,"-",""))),"-"," ",LEN($G1452)-LEN(SUBSTITUTE($G1452,"-",""))-1),".",""))))),$G1452)))</f>
        <v/>
      </c>
    </row>
    <row r="1453">
      <c r="A1453" s="58" t="n"/>
      <c r="B1453" s="58">
        <f>IF($H1453="","",LEFT($H1453,FIND(" ",$H1453&amp;" ")-1))</f>
        <v/>
      </c>
      <c r="C1453" s="58">
        <f>IF($H1453="","",IFERROR(MID($H1453&amp;" ",FIND("|",SUBSTITUTE($H1453&amp;" "," ","|",1))+1,FIND("|",SUBSTITUTE($H1453&amp;" "," ","|",2))-FIND("|",SUBSTITUTE($H1453&amp;" "," ","|",1))-1),""))</f>
        <v/>
      </c>
      <c r="D1453" s="58">
        <f>IF($H1453="","",IFERROR(MID($H1453&amp;" ",FIND("|",SUBSTITUTE($H1453&amp;" "," ","|",2))+1,FIND("|",SUBSTITUTE($H1453&amp;" "," ","|",3))-FIND("|",SUBSTITUTE($H1453&amp;" "," ","|",2))-1),""))</f>
        <v/>
      </c>
      <c r="E1453" s="58">
        <f>IF($H1453="","",IFERROR(MID($H1453&amp;" ",FIND("|",SUBSTITUTE($H1453&amp;" "," ","|",3))+1,FIND("|",SUBSTITUTE($H1453&amp;" "," ","|",4))-FIND("|",SUBSTITUTE($H1453&amp;" "," ","|",3))-1),""))</f>
        <v/>
      </c>
      <c r="F1453" s="59">
        <f>IF($H1453="","",IFERROR(VALUE(IFERROR(MID($H1453&amp;" ",FIND("|",SUBSTITUTE($H1453&amp;" "," ","|",4))+1,FIND("|",SUBSTITUTE($H1453&amp;" "," ","|",5))-FIND("|",SUBSTITUTE($H1453&amp;" "," ","|",4))-1),""))/86400+25569+9/24,""))</f>
        <v/>
      </c>
      <c r="G1453" s="58">
        <f>TRIM(SUBSTITUTE(SUBSTITUTE(SUBSTITUTE($A1453,CHAR(9)," ")," "," "),CHAR(13),""))</f>
        <v/>
      </c>
      <c r="H1453" s="58">
        <f>IF($G1453="","",IF(ISNUMBER(FIND(" ",$G1453)),$G1453,IFERROR(IF((LEN(SUBSTITUTE(SUBSTITUTE($G1453,"-"," ",LEN($G1453)-LEN(SUBSTITUTE($G1453,"-",""))),"-"," ",LEN($G1453)-LEN(SUBSTITUTE($G1453,"-",""))-1))-LEN(SUBSTITUTE(SUBSTITUTE(SUBSTITUTE($G1453,"-"," ",LEN($G1453)-LEN(SUBSTITUTE($G1453,"-",""))),"-"," ",LEN($G1453)-LEN(SUBSTITUTE($G1453,"-",""))-1),".","")))=0,SUBSTITUTE(SUBSTITUTE($G1453,"-"," ",LEN($G1453)-LEN(SUBSTITUTE($G1453,"-",""))),"-"," ",LEN($G1453)-LEN(SUBSTITUTE($G1453,"-",""))-1),SUBSTITUTE(SUBSTITUTE(SUBSTITUTE($G1453,"-"," ",LEN($G1453)-LEN(SUBSTITUTE($G1453,"-",""))),"-"," ",LEN($G1453)-LEN(SUBSTITUTE($G1453,"-",""))-1),"."," ",(LEN(SUBSTITUTE(SUBSTITUTE($G1453,"-"," ",LEN($G1453)-LEN(SUBSTITUTE($G1453,"-",""))),"-"," ",LEN($G1453)-LEN(SUBSTITUTE($G1453,"-",""))-1))-LEN(SUBSTITUTE(SUBSTITUTE(SUBSTITUTE($G1453,"-"," ",LEN($G1453)-LEN(SUBSTITUTE($G1453,"-",""))),"-"," ",LEN($G1453)-LEN(SUBSTITUTE($G1453,"-",""))-1),".",""))))),$G1453)))</f>
        <v/>
      </c>
    </row>
    <row r="1454">
      <c r="A1454" s="58" t="n"/>
      <c r="B1454" s="58">
        <f>IF($H1454="","",LEFT($H1454,FIND(" ",$H1454&amp;" ")-1))</f>
        <v/>
      </c>
      <c r="C1454" s="58">
        <f>IF($H1454="","",IFERROR(MID($H1454&amp;" ",FIND("|",SUBSTITUTE($H1454&amp;" "," ","|",1))+1,FIND("|",SUBSTITUTE($H1454&amp;" "," ","|",2))-FIND("|",SUBSTITUTE($H1454&amp;" "," ","|",1))-1),""))</f>
        <v/>
      </c>
      <c r="D1454" s="58">
        <f>IF($H1454="","",IFERROR(MID($H1454&amp;" ",FIND("|",SUBSTITUTE($H1454&amp;" "," ","|",2))+1,FIND("|",SUBSTITUTE($H1454&amp;" "," ","|",3))-FIND("|",SUBSTITUTE($H1454&amp;" "," ","|",2))-1),""))</f>
        <v/>
      </c>
      <c r="E1454" s="58">
        <f>IF($H1454="","",IFERROR(MID($H1454&amp;" ",FIND("|",SUBSTITUTE($H1454&amp;" "," ","|",3))+1,FIND("|",SUBSTITUTE($H1454&amp;" "," ","|",4))-FIND("|",SUBSTITUTE($H1454&amp;" "," ","|",3))-1),""))</f>
        <v/>
      </c>
      <c r="F1454" s="59">
        <f>IF($H1454="","",IFERROR(VALUE(IFERROR(MID($H1454&amp;" ",FIND("|",SUBSTITUTE($H1454&amp;" "," ","|",4))+1,FIND("|",SUBSTITUTE($H1454&amp;" "," ","|",5))-FIND("|",SUBSTITUTE($H1454&amp;" "," ","|",4))-1),""))/86400+25569+9/24,""))</f>
        <v/>
      </c>
      <c r="G1454" s="58">
        <f>TRIM(SUBSTITUTE(SUBSTITUTE(SUBSTITUTE($A1454,CHAR(9)," ")," "," "),CHAR(13),""))</f>
        <v/>
      </c>
      <c r="H1454" s="58">
        <f>IF($G1454="","",IF(ISNUMBER(FIND(" ",$G1454)),$G1454,IFERROR(IF((LEN(SUBSTITUTE(SUBSTITUTE($G1454,"-"," ",LEN($G1454)-LEN(SUBSTITUTE($G1454,"-",""))),"-"," ",LEN($G1454)-LEN(SUBSTITUTE($G1454,"-",""))-1))-LEN(SUBSTITUTE(SUBSTITUTE(SUBSTITUTE($G1454,"-"," ",LEN($G1454)-LEN(SUBSTITUTE($G1454,"-",""))),"-"," ",LEN($G1454)-LEN(SUBSTITUTE($G1454,"-",""))-1),".","")))=0,SUBSTITUTE(SUBSTITUTE($G1454,"-"," ",LEN($G1454)-LEN(SUBSTITUTE($G1454,"-",""))),"-"," ",LEN($G1454)-LEN(SUBSTITUTE($G1454,"-",""))-1),SUBSTITUTE(SUBSTITUTE(SUBSTITUTE($G1454,"-"," ",LEN($G1454)-LEN(SUBSTITUTE($G1454,"-",""))),"-"," ",LEN($G1454)-LEN(SUBSTITUTE($G1454,"-",""))-1),"."," ",(LEN(SUBSTITUTE(SUBSTITUTE($G1454,"-"," ",LEN($G1454)-LEN(SUBSTITUTE($G1454,"-",""))),"-"," ",LEN($G1454)-LEN(SUBSTITUTE($G1454,"-",""))-1))-LEN(SUBSTITUTE(SUBSTITUTE(SUBSTITUTE($G1454,"-"," ",LEN($G1454)-LEN(SUBSTITUTE($G1454,"-",""))),"-"," ",LEN($G1454)-LEN(SUBSTITUTE($G1454,"-",""))-1),".",""))))),$G1454)))</f>
        <v/>
      </c>
    </row>
    <row r="1455">
      <c r="A1455" s="58" t="n"/>
      <c r="B1455" s="58">
        <f>IF($H1455="","",LEFT($H1455,FIND(" ",$H1455&amp;" ")-1))</f>
        <v/>
      </c>
      <c r="C1455" s="58">
        <f>IF($H1455="","",IFERROR(MID($H1455&amp;" ",FIND("|",SUBSTITUTE($H1455&amp;" "," ","|",1))+1,FIND("|",SUBSTITUTE($H1455&amp;" "," ","|",2))-FIND("|",SUBSTITUTE($H1455&amp;" "," ","|",1))-1),""))</f>
        <v/>
      </c>
      <c r="D1455" s="58">
        <f>IF($H1455="","",IFERROR(MID($H1455&amp;" ",FIND("|",SUBSTITUTE($H1455&amp;" "," ","|",2))+1,FIND("|",SUBSTITUTE($H1455&amp;" "," ","|",3))-FIND("|",SUBSTITUTE($H1455&amp;" "," ","|",2))-1),""))</f>
        <v/>
      </c>
      <c r="E1455" s="58">
        <f>IF($H1455="","",IFERROR(MID($H1455&amp;" ",FIND("|",SUBSTITUTE($H1455&amp;" "," ","|",3))+1,FIND("|",SUBSTITUTE($H1455&amp;" "," ","|",4))-FIND("|",SUBSTITUTE($H1455&amp;" "," ","|",3))-1),""))</f>
        <v/>
      </c>
      <c r="F1455" s="59">
        <f>IF($H1455="","",IFERROR(VALUE(IFERROR(MID($H1455&amp;" ",FIND("|",SUBSTITUTE($H1455&amp;" "," ","|",4))+1,FIND("|",SUBSTITUTE($H1455&amp;" "," ","|",5))-FIND("|",SUBSTITUTE($H1455&amp;" "," ","|",4))-1),""))/86400+25569+9/24,""))</f>
        <v/>
      </c>
      <c r="G1455" s="58">
        <f>TRIM(SUBSTITUTE(SUBSTITUTE(SUBSTITUTE($A1455,CHAR(9)," ")," "," "),CHAR(13),""))</f>
        <v/>
      </c>
      <c r="H1455" s="58">
        <f>IF($G1455="","",IF(ISNUMBER(FIND(" ",$G1455)),$G1455,IFERROR(IF((LEN(SUBSTITUTE(SUBSTITUTE($G1455,"-"," ",LEN($G1455)-LEN(SUBSTITUTE($G1455,"-",""))),"-"," ",LEN($G1455)-LEN(SUBSTITUTE($G1455,"-",""))-1))-LEN(SUBSTITUTE(SUBSTITUTE(SUBSTITUTE($G1455,"-"," ",LEN($G1455)-LEN(SUBSTITUTE($G1455,"-",""))),"-"," ",LEN($G1455)-LEN(SUBSTITUTE($G1455,"-",""))-1),".","")))=0,SUBSTITUTE(SUBSTITUTE($G1455,"-"," ",LEN($G1455)-LEN(SUBSTITUTE($G1455,"-",""))),"-"," ",LEN($G1455)-LEN(SUBSTITUTE($G1455,"-",""))-1),SUBSTITUTE(SUBSTITUTE(SUBSTITUTE($G1455,"-"," ",LEN($G1455)-LEN(SUBSTITUTE($G1455,"-",""))),"-"," ",LEN($G1455)-LEN(SUBSTITUTE($G1455,"-",""))-1),"."," ",(LEN(SUBSTITUTE(SUBSTITUTE($G1455,"-"," ",LEN($G1455)-LEN(SUBSTITUTE($G1455,"-",""))),"-"," ",LEN($G1455)-LEN(SUBSTITUTE($G1455,"-",""))-1))-LEN(SUBSTITUTE(SUBSTITUTE(SUBSTITUTE($G1455,"-"," ",LEN($G1455)-LEN(SUBSTITUTE($G1455,"-",""))),"-"," ",LEN($G1455)-LEN(SUBSTITUTE($G1455,"-",""))-1),".",""))))),$G1455)))</f>
        <v/>
      </c>
    </row>
    <row r="1456">
      <c r="A1456" s="58" t="n"/>
      <c r="B1456" s="58">
        <f>IF($H1456="","",LEFT($H1456,FIND(" ",$H1456&amp;" ")-1))</f>
        <v/>
      </c>
      <c r="C1456" s="58">
        <f>IF($H1456="","",IFERROR(MID($H1456&amp;" ",FIND("|",SUBSTITUTE($H1456&amp;" "," ","|",1))+1,FIND("|",SUBSTITUTE($H1456&amp;" "," ","|",2))-FIND("|",SUBSTITUTE($H1456&amp;" "," ","|",1))-1),""))</f>
        <v/>
      </c>
      <c r="D1456" s="58">
        <f>IF($H1456="","",IFERROR(MID($H1456&amp;" ",FIND("|",SUBSTITUTE($H1456&amp;" "," ","|",2))+1,FIND("|",SUBSTITUTE($H1456&amp;" "," ","|",3))-FIND("|",SUBSTITUTE($H1456&amp;" "," ","|",2))-1),""))</f>
        <v/>
      </c>
      <c r="E1456" s="58">
        <f>IF($H1456="","",IFERROR(MID($H1456&amp;" ",FIND("|",SUBSTITUTE($H1456&amp;" "," ","|",3))+1,FIND("|",SUBSTITUTE($H1456&amp;" "," ","|",4))-FIND("|",SUBSTITUTE($H1456&amp;" "," ","|",3))-1),""))</f>
        <v/>
      </c>
      <c r="F1456" s="59">
        <f>IF($H1456="","",IFERROR(VALUE(IFERROR(MID($H1456&amp;" ",FIND("|",SUBSTITUTE($H1456&amp;" "," ","|",4))+1,FIND("|",SUBSTITUTE($H1456&amp;" "," ","|",5))-FIND("|",SUBSTITUTE($H1456&amp;" "," ","|",4))-1),""))/86400+25569+9/24,""))</f>
        <v/>
      </c>
      <c r="G1456" s="58">
        <f>TRIM(SUBSTITUTE(SUBSTITUTE(SUBSTITUTE($A1456,CHAR(9)," ")," "," "),CHAR(13),""))</f>
        <v/>
      </c>
      <c r="H1456" s="58">
        <f>IF($G1456="","",IF(ISNUMBER(FIND(" ",$G1456)),$G1456,IFERROR(IF((LEN(SUBSTITUTE(SUBSTITUTE($G1456,"-"," ",LEN($G1456)-LEN(SUBSTITUTE($G1456,"-",""))),"-"," ",LEN($G1456)-LEN(SUBSTITUTE($G1456,"-",""))-1))-LEN(SUBSTITUTE(SUBSTITUTE(SUBSTITUTE($G1456,"-"," ",LEN($G1456)-LEN(SUBSTITUTE($G1456,"-",""))),"-"," ",LEN($G1456)-LEN(SUBSTITUTE($G1456,"-",""))-1),".","")))=0,SUBSTITUTE(SUBSTITUTE($G1456,"-"," ",LEN($G1456)-LEN(SUBSTITUTE($G1456,"-",""))),"-"," ",LEN($G1456)-LEN(SUBSTITUTE($G1456,"-",""))-1),SUBSTITUTE(SUBSTITUTE(SUBSTITUTE($G1456,"-"," ",LEN($G1456)-LEN(SUBSTITUTE($G1456,"-",""))),"-"," ",LEN($G1456)-LEN(SUBSTITUTE($G1456,"-",""))-1),"."," ",(LEN(SUBSTITUTE(SUBSTITUTE($G1456,"-"," ",LEN($G1456)-LEN(SUBSTITUTE($G1456,"-",""))),"-"," ",LEN($G1456)-LEN(SUBSTITUTE($G1456,"-",""))-1))-LEN(SUBSTITUTE(SUBSTITUTE(SUBSTITUTE($G1456,"-"," ",LEN($G1456)-LEN(SUBSTITUTE($G1456,"-",""))),"-"," ",LEN($G1456)-LEN(SUBSTITUTE($G1456,"-",""))-1),".",""))))),$G1456)))</f>
        <v/>
      </c>
    </row>
    <row r="1457">
      <c r="A1457" s="58" t="n"/>
      <c r="B1457" s="58">
        <f>IF($H1457="","",LEFT($H1457,FIND(" ",$H1457&amp;" ")-1))</f>
        <v/>
      </c>
      <c r="C1457" s="58">
        <f>IF($H1457="","",IFERROR(MID($H1457&amp;" ",FIND("|",SUBSTITUTE($H1457&amp;" "," ","|",1))+1,FIND("|",SUBSTITUTE($H1457&amp;" "," ","|",2))-FIND("|",SUBSTITUTE($H1457&amp;" "," ","|",1))-1),""))</f>
        <v/>
      </c>
      <c r="D1457" s="58">
        <f>IF($H1457="","",IFERROR(MID($H1457&amp;" ",FIND("|",SUBSTITUTE($H1457&amp;" "," ","|",2))+1,FIND("|",SUBSTITUTE($H1457&amp;" "," ","|",3))-FIND("|",SUBSTITUTE($H1457&amp;" "," ","|",2))-1),""))</f>
        <v/>
      </c>
      <c r="E1457" s="58">
        <f>IF($H1457="","",IFERROR(MID($H1457&amp;" ",FIND("|",SUBSTITUTE($H1457&amp;" "," ","|",3))+1,FIND("|",SUBSTITUTE($H1457&amp;" "," ","|",4))-FIND("|",SUBSTITUTE($H1457&amp;" "," ","|",3))-1),""))</f>
        <v/>
      </c>
      <c r="F1457" s="59">
        <f>IF($H1457="","",IFERROR(VALUE(IFERROR(MID($H1457&amp;" ",FIND("|",SUBSTITUTE($H1457&amp;" "," ","|",4))+1,FIND("|",SUBSTITUTE($H1457&amp;" "," ","|",5))-FIND("|",SUBSTITUTE($H1457&amp;" "," ","|",4))-1),""))/86400+25569+9/24,""))</f>
        <v/>
      </c>
      <c r="G1457" s="58">
        <f>TRIM(SUBSTITUTE(SUBSTITUTE(SUBSTITUTE($A1457,CHAR(9)," ")," "," "),CHAR(13),""))</f>
        <v/>
      </c>
      <c r="H1457" s="58">
        <f>IF($G1457="","",IF(ISNUMBER(FIND(" ",$G1457)),$G1457,IFERROR(IF((LEN(SUBSTITUTE(SUBSTITUTE($G1457,"-"," ",LEN($G1457)-LEN(SUBSTITUTE($G1457,"-",""))),"-"," ",LEN($G1457)-LEN(SUBSTITUTE($G1457,"-",""))-1))-LEN(SUBSTITUTE(SUBSTITUTE(SUBSTITUTE($G1457,"-"," ",LEN($G1457)-LEN(SUBSTITUTE($G1457,"-",""))),"-"," ",LEN($G1457)-LEN(SUBSTITUTE($G1457,"-",""))-1),".","")))=0,SUBSTITUTE(SUBSTITUTE($G1457,"-"," ",LEN($G1457)-LEN(SUBSTITUTE($G1457,"-",""))),"-"," ",LEN($G1457)-LEN(SUBSTITUTE($G1457,"-",""))-1),SUBSTITUTE(SUBSTITUTE(SUBSTITUTE($G1457,"-"," ",LEN($G1457)-LEN(SUBSTITUTE($G1457,"-",""))),"-"," ",LEN($G1457)-LEN(SUBSTITUTE($G1457,"-",""))-1),"."," ",(LEN(SUBSTITUTE(SUBSTITUTE($G1457,"-"," ",LEN($G1457)-LEN(SUBSTITUTE($G1457,"-",""))),"-"," ",LEN($G1457)-LEN(SUBSTITUTE($G1457,"-",""))-1))-LEN(SUBSTITUTE(SUBSTITUTE(SUBSTITUTE($G1457,"-"," ",LEN($G1457)-LEN(SUBSTITUTE($G1457,"-",""))),"-"," ",LEN($G1457)-LEN(SUBSTITUTE($G1457,"-",""))-1),".",""))))),$G1457)))</f>
        <v/>
      </c>
    </row>
    <row r="1458">
      <c r="A1458" s="58" t="n"/>
      <c r="B1458" s="58">
        <f>IF($H1458="","",LEFT($H1458,FIND(" ",$H1458&amp;" ")-1))</f>
        <v/>
      </c>
      <c r="C1458" s="58">
        <f>IF($H1458="","",IFERROR(MID($H1458&amp;" ",FIND("|",SUBSTITUTE($H1458&amp;" "," ","|",1))+1,FIND("|",SUBSTITUTE($H1458&amp;" "," ","|",2))-FIND("|",SUBSTITUTE($H1458&amp;" "," ","|",1))-1),""))</f>
        <v/>
      </c>
      <c r="D1458" s="58">
        <f>IF($H1458="","",IFERROR(MID($H1458&amp;" ",FIND("|",SUBSTITUTE($H1458&amp;" "," ","|",2))+1,FIND("|",SUBSTITUTE($H1458&amp;" "," ","|",3))-FIND("|",SUBSTITUTE($H1458&amp;" "," ","|",2))-1),""))</f>
        <v/>
      </c>
      <c r="E1458" s="58">
        <f>IF($H1458="","",IFERROR(MID($H1458&amp;" ",FIND("|",SUBSTITUTE($H1458&amp;" "," ","|",3))+1,FIND("|",SUBSTITUTE($H1458&amp;" "," ","|",4))-FIND("|",SUBSTITUTE($H1458&amp;" "," ","|",3))-1),""))</f>
        <v/>
      </c>
      <c r="F1458" s="59">
        <f>IF($H1458="","",IFERROR(VALUE(IFERROR(MID($H1458&amp;" ",FIND("|",SUBSTITUTE($H1458&amp;" "," ","|",4))+1,FIND("|",SUBSTITUTE($H1458&amp;" "," ","|",5))-FIND("|",SUBSTITUTE($H1458&amp;" "," ","|",4))-1),""))/86400+25569+9/24,""))</f>
        <v/>
      </c>
      <c r="G1458" s="58">
        <f>TRIM(SUBSTITUTE(SUBSTITUTE(SUBSTITUTE($A1458,CHAR(9)," ")," "," "),CHAR(13),""))</f>
        <v/>
      </c>
      <c r="H1458" s="58">
        <f>IF($G1458="","",IF(ISNUMBER(FIND(" ",$G1458)),$G1458,IFERROR(IF((LEN(SUBSTITUTE(SUBSTITUTE($G1458,"-"," ",LEN($G1458)-LEN(SUBSTITUTE($G1458,"-",""))),"-"," ",LEN($G1458)-LEN(SUBSTITUTE($G1458,"-",""))-1))-LEN(SUBSTITUTE(SUBSTITUTE(SUBSTITUTE($G1458,"-"," ",LEN($G1458)-LEN(SUBSTITUTE($G1458,"-",""))),"-"," ",LEN($G1458)-LEN(SUBSTITUTE($G1458,"-",""))-1),".","")))=0,SUBSTITUTE(SUBSTITUTE($G1458,"-"," ",LEN($G1458)-LEN(SUBSTITUTE($G1458,"-",""))),"-"," ",LEN($G1458)-LEN(SUBSTITUTE($G1458,"-",""))-1),SUBSTITUTE(SUBSTITUTE(SUBSTITUTE($G1458,"-"," ",LEN($G1458)-LEN(SUBSTITUTE($G1458,"-",""))),"-"," ",LEN($G1458)-LEN(SUBSTITUTE($G1458,"-",""))-1),"."," ",(LEN(SUBSTITUTE(SUBSTITUTE($G1458,"-"," ",LEN($G1458)-LEN(SUBSTITUTE($G1458,"-",""))),"-"," ",LEN($G1458)-LEN(SUBSTITUTE($G1458,"-",""))-1))-LEN(SUBSTITUTE(SUBSTITUTE(SUBSTITUTE($G1458,"-"," ",LEN($G1458)-LEN(SUBSTITUTE($G1458,"-",""))),"-"," ",LEN($G1458)-LEN(SUBSTITUTE($G1458,"-",""))-1),".",""))))),$G1458)))</f>
        <v/>
      </c>
    </row>
    <row r="1459">
      <c r="A1459" s="58" t="n"/>
      <c r="B1459" s="58">
        <f>IF($H1459="","",LEFT($H1459,FIND(" ",$H1459&amp;" ")-1))</f>
        <v/>
      </c>
      <c r="C1459" s="58">
        <f>IF($H1459="","",IFERROR(MID($H1459&amp;" ",FIND("|",SUBSTITUTE($H1459&amp;" "," ","|",1))+1,FIND("|",SUBSTITUTE($H1459&amp;" "," ","|",2))-FIND("|",SUBSTITUTE($H1459&amp;" "," ","|",1))-1),""))</f>
        <v/>
      </c>
      <c r="D1459" s="58">
        <f>IF($H1459="","",IFERROR(MID($H1459&amp;" ",FIND("|",SUBSTITUTE($H1459&amp;" "," ","|",2))+1,FIND("|",SUBSTITUTE($H1459&amp;" "," ","|",3))-FIND("|",SUBSTITUTE($H1459&amp;" "," ","|",2))-1),""))</f>
        <v/>
      </c>
      <c r="E1459" s="58">
        <f>IF($H1459="","",IFERROR(MID($H1459&amp;" ",FIND("|",SUBSTITUTE($H1459&amp;" "," ","|",3))+1,FIND("|",SUBSTITUTE($H1459&amp;" "," ","|",4))-FIND("|",SUBSTITUTE($H1459&amp;" "," ","|",3))-1),""))</f>
        <v/>
      </c>
      <c r="F1459" s="59">
        <f>IF($H1459="","",IFERROR(VALUE(IFERROR(MID($H1459&amp;" ",FIND("|",SUBSTITUTE($H1459&amp;" "," ","|",4))+1,FIND("|",SUBSTITUTE($H1459&amp;" "," ","|",5))-FIND("|",SUBSTITUTE($H1459&amp;" "," ","|",4))-1),""))/86400+25569+9/24,""))</f>
        <v/>
      </c>
      <c r="G1459" s="58">
        <f>TRIM(SUBSTITUTE(SUBSTITUTE(SUBSTITUTE($A1459,CHAR(9)," ")," "," "),CHAR(13),""))</f>
        <v/>
      </c>
      <c r="H1459" s="58">
        <f>IF($G1459="","",IF(ISNUMBER(FIND(" ",$G1459)),$G1459,IFERROR(IF((LEN(SUBSTITUTE(SUBSTITUTE($G1459,"-"," ",LEN($G1459)-LEN(SUBSTITUTE($G1459,"-",""))),"-"," ",LEN($G1459)-LEN(SUBSTITUTE($G1459,"-",""))-1))-LEN(SUBSTITUTE(SUBSTITUTE(SUBSTITUTE($G1459,"-"," ",LEN($G1459)-LEN(SUBSTITUTE($G1459,"-",""))),"-"," ",LEN($G1459)-LEN(SUBSTITUTE($G1459,"-",""))-1),".","")))=0,SUBSTITUTE(SUBSTITUTE($G1459,"-"," ",LEN($G1459)-LEN(SUBSTITUTE($G1459,"-",""))),"-"," ",LEN($G1459)-LEN(SUBSTITUTE($G1459,"-",""))-1),SUBSTITUTE(SUBSTITUTE(SUBSTITUTE($G1459,"-"," ",LEN($G1459)-LEN(SUBSTITUTE($G1459,"-",""))),"-"," ",LEN($G1459)-LEN(SUBSTITUTE($G1459,"-",""))-1),"."," ",(LEN(SUBSTITUTE(SUBSTITUTE($G1459,"-"," ",LEN($G1459)-LEN(SUBSTITUTE($G1459,"-",""))),"-"," ",LEN($G1459)-LEN(SUBSTITUTE($G1459,"-",""))-1))-LEN(SUBSTITUTE(SUBSTITUTE(SUBSTITUTE($G1459,"-"," ",LEN($G1459)-LEN(SUBSTITUTE($G1459,"-",""))),"-"," ",LEN($G1459)-LEN(SUBSTITUTE($G1459,"-",""))-1),".",""))))),$G1459)))</f>
        <v/>
      </c>
    </row>
    <row r="1460">
      <c r="A1460" s="58" t="n"/>
      <c r="B1460" s="58">
        <f>IF($H1460="","",LEFT($H1460,FIND(" ",$H1460&amp;" ")-1))</f>
        <v/>
      </c>
      <c r="C1460" s="58">
        <f>IF($H1460="","",IFERROR(MID($H1460&amp;" ",FIND("|",SUBSTITUTE($H1460&amp;" "," ","|",1))+1,FIND("|",SUBSTITUTE($H1460&amp;" "," ","|",2))-FIND("|",SUBSTITUTE($H1460&amp;" "," ","|",1))-1),""))</f>
        <v/>
      </c>
      <c r="D1460" s="58">
        <f>IF($H1460="","",IFERROR(MID($H1460&amp;" ",FIND("|",SUBSTITUTE($H1460&amp;" "," ","|",2))+1,FIND("|",SUBSTITUTE($H1460&amp;" "," ","|",3))-FIND("|",SUBSTITUTE($H1460&amp;" "," ","|",2))-1),""))</f>
        <v/>
      </c>
      <c r="E1460" s="58">
        <f>IF($H1460="","",IFERROR(MID($H1460&amp;" ",FIND("|",SUBSTITUTE($H1460&amp;" "," ","|",3))+1,FIND("|",SUBSTITUTE($H1460&amp;" "," ","|",4))-FIND("|",SUBSTITUTE($H1460&amp;" "," ","|",3))-1),""))</f>
        <v/>
      </c>
      <c r="F1460" s="59">
        <f>IF($H1460="","",IFERROR(VALUE(IFERROR(MID($H1460&amp;" ",FIND("|",SUBSTITUTE($H1460&amp;" "," ","|",4))+1,FIND("|",SUBSTITUTE($H1460&amp;" "," ","|",5))-FIND("|",SUBSTITUTE($H1460&amp;" "," ","|",4))-1),""))/86400+25569+9/24,""))</f>
        <v/>
      </c>
      <c r="G1460" s="58">
        <f>TRIM(SUBSTITUTE(SUBSTITUTE(SUBSTITUTE($A1460,CHAR(9)," ")," "," "),CHAR(13),""))</f>
        <v/>
      </c>
      <c r="H1460" s="58">
        <f>IF($G1460="","",IF(ISNUMBER(FIND(" ",$G1460)),$G1460,IFERROR(IF((LEN(SUBSTITUTE(SUBSTITUTE($G1460,"-"," ",LEN($G1460)-LEN(SUBSTITUTE($G1460,"-",""))),"-"," ",LEN($G1460)-LEN(SUBSTITUTE($G1460,"-",""))-1))-LEN(SUBSTITUTE(SUBSTITUTE(SUBSTITUTE($G1460,"-"," ",LEN($G1460)-LEN(SUBSTITUTE($G1460,"-",""))),"-"," ",LEN($G1460)-LEN(SUBSTITUTE($G1460,"-",""))-1),".","")))=0,SUBSTITUTE(SUBSTITUTE($G1460,"-"," ",LEN($G1460)-LEN(SUBSTITUTE($G1460,"-",""))),"-"," ",LEN($G1460)-LEN(SUBSTITUTE($G1460,"-",""))-1),SUBSTITUTE(SUBSTITUTE(SUBSTITUTE($G1460,"-"," ",LEN($G1460)-LEN(SUBSTITUTE($G1460,"-",""))),"-"," ",LEN($G1460)-LEN(SUBSTITUTE($G1460,"-",""))-1),"."," ",(LEN(SUBSTITUTE(SUBSTITUTE($G1460,"-"," ",LEN($G1460)-LEN(SUBSTITUTE($G1460,"-",""))),"-"," ",LEN($G1460)-LEN(SUBSTITUTE($G1460,"-",""))-1))-LEN(SUBSTITUTE(SUBSTITUTE(SUBSTITUTE($G1460,"-"," ",LEN($G1460)-LEN(SUBSTITUTE($G1460,"-",""))),"-"," ",LEN($G1460)-LEN(SUBSTITUTE($G1460,"-",""))-1),".",""))))),$G1460)))</f>
        <v/>
      </c>
    </row>
    <row r="1461">
      <c r="A1461" s="58" t="n"/>
      <c r="B1461" s="58">
        <f>IF($H1461="","",LEFT($H1461,FIND(" ",$H1461&amp;" ")-1))</f>
        <v/>
      </c>
      <c r="C1461" s="58">
        <f>IF($H1461="","",IFERROR(MID($H1461&amp;" ",FIND("|",SUBSTITUTE($H1461&amp;" "," ","|",1))+1,FIND("|",SUBSTITUTE($H1461&amp;" "," ","|",2))-FIND("|",SUBSTITUTE($H1461&amp;" "," ","|",1))-1),""))</f>
        <v/>
      </c>
      <c r="D1461" s="58">
        <f>IF($H1461="","",IFERROR(MID($H1461&amp;" ",FIND("|",SUBSTITUTE($H1461&amp;" "," ","|",2))+1,FIND("|",SUBSTITUTE($H1461&amp;" "," ","|",3))-FIND("|",SUBSTITUTE($H1461&amp;" "," ","|",2))-1),""))</f>
        <v/>
      </c>
      <c r="E1461" s="58">
        <f>IF($H1461="","",IFERROR(MID($H1461&amp;" ",FIND("|",SUBSTITUTE($H1461&amp;" "," ","|",3))+1,FIND("|",SUBSTITUTE($H1461&amp;" "," ","|",4))-FIND("|",SUBSTITUTE($H1461&amp;" "," ","|",3))-1),""))</f>
        <v/>
      </c>
      <c r="F1461" s="59">
        <f>IF($H1461="","",IFERROR(VALUE(IFERROR(MID($H1461&amp;" ",FIND("|",SUBSTITUTE($H1461&amp;" "," ","|",4))+1,FIND("|",SUBSTITUTE($H1461&amp;" "," ","|",5))-FIND("|",SUBSTITUTE($H1461&amp;" "," ","|",4))-1),""))/86400+25569+9/24,""))</f>
        <v/>
      </c>
      <c r="G1461" s="58">
        <f>TRIM(SUBSTITUTE(SUBSTITUTE(SUBSTITUTE($A1461,CHAR(9)," ")," "," "),CHAR(13),""))</f>
        <v/>
      </c>
      <c r="H1461" s="58">
        <f>IF($G1461="","",IF(ISNUMBER(FIND(" ",$G1461)),$G1461,IFERROR(IF((LEN(SUBSTITUTE(SUBSTITUTE($G1461,"-"," ",LEN($G1461)-LEN(SUBSTITUTE($G1461,"-",""))),"-"," ",LEN($G1461)-LEN(SUBSTITUTE($G1461,"-",""))-1))-LEN(SUBSTITUTE(SUBSTITUTE(SUBSTITUTE($G1461,"-"," ",LEN($G1461)-LEN(SUBSTITUTE($G1461,"-",""))),"-"," ",LEN($G1461)-LEN(SUBSTITUTE($G1461,"-",""))-1),".","")))=0,SUBSTITUTE(SUBSTITUTE($G1461,"-"," ",LEN($G1461)-LEN(SUBSTITUTE($G1461,"-",""))),"-"," ",LEN($G1461)-LEN(SUBSTITUTE($G1461,"-",""))-1),SUBSTITUTE(SUBSTITUTE(SUBSTITUTE($G1461,"-"," ",LEN($G1461)-LEN(SUBSTITUTE($G1461,"-",""))),"-"," ",LEN($G1461)-LEN(SUBSTITUTE($G1461,"-",""))-1),"."," ",(LEN(SUBSTITUTE(SUBSTITUTE($G1461,"-"," ",LEN($G1461)-LEN(SUBSTITUTE($G1461,"-",""))),"-"," ",LEN($G1461)-LEN(SUBSTITUTE($G1461,"-",""))-1))-LEN(SUBSTITUTE(SUBSTITUTE(SUBSTITUTE($G1461,"-"," ",LEN($G1461)-LEN(SUBSTITUTE($G1461,"-",""))),"-"," ",LEN($G1461)-LEN(SUBSTITUTE($G1461,"-",""))-1),".",""))))),$G1461)))</f>
        <v/>
      </c>
    </row>
    <row r="1462">
      <c r="A1462" s="58" t="n"/>
      <c r="B1462" s="58">
        <f>IF($H1462="","",LEFT($H1462,FIND(" ",$H1462&amp;" ")-1))</f>
        <v/>
      </c>
      <c r="C1462" s="58">
        <f>IF($H1462="","",IFERROR(MID($H1462&amp;" ",FIND("|",SUBSTITUTE($H1462&amp;" "," ","|",1))+1,FIND("|",SUBSTITUTE($H1462&amp;" "," ","|",2))-FIND("|",SUBSTITUTE($H1462&amp;" "," ","|",1))-1),""))</f>
        <v/>
      </c>
      <c r="D1462" s="58">
        <f>IF($H1462="","",IFERROR(MID($H1462&amp;" ",FIND("|",SUBSTITUTE($H1462&amp;" "," ","|",2))+1,FIND("|",SUBSTITUTE($H1462&amp;" "," ","|",3))-FIND("|",SUBSTITUTE($H1462&amp;" "," ","|",2))-1),""))</f>
        <v/>
      </c>
      <c r="E1462" s="58">
        <f>IF($H1462="","",IFERROR(MID($H1462&amp;" ",FIND("|",SUBSTITUTE($H1462&amp;" "," ","|",3))+1,FIND("|",SUBSTITUTE($H1462&amp;" "," ","|",4))-FIND("|",SUBSTITUTE($H1462&amp;" "," ","|",3))-1),""))</f>
        <v/>
      </c>
      <c r="F1462" s="59">
        <f>IF($H1462="","",IFERROR(VALUE(IFERROR(MID($H1462&amp;" ",FIND("|",SUBSTITUTE($H1462&amp;" "," ","|",4))+1,FIND("|",SUBSTITUTE($H1462&amp;" "," ","|",5))-FIND("|",SUBSTITUTE($H1462&amp;" "," ","|",4))-1),""))/86400+25569+9/24,""))</f>
        <v/>
      </c>
      <c r="G1462" s="58">
        <f>TRIM(SUBSTITUTE(SUBSTITUTE(SUBSTITUTE($A1462,CHAR(9)," ")," "," "),CHAR(13),""))</f>
        <v/>
      </c>
      <c r="H1462" s="58">
        <f>IF($G1462="","",IF(ISNUMBER(FIND(" ",$G1462)),$G1462,IFERROR(IF((LEN(SUBSTITUTE(SUBSTITUTE($G1462,"-"," ",LEN($G1462)-LEN(SUBSTITUTE($G1462,"-",""))),"-"," ",LEN($G1462)-LEN(SUBSTITUTE($G1462,"-",""))-1))-LEN(SUBSTITUTE(SUBSTITUTE(SUBSTITUTE($G1462,"-"," ",LEN($G1462)-LEN(SUBSTITUTE($G1462,"-",""))),"-"," ",LEN($G1462)-LEN(SUBSTITUTE($G1462,"-",""))-1),".","")))=0,SUBSTITUTE(SUBSTITUTE($G1462,"-"," ",LEN($G1462)-LEN(SUBSTITUTE($G1462,"-",""))),"-"," ",LEN($G1462)-LEN(SUBSTITUTE($G1462,"-",""))-1),SUBSTITUTE(SUBSTITUTE(SUBSTITUTE($G1462,"-"," ",LEN($G1462)-LEN(SUBSTITUTE($G1462,"-",""))),"-"," ",LEN($G1462)-LEN(SUBSTITUTE($G1462,"-",""))-1),"."," ",(LEN(SUBSTITUTE(SUBSTITUTE($G1462,"-"," ",LEN($G1462)-LEN(SUBSTITUTE($G1462,"-",""))),"-"," ",LEN($G1462)-LEN(SUBSTITUTE($G1462,"-",""))-1))-LEN(SUBSTITUTE(SUBSTITUTE(SUBSTITUTE($G1462,"-"," ",LEN($G1462)-LEN(SUBSTITUTE($G1462,"-",""))),"-"," ",LEN($G1462)-LEN(SUBSTITUTE($G1462,"-",""))-1),".",""))))),$G1462)))</f>
        <v/>
      </c>
    </row>
    <row r="1463">
      <c r="A1463" s="58" t="n"/>
      <c r="B1463" s="58">
        <f>IF($H1463="","",LEFT($H1463,FIND(" ",$H1463&amp;" ")-1))</f>
        <v/>
      </c>
      <c r="C1463" s="58">
        <f>IF($H1463="","",IFERROR(MID($H1463&amp;" ",FIND("|",SUBSTITUTE($H1463&amp;" "," ","|",1))+1,FIND("|",SUBSTITUTE($H1463&amp;" "," ","|",2))-FIND("|",SUBSTITUTE($H1463&amp;" "," ","|",1))-1),""))</f>
        <v/>
      </c>
      <c r="D1463" s="58">
        <f>IF($H1463="","",IFERROR(MID($H1463&amp;" ",FIND("|",SUBSTITUTE($H1463&amp;" "," ","|",2))+1,FIND("|",SUBSTITUTE($H1463&amp;" "," ","|",3))-FIND("|",SUBSTITUTE($H1463&amp;" "," ","|",2))-1),""))</f>
        <v/>
      </c>
      <c r="E1463" s="58">
        <f>IF($H1463="","",IFERROR(MID($H1463&amp;" ",FIND("|",SUBSTITUTE($H1463&amp;" "," ","|",3))+1,FIND("|",SUBSTITUTE($H1463&amp;" "," ","|",4))-FIND("|",SUBSTITUTE($H1463&amp;" "," ","|",3))-1),""))</f>
        <v/>
      </c>
      <c r="F1463" s="59">
        <f>IF($H1463="","",IFERROR(VALUE(IFERROR(MID($H1463&amp;" ",FIND("|",SUBSTITUTE($H1463&amp;" "," ","|",4))+1,FIND("|",SUBSTITUTE($H1463&amp;" "," ","|",5))-FIND("|",SUBSTITUTE($H1463&amp;" "," ","|",4))-1),""))/86400+25569+9/24,""))</f>
        <v/>
      </c>
      <c r="G1463" s="58">
        <f>TRIM(SUBSTITUTE(SUBSTITUTE(SUBSTITUTE($A1463,CHAR(9)," ")," "," "),CHAR(13),""))</f>
        <v/>
      </c>
      <c r="H1463" s="58">
        <f>IF($G1463="","",IF(ISNUMBER(FIND(" ",$G1463)),$G1463,IFERROR(IF((LEN(SUBSTITUTE(SUBSTITUTE($G1463,"-"," ",LEN($G1463)-LEN(SUBSTITUTE($G1463,"-",""))),"-"," ",LEN($G1463)-LEN(SUBSTITUTE($G1463,"-",""))-1))-LEN(SUBSTITUTE(SUBSTITUTE(SUBSTITUTE($G1463,"-"," ",LEN($G1463)-LEN(SUBSTITUTE($G1463,"-",""))),"-"," ",LEN($G1463)-LEN(SUBSTITUTE($G1463,"-",""))-1),".","")))=0,SUBSTITUTE(SUBSTITUTE($G1463,"-"," ",LEN($G1463)-LEN(SUBSTITUTE($G1463,"-",""))),"-"," ",LEN($G1463)-LEN(SUBSTITUTE($G1463,"-",""))-1),SUBSTITUTE(SUBSTITUTE(SUBSTITUTE($G1463,"-"," ",LEN($G1463)-LEN(SUBSTITUTE($G1463,"-",""))),"-"," ",LEN($G1463)-LEN(SUBSTITUTE($G1463,"-",""))-1),"."," ",(LEN(SUBSTITUTE(SUBSTITUTE($G1463,"-"," ",LEN($G1463)-LEN(SUBSTITUTE($G1463,"-",""))),"-"," ",LEN($G1463)-LEN(SUBSTITUTE($G1463,"-",""))-1))-LEN(SUBSTITUTE(SUBSTITUTE(SUBSTITUTE($G1463,"-"," ",LEN($G1463)-LEN(SUBSTITUTE($G1463,"-",""))),"-"," ",LEN($G1463)-LEN(SUBSTITUTE($G1463,"-",""))-1),".",""))))),$G1463)))</f>
        <v/>
      </c>
    </row>
    <row r="1464">
      <c r="A1464" s="58" t="n"/>
      <c r="B1464" s="58">
        <f>IF($H1464="","",LEFT($H1464,FIND(" ",$H1464&amp;" ")-1))</f>
        <v/>
      </c>
      <c r="C1464" s="58">
        <f>IF($H1464="","",IFERROR(MID($H1464&amp;" ",FIND("|",SUBSTITUTE($H1464&amp;" "," ","|",1))+1,FIND("|",SUBSTITUTE($H1464&amp;" "," ","|",2))-FIND("|",SUBSTITUTE($H1464&amp;" "," ","|",1))-1),""))</f>
        <v/>
      </c>
      <c r="D1464" s="58">
        <f>IF($H1464="","",IFERROR(MID($H1464&amp;" ",FIND("|",SUBSTITUTE($H1464&amp;" "," ","|",2))+1,FIND("|",SUBSTITUTE($H1464&amp;" "," ","|",3))-FIND("|",SUBSTITUTE($H1464&amp;" "," ","|",2))-1),""))</f>
        <v/>
      </c>
      <c r="E1464" s="58">
        <f>IF($H1464="","",IFERROR(MID($H1464&amp;" ",FIND("|",SUBSTITUTE($H1464&amp;" "," ","|",3))+1,FIND("|",SUBSTITUTE($H1464&amp;" "," ","|",4))-FIND("|",SUBSTITUTE($H1464&amp;" "," ","|",3))-1),""))</f>
        <v/>
      </c>
      <c r="F1464" s="59">
        <f>IF($H1464="","",IFERROR(VALUE(IFERROR(MID($H1464&amp;" ",FIND("|",SUBSTITUTE($H1464&amp;" "," ","|",4))+1,FIND("|",SUBSTITUTE($H1464&amp;" "," ","|",5))-FIND("|",SUBSTITUTE($H1464&amp;" "," ","|",4))-1),""))/86400+25569+9/24,""))</f>
        <v/>
      </c>
      <c r="G1464" s="58">
        <f>TRIM(SUBSTITUTE(SUBSTITUTE(SUBSTITUTE($A1464,CHAR(9)," ")," "," "),CHAR(13),""))</f>
        <v/>
      </c>
      <c r="H1464" s="58">
        <f>IF($G1464="","",IF(ISNUMBER(FIND(" ",$G1464)),$G1464,IFERROR(IF((LEN(SUBSTITUTE(SUBSTITUTE($G1464,"-"," ",LEN($G1464)-LEN(SUBSTITUTE($G1464,"-",""))),"-"," ",LEN($G1464)-LEN(SUBSTITUTE($G1464,"-",""))-1))-LEN(SUBSTITUTE(SUBSTITUTE(SUBSTITUTE($G1464,"-"," ",LEN($G1464)-LEN(SUBSTITUTE($G1464,"-",""))),"-"," ",LEN($G1464)-LEN(SUBSTITUTE($G1464,"-",""))-1),".","")))=0,SUBSTITUTE(SUBSTITUTE($G1464,"-"," ",LEN($G1464)-LEN(SUBSTITUTE($G1464,"-",""))),"-"," ",LEN($G1464)-LEN(SUBSTITUTE($G1464,"-",""))-1),SUBSTITUTE(SUBSTITUTE(SUBSTITUTE($G1464,"-"," ",LEN($G1464)-LEN(SUBSTITUTE($G1464,"-",""))),"-"," ",LEN($G1464)-LEN(SUBSTITUTE($G1464,"-",""))-1),"."," ",(LEN(SUBSTITUTE(SUBSTITUTE($G1464,"-"," ",LEN($G1464)-LEN(SUBSTITUTE($G1464,"-",""))),"-"," ",LEN($G1464)-LEN(SUBSTITUTE($G1464,"-",""))-1))-LEN(SUBSTITUTE(SUBSTITUTE(SUBSTITUTE($G1464,"-"," ",LEN($G1464)-LEN(SUBSTITUTE($G1464,"-",""))),"-"," ",LEN($G1464)-LEN(SUBSTITUTE($G1464,"-",""))-1),".",""))))),$G1464)))</f>
        <v/>
      </c>
    </row>
    <row r="1465">
      <c r="A1465" s="58" t="n"/>
      <c r="B1465" s="58">
        <f>IF($H1465="","",LEFT($H1465,FIND(" ",$H1465&amp;" ")-1))</f>
        <v/>
      </c>
      <c r="C1465" s="58">
        <f>IF($H1465="","",IFERROR(MID($H1465&amp;" ",FIND("|",SUBSTITUTE($H1465&amp;" "," ","|",1))+1,FIND("|",SUBSTITUTE($H1465&amp;" "," ","|",2))-FIND("|",SUBSTITUTE($H1465&amp;" "," ","|",1))-1),""))</f>
        <v/>
      </c>
      <c r="D1465" s="58">
        <f>IF($H1465="","",IFERROR(MID($H1465&amp;" ",FIND("|",SUBSTITUTE($H1465&amp;" "," ","|",2))+1,FIND("|",SUBSTITUTE($H1465&amp;" "," ","|",3))-FIND("|",SUBSTITUTE($H1465&amp;" "," ","|",2))-1),""))</f>
        <v/>
      </c>
      <c r="E1465" s="58">
        <f>IF($H1465="","",IFERROR(MID($H1465&amp;" ",FIND("|",SUBSTITUTE($H1465&amp;" "," ","|",3))+1,FIND("|",SUBSTITUTE($H1465&amp;" "," ","|",4))-FIND("|",SUBSTITUTE($H1465&amp;" "," ","|",3))-1),""))</f>
        <v/>
      </c>
      <c r="F1465" s="59">
        <f>IF($H1465="","",IFERROR(VALUE(IFERROR(MID($H1465&amp;" ",FIND("|",SUBSTITUTE($H1465&amp;" "," ","|",4))+1,FIND("|",SUBSTITUTE($H1465&amp;" "," ","|",5))-FIND("|",SUBSTITUTE($H1465&amp;" "," ","|",4))-1),""))/86400+25569+9/24,""))</f>
        <v/>
      </c>
      <c r="G1465" s="58">
        <f>TRIM(SUBSTITUTE(SUBSTITUTE(SUBSTITUTE($A1465,CHAR(9)," ")," "," "),CHAR(13),""))</f>
        <v/>
      </c>
      <c r="H1465" s="58">
        <f>IF($G1465="","",IF(ISNUMBER(FIND(" ",$G1465)),$G1465,IFERROR(IF((LEN(SUBSTITUTE(SUBSTITUTE($G1465,"-"," ",LEN($G1465)-LEN(SUBSTITUTE($G1465,"-",""))),"-"," ",LEN($G1465)-LEN(SUBSTITUTE($G1465,"-",""))-1))-LEN(SUBSTITUTE(SUBSTITUTE(SUBSTITUTE($G1465,"-"," ",LEN($G1465)-LEN(SUBSTITUTE($G1465,"-",""))),"-"," ",LEN($G1465)-LEN(SUBSTITUTE($G1465,"-",""))-1),".","")))=0,SUBSTITUTE(SUBSTITUTE($G1465,"-"," ",LEN($G1465)-LEN(SUBSTITUTE($G1465,"-",""))),"-"," ",LEN($G1465)-LEN(SUBSTITUTE($G1465,"-",""))-1),SUBSTITUTE(SUBSTITUTE(SUBSTITUTE($G1465,"-"," ",LEN($G1465)-LEN(SUBSTITUTE($G1465,"-",""))),"-"," ",LEN($G1465)-LEN(SUBSTITUTE($G1465,"-",""))-1),"."," ",(LEN(SUBSTITUTE(SUBSTITUTE($G1465,"-"," ",LEN($G1465)-LEN(SUBSTITUTE($G1465,"-",""))),"-"," ",LEN($G1465)-LEN(SUBSTITUTE($G1465,"-",""))-1))-LEN(SUBSTITUTE(SUBSTITUTE(SUBSTITUTE($G1465,"-"," ",LEN($G1465)-LEN(SUBSTITUTE($G1465,"-",""))),"-"," ",LEN($G1465)-LEN(SUBSTITUTE($G1465,"-",""))-1),".",""))))),$G1465)))</f>
        <v/>
      </c>
    </row>
    <row r="1466">
      <c r="A1466" s="58" t="n"/>
      <c r="B1466" s="58">
        <f>IF($H1466="","",LEFT($H1466,FIND(" ",$H1466&amp;" ")-1))</f>
        <v/>
      </c>
      <c r="C1466" s="58">
        <f>IF($H1466="","",IFERROR(MID($H1466&amp;" ",FIND("|",SUBSTITUTE($H1466&amp;" "," ","|",1))+1,FIND("|",SUBSTITUTE($H1466&amp;" "," ","|",2))-FIND("|",SUBSTITUTE($H1466&amp;" "," ","|",1))-1),""))</f>
        <v/>
      </c>
      <c r="D1466" s="58">
        <f>IF($H1466="","",IFERROR(MID($H1466&amp;" ",FIND("|",SUBSTITUTE($H1466&amp;" "," ","|",2))+1,FIND("|",SUBSTITUTE($H1466&amp;" "," ","|",3))-FIND("|",SUBSTITUTE($H1466&amp;" "," ","|",2))-1),""))</f>
        <v/>
      </c>
      <c r="E1466" s="58">
        <f>IF($H1466="","",IFERROR(MID($H1466&amp;" ",FIND("|",SUBSTITUTE($H1466&amp;" "," ","|",3))+1,FIND("|",SUBSTITUTE($H1466&amp;" "," ","|",4))-FIND("|",SUBSTITUTE($H1466&amp;" "," ","|",3))-1),""))</f>
        <v/>
      </c>
      <c r="F1466" s="59">
        <f>IF($H1466="","",IFERROR(VALUE(IFERROR(MID($H1466&amp;" ",FIND("|",SUBSTITUTE($H1466&amp;" "," ","|",4))+1,FIND("|",SUBSTITUTE($H1466&amp;" "," ","|",5))-FIND("|",SUBSTITUTE($H1466&amp;" "," ","|",4))-1),""))/86400+25569+9/24,""))</f>
        <v/>
      </c>
      <c r="G1466" s="58">
        <f>TRIM(SUBSTITUTE(SUBSTITUTE(SUBSTITUTE($A1466,CHAR(9)," ")," "," "),CHAR(13),""))</f>
        <v/>
      </c>
      <c r="H1466" s="58">
        <f>IF($G1466="","",IF(ISNUMBER(FIND(" ",$G1466)),$G1466,IFERROR(IF((LEN(SUBSTITUTE(SUBSTITUTE($G1466,"-"," ",LEN($G1466)-LEN(SUBSTITUTE($G1466,"-",""))),"-"," ",LEN($G1466)-LEN(SUBSTITUTE($G1466,"-",""))-1))-LEN(SUBSTITUTE(SUBSTITUTE(SUBSTITUTE($G1466,"-"," ",LEN($G1466)-LEN(SUBSTITUTE($G1466,"-",""))),"-"," ",LEN($G1466)-LEN(SUBSTITUTE($G1466,"-",""))-1),".","")))=0,SUBSTITUTE(SUBSTITUTE($G1466,"-"," ",LEN($G1466)-LEN(SUBSTITUTE($G1466,"-",""))),"-"," ",LEN($G1466)-LEN(SUBSTITUTE($G1466,"-",""))-1),SUBSTITUTE(SUBSTITUTE(SUBSTITUTE($G1466,"-"," ",LEN($G1466)-LEN(SUBSTITUTE($G1466,"-",""))),"-"," ",LEN($G1466)-LEN(SUBSTITUTE($G1466,"-",""))-1),"."," ",(LEN(SUBSTITUTE(SUBSTITUTE($G1466,"-"," ",LEN($G1466)-LEN(SUBSTITUTE($G1466,"-",""))),"-"," ",LEN($G1466)-LEN(SUBSTITUTE($G1466,"-",""))-1))-LEN(SUBSTITUTE(SUBSTITUTE(SUBSTITUTE($G1466,"-"," ",LEN($G1466)-LEN(SUBSTITUTE($G1466,"-",""))),"-"," ",LEN($G1466)-LEN(SUBSTITUTE($G1466,"-",""))-1),".",""))))),$G1466)))</f>
        <v/>
      </c>
    </row>
    <row r="1467">
      <c r="A1467" s="58" t="n"/>
      <c r="B1467" s="58">
        <f>IF($H1467="","",LEFT($H1467,FIND(" ",$H1467&amp;" ")-1))</f>
        <v/>
      </c>
      <c r="C1467" s="58">
        <f>IF($H1467="","",IFERROR(MID($H1467&amp;" ",FIND("|",SUBSTITUTE($H1467&amp;" "," ","|",1))+1,FIND("|",SUBSTITUTE($H1467&amp;" "," ","|",2))-FIND("|",SUBSTITUTE($H1467&amp;" "," ","|",1))-1),""))</f>
        <v/>
      </c>
      <c r="D1467" s="58">
        <f>IF($H1467="","",IFERROR(MID($H1467&amp;" ",FIND("|",SUBSTITUTE($H1467&amp;" "," ","|",2))+1,FIND("|",SUBSTITUTE($H1467&amp;" "," ","|",3))-FIND("|",SUBSTITUTE($H1467&amp;" "," ","|",2))-1),""))</f>
        <v/>
      </c>
      <c r="E1467" s="58">
        <f>IF($H1467="","",IFERROR(MID($H1467&amp;" ",FIND("|",SUBSTITUTE($H1467&amp;" "," ","|",3))+1,FIND("|",SUBSTITUTE($H1467&amp;" "," ","|",4))-FIND("|",SUBSTITUTE($H1467&amp;" "," ","|",3))-1),""))</f>
        <v/>
      </c>
      <c r="F1467" s="59">
        <f>IF($H1467="","",IFERROR(VALUE(IFERROR(MID($H1467&amp;" ",FIND("|",SUBSTITUTE($H1467&amp;" "," ","|",4))+1,FIND("|",SUBSTITUTE($H1467&amp;" "," ","|",5))-FIND("|",SUBSTITUTE($H1467&amp;" "," ","|",4))-1),""))/86400+25569+9/24,""))</f>
        <v/>
      </c>
      <c r="G1467" s="58">
        <f>TRIM(SUBSTITUTE(SUBSTITUTE(SUBSTITUTE($A1467,CHAR(9)," ")," "," "),CHAR(13),""))</f>
        <v/>
      </c>
      <c r="H1467" s="58">
        <f>IF($G1467="","",IF(ISNUMBER(FIND(" ",$G1467)),$G1467,IFERROR(IF((LEN(SUBSTITUTE(SUBSTITUTE($G1467,"-"," ",LEN($G1467)-LEN(SUBSTITUTE($G1467,"-",""))),"-"," ",LEN($G1467)-LEN(SUBSTITUTE($G1467,"-",""))-1))-LEN(SUBSTITUTE(SUBSTITUTE(SUBSTITUTE($G1467,"-"," ",LEN($G1467)-LEN(SUBSTITUTE($G1467,"-",""))),"-"," ",LEN($G1467)-LEN(SUBSTITUTE($G1467,"-",""))-1),".","")))=0,SUBSTITUTE(SUBSTITUTE($G1467,"-"," ",LEN($G1467)-LEN(SUBSTITUTE($G1467,"-",""))),"-"," ",LEN($G1467)-LEN(SUBSTITUTE($G1467,"-",""))-1),SUBSTITUTE(SUBSTITUTE(SUBSTITUTE($G1467,"-"," ",LEN($G1467)-LEN(SUBSTITUTE($G1467,"-",""))),"-"," ",LEN($G1467)-LEN(SUBSTITUTE($G1467,"-",""))-1),"."," ",(LEN(SUBSTITUTE(SUBSTITUTE($G1467,"-"," ",LEN($G1467)-LEN(SUBSTITUTE($G1467,"-",""))),"-"," ",LEN($G1467)-LEN(SUBSTITUTE($G1467,"-",""))-1))-LEN(SUBSTITUTE(SUBSTITUTE(SUBSTITUTE($G1467,"-"," ",LEN($G1467)-LEN(SUBSTITUTE($G1467,"-",""))),"-"," ",LEN($G1467)-LEN(SUBSTITUTE($G1467,"-",""))-1),".",""))))),$G1467)))</f>
        <v/>
      </c>
    </row>
    <row r="1468">
      <c r="A1468" s="58" t="n"/>
      <c r="B1468" s="58">
        <f>IF($H1468="","",LEFT($H1468,FIND(" ",$H1468&amp;" ")-1))</f>
        <v/>
      </c>
      <c r="C1468" s="58">
        <f>IF($H1468="","",IFERROR(MID($H1468&amp;" ",FIND("|",SUBSTITUTE($H1468&amp;" "," ","|",1))+1,FIND("|",SUBSTITUTE($H1468&amp;" "," ","|",2))-FIND("|",SUBSTITUTE($H1468&amp;" "," ","|",1))-1),""))</f>
        <v/>
      </c>
      <c r="D1468" s="58">
        <f>IF($H1468="","",IFERROR(MID($H1468&amp;" ",FIND("|",SUBSTITUTE($H1468&amp;" "," ","|",2))+1,FIND("|",SUBSTITUTE($H1468&amp;" "," ","|",3))-FIND("|",SUBSTITUTE($H1468&amp;" "," ","|",2))-1),""))</f>
        <v/>
      </c>
      <c r="E1468" s="58">
        <f>IF($H1468="","",IFERROR(MID($H1468&amp;" ",FIND("|",SUBSTITUTE($H1468&amp;" "," ","|",3))+1,FIND("|",SUBSTITUTE($H1468&amp;" "," ","|",4))-FIND("|",SUBSTITUTE($H1468&amp;" "," ","|",3))-1),""))</f>
        <v/>
      </c>
      <c r="F1468" s="59">
        <f>IF($H1468="","",IFERROR(VALUE(IFERROR(MID($H1468&amp;" ",FIND("|",SUBSTITUTE($H1468&amp;" "," ","|",4))+1,FIND("|",SUBSTITUTE($H1468&amp;" "," ","|",5))-FIND("|",SUBSTITUTE($H1468&amp;" "," ","|",4))-1),""))/86400+25569+9/24,""))</f>
        <v/>
      </c>
      <c r="G1468" s="58">
        <f>TRIM(SUBSTITUTE(SUBSTITUTE(SUBSTITUTE($A1468,CHAR(9)," ")," "," "),CHAR(13),""))</f>
        <v/>
      </c>
      <c r="H1468" s="58">
        <f>IF($G1468="","",IF(ISNUMBER(FIND(" ",$G1468)),$G1468,IFERROR(IF((LEN(SUBSTITUTE(SUBSTITUTE($G1468,"-"," ",LEN($G1468)-LEN(SUBSTITUTE($G1468,"-",""))),"-"," ",LEN($G1468)-LEN(SUBSTITUTE($G1468,"-",""))-1))-LEN(SUBSTITUTE(SUBSTITUTE(SUBSTITUTE($G1468,"-"," ",LEN($G1468)-LEN(SUBSTITUTE($G1468,"-",""))),"-"," ",LEN($G1468)-LEN(SUBSTITUTE($G1468,"-",""))-1),".","")))=0,SUBSTITUTE(SUBSTITUTE($G1468,"-"," ",LEN($G1468)-LEN(SUBSTITUTE($G1468,"-",""))),"-"," ",LEN($G1468)-LEN(SUBSTITUTE($G1468,"-",""))-1),SUBSTITUTE(SUBSTITUTE(SUBSTITUTE($G1468,"-"," ",LEN($G1468)-LEN(SUBSTITUTE($G1468,"-",""))),"-"," ",LEN($G1468)-LEN(SUBSTITUTE($G1468,"-",""))-1),"."," ",(LEN(SUBSTITUTE(SUBSTITUTE($G1468,"-"," ",LEN($G1468)-LEN(SUBSTITUTE($G1468,"-",""))),"-"," ",LEN($G1468)-LEN(SUBSTITUTE($G1468,"-",""))-1))-LEN(SUBSTITUTE(SUBSTITUTE(SUBSTITUTE($G1468,"-"," ",LEN($G1468)-LEN(SUBSTITUTE($G1468,"-",""))),"-"," ",LEN($G1468)-LEN(SUBSTITUTE($G1468,"-",""))-1),".",""))))),$G1468)))</f>
        <v/>
      </c>
    </row>
    <row r="1469">
      <c r="A1469" s="58" t="n"/>
      <c r="B1469" s="58">
        <f>IF($H1469="","",LEFT($H1469,FIND(" ",$H1469&amp;" ")-1))</f>
        <v/>
      </c>
      <c r="C1469" s="58">
        <f>IF($H1469="","",IFERROR(MID($H1469&amp;" ",FIND("|",SUBSTITUTE($H1469&amp;" "," ","|",1))+1,FIND("|",SUBSTITUTE($H1469&amp;" "," ","|",2))-FIND("|",SUBSTITUTE($H1469&amp;" "," ","|",1))-1),""))</f>
        <v/>
      </c>
      <c r="D1469" s="58">
        <f>IF($H1469="","",IFERROR(MID($H1469&amp;" ",FIND("|",SUBSTITUTE($H1469&amp;" "," ","|",2))+1,FIND("|",SUBSTITUTE($H1469&amp;" "," ","|",3))-FIND("|",SUBSTITUTE($H1469&amp;" "," ","|",2))-1),""))</f>
        <v/>
      </c>
      <c r="E1469" s="58">
        <f>IF($H1469="","",IFERROR(MID($H1469&amp;" ",FIND("|",SUBSTITUTE($H1469&amp;" "," ","|",3))+1,FIND("|",SUBSTITUTE($H1469&amp;" "," ","|",4))-FIND("|",SUBSTITUTE($H1469&amp;" "," ","|",3))-1),""))</f>
        <v/>
      </c>
      <c r="F1469" s="59">
        <f>IF($H1469="","",IFERROR(VALUE(IFERROR(MID($H1469&amp;" ",FIND("|",SUBSTITUTE($H1469&amp;" "," ","|",4))+1,FIND("|",SUBSTITUTE($H1469&amp;" "," ","|",5))-FIND("|",SUBSTITUTE($H1469&amp;" "," ","|",4))-1),""))/86400+25569+9/24,""))</f>
        <v/>
      </c>
      <c r="G1469" s="58">
        <f>TRIM(SUBSTITUTE(SUBSTITUTE(SUBSTITUTE($A1469,CHAR(9)," ")," "," "),CHAR(13),""))</f>
        <v/>
      </c>
      <c r="H1469" s="58">
        <f>IF($G1469="","",IF(ISNUMBER(FIND(" ",$G1469)),$G1469,IFERROR(IF((LEN(SUBSTITUTE(SUBSTITUTE($G1469,"-"," ",LEN($G1469)-LEN(SUBSTITUTE($G1469,"-",""))),"-"," ",LEN($G1469)-LEN(SUBSTITUTE($G1469,"-",""))-1))-LEN(SUBSTITUTE(SUBSTITUTE(SUBSTITUTE($G1469,"-"," ",LEN($G1469)-LEN(SUBSTITUTE($G1469,"-",""))),"-"," ",LEN($G1469)-LEN(SUBSTITUTE($G1469,"-",""))-1),".","")))=0,SUBSTITUTE(SUBSTITUTE($G1469,"-"," ",LEN($G1469)-LEN(SUBSTITUTE($G1469,"-",""))),"-"," ",LEN($G1469)-LEN(SUBSTITUTE($G1469,"-",""))-1),SUBSTITUTE(SUBSTITUTE(SUBSTITUTE($G1469,"-"," ",LEN($G1469)-LEN(SUBSTITUTE($G1469,"-",""))),"-"," ",LEN($G1469)-LEN(SUBSTITUTE($G1469,"-",""))-1),"."," ",(LEN(SUBSTITUTE(SUBSTITUTE($G1469,"-"," ",LEN($G1469)-LEN(SUBSTITUTE($G1469,"-",""))),"-"," ",LEN($G1469)-LEN(SUBSTITUTE($G1469,"-",""))-1))-LEN(SUBSTITUTE(SUBSTITUTE(SUBSTITUTE($G1469,"-"," ",LEN($G1469)-LEN(SUBSTITUTE($G1469,"-",""))),"-"," ",LEN($G1469)-LEN(SUBSTITUTE($G1469,"-",""))-1),".",""))))),$G1469)))</f>
        <v/>
      </c>
    </row>
    <row r="1470">
      <c r="A1470" s="58" t="n"/>
      <c r="B1470" s="58">
        <f>IF($H1470="","",LEFT($H1470,FIND(" ",$H1470&amp;" ")-1))</f>
        <v/>
      </c>
      <c r="C1470" s="58">
        <f>IF($H1470="","",IFERROR(MID($H1470&amp;" ",FIND("|",SUBSTITUTE($H1470&amp;" "," ","|",1))+1,FIND("|",SUBSTITUTE($H1470&amp;" "," ","|",2))-FIND("|",SUBSTITUTE($H1470&amp;" "," ","|",1))-1),""))</f>
        <v/>
      </c>
      <c r="D1470" s="58">
        <f>IF($H1470="","",IFERROR(MID($H1470&amp;" ",FIND("|",SUBSTITUTE($H1470&amp;" "," ","|",2))+1,FIND("|",SUBSTITUTE($H1470&amp;" "," ","|",3))-FIND("|",SUBSTITUTE($H1470&amp;" "," ","|",2))-1),""))</f>
        <v/>
      </c>
      <c r="E1470" s="58">
        <f>IF($H1470="","",IFERROR(MID($H1470&amp;" ",FIND("|",SUBSTITUTE($H1470&amp;" "," ","|",3))+1,FIND("|",SUBSTITUTE($H1470&amp;" "," ","|",4))-FIND("|",SUBSTITUTE($H1470&amp;" "," ","|",3))-1),""))</f>
        <v/>
      </c>
      <c r="F1470" s="59">
        <f>IF($H1470="","",IFERROR(VALUE(IFERROR(MID($H1470&amp;" ",FIND("|",SUBSTITUTE($H1470&amp;" "," ","|",4))+1,FIND("|",SUBSTITUTE($H1470&amp;" "," ","|",5))-FIND("|",SUBSTITUTE($H1470&amp;" "," ","|",4))-1),""))/86400+25569+9/24,""))</f>
        <v/>
      </c>
      <c r="G1470" s="58">
        <f>TRIM(SUBSTITUTE(SUBSTITUTE(SUBSTITUTE($A1470,CHAR(9)," ")," "," "),CHAR(13),""))</f>
        <v/>
      </c>
      <c r="H1470" s="58">
        <f>IF($G1470="","",IF(ISNUMBER(FIND(" ",$G1470)),$G1470,IFERROR(IF((LEN(SUBSTITUTE(SUBSTITUTE($G1470,"-"," ",LEN($G1470)-LEN(SUBSTITUTE($G1470,"-",""))),"-"," ",LEN($G1470)-LEN(SUBSTITUTE($G1470,"-",""))-1))-LEN(SUBSTITUTE(SUBSTITUTE(SUBSTITUTE($G1470,"-"," ",LEN($G1470)-LEN(SUBSTITUTE($G1470,"-",""))),"-"," ",LEN($G1470)-LEN(SUBSTITUTE($G1470,"-",""))-1),".","")))=0,SUBSTITUTE(SUBSTITUTE($G1470,"-"," ",LEN($G1470)-LEN(SUBSTITUTE($G1470,"-",""))),"-"," ",LEN($G1470)-LEN(SUBSTITUTE($G1470,"-",""))-1),SUBSTITUTE(SUBSTITUTE(SUBSTITUTE($G1470,"-"," ",LEN($G1470)-LEN(SUBSTITUTE($G1470,"-",""))),"-"," ",LEN($G1470)-LEN(SUBSTITUTE($G1470,"-",""))-1),"."," ",(LEN(SUBSTITUTE(SUBSTITUTE($G1470,"-"," ",LEN($G1470)-LEN(SUBSTITUTE($G1470,"-",""))),"-"," ",LEN($G1470)-LEN(SUBSTITUTE($G1470,"-",""))-1))-LEN(SUBSTITUTE(SUBSTITUTE(SUBSTITUTE($G1470,"-"," ",LEN($G1470)-LEN(SUBSTITUTE($G1470,"-",""))),"-"," ",LEN($G1470)-LEN(SUBSTITUTE($G1470,"-",""))-1),".",""))))),$G1470)))</f>
        <v/>
      </c>
    </row>
    <row r="1471">
      <c r="A1471" s="58" t="n"/>
      <c r="B1471" s="58">
        <f>IF($H1471="","",LEFT($H1471,FIND(" ",$H1471&amp;" ")-1))</f>
        <v/>
      </c>
      <c r="C1471" s="58">
        <f>IF($H1471="","",IFERROR(MID($H1471&amp;" ",FIND("|",SUBSTITUTE($H1471&amp;" "," ","|",1))+1,FIND("|",SUBSTITUTE($H1471&amp;" "," ","|",2))-FIND("|",SUBSTITUTE($H1471&amp;" "," ","|",1))-1),""))</f>
        <v/>
      </c>
      <c r="D1471" s="58">
        <f>IF($H1471="","",IFERROR(MID($H1471&amp;" ",FIND("|",SUBSTITUTE($H1471&amp;" "," ","|",2))+1,FIND("|",SUBSTITUTE($H1471&amp;" "," ","|",3))-FIND("|",SUBSTITUTE($H1471&amp;" "," ","|",2))-1),""))</f>
        <v/>
      </c>
      <c r="E1471" s="58">
        <f>IF($H1471="","",IFERROR(MID($H1471&amp;" ",FIND("|",SUBSTITUTE($H1471&amp;" "," ","|",3))+1,FIND("|",SUBSTITUTE($H1471&amp;" "," ","|",4))-FIND("|",SUBSTITUTE($H1471&amp;" "," ","|",3))-1),""))</f>
        <v/>
      </c>
      <c r="F1471" s="59">
        <f>IF($H1471="","",IFERROR(VALUE(IFERROR(MID($H1471&amp;" ",FIND("|",SUBSTITUTE($H1471&amp;" "," ","|",4))+1,FIND("|",SUBSTITUTE($H1471&amp;" "," ","|",5))-FIND("|",SUBSTITUTE($H1471&amp;" "," ","|",4))-1),""))/86400+25569+9/24,""))</f>
        <v/>
      </c>
      <c r="G1471" s="58">
        <f>TRIM(SUBSTITUTE(SUBSTITUTE(SUBSTITUTE($A1471,CHAR(9)," ")," "," "),CHAR(13),""))</f>
        <v/>
      </c>
      <c r="H1471" s="58">
        <f>IF($G1471="","",IF(ISNUMBER(FIND(" ",$G1471)),$G1471,IFERROR(IF((LEN(SUBSTITUTE(SUBSTITUTE($G1471,"-"," ",LEN($G1471)-LEN(SUBSTITUTE($G1471,"-",""))),"-"," ",LEN($G1471)-LEN(SUBSTITUTE($G1471,"-",""))-1))-LEN(SUBSTITUTE(SUBSTITUTE(SUBSTITUTE($G1471,"-"," ",LEN($G1471)-LEN(SUBSTITUTE($G1471,"-",""))),"-"," ",LEN($G1471)-LEN(SUBSTITUTE($G1471,"-",""))-1),".","")))=0,SUBSTITUTE(SUBSTITUTE($G1471,"-"," ",LEN($G1471)-LEN(SUBSTITUTE($G1471,"-",""))),"-"," ",LEN($G1471)-LEN(SUBSTITUTE($G1471,"-",""))-1),SUBSTITUTE(SUBSTITUTE(SUBSTITUTE($G1471,"-"," ",LEN($G1471)-LEN(SUBSTITUTE($G1471,"-",""))),"-"," ",LEN($G1471)-LEN(SUBSTITUTE($G1471,"-",""))-1),"."," ",(LEN(SUBSTITUTE(SUBSTITUTE($G1471,"-"," ",LEN($G1471)-LEN(SUBSTITUTE($G1471,"-",""))),"-"," ",LEN($G1471)-LEN(SUBSTITUTE($G1471,"-",""))-1))-LEN(SUBSTITUTE(SUBSTITUTE(SUBSTITUTE($G1471,"-"," ",LEN($G1471)-LEN(SUBSTITUTE($G1471,"-",""))),"-"," ",LEN($G1471)-LEN(SUBSTITUTE($G1471,"-",""))-1),".",""))))),$G1471)))</f>
        <v/>
      </c>
    </row>
    <row r="1472">
      <c r="A1472" s="58" t="n"/>
      <c r="B1472" s="58">
        <f>IF($H1472="","",LEFT($H1472,FIND(" ",$H1472&amp;" ")-1))</f>
        <v/>
      </c>
      <c r="C1472" s="58">
        <f>IF($H1472="","",IFERROR(MID($H1472&amp;" ",FIND("|",SUBSTITUTE($H1472&amp;" "," ","|",1))+1,FIND("|",SUBSTITUTE($H1472&amp;" "," ","|",2))-FIND("|",SUBSTITUTE($H1472&amp;" "," ","|",1))-1),""))</f>
        <v/>
      </c>
      <c r="D1472" s="58">
        <f>IF($H1472="","",IFERROR(MID($H1472&amp;" ",FIND("|",SUBSTITUTE($H1472&amp;" "," ","|",2))+1,FIND("|",SUBSTITUTE($H1472&amp;" "," ","|",3))-FIND("|",SUBSTITUTE($H1472&amp;" "," ","|",2))-1),""))</f>
        <v/>
      </c>
      <c r="E1472" s="58">
        <f>IF($H1472="","",IFERROR(MID($H1472&amp;" ",FIND("|",SUBSTITUTE($H1472&amp;" "," ","|",3))+1,FIND("|",SUBSTITUTE($H1472&amp;" "," ","|",4))-FIND("|",SUBSTITUTE($H1472&amp;" "," ","|",3))-1),""))</f>
        <v/>
      </c>
      <c r="F1472" s="59">
        <f>IF($H1472="","",IFERROR(VALUE(IFERROR(MID($H1472&amp;" ",FIND("|",SUBSTITUTE($H1472&amp;" "," ","|",4))+1,FIND("|",SUBSTITUTE($H1472&amp;" "," ","|",5))-FIND("|",SUBSTITUTE($H1472&amp;" "," ","|",4))-1),""))/86400+25569+9/24,""))</f>
        <v/>
      </c>
      <c r="G1472" s="58">
        <f>TRIM(SUBSTITUTE(SUBSTITUTE(SUBSTITUTE($A1472,CHAR(9)," ")," "," "),CHAR(13),""))</f>
        <v/>
      </c>
      <c r="H1472" s="58">
        <f>IF($G1472="","",IF(ISNUMBER(FIND(" ",$G1472)),$G1472,IFERROR(IF((LEN(SUBSTITUTE(SUBSTITUTE($G1472,"-"," ",LEN($G1472)-LEN(SUBSTITUTE($G1472,"-",""))),"-"," ",LEN($G1472)-LEN(SUBSTITUTE($G1472,"-",""))-1))-LEN(SUBSTITUTE(SUBSTITUTE(SUBSTITUTE($G1472,"-"," ",LEN($G1472)-LEN(SUBSTITUTE($G1472,"-",""))),"-"," ",LEN($G1472)-LEN(SUBSTITUTE($G1472,"-",""))-1),".","")))=0,SUBSTITUTE(SUBSTITUTE($G1472,"-"," ",LEN($G1472)-LEN(SUBSTITUTE($G1472,"-",""))),"-"," ",LEN($G1472)-LEN(SUBSTITUTE($G1472,"-",""))-1),SUBSTITUTE(SUBSTITUTE(SUBSTITUTE($G1472,"-"," ",LEN($G1472)-LEN(SUBSTITUTE($G1472,"-",""))),"-"," ",LEN($G1472)-LEN(SUBSTITUTE($G1472,"-",""))-1),"."," ",(LEN(SUBSTITUTE(SUBSTITUTE($G1472,"-"," ",LEN($G1472)-LEN(SUBSTITUTE($G1472,"-",""))),"-"," ",LEN($G1472)-LEN(SUBSTITUTE($G1472,"-",""))-1))-LEN(SUBSTITUTE(SUBSTITUTE(SUBSTITUTE($G1472,"-"," ",LEN($G1472)-LEN(SUBSTITUTE($G1472,"-",""))),"-"," ",LEN($G1472)-LEN(SUBSTITUTE($G1472,"-",""))-1),".",""))))),$G1472)))</f>
        <v/>
      </c>
    </row>
    <row r="1473">
      <c r="A1473" s="58" t="n"/>
      <c r="B1473" s="58">
        <f>IF($H1473="","",LEFT($H1473,FIND(" ",$H1473&amp;" ")-1))</f>
        <v/>
      </c>
      <c r="C1473" s="58">
        <f>IF($H1473="","",IFERROR(MID($H1473&amp;" ",FIND("|",SUBSTITUTE($H1473&amp;" "," ","|",1))+1,FIND("|",SUBSTITUTE($H1473&amp;" "," ","|",2))-FIND("|",SUBSTITUTE($H1473&amp;" "," ","|",1))-1),""))</f>
        <v/>
      </c>
      <c r="D1473" s="58">
        <f>IF($H1473="","",IFERROR(MID($H1473&amp;" ",FIND("|",SUBSTITUTE($H1473&amp;" "," ","|",2))+1,FIND("|",SUBSTITUTE($H1473&amp;" "," ","|",3))-FIND("|",SUBSTITUTE($H1473&amp;" "," ","|",2))-1),""))</f>
        <v/>
      </c>
      <c r="E1473" s="58">
        <f>IF($H1473="","",IFERROR(MID($H1473&amp;" ",FIND("|",SUBSTITUTE($H1473&amp;" "," ","|",3))+1,FIND("|",SUBSTITUTE($H1473&amp;" "," ","|",4))-FIND("|",SUBSTITUTE($H1473&amp;" "," ","|",3))-1),""))</f>
        <v/>
      </c>
      <c r="F1473" s="59">
        <f>IF($H1473="","",IFERROR(VALUE(IFERROR(MID($H1473&amp;" ",FIND("|",SUBSTITUTE($H1473&amp;" "," ","|",4))+1,FIND("|",SUBSTITUTE($H1473&amp;" "," ","|",5))-FIND("|",SUBSTITUTE($H1473&amp;" "," ","|",4))-1),""))/86400+25569+9/24,""))</f>
        <v/>
      </c>
      <c r="G1473" s="58">
        <f>TRIM(SUBSTITUTE(SUBSTITUTE(SUBSTITUTE($A1473,CHAR(9)," ")," "," "),CHAR(13),""))</f>
        <v/>
      </c>
      <c r="H1473" s="58">
        <f>IF($G1473="","",IF(ISNUMBER(FIND(" ",$G1473)),$G1473,IFERROR(IF((LEN(SUBSTITUTE(SUBSTITUTE($G1473,"-"," ",LEN($G1473)-LEN(SUBSTITUTE($G1473,"-",""))),"-"," ",LEN($G1473)-LEN(SUBSTITUTE($G1473,"-",""))-1))-LEN(SUBSTITUTE(SUBSTITUTE(SUBSTITUTE($G1473,"-"," ",LEN($G1473)-LEN(SUBSTITUTE($G1473,"-",""))),"-"," ",LEN($G1473)-LEN(SUBSTITUTE($G1473,"-",""))-1),".","")))=0,SUBSTITUTE(SUBSTITUTE($G1473,"-"," ",LEN($G1473)-LEN(SUBSTITUTE($G1473,"-",""))),"-"," ",LEN($G1473)-LEN(SUBSTITUTE($G1473,"-",""))-1),SUBSTITUTE(SUBSTITUTE(SUBSTITUTE($G1473,"-"," ",LEN($G1473)-LEN(SUBSTITUTE($G1473,"-",""))),"-"," ",LEN($G1473)-LEN(SUBSTITUTE($G1473,"-",""))-1),"."," ",(LEN(SUBSTITUTE(SUBSTITUTE($G1473,"-"," ",LEN($G1473)-LEN(SUBSTITUTE($G1473,"-",""))),"-"," ",LEN($G1473)-LEN(SUBSTITUTE($G1473,"-",""))-1))-LEN(SUBSTITUTE(SUBSTITUTE(SUBSTITUTE($G1473,"-"," ",LEN($G1473)-LEN(SUBSTITUTE($G1473,"-",""))),"-"," ",LEN($G1473)-LEN(SUBSTITUTE($G1473,"-",""))-1),".",""))))),$G1473)))</f>
        <v/>
      </c>
    </row>
    <row r="1474">
      <c r="A1474" s="58" t="n"/>
      <c r="B1474" s="58">
        <f>IF($H1474="","",LEFT($H1474,FIND(" ",$H1474&amp;" ")-1))</f>
        <v/>
      </c>
      <c r="C1474" s="58">
        <f>IF($H1474="","",IFERROR(MID($H1474&amp;" ",FIND("|",SUBSTITUTE($H1474&amp;" "," ","|",1))+1,FIND("|",SUBSTITUTE($H1474&amp;" "," ","|",2))-FIND("|",SUBSTITUTE($H1474&amp;" "," ","|",1))-1),""))</f>
        <v/>
      </c>
      <c r="D1474" s="58">
        <f>IF($H1474="","",IFERROR(MID($H1474&amp;" ",FIND("|",SUBSTITUTE($H1474&amp;" "," ","|",2))+1,FIND("|",SUBSTITUTE($H1474&amp;" "," ","|",3))-FIND("|",SUBSTITUTE($H1474&amp;" "," ","|",2))-1),""))</f>
        <v/>
      </c>
      <c r="E1474" s="58">
        <f>IF($H1474="","",IFERROR(MID($H1474&amp;" ",FIND("|",SUBSTITUTE($H1474&amp;" "," ","|",3))+1,FIND("|",SUBSTITUTE($H1474&amp;" "," ","|",4))-FIND("|",SUBSTITUTE($H1474&amp;" "," ","|",3))-1),""))</f>
        <v/>
      </c>
      <c r="F1474" s="59">
        <f>IF($H1474="","",IFERROR(VALUE(IFERROR(MID($H1474&amp;" ",FIND("|",SUBSTITUTE($H1474&amp;" "," ","|",4))+1,FIND("|",SUBSTITUTE($H1474&amp;" "," ","|",5))-FIND("|",SUBSTITUTE($H1474&amp;" "," ","|",4))-1),""))/86400+25569+9/24,""))</f>
        <v/>
      </c>
      <c r="G1474" s="58">
        <f>TRIM(SUBSTITUTE(SUBSTITUTE(SUBSTITUTE($A1474,CHAR(9)," ")," "," "),CHAR(13),""))</f>
        <v/>
      </c>
      <c r="H1474" s="58">
        <f>IF($G1474="","",IF(ISNUMBER(FIND(" ",$G1474)),$G1474,IFERROR(IF((LEN(SUBSTITUTE(SUBSTITUTE($G1474,"-"," ",LEN($G1474)-LEN(SUBSTITUTE($G1474,"-",""))),"-"," ",LEN($G1474)-LEN(SUBSTITUTE($G1474,"-",""))-1))-LEN(SUBSTITUTE(SUBSTITUTE(SUBSTITUTE($G1474,"-"," ",LEN($G1474)-LEN(SUBSTITUTE($G1474,"-",""))),"-"," ",LEN($G1474)-LEN(SUBSTITUTE($G1474,"-",""))-1),".","")))=0,SUBSTITUTE(SUBSTITUTE($G1474,"-"," ",LEN($G1474)-LEN(SUBSTITUTE($G1474,"-",""))),"-"," ",LEN($G1474)-LEN(SUBSTITUTE($G1474,"-",""))-1),SUBSTITUTE(SUBSTITUTE(SUBSTITUTE($G1474,"-"," ",LEN($G1474)-LEN(SUBSTITUTE($G1474,"-",""))),"-"," ",LEN($G1474)-LEN(SUBSTITUTE($G1474,"-",""))-1),"."," ",(LEN(SUBSTITUTE(SUBSTITUTE($G1474,"-"," ",LEN($G1474)-LEN(SUBSTITUTE($G1474,"-",""))),"-"," ",LEN($G1474)-LEN(SUBSTITUTE($G1474,"-",""))-1))-LEN(SUBSTITUTE(SUBSTITUTE(SUBSTITUTE($G1474,"-"," ",LEN($G1474)-LEN(SUBSTITUTE($G1474,"-",""))),"-"," ",LEN($G1474)-LEN(SUBSTITUTE($G1474,"-",""))-1),".",""))))),$G1474)))</f>
        <v/>
      </c>
    </row>
    <row r="1475">
      <c r="A1475" s="58" t="n"/>
      <c r="B1475" s="58">
        <f>IF($H1475="","",LEFT($H1475,FIND(" ",$H1475&amp;" ")-1))</f>
        <v/>
      </c>
      <c r="C1475" s="58">
        <f>IF($H1475="","",IFERROR(MID($H1475&amp;" ",FIND("|",SUBSTITUTE($H1475&amp;" "," ","|",1))+1,FIND("|",SUBSTITUTE($H1475&amp;" "," ","|",2))-FIND("|",SUBSTITUTE($H1475&amp;" "," ","|",1))-1),""))</f>
        <v/>
      </c>
      <c r="D1475" s="58">
        <f>IF($H1475="","",IFERROR(MID($H1475&amp;" ",FIND("|",SUBSTITUTE($H1475&amp;" "," ","|",2))+1,FIND("|",SUBSTITUTE($H1475&amp;" "," ","|",3))-FIND("|",SUBSTITUTE($H1475&amp;" "," ","|",2))-1),""))</f>
        <v/>
      </c>
      <c r="E1475" s="58">
        <f>IF($H1475="","",IFERROR(MID($H1475&amp;" ",FIND("|",SUBSTITUTE($H1475&amp;" "," ","|",3))+1,FIND("|",SUBSTITUTE($H1475&amp;" "," ","|",4))-FIND("|",SUBSTITUTE($H1475&amp;" "," ","|",3))-1),""))</f>
        <v/>
      </c>
      <c r="F1475" s="59">
        <f>IF($H1475="","",IFERROR(VALUE(IFERROR(MID($H1475&amp;" ",FIND("|",SUBSTITUTE($H1475&amp;" "," ","|",4))+1,FIND("|",SUBSTITUTE($H1475&amp;" "," ","|",5))-FIND("|",SUBSTITUTE($H1475&amp;" "," ","|",4))-1),""))/86400+25569+9/24,""))</f>
        <v/>
      </c>
      <c r="G1475" s="58">
        <f>TRIM(SUBSTITUTE(SUBSTITUTE(SUBSTITUTE($A1475,CHAR(9)," ")," "," "),CHAR(13),""))</f>
        <v/>
      </c>
      <c r="H1475" s="58">
        <f>IF($G1475="","",IF(ISNUMBER(FIND(" ",$G1475)),$G1475,IFERROR(IF((LEN(SUBSTITUTE(SUBSTITUTE($G1475,"-"," ",LEN($G1475)-LEN(SUBSTITUTE($G1475,"-",""))),"-"," ",LEN($G1475)-LEN(SUBSTITUTE($G1475,"-",""))-1))-LEN(SUBSTITUTE(SUBSTITUTE(SUBSTITUTE($G1475,"-"," ",LEN($G1475)-LEN(SUBSTITUTE($G1475,"-",""))),"-"," ",LEN($G1475)-LEN(SUBSTITUTE($G1475,"-",""))-1),".","")))=0,SUBSTITUTE(SUBSTITUTE($G1475,"-"," ",LEN($G1475)-LEN(SUBSTITUTE($G1475,"-",""))),"-"," ",LEN($G1475)-LEN(SUBSTITUTE($G1475,"-",""))-1),SUBSTITUTE(SUBSTITUTE(SUBSTITUTE($G1475,"-"," ",LEN($G1475)-LEN(SUBSTITUTE($G1475,"-",""))),"-"," ",LEN($G1475)-LEN(SUBSTITUTE($G1475,"-",""))-1),"."," ",(LEN(SUBSTITUTE(SUBSTITUTE($G1475,"-"," ",LEN($G1475)-LEN(SUBSTITUTE($G1475,"-",""))),"-"," ",LEN($G1475)-LEN(SUBSTITUTE($G1475,"-",""))-1))-LEN(SUBSTITUTE(SUBSTITUTE(SUBSTITUTE($G1475,"-"," ",LEN($G1475)-LEN(SUBSTITUTE($G1475,"-",""))),"-"," ",LEN($G1475)-LEN(SUBSTITUTE($G1475,"-",""))-1),".",""))))),$G1475)))</f>
        <v/>
      </c>
    </row>
    <row r="1476">
      <c r="A1476" s="58" t="n"/>
      <c r="B1476" s="58">
        <f>IF($H1476="","",LEFT($H1476,FIND(" ",$H1476&amp;" ")-1))</f>
        <v/>
      </c>
      <c r="C1476" s="58">
        <f>IF($H1476="","",IFERROR(MID($H1476&amp;" ",FIND("|",SUBSTITUTE($H1476&amp;" "," ","|",1))+1,FIND("|",SUBSTITUTE($H1476&amp;" "," ","|",2))-FIND("|",SUBSTITUTE($H1476&amp;" "," ","|",1))-1),""))</f>
        <v/>
      </c>
      <c r="D1476" s="58">
        <f>IF($H1476="","",IFERROR(MID($H1476&amp;" ",FIND("|",SUBSTITUTE($H1476&amp;" "," ","|",2))+1,FIND("|",SUBSTITUTE($H1476&amp;" "," ","|",3))-FIND("|",SUBSTITUTE($H1476&amp;" "," ","|",2))-1),""))</f>
        <v/>
      </c>
      <c r="E1476" s="58">
        <f>IF($H1476="","",IFERROR(MID($H1476&amp;" ",FIND("|",SUBSTITUTE($H1476&amp;" "," ","|",3))+1,FIND("|",SUBSTITUTE($H1476&amp;" "," ","|",4))-FIND("|",SUBSTITUTE($H1476&amp;" "," ","|",3))-1),""))</f>
        <v/>
      </c>
      <c r="F1476" s="59">
        <f>IF($H1476="","",IFERROR(VALUE(IFERROR(MID($H1476&amp;" ",FIND("|",SUBSTITUTE($H1476&amp;" "," ","|",4))+1,FIND("|",SUBSTITUTE($H1476&amp;" "," ","|",5))-FIND("|",SUBSTITUTE($H1476&amp;" "," ","|",4))-1),""))/86400+25569+9/24,""))</f>
        <v/>
      </c>
      <c r="G1476" s="58">
        <f>TRIM(SUBSTITUTE(SUBSTITUTE(SUBSTITUTE($A1476,CHAR(9)," ")," "," "),CHAR(13),""))</f>
        <v/>
      </c>
      <c r="H1476" s="58">
        <f>IF($G1476="","",IF(ISNUMBER(FIND(" ",$G1476)),$G1476,IFERROR(IF((LEN(SUBSTITUTE(SUBSTITUTE($G1476,"-"," ",LEN($G1476)-LEN(SUBSTITUTE($G1476,"-",""))),"-"," ",LEN($G1476)-LEN(SUBSTITUTE($G1476,"-",""))-1))-LEN(SUBSTITUTE(SUBSTITUTE(SUBSTITUTE($G1476,"-"," ",LEN($G1476)-LEN(SUBSTITUTE($G1476,"-",""))),"-"," ",LEN($G1476)-LEN(SUBSTITUTE($G1476,"-",""))-1),".","")))=0,SUBSTITUTE(SUBSTITUTE($G1476,"-"," ",LEN($G1476)-LEN(SUBSTITUTE($G1476,"-",""))),"-"," ",LEN($G1476)-LEN(SUBSTITUTE($G1476,"-",""))-1),SUBSTITUTE(SUBSTITUTE(SUBSTITUTE($G1476,"-"," ",LEN($G1476)-LEN(SUBSTITUTE($G1476,"-",""))),"-"," ",LEN($G1476)-LEN(SUBSTITUTE($G1476,"-",""))-1),"."," ",(LEN(SUBSTITUTE(SUBSTITUTE($G1476,"-"," ",LEN($G1476)-LEN(SUBSTITUTE($G1476,"-",""))),"-"," ",LEN($G1476)-LEN(SUBSTITUTE($G1476,"-",""))-1))-LEN(SUBSTITUTE(SUBSTITUTE(SUBSTITUTE($G1476,"-"," ",LEN($G1476)-LEN(SUBSTITUTE($G1476,"-",""))),"-"," ",LEN($G1476)-LEN(SUBSTITUTE($G1476,"-",""))-1),".",""))))),$G1476)))</f>
        <v/>
      </c>
    </row>
    <row r="1477">
      <c r="A1477" s="58" t="n"/>
      <c r="B1477" s="58">
        <f>IF($H1477="","",LEFT($H1477,FIND(" ",$H1477&amp;" ")-1))</f>
        <v/>
      </c>
      <c r="C1477" s="58">
        <f>IF($H1477="","",IFERROR(MID($H1477&amp;" ",FIND("|",SUBSTITUTE($H1477&amp;" "," ","|",1))+1,FIND("|",SUBSTITUTE($H1477&amp;" "," ","|",2))-FIND("|",SUBSTITUTE($H1477&amp;" "," ","|",1))-1),""))</f>
        <v/>
      </c>
      <c r="D1477" s="58">
        <f>IF($H1477="","",IFERROR(MID($H1477&amp;" ",FIND("|",SUBSTITUTE($H1477&amp;" "," ","|",2))+1,FIND("|",SUBSTITUTE($H1477&amp;" "," ","|",3))-FIND("|",SUBSTITUTE($H1477&amp;" "," ","|",2))-1),""))</f>
        <v/>
      </c>
      <c r="E1477" s="58">
        <f>IF($H1477="","",IFERROR(MID($H1477&amp;" ",FIND("|",SUBSTITUTE($H1477&amp;" "," ","|",3))+1,FIND("|",SUBSTITUTE($H1477&amp;" "," ","|",4))-FIND("|",SUBSTITUTE($H1477&amp;" "," ","|",3))-1),""))</f>
        <v/>
      </c>
      <c r="F1477" s="59">
        <f>IF($H1477="","",IFERROR(VALUE(IFERROR(MID($H1477&amp;" ",FIND("|",SUBSTITUTE($H1477&amp;" "," ","|",4))+1,FIND("|",SUBSTITUTE($H1477&amp;" "," ","|",5))-FIND("|",SUBSTITUTE($H1477&amp;" "," ","|",4))-1),""))/86400+25569+9/24,""))</f>
        <v/>
      </c>
      <c r="G1477" s="58">
        <f>TRIM(SUBSTITUTE(SUBSTITUTE(SUBSTITUTE($A1477,CHAR(9)," ")," "," "),CHAR(13),""))</f>
        <v/>
      </c>
      <c r="H1477" s="58">
        <f>IF($G1477="","",IF(ISNUMBER(FIND(" ",$G1477)),$G1477,IFERROR(IF((LEN(SUBSTITUTE(SUBSTITUTE($G1477,"-"," ",LEN($G1477)-LEN(SUBSTITUTE($G1477,"-",""))),"-"," ",LEN($G1477)-LEN(SUBSTITUTE($G1477,"-",""))-1))-LEN(SUBSTITUTE(SUBSTITUTE(SUBSTITUTE($G1477,"-"," ",LEN($G1477)-LEN(SUBSTITUTE($G1477,"-",""))),"-"," ",LEN($G1477)-LEN(SUBSTITUTE($G1477,"-",""))-1),".","")))=0,SUBSTITUTE(SUBSTITUTE($G1477,"-"," ",LEN($G1477)-LEN(SUBSTITUTE($G1477,"-",""))),"-"," ",LEN($G1477)-LEN(SUBSTITUTE($G1477,"-",""))-1),SUBSTITUTE(SUBSTITUTE(SUBSTITUTE($G1477,"-"," ",LEN($G1477)-LEN(SUBSTITUTE($G1477,"-",""))),"-"," ",LEN($G1477)-LEN(SUBSTITUTE($G1477,"-",""))-1),"."," ",(LEN(SUBSTITUTE(SUBSTITUTE($G1477,"-"," ",LEN($G1477)-LEN(SUBSTITUTE($G1477,"-",""))),"-"," ",LEN($G1477)-LEN(SUBSTITUTE($G1477,"-",""))-1))-LEN(SUBSTITUTE(SUBSTITUTE(SUBSTITUTE($G1477,"-"," ",LEN($G1477)-LEN(SUBSTITUTE($G1477,"-",""))),"-"," ",LEN($G1477)-LEN(SUBSTITUTE($G1477,"-",""))-1),".",""))))),$G1477)))</f>
        <v/>
      </c>
    </row>
    <row r="1478">
      <c r="A1478" s="58" t="n"/>
      <c r="B1478" s="58">
        <f>IF($H1478="","",LEFT($H1478,FIND(" ",$H1478&amp;" ")-1))</f>
        <v/>
      </c>
      <c r="C1478" s="58">
        <f>IF($H1478="","",IFERROR(MID($H1478&amp;" ",FIND("|",SUBSTITUTE($H1478&amp;" "," ","|",1))+1,FIND("|",SUBSTITUTE($H1478&amp;" "," ","|",2))-FIND("|",SUBSTITUTE($H1478&amp;" "," ","|",1))-1),""))</f>
        <v/>
      </c>
      <c r="D1478" s="58">
        <f>IF($H1478="","",IFERROR(MID($H1478&amp;" ",FIND("|",SUBSTITUTE($H1478&amp;" "," ","|",2))+1,FIND("|",SUBSTITUTE($H1478&amp;" "," ","|",3))-FIND("|",SUBSTITUTE($H1478&amp;" "," ","|",2))-1),""))</f>
        <v/>
      </c>
      <c r="E1478" s="58">
        <f>IF($H1478="","",IFERROR(MID($H1478&amp;" ",FIND("|",SUBSTITUTE($H1478&amp;" "," ","|",3))+1,FIND("|",SUBSTITUTE($H1478&amp;" "," ","|",4))-FIND("|",SUBSTITUTE($H1478&amp;" "," ","|",3))-1),""))</f>
        <v/>
      </c>
      <c r="F1478" s="59">
        <f>IF($H1478="","",IFERROR(VALUE(IFERROR(MID($H1478&amp;" ",FIND("|",SUBSTITUTE($H1478&amp;" "," ","|",4))+1,FIND("|",SUBSTITUTE($H1478&amp;" "," ","|",5))-FIND("|",SUBSTITUTE($H1478&amp;" "," ","|",4))-1),""))/86400+25569+9/24,""))</f>
        <v/>
      </c>
      <c r="G1478" s="58">
        <f>TRIM(SUBSTITUTE(SUBSTITUTE(SUBSTITUTE($A1478,CHAR(9)," ")," "," "),CHAR(13),""))</f>
        <v/>
      </c>
      <c r="H1478" s="58">
        <f>IF($G1478="","",IF(ISNUMBER(FIND(" ",$G1478)),$G1478,IFERROR(IF((LEN(SUBSTITUTE(SUBSTITUTE($G1478,"-"," ",LEN($G1478)-LEN(SUBSTITUTE($G1478,"-",""))),"-"," ",LEN($G1478)-LEN(SUBSTITUTE($G1478,"-",""))-1))-LEN(SUBSTITUTE(SUBSTITUTE(SUBSTITUTE($G1478,"-"," ",LEN($G1478)-LEN(SUBSTITUTE($G1478,"-",""))),"-"," ",LEN($G1478)-LEN(SUBSTITUTE($G1478,"-",""))-1),".","")))=0,SUBSTITUTE(SUBSTITUTE($G1478,"-"," ",LEN($G1478)-LEN(SUBSTITUTE($G1478,"-",""))),"-"," ",LEN($G1478)-LEN(SUBSTITUTE($G1478,"-",""))-1),SUBSTITUTE(SUBSTITUTE(SUBSTITUTE($G1478,"-"," ",LEN($G1478)-LEN(SUBSTITUTE($G1478,"-",""))),"-"," ",LEN($G1478)-LEN(SUBSTITUTE($G1478,"-",""))-1),"."," ",(LEN(SUBSTITUTE(SUBSTITUTE($G1478,"-"," ",LEN($G1478)-LEN(SUBSTITUTE($G1478,"-",""))),"-"," ",LEN($G1478)-LEN(SUBSTITUTE($G1478,"-",""))-1))-LEN(SUBSTITUTE(SUBSTITUTE(SUBSTITUTE($G1478,"-"," ",LEN($G1478)-LEN(SUBSTITUTE($G1478,"-",""))),"-"," ",LEN($G1478)-LEN(SUBSTITUTE($G1478,"-",""))-1),".",""))))),$G1478)))</f>
        <v/>
      </c>
    </row>
    <row r="1479">
      <c r="A1479" s="58" t="n"/>
      <c r="B1479" s="58">
        <f>IF($H1479="","",LEFT($H1479,FIND(" ",$H1479&amp;" ")-1))</f>
        <v/>
      </c>
      <c r="C1479" s="58">
        <f>IF($H1479="","",IFERROR(MID($H1479&amp;" ",FIND("|",SUBSTITUTE($H1479&amp;" "," ","|",1))+1,FIND("|",SUBSTITUTE($H1479&amp;" "," ","|",2))-FIND("|",SUBSTITUTE($H1479&amp;" "," ","|",1))-1),""))</f>
        <v/>
      </c>
      <c r="D1479" s="58">
        <f>IF($H1479="","",IFERROR(MID($H1479&amp;" ",FIND("|",SUBSTITUTE($H1479&amp;" "," ","|",2))+1,FIND("|",SUBSTITUTE($H1479&amp;" "," ","|",3))-FIND("|",SUBSTITUTE($H1479&amp;" "," ","|",2))-1),""))</f>
        <v/>
      </c>
      <c r="E1479" s="58">
        <f>IF($H1479="","",IFERROR(MID($H1479&amp;" ",FIND("|",SUBSTITUTE($H1479&amp;" "," ","|",3))+1,FIND("|",SUBSTITUTE($H1479&amp;" "," ","|",4))-FIND("|",SUBSTITUTE($H1479&amp;" "," ","|",3))-1),""))</f>
        <v/>
      </c>
      <c r="F1479" s="59">
        <f>IF($H1479="","",IFERROR(VALUE(IFERROR(MID($H1479&amp;" ",FIND("|",SUBSTITUTE($H1479&amp;" "," ","|",4))+1,FIND("|",SUBSTITUTE($H1479&amp;" "," ","|",5))-FIND("|",SUBSTITUTE($H1479&amp;" "," ","|",4))-1),""))/86400+25569+9/24,""))</f>
        <v/>
      </c>
      <c r="G1479" s="58">
        <f>TRIM(SUBSTITUTE(SUBSTITUTE(SUBSTITUTE($A1479,CHAR(9)," ")," "," "),CHAR(13),""))</f>
        <v/>
      </c>
      <c r="H1479" s="58">
        <f>IF($G1479="","",IF(ISNUMBER(FIND(" ",$G1479)),$G1479,IFERROR(IF((LEN(SUBSTITUTE(SUBSTITUTE($G1479,"-"," ",LEN($G1479)-LEN(SUBSTITUTE($G1479,"-",""))),"-"," ",LEN($G1479)-LEN(SUBSTITUTE($G1479,"-",""))-1))-LEN(SUBSTITUTE(SUBSTITUTE(SUBSTITUTE($G1479,"-"," ",LEN($G1479)-LEN(SUBSTITUTE($G1479,"-",""))),"-"," ",LEN($G1479)-LEN(SUBSTITUTE($G1479,"-",""))-1),".","")))=0,SUBSTITUTE(SUBSTITUTE($G1479,"-"," ",LEN($G1479)-LEN(SUBSTITUTE($G1479,"-",""))),"-"," ",LEN($G1479)-LEN(SUBSTITUTE($G1479,"-",""))-1),SUBSTITUTE(SUBSTITUTE(SUBSTITUTE($G1479,"-"," ",LEN($G1479)-LEN(SUBSTITUTE($G1479,"-",""))),"-"," ",LEN($G1479)-LEN(SUBSTITUTE($G1479,"-",""))-1),"."," ",(LEN(SUBSTITUTE(SUBSTITUTE($G1479,"-"," ",LEN($G1479)-LEN(SUBSTITUTE($G1479,"-",""))),"-"," ",LEN($G1479)-LEN(SUBSTITUTE($G1479,"-",""))-1))-LEN(SUBSTITUTE(SUBSTITUTE(SUBSTITUTE($G1479,"-"," ",LEN($G1479)-LEN(SUBSTITUTE($G1479,"-",""))),"-"," ",LEN($G1479)-LEN(SUBSTITUTE($G1479,"-",""))-1),".",""))))),$G1479)))</f>
        <v/>
      </c>
    </row>
    <row r="1480">
      <c r="A1480" s="58" t="n"/>
      <c r="B1480" s="58">
        <f>IF($H1480="","",LEFT($H1480,FIND(" ",$H1480&amp;" ")-1))</f>
        <v/>
      </c>
      <c r="C1480" s="58">
        <f>IF($H1480="","",IFERROR(MID($H1480&amp;" ",FIND("|",SUBSTITUTE($H1480&amp;" "," ","|",1))+1,FIND("|",SUBSTITUTE($H1480&amp;" "," ","|",2))-FIND("|",SUBSTITUTE($H1480&amp;" "," ","|",1))-1),""))</f>
        <v/>
      </c>
      <c r="D1480" s="58">
        <f>IF($H1480="","",IFERROR(MID($H1480&amp;" ",FIND("|",SUBSTITUTE($H1480&amp;" "," ","|",2))+1,FIND("|",SUBSTITUTE($H1480&amp;" "," ","|",3))-FIND("|",SUBSTITUTE($H1480&amp;" "," ","|",2))-1),""))</f>
        <v/>
      </c>
      <c r="E1480" s="58">
        <f>IF($H1480="","",IFERROR(MID($H1480&amp;" ",FIND("|",SUBSTITUTE($H1480&amp;" "," ","|",3))+1,FIND("|",SUBSTITUTE($H1480&amp;" "," ","|",4))-FIND("|",SUBSTITUTE($H1480&amp;" "," ","|",3))-1),""))</f>
        <v/>
      </c>
      <c r="F1480" s="59">
        <f>IF($H1480="","",IFERROR(VALUE(IFERROR(MID($H1480&amp;" ",FIND("|",SUBSTITUTE($H1480&amp;" "," ","|",4))+1,FIND("|",SUBSTITUTE($H1480&amp;" "," ","|",5))-FIND("|",SUBSTITUTE($H1480&amp;" "," ","|",4))-1),""))/86400+25569+9/24,""))</f>
        <v/>
      </c>
      <c r="G1480" s="58">
        <f>TRIM(SUBSTITUTE(SUBSTITUTE(SUBSTITUTE($A1480,CHAR(9)," ")," "," "),CHAR(13),""))</f>
        <v/>
      </c>
      <c r="H1480" s="58">
        <f>IF($G1480="","",IF(ISNUMBER(FIND(" ",$G1480)),$G1480,IFERROR(IF((LEN(SUBSTITUTE(SUBSTITUTE($G1480,"-"," ",LEN($G1480)-LEN(SUBSTITUTE($G1480,"-",""))),"-"," ",LEN($G1480)-LEN(SUBSTITUTE($G1480,"-",""))-1))-LEN(SUBSTITUTE(SUBSTITUTE(SUBSTITUTE($G1480,"-"," ",LEN($G1480)-LEN(SUBSTITUTE($G1480,"-",""))),"-"," ",LEN($G1480)-LEN(SUBSTITUTE($G1480,"-",""))-1),".","")))=0,SUBSTITUTE(SUBSTITUTE($G1480,"-"," ",LEN($G1480)-LEN(SUBSTITUTE($G1480,"-",""))),"-"," ",LEN($G1480)-LEN(SUBSTITUTE($G1480,"-",""))-1),SUBSTITUTE(SUBSTITUTE(SUBSTITUTE($G1480,"-"," ",LEN($G1480)-LEN(SUBSTITUTE($G1480,"-",""))),"-"," ",LEN($G1480)-LEN(SUBSTITUTE($G1480,"-",""))-1),"."," ",(LEN(SUBSTITUTE(SUBSTITUTE($G1480,"-"," ",LEN($G1480)-LEN(SUBSTITUTE($G1480,"-",""))),"-"," ",LEN($G1480)-LEN(SUBSTITUTE($G1480,"-",""))-1))-LEN(SUBSTITUTE(SUBSTITUTE(SUBSTITUTE($G1480,"-"," ",LEN($G1480)-LEN(SUBSTITUTE($G1480,"-",""))),"-"," ",LEN($G1480)-LEN(SUBSTITUTE($G1480,"-",""))-1),".",""))))),$G1480)))</f>
        <v/>
      </c>
    </row>
    <row r="1481">
      <c r="A1481" s="58" t="n"/>
      <c r="B1481" s="58">
        <f>IF($H1481="","",LEFT($H1481,FIND(" ",$H1481&amp;" ")-1))</f>
        <v/>
      </c>
      <c r="C1481" s="58">
        <f>IF($H1481="","",IFERROR(MID($H1481&amp;" ",FIND("|",SUBSTITUTE($H1481&amp;" "," ","|",1))+1,FIND("|",SUBSTITUTE($H1481&amp;" "," ","|",2))-FIND("|",SUBSTITUTE($H1481&amp;" "," ","|",1))-1),""))</f>
        <v/>
      </c>
      <c r="D1481" s="58">
        <f>IF($H1481="","",IFERROR(MID($H1481&amp;" ",FIND("|",SUBSTITUTE($H1481&amp;" "," ","|",2))+1,FIND("|",SUBSTITUTE($H1481&amp;" "," ","|",3))-FIND("|",SUBSTITUTE($H1481&amp;" "," ","|",2))-1),""))</f>
        <v/>
      </c>
      <c r="E1481" s="58">
        <f>IF($H1481="","",IFERROR(MID($H1481&amp;" ",FIND("|",SUBSTITUTE($H1481&amp;" "," ","|",3))+1,FIND("|",SUBSTITUTE($H1481&amp;" "," ","|",4))-FIND("|",SUBSTITUTE($H1481&amp;" "," ","|",3))-1),""))</f>
        <v/>
      </c>
      <c r="F1481" s="59">
        <f>IF($H1481="","",IFERROR(VALUE(IFERROR(MID($H1481&amp;" ",FIND("|",SUBSTITUTE($H1481&amp;" "," ","|",4))+1,FIND("|",SUBSTITUTE($H1481&amp;" "," ","|",5))-FIND("|",SUBSTITUTE($H1481&amp;" "," ","|",4))-1),""))/86400+25569+9/24,""))</f>
        <v/>
      </c>
      <c r="G1481" s="58">
        <f>TRIM(SUBSTITUTE(SUBSTITUTE(SUBSTITUTE($A1481,CHAR(9)," ")," "," "),CHAR(13),""))</f>
        <v/>
      </c>
      <c r="H1481" s="58">
        <f>IF($G1481="","",IF(ISNUMBER(FIND(" ",$G1481)),$G1481,IFERROR(IF((LEN(SUBSTITUTE(SUBSTITUTE($G1481,"-"," ",LEN($G1481)-LEN(SUBSTITUTE($G1481,"-",""))),"-"," ",LEN($G1481)-LEN(SUBSTITUTE($G1481,"-",""))-1))-LEN(SUBSTITUTE(SUBSTITUTE(SUBSTITUTE($G1481,"-"," ",LEN($G1481)-LEN(SUBSTITUTE($G1481,"-",""))),"-"," ",LEN($G1481)-LEN(SUBSTITUTE($G1481,"-",""))-1),".","")))=0,SUBSTITUTE(SUBSTITUTE($G1481,"-"," ",LEN($G1481)-LEN(SUBSTITUTE($G1481,"-",""))),"-"," ",LEN($G1481)-LEN(SUBSTITUTE($G1481,"-",""))-1),SUBSTITUTE(SUBSTITUTE(SUBSTITUTE($G1481,"-"," ",LEN($G1481)-LEN(SUBSTITUTE($G1481,"-",""))),"-"," ",LEN($G1481)-LEN(SUBSTITUTE($G1481,"-",""))-1),"."," ",(LEN(SUBSTITUTE(SUBSTITUTE($G1481,"-"," ",LEN($G1481)-LEN(SUBSTITUTE($G1481,"-",""))),"-"," ",LEN($G1481)-LEN(SUBSTITUTE($G1481,"-",""))-1))-LEN(SUBSTITUTE(SUBSTITUTE(SUBSTITUTE($G1481,"-"," ",LEN($G1481)-LEN(SUBSTITUTE($G1481,"-",""))),"-"," ",LEN($G1481)-LEN(SUBSTITUTE($G1481,"-",""))-1),".",""))))),$G1481)))</f>
        <v/>
      </c>
    </row>
    <row r="1482">
      <c r="A1482" s="58" t="n"/>
      <c r="B1482" s="58">
        <f>IF($H1482="","",LEFT($H1482,FIND(" ",$H1482&amp;" ")-1))</f>
        <v/>
      </c>
      <c r="C1482" s="58">
        <f>IF($H1482="","",IFERROR(MID($H1482&amp;" ",FIND("|",SUBSTITUTE($H1482&amp;" "," ","|",1))+1,FIND("|",SUBSTITUTE($H1482&amp;" "," ","|",2))-FIND("|",SUBSTITUTE($H1482&amp;" "," ","|",1))-1),""))</f>
        <v/>
      </c>
      <c r="D1482" s="58">
        <f>IF($H1482="","",IFERROR(MID($H1482&amp;" ",FIND("|",SUBSTITUTE($H1482&amp;" "," ","|",2))+1,FIND("|",SUBSTITUTE($H1482&amp;" "," ","|",3))-FIND("|",SUBSTITUTE($H1482&amp;" "," ","|",2))-1),""))</f>
        <v/>
      </c>
      <c r="E1482" s="58">
        <f>IF($H1482="","",IFERROR(MID($H1482&amp;" ",FIND("|",SUBSTITUTE($H1482&amp;" "," ","|",3))+1,FIND("|",SUBSTITUTE($H1482&amp;" "," ","|",4))-FIND("|",SUBSTITUTE($H1482&amp;" "," ","|",3))-1),""))</f>
        <v/>
      </c>
      <c r="F1482" s="59">
        <f>IF($H1482="","",IFERROR(VALUE(IFERROR(MID($H1482&amp;" ",FIND("|",SUBSTITUTE($H1482&amp;" "," ","|",4))+1,FIND("|",SUBSTITUTE($H1482&amp;" "," ","|",5))-FIND("|",SUBSTITUTE($H1482&amp;" "," ","|",4))-1),""))/86400+25569+9/24,""))</f>
        <v/>
      </c>
      <c r="G1482" s="58">
        <f>TRIM(SUBSTITUTE(SUBSTITUTE(SUBSTITUTE($A1482,CHAR(9)," ")," "," "),CHAR(13),""))</f>
        <v/>
      </c>
      <c r="H1482" s="58">
        <f>IF($G1482="","",IF(ISNUMBER(FIND(" ",$G1482)),$G1482,IFERROR(IF((LEN(SUBSTITUTE(SUBSTITUTE($G1482,"-"," ",LEN($G1482)-LEN(SUBSTITUTE($G1482,"-",""))),"-"," ",LEN($G1482)-LEN(SUBSTITUTE($G1482,"-",""))-1))-LEN(SUBSTITUTE(SUBSTITUTE(SUBSTITUTE($G1482,"-"," ",LEN($G1482)-LEN(SUBSTITUTE($G1482,"-",""))),"-"," ",LEN($G1482)-LEN(SUBSTITUTE($G1482,"-",""))-1),".","")))=0,SUBSTITUTE(SUBSTITUTE($G1482,"-"," ",LEN($G1482)-LEN(SUBSTITUTE($G1482,"-",""))),"-"," ",LEN($G1482)-LEN(SUBSTITUTE($G1482,"-",""))-1),SUBSTITUTE(SUBSTITUTE(SUBSTITUTE($G1482,"-"," ",LEN($G1482)-LEN(SUBSTITUTE($G1482,"-",""))),"-"," ",LEN($G1482)-LEN(SUBSTITUTE($G1482,"-",""))-1),"."," ",(LEN(SUBSTITUTE(SUBSTITUTE($G1482,"-"," ",LEN($G1482)-LEN(SUBSTITUTE($G1482,"-",""))),"-"," ",LEN($G1482)-LEN(SUBSTITUTE($G1482,"-",""))-1))-LEN(SUBSTITUTE(SUBSTITUTE(SUBSTITUTE($G1482,"-"," ",LEN($G1482)-LEN(SUBSTITUTE($G1482,"-",""))),"-"," ",LEN($G1482)-LEN(SUBSTITUTE($G1482,"-",""))-1),".",""))))),$G1482)))</f>
        <v/>
      </c>
    </row>
    <row r="1483">
      <c r="A1483" s="58" t="n"/>
      <c r="B1483" s="58">
        <f>IF($H1483="","",LEFT($H1483,FIND(" ",$H1483&amp;" ")-1))</f>
        <v/>
      </c>
      <c r="C1483" s="58">
        <f>IF($H1483="","",IFERROR(MID($H1483&amp;" ",FIND("|",SUBSTITUTE($H1483&amp;" "," ","|",1))+1,FIND("|",SUBSTITUTE($H1483&amp;" "," ","|",2))-FIND("|",SUBSTITUTE($H1483&amp;" "," ","|",1))-1),""))</f>
        <v/>
      </c>
      <c r="D1483" s="58">
        <f>IF($H1483="","",IFERROR(MID($H1483&amp;" ",FIND("|",SUBSTITUTE($H1483&amp;" "," ","|",2))+1,FIND("|",SUBSTITUTE($H1483&amp;" "," ","|",3))-FIND("|",SUBSTITUTE($H1483&amp;" "," ","|",2))-1),""))</f>
        <v/>
      </c>
      <c r="E1483" s="58">
        <f>IF($H1483="","",IFERROR(MID($H1483&amp;" ",FIND("|",SUBSTITUTE($H1483&amp;" "," ","|",3))+1,FIND("|",SUBSTITUTE($H1483&amp;" "," ","|",4))-FIND("|",SUBSTITUTE($H1483&amp;" "," ","|",3))-1),""))</f>
        <v/>
      </c>
      <c r="F1483" s="59">
        <f>IF($H1483="","",IFERROR(VALUE(IFERROR(MID($H1483&amp;" ",FIND("|",SUBSTITUTE($H1483&amp;" "," ","|",4))+1,FIND("|",SUBSTITUTE($H1483&amp;" "," ","|",5))-FIND("|",SUBSTITUTE($H1483&amp;" "," ","|",4))-1),""))/86400+25569+9/24,""))</f>
        <v/>
      </c>
      <c r="G1483" s="58">
        <f>TRIM(SUBSTITUTE(SUBSTITUTE(SUBSTITUTE($A1483,CHAR(9)," ")," "," "),CHAR(13),""))</f>
        <v/>
      </c>
      <c r="H1483" s="58">
        <f>IF($G1483="","",IF(ISNUMBER(FIND(" ",$G1483)),$G1483,IFERROR(IF((LEN(SUBSTITUTE(SUBSTITUTE($G1483,"-"," ",LEN($G1483)-LEN(SUBSTITUTE($G1483,"-",""))),"-"," ",LEN($G1483)-LEN(SUBSTITUTE($G1483,"-",""))-1))-LEN(SUBSTITUTE(SUBSTITUTE(SUBSTITUTE($G1483,"-"," ",LEN($G1483)-LEN(SUBSTITUTE($G1483,"-",""))),"-"," ",LEN($G1483)-LEN(SUBSTITUTE($G1483,"-",""))-1),".","")))=0,SUBSTITUTE(SUBSTITUTE($G1483,"-"," ",LEN($G1483)-LEN(SUBSTITUTE($G1483,"-",""))),"-"," ",LEN($G1483)-LEN(SUBSTITUTE($G1483,"-",""))-1),SUBSTITUTE(SUBSTITUTE(SUBSTITUTE($G1483,"-"," ",LEN($G1483)-LEN(SUBSTITUTE($G1483,"-",""))),"-"," ",LEN($G1483)-LEN(SUBSTITUTE($G1483,"-",""))-1),"."," ",(LEN(SUBSTITUTE(SUBSTITUTE($G1483,"-"," ",LEN($G1483)-LEN(SUBSTITUTE($G1483,"-",""))),"-"," ",LEN($G1483)-LEN(SUBSTITUTE($G1483,"-",""))-1))-LEN(SUBSTITUTE(SUBSTITUTE(SUBSTITUTE($G1483,"-"," ",LEN($G1483)-LEN(SUBSTITUTE($G1483,"-",""))),"-"," ",LEN($G1483)-LEN(SUBSTITUTE($G1483,"-",""))-1),".",""))))),$G1483)))</f>
        <v/>
      </c>
    </row>
    <row r="1484">
      <c r="A1484" s="58" t="n"/>
      <c r="B1484" s="58">
        <f>IF($H1484="","",LEFT($H1484,FIND(" ",$H1484&amp;" ")-1))</f>
        <v/>
      </c>
      <c r="C1484" s="58">
        <f>IF($H1484="","",IFERROR(MID($H1484&amp;" ",FIND("|",SUBSTITUTE($H1484&amp;" "," ","|",1))+1,FIND("|",SUBSTITUTE($H1484&amp;" "," ","|",2))-FIND("|",SUBSTITUTE($H1484&amp;" "," ","|",1))-1),""))</f>
        <v/>
      </c>
      <c r="D1484" s="58">
        <f>IF($H1484="","",IFERROR(MID($H1484&amp;" ",FIND("|",SUBSTITUTE($H1484&amp;" "," ","|",2))+1,FIND("|",SUBSTITUTE($H1484&amp;" "," ","|",3))-FIND("|",SUBSTITUTE($H1484&amp;" "," ","|",2))-1),""))</f>
        <v/>
      </c>
      <c r="E1484" s="58">
        <f>IF($H1484="","",IFERROR(MID($H1484&amp;" ",FIND("|",SUBSTITUTE($H1484&amp;" "," ","|",3))+1,FIND("|",SUBSTITUTE($H1484&amp;" "," ","|",4))-FIND("|",SUBSTITUTE($H1484&amp;" "," ","|",3))-1),""))</f>
        <v/>
      </c>
      <c r="F1484" s="59">
        <f>IF($H1484="","",IFERROR(VALUE(IFERROR(MID($H1484&amp;" ",FIND("|",SUBSTITUTE($H1484&amp;" "," ","|",4))+1,FIND("|",SUBSTITUTE($H1484&amp;" "," ","|",5))-FIND("|",SUBSTITUTE($H1484&amp;" "," ","|",4))-1),""))/86400+25569+9/24,""))</f>
        <v/>
      </c>
      <c r="G1484" s="58">
        <f>TRIM(SUBSTITUTE(SUBSTITUTE(SUBSTITUTE($A1484,CHAR(9)," ")," "," "),CHAR(13),""))</f>
        <v/>
      </c>
      <c r="H1484" s="58">
        <f>IF($G1484="","",IF(ISNUMBER(FIND(" ",$G1484)),$G1484,IFERROR(IF((LEN(SUBSTITUTE(SUBSTITUTE($G1484,"-"," ",LEN($G1484)-LEN(SUBSTITUTE($G1484,"-",""))),"-"," ",LEN($G1484)-LEN(SUBSTITUTE($G1484,"-",""))-1))-LEN(SUBSTITUTE(SUBSTITUTE(SUBSTITUTE($G1484,"-"," ",LEN($G1484)-LEN(SUBSTITUTE($G1484,"-",""))),"-"," ",LEN($G1484)-LEN(SUBSTITUTE($G1484,"-",""))-1),".","")))=0,SUBSTITUTE(SUBSTITUTE($G1484,"-"," ",LEN($G1484)-LEN(SUBSTITUTE($G1484,"-",""))),"-"," ",LEN($G1484)-LEN(SUBSTITUTE($G1484,"-",""))-1),SUBSTITUTE(SUBSTITUTE(SUBSTITUTE($G1484,"-"," ",LEN($G1484)-LEN(SUBSTITUTE($G1484,"-",""))),"-"," ",LEN($G1484)-LEN(SUBSTITUTE($G1484,"-",""))-1),"."," ",(LEN(SUBSTITUTE(SUBSTITUTE($G1484,"-"," ",LEN($G1484)-LEN(SUBSTITUTE($G1484,"-",""))),"-"," ",LEN($G1484)-LEN(SUBSTITUTE($G1484,"-",""))-1))-LEN(SUBSTITUTE(SUBSTITUTE(SUBSTITUTE($G1484,"-"," ",LEN($G1484)-LEN(SUBSTITUTE($G1484,"-",""))),"-"," ",LEN($G1484)-LEN(SUBSTITUTE($G1484,"-",""))-1),".",""))))),$G1484)))</f>
        <v/>
      </c>
    </row>
    <row r="1485">
      <c r="A1485" s="58" t="n"/>
      <c r="B1485" s="58">
        <f>IF($H1485="","",LEFT($H1485,FIND(" ",$H1485&amp;" ")-1))</f>
        <v/>
      </c>
      <c r="C1485" s="58">
        <f>IF($H1485="","",IFERROR(MID($H1485&amp;" ",FIND("|",SUBSTITUTE($H1485&amp;" "," ","|",1))+1,FIND("|",SUBSTITUTE($H1485&amp;" "," ","|",2))-FIND("|",SUBSTITUTE($H1485&amp;" "," ","|",1))-1),""))</f>
        <v/>
      </c>
      <c r="D1485" s="58">
        <f>IF($H1485="","",IFERROR(MID($H1485&amp;" ",FIND("|",SUBSTITUTE($H1485&amp;" "," ","|",2))+1,FIND("|",SUBSTITUTE($H1485&amp;" "," ","|",3))-FIND("|",SUBSTITUTE($H1485&amp;" "," ","|",2))-1),""))</f>
        <v/>
      </c>
      <c r="E1485" s="58">
        <f>IF($H1485="","",IFERROR(MID($H1485&amp;" ",FIND("|",SUBSTITUTE($H1485&amp;" "," ","|",3))+1,FIND("|",SUBSTITUTE($H1485&amp;" "," ","|",4))-FIND("|",SUBSTITUTE($H1485&amp;" "," ","|",3))-1),""))</f>
        <v/>
      </c>
      <c r="F1485" s="59">
        <f>IF($H1485="","",IFERROR(VALUE(IFERROR(MID($H1485&amp;" ",FIND("|",SUBSTITUTE($H1485&amp;" "," ","|",4))+1,FIND("|",SUBSTITUTE($H1485&amp;" "," ","|",5))-FIND("|",SUBSTITUTE($H1485&amp;" "," ","|",4))-1),""))/86400+25569+9/24,""))</f>
        <v/>
      </c>
      <c r="G1485" s="58">
        <f>TRIM(SUBSTITUTE(SUBSTITUTE(SUBSTITUTE($A1485,CHAR(9)," ")," "," "),CHAR(13),""))</f>
        <v/>
      </c>
      <c r="H1485" s="58">
        <f>IF($G1485="","",IF(ISNUMBER(FIND(" ",$G1485)),$G1485,IFERROR(IF((LEN(SUBSTITUTE(SUBSTITUTE($G1485,"-"," ",LEN($G1485)-LEN(SUBSTITUTE($G1485,"-",""))),"-"," ",LEN($G1485)-LEN(SUBSTITUTE($G1485,"-",""))-1))-LEN(SUBSTITUTE(SUBSTITUTE(SUBSTITUTE($G1485,"-"," ",LEN($G1485)-LEN(SUBSTITUTE($G1485,"-",""))),"-"," ",LEN($G1485)-LEN(SUBSTITUTE($G1485,"-",""))-1),".","")))=0,SUBSTITUTE(SUBSTITUTE($G1485,"-"," ",LEN($G1485)-LEN(SUBSTITUTE($G1485,"-",""))),"-"," ",LEN($G1485)-LEN(SUBSTITUTE($G1485,"-",""))-1),SUBSTITUTE(SUBSTITUTE(SUBSTITUTE($G1485,"-"," ",LEN($G1485)-LEN(SUBSTITUTE($G1485,"-",""))),"-"," ",LEN($G1485)-LEN(SUBSTITUTE($G1485,"-",""))-1),"."," ",(LEN(SUBSTITUTE(SUBSTITUTE($G1485,"-"," ",LEN($G1485)-LEN(SUBSTITUTE($G1485,"-",""))),"-"," ",LEN($G1485)-LEN(SUBSTITUTE($G1485,"-",""))-1))-LEN(SUBSTITUTE(SUBSTITUTE(SUBSTITUTE($G1485,"-"," ",LEN($G1485)-LEN(SUBSTITUTE($G1485,"-",""))),"-"," ",LEN($G1485)-LEN(SUBSTITUTE($G1485,"-",""))-1),".",""))))),$G1485)))</f>
        <v/>
      </c>
    </row>
    <row r="1486">
      <c r="A1486" s="58" t="n"/>
      <c r="B1486" s="58">
        <f>IF($H1486="","",LEFT($H1486,FIND(" ",$H1486&amp;" ")-1))</f>
        <v/>
      </c>
      <c r="C1486" s="58">
        <f>IF($H1486="","",IFERROR(MID($H1486&amp;" ",FIND("|",SUBSTITUTE($H1486&amp;" "," ","|",1))+1,FIND("|",SUBSTITUTE($H1486&amp;" "," ","|",2))-FIND("|",SUBSTITUTE($H1486&amp;" "," ","|",1))-1),""))</f>
        <v/>
      </c>
      <c r="D1486" s="58">
        <f>IF($H1486="","",IFERROR(MID($H1486&amp;" ",FIND("|",SUBSTITUTE($H1486&amp;" "," ","|",2))+1,FIND("|",SUBSTITUTE($H1486&amp;" "," ","|",3))-FIND("|",SUBSTITUTE($H1486&amp;" "," ","|",2))-1),""))</f>
        <v/>
      </c>
      <c r="E1486" s="58">
        <f>IF($H1486="","",IFERROR(MID($H1486&amp;" ",FIND("|",SUBSTITUTE($H1486&amp;" "," ","|",3))+1,FIND("|",SUBSTITUTE($H1486&amp;" "," ","|",4))-FIND("|",SUBSTITUTE($H1486&amp;" "," ","|",3))-1),""))</f>
        <v/>
      </c>
      <c r="F1486" s="59">
        <f>IF($H1486="","",IFERROR(VALUE(IFERROR(MID($H1486&amp;" ",FIND("|",SUBSTITUTE($H1486&amp;" "," ","|",4))+1,FIND("|",SUBSTITUTE($H1486&amp;" "," ","|",5))-FIND("|",SUBSTITUTE($H1486&amp;" "," ","|",4))-1),""))/86400+25569+9/24,""))</f>
        <v/>
      </c>
      <c r="G1486" s="58">
        <f>TRIM(SUBSTITUTE(SUBSTITUTE(SUBSTITUTE($A1486,CHAR(9)," ")," "," "),CHAR(13),""))</f>
        <v/>
      </c>
      <c r="H1486" s="58">
        <f>IF($G1486="","",IF(ISNUMBER(FIND(" ",$G1486)),$G1486,IFERROR(IF((LEN(SUBSTITUTE(SUBSTITUTE($G1486,"-"," ",LEN($G1486)-LEN(SUBSTITUTE($G1486,"-",""))),"-"," ",LEN($G1486)-LEN(SUBSTITUTE($G1486,"-",""))-1))-LEN(SUBSTITUTE(SUBSTITUTE(SUBSTITUTE($G1486,"-"," ",LEN($G1486)-LEN(SUBSTITUTE($G1486,"-",""))),"-"," ",LEN($G1486)-LEN(SUBSTITUTE($G1486,"-",""))-1),".","")))=0,SUBSTITUTE(SUBSTITUTE($G1486,"-"," ",LEN($G1486)-LEN(SUBSTITUTE($G1486,"-",""))),"-"," ",LEN($G1486)-LEN(SUBSTITUTE($G1486,"-",""))-1),SUBSTITUTE(SUBSTITUTE(SUBSTITUTE($G1486,"-"," ",LEN($G1486)-LEN(SUBSTITUTE($G1486,"-",""))),"-"," ",LEN($G1486)-LEN(SUBSTITUTE($G1486,"-",""))-1),"."," ",(LEN(SUBSTITUTE(SUBSTITUTE($G1486,"-"," ",LEN($G1486)-LEN(SUBSTITUTE($G1486,"-",""))),"-"," ",LEN($G1486)-LEN(SUBSTITUTE($G1486,"-",""))-1))-LEN(SUBSTITUTE(SUBSTITUTE(SUBSTITUTE($G1486,"-"," ",LEN($G1486)-LEN(SUBSTITUTE($G1486,"-",""))),"-"," ",LEN($G1486)-LEN(SUBSTITUTE($G1486,"-",""))-1),".",""))))),$G1486)))</f>
        <v/>
      </c>
    </row>
    <row r="1487">
      <c r="A1487" s="58" t="n"/>
      <c r="B1487" s="58">
        <f>IF($H1487="","",LEFT($H1487,FIND(" ",$H1487&amp;" ")-1))</f>
        <v/>
      </c>
      <c r="C1487" s="58">
        <f>IF($H1487="","",IFERROR(MID($H1487&amp;" ",FIND("|",SUBSTITUTE($H1487&amp;" "," ","|",1))+1,FIND("|",SUBSTITUTE($H1487&amp;" "," ","|",2))-FIND("|",SUBSTITUTE($H1487&amp;" "," ","|",1))-1),""))</f>
        <v/>
      </c>
      <c r="D1487" s="58">
        <f>IF($H1487="","",IFERROR(MID($H1487&amp;" ",FIND("|",SUBSTITUTE($H1487&amp;" "," ","|",2))+1,FIND("|",SUBSTITUTE($H1487&amp;" "," ","|",3))-FIND("|",SUBSTITUTE($H1487&amp;" "," ","|",2))-1),""))</f>
        <v/>
      </c>
      <c r="E1487" s="58">
        <f>IF($H1487="","",IFERROR(MID($H1487&amp;" ",FIND("|",SUBSTITUTE($H1487&amp;" "," ","|",3))+1,FIND("|",SUBSTITUTE($H1487&amp;" "," ","|",4))-FIND("|",SUBSTITUTE($H1487&amp;" "," ","|",3))-1),""))</f>
        <v/>
      </c>
      <c r="F1487" s="59">
        <f>IF($H1487="","",IFERROR(VALUE(IFERROR(MID($H1487&amp;" ",FIND("|",SUBSTITUTE($H1487&amp;" "," ","|",4))+1,FIND("|",SUBSTITUTE($H1487&amp;" "," ","|",5))-FIND("|",SUBSTITUTE($H1487&amp;" "," ","|",4))-1),""))/86400+25569+9/24,""))</f>
        <v/>
      </c>
      <c r="G1487" s="58">
        <f>TRIM(SUBSTITUTE(SUBSTITUTE(SUBSTITUTE($A1487,CHAR(9)," ")," "," "),CHAR(13),""))</f>
        <v/>
      </c>
      <c r="H1487" s="58">
        <f>IF($G1487="","",IF(ISNUMBER(FIND(" ",$G1487)),$G1487,IFERROR(IF((LEN(SUBSTITUTE(SUBSTITUTE($G1487,"-"," ",LEN($G1487)-LEN(SUBSTITUTE($G1487,"-",""))),"-"," ",LEN($G1487)-LEN(SUBSTITUTE($G1487,"-",""))-1))-LEN(SUBSTITUTE(SUBSTITUTE(SUBSTITUTE($G1487,"-"," ",LEN($G1487)-LEN(SUBSTITUTE($G1487,"-",""))),"-"," ",LEN($G1487)-LEN(SUBSTITUTE($G1487,"-",""))-1),".","")))=0,SUBSTITUTE(SUBSTITUTE($G1487,"-"," ",LEN($G1487)-LEN(SUBSTITUTE($G1487,"-",""))),"-"," ",LEN($G1487)-LEN(SUBSTITUTE($G1487,"-",""))-1),SUBSTITUTE(SUBSTITUTE(SUBSTITUTE($G1487,"-"," ",LEN($G1487)-LEN(SUBSTITUTE($G1487,"-",""))),"-"," ",LEN($G1487)-LEN(SUBSTITUTE($G1487,"-",""))-1),"."," ",(LEN(SUBSTITUTE(SUBSTITUTE($G1487,"-"," ",LEN($G1487)-LEN(SUBSTITUTE($G1487,"-",""))),"-"," ",LEN($G1487)-LEN(SUBSTITUTE($G1487,"-",""))-1))-LEN(SUBSTITUTE(SUBSTITUTE(SUBSTITUTE($G1487,"-"," ",LEN($G1487)-LEN(SUBSTITUTE($G1487,"-",""))),"-"," ",LEN($G1487)-LEN(SUBSTITUTE($G1487,"-",""))-1),".",""))))),$G1487)))</f>
        <v/>
      </c>
    </row>
    <row r="1488">
      <c r="A1488" s="58" t="n"/>
      <c r="B1488" s="58">
        <f>IF($H1488="","",LEFT($H1488,FIND(" ",$H1488&amp;" ")-1))</f>
        <v/>
      </c>
      <c r="C1488" s="58">
        <f>IF($H1488="","",IFERROR(MID($H1488&amp;" ",FIND("|",SUBSTITUTE($H1488&amp;" "," ","|",1))+1,FIND("|",SUBSTITUTE($H1488&amp;" "," ","|",2))-FIND("|",SUBSTITUTE($H1488&amp;" "," ","|",1))-1),""))</f>
        <v/>
      </c>
      <c r="D1488" s="58">
        <f>IF($H1488="","",IFERROR(MID($H1488&amp;" ",FIND("|",SUBSTITUTE($H1488&amp;" "," ","|",2))+1,FIND("|",SUBSTITUTE($H1488&amp;" "," ","|",3))-FIND("|",SUBSTITUTE($H1488&amp;" "," ","|",2))-1),""))</f>
        <v/>
      </c>
      <c r="E1488" s="58">
        <f>IF($H1488="","",IFERROR(MID($H1488&amp;" ",FIND("|",SUBSTITUTE($H1488&amp;" "," ","|",3))+1,FIND("|",SUBSTITUTE($H1488&amp;" "," ","|",4))-FIND("|",SUBSTITUTE($H1488&amp;" "," ","|",3))-1),""))</f>
        <v/>
      </c>
      <c r="F1488" s="59">
        <f>IF($H1488="","",IFERROR(VALUE(IFERROR(MID($H1488&amp;" ",FIND("|",SUBSTITUTE($H1488&amp;" "," ","|",4))+1,FIND("|",SUBSTITUTE($H1488&amp;" "," ","|",5))-FIND("|",SUBSTITUTE($H1488&amp;" "," ","|",4))-1),""))/86400+25569+9/24,""))</f>
        <v/>
      </c>
      <c r="G1488" s="58">
        <f>TRIM(SUBSTITUTE(SUBSTITUTE(SUBSTITUTE($A1488,CHAR(9)," ")," "," "),CHAR(13),""))</f>
        <v/>
      </c>
      <c r="H1488" s="58">
        <f>IF($G1488="","",IF(ISNUMBER(FIND(" ",$G1488)),$G1488,IFERROR(IF((LEN(SUBSTITUTE(SUBSTITUTE($G1488,"-"," ",LEN($G1488)-LEN(SUBSTITUTE($G1488,"-",""))),"-"," ",LEN($G1488)-LEN(SUBSTITUTE($G1488,"-",""))-1))-LEN(SUBSTITUTE(SUBSTITUTE(SUBSTITUTE($G1488,"-"," ",LEN($G1488)-LEN(SUBSTITUTE($G1488,"-",""))),"-"," ",LEN($G1488)-LEN(SUBSTITUTE($G1488,"-",""))-1),".","")))=0,SUBSTITUTE(SUBSTITUTE($G1488,"-"," ",LEN($G1488)-LEN(SUBSTITUTE($G1488,"-",""))),"-"," ",LEN($G1488)-LEN(SUBSTITUTE($G1488,"-",""))-1),SUBSTITUTE(SUBSTITUTE(SUBSTITUTE($G1488,"-"," ",LEN($G1488)-LEN(SUBSTITUTE($G1488,"-",""))),"-"," ",LEN($G1488)-LEN(SUBSTITUTE($G1488,"-",""))-1),"."," ",(LEN(SUBSTITUTE(SUBSTITUTE($G1488,"-"," ",LEN($G1488)-LEN(SUBSTITUTE($G1488,"-",""))),"-"," ",LEN($G1488)-LEN(SUBSTITUTE($G1488,"-",""))-1))-LEN(SUBSTITUTE(SUBSTITUTE(SUBSTITUTE($G1488,"-"," ",LEN($G1488)-LEN(SUBSTITUTE($G1488,"-",""))),"-"," ",LEN($G1488)-LEN(SUBSTITUTE($G1488,"-",""))-1),".",""))))),$G1488)))</f>
        <v/>
      </c>
    </row>
    <row r="1489">
      <c r="A1489" s="58" t="n"/>
      <c r="B1489" s="58">
        <f>IF($H1489="","",LEFT($H1489,FIND(" ",$H1489&amp;" ")-1))</f>
        <v/>
      </c>
      <c r="C1489" s="58">
        <f>IF($H1489="","",IFERROR(MID($H1489&amp;" ",FIND("|",SUBSTITUTE($H1489&amp;" "," ","|",1))+1,FIND("|",SUBSTITUTE($H1489&amp;" "," ","|",2))-FIND("|",SUBSTITUTE($H1489&amp;" "," ","|",1))-1),""))</f>
        <v/>
      </c>
      <c r="D1489" s="58">
        <f>IF($H1489="","",IFERROR(MID($H1489&amp;" ",FIND("|",SUBSTITUTE($H1489&amp;" "," ","|",2))+1,FIND("|",SUBSTITUTE($H1489&amp;" "," ","|",3))-FIND("|",SUBSTITUTE($H1489&amp;" "," ","|",2))-1),""))</f>
        <v/>
      </c>
      <c r="E1489" s="58">
        <f>IF($H1489="","",IFERROR(MID($H1489&amp;" ",FIND("|",SUBSTITUTE($H1489&amp;" "," ","|",3))+1,FIND("|",SUBSTITUTE($H1489&amp;" "," ","|",4))-FIND("|",SUBSTITUTE($H1489&amp;" "," ","|",3))-1),""))</f>
        <v/>
      </c>
      <c r="F1489" s="59">
        <f>IF($H1489="","",IFERROR(VALUE(IFERROR(MID($H1489&amp;" ",FIND("|",SUBSTITUTE($H1489&amp;" "," ","|",4))+1,FIND("|",SUBSTITUTE($H1489&amp;" "," ","|",5))-FIND("|",SUBSTITUTE($H1489&amp;" "," ","|",4))-1),""))/86400+25569+9/24,""))</f>
        <v/>
      </c>
      <c r="G1489" s="58">
        <f>TRIM(SUBSTITUTE(SUBSTITUTE(SUBSTITUTE($A1489,CHAR(9)," ")," "," "),CHAR(13),""))</f>
        <v/>
      </c>
      <c r="H1489" s="58">
        <f>IF($G1489="","",IF(ISNUMBER(FIND(" ",$G1489)),$G1489,IFERROR(IF((LEN(SUBSTITUTE(SUBSTITUTE($G1489,"-"," ",LEN($G1489)-LEN(SUBSTITUTE($G1489,"-",""))),"-"," ",LEN($G1489)-LEN(SUBSTITUTE($G1489,"-",""))-1))-LEN(SUBSTITUTE(SUBSTITUTE(SUBSTITUTE($G1489,"-"," ",LEN($G1489)-LEN(SUBSTITUTE($G1489,"-",""))),"-"," ",LEN($G1489)-LEN(SUBSTITUTE($G1489,"-",""))-1),".","")))=0,SUBSTITUTE(SUBSTITUTE($G1489,"-"," ",LEN($G1489)-LEN(SUBSTITUTE($G1489,"-",""))),"-"," ",LEN($G1489)-LEN(SUBSTITUTE($G1489,"-",""))-1),SUBSTITUTE(SUBSTITUTE(SUBSTITUTE($G1489,"-"," ",LEN($G1489)-LEN(SUBSTITUTE($G1489,"-",""))),"-"," ",LEN($G1489)-LEN(SUBSTITUTE($G1489,"-",""))-1),"."," ",(LEN(SUBSTITUTE(SUBSTITUTE($G1489,"-"," ",LEN($G1489)-LEN(SUBSTITUTE($G1489,"-",""))),"-"," ",LEN($G1489)-LEN(SUBSTITUTE($G1489,"-",""))-1))-LEN(SUBSTITUTE(SUBSTITUTE(SUBSTITUTE($G1489,"-"," ",LEN($G1489)-LEN(SUBSTITUTE($G1489,"-",""))),"-"," ",LEN($G1489)-LEN(SUBSTITUTE($G1489,"-",""))-1),".",""))))),$G1489)))</f>
        <v/>
      </c>
    </row>
    <row r="1490">
      <c r="A1490" s="58" t="n"/>
      <c r="B1490" s="58">
        <f>IF($H1490="","",LEFT($H1490,FIND(" ",$H1490&amp;" ")-1))</f>
        <v/>
      </c>
      <c r="C1490" s="58">
        <f>IF($H1490="","",IFERROR(MID($H1490&amp;" ",FIND("|",SUBSTITUTE($H1490&amp;" "," ","|",1))+1,FIND("|",SUBSTITUTE($H1490&amp;" "," ","|",2))-FIND("|",SUBSTITUTE($H1490&amp;" "," ","|",1))-1),""))</f>
        <v/>
      </c>
      <c r="D1490" s="58">
        <f>IF($H1490="","",IFERROR(MID($H1490&amp;" ",FIND("|",SUBSTITUTE($H1490&amp;" "," ","|",2))+1,FIND("|",SUBSTITUTE($H1490&amp;" "," ","|",3))-FIND("|",SUBSTITUTE($H1490&amp;" "," ","|",2))-1),""))</f>
        <v/>
      </c>
      <c r="E1490" s="58">
        <f>IF($H1490="","",IFERROR(MID($H1490&amp;" ",FIND("|",SUBSTITUTE($H1490&amp;" "," ","|",3))+1,FIND("|",SUBSTITUTE($H1490&amp;" "," ","|",4))-FIND("|",SUBSTITUTE($H1490&amp;" "," ","|",3))-1),""))</f>
        <v/>
      </c>
      <c r="F1490" s="59">
        <f>IF($H1490="","",IFERROR(VALUE(IFERROR(MID($H1490&amp;" ",FIND("|",SUBSTITUTE($H1490&amp;" "," ","|",4))+1,FIND("|",SUBSTITUTE($H1490&amp;" "," ","|",5))-FIND("|",SUBSTITUTE($H1490&amp;" "," ","|",4))-1),""))/86400+25569+9/24,""))</f>
        <v/>
      </c>
      <c r="G1490" s="58">
        <f>TRIM(SUBSTITUTE(SUBSTITUTE(SUBSTITUTE($A1490,CHAR(9)," ")," "," "),CHAR(13),""))</f>
        <v/>
      </c>
      <c r="H1490" s="58">
        <f>IF($G1490="","",IF(ISNUMBER(FIND(" ",$G1490)),$G1490,IFERROR(IF((LEN(SUBSTITUTE(SUBSTITUTE($G1490,"-"," ",LEN($G1490)-LEN(SUBSTITUTE($G1490,"-",""))),"-"," ",LEN($G1490)-LEN(SUBSTITUTE($G1490,"-",""))-1))-LEN(SUBSTITUTE(SUBSTITUTE(SUBSTITUTE($G1490,"-"," ",LEN($G1490)-LEN(SUBSTITUTE($G1490,"-",""))),"-"," ",LEN($G1490)-LEN(SUBSTITUTE($G1490,"-",""))-1),".","")))=0,SUBSTITUTE(SUBSTITUTE($G1490,"-"," ",LEN($G1490)-LEN(SUBSTITUTE($G1490,"-",""))),"-"," ",LEN($G1490)-LEN(SUBSTITUTE($G1490,"-",""))-1),SUBSTITUTE(SUBSTITUTE(SUBSTITUTE($G1490,"-"," ",LEN($G1490)-LEN(SUBSTITUTE($G1490,"-",""))),"-"," ",LEN($G1490)-LEN(SUBSTITUTE($G1490,"-",""))-1),"."," ",(LEN(SUBSTITUTE(SUBSTITUTE($G1490,"-"," ",LEN($G1490)-LEN(SUBSTITUTE($G1490,"-",""))),"-"," ",LEN($G1490)-LEN(SUBSTITUTE($G1490,"-",""))-1))-LEN(SUBSTITUTE(SUBSTITUTE(SUBSTITUTE($G1490,"-"," ",LEN($G1490)-LEN(SUBSTITUTE($G1490,"-",""))),"-"," ",LEN($G1490)-LEN(SUBSTITUTE($G1490,"-",""))-1),".",""))))),$G1490)))</f>
        <v/>
      </c>
    </row>
    <row r="1491">
      <c r="A1491" s="58" t="n"/>
      <c r="B1491" s="58">
        <f>IF($H1491="","",LEFT($H1491,FIND(" ",$H1491&amp;" ")-1))</f>
        <v/>
      </c>
      <c r="C1491" s="58">
        <f>IF($H1491="","",IFERROR(MID($H1491&amp;" ",FIND("|",SUBSTITUTE($H1491&amp;" "," ","|",1))+1,FIND("|",SUBSTITUTE($H1491&amp;" "," ","|",2))-FIND("|",SUBSTITUTE($H1491&amp;" "," ","|",1))-1),""))</f>
        <v/>
      </c>
      <c r="D1491" s="58">
        <f>IF($H1491="","",IFERROR(MID($H1491&amp;" ",FIND("|",SUBSTITUTE($H1491&amp;" "," ","|",2))+1,FIND("|",SUBSTITUTE($H1491&amp;" "," ","|",3))-FIND("|",SUBSTITUTE($H1491&amp;" "," ","|",2))-1),""))</f>
        <v/>
      </c>
      <c r="E1491" s="58">
        <f>IF($H1491="","",IFERROR(MID($H1491&amp;" ",FIND("|",SUBSTITUTE($H1491&amp;" "," ","|",3))+1,FIND("|",SUBSTITUTE($H1491&amp;" "," ","|",4))-FIND("|",SUBSTITUTE($H1491&amp;" "," ","|",3))-1),""))</f>
        <v/>
      </c>
      <c r="F1491" s="59">
        <f>IF($H1491="","",IFERROR(VALUE(IFERROR(MID($H1491&amp;" ",FIND("|",SUBSTITUTE($H1491&amp;" "," ","|",4))+1,FIND("|",SUBSTITUTE($H1491&amp;" "," ","|",5))-FIND("|",SUBSTITUTE($H1491&amp;" "," ","|",4))-1),""))/86400+25569+9/24,""))</f>
        <v/>
      </c>
      <c r="G1491" s="58">
        <f>TRIM(SUBSTITUTE(SUBSTITUTE(SUBSTITUTE($A1491,CHAR(9)," ")," "," "),CHAR(13),""))</f>
        <v/>
      </c>
      <c r="H1491" s="58">
        <f>IF($G1491="","",IF(ISNUMBER(FIND(" ",$G1491)),$G1491,IFERROR(IF((LEN(SUBSTITUTE(SUBSTITUTE($G1491,"-"," ",LEN($G1491)-LEN(SUBSTITUTE($G1491,"-",""))),"-"," ",LEN($G1491)-LEN(SUBSTITUTE($G1491,"-",""))-1))-LEN(SUBSTITUTE(SUBSTITUTE(SUBSTITUTE($G1491,"-"," ",LEN($G1491)-LEN(SUBSTITUTE($G1491,"-",""))),"-"," ",LEN($G1491)-LEN(SUBSTITUTE($G1491,"-",""))-1),".","")))=0,SUBSTITUTE(SUBSTITUTE($G1491,"-"," ",LEN($G1491)-LEN(SUBSTITUTE($G1491,"-",""))),"-"," ",LEN($G1491)-LEN(SUBSTITUTE($G1491,"-",""))-1),SUBSTITUTE(SUBSTITUTE(SUBSTITUTE($G1491,"-"," ",LEN($G1491)-LEN(SUBSTITUTE($G1491,"-",""))),"-"," ",LEN($G1491)-LEN(SUBSTITUTE($G1491,"-",""))-1),"."," ",(LEN(SUBSTITUTE(SUBSTITUTE($G1491,"-"," ",LEN($G1491)-LEN(SUBSTITUTE($G1491,"-",""))),"-"," ",LEN($G1491)-LEN(SUBSTITUTE($G1491,"-",""))-1))-LEN(SUBSTITUTE(SUBSTITUTE(SUBSTITUTE($G1491,"-"," ",LEN($G1491)-LEN(SUBSTITUTE($G1491,"-",""))),"-"," ",LEN($G1491)-LEN(SUBSTITUTE($G1491,"-",""))-1),".",""))))),$G1491)))</f>
        <v/>
      </c>
    </row>
    <row r="1492">
      <c r="A1492" s="58" t="n"/>
      <c r="B1492" s="58">
        <f>IF($H1492="","",LEFT($H1492,FIND(" ",$H1492&amp;" ")-1))</f>
        <v/>
      </c>
      <c r="C1492" s="58">
        <f>IF($H1492="","",IFERROR(MID($H1492&amp;" ",FIND("|",SUBSTITUTE($H1492&amp;" "," ","|",1))+1,FIND("|",SUBSTITUTE($H1492&amp;" "," ","|",2))-FIND("|",SUBSTITUTE($H1492&amp;" "," ","|",1))-1),""))</f>
        <v/>
      </c>
      <c r="D1492" s="58">
        <f>IF($H1492="","",IFERROR(MID($H1492&amp;" ",FIND("|",SUBSTITUTE($H1492&amp;" "," ","|",2))+1,FIND("|",SUBSTITUTE($H1492&amp;" "," ","|",3))-FIND("|",SUBSTITUTE($H1492&amp;" "," ","|",2))-1),""))</f>
        <v/>
      </c>
      <c r="E1492" s="58">
        <f>IF($H1492="","",IFERROR(MID($H1492&amp;" ",FIND("|",SUBSTITUTE($H1492&amp;" "," ","|",3))+1,FIND("|",SUBSTITUTE($H1492&amp;" "," ","|",4))-FIND("|",SUBSTITUTE($H1492&amp;" "," ","|",3))-1),""))</f>
        <v/>
      </c>
      <c r="F1492" s="59">
        <f>IF($H1492="","",IFERROR(VALUE(IFERROR(MID($H1492&amp;" ",FIND("|",SUBSTITUTE($H1492&amp;" "," ","|",4))+1,FIND("|",SUBSTITUTE($H1492&amp;" "," ","|",5))-FIND("|",SUBSTITUTE($H1492&amp;" "," ","|",4))-1),""))/86400+25569+9/24,""))</f>
        <v/>
      </c>
      <c r="G1492" s="58">
        <f>TRIM(SUBSTITUTE(SUBSTITUTE(SUBSTITUTE($A1492,CHAR(9)," ")," "," "),CHAR(13),""))</f>
        <v/>
      </c>
      <c r="H1492" s="58">
        <f>IF($G1492="","",IF(ISNUMBER(FIND(" ",$G1492)),$G1492,IFERROR(IF((LEN(SUBSTITUTE(SUBSTITUTE($G1492,"-"," ",LEN($G1492)-LEN(SUBSTITUTE($G1492,"-",""))),"-"," ",LEN($G1492)-LEN(SUBSTITUTE($G1492,"-",""))-1))-LEN(SUBSTITUTE(SUBSTITUTE(SUBSTITUTE($G1492,"-"," ",LEN($G1492)-LEN(SUBSTITUTE($G1492,"-",""))),"-"," ",LEN($G1492)-LEN(SUBSTITUTE($G1492,"-",""))-1),".","")))=0,SUBSTITUTE(SUBSTITUTE($G1492,"-"," ",LEN($G1492)-LEN(SUBSTITUTE($G1492,"-",""))),"-"," ",LEN($G1492)-LEN(SUBSTITUTE($G1492,"-",""))-1),SUBSTITUTE(SUBSTITUTE(SUBSTITUTE($G1492,"-"," ",LEN($G1492)-LEN(SUBSTITUTE($G1492,"-",""))),"-"," ",LEN($G1492)-LEN(SUBSTITUTE($G1492,"-",""))-1),"."," ",(LEN(SUBSTITUTE(SUBSTITUTE($G1492,"-"," ",LEN($G1492)-LEN(SUBSTITUTE($G1492,"-",""))),"-"," ",LEN($G1492)-LEN(SUBSTITUTE($G1492,"-",""))-1))-LEN(SUBSTITUTE(SUBSTITUTE(SUBSTITUTE($G1492,"-"," ",LEN($G1492)-LEN(SUBSTITUTE($G1492,"-",""))),"-"," ",LEN($G1492)-LEN(SUBSTITUTE($G1492,"-",""))-1),".",""))))),$G1492)))</f>
        <v/>
      </c>
    </row>
    <row r="1493">
      <c r="A1493" s="58" t="n"/>
      <c r="B1493" s="58">
        <f>IF($H1493="","",LEFT($H1493,FIND(" ",$H1493&amp;" ")-1))</f>
        <v/>
      </c>
      <c r="C1493" s="58">
        <f>IF($H1493="","",IFERROR(MID($H1493&amp;" ",FIND("|",SUBSTITUTE($H1493&amp;" "," ","|",1))+1,FIND("|",SUBSTITUTE($H1493&amp;" "," ","|",2))-FIND("|",SUBSTITUTE($H1493&amp;" "," ","|",1))-1),""))</f>
        <v/>
      </c>
      <c r="D1493" s="58">
        <f>IF($H1493="","",IFERROR(MID($H1493&amp;" ",FIND("|",SUBSTITUTE($H1493&amp;" "," ","|",2))+1,FIND("|",SUBSTITUTE($H1493&amp;" "," ","|",3))-FIND("|",SUBSTITUTE($H1493&amp;" "," ","|",2))-1),""))</f>
        <v/>
      </c>
      <c r="E1493" s="58">
        <f>IF($H1493="","",IFERROR(MID($H1493&amp;" ",FIND("|",SUBSTITUTE($H1493&amp;" "," ","|",3))+1,FIND("|",SUBSTITUTE($H1493&amp;" "," ","|",4))-FIND("|",SUBSTITUTE($H1493&amp;" "," ","|",3))-1),""))</f>
        <v/>
      </c>
      <c r="F1493" s="59">
        <f>IF($H1493="","",IFERROR(VALUE(IFERROR(MID($H1493&amp;" ",FIND("|",SUBSTITUTE($H1493&amp;" "," ","|",4))+1,FIND("|",SUBSTITUTE($H1493&amp;" "," ","|",5))-FIND("|",SUBSTITUTE($H1493&amp;" "," ","|",4))-1),""))/86400+25569+9/24,""))</f>
        <v/>
      </c>
      <c r="G1493" s="58">
        <f>TRIM(SUBSTITUTE(SUBSTITUTE(SUBSTITUTE($A1493,CHAR(9)," ")," "," "),CHAR(13),""))</f>
        <v/>
      </c>
      <c r="H1493" s="58">
        <f>IF($G1493="","",IF(ISNUMBER(FIND(" ",$G1493)),$G1493,IFERROR(IF((LEN(SUBSTITUTE(SUBSTITUTE($G1493,"-"," ",LEN($G1493)-LEN(SUBSTITUTE($G1493,"-",""))),"-"," ",LEN($G1493)-LEN(SUBSTITUTE($G1493,"-",""))-1))-LEN(SUBSTITUTE(SUBSTITUTE(SUBSTITUTE($G1493,"-"," ",LEN($G1493)-LEN(SUBSTITUTE($G1493,"-",""))),"-"," ",LEN($G1493)-LEN(SUBSTITUTE($G1493,"-",""))-1),".","")))=0,SUBSTITUTE(SUBSTITUTE($G1493,"-"," ",LEN($G1493)-LEN(SUBSTITUTE($G1493,"-",""))),"-"," ",LEN($G1493)-LEN(SUBSTITUTE($G1493,"-",""))-1),SUBSTITUTE(SUBSTITUTE(SUBSTITUTE($G1493,"-"," ",LEN($G1493)-LEN(SUBSTITUTE($G1493,"-",""))),"-"," ",LEN($G1493)-LEN(SUBSTITUTE($G1493,"-",""))-1),"."," ",(LEN(SUBSTITUTE(SUBSTITUTE($G1493,"-"," ",LEN($G1493)-LEN(SUBSTITUTE($G1493,"-",""))),"-"," ",LEN($G1493)-LEN(SUBSTITUTE($G1493,"-",""))-1))-LEN(SUBSTITUTE(SUBSTITUTE(SUBSTITUTE($G1493,"-"," ",LEN($G1493)-LEN(SUBSTITUTE($G1493,"-",""))),"-"," ",LEN($G1493)-LEN(SUBSTITUTE($G1493,"-",""))-1),".",""))))),$G1493)))</f>
        <v/>
      </c>
    </row>
    <row r="1494">
      <c r="A1494" s="58" t="n"/>
      <c r="B1494" s="58">
        <f>IF($H1494="","",LEFT($H1494,FIND(" ",$H1494&amp;" ")-1))</f>
        <v/>
      </c>
      <c r="C1494" s="58">
        <f>IF($H1494="","",IFERROR(MID($H1494&amp;" ",FIND("|",SUBSTITUTE($H1494&amp;" "," ","|",1))+1,FIND("|",SUBSTITUTE($H1494&amp;" "," ","|",2))-FIND("|",SUBSTITUTE($H1494&amp;" "," ","|",1))-1),""))</f>
        <v/>
      </c>
      <c r="D1494" s="58">
        <f>IF($H1494="","",IFERROR(MID($H1494&amp;" ",FIND("|",SUBSTITUTE($H1494&amp;" "," ","|",2))+1,FIND("|",SUBSTITUTE($H1494&amp;" "," ","|",3))-FIND("|",SUBSTITUTE($H1494&amp;" "," ","|",2))-1),""))</f>
        <v/>
      </c>
      <c r="E1494" s="58">
        <f>IF($H1494="","",IFERROR(MID($H1494&amp;" ",FIND("|",SUBSTITUTE($H1494&amp;" "," ","|",3))+1,FIND("|",SUBSTITUTE($H1494&amp;" "," ","|",4))-FIND("|",SUBSTITUTE($H1494&amp;" "," ","|",3))-1),""))</f>
        <v/>
      </c>
      <c r="F1494" s="59">
        <f>IF($H1494="","",IFERROR(VALUE(IFERROR(MID($H1494&amp;" ",FIND("|",SUBSTITUTE($H1494&amp;" "," ","|",4))+1,FIND("|",SUBSTITUTE($H1494&amp;" "," ","|",5))-FIND("|",SUBSTITUTE($H1494&amp;" "," ","|",4))-1),""))/86400+25569+9/24,""))</f>
        <v/>
      </c>
      <c r="G1494" s="58">
        <f>TRIM(SUBSTITUTE(SUBSTITUTE(SUBSTITUTE($A1494,CHAR(9)," ")," "," "),CHAR(13),""))</f>
        <v/>
      </c>
      <c r="H1494" s="58">
        <f>IF($G1494="","",IF(ISNUMBER(FIND(" ",$G1494)),$G1494,IFERROR(IF((LEN(SUBSTITUTE(SUBSTITUTE($G1494,"-"," ",LEN($G1494)-LEN(SUBSTITUTE($G1494,"-",""))),"-"," ",LEN($G1494)-LEN(SUBSTITUTE($G1494,"-",""))-1))-LEN(SUBSTITUTE(SUBSTITUTE(SUBSTITUTE($G1494,"-"," ",LEN($G1494)-LEN(SUBSTITUTE($G1494,"-",""))),"-"," ",LEN($G1494)-LEN(SUBSTITUTE($G1494,"-",""))-1),".","")))=0,SUBSTITUTE(SUBSTITUTE($G1494,"-"," ",LEN($G1494)-LEN(SUBSTITUTE($G1494,"-",""))),"-"," ",LEN($G1494)-LEN(SUBSTITUTE($G1494,"-",""))-1),SUBSTITUTE(SUBSTITUTE(SUBSTITUTE($G1494,"-"," ",LEN($G1494)-LEN(SUBSTITUTE($G1494,"-",""))),"-"," ",LEN($G1494)-LEN(SUBSTITUTE($G1494,"-",""))-1),"."," ",(LEN(SUBSTITUTE(SUBSTITUTE($G1494,"-"," ",LEN($G1494)-LEN(SUBSTITUTE($G1494,"-",""))),"-"," ",LEN($G1494)-LEN(SUBSTITUTE($G1494,"-",""))-1))-LEN(SUBSTITUTE(SUBSTITUTE(SUBSTITUTE($G1494,"-"," ",LEN($G1494)-LEN(SUBSTITUTE($G1494,"-",""))),"-"," ",LEN($G1494)-LEN(SUBSTITUTE($G1494,"-",""))-1),".",""))))),$G1494)))</f>
        <v/>
      </c>
    </row>
    <row r="1495">
      <c r="A1495" s="58" t="n"/>
      <c r="B1495" s="58">
        <f>IF($H1495="","",LEFT($H1495,FIND(" ",$H1495&amp;" ")-1))</f>
        <v/>
      </c>
      <c r="C1495" s="58">
        <f>IF($H1495="","",IFERROR(MID($H1495&amp;" ",FIND("|",SUBSTITUTE($H1495&amp;" "," ","|",1))+1,FIND("|",SUBSTITUTE($H1495&amp;" "," ","|",2))-FIND("|",SUBSTITUTE($H1495&amp;" "," ","|",1))-1),""))</f>
        <v/>
      </c>
      <c r="D1495" s="58">
        <f>IF($H1495="","",IFERROR(MID($H1495&amp;" ",FIND("|",SUBSTITUTE($H1495&amp;" "," ","|",2))+1,FIND("|",SUBSTITUTE($H1495&amp;" "," ","|",3))-FIND("|",SUBSTITUTE($H1495&amp;" "," ","|",2))-1),""))</f>
        <v/>
      </c>
      <c r="E1495" s="58">
        <f>IF($H1495="","",IFERROR(MID($H1495&amp;" ",FIND("|",SUBSTITUTE($H1495&amp;" "," ","|",3))+1,FIND("|",SUBSTITUTE($H1495&amp;" "," ","|",4))-FIND("|",SUBSTITUTE($H1495&amp;" "," ","|",3))-1),""))</f>
        <v/>
      </c>
      <c r="F1495" s="59">
        <f>IF($H1495="","",IFERROR(VALUE(IFERROR(MID($H1495&amp;" ",FIND("|",SUBSTITUTE($H1495&amp;" "," ","|",4))+1,FIND("|",SUBSTITUTE($H1495&amp;" "," ","|",5))-FIND("|",SUBSTITUTE($H1495&amp;" "," ","|",4))-1),""))/86400+25569+9/24,""))</f>
        <v/>
      </c>
      <c r="G1495" s="58">
        <f>TRIM(SUBSTITUTE(SUBSTITUTE(SUBSTITUTE($A1495,CHAR(9)," ")," "," "),CHAR(13),""))</f>
        <v/>
      </c>
      <c r="H1495" s="58">
        <f>IF($G1495="","",IF(ISNUMBER(FIND(" ",$G1495)),$G1495,IFERROR(IF((LEN(SUBSTITUTE(SUBSTITUTE($G1495,"-"," ",LEN($G1495)-LEN(SUBSTITUTE($G1495,"-",""))),"-"," ",LEN($G1495)-LEN(SUBSTITUTE($G1495,"-",""))-1))-LEN(SUBSTITUTE(SUBSTITUTE(SUBSTITUTE($G1495,"-"," ",LEN($G1495)-LEN(SUBSTITUTE($G1495,"-",""))),"-"," ",LEN($G1495)-LEN(SUBSTITUTE($G1495,"-",""))-1),".","")))=0,SUBSTITUTE(SUBSTITUTE($G1495,"-"," ",LEN($G1495)-LEN(SUBSTITUTE($G1495,"-",""))),"-"," ",LEN($G1495)-LEN(SUBSTITUTE($G1495,"-",""))-1),SUBSTITUTE(SUBSTITUTE(SUBSTITUTE($G1495,"-"," ",LEN($G1495)-LEN(SUBSTITUTE($G1495,"-",""))),"-"," ",LEN($G1495)-LEN(SUBSTITUTE($G1495,"-",""))-1),"."," ",(LEN(SUBSTITUTE(SUBSTITUTE($G1495,"-"," ",LEN($G1495)-LEN(SUBSTITUTE($G1495,"-",""))),"-"," ",LEN($G1495)-LEN(SUBSTITUTE($G1495,"-",""))-1))-LEN(SUBSTITUTE(SUBSTITUTE(SUBSTITUTE($G1495,"-"," ",LEN($G1495)-LEN(SUBSTITUTE($G1495,"-",""))),"-"," ",LEN($G1495)-LEN(SUBSTITUTE($G1495,"-",""))-1),".",""))))),$G1495)))</f>
        <v/>
      </c>
    </row>
    <row r="1496">
      <c r="A1496" s="58" t="n"/>
      <c r="B1496" s="58">
        <f>IF($H1496="","",LEFT($H1496,FIND(" ",$H1496&amp;" ")-1))</f>
        <v/>
      </c>
      <c r="C1496" s="58">
        <f>IF($H1496="","",IFERROR(MID($H1496&amp;" ",FIND("|",SUBSTITUTE($H1496&amp;" "," ","|",1))+1,FIND("|",SUBSTITUTE($H1496&amp;" "," ","|",2))-FIND("|",SUBSTITUTE($H1496&amp;" "," ","|",1))-1),""))</f>
        <v/>
      </c>
      <c r="D1496" s="58">
        <f>IF($H1496="","",IFERROR(MID($H1496&amp;" ",FIND("|",SUBSTITUTE($H1496&amp;" "," ","|",2))+1,FIND("|",SUBSTITUTE($H1496&amp;" "," ","|",3))-FIND("|",SUBSTITUTE($H1496&amp;" "," ","|",2))-1),""))</f>
        <v/>
      </c>
      <c r="E1496" s="58">
        <f>IF($H1496="","",IFERROR(MID($H1496&amp;" ",FIND("|",SUBSTITUTE($H1496&amp;" "," ","|",3))+1,FIND("|",SUBSTITUTE($H1496&amp;" "," ","|",4))-FIND("|",SUBSTITUTE($H1496&amp;" "," ","|",3))-1),""))</f>
        <v/>
      </c>
      <c r="F1496" s="59">
        <f>IF($H1496="","",IFERROR(VALUE(IFERROR(MID($H1496&amp;" ",FIND("|",SUBSTITUTE($H1496&amp;" "," ","|",4))+1,FIND("|",SUBSTITUTE($H1496&amp;" "," ","|",5))-FIND("|",SUBSTITUTE($H1496&amp;" "," ","|",4))-1),""))/86400+25569+9/24,""))</f>
        <v/>
      </c>
      <c r="G1496" s="58">
        <f>TRIM(SUBSTITUTE(SUBSTITUTE(SUBSTITUTE($A1496,CHAR(9)," ")," "," "),CHAR(13),""))</f>
        <v/>
      </c>
      <c r="H1496" s="58">
        <f>IF($G1496="","",IF(ISNUMBER(FIND(" ",$G1496)),$G1496,IFERROR(IF((LEN(SUBSTITUTE(SUBSTITUTE($G1496,"-"," ",LEN($G1496)-LEN(SUBSTITUTE($G1496,"-",""))),"-"," ",LEN($G1496)-LEN(SUBSTITUTE($G1496,"-",""))-1))-LEN(SUBSTITUTE(SUBSTITUTE(SUBSTITUTE($G1496,"-"," ",LEN($G1496)-LEN(SUBSTITUTE($G1496,"-",""))),"-"," ",LEN($G1496)-LEN(SUBSTITUTE($G1496,"-",""))-1),".","")))=0,SUBSTITUTE(SUBSTITUTE($G1496,"-"," ",LEN($G1496)-LEN(SUBSTITUTE($G1496,"-",""))),"-"," ",LEN($G1496)-LEN(SUBSTITUTE($G1496,"-",""))-1),SUBSTITUTE(SUBSTITUTE(SUBSTITUTE($G1496,"-"," ",LEN($G1496)-LEN(SUBSTITUTE($G1496,"-",""))),"-"," ",LEN($G1496)-LEN(SUBSTITUTE($G1496,"-",""))-1),"."," ",(LEN(SUBSTITUTE(SUBSTITUTE($G1496,"-"," ",LEN($G1496)-LEN(SUBSTITUTE($G1496,"-",""))),"-"," ",LEN($G1496)-LEN(SUBSTITUTE($G1496,"-",""))-1))-LEN(SUBSTITUTE(SUBSTITUTE(SUBSTITUTE($G1496,"-"," ",LEN($G1496)-LEN(SUBSTITUTE($G1496,"-",""))),"-"," ",LEN($G1496)-LEN(SUBSTITUTE($G1496,"-",""))-1),".",""))))),$G1496)))</f>
        <v/>
      </c>
    </row>
    <row r="1497">
      <c r="A1497" s="58" t="n"/>
      <c r="B1497" s="58">
        <f>IF($H1497="","",LEFT($H1497,FIND(" ",$H1497&amp;" ")-1))</f>
        <v/>
      </c>
      <c r="C1497" s="58">
        <f>IF($H1497="","",IFERROR(MID($H1497&amp;" ",FIND("|",SUBSTITUTE($H1497&amp;" "," ","|",1))+1,FIND("|",SUBSTITUTE($H1497&amp;" "," ","|",2))-FIND("|",SUBSTITUTE($H1497&amp;" "," ","|",1))-1),""))</f>
        <v/>
      </c>
      <c r="D1497" s="58">
        <f>IF($H1497="","",IFERROR(MID($H1497&amp;" ",FIND("|",SUBSTITUTE($H1497&amp;" "," ","|",2))+1,FIND("|",SUBSTITUTE($H1497&amp;" "," ","|",3))-FIND("|",SUBSTITUTE($H1497&amp;" "," ","|",2))-1),""))</f>
        <v/>
      </c>
      <c r="E1497" s="58">
        <f>IF($H1497="","",IFERROR(MID($H1497&amp;" ",FIND("|",SUBSTITUTE($H1497&amp;" "," ","|",3))+1,FIND("|",SUBSTITUTE($H1497&amp;" "," ","|",4))-FIND("|",SUBSTITUTE($H1497&amp;" "," ","|",3))-1),""))</f>
        <v/>
      </c>
      <c r="F1497" s="59">
        <f>IF($H1497="","",IFERROR(VALUE(IFERROR(MID($H1497&amp;" ",FIND("|",SUBSTITUTE($H1497&amp;" "," ","|",4))+1,FIND("|",SUBSTITUTE($H1497&amp;" "," ","|",5))-FIND("|",SUBSTITUTE($H1497&amp;" "," ","|",4))-1),""))/86400+25569+9/24,""))</f>
        <v/>
      </c>
      <c r="G1497" s="58">
        <f>TRIM(SUBSTITUTE(SUBSTITUTE(SUBSTITUTE($A1497,CHAR(9)," ")," "," "),CHAR(13),""))</f>
        <v/>
      </c>
      <c r="H1497" s="58">
        <f>IF($G1497="","",IF(ISNUMBER(FIND(" ",$G1497)),$G1497,IFERROR(IF((LEN(SUBSTITUTE(SUBSTITUTE($G1497,"-"," ",LEN($G1497)-LEN(SUBSTITUTE($G1497,"-",""))),"-"," ",LEN($G1497)-LEN(SUBSTITUTE($G1497,"-",""))-1))-LEN(SUBSTITUTE(SUBSTITUTE(SUBSTITUTE($G1497,"-"," ",LEN($G1497)-LEN(SUBSTITUTE($G1497,"-",""))),"-"," ",LEN($G1497)-LEN(SUBSTITUTE($G1497,"-",""))-1),".","")))=0,SUBSTITUTE(SUBSTITUTE($G1497,"-"," ",LEN($G1497)-LEN(SUBSTITUTE($G1497,"-",""))),"-"," ",LEN($G1497)-LEN(SUBSTITUTE($G1497,"-",""))-1),SUBSTITUTE(SUBSTITUTE(SUBSTITUTE($G1497,"-"," ",LEN($G1497)-LEN(SUBSTITUTE($G1497,"-",""))),"-"," ",LEN($G1497)-LEN(SUBSTITUTE($G1497,"-",""))-1),"."," ",(LEN(SUBSTITUTE(SUBSTITUTE($G1497,"-"," ",LEN($G1497)-LEN(SUBSTITUTE($G1497,"-",""))),"-"," ",LEN($G1497)-LEN(SUBSTITUTE($G1497,"-",""))-1))-LEN(SUBSTITUTE(SUBSTITUTE(SUBSTITUTE($G1497,"-"," ",LEN($G1497)-LEN(SUBSTITUTE($G1497,"-",""))),"-"," ",LEN($G1497)-LEN(SUBSTITUTE($G1497,"-",""))-1),".",""))))),$G1497)))</f>
        <v/>
      </c>
    </row>
    <row r="1498">
      <c r="A1498" s="58" t="n"/>
      <c r="B1498" s="58">
        <f>IF($H1498="","",LEFT($H1498,FIND(" ",$H1498&amp;" ")-1))</f>
        <v/>
      </c>
      <c r="C1498" s="58">
        <f>IF($H1498="","",IFERROR(MID($H1498&amp;" ",FIND("|",SUBSTITUTE($H1498&amp;" "," ","|",1))+1,FIND("|",SUBSTITUTE($H1498&amp;" "," ","|",2))-FIND("|",SUBSTITUTE($H1498&amp;" "," ","|",1))-1),""))</f>
        <v/>
      </c>
      <c r="D1498" s="58">
        <f>IF($H1498="","",IFERROR(MID($H1498&amp;" ",FIND("|",SUBSTITUTE($H1498&amp;" "," ","|",2))+1,FIND("|",SUBSTITUTE($H1498&amp;" "," ","|",3))-FIND("|",SUBSTITUTE($H1498&amp;" "," ","|",2))-1),""))</f>
        <v/>
      </c>
      <c r="E1498" s="58">
        <f>IF($H1498="","",IFERROR(MID($H1498&amp;" ",FIND("|",SUBSTITUTE($H1498&amp;" "," ","|",3))+1,FIND("|",SUBSTITUTE($H1498&amp;" "," ","|",4))-FIND("|",SUBSTITUTE($H1498&amp;" "," ","|",3))-1),""))</f>
        <v/>
      </c>
      <c r="F1498" s="59">
        <f>IF($H1498="","",IFERROR(VALUE(IFERROR(MID($H1498&amp;" ",FIND("|",SUBSTITUTE($H1498&amp;" "," ","|",4))+1,FIND("|",SUBSTITUTE($H1498&amp;" "," ","|",5))-FIND("|",SUBSTITUTE($H1498&amp;" "," ","|",4))-1),""))/86400+25569+9/24,""))</f>
        <v/>
      </c>
      <c r="G1498" s="58">
        <f>TRIM(SUBSTITUTE(SUBSTITUTE(SUBSTITUTE($A1498,CHAR(9)," ")," "," "),CHAR(13),""))</f>
        <v/>
      </c>
      <c r="H1498" s="58">
        <f>IF($G1498="","",IF(ISNUMBER(FIND(" ",$G1498)),$G1498,IFERROR(IF((LEN(SUBSTITUTE(SUBSTITUTE($G1498,"-"," ",LEN($G1498)-LEN(SUBSTITUTE($G1498,"-",""))),"-"," ",LEN($G1498)-LEN(SUBSTITUTE($G1498,"-",""))-1))-LEN(SUBSTITUTE(SUBSTITUTE(SUBSTITUTE($G1498,"-"," ",LEN($G1498)-LEN(SUBSTITUTE($G1498,"-",""))),"-"," ",LEN($G1498)-LEN(SUBSTITUTE($G1498,"-",""))-1),".","")))=0,SUBSTITUTE(SUBSTITUTE($G1498,"-"," ",LEN($G1498)-LEN(SUBSTITUTE($G1498,"-",""))),"-"," ",LEN($G1498)-LEN(SUBSTITUTE($G1498,"-",""))-1),SUBSTITUTE(SUBSTITUTE(SUBSTITUTE($G1498,"-"," ",LEN($G1498)-LEN(SUBSTITUTE($G1498,"-",""))),"-"," ",LEN($G1498)-LEN(SUBSTITUTE($G1498,"-",""))-1),"."," ",(LEN(SUBSTITUTE(SUBSTITUTE($G1498,"-"," ",LEN($G1498)-LEN(SUBSTITUTE($G1498,"-",""))),"-"," ",LEN($G1498)-LEN(SUBSTITUTE($G1498,"-",""))-1))-LEN(SUBSTITUTE(SUBSTITUTE(SUBSTITUTE($G1498,"-"," ",LEN($G1498)-LEN(SUBSTITUTE($G1498,"-",""))),"-"," ",LEN($G1498)-LEN(SUBSTITUTE($G1498,"-",""))-1),".",""))))),$G1498)))</f>
        <v/>
      </c>
    </row>
    <row r="1499">
      <c r="A1499" s="58" t="n"/>
      <c r="B1499" s="58">
        <f>IF($H1499="","",LEFT($H1499,FIND(" ",$H1499&amp;" ")-1))</f>
        <v/>
      </c>
      <c r="C1499" s="58">
        <f>IF($H1499="","",IFERROR(MID($H1499&amp;" ",FIND("|",SUBSTITUTE($H1499&amp;" "," ","|",1))+1,FIND("|",SUBSTITUTE($H1499&amp;" "," ","|",2))-FIND("|",SUBSTITUTE($H1499&amp;" "," ","|",1))-1),""))</f>
        <v/>
      </c>
      <c r="D1499" s="58">
        <f>IF($H1499="","",IFERROR(MID($H1499&amp;" ",FIND("|",SUBSTITUTE($H1499&amp;" "," ","|",2))+1,FIND("|",SUBSTITUTE($H1499&amp;" "," ","|",3))-FIND("|",SUBSTITUTE($H1499&amp;" "," ","|",2))-1),""))</f>
        <v/>
      </c>
      <c r="E1499" s="58">
        <f>IF($H1499="","",IFERROR(MID($H1499&amp;" ",FIND("|",SUBSTITUTE($H1499&amp;" "," ","|",3))+1,FIND("|",SUBSTITUTE($H1499&amp;" "," ","|",4))-FIND("|",SUBSTITUTE($H1499&amp;" "," ","|",3))-1),""))</f>
        <v/>
      </c>
      <c r="F1499" s="59">
        <f>IF($H1499="","",IFERROR(VALUE(IFERROR(MID($H1499&amp;" ",FIND("|",SUBSTITUTE($H1499&amp;" "," ","|",4))+1,FIND("|",SUBSTITUTE($H1499&amp;" "," ","|",5))-FIND("|",SUBSTITUTE($H1499&amp;" "," ","|",4))-1),""))/86400+25569+9/24,""))</f>
        <v/>
      </c>
      <c r="G1499" s="58">
        <f>TRIM(SUBSTITUTE(SUBSTITUTE(SUBSTITUTE($A1499,CHAR(9)," ")," "," "),CHAR(13),""))</f>
        <v/>
      </c>
      <c r="H1499" s="58">
        <f>IF($G1499="","",IF(ISNUMBER(FIND(" ",$G1499)),$G1499,IFERROR(IF((LEN(SUBSTITUTE(SUBSTITUTE($G1499,"-"," ",LEN($G1499)-LEN(SUBSTITUTE($G1499,"-",""))),"-"," ",LEN($G1499)-LEN(SUBSTITUTE($G1499,"-",""))-1))-LEN(SUBSTITUTE(SUBSTITUTE(SUBSTITUTE($G1499,"-"," ",LEN($G1499)-LEN(SUBSTITUTE($G1499,"-",""))),"-"," ",LEN($G1499)-LEN(SUBSTITUTE($G1499,"-",""))-1),".","")))=0,SUBSTITUTE(SUBSTITUTE($G1499,"-"," ",LEN($G1499)-LEN(SUBSTITUTE($G1499,"-",""))),"-"," ",LEN($G1499)-LEN(SUBSTITUTE($G1499,"-",""))-1),SUBSTITUTE(SUBSTITUTE(SUBSTITUTE($G1499,"-"," ",LEN($G1499)-LEN(SUBSTITUTE($G1499,"-",""))),"-"," ",LEN($G1499)-LEN(SUBSTITUTE($G1499,"-",""))-1),"."," ",(LEN(SUBSTITUTE(SUBSTITUTE($G1499,"-"," ",LEN($G1499)-LEN(SUBSTITUTE($G1499,"-",""))),"-"," ",LEN($G1499)-LEN(SUBSTITUTE($G1499,"-",""))-1))-LEN(SUBSTITUTE(SUBSTITUTE(SUBSTITUTE($G1499,"-"," ",LEN($G1499)-LEN(SUBSTITUTE($G1499,"-",""))),"-"," ",LEN($G1499)-LEN(SUBSTITUTE($G1499,"-",""))-1),".",""))))),$G1499)))</f>
        <v/>
      </c>
    </row>
    <row r="1500">
      <c r="A1500" s="58" t="n"/>
      <c r="B1500" s="58">
        <f>IF($H1500="","",LEFT($H1500,FIND(" ",$H1500&amp;" ")-1))</f>
        <v/>
      </c>
      <c r="C1500" s="58">
        <f>IF($H1500="","",IFERROR(MID($H1500&amp;" ",FIND("|",SUBSTITUTE($H1500&amp;" "," ","|",1))+1,FIND("|",SUBSTITUTE($H1500&amp;" "," ","|",2))-FIND("|",SUBSTITUTE($H1500&amp;" "," ","|",1))-1),""))</f>
        <v/>
      </c>
      <c r="D1500" s="58">
        <f>IF($H1500="","",IFERROR(MID($H1500&amp;" ",FIND("|",SUBSTITUTE($H1500&amp;" "," ","|",2))+1,FIND("|",SUBSTITUTE($H1500&amp;" "," ","|",3))-FIND("|",SUBSTITUTE($H1500&amp;" "," ","|",2))-1),""))</f>
        <v/>
      </c>
      <c r="E1500" s="58">
        <f>IF($H1500="","",IFERROR(MID($H1500&amp;" ",FIND("|",SUBSTITUTE($H1500&amp;" "," ","|",3))+1,FIND("|",SUBSTITUTE($H1500&amp;" "," ","|",4))-FIND("|",SUBSTITUTE($H1500&amp;" "," ","|",3))-1),""))</f>
        <v/>
      </c>
      <c r="F1500" s="59">
        <f>IF($H1500="","",IFERROR(VALUE(IFERROR(MID($H1500&amp;" ",FIND("|",SUBSTITUTE($H1500&amp;" "," ","|",4))+1,FIND("|",SUBSTITUTE($H1500&amp;" "," ","|",5))-FIND("|",SUBSTITUTE($H1500&amp;" "," ","|",4))-1),""))/86400+25569+9/24,""))</f>
        <v/>
      </c>
      <c r="G1500" s="58">
        <f>TRIM(SUBSTITUTE(SUBSTITUTE(SUBSTITUTE($A1500,CHAR(9)," ")," "," "),CHAR(13),""))</f>
        <v/>
      </c>
      <c r="H1500" s="58">
        <f>IF($G1500="","",IF(ISNUMBER(FIND(" ",$G1500)),$G1500,IFERROR(IF((LEN(SUBSTITUTE(SUBSTITUTE($G1500,"-"," ",LEN($G1500)-LEN(SUBSTITUTE($G1500,"-",""))),"-"," ",LEN($G1500)-LEN(SUBSTITUTE($G1500,"-",""))-1))-LEN(SUBSTITUTE(SUBSTITUTE(SUBSTITUTE($G1500,"-"," ",LEN($G1500)-LEN(SUBSTITUTE($G1500,"-",""))),"-"," ",LEN($G1500)-LEN(SUBSTITUTE($G1500,"-",""))-1),".","")))=0,SUBSTITUTE(SUBSTITUTE($G1500,"-"," ",LEN($G1500)-LEN(SUBSTITUTE($G1500,"-",""))),"-"," ",LEN($G1500)-LEN(SUBSTITUTE($G1500,"-",""))-1),SUBSTITUTE(SUBSTITUTE(SUBSTITUTE($G1500,"-"," ",LEN($G1500)-LEN(SUBSTITUTE($G1500,"-",""))),"-"," ",LEN($G1500)-LEN(SUBSTITUTE($G1500,"-",""))-1),"."," ",(LEN(SUBSTITUTE(SUBSTITUTE($G1500,"-"," ",LEN($G1500)-LEN(SUBSTITUTE($G1500,"-",""))),"-"," ",LEN($G1500)-LEN(SUBSTITUTE($G1500,"-",""))-1))-LEN(SUBSTITUTE(SUBSTITUTE(SUBSTITUTE($G1500,"-"," ",LEN($G1500)-LEN(SUBSTITUTE($G1500,"-",""))),"-"," ",LEN($G1500)-LEN(SUBSTITUTE($G1500,"-",""))-1),".",""))))),$G1500)))</f>
        <v/>
      </c>
    </row>
    <row r="1501">
      <c r="A1501" s="58" t="n"/>
      <c r="B1501" s="58">
        <f>IF($H1501="","",LEFT($H1501,FIND(" ",$H1501&amp;" ")-1))</f>
        <v/>
      </c>
      <c r="C1501" s="58">
        <f>IF($H1501="","",IFERROR(MID($H1501&amp;" ",FIND("|",SUBSTITUTE($H1501&amp;" "," ","|",1))+1,FIND("|",SUBSTITUTE($H1501&amp;" "," ","|",2))-FIND("|",SUBSTITUTE($H1501&amp;" "," ","|",1))-1),""))</f>
        <v/>
      </c>
      <c r="D1501" s="58">
        <f>IF($H1501="","",IFERROR(MID($H1501&amp;" ",FIND("|",SUBSTITUTE($H1501&amp;" "," ","|",2))+1,FIND("|",SUBSTITUTE($H1501&amp;" "," ","|",3))-FIND("|",SUBSTITUTE($H1501&amp;" "," ","|",2))-1),""))</f>
        <v/>
      </c>
      <c r="E1501" s="58">
        <f>IF($H1501="","",IFERROR(MID($H1501&amp;" ",FIND("|",SUBSTITUTE($H1501&amp;" "," ","|",3))+1,FIND("|",SUBSTITUTE($H1501&amp;" "," ","|",4))-FIND("|",SUBSTITUTE($H1501&amp;" "," ","|",3))-1),""))</f>
        <v/>
      </c>
      <c r="F1501" s="59">
        <f>IF($H1501="","",IFERROR(VALUE(IFERROR(MID($H1501&amp;" ",FIND("|",SUBSTITUTE($H1501&amp;" "," ","|",4))+1,FIND("|",SUBSTITUTE($H1501&amp;" "," ","|",5))-FIND("|",SUBSTITUTE($H1501&amp;" "," ","|",4))-1),""))/86400+25569+9/24,""))</f>
        <v/>
      </c>
      <c r="G1501" s="58">
        <f>TRIM(SUBSTITUTE(SUBSTITUTE(SUBSTITUTE($A1501,CHAR(9)," ")," "," "),CHAR(13),""))</f>
        <v/>
      </c>
      <c r="H1501" s="58">
        <f>IF($G1501="","",IF(ISNUMBER(FIND(" ",$G1501)),$G1501,IFERROR(IF((LEN(SUBSTITUTE(SUBSTITUTE($G1501,"-"," ",LEN($G1501)-LEN(SUBSTITUTE($G1501,"-",""))),"-"," ",LEN($G1501)-LEN(SUBSTITUTE($G1501,"-",""))-1))-LEN(SUBSTITUTE(SUBSTITUTE(SUBSTITUTE($G1501,"-"," ",LEN($G1501)-LEN(SUBSTITUTE($G1501,"-",""))),"-"," ",LEN($G1501)-LEN(SUBSTITUTE($G1501,"-",""))-1),".","")))=0,SUBSTITUTE(SUBSTITUTE($G1501,"-"," ",LEN($G1501)-LEN(SUBSTITUTE($G1501,"-",""))),"-"," ",LEN($G1501)-LEN(SUBSTITUTE($G1501,"-",""))-1),SUBSTITUTE(SUBSTITUTE(SUBSTITUTE($G1501,"-"," ",LEN($G1501)-LEN(SUBSTITUTE($G1501,"-",""))),"-"," ",LEN($G1501)-LEN(SUBSTITUTE($G1501,"-",""))-1),"."," ",(LEN(SUBSTITUTE(SUBSTITUTE($G1501,"-"," ",LEN($G1501)-LEN(SUBSTITUTE($G1501,"-",""))),"-"," ",LEN($G1501)-LEN(SUBSTITUTE($G1501,"-",""))-1))-LEN(SUBSTITUTE(SUBSTITUTE(SUBSTITUTE($G1501,"-"," ",LEN($G1501)-LEN(SUBSTITUTE($G1501,"-",""))),"-"," ",LEN($G1501)-LEN(SUBSTITUTE($G1501,"-",""))-1),".",""))))),$G1501)))</f>
        <v/>
      </c>
    </row>
    <row r="1502">
      <c r="A1502" s="58" t="n"/>
      <c r="B1502" s="58">
        <f>IF($H1502="","",LEFT($H1502,FIND(" ",$H1502&amp;" ")-1))</f>
        <v/>
      </c>
      <c r="C1502" s="58">
        <f>IF($H1502="","",IFERROR(MID($H1502&amp;" ",FIND("|",SUBSTITUTE($H1502&amp;" "," ","|",1))+1,FIND("|",SUBSTITUTE($H1502&amp;" "," ","|",2))-FIND("|",SUBSTITUTE($H1502&amp;" "," ","|",1))-1),""))</f>
        <v/>
      </c>
      <c r="D1502" s="58">
        <f>IF($H1502="","",IFERROR(MID($H1502&amp;" ",FIND("|",SUBSTITUTE($H1502&amp;" "," ","|",2))+1,FIND("|",SUBSTITUTE($H1502&amp;" "," ","|",3))-FIND("|",SUBSTITUTE($H1502&amp;" "," ","|",2))-1),""))</f>
        <v/>
      </c>
      <c r="E1502" s="58">
        <f>IF($H1502="","",IFERROR(MID($H1502&amp;" ",FIND("|",SUBSTITUTE($H1502&amp;" "," ","|",3))+1,FIND("|",SUBSTITUTE($H1502&amp;" "," ","|",4))-FIND("|",SUBSTITUTE($H1502&amp;" "," ","|",3))-1),""))</f>
        <v/>
      </c>
      <c r="F1502" s="59">
        <f>IF($H1502="","",IFERROR(VALUE(IFERROR(MID($H1502&amp;" ",FIND("|",SUBSTITUTE($H1502&amp;" "," ","|",4))+1,FIND("|",SUBSTITUTE($H1502&amp;" "," ","|",5))-FIND("|",SUBSTITUTE($H1502&amp;" "," ","|",4))-1),""))/86400+25569+9/24,""))</f>
        <v/>
      </c>
      <c r="G1502" s="58">
        <f>TRIM(SUBSTITUTE(SUBSTITUTE(SUBSTITUTE($A1502,CHAR(9)," ")," "," "),CHAR(13),""))</f>
        <v/>
      </c>
      <c r="H1502" s="58">
        <f>IF($G1502="","",IF(ISNUMBER(FIND(" ",$G1502)),$G1502,IFERROR(IF((LEN(SUBSTITUTE(SUBSTITUTE($G1502,"-"," ",LEN($G1502)-LEN(SUBSTITUTE($G1502,"-",""))),"-"," ",LEN($G1502)-LEN(SUBSTITUTE($G1502,"-",""))-1))-LEN(SUBSTITUTE(SUBSTITUTE(SUBSTITUTE($G1502,"-"," ",LEN($G1502)-LEN(SUBSTITUTE($G1502,"-",""))),"-"," ",LEN($G1502)-LEN(SUBSTITUTE($G1502,"-",""))-1),".","")))=0,SUBSTITUTE(SUBSTITUTE($G1502,"-"," ",LEN($G1502)-LEN(SUBSTITUTE($G1502,"-",""))),"-"," ",LEN($G1502)-LEN(SUBSTITUTE($G1502,"-",""))-1),SUBSTITUTE(SUBSTITUTE(SUBSTITUTE($G1502,"-"," ",LEN($G1502)-LEN(SUBSTITUTE($G1502,"-",""))),"-"," ",LEN($G1502)-LEN(SUBSTITUTE($G1502,"-",""))-1),"."," ",(LEN(SUBSTITUTE(SUBSTITUTE($G1502,"-"," ",LEN($G1502)-LEN(SUBSTITUTE($G1502,"-",""))),"-"," ",LEN($G1502)-LEN(SUBSTITUTE($G1502,"-",""))-1))-LEN(SUBSTITUTE(SUBSTITUTE(SUBSTITUTE($G1502,"-"," ",LEN($G1502)-LEN(SUBSTITUTE($G1502,"-",""))),"-"," ",LEN($G1502)-LEN(SUBSTITUTE($G1502,"-",""))-1),".",""))))),$G1502)))</f>
        <v/>
      </c>
    </row>
    <row r="1503">
      <c r="A1503" s="58" t="n"/>
      <c r="B1503" s="58">
        <f>IF($H1503="","",LEFT($H1503,FIND(" ",$H1503&amp;" ")-1))</f>
        <v/>
      </c>
      <c r="C1503" s="58">
        <f>IF($H1503="","",IFERROR(MID($H1503&amp;" ",FIND("|",SUBSTITUTE($H1503&amp;" "," ","|",1))+1,FIND("|",SUBSTITUTE($H1503&amp;" "," ","|",2))-FIND("|",SUBSTITUTE($H1503&amp;" "," ","|",1))-1),""))</f>
        <v/>
      </c>
      <c r="D1503" s="58">
        <f>IF($H1503="","",IFERROR(MID($H1503&amp;" ",FIND("|",SUBSTITUTE($H1503&amp;" "," ","|",2))+1,FIND("|",SUBSTITUTE($H1503&amp;" "," ","|",3))-FIND("|",SUBSTITUTE($H1503&amp;" "," ","|",2))-1),""))</f>
        <v/>
      </c>
      <c r="E1503" s="58">
        <f>IF($H1503="","",IFERROR(MID($H1503&amp;" ",FIND("|",SUBSTITUTE($H1503&amp;" "," ","|",3))+1,FIND("|",SUBSTITUTE($H1503&amp;" "," ","|",4))-FIND("|",SUBSTITUTE($H1503&amp;" "," ","|",3))-1),""))</f>
        <v/>
      </c>
      <c r="F1503" s="59">
        <f>IF($H1503="","",IFERROR(VALUE(IFERROR(MID($H1503&amp;" ",FIND("|",SUBSTITUTE($H1503&amp;" "," ","|",4))+1,FIND("|",SUBSTITUTE($H1503&amp;" "," ","|",5))-FIND("|",SUBSTITUTE($H1503&amp;" "," ","|",4))-1),""))/86400+25569+9/24,""))</f>
        <v/>
      </c>
      <c r="G1503" s="58">
        <f>TRIM(SUBSTITUTE(SUBSTITUTE(SUBSTITUTE($A1503,CHAR(9)," ")," "," "),CHAR(13),""))</f>
        <v/>
      </c>
      <c r="H1503" s="58">
        <f>IF($G1503="","",IF(ISNUMBER(FIND(" ",$G1503)),$G1503,IFERROR(IF((LEN(SUBSTITUTE(SUBSTITUTE($G1503,"-"," ",LEN($G1503)-LEN(SUBSTITUTE($G1503,"-",""))),"-"," ",LEN($G1503)-LEN(SUBSTITUTE($G1503,"-",""))-1))-LEN(SUBSTITUTE(SUBSTITUTE(SUBSTITUTE($G1503,"-"," ",LEN($G1503)-LEN(SUBSTITUTE($G1503,"-",""))),"-"," ",LEN($G1503)-LEN(SUBSTITUTE($G1503,"-",""))-1),".","")))=0,SUBSTITUTE(SUBSTITUTE($G1503,"-"," ",LEN($G1503)-LEN(SUBSTITUTE($G1503,"-",""))),"-"," ",LEN($G1503)-LEN(SUBSTITUTE($G1503,"-",""))-1),SUBSTITUTE(SUBSTITUTE(SUBSTITUTE($G1503,"-"," ",LEN($G1503)-LEN(SUBSTITUTE($G1503,"-",""))),"-"," ",LEN($G1503)-LEN(SUBSTITUTE($G1503,"-",""))-1),"."," ",(LEN(SUBSTITUTE(SUBSTITUTE($G1503,"-"," ",LEN($G1503)-LEN(SUBSTITUTE($G1503,"-",""))),"-"," ",LEN($G1503)-LEN(SUBSTITUTE($G1503,"-",""))-1))-LEN(SUBSTITUTE(SUBSTITUTE(SUBSTITUTE($G1503,"-"," ",LEN($G1503)-LEN(SUBSTITUTE($G1503,"-",""))),"-"," ",LEN($G1503)-LEN(SUBSTITUTE($G1503,"-",""))-1),".",""))))),$G1503)))</f>
        <v/>
      </c>
    </row>
    <row r="1504">
      <c r="A1504" s="58" t="n"/>
      <c r="B1504" s="58">
        <f>IF($H1504="","",LEFT($H1504,FIND(" ",$H1504&amp;" ")-1))</f>
        <v/>
      </c>
      <c r="C1504" s="58">
        <f>IF($H1504="","",IFERROR(MID($H1504&amp;" ",FIND("|",SUBSTITUTE($H1504&amp;" "," ","|",1))+1,FIND("|",SUBSTITUTE($H1504&amp;" "," ","|",2))-FIND("|",SUBSTITUTE($H1504&amp;" "," ","|",1))-1),""))</f>
        <v/>
      </c>
      <c r="D1504" s="58">
        <f>IF($H1504="","",IFERROR(MID($H1504&amp;" ",FIND("|",SUBSTITUTE($H1504&amp;" "," ","|",2))+1,FIND("|",SUBSTITUTE($H1504&amp;" "," ","|",3))-FIND("|",SUBSTITUTE($H1504&amp;" "," ","|",2))-1),""))</f>
        <v/>
      </c>
      <c r="E1504" s="58">
        <f>IF($H1504="","",IFERROR(MID($H1504&amp;" ",FIND("|",SUBSTITUTE($H1504&amp;" "," ","|",3))+1,FIND("|",SUBSTITUTE($H1504&amp;" "," ","|",4))-FIND("|",SUBSTITUTE($H1504&amp;" "," ","|",3))-1),""))</f>
        <v/>
      </c>
      <c r="F1504" s="59">
        <f>IF($H1504="","",IFERROR(VALUE(IFERROR(MID($H1504&amp;" ",FIND("|",SUBSTITUTE($H1504&amp;" "," ","|",4))+1,FIND("|",SUBSTITUTE($H1504&amp;" "," ","|",5))-FIND("|",SUBSTITUTE($H1504&amp;" "," ","|",4))-1),""))/86400+25569+9/24,""))</f>
        <v/>
      </c>
      <c r="G1504" s="58">
        <f>TRIM(SUBSTITUTE(SUBSTITUTE(SUBSTITUTE($A1504,CHAR(9)," ")," "," "),CHAR(13),""))</f>
        <v/>
      </c>
      <c r="H1504" s="58">
        <f>IF($G1504="","",IF(ISNUMBER(FIND(" ",$G1504)),$G1504,IFERROR(IF((LEN(SUBSTITUTE(SUBSTITUTE($G1504,"-"," ",LEN($G1504)-LEN(SUBSTITUTE($G1504,"-",""))),"-"," ",LEN($G1504)-LEN(SUBSTITUTE($G1504,"-",""))-1))-LEN(SUBSTITUTE(SUBSTITUTE(SUBSTITUTE($G1504,"-"," ",LEN($G1504)-LEN(SUBSTITUTE($G1504,"-",""))),"-"," ",LEN($G1504)-LEN(SUBSTITUTE($G1504,"-",""))-1),".","")))=0,SUBSTITUTE(SUBSTITUTE($G1504,"-"," ",LEN($G1504)-LEN(SUBSTITUTE($G1504,"-",""))),"-"," ",LEN($G1504)-LEN(SUBSTITUTE($G1504,"-",""))-1),SUBSTITUTE(SUBSTITUTE(SUBSTITUTE($G1504,"-"," ",LEN($G1504)-LEN(SUBSTITUTE($G1504,"-",""))),"-"," ",LEN($G1504)-LEN(SUBSTITUTE($G1504,"-",""))-1),"."," ",(LEN(SUBSTITUTE(SUBSTITUTE($G1504,"-"," ",LEN($G1504)-LEN(SUBSTITUTE($G1504,"-",""))),"-"," ",LEN($G1504)-LEN(SUBSTITUTE($G1504,"-",""))-1))-LEN(SUBSTITUTE(SUBSTITUTE(SUBSTITUTE($G1504,"-"," ",LEN($G1504)-LEN(SUBSTITUTE($G1504,"-",""))),"-"," ",LEN($G1504)-LEN(SUBSTITUTE($G1504,"-",""))-1),".",""))))),$G1504)))</f>
        <v/>
      </c>
    </row>
    <row r="1505">
      <c r="A1505" s="58" t="n"/>
      <c r="B1505" s="58">
        <f>IF($H1505="","",LEFT($H1505,FIND(" ",$H1505&amp;" ")-1))</f>
        <v/>
      </c>
      <c r="C1505" s="58">
        <f>IF($H1505="","",IFERROR(MID($H1505&amp;" ",FIND("|",SUBSTITUTE($H1505&amp;" "," ","|",1))+1,FIND("|",SUBSTITUTE($H1505&amp;" "," ","|",2))-FIND("|",SUBSTITUTE($H1505&amp;" "," ","|",1))-1),""))</f>
        <v/>
      </c>
      <c r="D1505" s="58">
        <f>IF($H1505="","",IFERROR(MID($H1505&amp;" ",FIND("|",SUBSTITUTE($H1505&amp;" "," ","|",2))+1,FIND("|",SUBSTITUTE($H1505&amp;" "," ","|",3))-FIND("|",SUBSTITUTE($H1505&amp;" "," ","|",2))-1),""))</f>
        <v/>
      </c>
      <c r="E1505" s="58">
        <f>IF($H1505="","",IFERROR(MID($H1505&amp;" ",FIND("|",SUBSTITUTE($H1505&amp;" "," ","|",3))+1,FIND("|",SUBSTITUTE($H1505&amp;" "," ","|",4))-FIND("|",SUBSTITUTE($H1505&amp;" "," ","|",3))-1),""))</f>
        <v/>
      </c>
      <c r="F1505" s="59">
        <f>IF($H1505="","",IFERROR(VALUE(IFERROR(MID($H1505&amp;" ",FIND("|",SUBSTITUTE($H1505&amp;" "," ","|",4))+1,FIND("|",SUBSTITUTE($H1505&amp;" "," ","|",5))-FIND("|",SUBSTITUTE($H1505&amp;" "," ","|",4))-1),""))/86400+25569+9/24,""))</f>
        <v/>
      </c>
      <c r="G1505" s="58">
        <f>TRIM(SUBSTITUTE(SUBSTITUTE(SUBSTITUTE($A1505,CHAR(9)," ")," "," "),CHAR(13),""))</f>
        <v/>
      </c>
      <c r="H1505" s="58">
        <f>IF($G1505="","",IF(ISNUMBER(FIND(" ",$G1505)),$G1505,IFERROR(IF((LEN(SUBSTITUTE(SUBSTITUTE($G1505,"-"," ",LEN($G1505)-LEN(SUBSTITUTE($G1505,"-",""))),"-"," ",LEN($G1505)-LEN(SUBSTITUTE($G1505,"-",""))-1))-LEN(SUBSTITUTE(SUBSTITUTE(SUBSTITUTE($G1505,"-"," ",LEN($G1505)-LEN(SUBSTITUTE($G1505,"-",""))),"-"," ",LEN($G1505)-LEN(SUBSTITUTE($G1505,"-",""))-1),".","")))=0,SUBSTITUTE(SUBSTITUTE($G1505,"-"," ",LEN($G1505)-LEN(SUBSTITUTE($G1505,"-",""))),"-"," ",LEN($G1505)-LEN(SUBSTITUTE($G1505,"-",""))-1),SUBSTITUTE(SUBSTITUTE(SUBSTITUTE($G1505,"-"," ",LEN($G1505)-LEN(SUBSTITUTE($G1505,"-",""))),"-"," ",LEN($G1505)-LEN(SUBSTITUTE($G1505,"-",""))-1),"."," ",(LEN(SUBSTITUTE(SUBSTITUTE($G1505,"-"," ",LEN($G1505)-LEN(SUBSTITUTE($G1505,"-",""))),"-"," ",LEN($G1505)-LEN(SUBSTITUTE($G1505,"-",""))-1))-LEN(SUBSTITUTE(SUBSTITUTE(SUBSTITUTE($G1505,"-"," ",LEN($G1505)-LEN(SUBSTITUTE($G1505,"-",""))),"-"," ",LEN($G1505)-LEN(SUBSTITUTE($G1505,"-",""))-1),".",""))))),$G1505)))</f>
        <v/>
      </c>
    </row>
    <row r="1506">
      <c r="A1506" s="58" t="n"/>
      <c r="B1506" s="58">
        <f>IF($H1506="","",LEFT($H1506,FIND(" ",$H1506&amp;" ")-1))</f>
        <v/>
      </c>
      <c r="C1506" s="58">
        <f>IF($H1506="","",IFERROR(MID($H1506&amp;" ",FIND("|",SUBSTITUTE($H1506&amp;" "," ","|",1))+1,FIND("|",SUBSTITUTE($H1506&amp;" "," ","|",2))-FIND("|",SUBSTITUTE($H1506&amp;" "," ","|",1))-1),""))</f>
        <v/>
      </c>
      <c r="D1506" s="58">
        <f>IF($H1506="","",IFERROR(MID($H1506&amp;" ",FIND("|",SUBSTITUTE($H1506&amp;" "," ","|",2))+1,FIND("|",SUBSTITUTE($H1506&amp;" "," ","|",3))-FIND("|",SUBSTITUTE($H1506&amp;" "," ","|",2))-1),""))</f>
        <v/>
      </c>
      <c r="E1506" s="58">
        <f>IF($H1506="","",IFERROR(MID($H1506&amp;" ",FIND("|",SUBSTITUTE($H1506&amp;" "," ","|",3))+1,FIND("|",SUBSTITUTE($H1506&amp;" "," ","|",4))-FIND("|",SUBSTITUTE($H1506&amp;" "," ","|",3))-1),""))</f>
        <v/>
      </c>
      <c r="F1506" s="59">
        <f>IF($H1506="","",IFERROR(VALUE(IFERROR(MID($H1506&amp;" ",FIND("|",SUBSTITUTE($H1506&amp;" "," ","|",4))+1,FIND("|",SUBSTITUTE($H1506&amp;" "," ","|",5))-FIND("|",SUBSTITUTE($H1506&amp;" "," ","|",4))-1),""))/86400+25569+9/24,""))</f>
        <v/>
      </c>
      <c r="G1506" s="58">
        <f>TRIM(SUBSTITUTE(SUBSTITUTE(SUBSTITUTE($A1506,CHAR(9)," ")," "," "),CHAR(13),""))</f>
        <v/>
      </c>
      <c r="H1506" s="58">
        <f>IF($G1506="","",IF(ISNUMBER(FIND(" ",$G1506)),$G1506,IFERROR(IF((LEN(SUBSTITUTE(SUBSTITUTE($G1506,"-"," ",LEN($G1506)-LEN(SUBSTITUTE($G1506,"-",""))),"-"," ",LEN($G1506)-LEN(SUBSTITUTE($G1506,"-",""))-1))-LEN(SUBSTITUTE(SUBSTITUTE(SUBSTITUTE($G1506,"-"," ",LEN($G1506)-LEN(SUBSTITUTE($G1506,"-",""))),"-"," ",LEN($G1506)-LEN(SUBSTITUTE($G1506,"-",""))-1),".","")))=0,SUBSTITUTE(SUBSTITUTE($G1506,"-"," ",LEN($G1506)-LEN(SUBSTITUTE($G1506,"-",""))),"-"," ",LEN($G1506)-LEN(SUBSTITUTE($G1506,"-",""))-1),SUBSTITUTE(SUBSTITUTE(SUBSTITUTE($G1506,"-"," ",LEN($G1506)-LEN(SUBSTITUTE($G1506,"-",""))),"-"," ",LEN($G1506)-LEN(SUBSTITUTE($G1506,"-",""))-1),"."," ",(LEN(SUBSTITUTE(SUBSTITUTE($G1506,"-"," ",LEN($G1506)-LEN(SUBSTITUTE($G1506,"-",""))),"-"," ",LEN($G1506)-LEN(SUBSTITUTE($G1506,"-",""))-1))-LEN(SUBSTITUTE(SUBSTITUTE(SUBSTITUTE($G1506,"-"," ",LEN($G1506)-LEN(SUBSTITUTE($G1506,"-",""))),"-"," ",LEN($G1506)-LEN(SUBSTITUTE($G1506,"-",""))-1),".",""))))),$G1506)))</f>
        <v/>
      </c>
    </row>
    <row r="1507">
      <c r="A1507" s="58" t="n"/>
      <c r="B1507" s="58">
        <f>IF($H1507="","",LEFT($H1507,FIND(" ",$H1507&amp;" ")-1))</f>
        <v/>
      </c>
      <c r="C1507" s="58">
        <f>IF($H1507="","",IFERROR(MID($H1507&amp;" ",FIND("|",SUBSTITUTE($H1507&amp;" "," ","|",1))+1,FIND("|",SUBSTITUTE($H1507&amp;" "," ","|",2))-FIND("|",SUBSTITUTE($H1507&amp;" "," ","|",1))-1),""))</f>
        <v/>
      </c>
      <c r="D1507" s="58">
        <f>IF($H1507="","",IFERROR(MID($H1507&amp;" ",FIND("|",SUBSTITUTE($H1507&amp;" "," ","|",2))+1,FIND("|",SUBSTITUTE($H1507&amp;" "," ","|",3))-FIND("|",SUBSTITUTE($H1507&amp;" "," ","|",2))-1),""))</f>
        <v/>
      </c>
      <c r="E1507" s="58">
        <f>IF($H1507="","",IFERROR(MID($H1507&amp;" ",FIND("|",SUBSTITUTE($H1507&amp;" "," ","|",3))+1,FIND("|",SUBSTITUTE($H1507&amp;" "," ","|",4))-FIND("|",SUBSTITUTE($H1507&amp;" "," ","|",3))-1),""))</f>
        <v/>
      </c>
      <c r="F1507" s="59">
        <f>IF($H1507="","",IFERROR(VALUE(IFERROR(MID($H1507&amp;" ",FIND("|",SUBSTITUTE($H1507&amp;" "," ","|",4))+1,FIND("|",SUBSTITUTE($H1507&amp;" "," ","|",5))-FIND("|",SUBSTITUTE($H1507&amp;" "," ","|",4))-1),""))/86400+25569+9/24,""))</f>
        <v/>
      </c>
      <c r="G1507" s="58">
        <f>TRIM(SUBSTITUTE(SUBSTITUTE(SUBSTITUTE($A1507,CHAR(9)," ")," "," "),CHAR(13),""))</f>
        <v/>
      </c>
      <c r="H1507" s="58">
        <f>IF($G1507="","",IF(ISNUMBER(FIND(" ",$G1507)),$G1507,IFERROR(IF((LEN(SUBSTITUTE(SUBSTITUTE($G1507,"-"," ",LEN($G1507)-LEN(SUBSTITUTE($G1507,"-",""))),"-"," ",LEN($G1507)-LEN(SUBSTITUTE($G1507,"-",""))-1))-LEN(SUBSTITUTE(SUBSTITUTE(SUBSTITUTE($G1507,"-"," ",LEN($G1507)-LEN(SUBSTITUTE($G1507,"-",""))),"-"," ",LEN($G1507)-LEN(SUBSTITUTE($G1507,"-",""))-1),".","")))=0,SUBSTITUTE(SUBSTITUTE($G1507,"-"," ",LEN($G1507)-LEN(SUBSTITUTE($G1507,"-",""))),"-"," ",LEN($G1507)-LEN(SUBSTITUTE($G1507,"-",""))-1),SUBSTITUTE(SUBSTITUTE(SUBSTITUTE($G1507,"-"," ",LEN($G1507)-LEN(SUBSTITUTE($G1507,"-",""))),"-"," ",LEN($G1507)-LEN(SUBSTITUTE($G1507,"-",""))-1),"."," ",(LEN(SUBSTITUTE(SUBSTITUTE($G1507,"-"," ",LEN($G1507)-LEN(SUBSTITUTE($G1507,"-",""))),"-"," ",LEN($G1507)-LEN(SUBSTITUTE($G1507,"-",""))-1))-LEN(SUBSTITUTE(SUBSTITUTE(SUBSTITUTE($G1507,"-"," ",LEN($G1507)-LEN(SUBSTITUTE($G1507,"-",""))),"-"," ",LEN($G1507)-LEN(SUBSTITUTE($G1507,"-",""))-1),".",""))))),$G1507)))</f>
        <v/>
      </c>
    </row>
    <row r="1508">
      <c r="A1508" s="58" t="n"/>
      <c r="B1508" s="58">
        <f>IF($H1508="","",LEFT($H1508,FIND(" ",$H1508&amp;" ")-1))</f>
        <v/>
      </c>
      <c r="C1508" s="58">
        <f>IF($H1508="","",IFERROR(MID($H1508&amp;" ",FIND("|",SUBSTITUTE($H1508&amp;" "," ","|",1))+1,FIND("|",SUBSTITUTE($H1508&amp;" "," ","|",2))-FIND("|",SUBSTITUTE($H1508&amp;" "," ","|",1))-1),""))</f>
        <v/>
      </c>
      <c r="D1508" s="58">
        <f>IF($H1508="","",IFERROR(MID($H1508&amp;" ",FIND("|",SUBSTITUTE($H1508&amp;" "," ","|",2))+1,FIND("|",SUBSTITUTE($H1508&amp;" "," ","|",3))-FIND("|",SUBSTITUTE($H1508&amp;" "," ","|",2))-1),""))</f>
        <v/>
      </c>
      <c r="E1508" s="58">
        <f>IF($H1508="","",IFERROR(MID($H1508&amp;" ",FIND("|",SUBSTITUTE($H1508&amp;" "," ","|",3))+1,FIND("|",SUBSTITUTE($H1508&amp;" "," ","|",4))-FIND("|",SUBSTITUTE($H1508&amp;" "," ","|",3))-1),""))</f>
        <v/>
      </c>
      <c r="F1508" s="59">
        <f>IF($H1508="","",IFERROR(VALUE(IFERROR(MID($H1508&amp;" ",FIND("|",SUBSTITUTE($H1508&amp;" "," ","|",4))+1,FIND("|",SUBSTITUTE($H1508&amp;" "," ","|",5))-FIND("|",SUBSTITUTE($H1508&amp;" "," ","|",4))-1),""))/86400+25569+9/24,""))</f>
        <v/>
      </c>
      <c r="G1508" s="58">
        <f>TRIM(SUBSTITUTE(SUBSTITUTE(SUBSTITUTE($A1508,CHAR(9)," ")," "," "),CHAR(13),""))</f>
        <v/>
      </c>
      <c r="H1508" s="58">
        <f>IF($G1508="","",IF(ISNUMBER(FIND(" ",$G1508)),$G1508,IFERROR(IF((LEN(SUBSTITUTE(SUBSTITUTE($G1508,"-"," ",LEN($G1508)-LEN(SUBSTITUTE($G1508,"-",""))),"-"," ",LEN($G1508)-LEN(SUBSTITUTE($G1508,"-",""))-1))-LEN(SUBSTITUTE(SUBSTITUTE(SUBSTITUTE($G1508,"-"," ",LEN($G1508)-LEN(SUBSTITUTE($G1508,"-",""))),"-"," ",LEN($G1508)-LEN(SUBSTITUTE($G1508,"-",""))-1),".","")))=0,SUBSTITUTE(SUBSTITUTE($G1508,"-"," ",LEN($G1508)-LEN(SUBSTITUTE($G1508,"-",""))),"-"," ",LEN($G1508)-LEN(SUBSTITUTE($G1508,"-",""))-1),SUBSTITUTE(SUBSTITUTE(SUBSTITUTE($G1508,"-"," ",LEN($G1508)-LEN(SUBSTITUTE($G1508,"-",""))),"-"," ",LEN($G1508)-LEN(SUBSTITUTE($G1508,"-",""))-1),"."," ",(LEN(SUBSTITUTE(SUBSTITUTE($G1508,"-"," ",LEN($G1508)-LEN(SUBSTITUTE($G1508,"-",""))),"-"," ",LEN($G1508)-LEN(SUBSTITUTE($G1508,"-",""))-1))-LEN(SUBSTITUTE(SUBSTITUTE(SUBSTITUTE($G1508,"-"," ",LEN($G1508)-LEN(SUBSTITUTE($G1508,"-",""))),"-"," ",LEN($G1508)-LEN(SUBSTITUTE($G1508,"-",""))-1),".",""))))),$G1508)))</f>
        <v/>
      </c>
    </row>
    <row r="1509">
      <c r="A1509" s="58" t="n"/>
      <c r="B1509" s="58">
        <f>IF($H1509="","",LEFT($H1509,FIND(" ",$H1509&amp;" ")-1))</f>
        <v/>
      </c>
      <c r="C1509" s="58">
        <f>IF($H1509="","",IFERROR(MID($H1509&amp;" ",FIND("|",SUBSTITUTE($H1509&amp;" "," ","|",1))+1,FIND("|",SUBSTITUTE($H1509&amp;" "," ","|",2))-FIND("|",SUBSTITUTE($H1509&amp;" "," ","|",1))-1),""))</f>
        <v/>
      </c>
      <c r="D1509" s="58">
        <f>IF($H1509="","",IFERROR(MID($H1509&amp;" ",FIND("|",SUBSTITUTE($H1509&amp;" "," ","|",2))+1,FIND("|",SUBSTITUTE($H1509&amp;" "," ","|",3))-FIND("|",SUBSTITUTE($H1509&amp;" "," ","|",2))-1),""))</f>
        <v/>
      </c>
      <c r="E1509" s="58">
        <f>IF($H1509="","",IFERROR(MID($H1509&amp;" ",FIND("|",SUBSTITUTE($H1509&amp;" "," ","|",3))+1,FIND("|",SUBSTITUTE($H1509&amp;" "," ","|",4))-FIND("|",SUBSTITUTE($H1509&amp;" "," ","|",3))-1),""))</f>
        <v/>
      </c>
      <c r="F1509" s="59">
        <f>IF($H1509="","",IFERROR(VALUE(IFERROR(MID($H1509&amp;" ",FIND("|",SUBSTITUTE($H1509&amp;" "," ","|",4))+1,FIND("|",SUBSTITUTE($H1509&amp;" "," ","|",5))-FIND("|",SUBSTITUTE($H1509&amp;" "," ","|",4))-1),""))/86400+25569+9/24,""))</f>
        <v/>
      </c>
      <c r="G1509" s="58">
        <f>TRIM(SUBSTITUTE(SUBSTITUTE(SUBSTITUTE($A1509,CHAR(9)," ")," "," "),CHAR(13),""))</f>
        <v/>
      </c>
      <c r="H1509" s="58">
        <f>IF($G1509="","",IF(ISNUMBER(FIND(" ",$G1509)),$G1509,IFERROR(IF((LEN(SUBSTITUTE(SUBSTITUTE($G1509,"-"," ",LEN($G1509)-LEN(SUBSTITUTE($G1509,"-",""))),"-"," ",LEN($G1509)-LEN(SUBSTITUTE($G1509,"-",""))-1))-LEN(SUBSTITUTE(SUBSTITUTE(SUBSTITUTE($G1509,"-"," ",LEN($G1509)-LEN(SUBSTITUTE($G1509,"-",""))),"-"," ",LEN($G1509)-LEN(SUBSTITUTE($G1509,"-",""))-1),".","")))=0,SUBSTITUTE(SUBSTITUTE($G1509,"-"," ",LEN($G1509)-LEN(SUBSTITUTE($G1509,"-",""))),"-"," ",LEN($G1509)-LEN(SUBSTITUTE($G1509,"-",""))-1),SUBSTITUTE(SUBSTITUTE(SUBSTITUTE($G1509,"-"," ",LEN($G1509)-LEN(SUBSTITUTE($G1509,"-",""))),"-"," ",LEN($G1509)-LEN(SUBSTITUTE($G1509,"-",""))-1),"."," ",(LEN(SUBSTITUTE(SUBSTITUTE($G1509,"-"," ",LEN($G1509)-LEN(SUBSTITUTE($G1509,"-",""))),"-"," ",LEN($G1509)-LEN(SUBSTITUTE($G1509,"-",""))-1))-LEN(SUBSTITUTE(SUBSTITUTE(SUBSTITUTE($G1509,"-"," ",LEN($G1509)-LEN(SUBSTITUTE($G1509,"-",""))),"-"," ",LEN($G1509)-LEN(SUBSTITUTE($G1509,"-",""))-1),".",""))))),$G1509)))</f>
        <v/>
      </c>
    </row>
    <row r="1510">
      <c r="A1510" s="58" t="n"/>
      <c r="B1510" s="58">
        <f>IF($H1510="","",LEFT($H1510,FIND(" ",$H1510&amp;" ")-1))</f>
        <v/>
      </c>
      <c r="C1510" s="58">
        <f>IF($H1510="","",IFERROR(MID($H1510&amp;" ",FIND("|",SUBSTITUTE($H1510&amp;" "," ","|",1))+1,FIND("|",SUBSTITUTE($H1510&amp;" "," ","|",2))-FIND("|",SUBSTITUTE($H1510&amp;" "," ","|",1))-1),""))</f>
        <v/>
      </c>
      <c r="D1510" s="58">
        <f>IF($H1510="","",IFERROR(MID($H1510&amp;" ",FIND("|",SUBSTITUTE($H1510&amp;" "," ","|",2))+1,FIND("|",SUBSTITUTE($H1510&amp;" "," ","|",3))-FIND("|",SUBSTITUTE($H1510&amp;" "," ","|",2))-1),""))</f>
        <v/>
      </c>
      <c r="E1510" s="58">
        <f>IF($H1510="","",IFERROR(MID($H1510&amp;" ",FIND("|",SUBSTITUTE($H1510&amp;" "," ","|",3))+1,FIND("|",SUBSTITUTE($H1510&amp;" "," ","|",4))-FIND("|",SUBSTITUTE($H1510&amp;" "," ","|",3))-1),""))</f>
        <v/>
      </c>
      <c r="F1510" s="59">
        <f>IF($H1510="","",IFERROR(VALUE(IFERROR(MID($H1510&amp;" ",FIND("|",SUBSTITUTE($H1510&amp;" "," ","|",4))+1,FIND("|",SUBSTITUTE($H1510&amp;" "," ","|",5))-FIND("|",SUBSTITUTE($H1510&amp;" "," ","|",4))-1),""))/86400+25569+9/24,""))</f>
        <v/>
      </c>
      <c r="G1510" s="58">
        <f>TRIM(SUBSTITUTE(SUBSTITUTE(SUBSTITUTE($A1510,CHAR(9)," ")," "," "),CHAR(13),""))</f>
        <v/>
      </c>
      <c r="H1510" s="58">
        <f>IF($G1510="","",IF(ISNUMBER(FIND(" ",$G1510)),$G1510,IFERROR(IF((LEN(SUBSTITUTE(SUBSTITUTE($G1510,"-"," ",LEN($G1510)-LEN(SUBSTITUTE($G1510,"-",""))),"-"," ",LEN($G1510)-LEN(SUBSTITUTE($G1510,"-",""))-1))-LEN(SUBSTITUTE(SUBSTITUTE(SUBSTITUTE($G1510,"-"," ",LEN($G1510)-LEN(SUBSTITUTE($G1510,"-",""))),"-"," ",LEN($G1510)-LEN(SUBSTITUTE($G1510,"-",""))-1),".","")))=0,SUBSTITUTE(SUBSTITUTE($G1510,"-"," ",LEN($G1510)-LEN(SUBSTITUTE($G1510,"-",""))),"-"," ",LEN($G1510)-LEN(SUBSTITUTE($G1510,"-",""))-1),SUBSTITUTE(SUBSTITUTE(SUBSTITUTE($G1510,"-"," ",LEN($G1510)-LEN(SUBSTITUTE($G1510,"-",""))),"-"," ",LEN($G1510)-LEN(SUBSTITUTE($G1510,"-",""))-1),"."," ",(LEN(SUBSTITUTE(SUBSTITUTE($G1510,"-"," ",LEN($G1510)-LEN(SUBSTITUTE($G1510,"-",""))),"-"," ",LEN($G1510)-LEN(SUBSTITUTE($G1510,"-",""))-1))-LEN(SUBSTITUTE(SUBSTITUTE(SUBSTITUTE($G1510,"-"," ",LEN($G1510)-LEN(SUBSTITUTE($G1510,"-",""))),"-"," ",LEN($G1510)-LEN(SUBSTITUTE($G1510,"-",""))-1),".",""))))),$G1510)))</f>
        <v/>
      </c>
    </row>
    <row r="1511">
      <c r="A1511" s="58" t="n"/>
      <c r="B1511" s="58">
        <f>IF($H1511="","",LEFT($H1511,FIND(" ",$H1511&amp;" ")-1))</f>
        <v/>
      </c>
      <c r="C1511" s="58">
        <f>IF($H1511="","",IFERROR(MID($H1511&amp;" ",FIND("|",SUBSTITUTE($H1511&amp;" "," ","|",1))+1,FIND("|",SUBSTITUTE($H1511&amp;" "," ","|",2))-FIND("|",SUBSTITUTE($H1511&amp;" "," ","|",1))-1),""))</f>
        <v/>
      </c>
      <c r="D1511" s="58">
        <f>IF($H1511="","",IFERROR(MID($H1511&amp;" ",FIND("|",SUBSTITUTE($H1511&amp;" "," ","|",2))+1,FIND("|",SUBSTITUTE($H1511&amp;" "," ","|",3))-FIND("|",SUBSTITUTE($H1511&amp;" "," ","|",2))-1),""))</f>
        <v/>
      </c>
      <c r="E1511" s="58">
        <f>IF($H1511="","",IFERROR(MID($H1511&amp;" ",FIND("|",SUBSTITUTE($H1511&amp;" "," ","|",3))+1,FIND("|",SUBSTITUTE($H1511&amp;" "," ","|",4))-FIND("|",SUBSTITUTE($H1511&amp;" "," ","|",3))-1),""))</f>
        <v/>
      </c>
      <c r="F1511" s="59">
        <f>IF($H1511="","",IFERROR(VALUE(IFERROR(MID($H1511&amp;" ",FIND("|",SUBSTITUTE($H1511&amp;" "," ","|",4))+1,FIND("|",SUBSTITUTE($H1511&amp;" "," ","|",5))-FIND("|",SUBSTITUTE($H1511&amp;" "," ","|",4))-1),""))/86400+25569+9/24,""))</f>
        <v/>
      </c>
      <c r="G1511" s="58">
        <f>TRIM(SUBSTITUTE(SUBSTITUTE(SUBSTITUTE($A1511,CHAR(9)," ")," "," "),CHAR(13),""))</f>
        <v/>
      </c>
      <c r="H1511" s="58">
        <f>IF($G1511="","",IF(ISNUMBER(FIND(" ",$G1511)),$G1511,IFERROR(IF((LEN(SUBSTITUTE(SUBSTITUTE($G1511,"-"," ",LEN($G1511)-LEN(SUBSTITUTE($G1511,"-",""))),"-"," ",LEN($G1511)-LEN(SUBSTITUTE($G1511,"-",""))-1))-LEN(SUBSTITUTE(SUBSTITUTE(SUBSTITUTE($G1511,"-"," ",LEN($G1511)-LEN(SUBSTITUTE($G1511,"-",""))),"-"," ",LEN($G1511)-LEN(SUBSTITUTE($G1511,"-",""))-1),".","")))=0,SUBSTITUTE(SUBSTITUTE($G1511,"-"," ",LEN($G1511)-LEN(SUBSTITUTE($G1511,"-",""))),"-"," ",LEN($G1511)-LEN(SUBSTITUTE($G1511,"-",""))-1),SUBSTITUTE(SUBSTITUTE(SUBSTITUTE($G1511,"-"," ",LEN($G1511)-LEN(SUBSTITUTE($G1511,"-",""))),"-"," ",LEN($G1511)-LEN(SUBSTITUTE($G1511,"-",""))-1),"."," ",(LEN(SUBSTITUTE(SUBSTITUTE($G1511,"-"," ",LEN($G1511)-LEN(SUBSTITUTE($G1511,"-",""))),"-"," ",LEN($G1511)-LEN(SUBSTITUTE($G1511,"-",""))-1))-LEN(SUBSTITUTE(SUBSTITUTE(SUBSTITUTE($G1511,"-"," ",LEN($G1511)-LEN(SUBSTITUTE($G1511,"-",""))),"-"," ",LEN($G1511)-LEN(SUBSTITUTE($G1511,"-",""))-1),".",""))))),$G1511)))</f>
        <v/>
      </c>
    </row>
    <row r="1512">
      <c r="A1512" s="58" t="n"/>
      <c r="B1512" s="58">
        <f>IF($H1512="","",LEFT($H1512,FIND(" ",$H1512&amp;" ")-1))</f>
        <v/>
      </c>
      <c r="C1512" s="58">
        <f>IF($H1512="","",IFERROR(MID($H1512&amp;" ",FIND("|",SUBSTITUTE($H1512&amp;" "," ","|",1))+1,FIND("|",SUBSTITUTE($H1512&amp;" "," ","|",2))-FIND("|",SUBSTITUTE($H1512&amp;" "," ","|",1))-1),""))</f>
        <v/>
      </c>
      <c r="D1512" s="58">
        <f>IF($H1512="","",IFERROR(MID($H1512&amp;" ",FIND("|",SUBSTITUTE($H1512&amp;" "," ","|",2))+1,FIND("|",SUBSTITUTE($H1512&amp;" "," ","|",3))-FIND("|",SUBSTITUTE($H1512&amp;" "," ","|",2))-1),""))</f>
        <v/>
      </c>
      <c r="E1512" s="58">
        <f>IF($H1512="","",IFERROR(MID($H1512&amp;" ",FIND("|",SUBSTITUTE($H1512&amp;" "," ","|",3))+1,FIND("|",SUBSTITUTE($H1512&amp;" "," ","|",4))-FIND("|",SUBSTITUTE($H1512&amp;" "," ","|",3))-1),""))</f>
        <v/>
      </c>
      <c r="F1512" s="59">
        <f>IF($H1512="","",IFERROR(VALUE(IFERROR(MID($H1512&amp;" ",FIND("|",SUBSTITUTE($H1512&amp;" "," ","|",4))+1,FIND("|",SUBSTITUTE($H1512&amp;" "," ","|",5))-FIND("|",SUBSTITUTE($H1512&amp;" "," ","|",4))-1),""))/86400+25569+9/24,""))</f>
        <v/>
      </c>
      <c r="G1512" s="58">
        <f>TRIM(SUBSTITUTE(SUBSTITUTE(SUBSTITUTE($A1512,CHAR(9)," ")," "," "),CHAR(13),""))</f>
        <v/>
      </c>
      <c r="H1512" s="58">
        <f>IF($G1512="","",IF(ISNUMBER(FIND(" ",$G1512)),$G1512,IFERROR(IF((LEN(SUBSTITUTE(SUBSTITUTE($G1512,"-"," ",LEN($G1512)-LEN(SUBSTITUTE($G1512,"-",""))),"-"," ",LEN($G1512)-LEN(SUBSTITUTE($G1512,"-",""))-1))-LEN(SUBSTITUTE(SUBSTITUTE(SUBSTITUTE($G1512,"-"," ",LEN($G1512)-LEN(SUBSTITUTE($G1512,"-",""))),"-"," ",LEN($G1512)-LEN(SUBSTITUTE($G1512,"-",""))-1),".","")))=0,SUBSTITUTE(SUBSTITUTE($G1512,"-"," ",LEN($G1512)-LEN(SUBSTITUTE($G1512,"-",""))),"-"," ",LEN($G1512)-LEN(SUBSTITUTE($G1512,"-",""))-1),SUBSTITUTE(SUBSTITUTE(SUBSTITUTE($G1512,"-"," ",LEN($G1512)-LEN(SUBSTITUTE($G1512,"-",""))),"-"," ",LEN($G1512)-LEN(SUBSTITUTE($G1512,"-",""))-1),"."," ",(LEN(SUBSTITUTE(SUBSTITUTE($G1512,"-"," ",LEN($G1512)-LEN(SUBSTITUTE($G1512,"-",""))),"-"," ",LEN($G1512)-LEN(SUBSTITUTE($G1512,"-",""))-1))-LEN(SUBSTITUTE(SUBSTITUTE(SUBSTITUTE($G1512,"-"," ",LEN($G1512)-LEN(SUBSTITUTE($G1512,"-",""))),"-"," ",LEN($G1512)-LEN(SUBSTITUTE($G1512,"-",""))-1),".",""))))),$G1512)))</f>
        <v/>
      </c>
    </row>
    <row r="1513">
      <c r="A1513" s="58" t="n"/>
      <c r="B1513" s="58">
        <f>IF($H1513="","",LEFT($H1513,FIND(" ",$H1513&amp;" ")-1))</f>
        <v/>
      </c>
      <c r="C1513" s="58">
        <f>IF($H1513="","",IFERROR(MID($H1513&amp;" ",FIND("|",SUBSTITUTE($H1513&amp;" "," ","|",1))+1,FIND("|",SUBSTITUTE($H1513&amp;" "," ","|",2))-FIND("|",SUBSTITUTE($H1513&amp;" "," ","|",1))-1),""))</f>
        <v/>
      </c>
      <c r="D1513" s="58">
        <f>IF($H1513="","",IFERROR(MID($H1513&amp;" ",FIND("|",SUBSTITUTE($H1513&amp;" "," ","|",2))+1,FIND("|",SUBSTITUTE($H1513&amp;" "," ","|",3))-FIND("|",SUBSTITUTE($H1513&amp;" "," ","|",2))-1),""))</f>
        <v/>
      </c>
      <c r="E1513" s="58">
        <f>IF($H1513="","",IFERROR(MID($H1513&amp;" ",FIND("|",SUBSTITUTE($H1513&amp;" "," ","|",3))+1,FIND("|",SUBSTITUTE($H1513&amp;" "," ","|",4))-FIND("|",SUBSTITUTE($H1513&amp;" "," ","|",3))-1),""))</f>
        <v/>
      </c>
      <c r="F1513" s="59">
        <f>IF($H1513="","",IFERROR(VALUE(IFERROR(MID($H1513&amp;" ",FIND("|",SUBSTITUTE($H1513&amp;" "," ","|",4))+1,FIND("|",SUBSTITUTE($H1513&amp;" "," ","|",5))-FIND("|",SUBSTITUTE($H1513&amp;" "," ","|",4))-1),""))/86400+25569+9/24,""))</f>
        <v/>
      </c>
      <c r="G1513" s="58">
        <f>TRIM(SUBSTITUTE(SUBSTITUTE(SUBSTITUTE($A1513,CHAR(9)," ")," "," "),CHAR(13),""))</f>
        <v/>
      </c>
      <c r="H1513" s="58">
        <f>IF($G1513="","",IF(ISNUMBER(FIND(" ",$G1513)),$G1513,IFERROR(IF((LEN(SUBSTITUTE(SUBSTITUTE($G1513,"-"," ",LEN($G1513)-LEN(SUBSTITUTE($G1513,"-",""))),"-"," ",LEN($G1513)-LEN(SUBSTITUTE($G1513,"-",""))-1))-LEN(SUBSTITUTE(SUBSTITUTE(SUBSTITUTE($G1513,"-"," ",LEN($G1513)-LEN(SUBSTITUTE($G1513,"-",""))),"-"," ",LEN($G1513)-LEN(SUBSTITUTE($G1513,"-",""))-1),".","")))=0,SUBSTITUTE(SUBSTITUTE($G1513,"-"," ",LEN($G1513)-LEN(SUBSTITUTE($G1513,"-",""))),"-"," ",LEN($G1513)-LEN(SUBSTITUTE($G1513,"-",""))-1),SUBSTITUTE(SUBSTITUTE(SUBSTITUTE($G1513,"-"," ",LEN($G1513)-LEN(SUBSTITUTE($G1513,"-",""))),"-"," ",LEN($G1513)-LEN(SUBSTITUTE($G1513,"-",""))-1),"."," ",(LEN(SUBSTITUTE(SUBSTITUTE($G1513,"-"," ",LEN($G1513)-LEN(SUBSTITUTE($G1513,"-",""))),"-"," ",LEN($G1513)-LEN(SUBSTITUTE($G1513,"-",""))-1))-LEN(SUBSTITUTE(SUBSTITUTE(SUBSTITUTE($G1513,"-"," ",LEN($G1513)-LEN(SUBSTITUTE($G1513,"-",""))),"-"," ",LEN($G1513)-LEN(SUBSTITUTE($G1513,"-",""))-1),".",""))))),$G1513)))</f>
        <v/>
      </c>
    </row>
    <row r="1514">
      <c r="A1514" s="58" t="n"/>
      <c r="B1514" s="58">
        <f>IF($H1514="","",LEFT($H1514,FIND(" ",$H1514&amp;" ")-1))</f>
        <v/>
      </c>
      <c r="C1514" s="58">
        <f>IF($H1514="","",IFERROR(MID($H1514&amp;" ",FIND("|",SUBSTITUTE($H1514&amp;" "," ","|",1))+1,FIND("|",SUBSTITUTE($H1514&amp;" "," ","|",2))-FIND("|",SUBSTITUTE($H1514&amp;" "," ","|",1))-1),""))</f>
        <v/>
      </c>
      <c r="D1514" s="58">
        <f>IF($H1514="","",IFERROR(MID($H1514&amp;" ",FIND("|",SUBSTITUTE($H1514&amp;" "," ","|",2))+1,FIND("|",SUBSTITUTE($H1514&amp;" "," ","|",3))-FIND("|",SUBSTITUTE($H1514&amp;" "," ","|",2))-1),""))</f>
        <v/>
      </c>
      <c r="E1514" s="58">
        <f>IF($H1514="","",IFERROR(MID($H1514&amp;" ",FIND("|",SUBSTITUTE($H1514&amp;" "," ","|",3))+1,FIND("|",SUBSTITUTE($H1514&amp;" "," ","|",4))-FIND("|",SUBSTITUTE($H1514&amp;" "," ","|",3))-1),""))</f>
        <v/>
      </c>
      <c r="F1514" s="59">
        <f>IF($H1514="","",IFERROR(VALUE(IFERROR(MID($H1514&amp;" ",FIND("|",SUBSTITUTE($H1514&amp;" "," ","|",4))+1,FIND("|",SUBSTITUTE($H1514&amp;" "," ","|",5))-FIND("|",SUBSTITUTE($H1514&amp;" "," ","|",4))-1),""))/86400+25569+9/24,""))</f>
        <v/>
      </c>
      <c r="G1514" s="58">
        <f>TRIM(SUBSTITUTE(SUBSTITUTE(SUBSTITUTE($A1514,CHAR(9)," ")," "," "),CHAR(13),""))</f>
        <v/>
      </c>
      <c r="H1514" s="58">
        <f>IF($G1514="","",IF(ISNUMBER(FIND(" ",$G1514)),$G1514,IFERROR(IF((LEN(SUBSTITUTE(SUBSTITUTE($G1514,"-"," ",LEN($G1514)-LEN(SUBSTITUTE($G1514,"-",""))),"-"," ",LEN($G1514)-LEN(SUBSTITUTE($G1514,"-",""))-1))-LEN(SUBSTITUTE(SUBSTITUTE(SUBSTITUTE($G1514,"-"," ",LEN($G1514)-LEN(SUBSTITUTE($G1514,"-",""))),"-"," ",LEN($G1514)-LEN(SUBSTITUTE($G1514,"-",""))-1),".","")))=0,SUBSTITUTE(SUBSTITUTE($G1514,"-"," ",LEN($G1514)-LEN(SUBSTITUTE($G1514,"-",""))),"-"," ",LEN($G1514)-LEN(SUBSTITUTE($G1514,"-",""))-1),SUBSTITUTE(SUBSTITUTE(SUBSTITUTE($G1514,"-"," ",LEN($G1514)-LEN(SUBSTITUTE($G1514,"-",""))),"-"," ",LEN($G1514)-LEN(SUBSTITUTE($G1514,"-",""))-1),"."," ",(LEN(SUBSTITUTE(SUBSTITUTE($G1514,"-"," ",LEN($G1514)-LEN(SUBSTITUTE($G1514,"-",""))),"-"," ",LEN($G1514)-LEN(SUBSTITUTE($G1514,"-",""))-1))-LEN(SUBSTITUTE(SUBSTITUTE(SUBSTITUTE($G1514,"-"," ",LEN($G1514)-LEN(SUBSTITUTE($G1514,"-",""))),"-"," ",LEN($G1514)-LEN(SUBSTITUTE($G1514,"-",""))-1),".",""))))),$G1514)))</f>
        <v/>
      </c>
    </row>
    <row r="1515">
      <c r="A1515" s="58" t="n"/>
      <c r="B1515" s="58">
        <f>IF($H1515="","",LEFT($H1515,FIND(" ",$H1515&amp;" ")-1))</f>
        <v/>
      </c>
      <c r="C1515" s="58">
        <f>IF($H1515="","",IFERROR(MID($H1515&amp;" ",FIND("|",SUBSTITUTE($H1515&amp;" "," ","|",1))+1,FIND("|",SUBSTITUTE($H1515&amp;" "," ","|",2))-FIND("|",SUBSTITUTE($H1515&amp;" "," ","|",1))-1),""))</f>
        <v/>
      </c>
      <c r="D1515" s="58">
        <f>IF($H1515="","",IFERROR(MID($H1515&amp;" ",FIND("|",SUBSTITUTE($H1515&amp;" "," ","|",2))+1,FIND("|",SUBSTITUTE($H1515&amp;" "," ","|",3))-FIND("|",SUBSTITUTE($H1515&amp;" "," ","|",2))-1),""))</f>
        <v/>
      </c>
      <c r="E1515" s="58">
        <f>IF($H1515="","",IFERROR(MID($H1515&amp;" ",FIND("|",SUBSTITUTE($H1515&amp;" "," ","|",3))+1,FIND("|",SUBSTITUTE($H1515&amp;" "," ","|",4))-FIND("|",SUBSTITUTE($H1515&amp;" "," ","|",3))-1),""))</f>
        <v/>
      </c>
      <c r="F1515" s="59">
        <f>IF($H1515="","",IFERROR(VALUE(IFERROR(MID($H1515&amp;" ",FIND("|",SUBSTITUTE($H1515&amp;" "," ","|",4))+1,FIND("|",SUBSTITUTE($H1515&amp;" "," ","|",5))-FIND("|",SUBSTITUTE($H1515&amp;" "," ","|",4))-1),""))/86400+25569+9/24,""))</f>
        <v/>
      </c>
      <c r="G1515" s="58">
        <f>TRIM(SUBSTITUTE(SUBSTITUTE(SUBSTITUTE($A1515,CHAR(9)," ")," "," "),CHAR(13),""))</f>
        <v/>
      </c>
      <c r="H1515" s="58">
        <f>IF($G1515="","",IF(ISNUMBER(FIND(" ",$G1515)),$G1515,IFERROR(IF((LEN(SUBSTITUTE(SUBSTITUTE($G1515,"-"," ",LEN($G1515)-LEN(SUBSTITUTE($G1515,"-",""))),"-"," ",LEN($G1515)-LEN(SUBSTITUTE($G1515,"-",""))-1))-LEN(SUBSTITUTE(SUBSTITUTE(SUBSTITUTE($G1515,"-"," ",LEN($G1515)-LEN(SUBSTITUTE($G1515,"-",""))),"-"," ",LEN($G1515)-LEN(SUBSTITUTE($G1515,"-",""))-1),".","")))=0,SUBSTITUTE(SUBSTITUTE($G1515,"-"," ",LEN($G1515)-LEN(SUBSTITUTE($G1515,"-",""))),"-"," ",LEN($G1515)-LEN(SUBSTITUTE($G1515,"-",""))-1),SUBSTITUTE(SUBSTITUTE(SUBSTITUTE($G1515,"-"," ",LEN($G1515)-LEN(SUBSTITUTE($G1515,"-",""))),"-"," ",LEN($G1515)-LEN(SUBSTITUTE($G1515,"-",""))-1),"."," ",(LEN(SUBSTITUTE(SUBSTITUTE($G1515,"-"," ",LEN($G1515)-LEN(SUBSTITUTE($G1515,"-",""))),"-"," ",LEN($G1515)-LEN(SUBSTITUTE($G1515,"-",""))-1))-LEN(SUBSTITUTE(SUBSTITUTE(SUBSTITUTE($G1515,"-"," ",LEN($G1515)-LEN(SUBSTITUTE($G1515,"-",""))),"-"," ",LEN($G1515)-LEN(SUBSTITUTE($G1515,"-",""))-1),".",""))))),$G1515)))</f>
        <v/>
      </c>
    </row>
    <row r="1516">
      <c r="A1516" s="58" t="n"/>
      <c r="B1516" s="58">
        <f>IF($H1516="","",LEFT($H1516,FIND(" ",$H1516&amp;" ")-1))</f>
        <v/>
      </c>
      <c r="C1516" s="58">
        <f>IF($H1516="","",IFERROR(MID($H1516&amp;" ",FIND("|",SUBSTITUTE($H1516&amp;" "," ","|",1))+1,FIND("|",SUBSTITUTE($H1516&amp;" "," ","|",2))-FIND("|",SUBSTITUTE($H1516&amp;" "," ","|",1))-1),""))</f>
        <v/>
      </c>
      <c r="D1516" s="58">
        <f>IF($H1516="","",IFERROR(MID($H1516&amp;" ",FIND("|",SUBSTITUTE($H1516&amp;" "," ","|",2))+1,FIND("|",SUBSTITUTE($H1516&amp;" "," ","|",3))-FIND("|",SUBSTITUTE($H1516&amp;" "," ","|",2))-1),""))</f>
        <v/>
      </c>
      <c r="E1516" s="58">
        <f>IF($H1516="","",IFERROR(MID($H1516&amp;" ",FIND("|",SUBSTITUTE($H1516&amp;" "," ","|",3))+1,FIND("|",SUBSTITUTE($H1516&amp;" "," ","|",4))-FIND("|",SUBSTITUTE($H1516&amp;" "," ","|",3))-1),""))</f>
        <v/>
      </c>
      <c r="F1516" s="59">
        <f>IF($H1516="","",IFERROR(VALUE(IFERROR(MID($H1516&amp;" ",FIND("|",SUBSTITUTE($H1516&amp;" "," ","|",4))+1,FIND("|",SUBSTITUTE($H1516&amp;" "," ","|",5))-FIND("|",SUBSTITUTE($H1516&amp;" "," ","|",4))-1),""))/86400+25569+9/24,""))</f>
        <v/>
      </c>
      <c r="G1516" s="58">
        <f>TRIM(SUBSTITUTE(SUBSTITUTE(SUBSTITUTE($A1516,CHAR(9)," ")," "," "),CHAR(13),""))</f>
        <v/>
      </c>
      <c r="H1516" s="58">
        <f>IF($G1516="","",IF(ISNUMBER(FIND(" ",$G1516)),$G1516,IFERROR(IF((LEN(SUBSTITUTE(SUBSTITUTE($G1516,"-"," ",LEN($G1516)-LEN(SUBSTITUTE($G1516,"-",""))),"-"," ",LEN($G1516)-LEN(SUBSTITUTE($G1516,"-",""))-1))-LEN(SUBSTITUTE(SUBSTITUTE(SUBSTITUTE($G1516,"-"," ",LEN($G1516)-LEN(SUBSTITUTE($G1516,"-",""))),"-"," ",LEN($G1516)-LEN(SUBSTITUTE($G1516,"-",""))-1),".","")))=0,SUBSTITUTE(SUBSTITUTE($G1516,"-"," ",LEN($G1516)-LEN(SUBSTITUTE($G1516,"-",""))),"-"," ",LEN($G1516)-LEN(SUBSTITUTE($G1516,"-",""))-1),SUBSTITUTE(SUBSTITUTE(SUBSTITUTE($G1516,"-"," ",LEN($G1516)-LEN(SUBSTITUTE($G1516,"-",""))),"-"," ",LEN($G1516)-LEN(SUBSTITUTE($G1516,"-",""))-1),"."," ",(LEN(SUBSTITUTE(SUBSTITUTE($G1516,"-"," ",LEN($G1516)-LEN(SUBSTITUTE($G1516,"-",""))),"-"," ",LEN($G1516)-LEN(SUBSTITUTE($G1516,"-",""))-1))-LEN(SUBSTITUTE(SUBSTITUTE(SUBSTITUTE($G1516,"-"," ",LEN($G1516)-LEN(SUBSTITUTE($G1516,"-",""))),"-"," ",LEN($G1516)-LEN(SUBSTITUTE($G1516,"-",""))-1),".",""))))),$G1516)))</f>
        <v/>
      </c>
    </row>
    <row r="1517">
      <c r="A1517" s="58" t="n"/>
      <c r="B1517" s="58">
        <f>IF($H1517="","",LEFT($H1517,FIND(" ",$H1517&amp;" ")-1))</f>
        <v/>
      </c>
      <c r="C1517" s="58">
        <f>IF($H1517="","",IFERROR(MID($H1517&amp;" ",FIND("|",SUBSTITUTE($H1517&amp;" "," ","|",1))+1,FIND("|",SUBSTITUTE($H1517&amp;" "," ","|",2))-FIND("|",SUBSTITUTE($H1517&amp;" "," ","|",1))-1),""))</f>
        <v/>
      </c>
      <c r="D1517" s="58">
        <f>IF($H1517="","",IFERROR(MID($H1517&amp;" ",FIND("|",SUBSTITUTE($H1517&amp;" "," ","|",2))+1,FIND("|",SUBSTITUTE($H1517&amp;" "," ","|",3))-FIND("|",SUBSTITUTE($H1517&amp;" "," ","|",2))-1),""))</f>
        <v/>
      </c>
      <c r="E1517" s="58">
        <f>IF($H1517="","",IFERROR(MID($H1517&amp;" ",FIND("|",SUBSTITUTE($H1517&amp;" "," ","|",3))+1,FIND("|",SUBSTITUTE($H1517&amp;" "," ","|",4))-FIND("|",SUBSTITUTE($H1517&amp;" "," ","|",3))-1),""))</f>
        <v/>
      </c>
      <c r="F1517" s="59">
        <f>IF($H1517="","",IFERROR(VALUE(IFERROR(MID($H1517&amp;" ",FIND("|",SUBSTITUTE($H1517&amp;" "," ","|",4))+1,FIND("|",SUBSTITUTE($H1517&amp;" "," ","|",5))-FIND("|",SUBSTITUTE($H1517&amp;" "," ","|",4))-1),""))/86400+25569+9/24,""))</f>
        <v/>
      </c>
      <c r="G1517" s="58">
        <f>TRIM(SUBSTITUTE(SUBSTITUTE(SUBSTITUTE($A1517,CHAR(9)," ")," "," "),CHAR(13),""))</f>
        <v/>
      </c>
      <c r="H1517" s="58">
        <f>IF($G1517="","",IF(ISNUMBER(FIND(" ",$G1517)),$G1517,IFERROR(IF((LEN(SUBSTITUTE(SUBSTITUTE($G1517,"-"," ",LEN($G1517)-LEN(SUBSTITUTE($G1517,"-",""))),"-"," ",LEN($G1517)-LEN(SUBSTITUTE($G1517,"-",""))-1))-LEN(SUBSTITUTE(SUBSTITUTE(SUBSTITUTE($G1517,"-"," ",LEN($G1517)-LEN(SUBSTITUTE($G1517,"-",""))),"-"," ",LEN($G1517)-LEN(SUBSTITUTE($G1517,"-",""))-1),".","")))=0,SUBSTITUTE(SUBSTITUTE($G1517,"-"," ",LEN($G1517)-LEN(SUBSTITUTE($G1517,"-",""))),"-"," ",LEN($G1517)-LEN(SUBSTITUTE($G1517,"-",""))-1),SUBSTITUTE(SUBSTITUTE(SUBSTITUTE($G1517,"-"," ",LEN($G1517)-LEN(SUBSTITUTE($G1517,"-",""))),"-"," ",LEN($G1517)-LEN(SUBSTITUTE($G1517,"-",""))-1),"."," ",(LEN(SUBSTITUTE(SUBSTITUTE($G1517,"-"," ",LEN($G1517)-LEN(SUBSTITUTE($G1517,"-",""))),"-"," ",LEN($G1517)-LEN(SUBSTITUTE($G1517,"-",""))-1))-LEN(SUBSTITUTE(SUBSTITUTE(SUBSTITUTE($G1517,"-"," ",LEN($G1517)-LEN(SUBSTITUTE($G1517,"-",""))),"-"," ",LEN($G1517)-LEN(SUBSTITUTE($G1517,"-",""))-1),".",""))))),$G1517)))</f>
        <v/>
      </c>
    </row>
    <row r="1518">
      <c r="A1518" s="58" t="n"/>
      <c r="B1518" s="58">
        <f>IF($H1518="","",LEFT($H1518,FIND(" ",$H1518&amp;" ")-1))</f>
        <v/>
      </c>
      <c r="C1518" s="58">
        <f>IF($H1518="","",IFERROR(MID($H1518&amp;" ",FIND("|",SUBSTITUTE($H1518&amp;" "," ","|",1))+1,FIND("|",SUBSTITUTE($H1518&amp;" "," ","|",2))-FIND("|",SUBSTITUTE($H1518&amp;" "," ","|",1))-1),""))</f>
        <v/>
      </c>
      <c r="D1518" s="58">
        <f>IF($H1518="","",IFERROR(MID($H1518&amp;" ",FIND("|",SUBSTITUTE($H1518&amp;" "," ","|",2))+1,FIND("|",SUBSTITUTE($H1518&amp;" "," ","|",3))-FIND("|",SUBSTITUTE($H1518&amp;" "," ","|",2))-1),""))</f>
        <v/>
      </c>
      <c r="E1518" s="58">
        <f>IF($H1518="","",IFERROR(MID($H1518&amp;" ",FIND("|",SUBSTITUTE($H1518&amp;" "," ","|",3))+1,FIND("|",SUBSTITUTE($H1518&amp;" "," ","|",4))-FIND("|",SUBSTITUTE($H1518&amp;" "," ","|",3))-1),""))</f>
        <v/>
      </c>
      <c r="F1518" s="59">
        <f>IF($H1518="","",IFERROR(VALUE(IFERROR(MID($H1518&amp;" ",FIND("|",SUBSTITUTE($H1518&amp;" "," ","|",4))+1,FIND("|",SUBSTITUTE($H1518&amp;" "," ","|",5))-FIND("|",SUBSTITUTE($H1518&amp;" "," ","|",4))-1),""))/86400+25569+9/24,""))</f>
        <v/>
      </c>
      <c r="G1518" s="58">
        <f>TRIM(SUBSTITUTE(SUBSTITUTE(SUBSTITUTE($A1518,CHAR(9)," ")," "," "),CHAR(13),""))</f>
        <v/>
      </c>
      <c r="H1518" s="58">
        <f>IF($G1518="","",IF(ISNUMBER(FIND(" ",$G1518)),$G1518,IFERROR(IF((LEN(SUBSTITUTE(SUBSTITUTE($G1518,"-"," ",LEN($G1518)-LEN(SUBSTITUTE($G1518,"-",""))),"-"," ",LEN($G1518)-LEN(SUBSTITUTE($G1518,"-",""))-1))-LEN(SUBSTITUTE(SUBSTITUTE(SUBSTITUTE($G1518,"-"," ",LEN($G1518)-LEN(SUBSTITUTE($G1518,"-",""))),"-"," ",LEN($G1518)-LEN(SUBSTITUTE($G1518,"-",""))-1),".","")))=0,SUBSTITUTE(SUBSTITUTE($G1518,"-"," ",LEN($G1518)-LEN(SUBSTITUTE($G1518,"-",""))),"-"," ",LEN($G1518)-LEN(SUBSTITUTE($G1518,"-",""))-1),SUBSTITUTE(SUBSTITUTE(SUBSTITUTE($G1518,"-"," ",LEN($G1518)-LEN(SUBSTITUTE($G1518,"-",""))),"-"," ",LEN($G1518)-LEN(SUBSTITUTE($G1518,"-",""))-1),"."," ",(LEN(SUBSTITUTE(SUBSTITUTE($G1518,"-"," ",LEN($G1518)-LEN(SUBSTITUTE($G1518,"-",""))),"-"," ",LEN($G1518)-LEN(SUBSTITUTE($G1518,"-",""))-1))-LEN(SUBSTITUTE(SUBSTITUTE(SUBSTITUTE($G1518,"-"," ",LEN($G1518)-LEN(SUBSTITUTE($G1518,"-",""))),"-"," ",LEN($G1518)-LEN(SUBSTITUTE($G1518,"-",""))-1),".",""))))),$G1518)))</f>
        <v/>
      </c>
    </row>
    <row r="1519">
      <c r="A1519" s="58" t="n"/>
      <c r="B1519" s="58">
        <f>IF($H1519="","",LEFT($H1519,FIND(" ",$H1519&amp;" ")-1))</f>
        <v/>
      </c>
      <c r="C1519" s="58">
        <f>IF($H1519="","",IFERROR(MID($H1519&amp;" ",FIND("|",SUBSTITUTE($H1519&amp;" "," ","|",1))+1,FIND("|",SUBSTITUTE($H1519&amp;" "," ","|",2))-FIND("|",SUBSTITUTE($H1519&amp;" "," ","|",1))-1),""))</f>
        <v/>
      </c>
      <c r="D1519" s="58">
        <f>IF($H1519="","",IFERROR(MID($H1519&amp;" ",FIND("|",SUBSTITUTE($H1519&amp;" "," ","|",2))+1,FIND("|",SUBSTITUTE($H1519&amp;" "," ","|",3))-FIND("|",SUBSTITUTE($H1519&amp;" "," ","|",2))-1),""))</f>
        <v/>
      </c>
      <c r="E1519" s="58">
        <f>IF($H1519="","",IFERROR(MID($H1519&amp;" ",FIND("|",SUBSTITUTE($H1519&amp;" "," ","|",3))+1,FIND("|",SUBSTITUTE($H1519&amp;" "," ","|",4))-FIND("|",SUBSTITUTE($H1519&amp;" "," ","|",3))-1),""))</f>
        <v/>
      </c>
      <c r="F1519" s="59">
        <f>IF($H1519="","",IFERROR(VALUE(IFERROR(MID($H1519&amp;" ",FIND("|",SUBSTITUTE($H1519&amp;" "," ","|",4))+1,FIND("|",SUBSTITUTE($H1519&amp;" "," ","|",5))-FIND("|",SUBSTITUTE($H1519&amp;" "," ","|",4))-1),""))/86400+25569+9/24,""))</f>
        <v/>
      </c>
      <c r="G1519" s="58">
        <f>TRIM(SUBSTITUTE(SUBSTITUTE(SUBSTITUTE($A1519,CHAR(9)," ")," "," "),CHAR(13),""))</f>
        <v/>
      </c>
      <c r="H1519" s="58">
        <f>IF($G1519="","",IF(ISNUMBER(FIND(" ",$G1519)),$G1519,IFERROR(IF((LEN(SUBSTITUTE(SUBSTITUTE($G1519,"-"," ",LEN($G1519)-LEN(SUBSTITUTE($G1519,"-",""))),"-"," ",LEN($G1519)-LEN(SUBSTITUTE($G1519,"-",""))-1))-LEN(SUBSTITUTE(SUBSTITUTE(SUBSTITUTE($G1519,"-"," ",LEN($G1519)-LEN(SUBSTITUTE($G1519,"-",""))),"-"," ",LEN($G1519)-LEN(SUBSTITUTE($G1519,"-",""))-1),".","")))=0,SUBSTITUTE(SUBSTITUTE($G1519,"-"," ",LEN($G1519)-LEN(SUBSTITUTE($G1519,"-",""))),"-"," ",LEN($G1519)-LEN(SUBSTITUTE($G1519,"-",""))-1),SUBSTITUTE(SUBSTITUTE(SUBSTITUTE($G1519,"-"," ",LEN($G1519)-LEN(SUBSTITUTE($G1519,"-",""))),"-"," ",LEN($G1519)-LEN(SUBSTITUTE($G1519,"-",""))-1),"."," ",(LEN(SUBSTITUTE(SUBSTITUTE($G1519,"-"," ",LEN($G1519)-LEN(SUBSTITUTE($G1519,"-",""))),"-"," ",LEN($G1519)-LEN(SUBSTITUTE($G1519,"-",""))-1))-LEN(SUBSTITUTE(SUBSTITUTE(SUBSTITUTE($G1519,"-"," ",LEN($G1519)-LEN(SUBSTITUTE($G1519,"-",""))),"-"," ",LEN($G1519)-LEN(SUBSTITUTE($G1519,"-",""))-1),".",""))))),$G1519)))</f>
        <v/>
      </c>
    </row>
    <row r="1520">
      <c r="A1520" s="58" t="n"/>
      <c r="B1520" s="58">
        <f>IF($H1520="","",LEFT($H1520,FIND(" ",$H1520&amp;" ")-1))</f>
        <v/>
      </c>
      <c r="C1520" s="58">
        <f>IF($H1520="","",IFERROR(MID($H1520&amp;" ",FIND("|",SUBSTITUTE($H1520&amp;" "," ","|",1))+1,FIND("|",SUBSTITUTE($H1520&amp;" "," ","|",2))-FIND("|",SUBSTITUTE($H1520&amp;" "," ","|",1))-1),""))</f>
        <v/>
      </c>
      <c r="D1520" s="58">
        <f>IF($H1520="","",IFERROR(MID($H1520&amp;" ",FIND("|",SUBSTITUTE($H1520&amp;" "," ","|",2))+1,FIND("|",SUBSTITUTE($H1520&amp;" "," ","|",3))-FIND("|",SUBSTITUTE($H1520&amp;" "," ","|",2))-1),""))</f>
        <v/>
      </c>
      <c r="E1520" s="58">
        <f>IF($H1520="","",IFERROR(MID($H1520&amp;" ",FIND("|",SUBSTITUTE($H1520&amp;" "," ","|",3))+1,FIND("|",SUBSTITUTE($H1520&amp;" "," ","|",4))-FIND("|",SUBSTITUTE($H1520&amp;" "," ","|",3))-1),""))</f>
        <v/>
      </c>
      <c r="F1520" s="59">
        <f>IF($H1520="","",IFERROR(VALUE(IFERROR(MID($H1520&amp;" ",FIND("|",SUBSTITUTE($H1520&amp;" "," ","|",4))+1,FIND("|",SUBSTITUTE($H1520&amp;" "," ","|",5))-FIND("|",SUBSTITUTE($H1520&amp;" "," ","|",4))-1),""))/86400+25569+9/24,""))</f>
        <v/>
      </c>
      <c r="G1520" s="58">
        <f>TRIM(SUBSTITUTE(SUBSTITUTE(SUBSTITUTE($A1520,CHAR(9)," ")," "," "),CHAR(13),""))</f>
        <v/>
      </c>
      <c r="H1520" s="58">
        <f>IF($G1520="","",IF(ISNUMBER(FIND(" ",$G1520)),$G1520,IFERROR(IF((LEN(SUBSTITUTE(SUBSTITUTE($G1520,"-"," ",LEN($G1520)-LEN(SUBSTITUTE($G1520,"-",""))),"-"," ",LEN($G1520)-LEN(SUBSTITUTE($G1520,"-",""))-1))-LEN(SUBSTITUTE(SUBSTITUTE(SUBSTITUTE($G1520,"-"," ",LEN($G1520)-LEN(SUBSTITUTE($G1520,"-",""))),"-"," ",LEN($G1520)-LEN(SUBSTITUTE($G1520,"-",""))-1),".","")))=0,SUBSTITUTE(SUBSTITUTE($G1520,"-"," ",LEN($G1520)-LEN(SUBSTITUTE($G1520,"-",""))),"-"," ",LEN($G1520)-LEN(SUBSTITUTE($G1520,"-",""))-1),SUBSTITUTE(SUBSTITUTE(SUBSTITUTE($G1520,"-"," ",LEN($G1520)-LEN(SUBSTITUTE($G1520,"-",""))),"-"," ",LEN($G1520)-LEN(SUBSTITUTE($G1520,"-",""))-1),"."," ",(LEN(SUBSTITUTE(SUBSTITUTE($G1520,"-"," ",LEN($G1520)-LEN(SUBSTITUTE($G1520,"-",""))),"-"," ",LEN($G1520)-LEN(SUBSTITUTE($G1520,"-",""))-1))-LEN(SUBSTITUTE(SUBSTITUTE(SUBSTITUTE($G1520,"-"," ",LEN($G1520)-LEN(SUBSTITUTE($G1520,"-",""))),"-"," ",LEN($G1520)-LEN(SUBSTITUTE($G1520,"-",""))-1),".",""))))),$G1520)))</f>
        <v/>
      </c>
    </row>
    <row r="1521">
      <c r="A1521" s="58" t="n"/>
      <c r="B1521" s="58">
        <f>IF($H1521="","",LEFT($H1521,FIND(" ",$H1521&amp;" ")-1))</f>
        <v/>
      </c>
      <c r="C1521" s="58">
        <f>IF($H1521="","",IFERROR(MID($H1521&amp;" ",FIND("|",SUBSTITUTE($H1521&amp;" "," ","|",1))+1,FIND("|",SUBSTITUTE($H1521&amp;" "," ","|",2))-FIND("|",SUBSTITUTE($H1521&amp;" "," ","|",1))-1),""))</f>
        <v/>
      </c>
      <c r="D1521" s="58">
        <f>IF($H1521="","",IFERROR(MID($H1521&amp;" ",FIND("|",SUBSTITUTE($H1521&amp;" "," ","|",2))+1,FIND("|",SUBSTITUTE($H1521&amp;" "," ","|",3))-FIND("|",SUBSTITUTE($H1521&amp;" "," ","|",2))-1),""))</f>
        <v/>
      </c>
      <c r="E1521" s="58">
        <f>IF($H1521="","",IFERROR(MID($H1521&amp;" ",FIND("|",SUBSTITUTE($H1521&amp;" "," ","|",3))+1,FIND("|",SUBSTITUTE($H1521&amp;" "," ","|",4))-FIND("|",SUBSTITUTE($H1521&amp;" "," ","|",3))-1),""))</f>
        <v/>
      </c>
      <c r="F1521" s="59">
        <f>IF($H1521="","",IFERROR(VALUE(IFERROR(MID($H1521&amp;" ",FIND("|",SUBSTITUTE($H1521&amp;" "," ","|",4))+1,FIND("|",SUBSTITUTE($H1521&amp;" "," ","|",5))-FIND("|",SUBSTITUTE($H1521&amp;" "," ","|",4))-1),""))/86400+25569+9/24,""))</f>
        <v/>
      </c>
      <c r="G1521" s="58">
        <f>TRIM(SUBSTITUTE(SUBSTITUTE(SUBSTITUTE($A1521,CHAR(9)," ")," "," "),CHAR(13),""))</f>
        <v/>
      </c>
      <c r="H1521" s="58">
        <f>IF($G1521="","",IF(ISNUMBER(FIND(" ",$G1521)),$G1521,IFERROR(IF((LEN(SUBSTITUTE(SUBSTITUTE($G1521,"-"," ",LEN($G1521)-LEN(SUBSTITUTE($G1521,"-",""))),"-"," ",LEN($G1521)-LEN(SUBSTITUTE($G1521,"-",""))-1))-LEN(SUBSTITUTE(SUBSTITUTE(SUBSTITUTE($G1521,"-"," ",LEN($G1521)-LEN(SUBSTITUTE($G1521,"-",""))),"-"," ",LEN($G1521)-LEN(SUBSTITUTE($G1521,"-",""))-1),".","")))=0,SUBSTITUTE(SUBSTITUTE($G1521,"-"," ",LEN($G1521)-LEN(SUBSTITUTE($G1521,"-",""))),"-"," ",LEN($G1521)-LEN(SUBSTITUTE($G1521,"-",""))-1),SUBSTITUTE(SUBSTITUTE(SUBSTITUTE($G1521,"-"," ",LEN($G1521)-LEN(SUBSTITUTE($G1521,"-",""))),"-"," ",LEN($G1521)-LEN(SUBSTITUTE($G1521,"-",""))-1),"."," ",(LEN(SUBSTITUTE(SUBSTITUTE($G1521,"-"," ",LEN($G1521)-LEN(SUBSTITUTE($G1521,"-",""))),"-"," ",LEN($G1521)-LEN(SUBSTITUTE($G1521,"-",""))-1))-LEN(SUBSTITUTE(SUBSTITUTE(SUBSTITUTE($G1521,"-"," ",LEN($G1521)-LEN(SUBSTITUTE($G1521,"-",""))),"-"," ",LEN($G1521)-LEN(SUBSTITUTE($G1521,"-",""))-1),".",""))))),$G1521)))</f>
        <v/>
      </c>
    </row>
    <row r="1522">
      <c r="A1522" s="58" t="n"/>
      <c r="B1522" s="58">
        <f>IF($H1522="","",LEFT($H1522,FIND(" ",$H1522&amp;" ")-1))</f>
        <v/>
      </c>
      <c r="C1522" s="58">
        <f>IF($H1522="","",IFERROR(MID($H1522&amp;" ",FIND("|",SUBSTITUTE($H1522&amp;" "," ","|",1))+1,FIND("|",SUBSTITUTE($H1522&amp;" "," ","|",2))-FIND("|",SUBSTITUTE($H1522&amp;" "," ","|",1))-1),""))</f>
        <v/>
      </c>
      <c r="D1522" s="58">
        <f>IF($H1522="","",IFERROR(MID($H1522&amp;" ",FIND("|",SUBSTITUTE($H1522&amp;" "," ","|",2))+1,FIND("|",SUBSTITUTE($H1522&amp;" "," ","|",3))-FIND("|",SUBSTITUTE($H1522&amp;" "," ","|",2))-1),""))</f>
        <v/>
      </c>
      <c r="E1522" s="58">
        <f>IF($H1522="","",IFERROR(MID($H1522&amp;" ",FIND("|",SUBSTITUTE($H1522&amp;" "," ","|",3))+1,FIND("|",SUBSTITUTE($H1522&amp;" "," ","|",4))-FIND("|",SUBSTITUTE($H1522&amp;" "," ","|",3))-1),""))</f>
        <v/>
      </c>
      <c r="F1522" s="59">
        <f>IF($H1522="","",IFERROR(VALUE(IFERROR(MID($H1522&amp;" ",FIND("|",SUBSTITUTE($H1522&amp;" "," ","|",4))+1,FIND("|",SUBSTITUTE($H1522&amp;" "," ","|",5))-FIND("|",SUBSTITUTE($H1522&amp;" "," ","|",4))-1),""))/86400+25569+9/24,""))</f>
        <v/>
      </c>
      <c r="G1522" s="58">
        <f>TRIM(SUBSTITUTE(SUBSTITUTE(SUBSTITUTE($A1522,CHAR(9)," ")," "," "),CHAR(13),""))</f>
        <v/>
      </c>
      <c r="H1522" s="58">
        <f>IF($G1522="","",IF(ISNUMBER(FIND(" ",$G1522)),$G1522,IFERROR(IF((LEN(SUBSTITUTE(SUBSTITUTE($G1522,"-"," ",LEN($G1522)-LEN(SUBSTITUTE($G1522,"-",""))),"-"," ",LEN($G1522)-LEN(SUBSTITUTE($G1522,"-",""))-1))-LEN(SUBSTITUTE(SUBSTITUTE(SUBSTITUTE($G1522,"-"," ",LEN($G1522)-LEN(SUBSTITUTE($G1522,"-",""))),"-"," ",LEN($G1522)-LEN(SUBSTITUTE($G1522,"-",""))-1),".","")))=0,SUBSTITUTE(SUBSTITUTE($G1522,"-"," ",LEN($G1522)-LEN(SUBSTITUTE($G1522,"-",""))),"-"," ",LEN($G1522)-LEN(SUBSTITUTE($G1522,"-",""))-1),SUBSTITUTE(SUBSTITUTE(SUBSTITUTE($G1522,"-"," ",LEN($G1522)-LEN(SUBSTITUTE($G1522,"-",""))),"-"," ",LEN($G1522)-LEN(SUBSTITUTE($G1522,"-",""))-1),"."," ",(LEN(SUBSTITUTE(SUBSTITUTE($G1522,"-"," ",LEN($G1522)-LEN(SUBSTITUTE($G1522,"-",""))),"-"," ",LEN($G1522)-LEN(SUBSTITUTE($G1522,"-",""))-1))-LEN(SUBSTITUTE(SUBSTITUTE(SUBSTITUTE($G1522,"-"," ",LEN($G1522)-LEN(SUBSTITUTE($G1522,"-",""))),"-"," ",LEN($G1522)-LEN(SUBSTITUTE($G1522,"-",""))-1),".",""))))),$G1522)))</f>
        <v/>
      </c>
    </row>
    <row r="1523">
      <c r="A1523" s="58" t="n"/>
      <c r="B1523" s="58">
        <f>IF($H1523="","",LEFT($H1523,FIND(" ",$H1523&amp;" ")-1))</f>
        <v/>
      </c>
      <c r="C1523" s="58">
        <f>IF($H1523="","",IFERROR(MID($H1523&amp;" ",FIND("|",SUBSTITUTE($H1523&amp;" "," ","|",1))+1,FIND("|",SUBSTITUTE($H1523&amp;" "," ","|",2))-FIND("|",SUBSTITUTE($H1523&amp;" "," ","|",1))-1),""))</f>
        <v/>
      </c>
      <c r="D1523" s="58">
        <f>IF($H1523="","",IFERROR(MID($H1523&amp;" ",FIND("|",SUBSTITUTE($H1523&amp;" "," ","|",2))+1,FIND("|",SUBSTITUTE($H1523&amp;" "," ","|",3))-FIND("|",SUBSTITUTE($H1523&amp;" "," ","|",2))-1),""))</f>
        <v/>
      </c>
      <c r="E1523" s="58">
        <f>IF($H1523="","",IFERROR(MID($H1523&amp;" ",FIND("|",SUBSTITUTE($H1523&amp;" "," ","|",3))+1,FIND("|",SUBSTITUTE($H1523&amp;" "," ","|",4))-FIND("|",SUBSTITUTE($H1523&amp;" "," ","|",3))-1),""))</f>
        <v/>
      </c>
      <c r="F1523" s="59">
        <f>IF($H1523="","",IFERROR(VALUE(IFERROR(MID($H1523&amp;" ",FIND("|",SUBSTITUTE($H1523&amp;" "," ","|",4))+1,FIND("|",SUBSTITUTE($H1523&amp;" "," ","|",5))-FIND("|",SUBSTITUTE($H1523&amp;" "," ","|",4))-1),""))/86400+25569+9/24,""))</f>
        <v/>
      </c>
      <c r="G1523" s="58">
        <f>TRIM(SUBSTITUTE(SUBSTITUTE(SUBSTITUTE($A1523,CHAR(9)," ")," "," "),CHAR(13),""))</f>
        <v/>
      </c>
      <c r="H1523" s="58">
        <f>IF($G1523="","",IF(ISNUMBER(FIND(" ",$G1523)),$G1523,IFERROR(IF((LEN(SUBSTITUTE(SUBSTITUTE($G1523,"-"," ",LEN($G1523)-LEN(SUBSTITUTE($G1523,"-",""))),"-"," ",LEN($G1523)-LEN(SUBSTITUTE($G1523,"-",""))-1))-LEN(SUBSTITUTE(SUBSTITUTE(SUBSTITUTE($G1523,"-"," ",LEN($G1523)-LEN(SUBSTITUTE($G1523,"-",""))),"-"," ",LEN($G1523)-LEN(SUBSTITUTE($G1523,"-",""))-1),".","")))=0,SUBSTITUTE(SUBSTITUTE($G1523,"-"," ",LEN($G1523)-LEN(SUBSTITUTE($G1523,"-",""))),"-"," ",LEN($G1523)-LEN(SUBSTITUTE($G1523,"-",""))-1),SUBSTITUTE(SUBSTITUTE(SUBSTITUTE($G1523,"-"," ",LEN($G1523)-LEN(SUBSTITUTE($G1523,"-",""))),"-"," ",LEN($G1523)-LEN(SUBSTITUTE($G1523,"-",""))-1),"."," ",(LEN(SUBSTITUTE(SUBSTITUTE($G1523,"-"," ",LEN($G1523)-LEN(SUBSTITUTE($G1523,"-",""))),"-"," ",LEN($G1523)-LEN(SUBSTITUTE($G1523,"-",""))-1))-LEN(SUBSTITUTE(SUBSTITUTE(SUBSTITUTE($G1523,"-"," ",LEN($G1523)-LEN(SUBSTITUTE($G1523,"-",""))),"-"," ",LEN($G1523)-LEN(SUBSTITUTE($G1523,"-",""))-1),".",""))))),$G1523)))</f>
        <v/>
      </c>
    </row>
    <row r="1524">
      <c r="A1524" s="58" t="n"/>
      <c r="B1524" s="58">
        <f>IF($H1524="","",LEFT($H1524,FIND(" ",$H1524&amp;" ")-1))</f>
        <v/>
      </c>
      <c r="C1524" s="58">
        <f>IF($H1524="","",IFERROR(MID($H1524&amp;" ",FIND("|",SUBSTITUTE($H1524&amp;" "," ","|",1))+1,FIND("|",SUBSTITUTE($H1524&amp;" "," ","|",2))-FIND("|",SUBSTITUTE($H1524&amp;" "," ","|",1))-1),""))</f>
        <v/>
      </c>
      <c r="D1524" s="58">
        <f>IF($H1524="","",IFERROR(MID($H1524&amp;" ",FIND("|",SUBSTITUTE($H1524&amp;" "," ","|",2))+1,FIND("|",SUBSTITUTE($H1524&amp;" "," ","|",3))-FIND("|",SUBSTITUTE($H1524&amp;" "," ","|",2))-1),""))</f>
        <v/>
      </c>
      <c r="E1524" s="58">
        <f>IF($H1524="","",IFERROR(MID($H1524&amp;" ",FIND("|",SUBSTITUTE($H1524&amp;" "," ","|",3))+1,FIND("|",SUBSTITUTE($H1524&amp;" "," ","|",4))-FIND("|",SUBSTITUTE($H1524&amp;" "," ","|",3))-1),""))</f>
        <v/>
      </c>
      <c r="F1524" s="59">
        <f>IF($H1524="","",IFERROR(VALUE(IFERROR(MID($H1524&amp;" ",FIND("|",SUBSTITUTE($H1524&amp;" "," ","|",4))+1,FIND("|",SUBSTITUTE($H1524&amp;" "," ","|",5))-FIND("|",SUBSTITUTE($H1524&amp;" "," ","|",4))-1),""))/86400+25569+9/24,""))</f>
        <v/>
      </c>
      <c r="G1524" s="58">
        <f>TRIM(SUBSTITUTE(SUBSTITUTE(SUBSTITUTE($A1524,CHAR(9)," ")," "," "),CHAR(13),""))</f>
        <v/>
      </c>
      <c r="H1524" s="58">
        <f>IF($G1524="","",IF(ISNUMBER(FIND(" ",$G1524)),$G1524,IFERROR(IF((LEN(SUBSTITUTE(SUBSTITUTE($G1524,"-"," ",LEN($G1524)-LEN(SUBSTITUTE($G1524,"-",""))),"-"," ",LEN($G1524)-LEN(SUBSTITUTE($G1524,"-",""))-1))-LEN(SUBSTITUTE(SUBSTITUTE(SUBSTITUTE($G1524,"-"," ",LEN($G1524)-LEN(SUBSTITUTE($G1524,"-",""))),"-"," ",LEN($G1524)-LEN(SUBSTITUTE($G1524,"-",""))-1),".","")))=0,SUBSTITUTE(SUBSTITUTE($G1524,"-"," ",LEN($G1524)-LEN(SUBSTITUTE($G1524,"-",""))),"-"," ",LEN($G1524)-LEN(SUBSTITUTE($G1524,"-",""))-1),SUBSTITUTE(SUBSTITUTE(SUBSTITUTE($G1524,"-"," ",LEN($G1524)-LEN(SUBSTITUTE($G1524,"-",""))),"-"," ",LEN($G1524)-LEN(SUBSTITUTE($G1524,"-",""))-1),"."," ",(LEN(SUBSTITUTE(SUBSTITUTE($G1524,"-"," ",LEN($G1524)-LEN(SUBSTITUTE($G1524,"-",""))),"-"," ",LEN($G1524)-LEN(SUBSTITUTE($G1524,"-",""))-1))-LEN(SUBSTITUTE(SUBSTITUTE(SUBSTITUTE($G1524,"-"," ",LEN($G1524)-LEN(SUBSTITUTE($G1524,"-",""))),"-"," ",LEN($G1524)-LEN(SUBSTITUTE($G1524,"-",""))-1),".",""))))),$G1524)))</f>
        <v/>
      </c>
    </row>
    <row r="1525">
      <c r="A1525" s="58" t="n"/>
      <c r="B1525" s="58">
        <f>IF($H1525="","",LEFT($H1525,FIND(" ",$H1525&amp;" ")-1))</f>
        <v/>
      </c>
      <c r="C1525" s="58">
        <f>IF($H1525="","",IFERROR(MID($H1525&amp;" ",FIND("|",SUBSTITUTE($H1525&amp;" "," ","|",1))+1,FIND("|",SUBSTITUTE($H1525&amp;" "," ","|",2))-FIND("|",SUBSTITUTE($H1525&amp;" "," ","|",1))-1),""))</f>
        <v/>
      </c>
      <c r="D1525" s="58">
        <f>IF($H1525="","",IFERROR(MID($H1525&amp;" ",FIND("|",SUBSTITUTE($H1525&amp;" "," ","|",2))+1,FIND("|",SUBSTITUTE($H1525&amp;" "," ","|",3))-FIND("|",SUBSTITUTE($H1525&amp;" "," ","|",2))-1),""))</f>
        <v/>
      </c>
      <c r="E1525" s="58">
        <f>IF($H1525="","",IFERROR(MID($H1525&amp;" ",FIND("|",SUBSTITUTE($H1525&amp;" "," ","|",3))+1,FIND("|",SUBSTITUTE($H1525&amp;" "," ","|",4))-FIND("|",SUBSTITUTE($H1525&amp;" "," ","|",3))-1),""))</f>
        <v/>
      </c>
      <c r="F1525" s="59">
        <f>IF($H1525="","",IFERROR(VALUE(IFERROR(MID($H1525&amp;" ",FIND("|",SUBSTITUTE($H1525&amp;" "," ","|",4))+1,FIND("|",SUBSTITUTE($H1525&amp;" "," ","|",5))-FIND("|",SUBSTITUTE($H1525&amp;" "," ","|",4))-1),""))/86400+25569+9/24,""))</f>
        <v/>
      </c>
      <c r="G1525" s="58">
        <f>TRIM(SUBSTITUTE(SUBSTITUTE(SUBSTITUTE($A1525,CHAR(9)," ")," "," "),CHAR(13),""))</f>
        <v/>
      </c>
      <c r="H1525" s="58">
        <f>IF($G1525="","",IF(ISNUMBER(FIND(" ",$G1525)),$G1525,IFERROR(IF((LEN(SUBSTITUTE(SUBSTITUTE($G1525,"-"," ",LEN($G1525)-LEN(SUBSTITUTE($G1525,"-",""))),"-"," ",LEN($G1525)-LEN(SUBSTITUTE($G1525,"-",""))-1))-LEN(SUBSTITUTE(SUBSTITUTE(SUBSTITUTE($G1525,"-"," ",LEN($G1525)-LEN(SUBSTITUTE($G1525,"-",""))),"-"," ",LEN($G1525)-LEN(SUBSTITUTE($G1525,"-",""))-1),".","")))=0,SUBSTITUTE(SUBSTITUTE($G1525,"-"," ",LEN($G1525)-LEN(SUBSTITUTE($G1525,"-",""))),"-"," ",LEN($G1525)-LEN(SUBSTITUTE($G1525,"-",""))-1),SUBSTITUTE(SUBSTITUTE(SUBSTITUTE($G1525,"-"," ",LEN($G1525)-LEN(SUBSTITUTE($G1525,"-",""))),"-"," ",LEN($G1525)-LEN(SUBSTITUTE($G1525,"-",""))-1),"."," ",(LEN(SUBSTITUTE(SUBSTITUTE($G1525,"-"," ",LEN($G1525)-LEN(SUBSTITUTE($G1525,"-",""))),"-"," ",LEN($G1525)-LEN(SUBSTITUTE($G1525,"-",""))-1))-LEN(SUBSTITUTE(SUBSTITUTE(SUBSTITUTE($G1525,"-"," ",LEN($G1525)-LEN(SUBSTITUTE($G1525,"-",""))),"-"," ",LEN($G1525)-LEN(SUBSTITUTE($G1525,"-",""))-1),".",""))))),$G1525)))</f>
        <v/>
      </c>
    </row>
    <row r="1526">
      <c r="A1526" s="58" t="n"/>
      <c r="B1526" s="58">
        <f>IF($H1526="","",LEFT($H1526,FIND(" ",$H1526&amp;" ")-1))</f>
        <v/>
      </c>
      <c r="C1526" s="58">
        <f>IF($H1526="","",IFERROR(MID($H1526&amp;" ",FIND("|",SUBSTITUTE($H1526&amp;" "," ","|",1))+1,FIND("|",SUBSTITUTE($H1526&amp;" "," ","|",2))-FIND("|",SUBSTITUTE($H1526&amp;" "," ","|",1))-1),""))</f>
        <v/>
      </c>
      <c r="D1526" s="58">
        <f>IF($H1526="","",IFERROR(MID($H1526&amp;" ",FIND("|",SUBSTITUTE($H1526&amp;" "," ","|",2))+1,FIND("|",SUBSTITUTE($H1526&amp;" "," ","|",3))-FIND("|",SUBSTITUTE($H1526&amp;" "," ","|",2))-1),""))</f>
        <v/>
      </c>
      <c r="E1526" s="58">
        <f>IF($H1526="","",IFERROR(MID($H1526&amp;" ",FIND("|",SUBSTITUTE($H1526&amp;" "," ","|",3))+1,FIND("|",SUBSTITUTE($H1526&amp;" "," ","|",4))-FIND("|",SUBSTITUTE($H1526&amp;" "," ","|",3))-1),""))</f>
        <v/>
      </c>
      <c r="F1526" s="59">
        <f>IF($H1526="","",IFERROR(VALUE(IFERROR(MID($H1526&amp;" ",FIND("|",SUBSTITUTE($H1526&amp;" "," ","|",4))+1,FIND("|",SUBSTITUTE($H1526&amp;" "," ","|",5))-FIND("|",SUBSTITUTE($H1526&amp;" "," ","|",4))-1),""))/86400+25569+9/24,""))</f>
        <v/>
      </c>
      <c r="G1526" s="58">
        <f>TRIM(SUBSTITUTE(SUBSTITUTE(SUBSTITUTE($A1526,CHAR(9)," ")," "," "),CHAR(13),""))</f>
        <v/>
      </c>
      <c r="H1526" s="58">
        <f>IF($G1526="","",IF(ISNUMBER(FIND(" ",$G1526)),$G1526,IFERROR(IF((LEN(SUBSTITUTE(SUBSTITUTE($G1526,"-"," ",LEN($G1526)-LEN(SUBSTITUTE($G1526,"-",""))),"-"," ",LEN($G1526)-LEN(SUBSTITUTE($G1526,"-",""))-1))-LEN(SUBSTITUTE(SUBSTITUTE(SUBSTITUTE($G1526,"-"," ",LEN($G1526)-LEN(SUBSTITUTE($G1526,"-",""))),"-"," ",LEN($G1526)-LEN(SUBSTITUTE($G1526,"-",""))-1),".","")))=0,SUBSTITUTE(SUBSTITUTE($G1526,"-"," ",LEN($G1526)-LEN(SUBSTITUTE($G1526,"-",""))),"-"," ",LEN($G1526)-LEN(SUBSTITUTE($G1526,"-",""))-1),SUBSTITUTE(SUBSTITUTE(SUBSTITUTE($G1526,"-"," ",LEN($G1526)-LEN(SUBSTITUTE($G1526,"-",""))),"-"," ",LEN($G1526)-LEN(SUBSTITUTE($G1526,"-",""))-1),"."," ",(LEN(SUBSTITUTE(SUBSTITUTE($G1526,"-"," ",LEN($G1526)-LEN(SUBSTITUTE($G1526,"-",""))),"-"," ",LEN($G1526)-LEN(SUBSTITUTE($G1526,"-",""))-1))-LEN(SUBSTITUTE(SUBSTITUTE(SUBSTITUTE($G1526,"-"," ",LEN($G1526)-LEN(SUBSTITUTE($G1526,"-",""))),"-"," ",LEN($G1526)-LEN(SUBSTITUTE($G1526,"-",""))-1),".",""))))),$G1526)))</f>
        <v/>
      </c>
    </row>
    <row r="1527">
      <c r="A1527" s="58" t="n"/>
      <c r="B1527" s="58">
        <f>IF($H1527="","",LEFT($H1527,FIND(" ",$H1527&amp;" ")-1))</f>
        <v/>
      </c>
      <c r="C1527" s="58">
        <f>IF($H1527="","",IFERROR(MID($H1527&amp;" ",FIND("|",SUBSTITUTE($H1527&amp;" "," ","|",1))+1,FIND("|",SUBSTITUTE($H1527&amp;" "," ","|",2))-FIND("|",SUBSTITUTE($H1527&amp;" "," ","|",1))-1),""))</f>
        <v/>
      </c>
      <c r="D1527" s="58">
        <f>IF($H1527="","",IFERROR(MID($H1527&amp;" ",FIND("|",SUBSTITUTE($H1527&amp;" "," ","|",2))+1,FIND("|",SUBSTITUTE($H1527&amp;" "," ","|",3))-FIND("|",SUBSTITUTE($H1527&amp;" "," ","|",2))-1),""))</f>
        <v/>
      </c>
      <c r="E1527" s="58">
        <f>IF($H1527="","",IFERROR(MID($H1527&amp;" ",FIND("|",SUBSTITUTE($H1527&amp;" "," ","|",3))+1,FIND("|",SUBSTITUTE($H1527&amp;" "," ","|",4))-FIND("|",SUBSTITUTE($H1527&amp;" "," ","|",3))-1),""))</f>
        <v/>
      </c>
      <c r="F1527" s="59">
        <f>IF($H1527="","",IFERROR(VALUE(IFERROR(MID($H1527&amp;" ",FIND("|",SUBSTITUTE($H1527&amp;" "," ","|",4))+1,FIND("|",SUBSTITUTE($H1527&amp;" "," ","|",5))-FIND("|",SUBSTITUTE($H1527&amp;" "," ","|",4))-1),""))/86400+25569+9/24,""))</f>
        <v/>
      </c>
      <c r="G1527" s="58">
        <f>TRIM(SUBSTITUTE(SUBSTITUTE(SUBSTITUTE($A1527,CHAR(9)," ")," "," "),CHAR(13),""))</f>
        <v/>
      </c>
      <c r="H1527" s="58">
        <f>IF($G1527="","",IF(ISNUMBER(FIND(" ",$G1527)),$G1527,IFERROR(IF((LEN(SUBSTITUTE(SUBSTITUTE($G1527,"-"," ",LEN($G1527)-LEN(SUBSTITUTE($G1527,"-",""))),"-"," ",LEN($G1527)-LEN(SUBSTITUTE($G1527,"-",""))-1))-LEN(SUBSTITUTE(SUBSTITUTE(SUBSTITUTE($G1527,"-"," ",LEN($G1527)-LEN(SUBSTITUTE($G1527,"-",""))),"-"," ",LEN($G1527)-LEN(SUBSTITUTE($G1527,"-",""))-1),".","")))=0,SUBSTITUTE(SUBSTITUTE($G1527,"-"," ",LEN($G1527)-LEN(SUBSTITUTE($G1527,"-",""))),"-"," ",LEN($G1527)-LEN(SUBSTITUTE($G1527,"-",""))-1),SUBSTITUTE(SUBSTITUTE(SUBSTITUTE($G1527,"-"," ",LEN($G1527)-LEN(SUBSTITUTE($G1527,"-",""))),"-"," ",LEN($G1527)-LEN(SUBSTITUTE($G1527,"-",""))-1),"."," ",(LEN(SUBSTITUTE(SUBSTITUTE($G1527,"-"," ",LEN($G1527)-LEN(SUBSTITUTE($G1527,"-",""))),"-"," ",LEN($G1527)-LEN(SUBSTITUTE($G1527,"-",""))-1))-LEN(SUBSTITUTE(SUBSTITUTE(SUBSTITUTE($G1527,"-"," ",LEN($G1527)-LEN(SUBSTITUTE($G1527,"-",""))),"-"," ",LEN($G1527)-LEN(SUBSTITUTE($G1527,"-",""))-1),".",""))))),$G1527)))</f>
        <v/>
      </c>
    </row>
    <row r="1528">
      <c r="A1528" s="58" t="n"/>
      <c r="B1528" s="58">
        <f>IF($H1528="","",LEFT($H1528,FIND(" ",$H1528&amp;" ")-1))</f>
        <v/>
      </c>
      <c r="C1528" s="58">
        <f>IF($H1528="","",IFERROR(MID($H1528&amp;" ",FIND("|",SUBSTITUTE($H1528&amp;" "," ","|",1))+1,FIND("|",SUBSTITUTE($H1528&amp;" "," ","|",2))-FIND("|",SUBSTITUTE($H1528&amp;" "," ","|",1))-1),""))</f>
        <v/>
      </c>
      <c r="D1528" s="58">
        <f>IF($H1528="","",IFERROR(MID($H1528&amp;" ",FIND("|",SUBSTITUTE($H1528&amp;" "," ","|",2))+1,FIND("|",SUBSTITUTE($H1528&amp;" "," ","|",3))-FIND("|",SUBSTITUTE($H1528&amp;" "," ","|",2))-1),""))</f>
        <v/>
      </c>
      <c r="E1528" s="58">
        <f>IF($H1528="","",IFERROR(MID($H1528&amp;" ",FIND("|",SUBSTITUTE($H1528&amp;" "," ","|",3))+1,FIND("|",SUBSTITUTE($H1528&amp;" "," ","|",4))-FIND("|",SUBSTITUTE($H1528&amp;" "," ","|",3))-1),""))</f>
        <v/>
      </c>
      <c r="F1528" s="59">
        <f>IF($H1528="","",IFERROR(VALUE(IFERROR(MID($H1528&amp;" ",FIND("|",SUBSTITUTE($H1528&amp;" "," ","|",4))+1,FIND("|",SUBSTITUTE($H1528&amp;" "," ","|",5))-FIND("|",SUBSTITUTE($H1528&amp;" "," ","|",4))-1),""))/86400+25569+9/24,""))</f>
        <v/>
      </c>
      <c r="G1528" s="58">
        <f>TRIM(SUBSTITUTE(SUBSTITUTE(SUBSTITUTE($A1528,CHAR(9)," ")," "," "),CHAR(13),""))</f>
        <v/>
      </c>
      <c r="H1528" s="58">
        <f>IF($G1528="","",IF(ISNUMBER(FIND(" ",$G1528)),$G1528,IFERROR(IF((LEN(SUBSTITUTE(SUBSTITUTE($G1528,"-"," ",LEN($G1528)-LEN(SUBSTITUTE($G1528,"-",""))),"-"," ",LEN($G1528)-LEN(SUBSTITUTE($G1528,"-",""))-1))-LEN(SUBSTITUTE(SUBSTITUTE(SUBSTITUTE($G1528,"-"," ",LEN($G1528)-LEN(SUBSTITUTE($G1528,"-",""))),"-"," ",LEN($G1528)-LEN(SUBSTITUTE($G1528,"-",""))-1),".","")))=0,SUBSTITUTE(SUBSTITUTE($G1528,"-"," ",LEN($G1528)-LEN(SUBSTITUTE($G1528,"-",""))),"-"," ",LEN($G1528)-LEN(SUBSTITUTE($G1528,"-",""))-1),SUBSTITUTE(SUBSTITUTE(SUBSTITUTE($G1528,"-"," ",LEN($G1528)-LEN(SUBSTITUTE($G1528,"-",""))),"-"," ",LEN($G1528)-LEN(SUBSTITUTE($G1528,"-",""))-1),"."," ",(LEN(SUBSTITUTE(SUBSTITUTE($G1528,"-"," ",LEN($G1528)-LEN(SUBSTITUTE($G1528,"-",""))),"-"," ",LEN($G1528)-LEN(SUBSTITUTE($G1528,"-",""))-1))-LEN(SUBSTITUTE(SUBSTITUTE(SUBSTITUTE($G1528,"-"," ",LEN($G1528)-LEN(SUBSTITUTE($G1528,"-",""))),"-"," ",LEN($G1528)-LEN(SUBSTITUTE($G1528,"-",""))-1),".",""))))),$G1528)))</f>
        <v/>
      </c>
    </row>
    <row r="1529">
      <c r="A1529" s="58" t="n"/>
      <c r="B1529" s="58">
        <f>IF($H1529="","",LEFT($H1529,FIND(" ",$H1529&amp;" ")-1))</f>
        <v/>
      </c>
      <c r="C1529" s="58">
        <f>IF($H1529="","",IFERROR(MID($H1529&amp;" ",FIND("|",SUBSTITUTE($H1529&amp;" "," ","|",1))+1,FIND("|",SUBSTITUTE($H1529&amp;" "," ","|",2))-FIND("|",SUBSTITUTE($H1529&amp;" "," ","|",1))-1),""))</f>
        <v/>
      </c>
      <c r="D1529" s="58">
        <f>IF($H1529="","",IFERROR(MID($H1529&amp;" ",FIND("|",SUBSTITUTE($H1529&amp;" "," ","|",2))+1,FIND("|",SUBSTITUTE($H1529&amp;" "," ","|",3))-FIND("|",SUBSTITUTE($H1529&amp;" "," ","|",2))-1),""))</f>
        <v/>
      </c>
      <c r="E1529" s="58">
        <f>IF($H1529="","",IFERROR(MID($H1529&amp;" ",FIND("|",SUBSTITUTE($H1529&amp;" "," ","|",3))+1,FIND("|",SUBSTITUTE($H1529&amp;" "," ","|",4))-FIND("|",SUBSTITUTE($H1529&amp;" "," ","|",3))-1),""))</f>
        <v/>
      </c>
      <c r="F1529" s="59">
        <f>IF($H1529="","",IFERROR(VALUE(IFERROR(MID($H1529&amp;" ",FIND("|",SUBSTITUTE($H1529&amp;" "," ","|",4))+1,FIND("|",SUBSTITUTE($H1529&amp;" "," ","|",5))-FIND("|",SUBSTITUTE($H1529&amp;" "," ","|",4))-1),""))/86400+25569+9/24,""))</f>
        <v/>
      </c>
      <c r="G1529" s="58">
        <f>TRIM(SUBSTITUTE(SUBSTITUTE(SUBSTITUTE($A1529,CHAR(9)," ")," "," "),CHAR(13),""))</f>
        <v/>
      </c>
      <c r="H1529" s="58">
        <f>IF($G1529="","",IF(ISNUMBER(FIND(" ",$G1529)),$G1529,IFERROR(IF((LEN(SUBSTITUTE(SUBSTITUTE($G1529,"-"," ",LEN($G1529)-LEN(SUBSTITUTE($G1529,"-",""))),"-"," ",LEN($G1529)-LEN(SUBSTITUTE($G1529,"-",""))-1))-LEN(SUBSTITUTE(SUBSTITUTE(SUBSTITUTE($G1529,"-"," ",LEN($G1529)-LEN(SUBSTITUTE($G1529,"-",""))),"-"," ",LEN($G1529)-LEN(SUBSTITUTE($G1529,"-",""))-1),".","")))=0,SUBSTITUTE(SUBSTITUTE($G1529,"-"," ",LEN($G1529)-LEN(SUBSTITUTE($G1529,"-",""))),"-"," ",LEN($G1529)-LEN(SUBSTITUTE($G1529,"-",""))-1),SUBSTITUTE(SUBSTITUTE(SUBSTITUTE($G1529,"-"," ",LEN($G1529)-LEN(SUBSTITUTE($G1529,"-",""))),"-"," ",LEN($G1529)-LEN(SUBSTITUTE($G1529,"-",""))-1),"."," ",(LEN(SUBSTITUTE(SUBSTITUTE($G1529,"-"," ",LEN($G1529)-LEN(SUBSTITUTE($G1529,"-",""))),"-"," ",LEN($G1529)-LEN(SUBSTITUTE($G1529,"-",""))-1))-LEN(SUBSTITUTE(SUBSTITUTE(SUBSTITUTE($G1529,"-"," ",LEN($G1529)-LEN(SUBSTITUTE($G1529,"-",""))),"-"," ",LEN($G1529)-LEN(SUBSTITUTE($G1529,"-",""))-1),".",""))))),$G1529)))</f>
        <v/>
      </c>
    </row>
    <row r="1530">
      <c r="A1530" s="58" t="n"/>
      <c r="B1530" s="58">
        <f>IF($H1530="","",LEFT($H1530,FIND(" ",$H1530&amp;" ")-1))</f>
        <v/>
      </c>
      <c r="C1530" s="58">
        <f>IF($H1530="","",IFERROR(MID($H1530&amp;" ",FIND("|",SUBSTITUTE($H1530&amp;" "," ","|",1))+1,FIND("|",SUBSTITUTE($H1530&amp;" "," ","|",2))-FIND("|",SUBSTITUTE($H1530&amp;" "," ","|",1))-1),""))</f>
        <v/>
      </c>
      <c r="D1530" s="58">
        <f>IF($H1530="","",IFERROR(MID($H1530&amp;" ",FIND("|",SUBSTITUTE($H1530&amp;" "," ","|",2))+1,FIND("|",SUBSTITUTE($H1530&amp;" "," ","|",3))-FIND("|",SUBSTITUTE($H1530&amp;" "," ","|",2))-1),""))</f>
        <v/>
      </c>
      <c r="E1530" s="58">
        <f>IF($H1530="","",IFERROR(MID($H1530&amp;" ",FIND("|",SUBSTITUTE($H1530&amp;" "," ","|",3))+1,FIND("|",SUBSTITUTE($H1530&amp;" "," ","|",4))-FIND("|",SUBSTITUTE($H1530&amp;" "," ","|",3))-1),""))</f>
        <v/>
      </c>
      <c r="F1530" s="59">
        <f>IF($H1530="","",IFERROR(VALUE(IFERROR(MID($H1530&amp;" ",FIND("|",SUBSTITUTE($H1530&amp;" "," ","|",4))+1,FIND("|",SUBSTITUTE($H1530&amp;" "," ","|",5))-FIND("|",SUBSTITUTE($H1530&amp;" "," ","|",4))-1),""))/86400+25569+9/24,""))</f>
        <v/>
      </c>
      <c r="G1530" s="58">
        <f>TRIM(SUBSTITUTE(SUBSTITUTE(SUBSTITUTE($A1530,CHAR(9)," ")," "," "),CHAR(13),""))</f>
        <v/>
      </c>
      <c r="H1530" s="58">
        <f>IF($G1530="","",IF(ISNUMBER(FIND(" ",$G1530)),$G1530,IFERROR(IF((LEN(SUBSTITUTE(SUBSTITUTE($G1530,"-"," ",LEN($G1530)-LEN(SUBSTITUTE($G1530,"-",""))),"-"," ",LEN($G1530)-LEN(SUBSTITUTE($G1530,"-",""))-1))-LEN(SUBSTITUTE(SUBSTITUTE(SUBSTITUTE($G1530,"-"," ",LEN($G1530)-LEN(SUBSTITUTE($G1530,"-",""))),"-"," ",LEN($G1530)-LEN(SUBSTITUTE($G1530,"-",""))-1),".","")))=0,SUBSTITUTE(SUBSTITUTE($G1530,"-"," ",LEN($G1530)-LEN(SUBSTITUTE($G1530,"-",""))),"-"," ",LEN($G1530)-LEN(SUBSTITUTE($G1530,"-",""))-1),SUBSTITUTE(SUBSTITUTE(SUBSTITUTE($G1530,"-"," ",LEN($G1530)-LEN(SUBSTITUTE($G1530,"-",""))),"-"," ",LEN($G1530)-LEN(SUBSTITUTE($G1530,"-",""))-1),"."," ",(LEN(SUBSTITUTE(SUBSTITUTE($G1530,"-"," ",LEN($G1530)-LEN(SUBSTITUTE($G1530,"-",""))),"-"," ",LEN($G1530)-LEN(SUBSTITUTE($G1530,"-",""))-1))-LEN(SUBSTITUTE(SUBSTITUTE(SUBSTITUTE($G1530,"-"," ",LEN($G1530)-LEN(SUBSTITUTE($G1530,"-",""))),"-"," ",LEN($G1530)-LEN(SUBSTITUTE($G1530,"-",""))-1),".",""))))),$G1530)))</f>
        <v/>
      </c>
    </row>
    <row r="1531">
      <c r="A1531" s="58" t="n"/>
      <c r="B1531" s="58">
        <f>IF($H1531="","",LEFT($H1531,FIND(" ",$H1531&amp;" ")-1))</f>
        <v/>
      </c>
      <c r="C1531" s="58">
        <f>IF($H1531="","",IFERROR(MID($H1531&amp;" ",FIND("|",SUBSTITUTE($H1531&amp;" "," ","|",1))+1,FIND("|",SUBSTITUTE($H1531&amp;" "," ","|",2))-FIND("|",SUBSTITUTE($H1531&amp;" "," ","|",1))-1),""))</f>
        <v/>
      </c>
      <c r="D1531" s="58">
        <f>IF($H1531="","",IFERROR(MID($H1531&amp;" ",FIND("|",SUBSTITUTE($H1531&amp;" "," ","|",2))+1,FIND("|",SUBSTITUTE($H1531&amp;" "," ","|",3))-FIND("|",SUBSTITUTE($H1531&amp;" "," ","|",2))-1),""))</f>
        <v/>
      </c>
      <c r="E1531" s="58">
        <f>IF($H1531="","",IFERROR(MID($H1531&amp;" ",FIND("|",SUBSTITUTE($H1531&amp;" "," ","|",3))+1,FIND("|",SUBSTITUTE($H1531&amp;" "," ","|",4))-FIND("|",SUBSTITUTE($H1531&amp;" "," ","|",3))-1),""))</f>
        <v/>
      </c>
      <c r="F1531" s="59">
        <f>IF($H1531="","",IFERROR(VALUE(IFERROR(MID($H1531&amp;" ",FIND("|",SUBSTITUTE($H1531&amp;" "," ","|",4))+1,FIND("|",SUBSTITUTE($H1531&amp;" "," ","|",5))-FIND("|",SUBSTITUTE($H1531&amp;" "," ","|",4))-1),""))/86400+25569+9/24,""))</f>
        <v/>
      </c>
      <c r="G1531" s="58">
        <f>TRIM(SUBSTITUTE(SUBSTITUTE(SUBSTITUTE($A1531,CHAR(9)," ")," "," "),CHAR(13),""))</f>
        <v/>
      </c>
      <c r="H1531" s="58">
        <f>IF($G1531="","",IF(ISNUMBER(FIND(" ",$G1531)),$G1531,IFERROR(IF((LEN(SUBSTITUTE(SUBSTITUTE($G1531,"-"," ",LEN($G1531)-LEN(SUBSTITUTE($G1531,"-",""))),"-"," ",LEN($G1531)-LEN(SUBSTITUTE($G1531,"-",""))-1))-LEN(SUBSTITUTE(SUBSTITUTE(SUBSTITUTE($G1531,"-"," ",LEN($G1531)-LEN(SUBSTITUTE($G1531,"-",""))),"-"," ",LEN($G1531)-LEN(SUBSTITUTE($G1531,"-",""))-1),".","")))=0,SUBSTITUTE(SUBSTITUTE($G1531,"-"," ",LEN($G1531)-LEN(SUBSTITUTE($G1531,"-",""))),"-"," ",LEN($G1531)-LEN(SUBSTITUTE($G1531,"-",""))-1),SUBSTITUTE(SUBSTITUTE(SUBSTITUTE($G1531,"-"," ",LEN($G1531)-LEN(SUBSTITUTE($G1531,"-",""))),"-"," ",LEN($G1531)-LEN(SUBSTITUTE($G1531,"-",""))-1),"."," ",(LEN(SUBSTITUTE(SUBSTITUTE($G1531,"-"," ",LEN($G1531)-LEN(SUBSTITUTE($G1531,"-",""))),"-"," ",LEN($G1531)-LEN(SUBSTITUTE($G1531,"-",""))-1))-LEN(SUBSTITUTE(SUBSTITUTE(SUBSTITUTE($G1531,"-"," ",LEN($G1531)-LEN(SUBSTITUTE($G1531,"-",""))),"-"," ",LEN($G1531)-LEN(SUBSTITUTE($G1531,"-",""))-1),".",""))))),$G1531)))</f>
        <v/>
      </c>
    </row>
    <row r="1532">
      <c r="A1532" s="58" t="n"/>
      <c r="B1532" s="58">
        <f>IF($H1532="","",LEFT($H1532,FIND(" ",$H1532&amp;" ")-1))</f>
        <v/>
      </c>
      <c r="C1532" s="58">
        <f>IF($H1532="","",IFERROR(MID($H1532&amp;" ",FIND("|",SUBSTITUTE($H1532&amp;" "," ","|",1))+1,FIND("|",SUBSTITUTE($H1532&amp;" "," ","|",2))-FIND("|",SUBSTITUTE($H1532&amp;" "," ","|",1))-1),""))</f>
        <v/>
      </c>
      <c r="D1532" s="58">
        <f>IF($H1532="","",IFERROR(MID($H1532&amp;" ",FIND("|",SUBSTITUTE($H1532&amp;" "," ","|",2))+1,FIND("|",SUBSTITUTE($H1532&amp;" "," ","|",3))-FIND("|",SUBSTITUTE($H1532&amp;" "," ","|",2))-1),""))</f>
        <v/>
      </c>
      <c r="E1532" s="58">
        <f>IF($H1532="","",IFERROR(MID($H1532&amp;" ",FIND("|",SUBSTITUTE($H1532&amp;" "," ","|",3))+1,FIND("|",SUBSTITUTE($H1532&amp;" "," ","|",4))-FIND("|",SUBSTITUTE($H1532&amp;" "," ","|",3))-1),""))</f>
        <v/>
      </c>
      <c r="F1532" s="59">
        <f>IF($H1532="","",IFERROR(VALUE(IFERROR(MID($H1532&amp;" ",FIND("|",SUBSTITUTE($H1532&amp;" "," ","|",4))+1,FIND("|",SUBSTITUTE($H1532&amp;" "," ","|",5))-FIND("|",SUBSTITUTE($H1532&amp;" "," ","|",4))-1),""))/86400+25569+9/24,""))</f>
        <v/>
      </c>
      <c r="G1532" s="58">
        <f>TRIM(SUBSTITUTE(SUBSTITUTE(SUBSTITUTE($A1532,CHAR(9)," ")," "," "),CHAR(13),""))</f>
        <v/>
      </c>
      <c r="H1532" s="58">
        <f>IF($G1532="","",IF(ISNUMBER(FIND(" ",$G1532)),$G1532,IFERROR(IF((LEN(SUBSTITUTE(SUBSTITUTE($G1532,"-"," ",LEN($G1532)-LEN(SUBSTITUTE($G1532,"-",""))),"-"," ",LEN($G1532)-LEN(SUBSTITUTE($G1532,"-",""))-1))-LEN(SUBSTITUTE(SUBSTITUTE(SUBSTITUTE($G1532,"-"," ",LEN($G1532)-LEN(SUBSTITUTE($G1532,"-",""))),"-"," ",LEN($G1532)-LEN(SUBSTITUTE($G1532,"-",""))-1),".","")))=0,SUBSTITUTE(SUBSTITUTE($G1532,"-"," ",LEN($G1532)-LEN(SUBSTITUTE($G1532,"-",""))),"-"," ",LEN($G1532)-LEN(SUBSTITUTE($G1532,"-",""))-1),SUBSTITUTE(SUBSTITUTE(SUBSTITUTE($G1532,"-"," ",LEN($G1532)-LEN(SUBSTITUTE($G1532,"-",""))),"-"," ",LEN($G1532)-LEN(SUBSTITUTE($G1532,"-",""))-1),"."," ",(LEN(SUBSTITUTE(SUBSTITUTE($G1532,"-"," ",LEN($G1532)-LEN(SUBSTITUTE($G1532,"-",""))),"-"," ",LEN($G1532)-LEN(SUBSTITUTE($G1532,"-",""))-1))-LEN(SUBSTITUTE(SUBSTITUTE(SUBSTITUTE($G1532,"-"," ",LEN($G1532)-LEN(SUBSTITUTE($G1532,"-",""))),"-"," ",LEN($G1532)-LEN(SUBSTITUTE($G1532,"-",""))-1),".",""))))),$G1532)))</f>
        <v/>
      </c>
    </row>
    <row r="1533">
      <c r="A1533" s="58" t="n"/>
      <c r="B1533" s="58">
        <f>IF($H1533="","",LEFT($H1533,FIND(" ",$H1533&amp;" ")-1))</f>
        <v/>
      </c>
      <c r="C1533" s="58">
        <f>IF($H1533="","",IFERROR(MID($H1533&amp;" ",FIND("|",SUBSTITUTE($H1533&amp;" "," ","|",1))+1,FIND("|",SUBSTITUTE($H1533&amp;" "," ","|",2))-FIND("|",SUBSTITUTE($H1533&amp;" "," ","|",1))-1),""))</f>
        <v/>
      </c>
      <c r="D1533" s="58">
        <f>IF($H1533="","",IFERROR(MID($H1533&amp;" ",FIND("|",SUBSTITUTE($H1533&amp;" "," ","|",2))+1,FIND("|",SUBSTITUTE($H1533&amp;" "," ","|",3))-FIND("|",SUBSTITUTE($H1533&amp;" "," ","|",2))-1),""))</f>
        <v/>
      </c>
      <c r="E1533" s="58">
        <f>IF($H1533="","",IFERROR(MID($H1533&amp;" ",FIND("|",SUBSTITUTE($H1533&amp;" "," ","|",3))+1,FIND("|",SUBSTITUTE($H1533&amp;" "," ","|",4))-FIND("|",SUBSTITUTE($H1533&amp;" "," ","|",3))-1),""))</f>
        <v/>
      </c>
      <c r="F1533" s="59">
        <f>IF($H1533="","",IFERROR(VALUE(IFERROR(MID($H1533&amp;" ",FIND("|",SUBSTITUTE($H1533&amp;" "," ","|",4))+1,FIND("|",SUBSTITUTE($H1533&amp;" "," ","|",5))-FIND("|",SUBSTITUTE($H1533&amp;" "," ","|",4))-1),""))/86400+25569+9/24,""))</f>
        <v/>
      </c>
      <c r="G1533" s="58">
        <f>TRIM(SUBSTITUTE(SUBSTITUTE(SUBSTITUTE($A1533,CHAR(9)," ")," "," "),CHAR(13),""))</f>
        <v/>
      </c>
      <c r="H1533" s="58">
        <f>IF($G1533="","",IF(ISNUMBER(FIND(" ",$G1533)),$G1533,IFERROR(IF((LEN(SUBSTITUTE(SUBSTITUTE($G1533,"-"," ",LEN($G1533)-LEN(SUBSTITUTE($G1533,"-",""))),"-"," ",LEN($G1533)-LEN(SUBSTITUTE($G1533,"-",""))-1))-LEN(SUBSTITUTE(SUBSTITUTE(SUBSTITUTE($G1533,"-"," ",LEN($G1533)-LEN(SUBSTITUTE($G1533,"-",""))),"-"," ",LEN($G1533)-LEN(SUBSTITUTE($G1533,"-",""))-1),".","")))=0,SUBSTITUTE(SUBSTITUTE($G1533,"-"," ",LEN($G1533)-LEN(SUBSTITUTE($G1533,"-",""))),"-"," ",LEN($G1533)-LEN(SUBSTITUTE($G1533,"-",""))-1),SUBSTITUTE(SUBSTITUTE(SUBSTITUTE($G1533,"-"," ",LEN($G1533)-LEN(SUBSTITUTE($G1533,"-",""))),"-"," ",LEN($G1533)-LEN(SUBSTITUTE($G1533,"-",""))-1),"."," ",(LEN(SUBSTITUTE(SUBSTITUTE($G1533,"-"," ",LEN($G1533)-LEN(SUBSTITUTE($G1533,"-",""))),"-"," ",LEN($G1533)-LEN(SUBSTITUTE($G1533,"-",""))-1))-LEN(SUBSTITUTE(SUBSTITUTE(SUBSTITUTE($G1533,"-"," ",LEN($G1533)-LEN(SUBSTITUTE($G1533,"-",""))),"-"," ",LEN($G1533)-LEN(SUBSTITUTE($G1533,"-",""))-1),".",""))))),$G1533)))</f>
        <v/>
      </c>
    </row>
    <row r="1534">
      <c r="A1534" s="58" t="n"/>
      <c r="B1534" s="58">
        <f>IF($H1534="","",LEFT($H1534,FIND(" ",$H1534&amp;" ")-1))</f>
        <v/>
      </c>
      <c r="C1534" s="58">
        <f>IF($H1534="","",IFERROR(MID($H1534&amp;" ",FIND("|",SUBSTITUTE($H1534&amp;" "," ","|",1))+1,FIND("|",SUBSTITUTE($H1534&amp;" "," ","|",2))-FIND("|",SUBSTITUTE($H1534&amp;" "," ","|",1))-1),""))</f>
        <v/>
      </c>
      <c r="D1534" s="58">
        <f>IF($H1534="","",IFERROR(MID($H1534&amp;" ",FIND("|",SUBSTITUTE($H1534&amp;" "," ","|",2))+1,FIND("|",SUBSTITUTE($H1534&amp;" "," ","|",3))-FIND("|",SUBSTITUTE($H1534&amp;" "," ","|",2))-1),""))</f>
        <v/>
      </c>
      <c r="E1534" s="58">
        <f>IF($H1534="","",IFERROR(MID($H1534&amp;" ",FIND("|",SUBSTITUTE($H1534&amp;" "," ","|",3))+1,FIND("|",SUBSTITUTE($H1534&amp;" "," ","|",4))-FIND("|",SUBSTITUTE($H1534&amp;" "," ","|",3))-1),""))</f>
        <v/>
      </c>
      <c r="F1534" s="59">
        <f>IF($H1534="","",IFERROR(VALUE(IFERROR(MID($H1534&amp;" ",FIND("|",SUBSTITUTE($H1534&amp;" "," ","|",4))+1,FIND("|",SUBSTITUTE($H1534&amp;" "," ","|",5))-FIND("|",SUBSTITUTE($H1534&amp;" "," ","|",4))-1),""))/86400+25569+9/24,""))</f>
        <v/>
      </c>
      <c r="G1534" s="58">
        <f>TRIM(SUBSTITUTE(SUBSTITUTE(SUBSTITUTE($A1534,CHAR(9)," ")," "," "),CHAR(13),""))</f>
        <v/>
      </c>
      <c r="H1534" s="58">
        <f>IF($G1534="","",IF(ISNUMBER(FIND(" ",$G1534)),$G1534,IFERROR(IF((LEN(SUBSTITUTE(SUBSTITUTE($G1534,"-"," ",LEN($G1534)-LEN(SUBSTITUTE($G1534,"-",""))),"-"," ",LEN($G1534)-LEN(SUBSTITUTE($G1534,"-",""))-1))-LEN(SUBSTITUTE(SUBSTITUTE(SUBSTITUTE($G1534,"-"," ",LEN($G1534)-LEN(SUBSTITUTE($G1534,"-",""))),"-"," ",LEN($G1534)-LEN(SUBSTITUTE($G1534,"-",""))-1),".","")))=0,SUBSTITUTE(SUBSTITUTE($G1534,"-"," ",LEN($G1534)-LEN(SUBSTITUTE($G1534,"-",""))),"-"," ",LEN($G1534)-LEN(SUBSTITUTE($G1534,"-",""))-1),SUBSTITUTE(SUBSTITUTE(SUBSTITUTE($G1534,"-"," ",LEN($G1534)-LEN(SUBSTITUTE($G1534,"-",""))),"-"," ",LEN($G1534)-LEN(SUBSTITUTE($G1534,"-",""))-1),"."," ",(LEN(SUBSTITUTE(SUBSTITUTE($G1534,"-"," ",LEN($G1534)-LEN(SUBSTITUTE($G1534,"-",""))),"-"," ",LEN($G1534)-LEN(SUBSTITUTE($G1534,"-",""))-1))-LEN(SUBSTITUTE(SUBSTITUTE(SUBSTITUTE($G1534,"-"," ",LEN($G1534)-LEN(SUBSTITUTE($G1534,"-",""))),"-"," ",LEN($G1534)-LEN(SUBSTITUTE($G1534,"-",""))-1),".",""))))),$G1534)))</f>
        <v/>
      </c>
    </row>
    <row r="1535">
      <c r="A1535" s="58" t="n"/>
      <c r="B1535" s="58">
        <f>IF($H1535="","",LEFT($H1535,FIND(" ",$H1535&amp;" ")-1))</f>
        <v/>
      </c>
      <c r="C1535" s="58">
        <f>IF($H1535="","",IFERROR(MID($H1535&amp;" ",FIND("|",SUBSTITUTE($H1535&amp;" "," ","|",1))+1,FIND("|",SUBSTITUTE($H1535&amp;" "," ","|",2))-FIND("|",SUBSTITUTE($H1535&amp;" "," ","|",1))-1),""))</f>
        <v/>
      </c>
      <c r="D1535" s="58">
        <f>IF($H1535="","",IFERROR(MID($H1535&amp;" ",FIND("|",SUBSTITUTE($H1535&amp;" "," ","|",2))+1,FIND("|",SUBSTITUTE($H1535&amp;" "," ","|",3))-FIND("|",SUBSTITUTE($H1535&amp;" "," ","|",2))-1),""))</f>
        <v/>
      </c>
      <c r="E1535" s="58">
        <f>IF($H1535="","",IFERROR(MID($H1535&amp;" ",FIND("|",SUBSTITUTE($H1535&amp;" "," ","|",3))+1,FIND("|",SUBSTITUTE($H1535&amp;" "," ","|",4))-FIND("|",SUBSTITUTE($H1535&amp;" "," ","|",3))-1),""))</f>
        <v/>
      </c>
      <c r="F1535" s="59">
        <f>IF($H1535="","",IFERROR(VALUE(IFERROR(MID($H1535&amp;" ",FIND("|",SUBSTITUTE($H1535&amp;" "," ","|",4))+1,FIND("|",SUBSTITUTE($H1535&amp;" "," ","|",5))-FIND("|",SUBSTITUTE($H1535&amp;" "," ","|",4))-1),""))/86400+25569+9/24,""))</f>
        <v/>
      </c>
      <c r="G1535" s="58">
        <f>TRIM(SUBSTITUTE(SUBSTITUTE(SUBSTITUTE($A1535,CHAR(9)," ")," "," "),CHAR(13),""))</f>
        <v/>
      </c>
      <c r="H1535" s="58">
        <f>IF($G1535="","",IF(ISNUMBER(FIND(" ",$G1535)),$G1535,IFERROR(IF((LEN(SUBSTITUTE(SUBSTITUTE($G1535,"-"," ",LEN($G1535)-LEN(SUBSTITUTE($G1535,"-",""))),"-"," ",LEN($G1535)-LEN(SUBSTITUTE($G1535,"-",""))-1))-LEN(SUBSTITUTE(SUBSTITUTE(SUBSTITUTE($G1535,"-"," ",LEN($G1535)-LEN(SUBSTITUTE($G1535,"-",""))),"-"," ",LEN($G1535)-LEN(SUBSTITUTE($G1535,"-",""))-1),".","")))=0,SUBSTITUTE(SUBSTITUTE($G1535,"-"," ",LEN($G1535)-LEN(SUBSTITUTE($G1535,"-",""))),"-"," ",LEN($G1535)-LEN(SUBSTITUTE($G1535,"-",""))-1),SUBSTITUTE(SUBSTITUTE(SUBSTITUTE($G1535,"-"," ",LEN($G1535)-LEN(SUBSTITUTE($G1535,"-",""))),"-"," ",LEN($G1535)-LEN(SUBSTITUTE($G1535,"-",""))-1),"."," ",(LEN(SUBSTITUTE(SUBSTITUTE($G1535,"-"," ",LEN($G1535)-LEN(SUBSTITUTE($G1535,"-",""))),"-"," ",LEN($G1535)-LEN(SUBSTITUTE($G1535,"-",""))-1))-LEN(SUBSTITUTE(SUBSTITUTE(SUBSTITUTE($G1535,"-"," ",LEN($G1535)-LEN(SUBSTITUTE($G1535,"-",""))),"-"," ",LEN($G1535)-LEN(SUBSTITUTE($G1535,"-",""))-1),".",""))))),$G1535)))</f>
        <v/>
      </c>
    </row>
    <row r="1536">
      <c r="A1536" s="58" t="n"/>
      <c r="B1536" s="58">
        <f>IF($H1536="","",LEFT($H1536,FIND(" ",$H1536&amp;" ")-1))</f>
        <v/>
      </c>
      <c r="C1536" s="58">
        <f>IF($H1536="","",IFERROR(MID($H1536&amp;" ",FIND("|",SUBSTITUTE($H1536&amp;" "," ","|",1))+1,FIND("|",SUBSTITUTE($H1536&amp;" "," ","|",2))-FIND("|",SUBSTITUTE($H1536&amp;" "," ","|",1))-1),""))</f>
        <v/>
      </c>
      <c r="D1536" s="58">
        <f>IF($H1536="","",IFERROR(MID($H1536&amp;" ",FIND("|",SUBSTITUTE($H1536&amp;" "," ","|",2))+1,FIND("|",SUBSTITUTE($H1536&amp;" "," ","|",3))-FIND("|",SUBSTITUTE($H1536&amp;" "," ","|",2))-1),""))</f>
        <v/>
      </c>
      <c r="E1536" s="58">
        <f>IF($H1536="","",IFERROR(MID($H1536&amp;" ",FIND("|",SUBSTITUTE($H1536&amp;" "," ","|",3))+1,FIND("|",SUBSTITUTE($H1536&amp;" "," ","|",4))-FIND("|",SUBSTITUTE($H1536&amp;" "," ","|",3))-1),""))</f>
        <v/>
      </c>
      <c r="F1536" s="59">
        <f>IF($H1536="","",IFERROR(VALUE(IFERROR(MID($H1536&amp;" ",FIND("|",SUBSTITUTE($H1536&amp;" "," ","|",4))+1,FIND("|",SUBSTITUTE($H1536&amp;" "," ","|",5))-FIND("|",SUBSTITUTE($H1536&amp;" "," ","|",4))-1),""))/86400+25569+9/24,""))</f>
        <v/>
      </c>
      <c r="G1536" s="58">
        <f>TRIM(SUBSTITUTE(SUBSTITUTE(SUBSTITUTE($A1536,CHAR(9)," ")," "," "),CHAR(13),""))</f>
        <v/>
      </c>
      <c r="H1536" s="58">
        <f>IF($G1536="","",IF(ISNUMBER(FIND(" ",$G1536)),$G1536,IFERROR(IF((LEN(SUBSTITUTE(SUBSTITUTE($G1536,"-"," ",LEN($G1536)-LEN(SUBSTITUTE($G1536,"-",""))),"-"," ",LEN($G1536)-LEN(SUBSTITUTE($G1536,"-",""))-1))-LEN(SUBSTITUTE(SUBSTITUTE(SUBSTITUTE($G1536,"-"," ",LEN($G1536)-LEN(SUBSTITUTE($G1536,"-",""))),"-"," ",LEN($G1536)-LEN(SUBSTITUTE($G1536,"-",""))-1),".","")))=0,SUBSTITUTE(SUBSTITUTE($G1536,"-"," ",LEN($G1536)-LEN(SUBSTITUTE($G1536,"-",""))),"-"," ",LEN($G1536)-LEN(SUBSTITUTE($G1536,"-",""))-1),SUBSTITUTE(SUBSTITUTE(SUBSTITUTE($G1536,"-"," ",LEN($G1536)-LEN(SUBSTITUTE($G1536,"-",""))),"-"," ",LEN($G1536)-LEN(SUBSTITUTE($G1536,"-",""))-1),"."," ",(LEN(SUBSTITUTE(SUBSTITUTE($G1536,"-"," ",LEN($G1536)-LEN(SUBSTITUTE($G1536,"-",""))),"-"," ",LEN($G1536)-LEN(SUBSTITUTE($G1536,"-",""))-1))-LEN(SUBSTITUTE(SUBSTITUTE(SUBSTITUTE($G1536,"-"," ",LEN($G1536)-LEN(SUBSTITUTE($G1536,"-",""))),"-"," ",LEN($G1536)-LEN(SUBSTITUTE($G1536,"-",""))-1),".",""))))),$G1536)))</f>
        <v/>
      </c>
    </row>
    <row r="1537">
      <c r="A1537" s="58" t="n"/>
      <c r="B1537" s="58">
        <f>IF($H1537="","",LEFT($H1537,FIND(" ",$H1537&amp;" ")-1))</f>
        <v/>
      </c>
      <c r="C1537" s="58">
        <f>IF($H1537="","",IFERROR(MID($H1537&amp;" ",FIND("|",SUBSTITUTE($H1537&amp;" "," ","|",1))+1,FIND("|",SUBSTITUTE($H1537&amp;" "," ","|",2))-FIND("|",SUBSTITUTE($H1537&amp;" "," ","|",1))-1),""))</f>
        <v/>
      </c>
      <c r="D1537" s="58">
        <f>IF($H1537="","",IFERROR(MID($H1537&amp;" ",FIND("|",SUBSTITUTE($H1537&amp;" "," ","|",2))+1,FIND("|",SUBSTITUTE($H1537&amp;" "," ","|",3))-FIND("|",SUBSTITUTE($H1537&amp;" "," ","|",2))-1),""))</f>
        <v/>
      </c>
      <c r="E1537" s="58">
        <f>IF($H1537="","",IFERROR(MID($H1537&amp;" ",FIND("|",SUBSTITUTE($H1537&amp;" "," ","|",3))+1,FIND("|",SUBSTITUTE($H1537&amp;" "," ","|",4))-FIND("|",SUBSTITUTE($H1537&amp;" "," ","|",3))-1),""))</f>
        <v/>
      </c>
      <c r="F1537" s="59">
        <f>IF($H1537="","",IFERROR(VALUE(IFERROR(MID($H1537&amp;" ",FIND("|",SUBSTITUTE($H1537&amp;" "," ","|",4))+1,FIND("|",SUBSTITUTE($H1537&amp;" "," ","|",5))-FIND("|",SUBSTITUTE($H1537&amp;" "," ","|",4))-1),""))/86400+25569+9/24,""))</f>
        <v/>
      </c>
      <c r="G1537" s="58">
        <f>TRIM(SUBSTITUTE(SUBSTITUTE(SUBSTITUTE($A1537,CHAR(9)," ")," "," "),CHAR(13),""))</f>
        <v/>
      </c>
      <c r="H1537" s="58">
        <f>IF($G1537="","",IF(ISNUMBER(FIND(" ",$G1537)),$G1537,IFERROR(IF((LEN(SUBSTITUTE(SUBSTITUTE($G1537,"-"," ",LEN($G1537)-LEN(SUBSTITUTE($G1537,"-",""))),"-"," ",LEN($G1537)-LEN(SUBSTITUTE($G1537,"-",""))-1))-LEN(SUBSTITUTE(SUBSTITUTE(SUBSTITUTE($G1537,"-"," ",LEN($G1537)-LEN(SUBSTITUTE($G1537,"-",""))),"-"," ",LEN($G1537)-LEN(SUBSTITUTE($G1537,"-",""))-1),".","")))=0,SUBSTITUTE(SUBSTITUTE($G1537,"-"," ",LEN($G1537)-LEN(SUBSTITUTE($G1537,"-",""))),"-"," ",LEN($G1537)-LEN(SUBSTITUTE($G1537,"-",""))-1),SUBSTITUTE(SUBSTITUTE(SUBSTITUTE($G1537,"-"," ",LEN($G1537)-LEN(SUBSTITUTE($G1537,"-",""))),"-"," ",LEN($G1537)-LEN(SUBSTITUTE($G1537,"-",""))-1),"."," ",(LEN(SUBSTITUTE(SUBSTITUTE($G1537,"-"," ",LEN($G1537)-LEN(SUBSTITUTE($G1537,"-",""))),"-"," ",LEN($G1537)-LEN(SUBSTITUTE($G1537,"-",""))-1))-LEN(SUBSTITUTE(SUBSTITUTE(SUBSTITUTE($G1537,"-"," ",LEN($G1537)-LEN(SUBSTITUTE($G1537,"-",""))),"-"," ",LEN($G1537)-LEN(SUBSTITUTE($G1537,"-",""))-1),".",""))))),$G1537)))</f>
        <v/>
      </c>
    </row>
    <row r="1538">
      <c r="A1538" s="58" t="n"/>
      <c r="B1538" s="58">
        <f>IF($H1538="","",LEFT($H1538,FIND(" ",$H1538&amp;" ")-1))</f>
        <v/>
      </c>
      <c r="C1538" s="58">
        <f>IF($H1538="","",IFERROR(MID($H1538&amp;" ",FIND("|",SUBSTITUTE($H1538&amp;" "," ","|",1))+1,FIND("|",SUBSTITUTE($H1538&amp;" "," ","|",2))-FIND("|",SUBSTITUTE($H1538&amp;" "," ","|",1))-1),""))</f>
        <v/>
      </c>
      <c r="D1538" s="58">
        <f>IF($H1538="","",IFERROR(MID($H1538&amp;" ",FIND("|",SUBSTITUTE($H1538&amp;" "," ","|",2))+1,FIND("|",SUBSTITUTE($H1538&amp;" "," ","|",3))-FIND("|",SUBSTITUTE($H1538&amp;" "," ","|",2))-1),""))</f>
        <v/>
      </c>
      <c r="E1538" s="58">
        <f>IF($H1538="","",IFERROR(MID($H1538&amp;" ",FIND("|",SUBSTITUTE($H1538&amp;" "," ","|",3))+1,FIND("|",SUBSTITUTE($H1538&amp;" "," ","|",4))-FIND("|",SUBSTITUTE($H1538&amp;" "," ","|",3))-1),""))</f>
        <v/>
      </c>
      <c r="F1538" s="59">
        <f>IF($H1538="","",IFERROR(VALUE(IFERROR(MID($H1538&amp;" ",FIND("|",SUBSTITUTE($H1538&amp;" "," ","|",4))+1,FIND("|",SUBSTITUTE($H1538&amp;" "," ","|",5))-FIND("|",SUBSTITUTE($H1538&amp;" "," ","|",4))-1),""))/86400+25569+9/24,""))</f>
        <v/>
      </c>
      <c r="G1538" s="58">
        <f>TRIM(SUBSTITUTE(SUBSTITUTE(SUBSTITUTE($A1538,CHAR(9)," ")," "," "),CHAR(13),""))</f>
        <v/>
      </c>
      <c r="H1538" s="58">
        <f>IF($G1538="","",IF(ISNUMBER(FIND(" ",$G1538)),$G1538,IFERROR(IF((LEN(SUBSTITUTE(SUBSTITUTE($G1538,"-"," ",LEN($G1538)-LEN(SUBSTITUTE($G1538,"-",""))),"-"," ",LEN($G1538)-LEN(SUBSTITUTE($G1538,"-",""))-1))-LEN(SUBSTITUTE(SUBSTITUTE(SUBSTITUTE($G1538,"-"," ",LEN($G1538)-LEN(SUBSTITUTE($G1538,"-",""))),"-"," ",LEN($G1538)-LEN(SUBSTITUTE($G1538,"-",""))-1),".","")))=0,SUBSTITUTE(SUBSTITUTE($G1538,"-"," ",LEN($G1538)-LEN(SUBSTITUTE($G1538,"-",""))),"-"," ",LEN($G1538)-LEN(SUBSTITUTE($G1538,"-",""))-1),SUBSTITUTE(SUBSTITUTE(SUBSTITUTE($G1538,"-"," ",LEN($G1538)-LEN(SUBSTITUTE($G1538,"-",""))),"-"," ",LEN($G1538)-LEN(SUBSTITUTE($G1538,"-",""))-1),"."," ",(LEN(SUBSTITUTE(SUBSTITUTE($G1538,"-"," ",LEN($G1538)-LEN(SUBSTITUTE($G1538,"-",""))),"-"," ",LEN($G1538)-LEN(SUBSTITUTE($G1538,"-",""))-1))-LEN(SUBSTITUTE(SUBSTITUTE(SUBSTITUTE($G1538,"-"," ",LEN($G1538)-LEN(SUBSTITUTE($G1538,"-",""))),"-"," ",LEN($G1538)-LEN(SUBSTITUTE($G1538,"-",""))-1),".",""))))),$G1538)))</f>
        <v/>
      </c>
    </row>
    <row r="1539">
      <c r="A1539" s="58" t="n"/>
      <c r="B1539" s="58">
        <f>IF($H1539="","",LEFT($H1539,FIND(" ",$H1539&amp;" ")-1))</f>
        <v/>
      </c>
      <c r="C1539" s="58">
        <f>IF($H1539="","",IFERROR(MID($H1539&amp;" ",FIND("|",SUBSTITUTE($H1539&amp;" "," ","|",1))+1,FIND("|",SUBSTITUTE($H1539&amp;" "," ","|",2))-FIND("|",SUBSTITUTE($H1539&amp;" "," ","|",1))-1),""))</f>
        <v/>
      </c>
      <c r="D1539" s="58">
        <f>IF($H1539="","",IFERROR(MID($H1539&amp;" ",FIND("|",SUBSTITUTE($H1539&amp;" "," ","|",2))+1,FIND("|",SUBSTITUTE($H1539&amp;" "," ","|",3))-FIND("|",SUBSTITUTE($H1539&amp;" "," ","|",2))-1),""))</f>
        <v/>
      </c>
      <c r="E1539" s="58">
        <f>IF($H1539="","",IFERROR(MID($H1539&amp;" ",FIND("|",SUBSTITUTE($H1539&amp;" "," ","|",3))+1,FIND("|",SUBSTITUTE($H1539&amp;" "," ","|",4))-FIND("|",SUBSTITUTE($H1539&amp;" "," ","|",3))-1),""))</f>
        <v/>
      </c>
      <c r="F1539" s="59">
        <f>IF($H1539="","",IFERROR(VALUE(IFERROR(MID($H1539&amp;" ",FIND("|",SUBSTITUTE($H1539&amp;" "," ","|",4))+1,FIND("|",SUBSTITUTE($H1539&amp;" "," ","|",5))-FIND("|",SUBSTITUTE($H1539&amp;" "," ","|",4))-1),""))/86400+25569+9/24,""))</f>
        <v/>
      </c>
      <c r="G1539" s="58">
        <f>TRIM(SUBSTITUTE(SUBSTITUTE(SUBSTITUTE($A1539,CHAR(9)," ")," "," "),CHAR(13),""))</f>
        <v/>
      </c>
      <c r="H1539" s="58">
        <f>IF($G1539="","",IF(ISNUMBER(FIND(" ",$G1539)),$G1539,IFERROR(IF((LEN(SUBSTITUTE(SUBSTITUTE($G1539,"-"," ",LEN($G1539)-LEN(SUBSTITUTE($G1539,"-",""))),"-"," ",LEN($G1539)-LEN(SUBSTITUTE($G1539,"-",""))-1))-LEN(SUBSTITUTE(SUBSTITUTE(SUBSTITUTE($G1539,"-"," ",LEN($G1539)-LEN(SUBSTITUTE($G1539,"-",""))),"-"," ",LEN($G1539)-LEN(SUBSTITUTE($G1539,"-",""))-1),".","")))=0,SUBSTITUTE(SUBSTITUTE($G1539,"-"," ",LEN($G1539)-LEN(SUBSTITUTE($G1539,"-",""))),"-"," ",LEN($G1539)-LEN(SUBSTITUTE($G1539,"-",""))-1),SUBSTITUTE(SUBSTITUTE(SUBSTITUTE($G1539,"-"," ",LEN($G1539)-LEN(SUBSTITUTE($G1539,"-",""))),"-"," ",LEN($G1539)-LEN(SUBSTITUTE($G1539,"-",""))-1),"."," ",(LEN(SUBSTITUTE(SUBSTITUTE($G1539,"-"," ",LEN($G1539)-LEN(SUBSTITUTE($G1539,"-",""))),"-"," ",LEN($G1539)-LEN(SUBSTITUTE($G1539,"-",""))-1))-LEN(SUBSTITUTE(SUBSTITUTE(SUBSTITUTE($G1539,"-"," ",LEN($G1539)-LEN(SUBSTITUTE($G1539,"-",""))),"-"," ",LEN($G1539)-LEN(SUBSTITUTE($G1539,"-",""))-1),".",""))))),$G1539)))</f>
        <v/>
      </c>
    </row>
    <row r="1540">
      <c r="A1540" s="58" t="n"/>
      <c r="B1540" s="58">
        <f>IF($H1540="","",LEFT($H1540,FIND(" ",$H1540&amp;" ")-1))</f>
        <v/>
      </c>
      <c r="C1540" s="58">
        <f>IF($H1540="","",IFERROR(MID($H1540&amp;" ",FIND("|",SUBSTITUTE($H1540&amp;" "," ","|",1))+1,FIND("|",SUBSTITUTE($H1540&amp;" "," ","|",2))-FIND("|",SUBSTITUTE($H1540&amp;" "," ","|",1))-1),""))</f>
        <v/>
      </c>
      <c r="D1540" s="58">
        <f>IF($H1540="","",IFERROR(MID($H1540&amp;" ",FIND("|",SUBSTITUTE($H1540&amp;" "," ","|",2))+1,FIND("|",SUBSTITUTE($H1540&amp;" "," ","|",3))-FIND("|",SUBSTITUTE($H1540&amp;" "," ","|",2))-1),""))</f>
        <v/>
      </c>
      <c r="E1540" s="58">
        <f>IF($H1540="","",IFERROR(MID($H1540&amp;" ",FIND("|",SUBSTITUTE($H1540&amp;" "," ","|",3))+1,FIND("|",SUBSTITUTE($H1540&amp;" "," ","|",4))-FIND("|",SUBSTITUTE($H1540&amp;" "," ","|",3))-1),""))</f>
        <v/>
      </c>
      <c r="F1540" s="59">
        <f>IF($H1540="","",IFERROR(VALUE(IFERROR(MID($H1540&amp;" ",FIND("|",SUBSTITUTE($H1540&amp;" "," ","|",4))+1,FIND("|",SUBSTITUTE($H1540&amp;" "," ","|",5))-FIND("|",SUBSTITUTE($H1540&amp;" "," ","|",4))-1),""))/86400+25569+9/24,""))</f>
        <v/>
      </c>
      <c r="G1540" s="58">
        <f>TRIM(SUBSTITUTE(SUBSTITUTE(SUBSTITUTE($A1540,CHAR(9)," ")," "," "),CHAR(13),""))</f>
        <v/>
      </c>
      <c r="H1540" s="58">
        <f>IF($G1540="","",IF(ISNUMBER(FIND(" ",$G1540)),$G1540,IFERROR(IF((LEN(SUBSTITUTE(SUBSTITUTE($G1540,"-"," ",LEN($G1540)-LEN(SUBSTITUTE($G1540,"-",""))),"-"," ",LEN($G1540)-LEN(SUBSTITUTE($G1540,"-",""))-1))-LEN(SUBSTITUTE(SUBSTITUTE(SUBSTITUTE($G1540,"-"," ",LEN($G1540)-LEN(SUBSTITUTE($G1540,"-",""))),"-"," ",LEN($G1540)-LEN(SUBSTITUTE($G1540,"-",""))-1),".","")))=0,SUBSTITUTE(SUBSTITUTE($G1540,"-"," ",LEN($G1540)-LEN(SUBSTITUTE($G1540,"-",""))),"-"," ",LEN($G1540)-LEN(SUBSTITUTE($G1540,"-",""))-1),SUBSTITUTE(SUBSTITUTE(SUBSTITUTE($G1540,"-"," ",LEN($G1540)-LEN(SUBSTITUTE($G1540,"-",""))),"-"," ",LEN($G1540)-LEN(SUBSTITUTE($G1540,"-",""))-1),"."," ",(LEN(SUBSTITUTE(SUBSTITUTE($G1540,"-"," ",LEN($G1540)-LEN(SUBSTITUTE($G1540,"-",""))),"-"," ",LEN($G1540)-LEN(SUBSTITUTE($G1540,"-",""))-1))-LEN(SUBSTITUTE(SUBSTITUTE(SUBSTITUTE($G1540,"-"," ",LEN($G1540)-LEN(SUBSTITUTE($G1540,"-",""))),"-"," ",LEN($G1540)-LEN(SUBSTITUTE($G1540,"-",""))-1),".",""))))),$G1540)))</f>
        <v/>
      </c>
    </row>
    <row r="1541">
      <c r="A1541" s="58" t="n"/>
      <c r="B1541" s="58">
        <f>IF($H1541="","",LEFT($H1541,FIND(" ",$H1541&amp;" ")-1))</f>
        <v/>
      </c>
      <c r="C1541" s="58">
        <f>IF($H1541="","",IFERROR(MID($H1541&amp;" ",FIND("|",SUBSTITUTE($H1541&amp;" "," ","|",1))+1,FIND("|",SUBSTITUTE($H1541&amp;" "," ","|",2))-FIND("|",SUBSTITUTE($H1541&amp;" "," ","|",1))-1),""))</f>
        <v/>
      </c>
      <c r="D1541" s="58">
        <f>IF($H1541="","",IFERROR(MID($H1541&amp;" ",FIND("|",SUBSTITUTE($H1541&amp;" "," ","|",2))+1,FIND("|",SUBSTITUTE($H1541&amp;" "," ","|",3))-FIND("|",SUBSTITUTE($H1541&amp;" "," ","|",2))-1),""))</f>
        <v/>
      </c>
      <c r="E1541" s="58">
        <f>IF($H1541="","",IFERROR(MID($H1541&amp;" ",FIND("|",SUBSTITUTE($H1541&amp;" "," ","|",3))+1,FIND("|",SUBSTITUTE($H1541&amp;" "," ","|",4))-FIND("|",SUBSTITUTE($H1541&amp;" "," ","|",3))-1),""))</f>
        <v/>
      </c>
      <c r="F1541" s="59">
        <f>IF($H1541="","",IFERROR(VALUE(IFERROR(MID($H1541&amp;" ",FIND("|",SUBSTITUTE($H1541&amp;" "," ","|",4))+1,FIND("|",SUBSTITUTE($H1541&amp;" "," ","|",5))-FIND("|",SUBSTITUTE($H1541&amp;" "," ","|",4))-1),""))/86400+25569+9/24,""))</f>
        <v/>
      </c>
      <c r="G1541" s="58">
        <f>TRIM(SUBSTITUTE(SUBSTITUTE(SUBSTITUTE($A1541,CHAR(9)," ")," "," "),CHAR(13),""))</f>
        <v/>
      </c>
      <c r="H1541" s="58">
        <f>IF($G1541="","",IF(ISNUMBER(FIND(" ",$G1541)),$G1541,IFERROR(IF((LEN(SUBSTITUTE(SUBSTITUTE($G1541,"-"," ",LEN($G1541)-LEN(SUBSTITUTE($G1541,"-",""))),"-"," ",LEN($G1541)-LEN(SUBSTITUTE($G1541,"-",""))-1))-LEN(SUBSTITUTE(SUBSTITUTE(SUBSTITUTE($G1541,"-"," ",LEN($G1541)-LEN(SUBSTITUTE($G1541,"-",""))),"-"," ",LEN($G1541)-LEN(SUBSTITUTE($G1541,"-",""))-1),".","")))=0,SUBSTITUTE(SUBSTITUTE($G1541,"-"," ",LEN($G1541)-LEN(SUBSTITUTE($G1541,"-",""))),"-"," ",LEN($G1541)-LEN(SUBSTITUTE($G1541,"-",""))-1),SUBSTITUTE(SUBSTITUTE(SUBSTITUTE($G1541,"-"," ",LEN($G1541)-LEN(SUBSTITUTE($G1541,"-",""))),"-"," ",LEN($G1541)-LEN(SUBSTITUTE($G1541,"-",""))-1),"."," ",(LEN(SUBSTITUTE(SUBSTITUTE($G1541,"-"," ",LEN($G1541)-LEN(SUBSTITUTE($G1541,"-",""))),"-"," ",LEN($G1541)-LEN(SUBSTITUTE($G1541,"-",""))-1))-LEN(SUBSTITUTE(SUBSTITUTE(SUBSTITUTE($G1541,"-"," ",LEN($G1541)-LEN(SUBSTITUTE($G1541,"-",""))),"-"," ",LEN($G1541)-LEN(SUBSTITUTE($G1541,"-",""))-1),".",""))))),$G1541)))</f>
        <v/>
      </c>
    </row>
    <row r="1542">
      <c r="A1542" s="58" t="n"/>
      <c r="B1542" s="58">
        <f>IF($H1542="","",LEFT($H1542,FIND(" ",$H1542&amp;" ")-1))</f>
        <v/>
      </c>
      <c r="C1542" s="58">
        <f>IF($H1542="","",IFERROR(MID($H1542&amp;" ",FIND("|",SUBSTITUTE($H1542&amp;" "," ","|",1))+1,FIND("|",SUBSTITUTE($H1542&amp;" "," ","|",2))-FIND("|",SUBSTITUTE($H1542&amp;" "," ","|",1))-1),""))</f>
        <v/>
      </c>
      <c r="D1542" s="58">
        <f>IF($H1542="","",IFERROR(MID($H1542&amp;" ",FIND("|",SUBSTITUTE($H1542&amp;" "," ","|",2))+1,FIND("|",SUBSTITUTE($H1542&amp;" "," ","|",3))-FIND("|",SUBSTITUTE($H1542&amp;" "," ","|",2))-1),""))</f>
        <v/>
      </c>
      <c r="E1542" s="58">
        <f>IF($H1542="","",IFERROR(MID($H1542&amp;" ",FIND("|",SUBSTITUTE($H1542&amp;" "," ","|",3))+1,FIND("|",SUBSTITUTE($H1542&amp;" "," ","|",4))-FIND("|",SUBSTITUTE($H1542&amp;" "," ","|",3))-1),""))</f>
        <v/>
      </c>
      <c r="F1542" s="59">
        <f>IF($H1542="","",IFERROR(VALUE(IFERROR(MID($H1542&amp;" ",FIND("|",SUBSTITUTE($H1542&amp;" "," ","|",4))+1,FIND("|",SUBSTITUTE($H1542&amp;" "," ","|",5))-FIND("|",SUBSTITUTE($H1542&amp;" "," ","|",4))-1),""))/86400+25569+9/24,""))</f>
        <v/>
      </c>
      <c r="G1542" s="58">
        <f>TRIM(SUBSTITUTE(SUBSTITUTE(SUBSTITUTE($A1542,CHAR(9)," ")," "," "),CHAR(13),""))</f>
        <v/>
      </c>
      <c r="H1542" s="58">
        <f>IF($G1542="","",IF(ISNUMBER(FIND(" ",$G1542)),$G1542,IFERROR(IF((LEN(SUBSTITUTE(SUBSTITUTE($G1542,"-"," ",LEN($G1542)-LEN(SUBSTITUTE($G1542,"-",""))),"-"," ",LEN($G1542)-LEN(SUBSTITUTE($G1542,"-",""))-1))-LEN(SUBSTITUTE(SUBSTITUTE(SUBSTITUTE($G1542,"-"," ",LEN($G1542)-LEN(SUBSTITUTE($G1542,"-",""))),"-"," ",LEN($G1542)-LEN(SUBSTITUTE($G1542,"-",""))-1),".","")))=0,SUBSTITUTE(SUBSTITUTE($G1542,"-"," ",LEN($G1542)-LEN(SUBSTITUTE($G1542,"-",""))),"-"," ",LEN($G1542)-LEN(SUBSTITUTE($G1542,"-",""))-1),SUBSTITUTE(SUBSTITUTE(SUBSTITUTE($G1542,"-"," ",LEN($G1542)-LEN(SUBSTITUTE($G1542,"-",""))),"-"," ",LEN($G1542)-LEN(SUBSTITUTE($G1542,"-",""))-1),"."," ",(LEN(SUBSTITUTE(SUBSTITUTE($G1542,"-"," ",LEN($G1542)-LEN(SUBSTITUTE($G1542,"-",""))),"-"," ",LEN($G1542)-LEN(SUBSTITUTE($G1542,"-",""))-1))-LEN(SUBSTITUTE(SUBSTITUTE(SUBSTITUTE($G1542,"-"," ",LEN($G1542)-LEN(SUBSTITUTE($G1542,"-",""))),"-"," ",LEN($G1542)-LEN(SUBSTITUTE($G1542,"-",""))-1),".",""))))),$G1542)))</f>
        <v/>
      </c>
    </row>
    <row r="1543">
      <c r="A1543" s="58" t="n"/>
      <c r="B1543" s="58">
        <f>IF($H1543="","",LEFT($H1543,FIND(" ",$H1543&amp;" ")-1))</f>
        <v/>
      </c>
      <c r="C1543" s="58">
        <f>IF($H1543="","",IFERROR(MID($H1543&amp;" ",FIND("|",SUBSTITUTE($H1543&amp;" "," ","|",1))+1,FIND("|",SUBSTITUTE($H1543&amp;" "," ","|",2))-FIND("|",SUBSTITUTE($H1543&amp;" "," ","|",1))-1),""))</f>
        <v/>
      </c>
      <c r="D1543" s="58">
        <f>IF($H1543="","",IFERROR(MID($H1543&amp;" ",FIND("|",SUBSTITUTE($H1543&amp;" "," ","|",2))+1,FIND("|",SUBSTITUTE($H1543&amp;" "," ","|",3))-FIND("|",SUBSTITUTE($H1543&amp;" "," ","|",2))-1),""))</f>
        <v/>
      </c>
      <c r="E1543" s="58">
        <f>IF($H1543="","",IFERROR(MID($H1543&amp;" ",FIND("|",SUBSTITUTE($H1543&amp;" "," ","|",3))+1,FIND("|",SUBSTITUTE($H1543&amp;" "," ","|",4))-FIND("|",SUBSTITUTE($H1543&amp;" "," ","|",3))-1),""))</f>
        <v/>
      </c>
      <c r="F1543" s="59">
        <f>IF($H1543="","",IFERROR(VALUE(IFERROR(MID($H1543&amp;" ",FIND("|",SUBSTITUTE($H1543&amp;" "," ","|",4))+1,FIND("|",SUBSTITUTE($H1543&amp;" "," ","|",5))-FIND("|",SUBSTITUTE($H1543&amp;" "," ","|",4))-1),""))/86400+25569+9/24,""))</f>
        <v/>
      </c>
      <c r="G1543" s="58">
        <f>TRIM(SUBSTITUTE(SUBSTITUTE(SUBSTITUTE($A1543,CHAR(9)," ")," "," "),CHAR(13),""))</f>
        <v/>
      </c>
      <c r="H1543" s="58">
        <f>IF($G1543="","",IF(ISNUMBER(FIND(" ",$G1543)),$G1543,IFERROR(IF((LEN(SUBSTITUTE(SUBSTITUTE($G1543,"-"," ",LEN($G1543)-LEN(SUBSTITUTE($G1543,"-",""))),"-"," ",LEN($G1543)-LEN(SUBSTITUTE($G1543,"-",""))-1))-LEN(SUBSTITUTE(SUBSTITUTE(SUBSTITUTE($G1543,"-"," ",LEN($G1543)-LEN(SUBSTITUTE($G1543,"-",""))),"-"," ",LEN($G1543)-LEN(SUBSTITUTE($G1543,"-",""))-1),".","")))=0,SUBSTITUTE(SUBSTITUTE($G1543,"-"," ",LEN($G1543)-LEN(SUBSTITUTE($G1543,"-",""))),"-"," ",LEN($G1543)-LEN(SUBSTITUTE($G1543,"-",""))-1),SUBSTITUTE(SUBSTITUTE(SUBSTITUTE($G1543,"-"," ",LEN($G1543)-LEN(SUBSTITUTE($G1543,"-",""))),"-"," ",LEN($G1543)-LEN(SUBSTITUTE($G1543,"-",""))-1),"."," ",(LEN(SUBSTITUTE(SUBSTITUTE($G1543,"-"," ",LEN($G1543)-LEN(SUBSTITUTE($G1543,"-",""))),"-"," ",LEN($G1543)-LEN(SUBSTITUTE($G1543,"-",""))-1))-LEN(SUBSTITUTE(SUBSTITUTE(SUBSTITUTE($G1543,"-"," ",LEN($G1543)-LEN(SUBSTITUTE($G1543,"-",""))),"-"," ",LEN($G1543)-LEN(SUBSTITUTE($G1543,"-",""))-1),".",""))))),$G1543)))</f>
        <v/>
      </c>
    </row>
    <row r="1544">
      <c r="A1544" s="58" t="n"/>
      <c r="B1544" s="58">
        <f>IF($H1544="","",LEFT($H1544,FIND(" ",$H1544&amp;" ")-1))</f>
        <v/>
      </c>
      <c r="C1544" s="58">
        <f>IF($H1544="","",IFERROR(MID($H1544&amp;" ",FIND("|",SUBSTITUTE($H1544&amp;" "," ","|",1))+1,FIND("|",SUBSTITUTE($H1544&amp;" "," ","|",2))-FIND("|",SUBSTITUTE($H1544&amp;" "," ","|",1))-1),""))</f>
        <v/>
      </c>
      <c r="D1544" s="58">
        <f>IF($H1544="","",IFERROR(MID($H1544&amp;" ",FIND("|",SUBSTITUTE($H1544&amp;" "," ","|",2))+1,FIND("|",SUBSTITUTE($H1544&amp;" "," ","|",3))-FIND("|",SUBSTITUTE($H1544&amp;" "," ","|",2))-1),""))</f>
        <v/>
      </c>
      <c r="E1544" s="58">
        <f>IF($H1544="","",IFERROR(MID($H1544&amp;" ",FIND("|",SUBSTITUTE($H1544&amp;" "," ","|",3))+1,FIND("|",SUBSTITUTE($H1544&amp;" "," ","|",4))-FIND("|",SUBSTITUTE($H1544&amp;" "," ","|",3))-1),""))</f>
        <v/>
      </c>
      <c r="F1544" s="59">
        <f>IF($H1544="","",IFERROR(VALUE(IFERROR(MID($H1544&amp;" ",FIND("|",SUBSTITUTE($H1544&amp;" "," ","|",4))+1,FIND("|",SUBSTITUTE($H1544&amp;" "," ","|",5))-FIND("|",SUBSTITUTE($H1544&amp;" "," ","|",4))-1),""))/86400+25569+9/24,""))</f>
        <v/>
      </c>
      <c r="G1544" s="58">
        <f>TRIM(SUBSTITUTE(SUBSTITUTE(SUBSTITUTE($A1544,CHAR(9)," ")," "," "),CHAR(13),""))</f>
        <v/>
      </c>
      <c r="H1544" s="58">
        <f>IF($G1544="","",IF(ISNUMBER(FIND(" ",$G1544)),$G1544,IFERROR(IF((LEN(SUBSTITUTE(SUBSTITUTE($G1544,"-"," ",LEN($G1544)-LEN(SUBSTITUTE($G1544,"-",""))),"-"," ",LEN($G1544)-LEN(SUBSTITUTE($G1544,"-",""))-1))-LEN(SUBSTITUTE(SUBSTITUTE(SUBSTITUTE($G1544,"-"," ",LEN($G1544)-LEN(SUBSTITUTE($G1544,"-",""))),"-"," ",LEN($G1544)-LEN(SUBSTITUTE($G1544,"-",""))-1),".","")))=0,SUBSTITUTE(SUBSTITUTE($G1544,"-"," ",LEN($G1544)-LEN(SUBSTITUTE($G1544,"-",""))),"-"," ",LEN($G1544)-LEN(SUBSTITUTE($G1544,"-",""))-1),SUBSTITUTE(SUBSTITUTE(SUBSTITUTE($G1544,"-"," ",LEN($G1544)-LEN(SUBSTITUTE($G1544,"-",""))),"-"," ",LEN($G1544)-LEN(SUBSTITUTE($G1544,"-",""))-1),"."," ",(LEN(SUBSTITUTE(SUBSTITUTE($G1544,"-"," ",LEN($G1544)-LEN(SUBSTITUTE($G1544,"-",""))),"-"," ",LEN($G1544)-LEN(SUBSTITUTE($G1544,"-",""))-1))-LEN(SUBSTITUTE(SUBSTITUTE(SUBSTITUTE($G1544,"-"," ",LEN($G1544)-LEN(SUBSTITUTE($G1544,"-",""))),"-"," ",LEN($G1544)-LEN(SUBSTITUTE($G1544,"-",""))-1),".",""))))),$G1544)))</f>
        <v/>
      </c>
    </row>
    <row r="1545">
      <c r="A1545" s="58" t="n"/>
      <c r="B1545" s="58">
        <f>IF($H1545="","",LEFT($H1545,FIND(" ",$H1545&amp;" ")-1))</f>
        <v/>
      </c>
      <c r="C1545" s="58">
        <f>IF($H1545="","",IFERROR(MID($H1545&amp;" ",FIND("|",SUBSTITUTE($H1545&amp;" "," ","|",1))+1,FIND("|",SUBSTITUTE($H1545&amp;" "," ","|",2))-FIND("|",SUBSTITUTE($H1545&amp;" "," ","|",1))-1),""))</f>
        <v/>
      </c>
      <c r="D1545" s="58">
        <f>IF($H1545="","",IFERROR(MID($H1545&amp;" ",FIND("|",SUBSTITUTE($H1545&amp;" "," ","|",2))+1,FIND("|",SUBSTITUTE($H1545&amp;" "," ","|",3))-FIND("|",SUBSTITUTE($H1545&amp;" "," ","|",2))-1),""))</f>
        <v/>
      </c>
      <c r="E1545" s="58">
        <f>IF($H1545="","",IFERROR(MID($H1545&amp;" ",FIND("|",SUBSTITUTE($H1545&amp;" "," ","|",3))+1,FIND("|",SUBSTITUTE($H1545&amp;" "," ","|",4))-FIND("|",SUBSTITUTE($H1545&amp;" "," ","|",3))-1),""))</f>
        <v/>
      </c>
      <c r="F1545" s="59">
        <f>IF($H1545="","",IFERROR(VALUE(IFERROR(MID($H1545&amp;" ",FIND("|",SUBSTITUTE($H1545&amp;" "," ","|",4))+1,FIND("|",SUBSTITUTE($H1545&amp;" "," ","|",5))-FIND("|",SUBSTITUTE($H1545&amp;" "," ","|",4))-1),""))/86400+25569+9/24,""))</f>
        <v/>
      </c>
      <c r="G1545" s="58">
        <f>TRIM(SUBSTITUTE(SUBSTITUTE(SUBSTITUTE($A1545,CHAR(9)," ")," "," "),CHAR(13),""))</f>
        <v/>
      </c>
      <c r="H1545" s="58">
        <f>IF($G1545="","",IF(ISNUMBER(FIND(" ",$G1545)),$G1545,IFERROR(IF((LEN(SUBSTITUTE(SUBSTITUTE($G1545,"-"," ",LEN($G1545)-LEN(SUBSTITUTE($G1545,"-",""))),"-"," ",LEN($G1545)-LEN(SUBSTITUTE($G1545,"-",""))-1))-LEN(SUBSTITUTE(SUBSTITUTE(SUBSTITUTE($G1545,"-"," ",LEN($G1545)-LEN(SUBSTITUTE($G1545,"-",""))),"-"," ",LEN($G1545)-LEN(SUBSTITUTE($G1545,"-",""))-1),".","")))=0,SUBSTITUTE(SUBSTITUTE($G1545,"-"," ",LEN($G1545)-LEN(SUBSTITUTE($G1545,"-",""))),"-"," ",LEN($G1545)-LEN(SUBSTITUTE($G1545,"-",""))-1),SUBSTITUTE(SUBSTITUTE(SUBSTITUTE($G1545,"-"," ",LEN($G1545)-LEN(SUBSTITUTE($G1545,"-",""))),"-"," ",LEN($G1545)-LEN(SUBSTITUTE($G1545,"-",""))-1),"."," ",(LEN(SUBSTITUTE(SUBSTITUTE($G1545,"-"," ",LEN($G1545)-LEN(SUBSTITUTE($G1545,"-",""))),"-"," ",LEN($G1545)-LEN(SUBSTITUTE($G1545,"-",""))-1))-LEN(SUBSTITUTE(SUBSTITUTE(SUBSTITUTE($G1545,"-"," ",LEN($G1545)-LEN(SUBSTITUTE($G1545,"-",""))),"-"," ",LEN($G1545)-LEN(SUBSTITUTE($G1545,"-",""))-1),".",""))))),$G1545)))</f>
        <v/>
      </c>
    </row>
    <row r="1546">
      <c r="A1546" s="58" t="n"/>
      <c r="B1546" s="58">
        <f>IF($H1546="","",LEFT($H1546,FIND(" ",$H1546&amp;" ")-1))</f>
        <v/>
      </c>
      <c r="C1546" s="58">
        <f>IF($H1546="","",IFERROR(MID($H1546&amp;" ",FIND("|",SUBSTITUTE($H1546&amp;" "," ","|",1))+1,FIND("|",SUBSTITUTE($H1546&amp;" "," ","|",2))-FIND("|",SUBSTITUTE($H1546&amp;" "," ","|",1))-1),""))</f>
        <v/>
      </c>
      <c r="D1546" s="58">
        <f>IF($H1546="","",IFERROR(MID($H1546&amp;" ",FIND("|",SUBSTITUTE($H1546&amp;" "," ","|",2))+1,FIND("|",SUBSTITUTE($H1546&amp;" "," ","|",3))-FIND("|",SUBSTITUTE($H1546&amp;" "," ","|",2))-1),""))</f>
        <v/>
      </c>
      <c r="E1546" s="58">
        <f>IF($H1546="","",IFERROR(MID($H1546&amp;" ",FIND("|",SUBSTITUTE($H1546&amp;" "," ","|",3))+1,FIND("|",SUBSTITUTE($H1546&amp;" "," ","|",4))-FIND("|",SUBSTITUTE($H1546&amp;" "," ","|",3))-1),""))</f>
        <v/>
      </c>
      <c r="F1546" s="59">
        <f>IF($H1546="","",IFERROR(VALUE(IFERROR(MID($H1546&amp;" ",FIND("|",SUBSTITUTE($H1546&amp;" "," ","|",4))+1,FIND("|",SUBSTITUTE($H1546&amp;" "," ","|",5))-FIND("|",SUBSTITUTE($H1546&amp;" "," ","|",4))-1),""))/86400+25569+9/24,""))</f>
        <v/>
      </c>
      <c r="G1546" s="58">
        <f>TRIM(SUBSTITUTE(SUBSTITUTE(SUBSTITUTE($A1546,CHAR(9)," ")," "," "),CHAR(13),""))</f>
        <v/>
      </c>
      <c r="H1546" s="58">
        <f>IF($G1546="","",IF(ISNUMBER(FIND(" ",$G1546)),$G1546,IFERROR(IF((LEN(SUBSTITUTE(SUBSTITUTE($G1546,"-"," ",LEN($G1546)-LEN(SUBSTITUTE($G1546,"-",""))),"-"," ",LEN($G1546)-LEN(SUBSTITUTE($G1546,"-",""))-1))-LEN(SUBSTITUTE(SUBSTITUTE(SUBSTITUTE($G1546,"-"," ",LEN($G1546)-LEN(SUBSTITUTE($G1546,"-",""))),"-"," ",LEN($G1546)-LEN(SUBSTITUTE($G1546,"-",""))-1),".","")))=0,SUBSTITUTE(SUBSTITUTE($G1546,"-"," ",LEN($G1546)-LEN(SUBSTITUTE($G1546,"-",""))),"-"," ",LEN($G1546)-LEN(SUBSTITUTE($G1546,"-",""))-1),SUBSTITUTE(SUBSTITUTE(SUBSTITUTE($G1546,"-"," ",LEN($G1546)-LEN(SUBSTITUTE($G1546,"-",""))),"-"," ",LEN($G1546)-LEN(SUBSTITUTE($G1546,"-",""))-1),"."," ",(LEN(SUBSTITUTE(SUBSTITUTE($G1546,"-"," ",LEN($G1546)-LEN(SUBSTITUTE($G1546,"-",""))),"-"," ",LEN($G1546)-LEN(SUBSTITUTE($G1546,"-",""))-1))-LEN(SUBSTITUTE(SUBSTITUTE(SUBSTITUTE($G1546,"-"," ",LEN($G1546)-LEN(SUBSTITUTE($G1546,"-",""))),"-"," ",LEN($G1546)-LEN(SUBSTITUTE($G1546,"-",""))-1),".",""))))),$G1546)))</f>
        <v/>
      </c>
    </row>
    <row r="1547">
      <c r="A1547" s="58" t="n"/>
      <c r="B1547" s="58">
        <f>IF($H1547="","",LEFT($H1547,FIND(" ",$H1547&amp;" ")-1))</f>
        <v/>
      </c>
      <c r="C1547" s="58">
        <f>IF($H1547="","",IFERROR(MID($H1547&amp;" ",FIND("|",SUBSTITUTE($H1547&amp;" "," ","|",1))+1,FIND("|",SUBSTITUTE($H1547&amp;" "," ","|",2))-FIND("|",SUBSTITUTE($H1547&amp;" "," ","|",1))-1),""))</f>
        <v/>
      </c>
      <c r="D1547" s="58">
        <f>IF($H1547="","",IFERROR(MID($H1547&amp;" ",FIND("|",SUBSTITUTE($H1547&amp;" "," ","|",2))+1,FIND("|",SUBSTITUTE($H1547&amp;" "," ","|",3))-FIND("|",SUBSTITUTE($H1547&amp;" "," ","|",2))-1),""))</f>
        <v/>
      </c>
      <c r="E1547" s="58">
        <f>IF($H1547="","",IFERROR(MID($H1547&amp;" ",FIND("|",SUBSTITUTE($H1547&amp;" "," ","|",3))+1,FIND("|",SUBSTITUTE($H1547&amp;" "," ","|",4))-FIND("|",SUBSTITUTE($H1547&amp;" "," ","|",3))-1),""))</f>
        <v/>
      </c>
      <c r="F1547" s="59">
        <f>IF($H1547="","",IFERROR(VALUE(IFERROR(MID($H1547&amp;" ",FIND("|",SUBSTITUTE($H1547&amp;" "," ","|",4))+1,FIND("|",SUBSTITUTE($H1547&amp;" "," ","|",5))-FIND("|",SUBSTITUTE($H1547&amp;" "," ","|",4))-1),""))/86400+25569+9/24,""))</f>
        <v/>
      </c>
      <c r="G1547" s="58">
        <f>TRIM(SUBSTITUTE(SUBSTITUTE(SUBSTITUTE($A1547,CHAR(9)," ")," "," "),CHAR(13),""))</f>
        <v/>
      </c>
      <c r="H1547" s="58">
        <f>IF($G1547="","",IF(ISNUMBER(FIND(" ",$G1547)),$G1547,IFERROR(IF((LEN(SUBSTITUTE(SUBSTITUTE($G1547,"-"," ",LEN($G1547)-LEN(SUBSTITUTE($G1547,"-",""))),"-"," ",LEN($G1547)-LEN(SUBSTITUTE($G1547,"-",""))-1))-LEN(SUBSTITUTE(SUBSTITUTE(SUBSTITUTE($G1547,"-"," ",LEN($G1547)-LEN(SUBSTITUTE($G1547,"-",""))),"-"," ",LEN($G1547)-LEN(SUBSTITUTE($G1547,"-",""))-1),".","")))=0,SUBSTITUTE(SUBSTITUTE($G1547,"-"," ",LEN($G1547)-LEN(SUBSTITUTE($G1547,"-",""))),"-"," ",LEN($G1547)-LEN(SUBSTITUTE($G1547,"-",""))-1),SUBSTITUTE(SUBSTITUTE(SUBSTITUTE($G1547,"-"," ",LEN($G1547)-LEN(SUBSTITUTE($G1547,"-",""))),"-"," ",LEN($G1547)-LEN(SUBSTITUTE($G1547,"-",""))-1),"."," ",(LEN(SUBSTITUTE(SUBSTITUTE($G1547,"-"," ",LEN($G1547)-LEN(SUBSTITUTE($G1547,"-",""))),"-"," ",LEN($G1547)-LEN(SUBSTITUTE($G1547,"-",""))-1))-LEN(SUBSTITUTE(SUBSTITUTE(SUBSTITUTE($G1547,"-"," ",LEN($G1547)-LEN(SUBSTITUTE($G1547,"-",""))),"-"," ",LEN($G1547)-LEN(SUBSTITUTE($G1547,"-",""))-1),".",""))))),$G1547)))</f>
        <v/>
      </c>
    </row>
    <row r="1548">
      <c r="A1548" s="58" t="n"/>
      <c r="B1548" s="58">
        <f>IF($H1548="","",LEFT($H1548,FIND(" ",$H1548&amp;" ")-1))</f>
        <v/>
      </c>
      <c r="C1548" s="58">
        <f>IF($H1548="","",IFERROR(MID($H1548&amp;" ",FIND("|",SUBSTITUTE($H1548&amp;" "," ","|",1))+1,FIND("|",SUBSTITUTE($H1548&amp;" "," ","|",2))-FIND("|",SUBSTITUTE($H1548&amp;" "," ","|",1))-1),""))</f>
        <v/>
      </c>
      <c r="D1548" s="58">
        <f>IF($H1548="","",IFERROR(MID($H1548&amp;" ",FIND("|",SUBSTITUTE($H1548&amp;" "," ","|",2))+1,FIND("|",SUBSTITUTE($H1548&amp;" "," ","|",3))-FIND("|",SUBSTITUTE($H1548&amp;" "," ","|",2))-1),""))</f>
        <v/>
      </c>
      <c r="E1548" s="58">
        <f>IF($H1548="","",IFERROR(MID($H1548&amp;" ",FIND("|",SUBSTITUTE($H1548&amp;" "," ","|",3))+1,FIND("|",SUBSTITUTE($H1548&amp;" "," ","|",4))-FIND("|",SUBSTITUTE($H1548&amp;" "," ","|",3))-1),""))</f>
        <v/>
      </c>
      <c r="F1548" s="59">
        <f>IF($H1548="","",IFERROR(VALUE(IFERROR(MID($H1548&amp;" ",FIND("|",SUBSTITUTE($H1548&amp;" "," ","|",4))+1,FIND("|",SUBSTITUTE($H1548&amp;" "," ","|",5))-FIND("|",SUBSTITUTE($H1548&amp;" "," ","|",4))-1),""))/86400+25569+9/24,""))</f>
        <v/>
      </c>
      <c r="G1548" s="58">
        <f>TRIM(SUBSTITUTE(SUBSTITUTE(SUBSTITUTE($A1548,CHAR(9)," ")," "," "),CHAR(13),""))</f>
        <v/>
      </c>
      <c r="H1548" s="58">
        <f>IF($G1548="","",IF(ISNUMBER(FIND(" ",$G1548)),$G1548,IFERROR(IF((LEN(SUBSTITUTE(SUBSTITUTE($G1548,"-"," ",LEN($G1548)-LEN(SUBSTITUTE($G1548,"-",""))),"-"," ",LEN($G1548)-LEN(SUBSTITUTE($G1548,"-",""))-1))-LEN(SUBSTITUTE(SUBSTITUTE(SUBSTITUTE($G1548,"-"," ",LEN($G1548)-LEN(SUBSTITUTE($G1548,"-",""))),"-"," ",LEN($G1548)-LEN(SUBSTITUTE($G1548,"-",""))-1),".","")))=0,SUBSTITUTE(SUBSTITUTE($G1548,"-"," ",LEN($G1548)-LEN(SUBSTITUTE($G1548,"-",""))),"-"," ",LEN($G1548)-LEN(SUBSTITUTE($G1548,"-",""))-1),SUBSTITUTE(SUBSTITUTE(SUBSTITUTE($G1548,"-"," ",LEN($G1548)-LEN(SUBSTITUTE($G1548,"-",""))),"-"," ",LEN($G1548)-LEN(SUBSTITUTE($G1548,"-",""))-1),"."," ",(LEN(SUBSTITUTE(SUBSTITUTE($G1548,"-"," ",LEN($G1548)-LEN(SUBSTITUTE($G1548,"-",""))),"-"," ",LEN($G1548)-LEN(SUBSTITUTE($G1548,"-",""))-1))-LEN(SUBSTITUTE(SUBSTITUTE(SUBSTITUTE($G1548,"-"," ",LEN($G1548)-LEN(SUBSTITUTE($G1548,"-",""))),"-"," ",LEN($G1548)-LEN(SUBSTITUTE($G1548,"-",""))-1),".",""))))),$G1548)))</f>
        <v/>
      </c>
    </row>
    <row r="1549">
      <c r="A1549" s="58" t="n"/>
      <c r="B1549" s="58">
        <f>IF($H1549="","",LEFT($H1549,FIND(" ",$H1549&amp;" ")-1))</f>
        <v/>
      </c>
      <c r="C1549" s="58">
        <f>IF($H1549="","",IFERROR(MID($H1549&amp;" ",FIND("|",SUBSTITUTE($H1549&amp;" "," ","|",1))+1,FIND("|",SUBSTITUTE($H1549&amp;" "," ","|",2))-FIND("|",SUBSTITUTE($H1549&amp;" "," ","|",1))-1),""))</f>
        <v/>
      </c>
      <c r="D1549" s="58">
        <f>IF($H1549="","",IFERROR(MID($H1549&amp;" ",FIND("|",SUBSTITUTE($H1549&amp;" "," ","|",2))+1,FIND("|",SUBSTITUTE($H1549&amp;" "," ","|",3))-FIND("|",SUBSTITUTE($H1549&amp;" "," ","|",2))-1),""))</f>
        <v/>
      </c>
      <c r="E1549" s="58">
        <f>IF($H1549="","",IFERROR(MID($H1549&amp;" ",FIND("|",SUBSTITUTE($H1549&amp;" "," ","|",3))+1,FIND("|",SUBSTITUTE($H1549&amp;" "," ","|",4))-FIND("|",SUBSTITUTE($H1549&amp;" "," ","|",3))-1),""))</f>
        <v/>
      </c>
      <c r="F1549" s="59">
        <f>IF($H1549="","",IFERROR(VALUE(IFERROR(MID($H1549&amp;" ",FIND("|",SUBSTITUTE($H1549&amp;" "," ","|",4))+1,FIND("|",SUBSTITUTE($H1549&amp;" "," ","|",5))-FIND("|",SUBSTITUTE($H1549&amp;" "," ","|",4))-1),""))/86400+25569+9/24,""))</f>
        <v/>
      </c>
      <c r="G1549" s="58">
        <f>TRIM(SUBSTITUTE(SUBSTITUTE(SUBSTITUTE($A1549,CHAR(9)," ")," "," "),CHAR(13),""))</f>
        <v/>
      </c>
      <c r="H1549" s="58">
        <f>IF($G1549="","",IF(ISNUMBER(FIND(" ",$G1549)),$G1549,IFERROR(IF((LEN(SUBSTITUTE(SUBSTITUTE($G1549,"-"," ",LEN($G1549)-LEN(SUBSTITUTE($G1549,"-",""))),"-"," ",LEN($G1549)-LEN(SUBSTITUTE($G1549,"-",""))-1))-LEN(SUBSTITUTE(SUBSTITUTE(SUBSTITUTE($G1549,"-"," ",LEN($G1549)-LEN(SUBSTITUTE($G1549,"-",""))),"-"," ",LEN($G1549)-LEN(SUBSTITUTE($G1549,"-",""))-1),".","")))=0,SUBSTITUTE(SUBSTITUTE($G1549,"-"," ",LEN($G1549)-LEN(SUBSTITUTE($G1549,"-",""))),"-"," ",LEN($G1549)-LEN(SUBSTITUTE($G1549,"-",""))-1),SUBSTITUTE(SUBSTITUTE(SUBSTITUTE($G1549,"-"," ",LEN($G1549)-LEN(SUBSTITUTE($G1549,"-",""))),"-"," ",LEN($G1549)-LEN(SUBSTITUTE($G1549,"-",""))-1),"."," ",(LEN(SUBSTITUTE(SUBSTITUTE($G1549,"-"," ",LEN($G1549)-LEN(SUBSTITUTE($G1549,"-",""))),"-"," ",LEN($G1549)-LEN(SUBSTITUTE($G1549,"-",""))-1))-LEN(SUBSTITUTE(SUBSTITUTE(SUBSTITUTE($G1549,"-"," ",LEN($G1549)-LEN(SUBSTITUTE($G1549,"-",""))),"-"," ",LEN($G1549)-LEN(SUBSTITUTE($G1549,"-",""))-1),".",""))))),$G1549)))</f>
        <v/>
      </c>
    </row>
    <row r="1550">
      <c r="A1550" s="58" t="n"/>
      <c r="B1550" s="58">
        <f>IF($H1550="","",LEFT($H1550,FIND(" ",$H1550&amp;" ")-1))</f>
        <v/>
      </c>
      <c r="C1550" s="58">
        <f>IF($H1550="","",IFERROR(MID($H1550&amp;" ",FIND("|",SUBSTITUTE($H1550&amp;" "," ","|",1))+1,FIND("|",SUBSTITUTE($H1550&amp;" "," ","|",2))-FIND("|",SUBSTITUTE($H1550&amp;" "," ","|",1))-1),""))</f>
        <v/>
      </c>
      <c r="D1550" s="58">
        <f>IF($H1550="","",IFERROR(MID($H1550&amp;" ",FIND("|",SUBSTITUTE($H1550&amp;" "," ","|",2))+1,FIND("|",SUBSTITUTE($H1550&amp;" "," ","|",3))-FIND("|",SUBSTITUTE($H1550&amp;" "," ","|",2))-1),""))</f>
        <v/>
      </c>
      <c r="E1550" s="58">
        <f>IF($H1550="","",IFERROR(MID($H1550&amp;" ",FIND("|",SUBSTITUTE($H1550&amp;" "," ","|",3))+1,FIND("|",SUBSTITUTE($H1550&amp;" "," ","|",4))-FIND("|",SUBSTITUTE($H1550&amp;" "," ","|",3))-1),""))</f>
        <v/>
      </c>
      <c r="F1550" s="59">
        <f>IF($H1550="","",IFERROR(VALUE(IFERROR(MID($H1550&amp;" ",FIND("|",SUBSTITUTE($H1550&amp;" "," ","|",4))+1,FIND("|",SUBSTITUTE($H1550&amp;" "," ","|",5))-FIND("|",SUBSTITUTE($H1550&amp;" "," ","|",4))-1),""))/86400+25569+9/24,""))</f>
        <v/>
      </c>
      <c r="G1550" s="58">
        <f>TRIM(SUBSTITUTE(SUBSTITUTE(SUBSTITUTE($A1550,CHAR(9)," ")," "," "),CHAR(13),""))</f>
        <v/>
      </c>
      <c r="H1550" s="58">
        <f>IF($G1550="","",IF(ISNUMBER(FIND(" ",$G1550)),$G1550,IFERROR(IF((LEN(SUBSTITUTE(SUBSTITUTE($G1550,"-"," ",LEN($G1550)-LEN(SUBSTITUTE($G1550,"-",""))),"-"," ",LEN($G1550)-LEN(SUBSTITUTE($G1550,"-",""))-1))-LEN(SUBSTITUTE(SUBSTITUTE(SUBSTITUTE($G1550,"-"," ",LEN($G1550)-LEN(SUBSTITUTE($G1550,"-",""))),"-"," ",LEN($G1550)-LEN(SUBSTITUTE($G1550,"-",""))-1),".","")))=0,SUBSTITUTE(SUBSTITUTE($G1550,"-"," ",LEN($G1550)-LEN(SUBSTITUTE($G1550,"-",""))),"-"," ",LEN($G1550)-LEN(SUBSTITUTE($G1550,"-",""))-1),SUBSTITUTE(SUBSTITUTE(SUBSTITUTE($G1550,"-"," ",LEN($G1550)-LEN(SUBSTITUTE($G1550,"-",""))),"-"," ",LEN($G1550)-LEN(SUBSTITUTE($G1550,"-",""))-1),"."," ",(LEN(SUBSTITUTE(SUBSTITUTE($G1550,"-"," ",LEN($G1550)-LEN(SUBSTITUTE($G1550,"-",""))),"-"," ",LEN($G1550)-LEN(SUBSTITUTE($G1550,"-",""))-1))-LEN(SUBSTITUTE(SUBSTITUTE(SUBSTITUTE($G1550,"-"," ",LEN($G1550)-LEN(SUBSTITUTE($G1550,"-",""))),"-"," ",LEN($G1550)-LEN(SUBSTITUTE($G1550,"-",""))-1),".",""))))),$G1550)))</f>
        <v/>
      </c>
    </row>
    <row r="1551">
      <c r="A1551" s="58" t="n"/>
      <c r="B1551" s="58">
        <f>IF($H1551="","",LEFT($H1551,FIND(" ",$H1551&amp;" ")-1))</f>
        <v/>
      </c>
      <c r="C1551" s="58">
        <f>IF($H1551="","",IFERROR(MID($H1551&amp;" ",FIND("|",SUBSTITUTE($H1551&amp;" "," ","|",1))+1,FIND("|",SUBSTITUTE($H1551&amp;" "," ","|",2))-FIND("|",SUBSTITUTE($H1551&amp;" "," ","|",1))-1),""))</f>
        <v/>
      </c>
      <c r="D1551" s="58">
        <f>IF($H1551="","",IFERROR(MID($H1551&amp;" ",FIND("|",SUBSTITUTE($H1551&amp;" "," ","|",2))+1,FIND("|",SUBSTITUTE($H1551&amp;" "," ","|",3))-FIND("|",SUBSTITUTE($H1551&amp;" "," ","|",2))-1),""))</f>
        <v/>
      </c>
      <c r="E1551" s="58">
        <f>IF($H1551="","",IFERROR(MID($H1551&amp;" ",FIND("|",SUBSTITUTE($H1551&amp;" "," ","|",3))+1,FIND("|",SUBSTITUTE($H1551&amp;" "," ","|",4))-FIND("|",SUBSTITUTE($H1551&amp;" "," ","|",3))-1),""))</f>
        <v/>
      </c>
      <c r="F1551" s="59">
        <f>IF($H1551="","",IFERROR(VALUE(IFERROR(MID($H1551&amp;" ",FIND("|",SUBSTITUTE($H1551&amp;" "," ","|",4))+1,FIND("|",SUBSTITUTE($H1551&amp;" "," ","|",5))-FIND("|",SUBSTITUTE($H1551&amp;" "," ","|",4))-1),""))/86400+25569+9/24,""))</f>
        <v/>
      </c>
      <c r="G1551" s="58">
        <f>TRIM(SUBSTITUTE(SUBSTITUTE(SUBSTITUTE($A1551,CHAR(9)," ")," "," "),CHAR(13),""))</f>
        <v/>
      </c>
      <c r="H1551" s="58">
        <f>IF($G1551="","",IF(ISNUMBER(FIND(" ",$G1551)),$G1551,IFERROR(IF((LEN(SUBSTITUTE(SUBSTITUTE($G1551,"-"," ",LEN($G1551)-LEN(SUBSTITUTE($G1551,"-",""))),"-"," ",LEN($G1551)-LEN(SUBSTITUTE($G1551,"-",""))-1))-LEN(SUBSTITUTE(SUBSTITUTE(SUBSTITUTE($G1551,"-"," ",LEN($G1551)-LEN(SUBSTITUTE($G1551,"-",""))),"-"," ",LEN($G1551)-LEN(SUBSTITUTE($G1551,"-",""))-1),".","")))=0,SUBSTITUTE(SUBSTITUTE($G1551,"-"," ",LEN($G1551)-LEN(SUBSTITUTE($G1551,"-",""))),"-"," ",LEN($G1551)-LEN(SUBSTITUTE($G1551,"-",""))-1),SUBSTITUTE(SUBSTITUTE(SUBSTITUTE($G1551,"-"," ",LEN($G1551)-LEN(SUBSTITUTE($G1551,"-",""))),"-"," ",LEN($G1551)-LEN(SUBSTITUTE($G1551,"-",""))-1),"."," ",(LEN(SUBSTITUTE(SUBSTITUTE($G1551,"-"," ",LEN($G1551)-LEN(SUBSTITUTE($G1551,"-",""))),"-"," ",LEN($G1551)-LEN(SUBSTITUTE($G1551,"-",""))-1))-LEN(SUBSTITUTE(SUBSTITUTE(SUBSTITUTE($G1551,"-"," ",LEN($G1551)-LEN(SUBSTITUTE($G1551,"-",""))),"-"," ",LEN($G1551)-LEN(SUBSTITUTE($G1551,"-",""))-1),".",""))))),$G1551)))</f>
        <v/>
      </c>
    </row>
    <row r="1552">
      <c r="A1552" s="58" t="n"/>
      <c r="B1552" s="58">
        <f>IF($H1552="","",LEFT($H1552,FIND(" ",$H1552&amp;" ")-1))</f>
        <v/>
      </c>
      <c r="C1552" s="58">
        <f>IF($H1552="","",IFERROR(MID($H1552&amp;" ",FIND("|",SUBSTITUTE($H1552&amp;" "," ","|",1))+1,FIND("|",SUBSTITUTE($H1552&amp;" "," ","|",2))-FIND("|",SUBSTITUTE($H1552&amp;" "," ","|",1))-1),""))</f>
        <v/>
      </c>
      <c r="D1552" s="58">
        <f>IF($H1552="","",IFERROR(MID($H1552&amp;" ",FIND("|",SUBSTITUTE($H1552&amp;" "," ","|",2))+1,FIND("|",SUBSTITUTE($H1552&amp;" "," ","|",3))-FIND("|",SUBSTITUTE($H1552&amp;" "," ","|",2))-1),""))</f>
        <v/>
      </c>
      <c r="E1552" s="58">
        <f>IF($H1552="","",IFERROR(MID($H1552&amp;" ",FIND("|",SUBSTITUTE($H1552&amp;" "," ","|",3))+1,FIND("|",SUBSTITUTE($H1552&amp;" "," ","|",4))-FIND("|",SUBSTITUTE($H1552&amp;" "," ","|",3))-1),""))</f>
        <v/>
      </c>
      <c r="F1552" s="59">
        <f>IF($H1552="","",IFERROR(VALUE(IFERROR(MID($H1552&amp;" ",FIND("|",SUBSTITUTE($H1552&amp;" "," ","|",4))+1,FIND("|",SUBSTITUTE($H1552&amp;" "," ","|",5))-FIND("|",SUBSTITUTE($H1552&amp;" "," ","|",4))-1),""))/86400+25569+9/24,""))</f>
        <v/>
      </c>
      <c r="G1552" s="58">
        <f>TRIM(SUBSTITUTE(SUBSTITUTE(SUBSTITUTE($A1552,CHAR(9)," ")," "," "),CHAR(13),""))</f>
        <v/>
      </c>
      <c r="H1552" s="58">
        <f>IF($G1552="","",IF(ISNUMBER(FIND(" ",$G1552)),$G1552,IFERROR(IF((LEN(SUBSTITUTE(SUBSTITUTE($G1552,"-"," ",LEN($G1552)-LEN(SUBSTITUTE($G1552,"-",""))),"-"," ",LEN($G1552)-LEN(SUBSTITUTE($G1552,"-",""))-1))-LEN(SUBSTITUTE(SUBSTITUTE(SUBSTITUTE($G1552,"-"," ",LEN($G1552)-LEN(SUBSTITUTE($G1552,"-",""))),"-"," ",LEN($G1552)-LEN(SUBSTITUTE($G1552,"-",""))-1),".","")))=0,SUBSTITUTE(SUBSTITUTE($G1552,"-"," ",LEN($G1552)-LEN(SUBSTITUTE($G1552,"-",""))),"-"," ",LEN($G1552)-LEN(SUBSTITUTE($G1552,"-",""))-1),SUBSTITUTE(SUBSTITUTE(SUBSTITUTE($G1552,"-"," ",LEN($G1552)-LEN(SUBSTITUTE($G1552,"-",""))),"-"," ",LEN($G1552)-LEN(SUBSTITUTE($G1552,"-",""))-1),"."," ",(LEN(SUBSTITUTE(SUBSTITUTE($G1552,"-"," ",LEN($G1552)-LEN(SUBSTITUTE($G1552,"-",""))),"-"," ",LEN($G1552)-LEN(SUBSTITUTE($G1552,"-",""))-1))-LEN(SUBSTITUTE(SUBSTITUTE(SUBSTITUTE($G1552,"-"," ",LEN($G1552)-LEN(SUBSTITUTE($G1552,"-",""))),"-"," ",LEN($G1552)-LEN(SUBSTITUTE($G1552,"-",""))-1),".",""))))),$G1552)))</f>
        <v/>
      </c>
    </row>
    <row r="1553">
      <c r="A1553" s="58" t="n"/>
      <c r="B1553" s="58">
        <f>IF($H1553="","",LEFT($H1553,FIND(" ",$H1553&amp;" ")-1))</f>
        <v/>
      </c>
      <c r="C1553" s="58">
        <f>IF($H1553="","",IFERROR(MID($H1553&amp;" ",FIND("|",SUBSTITUTE($H1553&amp;" "," ","|",1))+1,FIND("|",SUBSTITUTE($H1553&amp;" "," ","|",2))-FIND("|",SUBSTITUTE($H1553&amp;" "," ","|",1))-1),""))</f>
        <v/>
      </c>
      <c r="D1553" s="58">
        <f>IF($H1553="","",IFERROR(MID($H1553&amp;" ",FIND("|",SUBSTITUTE($H1553&amp;" "," ","|",2))+1,FIND("|",SUBSTITUTE($H1553&amp;" "," ","|",3))-FIND("|",SUBSTITUTE($H1553&amp;" "," ","|",2))-1),""))</f>
        <v/>
      </c>
      <c r="E1553" s="58">
        <f>IF($H1553="","",IFERROR(MID($H1553&amp;" ",FIND("|",SUBSTITUTE($H1553&amp;" "," ","|",3))+1,FIND("|",SUBSTITUTE($H1553&amp;" "," ","|",4))-FIND("|",SUBSTITUTE($H1553&amp;" "," ","|",3))-1),""))</f>
        <v/>
      </c>
      <c r="F1553" s="59">
        <f>IF($H1553="","",IFERROR(VALUE(IFERROR(MID($H1553&amp;" ",FIND("|",SUBSTITUTE($H1553&amp;" "," ","|",4))+1,FIND("|",SUBSTITUTE($H1553&amp;" "," ","|",5))-FIND("|",SUBSTITUTE($H1553&amp;" "," ","|",4))-1),""))/86400+25569+9/24,""))</f>
        <v/>
      </c>
      <c r="G1553" s="58">
        <f>TRIM(SUBSTITUTE(SUBSTITUTE(SUBSTITUTE($A1553,CHAR(9)," ")," "," "),CHAR(13),""))</f>
        <v/>
      </c>
      <c r="H1553" s="58">
        <f>IF($G1553="","",IF(ISNUMBER(FIND(" ",$G1553)),$G1553,IFERROR(IF((LEN(SUBSTITUTE(SUBSTITUTE($G1553,"-"," ",LEN($G1553)-LEN(SUBSTITUTE($G1553,"-",""))),"-"," ",LEN($G1553)-LEN(SUBSTITUTE($G1553,"-",""))-1))-LEN(SUBSTITUTE(SUBSTITUTE(SUBSTITUTE($G1553,"-"," ",LEN($G1553)-LEN(SUBSTITUTE($G1553,"-",""))),"-"," ",LEN($G1553)-LEN(SUBSTITUTE($G1553,"-",""))-1),".","")))=0,SUBSTITUTE(SUBSTITUTE($G1553,"-"," ",LEN($G1553)-LEN(SUBSTITUTE($G1553,"-",""))),"-"," ",LEN($G1553)-LEN(SUBSTITUTE($G1553,"-",""))-1),SUBSTITUTE(SUBSTITUTE(SUBSTITUTE($G1553,"-"," ",LEN($G1553)-LEN(SUBSTITUTE($G1553,"-",""))),"-"," ",LEN($G1553)-LEN(SUBSTITUTE($G1553,"-",""))-1),"."," ",(LEN(SUBSTITUTE(SUBSTITUTE($G1553,"-"," ",LEN($G1553)-LEN(SUBSTITUTE($G1553,"-",""))),"-"," ",LEN($G1553)-LEN(SUBSTITUTE($G1553,"-",""))-1))-LEN(SUBSTITUTE(SUBSTITUTE(SUBSTITUTE($G1553,"-"," ",LEN($G1553)-LEN(SUBSTITUTE($G1553,"-",""))),"-"," ",LEN($G1553)-LEN(SUBSTITUTE($G1553,"-",""))-1),".",""))))),$G1553)))</f>
        <v/>
      </c>
    </row>
    <row r="1554">
      <c r="A1554" s="58" t="n"/>
      <c r="B1554" s="58">
        <f>IF($H1554="","",LEFT($H1554,FIND(" ",$H1554&amp;" ")-1))</f>
        <v/>
      </c>
      <c r="C1554" s="58">
        <f>IF($H1554="","",IFERROR(MID($H1554&amp;" ",FIND("|",SUBSTITUTE($H1554&amp;" "," ","|",1))+1,FIND("|",SUBSTITUTE($H1554&amp;" "," ","|",2))-FIND("|",SUBSTITUTE($H1554&amp;" "," ","|",1))-1),""))</f>
        <v/>
      </c>
      <c r="D1554" s="58">
        <f>IF($H1554="","",IFERROR(MID($H1554&amp;" ",FIND("|",SUBSTITUTE($H1554&amp;" "," ","|",2))+1,FIND("|",SUBSTITUTE($H1554&amp;" "," ","|",3))-FIND("|",SUBSTITUTE($H1554&amp;" "," ","|",2))-1),""))</f>
        <v/>
      </c>
      <c r="E1554" s="58">
        <f>IF($H1554="","",IFERROR(MID($H1554&amp;" ",FIND("|",SUBSTITUTE($H1554&amp;" "," ","|",3))+1,FIND("|",SUBSTITUTE($H1554&amp;" "," ","|",4))-FIND("|",SUBSTITUTE($H1554&amp;" "," ","|",3))-1),""))</f>
        <v/>
      </c>
      <c r="F1554" s="59">
        <f>IF($H1554="","",IFERROR(VALUE(IFERROR(MID($H1554&amp;" ",FIND("|",SUBSTITUTE($H1554&amp;" "," ","|",4))+1,FIND("|",SUBSTITUTE($H1554&amp;" "," ","|",5))-FIND("|",SUBSTITUTE($H1554&amp;" "," ","|",4))-1),""))/86400+25569+9/24,""))</f>
        <v/>
      </c>
      <c r="G1554" s="58">
        <f>TRIM(SUBSTITUTE(SUBSTITUTE(SUBSTITUTE($A1554,CHAR(9)," ")," "," "),CHAR(13),""))</f>
        <v/>
      </c>
      <c r="H1554" s="58">
        <f>IF($G1554="","",IF(ISNUMBER(FIND(" ",$G1554)),$G1554,IFERROR(IF((LEN(SUBSTITUTE(SUBSTITUTE($G1554,"-"," ",LEN($G1554)-LEN(SUBSTITUTE($G1554,"-",""))),"-"," ",LEN($G1554)-LEN(SUBSTITUTE($G1554,"-",""))-1))-LEN(SUBSTITUTE(SUBSTITUTE(SUBSTITUTE($G1554,"-"," ",LEN($G1554)-LEN(SUBSTITUTE($G1554,"-",""))),"-"," ",LEN($G1554)-LEN(SUBSTITUTE($G1554,"-",""))-1),".","")))=0,SUBSTITUTE(SUBSTITUTE($G1554,"-"," ",LEN($G1554)-LEN(SUBSTITUTE($G1554,"-",""))),"-"," ",LEN($G1554)-LEN(SUBSTITUTE($G1554,"-",""))-1),SUBSTITUTE(SUBSTITUTE(SUBSTITUTE($G1554,"-"," ",LEN($G1554)-LEN(SUBSTITUTE($G1554,"-",""))),"-"," ",LEN($G1554)-LEN(SUBSTITUTE($G1554,"-",""))-1),"."," ",(LEN(SUBSTITUTE(SUBSTITUTE($G1554,"-"," ",LEN($G1554)-LEN(SUBSTITUTE($G1554,"-",""))),"-"," ",LEN($G1554)-LEN(SUBSTITUTE($G1554,"-",""))-1))-LEN(SUBSTITUTE(SUBSTITUTE(SUBSTITUTE($G1554,"-"," ",LEN($G1554)-LEN(SUBSTITUTE($G1554,"-",""))),"-"," ",LEN($G1554)-LEN(SUBSTITUTE($G1554,"-",""))-1),".",""))))),$G1554)))</f>
        <v/>
      </c>
    </row>
    <row r="1555">
      <c r="A1555" s="58" t="n"/>
      <c r="B1555" s="58">
        <f>IF($H1555="","",LEFT($H1555,FIND(" ",$H1555&amp;" ")-1))</f>
        <v/>
      </c>
      <c r="C1555" s="58">
        <f>IF($H1555="","",IFERROR(MID($H1555&amp;" ",FIND("|",SUBSTITUTE($H1555&amp;" "," ","|",1))+1,FIND("|",SUBSTITUTE($H1555&amp;" "," ","|",2))-FIND("|",SUBSTITUTE($H1555&amp;" "," ","|",1))-1),""))</f>
        <v/>
      </c>
      <c r="D1555" s="58">
        <f>IF($H1555="","",IFERROR(MID($H1555&amp;" ",FIND("|",SUBSTITUTE($H1555&amp;" "," ","|",2))+1,FIND("|",SUBSTITUTE($H1555&amp;" "," ","|",3))-FIND("|",SUBSTITUTE($H1555&amp;" "," ","|",2))-1),""))</f>
        <v/>
      </c>
      <c r="E1555" s="58">
        <f>IF($H1555="","",IFERROR(MID($H1555&amp;" ",FIND("|",SUBSTITUTE($H1555&amp;" "," ","|",3))+1,FIND("|",SUBSTITUTE($H1555&amp;" "," ","|",4))-FIND("|",SUBSTITUTE($H1555&amp;" "," ","|",3))-1),""))</f>
        <v/>
      </c>
      <c r="F1555" s="59">
        <f>IF($H1555="","",IFERROR(VALUE(IFERROR(MID($H1555&amp;" ",FIND("|",SUBSTITUTE($H1555&amp;" "," ","|",4))+1,FIND("|",SUBSTITUTE($H1555&amp;" "," ","|",5))-FIND("|",SUBSTITUTE($H1555&amp;" "," ","|",4))-1),""))/86400+25569+9/24,""))</f>
        <v/>
      </c>
      <c r="G1555" s="58">
        <f>TRIM(SUBSTITUTE(SUBSTITUTE(SUBSTITUTE($A1555,CHAR(9)," ")," "," "),CHAR(13),""))</f>
        <v/>
      </c>
      <c r="H1555" s="58">
        <f>IF($G1555="","",IF(ISNUMBER(FIND(" ",$G1555)),$G1555,IFERROR(IF((LEN(SUBSTITUTE(SUBSTITUTE($G1555,"-"," ",LEN($G1555)-LEN(SUBSTITUTE($G1555,"-",""))),"-"," ",LEN($G1555)-LEN(SUBSTITUTE($G1555,"-",""))-1))-LEN(SUBSTITUTE(SUBSTITUTE(SUBSTITUTE($G1555,"-"," ",LEN($G1555)-LEN(SUBSTITUTE($G1555,"-",""))),"-"," ",LEN($G1555)-LEN(SUBSTITUTE($G1555,"-",""))-1),".","")))=0,SUBSTITUTE(SUBSTITUTE($G1555,"-"," ",LEN($G1555)-LEN(SUBSTITUTE($G1555,"-",""))),"-"," ",LEN($G1555)-LEN(SUBSTITUTE($G1555,"-",""))-1),SUBSTITUTE(SUBSTITUTE(SUBSTITUTE($G1555,"-"," ",LEN($G1555)-LEN(SUBSTITUTE($G1555,"-",""))),"-"," ",LEN($G1555)-LEN(SUBSTITUTE($G1555,"-",""))-1),"."," ",(LEN(SUBSTITUTE(SUBSTITUTE($G1555,"-"," ",LEN($G1555)-LEN(SUBSTITUTE($G1555,"-",""))),"-"," ",LEN($G1555)-LEN(SUBSTITUTE($G1555,"-",""))-1))-LEN(SUBSTITUTE(SUBSTITUTE(SUBSTITUTE($G1555,"-"," ",LEN($G1555)-LEN(SUBSTITUTE($G1555,"-",""))),"-"," ",LEN($G1555)-LEN(SUBSTITUTE($G1555,"-",""))-1),".",""))))),$G1555)))</f>
        <v/>
      </c>
    </row>
    <row r="1556">
      <c r="A1556" s="58" t="n"/>
      <c r="B1556" s="58">
        <f>IF($H1556="","",LEFT($H1556,FIND(" ",$H1556&amp;" ")-1))</f>
        <v/>
      </c>
      <c r="C1556" s="58">
        <f>IF($H1556="","",IFERROR(MID($H1556&amp;" ",FIND("|",SUBSTITUTE($H1556&amp;" "," ","|",1))+1,FIND("|",SUBSTITUTE($H1556&amp;" "," ","|",2))-FIND("|",SUBSTITUTE($H1556&amp;" "," ","|",1))-1),""))</f>
        <v/>
      </c>
      <c r="D1556" s="58">
        <f>IF($H1556="","",IFERROR(MID($H1556&amp;" ",FIND("|",SUBSTITUTE($H1556&amp;" "," ","|",2))+1,FIND("|",SUBSTITUTE($H1556&amp;" "," ","|",3))-FIND("|",SUBSTITUTE($H1556&amp;" "," ","|",2))-1),""))</f>
        <v/>
      </c>
      <c r="E1556" s="58">
        <f>IF($H1556="","",IFERROR(MID($H1556&amp;" ",FIND("|",SUBSTITUTE($H1556&amp;" "," ","|",3))+1,FIND("|",SUBSTITUTE($H1556&amp;" "," ","|",4))-FIND("|",SUBSTITUTE($H1556&amp;" "," ","|",3))-1),""))</f>
        <v/>
      </c>
      <c r="F1556" s="59">
        <f>IF($H1556="","",IFERROR(VALUE(IFERROR(MID($H1556&amp;" ",FIND("|",SUBSTITUTE($H1556&amp;" "," ","|",4))+1,FIND("|",SUBSTITUTE($H1556&amp;" "," ","|",5))-FIND("|",SUBSTITUTE($H1556&amp;" "," ","|",4))-1),""))/86400+25569+9/24,""))</f>
        <v/>
      </c>
      <c r="G1556" s="58">
        <f>TRIM(SUBSTITUTE(SUBSTITUTE(SUBSTITUTE($A1556,CHAR(9)," ")," "," "),CHAR(13),""))</f>
        <v/>
      </c>
      <c r="H1556" s="58">
        <f>IF($G1556="","",IF(ISNUMBER(FIND(" ",$G1556)),$G1556,IFERROR(IF((LEN(SUBSTITUTE(SUBSTITUTE($G1556,"-"," ",LEN($G1556)-LEN(SUBSTITUTE($G1556,"-",""))),"-"," ",LEN($G1556)-LEN(SUBSTITUTE($G1556,"-",""))-1))-LEN(SUBSTITUTE(SUBSTITUTE(SUBSTITUTE($G1556,"-"," ",LEN($G1556)-LEN(SUBSTITUTE($G1556,"-",""))),"-"," ",LEN($G1556)-LEN(SUBSTITUTE($G1556,"-",""))-1),".","")))=0,SUBSTITUTE(SUBSTITUTE($G1556,"-"," ",LEN($G1556)-LEN(SUBSTITUTE($G1556,"-",""))),"-"," ",LEN($G1556)-LEN(SUBSTITUTE($G1556,"-",""))-1),SUBSTITUTE(SUBSTITUTE(SUBSTITUTE($G1556,"-"," ",LEN($G1556)-LEN(SUBSTITUTE($G1556,"-",""))),"-"," ",LEN($G1556)-LEN(SUBSTITUTE($G1556,"-",""))-1),"."," ",(LEN(SUBSTITUTE(SUBSTITUTE($G1556,"-"," ",LEN($G1556)-LEN(SUBSTITUTE($G1556,"-",""))),"-"," ",LEN($G1556)-LEN(SUBSTITUTE($G1556,"-",""))-1))-LEN(SUBSTITUTE(SUBSTITUTE(SUBSTITUTE($G1556,"-"," ",LEN($G1556)-LEN(SUBSTITUTE($G1556,"-",""))),"-"," ",LEN($G1556)-LEN(SUBSTITUTE($G1556,"-",""))-1),".",""))))),$G1556)))</f>
        <v/>
      </c>
    </row>
    <row r="1557">
      <c r="A1557" s="58" t="n"/>
      <c r="B1557" s="58">
        <f>IF($H1557="","",LEFT($H1557,FIND(" ",$H1557&amp;" ")-1))</f>
        <v/>
      </c>
      <c r="C1557" s="58">
        <f>IF($H1557="","",IFERROR(MID($H1557&amp;" ",FIND("|",SUBSTITUTE($H1557&amp;" "," ","|",1))+1,FIND("|",SUBSTITUTE($H1557&amp;" "," ","|",2))-FIND("|",SUBSTITUTE($H1557&amp;" "," ","|",1))-1),""))</f>
        <v/>
      </c>
      <c r="D1557" s="58">
        <f>IF($H1557="","",IFERROR(MID($H1557&amp;" ",FIND("|",SUBSTITUTE($H1557&amp;" "," ","|",2))+1,FIND("|",SUBSTITUTE($H1557&amp;" "," ","|",3))-FIND("|",SUBSTITUTE($H1557&amp;" "," ","|",2))-1),""))</f>
        <v/>
      </c>
      <c r="E1557" s="58">
        <f>IF($H1557="","",IFERROR(MID($H1557&amp;" ",FIND("|",SUBSTITUTE($H1557&amp;" "," ","|",3))+1,FIND("|",SUBSTITUTE($H1557&amp;" "," ","|",4))-FIND("|",SUBSTITUTE($H1557&amp;" "," ","|",3))-1),""))</f>
        <v/>
      </c>
      <c r="F1557" s="59">
        <f>IF($H1557="","",IFERROR(VALUE(IFERROR(MID($H1557&amp;" ",FIND("|",SUBSTITUTE($H1557&amp;" "," ","|",4))+1,FIND("|",SUBSTITUTE($H1557&amp;" "," ","|",5))-FIND("|",SUBSTITUTE($H1557&amp;" "," ","|",4))-1),""))/86400+25569+9/24,""))</f>
        <v/>
      </c>
      <c r="G1557" s="58">
        <f>TRIM(SUBSTITUTE(SUBSTITUTE(SUBSTITUTE($A1557,CHAR(9)," ")," "," "),CHAR(13),""))</f>
        <v/>
      </c>
      <c r="H1557" s="58">
        <f>IF($G1557="","",IF(ISNUMBER(FIND(" ",$G1557)),$G1557,IFERROR(IF((LEN(SUBSTITUTE(SUBSTITUTE($G1557,"-"," ",LEN($G1557)-LEN(SUBSTITUTE($G1557,"-",""))),"-"," ",LEN($G1557)-LEN(SUBSTITUTE($G1557,"-",""))-1))-LEN(SUBSTITUTE(SUBSTITUTE(SUBSTITUTE($G1557,"-"," ",LEN($G1557)-LEN(SUBSTITUTE($G1557,"-",""))),"-"," ",LEN($G1557)-LEN(SUBSTITUTE($G1557,"-",""))-1),".","")))=0,SUBSTITUTE(SUBSTITUTE($G1557,"-"," ",LEN($G1557)-LEN(SUBSTITUTE($G1557,"-",""))),"-"," ",LEN($G1557)-LEN(SUBSTITUTE($G1557,"-",""))-1),SUBSTITUTE(SUBSTITUTE(SUBSTITUTE($G1557,"-"," ",LEN($G1557)-LEN(SUBSTITUTE($G1557,"-",""))),"-"," ",LEN($G1557)-LEN(SUBSTITUTE($G1557,"-",""))-1),"."," ",(LEN(SUBSTITUTE(SUBSTITUTE($G1557,"-"," ",LEN($G1557)-LEN(SUBSTITUTE($G1557,"-",""))),"-"," ",LEN($G1557)-LEN(SUBSTITUTE($G1557,"-",""))-1))-LEN(SUBSTITUTE(SUBSTITUTE(SUBSTITUTE($G1557,"-"," ",LEN($G1557)-LEN(SUBSTITUTE($G1557,"-",""))),"-"," ",LEN($G1557)-LEN(SUBSTITUTE($G1557,"-",""))-1),".",""))))),$G1557)))</f>
        <v/>
      </c>
    </row>
    <row r="1558">
      <c r="A1558" s="58" t="n"/>
      <c r="B1558" s="58">
        <f>IF($H1558="","",LEFT($H1558,FIND(" ",$H1558&amp;" ")-1))</f>
        <v/>
      </c>
      <c r="C1558" s="58">
        <f>IF($H1558="","",IFERROR(MID($H1558&amp;" ",FIND("|",SUBSTITUTE($H1558&amp;" "," ","|",1))+1,FIND("|",SUBSTITUTE($H1558&amp;" "," ","|",2))-FIND("|",SUBSTITUTE($H1558&amp;" "," ","|",1))-1),""))</f>
        <v/>
      </c>
      <c r="D1558" s="58">
        <f>IF($H1558="","",IFERROR(MID($H1558&amp;" ",FIND("|",SUBSTITUTE($H1558&amp;" "," ","|",2))+1,FIND("|",SUBSTITUTE($H1558&amp;" "," ","|",3))-FIND("|",SUBSTITUTE($H1558&amp;" "," ","|",2))-1),""))</f>
        <v/>
      </c>
      <c r="E1558" s="58">
        <f>IF($H1558="","",IFERROR(MID($H1558&amp;" ",FIND("|",SUBSTITUTE($H1558&amp;" "," ","|",3))+1,FIND("|",SUBSTITUTE($H1558&amp;" "," ","|",4))-FIND("|",SUBSTITUTE($H1558&amp;" "," ","|",3))-1),""))</f>
        <v/>
      </c>
      <c r="F1558" s="59">
        <f>IF($H1558="","",IFERROR(VALUE(IFERROR(MID($H1558&amp;" ",FIND("|",SUBSTITUTE($H1558&amp;" "," ","|",4))+1,FIND("|",SUBSTITUTE($H1558&amp;" "," ","|",5))-FIND("|",SUBSTITUTE($H1558&amp;" "," ","|",4))-1),""))/86400+25569+9/24,""))</f>
        <v/>
      </c>
      <c r="G1558" s="58">
        <f>TRIM(SUBSTITUTE(SUBSTITUTE(SUBSTITUTE($A1558,CHAR(9)," ")," "," "),CHAR(13),""))</f>
        <v/>
      </c>
      <c r="H1558" s="58">
        <f>IF($G1558="","",IF(ISNUMBER(FIND(" ",$G1558)),$G1558,IFERROR(IF((LEN(SUBSTITUTE(SUBSTITUTE($G1558,"-"," ",LEN($G1558)-LEN(SUBSTITUTE($G1558,"-",""))),"-"," ",LEN($G1558)-LEN(SUBSTITUTE($G1558,"-",""))-1))-LEN(SUBSTITUTE(SUBSTITUTE(SUBSTITUTE($G1558,"-"," ",LEN($G1558)-LEN(SUBSTITUTE($G1558,"-",""))),"-"," ",LEN($G1558)-LEN(SUBSTITUTE($G1558,"-",""))-1),".","")))=0,SUBSTITUTE(SUBSTITUTE($G1558,"-"," ",LEN($G1558)-LEN(SUBSTITUTE($G1558,"-",""))),"-"," ",LEN($G1558)-LEN(SUBSTITUTE($G1558,"-",""))-1),SUBSTITUTE(SUBSTITUTE(SUBSTITUTE($G1558,"-"," ",LEN($G1558)-LEN(SUBSTITUTE($G1558,"-",""))),"-"," ",LEN($G1558)-LEN(SUBSTITUTE($G1558,"-",""))-1),"."," ",(LEN(SUBSTITUTE(SUBSTITUTE($G1558,"-"," ",LEN($G1558)-LEN(SUBSTITUTE($G1558,"-",""))),"-"," ",LEN($G1558)-LEN(SUBSTITUTE($G1558,"-",""))-1))-LEN(SUBSTITUTE(SUBSTITUTE(SUBSTITUTE($G1558,"-"," ",LEN($G1558)-LEN(SUBSTITUTE($G1558,"-",""))),"-"," ",LEN($G1558)-LEN(SUBSTITUTE($G1558,"-",""))-1),".",""))))),$G1558)))</f>
        <v/>
      </c>
    </row>
    <row r="1559">
      <c r="A1559" s="58" t="n"/>
      <c r="B1559" s="58">
        <f>IF($H1559="","",LEFT($H1559,FIND(" ",$H1559&amp;" ")-1))</f>
        <v/>
      </c>
      <c r="C1559" s="58">
        <f>IF($H1559="","",IFERROR(MID($H1559&amp;" ",FIND("|",SUBSTITUTE($H1559&amp;" "," ","|",1))+1,FIND("|",SUBSTITUTE($H1559&amp;" "," ","|",2))-FIND("|",SUBSTITUTE($H1559&amp;" "," ","|",1))-1),""))</f>
        <v/>
      </c>
      <c r="D1559" s="58">
        <f>IF($H1559="","",IFERROR(MID($H1559&amp;" ",FIND("|",SUBSTITUTE($H1559&amp;" "," ","|",2))+1,FIND("|",SUBSTITUTE($H1559&amp;" "," ","|",3))-FIND("|",SUBSTITUTE($H1559&amp;" "," ","|",2))-1),""))</f>
        <v/>
      </c>
      <c r="E1559" s="58">
        <f>IF($H1559="","",IFERROR(MID($H1559&amp;" ",FIND("|",SUBSTITUTE($H1559&amp;" "," ","|",3))+1,FIND("|",SUBSTITUTE($H1559&amp;" "," ","|",4))-FIND("|",SUBSTITUTE($H1559&amp;" "," ","|",3))-1),""))</f>
        <v/>
      </c>
      <c r="F1559" s="59">
        <f>IF($H1559="","",IFERROR(VALUE(IFERROR(MID($H1559&amp;" ",FIND("|",SUBSTITUTE($H1559&amp;" "," ","|",4))+1,FIND("|",SUBSTITUTE($H1559&amp;" "," ","|",5))-FIND("|",SUBSTITUTE($H1559&amp;" "," ","|",4))-1),""))/86400+25569+9/24,""))</f>
        <v/>
      </c>
      <c r="G1559" s="58">
        <f>TRIM(SUBSTITUTE(SUBSTITUTE(SUBSTITUTE($A1559,CHAR(9)," ")," "," "),CHAR(13),""))</f>
        <v/>
      </c>
      <c r="H1559" s="58">
        <f>IF($G1559="","",IF(ISNUMBER(FIND(" ",$G1559)),$G1559,IFERROR(IF((LEN(SUBSTITUTE(SUBSTITUTE($G1559,"-"," ",LEN($G1559)-LEN(SUBSTITUTE($G1559,"-",""))),"-"," ",LEN($G1559)-LEN(SUBSTITUTE($G1559,"-",""))-1))-LEN(SUBSTITUTE(SUBSTITUTE(SUBSTITUTE($G1559,"-"," ",LEN($G1559)-LEN(SUBSTITUTE($G1559,"-",""))),"-"," ",LEN($G1559)-LEN(SUBSTITUTE($G1559,"-",""))-1),".","")))=0,SUBSTITUTE(SUBSTITUTE($G1559,"-"," ",LEN($G1559)-LEN(SUBSTITUTE($G1559,"-",""))),"-"," ",LEN($G1559)-LEN(SUBSTITUTE($G1559,"-",""))-1),SUBSTITUTE(SUBSTITUTE(SUBSTITUTE($G1559,"-"," ",LEN($G1559)-LEN(SUBSTITUTE($G1559,"-",""))),"-"," ",LEN($G1559)-LEN(SUBSTITUTE($G1559,"-",""))-1),"."," ",(LEN(SUBSTITUTE(SUBSTITUTE($G1559,"-"," ",LEN($G1559)-LEN(SUBSTITUTE($G1559,"-",""))),"-"," ",LEN($G1559)-LEN(SUBSTITUTE($G1559,"-",""))-1))-LEN(SUBSTITUTE(SUBSTITUTE(SUBSTITUTE($G1559,"-"," ",LEN($G1559)-LEN(SUBSTITUTE($G1559,"-",""))),"-"," ",LEN($G1559)-LEN(SUBSTITUTE($G1559,"-",""))-1),".",""))))),$G1559)))</f>
        <v/>
      </c>
    </row>
    <row r="1560">
      <c r="A1560" s="58" t="n"/>
      <c r="B1560" s="58">
        <f>IF($H1560="","",LEFT($H1560,FIND(" ",$H1560&amp;" ")-1))</f>
        <v/>
      </c>
      <c r="C1560" s="58">
        <f>IF($H1560="","",IFERROR(MID($H1560&amp;" ",FIND("|",SUBSTITUTE($H1560&amp;" "," ","|",1))+1,FIND("|",SUBSTITUTE($H1560&amp;" "," ","|",2))-FIND("|",SUBSTITUTE($H1560&amp;" "," ","|",1))-1),""))</f>
        <v/>
      </c>
      <c r="D1560" s="58">
        <f>IF($H1560="","",IFERROR(MID($H1560&amp;" ",FIND("|",SUBSTITUTE($H1560&amp;" "," ","|",2))+1,FIND("|",SUBSTITUTE($H1560&amp;" "," ","|",3))-FIND("|",SUBSTITUTE($H1560&amp;" "," ","|",2))-1),""))</f>
        <v/>
      </c>
      <c r="E1560" s="58">
        <f>IF($H1560="","",IFERROR(MID($H1560&amp;" ",FIND("|",SUBSTITUTE($H1560&amp;" "," ","|",3))+1,FIND("|",SUBSTITUTE($H1560&amp;" "," ","|",4))-FIND("|",SUBSTITUTE($H1560&amp;" "," ","|",3))-1),""))</f>
        <v/>
      </c>
      <c r="F1560" s="59">
        <f>IF($H1560="","",IFERROR(VALUE(IFERROR(MID($H1560&amp;" ",FIND("|",SUBSTITUTE($H1560&amp;" "," ","|",4))+1,FIND("|",SUBSTITUTE($H1560&amp;" "," ","|",5))-FIND("|",SUBSTITUTE($H1560&amp;" "," ","|",4))-1),""))/86400+25569+9/24,""))</f>
        <v/>
      </c>
      <c r="G1560" s="58">
        <f>TRIM(SUBSTITUTE(SUBSTITUTE(SUBSTITUTE($A1560,CHAR(9)," ")," "," "),CHAR(13),""))</f>
        <v/>
      </c>
      <c r="H1560" s="58">
        <f>IF($G1560="","",IF(ISNUMBER(FIND(" ",$G1560)),$G1560,IFERROR(IF((LEN(SUBSTITUTE(SUBSTITUTE($G1560,"-"," ",LEN($G1560)-LEN(SUBSTITUTE($G1560,"-",""))),"-"," ",LEN($G1560)-LEN(SUBSTITUTE($G1560,"-",""))-1))-LEN(SUBSTITUTE(SUBSTITUTE(SUBSTITUTE($G1560,"-"," ",LEN($G1560)-LEN(SUBSTITUTE($G1560,"-",""))),"-"," ",LEN($G1560)-LEN(SUBSTITUTE($G1560,"-",""))-1),".","")))=0,SUBSTITUTE(SUBSTITUTE($G1560,"-"," ",LEN($G1560)-LEN(SUBSTITUTE($G1560,"-",""))),"-"," ",LEN($G1560)-LEN(SUBSTITUTE($G1560,"-",""))-1),SUBSTITUTE(SUBSTITUTE(SUBSTITUTE($G1560,"-"," ",LEN($G1560)-LEN(SUBSTITUTE($G1560,"-",""))),"-"," ",LEN($G1560)-LEN(SUBSTITUTE($G1560,"-",""))-1),"."," ",(LEN(SUBSTITUTE(SUBSTITUTE($G1560,"-"," ",LEN($G1560)-LEN(SUBSTITUTE($G1560,"-",""))),"-"," ",LEN($G1560)-LEN(SUBSTITUTE($G1560,"-",""))-1))-LEN(SUBSTITUTE(SUBSTITUTE(SUBSTITUTE($G1560,"-"," ",LEN($G1560)-LEN(SUBSTITUTE($G1560,"-",""))),"-"," ",LEN($G1560)-LEN(SUBSTITUTE($G1560,"-",""))-1),".",""))))),$G1560)))</f>
        <v/>
      </c>
    </row>
    <row r="1561">
      <c r="A1561" s="58" t="n"/>
      <c r="B1561" s="58">
        <f>IF($H1561="","",LEFT($H1561,FIND(" ",$H1561&amp;" ")-1))</f>
        <v/>
      </c>
      <c r="C1561" s="58">
        <f>IF($H1561="","",IFERROR(MID($H1561&amp;" ",FIND("|",SUBSTITUTE($H1561&amp;" "," ","|",1))+1,FIND("|",SUBSTITUTE($H1561&amp;" "," ","|",2))-FIND("|",SUBSTITUTE($H1561&amp;" "," ","|",1))-1),""))</f>
        <v/>
      </c>
      <c r="D1561" s="58">
        <f>IF($H1561="","",IFERROR(MID($H1561&amp;" ",FIND("|",SUBSTITUTE($H1561&amp;" "," ","|",2))+1,FIND("|",SUBSTITUTE($H1561&amp;" "," ","|",3))-FIND("|",SUBSTITUTE($H1561&amp;" "," ","|",2))-1),""))</f>
        <v/>
      </c>
      <c r="E1561" s="58">
        <f>IF($H1561="","",IFERROR(MID($H1561&amp;" ",FIND("|",SUBSTITUTE($H1561&amp;" "," ","|",3))+1,FIND("|",SUBSTITUTE($H1561&amp;" "," ","|",4))-FIND("|",SUBSTITUTE($H1561&amp;" "," ","|",3))-1),""))</f>
        <v/>
      </c>
      <c r="F1561" s="59">
        <f>IF($H1561="","",IFERROR(VALUE(IFERROR(MID($H1561&amp;" ",FIND("|",SUBSTITUTE($H1561&amp;" "," ","|",4))+1,FIND("|",SUBSTITUTE($H1561&amp;" "," ","|",5))-FIND("|",SUBSTITUTE($H1561&amp;" "," ","|",4))-1),""))/86400+25569+9/24,""))</f>
        <v/>
      </c>
      <c r="G1561" s="58">
        <f>TRIM(SUBSTITUTE(SUBSTITUTE(SUBSTITUTE($A1561,CHAR(9)," ")," "," "),CHAR(13),""))</f>
        <v/>
      </c>
      <c r="H1561" s="58">
        <f>IF($G1561="","",IF(ISNUMBER(FIND(" ",$G1561)),$G1561,IFERROR(IF((LEN(SUBSTITUTE(SUBSTITUTE($G1561,"-"," ",LEN($G1561)-LEN(SUBSTITUTE($G1561,"-",""))),"-"," ",LEN($G1561)-LEN(SUBSTITUTE($G1561,"-",""))-1))-LEN(SUBSTITUTE(SUBSTITUTE(SUBSTITUTE($G1561,"-"," ",LEN($G1561)-LEN(SUBSTITUTE($G1561,"-",""))),"-"," ",LEN($G1561)-LEN(SUBSTITUTE($G1561,"-",""))-1),".","")))=0,SUBSTITUTE(SUBSTITUTE($G1561,"-"," ",LEN($G1561)-LEN(SUBSTITUTE($G1561,"-",""))),"-"," ",LEN($G1561)-LEN(SUBSTITUTE($G1561,"-",""))-1),SUBSTITUTE(SUBSTITUTE(SUBSTITUTE($G1561,"-"," ",LEN($G1561)-LEN(SUBSTITUTE($G1561,"-",""))),"-"," ",LEN($G1561)-LEN(SUBSTITUTE($G1561,"-",""))-1),"."," ",(LEN(SUBSTITUTE(SUBSTITUTE($G1561,"-"," ",LEN($G1561)-LEN(SUBSTITUTE($G1561,"-",""))),"-"," ",LEN($G1561)-LEN(SUBSTITUTE($G1561,"-",""))-1))-LEN(SUBSTITUTE(SUBSTITUTE(SUBSTITUTE($G1561,"-"," ",LEN($G1561)-LEN(SUBSTITUTE($G1561,"-",""))),"-"," ",LEN($G1561)-LEN(SUBSTITUTE($G1561,"-",""))-1),".",""))))),$G1561)))</f>
        <v/>
      </c>
    </row>
    <row r="1562">
      <c r="A1562" s="58" t="n"/>
      <c r="B1562" s="58">
        <f>IF($H1562="","",LEFT($H1562,FIND(" ",$H1562&amp;" ")-1))</f>
        <v/>
      </c>
      <c r="C1562" s="58">
        <f>IF($H1562="","",IFERROR(MID($H1562&amp;" ",FIND("|",SUBSTITUTE($H1562&amp;" "," ","|",1))+1,FIND("|",SUBSTITUTE($H1562&amp;" "," ","|",2))-FIND("|",SUBSTITUTE($H1562&amp;" "," ","|",1))-1),""))</f>
        <v/>
      </c>
      <c r="D1562" s="58">
        <f>IF($H1562="","",IFERROR(MID($H1562&amp;" ",FIND("|",SUBSTITUTE($H1562&amp;" "," ","|",2))+1,FIND("|",SUBSTITUTE($H1562&amp;" "," ","|",3))-FIND("|",SUBSTITUTE($H1562&amp;" "," ","|",2))-1),""))</f>
        <v/>
      </c>
      <c r="E1562" s="58">
        <f>IF($H1562="","",IFERROR(MID($H1562&amp;" ",FIND("|",SUBSTITUTE($H1562&amp;" "," ","|",3))+1,FIND("|",SUBSTITUTE($H1562&amp;" "," ","|",4))-FIND("|",SUBSTITUTE($H1562&amp;" "," ","|",3))-1),""))</f>
        <v/>
      </c>
      <c r="F1562" s="59">
        <f>IF($H1562="","",IFERROR(VALUE(IFERROR(MID($H1562&amp;" ",FIND("|",SUBSTITUTE($H1562&amp;" "," ","|",4))+1,FIND("|",SUBSTITUTE($H1562&amp;" "," ","|",5))-FIND("|",SUBSTITUTE($H1562&amp;" "," ","|",4))-1),""))/86400+25569+9/24,""))</f>
        <v/>
      </c>
      <c r="G1562" s="58">
        <f>TRIM(SUBSTITUTE(SUBSTITUTE(SUBSTITUTE($A1562,CHAR(9)," ")," "," "),CHAR(13),""))</f>
        <v/>
      </c>
      <c r="H1562" s="58">
        <f>IF($G1562="","",IF(ISNUMBER(FIND(" ",$G1562)),$G1562,IFERROR(IF((LEN(SUBSTITUTE(SUBSTITUTE($G1562,"-"," ",LEN($G1562)-LEN(SUBSTITUTE($G1562,"-",""))),"-"," ",LEN($G1562)-LEN(SUBSTITUTE($G1562,"-",""))-1))-LEN(SUBSTITUTE(SUBSTITUTE(SUBSTITUTE($G1562,"-"," ",LEN($G1562)-LEN(SUBSTITUTE($G1562,"-",""))),"-"," ",LEN($G1562)-LEN(SUBSTITUTE($G1562,"-",""))-1),".","")))=0,SUBSTITUTE(SUBSTITUTE($G1562,"-"," ",LEN($G1562)-LEN(SUBSTITUTE($G1562,"-",""))),"-"," ",LEN($G1562)-LEN(SUBSTITUTE($G1562,"-",""))-1),SUBSTITUTE(SUBSTITUTE(SUBSTITUTE($G1562,"-"," ",LEN($G1562)-LEN(SUBSTITUTE($G1562,"-",""))),"-"," ",LEN($G1562)-LEN(SUBSTITUTE($G1562,"-",""))-1),"."," ",(LEN(SUBSTITUTE(SUBSTITUTE($G1562,"-"," ",LEN($G1562)-LEN(SUBSTITUTE($G1562,"-",""))),"-"," ",LEN($G1562)-LEN(SUBSTITUTE($G1562,"-",""))-1))-LEN(SUBSTITUTE(SUBSTITUTE(SUBSTITUTE($G1562,"-"," ",LEN($G1562)-LEN(SUBSTITUTE($G1562,"-",""))),"-"," ",LEN($G1562)-LEN(SUBSTITUTE($G1562,"-",""))-1),".",""))))),$G1562)))</f>
        <v/>
      </c>
    </row>
    <row r="1563">
      <c r="A1563" s="58" t="n"/>
      <c r="B1563" s="58">
        <f>IF($H1563="","",LEFT($H1563,FIND(" ",$H1563&amp;" ")-1))</f>
        <v/>
      </c>
      <c r="C1563" s="58">
        <f>IF($H1563="","",IFERROR(MID($H1563&amp;" ",FIND("|",SUBSTITUTE($H1563&amp;" "," ","|",1))+1,FIND("|",SUBSTITUTE($H1563&amp;" "," ","|",2))-FIND("|",SUBSTITUTE($H1563&amp;" "," ","|",1))-1),""))</f>
        <v/>
      </c>
      <c r="D1563" s="58">
        <f>IF($H1563="","",IFERROR(MID($H1563&amp;" ",FIND("|",SUBSTITUTE($H1563&amp;" "," ","|",2))+1,FIND("|",SUBSTITUTE($H1563&amp;" "," ","|",3))-FIND("|",SUBSTITUTE($H1563&amp;" "," ","|",2))-1),""))</f>
        <v/>
      </c>
      <c r="E1563" s="58">
        <f>IF($H1563="","",IFERROR(MID($H1563&amp;" ",FIND("|",SUBSTITUTE($H1563&amp;" "," ","|",3))+1,FIND("|",SUBSTITUTE($H1563&amp;" "," ","|",4))-FIND("|",SUBSTITUTE($H1563&amp;" "," ","|",3))-1),""))</f>
        <v/>
      </c>
      <c r="F1563" s="59">
        <f>IF($H1563="","",IFERROR(VALUE(IFERROR(MID($H1563&amp;" ",FIND("|",SUBSTITUTE($H1563&amp;" "," ","|",4))+1,FIND("|",SUBSTITUTE($H1563&amp;" "," ","|",5))-FIND("|",SUBSTITUTE($H1563&amp;" "," ","|",4))-1),""))/86400+25569+9/24,""))</f>
        <v/>
      </c>
      <c r="G1563" s="58">
        <f>TRIM(SUBSTITUTE(SUBSTITUTE(SUBSTITUTE($A1563,CHAR(9)," ")," "," "),CHAR(13),""))</f>
        <v/>
      </c>
      <c r="H1563" s="58">
        <f>IF($G1563="","",IF(ISNUMBER(FIND(" ",$G1563)),$G1563,IFERROR(IF((LEN(SUBSTITUTE(SUBSTITUTE($G1563,"-"," ",LEN($G1563)-LEN(SUBSTITUTE($G1563,"-",""))),"-"," ",LEN($G1563)-LEN(SUBSTITUTE($G1563,"-",""))-1))-LEN(SUBSTITUTE(SUBSTITUTE(SUBSTITUTE($G1563,"-"," ",LEN($G1563)-LEN(SUBSTITUTE($G1563,"-",""))),"-"," ",LEN($G1563)-LEN(SUBSTITUTE($G1563,"-",""))-1),".","")))=0,SUBSTITUTE(SUBSTITUTE($G1563,"-"," ",LEN($G1563)-LEN(SUBSTITUTE($G1563,"-",""))),"-"," ",LEN($G1563)-LEN(SUBSTITUTE($G1563,"-",""))-1),SUBSTITUTE(SUBSTITUTE(SUBSTITUTE($G1563,"-"," ",LEN($G1563)-LEN(SUBSTITUTE($G1563,"-",""))),"-"," ",LEN($G1563)-LEN(SUBSTITUTE($G1563,"-",""))-1),"."," ",(LEN(SUBSTITUTE(SUBSTITUTE($G1563,"-"," ",LEN($G1563)-LEN(SUBSTITUTE($G1563,"-",""))),"-"," ",LEN($G1563)-LEN(SUBSTITUTE($G1563,"-",""))-1))-LEN(SUBSTITUTE(SUBSTITUTE(SUBSTITUTE($G1563,"-"," ",LEN($G1563)-LEN(SUBSTITUTE($G1563,"-",""))),"-"," ",LEN($G1563)-LEN(SUBSTITUTE($G1563,"-",""))-1),".",""))))),$G1563)))</f>
        <v/>
      </c>
    </row>
    <row r="1564">
      <c r="A1564" s="58" t="n"/>
      <c r="B1564" s="58">
        <f>IF($H1564="","",LEFT($H1564,FIND(" ",$H1564&amp;" ")-1))</f>
        <v/>
      </c>
      <c r="C1564" s="58">
        <f>IF($H1564="","",IFERROR(MID($H1564&amp;" ",FIND("|",SUBSTITUTE($H1564&amp;" "," ","|",1))+1,FIND("|",SUBSTITUTE($H1564&amp;" "," ","|",2))-FIND("|",SUBSTITUTE($H1564&amp;" "," ","|",1))-1),""))</f>
        <v/>
      </c>
      <c r="D1564" s="58">
        <f>IF($H1564="","",IFERROR(MID($H1564&amp;" ",FIND("|",SUBSTITUTE($H1564&amp;" "," ","|",2))+1,FIND("|",SUBSTITUTE($H1564&amp;" "," ","|",3))-FIND("|",SUBSTITUTE($H1564&amp;" "," ","|",2))-1),""))</f>
        <v/>
      </c>
      <c r="E1564" s="58">
        <f>IF($H1564="","",IFERROR(MID($H1564&amp;" ",FIND("|",SUBSTITUTE($H1564&amp;" "," ","|",3))+1,FIND("|",SUBSTITUTE($H1564&amp;" "," ","|",4))-FIND("|",SUBSTITUTE($H1564&amp;" "," ","|",3))-1),""))</f>
        <v/>
      </c>
      <c r="F1564" s="59">
        <f>IF($H1564="","",IFERROR(VALUE(IFERROR(MID($H1564&amp;" ",FIND("|",SUBSTITUTE($H1564&amp;" "," ","|",4))+1,FIND("|",SUBSTITUTE($H1564&amp;" "," ","|",5))-FIND("|",SUBSTITUTE($H1564&amp;" "," ","|",4))-1),""))/86400+25569+9/24,""))</f>
        <v/>
      </c>
      <c r="G1564" s="58">
        <f>TRIM(SUBSTITUTE(SUBSTITUTE(SUBSTITUTE($A1564,CHAR(9)," ")," "," "),CHAR(13),""))</f>
        <v/>
      </c>
      <c r="H1564" s="58">
        <f>IF($G1564="","",IF(ISNUMBER(FIND(" ",$G1564)),$G1564,IFERROR(IF((LEN(SUBSTITUTE(SUBSTITUTE($G1564,"-"," ",LEN($G1564)-LEN(SUBSTITUTE($G1564,"-",""))),"-"," ",LEN($G1564)-LEN(SUBSTITUTE($G1564,"-",""))-1))-LEN(SUBSTITUTE(SUBSTITUTE(SUBSTITUTE($G1564,"-"," ",LEN($G1564)-LEN(SUBSTITUTE($G1564,"-",""))),"-"," ",LEN($G1564)-LEN(SUBSTITUTE($G1564,"-",""))-1),".","")))=0,SUBSTITUTE(SUBSTITUTE($G1564,"-"," ",LEN($G1564)-LEN(SUBSTITUTE($G1564,"-",""))),"-"," ",LEN($G1564)-LEN(SUBSTITUTE($G1564,"-",""))-1),SUBSTITUTE(SUBSTITUTE(SUBSTITUTE($G1564,"-"," ",LEN($G1564)-LEN(SUBSTITUTE($G1564,"-",""))),"-"," ",LEN($G1564)-LEN(SUBSTITUTE($G1564,"-",""))-1),"."," ",(LEN(SUBSTITUTE(SUBSTITUTE($G1564,"-"," ",LEN($G1564)-LEN(SUBSTITUTE($G1564,"-",""))),"-"," ",LEN($G1564)-LEN(SUBSTITUTE($G1564,"-",""))-1))-LEN(SUBSTITUTE(SUBSTITUTE(SUBSTITUTE($G1564,"-"," ",LEN($G1564)-LEN(SUBSTITUTE($G1564,"-",""))),"-"," ",LEN($G1564)-LEN(SUBSTITUTE($G1564,"-",""))-1),".",""))))),$G1564)))</f>
        <v/>
      </c>
    </row>
    <row r="1565">
      <c r="A1565" s="58" t="n"/>
      <c r="B1565" s="58">
        <f>IF($H1565="","",LEFT($H1565,FIND(" ",$H1565&amp;" ")-1))</f>
        <v/>
      </c>
      <c r="C1565" s="58">
        <f>IF($H1565="","",IFERROR(MID($H1565&amp;" ",FIND("|",SUBSTITUTE($H1565&amp;" "," ","|",1))+1,FIND("|",SUBSTITUTE($H1565&amp;" "," ","|",2))-FIND("|",SUBSTITUTE($H1565&amp;" "," ","|",1))-1),""))</f>
        <v/>
      </c>
      <c r="D1565" s="58">
        <f>IF($H1565="","",IFERROR(MID($H1565&amp;" ",FIND("|",SUBSTITUTE($H1565&amp;" "," ","|",2))+1,FIND("|",SUBSTITUTE($H1565&amp;" "," ","|",3))-FIND("|",SUBSTITUTE($H1565&amp;" "," ","|",2))-1),""))</f>
        <v/>
      </c>
      <c r="E1565" s="58">
        <f>IF($H1565="","",IFERROR(MID($H1565&amp;" ",FIND("|",SUBSTITUTE($H1565&amp;" "," ","|",3))+1,FIND("|",SUBSTITUTE($H1565&amp;" "," ","|",4))-FIND("|",SUBSTITUTE($H1565&amp;" "," ","|",3))-1),""))</f>
        <v/>
      </c>
      <c r="F1565" s="59">
        <f>IF($H1565="","",IFERROR(VALUE(IFERROR(MID($H1565&amp;" ",FIND("|",SUBSTITUTE($H1565&amp;" "," ","|",4))+1,FIND("|",SUBSTITUTE($H1565&amp;" "," ","|",5))-FIND("|",SUBSTITUTE($H1565&amp;" "," ","|",4))-1),""))/86400+25569+9/24,""))</f>
        <v/>
      </c>
      <c r="G1565" s="58">
        <f>TRIM(SUBSTITUTE(SUBSTITUTE(SUBSTITUTE($A1565,CHAR(9)," ")," "," "),CHAR(13),""))</f>
        <v/>
      </c>
      <c r="H1565" s="58">
        <f>IF($G1565="","",IF(ISNUMBER(FIND(" ",$G1565)),$G1565,IFERROR(IF((LEN(SUBSTITUTE(SUBSTITUTE($G1565,"-"," ",LEN($G1565)-LEN(SUBSTITUTE($G1565,"-",""))),"-"," ",LEN($G1565)-LEN(SUBSTITUTE($G1565,"-",""))-1))-LEN(SUBSTITUTE(SUBSTITUTE(SUBSTITUTE($G1565,"-"," ",LEN($G1565)-LEN(SUBSTITUTE($G1565,"-",""))),"-"," ",LEN($G1565)-LEN(SUBSTITUTE($G1565,"-",""))-1),".","")))=0,SUBSTITUTE(SUBSTITUTE($G1565,"-"," ",LEN($G1565)-LEN(SUBSTITUTE($G1565,"-",""))),"-"," ",LEN($G1565)-LEN(SUBSTITUTE($G1565,"-",""))-1),SUBSTITUTE(SUBSTITUTE(SUBSTITUTE($G1565,"-"," ",LEN($G1565)-LEN(SUBSTITUTE($G1565,"-",""))),"-"," ",LEN($G1565)-LEN(SUBSTITUTE($G1565,"-",""))-1),"."," ",(LEN(SUBSTITUTE(SUBSTITUTE($G1565,"-"," ",LEN($G1565)-LEN(SUBSTITUTE($G1565,"-",""))),"-"," ",LEN($G1565)-LEN(SUBSTITUTE($G1565,"-",""))-1))-LEN(SUBSTITUTE(SUBSTITUTE(SUBSTITUTE($G1565,"-"," ",LEN($G1565)-LEN(SUBSTITUTE($G1565,"-",""))),"-"," ",LEN($G1565)-LEN(SUBSTITUTE($G1565,"-",""))-1),".",""))))),$G1565)))</f>
        <v/>
      </c>
    </row>
    <row r="1566">
      <c r="A1566" s="58" t="n"/>
      <c r="B1566" s="58">
        <f>IF($H1566="","",LEFT($H1566,FIND(" ",$H1566&amp;" ")-1))</f>
        <v/>
      </c>
      <c r="C1566" s="58">
        <f>IF($H1566="","",IFERROR(MID($H1566&amp;" ",FIND("|",SUBSTITUTE($H1566&amp;" "," ","|",1))+1,FIND("|",SUBSTITUTE($H1566&amp;" "," ","|",2))-FIND("|",SUBSTITUTE($H1566&amp;" "," ","|",1))-1),""))</f>
        <v/>
      </c>
      <c r="D1566" s="58">
        <f>IF($H1566="","",IFERROR(MID($H1566&amp;" ",FIND("|",SUBSTITUTE($H1566&amp;" "," ","|",2))+1,FIND("|",SUBSTITUTE($H1566&amp;" "," ","|",3))-FIND("|",SUBSTITUTE($H1566&amp;" "," ","|",2))-1),""))</f>
        <v/>
      </c>
      <c r="E1566" s="58">
        <f>IF($H1566="","",IFERROR(MID($H1566&amp;" ",FIND("|",SUBSTITUTE($H1566&amp;" "," ","|",3))+1,FIND("|",SUBSTITUTE($H1566&amp;" "," ","|",4))-FIND("|",SUBSTITUTE($H1566&amp;" "," ","|",3))-1),""))</f>
        <v/>
      </c>
      <c r="F1566" s="59">
        <f>IF($H1566="","",IFERROR(VALUE(IFERROR(MID($H1566&amp;" ",FIND("|",SUBSTITUTE($H1566&amp;" "," ","|",4))+1,FIND("|",SUBSTITUTE($H1566&amp;" "," ","|",5))-FIND("|",SUBSTITUTE($H1566&amp;" "," ","|",4))-1),""))/86400+25569+9/24,""))</f>
        <v/>
      </c>
      <c r="G1566" s="58">
        <f>TRIM(SUBSTITUTE(SUBSTITUTE(SUBSTITUTE($A1566,CHAR(9)," ")," "," "),CHAR(13),""))</f>
        <v/>
      </c>
      <c r="H1566" s="58">
        <f>IF($G1566="","",IF(ISNUMBER(FIND(" ",$G1566)),$G1566,IFERROR(IF((LEN(SUBSTITUTE(SUBSTITUTE($G1566,"-"," ",LEN($G1566)-LEN(SUBSTITUTE($G1566,"-",""))),"-"," ",LEN($G1566)-LEN(SUBSTITUTE($G1566,"-",""))-1))-LEN(SUBSTITUTE(SUBSTITUTE(SUBSTITUTE($G1566,"-"," ",LEN($G1566)-LEN(SUBSTITUTE($G1566,"-",""))),"-"," ",LEN($G1566)-LEN(SUBSTITUTE($G1566,"-",""))-1),".","")))=0,SUBSTITUTE(SUBSTITUTE($G1566,"-"," ",LEN($G1566)-LEN(SUBSTITUTE($G1566,"-",""))),"-"," ",LEN($G1566)-LEN(SUBSTITUTE($G1566,"-",""))-1),SUBSTITUTE(SUBSTITUTE(SUBSTITUTE($G1566,"-"," ",LEN($G1566)-LEN(SUBSTITUTE($G1566,"-",""))),"-"," ",LEN($G1566)-LEN(SUBSTITUTE($G1566,"-",""))-1),"."," ",(LEN(SUBSTITUTE(SUBSTITUTE($G1566,"-"," ",LEN($G1566)-LEN(SUBSTITUTE($G1566,"-",""))),"-"," ",LEN($G1566)-LEN(SUBSTITUTE($G1566,"-",""))-1))-LEN(SUBSTITUTE(SUBSTITUTE(SUBSTITUTE($G1566,"-"," ",LEN($G1566)-LEN(SUBSTITUTE($G1566,"-",""))),"-"," ",LEN($G1566)-LEN(SUBSTITUTE($G1566,"-",""))-1),".",""))))),$G1566)))</f>
        <v/>
      </c>
    </row>
    <row r="1567">
      <c r="A1567" s="58" t="n"/>
      <c r="B1567" s="58">
        <f>IF($H1567="","",LEFT($H1567,FIND(" ",$H1567&amp;" ")-1))</f>
        <v/>
      </c>
      <c r="C1567" s="58">
        <f>IF($H1567="","",IFERROR(MID($H1567&amp;" ",FIND("|",SUBSTITUTE($H1567&amp;" "," ","|",1))+1,FIND("|",SUBSTITUTE($H1567&amp;" "," ","|",2))-FIND("|",SUBSTITUTE($H1567&amp;" "," ","|",1))-1),""))</f>
        <v/>
      </c>
      <c r="D1567" s="58">
        <f>IF($H1567="","",IFERROR(MID($H1567&amp;" ",FIND("|",SUBSTITUTE($H1567&amp;" "," ","|",2))+1,FIND("|",SUBSTITUTE($H1567&amp;" "," ","|",3))-FIND("|",SUBSTITUTE($H1567&amp;" "," ","|",2))-1),""))</f>
        <v/>
      </c>
      <c r="E1567" s="58">
        <f>IF($H1567="","",IFERROR(MID($H1567&amp;" ",FIND("|",SUBSTITUTE($H1567&amp;" "," ","|",3))+1,FIND("|",SUBSTITUTE($H1567&amp;" "," ","|",4))-FIND("|",SUBSTITUTE($H1567&amp;" "," ","|",3))-1),""))</f>
        <v/>
      </c>
      <c r="F1567" s="59">
        <f>IF($H1567="","",IFERROR(VALUE(IFERROR(MID($H1567&amp;" ",FIND("|",SUBSTITUTE($H1567&amp;" "," ","|",4))+1,FIND("|",SUBSTITUTE($H1567&amp;" "," ","|",5))-FIND("|",SUBSTITUTE($H1567&amp;" "," ","|",4))-1),""))/86400+25569+9/24,""))</f>
        <v/>
      </c>
      <c r="G1567" s="58">
        <f>TRIM(SUBSTITUTE(SUBSTITUTE(SUBSTITUTE($A1567,CHAR(9)," ")," "," "),CHAR(13),""))</f>
        <v/>
      </c>
      <c r="H1567" s="58">
        <f>IF($G1567="","",IF(ISNUMBER(FIND(" ",$G1567)),$G1567,IFERROR(IF((LEN(SUBSTITUTE(SUBSTITUTE($G1567,"-"," ",LEN($G1567)-LEN(SUBSTITUTE($G1567,"-",""))),"-"," ",LEN($G1567)-LEN(SUBSTITUTE($G1567,"-",""))-1))-LEN(SUBSTITUTE(SUBSTITUTE(SUBSTITUTE($G1567,"-"," ",LEN($G1567)-LEN(SUBSTITUTE($G1567,"-",""))),"-"," ",LEN($G1567)-LEN(SUBSTITUTE($G1567,"-",""))-1),".","")))=0,SUBSTITUTE(SUBSTITUTE($G1567,"-"," ",LEN($G1567)-LEN(SUBSTITUTE($G1567,"-",""))),"-"," ",LEN($G1567)-LEN(SUBSTITUTE($G1567,"-",""))-1),SUBSTITUTE(SUBSTITUTE(SUBSTITUTE($G1567,"-"," ",LEN($G1567)-LEN(SUBSTITUTE($G1567,"-",""))),"-"," ",LEN($G1567)-LEN(SUBSTITUTE($G1567,"-",""))-1),"."," ",(LEN(SUBSTITUTE(SUBSTITUTE($G1567,"-"," ",LEN($G1567)-LEN(SUBSTITUTE($G1567,"-",""))),"-"," ",LEN($G1567)-LEN(SUBSTITUTE($G1567,"-",""))-1))-LEN(SUBSTITUTE(SUBSTITUTE(SUBSTITUTE($G1567,"-"," ",LEN($G1567)-LEN(SUBSTITUTE($G1567,"-",""))),"-"," ",LEN($G1567)-LEN(SUBSTITUTE($G1567,"-",""))-1),".",""))))),$G1567)))</f>
        <v/>
      </c>
    </row>
    <row r="1568">
      <c r="A1568" s="58" t="n"/>
      <c r="B1568" s="58">
        <f>IF($H1568="","",LEFT($H1568,FIND(" ",$H1568&amp;" ")-1))</f>
        <v/>
      </c>
      <c r="C1568" s="58">
        <f>IF($H1568="","",IFERROR(MID($H1568&amp;" ",FIND("|",SUBSTITUTE($H1568&amp;" "," ","|",1))+1,FIND("|",SUBSTITUTE($H1568&amp;" "," ","|",2))-FIND("|",SUBSTITUTE($H1568&amp;" "," ","|",1))-1),""))</f>
        <v/>
      </c>
      <c r="D1568" s="58">
        <f>IF($H1568="","",IFERROR(MID($H1568&amp;" ",FIND("|",SUBSTITUTE($H1568&amp;" "," ","|",2))+1,FIND("|",SUBSTITUTE($H1568&amp;" "," ","|",3))-FIND("|",SUBSTITUTE($H1568&amp;" "," ","|",2))-1),""))</f>
        <v/>
      </c>
      <c r="E1568" s="58">
        <f>IF($H1568="","",IFERROR(MID($H1568&amp;" ",FIND("|",SUBSTITUTE($H1568&amp;" "," ","|",3))+1,FIND("|",SUBSTITUTE($H1568&amp;" "," ","|",4))-FIND("|",SUBSTITUTE($H1568&amp;" "," ","|",3))-1),""))</f>
        <v/>
      </c>
      <c r="F1568" s="59">
        <f>IF($H1568="","",IFERROR(VALUE(IFERROR(MID($H1568&amp;" ",FIND("|",SUBSTITUTE($H1568&amp;" "," ","|",4))+1,FIND("|",SUBSTITUTE($H1568&amp;" "," ","|",5))-FIND("|",SUBSTITUTE($H1568&amp;" "," ","|",4))-1),""))/86400+25569+9/24,""))</f>
        <v/>
      </c>
      <c r="G1568" s="58">
        <f>TRIM(SUBSTITUTE(SUBSTITUTE(SUBSTITUTE($A1568,CHAR(9)," ")," "," "),CHAR(13),""))</f>
        <v/>
      </c>
      <c r="H1568" s="58">
        <f>IF($G1568="","",IF(ISNUMBER(FIND(" ",$G1568)),$G1568,IFERROR(IF((LEN(SUBSTITUTE(SUBSTITUTE($G1568,"-"," ",LEN($G1568)-LEN(SUBSTITUTE($G1568,"-",""))),"-"," ",LEN($G1568)-LEN(SUBSTITUTE($G1568,"-",""))-1))-LEN(SUBSTITUTE(SUBSTITUTE(SUBSTITUTE($G1568,"-"," ",LEN($G1568)-LEN(SUBSTITUTE($G1568,"-",""))),"-"," ",LEN($G1568)-LEN(SUBSTITUTE($G1568,"-",""))-1),".","")))=0,SUBSTITUTE(SUBSTITUTE($G1568,"-"," ",LEN($G1568)-LEN(SUBSTITUTE($G1568,"-",""))),"-"," ",LEN($G1568)-LEN(SUBSTITUTE($G1568,"-",""))-1),SUBSTITUTE(SUBSTITUTE(SUBSTITUTE($G1568,"-"," ",LEN($G1568)-LEN(SUBSTITUTE($G1568,"-",""))),"-"," ",LEN($G1568)-LEN(SUBSTITUTE($G1568,"-",""))-1),"."," ",(LEN(SUBSTITUTE(SUBSTITUTE($G1568,"-"," ",LEN($G1568)-LEN(SUBSTITUTE($G1568,"-",""))),"-"," ",LEN($G1568)-LEN(SUBSTITUTE($G1568,"-",""))-1))-LEN(SUBSTITUTE(SUBSTITUTE(SUBSTITUTE($G1568,"-"," ",LEN($G1568)-LEN(SUBSTITUTE($G1568,"-",""))),"-"," ",LEN($G1568)-LEN(SUBSTITUTE($G1568,"-",""))-1),".",""))))),$G1568)))</f>
        <v/>
      </c>
    </row>
    <row r="1569">
      <c r="A1569" s="58" t="n"/>
      <c r="B1569" s="58">
        <f>IF($H1569="","",LEFT($H1569,FIND(" ",$H1569&amp;" ")-1))</f>
        <v/>
      </c>
      <c r="C1569" s="58">
        <f>IF($H1569="","",IFERROR(MID($H1569&amp;" ",FIND("|",SUBSTITUTE($H1569&amp;" "," ","|",1))+1,FIND("|",SUBSTITUTE($H1569&amp;" "," ","|",2))-FIND("|",SUBSTITUTE($H1569&amp;" "," ","|",1))-1),""))</f>
        <v/>
      </c>
      <c r="D1569" s="58">
        <f>IF($H1569="","",IFERROR(MID($H1569&amp;" ",FIND("|",SUBSTITUTE($H1569&amp;" "," ","|",2))+1,FIND("|",SUBSTITUTE($H1569&amp;" "," ","|",3))-FIND("|",SUBSTITUTE($H1569&amp;" "," ","|",2))-1),""))</f>
        <v/>
      </c>
      <c r="E1569" s="58">
        <f>IF($H1569="","",IFERROR(MID($H1569&amp;" ",FIND("|",SUBSTITUTE($H1569&amp;" "," ","|",3))+1,FIND("|",SUBSTITUTE($H1569&amp;" "," ","|",4))-FIND("|",SUBSTITUTE($H1569&amp;" "," ","|",3))-1),""))</f>
        <v/>
      </c>
      <c r="F1569" s="59">
        <f>IF($H1569="","",IFERROR(VALUE(IFERROR(MID($H1569&amp;" ",FIND("|",SUBSTITUTE($H1569&amp;" "," ","|",4))+1,FIND("|",SUBSTITUTE($H1569&amp;" "," ","|",5))-FIND("|",SUBSTITUTE($H1569&amp;" "," ","|",4))-1),""))/86400+25569+9/24,""))</f>
        <v/>
      </c>
      <c r="G1569" s="58">
        <f>TRIM(SUBSTITUTE(SUBSTITUTE(SUBSTITUTE($A1569,CHAR(9)," ")," "," "),CHAR(13),""))</f>
        <v/>
      </c>
      <c r="H1569" s="58">
        <f>IF($G1569="","",IF(ISNUMBER(FIND(" ",$G1569)),$G1569,IFERROR(IF((LEN(SUBSTITUTE(SUBSTITUTE($G1569,"-"," ",LEN($G1569)-LEN(SUBSTITUTE($G1569,"-",""))),"-"," ",LEN($G1569)-LEN(SUBSTITUTE($G1569,"-",""))-1))-LEN(SUBSTITUTE(SUBSTITUTE(SUBSTITUTE($G1569,"-"," ",LEN($G1569)-LEN(SUBSTITUTE($G1569,"-",""))),"-"," ",LEN($G1569)-LEN(SUBSTITUTE($G1569,"-",""))-1),".","")))=0,SUBSTITUTE(SUBSTITUTE($G1569,"-"," ",LEN($G1569)-LEN(SUBSTITUTE($G1569,"-",""))),"-"," ",LEN($G1569)-LEN(SUBSTITUTE($G1569,"-",""))-1),SUBSTITUTE(SUBSTITUTE(SUBSTITUTE($G1569,"-"," ",LEN($G1569)-LEN(SUBSTITUTE($G1569,"-",""))),"-"," ",LEN($G1569)-LEN(SUBSTITUTE($G1569,"-",""))-1),"."," ",(LEN(SUBSTITUTE(SUBSTITUTE($G1569,"-"," ",LEN($G1569)-LEN(SUBSTITUTE($G1569,"-",""))),"-"," ",LEN($G1569)-LEN(SUBSTITUTE($G1569,"-",""))-1))-LEN(SUBSTITUTE(SUBSTITUTE(SUBSTITUTE($G1569,"-"," ",LEN($G1569)-LEN(SUBSTITUTE($G1569,"-",""))),"-"," ",LEN($G1569)-LEN(SUBSTITUTE($G1569,"-",""))-1),".",""))))),$G1569)))</f>
        <v/>
      </c>
    </row>
    <row r="1570">
      <c r="A1570" s="58" t="n"/>
      <c r="B1570" s="58">
        <f>IF($H1570="","",LEFT($H1570,FIND(" ",$H1570&amp;" ")-1))</f>
        <v/>
      </c>
      <c r="C1570" s="58">
        <f>IF($H1570="","",IFERROR(MID($H1570&amp;" ",FIND("|",SUBSTITUTE($H1570&amp;" "," ","|",1))+1,FIND("|",SUBSTITUTE($H1570&amp;" "," ","|",2))-FIND("|",SUBSTITUTE($H1570&amp;" "," ","|",1))-1),""))</f>
        <v/>
      </c>
      <c r="D1570" s="58">
        <f>IF($H1570="","",IFERROR(MID($H1570&amp;" ",FIND("|",SUBSTITUTE($H1570&amp;" "," ","|",2))+1,FIND("|",SUBSTITUTE($H1570&amp;" "," ","|",3))-FIND("|",SUBSTITUTE($H1570&amp;" "," ","|",2))-1),""))</f>
        <v/>
      </c>
      <c r="E1570" s="58">
        <f>IF($H1570="","",IFERROR(MID($H1570&amp;" ",FIND("|",SUBSTITUTE($H1570&amp;" "," ","|",3))+1,FIND("|",SUBSTITUTE($H1570&amp;" "," ","|",4))-FIND("|",SUBSTITUTE($H1570&amp;" "," ","|",3))-1),""))</f>
        <v/>
      </c>
      <c r="F1570" s="59">
        <f>IF($H1570="","",IFERROR(VALUE(IFERROR(MID($H1570&amp;" ",FIND("|",SUBSTITUTE($H1570&amp;" "," ","|",4))+1,FIND("|",SUBSTITUTE($H1570&amp;" "," ","|",5))-FIND("|",SUBSTITUTE($H1570&amp;" "," ","|",4))-1),""))/86400+25569+9/24,""))</f>
        <v/>
      </c>
      <c r="G1570" s="58">
        <f>TRIM(SUBSTITUTE(SUBSTITUTE(SUBSTITUTE($A1570,CHAR(9)," ")," "," "),CHAR(13),""))</f>
        <v/>
      </c>
      <c r="H1570" s="58">
        <f>IF($G1570="","",IF(ISNUMBER(FIND(" ",$G1570)),$G1570,IFERROR(IF((LEN(SUBSTITUTE(SUBSTITUTE($G1570,"-"," ",LEN($G1570)-LEN(SUBSTITUTE($G1570,"-",""))),"-"," ",LEN($G1570)-LEN(SUBSTITUTE($G1570,"-",""))-1))-LEN(SUBSTITUTE(SUBSTITUTE(SUBSTITUTE($G1570,"-"," ",LEN($G1570)-LEN(SUBSTITUTE($G1570,"-",""))),"-"," ",LEN($G1570)-LEN(SUBSTITUTE($G1570,"-",""))-1),".","")))=0,SUBSTITUTE(SUBSTITUTE($G1570,"-"," ",LEN($G1570)-LEN(SUBSTITUTE($G1570,"-",""))),"-"," ",LEN($G1570)-LEN(SUBSTITUTE($G1570,"-",""))-1),SUBSTITUTE(SUBSTITUTE(SUBSTITUTE($G1570,"-"," ",LEN($G1570)-LEN(SUBSTITUTE($G1570,"-",""))),"-"," ",LEN($G1570)-LEN(SUBSTITUTE($G1570,"-",""))-1),"."," ",(LEN(SUBSTITUTE(SUBSTITUTE($G1570,"-"," ",LEN($G1570)-LEN(SUBSTITUTE($G1570,"-",""))),"-"," ",LEN($G1570)-LEN(SUBSTITUTE($G1570,"-",""))-1))-LEN(SUBSTITUTE(SUBSTITUTE(SUBSTITUTE($G1570,"-"," ",LEN($G1570)-LEN(SUBSTITUTE($G1570,"-",""))),"-"," ",LEN($G1570)-LEN(SUBSTITUTE($G1570,"-",""))-1),".",""))))),$G1570)))</f>
        <v/>
      </c>
    </row>
    <row r="1571">
      <c r="A1571" s="58" t="n"/>
      <c r="B1571" s="58">
        <f>IF($H1571="","",LEFT($H1571,FIND(" ",$H1571&amp;" ")-1))</f>
        <v/>
      </c>
      <c r="C1571" s="58">
        <f>IF($H1571="","",IFERROR(MID($H1571&amp;" ",FIND("|",SUBSTITUTE($H1571&amp;" "," ","|",1))+1,FIND("|",SUBSTITUTE($H1571&amp;" "," ","|",2))-FIND("|",SUBSTITUTE($H1571&amp;" "," ","|",1))-1),""))</f>
        <v/>
      </c>
      <c r="D1571" s="58">
        <f>IF($H1571="","",IFERROR(MID($H1571&amp;" ",FIND("|",SUBSTITUTE($H1571&amp;" "," ","|",2))+1,FIND("|",SUBSTITUTE($H1571&amp;" "," ","|",3))-FIND("|",SUBSTITUTE($H1571&amp;" "," ","|",2))-1),""))</f>
        <v/>
      </c>
      <c r="E1571" s="58">
        <f>IF($H1571="","",IFERROR(MID($H1571&amp;" ",FIND("|",SUBSTITUTE($H1571&amp;" "," ","|",3))+1,FIND("|",SUBSTITUTE($H1571&amp;" "," ","|",4))-FIND("|",SUBSTITUTE($H1571&amp;" "," ","|",3))-1),""))</f>
        <v/>
      </c>
      <c r="F1571" s="59">
        <f>IF($H1571="","",IFERROR(VALUE(IFERROR(MID($H1571&amp;" ",FIND("|",SUBSTITUTE($H1571&amp;" "," ","|",4))+1,FIND("|",SUBSTITUTE($H1571&amp;" "," ","|",5))-FIND("|",SUBSTITUTE($H1571&amp;" "," ","|",4))-1),""))/86400+25569+9/24,""))</f>
        <v/>
      </c>
      <c r="G1571" s="58">
        <f>TRIM(SUBSTITUTE(SUBSTITUTE(SUBSTITUTE($A1571,CHAR(9)," ")," "," "),CHAR(13),""))</f>
        <v/>
      </c>
      <c r="H1571" s="58">
        <f>IF($G1571="","",IF(ISNUMBER(FIND(" ",$G1571)),$G1571,IFERROR(IF((LEN(SUBSTITUTE(SUBSTITUTE($G1571,"-"," ",LEN($G1571)-LEN(SUBSTITUTE($G1571,"-",""))),"-"," ",LEN($G1571)-LEN(SUBSTITUTE($G1571,"-",""))-1))-LEN(SUBSTITUTE(SUBSTITUTE(SUBSTITUTE($G1571,"-"," ",LEN($G1571)-LEN(SUBSTITUTE($G1571,"-",""))),"-"," ",LEN($G1571)-LEN(SUBSTITUTE($G1571,"-",""))-1),".","")))=0,SUBSTITUTE(SUBSTITUTE($G1571,"-"," ",LEN($G1571)-LEN(SUBSTITUTE($G1571,"-",""))),"-"," ",LEN($G1571)-LEN(SUBSTITUTE($G1571,"-",""))-1),SUBSTITUTE(SUBSTITUTE(SUBSTITUTE($G1571,"-"," ",LEN($G1571)-LEN(SUBSTITUTE($G1571,"-",""))),"-"," ",LEN($G1571)-LEN(SUBSTITUTE($G1571,"-",""))-1),"."," ",(LEN(SUBSTITUTE(SUBSTITUTE($G1571,"-"," ",LEN($G1571)-LEN(SUBSTITUTE($G1571,"-",""))),"-"," ",LEN($G1571)-LEN(SUBSTITUTE($G1571,"-",""))-1))-LEN(SUBSTITUTE(SUBSTITUTE(SUBSTITUTE($G1571,"-"," ",LEN($G1571)-LEN(SUBSTITUTE($G1571,"-",""))),"-"," ",LEN($G1571)-LEN(SUBSTITUTE($G1571,"-",""))-1),".",""))))),$G1571)))</f>
        <v/>
      </c>
    </row>
    <row r="1572">
      <c r="A1572" s="58" t="n"/>
      <c r="B1572" s="58">
        <f>IF($H1572="","",LEFT($H1572,FIND(" ",$H1572&amp;" ")-1))</f>
        <v/>
      </c>
      <c r="C1572" s="58">
        <f>IF($H1572="","",IFERROR(MID($H1572&amp;" ",FIND("|",SUBSTITUTE($H1572&amp;" "," ","|",1))+1,FIND("|",SUBSTITUTE($H1572&amp;" "," ","|",2))-FIND("|",SUBSTITUTE($H1572&amp;" "," ","|",1))-1),""))</f>
        <v/>
      </c>
      <c r="D1572" s="58">
        <f>IF($H1572="","",IFERROR(MID($H1572&amp;" ",FIND("|",SUBSTITUTE($H1572&amp;" "," ","|",2))+1,FIND("|",SUBSTITUTE($H1572&amp;" "," ","|",3))-FIND("|",SUBSTITUTE($H1572&amp;" "," ","|",2))-1),""))</f>
        <v/>
      </c>
      <c r="E1572" s="58">
        <f>IF($H1572="","",IFERROR(MID($H1572&amp;" ",FIND("|",SUBSTITUTE($H1572&amp;" "," ","|",3))+1,FIND("|",SUBSTITUTE($H1572&amp;" "," ","|",4))-FIND("|",SUBSTITUTE($H1572&amp;" "," ","|",3))-1),""))</f>
        <v/>
      </c>
      <c r="F1572" s="59">
        <f>IF($H1572="","",IFERROR(VALUE(IFERROR(MID($H1572&amp;" ",FIND("|",SUBSTITUTE($H1572&amp;" "," ","|",4))+1,FIND("|",SUBSTITUTE($H1572&amp;" "," ","|",5))-FIND("|",SUBSTITUTE($H1572&amp;" "," ","|",4))-1),""))/86400+25569+9/24,""))</f>
        <v/>
      </c>
      <c r="G1572" s="58">
        <f>TRIM(SUBSTITUTE(SUBSTITUTE(SUBSTITUTE($A1572,CHAR(9)," ")," "," "),CHAR(13),""))</f>
        <v/>
      </c>
      <c r="H1572" s="58">
        <f>IF($G1572="","",IF(ISNUMBER(FIND(" ",$G1572)),$G1572,IFERROR(IF((LEN(SUBSTITUTE(SUBSTITUTE($G1572,"-"," ",LEN($G1572)-LEN(SUBSTITUTE($G1572,"-",""))),"-"," ",LEN($G1572)-LEN(SUBSTITUTE($G1572,"-",""))-1))-LEN(SUBSTITUTE(SUBSTITUTE(SUBSTITUTE($G1572,"-"," ",LEN($G1572)-LEN(SUBSTITUTE($G1572,"-",""))),"-"," ",LEN($G1572)-LEN(SUBSTITUTE($G1572,"-",""))-1),".","")))=0,SUBSTITUTE(SUBSTITUTE($G1572,"-"," ",LEN($G1572)-LEN(SUBSTITUTE($G1572,"-",""))),"-"," ",LEN($G1572)-LEN(SUBSTITUTE($G1572,"-",""))-1),SUBSTITUTE(SUBSTITUTE(SUBSTITUTE($G1572,"-"," ",LEN($G1572)-LEN(SUBSTITUTE($G1572,"-",""))),"-"," ",LEN($G1572)-LEN(SUBSTITUTE($G1572,"-",""))-1),"."," ",(LEN(SUBSTITUTE(SUBSTITUTE($G1572,"-"," ",LEN($G1572)-LEN(SUBSTITUTE($G1572,"-",""))),"-"," ",LEN($G1572)-LEN(SUBSTITUTE($G1572,"-",""))-1))-LEN(SUBSTITUTE(SUBSTITUTE(SUBSTITUTE($G1572,"-"," ",LEN($G1572)-LEN(SUBSTITUTE($G1572,"-",""))),"-"," ",LEN($G1572)-LEN(SUBSTITUTE($G1572,"-",""))-1),".",""))))),$G1572)))</f>
        <v/>
      </c>
    </row>
    <row r="1573">
      <c r="A1573" s="58" t="n"/>
      <c r="B1573" s="58">
        <f>IF($H1573="","",LEFT($H1573,FIND(" ",$H1573&amp;" ")-1))</f>
        <v/>
      </c>
      <c r="C1573" s="58">
        <f>IF($H1573="","",IFERROR(MID($H1573&amp;" ",FIND("|",SUBSTITUTE($H1573&amp;" "," ","|",1))+1,FIND("|",SUBSTITUTE($H1573&amp;" "," ","|",2))-FIND("|",SUBSTITUTE($H1573&amp;" "," ","|",1))-1),""))</f>
        <v/>
      </c>
      <c r="D1573" s="58">
        <f>IF($H1573="","",IFERROR(MID($H1573&amp;" ",FIND("|",SUBSTITUTE($H1573&amp;" "," ","|",2))+1,FIND("|",SUBSTITUTE($H1573&amp;" "," ","|",3))-FIND("|",SUBSTITUTE($H1573&amp;" "," ","|",2))-1),""))</f>
        <v/>
      </c>
      <c r="E1573" s="58">
        <f>IF($H1573="","",IFERROR(MID($H1573&amp;" ",FIND("|",SUBSTITUTE($H1573&amp;" "," ","|",3))+1,FIND("|",SUBSTITUTE($H1573&amp;" "," ","|",4))-FIND("|",SUBSTITUTE($H1573&amp;" "," ","|",3))-1),""))</f>
        <v/>
      </c>
      <c r="F1573" s="59">
        <f>IF($H1573="","",IFERROR(VALUE(IFERROR(MID($H1573&amp;" ",FIND("|",SUBSTITUTE($H1573&amp;" "," ","|",4))+1,FIND("|",SUBSTITUTE($H1573&amp;" "," ","|",5))-FIND("|",SUBSTITUTE($H1573&amp;" "," ","|",4))-1),""))/86400+25569+9/24,""))</f>
        <v/>
      </c>
      <c r="G1573" s="58">
        <f>TRIM(SUBSTITUTE(SUBSTITUTE(SUBSTITUTE($A1573,CHAR(9)," ")," "," "),CHAR(13),""))</f>
        <v/>
      </c>
      <c r="H1573" s="58">
        <f>IF($G1573="","",IF(ISNUMBER(FIND(" ",$G1573)),$G1573,IFERROR(IF((LEN(SUBSTITUTE(SUBSTITUTE($G1573,"-"," ",LEN($G1573)-LEN(SUBSTITUTE($G1573,"-",""))),"-"," ",LEN($G1573)-LEN(SUBSTITUTE($G1573,"-",""))-1))-LEN(SUBSTITUTE(SUBSTITUTE(SUBSTITUTE($G1573,"-"," ",LEN($G1573)-LEN(SUBSTITUTE($G1573,"-",""))),"-"," ",LEN($G1573)-LEN(SUBSTITUTE($G1573,"-",""))-1),".","")))=0,SUBSTITUTE(SUBSTITUTE($G1573,"-"," ",LEN($G1573)-LEN(SUBSTITUTE($G1573,"-",""))),"-"," ",LEN($G1573)-LEN(SUBSTITUTE($G1573,"-",""))-1),SUBSTITUTE(SUBSTITUTE(SUBSTITUTE($G1573,"-"," ",LEN($G1573)-LEN(SUBSTITUTE($G1573,"-",""))),"-"," ",LEN($G1573)-LEN(SUBSTITUTE($G1573,"-",""))-1),"."," ",(LEN(SUBSTITUTE(SUBSTITUTE($G1573,"-"," ",LEN($G1573)-LEN(SUBSTITUTE($G1573,"-",""))),"-"," ",LEN($G1573)-LEN(SUBSTITUTE($G1573,"-",""))-1))-LEN(SUBSTITUTE(SUBSTITUTE(SUBSTITUTE($G1573,"-"," ",LEN($G1573)-LEN(SUBSTITUTE($G1573,"-",""))),"-"," ",LEN($G1573)-LEN(SUBSTITUTE($G1573,"-",""))-1),".",""))))),$G1573)))</f>
        <v/>
      </c>
    </row>
    <row r="1574">
      <c r="A1574" s="58" t="n"/>
      <c r="B1574" s="58">
        <f>IF($H1574="","",LEFT($H1574,FIND(" ",$H1574&amp;" ")-1))</f>
        <v/>
      </c>
      <c r="C1574" s="58">
        <f>IF($H1574="","",IFERROR(MID($H1574&amp;" ",FIND("|",SUBSTITUTE($H1574&amp;" "," ","|",1))+1,FIND("|",SUBSTITUTE($H1574&amp;" "," ","|",2))-FIND("|",SUBSTITUTE($H1574&amp;" "," ","|",1))-1),""))</f>
        <v/>
      </c>
      <c r="D1574" s="58">
        <f>IF($H1574="","",IFERROR(MID($H1574&amp;" ",FIND("|",SUBSTITUTE($H1574&amp;" "," ","|",2))+1,FIND("|",SUBSTITUTE($H1574&amp;" "," ","|",3))-FIND("|",SUBSTITUTE($H1574&amp;" "," ","|",2))-1),""))</f>
        <v/>
      </c>
      <c r="E1574" s="58">
        <f>IF($H1574="","",IFERROR(MID($H1574&amp;" ",FIND("|",SUBSTITUTE($H1574&amp;" "," ","|",3))+1,FIND("|",SUBSTITUTE($H1574&amp;" "," ","|",4))-FIND("|",SUBSTITUTE($H1574&amp;" "," ","|",3))-1),""))</f>
        <v/>
      </c>
      <c r="F1574" s="59">
        <f>IF($H1574="","",IFERROR(VALUE(IFERROR(MID($H1574&amp;" ",FIND("|",SUBSTITUTE($H1574&amp;" "," ","|",4))+1,FIND("|",SUBSTITUTE($H1574&amp;" "," ","|",5))-FIND("|",SUBSTITUTE($H1574&amp;" "," ","|",4))-1),""))/86400+25569+9/24,""))</f>
        <v/>
      </c>
      <c r="G1574" s="58">
        <f>TRIM(SUBSTITUTE(SUBSTITUTE(SUBSTITUTE($A1574,CHAR(9)," ")," "," "),CHAR(13),""))</f>
        <v/>
      </c>
      <c r="H1574" s="58">
        <f>IF($G1574="","",IF(ISNUMBER(FIND(" ",$G1574)),$G1574,IFERROR(IF((LEN(SUBSTITUTE(SUBSTITUTE($G1574,"-"," ",LEN($G1574)-LEN(SUBSTITUTE($G1574,"-",""))),"-"," ",LEN($G1574)-LEN(SUBSTITUTE($G1574,"-",""))-1))-LEN(SUBSTITUTE(SUBSTITUTE(SUBSTITUTE($G1574,"-"," ",LEN($G1574)-LEN(SUBSTITUTE($G1574,"-",""))),"-"," ",LEN($G1574)-LEN(SUBSTITUTE($G1574,"-",""))-1),".","")))=0,SUBSTITUTE(SUBSTITUTE($G1574,"-"," ",LEN($G1574)-LEN(SUBSTITUTE($G1574,"-",""))),"-"," ",LEN($G1574)-LEN(SUBSTITUTE($G1574,"-",""))-1),SUBSTITUTE(SUBSTITUTE(SUBSTITUTE($G1574,"-"," ",LEN($G1574)-LEN(SUBSTITUTE($G1574,"-",""))),"-"," ",LEN($G1574)-LEN(SUBSTITUTE($G1574,"-",""))-1),"."," ",(LEN(SUBSTITUTE(SUBSTITUTE($G1574,"-"," ",LEN($G1574)-LEN(SUBSTITUTE($G1574,"-",""))),"-"," ",LEN($G1574)-LEN(SUBSTITUTE($G1574,"-",""))-1))-LEN(SUBSTITUTE(SUBSTITUTE(SUBSTITUTE($G1574,"-"," ",LEN($G1574)-LEN(SUBSTITUTE($G1574,"-",""))),"-"," ",LEN($G1574)-LEN(SUBSTITUTE($G1574,"-",""))-1),".",""))))),$G1574)))</f>
        <v/>
      </c>
    </row>
    <row r="1575">
      <c r="A1575" s="58" t="n"/>
      <c r="B1575" s="58">
        <f>IF($H1575="","",LEFT($H1575,FIND(" ",$H1575&amp;" ")-1))</f>
        <v/>
      </c>
      <c r="C1575" s="58">
        <f>IF($H1575="","",IFERROR(MID($H1575&amp;" ",FIND("|",SUBSTITUTE($H1575&amp;" "," ","|",1))+1,FIND("|",SUBSTITUTE($H1575&amp;" "," ","|",2))-FIND("|",SUBSTITUTE($H1575&amp;" "," ","|",1))-1),""))</f>
        <v/>
      </c>
      <c r="D1575" s="58">
        <f>IF($H1575="","",IFERROR(MID($H1575&amp;" ",FIND("|",SUBSTITUTE($H1575&amp;" "," ","|",2))+1,FIND("|",SUBSTITUTE($H1575&amp;" "," ","|",3))-FIND("|",SUBSTITUTE($H1575&amp;" "," ","|",2))-1),""))</f>
        <v/>
      </c>
      <c r="E1575" s="58">
        <f>IF($H1575="","",IFERROR(MID($H1575&amp;" ",FIND("|",SUBSTITUTE($H1575&amp;" "," ","|",3))+1,FIND("|",SUBSTITUTE($H1575&amp;" "," ","|",4))-FIND("|",SUBSTITUTE($H1575&amp;" "," ","|",3))-1),""))</f>
        <v/>
      </c>
      <c r="F1575" s="59">
        <f>IF($H1575="","",IFERROR(VALUE(IFERROR(MID($H1575&amp;" ",FIND("|",SUBSTITUTE($H1575&amp;" "," ","|",4))+1,FIND("|",SUBSTITUTE($H1575&amp;" "," ","|",5))-FIND("|",SUBSTITUTE($H1575&amp;" "," ","|",4))-1),""))/86400+25569+9/24,""))</f>
        <v/>
      </c>
      <c r="G1575" s="58">
        <f>TRIM(SUBSTITUTE(SUBSTITUTE(SUBSTITUTE($A1575,CHAR(9)," ")," "," "),CHAR(13),""))</f>
        <v/>
      </c>
      <c r="H1575" s="58">
        <f>IF($G1575="","",IF(ISNUMBER(FIND(" ",$G1575)),$G1575,IFERROR(IF((LEN(SUBSTITUTE(SUBSTITUTE($G1575,"-"," ",LEN($G1575)-LEN(SUBSTITUTE($G1575,"-",""))),"-"," ",LEN($G1575)-LEN(SUBSTITUTE($G1575,"-",""))-1))-LEN(SUBSTITUTE(SUBSTITUTE(SUBSTITUTE($G1575,"-"," ",LEN($G1575)-LEN(SUBSTITUTE($G1575,"-",""))),"-"," ",LEN($G1575)-LEN(SUBSTITUTE($G1575,"-",""))-1),".","")))=0,SUBSTITUTE(SUBSTITUTE($G1575,"-"," ",LEN($G1575)-LEN(SUBSTITUTE($G1575,"-",""))),"-"," ",LEN($G1575)-LEN(SUBSTITUTE($G1575,"-",""))-1),SUBSTITUTE(SUBSTITUTE(SUBSTITUTE($G1575,"-"," ",LEN($G1575)-LEN(SUBSTITUTE($G1575,"-",""))),"-"," ",LEN($G1575)-LEN(SUBSTITUTE($G1575,"-",""))-1),"."," ",(LEN(SUBSTITUTE(SUBSTITUTE($G1575,"-"," ",LEN($G1575)-LEN(SUBSTITUTE($G1575,"-",""))),"-"," ",LEN($G1575)-LEN(SUBSTITUTE($G1575,"-",""))-1))-LEN(SUBSTITUTE(SUBSTITUTE(SUBSTITUTE($G1575,"-"," ",LEN($G1575)-LEN(SUBSTITUTE($G1575,"-",""))),"-"," ",LEN($G1575)-LEN(SUBSTITUTE($G1575,"-",""))-1),".",""))))),$G1575)))</f>
        <v/>
      </c>
    </row>
    <row r="1576">
      <c r="A1576" s="58" t="n"/>
      <c r="B1576" s="58">
        <f>IF($H1576="","",LEFT($H1576,FIND(" ",$H1576&amp;" ")-1))</f>
        <v/>
      </c>
      <c r="C1576" s="58">
        <f>IF($H1576="","",IFERROR(MID($H1576&amp;" ",FIND("|",SUBSTITUTE($H1576&amp;" "," ","|",1))+1,FIND("|",SUBSTITUTE($H1576&amp;" "," ","|",2))-FIND("|",SUBSTITUTE($H1576&amp;" "," ","|",1))-1),""))</f>
        <v/>
      </c>
      <c r="D1576" s="58">
        <f>IF($H1576="","",IFERROR(MID($H1576&amp;" ",FIND("|",SUBSTITUTE($H1576&amp;" "," ","|",2))+1,FIND("|",SUBSTITUTE($H1576&amp;" "," ","|",3))-FIND("|",SUBSTITUTE($H1576&amp;" "," ","|",2))-1),""))</f>
        <v/>
      </c>
      <c r="E1576" s="58">
        <f>IF($H1576="","",IFERROR(MID($H1576&amp;" ",FIND("|",SUBSTITUTE($H1576&amp;" "," ","|",3))+1,FIND("|",SUBSTITUTE($H1576&amp;" "," ","|",4))-FIND("|",SUBSTITUTE($H1576&amp;" "," ","|",3))-1),""))</f>
        <v/>
      </c>
      <c r="F1576" s="59">
        <f>IF($H1576="","",IFERROR(VALUE(IFERROR(MID($H1576&amp;" ",FIND("|",SUBSTITUTE($H1576&amp;" "," ","|",4))+1,FIND("|",SUBSTITUTE($H1576&amp;" "," ","|",5))-FIND("|",SUBSTITUTE($H1576&amp;" "," ","|",4))-1),""))/86400+25569+9/24,""))</f>
        <v/>
      </c>
      <c r="G1576" s="58">
        <f>TRIM(SUBSTITUTE(SUBSTITUTE(SUBSTITUTE($A1576,CHAR(9)," ")," "," "),CHAR(13),""))</f>
        <v/>
      </c>
      <c r="H1576" s="58">
        <f>IF($G1576="","",IF(ISNUMBER(FIND(" ",$G1576)),$G1576,IFERROR(IF((LEN(SUBSTITUTE(SUBSTITUTE($G1576,"-"," ",LEN($G1576)-LEN(SUBSTITUTE($G1576,"-",""))),"-"," ",LEN($G1576)-LEN(SUBSTITUTE($G1576,"-",""))-1))-LEN(SUBSTITUTE(SUBSTITUTE(SUBSTITUTE($G1576,"-"," ",LEN($G1576)-LEN(SUBSTITUTE($G1576,"-",""))),"-"," ",LEN($G1576)-LEN(SUBSTITUTE($G1576,"-",""))-1),".","")))=0,SUBSTITUTE(SUBSTITUTE($G1576,"-"," ",LEN($G1576)-LEN(SUBSTITUTE($G1576,"-",""))),"-"," ",LEN($G1576)-LEN(SUBSTITUTE($G1576,"-",""))-1),SUBSTITUTE(SUBSTITUTE(SUBSTITUTE($G1576,"-"," ",LEN($G1576)-LEN(SUBSTITUTE($G1576,"-",""))),"-"," ",LEN($G1576)-LEN(SUBSTITUTE($G1576,"-",""))-1),"."," ",(LEN(SUBSTITUTE(SUBSTITUTE($G1576,"-"," ",LEN($G1576)-LEN(SUBSTITUTE($G1576,"-",""))),"-"," ",LEN($G1576)-LEN(SUBSTITUTE($G1576,"-",""))-1))-LEN(SUBSTITUTE(SUBSTITUTE(SUBSTITUTE($G1576,"-"," ",LEN($G1576)-LEN(SUBSTITUTE($G1576,"-",""))),"-"," ",LEN($G1576)-LEN(SUBSTITUTE($G1576,"-",""))-1),".",""))))),$G1576)))</f>
        <v/>
      </c>
    </row>
    <row r="1577">
      <c r="A1577" s="58" t="n"/>
      <c r="B1577" s="58">
        <f>IF($H1577="","",LEFT($H1577,FIND(" ",$H1577&amp;" ")-1))</f>
        <v/>
      </c>
      <c r="C1577" s="58">
        <f>IF($H1577="","",IFERROR(MID($H1577&amp;" ",FIND("|",SUBSTITUTE($H1577&amp;" "," ","|",1))+1,FIND("|",SUBSTITUTE($H1577&amp;" "," ","|",2))-FIND("|",SUBSTITUTE($H1577&amp;" "," ","|",1))-1),""))</f>
        <v/>
      </c>
      <c r="D1577" s="58">
        <f>IF($H1577="","",IFERROR(MID($H1577&amp;" ",FIND("|",SUBSTITUTE($H1577&amp;" "," ","|",2))+1,FIND("|",SUBSTITUTE($H1577&amp;" "," ","|",3))-FIND("|",SUBSTITUTE($H1577&amp;" "," ","|",2))-1),""))</f>
        <v/>
      </c>
      <c r="E1577" s="58">
        <f>IF($H1577="","",IFERROR(MID($H1577&amp;" ",FIND("|",SUBSTITUTE($H1577&amp;" "," ","|",3))+1,FIND("|",SUBSTITUTE($H1577&amp;" "," ","|",4))-FIND("|",SUBSTITUTE($H1577&amp;" "," ","|",3))-1),""))</f>
        <v/>
      </c>
      <c r="F1577" s="59">
        <f>IF($H1577="","",IFERROR(VALUE(IFERROR(MID($H1577&amp;" ",FIND("|",SUBSTITUTE($H1577&amp;" "," ","|",4))+1,FIND("|",SUBSTITUTE($H1577&amp;" "," ","|",5))-FIND("|",SUBSTITUTE($H1577&amp;" "," ","|",4))-1),""))/86400+25569+9/24,""))</f>
        <v/>
      </c>
      <c r="G1577" s="58">
        <f>TRIM(SUBSTITUTE(SUBSTITUTE(SUBSTITUTE($A1577,CHAR(9)," ")," "," "),CHAR(13),""))</f>
        <v/>
      </c>
      <c r="H1577" s="58">
        <f>IF($G1577="","",IF(ISNUMBER(FIND(" ",$G1577)),$G1577,IFERROR(IF((LEN(SUBSTITUTE(SUBSTITUTE($G1577,"-"," ",LEN($G1577)-LEN(SUBSTITUTE($G1577,"-",""))),"-"," ",LEN($G1577)-LEN(SUBSTITUTE($G1577,"-",""))-1))-LEN(SUBSTITUTE(SUBSTITUTE(SUBSTITUTE($G1577,"-"," ",LEN($G1577)-LEN(SUBSTITUTE($G1577,"-",""))),"-"," ",LEN($G1577)-LEN(SUBSTITUTE($G1577,"-",""))-1),".","")))=0,SUBSTITUTE(SUBSTITUTE($G1577,"-"," ",LEN($G1577)-LEN(SUBSTITUTE($G1577,"-",""))),"-"," ",LEN($G1577)-LEN(SUBSTITUTE($G1577,"-",""))-1),SUBSTITUTE(SUBSTITUTE(SUBSTITUTE($G1577,"-"," ",LEN($G1577)-LEN(SUBSTITUTE($G1577,"-",""))),"-"," ",LEN($G1577)-LEN(SUBSTITUTE($G1577,"-",""))-1),"."," ",(LEN(SUBSTITUTE(SUBSTITUTE($G1577,"-"," ",LEN($G1577)-LEN(SUBSTITUTE($G1577,"-",""))),"-"," ",LEN($G1577)-LEN(SUBSTITUTE($G1577,"-",""))-1))-LEN(SUBSTITUTE(SUBSTITUTE(SUBSTITUTE($G1577,"-"," ",LEN($G1577)-LEN(SUBSTITUTE($G1577,"-",""))),"-"," ",LEN($G1577)-LEN(SUBSTITUTE($G1577,"-",""))-1),".",""))))),$G1577)))</f>
        <v/>
      </c>
    </row>
    <row r="1578">
      <c r="A1578" s="58" t="n"/>
      <c r="B1578" s="58">
        <f>IF($H1578="","",LEFT($H1578,FIND(" ",$H1578&amp;" ")-1))</f>
        <v/>
      </c>
      <c r="C1578" s="58">
        <f>IF($H1578="","",IFERROR(MID($H1578&amp;" ",FIND("|",SUBSTITUTE($H1578&amp;" "," ","|",1))+1,FIND("|",SUBSTITUTE($H1578&amp;" "," ","|",2))-FIND("|",SUBSTITUTE($H1578&amp;" "," ","|",1))-1),""))</f>
        <v/>
      </c>
      <c r="D1578" s="58">
        <f>IF($H1578="","",IFERROR(MID($H1578&amp;" ",FIND("|",SUBSTITUTE($H1578&amp;" "," ","|",2))+1,FIND("|",SUBSTITUTE($H1578&amp;" "," ","|",3))-FIND("|",SUBSTITUTE($H1578&amp;" "," ","|",2))-1),""))</f>
        <v/>
      </c>
      <c r="E1578" s="58">
        <f>IF($H1578="","",IFERROR(MID($H1578&amp;" ",FIND("|",SUBSTITUTE($H1578&amp;" "," ","|",3))+1,FIND("|",SUBSTITUTE($H1578&amp;" "," ","|",4))-FIND("|",SUBSTITUTE($H1578&amp;" "," ","|",3))-1),""))</f>
        <v/>
      </c>
      <c r="F1578" s="59">
        <f>IF($H1578="","",IFERROR(VALUE(IFERROR(MID($H1578&amp;" ",FIND("|",SUBSTITUTE($H1578&amp;" "," ","|",4))+1,FIND("|",SUBSTITUTE($H1578&amp;" "," ","|",5))-FIND("|",SUBSTITUTE($H1578&amp;" "," ","|",4))-1),""))/86400+25569+9/24,""))</f>
        <v/>
      </c>
      <c r="G1578" s="58">
        <f>TRIM(SUBSTITUTE(SUBSTITUTE(SUBSTITUTE($A1578,CHAR(9)," ")," "," "),CHAR(13),""))</f>
        <v/>
      </c>
      <c r="H1578" s="58">
        <f>IF($G1578="","",IF(ISNUMBER(FIND(" ",$G1578)),$G1578,IFERROR(IF((LEN(SUBSTITUTE(SUBSTITUTE($G1578,"-"," ",LEN($G1578)-LEN(SUBSTITUTE($G1578,"-",""))),"-"," ",LEN($G1578)-LEN(SUBSTITUTE($G1578,"-",""))-1))-LEN(SUBSTITUTE(SUBSTITUTE(SUBSTITUTE($G1578,"-"," ",LEN($G1578)-LEN(SUBSTITUTE($G1578,"-",""))),"-"," ",LEN($G1578)-LEN(SUBSTITUTE($G1578,"-",""))-1),".","")))=0,SUBSTITUTE(SUBSTITUTE($G1578,"-"," ",LEN($G1578)-LEN(SUBSTITUTE($G1578,"-",""))),"-"," ",LEN($G1578)-LEN(SUBSTITUTE($G1578,"-",""))-1),SUBSTITUTE(SUBSTITUTE(SUBSTITUTE($G1578,"-"," ",LEN($G1578)-LEN(SUBSTITUTE($G1578,"-",""))),"-"," ",LEN($G1578)-LEN(SUBSTITUTE($G1578,"-",""))-1),"."," ",(LEN(SUBSTITUTE(SUBSTITUTE($G1578,"-"," ",LEN($G1578)-LEN(SUBSTITUTE($G1578,"-",""))),"-"," ",LEN($G1578)-LEN(SUBSTITUTE($G1578,"-",""))-1))-LEN(SUBSTITUTE(SUBSTITUTE(SUBSTITUTE($G1578,"-"," ",LEN($G1578)-LEN(SUBSTITUTE($G1578,"-",""))),"-"," ",LEN($G1578)-LEN(SUBSTITUTE($G1578,"-",""))-1),".",""))))),$G1578)))</f>
        <v/>
      </c>
    </row>
    <row r="1579">
      <c r="A1579" s="58" t="n"/>
      <c r="B1579" s="58">
        <f>IF($H1579="","",LEFT($H1579,FIND(" ",$H1579&amp;" ")-1))</f>
        <v/>
      </c>
      <c r="C1579" s="58">
        <f>IF($H1579="","",IFERROR(MID($H1579&amp;" ",FIND("|",SUBSTITUTE($H1579&amp;" "," ","|",1))+1,FIND("|",SUBSTITUTE($H1579&amp;" "," ","|",2))-FIND("|",SUBSTITUTE($H1579&amp;" "," ","|",1))-1),""))</f>
        <v/>
      </c>
      <c r="D1579" s="58">
        <f>IF($H1579="","",IFERROR(MID($H1579&amp;" ",FIND("|",SUBSTITUTE($H1579&amp;" "," ","|",2))+1,FIND("|",SUBSTITUTE($H1579&amp;" "," ","|",3))-FIND("|",SUBSTITUTE($H1579&amp;" "," ","|",2))-1),""))</f>
        <v/>
      </c>
      <c r="E1579" s="58">
        <f>IF($H1579="","",IFERROR(MID($H1579&amp;" ",FIND("|",SUBSTITUTE($H1579&amp;" "," ","|",3))+1,FIND("|",SUBSTITUTE($H1579&amp;" "," ","|",4))-FIND("|",SUBSTITUTE($H1579&amp;" "," ","|",3))-1),""))</f>
        <v/>
      </c>
      <c r="F1579" s="59">
        <f>IF($H1579="","",IFERROR(VALUE(IFERROR(MID($H1579&amp;" ",FIND("|",SUBSTITUTE($H1579&amp;" "," ","|",4))+1,FIND("|",SUBSTITUTE($H1579&amp;" "," ","|",5))-FIND("|",SUBSTITUTE($H1579&amp;" "," ","|",4))-1),""))/86400+25569+9/24,""))</f>
        <v/>
      </c>
      <c r="G1579" s="58">
        <f>TRIM(SUBSTITUTE(SUBSTITUTE(SUBSTITUTE($A1579,CHAR(9)," ")," "," "),CHAR(13),""))</f>
        <v/>
      </c>
      <c r="H1579" s="58">
        <f>IF($G1579="","",IF(ISNUMBER(FIND(" ",$G1579)),$G1579,IFERROR(IF((LEN(SUBSTITUTE(SUBSTITUTE($G1579,"-"," ",LEN($G1579)-LEN(SUBSTITUTE($G1579,"-",""))),"-"," ",LEN($G1579)-LEN(SUBSTITUTE($G1579,"-",""))-1))-LEN(SUBSTITUTE(SUBSTITUTE(SUBSTITUTE($G1579,"-"," ",LEN($G1579)-LEN(SUBSTITUTE($G1579,"-",""))),"-"," ",LEN($G1579)-LEN(SUBSTITUTE($G1579,"-",""))-1),".","")))=0,SUBSTITUTE(SUBSTITUTE($G1579,"-"," ",LEN($G1579)-LEN(SUBSTITUTE($G1579,"-",""))),"-"," ",LEN($G1579)-LEN(SUBSTITUTE($G1579,"-",""))-1),SUBSTITUTE(SUBSTITUTE(SUBSTITUTE($G1579,"-"," ",LEN($G1579)-LEN(SUBSTITUTE($G1579,"-",""))),"-"," ",LEN($G1579)-LEN(SUBSTITUTE($G1579,"-",""))-1),"."," ",(LEN(SUBSTITUTE(SUBSTITUTE($G1579,"-"," ",LEN($G1579)-LEN(SUBSTITUTE($G1579,"-",""))),"-"," ",LEN($G1579)-LEN(SUBSTITUTE($G1579,"-",""))-1))-LEN(SUBSTITUTE(SUBSTITUTE(SUBSTITUTE($G1579,"-"," ",LEN($G1579)-LEN(SUBSTITUTE($G1579,"-",""))),"-"," ",LEN($G1579)-LEN(SUBSTITUTE($G1579,"-",""))-1),".",""))))),$G1579)))</f>
        <v/>
      </c>
    </row>
    <row r="1580">
      <c r="A1580" s="58" t="n"/>
      <c r="B1580" s="58">
        <f>IF($H1580="","",LEFT($H1580,FIND(" ",$H1580&amp;" ")-1))</f>
        <v/>
      </c>
      <c r="C1580" s="58">
        <f>IF($H1580="","",IFERROR(MID($H1580&amp;" ",FIND("|",SUBSTITUTE($H1580&amp;" "," ","|",1))+1,FIND("|",SUBSTITUTE($H1580&amp;" "," ","|",2))-FIND("|",SUBSTITUTE($H1580&amp;" "," ","|",1))-1),""))</f>
        <v/>
      </c>
      <c r="D1580" s="58">
        <f>IF($H1580="","",IFERROR(MID($H1580&amp;" ",FIND("|",SUBSTITUTE($H1580&amp;" "," ","|",2))+1,FIND("|",SUBSTITUTE($H1580&amp;" "," ","|",3))-FIND("|",SUBSTITUTE($H1580&amp;" "," ","|",2))-1),""))</f>
        <v/>
      </c>
      <c r="E1580" s="58">
        <f>IF($H1580="","",IFERROR(MID($H1580&amp;" ",FIND("|",SUBSTITUTE($H1580&amp;" "," ","|",3))+1,FIND("|",SUBSTITUTE($H1580&amp;" "," ","|",4))-FIND("|",SUBSTITUTE($H1580&amp;" "," ","|",3))-1),""))</f>
        <v/>
      </c>
      <c r="F1580" s="59">
        <f>IF($H1580="","",IFERROR(VALUE(IFERROR(MID($H1580&amp;" ",FIND("|",SUBSTITUTE($H1580&amp;" "," ","|",4))+1,FIND("|",SUBSTITUTE($H1580&amp;" "," ","|",5))-FIND("|",SUBSTITUTE($H1580&amp;" "," ","|",4))-1),""))/86400+25569+9/24,""))</f>
        <v/>
      </c>
      <c r="G1580" s="58">
        <f>TRIM(SUBSTITUTE(SUBSTITUTE(SUBSTITUTE($A1580,CHAR(9)," ")," "," "),CHAR(13),""))</f>
        <v/>
      </c>
      <c r="H1580" s="58">
        <f>IF($G1580="","",IF(ISNUMBER(FIND(" ",$G1580)),$G1580,IFERROR(IF((LEN(SUBSTITUTE(SUBSTITUTE($G1580,"-"," ",LEN($G1580)-LEN(SUBSTITUTE($G1580,"-",""))),"-"," ",LEN($G1580)-LEN(SUBSTITUTE($G1580,"-",""))-1))-LEN(SUBSTITUTE(SUBSTITUTE(SUBSTITUTE($G1580,"-"," ",LEN($G1580)-LEN(SUBSTITUTE($G1580,"-",""))),"-"," ",LEN($G1580)-LEN(SUBSTITUTE($G1580,"-",""))-1),".","")))=0,SUBSTITUTE(SUBSTITUTE($G1580,"-"," ",LEN($G1580)-LEN(SUBSTITUTE($G1580,"-",""))),"-"," ",LEN($G1580)-LEN(SUBSTITUTE($G1580,"-",""))-1),SUBSTITUTE(SUBSTITUTE(SUBSTITUTE($G1580,"-"," ",LEN($G1580)-LEN(SUBSTITUTE($G1580,"-",""))),"-"," ",LEN($G1580)-LEN(SUBSTITUTE($G1580,"-",""))-1),"."," ",(LEN(SUBSTITUTE(SUBSTITUTE($G1580,"-"," ",LEN($G1580)-LEN(SUBSTITUTE($G1580,"-",""))),"-"," ",LEN($G1580)-LEN(SUBSTITUTE($G1580,"-",""))-1))-LEN(SUBSTITUTE(SUBSTITUTE(SUBSTITUTE($G1580,"-"," ",LEN($G1580)-LEN(SUBSTITUTE($G1580,"-",""))),"-"," ",LEN($G1580)-LEN(SUBSTITUTE($G1580,"-",""))-1),".",""))))),$G1580)))</f>
        <v/>
      </c>
    </row>
    <row r="1581">
      <c r="A1581" s="58" t="n"/>
      <c r="B1581" s="58">
        <f>IF($H1581="","",LEFT($H1581,FIND(" ",$H1581&amp;" ")-1))</f>
        <v/>
      </c>
      <c r="C1581" s="58">
        <f>IF($H1581="","",IFERROR(MID($H1581&amp;" ",FIND("|",SUBSTITUTE($H1581&amp;" "," ","|",1))+1,FIND("|",SUBSTITUTE($H1581&amp;" "," ","|",2))-FIND("|",SUBSTITUTE($H1581&amp;" "," ","|",1))-1),""))</f>
        <v/>
      </c>
      <c r="D1581" s="58">
        <f>IF($H1581="","",IFERROR(MID($H1581&amp;" ",FIND("|",SUBSTITUTE($H1581&amp;" "," ","|",2))+1,FIND("|",SUBSTITUTE($H1581&amp;" "," ","|",3))-FIND("|",SUBSTITUTE($H1581&amp;" "," ","|",2))-1),""))</f>
        <v/>
      </c>
      <c r="E1581" s="58">
        <f>IF($H1581="","",IFERROR(MID($H1581&amp;" ",FIND("|",SUBSTITUTE($H1581&amp;" "," ","|",3))+1,FIND("|",SUBSTITUTE($H1581&amp;" "," ","|",4))-FIND("|",SUBSTITUTE($H1581&amp;" "," ","|",3))-1),""))</f>
        <v/>
      </c>
      <c r="F1581" s="59">
        <f>IF($H1581="","",IFERROR(VALUE(IFERROR(MID($H1581&amp;" ",FIND("|",SUBSTITUTE($H1581&amp;" "," ","|",4))+1,FIND("|",SUBSTITUTE($H1581&amp;" "," ","|",5))-FIND("|",SUBSTITUTE($H1581&amp;" "," ","|",4))-1),""))/86400+25569+9/24,""))</f>
        <v/>
      </c>
      <c r="G1581" s="58">
        <f>TRIM(SUBSTITUTE(SUBSTITUTE(SUBSTITUTE($A1581,CHAR(9)," ")," "," "),CHAR(13),""))</f>
        <v/>
      </c>
      <c r="H1581" s="58">
        <f>IF($G1581="","",IF(ISNUMBER(FIND(" ",$G1581)),$G1581,IFERROR(IF((LEN(SUBSTITUTE(SUBSTITUTE($G1581,"-"," ",LEN($G1581)-LEN(SUBSTITUTE($G1581,"-",""))),"-"," ",LEN($G1581)-LEN(SUBSTITUTE($G1581,"-",""))-1))-LEN(SUBSTITUTE(SUBSTITUTE(SUBSTITUTE($G1581,"-"," ",LEN($G1581)-LEN(SUBSTITUTE($G1581,"-",""))),"-"," ",LEN($G1581)-LEN(SUBSTITUTE($G1581,"-",""))-1),".","")))=0,SUBSTITUTE(SUBSTITUTE($G1581,"-"," ",LEN($G1581)-LEN(SUBSTITUTE($G1581,"-",""))),"-"," ",LEN($G1581)-LEN(SUBSTITUTE($G1581,"-",""))-1),SUBSTITUTE(SUBSTITUTE(SUBSTITUTE($G1581,"-"," ",LEN($G1581)-LEN(SUBSTITUTE($G1581,"-",""))),"-"," ",LEN($G1581)-LEN(SUBSTITUTE($G1581,"-",""))-1),"."," ",(LEN(SUBSTITUTE(SUBSTITUTE($G1581,"-"," ",LEN($G1581)-LEN(SUBSTITUTE($G1581,"-",""))),"-"," ",LEN($G1581)-LEN(SUBSTITUTE($G1581,"-",""))-1))-LEN(SUBSTITUTE(SUBSTITUTE(SUBSTITUTE($G1581,"-"," ",LEN($G1581)-LEN(SUBSTITUTE($G1581,"-",""))),"-"," ",LEN($G1581)-LEN(SUBSTITUTE($G1581,"-",""))-1),".",""))))),$G1581)))</f>
        <v/>
      </c>
    </row>
    <row r="1582">
      <c r="A1582" s="58" t="n"/>
      <c r="B1582" s="58">
        <f>IF($H1582="","",LEFT($H1582,FIND(" ",$H1582&amp;" ")-1))</f>
        <v/>
      </c>
      <c r="C1582" s="58">
        <f>IF($H1582="","",IFERROR(MID($H1582&amp;" ",FIND("|",SUBSTITUTE($H1582&amp;" "," ","|",1))+1,FIND("|",SUBSTITUTE($H1582&amp;" "," ","|",2))-FIND("|",SUBSTITUTE($H1582&amp;" "," ","|",1))-1),""))</f>
        <v/>
      </c>
      <c r="D1582" s="58">
        <f>IF($H1582="","",IFERROR(MID($H1582&amp;" ",FIND("|",SUBSTITUTE($H1582&amp;" "," ","|",2))+1,FIND("|",SUBSTITUTE($H1582&amp;" "," ","|",3))-FIND("|",SUBSTITUTE($H1582&amp;" "," ","|",2))-1),""))</f>
        <v/>
      </c>
      <c r="E1582" s="58">
        <f>IF($H1582="","",IFERROR(MID($H1582&amp;" ",FIND("|",SUBSTITUTE($H1582&amp;" "," ","|",3))+1,FIND("|",SUBSTITUTE($H1582&amp;" "," ","|",4))-FIND("|",SUBSTITUTE($H1582&amp;" "," ","|",3))-1),""))</f>
        <v/>
      </c>
      <c r="F1582" s="59">
        <f>IF($H1582="","",IFERROR(VALUE(IFERROR(MID($H1582&amp;" ",FIND("|",SUBSTITUTE($H1582&amp;" "," ","|",4))+1,FIND("|",SUBSTITUTE($H1582&amp;" "," ","|",5))-FIND("|",SUBSTITUTE($H1582&amp;" "," ","|",4))-1),""))/86400+25569+9/24,""))</f>
        <v/>
      </c>
      <c r="G1582" s="58">
        <f>TRIM(SUBSTITUTE(SUBSTITUTE(SUBSTITUTE($A1582,CHAR(9)," ")," "," "),CHAR(13),""))</f>
        <v/>
      </c>
      <c r="H1582" s="58">
        <f>IF($G1582="","",IF(ISNUMBER(FIND(" ",$G1582)),$G1582,IFERROR(IF((LEN(SUBSTITUTE(SUBSTITUTE($G1582,"-"," ",LEN($G1582)-LEN(SUBSTITUTE($G1582,"-",""))),"-"," ",LEN($G1582)-LEN(SUBSTITUTE($G1582,"-",""))-1))-LEN(SUBSTITUTE(SUBSTITUTE(SUBSTITUTE($G1582,"-"," ",LEN($G1582)-LEN(SUBSTITUTE($G1582,"-",""))),"-"," ",LEN($G1582)-LEN(SUBSTITUTE($G1582,"-",""))-1),".","")))=0,SUBSTITUTE(SUBSTITUTE($G1582,"-"," ",LEN($G1582)-LEN(SUBSTITUTE($G1582,"-",""))),"-"," ",LEN($G1582)-LEN(SUBSTITUTE($G1582,"-",""))-1),SUBSTITUTE(SUBSTITUTE(SUBSTITUTE($G1582,"-"," ",LEN($G1582)-LEN(SUBSTITUTE($G1582,"-",""))),"-"," ",LEN($G1582)-LEN(SUBSTITUTE($G1582,"-",""))-1),"."," ",(LEN(SUBSTITUTE(SUBSTITUTE($G1582,"-"," ",LEN($G1582)-LEN(SUBSTITUTE($G1582,"-",""))),"-"," ",LEN($G1582)-LEN(SUBSTITUTE($G1582,"-",""))-1))-LEN(SUBSTITUTE(SUBSTITUTE(SUBSTITUTE($G1582,"-"," ",LEN($G1582)-LEN(SUBSTITUTE($G1582,"-",""))),"-"," ",LEN($G1582)-LEN(SUBSTITUTE($G1582,"-",""))-1),".",""))))),$G1582)))</f>
        <v/>
      </c>
    </row>
    <row r="1583">
      <c r="A1583" s="58" t="n"/>
      <c r="B1583" s="58">
        <f>IF($H1583="","",LEFT($H1583,FIND(" ",$H1583&amp;" ")-1))</f>
        <v/>
      </c>
      <c r="C1583" s="58">
        <f>IF($H1583="","",IFERROR(MID($H1583&amp;" ",FIND("|",SUBSTITUTE($H1583&amp;" "," ","|",1))+1,FIND("|",SUBSTITUTE($H1583&amp;" "," ","|",2))-FIND("|",SUBSTITUTE($H1583&amp;" "," ","|",1))-1),""))</f>
        <v/>
      </c>
      <c r="D1583" s="58">
        <f>IF($H1583="","",IFERROR(MID($H1583&amp;" ",FIND("|",SUBSTITUTE($H1583&amp;" "," ","|",2))+1,FIND("|",SUBSTITUTE($H1583&amp;" "," ","|",3))-FIND("|",SUBSTITUTE($H1583&amp;" "," ","|",2))-1),""))</f>
        <v/>
      </c>
      <c r="E1583" s="58">
        <f>IF($H1583="","",IFERROR(MID($H1583&amp;" ",FIND("|",SUBSTITUTE($H1583&amp;" "," ","|",3))+1,FIND("|",SUBSTITUTE($H1583&amp;" "," ","|",4))-FIND("|",SUBSTITUTE($H1583&amp;" "," ","|",3))-1),""))</f>
        <v/>
      </c>
      <c r="F1583" s="59">
        <f>IF($H1583="","",IFERROR(VALUE(IFERROR(MID($H1583&amp;" ",FIND("|",SUBSTITUTE($H1583&amp;" "," ","|",4))+1,FIND("|",SUBSTITUTE($H1583&amp;" "," ","|",5))-FIND("|",SUBSTITUTE($H1583&amp;" "," ","|",4))-1),""))/86400+25569+9/24,""))</f>
        <v/>
      </c>
      <c r="G1583" s="58">
        <f>TRIM(SUBSTITUTE(SUBSTITUTE(SUBSTITUTE($A1583,CHAR(9)," ")," "," "),CHAR(13),""))</f>
        <v/>
      </c>
      <c r="H1583" s="58">
        <f>IF($G1583="","",IF(ISNUMBER(FIND(" ",$G1583)),$G1583,IFERROR(IF((LEN(SUBSTITUTE(SUBSTITUTE($G1583,"-"," ",LEN($G1583)-LEN(SUBSTITUTE($G1583,"-",""))),"-"," ",LEN($G1583)-LEN(SUBSTITUTE($G1583,"-",""))-1))-LEN(SUBSTITUTE(SUBSTITUTE(SUBSTITUTE($G1583,"-"," ",LEN($G1583)-LEN(SUBSTITUTE($G1583,"-",""))),"-"," ",LEN($G1583)-LEN(SUBSTITUTE($G1583,"-",""))-1),".","")))=0,SUBSTITUTE(SUBSTITUTE($G1583,"-"," ",LEN($G1583)-LEN(SUBSTITUTE($G1583,"-",""))),"-"," ",LEN($G1583)-LEN(SUBSTITUTE($G1583,"-",""))-1),SUBSTITUTE(SUBSTITUTE(SUBSTITUTE($G1583,"-"," ",LEN($G1583)-LEN(SUBSTITUTE($G1583,"-",""))),"-"," ",LEN($G1583)-LEN(SUBSTITUTE($G1583,"-",""))-1),"."," ",(LEN(SUBSTITUTE(SUBSTITUTE($G1583,"-"," ",LEN($G1583)-LEN(SUBSTITUTE($G1583,"-",""))),"-"," ",LEN($G1583)-LEN(SUBSTITUTE($G1583,"-",""))-1))-LEN(SUBSTITUTE(SUBSTITUTE(SUBSTITUTE($G1583,"-"," ",LEN($G1583)-LEN(SUBSTITUTE($G1583,"-",""))),"-"," ",LEN($G1583)-LEN(SUBSTITUTE($G1583,"-",""))-1),".",""))))),$G1583)))</f>
        <v/>
      </c>
    </row>
    <row r="1584">
      <c r="A1584" s="58" t="n"/>
      <c r="B1584" s="58">
        <f>IF($H1584="","",LEFT($H1584,FIND(" ",$H1584&amp;" ")-1))</f>
        <v/>
      </c>
      <c r="C1584" s="58">
        <f>IF($H1584="","",IFERROR(MID($H1584&amp;" ",FIND("|",SUBSTITUTE($H1584&amp;" "," ","|",1))+1,FIND("|",SUBSTITUTE($H1584&amp;" "," ","|",2))-FIND("|",SUBSTITUTE($H1584&amp;" "," ","|",1))-1),""))</f>
        <v/>
      </c>
      <c r="D1584" s="58">
        <f>IF($H1584="","",IFERROR(MID($H1584&amp;" ",FIND("|",SUBSTITUTE($H1584&amp;" "," ","|",2))+1,FIND("|",SUBSTITUTE($H1584&amp;" "," ","|",3))-FIND("|",SUBSTITUTE($H1584&amp;" "," ","|",2))-1),""))</f>
        <v/>
      </c>
      <c r="E1584" s="58">
        <f>IF($H1584="","",IFERROR(MID($H1584&amp;" ",FIND("|",SUBSTITUTE($H1584&amp;" "," ","|",3))+1,FIND("|",SUBSTITUTE($H1584&amp;" "," ","|",4))-FIND("|",SUBSTITUTE($H1584&amp;" "," ","|",3))-1),""))</f>
        <v/>
      </c>
      <c r="F1584" s="59">
        <f>IF($H1584="","",IFERROR(VALUE(IFERROR(MID($H1584&amp;" ",FIND("|",SUBSTITUTE($H1584&amp;" "," ","|",4))+1,FIND("|",SUBSTITUTE($H1584&amp;" "," ","|",5))-FIND("|",SUBSTITUTE($H1584&amp;" "," ","|",4))-1),""))/86400+25569+9/24,""))</f>
        <v/>
      </c>
      <c r="G1584" s="58">
        <f>TRIM(SUBSTITUTE(SUBSTITUTE(SUBSTITUTE($A1584,CHAR(9)," ")," "," "),CHAR(13),""))</f>
        <v/>
      </c>
      <c r="H1584" s="58">
        <f>IF($G1584="","",IF(ISNUMBER(FIND(" ",$G1584)),$G1584,IFERROR(IF((LEN(SUBSTITUTE(SUBSTITUTE($G1584,"-"," ",LEN($G1584)-LEN(SUBSTITUTE($G1584,"-",""))),"-"," ",LEN($G1584)-LEN(SUBSTITUTE($G1584,"-",""))-1))-LEN(SUBSTITUTE(SUBSTITUTE(SUBSTITUTE($G1584,"-"," ",LEN($G1584)-LEN(SUBSTITUTE($G1584,"-",""))),"-"," ",LEN($G1584)-LEN(SUBSTITUTE($G1584,"-",""))-1),".","")))=0,SUBSTITUTE(SUBSTITUTE($G1584,"-"," ",LEN($G1584)-LEN(SUBSTITUTE($G1584,"-",""))),"-"," ",LEN($G1584)-LEN(SUBSTITUTE($G1584,"-",""))-1),SUBSTITUTE(SUBSTITUTE(SUBSTITUTE($G1584,"-"," ",LEN($G1584)-LEN(SUBSTITUTE($G1584,"-",""))),"-"," ",LEN($G1584)-LEN(SUBSTITUTE($G1584,"-",""))-1),"."," ",(LEN(SUBSTITUTE(SUBSTITUTE($G1584,"-"," ",LEN($G1584)-LEN(SUBSTITUTE($G1584,"-",""))),"-"," ",LEN($G1584)-LEN(SUBSTITUTE($G1584,"-",""))-1))-LEN(SUBSTITUTE(SUBSTITUTE(SUBSTITUTE($G1584,"-"," ",LEN($G1584)-LEN(SUBSTITUTE($G1584,"-",""))),"-"," ",LEN($G1584)-LEN(SUBSTITUTE($G1584,"-",""))-1),".",""))))),$G1584)))</f>
        <v/>
      </c>
    </row>
    <row r="1585">
      <c r="A1585" s="58" t="n"/>
      <c r="B1585" s="58">
        <f>IF($H1585="","",LEFT($H1585,FIND(" ",$H1585&amp;" ")-1))</f>
        <v/>
      </c>
      <c r="C1585" s="58">
        <f>IF($H1585="","",IFERROR(MID($H1585&amp;" ",FIND("|",SUBSTITUTE($H1585&amp;" "," ","|",1))+1,FIND("|",SUBSTITUTE($H1585&amp;" "," ","|",2))-FIND("|",SUBSTITUTE($H1585&amp;" "," ","|",1))-1),""))</f>
        <v/>
      </c>
      <c r="D1585" s="58">
        <f>IF($H1585="","",IFERROR(MID($H1585&amp;" ",FIND("|",SUBSTITUTE($H1585&amp;" "," ","|",2))+1,FIND("|",SUBSTITUTE($H1585&amp;" "," ","|",3))-FIND("|",SUBSTITUTE($H1585&amp;" "," ","|",2))-1),""))</f>
        <v/>
      </c>
      <c r="E1585" s="58">
        <f>IF($H1585="","",IFERROR(MID($H1585&amp;" ",FIND("|",SUBSTITUTE($H1585&amp;" "," ","|",3))+1,FIND("|",SUBSTITUTE($H1585&amp;" "," ","|",4))-FIND("|",SUBSTITUTE($H1585&amp;" "," ","|",3))-1),""))</f>
        <v/>
      </c>
      <c r="F1585" s="59">
        <f>IF($H1585="","",IFERROR(VALUE(IFERROR(MID($H1585&amp;" ",FIND("|",SUBSTITUTE($H1585&amp;" "," ","|",4))+1,FIND("|",SUBSTITUTE($H1585&amp;" "," ","|",5))-FIND("|",SUBSTITUTE($H1585&amp;" "," ","|",4))-1),""))/86400+25569+9/24,""))</f>
        <v/>
      </c>
      <c r="G1585" s="58">
        <f>TRIM(SUBSTITUTE(SUBSTITUTE(SUBSTITUTE($A1585,CHAR(9)," ")," "," "),CHAR(13),""))</f>
        <v/>
      </c>
      <c r="H1585" s="58">
        <f>IF($G1585="","",IF(ISNUMBER(FIND(" ",$G1585)),$G1585,IFERROR(IF((LEN(SUBSTITUTE(SUBSTITUTE($G1585,"-"," ",LEN($G1585)-LEN(SUBSTITUTE($G1585,"-",""))),"-"," ",LEN($G1585)-LEN(SUBSTITUTE($G1585,"-",""))-1))-LEN(SUBSTITUTE(SUBSTITUTE(SUBSTITUTE($G1585,"-"," ",LEN($G1585)-LEN(SUBSTITUTE($G1585,"-",""))),"-"," ",LEN($G1585)-LEN(SUBSTITUTE($G1585,"-",""))-1),".","")))=0,SUBSTITUTE(SUBSTITUTE($G1585,"-"," ",LEN($G1585)-LEN(SUBSTITUTE($G1585,"-",""))),"-"," ",LEN($G1585)-LEN(SUBSTITUTE($G1585,"-",""))-1),SUBSTITUTE(SUBSTITUTE(SUBSTITUTE($G1585,"-"," ",LEN($G1585)-LEN(SUBSTITUTE($G1585,"-",""))),"-"," ",LEN($G1585)-LEN(SUBSTITUTE($G1585,"-",""))-1),"."," ",(LEN(SUBSTITUTE(SUBSTITUTE($G1585,"-"," ",LEN($G1585)-LEN(SUBSTITUTE($G1585,"-",""))),"-"," ",LEN($G1585)-LEN(SUBSTITUTE($G1585,"-",""))-1))-LEN(SUBSTITUTE(SUBSTITUTE(SUBSTITUTE($G1585,"-"," ",LEN($G1585)-LEN(SUBSTITUTE($G1585,"-",""))),"-"," ",LEN($G1585)-LEN(SUBSTITUTE($G1585,"-",""))-1),".",""))))),$G1585)))</f>
        <v/>
      </c>
    </row>
    <row r="1586">
      <c r="A1586" s="58" t="n"/>
      <c r="B1586" s="58">
        <f>IF($H1586="","",LEFT($H1586,FIND(" ",$H1586&amp;" ")-1))</f>
        <v/>
      </c>
      <c r="C1586" s="58">
        <f>IF($H1586="","",IFERROR(MID($H1586&amp;" ",FIND("|",SUBSTITUTE($H1586&amp;" "," ","|",1))+1,FIND("|",SUBSTITUTE($H1586&amp;" "," ","|",2))-FIND("|",SUBSTITUTE($H1586&amp;" "," ","|",1))-1),""))</f>
        <v/>
      </c>
      <c r="D1586" s="58">
        <f>IF($H1586="","",IFERROR(MID($H1586&amp;" ",FIND("|",SUBSTITUTE($H1586&amp;" "," ","|",2))+1,FIND("|",SUBSTITUTE($H1586&amp;" "," ","|",3))-FIND("|",SUBSTITUTE($H1586&amp;" "," ","|",2))-1),""))</f>
        <v/>
      </c>
      <c r="E1586" s="58">
        <f>IF($H1586="","",IFERROR(MID($H1586&amp;" ",FIND("|",SUBSTITUTE($H1586&amp;" "," ","|",3))+1,FIND("|",SUBSTITUTE($H1586&amp;" "," ","|",4))-FIND("|",SUBSTITUTE($H1586&amp;" "," ","|",3))-1),""))</f>
        <v/>
      </c>
      <c r="F1586" s="59">
        <f>IF($H1586="","",IFERROR(VALUE(IFERROR(MID($H1586&amp;" ",FIND("|",SUBSTITUTE($H1586&amp;" "," ","|",4))+1,FIND("|",SUBSTITUTE($H1586&amp;" "," ","|",5))-FIND("|",SUBSTITUTE($H1586&amp;" "," ","|",4))-1),""))/86400+25569+9/24,""))</f>
        <v/>
      </c>
      <c r="G1586" s="58">
        <f>TRIM(SUBSTITUTE(SUBSTITUTE(SUBSTITUTE($A1586,CHAR(9)," ")," "," "),CHAR(13),""))</f>
        <v/>
      </c>
      <c r="H1586" s="58">
        <f>IF($G1586="","",IF(ISNUMBER(FIND(" ",$G1586)),$G1586,IFERROR(IF((LEN(SUBSTITUTE(SUBSTITUTE($G1586,"-"," ",LEN($G1586)-LEN(SUBSTITUTE($G1586,"-",""))),"-"," ",LEN($G1586)-LEN(SUBSTITUTE($G1586,"-",""))-1))-LEN(SUBSTITUTE(SUBSTITUTE(SUBSTITUTE($G1586,"-"," ",LEN($G1586)-LEN(SUBSTITUTE($G1586,"-",""))),"-"," ",LEN($G1586)-LEN(SUBSTITUTE($G1586,"-",""))-1),".","")))=0,SUBSTITUTE(SUBSTITUTE($G1586,"-"," ",LEN($G1586)-LEN(SUBSTITUTE($G1586,"-",""))),"-"," ",LEN($G1586)-LEN(SUBSTITUTE($G1586,"-",""))-1),SUBSTITUTE(SUBSTITUTE(SUBSTITUTE($G1586,"-"," ",LEN($G1586)-LEN(SUBSTITUTE($G1586,"-",""))),"-"," ",LEN($G1586)-LEN(SUBSTITUTE($G1586,"-",""))-1),"."," ",(LEN(SUBSTITUTE(SUBSTITUTE($G1586,"-"," ",LEN($G1586)-LEN(SUBSTITUTE($G1586,"-",""))),"-"," ",LEN($G1586)-LEN(SUBSTITUTE($G1586,"-",""))-1))-LEN(SUBSTITUTE(SUBSTITUTE(SUBSTITUTE($G1586,"-"," ",LEN($G1586)-LEN(SUBSTITUTE($G1586,"-",""))),"-"," ",LEN($G1586)-LEN(SUBSTITUTE($G1586,"-",""))-1),".",""))))),$G1586)))</f>
        <v/>
      </c>
    </row>
    <row r="1587">
      <c r="A1587" s="58" t="n"/>
      <c r="B1587" s="58">
        <f>IF($H1587="","",LEFT($H1587,FIND(" ",$H1587&amp;" ")-1))</f>
        <v/>
      </c>
      <c r="C1587" s="58">
        <f>IF($H1587="","",IFERROR(MID($H1587&amp;" ",FIND("|",SUBSTITUTE($H1587&amp;" "," ","|",1))+1,FIND("|",SUBSTITUTE($H1587&amp;" "," ","|",2))-FIND("|",SUBSTITUTE($H1587&amp;" "," ","|",1))-1),""))</f>
        <v/>
      </c>
      <c r="D1587" s="58">
        <f>IF($H1587="","",IFERROR(MID($H1587&amp;" ",FIND("|",SUBSTITUTE($H1587&amp;" "," ","|",2))+1,FIND("|",SUBSTITUTE($H1587&amp;" "," ","|",3))-FIND("|",SUBSTITUTE($H1587&amp;" "," ","|",2))-1),""))</f>
        <v/>
      </c>
      <c r="E1587" s="58">
        <f>IF($H1587="","",IFERROR(MID($H1587&amp;" ",FIND("|",SUBSTITUTE($H1587&amp;" "," ","|",3))+1,FIND("|",SUBSTITUTE($H1587&amp;" "," ","|",4))-FIND("|",SUBSTITUTE($H1587&amp;" "," ","|",3))-1),""))</f>
        <v/>
      </c>
      <c r="F1587" s="59">
        <f>IF($H1587="","",IFERROR(VALUE(IFERROR(MID($H1587&amp;" ",FIND("|",SUBSTITUTE($H1587&amp;" "," ","|",4))+1,FIND("|",SUBSTITUTE($H1587&amp;" "," ","|",5))-FIND("|",SUBSTITUTE($H1587&amp;" "," ","|",4))-1),""))/86400+25569+9/24,""))</f>
        <v/>
      </c>
      <c r="G1587" s="58">
        <f>TRIM(SUBSTITUTE(SUBSTITUTE(SUBSTITUTE($A1587,CHAR(9)," ")," "," "),CHAR(13),""))</f>
        <v/>
      </c>
      <c r="H1587" s="58">
        <f>IF($G1587="","",IF(ISNUMBER(FIND(" ",$G1587)),$G1587,IFERROR(IF((LEN(SUBSTITUTE(SUBSTITUTE($G1587,"-"," ",LEN($G1587)-LEN(SUBSTITUTE($G1587,"-",""))),"-"," ",LEN($G1587)-LEN(SUBSTITUTE($G1587,"-",""))-1))-LEN(SUBSTITUTE(SUBSTITUTE(SUBSTITUTE($G1587,"-"," ",LEN($G1587)-LEN(SUBSTITUTE($G1587,"-",""))),"-"," ",LEN($G1587)-LEN(SUBSTITUTE($G1587,"-",""))-1),".","")))=0,SUBSTITUTE(SUBSTITUTE($G1587,"-"," ",LEN($G1587)-LEN(SUBSTITUTE($G1587,"-",""))),"-"," ",LEN($G1587)-LEN(SUBSTITUTE($G1587,"-",""))-1),SUBSTITUTE(SUBSTITUTE(SUBSTITUTE($G1587,"-"," ",LEN($G1587)-LEN(SUBSTITUTE($G1587,"-",""))),"-"," ",LEN($G1587)-LEN(SUBSTITUTE($G1587,"-",""))-1),"."," ",(LEN(SUBSTITUTE(SUBSTITUTE($G1587,"-"," ",LEN($G1587)-LEN(SUBSTITUTE($G1587,"-",""))),"-"," ",LEN($G1587)-LEN(SUBSTITUTE($G1587,"-",""))-1))-LEN(SUBSTITUTE(SUBSTITUTE(SUBSTITUTE($G1587,"-"," ",LEN($G1587)-LEN(SUBSTITUTE($G1587,"-",""))),"-"," ",LEN($G1587)-LEN(SUBSTITUTE($G1587,"-",""))-1),".",""))))),$G1587)))</f>
        <v/>
      </c>
    </row>
    <row r="1588">
      <c r="A1588" s="58" t="n"/>
      <c r="B1588" s="58">
        <f>IF($H1588="","",LEFT($H1588,FIND(" ",$H1588&amp;" ")-1))</f>
        <v/>
      </c>
      <c r="C1588" s="58">
        <f>IF($H1588="","",IFERROR(MID($H1588&amp;" ",FIND("|",SUBSTITUTE($H1588&amp;" "," ","|",1))+1,FIND("|",SUBSTITUTE($H1588&amp;" "," ","|",2))-FIND("|",SUBSTITUTE($H1588&amp;" "," ","|",1))-1),""))</f>
        <v/>
      </c>
      <c r="D1588" s="58">
        <f>IF($H1588="","",IFERROR(MID($H1588&amp;" ",FIND("|",SUBSTITUTE($H1588&amp;" "," ","|",2))+1,FIND("|",SUBSTITUTE($H1588&amp;" "," ","|",3))-FIND("|",SUBSTITUTE($H1588&amp;" "," ","|",2))-1),""))</f>
        <v/>
      </c>
      <c r="E1588" s="58">
        <f>IF($H1588="","",IFERROR(MID($H1588&amp;" ",FIND("|",SUBSTITUTE($H1588&amp;" "," ","|",3))+1,FIND("|",SUBSTITUTE($H1588&amp;" "," ","|",4))-FIND("|",SUBSTITUTE($H1588&amp;" "," ","|",3))-1),""))</f>
        <v/>
      </c>
      <c r="F1588" s="59">
        <f>IF($H1588="","",IFERROR(VALUE(IFERROR(MID($H1588&amp;" ",FIND("|",SUBSTITUTE($H1588&amp;" "," ","|",4))+1,FIND("|",SUBSTITUTE($H1588&amp;" "," ","|",5))-FIND("|",SUBSTITUTE($H1588&amp;" "," ","|",4))-1),""))/86400+25569+9/24,""))</f>
        <v/>
      </c>
      <c r="G1588" s="58">
        <f>TRIM(SUBSTITUTE(SUBSTITUTE(SUBSTITUTE($A1588,CHAR(9)," ")," "," "),CHAR(13),""))</f>
        <v/>
      </c>
      <c r="H1588" s="58">
        <f>IF($G1588="","",IF(ISNUMBER(FIND(" ",$G1588)),$G1588,IFERROR(IF((LEN(SUBSTITUTE(SUBSTITUTE($G1588,"-"," ",LEN($G1588)-LEN(SUBSTITUTE($G1588,"-",""))),"-"," ",LEN($G1588)-LEN(SUBSTITUTE($G1588,"-",""))-1))-LEN(SUBSTITUTE(SUBSTITUTE(SUBSTITUTE($G1588,"-"," ",LEN($G1588)-LEN(SUBSTITUTE($G1588,"-",""))),"-"," ",LEN($G1588)-LEN(SUBSTITUTE($G1588,"-",""))-1),".","")))=0,SUBSTITUTE(SUBSTITUTE($G1588,"-"," ",LEN($G1588)-LEN(SUBSTITUTE($G1588,"-",""))),"-"," ",LEN($G1588)-LEN(SUBSTITUTE($G1588,"-",""))-1),SUBSTITUTE(SUBSTITUTE(SUBSTITUTE($G1588,"-"," ",LEN($G1588)-LEN(SUBSTITUTE($G1588,"-",""))),"-"," ",LEN($G1588)-LEN(SUBSTITUTE($G1588,"-",""))-1),"."," ",(LEN(SUBSTITUTE(SUBSTITUTE($G1588,"-"," ",LEN($G1588)-LEN(SUBSTITUTE($G1588,"-",""))),"-"," ",LEN($G1588)-LEN(SUBSTITUTE($G1588,"-",""))-1))-LEN(SUBSTITUTE(SUBSTITUTE(SUBSTITUTE($G1588,"-"," ",LEN($G1588)-LEN(SUBSTITUTE($G1588,"-",""))),"-"," ",LEN($G1588)-LEN(SUBSTITUTE($G1588,"-",""))-1),".",""))))),$G1588)))</f>
        <v/>
      </c>
    </row>
    <row r="1589">
      <c r="A1589" s="58" t="n"/>
      <c r="B1589" s="58">
        <f>IF($H1589="","",LEFT($H1589,FIND(" ",$H1589&amp;" ")-1))</f>
        <v/>
      </c>
      <c r="C1589" s="58">
        <f>IF($H1589="","",IFERROR(MID($H1589&amp;" ",FIND("|",SUBSTITUTE($H1589&amp;" "," ","|",1))+1,FIND("|",SUBSTITUTE($H1589&amp;" "," ","|",2))-FIND("|",SUBSTITUTE($H1589&amp;" "," ","|",1))-1),""))</f>
        <v/>
      </c>
      <c r="D1589" s="58">
        <f>IF($H1589="","",IFERROR(MID($H1589&amp;" ",FIND("|",SUBSTITUTE($H1589&amp;" "," ","|",2))+1,FIND("|",SUBSTITUTE($H1589&amp;" "," ","|",3))-FIND("|",SUBSTITUTE($H1589&amp;" "," ","|",2))-1),""))</f>
        <v/>
      </c>
      <c r="E1589" s="58">
        <f>IF($H1589="","",IFERROR(MID($H1589&amp;" ",FIND("|",SUBSTITUTE($H1589&amp;" "," ","|",3))+1,FIND("|",SUBSTITUTE($H1589&amp;" "," ","|",4))-FIND("|",SUBSTITUTE($H1589&amp;" "," ","|",3))-1),""))</f>
        <v/>
      </c>
      <c r="F1589" s="59">
        <f>IF($H1589="","",IFERROR(VALUE(IFERROR(MID($H1589&amp;" ",FIND("|",SUBSTITUTE($H1589&amp;" "," ","|",4))+1,FIND("|",SUBSTITUTE($H1589&amp;" "," ","|",5))-FIND("|",SUBSTITUTE($H1589&amp;" "," ","|",4))-1),""))/86400+25569+9/24,""))</f>
        <v/>
      </c>
      <c r="G1589" s="58">
        <f>TRIM(SUBSTITUTE(SUBSTITUTE(SUBSTITUTE($A1589,CHAR(9)," ")," "," "),CHAR(13),""))</f>
        <v/>
      </c>
      <c r="H1589" s="58">
        <f>IF($G1589="","",IF(ISNUMBER(FIND(" ",$G1589)),$G1589,IFERROR(IF((LEN(SUBSTITUTE(SUBSTITUTE($G1589,"-"," ",LEN($G1589)-LEN(SUBSTITUTE($G1589,"-",""))),"-"," ",LEN($G1589)-LEN(SUBSTITUTE($G1589,"-",""))-1))-LEN(SUBSTITUTE(SUBSTITUTE(SUBSTITUTE($G1589,"-"," ",LEN($G1589)-LEN(SUBSTITUTE($G1589,"-",""))),"-"," ",LEN($G1589)-LEN(SUBSTITUTE($G1589,"-",""))-1),".","")))=0,SUBSTITUTE(SUBSTITUTE($G1589,"-"," ",LEN($G1589)-LEN(SUBSTITUTE($G1589,"-",""))),"-"," ",LEN($G1589)-LEN(SUBSTITUTE($G1589,"-",""))-1),SUBSTITUTE(SUBSTITUTE(SUBSTITUTE($G1589,"-"," ",LEN($G1589)-LEN(SUBSTITUTE($G1589,"-",""))),"-"," ",LEN($G1589)-LEN(SUBSTITUTE($G1589,"-",""))-1),"."," ",(LEN(SUBSTITUTE(SUBSTITUTE($G1589,"-"," ",LEN($G1589)-LEN(SUBSTITUTE($G1589,"-",""))),"-"," ",LEN($G1589)-LEN(SUBSTITUTE($G1589,"-",""))-1))-LEN(SUBSTITUTE(SUBSTITUTE(SUBSTITUTE($G1589,"-"," ",LEN($G1589)-LEN(SUBSTITUTE($G1589,"-",""))),"-"," ",LEN($G1589)-LEN(SUBSTITUTE($G1589,"-",""))-1),".",""))))),$G1589)))</f>
        <v/>
      </c>
    </row>
    <row r="1590">
      <c r="A1590" s="58" t="n"/>
      <c r="B1590" s="58">
        <f>IF($H1590="","",LEFT($H1590,FIND(" ",$H1590&amp;" ")-1))</f>
        <v/>
      </c>
      <c r="C1590" s="58">
        <f>IF($H1590="","",IFERROR(MID($H1590&amp;" ",FIND("|",SUBSTITUTE($H1590&amp;" "," ","|",1))+1,FIND("|",SUBSTITUTE($H1590&amp;" "," ","|",2))-FIND("|",SUBSTITUTE($H1590&amp;" "," ","|",1))-1),""))</f>
        <v/>
      </c>
      <c r="D1590" s="58">
        <f>IF($H1590="","",IFERROR(MID($H1590&amp;" ",FIND("|",SUBSTITUTE($H1590&amp;" "," ","|",2))+1,FIND("|",SUBSTITUTE($H1590&amp;" "," ","|",3))-FIND("|",SUBSTITUTE($H1590&amp;" "," ","|",2))-1),""))</f>
        <v/>
      </c>
      <c r="E1590" s="58">
        <f>IF($H1590="","",IFERROR(MID($H1590&amp;" ",FIND("|",SUBSTITUTE($H1590&amp;" "," ","|",3))+1,FIND("|",SUBSTITUTE($H1590&amp;" "," ","|",4))-FIND("|",SUBSTITUTE($H1590&amp;" "," ","|",3))-1),""))</f>
        <v/>
      </c>
      <c r="F1590" s="59">
        <f>IF($H1590="","",IFERROR(VALUE(IFERROR(MID($H1590&amp;" ",FIND("|",SUBSTITUTE($H1590&amp;" "," ","|",4))+1,FIND("|",SUBSTITUTE($H1590&amp;" "," ","|",5))-FIND("|",SUBSTITUTE($H1590&amp;" "," ","|",4))-1),""))/86400+25569+9/24,""))</f>
        <v/>
      </c>
      <c r="G1590" s="58">
        <f>TRIM(SUBSTITUTE(SUBSTITUTE(SUBSTITUTE($A1590,CHAR(9)," ")," "," "),CHAR(13),""))</f>
        <v/>
      </c>
      <c r="H1590" s="58">
        <f>IF($G1590="","",IF(ISNUMBER(FIND(" ",$G1590)),$G1590,IFERROR(IF((LEN(SUBSTITUTE(SUBSTITUTE($G1590,"-"," ",LEN($G1590)-LEN(SUBSTITUTE($G1590,"-",""))),"-"," ",LEN($G1590)-LEN(SUBSTITUTE($G1590,"-",""))-1))-LEN(SUBSTITUTE(SUBSTITUTE(SUBSTITUTE($G1590,"-"," ",LEN($G1590)-LEN(SUBSTITUTE($G1590,"-",""))),"-"," ",LEN($G1590)-LEN(SUBSTITUTE($G1590,"-",""))-1),".","")))=0,SUBSTITUTE(SUBSTITUTE($G1590,"-"," ",LEN($G1590)-LEN(SUBSTITUTE($G1590,"-",""))),"-"," ",LEN($G1590)-LEN(SUBSTITUTE($G1590,"-",""))-1),SUBSTITUTE(SUBSTITUTE(SUBSTITUTE($G1590,"-"," ",LEN($G1590)-LEN(SUBSTITUTE($G1590,"-",""))),"-"," ",LEN($G1590)-LEN(SUBSTITUTE($G1590,"-",""))-1),"."," ",(LEN(SUBSTITUTE(SUBSTITUTE($G1590,"-"," ",LEN($G1590)-LEN(SUBSTITUTE($G1590,"-",""))),"-"," ",LEN($G1590)-LEN(SUBSTITUTE($G1590,"-",""))-1))-LEN(SUBSTITUTE(SUBSTITUTE(SUBSTITUTE($G1590,"-"," ",LEN($G1590)-LEN(SUBSTITUTE($G1590,"-",""))),"-"," ",LEN($G1590)-LEN(SUBSTITUTE($G1590,"-",""))-1),".",""))))),$G1590)))</f>
        <v/>
      </c>
    </row>
    <row r="1591">
      <c r="A1591" s="58" t="n"/>
      <c r="B1591" s="58">
        <f>IF($H1591="","",LEFT($H1591,FIND(" ",$H1591&amp;" ")-1))</f>
        <v/>
      </c>
      <c r="C1591" s="58">
        <f>IF($H1591="","",IFERROR(MID($H1591&amp;" ",FIND("|",SUBSTITUTE($H1591&amp;" "," ","|",1))+1,FIND("|",SUBSTITUTE($H1591&amp;" "," ","|",2))-FIND("|",SUBSTITUTE($H1591&amp;" "," ","|",1))-1),""))</f>
        <v/>
      </c>
      <c r="D1591" s="58">
        <f>IF($H1591="","",IFERROR(MID($H1591&amp;" ",FIND("|",SUBSTITUTE($H1591&amp;" "," ","|",2))+1,FIND("|",SUBSTITUTE($H1591&amp;" "," ","|",3))-FIND("|",SUBSTITUTE($H1591&amp;" "," ","|",2))-1),""))</f>
        <v/>
      </c>
      <c r="E1591" s="58">
        <f>IF($H1591="","",IFERROR(MID($H1591&amp;" ",FIND("|",SUBSTITUTE($H1591&amp;" "," ","|",3))+1,FIND("|",SUBSTITUTE($H1591&amp;" "," ","|",4))-FIND("|",SUBSTITUTE($H1591&amp;" "," ","|",3))-1),""))</f>
        <v/>
      </c>
      <c r="F1591" s="59">
        <f>IF($H1591="","",IFERROR(VALUE(IFERROR(MID($H1591&amp;" ",FIND("|",SUBSTITUTE($H1591&amp;" "," ","|",4))+1,FIND("|",SUBSTITUTE($H1591&amp;" "," ","|",5))-FIND("|",SUBSTITUTE($H1591&amp;" "," ","|",4))-1),""))/86400+25569+9/24,""))</f>
        <v/>
      </c>
      <c r="G1591" s="58">
        <f>TRIM(SUBSTITUTE(SUBSTITUTE(SUBSTITUTE($A1591,CHAR(9)," ")," "," "),CHAR(13),""))</f>
        <v/>
      </c>
      <c r="H1591" s="58">
        <f>IF($G1591="","",IF(ISNUMBER(FIND(" ",$G1591)),$G1591,IFERROR(IF((LEN(SUBSTITUTE(SUBSTITUTE($G1591,"-"," ",LEN($G1591)-LEN(SUBSTITUTE($G1591,"-",""))),"-"," ",LEN($G1591)-LEN(SUBSTITUTE($G1591,"-",""))-1))-LEN(SUBSTITUTE(SUBSTITUTE(SUBSTITUTE($G1591,"-"," ",LEN($G1591)-LEN(SUBSTITUTE($G1591,"-",""))),"-"," ",LEN($G1591)-LEN(SUBSTITUTE($G1591,"-",""))-1),".","")))=0,SUBSTITUTE(SUBSTITUTE($G1591,"-"," ",LEN($G1591)-LEN(SUBSTITUTE($G1591,"-",""))),"-"," ",LEN($G1591)-LEN(SUBSTITUTE($G1591,"-",""))-1),SUBSTITUTE(SUBSTITUTE(SUBSTITUTE($G1591,"-"," ",LEN($G1591)-LEN(SUBSTITUTE($G1591,"-",""))),"-"," ",LEN($G1591)-LEN(SUBSTITUTE($G1591,"-",""))-1),"."," ",(LEN(SUBSTITUTE(SUBSTITUTE($G1591,"-"," ",LEN($G1591)-LEN(SUBSTITUTE($G1591,"-",""))),"-"," ",LEN($G1591)-LEN(SUBSTITUTE($G1591,"-",""))-1))-LEN(SUBSTITUTE(SUBSTITUTE(SUBSTITUTE($G1591,"-"," ",LEN($G1591)-LEN(SUBSTITUTE($G1591,"-",""))),"-"," ",LEN($G1591)-LEN(SUBSTITUTE($G1591,"-",""))-1),".",""))))),$G1591)))</f>
        <v/>
      </c>
    </row>
    <row r="1592">
      <c r="A1592" s="58" t="n"/>
      <c r="B1592" s="58">
        <f>IF($H1592="","",LEFT($H1592,FIND(" ",$H1592&amp;" ")-1))</f>
        <v/>
      </c>
      <c r="C1592" s="58">
        <f>IF($H1592="","",IFERROR(MID($H1592&amp;" ",FIND("|",SUBSTITUTE($H1592&amp;" "," ","|",1))+1,FIND("|",SUBSTITUTE($H1592&amp;" "," ","|",2))-FIND("|",SUBSTITUTE($H1592&amp;" "," ","|",1))-1),""))</f>
        <v/>
      </c>
      <c r="D1592" s="58">
        <f>IF($H1592="","",IFERROR(MID($H1592&amp;" ",FIND("|",SUBSTITUTE($H1592&amp;" "," ","|",2))+1,FIND("|",SUBSTITUTE($H1592&amp;" "," ","|",3))-FIND("|",SUBSTITUTE($H1592&amp;" "," ","|",2))-1),""))</f>
        <v/>
      </c>
      <c r="E1592" s="58">
        <f>IF($H1592="","",IFERROR(MID($H1592&amp;" ",FIND("|",SUBSTITUTE($H1592&amp;" "," ","|",3))+1,FIND("|",SUBSTITUTE($H1592&amp;" "," ","|",4))-FIND("|",SUBSTITUTE($H1592&amp;" "," ","|",3))-1),""))</f>
        <v/>
      </c>
      <c r="F1592" s="59">
        <f>IF($H1592="","",IFERROR(VALUE(IFERROR(MID($H1592&amp;" ",FIND("|",SUBSTITUTE($H1592&amp;" "," ","|",4))+1,FIND("|",SUBSTITUTE($H1592&amp;" "," ","|",5))-FIND("|",SUBSTITUTE($H1592&amp;" "," ","|",4))-1),""))/86400+25569+9/24,""))</f>
        <v/>
      </c>
      <c r="G1592" s="58">
        <f>TRIM(SUBSTITUTE(SUBSTITUTE(SUBSTITUTE($A1592,CHAR(9)," ")," "," "),CHAR(13),""))</f>
        <v/>
      </c>
      <c r="H1592" s="58">
        <f>IF($G1592="","",IF(ISNUMBER(FIND(" ",$G1592)),$G1592,IFERROR(IF((LEN(SUBSTITUTE(SUBSTITUTE($G1592,"-"," ",LEN($G1592)-LEN(SUBSTITUTE($G1592,"-",""))),"-"," ",LEN($G1592)-LEN(SUBSTITUTE($G1592,"-",""))-1))-LEN(SUBSTITUTE(SUBSTITUTE(SUBSTITUTE($G1592,"-"," ",LEN($G1592)-LEN(SUBSTITUTE($G1592,"-",""))),"-"," ",LEN($G1592)-LEN(SUBSTITUTE($G1592,"-",""))-1),".","")))=0,SUBSTITUTE(SUBSTITUTE($G1592,"-"," ",LEN($G1592)-LEN(SUBSTITUTE($G1592,"-",""))),"-"," ",LEN($G1592)-LEN(SUBSTITUTE($G1592,"-",""))-1),SUBSTITUTE(SUBSTITUTE(SUBSTITUTE($G1592,"-"," ",LEN($G1592)-LEN(SUBSTITUTE($G1592,"-",""))),"-"," ",LEN($G1592)-LEN(SUBSTITUTE($G1592,"-",""))-1),"."," ",(LEN(SUBSTITUTE(SUBSTITUTE($G1592,"-"," ",LEN($G1592)-LEN(SUBSTITUTE($G1592,"-",""))),"-"," ",LEN($G1592)-LEN(SUBSTITUTE($G1592,"-",""))-1))-LEN(SUBSTITUTE(SUBSTITUTE(SUBSTITUTE($G1592,"-"," ",LEN($G1592)-LEN(SUBSTITUTE($G1592,"-",""))),"-"," ",LEN($G1592)-LEN(SUBSTITUTE($G1592,"-",""))-1),".",""))))),$G1592)))</f>
        <v/>
      </c>
    </row>
    <row r="1593">
      <c r="A1593" s="58" t="n"/>
      <c r="B1593" s="58">
        <f>IF($H1593="","",LEFT($H1593,FIND(" ",$H1593&amp;" ")-1))</f>
        <v/>
      </c>
      <c r="C1593" s="58">
        <f>IF($H1593="","",IFERROR(MID($H1593&amp;" ",FIND("|",SUBSTITUTE($H1593&amp;" "," ","|",1))+1,FIND("|",SUBSTITUTE($H1593&amp;" "," ","|",2))-FIND("|",SUBSTITUTE($H1593&amp;" "," ","|",1))-1),""))</f>
        <v/>
      </c>
      <c r="D1593" s="58">
        <f>IF($H1593="","",IFERROR(MID($H1593&amp;" ",FIND("|",SUBSTITUTE($H1593&amp;" "," ","|",2))+1,FIND("|",SUBSTITUTE($H1593&amp;" "," ","|",3))-FIND("|",SUBSTITUTE($H1593&amp;" "," ","|",2))-1),""))</f>
        <v/>
      </c>
      <c r="E1593" s="58">
        <f>IF($H1593="","",IFERROR(MID($H1593&amp;" ",FIND("|",SUBSTITUTE($H1593&amp;" "," ","|",3))+1,FIND("|",SUBSTITUTE($H1593&amp;" "," ","|",4))-FIND("|",SUBSTITUTE($H1593&amp;" "," ","|",3))-1),""))</f>
        <v/>
      </c>
      <c r="F1593" s="59">
        <f>IF($H1593="","",IFERROR(VALUE(IFERROR(MID($H1593&amp;" ",FIND("|",SUBSTITUTE($H1593&amp;" "," ","|",4))+1,FIND("|",SUBSTITUTE($H1593&amp;" "," ","|",5))-FIND("|",SUBSTITUTE($H1593&amp;" "," ","|",4))-1),""))/86400+25569+9/24,""))</f>
        <v/>
      </c>
      <c r="G1593" s="58">
        <f>TRIM(SUBSTITUTE(SUBSTITUTE(SUBSTITUTE($A1593,CHAR(9)," ")," "," "),CHAR(13),""))</f>
        <v/>
      </c>
      <c r="H1593" s="58">
        <f>IF($G1593="","",IF(ISNUMBER(FIND(" ",$G1593)),$G1593,IFERROR(IF((LEN(SUBSTITUTE(SUBSTITUTE($G1593,"-"," ",LEN($G1593)-LEN(SUBSTITUTE($G1593,"-",""))),"-"," ",LEN($G1593)-LEN(SUBSTITUTE($G1593,"-",""))-1))-LEN(SUBSTITUTE(SUBSTITUTE(SUBSTITUTE($G1593,"-"," ",LEN($G1593)-LEN(SUBSTITUTE($G1593,"-",""))),"-"," ",LEN($G1593)-LEN(SUBSTITUTE($G1593,"-",""))-1),".","")))=0,SUBSTITUTE(SUBSTITUTE($G1593,"-"," ",LEN($G1593)-LEN(SUBSTITUTE($G1593,"-",""))),"-"," ",LEN($G1593)-LEN(SUBSTITUTE($G1593,"-",""))-1),SUBSTITUTE(SUBSTITUTE(SUBSTITUTE($G1593,"-"," ",LEN($G1593)-LEN(SUBSTITUTE($G1593,"-",""))),"-"," ",LEN($G1593)-LEN(SUBSTITUTE($G1593,"-",""))-1),"."," ",(LEN(SUBSTITUTE(SUBSTITUTE($G1593,"-"," ",LEN($G1593)-LEN(SUBSTITUTE($G1593,"-",""))),"-"," ",LEN($G1593)-LEN(SUBSTITUTE($G1593,"-",""))-1))-LEN(SUBSTITUTE(SUBSTITUTE(SUBSTITUTE($G1593,"-"," ",LEN($G1593)-LEN(SUBSTITUTE($G1593,"-",""))),"-"," ",LEN($G1593)-LEN(SUBSTITUTE($G1593,"-",""))-1),".",""))))),$G1593)))</f>
        <v/>
      </c>
    </row>
    <row r="1594">
      <c r="A1594" s="58" t="n"/>
      <c r="B1594" s="58">
        <f>IF($H1594="","",LEFT($H1594,FIND(" ",$H1594&amp;" ")-1))</f>
        <v/>
      </c>
      <c r="C1594" s="58">
        <f>IF($H1594="","",IFERROR(MID($H1594&amp;" ",FIND("|",SUBSTITUTE($H1594&amp;" "," ","|",1))+1,FIND("|",SUBSTITUTE($H1594&amp;" "," ","|",2))-FIND("|",SUBSTITUTE($H1594&amp;" "," ","|",1))-1),""))</f>
        <v/>
      </c>
      <c r="D1594" s="58">
        <f>IF($H1594="","",IFERROR(MID($H1594&amp;" ",FIND("|",SUBSTITUTE($H1594&amp;" "," ","|",2))+1,FIND("|",SUBSTITUTE($H1594&amp;" "," ","|",3))-FIND("|",SUBSTITUTE($H1594&amp;" "," ","|",2))-1),""))</f>
        <v/>
      </c>
      <c r="E1594" s="58">
        <f>IF($H1594="","",IFERROR(MID($H1594&amp;" ",FIND("|",SUBSTITUTE($H1594&amp;" "," ","|",3))+1,FIND("|",SUBSTITUTE($H1594&amp;" "," ","|",4))-FIND("|",SUBSTITUTE($H1594&amp;" "," ","|",3))-1),""))</f>
        <v/>
      </c>
      <c r="F1594" s="59">
        <f>IF($H1594="","",IFERROR(VALUE(IFERROR(MID($H1594&amp;" ",FIND("|",SUBSTITUTE($H1594&amp;" "," ","|",4))+1,FIND("|",SUBSTITUTE($H1594&amp;" "," ","|",5))-FIND("|",SUBSTITUTE($H1594&amp;" "," ","|",4))-1),""))/86400+25569+9/24,""))</f>
        <v/>
      </c>
      <c r="G1594" s="58">
        <f>TRIM(SUBSTITUTE(SUBSTITUTE(SUBSTITUTE($A1594,CHAR(9)," ")," "," "),CHAR(13),""))</f>
        <v/>
      </c>
      <c r="H1594" s="58">
        <f>IF($G1594="","",IF(ISNUMBER(FIND(" ",$G1594)),$G1594,IFERROR(IF((LEN(SUBSTITUTE(SUBSTITUTE($G1594,"-"," ",LEN($G1594)-LEN(SUBSTITUTE($G1594,"-",""))),"-"," ",LEN($G1594)-LEN(SUBSTITUTE($G1594,"-",""))-1))-LEN(SUBSTITUTE(SUBSTITUTE(SUBSTITUTE($G1594,"-"," ",LEN($G1594)-LEN(SUBSTITUTE($G1594,"-",""))),"-"," ",LEN($G1594)-LEN(SUBSTITUTE($G1594,"-",""))-1),".","")))=0,SUBSTITUTE(SUBSTITUTE($G1594,"-"," ",LEN($G1594)-LEN(SUBSTITUTE($G1594,"-",""))),"-"," ",LEN($G1594)-LEN(SUBSTITUTE($G1594,"-",""))-1),SUBSTITUTE(SUBSTITUTE(SUBSTITUTE($G1594,"-"," ",LEN($G1594)-LEN(SUBSTITUTE($G1594,"-",""))),"-"," ",LEN($G1594)-LEN(SUBSTITUTE($G1594,"-",""))-1),"."," ",(LEN(SUBSTITUTE(SUBSTITUTE($G1594,"-"," ",LEN($G1594)-LEN(SUBSTITUTE($G1594,"-",""))),"-"," ",LEN($G1594)-LEN(SUBSTITUTE($G1594,"-",""))-1))-LEN(SUBSTITUTE(SUBSTITUTE(SUBSTITUTE($G1594,"-"," ",LEN($G1594)-LEN(SUBSTITUTE($G1594,"-",""))),"-"," ",LEN($G1594)-LEN(SUBSTITUTE($G1594,"-",""))-1),".",""))))),$G1594)))</f>
        <v/>
      </c>
    </row>
    <row r="1595">
      <c r="A1595" s="58" t="n"/>
      <c r="B1595" s="58">
        <f>IF($H1595="","",LEFT($H1595,FIND(" ",$H1595&amp;" ")-1))</f>
        <v/>
      </c>
      <c r="C1595" s="58">
        <f>IF($H1595="","",IFERROR(MID($H1595&amp;" ",FIND("|",SUBSTITUTE($H1595&amp;" "," ","|",1))+1,FIND("|",SUBSTITUTE($H1595&amp;" "," ","|",2))-FIND("|",SUBSTITUTE($H1595&amp;" "," ","|",1))-1),""))</f>
        <v/>
      </c>
      <c r="D1595" s="58">
        <f>IF($H1595="","",IFERROR(MID($H1595&amp;" ",FIND("|",SUBSTITUTE($H1595&amp;" "," ","|",2))+1,FIND("|",SUBSTITUTE($H1595&amp;" "," ","|",3))-FIND("|",SUBSTITUTE($H1595&amp;" "," ","|",2))-1),""))</f>
        <v/>
      </c>
      <c r="E1595" s="58">
        <f>IF($H1595="","",IFERROR(MID($H1595&amp;" ",FIND("|",SUBSTITUTE($H1595&amp;" "," ","|",3))+1,FIND("|",SUBSTITUTE($H1595&amp;" "," ","|",4))-FIND("|",SUBSTITUTE($H1595&amp;" "," ","|",3))-1),""))</f>
        <v/>
      </c>
      <c r="F1595" s="59">
        <f>IF($H1595="","",IFERROR(VALUE(IFERROR(MID($H1595&amp;" ",FIND("|",SUBSTITUTE($H1595&amp;" "," ","|",4))+1,FIND("|",SUBSTITUTE($H1595&amp;" "," ","|",5))-FIND("|",SUBSTITUTE($H1595&amp;" "," ","|",4))-1),""))/86400+25569+9/24,""))</f>
        <v/>
      </c>
      <c r="G1595" s="58">
        <f>TRIM(SUBSTITUTE(SUBSTITUTE(SUBSTITUTE($A1595,CHAR(9)," ")," "," "),CHAR(13),""))</f>
        <v/>
      </c>
      <c r="H1595" s="58">
        <f>IF($G1595="","",IF(ISNUMBER(FIND(" ",$G1595)),$G1595,IFERROR(IF((LEN(SUBSTITUTE(SUBSTITUTE($G1595,"-"," ",LEN($G1595)-LEN(SUBSTITUTE($G1595,"-",""))),"-"," ",LEN($G1595)-LEN(SUBSTITUTE($G1595,"-",""))-1))-LEN(SUBSTITUTE(SUBSTITUTE(SUBSTITUTE($G1595,"-"," ",LEN($G1595)-LEN(SUBSTITUTE($G1595,"-",""))),"-"," ",LEN($G1595)-LEN(SUBSTITUTE($G1595,"-",""))-1),".","")))=0,SUBSTITUTE(SUBSTITUTE($G1595,"-"," ",LEN($G1595)-LEN(SUBSTITUTE($G1595,"-",""))),"-"," ",LEN($G1595)-LEN(SUBSTITUTE($G1595,"-",""))-1),SUBSTITUTE(SUBSTITUTE(SUBSTITUTE($G1595,"-"," ",LEN($G1595)-LEN(SUBSTITUTE($G1595,"-",""))),"-"," ",LEN($G1595)-LEN(SUBSTITUTE($G1595,"-",""))-1),"."," ",(LEN(SUBSTITUTE(SUBSTITUTE($G1595,"-"," ",LEN($G1595)-LEN(SUBSTITUTE($G1595,"-",""))),"-"," ",LEN($G1595)-LEN(SUBSTITUTE($G1595,"-",""))-1))-LEN(SUBSTITUTE(SUBSTITUTE(SUBSTITUTE($G1595,"-"," ",LEN($G1595)-LEN(SUBSTITUTE($G1595,"-",""))),"-"," ",LEN($G1595)-LEN(SUBSTITUTE($G1595,"-",""))-1),".",""))))),$G1595)))</f>
        <v/>
      </c>
    </row>
    <row r="1596">
      <c r="A1596" s="58" t="n"/>
      <c r="B1596" s="58">
        <f>IF($H1596="","",LEFT($H1596,FIND(" ",$H1596&amp;" ")-1))</f>
        <v/>
      </c>
      <c r="C1596" s="58">
        <f>IF($H1596="","",IFERROR(MID($H1596&amp;" ",FIND("|",SUBSTITUTE($H1596&amp;" "," ","|",1))+1,FIND("|",SUBSTITUTE($H1596&amp;" "," ","|",2))-FIND("|",SUBSTITUTE($H1596&amp;" "," ","|",1))-1),""))</f>
        <v/>
      </c>
      <c r="D1596" s="58">
        <f>IF($H1596="","",IFERROR(MID($H1596&amp;" ",FIND("|",SUBSTITUTE($H1596&amp;" "," ","|",2))+1,FIND("|",SUBSTITUTE($H1596&amp;" "," ","|",3))-FIND("|",SUBSTITUTE($H1596&amp;" "," ","|",2))-1),""))</f>
        <v/>
      </c>
      <c r="E1596" s="58">
        <f>IF($H1596="","",IFERROR(MID($H1596&amp;" ",FIND("|",SUBSTITUTE($H1596&amp;" "," ","|",3))+1,FIND("|",SUBSTITUTE($H1596&amp;" "," ","|",4))-FIND("|",SUBSTITUTE($H1596&amp;" "," ","|",3))-1),""))</f>
        <v/>
      </c>
      <c r="F1596" s="59">
        <f>IF($H1596="","",IFERROR(VALUE(IFERROR(MID($H1596&amp;" ",FIND("|",SUBSTITUTE($H1596&amp;" "," ","|",4))+1,FIND("|",SUBSTITUTE($H1596&amp;" "," ","|",5))-FIND("|",SUBSTITUTE($H1596&amp;" "," ","|",4))-1),""))/86400+25569+9/24,""))</f>
        <v/>
      </c>
      <c r="G1596" s="58">
        <f>TRIM(SUBSTITUTE(SUBSTITUTE(SUBSTITUTE($A1596,CHAR(9)," ")," "," "),CHAR(13),""))</f>
        <v/>
      </c>
      <c r="H1596" s="58">
        <f>IF($G1596="","",IF(ISNUMBER(FIND(" ",$G1596)),$G1596,IFERROR(IF((LEN(SUBSTITUTE(SUBSTITUTE($G1596,"-"," ",LEN($G1596)-LEN(SUBSTITUTE($G1596,"-",""))),"-"," ",LEN($G1596)-LEN(SUBSTITUTE($G1596,"-",""))-1))-LEN(SUBSTITUTE(SUBSTITUTE(SUBSTITUTE($G1596,"-"," ",LEN($G1596)-LEN(SUBSTITUTE($G1596,"-",""))),"-"," ",LEN($G1596)-LEN(SUBSTITUTE($G1596,"-",""))-1),".","")))=0,SUBSTITUTE(SUBSTITUTE($G1596,"-"," ",LEN($G1596)-LEN(SUBSTITUTE($G1596,"-",""))),"-"," ",LEN($G1596)-LEN(SUBSTITUTE($G1596,"-",""))-1),SUBSTITUTE(SUBSTITUTE(SUBSTITUTE($G1596,"-"," ",LEN($G1596)-LEN(SUBSTITUTE($G1596,"-",""))),"-"," ",LEN($G1596)-LEN(SUBSTITUTE($G1596,"-",""))-1),"."," ",(LEN(SUBSTITUTE(SUBSTITUTE($G1596,"-"," ",LEN($G1596)-LEN(SUBSTITUTE($G1596,"-",""))),"-"," ",LEN($G1596)-LEN(SUBSTITUTE($G1596,"-",""))-1))-LEN(SUBSTITUTE(SUBSTITUTE(SUBSTITUTE($G1596,"-"," ",LEN($G1596)-LEN(SUBSTITUTE($G1596,"-",""))),"-"," ",LEN($G1596)-LEN(SUBSTITUTE($G1596,"-",""))-1),".",""))))),$G1596)))</f>
        <v/>
      </c>
    </row>
    <row r="1597">
      <c r="A1597" s="58" t="n"/>
      <c r="B1597" s="58">
        <f>IF($H1597="","",LEFT($H1597,FIND(" ",$H1597&amp;" ")-1))</f>
        <v/>
      </c>
      <c r="C1597" s="58">
        <f>IF($H1597="","",IFERROR(MID($H1597&amp;" ",FIND("|",SUBSTITUTE($H1597&amp;" "," ","|",1))+1,FIND("|",SUBSTITUTE($H1597&amp;" "," ","|",2))-FIND("|",SUBSTITUTE($H1597&amp;" "," ","|",1))-1),""))</f>
        <v/>
      </c>
      <c r="D1597" s="58">
        <f>IF($H1597="","",IFERROR(MID($H1597&amp;" ",FIND("|",SUBSTITUTE($H1597&amp;" "," ","|",2))+1,FIND("|",SUBSTITUTE($H1597&amp;" "," ","|",3))-FIND("|",SUBSTITUTE($H1597&amp;" "," ","|",2))-1),""))</f>
        <v/>
      </c>
      <c r="E1597" s="58">
        <f>IF($H1597="","",IFERROR(MID($H1597&amp;" ",FIND("|",SUBSTITUTE($H1597&amp;" "," ","|",3))+1,FIND("|",SUBSTITUTE($H1597&amp;" "," ","|",4))-FIND("|",SUBSTITUTE($H1597&amp;" "," ","|",3))-1),""))</f>
        <v/>
      </c>
      <c r="F1597" s="59">
        <f>IF($H1597="","",IFERROR(VALUE(IFERROR(MID($H1597&amp;" ",FIND("|",SUBSTITUTE($H1597&amp;" "," ","|",4))+1,FIND("|",SUBSTITUTE($H1597&amp;" "," ","|",5))-FIND("|",SUBSTITUTE($H1597&amp;" "," ","|",4))-1),""))/86400+25569+9/24,""))</f>
        <v/>
      </c>
      <c r="G1597" s="58">
        <f>TRIM(SUBSTITUTE(SUBSTITUTE(SUBSTITUTE($A1597,CHAR(9)," ")," "," "),CHAR(13),""))</f>
        <v/>
      </c>
      <c r="H1597" s="58">
        <f>IF($G1597="","",IF(ISNUMBER(FIND(" ",$G1597)),$G1597,IFERROR(IF((LEN(SUBSTITUTE(SUBSTITUTE($G1597,"-"," ",LEN($G1597)-LEN(SUBSTITUTE($G1597,"-",""))),"-"," ",LEN($G1597)-LEN(SUBSTITUTE($G1597,"-",""))-1))-LEN(SUBSTITUTE(SUBSTITUTE(SUBSTITUTE($G1597,"-"," ",LEN($G1597)-LEN(SUBSTITUTE($G1597,"-",""))),"-"," ",LEN($G1597)-LEN(SUBSTITUTE($G1597,"-",""))-1),".","")))=0,SUBSTITUTE(SUBSTITUTE($G1597,"-"," ",LEN($G1597)-LEN(SUBSTITUTE($G1597,"-",""))),"-"," ",LEN($G1597)-LEN(SUBSTITUTE($G1597,"-",""))-1),SUBSTITUTE(SUBSTITUTE(SUBSTITUTE($G1597,"-"," ",LEN($G1597)-LEN(SUBSTITUTE($G1597,"-",""))),"-"," ",LEN($G1597)-LEN(SUBSTITUTE($G1597,"-",""))-1),"."," ",(LEN(SUBSTITUTE(SUBSTITUTE($G1597,"-"," ",LEN($G1597)-LEN(SUBSTITUTE($G1597,"-",""))),"-"," ",LEN($G1597)-LEN(SUBSTITUTE($G1597,"-",""))-1))-LEN(SUBSTITUTE(SUBSTITUTE(SUBSTITUTE($G1597,"-"," ",LEN($G1597)-LEN(SUBSTITUTE($G1597,"-",""))),"-"," ",LEN($G1597)-LEN(SUBSTITUTE($G1597,"-",""))-1),".",""))))),$G1597)))</f>
        <v/>
      </c>
    </row>
    <row r="1598">
      <c r="A1598" s="58" t="n"/>
      <c r="B1598" s="58">
        <f>IF($H1598="","",LEFT($H1598,FIND(" ",$H1598&amp;" ")-1))</f>
        <v/>
      </c>
      <c r="C1598" s="58">
        <f>IF($H1598="","",IFERROR(MID($H1598&amp;" ",FIND("|",SUBSTITUTE($H1598&amp;" "," ","|",1))+1,FIND("|",SUBSTITUTE($H1598&amp;" "," ","|",2))-FIND("|",SUBSTITUTE($H1598&amp;" "," ","|",1))-1),""))</f>
        <v/>
      </c>
      <c r="D1598" s="58">
        <f>IF($H1598="","",IFERROR(MID($H1598&amp;" ",FIND("|",SUBSTITUTE($H1598&amp;" "," ","|",2))+1,FIND("|",SUBSTITUTE($H1598&amp;" "," ","|",3))-FIND("|",SUBSTITUTE($H1598&amp;" "," ","|",2))-1),""))</f>
        <v/>
      </c>
      <c r="E1598" s="58">
        <f>IF($H1598="","",IFERROR(MID($H1598&amp;" ",FIND("|",SUBSTITUTE($H1598&amp;" "," ","|",3))+1,FIND("|",SUBSTITUTE($H1598&amp;" "," ","|",4))-FIND("|",SUBSTITUTE($H1598&amp;" "," ","|",3))-1),""))</f>
        <v/>
      </c>
      <c r="F1598" s="59">
        <f>IF($H1598="","",IFERROR(VALUE(IFERROR(MID($H1598&amp;" ",FIND("|",SUBSTITUTE($H1598&amp;" "," ","|",4))+1,FIND("|",SUBSTITUTE($H1598&amp;" "," ","|",5))-FIND("|",SUBSTITUTE($H1598&amp;" "," ","|",4))-1),""))/86400+25569+9/24,""))</f>
        <v/>
      </c>
      <c r="G1598" s="58">
        <f>TRIM(SUBSTITUTE(SUBSTITUTE(SUBSTITUTE($A1598,CHAR(9)," ")," "," "),CHAR(13),""))</f>
        <v/>
      </c>
      <c r="H1598" s="58">
        <f>IF($G1598="","",IF(ISNUMBER(FIND(" ",$G1598)),$G1598,IFERROR(IF((LEN(SUBSTITUTE(SUBSTITUTE($G1598,"-"," ",LEN($G1598)-LEN(SUBSTITUTE($G1598,"-",""))),"-"," ",LEN($G1598)-LEN(SUBSTITUTE($G1598,"-",""))-1))-LEN(SUBSTITUTE(SUBSTITUTE(SUBSTITUTE($G1598,"-"," ",LEN($G1598)-LEN(SUBSTITUTE($G1598,"-",""))),"-"," ",LEN($G1598)-LEN(SUBSTITUTE($G1598,"-",""))-1),".","")))=0,SUBSTITUTE(SUBSTITUTE($G1598,"-"," ",LEN($G1598)-LEN(SUBSTITUTE($G1598,"-",""))),"-"," ",LEN($G1598)-LEN(SUBSTITUTE($G1598,"-",""))-1),SUBSTITUTE(SUBSTITUTE(SUBSTITUTE($G1598,"-"," ",LEN($G1598)-LEN(SUBSTITUTE($G1598,"-",""))),"-"," ",LEN($G1598)-LEN(SUBSTITUTE($G1598,"-",""))-1),"."," ",(LEN(SUBSTITUTE(SUBSTITUTE($G1598,"-"," ",LEN($G1598)-LEN(SUBSTITUTE($G1598,"-",""))),"-"," ",LEN($G1598)-LEN(SUBSTITUTE($G1598,"-",""))-1))-LEN(SUBSTITUTE(SUBSTITUTE(SUBSTITUTE($G1598,"-"," ",LEN($G1598)-LEN(SUBSTITUTE($G1598,"-",""))),"-"," ",LEN($G1598)-LEN(SUBSTITUTE($G1598,"-",""))-1),".",""))))),$G1598)))</f>
        <v/>
      </c>
    </row>
    <row r="1599">
      <c r="A1599" s="58" t="n"/>
      <c r="B1599" s="58">
        <f>IF($H1599="","",LEFT($H1599,FIND(" ",$H1599&amp;" ")-1))</f>
        <v/>
      </c>
      <c r="C1599" s="58">
        <f>IF($H1599="","",IFERROR(MID($H1599&amp;" ",FIND("|",SUBSTITUTE($H1599&amp;" "," ","|",1))+1,FIND("|",SUBSTITUTE($H1599&amp;" "," ","|",2))-FIND("|",SUBSTITUTE($H1599&amp;" "," ","|",1))-1),""))</f>
        <v/>
      </c>
      <c r="D1599" s="58">
        <f>IF($H1599="","",IFERROR(MID($H1599&amp;" ",FIND("|",SUBSTITUTE($H1599&amp;" "," ","|",2))+1,FIND("|",SUBSTITUTE($H1599&amp;" "," ","|",3))-FIND("|",SUBSTITUTE($H1599&amp;" "," ","|",2))-1),""))</f>
        <v/>
      </c>
      <c r="E1599" s="58">
        <f>IF($H1599="","",IFERROR(MID($H1599&amp;" ",FIND("|",SUBSTITUTE($H1599&amp;" "," ","|",3))+1,FIND("|",SUBSTITUTE($H1599&amp;" "," ","|",4))-FIND("|",SUBSTITUTE($H1599&amp;" "," ","|",3))-1),""))</f>
        <v/>
      </c>
      <c r="F1599" s="59">
        <f>IF($H1599="","",IFERROR(VALUE(IFERROR(MID($H1599&amp;" ",FIND("|",SUBSTITUTE($H1599&amp;" "," ","|",4))+1,FIND("|",SUBSTITUTE($H1599&amp;" "," ","|",5))-FIND("|",SUBSTITUTE($H1599&amp;" "," ","|",4))-1),""))/86400+25569+9/24,""))</f>
        <v/>
      </c>
      <c r="G1599" s="58">
        <f>TRIM(SUBSTITUTE(SUBSTITUTE(SUBSTITUTE($A1599,CHAR(9)," ")," "," "),CHAR(13),""))</f>
        <v/>
      </c>
      <c r="H1599" s="58">
        <f>IF($G1599="","",IF(ISNUMBER(FIND(" ",$G1599)),$G1599,IFERROR(IF((LEN(SUBSTITUTE(SUBSTITUTE($G1599,"-"," ",LEN($G1599)-LEN(SUBSTITUTE($G1599,"-",""))),"-"," ",LEN($G1599)-LEN(SUBSTITUTE($G1599,"-",""))-1))-LEN(SUBSTITUTE(SUBSTITUTE(SUBSTITUTE($G1599,"-"," ",LEN($G1599)-LEN(SUBSTITUTE($G1599,"-",""))),"-"," ",LEN($G1599)-LEN(SUBSTITUTE($G1599,"-",""))-1),".","")))=0,SUBSTITUTE(SUBSTITUTE($G1599,"-"," ",LEN($G1599)-LEN(SUBSTITUTE($G1599,"-",""))),"-"," ",LEN($G1599)-LEN(SUBSTITUTE($G1599,"-",""))-1),SUBSTITUTE(SUBSTITUTE(SUBSTITUTE($G1599,"-"," ",LEN($G1599)-LEN(SUBSTITUTE($G1599,"-",""))),"-"," ",LEN($G1599)-LEN(SUBSTITUTE($G1599,"-",""))-1),"."," ",(LEN(SUBSTITUTE(SUBSTITUTE($G1599,"-"," ",LEN($G1599)-LEN(SUBSTITUTE($G1599,"-",""))),"-"," ",LEN($G1599)-LEN(SUBSTITUTE($G1599,"-",""))-1))-LEN(SUBSTITUTE(SUBSTITUTE(SUBSTITUTE($G1599,"-"," ",LEN($G1599)-LEN(SUBSTITUTE($G1599,"-",""))),"-"," ",LEN($G1599)-LEN(SUBSTITUTE($G1599,"-",""))-1),".",""))))),$G1599)))</f>
        <v/>
      </c>
    </row>
    <row r="1600">
      <c r="A1600" s="58" t="n"/>
      <c r="B1600" s="58">
        <f>IF($H1600="","",LEFT($H1600,FIND(" ",$H1600&amp;" ")-1))</f>
        <v/>
      </c>
      <c r="C1600" s="58">
        <f>IF($H1600="","",IFERROR(MID($H1600&amp;" ",FIND("|",SUBSTITUTE($H1600&amp;" "," ","|",1))+1,FIND("|",SUBSTITUTE($H1600&amp;" "," ","|",2))-FIND("|",SUBSTITUTE($H1600&amp;" "," ","|",1))-1),""))</f>
        <v/>
      </c>
      <c r="D1600" s="58">
        <f>IF($H1600="","",IFERROR(MID($H1600&amp;" ",FIND("|",SUBSTITUTE($H1600&amp;" "," ","|",2))+1,FIND("|",SUBSTITUTE($H1600&amp;" "," ","|",3))-FIND("|",SUBSTITUTE($H1600&amp;" "," ","|",2))-1),""))</f>
        <v/>
      </c>
      <c r="E1600" s="58">
        <f>IF($H1600="","",IFERROR(MID($H1600&amp;" ",FIND("|",SUBSTITUTE($H1600&amp;" "," ","|",3))+1,FIND("|",SUBSTITUTE($H1600&amp;" "," ","|",4))-FIND("|",SUBSTITUTE($H1600&amp;" "," ","|",3))-1),""))</f>
        <v/>
      </c>
      <c r="F1600" s="59">
        <f>IF($H1600="","",IFERROR(VALUE(IFERROR(MID($H1600&amp;" ",FIND("|",SUBSTITUTE($H1600&amp;" "," ","|",4))+1,FIND("|",SUBSTITUTE($H1600&amp;" "," ","|",5))-FIND("|",SUBSTITUTE($H1600&amp;" "," ","|",4))-1),""))/86400+25569+9/24,""))</f>
        <v/>
      </c>
      <c r="G1600" s="58">
        <f>TRIM(SUBSTITUTE(SUBSTITUTE(SUBSTITUTE($A1600,CHAR(9)," ")," "," "),CHAR(13),""))</f>
        <v/>
      </c>
      <c r="H1600" s="58">
        <f>IF($G1600="","",IF(ISNUMBER(FIND(" ",$G1600)),$G1600,IFERROR(IF((LEN(SUBSTITUTE(SUBSTITUTE($G1600,"-"," ",LEN($G1600)-LEN(SUBSTITUTE($G1600,"-",""))),"-"," ",LEN($G1600)-LEN(SUBSTITUTE($G1600,"-",""))-1))-LEN(SUBSTITUTE(SUBSTITUTE(SUBSTITUTE($G1600,"-"," ",LEN($G1600)-LEN(SUBSTITUTE($G1600,"-",""))),"-"," ",LEN($G1600)-LEN(SUBSTITUTE($G1600,"-",""))-1),".","")))=0,SUBSTITUTE(SUBSTITUTE($G1600,"-"," ",LEN($G1600)-LEN(SUBSTITUTE($G1600,"-",""))),"-"," ",LEN($G1600)-LEN(SUBSTITUTE($G1600,"-",""))-1),SUBSTITUTE(SUBSTITUTE(SUBSTITUTE($G1600,"-"," ",LEN($G1600)-LEN(SUBSTITUTE($G1600,"-",""))),"-"," ",LEN($G1600)-LEN(SUBSTITUTE($G1600,"-",""))-1),"."," ",(LEN(SUBSTITUTE(SUBSTITUTE($G1600,"-"," ",LEN($G1600)-LEN(SUBSTITUTE($G1600,"-",""))),"-"," ",LEN($G1600)-LEN(SUBSTITUTE($G1600,"-",""))-1))-LEN(SUBSTITUTE(SUBSTITUTE(SUBSTITUTE($G1600,"-"," ",LEN($G1600)-LEN(SUBSTITUTE($G1600,"-",""))),"-"," ",LEN($G1600)-LEN(SUBSTITUTE($G1600,"-",""))-1),".",""))))),$G1600)))</f>
        <v/>
      </c>
    </row>
    <row r="1601">
      <c r="A1601" s="58" t="n"/>
      <c r="B1601" s="58">
        <f>IF($H1601="","",LEFT($H1601,FIND(" ",$H1601&amp;" ")-1))</f>
        <v/>
      </c>
      <c r="C1601" s="58">
        <f>IF($H1601="","",IFERROR(MID($H1601&amp;" ",FIND("|",SUBSTITUTE($H1601&amp;" "," ","|",1))+1,FIND("|",SUBSTITUTE($H1601&amp;" "," ","|",2))-FIND("|",SUBSTITUTE($H1601&amp;" "," ","|",1))-1),""))</f>
        <v/>
      </c>
      <c r="D1601" s="58">
        <f>IF($H1601="","",IFERROR(MID($H1601&amp;" ",FIND("|",SUBSTITUTE($H1601&amp;" "," ","|",2))+1,FIND("|",SUBSTITUTE($H1601&amp;" "," ","|",3))-FIND("|",SUBSTITUTE($H1601&amp;" "," ","|",2))-1),""))</f>
        <v/>
      </c>
      <c r="E1601" s="58">
        <f>IF($H1601="","",IFERROR(MID($H1601&amp;" ",FIND("|",SUBSTITUTE($H1601&amp;" "," ","|",3))+1,FIND("|",SUBSTITUTE($H1601&amp;" "," ","|",4))-FIND("|",SUBSTITUTE($H1601&amp;" "," ","|",3))-1),""))</f>
        <v/>
      </c>
      <c r="F1601" s="59">
        <f>IF($H1601="","",IFERROR(VALUE(IFERROR(MID($H1601&amp;" ",FIND("|",SUBSTITUTE($H1601&amp;" "," ","|",4))+1,FIND("|",SUBSTITUTE($H1601&amp;" "," ","|",5))-FIND("|",SUBSTITUTE($H1601&amp;" "," ","|",4))-1),""))/86400+25569+9/24,""))</f>
        <v/>
      </c>
      <c r="G1601" s="58">
        <f>TRIM(SUBSTITUTE(SUBSTITUTE(SUBSTITUTE($A1601,CHAR(9)," ")," "," "),CHAR(13),""))</f>
        <v/>
      </c>
      <c r="H1601" s="58">
        <f>IF($G1601="","",IF(ISNUMBER(FIND(" ",$G1601)),$G1601,IFERROR(IF((LEN(SUBSTITUTE(SUBSTITUTE($G1601,"-"," ",LEN($G1601)-LEN(SUBSTITUTE($G1601,"-",""))),"-"," ",LEN($G1601)-LEN(SUBSTITUTE($G1601,"-",""))-1))-LEN(SUBSTITUTE(SUBSTITUTE(SUBSTITUTE($G1601,"-"," ",LEN($G1601)-LEN(SUBSTITUTE($G1601,"-",""))),"-"," ",LEN($G1601)-LEN(SUBSTITUTE($G1601,"-",""))-1),".","")))=0,SUBSTITUTE(SUBSTITUTE($G1601,"-"," ",LEN($G1601)-LEN(SUBSTITUTE($G1601,"-",""))),"-"," ",LEN($G1601)-LEN(SUBSTITUTE($G1601,"-",""))-1),SUBSTITUTE(SUBSTITUTE(SUBSTITUTE($G1601,"-"," ",LEN($G1601)-LEN(SUBSTITUTE($G1601,"-",""))),"-"," ",LEN($G1601)-LEN(SUBSTITUTE($G1601,"-",""))-1),"."," ",(LEN(SUBSTITUTE(SUBSTITUTE($G1601,"-"," ",LEN($G1601)-LEN(SUBSTITUTE($G1601,"-",""))),"-"," ",LEN($G1601)-LEN(SUBSTITUTE($G1601,"-",""))-1))-LEN(SUBSTITUTE(SUBSTITUTE(SUBSTITUTE($G1601,"-"," ",LEN($G1601)-LEN(SUBSTITUTE($G1601,"-",""))),"-"," ",LEN($G1601)-LEN(SUBSTITUTE($G1601,"-",""))-1),".",""))))),$G1601)))</f>
        <v/>
      </c>
    </row>
    <row r="1602">
      <c r="A1602" s="58" t="n"/>
      <c r="B1602" s="58">
        <f>IF($H1602="","",LEFT($H1602,FIND(" ",$H1602&amp;" ")-1))</f>
        <v/>
      </c>
      <c r="C1602" s="58">
        <f>IF($H1602="","",IFERROR(MID($H1602&amp;" ",FIND("|",SUBSTITUTE($H1602&amp;" "," ","|",1))+1,FIND("|",SUBSTITUTE($H1602&amp;" "," ","|",2))-FIND("|",SUBSTITUTE($H1602&amp;" "," ","|",1))-1),""))</f>
        <v/>
      </c>
      <c r="D1602" s="58">
        <f>IF($H1602="","",IFERROR(MID($H1602&amp;" ",FIND("|",SUBSTITUTE($H1602&amp;" "," ","|",2))+1,FIND("|",SUBSTITUTE($H1602&amp;" "," ","|",3))-FIND("|",SUBSTITUTE($H1602&amp;" "," ","|",2))-1),""))</f>
        <v/>
      </c>
      <c r="E1602" s="58">
        <f>IF($H1602="","",IFERROR(MID($H1602&amp;" ",FIND("|",SUBSTITUTE($H1602&amp;" "," ","|",3))+1,FIND("|",SUBSTITUTE($H1602&amp;" "," ","|",4))-FIND("|",SUBSTITUTE($H1602&amp;" "," ","|",3))-1),""))</f>
        <v/>
      </c>
      <c r="F1602" s="59">
        <f>IF($H1602="","",IFERROR(VALUE(IFERROR(MID($H1602&amp;" ",FIND("|",SUBSTITUTE($H1602&amp;" "," ","|",4))+1,FIND("|",SUBSTITUTE($H1602&amp;" "," ","|",5))-FIND("|",SUBSTITUTE($H1602&amp;" "," ","|",4))-1),""))/86400+25569+9/24,""))</f>
        <v/>
      </c>
      <c r="G1602" s="58">
        <f>TRIM(SUBSTITUTE(SUBSTITUTE(SUBSTITUTE($A1602,CHAR(9)," ")," "," "),CHAR(13),""))</f>
        <v/>
      </c>
      <c r="H1602" s="58">
        <f>IF($G1602="","",IF(ISNUMBER(FIND(" ",$G1602)),$G1602,IFERROR(IF((LEN(SUBSTITUTE(SUBSTITUTE($G1602,"-"," ",LEN($G1602)-LEN(SUBSTITUTE($G1602,"-",""))),"-"," ",LEN($G1602)-LEN(SUBSTITUTE($G1602,"-",""))-1))-LEN(SUBSTITUTE(SUBSTITUTE(SUBSTITUTE($G1602,"-"," ",LEN($G1602)-LEN(SUBSTITUTE($G1602,"-",""))),"-"," ",LEN($G1602)-LEN(SUBSTITUTE($G1602,"-",""))-1),".","")))=0,SUBSTITUTE(SUBSTITUTE($G1602,"-"," ",LEN($G1602)-LEN(SUBSTITUTE($G1602,"-",""))),"-"," ",LEN($G1602)-LEN(SUBSTITUTE($G1602,"-",""))-1),SUBSTITUTE(SUBSTITUTE(SUBSTITUTE($G1602,"-"," ",LEN($G1602)-LEN(SUBSTITUTE($G1602,"-",""))),"-"," ",LEN($G1602)-LEN(SUBSTITUTE($G1602,"-",""))-1),"."," ",(LEN(SUBSTITUTE(SUBSTITUTE($G1602,"-"," ",LEN($G1602)-LEN(SUBSTITUTE($G1602,"-",""))),"-"," ",LEN($G1602)-LEN(SUBSTITUTE($G1602,"-",""))-1))-LEN(SUBSTITUTE(SUBSTITUTE(SUBSTITUTE($G1602,"-"," ",LEN($G1602)-LEN(SUBSTITUTE($G1602,"-",""))),"-"," ",LEN($G1602)-LEN(SUBSTITUTE($G1602,"-",""))-1),".",""))))),$G1602)))</f>
        <v/>
      </c>
    </row>
    <row r="1603">
      <c r="A1603" s="58" t="n"/>
      <c r="B1603" s="58">
        <f>IF($H1603="","",LEFT($H1603,FIND(" ",$H1603&amp;" ")-1))</f>
        <v/>
      </c>
      <c r="C1603" s="58">
        <f>IF($H1603="","",IFERROR(MID($H1603&amp;" ",FIND("|",SUBSTITUTE($H1603&amp;" "," ","|",1))+1,FIND("|",SUBSTITUTE($H1603&amp;" "," ","|",2))-FIND("|",SUBSTITUTE($H1603&amp;" "," ","|",1))-1),""))</f>
        <v/>
      </c>
      <c r="D1603" s="58">
        <f>IF($H1603="","",IFERROR(MID($H1603&amp;" ",FIND("|",SUBSTITUTE($H1603&amp;" "," ","|",2))+1,FIND("|",SUBSTITUTE($H1603&amp;" "," ","|",3))-FIND("|",SUBSTITUTE($H1603&amp;" "," ","|",2))-1),""))</f>
        <v/>
      </c>
      <c r="E1603" s="58">
        <f>IF($H1603="","",IFERROR(MID($H1603&amp;" ",FIND("|",SUBSTITUTE($H1603&amp;" "," ","|",3))+1,FIND("|",SUBSTITUTE($H1603&amp;" "," ","|",4))-FIND("|",SUBSTITUTE($H1603&amp;" "," ","|",3))-1),""))</f>
        <v/>
      </c>
      <c r="F1603" s="59">
        <f>IF($H1603="","",IFERROR(VALUE(IFERROR(MID($H1603&amp;" ",FIND("|",SUBSTITUTE($H1603&amp;" "," ","|",4))+1,FIND("|",SUBSTITUTE($H1603&amp;" "," ","|",5))-FIND("|",SUBSTITUTE($H1603&amp;" "," ","|",4))-1),""))/86400+25569+9/24,""))</f>
        <v/>
      </c>
      <c r="G1603" s="58">
        <f>TRIM(SUBSTITUTE(SUBSTITUTE(SUBSTITUTE($A1603,CHAR(9)," ")," "," "),CHAR(13),""))</f>
        <v/>
      </c>
      <c r="H1603" s="58">
        <f>IF($G1603="","",IF(ISNUMBER(FIND(" ",$G1603)),$G1603,IFERROR(IF((LEN(SUBSTITUTE(SUBSTITUTE($G1603,"-"," ",LEN($G1603)-LEN(SUBSTITUTE($G1603,"-",""))),"-"," ",LEN($G1603)-LEN(SUBSTITUTE($G1603,"-",""))-1))-LEN(SUBSTITUTE(SUBSTITUTE(SUBSTITUTE($G1603,"-"," ",LEN($G1603)-LEN(SUBSTITUTE($G1603,"-",""))),"-"," ",LEN($G1603)-LEN(SUBSTITUTE($G1603,"-",""))-1),".","")))=0,SUBSTITUTE(SUBSTITUTE($G1603,"-"," ",LEN($G1603)-LEN(SUBSTITUTE($G1603,"-",""))),"-"," ",LEN($G1603)-LEN(SUBSTITUTE($G1603,"-",""))-1),SUBSTITUTE(SUBSTITUTE(SUBSTITUTE($G1603,"-"," ",LEN($G1603)-LEN(SUBSTITUTE($G1603,"-",""))),"-"," ",LEN($G1603)-LEN(SUBSTITUTE($G1603,"-",""))-1),"."," ",(LEN(SUBSTITUTE(SUBSTITUTE($G1603,"-"," ",LEN($G1603)-LEN(SUBSTITUTE($G1603,"-",""))),"-"," ",LEN($G1603)-LEN(SUBSTITUTE($G1603,"-",""))-1))-LEN(SUBSTITUTE(SUBSTITUTE(SUBSTITUTE($G1603,"-"," ",LEN($G1603)-LEN(SUBSTITUTE($G1603,"-",""))),"-"," ",LEN($G1603)-LEN(SUBSTITUTE($G1603,"-",""))-1),".",""))))),$G1603)))</f>
        <v/>
      </c>
    </row>
    <row r="1604">
      <c r="A1604" s="58" t="n"/>
      <c r="B1604" s="58">
        <f>IF($H1604="","",LEFT($H1604,FIND(" ",$H1604&amp;" ")-1))</f>
        <v/>
      </c>
      <c r="C1604" s="58">
        <f>IF($H1604="","",IFERROR(MID($H1604&amp;" ",FIND("|",SUBSTITUTE($H1604&amp;" "," ","|",1))+1,FIND("|",SUBSTITUTE($H1604&amp;" "," ","|",2))-FIND("|",SUBSTITUTE($H1604&amp;" "," ","|",1))-1),""))</f>
        <v/>
      </c>
      <c r="D1604" s="58">
        <f>IF($H1604="","",IFERROR(MID($H1604&amp;" ",FIND("|",SUBSTITUTE($H1604&amp;" "," ","|",2))+1,FIND("|",SUBSTITUTE($H1604&amp;" "," ","|",3))-FIND("|",SUBSTITUTE($H1604&amp;" "," ","|",2))-1),""))</f>
        <v/>
      </c>
      <c r="E1604" s="58">
        <f>IF($H1604="","",IFERROR(MID($H1604&amp;" ",FIND("|",SUBSTITUTE($H1604&amp;" "," ","|",3))+1,FIND("|",SUBSTITUTE($H1604&amp;" "," ","|",4))-FIND("|",SUBSTITUTE($H1604&amp;" "," ","|",3))-1),""))</f>
        <v/>
      </c>
      <c r="F1604" s="59">
        <f>IF($H1604="","",IFERROR(VALUE(IFERROR(MID($H1604&amp;" ",FIND("|",SUBSTITUTE($H1604&amp;" "," ","|",4))+1,FIND("|",SUBSTITUTE($H1604&amp;" "," ","|",5))-FIND("|",SUBSTITUTE($H1604&amp;" "," ","|",4))-1),""))/86400+25569+9/24,""))</f>
        <v/>
      </c>
      <c r="G1604" s="58">
        <f>TRIM(SUBSTITUTE(SUBSTITUTE(SUBSTITUTE($A1604,CHAR(9)," ")," "," "),CHAR(13),""))</f>
        <v/>
      </c>
      <c r="H1604" s="58">
        <f>IF($G1604="","",IF(ISNUMBER(FIND(" ",$G1604)),$G1604,IFERROR(IF((LEN(SUBSTITUTE(SUBSTITUTE($G1604,"-"," ",LEN($G1604)-LEN(SUBSTITUTE($G1604,"-",""))),"-"," ",LEN($G1604)-LEN(SUBSTITUTE($G1604,"-",""))-1))-LEN(SUBSTITUTE(SUBSTITUTE(SUBSTITUTE($G1604,"-"," ",LEN($G1604)-LEN(SUBSTITUTE($G1604,"-",""))),"-"," ",LEN($G1604)-LEN(SUBSTITUTE($G1604,"-",""))-1),".","")))=0,SUBSTITUTE(SUBSTITUTE($G1604,"-"," ",LEN($G1604)-LEN(SUBSTITUTE($G1604,"-",""))),"-"," ",LEN($G1604)-LEN(SUBSTITUTE($G1604,"-",""))-1),SUBSTITUTE(SUBSTITUTE(SUBSTITUTE($G1604,"-"," ",LEN($G1604)-LEN(SUBSTITUTE($G1604,"-",""))),"-"," ",LEN($G1604)-LEN(SUBSTITUTE($G1604,"-",""))-1),"."," ",(LEN(SUBSTITUTE(SUBSTITUTE($G1604,"-"," ",LEN($G1604)-LEN(SUBSTITUTE($G1604,"-",""))),"-"," ",LEN($G1604)-LEN(SUBSTITUTE($G1604,"-",""))-1))-LEN(SUBSTITUTE(SUBSTITUTE(SUBSTITUTE($G1604,"-"," ",LEN($G1604)-LEN(SUBSTITUTE($G1604,"-",""))),"-"," ",LEN($G1604)-LEN(SUBSTITUTE($G1604,"-",""))-1),".",""))))),$G1604)))</f>
        <v/>
      </c>
    </row>
    <row r="1605">
      <c r="A1605" s="58" t="n"/>
      <c r="B1605" s="58">
        <f>IF($H1605="","",LEFT($H1605,FIND(" ",$H1605&amp;" ")-1))</f>
        <v/>
      </c>
      <c r="C1605" s="58">
        <f>IF($H1605="","",IFERROR(MID($H1605&amp;" ",FIND("|",SUBSTITUTE($H1605&amp;" "," ","|",1))+1,FIND("|",SUBSTITUTE($H1605&amp;" "," ","|",2))-FIND("|",SUBSTITUTE($H1605&amp;" "," ","|",1))-1),""))</f>
        <v/>
      </c>
      <c r="D1605" s="58">
        <f>IF($H1605="","",IFERROR(MID($H1605&amp;" ",FIND("|",SUBSTITUTE($H1605&amp;" "," ","|",2))+1,FIND("|",SUBSTITUTE($H1605&amp;" "," ","|",3))-FIND("|",SUBSTITUTE($H1605&amp;" "," ","|",2))-1),""))</f>
        <v/>
      </c>
      <c r="E1605" s="58">
        <f>IF($H1605="","",IFERROR(MID($H1605&amp;" ",FIND("|",SUBSTITUTE($H1605&amp;" "," ","|",3))+1,FIND("|",SUBSTITUTE($H1605&amp;" "," ","|",4))-FIND("|",SUBSTITUTE($H1605&amp;" "," ","|",3))-1),""))</f>
        <v/>
      </c>
      <c r="F1605" s="59">
        <f>IF($H1605="","",IFERROR(VALUE(IFERROR(MID($H1605&amp;" ",FIND("|",SUBSTITUTE($H1605&amp;" "," ","|",4))+1,FIND("|",SUBSTITUTE($H1605&amp;" "," ","|",5))-FIND("|",SUBSTITUTE($H1605&amp;" "," ","|",4))-1),""))/86400+25569+9/24,""))</f>
        <v/>
      </c>
      <c r="G1605" s="58">
        <f>TRIM(SUBSTITUTE(SUBSTITUTE(SUBSTITUTE($A1605,CHAR(9)," ")," "," "),CHAR(13),""))</f>
        <v/>
      </c>
      <c r="H1605" s="58">
        <f>IF($G1605="","",IF(ISNUMBER(FIND(" ",$G1605)),$G1605,IFERROR(IF((LEN(SUBSTITUTE(SUBSTITUTE($G1605,"-"," ",LEN($G1605)-LEN(SUBSTITUTE($G1605,"-",""))),"-"," ",LEN($G1605)-LEN(SUBSTITUTE($G1605,"-",""))-1))-LEN(SUBSTITUTE(SUBSTITUTE(SUBSTITUTE($G1605,"-"," ",LEN($G1605)-LEN(SUBSTITUTE($G1605,"-",""))),"-"," ",LEN($G1605)-LEN(SUBSTITUTE($G1605,"-",""))-1),".","")))=0,SUBSTITUTE(SUBSTITUTE($G1605,"-"," ",LEN($G1605)-LEN(SUBSTITUTE($G1605,"-",""))),"-"," ",LEN($G1605)-LEN(SUBSTITUTE($G1605,"-",""))-1),SUBSTITUTE(SUBSTITUTE(SUBSTITUTE($G1605,"-"," ",LEN($G1605)-LEN(SUBSTITUTE($G1605,"-",""))),"-"," ",LEN($G1605)-LEN(SUBSTITUTE($G1605,"-",""))-1),"."," ",(LEN(SUBSTITUTE(SUBSTITUTE($G1605,"-"," ",LEN($G1605)-LEN(SUBSTITUTE($G1605,"-",""))),"-"," ",LEN($G1605)-LEN(SUBSTITUTE($G1605,"-",""))-1))-LEN(SUBSTITUTE(SUBSTITUTE(SUBSTITUTE($G1605,"-"," ",LEN($G1605)-LEN(SUBSTITUTE($G1605,"-",""))),"-"," ",LEN($G1605)-LEN(SUBSTITUTE($G1605,"-",""))-1),".",""))))),$G1605)))</f>
        <v/>
      </c>
    </row>
    <row r="1606">
      <c r="A1606" s="58" t="n"/>
      <c r="B1606" s="58">
        <f>IF($H1606="","",LEFT($H1606,FIND(" ",$H1606&amp;" ")-1))</f>
        <v/>
      </c>
      <c r="C1606" s="58">
        <f>IF($H1606="","",IFERROR(MID($H1606&amp;" ",FIND("|",SUBSTITUTE($H1606&amp;" "," ","|",1))+1,FIND("|",SUBSTITUTE($H1606&amp;" "," ","|",2))-FIND("|",SUBSTITUTE($H1606&amp;" "," ","|",1))-1),""))</f>
        <v/>
      </c>
      <c r="D1606" s="58">
        <f>IF($H1606="","",IFERROR(MID($H1606&amp;" ",FIND("|",SUBSTITUTE($H1606&amp;" "," ","|",2))+1,FIND("|",SUBSTITUTE($H1606&amp;" "," ","|",3))-FIND("|",SUBSTITUTE($H1606&amp;" "," ","|",2))-1),""))</f>
        <v/>
      </c>
      <c r="E1606" s="58">
        <f>IF($H1606="","",IFERROR(MID($H1606&amp;" ",FIND("|",SUBSTITUTE($H1606&amp;" "," ","|",3))+1,FIND("|",SUBSTITUTE($H1606&amp;" "," ","|",4))-FIND("|",SUBSTITUTE($H1606&amp;" "," ","|",3))-1),""))</f>
        <v/>
      </c>
      <c r="F1606" s="59">
        <f>IF($H1606="","",IFERROR(VALUE(IFERROR(MID($H1606&amp;" ",FIND("|",SUBSTITUTE($H1606&amp;" "," ","|",4))+1,FIND("|",SUBSTITUTE($H1606&amp;" "," ","|",5))-FIND("|",SUBSTITUTE($H1606&amp;" "," ","|",4))-1),""))/86400+25569+9/24,""))</f>
        <v/>
      </c>
      <c r="G1606" s="58">
        <f>TRIM(SUBSTITUTE(SUBSTITUTE(SUBSTITUTE($A1606,CHAR(9)," ")," "," "),CHAR(13),""))</f>
        <v/>
      </c>
      <c r="H1606" s="58">
        <f>IF($G1606="","",IF(ISNUMBER(FIND(" ",$G1606)),$G1606,IFERROR(IF((LEN(SUBSTITUTE(SUBSTITUTE($G1606,"-"," ",LEN($G1606)-LEN(SUBSTITUTE($G1606,"-",""))),"-"," ",LEN($G1606)-LEN(SUBSTITUTE($G1606,"-",""))-1))-LEN(SUBSTITUTE(SUBSTITUTE(SUBSTITUTE($G1606,"-"," ",LEN($G1606)-LEN(SUBSTITUTE($G1606,"-",""))),"-"," ",LEN($G1606)-LEN(SUBSTITUTE($G1606,"-",""))-1),".","")))=0,SUBSTITUTE(SUBSTITUTE($G1606,"-"," ",LEN($G1606)-LEN(SUBSTITUTE($G1606,"-",""))),"-"," ",LEN($G1606)-LEN(SUBSTITUTE($G1606,"-",""))-1),SUBSTITUTE(SUBSTITUTE(SUBSTITUTE($G1606,"-"," ",LEN($G1606)-LEN(SUBSTITUTE($G1606,"-",""))),"-"," ",LEN($G1606)-LEN(SUBSTITUTE($G1606,"-",""))-1),"."," ",(LEN(SUBSTITUTE(SUBSTITUTE($G1606,"-"," ",LEN($G1606)-LEN(SUBSTITUTE($G1606,"-",""))),"-"," ",LEN($G1606)-LEN(SUBSTITUTE($G1606,"-",""))-1))-LEN(SUBSTITUTE(SUBSTITUTE(SUBSTITUTE($G1606,"-"," ",LEN($G1606)-LEN(SUBSTITUTE($G1606,"-",""))),"-"," ",LEN($G1606)-LEN(SUBSTITUTE($G1606,"-",""))-1),".",""))))),$G1606)))</f>
        <v/>
      </c>
    </row>
    <row r="1607">
      <c r="A1607" s="58" t="n"/>
      <c r="B1607" s="58">
        <f>IF($H1607="","",LEFT($H1607,FIND(" ",$H1607&amp;" ")-1))</f>
        <v/>
      </c>
      <c r="C1607" s="58">
        <f>IF($H1607="","",IFERROR(MID($H1607&amp;" ",FIND("|",SUBSTITUTE($H1607&amp;" "," ","|",1))+1,FIND("|",SUBSTITUTE($H1607&amp;" "," ","|",2))-FIND("|",SUBSTITUTE($H1607&amp;" "," ","|",1))-1),""))</f>
        <v/>
      </c>
      <c r="D1607" s="58">
        <f>IF($H1607="","",IFERROR(MID($H1607&amp;" ",FIND("|",SUBSTITUTE($H1607&amp;" "," ","|",2))+1,FIND("|",SUBSTITUTE($H1607&amp;" "," ","|",3))-FIND("|",SUBSTITUTE($H1607&amp;" "," ","|",2))-1),""))</f>
        <v/>
      </c>
      <c r="E1607" s="58">
        <f>IF($H1607="","",IFERROR(MID($H1607&amp;" ",FIND("|",SUBSTITUTE($H1607&amp;" "," ","|",3))+1,FIND("|",SUBSTITUTE($H1607&amp;" "," ","|",4))-FIND("|",SUBSTITUTE($H1607&amp;" "," ","|",3))-1),""))</f>
        <v/>
      </c>
      <c r="F1607" s="59">
        <f>IF($H1607="","",IFERROR(VALUE(IFERROR(MID($H1607&amp;" ",FIND("|",SUBSTITUTE($H1607&amp;" "," ","|",4))+1,FIND("|",SUBSTITUTE($H1607&amp;" "," ","|",5))-FIND("|",SUBSTITUTE($H1607&amp;" "," ","|",4))-1),""))/86400+25569+9/24,""))</f>
        <v/>
      </c>
      <c r="G1607" s="58">
        <f>TRIM(SUBSTITUTE(SUBSTITUTE(SUBSTITUTE($A1607,CHAR(9)," ")," "," "),CHAR(13),""))</f>
        <v/>
      </c>
      <c r="H1607" s="58">
        <f>IF($G1607="","",IF(ISNUMBER(FIND(" ",$G1607)),$G1607,IFERROR(IF((LEN(SUBSTITUTE(SUBSTITUTE($G1607,"-"," ",LEN($G1607)-LEN(SUBSTITUTE($G1607,"-",""))),"-"," ",LEN($G1607)-LEN(SUBSTITUTE($G1607,"-",""))-1))-LEN(SUBSTITUTE(SUBSTITUTE(SUBSTITUTE($G1607,"-"," ",LEN($G1607)-LEN(SUBSTITUTE($G1607,"-",""))),"-"," ",LEN($G1607)-LEN(SUBSTITUTE($G1607,"-",""))-1),".","")))=0,SUBSTITUTE(SUBSTITUTE($G1607,"-"," ",LEN($G1607)-LEN(SUBSTITUTE($G1607,"-",""))),"-"," ",LEN($G1607)-LEN(SUBSTITUTE($G1607,"-",""))-1),SUBSTITUTE(SUBSTITUTE(SUBSTITUTE($G1607,"-"," ",LEN($G1607)-LEN(SUBSTITUTE($G1607,"-",""))),"-"," ",LEN($G1607)-LEN(SUBSTITUTE($G1607,"-",""))-1),"."," ",(LEN(SUBSTITUTE(SUBSTITUTE($G1607,"-"," ",LEN($G1607)-LEN(SUBSTITUTE($G1607,"-",""))),"-"," ",LEN($G1607)-LEN(SUBSTITUTE($G1607,"-",""))-1))-LEN(SUBSTITUTE(SUBSTITUTE(SUBSTITUTE($G1607,"-"," ",LEN($G1607)-LEN(SUBSTITUTE($G1607,"-",""))),"-"," ",LEN($G1607)-LEN(SUBSTITUTE($G1607,"-",""))-1),".",""))))),$G1607)))</f>
        <v/>
      </c>
    </row>
    <row r="1608">
      <c r="A1608" s="58" t="n"/>
      <c r="B1608" s="58">
        <f>IF($H1608="","",LEFT($H1608,FIND(" ",$H1608&amp;" ")-1))</f>
        <v/>
      </c>
      <c r="C1608" s="58">
        <f>IF($H1608="","",IFERROR(MID($H1608&amp;" ",FIND("|",SUBSTITUTE($H1608&amp;" "," ","|",1))+1,FIND("|",SUBSTITUTE($H1608&amp;" "," ","|",2))-FIND("|",SUBSTITUTE($H1608&amp;" "," ","|",1))-1),""))</f>
        <v/>
      </c>
      <c r="D1608" s="58">
        <f>IF($H1608="","",IFERROR(MID($H1608&amp;" ",FIND("|",SUBSTITUTE($H1608&amp;" "," ","|",2))+1,FIND("|",SUBSTITUTE($H1608&amp;" "," ","|",3))-FIND("|",SUBSTITUTE($H1608&amp;" "," ","|",2))-1),""))</f>
        <v/>
      </c>
      <c r="E1608" s="58">
        <f>IF($H1608="","",IFERROR(MID($H1608&amp;" ",FIND("|",SUBSTITUTE($H1608&amp;" "," ","|",3))+1,FIND("|",SUBSTITUTE($H1608&amp;" "," ","|",4))-FIND("|",SUBSTITUTE($H1608&amp;" "," ","|",3))-1),""))</f>
        <v/>
      </c>
      <c r="F1608" s="59">
        <f>IF($H1608="","",IFERROR(VALUE(IFERROR(MID($H1608&amp;" ",FIND("|",SUBSTITUTE($H1608&amp;" "," ","|",4))+1,FIND("|",SUBSTITUTE($H1608&amp;" "," ","|",5))-FIND("|",SUBSTITUTE($H1608&amp;" "," ","|",4))-1),""))/86400+25569+9/24,""))</f>
        <v/>
      </c>
      <c r="G1608" s="58">
        <f>TRIM(SUBSTITUTE(SUBSTITUTE(SUBSTITUTE($A1608,CHAR(9)," ")," "," "),CHAR(13),""))</f>
        <v/>
      </c>
      <c r="H1608" s="58">
        <f>IF($G1608="","",IF(ISNUMBER(FIND(" ",$G1608)),$G1608,IFERROR(IF((LEN(SUBSTITUTE(SUBSTITUTE($G1608,"-"," ",LEN($G1608)-LEN(SUBSTITUTE($G1608,"-",""))),"-"," ",LEN($G1608)-LEN(SUBSTITUTE($G1608,"-",""))-1))-LEN(SUBSTITUTE(SUBSTITUTE(SUBSTITUTE($G1608,"-"," ",LEN($G1608)-LEN(SUBSTITUTE($G1608,"-",""))),"-"," ",LEN($G1608)-LEN(SUBSTITUTE($G1608,"-",""))-1),".","")))=0,SUBSTITUTE(SUBSTITUTE($G1608,"-"," ",LEN($G1608)-LEN(SUBSTITUTE($G1608,"-",""))),"-"," ",LEN($G1608)-LEN(SUBSTITUTE($G1608,"-",""))-1),SUBSTITUTE(SUBSTITUTE(SUBSTITUTE($G1608,"-"," ",LEN($G1608)-LEN(SUBSTITUTE($G1608,"-",""))),"-"," ",LEN($G1608)-LEN(SUBSTITUTE($G1608,"-",""))-1),"."," ",(LEN(SUBSTITUTE(SUBSTITUTE($G1608,"-"," ",LEN($G1608)-LEN(SUBSTITUTE($G1608,"-",""))),"-"," ",LEN($G1608)-LEN(SUBSTITUTE($G1608,"-",""))-1))-LEN(SUBSTITUTE(SUBSTITUTE(SUBSTITUTE($G1608,"-"," ",LEN($G1608)-LEN(SUBSTITUTE($G1608,"-",""))),"-"," ",LEN($G1608)-LEN(SUBSTITUTE($G1608,"-",""))-1),".",""))))),$G1608)))</f>
        <v/>
      </c>
    </row>
    <row r="1609">
      <c r="A1609" s="58" t="n"/>
      <c r="B1609" s="58">
        <f>IF($H1609="","",LEFT($H1609,FIND(" ",$H1609&amp;" ")-1))</f>
        <v/>
      </c>
      <c r="C1609" s="58">
        <f>IF($H1609="","",IFERROR(MID($H1609&amp;" ",FIND("|",SUBSTITUTE($H1609&amp;" "," ","|",1))+1,FIND("|",SUBSTITUTE($H1609&amp;" "," ","|",2))-FIND("|",SUBSTITUTE($H1609&amp;" "," ","|",1))-1),""))</f>
        <v/>
      </c>
      <c r="D1609" s="58">
        <f>IF($H1609="","",IFERROR(MID($H1609&amp;" ",FIND("|",SUBSTITUTE($H1609&amp;" "," ","|",2))+1,FIND("|",SUBSTITUTE($H1609&amp;" "," ","|",3))-FIND("|",SUBSTITUTE($H1609&amp;" "," ","|",2))-1),""))</f>
        <v/>
      </c>
      <c r="E1609" s="58">
        <f>IF($H1609="","",IFERROR(MID($H1609&amp;" ",FIND("|",SUBSTITUTE($H1609&amp;" "," ","|",3))+1,FIND("|",SUBSTITUTE($H1609&amp;" "," ","|",4))-FIND("|",SUBSTITUTE($H1609&amp;" "," ","|",3))-1),""))</f>
        <v/>
      </c>
      <c r="F1609" s="59">
        <f>IF($H1609="","",IFERROR(VALUE(IFERROR(MID($H1609&amp;" ",FIND("|",SUBSTITUTE($H1609&amp;" "," ","|",4))+1,FIND("|",SUBSTITUTE($H1609&amp;" "," ","|",5))-FIND("|",SUBSTITUTE($H1609&amp;" "," ","|",4))-1),""))/86400+25569+9/24,""))</f>
        <v/>
      </c>
      <c r="G1609" s="58">
        <f>TRIM(SUBSTITUTE(SUBSTITUTE(SUBSTITUTE($A1609,CHAR(9)," ")," "," "),CHAR(13),""))</f>
        <v/>
      </c>
      <c r="H1609" s="58">
        <f>IF($G1609="","",IF(ISNUMBER(FIND(" ",$G1609)),$G1609,IFERROR(IF((LEN(SUBSTITUTE(SUBSTITUTE($G1609,"-"," ",LEN($G1609)-LEN(SUBSTITUTE($G1609,"-",""))),"-"," ",LEN($G1609)-LEN(SUBSTITUTE($G1609,"-",""))-1))-LEN(SUBSTITUTE(SUBSTITUTE(SUBSTITUTE($G1609,"-"," ",LEN($G1609)-LEN(SUBSTITUTE($G1609,"-",""))),"-"," ",LEN($G1609)-LEN(SUBSTITUTE($G1609,"-",""))-1),".","")))=0,SUBSTITUTE(SUBSTITUTE($G1609,"-"," ",LEN($G1609)-LEN(SUBSTITUTE($G1609,"-",""))),"-"," ",LEN($G1609)-LEN(SUBSTITUTE($G1609,"-",""))-1),SUBSTITUTE(SUBSTITUTE(SUBSTITUTE($G1609,"-"," ",LEN($G1609)-LEN(SUBSTITUTE($G1609,"-",""))),"-"," ",LEN($G1609)-LEN(SUBSTITUTE($G1609,"-",""))-1),"."," ",(LEN(SUBSTITUTE(SUBSTITUTE($G1609,"-"," ",LEN($G1609)-LEN(SUBSTITUTE($G1609,"-",""))),"-"," ",LEN($G1609)-LEN(SUBSTITUTE($G1609,"-",""))-1))-LEN(SUBSTITUTE(SUBSTITUTE(SUBSTITUTE($G1609,"-"," ",LEN($G1609)-LEN(SUBSTITUTE($G1609,"-",""))),"-"," ",LEN($G1609)-LEN(SUBSTITUTE($G1609,"-",""))-1),".",""))))),$G1609)))</f>
        <v/>
      </c>
    </row>
    <row r="1610">
      <c r="A1610" s="58" t="n"/>
      <c r="B1610" s="58">
        <f>IF($H1610="","",LEFT($H1610,FIND(" ",$H1610&amp;" ")-1))</f>
        <v/>
      </c>
      <c r="C1610" s="58">
        <f>IF($H1610="","",IFERROR(MID($H1610&amp;" ",FIND("|",SUBSTITUTE($H1610&amp;" "," ","|",1))+1,FIND("|",SUBSTITUTE($H1610&amp;" "," ","|",2))-FIND("|",SUBSTITUTE($H1610&amp;" "," ","|",1))-1),""))</f>
        <v/>
      </c>
      <c r="D1610" s="58">
        <f>IF($H1610="","",IFERROR(MID($H1610&amp;" ",FIND("|",SUBSTITUTE($H1610&amp;" "," ","|",2))+1,FIND("|",SUBSTITUTE($H1610&amp;" "," ","|",3))-FIND("|",SUBSTITUTE($H1610&amp;" "," ","|",2))-1),""))</f>
        <v/>
      </c>
      <c r="E1610" s="58">
        <f>IF($H1610="","",IFERROR(MID($H1610&amp;" ",FIND("|",SUBSTITUTE($H1610&amp;" "," ","|",3))+1,FIND("|",SUBSTITUTE($H1610&amp;" "," ","|",4))-FIND("|",SUBSTITUTE($H1610&amp;" "," ","|",3))-1),""))</f>
        <v/>
      </c>
      <c r="F1610" s="59">
        <f>IF($H1610="","",IFERROR(VALUE(IFERROR(MID($H1610&amp;" ",FIND("|",SUBSTITUTE($H1610&amp;" "," ","|",4))+1,FIND("|",SUBSTITUTE($H1610&amp;" "," ","|",5))-FIND("|",SUBSTITUTE($H1610&amp;" "," ","|",4))-1),""))/86400+25569+9/24,""))</f>
        <v/>
      </c>
      <c r="G1610" s="58">
        <f>TRIM(SUBSTITUTE(SUBSTITUTE(SUBSTITUTE($A1610,CHAR(9)," ")," "," "),CHAR(13),""))</f>
        <v/>
      </c>
      <c r="H1610" s="58">
        <f>IF($G1610="","",IF(ISNUMBER(FIND(" ",$G1610)),$G1610,IFERROR(IF((LEN(SUBSTITUTE(SUBSTITUTE($G1610,"-"," ",LEN($G1610)-LEN(SUBSTITUTE($G1610,"-",""))),"-"," ",LEN($G1610)-LEN(SUBSTITUTE($G1610,"-",""))-1))-LEN(SUBSTITUTE(SUBSTITUTE(SUBSTITUTE($G1610,"-"," ",LEN($G1610)-LEN(SUBSTITUTE($G1610,"-",""))),"-"," ",LEN($G1610)-LEN(SUBSTITUTE($G1610,"-",""))-1),".","")))=0,SUBSTITUTE(SUBSTITUTE($G1610,"-"," ",LEN($G1610)-LEN(SUBSTITUTE($G1610,"-",""))),"-"," ",LEN($G1610)-LEN(SUBSTITUTE($G1610,"-",""))-1),SUBSTITUTE(SUBSTITUTE(SUBSTITUTE($G1610,"-"," ",LEN($G1610)-LEN(SUBSTITUTE($G1610,"-",""))),"-"," ",LEN($G1610)-LEN(SUBSTITUTE($G1610,"-",""))-1),"."," ",(LEN(SUBSTITUTE(SUBSTITUTE($G1610,"-"," ",LEN($G1610)-LEN(SUBSTITUTE($G1610,"-",""))),"-"," ",LEN($G1610)-LEN(SUBSTITUTE($G1610,"-",""))-1))-LEN(SUBSTITUTE(SUBSTITUTE(SUBSTITUTE($G1610,"-"," ",LEN($G1610)-LEN(SUBSTITUTE($G1610,"-",""))),"-"," ",LEN($G1610)-LEN(SUBSTITUTE($G1610,"-",""))-1),".",""))))),$G1610)))</f>
        <v/>
      </c>
    </row>
    <row r="1611">
      <c r="A1611" s="58" t="n"/>
      <c r="B1611" s="58">
        <f>IF($H1611="","",LEFT($H1611,FIND(" ",$H1611&amp;" ")-1))</f>
        <v/>
      </c>
      <c r="C1611" s="58">
        <f>IF($H1611="","",IFERROR(MID($H1611&amp;" ",FIND("|",SUBSTITUTE($H1611&amp;" "," ","|",1))+1,FIND("|",SUBSTITUTE($H1611&amp;" "," ","|",2))-FIND("|",SUBSTITUTE($H1611&amp;" "," ","|",1))-1),""))</f>
        <v/>
      </c>
      <c r="D1611" s="58">
        <f>IF($H1611="","",IFERROR(MID($H1611&amp;" ",FIND("|",SUBSTITUTE($H1611&amp;" "," ","|",2))+1,FIND("|",SUBSTITUTE($H1611&amp;" "," ","|",3))-FIND("|",SUBSTITUTE($H1611&amp;" "," ","|",2))-1),""))</f>
        <v/>
      </c>
      <c r="E1611" s="58">
        <f>IF($H1611="","",IFERROR(MID($H1611&amp;" ",FIND("|",SUBSTITUTE($H1611&amp;" "," ","|",3))+1,FIND("|",SUBSTITUTE($H1611&amp;" "," ","|",4))-FIND("|",SUBSTITUTE($H1611&amp;" "," ","|",3))-1),""))</f>
        <v/>
      </c>
      <c r="F1611" s="59">
        <f>IF($H1611="","",IFERROR(VALUE(IFERROR(MID($H1611&amp;" ",FIND("|",SUBSTITUTE($H1611&amp;" "," ","|",4))+1,FIND("|",SUBSTITUTE($H1611&amp;" "," ","|",5))-FIND("|",SUBSTITUTE($H1611&amp;" "," ","|",4))-1),""))/86400+25569+9/24,""))</f>
        <v/>
      </c>
      <c r="G1611" s="58">
        <f>TRIM(SUBSTITUTE(SUBSTITUTE(SUBSTITUTE($A1611,CHAR(9)," ")," "," "),CHAR(13),""))</f>
        <v/>
      </c>
      <c r="H1611" s="58">
        <f>IF($G1611="","",IF(ISNUMBER(FIND(" ",$G1611)),$G1611,IFERROR(IF((LEN(SUBSTITUTE(SUBSTITUTE($G1611,"-"," ",LEN($G1611)-LEN(SUBSTITUTE($G1611,"-",""))),"-"," ",LEN($G1611)-LEN(SUBSTITUTE($G1611,"-",""))-1))-LEN(SUBSTITUTE(SUBSTITUTE(SUBSTITUTE($G1611,"-"," ",LEN($G1611)-LEN(SUBSTITUTE($G1611,"-",""))),"-"," ",LEN($G1611)-LEN(SUBSTITUTE($G1611,"-",""))-1),".","")))=0,SUBSTITUTE(SUBSTITUTE($G1611,"-"," ",LEN($G1611)-LEN(SUBSTITUTE($G1611,"-",""))),"-"," ",LEN($G1611)-LEN(SUBSTITUTE($G1611,"-",""))-1),SUBSTITUTE(SUBSTITUTE(SUBSTITUTE($G1611,"-"," ",LEN($G1611)-LEN(SUBSTITUTE($G1611,"-",""))),"-"," ",LEN($G1611)-LEN(SUBSTITUTE($G1611,"-",""))-1),"."," ",(LEN(SUBSTITUTE(SUBSTITUTE($G1611,"-"," ",LEN($G1611)-LEN(SUBSTITUTE($G1611,"-",""))),"-"," ",LEN($G1611)-LEN(SUBSTITUTE($G1611,"-",""))-1))-LEN(SUBSTITUTE(SUBSTITUTE(SUBSTITUTE($G1611,"-"," ",LEN($G1611)-LEN(SUBSTITUTE($G1611,"-",""))),"-"," ",LEN($G1611)-LEN(SUBSTITUTE($G1611,"-",""))-1),".",""))))),$G1611)))</f>
        <v/>
      </c>
    </row>
    <row r="1612">
      <c r="A1612" s="58" t="n"/>
      <c r="B1612" s="58">
        <f>IF($H1612="","",LEFT($H1612,FIND(" ",$H1612&amp;" ")-1))</f>
        <v/>
      </c>
      <c r="C1612" s="58">
        <f>IF($H1612="","",IFERROR(MID($H1612&amp;" ",FIND("|",SUBSTITUTE($H1612&amp;" "," ","|",1))+1,FIND("|",SUBSTITUTE($H1612&amp;" "," ","|",2))-FIND("|",SUBSTITUTE($H1612&amp;" "," ","|",1))-1),""))</f>
        <v/>
      </c>
      <c r="D1612" s="58">
        <f>IF($H1612="","",IFERROR(MID($H1612&amp;" ",FIND("|",SUBSTITUTE($H1612&amp;" "," ","|",2))+1,FIND("|",SUBSTITUTE($H1612&amp;" "," ","|",3))-FIND("|",SUBSTITUTE($H1612&amp;" "," ","|",2))-1),""))</f>
        <v/>
      </c>
      <c r="E1612" s="58">
        <f>IF($H1612="","",IFERROR(MID($H1612&amp;" ",FIND("|",SUBSTITUTE($H1612&amp;" "," ","|",3))+1,FIND("|",SUBSTITUTE($H1612&amp;" "," ","|",4))-FIND("|",SUBSTITUTE($H1612&amp;" "," ","|",3))-1),""))</f>
        <v/>
      </c>
      <c r="F1612" s="59">
        <f>IF($H1612="","",IFERROR(VALUE(IFERROR(MID($H1612&amp;" ",FIND("|",SUBSTITUTE($H1612&amp;" "," ","|",4))+1,FIND("|",SUBSTITUTE($H1612&amp;" "," ","|",5))-FIND("|",SUBSTITUTE($H1612&amp;" "," ","|",4))-1),""))/86400+25569+9/24,""))</f>
        <v/>
      </c>
      <c r="G1612" s="58">
        <f>TRIM(SUBSTITUTE(SUBSTITUTE(SUBSTITUTE($A1612,CHAR(9)," ")," "," "),CHAR(13),""))</f>
        <v/>
      </c>
      <c r="H1612" s="58">
        <f>IF($G1612="","",IF(ISNUMBER(FIND(" ",$G1612)),$G1612,IFERROR(IF((LEN(SUBSTITUTE(SUBSTITUTE($G1612,"-"," ",LEN($G1612)-LEN(SUBSTITUTE($G1612,"-",""))),"-"," ",LEN($G1612)-LEN(SUBSTITUTE($G1612,"-",""))-1))-LEN(SUBSTITUTE(SUBSTITUTE(SUBSTITUTE($G1612,"-"," ",LEN($G1612)-LEN(SUBSTITUTE($G1612,"-",""))),"-"," ",LEN($G1612)-LEN(SUBSTITUTE($G1612,"-",""))-1),".","")))=0,SUBSTITUTE(SUBSTITUTE($G1612,"-"," ",LEN($G1612)-LEN(SUBSTITUTE($G1612,"-",""))),"-"," ",LEN($G1612)-LEN(SUBSTITUTE($G1612,"-",""))-1),SUBSTITUTE(SUBSTITUTE(SUBSTITUTE($G1612,"-"," ",LEN($G1612)-LEN(SUBSTITUTE($G1612,"-",""))),"-"," ",LEN($G1612)-LEN(SUBSTITUTE($G1612,"-",""))-1),"."," ",(LEN(SUBSTITUTE(SUBSTITUTE($G1612,"-"," ",LEN($G1612)-LEN(SUBSTITUTE($G1612,"-",""))),"-"," ",LEN($G1612)-LEN(SUBSTITUTE($G1612,"-",""))-1))-LEN(SUBSTITUTE(SUBSTITUTE(SUBSTITUTE($G1612,"-"," ",LEN($G1612)-LEN(SUBSTITUTE($G1612,"-",""))),"-"," ",LEN($G1612)-LEN(SUBSTITUTE($G1612,"-",""))-1),".",""))))),$G1612)))</f>
        <v/>
      </c>
    </row>
    <row r="1613">
      <c r="A1613" s="58" t="n"/>
      <c r="B1613" s="58">
        <f>IF($H1613="","",LEFT($H1613,FIND(" ",$H1613&amp;" ")-1))</f>
        <v/>
      </c>
      <c r="C1613" s="58">
        <f>IF($H1613="","",IFERROR(MID($H1613&amp;" ",FIND("|",SUBSTITUTE($H1613&amp;" "," ","|",1))+1,FIND("|",SUBSTITUTE($H1613&amp;" "," ","|",2))-FIND("|",SUBSTITUTE($H1613&amp;" "," ","|",1))-1),""))</f>
        <v/>
      </c>
      <c r="D1613" s="58">
        <f>IF($H1613="","",IFERROR(MID($H1613&amp;" ",FIND("|",SUBSTITUTE($H1613&amp;" "," ","|",2))+1,FIND("|",SUBSTITUTE($H1613&amp;" "," ","|",3))-FIND("|",SUBSTITUTE($H1613&amp;" "," ","|",2))-1),""))</f>
        <v/>
      </c>
      <c r="E1613" s="58">
        <f>IF($H1613="","",IFERROR(MID($H1613&amp;" ",FIND("|",SUBSTITUTE($H1613&amp;" "," ","|",3))+1,FIND("|",SUBSTITUTE($H1613&amp;" "," ","|",4))-FIND("|",SUBSTITUTE($H1613&amp;" "," ","|",3))-1),""))</f>
        <v/>
      </c>
      <c r="F1613" s="59">
        <f>IF($H1613="","",IFERROR(VALUE(IFERROR(MID($H1613&amp;" ",FIND("|",SUBSTITUTE($H1613&amp;" "," ","|",4))+1,FIND("|",SUBSTITUTE($H1613&amp;" "," ","|",5))-FIND("|",SUBSTITUTE($H1613&amp;" "," ","|",4))-1),""))/86400+25569+9/24,""))</f>
        <v/>
      </c>
      <c r="G1613" s="58">
        <f>TRIM(SUBSTITUTE(SUBSTITUTE(SUBSTITUTE($A1613,CHAR(9)," ")," "," "),CHAR(13),""))</f>
        <v/>
      </c>
      <c r="H1613" s="58">
        <f>IF($G1613="","",IF(ISNUMBER(FIND(" ",$G1613)),$G1613,IFERROR(IF((LEN(SUBSTITUTE(SUBSTITUTE($G1613,"-"," ",LEN($G1613)-LEN(SUBSTITUTE($G1613,"-",""))),"-"," ",LEN($G1613)-LEN(SUBSTITUTE($G1613,"-",""))-1))-LEN(SUBSTITUTE(SUBSTITUTE(SUBSTITUTE($G1613,"-"," ",LEN($G1613)-LEN(SUBSTITUTE($G1613,"-",""))),"-"," ",LEN($G1613)-LEN(SUBSTITUTE($G1613,"-",""))-1),".","")))=0,SUBSTITUTE(SUBSTITUTE($G1613,"-"," ",LEN($G1613)-LEN(SUBSTITUTE($G1613,"-",""))),"-"," ",LEN($G1613)-LEN(SUBSTITUTE($G1613,"-",""))-1),SUBSTITUTE(SUBSTITUTE(SUBSTITUTE($G1613,"-"," ",LEN($G1613)-LEN(SUBSTITUTE($G1613,"-",""))),"-"," ",LEN($G1613)-LEN(SUBSTITUTE($G1613,"-",""))-1),"."," ",(LEN(SUBSTITUTE(SUBSTITUTE($G1613,"-"," ",LEN($G1613)-LEN(SUBSTITUTE($G1613,"-",""))),"-"," ",LEN($G1613)-LEN(SUBSTITUTE($G1613,"-",""))-1))-LEN(SUBSTITUTE(SUBSTITUTE(SUBSTITUTE($G1613,"-"," ",LEN($G1613)-LEN(SUBSTITUTE($G1613,"-",""))),"-"," ",LEN($G1613)-LEN(SUBSTITUTE($G1613,"-",""))-1),".",""))))),$G1613)))</f>
        <v/>
      </c>
    </row>
    <row r="1614">
      <c r="A1614" s="58" t="n"/>
      <c r="B1614" s="58">
        <f>IF($H1614="","",LEFT($H1614,FIND(" ",$H1614&amp;" ")-1))</f>
        <v/>
      </c>
      <c r="C1614" s="58">
        <f>IF($H1614="","",IFERROR(MID($H1614&amp;" ",FIND("|",SUBSTITUTE($H1614&amp;" "," ","|",1))+1,FIND("|",SUBSTITUTE($H1614&amp;" "," ","|",2))-FIND("|",SUBSTITUTE($H1614&amp;" "," ","|",1))-1),""))</f>
        <v/>
      </c>
      <c r="D1614" s="58">
        <f>IF($H1614="","",IFERROR(MID($H1614&amp;" ",FIND("|",SUBSTITUTE($H1614&amp;" "," ","|",2))+1,FIND("|",SUBSTITUTE($H1614&amp;" "," ","|",3))-FIND("|",SUBSTITUTE($H1614&amp;" "," ","|",2))-1),""))</f>
        <v/>
      </c>
      <c r="E1614" s="58">
        <f>IF($H1614="","",IFERROR(MID($H1614&amp;" ",FIND("|",SUBSTITUTE($H1614&amp;" "," ","|",3))+1,FIND("|",SUBSTITUTE($H1614&amp;" "," ","|",4))-FIND("|",SUBSTITUTE($H1614&amp;" "," ","|",3))-1),""))</f>
        <v/>
      </c>
      <c r="F1614" s="59">
        <f>IF($H1614="","",IFERROR(VALUE(IFERROR(MID($H1614&amp;" ",FIND("|",SUBSTITUTE($H1614&amp;" "," ","|",4))+1,FIND("|",SUBSTITUTE($H1614&amp;" "," ","|",5))-FIND("|",SUBSTITUTE($H1614&amp;" "," ","|",4))-1),""))/86400+25569+9/24,""))</f>
        <v/>
      </c>
      <c r="G1614" s="58">
        <f>TRIM(SUBSTITUTE(SUBSTITUTE(SUBSTITUTE($A1614,CHAR(9)," ")," "," "),CHAR(13),""))</f>
        <v/>
      </c>
      <c r="H1614" s="58">
        <f>IF($G1614="","",IF(ISNUMBER(FIND(" ",$G1614)),$G1614,IFERROR(IF((LEN(SUBSTITUTE(SUBSTITUTE($G1614,"-"," ",LEN($G1614)-LEN(SUBSTITUTE($G1614,"-",""))),"-"," ",LEN($G1614)-LEN(SUBSTITUTE($G1614,"-",""))-1))-LEN(SUBSTITUTE(SUBSTITUTE(SUBSTITUTE($G1614,"-"," ",LEN($G1614)-LEN(SUBSTITUTE($G1614,"-",""))),"-"," ",LEN($G1614)-LEN(SUBSTITUTE($G1614,"-",""))-1),".","")))=0,SUBSTITUTE(SUBSTITUTE($G1614,"-"," ",LEN($G1614)-LEN(SUBSTITUTE($G1614,"-",""))),"-"," ",LEN($G1614)-LEN(SUBSTITUTE($G1614,"-",""))-1),SUBSTITUTE(SUBSTITUTE(SUBSTITUTE($G1614,"-"," ",LEN($G1614)-LEN(SUBSTITUTE($G1614,"-",""))),"-"," ",LEN($G1614)-LEN(SUBSTITUTE($G1614,"-",""))-1),"."," ",(LEN(SUBSTITUTE(SUBSTITUTE($G1614,"-"," ",LEN($G1614)-LEN(SUBSTITUTE($G1614,"-",""))),"-"," ",LEN($G1614)-LEN(SUBSTITUTE($G1614,"-",""))-1))-LEN(SUBSTITUTE(SUBSTITUTE(SUBSTITUTE($G1614,"-"," ",LEN($G1614)-LEN(SUBSTITUTE($G1614,"-",""))),"-"," ",LEN($G1614)-LEN(SUBSTITUTE($G1614,"-",""))-1),".",""))))),$G1614)))</f>
        <v/>
      </c>
    </row>
    <row r="1615">
      <c r="A1615" s="58" t="n"/>
      <c r="B1615" s="58">
        <f>IF($H1615="","",LEFT($H1615,FIND(" ",$H1615&amp;" ")-1))</f>
        <v/>
      </c>
      <c r="C1615" s="58">
        <f>IF($H1615="","",IFERROR(MID($H1615&amp;" ",FIND("|",SUBSTITUTE($H1615&amp;" "," ","|",1))+1,FIND("|",SUBSTITUTE($H1615&amp;" "," ","|",2))-FIND("|",SUBSTITUTE($H1615&amp;" "," ","|",1))-1),""))</f>
        <v/>
      </c>
      <c r="D1615" s="58">
        <f>IF($H1615="","",IFERROR(MID($H1615&amp;" ",FIND("|",SUBSTITUTE($H1615&amp;" "," ","|",2))+1,FIND("|",SUBSTITUTE($H1615&amp;" "," ","|",3))-FIND("|",SUBSTITUTE($H1615&amp;" "," ","|",2))-1),""))</f>
        <v/>
      </c>
      <c r="E1615" s="58">
        <f>IF($H1615="","",IFERROR(MID($H1615&amp;" ",FIND("|",SUBSTITUTE($H1615&amp;" "," ","|",3))+1,FIND("|",SUBSTITUTE($H1615&amp;" "," ","|",4))-FIND("|",SUBSTITUTE($H1615&amp;" "," ","|",3))-1),""))</f>
        <v/>
      </c>
      <c r="F1615" s="59">
        <f>IF($H1615="","",IFERROR(VALUE(IFERROR(MID($H1615&amp;" ",FIND("|",SUBSTITUTE($H1615&amp;" "," ","|",4))+1,FIND("|",SUBSTITUTE($H1615&amp;" "," ","|",5))-FIND("|",SUBSTITUTE($H1615&amp;" "," ","|",4))-1),""))/86400+25569+9/24,""))</f>
        <v/>
      </c>
      <c r="G1615" s="58">
        <f>TRIM(SUBSTITUTE(SUBSTITUTE(SUBSTITUTE($A1615,CHAR(9)," ")," "," "),CHAR(13),""))</f>
        <v/>
      </c>
      <c r="H1615" s="58">
        <f>IF($G1615="","",IF(ISNUMBER(FIND(" ",$G1615)),$G1615,IFERROR(IF((LEN(SUBSTITUTE(SUBSTITUTE($G1615,"-"," ",LEN($G1615)-LEN(SUBSTITUTE($G1615,"-",""))),"-"," ",LEN($G1615)-LEN(SUBSTITUTE($G1615,"-",""))-1))-LEN(SUBSTITUTE(SUBSTITUTE(SUBSTITUTE($G1615,"-"," ",LEN($G1615)-LEN(SUBSTITUTE($G1615,"-",""))),"-"," ",LEN($G1615)-LEN(SUBSTITUTE($G1615,"-",""))-1),".","")))=0,SUBSTITUTE(SUBSTITUTE($G1615,"-"," ",LEN($G1615)-LEN(SUBSTITUTE($G1615,"-",""))),"-"," ",LEN($G1615)-LEN(SUBSTITUTE($G1615,"-",""))-1),SUBSTITUTE(SUBSTITUTE(SUBSTITUTE($G1615,"-"," ",LEN($G1615)-LEN(SUBSTITUTE($G1615,"-",""))),"-"," ",LEN($G1615)-LEN(SUBSTITUTE($G1615,"-",""))-1),"."," ",(LEN(SUBSTITUTE(SUBSTITUTE($G1615,"-"," ",LEN($G1615)-LEN(SUBSTITUTE($G1615,"-",""))),"-"," ",LEN($G1615)-LEN(SUBSTITUTE($G1615,"-",""))-1))-LEN(SUBSTITUTE(SUBSTITUTE(SUBSTITUTE($G1615,"-"," ",LEN($G1615)-LEN(SUBSTITUTE($G1615,"-",""))),"-"," ",LEN($G1615)-LEN(SUBSTITUTE($G1615,"-",""))-1),".",""))))),$G1615)))</f>
        <v/>
      </c>
    </row>
    <row r="1616">
      <c r="A1616" s="58" t="n"/>
      <c r="B1616" s="58">
        <f>IF($H1616="","",LEFT($H1616,FIND(" ",$H1616&amp;" ")-1))</f>
        <v/>
      </c>
      <c r="C1616" s="58">
        <f>IF($H1616="","",IFERROR(MID($H1616&amp;" ",FIND("|",SUBSTITUTE($H1616&amp;" "," ","|",1))+1,FIND("|",SUBSTITUTE($H1616&amp;" "," ","|",2))-FIND("|",SUBSTITUTE($H1616&amp;" "," ","|",1))-1),""))</f>
        <v/>
      </c>
      <c r="D1616" s="58">
        <f>IF($H1616="","",IFERROR(MID($H1616&amp;" ",FIND("|",SUBSTITUTE($H1616&amp;" "," ","|",2))+1,FIND("|",SUBSTITUTE($H1616&amp;" "," ","|",3))-FIND("|",SUBSTITUTE($H1616&amp;" "," ","|",2))-1),""))</f>
        <v/>
      </c>
      <c r="E1616" s="58">
        <f>IF($H1616="","",IFERROR(MID($H1616&amp;" ",FIND("|",SUBSTITUTE($H1616&amp;" "," ","|",3))+1,FIND("|",SUBSTITUTE($H1616&amp;" "," ","|",4))-FIND("|",SUBSTITUTE($H1616&amp;" "," ","|",3))-1),""))</f>
        <v/>
      </c>
      <c r="F1616" s="59">
        <f>IF($H1616="","",IFERROR(VALUE(IFERROR(MID($H1616&amp;" ",FIND("|",SUBSTITUTE($H1616&amp;" "," ","|",4))+1,FIND("|",SUBSTITUTE($H1616&amp;" "," ","|",5))-FIND("|",SUBSTITUTE($H1616&amp;" "," ","|",4))-1),""))/86400+25569+9/24,""))</f>
        <v/>
      </c>
      <c r="G1616" s="58">
        <f>TRIM(SUBSTITUTE(SUBSTITUTE(SUBSTITUTE($A1616,CHAR(9)," ")," "," "),CHAR(13),""))</f>
        <v/>
      </c>
      <c r="H1616" s="58">
        <f>IF($G1616="","",IF(ISNUMBER(FIND(" ",$G1616)),$G1616,IFERROR(IF((LEN(SUBSTITUTE(SUBSTITUTE($G1616,"-"," ",LEN($G1616)-LEN(SUBSTITUTE($G1616,"-",""))),"-"," ",LEN($G1616)-LEN(SUBSTITUTE($G1616,"-",""))-1))-LEN(SUBSTITUTE(SUBSTITUTE(SUBSTITUTE($G1616,"-"," ",LEN($G1616)-LEN(SUBSTITUTE($G1616,"-",""))),"-"," ",LEN($G1616)-LEN(SUBSTITUTE($G1616,"-",""))-1),".","")))=0,SUBSTITUTE(SUBSTITUTE($G1616,"-"," ",LEN($G1616)-LEN(SUBSTITUTE($G1616,"-",""))),"-"," ",LEN($G1616)-LEN(SUBSTITUTE($G1616,"-",""))-1),SUBSTITUTE(SUBSTITUTE(SUBSTITUTE($G1616,"-"," ",LEN($G1616)-LEN(SUBSTITUTE($G1616,"-",""))),"-"," ",LEN($G1616)-LEN(SUBSTITUTE($G1616,"-",""))-1),"."," ",(LEN(SUBSTITUTE(SUBSTITUTE($G1616,"-"," ",LEN($G1616)-LEN(SUBSTITUTE($G1616,"-",""))),"-"," ",LEN($G1616)-LEN(SUBSTITUTE($G1616,"-",""))-1))-LEN(SUBSTITUTE(SUBSTITUTE(SUBSTITUTE($G1616,"-"," ",LEN($G1616)-LEN(SUBSTITUTE($G1616,"-",""))),"-"," ",LEN($G1616)-LEN(SUBSTITUTE($G1616,"-",""))-1),".",""))))),$G1616)))</f>
        <v/>
      </c>
    </row>
    <row r="1617">
      <c r="A1617" s="58" t="n"/>
      <c r="B1617" s="58">
        <f>IF($H1617="","",LEFT($H1617,FIND(" ",$H1617&amp;" ")-1))</f>
        <v/>
      </c>
      <c r="C1617" s="58">
        <f>IF($H1617="","",IFERROR(MID($H1617&amp;" ",FIND("|",SUBSTITUTE($H1617&amp;" "," ","|",1))+1,FIND("|",SUBSTITUTE($H1617&amp;" "," ","|",2))-FIND("|",SUBSTITUTE($H1617&amp;" "," ","|",1))-1),""))</f>
        <v/>
      </c>
      <c r="D1617" s="58">
        <f>IF($H1617="","",IFERROR(MID($H1617&amp;" ",FIND("|",SUBSTITUTE($H1617&amp;" "," ","|",2))+1,FIND("|",SUBSTITUTE($H1617&amp;" "," ","|",3))-FIND("|",SUBSTITUTE($H1617&amp;" "," ","|",2))-1),""))</f>
        <v/>
      </c>
      <c r="E1617" s="58">
        <f>IF($H1617="","",IFERROR(MID($H1617&amp;" ",FIND("|",SUBSTITUTE($H1617&amp;" "," ","|",3))+1,FIND("|",SUBSTITUTE($H1617&amp;" "," ","|",4))-FIND("|",SUBSTITUTE($H1617&amp;" "," ","|",3))-1),""))</f>
        <v/>
      </c>
      <c r="F1617" s="59">
        <f>IF($H1617="","",IFERROR(VALUE(IFERROR(MID($H1617&amp;" ",FIND("|",SUBSTITUTE($H1617&amp;" "," ","|",4))+1,FIND("|",SUBSTITUTE($H1617&amp;" "," ","|",5))-FIND("|",SUBSTITUTE($H1617&amp;" "," ","|",4))-1),""))/86400+25569+9/24,""))</f>
        <v/>
      </c>
      <c r="G1617" s="58">
        <f>TRIM(SUBSTITUTE(SUBSTITUTE(SUBSTITUTE($A1617,CHAR(9)," ")," "," "),CHAR(13),""))</f>
        <v/>
      </c>
      <c r="H1617" s="58">
        <f>IF($G1617="","",IF(ISNUMBER(FIND(" ",$G1617)),$G1617,IFERROR(IF((LEN(SUBSTITUTE(SUBSTITUTE($G1617,"-"," ",LEN($G1617)-LEN(SUBSTITUTE($G1617,"-",""))),"-"," ",LEN($G1617)-LEN(SUBSTITUTE($G1617,"-",""))-1))-LEN(SUBSTITUTE(SUBSTITUTE(SUBSTITUTE($G1617,"-"," ",LEN($G1617)-LEN(SUBSTITUTE($G1617,"-",""))),"-"," ",LEN($G1617)-LEN(SUBSTITUTE($G1617,"-",""))-1),".","")))=0,SUBSTITUTE(SUBSTITUTE($G1617,"-"," ",LEN($G1617)-LEN(SUBSTITUTE($G1617,"-",""))),"-"," ",LEN($G1617)-LEN(SUBSTITUTE($G1617,"-",""))-1),SUBSTITUTE(SUBSTITUTE(SUBSTITUTE($G1617,"-"," ",LEN($G1617)-LEN(SUBSTITUTE($G1617,"-",""))),"-"," ",LEN($G1617)-LEN(SUBSTITUTE($G1617,"-",""))-1),"."," ",(LEN(SUBSTITUTE(SUBSTITUTE($G1617,"-"," ",LEN($G1617)-LEN(SUBSTITUTE($G1617,"-",""))),"-"," ",LEN($G1617)-LEN(SUBSTITUTE($G1617,"-",""))-1))-LEN(SUBSTITUTE(SUBSTITUTE(SUBSTITUTE($G1617,"-"," ",LEN($G1617)-LEN(SUBSTITUTE($G1617,"-",""))),"-"," ",LEN($G1617)-LEN(SUBSTITUTE($G1617,"-",""))-1),".",""))))),$G1617)))</f>
        <v/>
      </c>
    </row>
    <row r="1618">
      <c r="A1618" s="58" t="n"/>
      <c r="B1618" s="58">
        <f>IF($H1618="","",LEFT($H1618,FIND(" ",$H1618&amp;" ")-1))</f>
        <v/>
      </c>
      <c r="C1618" s="58">
        <f>IF($H1618="","",IFERROR(MID($H1618&amp;" ",FIND("|",SUBSTITUTE($H1618&amp;" "," ","|",1))+1,FIND("|",SUBSTITUTE($H1618&amp;" "," ","|",2))-FIND("|",SUBSTITUTE($H1618&amp;" "," ","|",1))-1),""))</f>
        <v/>
      </c>
      <c r="D1618" s="58">
        <f>IF($H1618="","",IFERROR(MID($H1618&amp;" ",FIND("|",SUBSTITUTE($H1618&amp;" "," ","|",2))+1,FIND("|",SUBSTITUTE($H1618&amp;" "," ","|",3))-FIND("|",SUBSTITUTE($H1618&amp;" "," ","|",2))-1),""))</f>
        <v/>
      </c>
      <c r="E1618" s="58">
        <f>IF($H1618="","",IFERROR(MID($H1618&amp;" ",FIND("|",SUBSTITUTE($H1618&amp;" "," ","|",3))+1,FIND("|",SUBSTITUTE($H1618&amp;" "," ","|",4))-FIND("|",SUBSTITUTE($H1618&amp;" "," ","|",3))-1),""))</f>
        <v/>
      </c>
      <c r="F1618" s="59">
        <f>IF($H1618="","",IFERROR(VALUE(IFERROR(MID($H1618&amp;" ",FIND("|",SUBSTITUTE($H1618&amp;" "," ","|",4))+1,FIND("|",SUBSTITUTE($H1618&amp;" "," ","|",5))-FIND("|",SUBSTITUTE($H1618&amp;" "," ","|",4))-1),""))/86400+25569+9/24,""))</f>
        <v/>
      </c>
      <c r="G1618" s="58">
        <f>TRIM(SUBSTITUTE(SUBSTITUTE(SUBSTITUTE($A1618,CHAR(9)," ")," "," "),CHAR(13),""))</f>
        <v/>
      </c>
      <c r="H1618" s="58">
        <f>IF($G1618="","",IF(ISNUMBER(FIND(" ",$G1618)),$G1618,IFERROR(IF((LEN(SUBSTITUTE(SUBSTITUTE($G1618,"-"," ",LEN($G1618)-LEN(SUBSTITUTE($G1618,"-",""))),"-"," ",LEN($G1618)-LEN(SUBSTITUTE($G1618,"-",""))-1))-LEN(SUBSTITUTE(SUBSTITUTE(SUBSTITUTE($G1618,"-"," ",LEN($G1618)-LEN(SUBSTITUTE($G1618,"-",""))),"-"," ",LEN($G1618)-LEN(SUBSTITUTE($G1618,"-",""))-1),".","")))=0,SUBSTITUTE(SUBSTITUTE($G1618,"-"," ",LEN($G1618)-LEN(SUBSTITUTE($G1618,"-",""))),"-"," ",LEN($G1618)-LEN(SUBSTITUTE($G1618,"-",""))-1),SUBSTITUTE(SUBSTITUTE(SUBSTITUTE($G1618,"-"," ",LEN($G1618)-LEN(SUBSTITUTE($G1618,"-",""))),"-"," ",LEN($G1618)-LEN(SUBSTITUTE($G1618,"-",""))-1),"."," ",(LEN(SUBSTITUTE(SUBSTITUTE($G1618,"-"," ",LEN($G1618)-LEN(SUBSTITUTE($G1618,"-",""))),"-"," ",LEN($G1618)-LEN(SUBSTITUTE($G1618,"-",""))-1))-LEN(SUBSTITUTE(SUBSTITUTE(SUBSTITUTE($G1618,"-"," ",LEN($G1618)-LEN(SUBSTITUTE($G1618,"-",""))),"-"," ",LEN($G1618)-LEN(SUBSTITUTE($G1618,"-",""))-1),".",""))))),$G1618)))</f>
        <v/>
      </c>
    </row>
    <row r="1619">
      <c r="A1619" s="58" t="n"/>
      <c r="B1619" s="58">
        <f>IF($H1619="","",LEFT($H1619,FIND(" ",$H1619&amp;" ")-1))</f>
        <v/>
      </c>
      <c r="C1619" s="58">
        <f>IF($H1619="","",IFERROR(MID($H1619&amp;" ",FIND("|",SUBSTITUTE($H1619&amp;" "," ","|",1))+1,FIND("|",SUBSTITUTE($H1619&amp;" "," ","|",2))-FIND("|",SUBSTITUTE($H1619&amp;" "," ","|",1))-1),""))</f>
        <v/>
      </c>
      <c r="D1619" s="58">
        <f>IF($H1619="","",IFERROR(MID($H1619&amp;" ",FIND("|",SUBSTITUTE($H1619&amp;" "," ","|",2))+1,FIND("|",SUBSTITUTE($H1619&amp;" "," ","|",3))-FIND("|",SUBSTITUTE($H1619&amp;" "," ","|",2))-1),""))</f>
        <v/>
      </c>
      <c r="E1619" s="58">
        <f>IF($H1619="","",IFERROR(MID($H1619&amp;" ",FIND("|",SUBSTITUTE($H1619&amp;" "," ","|",3))+1,FIND("|",SUBSTITUTE($H1619&amp;" "," ","|",4))-FIND("|",SUBSTITUTE($H1619&amp;" "," ","|",3))-1),""))</f>
        <v/>
      </c>
      <c r="F1619" s="59">
        <f>IF($H1619="","",IFERROR(VALUE(IFERROR(MID($H1619&amp;" ",FIND("|",SUBSTITUTE($H1619&amp;" "," ","|",4))+1,FIND("|",SUBSTITUTE($H1619&amp;" "," ","|",5))-FIND("|",SUBSTITUTE($H1619&amp;" "," ","|",4))-1),""))/86400+25569+9/24,""))</f>
        <v/>
      </c>
      <c r="G1619" s="58">
        <f>TRIM(SUBSTITUTE(SUBSTITUTE(SUBSTITUTE($A1619,CHAR(9)," ")," "," "),CHAR(13),""))</f>
        <v/>
      </c>
      <c r="H1619" s="58">
        <f>IF($G1619="","",IF(ISNUMBER(FIND(" ",$G1619)),$G1619,IFERROR(IF((LEN(SUBSTITUTE(SUBSTITUTE($G1619,"-"," ",LEN($G1619)-LEN(SUBSTITUTE($G1619,"-",""))),"-"," ",LEN($G1619)-LEN(SUBSTITUTE($G1619,"-",""))-1))-LEN(SUBSTITUTE(SUBSTITUTE(SUBSTITUTE($G1619,"-"," ",LEN($G1619)-LEN(SUBSTITUTE($G1619,"-",""))),"-"," ",LEN($G1619)-LEN(SUBSTITUTE($G1619,"-",""))-1),".","")))=0,SUBSTITUTE(SUBSTITUTE($G1619,"-"," ",LEN($G1619)-LEN(SUBSTITUTE($G1619,"-",""))),"-"," ",LEN($G1619)-LEN(SUBSTITUTE($G1619,"-",""))-1),SUBSTITUTE(SUBSTITUTE(SUBSTITUTE($G1619,"-"," ",LEN($G1619)-LEN(SUBSTITUTE($G1619,"-",""))),"-"," ",LEN($G1619)-LEN(SUBSTITUTE($G1619,"-",""))-1),"."," ",(LEN(SUBSTITUTE(SUBSTITUTE($G1619,"-"," ",LEN($G1619)-LEN(SUBSTITUTE($G1619,"-",""))),"-"," ",LEN($G1619)-LEN(SUBSTITUTE($G1619,"-",""))-1))-LEN(SUBSTITUTE(SUBSTITUTE(SUBSTITUTE($G1619,"-"," ",LEN($G1619)-LEN(SUBSTITUTE($G1619,"-",""))),"-"," ",LEN($G1619)-LEN(SUBSTITUTE($G1619,"-",""))-1),".",""))))),$G1619)))</f>
        <v/>
      </c>
    </row>
    <row r="1620">
      <c r="A1620" s="58" t="n"/>
      <c r="B1620" s="58">
        <f>IF($H1620="","",LEFT($H1620,FIND(" ",$H1620&amp;" ")-1))</f>
        <v/>
      </c>
      <c r="C1620" s="58">
        <f>IF($H1620="","",IFERROR(MID($H1620&amp;" ",FIND("|",SUBSTITUTE($H1620&amp;" "," ","|",1))+1,FIND("|",SUBSTITUTE($H1620&amp;" "," ","|",2))-FIND("|",SUBSTITUTE($H1620&amp;" "," ","|",1))-1),""))</f>
        <v/>
      </c>
      <c r="D1620" s="58">
        <f>IF($H1620="","",IFERROR(MID($H1620&amp;" ",FIND("|",SUBSTITUTE($H1620&amp;" "," ","|",2))+1,FIND("|",SUBSTITUTE($H1620&amp;" "," ","|",3))-FIND("|",SUBSTITUTE($H1620&amp;" "," ","|",2))-1),""))</f>
        <v/>
      </c>
      <c r="E1620" s="58">
        <f>IF($H1620="","",IFERROR(MID($H1620&amp;" ",FIND("|",SUBSTITUTE($H1620&amp;" "," ","|",3))+1,FIND("|",SUBSTITUTE($H1620&amp;" "," ","|",4))-FIND("|",SUBSTITUTE($H1620&amp;" "," ","|",3))-1),""))</f>
        <v/>
      </c>
      <c r="F1620" s="59">
        <f>IF($H1620="","",IFERROR(VALUE(IFERROR(MID($H1620&amp;" ",FIND("|",SUBSTITUTE($H1620&amp;" "," ","|",4))+1,FIND("|",SUBSTITUTE($H1620&amp;" "," ","|",5))-FIND("|",SUBSTITUTE($H1620&amp;" "," ","|",4))-1),""))/86400+25569+9/24,""))</f>
        <v/>
      </c>
      <c r="G1620" s="58">
        <f>TRIM(SUBSTITUTE(SUBSTITUTE(SUBSTITUTE($A1620,CHAR(9)," ")," "," "),CHAR(13),""))</f>
        <v/>
      </c>
      <c r="H1620" s="58">
        <f>IF($G1620="","",IF(ISNUMBER(FIND(" ",$G1620)),$G1620,IFERROR(IF((LEN(SUBSTITUTE(SUBSTITUTE($G1620,"-"," ",LEN($G1620)-LEN(SUBSTITUTE($G1620,"-",""))),"-"," ",LEN($G1620)-LEN(SUBSTITUTE($G1620,"-",""))-1))-LEN(SUBSTITUTE(SUBSTITUTE(SUBSTITUTE($G1620,"-"," ",LEN($G1620)-LEN(SUBSTITUTE($G1620,"-",""))),"-"," ",LEN($G1620)-LEN(SUBSTITUTE($G1620,"-",""))-1),".","")))=0,SUBSTITUTE(SUBSTITUTE($G1620,"-"," ",LEN($G1620)-LEN(SUBSTITUTE($G1620,"-",""))),"-"," ",LEN($G1620)-LEN(SUBSTITUTE($G1620,"-",""))-1),SUBSTITUTE(SUBSTITUTE(SUBSTITUTE($G1620,"-"," ",LEN($G1620)-LEN(SUBSTITUTE($G1620,"-",""))),"-"," ",LEN($G1620)-LEN(SUBSTITUTE($G1620,"-",""))-1),"."," ",(LEN(SUBSTITUTE(SUBSTITUTE($G1620,"-"," ",LEN($G1620)-LEN(SUBSTITUTE($G1620,"-",""))),"-"," ",LEN($G1620)-LEN(SUBSTITUTE($G1620,"-",""))-1))-LEN(SUBSTITUTE(SUBSTITUTE(SUBSTITUTE($G1620,"-"," ",LEN($G1620)-LEN(SUBSTITUTE($G1620,"-",""))),"-"," ",LEN($G1620)-LEN(SUBSTITUTE($G1620,"-",""))-1),".",""))))),$G1620)))</f>
        <v/>
      </c>
    </row>
    <row r="1621">
      <c r="A1621" s="58" t="n"/>
      <c r="B1621" s="58">
        <f>IF($H1621="","",LEFT($H1621,FIND(" ",$H1621&amp;" ")-1))</f>
        <v/>
      </c>
      <c r="C1621" s="58">
        <f>IF($H1621="","",IFERROR(MID($H1621&amp;" ",FIND("|",SUBSTITUTE($H1621&amp;" "," ","|",1))+1,FIND("|",SUBSTITUTE($H1621&amp;" "," ","|",2))-FIND("|",SUBSTITUTE($H1621&amp;" "," ","|",1))-1),""))</f>
        <v/>
      </c>
      <c r="D1621" s="58">
        <f>IF($H1621="","",IFERROR(MID($H1621&amp;" ",FIND("|",SUBSTITUTE($H1621&amp;" "," ","|",2))+1,FIND("|",SUBSTITUTE($H1621&amp;" "," ","|",3))-FIND("|",SUBSTITUTE($H1621&amp;" "," ","|",2))-1),""))</f>
        <v/>
      </c>
      <c r="E1621" s="58">
        <f>IF($H1621="","",IFERROR(MID($H1621&amp;" ",FIND("|",SUBSTITUTE($H1621&amp;" "," ","|",3))+1,FIND("|",SUBSTITUTE($H1621&amp;" "," ","|",4))-FIND("|",SUBSTITUTE($H1621&amp;" "," ","|",3))-1),""))</f>
        <v/>
      </c>
      <c r="F1621" s="59">
        <f>IF($H1621="","",IFERROR(VALUE(IFERROR(MID($H1621&amp;" ",FIND("|",SUBSTITUTE($H1621&amp;" "," ","|",4))+1,FIND("|",SUBSTITUTE($H1621&amp;" "," ","|",5))-FIND("|",SUBSTITUTE($H1621&amp;" "," ","|",4))-1),""))/86400+25569+9/24,""))</f>
        <v/>
      </c>
      <c r="G1621" s="58">
        <f>TRIM(SUBSTITUTE(SUBSTITUTE(SUBSTITUTE($A1621,CHAR(9)," ")," "," "),CHAR(13),""))</f>
        <v/>
      </c>
      <c r="H1621" s="58">
        <f>IF($G1621="","",IF(ISNUMBER(FIND(" ",$G1621)),$G1621,IFERROR(IF((LEN(SUBSTITUTE(SUBSTITUTE($G1621,"-"," ",LEN($G1621)-LEN(SUBSTITUTE($G1621,"-",""))),"-"," ",LEN($G1621)-LEN(SUBSTITUTE($G1621,"-",""))-1))-LEN(SUBSTITUTE(SUBSTITUTE(SUBSTITUTE($G1621,"-"," ",LEN($G1621)-LEN(SUBSTITUTE($G1621,"-",""))),"-"," ",LEN($G1621)-LEN(SUBSTITUTE($G1621,"-",""))-1),".","")))=0,SUBSTITUTE(SUBSTITUTE($G1621,"-"," ",LEN($G1621)-LEN(SUBSTITUTE($G1621,"-",""))),"-"," ",LEN($G1621)-LEN(SUBSTITUTE($G1621,"-",""))-1),SUBSTITUTE(SUBSTITUTE(SUBSTITUTE($G1621,"-"," ",LEN($G1621)-LEN(SUBSTITUTE($G1621,"-",""))),"-"," ",LEN($G1621)-LEN(SUBSTITUTE($G1621,"-",""))-1),"."," ",(LEN(SUBSTITUTE(SUBSTITUTE($G1621,"-"," ",LEN($G1621)-LEN(SUBSTITUTE($G1621,"-",""))),"-"," ",LEN($G1621)-LEN(SUBSTITUTE($G1621,"-",""))-1))-LEN(SUBSTITUTE(SUBSTITUTE(SUBSTITUTE($G1621,"-"," ",LEN($G1621)-LEN(SUBSTITUTE($G1621,"-",""))),"-"," ",LEN($G1621)-LEN(SUBSTITUTE($G1621,"-",""))-1),".",""))))),$G1621)))</f>
        <v/>
      </c>
    </row>
    <row r="1622">
      <c r="A1622" s="58" t="n"/>
      <c r="B1622" s="58">
        <f>IF($H1622="","",LEFT($H1622,FIND(" ",$H1622&amp;" ")-1))</f>
        <v/>
      </c>
      <c r="C1622" s="58">
        <f>IF($H1622="","",IFERROR(MID($H1622&amp;" ",FIND("|",SUBSTITUTE($H1622&amp;" "," ","|",1))+1,FIND("|",SUBSTITUTE($H1622&amp;" "," ","|",2))-FIND("|",SUBSTITUTE($H1622&amp;" "," ","|",1))-1),""))</f>
        <v/>
      </c>
      <c r="D1622" s="58">
        <f>IF($H1622="","",IFERROR(MID($H1622&amp;" ",FIND("|",SUBSTITUTE($H1622&amp;" "," ","|",2))+1,FIND("|",SUBSTITUTE($H1622&amp;" "," ","|",3))-FIND("|",SUBSTITUTE($H1622&amp;" "," ","|",2))-1),""))</f>
        <v/>
      </c>
      <c r="E1622" s="58">
        <f>IF($H1622="","",IFERROR(MID($H1622&amp;" ",FIND("|",SUBSTITUTE($H1622&amp;" "," ","|",3))+1,FIND("|",SUBSTITUTE($H1622&amp;" "," ","|",4))-FIND("|",SUBSTITUTE($H1622&amp;" "," ","|",3))-1),""))</f>
        <v/>
      </c>
      <c r="F1622" s="59">
        <f>IF($H1622="","",IFERROR(VALUE(IFERROR(MID($H1622&amp;" ",FIND("|",SUBSTITUTE($H1622&amp;" "," ","|",4))+1,FIND("|",SUBSTITUTE($H1622&amp;" "," ","|",5))-FIND("|",SUBSTITUTE($H1622&amp;" "," ","|",4))-1),""))/86400+25569+9/24,""))</f>
        <v/>
      </c>
      <c r="G1622" s="58">
        <f>TRIM(SUBSTITUTE(SUBSTITUTE(SUBSTITUTE($A1622,CHAR(9)," ")," "," "),CHAR(13),""))</f>
        <v/>
      </c>
      <c r="H1622" s="58">
        <f>IF($G1622="","",IF(ISNUMBER(FIND(" ",$G1622)),$G1622,IFERROR(IF((LEN(SUBSTITUTE(SUBSTITUTE($G1622,"-"," ",LEN($G1622)-LEN(SUBSTITUTE($G1622,"-",""))),"-"," ",LEN($G1622)-LEN(SUBSTITUTE($G1622,"-",""))-1))-LEN(SUBSTITUTE(SUBSTITUTE(SUBSTITUTE($G1622,"-"," ",LEN($G1622)-LEN(SUBSTITUTE($G1622,"-",""))),"-"," ",LEN($G1622)-LEN(SUBSTITUTE($G1622,"-",""))-1),".","")))=0,SUBSTITUTE(SUBSTITUTE($G1622,"-"," ",LEN($G1622)-LEN(SUBSTITUTE($G1622,"-",""))),"-"," ",LEN($G1622)-LEN(SUBSTITUTE($G1622,"-",""))-1),SUBSTITUTE(SUBSTITUTE(SUBSTITUTE($G1622,"-"," ",LEN($G1622)-LEN(SUBSTITUTE($G1622,"-",""))),"-"," ",LEN($G1622)-LEN(SUBSTITUTE($G1622,"-",""))-1),"."," ",(LEN(SUBSTITUTE(SUBSTITUTE($G1622,"-"," ",LEN($G1622)-LEN(SUBSTITUTE($G1622,"-",""))),"-"," ",LEN($G1622)-LEN(SUBSTITUTE($G1622,"-",""))-1))-LEN(SUBSTITUTE(SUBSTITUTE(SUBSTITUTE($G1622,"-"," ",LEN($G1622)-LEN(SUBSTITUTE($G1622,"-",""))),"-"," ",LEN($G1622)-LEN(SUBSTITUTE($G1622,"-",""))-1),".",""))))),$G1622)))</f>
        <v/>
      </c>
    </row>
    <row r="1623">
      <c r="A1623" s="58" t="n"/>
      <c r="B1623" s="58">
        <f>IF($H1623="","",LEFT($H1623,FIND(" ",$H1623&amp;" ")-1))</f>
        <v/>
      </c>
      <c r="C1623" s="58">
        <f>IF($H1623="","",IFERROR(MID($H1623&amp;" ",FIND("|",SUBSTITUTE($H1623&amp;" "," ","|",1))+1,FIND("|",SUBSTITUTE($H1623&amp;" "," ","|",2))-FIND("|",SUBSTITUTE($H1623&amp;" "," ","|",1))-1),""))</f>
        <v/>
      </c>
      <c r="D1623" s="58">
        <f>IF($H1623="","",IFERROR(MID($H1623&amp;" ",FIND("|",SUBSTITUTE($H1623&amp;" "," ","|",2))+1,FIND("|",SUBSTITUTE($H1623&amp;" "," ","|",3))-FIND("|",SUBSTITUTE($H1623&amp;" "," ","|",2))-1),""))</f>
        <v/>
      </c>
      <c r="E1623" s="58">
        <f>IF($H1623="","",IFERROR(MID($H1623&amp;" ",FIND("|",SUBSTITUTE($H1623&amp;" "," ","|",3))+1,FIND("|",SUBSTITUTE($H1623&amp;" "," ","|",4))-FIND("|",SUBSTITUTE($H1623&amp;" "," ","|",3))-1),""))</f>
        <v/>
      </c>
      <c r="F1623" s="59">
        <f>IF($H1623="","",IFERROR(VALUE(IFERROR(MID($H1623&amp;" ",FIND("|",SUBSTITUTE($H1623&amp;" "," ","|",4))+1,FIND("|",SUBSTITUTE($H1623&amp;" "," ","|",5))-FIND("|",SUBSTITUTE($H1623&amp;" "," ","|",4))-1),""))/86400+25569+9/24,""))</f>
        <v/>
      </c>
      <c r="G1623" s="58">
        <f>TRIM(SUBSTITUTE(SUBSTITUTE(SUBSTITUTE($A1623,CHAR(9)," ")," "," "),CHAR(13),""))</f>
        <v/>
      </c>
      <c r="H1623" s="58">
        <f>IF($G1623="","",IF(ISNUMBER(FIND(" ",$G1623)),$G1623,IFERROR(IF((LEN(SUBSTITUTE(SUBSTITUTE($G1623,"-"," ",LEN($G1623)-LEN(SUBSTITUTE($G1623,"-",""))),"-"," ",LEN($G1623)-LEN(SUBSTITUTE($G1623,"-",""))-1))-LEN(SUBSTITUTE(SUBSTITUTE(SUBSTITUTE($G1623,"-"," ",LEN($G1623)-LEN(SUBSTITUTE($G1623,"-",""))),"-"," ",LEN($G1623)-LEN(SUBSTITUTE($G1623,"-",""))-1),".","")))=0,SUBSTITUTE(SUBSTITUTE($G1623,"-"," ",LEN($G1623)-LEN(SUBSTITUTE($G1623,"-",""))),"-"," ",LEN($G1623)-LEN(SUBSTITUTE($G1623,"-",""))-1),SUBSTITUTE(SUBSTITUTE(SUBSTITUTE($G1623,"-"," ",LEN($G1623)-LEN(SUBSTITUTE($G1623,"-",""))),"-"," ",LEN($G1623)-LEN(SUBSTITUTE($G1623,"-",""))-1),"."," ",(LEN(SUBSTITUTE(SUBSTITUTE($G1623,"-"," ",LEN($G1623)-LEN(SUBSTITUTE($G1623,"-",""))),"-"," ",LEN($G1623)-LEN(SUBSTITUTE($G1623,"-",""))-1))-LEN(SUBSTITUTE(SUBSTITUTE(SUBSTITUTE($G1623,"-"," ",LEN($G1623)-LEN(SUBSTITUTE($G1623,"-",""))),"-"," ",LEN($G1623)-LEN(SUBSTITUTE($G1623,"-",""))-1),".",""))))),$G1623)))</f>
        <v/>
      </c>
    </row>
    <row r="1624">
      <c r="A1624" s="58" t="n"/>
      <c r="B1624" s="58">
        <f>IF($H1624="","",LEFT($H1624,FIND(" ",$H1624&amp;" ")-1))</f>
        <v/>
      </c>
      <c r="C1624" s="58">
        <f>IF($H1624="","",IFERROR(MID($H1624&amp;" ",FIND("|",SUBSTITUTE($H1624&amp;" "," ","|",1))+1,FIND("|",SUBSTITUTE($H1624&amp;" "," ","|",2))-FIND("|",SUBSTITUTE($H1624&amp;" "," ","|",1))-1),""))</f>
        <v/>
      </c>
      <c r="D1624" s="58">
        <f>IF($H1624="","",IFERROR(MID($H1624&amp;" ",FIND("|",SUBSTITUTE($H1624&amp;" "," ","|",2))+1,FIND("|",SUBSTITUTE($H1624&amp;" "," ","|",3))-FIND("|",SUBSTITUTE($H1624&amp;" "," ","|",2))-1),""))</f>
        <v/>
      </c>
      <c r="E1624" s="58">
        <f>IF($H1624="","",IFERROR(MID($H1624&amp;" ",FIND("|",SUBSTITUTE($H1624&amp;" "," ","|",3))+1,FIND("|",SUBSTITUTE($H1624&amp;" "," ","|",4))-FIND("|",SUBSTITUTE($H1624&amp;" "," ","|",3))-1),""))</f>
        <v/>
      </c>
      <c r="F1624" s="59">
        <f>IF($H1624="","",IFERROR(VALUE(IFERROR(MID($H1624&amp;" ",FIND("|",SUBSTITUTE($H1624&amp;" "," ","|",4))+1,FIND("|",SUBSTITUTE($H1624&amp;" "," ","|",5))-FIND("|",SUBSTITUTE($H1624&amp;" "," ","|",4))-1),""))/86400+25569+9/24,""))</f>
        <v/>
      </c>
      <c r="G1624" s="58">
        <f>TRIM(SUBSTITUTE(SUBSTITUTE(SUBSTITUTE($A1624,CHAR(9)," ")," "," "),CHAR(13),""))</f>
        <v/>
      </c>
      <c r="H1624" s="58">
        <f>IF($G1624="","",IF(ISNUMBER(FIND(" ",$G1624)),$G1624,IFERROR(IF((LEN(SUBSTITUTE(SUBSTITUTE($G1624,"-"," ",LEN($G1624)-LEN(SUBSTITUTE($G1624,"-",""))),"-"," ",LEN($G1624)-LEN(SUBSTITUTE($G1624,"-",""))-1))-LEN(SUBSTITUTE(SUBSTITUTE(SUBSTITUTE($G1624,"-"," ",LEN($G1624)-LEN(SUBSTITUTE($G1624,"-",""))),"-"," ",LEN($G1624)-LEN(SUBSTITUTE($G1624,"-",""))-1),".","")))=0,SUBSTITUTE(SUBSTITUTE($G1624,"-"," ",LEN($G1624)-LEN(SUBSTITUTE($G1624,"-",""))),"-"," ",LEN($G1624)-LEN(SUBSTITUTE($G1624,"-",""))-1),SUBSTITUTE(SUBSTITUTE(SUBSTITUTE($G1624,"-"," ",LEN($G1624)-LEN(SUBSTITUTE($G1624,"-",""))),"-"," ",LEN($G1624)-LEN(SUBSTITUTE($G1624,"-",""))-1),"."," ",(LEN(SUBSTITUTE(SUBSTITUTE($G1624,"-"," ",LEN($G1624)-LEN(SUBSTITUTE($G1624,"-",""))),"-"," ",LEN($G1624)-LEN(SUBSTITUTE($G1624,"-",""))-1))-LEN(SUBSTITUTE(SUBSTITUTE(SUBSTITUTE($G1624,"-"," ",LEN($G1624)-LEN(SUBSTITUTE($G1624,"-",""))),"-"," ",LEN($G1624)-LEN(SUBSTITUTE($G1624,"-",""))-1),".",""))))),$G1624)))</f>
        <v/>
      </c>
    </row>
    <row r="1625">
      <c r="A1625" s="58" t="n"/>
      <c r="B1625" s="58">
        <f>IF($H1625="","",LEFT($H1625,FIND(" ",$H1625&amp;" ")-1))</f>
        <v/>
      </c>
      <c r="C1625" s="58">
        <f>IF($H1625="","",IFERROR(MID($H1625&amp;" ",FIND("|",SUBSTITUTE($H1625&amp;" "," ","|",1))+1,FIND("|",SUBSTITUTE($H1625&amp;" "," ","|",2))-FIND("|",SUBSTITUTE($H1625&amp;" "," ","|",1))-1),""))</f>
        <v/>
      </c>
      <c r="D1625" s="58">
        <f>IF($H1625="","",IFERROR(MID($H1625&amp;" ",FIND("|",SUBSTITUTE($H1625&amp;" "," ","|",2))+1,FIND("|",SUBSTITUTE($H1625&amp;" "," ","|",3))-FIND("|",SUBSTITUTE($H1625&amp;" "," ","|",2))-1),""))</f>
        <v/>
      </c>
      <c r="E1625" s="58">
        <f>IF($H1625="","",IFERROR(MID($H1625&amp;" ",FIND("|",SUBSTITUTE($H1625&amp;" "," ","|",3))+1,FIND("|",SUBSTITUTE($H1625&amp;" "," ","|",4))-FIND("|",SUBSTITUTE($H1625&amp;" "," ","|",3))-1),""))</f>
        <v/>
      </c>
      <c r="F1625" s="59">
        <f>IF($H1625="","",IFERROR(VALUE(IFERROR(MID($H1625&amp;" ",FIND("|",SUBSTITUTE($H1625&amp;" "," ","|",4))+1,FIND("|",SUBSTITUTE($H1625&amp;" "," ","|",5))-FIND("|",SUBSTITUTE($H1625&amp;" "," ","|",4))-1),""))/86400+25569+9/24,""))</f>
        <v/>
      </c>
      <c r="G1625" s="58">
        <f>TRIM(SUBSTITUTE(SUBSTITUTE(SUBSTITUTE($A1625,CHAR(9)," ")," "," "),CHAR(13),""))</f>
        <v/>
      </c>
      <c r="H1625" s="58">
        <f>IF($G1625="","",IF(ISNUMBER(FIND(" ",$G1625)),$G1625,IFERROR(IF((LEN(SUBSTITUTE(SUBSTITUTE($G1625,"-"," ",LEN($G1625)-LEN(SUBSTITUTE($G1625,"-",""))),"-"," ",LEN($G1625)-LEN(SUBSTITUTE($G1625,"-",""))-1))-LEN(SUBSTITUTE(SUBSTITUTE(SUBSTITUTE($G1625,"-"," ",LEN($G1625)-LEN(SUBSTITUTE($G1625,"-",""))),"-"," ",LEN($G1625)-LEN(SUBSTITUTE($G1625,"-",""))-1),".","")))=0,SUBSTITUTE(SUBSTITUTE($G1625,"-"," ",LEN($G1625)-LEN(SUBSTITUTE($G1625,"-",""))),"-"," ",LEN($G1625)-LEN(SUBSTITUTE($G1625,"-",""))-1),SUBSTITUTE(SUBSTITUTE(SUBSTITUTE($G1625,"-"," ",LEN($G1625)-LEN(SUBSTITUTE($G1625,"-",""))),"-"," ",LEN($G1625)-LEN(SUBSTITUTE($G1625,"-",""))-1),"."," ",(LEN(SUBSTITUTE(SUBSTITUTE($G1625,"-"," ",LEN($G1625)-LEN(SUBSTITUTE($G1625,"-",""))),"-"," ",LEN($G1625)-LEN(SUBSTITUTE($G1625,"-",""))-1))-LEN(SUBSTITUTE(SUBSTITUTE(SUBSTITUTE($G1625,"-"," ",LEN($G1625)-LEN(SUBSTITUTE($G1625,"-",""))),"-"," ",LEN($G1625)-LEN(SUBSTITUTE($G1625,"-",""))-1),".",""))))),$G1625)))</f>
        <v/>
      </c>
    </row>
    <row r="1626">
      <c r="A1626" s="58" t="n"/>
      <c r="B1626" s="58">
        <f>IF($H1626="","",LEFT($H1626,FIND(" ",$H1626&amp;" ")-1))</f>
        <v/>
      </c>
      <c r="C1626" s="58">
        <f>IF($H1626="","",IFERROR(MID($H1626&amp;" ",FIND("|",SUBSTITUTE($H1626&amp;" "," ","|",1))+1,FIND("|",SUBSTITUTE($H1626&amp;" "," ","|",2))-FIND("|",SUBSTITUTE($H1626&amp;" "," ","|",1))-1),""))</f>
        <v/>
      </c>
      <c r="D1626" s="58">
        <f>IF($H1626="","",IFERROR(MID($H1626&amp;" ",FIND("|",SUBSTITUTE($H1626&amp;" "," ","|",2))+1,FIND("|",SUBSTITUTE($H1626&amp;" "," ","|",3))-FIND("|",SUBSTITUTE($H1626&amp;" "," ","|",2))-1),""))</f>
        <v/>
      </c>
      <c r="E1626" s="58">
        <f>IF($H1626="","",IFERROR(MID($H1626&amp;" ",FIND("|",SUBSTITUTE($H1626&amp;" "," ","|",3))+1,FIND("|",SUBSTITUTE($H1626&amp;" "," ","|",4))-FIND("|",SUBSTITUTE($H1626&amp;" "," ","|",3))-1),""))</f>
        <v/>
      </c>
      <c r="F1626" s="59">
        <f>IF($H1626="","",IFERROR(VALUE(IFERROR(MID($H1626&amp;" ",FIND("|",SUBSTITUTE($H1626&amp;" "," ","|",4))+1,FIND("|",SUBSTITUTE($H1626&amp;" "," ","|",5))-FIND("|",SUBSTITUTE($H1626&amp;" "," ","|",4))-1),""))/86400+25569+9/24,""))</f>
        <v/>
      </c>
      <c r="G1626" s="58">
        <f>TRIM(SUBSTITUTE(SUBSTITUTE(SUBSTITUTE($A1626,CHAR(9)," ")," "," "),CHAR(13),""))</f>
        <v/>
      </c>
      <c r="H1626" s="58">
        <f>IF($G1626="","",IF(ISNUMBER(FIND(" ",$G1626)),$G1626,IFERROR(IF((LEN(SUBSTITUTE(SUBSTITUTE($G1626,"-"," ",LEN($G1626)-LEN(SUBSTITUTE($G1626,"-",""))),"-"," ",LEN($G1626)-LEN(SUBSTITUTE($G1626,"-",""))-1))-LEN(SUBSTITUTE(SUBSTITUTE(SUBSTITUTE($G1626,"-"," ",LEN($G1626)-LEN(SUBSTITUTE($G1626,"-",""))),"-"," ",LEN($G1626)-LEN(SUBSTITUTE($G1626,"-",""))-1),".","")))=0,SUBSTITUTE(SUBSTITUTE($G1626,"-"," ",LEN($G1626)-LEN(SUBSTITUTE($G1626,"-",""))),"-"," ",LEN($G1626)-LEN(SUBSTITUTE($G1626,"-",""))-1),SUBSTITUTE(SUBSTITUTE(SUBSTITUTE($G1626,"-"," ",LEN($G1626)-LEN(SUBSTITUTE($G1626,"-",""))),"-"," ",LEN($G1626)-LEN(SUBSTITUTE($G1626,"-",""))-1),"."," ",(LEN(SUBSTITUTE(SUBSTITUTE($G1626,"-"," ",LEN($G1626)-LEN(SUBSTITUTE($G1626,"-",""))),"-"," ",LEN($G1626)-LEN(SUBSTITUTE($G1626,"-",""))-1))-LEN(SUBSTITUTE(SUBSTITUTE(SUBSTITUTE($G1626,"-"," ",LEN($G1626)-LEN(SUBSTITUTE($G1626,"-",""))),"-"," ",LEN($G1626)-LEN(SUBSTITUTE($G1626,"-",""))-1),".",""))))),$G1626)))</f>
        <v/>
      </c>
    </row>
    <row r="1627">
      <c r="A1627" s="58" t="n"/>
      <c r="B1627" s="58">
        <f>IF($H1627="","",LEFT($H1627,FIND(" ",$H1627&amp;" ")-1))</f>
        <v/>
      </c>
      <c r="C1627" s="58">
        <f>IF($H1627="","",IFERROR(MID($H1627&amp;" ",FIND("|",SUBSTITUTE($H1627&amp;" "," ","|",1))+1,FIND("|",SUBSTITUTE($H1627&amp;" "," ","|",2))-FIND("|",SUBSTITUTE($H1627&amp;" "," ","|",1))-1),""))</f>
        <v/>
      </c>
      <c r="D1627" s="58">
        <f>IF($H1627="","",IFERROR(MID($H1627&amp;" ",FIND("|",SUBSTITUTE($H1627&amp;" "," ","|",2))+1,FIND("|",SUBSTITUTE($H1627&amp;" "," ","|",3))-FIND("|",SUBSTITUTE($H1627&amp;" "," ","|",2))-1),""))</f>
        <v/>
      </c>
      <c r="E1627" s="58">
        <f>IF($H1627="","",IFERROR(MID($H1627&amp;" ",FIND("|",SUBSTITUTE($H1627&amp;" "," ","|",3))+1,FIND("|",SUBSTITUTE($H1627&amp;" "," ","|",4))-FIND("|",SUBSTITUTE($H1627&amp;" "," ","|",3))-1),""))</f>
        <v/>
      </c>
      <c r="F1627" s="59">
        <f>IF($H1627="","",IFERROR(VALUE(IFERROR(MID($H1627&amp;" ",FIND("|",SUBSTITUTE($H1627&amp;" "," ","|",4))+1,FIND("|",SUBSTITUTE($H1627&amp;" "," ","|",5))-FIND("|",SUBSTITUTE($H1627&amp;" "," ","|",4))-1),""))/86400+25569+9/24,""))</f>
        <v/>
      </c>
      <c r="G1627" s="58">
        <f>TRIM(SUBSTITUTE(SUBSTITUTE(SUBSTITUTE($A1627,CHAR(9)," ")," "," "),CHAR(13),""))</f>
        <v/>
      </c>
      <c r="H1627" s="58">
        <f>IF($G1627="","",IF(ISNUMBER(FIND(" ",$G1627)),$G1627,IFERROR(IF((LEN(SUBSTITUTE(SUBSTITUTE($G1627,"-"," ",LEN($G1627)-LEN(SUBSTITUTE($G1627,"-",""))),"-"," ",LEN($G1627)-LEN(SUBSTITUTE($G1627,"-",""))-1))-LEN(SUBSTITUTE(SUBSTITUTE(SUBSTITUTE($G1627,"-"," ",LEN($G1627)-LEN(SUBSTITUTE($G1627,"-",""))),"-"," ",LEN($G1627)-LEN(SUBSTITUTE($G1627,"-",""))-1),".","")))=0,SUBSTITUTE(SUBSTITUTE($G1627,"-"," ",LEN($G1627)-LEN(SUBSTITUTE($G1627,"-",""))),"-"," ",LEN($G1627)-LEN(SUBSTITUTE($G1627,"-",""))-1),SUBSTITUTE(SUBSTITUTE(SUBSTITUTE($G1627,"-"," ",LEN($G1627)-LEN(SUBSTITUTE($G1627,"-",""))),"-"," ",LEN($G1627)-LEN(SUBSTITUTE($G1627,"-",""))-1),"."," ",(LEN(SUBSTITUTE(SUBSTITUTE($G1627,"-"," ",LEN($G1627)-LEN(SUBSTITUTE($G1627,"-",""))),"-"," ",LEN($G1627)-LEN(SUBSTITUTE($G1627,"-",""))-1))-LEN(SUBSTITUTE(SUBSTITUTE(SUBSTITUTE($G1627,"-"," ",LEN($G1627)-LEN(SUBSTITUTE($G1627,"-",""))),"-"," ",LEN($G1627)-LEN(SUBSTITUTE($G1627,"-",""))-1),".",""))))),$G1627)))</f>
        <v/>
      </c>
    </row>
    <row r="1628">
      <c r="A1628" s="58" t="n"/>
      <c r="B1628" s="58">
        <f>IF($H1628="","",LEFT($H1628,FIND(" ",$H1628&amp;" ")-1))</f>
        <v/>
      </c>
      <c r="C1628" s="58">
        <f>IF($H1628="","",IFERROR(MID($H1628&amp;" ",FIND("|",SUBSTITUTE($H1628&amp;" "," ","|",1))+1,FIND("|",SUBSTITUTE($H1628&amp;" "," ","|",2))-FIND("|",SUBSTITUTE($H1628&amp;" "," ","|",1))-1),""))</f>
        <v/>
      </c>
      <c r="D1628" s="58">
        <f>IF($H1628="","",IFERROR(MID($H1628&amp;" ",FIND("|",SUBSTITUTE($H1628&amp;" "," ","|",2))+1,FIND("|",SUBSTITUTE($H1628&amp;" "," ","|",3))-FIND("|",SUBSTITUTE($H1628&amp;" "," ","|",2))-1),""))</f>
        <v/>
      </c>
      <c r="E1628" s="58">
        <f>IF($H1628="","",IFERROR(MID($H1628&amp;" ",FIND("|",SUBSTITUTE($H1628&amp;" "," ","|",3))+1,FIND("|",SUBSTITUTE($H1628&amp;" "," ","|",4))-FIND("|",SUBSTITUTE($H1628&amp;" "," ","|",3))-1),""))</f>
        <v/>
      </c>
      <c r="F1628" s="59">
        <f>IF($H1628="","",IFERROR(VALUE(IFERROR(MID($H1628&amp;" ",FIND("|",SUBSTITUTE($H1628&amp;" "," ","|",4))+1,FIND("|",SUBSTITUTE($H1628&amp;" "," ","|",5))-FIND("|",SUBSTITUTE($H1628&amp;" "," ","|",4))-1),""))/86400+25569+9/24,""))</f>
        <v/>
      </c>
      <c r="G1628" s="58">
        <f>TRIM(SUBSTITUTE(SUBSTITUTE(SUBSTITUTE($A1628,CHAR(9)," ")," "," "),CHAR(13),""))</f>
        <v/>
      </c>
      <c r="H1628" s="58">
        <f>IF($G1628="","",IF(ISNUMBER(FIND(" ",$G1628)),$G1628,IFERROR(IF((LEN(SUBSTITUTE(SUBSTITUTE($G1628,"-"," ",LEN($G1628)-LEN(SUBSTITUTE($G1628,"-",""))),"-"," ",LEN($G1628)-LEN(SUBSTITUTE($G1628,"-",""))-1))-LEN(SUBSTITUTE(SUBSTITUTE(SUBSTITUTE($G1628,"-"," ",LEN($G1628)-LEN(SUBSTITUTE($G1628,"-",""))),"-"," ",LEN($G1628)-LEN(SUBSTITUTE($G1628,"-",""))-1),".","")))=0,SUBSTITUTE(SUBSTITUTE($G1628,"-"," ",LEN($G1628)-LEN(SUBSTITUTE($G1628,"-",""))),"-"," ",LEN($G1628)-LEN(SUBSTITUTE($G1628,"-",""))-1),SUBSTITUTE(SUBSTITUTE(SUBSTITUTE($G1628,"-"," ",LEN($G1628)-LEN(SUBSTITUTE($G1628,"-",""))),"-"," ",LEN($G1628)-LEN(SUBSTITUTE($G1628,"-",""))-1),"."," ",(LEN(SUBSTITUTE(SUBSTITUTE($G1628,"-"," ",LEN($G1628)-LEN(SUBSTITUTE($G1628,"-",""))),"-"," ",LEN($G1628)-LEN(SUBSTITUTE($G1628,"-",""))-1))-LEN(SUBSTITUTE(SUBSTITUTE(SUBSTITUTE($G1628,"-"," ",LEN($G1628)-LEN(SUBSTITUTE($G1628,"-",""))),"-"," ",LEN($G1628)-LEN(SUBSTITUTE($G1628,"-",""))-1),".",""))))),$G1628)))</f>
        <v/>
      </c>
    </row>
    <row r="1629">
      <c r="A1629" s="58" t="n"/>
      <c r="B1629" s="58">
        <f>IF($H1629="","",LEFT($H1629,FIND(" ",$H1629&amp;" ")-1))</f>
        <v/>
      </c>
      <c r="C1629" s="58">
        <f>IF($H1629="","",IFERROR(MID($H1629&amp;" ",FIND("|",SUBSTITUTE($H1629&amp;" "," ","|",1))+1,FIND("|",SUBSTITUTE($H1629&amp;" "," ","|",2))-FIND("|",SUBSTITUTE($H1629&amp;" "," ","|",1))-1),""))</f>
        <v/>
      </c>
      <c r="D1629" s="58">
        <f>IF($H1629="","",IFERROR(MID($H1629&amp;" ",FIND("|",SUBSTITUTE($H1629&amp;" "," ","|",2))+1,FIND("|",SUBSTITUTE($H1629&amp;" "," ","|",3))-FIND("|",SUBSTITUTE($H1629&amp;" "," ","|",2))-1),""))</f>
        <v/>
      </c>
      <c r="E1629" s="58">
        <f>IF($H1629="","",IFERROR(MID($H1629&amp;" ",FIND("|",SUBSTITUTE($H1629&amp;" "," ","|",3))+1,FIND("|",SUBSTITUTE($H1629&amp;" "," ","|",4))-FIND("|",SUBSTITUTE($H1629&amp;" "," ","|",3))-1),""))</f>
        <v/>
      </c>
      <c r="F1629" s="59">
        <f>IF($H1629="","",IFERROR(VALUE(IFERROR(MID($H1629&amp;" ",FIND("|",SUBSTITUTE($H1629&amp;" "," ","|",4))+1,FIND("|",SUBSTITUTE($H1629&amp;" "," ","|",5))-FIND("|",SUBSTITUTE($H1629&amp;" "," ","|",4))-1),""))/86400+25569+9/24,""))</f>
        <v/>
      </c>
      <c r="G1629" s="58">
        <f>TRIM(SUBSTITUTE(SUBSTITUTE(SUBSTITUTE($A1629,CHAR(9)," ")," "," "),CHAR(13),""))</f>
        <v/>
      </c>
      <c r="H1629" s="58">
        <f>IF($G1629="","",IF(ISNUMBER(FIND(" ",$G1629)),$G1629,IFERROR(IF((LEN(SUBSTITUTE(SUBSTITUTE($G1629,"-"," ",LEN($G1629)-LEN(SUBSTITUTE($G1629,"-",""))),"-"," ",LEN($G1629)-LEN(SUBSTITUTE($G1629,"-",""))-1))-LEN(SUBSTITUTE(SUBSTITUTE(SUBSTITUTE($G1629,"-"," ",LEN($G1629)-LEN(SUBSTITUTE($G1629,"-",""))),"-"," ",LEN($G1629)-LEN(SUBSTITUTE($G1629,"-",""))-1),".","")))=0,SUBSTITUTE(SUBSTITUTE($G1629,"-"," ",LEN($G1629)-LEN(SUBSTITUTE($G1629,"-",""))),"-"," ",LEN($G1629)-LEN(SUBSTITUTE($G1629,"-",""))-1),SUBSTITUTE(SUBSTITUTE(SUBSTITUTE($G1629,"-"," ",LEN($G1629)-LEN(SUBSTITUTE($G1629,"-",""))),"-"," ",LEN($G1629)-LEN(SUBSTITUTE($G1629,"-",""))-1),"."," ",(LEN(SUBSTITUTE(SUBSTITUTE($G1629,"-"," ",LEN($G1629)-LEN(SUBSTITUTE($G1629,"-",""))),"-"," ",LEN($G1629)-LEN(SUBSTITUTE($G1629,"-",""))-1))-LEN(SUBSTITUTE(SUBSTITUTE(SUBSTITUTE($G1629,"-"," ",LEN($G1629)-LEN(SUBSTITUTE($G1629,"-",""))),"-"," ",LEN($G1629)-LEN(SUBSTITUTE($G1629,"-",""))-1),".",""))))),$G1629)))</f>
        <v/>
      </c>
    </row>
    <row r="1630">
      <c r="A1630" s="58" t="n"/>
      <c r="B1630" s="58">
        <f>IF($H1630="","",LEFT($H1630,FIND(" ",$H1630&amp;" ")-1))</f>
        <v/>
      </c>
      <c r="C1630" s="58">
        <f>IF($H1630="","",IFERROR(MID($H1630&amp;" ",FIND("|",SUBSTITUTE($H1630&amp;" "," ","|",1))+1,FIND("|",SUBSTITUTE($H1630&amp;" "," ","|",2))-FIND("|",SUBSTITUTE($H1630&amp;" "," ","|",1))-1),""))</f>
        <v/>
      </c>
      <c r="D1630" s="58">
        <f>IF($H1630="","",IFERROR(MID($H1630&amp;" ",FIND("|",SUBSTITUTE($H1630&amp;" "," ","|",2))+1,FIND("|",SUBSTITUTE($H1630&amp;" "," ","|",3))-FIND("|",SUBSTITUTE($H1630&amp;" "," ","|",2))-1),""))</f>
        <v/>
      </c>
      <c r="E1630" s="58">
        <f>IF($H1630="","",IFERROR(MID($H1630&amp;" ",FIND("|",SUBSTITUTE($H1630&amp;" "," ","|",3))+1,FIND("|",SUBSTITUTE($H1630&amp;" "," ","|",4))-FIND("|",SUBSTITUTE($H1630&amp;" "," ","|",3))-1),""))</f>
        <v/>
      </c>
      <c r="F1630" s="59">
        <f>IF($H1630="","",IFERROR(VALUE(IFERROR(MID($H1630&amp;" ",FIND("|",SUBSTITUTE($H1630&amp;" "," ","|",4))+1,FIND("|",SUBSTITUTE($H1630&amp;" "," ","|",5))-FIND("|",SUBSTITUTE($H1630&amp;" "," ","|",4))-1),""))/86400+25569+9/24,""))</f>
        <v/>
      </c>
      <c r="G1630" s="58">
        <f>TRIM(SUBSTITUTE(SUBSTITUTE(SUBSTITUTE($A1630,CHAR(9)," ")," "," "),CHAR(13),""))</f>
        <v/>
      </c>
      <c r="H1630" s="58">
        <f>IF($G1630="","",IF(ISNUMBER(FIND(" ",$G1630)),$G1630,IFERROR(IF((LEN(SUBSTITUTE(SUBSTITUTE($G1630,"-"," ",LEN($G1630)-LEN(SUBSTITUTE($G1630,"-",""))),"-"," ",LEN($G1630)-LEN(SUBSTITUTE($G1630,"-",""))-1))-LEN(SUBSTITUTE(SUBSTITUTE(SUBSTITUTE($G1630,"-"," ",LEN($G1630)-LEN(SUBSTITUTE($G1630,"-",""))),"-"," ",LEN($G1630)-LEN(SUBSTITUTE($G1630,"-",""))-1),".","")))=0,SUBSTITUTE(SUBSTITUTE($G1630,"-"," ",LEN($G1630)-LEN(SUBSTITUTE($G1630,"-",""))),"-"," ",LEN($G1630)-LEN(SUBSTITUTE($G1630,"-",""))-1),SUBSTITUTE(SUBSTITUTE(SUBSTITUTE($G1630,"-"," ",LEN($G1630)-LEN(SUBSTITUTE($G1630,"-",""))),"-"," ",LEN($G1630)-LEN(SUBSTITUTE($G1630,"-",""))-1),"."," ",(LEN(SUBSTITUTE(SUBSTITUTE($G1630,"-"," ",LEN($G1630)-LEN(SUBSTITUTE($G1630,"-",""))),"-"," ",LEN($G1630)-LEN(SUBSTITUTE($G1630,"-",""))-1))-LEN(SUBSTITUTE(SUBSTITUTE(SUBSTITUTE($G1630,"-"," ",LEN($G1630)-LEN(SUBSTITUTE($G1630,"-",""))),"-"," ",LEN($G1630)-LEN(SUBSTITUTE($G1630,"-",""))-1),".",""))))),$G1630)))</f>
        <v/>
      </c>
    </row>
    <row r="1631">
      <c r="A1631" s="58" t="n"/>
      <c r="B1631" s="58">
        <f>IF($H1631="","",LEFT($H1631,FIND(" ",$H1631&amp;" ")-1))</f>
        <v/>
      </c>
      <c r="C1631" s="58">
        <f>IF($H1631="","",IFERROR(MID($H1631&amp;" ",FIND("|",SUBSTITUTE($H1631&amp;" "," ","|",1))+1,FIND("|",SUBSTITUTE($H1631&amp;" "," ","|",2))-FIND("|",SUBSTITUTE($H1631&amp;" "," ","|",1))-1),""))</f>
        <v/>
      </c>
      <c r="D1631" s="58">
        <f>IF($H1631="","",IFERROR(MID($H1631&amp;" ",FIND("|",SUBSTITUTE($H1631&amp;" "," ","|",2))+1,FIND("|",SUBSTITUTE($H1631&amp;" "," ","|",3))-FIND("|",SUBSTITUTE($H1631&amp;" "," ","|",2))-1),""))</f>
        <v/>
      </c>
      <c r="E1631" s="58">
        <f>IF($H1631="","",IFERROR(MID($H1631&amp;" ",FIND("|",SUBSTITUTE($H1631&amp;" "," ","|",3))+1,FIND("|",SUBSTITUTE($H1631&amp;" "," ","|",4))-FIND("|",SUBSTITUTE($H1631&amp;" "," ","|",3))-1),""))</f>
        <v/>
      </c>
      <c r="F1631" s="59">
        <f>IF($H1631="","",IFERROR(VALUE(IFERROR(MID($H1631&amp;" ",FIND("|",SUBSTITUTE($H1631&amp;" "," ","|",4))+1,FIND("|",SUBSTITUTE($H1631&amp;" "," ","|",5))-FIND("|",SUBSTITUTE($H1631&amp;" "," ","|",4))-1),""))/86400+25569+9/24,""))</f>
        <v/>
      </c>
      <c r="G1631" s="58">
        <f>TRIM(SUBSTITUTE(SUBSTITUTE(SUBSTITUTE($A1631,CHAR(9)," ")," "," "),CHAR(13),""))</f>
        <v/>
      </c>
      <c r="H1631" s="58">
        <f>IF($G1631="","",IF(ISNUMBER(FIND(" ",$G1631)),$G1631,IFERROR(IF((LEN(SUBSTITUTE(SUBSTITUTE($G1631,"-"," ",LEN($G1631)-LEN(SUBSTITUTE($G1631,"-",""))),"-"," ",LEN($G1631)-LEN(SUBSTITUTE($G1631,"-",""))-1))-LEN(SUBSTITUTE(SUBSTITUTE(SUBSTITUTE($G1631,"-"," ",LEN($G1631)-LEN(SUBSTITUTE($G1631,"-",""))),"-"," ",LEN($G1631)-LEN(SUBSTITUTE($G1631,"-",""))-1),".","")))=0,SUBSTITUTE(SUBSTITUTE($G1631,"-"," ",LEN($G1631)-LEN(SUBSTITUTE($G1631,"-",""))),"-"," ",LEN($G1631)-LEN(SUBSTITUTE($G1631,"-",""))-1),SUBSTITUTE(SUBSTITUTE(SUBSTITUTE($G1631,"-"," ",LEN($G1631)-LEN(SUBSTITUTE($G1631,"-",""))),"-"," ",LEN($G1631)-LEN(SUBSTITUTE($G1631,"-",""))-1),"."," ",(LEN(SUBSTITUTE(SUBSTITUTE($G1631,"-"," ",LEN($G1631)-LEN(SUBSTITUTE($G1631,"-",""))),"-"," ",LEN($G1631)-LEN(SUBSTITUTE($G1631,"-",""))-1))-LEN(SUBSTITUTE(SUBSTITUTE(SUBSTITUTE($G1631,"-"," ",LEN($G1631)-LEN(SUBSTITUTE($G1631,"-",""))),"-"," ",LEN($G1631)-LEN(SUBSTITUTE($G1631,"-",""))-1),".",""))))),$G1631)))</f>
        <v/>
      </c>
    </row>
    <row r="1632">
      <c r="A1632" s="58" t="n"/>
      <c r="B1632" s="58">
        <f>IF($H1632="","",LEFT($H1632,FIND(" ",$H1632&amp;" ")-1))</f>
        <v/>
      </c>
      <c r="C1632" s="58">
        <f>IF($H1632="","",IFERROR(MID($H1632&amp;" ",FIND("|",SUBSTITUTE($H1632&amp;" "," ","|",1))+1,FIND("|",SUBSTITUTE($H1632&amp;" "," ","|",2))-FIND("|",SUBSTITUTE($H1632&amp;" "," ","|",1))-1),""))</f>
        <v/>
      </c>
      <c r="D1632" s="58">
        <f>IF($H1632="","",IFERROR(MID($H1632&amp;" ",FIND("|",SUBSTITUTE($H1632&amp;" "," ","|",2))+1,FIND("|",SUBSTITUTE($H1632&amp;" "," ","|",3))-FIND("|",SUBSTITUTE($H1632&amp;" "," ","|",2))-1),""))</f>
        <v/>
      </c>
      <c r="E1632" s="58">
        <f>IF($H1632="","",IFERROR(MID($H1632&amp;" ",FIND("|",SUBSTITUTE($H1632&amp;" "," ","|",3))+1,FIND("|",SUBSTITUTE($H1632&amp;" "," ","|",4))-FIND("|",SUBSTITUTE($H1632&amp;" "," ","|",3))-1),""))</f>
        <v/>
      </c>
      <c r="F1632" s="59">
        <f>IF($H1632="","",IFERROR(VALUE(IFERROR(MID($H1632&amp;" ",FIND("|",SUBSTITUTE($H1632&amp;" "," ","|",4))+1,FIND("|",SUBSTITUTE($H1632&amp;" "," ","|",5))-FIND("|",SUBSTITUTE($H1632&amp;" "," ","|",4))-1),""))/86400+25569+9/24,""))</f>
        <v/>
      </c>
      <c r="G1632" s="58">
        <f>TRIM(SUBSTITUTE(SUBSTITUTE(SUBSTITUTE($A1632,CHAR(9)," ")," "," "),CHAR(13),""))</f>
        <v/>
      </c>
      <c r="H1632" s="58">
        <f>IF($G1632="","",IF(ISNUMBER(FIND(" ",$G1632)),$G1632,IFERROR(IF((LEN(SUBSTITUTE(SUBSTITUTE($G1632,"-"," ",LEN($G1632)-LEN(SUBSTITUTE($G1632,"-",""))),"-"," ",LEN($G1632)-LEN(SUBSTITUTE($G1632,"-",""))-1))-LEN(SUBSTITUTE(SUBSTITUTE(SUBSTITUTE($G1632,"-"," ",LEN($G1632)-LEN(SUBSTITUTE($G1632,"-",""))),"-"," ",LEN($G1632)-LEN(SUBSTITUTE($G1632,"-",""))-1),".","")))=0,SUBSTITUTE(SUBSTITUTE($G1632,"-"," ",LEN($G1632)-LEN(SUBSTITUTE($G1632,"-",""))),"-"," ",LEN($G1632)-LEN(SUBSTITUTE($G1632,"-",""))-1),SUBSTITUTE(SUBSTITUTE(SUBSTITUTE($G1632,"-"," ",LEN($G1632)-LEN(SUBSTITUTE($G1632,"-",""))),"-"," ",LEN($G1632)-LEN(SUBSTITUTE($G1632,"-",""))-1),"."," ",(LEN(SUBSTITUTE(SUBSTITUTE($G1632,"-"," ",LEN($G1632)-LEN(SUBSTITUTE($G1632,"-",""))),"-"," ",LEN($G1632)-LEN(SUBSTITUTE($G1632,"-",""))-1))-LEN(SUBSTITUTE(SUBSTITUTE(SUBSTITUTE($G1632,"-"," ",LEN($G1632)-LEN(SUBSTITUTE($G1632,"-",""))),"-"," ",LEN($G1632)-LEN(SUBSTITUTE($G1632,"-",""))-1),".",""))))),$G1632)))</f>
        <v/>
      </c>
    </row>
    <row r="1633">
      <c r="A1633" s="58" t="n"/>
      <c r="B1633" s="58">
        <f>IF($H1633="","",LEFT($H1633,FIND(" ",$H1633&amp;" ")-1))</f>
        <v/>
      </c>
      <c r="C1633" s="58">
        <f>IF($H1633="","",IFERROR(MID($H1633&amp;" ",FIND("|",SUBSTITUTE($H1633&amp;" "," ","|",1))+1,FIND("|",SUBSTITUTE($H1633&amp;" "," ","|",2))-FIND("|",SUBSTITUTE($H1633&amp;" "," ","|",1))-1),""))</f>
        <v/>
      </c>
      <c r="D1633" s="58">
        <f>IF($H1633="","",IFERROR(MID($H1633&amp;" ",FIND("|",SUBSTITUTE($H1633&amp;" "," ","|",2))+1,FIND("|",SUBSTITUTE($H1633&amp;" "," ","|",3))-FIND("|",SUBSTITUTE($H1633&amp;" "," ","|",2))-1),""))</f>
        <v/>
      </c>
      <c r="E1633" s="58">
        <f>IF($H1633="","",IFERROR(MID($H1633&amp;" ",FIND("|",SUBSTITUTE($H1633&amp;" "," ","|",3))+1,FIND("|",SUBSTITUTE($H1633&amp;" "," ","|",4))-FIND("|",SUBSTITUTE($H1633&amp;" "," ","|",3))-1),""))</f>
        <v/>
      </c>
      <c r="F1633" s="59">
        <f>IF($H1633="","",IFERROR(VALUE(IFERROR(MID($H1633&amp;" ",FIND("|",SUBSTITUTE($H1633&amp;" "," ","|",4))+1,FIND("|",SUBSTITUTE($H1633&amp;" "," ","|",5))-FIND("|",SUBSTITUTE($H1633&amp;" "," ","|",4))-1),""))/86400+25569+9/24,""))</f>
        <v/>
      </c>
      <c r="G1633" s="58">
        <f>TRIM(SUBSTITUTE(SUBSTITUTE(SUBSTITUTE($A1633,CHAR(9)," ")," "," "),CHAR(13),""))</f>
        <v/>
      </c>
      <c r="H1633" s="58">
        <f>IF($G1633="","",IF(ISNUMBER(FIND(" ",$G1633)),$G1633,IFERROR(IF((LEN(SUBSTITUTE(SUBSTITUTE($G1633,"-"," ",LEN($G1633)-LEN(SUBSTITUTE($G1633,"-",""))),"-"," ",LEN($G1633)-LEN(SUBSTITUTE($G1633,"-",""))-1))-LEN(SUBSTITUTE(SUBSTITUTE(SUBSTITUTE($G1633,"-"," ",LEN($G1633)-LEN(SUBSTITUTE($G1633,"-",""))),"-"," ",LEN($G1633)-LEN(SUBSTITUTE($G1633,"-",""))-1),".","")))=0,SUBSTITUTE(SUBSTITUTE($G1633,"-"," ",LEN($G1633)-LEN(SUBSTITUTE($G1633,"-",""))),"-"," ",LEN($G1633)-LEN(SUBSTITUTE($G1633,"-",""))-1),SUBSTITUTE(SUBSTITUTE(SUBSTITUTE($G1633,"-"," ",LEN($G1633)-LEN(SUBSTITUTE($G1633,"-",""))),"-"," ",LEN($G1633)-LEN(SUBSTITUTE($G1633,"-",""))-1),"."," ",(LEN(SUBSTITUTE(SUBSTITUTE($G1633,"-"," ",LEN($G1633)-LEN(SUBSTITUTE($G1633,"-",""))),"-"," ",LEN($G1633)-LEN(SUBSTITUTE($G1633,"-",""))-1))-LEN(SUBSTITUTE(SUBSTITUTE(SUBSTITUTE($G1633,"-"," ",LEN($G1633)-LEN(SUBSTITUTE($G1633,"-",""))),"-"," ",LEN($G1633)-LEN(SUBSTITUTE($G1633,"-",""))-1),".",""))))),$G1633)))</f>
        <v/>
      </c>
    </row>
    <row r="1634">
      <c r="A1634" s="58" t="n"/>
      <c r="B1634" s="58">
        <f>IF($H1634="","",LEFT($H1634,FIND(" ",$H1634&amp;" ")-1))</f>
        <v/>
      </c>
      <c r="C1634" s="58">
        <f>IF($H1634="","",IFERROR(MID($H1634&amp;" ",FIND("|",SUBSTITUTE($H1634&amp;" "," ","|",1))+1,FIND("|",SUBSTITUTE($H1634&amp;" "," ","|",2))-FIND("|",SUBSTITUTE($H1634&amp;" "," ","|",1))-1),""))</f>
        <v/>
      </c>
      <c r="D1634" s="58">
        <f>IF($H1634="","",IFERROR(MID($H1634&amp;" ",FIND("|",SUBSTITUTE($H1634&amp;" "," ","|",2))+1,FIND("|",SUBSTITUTE($H1634&amp;" "," ","|",3))-FIND("|",SUBSTITUTE($H1634&amp;" "," ","|",2))-1),""))</f>
        <v/>
      </c>
      <c r="E1634" s="58">
        <f>IF($H1634="","",IFERROR(MID($H1634&amp;" ",FIND("|",SUBSTITUTE($H1634&amp;" "," ","|",3))+1,FIND("|",SUBSTITUTE($H1634&amp;" "," ","|",4))-FIND("|",SUBSTITUTE($H1634&amp;" "," ","|",3))-1),""))</f>
        <v/>
      </c>
      <c r="F1634" s="59">
        <f>IF($H1634="","",IFERROR(VALUE(IFERROR(MID($H1634&amp;" ",FIND("|",SUBSTITUTE($H1634&amp;" "," ","|",4))+1,FIND("|",SUBSTITUTE($H1634&amp;" "," ","|",5))-FIND("|",SUBSTITUTE($H1634&amp;" "," ","|",4))-1),""))/86400+25569+9/24,""))</f>
        <v/>
      </c>
      <c r="G1634" s="58">
        <f>TRIM(SUBSTITUTE(SUBSTITUTE(SUBSTITUTE($A1634,CHAR(9)," ")," "," "),CHAR(13),""))</f>
        <v/>
      </c>
      <c r="H1634" s="58">
        <f>IF($G1634="","",IF(ISNUMBER(FIND(" ",$G1634)),$G1634,IFERROR(IF((LEN(SUBSTITUTE(SUBSTITUTE($G1634,"-"," ",LEN($G1634)-LEN(SUBSTITUTE($G1634,"-",""))),"-"," ",LEN($G1634)-LEN(SUBSTITUTE($G1634,"-",""))-1))-LEN(SUBSTITUTE(SUBSTITUTE(SUBSTITUTE($G1634,"-"," ",LEN($G1634)-LEN(SUBSTITUTE($G1634,"-",""))),"-"," ",LEN($G1634)-LEN(SUBSTITUTE($G1634,"-",""))-1),".","")))=0,SUBSTITUTE(SUBSTITUTE($G1634,"-"," ",LEN($G1634)-LEN(SUBSTITUTE($G1634,"-",""))),"-"," ",LEN($G1634)-LEN(SUBSTITUTE($G1634,"-",""))-1),SUBSTITUTE(SUBSTITUTE(SUBSTITUTE($G1634,"-"," ",LEN($G1634)-LEN(SUBSTITUTE($G1634,"-",""))),"-"," ",LEN($G1634)-LEN(SUBSTITUTE($G1634,"-",""))-1),"."," ",(LEN(SUBSTITUTE(SUBSTITUTE($G1634,"-"," ",LEN($G1634)-LEN(SUBSTITUTE($G1634,"-",""))),"-"," ",LEN($G1634)-LEN(SUBSTITUTE($G1634,"-",""))-1))-LEN(SUBSTITUTE(SUBSTITUTE(SUBSTITUTE($G1634,"-"," ",LEN($G1634)-LEN(SUBSTITUTE($G1634,"-",""))),"-"," ",LEN($G1634)-LEN(SUBSTITUTE($G1634,"-",""))-1),".",""))))),$G1634)))</f>
        <v/>
      </c>
    </row>
    <row r="1635">
      <c r="A1635" s="58" t="n"/>
      <c r="B1635" s="58">
        <f>IF($H1635="","",LEFT($H1635,FIND(" ",$H1635&amp;" ")-1))</f>
        <v/>
      </c>
      <c r="C1635" s="58">
        <f>IF($H1635="","",IFERROR(MID($H1635&amp;" ",FIND("|",SUBSTITUTE($H1635&amp;" "," ","|",1))+1,FIND("|",SUBSTITUTE($H1635&amp;" "," ","|",2))-FIND("|",SUBSTITUTE($H1635&amp;" "," ","|",1))-1),""))</f>
        <v/>
      </c>
      <c r="D1635" s="58">
        <f>IF($H1635="","",IFERROR(MID($H1635&amp;" ",FIND("|",SUBSTITUTE($H1635&amp;" "," ","|",2))+1,FIND("|",SUBSTITUTE($H1635&amp;" "," ","|",3))-FIND("|",SUBSTITUTE($H1635&amp;" "," ","|",2))-1),""))</f>
        <v/>
      </c>
      <c r="E1635" s="58">
        <f>IF($H1635="","",IFERROR(MID($H1635&amp;" ",FIND("|",SUBSTITUTE($H1635&amp;" "," ","|",3))+1,FIND("|",SUBSTITUTE($H1635&amp;" "," ","|",4))-FIND("|",SUBSTITUTE($H1635&amp;" "," ","|",3))-1),""))</f>
        <v/>
      </c>
      <c r="F1635" s="59">
        <f>IF($H1635="","",IFERROR(VALUE(IFERROR(MID($H1635&amp;" ",FIND("|",SUBSTITUTE($H1635&amp;" "," ","|",4))+1,FIND("|",SUBSTITUTE($H1635&amp;" "," ","|",5))-FIND("|",SUBSTITUTE($H1635&amp;" "," ","|",4))-1),""))/86400+25569+9/24,""))</f>
        <v/>
      </c>
      <c r="G1635" s="58">
        <f>TRIM(SUBSTITUTE(SUBSTITUTE(SUBSTITUTE($A1635,CHAR(9)," ")," "," "),CHAR(13),""))</f>
        <v/>
      </c>
      <c r="H1635" s="58">
        <f>IF($G1635="","",IF(ISNUMBER(FIND(" ",$G1635)),$G1635,IFERROR(IF((LEN(SUBSTITUTE(SUBSTITUTE($G1635,"-"," ",LEN($G1635)-LEN(SUBSTITUTE($G1635,"-",""))),"-"," ",LEN($G1635)-LEN(SUBSTITUTE($G1635,"-",""))-1))-LEN(SUBSTITUTE(SUBSTITUTE(SUBSTITUTE($G1635,"-"," ",LEN($G1635)-LEN(SUBSTITUTE($G1635,"-",""))),"-"," ",LEN($G1635)-LEN(SUBSTITUTE($G1635,"-",""))-1),".","")))=0,SUBSTITUTE(SUBSTITUTE($G1635,"-"," ",LEN($G1635)-LEN(SUBSTITUTE($G1635,"-",""))),"-"," ",LEN($G1635)-LEN(SUBSTITUTE($G1635,"-",""))-1),SUBSTITUTE(SUBSTITUTE(SUBSTITUTE($G1635,"-"," ",LEN($G1635)-LEN(SUBSTITUTE($G1635,"-",""))),"-"," ",LEN($G1635)-LEN(SUBSTITUTE($G1635,"-",""))-1),"."," ",(LEN(SUBSTITUTE(SUBSTITUTE($G1635,"-"," ",LEN($G1635)-LEN(SUBSTITUTE($G1635,"-",""))),"-"," ",LEN($G1635)-LEN(SUBSTITUTE($G1635,"-",""))-1))-LEN(SUBSTITUTE(SUBSTITUTE(SUBSTITUTE($G1635,"-"," ",LEN($G1635)-LEN(SUBSTITUTE($G1635,"-",""))),"-"," ",LEN($G1635)-LEN(SUBSTITUTE($G1635,"-",""))-1),".",""))))),$G1635)))</f>
        <v/>
      </c>
    </row>
    <row r="1636">
      <c r="A1636" s="58" t="n"/>
      <c r="B1636" s="58">
        <f>IF($H1636="","",LEFT($H1636,FIND(" ",$H1636&amp;" ")-1))</f>
        <v/>
      </c>
      <c r="C1636" s="58">
        <f>IF($H1636="","",IFERROR(MID($H1636&amp;" ",FIND("|",SUBSTITUTE($H1636&amp;" "," ","|",1))+1,FIND("|",SUBSTITUTE($H1636&amp;" "," ","|",2))-FIND("|",SUBSTITUTE($H1636&amp;" "," ","|",1))-1),""))</f>
        <v/>
      </c>
      <c r="D1636" s="58">
        <f>IF($H1636="","",IFERROR(MID($H1636&amp;" ",FIND("|",SUBSTITUTE($H1636&amp;" "," ","|",2))+1,FIND("|",SUBSTITUTE($H1636&amp;" "," ","|",3))-FIND("|",SUBSTITUTE($H1636&amp;" "," ","|",2))-1),""))</f>
        <v/>
      </c>
      <c r="E1636" s="58">
        <f>IF($H1636="","",IFERROR(MID($H1636&amp;" ",FIND("|",SUBSTITUTE($H1636&amp;" "," ","|",3))+1,FIND("|",SUBSTITUTE($H1636&amp;" "," ","|",4))-FIND("|",SUBSTITUTE($H1636&amp;" "," ","|",3))-1),""))</f>
        <v/>
      </c>
      <c r="F1636" s="59">
        <f>IF($H1636="","",IFERROR(VALUE(IFERROR(MID($H1636&amp;" ",FIND("|",SUBSTITUTE($H1636&amp;" "," ","|",4))+1,FIND("|",SUBSTITUTE($H1636&amp;" "," ","|",5))-FIND("|",SUBSTITUTE($H1636&amp;" "," ","|",4))-1),""))/86400+25569+9/24,""))</f>
        <v/>
      </c>
      <c r="G1636" s="58">
        <f>TRIM(SUBSTITUTE(SUBSTITUTE(SUBSTITUTE($A1636,CHAR(9)," ")," "," "),CHAR(13),""))</f>
        <v/>
      </c>
      <c r="H1636" s="58">
        <f>IF($G1636="","",IF(ISNUMBER(FIND(" ",$G1636)),$G1636,IFERROR(IF((LEN(SUBSTITUTE(SUBSTITUTE($G1636,"-"," ",LEN($G1636)-LEN(SUBSTITUTE($G1636,"-",""))),"-"," ",LEN($G1636)-LEN(SUBSTITUTE($G1636,"-",""))-1))-LEN(SUBSTITUTE(SUBSTITUTE(SUBSTITUTE($G1636,"-"," ",LEN($G1636)-LEN(SUBSTITUTE($G1636,"-",""))),"-"," ",LEN($G1636)-LEN(SUBSTITUTE($G1636,"-",""))-1),".","")))=0,SUBSTITUTE(SUBSTITUTE($G1636,"-"," ",LEN($G1636)-LEN(SUBSTITUTE($G1636,"-",""))),"-"," ",LEN($G1636)-LEN(SUBSTITUTE($G1636,"-",""))-1),SUBSTITUTE(SUBSTITUTE(SUBSTITUTE($G1636,"-"," ",LEN($G1636)-LEN(SUBSTITUTE($G1636,"-",""))),"-"," ",LEN($G1636)-LEN(SUBSTITUTE($G1636,"-",""))-1),"."," ",(LEN(SUBSTITUTE(SUBSTITUTE($G1636,"-"," ",LEN($G1636)-LEN(SUBSTITUTE($G1636,"-",""))),"-"," ",LEN($G1636)-LEN(SUBSTITUTE($G1636,"-",""))-1))-LEN(SUBSTITUTE(SUBSTITUTE(SUBSTITUTE($G1636,"-"," ",LEN($G1636)-LEN(SUBSTITUTE($G1636,"-",""))),"-"," ",LEN($G1636)-LEN(SUBSTITUTE($G1636,"-",""))-1),".",""))))),$G1636)))</f>
        <v/>
      </c>
    </row>
    <row r="1637">
      <c r="A1637" s="58" t="n"/>
      <c r="B1637" s="58">
        <f>IF($H1637="","",LEFT($H1637,FIND(" ",$H1637&amp;" ")-1))</f>
        <v/>
      </c>
      <c r="C1637" s="58">
        <f>IF($H1637="","",IFERROR(MID($H1637&amp;" ",FIND("|",SUBSTITUTE($H1637&amp;" "," ","|",1))+1,FIND("|",SUBSTITUTE($H1637&amp;" "," ","|",2))-FIND("|",SUBSTITUTE($H1637&amp;" "," ","|",1))-1),""))</f>
        <v/>
      </c>
      <c r="D1637" s="58">
        <f>IF($H1637="","",IFERROR(MID($H1637&amp;" ",FIND("|",SUBSTITUTE($H1637&amp;" "," ","|",2))+1,FIND("|",SUBSTITUTE($H1637&amp;" "," ","|",3))-FIND("|",SUBSTITUTE($H1637&amp;" "," ","|",2))-1),""))</f>
        <v/>
      </c>
      <c r="E1637" s="58">
        <f>IF($H1637="","",IFERROR(MID($H1637&amp;" ",FIND("|",SUBSTITUTE($H1637&amp;" "," ","|",3))+1,FIND("|",SUBSTITUTE($H1637&amp;" "," ","|",4))-FIND("|",SUBSTITUTE($H1637&amp;" "," ","|",3))-1),""))</f>
        <v/>
      </c>
      <c r="F1637" s="59">
        <f>IF($H1637="","",IFERROR(VALUE(IFERROR(MID($H1637&amp;" ",FIND("|",SUBSTITUTE($H1637&amp;" "," ","|",4))+1,FIND("|",SUBSTITUTE($H1637&amp;" "," ","|",5))-FIND("|",SUBSTITUTE($H1637&amp;" "," ","|",4))-1),""))/86400+25569+9/24,""))</f>
        <v/>
      </c>
      <c r="G1637" s="58">
        <f>TRIM(SUBSTITUTE(SUBSTITUTE(SUBSTITUTE($A1637,CHAR(9)," ")," "," "),CHAR(13),""))</f>
        <v/>
      </c>
      <c r="H1637" s="58">
        <f>IF($G1637="","",IF(ISNUMBER(FIND(" ",$G1637)),$G1637,IFERROR(IF((LEN(SUBSTITUTE(SUBSTITUTE($G1637,"-"," ",LEN($G1637)-LEN(SUBSTITUTE($G1637,"-",""))),"-"," ",LEN($G1637)-LEN(SUBSTITUTE($G1637,"-",""))-1))-LEN(SUBSTITUTE(SUBSTITUTE(SUBSTITUTE($G1637,"-"," ",LEN($G1637)-LEN(SUBSTITUTE($G1637,"-",""))),"-"," ",LEN($G1637)-LEN(SUBSTITUTE($G1637,"-",""))-1),".","")))=0,SUBSTITUTE(SUBSTITUTE($G1637,"-"," ",LEN($G1637)-LEN(SUBSTITUTE($G1637,"-",""))),"-"," ",LEN($G1637)-LEN(SUBSTITUTE($G1637,"-",""))-1),SUBSTITUTE(SUBSTITUTE(SUBSTITUTE($G1637,"-"," ",LEN($G1637)-LEN(SUBSTITUTE($G1637,"-",""))),"-"," ",LEN($G1637)-LEN(SUBSTITUTE($G1637,"-",""))-1),"."," ",(LEN(SUBSTITUTE(SUBSTITUTE($G1637,"-"," ",LEN($G1637)-LEN(SUBSTITUTE($G1637,"-",""))),"-"," ",LEN($G1637)-LEN(SUBSTITUTE($G1637,"-",""))-1))-LEN(SUBSTITUTE(SUBSTITUTE(SUBSTITUTE($G1637,"-"," ",LEN($G1637)-LEN(SUBSTITUTE($G1637,"-",""))),"-"," ",LEN($G1637)-LEN(SUBSTITUTE($G1637,"-",""))-1),".",""))))),$G1637)))</f>
        <v/>
      </c>
    </row>
    <row r="1638">
      <c r="A1638" s="58" t="n"/>
      <c r="B1638" s="58">
        <f>IF($H1638="","",LEFT($H1638,FIND(" ",$H1638&amp;" ")-1))</f>
        <v/>
      </c>
      <c r="C1638" s="58">
        <f>IF($H1638="","",IFERROR(MID($H1638&amp;" ",FIND("|",SUBSTITUTE($H1638&amp;" "," ","|",1))+1,FIND("|",SUBSTITUTE($H1638&amp;" "," ","|",2))-FIND("|",SUBSTITUTE($H1638&amp;" "," ","|",1))-1),""))</f>
        <v/>
      </c>
      <c r="D1638" s="58">
        <f>IF($H1638="","",IFERROR(MID($H1638&amp;" ",FIND("|",SUBSTITUTE($H1638&amp;" "," ","|",2))+1,FIND("|",SUBSTITUTE($H1638&amp;" "," ","|",3))-FIND("|",SUBSTITUTE($H1638&amp;" "," ","|",2))-1),""))</f>
        <v/>
      </c>
      <c r="E1638" s="58">
        <f>IF($H1638="","",IFERROR(MID($H1638&amp;" ",FIND("|",SUBSTITUTE($H1638&amp;" "," ","|",3))+1,FIND("|",SUBSTITUTE($H1638&amp;" "," ","|",4))-FIND("|",SUBSTITUTE($H1638&amp;" "," ","|",3))-1),""))</f>
        <v/>
      </c>
      <c r="F1638" s="59">
        <f>IF($H1638="","",IFERROR(VALUE(IFERROR(MID($H1638&amp;" ",FIND("|",SUBSTITUTE($H1638&amp;" "," ","|",4))+1,FIND("|",SUBSTITUTE($H1638&amp;" "," ","|",5))-FIND("|",SUBSTITUTE($H1638&amp;" "," ","|",4))-1),""))/86400+25569+9/24,""))</f>
        <v/>
      </c>
      <c r="G1638" s="58">
        <f>TRIM(SUBSTITUTE(SUBSTITUTE(SUBSTITUTE($A1638,CHAR(9)," ")," "," "),CHAR(13),""))</f>
        <v/>
      </c>
      <c r="H1638" s="58">
        <f>IF($G1638="","",IF(ISNUMBER(FIND(" ",$G1638)),$G1638,IFERROR(IF((LEN(SUBSTITUTE(SUBSTITUTE($G1638,"-"," ",LEN($G1638)-LEN(SUBSTITUTE($G1638,"-",""))),"-"," ",LEN($G1638)-LEN(SUBSTITUTE($G1638,"-",""))-1))-LEN(SUBSTITUTE(SUBSTITUTE(SUBSTITUTE($G1638,"-"," ",LEN($G1638)-LEN(SUBSTITUTE($G1638,"-",""))),"-"," ",LEN($G1638)-LEN(SUBSTITUTE($G1638,"-",""))-1),".","")))=0,SUBSTITUTE(SUBSTITUTE($G1638,"-"," ",LEN($G1638)-LEN(SUBSTITUTE($G1638,"-",""))),"-"," ",LEN($G1638)-LEN(SUBSTITUTE($G1638,"-",""))-1),SUBSTITUTE(SUBSTITUTE(SUBSTITUTE($G1638,"-"," ",LEN($G1638)-LEN(SUBSTITUTE($G1638,"-",""))),"-"," ",LEN($G1638)-LEN(SUBSTITUTE($G1638,"-",""))-1),"."," ",(LEN(SUBSTITUTE(SUBSTITUTE($G1638,"-"," ",LEN($G1638)-LEN(SUBSTITUTE($G1638,"-",""))),"-"," ",LEN($G1638)-LEN(SUBSTITUTE($G1638,"-",""))-1))-LEN(SUBSTITUTE(SUBSTITUTE(SUBSTITUTE($G1638,"-"," ",LEN($G1638)-LEN(SUBSTITUTE($G1638,"-",""))),"-"," ",LEN($G1638)-LEN(SUBSTITUTE($G1638,"-",""))-1),".",""))))),$G1638)))</f>
        <v/>
      </c>
    </row>
    <row r="1639">
      <c r="A1639" s="58" t="n"/>
      <c r="B1639" s="58">
        <f>IF($H1639="","",LEFT($H1639,FIND(" ",$H1639&amp;" ")-1))</f>
        <v/>
      </c>
      <c r="C1639" s="58">
        <f>IF($H1639="","",IFERROR(MID($H1639&amp;" ",FIND("|",SUBSTITUTE($H1639&amp;" "," ","|",1))+1,FIND("|",SUBSTITUTE($H1639&amp;" "," ","|",2))-FIND("|",SUBSTITUTE($H1639&amp;" "," ","|",1))-1),""))</f>
        <v/>
      </c>
      <c r="D1639" s="58">
        <f>IF($H1639="","",IFERROR(MID($H1639&amp;" ",FIND("|",SUBSTITUTE($H1639&amp;" "," ","|",2))+1,FIND("|",SUBSTITUTE($H1639&amp;" "," ","|",3))-FIND("|",SUBSTITUTE($H1639&amp;" "," ","|",2))-1),""))</f>
        <v/>
      </c>
      <c r="E1639" s="58">
        <f>IF($H1639="","",IFERROR(MID($H1639&amp;" ",FIND("|",SUBSTITUTE($H1639&amp;" "," ","|",3))+1,FIND("|",SUBSTITUTE($H1639&amp;" "," ","|",4))-FIND("|",SUBSTITUTE($H1639&amp;" "," ","|",3))-1),""))</f>
        <v/>
      </c>
      <c r="F1639" s="59">
        <f>IF($H1639="","",IFERROR(VALUE(IFERROR(MID($H1639&amp;" ",FIND("|",SUBSTITUTE($H1639&amp;" "," ","|",4))+1,FIND("|",SUBSTITUTE($H1639&amp;" "," ","|",5))-FIND("|",SUBSTITUTE($H1639&amp;" "," ","|",4))-1),""))/86400+25569+9/24,""))</f>
        <v/>
      </c>
      <c r="G1639" s="58">
        <f>TRIM(SUBSTITUTE(SUBSTITUTE(SUBSTITUTE($A1639,CHAR(9)," ")," "," "),CHAR(13),""))</f>
        <v/>
      </c>
      <c r="H1639" s="58">
        <f>IF($G1639="","",IF(ISNUMBER(FIND(" ",$G1639)),$G1639,IFERROR(IF((LEN(SUBSTITUTE(SUBSTITUTE($G1639,"-"," ",LEN($G1639)-LEN(SUBSTITUTE($G1639,"-",""))),"-"," ",LEN($G1639)-LEN(SUBSTITUTE($G1639,"-",""))-1))-LEN(SUBSTITUTE(SUBSTITUTE(SUBSTITUTE($G1639,"-"," ",LEN($G1639)-LEN(SUBSTITUTE($G1639,"-",""))),"-"," ",LEN($G1639)-LEN(SUBSTITUTE($G1639,"-",""))-1),".","")))=0,SUBSTITUTE(SUBSTITUTE($G1639,"-"," ",LEN($G1639)-LEN(SUBSTITUTE($G1639,"-",""))),"-"," ",LEN($G1639)-LEN(SUBSTITUTE($G1639,"-",""))-1),SUBSTITUTE(SUBSTITUTE(SUBSTITUTE($G1639,"-"," ",LEN($G1639)-LEN(SUBSTITUTE($G1639,"-",""))),"-"," ",LEN($G1639)-LEN(SUBSTITUTE($G1639,"-",""))-1),"."," ",(LEN(SUBSTITUTE(SUBSTITUTE($G1639,"-"," ",LEN($G1639)-LEN(SUBSTITUTE($G1639,"-",""))),"-"," ",LEN($G1639)-LEN(SUBSTITUTE($G1639,"-",""))-1))-LEN(SUBSTITUTE(SUBSTITUTE(SUBSTITUTE($G1639,"-"," ",LEN($G1639)-LEN(SUBSTITUTE($G1639,"-",""))),"-"," ",LEN($G1639)-LEN(SUBSTITUTE($G1639,"-",""))-1),".",""))))),$G1639)))</f>
        <v/>
      </c>
    </row>
    <row r="1640">
      <c r="A1640" s="58" t="n"/>
      <c r="B1640" s="58">
        <f>IF($H1640="","",LEFT($H1640,FIND(" ",$H1640&amp;" ")-1))</f>
        <v/>
      </c>
      <c r="C1640" s="58">
        <f>IF($H1640="","",IFERROR(MID($H1640&amp;" ",FIND("|",SUBSTITUTE($H1640&amp;" "," ","|",1))+1,FIND("|",SUBSTITUTE($H1640&amp;" "," ","|",2))-FIND("|",SUBSTITUTE($H1640&amp;" "," ","|",1))-1),""))</f>
        <v/>
      </c>
      <c r="D1640" s="58">
        <f>IF($H1640="","",IFERROR(MID($H1640&amp;" ",FIND("|",SUBSTITUTE($H1640&amp;" "," ","|",2))+1,FIND("|",SUBSTITUTE($H1640&amp;" "," ","|",3))-FIND("|",SUBSTITUTE($H1640&amp;" "," ","|",2))-1),""))</f>
        <v/>
      </c>
      <c r="E1640" s="58">
        <f>IF($H1640="","",IFERROR(MID($H1640&amp;" ",FIND("|",SUBSTITUTE($H1640&amp;" "," ","|",3))+1,FIND("|",SUBSTITUTE($H1640&amp;" "," ","|",4))-FIND("|",SUBSTITUTE($H1640&amp;" "," ","|",3))-1),""))</f>
        <v/>
      </c>
      <c r="F1640" s="59">
        <f>IF($H1640="","",IFERROR(VALUE(IFERROR(MID($H1640&amp;" ",FIND("|",SUBSTITUTE($H1640&amp;" "," ","|",4))+1,FIND("|",SUBSTITUTE($H1640&amp;" "," ","|",5))-FIND("|",SUBSTITUTE($H1640&amp;" "," ","|",4))-1),""))/86400+25569+9/24,""))</f>
        <v/>
      </c>
      <c r="G1640" s="58">
        <f>TRIM(SUBSTITUTE(SUBSTITUTE(SUBSTITUTE($A1640,CHAR(9)," ")," "," "),CHAR(13),""))</f>
        <v/>
      </c>
      <c r="H1640" s="58">
        <f>IF($G1640="","",IF(ISNUMBER(FIND(" ",$G1640)),$G1640,IFERROR(IF((LEN(SUBSTITUTE(SUBSTITUTE($G1640,"-"," ",LEN($G1640)-LEN(SUBSTITUTE($G1640,"-",""))),"-"," ",LEN($G1640)-LEN(SUBSTITUTE($G1640,"-",""))-1))-LEN(SUBSTITUTE(SUBSTITUTE(SUBSTITUTE($G1640,"-"," ",LEN($G1640)-LEN(SUBSTITUTE($G1640,"-",""))),"-"," ",LEN($G1640)-LEN(SUBSTITUTE($G1640,"-",""))-1),".","")))=0,SUBSTITUTE(SUBSTITUTE($G1640,"-"," ",LEN($G1640)-LEN(SUBSTITUTE($G1640,"-",""))),"-"," ",LEN($G1640)-LEN(SUBSTITUTE($G1640,"-",""))-1),SUBSTITUTE(SUBSTITUTE(SUBSTITUTE($G1640,"-"," ",LEN($G1640)-LEN(SUBSTITUTE($G1640,"-",""))),"-"," ",LEN($G1640)-LEN(SUBSTITUTE($G1640,"-",""))-1),"."," ",(LEN(SUBSTITUTE(SUBSTITUTE($G1640,"-"," ",LEN($G1640)-LEN(SUBSTITUTE($G1640,"-",""))),"-"," ",LEN($G1640)-LEN(SUBSTITUTE($G1640,"-",""))-1))-LEN(SUBSTITUTE(SUBSTITUTE(SUBSTITUTE($G1640,"-"," ",LEN($G1640)-LEN(SUBSTITUTE($G1640,"-",""))),"-"," ",LEN($G1640)-LEN(SUBSTITUTE($G1640,"-",""))-1),".",""))))),$G1640)))</f>
        <v/>
      </c>
    </row>
    <row r="1641">
      <c r="A1641" s="58" t="n"/>
      <c r="B1641" s="58">
        <f>IF($H1641="","",LEFT($H1641,FIND(" ",$H1641&amp;" ")-1))</f>
        <v/>
      </c>
      <c r="C1641" s="58">
        <f>IF($H1641="","",IFERROR(MID($H1641&amp;" ",FIND("|",SUBSTITUTE($H1641&amp;" "," ","|",1))+1,FIND("|",SUBSTITUTE($H1641&amp;" "," ","|",2))-FIND("|",SUBSTITUTE($H1641&amp;" "," ","|",1))-1),""))</f>
        <v/>
      </c>
      <c r="D1641" s="58">
        <f>IF($H1641="","",IFERROR(MID($H1641&amp;" ",FIND("|",SUBSTITUTE($H1641&amp;" "," ","|",2))+1,FIND("|",SUBSTITUTE($H1641&amp;" "," ","|",3))-FIND("|",SUBSTITUTE($H1641&amp;" "," ","|",2))-1),""))</f>
        <v/>
      </c>
      <c r="E1641" s="58">
        <f>IF($H1641="","",IFERROR(MID($H1641&amp;" ",FIND("|",SUBSTITUTE($H1641&amp;" "," ","|",3))+1,FIND("|",SUBSTITUTE($H1641&amp;" "," ","|",4))-FIND("|",SUBSTITUTE($H1641&amp;" "," ","|",3))-1),""))</f>
        <v/>
      </c>
      <c r="F1641" s="59">
        <f>IF($H1641="","",IFERROR(VALUE(IFERROR(MID($H1641&amp;" ",FIND("|",SUBSTITUTE($H1641&amp;" "," ","|",4))+1,FIND("|",SUBSTITUTE($H1641&amp;" "," ","|",5))-FIND("|",SUBSTITUTE($H1641&amp;" "," ","|",4))-1),""))/86400+25569+9/24,""))</f>
        <v/>
      </c>
      <c r="G1641" s="58">
        <f>TRIM(SUBSTITUTE(SUBSTITUTE(SUBSTITUTE($A1641,CHAR(9)," ")," "," "),CHAR(13),""))</f>
        <v/>
      </c>
      <c r="H1641" s="58">
        <f>IF($G1641="","",IF(ISNUMBER(FIND(" ",$G1641)),$G1641,IFERROR(IF((LEN(SUBSTITUTE(SUBSTITUTE($G1641,"-"," ",LEN($G1641)-LEN(SUBSTITUTE($G1641,"-",""))),"-"," ",LEN($G1641)-LEN(SUBSTITUTE($G1641,"-",""))-1))-LEN(SUBSTITUTE(SUBSTITUTE(SUBSTITUTE($G1641,"-"," ",LEN($G1641)-LEN(SUBSTITUTE($G1641,"-",""))),"-"," ",LEN($G1641)-LEN(SUBSTITUTE($G1641,"-",""))-1),".","")))=0,SUBSTITUTE(SUBSTITUTE($G1641,"-"," ",LEN($G1641)-LEN(SUBSTITUTE($G1641,"-",""))),"-"," ",LEN($G1641)-LEN(SUBSTITUTE($G1641,"-",""))-1),SUBSTITUTE(SUBSTITUTE(SUBSTITUTE($G1641,"-"," ",LEN($G1641)-LEN(SUBSTITUTE($G1641,"-",""))),"-"," ",LEN($G1641)-LEN(SUBSTITUTE($G1641,"-",""))-1),"."," ",(LEN(SUBSTITUTE(SUBSTITUTE($G1641,"-"," ",LEN($G1641)-LEN(SUBSTITUTE($G1641,"-",""))),"-"," ",LEN($G1641)-LEN(SUBSTITUTE($G1641,"-",""))-1))-LEN(SUBSTITUTE(SUBSTITUTE(SUBSTITUTE($G1641,"-"," ",LEN($G1641)-LEN(SUBSTITUTE($G1641,"-",""))),"-"," ",LEN($G1641)-LEN(SUBSTITUTE($G1641,"-",""))-1),".",""))))),$G1641)))</f>
        <v/>
      </c>
    </row>
    <row r="1642">
      <c r="A1642" s="58" t="n"/>
      <c r="B1642" s="58">
        <f>IF($H1642="","",LEFT($H1642,FIND(" ",$H1642&amp;" ")-1))</f>
        <v/>
      </c>
      <c r="C1642" s="58">
        <f>IF($H1642="","",IFERROR(MID($H1642&amp;" ",FIND("|",SUBSTITUTE($H1642&amp;" "," ","|",1))+1,FIND("|",SUBSTITUTE($H1642&amp;" "," ","|",2))-FIND("|",SUBSTITUTE($H1642&amp;" "," ","|",1))-1),""))</f>
        <v/>
      </c>
      <c r="D1642" s="58">
        <f>IF($H1642="","",IFERROR(MID($H1642&amp;" ",FIND("|",SUBSTITUTE($H1642&amp;" "," ","|",2))+1,FIND("|",SUBSTITUTE($H1642&amp;" "," ","|",3))-FIND("|",SUBSTITUTE($H1642&amp;" "," ","|",2))-1),""))</f>
        <v/>
      </c>
      <c r="E1642" s="58">
        <f>IF($H1642="","",IFERROR(MID($H1642&amp;" ",FIND("|",SUBSTITUTE($H1642&amp;" "," ","|",3))+1,FIND("|",SUBSTITUTE($H1642&amp;" "," ","|",4))-FIND("|",SUBSTITUTE($H1642&amp;" "," ","|",3))-1),""))</f>
        <v/>
      </c>
      <c r="F1642" s="59">
        <f>IF($H1642="","",IFERROR(VALUE(IFERROR(MID($H1642&amp;" ",FIND("|",SUBSTITUTE($H1642&amp;" "," ","|",4))+1,FIND("|",SUBSTITUTE($H1642&amp;" "," ","|",5))-FIND("|",SUBSTITUTE($H1642&amp;" "," ","|",4))-1),""))/86400+25569+9/24,""))</f>
        <v/>
      </c>
      <c r="G1642" s="58">
        <f>TRIM(SUBSTITUTE(SUBSTITUTE(SUBSTITUTE($A1642,CHAR(9)," ")," "," "),CHAR(13),""))</f>
        <v/>
      </c>
      <c r="H1642" s="58">
        <f>IF($G1642="","",IF(ISNUMBER(FIND(" ",$G1642)),$G1642,IFERROR(IF((LEN(SUBSTITUTE(SUBSTITUTE($G1642,"-"," ",LEN($G1642)-LEN(SUBSTITUTE($G1642,"-",""))),"-"," ",LEN($G1642)-LEN(SUBSTITUTE($G1642,"-",""))-1))-LEN(SUBSTITUTE(SUBSTITUTE(SUBSTITUTE($G1642,"-"," ",LEN($G1642)-LEN(SUBSTITUTE($G1642,"-",""))),"-"," ",LEN($G1642)-LEN(SUBSTITUTE($G1642,"-",""))-1),".","")))=0,SUBSTITUTE(SUBSTITUTE($G1642,"-"," ",LEN($G1642)-LEN(SUBSTITUTE($G1642,"-",""))),"-"," ",LEN($G1642)-LEN(SUBSTITUTE($G1642,"-",""))-1),SUBSTITUTE(SUBSTITUTE(SUBSTITUTE($G1642,"-"," ",LEN($G1642)-LEN(SUBSTITUTE($G1642,"-",""))),"-"," ",LEN($G1642)-LEN(SUBSTITUTE($G1642,"-",""))-1),"."," ",(LEN(SUBSTITUTE(SUBSTITUTE($G1642,"-"," ",LEN($G1642)-LEN(SUBSTITUTE($G1642,"-",""))),"-"," ",LEN($G1642)-LEN(SUBSTITUTE($G1642,"-",""))-1))-LEN(SUBSTITUTE(SUBSTITUTE(SUBSTITUTE($G1642,"-"," ",LEN($G1642)-LEN(SUBSTITUTE($G1642,"-",""))),"-"," ",LEN($G1642)-LEN(SUBSTITUTE($G1642,"-",""))-1),".",""))))),$G1642)))</f>
        <v/>
      </c>
    </row>
    <row r="1643">
      <c r="A1643" s="58" t="n"/>
      <c r="B1643" s="58">
        <f>IF($H1643="","",LEFT($H1643,FIND(" ",$H1643&amp;" ")-1))</f>
        <v/>
      </c>
      <c r="C1643" s="58">
        <f>IF($H1643="","",IFERROR(MID($H1643&amp;" ",FIND("|",SUBSTITUTE($H1643&amp;" "," ","|",1))+1,FIND("|",SUBSTITUTE($H1643&amp;" "," ","|",2))-FIND("|",SUBSTITUTE($H1643&amp;" "," ","|",1))-1),""))</f>
        <v/>
      </c>
      <c r="D1643" s="58">
        <f>IF($H1643="","",IFERROR(MID($H1643&amp;" ",FIND("|",SUBSTITUTE($H1643&amp;" "," ","|",2))+1,FIND("|",SUBSTITUTE($H1643&amp;" "," ","|",3))-FIND("|",SUBSTITUTE($H1643&amp;" "," ","|",2))-1),""))</f>
        <v/>
      </c>
      <c r="E1643" s="58">
        <f>IF($H1643="","",IFERROR(MID($H1643&amp;" ",FIND("|",SUBSTITUTE($H1643&amp;" "," ","|",3))+1,FIND("|",SUBSTITUTE($H1643&amp;" "," ","|",4))-FIND("|",SUBSTITUTE($H1643&amp;" "," ","|",3))-1),""))</f>
        <v/>
      </c>
      <c r="F1643" s="59">
        <f>IF($H1643="","",IFERROR(VALUE(IFERROR(MID($H1643&amp;" ",FIND("|",SUBSTITUTE($H1643&amp;" "," ","|",4))+1,FIND("|",SUBSTITUTE($H1643&amp;" "," ","|",5))-FIND("|",SUBSTITUTE($H1643&amp;" "," ","|",4))-1),""))/86400+25569+9/24,""))</f>
        <v/>
      </c>
      <c r="G1643" s="58">
        <f>TRIM(SUBSTITUTE(SUBSTITUTE(SUBSTITUTE($A1643,CHAR(9)," ")," "," "),CHAR(13),""))</f>
        <v/>
      </c>
      <c r="H1643" s="58">
        <f>IF($G1643="","",IF(ISNUMBER(FIND(" ",$G1643)),$G1643,IFERROR(IF((LEN(SUBSTITUTE(SUBSTITUTE($G1643,"-"," ",LEN($G1643)-LEN(SUBSTITUTE($G1643,"-",""))),"-"," ",LEN($G1643)-LEN(SUBSTITUTE($G1643,"-",""))-1))-LEN(SUBSTITUTE(SUBSTITUTE(SUBSTITUTE($G1643,"-"," ",LEN($G1643)-LEN(SUBSTITUTE($G1643,"-",""))),"-"," ",LEN($G1643)-LEN(SUBSTITUTE($G1643,"-",""))-1),".","")))=0,SUBSTITUTE(SUBSTITUTE($G1643,"-"," ",LEN($G1643)-LEN(SUBSTITUTE($G1643,"-",""))),"-"," ",LEN($G1643)-LEN(SUBSTITUTE($G1643,"-",""))-1),SUBSTITUTE(SUBSTITUTE(SUBSTITUTE($G1643,"-"," ",LEN($G1643)-LEN(SUBSTITUTE($G1643,"-",""))),"-"," ",LEN($G1643)-LEN(SUBSTITUTE($G1643,"-",""))-1),"."," ",(LEN(SUBSTITUTE(SUBSTITUTE($G1643,"-"," ",LEN($G1643)-LEN(SUBSTITUTE($G1643,"-",""))),"-"," ",LEN($G1643)-LEN(SUBSTITUTE($G1643,"-",""))-1))-LEN(SUBSTITUTE(SUBSTITUTE(SUBSTITUTE($G1643,"-"," ",LEN($G1643)-LEN(SUBSTITUTE($G1643,"-",""))),"-"," ",LEN($G1643)-LEN(SUBSTITUTE($G1643,"-",""))-1),".",""))))),$G1643)))</f>
        <v/>
      </c>
    </row>
    <row r="1644">
      <c r="A1644" s="58" t="n"/>
      <c r="B1644" s="58">
        <f>IF($H1644="","",LEFT($H1644,FIND(" ",$H1644&amp;" ")-1))</f>
        <v/>
      </c>
      <c r="C1644" s="58">
        <f>IF($H1644="","",IFERROR(MID($H1644&amp;" ",FIND("|",SUBSTITUTE($H1644&amp;" "," ","|",1))+1,FIND("|",SUBSTITUTE($H1644&amp;" "," ","|",2))-FIND("|",SUBSTITUTE($H1644&amp;" "," ","|",1))-1),""))</f>
        <v/>
      </c>
      <c r="D1644" s="58">
        <f>IF($H1644="","",IFERROR(MID($H1644&amp;" ",FIND("|",SUBSTITUTE($H1644&amp;" "," ","|",2))+1,FIND("|",SUBSTITUTE($H1644&amp;" "," ","|",3))-FIND("|",SUBSTITUTE($H1644&amp;" "," ","|",2))-1),""))</f>
        <v/>
      </c>
      <c r="E1644" s="58">
        <f>IF($H1644="","",IFERROR(MID($H1644&amp;" ",FIND("|",SUBSTITUTE($H1644&amp;" "," ","|",3))+1,FIND("|",SUBSTITUTE($H1644&amp;" "," ","|",4))-FIND("|",SUBSTITUTE($H1644&amp;" "," ","|",3))-1),""))</f>
        <v/>
      </c>
      <c r="F1644" s="59">
        <f>IF($H1644="","",IFERROR(VALUE(IFERROR(MID($H1644&amp;" ",FIND("|",SUBSTITUTE($H1644&amp;" "," ","|",4))+1,FIND("|",SUBSTITUTE($H1644&amp;" "," ","|",5))-FIND("|",SUBSTITUTE($H1644&amp;" "," ","|",4))-1),""))/86400+25569+9/24,""))</f>
        <v/>
      </c>
      <c r="G1644" s="58">
        <f>TRIM(SUBSTITUTE(SUBSTITUTE(SUBSTITUTE($A1644,CHAR(9)," ")," "," "),CHAR(13),""))</f>
        <v/>
      </c>
      <c r="H1644" s="58">
        <f>IF($G1644="","",IF(ISNUMBER(FIND(" ",$G1644)),$G1644,IFERROR(IF((LEN(SUBSTITUTE(SUBSTITUTE($G1644,"-"," ",LEN($G1644)-LEN(SUBSTITUTE($G1644,"-",""))),"-"," ",LEN($G1644)-LEN(SUBSTITUTE($G1644,"-",""))-1))-LEN(SUBSTITUTE(SUBSTITUTE(SUBSTITUTE($G1644,"-"," ",LEN($G1644)-LEN(SUBSTITUTE($G1644,"-",""))),"-"," ",LEN($G1644)-LEN(SUBSTITUTE($G1644,"-",""))-1),".","")))=0,SUBSTITUTE(SUBSTITUTE($G1644,"-"," ",LEN($G1644)-LEN(SUBSTITUTE($G1644,"-",""))),"-"," ",LEN($G1644)-LEN(SUBSTITUTE($G1644,"-",""))-1),SUBSTITUTE(SUBSTITUTE(SUBSTITUTE($G1644,"-"," ",LEN($G1644)-LEN(SUBSTITUTE($G1644,"-",""))),"-"," ",LEN($G1644)-LEN(SUBSTITUTE($G1644,"-",""))-1),"."," ",(LEN(SUBSTITUTE(SUBSTITUTE($G1644,"-"," ",LEN($G1644)-LEN(SUBSTITUTE($G1644,"-",""))),"-"," ",LEN($G1644)-LEN(SUBSTITUTE($G1644,"-",""))-1))-LEN(SUBSTITUTE(SUBSTITUTE(SUBSTITUTE($G1644,"-"," ",LEN($G1644)-LEN(SUBSTITUTE($G1644,"-",""))),"-"," ",LEN($G1644)-LEN(SUBSTITUTE($G1644,"-",""))-1),".",""))))),$G1644)))</f>
        <v/>
      </c>
    </row>
    <row r="1645">
      <c r="A1645" s="58" t="n"/>
      <c r="B1645" s="58">
        <f>IF($H1645="","",LEFT($H1645,FIND(" ",$H1645&amp;" ")-1))</f>
        <v/>
      </c>
      <c r="C1645" s="58">
        <f>IF($H1645="","",IFERROR(MID($H1645&amp;" ",FIND("|",SUBSTITUTE($H1645&amp;" "," ","|",1))+1,FIND("|",SUBSTITUTE($H1645&amp;" "," ","|",2))-FIND("|",SUBSTITUTE($H1645&amp;" "," ","|",1))-1),""))</f>
        <v/>
      </c>
      <c r="D1645" s="58">
        <f>IF($H1645="","",IFERROR(MID($H1645&amp;" ",FIND("|",SUBSTITUTE($H1645&amp;" "," ","|",2))+1,FIND("|",SUBSTITUTE($H1645&amp;" "," ","|",3))-FIND("|",SUBSTITUTE($H1645&amp;" "," ","|",2))-1),""))</f>
        <v/>
      </c>
      <c r="E1645" s="58">
        <f>IF($H1645="","",IFERROR(MID($H1645&amp;" ",FIND("|",SUBSTITUTE($H1645&amp;" "," ","|",3))+1,FIND("|",SUBSTITUTE($H1645&amp;" "," ","|",4))-FIND("|",SUBSTITUTE($H1645&amp;" "," ","|",3))-1),""))</f>
        <v/>
      </c>
      <c r="F1645" s="59">
        <f>IF($H1645="","",IFERROR(VALUE(IFERROR(MID($H1645&amp;" ",FIND("|",SUBSTITUTE($H1645&amp;" "," ","|",4))+1,FIND("|",SUBSTITUTE($H1645&amp;" "," ","|",5))-FIND("|",SUBSTITUTE($H1645&amp;" "," ","|",4))-1),""))/86400+25569+9/24,""))</f>
        <v/>
      </c>
      <c r="G1645" s="58">
        <f>TRIM(SUBSTITUTE(SUBSTITUTE(SUBSTITUTE($A1645,CHAR(9)," ")," "," "),CHAR(13),""))</f>
        <v/>
      </c>
      <c r="H1645" s="58">
        <f>IF($G1645="","",IF(ISNUMBER(FIND(" ",$G1645)),$G1645,IFERROR(IF((LEN(SUBSTITUTE(SUBSTITUTE($G1645,"-"," ",LEN($G1645)-LEN(SUBSTITUTE($G1645,"-",""))),"-"," ",LEN($G1645)-LEN(SUBSTITUTE($G1645,"-",""))-1))-LEN(SUBSTITUTE(SUBSTITUTE(SUBSTITUTE($G1645,"-"," ",LEN($G1645)-LEN(SUBSTITUTE($G1645,"-",""))),"-"," ",LEN($G1645)-LEN(SUBSTITUTE($G1645,"-",""))-1),".","")))=0,SUBSTITUTE(SUBSTITUTE($G1645,"-"," ",LEN($G1645)-LEN(SUBSTITUTE($G1645,"-",""))),"-"," ",LEN($G1645)-LEN(SUBSTITUTE($G1645,"-",""))-1),SUBSTITUTE(SUBSTITUTE(SUBSTITUTE($G1645,"-"," ",LEN($G1645)-LEN(SUBSTITUTE($G1645,"-",""))),"-"," ",LEN($G1645)-LEN(SUBSTITUTE($G1645,"-",""))-1),"."," ",(LEN(SUBSTITUTE(SUBSTITUTE($G1645,"-"," ",LEN($G1645)-LEN(SUBSTITUTE($G1645,"-",""))),"-"," ",LEN($G1645)-LEN(SUBSTITUTE($G1645,"-",""))-1))-LEN(SUBSTITUTE(SUBSTITUTE(SUBSTITUTE($G1645,"-"," ",LEN($G1645)-LEN(SUBSTITUTE($G1645,"-",""))),"-"," ",LEN($G1645)-LEN(SUBSTITUTE($G1645,"-",""))-1),".",""))))),$G1645)))</f>
        <v/>
      </c>
    </row>
    <row r="1646">
      <c r="A1646" s="58" t="n"/>
      <c r="B1646" s="58">
        <f>IF($H1646="","",LEFT($H1646,FIND(" ",$H1646&amp;" ")-1))</f>
        <v/>
      </c>
      <c r="C1646" s="58">
        <f>IF($H1646="","",IFERROR(MID($H1646&amp;" ",FIND("|",SUBSTITUTE($H1646&amp;" "," ","|",1))+1,FIND("|",SUBSTITUTE($H1646&amp;" "," ","|",2))-FIND("|",SUBSTITUTE($H1646&amp;" "," ","|",1))-1),""))</f>
        <v/>
      </c>
      <c r="D1646" s="58">
        <f>IF($H1646="","",IFERROR(MID($H1646&amp;" ",FIND("|",SUBSTITUTE($H1646&amp;" "," ","|",2))+1,FIND("|",SUBSTITUTE($H1646&amp;" "," ","|",3))-FIND("|",SUBSTITUTE($H1646&amp;" "," ","|",2))-1),""))</f>
        <v/>
      </c>
      <c r="E1646" s="58">
        <f>IF($H1646="","",IFERROR(MID($H1646&amp;" ",FIND("|",SUBSTITUTE($H1646&amp;" "," ","|",3))+1,FIND("|",SUBSTITUTE($H1646&amp;" "," ","|",4))-FIND("|",SUBSTITUTE($H1646&amp;" "," ","|",3))-1),""))</f>
        <v/>
      </c>
      <c r="F1646" s="59">
        <f>IF($H1646="","",IFERROR(VALUE(IFERROR(MID($H1646&amp;" ",FIND("|",SUBSTITUTE($H1646&amp;" "," ","|",4))+1,FIND("|",SUBSTITUTE($H1646&amp;" "," ","|",5))-FIND("|",SUBSTITUTE($H1646&amp;" "," ","|",4))-1),""))/86400+25569+9/24,""))</f>
        <v/>
      </c>
      <c r="G1646" s="58">
        <f>TRIM(SUBSTITUTE(SUBSTITUTE(SUBSTITUTE($A1646,CHAR(9)," ")," "," "),CHAR(13),""))</f>
        <v/>
      </c>
      <c r="H1646" s="58">
        <f>IF($G1646="","",IF(ISNUMBER(FIND(" ",$G1646)),$G1646,IFERROR(IF((LEN(SUBSTITUTE(SUBSTITUTE($G1646,"-"," ",LEN($G1646)-LEN(SUBSTITUTE($G1646,"-",""))),"-"," ",LEN($G1646)-LEN(SUBSTITUTE($G1646,"-",""))-1))-LEN(SUBSTITUTE(SUBSTITUTE(SUBSTITUTE($G1646,"-"," ",LEN($G1646)-LEN(SUBSTITUTE($G1646,"-",""))),"-"," ",LEN($G1646)-LEN(SUBSTITUTE($G1646,"-",""))-1),".","")))=0,SUBSTITUTE(SUBSTITUTE($G1646,"-"," ",LEN($G1646)-LEN(SUBSTITUTE($G1646,"-",""))),"-"," ",LEN($G1646)-LEN(SUBSTITUTE($G1646,"-",""))-1),SUBSTITUTE(SUBSTITUTE(SUBSTITUTE($G1646,"-"," ",LEN($G1646)-LEN(SUBSTITUTE($G1646,"-",""))),"-"," ",LEN($G1646)-LEN(SUBSTITUTE($G1646,"-",""))-1),"."," ",(LEN(SUBSTITUTE(SUBSTITUTE($G1646,"-"," ",LEN($G1646)-LEN(SUBSTITUTE($G1646,"-",""))),"-"," ",LEN($G1646)-LEN(SUBSTITUTE($G1646,"-",""))-1))-LEN(SUBSTITUTE(SUBSTITUTE(SUBSTITUTE($G1646,"-"," ",LEN($G1646)-LEN(SUBSTITUTE($G1646,"-",""))),"-"," ",LEN($G1646)-LEN(SUBSTITUTE($G1646,"-",""))-1),".",""))))),$G1646)))</f>
        <v/>
      </c>
    </row>
    <row r="1647">
      <c r="A1647" s="58" t="n"/>
      <c r="B1647" s="58">
        <f>IF($H1647="","",LEFT($H1647,FIND(" ",$H1647&amp;" ")-1))</f>
        <v/>
      </c>
      <c r="C1647" s="58">
        <f>IF($H1647="","",IFERROR(MID($H1647&amp;" ",FIND("|",SUBSTITUTE($H1647&amp;" "," ","|",1))+1,FIND("|",SUBSTITUTE($H1647&amp;" "," ","|",2))-FIND("|",SUBSTITUTE($H1647&amp;" "," ","|",1))-1),""))</f>
        <v/>
      </c>
      <c r="D1647" s="58">
        <f>IF($H1647="","",IFERROR(MID($H1647&amp;" ",FIND("|",SUBSTITUTE($H1647&amp;" "," ","|",2))+1,FIND("|",SUBSTITUTE($H1647&amp;" "," ","|",3))-FIND("|",SUBSTITUTE($H1647&amp;" "," ","|",2))-1),""))</f>
        <v/>
      </c>
      <c r="E1647" s="58">
        <f>IF($H1647="","",IFERROR(MID($H1647&amp;" ",FIND("|",SUBSTITUTE($H1647&amp;" "," ","|",3))+1,FIND("|",SUBSTITUTE($H1647&amp;" "," ","|",4))-FIND("|",SUBSTITUTE($H1647&amp;" "," ","|",3))-1),""))</f>
        <v/>
      </c>
      <c r="F1647" s="59">
        <f>IF($H1647="","",IFERROR(VALUE(IFERROR(MID($H1647&amp;" ",FIND("|",SUBSTITUTE($H1647&amp;" "," ","|",4))+1,FIND("|",SUBSTITUTE($H1647&amp;" "," ","|",5))-FIND("|",SUBSTITUTE($H1647&amp;" "," ","|",4))-1),""))/86400+25569+9/24,""))</f>
        <v/>
      </c>
      <c r="G1647" s="58">
        <f>TRIM(SUBSTITUTE(SUBSTITUTE(SUBSTITUTE($A1647,CHAR(9)," ")," "," "),CHAR(13),""))</f>
        <v/>
      </c>
      <c r="H1647" s="58">
        <f>IF($G1647="","",IF(ISNUMBER(FIND(" ",$G1647)),$G1647,IFERROR(IF((LEN(SUBSTITUTE(SUBSTITUTE($G1647,"-"," ",LEN($G1647)-LEN(SUBSTITUTE($G1647,"-",""))),"-"," ",LEN($G1647)-LEN(SUBSTITUTE($G1647,"-",""))-1))-LEN(SUBSTITUTE(SUBSTITUTE(SUBSTITUTE($G1647,"-"," ",LEN($G1647)-LEN(SUBSTITUTE($G1647,"-",""))),"-"," ",LEN($G1647)-LEN(SUBSTITUTE($G1647,"-",""))-1),".","")))=0,SUBSTITUTE(SUBSTITUTE($G1647,"-"," ",LEN($G1647)-LEN(SUBSTITUTE($G1647,"-",""))),"-"," ",LEN($G1647)-LEN(SUBSTITUTE($G1647,"-",""))-1),SUBSTITUTE(SUBSTITUTE(SUBSTITUTE($G1647,"-"," ",LEN($G1647)-LEN(SUBSTITUTE($G1647,"-",""))),"-"," ",LEN($G1647)-LEN(SUBSTITUTE($G1647,"-",""))-1),"."," ",(LEN(SUBSTITUTE(SUBSTITUTE($G1647,"-"," ",LEN($G1647)-LEN(SUBSTITUTE($G1647,"-",""))),"-"," ",LEN($G1647)-LEN(SUBSTITUTE($G1647,"-",""))-1))-LEN(SUBSTITUTE(SUBSTITUTE(SUBSTITUTE($G1647,"-"," ",LEN($G1647)-LEN(SUBSTITUTE($G1647,"-",""))),"-"," ",LEN($G1647)-LEN(SUBSTITUTE($G1647,"-",""))-1),".",""))))),$G1647)))</f>
        <v/>
      </c>
    </row>
    <row r="1648">
      <c r="A1648" s="58" t="n"/>
      <c r="B1648" s="58">
        <f>IF($H1648="","",LEFT($H1648,FIND(" ",$H1648&amp;" ")-1))</f>
        <v/>
      </c>
      <c r="C1648" s="58">
        <f>IF($H1648="","",IFERROR(MID($H1648&amp;" ",FIND("|",SUBSTITUTE($H1648&amp;" "," ","|",1))+1,FIND("|",SUBSTITUTE($H1648&amp;" "," ","|",2))-FIND("|",SUBSTITUTE($H1648&amp;" "," ","|",1))-1),""))</f>
        <v/>
      </c>
      <c r="D1648" s="58">
        <f>IF($H1648="","",IFERROR(MID($H1648&amp;" ",FIND("|",SUBSTITUTE($H1648&amp;" "," ","|",2))+1,FIND("|",SUBSTITUTE($H1648&amp;" "," ","|",3))-FIND("|",SUBSTITUTE($H1648&amp;" "," ","|",2))-1),""))</f>
        <v/>
      </c>
      <c r="E1648" s="58">
        <f>IF($H1648="","",IFERROR(MID($H1648&amp;" ",FIND("|",SUBSTITUTE($H1648&amp;" "," ","|",3))+1,FIND("|",SUBSTITUTE($H1648&amp;" "," ","|",4))-FIND("|",SUBSTITUTE($H1648&amp;" "," ","|",3))-1),""))</f>
        <v/>
      </c>
      <c r="F1648" s="59">
        <f>IF($H1648="","",IFERROR(VALUE(IFERROR(MID($H1648&amp;" ",FIND("|",SUBSTITUTE($H1648&amp;" "," ","|",4))+1,FIND("|",SUBSTITUTE($H1648&amp;" "," ","|",5))-FIND("|",SUBSTITUTE($H1648&amp;" "," ","|",4))-1),""))/86400+25569+9/24,""))</f>
        <v/>
      </c>
      <c r="G1648" s="58">
        <f>TRIM(SUBSTITUTE(SUBSTITUTE(SUBSTITUTE($A1648,CHAR(9)," ")," "," "),CHAR(13),""))</f>
        <v/>
      </c>
      <c r="H1648" s="58">
        <f>IF($G1648="","",IF(ISNUMBER(FIND(" ",$G1648)),$G1648,IFERROR(IF((LEN(SUBSTITUTE(SUBSTITUTE($G1648,"-"," ",LEN($G1648)-LEN(SUBSTITUTE($G1648,"-",""))),"-"," ",LEN($G1648)-LEN(SUBSTITUTE($G1648,"-",""))-1))-LEN(SUBSTITUTE(SUBSTITUTE(SUBSTITUTE($G1648,"-"," ",LEN($G1648)-LEN(SUBSTITUTE($G1648,"-",""))),"-"," ",LEN($G1648)-LEN(SUBSTITUTE($G1648,"-",""))-1),".","")))=0,SUBSTITUTE(SUBSTITUTE($G1648,"-"," ",LEN($G1648)-LEN(SUBSTITUTE($G1648,"-",""))),"-"," ",LEN($G1648)-LEN(SUBSTITUTE($G1648,"-",""))-1),SUBSTITUTE(SUBSTITUTE(SUBSTITUTE($G1648,"-"," ",LEN($G1648)-LEN(SUBSTITUTE($G1648,"-",""))),"-"," ",LEN($G1648)-LEN(SUBSTITUTE($G1648,"-",""))-1),"."," ",(LEN(SUBSTITUTE(SUBSTITUTE($G1648,"-"," ",LEN($G1648)-LEN(SUBSTITUTE($G1648,"-",""))),"-"," ",LEN($G1648)-LEN(SUBSTITUTE($G1648,"-",""))-1))-LEN(SUBSTITUTE(SUBSTITUTE(SUBSTITUTE($G1648,"-"," ",LEN($G1648)-LEN(SUBSTITUTE($G1648,"-",""))),"-"," ",LEN($G1648)-LEN(SUBSTITUTE($G1648,"-",""))-1),".",""))))),$G1648)))</f>
        <v/>
      </c>
    </row>
    <row r="1649">
      <c r="A1649" s="58" t="n"/>
      <c r="B1649" s="58">
        <f>IF($H1649="","",LEFT($H1649,FIND(" ",$H1649&amp;" ")-1))</f>
        <v/>
      </c>
      <c r="C1649" s="58">
        <f>IF($H1649="","",IFERROR(MID($H1649&amp;" ",FIND("|",SUBSTITUTE($H1649&amp;" "," ","|",1))+1,FIND("|",SUBSTITUTE($H1649&amp;" "," ","|",2))-FIND("|",SUBSTITUTE($H1649&amp;" "," ","|",1))-1),""))</f>
        <v/>
      </c>
      <c r="D1649" s="58">
        <f>IF($H1649="","",IFERROR(MID($H1649&amp;" ",FIND("|",SUBSTITUTE($H1649&amp;" "," ","|",2))+1,FIND("|",SUBSTITUTE($H1649&amp;" "," ","|",3))-FIND("|",SUBSTITUTE($H1649&amp;" "," ","|",2))-1),""))</f>
        <v/>
      </c>
      <c r="E1649" s="58">
        <f>IF($H1649="","",IFERROR(MID($H1649&amp;" ",FIND("|",SUBSTITUTE($H1649&amp;" "," ","|",3))+1,FIND("|",SUBSTITUTE($H1649&amp;" "," ","|",4))-FIND("|",SUBSTITUTE($H1649&amp;" "," ","|",3))-1),""))</f>
        <v/>
      </c>
      <c r="F1649" s="59">
        <f>IF($H1649="","",IFERROR(VALUE(IFERROR(MID($H1649&amp;" ",FIND("|",SUBSTITUTE($H1649&amp;" "," ","|",4))+1,FIND("|",SUBSTITUTE($H1649&amp;" "," ","|",5))-FIND("|",SUBSTITUTE($H1649&amp;" "," ","|",4))-1),""))/86400+25569+9/24,""))</f>
        <v/>
      </c>
      <c r="G1649" s="58">
        <f>TRIM(SUBSTITUTE(SUBSTITUTE(SUBSTITUTE($A1649,CHAR(9)," ")," "," "),CHAR(13),""))</f>
        <v/>
      </c>
      <c r="H1649" s="58">
        <f>IF($G1649="","",IF(ISNUMBER(FIND(" ",$G1649)),$G1649,IFERROR(IF((LEN(SUBSTITUTE(SUBSTITUTE($G1649,"-"," ",LEN($G1649)-LEN(SUBSTITUTE($G1649,"-",""))),"-"," ",LEN($G1649)-LEN(SUBSTITUTE($G1649,"-",""))-1))-LEN(SUBSTITUTE(SUBSTITUTE(SUBSTITUTE($G1649,"-"," ",LEN($G1649)-LEN(SUBSTITUTE($G1649,"-",""))),"-"," ",LEN($G1649)-LEN(SUBSTITUTE($G1649,"-",""))-1),".","")))=0,SUBSTITUTE(SUBSTITUTE($G1649,"-"," ",LEN($G1649)-LEN(SUBSTITUTE($G1649,"-",""))),"-"," ",LEN($G1649)-LEN(SUBSTITUTE($G1649,"-",""))-1),SUBSTITUTE(SUBSTITUTE(SUBSTITUTE($G1649,"-"," ",LEN($G1649)-LEN(SUBSTITUTE($G1649,"-",""))),"-"," ",LEN($G1649)-LEN(SUBSTITUTE($G1649,"-",""))-1),"."," ",(LEN(SUBSTITUTE(SUBSTITUTE($G1649,"-"," ",LEN($G1649)-LEN(SUBSTITUTE($G1649,"-",""))),"-"," ",LEN($G1649)-LEN(SUBSTITUTE($G1649,"-",""))-1))-LEN(SUBSTITUTE(SUBSTITUTE(SUBSTITUTE($G1649,"-"," ",LEN($G1649)-LEN(SUBSTITUTE($G1649,"-",""))),"-"," ",LEN($G1649)-LEN(SUBSTITUTE($G1649,"-",""))-1),".",""))))),$G1649)))</f>
        <v/>
      </c>
    </row>
    <row r="1650">
      <c r="A1650" s="58" t="n"/>
      <c r="B1650" s="58">
        <f>IF($H1650="","",LEFT($H1650,FIND(" ",$H1650&amp;" ")-1))</f>
        <v/>
      </c>
      <c r="C1650" s="58">
        <f>IF($H1650="","",IFERROR(MID($H1650&amp;" ",FIND("|",SUBSTITUTE($H1650&amp;" "," ","|",1))+1,FIND("|",SUBSTITUTE($H1650&amp;" "," ","|",2))-FIND("|",SUBSTITUTE($H1650&amp;" "," ","|",1))-1),""))</f>
        <v/>
      </c>
      <c r="D1650" s="58">
        <f>IF($H1650="","",IFERROR(MID($H1650&amp;" ",FIND("|",SUBSTITUTE($H1650&amp;" "," ","|",2))+1,FIND("|",SUBSTITUTE($H1650&amp;" "," ","|",3))-FIND("|",SUBSTITUTE($H1650&amp;" "," ","|",2))-1),""))</f>
        <v/>
      </c>
      <c r="E1650" s="58">
        <f>IF($H1650="","",IFERROR(MID($H1650&amp;" ",FIND("|",SUBSTITUTE($H1650&amp;" "," ","|",3))+1,FIND("|",SUBSTITUTE($H1650&amp;" "," ","|",4))-FIND("|",SUBSTITUTE($H1650&amp;" "," ","|",3))-1),""))</f>
        <v/>
      </c>
      <c r="F1650" s="59">
        <f>IF($H1650="","",IFERROR(VALUE(IFERROR(MID($H1650&amp;" ",FIND("|",SUBSTITUTE($H1650&amp;" "," ","|",4))+1,FIND("|",SUBSTITUTE($H1650&amp;" "," ","|",5))-FIND("|",SUBSTITUTE($H1650&amp;" "," ","|",4))-1),""))/86400+25569+9/24,""))</f>
        <v/>
      </c>
      <c r="G1650" s="58">
        <f>TRIM(SUBSTITUTE(SUBSTITUTE(SUBSTITUTE($A1650,CHAR(9)," ")," "," "),CHAR(13),""))</f>
        <v/>
      </c>
      <c r="H1650" s="58">
        <f>IF($G1650="","",IF(ISNUMBER(FIND(" ",$G1650)),$G1650,IFERROR(IF((LEN(SUBSTITUTE(SUBSTITUTE($G1650,"-"," ",LEN($G1650)-LEN(SUBSTITUTE($G1650,"-",""))),"-"," ",LEN($G1650)-LEN(SUBSTITUTE($G1650,"-",""))-1))-LEN(SUBSTITUTE(SUBSTITUTE(SUBSTITUTE($G1650,"-"," ",LEN($G1650)-LEN(SUBSTITUTE($G1650,"-",""))),"-"," ",LEN($G1650)-LEN(SUBSTITUTE($G1650,"-",""))-1),".","")))=0,SUBSTITUTE(SUBSTITUTE($G1650,"-"," ",LEN($G1650)-LEN(SUBSTITUTE($G1650,"-",""))),"-"," ",LEN($G1650)-LEN(SUBSTITUTE($G1650,"-",""))-1),SUBSTITUTE(SUBSTITUTE(SUBSTITUTE($G1650,"-"," ",LEN($G1650)-LEN(SUBSTITUTE($G1650,"-",""))),"-"," ",LEN($G1650)-LEN(SUBSTITUTE($G1650,"-",""))-1),"."," ",(LEN(SUBSTITUTE(SUBSTITUTE($G1650,"-"," ",LEN($G1650)-LEN(SUBSTITUTE($G1650,"-",""))),"-"," ",LEN($G1650)-LEN(SUBSTITUTE($G1650,"-",""))-1))-LEN(SUBSTITUTE(SUBSTITUTE(SUBSTITUTE($G1650,"-"," ",LEN($G1650)-LEN(SUBSTITUTE($G1650,"-",""))),"-"," ",LEN($G1650)-LEN(SUBSTITUTE($G1650,"-",""))-1),".",""))))),$G1650)))</f>
        <v/>
      </c>
    </row>
    <row r="1651">
      <c r="A1651" s="58" t="n"/>
      <c r="B1651" s="58">
        <f>IF($H1651="","",LEFT($H1651,FIND(" ",$H1651&amp;" ")-1))</f>
        <v/>
      </c>
      <c r="C1651" s="58">
        <f>IF($H1651="","",IFERROR(MID($H1651&amp;" ",FIND("|",SUBSTITUTE($H1651&amp;" "," ","|",1))+1,FIND("|",SUBSTITUTE($H1651&amp;" "," ","|",2))-FIND("|",SUBSTITUTE($H1651&amp;" "," ","|",1))-1),""))</f>
        <v/>
      </c>
      <c r="D1651" s="58">
        <f>IF($H1651="","",IFERROR(MID($H1651&amp;" ",FIND("|",SUBSTITUTE($H1651&amp;" "," ","|",2))+1,FIND("|",SUBSTITUTE($H1651&amp;" "," ","|",3))-FIND("|",SUBSTITUTE($H1651&amp;" "," ","|",2))-1),""))</f>
        <v/>
      </c>
      <c r="E1651" s="58">
        <f>IF($H1651="","",IFERROR(MID($H1651&amp;" ",FIND("|",SUBSTITUTE($H1651&amp;" "," ","|",3))+1,FIND("|",SUBSTITUTE($H1651&amp;" "," ","|",4))-FIND("|",SUBSTITUTE($H1651&amp;" "," ","|",3))-1),""))</f>
        <v/>
      </c>
      <c r="F1651" s="59">
        <f>IF($H1651="","",IFERROR(VALUE(IFERROR(MID($H1651&amp;" ",FIND("|",SUBSTITUTE($H1651&amp;" "," ","|",4))+1,FIND("|",SUBSTITUTE($H1651&amp;" "," ","|",5))-FIND("|",SUBSTITUTE($H1651&amp;" "," ","|",4))-1),""))/86400+25569+9/24,""))</f>
        <v/>
      </c>
      <c r="G1651" s="58">
        <f>TRIM(SUBSTITUTE(SUBSTITUTE(SUBSTITUTE($A1651,CHAR(9)," ")," "," "),CHAR(13),""))</f>
        <v/>
      </c>
      <c r="H1651" s="58">
        <f>IF($G1651="","",IF(ISNUMBER(FIND(" ",$G1651)),$G1651,IFERROR(IF((LEN(SUBSTITUTE(SUBSTITUTE($G1651,"-"," ",LEN($G1651)-LEN(SUBSTITUTE($G1651,"-",""))),"-"," ",LEN($G1651)-LEN(SUBSTITUTE($G1651,"-",""))-1))-LEN(SUBSTITUTE(SUBSTITUTE(SUBSTITUTE($G1651,"-"," ",LEN($G1651)-LEN(SUBSTITUTE($G1651,"-",""))),"-"," ",LEN($G1651)-LEN(SUBSTITUTE($G1651,"-",""))-1),".","")))=0,SUBSTITUTE(SUBSTITUTE($G1651,"-"," ",LEN($G1651)-LEN(SUBSTITUTE($G1651,"-",""))),"-"," ",LEN($G1651)-LEN(SUBSTITUTE($G1651,"-",""))-1),SUBSTITUTE(SUBSTITUTE(SUBSTITUTE($G1651,"-"," ",LEN($G1651)-LEN(SUBSTITUTE($G1651,"-",""))),"-"," ",LEN($G1651)-LEN(SUBSTITUTE($G1651,"-",""))-1),"."," ",(LEN(SUBSTITUTE(SUBSTITUTE($G1651,"-"," ",LEN($G1651)-LEN(SUBSTITUTE($G1651,"-",""))),"-"," ",LEN($G1651)-LEN(SUBSTITUTE($G1651,"-",""))-1))-LEN(SUBSTITUTE(SUBSTITUTE(SUBSTITUTE($G1651,"-"," ",LEN($G1651)-LEN(SUBSTITUTE($G1651,"-",""))),"-"," ",LEN($G1651)-LEN(SUBSTITUTE($G1651,"-",""))-1),".",""))))),$G1651)))</f>
        <v/>
      </c>
    </row>
    <row r="1652">
      <c r="A1652" s="58" t="n"/>
      <c r="B1652" s="58">
        <f>IF($H1652="","",LEFT($H1652,FIND(" ",$H1652&amp;" ")-1))</f>
        <v/>
      </c>
      <c r="C1652" s="58">
        <f>IF($H1652="","",IFERROR(MID($H1652&amp;" ",FIND("|",SUBSTITUTE($H1652&amp;" "," ","|",1))+1,FIND("|",SUBSTITUTE($H1652&amp;" "," ","|",2))-FIND("|",SUBSTITUTE($H1652&amp;" "," ","|",1))-1),""))</f>
        <v/>
      </c>
      <c r="D1652" s="58">
        <f>IF($H1652="","",IFERROR(MID($H1652&amp;" ",FIND("|",SUBSTITUTE($H1652&amp;" "," ","|",2))+1,FIND("|",SUBSTITUTE($H1652&amp;" "," ","|",3))-FIND("|",SUBSTITUTE($H1652&amp;" "," ","|",2))-1),""))</f>
        <v/>
      </c>
      <c r="E1652" s="58">
        <f>IF($H1652="","",IFERROR(MID($H1652&amp;" ",FIND("|",SUBSTITUTE($H1652&amp;" "," ","|",3))+1,FIND("|",SUBSTITUTE($H1652&amp;" "," ","|",4))-FIND("|",SUBSTITUTE($H1652&amp;" "," ","|",3))-1),""))</f>
        <v/>
      </c>
      <c r="F1652" s="59">
        <f>IF($H1652="","",IFERROR(VALUE(IFERROR(MID($H1652&amp;" ",FIND("|",SUBSTITUTE($H1652&amp;" "," ","|",4))+1,FIND("|",SUBSTITUTE($H1652&amp;" "," ","|",5))-FIND("|",SUBSTITUTE($H1652&amp;" "," ","|",4))-1),""))/86400+25569+9/24,""))</f>
        <v/>
      </c>
      <c r="G1652" s="58">
        <f>TRIM(SUBSTITUTE(SUBSTITUTE(SUBSTITUTE($A1652,CHAR(9)," ")," "," "),CHAR(13),""))</f>
        <v/>
      </c>
      <c r="H1652" s="58">
        <f>IF($G1652="","",IF(ISNUMBER(FIND(" ",$G1652)),$G1652,IFERROR(IF((LEN(SUBSTITUTE(SUBSTITUTE($G1652,"-"," ",LEN($G1652)-LEN(SUBSTITUTE($G1652,"-",""))),"-"," ",LEN($G1652)-LEN(SUBSTITUTE($G1652,"-",""))-1))-LEN(SUBSTITUTE(SUBSTITUTE(SUBSTITUTE($G1652,"-"," ",LEN($G1652)-LEN(SUBSTITUTE($G1652,"-",""))),"-"," ",LEN($G1652)-LEN(SUBSTITUTE($G1652,"-",""))-1),".","")))=0,SUBSTITUTE(SUBSTITUTE($G1652,"-"," ",LEN($G1652)-LEN(SUBSTITUTE($G1652,"-",""))),"-"," ",LEN($G1652)-LEN(SUBSTITUTE($G1652,"-",""))-1),SUBSTITUTE(SUBSTITUTE(SUBSTITUTE($G1652,"-"," ",LEN($G1652)-LEN(SUBSTITUTE($G1652,"-",""))),"-"," ",LEN($G1652)-LEN(SUBSTITUTE($G1652,"-",""))-1),"."," ",(LEN(SUBSTITUTE(SUBSTITUTE($G1652,"-"," ",LEN($G1652)-LEN(SUBSTITUTE($G1652,"-",""))),"-"," ",LEN($G1652)-LEN(SUBSTITUTE($G1652,"-",""))-1))-LEN(SUBSTITUTE(SUBSTITUTE(SUBSTITUTE($G1652,"-"," ",LEN($G1652)-LEN(SUBSTITUTE($G1652,"-",""))),"-"," ",LEN($G1652)-LEN(SUBSTITUTE($G1652,"-",""))-1),".",""))))),$G1652)))</f>
        <v/>
      </c>
    </row>
    <row r="1653">
      <c r="A1653" s="58" t="n"/>
      <c r="B1653" s="58">
        <f>IF($H1653="","",LEFT($H1653,FIND(" ",$H1653&amp;" ")-1))</f>
        <v/>
      </c>
      <c r="C1653" s="58">
        <f>IF($H1653="","",IFERROR(MID($H1653&amp;" ",FIND("|",SUBSTITUTE($H1653&amp;" "," ","|",1))+1,FIND("|",SUBSTITUTE($H1653&amp;" "," ","|",2))-FIND("|",SUBSTITUTE($H1653&amp;" "," ","|",1))-1),""))</f>
        <v/>
      </c>
      <c r="D1653" s="58">
        <f>IF($H1653="","",IFERROR(MID($H1653&amp;" ",FIND("|",SUBSTITUTE($H1653&amp;" "," ","|",2))+1,FIND("|",SUBSTITUTE($H1653&amp;" "," ","|",3))-FIND("|",SUBSTITUTE($H1653&amp;" "," ","|",2))-1),""))</f>
        <v/>
      </c>
      <c r="E1653" s="58">
        <f>IF($H1653="","",IFERROR(MID($H1653&amp;" ",FIND("|",SUBSTITUTE($H1653&amp;" "," ","|",3))+1,FIND("|",SUBSTITUTE($H1653&amp;" "," ","|",4))-FIND("|",SUBSTITUTE($H1653&amp;" "," ","|",3))-1),""))</f>
        <v/>
      </c>
      <c r="F1653" s="59">
        <f>IF($H1653="","",IFERROR(VALUE(IFERROR(MID($H1653&amp;" ",FIND("|",SUBSTITUTE($H1653&amp;" "," ","|",4))+1,FIND("|",SUBSTITUTE($H1653&amp;" "," ","|",5))-FIND("|",SUBSTITUTE($H1653&amp;" "," ","|",4))-1),""))/86400+25569+9/24,""))</f>
        <v/>
      </c>
      <c r="G1653" s="58">
        <f>TRIM(SUBSTITUTE(SUBSTITUTE(SUBSTITUTE($A1653,CHAR(9)," ")," "," "),CHAR(13),""))</f>
        <v/>
      </c>
      <c r="H1653" s="58">
        <f>IF($G1653="","",IF(ISNUMBER(FIND(" ",$G1653)),$G1653,IFERROR(IF((LEN(SUBSTITUTE(SUBSTITUTE($G1653,"-"," ",LEN($G1653)-LEN(SUBSTITUTE($G1653,"-",""))),"-"," ",LEN($G1653)-LEN(SUBSTITUTE($G1653,"-",""))-1))-LEN(SUBSTITUTE(SUBSTITUTE(SUBSTITUTE($G1653,"-"," ",LEN($G1653)-LEN(SUBSTITUTE($G1653,"-",""))),"-"," ",LEN($G1653)-LEN(SUBSTITUTE($G1653,"-",""))-1),".","")))=0,SUBSTITUTE(SUBSTITUTE($G1653,"-"," ",LEN($G1653)-LEN(SUBSTITUTE($G1653,"-",""))),"-"," ",LEN($G1653)-LEN(SUBSTITUTE($G1653,"-",""))-1),SUBSTITUTE(SUBSTITUTE(SUBSTITUTE($G1653,"-"," ",LEN($G1653)-LEN(SUBSTITUTE($G1653,"-",""))),"-"," ",LEN($G1653)-LEN(SUBSTITUTE($G1653,"-",""))-1),"."," ",(LEN(SUBSTITUTE(SUBSTITUTE($G1653,"-"," ",LEN($G1653)-LEN(SUBSTITUTE($G1653,"-",""))),"-"," ",LEN($G1653)-LEN(SUBSTITUTE($G1653,"-",""))-1))-LEN(SUBSTITUTE(SUBSTITUTE(SUBSTITUTE($G1653,"-"," ",LEN($G1653)-LEN(SUBSTITUTE($G1653,"-",""))),"-"," ",LEN($G1653)-LEN(SUBSTITUTE($G1653,"-",""))-1),".",""))))),$G1653)))</f>
        <v/>
      </c>
    </row>
    <row r="1654">
      <c r="A1654" s="58" t="n"/>
      <c r="B1654" s="58">
        <f>IF($H1654="","",LEFT($H1654,FIND(" ",$H1654&amp;" ")-1))</f>
        <v/>
      </c>
      <c r="C1654" s="58">
        <f>IF($H1654="","",IFERROR(MID($H1654&amp;" ",FIND("|",SUBSTITUTE($H1654&amp;" "," ","|",1))+1,FIND("|",SUBSTITUTE($H1654&amp;" "," ","|",2))-FIND("|",SUBSTITUTE($H1654&amp;" "," ","|",1))-1),""))</f>
        <v/>
      </c>
      <c r="D1654" s="58">
        <f>IF($H1654="","",IFERROR(MID($H1654&amp;" ",FIND("|",SUBSTITUTE($H1654&amp;" "," ","|",2))+1,FIND("|",SUBSTITUTE($H1654&amp;" "," ","|",3))-FIND("|",SUBSTITUTE($H1654&amp;" "," ","|",2))-1),""))</f>
        <v/>
      </c>
      <c r="E1654" s="58">
        <f>IF($H1654="","",IFERROR(MID($H1654&amp;" ",FIND("|",SUBSTITUTE($H1654&amp;" "," ","|",3))+1,FIND("|",SUBSTITUTE($H1654&amp;" "," ","|",4))-FIND("|",SUBSTITUTE($H1654&amp;" "," ","|",3))-1),""))</f>
        <v/>
      </c>
      <c r="F1654" s="59">
        <f>IF($H1654="","",IFERROR(VALUE(IFERROR(MID($H1654&amp;" ",FIND("|",SUBSTITUTE($H1654&amp;" "," ","|",4))+1,FIND("|",SUBSTITUTE($H1654&amp;" "," ","|",5))-FIND("|",SUBSTITUTE($H1654&amp;" "," ","|",4))-1),""))/86400+25569+9/24,""))</f>
        <v/>
      </c>
      <c r="G1654" s="58">
        <f>TRIM(SUBSTITUTE(SUBSTITUTE(SUBSTITUTE($A1654,CHAR(9)," ")," "," "),CHAR(13),""))</f>
        <v/>
      </c>
      <c r="H1654" s="58">
        <f>IF($G1654="","",IF(ISNUMBER(FIND(" ",$G1654)),$G1654,IFERROR(IF((LEN(SUBSTITUTE(SUBSTITUTE($G1654,"-"," ",LEN($G1654)-LEN(SUBSTITUTE($G1654,"-",""))),"-"," ",LEN($G1654)-LEN(SUBSTITUTE($G1654,"-",""))-1))-LEN(SUBSTITUTE(SUBSTITUTE(SUBSTITUTE($G1654,"-"," ",LEN($G1654)-LEN(SUBSTITUTE($G1654,"-",""))),"-"," ",LEN($G1654)-LEN(SUBSTITUTE($G1654,"-",""))-1),".","")))=0,SUBSTITUTE(SUBSTITUTE($G1654,"-"," ",LEN($G1654)-LEN(SUBSTITUTE($G1654,"-",""))),"-"," ",LEN($G1654)-LEN(SUBSTITUTE($G1654,"-",""))-1),SUBSTITUTE(SUBSTITUTE(SUBSTITUTE($G1654,"-"," ",LEN($G1654)-LEN(SUBSTITUTE($G1654,"-",""))),"-"," ",LEN($G1654)-LEN(SUBSTITUTE($G1654,"-",""))-1),"."," ",(LEN(SUBSTITUTE(SUBSTITUTE($G1654,"-"," ",LEN($G1654)-LEN(SUBSTITUTE($G1654,"-",""))),"-"," ",LEN($G1654)-LEN(SUBSTITUTE($G1654,"-",""))-1))-LEN(SUBSTITUTE(SUBSTITUTE(SUBSTITUTE($G1654,"-"," ",LEN($G1654)-LEN(SUBSTITUTE($G1654,"-",""))),"-"," ",LEN($G1654)-LEN(SUBSTITUTE($G1654,"-",""))-1),".",""))))),$G1654)))</f>
        <v/>
      </c>
    </row>
    <row r="1655">
      <c r="A1655" s="58" t="n"/>
      <c r="B1655" s="58">
        <f>IF($H1655="","",LEFT($H1655,FIND(" ",$H1655&amp;" ")-1))</f>
        <v/>
      </c>
      <c r="C1655" s="58">
        <f>IF($H1655="","",IFERROR(MID($H1655&amp;" ",FIND("|",SUBSTITUTE($H1655&amp;" "," ","|",1))+1,FIND("|",SUBSTITUTE($H1655&amp;" "," ","|",2))-FIND("|",SUBSTITUTE($H1655&amp;" "," ","|",1))-1),""))</f>
        <v/>
      </c>
      <c r="D1655" s="58">
        <f>IF($H1655="","",IFERROR(MID($H1655&amp;" ",FIND("|",SUBSTITUTE($H1655&amp;" "," ","|",2))+1,FIND("|",SUBSTITUTE($H1655&amp;" "," ","|",3))-FIND("|",SUBSTITUTE($H1655&amp;" "," ","|",2))-1),""))</f>
        <v/>
      </c>
      <c r="E1655" s="58">
        <f>IF($H1655="","",IFERROR(MID($H1655&amp;" ",FIND("|",SUBSTITUTE($H1655&amp;" "," ","|",3))+1,FIND("|",SUBSTITUTE($H1655&amp;" "," ","|",4))-FIND("|",SUBSTITUTE($H1655&amp;" "," ","|",3))-1),""))</f>
        <v/>
      </c>
      <c r="F1655" s="59">
        <f>IF($H1655="","",IFERROR(VALUE(IFERROR(MID($H1655&amp;" ",FIND("|",SUBSTITUTE($H1655&amp;" "," ","|",4))+1,FIND("|",SUBSTITUTE($H1655&amp;" "," ","|",5))-FIND("|",SUBSTITUTE($H1655&amp;" "," ","|",4))-1),""))/86400+25569+9/24,""))</f>
        <v/>
      </c>
      <c r="G1655" s="58">
        <f>TRIM(SUBSTITUTE(SUBSTITUTE(SUBSTITUTE($A1655,CHAR(9)," ")," "," "),CHAR(13),""))</f>
        <v/>
      </c>
      <c r="H1655" s="58">
        <f>IF($G1655="","",IF(ISNUMBER(FIND(" ",$G1655)),$G1655,IFERROR(IF((LEN(SUBSTITUTE(SUBSTITUTE($G1655,"-"," ",LEN($G1655)-LEN(SUBSTITUTE($G1655,"-",""))),"-"," ",LEN($G1655)-LEN(SUBSTITUTE($G1655,"-",""))-1))-LEN(SUBSTITUTE(SUBSTITUTE(SUBSTITUTE($G1655,"-"," ",LEN($G1655)-LEN(SUBSTITUTE($G1655,"-",""))),"-"," ",LEN($G1655)-LEN(SUBSTITUTE($G1655,"-",""))-1),".","")))=0,SUBSTITUTE(SUBSTITUTE($G1655,"-"," ",LEN($G1655)-LEN(SUBSTITUTE($G1655,"-",""))),"-"," ",LEN($G1655)-LEN(SUBSTITUTE($G1655,"-",""))-1),SUBSTITUTE(SUBSTITUTE(SUBSTITUTE($G1655,"-"," ",LEN($G1655)-LEN(SUBSTITUTE($G1655,"-",""))),"-"," ",LEN($G1655)-LEN(SUBSTITUTE($G1655,"-",""))-1),"."," ",(LEN(SUBSTITUTE(SUBSTITUTE($G1655,"-"," ",LEN($G1655)-LEN(SUBSTITUTE($G1655,"-",""))),"-"," ",LEN($G1655)-LEN(SUBSTITUTE($G1655,"-",""))-1))-LEN(SUBSTITUTE(SUBSTITUTE(SUBSTITUTE($G1655,"-"," ",LEN($G1655)-LEN(SUBSTITUTE($G1655,"-",""))),"-"," ",LEN($G1655)-LEN(SUBSTITUTE($G1655,"-",""))-1),".",""))))),$G1655)))</f>
        <v/>
      </c>
    </row>
    <row r="1656">
      <c r="A1656" s="58" t="n"/>
      <c r="B1656" s="58">
        <f>IF($H1656="","",LEFT($H1656,FIND(" ",$H1656&amp;" ")-1))</f>
        <v/>
      </c>
      <c r="C1656" s="58">
        <f>IF($H1656="","",IFERROR(MID($H1656&amp;" ",FIND("|",SUBSTITUTE($H1656&amp;" "," ","|",1))+1,FIND("|",SUBSTITUTE($H1656&amp;" "," ","|",2))-FIND("|",SUBSTITUTE($H1656&amp;" "," ","|",1))-1),""))</f>
        <v/>
      </c>
      <c r="D1656" s="58">
        <f>IF($H1656="","",IFERROR(MID($H1656&amp;" ",FIND("|",SUBSTITUTE($H1656&amp;" "," ","|",2))+1,FIND("|",SUBSTITUTE($H1656&amp;" "," ","|",3))-FIND("|",SUBSTITUTE($H1656&amp;" "," ","|",2))-1),""))</f>
        <v/>
      </c>
      <c r="E1656" s="58">
        <f>IF($H1656="","",IFERROR(MID($H1656&amp;" ",FIND("|",SUBSTITUTE($H1656&amp;" "," ","|",3))+1,FIND("|",SUBSTITUTE($H1656&amp;" "," ","|",4))-FIND("|",SUBSTITUTE($H1656&amp;" "," ","|",3))-1),""))</f>
        <v/>
      </c>
      <c r="F1656" s="59">
        <f>IF($H1656="","",IFERROR(VALUE(IFERROR(MID($H1656&amp;" ",FIND("|",SUBSTITUTE($H1656&amp;" "," ","|",4))+1,FIND("|",SUBSTITUTE($H1656&amp;" "," ","|",5))-FIND("|",SUBSTITUTE($H1656&amp;" "," ","|",4))-1),""))/86400+25569+9/24,""))</f>
        <v/>
      </c>
      <c r="G1656" s="58">
        <f>TRIM(SUBSTITUTE(SUBSTITUTE(SUBSTITUTE($A1656,CHAR(9)," ")," "," "),CHAR(13),""))</f>
        <v/>
      </c>
      <c r="H1656" s="58">
        <f>IF($G1656="","",IF(ISNUMBER(FIND(" ",$G1656)),$G1656,IFERROR(IF((LEN(SUBSTITUTE(SUBSTITUTE($G1656,"-"," ",LEN($G1656)-LEN(SUBSTITUTE($G1656,"-",""))),"-"," ",LEN($G1656)-LEN(SUBSTITUTE($G1656,"-",""))-1))-LEN(SUBSTITUTE(SUBSTITUTE(SUBSTITUTE($G1656,"-"," ",LEN($G1656)-LEN(SUBSTITUTE($G1656,"-",""))),"-"," ",LEN($G1656)-LEN(SUBSTITUTE($G1656,"-",""))-1),".","")))=0,SUBSTITUTE(SUBSTITUTE($G1656,"-"," ",LEN($G1656)-LEN(SUBSTITUTE($G1656,"-",""))),"-"," ",LEN($G1656)-LEN(SUBSTITUTE($G1656,"-",""))-1),SUBSTITUTE(SUBSTITUTE(SUBSTITUTE($G1656,"-"," ",LEN($G1656)-LEN(SUBSTITUTE($G1656,"-",""))),"-"," ",LEN($G1656)-LEN(SUBSTITUTE($G1656,"-",""))-1),"."," ",(LEN(SUBSTITUTE(SUBSTITUTE($G1656,"-"," ",LEN($G1656)-LEN(SUBSTITUTE($G1656,"-",""))),"-"," ",LEN($G1656)-LEN(SUBSTITUTE($G1656,"-",""))-1))-LEN(SUBSTITUTE(SUBSTITUTE(SUBSTITUTE($G1656,"-"," ",LEN($G1656)-LEN(SUBSTITUTE($G1656,"-",""))),"-"," ",LEN($G1656)-LEN(SUBSTITUTE($G1656,"-",""))-1),".",""))))),$G1656)))</f>
        <v/>
      </c>
    </row>
    <row r="1657">
      <c r="A1657" s="58" t="n"/>
      <c r="B1657" s="58">
        <f>IF($H1657="","",LEFT($H1657,FIND(" ",$H1657&amp;" ")-1))</f>
        <v/>
      </c>
      <c r="C1657" s="58">
        <f>IF($H1657="","",IFERROR(MID($H1657&amp;" ",FIND("|",SUBSTITUTE($H1657&amp;" "," ","|",1))+1,FIND("|",SUBSTITUTE($H1657&amp;" "," ","|",2))-FIND("|",SUBSTITUTE($H1657&amp;" "," ","|",1))-1),""))</f>
        <v/>
      </c>
      <c r="D1657" s="58">
        <f>IF($H1657="","",IFERROR(MID($H1657&amp;" ",FIND("|",SUBSTITUTE($H1657&amp;" "," ","|",2))+1,FIND("|",SUBSTITUTE($H1657&amp;" "," ","|",3))-FIND("|",SUBSTITUTE($H1657&amp;" "," ","|",2))-1),""))</f>
        <v/>
      </c>
      <c r="E1657" s="58">
        <f>IF($H1657="","",IFERROR(MID($H1657&amp;" ",FIND("|",SUBSTITUTE($H1657&amp;" "," ","|",3))+1,FIND("|",SUBSTITUTE($H1657&amp;" "," ","|",4))-FIND("|",SUBSTITUTE($H1657&amp;" "," ","|",3))-1),""))</f>
        <v/>
      </c>
      <c r="F1657" s="59">
        <f>IF($H1657="","",IFERROR(VALUE(IFERROR(MID($H1657&amp;" ",FIND("|",SUBSTITUTE($H1657&amp;" "," ","|",4))+1,FIND("|",SUBSTITUTE($H1657&amp;" "," ","|",5))-FIND("|",SUBSTITUTE($H1657&amp;" "," ","|",4))-1),""))/86400+25569+9/24,""))</f>
        <v/>
      </c>
      <c r="G1657" s="58">
        <f>TRIM(SUBSTITUTE(SUBSTITUTE(SUBSTITUTE($A1657,CHAR(9)," ")," "," "),CHAR(13),""))</f>
        <v/>
      </c>
      <c r="H1657" s="58">
        <f>IF($G1657="","",IF(ISNUMBER(FIND(" ",$G1657)),$G1657,IFERROR(IF((LEN(SUBSTITUTE(SUBSTITUTE($G1657,"-"," ",LEN($G1657)-LEN(SUBSTITUTE($G1657,"-",""))),"-"," ",LEN($G1657)-LEN(SUBSTITUTE($G1657,"-",""))-1))-LEN(SUBSTITUTE(SUBSTITUTE(SUBSTITUTE($G1657,"-"," ",LEN($G1657)-LEN(SUBSTITUTE($G1657,"-",""))),"-"," ",LEN($G1657)-LEN(SUBSTITUTE($G1657,"-",""))-1),".","")))=0,SUBSTITUTE(SUBSTITUTE($G1657,"-"," ",LEN($G1657)-LEN(SUBSTITUTE($G1657,"-",""))),"-"," ",LEN($G1657)-LEN(SUBSTITUTE($G1657,"-",""))-1),SUBSTITUTE(SUBSTITUTE(SUBSTITUTE($G1657,"-"," ",LEN($G1657)-LEN(SUBSTITUTE($G1657,"-",""))),"-"," ",LEN($G1657)-LEN(SUBSTITUTE($G1657,"-",""))-1),"."," ",(LEN(SUBSTITUTE(SUBSTITUTE($G1657,"-"," ",LEN($G1657)-LEN(SUBSTITUTE($G1657,"-",""))),"-"," ",LEN($G1657)-LEN(SUBSTITUTE($G1657,"-",""))-1))-LEN(SUBSTITUTE(SUBSTITUTE(SUBSTITUTE($G1657,"-"," ",LEN($G1657)-LEN(SUBSTITUTE($G1657,"-",""))),"-"," ",LEN($G1657)-LEN(SUBSTITUTE($G1657,"-",""))-1),".",""))))),$G1657)))</f>
        <v/>
      </c>
    </row>
    <row r="1658">
      <c r="A1658" s="58" t="n"/>
      <c r="B1658" s="58">
        <f>IF($H1658="","",LEFT($H1658,FIND(" ",$H1658&amp;" ")-1))</f>
        <v/>
      </c>
      <c r="C1658" s="58">
        <f>IF($H1658="","",IFERROR(MID($H1658&amp;" ",FIND("|",SUBSTITUTE($H1658&amp;" "," ","|",1))+1,FIND("|",SUBSTITUTE($H1658&amp;" "," ","|",2))-FIND("|",SUBSTITUTE($H1658&amp;" "," ","|",1))-1),""))</f>
        <v/>
      </c>
      <c r="D1658" s="58">
        <f>IF($H1658="","",IFERROR(MID($H1658&amp;" ",FIND("|",SUBSTITUTE($H1658&amp;" "," ","|",2))+1,FIND("|",SUBSTITUTE($H1658&amp;" "," ","|",3))-FIND("|",SUBSTITUTE($H1658&amp;" "," ","|",2))-1),""))</f>
        <v/>
      </c>
      <c r="E1658" s="58">
        <f>IF($H1658="","",IFERROR(MID($H1658&amp;" ",FIND("|",SUBSTITUTE($H1658&amp;" "," ","|",3))+1,FIND("|",SUBSTITUTE($H1658&amp;" "," ","|",4))-FIND("|",SUBSTITUTE($H1658&amp;" "," ","|",3))-1),""))</f>
        <v/>
      </c>
      <c r="F1658" s="59">
        <f>IF($H1658="","",IFERROR(VALUE(IFERROR(MID($H1658&amp;" ",FIND("|",SUBSTITUTE($H1658&amp;" "," ","|",4))+1,FIND("|",SUBSTITUTE($H1658&amp;" "," ","|",5))-FIND("|",SUBSTITUTE($H1658&amp;" "," ","|",4))-1),""))/86400+25569+9/24,""))</f>
        <v/>
      </c>
      <c r="G1658" s="58">
        <f>TRIM(SUBSTITUTE(SUBSTITUTE(SUBSTITUTE($A1658,CHAR(9)," ")," "," "),CHAR(13),""))</f>
        <v/>
      </c>
      <c r="H1658" s="58">
        <f>IF($G1658="","",IF(ISNUMBER(FIND(" ",$G1658)),$G1658,IFERROR(IF((LEN(SUBSTITUTE(SUBSTITUTE($G1658,"-"," ",LEN($G1658)-LEN(SUBSTITUTE($G1658,"-",""))),"-"," ",LEN($G1658)-LEN(SUBSTITUTE($G1658,"-",""))-1))-LEN(SUBSTITUTE(SUBSTITUTE(SUBSTITUTE($G1658,"-"," ",LEN($G1658)-LEN(SUBSTITUTE($G1658,"-",""))),"-"," ",LEN($G1658)-LEN(SUBSTITUTE($G1658,"-",""))-1),".","")))=0,SUBSTITUTE(SUBSTITUTE($G1658,"-"," ",LEN($G1658)-LEN(SUBSTITUTE($G1658,"-",""))),"-"," ",LEN($G1658)-LEN(SUBSTITUTE($G1658,"-",""))-1),SUBSTITUTE(SUBSTITUTE(SUBSTITUTE($G1658,"-"," ",LEN($G1658)-LEN(SUBSTITUTE($G1658,"-",""))),"-"," ",LEN($G1658)-LEN(SUBSTITUTE($G1658,"-",""))-1),"."," ",(LEN(SUBSTITUTE(SUBSTITUTE($G1658,"-"," ",LEN($G1658)-LEN(SUBSTITUTE($G1658,"-",""))),"-"," ",LEN($G1658)-LEN(SUBSTITUTE($G1658,"-",""))-1))-LEN(SUBSTITUTE(SUBSTITUTE(SUBSTITUTE($G1658,"-"," ",LEN($G1658)-LEN(SUBSTITUTE($G1658,"-",""))),"-"," ",LEN($G1658)-LEN(SUBSTITUTE($G1658,"-",""))-1),".",""))))),$G1658)))</f>
        <v/>
      </c>
    </row>
    <row r="1659">
      <c r="A1659" s="58" t="n"/>
      <c r="B1659" s="58">
        <f>IF($H1659="","",LEFT($H1659,FIND(" ",$H1659&amp;" ")-1))</f>
        <v/>
      </c>
      <c r="C1659" s="58">
        <f>IF($H1659="","",IFERROR(MID($H1659&amp;" ",FIND("|",SUBSTITUTE($H1659&amp;" "," ","|",1))+1,FIND("|",SUBSTITUTE($H1659&amp;" "," ","|",2))-FIND("|",SUBSTITUTE($H1659&amp;" "," ","|",1))-1),""))</f>
        <v/>
      </c>
      <c r="D1659" s="58">
        <f>IF($H1659="","",IFERROR(MID($H1659&amp;" ",FIND("|",SUBSTITUTE($H1659&amp;" "," ","|",2))+1,FIND("|",SUBSTITUTE($H1659&amp;" "," ","|",3))-FIND("|",SUBSTITUTE($H1659&amp;" "," ","|",2))-1),""))</f>
        <v/>
      </c>
      <c r="E1659" s="58">
        <f>IF($H1659="","",IFERROR(MID($H1659&amp;" ",FIND("|",SUBSTITUTE($H1659&amp;" "," ","|",3))+1,FIND("|",SUBSTITUTE($H1659&amp;" "," ","|",4))-FIND("|",SUBSTITUTE($H1659&amp;" "," ","|",3))-1),""))</f>
        <v/>
      </c>
      <c r="F1659" s="59">
        <f>IF($H1659="","",IFERROR(VALUE(IFERROR(MID($H1659&amp;" ",FIND("|",SUBSTITUTE($H1659&amp;" "," ","|",4))+1,FIND("|",SUBSTITUTE($H1659&amp;" "," ","|",5))-FIND("|",SUBSTITUTE($H1659&amp;" "," ","|",4))-1),""))/86400+25569+9/24,""))</f>
        <v/>
      </c>
      <c r="G1659" s="58">
        <f>TRIM(SUBSTITUTE(SUBSTITUTE(SUBSTITUTE($A1659,CHAR(9)," ")," "," "),CHAR(13),""))</f>
        <v/>
      </c>
      <c r="H1659" s="58">
        <f>IF($G1659="","",IF(ISNUMBER(FIND(" ",$G1659)),$G1659,IFERROR(IF((LEN(SUBSTITUTE(SUBSTITUTE($G1659,"-"," ",LEN($G1659)-LEN(SUBSTITUTE($G1659,"-",""))),"-"," ",LEN($G1659)-LEN(SUBSTITUTE($G1659,"-",""))-1))-LEN(SUBSTITUTE(SUBSTITUTE(SUBSTITUTE($G1659,"-"," ",LEN($G1659)-LEN(SUBSTITUTE($G1659,"-",""))),"-"," ",LEN($G1659)-LEN(SUBSTITUTE($G1659,"-",""))-1),".","")))=0,SUBSTITUTE(SUBSTITUTE($G1659,"-"," ",LEN($G1659)-LEN(SUBSTITUTE($G1659,"-",""))),"-"," ",LEN($G1659)-LEN(SUBSTITUTE($G1659,"-",""))-1),SUBSTITUTE(SUBSTITUTE(SUBSTITUTE($G1659,"-"," ",LEN($G1659)-LEN(SUBSTITUTE($G1659,"-",""))),"-"," ",LEN($G1659)-LEN(SUBSTITUTE($G1659,"-",""))-1),"."," ",(LEN(SUBSTITUTE(SUBSTITUTE($G1659,"-"," ",LEN($G1659)-LEN(SUBSTITUTE($G1659,"-",""))),"-"," ",LEN($G1659)-LEN(SUBSTITUTE($G1659,"-",""))-1))-LEN(SUBSTITUTE(SUBSTITUTE(SUBSTITUTE($G1659,"-"," ",LEN($G1659)-LEN(SUBSTITUTE($G1659,"-",""))),"-"," ",LEN($G1659)-LEN(SUBSTITUTE($G1659,"-",""))-1),".",""))))),$G1659)))</f>
        <v/>
      </c>
    </row>
    <row r="1660">
      <c r="A1660" s="58" t="n"/>
      <c r="B1660" s="58">
        <f>IF($H1660="","",LEFT($H1660,FIND(" ",$H1660&amp;" ")-1))</f>
        <v/>
      </c>
      <c r="C1660" s="58">
        <f>IF($H1660="","",IFERROR(MID($H1660&amp;" ",FIND("|",SUBSTITUTE($H1660&amp;" "," ","|",1))+1,FIND("|",SUBSTITUTE($H1660&amp;" "," ","|",2))-FIND("|",SUBSTITUTE($H1660&amp;" "," ","|",1))-1),""))</f>
        <v/>
      </c>
      <c r="D1660" s="58">
        <f>IF($H1660="","",IFERROR(MID($H1660&amp;" ",FIND("|",SUBSTITUTE($H1660&amp;" "," ","|",2))+1,FIND("|",SUBSTITUTE($H1660&amp;" "," ","|",3))-FIND("|",SUBSTITUTE($H1660&amp;" "," ","|",2))-1),""))</f>
        <v/>
      </c>
      <c r="E1660" s="58">
        <f>IF($H1660="","",IFERROR(MID($H1660&amp;" ",FIND("|",SUBSTITUTE($H1660&amp;" "," ","|",3))+1,FIND("|",SUBSTITUTE($H1660&amp;" "," ","|",4))-FIND("|",SUBSTITUTE($H1660&amp;" "," ","|",3))-1),""))</f>
        <v/>
      </c>
      <c r="F1660" s="59">
        <f>IF($H1660="","",IFERROR(VALUE(IFERROR(MID($H1660&amp;" ",FIND("|",SUBSTITUTE($H1660&amp;" "," ","|",4))+1,FIND("|",SUBSTITUTE($H1660&amp;" "," ","|",5))-FIND("|",SUBSTITUTE($H1660&amp;" "," ","|",4))-1),""))/86400+25569+9/24,""))</f>
        <v/>
      </c>
      <c r="G1660" s="58">
        <f>TRIM(SUBSTITUTE(SUBSTITUTE(SUBSTITUTE($A1660,CHAR(9)," ")," "," "),CHAR(13),""))</f>
        <v/>
      </c>
      <c r="H1660" s="58">
        <f>IF($G1660="","",IF(ISNUMBER(FIND(" ",$G1660)),$G1660,IFERROR(IF((LEN(SUBSTITUTE(SUBSTITUTE($G1660,"-"," ",LEN($G1660)-LEN(SUBSTITUTE($G1660,"-",""))),"-"," ",LEN($G1660)-LEN(SUBSTITUTE($G1660,"-",""))-1))-LEN(SUBSTITUTE(SUBSTITUTE(SUBSTITUTE($G1660,"-"," ",LEN($G1660)-LEN(SUBSTITUTE($G1660,"-",""))),"-"," ",LEN($G1660)-LEN(SUBSTITUTE($G1660,"-",""))-1),".","")))=0,SUBSTITUTE(SUBSTITUTE($G1660,"-"," ",LEN($G1660)-LEN(SUBSTITUTE($G1660,"-",""))),"-"," ",LEN($G1660)-LEN(SUBSTITUTE($G1660,"-",""))-1),SUBSTITUTE(SUBSTITUTE(SUBSTITUTE($G1660,"-"," ",LEN($G1660)-LEN(SUBSTITUTE($G1660,"-",""))),"-"," ",LEN($G1660)-LEN(SUBSTITUTE($G1660,"-",""))-1),"."," ",(LEN(SUBSTITUTE(SUBSTITUTE($G1660,"-"," ",LEN($G1660)-LEN(SUBSTITUTE($G1660,"-",""))),"-"," ",LEN($G1660)-LEN(SUBSTITUTE($G1660,"-",""))-1))-LEN(SUBSTITUTE(SUBSTITUTE(SUBSTITUTE($G1660,"-"," ",LEN($G1660)-LEN(SUBSTITUTE($G1660,"-",""))),"-"," ",LEN($G1660)-LEN(SUBSTITUTE($G1660,"-",""))-1),".",""))))),$G1660)))</f>
        <v/>
      </c>
    </row>
    <row r="1661">
      <c r="A1661" s="58" t="n"/>
      <c r="B1661" s="58">
        <f>IF($H1661="","",LEFT($H1661,FIND(" ",$H1661&amp;" ")-1))</f>
        <v/>
      </c>
      <c r="C1661" s="58">
        <f>IF($H1661="","",IFERROR(MID($H1661&amp;" ",FIND("|",SUBSTITUTE($H1661&amp;" "," ","|",1))+1,FIND("|",SUBSTITUTE($H1661&amp;" "," ","|",2))-FIND("|",SUBSTITUTE($H1661&amp;" "," ","|",1))-1),""))</f>
        <v/>
      </c>
      <c r="D1661" s="58">
        <f>IF($H1661="","",IFERROR(MID($H1661&amp;" ",FIND("|",SUBSTITUTE($H1661&amp;" "," ","|",2))+1,FIND("|",SUBSTITUTE($H1661&amp;" "," ","|",3))-FIND("|",SUBSTITUTE($H1661&amp;" "," ","|",2))-1),""))</f>
        <v/>
      </c>
      <c r="E1661" s="58">
        <f>IF($H1661="","",IFERROR(MID($H1661&amp;" ",FIND("|",SUBSTITUTE($H1661&amp;" "," ","|",3))+1,FIND("|",SUBSTITUTE($H1661&amp;" "," ","|",4))-FIND("|",SUBSTITUTE($H1661&amp;" "," ","|",3))-1),""))</f>
        <v/>
      </c>
      <c r="F1661" s="59">
        <f>IF($H1661="","",IFERROR(VALUE(IFERROR(MID($H1661&amp;" ",FIND("|",SUBSTITUTE($H1661&amp;" "," ","|",4))+1,FIND("|",SUBSTITUTE($H1661&amp;" "," ","|",5))-FIND("|",SUBSTITUTE($H1661&amp;" "," ","|",4))-1),""))/86400+25569+9/24,""))</f>
        <v/>
      </c>
      <c r="G1661" s="58">
        <f>TRIM(SUBSTITUTE(SUBSTITUTE(SUBSTITUTE($A1661,CHAR(9)," ")," "," "),CHAR(13),""))</f>
        <v/>
      </c>
      <c r="H1661" s="58">
        <f>IF($G1661="","",IF(ISNUMBER(FIND(" ",$G1661)),$G1661,IFERROR(IF((LEN(SUBSTITUTE(SUBSTITUTE($G1661,"-"," ",LEN($G1661)-LEN(SUBSTITUTE($G1661,"-",""))),"-"," ",LEN($G1661)-LEN(SUBSTITUTE($G1661,"-",""))-1))-LEN(SUBSTITUTE(SUBSTITUTE(SUBSTITUTE($G1661,"-"," ",LEN($G1661)-LEN(SUBSTITUTE($G1661,"-",""))),"-"," ",LEN($G1661)-LEN(SUBSTITUTE($G1661,"-",""))-1),".","")))=0,SUBSTITUTE(SUBSTITUTE($G1661,"-"," ",LEN($G1661)-LEN(SUBSTITUTE($G1661,"-",""))),"-"," ",LEN($G1661)-LEN(SUBSTITUTE($G1661,"-",""))-1),SUBSTITUTE(SUBSTITUTE(SUBSTITUTE($G1661,"-"," ",LEN($G1661)-LEN(SUBSTITUTE($G1661,"-",""))),"-"," ",LEN($G1661)-LEN(SUBSTITUTE($G1661,"-",""))-1),"."," ",(LEN(SUBSTITUTE(SUBSTITUTE($G1661,"-"," ",LEN($G1661)-LEN(SUBSTITUTE($G1661,"-",""))),"-"," ",LEN($G1661)-LEN(SUBSTITUTE($G1661,"-",""))-1))-LEN(SUBSTITUTE(SUBSTITUTE(SUBSTITUTE($G1661,"-"," ",LEN($G1661)-LEN(SUBSTITUTE($G1661,"-",""))),"-"," ",LEN($G1661)-LEN(SUBSTITUTE($G1661,"-",""))-1),".",""))))),$G1661)))</f>
        <v/>
      </c>
    </row>
    <row r="1662">
      <c r="A1662" s="58" t="n"/>
      <c r="B1662" s="58">
        <f>IF($H1662="","",LEFT($H1662,FIND(" ",$H1662&amp;" ")-1))</f>
        <v/>
      </c>
      <c r="C1662" s="58">
        <f>IF($H1662="","",IFERROR(MID($H1662&amp;" ",FIND("|",SUBSTITUTE($H1662&amp;" "," ","|",1))+1,FIND("|",SUBSTITUTE($H1662&amp;" "," ","|",2))-FIND("|",SUBSTITUTE($H1662&amp;" "," ","|",1))-1),""))</f>
        <v/>
      </c>
      <c r="D1662" s="58">
        <f>IF($H1662="","",IFERROR(MID($H1662&amp;" ",FIND("|",SUBSTITUTE($H1662&amp;" "," ","|",2))+1,FIND("|",SUBSTITUTE($H1662&amp;" "," ","|",3))-FIND("|",SUBSTITUTE($H1662&amp;" "," ","|",2))-1),""))</f>
        <v/>
      </c>
      <c r="E1662" s="58">
        <f>IF($H1662="","",IFERROR(MID($H1662&amp;" ",FIND("|",SUBSTITUTE($H1662&amp;" "," ","|",3))+1,FIND("|",SUBSTITUTE($H1662&amp;" "," ","|",4))-FIND("|",SUBSTITUTE($H1662&amp;" "," ","|",3))-1),""))</f>
        <v/>
      </c>
      <c r="F1662" s="59">
        <f>IF($H1662="","",IFERROR(VALUE(IFERROR(MID($H1662&amp;" ",FIND("|",SUBSTITUTE($H1662&amp;" "," ","|",4))+1,FIND("|",SUBSTITUTE($H1662&amp;" "," ","|",5))-FIND("|",SUBSTITUTE($H1662&amp;" "," ","|",4))-1),""))/86400+25569+9/24,""))</f>
        <v/>
      </c>
      <c r="G1662" s="58">
        <f>TRIM(SUBSTITUTE(SUBSTITUTE(SUBSTITUTE($A1662,CHAR(9)," ")," "," "),CHAR(13),""))</f>
        <v/>
      </c>
      <c r="H1662" s="58">
        <f>IF($G1662="","",IF(ISNUMBER(FIND(" ",$G1662)),$G1662,IFERROR(IF((LEN(SUBSTITUTE(SUBSTITUTE($G1662,"-"," ",LEN($G1662)-LEN(SUBSTITUTE($G1662,"-",""))),"-"," ",LEN($G1662)-LEN(SUBSTITUTE($G1662,"-",""))-1))-LEN(SUBSTITUTE(SUBSTITUTE(SUBSTITUTE($G1662,"-"," ",LEN($G1662)-LEN(SUBSTITUTE($G1662,"-",""))),"-"," ",LEN($G1662)-LEN(SUBSTITUTE($G1662,"-",""))-1),".","")))=0,SUBSTITUTE(SUBSTITUTE($G1662,"-"," ",LEN($G1662)-LEN(SUBSTITUTE($G1662,"-",""))),"-"," ",LEN($G1662)-LEN(SUBSTITUTE($G1662,"-",""))-1),SUBSTITUTE(SUBSTITUTE(SUBSTITUTE($G1662,"-"," ",LEN($G1662)-LEN(SUBSTITUTE($G1662,"-",""))),"-"," ",LEN($G1662)-LEN(SUBSTITUTE($G1662,"-",""))-1),"."," ",(LEN(SUBSTITUTE(SUBSTITUTE($G1662,"-"," ",LEN($G1662)-LEN(SUBSTITUTE($G1662,"-",""))),"-"," ",LEN($G1662)-LEN(SUBSTITUTE($G1662,"-",""))-1))-LEN(SUBSTITUTE(SUBSTITUTE(SUBSTITUTE($G1662,"-"," ",LEN($G1662)-LEN(SUBSTITUTE($G1662,"-",""))),"-"," ",LEN($G1662)-LEN(SUBSTITUTE($G1662,"-",""))-1),".",""))))),$G1662)))</f>
        <v/>
      </c>
    </row>
    <row r="1663">
      <c r="A1663" s="58" t="n"/>
      <c r="B1663" s="58">
        <f>IF($H1663="","",LEFT($H1663,FIND(" ",$H1663&amp;" ")-1))</f>
        <v/>
      </c>
      <c r="C1663" s="58">
        <f>IF($H1663="","",IFERROR(MID($H1663&amp;" ",FIND("|",SUBSTITUTE($H1663&amp;" "," ","|",1))+1,FIND("|",SUBSTITUTE($H1663&amp;" "," ","|",2))-FIND("|",SUBSTITUTE($H1663&amp;" "," ","|",1))-1),""))</f>
        <v/>
      </c>
      <c r="D1663" s="58">
        <f>IF($H1663="","",IFERROR(MID($H1663&amp;" ",FIND("|",SUBSTITUTE($H1663&amp;" "," ","|",2))+1,FIND("|",SUBSTITUTE($H1663&amp;" "," ","|",3))-FIND("|",SUBSTITUTE($H1663&amp;" "," ","|",2))-1),""))</f>
        <v/>
      </c>
      <c r="E1663" s="58">
        <f>IF($H1663="","",IFERROR(MID($H1663&amp;" ",FIND("|",SUBSTITUTE($H1663&amp;" "," ","|",3))+1,FIND("|",SUBSTITUTE($H1663&amp;" "," ","|",4))-FIND("|",SUBSTITUTE($H1663&amp;" "," ","|",3))-1),""))</f>
        <v/>
      </c>
      <c r="F1663" s="59">
        <f>IF($H1663="","",IFERROR(VALUE(IFERROR(MID($H1663&amp;" ",FIND("|",SUBSTITUTE($H1663&amp;" "," ","|",4))+1,FIND("|",SUBSTITUTE($H1663&amp;" "," ","|",5))-FIND("|",SUBSTITUTE($H1663&amp;" "," ","|",4))-1),""))/86400+25569+9/24,""))</f>
        <v/>
      </c>
      <c r="G1663" s="58">
        <f>TRIM(SUBSTITUTE(SUBSTITUTE(SUBSTITUTE($A1663,CHAR(9)," ")," "," "),CHAR(13),""))</f>
        <v/>
      </c>
      <c r="H1663" s="58">
        <f>IF($G1663="","",IF(ISNUMBER(FIND(" ",$G1663)),$G1663,IFERROR(IF((LEN(SUBSTITUTE(SUBSTITUTE($G1663,"-"," ",LEN($G1663)-LEN(SUBSTITUTE($G1663,"-",""))),"-"," ",LEN($G1663)-LEN(SUBSTITUTE($G1663,"-",""))-1))-LEN(SUBSTITUTE(SUBSTITUTE(SUBSTITUTE($G1663,"-"," ",LEN($G1663)-LEN(SUBSTITUTE($G1663,"-",""))),"-"," ",LEN($G1663)-LEN(SUBSTITUTE($G1663,"-",""))-1),".","")))=0,SUBSTITUTE(SUBSTITUTE($G1663,"-"," ",LEN($G1663)-LEN(SUBSTITUTE($G1663,"-",""))),"-"," ",LEN($G1663)-LEN(SUBSTITUTE($G1663,"-",""))-1),SUBSTITUTE(SUBSTITUTE(SUBSTITUTE($G1663,"-"," ",LEN($G1663)-LEN(SUBSTITUTE($G1663,"-",""))),"-"," ",LEN($G1663)-LEN(SUBSTITUTE($G1663,"-",""))-1),"."," ",(LEN(SUBSTITUTE(SUBSTITUTE($G1663,"-"," ",LEN($G1663)-LEN(SUBSTITUTE($G1663,"-",""))),"-"," ",LEN($G1663)-LEN(SUBSTITUTE($G1663,"-",""))-1))-LEN(SUBSTITUTE(SUBSTITUTE(SUBSTITUTE($G1663,"-"," ",LEN($G1663)-LEN(SUBSTITUTE($G1663,"-",""))),"-"," ",LEN($G1663)-LEN(SUBSTITUTE($G1663,"-",""))-1),".",""))))),$G1663)))</f>
        <v/>
      </c>
    </row>
    <row r="1664">
      <c r="A1664" s="58" t="n"/>
      <c r="B1664" s="58">
        <f>IF($H1664="","",LEFT($H1664,FIND(" ",$H1664&amp;" ")-1))</f>
        <v/>
      </c>
      <c r="C1664" s="58">
        <f>IF($H1664="","",IFERROR(MID($H1664&amp;" ",FIND("|",SUBSTITUTE($H1664&amp;" "," ","|",1))+1,FIND("|",SUBSTITUTE($H1664&amp;" "," ","|",2))-FIND("|",SUBSTITUTE($H1664&amp;" "," ","|",1))-1),""))</f>
        <v/>
      </c>
      <c r="D1664" s="58">
        <f>IF($H1664="","",IFERROR(MID($H1664&amp;" ",FIND("|",SUBSTITUTE($H1664&amp;" "," ","|",2))+1,FIND("|",SUBSTITUTE($H1664&amp;" "," ","|",3))-FIND("|",SUBSTITUTE($H1664&amp;" "," ","|",2))-1),""))</f>
        <v/>
      </c>
      <c r="E1664" s="58">
        <f>IF($H1664="","",IFERROR(MID($H1664&amp;" ",FIND("|",SUBSTITUTE($H1664&amp;" "," ","|",3))+1,FIND("|",SUBSTITUTE($H1664&amp;" "," ","|",4))-FIND("|",SUBSTITUTE($H1664&amp;" "," ","|",3))-1),""))</f>
        <v/>
      </c>
      <c r="F1664" s="59">
        <f>IF($H1664="","",IFERROR(VALUE(IFERROR(MID($H1664&amp;" ",FIND("|",SUBSTITUTE($H1664&amp;" "," ","|",4))+1,FIND("|",SUBSTITUTE($H1664&amp;" "," ","|",5))-FIND("|",SUBSTITUTE($H1664&amp;" "," ","|",4))-1),""))/86400+25569+9/24,""))</f>
        <v/>
      </c>
      <c r="G1664" s="58">
        <f>TRIM(SUBSTITUTE(SUBSTITUTE(SUBSTITUTE($A1664,CHAR(9)," ")," "," "),CHAR(13),""))</f>
        <v/>
      </c>
      <c r="H1664" s="58">
        <f>IF($G1664="","",IF(ISNUMBER(FIND(" ",$G1664)),$G1664,IFERROR(IF((LEN(SUBSTITUTE(SUBSTITUTE($G1664,"-"," ",LEN($G1664)-LEN(SUBSTITUTE($G1664,"-",""))),"-"," ",LEN($G1664)-LEN(SUBSTITUTE($G1664,"-",""))-1))-LEN(SUBSTITUTE(SUBSTITUTE(SUBSTITUTE($G1664,"-"," ",LEN($G1664)-LEN(SUBSTITUTE($G1664,"-",""))),"-"," ",LEN($G1664)-LEN(SUBSTITUTE($G1664,"-",""))-1),".","")))=0,SUBSTITUTE(SUBSTITUTE($G1664,"-"," ",LEN($G1664)-LEN(SUBSTITUTE($G1664,"-",""))),"-"," ",LEN($G1664)-LEN(SUBSTITUTE($G1664,"-",""))-1),SUBSTITUTE(SUBSTITUTE(SUBSTITUTE($G1664,"-"," ",LEN($G1664)-LEN(SUBSTITUTE($G1664,"-",""))),"-"," ",LEN($G1664)-LEN(SUBSTITUTE($G1664,"-",""))-1),"."," ",(LEN(SUBSTITUTE(SUBSTITUTE($G1664,"-"," ",LEN($G1664)-LEN(SUBSTITUTE($G1664,"-",""))),"-"," ",LEN($G1664)-LEN(SUBSTITUTE($G1664,"-",""))-1))-LEN(SUBSTITUTE(SUBSTITUTE(SUBSTITUTE($G1664,"-"," ",LEN($G1664)-LEN(SUBSTITUTE($G1664,"-",""))),"-"," ",LEN($G1664)-LEN(SUBSTITUTE($G1664,"-",""))-1),".",""))))),$G1664)))</f>
        <v/>
      </c>
    </row>
    <row r="1665">
      <c r="A1665" s="58" t="n"/>
      <c r="B1665" s="58">
        <f>IF($H1665="","",LEFT($H1665,FIND(" ",$H1665&amp;" ")-1))</f>
        <v/>
      </c>
      <c r="C1665" s="58">
        <f>IF($H1665="","",IFERROR(MID($H1665&amp;" ",FIND("|",SUBSTITUTE($H1665&amp;" "," ","|",1))+1,FIND("|",SUBSTITUTE($H1665&amp;" "," ","|",2))-FIND("|",SUBSTITUTE($H1665&amp;" "," ","|",1))-1),""))</f>
        <v/>
      </c>
      <c r="D1665" s="58">
        <f>IF($H1665="","",IFERROR(MID($H1665&amp;" ",FIND("|",SUBSTITUTE($H1665&amp;" "," ","|",2))+1,FIND("|",SUBSTITUTE($H1665&amp;" "," ","|",3))-FIND("|",SUBSTITUTE($H1665&amp;" "," ","|",2))-1),""))</f>
        <v/>
      </c>
      <c r="E1665" s="58">
        <f>IF($H1665="","",IFERROR(MID($H1665&amp;" ",FIND("|",SUBSTITUTE($H1665&amp;" "," ","|",3))+1,FIND("|",SUBSTITUTE($H1665&amp;" "," ","|",4))-FIND("|",SUBSTITUTE($H1665&amp;" "," ","|",3))-1),""))</f>
        <v/>
      </c>
      <c r="F1665" s="59">
        <f>IF($H1665="","",IFERROR(VALUE(IFERROR(MID($H1665&amp;" ",FIND("|",SUBSTITUTE($H1665&amp;" "," ","|",4))+1,FIND("|",SUBSTITUTE($H1665&amp;" "," ","|",5))-FIND("|",SUBSTITUTE($H1665&amp;" "," ","|",4))-1),""))/86400+25569+9/24,""))</f>
        <v/>
      </c>
      <c r="G1665" s="58">
        <f>TRIM(SUBSTITUTE(SUBSTITUTE(SUBSTITUTE($A1665,CHAR(9)," ")," "," "),CHAR(13),""))</f>
        <v/>
      </c>
      <c r="H1665" s="58">
        <f>IF($G1665="","",IF(ISNUMBER(FIND(" ",$G1665)),$G1665,IFERROR(IF((LEN(SUBSTITUTE(SUBSTITUTE($G1665,"-"," ",LEN($G1665)-LEN(SUBSTITUTE($G1665,"-",""))),"-"," ",LEN($G1665)-LEN(SUBSTITUTE($G1665,"-",""))-1))-LEN(SUBSTITUTE(SUBSTITUTE(SUBSTITUTE($G1665,"-"," ",LEN($G1665)-LEN(SUBSTITUTE($G1665,"-",""))),"-"," ",LEN($G1665)-LEN(SUBSTITUTE($G1665,"-",""))-1),".","")))=0,SUBSTITUTE(SUBSTITUTE($G1665,"-"," ",LEN($G1665)-LEN(SUBSTITUTE($G1665,"-",""))),"-"," ",LEN($G1665)-LEN(SUBSTITUTE($G1665,"-",""))-1),SUBSTITUTE(SUBSTITUTE(SUBSTITUTE($G1665,"-"," ",LEN($G1665)-LEN(SUBSTITUTE($G1665,"-",""))),"-"," ",LEN($G1665)-LEN(SUBSTITUTE($G1665,"-",""))-1),"."," ",(LEN(SUBSTITUTE(SUBSTITUTE($G1665,"-"," ",LEN($G1665)-LEN(SUBSTITUTE($G1665,"-",""))),"-"," ",LEN($G1665)-LEN(SUBSTITUTE($G1665,"-",""))-1))-LEN(SUBSTITUTE(SUBSTITUTE(SUBSTITUTE($G1665,"-"," ",LEN($G1665)-LEN(SUBSTITUTE($G1665,"-",""))),"-"," ",LEN($G1665)-LEN(SUBSTITUTE($G1665,"-",""))-1),".",""))))),$G1665)))</f>
        <v/>
      </c>
    </row>
    <row r="1666">
      <c r="A1666" s="58" t="n"/>
      <c r="B1666" s="58">
        <f>IF($H1666="","",LEFT($H1666,FIND(" ",$H1666&amp;" ")-1))</f>
        <v/>
      </c>
      <c r="C1666" s="58">
        <f>IF($H1666="","",IFERROR(MID($H1666&amp;" ",FIND("|",SUBSTITUTE($H1666&amp;" "," ","|",1))+1,FIND("|",SUBSTITUTE($H1666&amp;" "," ","|",2))-FIND("|",SUBSTITUTE($H1666&amp;" "," ","|",1))-1),""))</f>
        <v/>
      </c>
      <c r="D1666" s="58">
        <f>IF($H1666="","",IFERROR(MID($H1666&amp;" ",FIND("|",SUBSTITUTE($H1666&amp;" "," ","|",2))+1,FIND("|",SUBSTITUTE($H1666&amp;" "," ","|",3))-FIND("|",SUBSTITUTE($H1666&amp;" "," ","|",2))-1),""))</f>
        <v/>
      </c>
      <c r="E1666" s="58">
        <f>IF($H1666="","",IFERROR(MID($H1666&amp;" ",FIND("|",SUBSTITUTE($H1666&amp;" "," ","|",3))+1,FIND("|",SUBSTITUTE($H1666&amp;" "," ","|",4))-FIND("|",SUBSTITUTE($H1666&amp;" "," ","|",3))-1),""))</f>
        <v/>
      </c>
      <c r="F1666" s="59">
        <f>IF($H1666="","",IFERROR(VALUE(IFERROR(MID($H1666&amp;" ",FIND("|",SUBSTITUTE($H1666&amp;" "," ","|",4))+1,FIND("|",SUBSTITUTE($H1666&amp;" "," ","|",5))-FIND("|",SUBSTITUTE($H1666&amp;" "," ","|",4))-1),""))/86400+25569+9/24,""))</f>
        <v/>
      </c>
      <c r="G1666" s="58">
        <f>TRIM(SUBSTITUTE(SUBSTITUTE(SUBSTITUTE($A1666,CHAR(9)," ")," "," "),CHAR(13),""))</f>
        <v/>
      </c>
      <c r="H1666" s="58">
        <f>IF($G1666="","",IF(ISNUMBER(FIND(" ",$G1666)),$G1666,IFERROR(IF((LEN(SUBSTITUTE(SUBSTITUTE($G1666,"-"," ",LEN($G1666)-LEN(SUBSTITUTE($G1666,"-",""))),"-"," ",LEN($G1666)-LEN(SUBSTITUTE($G1666,"-",""))-1))-LEN(SUBSTITUTE(SUBSTITUTE(SUBSTITUTE($G1666,"-"," ",LEN($G1666)-LEN(SUBSTITUTE($G1666,"-",""))),"-"," ",LEN($G1666)-LEN(SUBSTITUTE($G1666,"-",""))-1),".","")))=0,SUBSTITUTE(SUBSTITUTE($G1666,"-"," ",LEN($G1666)-LEN(SUBSTITUTE($G1666,"-",""))),"-"," ",LEN($G1666)-LEN(SUBSTITUTE($G1666,"-",""))-1),SUBSTITUTE(SUBSTITUTE(SUBSTITUTE($G1666,"-"," ",LEN($G1666)-LEN(SUBSTITUTE($G1666,"-",""))),"-"," ",LEN($G1666)-LEN(SUBSTITUTE($G1666,"-",""))-1),"."," ",(LEN(SUBSTITUTE(SUBSTITUTE($G1666,"-"," ",LEN($G1666)-LEN(SUBSTITUTE($G1666,"-",""))),"-"," ",LEN($G1666)-LEN(SUBSTITUTE($G1666,"-",""))-1))-LEN(SUBSTITUTE(SUBSTITUTE(SUBSTITUTE($G1666,"-"," ",LEN($G1666)-LEN(SUBSTITUTE($G1666,"-",""))),"-"," ",LEN($G1666)-LEN(SUBSTITUTE($G1666,"-",""))-1),".",""))))),$G1666)))</f>
        <v/>
      </c>
    </row>
    <row r="1667">
      <c r="A1667" s="58" t="n"/>
      <c r="B1667" s="58">
        <f>IF($H1667="","",LEFT($H1667,FIND(" ",$H1667&amp;" ")-1))</f>
        <v/>
      </c>
      <c r="C1667" s="58">
        <f>IF($H1667="","",IFERROR(MID($H1667&amp;" ",FIND("|",SUBSTITUTE($H1667&amp;" "," ","|",1))+1,FIND("|",SUBSTITUTE($H1667&amp;" "," ","|",2))-FIND("|",SUBSTITUTE($H1667&amp;" "," ","|",1))-1),""))</f>
        <v/>
      </c>
      <c r="D1667" s="58">
        <f>IF($H1667="","",IFERROR(MID($H1667&amp;" ",FIND("|",SUBSTITUTE($H1667&amp;" "," ","|",2))+1,FIND("|",SUBSTITUTE($H1667&amp;" "," ","|",3))-FIND("|",SUBSTITUTE($H1667&amp;" "," ","|",2))-1),""))</f>
        <v/>
      </c>
      <c r="E1667" s="58">
        <f>IF($H1667="","",IFERROR(MID($H1667&amp;" ",FIND("|",SUBSTITUTE($H1667&amp;" "," ","|",3))+1,FIND("|",SUBSTITUTE($H1667&amp;" "," ","|",4))-FIND("|",SUBSTITUTE($H1667&amp;" "," ","|",3))-1),""))</f>
        <v/>
      </c>
      <c r="F1667" s="59">
        <f>IF($H1667="","",IFERROR(VALUE(IFERROR(MID($H1667&amp;" ",FIND("|",SUBSTITUTE($H1667&amp;" "," ","|",4))+1,FIND("|",SUBSTITUTE($H1667&amp;" "," ","|",5))-FIND("|",SUBSTITUTE($H1667&amp;" "," ","|",4))-1),""))/86400+25569+9/24,""))</f>
        <v/>
      </c>
      <c r="G1667" s="58">
        <f>TRIM(SUBSTITUTE(SUBSTITUTE(SUBSTITUTE($A1667,CHAR(9)," ")," "," "),CHAR(13),""))</f>
        <v/>
      </c>
      <c r="H1667" s="58">
        <f>IF($G1667="","",IF(ISNUMBER(FIND(" ",$G1667)),$G1667,IFERROR(IF((LEN(SUBSTITUTE(SUBSTITUTE($G1667,"-"," ",LEN($G1667)-LEN(SUBSTITUTE($G1667,"-",""))),"-"," ",LEN($G1667)-LEN(SUBSTITUTE($G1667,"-",""))-1))-LEN(SUBSTITUTE(SUBSTITUTE(SUBSTITUTE($G1667,"-"," ",LEN($G1667)-LEN(SUBSTITUTE($G1667,"-",""))),"-"," ",LEN($G1667)-LEN(SUBSTITUTE($G1667,"-",""))-1),".","")))=0,SUBSTITUTE(SUBSTITUTE($G1667,"-"," ",LEN($G1667)-LEN(SUBSTITUTE($G1667,"-",""))),"-"," ",LEN($G1667)-LEN(SUBSTITUTE($G1667,"-",""))-1),SUBSTITUTE(SUBSTITUTE(SUBSTITUTE($G1667,"-"," ",LEN($G1667)-LEN(SUBSTITUTE($G1667,"-",""))),"-"," ",LEN($G1667)-LEN(SUBSTITUTE($G1667,"-",""))-1),"."," ",(LEN(SUBSTITUTE(SUBSTITUTE($G1667,"-"," ",LEN($G1667)-LEN(SUBSTITUTE($G1667,"-",""))),"-"," ",LEN($G1667)-LEN(SUBSTITUTE($G1667,"-",""))-1))-LEN(SUBSTITUTE(SUBSTITUTE(SUBSTITUTE($G1667,"-"," ",LEN($G1667)-LEN(SUBSTITUTE($G1667,"-",""))),"-"," ",LEN($G1667)-LEN(SUBSTITUTE($G1667,"-",""))-1),".",""))))),$G1667)))</f>
        <v/>
      </c>
    </row>
    <row r="1668">
      <c r="A1668" s="58" t="n"/>
      <c r="B1668" s="58">
        <f>IF($H1668="","",LEFT($H1668,FIND(" ",$H1668&amp;" ")-1))</f>
        <v/>
      </c>
      <c r="C1668" s="58">
        <f>IF($H1668="","",IFERROR(MID($H1668&amp;" ",FIND("|",SUBSTITUTE($H1668&amp;" "," ","|",1))+1,FIND("|",SUBSTITUTE($H1668&amp;" "," ","|",2))-FIND("|",SUBSTITUTE($H1668&amp;" "," ","|",1))-1),""))</f>
        <v/>
      </c>
      <c r="D1668" s="58">
        <f>IF($H1668="","",IFERROR(MID($H1668&amp;" ",FIND("|",SUBSTITUTE($H1668&amp;" "," ","|",2))+1,FIND("|",SUBSTITUTE($H1668&amp;" "," ","|",3))-FIND("|",SUBSTITUTE($H1668&amp;" "," ","|",2))-1),""))</f>
        <v/>
      </c>
      <c r="E1668" s="58">
        <f>IF($H1668="","",IFERROR(MID($H1668&amp;" ",FIND("|",SUBSTITUTE($H1668&amp;" "," ","|",3))+1,FIND("|",SUBSTITUTE($H1668&amp;" "," ","|",4))-FIND("|",SUBSTITUTE($H1668&amp;" "," ","|",3))-1),""))</f>
        <v/>
      </c>
      <c r="F1668" s="59">
        <f>IF($H1668="","",IFERROR(VALUE(IFERROR(MID($H1668&amp;" ",FIND("|",SUBSTITUTE($H1668&amp;" "," ","|",4))+1,FIND("|",SUBSTITUTE($H1668&amp;" "," ","|",5))-FIND("|",SUBSTITUTE($H1668&amp;" "," ","|",4))-1),""))/86400+25569+9/24,""))</f>
        <v/>
      </c>
      <c r="G1668" s="58">
        <f>TRIM(SUBSTITUTE(SUBSTITUTE(SUBSTITUTE($A1668,CHAR(9)," ")," "," "),CHAR(13),""))</f>
        <v/>
      </c>
      <c r="H1668" s="58">
        <f>IF($G1668="","",IF(ISNUMBER(FIND(" ",$G1668)),$G1668,IFERROR(IF((LEN(SUBSTITUTE(SUBSTITUTE($G1668,"-"," ",LEN($G1668)-LEN(SUBSTITUTE($G1668,"-",""))),"-"," ",LEN($G1668)-LEN(SUBSTITUTE($G1668,"-",""))-1))-LEN(SUBSTITUTE(SUBSTITUTE(SUBSTITUTE($G1668,"-"," ",LEN($G1668)-LEN(SUBSTITUTE($G1668,"-",""))),"-"," ",LEN($G1668)-LEN(SUBSTITUTE($G1668,"-",""))-1),".","")))=0,SUBSTITUTE(SUBSTITUTE($G1668,"-"," ",LEN($G1668)-LEN(SUBSTITUTE($G1668,"-",""))),"-"," ",LEN($G1668)-LEN(SUBSTITUTE($G1668,"-",""))-1),SUBSTITUTE(SUBSTITUTE(SUBSTITUTE($G1668,"-"," ",LEN($G1668)-LEN(SUBSTITUTE($G1668,"-",""))),"-"," ",LEN($G1668)-LEN(SUBSTITUTE($G1668,"-",""))-1),"."," ",(LEN(SUBSTITUTE(SUBSTITUTE($G1668,"-"," ",LEN($G1668)-LEN(SUBSTITUTE($G1668,"-",""))),"-"," ",LEN($G1668)-LEN(SUBSTITUTE($G1668,"-",""))-1))-LEN(SUBSTITUTE(SUBSTITUTE(SUBSTITUTE($G1668,"-"," ",LEN($G1668)-LEN(SUBSTITUTE($G1668,"-",""))),"-"," ",LEN($G1668)-LEN(SUBSTITUTE($G1668,"-",""))-1),".",""))))),$G1668)))</f>
        <v/>
      </c>
    </row>
    <row r="1669">
      <c r="A1669" s="58" t="n"/>
      <c r="B1669" s="58">
        <f>IF($H1669="","",LEFT($H1669,FIND(" ",$H1669&amp;" ")-1))</f>
        <v/>
      </c>
      <c r="C1669" s="58">
        <f>IF($H1669="","",IFERROR(MID($H1669&amp;" ",FIND("|",SUBSTITUTE($H1669&amp;" "," ","|",1))+1,FIND("|",SUBSTITUTE($H1669&amp;" "," ","|",2))-FIND("|",SUBSTITUTE($H1669&amp;" "," ","|",1))-1),""))</f>
        <v/>
      </c>
      <c r="D1669" s="58">
        <f>IF($H1669="","",IFERROR(MID($H1669&amp;" ",FIND("|",SUBSTITUTE($H1669&amp;" "," ","|",2))+1,FIND("|",SUBSTITUTE($H1669&amp;" "," ","|",3))-FIND("|",SUBSTITUTE($H1669&amp;" "," ","|",2))-1),""))</f>
        <v/>
      </c>
      <c r="E1669" s="58">
        <f>IF($H1669="","",IFERROR(MID($H1669&amp;" ",FIND("|",SUBSTITUTE($H1669&amp;" "," ","|",3))+1,FIND("|",SUBSTITUTE($H1669&amp;" "," ","|",4))-FIND("|",SUBSTITUTE($H1669&amp;" "," ","|",3))-1),""))</f>
        <v/>
      </c>
      <c r="F1669" s="59">
        <f>IF($H1669="","",IFERROR(VALUE(IFERROR(MID($H1669&amp;" ",FIND("|",SUBSTITUTE($H1669&amp;" "," ","|",4))+1,FIND("|",SUBSTITUTE($H1669&amp;" "," ","|",5))-FIND("|",SUBSTITUTE($H1669&amp;" "," ","|",4))-1),""))/86400+25569+9/24,""))</f>
        <v/>
      </c>
      <c r="G1669" s="58">
        <f>TRIM(SUBSTITUTE(SUBSTITUTE(SUBSTITUTE($A1669,CHAR(9)," ")," "," "),CHAR(13),""))</f>
        <v/>
      </c>
      <c r="H1669" s="58">
        <f>IF($G1669="","",IF(ISNUMBER(FIND(" ",$G1669)),$G1669,IFERROR(IF((LEN(SUBSTITUTE(SUBSTITUTE($G1669,"-"," ",LEN($G1669)-LEN(SUBSTITUTE($G1669,"-",""))),"-"," ",LEN($G1669)-LEN(SUBSTITUTE($G1669,"-",""))-1))-LEN(SUBSTITUTE(SUBSTITUTE(SUBSTITUTE($G1669,"-"," ",LEN($G1669)-LEN(SUBSTITUTE($G1669,"-",""))),"-"," ",LEN($G1669)-LEN(SUBSTITUTE($G1669,"-",""))-1),".","")))=0,SUBSTITUTE(SUBSTITUTE($G1669,"-"," ",LEN($G1669)-LEN(SUBSTITUTE($G1669,"-",""))),"-"," ",LEN($G1669)-LEN(SUBSTITUTE($G1669,"-",""))-1),SUBSTITUTE(SUBSTITUTE(SUBSTITUTE($G1669,"-"," ",LEN($G1669)-LEN(SUBSTITUTE($G1669,"-",""))),"-"," ",LEN($G1669)-LEN(SUBSTITUTE($G1669,"-",""))-1),"."," ",(LEN(SUBSTITUTE(SUBSTITUTE($G1669,"-"," ",LEN($G1669)-LEN(SUBSTITUTE($G1669,"-",""))),"-"," ",LEN($G1669)-LEN(SUBSTITUTE($G1669,"-",""))-1))-LEN(SUBSTITUTE(SUBSTITUTE(SUBSTITUTE($G1669,"-"," ",LEN($G1669)-LEN(SUBSTITUTE($G1669,"-",""))),"-"," ",LEN($G1669)-LEN(SUBSTITUTE($G1669,"-",""))-1),".",""))))),$G1669)))</f>
        <v/>
      </c>
    </row>
    <row r="1670">
      <c r="A1670" s="58" t="n"/>
      <c r="B1670" s="58">
        <f>IF($H1670="","",LEFT($H1670,FIND(" ",$H1670&amp;" ")-1))</f>
        <v/>
      </c>
      <c r="C1670" s="58">
        <f>IF($H1670="","",IFERROR(MID($H1670&amp;" ",FIND("|",SUBSTITUTE($H1670&amp;" "," ","|",1))+1,FIND("|",SUBSTITUTE($H1670&amp;" "," ","|",2))-FIND("|",SUBSTITUTE($H1670&amp;" "," ","|",1))-1),""))</f>
        <v/>
      </c>
      <c r="D1670" s="58">
        <f>IF($H1670="","",IFERROR(MID($H1670&amp;" ",FIND("|",SUBSTITUTE($H1670&amp;" "," ","|",2))+1,FIND("|",SUBSTITUTE($H1670&amp;" "," ","|",3))-FIND("|",SUBSTITUTE($H1670&amp;" "," ","|",2))-1),""))</f>
        <v/>
      </c>
      <c r="E1670" s="58">
        <f>IF($H1670="","",IFERROR(MID($H1670&amp;" ",FIND("|",SUBSTITUTE($H1670&amp;" "," ","|",3))+1,FIND("|",SUBSTITUTE($H1670&amp;" "," ","|",4))-FIND("|",SUBSTITUTE($H1670&amp;" "," ","|",3))-1),""))</f>
        <v/>
      </c>
      <c r="F1670" s="59">
        <f>IF($H1670="","",IFERROR(VALUE(IFERROR(MID($H1670&amp;" ",FIND("|",SUBSTITUTE($H1670&amp;" "," ","|",4))+1,FIND("|",SUBSTITUTE($H1670&amp;" "," ","|",5))-FIND("|",SUBSTITUTE($H1670&amp;" "," ","|",4))-1),""))/86400+25569+9/24,""))</f>
        <v/>
      </c>
      <c r="G1670" s="58">
        <f>TRIM(SUBSTITUTE(SUBSTITUTE(SUBSTITUTE($A1670,CHAR(9)," ")," "," "),CHAR(13),""))</f>
        <v/>
      </c>
      <c r="H1670" s="58">
        <f>IF($G1670="","",IF(ISNUMBER(FIND(" ",$G1670)),$G1670,IFERROR(IF((LEN(SUBSTITUTE(SUBSTITUTE($G1670,"-"," ",LEN($G1670)-LEN(SUBSTITUTE($G1670,"-",""))),"-"," ",LEN($G1670)-LEN(SUBSTITUTE($G1670,"-",""))-1))-LEN(SUBSTITUTE(SUBSTITUTE(SUBSTITUTE($G1670,"-"," ",LEN($G1670)-LEN(SUBSTITUTE($G1670,"-",""))),"-"," ",LEN($G1670)-LEN(SUBSTITUTE($G1670,"-",""))-1),".","")))=0,SUBSTITUTE(SUBSTITUTE($G1670,"-"," ",LEN($G1670)-LEN(SUBSTITUTE($G1670,"-",""))),"-"," ",LEN($G1670)-LEN(SUBSTITUTE($G1670,"-",""))-1),SUBSTITUTE(SUBSTITUTE(SUBSTITUTE($G1670,"-"," ",LEN($G1670)-LEN(SUBSTITUTE($G1670,"-",""))),"-"," ",LEN($G1670)-LEN(SUBSTITUTE($G1670,"-",""))-1),"."," ",(LEN(SUBSTITUTE(SUBSTITUTE($G1670,"-"," ",LEN($G1670)-LEN(SUBSTITUTE($G1670,"-",""))),"-"," ",LEN($G1670)-LEN(SUBSTITUTE($G1670,"-",""))-1))-LEN(SUBSTITUTE(SUBSTITUTE(SUBSTITUTE($G1670,"-"," ",LEN($G1670)-LEN(SUBSTITUTE($G1670,"-",""))),"-"," ",LEN($G1670)-LEN(SUBSTITUTE($G1670,"-",""))-1),".",""))))),$G1670)))</f>
        <v/>
      </c>
    </row>
    <row r="1671">
      <c r="A1671" s="58" t="n"/>
      <c r="B1671" s="58">
        <f>IF($H1671="","",LEFT($H1671,FIND(" ",$H1671&amp;" ")-1))</f>
        <v/>
      </c>
      <c r="C1671" s="58">
        <f>IF($H1671="","",IFERROR(MID($H1671&amp;" ",FIND("|",SUBSTITUTE($H1671&amp;" "," ","|",1))+1,FIND("|",SUBSTITUTE($H1671&amp;" "," ","|",2))-FIND("|",SUBSTITUTE($H1671&amp;" "," ","|",1))-1),""))</f>
        <v/>
      </c>
      <c r="D1671" s="58">
        <f>IF($H1671="","",IFERROR(MID($H1671&amp;" ",FIND("|",SUBSTITUTE($H1671&amp;" "," ","|",2))+1,FIND("|",SUBSTITUTE($H1671&amp;" "," ","|",3))-FIND("|",SUBSTITUTE($H1671&amp;" "," ","|",2))-1),""))</f>
        <v/>
      </c>
      <c r="E1671" s="58">
        <f>IF($H1671="","",IFERROR(MID($H1671&amp;" ",FIND("|",SUBSTITUTE($H1671&amp;" "," ","|",3))+1,FIND("|",SUBSTITUTE($H1671&amp;" "," ","|",4))-FIND("|",SUBSTITUTE($H1671&amp;" "," ","|",3))-1),""))</f>
        <v/>
      </c>
      <c r="F1671" s="59">
        <f>IF($H1671="","",IFERROR(VALUE(IFERROR(MID($H1671&amp;" ",FIND("|",SUBSTITUTE($H1671&amp;" "," ","|",4))+1,FIND("|",SUBSTITUTE($H1671&amp;" "," ","|",5))-FIND("|",SUBSTITUTE($H1671&amp;" "," ","|",4))-1),""))/86400+25569+9/24,""))</f>
        <v/>
      </c>
      <c r="G1671" s="58">
        <f>TRIM(SUBSTITUTE(SUBSTITUTE(SUBSTITUTE($A1671,CHAR(9)," ")," "," "),CHAR(13),""))</f>
        <v/>
      </c>
      <c r="H1671" s="58">
        <f>IF($G1671="","",IF(ISNUMBER(FIND(" ",$G1671)),$G1671,IFERROR(IF((LEN(SUBSTITUTE(SUBSTITUTE($G1671,"-"," ",LEN($G1671)-LEN(SUBSTITUTE($G1671,"-",""))),"-"," ",LEN($G1671)-LEN(SUBSTITUTE($G1671,"-",""))-1))-LEN(SUBSTITUTE(SUBSTITUTE(SUBSTITUTE($G1671,"-"," ",LEN($G1671)-LEN(SUBSTITUTE($G1671,"-",""))),"-"," ",LEN($G1671)-LEN(SUBSTITUTE($G1671,"-",""))-1),".","")))=0,SUBSTITUTE(SUBSTITUTE($G1671,"-"," ",LEN($G1671)-LEN(SUBSTITUTE($G1671,"-",""))),"-"," ",LEN($G1671)-LEN(SUBSTITUTE($G1671,"-",""))-1),SUBSTITUTE(SUBSTITUTE(SUBSTITUTE($G1671,"-"," ",LEN($G1671)-LEN(SUBSTITUTE($G1671,"-",""))),"-"," ",LEN($G1671)-LEN(SUBSTITUTE($G1671,"-",""))-1),"."," ",(LEN(SUBSTITUTE(SUBSTITUTE($G1671,"-"," ",LEN($G1671)-LEN(SUBSTITUTE($G1671,"-",""))),"-"," ",LEN($G1671)-LEN(SUBSTITUTE($G1671,"-",""))-1))-LEN(SUBSTITUTE(SUBSTITUTE(SUBSTITUTE($G1671,"-"," ",LEN($G1671)-LEN(SUBSTITUTE($G1671,"-",""))),"-"," ",LEN($G1671)-LEN(SUBSTITUTE($G1671,"-",""))-1),".",""))))),$G1671)))</f>
        <v/>
      </c>
    </row>
    <row r="1672">
      <c r="A1672" s="58" t="n"/>
      <c r="B1672" s="58">
        <f>IF($H1672="","",LEFT($H1672,FIND(" ",$H1672&amp;" ")-1))</f>
        <v/>
      </c>
      <c r="C1672" s="58">
        <f>IF($H1672="","",IFERROR(MID($H1672&amp;" ",FIND("|",SUBSTITUTE($H1672&amp;" "," ","|",1))+1,FIND("|",SUBSTITUTE($H1672&amp;" "," ","|",2))-FIND("|",SUBSTITUTE($H1672&amp;" "," ","|",1))-1),""))</f>
        <v/>
      </c>
      <c r="D1672" s="58">
        <f>IF($H1672="","",IFERROR(MID($H1672&amp;" ",FIND("|",SUBSTITUTE($H1672&amp;" "," ","|",2))+1,FIND("|",SUBSTITUTE($H1672&amp;" "," ","|",3))-FIND("|",SUBSTITUTE($H1672&amp;" "," ","|",2))-1),""))</f>
        <v/>
      </c>
      <c r="E1672" s="58">
        <f>IF($H1672="","",IFERROR(MID($H1672&amp;" ",FIND("|",SUBSTITUTE($H1672&amp;" "," ","|",3))+1,FIND("|",SUBSTITUTE($H1672&amp;" "," ","|",4))-FIND("|",SUBSTITUTE($H1672&amp;" "," ","|",3))-1),""))</f>
        <v/>
      </c>
      <c r="F1672" s="59">
        <f>IF($H1672="","",IFERROR(VALUE(IFERROR(MID($H1672&amp;" ",FIND("|",SUBSTITUTE($H1672&amp;" "," ","|",4))+1,FIND("|",SUBSTITUTE($H1672&amp;" "," ","|",5))-FIND("|",SUBSTITUTE($H1672&amp;" "," ","|",4))-1),""))/86400+25569+9/24,""))</f>
        <v/>
      </c>
      <c r="G1672" s="58">
        <f>TRIM(SUBSTITUTE(SUBSTITUTE(SUBSTITUTE($A1672,CHAR(9)," ")," "," "),CHAR(13),""))</f>
        <v/>
      </c>
      <c r="H1672" s="58">
        <f>IF($G1672="","",IF(ISNUMBER(FIND(" ",$G1672)),$G1672,IFERROR(IF((LEN(SUBSTITUTE(SUBSTITUTE($G1672,"-"," ",LEN($G1672)-LEN(SUBSTITUTE($G1672,"-",""))),"-"," ",LEN($G1672)-LEN(SUBSTITUTE($G1672,"-",""))-1))-LEN(SUBSTITUTE(SUBSTITUTE(SUBSTITUTE($G1672,"-"," ",LEN($G1672)-LEN(SUBSTITUTE($G1672,"-",""))),"-"," ",LEN($G1672)-LEN(SUBSTITUTE($G1672,"-",""))-1),".","")))=0,SUBSTITUTE(SUBSTITUTE($G1672,"-"," ",LEN($G1672)-LEN(SUBSTITUTE($G1672,"-",""))),"-"," ",LEN($G1672)-LEN(SUBSTITUTE($G1672,"-",""))-1),SUBSTITUTE(SUBSTITUTE(SUBSTITUTE($G1672,"-"," ",LEN($G1672)-LEN(SUBSTITUTE($G1672,"-",""))),"-"," ",LEN($G1672)-LEN(SUBSTITUTE($G1672,"-",""))-1),"."," ",(LEN(SUBSTITUTE(SUBSTITUTE($G1672,"-"," ",LEN($G1672)-LEN(SUBSTITUTE($G1672,"-",""))),"-"," ",LEN($G1672)-LEN(SUBSTITUTE($G1672,"-",""))-1))-LEN(SUBSTITUTE(SUBSTITUTE(SUBSTITUTE($G1672,"-"," ",LEN($G1672)-LEN(SUBSTITUTE($G1672,"-",""))),"-"," ",LEN($G1672)-LEN(SUBSTITUTE($G1672,"-",""))-1),".",""))))),$G1672)))</f>
        <v/>
      </c>
    </row>
    <row r="1673">
      <c r="A1673" s="58" t="n"/>
      <c r="B1673" s="58">
        <f>IF($H1673="","",LEFT($H1673,FIND(" ",$H1673&amp;" ")-1))</f>
        <v/>
      </c>
      <c r="C1673" s="58">
        <f>IF($H1673="","",IFERROR(MID($H1673&amp;" ",FIND("|",SUBSTITUTE($H1673&amp;" "," ","|",1))+1,FIND("|",SUBSTITUTE($H1673&amp;" "," ","|",2))-FIND("|",SUBSTITUTE($H1673&amp;" "," ","|",1))-1),""))</f>
        <v/>
      </c>
      <c r="D1673" s="58">
        <f>IF($H1673="","",IFERROR(MID($H1673&amp;" ",FIND("|",SUBSTITUTE($H1673&amp;" "," ","|",2))+1,FIND("|",SUBSTITUTE($H1673&amp;" "," ","|",3))-FIND("|",SUBSTITUTE($H1673&amp;" "," ","|",2))-1),""))</f>
        <v/>
      </c>
      <c r="E1673" s="58">
        <f>IF($H1673="","",IFERROR(MID($H1673&amp;" ",FIND("|",SUBSTITUTE($H1673&amp;" "," ","|",3))+1,FIND("|",SUBSTITUTE($H1673&amp;" "," ","|",4))-FIND("|",SUBSTITUTE($H1673&amp;" "," ","|",3))-1),""))</f>
        <v/>
      </c>
      <c r="F1673" s="59">
        <f>IF($H1673="","",IFERROR(VALUE(IFERROR(MID($H1673&amp;" ",FIND("|",SUBSTITUTE($H1673&amp;" "," ","|",4))+1,FIND("|",SUBSTITUTE($H1673&amp;" "," ","|",5))-FIND("|",SUBSTITUTE($H1673&amp;" "," ","|",4))-1),""))/86400+25569+9/24,""))</f>
        <v/>
      </c>
      <c r="G1673" s="58">
        <f>TRIM(SUBSTITUTE(SUBSTITUTE(SUBSTITUTE($A1673,CHAR(9)," ")," "," "),CHAR(13),""))</f>
        <v/>
      </c>
      <c r="H1673" s="58">
        <f>IF($G1673="","",IF(ISNUMBER(FIND(" ",$G1673)),$G1673,IFERROR(IF((LEN(SUBSTITUTE(SUBSTITUTE($G1673,"-"," ",LEN($G1673)-LEN(SUBSTITUTE($G1673,"-",""))),"-"," ",LEN($G1673)-LEN(SUBSTITUTE($G1673,"-",""))-1))-LEN(SUBSTITUTE(SUBSTITUTE(SUBSTITUTE($G1673,"-"," ",LEN($G1673)-LEN(SUBSTITUTE($G1673,"-",""))),"-"," ",LEN($G1673)-LEN(SUBSTITUTE($G1673,"-",""))-1),".","")))=0,SUBSTITUTE(SUBSTITUTE($G1673,"-"," ",LEN($G1673)-LEN(SUBSTITUTE($G1673,"-",""))),"-"," ",LEN($G1673)-LEN(SUBSTITUTE($G1673,"-",""))-1),SUBSTITUTE(SUBSTITUTE(SUBSTITUTE($G1673,"-"," ",LEN($G1673)-LEN(SUBSTITUTE($G1673,"-",""))),"-"," ",LEN($G1673)-LEN(SUBSTITUTE($G1673,"-",""))-1),"."," ",(LEN(SUBSTITUTE(SUBSTITUTE($G1673,"-"," ",LEN($G1673)-LEN(SUBSTITUTE($G1673,"-",""))),"-"," ",LEN($G1673)-LEN(SUBSTITUTE($G1673,"-",""))-1))-LEN(SUBSTITUTE(SUBSTITUTE(SUBSTITUTE($G1673,"-"," ",LEN($G1673)-LEN(SUBSTITUTE($G1673,"-",""))),"-"," ",LEN($G1673)-LEN(SUBSTITUTE($G1673,"-",""))-1),".",""))))),$G1673)))</f>
        <v/>
      </c>
    </row>
    <row r="1674">
      <c r="A1674" s="58" t="n"/>
      <c r="B1674" s="58">
        <f>IF($H1674="","",LEFT($H1674,FIND(" ",$H1674&amp;" ")-1))</f>
        <v/>
      </c>
      <c r="C1674" s="58">
        <f>IF($H1674="","",IFERROR(MID($H1674&amp;" ",FIND("|",SUBSTITUTE($H1674&amp;" "," ","|",1))+1,FIND("|",SUBSTITUTE($H1674&amp;" "," ","|",2))-FIND("|",SUBSTITUTE($H1674&amp;" "," ","|",1))-1),""))</f>
        <v/>
      </c>
      <c r="D1674" s="58">
        <f>IF($H1674="","",IFERROR(MID($H1674&amp;" ",FIND("|",SUBSTITUTE($H1674&amp;" "," ","|",2))+1,FIND("|",SUBSTITUTE($H1674&amp;" "," ","|",3))-FIND("|",SUBSTITUTE($H1674&amp;" "," ","|",2))-1),""))</f>
        <v/>
      </c>
      <c r="E1674" s="58">
        <f>IF($H1674="","",IFERROR(MID($H1674&amp;" ",FIND("|",SUBSTITUTE($H1674&amp;" "," ","|",3))+1,FIND("|",SUBSTITUTE($H1674&amp;" "," ","|",4))-FIND("|",SUBSTITUTE($H1674&amp;" "," ","|",3))-1),""))</f>
        <v/>
      </c>
      <c r="F1674" s="59">
        <f>IF($H1674="","",IFERROR(VALUE(IFERROR(MID($H1674&amp;" ",FIND("|",SUBSTITUTE($H1674&amp;" "," ","|",4))+1,FIND("|",SUBSTITUTE($H1674&amp;" "," ","|",5))-FIND("|",SUBSTITUTE($H1674&amp;" "," ","|",4))-1),""))/86400+25569+9/24,""))</f>
        <v/>
      </c>
      <c r="G1674" s="58">
        <f>TRIM(SUBSTITUTE(SUBSTITUTE(SUBSTITUTE($A1674,CHAR(9)," ")," "," "),CHAR(13),""))</f>
        <v/>
      </c>
      <c r="H1674" s="58">
        <f>IF($G1674="","",IF(ISNUMBER(FIND(" ",$G1674)),$G1674,IFERROR(IF((LEN(SUBSTITUTE(SUBSTITUTE($G1674,"-"," ",LEN($G1674)-LEN(SUBSTITUTE($G1674,"-",""))),"-"," ",LEN($G1674)-LEN(SUBSTITUTE($G1674,"-",""))-1))-LEN(SUBSTITUTE(SUBSTITUTE(SUBSTITUTE($G1674,"-"," ",LEN($G1674)-LEN(SUBSTITUTE($G1674,"-",""))),"-"," ",LEN($G1674)-LEN(SUBSTITUTE($G1674,"-",""))-1),".","")))=0,SUBSTITUTE(SUBSTITUTE($G1674,"-"," ",LEN($G1674)-LEN(SUBSTITUTE($G1674,"-",""))),"-"," ",LEN($G1674)-LEN(SUBSTITUTE($G1674,"-",""))-1),SUBSTITUTE(SUBSTITUTE(SUBSTITUTE($G1674,"-"," ",LEN($G1674)-LEN(SUBSTITUTE($G1674,"-",""))),"-"," ",LEN($G1674)-LEN(SUBSTITUTE($G1674,"-",""))-1),"."," ",(LEN(SUBSTITUTE(SUBSTITUTE($G1674,"-"," ",LEN($G1674)-LEN(SUBSTITUTE($G1674,"-",""))),"-"," ",LEN($G1674)-LEN(SUBSTITUTE($G1674,"-",""))-1))-LEN(SUBSTITUTE(SUBSTITUTE(SUBSTITUTE($G1674,"-"," ",LEN($G1674)-LEN(SUBSTITUTE($G1674,"-",""))),"-"," ",LEN($G1674)-LEN(SUBSTITUTE($G1674,"-",""))-1),".",""))))),$G1674)))</f>
        <v/>
      </c>
    </row>
    <row r="1675">
      <c r="A1675" s="58" t="n"/>
      <c r="B1675" s="58">
        <f>IF($H1675="","",LEFT($H1675,FIND(" ",$H1675&amp;" ")-1))</f>
        <v/>
      </c>
      <c r="C1675" s="58">
        <f>IF($H1675="","",IFERROR(MID($H1675&amp;" ",FIND("|",SUBSTITUTE($H1675&amp;" "," ","|",1))+1,FIND("|",SUBSTITUTE($H1675&amp;" "," ","|",2))-FIND("|",SUBSTITUTE($H1675&amp;" "," ","|",1))-1),""))</f>
        <v/>
      </c>
      <c r="D1675" s="58">
        <f>IF($H1675="","",IFERROR(MID($H1675&amp;" ",FIND("|",SUBSTITUTE($H1675&amp;" "," ","|",2))+1,FIND("|",SUBSTITUTE($H1675&amp;" "," ","|",3))-FIND("|",SUBSTITUTE($H1675&amp;" "," ","|",2))-1),""))</f>
        <v/>
      </c>
      <c r="E1675" s="58">
        <f>IF($H1675="","",IFERROR(MID($H1675&amp;" ",FIND("|",SUBSTITUTE($H1675&amp;" "," ","|",3))+1,FIND("|",SUBSTITUTE($H1675&amp;" "," ","|",4))-FIND("|",SUBSTITUTE($H1675&amp;" "," ","|",3))-1),""))</f>
        <v/>
      </c>
      <c r="F1675" s="59">
        <f>IF($H1675="","",IFERROR(VALUE(IFERROR(MID($H1675&amp;" ",FIND("|",SUBSTITUTE($H1675&amp;" "," ","|",4))+1,FIND("|",SUBSTITUTE($H1675&amp;" "," ","|",5))-FIND("|",SUBSTITUTE($H1675&amp;" "," ","|",4))-1),""))/86400+25569+9/24,""))</f>
        <v/>
      </c>
      <c r="G1675" s="58">
        <f>TRIM(SUBSTITUTE(SUBSTITUTE(SUBSTITUTE($A1675,CHAR(9)," ")," "," "),CHAR(13),""))</f>
        <v/>
      </c>
      <c r="H1675" s="58">
        <f>IF($G1675="","",IF(ISNUMBER(FIND(" ",$G1675)),$G1675,IFERROR(IF((LEN(SUBSTITUTE(SUBSTITUTE($G1675,"-"," ",LEN($G1675)-LEN(SUBSTITUTE($G1675,"-",""))),"-"," ",LEN($G1675)-LEN(SUBSTITUTE($G1675,"-",""))-1))-LEN(SUBSTITUTE(SUBSTITUTE(SUBSTITUTE($G1675,"-"," ",LEN($G1675)-LEN(SUBSTITUTE($G1675,"-",""))),"-"," ",LEN($G1675)-LEN(SUBSTITUTE($G1675,"-",""))-1),".","")))=0,SUBSTITUTE(SUBSTITUTE($G1675,"-"," ",LEN($G1675)-LEN(SUBSTITUTE($G1675,"-",""))),"-"," ",LEN($G1675)-LEN(SUBSTITUTE($G1675,"-",""))-1),SUBSTITUTE(SUBSTITUTE(SUBSTITUTE($G1675,"-"," ",LEN($G1675)-LEN(SUBSTITUTE($G1675,"-",""))),"-"," ",LEN($G1675)-LEN(SUBSTITUTE($G1675,"-",""))-1),"."," ",(LEN(SUBSTITUTE(SUBSTITUTE($G1675,"-"," ",LEN($G1675)-LEN(SUBSTITUTE($G1675,"-",""))),"-"," ",LEN($G1675)-LEN(SUBSTITUTE($G1675,"-",""))-1))-LEN(SUBSTITUTE(SUBSTITUTE(SUBSTITUTE($G1675,"-"," ",LEN($G1675)-LEN(SUBSTITUTE($G1675,"-",""))),"-"," ",LEN($G1675)-LEN(SUBSTITUTE($G1675,"-",""))-1),".",""))))),$G1675)))</f>
        <v/>
      </c>
    </row>
    <row r="1676">
      <c r="A1676" s="58" t="n"/>
      <c r="B1676" s="58">
        <f>IF($H1676="","",LEFT($H1676,FIND(" ",$H1676&amp;" ")-1))</f>
        <v/>
      </c>
      <c r="C1676" s="58">
        <f>IF($H1676="","",IFERROR(MID($H1676&amp;" ",FIND("|",SUBSTITUTE($H1676&amp;" "," ","|",1))+1,FIND("|",SUBSTITUTE($H1676&amp;" "," ","|",2))-FIND("|",SUBSTITUTE($H1676&amp;" "," ","|",1))-1),""))</f>
        <v/>
      </c>
      <c r="D1676" s="58">
        <f>IF($H1676="","",IFERROR(MID($H1676&amp;" ",FIND("|",SUBSTITUTE($H1676&amp;" "," ","|",2))+1,FIND("|",SUBSTITUTE($H1676&amp;" "," ","|",3))-FIND("|",SUBSTITUTE($H1676&amp;" "," ","|",2))-1),""))</f>
        <v/>
      </c>
      <c r="E1676" s="58">
        <f>IF($H1676="","",IFERROR(MID($H1676&amp;" ",FIND("|",SUBSTITUTE($H1676&amp;" "," ","|",3))+1,FIND("|",SUBSTITUTE($H1676&amp;" "," ","|",4))-FIND("|",SUBSTITUTE($H1676&amp;" "," ","|",3))-1),""))</f>
        <v/>
      </c>
      <c r="F1676" s="59">
        <f>IF($H1676="","",IFERROR(VALUE(IFERROR(MID($H1676&amp;" ",FIND("|",SUBSTITUTE($H1676&amp;" "," ","|",4))+1,FIND("|",SUBSTITUTE($H1676&amp;" "," ","|",5))-FIND("|",SUBSTITUTE($H1676&amp;" "," ","|",4))-1),""))/86400+25569+9/24,""))</f>
        <v/>
      </c>
      <c r="G1676" s="58">
        <f>TRIM(SUBSTITUTE(SUBSTITUTE(SUBSTITUTE($A1676,CHAR(9)," ")," "," "),CHAR(13),""))</f>
        <v/>
      </c>
      <c r="H1676" s="58">
        <f>IF($G1676="","",IF(ISNUMBER(FIND(" ",$G1676)),$G1676,IFERROR(IF((LEN(SUBSTITUTE(SUBSTITUTE($G1676,"-"," ",LEN($G1676)-LEN(SUBSTITUTE($G1676,"-",""))),"-"," ",LEN($G1676)-LEN(SUBSTITUTE($G1676,"-",""))-1))-LEN(SUBSTITUTE(SUBSTITUTE(SUBSTITUTE($G1676,"-"," ",LEN($G1676)-LEN(SUBSTITUTE($G1676,"-",""))),"-"," ",LEN($G1676)-LEN(SUBSTITUTE($G1676,"-",""))-1),".","")))=0,SUBSTITUTE(SUBSTITUTE($G1676,"-"," ",LEN($G1676)-LEN(SUBSTITUTE($G1676,"-",""))),"-"," ",LEN($G1676)-LEN(SUBSTITUTE($G1676,"-",""))-1),SUBSTITUTE(SUBSTITUTE(SUBSTITUTE($G1676,"-"," ",LEN($G1676)-LEN(SUBSTITUTE($G1676,"-",""))),"-"," ",LEN($G1676)-LEN(SUBSTITUTE($G1676,"-",""))-1),"."," ",(LEN(SUBSTITUTE(SUBSTITUTE($G1676,"-"," ",LEN($G1676)-LEN(SUBSTITUTE($G1676,"-",""))),"-"," ",LEN($G1676)-LEN(SUBSTITUTE($G1676,"-",""))-1))-LEN(SUBSTITUTE(SUBSTITUTE(SUBSTITUTE($G1676,"-"," ",LEN($G1676)-LEN(SUBSTITUTE($G1676,"-",""))),"-"," ",LEN($G1676)-LEN(SUBSTITUTE($G1676,"-",""))-1),".",""))))),$G1676)))</f>
        <v/>
      </c>
    </row>
    <row r="1677">
      <c r="A1677" s="58" t="n"/>
      <c r="B1677" s="58">
        <f>IF($H1677="","",LEFT($H1677,FIND(" ",$H1677&amp;" ")-1))</f>
        <v/>
      </c>
      <c r="C1677" s="58">
        <f>IF($H1677="","",IFERROR(MID($H1677&amp;" ",FIND("|",SUBSTITUTE($H1677&amp;" "," ","|",1))+1,FIND("|",SUBSTITUTE($H1677&amp;" "," ","|",2))-FIND("|",SUBSTITUTE($H1677&amp;" "," ","|",1))-1),""))</f>
        <v/>
      </c>
      <c r="D1677" s="58">
        <f>IF($H1677="","",IFERROR(MID($H1677&amp;" ",FIND("|",SUBSTITUTE($H1677&amp;" "," ","|",2))+1,FIND("|",SUBSTITUTE($H1677&amp;" "," ","|",3))-FIND("|",SUBSTITUTE($H1677&amp;" "," ","|",2))-1),""))</f>
        <v/>
      </c>
      <c r="E1677" s="58">
        <f>IF($H1677="","",IFERROR(MID($H1677&amp;" ",FIND("|",SUBSTITUTE($H1677&amp;" "," ","|",3))+1,FIND("|",SUBSTITUTE($H1677&amp;" "," ","|",4))-FIND("|",SUBSTITUTE($H1677&amp;" "," ","|",3))-1),""))</f>
        <v/>
      </c>
      <c r="F1677" s="59">
        <f>IF($H1677="","",IFERROR(VALUE(IFERROR(MID($H1677&amp;" ",FIND("|",SUBSTITUTE($H1677&amp;" "," ","|",4))+1,FIND("|",SUBSTITUTE($H1677&amp;" "," ","|",5))-FIND("|",SUBSTITUTE($H1677&amp;" "," ","|",4))-1),""))/86400+25569+9/24,""))</f>
        <v/>
      </c>
      <c r="G1677" s="58">
        <f>TRIM(SUBSTITUTE(SUBSTITUTE(SUBSTITUTE($A1677,CHAR(9)," ")," "," "),CHAR(13),""))</f>
        <v/>
      </c>
      <c r="H1677" s="58">
        <f>IF($G1677="","",IF(ISNUMBER(FIND(" ",$G1677)),$G1677,IFERROR(IF((LEN(SUBSTITUTE(SUBSTITUTE($G1677,"-"," ",LEN($G1677)-LEN(SUBSTITUTE($G1677,"-",""))),"-"," ",LEN($G1677)-LEN(SUBSTITUTE($G1677,"-",""))-1))-LEN(SUBSTITUTE(SUBSTITUTE(SUBSTITUTE($G1677,"-"," ",LEN($G1677)-LEN(SUBSTITUTE($G1677,"-",""))),"-"," ",LEN($G1677)-LEN(SUBSTITUTE($G1677,"-",""))-1),".","")))=0,SUBSTITUTE(SUBSTITUTE($G1677,"-"," ",LEN($G1677)-LEN(SUBSTITUTE($G1677,"-",""))),"-"," ",LEN($G1677)-LEN(SUBSTITUTE($G1677,"-",""))-1),SUBSTITUTE(SUBSTITUTE(SUBSTITUTE($G1677,"-"," ",LEN($G1677)-LEN(SUBSTITUTE($G1677,"-",""))),"-"," ",LEN($G1677)-LEN(SUBSTITUTE($G1677,"-",""))-1),"."," ",(LEN(SUBSTITUTE(SUBSTITUTE($G1677,"-"," ",LEN($G1677)-LEN(SUBSTITUTE($G1677,"-",""))),"-"," ",LEN($G1677)-LEN(SUBSTITUTE($G1677,"-",""))-1))-LEN(SUBSTITUTE(SUBSTITUTE(SUBSTITUTE($G1677,"-"," ",LEN($G1677)-LEN(SUBSTITUTE($G1677,"-",""))),"-"," ",LEN($G1677)-LEN(SUBSTITUTE($G1677,"-",""))-1),".",""))))),$G1677)))</f>
        <v/>
      </c>
    </row>
    <row r="1678">
      <c r="A1678" s="58" t="n"/>
      <c r="B1678" s="58">
        <f>IF($H1678="","",LEFT($H1678,FIND(" ",$H1678&amp;" ")-1))</f>
        <v/>
      </c>
      <c r="C1678" s="58">
        <f>IF($H1678="","",IFERROR(MID($H1678&amp;" ",FIND("|",SUBSTITUTE($H1678&amp;" "," ","|",1))+1,FIND("|",SUBSTITUTE($H1678&amp;" "," ","|",2))-FIND("|",SUBSTITUTE($H1678&amp;" "," ","|",1))-1),""))</f>
        <v/>
      </c>
      <c r="D1678" s="58">
        <f>IF($H1678="","",IFERROR(MID($H1678&amp;" ",FIND("|",SUBSTITUTE($H1678&amp;" "," ","|",2))+1,FIND("|",SUBSTITUTE($H1678&amp;" "," ","|",3))-FIND("|",SUBSTITUTE($H1678&amp;" "," ","|",2))-1),""))</f>
        <v/>
      </c>
      <c r="E1678" s="58">
        <f>IF($H1678="","",IFERROR(MID($H1678&amp;" ",FIND("|",SUBSTITUTE($H1678&amp;" "," ","|",3))+1,FIND("|",SUBSTITUTE($H1678&amp;" "," ","|",4))-FIND("|",SUBSTITUTE($H1678&amp;" "," ","|",3))-1),""))</f>
        <v/>
      </c>
      <c r="F1678" s="59">
        <f>IF($H1678="","",IFERROR(VALUE(IFERROR(MID($H1678&amp;" ",FIND("|",SUBSTITUTE($H1678&amp;" "," ","|",4))+1,FIND("|",SUBSTITUTE($H1678&amp;" "," ","|",5))-FIND("|",SUBSTITUTE($H1678&amp;" "," ","|",4))-1),""))/86400+25569+9/24,""))</f>
        <v/>
      </c>
      <c r="G1678" s="58">
        <f>TRIM(SUBSTITUTE(SUBSTITUTE(SUBSTITUTE($A1678,CHAR(9)," ")," "," "),CHAR(13),""))</f>
        <v/>
      </c>
      <c r="H1678" s="58">
        <f>IF($G1678="","",IF(ISNUMBER(FIND(" ",$G1678)),$G1678,IFERROR(IF((LEN(SUBSTITUTE(SUBSTITUTE($G1678,"-"," ",LEN($G1678)-LEN(SUBSTITUTE($G1678,"-",""))),"-"," ",LEN($G1678)-LEN(SUBSTITUTE($G1678,"-",""))-1))-LEN(SUBSTITUTE(SUBSTITUTE(SUBSTITUTE($G1678,"-"," ",LEN($G1678)-LEN(SUBSTITUTE($G1678,"-",""))),"-"," ",LEN($G1678)-LEN(SUBSTITUTE($G1678,"-",""))-1),".","")))=0,SUBSTITUTE(SUBSTITUTE($G1678,"-"," ",LEN($G1678)-LEN(SUBSTITUTE($G1678,"-",""))),"-"," ",LEN($G1678)-LEN(SUBSTITUTE($G1678,"-",""))-1),SUBSTITUTE(SUBSTITUTE(SUBSTITUTE($G1678,"-"," ",LEN($G1678)-LEN(SUBSTITUTE($G1678,"-",""))),"-"," ",LEN($G1678)-LEN(SUBSTITUTE($G1678,"-",""))-1),"."," ",(LEN(SUBSTITUTE(SUBSTITUTE($G1678,"-"," ",LEN($G1678)-LEN(SUBSTITUTE($G1678,"-",""))),"-"," ",LEN($G1678)-LEN(SUBSTITUTE($G1678,"-",""))-1))-LEN(SUBSTITUTE(SUBSTITUTE(SUBSTITUTE($G1678,"-"," ",LEN($G1678)-LEN(SUBSTITUTE($G1678,"-",""))),"-"," ",LEN($G1678)-LEN(SUBSTITUTE($G1678,"-",""))-1),".",""))))),$G1678)))</f>
        <v/>
      </c>
    </row>
    <row r="1679">
      <c r="A1679" s="58" t="n"/>
      <c r="B1679" s="58">
        <f>IF($H1679="","",LEFT($H1679,FIND(" ",$H1679&amp;" ")-1))</f>
        <v/>
      </c>
      <c r="C1679" s="58">
        <f>IF($H1679="","",IFERROR(MID($H1679&amp;" ",FIND("|",SUBSTITUTE($H1679&amp;" "," ","|",1))+1,FIND("|",SUBSTITUTE($H1679&amp;" "," ","|",2))-FIND("|",SUBSTITUTE($H1679&amp;" "," ","|",1))-1),""))</f>
        <v/>
      </c>
      <c r="D1679" s="58">
        <f>IF($H1679="","",IFERROR(MID($H1679&amp;" ",FIND("|",SUBSTITUTE($H1679&amp;" "," ","|",2))+1,FIND("|",SUBSTITUTE($H1679&amp;" "," ","|",3))-FIND("|",SUBSTITUTE($H1679&amp;" "," ","|",2))-1),""))</f>
        <v/>
      </c>
      <c r="E1679" s="58">
        <f>IF($H1679="","",IFERROR(MID($H1679&amp;" ",FIND("|",SUBSTITUTE($H1679&amp;" "," ","|",3))+1,FIND("|",SUBSTITUTE($H1679&amp;" "," ","|",4))-FIND("|",SUBSTITUTE($H1679&amp;" "," ","|",3))-1),""))</f>
        <v/>
      </c>
      <c r="F1679" s="59">
        <f>IF($H1679="","",IFERROR(VALUE(IFERROR(MID($H1679&amp;" ",FIND("|",SUBSTITUTE($H1679&amp;" "," ","|",4))+1,FIND("|",SUBSTITUTE($H1679&amp;" "," ","|",5))-FIND("|",SUBSTITUTE($H1679&amp;" "," ","|",4))-1),""))/86400+25569+9/24,""))</f>
        <v/>
      </c>
      <c r="G1679" s="58">
        <f>TRIM(SUBSTITUTE(SUBSTITUTE(SUBSTITUTE($A1679,CHAR(9)," ")," "," "),CHAR(13),""))</f>
        <v/>
      </c>
      <c r="H1679" s="58">
        <f>IF($G1679="","",IF(ISNUMBER(FIND(" ",$G1679)),$G1679,IFERROR(IF((LEN(SUBSTITUTE(SUBSTITUTE($G1679,"-"," ",LEN($G1679)-LEN(SUBSTITUTE($G1679,"-",""))),"-"," ",LEN($G1679)-LEN(SUBSTITUTE($G1679,"-",""))-1))-LEN(SUBSTITUTE(SUBSTITUTE(SUBSTITUTE($G1679,"-"," ",LEN($G1679)-LEN(SUBSTITUTE($G1679,"-",""))),"-"," ",LEN($G1679)-LEN(SUBSTITUTE($G1679,"-",""))-1),".","")))=0,SUBSTITUTE(SUBSTITUTE($G1679,"-"," ",LEN($G1679)-LEN(SUBSTITUTE($G1679,"-",""))),"-"," ",LEN($G1679)-LEN(SUBSTITUTE($G1679,"-",""))-1),SUBSTITUTE(SUBSTITUTE(SUBSTITUTE($G1679,"-"," ",LEN($G1679)-LEN(SUBSTITUTE($G1679,"-",""))),"-"," ",LEN($G1679)-LEN(SUBSTITUTE($G1679,"-",""))-1),"."," ",(LEN(SUBSTITUTE(SUBSTITUTE($G1679,"-"," ",LEN($G1679)-LEN(SUBSTITUTE($G1679,"-",""))),"-"," ",LEN($G1679)-LEN(SUBSTITUTE($G1679,"-",""))-1))-LEN(SUBSTITUTE(SUBSTITUTE(SUBSTITUTE($G1679,"-"," ",LEN($G1679)-LEN(SUBSTITUTE($G1679,"-",""))),"-"," ",LEN($G1679)-LEN(SUBSTITUTE($G1679,"-",""))-1),".",""))))),$G1679)))</f>
        <v/>
      </c>
    </row>
    <row r="1680">
      <c r="A1680" s="58" t="n"/>
      <c r="B1680" s="58">
        <f>IF($H1680="","",LEFT($H1680,FIND(" ",$H1680&amp;" ")-1))</f>
        <v/>
      </c>
      <c r="C1680" s="58">
        <f>IF($H1680="","",IFERROR(MID($H1680&amp;" ",FIND("|",SUBSTITUTE($H1680&amp;" "," ","|",1))+1,FIND("|",SUBSTITUTE($H1680&amp;" "," ","|",2))-FIND("|",SUBSTITUTE($H1680&amp;" "," ","|",1))-1),""))</f>
        <v/>
      </c>
      <c r="D1680" s="58">
        <f>IF($H1680="","",IFERROR(MID($H1680&amp;" ",FIND("|",SUBSTITUTE($H1680&amp;" "," ","|",2))+1,FIND("|",SUBSTITUTE($H1680&amp;" "," ","|",3))-FIND("|",SUBSTITUTE($H1680&amp;" "," ","|",2))-1),""))</f>
        <v/>
      </c>
      <c r="E1680" s="58">
        <f>IF($H1680="","",IFERROR(MID($H1680&amp;" ",FIND("|",SUBSTITUTE($H1680&amp;" "," ","|",3))+1,FIND("|",SUBSTITUTE($H1680&amp;" "," ","|",4))-FIND("|",SUBSTITUTE($H1680&amp;" "," ","|",3))-1),""))</f>
        <v/>
      </c>
      <c r="F1680" s="59">
        <f>IF($H1680="","",IFERROR(VALUE(IFERROR(MID($H1680&amp;" ",FIND("|",SUBSTITUTE($H1680&amp;" "," ","|",4))+1,FIND("|",SUBSTITUTE($H1680&amp;" "," ","|",5))-FIND("|",SUBSTITUTE($H1680&amp;" "," ","|",4))-1),""))/86400+25569+9/24,""))</f>
        <v/>
      </c>
      <c r="G1680" s="58">
        <f>TRIM(SUBSTITUTE(SUBSTITUTE(SUBSTITUTE($A1680,CHAR(9)," ")," "," "),CHAR(13),""))</f>
        <v/>
      </c>
      <c r="H1680" s="58">
        <f>IF($G1680="","",IF(ISNUMBER(FIND(" ",$G1680)),$G1680,IFERROR(IF((LEN(SUBSTITUTE(SUBSTITUTE($G1680,"-"," ",LEN($G1680)-LEN(SUBSTITUTE($G1680,"-",""))),"-"," ",LEN($G1680)-LEN(SUBSTITUTE($G1680,"-",""))-1))-LEN(SUBSTITUTE(SUBSTITUTE(SUBSTITUTE($G1680,"-"," ",LEN($G1680)-LEN(SUBSTITUTE($G1680,"-",""))),"-"," ",LEN($G1680)-LEN(SUBSTITUTE($G1680,"-",""))-1),".","")))=0,SUBSTITUTE(SUBSTITUTE($G1680,"-"," ",LEN($G1680)-LEN(SUBSTITUTE($G1680,"-",""))),"-"," ",LEN($G1680)-LEN(SUBSTITUTE($G1680,"-",""))-1),SUBSTITUTE(SUBSTITUTE(SUBSTITUTE($G1680,"-"," ",LEN($G1680)-LEN(SUBSTITUTE($G1680,"-",""))),"-"," ",LEN($G1680)-LEN(SUBSTITUTE($G1680,"-",""))-1),"."," ",(LEN(SUBSTITUTE(SUBSTITUTE($G1680,"-"," ",LEN($G1680)-LEN(SUBSTITUTE($G1680,"-",""))),"-"," ",LEN($G1680)-LEN(SUBSTITUTE($G1680,"-",""))-1))-LEN(SUBSTITUTE(SUBSTITUTE(SUBSTITUTE($G1680,"-"," ",LEN($G1680)-LEN(SUBSTITUTE($G1680,"-",""))),"-"," ",LEN($G1680)-LEN(SUBSTITUTE($G1680,"-",""))-1),".",""))))),$G1680)))</f>
        <v/>
      </c>
    </row>
    <row r="1681">
      <c r="A1681" s="58" t="n"/>
      <c r="B1681" s="58">
        <f>IF($H1681="","",LEFT($H1681,FIND(" ",$H1681&amp;" ")-1))</f>
        <v/>
      </c>
      <c r="C1681" s="58">
        <f>IF($H1681="","",IFERROR(MID($H1681&amp;" ",FIND("|",SUBSTITUTE($H1681&amp;" "," ","|",1))+1,FIND("|",SUBSTITUTE($H1681&amp;" "," ","|",2))-FIND("|",SUBSTITUTE($H1681&amp;" "," ","|",1))-1),""))</f>
        <v/>
      </c>
      <c r="D1681" s="58">
        <f>IF($H1681="","",IFERROR(MID($H1681&amp;" ",FIND("|",SUBSTITUTE($H1681&amp;" "," ","|",2))+1,FIND("|",SUBSTITUTE($H1681&amp;" "," ","|",3))-FIND("|",SUBSTITUTE($H1681&amp;" "," ","|",2))-1),""))</f>
        <v/>
      </c>
      <c r="E1681" s="58">
        <f>IF($H1681="","",IFERROR(MID($H1681&amp;" ",FIND("|",SUBSTITUTE($H1681&amp;" "," ","|",3))+1,FIND("|",SUBSTITUTE($H1681&amp;" "," ","|",4))-FIND("|",SUBSTITUTE($H1681&amp;" "," ","|",3))-1),""))</f>
        <v/>
      </c>
      <c r="F1681" s="59">
        <f>IF($H1681="","",IFERROR(VALUE(IFERROR(MID($H1681&amp;" ",FIND("|",SUBSTITUTE($H1681&amp;" "," ","|",4))+1,FIND("|",SUBSTITUTE($H1681&amp;" "," ","|",5))-FIND("|",SUBSTITUTE($H1681&amp;" "," ","|",4))-1),""))/86400+25569+9/24,""))</f>
        <v/>
      </c>
      <c r="G1681" s="58">
        <f>TRIM(SUBSTITUTE(SUBSTITUTE(SUBSTITUTE($A1681,CHAR(9)," ")," "," "),CHAR(13),""))</f>
        <v/>
      </c>
      <c r="H1681" s="58">
        <f>IF($G1681="","",IF(ISNUMBER(FIND(" ",$G1681)),$G1681,IFERROR(IF((LEN(SUBSTITUTE(SUBSTITUTE($G1681,"-"," ",LEN($G1681)-LEN(SUBSTITUTE($G1681,"-",""))),"-"," ",LEN($G1681)-LEN(SUBSTITUTE($G1681,"-",""))-1))-LEN(SUBSTITUTE(SUBSTITUTE(SUBSTITUTE($G1681,"-"," ",LEN($G1681)-LEN(SUBSTITUTE($G1681,"-",""))),"-"," ",LEN($G1681)-LEN(SUBSTITUTE($G1681,"-",""))-1),".","")))=0,SUBSTITUTE(SUBSTITUTE($G1681,"-"," ",LEN($G1681)-LEN(SUBSTITUTE($G1681,"-",""))),"-"," ",LEN($G1681)-LEN(SUBSTITUTE($G1681,"-",""))-1),SUBSTITUTE(SUBSTITUTE(SUBSTITUTE($G1681,"-"," ",LEN($G1681)-LEN(SUBSTITUTE($G1681,"-",""))),"-"," ",LEN($G1681)-LEN(SUBSTITUTE($G1681,"-",""))-1),"."," ",(LEN(SUBSTITUTE(SUBSTITUTE($G1681,"-"," ",LEN($G1681)-LEN(SUBSTITUTE($G1681,"-",""))),"-"," ",LEN($G1681)-LEN(SUBSTITUTE($G1681,"-",""))-1))-LEN(SUBSTITUTE(SUBSTITUTE(SUBSTITUTE($G1681,"-"," ",LEN($G1681)-LEN(SUBSTITUTE($G1681,"-",""))),"-"," ",LEN($G1681)-LEN(SUBSTITUTE($G1681,"-",""))-1),".",""))))),$G1681)))</f>
        <v/>
      </c>
    </row>
    <row r="1682">
      <c r="A1682" s="58" t="n"/>
      <c r="B1682" s="58">
        <f>IF($H1682="","",LEFT($H1682,FIND(" ",$H1682&amp;" ")-1))</f>
        <v/>
      </c>
      <c r="C1682" s="58">
        <f>IF($H1682="","",IFERROR(MID($H1682&amp;" ",FIND("|",SUBSTITUTE($H1682&amp;" "," ","|",1))+1,FIND("|",SUBSTITUTE($H1682&amp;" "," ","|",2))-FIND("|",SUBSTITUTE($H1682&amp;" "," ","|",1))-1),""))</f>
        <v/>
      </c>
      <c r="D1682" s="58">
        <f>IF($H1682="","",IFERROR(MID($H1682&amp;" ",FIND("|",SUBSTITUTE($H1682&amp;" "," ","|",2))+1,FIND("|",SUBSTITUTE($H1682&amp;" "," ","|",3))-FIND("|",SUBSTITUTE($H1682&amp;" "," ","|",2))-1),""))</f>
        <v/>
      </c>
      <c r="E1682" s="58">
        <f>IF($H1682="","",IFERROR(MID($H1682&amp;" ",FIND("|",SUBSTITUTE($H1682&amp;" "," ","|",3))+1,FIND("|",SUBSTITUTE($H1682&amp;" "," ","|",4))-FIND("|",SUBSTITUTE($H1682&amp;" "," ","|",3))-1),""))</f>
        <v/>
      </c>
      <c r="F1682" s="59">
        <f>IF($H1682="","",IFERROR(VALUE(IFERROR(MID($H1682&amp;" ",FIND("|",SUBSTITUTE($H1682&amp;" "," ","|",4))+1,FIND("|",SUBSTITUTE($H1682&amp;" "," ","|",5))-FIND("|",SUBSTITUTE($H1682&amp;" "," ","|",4))-1),""))/86400+25569+9/24,""))</f>
        <v/>
      </c>
      <c r="G1682" s="58">
        <f>TRIM(SUBSTITUTE(SUBSTITUTE(SUBSTITUTE($A1682,CHAR(9)," ")," "," "),CHAR(13),""))</f>
        <v/>
      </c>
      <c r="H1682" s="58">
        <f>IF($G1682="","",IF(ISNUMBER(FIND(" ",$G1682)),$G1682,IFERROR(IF((LEN(SUBSTITUTE(SUBSTITUTE($G1682,"-"," ",LEN($G1682)-LEN(SUBSTITUTE($G1682,"-",""))),"-"," ",LEN($G1682)-LEN(SUBSTITUTE($G1682,"-",""))-1))-LEN(SUBSTITUTE(SUBSTITUTE(SUBSTITUTE($G1682,"-"," ",LEN($G1682)-LEN(SUBSTITUTE($G1682,"-",""))),"-"," ",LEN($G1682)-LEN(SUBSTITUTE($G1682,"-",""))-1),".","")))=0,SUBSTITUTE(SUBSTITUTE($G1682,"-"," ",LEN($G1682)-LEN(SUBSTITUTE($G1682,"-",""))),"-"," ",LEN($G1682)-LEN(SUBSTITUTE($G1682,"-",""))-1),SUBSTITUTE(SUBSTITUTE(SUBSTITUTE($G1682,"-"," ",LEN($G1682)-LEN(SUBSTITUTE($G1682,"-",""))),"-"," ",LEN($G1682)-LEN(SUBSTITUTE($G1682,"-",""))-1),"."," ",(LEN(SUBSTITUTE(SUBSTITUTE($G1682,"-"," ",LEN($G1682)-LEN(SUBSTITUTE($G1682,"-",""))),"-"," ",LEN($G1682)-LEN(SUBSTITUTE($G1682,"-",""))-1))-LEN(SUBSTITUTE(SUBSTITUTE(SUBSTITUTE($G1682,"-"," ",LEN($G1682)-LEN(SUBSTITUTE($G1682,"-",""))),"-"," ",LEN($G1682)-LEN(SUBSTITUTE($G1682,"-",""))-1),".",""))))),$G1682)))</f>
        <v/>
      </c>
    </row>
    <row r="1683">
      <c r="A1683" s="58" t="n"/>
      <c r="B1683" s="58">
        <f>IF($H1683="","",LEFT($H1683,FIND(" ",$H1683&amp;" ")-1))</f>
        <v/>
      </c>
      <c r="C1683" s="58">
        <f>IF($H1683="","",IFERROR(MID($H1683&amp;" ",FIND("|",SUBSTITUTE($H1683&amp;" "," ","|",1))+1,FIND("|",SUBSTITUTE($H1683&amp;" "," ","|",2))-FIND("|",SUBSTITUTE($H1683&amp;" "," ","|",1))-1),""))</f>
        <v/>
      </c>
      <c r="D1683" s="58">
        <f>IF($H1683="","",IFERROR(MID($H1683&amp;" ",FIND("|",SUBSTITUTE($H1683&amp;" "," ","|",2))+1,FIND("|",SUBSTITUTE($H1683&amp;" "," ","|",3))-FIND("|",SUBSTITUTE($H1683&amp;" "," ","|",2))-1),""))</f>
        <v/>
      </c>
      <c r="E1683" s="58">
        <f>IF($H1683="","",IFERROR(MID($H1683&amp;" ",FIND("|",SUBSTITUTE($H1683&amp;" "," ","|",3))+1,FIND("|",SUBSTITUTE($H1683&amp;" "," ","|",4))-FIND("|",SUBSTITUTE($H1683&amp;" "," ","|",3))-1),""))</f>
        <v/>
      </c>
      <c r="F1683" s="59">
        <f>IF($H1683="","",IFERROR(VALUE(IFERROR(MID($H1683&amp;" ",FIND("|",SUBSTITUTE($H1683&amp;" "," ","|",4))+1,FIND("|",SUBSTITUTE($H1683&amp;" "," ","|",5))-FIND("|",SUBSTITUTE($H1683&amp;" "," ","|",4))-1),""))/86400+25569+9/24,""))</f>
        <v/>
      </c>
      <c r="G1683" s="58">
        <f>TRIM(SUBSTITUTE(SUBSTITUTE(SUBSTITUTE($A1683,CHAR(9)," ")," "," "),CHAR(13),""))</f>
        <v/>
      </c>
      <c r="H1683" s="58">
        <f>IF($G1683="","",IF(ISNUMBER(FIND(" ",$G1683)),$G1683,IFERROR(IF((LEN(SUBSTITUTE(SUBSTITUTE($G1683,"-"," ",LEN($G1683)-LEN(SUBSTITUTE($G1683,"-",""))),"-"," ",LEN($G1683)-LEN(SUBSTITUTE($G1683,"-",""))-1))-LEN(SUBSTITUTE(SUBSTITUTE(SUBSTITUTE($G1683,"-"," ",LEN($G1683)-LEN(SUBSTITUTE($G1683,"-",""))),"-"," ",LEN($G1683)-LEN(SUBSTITUTE($G1683,"-",""))-1),".","")))=0,SUBSTITUTE(SUBSTITUTE($G1683,"-"," ",LEN($G1683)-LEN(SUBSTITUTE($G1683,"-",""))),"-"," ",LEN($G1683)-LEN(SUBSTITUTE($G1683,"-",""))-1),SUBSTITUTE(SUBSTITUTE(SUBSTITUTE($G1683,"-"," ",LEN($G1683)-LEN(SUBSTITUTE($G1683,"-",""))),"-"," ",LEN($G1683)-LEN(SUBSTITUTE($G1683,"-",""))-1),"."," ",(LEN(SUBSTITUTE(SUBSTITUTE($G1683,"-"," ",LEN($G1683)-LEN(SUBSTITUTE($G1683,"-",""))),"-"," ",LEN($G1683)-LEN(SUBSTITUTE($G1683,"-",""))-1))-LEN(SUBSTITUTE(SUBSTITUTE(SUBSTITUTE($G1683,"-"," ",LEN($G1683)-LEN(SUBSTITUTE($G1683,"-",""))),"-"," ",LEN($G1683)-LEN(SUBSTITUTE($G1683,"-",""))-1),".",""))))),$G1683)))</f>
        <v/>
      </c>
    </row>
    <row r="1684">
      <c r="A1684" s="58" t="n"/>
      <c r="B1684" s="58">
        <f>IF($H1684="","",LEFT($H1684,FIND(" ",$H1684&amp;" ")-1))</f>
        <v/>
      </c>
      <c r="C1684" s="58">
        <f>IF($H1684="","",IFERROR(MID($H1684&amp;" ",FIND("|",SUBSTITUTE($H1684&amp;" "," ","|",1))+1,FIND("|",SUBSTITUTE($H1684&amp;" "," ","|",2))-FIND("|",SUBSTITUTE($H1684&amp;" "," ","|",1))-1),""))</f>
        <v/>
      </c>
      <c r="D1684" s="58">
        <f>IF($H1684="","",IFERROR(MID($H1684&amp;" ",FIND("|",SUBSTITUTE($H1684&amp;" "," ","|",2))+1,FIND("|",SUBSTITUTE($H1684&amp;" "," ","|",3))-FIND("|",SUBSTITUTE($H1684&amp;" "," ","|",2))-1),""))</f>
        <v/>
      </c>
      <c r="E1684" s="58">
        <f>IF($H1684="","",IFERROR(MID($H1684&amp;" ",FIND("|",SUBSTITUTE($H1684&amp;" "," ","|",3))+1,FIND("|",SUBSTITUTE($H1684&amp;" "," ","|",4))-FIND("|",SUBSTITUTE($H1684&amp;" "," ","|",3))-1),""))</f>
        <v/>
      </c>
      <c r="F1684" s="59">
        <f>IF($H1684="","",IFERROR(VALUE(IFERROR(MID($H1684&amp;" ",FIND("|",SUBSTITUTE($H1684&amp;" "," ","|",4))+1,FIND("|",SUBSTITUTE($H1684&amp;" "," ","|",5))-FIND("|",SUBSTITUTE($H1684&amp;" "," ","|",4))-1),""))/86400+25569+9/24,""))</f>
        <v/>
      </c>
      <c r="G1684" s="58">
        <f>TRIM(SUBSTITUTE(SUBSTITUTE(SUBSTITUTE($A1684,CHAR(9)," ")," "," "),CHAR(13),""))</f>
        <v/>
      </c>
      <c r="H1684" s="58">
        <f>IF($G1684="","",IF(ISNUMBER(FIND(" ",$G1684)),$G1684,IFERROR(IF((LEN(SUBSTITUTE(SUBSTITUTE($G1684,"-"," ",LEN($G1684)-LEN(SUBSTITUTE($G1684,"-",""))),"-"," ",LEN($G1684)-LEN(SUBSTITUTE($G1684,"-",""))-1))-LEN(SUBSTITUTE(SUBSTITUTE(SUBSTITUTE($G1684,"-"," ",LEN($G1684)-LEN(SUBSTITUTE($G1684,"-",""))),"-"," ",LEN($G1684)-LEN(SUBSTITUTE($G1684,"-",""))-1),".","")))=0,SUBSTITUTE(SUBSTITUTE($G1684,"-"," ",LEN($G1684)-LEN(SUBSTITUTE($G1684,"-",""))),"-"," ",LEN($G1684)-LEN(SUBSTITUTE($G1684,"-",""))-1),SUBSTITUTE(SUBSTITUTE(SUBSTITUTE($G1684,"-"," ",LEN($G1684)-LEN(SUBSTITUTE($G1684,"-",""))),"-"," ",LEN($G1684)-LEN(SUBSTITUTE($G1684,"-",""))-1),"."," ",(LEN(SUBSTITUTE(SUBSTITUTE($G1684,"-"," ",LEN($G1684)-LEN(SUBSTITUTE($G1684,"-",""))),"-"," ",LEN($G1684)-LEN(SUBSTITUTE($G1684,"-",""))-1))-LEN(SUBSTITUTE(SUBSTITUTE(SUBSTITUTE($G1684,"-"," ",LEN($G1684)-LEN(SUBSTITUTE($G1684,"-",""))),"-"," ",LEN($G1684)-LEN(SUBSTITUTE($G1684,"-",""))-1),".",""))))),$G1684)))</f>
        <v/>
      </c>
    </row>
    <row r="1685">
      <c r="A1685" s="58" t="n"/>
      <c r="B1685" s="58">
        <f>IF($H1685="","",LEFT($H1685,FIND(" ",$H1685&amp;" ")-1))</f>
        <v/>
      </c>
      <c r="C1685" s="58">
        <f>IF($H1685="","",IFERROR(MID($H1685&amp;" ",FIND("|",SUBSTITUTE($H1685&amp;" "," ","|",1))+1,FIND("|",SUBSTITUTE($H1685&amp;" "," ","|",2))-FIND("|",SUBSTITUTE($H1685&amp;" "," ","|",1))-1),""))</f>
        <v/>
      </c>
      <c r="D1685" s="58">
        <f>IF($H1685="","",IFERROR(MID($H1685&amp;" ",FIND("|",SUBSTITUTE($H1685&amp;" "," ","|",2))+1,FIND("|",SUBSTITUTE($H1685&amp;" "," ","|",3))-FIND("|",SUBSTITUTE($H1685&amp;" "," ","|",2))-1),""))</f>
        <v/>
      </c>
      <c r="E1685" s="58">
        <f>IF($H1685="","",IFERROR(MID($H1685&amp;" ",FIND("|",SUBSTITUTE($H1685&amp;" "," ","|",3))+1,FIND("|",SUBSTITUTE($H1685&amp;" "," ","|",4))-FIND("|",SUBSTITUTE($H1685&amp;" "," ","|",3))-1),""))</f>
        <v/>
      </c>
      <c r="F1685" s="59">
        <f>IF($H1685="","",IFERROR(VALUE(IFERROR(MID($H1685&amp;" ",FIND("|",SUBSTITUTE($H1685&amp;" "," ","|",4))+1,FIND("|",SUBSTITUTE($H1685&amp;" "," ","|",5))-FIND("|",SUBSTITUTE($H1685&amp;" "," ","|",4))-1),""))/86400+25569+9/24,""))</f>
        <v/>
      </c>
      <c r="G1685" s="58">
        <f>TRIM(SUBSTITUTE(SUBSTITUTE(SUBSTITUTE($A1685,CHAR(9)," ")," "," "),CHAR(13),""))</f>
        <v/>
      </c>
      <c r="H1685" s="58">
        <f>IF($G1685="","",IF(ISNUMBER(FIND(" ",$G1685)),$G1685,IFERROR(IF((LEN(SUBSTITUTE(SUBSTITUTE($G1685,"-"," ",LEN($G1685)-LEN(SUBSTITUTE($G1685,"-",""))),"-"," ",LEN($G1685)-LEN(SUBSTITUTE($G1685,"-",""))-1))-LEN(SUBSTITUTE(SUBSTITUTE(SUBSTITUTE($G1685,"-"," ",LEN($G1685)-LEN(SUBSTITUTE($G1685,"-",""))),"-"," ",LEN($G1685)-LEN(SUBSTITUTE($G1685,"-",""))-1),".","")))=0,SUBSTITUTE(SUBSTITUTE($G1685,"-"," ",LEN($G1685)-LEN(SUBSTITUTE($G1685,"-",""))),"-"," ",LEN($G1685)-LEN(SUBSTITUTE($G1685,"-",""))-1),SUBSTITUTE(SUBSTITUTE(SUBSTITUTE($G1685,"-"," ",LEN($G1685)-LEN(SUBSTITUTE($G1685,"-",""))),"-"," ",LEN($G1685)-LEN(SUBSTITUTE($G1685,"-",""))-1),"."," ",(LEN(SUBSTITUTE(SUBSTITUTE($G1685,"-"," ",LEN($G1685)-LEN(SUBSTITUTE($G1685,"-",""))),"-"," ",LEN($G1685)-LEN(SUBSTITUTE($G1685,"-",""))-1))-LEN(SUBSTITUTE(SUBSTITUTE(SUBSTITUTE($G1685,"-"," ",LEN($G1685)-LEN(SUBSTITUTE($G1685,"-",""))),"-"," ",LEN($G1685)-LEN(SUBSTITUTE($G1685,"-",""))-1),".",""))))),$G1685)))</f>
        <v/>
      </c>
    </row>
    <row r="1686">
      <c r="A1686" s="58" t="n"/>
      <c r="B1686" s="58">
        <f>IF($H1686="","",LEFT($H1686,FIND(" ",$H1686&amp;" ")-1))</f>
        <v/>
      </c>
      <c r="C1686" s="58">
        <f>IF($H1686="","",IFERROR(MID($H1686&amp;" ",FIND("|",SUBSTITUTE($H1686&amp;" "," ","|",1))+1,FIND("|",SUBSTITUTE($H1686&amp;" "," ","|",2))-FIND("|",SUBSTITUTE($H1686&amp;" "," ","|",1))-1),""))</f>
        <v/>
      </c>
      <c r="D1686" s="58">
        <f>IF($H1686="","",IFERROR(MID($H1686&amp;" ",FIND("|",SUBSTITUTE($H1686&amp;" "," ","|",2))+1,FIND("|",SUBSTITUTE($H1686&amp;" "," ","|",3))-FIND("|",SUBSTITUTE($H1686&amp;" "," ","|",2))-1),""))</f>
        <v/>
      </c>
      <c r="E1686" s="58">
        <f>IF($H1686="","",IFERROR(MID($H1686&amp;" ",FIND("|",SUBSTITUTE($H1686&amp;" "," ","|",3))+1,FIND("|",SUBSTITUTE($H1686&amp;" "," ","|",4))-FIND("|",SUBSTITUTE($H1686&amp;" "," ","|",3))-1),""))</f>
        <v/>
      </c>
      <c r="F1686" s="59">
        <f>IF($H1686="","",IFERROR(VALUE(IFERROR(MID($H1686&amp;" ",FIND("|",SUBSTITUTE($H1686&amp;" "," ","|",4))+1,FIND("|",SUBSTITUTE($H1686&amp;" "," ","|",5))-FIND("|",SUBSTITUTE($H1686&amp;" "," ","|",4))-1),""))/86400+25569+9/24,""))</f>
        <v/>
      </c>
      <c r="G1686" s="58">
        <f>TRIM(SUBSTITUTE(SUBSTITUTE(SUBSTITUTE($A1686,CHAR(9)," ")," "," "),CHAR(13),""))</f>
        <v/>
      </c>
      <c r="H1686" s="58">
        <f>IF($G1686="","",IF(ISNUMBER(FIND(" ",$G1686)),$G1686,IFERROR(IF((LEN(SUBSTITUTE(SUBSTITUTE($G1686,"-"," ",LEN($G1686)-LEN(SUBSTITUTE($G1686,"-",""))),"-"," ",LEN($G1686)-LEN(SUBSTITUTE($G1686,"-",""))-1))-LEN(SUBSTITUTE(SUBSTITUTE(SUBSTITUTE($G1686,"-"," ",LEN($G1686)-LEN(SUBSTITUTE($G1686,"-",""))),"-"," ",LEN($G1686)-LEN(SUBSTITUTE($G1686,"-",""))-1),".","")))=0,SUBSTITUTE(SUBSTITUTE($G1686,"-"," ",LEN($G1686)-LEN(SUBSTITUTE($G1686,"-",""))),"-"," ",LEN($G1686)-LEN(SUBSTITUTE($G1686,"-",""))-1),SUBSTITUTE(SUBSTITUTE(SUBSTITUTE($G1686,"-"," ",LEN($G1686)-LEN(SUBSTITUTE($G1686,"-",""))),"-"," ",LEN($G1686)-LEN(SUBSTITUTE($G1686,"-",""))-1),"."," ",(LEN(SUBSTITUTE(SUBSTITUTE($G1686,"-"," ",LEN($G1686)-LEN(SUBSTITUTE($G1686,"-",""))),"-"," ",LEN($G1686)-LEN(SUBSTITUTE($G1686,"-",""))-1))-LEN(SUBSTITUTE(SUBSTITUTE(SUBSTITUTE($G1686,"-"," ",LEN($G1686)-LEN(SUBSTITUTE($G1686,"-",""))),"-"," ",LEN($G1686)-LEN(SUBSTITUTE($G1686,"-",""))-1),".",""))))),$G1686)))</f>
        <v/>
      </c>
    </row>
    <row r="1687">
      <c r="A1687" s="58" t="n"/>
      <c r="B1687" s="58">
        <f>IF($H1687="","",LEFT($H1687,FIND(" ",$H1687&amp;" ")-1))</f>
        <v/>
      </c>
      <c r="C1687" s="58">
        <f>IF($H1687="","",IFERROR(MID($H1687&amp;" ",FIND("|",SUBSTITUTE($H1687&amp;" "," ","|",1))+1,FIND("|",SUBSTITUTE($H1687&amp;" "," ","|",2))-FIND("|",SUBSTITUTE($H1687&amp;" "," ","|",1))-1),""))</f>
        <v/>
      </c>
      <c r="D1687" s="58">
        <f>IF($H1687="","",IFERROR(MID($H1687&amp;" ",FIND("|",SUBSTITUTE($H1687&amp;" "," ","|",2))+1,FIND("|",SUBSTITUTE($H1687&amp;" "," ","|",3))-FIND("|",SUBSTITUTE($H1687&amp;" "," ","|",2))-1),""))</f>
        <v/>
      </c>
      <c r="E1687" s="58">
        <f>IF($H1687="","",IFERROR(MID($H1687&amp;" ",FIND("|",SUBSTITUTE($H1687&amp;" "," ","|",3))+1,FIND("|",SUBSTITUTE($H1687&amp;" "," ","|",4))-FIND("|",SUBSTITUTE($H1687&amp;" "," ","|",3))-1),""))</f>
        <v/>
      </c>
      <c r="F1687" s="59">
        <f>IF($H1687="","",IFERROR(VALUE(IFERROR(MID($H1687&amp;" ",FIND("|",SUBSTITUTE($H1687&amp;" "," ","|",4))+1,FIND("|",SUBSTITUTE($H1687&amp;" "," ","|",5))-FIND("|",SUBSTITUTE($H1687&amp;" "," ","|",4))-1),""))/86400+25569+9/24,""))</f>
        <v/>
      </c>
      <c r="G1687" s="58">
        <f>TRIM(SUBSTITUTE(SUBSTITUTE(SUBSTITUTE($A1687,CHAR(9)," ")," "," "),CHAR(13),""))</f>
        <v/>
      </c>
      <c r="H1687" s="58">
        <f>IF($G1687="","",IF(ISNUMBER(FIND(" ",$G1687)),$G1687,IFERROR(IF((LEN(SUBSTITUTE(SUBSTITUTE($G1687,"-"," ",LEN($G1687)-LEN(SUBSTITUTE($G1687,"-",""))),"-"," ",LEN($G1687)-LEN(SUBSTITUTE($G1687,"-",""))-1))-LEN(SUBSTITUTE(SUBSTITUTE(SUBSTITUTE($G1687,"-"," ",LEN($G1687)-LEN(SUBSTITUTE($G1687,"-",""))),"-"," ",LEN($G1687)-LEN(SUBSTITUTE($G1687,"-",""))-1),".","")))=0,SUBSTITUTE(SUBSTITUTE($G1687,"-"," ",LEN($G1687)-LEN(SUBSTITUTE($G1687,"-",""))),"-"," ",LEN($G1687)-LEN(SUBSTITUTE($G1687,"-",""))-1),SUBSTITUTE(SUBSTITUTE(SUBSTITUTE($G1687,"-"," ",LEN($G1687)-LEN(SUBSTITUTE($G1687,"-",""))),"-"," ",LEN($G1687)-LEN(SUBSTITUTE($G1687,"-",""))-1),"."," ",(LEN(SUBSTITUTE(SUBSTITUTE($G1687,"-"," ",LEN($G1687)-LEN(SUBSTITUTE($G1687,"-",""))),"-"," ",LEN($G1687)-LEN(SUBSTITUTE($G1687,"-",""))-1))-LEN(SUBSTITUTE(SUBSTITUTE(SUBSTITUTE($G1687,"-"," ",LEN($G1687)-LEN(SUBSTITUTE($G1687,"-",""))),"-"," ",LEN($G1687)-LEN(SUBSTITUTE($G1687,"-",""))-1),".",""))))),$G1687)))</f>
        <v/>
      </c>
    </row>
    <row r="1688">
      <c r="A1688" s="58" t="n"/>
      <c r="B1688" s="58">
        <f>IF($H1688="","",LEFT($H1688,FIND(" ",$H1688&amp;" ")-1))</f>
        <v/>
      </c>
      <c r="C1688" s="58">
        <f>IF($H1688="","",IFERROR(MID($H1688&amp;" ",FIND("|",SUBSTITUTE($H1688&amp;" "," ","|",1))+1,FIND("|",SUBSTITUTE($H1688&amp;" "," ","|",2))-FIND("|",SUBSTITUTE($H1688&amp;" "," ","|",1))-1),""))</f>
        <v/>
      </c>
      <c r="D1688" s="58">
        <f>IF($H1688="","",IFERROR(MID($H1688&amp;" ",FIND("|",SUBSTITUTE($H1688&amp;" "," ","|",2))+1,FIND("|",SUBSTITUTE($H1688&amp;" "," ","|",3))-FIND("|",SUBSTITUTE($H1688&amp;" "," ","|",2))-1),""))</f>
        <v/>
      </c>
      <c r="E1688" s="58">
        <f>IF($H1688="","",IFERROR(MID($H1688&amp;" ",FIND("|",SUBSTITUTE($H1688&amp;" "," ","|",3))+1,FIND("|",SUBSTITUTE($H1688&amp;" "," ","|",4))-FIND("|",SUBSTITUTE($H1688&amp;" "," ","|",3))-1),""))</f>
        <v/>
      </c>
      <c r="F1688" s="59">
        <f>IF($H1688="","",IFERROR(VALUE(IFERROR(MID($H1688&amp;" ",FIND("|",SUBSTITUTE($H1688&amp;" "," ","|",4))+1,FIND("|",SUBSTITUTE($H1688&amp;" "," ","|",5))-FIND("|",SUBSTITUTE($H1688&amp;" "," ","|",4))-1),""))/86400+25569+9/24,""))</f>
        <v/>
      </c>
      <c r="G1688" s="58">
        <f>TRIM(SUBSTITUTE(SUBSTITUTE(SUBSTITUTE($A1688,CHAR(9)," ")," "," "),CHAR(13),""))</f>
        <v/>
      </c>
      <c r="H1688" s="58">
        <f>IF($G1688="","",IF(ISNUMBER(FIND(" ",$G1688)),$G1688,IFERROR(IF((LEN(SUBSTITUTE(SUBSTITUTE($G1688,"-"," ",LEN($G1688)-LEN(SUBSTITUTE($G1688,"-",""))),"-"," ",LEN($G1688)-LEN(SUBSTITUTE($G1688,"-",""))-1))-LEN(SUBSTITUTE(SUBSTITUTE(SUBSTITUTE($G1688,"-"," ",LEN($G1688)-LEN(SUBSTITUTE($G1688,"-",""))),"-"," ",LEN($G1688)-LEN(SUBSTITUTE($G1688,"-",""))-1),".","")))=0,SUBSTITUTE(SUBSTITUTE($G1688,"-"," ",LEN($G1688)-LEN(SUBSTITUTE($G1688,"-",""))),"-"," ",LEN($G1688)-LEN(SUBSTITUTE($G1688,"-",""))-1),SUBSTITUTE(SUBSTITUTE(SUBSTITUTE($G1688,"-"," ",LEN($G1688)-LEN(SUBSTITUTE($G1688,"-",""))),"-"," ",LEN($G1688)-LEN(SUBSTITUTE($G1688,"-",""))-1),"."," ",(LEN(SUBSTITUTE(SUBSTITUTE($G1688,"-"," ",LEN($G1688)-LEN(SUBSTITUTE($G1688,"-",""))),"-"," ",LEN($G1688)-LEN(SUBSTITUTE($G1688,"-",""))-1))-LEN(SUBSTITUTE(SUBSTITUTE(SUBSTITUTE($G1688,"-"," ",LEN($G1688)-LEN(SUBSTITUTE($G1688,"-",""))),"-"," ",LEN($G1688)-LEN(SUBSTITUTE($G1688,"-",""))-1),".",""))))),$G1688)))</f>
        <v/>
      </c>
    </row>
    <row r="1689">
      <c r="A1689" s="58" t="n"/>
      <c r="B1689" s="58">
        <f>IF($H1689="","",LEFT($H1689,FIND(" ",$H1689&amp;" ")-1))</f>
        <v/>
      </c>
      <c r="C1689" s="58">
        <f>IF($H1689="","",IFERROR(MID($H1689&amp;" ",FIND("|",SUBSTITUTE($H1689&amp;" "," ","|",1))+1,FIND("|",SUBSTITUTE($H1689&amp;" "," ","|",2))-FIND("|",SUBSTITUTE($H1689&amp;" "," ","|",1))-1),""))</f>
        <v/>
      </c>
      <c r="D1689" s="58">
        <f>IF($H1689="","",IFERROR(MID($H1689&amp;" ",FIND("|",SUBSTITUTE($H1689&amp;" "," ","|",2))+1,FIND("|",SUBSTITUTE($H1689&amp;" "," ","|",3))-FIND("|",SUBSTITUTE($H1689&amp;" "," ","|",2))-1),""))</f>
        <v/>
      </c>
      <c r="E1689" s="58">
        <f>IF($H1689="","",IFERROR(MID($H1689&amp;" ",FIND("|",SUBSTITUTE($H1689&amp;" "," ","|",3))+1,FIND("|",SUBSTITUTE($H1689&amp;" "," ","|",4))-FIND("|",SUBSTITUTE($H1689&amp;" "," ","|",3))-1),""))</f>
        <v/>
      </c>
      <c r="F1689" s="59">
        <f>IF($H1689="","",IFERROR(VALUE(IFERROR(MID($H1689&amp;" ",FIND("|",SUBSTITUTE($H1689&amp;" "," ","|",4))+1,FIND("|",SUBSTITUTE($H1689&amp;" "," ","|",5))-FIND("|",SUBSTITUTE($H1689&amp;" "," ","|",4))-1),""))/86400+25569+9/24,""))</f>
        <v/>
      </c>
      <c r="G1689" s="58">
        <f>TRIM(SUBSTITUTE(SUBSTITUTE(SUBSTITUTE($A1689,CHAR(9)," ")," "," "),CHAR(13),""))</f>
        <v/>
      </c>
      <c r="H1689" s="58">
        <f>IF($G1689="","",IF(ISNUMBER(FIND(" ",$G1689)),$G1689,IFERROR(IF((LEN(SUBSTITUTE(SUBSTITUTE($G1689,"-"," ",LEN($G1689)-LEN(SUBSTITUTE($G1689,"-",""))),"-"," ",LEN($G1689)-LEN(SUBSTITUTE($G1689,"-",""))-1))-LEN(SUBSTITUTE(SUBSTITUTE(SUBSTITUTE($G1689,"-"," ",LEN($G1689)-LEN(SUBSTITUTE($G1689,"-",""))),"-"," ",LEN($G1689)-LEN(SUBSTITUTE($G1689,"-",""))-1),".","")))=0,SUBSTITUTE(SUBSTITUTE($G1689,"-"," ",LEN($G1689)-LEN(SUBSTITUTE($G1689,"-",""))),"-"," ",LEN($G1689)-LEN(SUBSTITUTE($G1689,"-",""))-1),SUBSTITUTE(SUBSTITUTE(SUBSTITUTE($G1689,"-"," ",LEN($G1689)-LEN(SUBSTITUTE($G1689,"-",""))),"-"," ",LEN($G1689)-LEN(SUBSTITUTE($G1689,"-",""))-1),"."," ",(LEN(SUBSTITUTE(SUBSTITUTE($G1689,"-"," ",LEN($G1689)-LEN(SUBSTITUTE($G1689,"-",""))),"-"," ",LEN($G1689)-LEN(SUBSTITUTE($G1689,"-",""))-1))-LEN(SUBSTITUTE(SUBSTITUTE(SUBSTITUTE($G1689,"-"," ",LEN($G1689)-LEN(SUBSTITUTE($G1689,"-",""))),"-"," ",LEN($G1689)-LEN(SUBSTITUTE($G1689,"-",""))-1),".",""))))),$G1689)))</f>
        <v/>
      </c>
    </row>
    <row r="1690">
      <c r="A1690" s="58" t="n"/>
      <c r="B1690" s="58">
        <f>IF($H1690="","",LEFT($H1690,FIND(" ",$H1690&amp;" ")-1))</f>
        <v/>
      </c>
      <c r="C1690" s="58">
        <f>IF($H1690="","",IFERROR(MID($H1690&amp;" ",FIND("|",SUBSTITUTE($H1690&amp;" "," ","|",1))+1,FIND("|",SUBSTITUTE($H1690&amp;" "," ","|",2))-FIND("|",SUBSTITUTE($H1690&amp;" "," ","|",1))-1),""))</f>
        <v/>
      </c>
      <c r="D1690" s="58">
        <f>IF($H1690="","",IFERROR(MID($H1690&amp;" ",FIND("|",SUBSTITUTE($H1690&amp;" "," ","|",2))+1,FIND("|",SUBSTITUTE($H1690&amp;" "," ","|",3))-FIND("|",SUBSTITUTE($H1690&amp;" "," ","|",2))-1),""))</f>
        <v/>
      </c>
      <c r="E1690" s="58">
        <f>IF($H1690="","",IFERROR(MID($H1690&amp;" ",FIND("|",SUBSTITUTE($H1690&amp;" "," ","|",3))+1,FIND("|",SUBSTITUTE($H1690&amp;" "," ","|",4))-FIND("|",SUBSTITUTE($H1690&amp;" "," ","|",3))-1),""))</f>
        <v/>
      </c>
      <c r="F1690" s="59">
        <f>IF($H1690="","",IFERROR(VALUE(IFERROR(MID($H1690&amp;" ",FIND("|",SUBSTITUTE($H1690&amp;" "," ","|",4))+1,FIND("|",SUBSTITUTE($H1690&amp;" "," ","|",5))-FIND("|",SUBSTITUTE($H1690&amp;" "," ","|",4))-1),""))/86400+25569+9/24,""))</f>
        <v/>
      </c>
      <c r="G1690" s="58">
        <f>TRIM(SUBSTITUTE(SUBSTITUTE(SUBSTITUTE($A1690,CHAR(9)," ")," "," "),CHAR(13),""))</f>
        <v/>
      </c>
      <c r="H1690" s="58">
        <f>IF($G1690="","",IF(ISNUMBER(FIND(" ",$G1690)),$G1690,IFERROR(IF((LEN(SUBSTITUTE(SUBSTITUTE($G1690,"-"," ",LEN($G1690)-LEN(SUBSTITUTE($G1690,"-",""))),"-"," ",LEN($G1690)-LEN(SUBSTITUTE($G1690,"-",""))-1))-LEN(SUBSTITUTE(SUBSTITUTE(SUBSTITUTE($G1690,"-"," ",LEN($G1690)-LEN(SUBSTITUTE($G1690,"-",""))),"-"," ",LEN($G1690)-LEN(SUBSTITUTE($G1690,"-",""))-1),".","")))=0,SUBSTITUTE(SUBSTITUTE($G1690,"-"," ",LEN($G1690)-LEN(SUBSTITUTE($G1690,"-",""))),"-"," ",LEN($G1690)-LEN(SUBSTITUTE($G1690,"-",""))-1),SUBSTITUTE(SUBSTITUTE(SUBSTITUTE($G1690,"-"," ",LEN($G1690)-LEN(SUBSTITUTE($G1690,"-",""))),"-"," ",LEN($G1690)-LEN(SUBSTITUTE($G1690,"-",""))-1),"."," ",(LEN(SUBSTITUTE(SUBSTITUTE($G1690,"-"," ",LEN($G1690)-LEN(SUBSTITUTE($G1690,"-",""))),"-"," ",LEN($G1690)-LEN(SUBSTITUTE($G1690,"-",""))-1))-LEN(SUBSTITUTE(SUBSTITUTE(SUBSTITUTE($G1690,"-"," ",LEN($G1690)-LEN(SUBSTITUTE($G1690,"-",""))),"-"," ",LEN($G1690)-LEN(SUBSTITUTE($G1690,"-",""))-1),".",""))))),$G1690)))</f>
        <v/>
      </c>
    </row>
    <row r="1691">
      <c r="A1691" s="58" t="n"/>
      <c r="B1691" s="58">
        <f>IF($H1691="","",LEFT($H1691,FIND(" ",$H1691&amp;" ")-1))</f>
        <v/>
      </c>
      <c r="C1691" s="58">
        <f>IF($H1691="","",IFERROR(MID($H1691&amp;" ",FIND("|",SUBSTITUTE($H1691&amp;" "," ","|",1))+1,FIND("|",SUBSTITUTE($H1691&amp;" "," ","|",2))-FIND("|",SUBSTITUTE($H1691&amp;" "," ","|",1))-1),""))</f>
        <v/>
      </c>
      <c r="D1691" s="58">
        <f>IF($H1691="","",IFERROR(MID($H1691&amp;" ",FIND("|",SUBSTITUTE($H1691&amp;" "," ","|",2))+1,FIND("|",SUBSTITUTE($H1691&amp;" "," ","|",3))-FIND("|",SUBSTITUTE($H1691&amp;" "," ","|",2))-1),""))</f>
        <v/>
      </c>
      <c r="E1691" s="58">
        <f>IF($H1691="","",IFERROR(MID($H1691&amp;" ",FIND("|",SUBSTITUTE($H1691&amp;" "," ","|",3))+1,FIND("|",SUBSTITUTE($H1691&amp;" "," ","|",4))-FIND("|",SUBSTITUTE($H1691&amp;" "," ","|",3))-1),""))</f>
        <v/>
      </c>
      <c r="F1691" s="59">
        <f>IF($H1691="","",IFERROR(VALUE(IFERROR(MID($H1691&amp;" ",FIND("|",SUBSTITUTE($H1691&amp;" "," ","|",4))+1,FIND("|",SUBSTITUTE($H1691&amp;" "," ","|",5))-FIND("|",SUBSTITUTE($H1691&amp;" "," ","|",4))-1),""))/86400+25569+9/24,""))</f>
        <v/>
      </c>
      <c r="G1691" s="58">
        <f>TRIM(SUBSTITUTE(SUBSTITUTE(SUBSTITUTE($A1691,CHAR(9)," ")," "," "),CHAR(13),""))</f>
        <v/>
      </c>
      <c r="H1691" s="58">
        <f>IF($G1691="","",IF(ISNUMBER(FIND(" ",$G1691)),$G1691,IFERROR(IF((LEN(SUBSTITUTE(SUBSTITUTE($G1691,"-"," ",LEN($G1691)-LEN(SUBSTITUTE($G1691,"-",""))),"-"," ",LEN($G1691)-LEN(SUBSTITUTE($G1691,"-",""))-1))-LEN(SUBSTITUTE(SUBSTITUTE(SUBSTITUTE($G1691,"-"," ",LEN($G1691)-LEN(SUBSTITUTE($G1691,"-",""))),"-"," ",LEN($G1691)-LEN(SUBSTITUTE($G1691,"-",""))-1),".","")))=0,SUBSTITUTE(SUBSTITUTE($G1691,"-"," ",LEN($G1691)-LEN(SUBSTITUTE($G1691,"-",""))),"-"," ",LEN($G1691)-LEN(SUBSTITUTE($G1691,"-",""))-1),SUBSTITUTE(SUBSTITUTE(SUBSTITUTE($G1691,"-"," ",LEN($G1691)-LEN(SUBSTITUTE($G1691,"-",""))),"-"," ",LEN($G1691)-LEN(SUBSTITUTE($G1691,"-",""))-1),"."," ",(LEN(SUBSTITUTE(SUBSTITUTE($G1691,"-"," ",LEN($G1691)-LEN(SUBSTITUTE($G1691,"-",""))),"-"," ",LEN($G1691)-LEN(SUBSTITUTE($G1691,"-",""))-1))-LEN(SUBSTITUTE(SUBSTITUTE(SUBSTITUTE($G1691,"-"," ",LEN($G1691)-LEN(SUBSTITUTE($G1691,"-",""))),"-"," ",LEN($G1691)-LEN(SUBSTITUTE($G1691,"-",""))-1),".",""))))),$G1691)))</f>
        <v/>
      </c>
    </row>
    <row r="1692">
      <c r="A1692" s="58" t="n"/>
      <c r="B1692" s="58">
        <f>IF($H1692="","",LEFT($H1692,FIND(" ",$H1692&amp;" ")-1))</f>
        <v/>
      </c>
      <c r="C1692" s="58">
        <f>IF($H1692="","",IFERROR(MID($H1692&amp;" ",FIND("|",SUBSTITUTE($H1692&amp;" "," ","|",1))+1,FIND("|",SUBSTITUTE($H1692&amp;" "," ","|",2))-FIND("|",SUBSTITUTE($H1692&amp;" "," ","|",1))-1),""))</f>
        <v/>
      </c>
      <c r="D1692" s="58">
        <f>IF($H1692="","",IFERROR(MID($H1692&amp;" ",FIND("|",SUBSTITUTE($H1692&amp;" "," ","|",2))+1,FIND("|",SUBSTITUTE($H1692&amp;" "," ","|",3))-FIND("|",SUBSTITUTE($H1692&amp;" "," ","|",2))-1),""))</f>
        <v/>
      </c>
      <c r="E1692" s="58">
        <f>IF($H1692="","",IFERROR(MID($H1692&amp;" ",FIND("|",SUBSTITUTE($H1692&amp;" "," ","|",3))+1,FIND("|",SUBSTITUTE($H1692&amp;" "," ","|",4))-FIND("|",SUBSTITUTE($H1692&amp;" "," ","|",3))-1),""))</f>
        <v/>
      </c>
      <c r="F1692" s="59">
        <f>IF($H1692="","",IFERROR(VALUE(IFERROR(MID($H1692&amp;" ",FIND("|",SUBSTITUTE($H1692&amp;" "," ","|",4))+1,FIND("|",SUBSTITUTE($H1692&amp;" "," ","|",5))-FIND("|",SUBSTITUTE($H1692&amp;" "," ","|",4))-1),""))/86400+25569+9/24,""))</f>
        <v/>
      </c>
      <c r="G1692" s="58">
        <f>TRIM(SUBSTITUTE(SUBSTITUTE(SUBSTITUTE($A1692,CHAR(9)," ")," "," "),CHAR(13),""))</f>
        <v/>
      </c>
      <c r="H1692" s="58">
        <f>IF($G1692="","",IF(ISNUMBER(FIND(" ",$G1692)),$G1692,IFERROR(IF((LEN(SUBSTITUTE(SUBSTITUTE($G1692,"-"," ",LEN($G1692)-LEN(SUBSTITUTE($G1692,"-",""))),"-"," ",LEN($G1692)-LEN(SUBSTITUTE($G1692,"-",""))-1))-LEN(SUBSTITUTE(SUBSTITUTE(SUBSTITUTE($G1692,"-"," ",LEN($G1692)-LEN(SUBSTITUTE($G1692,"-",""))),"-"," ",LEN($G1692)-LEN(SUBSTITUTE($G1692,"-",""))-1),".","")))=0,SUBSTITUTE(SUBSTITUTE($G1692,"-"," ",LEN($G1692)-LEN(SUBSTITUTE($G1692,"-",""))),"-"," ",LEN($G1692)-LEN(SUBSTITUTE($G1692,"-",""))-1),SUBSTITUTE(SUBSTITUTE(SUBSTITUTE($G1692,"-"," ",LEN($G1692)-LEN(SUBSTITUTE($G1692,"-",""))),"-"," ",LEN($G1692)-LEN(SUBSTITUTE($G1692,"-",""))-1),"."," ",(LEN(SUBSTITUTE(SUBSTITUTE($G1692,"-"," ",LEN($G1692)-LEN(SUBSTITUTE($G1692,"-",""))),"-"," ",LEN($G1692)-LEN(SUBSTITUTE($G1692,"-",""))-1))-LEN(SUBSTITUTE(SUBSTITUTE(SUBSTITUTE($G1692,"-"," ",LEN($G1692)-LEN(SUBSTITUTE($G1692,"-",""))),"-"," ",LEN($G1692)-LEN(SUBSTITUTE($G1692,"-",""))-1),".",""))))),$G1692)))</f>
        <v/>
      </c>
    </row>
    <row r="1693">
      <c r="A1693" s="58" t="n"/>
      <c r="B1693" s="58">
        <f>IF($H1693="","",LEFT($H1693,FIND(" ",$H1693&amp;" ")-1))</f>
        <v/>
      </c>
      <c r="C1693" s="58">
        <f>IF($H1693="","",IFERROR(MID($H1693&amp;" ",FIND("|",SUBSTITUTE($H1693&amp;" "," ","|",1))+1,FIND("|",SUBSTITUTE($H1693&amp;" "," ","|",2))-FIND("|",SUBSTITUTE($H1693&amp;" "," ","|",1))-1),""))</f>
        <v/>
      </c>
      <c r="D1693" s="58">
        <f>IF($H1693="","",IFERROR(MID($H1693&amp;" ",FIND("|",SUBSTITUTE($H1693&amp;" "," ","|",2))+1,FIND("|",SUBSTITUTE($H1693&amp;" "," ","|",3))-FIND("|",SUBSTITUTE($H1693&amp;" "," ","|",2))-1),""))</f>
        <v/>
      </c>
      <c r="E1693" s="58">
        <f>IF($H1693="","",IFERROR(MID($H1693&amp;" ",FIND("|",SUBSTITUTE($H1693&amp;" "," ","|",3))+1,FIND("|",SUBSTITUTE($H1693&amp;" "," ","|",4))-FIND("|",SUBSTITUTE($H1693&amp;" "," ","|",3))-1),""))</f>
        <v/>
      </c>
      <c r="F1693" s="59">
        <f>IF($H1693="","",IFERROR(VALUE(IFERROR(MID($H1693&amp;" ",FIND("|",SUBSTITUTE($H1693&amp;" "," ","|",4))+1,FIND("|",SUBSTITUTE($H1693&amp;" "," ","|",5))-FIND("|",SUBSTITUTE($H1693&amp;" "," ","|",4))-1),""))/86400+25569+9/24,""))</f>
        <v/>
      </c>
      <c r="G1693" s="58">
        <f>TRIM(SUBSTITUTE(SUBSTITUTE(SUBSTITUTE($A1693,CHAR(9)," ")," "," "),CHAR(13),""))</f>
        <v/>
      </c>
      <c r="H1693" s="58">
        <f>IF($G1693="","",IF(ISNUMBER(FIND(" ",$G1693)),$G1693,IFERROR(IF((LEN(SUBSTITUTE(SUBSTITUTE($G1693,"-"," ",LEN($G1693)-LEN(SUBSTITUTE($G1693,"-",""))),"-"," ",LEN($G1693)-LEN(SUBSTITUTE($G1693,"-",""))-1))-LEN(SUBSTITUTE(SUBSTITUTE(SUBSTITUTE($G1693,"-"," ",LEN($G1693)-LEN(SUBSTITUTE($G1693,"-",""))),"-"," ",LEN($G1693)-LEN(SUBSTITUTE($G1693,"-",""))-1),".","")))=0,SUBSTITUTE(SUBSTITUTE($G1693,"-"," ",LEN($G1693)-LEN(SUBSTITUTE($G1693,"-",""))),"-"," ",LEN($G1693)-LEN(SUBSTITUTE($G1693,"-",""))-1),SUBSTITUTE(SUBSTITUTE(SUBSTITUTE($G1693,"-"," ",LEN($G1693)-LEN(SUBSTITUTE($G1693,"-",""))),"-"," ",LEN($G1693)-LEN(SUBSTITUTE($G1693,"-",""))-1),"."," ",(LEN(SUBSTITUTE(SUBSTITUTE($G1693,"-"," ",LEN($G1693)-LEN(SUBSTITUTE($G1693,"-",""))),"-"," ",LEN($G1693)-LEN(SUBSTITUTE($G1693,"-",""))-1))-LEN(SUBSTITUTE(SUBSTITUTE(SUBSTITUTE($G1693,"-"," ",LEN($G1693)-LEN(SUBSTITUTE($G1693,"-",""))),"-"," ",LEN($G1693)-LEN(SUBSTITUTE($G1693,"-",""))-1),".",""))))),$G1693)))</f>
        <v/>
      </c>
    </row>
    <row r="1694">
      <c r="A1694" s="58" t="n"/>
      <c r="B1694" s="58">
        <f>IF($H1694="","",LEFT($H1694,FIND(" ",$H1694&amp;" ")-1))</f>
        <v/>
      </c>
      <c r="C1694" s="58">
        <f>IF($H1694="","",IFERROR(MID($H1694&amp;" ",FIND("|",SUBSTITUTE($H1694&amp;" "," ","|",1))+1,FIND("|",SUBSTITUTE($H1694&amp;" "," ","|",2))-FIND("|",SUBSTITUTE($H1694&amp;" "," ","|",1))-1),""))</f>
        <v/>
      </c>
      <c r="D1694" s="58">
        <f>IF($H1694="","",IFERROR(MID($H1694&amp;" ",FIND("|",SUBSTITUTE($H1694&amp;" "," ","|",2))+1,FIND("|",SUBSTITUTE($H1694&amp;" "," ","|",3))-FIND("|",SUBSTITUTE($H1694&amp;" "," ","|",2))-1),""))</f>
        <v/>
      </c>
      <c r="E1694" s="58">
        <f>IF($H1694="","",IFERROR(MID($H1694&amp;" ",FIND("|",SUBSTITUTE($H1694&amp;" "," ","|",3))+1,FIND("|",SUBSTITUTE($H1694&amp;" "," ","|",4))-FIND("|",SUBSTITUTE($H1694&amp;" "," ","|",3))-1),""))</f>
        <v/>
      </c>
      <c r="F1694" s="59">
        <f>IF($H1694="","",IFERROR(VALUE(IFERROR(MID($H1694&amp;" ",FIND("|",SUBSTITUTE($H1694&amp;" "," ","|",4))+1,FIND("|",SUBSTITUTE($H1694&amp;" "," ","|",5))-FIND("|",SUBSTITUTE($H1694&amp;" "," ","|",4))-1),""))/86400+25569+9/24,""))</f>
        <v/>
      </c>
      <c r="G1694" s="58">
        <f>TRIM(SUBSTITUTE(SUBSTITUTE(SUBSTITUTE($A1694,CHAR(9)," ")," "," "),CHAR(13),""))</f>
        <v/>
      </c>
      <c r="H1694" s="58">
        <f>IF($G1694="","",IF(ISNUMBER(FIND(" ",$G1694)),$G1694,IFERROR(IF((LEN(SUBSTITUTE(SUBSTITUTE($G1694,"-"," ",LEN($G1694)-LEN(SUBSTITUTE($G1694,"-",""))),"-"," ",LEN($G1694)-LEN(SUBSTITUTE($G1694,"-",""))-1))-LEN(SUBSTITUTE(SUBSTITUTE(SUBSTITUTE($G1694,"-"," ",LEN($G1694)-LEN(SUBSTITUTE($G1694,"-",""))),"-"," ",LEN($G1694)-LEN(SUBSTITUTE($G1694,"-",""))-1),".","")))=0,SUBSTITUTE(SUBSTITUTE($G1694,"-"," ",LEN($G1694)-LEN(SUBSTITUTE($G1694,"-",""))),"-"," ",LEN($G1694)-LEN(SUBSTITUTE($G1694,"-",""))-1),SUBSTITUTE(SUBSTITUTE(SUBSTITUTE($G1694,"-"," ",LEN($G1694)-LEN(SUBSTITUTE($G1694,"-",""))),"-"," ",LEN($G1694)-LEN(SUBSTITUTE($G1694,"-",""))-1),"."," ",(LEN(SUBSTITUTE(SUBSTITUTE($G1694,"-"," ",LEN($G1694)-LEN(SUBSTITUTE($G1694,"-",""))),"-"," ",LEN($G1694)-LEN(SUBSTITUTE($G1694,"-",""))-1))-LEN(SUBSTITUTE(SUBSTITUTE(SUBSTITUTE($G1694,"-"," ",LEN($G1694)-LEN(SUBSTITUTE($G1694,"-",""))),"-"," ",LEN($G1694)-LEN(SUBSTITUTE($G1694,"-",""))-1),".",""))))),$G1694)))</f>
        <v/>
      </c>
    </row>
    <row r="1695">
      <c r="A1695" s="58" t="n"/>
      <c r="B1695" s="58">
        <f>IF($H1695="","",LEFT($H1695,FIND(" ",$H1695&amp;" ")-1))</f>
        <v/>
      </c>
      <c r="C1695" s="58">
        <f>IF($H1695="","",IFERROR(MID($H1695&amp;" ",FIND("|",SUBSTITUTE($H1695&amp;" "," ","|",1))+1,FIND("|",SUBSTITUTE($H1695&amp;" "," ","|",2))-FIND("|",SUBSTITUTE($H1695&amp;" "," ","|",1))-1),""))</f>
        <v/>
      </c>
      <c r="D1695" s="58">
        <f>IF($H1695="","",IFERROR(MID($H1695&amp;" ",FIND("|",SUBSTITUTE($H1695&amp;" "," ","|",2))+1,FIND("|",SUBSTITUTE($H1695&amp;" "," ","|",3))-FIND("|",SUBSTITUTE($H1695&amp;" "," ","|",2))-1),""))</f>
        <v/>
      </c>
      <c r="E1695" s="58">
        <f>IF($H1695="","",IFERROR(MID($H1695&amp;" ",FIND("|",SUBSTITUTE($H1695&amp;" "," ","|",3))+1,FIND("|",SUBSTITUTE($H1695&amp;" "," ","|",4))-FIND("|",SUBSTITUTE($H1695&amp;" "," ","|",3))-1),""))</f>
        <v/>
      </c>
      <c r="F1695" s="59">
        <f>IF($H1695="","",IFERROR(VALUE(IFERROR(MID($H1695&amp;" ",FIND("|",SUBSTITUTE($H1695&amp;" "," ","|",4))+1,FIND("|",SUBSTITUTE($H1695&amp;" "," ","|",5))-FIND("|",SUBSTITUTE($H1695&amp;" "," ","|",4))-1),""))/86400+25569+9/24,""))</f>
        <v/>
      </c>
      <c r="G1695" s="58">
        <f>TRIM(SUBSTITUTE(SUBSTITUTE(SUBSTITUTE($A1695,CHAR(9)," ")," "," "),CHAR(13),""))</f>
        <v/>
      </c>
      <c r="H1695" s="58">
        <f>IF($G1695="","",IF(ISNUMBER(FIND(" ",$G1695)),$G1695,IFERROR(IF((LEN(SUBSTITUTE(SUBSTITUTE($G1695,"-"," ",LEN($G1695)-LEN(SUBSTITUTE($G1695,"-",""))),"-"," ",LEN($G1695)-LEN(SUBSTITUTE($G1695,"-",""))-1))-LEN(SUBSTITUTE(SUBSTITUTE(SUBSTITUTE($G1695,"-"," ",LEN($G1695)-LEN(SUBSTITUTE($G1695,"-",""))),"-"," ",LEN($G1695)-LEN(SUBSTITUTE($G1695,"-",""))-1),".","")))=0,SUBSTITUTE(SUBSTITUTE($G1695,"-"," ",LEN($G1695)-LEN(SUBSTITUTE($G1695,"-",""))),"-"," ",LEN($G1695)-LEN(SUBSTITUTE($G1695,"-",""))-1),SUBSTITUTE(SUBSTITUTE(SUBSTITUTE($G1695,"-"," ",LEN($G1695)-LEN(SUBSTITUTE($G1695,"-",""))),"-"," ",LEN($G1695)-LEN(SUBSTITUTE($G1695,"-",""))-1),"."," ",(LEN(SUBSTITUTE(SUBSTITUTE($G1695,"-"," ",LEN($G1695)-LEN(SUBSTITUTE($G1695,"-",""))),"-"," ",LEN($G1695)-LEN(SUBSTITUTE($G1695,"-",""))-1))-LEN(SUBSTITUTE(SUBSTITUTE(SUBSTITUTE($G1695,"-"," ",LEN($G1695)-LEN(SUBSTITUTE($G1695,"-",""))),"-"," ",LEN($G1695)-LEN(SUBSTITUTE($G1695,"-",""))-1),".",""))))),$G1695)))</f>
        <v/>
      </c>
    </row>
    <row r="1696">
      <c r="A1696" s="58" t="n"/>
      <c r="B1696" s="58">
        <f>IF($H1696="","",LEFT($H1696,FIND(" ",$H1696&amp;" ")-1))</f>
        <v/>
      </c>
      <c r="C1696" s="58">
        <f>IF($H1696="","",IFERROR(MID($H1696&amp;" ",FIND("|",SUBSTITUTE($H1696&amp;" "," ","|",1))+1,FIND("|",SUBSTITUTE($H1696&amp;" "," ","|",2))-FIND("|",SUBSTITUTE($H1696&amp;" "," ","|",1))-1),""))</f>
        <v/>
      </c>
      <c r="D1696" s="58">
        <f>IF($H1696="","",IFERROR(MID($H1696&amp;" ",FIND("|",SUBSTITUTE($H1696&amp;" "," ","|",2))+1,FIND("|",SUBSTITUTE($H1696&amp;" "," ","|",3))-FIND("|",SUBSTITUTE($H1696&amp;" "," ","|",2))-1),""))</f>
        <v/>
      </c>
      <c r="E1696" s="58">
        <f>IF($H1696="","",IFERROR(MID($H1696&amp;" ",FIND("|",SUBSTITUTE($H1696&amp;" "," ","|",3))+1,FIND("|",SUBSTITUTE($H1696&amp;" "," ","|",4))-FIND("|",SUBSTITUTE($H1696&amp;" "," ","|",3))-1),""))</f>
        <v/>
      </c>
      <c r="F1696" s="59">
        <f>IF($H1696="","",IFERROR(VALUE(IFERROR(MID($H1696&amp;" ",FIND("|",SUBSTITUTE($H1696&amp;" "," ","|",4))+1,FIND("|",SUBSTITUTE($H1696&amp;" "," ","|",5))-FIND("|",SUBSTITUTE($H1696&amp;" "," ","|",4))-1),""))/86400+25569+9/24,""))</f>
        <v/>
      </c>
      <c r="G1696" s="58">
        <f>TRIM(SUBSTITUTE(SUBSTITUTE(SUBSTITUTE($A1696,CHAR(9)," ")," "," "),CHAR(13),""))</f>
        <v/>
      </c>
      <c r="H1696" s="58">
        <f>IF($G1696="","",IF(ISNUMBER(FIND(" ",$G1696)),$G1696,IFERROR(IF((LEN(SUBSTITUTE(SUBSTITUTE($G1696,"-"," ",LEN($G1696)-LEN(SUBSTITUTE($G1696,"-",""))),"-"," ",LEN($G1696)-LEN(SUBSTITUTE($G1696,"-",""))-1))-LEN(SUBSTITUTE(SUBSTITUTE(SUBSTITUTE($G1696,"-"," ",LEN($G1696)-LEN(SUBSTITUTE($G1696,"-",""))),"-"," ",LEN($G1696)-LEN(SUBSTITUTE($G1696,"-",""))-1),".","")))=0,SUBSTITUTE(SUBSTITUTE($G1696,"-"," ",LEN($G1696)-LEN(SUBSTITUTE($G1696,"-",""))),"-"," ",LEN($G1696)-LEN(SUBSTITUTE($G1696,"-",""))-1),SUBSTITUTE(SUBSTITUTE(SUBSTITUTE($G1696,"-"," ",LEN($G1696)-LEN(SUBSTITUTE($G1696,"-",""))),"-"," ",LEN($G1696)-LEN(SUBSTITUTE($G1696,"-",""))-1),"."," ",(LEN(SUBSTITUTE(SUBSTITUTE($G1696,"-"," ",LEN($G1696)-LEN(SUBSTITUTE($G1696,"-",""))),"-"," ",LEN($G1696)-LEN(SUBSTITUTE($G1696,"-",""))-1))-LEN(SUBSTITUTE(SUBSTITUTE(SUBSTITUTE($G1696,"-"," ",LEN($G1696)-LEN(SUBSTITUTE($G1696,"-",""))),"-"," ",LEN($G1696)-LEN(SUBSTITUTE($G1696,"-",""))-1),".",""))))),$G1696)))</f>
        <v/>
      </c>
    </row>
    <row r="1697">
      <c r="A1697" s="58" t="n"/>
      <c r="B1697" s="58">
        <f>IF($H1697="","",LEFT($H1697,FIND(" ",$H1697&amp;" ")-1))</f>
        <v/>
      </c>
      <c r="C1697" s="58">
        <f>IF($H1697="","",IFERROR(MID($H1697&amp;" ",FIND("|",SUBSTITUTE($H1697&amp;" "," ","|",1))+1,FIND("|",SUBSTITUTE($H1697&amp;" "," ","|",2))-FIND("|",SUBSTITUTE($H1697&amp;" "," ","|",1))-1),""))</f>
        <v/>
      </c>
      <c r="D1697" s="58">
        <f>IF($H1697="","",IFERROR(MID($H1697&amp;" ",FIND("|",SUBSTITUTE($H1697&amp;" "," ","|",2))+1,FIND("|",SUBSTITUTE($H1697&amp;" "," ","|",3))-FIND("|",SUBSTITUTE($H1697&amp;" "," ","|",2))-1),""))</f>
        <v/>
      </c>
      <c r="E1697" s="58">
        <f>IF($H1697="","",IFERROR(MID($H1697&amp;" ",FIND("|",SUBSTITUTE($H1697&amp;" "," ","|",3))+1,FIND("|",SUBSTITUTE($H1697&amp;" "," ","|",4))-FIND("|",SUBSTITUTE($H1697&amp;" "," ","|",3))-1),""))</f>
        <v/>
      </c>
      <c r="F1697" s="59">
        <f>IF($H1697="","",IFERROR(VALUE(IFERROR(MID($H1697&amp;" ",FIND("|",SUBSTITUTE($H1697&amp;" "," ","|",4))+1,FIND("|",SUBSTITUTE($H1697&amp;" "," ","|",5))-FIND("|",SUBSTITUTE($H1697&amp;" "," ","|",4))-1),""))/86400+25569+9/24,""))</f>
        <v/>
      </c>
      <c r="G1697" s="58">
        <f>TRIM(SUBSTITUTE(SUBSTITUTE(SUBSTITUTE($A1697,CHAR(9)," ")," "," "),CHAR(13),""))</f>
        <v/>
      </c>
      <c r="H1697" s="58">
        <f>IF($G1697="","",IF(ISNUMBER(FIND(" ",$G1697)),$G1697,IFERROR(IF((LEN(SUBSTITUTE(SUBSTITUTE($G1697,"-"," ",LEN($G1697)-LEN(SUBSTITUTE($G1697,"-",""))),"-"," ",LEN($G1697)-LEN(SUBSTITUTE($G1697,"-",""))-1))-LEN(SUBSTITUTE(SUBSTITUTE(SUBSTITUTE($G1697,"-"," ",LEN($G1697)-LEN(SUBSTITUTE($G1697,"-",""))),"-"," ",LEN($G1697)-LEN(SUBSTITUTE($G1697,"-",""))-1),".","")))=0,SUBSTITUTE(SUBSTITUTE($G1697,"-"," ",LEN($G1697)-LEN(SUBSTITUTE($G1697,"-",""))),"-"," ",LEN($G1697)-LEN(SUBSTITUTE($G1697,"-",""))-1),SUBSTITUTE(SUBSTITUTE(SUBSTITUTE($G1697,"-"," ",LEN($G1697)-LEN(SUBSTITUTE($G1697,"-",""))),"-"," ",LEN($G1697)-LEN(SUBSTITUTE($G1697,"-",""))-1),"."," ",(LEN(SUBSTITUTE(SUBSTITUTE($G1697,"-"," ",LEN($G1697)-LEN(SUBSTITUTE($G1697,"-",""))),"-"," ",LEN($G1697)-LEN(SUBSTITUTE($G1697,"-",""))-1))-LEN(SUBSTITUTE(SUBSTITUTE(SUBSTITUTE($G1697,"-"," ",LEN($G1697)-LEN(SUBSTITUTE($G1697,"-",""))),"-"," ",LEN($G1697)-LEN(SUBSTITUTE($G1697,"-",""))-1),".",""))))),$G1697)))</f>
        <v/>
      </c>
    </row>
    <row r="1698">
      <c r="A1698" s="58" t="n"/>
      <c r="B1698" s="58">
        <f>IF($H1698="","",LEFT($H1698,FIND(" ",$H1698&amp;" ")-1))</f>
        <v/>
      </c>
      <c r="C1698" s="58">
        <f>IF($H1698="","",IFERROR(MID($H1698&amp;" ",FIND("|",SUBSTITUTE($H1698&amp;" "," ","|",1))+1,FIND("|",SUBSTITUTE($H1698&amp;" "," ","|",2))-FIND("|",SUBSTITUTE($H1698&amp;" "," ","|",1))-1),""))</f>
        <v/>
      </c>
      <c r="D1698" s="58">
        <f>IF($H1698="","",IFERROR(MID($H1698&amp;" ",FIND("|",SUBSTITUTE($H1698&amp;" "," ","|",2))+1,FIND("|",SUBSTITUTE($H1698&amp;" "," ","|",3))-FIND("|",SUBSTITUTE($H1698&amp;" "," ","|",2))-1),""))</f>
        <v/>
      </c>
      <c r="E1698" s="58">
        <f>IF($H1698="","",IFERROR(MID($H1698&amp;" ",FIND("|",SUBSTITUTE($H1698&amp;" "," ","|",3))+1,FIND("|",SUBSTITUTE($H1698&amp;" "," ","|",4))-FIND("|",SUBSTITUTE($H1698&amp;" "," ","|",3))-1),""))</f>
        <v/>
      </c>
      <c r="F1698" s="59">
        <f>IF($H1698="","",IFERROR(VALUE(IFERROR(MID($H1698&amp;" ",FIND("|",SUBSTITUTE($H1698&amp;" "," ","|",4))+1,FIND("|",SUBSTITUTE($H1698&amp;" "," ","|",5))-FIND("|",SUBSTITUTE($H1698&amp;" "," ","|",4))-1),""))/86400+25569+9/24,""))</f>
        <v/>
      </c>
      <c r="G1698" s="58">
        <f>TRIM(SUBSTITUTE(SUBSTITUTE(SUBSTITUTE($A1698,CHAR(9)," ")," "," "),CHAR(13),""))</f>
        <v/>
      </c>
      <c r="H1698" s="58">
        <f>IF($G1698="","",IF(ISNUMBER(FIND(" ",$G1698)),$G1698,IFERROR(IF((LEN(SUBSTITUTE(SUBSTITUTE($G1698,"-"," ",LEN($G1698)-LEN(SUBSTITUTE($G1698,"-",""))),"-"," ",LEN($G1698)-LEN(SUBSTITUTE($G1698,"-",""))-1))-LEN(SUBSTITUTE(SUBSTITUTE(SUBSTITUTE($G1698,"-"," ",LEN($G1698)-LEN(SUBSTITUTE($G1698,"-",""))),"-"," ",LEN($G1698)-LEN(SUBSTITUTE($G1698,"-",""))-1),".","")))=0,SUBSTITUTE(SUBSTITUTE($G1698,"-"," ",LEN($G1698)-LEN(SUBSTITUTE($G1698,"-",""))),"-"," ",LEN($G1698)-LEN(SUBSTITUTE($G1698,"-",""))-1),SUBSTITUTE(SUBSTITUTE(SUBSTITUTE($G1698,"-"," ",LEN($G1698)-LEN(SUBSTITUTE($G1698,"-",""))),"-"," ",LEN($G1698)-LEN(SUBSTITUTE($G1698,"-",""))-1),"."," ",(LEN(SUBSTITUTE(SUBSTITUTE($G1698,"-"," ",LEN($G1698)-LEN(SUBSTITUTE($G1698,"-",""))),"-"," ",LEN($G1698)-LEN(SUBSTITUTE($G1698,"-",""))-1))-LEN(SUBSTITUTE(SUBSTITUTE(SUBSTITUTE($G1698,"-"," ",LEN($G1698)-LEN(SUBSTITUTE($G1698,"-",""))),"-"," ",LEN($G1698)-LEN(SUBSTITUTE($G1698,"-",""))-1),".",""))))),$G1698)))</f>
        <v/>
      </c>
    </row>
    <row r="1699">
      <c r="A1699" s="58" t="n"/>
      <c r="B1699" s="58">
        <f>IF($H1699="","",LEFT($H1699,FIND(" ",$H1699&amp;" ")-1))</f>
        <v/>
      </c>
      <c r="C1699" s="58">
        <f>IF($H1699="","",IFERROR(MID($H1699&amp;" ",FIND("|",SUBSTITUTE($H1699&amp;" "," ","|",1))+1,FIND("|",SUBSTITUTE($H1699&amp;" "," ","|",2))-FIND("|",SUBSTITUTE($H1699&amp;" "," ","|",1))-1),""))</f>
        <v/>
      </c>
      <c r="D1699" s="58">
        <f>IF($H1699="","",IFERROR(MID($H1699&amp;" ",FIND("|",SUBSTITUTE($H1699&amp;" "," ","|",2))+1,FIND("|",SUBSTITUTE($H1699&amp;" "," ","|",3))-FIND("|",SUBSTITUTE($H1699&amp;" "," ","|",2))-1),""))</f>
        <v/>
      </c>
      <c r="E1699" s="58">
        <f>IF($H1699="","",IFERROR(MID($H1699&amp;" ",FIND("|",SUBSTITUTE($H1699&amp;" "," ","|",3))+1,FIND("|",SUBSTITUTE($H1699&amp;" "," ","|",4))-FIND("|",SUBSTITUTE($H1699&amp;" "," ","|",3))-1),""))</f>
        <v/>
      </c>
      <c r="F1699" s="59">
        <f>IF($H1699="","",IFERROR(VALUE(IFERROR(MID($H1699&amp;" ",FIND("|",SUBSTITUTE($H1699&amp;" "," ","|",4))+1,FIND("|",SUBSTITUTE($H1699&amp;" "," ","|",5))-FIND("|",SUBSTITUTE($H1699&amp;" "," ","|",4))-1),""))/86400+25569+9/24,""))</f>
        <v/>
      </c>
      <c r="G1699" s="58">
        <f>TRIM(SUBSTITUTE(SUBSTITUTE(SUBSTITUTE($A1699,CHAR(9)," ")," "," "),CHAR(13),""))</f>
        <v/>
      </c>
      <c r="H1699" s="58">
        <f>IF($G1699="","",IF(ISNUMBER(FIND(" ",$G1699)),$G1699,IFERROR(IF((LEN(SUBSTITUTE(SUBSTITUTE($G1699,"-"," ",LEN($G1699)-LEN(SUBSTITUTE($G1699,"-",""))),"-"," ",LEN($G1699)-LEN(SUBSTITUTE($G1699,"-",""))-1))-LEN(SUBSTITUTE(SUBSTITUTE(SUBSTITUTE($G1699,"-"," ",LEN($G1699)-LEN(SUBSTITUTE($G1699,"-",""))),"-"," ",LEN($G1699)-LEN(SUBSTITUTE($G1699,"-",""))-1),".","")))=0,SUBSTITUTE(SUBSTITUTE($G1699,"-"," ",LEN($G1699)-LEN(SUBSTITUTE($G1699,"-",""))),"-"," ",LEN($G1699)-LEN(SUBSTITUTE($G1699,"-",""))-1),SUBSTITUTE(SUBSTITUTE(SUBSTITUTE($G1699,"-"," ",LEN($G1699)-LEN(SUBSTITUTE($G1699,"-",""))),"-"," ",LEN($G1699)-LEN(SUBSTITUTE($G1699,"-",""))-1),"."," ",(LEN(SUBSTITUTE(SUBSTITUTE($G1699,"-"," ",LEN($G1699)-LEN(SUBSTITUTE($G1699,"-",""))),"-"," ",LEN($G1699)-LEN(SUBSTITUTE($G1699,"-",""))-1))-LEN(SUBSTITUTE(SUBSTITUTE(SUBSTITUTE($G1699,"-"," ",LEN($G1699)-LEN(SUBSTITUTE($G1699,"-",""))),"-"," ",LEN($G1699)-LEN(SUBSTITUTE($G1699,"-",""))-1),".",""))))),$G1699)))</f>
        <v/>
      </c>
    </row>
    <row r="1700">
      <c r="A1700" s="58" t="n"/>
      <c r="B1700" s="58">
        <f>IF($H1700="","",LEFT($H1700,FIND(" ",$H1700&amp;" ")-1))</f>
        <v/>
      </c>
      <c r="C1700" s="58">
        <f>IF($H1700="","",IFERROR(MID($H1700&amp;" ",FIND("|",SUBSTITUTE($H1700&amp;" "," ","|",1))+1,FIND("|",SUBSTITUTE($H1700&amp;" "," ","|",2))-FIND("|",SUBSTITUTE($H1700&amp;" "," ","|",1))-1),""))</f>
        <v/>
      </c>
      <c r="D1700" s="58">
        <f>IF($H1700="","",IFERROR(MID($H1700&amp;" ",FIND("|",SUBSTITUTE($H1700&amp;" "," ","|",2))+1,FIND("|",SUBSTITUTE($H1700&amp;" "," ","|",3))-FIND("|",SUBSTITUTE($H1700&amp;" "," ","|",2))-1),""))</f>
        <v/>
      </c>
      <c r="E1700" s="58">
        <f>IF($H1700="","",IFERROR(MID($H1700&amp;" ",FIND("|",SUBSTITUTE($H1700&amp;" "," ","|",3))+1,FIND("|",SUBSTITUTE($H1700&amp;" "," ","|",4))-FIND("|",SUBSTITUTE($H1700&amp;" "," ","|",3))-1),""))</f>
        <v/>
      </c>
      <c r="F1700" s="59">
        <f>IF($H1700="","",IFERROR(VALUE(IFERROR(MID($H1700&amp;" ",FIND("|",SUBSTITUTE($H1700&amp;" "," ","|",4))+1,FIND("|",SUBSTITUTE($H1700&amp;" "," ","|",5))-FIND("|",SUBSTITUTE($H1700&amp;" "," ","|",4))-1),""))/86400+25569+9/24,""))</f>
        <v/>
      </c>
      <c r="G1700" s="58">
        <f>TRIM(SUBSTITUTE(SUBSTITUTE(SUBSTITUTE($A1700,CHAR(9)," ")," "," "),CHAR(13),""))</f>
        <v/>
      </c>
      <c r="H1700" s="58">
        <f>IF($G1700="","",IF(ISNUMBER(FIND(" ",$G1700)),$G1700,IFERROR(IF((LEN(SUBSTITUTE(SUBSTITUTE($G1700,"-"," ",LEN($G1700)-LEN(SUBSTITUTE($G1700,"-",""))),"-"," ",LEN($G1700)-LEN(SUBSTITUTE($G1700,"-",""))-1))-LEN(SUBSTITUTE(SUBSTITUTE(SUBSTITUTE($G1700,"-"," ",LEN($G1700)-LEN(SUBSTITUTE($G1700,"-",""))),"-"," ",LEN($G1700)-LEN(SUBSTITUTE($G1700,"-",""))-1),".","")))=0,SUBSTITUTE(SUBSTITUTE($G1700,"-"," ",LEN($G1700)-LEN(SUBSTITUTE($G1700,"-",""))),"-"," ",LEN($G1700)-LEN(SUBSTITUTE($G1700,"-",""))-1),SUBSTITUTE(SUBSTITUTE(SUBSTITUTE($G1700,"-"," ",LEN($G1700)-LEN(SUBSTITUTE($G1700,"-",""))),"-"," ",LEN($G1700)-LEN(SUBSTITUTE($G1700,"-",""))-1),"."," ",(LEN(SUBSTITUTE(SUBSTITUTE($G1700,"-"," ",LEN($G1700)-LEN(SUBSTITUTE($G1700,"-",""))),"-"," ",LEN($G1700)-LEN(SUBSTITUTE($G1700,"-",""))-1))-LEN(SUBSTITUTE(SUBSTITUTE(SUBSTITUTE($G1700,"-"," ",LEN($G1700)-LEN(SUBSTITUTE($G1700,"-",""))),"-"," ",LEN($G1700)-LEN(SUBSTITUTE($G1700,"-",""))-1),".",""))))),$G1700)))</f>
        <v/>
      </c>
    </row>
    <row r="1701">
      <c r="A1701" s="58" t="n"/>
      <c r="B1701" s="58">
        <f>IF($H1701="","",LEFT($H1701,FIND(" ",$H1701&amp;" ")-1))</f>
        <v/>
      </c>
      <c r="C1701" s="58">
        <f>IF($H1701="","",IFERROR(MID($H1701&amp;" ",FIND("|",SUBSTITUTE($H1701&amp;" "," ","|",1))+1,FIND("|",SUBSTITUTE($H1701&amp;" "," ","|",2))-FIND("|",SUBSTITUTE($H1701&amp;" "," ","|",1))-1),""))</f>
        <v/>
      </c>
      <c r="D1701" s="58">
        <f>IF($H1701="","",IFERROR(MID($H1701&amp;" ",FIND("|",SUBSTITUTE($H1701&amp;" "," ","|",2))+1,FIND("|",SUBSTITUTE($H1701&amp;" "," ","|",3))-FIND("|",SUBSTITUTE($H1701&amp;" "," ","|",2))-1),""))</f>
        <v/>
      </c>
      <c r="E1701" s="58">
        <f>IF($H1701="","",IFERROR(MID($H1701&amp;" ",FIND("|",SUBSTITUTE($H1701&amp;" "," ","|",3))+1,FIND("|",SUBSTITUTE($H1701&amp;" "," ","|",4))-FIND("|",SUBSTITUTE($H1701&amp;" "," ","|",3))-1),""))</f>
        <v/>
      </c>
      <c r="F1701" s="59">
        <f>IF($H1701="","",IFERROR(VALUE(IFERROR(MID($H1701&amp;" ",FIND("|",SUBSTITUTE($H1701&amp;" "," ","|",4))+1,FIND("|",SUBSTITUTE($H1701&amp;" "," ","|",5))-FIND("|",SUBSTITUTE($H1701&amp;" "," ","|",4))-1),""))/86400+25569+9/24,""))</f>
        <v/>
      </c>
      <c r="G1701" s="58">
        <f>TRIM(SUBSTITUTE(SUBSTITUTE(SUBSTITUTE($A1701,CHAR(9)," ")," "," "),CHAR(13),""))</f>
        <v/>
      </c>
      <c r="H1701" s="58">
        <f>IF($G1701="","",IF(ISNUMBER(FIND(" ",$G1701)),$G1701,IFERROR(IF((LEN(SUBSTITUTE(SUBSTITUTE($G1701,"-"," ",LEN($G1701)-LEN(SUBSTITUTE($G1701,"-",""))),"-"," ",LEN($G1701)-LEN(SUBSTITUTE($G1701,"-",""))-1))-LEN(SUBSTITUTE(SUBSTITUTE(SUBSTITUTE($G1701,"-"," ",LEN($G1701)-LEN(SUBSTITUTE($G1701,"-",""))),"-"," ",LEN($G1701)-LEN(SUBSTITUTE($G1701,"-",""))-1),".","")))=0,SUBSTITUTE(SUBSTITUTE($G1701,"-"," ",LEN($G1701)-LEN(SUBSTITUTE($G1701,"-",""))),"-"," ",LEN($G1701)-LEN(SUBSTITUTE($G1701,"-",""))-1),SUBSTITUTE(SUBSTITUTE(SUBSTITUTE($G1701,"-"," ",LEN($G1701)-LEN(SUBSTITUTE($G1701,"-",""))),"-"," ",LEN($G1701)-LEN(SUBSTITUTE($G1701,"-",""))-1),"."," ",(LEN(SUBSTITUTE(SUBSTITUTE($G1701,"-"," ",LEN($G1701)-LEN(SUBSTITUTE($G1701,"-",""))),"-"," ",LEN($G1701)-LEN(SUBSTITUTE($G1701,"-",""))-1))-LEN(SUBSTITUTE(SUBSTITUTE(SUBSTITUTE($G1701,"-"," ",LEN($G1701)-LEN(SUBSTITUTE($G1701,"-",""))),"-"," ",LEN($G1701)-LEN(SUBSTITUTE($G1701,"-",""))-1),".",""))))),$G1701)))</f>
        <v/>
      </c>
    </row>
    <row r="1702">
      <c r="A1702" s="58" t="n"/>
      <c r="B1702" s="58">
        <f>IF($H1702="","",LEFT($H1702,FIND(" ",$H1702&amp;" ")-1))</f>
        <v/>
      </c>
      <c r="C1702" s="58">
        <f>IF($H1702="","",IFERROR(MID($H1702&amp;" ",FIND("|",SUBSTITUTE($H1702&amp;" "," ","|",1))+1,FIND("|",SUBSTITUTE($H1702&amp;" "," ","|",2))-FIND("|",SUBSTITUTE($H1702&amp;" "," ","|",1))-1),""))</f>
        <v/>
      </c>
      <c r="D1702" s="58">
        <f>IF($H1702="","",IFERROR(MID($H1702&amp;" ",FIND("|",SUBSTITUTE($H1702&amp;" "," ","|",2))+1,FIND("|",SUBSTITUTE($H1702&amp;" "," ","|",3))-FIND("|",SUBSTITUTE($H1702&amp;" "," ","|",2))-1),""))</f>
        <v/>
      </c>
      <c r="E1702" s="58">
        <f>IF($H1702="","",IFERROR(MID($H1702&amp;" ",FIND("|",SUBSTITUTE($H1702&amp;" "," ","|",3))+1,FIND("|",SUBSTITUTE($H1702&amp;" "," ","|",4))-FIND("|",SUBSTITUTE($H1702&amp;" "," ","|",3))-1),""))</f>
        <v/>
      </c>
      <c r="F1702" s="59">
        <f>IF($H1702="","",IFERROR(VALUE(IFERROR(MID($H1702&amp;" ",FIND("|",SUBSTITUTE($H1702&amp;" "," ","|",4))+1,FIND("|",SUBSTITUTE($H1702&amp;" "," ","|",5))-FIND("|",SUBSTITUTE($H1702&amp;" "," ","|",4))-1),""))/86400+25569+9/24,""))</f>
        <v/>
      </c>
      <c r="G1702" s="58">
        <f>TRIM(SUBSTITUTE(SUBSTITUTE(SUBSTITUTE($A1702,CHAR(9)," ")," "," "),CHAR(13),""))</f>
        <v/>
      </c>
      <c r="H1702" s="58">
        <f>IF($G1702="","",IF(ISNUMBER(FIND(" ",$G1702)),$G1702,IFERROR(IF((LEN(SUBSTITUTE(SUBSTITUTE($G1702,"-"," ",LEN($G1702)-LEN(SUBSTITUTE($G1702,"-",""))),"-"," ",LEN($G1702)-LEN(SUBSTITUTE($G1702,"-",""))-1))-LEN(SUBSTITUTE(SUBSTITUTE(SUBSTITUTE($G1702,"-"," ",LEN($G1702)-LEN(SUBSTITUTE($G1702,"-",""))),"-"," ",LEN($G1702)-LEN(SUBSTITUTE($G1702,"-",""))-1),".","")))=0,SUBSTITUTE(SUBSTITUTE($G1702,"-"," ",LEN($G1702)-LEN(SUBSTITUTE($G1702,"-",""))),"-"," ",LEN($G1702)-LEN(SUBSTITUTE($G1702,"-",""))-1),SUBSTITUTE(SUBSTITUTE(SUBSTITUTE($G1702,"-"," ",LEN($G1702)-LEN(SUBSTITUTE($G1702,"-",""))),"-"," ",LEN($G1702)-LEN(SUBSTITUTE($G1702,"-",""))-1),"."," ",(LEN(SUBSTITUTE(SUBSTITUTE($G1702,"-"," ",LEN($G1702)-LEN(SUBSTITUTE($G1702,"-",""))),"-"," ",LEN($G1702)-LEN(SUBSTITUTE($G1702,"-",""))-1))-LEN(SUBSTITUTE(SUBSTITUTE(SUBSTITUTE($G1702,"-"," ",LEN($G1702)-LEN(SUBSTITUTE($G1702,"-",""))),"-"," ",LEN($G1702)-LEN(SUBSTITUTE($G1702,"-",""))-1),".",""))))),$G1702)))</f>
        <v/>
      </c>
    </row>
    <row r="1703">
      <c r="A1703" s="58" t="n"/>
      <c r="B1703" s="58">
        <f>IF($H1703="","",LEFT($H1703,FIND(" ",$H1703&amp;" ")-1))</f>
        <v/>
      </c>
      <c r="C1703" s="58">
        <f>IF($H1703="","",IFERROR(MID($H1703&amp;" ",FIND("|",SUBSTITUTE($H1703&amp;" "," ","|",1))+1,FIND("|",SUBSTITUTE($H1703&amp;" "," ","|",2))-FIND("|",SUBSTITUTE($H1703&amp;" "," ","|",1))-1),""))</f>
        <v/>
      </c>
      <c r="D1703" s="58">
        <f>IF($H1703="","",IFERROR(MID($H1703&amp;" ",FIND("|",SUBSTITUTE($H1703&amp;" "," ","|",2))+1,FIND("|",SUBSTITUTE($H1703&amp;" "," ","|",3))-FIND("|",SUBSTITUTE($H1703&amp;" "," ","|",2))-1),""))</f>
        <v/>
      </c>
      <c r="E1703" s="58">
        <f>IF($H1703="","",IFERROR(MID($H1703&amp;" ",FIND("|",SUBSTITUTE($H1703&amp;" "," ","|",3))+1,FIND("|",SUBSTITUTE($H1703&amp;" "," ","|",4))-FIND("|",SUBSTITUTE($H1703&amp;" "," ","|",3))-1),""))</f>
        <v/>
      </c>
      <c r="F1703" s="59">
        <f>IF($H1703="","",IFERROR(VALUE(IFERROR(MID($H1703&amp;" ",FIND("|",SUBSTITUTE($H1703&amp;" "," ","|",4))+1,FIND("|",SUBSTITUTE($H1703&amp;" "," ","|",5))-FIND("|",SUBSTITUTE($H1703&amp;" "," ","|",4))-1),""))/86400+25569+9/24,""))</f>
        <v/>
      </c>
      <c r="G1703" s="58">
        <f>TRIM(SUBSTITUTE(SUBSTITUTE(SUBSTITUTE($A1703,CHAR(9)," ")," "," "),CHAR(13),""))</f>
        <v/>
      </c>
      <c r="H1703" s="58">
        <f>IF($G1703="","",IF(ISNUMBER(FIND(" ",$G1703)),$G1703,IFERROR(IF((LEN(SUBSTITUTE(SUBSTITUTE($G1703,"-"," ",LEN($G1703)-LEN(SUBSTITUTE($G1703,"-",""))),"-"," ",LEN($G1703)-LEN(SUBSTITUTE($G1703,"-",""))-1))-LEN(SUBSTITUTE(SUBSTITUTE(SUBSTITUTE($G1703,"-"," ",LEN($G1703)-LEN(SUBSTITUTE($G1703,"-",""))),"-"," ",LEN($G1703)-LEN(SUBSTITUTE($G1703,"-",""))-1),".","")))=0,SUBSTITUTE(SUBSTITUTE($G1703,"-"," ",LEN($G1703)-LEN(SUBSTITUTE($G1703,"-",""))),"-"," ",LEN($G1703)-LEN(SUBSTITUTE($G1703,"-",""))-1),SUBSTITUTE(SUBSTITUTE(SUBSTITUTE($G1703,"-"," ",LEN($G1703)-LEN(SUBSTITUTE($G1703,"-",""))),"-"," ",LEN($G1703)-LEN(SUBSTITUTE($G1703,"-",""))-1),"."," ",(LEN(SUBSTITUTE(SUBSTITUTE($G1703,"-"," ",LEN($G1703)-LEN(SUBSTITUTE($G1703,"-",""))),"-"," ",LEN($G1703)-LEN(SUBSTITUTE($G1703,"-",""))-1))-LEN(SUBSTITUTE(SUBSTITUTE(SUBSTITUTE($G1703,"-"," ",LEN($G1703)-LEN(SUBSTITUTE($G1703,"-",""))),"-"," ",LEN($G1703)-LEN(SUBSTITUTE($G1703,"-",""))-1),".",""))))),$G1703)))</f>
        <v/>
      </c>
    </row>
    <row r="1704">
      <c r="A1704" s="58" t="n"/>
      <c r="B1704" s="58">
        <f>IF($H1704="","",LEFT($H1704,FIND(" ",$H1704&amp;" ")-1))</f>
        <v/>
      </c>
      <c r="C1704" s="58">
        <f>IF($H1704="","",IFERROR(MID($H1704&amp;" ",FIND("|",SUBSTITUTE($H1704&amp;" "," ","|",1))+1,FIND("|",SUBSTITUTE($H1704&amp;" "," ","|",2))-FIND("|",SUBSTITUTE($H1704&amp;" "," ","|",1))-1),""))</f>
        <v/>
      </c>
      <c r="D1704" s="58">
        <f>IF($H1704="","",IFERROR(MID($H1704&amp;" ",FIND("|",SUBSTITUTE($H1704&amp;" "," ","|",2))+1,FIND("|",SUBSTITUTE($H1704&amp;" "," ","|",3))-FIND("|",SUBSTITUTE($H1704&amp;" "," ","|",2))-1),""))</f>
        <v/>
      </c>
      <c r="E1704" s="58">
        <f>IF($H1704="","",IFERROR(MID($H1704&amp;" ",FIND("|",SUBSTITUTE($H1704&amp;" "," ","|",3))+1,FIND("|",SUBSTITUTE($H1704&amp;" "," ","|",4))-FIND("|",SUBSTITUTE($H1704&amp;" "," ","|",3))-1),""))</f>
        <v/>
      </c>
      <c r="F1704" s="59">
        <f>IF($H1704="","",IFERROR(VALUE(IFERROR(MID($H1704&amp;" ",FIND("|",SUBSTITUTE($H1704&amp;" "," ","|",4))+1,FIND("|",SUBSTITUTE($H1704&amp;" "," ","|",5))-FIND("|",SUBSTITUTE($H1704&amp;" "," ","|",4))-1),""))/86400+25569+9/24,""))</f>
        <v/>
      </c>
      <c r="G1704" s="58">
        <f>TRIM(SUBSTITUTE(SUBSTITUTE(SUBSTITUTE($A1704,CHAR(9)," ")," "," "),CHAR(13),""))</f>
        <v/>
      </c>
      <c r="H1704" s="58">
        <f>IF($G1704="","",IF(ISNUMBER(FIND(" ",$G1704)),$G1704,IFERROR(IF((LEN(SUBSTITUTE(SUBSTITUTE($G1704,"-"," ",LEN($G1704)-LEN(SUBSTITUTE($G1704,"-",""))),"-"," ",LEN($G1704)-LEN(SUBSTITUTE($G1704,"-",""))-1))-LEN(SUBSTITUTE(SUBSTITUTE(SUBSTITUTE($G1704,"-"," ",LEN($G1704)-LEN(SUBSTITUTE($G1704,"-",""))),"-"," ",LEN($G1704)-LEN(SUBSTITUTE($G1704,"-",""))-1),".","")))=0,SUBSTITUTE(SUBSTITUTE($G1704,"-"," ",LEN($G1704)-LEN(SUBSTITUTE($G1704,"-",""))),"-"," ",LEN($G1704)-LEN(SUBSTITUTE($G1704,"-",""))-1),SUBSTITUTE(SUBSTITUTE(SUBSTITUTE($G1704,"-"," ",LEN($G1704)-LEN(SUBSTITUTE($G1704,"-",""))),"-"," ",LEN($G1704)-LEN(SUBSTITUTE($G1704,"-",""))-1),"."," ",(LEN(SUBSTITUTE(SUBSTITUTE($G1704,"-"," ",LEN($G1704)-LEN(SUBSTITUTE($G1704,"-",""))),"-"," ",LEN($G1704)-LEN(SUBSTITUTE($G1704,"-",""))-1))-LEN(SUBSTITUTE(SUBSTITUTE(SUBSTITUTE($G1704,"-"," ",LEN($G1704)-LEN(SUBSTITUTE($G1704,"-",""))),"-"," ",LEN($G1704)-LEN(SUBSTITUTE($G1704,"-",""))-1),".",""))))),$G1704)))</f>
        <v/>
      </c>
    </row>
    <row r="1705">
      <c r="A1705" s="58" t="n"/>
      <c r="B1705" s="58">
        <f>IF($H1705="","",LEFT($H1705,FIND(" ",$H1705&amp;" ")-1))</f>
        <v/>
      </c>
      <c r="C1705" s="58">
        <f>IF($H1705="","",IFERROR(MID($H1705&amp;" ",FIND("|",SUBSTITUTE($H1705&amp;" "," ","|",1))+1,FIND("|",SUBSTITUTE($H1705&amp;" "," ","|",2))-FIND("|",SUBSTITUTE($H1705&amp;" "," ","|",1))-1),""))</f>
        <v/>
      </c>
      <c r="D1705" s="58">
        <f>IF($H1705="","",IFERROR(MID($H1705&amp;" ",FIND("|",SUBSTITUTE($H1705&amp;" "," ","|",2))+1,FIND("|",SUBSTITUTE($H1705&amp;" "," ","|",3))-FIND("|",SUBSTITUTE($H1705&amp;" "," ","|",2))-1),""))</f>
        <v/>
      </c>
      <c r="E1705" s="58">
        <f>IF($H1705="","",IFERROR(MID($H1705&amp;" ",FIND("|",SUBSTITUTE($H1705&amp;" "," ","|",3))+1,FIND("|",SUBSTITUTE($H1705&amp;" "," ","|",4))-FIND("|",SUBSTITUTE($H1705&amp;" "," ","|",3))-1),""))</f>
        <v/>
      </c>
      <c r="F1705" s="59">
        <f>IF($H1705="","",IFERROR(VALUE(IFERROR(MID($H1705&amp;" ",FIND("|",SUBSTITUTE($H1705&amp;" "," ","|",4))+1,FIND("|",SUBSTITUTE($H1705&amp;" "," ","|",5))-FIND("|",SUBSTITUTE($H1705&amp;" "," ","|",4))-1),""))/86400+25569+9/24,""))</f>
        <v/>
      </c>
      <c r="G1705" s="58">
        <f>TRIM(SUBSTITUTE(SUBSTITUTE(SUBSTITUTE($A1705,CHAR(9)," ")," "," "),CHAR(13),""))</f>
        <v/>
      </c>
      <c r="H1705" s="58">
        <f>IF($G1705="","",IF(ISNUMBER(FIND(" ",$G1705)),$G1705,IFERROR(IF((LEN(SUBSTITUTE(SUBSTITUTE($G1705,"-"," ",LEN($G1705)-LEN(SUBSTITUTE($G1705,"-",""))),"-"," ",LEN($G1705)-LEN(SUBSTITUTE($G1705,"-",""))-1))-LEN(SUBSTITUTE(SUBSTITUTE(SUBSTITUTE($G1705,"-"," ",LEN($G1705)-LEN(SUBSTITUTE($G1705,"-",""))),"-"," ",LEN($G1705)-LEN(SUBSTITUTE($G1705,"-",""))-1),".","")))=0,SUBSTITUTE(SUBSTITUTE($G1705,"-"," ",LEN($G1705)-LEN(SUBSTITUTE($G1705,"-",""))),"-"," ",LEN($G1705)-LEN(SUBSTITUTE($G1705,"-",""))-1),SUBSTITUTE(SUBSTITUTE(SUBSTITUTE($G1705,"-"," ",LEN($G1705)-LEN(SUBSTITUTE($G1705,"-",""))),"-"," ",LEN($G1705)-LEN(SUBSTITUTE($G1705,"-",""))-1),"."," ",(LEN(SUBSTITUTE(SUBSTITUTE($G1705,"-"," ",LEN($G1705)-LEN(SUBSTITUTE($G1705,"-",""))),"-"," ",LEN($G1705)-LEN(SUBSTITUTE($G1705,"-",""))-1))-LEN(SUBSTITUTE(SUBSTITUTE(SUBSTITUTE($G1705,"-"," ",LEN($G1705)-LEN(SUBSTITUTE($G1705,"-",""))),"-"," ",LEN($G1705)-LEN(SUBSTITUTE($G1705,"-",""))-1),".",""))))),$G1705)))</f>
        <v/>
      </c>
    </row>
    <row r="1706">
      <c r="A1706" s="58" t="n"/>
      <c r="B1706" s="58">
        <f>IF($H1706="","",LEFT($H1706,FIND(" ",$H1706&amp;" ")-1))</f>
        <v/>
      </c>
      <c r="C1706" s="58">
        <f>IF($H1706="","",IFERROR(MID($H1706&amp;" ",FIND("|",SUBSTITUTE($H1706&amp;" "," ","|",1))+1,FIND("|",SUBSTITUTE($H1706&amp;" "," ","|",2))-FIND("|",SUBSTITUTE($H1706&amp;" "," ","|",1))-1),""))</f>
        <v/>
      </c>
      <c r="D1706" s="58">
        <f>IF($H1706="","",IFERROR(MID($H1706&amp;" ",FIND("|",SUBSTITUTE($H1706&amp;" "," ","|",2))+1,FIND("|",SUBSTITUTE($H1706&amp;" "," ","|",3))-FIND("|",SUBSTITUTE($H1706&amp;" "," ","|",2))-1),""))</f>
        <v/>
      </c>
      <c r="E1706" s="58">
        <f>IF($H1706="","",IFERROR(MID($H1706&amp;" ",FIND("|",SUBSTITUTE($H1706&amp;" "," ","|",3))+1,FIND("|",SUBSTITUTE($H1706&amp;" "," ","|",4))-FIND("|",SUBSTITUTE($H1706&amp;" "," ","|",3))-1),""))</f>
        <v/>
      </c>
      <c r="F1706" s="59">
        <f>IF($H1706="","",IFERROR(VALUE(IFERROR(MID($H1706&amp;" ",FIND("|",SUBSTITUTE($H1706&amp;" "," ","|",4))+1,FIND("|",SUBSTITUTE($H1706&amp;" "," ","|",5))-FIND("|",SUBSTITUTE($H1706&amp;" "," ","|",4))-1),""))/86400+25569+9/24,""))</f>
        <v/>
      </c>
      <c r="G1706" s="58">
        <f>TRIM(SUBSTITUTE(SUBSTITUTE(SUBSTITUTE($A1706,CHAR(9)," ")," "," "),CHAR(13),""))</f>
        <v/>
      </c>
      <c r="H1706" s="58">
        <f>IF($G1706="","",IF(ISNUMBER(FIND(" ",$G1706)),$G1706,IFERROR(IF((LEN(SUBSTITUTE(SUBSTITUTE($G1706,"-"," ",LEN($G1706)-LEN(SUBSTITUTE($G1706,"-",""))),"-"," ",LEN($G1706)-LEN(SUBSTITUTE($G1706,"-",""))-1))-LEN(SUBSTITUTE(SUBSTITUTE(SUBSTITUTE($G1706,"-"," ",LEN($G1706)-LEN(SUBSTITUTE($G1706,"-",""))),"-"," ",LEN($G1706)-LEN(SUBSTITUTE($G1706,"-",""))-1),".","")))=0,SUBSTITUTE(SUBSTITUTE($G1706,"-"," ",LEN($G1706)-LEN(SUBSTITUTE($G1706,"-",""))),"-"," ",LEN($G1706)-LEN(SUBSTITUTE($G1706,"-",""))-1),SUBSTITUTE(SUBSTITUTE(SUBSTITUTE($G1706,"-"," ",LEN($G1706)-LEN(SUBSTITUTE($G1706,"-",""))),"-"," ",LEN($G1706)-LEN(SUBSTITUTE($G1706,"-",""))-1),"."," ",(LEN(SUBSTITUTE(SUBSTITUTE($G1706,"-"," ",LEN($G1706)-LEN(SUBSTITUTE($G1706,"-",""))),"-"," ",LEN($G1706)-LEN(SUBSTITUTE($G1706,"-",""))-1))-LEN(SUBSTITUTE(SUBSTITUTE(SUBSTITUTE($G1706,"-"," ",LEN($G1706)-LEN(SUBSTITUTE($G1706,"-",""))),"-"," ",LEN($G1706)-LEN(SUBSTITUTE($G1706,"-",""))-1),".",""))))),$G1706)))</f>
        <v/>
      </c>
    </row>
    <row r="1707">
      <c r="A1707" s="58" t="n"/>
      <c r="B1707" s="58">
        <f>IF($H1707="","",LEFT($H1707,FIND(" ",$H1707&amp;" ")-1))</f>
        <v/>
      </c>
      <c r="C1707" s="58">
        <f>IF($H1707="","",IFERROR(MID($H1707&amp;" ",FIND("|",SUBSTITUTE($H1707&amp;" "," ","|",1))+1,FIND("|",SUBSTITUTE($H1707&amp;" "," ","|",2))-FIND("|",SUBSTITUTE($H1707&amp;" "," ","|",1))-1),""))</f>
        <v/>
      </c>
      <c r="D1707" s="58">
        <f>IF($H1707="","",IFERROR(MID($H1707&amp;" ",FIND("|",SUBSTITUTE($H1707&amp;" "," ","|",2))+1,FIND("|",SUBSTITUTE($H1707&amp;" "," ","|",3))-FIND("|",SUBSTITUTE($H1707&amp;" "," ","|",2))-1),""))</f>
        <v/>
      </c>
      <c r="E1707" s="58">
        <f>IF($H1707="","",IFERROR(MID($H1707&amp;" ",FIND("|",SUBSTITUTE($H1707&amp;" "," ","|",3))+1,FIND("|",SUBSTITUTE($H1707&amp;" "," ","|",4))-FIND("|",SUBSTITUTE($H1707&amp;" "," ","|",3))-1),""))</f>
        <v/>
      </c>
      <c r="F1707" s="59">
        <f>IF($H1707="","",IFERROR(VALUE(IFERROR(MID($H1707&amp;" ",FIND("|",SUBSTITUTE($H1707&amp;" "," ","|",4))+1,FIND("|",SUBSTITUTE($H1707&amp;" "," ","|",5))-FIND("|",SUBSTITUTE($H1707&amp;" "," ","|",4))-1),""))/86400+25569+9/24,""))</f>
        <v/>
      </c>
      <c r="G1707" s="58">
        <f>TRIM(SUBSTITUTE(SUBSTITUTE(SUBSTITUTE($A1707,CHAR(9)," ")," "," "),CHAR(13),""))</f>
        <v/>
      </c>
      <c r="H1707" s="58">
        <f>IF($G1707="","",IF(ISNUMBER(FIND(" ",$G1707)),$G1707,IFERROR(IF((LEN(SUBSTITUTE(SUBSTITUTE($G1707,"-"," ",LEN($G1707)-LEN(SUBSTITUTE($G1707,"-",""))),"-"," ",LEN($G1707)-LEN(SUBSTITUTE($G1707,"-",""))-1))-LEN(SUBSTITUTE(SUBSTITUTE(SUBSTITUTE($G1707,"-"," ",LEN($G1707)-LEN(SUBSTITUTE($G1707,"-",""))),"-"," ",LEN($G1707)-LEN(SUBSTITUTE($G1707,"-",""))-1),".","")))=0,SUBSTITUTE(SUBSTITUTE($G1707,"-"," ",LEN($G1707)-LEN(SUBSTITUTE($G1707,"-",""))),"-"," ",LEN($G1707)-LEN(SUBSTITUTE($G1707,"-",""))-1),SUBSTITUTE(SUBSTITUTE(SUBSTITUTE($G1707,"-"," ",LEN($G1707)-LEN(SUBSTITUTE($G1707,"-",""))),"-"," ",LEN($G1707)-LEN(SUBSTITUTE($G1707,"-",""))-1),"."," ",(LEN(SUBSTITUTE(SUBSTITUTE($G1707,"-"," ",LEN($G1707)-LEN(SUBSTITUTE($G1707,"-",""))),"-"," ",LEN($G1707)-LEN(SUBSTITUTE($G1707,"-",""))-1))-LEN(SUBSTITUTE(SUBSTITUTE(SUBSTITUTE($G1707,"-"," ",LEN($G1707)-LEN(SUBSTITUTE($G1707,"-",""))),"-"," ",LEN($G1707)-LEN(SUBSTITUTE($G1707,"-",""))-1),".",""))))),$G1707)))</f>
        <v/>
      </c>
    </row>
    <row r="1708">
      <c r="A1708" s="58" t="n"/>
      <c r="B1708" s="58">
        <f>IF($H1708="","",LEFT($H1708,FIND(" ",$H1708&amp;" ")-1))</f>
        <v/>
      </c>
      <c r="C1708" s="58">
        <f>IF($H1708="","",IFERROR(MID($H1708&amp;" ",FIND("|",SUBSTITUTE($H1708&amp;" "," ","|",1))+1,FIND("|",SUBSTITUTE($H1708&amp;" "," ","|",2))-FIND("|",SUBSTITUTE($H1708&amp;" "," ","|",1))-1),""))</f>
        <v/>
      </c>
      <c r="D1708" s="58">
        <f>IF($H1708="","",IFERROR(MID($H1708&amp;" ",FIND("|",SUBSTITUTE($H1708&amp;" "," ","|",2))+1,FIND("|",SUBSTITUTE($H1708&amp;" "," ","|",3))-FIND("|",SUBSTITUTE($H1708&amp;" "," ","|",2))-1),""))</f>
        <v/>
      </c>
      <c r="E1708" s="58">
        <f>IF($H1708="","",IFERROR(MID($H1708&amp;" ",FIND("|",SUBSTITUTE($H1708&amp;" "," ","|",3))+1,FIND("|",SUBSTITUTE($H1708&amp;" "," ","|",4))-FIND("|",SUBSTITUTE($H1708&amp;" "," ","|",3))-1),""))</f>
        <v/>
      </c>
      <c r="F1708" s="59">
        <f>IF($H1708="","",IFERROR(VALUE(IFERROR(MID($H1708&amp;" ",FIND("|",SUBSTITUTE($H1708&amp;" "," ","|",4))+1,FIND("|",SUBSTITUTE($H1708&amp;" "," ","|",5))-FIND("|",SUBSTITUTE($H1708&amp;" "," ","|",4))-1),""))/86400+25569+9/24,""))</f>
        <v/>
      </c>
      <c r="G1708" s="58">
        <f>TRIM(SUBSTITUTE(SUBSTITUTE(SUBSTITUTE($A1708,CHAR(9)," ")," "," "),CHAR(13),""))</f>
        <v/>
      </c>
      <c r="H1708" s="58">
        <f>IF($G1708="","",IF(ISNUMBER(FIND(" ",$G1708)),$G1708,IFERROR(IF((LEN(SUBSTITUTE(SUBSTITUTE($G1708,"-"," ",LEN($G1708)-LEN(SUBSTITUTE($G1708,"-",""))),"-"," ",LEN($G1708)-LEN(SUBSTITUTE($G1708,"-",""))-1))-LEN(SUBSTITUTE(SUBSTITUTE(SUBSTITUTE($G1708,"-"," ",LEN($G1708)-LEN(SUBSTITUTE($G1708,"-",""))),"-"," ",LEN($G1708)-LEN(SUBSTITUTE($G1708,"-",""))-1),".","")))=0,SUBSTITUTE(SUBSTITUTE($G1708,"-"," ",LEN($G1708)-LEN(SUBSTITUTE($G1708,"-",""))),"-"," ",LEN($G1708)-LEN(SUBSTITUTE($G1708,"-",""))-1),SUBSTITUTE(SUBSTITUTE(SUBSTITUTE($G1708,"-"," ",LEN($G1708)-LEN(SUBSTITUTE($G1708,"-",""))),"-"," ",LEN($G1708)-LEN(SUBSTITUTE($G1708,"-",""))-1),"."," ",(LEN(SUBSTITUTE(SUBSTITUTE($G1708,"-"," ",LEN($G1708)-LEN(SUBSTITUTE($G1708,"-",""))),"-"," ",LEN($G1708)-LEN(SUBSTITUTE($G1708,"-",""))-1))-LEN(SUBSTITUTE(SUBSTITUTE(SUBSTITUTE($G1708,"-"," ",LEN($G1708)-LEN(SUBSTITUTE($G1708,"-",""))),"-"," ",LEN($G1708)-LEN(SUBSTITUTE($G1708,"-",""))-1),".",""))))),$G1708)))</f>
        <v/>
      </c>
    </row>
    <row r="1709">
      <c r="A1709" s="58" t="n"/>
      <c r="B1709" s="58">
        <f>IF($H1709="","",LEFT($H1709,FIND(" ",$H1709&amp;" ")-1))</f>
        <v/>
      </c>
      <c r="C1709" s="58">
        <f>IF($H1709="","",IFERROR(MID($H1709&amp;" ",FIND("|",SUBSTITUTE($H1709&amp;" "," ","|",1))+1,FIND("|",SUBSTITUTE($H1709&amp;" "," ","|",2))-FIND("|",SUBSTITUTE($H1709&amp;" "," ","|",1))-1),""))</f>
        <v/>
      </c>
      <c r="D1709" s="58">
        <f>IF($H1709="","",IFERROR(MID($H1709&amp;" ",FIND("|",SUBSTITUTE($H1709&amp;" "," ","|",2))+1,FIND("|",SUBSTITUTE($H1709&amp;" "," ","|",3))-FIND("|",SUBSTITUTE($H1709&amp;" "," ","|",2))-1),""))</f>
        <v/>
      </c>
      <c r="E1709" s="58">
        <f>IF($H1709="","",IFERROR(MID($H1709&amp;" ",FIND("|",SUBSTITUTE($H1709&amp;" "," ","|",3))+1,FIND("|",SUBSTITUTE($H1709&amp;" "," ","|",4))-FIND("|",SUBSTITUTE($H1709&amp;" "," ","|",3))-1),""))</f>
        <v/>
      </c>
      <c r="F1709" s="59">
        <f>IF($H1709="","",IFERROR(VALUE(IFERROR(MID($H1709&amp;" ",FIND("|",SUBSTITUTE($H1709&amp;" "," ","|",4))+1,FIND("|",SUBSTITUTE($H1709&amp;" "," ","|",5))-FIND("|",SUBSTITUTE($H1709&amp;" "," ","|",4))-1),""))/86400+25569+9/24,""))</f>
        <v/>
      </c>
      <c r="G1709" s="58">
        <f>TRIM(SUBSTITUTE(SUBSTITUTE(SUBSTITUTE($A1709,CHAR(9)," ")," "," "),CHAR(13),""))</f>
        <v/>
      </c>
      <c r="H1709" s="58">
        <f>IF($G1709="","",IF(ISNUMBER(FIND(" ",$G1709)),$G1709,IFERROR(IF((LEN(SUBSTITUTE(SUBSTITUTE($G1709,"-"," ",LEN($G1709)-LEN(SUBSTITUTE($G1709,"-",""))),"-"," ",LEN($G1709)-LEN(SUBSTITUTE($G1709,"-",""))-1))-LEN(SUBSTITUTE(SUBSTITUTE(SUBSTITUTE($G1709,"-"," ",LEN($G1709)-LEN(SUBSTITUTE($G1709,"-",""))),"-"," ",LEN($G1709)-LEN(SUBSTITUTE($G1709,"-",""))-1),".","")))=0,SUBSTITUTE(SUBSTITUTE($G1709,"-"," ",LEN($G1709)-LEN(SUBSTITUTE($G1709,"-",""))),"-"," ",LEN($G1709)-LEN(SUBSTITUTE($G1709,"-",""))-1),SUBSTITUTE(SUBSTITUTE(SUBSTITUTE($G1709,"-"," ",LEN($G1709)-LEN(SUBSTITUTE($G1709,"-",""))),"-"," ",LEN($G1709)-LEN(SUBSTITUTE($G1709,"-",""))-1),"."," ",(LEN(SUBSTITUTE(SUBSTITUTE($G1709,"-"," ",LEN($G1709)-LEN(SUBSTITUTE($G1709,"-",""))),"-"," ",LEN($G1709)-LEN(SUBSTITUTE($G1709,"-",""))-1))-LEN(SUBSTITUTE(SUBSTITUTE(SUBSTITUTE($G1709,"-"," ",LEN($G1709)-LEN(SUBSTITUTE($G1709,"-",""))),"-"," ",LEN($G1709)-LEN(SUBSTITUTE($G1709,"-",""))-1),".",""))))),$G1709)))</f>
        <v/>
      </c>
    </row>
    <row r="1710">
      <c r="A1710" s="58" t="n"/>
      <c r="B1710" s="58">
        <f>IF($H1710="","",LEFT($H1710,FIND(" ",$H1710&amp;" ")-1))</f>
        <v/>
      </c>
      <c r="C1710" s="58">
        <f>IF($H1710="","",IFERROR(MID($H1710&amp;" ",FIND("|",SUBSTITUTE($H1710&amp;" "," ","|",1))+1,FIND("|",SUBSTITUTE($H1710&amp;" "," ","|",2))-FIND("|",SUBSTITUTE($H1710&amp;" "," ","|",1))-1),""))</f>
        <v/>
      </c>
      <c r="D1710" s="58">
        <f>IF($H1710="","",IFERROR(MID($H1710&amp;" ",FIND("|",SUBSTITUTE($H1710&amp;" "," ","|",2))+1,FIND("|",SUBSTITUTE($H1710&amp;" "," ","|",3))-FIND("|",SUBSTITUTE($H1710&amp;" "," ","|",2))-1),""))</f>
        <v/>
      </c>
      <c r="E1710" s="58">
        <f>IF($H1710="","",IFERROR(MID($H1710&amp;" ",FIND("|",SUBSTITUTE($H1710&amp;" "," ","|",3))+1,FIND("|",SUBSTITUTE($H1710&amp;" "," ","|",4))-FIND("|",SUBSTITUTE($H1710&amp;" "," ","|",3))-1),""))</f>
        <v/>
      </c>
      <c r="F1710" s="59">
        <f>IF($H1710="","",IFERROR(VALUE(IFERROR(MID($H1710&amp;" ",FIND("|",SUBSTITUTE($H1710&amp;" "," ","|",4))+1,FIND("|",SUBSTITUTE($H1710&amp;" "," ","|",5))-FIND("|",SUBSTITUTE($H1710&amp;" "," ","|",4))-1),""))/86400+25569+9/24,""))</f>
        <v/>
      </c>
      <c r="G1710" s="58">
        <f>TRIM(SUBSTITUTE(SUBSTITUTE(SUBSTITUTE($A1710,CHAR(9)," ")," "," "),CHAR(13),""))</f>
        <v/>
      </c>
      <c r="H1710" s="58">
        <f>IF($G1710="","",IF(ISNUMBER(FIND(" ",$G1710)),$G1710,IFERROR(IF((LEN(SUBSTITUTE(SUBSTITUTE($G1710,"-"," ",LEN($G1710)-LEN(SUBSTITUTE($G1710,"-",""))),"-"," ",LEN($G1710)-LEN(SUBSTITUTE($G1710,"-",""))-1))-LEN(SUBSTITUTE(SUBSTITUTE(SUBSTITUTE($G1710,"-"," ",LEN($G1710)-LEN(SUBSTITUTE($G1710,"-",""))),"-"," ",LEN($G1710)-LEN(SUBSTITUTE($G1710,"-",""))-1),".","")))=0,SUBSTITUTE(SUBSTITUTE($G1710,"-"," ",LEN($G1710)-LEN(SUBSTITUTE($G1710,"-",""))),"-"," ",LEN($G1710)-LEN(SUBSTITUTE($G1710,"-",""))-1),SUBSTITUTE(SUBSTITUTE(SUBSTITUTE($G1710,"-"," ",LEN($G1710)-LEN(SUBSTITUTE($G1710,"-",""))),"-"," ",LEN($G1710)-LEN(SUBSTITUTE($G1710,"-",""))-1),"."," ",(LEN(SUBSTITUTE(SUBSTITUTE($G1710,"-"," ",LEN($G1710)-LEN(SUBSTITUTE($G1710,"-",""))),"-"," ",LEN($G1710)-LEN(SUBSTITUTE($G1710,"-",""))-1))-LEN(SUBSTITUTE(SUBSTITUTE(SUBSTITUTE($G1710,"-"," ",LEN($G1710)-LEN(SUBSTITUTE($G1710,"-",""))),"-"," ",LEN($G1710)-LEN(SUBSTITUTE($G1710,"-",""))-1),".",""))))),$G1710)))</f>
        <v/>
      </c>
    </row>
    <row r="1711">
      <c r="A1711" s="58" t="n"/>
      <c r="B1711" s="58">
        <f>IF($H1711="","",LEFT($H1711,FIND(" ",$H1711&amp;" ")-1))</f>
        <v/>
      </c>
      <c r="C1711" s="58">
        <f>IF($H1711="","",IFERROR(MID($H1711&amp;" ",FIND("|",SUBSTITUTE($H1711&amp;" "," ","|",1))+1,FIND("|",SUBSTITUTE($H1711&amp;" "," ","|",2))-FIND("|",SUBSTITUTE($H1711&amp;" "," ","|",1))-1),""))</f>
        <v/>
      </c>
      <c r="D1711" s="58">
        <f>IF($H1711="","",IFERROR(MID($H1711&amp;" ",FIND("|",SUBSTITUTE($H1711&amp;" "," ","|",2))+1,FIND("|",SUBSTITUTE($H1711&amp;" "," ","|",3))-FIND("|",SUBSTITUTE($H1711&amp;" "," ","|",2))-1),""))</f>
        <v/>
      </c>
      <c r="E1711" s="58">
        <f>IF($H1711="","",IFERROR(MID($H1711&amp;" ",FIND("|",SUBSTITUTE($H1711&amp;" "," ","|",3))+1,FIND("|",SUBSTITUTE($H1711&amp;" "," ","|",4))-FIND("|",SUBSTITUTE($H1711&amp;" "," ","|",3))-1),""))</f>
        <v/>
      </c>
      <c r="F1711" s="59">
        <f>IF($H1711="","",IFERROR(VALUE(IFERROR(MID($H1711&amp;" ",FIND("|",SUBSTITUTE($H1711&amp;" "," ","|",4))+1,FIND("|",SUBSTITUTE($H1711&amp;" "," ","|",5))-FIND("|",SUBSTITUTE($H1711&amp;" "," ","|",4))-1),""))/86400+25569+9/24,""))</f>
        <v/>
      </c>
      <c r="G1711" s="58">
        <f>TRIM(SUBSTITUTE(SUBSTITUTE(SUBSTITUTE($A1711,CHAR(9)," ")," "," "),CHAR(13),""))</f>
        <v/>
      </c>
      <c r="H1711" s="58">
        <f>IF($G1711="","",IF(ISNUMBER(FIND(" ",$G1711)),$G1711,IFERROR(IF((LEN(SUBSTITUTE(SUBSTITUTE($G1711,"-"," ",LEN($G1711)-LEN(SUBSTITUTE($G1711,"-",""))),"-"," ",LEN($G1711)-LEN(SUBSTITUTE($G1711,"-",""))-1))-LEN(SUBSTITUTE(SUBSTITUTE(SUBSTITUTE($G1711,"-"," ",LEN($G1711)-LEN(SUBSTITUTE($G1711,"-",""))),"-"," ",LEN($G1711)-LEN(SUBSTITUTE($G1711,"-",""))-1),".","")))=0,SUBSTITUTE(SUBSTITUTE($G1711,"-"," ",LEN($G1711)-LEN(SUBSTITUTE($G1711,"-",""))),"-"," ",LEN($G1711)-LEN(SUBSTITUTE($G1711,"-",""))-1),SUBSTITUTE(SUBSTITUTE(SUBSTITUTE($G1711,"-"," ",LEN($G1711)-LEN(SUBSTITUTE($G1711,"-",""))),"-"," ",LEN($G1711)-LEN(SUBSTITUTE($G1711,"-",""))-1),"."," ",(LEN(SUBSTITUTE(SUBSTITUTE($G1711,"-"," ",LEN($G1711)-LEN(SUBSTITUTE($G1711,"-",""))),"-"," ",LEN($G1711)-LEN(SUBSTITUTE($G1711,"-",""))-1))-LEN(SUBSTITUTE(SUBSTITUTE(SUBSTITUTE($G1711,"-"," ",LEN($G1711)-LEN(SUBSTITUTE($G1711,"-",""))),"-"," ",LEN($G1711)-LEN(SUBSTITUTE($G1711,"-",""))-1),".",""))))),$G1711)))</f>
        <v/>
      </c>
    </row>
    <row r="1712">
      <c r="A1712" s="58" t="n"/>
      <c r="B1712" s="58">
        <f>IF($H1712="","",LEFT($H1712,FIND(" ",$H1712&amp;" ")-1))</f>
        <v/>
      </c>
      <c r="C1712" s="58">
        <f>IF($H1712="","",IFERROR(MID($H1712&amp;" ",FIND("|",SUBSTITUTE($H1712&amp;" "," ","|",1))+1,FIND("|",SUBSTITUTE($H1712&amp;" "," ","|",2))-FIND("|",SUBSTITUTE($H1712&amp;" "," ","|",1))-1),""))</f>
        <v/>
      </c>
      <c r="D1712" s="58">
        <f>IF($H1712="","",IFERROR(MID($H1712&amp;" ",FIND("|",SUBSTITUTE($H1712&amp;" "," ","|",2))+1,FIND("|",SUBSTITUTE($H1712&amp;" "," ","|",3))-FIND("|",SUBSTITUTE($H1712&amp;" "," ","|",2))-1),""))</f>
        <v/>
      </c>
      <c r="E1712" s="58">
        <f>IF($H1712="","",IFERROR(MID($H1712&amp;" ",FIND("|",SUBSTITUTE($H1712&amp;" "," ","|",3))+1,FIND("|",SUBSTITUTE($H1712&amp;" "," ","|",4))-FIND("|",SUBSTITUTE($H1712&amp;" "," ","|",3))-1),""))</f>
        <v/>
      </c>
      <c r="F1712" s="59">
        <f>IF($H1712="","",IFERROR(VALUE(IFERROR(MID($H1712&amp;" ",FIND("|",SUBSTITUTE($H1712&amp;" "," ","|",4))+1,FIND("|",SUBSTITUTE($H1712&amp;" "," ","|",5))-FIND("|",SUBSTITUTE($H1712&amp;" "," ","|",4))-1),""))/86400+25569+9/24,""))</f>
        <v/>
      </c>
      <c r="G1712" s="58">
        <f>TRIM(SUBSTITUTE(SUBSTITUTE(SUBSTITUTE($A1712,CHAR(9)," ")," "," "),CHAR(13),""))</f>
        <v/>
      </c>
      <c r="H1712" s="58">
        <f>IF($G1712="","",IF(ISNUMBER(FIND(" ",$G1712)),$G1712,IFERROR(IF((LEN(SUBSTITUTE(SUBSTITUTE($G1712,"-"," ",LEN($G1712)-LEN(SUBSTITUTE($G1712,"-",""))),"-"," ",LEN($G1712)-LEN(SUBSTITUTE($G1712,"-",""))-1))-LEN(SUBSTITUTE(SUBSTITUTE(SUBSTITUTE($G1712,"-"," ",LEN($G1712)-LEN(SUBSTITUTE($G1712,"-",""))),"-"," ",LEN($G1712)-LEN(SUBSTITUTE($G1712,"-",""))-1),".","")))=0,SUBSTITUTE(SUBSTITUTE($G1712,"-"," ",LEN($G1712)-LEN(SUBSTITUTE($G1712,"-",""))),"-"," ",LEN($G1712)-LEN(SUBSTITUTE($G1712,"-",""))-1),SUBSTITUTE(SUBSTITUTE(SUBSTITUTE($G1712,"-"," ",LEN($G1712)-LEN(SUBSTITUTE($G1712,"-",""))),"-"," ",LEN($G1712)-LEN(SUBSTITUTE($G1712,"-",""))-1),"."," ",(LEN(SUBSTITUTE(SUBSTITUTE($G1712,"-"," ",LEN($G1712)-LEN(SUBSTITUTE($G1712,"-",""))),"-"," ",LEN($G1712)-LEN(SUBSTITUTE($G1712,"-",""))-1))-LEN(SUBSTITUTE(SUBSTITUTE(SUBSTITUTE($G1712,"-"," ",LEN($G1712)-LEN(SUBSTITUTE($G1712,"-",""))),"-"," ",LEN($G1712)-LEN(SUBSTITUTE($G1712,"-",""))-1),".",""))))),$G1712)))</f>
        <v/>
      </c>
    </row>
    <row r="1713">
      <c r="A1713" s="58" t="n"/>
      <c r="B1713" s="58">
        <f>IF($H1713="","",LEFT($H1713,FIND(" ",$H1713&amp;" ")-1))</f>
        <v/>
      </c>
      <c r="C1713" s="58">
        <f>IF($H1713="","",IFERROR(MID($H1713&amp;" ",FIND("|",SUBSTITUTE($H1713&amp;" "," ","|",1))+1,FIND("|",SUBSTITUTE($H1713&amp;" "," ","|",2))-FIND("|",SUBSTITUTE($H1713&amp;" "," ","|",1))-1),""))</f>
        <v/>
      </c>
      <c r="D1713" s="58">
        <f>IF($H1713="","",IFERROR(MID($H1713&amp;" ",FIND("|",SUBSTITUTE($H1713&amp;" "," ","|",2))+1,FIND("|",SUBSTITUTE($H1713&amp;" "," ","|",3))-FIND("|",SUBSTITUTE($H1713&amp;" "," ","|",2))-1),""))</f>
        <v/>
      </c>
      <c r="E1713" s="58">
        <f>IF($H1713="","",IFERROR(MID($H1713&amp;" ",FIND("|",SUBSTITUTE($H1713&amp;" "," ","|",3))+1,FIND("|",SUBSTITUTE($H1713&amp;" "," ","|",4))-FIND("|",SUBSTITUTE($H1713&amp;" "," ","|",3))-1),""))</f>
        <v/>
      </c>
      <c r="F1713" s="59">
        <f>IF($H1713="","",IFERROR(VALUE(IFERROR(MID($H1713&amp;" ",FIND("|",SUBSTITUTE($H1713&amp;" "," ","|",4))+1,FIND("|",SUBSTITUTE($H1713&amp;" "," ","|",5))-FIND("|",SUBSTITUTE($H1713&amp;" "," ","|",4))-1),""))/86400+25569+9/24,""))</f>
        <v/>
      </c>
      <c r="G1713" s="58">
        <f>TRIM(SUBSTITUTE(SUBSTITUTE(SUBSTITUTE($A1713,CHAR(9)," ")," "," "),CHAR(13),""))</f>
        <v/>
      </c>
      <c r="H1713" s="58">
        <f>IF($G1713="","",IF(ISNUMBER(FIND(" ",$G1713)),$G1713,IFERROR(IF((LEN(SUBSTITUTE(SUBSTITUTE($G1713,"-"," ",LEN($G1713)-LEN(SUBSTITUTE($G1713,"-",""))),"-"," ",LEN($G1713)-LEN(SUBSTITUTE($G1713,"-",""))-1))-LEN(SUBSTITUTE(SUBSTITUTE(SUBSTITUTE($G1713,"-"," ",LEN($G1713)-LEN(SUBSTITUTE($G1713,"-",""))),"-"," ",LEN($G1713)-LEN(SUBSTITUTE($G1713,"-",""))-1),".","")))=0,SUBSTITUTE(SUBSTITUTE($G1713,"-"," ",LEN($G1713)-LEN(SUBSTITUTE($G1713,"-",""))),"-"," ",LEN($G1713)-LEN(SUBSTITUTE($G1713,"-",""))-1),SUBSTITUTE(SUBSTITUTE(SUBSTITUTE($G1713,"-"," ",LEN($G1713)-LEN(SUBSTITUTE($G1713,"-",""))),"-"," ",LEN($G1713)-LEN(SUBSTITUTE($G1713,"-",""))-1),"."," ",(LEN(SUBSTITUTE(SUBSTITUTE($G1713,"-"," ",LEN($G1713)-LEN(SUBSTITUTE($G1713,"-",""))),"-"," ",LEN($G1713)-LEN(SUBSTITUTE($G1713,"-",""))-1))-LEN(SUBSTITUTE(SUBSTITUTE(SUBSTITUTE($G1713,"-"," ",LEN($G1713)-LEN(SUBSTITUTE($G1713,"-",""))),"-"," ",LEN($G1713)-LEN(SUBSTITUTE($G1713,"-",""))-1),".",""))))),$G1713)))</f>
        <v/>
      </c>
    </row>
    <row r="1714">
      <c r="A1714" s="58" t="n"/>
      <c r="B1714" s="58">
        <f>IF($H1714="","",LEFT($H1714,FIND(" ",$H1714&amp;" ")-1))</f>
        <v/>
      </c>
      <c r="C1714" s="58">
        <f>IF($H1714="","",IFERROR(MID($H1714&amp;" ",FIND("|",SUBSTITUTE($H1714&amp;" "," ","|",1))+1,FIND("|",SUBSTITUTE($H1714&amp;" "," ","|",2))-FIND("|",SUBSTITUTE($H1714&amp;" "," ","|",1))-1),""))</f>
        <v/>
      </c>
      <c r="D1714" s="58">
        <f>IF($H1714="","",IFERROR(MID($H1714&amp;" ",FIND("|",SUBSTITUTE($H1714&amp;" "," ","|",2))+1,FIND("|",SUBSTITUTE($H1714&amp;" "," ","|",3))-FIND("|",SUBSTITUTE($H1714&amp;" "," ","|",2))-1),""))</f>
        <v/>
      </c>
      <c r="E1714" s="58">
        <f>IF($H1714="","",IFERROR(MID($H1714&amp;" ",FIND("|",SUBSTITUTE($H1714&amp;" "," ","|",3))+1,FIND("|",SUBSTITUTE($H1714&amp;" "," ","|",4))-FIND("|",SUBSTITUTE($H1714&amp;" "," ","|",3))-1),""))</f>
        <v/>
      </c>
      <c r="F1714" s="59">
        <f>IF($H1714="","",IFERROR(VALUE(IFERROR(MID($H1714&amp;" ",FIND("|",SUBSTITUTE($H1714&amp;" "," ","|",4))+1,FIND("|",SUBSTITUTE($H1714&amp;" "," ","|",5))-FIND("|",SUBSTITUTE($H1714&amp;" "," ","|",4))-1),""))/86400+25569+9/24,""))</f>
        <v/>
      </c>
      <c r="G1714" s="58">
        <f>TRIM(SUBSTITUTE(SUBSTITUTE(SUBSTITUTE($A1714,CHAR(9)," ")," "," "),CHAR(13),""))</f>
        <v/>
      </c>
      <c r="H1714" s="58">
        <f>IF($G1714="","",IF(ISNUMBER(FIND(" ",$G1714)),$G1714,IFERROR(IF((LEN(SUBSTITUTE(SUBSTITUTE($G1714,"-"," ",LEN($G1714)-LEN(SUBSTITUTE($G1714,"-",""))),"-"," ",LEN($G1714)-LEN(SUBSTITUTE($G1714,"-",""))-1))-LEN(SUBSTITUTE(SUBSTITUTE(SUBSTITUTE($G1714,"-"," ",LEN($G1714)-LEN(SUBSTITUTE($G1714,"-",""))),"-"," ",LEN($G1714)-LEN(SUBSTITUTE($G1714,"-",""))-1),".","")))=0,SUBSTITUTE(SUBSTITUTE($G1714,"-"," ",LEN($G1714)-LEN(SUBSTITUTE($G1714,"-",""))),"-"," ",LEN($G1714)-LEN(SUBSTITUTE($G1714,"-",""))-1),SUBSTITUTE(SUBSTITUTE(SUBSTITUTE($G1714,"-"," ",LEN($G1714)-LEN(SUBSTITUTE($G1714,"-",""))),"-"," ",LEN($G1714)-LEN(SUBSTITUTE($G1714,"-",""))-1),"."," ",(LEN(SUBSTITUTE(SUBSTITUTE($G1714,"-"," ",LEN($G1714)-LEN(SUBSTITUTE($G1714,"-",""))),"-"," ",LEN($G1714)-LEN(SUBSTITUTE($G1714,"-",""))-1))-LEN(SUBSTITUTE(SUBSTITUTE(SUBSTITUTE($G1714,"-"," ",LEN($G1714)-LEN(SUBSTITUTE($G1714,"-",""))),"-"," ",LEN($G1714)-LEN(SUBSTITUTE($G1714,"-",""))-1),".",""))))),$G1714)))</f>
        <v/>
      </c>
    </row>
    <row r="1715">
      <c r="A1715" s="58" t="n"/>
      <c r="B1715" s="58">
        <f>IF($H1715="","",LEFT($H1715,FIND(" ",$H1715&amp;" ")-1))</f>
        <v/>
      </c>
      <c r="C1715" s="58">
        <f>IF($H1715="","",IFERROR(MID($H1715&amp;" ",FIND("|",SUBSTITUTE($H1715&amp;" "," ","|",1))+1,FIND("|",SUBSTITUTE($H1715&amp;" "," ","|",2))-FIND("|",SUBSTITUTE($H1715&amp;" "," ","|",1))-1),""))</f>
        <v/>
      </c>
      <c r="D1715" s="58">
        <f>IF($H1715="","",IFERROR(MID($H1715&amp;" ",FIND("|",SUBSTITUTE($H1715&amp;" "," ","|",2))+1,FIND("|",SUBSTITUTE($H1715&amp;" "," ","|",3))-FIND("|",SUBSTITUTE($H1715&amp;" "," ","|",2))-1),""))</f>
        <v/>
      </c>
      <c r="E1715" s="58">
        <f>IF($H1715="","",IFERROR(MID($H1715&amp;" ",FIND("|",SUBSTITUTE($H1715&amp;" "," ","|",3))+1,FIND("|",SUBSTITUTE($H1715&amp;" "," ","|",4))-FIND("|",SUBSTITUTE($H1715&amp;" "," ","|",3))-1),""))</f>
        <v/>
      </c>
      <c r="F1715" s="59">
        <f>IF($H1715="","",IFERROR(VALUE(IFERROR(MID($H1715&amp;" ",FIND("|",SUBSTITUTE($H1715&amp;" "," ","|",4))+1,FIND("|",SUBSTITUTE($H1715&amp;" "," ","|",5))-FIND("|",SUBSTITUTE($H1715&amp;" "," ","|",4))-1),""))/86400+25569+9/24,""))</f>
        <v/>
      </c>
      <c r="G1715" s="58">
        <f>TRIM(SUBSTITUTE(SUBSTITUTE(SUBSTITUTE($A1715,CHAR(9)," ")," "," "),CHAR(13),""))</f>
        <v/>
      </c>
      <c r="H1715" s="58">
        <f>IF($G1715="","",IF(ISNUMBER(FIND(" ",$G1715)),$G1715,IFERROR(IF((LEN(SUBSTITUTE(SUBSTITUTE($G1715,"-"," ",LEN($G1715)-LEN(SUBSTITUTE($G1715,"-",""))),"-"," ",LEN($G1715)-LEN(SUBSTITUTE($G1715,"-",""))-1))-LEN(SUBSTITUTE(SUBSTITUTE(SUBSTITUTE($G1715,"-"," ",LEN($G1715)-LEN(SUBSTITUTE($G1715,"-",""))),"-"," ",LEN($G1715)-LEN(SUBSTITUTE($G1715,"-",""))-1),".","")))=0,SUBSTITUTE(SUBSTITUTE($G1715,"-"," ",LEN($G1715)-LEN(SUBSTITUTE($G1715,"-",""))),"-"," ",LEN($G1715)-LEN(SUBSTITUTE($G1715,"-",""))-1),SUBSTITUTE(SUBSTITUTE(SUBSTITUTE($G1715,"-"," ",LEN($G1715)-LEN(SUBSTITUTE($G1715,"-",""))),"-"," ",LEN($G1715)-LEN(SUBSTITUTE($G1715,"-",""))-1),"."," ",(LEN(SUBSTITUTE(SUBSTITUTE($G1715,"-"," ",LEN($G1715)-LEN(SUBSTITUTE($G1715,"-",""))),"-"," ",LEN($G1715)-LEN(SUBSTITUTE($G1715,"-",""))-1))-LEN(SUBSTITUTE(SUBSTITUTE(SUBSTITUTE($G1715,"-"," ",LEN($G1715)-LEN(SUBSTITUTE($G1715,"-",""))),"-"," ",LEN($G1715)-LEN(SUBSTITUTE($G1715,"-",""))-1),".",""))))),$G1715)))</f>
        <v/>
      </c>
    </row>
    <row r="1716">
      <c r="A1716" s="58" t="n"/>
      <c r="B1716" s="58">
        <f>IF($H1716="","",LEFT($H1716,FIND(" ",$H1716&amp;" ")-1))</f>
        <v/>
      </c>
      <c r="C1716" s="58">
        <f>IF($H1716="","",IFERROR(MID($H1716&amp;" ",FIND("|",SUBSTITUTE($H1716&amp;" "," ","|",1))+1,FIND("|",SUBSTITUTE($H1716&amp;" "," ","|",2))-FIND("|",SUBSTITUTE($H1716&amp;" "," ","|",1))-1),""))</f>
        <v/>
      </c>
      <c r="D1716" s="58">
        <f>IF($H1716="","",IFERROR(MID($H1716&amp;" ",FIND("|",SUBSTITUTE($H1716&amp;" "," ","|",2))+1,FIND("|",SUBSTITUTE($H1716&amp;" "," ","|",3))-FIND("|",SUBSTITUTE($H1716&amp;" "," ","|",2))-1),""))</f>
        <v/>
      </c>
      <c r="E1716" s="58">
        <f>IF($H1716="","",IFERROR(MID($H1716&amp;" ",FIND("|",SUBSTITUTE($H1716&amp;" "," ","|",3))+1,FIND("|",SUBSTITUTE($H1716&amp;" "," ","|",4))-FIND("|",SUBSTITUTE($H1716&amp;" "," ","|",3))-1),""))</f>
        <v/>
      </c>
      <c r="F1716" s="59">
        <f>IF($H1716="","",IFERROR(VALUE(IFERROR(MID($H1716&amp;" ",FIND("|",SUBSTITUTE($H1716&amp;" "," ","|",4))+1,FIND("|",SUBSTITUTE($H1716&amp;" "," ","|",5))-FIND("|",SUBSTITUTE($H1716&amp;" "," ","|",4))-1),""))/86400+25569+9/24,""))</f>
        <v/>
      </c>
      <c r="G1716" s="58">
        <f>TRIM(SUBSTITUTE(SUBSTITUTE(SUBSTITUTE($A1716,CHAR(9)," ")," "," "),CHAR(13),""))</f>
        <v/>
      </c>
      <c r="H1716" s="58">
        <f>IF($G1716="","",IF(ISNUMBER(FIND(" ",$G1716)),$G1716,IFERROR(IF((LEN(SUBSTITUTE(SUBSTITUTE($G1716,"-"," ",LEN($G1716)-LEN(SUBSTITUTE($G1716,"-",""))),"-"," ",LEN($G1716)-LEN(SUBSTITUTE($G1716,"-",""))-1))-LEN(SUBSTITUTE(SUBSTITUTE(SUBSTITUTE($G1716,"-"," ",LEN($G1716)-LEN(SUBSTITUTE($G1716,"-",""))),"-"," ",LEN($G1716)-LEN(SUBSTITUTE($G1716,"-",""))-1),".","")))=0,SUBSTITUTE(SUBSTITUTE($G1716,"-"," ",LEN($G1716)-LEN(SUBSTITUTE($G1716,"-",""))),"-"," ",LEN($G1716)-LEN(SUBSTITUTE($G1716,"-",""))-1),SUBSTITUTE(SUBSTITUTE(SUBSTITUTE($G1716,"-"," ",LEN($G1716)-LEN(SUBSTITUTE($G1716,"-",""))),"-"," ",LEN($G1716)-LEN(SUBSTITUTE($G1716,"-",""))-1),"."," ",(LEN(SUBSTITUTE(SUBSTITUTE($G1716,"-"," ",LEN($G1716)-LEN(SUBSTITUTE($G1716,"-",""))),"-"," ",LEN($G1716)-LEN(SUBSTITUTE($G1716,"-",""))-1))-LEN(SUBSTITUTE(SUBSTITUTE(SUBSTITUTE($G1716,"-"," ",LEN($G1716)-LEN(SUBSTITUTE($G1716,"-",""))),"-"," ",LEN($G1716)-LEN(SUBSTITUTE($G1716,"-",""))-1),".",""))))),$G1716)))</f>
        <v/>
      </c>
    </row>
    <row r="1717">
      <c r="A1717" s="58" t="n"/>
      <c r="B1717" s="58">
        <f>IF($H1717="","",LEFT($H1717,FIND(" ",$H1717&amp;" ")-1))</f>
        <v/>
      </c>
      <c r="C1717" s="58">
        <f>IF($H1717="","",IFERROR(MID($H1717&amp;" ",FIND("|",SUBSTITUTE($H1717&amp;" "," ","|",1))+1,FIND("|",SUBSTITUTE($H1717&amp;" "," ","|",2))-FIND("|",SUBSTITUTE($H1717&amp;" "," ","|",1))-1),""))</f>
        <v/>
      </c>
      <c r="D1717" s="58">
        <f>IF($H1717="","",IFERROR(MID($H1717&amp;" ",FIND("|",SUBSTITUTE($H1717&amp;" "," ","|",2))+1,FIND("|",SUBSTITUTE($H1717&amp;" "," ","|",3))-FIND("|",SUBSTITUTE($H1717&amp;" "," ","|",2))-1),""))</f>
        <v/>
      </c>
      <c r="E1717" s="58">
        <f>IF($H1717="","",IFERROR(MID($H1717&amp;" ",FIND("|",SUBSTITUTE($H1717&amp;" "," ","|",3))+1,FIND("|",SUBSTITUTE($H1717&amp;" "," ","|",4))-FIND("|",SUBSTITUTE($H1717&amp;" "," ","|",3))-1),""))</f>
        <v/>
      </c>
      <c r="F1717" s="59">
        <f>IF($H1717="","",IFERROR(VALUE(IFERROR(MID($H1717&amp;" ",FIND("|",SUBSTITUTE($H1717&amp;" "," ","|",4))+1,FIND("|",SUBSTITUTE($H1717&amp;" "," ","|",5))-FIND("|",SUBSTITUTE($H1717&amp;" "," ","|",4))-1),""))/86400+25569+9/24,""))</f>
        <v/>
      </c>
      <c r="G1717" s="58">
        <f>TRIM(SUBSTITUTE(SUBSTITUTE(SUBSTITUTE($A1717,CHAR(9)," ")," "," "),CHAR(13),""))</f>
        <v/>
      </c>
      <c r="H1717" s="58">
        <f>IF($G1717="","",IF(ISNUMBER(FIND(" ",$G1717)),$G1717,IFERROR(IF((LEN(SUBSTITUTE(SUBSTITUTE($G1717,"-"," ",LEN($G1717)-LEN(SUBSTITUTE($G1717,"-",""))),"-"," ",LEN($G1717)-LEN(SUBSTITUTE($G1717,"-",""))-1))-LEN(SUBSTITUTE(SUBSTITUTE(SUBSTITUTE($G1717,"-"," ",LEN($G1717)-LEN(SUBSTITUTE($G1717,"-",""))),"-"," ",LEN($G1717)-LEN(SUBSTITUTE($G1717,"-",""))-1),".","")))=0,SUBSTITUTE(SUBSTITUTE($G1717,"-"," ",LEN($G1717)-LEN(SUBSTITUTE($G1717,"-",""))),"-"," ",LEN($G1717)-LEN(SUBSTITUTE($G1717,"-",""))-1),SUBSTITUTE(SUBSTITUTE(SUBSTITUTE($G1717,"-"," ",LEN($G1717)-LEN(SUBSTITUTE($G1717,"-",""))),"-"," ",LEN($G1717)-LEN(SUBSTITUTE($G1717,"-",""))-1),"."," ",(LEN(SUBSTITUTE(SUBSTITUTE($G1717,"-"," ",LEN($G1717)-LEN(SUBSTITUTE($G1717,"-",""))),"-"," ",LEN($G1717)-LEN(SUBSTITUTE($G1717,"-",""))-1))-LEN(SUBSTITUTE(SUBSTITUTE(SUBSTITUTE($G1717,"-"," ",LEN($G1717)-LEN(SUBSTITUTE($G1717,"-",""))),"-"," ",LEN($G1717)-LEN(SUBSTITUTE($G1717,"-",""))-1),".",""))))),$G1717)))</f>
        <v/>
      </c>
    </row>
    <row r="1718">
      <c r="A1718" s="58" t="n"/>
      <c r="B1718" s="58">
        <f>IF($H1718="","",LEFT($H1718,FIND(" ",$H1718&amp;" ")-1))</f>
        <v/>
      </c>
      <c r="C1718" s="58">
        <f>IF($H1718="","",IFERROR(MID($H1718&amp;" ",FIND("|",SUBSTITUTE($H1718&amp;" "," ","|",1))+1,FIND("|",SUBSTITUTE($H1718&amp;" "," ","|",2))-FIND("|",SUBSTITUTE($H1718&amp;" "," ","|",1))-1),""))</f>
        <v/>
      </c>
      <c r="D1718" s="58">
        <f>IF($H1718="","",IFERROR(MID($H1718&amp;" ",FIND("|",SUBSTITUTE($H1718&amp;" "," ","|",2))+1,FIND("|",SUBSTITUTE($H1718&amp;" "," ","|",3))-FIND("|",SUBSTITUTE($H1718&amp;" "," ","|",2))-1),""))</f>
        <v/>
      </c>
      <c r="E1718" s="58">
        <f>IF($H1718="","",IFERROR(MID($H1718&amp;" ",FIND("|",SUBSTITUTE($H1718&amp;" "," ","|",3))+1,FIND("|",SUBSTITUTE($H1718&amp;" "," ","|",4))-FIND("|",SUBSTITUTE($H1718&amp;" "," ","|",3))-1),""))</f>
        <v/>
      </c>
      <c r="F1718" s="59">
        <f>IF($H1718="","",IFERROR(VALUE(IFERROR(MID($H1718&amp;" ",FIND("|",SUBSTITUTE($H1718&amp;" "," ","|",4))+1,FIND("|",SUBSTITUTE($H1718&amp;" "," ","|",5))-FIND("|",SUBSTITUTE($H1718&amp;" "," ","|",4))-1),""))/86400+25569+9/24,""))</f>
        <v/>
      </c>
      <c r="G1718" s="58">
        <f>TRIM(SUBSTITUTE(SUBSTITUTE(SUBSTITUTE($A1718,CHAR(9)," ")," "," "),CHAR(13),""))</f>
        <v/>
      </c>
      <c r="H1718" s="58">
        <f>IF($G1718="","",IF(ISNUMBER(FIND(" ",$G1718)),$G1718,IFERROR(IF((LEN(SUBSTITUTE(SUBSTITUTE($G1718,"-"," ",LEN($G1718)-LEN(SUBSTITUTE($G1718,"-",""))),"-"," ",LEN($G1718)-LEN(SUBSTITUTE($G1718,"-",""))-1))-LEN(SUBSTITUTE(SUBSTITUTE(SUBSTITUTE($G1718,"-"," ",LEN($G1718)-LEN(SUBSTITUTE($G1718,"-",""))),"-"," ",LEN($G1718)-LEN(SUBSTITUTE($G1718,"-",""))-1),".","")))=0,SUBSTITUTE(SUBSTITUTE($G1718,"-"," ",LEN($G1718)-LEN(SUBSTITUTE($G1718,"-",""))),"-"," ",LEN($G1718)-LEN(SUBSTITUTE($G1718,"-",""))-1),SUBSTITUTE(SUBSTITUTE(SUBSTITUTE($G1718,"-"," ",LEN($G1718)-LEN(SUBSTITUTE($G1718,"-",""))),"-"," ",LEN($G1718)-LEN(SUBSTITUTE($G1718,"-",""))-1),"."," ",(LEN(SUBSTITUTE(SUBSTITUTE($G1718,"-"," ",LEN($G1718)-LEN(SUBSTITUTE($G1718,"-",""))),"-"," ",LEN($G1718)-LEN(SUBSTITUTE($G1718,"-",""))-1))-LEN(SUBSTITUTE(SUBSTITUTE(SUBSTITUTE($G1718,"-"," ",LEN($G1718)-LEN(SUBSTITUTE($G1718,"-",""))),"-"," ",LEN($G1718)-LEN(SUBSTITUTE($G1718,"-",""))-1),".",""))))),$G1718)))</f>
        <v/>
      </c>
    </row>
    <row r="1719">
      <c r="A1719" s="58" t="n"/>
      <c r="B1719" s="58">
        <f>IF($H1719="","",LEFT($H1719,FIND(" ",$H1719&amp;" ")-1))</f>
        <v/>
      </c>
      <c r="C1719" s="58">
        <f>IF($H1719="","",IFERROR(MID($H1719&amp;" ",FIND("|",SUBSTITUTE($H1719&amp;" "," ","|",1))+1,FIND("|",SUBSTITUTE($H1719&amp;" "," ","|",2))-FIND("|",SUBSTITUTE($H1719&amp;" "," ","|",1))-1),""))</f>
        <v/>
      </c>
      <c r="D1719" s="58">
        <f>IF($H1719="","",IFERROR(MID($H1719&amp;" ",FIND("|",SUBSTITUTE($H1719&amp;" "," ","|",2))+1,FIND("|",SUBSTITUTE($H1719&amp;" "," ","|",3))-FIND("|",SUBSTITUTE($H1719&amp;" "," ","|",2))-1),""))</f>
        <v/>
      </c>
      <c r="E1719" s="58">
        <f>IF($H1719="","",IFERROR(MID($H1719&amp;" ",FIND("|",SUBSTITUTE($H1719&amp;" "," ","|",3))+1,FIND("|",SUBSTITUTE($H1719&amp;" "," ","|",4))-FIND("|",SUBSTITUTE($H1719&amp;" "," ","|",3))-1),""))</f>
        <v/>
      </c>
      <c r="F1719" s="59">
        <f>IF($H1719="","",IFERROR(VALUE(IFERROR(MID($H1719&amp;" ",FIND("|",SUBSTITUTE($H1719&amp;" "," ","|",4))+1,FIND("|",SUBSTITUTE($H1719&amp;" "," ","|",5))-FIND("|",SUBSTITUTE($H1719&amp;" "," ","|",4))-1),""))/86400+25569+9/24,""))</f>
        <v/>
      </c>
      <c r="G1719" s="58">
        <f>TRIM(SUBSTITUTE(SUBSTITUTE(SUBSTITUTE($A1719,CHAR(9)," ")," "," "),CHAR(13),""))</f>
        <v/>
      </c>
      <c r="H1719" s="58">
        <f>IF($G1719="","",IF(ISNUMBER(FIND(" ",$G1719)),$G1719,IFERROR(IF((LEN(SUBSTITUTE(SUBSTITUTE($G1719,"-"," ",LEN($G1719)-LEN(SUBSTITUTE($G1719,"-",""))),"-"," ",LEN($G1719)-LEN(SUBSTITUTE($G1719,"-",""))-1))-LEN(SUBSTITUTE(SUBSTITUTE(SUBSTITUTE($G1719,"-"," ",LEN($G1719)-LEN(SUBSTITUTE($G1719,"-",""))),"-"," ",LEN($G1719)-LEN(SUBSTITUTE($G1719,"-",""))-1),".","")))=0,SUBSTITUTE(SUBSTITUTE($G1719,"-"," ",LEN($G1719)-LEN(SUBSTITUTE($G1719,"-",""))),"-"," ",LEN($G1719)-LEN(SUBSTITUTE($G1719,"-",""))-1),SUBSTITUTE(SUBSTITUTE(SUBSTITUTE($G1719,"-"," ",LEN($G1719)-LEN(SUBSTITUTE($G1719,"-",""))),"-"," ",LEN($G1719)-LEN(SUBSTITUTE($G1719,"-",""))-1),"."," ",(LEN(SUBSTITUTE(SUBSTITUTE($G1719,"-"," ",LEN($G1719)-LEN(SUBSTITUTE($G1719,"-",""))),"-"," ",LEN($G1719)-LEN(SUBSTITUTE($G1719,"-",""))-1))-LEN(SUBSTITUTE(SUBSTITUTE(SUBSTITUTE($G1719,"-"," ",LEN($G1719)-LEN(SUBSTITUTE($G1719,"-",""))),"-"," ",LEN($G1719)-LEN(SUBSTITUTE($G1719,"-",""))-1),".",""))))),$G1719)))</f>
        <v/>
      </c>
    </row>
    <row r="1720">
      <c r="A1720" s="58" t="n"/>
      <c r="B1720" s="58">
        <f>IF($H1720="","",LEFT($H1720,FIND(" ",$H1720&amp;" ")-1))</f>
        <v/>
      </c>
      <c r="C1720" s="58">
        <f>IF($H1720="","",IFERROR(MID($H1720&amp;" ",FIND("|",SUBSTITUTE($H1720&amp;" "," ","|",1))+1,FIND("|",SUBSTITUTE($H1720&amp;" "," ","|",2))-FIND("|",SUBSTITUTE($H1720&amp;" "," ","|",1))-1),""))</f>
        <v/>
      </c>
      <c r="D1720" s="58">
        <f>IF($H1720="","",IFERROR(MID($H1720&amp;" ",FIND("|",SUBSTITUTE($H1720&amp;" "," ","|",2))+1,FIND("|",SUBSTITUTE($H1720&amp;" "," ","|",3))-FIND("|",SUBSTITUTE($H1720&amp;" "," ","|",2))-1),""))</f>
        <v/>
      </c>
      <c r="E1720" s="58">
        <f>IF($H1720="","",IFERROR(MID($H1720&amp;" ",FIND("|",SUBSTITUTE($H1720&amp;" "," ","|",3))+1,FIND("|",SUBSTITUTE($H1720&amp;" "," ","|",4))-FIND("|",SUBSTITUTE($H1720&amp;" "," ","|",3))-1),""))</f>
        <v/>
      </c>
      <c r="F1720" s="59">
        <f>IF($H1720="","",IFERROR(VALUE(IFERROR(MID($H1720&amp;" ",FIND("|",SUBSTITUTE($H1720&amp;" "," ","|",4))+1,FIND("|",SUBSTITUTE($H1720&amp;" "," ","|",5))-FIND("|",SUBSTITUTE($H1720&amp;" "," ","|",4))-1),""))/86400+25569+9/24,""))</f>
        <v/>
      </c>
      <c r="G1720" s="58">
        <f>TRIM(SUBSTITUTE(SUBSTITUTE(SUBSTITUTE($A1720,CHAR(9)," ")," "," "),CHAR(13),""))</f>
        <v/>
      </c>
      <c r="H1720" s="58">
        <f>IF($G1720="","",IF(ISNUMBER(FIND(" ",$G1720)),$G1720,IFERROR(IF((LEN(SUBSTITUTE(SUBSTITUTE($G1720,"-"," ",LEN($G1720)-LEN(SUBSTITUTE($G1720,"-",""))),"-"," ",LEN($G1720)-LEN(SUBSTITUTE($G1720,"-",""))-1))-LEN(SUBSTITUTE(SUBSTITUTE(SUBSTITUTE($G1720,"-"," ",LEN($G1720)-LEN(SUBSTITUTE($G1720,"-",""))),"-"," ",LEN($G1720)-LEN(SUBSTITUTE($G1720,"-",""))-1),".","")))=0,SUBSTITUTE(SUBSTITUTE($G1720,"-"," ",LEN($G1720)-LEN(SUBSTITUTE($G1720,"-",""))),"-"," ",LEN($G1720)-LEN(SUBSTITUTE($G1720,"-",""))-1),SUBSTITUTE(SUBSTITUTE(SUBSTITUTE($G1720,"-"," ",LEN($G1720)-LEN(SUBSTITUTE($G1720,"-",""))),"-"," ",LEN($G1720)-LEN(SUBSTITUTE($G1720,"-",""))-1),"."," ",(LEN(SUBSTITUTE(SUBSTITUTE($G1720,"-"," ",LEN($G1720)-LEN(SUBSTITUTE($G1720,"-",""))),"-"," ",LEN($G1720)-LEN(SUBSTITUTE($G1720,"-",""))-1))-LEN(SUBSTITUTE(SUBSTITUTE(SUBSTITUTE($G1720,"-"," ",LEN($G1720)-LEN(SUBSTITUTE($G1720,"-",""))),"-"," ",LEN($G1720)-LEN(SUBSTITUTE($G1720,"-",""))-1),".",""))))),$G1720)))</f>
        <v/>
      </c>
    </row>
    <row r="1721">
      <c r="A1721" s="58" t="n"/>
      <c r="B1721" s="58">
        <f>IF($H1721="","",LEFT($H1721,FIND(" ",$H1721&amp;" ")-1))</f>
        <v/>
      </c>
      <c r="C1721" s="58">
        <f>IF($H1721="","",IFERROR(MID($H1721&amp;" ",FIND("|",SUBSTITUTE($H1721&amp;" "," ","|",1))+1,FIND("|",SUBSTITUTE($H1721&amp;" "," ","|",2))-FIND("|",SUBSTITUTE($H1721&amp;" "," ","|",1))-1),""))</f>
        <v/>
      </c>
      <c r="D1721" s="58">
        <f>IF($H1721="","",IFERROR(MID($H1721&amp;" ",FIND("|",SUBSTITUTE($H1721&amp;" "," ","|",2))+1,FIND("|",SUBSTITUTE($H1721&amp;" "," ","|",3))-FIND("|",SUBSTITUTE($H1721&amp;" "," ","|",2))-1),""))</f>
        <v/>
      </c>
      <c r="E1721" s="58">
        <f>IF($H1721="","",IFERROR(MID($H1721&amp;" ",FIND("|",SUBSTITUTE($H1721&amp;" "," ","|",3))+1,FIND("|",SUBSTITUTE($H1721&amp;" "," ","|",4))-FIND("|",SUBSTITUTE($H1721&amp;" "," ","|",3))-1),""))</f>
        <v/>
      </c>
      <c r="F1721" s="59">
        <f>IF($H1721="","",IFERROR(VALUE(IFERROR(MID($H1721&amp;" ",FIND("|",SUBSTITUTE($H1721&amp;" "," ","|",4))+1,FIND("|",SUBSTITUTE($H1721&amp;" "," ","|",5))-FIND("|",SUBSTITUTE($H1721&amp;" "," ","|",4))-1),""))/86400+25569+9/24,""))</f>
        <v/>
      </c>
      <c r="G1721" s="58">
        <f>TRIM(SUBSTITUTE(SUBSTITUTE(SUBSTITUTE($A1721,CHAR(9)," ")," "," "),CHAR(13),""))</f>
        <v/>
      </c>
      <c r="H1721" s="58">
        <f>IF($G1721="","",IF(ISNUMBER(FIND(" ",$G1721)),$G1721,IFERROR(IF((LEN(SUBSTITUTE(SUBSTITUTE($G1721,"-"," ",LEN($G1721)-LEN(SUBSTITUTE($G1721,"-",""))),"-"," ",LEN($G1721)-LEN(SUBSTITUTE($G1721,"-",""))-1))-LEN(SUBSTITUTE(SUBSTITUTE(SUBSTITUTE($G1721,"-"," ",LEN($G1721)-LEN(SUBSTITUTE($G1721,"-",""))),"-"," ",LEN($G1721)-LEN(SUBSTITUTE($G1721,"-",""))-1),".","")))=0,SUBSTITUTE(SUBSTITUTE($G1721,"-"," ",LEN($G1721)-LEN(SUBSTITUTE($G1721,"-",""))),"-"," ",LEN($G1721)-LEN(SUBSTITUTE($G1721,"-",""))-1),SUBSTITUTE(SUBSTITUTE(SUBSTITUTE($G1721,"-"," ",LEN($G1721)-LEN(SUBSTITUTE($G1721,"-",""))),"-"," ",LEN($G1721)-LEN(SUBSTITUTE($G1721,"-",""))-1),"."," ",(LEN(SUBSTITUTE(SUBSTITUTE($G1721,"-"," ",LEN($G1721)-LEN(SUBSTITUTE($G1721,"-",""))),"-"," ",LEN($G1721)-LEN(SUBSTITUTE($G1721,"-",""))-1))-LEN(SUBSTITUTE(SUBSTITUTE(SUBSTITUTE($G1721,"-"," ",LEN($G1721)-LEN(SUBSTITUTE($G1721,"-",""))),"-"," ",LEN($G1721)-LEN(SUBSTITUTE($G1721,"-",""))-1),".",""))))),$G1721)))</f>
        <v/>
      </c>
    </row>
    <row r="1722">
      <c r="A1722" s="58" t="n"/>
      <c r="B1722" s="58">
        <f>IF($H1722="","",LEFT($H1722,FIND(" ",$H1722&amp;" ")-1))</f>
        <v/>
      </c>
      <c r="C1722" s="58">
        <f>IF($H1722="","",IFERROR(MID($H1722&amp;" ",FIND("|",SUBSTITUTE($H1722&amp;" "," ","|",1))+1,FIND("|",SUBSTITUTE($H1722&amp;" "," ","|",2))-FIND("|",SUBSTITUTE($H1722&amp;" "," ","|",1))-1),""))</f>
        <v/>
      </c>
      <c r="D1722" s="58">
        <f>IF($H1722="","",IFERROR(MID($H1722&amp;" ",FIND("|",SUBSTITUTE($H1722&amp;" "," ","|",2))+1,FIND("|",SUBSTITUTE($H1722&amp;" "," ","|",3))-FIND("|",SUBSTITUTE($H1722&amp;" "," ","|",2))-1),""))</f>
        <v/>
      </c>
      <c r="E1722" s="58">
        <f>IF($H1722="","",IFERROR(MID($H1722&amp;" ",FIND("|",SUBSTITUTE($H1722&amp;" "," ","|",3))+1,FIND("|",SUBSTITUTE($H1722&amp;" "," ","|",4))-FIND("|",SUBSTITUTE($H1722&amp;" "," ","|",3))-1),""))</f>
        <v/>
      </c>
      <c r="F1722" s="59">
        <f>IF($H1722="","",IFERROR(VALUE(IFERROR(MID($H1722&amp;" ",FIND("|",SUBSTITUTE($H1722&amp;" "," ","|",4))+1,FIND("|",SUBSTITUTE($H1722&amp;" "," ","|",5))-FIND("|",SUBSTITUTE($H1722&amp;" "," ","|",4))-1),""))/86400+25569+9/24,""))</f>
        <v/>
      </c>
      <c r="G1722" s="58">
        <f>TRIM(SUBSTITUTE(SUBSTITUTE(SUBSTITUTE($A1722,CHAR(9)," ")," "," "),CHAR(13),""))</f>
        <v/>
      </c>
      <c r="H1722" s="58">
        <f>IF($G1722="","",IF(ISNUMBER(FIND(" ",$G1722)),$G1722,IFERROR(IF((LEN(SUBSTITUTE(SUBSTITUTE($G1722,"-"," ",LEN($G1722)-LEN(SUBSTITUTE($G1722,"-",""))),"-"," ",LEN($G1722)-LEN(SUBSTITUTE($G1722,"-",""))-1))-LEN(SUBSTITUTE(SUBSTITUTE(SUBSTITUTE($G1722,"-"," ",LEN($G1722)-LEN(SUBSTITUTE($G1722,"-",""))),"-"," ",LEN($G1722)-LEN(SUBSTITUTE($G1722,"-",""))-1),".","")))=0,SUBSTITUTE(SUBSTITUTE($G1722,"-"," ",LEN($G1722)-LEN(SUBSTITUTE($G1722,"-",""))),"-"," ",LEN($G1722)-LEN(SUBSTITUTE($G1722,"-",""))-1),SUBSTITUTE(SUBSTITUTE(SUBSTITUTE($G1722,"-"," ",LEN($G1722)-LEN(SUBSTITUTE($G1722,"-",""))),"-"," ",LEN($G1722)-LEN(SUBSTITUTE($G1722,"-",""))-1),"."," ",(LEN(SUBSTITUTE(SUBSTITUTE($G1722,"-"," ",LEN($G1722)-LEN(SUBSTITUTE($G1722,"-",""))),"-"," ",LEN($G1722)-LEN(SUBSTITUTE($G1722,"-",""))-1))-LEN(SUBSTITUTE(SUBSTITUTE(SUBSTITUTE($G1722,"-"," ",LEN($G1722)-LEN(SUBSTITUTE($G1722,"-",""))),"-"," ",LEN($G1722)-LEN(SUBSTITUTE($G1722,"-",""))-1),".",""))))),$G1722)))</f>
        <v/>
      </c>
    </row>
    <row r="1723">
      <c r="A1723" s="58" t="n"/>
      <c r="B1723" s="58">
        <f>IF($H1723="","",LEFT($H1723,FIND(" ",$H1723&amp;" ")-1))</f>
        <v/>
      </c>
      <c r="C1723" s="58">
        <f>IF($H1723="","",IFERROR(MID($H1723&amp;" ",FIND("|",SUBSTITUTE($H1723&amp;" "," ","|",1))+1,FIND("|",SUBSTITUTE($H1723&amp;" "," ","|",2))-FIND("|",SUBSTITUTE($H1723&amp;" "," ","|",1))-1),""))</f>
        <v/>
      </c>
      <c r="D1723" s="58">
        <f>IF($H1723="","",IFERROR(MID($H1723&amp;" ",FIND("|",SUBSTITUTE($H1723&amp;" "," ","|",2))+1,FIND("|",SUBSTITUTE($H1723&amp;" "," ","|",3))-FIND("|",SUBSTITUTE($H1723&amp;" "," ","|",2))-1),""))</f>
        <v/>
      </c>
      <c r="E1723" s="58">
        <f>IF($H1723="","",IFERROR(MID($H1723&amp;" ",FIND("|",SUBSTITUTE($H1723&amp;" "," ","|",3))+1,FIND("|",SUBSTITUTE($H1723&amp;" "," ","|",4))-FIND("|",SUBSTITUTE($H1723&amp;" "," ","|",3))-1),""))</f>
        <v/>
      </c>
      <c r="F1723" s="59">
        <f>IF($H1723="","",IFERROR(VALUE(IFERROR(MID($H1723&amp;" ",FIND("|",SUBSTITUTE($H1723&amp;" "," ","|",4))+1,FIND("|",SUBSTITUTE($H1723&amp;" "," ","|",5))-FIND("|",SUBSTITUTE($H1723&amp;" "," ","|",4))-1),""))/86400+25569+9/24,""))</f>
        <v/>
      </c>
      <c r="G1723" s="58">
        <f>TRIM(SUBSTITUTE(SUBSTITUTE(SUBSTITUTE($A1723,CHAR(9)," ")," "," "),CHAR(13),""))</f>
        <v/>
      </c>
      <c r="H1723" s="58">
        <f>IF($G1723="","",IF(ISNUMBER(FIND(" ",$G1723)),$G1723,IFERROR(IF((LEN(SUBSTITUTE(SUBSTITUTE($G1723,"-"," ",LEN($G1723)-LEN(SUBSTITUTE($G1723,"-",""))),"-"," ",LEN($G1723)-LEN(SUBSTITUTE($G1723,"-",""))-1))-LEN(SUBSTITUTE(SUBSTITUTE(SUBSTITUTE($G1723,"-"," ",LEN($G1723)-LEN(SUBSTITUTE($G1723,"-",""))),"-"," ",LEN($G1723)-LEN(SUBSTITUTE($G1723,"-",""))-1),".","")))=0,SUBSTITUTE(SUBSTITUTE($G1723,"-"," ",LEN($G1723)-LEN(SUBSTITUTE($G1723,"-",""))),"-"," ",LEN($G1723)-LEN(SUBSTITUTE($G1723,"-",""))-1),SUBSTITUTE(SUBSTITUTE(SUBSTITUTE($G1723,"-"," ",LEN($G1723)-LEN(SUBSTITUTE($G1723,"-",""))),"-"," ",LEN($G1723)-LEN(SUBSTITUTE($G1723,"-",""))-1),"."," ",(LEN(SUBSTITUTE(SUBSTITUTE($G1723,"-"," ",LEN($G1723)-LEN(SUBSTITUTE($G1723,"-",""))),"-"," ",LEN($G1723)-LEN(SUBSTITUTE($G1723,"-",""))-1))-LEN(SUBSTITUTE(SUBSTITUTE(SUBSTITUTE($G1723,"-"," ",LEN($G1723)-LEN(SUBSTITUTE($G1723,"-",""))),"-"," ",LEN($G1723)-LEN(SUBSTITUTE($G1723,"-",""))-1),".",""))))),$G1723)))</f>
        <v/>
      </c>
    </row>
    <row r="1724">
      <c r="A1724" s="58" t="n"/>
      <c r="B1724" s="58">
        <f>IF($H1724="","",LEFT($H1724,FIND(" ",$H1724&amp;" ")-1))</f>
        <v/>
      </c>
      <c r="C1724" s="58">
        <f>IF($H1724="","",IFERROR(MID($H1724&amp;" ",FIND("|",SUBSTITUTE($H1724&amp;" "," ","|",1))+1,FIND("|",SUBSTITUTE($H1724&amp;" "," ","|",2))-FIND("|",SUBSTITUTE($H1724&amp;" "," ","|",1))-1),""))</f>
        <v/>
      </c>
      <c r="D1724" s="58">
        <f>IF($H1724="","",IFERROR(MID($H1724&amp;" ",FIND("|",SUBSTITUTE($H1724&amp;" "," ","|",2))+1,FIND("|",SUBSTITUTE($H1724&amp;" "," ","|",3))-FIND("|",SUBSTITUTE($H1724&amp;" "," ","|",2))-1),""))</f>
        <v/>
      </c>
      <c r="E1724" s="58">
        <f>IF($H1724="","",IFERROR(MID($H1724&amp;" ",FIND("|",SUBSTITUTE($H1724&amp;" "," ","|",3))+1,FIND("|",SUBSTITUTE($H1724&amp;" "," ","|",4))-FIND("|",SUBSTITUTE($H1724&amp;" "," ","|",3))-1),""))</f>
        <v/>
      </c>
      <c r="F1724" s="59">
        <f>IF($H1724="","",IFERROR(VALUE(IFERROR(MID($H1724&amp;" ",FIND("|",SUBSTITUTE($H1724&amp;" "," ","|",4))+1,FIND("|",SUBSTITUTE($H1724&amp;" "," ","|",5))-FIND("|",SUBSTITUTE($H1724&amp;" "," ","|",4))-1),""))/86400+25569+9/24,""))</f>
        <v/>
      </c>
      <c r="G1724" s="58">
        <f>TRIM(SUBSTITUTE(SUBSTITUTE(SUBSTITUTE($A1724,CHAR(9)," ")," "," "),CHAR(13),""))</f>
        <v/>
      </c>
      <c r="H1724" s="58">
        <f>IF($G1724="","",IF(ISNUMBER(FIND(" ",$G1724)),$G1724,IFERROR(IF((LEN(SUBSTITUTE(SUBSTITUTE($G1724,"-"," ",LEN($G1724)-LEN(SUBSTITUTE($G1724,"-",""))),"-"," ",LEN($G1724)-LEN(SUBSTITUTE($G1724,"-",""))-1))-LEN(SUBSTITUTE(SUBSTITUTE(SUBSTITUTE($G1724,"-"," ",LEN($G1724)-LEN(SUBSTITUTE($G1724,"-",""))),"-"," ",LEN($G1724)-LEN(SUBSTITUTE($G1724,"-",""))-1),".","")))=0,SUBSTITUTE(SUBSTITUTE($G1724,"-"," ",LEN($G1724)-LEN(SUBSTITUTE($G1724,"-",""))),"-"," ",LEN($G1724)-LEN(SUBSTITUTE($G1724,"-",""))-1),SUBSTITUTE(SUBSTITUTE(SUBSTITUTE($G1724,"-"," ",LEN($G1724)-LEN(SUBSTITUTE($G1724,"-",""))),"-"," ",LEN($G1724)-LEN(SUBSTITUTE($G1724,"-",""))-1),"."," ",(LEN(SUBSTITUTE(SUBSTITUTE($G1724,"-"," ",LEN($G1724)-LEN(SUBSTITUTE($G1724,"-",""))),"-"," ",LEN($G1724)-LEN(SUBSTITUTE($G1724,"-",""))-1))-LEN(SUBSTITUTE(SUBSTITUTE(SUBSTITUTE($G1724,"-"," ",LEN($G1724)-LEN(SUBSTITUTE($G1724,"-",""))),"-"," ",LEN($G1724)-LEN(SUBSTITUTE($G1724,"-",""))-1),".",""))))),$G1724)))</f>
        <v/>
      </c>
    </row>
    <row r="1725">
      <c r="A1725" s="58" t="n"/>
      <c r="B1725" s="58">
        <f>IF($H1725="","",LEFT($H1725,FIND(" ",$H1725&amp;" ")-1))</f>
        <v/>
      </c>
      <c r="C1725" s="58">
        <f>IF($H1725="","",IFERROR(MID($H1725&amp;" ",FIND("|",SUBSTITUTE($H1725&amp;" "," ","|",1))+1,FIND("|",SUBSTITUTE($H1725&amp;" "," ","|",2))-FIND("|",SUBSTITUTE($H1725&amp;" "," ","|",1))-1),""))</f>
        <v/>
      </c>
      <c r="D1725" s="58">
        <f>IF($H1725="","",IFERROR(MID($H1725&amp;" ",FIND("|",SUBSTITUTE($H1725&amp;" "," ","|",2))+1,FIND("|",SUBSTITUTE($H1725&amp;" "," ","|",3))-FIND("|",SUBSTITUTE($H1725&amp;" "," ","|",2))-1),""))</f>
        <v/>
      </c>
      <c r="E1725" s="58">
        <f>IF($H1725="","",IFERROR(MID($H1725&amp;" ",FIND("|",SUBSTITUTE($H1725&amp;" "," ","|",3))+1,FIND("|",SUBSTITUTE($H1725&amp;" "," ","|",4))-FIND("|",SUBSTITUTE($H1725&amp;" "," ","|",3))-1),""))</f>
        <v/>
      </c>
      <c r="F1725" s="59">
        <f>IF($H1725="","",IFERROR(VALUE(IFERROR(MID($H1725&amp;" ",FIND("|",SUBSTITUTE($H1725&amp;" "," ","|",4))+1,FIND("|",SUBSTITUTE($H1725&amp;" "," ","|",5))-FIND("|",SUBSTITUTE($H1725&amp;" "," ","|",4))-1),""))/86400+25569+9/24,""))</f>
        <v/>
      </c>
      <c r="G1725" s="58">
        <f>TRIM(SUBSTITUTE(SUBSTITUTE(SUBSTITUTE($A1725,CHAR(9)," ")," "," "),CHAR(13),""))</f>
        <v/>
      </c>
      <c r="H1725" s="58">
        <f>IF($G1725="","",IF(ISNUMBER(FIND(" ",$G1725)),$G1725,IFERROR(IF((LEN(SUBSTITUTE(SUBSTITUTE($G1725,"-"," ",LEN($G1725)-LEN(SUBSTITUTE($G1725,"-",""))),"-"," ",LEN($G1725)-LEN(SUBSTITUTE($G1725,"-",""))-1))-LEN(SUBSTITUTE(SUBSTITUTE(SUBSTITUTE($G1725,"-"," ",LEN($G1725)-LEN(SUBSTITUTE($G1725,"-",""))),"-"," ",LEN($G1725)-LEN(SUBSTITUTE($G1725,"-",""))-1),".","")))=0,SUBSTITUTE(SUBSTITUTE($G1725,"-"," ",LEN($G1725)-LEN(SUBSTITUTE($G1725,"-",""))),"-"," ",LEN($G1725)-LEN(SUBSTITUTE($G1725,"-",""))-1),SUBSTITUTE(SUBSTITUTE(SUBSTITUTE($G1725,"-"," ",LEN($G1725)-LEN(SUBSTITUTE($G1725,"-",""))),"-"," ",LEN($G1725)-LEN(SUBSTITUTE($G1725,"-",""))-1),"."," ",(LEN(SUBSTITUTE(SUBSTITUTE($G1725,"-"," ",LEN($G1725)-LEN(SUBSTITUTE($G1725,"-",""))),"-"," ",LEN($G1725)-LEN(SUBSTITUTE($G1725,"-",""))-1))-LEN(SUBSTITUTE(SUBSTITUTE(SUBSTITUTE($G1725,"-"," ",LEN($G1725)-LEN(SUBSTITUTE($G1725,"-",""))),"-"," ",LEN($G1725)-LEN(SUBSTITUTE($G1725,"-",""))-1),".",""))))),$G1725)))</f>
        <v/>
      </c>
    </row>
    <row r="1726">
      <c r="A1726" s="58" t="n"/>
      <c r="B1726" s="58">
        <f>IF($H1726="","",LEFT($H1726,FIND(" ",$H1726&amp;" ")-1))</f>
        <v/>
      </c>
      <c r="C1726" s="58">
        <f>IF($H1726="","",IFERROR(MID($H1726&amp;" ",FIND("|",SUBSTITUTE($H1726&amp;" "," ","|",1))+1,FIND("|",SUBSTITUTE($H1726&amp;" "," ","|",2))-FIND("|",SUBSTITUTE($H1726&amp;" "," ","|",1))-1),""))</f>
        <v/>
      </c>
      <c r="D1726" s="58">
        <f>IF($H1726="","",IFERROR(MID($H1726&amp;" ",FIND("|",SUBSTITUTE($H1726&amp;" "," ","|",2))+1,FIND("|",SUBSTITUTE($H1726&amp;" "," ","|",3))-FIND("|",SUBSTITUTE($H1726&amp;" "," ","|",2))-1),""))</f>
        <v/>
      </c>
      <c r="E1726" s="58">
        <f>IF($H1726="","",IFERROR(MID($H1726&amp;" ",FIND("|",SUBSTITUTE($H1726&amp;" "," ","|",3))+1,FIND("|",SUBSTITUTE($H1726&amp;" "," ","|",4))-FIND("|",SUBSTITUTE($H1726&amp;" "," ","|",3))-1),""))</f>
        <v/>
      </c>
      <c r="F1726" s="59">
        <f>IF($H1726="","",IFERROR(VALUE(IFERROR(MID($H1726&amp;" ",FIND("|",SUBSTITUTE($H1726&amp;" "," ","|",4))+1,FIND("|",SUBSTITUTE($H1726&amp;" "," ","|",5))-FIND("|",SUBSTITUTE($H1726&amp;" "," ","|",4))-1),""))/86400+25569+9/24,""))</f>
        <v/>
      </c>
      <c r="G1726" s="58">
        <f>TRIM(SUBSTITUTE(SUBSTITUTE(SUBSTITUTE($A1726,CHAR(9)," ")," "," "),CHAR(13),""))</f>
        <v/>
      </c>
      <c r="H1726" s="58">
        <f>IF($G1726="","",IF(ISNUMBER(FIND(" ",$G1726)),$G1726,IFERROR(IF((LEN(SUBSTITUTE(SUBSTITUTE($G1726,"-"," ",LEN($G1726)-LEN(SUBSTITUTE($G1726,"-",""))),"-"," ",LEN($G1726)-LEN(SUBSTITUTE($G1726,"-",""))-1))-LEN(SUBSTITUTE(SUBSTITUTE(SUBSTITUTE($G1726,"-"," ",LEN($G1726)-LEN(SUBSTITUTE($G1726,"-",""))),"-"," ",LEN($G1726)-LEN(SUBSTITUTE($G1726,"-",""))-1),".","")))=0,SUBSTITUTE(SUBSTITUTE($G1726,"-"," ",LEN($G1726)-LEN(SUBSTITUTE($G1726,"-",""))),"-"," ",LEN($G1726)-LEN(SUBSTITUTE($G1726,"-",""))-1),SUBSTITUTE(SUBSTITUTE(SUBSTITUTE($G1726,"-"," ",LEN($G1726)-LEN(SUBSTITUTE($G1726,"-",""))),"-"," ",LEN($G1726)-LEN(SUBSTITUTE($G1726,"-",""))-1),"."," ",(LEN(SUBSTITUTE(SUBSTITUTE($G1726,"-"," ",LEN($G1726)-LEN(SUBSTITUTE($G1726,"-",""))),"-"," ",LEN($G1726)-LEN(SUBSTITUTE($G1726,"-",""))-1))-LEN(SUBSTITUTE(SUBSTITUTE(SUBSTITUTE($G1726,"-"," ",LEN($G1726)-LEN(SUBSTITUTE($G1726,"-",""))),"-"," ",LEN($G1726)-LEN(SUBSTITUTE($G1726,"-",""))-1),".",""))))),$G1726)))</f>
        <v/>
      </c>
    </row>
    <row r="1727">
      <c r="A1727" s="58" t="n"/>
      <c r="B1727" s="58">
        <f>IF($H1727="","",LEFT($H1727,FIND(" ",$H1727&amp;" ")-1))</f>
        <v/>
      </c>
      <c r="C1727" s="58">
        <f>IF($H1727="","",IFERROR(MID($H1727&amp;" ",FIND("|",SUBSTITUTE($H1727&amp;" "," ","|",1))+1,FIND("|",SUBSTITUTE($H1727&amp;" "," ","|",2))-FIND("|",SUBSTITUTE($H1727&amp;" "," ","|",1))-1),""))</f>
        <v/>
      </c>
      <c r="D1727" s="58">
        <f>IF($H1727="","",IFERROR(MID($H1727&amp;" ",FIND("|",SUBSTITUTE($H1727&amp;" "," ","|",2))+1,FIND("|",SUBSTITUTE($H1727&amp;" "," ","|",3))-FIND("|",SUBSTITUTE($H1727&amp;" "," ","|",2))-1),""))</f>
        <v/>
      </c>
      <c r="E1727" s="58">
        <f>IF($H1727="","",IFERROR(MID($H1727&amp;" ",FIND("|",SUBSTITUTE($H1727&amp;" "," ","|",3))+1,FIND("|",SUBSTITUTE($H1727&amp;" "," ","|",4))-FIND("|",SUBSTITUTE($H1727&amp;" "," ","|",3))-1),""))</f>
        <v/>
      </c>
      <c r="F1727" s="59">
        <f>IF($H1727="","",IFERROR(VALUE(IFERROR(MID($H1727&amp;" ",FIND("|",SUBSTITUTE($H1727&amp;" "," ","|",4))+1,FIND("|",SUBSTITUTE($H1727&amp;" "," ","|",5))-FIND("|",SUBSTITUTE($H1727&amp;" "," ","|",4))-1),""))/86400+25569+9/24,""))</f>
        <v/>
      </c>
      <c r="G1727" s="58">
        <f>TRIM(SUBSTITUTE(SUBSTITUTE(SUBSTITUTE($A1727,CHAR(9)," ")," "," "),CHAR(13),""))</f>
        <v/>
      </c>
      <c r="H1727" s="58">
        <f>IF($G1727="","",IF(ISNUMBER(FIND(" ",$G1727)),$G1727,IFERROR(IF((LEN(SUBSTITUTE(SUBSTITUTE($G1727,"-"," ",LEN($G1727)-LEN(SUBSTITUTE($G1727,"-",""))),"-"," ",LEN($G1727)-LEN(SUBSTITUTE($G1727,"-",""))-1))-LEN(SUBSTITUTE(SUBSTITUTE(SUBSTITUTE($G1727,"-"," ",LEN($G1727)-LEN(SUBSTITUTE($G1727,"-",""))),"-"," ",LEN($G1727)-LEN(SUBSTITUTE($G1727,"-",""))-1),".","")))=0,SUBSTITUTE(SUBSTITUTE($G1727,"-"," ",LEN($G1727)-LEN(SUBSTITUTE($G1727,"-",""))),"-"," ",LEN($G1727)-LEN(SUBSTITUTE($G1727,"-",""))-1),SUBSTITUTE(SUBSTITUTE(SUBSTITUTE($G1727,"-"," ",LEN($G1727)-LEN(SUBSTITUTE($G1727,"-",""))),"-"," ",LEN($G1727)-LEN(SUBSTITUTE($G1727,"-",""))-1),"."," ",(LEN(SUBSTITUTE(SUBSTITUTE($G1727,"-"," ",LEN($G1727)-LEN(SUBSTITUTE($G1727,"-",""))),"-"," ",LEN($G1727)-LEN(SUBSTITUTE($G1727,"-",""))-1))-LEN(SUBSTITUTE(SUBSTITUTE(SUBSTITUTE($G1727,"-"," ",LEN($G1727)-LEN(SUBSTITUTE($G1727,"-",""))),"-"," ",LEN($G1727)-LEN(SUBSTITUTE($G1727,"-",""))-1),".",""))))),$G1727)))</f>
        <v/>
      </c>
    </row>
    <row r="1728">
      <c r="A1728" s="58" t="n"/>
      <c r="B1728" s="58">
        <f>IF($H1728="","",LEFT($H1728,FIND(" ",$H1728&amp;" ")-1))</f>
        <v/>
      </c>
      <c r="C1728" s="58">
        <f>IF($H1728="","",IFERROR(MID($H1728&amp;" ",FIND("|",SUBSTITUTE($H1728&amp;" "," ","|",1))+1,FIND("|",SUBSTITUTE($H1728&amp;" "," ","|",2))-FIND("|",SUBSTITUTE($H1728&amp;" "," ","|",1))-1),""))</f>
        <v/>
      </c>
      <c r="D1728" s="58">
        <f>IF($H1728="","",IFERROR(MID($H1728&amp;" ",FIND("|",SUBSTITUTE($H1728&amp;" "," ","|",2))+1,FIND("|",SUBSTITUTE($H1728&amp;" "," ","|",3))-FIND("|",SUBSTITUTE($H1728&amp;" "," ","|",2))-1),""))</f>
        <v/>
      </c>
      <c r="E1728" s="58">
        <f>IF($H1728="","",IFERROR(MID($H1728&amp;" ",FIND("|",SUBSTITUTE($H1728&amp;" "," ","|",3))+1,FIND("|",SUBSTITUTE($H1728&amp;" "," ","|",4))-FIND("|",SUBSTITUTE($H1728&amp;" "," ","|",3))-1),""))</f>
        <v/>
      </c>
      <c r="F1728" s="59">
        <f>IF($H1728="","",IFERROR(VALUE(IFERROR(MID($H1728&amp;" ",FIND("|",SUBSTITUTE($H1728&amp;" "," ","|",4))+1,FIND("|",SUBSTITUTE($H1728&amp;" "," ","|",5))-FIND("|",SUBSTITUTE($H1728&amp;" "," ","|",4))-1),""))/86400+25569+9/24,""))</f>
        <v/>
      </c>
      <c r="G1728" s="58">
        <f>TRIM(SUBSTITUTE(SUBSTITUTE(SUBSTITUTE($A1728,CHAR(9)," ")," "," "),CHAR(13),""))</f>
        <v/>
      </c>
      <c r="H1728" s="58">
        <f>IF($G1728="","",IF(ISNUMBER(FIND(" ",$G1728)),$G1728,IFERROR(IF((LEN(SUBSTITUTE(SUBSTITUTE($G1728,"-"," ",LEN($G1728)-LEN(SUBSTITUTE($G1728,"-",""))),"-"," ",LEN($G1728)-LEN(SUBSTITUTE($G1728,"-",""))-1))-LEN(SUBSTITUTE(SUBSTITUTE(SUBSTITUTE($G1728,"-"," ",LEN($G1728)-LEN(SUBSTITUTE($G1728,"-",""))),"-"," ",LEN($G1728)-LEN(SUBSTITUTE($G1728,"-",""))-1),".","")))=0,SUBSTITUTE(SUBSTITUTE($G1728,"-"," ",LEN($G1728)-LEN(SUBSTITUTE($G1728,"-",""))),"-"," ",LEN($G1728)-LEN(SUBSTITUTE($G1728,"-",""))-1),SUBSTITUTE(SUBSTITUTE(SUBSTITUTE($G1728,"-"," ",LEN($G1728)-LEN(SUBSTITUTE($G1728,"-",""))),"-"," ",LEN($G1728)-LEN(SUBSTITUTE($G1728,"-",""))-1),"."," ",(LEN(SUBSTITUTE(SUBSTITUTE($G1728,"-"," ",LEN($G1728)-LEN(SUBSTITUTE($G1728,"-",""))),"-"," ",LEN($G1728)-LEN(SUBSTITUTE($G1728,"-",""))-1))-LEN(SUBSTITUTE(SUBSTITUTE(SUBSTITUTE($G1728,"-"," ",LEN($G1728)-LEN(SUBSTITUTE($G1728,"-",""))),"-"," ",LEN($G1728)-LEN(SUBSTITUTE($G1728,"-",""))-1),".",""))))),$G1728)))</f>
        <v/>
      </c>
    </row>
    <row r="1729">
      <c r="A1729" s="58" t="n"/>
      <c r="B1729" s="58">
        <f>IF($H1729="","",LEFT($H1729,FIND(" ",$H1729&amp;" ")-1))</f>
        <v/>
      </c>
      <c r="C1729" s="58">
        <f>IF($H1729="","",IFERROR(MID($H1729&amp;" ",FIND("|",SUBSTITUTE($H1729&amp;" "," ","|",1))+1,FIND("|",SUBSTITUTE($H1729&amp;" "," ","|",2))-FIND("|",SUBSTITUTE($H1729&amp;" "," ","|",1))-1),""))</f>
        <v/>
      </c>
      <c r="D1729" s="58">
        <f>IF($H1729="","",IFERROR(MID($H1729&amp;" ",FIND("|",SUBSTITUTE($H1729&amp;" "," ","|",2))+1,FIND("|",SUBSTITUTE($H1729&amp;" "," ","|",3))-FIND("|",SUBSTITUTE($H1729&amp;" "," ","|",2))-1),""))</f>
        <v/>
      </c>
      <c r="E1729" s="58">
        <f>IF($H1729="","",IFERROR(MID($H1729&amp;" ",FIND("|",SUBSTITUTE($H1729&amp;" "," ","|",3))+1,FIND("|",SUBSTITUTE($H1729&amp;" "," ","|",4))-FIND("|",SUBSTITUTE($H1729&amp;" "," ","|",3))-1),""))</f>
        <v/>
      </c>
      <c r="F1729" s="59">
        <f>IF($H1729="","",IFERROR(VALUE(IFERROR(MID($H1729&amp;" ",FIND("|",SUBSTITUTE($H1729&amp;" "," ","|",4))+1,FIND("|",SUBSTITUTE($H1729&amp;" "," ","|",5))-FIND("|",SUBSTITUTE($H1729&amp;" "," ","|",4))-1),""))/86400+25569+9/24,""))</f>
        <v/>
      </c>
      <c r="G1729" s="58">
        <f>TRIM(SUBSTITUTE(SUBSTITUTE(SUBSTITUTE($A1729,CHAR(9)," ")," "," "),CHAR(13),""))</f>
        <v/>
      </c>
      <c r="H1729" s="58">
        <f>IF($G1729="","",IF(ISNUMBER(FIND(" ",$G1729)),$G1729,IFERROR(IF((LEN(SUBSTITUTE(SUBSTITUTE($G1729,"-"," ",LEN($G1729)-LEN(SUBSTITUTE($G1729,"-",""))),"-"," ",LEN($G1729)-LEN(SUBSTITUTE($G1729,"-",""))-1))-LEN(SUBSTITUTE(SUBSTITUTE(SUBSTITUTE($G1729,"-"," ",LEN($G1729)-LEN(SUBSTITUTE($G1729,"-",""))),"-"," ",LEN($G1729)-LEN(SUBSTITUTE($G1729,"-",""))-1),".","")))=0,SUBSTITUTE(SUBSTITUTE($G1729,"-"," ",LEN($G1729)-LEN(SUBSTITUTE($G1729,"-",""))),"-"," ",LEN($G1729)-LEN(SUBSTITUTE($G1729,"-",""))-1),SUBSTITUTE(SUBSTITUTE(SUBSTITUTE($G1729,"-"," ",LEN($G1729)-LEN(SUBSTITUTE($G1729,"-",""))),"-"," ",LEN($G1729)-LEN(SUBSTITUTE($G1729,"-",""))-1),"."," ",(LEN(SUBSTITUTE(SUBSTITUTE($G1729,"-"," ",LEN($G1729)-LEN(SUBSTITUTE($G1729,"-",""))),"-"," ",LEN($G1729)-LEN(SUBSTITUTE($G1729,"-",""))-1))-LEN(SUBSTITUTE(SUBSTITUTE(SUBSTITUTE($G1729,"-"," ",LEN($G1729)-LEN(SUBSTITUTE($G1729,"-",""))),"-"," ",LEN($G1729)-LEN(SUBSTITUTE($G1729,"-",""))-1),".",""))))),$G1729)))</f>
        <v/>
      </c>
    </row>
    <row r="1730">
      <c r="A1730" s="58" t="n"/>
      <c r="B1730" s="58">
        <f>IF($H1730="","",LEFT($H1730,FIND(" ",$H1730&amp;" ")-1))</f>
        <v/>
      </c>
      <c r="C1730" s="58">
        <f>IF($H1730="","",IFERROR(MID($H1730&amp;" ",FIND("|",SUBSTITUTE($H1730&amp;" "," ","|",1))+1,FIND("|",SUBSTITUTE($H1730&amp;" "," ","|",2))-FIND("|",SUBSTITUTE($H1730&amp;" "," ","|",1))-1),""))</f>
        <v/>
      </c>
      <c r="D1730" s="58">
        <f>IF($H1730="","",IFERROR(MID($H1730&amp;" ",FIND("|",SUBSTITUTE($H1730&amp;" "," ","|",2))+1,FIND("|",SUBSTITUTE($H1730&amp;" "," ","|",3))-FIND("|",SUBSTITUTE($H1730&amp;" "," ","|",2))-1),""))</f>
        <v/>
      </c>
      <c r="E1730" s="58">
        <f>IF($H1730="","",IFERROR(MID($H1730&amp;" ",FIND("|",SUBSTITUTE($H1730&amp;" "," ","|",3))+1,FIND("|",SUBSTITUTE($H1730&amp;" "," ","|",4))-FIND("|",SUBSTITUTE($H1730&amp;" "," ","|",3))-1),""))</f>
        <v/>
      </c>
      <c r="F1730" s="59">
        <f>IF($H1730="","",IFERROR(VALUE(IFERROR(MID($H1730&amp;" ",FIND("|",SUBSTITUTE($H1730&amp;" "," ","|",4))+1,FIND("|",SUBSTITUTE($H1730&amp;" "," ","|",5))-FIND("|",SUBSTITUTE($H1730&amp;" "," ","|",4))-1),""))/86400+25569+9/24,""))</f>
        <v/>
      </c>
      <c r="G1730" s="58">
        <f>TRIM(SUBSTITUTE(SUBSTITUTE(SUBSTITUTE($A1730,CHAR(9)," ")," "," "),CHAR(13),""))</f>
        <v/>
      </c>
      <c r="H1730" s="58">
        <f>IF($G1730="","",IF(ISNUMBER(FIND(" ",$G1730)),$G1730,IFERROR(IF((LEN(SUBSTITUTE(SUBSTITUTE($G1730,"-"," ",LEN($G1730)-LEN(SUBSTITUTE($G1730,"-",""))),"-"," ",LEN($G1730)-LEN(SUBSTITUTE($G1730,"-",""))-1))-LEN(SUBSTITUTE(SUBSTITUTE(SUBSTITUTE($G1730,"-"," ",LEN($G1730)-LEN(SUBSTITUTE($G1730,"-",""))),"-"," ",LEN($G1730)-LEN(SUBSTITUTE($G1730,"-",""))-1),".","")))=0,SUBSTITUTE(SUBSTITUTE($G1730,"-"," ",LEN($G1730)-LEN(SUBSTITUTE($G1730,"-",""))),"-"," ",LEN($G1730)-LEN(SUBSTITUTE($G1730,"-",""))-1),SUBSTITUTE(SUBSTITUTE(SUBSTITUTE($G1730,"-"," ",LEN($G1730)-LEN(SUBSTITUTE($G1730,"-",""))),"-"," ",LEN($G1730)-LEN(SUBSTITUTE($G1730,"-",""))-1),"."," ",(LEN(SUBSTITUTE(SUBSTITUTE($G1730,"-"," ",LEN($G1730)-LEN(SUBSTITUTE($G1730,"-",""))),"-"," ",LEN($G1730)-LEN(SUBSTITUTE($G1730,"-",""))-1))-LEN(SUBSTITUTE(SUBSTITUTE(SUBSTITUTE($G1730,"-"," ",LEN($G1730)-LEN(SUBSTITUTE($G1730,"-",""))),"-"," ",LEN($G1730)-LEN(SUBSTITUTE($G1730,"-",""))-1),".",""))))),$G1730)))</f>
        <v/>
      </c>
    </row>
    <row r="1731">
      <c r="A1731" s="58" t="n"/>
      <c r="B1731" s="58">
        <f>IF($H1731="","",LEFT($H1731,FIND(" ",$H1731&amp;" ")-1))</f>
        <v/>
      </c>
      <c r="C1731" s="58">
        <f>IF($H1731="","",IFERROR(MID($H1731&amp;" ",FIND("|",SUBSTITUTE($H1731&amp;" "," ","|",1))+1,FIND("|",SUBSTITUTE($H1731&amp;" "," ","|",2))-FIND("|",SUBSTITUTE($H1731&amp;" "," ","|",1))-1),""))</f>
        <v/>
      </c>
      <c r="D1731" s="58">
        <f>IF($H1731="","",IFERROR(MID($H1731&amp;" ",FIND("|",SUBSTITUTE($H1731&amp;" "," ","|",2))+1,FIND("|",SUBSTITUTE($H1731&amp;" "," ","|",3))-FIND("|",SUBSTITUTE($H1731&amp;" "," ","|",2))-1),""))</f>
        <v/>
      </c>
      <c r="E1731" s="58">
        <f>IF($H1731="","",IFERROR(MID($H1731&amp;" ",FIND("|",SUBSTITUTE($H1731&amp;" "," ","|",3))+1,FIND("|",SUBSTITUTE($H1731&amp;" "," ","|",4))-FIND("|",SUBSTITUTE($H1731&amp;" "," ","|",3))-1),""))</f>
        <v/>
      </c>
      <c r="F1731" s="59">
        <f>IF($H1731="","",IFERROR(VALUE(IFERROR(MID($H1731&amp;" ",FIND("|",SUBSTITUTE($H1731&amp;" "," ","|",4))+1,FIND("|",SUBSTITUTE($H1731&amp;" "," ","|",5))-FIND("|",SUBSTITUTE($H1731&amp;" "," ","|",4))-1),""))/86400+25569+9/24,""))</f>
        <v/>
      </c>
      <c r="G1731" s="58">
        <f>TRIM(SUBSTITUTE(SUBSTITUTE(SUBSTITUTE($A1731,CHAR(9)," ")," "," "),CHAR(13),""))</f>
        <v/>
      </c>
      <c r="H1731" s="58">
        <f>IF($G1731="","",IF(ISNUMBER(FIND(" ",$G1731)),$G1731,IFERROR(IF((LEN(SUBSTITUTE(SUBSTITUTE($G1731,"-"," ",LEN($G1731)-LEN(SUBSTITUTE($G1731,"-",""))),"-"," ",LEN($G1731)-LEN(SUBSTITUTE($G1731,"-",""))-1))-LEN(SUBSTITUTE(SUBSTITUTE(SUBSTITUTE($G1731,"-"," ",LEN($G1731)-LEN(SUBSTITUTE($G1731,"-",""))),"-"," ",LEN($G1731)-LEN(SUBSTITUTE($G1731,"-",""))-1),".","")))=0,SUBSTITUTE(SUBSTITUTE($G1731,"-"," ",LEN($G1731)-LEN(SUBSTITUTE($G1731,"-",""))),"-"," ",LEN($G1731)-LEN(SUBSTITUTE($G1731,"-",""))-1),SUBSTITUTE(SUBSTITUTE(SUBSTITUTE($G1731,"-"," ",LEN($G1731)-LEN(SUBSTITUTE($G1731,"-",""))),"-"," ",LEN($G1731)-LEN(SUBSTITUTE($G1731,"-",""))-1),"."," ",(LEN(SUBSTITUTE(SUBSTITUTE($G1731,"-"," ",LEN($G1731)-LEN(SUBSTITUTE($G1731,"-",""))),"-"," ",LEN($G1731)-LEN(SUBSTITUTE($G1731,"-",""))-1))-LEN(SUBSTITUTE(SUBSTITUTE(SUBSTITUTE($G1731,"-"," ",LEN($G1731)-LEN(SUBSTITUTE($G1731,"-",""))),"-"," ",LEN($G1731)-LEN(SUBSTITUTE($G1731,"-",""))-1),".",""))))),$G1731)))</f>
        <v/>
      </c>
    </row>
    <row r="1732">
      <c r="A1732" s="58" t="n"/>
      <c r="B1732" s="58">
        <f>IF($H1732="","",LEFT($H1732,FIND(" ",$H1732&amp;" ")-1))</f>
        <v/>
      </c>
      <c r="C1732" s="58">
        <f>IF($H1732="","",IFERROR(MID($H1732&amp;" ",FIND("|",SUBSTITUTE($H1732&amp;" "," ","|",1))+1,FIND("|",SUBSTITUTE($H1732&amp;" "," ","|",2))-FIND("|",SUBSTITUTE($H1732&amp;" "," ","|",1))-1),""))</f>
        <v/>
      </c>
      <c r="D1732" s="58">
        <f>IF($H1732="","",IFERROR(MID($H1732&amp;" ",FIND("|",SUBSTITUTE($H1732&amp;" "," ","|",2))+1,FIND("|",SUBSTITUTE($H1732&amp;" "," ","|",3))-FIND("|",SUBSTITUTE($H1732&amp;" "," ","|",2))-1),""))</f>
        <v/>
      </c>
      <c r="E1732" s="58">
        <f>IF($H1732="","",IFERROR(MID($H1732&amp;" ",FIND("|",SUBSTITUTE($H1732&amp;" "," ","|",3))+1,FIND("|",SUBSTITUTE($H1732&amp;" "," ","|",4))-FIND("|",SUBSTITUTE($H1732&amp;" "," ","|",3))-1),""))</f>
        <v/>
      </c>
      <c r="F1732" s="59">
        <f>IF($H1732="","",IFERROR(VALUE(IFERROR(MID($H1732&amp;" ",FIND("|",SUBSTITUTE($H1732&amp;" "," ","|",4))+1,FIND("|",SUBSTITUTE($H1732&amp;" "," ","|",5))-FIND("|",SUBSTITUTE($H1732&amp;" "," ","|",4))-1),""))/86400+25569+9/24,""))</f>
        <v/>
      </c>
      <c r="G1732" s="58">
        <f>TRIM(SUBSTITUTE(SUBSTITUTE(SUBSTITUTE($A1732,CHAR(9)," ")," "," "),CHAR(13),""))</f>
        <v/>
      </c>
      <c r="H1732" s="58">
        <f>IF($G1732="","",IF(ISNUMBER(FIND(" ",$G1732)),$G1732,IFERROR(IF((LEN(SUBSTITUTE(SUBSTITUTE($G1732,"-"," ",LEN($G1732)-LEN(SUBSTITUTE($G1732,"-",""))),"-"," ",LEN($G1732)-LEN(SUBSTITUTE($G1732,"-",""))-1))-LEN(SUBSTITUTE(SUBSTITUTE(SUBSTITUTE($G1732,"-"," ",LEN($G1732)-LEN(SUBSTITUTE($G1732,"-",""))),"-"," ",LEN($G1732)-LEN(SUBSTITUTE($G1732,"-",""))-1),".","")))=0,SUBSTITUTE(SUBSTITUTE($G1732,"-"," ",LEN($G1732)-LEN(SUBSTITUTE($G1732,"-",""))),"-"," ",LEN($G1732)-LEN(SUBSTITUTE($G1732,"-",""))-1),SUBSTITUTE(SUBSTITUTE(SUBSTITUTE($G1732,"-"," ",LEN($G1732)-LEN(SUBSTITUTE($G1732,"-",""))),"-"," ",LEN($G1732)-LEN(SUBSTITUTE($G1732,"-",""))-1),"."," ",(LEN(SUBSTITUTE(SUBSTITUTE($G1732,"-"," ",LEN($G1732)-LEN(SUBSTITUTE($G1732,"-",""))),"-"," ",LEN($G1732)-LEN(SUBSTITUTE($G1732,"-",""))-1))-LEN(SUBSTITUTE(SUBSTITUTE(SUBSTITUTE($G1732,"-"," ",LEN($G1732)-LEN(SUBSTITUTE($G1732,"-",""))),"-"," ",LEN($G1732)-LEN(SUBSTITUTE($G1732,"-",""))-1),".",""))))),$G1732)))</f>
        <v/>
      </c>
    </row>
    <row r="1733">
      <c r="A1733" s="58" t="n"/>
      <c r="B1733" s="58">
        <f>IF($H1733="","",LEFT($H1733,FIND(" ",$H1733&amp;" ")-1))</f>
        <v/>
      </c>
      <c r="C1733" s="58">
        <f>IF($H1733="","",IFERROR(MID($H1733&amp;" ",FIND("|",SUBSTITUTE($H1733&amp;" "," ","|",1))+1,FIND("|",SUBSTITUTE($H1733&amp;" "," ","|",2))-FIND("|",SUBSTITUTE($H1733&amp;" "," ","|",1))-1),""))</f>
        <v/>
      </c>
      <c r="D1733" s="58">
        <f>IF($H1733="","",IFERROR(MID($H1733&amp;" ",FIND("|",SUBSTITUTE($H1733&amp;" "," ","|",2))+1,FIND("|",SUBSTITUTE($H1733&amp;" "," ","|",3))-FIND("|",SUBSTITUTE($H1733&amp;" "," ","|",2))-1),""))</f>
        <v/>
      </c>
      <c r="E1733" s="58">
        <f>IF($H1733="","",IFERROR(MID($H1733&amp;" ",FIND("|",SUBSTITUTE($H1733&amp;" "," ","|",3))+1,FIND("|",SUBSTITUTE($H1733&amp;" "," ","|",4))-FIND("|",SUBSTITUTE($H1733&amp;" "," ","|",3))-1),""))</f>
        <v/>
      </c>
      <c r="F1733" s="59">
        <f>IF($H1733="","",IFERROR(VALUE(IFERROR(MID($H1733&amp;" ",FIND("|",SUBSTITUTE($H1733&amp;" "," ","|",4))+1,FIND("|",SUBSTITUTE($H1733&amp;" "," ","|",5))-FIND("|",SUBSTITUTE($H1733&amp;" "," ","|",4))-1),""))/86400+25569+9/24,""))</f>
        <v/>
      </c>
      <c r="G1733" s="58">
        <f>TRIM(SUBSTITUTE(SUBSTITUTE(SUBSTITUTE($A1733,CHAR(9)," ")," "," "),CHAR(13),""))</f>
        <v/>
      </c>
      <c r="H1733" s="58">
        <f>IF($G1733="","",IF(ISNUMBER(FIND(" ",$G1733)),$G1733,IFERROR(IF((LEN(SUBSTITUTE(SUBSTITUTE($G1733,"-"," ",LEN($G1733)-LEN(SUBSTITUTE($G1733,"-",""))),"-"," ",LEN($G1733)-LEN(SUBSTITUTE($G1733,"-",""))-1))-LEN(SUBSTITUTE(SUBSTITUTE(SUBSTITUTE($G1733,"-"," ",LEN($G1733)-LEN(SUBSTITUTE($G1733,"-",""))),"-"," ",LEN($G1733)-LEN(SUBSTITUTE($G1733,"-",""))-1),".","")))=0,SUBSTITUTE(SUBSTITUTE($G1733,"-"," ",LEN($G1733)-LEN(SUBSTITUTE($G1733,"-",""))),"-"," ",LEN($G1733)-LEN(SUBSTITUTE($G1733,"-",""))-1),SUBSTITUTE(SUBSTITUTE(SUBSTITUTE($G1733,"-"," ",LEN($G1733)-LEN(SUBSTITUTE($G1733,"-",""))),"-"," ",LEN($G1733)-LEN(SUBSTITUTE($G1733,"-",""))-1),"."," ",(LEN(SUBSTITUTE(SUBSTITUTE($G1733,"-"," ",LEN($G1733)-LEN(SUBSTITUTE($G1733,"-",""))),"-"," ",LEN($G1733)-LEN(SUBSTITUTE($G1733,"-",""))-1))-LEN(SUBSTITUTE(SUBSTITUTE(SUBSTITUTE($G1733,"-"," ",LEN($G1733)-LEN(SUBSTITUTE($G1733,"-",""))),"-"," ",LEN($G1733)-LEN(SUBSTITUTE($G1733,"-",""))-1),".",""))))),$G1733)))</f>
        <v/>
      </c>
    </row>
    <row r="1734">
      <c r="A1734" s="58" t="n"/>
      <c r="B1734" s="58">
        <f>IF($H1734="","",LEFT($H1734,FIND(" ",$H1734&amp;" ")-1))</f>
        <v/>
      </c>
      <c r="C1734" s="58">
        <f>IF($H1734="","",IFERROR(MID($H1734&amp;" ",FIND("|",SUBSTITUTE($H1734&amp;" "," ","|",1))+1,FIND("|",SUBSTITUTE($H1734&amp;" "," ","|",2))-FIND("|",SUBSTITUTE($H1734&amp;" "," ","|",1))-1),""))</f>
        <v/>
      </c>
      <c r="D1734" s="58">
        <f>IF($H1734="","",IFERROR(MID($H1734&amp;" ",FIND("|",SUBSTITUTE($H1734&amp;" "," ","|",2))+1,FIND("|",SUBSTITUTE($H1734&amp;" "," ","|",3))-FIND("|",SUBSTITUTE($H1734&amp;" "," ","|",2))-1),""))</f>
        <v/>
      </c>
      <c r="E1734" s="58">
        <f>IF($H1734="","",IFERROR(MID($H1734&amp;" ",FIND("|",SUBSTITUTE($H1734&amp;" "," ","|",3))+1,FIND("|",SUBSTITUTE($H1734&amp;" "," ","|",4))-FIND("|",SUBSTITUTE($H1734&amp;" "," ","|",3))-1),""))</f>
        <v/>
      </c>
      <c r="F1734" s="59">
        <f>IF($H1734="","",IFERROR(VALUE(IFERROR(MID($H1734&amp;" ",FIND("|",SUBSTITUTE($H1734&amp;" "," ","|",4))+1,FIND("|",SUBSTITUTE($H1734&amp;" "," ","|",5))-FIND("|",SUBSTITUTE($H1734&amp;" "," ","|",4))-1),""))/86400+25569+9/24,""))</f>
        <v/>
      </c>
      <c r="G1734" s="58">
        <f>TRIM(SUBSTITUTE(SUBSTITUTE(SUBSTITUTE($A1734,CHAR(9)," ")," "," "),CHAR(13),""))</f>
        <v/>
      </c>
      <c r="H1734" s="58">
        <f>IF($G1734="","",IF(ISNUMBER(FIND(" ",$G1734)),$G1734,IFERROR(IF((LEN(SUBSTITUTE(SUBSTITUTE($G1734,"-"," ",LEN($G1734)-LEN(SUBSTITUTE($G1734,"-",""))),"-"," ",LEN($G1734)-LEN(SUBSTITUTE($G1734,"-",""))-1))-LEN(SUBSTITUTE(SUBSTITUTE(SUBSTITUTE($G1734,"-"," ",LEN($G1734)-LEN(SUBSTITUTE($G1734,"-",""))),"-"," ",LEN($G1734)-LEN(SUBSTITUTE($G1734,"-",""))-1),".","")))=0,SUBSTITUTE(SUBSTITUTE($G1734,"-"," ",LEN($G1734)-LEN(SUBSTITUTE($G1734,"-",""))),"-"," ",LEN($G1734)-LEN(SUBSTITUTE($G1734,"-",""))-1),SUBSTITUTE(SUBSTITUTE(SUBSTITUTE($G1734,"-"," ",LEN($G1734)-LEN(SUBSTITUTE($G1734,"-",""))),"-"," ",LEN($G1734)-LEN(SUBSTITUTE($G1734,"-",""))-1),"."," ",(LEN(SUBSTITUTE(SUBSTITUTE($G1734,"-"," ",LEN($G1734)-LEN(SUBSTITUTE($G1734,"-",""))),"-"," ",LEN($G1734)-LEN(SUBSTITUTE($G1734,"-",""))-1))-LEN(SUBSTITUTE(SUBSTITUTE(SUBSTITUTE($G1734,"-"," ",LEN($G1734)-LEN(SUBSTITUTE($G1734,"-",""))),"-"," ",LEN($G1734)-LEN(SUBSTITUTE($G1734,"-",""))-1),".",""))))),$G1734)))</f>
        <v/>
      </c>
    </row>
    <row r="1735">
      <c r="A1735" s="58" t="n"/>
      <c r="B1735" s="58">
        <f>IF($H1735="","",LEFT($H1735,FIND(" ",$H1735&amp;" ")-1))</f>
        <v/>
      </c>
      <c r="C1735" s="58">
        <f>IF($H1735="","",IFERROR(MID($H1735&amp;" ",FIND("|",SUBSTITUTE($H1735&amp;" "," ","|",1))+1,FIND("|",SUBSTITUTE($H1735&amp;" "," ","|",2))-FIND("|",SUBSTITUTE($H1735&amp;" "," ","|",1))-1),""))</f>
        <v/>
      </c>
      <c r="D1735" s="58">
        <f>IF($H1735="","",IFERROR(MID($H1735&amp;" ",FIND("|",SUBSTITUTE($H1735&amp;" "," ","|",2))+1,FIND("|",SUBSTITUTE($H1735&amp;" "," ","|",3))-FIND("|",SUBSTITUTE($H1735&amp;" "," ","|",2))-1),""))</f>
        <v/>
      </c>
      <c r="E1735" s="58">
        <f>IF($H1735="","",IFERROR(MID($H1735&amp;" ",FIND("|",SUBSTITUTE($H1735&amp;" "," ","|",3))+1,FIND("|",SUBSTITUTE($H1735&amp;" "," ","|",4))-FIND("|",SUBSTITUTE($H1735&amp;" "," ","|",3))-1),""))</f>
        <v/>
      </c>
      <c r="F1735" s="59">
        <f>IF($H1735="","",IFERROR(VALUE(IFERROR(MID($H1735&amp;" ",FIND("|",SUBSTITUTE($H1735&amp;" "," ","|",4))+1,FIND("|",SUBSTITUTE($H1735&amp;" "," ","|",5))-FIND("|",SUBSTITUTE($H1735&amp;" "," ","|",4))-1),""))/86400+25569+9/24,""))</f>
        <v/>
      </c>
      <c r="G1735" s="58">
        <f>TRIM(SUBSTITUTE(SUBSTITUTE(SUBSTITUTE($A1735,CHAR(9)," ")," "," "),CHAR(13),""))</f>
        <v/>
      </c>
      <c r="H1735" s="58">
        <f>IF($G1735="","",IF(ISNUMBER(FIND(" ",$G1735)),$G1735,IFERROR(IF((LEN(SUBSTITUTE(SUBSTITUTE($G1735,"-"," ",LEN($G1735)-LEN(SUBSTITUTE($G1735,"-",""))),"-"," ",LEN($G1735)-LEN(SUBSTITUTE($G1735,"-",""))-1))-LEN(SUBSTITUTE(SUBSTITUTE(SUBSTITUTE($G1735,"-"," ",LEN($G1735)-LEN(SUBSTITUTE($G1735,"-",""))),"-"," ",LEN($G1735)-LEN(SUBSTITUTE($G1735,"-",""))-1),".","")))=0,SUBSTITUTE(SUBSTITUTE($G1735,"-"," ",LEN($G1735)-LEN(SUBSTITUTE($G1735,"-",""))),"-"," ",LEN($G1735)-LEN(SUBSTITUTE($G1735,"-",""))-1),SUBSTITUTE(SUBSTITUTE(SUBSTITUTE($G1735,"-"," ",LEN($G1735)-LEN(SUBSTITUTE($G1735,"-",""))),"-"," ",LEN($G1735)-LEN(SUBSTITUTE($G1735,"-",""))-1),"."," ",(LEN(SUBSTITUTE(SUBSTITUTE($G1735,"-"," ",LEN($G1735)-LEN(SUBSTITUTE($G1735,"-",""))),"-"," ",LEN($G1735)-LEN(SUBSTITUTE($G1735,"-",""))-1))-LEN(SUBSTITUTE(SUBSTITUTE(SUBSTITUTE($G1735,"-"," ",LEN($G1735)-LEN(SUBSTITUTE($G1735,"-",""))),"-"," ",LEN($G1735)-LEN(SUBSTITUTE($G1735,"-",""))-1),".",""))))),$G1735)))</f>
        <v/>
      </c>
    </row>
    <row r="1736">
      <c r="A1736" s="58" t="n"/>
      <c r="B1736" s="58">
        <f>IF($H1736="","",LEFT($H1736,FIND(" ",$H1736&amp;" ")-1))</f>
        <v/>
      </c>
      <c r="C1736" s="58">
        <f>IF($H1736="","",IFERROR(MID($H1736&amp;" ",FIND("|",SUBSTITUTE($H1736&amp;" "," ","|",1))+1,FIND("|",SUBSTITUTE($H1736&amp;" "," ","|",2))-FIND("|",SUBSTITUTE($H1736&amp;" "," ","|",1))-1),""))</f>
        <v/>
      </c>
      <c r="D1736" s="58">
        <f>IF($H1736="","",IFERROR(MID($H1736&amp;" ",FIND("|",SUBSTITUTE($H1736&amp;" "," ","|",2))+1,FIND("|",SUBSTITUTE($H1736&amp;" "," ","|",3))-FIND("|",SUBSTITUTE($H1736&amp;" "," ","|",2))-1),""))</f>
        <v/>
      </c>
      <c r="E1736" s="58">
        <f>IF($H1736="","",IFERROR(MID($H1736&amp;" ",FIND("|",SUBSTITUTE($H1736&amp;" "," ","|",3))+1,FIND("|",SUBSTITUTE($H1736&amp;" "," ","|",4))-FIND("|",SUBSTITUTE($H1736&amp;" "," ","|",3))-1),""))</f>
        <v/>
      </c>
      <c r="F1736" s="59">
        <f>IF($H1736="","",IFERROR(VALUE(IFERROR(MID($H1736&amp;" ",FIND("|",SUBSTITUTE($H1736&amp;" "," ","|",4))+1,FIND("|",SUBSTITUTE($H1736&amp;" "," ","|",5))-FIND("|",SUBSTITUTE($H1736&amp;" "," ","|",4))-1),""))/86400+25569+9/24,""))</f>
        <v/>
      </c>
      <c r="G1736" s="58">
        <f>TRIM(SUBSTITUTE(SUBSTITUTE(SUBSTITUTE($A1736,CHAR(9)," ")," "," "),CHAR(13),""))</f>
        <v/>
      </c>
      <c r="H1736" s="58">
        <f>IF($G1736="","",IF(ISNUMBER(FIND(" ",$G1736)),$G1736,IFERROR(IF((LEN(SUBSTITUTE(SUBSTITUTE($G1736,"-"," ",LEN($G1736)-LEN(SUBSTITUTE($G1736,"-",""))),"-"," ",LEN($G1736)-LEN(SUBSTITUTE($G1736,"-",""))-1))-LEN(SUBSTITUTE(SUBSTITUTE(SUBSTITUTE($G1736,"-"," ",LEN($G1736)-LEN(SUBSTITUTE($G1736,"-",""))),"-"," ",LEN($G1736)-LEN(SUBSTITUTE($G1736,"-",""))-1),".","")))=0,SUBSTITUTE(SUBSTITUTE($G1736,"-"," ",LEN($G1736)-LEN(SUBSTITUTE($G1736,"-",""))),"-"," ",LEN($G1736)-LEN(SUBSTITUTE($G1736,"-",""))-1),SUBSTITUTE(SUBSTITUTE(SUBSTITUTE($G1736,"-"," ",LEN($G1736)-LEN(SUBSTITUTE($G1736,"-",""))),"-"," ",LEN($G1736)-LEN(SUBSTITUTE($G1736,"-",""))-1),"."," ",(LEN(SUBSTITUTE(SUBSTITUTE($G1736,"-"," ",LEN($G1736)-LEN(SUBSTITUTE($G1736,"-",""))),"-"," ",LEN($G1736)-LEN(SUBSTITUTE($G1736,"-",""))-1))-LEN(SUBSTITUTE(SUBSTITUTE(SUBSTITUTE($G1736,"-"," ",LEN($G1736)-LEN(SUBSTITUTE($G1736,"-",""))),"-"," ",LEN($G1736)-LEN(SUBSTITUTE($G1736,"-",""))-1),".",""))))),$G1736)))</f>
        <v/>
      </c>
    </row>
    <row r="1737">
      <c r="A1737" s="58" t="n"/>
      <c r="B1737" s="58">
        <f>IF($H1737="","",LEFT($H1737,FIND(" ",$H1737&amp;" ")-1))</f>
        <v/>
      </c>
      <c r="C1737" s="58">
        <f>IF($H1737="","",IFERROR(MID($H1737&amp;" ",FIND("|",SUBSTITUTE($H1737&amp;" "," ","|",1))+1,FIND("|",SUBSTITUTE($H1737&amp;" "," ","|",2))-FIND("|",SUBSTITUTE($H1737&amp;" "," ","|",1))-1),""))</f>
        <v/>
      </c>
      <c r="D1737" s="58">
        <f>IF($H1737="","",IFERROR(MID($H1737&amp;" ",FIND("|",SUBSTITUTE($H1737&amp;" "," ","|",2))+1,FIND("|",SUBSTITUTE($H1737&amp;" "," ","|",3))-FIND("|",SUBSTITUTE($H1737&amp;" "," ","|",2))-1),""))</f>
        <v/>
      </c>
      <c r="E1737" s="58">
        <f>IF($H1737="","",IFERROR(MID($H1737&amp;" ",FIND("|",SUBSTITUTE($H1737&amp;" "," ","|",3))+1,FIND("|",SUBSTITUTE($H1737&amp;" "," ","|",4))-FIND("|",SUBSTITUTE($H1737&amp;" "," ","|",3))-1),""))</f>
        <v/>
      </c>
      <c r="F1737" s="59">
        <f>IF($H1737="","",IFERROR(VALUE(IFERROR(MID($H1737&amp;" ",FIND("|",SUBSTITUTE($H1737&amp;" "," ","|",4))+1,FIND("|",SUBSTITUTE($H1737&amp;" "," ","|",5))-FIND("|",SUBSTITUTE($H1737&amp;" "," ","|",4))-1),""))/86400+25569+9/24,""))</f>
        <v/>
      </c>
      <c r="G1737" s="58">
        <f>TRIM(SUBSTITUTE(SUBSTITUTE(SUBSTITUTE($A1737,CHAR(9)," ")," "," "),CHAR(13),""))</f>
        <v/>
      </c>
      <c r="H1737" s="58">
        <f>IF($G1737="","",IF(ISNUMBER(FIND(" ",$G1737)),$G1737,IFERROR(IF((LEN(SUBSTITUTE(SUBSTITUTE($G1737,"-"," ",LEN($G1737)-LEN(SUBSTITUTE($G1737,"-",""))),"-"," ",LEN($G1737)-LEN(SUBSTITUTE($G1737,"-",""))-1))-LEN(SUBSTITUTE(SUBSTITUTE(SUBSTITUTE($G1737,"-"," ",LEN($G1737)-LEN(SUBSTITUTE($G1737,"-",""))),"-"," ",LEN($G1737)-LEN(SUBSTITUTE($G1737,"-",""))-1),".","")))=0,SUBSTITUTE(SUBSTITUTE($G1737,"-"," ",LEN($G1737)-LEN(SUBSTITUTE($G1737,"-",""))),"-"," ",LEN($G1737)-LEN(SUBSTITUTE($G1737,"-",""))-1),SUBSTITUTE(SUBSTITUTE(SUBSTITUTE($G1737,"-"," ",LEN($G1737)-LEN(SUBSTITUTE($G1737,"-",""))),"-"," ",LEN($G1737)-LEN(SUBSTITUTE($G1737,"-",""))-1),"."," ",(LEN(SUBSTITUTE(SUBSTITUTE($G1737,"-"," ",LEN($G1737)-LEN(SUBSTITUTE($G1737,"-",""))),"-"," ",LEN($G1737)-LEN(SUBSTITUTE($G1737,"-",""))-1))-LEN(SUBSTITUTE(SUBSTITUTE(SUBSTITUTE($G1737,"-"," ",LEN($G1737)-LEN(SUBSTITUTE($G1737,"-",""))),"-"," ",LEN($G1737)-LEN(SUBSTITUTE($G1737,"-",""))-1),".",""))))),$G1737)))</f>
        <v/>
      </c>
    </row>
    <row r="1738">
      <c r="A1738" s="58" t="n"/>
      <c r="B1738" s="58">
        <f>IF($H1738="","",LEFT($H1738,FIND(" ",$H1738&amp;" ")-1))</f>
        <v/>
      </c>
      <c r="C1738" s="58">
        <f>IF($H1738="","",IFERROR(MID($H1738&amp;" ",FIND("|",SUBSTITUTE($H1738&amp;" "," ","|",1))+1,FIND("|",SUBSTITUTE($H1738&amp;" "," ","|",2))-FIND("|",SUBSTITUTE($H1738&amp;" "," ","|",1))-1),""))</f>
        <v/>
      </c>
      <c r="D1738" s="58">
        <f>IF($H1738="","",IFERROR(MID($H1738&amp;" ",FIND("|",SUBSTITUTE($H1738&amp;" "," ","|",2))+1,FIND("|",SUBSTITUTE($H1738&amp;" "," ","|",3))-FIND("|",SUBSTITUTE($H1738&amp;" "," ","|",2))-1),""))</f>
        <v/>
      </c>
      <c r="E1738" s="58">
        <f>IF($H1738="","",IFERROR(MID($H1738&amp;" ",FIND("|",SUBSTITUTE($H1738&amp;" "," ","|",3))+1,FIND("|",SUBSTITUTE($H1738&amp;" "," ","|",4))-FIND("|",SUBSTITUTE($H1738&amp;" "," ","|",3))-1),""))</f>
        <v/>
      </c>
      <c r="F1738" s="59">
        <f>IF($H1738="","",IFERROR(VALUE(IFERROR(MID($H1738&amp;" ",FIND("|",SUBSTITUTE($H1738&amp;" "," ","|",4))+1,FIND("|",SUBSTITUTE($H1738&amp;" "," ","|",5))-FIND("|",SUBSTITUTE($H1738&amp;" "," ","|",4))-1),""))/86400+25569+9/24,""))</f>
        <v/>
      </c>
      <c r="G1738" s="58">
        <f>TRIM(SUBSTITUTE(SUBSTITUTE(SUBSTITUTE($A1738,CHAR(9)," ")," "," "),CHAR(13),""))</f>
        <v/>
      </c>
      <c r="H1738" s="58">
        <f>IF($G1738="","",IF(ISNUMBER(FIND(" ",$G1738)),$G1738,IFERROR(IF((LEN(SUBSTITUTE(SUBSTITUTE($G1738,"-"," ",LEN($G1738)-LEN(SUBSTITUTE($G1738,"-",""))),"-"," ",LEN($G1738)-LEN(SUBSTITUTE($G1738,"-",""))-1))-LEN(SUBSTITUTE(SUBSTITUTE(SUBSTITUTE($G1738,"-"," ",LEN($G1738)-LEN(SUBSTITUTE($G1738,"-",""))),"-"," ",LEN($G1738)-LEN(SUBSTITUTE($G1738,"-",""))-1),".","")))=0,SUBSTITUTE(SUBSTITUTE($G1738,"-"," ",LEN($G1738)-LEN(SUBSTITUTE($G1738,"-",""))),"-"," ",LEN($G1738)-LEN(SUBSTITUTE($G1738,"-",""))-1),SUBSTITUTE(SUBSTITUTE(SUBSTITUTE($G1738,"-"," ",LEN($G1738)-LEN(SUBSTITUTE($G1738,"-",""))),"-"," ",LEN($G1738)-LEN(SUBSTITUTE($G1738,"-",""))-1),"."," ",(LEN(SUBSTITUTE(SUBSTITUTE($G1738,"-"," ",LEN($G1738)-LEN(SUBSTITUTE($G1738,"-",""))),"-"," ",LEN($G1738)-LEN(SUBSTITUTE($G1738,"-",""))-1))-LEN(SUBSTITUTE(SUBSTITUTE(SUBSTITUTE($G1738,"-"," ",LEN($G1738)-LEN(SUBSTITUTE($G1738,"-",""))),"-"," ",LEN($G1738)-LEN(SUBSTITUTE($G1738,"-",""))-1),".",""))))),$G1738)))</f>
        <v/>
      </c>
    </row>
    <row r="1739">
      <c r="A1739" s="58" t="n"/>
      <c r="B1739" s="58">
        <f>IF($H1739="","",LEFT($H1739,FIND(" ",$H1739&amp;" ")-1))</f>
        <v/>
      </c>
      <c r="C1739" s="58">
        <f>IF($H1739="","",IFERROR(MID($H1739&amp;" ",FIND("|",SUBSTITUTE($H1739&amp;" "," ","|",1))+1,FIND("|",SUBSTITUTE($H1739&amp;" "," ","|",2))-FIND("|",SUBSTITUTE($H1739&amp;" "," ","|",1))-1),""))</f>
        <v/>
      </c>
      <c r="D1739" s="58">
        <f>IF($H1739="","",IFERROR(MID($H1739&amp;" ",FIND("|",SUBSTITUTE($H1739&amp;" "," ","|",2))+1,FIND("|",SUBSTITUTE($H1739&amp;" "," ","|",3))-FIND("|",SUBSTITUTE($H1739&amp;" "," ","|",2))-1),""))</f>
        <v/>
      </c>
      <c r="E1739" s="58">
        <f>IF($H1739="","",IFERROR(MID($H1739&amp;" ",FIND("|",SUBSTITUTE($H1739&amp;" "," ","|",3))+1,FIND("|",SUBSTITUTE($H1739&amp;" "," ","|",4))-FIND("|",SUBSTITUTE($H1739&amp;" "," ","|",3))-1),""))</f>
        <v/>
      </c>
      <c r="F1739" s="59">
        <f>IF($H1739="","",IFERROR(VALUE(IFERROR(MID($H1739&amp;" ",FIND("|",SUBSTITUTE($H1739&amp;" "," ","|",4))+1,FIND("|",SUBSTITUTE($H1739&amp;" "," ","|",5))-FIND("|",SUBSTITUTE($H1739&amp;" "," ","|",4))-1),""))/86400+25569+9/24,""))</f>
        <v/>
      </c>
      <c r="G1739" s="58">
        <f>TRIM(SUBSTITUTE(SUBSTITUTE(SUBSTITUTE($A1739,CHAR(9)," ")," "," "),CHAR(13),""))</f>
        <v/>
      </c>
      <c r="H1739" s="58">
        <f>IF($G1739="","",IF(ISNUMBER(FIND(" ",$G1739)),$G1739,IFERROR(IF((LEN(SUBSTITUTE(SUBSTITUTE($G1739,"-"," ",LEN($G1739)-LEN(SUBSTITUTE($G1739,"-",""))),"-"," ",LEN($G1739)-LEN(SUBSTITUTE($G1739,"-",""))-1))-LEN(SUBSTITUTE(SUBSTITUTE(SUBSTITUTE($G1739,"-"," ",LEN($G1739)-LEN(SUBSTITUTE($G1739,"-",""))),"-"," ",LEN($G1739)-LEN(SUBSTITUTE($G1739,"-",""))-1),".","")))=0,SUBSTITUTE(SUBSTITUTE($G1739,"-"," ",LEN($G1739)-LEN(SUBSTITUTE($G1739,"-",""))),"-"," ",LEN($G1739)-LEN(SUBSTITUTE($G1739,"-",""))-1),SUBSTITUTE(SUBSTITUTE(SUBSTITUTE($G1739,"-"," ",LEN($G1739)-LEN(SUBSTITUTE($G1739,"-",""))),"-"," ",LEN($G1739)-LEN(SUBSTITUTE($G1739,"-",""))-1),"."," ",(LEN(SUBSTITUTE(SUBSTITUTE($G1739,"-"," ",LEN($G1739)-LEN(SUBSTITUTE($G1739,"-",""))),"-"," ",LEN($G1739)-LEN(SUBSTITUTE($G1739,"-",""))-1))-LEN(SUBSTITUTE(SUBSTITUTE(SUBSTITUTE($G1739,"-"," ",LEN($G1739)-LEN(SUBSTITUTE($G1739,"-",""))),"-"," ",LEN($G1739)-LEN(SUBSTITUTE($G1739,"-",""))-1),".",""))))),$G1739)))</f>
        <v/>
      </c>
    </row>
    <row r="1740">
      <c r="A1740" s="58" t="n"/>
      <c r="B1740" s="58">
        <f>IF($H1740="","",LEFT($H1740,FIND(" ",$H1740&amp;" ")-1))</f>
        <v/>
      </c>
      <c r="C1740" s="58">
        <f>IF($H1740="","",IFERROR(MID($H1740&amp;" ",FIND("|",SUBSTITUTE($H1740&amp;" "," ","|",1))+1,FIND("|",SUBSTITUTE($H1740&amp;" "," ","|",2))-FIND("|",SUBSTITUTE($H1740&amp;" "," ","|",1))-1),""))</f>
        <v/>
      </c>
      <c r="D1740" s="58">
        <f>IF($H1740="","",IFERROR(MID($H1740&amp;" ",FIND("|",SUBSTITUTE($H1740&amp;" "," ","|",2))+1,FIND("|",SUBSTITUTE($H1740&amp;" "," ","|",3))-FIND("|",SUBSTITUTE($H1740&amp;" "," ","|",2))-1),""))</f>
        <v/>
      </c>
      <c r="E1740" s="58">
        <f>IF($H1740="","",IFERROR(MID($H1740&amp;" ",FIND("|",SUBSTITUTE($H1740&amp;" "," ","|",3))+1,FIND("|",SUBSTITUTE($H1740&amp;" "," ","|",4))-FIND("|",SUBSTITUTE($H1740&amp;" "," ","|",3))-1),""))</f>
        <v/>
      </c>
      <c r="F1740" s="59">
        <f>IF($H1740="","",IFERROR(VALUE(IFERROR(MID($H1740&amp;" ",FIND("|",SUBSTITUTE($H1740&amp;" "," ","|",4))+1,FIND("|",SUBSTITUTE($H1740&amp;" "," ","|",5))-FIND("|",SUBSTITUTE($H1740&amp;" "," ","|",4))-1),""))/86400+25569+9/24,""))</f>
        <v/>
      </c>
      <c r="G1740" s="58">
        <f>TRIM(SUBSTITUTE(SUBSTITUTE(SUBSTITUTE($A1740,CHAR(9)," ")," "," "),CHAR(13),""))</f>
        <v/>
      </c>
      <c r="H1740" s="58">
        <f>IF($G1740="","",IF(ISNUMBER(FIND(" ",$G1740)),$G1740,IFERROR(IF((LEN(SUBSTITUTE(SUBSTITUTE($G1740,"-"," ",LEN($G1740)-LEN(SUBSTITUTE($G1740,"-",""))),"-"," ",LEN($G1740)-LEN(SUBSTITUTE($G1740,"-",""))-1))-LEN(SUBSTITUTE(SUBSTITUTE(SUBSTITUTE($G1740,"-"," ",LEN($G1740)-LEN(SUBSTITUTE($G1740,"-",""))),"-"," ",LEN($G1740)-LEN(SUBSTITUTE($G1740,"-",""))-1),".","")))=0,SUBSTITUTE(SUBSTITUTE($G1740,"-"," ",LEN($G1740)-LEN(SUBSTITUTE($G1740,"-",""))),"-"," ",LEN($G1740)-LEN(SUBSTITUTE($G1740,"-",""))-1),SUBSTITUTE(SUBSTITUTE(SUBSTITUTE($G1740,"-"," ",LEN($G1740)-LEN(SUBSTITUTE($G1740,"-",""))),"-"," ",LEN($G1740)-LEN(SUBSTITUTE($G1740,"-",""))-1),"."," ",(LEN(SUBSTITUTE(SUBSTITUTE($G1740,"-"," ",LEN($G1740)-LEN(SUBSTITUTE($G1740,"-",""))),"-"," ",LEN($G1740)-LEN(SUBSTITUTE($G1740,"-",""))-1))-LEN(SUBSTITUTE(SUBSTITUTE(SUBSTITUTE($G1740,"-"," ",LEN($G1740)-LEN(SUBSTITUTE($G1740,"-",""))),"-"," ",LEN($G1740)-LEN(SUBSTITUTE($G1740,"-",""))-1),".",""))))),$G1740)))</f>
        <v/>
      </c>
    </row>
    <row r="1741">
      <c r="A1741" s="58" t="n"/>
      <c r="B1741" s="58">
        <f>IF($H1741="","",LEFT($H1741,FIND(" ",$H1741&amp;" ")-1))</f>
        <v/>
      </c>
      <c r="C1741" s="58">
        <f>IF($H1741="","",IFERROR(MID($H1741&amp;" ",FIND("|",SUBSTITUTE($H1741&amp;" "," ","|",1))+1,FIND("|",SUBSTITUTE($H1741&amp;" "," ","|",2))-FIND("|",SUBSTITUTE($H1741&amp;" "," ","|",1))-1),""))</f>
        <v/>
      </c>
      <c r="D1741" s="58">
        <f>IF($H1741="","",IFERROR(MID($H1741&amp;" ",FIND("|",SUBSTITUTE($H1741&amp;" "," ","|",2))+1,FIND("|",SUBSTITUTE($H1741&amp;" "," ","|",3))-FIND("|",SUBSTITUTE($H1741&amp;" "," ","|",2))-1),""))</f>
        <v/>
      </c>
      <c r="E1741" s="58">
        <f>IF($H1741="","",IFERROR(MID($H1741&amp;" ",FIND("|",SUBSTITUTE($H1741&amp;" "," ","|",3))+1,FIND("|",SUBSTITUTE($H1741&amp;" "," ","|",4))-FIND("|",SUBSTITUTE($H1741&amp;" "," ","|",3))-1),""))</f>
        <v/>
      </c>
      <c r="F1741" s="59">
        <f>IF($H1741="","",IFERROR(VALUE(IFERROR(MID($H1741&amp;" ",FIND("|",SUBSTITUTE($H1741&amp;" "," ","|",4))+1,FIND("|",SUBSTITUTE($H1741&amp;" "," ","|",5))-FIND("|",SUBSTITUTE($H1741&amp;" "," ","|",4))-1),""))/86400+25569+9/24,""))</f>
        <v/>
      </c>
      <c r="G1741" s="58">
        <f>TRIM(SUBSTITUTE(SUBSTITUTE(SUBSTITUTE($A1741,CHAR(9)," ")," "," "),CHAR(13),""))</f>
        <v/>
      </c>
      <c r="H1741" s="58">
        <f>IF($G1741="","",IF(ISNUMBER(FIND(" ",$G1741)),$G1741,IFERROR(IF((LEN(SUBSTITUTE(SUBSTITUTE($G1741,"-"," ",LEN($G1741)-LEN(SUBSTITUTE($G1741,"-",""))),"-"," ",LEN($G1741)-LEN(SUBSTITUTE($G1741,"-",""))-1))-LEN(SUBSTITUTE(SUBSTITUTE(SUBSTITUTE($G1741,"-"," ",LEN($G1741)-LEN(SUBSTITUTE($G1741,"-",""))),"-"," ",LEN($G1741)-LEN(SUBSTITUTE($G1741,"-",""))-1),".","")))=0,SUBSTITUTE(SUBSTITUTE($G1741,"-"," ",LEN($G1741)-LEN(SUBSTITUTE($G1741,"-",""))),"-"," ",LEN($G1741)-LEN(SUBSTITUTE($G1741,"-",""))-1),SUBSTITUTE(SUBSTITUTE(SUBSTITUTE($G1741,"-"," ",LEN($G1741)-LEN(SUBSTITUTE($G1741,"-",""))),"-"," ",LEN($G1741)-LEN(SUBSTITUTE($G1741,"-",""))-1),"."," ",(LEN(SUBSTITUTE(SUBSTITUTE($G1741,"-"," ",LEN($G1741)-LEN(SUBSTITUTE($G1741,"-",""))),"-"," ",LEN($G1741)-LEN(SUBSTITUTE($G1741,"-",""))-1))-LEN(SUBSTITUTE(SUBSTITUTE(SUBSTITUTE($G1741,"-"," ",LEN($G1741)-LEN(SUBSTITUTE($G1741,"-",""))),"-"," ",LEN($G1741)-LEN(SUBSTITUTE($G1741,"-",""))-1),".",""))))),$G1741)))</f>
        <v/>
      </c>
    </row>
    <row r="1742">
      <c r="A1742" s="58" t="n"/>
      <c r="B1742" s="58">
        <f>IF($H1742="","",LEFT($H1742,FIND(" ",$H1742&amp;" ")-1))</f>
        <v/>
      </c>
      <c r="C1742" s="58">
        <f>IF($H1742="","",IFERROR(MID($H1742&amp;" ",FIND("|",SUBSTITUTE($H1742&amp;" "," ","|",1))+1,FIND("|",SUBSTITUTE($H1742&amp;" "," ","|",2))-FIND("|",SUBSTITUTE($H1742&amp;" "," ","|",1))-1),""))</f>
        <v/>
      </c>
      <c r="D1742" s="58">
        <f>IF($H1742="","",IFERROR(MID($H1742&amp;" ",FIND("|",SUBSTITUTE($H1742&amp;" "," ","|",2))+1,FIND("|",SUBSTITUTE($H1742&amp;" "," ","|",3))-FIND("|",SUBSTITUTE($H1742&amp;" "," ","|",2))-1),""))</f>
        <v/>
      </c>
      <c r="E1742" s="58">
        <f>IF($H1742="","",IFERROR(MID($H1742&amp;" ",FIND("|",SUBSTITUTE($H1742&amp;" "," ","|",3))+1,FIND("|",SUBSTITUTE($H1742&amp;" "," ","|",4))-FIND("|",SUBSTITUTE($H1742&amp;" "," ","|",3))-1),""))</f>
        <v/>
      </c>
      <c r="F1742" s="59">
        <f>IF($H1742="","",IFERROR(VALUE(IFERROR(MID($H1742&amp;" ",FIND("|",SUBSTITUTE($H1742&amp;" "," ","|",4))+1,FIND("|",SUBSTITUTE($H1742&amp;" "," ","|",5))-FIND("|",SUBSTITUTE($H1742&amp;" "," ","|",4))-1),""))/86400+25569+9/24,""))</f>
        <v/>
      </c>
      <c r="G1742" s="58">
        <f>TRIM(SUBSTITUTE(SUBSTITUTE(SUBSTITUTE($A1742,CHAR(9)," ")," "," "),CHAR(13),""))</f>
        <v/>
      </c>
      <c r="H1742" s="58">
        <f>IF($G1742="","",IF(ISNUMBER(FIND(" ",$G1742)),$G1742,IFERROR(IF((LEN(SUBSTITUTE(SUBSTITUTE($G1742,"-"," ",LEN($G1742)-LEN(SUBSTITUTE($G1742,"-",""))),"-"," ",LEN($G1742)-LEN(SUBSTITUTE($G1742,"-",""))-1))-LEN(SUBSTITUTE(SUBSTITUTE(SUBSTITUTE($G1742,"-"," ",LEN($G1742)-LEN(SUBSTITUTE($G1742,"-",""))),"-"," ",LEN($G1742)-LEN(SUBSTITUTE($G1742,"-",""))-1),".","")))=0,SUBSTITUTE(SUBSTITUTE($G1742,"-"," ",LEN($G1742)-LEN(SUBSTITUTE($G1742,"-",""))),"-"," ",LEN($G1742)-LEN(SUBSTITUTE($G1742,"-",""))-1),SUBSTITUTE(SUBSTITUTE(SUBSTITUTE($G1742,"-"," ",LEN($G1742)-LEN(SUBSTITUTE($G1742,"-",""))),"-"," ",LEN($G1742)-LEN(SUBSTITUTE($G1742,"-",""))-1),"."," ",(LEN(SUBSTITUTE(SUBSTITUTE($G1742,"-"," ",LEN($G1742)-LEN(SUBSTITUTE($G1742,"-",""))),"-"," ",LEN($G1742)-LEN(SUBSTITUTE($G1742,"-",""))-1))-LEN(SUBSTITUTE(SUBSTITUTE(SUBSTITUTE($G1742,"-"," ",LEN($G1742)-LEN(SUBSTITUTE($G1742,"-",""))),"-"," ",LEN($G1742)-LEN(SUBSTITUTE($G1742,"-",""))-1),".",""))))),$G1742)))</f>
        <v/>
      </c>
    </row>
    <row r="1743">
      <c r="A1743" s="58" t="n"/>
      <c r="B1743" s="58">
        <f>IF($H1743="","",LEFT($H1743,FIND(" ",$H1743&amp;" ")-1))</f>
        <v/>
      </c>
      <c r="C1743" s="58">
        <f>IF($H1743="","",IFERROR(MID($H1743&amp;" ",FIND("|",SUBSTITUTE($H1743&amp;" "," ","|",1))+1,FIND("|",SUBSTITUTE($H1743&amp;" "," ","|",2))-FIND("|",SUBSTITUTE($H1743&amp;" "," ","|",1))-1),""))</f>
        <v/>
      </c>
      <c r="D1743" s="58">
        <f>IF($H1743="","",IFERROR(MID($H1743&amp;" ",FIND("|",SUBSTITUTE($H1743&amp;" "," ","|",2))+1,FIND("|",SUBSTITUTE($H1743&amp;" "," ","|",3))-FIND("|",SUBSTITUTE($H1743&amp;" "," ","|",2))-1),""))</f>
        <v/>
      </c>
      <c r="E1743" s="58">
        <f>IF($H1743="","",IFERROR(MID($H1743&amp;" ",FIND("|",SUBSTITUTE($H1743&amp;" "," ","|",3))+1,FIND("|",SUBSTITUTE($H1743&amp;" "," ","|",4))-FIND("|",SUBSTITUTE($H1743&amp;" "," ","|",3))-1),""))</f>
        <v/>
      </c>
      <c r="F1743" s="59">
        <f>IF($H1743="","",IFERROR(VALUE(IFERROR(MID($H1743&amp;" ",FIND("|",SUBSTITUTE($H1743&amp;" "," ","|",4))+1,FIND("|",SUBSTITUTE($H1743&amp;" "," ","|",5))-FIND("|",SUBSTITUTE($H1743&amp;" "," ","|",4))-1),""))/86400+25569+9/24,""))</f>
        <v/>
      </c>
      <c r="G1743" s="58">
        <f>TRIM(SUBSTITUTE(SUBSTITUTE(SUBSTITUTE($A1743,CHAR(9)," ")," "," "),CHAR(13),""))</f>
        <v/>
      </c>
      <c r="H1743" s="58">
        <f>IF($G1743="","",IF(ISNUMBER(FIND(" ",$G1743)),$G1743,IFERROR(IF((LEN(SUBSTITUTE(SUBSTITUTE($G1743,"-"," ",LEN($G1743)-LEN(SUBSTITUTE($G1743,"-",""))),"-"," ",LEN($G1743)-LEN(SUBSTITUTE($G1743,"-",""))-1))-LEN(SUBSTITUTE(SUBSTITUTE(SUBSTITUTE($G1743,"-"," ",LEN($G1743)-LEN(SUBSTITUTE($G1743,"-",""))),"-"," ",LEN($G1743)-LEN(SUBSTITUTE($G1743,"-",""))-1),".","")))=0,SUBSTITUTE(SUBSTITUTE($G1743,"-"," ",LEN($G1743)-LEN(SUBSTITUTE($G1743,"-",""))),"-"," ",LEN($G1743)-LEN(SUBSTITUTE($G1743,"-",""))-1),SUBSTITUTE(SUBSTITUTE(SUBSTITUTE($G1743,"-"," ",LEN($G1743)-LEN(SUBSTITUTE($G1743,"-",""))),"-"," ",LEN($G1743)-LEN(SUBSTITUTE($G1743,"-",""))-1),"."," ",(LEN(SUBSTITUTE(SUBSTITUTE($G1743,"-"," ",LEN($G1743)-LEN(SUBSTITUTE($G1743,"-",""))),"-"," ",LEN($G1743)-LEN(SUBSTITUTE($G1743,"-",""))-1))-LEN(SUBSTITUTE(SUBSTITUTE(SUBSTITUTE($G1743,"-"," ",LEN($G1743)-LEN(SUBSTITUTE($G1743,"-",""))),"-"," ",LEN($G1743)-LEN(SUBSTITUTE($G1743,"-",""))-1),".",""))))),$G1743)))</f>
        <v/>
      </c>
    </row>
    <row r="1744">
      <c r="A1744" s="58" t="n"/>
      <c r="B1744" s="58">
        <f>IF($H1744="","",LEFT($H1744,FIND(" ",$H1744&amp;" ")-1))</f>
        <v/>
      </c>
      <c r="C1744" s="58">
        <f>IF($H1744="","",IFERROR(MID($H1744&amp;" ",FIND("|",SUBSTITUTE($H1744&amp;" "," ","|",1))+1,FIND("|",SUBSTITUTE($H1744&amp;" "," ","|",2))-FIND("|",SUBSTITUTE($H1744&amp;" "," ","|",1))-1),""))</f>
        <v/>
      </c>
      <c r="D1744" s="58">
        <f>IF($H1744="","",IFERROR(MID($H1744&amp;" ",FIND("|",SUBSTITUTE($H1744&amp;" "," ","|",2))+1,FIND("|",SUBSTITUTE($H1744&amp;" "," ","|",3))-FIND("|",SUBSTITUTE($H1744&amp;" "," ","|",2))-1),""))</f>
        <v/>
      </c>
      <c r="E1744" s="58">
        <f>IF($H1744="","",IFERROR(MID($H1744&amp;" ",FIND("|",SUBSTITUTE($H1744&amp;" "," ","|",3))+1,FIND("|",SUBSTITUTE($H1744&amp;" "," ","|",4))-FIND("|",SUBSTITUTE($H1744&amp;" "," ","|",3))-1),""))</f>
        <v/>
      </c>
      <c r="F1744" s="59">
        <f>IF($H1744="","",IFERROR(VALUE(IFERROR(MID($H1744&amp;" ",FIND("|",SUBSTITUTE($H1744&amp;" "," ","|",4))+1,FIND("|",SUBSTITUTE($H1744&amp;" "," ","|",5))-FIND("|",SUBSTITUTE($H1744&amp;" "," ","|",4))-1),""))/86400+25569+9/24,""))</f>
        <v/>
      </c>
      <c r="G1744" s="58">
        <f>TRIM(SUBSTITUTE(SUBSTITUTE(SUBSTITUTE($A1744,CHAR(9)," ")," "," "),CHAR(13),""))</f>
        <v/>
      </c>
      <c r="H1744" s="58">
        <f>IF($G1744="","",IF(ISNUMBER(FIND(" ",$G1744)),$G1744,IFERROR(IF((LEN(SUBSTITUTE(SUBSTITUTE($G1744,"-"," ",LEN($G1744)-LEN(SUBSTITUTE($G1744,"-",""))),"-"," ",LEN($G1744)-LEN(SUBSTITUTE($G1744,"-",""))-1))-LEN(SUBSTITUTE(SUBSTITUTE(SUBSTITUTE($G1744,"-"," ",LEN($G1744)-LEN(SUBSTITUTE($G1744,"-",""))),"-"," ",LEN($G1744)-LEN(SUBSTITUTE($G1744,"-",""))-1),".","")))=0,SUBSTITUTE(SUBSTITUTE($G1744,"-"," ",LEN($G1744)-LEN(SUBSTITUTE($G1744,"-",""))),"-"," ",LEN($G1744)-LEN(SUBSTITUTE($G1744,"-",""))-1),SUBSTITUTE(SUBSTITUTE(SUBSTITUTE($G1744,"-"," ",LEN($G1744)-LEN(SUBSTITUTE($G1744,"-",""))),"-"," ",LEN($G1744)-LEN(SUBSTITUTE($G1744,"-",""))-1),"."," ",(LEN(SUBSTITUTE(SUBSTITUTE($G1744,"-"," ",LEN($G1744)-LEN(SUBSTITUTE($G1744,"-",""))),"-"," ",LEN($G1744)-LEN(SUBSTITUTE($G1744,"-",""))-1))-LEN(SUBSTITUTE(SUBSTITUTE(SUBSTITUTE($G1744,"-"," ",LEN($G1744)-LEN(SUBSTITUTE($G1744,"-",""))),"-"," ",LEN($G1744)-LEN(SUBSTITUTE($G1744,"-",""))-1),".",""))))),$G1744)))</f>
        <v/>
      </c>
    </row>
    <row r="1745">
      <c r="A1745" s="58" t="n"/>
      <c r="B1745" s="58">
        <f>IF($H1745="","",LEFT($H1745,FIND(" ",$H1745&amp;" ")-1))</f>
        <v/>
      </c>
      <c r="C1745" s="58">
        <f>IF($H1745="","",IFERROR(MID($H1745&amp;" ",FIND("|",SUBSTITUTE($H1745&amp;" "," ","|",1))+1,FIND("|",SUBSTITUTE($H1745&amp;" "," ","|",2))-FIND("|",SUBSTITUTE($H1745&amp;" "," ","|",1))-1),""))</f>
        <v/>
      </c>
      <c r="D1745" s="58">
        <f>IF($H1745="","",IFERROR(MID($H1745&amp;" ",FIND("|",SUBSTITUTE($H1745&amp;" "," ","|",2))+1,FIND("|",SUBSTITUTE($H1745&amp;" "," ","|",3))-FIND("|",SUBSTITUTE($H1745&amp;" "," ","|",2))-1),""))</f>
        <v/>
      </c>
      <c r="E1745" s="58">
        <f>IF($H1745="","",IFERROR(MID($H1745&amp;" ",FIND("|",SUBSTITUTE($H1745&amp;" "," ","|",3))+1,FIND("|",SUBSTITUTE($H1745&amp;" "," ","|",4))-FIND("|",SUBSTITUTE($H1745&amp;" "," ","|",3))-1),""))</f>
        <v/>
      </c>
      <c r="F1745" s="59">
        <f>IF($H1745="","",IFERROR(VALUE(IFERROR(MID($H1745&amp;" ",FIND("|",SUBSTITUTE($H1745&amp;" "," ","|",4))+1,FIND("|",SUBSTITUTE($H1745&amp;" "," ","|",5))-FIND("|",SUBSTITUTE($H1745&amp;" "," ","|",4))-1),""))/86400+25569+9/24,""))</f>
        <v/>
      </c>
      <c r="G1745" s="58">
        <f>TRIM(SUBSTITUTE(SUBSTITUTE(SUBSTITUTE($A1745,CHAR(9)," ")," "," "),CHAR(13),""))</f>
        <v/>
      </c>
      <c r="H1745" s="58">
        <f>IF($G1745="","",IF(ISNUMBER(FIND(" ",$G1745)),$G1745,IFERROR(IF((LEN(SUBSTITUTE(SUBSTITUTE($G1745,"-"," ",LEN($G1745)-LEN(SUBSTITUTE($G1745,"-",""))),"-"," ",LEN($G1745)-LEN(SUBSTITUTE($G1745,"-",""))-1))-LEN(SUBSTITUTE(SUBSTITUTE(SUBSTITUTE($G1745,"-"," ",LEN($G1745)-LEN(SUBSTITUTE($G1745,"-",""))),"-"," ",LEN($G1745)-LEN(SUBSTITUTE($G1745,"-",""))-1),".","")))=0,SUBSTITUTE(SUBSTITUTE($G1745,"-"," ",LEN($G1745)-LEN(SUBSTITUTE($G1745,"-",""))),"-"," ",LEN($G1745)-LEN(SUBSTITUTE($G1745,"-",""))-1),SUBSTITUTE(SUBSTITUTE(SUBSTITUTE($G1745,"-"," ",LEN($G1745)-LEN(SUBSTITUTE($G1745,"-",""))),"-"," ",LEN($G1745)-LEN(SUBSTITUTE($G1745,"-",""))-1),"."," ",(LEN(SUBSTITUTE(SUBSTITUTE($G1745,"-"," ",LEN($G1745)-LEN(SUBSTITUTE($G1745,"-",""))),"-"," ",LEN($G1745)-LEN(SUBSTITUTE($G1745,"-",""))-1))-LEN(SUBSTITUTE(SUBSTITUTE(SUBSTITUTE($G1745,"-"," ",LEN($G1745)-LEN(SUBSTITUTE($G1745,"-",""))),"-"," ",LEN($G1745)-LEN(SUBSTITUTE($G1745,"-",""))-1),".",""))))),$G1745)))</f>
        <v/>
      </c>
    </row>
    <row r="1746">
      <c r="A1746" s="58" t="n"/>
      <c r="B1746" s="58">
        <f>IF($H1746="","",LEFT($H1746,FIND(" ",$H1746&amp;" ")-1))</f>
        <v/>
      </c>
      <c r="C1746" s="58">
        <f>IF($H1746="","",IFERROR(MID($H1746&amp;" ",FIND("|",SUBSTITUTE($H1746&amp;" "," ","|",1))+1,FIND("|",SUBSTITUTE($H1746&amp;" "," ","|",2))-FIND("|",SUBSTITUTE($H1746&amp;" "," ","|",1))-1),""))</f>
        <v/>
      </c>
      <c r="D1746" s="58">
        <f>IF($H1746="","",IFERROR(MID($H1746&amp;" ",FIND("|",SUBSTITUTE($H1746&amp;" "," ","|",2))+1,FIND("|",SUBSTITUTE($H1746&amp;" "," ","|",3))-FIND("|",SUBSTITUTE($H1746&amp;" "," ","|",2))-1),""))</f>
        <v/>
      </c>
      <c r="E1746" s="58">
        <f>IF($H1746="","",IFERROR(MID($H1746&amp;" ",FIND("|",SUBSTITUTE($H1746&amp;" "," ","|",3))+1,FIND("|",SUBSTITUTE($H1746&amp;" "," ","|",4))-FIND("|",SUBSTITUTE($H1746&amp;" "," ","|",3))-1),""))</f>
        <v/>
      </c>
      <c r="F1746" s="59">
        <f>IF($H1746="","",IFERROR(VALUE(IFERROR(MID($H1746&amp;" ",FIND("|",SUBSTITUTE($H1746&amp;" "," ","|",4))+1,FIND("|",SUBSTITUTE($H1746&amp;" "," ","|",5))-FIND("|",SUBSTITUTE($H1746&amp;" "," ","|",4))-1),""))/86400+25569+9/24,""))</f>
        <v/>
      </c>
      <c r="G1746" s="58">
        <f>TRIM(SUBSTITUTE(SUBSTITUTE(SUBSTITUTE($A1746,CHAR(9)," ")," "," "),CHAR(13),""))</f>
        <v/>
      </c>
      <c r="H1746" s="58">
        <f>IF($G1746="","",IF(ISNUMBER(FIND(" ",$G1746)),$G1746,IFERROR(IF((LEN(SUBSTITUTE(SUBSTITUTE($G1746,"-"," ",LEN($G1746)-LEN(SUBSTITUTE($G1746,"-",""))),"-"," ",LEN($G1746)-LEN(SUBSTITUTE($G1746,"-",""))-1))-LEN(SUBSTITUTE(SUBSTITUTE(SUBSTITUTE($G1746,"-"," ",LEN($G1746)-LEN(SUBSTITUTE($G1746,"-",""))),"-"," ",LEN($G1746)-LEN(SUBSTITUTE($G1746,"-",""))-1),".","")))=0,SUBSTITUTE(SUBSTITUTE($G1746,"-"," ",LEN($G1746)-LEN(SUBSTITUTE($G1746,"-",""))),"-"," ",LEN($G1746)-LEN(SUBSTITUTE($G1746,"-",""))-1),SUBSTITUTE(SUBSTITUTE(SUBSTITUTE($G1746,"-"," ",LEN($G1746)-LEN(SUBSTITUTE($G1746,"-",""))),"-"," ",LEN($G1746)-LEN(SUBSTITUTE($G1746,"-",""))-1),"."," ",(LEN(SUBSTITUTE(SUBSTITUTE($G1746,"-"," ",LEN($G1746)-LEN(SUBSTITUTE($G1746,"-",""))),"-"," ",LEN($G1746)-LEN(SUBSTITUTE($G1746,"-",""))-1))-LEN(SUBSTITUTE(SUBSTITUTE(SUBSTITUTE($G1746,"-"," ",LEN($G1746)-LEN(SUBSTITUTE($G1746,"-",""))),"-"," ",LEN($G1746)-LEN(SUBSTITUTE($G1746,"-",""))-1),".",""))))),$G1746)))</f>
        <v/>
      </c>
    </row>
    <row r="1747">
      <c r="A1747" s="58" t="n"/>
      <c r="B1747" s="58">
        <f>IF($H1747="","",LEFT($H1747,FIND(" ",$H1747&amp;" ")-1))</f>
        <v/>
      </c>
      <c r="C1747" s="58">
        <f>IF($H1747="","",IFERROR(MID($H1747&amp;" ",FIND("|",SUBSTITUTE($H1747&amp;" "," ","|",1))+1,FIND("|",SUBSTITUTE($H1747&amp;" "," ","|",2))-FIND("|",SUBSTITUTE($H1747&amp;" "," ","|",1))-1),""))</f>
        <v/>
      </c>
      <c r="D1747" s="58">
        <f>IF($H1747="","",IFERROR(MID($H1747&amp;" ",FIND("|",SUBSTITUTE($H1747&amp;" "," ","|",2))+1,FIND("|",SUBSTITUTE($H1747&amp;" "," ","|",3))-FIND("|",SUBSTITUTE($H1747&amp;" "," ","|",2))-1),""))</f>
        <v/>
      </c>
      <c r="E1747" s="58">
        <f>IF($H1747="","",IFERROR(MID($H1747&amp;" ",FIND("|",SUBSTITUTE($H1747&amp;" "," ","|",3))+1,FIND("|",SUBSTITUTE($H1747&amp;" "," ","|",4))-FIND("|",SUBSTITUTE($H1747&amp;" "," ","|",3))-1),""))</f>
        <v/>
      </c>
      <c r="F1747" s="59">
        <f>IF($H1747="","",IFERROR(VALUE(IFERROR(MID($H1747&amp;" ",FIND("|",SUBSTITUTE($H1747&amp;" "," ","|",4))+1,FIND("|",SUBSTITUTE($H1747&amp;" "," ","|",5))-FIND("|",SUBSTITUTE($H1747&amp;" "," ","|",4))-1),""))/86400+25569+9/24,""))</f>
        <v/>
      </c>
      <c r="G1747" s="58">
        <f>TRIM(SUBSTITUTE(SUBSTITUTE(SUBSTITUTE($A1747,CHAR(9)," ")," "," "),CHAR(13),""))</f>
        <v/>
      </c>
      <c r="H1747" s="58">
        <f>IF($G1747="","",IF(ISNUMBER(FIND(" ",$G1747)),$G1747,IFERROR(IF((LEN(SUBSTITUTE(SUBSTITUTE($G1747,"-"," ",LEN($G1747)-LEN(SUBSTITUTE($G1747,"-",""))),"-"," ",LEN($G1747)-LEN(SUBSTITUTE($G1747,"-",""))-1))-LEN(SUBSTITUTE(SUBSTITUTE(SUBSTITUTE($G1747,"-"," ",LEN($G1747)-LEN(SUBSTITUTE($G1747,"-",""))),"-"," ",LEN($G1747)-LEN(SUBSTITUTE($G1747,"-",""))-1),".","")))=0,SUBSTITUTE(SUBSTITUTE($G1747,"-"," ",LEN($G1747)-LEN(SUBSTITUTE($G1747,"-",""))),"-"," ",LEN($G1747)-LEN(SUBSTITUTE($G1747,"-",""))-1),SUBSTITUTE(SUBSTITUTE(SUBSTITUTE($G1747,"-"," ",LEN($G1747)-LEN(SUBSTITUTE($G1747,"-",""))),"-"," ",LEN($G1747)-LEN(SUBSTITUTE($G1747,"-",""))-1),"."," ",(LEN(SUBSTITUTE(SUBSTITUTE($G1747,"-"," ",LEN($G1747)-LEN(SUBSTITUTE($G1747,"-",""))),"-"," ",LEN($G1747)-LEN(SUBSTITUTE($G1747,"-",""))-1))-LEN(SUBSTITUTE(SUBSTITUTE(SUBSTITUTE($G1747,"-"," ",LEN($G1747)-LEN(SUBSTITUTE($G1747,"-",""))),"-"," ",LEN($G1747)-LEN(SUBSTITUTE($G1747,"-",""))-1),".",""))))),$G1747)))</f>
        <v/>
      </c>
    </row>
    <row r="1748">
      <c r="A1748" s="58" t="n"/>
      <c r="B1748" s="58">
        <f>IF($H1748="","",LEFT($H1748,FIND(" ",$H1748&amp;" ")-1))</f>
        <v/>
      </c>
      <c r="C1748" s="58">
        <f>IF($H1748="","",IFERROR(MID($H1748&amp;" ",FIND("|",SUBSTITUTE($H1748&amp;" "," ","|",1))+1,FIND("|",SUBSTITUTE($H1748&amp;" "," ","|",2))-FIND("|",SUBSTITUTE($H1748&amp;" "," ","|",1))-1),""))</f>
        <v/>
      </c>
      <c r="D1748" s="58">
        <f>IF($H1748="","",IFERROR(MID($H1748&amp;" ",FIND("|",SUBSTITUTE($H1748&amp;" "," ","|",2))+1,FIND("|",SUBSTITUTE($H1748&amp;" "," ","|",3))-FIND("|",SUBSTITUTE($H1748&amp;" "," ","|",2))-1),""))</f>
        <v/>
      </c>
      <c r="E1748" s="58">
        <f>IF($H1748="","",IFERROR(MID($H1748&amp;" ",FIND("|",SUBSTITUTE($H1748&amp;" "," ","|",3))+1,FIND("|",SUBSTITUTE($H1748&amp;" "," ","|",4))-FIND("|",SUBSTITUTE($H1748&amp;" "," ","|",3))-1),""))</f>
        <v/>
      </c>
      <c r="F1748" s="59">
        <f>IF($H1748="","",IFERROR(VALUE(IFERROR(MID($H1748&amp;" ",FIND("|",SUBSTITUTE($H1748&amp;" "," ","|",4))+1,FIND("|",SUBSTITUTE($H1748&amp;" "," ","|",5))-FIND("|",SUBSTITUTE($H1748&amp;" "," ","|",4))-1),""))/86400+25569+9/24,""))</f>
        <v/>
      </c>
      <c r="G1748" s="58">
        <f>TRIM(SUBSTITUTE(SUBSTITUTE(SUBSTITUTE($A1748,CHAR(9)," ")," "," "),CHAR(13),""))</f>
        <v/>
      </c>
      <c r="H1748" s="58">
        <f>IF($G1748="","",IF(ISNUMBER(FIND(" ",$G1748)),$G1748,IFERROR(IF((LEN(SUBSTITUTE(SUBSTITUTE($G1748,"-"," ",LEN($G1748)-LEN(SUBSTITUTE($G1748,"-",""))),"-"," ",LEN($G1748)-LEN(SUBSTITUTE($G1748,"-",""))-1))-LEN(SUBSTITUTE(SUBSTITUTE(SUBSTITUTE($G1748,"-"," ",LEN($G1748)-LEN(SUBSTITUTE($G1748,"-",""))),"-"," ",LEN($G1748)-LEN(SUBSTITUTE($G1748,"-",""))-1),".","")))=0,SUBSTITUTE(SUBSTITUTE($G1748,"-"," ",LEN($G1748)-LEN(SUBSTITUTE($G1748,"-",""))),"-"," ",LEN($G1748)-LEN(SUBSTITUTE($G1748,"-",""))-1),SUBSTITUTE(SUBSTITUTE(SUBSTITUTE($G1748,"-"," ",LEN($G1748)-LEN(SUBSTITUTE($G1748,"-",""))),"-"," ",LEN($G1748)-LEN(SUBSTITUTE($G1748,"-",""))-1),"."," ",(LEN(SUBSTITUTE(SUBSTITUTE($G1748,"-"," ",LEN($G1748)-LEN(SUBSTITUTE($G1748,"-",""))),"-"," ",LEN($G1748)-LEN(SUBSTITUTE($G1748,"-",""))-1))-LEN(SUBSTITUTE(SUBSTITUTE(SUBSTITUTE($G1748,"-"," ",LEN($G1748)-LEN(SUBSTITUTE($G1748,"-",""))),"-"," ",LEN($G1748)-LEN(SUBSTITUTE($G1748,"-",""))-1),".",""))))),$G1748)))</f>
        <v/>
      </c>
    </row>
    <row r="1749">
      <c r="A1749" s="58" t="n"/>
      <c r="B1749" s="58">
        <f>IF($H1749="","",LEFT($H1749,FIND(" ",$H1749&amp;" ")-1))</f>
        <v/>
      </c>
      <c r="C1749" s="58">
        <f>IF($H1749="","",IFERROR(MID($H1749&amp;" ",FIND("|",SUBSTITUTE($H1749&amp;" "," ","|",1))+1,FIND("|",SUBSTITUTE($H1749&amp;" "," ","|",2))-FIND("|",SUBSTITUTE($H1749&amp;" "," ","|",1))-1),""))</f>
        <v/>
      </c>
      <c r="D1749" s="58">
        <f>IF($H1749="","",IFERROR(MID($H1749&amp;" ",FIND("|",SUBSTITUTE($H1749&amp;" "," ","|",2))+1,FIND("|",SUBSTITUTE($H1749&amp;" "," ","|",3))-FIND("|",SUBSTITUTE($H1749&amp;" "," ","|",2))-1),""))</f>
        <v/>
      </c>
      <c r="E1749" s="58">
        <f>IF($H1749="","",IFERROR(MID($H1749&amp;" ",FIND("|",SUBSTITUTE($H1749&amp;" "," ","|",3))+1,FIND("|",SUBSTITUTE($H1749&amp;" "," ","|",4))-FIND("|",SUBSTITUTE($H1749&amp;" "," ","|",3))-1),""))</f>
        <v/>
      </c>
      <c r="F1749" s="59">
        <f>IF($H1749="","",IFERROR(VALUE(IFERROR(MID($H1749&amp;" ",FIND("|",SUBSTITUTE($H1749&amp;" "," ","|",4))+1,FIND("|",SUBSTITUTE($H1749&amp;" "," ","|",5))-FIND("|",SUBSTITUTE($H1749&amp;" "," ","|",4))-1),""))/86400+25569+9/24,""))</f>
        <v/>
      </c>
      <c r="G1749" s="58">
        <f>TRIM(SUBSTITUTE(SUBSTITUTE(SUBSTITUTE($A1749,CHAR(9)," ")," "," "),CHAR(13),""))</f>
        <v/>
      </c>
      <c r="H1749" s="58">
        <f>IF($G1749="","",IF(ISNUMBER(FIND(" ",$G1749)),$G1749,IFERROR(IF((LEN(SUBSTITUTE(SUBSTITUTE($G1749,"-"," ",LEN($G1749)-LEN(SUBSTITUTE($G1749,"-",""))),"-"," ",LEN($G1749)-LEN(SUBSTITUTE($G1749,"-",""))-1))-LEN(SUBSTITUTE(SUBSTITUTE(SUBSTITUTE($G1749,"-"," ",LEN($G1749)-LEN(SUBSTITUTE($G1749,"-",""))),"-"," ",LEN($G1749)-LEN(SUBSTITUTE($G1749,"-",""))-1),".","")))=0,SUBSTITUTE(SUBSTITUTE($G1749,"-"," ",LEN($G1749)-LEN(SUBSTITUTE($G1749,"-",""))),"-"," ",LEN($G1749)-LEN(SUBSTITUTE($G1749,"-",""))-1),SUBSTITUTE(SUBSTITUTE(SUBSTITUTE($G1749,"-"," ",LEN($G1749)-LEN(SUBSTITUTE($G1749,"-",""))),"-"," ",LEN($G1749)-LEN(SUBSTITUTE($G1749,"-",""))-1),"."," ",(LEN(SUBSTITUTE(SUBSTITUTE($G1749,"-"," ",LEN($G1749)-LEN(SUBSTITUTE($G1749,"-",""))),"-"," ",LEN($G1749)-LEN(SUBSTITUTE($G1749,"-",""))-1))-LEN(SUBSTITUTE(SUBSTITUTE(SUBSTITUTE($G1749,"-"," ",LEN($G1749)-LEN(SUBSTITUTE($G1749,"-",""))),"-"," ",LEN($G1749)-LEN(SUBSTITUTE($G1749,"-",""))-1),".",""))))),$G1749)))</f>
        <v/>
      </c>
    </row>
    <row r="1750">
      <c r="A1750" s="58" t="n"/>
      <c r="B1750" s="58">
        <f>IF($H1750="","",LEFT($H1750,FIND(" ",$H1750&amp;" ")-1))</f>
        <v/>
      </c>
      <c r="C1750" s="58">
        <f>IF($H1750="","",IFERROR(MID($H1750&amp;" ",FIND("|",SUBSTITUTE($H1750&amp;" "," ","|",1))+1,FIND("|",SUBSTITUTE($H1750&amp;" "," ","|",2))-FIND("|",SUBSTITUTE($H1750&amp;" "," ","|",1))-1),""))</f>
        <v/>
      </c>
      <c r="D1750" s="58">
        <f>IF($H1750="","",IFERROR(MID($H1750&amp;" ",FIND("|",SUBSTITUTE($H1750&amp;" "," ","|",2))+1,FIND("|",SUBSTITUTE($H1750&amp;" "," ","|",3))-FIND("|",SUBSTITUTE($H1750&amp;" "," ","|",2))-1),""))</f>
        <v/>
      </c>
      <c r="E1750" s="58">
        <f>IF($H1750="","",IFERROR(MID($H1750&amp;" ",FIND("|",SUBSTITUTE($H1750&amp;" "," ","|",3))+1,FIND("|",SUBSTITUTE($H1750&amp;" "," ","|",4))-FIND("|",SUBSTITUTE($H1750&amp;" "," ","|",3))-1),""))</f>
        <v/>
      </c>
      <c r="F1750" s="59">
        <f>IF($H1750="","",IFERROR(VALUE(IFERROR(MID($H1750&amp;" ",FIND("|",SUBSTITUTE($H1750&amp;" "," ","|",4))+1,FIND("|",SUBSTITUTE($H1750&amp;" "," ","|",5))-FIND("|",SUBSTITUTE($H1750&amp;" "," ","|",4))-1),""))/86400+25569+9/24,""))</f>
        <v/>
      </c>
      <c r="G1750" s="58">
        <f>TRIM(SUBSTITUTE(SUBSTITUTE(SUBSTITUTE($A1750,CHAR(9)," ")," "," "),CHAR(13),""))</f>
        <v/>
      </c>
      <c r="H1750" s="58">
        <f>IF($G1750="","",IF(ISNUMBER(FIND(" ",$G1750)),$G1750,IFERROR(IF((LEN(SUBSTITUTE(SUBSTITUTE($G1750,"-"," ",LEN($G1750)-LEN(SUBSTITUTE($G1750,"-",""))),"-"," ",LEN($G1750)-LEN(SUBSTITUTE($G1750,"-",""))-1))-LEN(SUBSTITUTE(SUBSTITUTE(SUBSTITUTE($G1750,"-"," ",LEN($G1750)-LEN(SUBSTITUTE($G1750,"-",""))),"-"," ",LEN($G1750)-LEN(SUBSTITUTE($G1750,"-",""))-1),".","")))=0,SUBSTITUTE(SUBSTITUTE($G1750,"-"," ",LEN($G1750)-LEN(SUBSTITUTE($G1750,"-",""))),"-"," ",LEN($G1750)-LEN(SUBSTITUTE($G1750,"-",""))-1),SUBSTITUTE(SUBSTITUTE(SUBSTITUTE($G1750,"-"," ",LEN($G1750)-LEN(SUBSTITUTE($G1750,"-",""))),"-"," ",LEN($G1750)-LEN(SUBSTITUTE($G1750,"-",""))-1),"."," ",(LEN(SUBSTITUTE(SUBSTITUTE($G1750,"-"," ",LEN($G1750)-LEN(SUBSTITUTE($G1750,"-",""))),"-"," ",LEN($G1750)-LEN(SUBSTITUTE($G1750,"-",""))-1))-LEN(SUBSTITUTE(SUBSTITUTE(SUBSTITUTE($G1750,"-"," ",LEN($G1750)-LEN(SUBSTITUTE($G1750,"-",""))),"-"," ",LEN($G1750)-LEN(SUBSTITUTE($G1750,"-",""))-1),".",""))))),$G1750)))</f>
        <v/>
      </c>
    </row>
    <row r="1751">
      <c r="A1751" s="58" t="n"/>
      <c r="B1751" s="58">
        <f>IF($H1751="","",LEFT($H1751,FIND(" ",$H1751&amp;" ")-1))</f>
        <v/>
      </c>
      <c r="C1751" s="58">
        <f>IF($H1751="","",IFERROR(MID($H1751&amp;" ",FIND("|",SUBSTITUTE($H1751&amp;" "," ","|",1))+1,FIND("|",SUBSTITUTE($H1751&amp;" "," ","|",2))-FIND("|",SUBSTITUTE($H1751&amp;" "," ","|",1))-1),""))</f>
        <v/>
      </c>
      <c r="D1751" s="58">
        <f>IF($H1751="","",IFERROR(MID($H1751&amp;" ",FIND("|",SUBSTITUTE($H1751&amp;" "," ","|",2))+1,FIND("|",SUBSTITUTE($H1751&amp;" "," ","|",3))-FIND("|",SUBSTITUTE($H1751&amp;" "," ","|",2))-1),""))</f>
        <v/>
      </c>
      <c r="E1751" s="58">
        <f>IF($H1751="","",IFERROR(MID($H1751&amp;" ",FIND("|",SUBSTITUTE($H1751&amp;" "," ","|",3))+1,FIND("|",SUBSTITUTE($H1751&amp;" "," ","|",4))-FIND("|",SUBSTITUTE($H1751&amp;" "," ","|",3))-1),""))</f>
        <v/>
      </c>
      <c r="F1751" s="59">
        <f>IF($H1751="","",IFERROR(VALUE(IFERROR(MID($H1751&amp;" ",FIND("|",SUBSTITUTE($H1751&amp;" "," ","|",4))+1,FIND("|",SUBSTITUTE($H1751&amp;" "," ","|",5))-FIND("|",SUBSTITUTE($H1751&amp;" "," ","|",4))-1),""))/86400+25569+9/24,""))</f>
        <v/>
      </c>
      <c r="G1751" s="58">
        <f>TRIM(SUBSTITUTE(SUBSTITUTE(SUBSTITUTE($A1751,CHAR(9)," ")," "," "),CHAR(13),""))</f>
        <v/>
      </c>
      <c r="H1751" s="58">
        <f>IF($G1751="","",IF(ISNUMBER(FIND(" ",$G1751)),$G1751,IFERROR(IF((LEN(SUBSTITUTE(SUBSTITUTE($G1751,"-"," ",LEN($G1751)-LEN(SUBSTITUTE($G1751,"-",""))),"-"," ",LEN($G1751)-LEN(SUBSTITUTE($G1751,"-",""))-1))-LEN(SUBSTITUTE(SUBSTITUTE(SUBSTITUTE($G1751,"-"," ",LEN($G1751)-LEN(SUBSTITUTE($G1751,"-",""))),"-"," ",LEN($G1751)-LEN(SUBSTITUTE($G1751,"-",""))-1),".","")))=0,SUBSTITUTE(SUBSTITUTE($G1751,"-"," ",LEN($G1751)-LEN(SUBSTITUTE($G1751,"-",""))),"-"," ",LEN($G1751)-LEN(SUBSTITUTE($G1751,"-",""))-1),SUBSTITUTE(SUBSTITUTE(SUBSTITUTE($G1751,"-"," ",LEN($G1751)-LEN(SUBSTITUTE($G1751,"-",""))),"-"," ",LEN($G1751)-LEN(SUBSTITUTE($G1751,"-",""))-1),"."," ",(LEN(SUBSTITUTE(SUBSTITUTE($G1751,"-"," ",LEN($G1751)-LEN(SUBSTITUTE($G1751,"-",""))),"-"," ",LEN($G1751)-LEN(SUBSTITUTE($G1751,"-",""))-1))-LEN(SUBSTITUTE(SUBSTITUTE(SUBSTITUTE($G1751,"-"," ",LEN($G1751)-LEN(SUBSTITUTE($G1751,"-",""))),"-"," ",LEN($G1751)-LEN(SUBSTITUTE($G1751,"-",""))-1),".",""))))),$G1751)))</f>
        <v/>
      </c>
    </row>
    <row r="1752">
      <c r="A1752" s="58" t="n"/>
      <c r="B1752" s="58">
        <f>IF($H1752="","",LEFT($H1752,FIND(" ",$H1752&amp;" ")-1))</f>
        <v/>
      </c>
      <c r="C1752" s="58">
        <f>IF($H1752="","",IFERROR(MID($H1752&amp;" ",FIND("|",SUBSTITUTE($H1752&amp;" "," ","|",1))+1,FIND("|",SUBSTITUTE($H1752&amp;" "," ","|",2))-FIND("|",SUBSTITUTE($H1752&amp;" "," ","|",1))-1),""))</f>
        <v/>
      </c>
      <c r="D1752" s="58">
        <f>IF($H1752="","",IFERROR(MID($H1752&amp;" ",FIND("|",SUBSTITUTE($H1752&amp;" "," ","|",2))+1,FIND("|",SUBSTITUTE($H1752&amp;" "," ","|",3))-FIND("|",SUBSTITUTE($H1752&amp;" "," ","|",2))-1),""))</f>
        <v/>
      </c>
      <c r="E1752" s="58">
        <f>IF($H1752="","",IFERROR(MID($H1752&amp;" ",FIND("|",SUBSTITUTE($H1752&amp;" "," ","|",3))+1,FIND("|",SUBSTITUTE($H1752&amp;" "," ","|",4))-FIND("|",SUBSTITUTE($H1752&amp;" "," ","|",3))-1),""))</f>
        <v/>
      </c>
      <c r="F1752" s="59">
        <f>IF($H1752="","",IFERROR(VALUE(IFERROR(MID($H1752&amp;" ",FIND("|",SUBSTITUTE($H1752&amp;" "," ","|",4))+1,FIND("|",SUBSTITUTE($H1752&amp;" "," ","|",5))-FIND("|",SUBSTITUTE($H1752&amp;" "," ","|",4))-1),""))/86400+25569+9/24,""))</f>
        <v/>
      </c>
      <c r="G1752" s="58">
        <f>TRIM(SUBSTITUTE(SUBSTITUTE(SUBSTITUTE($A1752,CHAR(9)," ")," "," "),CHAR(13),""))</f>
        <v/>
      </c>
      <c r="H1752" s="58">
        <f>IF($G1752="","",IF(ISNUMBER(FIND(" ",$G1752)),$G1752,IFERROR(IF((LEN(SUBSTITUTE(SUBSTITUTE($G1752,"-"," ",LEN($G1752)-LEN(SUBSTITUTE($G1752,"-",""))),"-"," ",LEN($G1752)-LEN(SUBSTITUTE($G1752,"-",""))-1))-LEN(SUBSTITUTE(SUBSTITUTE(SUBSTITUTE($G1752,"-"," ",LEN($G1752)-LEN(SUBSTITUTE($G1752,"-",""))),"-"," ",LEN($G1752)-LEN(SUBSTITUTE($G1752,"-",""))-1),".","")))=0,SUBSTITUTE(SUBSTITUTE($G1752,"-"," ",LEN($G1752)-LEN(SUBSTITUTE($G1752,"-",""))),"-"," ",LEN($G1752)-LEN(SUBSTITUTE($G1752,"-",""))-1),SUBSTITUTE(SUBSTITUTE(SUBSTITUTE($G1752,"-"," ",LEN($G1752)-LEN(SUBSTITUTE($G1752,"-",""))),"-"," ",LEN($G1752)-LEN(SUBSTITUTE($G1752,"-",""))-1),"."," ",(LEN(SUBSTITUTE(SUBSTITUTE($G1752,"-"," ",LEN($G1752)-LEN(SUBSTITUTE($G1752,"-",""))),"-"," ",LEN($G1752)-LEN(SUBSTITUTE($G1752,"-",""))-1))-LEN(SUBSTITUTE(SUBSTITUTE(SUBSTITUTE($G1752,"-"," ",LEN($G1752)-LEN(SUBSTITUTE($G1752,"-",""))),"-"," ",LEN($G1752)-LEN(SUBSTITUTE($G1752,"-",""))-1),".",""))))),$G1752)))</f>
        <v/>
      </c>
    </row>
    <row r="1753">
      <c r="A1753" s="58" t="n"/>
      <c r="B1753" s="58">
        <f>IF($H1753="","",LEFT($H1753,FIND(" ",$H1753&amp;" ")-1))</f>
        <v/>
      </c>
      <c r="C1753" s="58">
        <f>IF($H1753="","",IFERROR(MID($H1753&amp;" ",FIND("|",SUBSTITUTE($H1753&amp;" "," ","|",1))+1,FIND("|",SUBSTITUTE($H1753&amp;" "," ","|",2))-FIND("|",SUBSTITUTE($H1753&amp;" "," ","|",1))-1),""))</f>
        <v/>
      </c>
      <c r="D1753" s="58">
        <f>IF($H1753="","",IFERROR(MID($H1753&amp;" ",FIND("|",SUBSTITUTE($H1753&amp;" "," ","|",2))+1,FIND("|",SUBSTITUTE($H1753&amp;" "," ","|",3))-FIND("|",SUBSTITUTE($H1753&amp;" "," ","|",2))-1),""))</f>
        <v/>
      </c>
      <c r="E1753" s="58">
        <f>IF($H1753="","",IFERROR(MID($H1753&amp;" ",FIND("|",SUBSTITUTE($H1753&amp;" "," ","|",3))+1,FIND("|",SUBSTITUTE($H1753&amp;" "," ","|",4))-FIND("|",SUBSTITUTE($H1753&amp;" "," ","|",3))-1),""))</f>
        <v/>
      </c>
      <c r="F1753" s="59">
        <f>IF($H1753="","",IFERROR(VALUE(IFERROR(MID($H1753&amp;" ",FIND("|",SUBSTITUTE($H1753&amp;" "," ","|",4))+1,FIND("|",SUBSTITUTE($H1753&amp;" "," ","|",5))-FIND("|",SUBSTITUTE($H1753&amp;" "," ","|",4))-1),""))/86400+25569+9/24,""))</f>
        <v/>
      </c>
      <c r="G1753" s="58">
        <f>TRIM(SUBSTITUTE(SUBSTITUTE(SUBSTITUTE($A1753,CHAR(9)," ")," "," "),CHAR(13),""))</f>
        <v/>
      </c>
      <c r="H1753" s="58">
        <f>IF($G1753="","",IF(ISNUMBER(FIND(" ",$G1753)),$G1753,IFERROR(IF((LEN(SUBSTITUTE(SUBSTITUTE($G1753,"-"," ",LEN($G1753)-LEN(SUBSTITUTE($G1753,"-",""))),"-"," ",LEN($G1753)-LEN(SUBSTITUTE($G1753,"-",""))-1))-LEN(SUBSTITUTE(SUBSTITUTE(SUBSTITUTE($G1753,"-"," ",LEN($G1753)-LEN(SUBSTITUTE($G1753,"-",""))),"-"," ",LEN($G1753)-LEN(SUBSTITUTE($G1753,"-",""))-1),".","")))=0,SUBSTITUTE(SUBSTITUTE($G1753,"-"," ",LEN($G1753)-LEN(SUBSTITUTE($G1753,"-",""))),"-"," ",LEN($G1753)-LEN(SUBSTITUTE($G1753,"-",""))-1),SUBSTITUTE(SUBSTITUTE(SUBSTITUTE($G1753,"-"," ",LEN($G1753)-LEN(SUBSTITUTE($G1753,"-",""))),"-"," ",LEN($G1753)-LEN(SUBSTITUTE($G1753,"-",""))-1),"."," ",(LEN(SUBSTITUTE(SUBSTITUTE($G1753,"-"," ",LEN($G1753)-LEN(SUBSTITUTE($G1753,"-",""))),"-"," ",LEN($G1753)-LEN(SUBSTITUTE($G1753,"-",""))-1))-LEN(SUBSTITUTE(SUBSTITUTE(SUBSTITUTE($G1753,"-"," ",LEN($G1753)-LEN(SUBSTITUTE($G1753,"-",""))),"-"," ",LEN($G1753)-LEN(SUBSTITUTE($G1753,"-",""))-1),".",""))))),$G1753)))</f>
        <v/>
      </c>
    </row>
    <row r="1754">
      <c r="A1754" s="58" t="n"/>
      <c r="B1754" s="58">
        <f>IF($H1754="","",LEFT($H1754,FIND(" ",$H1754&amp;" ")-1))</f>
        <v/>
      </c>
      <c r="C1754" s="58">
        <f>IF($H1754="","",IFERROR(MID($H1754&amp;" ",FIND("|",SUBSTITUTE($H1754&amp;" "," ","|",1))+1,FIND("|",SUBSTITUTE($H1754&amp;" "," ","|",2))-FIND("|",SUBSTITUTE($H1754&amp;" "," ","|",1))-1),""))</f>
        <v/>
      </c>
      <c r="D1754" s="58">
        <f>IF($H1754="","",IFERROR(MID($H1754&amp;" ",FIND("|",SUBSTITUTE($H1754&amp;" "," ","|",2))+1,FIND("|",SUBSTITUTE($H1754&amp;" "," ","|",3))-FIND("|",SUBSTITUTE($H1754&amp;" "," ","|",2))-1),""))</f>
        <v/>
      </c>
      <c r="E1754" s="58">
        <f>IF($H1754="","",IFERROR(MID($H1754&amp;" ",FIND("|",SUBSTITUTE($H1754&amp;" "," ","|",3))+1,FIND("|",SUBSTITUTE($H1754&amp;" "," ","|",4))-FIND("|",SUBSTITUTE($H1754&amp;" "," ","|",3))-1),""))</f>
        <v/>
      </c>
      <c r="F1754" s="59">
        <f>IF($H1754="","",IFERROR(VALUE(IFERROR(MID($H1754&amp;" ",FIND("|",SUBSTITUTE($H1754&amp;" "," ","|",4))+1,FIND("|",SUBSTITUTE($H1754&amp;" "," ","|",5))-FIND("|",SUBSTITUTE($H1754&amp;" "," ","|",4))-1),""))/86400+25569+9/24,""))</f>
        <v/>
      </c>
      <c r="G1754" s="58">
        <f>TRIM(SUBSTITUTE(SUBSTITUTE(SUBSTITUTE($A1754,CHAR(9)," ")," "," "),CHAR(13),""))</f>
        <v/>
      </c>
      <c r="H1754" s="58">
        <f>IF($G1754="","",IF(ISNUMBER(FIND(" ",$G1754)),$G1754,IFERROR(IF((LEN(SUBSTITUTE(SUBSTITUTE($G1754,"-"," ",LEN($G1754)-LEN(SUBSTITUTE($G1754,"-",""))),"-"," ",LEN($G1754)-LEN(SUBSTITUTE($G1754,"-",""))-1))-LEN(SUBSTITUTE(SUBSTITUTE(SUBSTITUTE($G1754,"-"," ",LEN($G1754)-LEN(SUBSTITUTE($G1754,"-",""))),"-"," ",LEN($G1754)-LEN(SUBSTITUTE($G1754,"-",""))-1),".","")))=0,SUBSTITUTE(SUBSTITUTE($G1754,"-"," ",LEN($G1754)-LEN(SUBSTITUTE($G1754,"-",""))),"-"," ",LEN($G1754)-LEN(SUBSTITUTE($G1754,"-",""))-1),SUBSTITUTE(SUBSTITUTE(SUBSTITUTE($G1754,"-"," ",LEN($G1754)-LEN(SUBSTITUTE($G1754,"-",""))),"-"," ",LEN($G1754)-LEN(SUBSTITUTE($G1754,"-",""))-1),"."," ",(LEN(SUBSTITUTE(SUBSTITUTE($G1754,"-"," ",LEN($G1754)-LEN(SUBSTITUTE($G1754,"-",""))),"-"," ",LEN($G1754)-LEN(SUBSTITUTE($G1754,"-",""))-1))-LEN(SUBSTITUTE(SUBSTITUTE(SUBSTITUTE($G1754,"-"," ",LEN($G1754)-LEN(SUBSTITUTE($G1754,"-",""))),"-"," ",LEN($G1754)-LEN(SUBSTITUTE($G1754,"-",""))-1),".",""))))),$G1754)))</f>
        <v/>
      </c>
    </row>
    <row r="1755">
      <c r="A1755" s="58" t="n"/>
      <c r="B1755" s="58">
        <f>IF($H1755="","",LEFT($H1755,FIND(" ",$H1755&amp;" ")-1))</f>
        <v/>
      </c>
      <c r="C1755" s="58">
        <f>IF($H1755="","",IFERROR(MID($H1755&amp;" ",FIND("|",SUBSTITUTE($H1755&amp;" "," ","|",1))+1,FIND("|",SUBSTITUTE($H1755&amp;" "," ","|",2))-FIND("|",SUBSTITUTE($H1755&amp;" "," ","|",1))-1),""))</f>
        <v/>
      </c>
      <c r="D1755" s="58">
        <f>IF($H1755="","",IFERROR(MID($H1755&amp;" ",FIND("|",SUBSTITUTE($H1755&amp;" "," ","|",2))+1,FIND("|",SUBSTITUTE($H1755&amp;" "," ","|",3))-FIND("|",SUBSTITUTE($H1755&amp;" "," ","|",2))-1),""))</f>
        <v/>
      </c>
      <c r="E1755" s="58">
        <f>IF($H1755="","",IFERROR(MID($H1755&amp;" ",FIND("|",SUBSTITUTE($H1755&amp;" "," ","|",3))+1,FIND("|",SUBSTITUTE($H1755&amp;" "," ","|",4))-FIND("|",SUBSTITUTE($H1755&amp;" "," ","|",3))-1),""))</f>
        <v/>
      </c>
      <c r="F1755" s="59">
        <f>IF($H1755="","",IFERROR(VALUE(IFERROR(MID($H1755&amp;" ",FIND("|",SUBSTITUTE($H1755&amp;" "," ","|",4))+1,FIND("|",SUBSTITUTE($H1755&amp;" "," ","|",5))-FIND("|",SUBSTITUTE($H1755&amp;" "," ","|",4))-1),""))/86400+25569+9/24,""))</f>
        <v/>
      </c>
      <c r="G1755" s="58">
        <f>TRIM(SUBSTITUTE(SUBSTITUTE(SUBSTITUTE($A1755,CHAR(9)," ")," "," "),CHAR(13),""))</f>
        <v/>
      </c>
      <c r="H1755" s="58">
        <f>IF($G1755="","",IF(ISNUMBER(FIND(" ",$G1755)),$G1755,IFERROR(IF((LEN(SUBSTITUTE(SUBSTITUTE($G1755,"-"," ",LEN($G1755)-LEN(SUBSTITUTE($G1755,"-",""))),"-"," ",LEN($G1755)-LEN(SUBSTITUTE($G1755,"-",""))-1))-LEN(SUBSTITUTE(SUBSTITUTE(SUBSTITUTE($G1755,"-"," ",LEN($G1755)-LEN(SUBSTITUTE($G1755,"-",""))),"-"," ",LEN($G1755)-LEN(SUBSTITUTE($G1755,"-",""))-1),".","")))=0,SUBSTITUTE(SUBSTITUTE($G1755,"-"," ",LEN($G1755)-LEN(SUBSTITUTE($G1755,"-",""))),"-"," ",LEN($G1755)-LEN(SUBSTITUTE($G1755,"-",""))-1),SUBSTITUTE(SUBSTITUTE(SUBSTITUTE($G1755,"-"," ",LEN($G1755)-LEN(SUBSTITUTE($G1755,"-",""))),"-"," ",LEN($G1755)-LEN(SUBSTITUTE($G1755,"-",""))-1),"."," ",(LEN(SUBSTITUTE(SUBSTITUTE($G1755,"-"," ",LEN($G1755)-LEN(SUBSTITUTE($G1755,"-",""))),"-"," ",LEN($G1755)-LEN(SUBSTITUTE($G1755,"-",""))-1))-LEN(SUBSTITUTE(SUBSTITUTE(SUBSTITUTE($G1755,"-"," ",LEN($G1755)-LEN(SUBSTITUTE($G1755,"-",""))),"-"," ",LEN($G1755)-LEN(SUBSTITUTE($G1755,"-",""))-1),".",""))))),$G1755)))</f>
        <v/>
      </c>
    </row>
    <row r="1756">
      <c r="A1756" s="58" t="n"/>
      <c r="B1756" s="58">
        <f>IF($H1756="","",LEFT($H1756,FIND(" ",$H1756&amp;" ")-1))</f>
        <v/>
      </c>
      <c r="C1756" s="58">
        <f>IF($H1756="","",IFERROR(MID($H1756&amp;" ",FIND("|",SUBSTITUTE($H1756&amp;" "," ","|",1))+1,FIND("|",SUBSTITUTE($H1756&amp;" "," ","|",2))-FIND("|",SUBSTITUTE($H1756&amp;" "," ","|",1))-1),""))</f>
        <v/>
      </c>
      <c r="D1756" s="58">
        <f>IF($H1756="","",IFERROR(MID($H1756&amp;" ",FIND("|",SUBSTITUTE($H1756&amp;" "," ","|",2))+1,FIND("|",SUBSTITUTE($H1756&amp;" "," ","|",3))-FIND("|",SUBSTITUTE($H1756&amp;" "," ","|",2))-1),""))</f>
        <v/>
      </c>
      <c r="E1756" s="58">
        <f>IF($H1756="","",IFERROR(MID($H1756&amp;" ",FIND("|",SUBSTITUTE($H1756&amp;" "," ","|",3))+1,FIND("|",SUBSTITUTE($H1756&amp;" "," ","|",4))-FIND("|",SUBSTITUTE($H1756&amp;" "," ","|",3))-1),""))</f>
        <v/>
      </c>
      <c r="F1756" s="59">
        <f>IF($H1756="","",IFERROR(VALUE(IFERROR(MID($H1756&amp;" ",FIND("|",SUBSTITUTE($H1756&amp;" "," ","|",4))+1,FIND("|",SUBSTITUTE($H1756&amp;" "," ","|",5))-FIND("|",SUBSTITUTE($H1756&amp;" "," ","|",4))-1),""))/86400+25569+9/24,""))</f>
        <v/>
      </c>
      <c r="G1756" s="58">
        <f>TRIM(SUBSTITUTE(SUBSTITUTE(SUBSTITUTE($A1756,CHAR(9)," ")," "," "),CHAR(13),""))</f>
        <v/>
      </c>
      <c r="H1756" s="58">
        <f>IF($G1756="","",IF(ISNUMBER(FIND(" ",$G1756)),$G1756,IFERROR(IF((LEN(SUBSTITUTE(SUBSTITUTE($G1756,"-"," ",LEN($G1756)-LEN(SUBSTITUTE($G1756,"-",""))),"-"," ",LEN($G1756)-LEN(SUBSTITUTE($G1756,"-",""))-1))-LEN(SUBSTITUTE(SUBSTITUTE(SUBSTITUTE($G1756,"-"," ",LEN($G1756)-LEN(SUBSTITUTE($G1756,"-",""))),"-"," ",LEN($G1756)-LEN(SUBSTITUTE($G1756,"-",""))-1),".","")))=0,SUBSTITUTE(SUBSTITUTE($G1756,"-"," ",LEN($G1756)-LEN(SUBSTITUTE($G1756,"-",""))),"-"," ",LEN($G1756)-LEN(SUBSTITUTE($G1756,"-",""))-1),SUBSTITUTE(SUBSTITUTE(SUBSTITUTE($G1756,"-"," ",LEN($G1756)-LEN(SUBSTITUTE($G1756,"-",""))),"-"," ",LEN($G1756)-LEN(SUBSTITUTE($G1756,"-",""))-1),"."," ",(LEN(SUBSTITUTE(SUBSTITUTE($G1756,"-"," ",LEN($G1756)-LEN(SUBSTITUTE($G1756,"-",""))),"-"," ",LEN($G1756)-LEN(SUBSTITUTE($G1756,"-",""))-1))-LEN(SUBSTITUTE(SUBSTITUTE(SUBSTITUTE($G1756,"-"," ",LEN($G1756)-LEN(SUBSTITUTE($G1756,"-",""))),"-"," ",LEN($G1756)-LEN(SUBSTITUTE($G1756,"-",""))-1),".",""))))),$G1756)))</f>
        <v/>
      </c>
    </row>
    <row r="1757">
      <c r="A1757" s="58" t="n"/>
      <c r="B1757" s="58">
        <f>IF($H1757="","",LEFT($H1757,FIND(" ",$H1757&amp;" ")-1))</f>
        <v/>
      </c>
      <c r="C1757" s="58">
        <f>IF($H1757="","",IFERROR(MID($H1757&amp;" ",FIND("|",SUBSTITUTE($H1757&amp;" "," ","|",1))+1,FIND("|",SUBSTITUTE($H1757&amp;" "," ","|",2))-FIND("|",SUBSTITUTE($H1757&amp;" "," ","|",1))-1),""))</f>
        <v/>
      </c>
      <c r="D1757" s="58">
        <f>IF($H1757="","",IFERROR(MID($H1757&amp;" ",FIND("|",SUBSTITUTE($H1757&amp;" "," ","|",2))+1,FIND("|",SUBSTITUTE($H1757&amp;" "," ","|",3))-FIND("|",SUBSTITUTE($H1757&amp;" "," ","|",2))-1),""))</f>
        <v/>
      </c>
      <c r="E1757" s="58">
        <f>IF($H1757="","",IFERROR(MID($H1757&amp;" ",FIND("|",SUBSTITUTE($H1757&amp;" "," ","|",3))+1,FIND("|",SUBSTITUTE($H1757&amp;" "," ","|",4))-FIND("|",SUBSTITUTE($H1757&amp;" "," ","|",3))-1),""))</f>
        <v/>
      </c>
      <c r="F1757" s="59">
        <f>IF($H1757="","",IFERROR(VALUE(IFERROR(MID($H1757&amp;" ",FIND("|",SUBSTITUTE($H1757&amp;" "," ","|",4))+1,FIND("|",SUBSTITUTE($H1757&amp;" "," ","|",5))-FIND("|",SUBSTITUTE($H1757&amp;" "," ","|",4))-1),""))/86400+25569+9/24,""))</f>
        <v/>
      </c>
      <c r="G1757" s="58">
        <f>TRIM(SUBSTITUTE(SUBSTITUTE(SUBSTITUTE($A1757,CHAR(9)," ")," "," "),CHAR(13),""))</f>
        <v/>
      </c>
      <c r="H1757" s="58">
        <f>IF($G1757="","",IF(ISNUMBER(FIND(" ",$G1757)),$G1757,IFERROR(IF((LEN(SUBSTITUTE(SUBSTITUTE($G1757,"-"," ",LEN($G1757)-LEN(SUBSTITUTE($G1757,"-",""))),"-"," ",LEN($G1757)-LEN(SUBSTITUTE($G1757,"-",""))-1))-LEN(SUBSTITUTE(SUBSTITUTE(SUBSTITUTE($G1757,"-"," ",LEN($G1757)-LEN(SUBSTITUTE($G1757,"-",""))),"-"," ",LEN($G1757)-LEN(SUBSTITUTE($G1757,"-",""))-1),".","")))=0,SUBSTITUTE(SUBSTITUTE($G1757,"-"," ",LEN($G1757)-LEN(SUBSTITUTE($G1757,"-",""))),"-"," ",LEN($G1757)-LEN(SUBSTITUTE($G1757,"-",""))-1),SUBSTITUTE(SUBSTITUTE(SUBSTITUTE($G1757,"-"," ",LEN($G1757)-LEN(SUBSTITUTE($G1757,"-",""))),"-"," ",LEN($G1757)-LEN(SUBSTITUTE($G1757,"-",""))-1),"."," ",(LEN(SUBSTITUTE(SUBSTITUTE($G1757,"-"," ",LEN($G1757)-LEN(SUBSTITUTE($G1757,"-",""))),"-"," ",LEN($G1757)-LEN(SUBSTITUTE($G1757,"-",""))-1))-LEN(SUBSTITUTE(SUBSTITUTE(SUBSTITUTE($G1757,"-"," ",LEN($G1757)-LEN(SUBSTITUTE($G1757,"-",""))),"-"," ",LEN($G1757)-LEN(SUBSTITUTE($G1757,"-",""))-1),".",""))))),$G1757)))</f>
        <v/>
      </c>
    </row>
    <row r="1758">
      <c r="A1758" s="58" t="n"/>
      <c r="B1758" s="58">
        <f>IF($H1758="","",LEFT($H1758,FIND(" ",$H1758&amp;" ")-1))</f>
        <v/>
      </c>
      <c r="C1758" s="58">
        <f>IF($H1758="","",IFERROR(MID($H1758&amp;" ",FIND("|",SUBSTITUTE($H1758&amp;" "," ","|",1))+1,FIND("|",SUBSTITUTE($H1758&amp;" "," ","|",2))-FIND("|",SUBSTITUTE($H1758&amp;" "," ","|",1))-1),""))</f>
        <v/>
      </c>
      <c r="D1758" s="58">
        <f>IF($H1758="","",IFERROR(MID($H1758&amp;" ",FIND("|",SUBSTITUTE($H1758&amp;" "," ","|",2))+1,FIND("|",SUBSTITUTE($H1758&amp;" "," ","|",3))-FIND("|",SUBSTITUTE($H1758&amp;" "," ","|",2))-1),""))</f>
        <v/>
      </c>
      <c r="E1758" s="58">
        <f>IF($H1758="","",IFERROR(MID($H1758&amp;" ",FIND("|",SUBSTITUTE($H1758&amp;" "," ","|",3))+1,FIND("|",SUBSTITUTE($H1758&amp;" "," ","|",4))-FIND("|",SUBSTITUTE($H1758&amp;" "," ","|",3))-1),""))</f>
        <v/>
      </c>
      <c r="F1758" s="59">
        <f>IF($H1758="","",IFERROR(VALUE(IFERROR(MID($H1758&amp;" ",FIND("|",SUBSTITUTE($H1758&amp;" "," ","|",4))+1,FIND("|",SUBSTITUTE($H1758&amp;" "," ","|",5))-FIND("|",SUBSTITUTE($H1758&amp;" "," ","|",4))-1),""))/86400+25569+9/24,""))</f>
        <v/>
      </c>
      <c r="G1758" s="58">
        <f>TRIM(SUBSTITUTE(SUBSTITUTE(SUBSTITUTE($A1758,CHAR(9)," ")," "," "),CHAR(13),""))</f>
        <v/>
      </c>
      <c r="H1758" s="58">
        <f>IF($G1758="","",IF(ISNUMBER(FIND(" ",$G1758)),$G1758,IFERROR(IF((LEN(SUBSTITUTE(SUBSTITUTE($G1758,"-"," ",LEN($G1758)-LEN(SUBSTITUTE($G1758,"-",""))),"-"," ",LEN($G1758)-LEN(SUBSTITUTE($G1758,"-",""))-1))-LEN(SUBSTITUTE(SUBSTITUTE(SUBSTITUTE($G1758,"-"," ",LEN($G1758)-LEN(SUBSTITUTE($G1758,"-",""))),"-"," ",LEN($G1758)-LEN(SUBSTITUTE($G1758,"-",""))-1),".","")))=0,SUBSTITUTE(SUBSTITUTE($G1758,"-"," ",LEN($G1758)-LEN(SUBSTITUTE($G1758,"-",""))),"-"," ",LEN($G1758)-LEN(SUBSTITUTE($G1758,"-",""))-1),SUBSTITUTE(SUBSTITUTE(SUBSTITUTE($G1758,"-"," ",LEN($G1758)-LEN(SUBSTITUTE($G1758,"-",""))),"-"," ",LEN($G1758)-LEN(SUBSTITUTE($G1758,"-",""))-1),"."," ",(LEN(SUBSTITUTE(SUBSTITUTE($G1758,"-"," ",LEN($G1758)-LEN(SUBSTITUTE($G1758,"-",""))),"-"," ",LEN($G1758)-LEN(SUBSTITUTE($G1758,"-",""))-1))-LEN(SUBSTITUTE(SUBSTITUTE(SUBSTITUTE($G1758,"-"," ",LEN($G1758)-LEN(SUBSTITUTE($G1758,"-",""))),"-"," ",LEN($G1758)-LEN(SUBSTITUTE($G1758,"-",""))-1),".",""))))),$G1758)))</f>
        <v/>
      </c>
    </row>
    <row r="1759">
      <c r="A1759" s="58" t="n"/>
      <c r="B1759" s="58">
        <f>IF($H1759="","",LEFT($H1759,FIND(" ",$H1759&amp;" ")-1))</f>
        <v/>
      </c>
      <c r="C1759" s="58">
        <f>IF($H1759="","",IFERROR(MID($H1759&amp;" ",FIND("|",SUBSTITUTE($H1759&amp;" "," ","|",1))+1,FIND("|",SUBSTITUTE($H1759&amp;" "," ","|",2))-FIND("|",SUBSTITUTE($H1759&amp;" "," ","|",1))-1),""))</f>
        <v/>
      </c>
      <c r="D1759" s="58">
        <f>IF($H1759="","",IFERROR(MID($H1759&amp;" ",FIND("|",SUBSTITUTE($H1759&amp;" "," ","|",2))+1,FIND("|",SUBSTITUTE($H1759&amp;" "," ","|",3))-FIND("|",SUBSTITUTE($H1759&amp;" "," ","|",2))-1),""))</f>
        <v/>
      </c>
      <c r="E1759" s="58">
        <f>IF($H1759="","",IFERROR(MID($H1759&amp;" ",FIND("|",SUBSTITUTE($H1759&amp;" "," ","|",3))+1,FIND("|",SUBSTITUTE($H1759&amp;" "," ","|",4))-FIND("|",SUBSTITUTE($H1759&amp;" "," ","|",3))-1),""))</f>
        <v/>
      </c>
      <c r="F1759" s="59">
        <f>IF($H1759="","",IFERROR(VALUE(IFERROR(MID($H1759&amp;" ",FIND("|",SUBSTITUTE($H1759&amp;" "," ","|",4))+1,FIND("|",SUBSTITUTE($H1759&amp;" "," ","|",5))-FIND("|",SUBSTITUTE($H1759&amp;" "," ","|",4))-1),""))/86400+25569+9/24,""))</f>
        <v/>
      </c>
      <c r="G1759" s="58">
        <f>TRIM(SUBSTITUTE(SUBSTITUTE(SUBSTITUTE($A1759,CHAR(9)," ")," "," "),CHAR(13),""))</f>
        <v/>
      </c>
      <c r="H1759" s="58">
        <f>IF($G1759="","",IF(ISNUMBER(FIND(" ",$G1759)),$G1759,IFERROR(IF((LEN(SUBSTITUTE(SUBSTITUTE($G1759,"-"," ",LEN($G1759)-LEN(SUBSTITUTE($G1759,"-",""))),"-"," ",LEN($G1759)-LEN(SUBSTITUTE($G1759,"-",""))-1))-LEN(SUBSTITUTE(SUBSTITUTE(SUBSTITUTE($G1759,"-"," ",LEN($G1759)-LEN(SUBSTITUTE($G1759,"-",""))),"-"," ",LEN($G1759)-LEN(SUBSTITUTE($G1759,"-",""))-1),".","")))=0,SUBSTITUTE(SUBSTITUTE($G1759,"-"," ",LEN($G1759)-LEN(SUBSTITUTE($G1759,"-",""))),"-"," ",LEN($G1759)-LEN(SUBSTITUTE($G1759,"-",""))-1),SUBSTITUTE(SUBSTITUTE(SUBSTITUTE($G1759,"-"," ",LEN($G1759)-LEN(SUBSTITUTE($G1759,"-",""))),"-"," ",LEN($G1759)-LEN(SUBSTITUTE($G1759,"-",""))-1),"."," ",(LEN(SUBSTITUTE(SUBSTITUTE($G1759,"-"," ",LEN($G1759)-LEN(SUBSTITUTE($G1759,"-",""))),"-"," ",LEN($G1759)-LEN(SUBSTITUTE($G1759,"-",""))-1))-LEN(SUBSTITUTE(SUBSTITUTE(SUBSTITUTE($G1759,"-"," ",LEN($G1759)-LEN(SUBSTITUTE($G1759,"-",""))),"-"," ",LEN($G1759)-LEN(SUBSTITUTE($G1759,"-",""))-1),".",""))))),$G1759)))</f>
        <v/>
      </c>
    </row>
    <row r="1760">
      <c r="A1760" s="58" t="n"/>
      <c r="B1760" s="58">
        <f>IF($H1760="","",LEFT($H1760,FIND(" ",$H1760&amp;" ")-1))</f>
        <v/>
      </c>
      <c r="C1760" s="58">
        <f>IF($H1760="","",IFERROR(MID($H1760&amp;" ",FIND("|",SUBSTITUTE($H1760&amp;" "," ","|",1))+1,FIND("|",SUBSTITUTE($H1760&amp;" "," ","|",2))-FIND("|",SUBSTITUTE($H1760&amp;" "," ","|",1))-1),""))</f>
        <v/>
      </c>
      <c r="D1760" s="58">
        <f>IF($H1760="","",IFERROR(MID($H1760&amp;" ",FIND("|",SUBSTITUTE($H1760&amp;" "," ","|",2))+1,FIND("|",SUBSTITUTE($H1760&amp;" "," ","|",3))-FIND("|",SUBSTITUTE($H1760&amp;" "," ","|",2))-1),""))</f>
        <v/>
      </c>
      <c r="E1760" s="58">
        <f>IF($H1760="","",IFERROR(MID($H1760&amp;" ",FIND("|",SUBSTITUTE($H1760&amp;" "," ","|",3))+1,FIND("|",SUBSTITUTE($H1760&amp;" "," ","|",4))-FIND("|",SUBSTITUTE($H1760&amp;" "," ","|",3))-1),""))</f>
        <v/>
      </c>
      <c r="F1760" s="59">
        <f>IF($H1760="","",IFERROR(VALUE(IFERROR(MID($H1760&amp;" ",FIND("|",SUBSTITUTE($H1760&amp;" "," ","|",4))+1,FIND("|",SUBSTITUTE($H1760&amp;" "," ","|",5))-FIND("|",SUBSTITUTE($H1760&amp;" "," ","|",4))-1),""))/86400+25569+9/24,""))</f>
        <v/>
      </c>
      <c r="G1760" s="58">
        <f>TRIM(SUBSTITUTE(SUBSTITUTE(SUBSTITUTE($A1760,CHAR(9)," ")," "," "),CHAR(13),""))</f>
        <v/>
      </c>
      <c r="H1760" s="58">
        <f>IF($G1760="","",IF(ISNUMBER(FIND(" ",$G1760)),$G1760,IFERROR(IF((LEN(SUBSTITUTE(SUBSTITUTE($G1760,"-"," ",LEN($G1760)-LEN(SUBSTITUTE($G1760,"-",""))),"-"," ",LEN($G1760)-LEN(SUBSTITUTE($G1760,"-",""))-1))-LEN(SUBSTITUTE(SUBSTITUTE(SUBSTITUTE($G1760,"-"," ",LEN($G1760)-LEN(SUBSTITUTE($G1760,"-",""))),"-"," ",LEN($G1760)-LEN(SUBSTITUTE($G1760,"-",""))-1),".","")))=0,SUBSTITUTE(SUBSTITUTE($G1760,"-"," ",LEN($G1760)-LEN(SUBSTITUTE($G1760,"-",""))),"-"," ",LEN($G1760)-LEN(SUBSTITUTE($G1760,"-",""))-1),SUBSTITUTE(SUBSTITUTE(SUBSTITUTE($G1760,"-"," ",LEN($G1760)-LEN(SUBSTITUTE($G1760,"-",""))),"-"," ",LEN($G1760)-LEN(SUBSTITUTE($G1760,"-",""))-1),"."," ",(LEN(SUBSTITUTE(SUBSTITUTE($G1760,"-"," ",LEN($G1760)-LEN(SUBSTITUTE($G1760,"-",""))),"-"," ",LEN($G1760)-LEN(SUBSTITUTE($G1760,"-",""))-1))-LEN(SUBSTITUTE(SUBSTITUTE(SUBSTITUTE($G1760,"-"," ",LEN($G1760)-LEN(SUBSTITUTE($G1760,"-",""))),"-"," ",LEN($G1760)-LEN(SUBSTITUTE($G1760,"-",""))-1),".",""))))),$G1760)))</f>
        <v/>
      </c>
    </row>
    <row r="1761">
      <c r="A1761" s="58" t="n"/>
      <c r="B1761" s="58">
        <f>IF($H1761="","",LEFT($H1761,FIND(" ",$H1761&amp;" ")-1))</f>
        <v/>
      </c>
      <c r="C1761" s="58">
        <f>IF($H1761="","",IFERROR(MID($H1761&amp;" ",FIND("|",SUBSTITUTE($H1761&amp;" "," ","|",1))+1,FIND("|",SUBSTITUTE($H1761&amp;" "," ","|",2))-FIND("|",SUBSTITUTE($H1761&amp;" "," ","|",1))-1),""))</f>
        <v/>
      </c>
      <c r="D1761" s="58">
        <f>IF($H1761="","",IFERROR(MID($H1761&amp;" ",FIND("|",SUBSTITUTE($H1761&amp;" "," ","|",2))+1,FIND("|",SUBSTITUTE($H1761&amp;" "," ","|",3))-FIND("|",SUBSTITUTE($H1761&amp;" "," ","|",2))-1),""))</f>
        <v/>
      </c>
      <c r="E1761" s="58">
        <f>IF($H1761="","",IFERROR(MID($H1761&amp;" ",FIND("|",SUBSTITUTE($H1761&amp;" "," ","|",3))+1,FIND("|",SUBSTITUTE($H1761&amp;" "," ","|",4))-FIND("|",SUBSTITUTE($H1761&amp;" "," ","|",3))-1),""))</f>
        <v/>
      </c>
      <c r="F1761" s="59">
        <f>IF($H1761="","",IFERROR(VALUE(IFERROR(MID($H1761&amp;" ",FIND("|",SUBSTITUTE($H1761&amp;" "," ","|",4))+1,FIND("|",SUBSTITUTE($H1761&amp;" "," ","|",5))-FIND("|",SUBSTITUTE($H1761&amp;" "," ","|",4))-1),""))/86400+25569+9/24,""))</f>
        <v/>
      </c>
      <c r="G1761" s="58">
        <f>TRIM(SUBSTITUTE(SUBSTITUTE(SUBSTITUTE($A1761,CHAR(9)," ")," "," "),CHAR(13),""))</f>
        <v/>
      </c>
      <c r="H1761" s="58">
        <f>IF($G1761="","",IF(ISNUMBER(FIND(" ",$G1761)),$G1761,IFERROR(IF((LEN(SUBSTITUTE(SUBSTITUTE($G1761,"-"," ",LEN($G1761)-LEN(SUBSTITUTE($G1761,"-",""))),"-"," ",LEN($G1761)-LEN(SUBSTITUTE($G1761,"-",""))-1))-LEN(SUBSTITUTE(SUBSTITUTE(SUBSTITUTE($G1761,"-"," ",LEN($G1761)-LEN(SUBSTITUTE($G1761,"-",""))),"-"," ",LEN($G1761)-LEN(SUBSTITUTE($G1761,"-",""))-1),".","")))=0,SUBSTITUTE(SUBSTITUTE($G1761,"-"," ",LEN($G1761)-LEN(SUBSTITUTE($G1761,"-",""))),"-"," ",LEN($G1761)-LEN(SUBSTITUTE($G1761,"-",""))-1),SUBSTITUTE(SUBSTITUTE(SUBSTITUTE($G1761,"-"," ",LEN($G1761)-LEN(SUBSTITUTE($G1761,"-",""))),"-"," ",LEN($G1761)-LEN(SUBSTITUTE($G1761,"-",""))-1),"."," ",(LEN(SUBSTITUTE(SUBSTITUTE($G1761,"-"," ",LEN($G1761)-LEN(SUBSTITUTE($G1761,"-",""))),"-"," ",LEN($G1761)-LEN(SUBSTITUTE($G1761,"-",""))-1))-LEN(SUBSTITUTE(SUBSTITUTE(SUBSTITUTE($G1761,"-"," ",LEN($G1761)-LEN(SUBSTITUTE($G1761,"-",""))),"-"," ",LEN($G1761)-LEN(SUBSTITUTE($G1761,"-",""))-1),".",""))))),$G1761)))</f>
        <v/>
      </c>
    </row>
    <row r="1762">
      <c r="A1762" s="58" t="n"/>
      <c r="B1762" s="58">
        <f>IF($H1762="","",LEFT($H1762,FIND(" ",$H1762&amp;" ")-1))</f>
        <v/>
      </c>
      <c r="C1762" s="58">
        <f>IF($H1762="","",IFERROR(MID($H1762&amp;" ",FIND("|",SUBSTITUTE($H1762&amp;" "," ","|",1))+1,FIND("|",SUBSTITUTE($H1762&amp;" "," ","|",2))-FIND("|",SUBSTITUTE($H1762&amp;" "," ","|",1))-1),""))</f>
        <v/>
      </c>
      <c r="D1762" s="58">
        <f>IF($H1762="","",IFERROR(MID($H1762&amp;" ",FIND("|",SUBSTITUTE($H1762&amp;" "," ","|",2))+1,FIND("|",SUBSTITUTE($H1762&amp;" "," ","|",3))-FIND("|",SUBSTITUTE($H1762&amp;" "," ","|",2))-1),""))</f>
        <v/>
      </c>
      <c r="E1762" s="58">
        <f>IF($H1762="","",IFERROR(MID($H1762&amp;" ",FIND("|",SUBSTITUTE($H1762&amp;" "," ","|",3))+1,FIND("|",SUBSTITUTE($H1762&amp;" "," ","|",4))-FIND("|",SUBSTITUTE($H1762&amp;" "," ","|",3))-1),""))</f>
        <v/>
      </c>
      <c r="F1762" s="59">
        <f>IF($H1762="","",IFERROR(VALUE(IFERROR(MID($H1762&amp;" ",FIND("|",SUBSTITUTE($H1762&amp;" "," ","|",4))+1,FIND("|",SUBSTITUTE($H1762&amp;" "," ","|",5))-FIND("|",SUBSTITUTE($H1762&amp;" "," ","|",4))-1),""))/86400+25569+9/24,""))</f>
        <v/>
      </c>
      <c r="G1762" s="58">
        <f>TRIM(SUBSTITUTE(SUBSTITUTE(SUBSTITUTE($A1762,CHAR(9)," ")," "," "),CHAR(13),""))</f>
        <v/>
      </c>
      <c r="H1762" s="58">
        <f>IF($G1762="","",IF(ISNUMBER(FIND(" ",$G1762)),$G1762,IFERROR(IF((LEN(SUBSTITUTE(SUBSTITUTE($G1762,"-"," ",LEN($G1762)-LEN(SUBSTITUTE($G1762,"-",""))),"-"," ",LEN($G1762)-LEN(SUBSTITUTE($G1762,"-",""))-1))-LEN(SUBSTITUTE(SUBSTITUTE(SUBSTITUTE($G1762,"-"," ",LEN($G1762)-LEN(SUBSTITUTE($G1762,"-",""))),"-"," ",LEN($G1762)-LEN(SUBSTITUTE($G1762,"-",""))-1),".","")))=0,SUBSTITUTE(SUBSTITUTE($G1762,"-"," ",LEN($G1762)-LEN(SUBSTITUTE($G1762,"-",""))),"-"," ",LEN($G1762)-LEN(SUBSTITUTE($G1762,"-",""))-1),SUBSTITUTE(SUBSTITUTE(SUBSTITUTE($G1762,"-"," ",LEN($G1762)-LEN(SUBSTITUTE($G1762,"-",""))),"-"," ",LEN($G1762)-LEN(SUBSTITUTE($G1762,"-",""))-1),"."," ",(LEN(SUBSTITUTE(SUBSTITUTE($G1762,"-"," ",LEN($G1762)-LEN(SUBSTITUTE($G1762,"-",""))),"-"," ",LEN($G1762)-LEN(SUBSTITUTE($G1762,"-",""))-1))-LEN(SUBSTITUTE(SUBSTITUTE(SUBSTITUTE($G1762,"-"," ",LEN($G1762)-LEN(SUBSTITUTE($G1762,"-",""))),"-"," ",LEN($G1762)-LEN(SUBSTITUTE($G1762,"-",""))-1),".",""))))),$G1762)))</f>
        <v/>
      </c>
    </row>
    <row r="1763">
      <c r="A1763" s="58" t="n"/>
      <c r="B1763" s="58">
        <f>IF($H1763="","",LEFT($H1763,FIND(" ",$H1763&amp;" ")-1))</f>
        <v/>
      </c>
      <c r="C1763" s="58">
        <f>IF($H1763="","",IFERROR(MID($H1763&amp;" ",FIND("|",SUBSTITUTE($H1763&amp;" "," ","|",1))+1,FIND("|",SUBSTITUTE($H1763&amp;" "," ","|",2))-FIND("|",SUBSTITUTE($H1763&amp;" "," ","|",1))-1),""))</f>
        <v/>
      </c>
      <c r="D1763" s="58">
        <f>IF($H1763="","",IFERROR(MID($H1763&amp;" ",FIND("|",SUBSTITUTE($H1763&amp;" "," ","|",2))+1,FIND("|",SUBSTITUTE($H1763&amp;" "," ","|",3))-FIND("|",SUBSTITUTE($H1763&amp;" "," ","|",2))-1),""))</f>
        <v/>
      </c>
      <c r="E1763" s="58">
        <f>IF($H1763="","",IFERROR(MID($H1763&amp;" ",FIND("|",SUBSTITUTE($H1763&amp;" "," ","|",3))+1,FIND("|",SUBSTITUTE($H1763&amp;" "," ","|",4))-FIND("|",SUBSTITUTE($H1763&amp;" "," ","|",3))-1),""))</f>
        <v/>
      </c>
      <c r="F1763" s="59">
        <f>IF($H1763="","",IFERROR(VALUE(IFERROR(MID($H1763&amp;" ",FIND("|",SUBSTITUTE($H1763&amp;" "," ","|",4))+1,FIND("|",SUBSTITUTE($H1763&amp;" "," ","|",5))-FIND("|",SUBSTITUTE($H1763&amp;" "," ","|",4))-1),""))/86400+25569+9/24,""))</f>
        <v/>
      </c>
      <c r="G1763" s="58">
        <f>TRIM(SUBSTITUTE(SUBSTITUTE(SUBSTITUTE($A1763,CHAR(9)," ")," "," "),CHAR(13),""))</f>
        <v/>
      </c>
      <c r="H1763" s="58">
        <f>IF($G1763="","",IF(ISNUMBER(FIND(" ",$G1763)),$G1763,IFERROR(IF((LEN(SUBSTITUTE(SUBSTITUTE($G1763,"-"," ",LEN($G1763)-LEN(SUBSTITUTE($G1763,"-",""))),"-"," ",LEN($G1763)-LEN(SUBSTITUTE($G1763,"-",""))-1))-LEN(SUBSTITUTE(SUBSTITUTE(SUBSTITUTE($G1763,"-"," ",LEN($G1763)-LEN(SUBSTITUTE($G1763,"-",""))),"-"," ",LEN($G1763)-LEN(SUBSTITUTE($G1763,"-",""))-1),".","")))=0,SUBSTITUTE(SUBSTITUTE($G1763,"-"," ",LEN($G1763)-LEN(SUBSTITUTE($G1763,"-",""))),"-"," ",LEN($G1763)-LEN(SUBSTITUTE($G1763,"-",""))-1),SUBSTITUTE(SUBSTITUTE(SUBSTITUTE($G1763,"-"," ",LEN($G1763)-LEN(SUBSTITUTE($G1763,"-",""))),"-"," ",LEN($G1763)-LEN(SUBSTITUTE($G1763,"-",""))-1),"."," ",(LEN(SUBSTITUTE(SUBSTITUTE($G1763,"-"," ",LEN($G1763)-LEN(SUBSTITUTE($G1763,"-",""))),"-"," ",LEN($G1763)-LEN(SUBSTITUTE($G1763,"-",""))-1))-LEN(SUBSTITUTE(SUBSTITUTE(SUBSTITUTE($G1763,"-"," ",LEN($G1763)-LEN(SUBSTITUTE($G1763,"-",""))),"-"," ",LEN($G1763)-LEN(SUBSTITUTE($G1763,"-",""))-1),".",""))))),$G1763)))</f>
        <v/>
      </c>
    </row>
    <row r="1764">
      <c r="A1764" s="58" t="n"/>
      <c r="B1764" s="58">
        <f>IF($H1764="","",LEFT($H1764,FIND(" ",$H1764&amp;" ")-1))</f>
        <v/>
      </c>
      <c r="C1764" s="58">
        <f>IF($H1764="","",IFERROR(MID($H1764&amp;" ",FIND("|",SUBSTITUTE($H1764&amp;" "," ","|",1))+1,FIND("|",SUBSTITUTE($H1764&amp;" "," ","|",2))-FIND("|",SUBSTITUTE($H1764&amp;" "," ","|",1))-1),""))</f>
        <v/>
      </c>
      <c r="D1764" s="58">
        <f>IF($H1764="","",IFERROR(MID($H1764&amp;" ",FIND("|",SUBSTITUTE($H1764&amp;" "," ","|",2))+1,FIND("|",SUBSTITUTE($H1764&amp;" "," ","|",3))-FIND("|",SUBSTITUTE($H1764&amp;" "," ","|",2))-1),""))</f>
        <v/>
      </c>
      <c r="E1764" s="58">
        <f>IF($H1764="","",IFERROR(MID($H1764&amp;" ",FIND("|",SUBSTITUTE($H1764&amp;" "," ","|",3))+1,FIND("|",SUBSTITUTE($H1764&amp;" "," ","|",4))-FIND("|",SUBSTITUTE($H1764&amp;" "," ","|",3))-1),""))</f>
        <v/>
      </c>
      <c r="F1764" s="59">
        <f>IF($H1764="","",IFERROR(VALUE(IFERROR(MID($H1764&amp;" ",FIND("|",SUBSTITUTE($H1764&amp;" "," ","|",4))+1,FIND("|",SUBSTITUTE($H1764&amp;" "," ","|",5))-FIND("|",SUBSTITUTE($H1764&amp;" "," ","|",4))-1),""))/86400+25569+9/24,""))</f>
        <v/>
      </c>
      <c r="G1764" s="58">
        <f>TRIM(SUBSTITUTE(SUBSTITUTE(SUBSTITUTE($A1764,CHAR(9)," ")," "," "),CHAR(13),""))</f>
        <v/>
      </c>
      <c r="H1764" s="58">
        <f>IF($G1764="","",IF(ISNUMBER(FIND(" ",$G1764)),$G1764,IFERROR(IF((LEN(SUBSTITUTE(SUBSTITUTE($G1764,"-"," ",LEN($G1764)-LEN(SUBSTITUTE($G1764,"-",""))),"-"," ",LEN($G1764)-LEN(SUBSTITUTE($G1764,"-",""))-1))-LEN(SUBSTITUTE(SUBSTITUTE(SUBSTITUTE($G1764,"-"," ",LEN($G1764)-LEN(SUBSTITUTE($G1764,"-",""))),"-"," ",LEN($G1764)-LEN(SUBSTITUTE($G1764,"-",""))-1),".","")))=0,SUBSTITUTE(SUBSTITUTE($G1764,"-"," ",LEN($G1764)-LEN(SUBSTITUTE($G1764,"-",""))),"-"," ",LEN($G1764)-LEN(SUBSTITUTE($G1764,"-",""))-1),SUBSTITUTE(SUBSTITUTE(SUBSTITUTE($G1764,"-"," ",LEN($G1764)-LEN(SUBSTITUTE($G1764,"-",""))),"-"," ",LEN($G1764)-LEN(SUBSTITUTE($G1764,"-",""))-1),"."," ",(LEN(SUBSTITUTE(SUBSTITUTE($G1764,"-"," ",LEN($G1764)-LEN(SUBSTITUTE($G1764,"-",""))),"-"," ",LEN($G1764)-LEN(SUBSTITUTE($G1764,"-",""))-1))-LEN(SUBSTITUTE(SUBSTITUTE(SUBSTITUTE($G1764,"-"," ",LEN($G1764)-LEN(SUBSTITUTE($G1764,"-",""))),"-"," ",LEN($G1764)-LEN(SUBSTITUTE($G1764,"-",""))-1),".",""))))),$G1764)))</f>
        <v/>
      </c>
    </row>
    <row r="1765">
      <c r="A1765" s="58" t="n"/>
      <c r="B1765" s="58">
        <f>IF($H1765="","",LEFT($H1765,FIND(" ",$H1765&amp;" ")-1))</f>
        <v/>
      </c>
      <c r="C1765" s="58">
        <f>IF($H1765="","",IFERROR(MID($H1765&amp;" ",FIND("|",SUBSTITUTE($H1765&amp;" "," ","|",1))+1,FIND("|",SUBSTITUTE($H1765&amp;" "," ","|",2))-FIND("|",SUBSTITUTE($H1765&amp;" "," ","|",1))-1),""))</f>
        <v/>
      </c>
      <c r="D1765" s="58">
        <f>IF($H1765="","",IFERROR(MID($H1765&amp;" ",FIND("|",SUBSTITUTE($H1765&amp;" "," ","|",2))+1,FIND("|",SUBSTITUTE($H1765&amp;" "," ","|",3))-FIND("|",SUBSTITUTE($H1765&amp;" "," ","|",2))-1),""))</f>
        <v/>
      </c>
      <c r="E1765" s="58">
        <f>IF($H1765="","",IFERROR(MID($H1765&amp;" ",FIND("|",SUBSTITUTE($H1765&amp;" "," ","|",3))+1,FIND("|",SUBSTITUTE($H1765&amp;" "," ","|",4))-FIND("|",SUBSTITUTE($H1765&amp;" "," ","|",3))-1),""))</f>
        <v/>
      </c>
      <c r="F1765" s="59">
        <f>IF($H1765="","",IFERROR(VALUE(IFERROR(MID($H1765&amp;" ",FIND("|",SUBSTITUTE($H1765&amp;" "," ","|",4))+1,FIND("|",SUBSTITUTE($H1765&amp;" "," ","|",5))-FIND("|",SUBSTITUTE($H1765&amp;" "," ","|",4))-1),""))/86400+25569+9/24,""))</f>
        <v/>
      </c>
      <c r="G1765" s="58">
        <f>TRIM(SUBSTITUTE(SUBSTITUTE(SUBSTITUTE($A1765,CHAR(9)," ")," "," "),CHAR(13),""))</f>
        <v/>
      </c>
      <c r="H1765" s="58">
        <f>IF($G1765="","",IF(ISNUMBER(FIND(" ",$G1765)),$G1765,IFERROR(IF((LEN(SUBSTITUTE(SUBSTITUTE($G1765,"-"," ",LEN($G1765)-LEN(SUBSTITUTE($G1765,"-",""))),"-"," ",LEN($G1765)-LEN(SUBSTITUTE($G1765,"-",""))-1))-LEN(SUBSTITUTE(SUBSTITUTE(SUBSTITUTE($G1765,"-"," ",LEN($G1765)-LEN(SUBSTITUTE($G1765,"-",""))),"-"," ",LEN($G1765)-LEN(SUBSTITUTE($G1765,"-",""))-1),".","")))=0,SUBSTITUTE(SUBSTITUTE($G1765,"-"," ",LEN($G1765)-LEN(SUBSTITUTE($G1765,"-",""))),"-"," ",LEN($G1765)-LEN(SUBSTITUTE($G1765,"-",""))-1),SUBSTITUTE(SUBSTITUTE(SUBSTITUTE($G1765,"-"," ",LEN($G1765)-LEN(SUBSTITUTE($G1765,"-",""))),"-"," ",LEN($G1765)-LEN(SUBSTITUTE($G1765,"-",""))-1),"."," ",(LEN(SUBSTITUTE(SUBSTITUTE($G1765,"-"," ",LEN($G1765)-LEN(SUBSTITUTE($G1765,"-",""))),"-"," ",LEN($G1765)-LEN(SUBSTITUTE($G1765,"-",""))-1))-LEN(SUBSTITUTE(SUBSTITUTE(SUBSTITUTE($G1765,"-"," ",LEN($G1765)-LEN(SUBSTITUTE($G1765,"-",""))),"-"," ",LEN($G1765)-LEN(SUBSTITUTE($G1765,"-",""))-1),".",""))))),$G1765)))</f>
        <v/>
      </c>
    </row>
    <row r="1766">
      <c r="A1766" s="58" t="n"/>
      <c r="B1766" s="58">
        <f>IF($H1766="","",LEFT($H1766,FIND(" ",$H1766&amp;" ")-1))</f>
        <v/>
      </c>
      <c r="C1766" s="58">
        <f>IF($H1766="","",IFERROR(MID($H1766&amp;" ",FIND("|",SUBSTITUTE($H1766&amp;" "," ","|",1))+1,FIND("|",SUBSTITUTE($H1766&amp;" "," ","|",2))-FIND("|",SUBSTITUTE($H1766&amp;" "," ","|",1))-1),""))</f>
        <v/>
      </c>
      <c r="D1766" s="58">
        <f>IF($H1766="","",IFERROR(MID($H1766&amp;" ",FIND("|",SUBSTITUTE($H1766&amp;" "," ","|",2))+1,FIND("|",SUBSTITUTE($H1766&amp;" "," ","|",3))-FIND("|",SUBSTITUTE($H1766&amp;" "," ","|",2))-1),""))</f>
        <v/>
      </c>
      <c r="E1766" s="58">
        <f>IF($H1766="","",IFERROR(MID($H1766&amp;" ",FIND("|",SUBSTITUTE($H1766&amp;" "," ","|",3))+1,FIND("|",SUBSTITUTE($H1766&amp;" "," ","|",4))-FIND("|",SUBSTITUTE($H1766&amp;" "," ","|",3))-1),""))</f>
        <v/>
      </c>
      <c r="F1766" s="59">
        <f>IF($H1766="","",IFERROR(VALUE(IFERROR(MID($H1766&amp;" ",FIND("|",SUBSTITUTE($H1766&amp;" "," ","|",4))+1,FIND("|",SUBSTITUTE($H1766&amp;" "," ","|",5))-FIND("|",SUBSTITUTE($H1766&amp;" "," ","|",4))-1),""))/86400+25569+9/24,""))</f>
        <v/>
      </c>
      <c r="G1766" s="58">
        <f>TRIM(SUBSTITUTE(SUBSTITUTE(SUBSTITUTE($A1766,CHAR(9)," ")," "," "),CHAR(13),""))</f>
        <v/>
      </c>
      <c r="H1766" s="58">
        <f>IF($G1766="","",IF(ISNUMBER(FIND(" ",$G1766)),$G1766,IFERROR(IF((LEN(SUBSTITUTE(SUBSTITUTE($G1766,"-"," ",LEN($G1766)-LEN(SUBSTITUTE($G1766,"-",""))),"-"," ",LEN($G1766)-LEN(SUBSTITUTE($G1766,"-",""))-1))-LEN(SUBSTITUTE(SUBSTITUTE(SUBSTITUTE($G1766,"-"," ",LEN($G1766)-LEN(SUBSTITUTE($G1766,"-",""))),"-"," ",LEN($G1766)-LEN(SUBSTITUTE($G1766,"-",""))-1),".","")))=0,SUBSTITUTE(SUBSTITUTE($G1766,"-"," ",LEN($G1766)-LEN(SUBSTITUTE($G1766,"-",""))),"-"," ",LEN($G1766)-LEN(SUBSTITUTE($G1766,"-",""))-1),SUBSTITUTE(SUBSTITUTE(SUBSTITUTE($G1766,"-"," ",LEN($G1766)-LEN(SUBSTITUTE($G1766,"-",""))),"-"," ",LEN($G1766)-LEN(SUBSTITUTE($G1766,"-",""))-1),"."," ",(LEN(SUBSTITUTE(SUBSTITUTE($G1766,"-"," ",LEN($G1766)-LEN(SUBSTITUTE($G1766,"-",""))),"-"," ",LEN($G1766)-LEN(SUBSTITUTE($G1766,"-",""))-1))-LEN(SUBSTITUTE(SUBSTITUTE(SUBSTITUTE($G1766,"-"," ",LEN($G1766)-LEN(SUBSTITUTE($G1766,"-",""))),"-"," ",LEN($G1766)-LEN(SUBSTITUTE($G1766,"-",""))-1),".",""))))),$G1766)))</f>
        <v/>
      </c>
    </row>
    <row r="1767">
      <c r="A1767" s="58" t="n"/>
      <c r="B1767" s="58">
        <f>IF($H1767="","",LEFT($H1767,FIND(" ",$H1767&amp;" ")-1))</f>
        <v/>
      </c>
      <c r="C1767" s="58">
        <f>IF($H1767="","",IFERROR(MID($H1767&amp;" ",FIND("|",SUBSTITUTE($H1767&amp;" "," ","|",1))+1,FIND("|",SUBSTITUTE($H1767&amp;" "," ","|",2))-FIND("|",SUBSTITUTE($H1767&amp;" "," ","|",1))-1),""))</f>
        <v/>
      </c>
      <c r="D1767" s="58">
        <f>IF($H1767="","",IFERROR(MID($H1767&amp;" ",FIND("|",SUBSTITUTE($H1767&amp;" "," ","|",2))+1,FIND("|",SUBSTITUTE($H1767&amp;" "," ","|",3))-FIND("|",SUBSTITUTE($H1767&amp;" "," ","|",2))-1),""))</f>
        <v/>
      </c>
      <c r="E1767" s="58">
        <f>IF($H1767="","",IFERROR(MID($H1767&amp;" ",FIND("|",SUBSTITUTE($H1767&amp;" "," ","|",3))+1,FIND("|",SUBSTITUTE($H1767&amp;" "," ","|",4))-FIND("|",SUBSTITUTE($H1767&amp;" "," ","|",3))-1),""))</f>
        <v/>
      </c>
      <c r="F1767" s="59">
        <f>IF($H1767="","",IFERROR(VALUE(IFERROR(MID($H1767&amp;" ",FIND("|",SUBSTITUTE($H1767&amp;" "," ","|",4))+1,FIND("|",SUBSTITUTE($H1767&amp;" "," ","|",5))-FIND("|",SUBSTITUTE($H1767&amp;" "," ","|",4))-1),""))/86400+25569+9/24,""))</f>
        <v/>
      </c>
      <c r="G1767" s="58">
        <f>TRIM(SUBSTITUTE(SUBSTITUTE(SUBSTITUTE($A1767,CHAR(9)," ")," "," "),CHAR(13),""))</f>
        <v/>
      </c>
      <c r="H1767" s="58">
        <f>IF($G1767="","",IF(ISNUMBER(FIND(" ",$G1767)),$G1767,IFERROR(IF((LEN(SUBSTITUTE(SUBSTITUTE($G1767,"-"," ",LEN($G1767)-LEN(SUBSTITUTE($G1767,"-",""))),"-"," ",LEN($G1767)-LEN(SUBSTITUTE($G1767,"-",""))-1))-LEN(SUBSTITUTE(SUBSTITUTE(SUBSTITUTE($G1767,"-"," ",LEN($G1767)-LEN(SUBSTITUTE($G1767,"-",""))),"-"," ",LEN($G1767)-LEN(SUBSTITUTE($G1767,"-",""))-1),".","")))=0,SUBSTITUTE(SUBSTITUTE($G1767,"-"," ",LEN($G1767)-LEN(SUBSTITUTE($G1767,"-",""))),"-"," ",LEN($G1767)-LEN(SUBSTITUTE($G1767,"-",""))-1),SUBSTITUTE(SUBSTITUTE(SUBSTITUTE($G1767,"-"," ",LEN($G1767)-LEN(SUBSTITUTE($G1767,"-",""))),"-"," ",LEN($G1767)-LEN(SUBSTITUTE($G1767,"-",""))-1),"."," ",(LEN(SUBSTITUTE(SUBSTITUTE($G1767,"-"," ",LEN($G1767)-LEN(SUBSTITUTE($G1767,"-",""))),"-"," ",LEN($G1767)-LEN(SUBSTITUTE($G1767,"-",""))-1))-LEN(SUBSTITUTE(SUBSTITUTE(SUBSTITUTE($G1767,"-"," ",LEN($G1767)-LEN(SUBSTITUTE($G1767,"-",""))),"-"," ",LEN($G1767)-LEN(SUBSTITUTE($G1767,"-",""))-1),".",""))))),$G1767)))</f>
        <v/>
      </c>
    </row>
    <row r="1768">
      <c r="A1768" s="58" t="n"/>
      <c r="B1768" s="58">
        <f>IF($H1768="","",LEFT($H1768,FIND(" ",$H1768&amp;" ")-1))</f>
        <v/>
      </c>
      <c r="C1768" s="58">
        <f>IF($H1768="","",IFERROR(MID($H1768&amp;" ",FIND("|",SUBSTITUTE($H1768&amp;" "," ","|",1))+1,FIND("|",SUBSTITUTE($H1768&amp;" "," ","|",2))-FIND("|",SUBSTITUTE($H1768&amp;" "," ","|",1))-1),""))</f>
        <v/>
      </c>
      <c r="D1768" s="58">
        <f>IF($H1768="","",IFERROR(MID($H1768&amp;" ",FIND("|",SUBSTITUTE($H1768&amp;" "," ","|",2))+1,FIND("|",SUBSTITUTE($H1768&amp;" "," ","|",3))-FIND("|",SUBSTITUTE($H1768&amp;" "," ","|",2))-1),""))</f>
        <v/>
      </c>
      <c r="E1768" s="58">
        <f>IF($H1768="","",IFERROR(MID($H1768&amp;" ",FIND("|",SUBSTITUTE($H1768&amp;" "," ","|",3))+1,FIND("|",SUBSTITUTE($H1768&amp;" "," ","|",4))-FIND("|",SUBSTITUTE($H1768&amp;" "," ","|",3))-1),""))</f>
        <v/>
      </c>
      <c r="F1768" s="59">
        <f>IF($H1768="","",IFERROR(VALUE(IFERROR(MID($H1768&amp;" ",FIND("|",SUBSTITUTE($H1768&amp;" "," ","|",4))+1,FIND("|",SUBSTITUTE($H1768&amp;" "," ","|",5))-FIND("|",SUBSTITUTE($H1768&amp;" "," ","|",4))-1),""))/86400+25569+9/24,""))</f>
        <v/>
      </c>
      <c r="G1768" s="58">
        <f>TRIM(SUBSTITUTE(SUBSTITUTE(SUBSTITUTE($A1768,CHAR(9)," ")," "," "),CHAR(13),""))</f>
        <v/>
      </c>
      <c r="H1768" s="58">
        <f>IF($G1768="","",IF(ISNUMBER(FIND(" ",$G1768)),$G1768,IFERROR(IF((LEN(SUBSTITUTE(SUBSTITUTE($G1768,"-"," ",LEN($G1768)-LEN(SUBSTITUTE($G1768,"-",""))),"-"," ",LEN($G1768)-LEN(SUBSTITUTE($G1768,"-",""))-1))-LEN(SUBSTITUTE(SUBSTITUTE(SUBSTITUTE($G1768,"-"," ",LEN($G1768)-LEN(SUBSTITUTE($G1768,"-",""))),"-"," ",LEN($G1768)-LEN(SUBSTITUTE($G1768,"-",""))-1),".","")))=0,SUBSTITUTE(SUBSTITUTE($G1768,"-"," ",LEN($G1768)-LEN(SUBSTITUTE($G1768,"-",""))),"-"," ",LEN($G1768)-LEN(SUBSTITUTE($G1768,"-",""))-1),SUBSTITUTE(SUBSTITUTE(SUBSTITUTE($G1768,"-"," ",LEN($G1768)-LEN(SUBSTITUTE($G1768,"-",""))),"-"," ",LEN($G1768)-LEN(SUBSTITUTE($G1768,"-",""))-1),"."," ",(LEN(SUBSTITUTE(SUBSTITUTE($G1768,"-"," ",LEN($G1768)-LEN(SUBSTITUTE($G1768,"-",""))),"-"," ",LEN($G1768)-LEN(SUBSTITUTE($G1768,"-",""))-1))-LEN(SUBSTITUTE(SUBSTITUTE(SUBSTITUTE($G1768,"-"," ",LEN($G1768)-LEN(SUBSTITUTE($G1768,"-",""))),"-"," ",LEN($G1768)-LEN(SUBSTITUTE($G1768,"-",""))-1),".",""))))),$G1768)))</f>
        <v/>
      </c>
    </row>
    <row r="1769">
      <c r="A1769" s="58" t="n"/>
      <c r="B1769" s="58">
        <f>IF($H1769="","",LEFT($H1769,FIND(" ",$H1769&amp;" ")-1))</f>
        <v/>
      </c>
      <c r="C1769" s="58">
        <f>IF($H1769="","",IFERROR(MID($H1769&amp;" ",FIND("|",SUBSTITUTE($H1769&amp;" "," ","|",1))+1,FIND("|",SUBSTITUTE($H1769&amp;" "," ","|",2))-FIND("|",SUBSTITUTE($H1769&amp;" "," ","|",1))-1),""))</f>
        <v/>
      </c>
      <c r="D1769" s="58">
        <f>IF($H1769="","",IFERROR(MID($H1769&amp;" ",FIND("|",SUBSTITUTE($H1769&amp;" "," ","|",2))+1,FIND("|",SUBSTITUTE($H1769&amp;" "," ","|",3))-FIND("|",SUBSTITUTE($H1769&amp;" "," ","|",2))-1),""))</f>
        <v/>
      </c>
      <c r="E1769" s="58">
        <f>IF($H1769="","",IFERROR(MID($H1769&amp;" ",FIND("|",SUBSTITUTE($H1769&amp;" "," ","|",3))+1,FIND("|",SUBSTITUTE($H1769&amp;" "," ","|",4))-FIND("|",SUBSTITUTE($H1769&amp;" "," ","|",3))-1),""))</f>
        <v/>
      </c>
      <c r="F1769" s="59">
        <f>IF($H1769="","",IFERROR(VALUE(IFERROR(MID($H1769&amp;" ",FIND("|",SUBSTITUTE($H1769&amp;" "," ","|",4))+1,FIND("|",SUBSTITUTE($H1769&amp;" "," ","|",5))-FIND("|",SUBSTITUTE($H1769&amp;" "," ","|",4))-1),""))/86400+25569+9/24,""))</f>
        <v/>
      </c>
      <c r="G1769" s="58">
        <f>TRIM(SUBSTITUTE(SUBSTITUTE(SUBSTITUTE($A1769,CHAR(9)," ")," "," "),CHAR(13),""))</f>
        <v/>
      </c>
      <c r="H1769" s="58">
        <f>IF($G1769="","",IF(ISNUMBER(FIND(" ",$G1769)),$G1769,IFERROR(IF((LEN(SUBSTITUTE(SUBSTITUTE($G1769,"-"," ",LEN($G1769)-LEN(SUBSTITUTE($G1769,"-",""))),"-"," ",LEN($G1769)-LEN(SUBSTITUTE($G1769,"-",""))-1))-LEN(SUBSTITUTE(SUBSTITUTE(SUBSTITUTE($G1769,"-"," ",LEN($G1769)-LEN(SUBSTITUTE($G1769,"-",""))),"-"," ",LEN($G1769)-LEN(SUBSTITUTE($G1769,"-",""))-1),".","")))=0,SUBSTITUTE(SUBSTITUTE($G1769,"-"," ",LEN($G1769)-LEN(SUBSTITUTE($G1769,"-",""))),"-"," ",LEN($G1769)-LEN(SUBSTITUTE($G1769,"-",""))-1),SUBSTITUTE(SUBSTITUTE(SUBSTITUTE($G1769,"-"," ",LEN($G1769)-LEN(SUBSTITUTE($G1769,"-",""))),"-"," ",LEN($G1769)-LEN(SUBSTITUTE($G1769,"-",""))-1),"."," ",(LEN(SUBSTITUTE(SUBSTITUTE($G1769,"-"," ",LEN($G1769)-LEN(SUBSTITUTE($G1769,"-",""))),"-"," ",LEN($G1769)-LEN(SUBSTITUTE($G1769,"-",""))-1))-LEN(SUBSTITUTE(SUBSTITUTE(SUBSTITUTE($G1769,"-"," ",LEN($G1769)-LEN(SUBSTITUTE($G1769,"-",""))),"-"," ",LEN($G1769)-LEN(SUBSTITUTE($G1769,"-",""))-1),".",""))))),$G1769)))</f>
        <v/>
      </c>
    </row>
    <row r="1770">
      <c r="A1770" s="58" t="n"/>
      <c r="B1770" s="58">
        <f>IF($H1770="","",LEFT($H1770,FIND(" ",$H1770&amp;" ")-1))</f>
        <v/>
      </c>
      <c r="C1770" s="58">
        <f>IF($H1770="","",IFERROR(MID($H1770&amp;" ",FIND("|",SUBSTITUTE($H1770&amp;" "," ","|",1))+1,FIND("|",SUBSTITUTE($H1770&amp;" "," ","|",2))-FIND("|",SUBSTITUTE($H1770&amp;" "," ","|",1))-1),""))</f>
        <v/>
      </c>
      <c r="D1770" s="58">
        <f>IF($H1770="","",IFERROR(MID($H1770&amp;" ",FIND("|",SUBSTITUTE($H1770&amp;" "," ","|",2))+1,FIND("|",SUBSTITUTE($H1770&amp;" "," ","|",3))-FIND("|",SUBSTITUTE($H1770&amp;" "," ","|",2))-1),""))</f>
        <v/>
      </c>
      <c r="E1770" s="58">
        <f>IF($H1770="","",IFERROR(MID($H1770&amp;" ",FIND("|",SUBSTITUTE($H1770&amp;" "," ","|",3))+1,FIND("|",SUBSTITUTE($H1770&amp;" "," ","|",4))-FIND("|",SUBSTITUTE($H1770&amp;" "," ","|",3))-1),""))</f>
        <v/>
      </c>
      <c r="F1770" s="59">
        <f>IF($H1770="","",IFERROR(VALUE(IFERROR(MID($H1770&amp;" ",FIND("|",SUBSTITUTE($H1770&amp;" "," ","|",4))+1,FIND("|",SUBSTITUTE($H1770&amp;" "," ","|",5))-FIND("|",SUBSTITUTE($H1770&amp;" "," ","|",4))-1),""))/86400+25569+9/24,""))</f>
        <v/>
      </c>
      <c r="G1770" s="58">
        <f>TRIM(SUBSTITUTE(SUBSTITUTE(SUBSTITUTE($A1770,CHAR(9)," ")," "," "),CHAR(13),""))</f>
        <v/>
      </c>
      <c r="H1770" s="58">
        <f>IF($G1770="","",IF(ISNUMBER(FIND(" ",$G1770)),$G1770,IFERROR(IF((LEN(SUBSTITUTE(SUBSTITUTE($G1770,"-"," ",LEN($G1770)-LEN(SUBSTITUTE($G1770,"-",""))),"-"," ",LEN($G1770)-LEN(SUBSTITUTE($G1770,"-",""))-1))-LEN(SUBSTITUTE(SUBSTITUTE(SUBSTITUTE($G1770,"-"," ",LEN($G1770)-LEN(SUBSTITUTE($G1770,"-",""))),"-"," ",LEN($G1770)-LEN(SUBSTITUTE($G1770,"-",""))-1),".","")))=0,SUBSTITUTE(SUBSTITUTE($G1770,"-"," ",LEN($G1770)-LEN(SUBSTITUTE($G1770,"-",""))),"-"," ",LEN($G1770)-LEN(SUBSTITUTE($G1770,"-",""))-1),SUBSTITUTE(SUBSTITUTE(SUBSTITUTE($G1770,"-"," ",LEN($G1770)-LEN(SUBSTITUTE($G1770,"-",""))),"-"," ",LEN($G1770)-LEN(SUBSTITUTE($G1770,"-",""))-1),"."," ",(LEN(SUBSTITUTE(SUBSTITUTE($G1770,"-"," ",LEN($G1770)-LEN(SUBSTITUTE($G1770,"-",""))),"-"," ",LEN($G1770)-LEN(SUBSTITUTE($G1770,"-",""))-1))-LEN(SUBSTITUTE(SUBSTITUTE(SUBSTITUTE($G1770,"-"," ",LEN($G1770)-LEN(SUBSTITUTE($G1770,"-",""))),"-"," ",LEN($G1770)-LEN(SUBSTITUTE($G1770,"-",""))-1),".",""))))),$G1770)))</f>
        <v/>
      </c>
    </row>
    <row r="1771">
      <c r="A1771" s="58" t="n"/>
      <c r="B1771" s="58">
        <f>IF($H1771="","",LEFT($H1771,FIND(" ",$H1771&amp;" ")-1))</f>
        <v/>
      </c>
      <c r="C1771" s="58">
        <f>IF($H1771="","",IFERROR(MID($H1771&amp;" ",FIND("|",SUBSTITUTE($H1771&amp;" "," ","|",1))+1,FIND("|",SUBSTITUTE($H1771&amp;" "," ","|",2))-FIND("|",SUBSTITUTE($H1771&amp;" "," ","|",1))-1),""))</f>
        <v/>
      </c>
      <c r="D1771" s="58">
        <f>IF($H1771="","",IFERROR(MID($H1771&amp;" ",FIND("|",SUBSTITUTE($H1771&amp;" "," ","|",2))+1,FIND("|",SUBSTITUTE($H1771&amp;" "," ","|",3))-FIND("|",SUBSTITUTE($H1771&amp;" "," ","|",2))-1),""))</f>
        <v/>
      </c>
      <c r="E1771" s="58">
        <f>IF($H1771="","",IFERROR(MID($H1771&amp;" ",FIND("|",SUBSTITUTE($H1771&amp;" "," ","|",3))+1,FIND("|",SUBSTITUTE($H1771&amp;" "," ","|",4))-FIND("|",SUBSTITUTE($H1771&amp;" "," ","|",3))-1),""))</f>
        <v/>
      </c>
      <c r="F1771" s="59">
        <f>IF($H1771="","",IFERROR(VALUE(IFERROR(MID($H1771&amp;" ",FIND("|",SUBSTITUTE($H1771&amp;" "," ","|",4))+1,FIND("|",SUBSTITUTE($H1771&amp;" "," ","|",5))-FIND("|",SUBSTITUTE($H1771&amp;" "," ","|",4))-1),""))/86400+25569+9/24,""))</f>
        <v/>
      </c>
      <c r="G1771" s="58">
        <f>TRIM(SUBSTITUTE(SUBSTITUTE(SUBSTITUTE($A1771,CHAR(9)," ")," "," "),CHAR(13),""))</f>
        <v/>
      </c>
      <c r="H1771" s="58">
        <f>IF($G1771="","",IF(ISNUMBER(FIND(" ",$G1771)),$G1771,IFERROR(IF((LEN(SUBSTITUTE(SUBSTITUTE($G1771,"-"," ",LEN($G1771)-LEN(SUBSTITUTE($G1771,"-",""))),"-"," ",LEN($G1771)-LEN(SUBSTITUTE($G1771,"-",""))-1))-LEN(SUBSTITUTE(SUBSTITUTE(SUBSTITUTE($G1771,"-"," ",LEN($G1771)-LEN(SUBSTITUTE($G1771,"-",""))),"-"," ",LEN($G1771)-LEN(SUBSTITUTE($G1771,"-",""))-1),".","")))=0,SUBSTITUTE(SUBSTITUTE($G1771,"-"," ",LEN($G1771)-LEN(SUBSTITUTE($G1771,"-",""))),"-"," ",LEN($G1771)-LEN(SUBSTITUTE($G1771,"-",""))-1),SUBSTITUTE(SUBSTITUTE(SUBSTITUTE($G1771,"-"," ",LEN($G1771)-LEN(SUBSTITUTE($G1771,"-",""))),"-"," ",LEN($G1771)-LEN(SUBSTITUTE($G1771,"-",""))-1),"."," ",(LEN(SUBSTITUTE(SUBSTITUTE($G1771,"-"," ",LEN($G1771)-LEN(SUBSTITUTE($G1771,"-",""))),"-"," ",LEN($G1771)-LEN(SUBSTITUTE($G1771,"-",""))-1))-LEN(SUBSTITUTE(SUBSTITUTE(SUBSTITUTE($G1771,"-"," ",LEN($G1771)-LEN(SUBSTITUTE($G1771,"-",""))),"-"," ",LEN($G1771)-LEN(SUBSTITUTE($G1771,"-",""))-1),".",""))))),$G1771)))</f>
        <v/>
      </c>
    </row>
    <row r="1772">
      <c r="A1772" s="58" t="n"/>
      <c r="B1772" s="58">
        <f>IF($H1772="","",LEFT($H1772,FIND(" ",$H1772&amp;" ")-1))</f>
        <v/>
      </c>
      <c r="C1772" s="58">
        <f>IF($H1772="","",IFERROR(MID($H1772&amp;" ",FIND("|",SUBSTITUTE($H1772&amp;" "," ","|",1))+1,FIND("|",SUBSTITUTE($H1772&amp;" "," ","|",2))-FIND("|",SUBSTITUTE($H1772&amp;" "," ","|",1))-1),""))</f>
        <v/>
      </c>
      <c r="D1772" s="58">
        <f>IF($H1772="","",IFERROR(MID($H1772&amp;" ",FIND("|",SUBSTITUTE($H1772&amp;" "," ","|",2))+1,FIND("|",SUBSTITUTE($H1772&amp;" "," ","|",3))-FIND("|",SUBSTITUTE($H1772&amp;" "," ","|",2))-1),""))</f>
        <v/>
      </c>
      <c r="E1772" s="58">
        <f>IF($H1772="","",IFERROR(MID($H1772&amp;" ",FIND("|",SUBSTITUTE($H1772&amp;" "," ","|",3))+1,FIND("|",SUBSTITUTE($H1772&amp;" "," ","|",4))-FIND("|",SUBSTITUTE($H1772&amp;" "," ","|",3))-1),""))</f>
        <v/>
      </c>
      <c r="F1772" s="59">
        <f>IF($H1772="","",IFERROR(VALUE(IFERROR(MID($H1772&amp;" ",FIND("|",SUBSTITUTE($H1772&amp;" "," ","|",4))+1,FIND("|",SUBSTITUTE($H1772&amp;" "," ","|",5))-FIND("|",SUBSTITUTE($H1772&amp;" "," ","|",4))-1),""))/86400+25569+9/24,""))</f>
        <v/>
      </c>
      <c r="G1772" s="58">
        <f>TRIM(SUBSTITUTE(SUBSTITUTE(SUBSTITUTE($A1772,CHAR(9)," ")," "," "),CHAR(13),""))</f>
        <v/>
      </c>
      <c r="H1772" s="58">
        <f>IF($G1772="","",IF(ISNUMBER(FIND(" ",$G1772)),$G1772,IFERROR(IF((LEN(SUBSTITUTE(SUBSTITUTE($G1772,"-"," ",LEN($G1772)-LEN(SUBSTITUTE($G1772,"-",""))),"-"," ",LEN($G1772)-LEN(SUBSTITUTE($G1772,"-",""))-1))-LEN(SUBSTITUTE(SUBSTITUTE(SUBSTITUTE($G1772,"-"," ",LEN($G1772)-LEN(SUBSTITUTE($G1772,"-",""))),"-"," ",LEN($G1772)-LEN(SUBSTITUTE($G1772,"-",""))-1),".","")))=0,SUBSTITUTE(SUBSTITUTE($G1772,"-"," ",LEN($G1772)-LEN(SUBSTITUTE($G1772,"-",""))),"-"," ",LEN($G1772)-LEN(SUBSTITUTE($G1772,"-",""))-1),SUBSTITUTE(SUBSTITUTE(SUBSTITUTE($G1772,"-"," ",LEN($G1772)-LEN(SUBSTITUTE($G1772,"-",""))),"-"," ",LEN($G1772)-LEN(SUBSTITUTE($G1772,"-",""))-1),"."," ",(LEN(SUBSTITUTE(SUBSTITUTE($G1772,"-"," ",LEN($G1772)-LEN(SUBSTITUTE($G1772,"-",""))),"-"," ",LEN($G1772)-LEN(SUBSTITUTE($G1772,"-",""))-1))-LEN(SUBSTITUTE(SUBSTITUTE(SUBSTITUTE($G1772,"-"," ",LEN($G1772)-LEN(SUBSTITUTE($G1772,"-",""))),"-"," ",LEN($G1772)-LEN(SUBSTITUTE($G1772,"-",""))-1),".",""))))),$G1772)))</f>
        <v/>
      </c>
    </row>
    <row r="1773">
      <c r="A1773" s="58" t="n"/>
      <c r="B1773" s="58">
        <f>IF($H1773="","",LEFT($H1773,FIND(" ",$H1773&amp;" ")-1))</f>
        <v/>
      </c>
      <c r="C1773" s="58">
        <f>IF($H1773="","",IFERROR(MID($H1773&amp;" ",FIND("|",SUBSTITUTE($H1773&amp;" "," ","|",1))+1,FIND("|",SUBSTITUTE($H1773&amp;" "," ","|",2))-FIND("|",SUBSTITUTE($H1773&amp;" "," ","|",1))-1),""))</f>
        <v/>
      </c>
      <c r="D1773" s="58">
        <f>IF($H1773="","",IFERROR(MID($H1773&amp;" ",FIND("|",SUBSTITUTE($H1773&amp;" "," ","|",2))+1,FIND("|",SUBSTITUTE($H1773&amp;" "," ","|",3))-FIND("|",SUBSTITUTE($H1773&amp;" "," ","|",2))-1),""))</f>
        <v/>
      </c>
      <c r="E1773" s="58">
        <f>IF($H1773="","",IFERROR(MID($H1773&amp;" ",FIND("|",SUBSTITUTE($H1773&amp;" "," ","|",3))+1,FIND("|",SUBSTITUTE($H1773&amp;" "," ","|",4))-FIND("|",SUBSTITUTE($H1773&amp;" "," ","|",3))-1),""))</f>
        <v/>
      </c>
      <c r="F1773" s="59">
        <f>IF($H1773="","",IFERROR(VALUE(IFERROR(MID($H1773&amp;" ",FIND("|",SUBSTITUTE($H1773&amp;" "," ","|",4))+1,FIND("|",SUBSTITUTE($H1773&amp;" "," ","|",5))-FIND("|",SUBSTITUTE($H1773&amp;" "," ","|",4))-1),""))/86400+25569+9/24,""))</f>
        <v/>
      </c>
      <c r="G1773" s="58">
        <f>TRIM(SUBSTITUTE(SUBSTITUTE(SUBSTITUTE($A1773,CHAR(9)," ")," "," "),CHAR(13),""))</f>
        <v/>
      </c>
      <c r="H1773" s="58">
        <f>IF($G1773="","",IF(ISNUMBER(FIND(" ",$G1773)),$G1773,IFERROR(IF((LEN(SUBSTITUTE(SUBSTITUTE($G1773,"-"," ",LEN($G1773)-LEN(SUBSTITUTE($G1773,"-",""))),"-"," ",LEN($G1773)-LEN(SUBSTITUTE($G1773,"-",""))-1))-LEN(SUBSTITUTE(SUBSTITUTE(SUBSTITUTE($G1773,"-"," ",LEN($G1773)-LEN(SUBSTITUTE($G1773,"-",""))),"-"," ",LEN($G1773)-LEN(SUBSTITUTE($G1773,"-",""))-1),".","")))=0,SUBSTITUTE(SUBSTITUTE($G1773,"-"," ",LEN($G1773)-LEN(SUBSTITUTE($G1773,"-",""))),"-"," ",LEN($G1773)-LEN(SUBSTITUTE($G1773,"-",""))-1),SUBSTITUTE(SUBSTITUTE(SUBSTITUTE($G1773,"-"," ",LEN($G1773)-LEN(SUBSTITUTE($G1773,"-",""))),"-"," ",LEN($G1773)-LEN(SUBSTITUTE($G1773,"-",""))-1),"."," ",(LEN(SUBSTITUTE(SUBSTITUTE($G1773,"-"," ",LEN($G1773)-LEN(SUBSTITUTE($G1773,"-",""))),"-"," ",LEN($G1773)-LEN(SUBSTITUTE($G1773,"-",""))-1))-LEN(SUBSTITUTE(SUBSTITUTE(SUBSTITUTE($G1773,"-"," ",LEN($G1773)-LEN(SUBSTITUTE($G1773,"-",""))),"-"," ",LEN($G1773)-LEN(SUBSTITUTE($G1773,"-",""))-1),".",""))))),$G1773)))</f>
        <v/>
      </c>
    </row>
    <row r="1774">
      <c r="A1774" s="58" t="n"/>
      <c r="B1774" s="58">
        <f>IF($H1774="","",LEFT($H1774,FIND(" ",$H1774&amp;" ")-1))</f>
        <v/>
      </c>
      <c r="C1774" s="58">
        <f>IF($H1774="","",IFERROR(MID($H1774&amp;" ",FIND("|",SUBSTITUTE($H1774&amp;" "," ","|",1))+1,FIND("|",SUBSTITUTE($H1774&amp;" "," ","|",2))-FIND("|",SUBSTITUTE($H1774&amp;" "," ","|",1))-1),""))</f>
        <v/>
      </c>
      <c r="D1774" s="58">
        <f>IF($H1774="","",IFERROR(MID($H1774&amp;" ",FIND("|",SUBSTITUTE($H1774&amp;" "," ","|",2))+1,FIND("|",SUBSTITUTE($H1774&amp;" "," ","|",3))-FIND("|",SUBSTITUTE($H1774&amp;" "," ","|",2))-1),""))</f>
        <v/>
      </c>
      <c r="E1774" s="58">
        <f>IF($H1774="","",IFERROR(MID($H1774&amp;" ",FIND("|",SUBSTITUTE($H1774&amp;" "," ","|",3))+1,FIND("|",SUBSTITUTE($H1774&amp;" "," ","|",4))-FIND("|",SUBSTITUTE($H1774&amp;" "," ","|",3))-1),""))</f>
        <v/>
      </c>
      <c r="F1774" s="59">
        <f>IF($H1774="","",IFERROR(VALUE(IFERROR(MID($H1774&amp;" ",FIND("|",SUBSTITUTE($H1774&amp;" "," ","|",4))+1,FIND("|",SUBSTITUTE($H1774&amp;" "," ","|",5))-FIND("|",SUBSTITUTE($H1774&amp;" "," ","|",4))-1),""))/86400+25569+9/24,""))</f>
        <v/>
      </c>
      <c r="G1774" s="58">
        <f>TRIM(SUBSTITUTE(SUBSTITUTE(SUBSTITUTE($A1774,CHAR(9)," ")," "," "),CHAR(13),""))</f>
        <v/>
      </c>
      <c r="H1774" s="58">
        <f>IF($G1774="","",IF(ISNUMBER(FIND(" ",$G1774)),$G1774,IFERROR(IF((LEN(SUBSTITUTE(SUBSTITUTE($G1774,"-"," ",LEN($G1774)-LEN(SUBSTITUTE($G1774,"-",""))),"-"," ",LEN($G1774)-LEN(SUBSTITUTE($G1774,"-",""))-1))-LEN(SUBSTITUTE(SUBSTITUTE(SUBSTITUTE($G1774,"-"," ",LEN($G1774)-LEN(SUBSTITUTE($G1774,"-",""))),"-"," ",LEN($G1774)-LEN(SUBSTITUTE($G1774,"-",""))-1),".","")))=0,SUBSTITUTE(SUBSTITUTE($G1774,"-"," ",LEN($G1774)-LEN(SUBSTITUTE($G1774,"-",""))),"-"," ",LEN($G1774)-LEN(SUBSTITUTE($G1774,"-",""))-1),SUBSTITUTE(SUBSTITUTE(SUBSTITUTE($G1774,"-"," ",LEN($G1774)-LEN(SUBSTITUTE($G1774,"-",""))),"-"," ",LEN($G1774)-LEN(SUBSTITUTE($G1774,"-",""))-1),"."," ",(LEN(SUBSTITUTE(SUBSTITUTE($G1774,"-"," ",LEN($G1774)-LEN(SUBSTITUTE($G1774,"-",""))),"-"," ",LEN($G1774)-LEN(SUBSTITUTE($G1774,"-",""))-1))-LEN(SUBSTITUTE(SUBSTITUTE(SUBSTITUTE($G1774,"-"," ",LEN($G1774)-LEN(SUBSTITUTE($G1774,"-",""))),"-"," ",LEN($G1774)-LEN(SUBSTITUTE($G1774,"-",""))-1),".",""))))),$G1774)))</f>
        <v/>
      </c>
    </row>
    <row r="1775">
      <c r="A1775" s="58" t="n"/>
      <c r="B1775" s="58">
        <f>IF($H1775="","",LEFT($H1775,FIND(" ",$H1775&amp;" ")-1))</f>
        <v/>
      </c>
      <c r="C1775" s="58">
        <f>IF($H1775="","",IFERROR(MID($H1775&amp;" ",FIND("|",SUBSTITUTE($H1775&amp;" "," ","|",1))+1,FIND("|",SUBSTITUTE($H1775&amp;" "," ","|",2))-FIND("|",SUBSTITUTE($H1775&amp;" "," ","|",1))-1),""))</f>
        <v/>
      </c>
      <c r="D1775" s="58">
        <f>IF($H1775="","",IFERROR(MID($H1775&amp;" ",FIND("|",SUBSTITUTE($H1775&amp;" "," ","|",2))+1,FIND("|",SUBSTITUTE($H1775&amp;" "," ","|",3))-FIND("|",SUBSTITUTE($H1775&amp;" "," ","|",2))-1),""))</f>
        <v/>
      </c>
      <c r="E1775" s="58">
        <f>IF($H1775="","",IFERROR(MID($H1775&amp;" ",FIND("|",SUBSTITUTE($H1775&amp;" "," ","|",3))+1,FIND("|",SUBSTITUTE($H1775&amp;" "," ","|",4))-FIND("|",SUBSTITUTE($H1775&amp;" "," ","|",3))-1),""))</f>
        <v/>
      </c>
      <c r="F1775" s="59">
        <f>IF($H1775="","",IFERROR(VALUE(IFERROR(MID($H1775&amp;" ",FIND("|",SUBSTITUTE($H1775&amp;" "," ","|",4))+1,FIND("|",SUBSTITUTE($H1775&amp;" "," ","|",5))-FIND("|",SUBSTITUTE($H1775&amp;" "," ","|",4))-1),""))/86400+25569+9/24,""))</f>
        <v/>
      </c>
      <c r="G1775" s="58">
        <f>TRIM(SUBSTITUTE(SUBSTITUTE(SUBSTITUTE($A1775,CHAR(9)," ")," "," "),CHAR(13),""))</f>
        <v/>
      </c>
      <c r="H1775" s="58">
        <f>IF($G1775="","",IF(ISNUMBER(FIND(" ",$G1775)),$G1775,IFERROR(IF((LEN(SUBSTITUTE(SUBSTITUTE($G1775,"-"," ",LEN($G1775)-LEN(SUBSTITUTE($G1775,"-",""))),"-"," ",LEN($G1775)-LEN(SUBSTITUTE($G1775,"-",""))-1))-LEN(SUBSTITUTE(SUBSTITUTE(SUBSTITUTE($G1775,"-"," ",LEN($G1775)-LEN(SUBSTITUTE($G1775,"-",""))),"-"," ",LEN($G1775)-LEN(SUBSTITUTE($G1775,"-",""))-1),".","")))=0,SUBSTITUTE(SUBSTITUTE($G1775,"-"," ",LEN($G1775)-LEN(SUBSTITUTE($G1775,"-",""))),"-"," ",LEN($G1775)-LEN(SUBSTITUTE($G1775,"-",""))-1),SUBSTITUTE(SUBSTITUTE(SUBSTITUTE($G1775,"-"," ",LEN($G1775)-LEN(SUBSTITUTE($G1775,"-",""))),"-"," ",LEN($G1775)-LEN(SUBSTITUTE($G1775,"-",""))-1),"."," ",(LEN(SUBSTITUTE(SUBSTITUTE($G1775,"-"," ",LEN($G1775)-LEN(SUBSTITUTE($G1775,"-",""))),"-"," ",LEN($G1775)-LEN(SUBSTITUTE($G1775,"-",""))-1))-LEN(SUBSTITUTE(SUBSTITUTE(SUBSTITUTE($G1775,"-"," ",LEN($G1775)-LEN(SUBSTITUTE($G1775,"-",""))),"-"," ",LEN($G1775)-LEN(SUBSTITUTE($G1775,"-",""))-1),".",""))))),$G1775)))</f>
        <v/>
      </c>
    </row>
    <row r="1776">
      <c r="A1776" s="58" t="n"/>
      <c r="B1776" s="58">
        <f>IF($H1776="","",LEFT($H1776,FIND(" ",$H1776&amp;" ")-1))</f>
        <v/>
      </c>
      <c r="C1776" s="58">
        <f>IF($H1776="","",IFERROR(MID($H1776&amp;" ",FIND("|",SUBSTITUTE($H1776&amp;" "," ","|",1))+1,FIND("|",SUBSTITUTE($H1776&amp;" "," ","|",2))-FIND("|",SUBSTITUTE($H1776&amp;" "," ","|",1))-1),""))</f>
        <v/>
      </c>
      <c r="D1776" s="58">
        <f>IF($H1776="","",IFERROR(MID($H1776&amp;" ",FIND("|",SUBSTITUTE($H1776&amp;" "," ","|",2))+1,FIND("|",SUBSTITUTE($H1776&amp;" "," ","|",3))-FIND("|",SUBSTITUTE($H1776&amp;" "," ","|",2))-1),""))</f>
        <v/>
      </c>
      <c r="E1776" s="58">
        <f>IF($H1776="","",IFERROR(MID($H1776&amp;" ",FIND("|",SUBSTITUTE($H1776&amp;" "," ","|",3))+1,FIND("|",SUBSTITUTE($H1776&amp;" "," ","|",4))-FIND("|",SUBSTITUTE($H1776&amp;" "," ","|",3))-1),""))</f>
        <v/>
      </c>
      <c r="F1776" s="59">
        <f>IF($H1776="","",IFERROR(VALUE(IFERROR(MID($H1776&amp;" ",FIND("|",SUBSTITUTE($H1776&amp;" "," ","|",4))+1,FIND("|",SUBSTITUTE($H1776&amp;" "," ","|",5))-FIND("|",SUBSTITUTE($H1776&amp;" "," ","|",4))-1),""))/86400+25569+9/24,""))</f>
        <v/>
      </c>
      <c r="G1776" s="58">
        <f>TRIM(SUBSTITUTE(SUBSTITUTE(SUBSTITUTE($A1776,CHAR(9)," ")," "," "),CHAR(13),""))</f>
        <v/>
      </c>
      <c r="H1776" s="58">
        <f>IF($G1776="","",IF(ISNUMBER(FIND(" ",$G1776)),$G1776,IFERROR(IF((LEN(SUBSTITUTE(SUBSTITUTE($G1776,"-"," ",LEN($G1776)-LEN(SUBSTITUTE($G1776,"-",""))),"-"," ",LEN($G1776)-LEN(SUBSTITUTE($G1776,"-",""))-1))-LEN(SUBSTITUTE(SUBSTITUTE(SUBSTITUTE($G1776,"-"," ",LEN($G1776)-LEN(SUBSTITUTE($G1776,"-",""))),"-"," ",LEN($G1776)-LEN(SUBSTITUTE($G1776,"-",""))-1),".","")))=0,SUBSTITUTE(SUBSTITUTE($G1776,"-"," ",LEN($G1776)-LEN(SUBSTITUTE($G1776,"-",""))),"-"," ",LEN($G1776)-LEN(SUBSTITUTE($G1776,"-",""))-1),SUBSTITUTE(SUBSTITUTE(SUBSTITUTE($G1776,"-"," ",LEN($G1776)-LEN(SUBSTITUTE($G1776,"-",""))),"-"," ",LEN($G1776)-LEN(SUBSTITUTE($G1776,"-",""))-1),"."," ",(LEN(SUBSTITUTE(SUBSTITUTE($G1776,"-"," ",LEN($G1776)-LEN(SUBSTITUTE($G1776,"-",""))),"-"," ",LEN($G1776)-LEN(SUBSTITUTE($G1776,"-",""))-1))-LEN(SUBSTITUTE(SUBSTITUTE(SUBSTITUTE($G1776,"-"," ",LEN($G1776)-LEN(SUBSTITUTE($G1776,"-",""))),"-"," ",LEN($G1776)-LEN(SUBSTITUTE($G1776,"-",""))-1),".",""))))),$G1776)))</f>
        <v/>
      </c>
    </row>
    <row r="1777">
      <c r="A1777" s="58" t="n"/>
      <c r="B1777" s="58">
        <f>IF($H1777="","",LEFT($H1777,FIND(" ",$H1777&amp;" ")-1))</f>
        <v/>
      </c>
      <c r="C1777" s="58">
        <f>IF($H1777="","",IFERROR(MID($H1777&amp;" ",FIND("|",SUBSTITUTE($H1777&amp;" "," ","|",1))+1,FIND("|",SUBSTITUTE($H1777&amp;" "," ","|",2))-FIND("|",SUBSTITUTE($H1777&amp;" "," ","|",1))-1),""))</f>
        <v/>
      </c>
      <c r="D1777" s="58">
        <f>IF($H1777="","",IFERROR(MID($H1777&amp;" ",FIND("|",SUBSTITUTE($H1777&amp;" "," ","|",2))+1,FIND("|",SUBSTITUTE($H1777&amp;" "," ","|",3))-FIND("|",SUBSTITUTE($H1777&amp;" "," ","|",2))-1),""))</f>
        <v/>
      </c>
      <c r="E1777" s="58">
        <f>IF($H1777="","",IFERROR(MID($H1777&amp;" ",FIND("|",SUBSTITUTE($H1777&amp;" "," ","|",3))+1,FIND("|",SUBSTITUTE($H1777&amp;" "," ","|",4))-FIND("|",SUBSTITUTE($H1777&amp;" "," ","|",3))-1),""))</f>
        <v/>
      </c>
      <c r="F1777" s="59">
        <f>IF($H1777="","",IFERROR(VALUE(IFERROR(MID($H1777&amp;" ",FIND("|",SUBSTITUTE($H1777&amp;" "," ","|",4))+1,FIND("|",SUBSTITUTE($H1777&amp;" "," ","|",5))-FIND("|",SUBSTITUTE($H1777&amp;" "," ","|",4))-1),""))/86400+25569+9/24,""))</f>
        <v/>
      </c>
      <c r="G1777" s="58">
        <f>TRIM(SUBSTITUTE(SUBSTITUTE(SUBSTITUTE($A1777,CHAR(9)," ")," "," "),CHAR(13),""))</f>
        <v/>
      </c>
      <c r="H1777" s="58">
        <f>IF($G1777="","",IF(ISNUMBER(FIND(" ",$G1777)),$G1777,IFERROR(IF((LEN(SUBSTITUTE(SUBSTITUTE($G1777,"-"," ",LEN($G1777)-LEN(SUBSTITUTE($G1777,"-",""))),"-"," ",LEN($G1777)-LEN(SUBSTITUTE($G1777,"-",""))-1))-LEN(SUBSTITUTE(SUBSTITUTE(SUBSTITUTE($G1777,"-"," ",LEN($G1777)-LEN(SUBSTITUTE($G1777,"-",""))),"-"," ",LEN($G1777)-LEN(SUBSTITUTE($G1777,"-",""))-1),".","")))=0,SUBSTITUTE(SUBSTITUTE($G1777,"-"," ",LEN($G1777)-LEN(SUBSTITUTE($G1777,"-",""))),"-"," ",LEN($G1777)-LEN(SUBSTITUTE($G1777,"-",""))-1),SUBSTITUTE(SUBSTITUTE(SUBSTITUTE($G1777,"-"," ",LEN($G1777)-LEN(SUBSTITUTE($G1777,"-",""))),"-"," ",LEN($G1777)-LEN(SUBSTITUTE($G1777,"-",""))-1),"."," ",(LEN(SUBSTITUTE(SUBSTITUTE($G1777,"-"," ",LEN($G1777)-LEN(SUBSTITUTE($G1777,"-",""))),"-"," ",LEN($G1777)-LEN(SUBSTITUTE($G1777,"-",""))-1))-LEN(SUBSTITUTE(SUBSTITUTE(SUBSTITUTE($G1777,"-"," ",LEN($G1777)-LEN(SUBSTITUTE($G1777,"-",""))),"-"," ",LEN($G1777)-LEN(SUBSTITUTE($G1777,"-",""))-1),".",""))))),$G1777)))</f>
        <v/>
      </c>
    </row>
    <row r="1778">
      <c r="A1778" s="58" t="n"/>
      <c r="B1778" s="58">
        <f>IF($H1778="","",LEFT($H1778,FIND(" ",$H1778&amp;" ")-1))</f>
        <v/>
      </c>
      <c r="C1778" s="58">
        <f>IF($H1778="","",IFERROR(MID($H1778&amp;" ",FIND("|",SUBSTITUTE($H1778&amp;" "," ","|",1))+1,FIND("|",SUBSTITUTE($H1778&amp;" "," ","|",2))-FIND("|",SUBSTITUTE($H1778&amp;" "," ","|",1))-1),""))</f>
        <v/>
      </c>
      <c r="D1778" s="58">
        <f>IF($H1778="","",IFERROR(MID($H1778&amp;" ",FIND("|",SUBSTITUTE($H1778&amp;" "," ","|",2))+1,FIND("|",SUBSTITUTE($H1778&amp;" "," ","|",3))-FIND("|",SUBSTITUTE($H1778&amp;" "," ","|",2))-1),""))</f>
        <v/>
      </c>
      <c r="E1778" s="58">
        <f>IF($H1778="","",IFERROR(MID($H1778&amp;" ",FIND("|",SUBSTITUTE($H1778&amp;" "," ","|",3))+1,FIND("|",SUBSTITUTE($H1778&amp;" "," ","|",4))-FIND("|",SUBSTITUTE($H1778&amp;" "," ","|",3))-1),""))</f>
        <v/>
      </c>
      <c r="F1778" s="59">
        <f>IF($H1778="","",IFERROR(VALUE(IFERROR(MID($H1778&amp;" ",FIND("|",SUBSTITUTE($H1778&amp;" "," ","|",4))+1,FIND("|",SUBSTITUTE($H1778&amp;" "," ","|",5))-FIND("|",SUBSTITUTE($H1778&amp;" "," ","|",4))-1),""))/86400+25569+9/24,""))</f>
        <v/>
      </c>
      <c r="G1778" s="58">
        <f>TRIM(SUBSTITUTE(SUBSTITUTE(SUBSTITUTE($A1778,CHAR(9)," ")," "," "),CHAR(13),""))</f>
        <v/>
      </c>
      <c r="H1778" s="58">
        <f>IF($G1778="","",IF(ISNUMBER(FIND(" ",$G1778)),$G1778,IFERROR(IF((LEN(SUBSTITUTE(SUBSTITUTE($G1778,"-"," ",LEN($G1778)-LEN(SUBSTITUTE($G1778,"-",""))),"-"," ",LEN($G1778)-LEN(SUBSTITUTE($G1778,"-",""))-1))-LEN(SUBSTITUTE(SUBSTITUTE(SUBSTITUTE($G1778,"-"," ",LEN($G1778)-LEN(SUBSTITUTE($G1778,"-",""))),"-"," ",LEN($G1778)-LEN(SUBSTITUTE($G1778,"-",""))-1),".","")))=0,SUBSTITUTE(SUBSTITUTE($G1778,"-"," ",LEN($G1778)-LEN(SUBSTITUTE($G1778,"-",""))),"-"," ",LEN($G1778)-LEN(SUBSTITUTE($G1778,"-",""))-1),SUBSTITUTE(SUBSTITUTE(SUBSTITUTE($G1778,"-"," ",LEN($G1778)-LEN(SUBSTITUTE($G1778,"-",""))),"-"," ",LEN($G1778)-LEN(SUBSTITUTE($G1778,"-",""))-1),"."," ",(LEN(SUBSTITUTE(SUBSTITUTE($G1778,"-"," ",LEN($G1778)-LEN(SUBSTITUTE($G1778,"-",""))),"-"," ",LEN($G1778)-LEN(SUBSTITUTE($G1778,"-",""))-1))-LEN(SUBSTITUTE(SUBSTITUTE(SUBSTITUTE($G1778,"-"," ",LEN($G1778)-LEN(SUBSTITUTE($G1778,"-",""))),"-"," ",LEN($G1778)-LEN(SUBSTITUTE($G1778,"-",""))-1),".",""))))),$G1778)))</f>
        <v/>
      </c>
    </row>
    <row r="1779">
      <c r="A1779" s="58" t="n"/>
      <c r="B1779" s="58">
        <f>IF($H1779="","",LEFT($H1779,FIND(" ",$H1779&amp;" ")-1))</f>
        <v/>
      </c>
      <c r="C1779" s="58">
        <f>IF($H1779="","",IFERROR(MID($H1779&amp;" ",FIND("|",SUBSTITUTE($H1779&amp;" "," ","|",1))+1,FIND("|",SUBSTITUTE($H1779&amp;" "," ","|",2))-FIND("|",SUBSTITUTE($H1779&amp;" "," ","|",1))-1),""))</f>
        <v/>
      </c>
      <c r="D1779" s="58">
        <f>IF($H1779="","",IFERROR(MID($H1779&amp;" ",FIND("|",SUBSTITUTE($H1779&amp;" "," ","|",2))+1,FIND("|",SUBSTITUTE($H1779&amp;" "," ","|",3))-FIND("|",SUBSTITUTE($H1779&amp;" "," ","|",2))-1),""))</f>
        <v/>
      </c>
      <c r="E1779" s="58">
        <f>IF($H1779="","",IFERROR(MID($H1779&amp;" ",FIND("|",SUBSTITUTE($H1779&amp;" "," ","|",3))+1,FIND("|",SUBSTITUTE($H1779&amp;" "," ","|",4))-FIND("|",SUBSTITUTE($H1779&amp;" "," ","|",3))-1),""))</f>
        <v/>
      </c>
      <c r="F1779" s="59">
        <f>IF($H1779="","",IFERROR(VALUE(IFERROR(MID($H1779&amp;" ",FIND("|",SUBSTITUTE($H1779&amp;" "," ","|",4))+1,FIND("|",SUBSTITUTE($H1779&amp;" "," ","|",5))-FIND("|",SUBSTITUTE($H1779&amp;" "," ","|",4))-1),""))/86400+25569+9/24,""))</f>
        <v/>
      </c>
      <c r="G1779" s="58">
        <f>TRIM(SUBSTITUTE(SUBSTITUTE(SUBSTITUTE($A1779,CHAR(9)," ")," "," "),CHAR(13),""))</f>
        <v/>
      </c>
      <c r="H1779" s="58">
        <f>IF($G1779="","",IF(ISNUMBER(FIND(" ",$G1779)),$G1779,IFERROR(IF((LEN(SUBSTITUTE(SUBSTITUTE($G1779,"-"," ",LEN($G1779)-LEN(SUBSTITUTE($G1779,"-",""))),"-"," ",LEN($G1779)-LEN(SUBSTITUTE($G1779,"-",""))-1))-LEN(SUBSTITUTE(SUBSTITUTE(SUBSTITUTE($G1779,"-"," ",LEN($G1779)-LEN(SUBSTITUTE($G1779,"-",""))),"-"," ",LEN($G1779)-LEN(SUBSTITUTE($G1779,"-",""))-1),".","")))=0,SUBSTITUTE(SUBSTITUTE($G1779,"-"," ",LEN($G1779)-LEN(SUBSTITUTE($G1779,"-",""))),"-"," ",LEN($G1779)-LEN(SUBSTITUTE($G1779,"-",""))-1),SUBSTITUTE(SUBSTITUTE(SUBSTITUTE($G1779,"-"," ",LEN($G1779)-LEN(SUBSTITUTE($G1779,"-",""))),"-"," ",LEN($G1779)-LEN(SUBSTITUTE($G1779,"-",""))-1),"."," ",(LEN(SUBSTITUTE(SUBSTITUTE($G1779,"-"," ",LEN($G1779)-LEN(SUBSTITUTE($G1779,"-",""))),"-"," ",LEN($G1779)-LEN(SUBSTITUTE($G1779,"-",""))-1))-LEN(SUBSTITUTE(SUBSTITUTE(SUBSTITUTE($G1779,"-"," ",LEN($G1779)-LEN(SUBSTITUTE($G1779,"-",""))),"-"," ",LEN($G1779)-LEN(SUBSTITUTE($G1779,"-",""))-1),".",""))))),$G1779)))</f>
        <v/>
      </c>
    </row>
    <row r="1780">
      <c r="A1780" s="58" t="n"/>
      <c r="B1780" s="58">
        <f>IF($H1780="","",LEFT($H1780,FIND(" ",$H1780&amp;" ")-1))</f>
        <v/>
      </c>
      <c r="C1780" s="58">
        <f>IF($H1780="","",IFERROR(MID($H1780&amp;" ",FIND("|",SUBSTITUTE($H1780&amp;" "," ","|",1))+1,FIND("|",SUBSTITUTE($H1780&amp;" "," ","|",2))-FIND("|",SUBSTITUTE($H1780&amp;" "," ","|",1))-1),""))</f>
        <v/>
      </c>
      <c r="D1780" s="58">
        <f>IF($H1780="","",IFERROR(MID($H1780&amp;" ",FIND("|",SUBSTITUTE($H1780&amp;" "," ","|",2))+1,FIND("|",SUBSTITUTE($H1780&amp;" "," ","|",3))-FIND("|",SUBSTITUTE($H1780&amp;" "," ","|",2))-1),""))</f>
        <v/>
      </c>
      <c r="E1780" s="58">
        <f>IF($H1780="","",IFERROR(MID($H1780&amp;" ",FIND("|",SUBSTITUTE($H1780&amp;" "," ","|",3))+1,FIND("|",SUBSTITUTE($H1780&amp;" "," ","|",4))-FIND("|",SUBSTITUTE($H1780&amp;" "," ","|",3))-1),""))</f>
        <v/>
      </c>
      <c r="F1780" s="59">
        <f>IF($H1780="","",IFERROR(VALUE(IFERROR(MID($H1780&amp;" ",FIND("|",SUBSTITUTE($H1780&amp;" "," ","|",4))+1,FIND("|",SUBSTITUTE($H1780&amp;" "," ","|",5))-FIND("|",SUBSTITUTE($H1780&amp;" "," ","|",4))-1),""))/86400+25569+9/24,""))</f>
        <v/>
      </c>
      <c r="G1780" s="58">
        <f>TRIM(SUBSTITUTE(SUBSTITUTE(SUBSTITUTE($A1780,CHAR(9)," ")," "," "),CHAR(13),""))</f>
        <v/>
      </c>
      <c r="H1780" s="58">
        <f>IF($G1780="","",IF(ISNUMBER(FIND(" ",$G1780)),$G1780,IFERROR(IF((LEN(SUBSTITUTE(SUBSTITUTE($G1780,"-"," ",LEN($G1780)-LEN(SUBSTITUTE($G1780,"-",""))),"-"," ",LEN($G1780)-LEN(SUBSTITUTE($G1780,"-",""))-1))-LEN(SUBSTITUTE(SUBSTITUTE(SUBSTITUTE($G1780,"-"," ",LEN($G1780)-LEN(SUBSTITUTE($G1780,"-",""))),"-"," ",LEN($G1780)-LEN(SUBSTITUTE($G1780,"-",""))-1),".","")))=0,SUBSTITUTE(SUBSTITUTE($G1780,"-"," ",LEN($G1780)-LEN(SUBSTITUTE($G1780,"-",""))),"-"," ",LEN($G1780)-LEN(SUBSTITUTE($G1780,"-",""))-1),SUBSTITUTE(SUBSTITUTE(SUBSTITUTE($G1780,"-"," ",LEN($G1780)-LEN(SUBSTITUTE($G1780,"-",""))),"-"," ",LEN($G1780)-LEN(SUBSTITUTE($G1780,"-",""))-1),"."," ",(LEN(SUBSTITUTE(SUBSTITUTE($G1780,"-"," ",LEN($G1780)-LEN(SUBSTITUTE($G1780,"-",""))),"-"," ",LEN($G1780)-LEN(SUBSTITUTE($G1780,"-",""))-1))-LEN(SUBSTITUTE(SUBSTITUTE(SUBSTITUTE($G1780,"-"," ",LEN($G1780)-LEN(SUBSTITUTE($G1780,"-",""))),"-"," ",LEN($G1780)-LEN(SUBSTITUTE($G1780,"-",""))-1),".",""))))),$G1780)))</f>
        <v/>
      </c>
    </row>
    <row r="1781">
      <c r="A1781" s="58" t="n"/>
      <c r="B1781" s="58">
        <f>IF($H1781="","",LEFT($H1781,FIND(" ",$H1781&amp;" ")-1))</f>
        <v/>
      </c>
      <c r="C1781" s="58">
        <f>IF($H1781="","",IFERROR(MID($H1781&amp;" ",FIND("|",SUBSTITUTE($H1781&amp;" "," ","|",1))+1,FIND("|",SUBSTITUTE($H1781&amp;" "," ","|",2))-FIND("|",SUBSTITUTE($H1781&amp;" "," ","|",1))-1),""))</f>
        <v/>
      </c>
      <c r="D1781" s="58">
        <f>IF($H1781="","",IFERROR(MID($H1781&amp;" ",FIND("|",SUBSTITUTE($H1781&amp;" "," ","|",2))+1,FIND("|",SUBSTITUTE($H1781&amp;" "," ","|",3))-FIND("|",SUBSTITUTE($H1781&amp;" "," ","|",2))-1),""))</f>
        <v/>
      </c>
      <c r="E1781" s="58">
        <f>IF($H1781="","",IFERROR(MID($H1781&amp;" ",FIND("|",SUBSTITUTE($H1781&amp;" "," ","|",3))+1,FIND("|",SUBSTITUTE($H1781&amp;" "," ","|",4))-FIND("|",SUBSTITUTE($H1781&amp;" "," ","|",3))-1),""))</f>
        <v/>
      </c>
      <c r="F1781" s="59">
        <f>IF($H1781="","",IFERROR(VALUE(IFERROR(MID($H1781&amp;" ",FIND("|",SUBSTITUTE($H1781&amp;" "," ","|",4))+1,FIND("|",SUBSTITUTE($H1781&amp;" "," ","|",5))-FIND("|",SUBSTITUTE($H1781&amp;" "," ","|",4))-1),""))/86400+25569+9/24,""))</f>
        <v/>
      </c>
      <c r="G1781" s="58">
        <f>TRIM(SUBSTITUTE(SUBSTITUTE(SUBSTITUTE($A1781,CHAR(9)," ")," "," "),CHAR(13),""))</f>
        <v/>
      </c>
      <c r="H1781" s="58">
        <f>IF($G1781="","",IF(ISNUMBER(FIND(" ",$G1781)),$G1781,IFERROR(IF((LEN(SUBSTITUTE(SUBSTITUTE($G1781,"-"," ",LEN($G1781)-LEN(SUBSTITUTE($G1781,"-",""))),"-"," ",LEN($G1781)-LEN(SUBSTITUTE($G1781,"-",""))-1))-LEN(SUBSTITUTE(SUBSTITUTE(SUBSTITUTE($G1781,"-"," ",LEN($G1781)-LEN(SUBSTITUTE($G1781,"-",""))),"-"," ",LEN($G1781)-LEN(SUBSTITUTE($G1781,"-",""))-1),".","")))=0,SUBSTITUTE(SUBSTITUTE($G1781,"-"," ",LEN($G1781)-LEN(SUBSTITUTE($G1781,"-",""))),"-"," ",LEN($G1781)-LEN(SUBSTITUTE($G1781,"-",""))-1),SUBSTITUTE(SUBSTITUTE(SUBSTITUTE($G1781,"-"," ",LEN($G1781)-LEN(SUBSTITUTE($G1781,"-",""))),"-"," ",LEN($G1781)-LEN(SUBSTITUTE($G1781,"-",""))-1),"."," ",(LEN(SUBSTITUTE(SUBSTITUTE($G1781,"-"," ",LEN($G1781)-LEN(SUBSTITUTE($G1781,"-",""))),"-"," ",LEN($G1781)-LEN(SUBSTITUTE($G1781,"-",""))-1))-LEN(SUBSTITUTE(SUBSTITUTE(SUBSTITUTE($G1781,"-"," ",LEN($G1781)-LEN(SUBSTITUTE($G1781,"-",""))),"-"," ",LEN($G1781)-LEN(SUBSTITUTE($G1781,"-",""))-1),".",""))))),$G1781)))</f>
        <v/>
      </c>
    </row>
    <row r="1782">
      <c r="A1782" s="58" t="n"/>
      <c r="B1782" s="58">
        <f>IF($H1782="","",LEFT($H1782,FIND(" ",$H1782&amp;" ")-1))</f>
        <v/>
      </c>
      <c r="C1782" s="58">
        <f>IF($H1782="","",IFERROR(MID($H1782&amp;" ",FIND("|",SUBSTITUTE($H1782&amp;" "," ","|",1))+1,FIND("|",SUBSTITUTE($H1782&amp;" "," ","|",2))-FIND("|",SUBSTITUTE($H1782&amp;" "," ","|",1))-1),""))</f>
        <v/>
      </c>
      <c r="D1782" s="58">
        <f>IF($H1782="","",IFERROR(MID($H1782&amp;" ",FIND("|",SUBSTITUTE($H1782&amp;" "," ","|",2))+1,FIND("|",SUBSTITUTE($H1782&amp;" "," ","|",3))-FIND("|",SUBSTITUTE($H1782&amp;" "," ","|",2))-1),""))</f>
        <v/>
      </c>
      <c r="E1782" s="58">
        <f>IF($H1782="","",IFERROR(MID($H1782&amp;" ",FIND("|",SUBSTITUTE($H1782&amp;" "," ","|",3))+1,FIND("|",SUBSTITUTE($H1782&amp;" "," ","|",4))-FIND("|",SUBSTITUTE($H1782&amp;" "," ","|",3))-1),""))</f>
        <v/>
      </c>
      <c r="F1782" s="59">
        <f>IF($H1782="","",IFERROR(VALUE(IFERROR(MID($H1782&amp;" ",FIND("|",SUBSTITUTE($H1782&amp;" "," ","|",4))+1,FIND("|",SUBSTITUTE($H1782&amp;" "," ","|",5))-FIND("|",SUBSTITUTE($H1782&amp;" "," ","|",4))-1),""))/86400+25569+9/24,""))</f>
        <v/>
      </c>
      <c r="G1782" s="58">
        <f>TRIM(SUBSTITUTE(SUBSTITUTE(SUBSTITUTE($A1782,CHAR(9)," ")," "," "),CHAR(13),""))</f>
        <v/>
      </c>
      <c r="H1782" s="58">
        <f>IF($G1782="","",IF(ISNUMBER(FIND(" ",$G1782)),$G1782,IFERROR(IF((LEN(SUBSTITUTE(SUBSTITUTE($G1782,"-"," ",LEN($G1782)-LEN(SUBSTITUTE($G1782,"-",""))),"-"," ",LEN($G1782)-LEN(SUBSTITUTE($G1782,"-",""))-1))-LEN(SUBSTITUTE(SUBSTITUTE(SUBSTITUTE($G1782,"-"," ",LEN($G1782)-LEN(SUBSTITUTE($G1782,"-",""))),"-"," ",LEN($G1782)-LEN(SUBSTITUTE($G1782,"-",""))-1),".","")))=0,SUBSTITUTE(SUBSTITUTE($G1782,"-"," ",LEN($G1782)-LEN(SUBSTITUTE($G1782,"-",""))),"-"," ",LEN($G1782)-LEN(SUBSTITUTE($G1782,"-",""))-1),SUBSTITUTE(SUBSTITUTE(SUBSTITUTE($G1782,"-"," ",LEN($G1782)-LEN(SUBSTITUTE($G1782,"-",""))),"-"," ",LEN($G1782)-LEN(SUBSTITUTE($G1782,"-",""))-1),"."," ",(LEN(SUBSTITUTE(SUBSTITUTE($G1782,"-"," ",LEN($G1782)-LEN(SUBSTITUTE($G1782,"-",""))),"-"," ",LEN($G1782)-LEN(SUBSTITUTE($G1782,"-",""))-1))-LEN(SUBSTITUTE(SUBSTITUTE(SUBSTITUTE($G1782,"-"," ",LEN($G1782)-LEN(SUBSTITUTE($G1782,"-",""))),"-"," ",LEN($G1782)-LEN(SUBSTITUTE($G1782,"-",""))-1),".",""))))),$G1782)))</f>
        <v/>
      </c>
    </row>
    <row r="1783">
      <c r="A1783" s="58" t="n"/>
      <c r="B1783" s="58">
        <f>IF($H1783="","",LEFT($H1783,FIND(" ",$H1783&amp;" ")-1))</f>
        <v/>
      </c>
      <c r="C1783" s="58">
        <f>IF($H1783="","",IFERROR(MID($H1783&amp;" ",FIND("|",SUBSTITUTE($H1783&amp;" "," ","|",1))+1,FIND("|",SUBSTITUTE($H1783&amp;" "," ","|",2))-FIND("|",SUBSTITUTE($H1783&amp;" "," ","|",1))-1),""))</f>
        <v/>
      </c>
      <c r="D1783" s="58">
        <f>IF($H1783="","",IFERROR(MID($H1783&amp;" ",FIND("|",SUBSTITUTE($H1783&amp;" "," ","|",2))+1,FIND("|",SUBSTITUTE($H1783&amp;" "," ","|",3))-FIND("|",SUBSTITUTE($H1783&amp;" "," ","|",2))-1),""))</f>
        <v/>
      </c>
      <c r="E1783" s="58">
        <f>IF($H1783="","",IFERROR(MID($H1783&amp;" ",FIND("|",SUBSTITUTE($H1783&amp;" "," ","|",3))+1,FIND("|",SUBSTITUTE($H1783&amp;" "," ","|",4))-FIND("|",SUBSTITUTE($H1783&amp;" "," ","|",3))-1),""))</f>
        <v/>
      </c>
      <c r="F1783" s="59">
        <f>IF($H1783="","",IFERROR(VALUE(IFERROR(MID($H1783&amp;" ",FIND("|",SUBSTITUTE($H1783&amp;" "," ","|",4))+1,FIND("|",SUBSTITUTE($H1783&amp;" "," ","|",5))-FIND("|",SUBSTITUTE($H1783&amp;" "," ","|",4))-1),""))/86400+25569+9/24,""))</f>
        <v/>
      </c>
      <c r="G1783" s="58">
        <f>TRIM(SUBSTITUTE(SUBSTITUTE(SUBSTITUTE($A1783,CHAR(9)," ")," "," "),CHAR(13),""))</f>
        <v/>
      </c>
      <c r="H1783" s="58">
        <f>IF($G1783="","",IF(ISNUMBER(FIND(" ",$G1783)),$G1783,IFERROR(IF((LEN(SUBSTITUTE(SUBSTITUTE($G1783,"-"," ",LEN($G1783)-LEN(SUBSTITUTE($G1783,"-",""))),"-"," ",LEN($G1783)-LEN(SUBSTITUTE($G1783,"-",""))-1))-LEN(SUBSTITUTE(SUBSTITUTE(SUBSTITUTE($G1783,"-"," ",LEN($G1783)-LEN(SUBSTITUTE($G1783,"-",""))),"-"," ",LEN($G1783)-LEN(SUBSTITUTE($G1783,"-",""))-1),".","")))=0,SUBSTITUTE(SUBSTITUTE($G1783,"-"," ",LEN($G1783)-LEN(SUBSTITUTE($G1783,"-",""))),"-"," ",LEN($G1783)-LEN(SUBSTITUTE($G1783,"-",""))-1),SUBSTITUTE(SUBSTITUTE(SUBSTITUTE($G1783,"-"," ",LEN($G1783)-LEN(SUBSTITUTE($G1783,"-",""))),"-"," ",LEN($G1783)-LEN(SUBSTITUTE($G1783,"-",""))-1),"."," ",(LEN(SUBSTITUTE(SUBSTITUTE($G1783,"-"," ",LEN($G1783)-LEN(SUBSTITUTE($G1783,"-",""))),"-"," ",LEN($G1783)-LEN(SUBSTITUTE($G1783,"-",""))-1))-LEN(SUBSTITUTE(SUBSTITUTE(SUBSTITUTE($G1783,"-"," ",LEN($G1783)-LEN(SUBSTITUTE($G1783,"-",""))),"-"," ",LEN($G1783)-LEN(SUBSTITUTE($G1783,"-",""))-1),".",""))))),$G1783)))</f>
        <v/>
      </c>
    </row>
    <row r="1784">
      <c r="A1784" s="58" t="n"/>
      <c r="B1784" s="58">
        <f>IF($H1784="","",LEFT($H1784,FIND(" ",$H1784&amp;" ")-1))</f>
        <v/>
      </c>
      <c r="C1784" s="58">
        <f>IF($H1784="","",IFERROR(MID($H1784&amp;" ",FIND("|",SUBSTITUTE($H1784&amp;" "," ","|",1))+1,FIND("|",SUBSTITUTE($H1784&amp;" "," ","|",2))-FIND("|",SUBSTITUTE($H1784&amp;" "," ","|",1))-1),""))</f>
        <v/>
      </c>
      <c r="D1784" s="58">
        <f>IF($H1784="","",IFERROR(MID($H1784&amp;" ",FIND("|",SUBSTITUTE($H1784&amp;" "," ","|",2))+1,FIND("|",SUBSTITUTE($H1784&amp;" "," ","|",3))-FIND("|",SUBSTITUTE($H1784&amp;" "," ","|",2))-1),""))</f>
        <v/>
      </c>
      <c r="E1784" s="58">
        <f>IF($H1784="","",IFERROR(MID($H1784&amp;" ",FIND("|",SUBSTITUTE($H1784&amp;" "," ","|",3))+1,FIND("|",SUBSTITUTE($H1784&amp;" "," ","|",4))-FIND("|",SUBSTITUTE($H1784&amp;" "," ","|",3))-1),""))</f>
        <v/>
      </c>
      <c r="F1784" s="59">
        <f>IF($H1784="","",IFERROR(VALUE(IFERROR(MID($H1784&amp;" ",FIND("|",SUBSTITUTE($H1784&amp;" "," ","|",4))+1,FIND("|",SUBSTITUTE($H1784&amp;" "," ","|",5))-FIND("|",SUBSTITUTE($H1784&amp;" "," ","|",4))-1),""))/86400+25569+9/24,""))</f>
        <v/>
      </c>
      <c r="G1784" s="58">
        <f>TRIM(SUBSTITUTE(SUBSTITUTE(SUBSTITUTE($A1784,CHAR(9)," ")," "," "),CHAR(13),""))</f>
        <v/>
      </c>
      <c r="H1784" s="58">
        <f>IF($G1784="","",IF(ISNUMBER(FIND(" ",$G1784)),$G1784,IFERROR(IF((LEN(SUBSTITUTE(SUBSTITUTE($G1784,"-"," ",LEN($G1784)-LEN(SUBSTITUTE($G1784,"-",""))),"-"," ",LEN($G1784)-LEN(SUBSTITUTE($G1784,"-",""))-1))-LEN(SUBSTITUTE(SUBSTITUTE(SUBSTITUTE($G1784,"-"," ",LEN($G1784)-LEN(SUBSTITUTE($G1784,"-",""))),"-"," ",LEN($G1784)-LEN(SUBSTITUTE($G1784,"-",""))-1),".","")))=0,SUBSTITUTE(SUBSTITUTE($G1784,"-"," ",LEN($G1784)-LEN(SUBSTITUTE($G1784,"-",""))),"-"," ",LEN($G1784)-LEN(SUBSTITUTE($G1784,"-",""))-1),SUBSTITUTE(SUBSTITUTE(SUBSTITUTE($G1784,"-"," ",LEN($G1784)-LEN(SUBSTITUTE($G1784,"-",""))),"-"," ",LEN($G1784)-LEN(SUBSTITUTE($G1784,"-",""))-1),"."," ",(LEN(SUBSTITUTE(SUBSTITUTE($G1784,"-"," ",LEN($G1784)-LEN(SUBSTITUTE($G1784,"-",""))),"-"," ",LEN($G1784)-LEN(SUBSTITUTE($G1784,"-",""))-1))-LEN(SUBSTITUTE(SUBSTITUTE(SUBSTITUTE($G1784,"-"," ",LEN($G1784)-LEN(SUBSTITUTE($G1784,"-",""))),"-"," ",LEN($G1784)-LEN(SUBSTITUTE($G1784,"-",""))-1),".",""))))),$G1784)))</f>
        <v/>
      </c>
    </row>
    <row r="1785">
      <c r="A1785" s="58" t="n"/>
      <c r="B1785" s="58">
        <f>IF($H1785="","",LEFT($H1785,FIND(" ",$H1785&amp;" ")-1))</f>
        <v/>
      </c>
      <c r="C1785" s="58">
        <f>IF($H1785="","",IFERROR(MID($H1785&amp;" ",FIND("|",SUBSTITUTE($H1785&amp;" "," ","|",1))+1,FIND("|",SUBSTITUTE($H1785&amp;" "," ","|",2))-FIND("|",SUBSTITUTE($H1785&amp;" "," ","|",1))-1),""))</f>
        <v/>
      </c>
      <c r="D1785" s="58">
        <f>IF($H1785="","",IFERROR(MID($H1785&amp;" ",FIND("|",SUBSTITUTE($H1785&amp;" "," ","|",2))+1,FIND("|",SUBSTITUTE($H1785&amp;" "," ","|",3))-FIND("|",SUBSTITUTE($H1785&amp;" "," ","|",2))-1),""))</f>
        <v/>
      </c>
      <c r="E1785" s="58">
        <f>IF($H1785="","",IFERROR(MID($H1785&amp;" ",FIND("|",SUBSTITUTE($H1785&amp;" "," ","|",3))+1,FIND("|",SUBSTITUTE($H1785&amp;" "," ","|",4))-FIND("|",SUBSTITUTE($H1785&amp;" "," ","|",3))-1),""))</f>
        <v/>
      </c>
      <c r="F1785" s="59">
        <f>IF($H1785="","",IFERROR(VALUE(IFERROR(MID($H1785&amp;" ",FIND("|",SUBSTITUTE($H1785&amp;" "," ","|",4))+1,FIND("|",SUBSTITUTE($H1785&amp;" "," ","|",5))-FIND("|",SUBSTITUTE($H1785&amp;" "," ","|",4))-1),""))/86400+25569+9/24,""))</f>
        <v/>
      </c>
      <c r="G1785" s="58">
        <f>TRIM(SUBSTITUTE(SUBSTITUTE(SUBSTITUTE($A1785,CHAR(9)," ")," "," "),CHAR(13),""))</f>
        <v/>
      </c>
      <c r="H1785" s="58">
        <f>IF($G1785="","",IF(ISNUMBER(FIND(" ",$G1785)),$G1785,IFERROR(IF((LEN(SUBSTITUTE(SUBSTITUTE($G1785,"-"," ",LEN($G1785)-LEN(SUBSTITUTE($G1785,"-",""))),"-"," ",LEN($G1785)-LEN(SUBSTITUTE($G1785,"-",""))-1))-LEN(SUBSTITUTE(SUBSTITUTE(SUBSTITUTE($G1785,"-"," ",LEN($G1785)-LEN(SUBSTITUTE($G1785,"-",""))),"-"," ",LEN($G1785)-LEN(SUBSTITUTE($G1785,"-",""))-1),".","")))=0,SUBSTITUTE(SUBSTITUTE($G1785,"-"," ",LEN($G1785)-LEN(SUBSTITUTE($G1785,"-",""))),"-"," ",LEN($G1785)-LEN(SUBSTITUTE($G1785,"-",""))-1),SUBSTITUTE(SUBSTITUTE(SUBSTITUTE($G1785,"-"," ",LEN($G1785)-LEN(SUBSTITUTE($G1785,"-",""))),"-"," ",LEN($G1785)-LEN(SUBSTITUTE($G1785,"-",""))-1),"."," ",(LEN(SUBSTITUTE(SUBSTITUTE($G1785,"-"," ",LEN($G1785)-LEN(SUBSTITUTE($G1785,"-",""))),"-"," ",LEN($G1785)-LEN(SUBSTITUTE($G1785,"-",""))-1))-LEN(SUBSTITUTE(SUBSTITUTE(SUBSTITUTE($G1785,"-"," ",LEN($G1785)-LEN(SUBSTITUTE($G1785,"-",""))),"-"," ",LEN($G1785)-LEN(SUBSTITUTE($G1785,"-",""))-1),".",""))))),$G1785)))</f>
        <v/>
      </c>
    </row>
    <row r="1786">
      <c r="A1786" s="58" t="n"/>
      <c r="B1786" s="58">
        <f>IF($H1786="","",LEFT($H1786,FIND(" ",$H1786&amp;" ")-1))</f>
        <v/>
      </c>
      <c r="C1786" s="58">
        <f>IF($H1786="","",IFERROR(MID($H1786&amp;" ",FIND("|",SUBSTITUTE($H1786&amp;" "," ","|",1))+1,FIND("|",SUBSTITUTE($H1786&amp;" "," ","|",2))-FIND("|",SUBSTITUTE($H1786&amp;" "," ","|",1))-1),""))</f>
        <v/>
      </c>
      <c r="D1786" s="58">
        <f>IF($H1786="","",IFERROR(MID($H1786&amp;" ",FIND("|",SUBSTITUTE($H1786&amp;" "," ","|",2))+1,FIND("|",SUBSTITUTE($H1786&amp;" "," ","|",3))-FIND("|",SUBSTITUTE($H1786&amp;" "," ","|",2))-1),""))</f>
        <v/>
      </c>
      <c r="E1786" s="58">
        <f>IF($H1786="","",IFERROR(MID($H1786&amp;" ",FIND("|",SUBSTITUTE($H1786&amp;" "," ","|",3))+1,FIND("|",SUBSTITUTE($H1786&amp;" "," ","|",4))-FIND("|",SUBSTITUTE($H1786&amp;" "," ","|",3))-1),""))</f>
        <v/>
      </c>
      <c r="F1786" s="59">
        <f>IF($H1786="","",IFERROR(VALUE(IFERROR(MID($H1786&amp;" ",FIND("|",SUBSTITUTE($H1786&amp;" "," ","|",4))+1,FIND("|",SUBSTITUTE($H1786&amp;" "," ","|",5))-FIND("|",SUBSTITUTE($H1786&amp;" "," ","|",4))-1),""))/86400+25569+9/24,""))</f>
        <v/>
      </c>
      <c r="G1786" s="58">
        <f>TRIM(SUBSTITUTE(SUBSTITUTE(SUBSTITUTE($A1786,CHAR(9)," ")," "," "),CHAR(13),""))</f>
        <v/>
      </c>
      <c r="H1786" s="58">
        <f>IF($G1786="","",IF(ISNUMBER(FIND(" ",$G1786)),$G1786,IFERROR(IF((LEN(SUBSTITUTE(SUBSTITUTE($G1786,"-"," ",LEN($G1786)-LEN(SUBSTITUTE($G1786,"-",""))),"-"," ",LEN($G1786)-LEN(SUBSTITUTE($G1786,"-",""))-1))-LEN(SUBSTITUTE(SUBSTITUTE(SUBSTITUTE($G1786,"-"," ",LEN($G1786)-LEN(SUBSTITUTE($G1786,"-",""))),"-"," ",LEN($G1786)-LEN(SUBSTITUTE($G1786,"-",""))-1),".","")))=0,SUBSTITUTE(SUBSTITUTE($G1786,"-"," ",LEN($G1786)-LEN(SUBSTITUTE($G1786,"-",""))),"-"," ",LEN($G1786)-LEN(SUBSTITUTE($G1786,"-",""))-1),SUBSTITUTE(SUBSTITUTE(SUBSTITUTE($G1786,"-"," ",LEN($G1786)-LEN(SUBSTITUTE($G1786,"-",""))),"-"," ",LEN($G1786)-LEN(SUBSTITUTE($G1786,"-",""))-1),"."," ",(LEN(SUBSTITUTE(SUBSTITUTE($G1786,"-"," ",LEN($G1786)-LEN(SUBSTITUTE($G1786,"-",""))),"-"," ",LEN($G1786)-LEN(SUBSTITUTE($G1786,"-",""))-1))-LEN(SUBSTITUTE(SUBSTITUTE(SUBSTITUTE($G1786,"-"," ",LEN($G1786)-LEN(SUBSTITUTE($G1786,"-",""))),"-"," ",LEN($G1786)-LEN(SUBSTITUTE($G1786,"-",""))-1),".",""))))),$G1786)))</f>
        <v/>
      </c>
    </row>
    <row r="1787">
      <c r="A1787" s="58" t="n"/>
      <c r="B1787" s="58">
        <f>IF($H1787="","",LEFT($H1787,FIND(" ",$H1787&amp;" ")-1))</f>
        <v/>
      </c>
      <c r="C1787" s="58">
        <f>IF($H1787="","",IFERROR(MID($H1787&amp;" ",FIND("|",SUBSTITUTE($H1787&amp;" "," ","|",1))+1,FIND("|",SUBSTITUTE($H1787&amp;" "," ","|",2))-FIND("|",SUBSTITUTE($H1787&amp;" "," ","|",1))-1),""))</f>
        <v/>
      </c>
      <c r="D1787" s="58">
        <f>IF($H1787="","",IFERROR(MID($H1787&amp;" ",FIND("|",SUBSTITUTE($H1787&amp;" "," ","|",2))+1,FIND("|",SUBSTITUTE($H1787&amp;" "," ","|",3))-FIND("|",SUBSTITUTE($H1787&amp;" "," ","|",2))-1),""))</f>
        <v/>
      </c>
      <c r="E1787" s="58">
        <f>IF($H1787="","",IFERROR(MID($H1787&amp;" ",FIND("|",SUBSTITUTE($H1787&amp;" "," ","|",3))+1,FIND("|",SUBSTITUTE($H1787&amp;" "," ","|",4))-FIND("|",SUBSTITUTE($H1787&amp;" "," ","|",3))-1),""))</f>
        <v/>
      </c>
      <c r="F1787" s="59">
        <f>IF($H1787="","",IFERROR(VALUE(IFERROR(MID($H1787&amp;" ",FIND("|",SUBSTITUTE($H1787&amp;" "," ","|",4))+1,FIND("|",SUBSTITUTE($H1787&amp;" "," ","|",5))-FIND("|",SUBSTITUTE($H1787&amp;" "," ","|",4))-1),""))/86400+25569+9/24,""))</f>
        <v/>
      </c>
      <c r="G1787" s="58">
        <f>TRIM(SUBSTITUTE(SUBSTITUTE(SUBSTITUTE($A1787,CHAR(9)," ")," "," "),CHAR(13),""))</f>
        <v/>
      </c>
      <c r="H1787" s="58">
        <f>IF($G1787="","",IF(ISNUMBER(FIND(" ",$G1787)),$G1787,IFERROR(IF((LEN(SUBSTITUTE(SUBSTITUTE($G1787,"-"," ",LEN($G1787)-LEN(SUBSTITUTE($G1787,"-",""))),"-"," ",LEN($G1787)-LEN(SUBSTITUTE($G1787,"-",""))-1))-LEN(SUBSTITUTE(SUBSTITUTE(SUBSTITUTE($G1787,"-"," ",LEN($G1787)-LEN(SUBSTITUTE($G1787,"-",""))),"-"," ",LEN($G1787)-LEN(SUBSTITUTE($G1787,"-",""))-1),".","")))=0,SUBSTITUTE(SUBSTITUTE($G1787,"-"," ",LEN($G1787)-LEN(SUBSTITUTE($G1787,"-",""))),"-"," ",LEN($G1787)-LEN(SUBSTITUTE($G1787,"-",""))-1),SUBSTITUTE(SUBSTITUTE(SUBSTITUTE($G1787,"-"," ",LEN($G1787)-LEN(SUBSTITUTE($G1787,"-",""))),"-"," ",LEN($G1787)-LEN(SUBSTITUTE($G1787,"-",""))-1),"."," ",(LEN(SUBSTITUTE(SUBSTITUTE($G1787,"-"," ",LEN($G1787)-LEN(SUBSTITUTE($G1787,"-",""))),"-"," ",LEN($G1787)-LEN(SUBSTITUTE($G1787,"-",""))-1))-LEN(SUBSTITUTE(SUBSTITUTE(SUBSTITUTE($G1787,"-"," ",LEN($G1787)-LEN(SUBSTITUTE($G1787,"-",""))),"-"," ",LEN($G1787)-LEN(SUBSTITUTE($G1787,"-",""))-1),".",""))))),$G1787)))</f>
        <v/>
      </c>
    </row>
    <row r="1788">
      <c r="A1788" s="58" t="n"/>
      <c r="B1788" s="58">
        <f>IF($H1788="","",LEFT($H1788,FIND(" ",$H1788&amp;" ")-1))</f>
        <v/>
      </c>
      <c r="C1788" s="58">
        <f>IF($H1788="","",IFERROR(MID($H1788&amp;" ",FIND("|",SUBSTITUTE($H1788&amp;" "," ","|",1))+1,FIND("|",SUBSTITUTE($H1788&amp;" "," ","|",2))-FIND("|",SUBSTITUTE($H1788&amp;" "," ","|",1))-1),""))</f>
        <v/>
      </c>
      <c r="D1788" s="58">
        <f>IF($H1788="","",IFERROR(MID($H1788&amp;" ",FIND("|",SUBSTITUTE($H1788&amp;" "," ","|",2))+1,FIND("|",SUBSTITUTE($H1788&amp;" "," ","|",3))-FIND("|",SUBSTITUTE($H1788&amp;" "," ","|",2))-1),""))</f>
        <v/>
      </c>
      <c r="E1788" s="58">
        <f>IF($H1788="","",IFERROR(MID($H1788&amp;" ",FIND("|",SUBSTITUTE($H1788&amp;" "," ","|",3))+1,FIND("|",SUBSTITUTE($H1788&amp;" "," ","|",4))-FIND("|",SUBSTITUTE($H1788&amp;" "," ","|",3))-1),""))</f>
        <v/>
      </c>
      <c r="F1788" s="59">
        <f>IF($H1788="","",IFERROR(VALUE(IFERROR(MID($H1788&amp;" ",FIND("|",SUBSTITUTE($H1788&amp;" "," ","|",4))+1,FIND("|",SUBSTITUTE($H1788&amp;" "," ","|",5))-FIND("|",SUBSTITUTE($H1788&amp;" "," ","|",4))-1),""))/86400+25569+9/24,""))</f>
        <v/>
      </c>
      <c r="G1788" s="58">
        <f>TRIM(SUBSTITUTE(SUBSTITUTE(SUBSTITUTE($A1788,CHAR(9)," ")," "," "),CHAR(13),""))</f>
        <v/>
      </c>
      <c r="H1788" s="58">
        <f>IF($G1788="","",IF(ISNUMBER(FIND(" ",$G1788)),$G1788,IFERROR(IF((LEN(SUBSTITUTE(SUBSTITUTE($G1788,"-"," ",LEN($G1788)-LEN(SUBSTITUTE($G1788,"-",""))),"-"," ",LEN($G1788)-LEN(SUBSTITUTE($G1788,"-",""))-1))-LEN(SUBSTITUTE(SUBSTITUTE(SUBSTITUTE($G1788,"-"," ",LEN($G1788)-LEN(SUBSTITUTE($G1788,"-",""))),"-"," ",LEN($G1788)-LEN(SUBSTITUTE($G1788,"-",""))-1),".","")))=0,SUBSTITUTE(SUBSTITUTE($G1788,"-"," ",LEN($G1788)-LEN(SUBSTITUTE($G1788,"-",""))),"-"," ",LEN($G1788)-LEN(SUBSTITUTE($G1788,"-",""))-1),SUBSTITUTE(SUBSTITUTE(SUBSTITUTE($G1788,"-"," ",LEN($G1788)-LEN(SUBSTITUTE($G1788,"-",""))),"-"," ",LEN($G1788)-LEN(SUBSTITUTE($G1788,"-",""))-1),"."," ",(LEN(SUBSTITUTE(SUBSTITUTE($G1788,"-"," ",LEN($G1788)-LEN(SUBSTITUTE($G1788,"-",""))),"-"," ",LEN($G1788)-LEN(SUBSTITUTE($G1788,"-",""))-1))-LEN(SUBSTITUTE(SUBSTITUTE(SUBSTITUTE($G1788,"-"," ",LEN($G1788)-LEN(SUBSTITUTE($G1788,"-",""))),"-"," ",LEN($G1788)-LEN(SUBSTITUTE($G1788,"-",""))-1),".",""))))),$G1788)))</f>
        <v/>
      </c>
    </row>
    <row r="1789">
      <c r="A1789" s="58" t="n"/>
      <c r="B1789" s="58">
        <f>IF($H1789="","",LEFT($H1789,FIND(" ",$H1789&amp;" ")-1))</f>
        <v/>
      </c>
      <c r="C1789" s="58">
        <f>IF($H1789="","",IFERROR(MID($H1789&amp;" ",FIND("|",SUBSTITUTE($H1789&amp;" "," ","|",1))+1,FIND("|",SUBSTITUTE($H1789&amp;" "," ","|",2))-FIND("|",SUBSTITUTE($H1789&amp;" "," ","|",1))-1),""))</f>
        <v/>
      </c>
      <c r="D1789" s="58">
        <f>IF($H1789="","",IFERROR(MID($H1789&amp;" ",FIND("|",SUBSTITUTE($H1789&amp;" "," ","|",2))+1,FIND("|",SUBSTITUTE($H1789&amp;" "," ","|",3))-FIND("|",SUBSTITUTE($H1789&amp;" "," ","|",2))-1),""))</f>
        <v/>
      </c>
      <c r="E1789" s="58">
        <f>IF($H1789="","",IFERROR(MID($H1789&amp;" ",FIND("|",SUBSTITUTE($H1789&amp;" "," ","|",3))+1,FIND("|",SUBSTITUTE($H1789&amp;" "," ","|",4))-FIND("|",SUBSTITUTE($H1789&amp;" "," ","|",3))-1),""))</f>
        <v/>
      </c>
      <c r="F1789" s="59">
        <f>IF($H1789="","",IFERROR(VALUE(IFERROR(MID($H1789&amp;" ",FIND("|",SUBSTITUTE($H1789&amp;" "," ","|",4))+1,FIND("|",SUBSTITUTE($H1789&amp;" "," ","|",5))-FIND("|",SUBSTITUTE($H1789&amp;" "," ","|",4))-1),""))/86400+25569+9/24,""))</f>
        <v/>
      </c>
      <c r="G1789" s="58">
        <f>TRIM(SUBSTITUTE(SUBSTITUTE(SUBSTITUTE($A1789,CHAR(9)," ")," "," "),CHAR(13),""))</f>
        <v/>
      </c>
      <c r="H1789" s="58">
        <f>IF($G1789="","",IF(ISNUMBER(FIND(" ",$G1789)),$G1789,IFERROR(IF((LEN(SUBSTITUTE(SUBSTITUTE($G1789,"-"," ",LEN($G1789)-LEN(SUBSTITUTE($G1789,"-",""))),"-"," ",LEN($G1789)-LEN(SUBSTITUTE($G1789,"-",""))-1))-LEN(SUBSTITUTE(SUBSTITUTE(SUBSTITUTE($G1789,"-"," ",LEN($G1789)-LEN(SUBSTITUTE($G1789,"-",""))),"-"," ",LEN($G1789)-LEN(SUBSTITUTE($G1789,"-",""))-1),".","")))=0,SUBSTITUTE(SUBSTITUTE($G1789,"-"," ",LEN($G1789)-LEN(SUBSTITUTE($G1789,"-",""))),"-"," ",LEN($G1789)-LEN(SUBSTITUTE($G1789,"-",""))-1),SUBSTITUTE(SUBSTITUTE(SUBSTITUTE($G1789,"-"," ",LEN($G1789)-LEN(SUBSTITUTE($G1789,"-",""))),"-"," ",LEN($G1789)-LEN(SUBSTITUTE($G1789,"-",""))-1),"."," ",(LEN(SUBSTITUTE(SUBSTITUTE($G1789,"-"," ",LEN($G1789)-LEN(SUBSTITUTE($G1789,"-",""))),"-"," ",LEN($G1789)-LEN(SUBSTITUTE($G1789,"-",""))-1))-LEN(SUBSTITUTE(SUBSTITUTE(SUBSTITUTE($G1789,"-"," ",LEN($G1789)-LEN(SUBSTITUTE($G1789,"-",""))),"-"," ",LEN($G1789)-LEN(SUBSTITUTE($G1789,"-",""))-1),".",""))))),$G1789)))</f>
        <v/>
      </c>
    </row>
    <row r="1790">
      <c r="A1790" s="58" t="n"/>
      <c r="B1790" s="58">
        <f>IF($H1790="","",LEFT($H1790,FIND(" ",$H1790&amp;" ")-1))</f>
        <v/>
      </c>
      <c r="C1790" s="58">
        <f>IF($H1790="","",IFERROR(MID($H1790&amp;" ",FIND("|",SUBSTITUTE($H1790&amp;" "," ","|",1))+1,FIND("|",SUBSTITUTE($H1790&amp;" "," ","|",2))-FIND("|",SUBSTITUTE($H1790&amp;" "," ","|",1))-1),""))</f>
        <v/>
      </c>
      <c r="D1790" s="58">
        <f>IF($H1790="","",IFERROR(MID($H1790&amp;" ",FIND("|",SUBSTITUTE($H1790&amp;" "," ","|",2))+1,FIND("|",SUBSTITUTE($H1790&amp;" "," ","|",3))-FIND("|",SUBSTITUTE($H1790&amp;" "," ","|",2))-1),""))</f>
        <v/>
      </c>
      <c r="E1790" s="58">
        <f>IF($H1790="","",IFERROR(MID($H1790&amp;" ",FIND("|",SUBSTITUTE($H1790&amp;" "," ","|",3))+1,FIND("|",SUBSTITUTE($H1790&amp;" "," ","|",4))-FIND("|",SUBSTITUTE($H1790&amp;" "," ","|",3))-1),""))</f>
        <v/>
      </c>
      <c r="F1790" s="59">
        <f>IF($H1790="","",IFERROR(VALUE(IFERROR(MID($H1790&amp;" ",FIND("|",SUBSTITUTE($H1790&amp;" "," ","|",4))+1,FIND("|",SUBSTITUTE($H1790&amp;" "," ","|",5))-FIND("|",SUBSTITUTE($H1790&amp;" "," ","|",4))-1),""))/86400+25569+9/24,""))</f>
        <v/>
      </c>
      <c r="G1790" s="58">
        <f>TRIM(SUBSTITUTE(SUBSTITUTE(SUBSTITUTE($A1790,CHAR(9)," ")," "," "),CHAR(13),""))</f>
        <v/>
      </c>
      <c r="H1790" s="58">
        <f>IF($G1790="","",IF(ISNUMBER(FIND(" ",$G1790)),$G1790,IFERROR(IF((LEN(SUBSTITUTE(SUBSTITUTE($G1790,"-"," ",LEN($G1790)-LEN(SUBSTITUTE($G1790,"-",""))),"-"," ",LEN($G1790)-LEN(SUBSTITUTE($G1790,"-",""))-1))-LEN(SUBSTITUTE(SUBSTITUTE(SUBSTITUTE($G1790,"-"," ",LEN($G1790)-LEN(SUBSTITUTE($G1790,"-",""))),"-"," ",LEN($G1790)-LEN(SUBSTITUTE($G1790,"-",""))-1),".","")))=0,SUBSTITUTE(SUBSTITUTE($G1790,"-"," ",LEN($G1790)-LEN(SUBSTITUTE($G1790,"-",""))),"-"," ",LEN($G1790)-LEN(SUBSTITUTE($G1790,"-",""))-1),SUBSTITUTE(SUBSTITUTE(SUBSTITUTE($G1790,"-"," ",LEN($G1790)-LEN(SUBSTITUTE($G1790,"-",""))),"-"," ",LEN($G1790)-LEN(SUBSTITUTE($G1790,"-",""))-1),"."," ",(LEN(SUBSTITUTE(SUBSTITUTE($G1790,"-"," ",LEN($G1790)-LEN(SUBSTITUTE($G1790,"-",""))),"-"," ",LEN($G1790)-LEN(SUBSTITUTE($G1790,"-",""))-1))-LEN(SUBSTITUTE(SUBSTITUTE(SUBSTITUTE($G1790,"-"," ",LEN($G1790)-LEN(SUBSTITUTE($G1790,"-",""))),"-"," ",LEN($G1790)-LEN(SUBSTITUTE($G1790,"-",""))-1),".",""))))),$G1790)))</f>
        <v/>
      </c>
    </row>
    <row r="1791">
      <c r="A1791" s="58" t="n"/>
      <c r="B1791" s="58">
        <f>IF($H1791="","",LEFT($H1791,FIND(" ",$H1791&amp;" ")-1))</f>
        <v/>
      </c>
      <c r="C1791" s="58">
        <f>IF($H1791="","",IFERROR(MID($H1791&amp;" ",FIND("|",SUBSTITUTE($H1791&amp;" "," ","|",1))+1,FIND("|",SUBSTITUTE($H1791&amp;" "," ","|",2))-FIND("|",SUBSTITUTE($H1791&amp;" "," ","|",1))-1),""))</f>
        <v/>
      </c>
      <c r="D1791" s="58">
        <f>IF($H1791="","",IFERROR(MID($H1791&amp;" ",FIND("|",SUBSTITUTE($H1791&amp;" "," ","|",2))+1,FIND("|",SUBSTITUTE($H1791&amp;" "," ","|",3))-FIND("|",SUBSTITUTE($H1791&amp;" "," ","|",2))-1),""))</f>
        <v/>
      </c>
      <c r="E1791" s="58">
        <f>IF($H1791="","",IFERROR(MID($H1791&amp;" ",FIND("|",SUBSTITUTE($H1791&amp;" "," ","|",3))+1,FIND("|",SUBSTITUTE($H1791&amp;" "," ","|",4))-FIND("|",SUBSTITUTE($H1791&amp;" "," ","|",3))-1),""))</f>
        <v/>
      </c>
      <c r="F1791" s="59">
        <f>IF($H1791="","",IFERROR(VALUE(IFERROR(MID($H1791&amp;" ",FIND("|",SUBSTITUTE($H1791&amp;" "," ","|",4))+1,FIND("|",SUBSTITUTE($H1791&amp;" "," ","|",5))-FIND("|",SUBSTITUTE($H1791&amp;" "," ","|",4))-1),""))/86400+25569+9/24,""))</f>
        <v/>
      </c>
      <c r="G1791" s="58">
        <f>TRIM(SUBSTITUTE(SUBSTITUTE(SUBSTITUTE($A1791,CHAR(9)," ")," "," "),CHAR(13),""))</f>
        <v/>
      </c>
      <c r="H1791" s="58">
        <f>IF($G1791="","",IF(ISNUMBER(FIND(" ",$G1791)),$G1791,IFERROR(IF((LEN(SUBSTITUTE(SUBSTITUTE($G1791,"-"," ",LEN($G1791)-LEN(SUBSTITUTE($G1791,"-",""))),"-"," ",LEN($G1791)-LEN(SUBSTITUTE($G1791,"-",""))-1))-LEN(SUBSTITUTE(SUBSTITUTE(SUBSTITUTE($G1791,"-"," ",LEN($G1791)-LEN(SUBSTITUTE($G1791,"-",""))),"-"," ",LEN($G1791)-LEN(SUBSTITUTE($G1791,"-",""))-1),".","")))=0,SUBSTITUTE(SUBSTITUTE($G1791,"-"," ",LEN($G1791)-LEN(SUBSTITUTE($G1791,"-",""))),"-"," ",LEN($G1791)-LEN(SUBSTITUTE($G1791,"-",""))-1),SUBSTITUTE(SUBSTITUTE(SUBSTITUTE($G1791,"-"," ",LEN($G1791)-LEN(SUBSTITUTE($G1791,"-",""))),"-"," ",LEN($G1791)-LEN(SUBSTITUTE($G1791,"-",""))-1),"."," ",(LEN(SUBSTITUTE(SUBSTITUTE($G1791,"-"," ",LEN($G1791)-LEN(SUBSTITUTE($G1791,"-",""))),"-"," ",LEN($G1791)-LEN(SUBSTITUTE($G1791,"-",""))-1))-LEN(SUBSTITUTE(SUBSTITUTE(SUBSTITUTE($G1791,"-"," ",LEN($G1791)-LEN(SUBSTITUTE($G1791,"-",""))),"-"," ",LEN($G1791)-LEN(SUBSTITUTE($G1791,"-",""))-1),".",""))))),$G1791)))</f>
        <v/>
      </c>
    </row>
    <row r="1792">
      <c r="A1792" s="58" t="n"/>
      <c r="B1792" s="58">
        <f>IF($H1792="","",LEFT($H1792,FIND(" ",$H1792&amp;" ")-1))</f>
        <v/>
      </c>
      <c r="C1792" s="58">
        <f>IF($H1792="","",IFERROR(MID($H1792&amp;" ",FIND("|",SUBSTITUTE($H1792&amp;" "," ","|",1))+1,FIND("|",SUBSTITUTE($H1792&amp;" "," ","|",2))-FIND("|",SUBSTITUTE($H1792&amp;" "," ","|",1))-1),""))</f>
        <v/>
      </c>
      <c r="D1792" s="58">
        <f>IF($H1792="","",IFERROR(MID($H1792&amp;" ",FIND("|",SUBSTITUTE($H1792&amp;" "," ","|",2))+1,FIND("|",SUBSTITUTE($H1792&amp;" "," ","|",3))-FIND("|",SUBSTITUTE($H1792&amp;" "," ","|",2))-1),""))</f>
        <v/>
      </c>
      <c r="E1792" s="58">
        <f>IF($H1792="","",IFERROR(MID($H1792&amp;" ",FIND("|",SUBSTITUTE($H1792&amp;" "," ","|",3))+1,FIND("|",SUBSTITUTE($H1792&amp;" "," ","|",4))-FIND("|",SUBSTITUTE($H1792&amp;" "," ","|",3))-1),""))</f>
        <v/>
      </c>
      <c r="F1792" s="59">
        <f>IF($H1792="","",IFERROR(VALUE(IFERROR(MID($H1792&amp;" ",FIND("|",SUBSTITUTE($H1792&amp;" "," ","|",4))+1,FIND("|",SUBSTITUTE($H1792&amp;" "," ","|",5))-FIND("|",SUBSTITUTE($H1792&amp;" "," ","|",4))-1),""))/86400+25569+9/24,""))</f>
        <v/>
      </c>
      <c r="G1792" s="58">
        <f>TRIM(SUBSTITUTE(SUBSTITUTE(SUBSTITUTE($A1792,CHAR(9)," ")," "," "),CHAR(13),""))</f>
        <v/>
      </c>
      <c r="H1792" s="58">
        <f>IF($G1792="","",IF(ISNUMBER(FIND(" ",$G1792)),$G1792,IFERROR(IF((LEN(SUBSTITUTE(SUBSTITUTE($G1792,"-"," ",LEN($G1792)-LEN(SUBSTITUTE($G1792,"-",""))),"-"," ",LEN($G1792)-LEN(SUBSTITUTE($G1792,"-",""))-1))-LEN(SUBSTITUTE(SUBSTITUTE(SUBSTITUTE($G1792,"-"," ",LEN($G1792)-LEN(SUBSTITUTE($G1792,"-",""))),"-"," ",LEN($G1792)-LEN(SUBSTITUTE($G1792,"-",""))-1),".","")))=0,SUBSTITUTE(SUBSTITUTE($G1792,"-"," ",LEN($G1792)-LEN(SUBSTITUTE($G1792,"-",""))),"-"," ",LEN($G1792)-LEN(SUBSTITUTE($G1792,"-",""))-1),SUBSTITUTE(SUBSTITUTE(SUBSTITUTE($G1792,"-"," ",LEN($G1792)-LEN(SUBSTITUTE($G1792,"-",""))),"-"," ",LEN($G1792)-LEN(SUBSTITUTE($G1792,"-",""))-1),"."," ",(LEN(SUBSTITUTE(SUBSTITUTE($G1792,"-"," ",LEN($G1792)-LEN(SUBSTITUTE($G1792,"-",""))),"-"," ",LEN($G1792)-LEN(SUBSTITUTE($G1792,"-",""))-1))-LEN(SUBSTITUTE(SUBSTITUTE(SUBSTITUTE($G1792,"-"," ",LEN($G1792)-LEN(SUBSTITUTE($G1792,"-",""))),"-"," ",LEN($G1792)-LEN(SUBSTITUTE($G1792,"-",""))-1),".",""))))),$G1792)))</f>
        <v/>
      </c>
    </row>
    <row r="1793">
      <c r="A1793" s="58" t="n"/>
      <c r="B1793" s="58">
        <f>IF($H1793="","",LEFT($H1793,FIND(" ",$H1793&amp;" ")-1))</f>
        <v/>
      </c>
      <c r="C1793" s="58">
        <f>IF($H1793="","",IFERROR(MID($H1793&amp;" ",FIND("|",SUBSTITUTE($H1793&amp;" "," ","|",1))+1,FIND("|",SUBSTITUTE($H1793&amp;" "," ","|",2))-FIND("|",SUBSTITUTE($H1793&amp;" "," ","|",1))-1),""))</f>
        <v/>
      </c>
      <c r="D1793" s="58">
        <f>IF($H1793="","",IFERROR(MID($H1793&amp;" ",FIND("|",SUBSTITUTE($H1793&amp;" "," ","|",2))+1,FIND("|",SUBSTITUTE($H1793&amp;" "," ","|",3))-FIND("|",SUBSTITUTE($H1793&amp;" "," ","|",2))-1),""))</f>
        <v/>
      </c>
      <c r="E1793" s="58">
        <f>IF($H1793="","",IFERROR(MID($H1793&amp;" ",FIND("|",SUBSTITUTE($H1793&amp;" "," ","|",3))+1,FIND("|",SUBSTITUTE($H1793&amp;" "," ","|",4))-FIND("|",SUBSTITUTE($H1793&amp;" "," ","|",3))-1),""))</f>
        <v/>
      </c>
      <c r="F1793" s="59">
        <f>IF($H1793="","",IFERROR(VALUE(IFERROR(MID($H1793&amp;" ",FIND("|",SUBSTITUTE($H1793&amp;" "," ","|",4))+1,FIND("|",SUBSTITUTE($H1793&amp;" "," ","|",5))-FIND("|",SUBSTITUTE($H1793&amp;" "," ","|",4))-1),""))/86400+25569+9/24,""))</f>
        <v/>
      </c>
      <c r="G1793" s="58">
        <f>TRIM(SUBSTITUTE(SUBSTITUTE(SUBSTITUTE($A1793,CHAR(9)," ")," "," "),CHAR(13),""))</f>
        <v/>
      </c>
      <c r="H1793" s="58">
        <f>IF($G1793="","",IF(ISNUMBER(FIND(" ",$G1793)),$G1793,IFERROR(IF((LEN(SUBSTITUTE(SUBSTITUTE($G1793,"-"," ",LEN($G1793)-LEN(SUBSTITUTE($G1793,"-",""))),"-"," ",LEN($G1793)-LEN(SUBSTITUTE($G1793,"-",""))-1))-LEN(SUBSTITUTE(SUBSTITUTE(SUBSTITUTE($G1793,"-"," ",LEN($G1793)-LEN(SUBSTITUTE($G1793,"-",""))),"-"," ",LEN($G1793)-LEN(SUBSTITUTE($G1793,"-",""))-1),".","")))=0,SUBSTITUTE(SUBSTITUTE($G1793,"-"," ",LEN($G1793)-LEN(SUBSTITUTE($G1793,"-",""))),"-"," ",LEN($G1793)-LEN(SUBSTITUTE($G1793,"-",""))-1),SUBSTITUTE(SUBSTITUTE(SUBSTITUTE($G1793,"-"," ",LEN($G1793)-LEN(SUBSTITUTE($G1793,"-",""))),"-"," ",LEN($G1793)-LEN(SUBSTITUTE($G1793,"-",""))-1),"."," ",(LEN(SUBSTITUTE(SUBSTITUTE($G1793,"-"," ",LEN($G1793)-LEN(SUBSTITUTE($G1793,"-",""))),"-"," ",LEN($G1793)-LEN(SUBSTITUTE($G1793,"-",""))-1))-LEN(SUBSTITUTE(SUBSTITUTE(SUBSTITUTE($G1793,"-"," ",LEN($G1793)-LEN(SUBSTITUTE($G1793,"-",""))),"-"," ",LEN($G1793)-LEN(SUBSTITUTE($G1793,"-",""))-1),".",""))))),$G1793)))</f>
        <v/>
      </c>
    </row>
    <row r="1794">
      <c r="A1794" s="58" t="n"/>
      <c r="B1794" s="58">
        <f>IF($H1794="","",LEFT($H1794,FIND(" ",$H1794&amp;" ")-1))</f>
        <v/>
      </c>
      <c r="C1794" s="58">
        <f>IF($H1794="","",IFERROR(MID($H1794&amp;" ",FIND("|",SUBSTITUTE($H1794&amp;" "," ","|",1))+1,FIND("|",SUBSTITUTE($H1794&amp;" "," ","|",2))-FIND("|",SUBSTITUTE($H1794&amp;" "," ","|",1))-1),""))</f>
        <v/>
      </c>
      <c r="D1794" s="58">
        <f>IF($H1794="","",IFERROR(MID($H1794&amp;" ",FIND("|",SUBSTITUTE($H1794&amp;" "," ","|",2))+1,FIND("|",SUBSTITUTE($H1794&amp;" "," ","|",3))-FIND("|",SUBSTITUTE($H1794&amp;" "," ","|",2))-1),""))</f>
        <v/>
      </c>
      <c r="E1794" s="58">
        <f>IF($H1794="","",IFERROR(MID($H1794&amp;" ",FIND("|",SUBSTITUTE($H1794&amp;" "," ","|",3))+1,FIND("|",SUBSTITUTE($H1794&amp;" "," ","|",4))-FIND("|",SUBSTITUTE($H1794&amp;" "," ","|",3))-1),""))</f>
        <v/>
      </c>
      <c r="F1794" s="59">
        <f>IF($H1794="","",IFERROR(VALUE(IFERROR(MID($H1794&amp;" ",FIND("|",SUBSTITUTE($H1794&amp;" "," ","|",4))+1,FIND("|",SUBSTITUTE($H1794&amp;" "," ","|",5))-FIND("|",SUBSTITUTE($H1794&amp;" "," ","|",4))-1),""))/86400+25569+9/24,""))</f>
        <v/>
      </c>
      <c r="G1794" s="58">
        <f>TRIM(SUBSTITUTE(SUBSTITUTE(SUBSTITUTE($A1794,CHAR(9)," ")," "," "),CHAR(13),""))</f>
        <v/>
      </c>
      <c r="H1794" s="58">
        <f>IF($G1794="","",IF(ISNUMBER(FIND(" ",$G1794)),$G1794,IFERROR(IF((LEN(SUBSTITUTE(SUBSTITUTE($G1794,"-"," ",LEN($G1794)-LEN(SUBSTITUTE($G1794,"-",""))),"-"," ",LEN($G1794)-LEN(SUBSTITUTE($G1794,"-",""))-1))-LEN(SUBSTITUTE(SUBSTITUTE(SUBSTITUTE($G1794,"-"," ",LEN($G1794)-LEN(SUBSTITUTE($G1794,"-",""))),"-"," ",LEN($G1794)-LEN(SUBSTITUTE($G1794,"-",""))-1),".","")))=0,SUBSTITUTE(SUBSTITUTE($G1794,"-"," ",LEN($G1794)-LEN(SUBSTITUTE($G1794,"-",""))),"-"," ",LEN($G1794)-LEN(SUBSTITUTE($G1794,"-",""))-1),SUBSTITUTE(SUBSTITUTE(SUBSTITUTE($G1794,"-"," ",LEN($G1794)-LEN(SUBSTITUTE($G1794,"-",""))),"-"," ",LEN($G1794)-LEN(SUBSTITUTE($G1794,"-",""))-1),"."," ",(LEN(SUBSTITUTE(SUBSTITUTE($G1794,"-"," ",LEN($G1794)-LEN(SUBSTITUTE($G1794,"-",""))),"-"," ",LEN($G1794)-LEN(SUBSTITUTE($G1794,"-",""))-1))-LEN(SUBSTITUTE(SUBSTITUTE(SUBSTITUTE($G1794,"-"," ",LEN($G1794)-LEN(SUBSTITUTE($G1794,"-",""))),"-"," ",LEN($G1794)-LEN(SUBSTITUTE($G1794,"-",""))-1),".",""))))),$G1794)))</f>
        <v/>
      </c>
    </row>
    <row r="1795">
      <c r="A1795" s="58" t="n"/>
      <c r="B1795" s="58">
        <f>IF($H1795="","",LEFT($H1795,FIND(" ",$H1795&amp;" ")-1))</f>
        <v/>
      </c>
      <c r="C1795" s="58">
        <f>IF($H1795="","",IFERROR(MID($H1795&amp;" ",FIND("|",SUBSTITUTE($H1795&amp;" "," ","|",1))+1,FIND("|",SUBSTITUTE($H1795&amp;" "," ","|",2))-FIND("|",SUBSTITUTE($H1795&amp;" "," ","|",1))-1),""))</f>
        <v/>
      </c>
      <c r="D1795" s="58">
        <f>IF($H1795="","",IFERROR(MID($H1795&amp;" ",FIND("|",SUBSTITUTE($H1795&amp;" "," ","|",2))+1,FIND("|",SUBSTITUTE($H1795&amp;" "," ","|",3))-FIND("|",SUBSTITUTE($H1795&amp;" "," ","|",2))-1),""))</f>
        <v/>
      </c>
      <c r="E1795" s="58">
        <f>IF($H1795="","",IFERROR(MID($H1795&amp;" ",FIND("|",SUBSTITUTE($H1795&amp;" "," ","|",3))+1,FIND("|",SUBSTITUTE($H1795&amp;" "," ","|",4))-FIND("|",SUBSTITUTE($H1795&amp;" "," ","|",3))-1),""))</f>
        <v/>
      </c>
      <c r="F1795" s="59">
        <f>IF($H1795="","",IFERROR(VALUE(IFERROR(MID($H1795&amp;" ",FIND("|",SUBSTITUTE($H1795&amp;" "," ","|",4))+1,FIND("|",SUBSTITUTE($H1795&amp;" "," ","|",5))-FIND("|",SUBSTITUTE($H1795&amp;" "," ","|",4))-1),""))/86400+25569+9/24,""))</f>
        <v/>
      </c>
      <c r="G1795" s="58">
        <f>TRIM(SUBSTITUTE(SUBSTITUTE(SUBSTITUTE($A1795,CHAR(9)," ")," "," "),CHAR(13),""))</f>
        <v/>
      </c>
      <c r="H1795" s="58">
        <f>IF($G1795="","",IF(ISNUMBER(FIND(" ",$G1795)),$G1795,IFERROR(IF((LEN(SUBSTITUTE(SUBSTITUTE($G1795,"-"," ",LEN($G1795)-LEN(SUBSTITUTE($G1795,"-",""))),"-"," ",LEN($G1795)-LEN(SUBSTITUTE($G1795,"-",""))-1))-LEN(SUBSTITUTE(SUBSTITUTE(SUBSTITUTE($G1795,"-"," ",LEN($G1795)-LEN(SUBSTITUTE($G1795,"-",""))),"-"," ",LEN($G1795)-LEN(SUBSTITUTE($G1795,"-",""))-1),".","")))=0,SUBSTITUTE(SUBSTITUTE($G1795,"-"," ",LEN($G1795)-LEN(SUBSTITUTE($G1795,"-",""))),"-"," ",LEN($G1795)-LEN(SUBSTITUTE($G1795,"-",""))-1),SUBSTITUTE(SUBSTITUTE(SUBSTITUTE($G1795,"-"," ",LEN($G1795)-LEN(SUBSTITUTE($G1795,"-",""))),"-"," ",LEN($G1795)-LEN(SUBSTITUTE($G1795,"-",""))-1),"."," ",(LEN(SUBSTITUTE(SUBSTITUTE($G1795,"-"," ",LEN($G1795)-LEN(SUBSTITUTE($G1795,"-",""))),"-"," ",LEN($G1795)-LEN(SUBSTITUTE($G1795,"-",""))-1))-LEN(SUBSTITUTE(SUBSTITUTE(SUBSTITUTE($G1795,"-"," ",LEN($G1795)-LEN(SUBSTITUTE($G1795,"-",""))),"-"," ",LEN($G1795)-LEN(SUBSTITUTE($G1795,"-",""))-1),".",""))))),$G1795)))</f>
        <v/>
      </c>
    </row>
    <row r="1796">
      <c r="A1796" s="58" t="n"/>
      <c r="B1796" s="58">
        <f>IF($H1796="","",LEFT($H1796,FIND(" ",$H1796&amp;" ")-1))</f>
        <v/>
      </c>
      <c r="C1796" s="58">
        <f>IF($H1796="","",IFERROR(MID($H1796&amp;" ",FIND("|",SUBSTITUTE($H1796&amp;" "," ","|",1))+1,FIND("|",SUBSTITUTE($H1796&amp;" "," ","|",2))-FIND("|",SUBSTITUTE($H1796&amp;" "," ","|",1))-1),""))</f>
        <v/>
      </c>
      <c r="D1796" s="58">
        <f>IF($H1796="","",IFERROR(MID($H1796&amp;" ",FIND("|",SUBSTITUTE($H1796&amp;" "," ","|",2))+1,FIND("|",SUBSTITUTE($H1796&amp;" "," ","|",3))-FIND("|",SUBSTITUTE($H1796&amp;" "," ","|",2))-1),""))</f>
        <v/>
      </c>
      <c r="E1796" s="58">
        <f>IF($H1796="","",IFERROR(MID($H1796&amp;" ",FIND("|",SUBSTITUTE($H1796&amp;" "," ","|",3))+1,FIND("|",SUBSTITUTE($H1796&amp;" "," ","|",4))-FIND("|",SUBSTITUTE($H1796&amp;" "," ","|",3))-1),""))</f>
        <v/>
      </c>
      <c r="F1796" s="59">
        <f>IF($H1796="","",IFERROR(VALUE(IFERROR(MID($H1796&amp;" ",FIND("|",SUBSTITUTE($H1796&amp;" "," ","|",4))+1,FIND("|",SUBSTITUTE($H1796&amp;" "," ","|",5))-FIND("|",SUBSTITUTE($H1796&amp;" "," ","|",4))-1),""))/86400+25569+9/24,""))</f>
        <v/>
      </c>
      <c r="G1796" s="58">
        <f>TRIM(SUBSTITUTE(SUBSTITUTE(SUBSTITUTE($A1796,CHAR(9)," ")," "," "),CHAR(13),""))</f>
        <v/>
      </c>
      <c r="H1796" s="58">
        <f>IF($G1796="","",IF(ISNUMBER(FIND(" ",$G1796)),$G1796,IFERROR(IF((LEN(SUBSTITUTE(SUBSTITUTE($G1796,"-"," ",LEN($G1796)-LEN(SUBSTITUTE($G1796,"-",""))),"-"," ",LEN($G1796)-LEN(SUBSTITUTE($G1796,"-",""))-1))-LEN(SUBSTITUTE(SUBSTITUTE(SUBSTITUTE($G1796,"-"," ",LEN($G1796)-LEN(SUBSTITUTE($G1796,"-",""))),"-"," ",LEN($G1796)-LEN(SUBSTITUTE($G1796,"-",""))-1),".","")))=0,SUBSTITUTE(SUBSTITUTE($G1796,"-"," ",LEN($G1796)-LEN(SUBSTITUTE($G1796,"-",""))),"-"," ",LEN($G1796)-LEN(SUBSTITUTE($G1796,"-",""))-1),SUBSTITUTE(SUBSTITUTE(SUBSTITUTE($G1796,"-"," ",LEN($G1796)-LEN(SUBSTITUTE($G1796,"-",""))),"-"," ",LEN($G1796)-LEN(SUBSTITUTE($G1796,"-",""))-1),"."," ",(LEN(SUBSTITUTE(SUBSTITUTE($G1796,"-"," ",LEN($G1796)-LEN(SUBSTITUTE($G1796,"-",""))),"-"," ",LEN($G1796)-LEN(SUBSTITUTE($G1796,"-",""))-1))-LEN(SUBSTITUTE(SUBSTITUTE(SUBSTITUTE($G1796,"-"," ",LEN($G1796)-LEN(SUBSTITUTE($G1796,"-",""))),"-"," ",LEN($G1796)-LEN(SUBSTITUTE($G1796,"-",""))-1),".",""))))),$G1796)))</f>
        <v/>
      </c>
    </row>
    <row r="1797">
      <c r="A1797" s="58" t="n"/>
      <c r="B1797" s="58">
        <f>IF($H1797="","",LEFT($H1797,FIND(" ",$H1797&amp;" ")-1))</f>
        <v/>
      </c>
      <c r="C1797" s="58">
        <f>IF($H1797="","",IFERROR(MID($H1797&amp;" ",FIND("|",SUBSTITUTE($H1797&amp;" "," ","|",1))+1,FIND("|",SUBSTITUTE($H1797&amp;" "," ","|",2))-FIND("|",SUBSTITUTE($H1797&amp;" "," ","|",1))-1),""))</f>
        <v/>
      </c>
      <c r="D1797" s="58">
        <f>IF($H1797="","",IFERROR(MID($H1797&amp;" ",FIND("|",SUBSTITUTE($H1797&amp;" "," ","|",2))+1,FIND("|",SUBSTITUTE($H1797&amp;" "," ","|",3))-FIND("|",SUBSTITUTE($H1797&amp;" "," ","|",2))-1),""))</f>
        <v/>
      </c>
      <c r="E1797" s="58">
        <f>IF($H1797="","",IFERROR(MID($H1797&amp;" ",FIND("|",SUBSTITUTE($H1797&amp;" "," ","|",3))+1,FIND("|",SUBSTITUTE($H1797&amp;" "," ","|",4))-FIND("|",SUBSTITUTE($H1797&amp;" "," ","|",3))-1),""))</f>
        <v/>
      </c>
      <c r="F1797" s="59">
        <f>IF($H1797="","",IFERROR(VALUE(IFERROR(MID($H1797&amp;" ",FIND("|",SUBSTITUTE($H1797&amp;" "," ","|",4))+1,FIND("|",SUBSTITUTE($H1797&amp;" "," ","|",5))-FIND("|",SUBSTITUTE($H1797&amp;" "," ","|",4))-1),""))/86400+25569+9/24,""))</f>
        <v/>
      </c>
      <c r="G1797" s="58">
        <f>TRIM(SUBSTITUTE(SUBSTITUTE(SUBSTITUTE($A1797,CHAR(9)," ")," "," "),CHAR(13),""))</f>
        <v/>
      </c>
      <c r="H1797" s="58">
        <f>IF($G1797="","",IF(ISNUMBER(FIND(" ",$G1797)),$G1797,IFERROR(IF((LEN(SUBSTITUTE(SUBSTITUTE($G1797,"-"," ",LEN($G1797)-LEN(SUBSTITUTE($G1797,"-",""))),"-"," ",LEN($G1797)-LEN(SUBSTITUTE($G1797,"-",""))-1))-LEN(SUBSTITUTE(SUBSTITUTE(SUBSTITUTE($G1797,"-"," ",LEN($G1797)-LEN(SUBSTITUTE($G1797,"-",""))),"-"," ",LEN($G1797)-LEN(SUBSTITUTE($G1797,"-",""))-1),".","")))=0,SUBSTITUTE(SUBSTITUTE($G1797,"-"," ",LEN($G1797)-LEN(SUBSTITUTE($G1797,"-",""))),"-"," ",LEN($G1797)-LEN(SUBSTITUTE($G1797,"-",""))-1),SUBSTITUTE(SUBSTITUTE(SUBSTITUTE($G1797,"-"," ",LEN($G1797)-LEN(SUBSTITUTE($G1797,"-",""))),"-"," ",LEN($G1797)-LEN(SUBSTITUTE($G1797,"-",""))-1),"."," ",(LEN(SUBSTITUTE(SUBSTITUTE($G1797,"-"," ",LEN($G1797)-LEN(SUBSTITUTE($G1797,"-",""))),"-"," ",LEN($G1797)-LEN(SUBSTITUTE($G1797,"-",""))-1))-LEN(SUBSTITUTE(SUBSTITUTE(SUBSTITUTE($G1797,"-"," ",LEN($G1797)-LEN(SUBSTITUTE($G1797,"-",""))),"-"," ",LEN($G1797)-LEN(SUBSTITUTE($G1797,"-",""))-1),".",""))))),$G1797)))</f>
        <v/>
      </c>
    </row>
    <row r="1798">
      <c r="A1798" s="58" t="n"/>
      <c r="B1798" s="58">
        <f>IF($H1798="","",LEFT($H1798,FIND(" ",$H1798&amp;" ")-1))</f>
        <v/>
      </c>
      <c r="C1798" s="58">
        <f>IF($H1798="","",IFERROR(MID($H1798&amp;" ",FIND("|",SUBSTITUTE($H1798&amp;" "," ","|",1))+1,FIND("|",SUBSTITUTE($H1798&amp;" "," ","|",2))-FIND("|",SUBSTITUTE($H1798&amp;" "," ","|",1))-1),""))</f>
        <v/>
      </c>
      <c r="D1798" s="58">
        <f>IF($H1798="","",IFERROR(MID($H1798&amp;" ",FIND("|",SUBSTITUTE($H1798&amp;" "," ","|",2))+1,FIND("|",SUBSTITUTE($H1798&amp;" "," ","|",3))-FIND("|",SUBSTITUTE($H1798&amp;" "," ","|",2))-1),""))</f>
        <v/>
      </c>
      <c r="E1798" s="58">
        <f>IF($H1798="","",IFERROR(MID($H1798&amp;" ",FIND("|",SUBSTITUTE($H1798&amp;" "," ","|",3))+1,FIND("|",SUBSTITUTE($H1798&amp;" "," ","|",4))-FIND("|",SUBSTITUTE($H1798&amp;" "," ","|",3))-1),""))</f>
        <v/>
      </c>
      <c r="F1798" s="59">
        <f>IF($H1798="","",IFERROR(VALUE(IFERROR(MID($H1798&amp;" ",FIND("|",SUBSTITUTE($H1798&amp;" "," ","|",4))+1,FIND("|",SUBSTITUTE($H1798&amp;" "," ","|",5))-FIND("|",SUBSTITUTE($H1798&amp;" "," ","|",4))-1),""))/86400+25569+9/24,""))</f>
        <v/>
      </c>
      <c r="G1798" s="58">
        <f>TRIM(SUBSTITUTE(SUBSTITUTE(SUBSTITUTE($A1798,CHAR(9)," ")," "," "),CHAR(13),""))</f>
        <v/>
      </c>
      <c r="H1798" s="58">
        <f>IF($G1798="","",IF(ISNUMBER(FIND(" ",$G1798)),$G1798,IFERROR(IF((LEN(SUBSTITUTE(SUBSTITUTE($G1798,"-"," ",LEN($G1798)-LEN(SUBSTITUTE($G1798,"-",""))),"-"," ",LEN($G1798)-LEN(SUBSTITUTE($G1798,"-",""))-1))-LEN(SUBSTITUTE(SUBSTITUTE(SUBSTITUTE($G1798,"-"," ",LEN($G1798)-LEN(SUBSTITUTE($G1798,"-",""))),"-"," ",LEN($G1798)-LEN(SUBSTITUTE($G1798,"-",""))-1),".","")))=0,SUBSTITUTE(SUBSTITUTE($G1798,"-"," ",LEN($G1798)-LEN(SUBSTITUTE($G1798,"-",""))),"-"," ",LEN($G1798)-LEN(SUBSTITUTE($G1798,"-",""))-1),SUBSTITUTE(SUBSTITUTE(SUBSTITUTE($G1798,"-"," ",LEN($G1798)-LEN(SUBSTITUTE($G1798,"-",""))),"-"," ",LEN($G1798)-LEN(SUBSTITUTE($G1798,"-",""))-1),"."," ",(LEN(SUBSTITUTE(SUBSTITUTE($G1798,"-"," ",LEN($G1798)-LEN(SUBSTITUTE($G1798,"-",""))),"-"," ",LEN($G1798)-LEN(SUBSTITUTE($G1798,"-",""))-1))-LEN(SUBSTITUTE(SUBSTITUTE(SUBSTITUTE($G1798,"-"," ",LEN($G1798)-LEN(SUBSTITUTE($G1798,"-",""))),"-"," ",LEN($G1798)-LEN(SUBSTITUTE($G1798,"-",""))-1),".",""))))),$G1798)))</f>
        <v/>
      </c>
    </row>
    <row r="1799">
      <c r="A1799" s="58" t="n"/>
      <c r="B1799" s="58">
        <f>IF($H1799="","",LEFT($H1799,FIND(" ",$H1799&amp;" ")-1))</f>
        <v/>
      </c>
      <c r="C1799" s="58">
        <f>IF($H1799="","",IFERROR(MID($H1799&amp;" ",FIND("|",SUBSTITUTE($H1799&amp;" "," ","|",1))+1,FIND("|",SUBSTITUTE($H1799&amp;" "," ","|",2))-FIND("|",SUBSTITUTE($H1799&amp;" "," ","|",1))-1),""))</f>
        <v/>
      </c>
      <c r="D1799" s="58">
        <f>IF($H1799="","",IFERROR(MID($H1799&amp;" ",FIND("|",SUBSTITUTE($H1799&amp;" "," ","|",2))+1,FIND("|",SUBSTITUTE($H1799&amp;" "," ","|",3))-FIND("|",SUBSTITUTE($H1799&amp;" "," ","|",2))-1),""))</f>
        <v/>
      </c>
      <c r="E1799" s="58">
        <f>IF($H1799="","",IFERROR(MID($H1799&amp;" ",FIND("|",SUBSTITUTE($H1799&amp;" "," ","|",3))+1,FIND("|",SUBSTITUTE($H1799&amp;" "," ","|",4))-FIND("|",SUBSTITUTE($H1799&amp;" "," ","|",3))-1),""))</f>
        <v/>
      </c>
      <c r="F1799" s="59">
        <f>IF($H1799="","",IFERROR(VALUE(IFERROR(MID($H1799&amp;" ",FIND("|",SUBSTITUTE($H1799&amp;" "," ","|",4))+1,FIND("|",SUBSTITUTE($H1799&amp;" "," ","|",5))-FIND("|",SUBSTITUTE($H1799&amp;" "," ","|",4))-1),""))/86400+25569+9/24,""))</f>
        <v/>
      </c>
      <c r="G1799" s="58">
        <f>TRIM(SUBSTITUTE(SUBSTITUTE(SUBSTITUTE($A1799,CHAR(9)," ")," "," "),CHAR(13),""))</f>
        <v/>
      </c>
      <c r="H1799" s="58">
        <f>IF($G1799="","",IF(ISNUMBER(FIND(" ",$G1799)),$G1799,IFERROR(IF((LEN(SUBSTITUTE(SUBSTITUTE($G1799,"-"," ",LEN($G1799)-LEN(SUBSTITUTE($G1799,"-",""))),"-"," ",LEN($G1799)-LEN(SUBSTITUTE($G1799,"-",""))-1))-LEN(SUBSTITUTE(SUBSTITUTE(SUBSTITUTE($G1799,"-"," ",LEN($G1799)-LEN(SUBSTITUTE($G1799,"-",""))),"-"," ",LEN($G1799)-LEN(SUBSTITUTE($G1799,"-",""))-1),".","")))=0,SUBSTITUTE(SUBSTITUTE($G1799,"-"," ",LEN($G1799)-LEN(SUBSTITUTE($G1799,"-",""))),"-"," ",LEN($G1799)-LEN(SUBSTITUTE($G1799,"-",""))-1),SUBSTITUTE(SUBSTITUTE(SUBSTITUTE($G1799,"-"," ",LEN($G1799)-LEN(SUBSTITUTE($G1799,"-",""))),"-"," ",LEN($G1799)-LEN(SUBSTITUTE($G1799,"-",""))-1),"."," ",(LEN(SUBSTITUTE(SUBSTITUTE($G1799,"-"," ",LEN($G1799)-LEN(SUBSTITUTE($G1799,"-",""))),"-"," ",LEN($G1799)-LEN(SUBSTITUTE($G1799,"-",""))-1))-LEN(SUBSTITUTE(SUBSTITUTE(SUBSTITUTE($G1799,"-"," ",LEN($G1799)-LEN(SUBSTITUTE($G1799,"-",""))),"-"," ",LEN($G1799)-LEN(SUBSTITUTE($G1799,"-",""))-1),".",""))))),$G1799)))</f>
        <v/>
      </c>
    </row>
    <row r="1800">
      <c r="A1800" s="58" t="n"/>
      <c r="B1800" s="58">
        <f>IF($H1800="","",LEFT($H1800,FIND(" ",$H1800&amp;" ")-1))</f>
        <v/>
      </c>
      <c r="C1800" s="58">
        <f>IF($H1800="","",IFERROR(MID($H1800&amp;" ",FIND("|",SUBSTITUTE($H1800&amp;" "," ","|",1))+1,FIND("|",SUBSTITUTE($H1800&amp;" "," ","|",2))-FIND("|",SUBSTITUTE($H1800&amp;" "," ","|",1))-1),""))</f>
        <v/>
      </c>
      <c r="D1800" s="58">
        <f>IF($H1800="","",IFERROR(MID($H1800&amp;" ",FIND("|",SUBSTITUTE($H1800&amp;" "," ","|",2))+1,FIND("|",SUBSTITUTE($H1800&amp;" "," ","|",3))-FIND("|",SUBSTITUTE($H1800&amp;" "," ","|",2))-1),""))</f>
        <v/>
      </c>
      <c r="E1800" s="58">
        <f>IF($H1800="","",IFERROR(MID($H1800&amp;" ",FIND("|",SUBSTITUTE($H1800&amp;" "," ","|",3))+1,FIND("|",SUBSTITUTE($H1800&amp;" "," ","|",4))-FIND("|",SUBSTITUTE($H1800&amp;" "," ","|",3))-1),""))</f>
        <v/>
      </c>
      <c r="F1800" s="59">
        <f>IF($H1800="","",IFERROR(VALUE(IFERROR(MID($H1800&amp;" ",FIND("|",SUBSTITUTE($H1800&amp;" "," ","|",4))+1,FIND("|",SUBSTITUTE($H1800&amp;" "," ","|",5))-FIND("|",SUBSTITUTE($H1800&amp;" "," ","|",4))-1),""))/86400+25569+9/24,""))</f>
        <v/>
      </c>
      <c r="G1800" s="58">
        <f>TRIM(SUBSTITUTE(SUBSTITUTE(SUBSTITUTE($A1800,CHAR(9)," ")," "," "),CHAR(13),""))</f>
        <v/>
      </c>
      <c r="H1800" s="58">
        <f>IF($G1800="","",IF(ISNUMBER(FIND(" ",$G1800)),$G1800,IFERROR(IF((LEN(SUBSTITUTE(SUBSTITUTE($G1800,"-"," ",LEN($G1800)-LEN(SUBSTITUTE($G1800,"-",""))),"-"," ",LEN($G1800)-LEN(SUBSTITUTE($G1800,"-",""))-1))-LEN(SUBSTITUTE(SUBSTITUTE(SUBSTITUTE($G1800,"-"," ",LEN($G1800)-LEN(SUBSTITUTE($G1800,"-",""))),"-"," ",LEN($G1800)-LEN(SUBSTITUTE($G1800,"-",""))-1),".","")))=0,SUBSTITUTE(SUBSTITUTE($G1800,"-"," ",LEN($G1800)-LEN(SUBSTITUTE($G1800,"-",""))),"-"," ",LEN($G1800)-LEN(SUBSTITUTE($G1800,"-",""))-1),SUBSTITUTE(SUBSTITUTE(SUBSTITUTE($G1800,"-"," ",LEN($G1800)-LEN(SUBSTITUTE($G1800,"-",""))),"-"," ",LEN($G1800)-LEN(SUBSTITUTE($G1800,"-",""))-1),"."," ",(LEN(SUBSTITUTE(SUBSTITUTE($G1800,"-"," ",LEN($G1800)-LEN(SUBSTITUTE($G1800,"-",""))),"-"," ",LEN($G1800)-LEN(SUBSTITUTE($G1800,"-",""))-1))-LEN(SUBSTITUTE(SUBSTITUTE(SUBSTITUTE($G1800,"-"," ",LEN($G1800)-LEN(SUBSTITUTE($G1800,"-",""))),"-"," ",LEN($G1800)-LEN(SUBSTITUTE($G1800,"-",""))-1),".",""))))),$G1800)))</f>
        <v/>
      </c>
    </row>
    <row r="1801">
      <c r="A1801" s="58" t="n"/>
      <c r="B1801" s="58">
        <f>IF($H1801="","",LEFT($H1801,FIND(" ",$H1801&amp;" ")-1))</f>
        <v/>
      </c>
      <c r="C1801" s="58">
        <f>IF($H1801="","",IFERROR(MID($H1801&amp;" ",FIND("|",SUBSTITUTE($H1801&amp;" "," ","|",1))+1,FIND("|",SUBSTITUTE($H1801&amp;" "," ","|",2))-FIND("|",SUBSTITUTE($H1801&amp;" "," ","|",1))-1),""))</f>
        <v/>
      </c>
      <c r="D1801" s="58">
        <f>IF($H1801="","",IFERROR(MID($H1801&amp;" ",FIND("|",SUBSTITUTE($H1801&amp;" "," ","|",2))+1,FIND("|",SUBSTITUTE($H1801&amp;" "," ","|",3))-FIND("|",SUBSTITUTE($H1801&amp;" "," ","|",2))-1),""))</f>
        <v/>
      </c>
      <c r="E1801" s="58">
        <f>IF($H1801="","",IFERROR(MID($H1801&amp;" ",FIND("|",SUBSTITUTE($H1801&amp;" "," ","|",3))+1,FIND("|",SUBSTITUTE($H1801&amp;" "," ","|",4))-FIND("|",SUBSTITUTE($H1801&amp;" "," ","|",3))-1),""))</f>
        <v/>
      </c>
      <c r="F1801" s="59">
        <f>IF($H1801="","",IFERROR(VALUE(IFERROR(MID($H1801&amp;" ",FIND("|",SUBSTITUTE($H1801&amp;" "," ","|",4))+1,FIND("|",SUBSTITUTE($H1801&amp;" "," ","|",5))-FIND("|",SUBSTITUTE($H1801&amp;" "," ","|",4))-1),""))/86400+25569+9/24,""))</f>
        <v/>
      </c>
      <c r="G1801" s="58">
        <f>TRIM(SUBSTITUTE(SUBSTITUTE(SUBSTITUTE($A1801,CHAR(9)," ")," "," "),CHAR(13),""))</f>
        <v/>
      </c>
      <c r="H1801" s="58">
        <f>IF($G1801="","",IF(ISNUMBER(FIND(" ",$G1801)),$G1801,IFERROR(IF((LEN(SUBSTITUTE(SUBSTITUTE($G1801,"-"," ",LEN($G1801)-LEN(SUBSTITUTE($G1801,"-",""))),"-"," ",LEN($G1801)-LEN(SUBSTITUTE($G1801,"-",""))-1))-LEN(SUBSTITUTE(SUBSTITUTE(SUBSTITUTE($G1801,"-"," ",LEN($G1801)-LEN(SUBSTITUTE($G1801,"-",""))),"-"," ",LEN($G1801)-LEN(SUBSTITUTE($G1801,"-",""))-1),".","")))=0,SUBSTITUTE(SUBSTITUTE($G1801,"-"," ",LEN($G1801)-LEN(SUBSTITUTE($G1801,"-",""))),"-"," ",LEN($G1801)-LEN(SUBSTITUTE($G1801,"-",""))-1),SUBSTITUTE(SUBSTITUTE(SUBSTITUTE($G1801,"-"," ",LEN($G1801)-LEN(SUBSTITUTE($G1801,"-",""))),"-"," ",LEN($G1801)-LEN(SUBSTITUTE($G1801,"-",""))-1),"."," ",(LEN(SUBSTITUTE(SUBSTITUTE($G1801,"-"," ",LEN($G1801)-LEN(SUBSTITUTE($G1801,"-",""))),"-"," ",LEN($G1801)-LEN(SUBSTITUTE($G1801,"-",""))-1))-LEN(SUBSTITUTE(SUBSTITUTE(SUBSTITUTE($G1801,"-"," ",LEN($G1801)-LEN(SUBSTITUTE($G1801,"-",""))),"-"," ",LEN($G1801)-LEN(SUBSTITUTE($G1801,"-",""))-1),".",""))))),$G1801)))</f>
        <v/>
      </c>
    </row>
    <row r="1802">
      <c r="A1802" s="58" t="n"/>
      <c r="B1802" s="58">
        <f>IF($H1802="","",LEFT($H1802,FIND(" ",$H1802&amp;" ")-1))</f>
        <v/>
      </c>
      <c r="C1802" s="58">
        <f>IF($H1802="","",IFERROR(MID($H1802&amp;" ",FIND("|",SUBSTITUTE($H1802&amp;" "," ","|",1))+1,FIND("|",SUBSTITUTE($H1802&amp;" "," ","|",2))-FIND("|",SUBSTITUTE($H1802&amp;" "," ","|",1))-1),""))</f>
        <v/>
      </c>
      <c r="D1802" s="58">
        <f>IF($H1802="","",IFERROR(MID($H1802&amp;" ",FIND("|",SUBSTITUTE($H1802&amp;" "," ","|",2))+1,FIND("|",SUBSTITUTE($H1802&amp;" "," ","|",3))-FIND("|",SUBSTITUTE($H1802&amp;" "," ","|",2))-1),""))</f>
        <v/>
      </c>
      <c r="E1802" s="58">
        <f>IF($H1802="","",IFERROR(MID($H1802&amp;" ",FIND("|",SUBSTITUTE($H1802&amp;" "," ","|",3))+1,FIND("|",SUBSTITUTE($H1802&amp;" "," ","|",4))-FIND("|",SUBSTITUTE($H1802&amp;" "," ","|",3))-1),""))</f>
        <v/>
      </c>
      <c r="F1802" s="59">
        <f>IF($H1802="","",IFERROR(VALUE(IFERROR(MID($H1802&amp;" ",FIND("|",SUBSTITUTE($H1802&amp;" "," ","|",4))+1,FIND("|",SUBSTITUTE($H1802&amp;" "," ","|",5))-FIND("|",SUBSTITUTE($H1802&amp;" "," ","|",4))-1),""))/86400+25569+9/24,""))</f>
        <v/>
      </c>
      <c r="G1802" s="58">
        <f>TRIM(SUBSTITUTE(SUBSTITUTE(SUBSTITUTE($A1802,CHAR(9)," ")," "," "),CHAR(13),""))</f>
        <v/>
      </c>
      <c r="H1802" s="58">
        <f>IF($G1802="","",IF(ISNUMBER(FIND(" ",$G1802)),$G1802,IFERROR(IF((LEN(SUBSTITUTE(SUBSTITUTE($G1802,"-"," ",LEN($G1802)-LEN(SUBSTITUTE($G1802,"-",""))),"-"," ",LEN($G1802)-LEN(SUBSTITUTE($G1802,"-",""))-1))-LEN(SUBSTITUTE(SUBSTITUTE(SUBSTITUTE($G1802,"-"," ",LEN($G1802)-LEN(SUBSTITUTE($G1802,"-",""))),"-"," ",LEN($G1802)-LEN(SUBSTITUTE($G1802,"-",""))-1),".","")))=0,SUBSTITUTE(SUBSTITUTE($G1802,"-"," ",LEN($G1802)-LEN(SUBSTITUTE($G1802,"-",""))),"-"," ",LEN($G1802)-LEN(SUBSTITUTE($G1802,"-",""))-1),SUBSTITUTE(SUBSTITUTE(SUBSTITUTE($G1802,"-"," ",LEN($G1802)-LEN(SUBSTITUTE($G1802,"-",""))),"-"," ",LEN($G1802)-LEN(SUBSTITUTE($G1802,"-",""))-1),"."," ",(LEN(SUBSTITUTE(SUBSTITUTE($G1802,"-"," ",LEN($G1802)-LEN(SUBSTITUTE($G1802,"-",""))),"-"," ",LEN($G1802)-LEN(SUBSTITUTE($G1802,"-",""))-1))-LEN(SUBSTITUTE(SUBSTITUTE(SUBSTITUTE($G1802,"-"," ",LEN($G1802)-LEN(SUBSTITUTE($G1802,"-",""))),"-"," ",LEN($G1802)-LEN(SUBSTITUTE($G1802,"-",""))-1),".",""))))),$G1802)))</f>
        <v/>
      </c>
    </row>
    <row r="1803">
      <c r="A1803" s="58" t="n"/>
      <c r="B1803" s="58">
        <f>IF($H1803="","",LEFT($H1803,FIND(" ",$H1803&amp;" ")-1))</f>
        <v/>
      </c>
      <c r="C1803" s="58">
        <f>IF($H1803="","",IFERROR(MID($H1803&amp;" ",FIND("|",SUBSTITUTE($H1803&amp;" "," ","|",1))+1,FIND("|",SUBSTITUTE($H1803&amp;" "," ","|",2))-FIND("|",SUBSTITUTE($H1803&amp;" "," ","|",1))-1),""))</f>
        <v/>
      </c>
      <c r="D1803" s="58">
        <f>IF($H1803="","",IFERROR(MID($H1803&amp;" ",FIND("|",SUBSTITUTE($H1803&amp;" "," ","|",2))+1,FIND("|",SUBSTITUTE($H1803&amp;" "," ","|",3))-FIND("|",SUBSTITUTE($H1803&amp;" "," ","|",2))-1),""))</f>
        <v/>
      </c>
      <c r="E1803" s="58">
        <f>IF($H1803="","",IFERROR(MID($H1803&amp;" ",FIND("|",SUBSTITUTE($H1803&amp;" "," ","|",3))+1,FIND("|",SUBSTITUTE($H1803&amp;" "," ","|",4))-FIND("|",SUBSTITUTE($H1803&amp;" "," ","|",3))-1),""))</f>
        <v/>
      </c>
      <c r="F1803" s="59">
        <f>IF($H1803="","",IFERROR(VALUE(IFERROR(MID($H1803&amp;" ",FIND("|",SUBSTITUTE($H1803&amp;" "," ","|",4))+1,FIND("|",SUBSTITUTE($H1803&amp;" "," ","|",5))-FIND("|",SUBSTITUTE($H1803&amp;" "," ","|",4))-1),""))/86400+25569+9/24,""))</f>
        <v/>
      </c>
      <c r="G1803" s="58">
        <f>TRIM(SUBSTITUTE(SUBSTITUTE(SUBSTITUTE($A1803,CHAR(9)," ")," "," "),CHAR(13),""))</f>
        <v/>
      </c>
      <c r="H1803" s="58">
        <f>IF($G1803="","",IF(ISNUMBER(FIND(" ",$G1803)),$G1803,IFERROR(IF((LEN(SUBSTITUTE(SUBSTITUTE($G1803,"-"," ",LEN($G1803)-LEN(SUBSTITUTE($G1803,"-",""))),"-"," ",LEN($G1803)-LEN(SUBSTITUTE($G1803,"-",""))-1))-LEN(SUBSTITUTE(SUBSTITUTE(SUBSTITUTE($G1803,"-"," ",LEN($G1803)-LEN(SUBSTITUTE($G1803,"-",""))),"-"," ",LEN($G1803)-LEN(SUBSTITUTE($G1803,"-",""))-1),".","")))=0,SUBSTITUTE(SUBSTITUTE($G1803,"-"," ",LEN($G1803)-LEN(SUBSTITUTE($G1803,"-",""))),"-"," ",LEN($G1803)-LEN(SUBSTITUTE($G1803,"-",""))-1),SUBSTITUTE(SUBSTITUTE(SUBSTITUTE($G1803,"-"," ",LEN($G1803)-LEN(SUBSTITUTE($G1803,"-",""))),"-"," ",LEN($G1803)-LEN(SUBSTITUTE($G1803,"-",""))-1),"."," ",(LEN(SUBSTITUTE(SUBSTITUTE($G1803,"-"," ",LEN($G1803)-LEN(SUBSTITUTE($G1803,"-",""))),"-"," ",LEN($G1803)-LEN(SUBSTITUTE($G1803,"-",""))-1))-LEN(SUBSTITUTE(SUBSTITUTE(SUBSTITUTE($G1803,"-"," ",LEN($G1803)-LEN(SUBSTITUTE($G1803,"-",""))),"-"," ",LEN($G1803)-LEN(SUBSTITUTE($G1803,"-",""))-1),".",""))))),$G1803)))</f>
        <v/>
      </c>
    </row>
    <row r="1804">
      <c r="A1804" s="58" t="n"/>
      <c r="B1804" s="58">
        <f>IF($H1804="","",LEFT($H1804,FIND(" ",$H1804&amp;" ")-1))</f>
        <v/>
      </c>
      <c r="C1804" s="58">
        <f>IF($H1804="","",IFERROR(MID($H1804&amp;" ",FIND("|",SUBSTITUTE($H1804&amp;" "," ","|",1))+1,FIND("|",SUBSTITUTE($H1804&amp;" "," ","|",2))-FIND("|",SUBSTITUTE($H1804&amp;" "," ","|",1))-1),""))</f>
        <v/>
      </c>
      <c r="D1804" s="58">
        <f>IF($H1804="","",IFERROR(MID($H1804&amp;" ",FIND("|",SUBSTITUTE($H1804&amp;" "," ","|",2))+1,FIND("|",SUBSTITUTE($H1804&amp;" "," ","|",3))-FIND("|",SUBSTITUTE($H1804&amp;" "," ","|",2))-1),""))</f>
        <v/>
      </c>
      <c r="E1804" s="58">
        <f>IF($H1804="","",IFERROR(MID($H1804&amp;" ",FIND("|",SUBSTITUTE($H1804&amp;" "," ","|",3))+1,FIND("|",SUBSTITUTE($H1804&amp;" "," ","|",4))-FIND("|",SUBSTITUTE($H1804&amp;" "," ","|",3))-1),""))</f>
        <v/>
      </c>
      <c r="F1804" s="59">
        <f>IF($H1804="","",IFERROR(VALUE(IFERROR(MID($H1804&amp;" ",FIND("|",SUBSTITUTE($H1804&amp;" "," ","|",4))+1,FIND("|",SUBSTITUTE($H1804&amp;" "," ","|",5))-FIND("|",SUBSTITUTE($H1804&amp;" "," ","|",4))-1),""))/86400+25569+9/24,""))</f>
        <v/>
      </c>
      <c r="G1804" s="58">
        <f>TRIM(SUBSTITUTE(SUBSTITUTE(SUBSTITUTE($A1804,CHAR(9)," ")," "," "),CHAR(13),""))</f>
        <v/>
      </c>
      <c r="H1804" s="58">
        <f>IF($G1804="","",IF(ISNUMBER(FIND(" ",$G1804)),$G1804,IFERROR(IF((LEN(SUBSTITUTE(SUBSTITUTE($G1804,"-"," ",LEN($G1804)-LEN(SUBSTITUTE($G1804,"-",""))),"-"," ",LEN($G1804)-LEN(SUBSTITUTE($G1804,"-",""))-1))-LEN(SUBSTITUTE(SUBSTITUTE(SUBSTITUTE($G1804,"-"," ",LEN($G1804)-LEN(SUBSTITUTE($G1804,"-",""))),"-"," ",LEN($G1804)-LEN(SUBSTITUTE($G1804,"-",""))-1),".","")))=0,SUBSTITUTE(SUBSTITUTE($G1804,"-"," ",LEN($G1804)-LEN(SUBSTITUTE($G1804,"-",""))),"-"," ",LEN($G1804)-LEN(SUBSTITUTE($G1804,"-",""))-1),SUBSTITUTE(SUBSTITUTE(SUBSTITUTE($G1804,"-"," ",LEN($G1804)-LEN(SUBSTITUTE($G1804,"-",""))),"-"," ",LEN($G1804)-LEN(SUBSTITUTE($G1804,"-",""))-1),"."," ",(LEN(SUBSTITUTE(SUBSTITUTE($G1804,"-"," ",LEN($G1804)-LEN(SUBSTITUTE($G1804,"-",""))),"-"," ",LEN($G1804)-LEN(SUBSTITUTE($G1804,"-",""))-1))-LEN(SUBSTITUTE(SUBSTITUTE(SUBSTITUTE($G1804,"-"," ",LEN($G1804)-LEN(SUBSTITUTE($G1804,"-",""))),"-"," ",LEN($G1804)-LEN(SUBSTITUTE($G1804,"-",""))-1),".",""))))),$G1804)))</f>
        <v/>
      </c>
    </row>
    <row r="1805">
      <c r="A1805" s="58" t="n"/>
      <c r="B1805" s="58">
        <f>IF($H1805="","",LEFT($H1805,FIND(" ",$H1805&amp;" ")-1))</f>
        <v/>
      </c>
      <c r="C1805" s="58">
        <f>IF($H1805="","",IFERROR(MID($H1805&amp;" ",FIND("|",SUBSTITUTE($H1805&amp;" "," ","|",1))+1,FIND("|",SUBSTITUTE($H1805&amp;" "," ","|",2))-FIND("|",SUBSTITUTE($H1805&amp;" "," ","|",1))-1),""))</f>
        <v/>
      </c>
      <c r="D1805" s="58">
        <f>IF($H1805="","",IFERROR(MID($H1805&amp;" ",FIND("|",SUBSTITUTE($H1805&amp;" "," ","|",2))+1,FIND("|",SUBSTITUTE($H1805&amp;" "," ","|",3))-FIND("|",SUBSTITUTE($H1805&amp;" "," ","|",2))-1),""))</f>
        <v/>
      </c>
      <c r="E1805" s="58">
        <f>IF($H1805="","",IFERROR(MID($H1805&amp;" ",FIND("|",SUBSTITUTE($H1805&amp;" "," ","|",3))+1,FIND("|",SUBSTITUTE($H1805&amp;" "," ","|",4))-FIND("|",SUBSTITUTE($H1805&amp;" "," ","|",3))-1),""))</f>
        <v/>
      </c>
      <c r="F1805" s="59">
        <f>IF($H1805="","",IFERROR(VALUE(IFERROR(MID($H1805&amp;" ",FIND("|",SUBSTITUTE($H1805&amp;" "," ","|",4))+1,FIND("|",SUBSTITUTE($H1805&amp;" "," ","|",5))-FIND("|",SUBSTITUTE($H1805&amp;" "," ","|",4))-1),""))/86400+25569+9/24,""))</f>
        <v/>
      </c>
      <c r="G1805" s="58">
        <f>TRIM(SUBSTITUTE(SUBSTITUTE(SUBSTITUTE($A1805,CHAR(9)," ")," "," "),CHAR(13),""))</f>
        <v/>
      </c>
      <c r="H1805" s="58">
        <f>IF($G1805="","",IF(ISNUMBER(FIND(" ",$G1805)),$G1805,IFERROR(IF((LEN(SUBSTITUTE(SUBSTITUTE($G1805,"-"," ",LEN($G1805)-LEN(SUBSTITUTE($G1805,"-",""))),"-"," ",LEN($G1805)-LEN(SUBSTITUTE($G1805,"-",""))-1))-LEN(SUBSTITUTE(SUBSTITUTE(SUBSTITUTE($G1805,"-"," ",LEN($G1805)-LEN(SUBSTITUTE($G1805,"-",""))),"-"," ",LEN($G1805)-LEN(SUBSTITUTE($G1805,"-",""))-1),".","")))=0,SUBSTITUTE(SUBSTITUTE($G1805,"-"," ",LEN($G1805)-LEN(SUBSTITUTE($G1805,"-",""))),"-"," ",LEN($G1805)-LEN(SUBSTITUTE($G1805,"-",""))-1),SUBSTITUTE(SUBSTITUTE(SUBSTITUTE($G1805,"-"," ",LEN($G1805)-LEN(SUBSTITUTE($G1805,"-",""))),"-"," ",LEN($G1805)-LEN(SUBSTITUTE($G1805,"-",""))-1),"."," ",(LEN(SUBSTITUTE(SUBSTITUTE($G1805,"-"," ",LEN($G1805)-LEN(SUBSTITUTE($G1805,"-",""))),"-"," ",LEN($G1805)-LEN(SUBSTITUTE($G1805,"-",""))-1))-LEN(SUBSTITUTE(SUBSTITUTE(SUBSTITUTE($G1805,"-"," ",LEN($G1805)-LEN(SUBSTITUTE($G1805,"-",""))),"-"," ",LEN($G1805)-LEN(SUBSTITUTE($G1805,"-",""))-1),".",""))))),$G1805)))</f>
        <v/>
      </c>
    </row>
    <row r="1806">
      <c r="A1806" s="58" t="n"/>
      <c r="B1806" s="58">
        <f>IF($H1806="","",LEFT($H1806,FIND(" ",$H1806&amp;" ")-1))</f>
        <v/>
      </c>
      <c r="C1806" s="58">
        <f>IF($H1806="","",IFERROR(MID($H1806&amp;" ",FIND("|",SUBSTITUTE($H1806&amp;" "," ","|",1))+1,FIND("|",SUBSTITUTE($H1806&amp;" "," ","|",2))-FIND("|",SUBSTITUTE($H1806&amp;" "," ","|",1))-1),""))</f>
        <v/>
      </c>
      <c r="D1806" s="58">
        <f>IF($H1806="","",IFERROR(MID($H1806&amp;" ",FIND("|",SUBSTITUTE($H1806&amp;" "," ","|",2))+1,FIND("|",SUBSTITUTE($H1806&amp;" "," ","|",3))-FIND("|",SUBSTITUTE($H1806&amp;" "," ","|",2))-1),""))</f>
        <v/>
      </c>
      <c r="E1806" s="58">
        <f>IF($H1806="","",IFERROR(MID($H1806&amp;" ",FIND("|",SUBSTITUTE($H1806&amp;" "," ","|",3))+1,FIND("|",SUBSTITUTE($H1806&amp;" "," ","|",4))-FIND("|",SUBSTITUTE($H1806&amp;" "," ","|",3))-1),""))</f>
        <v/>
      </c>
      <c r="F1806" s="59">
        <f>IF($H1806="","",IFERROR(VALUE(IFERROR(MID($H1806&amp;" ",FIND("|",SUBSTITUTE($H1806&amp;" "," ","|",4))+1,FIND("|",SUBSTITUTE($H1806&amp;" "," ","|",5))-FIND("|",SUBSTITUTE($H1806&amp;" "," ","|",4))-1),""))/86400+25569+9/24,""))</f>
        <v/>
      </c>
      <c r="G1806" s="58">
        <f>TRIM(SUBSTITUTE(SUBSTITUTE(SUBSTITUTE($A1806,CHAR(9)," ")," "," "),CHAR(13),""))</f>
        <v/>
      </c>
      <c r="H1806" s="58">
        <f>IF($G1806="","",IF(ISNUMBER(FIND(" ",$G1806)),$G1806,IFERROR(IF((LEN(SUBSTITUTE(SUBSTITUTE($G1806,"-"," ",LEN($G1806)-LEN(SUBSTITUTE($G1806,"-",""))),"-"," ",LEN($G1806)-LEN(SUBSTITUTE($G1806,"-",""))-1))-LEN(SUBSTITUTE(SUBSTITUTE(SUBSTITUTE($G1806,"-"," ",LEN($G1806)-LEN(SUBSTITUTE($G1806,"-",""))),"-"," ",LEN($G1806)-LEN(SUBSTITUTE($G1806,"-",""))-1),".","")))=0,SUBSTITUTE(SUBSTITUTE($G1806,"-"," ",LEN($G1806)-LEN(SUBSTITUTE($G1806,"-",""))),"-"," ",LEN($G1806)-LEN(SUBSTITUTE($G1806,"-",""))-1),SUBSTITUTE(SUBSTITUTE(SUBSTITUTE($G1806,"-"," ",LEN($G1806)-LEN(SUBSTITUTE($G1806,"-",""))),"-"," ",LEN($G1806)-LEN(SUBSTITUTE($G1806,"-",""))-1),"."," ",(LEN(SUBSTITUTE(SUBSTITUTE($G1806,"-"," ",LEN($G1806)-LEN(SUBSTITUTE($G1806,"-",""))),"-"," ",LEN($G1806)-LEN(SUBSTITUTE($G1806,"-",""))-1))-LEN(SUBSTITUTE(SUBSTITUTE(SUBSTITUTE($G1806,"-"," ",LEN($G1806)-LEN(SUBSTITUTE($G1806,"-",""))),"-"," ",LEN($G1806)-LEN(SUBSTITUTE($G1806,"-",""))-1),".",""))))),$G1806)))</f>
        <v/>
      </c>
    </row>
    <row r="1807">
      <c r="A1807" s="58" t="n"/>
      <c r="B1807" s="58">
        <f>IF($H1807="","",LEFT($H1807,FIND(" ",$H1807&amp;" ")-1))</f>
        <v/>
      </c>
      <c r="C1807" s="58">
        <f>IF($H1807="","",IFERROR(MID($H1807&amp;" ",FIND("|",SUBSTITUTE($H1807&amp;" "," ","|",1))+1,FIND("|",SUBSTITUTE($H1807&amp;" "," ","|",2))-FIND("|",SUBSTITUTE($H1807&amp;" "," ","|",1))-1),""))</f>
        <v/>
      </c>
      <c r="D1807" s="58">
        <f>IF($H1807="","",IFERROR(MID($H1807&amp;" ",FIND("|",SUBSTITUTE($H1807&amp;" "," ","|",2))+1,FIND("|",SUBSTITUTE($H1807&amp;" "," ","|",3))-FIND("|",SUBSTITUTE($H1807&amp;" "," ","|",2))-1),""))</f>
        <v/>
      </c>
      <c r="E1807" s="58">
        <f>IF($H1807="","",IFERROR(MID($H1807&amp;" ",FIND("|",SUBSTITUTE($H1807&amp;" "," ","|",3))+1,FIND("|",SUBSTITUTE($H1807&amp;" "," ","|",4))-FIND("|",SUBSTITUTE($H1807&amp;" "," ","|",3))-1),""))</f>
        <v/>
      </c>
      <c r="F1807" s="59">
        <f>IF($H1807="","",IFERROR(VALUE(IFERROR(MID($H1807&amp;" ",FIND("|",SUBSTITUTE($H1807&amp;" "," ","|",4))+1,FIND("|",SUBSTITUTE($H1807&amp;" "," ","|",5))-FIND("|",SUBSTITUTE($H1807&amp;" "," ","|",4))-1),""))/86400+25569+9/24,""))</f>
        <v/>
      </c>
      <c r="G1807" s="58">
        <f>TRIM(SUBSTITUTE(SUBSTITUTE(SUBSTITUTE($A1807,CHAR(9)," ")," "," "),CHAR(13),""))</f>
        <v/>
      </c>
      <c r="H1807" s="58">
        <f>IF($G1807="","",IF(ISNUMBER(FIND(" ",$G1807)),$G1807,IFERROR(IF((LEN(SUBSTITUTE(SUBSTITUTE($G1807,"-"," ",LEN($G1807)-LEN(SUBSTITUTE($G1807,"-",""))),"-"," ",LEN($G1807)-LEN(SUBSTITUTE($G1807,"-",""))-1))-LEN(SUBSTITUTE(SUBSTITUTE(SUBSTITUTE($G1807,"-"," ",LEN($G1807)-LEN(SUBSTITUTE($G1807,"-",""))),"-"," ",LEN($G1807)-LEN(SUBSTITUTE($G1807,"-",""))-1),".","")))=0,SUBSTITUTE(SUBSTITUTE($G1807,"-"," ",LEN($G1807)-LEN(SUBSTITUTE($G1807,"-",""))),"-"," ",LEN($G1807)-LEN(SUBSTITUTE($G1807,"-",""))-1),SUBSTITUTE(SUBSTITUTE(SUBSTITUTE($G1807,"-"," ",LEN($G1807)-LEN(SUBSTITUTE($G1807,"-",""))),"-"," ",LEN($G1807)-LEN(SUBSTITUTE($G1807,"-",""))-1),"."," ",(LEN(SUBSTITUTE(SUBSTITUTE($G1807,"-"," ",LEN($G1807)-LEN(SUBSTITUTE($G1807,"-",""))),"-"," ",LEN($G1807)-LEN(SUBSTITUTE($G1807,"-",""))-1))-LEN(SUBSTITUTE(SUBSTITUTE(SUBSTITUTE($G1807,"-"," ",LEN($G1807)-LEN(SUBSTITUTE($G1807,"-",""))),"-"," ",LEN($G1807)-LEN(SUBSTITUTE($G1807,"-",""))-1),".",""))))),$G1807)))</f>
        <v/>
      </c>
    </row>
    <row r="1808">
      <c r="A1808" s="58" t="n"/>
      <c r="B1808" s="58">
        <f>IF($H1808="","",LEFT($H1808,FIND(" ",$H1808&amp;" ")-1))</f>
        <v/>
      </c>
      <c r="C1808" s="58">
        <f>IF($H1808="","",IFERROR(MID($H1808&amp;" ",FIND("|",SUBSTITUTE($H1808&amp;" "," ","|",1))+1,FIND("|",SUBSTITUTE($H1808&amp;" "," ","|",2))-FIND("|",SUBSTITUTE($H1808&amp;" "," ","|",1))-1),""))</f>
        <v/>
      </c>
      <c r="D1808" s="58">
        <f>IF($H1808="","",IFERROR(MID($H1808&amp;" ",FIND("|",SUBSTITUTE($H1808&amp;" "," ","|",2))+1,FIND("|",SUBSTITUTE($H1808&amp;" "," ","|",3))-FIND("|",SUBSTITUTE($H1808&amp;" "," ","|",2))-1),""))</f>
        <v/>
      </c>
      <c r="E1808" s="58">
        <f>IF($H1808="","",IFERROR(MID($H1808&amp;" ",FIND("|",SUBSTITUTE($H1808&amp;" "," ","|",3))+1,FIND("|",SUBSTITUTE($H1808&amp;" "," ","|",4))-FIND("|",SUBSTITUTE($H1808&amp;" "," ","|",3))-1),""))</f>
        <v/>
      </c>
      <c r="F1808" s="59">
        <f>IF($H1808="","",IFERROR(VALUE(IFERROR(MID($H1808&amp;" ",FIND("|",SUBSTITUTE($H1808&amp;" "," ","|",4))+1,FIND("|",SUBSTITUTE($H1808&amp;" "," ","|",5))-FIND("|",SUBSTITUTE($H1808&amp;" "," ","|",4))-1),""))/86400+25569+9/24,""))</f>
        <v/>
      </c>
      <c r="G1808" s="58">
        <f>TRIM(SUBSTITUTE(SUBSTITUTE(SUBSTITUTE($A1808,CHAR(9)," ")," "," "),CHAR(13),""))</f>
        <v/>
      </c>
      <c r="H1808" s="58">
        <f>IF($G1808="","",IF(ISNUMBER(FIND(" ",$G1808)),$G1808,IFERROR(IF((LEN(SUBSTITUTE(SUBSTITUTE($G1808,"-"," ",LEN($G1808)-LEN(SUBSTITUTE($G1808,"-",""))),"-"," ",LEN($G1808)-LEN(SUBSTITUTE($G1808,"-",""))-1))-LEN(SUBSTITUTE(SUBSTITUTE(SUBSTITUTE($G1808,"-"," ",LEN($G1808)-LEN(SUBSTITUTE($G1808,"-",""))),"-"," ",LEN($G1808)-LEN(SUBSTITUTE($G1808,"-",""))-1),".","")))=0,SUBSTITUTE(SUBSTITUTE($G1808,"-"," ",LEN($G1808)-LEN(SUBSTITUTE($G1808,"-",""))),"-"," ",LEN($G1808)-LEN(SUBSTITUTE($G1808,"-",""))-1),SUBSTITUTE(SUBSTITUTE(SUBSTITUTE($G1808,"-"," ",LEN($G1808)-LEN(SUBSTITUTE($G1808,"-",""))),"-"," ",LEN($G1808)-LEN(SUBSTITUTE($G1808,"-",""))-1),"."," ",(LEN(SUBSTITUTE(SUBSTITUTE($G1808,"-"," ",LEN($G1808)-LEN(SUBSTITUTE($G1808,"-",""))),"-"," ",LEN($G1808)-LEN(SUBSTITUTE($G1808,"-",""))-1))-LEN(SUBSTITUTE(SUBSTITUTE(SUBSTITUTE($G1808,"-"," ",LEN($G1808)-LEN(SUBSTITUTE($G1808,"-",""))),"-"," ",LEN($G1808)-LEN(SUBSTITUTE($G1808,"-",""))-1),".",""))))),$G1808)))</f>
        <v/>
      </c>
    </row>
    <row r="1809">
      <c r="A1809" s="58" t="n"/>
      <c r="B1809" s="58">
        <f>IF($H1809="","",LEFT($H1809,FIND(" ",$H1809&amp;" ")-1))</f>
        <v/>
      </c>
      <c r="C1809" s="58">
        <f>IF($H1809="","",IFERROR(MID($H1809&amp;" ",FIND("|",SUBSTITUTE($H1809&amp;" "," ","|",1))+1,FIND("|",SUBSTITUTE($H1809&amp;" "," ","|",2))-FIND("|",SUBSTITUTE($H1809&amp;" "," ","|",1))-1),""))</f>
        <v/>
      </c>
      <c r="D1809" s="58">
        <f>IF($H1809="","",IFERROR(MID($H1809&amp;" ",FIND("|",SUBSTITUTE($H1809&amp;" "," ","|",2))+1,FIND("|",SUBSTITUTE($H1809&amp;" "," ","|",3))-FIND("|",SUBSTITUTE($H1809&amp;" "," ","|",2))-1),""))</f>
        <v/>
      </c>
      <c r="E1809" s="58">
        <f>IF($H1809="","",IFERROR(MID($H1809&amp;" ",FIND("|",SUBSTITUTE($H1809&amp;" "," ","|",3))+1,FIND("|",SUBSTITUTE($H1809&amp;" "," ","|",4))-FIND("|",SUBSTITUTE($H1809&amp;" "," ","|",3))-1),""))</f>
        <v/>
      </c>
      <c r="F1809" s="59">
        <f>IF($H1809="","",IFERROR(VALUE(IFERROR(MID($H1809&amp;" ",FIND("|",SUBSTITUTE($H1809&amp;" "," ","|",4))+1,FIND("|",SUBSTITUTE($H1809&amp;" "," ","|",5))-FIND("|",SUBSTITUTE($H1809&amp;" "," ","|",4))-1),""))/86400+25569+9/24,""))</f>
        <v/>
      </c>
      <c r="G1809" s="58">
        <f>TRIM(SUBSTITUTE(SUBSTITUTE(SUBSTITUTE($A1809,CHAR(9)," ")," "," "),CHAR(13),""))</f>
        <v/>
      </c>
      <c r="H1809" s="58">
        <f>IF($G1809="","",IF(ISNUMBER(FIND(" ",$G1809)),$G1809,IFERROR(IF((LEN(SUBSTITUTE(SUBSTITUTE($G1809,"-"," ",LEN($G1809)-LEN(SUBSTITUTE($G1809,"-",""))),"-"," ",LEN($G1809)-LEN(SUBSTITUTE($G1809,"-",""))-1))-LEN(SUBSTITUTE(SUBSTITUTE(SUBSTITUTE($G1809,"-"," ",LEN($G1809)-LEN(SUBSTITUTE($G1809,"-",""))),"-"," ",LEN($G1809)-LEN(SUBSTITUTE($G1809,"-",""))-1),".","")))=0,SUBSTITUTE(SUBSTITUTE($G1809,"-"," ",LEN($G1809)-LEN(SUBSTITUTE($G1809,"-",""))),"-"," ",LEN($G1809)-LEN(SUBSTITUTE($G1809,"-",""))-1),SUBSTITUTE(SUBSTITUTE(SUBSTITUTE($G1809,"-"," ",LEN($G1809)-LEN(SUBSTITUTE($G1809,"-",""))),"-"," ",LEN($G1809)-LEN(SUBSTITUTE($G1809,"-",""))-1),"."," ",(LEN(SUBSTITUTE(SUBSTITUTE($G1809,"-"," ",LEN($G1809)-LEN(SUBSTITUTE($G1809,"-",""))),"-"," ",LEN($G1809)-LEN(SUBSTITUTE($G1809,"-",""))-1))-LEN(SUBSTITUTE(SUBSTITUTE(SUBSTITUTE($G1809,"-"," ",LEN($G1809)-LEN(SUBSTITUTE($G1809,"-",""))),"-"," ",LEN($G1809)-LEN(SUBSTITUTE($G1809,"-",""))-1),".",""))))),$G1809)))</f>
        <v/>
      </c>
    </row>
    <row r="1810">
      <c r="A1810" s="58" t="n"/>
      <c r="B1810" s="58">
        <f>IF($H1810="","",LEFT($H1810,FIND(" ",$H1810&amp;" ")-1))</f>
        <v/>
      </c>
      <c r="C1810" s="58">
        <f>IF($H1810="","",IFERROR(MID($H1810&amp;" ",FIND("|",SUBSTITUTE($H1810&amp;" "," ","|",1))+1,FIND("|",SUBSTITUTE($H1810&amp;" "," ","|",2))-FIND("|",SUBSTITUTE($H1810&amp;" "," ","|",1))-1),""))</f>
        <v/>
      </c>
      <c r="D1810" s="58">
        <f>IF($H1810="","",IFERROR(MID($H1810&amp;" ",FIND("|",SUBSTITUTE($H1810&amp;" "," ","|",2))+1,FIND("|",SUBSTITUTE($H1810&amp;" "," ","|",3))-FIND("|",SUBSTITUTE($H1810&amp;" "," ","|",2))-1),""))</f>
        <v/>
      </c>
      <c r="E1810" s="58">
        <f>IF($H1810="","",IFERROR(MID($H1810&amp;" ",FIND("|",SUBSTITUTE($H1810&amp;" "," ","|",3))+1,FIND("|",SUBSTITUTE($H1810&amp;" "," ","|",4))-FIND("|",SUBSTITUTE($H1810&amp;" "," ","|",3))-1),""))</f>
        <v/>
      </c>
      <c r="F1810" s="59">
        <f>IF($H1810="","",IFERROR(VALUE(IFERROR(MID($H1810&amp;" ",FIND("|",SUBSTITUTE($H1810&amp;" "," ","|",4))+1,FIND("|",SUBSTITUTE($H1810&amp;" "," ","|",5))-FIND("|",SUBSTITUTE($H1810&amp;" "," ","|",4))-1),""))/86400+25569+9/24,""))</f>
        <v/>
      </c>
      <c r="G1810" s="58">
        <f>TRIM(SUBSTITUTE(SUBSTITUTE(SUBSTITUTE($A1810,CHAR(9)," ")," "," "),CHAR(13),""))</f>
        <v/>
      </c>
      <c r="H1810" s="58">
        <f>IF($G1810="","",IF(ISNUMBER(FIND(" ",$G1810)),$G1810,IFERROR(IF((LEN(SUBSTITUTE(SUBSTITUTE($G1810,"-"," ",LEN($G1810)-LEN(SUBSTITUTE($G1810,"-",""))),"-"," ",LEN($G1810)-LEN(SUBSTITUTE($G1810,"-",""))-1))-LEN(SUBSTITUTE(SUBSTITUTE(SUBSTITUTE($G1810,"-"," ",LEN($G1810)-LEN(SUBSTITUTE($G1810,"-",""))),"-"," ",LEN($G1810)-LEN(SUBSTITUTE($G1810,"-",""))-1),".","")))=0,SUBSTITUTE(SUBSTITUTE($G1810,"-"," ",LEN($G1810)-LEN(SUBSTITUTE($G1810,"-",""))),"-"," ",LEN($G1810)-LEN(SUBSTITUTE($G1810,"-",""))-1),SUBSTITUTE(SUBSTITUTE(SUBSTITUTE($G1810,"-"," ",LEN($G1810)-LEN(SUBSTITUTE($G1810,"-",""))),"-"," ",LEN($G1810)-LEN(SUBSTITUTE($G1810,"-",""))-1),"."," ",(LEN(SUBSTITUTE(SUBSTITUTE($G1810,"-"," ",LEN($G1810)-LEN(SUBSTITUTE($G1810,"-",""))),"-"," ",LEN($G1810)-LEN(SUBSTITUTE($G1810,"-",""))-1))-LEN(SUBSTITUTE(SUBSTITUTE(SUBSTITUTE($G1810,"-"," ",LEN($G1810)-LEN(SUBSTITUTE($G1810,"-",""))),"-"," ",LEN($G1810)-LEN(SUBSTITUTE($G1810,"-",""))-1),".",""))))),$G1810)))</f>
        <v/>
      </c>
    </row>
    <row r="1811">
      <c r="A1811" s="58" t="n"/>
      <c r="B1811" s="58">
        <f>IF($H1811="","",LEFT($H1811,FIND(" ",$H1811&amp;" ")-1))</f>
        <v/>
      </c>
      <c r="C1811" s="58">
        <f>IF($H1811="","",IFERROR(MID($H1811&amp;" ",FIND("|",SUBSTITUTE($H1811&amp;" "," ","|",1))+1,FIND("|",SUBSTITUTE($H1811&amp;" "," ","|",2))-FIND("|",SUBSTITUTE($H1811&amp;" "," ","|",1))-1),""))</f>
        <v/>
      </c>
      <c r="D1811" s="58">
        <f>IF($H1811="","",IFERROR(MID($H1811&amp;" ",FIND("|",SUBSTITUTE($H1811&amp;" "," ","|",2))+1,FIND("|",SUBSTITUTE($H1811&amp;" "," ","|",3))-FIND("|",SUBSTITUTE($H1811&amp;" "," ","|",2))-1),""))</f>
        <v/>
      </c>
      <c r="E1811" s="58">
        <f>IF($H1811="","",IFERROR(MID($H1811&amp;" ",FIND("|",SUBSTITUTE($H1811&amp;" "," ","|",3))+1,FIND("|",SUBSTITUTE($H1811&amp;" "," ","|",4))-FIND("|",SUBSTITUTE($H1811&amp;" "," ","|",3))-1),""))</f>
        <v/>
      </c>
      <c r="F1811" s="59">
        <f>IF($H1811="","",IFERROR(VALUE(IFERROR(MID($H1811&amp;" ",FIND("|",SUBSTITUTE($H1811&amp;" "," ","|",4))+1,FIND("|",SUBSTITUTE($H1811&amp;" "," ","|",5))-FIND("|",SUBSTITUTE($H1811&amp;" "," ","|",4))-1),""))/86400+25569+9/24,""))</f>
        <v/>
      </c>
      <c r="G1811" s="58">
        <f>TRIM(SUBSTITUTE(SUBSTITUTE(SUBSTITUTE($A1811,CHAR(9)," ")," "," "),CHAR(13),""))</f>
        <v/>
      </c>
      <c r="H1811" s="58">
        <f>IF($G1811="","",IF(ISNUMBER(FIND(" ",$G1811)),$G1811,IFERROR(IF((LEN(SUBSTITUTE(SUBSTITUTE($G1811,"-"," ",LEN($G1811)-LEN(SUBSTITUTE($G1811,"-",""))),"-"," ",LEN($G1811)-LEN(SUBSTITUTE($G1811,"-",""))-1))-LEN(SUBSTITUTE(SUBSTITUTE(SUBSTITUTE($G1811,"-"," ",LEN($G1811)-LEN(SUBSTITUTE($G1811,"-",""))),"-"," ",LEN($G1811)-LEN(SUBSTITUTE($G1811,"-",""))-1),".","")))=0,SUBSTITUTE(SUBSTITUTE($G1811,"-"," ",LEN($G1811)-LEN(SUBSTITUTE($G1811,"-",""))),"-"," ",LEN($G1811)-LEN(SUBSTITUTE($G1811,"-",""))-1),SUBSTITUTE(SUBSTITUTE(SUBSTITUTE($G1811,"-"," ",LEN($G1811)-LEN(SUBSTITUTE($G1811,"-",""))),"-"," ",LEN($G1811)-LEN(SUBSTITUTE($G1811,"-",""))-1),"."," ",(LEN(SUBSTITUTE(SUBSTITUTE($G1811,"-"," ",LEN($G1811)-LEN(SUBSTITUTE($G1811,"-",""))),"-"," ",LEN($G1811)-LEN(SUBSTITUTE($G1811,"-",""))-1))-LEN(SUBSTITUTE(SUBSTITUTE(SUBSTITUTE($G1811,"-"," ",LEN($G1811)-LEN(SUBSTITUTE($G1811,"-",""))),"-"," ",LEN($G1811)-LEN(SUBSTITUTE($G1811,"-",""))-1),".",""))))),$G1811)))</f>
        <v/>
      </c>
    </row>
    <row r="1812">
      <c r="A1812" s="58" t="n"/>
      <c r="B1812" s="58">
        <f>IF($H1812="","",LEFT($H1812,FIND(" ",$H1812&amp;" ")-1))</f>
        <v/>
      </c>
      <c r="C1812" s="58">
        <f>IF($H1812="","",IFERROR(MID($H1812&amp;" ",FIND("|",SUBSTITUTE($H1812&amp;" "," ","|",1))+1,FIND("|",SUBSTITUTE($H1812&amp;" "," ","|",2))-FIND("|",SUBSTITUTE($H1812&amp;" "," ","|",1))-1),""))</f>
        <v/>
      </c>
      <c r="D1812" s="58">
        <f>IF($H1812="","",IFERROR(MID($H1812&amp;" ",FIND("|",SUBSTITUTE($H1812&amp;" "," ","|",2))+1,FIND("|",SUBSTITUTE($H1812&amp;" "," ","|",3))-FIND("|",SUBSTITUTE($H1812&amp;" "," ","|",2))-1),""))</f>
        <v/>
      </c>
      <c r="E1812" s="58">
        <f>IF($H1812="","",IFERROR(MID($H1812&amp;" ",FIND("|",SUBSTITUTE($H1812&amp;" "," ","|",3))+1,FIND("|",SUBSTITUTE($H1812&amp;" "," ","|",4))-FIND("|",SUBSTITUTE($H1812&amp;" "," ","|",3))-1),""))</f>
        <v/>
      </c>
      <c r="F1812" s="59">
        <f>IF($H1812="","",IFERROR(VALUE(IFERROR(MID($H1812&amp;" ",FIND("|",SUBSTITUTE($H1812&amp;" "," ","|",4))+1,FIND("|",SUBSTITUTE($H1812&amp;" "," ","|",5))-FIND("|",SUBSTITUTE($H1812&amp;" "," ","|",4))-1),""))/86400+25569+9/24,""))</f>
        <v/>
      </c>
      <c r="G1812" s="58">
        <f>TRIM(SUBSTITUTE(SUBSTITUTE(SUBSTITUTE($A1812,CHAR(9)," ")," "," "),CHAR(13),""))</f>
        <v/>
      </c>
      <c r="H1812" s="58">
        <f>IF($G1812="","",IF(ISNUMBER(FIND(" ",$G1812)),$G1812,IFERROR(IF((LEN(SUBSTITUTE(SUBSTITUTE($G1812,"-"," ",LEN($G1812)-LEN(SUBSTITUTE($G1812,"-",""))),"-"," ",LEN($G1812)-LEN(SUBSTITUTE($G1812,"-",""))-1))-LEN(SUBSTITUTE(SUBSTITUTE(SUBSTITUTE($G1812,"-"," ",LEN($G1812)-LEN(SUBSTITUTE($G1812,"-",""))),"-"," ",LEN($G1812)-LEN(SUBSTITUTE($G1812,"-",""))-1),".","")))=0,SUBSTITUTE(SUBSTITUTE($G1812,"-"," ",LEN($G1812)-LEN(SUBSTITUTE($G1812,"-",""))),"-"," ",LEN($G1812)-LEN(SUBSTITUTE($G1812,"-",""))-1),SUBSTITUTE(SUBSTITUTE(SUBSTITUTE($G1812,"-"," ",LEN($G1812)-LEN(SUBSTITUTE($G1812,"-",""))),"-"," ",LEN($G1812)-LEN(SUBSTITUTE($G1812,"-",""))-1),"."," ",(LEN(SUBSTITUTE(SUBSTITUTE($G1812,"-"," ",LEN($G1812)-LEN(SUBSTITUTE($G1812,"-",""))),"-"," ",LEN($G1812)-LEN(SUBSTITUTE($G1812,"-",""))-1))-LEN(SUBSTITUTE(SUBSTITUTE(SUBSTITUTE($G1812,"-"," ",LEN($G1812)-LEN(SUBSTITUTE($G1812,"-",""))),"-"," ",LEN($G1812)-LEN(SUBSTITUTE($G1812,"-",""))-1),".",""))))),$G1812)))</f>
        <v/>
      </c>
    </row>
    <row r="1813">
      <c r="A1813" s="58" t="n"/>
      <c r="B1813" s="58">
        <f>IF($H1813="","",LEFT($H1813,FIND(" ",$H1813&amp;" ")-1))</f>
        <v/>
      </c>
      <c r="C1813" s="58">
        <f>IF($H1813="","",IFERROR(MID($H1813&amp;" ",FIND("|",SUBSTITUTE($H1813&amp;" "," ","|",1))+1,FIND("|",SUBSTITUTE($H1813&amp;" "," ","|",2))-FIND("|",SUBSTITUTE($H1813&amp;" "," ","|",1))-1),""))</f>
        <v/>
      </c>
      <c r="D1813" s="58">
        <f>IF($H1813="","",IFERROR(MID($H1813&amp;" ",FIND("|",SUBSTITUTE($H1813&amp;" "," ","|",2))+1,FIND("|",SUBSTITUTE($H1813&amp;" "," ","|",3))-FIND("|",SUBSTITUTE($H1813&amp;" "," ","|",2))-1),""))</f>
        <v/>
      </c>
      <c r="E1813" s="58">
        <f>IF($H1813="","",IFERROR(MID($H1813&amp;" ",FIND("|",SUBSTITUTE($H1813&amp;" "," ","|",3))+1,FIND("|",SUBSTITUTE($H1813&amp;" "," ","|",4))-FIND("|",SUBSTITUTE($H1813&amp;" "," ","|",3))-1),""))</f>
        <v/>
      </c>
      <c r="F1813" s="59">
        <f>IF($H1813="","",IFERROR(VALUE(IFERROR(MID($H1813&amp;" ",FIND("|",SUBSTITUTE($H1813&amp;" "," ","|",4))+1,FIND("|",SUBSTITUTE($H1813&amp;" "," ","|",5))-FIND("|",SUBSTITUTE($H1813&amp;" "," ","|",4))-1),""))/86400+25569+9/24,""))</f>
        <v/>
      </c>
      <c r="G1813" s="58">
        <f>TRIM(SUBSTITUTE(SUBSTITUTE(SUBSTITUTE($A1813,CHAR(9)," ")," "," "),CHAR(13),""))</f>
        <v/>
      </c>
      <c r="H1813" s="58">
        <f>IF($G1813="","",IF(ISNUMBER(FIND(" ",$G1813)),$G1813,IFERROR(IF((LEN(SUBSTITUTE(SUBSTITUTE($G1813,"-"," ",LEN($G1813)-LEN(SUBSTITUTE($G1813,"-",""))),"-"," ",LEN($G1813)-LEN(SUBSTITUTE($G1813,"-",""))-1))-LEN(SUBSTITUTE(SUBSTITUTE(SUBSTITUTE($G1813,"-"," ",LEN($G1813)-LEN(SUBSTITUTE($G1813,"-",""))),"-"," ",LEN($G1813)-LEN(SUBSTITUTE($G1813,"-",""))-1),".","")))=0,SUBSTITUTE(SUBSTITUTE($G1813,"-"," ",LEN($G1813)-LEN(SUBSTITUTE($G1813,"-",""))),"-"," ",LEN($G1813)-LEN(SUBSTITUTE($G1813,"-",""))-1),SUBSTITUTE(SUBSTITUTE(SUBSTITUTE($G1813,"-"," ",LEN($G1813)-LEN(SUBSTITUTE($G1813,"-",""))),"-"," ",LEN($G1813)-LEN(SUBSTITUTE($G1813,"-",""))-1),"."," ",(LEN(SUBSTITUTE(SUBSTITUTE($G1813,"-"," ",LEN($G1813)-LEN(SUBSTITUTE($G1813,"-",""))),"-"," ",LEN($G1813)-LEN(SUBSTITUTE($G1813,"-",""))-1))-LEN(SUBSTITUTE(SUBSTITUTE(SUBSTITUTE($G1813,"-"," ",LEN($G1813)-LEN(SUBSTITUTE($G1813,"-",""))),"-"," ",LEN($G1813)-LEN(SUBSTITUTE($G1813,"-",""))-1),".",""))))),$G1813)))</f>
        <v/>
      </c>
    </row>
    <row r="1814">
      <c r="A1814" s="58" t="n"/>
      <c r="B1814" s="58">
        <f>IF($H1814="","",LEFT($H1814,FIND(" ",$H1814&amp;" ")-1))</f>
        <v/>
      </c>
      <c r="C1814" s="58">
        <f>IF($H1814="","",IFERROR(MID($H1814&amp;" ",FIND("|",SUBSTITUTE($H1814&amp;" "," ","|",1))+1,FIND("|",SUBSTITUTE($H1814&amp;" "," ","|",2))-FIND("|",SUBSTITUTE($H1814&amp;" "," ","|",1))-1),""))</f>
        <v/>
      </c>
      <c r="D1814" s="58">
        <f>IF($H1814="","",IFERROR(MID($H1814&amp;" ",FIND("|",SUBSTITUTE($H1814&amp;" "," ","|",2))+1,FIND("|",SUBSTITUTE($H1814&amp;" "," ","|",3))-FIND("|",SUBSTITUTE($H1814&amp;" "," ","|",2))-1),""))</f>
        <v/>
      </c>
      <c r="E1814" s="58">
        <f>IF($H1814="","",IFERROR(MID($H1814&amp;" ",FIND("|",SUBSTITUTE($H1814&amp;" "," ","|",3))+1,FIND("|",SUBSTITUTE($H1814&amp;" "," ","|",4))-FIND("|",SUBSTITUTE($H1814&amp;" "," ","|",3))-1),""))</f>
        <v/>
      </c>
      <c r="F1814" s="59">
        <f>IF($H1814="","",IFERROR(VALUE(IFERROR(MID($H1814&amp;" ",FIND("|",SUBSTITUTE($H1814&amp;" "," ","|",4))+1,FIND("|",SUBSTITUTE($H1814&amp;" "," ","|",5))-FIND("|",SUBSTITUTE($H1814&amp;" "," ","|",4))-1),""))/86400+25569+9/24,""))</f>
        <v/>
      </c>
      <c r="G1814" s="58">
        <f>TRIM(SUBSTITUTE(SUBSTITUTE(SUBSTITUTE($A1814,CHAR(9)," ")," "," "),CHAR(13),""))</f>
        <v/>
      </c>
      <c r="H1814" s="58">
        <f>IF($G1814="","",IF(ISNUMBER(FIND(" ",$G1814)),$G1814,IFERROR(IF((LEN(SUBSTITUTE(SUBSTITUTE($G1814,"-"," ",LEN($G1814)-LEN(SUBSTITUTE($G1814,"-",""))),"-"," ",LEN($G1814)-LEN(SUBSTITUTE($G1814,"-",""))-1))-LEN(SUBSTITUTE(SUBSTITUTE(SUBSTITUTE($G1814,"-"," ",LEN($G1814)-LEN(SUBSTITUTE($G1814,"-",""))),"-"," ",LEN($G1814)-LEN(SUBSTITUTE($G1814,"-",""))-1),".","")))=0,SUBSTITUTE(SUBSTITUTE($G1814,"-"," ",LEN($G1814)-LEN(SUBSTITUTE($G1814,"-",""))),"-"," ",LEN($G1814)-LEN(SUBSTITUTE($G1814,"-",""))-1),SUBSTITUTE(SUBSTITUTE(SUBSTITUTE($G1814,"-"," ",LEN($G1814)-LEN(SUBSTITUTE($G1814,"-",""))),"-"," ",LEN($G1814)-LEN(SUBSTITUTE($G1814,"-",""))-1),"."," ",(LEN(SUBSTITUTE(SUBSTITUTE($G1814,"-"," ",LEN($G1814)-LEN(SUBSTITUTE($G1814,"-",""))),"-"," ",LEN($G1814)-LEN(SUBSTITUTE($G1814,"-",""))-1))-LEN(SUBSTITUTE(SUBSTITUTE(SUBSTITUTE($G1814,"-"," ",LEN($G1814)-LEN(SUBSTITUTE($G1814,"-",""))),"-"," ",LEN($G1814)-LEN(SUBSTITUTE($G1814,"-",""))-1),".",""))))),$G1814)))</f>
        <v/>
      </c>
    </row>
    <row r="1815">
      <c r="A1815" s="58" t="n"/>
      <c r="B1815" s="58">
        <f>IF($H1815="","",LEFT($H1815,FIND(" ",$H1815&amp;" ")-1))</f>
        <v/>
      </c>
      <c r="C1815" s="58">
        <f>IF($H1815="","",IFERROR(MID($H1815&amp;" ",FIND("|",SUBSTITUTE($H1815&amp;" "," ","|",1))+1,FIND("|",SUBSTITUTE($H1815&amp;" "," ","|",2))-FIND("|",SUBSTITUTE($H1815&amp;" "," ","|",1))-1),""))</f>
        <v/>
      </c>
      <c r="D1815" s="58">
        <f>IF($H1815="","",IFERROR(MID($H1815&amp;" ",FIND("|",SUBSTITUTE($H1815&amp;" "," ","|",2))+1,FIND("|",SUBSTITUTE($H1815&amp;" "," ","|",3))-FIND("|",SUBSTITUTE($H1815&amp;" "," ","|",2))-1),""))</f>
        <v/>
      </c>
      <c r="E1815" s="58">
        <f>IF($H1815="","",IFERROR(MID($H1815&amp;" ",FIND("|",SUBSTITUTE($H1815&amp;" "," ","|",3))+1,FIND("|",SUBSTITUTE($H1815&amp;" "," ","|",4))-FIND("|",SUBSTITUTE($H1815&amp;" "," ","|",3))-1),""))</f>
        <v/>
      </c>
      <c r="F1815" s="59">
        <f>IF($H1815="","",IFERROR(VALUE(IFERROR(MID($H1815&amp;" ",FIND("|",SUBSTITUTE($H1815&amp;" "," ","|",4))+1,FIND("|",SUBSTITUTE($H1815&amp;" "," ","|",5))-FIND("|",SUBSTITUTE($H1815&amp;" "," ","|",4))-1),""))/86400+25569+9/24,""))</f>
        <v/>
      </c>
      <c r="G1815" s="58">
        <f>TRIM(SUBSTITUTE(SUBSTITUTE(SUBSTITUTE($A1815,CHAR(9)," ")," "," "),CHAR(13),""))</f>
        <v/>
      </c>
      <c r="H1815" s="58">
        <f>IF($G1815="","",IF(ISNUMBER(FIND(" ",$G1815)),$G1815,IFERROR(IF((LEN(SUBSTITUTE(SUBSTITUTE($G1815,"-"," ",LEN($G1815)-LEN(SUBSTITUTE($G1815,"-",""))),"-"," ",LEN($G1815)-LEN(SUBSTITUTE($G1815,"-",""))-1))-LEN(SUBSTITUTE(SUBSTITUTE(SUBSTITUTE($G1815,"-"," ",LEN($G1815)-LEN(SUBSTITUTE($G1815,"-",""))),"-"," ",LEN($G1815)-LEN(SUBSTITUTE($G1815,"-",""))-1),".","")))=0,SUBSTITUTE(SUBSTITUTE($G1815,"-"," ",LEN($G1815)-LEN(SUBSTITUTE($G1815,"-",""))),"-"," ",LEN($G1815)-LEN(SUBSTITUTE($G1815,"-",""))-1),SUBSTITUTE(SUBSTITUTE(SUBSTITUTE($G1815,"-"," ",LEN($G1815)-LEN(SUBSTITUTE($G1815,"-",""))),"-"," ",LEN($G1815)-LEN(SUBSTITUTE($G1815,"-",""))-1),"."," ",(LEN(SUBSTITUTE(SUBSTITUTE($G1815,"-"," ",LEN($G1815)-LEN(SUBSTITUTE($G1815,"-",""))),"-"," ",LEN($G1815)-LEN(SUBSTITUTE($G1815,"-",""))-1))-LEN(SUBSTITUTE(SUBSTITUTE(SUBSTITUTE($G1815,"-"," ",LEN($G1815)-LEN(SUBSTITUTE($G1815,"-",""))),"-"," ",LEN($G1815)-LEN(SUBSTITUTE($G1815,"-",""))-1),".",""))))),$G1815)))</f>
        <v/>
      </c>
    </row>
    <row r="1816">
      <c r="A1816" s="58" t="n"/>
      <c r="B1816" s="58">
        <f>IF($H1816="","",LEFT($H1816,FIND(" ",$H1816&amp;" ")-1))</f>
        <v/>
      </c>
      <c r="C1816" s="58">
        <f>IF($H1816="","",IFERROR(MID($H1816&amp;" ",FIND("|",SUBSTITUTE($H1816&amp;" "," ","|",1))+1,FIND("|",SUBSTITUTE($H1816&amp;" "," ","|",2))-FIND("|",SUBSTITUTE($H1816&amp;" "," ","|",1))-1),""))</f>
        <v/>
      </c>
      <c r="D1816" s="58">
        <f>IF($H1816="","",IFERROR(MID($H1816&amp;" ",FIND("|",SUBSTITUTE($H1816&amp;" "," ","|",2))+1,FIND("|",SUBSTITUTE($H1816&amp;" "," ","|",3))-FIND("|",SUBSTITUTE($H1816&amp;" "," ","|",2))-1),""))</f>
        <v/>
      </c>
      <c r="E1816" s="58">
        <f>IF($H1816="","",IFERROR(MID($H1816&amp;" ",FIND("|",SUBSTITUTE($H1816&amp;" "," ","|",3))+1,FIND("|",SUBSTITUTE($H1816&amp;" "," ","|",4))-FIND("|",SUBSTITUTE($H1816&amp;" "," ","|",3))-1),""))</f>
        <v/>
      </c>
      <c r="F1816" s="59">
        <f>IF($H1816="","",IFERROR(VALUE(IFERROR(MID($H1816&amp;" ",FIND("|",SUBSTITUTE($H1816&amp;" "," ","|",4))+1,FIND("|",SUBSTITUTE($H1816&amp;" "," ","|",5))-FIND("|",SUBSTITUTE($H1816&amp;" "," ","|",4))-1),""))/86400+25569+9/24,""))</f>
        <v/>
      </c>
      <c r="G1816" s="58">
        <f>TRIM(SUBSTITUTE(SUBSTITUTE(SUBSTITUTE($A1816,CHAR(9)," ")," "," "),CHAR(13),""))</f>
        <v/>
      </c>
      <c r="H1816" s="58">
        <f>IF($G1816="","",IF(ISNUMBER(FIND(" ",$G1816)),$G1816,IFERROR(IF((LEN(SUBSTITUTE(SUBSTITUTE($G1816,"-"," ",LEN($G1816)-LEN(SUBSTITUTE($G1816,"-",""))),"-"," ",LEN($G1816)-LEN(SUBSTITUTE($G1816,"-",""))-1))-LEN(SUBSTITUTE(SUBSTITUTE(SUBSTITUTE($G1816,"-"," ",LEN($G1816)-LEN(SUBSTITUTE($G1816,"-",""))),"-"," ",LEN($G1816)-LEN(SUBSTITUTE($G1816,"-",""))-1),".","")))=0,SUBSTITUTE(SUBSTITUTE($G1816,"-"," ",LEN($G1816)-LEN(SUBSTITUTE($G1816,"-",""))),"-"," ",LEN($G1816)-LEN(SUBSTITUTE($G1816,"-",""))-1),SUBSTITUTE(SUBSTITUTE(SUBSTITUTE($G1816,"-"," ",LEN($G1816)-LEN(SUBSTITUTE($G1816,"-",""))),"-"," ",LEN($G1816)-LEN(SUBSTITUTE($G1816,"-",""))-1),"."," ",(LEN(SUBSTITUTE(SUBSTITUTE($G1816,"-"," ",LEN($G1816)-LEN(SUBSTITUTE($G1816,"-",""))),"-"," ",LEN($G1816)-LEN(SUBSTITUTE($G1816,"-",""))-1))-LEN(SUBSTITUTE(SUBSTITUTE(SUBSTITUTE($G1816,"-"," ",LEN($G1816)-LEN(SUBSTITUTE($G1816,"-",""))),"-"," ",LEN($G1816)-LEN(SUBSTITUTE($G1816,"-",""))-1),".",""))))),$G1816)))</f>
        <v/>
      </c>
    </row>
    <row r="1817">
      <c r="A1817" s="58" t="n"/>
      <c r="B1817" s="58">
        <f>IF($H1817="","",LEFT($H1817,FIND(" ",$H1817&amp;" ")-1))</f>
        <v/>
      </c>
      <c r="C1817" s="58">
        <f>IF($H1817="","",IFERROR(MID($H1817&amp;" ",FIND("|",SUBSTITUTE($H1817&amp;" "," ","|",1))+1,FIND("|",SUBSTITUTE($H1817&amp;" "," ","|",2))-FIND("|",SUBSTITUTE($H1817&amp;" "," ","|",1))-1),""))</f>
        <v/>
      </c>
      <c r="D1817" s="58">
        <f>IF($H1817="","",IFERROR(MID($H1817&amp;" ",FIND("|",SUBSTITUTE($H1817&amp;" "," ","|",2))+1,FIND("|",SUBSTITUTE($H1817&amp;" "," ","|",3))-FIND("|",SUBSTITUTE($H1817&amp;" "," ","|",2))-1),""))</f>
        <v/>
      </c>
      <c r="E1817" s="58">
        <f>IF($H1817="","",IFERROR(MID($H1817&amp;" ",FIND("|",SUBSTITUTE($H1817&amp;" "," ","|",3))+1,FIND("|",SUBSTITUTE($H1817&amp;" "," ","|",4))-FIND("|",SUBSTITUTE($H1817&amp;" "," ","|",3))-1),""))</f>
        <v/>
      </c>
      <c r="F1817" s="59">
        <f>IF($H1817="","",IFERROR(VALUE(IFERROR(MID($H1817&amp;" ",FIND("|",SUBSTITUTE($H1817&amp;" "," ","|",4))+1,FIND("|",SUBSTITUTE($H1817&amp;" "," ","|",5))-FIND("|",SUBSTITUTE($H1817&amp;" "," ","|",4))-1),""))/86400+25569+9/24,""))</f>
        <v/>
      </c>
      <c r="G1817" s="58">
        <f>TRIM(SUBSTITUTE(SUBSTITUTE(SUBSTITUTE($A1817,CHAR(9)," ")," "," "),CHAR(13),""))</f>
        <v/>
      </c>
      <c r="H1817" s="58">
        <f>IF($G1817="","",IF(ISNUMBER(FIND(" ",$G1817)),$G1817,IFERROR(IF((LEN(SUBSTITUTE(SUBSTITUTE($G1817,"-"," ",LEN($G1817)-LEN(SUBSTITUTE($G1817,"-",""))),"-"," ",LEN($G1817)-LEN(SUBSTITUTE($G1817,"-",""))-1))-LEN(SUBSTITUTE(SUBSTITUTE(SUBSTITUTE($G1817,"-"," ",LEN($G1817)-LEN(SUBSTITUTE($G1817,"-",""))),"-"," ",LEN($G1817)-LEN(SUBSTITUTE($G1817,"-",""))-1),".","")))=0,SUBSTITUTE(SUBSTITUTE($G1817,"-"," ",LEN($G1817)-LEN(SUBSTITUTE($G1817,"-",""))),"-"," ",LEN($G1817)-LEN(SUBSTITUTE($G1817,"-",""))-1),SUBSTITUTE(SUBSTITUTE(SUBSTITUTE($G1817,"-"," ",LEN($G1817)-LEN(SUBSTITUTE($G1817,"-",""))),"-"," ",LEN($G1817)-LEN(SUBSTITUTE($G1817,"-",""))-1),"."," ",(LEN(SUBSTITUTE(SUBSTITUTE($G1817,"-"," ",LEN($G1817)-LEN(SUBSTITUTE($G1817,"-",""))),"-"," ",LEN($G1817)-LEN(SUBSTITUTE($G1817,"-",""))-1))-LEN(SUBSTITUTE(SUBSTITUTE(SUBSTITUTE($G1817,"-"," ",LEN($G1817)-LEN(SUBSTITUTE($G1817,"-",""))),"-"," ",LEN($G1817)-LEN(SUBSTITUTE($G1817,"-",""))-1),".",""))))),$G1817)))</f>
        <v/>
      </c>
    </row>
    <row r="1818">
      <c r="A1818" s="58" t="n"/>
      <c r="B1818" s="58">
        <f>IF($H1818="","",LEFT($H1818,FIND(" ",$H1818&amp;" ")-1))</f>
        <v/>
      </c>
      <c r="C1818" s="58">
        <f>IF($H1818="","",IFERROR(MID($H1818&amp;" ",FIND("|",SUBSTITUTE($H1818&amp;" "," ","|",1))+1,FIND("|",SUBSTITUTE($H1818&amp;" "," ","|",2))-FIND("|",SUBSTITUTE($H1818&amp;" "," ","|",1))-1),""))</f>
        <v/>
      </c>
      <c r="D1818" s="58">
        <f>IF($H1818="","",IFERROR(MID($H1818&amp;" ",FIND("|",SUBSTITUTE($H1818&amp;" "," ","|",2))+1,FIND("|",SUBSTITUTE($H1818&amp;" "," ","|",3))-FIND("|",SUBSTITUTE($H1818&amp;" "," ","|",2))-1),""))</f>
        <v/>
      </c>
      <c r="E1818" s="58">
        <f>IF($H1818="","",IFERROR(MID($H1818&amp;" ",FIND("|",SUBSTITUTE($H1818&amp;" "," ","|",3))+1,FIND("|",SUBSTITUTE($H1818&amp;" "," ","|",4))-FIND("|",SUBSTITUTE($H1818&amp;" "," ","|",3))-1),""))</f>
        <v/>
      </c>
      <c r="F1818" s="59">
        <f>IF($H1818="","",IFERROR(VALUE(IFERROR(MID($H1818&amp;" ",FIND("|",SUBSTITUTE($H1818&amp;" "," ","|",4))+1,FIND("|",SUBSTITUTE($H1818&amp;" "," ","|",5))-FIND("|",SUBSTITUTE($H1818&amp;" "," ","|",4))-1),""))/86400+25569+9/24,""))</f>
        <v/>
      </c>
      <c r="G1818" s="58">
        <f>TRIM(SUBSTITUTE(SUBSTITUTE(SUBSTITUTE($A1818,CHAR(9)," ")," "," "),CHAR(13),""))</f>
        <v/>
      </c>
      <c r="H1818" s="58">
        <f>IF($G1818="","",IF(ISNUMBER(FIND(" ",$G1818)),$G1818,IFERROR(IF((LEN(SUBSTITUTE(SUBSTITUTE($G1818,"-"," ",LEN($G1818)-LEN(SUBSTITUTE($G1818,"-",""))),"-"," ",LEN($G1818)-LEN(SUBSTITUTE($G1818,"-",""))-1))-LEN(SUBSTITUTE(SUBSTITUTE(SUBSTITUTE($G1818,"-"," ",LEN($G1818)-LEN(SUBSTITUTE($G1818,"-",""))),"-"," ",LEN($G1818)-LEN(SUBSTITUTE($G1818,"-",""))-1),".","")))=0,SUBSTITUTE(SUBSTITUTE($G1818,"-"," ",LEN($G1818)-LEN(SUBSTITUTE($G1818,"-",""))),"-"," ",LEN($G1818)-LEN(SUBSTITUTE($G1818,"-",""))-1),SUBSTITUTE(SUBSTITUTE(SUBSTITUTE($G1818,"-"," ",LEN($G1818)-LEN(SUBSTITUTE($G1818,"-",""))),"-"," ",LEN($G1818)-LEN(SUBSTITUTE($G1818,"-",""))-1),"."," ",(LEN(SUBSTITUTE(SUBSTITUTE($G1818,"-"," ",LEN($G1818)-LEN(SUBSTITUTE($G1818,"-",""))),"-"," ",LEN($G1818)-LEN(SUBSTITUTE($G1818,"-",""))-1))-LEN(SUBSTITUTE(SUBSTITUTE(SUBSTITUTE($G1818,"-"," ",LEN($G1818)-LEN(SUBSTITUTE($G1818,"-",""))),"-"," ",LEN($G1818)-LEN(SUBSTITUTE($G1818,"-",""))-1),".",""))))),$G1818)))</f>
        <v/>
      </c>
    </row>
    <row r="1819">
      <c r="A1819" s="58" t="n"/>
      <c r="B1819" s="58">
        <f>IF($H1819="","",LEFT($H1819,FIND(" ",$H1819&amp;" ")-1))</f>
        <v/>
      </c>
      <c r="C1819" s="58">
        <f>IF($H1819="","",IFERROR(MID($H1819&amp;" ",FIND("|",SUBSTITUTE($H1819&amp;" "," ","|",1))+1,FIND("|",SUBSTITUTE($H1819&amp;" "," ","|",2))-FIND("|",SUBSTITUTE($H1819&amp;" "," ","|",1))-1),""))</f>
        <v/>
      </c>
      <c r="D1819" s="58">
        <f>IF($H1819="","",IFERROR(MID($H1819&amp;" ",FIND("|",SUBSTITUTE($H1819&amp;" "," ","|",2))+1,FIND("|",SUBSTITUTE($H1819&amp;" "," ","|",3))-FIND("|",SUBSTITUTE($H1819&amp;" "," ","|",2))-1),""))</f>
        <v/>
      </c>
      <c r="E1819" s="58">
        <f>IF($H1819="","",IFERROR(MID($H1819&amp;" ",FIND("|",SUBSTITUTE($H1819&amp;" "," ","|",3))+1,FIND("|",SUBSTITUTE($H1819&amp;" "," ","|",4))-FIND("|",SUBSTITUTE($H1819&amp;" "," ","|",3))-1),""))</f>
        <v/>
      </c>
      <c r="F1819" s="59">
        <f>IF($H1819="","",IFERROR(VALUE(IFERROR(MID($H1819&amp;" ",FIND("|",SUBSTITUTE($H1819&amp;" "," ","|",4))+1,FIND("|",SUBSTITUTE($H1819&amp;" "," ","|",5))-FIND("|",SUBSTITUTE($H1819&amp;" "," ","|",4))-1),""))/86400+25569+9/24,""))</f>
        <v/>
      </c>
      <c r="G1819" s="58">
        <f>TRIM(SUBSTITUTE(SUBSTITUTE(SUBSTITUTE($A1819,CHAR(9)," ")," "," "),CHAR(13),""))</f>
        <v/>
      </c>
      <c r="H1819" s="58">
        <f>IF($G1819="","",IF(ISNUMBER(FIND(" ",$G1819)),$G1819,IFERROR(IF((LEN(SUBSTITUTE(SUBSTITUTE($G1819,"-"," ",LEN($G1819)-LEN(SUBSTITUTE($G1819,"-",""))),"-"," ",LEN($G1819)-LEN(SUBSTITUTE($G1819,"-",""))-1))-LEN(SUBSTITUTE(SUBSTITUTE(SUBSTITUTE($G1819,"-"," ",LEN($G1819)-LEN(SUBSTITUTE($G1819,"-",""))),"-"," ",LEN($G1819)-LEN(SUBSTITUTE($G1819,"-",""))-1),".","")))=0,SUBSTITUTE(SUBSTITUTE($G1819,"-"," ",LEN($G1819)-LEN(SUBSTITUTE($G1819,"-",""))),"-"," ",LEN($G1819)-LEN(SUBSTITUTE($G1819,"-",""))-1),SUBSTITUTE(SUBSTITUTE(SUBSTITUTE($G1819,"-"," ",LEN($G1819)-LEN(SUBSTITUTE($G1819,"-",""))),"-"," ",LEN($G1819)-LEN(SUBSTITUTE($G1819,"-",""))-1),"."," ",(LEN(SUBSTITUTE(SUBSTITUTE($G1819,"-"," ",LEN($G1819)-LEN(SUBSTITUTE($G1819,"-",""))),"-"," ",LEN($G1819)-LEN(SUBSTITUTE($G1819,"-",""))-1))-LEN(SUBSTITUTE(SUBSTITUTE(SUBSTITUTE($G1819,"-"," ",LEN($G1819)-LEN(SUBSTITUTE($G1819,"-",""))),"-"," ",LEN($G1819)-LEN(SUBSTITUTE($G1819,"-",""))-1),".",""))))),$G1819)))</f>
        <v/>
      </c>
    </row>
    <row r="1820">
      <c r="A1820" s="58" t="n"/>
      <c r="B1820" s="58">
        <f>IF($H1820="","",LEFT($H1820,FIND(" ",$H1820&amp;" ")-1))</f>
        <v/>
      </c>
      <c r="C1820" s="58">
        <f>IF($H1820="","",IFERROR(MID($H1820&amp;" ",FIND("|",SUBSTITUTE($H1820&amp;" "," ","|",1))+1,FIND("|",SUBSTITUTE($H1820&amp;" "," ","|",2))-FIND("|",SUBSTITUTE($H1820&amp;" "," ","|",1))-1),""))</f>
        <v/>
      </c>
      <c r="D1820" s="58">
        <f>IF($H1820="","",IFERROR(MID($H1820&amp;" ",FIND("|",SUBSTITUTE($H1820&amp;" "," ","|",2))+1,FIND("|",SUBSTITUTE($H1820&amp;" "," ","|",3))-FIND("|",SUBSTITUTE($H1820&amp;" "," ","|",2))-1),""))</f>
        <v/>
      </c>
      <c r="E1820" s="58">
        <f>IF($H1820="","",IFERROR(MID($H1820&amp;" ",FIND("|",SUBSTITUTE($H1820&amp;" "," ","|",3))+1,FIND("|",SUBSTITUTE($H1820&amp;" "," ","|",4))-FIND("|",SUBSTITUTE($H1820&amp;" "," ","|",3))-1),""))</f>
        <v/>
      </c>
      <c r="F1820" s="59">
        <f>IF($H1820="","",IFERROR(VALUE(IFERROR(MID($H1820&amp;" ",FIND("|",SUBSTITUTE($H1820&amp;" "," ","|",4))+1,FIND("|",SUBSTITUTE($H1820&amp;" "," ","|",5))-FIND("|",SUBSTITUTE($H1820&amp;" "," ","|",4))-1),""))/86400+25569+9/24,""))</f>
        <v/>
      </c>
      <c r="G1820" s="58">
        <f>TRIM(SUBSTITUTE(SUBSTITUTE(SUBSTITUTE($A1820,CHAR(9)," ")," "," "),CHAR(13),""))</f>
        <v/>
      </c>
      <c r="H1820" s="58">
        <f>IF($G1820="","",IF(ISNUMBER(FIND(" ",$G1820)),$G1820,IFERROR(IF((LEN(SUBSTITUTE(SUBSTITUTE($G1820,"-"," ",LEN($G1820)-LEN(SUBSTITUTE($G1820,"-",""))),"-"," ",LEN($G1820)-LEN(SUBSTITUTE($G1820,"-",""))-1))-LEN(SUBSTITUTE(SUBSTITUTE(SUBSTITUTE($G1820,"-"," ",LEN($G1820)-LEN(SUBSTITUTE($G1820,"-",""))),"-"," ",LEN($G1820)-LEN(SUBSTITUTE($G1820,"-",""))-1),".","")))=0,SUBSTITUTE(SUBSTITUTE($G1820,"-"," ",LEN($G1820)-LEN(SUBSTITUTE($G1820,"-",""))),"-"," ",LEN($G1820)-LEN(SUBSTITUTE($G1820,"-",""))-1),SUBSTITUTE(SUBSTITUTE(SUBSTITUTE($G1820,"-"," ",LEN($G1820)-LEN(SUBSTITUTE($G1820,"-",""))),"-"," ",LEN($G1820)-LEN(SUBSTITUTE($G1820,"-",""))-1),"."," ",(LEN(SUBSTITUTE(SUBSTITUTE($G1820,"-"," ",LEN($G1820)-LEN(SUBSTITUTE($G1820,"-",""))),"-"," ",LEN($G1820)-LEN(SUBSTITUTE($G1820,"-",""))-1))-LEN(SUBSTITUTE(SUBSTITUTE(SUBSTITUTE($G1820,"-"," ",LEN($G1820)-LEN(SUBSTITUTE($G1820,"-",""))),"-"," ",LEN($G1820)-LEN(SUBSTITUTE($G1820,"-",""))-1),".",""))))),$G1820)))</f>
        <v/>
      </c>
    </row>
    <row r="1821">
      <c r="A1821" s="58" t="n"/>
      <c r="B1821" s="58">
        <f>IF($H1821="","",LEFT($H1821,FIND(" ",$H1821&amp;" ")-1))</f>
        <v/>
      </c>
      <c r="C1821" s="58">
        <f>IF($H1821="","",IFERROR(MID($H1821&amp;" ",FIND("|",SUBSTITUTE($H1821&amp;" "," ","|",1))+1,FIND("|",SUBSTITUTE($H1821&amp;" "," ","|",2))-FIND("|",SUBSTITUTE($H1821&amp;" "," ","|",1))-1),""))</f>
        <v/>
      </c>
      <c r="D1821" s="58">
        <f>IF($H1821="","",IFERROR(MID($H1821&amp;" ",FIND("|",SUBSTITUTE($H1821&amp;" "," ","|",2))+1,FIND("|",SUBSTITUTE($H1821&amp;" "," ","|",3))-FIND("|",SUBSTITUTE($H1821&amp;" "," ","|",2))-1),""))</f>
        <v/>
      </c>
      <c r="E1821" s="58">
        <f>IF($H1821="","",IFERROR(MID($H1821&amp;" ",FIND("|",SUBSTITUTE($H1821&amp;" "," ","|",3))+1,FIND("|",SUBSTITUTE($H1821&amp;" "," ","|",4))-FIND("|",SUBSTITUTE($H1821&amp;" "," ","|",3))-1),""))</f>
        <v/>
      </c>
      <c r="F1821" s="59">
        <f>IF($H1821="","",IFERROR(VALUE(IFERROR(MID($H1821&amp;" ",FIND("|",SUBSTITUTE($H1821&amp;" "," ","|",4))+1,FIND("|",SUBSTITUTE($H1821&amp;" "," ","|",5))-FIND("|",SUBSTITUTE($H1821&amp;" "," ","|",4))-1),""))/86400+25569+9/24,""))</f>
        <v/>
      </c>
      <c r="G1821" s="58">
        <f>TRIM(SUBSTITUTE(SUBSTITUTE(SUBSTITUTE($A1821,CHAR(9)," ")," "," "),CHAR(13),""))</f>
        <v/>
      </c>
      <c r="H1821" s="58">
        <f>IF($G1821="","",IF(ISNUMBER(FIND(" ",$G1821)),$G1821,IFERROR(IF((LEN(SUBSTITUTE(SUBSTITUTE($G1821,"-"," ",LEN($G1821)-LEN(SUBSTITUTE($G1821,"-",""))),"-"," ",LEN($G1821)-LEN(SUBSTITUTE($G1821,"-",""))-1))-LEN(SUBSTITUTE(SUBSTITUTE(SUBSTITUTE($G1821,"-"," ",LEN($G1821)-LEN(SUBSTITUTE($G1821,"-",""))),"-"," ",LEN($G1821)-LEN(SUBSTITUTE($G1821,"-",""))-1),".","")))=0,SUBSTITUTE(SUBSTITUTE($G1821,"-"," ",LEN($G1821)-LEN(SUBSTITUTE($G1821,"-",""))),"-"," ",LEN($G1821)-LEN(SUBSTITUTE($G1821,"-",""))-1),SUBSTITUTE(SUBSTITUTE(SUBSTITUTE($G1821,"-"," ",LEN($G1821)-LEN(SUBSTITUTE($G1821,"-",""))),"-"," ",LEN($G1821)-LEN(SUBSTITUTE($G1821,"-",""))-1),"."," ",(LEN(SUBSTITUTE(SUBSTITUTE($G1821,"-"," ",LEN($G1821)-LEN(SUBSTITUTE($G1821,"-",""))),"-"," ",LEN($G1821)-LEN(SUBSTITUTE($G1821,"-",""))-1))-LEN(SUBSTITUTE(SUBSTITUTE(SUBSTITUTE($G1821,"-"," ",LEN($G1821)-LEN(SUBSTITUTE($G1821,"-",""))),"-"," ",LEN($G1821)-LEN(SUBSTITUTE($G1821,"-",""))-1),".",""))))),$G1821)))</f>
        <v/>
      </c>
    </row>
    <row r="1822">
      <c r="A1822" s="58" t="n"/>
      <c r="B1822" s="58">
        <f>IF($H1822="","",LEFT($H1822,FIND(" ",$H1822&amp;" ")-1))</f>
        <v/>
      </c>
      <c r="C1822" s="58">
        <f>IF($H1822="","",IFERROR(MID($H1822&amp;" ",FIND("|",SUBSTITUTE($H1822&amp;" "," ","|",1))+1,FIND("|",SUBSTITUTE($H1822&amp;" "," ","|",2))-FIND("|",SUBSTITUTE($H1822&amp;" "," ","|",1))-1),""))</f>
        <v/>
      </c>
      <c r="D1822" s="58">
        <f>IF($H1822="","",IFERROR(MID($H1822&amp;" ",FIND("|",SUBSTITUTE($H1822&amp;" "," ","|",2))+1,FIND("|",SUBSTITUTE($H1822&amp;" "," ","|",3))-FIND("|",SUBSTITUTE($H1822&amp;" "," ","|",2))-1),""))</f>
        <v/>
      </c>
      <c r="E1822" s="58">
        <f>IF($H1822="","",IFERROR(MID($H1822&amp;" ",FIND("|",SUBSTITUTE($H1822&amp;" "," ","|",3))+1,FIND("|",SUBSTITUTE($H1822&amp;" "," ","|",4))-FIND("|",SUBSTITUTE($H1822&amp;" "," ","|",3))-1),""))</f>
        <v/>
      </c>
      <c r="F1822" s="59">
        <f>IF($H1822="","",IFERROR(VALUE(IFERROR(MID($H1822&amp;" ",FIND("|",SUBSTITUTE($H1822&amp;" "," ","|",4))+1,FIND("|",SUBSTITUTE($H1822&amp;" "," ","|",5))-FIND("|",SUBSTITUTE($H1822&amp;" "," ","|",4))-1),""))/86400+25569+9/24,""))</f>
        <v/>
      </c>
      <c r="G1822" s="58">
        <f>TRIM(SUBSTITUTE(SUBSTITUTE(SUBSTITUTE($A1822,CHAR(9)," ")," "," "),CHAR(13),""))</f>
        <v/>
      </c>
      <c r="H1822" s="58">
        <f>IF($G1822="","",IF(ISNUMBER(FIND(" ",$G1822)),$G1822,IFERROR(IF((LEN(SUBSTITUTE(SUBSTITUTE($G1822,"-"," ",LEN($G1822)-LEN(SUBSTITUTE($G1822,"-",""))),"-"," ",LEN($G1822)-LEN(SUBSTITUTE($G1822,"-",""))-1))-LEN(SUBSTITUTE(SUBSTITUTE(SUBSTITUTE($G1822,"-"," ",LEN($G1822)-LEN(SUBSTITUTE($G1822,"-",""))),"-"," ",LEN($G1822)-LEN(SUBSTITUTE($G1822,"-",""))-1),".","")))=0,SUBSTITUTE(SUBSTITUTE($G1822,"-"," ",LEN($G1822)-LEN(SUBSTITUTE($G1822,"-",""))),"-"," ",LEN($G1822)-LEN(SUBSTITUTE($G1822,"-",""))-1),SUBSTITUTE(SUBSTITUTE(SUBSTITUTE($G1822,"-"," ",LEN($G1822)-LEN(SUBSTITUTE($G1822,"-",""))),"-"," ",LEN($G1822)-LEN(SUBSTITUTE($G1822,"-",""))-1),"."," ",(LEN(SUBSTITUTE(SUBSTITUTE($G1822,"-"," ",LEN($G1822)-LEN(SUBSTITUTE($G1822,"-",""))),"-"," ",LEN($G1822)-LEN(SUBSTITUTE($G1822,"-",""))-1))-LEN(SUBSTITUTE(SUBSTITUTE(SUBSTITUTE($G1822,"-"," ",LEN($G1822)-LEN(SUBSTITUTE($G1822,"-",""))),"-"," ",LEN($G1822)-LEN(SUBSTITUTE($G1822,"-",""))-1),".",""))))),$G1822)))</f>
        <v/>
      </c>
    </row>
    <row r="1823">
      <c r="A1823" s="58" t="n"/>
      <c r="B1823" s="58">
        <f>IF($H1823="","",LEFT($H1823,FIND(" ",$H1823&amp;" ")-1))</f>
        <v/>
      </c>
      <c r="C1823" s="58">
        <f>IF($H1823="","",IFERROR(MID($H1823&amp;" ",FIND("|",SUBSTITUTE($H1823&amp;" "," ","|",1))+1,FIND("|",SUBSTITUTE($H1823&amp;" "," ","|",2))-FIND("|",SUBSTITUTE($H1823&amp;" "," ","|",1))-1),""))</f>
        <v/>
      </c>
      <c r="D1823" s="58">
        <f>IF($H1823="","",IFERROR(MID($H1823&amp;" ",FIND("|",SUBSTITUTE($H1823&amp;" "," ","|",2))+1,FIND("|",SUBSTITUTE($H1823&amp;" "," ","|",3))-FIND("|",SUBSTITUTE($H1823&amp;" "," ","|",2))-1),""))</f>
        <v/>
      </c>
      <c r="E1823" s="58">
        <f>IF($H1823="","",IFERROR(MID($H1823&amp;" ",FIND("|",SUBSTITUTE($H1823&amp;" "," ","|",3))+1,FIND("|",SUBSTITUTE($H1823&amp;" "," ","|",4))-FIND("|",SUBSTITUTE($H1823&amp;" "," ","|",3))-1),""))</f>
        <v/>
      </c>
      <c r="F1823" s="59">
        <f>IF($H1823="","",IFERROR(VALUE(IFERROR(MID($H1823&amp;" ",FIND("|",SUBSTITUTE($H1823&amp;" "," ","|",4))+1,FIND("|",SUBSTITUTE($H1823&amp;" "," ","|",5))-FIND("|",SUBSTITUTE($H1823&amp;" "," ","|",4))-1),""))/86400+25569+9/24,""))</f>
        <v/>
      </c>
      <c r="G1823" s="58">
        <f>TRIM(SUBSTITUTE(SUBSTITUTE(SUBSTITUTE($A1823,CHAR(9)," ")," "," "),CHAR(13),""))</f>
        <v/>
      </c>
      <c r="H1823" s="58">
        <f>IF($G1823="","",IF(ISNUMBER(FIND(" ",$G1823)),$G1823,IFERROR(IF((LEN(SUBSTITUTE(SUBSTITUTE($G1823,"-"," ",LEN($G1823)-LEN(SUBSTITUTE($G1823,"-",""))),"-"," ",LEN($G1823)-LEN(SUBSTITUTE($G1823,"-",""))-1))-LEN(SUBSTITUTE(SUBSTITUTE(SUBSTITUTE($G1823,"-"," ",LEN($G1823)-LEN(SUBSTITUTE($G1823,"-",""))),"-"," ",LEN($G1823)-LEN(SUBSTITUTE($G1823,"-",""))-1),".","")))=0,SUBSTITUTE(SUBSTITUTE($G1823,"-"," ",LEN($G1823)-LEN(SUBSTITUTE($G1823,"-",""))),"-"," ",LEN($G1823)-LEN(SUBSTITUTE($G1823,"-",""))-1),SUBSTITUTE(SUBSTITUTE(SUBSTITUTE($G1823,"-"," ",LEN($G1823)-LEN(SUBSTITUTE($G1823,"-",""))),"-"," ",LEN($G1823)-LEN(SUBSTITUTE($G1823,"-",""))-1),"."," ",(LEN(SUBSTITUTE(SUBSTITUTE($G1823,"-"," ",LEN($G1823)-LEN(SUBSTITUTE($G1823,"-",""))),"-"," ",LEN($G1823)-LEN(SUBSTITUTE($G1823,"-",""))-1))-LEN(SUBSTITUTE(SUBSTITUTE(SUBSTITUTE($G1823,"-"," ",LEN($G1823)-LEN(SUBSTITUTE($G1823,"-",""))),"-"," ",LEN($G1823)-LEN(SUBSTITUTE($G1823,"-",""))-1),".",""))))),$G1823)))</f>
        <v/>
      </c>
    </row>
    <row r="1824">
      <c r="A1824" s="58" t="n"/>
      <c r="B1824" s="58">
        <f>IF($H1824="","",LEFT($H1824,FIND(" ",$H1824&amp;" ")-1))</f>
        <v/>
      </c>
      <c r="C1824" s="58">
        <f>IF($H1824="","",IFERROR(MID($H1824&amp;" ",FIND("|",SUBSTITUTE($H1824&amp;" "," ","|",1))+1,FIND("|",SUBSTITUTE($H1824&amp;" "," ","|",2))-FIND("|",SUBSTITUTE($H1824&amp;" "," ","|",1))-1),""))</f>
        <v/>
      </c>
      <c r="D1824" s="58">
        <f>IF($H1824="","",IFERROR(MID($H1824&amp;" ",FIND("|",SUBSTITUTE($H1824&amp;" "," ","|",2))+1,FIND("|",SUBSTITUTE($H1824&amp;" "," ","|",3))-FIND("|",SUBSTITUTE($H1824&amp;" "," ","|",2))-1),""))</f>
        <v/>
      </c>
      <c r="E1824" s="58">
        <f>IF($H1824="","",IFERROR(MID($H1824&amp;" ",FIND("|",SUBSTITUTE($H1824&amp;" "," ","|",3))+1,FIND("|",SUBSTITUTE($H1824&amp;" "," ","|",4))-FIND("|",SUBSTITUTE($H1824&amp;" "," ","|",3))-1),""))</f>
        <v/>
      </c>
      <c r="F1824" s="59">
        <f>IF($H1824="","",IFERROR(VALUE(IFERROR(MID($H1824&amp;" ",FIND("|",SUBSTITUTE($H1824&amp;" "," ","|",4))+1,FIND("|",SUBSTITUTE($H1824&amp;" "," ","|",5))-FIND("|",SUBSTITUTE($H1824&amp;" "," ","|",4))-1),""))/86400+25569+9/24,""))</f>
        <v/>
      </c>
      <c r="G1824" s="58">
        <f>TRIM(SUBSTITUTE(SUBSTITUTE(SUBSTITUTE($A1824,CHAR(9)," ")," "," "),CHAR(13),""))</f>
        <v/>
      </c>
      <c r="H1824" s="58">
        <f>IF($G1824="","",IF(ISNUMBER(FIND(" ",$G1824)),$G1824,IFERROR(IF((LEN(SUBSTITUTE(SUBSTITUTE($G1824,"-"," ",LEN($G1824)-LEN(SUBSTITUTE($G1824,"-",""))),"-"," ",LEN($G1824)-LEN(SUBSTITUTE($G1824,"-",""))-1))-LEN(SUBSTITUTE(SUBSTITUTE(SUBSTITUTE($G1824,"-"," ",LEN($G1824)-LEN(SUBSTITUTE($G1824,"-",""))),"-"," ",LEN($G1824)-LEN(SUBSTITUTE($G1824,"-",""))-1),".","")))=0,SUBSTITUTE(SUBSTITUTE($G1824,"-"," ",LEN($G1824)-LEN(SUBSTITUTE($G1824,"-",""))),"-"," ",LEN($G1824)-LEN(SUBSTITUTE($G1824,"-",""))-1),SUBSTITUTE(SUBSTITUTE(SUBSTITUTE($G1824,"-"," ",LEN($G1824)-LEN(SUBSTITUTE($G1824,"-",""))),"-"," ",LEN($G1824)-LEN(SUBSTITUTE($G1824,"-",""))-1),"."," ",(LEN(SUBSTITUTE(SUBSTITUTE($G1824,"-"," ",LEN($G1824)-LEN(SUBSTITUTE($G1824,"-",""))),"-"," ",LEN($G1824)-LEN(SUBSTITUTE($G1824,"-",""))-1))-LEN(SUBSTITUTE(SUBSTITUTE(SUBSTITUTE($G1824,"-"," ",LEN($G1824)-LEN(SUBSTITUTE($G1824,"-",""))),"-"," ",LEN($G1824)-LEN(SUBSTITUTE($G1824,"-",""))-1),".",""))))),$G1824)))</f>
        <v/>
      </c>
    </row>
    <row r="1825">
      <c r="A1825" s="58" t="n"/>
      <c r="B1825" s="58">
        <f>IF($H1825="","",LEFT($H1825,FIND(" ",$H1825&amp;" ")-1))</f>
        <v/>
      </c>
      <c r="C1825" s="58">
        <f>IF($H1825="","",IFERROR(MID($H1825&amp;" ",FIND("|",SUBSTITUTE($H1825&amp;" "," ","|",1))+1,FIND("|",SUBSTITUTE($H1825&amp;" "," ","|",2))-FIND("|",SUBSTITUTE($H1825&amp;" "," ","|",1))-1),""))</f>
        <v/>
      </c>
      <c r="D1825" s="58">
        <f>IF($H1825="","",IFERROR(MID($H1825&amp;" ",FIND("|",SUBSTITUTE($H1825&amp;" "," ","|",2))+1,FIND("|",SUBSTITUTE($H1825&amp;" "," ","|",3))-FIND("|",SUBSTITUTE($H1825&amp;" "," ","|",2))-1),""))</f>
        <v/>
      </c>
      <c r="E1825" s="58">
        <f>IF($H1825="","",IFERROR(MID($H1825&amp;" ",FIND("|",SUBSTITUTE($H1825&amp;" "," ","|",3))+1,FIND("|",SUBSTITUTE($H1825&amp;" "," ","|",4))-FIND("|",SUBSTITUTE($H1825&amp;" "," ","|",3))-1),""))</f>
        <v/>
      </c>
      <c r="F1825" s="59">
        <f>IF($H1825="","",IFERROR(VALUE(IFERROR(MID($H1825&amp;" ",FIND("|",SUBSTITUTE($H1825&amp;" "," ","|",4))+1,FIND("|",SUBSTITUTE($H1825&amp;" "," ","|",5))-FIND("|",SUBSTITUTE($H1825&amp;" "," ","|",4))-1),""))/86400+25569+9/24,""))</f>
        <v/>
      </c>
      <c r="G1825" s="58">
        <f>TRIM(SUBSTITUTE(SUBSTITUTE(SUBSTITUTE($A1825,CHAR(9)," ")," "," "),CHAR(13),""))</f>
        <v/>
      </c>
      <c r="H1825" s="58">
        <f>IF($G1825="","",IF(ISNUMBER(FIND(" ",$G1825)),$G1825,IFERROR(IF((LEN(SUBSTITUTE(SUBSTITUTE($G1825,"-"," ",LEN($G1825)-LEN(SUBSTITUTE($G1825,"-",""))),"-"," ",LEN($G1825)-LEN(SUBSTITUTE($G1825,"-",""))-1))-LEN(SUBSTITUTE(SUBSTITUTE(SUBSTITUTE($G1825,"-"," ",LEN($G1825)-LEN(SUBSTITUTE($G1825,"-",""))),"-"," ",LEN($G1825)-LEN(SUBSTITUTE($G1825,"-",""))-1),".","")))=0,SUBSTITUTE(SUBSTITUTE($G1825,"-"," ",LEN($G1825)-LEN(SUBSTITUTE($G1825,"-",""))),"-"," ",LEN($G1825)-LEN(SUBSTITUTE($G1825,"-",""))-1),SUBSTITUTE(SUBSTITUTE(SUBSTITUTE($G1825,"-"," ",LEN($G1825)-LEN(SUBSTITUTE($G1825,"-",""))),"-"," ",LEN($G1825)-LEN(SUBSTITUTE($G1825,"-",""))-1),"."," ",(LEN(SUBSTITUTE(SUBSTITUTE($G1825,"-"," ",LEN($G1825)-LEN(SUBSTITUTE($G1825,"-",""))),"-"," ",LEN($G1825)-LEN(SUBSTITUTE($G1825,"-",""))-1))-LEN(SUBSTITUTE(SUBSTITUTE(SUBSTITUTE($G1825,"-"," ",LEN($G1825)-LEN(SUBSTITUTE($G1825,"-",""))),"-"," ",LEN($G1825)-LEN(SUBSTITUTE($G1825,"-",""))-1),".",""))))),$G1825)))</f>
        <v/>
      </c>
    </row>
    <row r="1826">
      <c r="A1826" s="58" t="n"/>
      <c r="B1826" s="58">
        <f>IF($H1826="","",LEFT($H1826,FIND(" ",$H1826&amp;" ")-1))</f>
        <v/>
      </c>
      <c r="C1826" s="58">
        <f>IF($H1826="","",IFERROR(MID($H1826&amp;" ",FIND("|",SUBSTITUTE($H1826&amp;" "," ","|",1))+1,FIND("|",SUBSTITUTE($H1826&amp;" "," ","|",2))-FIND("|",SUBSTITUTE($H1826&amp;" "," ","|",1))-1),""))</f>
        <v/>
      </c>
      <c r="D1826" s="58">
        <f>IF($H1826="","",IFERROR(MID($H1826&amp;" ",FIND("|",SUBSTITUTE($H1826&amp;" "," ","|",2))+1,FIND("|",SUBSTITUTE($H1826&amp;" "," ","|",3))-FIND("|",SUBSTITUTE($H1826&amp;" "," ","|",2))-1),""))</f>
        <v/>
      </c>
      <c r="E1826" s="58">
        <f>IF($H1826="","",IFERROR(MID($H1826&amp;" ",FIND("|",SUBSTITUTE($H1826&amp;" "," ","|",3))+1,FIND("|",SUBSTITUTE($H1826&amp;" "," ","|",4))-FIND("|",SUBSTITUTE($H1826&amp;" "," ","|",3))-1),""))</f>
        <v/>
      </c>
      <c r="F1826" s="59">
        <f>IF($H1826="","",IFERROR(VALUE(IFERROR(MID($H1826&amp;" ",FIND("|",SUBSTITUTE($H1826&amp;" "," ","|",4))+1,FIND("|",SUBSTITUTE($H1826&amp;" "," ","|",5))-FIND("|",SUBSTITUTE($H1826&amp;" "," ","|",4))-1),""))/86400+25569+9/24,""))</f>
        <v/>
      </c>
      <c r="G1826" s="58">
        <f>TRIM(SUBSTITUTE(SUBSTITUTE(SUBSTITUTE($A1826,CHAR(9)," ")," "," "),CHAR(13),""))</f>
        <v/>
      </c>
      <c r="H1826" s="58">
        <f>IF($G1826="","",IF(ISNUMBER(FIND(" ",$G1826)),$G1826,IFERROR(IF((LEN(SUBSTITUTE(SUBSTITUTE($G1826,"-"," ",LEN($G1826)-LEN(SUBSTITUTE($G1826,"-",""))),"-"," ",LEN($G1826)-LEN(SUBSTITUTE($G1826,"-",""))-1))-LEN(SUBSTITUTE(SUBSTITUTE(SUBSTITUTE($G1826,"-"," ",LEN($G1826)-LEN(SUBSTITUTE($G1826,"-",""))),"-"," ",LEN($G1826)-LEN(SUBSTITUTE($G1826,"-",""))-1),".","")))=0,SUBSTITUTE(SUBSTITUTE($G1826,"-"," ",LEN($G1826)-LEN(SUBSTITUTE($G1826,"-",""))),"-"," ",LEN($G1826)-LEN(SUBSTITUTE($G1826,"-",""))-1),SUBSTITUTE(SUBSTITUTE(SUBSTITUTE($G1826,"-"," ",LEN($G1826)-LEN(SUBSTITUTE($G1826,"-",""))),"-"," ",LEN($G1826)-LEN(SUBSTITUTE($G1826,"-",""))-1),"."," ",(LEN(SUBSTITUTE(SUBSTITUTE($G1826,"-"," ",LEN($G1826)-LEN(SUBSTITUTE($G1826,"-",""))),"-"," ",LEN($G1826)-LEN(SUBSTITUTE($G1826,"-",""))-1))-LEN(SUBSTITUTE(SUBSTITUTE(SUBSTITUTE($G1826,"-"," ",LEN($G1826)-LEN(SUBSTITUTE($G1826,"-",""))),"-"," ",LEN($G1826)-LEN(SUBSTITUTE($G1826,"-",""))-1),".",""))))),$G1826)))</f>
        <v/>
      </c>
    </row>
    <row r="1827">
      <c r="A1827" s="58" t="n"/>
      <c r="B1827" s="58">
        <f>IF($H1827="","",LEFT($H1827,FIND(" ",$H1827&amp;" ")-1))</f>
        <v/>
      </c>
      <c r="C1827" s="58">
        <f>IF($H1827="","",IFERROR(MID($H1827&amp;" ",FIND("|",SUBSTITUTE($H1827&amp;" "," ","|",1))+1,FIND("|",SUBSTITUTE($H1827&amp;" "," ","|",2))-FIND("|",SUBSTITUTE($H1827&amp;" "," ","|",1))-1),""))</f>
        <v/>
      </c>
      <c r="D1827" s="58">
        <f>IF($H1827="","",IFERROR(MID($H1827&amp;" ",FIND("|",SUBSTITUTE($H1827&amp;" "," ","|",2))+1,FIND("|",SUBSTITUTE($H1827&amp;" "," ","|",3))-FIND("|",SUBSTITUTE($H1827&amp;" "," ","|",2))-1),""))</f>
        <v/>
      </c>
      <c r="E1827" s="58">
        <f>IF($H1827="","",IFERROR(MID($H1827&amp;" ",FIND("|",SUBSTITUTE($H1827&amp;" "," ","|",3))+1,FIND("|",SUBSTITUTE($H1827&amp;" "," ","|",4))-FIND("|",SUBSTITUTE($H1827&amp;" "," ","|",3))-1),""))</f>
        <v/>
      </c>
      <c r="F1827" s="59">
        <f>IF($H1827="","",IFERROR(VALUE(IFERROR(MID($H1827&amp;" ",FIND("|",SUBSTITUTE($H1827&amp;" "," ","|",4))+1,FIND("|",SUBSTITUTE($H1827&amp;" "," ","|",5))-FIND("|",SUBSTITUTE($H1827&amp;" "," ","|",4))-1),""))/86400+25569+9/24,""))</f>
        <v/>
      </c>
      <c r="G1827" s="58">
        <f>TRIM(SUBSTITUTE(SUBSTITUTE(SUBSTITUTE($A1827,CHAR(9)," ")," "," "),CHAR(13),""))</f>
        <v/>
      </c>
      <c r="H1827" s="58">
        <f>IF($G1827="","",IF(ISNUMBER(FIND(" ",$G1827)),$G1827,IFERROR(IF((LEN(SUBSTITUTE(SUBSTITUTE($G1827,"-"," ",LEN($G1827)-LEN(SUBSTITUTE($G1827,"-",""))),"-"," ",LEN($G1827)-LEN(SUBSTITUTE($G1827,"-",""))-1))-LEN(SUBSTITUTE(SUBSTITUTE(SUBSTITUTE($G1827,"-"," ",LEN($G1827)-LEN(SUBSTITUTE($G1827,"-",""))),"-"," ",LEN($G1827)-LEN(SUBSTITUTE($G1827,"-",""))-1),".","")))=0,SUBSTITUTE(SUBSTITUTE($G1827,"-"," ",LEN($G1827)-LEN(SUBSTITUTE($G1827,"-",""))),"-"," ",LEN($G1827)-LEN(SUBSTITUTE($G1827,"-",""))-1),SUBSTITUTE(SUBSTITUTE(SUBSTITUTE($G1827,"-"," ",LEN($G1827)-LEN(SUBSTITUTE($G1827,"-",""))),"-"," ",LEN($G1827)-LEN(SUBSTITUTE($G1827,"-",""))-1),"."," ",(LEN(SUBSTITUTE(SUBSTITUTE($G1827,"-"," ",LEN($G1827)-LEN(SUBSTITUTE($G1827,"-",""))),"-"," ",LEN($G1827)-LEN(SUBSTITUTE($G1827,"-",""))-1))-LEN(SUBSTITUTE(SUBSTITUTE(SUBSTITUTE($G1827,"-"," ",LEN($G1827)-LEN(SUBSTITUTE($G1827,"-",""))),"-"," ",LEN($G1827)-LEN(SUBSTITUTE($G1827,"-",""))-1),".",""))))),$G1827)))</f>
        <v/>
      </c>
    </row>
    <row r="1828">
      <c r="A1828" s="58" t="n"/>
      <c r="B1828" s="58">
        <f>IF($H1828="","",LEFT($H1828,FIND(" ",$H1828&amp;" ")-1))</f>
        <v/>
      </c>
      <c r="C1828" s="58">
        <f>IF($H1828="","",IFERROR(MID($H1828&amp;" ",FIND("|",SUBSTITUTE($H1828&amp;" "," ","|",1))+1,FIND("|",SUBSTITUTE($H1828&amp;" "," ","|",2))-FIND("|",SUBSTITUTE($H1828&amp;" "," ","|",1))-1),""))</f>
        <v/>
      </c>
      <c r="D1828" s="58">
        <f>IF($H1828="","",IFERROR(MID($H1828&amp;" ",FIND("|",SUBSTITUTE($H1828&amp;" "," ","|",2))+1,FIND("|",SUBSTITUTE($H1828&amp;" "," ","|",3))-FIND("|",SUBSTITUTE($H1828&amp;" "," ","|",2))-1),""))</f>
        <v/>
      </c>
      <c r="E1828" s="58">
        <f>IF($H1828="","",IFERROR(MID($H1828&amp;" ",FIND("|",SUBSTITUTE($H1828&amp;" "," ","|",3))+1,FIND("|",SUBSTITUTE($H1828&amp;" "," ","|",4))-FIND("|",SUBSTITUTE($H1828&amp;" "," ","|",3))-1),""))</f>
        <v/>
      </c>
      <c r="F1828" s="59">
        <f>IF($H1828="","",IFERROR(VALUE(IFERROR(MID($H1828&amp;" ",FIND("|",SUBSTITUTE($H1828&amp;" "," ","|",4))+1,FIND("|",SUBSTITUTE($H1828&amp;" "," ","|",5))-FIND("|",SUBSTITUTE($H1828&amp;" "," ","|",4))-1),""))/86400+25569+9/24,""))</f>
        <v/>
      </c>
      <c r="G1828" s="58">
        <f>TRIM(SUBSTITUTE(SUBSTITUTE(SUBSTITUTE($A1828,CHAR(9)," ")," "," "),CHAR(13),""))</f>
        <v/>
      </c>
      <c r="H1828" s="58">
        <f>IF($G1828="","",IF(ISNUMBER(FIND(" ",$G1828)),$G1828,IFERROR(IF((LEN(SUBSTITUTE(SUBSTITUTE($G1828,"-"," ",LEN($G1828)-LEN(SUBSTITUTE($G1828,"-",""))),"-"," ",LEN($G1828)-LEN(SUBSTITUTE($G1828,"-",""))-1))-LEN(SUBSTITUTE(SUBSTITUTE(SUBSTITUTE($G1828,"-"," ",LEN($G1828)-LEN(SUBSTITUTE($G1828,"-",""))),"-"," ",LEN($G1828)-LEN(SUBSTITUTE($G1828,"-",""))-1),".","")))=0,SUBSTITUTE(SUBSTITUTE($G1828,"-"," ",LEN($G1828)-LEN(SUBSTITUTE($G1828,"-",""))),"-"," ",LEN($G1828)-LEN(SUBSTITUTE($G1828,"-",""))-1),SUBSTITUTE(SUBSTITUTE(SUBSTITUTE($G1828,"-"," ",LEN($G1828)-LEN(SUBSTITUTE($G1828,"-",""))),"-"," ",LEN($G1828)-LEN(SUBSTITUTE($G1828,"-",""))-1),"."," ",(LEN(SUBSTITUTE(SUBSTITUTE($G1828,"-"," ",LEN($G1828)-LEN(SUBSTITUTE($G1828,"-",""))),"-"," ",LEN($G1828)-LEN(SUBSTITUTE($G1828,"-",""))-1))-LEN(SUBSTITUTE(SUBSTITUTE(SUBSTITUTE($G1828,"-"," ",LEN($G1828)-LEN(SUBSTITUTE($G1828,"-",""))),"-"," ",LEN($G1828)-LEN(SUBSTITUTE($G1828,"-",""))-1),".",""))))),$G1828)))</f>
        <v/>
      </c>
    </row>
    <row r="1829">
      <c r="A1829" s="58" t="n"/>
      <c r="B1829" s="58">
        <f>IF($H1829="","",LEFT($H1829,FIND(" ",$H1829&amp;" ")-1))</f>
        <v/>
      </c>
      <c r="C1829" s="58">
        <f>IF($H1829="","",IFERROR(MID($H1829&amp;" ",FIND("|",SUBSTITUTE($H1829&amp;" "," ","|",1))+1,FIND("|",SUBSTITUTE($H1829&amp;" "," ","|",2))-FIND("|",SUBSTITUTE($H1829&amp;" "," ","|",1))-1),""))</f>
        <v/>
      </c>
      <c r="D1829" s="58">
        <f>IF($H1829="","",IFERROR(MID($H1829&amp;" ",FIND("|",SUBSTITUTE($H1829&amp;" "," ","|",2))+1,FIND("|",SUBSTITUTE($H1829&amp;" "," ","|",3))-FIND("|",SUBSTITUTE($H1829&amp;" "," ","|",2))-1),""))</f>
        <v/>
      </c>
      <c r="E1829" s="58">
        <f>IF($H1829="","",IFERROR(MID($H1829&amp;" ",FIND("|",SUBSTITUTE($H1829&amp;" "," ","|",3))+1,FIND("|",SUBSTITUTE($H1829&amp;" "," ","|",4))-FIND("|",SUBSTITUTE($H1829&amp;" "," ","|",3))-1),""))</f>
        <v/>
      </c>
      <c r="F1829" s="59">
        <f>IF($H1829="","",IFERROR(VALUE(IFERROR(MID($H1829&amp;" ",FIND("|",SUBSTITUTE($H1829&amp;" "," ","|",4))+1,FIND("|",SUBSTITUTE($H1829&amp;" "," ","|",5))-FIND("|",SUBSTITUTE($H1829&amp;" "," ","|",4))-1),""))/86400+25569+9/24,""))</f>
        <v/>
      </c>
      <c r="G1829" s="58">
        <f>TRIM(SUBSTITUTE(SUBSTITUTE(SUBSTITUTE($A1829,CHAR(9)," ")," "," "),CHAR(13),""))</f>
        <v/>
      </c>
      <c r="H1829" s="58">
        <f>IF($G1829="","",IF(ISNUMBER(FIND(" ",$G1829)),$G1829,IFERROR(IF((LEN(SUBSTITUTE(SUBSTITUTE($G1829,"-"," ",LEN($G1829)-LEN(SUBSTITUTE($G1829,"-",""))),"-"," ",LEN($G1829)-LEN(SUBSTITUTE($G1829,"-",""))-1))-LEN(SUBSTITUTE(SUBSTITUTE(SUBSTITUTE($G1829,"-"," ",LEN($G1829)-LEN(SUBSTITUTE($G1829,"-",""))),"-"," ",LEN($G1829)-LEN(SUBSTITUTE($G1829,"-",""))-1),".","")))=0,SUBSTITUTE(SUBSTITUTE($G1829,"-"," ",LEN($G1829)-LEN(SUBSTITUTE($G1829,"-",""))),"-"," ",LEN($G1829)-LEN(SUBSTITUTE($G1829,"-",""))-1),SUBSTITUTE(SUBSTITUTE(SUBSTITUTE($G1829,"-"," ",LEN($G1829)-LEN(SUBSTITUTE($G1829,"-",""))),"-"," ",LEN($G1829)-LEN(SUBSTITUTE($G1829,"-",""))-1),"."," ",(LEN(SUBSTITUTE(SUBSTITUTE($G1829,"-"," ",LEN($G1829)-LEN(SUBSTITUTE($G1829,"-",""))),"-"," ",LEN($G1829)-LEN(SUBSTITUTE($G1829,"-",""))-1))-LEN(SUBSTITUTE(SUBSTITUTE(SUBSTITUTE($G1829,"-"," ",LEN($G1829)-LEN(SUBSTITUTE($G1829,"-",""))),"-"," ",LEN($G1829)-LEN(SUBSTITUTE($G1829,"-",""))-1),".",""))))),$G1829)))</f>
        <v/>
      </c>
    </row>
    <row r="1830">
      <c r="A1830" s="58" t="n"/>
      <c r="B1830" s="58">
        <f>IF($H1830="","",LEFT($H1830,FIND(" ",$H1830&amp;" ")-1))</f>
        <v/>
      </c>
      <c r="C1830" s="58">
        <f>IF($H1830="","",IFERROR(MID($H1830&amp;" ",FIND("|",SUBSTITUTE($H1830&amp;" "," ","|",1))+1,FIND("|",SUBSTITUTE($H1830&amp;" "," ","|",2))-FIND("|",SUBSTITUTE($H1830&amp;" "," ","|",1))-1),""))</f>
        <v/>
      </c>
      <c r="D1830" s="58">
        <f>IF($H1830="","",IFERROR(MID($H1830&amp;" ",FIND("|",SUBSTITUTE($H1830&amp;" "," ","|",2))+1,FIND("|",SUBSTITUTE($H1830&amp;" "," ","|",3))-FIND("|",SUBSTITUTE($H1830&amp;" "," ","|",2))-1),""))</f>
        <v/>
      </c>
      <c r="E1830" s="58">
        <f>IF($H1830="","",IFERROR(MID($H1830&amp;" ",FIND("|",SUBSTITUTE($H1830&amp;" "," ","|",3))+1,FIND("|",SUBSTITUTE($H1830&amp;" "," ","|",4))-FIND("|",SUBSTITUTE($H1830&amp;" "," ","|",3))-1),""))</f>
        <v/>
      </c>
      <c r="F1830" s="59">
        <f>IF($H1830="","",IFERROR(VALUE(IFERROR(MID($H1830&amp;" ",FIND("|",SUBSTITUTE($H1830&amp;" "," ","|",4))+1,FIND("|",SUBSTITUTE($H1830&amp;" "," ","|",5))-FIND("|",SUBSTITUTE($H1830&amp;" "," ","|",4))-1),""))/86400+25569+9/24,""))</f>
        <v/>
      </c>
      <c r="G1830" s="58">
        <f>TRIM(SUBSTITUTE(SUBSTITUTE(SUBSTITUTE($A1830,CHAR(9)," ")," "," "),CHAR(13),""))</f>
        <v/>
      </c>
      <c r="H1830" s="58">
        <f>IF($G1830="","",IF(ISNUMBER(FIND(" ",$G1830)),$G1830,IFERROR(IF((LEN(SUBSTITUTE(SUBSTITUTE($G1830,"-"," ",LEN($G1830)-LEN(SUBSTITUTE($G1830,"-",""))),"-"," ",LEN($G1830)-LEN(SUBSTITUTE($G1830,"-",""))-1))-LEN(SUBSTITUTE(SUBSTITUTE(SUBSTITUTE($G1830,"-"," ",LEN($G1830)-LEN(SUBSTITUTE($G1830,"-",""))),"-"," ",LEN($G1830)-LEN(SUBSTITUTE($G1830,"-",""))-1),".","")))=0,SUBSTITUTE(SUBSTITUTE($G1830,"-"," ",LEN($G1830)-LEN(SUBSTITUTE($G1830,"-",""))),"-"," ",LEN($G1830)-LEN(SUBSTITUTE($G1830,"-",""))-1),SUBSTITUTE(SUBSTITUTE(SUBSTITUTE($G1830,"-"," ",LEN($G1830)-LEN(SUBSTITUTE($G1830,"-",""))),"-"," ",LEN($G1830)-LEN(SUBSTITUTE($G1830,"-",""))-1),"."," ",(LEN(SUBSTITUTE(SUBSTITUTE($G1830,"-"," ",LEN($G1830)-LEN(SUBSTITUTE($G1830,"-",""))),"-"," ",LEN($G1830)-LEN(SUBSTITUTE($G1830,"-",""))-1))-LEN(SUBSTITUTE(SUBSTITUTE(SUBSTITUTE($G1830,"-"," ",LEN($G1830)-LEN(SUBSTITUTE($G1830,"-",""))),"-"," ",LEN($G1830)-LEN(SUBSTITUTE($G1830,"-",""))-1),".",""))))),$G1830)))</f>
        <v/>
      </c>
    </row>
    <row r="1831">
      <c r="A1831" s="58" t="n"/>
      <c r="B1831" s="58">
        <f>IF($H1831="","",LEFT($H1831,FIND(" ",$H1831&amp;" ")-1))</f>
        <v/>
      </c>
      <c r="C1831" s="58">
        <f>IF($H1831="","",IFERROR(MID($H1831&amp;" ",FIND("|",SUBSTITUTE($H1831&amp;" "," ","|",1))+1,FIND("|",SUBSTITUTE($H1831&amp;" "," ","|",2))-FIND("|",SUBSTITUTE($H1831&amp;" "," ","|",1))-1),""))</f>
        <v/>
      </c>
      <c r="D1831" s="58">
        <f>IF($H1831="","",IFERROR(MID($H1831&amp;" ",FIND("|",SUBSTITUTE($H1831&amp;" "," ","|",2))+1,FIND("|",SUBSTITUTE($H1831&amp;" "," ","|",3))-FIND("|",SUBSTITUTE($H1831&amp;" "," ","|",2))-1),""))</f>
        <v/>
      </c>
      <c r="E1831" s="58">
        <f>IF($H1831="","",IFERROR(MID($H1831&amp;" ",FIND("|",SUBSTITUTE($H1831&amp;" "," ","|",3))+1,FIND("|",SUBSTITUTE($H1831&amp;" "," ","|",4))-FIND("|",SUBSTITUTE($H1831&amp;" "," ","|",3))-1),""))</f>
        <v/>
      </c>
      <c r="F1831" s="59">
        <f>IF($H1831="","",IFERROR(VALUE(IFERROR(MID($H1831&amp;" ",FIND("|",SUBSTITUTE($H1831&amp;" "," ","|",4))+1,FIND("|",SUBSTITUTE($H1831&amp;" "," ","|",5))-FIND("|",SUBSTITUTE($H1831&amp;" "," ","|",4))-1),""))/86400+25569+9/24,""))</f>
        <v/>
      </c>
      <c r="G1831" s="58">
        <f>TRIM(SUBSTITUTE(SUBSTITUTE(SUBSTITUTE($A1831,CHAR(9)," ")," "," "),CHAR(13),""))</f>
        <v/>
      </c>
      <c r="H1831" s="58">
        <f>IF($G1831="","",IF(ISNUMBER(FIND(" ",$G1831)),$G1831,IFERROR(IF((LEN(SUBSTITUTE(SUBSTITUTE($G1831,"-"," ",LEN($G1831)-LEN(SUBSTITUTE($G1831,"-",""))),"-"," ",LEN($G1831)-LEN(SUBSTITUTE($G1831,"-",""))-1))-LEN(SUBSTITUTE(SUBSTITUTE(SUBSTITUTE($G1831,"-"," ",LEN($G1831)-LEN(SUBSTITUTE($G1831,"-",""))),"-"," ",LEN($G1831)-LEN(SUBSTITUTE($G1831,"-",""))-1),".","")))=0,SUBSTITUTE(SUBSTITUTE($G1831,"-"," ",LEN($G1831)-LEN(SUBSTITUTE($G1831,"-",""))),"-"," ",LEN($G1831)-LEN(SUBSTITUTE($G1831,"-",""))-1),SUBSTITUTE(SUBSTITUTE(SUBSTITUTE($G1831,"-"," ",LEN($G1831)-LEN(SUBSTITUTE($G1831,"-",""))),"-"," ",LEN($G1831)-LEN(SUBSTITUTE($G1831,"-",""))-1),"."," ",(LEN(SUBSTITUTE(SUBSTITUTE($G1831,"-"," ",LEN($G1831)-LEN(SUBSTITUTE($G1831,"-",""))),"-"," ",LEN($G1831)-LEN(SUBSTITUTE($G1831,"-",""))-1))-LEN(SUBSTITUTE(SUBSTITUTE(SUBSTITUTE($G1831,"-"," ",LEN($G1831)-LEN(SUBSTITUTE($G1831,"-",""))),"-"," ",LEN($G1831)-LEN(SUBSTITUTE($G1831,"-",""))-1),".",""))))),$G1831)))</f>
        <v/>
      </c>
    </row>
    <row r="1832">
      <c r="A1832" s="58" t="n"/>
      <c r="B1832" s="58">
        <f>IF($H1832="","",LEFT($H1832,FIND(" ",$H1832&amp;" ")-1))</f>
        <v/>
      </c>
      <c r="C1832" s="58">
        <f>IF($H1832="","",IFERROR(MID($H1832&amp;" ",FIND("|",SUBSTITUTE($H1832&amp;" "," ","|",1))+1,FIND("|",SUBSTITUTE($H1832&amp;" "," ","|",2))-FIND("|",SUBSTITUTE($H1832&amp;" "," ","|",1))-1),""))</f>
        <v/>
      </c>
      <c r="D1832" s="58">
        <f>IF($H1832="","",IFERROR(MID($H1832&amp;" ",FIND("|",SUBSTITUTE($H1832&amp;" "," ","|",2))+1,FIND("|",SUBSTITUTE($H1832&amp;" "," ","|",3))-FIND("|",SUBSTITUTE($H1832&amp;" "," ","|",2))-1),""))</f>
        <v/>
      </c>
      <c r="E1832" s="58">
        <f>IF($H1832="","",IFERROR(MID($H1832&amp;" ",FIND("|",SUBSTITUTE($H1832&amp;" "," ","|",3))+1,FIND("|",SUBSTITUTE($H1832&amp;" "," ","|",4))-FIND("|",SUBSTITUTE($H1832&amp;" "," ","|",3))-1),""))</f>
        <v/>
      </c>
      <c r="F1832" s="59">
        <f>IF($H1832="","",IFERROR(VALUE(IFERROR(MID($H1832&amp;" ",FIND("|",SUBSTITUTE($H1832&amp;" "," ","|",4))+1,FIND("|",SUBSTITUTE($H1832&amp;" "," ","|",5))-FIND("|",SUBSTITUTE($H1832&amp;" "," ","|",4))-1),""))/86400+25569+9/24,""))</f>
        <v/>
      </c>
      <c r="G1832" s="58">
        <f>TRIM(SUBSTITUTE(SUBSTITUTE(SUBSTITUTE($A1832,CHAR(9)," ")," "," "),CHAR(13),""))</f>
        <v/>
      </c>
      <c r="H1832" s="58">
        <f>IF($G1832="","",IF(ISNUMBER(FIND(" ",$G1832)),$G1832,IFERROR(IF((LEN(SUBSTITUTE(SUBSTITUTE($G1832,"-"," ",LEN($G1832)-LEN(SUBSTITUTE($G1832,"-",""))),"-"," ",LEN($G1832)-LEN(SUBSTITUTE($G1832,"-",""))-1))-LEN(SUBSTITUTE(SUBSTITUTE(SUBSTITUTE($G1832,"-"," ",LEN($G1832)-LEN(SUBSTITUTE($G1832,"-",""))),"-"," ",LEN($G1832)-LEN(SUBSTITUTE($G1832,"-",""))-1),".","")))=0,SUBSTITUTE(SUBSTITUTE($G1832,"-"," ",LEN($G1832)-LEN(SUBSTITUTE($G1832,"-",""))),"-"," ",LEN($G1832)-LEN(SUBSTITUTE($G1832,"-",""))-1),SUBSTITUTE(SUBSTITUTE(SUBSTITUTE($G1832,"-"," ",LEN($G1832)-LEN(SUBSTITUTE($G1832,"-",""))),"-"," ",LEN($G1832)-LEN(SUBSTITUTE($G1832,"-",""))-1),"."," ",(LEN(SUBSTITUTE(SUBSTITUTE($G1832,"-"," ",LEN($G1832)-LEN(SUBSTITUTE($G1832,"-",""))),"-"," ",LEN($G1832)-LEN(SUBSTITUTE($G1832,"-",""))-1))-LEN(SUBSTITUTE(SUBSTITUTE(SUBSTITUTE($G1832,"-"," ",LEN($G1832)-LEN(SUBSTITUTE($G1832,"-",""))),"-"," ",LEN($G1832)-LEN(SUBSTITUTE($G1832,"-",""))-1),".",""))))),$G1832)))</f>
        <v/>
      </c>
    </row>
    <row r="1833">
      <c r="A1833" s="58" t="n"/>
      <c r="B1833" s="58">
        <f>IF($H1833="","",LEFT($H1833,FIND(" ",$H1833&amp;" ")-1))</f>
        <v/>
      </c>
      <c r="C1833" s="58">
        <f>IF($H1833="","",IFERROR(MID($H1833&amp;" ",FIND("|",SUBSTITUTE($H1833&amp;" "," ","|",1))+1,FIND("|",SUBSTITUTE($H1833&amp;" "," ","|",2))-FIND("|",SUBSTITUTE($H1833&amp;" "," ","|",1))-1),""))</f>
        <v/>
      </c>
      <c r="D1833" s="58">
        <f>IF($H1833="","",IFERROR(MID($H1833&amp;" ",FIND("|",SUBSTITUTE($H1833&amp;" "," ","|",2))+1,FIND("|",SUBSTITUTE($H1833&amp;" "," ","|",3))-FIND("|",SUBSTITUTE($H1833&amp;" "," ","|",2))-1),""))</f>
        <v/>
      </c>
      <c r="E1833" s="58">
        <f>IF($H1833="","",IFERROR(MID($H1833&amp;" ",FIND("|",SUBSTITUTE($H1833&amp;" "," ","|",3))+1,FIND("|",SUBSTITUTE($H1833&amp;" "," ","|",4))-FIND("|",SUBSTITUTE($H1833&amp;" "," ","|",3))-1),""))</f>
        <v/>
      </c>
      <c r="F1833" s="59">
        <f>IF($H1833="","",IFERROR(VALUE(IFERROR(MID($H1833&amp;" ",FIND("|",SUBSTITUTE($H1833&amp;" "," ","|",4))+1,FIND("|",SUBSTITUTE($H1833&amp;" "," ","|",5))-FIND("|",SUBSTITUTE($H1833&amp;" "," ","|",4))-1),""))/86400+25569+9/24,""))</f>
        <v/>
      </c>
      <c r="G1833" s="58">
        <f>TRIM(SUBSTITUTE(SUBSTITUTE(SUBSTITUTE($A1833,CHAR(9)," ")," "," "),CHAR(13),""))</f>
        <v/>
      </c>
      <c r="H1833" s="58">
        <f>IF($G1833="","",IF(ISNUMBER(FIND(" ",$G1833)),$G1833,IFERROR(IF((LEN(SUBSTITUTE(SUBSTITUTE($G1833,"-"," ",LEN($G1833)-LEN(SUBSTITUTE($G1833,"-",""))),"-"," ",LEN($G1833)-LEN(SUBSTITUTE($G1833,"-",""))-1))-LEN(SUBSTITUTE(SUBSTITUTE(SUBSTITUTE($G1833,"-"," ",LEN($G1833)-LEN(SUBSTITUTE($G1833,"-",""))),"-"," ",LEN($G1833)-LEN(SUBSTITUTE($G1833,"-",""))-1),".","")))=0,SUBSTITUTE(SUBSTITUTE($G1833,"-"," ",LEN($G1833)-LEN(SUBSTITUTE($G1833,"-",""))),"-"," ",LEN($G1833)-LEN(SUBSTITUTE($G1833,"-",""))-1),SUBSTITUTE(SUBSTITUTE(SUBSTITUTE($G1833,"-"," ",LEN($G1833)-LEN(SUBSTITUTE($G1833,"-",""))),"-"," ",LEN($G1833)-LEN(SUBSTITUTE($G1833,"-",""))-1),"."," ",(LEN(SUBSTITUTE(SUBSTITUTE($G1833,"-"," ",LEN($G1833)-LEN(SUBSTITUTE($G1833,"-",""))),"-"," ",LEN($G1833)-LEN(SUBSTITUTE($G1833,"-",""))-1))-LEN(SUBSTITUTE(SUBSTITUTE(SUBSTITUTE($G1833,"-"," ",LEN($G1833)-LEN(SUBSTITUTE($G1833,"-",""))),"-"," ",LEN($G1833)-LEN(SUBSTITUTE($G1833,"-",""))-1),".",""))))),$G1833)))</f>
        <v/>
      </c>
    </row>
    <row r="1834">
      <c r="A1834" s="58" t="n"/>
      <c r="B1834" s="58">
        <f>IF($H1834="","",LEFT($H1834,FIND(" ",$H1834&amp;" ")-1))</f>
        <v/>
      </c>
      <c r="C1834" s="58">
        <f>IF($H1834="","",IFERROR(MID($H1834&amp;" ",FIND("|",SUBSTITUTE($H1834&amp;" "," ","|",1))+1,FIND("|",SUBSTITUTE($H1834&amp;" "," ","|",2))-FIND("|",SUBSTITUTE($H1834&amp;" "," ","|",1))-1),""))</f>
        <v/>
      </c>
      <c r="D1834" s="58">
        <f>IF($H1834="","",IFERROR(MID($H1834&amp;" ",FIND("|",SUBSTITUTE($H1834&amp;" "," ","|",2))+1,FIND("|",SUBSTITUTE($H1834&amp;" "," ","|",3))-FIND("|",SUBSTITUTE($H1834&amp;" "," ","|",2))-1),""))</f>
        <v/>
      </c>
      <c r="E1834" s="58">
        <f>IF($H1834="","",IFERROR(MID($H1834&amp;" ",FIND("|",SUBSTITUTE($H1834&amp;" "," ","|",3))+1,FIND("|",SUBSTITUTE($H1834&amp;" "," ","|",4))-FIND("|",SUBSTITUTE($H1834&amp;" "," ","|",3))-1),""))</f>
        <v/>
      </c>
      <c r="F1834" s="59">
        <f>IF($H1834="","",IFERROR(VALUE(IFERROR(MID($H1834&amp;" ",FIND("|",SUBSTITUTE($H1834&amp;" "," ","|",4))+1,FIND("|",SUBSTITUTE($H1834&amp;" "," ","|",5))-FIND("|",SUBSTITUTE($H1834&amp;" "," ","|",4))-1),""))/86400+25569+9/24,""))</f>
        <v/>
      </c>
      <c r="G1834" s="58">
        <f>TRIM(SUBSTITUTE(SUBSTITUTE(SUBSTITUTE($A1834,CHAR(9)," ")," "," "),CHAR(13),""))</f>
        <v/>
      </c>
      <c r="H1834" s="58">
        <f>IF($G1834="","",IF(ISNUMBER(FIND(" ",$G1834)),$G1834,IFERROR(IF((LEN(SUBSTITUTE(SUBSTITUTE($G1834,"-"," ",LEN($G1834)-LEN(SUBSTITUTE($G1834,"-",""))),"-"," ",LEN($G1834)-LEN(SUBSTITUTE($G1834,"-",""))-1))-LEN(SUBSTITUTE(SUBSTITUTE(SUBSTITUTE($G1834,"-"," ",LEN($G1834)-LEN(SUBSTITUTE($G1834,"-",""))),"-"," ",LEN($G1834)-LEN(SUBSTITUTE($G1834,"-",""))-1),".","")))=0,SUBSTITUTE(SUBSTITUTE($G1834,"-"," ",LEN($G1834)-LEN(SUBSTITUTE($G1834,"-",""))),"-"," ",LEN($G1834)-LEN(SUBSTITUTE($G1834,"-",""))-1),SUBSTITUTE(SUBSTITUTE(SUBSTITUTE($G1834,"-"," ",LEN($G1834)-LEN(SUBSTITUTE($G1834,"-",""))),"-"," ",LEN($G1834)-LEN(SUBSTITUTE($G1834,"-",""))-1),"."," ",(LEN(SUBSTITUTE(SUBSTITUTE($G1834,"-"," ",LEN($G1834)-LEN(SUBSTITUTE($G1834,"-",""))),"-"," ",LEN($G1834)-LEN(SUBSTITUTE($G1834,"-",""))-1))-LEN(SUBSTITUTE(SUBSTITUTE(SUBSTITUTE($G1834,"-"," ",LEN($G1834)-LEN(SUBSTITUTE($G1834,"-",""))),"-"," ",LEN($G1834)-LEN(SUBSTITUTE($G1834,"-",""))-1),".",""))))),$G1834)))</f>
        <v/>
      </c>
    </row>
    <row r="1835">
      <c r="A1835" s="58" t="n"/>
      <c r="B1835" s="58">
        <f>IF($H1835="","",LEFT($H1835,FIND(" ",$H1835&amp;" ")-1))</f>
        <v/>
      </c>
      <c r="C1835" s="58">
        <f>IF($H1835="","",IFERROR(MID($H1835&amp;" ",FIND("|",SUBSTITUTE($H1835&amp;" "," ","|",1))+1,FIND("|",SUBSTITUTE($H1835&amp;" "," ","|",2))-FIND("|",SUBSTITUTE($H1835&amp;" "," ","|",1))-1),""))</f>
        <v/>
      </c>
      <c r="D1835" s="58">
        <f>IF($H1835="","",IFERROR(MID($H1835&amp;" ",FIND("|",SUBSTITUTE($H1835&amp;" "," ","|",2))+1,FIND("|",SUBSTITUTE($H1835&amp;" "," ","|",3))-FIND("|",SUBSTITUTE($H1835&amp;" "," ","|",2))-1),""))</f>
        <v/>
      </c>
      <c r="E1835" s="58">
        <f>IF($H1835="","",IFERROR(MID($H1835&amp;" ",FIND("|",SUBSTITUTE($H1835&amp;" "," ","|",3))+1,FIND("|",SUBSTITUTE($H1835&amp;" "," ","|",4))-FIND("|",SUBSTITUTE($H1835&amp;" "," ","|",3))-1),""))</f>
        <v/>
      </c>
      <c r="F1835" s="59">
        <f>IF($H1835="","",IFERROR(VALUE(IFERROR(MID($H1835&amp;" ",FIND("|",SUBSTITUTE($H1835&amp;" "," ","|",4))+1,FIND("|",SUBSTITUTE($H1835&amp;" "," ","|",5))-FIND("|",SUBSTITUTE($H1835&amp;" "," ","|",4))-1),""))/86400+25569+9/24,""))</f>
        <v/>
      </c>
      <c r="G1835" s="58">
        <f>TRIM(SUBSTITUTE(SUBSTITUTE(SUBSTITUTE($A1835,CHAR(9)," ")," "," "),CHAR(13),""))</f>
        <v/>
      </c>
      <c r="H1835" s="58">
        <f>IF($G1835="","",IF(ISNUMBER(FIND(" ",$G1835)),$G1835,IFERROR(IF((LEN(SUBSTITUTE(SUBSTITUTE($G1835,"-"," ",LEN($G1835)-LEN(SUBSTITUTE($G1835,"-",""))),"-"," ",LEN($G1835)-LEN(SUBSTITUTE($G1835,"-",""))-1))-LEN(SUBSTITUTE(SUBSTITUTE(SUBSTITUTE($G1835,"-"," ",LEN($G1835)-LEN(SUBSTITUTE($G1835,"-",""))),"-"," ",LEN($G1835)-LEN(SUBSTITUTE($G1835,"-",""))-1),".","")))=0,SUBSTITUTE(SUBSTITUTE($G1835,"-"," ",LEN($G1835)-LEN(SUBSTITUTE($G1835,"-",""))),"-"," ",LEN($G1835)-LEN(SUBSTITUTE($G1835,"-",""))-1),SUBSTITUTE(SUBSTITUTE(SUBSTITUTE($G1835,"-"," ",LEN($G1835)-LEN(SUBSTITUTE($G1835,"-",""))),"-"," ",LEN($G1835)-LEN(SUBSTITUTE($G1835,"-",""))-1),"."," ",(LEN(SUBSTITUTE(SUBSTITUTE($G1835,"-"," ",LEN($G1835)-LEN(SUBSTITUTE($G1835,"-",""))),"-"," ",LEN($G1835)-LEN(SUBSTITUTE($G1835,"-",""))-1))-LEN(SUBSTITUTE(SUBSTITUTE(SUBSTITUTE($G1835,"-"," ",LEN($G1835)-LEN(SUBSTITUTE($G1835,"-",""))),"-"," ",LEN($G1835)-LEN(SUBSTITUTE($G1835,"-",""))-1),".",""))))),$G1835)))</f>
        <v/>
      </c>
    </row>
    <row r="1836">
      <c r="A1836" s="58" t="n"/>
      <c r="B1836" s="58">
        <f>IF($H1836="","",LEFT($H1836,FIND(" ",$H1836&amp;" ")-1))</f>
        <v/>
      </c>
      <c r="C1836" s="58">
        <f>IF($H1836="","",IFERROR(MID($H1836&amp;" ",FIND("|",SUBSTITUTE($H1836&amp;" "," ","|",1))+1,FIND("|",SUBSTITUTE($H1836&amp;" "," ","|",2))-FIND("|",SUBSTITUTE($H1836&amp;" "," ","|",1))-1),""))</f>
        <v/>
      </c>
      <c r="D1836" s="58">
        <f>IF($H1836="","",IFERROR(MID($H1836&amp;" ",FIND("|",SUBSTITUTE($H1836&amp;" "," ","|",2))+1,FIND("|",SUBSTITUTE($H1836&amp;" "," ","|",3))-FIND("|",SUBSTITUTE($H1836&amp;" "," ","|",2))-1),""))</f>
        <v/>
      </c>
      <c r="E1836" s="58">
        <f>IF($H1836="","",IFERROR(MID($H1836&amp;" ",FIND("|",SUBSTITUTE($H1836&amp;" "," ","|",3))+1,FIND("|",SUBSTITUTE($H1836&amp;" "," ","|",4))-FIND("|",SUBSTITUTE($H1836&amp;" "," ","|",3))-1),""))</f>
        <v/>
      </c>
      <c r="F1836" s="59">
        <f>IF($H1836="","",IFERROR(VALUE(IFERROR(MID($H1836&amp;" ",FIND("|",SUBSTITUTE($H1836&amp;" "," ","|",4))+1,FIND("|",SUBSTITUTE($H1836&amp;" "," ","|",5))-FIND("|",SUBSTITUTE($H1836&amp;" "," ","|",4))-1),""))/86400+25569+9/24,""))</f>
        <v/>
      </c>
      <c r="G1836" s="58">
        <f>TRIM(SUBSTITUTE(SUBSTITUTE(SUBSTITUTE($A1836,CHAR(9)," ")," "," "),CHAR(13),""))</f>
        <v/>
      </c>
      <c r="H1836" s="58">
        <f>IF($G1836="","",IF(ISNUMBER(FIND(" ",$G1836)),$G1836,IFERROR(IF((LEN(SUBSTITUTE(SUBSTITUTE($G1836,"-"," ",LEN($G1836)-LEN(SUBSTITUTE($G1836,"-",""))),"-"," ",LEN($G1836)-LEN(SUBSTITUTE($G1836,"-",""))-1))-LEN(SUBSTITUTE(SUBSTITUTE(SUBSTITUTE($G1836,"-"," ",LEN($G1836)-LEN(SUBSTITUTE($G1836,"-",""))),"-"," ",LEN($G1836)-LEN(SUBSTITUTE($G1836,"-",""))-1),".","")))=0,SUBSTITUTE(SUBSTITUTE($G1836,"-"," ",LEN($G1836)-LEN(SUBSTITUTE($G1836,"-",""))),"-"," ",LEN($G1836)-LEN(SUBSTITUTE($G1836,"-",""))-1),SUBSTITUTE(SUBSTITUTE(SUBSTITUTE($G1836,"-"," ",LEN($G1836)-LEN(SUBSTITUTE($G1836,"-",""))),"-"," ",LEN($G1836)-LEN(SUBSTITUTE($G1836,"-",""))-1),"."," ",(LEN(SUBSTITUTE(SUBSTITUTE($G1836,"-"," ",LEN($G1836)-LEN(SUBSTITUTE($G1836,"-",""))),"-"," ",LEN($G1836)-LEN(SUBSTITUTE($G1836,"-",""))-1))-LEN(SUBSTITUTE(SUBSTITUTE(SUBSTITUTE($G1836,"-"," ",LEN($G1836)-LEN(SUBSTITUTE($G1836,"-",""))),"-"," ",LEN($G1836)-LEN(SUBSTITUTE($G1836,"-",""))-1),".",""))))),$G1836)))</f>
        <v/>
      </c>
    </row>
    <row r="1837">
      <c r="A1837" s="58" t="n"/>
      <c r="B1837" s="58">
        <f>IF($H1837="","",LEFT($H1837,FIND(" ",$H1837&amp;" ")-1))</f>
        <v/>
      </c>
      <c r="C1837" s="58">
        <f>IF($H1837="","",IFERROR(MID($H1837&amp;" ",FIND("|",SUBSTITUTE($H1837&amp;" "," ","|",1))+1,FIND("|",SUBSTITUTE($H1837&amp;" "," ","|",2))-FIND("|",SUBSTITUTE($H1837&amp;" "," ","|",1))-1),""))</f>
        <v/>
      </c>
      <c r="D1837" s="58">
        <f>IF($H1837="","",IFERROR(MID($H1837&amp;" ",FIND("|",SUBSTITUTE($H1837&amp;" "," ","|",2))+1,FIND("|",SUBSTITUTE($H1837&amp;" "," ","|",3))-FIND("|",SUBSTITUTE($H1837&amp;" "," ","|",2))-1),""))</f>
        <v/>
      </c>
      <c r="E1837" s="58">
        <f>IF($H1837="","",IFERROR(MID($H1837&amp;" ",FIND("|",SUBSTITUTE($H1837&amp;" "," ","|",3))+1,FIND("|",SUBSTITUTE($H1837&amp;" "," ","|",4))-FIND("|",SUBSTITUTE($H1837&amp;" "," ","|",3))-1),""))</f>
        <v/>
      </c>
      <c r="F1837" s="59">
        <f>IF($H1837="","",IFERROR(VALUE(IFERROR(MID($H1837&amp;" ",FIND("|",SUBSTITUTE($H1837&amp;" "," ","|",4))+1,FIND("|",SUBSTITUTE($H1837&amp;" "," ","|",5))-FIND("|",SUBSTITUTE($H1837&amp;" "," ","|",4))-1),""))/86400+25569+9/24,""))</f>
        <v/>
      </c>
      <c r="G1837" s="58">
        <f>TRIM(SUBSTITUTE(SUBSTITUTE(SUBSTITUTE($A1837,CHAR(9)," ")," "," "),CHAR(13),""))</f>
        <v/>
      </c>
      <c r="H1837" s="58">
        <f>IF($G1837="","",IF(ISNUMBER(FIND(" ",$G1837)),$G1837,IFERROR(IF((LEN(SUBSTITUTE(SUBSTITUTE($G1837,"-"," ",LEN($G1837)-LEN(SUBSTITUTE($G1837,"-",""))),"-"," ",LEN($G1837)-LEN(SUBSTITUTE($G1837,"-",""))-1))-LEN(SUBSTITUTE(SUBSTITUTE(SUBSTITUTE($G1837,"-"," ",LEN($G1837)-LEN(SUBSTITUTE($G1837,"-",""))),"-"," ",LEN($G1837)-LEN(SUBSTITUTE($G1837,"-",""))-1),".","")))=0,SUBSTITUTE(SUBSTITUTE($G1837,"-"," ",LEN($G1837)-LEN(SUBSTITUTE($G1837,"-",""))),"-"," ",LEN($G1837)-LEN(SUBSTITUTE($G1837,"-",""))-1),SUBSTITUTE(SUBSTITUTE(SUBSTITUTE($G1837,"-"," ",LEN($G1837)-LEN(SUBSTITUTE($G1837,"-",""))),"-"," ",LEN($G1837)-LEN(SUBSTITUTE($G1837,"-",""))-1),"."," ",(LEN(SUBSTITUTE(SUBSTITUTE($G1837,"-"," ",LEN($G1837)-LEN(SUBSTITUTE($G1837,"-",""))),"-"," ",LEN($G1837)-LEN(SUBSTITUTE($G1837,"-",""))-1))-LEN(SUBSTITUTE(SUBSTITUTE(SUBSTITUTE($G1837,"-"," ",LEN($G1837)-LEN(SUBSTITUTE($G1837,"-",""))),"-"," ",LEN($G1837)-LEN(SUBSTITUTE($G1837,"-",""))-1),".",""))))),$G1837)))</f>
        <v/>
      </c>
    </row>
    <row r="1838">
      <c r="A1838" s="58" t="n"/>
      <c r="B1838" s="58">
        <f>IF($H1838="","",LEFT($H1838,FIND(" ",$H1838&amp;" ")-1))</f>
        <v/>
      </c>
      <c r="C1838" s="58">
        <f>IF($H1838="","",IFERROR(MID($H1838&amp;" ",FIND("|",SUBSTITUTE($H1838&amp;" "," ","|",1))+1,FIND("|",SUBSTITUTE($H1838&amp;" "," ","|",2))-FIND("|",SUBSTITUTE($H1838&amp;" "," ","|",1))-1),""))</f>
        <v/>
      </c>
      <c r="D1838" s="58">
        <f>IF($H1838="","",IFERROR(MID($H1838&amp;" ",FIND("|",SUBSTITUTE($H1838&amp;" "," ","|",2))+1,FIND("|",SUBSTITUTE($H1838&amp;" "," ","|",3))-FIND("|",SUBSTITUTE($H1838&amp;" "," ","|",2))-1),""))</f>
        <v/>
      </c>
      <c r="E1838" s="58">
        <f>IF($H1838="","",IFERROR(MID($H1838&amp;" ",FIND("|",SUBSTITUTE($H1838&amp;" "," ","|",3))+1,FIND("|",SUBSTITUTE($H1838&amp;" "," ","|",4))-FIND("|",SUBSTITUTE($H1838&amp;" "," ","|",3))-1),""))</f>
        <v/>
      </c>
      <c r="F1838" s="59">
        <f>IF($H1838="","",IFERROR(VALUE(IFERROR(MID($H1838&amp;" ",FIND("|",SUBSTITUTE($H1838&amp;" "," ","|",4))+1,FIND("|",SUBSTITUTE($H1838&amp;" "," ","|",5))-FIND("|",SUBSTITUTE($H1838&amp;" "," ","|",4))-1),""))/86400+25569+9/24,""))</f>
        <v/>
      </c>
      <c r="G1838" s="58">
        <f>TRIM(SUBSTITUTE(SUBSTITUTE(SUBSTITUTE($A1838,CHAR(9)," ")," "," "),CHAR(13),""))</f>
        <v/>
      </c>
      <c r="H1838" s="58">
        <f>IF($G1838="","",IF(ISNUMBER(FIND(" ",$G1838)),$G1838,IFERROR(IF((LEN(SUBSTITUTE(SUBSTITUTE($G1838,"-"," ",LEN($G1838)-LEN(SUBSTITUTE($G1838,"-",""))),"-"," ",LEN($G1838)-LEN(SUBSTITUTE($G1838,"-",""))-1))-LEN(SUBSTITUTE(SUBSTITUTE(SUBSTITUTE($G1838,"-"," ",LEN($G1838)-LEN(SUBSTITUTE($G1838,"-",""))),"-"," ",LEN($G1838)-LEN(SUBSTITUTE($G1838,"-",""))-1),".","")))=0,SUBSTITUTE(SUBSTITUTE($G1838,"-"," ",LEN($G1838)-LEN(SUBSTITUTE($G1838,"-",""))),"-"," ",LEN($G1838)-LEN(SUBSTITUTE($G1838,"-",""))-1),SUBSTITUTE(SUBSTITUTE(SUBSTITUTE($G1838,"-"," ",LEN($G1838)-LEN(SUBSTITUTE($G1838,"-",""))),"-"," ",LEN($G1838)-LEN(SUBSTITUTE($G1838,"-",""))-1),"."," ",(LEN(SUBSTITUTE(SUBSTITUTE($G1838,"-"," ",LEN($G1838)-LEN(SUBSTITUTE($G1838,"-",""))),"-"," ",LEN($G1838)-LEN(SUBSTITUTE($G1838,"-",""))-1))-LEN(SUBSTITUTE(SUBSTITUTE(SUBSTITUTE($G1838,"-"," ",LEN($G1838)-LEN(SUBSTITUTE($G1838,"-",""))),"-"," ",LEN($G1838)-LEN(SUBSTITUTE($G1838,"-",""))-1),".",""))))),$G1838)))</f>
        <v/>
      </c>
    </row>
    <row r="1839">
      <c r="A1839" s="58" t="n"/>
      <c r="B1839" s="58">
        <f>IF($H1839="","",LEFT($H1839,FIND(" ",$H1839&amp;" ")-1))</f>
        <v/>
      </c>
      <c r="C1839" s="58">
        <f>IF($H1839="","",IFERROR(MID($H1839&amp;" ",FIND("|",SUBSTITUTE($H1839&amp;" "," ","|",1))+1,FIND("|",SUBSTITUTE($H1839&amp;" "," ","|",2))-FIND("|",SUBSTITUTE($H1839&amp;" "," ","|",1))-1),""))</f>
        <v/>
      </c>
      <c r="D1839" s="58">
        <f>IF($H1839="","",IFERROR(MID($H1839&amp;" ",FIND("|",SUBSTITUTE($H1839&amp;" "," ","|",2))+1,FIND("|",SUBSTITUTE($H1839&amp;" "," ","|",3))-FIND("|",SUBSTITUTE($H1839&amp;" "," ","|",2))-1),""))</f>
        <v/>
      </c>
      <c r="E1839" s="58">
        <f>IF($H1839="","",IFERROR(MID($H1839&amp;" ",FIND("|",SUBSTITUTE($H1839&amp;" "," ","|",3))+1,FIND("|",SUBSTITUTE($H1839&amp;" "," ","|",4))-FIND("|",SUBSTITUTE($H1839&amp;" "," ","|",3))-1),""))</f>
        <v/>
      </c>
      <c r="F1839" s="59">
        <f>IF($H1839="","",IFERROR(VALUE(IFERROR(MID($H1839&amp;" ",FIND("|",SUBSTITUTE($H1839&amp;" "," ","|",4))+1,FIND("|",SUBSTITUTE($H1839&amp;" "," ","|",5))-FIND("|",SUBSTITUTE($H1839&amp;" "," ","|",4))-1),""))/86400+25569+9/24,""))</f>
        <v/>
      </c>
      <c r="G1839" s="58">
        <f>TRIM(SUBSTITUTE(SUBSTITUTE(SUBSTITUTE($A1839,CHAR(9)," ")," "," "),CHAR(13),""))</f>
        <v/>
      </c>
      <c r="H1839" s="58">
        <f>IF($G1839="","",IF(ISNUMBER(FIND(" ",$G1839)),$G1839,IFERROR(IF((LEN(SUBSTITUTE(SUBSTITUTE($G1839,"-"," ",LEN($G1839)-LEN(SUBSTITUTE($G1839,"-",""))),"-"," ",LEN($G1839)-LEN(SUBSTITUTE($G1839,"-",""))-1))-LEN(SUBSTITUTE(SUBSTITUTE(SUBSTITUTE($G1839,"-"," ",LEN($G1839)-LEN(SUBSTITUTE($G1839,"-",""))),"-"," ",LEN($G1839)-LEN(SUBSTITUTE($G1839,"-",""))-1),".","")))=0,SUBSTITUTE(SUBSTITUTE($G1839,"-"," ",LEN($G1839)-LEN(SUBSTITUTE($G1839,"-",""))),"-"," ",LEN($G1839)-LEN(SUBSTITUTE($G1839,"-",""))-1),SUBSTITUTE(SUBSTITUTE(SUBSTITUTE($G1839,"-"," ",LEN($G1839)-LEN(SUBSTITUTE($G1839,"-",""))),"-"," ",LEN($G1839)-LEN(SUBSTITUTE($G1839,"-",""))-1),"."," ",(LEN(SUBSTITUTE(SUBSTITUTE($G1839,"-"," ",LEN($G1839)-LEN(SUBSTITUTE($G1839,"-",""))),"-"," ",LEN($G1839)-LEN(SUBSTITUTE($G1839,"-",""))-1))-LEN(SUBSTITUTE(SUBSTITUTE(SUBSTITUTE($G1839,"-"," ",LEN($G1839)-LEN(SUBSTITUTE($G1839,"-",""))),"-"," ",LEN($G1839)-LEN(SUBSTITUTE($G1839,"-",""))-1),".",""))))),$G1839)))</f>
        <v/>
      </c>
    </row>
    <row r="1840">
      <c r="A1840" s="58" t="n"/>
      <c r="B1840" s="58">
        <f>IF($H1840="","",LEFT($H1840,FIND(" ",$H1840&amp;" ")-1))</f>
        <v/>
      </c>
      <c r="C1840" s="58">
        <f>IF($H1840="","",IFERROR(MID($H1840&amp;" ",FIND("|",SUBSTITUTE($H1840&amp;" "," ","|",1))+1,FIND("|",SUBSTITUTE($H1840&amp;" "," ","|",2))-FIND("|",SUBSTITUTE($H1840&amp;" "," ","|",1))-1),""))</f>
        <v/>
      </c>
      <c r="D1840" s="58">
        <f>IF($H1840="","",IFERROR(MID($H1840&amp;" ",FIND("|",SUBSTITUTE($H1840&amp;" "," ","|",2))+1,FIND("|",SUBSTITUTE($H1840&amp;" "," ","|",3))-FIND("|",SUBSTITUTE($H1840&amp;" "," ","|",2))-1),""))</f>
        <v/>
      </c>
      <c r="E1840" s="58">
        <f>IF($H1840="","",IFERROR(MID($H1840&amp;" ",FIND("|",SUBSTITUTE($H1840&amp;" "," ","|",3))+1,FIND("|",SUBSTITUTE($H1840&amp;" "," ","|",4))-FIND("|",SUBSTITUTE($H1840&amp;" "," ","|",3))-1),""))</f>
        <v/>
      </c>
      <c r="F1840" s="59">
        <f>IF($H1840="","",IFERROR(VALUE(IFERROR(MID($H1840&amp;" ",FIND("|",SUBSTITUTE($H1840&amp;" "," ","|",4))+1,FIND("|",SUBSTITUTE($H1840&amp;" "," ","|",5))-FIND("|",SUBSTITUTE($H1840&amp;" "," ","|",4))-1),""))/86400+25569+9/24,""))</f>
        <v/>
      </c>
      <c r="G1840" s="58">
        <f>TRIM(SUBSTITUTE(SUBSTITUTE(SUBSTITUTE($A1840,CHAR(9)," ")," "," "),CHAR(13),""))</f>
        <v/>
      </c>
      <c r="H1840" s="58">
        <f>IF($G1840="","",IF(ISNUMBER(FIND(" ",$G1840)),$G1840,IFERROR(IF((LEN(SUBSTITUTE(SUBSTITUTE($G1840,"-"," ",LEN($G1840)-LEN(SUBSTITUTE($G1840,"-",""))),"-"," ",LEN($G1840)-LEN(SUBSTITUTE($G1840,"-",""))-1))-LEN(SUBSTITUTE(SUBSTITUTE(SUBSTITUTE($G1840,"-"," ",LEN($G1840)-LEN(SUBSTITUTE($G1840,"-",""))),"-"," ",LEN($G1840)-LEN(SUBSTITUTE($G1840,"-",""))-1),".","")))=0,SUBSTITUTE(SUBSTITUTE($G1840,"-"," ",LEN($G1840)-LEN(SUBSTITUTE($G1840,"-",""))),"-"," ",LEN($G1840)-LEN(SUBSTITUTE($G1840,"-",""))-1),SUBSTITUTE(SUBSTITUTE(SUBSTITUTE($G1840,"-"," ",LEN($G1840)-LEN(SUBSTITUTE($G1840,"-",""))),"-"," ",LEN($G1840)-LEN(SUBSTITUTE($G1840,"-",""))-1),"."," ",(LEN(SUBSTITUTE(SUBSTITUTE($G1840,"-"," ",LEN($G1840)-LEN(SUBSTITUTE($G1840,"-",""))),"-"," ",LEN($G1840)-LEN(SUBSTITUTE($G1840,"-",""))-1))-LEN(SUBSTITUTE(SUBSTITUTE(SUBSTITUTE($G1840,"-"," ",LEN($G1840)-LEN(SUBSTITUTE($G1840,"-",""))),"-"," ",LEN($G1840)-LEN(SUBSTITUTE($G1840,"-",""))-1),".",""))))),$G1840)))</f>
        <v/>
      </c>
    </row>
    <row r="1841">
      <c r="A1841" s="58" t="n"/>
      <c r="B1841" s="58">
        <f>IF($H1841="","",LEFT($H1841,FIND(" ",$H1841&amp;" ")-1))</f>
        <v/>
      </c>
      <c r="C1841" s="58">
        <f>IF($H1841="","",IFERROR(MID($H1841&amp;" ",FIND("|",SUBSTITUTE($H1841&amp;" "," ","|",1))+1,FIND("|",SUBSTITUTE($H1841&amp;" "," ","|",2))-FIND("|",SUBSTITUTE($H1841&amp;" "," ","|",1))-1),""))</f>
        <v/>
      </c>
      <c r="D1841" s="58">
        <f>IF($H1841="","",IFERROR(MID($H1841&amp;" ",FIND("|",SUBSTITUTE($H1841&amp;" "," ","|",2))+1,FIND("|",SUBSTITUTE($H1841&amp;" "," ","|",3))-FIND("|",SUBSTITUTE($H1841&amp;" "," ","|",2))-1),""))</f>
        <v/>
      </c>
      <c r="E1841" s="58">
        <f>IF($H1841="","",IFERROR(MID($H1841&amp;" ",FIND("|",SUBSTITUTE($H1841&amp;" "," ","|",3))+1,FIND("|",SUBSTITUTE($H1841&amp;" "," ","|",4))-FIND("|",SUBSTITUTE($H1841&amp;" "," ","|",3))-1),""))</f>
        <v/>
      </c>
      <c r="F1841" s="59">
        <f>IF($H1841="","",IFERROR(VALUE(IFERROR(MID($H1841&amp;" ",FIND("|",SUBSTITUTE($H1841&amp;" "," ","|",4))+1,FIND("|",SUBSTITUTE($H1841&amp;" "," ","|",5))-FIND("|",SUBSTITUTE($H1841&amp;" "," ","|",4))-1),""))/86400+25569+9/24,""))</f>
        <v/>
      </c>
      <c r="G1841" s="58">
        <f>TRIM(SUBSTITUTE(SUBSTITUTE(SUBSTITUTE($A1841,CHAR(9)," ")," "," "),CHAR(13),""))</f>
        <v/>
      </c>
      <c r="H1841" s="58">
        <f>IF($G1841="","",IF(ISNUMBER(FIND(" ",$G1841)),$G1841,IFERROR(IF((LEN(SUBSTITUTE(SUBSTITUTE($G1841,"-"," ",LEN($G1841)-LEN(SUBSTITUTE($G1841,"-",""))),"-"," ",LEN($G1841)-LEN(SUBSTITUTE($G1841,"-",""))-1))-LEN(SUBSTITUTE(SUBSTITUTE(SUBSTITUTE($G1841,"-"," ",LEN($G1841)-LEN(SUBSTITUTE($G1841,"-",""))),"-"," ",LEN($G1841)-LEN(SUBSTITUTE($G1841,"-",""))-1),".","")))=0,SUBSTITUTE(SUBSTITUTE($G1841,"-"," ",LEN($G1841)-LEN(SUBSTITUTE($G1841,"-",""))),"-"," ",LEN($G1841)-LEN(SUBSTITUTE($G1841,"-",""))-1),SUBSTITUTE(SUBSTITUTE(SUBSTITUTE($G1841,"-"," ",LEN($G1841)-LEN(SUBSTITUTE($G1841,"-",""))),"-"," ",LEN($G1841)-LEN(SUBSTITUTE($G1841,"-",""))-1),"."," ",(LEN(SUBSTITUTE(SUBSTITUTE($G1841,"-"," ",LEN($G1841)-LEN(SUBSTITUTE($G1841,"-",""))),"-"," ",LEN($G1841)-LEN(SUBSTITUTE($G1841,"-",""))-1))-LEN(SUBSTITUTE(SUBSTITUTE(SUBSTITUTE($G1841,"-"," ",LEN($G1841)-LEN(SUBSTITUTE($G1841,"-",""))),"-"," ",LEN($G1841)-LEN(SUBSTITUTE($G1841,"-",""))-1),".",""))))),$G1841)))</f>
        <v/>
      </c>
    </row>
    <row r="1842">
      <c r="A1842" s="58" t="n"/>
      <c r="B1842" s="58">
        <f>IF($H1842="","",LEFT($H1842,FIND(" ",$H1842&amp;" ")-1))</f>
        <v/>
      </c>
      <c r="C1842" s="58">
        <f>IF($H1842="","",IFERROR(MID($H1842&amp;" ",FIND("|",SUBSTITUTE($H1842&amp;" "," ","|",1))+1,FIND("|",SUBSTITUTE($H1842&amp;" "," ","|",2))-FIND("|",SUBSTITUTE($H1842&amp;" "," ","|",1))-1),""))</f>
        <v/>
      </c>
      <c r="D1842" s="58">
        <f>IF($H1842="","",IFERROR(MID($H1842&amp;" ",FIND("|",SUBSTITUTE($H1842&amp;" "," ","|",2))+1,FIND("|",SUBSTITUTE($H1842&amp;" "," ","|",3))-FIND("|",SUBSTITUTE($H1842&amp;" "," ","|",2))-1),""))</f>
        <v/>
      </c>
      <c r="E1842" s="58">
        <f>IF($H1842="","",IFERROR(MID($H1842&amp;" ",FIND("|",SUBSTITUTE($H1842&amp;" "," ","|",3))+1,FIND("|",SUBSTITUTE($H1842&amp;" "," ","|",4))-FIND("|",SUBSTITUTE($H1842&amp;" "," ","|",3))-1),""))</f>
        <v/>
      </c>
      <c r="F1842" s="59">
        <f>IF($H1842="","",IFERROR(VALUE(IFERROR(MID($H1842&amp;" ",FIND("|",SUBSTITUTE($H1842&amp;" "," ","|",4))+1,FIND("|",SUBSTITUTE($H1842&amp;" "," ","|",5))-FIND("|",SUBSTITUTE($H1842&amp;" "," ","|",4))-1),""))/86400+25569+9/24,""))</f>
        <v/>
      </c>
      <c r="G1842" s="58">
        <f>TRIM(SUBSTITUTE(SUBSTITUTE(SUBSTITUTE($A1842,CHAR(9)," ")," "," "),CHAR(13),""))</f>
        <v/>
      </c>
      <c r="H1842" s="58">
        <f>IF($G1842="","",IF(ISNUMBER(FIND(" ",$G1842)),$G1842,IFERROR(IF((LEN(SUBSTITUTE(SUBSTITUTE($G1842,"-"," ",LEN($G1842)-LEN(SUBSTITUTE($G1842,"-",""))),"-"," ",LEN($G1842)-LEN(SUBSTITUTE($G1842,"-",""))-1))-LEN(SUBSTITUTE(SUBSTITUTE(SUBSTITUTE($G1842,"-"," ",LEN($G1842)-LEN(SUBSTITUTE($G1842,"-",""))),"-"," ",LEN($G1842)-LEN(SUBSTITUTE($G1842,"-",""))-1),".","")))=0,SUBSTITUTE(SUBSTITUTE($G1842,"-"," ",LEN($G1842)-LEN(SUBSTITUTE($G1842,"-",""))),"-"," ",LEN($G1842)-LEN(SUBSTITUTE($G1842,"-",""))-1),SUBSTITUTE(SUBSTITUTE(SUBSTITUTE($G1842,"-"," ",LEN($G1842)-LEN(SUBSTITUTE($G1842,"-",""))),"-"," ",LEN($G1842)-LEN(SUBSTITUTE($G1842,"-",""))-1),"."," ",(LEN(SUBSTITUTE(SUBSTITUTE($G1842,"-"," ",LEN($G1842)-LEN(SUBSTITUTE($G1842,"-",""))),"-"," ",LEN($G1842)-LEN(SUBSTITUTE($G1842,"-",""))-1))-LEN(SUBSTITUTE(SUBSTITUTE(SUBSTITUTE($G1842,"-"," ",LEN($G1842)-LEN(SUBSTITUTE($G1842,"-",""))),"-"," ",LEN($G1842)-LEN(SUBSTITUTE($G1842,"-",""))-1),".",""))))),$G1842)))</f>
        <v/>
      </c>
    </row>
    <row r="1843">
      <c r="A1843" s="58" t="n"/>
      <c r="B1843" s="58">
        <f>IF($H1843="","",LEFT($H1843,FIND(" ",$H1843&amp;" ")-1))</f>
        <v/>
      </c>
      <c r="C1843" s="58">
        <f>IF($H1843="","",IFERROR(MID($H1843&amp;" ",FIND("|",SUBSTITUTE($H1843&amp;" "," ","|",1))+1,FIND("|",SUBSTITUTE($H1843&amp;" "," ","|",2))-FIND("|",SUBSTITUTE($H1843&amp;" "," ","|",1))-1),""))</f>
        <v/>
      </c>
      <c r="D1843" s="58">
        <f>IF($H1843="","",IFERROR(MID($H1843&amp;" ",FIND("|",SUBSTITUTE($H1843&amp;" "," ","|",2))+1,FIND("|",SUBSTITUTE($H1843&amp;" "," ","|",3))-FIND("|",SUBSTITUTE($H1843&amp;" "," ","|",2))-1),""))</f>
        <v/>
      </c>
      <c r="E1843" s="58">
        <f>IF($H1843="","",IFERROR(MID($H1843&amp;" ",FIND("|",SUBSTITUTE($H1843&amp;" "," ","|",3))+1,FIND("|",SUBSTITUTE($H1843&amp;" "," ","|",4))-FIND("|",SUBSTITUTE($H1843&amp;" "," ","|",3))-1),""))</f>
        <v/>
      </c>
      <c r="F1843" s="59">
        <f>IF($H1843="","",IFERROR(VALUE(IFERROR(MID($H1843&amp;" ",FIND("|",SUBSTITUTE($H1843&amp;" "," ","|",4))+1,FIND("|",SUBSTITUTE($H1843&amp;" "," ","|",5))-FIND("|",SUBSTITUTE($H1843&amp;" "," ","|",4))-1),""))/86400+25569+9/24,""))</f>
        <v/>
      </c>
      <c r="G1843" s="58">
        <f>TRIM(SUBSTITUTE(SUBSTITUTE(SUBSTITUTE($A1843,CHAR(9)," ")," "," "),CHAR(13),""))</f>
        <v/>
      </c>
      <c r="H1843" s="58">
        <f>IF($G1843="","",IF(ISNUMBER(FIND(" ",$G1843)),$G1843,IFERROR(IF((LEN(SUBSTITUTE(SUBSTITUTE($G1843,"-"," ",LEN($G1843)-LEN(SUBSTITUTE($G1843,"-",""))),"-"," ",LEN($G1843)-LEN(SUBSTITUTE($G1843,"-",""))-1))-LEN(SUBSTITUTE(SUBSTITUTE(SUBSTITUTE($G1843,"-"," ",LEN($G1843)-LEN(SUBSTITUTE($G1843,"-",""))),"-"," ",LEN($G1843)-LEN(SUBSTITUTE($G1843,"-",""))-1),".","")))=0,SUBSTITUTE(SUBSTITUTE($G1843,"-"," ",LEN($G1843)-LEN(SUBSTITUTE($G1843,"-",""))),"-"," ",LEN($G1843)-LEN(SUBSTITUTE($G1843,"-",""))-1),SUBSTITUTE(SUBSTITUTE(SUBSTITUTE($G1843,"-"," ",LEN($G1843)-LEN(SUBSTITUTE($G1843,"-",""))),"-"," ",LEN($G1843)-LEN(SUBSTITUTE($G1843,"-",""))-1),"."," ",(LEN(SUBSTITUTE(SUBSTITUTE($G1843,"-"," ",LEN($G1843)-LEN(SUBSTITUTE($G1843,"-",""))),"-"," ",LEN($G1843)-LEN(SUBSTITUTE($G1843,"-",""))-1))-LEN(SUBSTITUTE(SUBSTITUTE(SUBSTITUTE($G1843,"-"," ",LEN($G1843)-LEN(SUBSTITUTE($G1843,"-",""))),"-"," ",LEN($G1843)-LEN(SUBSTITUTE($G1843,"-",""))-1),".",""))))),$G1843)))</f>
        <v/>
      </c>
    </row>
    <row r="1844">
      <c r="A1844" s="58" t="n"/>
      <c r="B1844" s="58">
        <f>IF($H1844="","",LEFT($H1844,FIND(" ",$H1844&amp;" ")-1))</f>
        <v/>
      </c>
      <c r="C1844" s="58">
        <f>IF($H1844="","",IFERROR(MID($H1844&amp;" ",FIND("|",SUBSTITUTE($H1844&amp;" "," ","|",1))+1,FIND("|",SUBSTITUTE($H1844&amp;" "," ","|",2))-FIND("|",SUBSTITUTE($H1844&amp;" "," ","|",1))-1),""))</f>
        <v/>
      </c>
      <c r="D1844" s="58">
        <f>IF($H1844="","",IFERROR(MID($H1844&amp;" ",FIND("|",SUBSTITUTE($H1844&amp;" "," ","|",2))+1,FIND("|",SUBSTITUTE($H1844&amp;" "," ","|",3))-FIND("|",SUBSTITUTE($H1844&amp;" "," ","|",2))-1),""))</f>
        <v/>
      </c>
      <c r="E1844" s="58">
        <f>IF($H1844="","",IFERROR(MID($H1844&amp;" ",FIND("|",SUBSTITUTE($H1844&amp;" "," ","|",3))+1,FIND("|",SUBSTITUTE($H1844&amp;" "," ","|",4))-FIND("|",SUBSTITUTE($H1844&amp;" "," ","|",3))-1),""))</f>
        <v/>
      </c>
      <c r="F1844" s="59">
        <f>IF($H1844="","",IFERROR(VALUE(IFERROR(MID($H1844&amp;" ",FIND("|",SUBSTITUTE($H1844&amp;" "," ","|",4))+1,FIND("|",SUBSTITUTE($H1844&amp;" "," ","|",5))-FIND("|",SUBSTITUTE($H1844&amp;" "," ","|",4))-1),""))/86400+25569+9/24,""))</f>
        <v/>
      </c>
      <c r="G1844" s="58">
        <f>TRIM(SUBSTITUTE(SUBSTITUTE(SUBSTITUTE($A1844,CHAR(9)," ")," "," "),CHAR(13),""))</f>
        <v/>
      </c>
      <c r="H1844" s="58">
        <f>IF($G1844="","",IF(ISNUMBER(FIND(" ",$G1844)),$G1844,IFERROR(IF((LEN(SUBSTITUTE(SUBSTITUTE($G1844,"-"," ",LEN($G1844)-LEN(SUBSTITUTE($G1844,"-",""))),"-"," ",LEN($G1844)-LEN(SUBSTITUTE($G1844,"-",""))-1))-LEN(SUBSTITUTE(SUBSTITUTE(SUBSTITUTE($G1844,"-"," ",LEN($G1844)-LEN(SUBSTITUTE($G1844,"-",""))),"-"," ",LEN($G1844)-LEN(SUBSTITUTE($G1844,"-",""))-1),".","")))=0,SUBSTITUTE(SUBSTITUTE($G1844,"-"," ",LEN($G1844)-LEN(SUBSTITUTE($G1844,"-",""))),"-"," ",LEN($G1844)-LEN(SUBSTITUTE($G1844,"-",""))-1),SUBSTITUTE(SUBSTITUTE(SUBSTITUTE($G1844,"-"," ",LEN($G1844)-LEN(SUBSTITUTE($G1844,"-",""))),"-"," ",LEN($G1844)-LEN(SUBSTITUTE($G1844,"-",""))-1),"."," ",(LEN(SUBSTITUTE(SUBSTITUTE($G1844,"-"," ",LEN($G1844)-LEN(SUBSTITUTE($G1844,"-",""))),"-"," ",LEN($G1844)-LEN(SUBSTITUTE($G1844,"-",""))-1))-LEN(SUBSTITUTE(SUBSTITUTE(SUBSTITUTE($G1844,"-"," ",LEN($G1844)-LEN(SUBSTITUTE($G1844,"-",""))),"-"," ",LEN($G1844)-LEN(SUBSTITUTE($G1844,"-",""))-1),".",""))))),$G1844)))</f>
        <v/>
      </c>
    </row>
    <row r="1845">
      <c r="A1845" s="58" t="n"/>
      <c r="B1845" s="58">
        <f>IF($H1845="","",LEFT($H1845,FIND(" ",$H1845&amp;" ")-1))</f>
        <v/>
      </c>
      <c r="C1845" s="58">
        <f>IF($H1845="","",IFERROR(MID($H1845&amp;" ",FIND("|",SUBSTITUTE($H1845&amp;" "," ","|",1))+1,FIND("|",SUBSTITUTE($H1845&amp;" "," ","|",2))-FIND("|",SUBSTITUTE($H1845&amp;" "," ","|",1))-1),""))</f>
        <v/>
      </c>
      <c r="D1845" s="58">
        <f>IF($H1845="","",IFERROR(MID($H1845&amp;" ",FIND("|",SUBSTITUTE($H1845&amp;" "," ","|",2))+1,FIND("|",SUBSTITUTE($H1845&amp;" "," ","|",3))-FIND("|",SUBSTITUTE($H1845&amp;" "," ","|",2))-1),""))</f>
        <v/>
      </c>
      <c r="E1845" s="58">
        <f>IF($H1845="","",IFERROR(MID($H1845&amp;" ",FIND("|",SUBSTITUTE($H1845&amp;" "," ","|",3))+1,FIND("|",SUBSTITUTE($H1845&amp;" "," ","|",4))-FIND("|",SUBSTITUTE($H1845&amp;" "," ","|",3))-1),""))</f>
        <v/>
      </c>
      <c r="F1845" s="59">
        <f>IF($H1845="","",IFERROR(VALUE(IFERROR(MID($H1845&amp;" ",FIND("|",SUBSTITUTE($H1845&amp;" "," ","|",4))+1,FIND("|",SUBSTITUTE($H1845&amp;" "," ","|",5))-FIND("|",SUBSTITUTE($H1845&amp;" "," ","|",4))-1),""))/86400+25569+9/24,""))</f>
        <v/>
      </c>
      <c r="G1845" s="58">
        <f>TRIM(SUBSTITUTE(SUBSTITUTE(SUBSTITUTE($A1845,CHAR(9)," ")," "," "),CHAR(13),""))</f>
        <v/>
      </c>
      <c r="H1845" s="58">
        <f>IF($G1845="","",IF(ISNUMBER(FIND(" ",$G1845)),$G1845,IFERROR(IF((LEN(SUBSTITUTE(SUBSTITUTE($G1845,"-"," ",LEN($G1845)-LEN(SUBSTITUTE($G1845,"-",""))),"-"," ",LEN($G1845)-LEN(SUBSTITUTE($G1845,"-",""))-1))-LEN(SUBSTITUTE(SUBSTITUTE(SUBSTITUTE($G1845,"-"," ",LEN($G1845)-LEN(SUBSTITUTE($G1845,"-",""))),"-"," ",LEN($G1845)-LEN(SUBSTITUTE($G1845,"-",""))-1),".","")))=0,SUBSTITUTE(SUBSTITUTE($G1845,"-"," ",LEN($G1845)-LEN(SUBSTITUTE($G1845,"-",""))),"-"," ",LEN($G1845)-LEN(SUBSTITUTE($G1845,"-",""))-1),SUBSTITUTE(SUBSTITUTE(SUBSTITUTE($G1845,"-"," ",LEN($G1845)-LEN(SUBSTITUTE($G1845,"-",""))),"-"," ",LEN($G1845)-LEN(SUBSTITUTE($G1845,"-",""))-1),"."," ",(LEN(SUBSTITUTE(SUBSTITUTE($G1845,"-"," ",LEN($G1845)-LEN(SUBSTITUTE($G1845,"-",""))),"-"," ",LEN($G1845)-LEN(SUBSTITUTE($G1845,"-",""))-1))-LEN(SUBSTITUTE(SUBSTITUTE(SUBSTITUTE($G1845,"-"," ",LEN($G1845)-LEN(SUBSTITUTE($G1845,"-",""))),"-"," ",LEN($G1845)-LEN(SUBSTITUTE($G1845,"-",""))-1),".",""))))),$G1845)))</f>
        <v/>
      </c>
    </row>
    <row r="1846">
      <c r="A1846" s="58" t="n"/>
      <c r="B1846" s="58">
        <f>IF($H1846="","",LEFT($H1846,FIND(" ",$H1846&amp;" ")-1))</f>
        <v/>
      </c>
      <c r="C1846" s="58">
        <f>IF($H1846="","",IFERROR(MID($H1846&amp;" ",FIND("|",SUBSTITUTE($H1846&amp;" "," ","|",1))+1,FIND("|",SUBSTITUTE($H1846&amp;" "," ","|",2))-FIND("|",SUBSTITUTE($H1846&amp;" "," ","|",1))-1),""))</f>
        <v/>
      </c>
      <c r="D1846" s="58">
        <f>IF($H1846="","",IFERROR(MID($H1846&amp;" ",FIND("|",SUBSTITUTE($H1846&amp;" "," ","|",2))+1,FIND("|",SUBSTITUTE($H1846&amp;" "," ","|",3))-FIND("|",SUBSTITUTE($H1846&amp;" "," ","|",2))-1),""))</f>
        <v/>
      </c>
      <c r="E1846" s="58">
        <f>IF($H1846="","",IFERROR(MID($H1846&amp;" ",FIND("|",SUBSTITUTE($H1846&amp;" "," ","|",3))+1,FIND("|",SUBSTITUTE($H1846&amp;" "," ","|",4))-FIND("|",SUBSTITUTE($H1846&amp;" "," ","|",3))-1),""))</f>
        <v/>
      </c>
      <c r="F1846" s="59">
        <f>IF($H1846="","",IFERROR(VALUE(IFERROR(MID($H1846&amp;" ",FIND("|",SUBSTITUTE($H1846&amp;" "," ","|",4))+1,FIND("|",SUBSTITUTE($H1846&amp;" "," ","|",5))-FIND("|",SUBSTITUTE($H1846&amp;" "," ","|",4))-1),""))/86400+25569+9/24,""))</f>
        <v/>
      </c>
      <c r="G1846" s="58">
        <f>TRIM(SUBSTITUTE(SUBSTITUTE(SUBSTITUTE($A1846,CHAR(9)," ")," "," "),CHAR(13),""))</f>
        <v/>
      </c>
      <c r="H1846" s="58">
        <f>IF($G1846="","",IF(ISNUMBER(FIND(" ",$G1846)),$G1846,IFERROR(IF((LEN(SUBSTITUTE(SUBSTITUTE($G1846,"-"," ",LEN($G1846)-LEN(SUBSTITUTE($G1846,"-",""))),"-"," ",LEN($G1846)-LEN(SUBSTITUTE($G1846,"-",""))-1))-LEN(SUBSTITUTE(SUBSTITUTE(SUBSTITUTE($G1846,"-"," ",LEN($G1846)-LEN(SUBSTITUTE($G1846,"-",""))),"-"," ",LEN($G1846)-LEN(SUBSTITUTE($G1846,"-",""))-1),".","")))=0,SUBSTITUTE(SUBSTITUTE($G1846,"-"," ",LEN($G1846)-LEN(SUBSTITUTE($G1846,"-",""))),"-"," ",LEN($G1846)-LEN(SUBSTITUTE($G1846,"-",""))-1),SUBSTITUTE(SUBSTITUTE(SUBSTITUTE($G1846,"-"," ",LEN($G1846)-LEN(SUBSTITUTE($G1846,"-",""))),"-"," ",LEN($G1846)-LEN(SUBSTITUTE($G1846,"-",""))-1),"."," ",(LEN(SUBSTITUTE(SUBSTITUTE($G1846,"-"," ",LEN($G1846)-LEN(SUBSTITUTE($G1846,"-",""))),"-"," ",LEN($G1846)-LEN(SUBSTITUTE($G1846,"-",""))-1))-LEN(SUBSTITUTE(SUBSTITUTE(SUBSTITUTE($G1846,"-"," ",LEN($G1846)-LEN(SUBSTITUTE($G1846,"-",""))),"-"," ",LEN($G1846)-LEN(SUBSTITUTE($G1846,"-",""))-1),".",""))))),$G1846)))</f>
        <v/>
      </c>
    </row>
    <row r="1847">
      <c r="A1847" s="58" t="n"/>
      <c r="B1847" s="58">
        <f>IF($H1847="","",LEFT($H1847,FIND(" ",$H1847&amp;" ")-1))</f>
        <v/>
      </c>
      <c r="C1847" s="58">
        <f>IF($H1847="","",IFERROR(MID($H1847&amp;" ",FIND("|",SUBSTITUTE($H1847&amp;" "," ","|",1))+1,FIND("|",SUBSTITUTE($H1847&amp;" "," ","|",2))-FIND("|",SUBSTITUTE($H1847&amp;" "," ","|",1))-1),""))</f>
        <v/>
      </c>
      <c r="D1847" s="58">
        <f>IF($H1847="","",IFERROR(MID($H1847&amp;" ",FIND("|",SUBSTITUTE($H1847&amp;" "," ","|",2))+1,FIND("|",SUBSTITUTE($H1847&amp;" "," ","|",3))-FIND("|",SUBSTITUTE($H1847&amp;" "," ","|",2))-1),""))</f>
        <v/>
      </c>
      <c r="E1847" s="58">
        <f>IF($H1847="","",IFERROR(MID($H1847&amp;" ",FIND("|",SUBSTITUTE($H1847&amp;" "," ","|",3))+1,FIND("|",SUBSTITUTE($H1847&amp;" "," ","|",4))-FIND("|",SUBSTITUTE($H1847&amp;" "," ","|",3))-1),""))</f>
        <v/>
      </c>
      <c r="F1847" s="59">
        <f>IF($H1847="","",IFERROR(VALUE(IFERROR(MID($H1847&amp;" ",FIND("|",SUBSTITUTE($H1847&amp;" "," ","|",4))+1,FIND("|",SUBSTITUTE($H1847&amp;" "," ","|",5))-FIND("|",SUBSTITUTE($H1847&amp;" "," ","|",4))-1),""))/86400+25569+9/24,""))</f>
        <v/>
      </c>
      <c r="G1847" s="58">
        <f>TRIM(SUBSTITUTE(SUBSTITUTE(SUBSTITUTE($A1847,CHAR(9)," ")," "," "),CHAR(13),""))</f>
        <v/>
      </c>
      <c r="H1847" s="58">
        <f>IF($G1847="","",IF(ISNUMBER(FIND(" ",$G1847)),$G1847,IFERROR(IF((LEN(SUBSTITUTE(SUBSTITUTE($G1847,"-"," ",LEN($G1847)-LEN(SUBSTITUTE($G1847,"-",""))),"-"," ",LEN($G1847)-LEN(SUBSTITUTE($G1847,"-",""))-1))-LEN(SUBSTITUTE(SUBSTITUTE(SUBSTITUTE($G1847,"-"," ",LEN($G1847)-LEN(SUBSTITUTE($G1847,"-",""))),"-"," ",LEN($G1847)-LEN(SUBSTITUTE($G1847,"-",""))-1),".","")))=0,SUBSTITUTE(SUBSTITUTE($G1847,"-"," ",LEN($G1847)-LEN(SUBSTITUTE($G1847,"-",""))),"-"," ",LEN($G1847)-LEN(SUBSTITUTE($G1847,"-",""))-1),SUBSTITUTE(SUBSTITUTE(SUBSTITUTE($G1847,"-"," ",LEN($G1847)-LEN(SUBSTITUTE($G1847,"-",""))),"-"," ",LEN($G1847)-LEN(SUBSTITUTE($G1847,"-",""))-1),"."," ",(LEN(SUBSTITUTE(SUBSTITUTE($G1847,"-"," ",LEN($G1847)-LEN(SUBSTITUTE($G1847,"-",""))),"-"," ",LEN($G1847)-LEN(SUBSTITUTE($G1847,"-",""))-1))-LEN(SUBSTITUTE(SUBSTITUTE(SUBSTITUTE($G1847,"-"," ",LEN($G1847)-LEN(SUBSTITUTE($G1847,"-",""))),"-"," ",LEN($G1847)-LEN(SUBSTITUTE($G1847,"-",""))-1),".",""))))),$G1847)))</f>
        <v/>
      </c>
    </row>
    <row r="1848">
      <c r="A1848" s="58" t="n"/>
      <c r="B1848" s="58">
        <f>IF($H1848="","",LEFT($H1848,FIND(" ",$H1848&amp;" ")-1))</f>
        <v/>
      </c>
      <c r="C1848" s="58">
        <f>IF($H1848="","",IFERROR(MID($H1848&amp;" ",FIND("|",SUBSTITUTE($H1848&amp;" "," ","|",1))+1,FIND("|",SUBSTITUTE($H1848&amp;" "," ","|",2))-FIND("|",SUBSTITUTE($H1848&amp;" "," ","|",1))-1),""))</f>
        <v/>
      </c>
      <c r="D1848" s="58">
        <f>IF($H1848="","",IFERROR(MID($H1848&amp;" ",FIND("|",SUBSTITUTE($H1848&amp;" "," ","|",2))+1,FIND("|",SUBSTITUTE($H1848&amp;" "," ","|",3))-FIND("|",SUBSTITUTE($H1848&amp;" "," ","|",2))-1),""))</f>
        <v/>
      </c>
      <c r="E1848" s="58">
        <f>IF($H1848="","",IFERROR(MID($H1848&amp;" ",FIND("|",SUBSTITUTE($H1848&amp;" "," ","|",3))+1,FIND("|",SUBSTITUTE($H1848&amp;" "," ","|",4))-FIND("|",SUBSTITUTE($H1848&amp;" "," ","|",3))-1),""))</f>
        <v/>
      </c>
      <c r="F1848" s="59">
        <f>IF($H1848="","",IFERROR(VALUE(IFERROR(MID($H1848&amp;" ",FIND("|",SUBSTITUTE($H1848&amp;" "," ","|",4))+1,FIND("|",SUBSTITUTE($H1848&amp;" "," ","|",5))-FIND("|",SUBSTITUTE($H1848&amp;" "," ","|",4))-1),""))/86400+25569+9/24,""))</f>
        <v/>
      </c>
      <c r="G1848" s="58">
        <f>TRIM(SUBSTITUTE(SUBSTITUTE(SUBSTITUTE($A1848,CHAR(9)," ")," "," "),CHAR(13),""))</f>
        <v/>
      </c>
      <c r="H1848" s="58">
        <f>IF($G1848="","",IF(ISNUMBER(FIND(" ",$G1848)),$G1848,IFERROR(IF((LEN(SUBSTITUTE(SUBSTITUTE($G1848,"-"," ",LEN($G1848)-LEN(SUBSTITUTE($G1848,"-",""))),"-"," ",LEN($G1848)-LEN(SUBSTITUTE($G1848,"-",""))-1))-LEN(SUBSTITUTE(SUBSTITUTE(SUBSTITUTE($G1848,"-"," ",LEN($G1848)-LEN(SUBSTITUTE($G1848,"-",""))),"-"," ",LEN($G1848)-LEN(SUBSTITUTE($G1848,"-",""))-1),".","")))=0,SUBSTITUTE(SUBSTITUTE($G1848,"-"," ",LEN($G1848)-LEN(SUBSTITUTE($G1848,"-",""))),"-"," ",LEN($G1848)-LEN(SUBSTITUTE($G1848,"-",""))-1),SUBSTITUTE(SUBSTITUTE(SUBSTITUTE($G1848,"-"," ",LEN($G1848)-LEN(SUBSTITUTE($G1848,"-",""))),"-"," ",LEN($G1848)-LEN(SUBSTITUTE($G1848,"-",""))-1),"."," ",(LEN(SUBSTITUTE(SUBSTITUTE($G1848,"-"," ",LEN($G1848)-LEN(SUBSTITUTE($G1848,"-",""))),"-"," ",LEN($G1848)-LEN(SUBSTITUTE($G1848,"-",""))-1))-LEN(SUBSTITUTE(SUBSTITUTE(SUBSTITUTE($G1848,"-"," ",LEN($G1848)-LEN(SUBSTITUTE($G1848,"-",""))),"-"," ",LEN($G1848)-LEN(SUBSTITUTE($G1848,"-",""))-1),".",""))))),$G1848)))</f>
        <v/>
      </c>
    </row>
    <row r="1849">
      <c r="A1849" s="58" t="n"/>
      <c r="B1849" s="58">
        <f>IF($H1849="","",LEFT($H1849,FIND(" ",$H1849&amp;" ")-1))</f>
        <v/>
      </c>
      <c r="C1849" s="58">
        <f>IF($H1849="","",IFERROR(MID($H1849&amp;" ",FIND("|",SUBSTITUTE($H1849&amp;" "," ","|",1))+1,FIND("|",SUBSTITUTE($H1849&amp;" "," ","|",2))-FIND("|",SUBSTITUTE($H1849&amp;" "," ","|",1))-1),""))</f>
        <v/>
      </c>
      <c r="D1849" s="58">
        <f>IF($H1849="","",IFERROR(MID($H1849&amp;" ",FIND("|",SUBSTITUTE($H1849&amp;" "," ","|",2))+1,FIND("|",SUBSTITUTE($H1849&amp;" "," ","|",3))-FIND("|",SUBSTITUTE($H1849&amp;" "," ","|",2))-1),""))</f>
        <v/>
      </c>
      <c r="E1849" s="58">
        <f>IF($H1849="","",IFERROR(MID($H1849&amp;" ",FIND("|",SUBSTITUTE($H1849&amp;" "," ","|",3))+1,FIND("|",SUBSTITUTE($H1849&amp;" "," ","|",4))-FIND("|",SUBSTITUTE($H1849&amp;" "," ","|",3))-1),""))</f>
        <v/>
      </c>
      <c r="F1849" s="59">
        <f>IF($H1849="","",IFERROR(VALUE(IFERROR(MID($H1849&amp;" ",FIND("|",SUBSTITUTE($H1849&amp;" "," ","|",4))+1,FIND("|",SUBSTITUTE($H1849&amp;" "," ","|",5))-FIND("|",SUBSTITUTE($H1849&amp;" "," ","|",4))-1),""))/86400+25569+9/24,""))</f>
        <v/>
      </c>
      <c r="G1849" s="58">
        <f>TRIM(SUBSTITUTE(SUBSTITUTE(SUBSTITUTE($A1849,CHAR(9)," ")," "," "),CHAR(13),""))</f>
        <v/>
      </c>
      <c r="H1849" s="58">
        <f>IF($G1849="","",IF(ISNUMBER(FIND(" ",$G1849)),$G1849,IFERROR(IF((LEN(SUBSTITUTE(SUBSTITUTE($G1849,"-"," ",LEN($G1849)-LEN(SUBSTITUTE($G1849,"-",""))),"-"," ",LEN($G1849)-LEN(SUBSTITUTE($G1849,"-",""))-1))-LEN(SUBSTITUTE(SUBSTITUTE(SUBSTITUTE($G1849,"-"," ",LEN($G1849)-LEN(SUBSTITUTE($G1849,"-",""))),"-"," ",LEN($G1849)-LEN(SUBSTITUTE($G1849,"-",""))-1),".","")))=0,SUBSTITUTE(SUBSTITUTE($G1849,"-"," ",LEN($G1849)-LEN(SUBSTITUTE($G1849,"-",""))),"-"," ",LEN($G1849)-LEN(SUBSTITUTE($G1849,"-",""))-1),SUBSTITUTE(SUBSTITUTE(SUBSTITUTE($G1849,"-"," ",LEN($G1849)-LEN(SUBSTITUTE($G1849,"-",""))),"-"," ",LEN($G1849)-LEN(SUBSTITUTE($G1849,"-",""))-1),"."," ",(LEN(SUBSTITUTE(SUBSTITUTE($G1849,"-"," ",LEN($G1849)-LEN(SUBSTITUTE($G1849,"-",""))),"-"," ",LEN($G1849)-LEN(SUBSTITUTE($G1849,"-",""))-1))-LEN(SUBSTITUTE(SUBSTITUTE(SUBSTITUTE($G1849,"-"," ",LEN($G1849)-LEN(SUBSTITUTE($G1849,"-",""))),"-"," ",LEN($G1849)-LEN(SUBSTITUTE($G1849,"-",""))-1),".",""))))),$G1849)))</f>
        <v/>
      </c>
    </row>
    <row r="1850">
      <c r="A1850" s="58" t="n"/>
      <c r="B1850" s="58">
        <f>IF($H1850="","",LEFT($H1850,FIND(" ",$H1850&amp;" ")-1))</f>
        <v/>
      </c>
      <c r="C1850" s="58">
        <f>IF($H1850="","",IFERROR(MID($H1850&amp;" ",FIND("|",SUBSTITUTE($H1850&amp;" "," ","|",1))+1,FIND("|",SUBSTITUTE($H1850&amp;" "," ","|",2))-FIND("|",SUBSTITUTE($H1850&amp;" "," ","|",1))-1),""))</f>
        <v/>
      </c>
      <c r="D1850" s="58">
        <f>IF($H1850="","",IFERROR(MID($H1850&amp;" ",FIND("|",SUBSTITUTE($H1850&amp;" "," ","|",2))+1,FIND("|",SUBSTITUTE($H1850&amp;" "," ","|",3))-FIND("|",SUBSTITUTE($H1850&amp;" "," ","|",2))-1),""))</f>
        <v/>
      </c>
      <c r="E1850" s="58">
        <f>IF($H1850="","",IFERROR(MID($H1850&amp;" ",FIND("|",SUBSTITUTE($H1850&amp;" "," ","|",3))+1,FIND("|",SUBSTITUTE($H1850&amp;" "," ","|",4))-FIND("|",SUBSTITUTE($H1850&amp;" "," ","|",3))-1),""))</f>
        <v/>
      </c>
      <c r="F1850" s="59">
        <f>IF($H1850="","",IFERROR(VALUE(IFERROR(MID($H1850&amp;" ",FIND("|",SUBSTITUTE($H1850&amp;" "," ","|",4))+1,FIND("|",SUBSTITUTE($H1850&amp;" "," ","|",5))-FIND("|",SUBSTITUTE($H1850&amp;" "," ","|",4))-1),""))/86400+25569+9/24,""))</f>
        <v/>
      </c>
      <c r="G1850" s="58">
        <f>TRIM(SUBSTITUTE(SUBSTITUTE(SUBSTITUTE($A1850,CHAR(9)," ")," "," "),CHAR(13),""))</f>
        <v/>
      </c>
      <c r="H1850" s="58">
        <f>IF($G1850="","",IF(ISNUMBER(FIND(" ",$G1850)),$G1850,IFERROR(IF((LEN(SUBSTITUTE(SUBSTITUTE($G1850,"-"," ",LEN($G1850)-LEN(SUBSTITUTE($G1850,"-",""))),"-"," ",LEN($G1850)-LEN(SUBSTITUTE($G1850,"-",""))-1))-LEN(SUBSTITUTE(SUBSTITUTE(SUBSTITUTE($G1850,"-"," ",LEN($G1850)-LEN(SUBSTITUTE($G1850,"-",""))),"-"," ",LEN($G1850)-LEN(SUBSTITUTE($G1850,"-",""))-1),".","")))=0,SUBSTITUTE(SUBSTITUTE($G1850,"-"," ",LEN($G1850)-LEN(SUBSTITUTE($G1850,"-",""))),"-"," ",LEN($G1850)-LEN(SUBSTITUTE($G1850,"-",""))-1),SUBSTITUTE(SUBSTITUTE(SUBSTITUTE($G1850,"-"," ",LEN($G1850)-LEN(SUBSTITUTE($G1850,"-",""))),"-"," ",LEN($G1850)-LEN(SUBSTITUTE($G1850,"-",""))-1),"."," ",(LEN(SUBSTITUTE(SUBSTITUTE($G1850,"-"," ",LEN($G1850)-LEN(SUBSTITUTE($G1850,"-",""))),"-"," ",LEN($G1850)-LEN(SUBSTITUTE($G1850,"-",""))-1))-LEN(SUBSTITUTE(SUBSTITUTE(SUBSTITUTE($G1850,"-"," ",LEN($G1850)-LEN(SUBSTITUTE($G1850,"-",""))),"-"," ",LEN($G1850)-LEN(SUBSTITUTE($G1850,"-",""))-1),".",""))))),$G1850)))</f>
        <v/>
      </c>
    </row>
    <row r="1851">
      <c r="A1851" s="58" t="n"/>
      <c r="B1851" s="58">
        <f>IF($H1851="","",LEFT($H1851,FIND(" ",$H1851&amp;" ")-1))</f>
        <v/>
      </c>
      <c r="C1851" s="58">
        <f>IF($H1851="","",IFERROR(MID($H1851&amp;" ",FIND("|",SUBSTITUTE($H1851&amp;" "," ","|",1))+1,FIND("|",SUBSTITUTE($H1851&amp;" "," ","|",2))-FIND("|",SUBSTITUTE($H1851&amp;" "," ","|",1))-1),""))</f>
        <v/>
      </c>
      <c r="D1851" s="58">
        <f>IF($H1851="","",IFERROR(MID($H1851&amp;" ",FIND("|",SUBSTITUTE($H1851&amp;" "," ","|",2))+1,FIND("|",SUBSTITUTE($H1851&amp;" "," ","|",3))-FIND("|",SUBSTITUTE($H1851&amp;" "," ","|",2))-1),""))</f>
        <v/>
      </c>
      <c r="E1851" s="58">
        <f>IF($H1851="","",IFERROR(MID($H1851&amp;" ",FIND("|",SUBSTITUTE($H1851&amp;" "," ","|",3))+1,FIND("|",SUBSTITUTE($H1851&amp;" "," ","|",4))-FIND("|",SUBSTITUTE($H1851&amp;" "," ","|",3))-1),""))</f>
        <v/>
      </c>
      <c r="F1851" s="59">
        <f>IF($H1851="","",IFERROR(VALUE(IFERROR(MID($H1851&amp;" ",FIND("|",SUBSTITUTE($H1851&amp;" "," ","|",4))+1,FIND("|",SUBSTITUTE($H1851&amp;" "," ","|",5))-FIND("|",SUBSTITUTE($H1851&amp;" "," ","|",4))-1),""))/86400+25569+9/24,""))</f>
        <v/>
      </c>
      <c r="G1851" s="58">
        <f>TRIM(SUBSTITUTE(SUBSTITUTE(SUBSTITUTE($A1851,CHAR(9)," ")," "," "),CHAR(13),""))</f>
        <v/>
      </c>
      <c r="H1851" s="58">
        <f>IF($G1851="","",IF(ISNUMBER(FIND(" ",$G1851)),$G1851,IFERROR(IF((LEN(SUBSTITUTE(SUBSTITUTE($G1851,"-"," ",LEN($G1851)-LEN(SUBSTITUTE($G1851,"-",""))),"-"," ",LEN($G1851)-LEN(SUBSTITUTE($G1851,"-",""))-1))-LEN(SUBSTITUTE(SUBSTITUTE(SUBSTITUTE($G1851,"-"," ",LEN($G1851)-LEN(SUBSTITUTE($G1851,"-",""))),"-"," ",LEN($G1851)-LEN(SUBSTITUTE($G1851,"-",""))-1),".","")))=0,SUBSTITUTE(SUBSTITUTE($G1851,"-"," ",LEN($G1851)-LEN(SUBSTITUTE($G1851,"-",""))),"-"," ",LEN($G1851)-LEN(SUBSTITUTE($G1851,"-",""))-1),SUBSTITUTE(SUBSTITUTE(SUBSTITUTE($G1851,"-"," ",LEN($G1851)-LEN(SUBSTITUTE($G1851,"-",""))),"-"," ",LEN($G1851)-LEN(SUBSTITUTE($G1851,"-",""))-1),"."," ",(LEN(SUBSTITUTE(SUBSTITUTE($G1851,"-"," ",LEN($G1851)-LEN(SUBSTITUTE($G1851,"-",""))),"-"," ",LEN($G1851)-LEN(SUBSTITUTE($G1851,"-",""))-1))-LEN(SUBSTITUTE(SUBSTITUTE(SUBSTITUTE($G1851,"-"," ",LEN($G1851)-LEN(SUBSTITUTE($G1851,"-",""))),"-"," ",LEN($G1851)-LEN(SUBSTITUTE($G1851,"-",""))-1),".",""))))),$G1851)))</f>
        <v/>
      </c>
    </row>
    <row r="1852">
      <c r="A1852" s="58" t="n"/>
      <c r="B1852" s="58">
        <f>IF($H1852="","",LEFT($H1852,FIND(" ",$H1852&amp;" ")-1))</f>
        <v/>
      </c>
      <c r="C1852" s="58">
        <f>IF($H1852="","",IFERROR(MID($H1852&amp;" ",FIND("|",SUBSTITUTE($H1852&amp;" "," ","|",1))+1,FIND("|",SUBSTITUTE($H1852&amp;" "," ","|",2))-FIND("|",SUBSTITUTE($H1852&amp;" "," ","|",1))-1),""))</f>
        <v/>
      </c>
      <c r="D1852" s="58">
        <f>IF($H1852="","",IFERROR(MID($H1852&amp;" ",FIND("|",SUBSTITUTE($H1852&amp;" "," ","|",2))+1,FIND("|",SUBSTITUTE($H1852&amp;" "," ","|",3))-FIND("|",SUBSTITUTE($H1852&amp;" "," ","|",2))-1),""))</f>
        <v/>
      </c>
      <c r="E1852" s="58">
        <f>IF($H1852="","",IFERROR(MID($H1852&amp;" ",FIND("|",SUBSTITUTE($H1852&amp;" "," ","|",3))+1,FIND("|",SUBSTITUTE($H1852&amp;" "," ","|",4))-FIND("|",SUBSTITUTE($H1852&amp;" "," ","|",3))-1),""))</f>
        <v/>
      </c>
      <c r="F1852" s="59">
        <f>IF($H1852="","",IFERROR(VALUE(IFERROR(MID($H1852&amp;" ",FIND("|",SUBSTITUTE($H1852&amp;" "," ","|",4))+1,FIND("|",SUBSTITUTE($H1852&amp;" "," ","|",5))-FIND("|",SUBSTITUTE($H1852&amp;" "," ","|",4))-1),""))/86400+25569+9/24,""))</f>
        <v/>
      </c>
      <c r="G1852" s="58">
        <f>TRIM(SUBSTITUTE(SUBSTITUTE(SUBSTITUTE($A1852,CHAR(9)," ")," "," "),CHAR(13),""))</f>
        <v/>
      </c>
      <c r="H1852" s="58">
        <f>IF($G1852="","",IF(ISNUMBER(FIND(" ",$G1852)),$G1852,IFERROR(IF((LEN(SUBSTITUTE(SUBSTITUTE($G1852,"-"," ",LEN($G1852)-LEN(SUBSTITUTE($G1852,"-",""))),"-"," ",LEN($G1852)-LEN(SUBSTITUTE($G1852,"-",""))-1))-LEN(SUBSTITUTE(SUBSTITUTE(SUBSTITUTE($G1852,"-"," ",LEN($G1852)-LEN(SUBSTITUTE($G1852,"-",""))),"-"," ",LEN($G1852)-LEN(SUBSTITUTE($G1852,"-",""))-1),".","")))=0,SUBSTITUTE(SUBSTITUTE($G1852,"-"," ",LEN($G1852)-LEN(SUBSTITUTE($G1852,"-",""))),"-"," ",LEN($G1852)-LEN(SUBSTITUTE($G1852,"-",""))-1),SUBSTITUTE(SUBSTITUTE(SUBSTITUTE($G1852,"-"," ",LEN($G1852)-LEN(SUBSTITUTE($G1852,"-",""))),"-"," ",LEN($G1852)-LEN(SUBSTITUTE($G1852,"-",""))-1),"."," ",(LEN(SUBSTITUTE(SUBSTITUTE($G1852,"-"," ",LEN($G1852)-LEN(SUBSTITUTE($G1852,"-",""))),"-"," ",LEN($G1852)-LEN(SUBSTITUTE($G1852,"-",""))-1))-LEN(SUBSTITUTE(SUBSTITUTE(SUBSTITUTE($G1852,"-"," ",LEN($G1852)-LEN(SUBSTITUTE($G1852,"-",""))),"-"," ",LEN($G1852)-LEN(SUBSTITUTE($G1852,"-",""))-1),".",""))))),$G1852)))</f>
        <v/>
      </c>
    </row>
    <row r="1853">
      <c r="A1853" s="58" t="n"/>
      <c r="B1853" s="58">
        <f>IF($H1853="","",LEFT($H1853,FIND(" ",$H1853&amp;" ")-1))</f>
        <v/>
      </c>
      <c r="C1853" s="58">
        <f>IF($H1853="","",IFERROR(MID($H1853&amp;" ",FIND("|",SUBSTITUTE($H1853&amp;" "," ","|",1))+1,FIND("|",SUBSTITUTE($H1853&amp;" "," ","|",2))-FIND("|",SUBSTITUTE($H1853&amp;" "," ","|",1))-1),""))</f>
        <v/>
      </c>
      <c r="D1853" s="58">
        <f>IF($H1853="","",IFERROR(MID($H1853&amp;" ",FIND("|",SUBSTITUTE($H1853&amp;" "," ","|",2))+1,FIND("|",SUBSTITUTE($H1853&amp;" "," ","|",3))-FIND("|",SUBSTITUTE($H1853&amp;" "," ","|",2))-1),""))</f>
        <v/>
      </c>
      <c r="E1853" s="58">
        <f>IF($H1853="","",IFERROR(MID($H1853&amp;" ",FIND("|",SUBSTITUTE($H1853&amp;" "," ","|",3))+1,FIND("|",SUBSTITUTE($H1853&amp;" "," ","|",4))-FIND("|",SUBSTITUTE($H1853&amp;" "," ","|",3))-1),""))</f>
        <v/>
      </c>
      <c r="F1853" s="59">
        <f>IF($H1853="","",IFERROR(VALUE(IFERROR(MID($H1853&amp;" ",FIND("|",SUBSTITUTE($H1853&amp;" "," ","|",4))+1,FIND("|",SUBSTITUTE($H1853&amp;" "," ","|",5))-FIND("|",SUBSTITUTE($H1853&amp;" "," ","|",4))-1),""))/86400+25569+9/24,""))</f>
        <v/>
      </c>
      <c r="G1853" s="58">
        <f>TRIM(SUBSTITUTE(SUBSTITUTE(SUBSTITUTE($A1853,CHAR(9)," ")," "," "),CHAR(13),""))</f>
        <v/>
      </c>
      <c r="H1853" s="58">
        <f>IF($G1853="","",IF(ISNUMBER(FIND(" ",$G1853)),$G1853,IFERROR(IF((LEN(SUBSTITUTE(SUBSTITUTE($G1853,"-"," ",LEN($G1853)-LEN(SUBSTITUTE($G1853,"-",""))),"-"," ",LEN($G1853)-LEN(SUBSTITUTE($G1853,"-",""))-1))-LEN(SUBSTITUTE(SUBSTITUTE(SUBSTITUTE($G1853,"-"," ",LEN($G1853)-LEN(SUBSTITUTE($G1853,"-",""))),"-"," ",LEN($G1853)-LEN(SUBSTITUTE($G1853,"-",""))-1),".","")))=0,SUBSTITUTE(SUBSTITUTE($G1853,"-"," ",LEN($G1853)-LEN(SUBSTITUTE($G1853,"-",""))),"-"," ",LEN($G1853)-LEN(SUBSTITUTE($G1853,"-",""))-1),SUBSTITUTE(SUBSTITUTE(SUBSTITUTE($G1853,"-"," ",LEN($G1853)-LEN(SUBSTITUTE($G1853,"-",""))),"-"," ",LEN($G1853)-LEN(SUBSTITUTE($G1853,"-",""))-1),"."," ",(LEN(SUBSTITUTE(SUBSTITUTE($G1853,"-"," ",LEN($G1853)-LEN(SUBSTITUTE($G1853,"-",""))),"-"," ",LEN($G1853)-LEN(SUBSTITUTE($G1853,"-",""))-1))-LEN(SUBSTITUTE(SUBSTITUTE(SUBSTITUTE($G1853,"-"," ",LEN($G1853)-LEN(SUBSTITUTE($G1853,"-",""))),"-"," ",LEN($G1853)-LEN(SUBSTITUTE($G1853,"-",""))-1),".",""))))),$G1853)))</f>
        <v/>
      </c>
    </row>
    <row r="1854">
      <c r="A1854" s="58" t="n"/>
      <c r="B1854" s="58">
        <f>IF($H1854="","",LEFT($H1854,FIND(" ",$H1854&amp;" ")-1))</f>
        <v/>
      </c>
      <c r="C1854" s="58">
        <f>IF($H1854="","",IFERROR(MID($H1854&amp;" ",FIND("|",SUBSTITUTE($H1854&amp;" "," ","|",1))+1,FIND("|",SUBSTITUTE($H1854&amp;" "," ","|",2))-FIND("|",SUBSTITUTE($H1854&amp;" "," ","|",1))-1),""))</f>
        <v/>
      </c>
      <c r="D1854" s="58">
        <f>IF($H1854="","",IFERROR(MID($H1854&amp;" ",FIND("|",SUBSTITUTE($H1854&amp;" "," ","|",2))+1,FIND("|",SUBSTITUTE($H1854&amp;" "," ","|",3))-FIND("|",SUBSTITUTE($H1854&amp;" "," ","|",2))-1),""))</f>
        <v/>
      </c>
      <c r="E1854" s="58">
        <f>IF($H1854="","",IFERROR(MID($H1854&amp;" ",FIND("|",SUBSTITUTE($H1854&amp;" "," ","|",3))+1,FIND("|",SUBSTITUTE($H1854&amp;" "," ","|",4))-FIND("|",SUBSTITUTE($H1854&amp;" "," ","|",3))-1),""))</f>
        <v/>
      </c>
      <c r="F1854" s="59">
        <f>IF($H1854="","",IFERROR(VALUE(IFERROR(MID($H1854&amp;" ",FIND("|",SUBSTITUTE($H1854&amp;" "," ","|",4))+1,FIND("|",SUBSTITUTE($H1854&amp;" "," ","|",5))-FIND("|",SUBSTITUTE($H1854&amp;" "," ","|",4))-1),""))/86400+25569+9/24,""))</f>
        <v/>
      </c>
      <c r="G1854" s="58">
        <f>TRIM(SUBSTITUTE(SUBSTITUTE(SUBSTITUTE($A1854,CHAR(9)," ")," "," "),CHAR(13),""))</f>
        <v/>
      </c>
      <c r="H1854" s="58">
        <f>IF($G1854="","",IF(ISNUMBER(FIND(" ",$G1854)),$G1854,IFERROR(IF((LEN(SUBSTITUTE(SUBSTITUTE($G1854,"-"," ",LEN($G1854)-LEN(SUBSTITUTE($G1854,"-",""))),"-"," ",LEN($G1854)-LEN(SUBSTITUTE($G1854,"-",""))-1))-LEN(SUBSTITUTE(SUBSTITUTE(SUBSTITUTE($G1854,"-"," ",LEN($G1854)-LEN(SUBSTITUTE($G1854,"-",""))),"-"," ",LEN($G1854)-LEN(SUBSTITUTE($G1854,"-",""))-1),".","")))=0,SUBSTITUTE(SUBSTITUTE($G1854,"-"," ",LEN($G1854)-LEN(SUBSTITUTE($G1854,"-",""))),"-"," ",LEN($G1854)-LEN(SUBSTITUTE($G1854,"-",""))-1),SUBSTITUTE(SUBSTITUTE(SUBSTITUTE($G1854,"-"," ",LEN($G1854)-LEN(SUBSTITUTE($G1854,"-",""))),"-"," ",LEN($G1854)-LEN(SUBSTITUTE($G1854,"-",""))-1),"."," ",(LEN(SUBSTITUTE(SUBSTITUTE($G1854,"-"," ",LEN($G1854)-LEN(SUBSTITUTE($G1854,"-",""))),"-"," ",LEN($G1854)-LEN(SUBSTITUTE($G1854,"-",""))-1))-LEN(SUBSTITUTE(SUBSTITUTE(SUBSTITUTE($G1854,"-"," ",LEN($G1854)-LEN(SUBSTITUTE($G1854,"-",""))),"-"," ",LEN($G1854)-LEN(SUBSTITUTE($G1854,"-",""))-1),".",""))))),$G1854)))</f>
        <v/>
      </c>
    </row>
    <row r="1855">
      <c r="A1855" s="58" t="n"/>
      <c r="B1855" s="58">
        <f>IF($H1855="","",LEFT($H1855,FIND(" ",$H1855&amp;" ")-1))</f>
        <v/>
      </c>
      <c r="C1855" s="58">
        <f>IF($H1855="","",IFERROR(MID($H1855&amp;" ",FIND("|",SUBSTITUTE($H1855&amp;" "," ","|",1))+1,FIND("|",SUBSTITUTE($H1855&amp;" "," ","|",2))-FIND("|",SUBSTITUTE($H1855&amp;" "," ","|",1))-1),""))</f>
        <v/>
      </c>
      <c r="D1855" s="58">
        <f>IF($H1855="","",IFERROR(MID($H1855&amp;" ",FIND("|",SUBSTITUTE($H1855&amp;" "," ","|",2))+1,FIND("|",SUBSTITUTE($H1855&amp;" "," ","|",3))-FIND("|",SUBSTITUTE($H1855&amp;" "," ","|",2))-1),""))</f>
        <v/>
      </c>
      <c r="E1855" s="58">
        <f>IF($H1855="","",IFERROR(MID($H1855&amp;" ",FIND("|",SUBSTITUTE($H1855&amp;" "," ","|",3))+1,FIND("|",SUBSTITUTE($H1855&amp;" "," ","|",4))-FIND("|",SUBSTITUTE($H1855&amp;" "," ","|",3))-1),""))</f>
        <v/>
      </c>
      <c r="F1855" s="59">
        <f>IF($H1855="","",IFERROR(VALUE(IFERROR(MID($H1855&amp;" ",FIND("|",SUBSTITUTE($H1855&amp;" "," ","|",4))+1,FIND("|",SUBSTITUTE($H1855&amp;" "," ","|",5))-FIND("|",SUBSTITUTE($H1855&amp;" "," ","|",4))-1),""))/86400+25569+9/24,""))</f>
        <v/>
      </c>
      <c r="G1855" s="58">
        <f>TRIM(SUBSTITUTE(SUBSTITUTE(SUBSTITUTE($A1855,CHAR(9)," ")," "," "),CHAR(13),""))</f>
        <v/>
      </c>
      <c r="H1855" s="58">
        <f>IF($G1855="","",IF(ISNUMBER(FIND(" ",$G1855)),$G1855,IFERROR(IF((LEN(SUBSTITUTE(SUBSTITUTE($G1855,"-"," ",LEN($G1855)-LEN(SUBSTITUTE($G1855,"-",""))),"-"," ",LEN($G1855)-LEN(SUBSTITUTE($G1855,"-",""))-1))-LEN(SUBSTITUTE(SUBSTITUTE(SUBSTITUTE($G1855,"-"," ",LEN($G1855)-LEN(SUBSTITUTE($G1855,"-",""))),"-"," ",LEN($G1855)-LEN(SUBSTITUTE($G1855,"-",""))-1),".","")))=0,SUBSTITUTE(SUBSTITUTE($G1855,"-"," ",LEN($G1855)-LEN(SUBSTITUTE($G1855,"-",""))),"-"," ",LEN($G1855)-LEN(SUBSTITUTE($G1855,"-",""))-1),SUBSTITUTE(SUBSTITUTE(SUBSTITUTE($G1855,"-"," ",LEN($G1855)-LEN(SUBSTITUTE($G1855,"-",""))),"-"," ",LEN($G1855)-LEN(SUBSTITUTE($G1855,"-",""))-1),"."," ",(LEN(SUBSTITUTE(SUBSTITUTE($G1855,"-"," ",LEN($G1855)-LEN(SUBSTITUTE($G1855,"-",""))),"-"," ",LEN($G1855)-LEN(SUBSTITUTE($G1855,"-",""))-1))-LEN(SUBSTITUTE(SUBSTITUTE(SUBSTITUTE($G1855,"-"," ",LEN($G1855)-LEN(SUBSTITUTE($G1855,"-",""))),"-"," ",LEN($G1855)-LEN(SUBSTITUTE($G1855,"-",""))-1),".",""))))),$G1855)))</f>
        <v/>
      </c>
    </row>
    <row r="1856">
      <c r="A1856" s="58" t="n"/>
      <c r="B1856" s="58">
        <f>IF($H1856="","",LEFT($H1856,FIND(" ",$H1856&amp;" ")-1))</f>
        <v/>
      </c>
      <c r="C1856" s="58">
        <f>IF($H1856="","",IFERROR(MID($H1856&amp;" ",FIND("|",SUBSTITUTE($H1856&amp;" "," ","|",1))+1,FIND("|",SUBSTITUTE($H1856&amp;" "," ","|",2))-FIND("|",SUBSTITUTE($H1856&amp;" "," ","|",1))-1),""))</f>
        <v/>
      </c>
      <c r="D1856" s="58">
        <f>IF($H1856="","",IFERROR(MID($H1856&amp;" ",FIND("|",SUBSTITUTE($H1856&amp;" "," ","|",2))+1,FIND("|",SUBSTITUTE($H1856&amp;" "," ","|",3))-FIND("|",SUBSTITUTE($H1856&amp;" "," ","|",2))-1),""))</f>
        <v/>
      </c>
      <c r="E1856" s="58">
        <f>IF($H1856="","",IFERROR(MID($H1856&amp;" ",FIND("|",SUBSTITUTE($H1856&amp;" "," ","|",3))+1,FIND("|",SUBSTITUTE($H1856&amp;" "," ","|",4))-FIND("|",SUBSTITUTE($H1856&amp;" "," ","|",3))-1),""))</f>
        <v/>
      </c>
      <c r="F1856" s="59">
        <f>IF($H1856="","",IFERROR(VALUE(IFERROR(MID($H1856&amp;" ",FIND("|",SUBSTITUTE($H1856&amp;" "," ","|",4))+1,FIND("|",SUBSTITUTE($H1856&amp;" "," ","|",5))-FIND("|",SUBSTITUTE($H1856&amp;" "," ","|",4))-1),""))/86400+25569+9/24,""))</f>
        <v/>
      </c>
      <c r="G1856" s="58">
        <f>TRIM(SUBSTITUTE(SUBSTITUTE(SUBSTITUTE($A1856,CHAR(9)," ")," "," "),CHAR(13),""))</f>
        <v/>
      </c>
      <c r="H1856" s="58">
        <f>IF($G1856="","",IF(ISNUMBER(FIND(" ",$G1856)),$G1856,IFERROR(IF((LEN(SUBSTITUTE(SUBSTITUTE($G1856,"-"," ",LEN($G1856)-LEN(SUBSTITUTE($G1856,"-",""))),"-"," ",LEN($G1856)-LEN(SUBSTITUTE($G1856,"-",""))-1))-LEN(SUBSTITUTE(SUBSTITUTE(SUBSTITUTE($G1856,"-"," ",LEN($G1856)-LEN(SUBSTITUTE($G1856,"-",""))),"-"," ",LEN($G1856)-LEN(SUBSTITUTE($G1856,"-",""))-1),".","")))=0,SUBSTITUTE(SUBSTITUTE($G1856,"-"," ",LEN($G1856)-LEN(SUBSTITUTE($G1856,"-",""))),"-"," ",LEN($G1856)-LEN(SUBSTITUTE($G1856,"-",""))-1),SUBSTITUTE(SUBSTITUTE(SUBSTITUTE($G1856,"-"," ",LEN($G1856)-LEN(SUBSTITUTE($G1856,"-",""))),"-"," ",LEN($G1856)-LEN(SUBSTITUTE($G1856,"-",""))-1),"."," ",(LEN(SUBSTITUTE(SUBSTITUTE($G1856,"-"," ",LEN($G1856)-LEN(SUBSTITUTE($G1856,"-",""))),"-"," ",LEN($G1856)-LEN(SUBSTITUTE($G1856,"-",""))-1))-LEN(SUBSTITUTE(SUBSTITUTE(SUBSTITUTE($G1856,"-"," ",LEN($G1856)-LEN(SUBSTITUTE($G1856,"-",""))),"-"," ",LEN($G1856)-LEN(SUBSTITUTE($G1856,"-",""))-1),".",""))))),$G1856)))</f>
        <v/>
      </c>
    </row>
    <row r="1857">
      <c r="A1857" s="58" t="n"/>
      <c r="B1857" s="58">
        <f>IF($H1857="","",LEFT($H1857,FIND(" ",$H1857&amp;" ")-1))</f>
        <v/>
      </c>
      <c r="C1857" s="58">
        <f>IF($H1857="","",IFERROR(MID($H1857&amp;" ",FIND("|",SUBSTITUTE($H1857&amp;" "," ","|",1))+1,FIND("|",SUBSTITUTE($H1857&amp;" "," ","|",2))-FIND("|",SUBSTITUTE($H1857&amp;" "," ","|",1))-1),""))</f>
        <v/>
      </c>
      <c r="D1857" s="58">
        <f>IF($H1857="","",IFERROR(MID($H1857&amp;" ",FIND("|",SUBSTITUTE($H1857&amp;" "," ","|",2))+1,FIND("|",SUBSTITUTE($H1857&amp;" "," ","|",3))-FIND("|",SUBSTITUTE($H1857&amp;" "," ","|",2))-1),""))</f>
        <v/>
      </c>
      <c r="E1857" s="58">
        <f>IF($H1857="","",IFERROR(MID($H1857&amp;" ",FIND("|",SUBSTITUTE($H1857&amp;" "," ","|",3))+1,FIND("|",SUBSTITUTE($H1857&amp;" "," ","|",4))-FIND("|",SUBSTITUTE($H1857&amp;" "," ","|",3))-1),""))</f>
        <v/>
      </c>
      <c r="F1857" s="59">
        <f>IF($H1857="","",IFERROR(VALUE(IFERROR(MID($H1857&amp;" ",FIND("|",SUBSTITUTE($H1857&amp;" "," ","|",4))+1,FIND("|",SUBSTITUTE($H1857&amp;" "," ","|",5))-FIND("|",SUBSTITUTE($H1857&amp;" "," ","|",4))-1),""))/86400+25569+9/24,""))</f>
        <v/>
      </c>
      <c r="G1857" s="58">
        <f>TRIM(SUBSTITUTE(SUBSTITUTE(SUBSTITUTE($A1857,CHAR(9)," ")," "," "),CHAR(13),""))</f>
        <v/>
      </c>
      <c r="H1857" s="58">
        <f>IF($G1857="","",IF(ISNUMBER(FIND(" ",$G1857)),$G1857,IFERROR(IF((LEN(SUBSTITUTE(SUBSTITUTE($G1857,"-"," ",LEN($G1857)-LEN(SUBSTITUTE($G1857,"-",""))),"-"," ",LEN($G1857)-LEN(SUBSTITUTE($G1857,"-",""))-1))-LEN(SUBSTITUTE(SUBSTITUTE(SUBSTITUTE($G1857,"-"," ",LEN($G1857)-LEN(SUBSTITUTE($G1857,"-",""))),"-"," ",LEN($G1857)-LEN(SUBSTITUTE($G1857,"-",""))-1),".","")))=0,SUBSTITUTE(SUBSTITUTE($G1857,"-"," ",LEN($G1857)-LEN(SUBSTITUTE($G1857,"-",""))),"-"," ",LEN($G1857)-LEN(SUBSTITUTE($G1857,"-",""))-1),SUBSTITUTE(SUBSTITUTE(SUBSTITUTE($G1857,"-"," ",LEN($G1857)-LEN(SUBSTITUTE($G1857,"-",""))),"-"," ",LEN($G1857)-LEN(SUBSTITUTE($G1857,"-",""))-1),"."," ",(LEN(SUBSTITUTE(SUBSTITUTE($G1857,"-"," ",LEN($G1857)-LEN(SUBSTITUTE($G1857,"-",""))),"-"," ",LEN($G1857)-LEN(SUBSTITUTE($G1857,"-",""))-1))-LEN(SUBSTITUTE(SUBSTITUTE(SUBSTITUTE($G1857,"-"," ",LEN($G1857)-LEN(SUBSTITUTE($G1857,"-",""))),"-"," ",LEN($G1857)-LEN(SUBSTITUTE($G1857,"-",""))-1),".",""))))),$G1857)))</f>
        <v/>
      </c>
    </row>
    <row r="1858">
      <c r="A1858" s="58" t="n"/>
      <c r="B1858" s="58">
        <f>IF($H1858="","",LEFT($H1858,FIND(" ",$H1858&amp;" ")-1))</f>
        <v/>
      </c>
      <c r="C1858" s="58">
        <f>IF($H1858="","",IFERROR(MID($H1858&amp;" ",FIND("|",SUBSTITUTE($H1858&amp;" "," ","|",1))+1,FIND("|",SUBSTITUTE($H1858&amp;" "," ","|",2))-FIND("|",SUBSTITUTE($H1858&amp;" "," ","|",1))-1),""))</f>
        <v/>
      </c>
      <c r="D1858" s="58">
        <f>IF($H1858="","",IFERROR(MID($H1858&amp;" ",FIND("|",SUBSTITUTE($H1858&amp;" "," ","|",2))+1,FIND("|",SUBSTITUTE($H1858&amp;" "," ","|",3))-FIND("|",SUBSTITUTE($H1858&amp;" "," ","|",2))-1),""))</f>
        <v/>
      </c>
      <c r="E1858" s="58">
        <f>IF($H1858="","",IFERROR(MID($H1858&amp;" ",FIND("|",SUBSTITUTE($H1858&amp;" "," ","|",3))+1,FIND("|",SUBSTITUTE($H1858&amp;" "," ","|",4))-FIND("|",SUBSTITUTE($H1858&amp;" "," ","|",3))-1),""))</f>
        <v/>
      </c>
      <c r="F1858" s="59">
        <f>IF($H1858="","",IFERROR(VALUE(IFERROR(MID($H1858&amp;" ",FIND("|",SUBSTITUTE($H1858&amp;" "," ","|",4))+1,FIND("|",SUBSTITUTE($H1858&amp;" "," ","|",5))-FIND("|",SUBSTITUTE($H1858&amp;" "," ","|",4))-1),""))/86400+25569+9/24,""))</f>
        <v/>
      </c>
      <c r="G1858" s="58">
        <f>TRIM(SUBSTITUTE(SUBSTITUTE(SUBSTITUTE($A1858,CHAR(9)," ")," "," "),CHAR(13),""))</f>
        <v/>
      </c>
      <c r="H1858" s="58">
        <f>IF($G1858="","",IF(ISNUMBER(FIND(" ",$G1858)),$G1858,IFERROR(IF((LEN(SUBSTITUTE(SUBSTITUTE($G1858,"-"," ",LEN($G1858)-LEN(SUBSTITUTE($G1858,"-",""))),"-"," ",LEN($G1858)-LEN(SUBSTITUTE($G1858,"-",""))-1))-LEN(SUBSTITUTE(SUBSTITUTE(SUBSTITUTE($G1858,"-"," ",LEN($G1858)-LEN(SUBSTITUTE($G1858,"-",""))),"-"," ",LEN($G1858)-LEN(SUBSTITUTE($G1858,"-",""))-1),".","")))=0,SUBSTITUTE(SUBSTITUTE($G1858,"-"," ",LEN($G1858)-LEN(SUBSTITUTE($G1858,"-",""))),"-"," ",LEN($G1858)-LEN(SUBSTITUTE($G1858,"-",""))-1),SUBSTITUTE(SUBSTITUTE(SUBSTITUTE($G1858,"-"," ",LEN($G1858)-LEN(SUBSTITUTE($G1858,"-",""))),"-"," ",LEN($G1858)-LEN(SUBSTITUTE($G1858,"-",""))-1),"."," ",(LEN(SUBSTITUTE(SUBSTITUTE($G1858,"-"," ",LEN($G1858)-LEN(SUBSTITUTE($G1858,"-",""))),"-"," ",LEN($G1858)-LEN(SUBSTITUTE($G1858,"-",""))-1))-LEN(SUBSTITUTE(SUBSTITUTE(SUBSTITUTE($G1858,"-"," ",LEN($G1858)-LEN(SUBSTITUTE($G1858,"-",""))),"-"," ",LEN($G1858)-LEN(SUBSTITUTE($G1858,"-",""))-1),".",""))))),$G1858)))</f>
        <v/>
      </c>
    </row>
    <row r="1859">
      <c r="A1859" s="58" t="n"/>
      <c r="B1859" s="58">
        <f>IF($H1859="","",LEFT($H1859,FIND(" ",$H1859&amp;" ")-1))</f>
        <v/>
      </c>
      <c r="C1859" s="58">
        <f>IF($H1859="","",IFERROR(MID($H1859&amp;" ",FIND("|",SUBSTITUTE($H1859&amp;" "," ","|",1))+1,FIND("|",SUBSTITUTE($H1859&amp;" "," ","|",2))-FIND("|",SUBSTITUTE($H1859&amp;" "," ","|",1))-1),""))</f>
        <v/>
      </c>
      <c r="D1859" s="58">
        <f>IF($H1859="","",IFERROR(MID($H1859&amp;" ",FIND("|",SUBSTITUTE($H1859&amp;" "," ","|",2))+1,FIND("|",SUBSTITUTE($H1859&amp;" "," ","|",3))-FIND("|",SUBSTITUTE($H1859&amp;" "," ","|",2))-1),""))</f>
        <v/>
      </c>
      <c r="E1859" s="58">
        <f>IF($H1859="","",IFERROR(MID($H1859&amp;" ",FIND("|",SUBSTITUTE($H1859&amp;" "," ","|",3))+1,FIND("|",SUBSTITUTE($H1859&amp;" "," ","|",4))-FIND("|",SUBSTITUTE($H1859&amp;" "," ","|",3))-1),""))</f>
        <v/>
      </c>
      <c r="F1859" s="59">
        <f>IF($H1859="","",IFERROR(VALUE(IFERROR(MID($H1859&amp;" ",FIND("|",SUBSTITUTE($H1859&amp;" "," ","|",4))+1,FIND("|",SUBSTITUTE($H1859&amp;" "," ","|",5))-FIND("|",SUBSTITUTE($H1859&amp;" "," ","|",4))-1),""))/86400+25569+9/24,""))</f>
        <v/>
      </c>
      <c r="G1859" s="58">
        <f>TRIM(SUBSTITUTE(SUBSTITUTE(SUBSTITUTE($A1859,CHAR(9)," ")," "," "),CHAR(13),""))</f>
        <v/>
      </c>
      <c r="H1859" s="58">
        <f>IF($G1859="","",IF(ISNUMBER(FIND(" ",$G1859)),$G1859,IFERROR(IF((LEN(SUBSTITUTE(SUBSTITUTE($G1859,"-"," ",LEN($G1859)-LEN(SUBSTITUTE($G1859,"-",""))),"-"," ",LEN($G1859)-LEN(SUBSTITUTE($G1859,"-",""))-1))-LEN(SUBSTITUTE(SUBSTITUTE(SUBSTITUTE($G1859,"-"," ",LEN($G1859)-LEN(SUBSTITUTE($G1859,"-",""))),"-"," ",LEN($G1859)-LEN(SUBSTITUTE($G1859,"-",""))-1),".","")))=0,SUBSTITUTE(SUBSTITUTE($G1859,"-"," ",LEN($G1859)-LEN(SUBSTITUTE($G1859,"-",""))),"-"," ",LEN($G1859)-LEN(SUBSTITUTE($G1859,"-",""))-1),SUBSTITUTE(SUBSTITUTE(SUBSTITUTE($G1859,"-"," ",LEN($G1859)-LEN(SUBSTITUTE($G1859,"-",""))),"-"," ",LEN($G1859)-LEN(SUBSTITUTE($G1859,"-",""))-1),"."," ",(LEN(SUBSTITUTE(SUBSTITUTE($G1859,"-"," ",LEN($G1859)-LEN(SUBSTITUTE($G1859,"-",""))),"-"," ",LEN($G1859)-LEN(SUBSTITUTE($G1859,"-",""))-1))-LEN(SUBSTITUTE(SUBSTITUTE(SUBSTITUTE($G1859,"-"," ",LEN($G1859)-LEN(SUBSTITUTE($G1859,"-",""))),"-"," ",LEN($G1859)-LEN(SUBSTITUTE($G1859,"-",""))-1),".",""))))),$G1859)))</f>
        <v/>
      </c>
    </row>
    <row r="1860">
      <c r="A1860" s="58" t="n"/>
      <c r="B1860" s="58">
        <f>IF($H1860="","",LEFT($H1860,FIND(" ",$H1860&amp;" ")-1))</f>
        <v/>
      </c>
      <c r="C1860" s="58">
        <f>IF($H1860="","",IFERROR(MID($H1860&amp;" ",FIND("|",SUBSTITUTE($H1860&amp;" "," ","|",1))+1,FIND("|",SUBSTITUTE($H1860&amp;" "," ","|",2))-FIND("|",SUBSTITUTE($H1860&amp;" "," ","|",1))-1),""))</f>
        <v/>
      </c>
      <c r="D1860" s="58">
        <f>IF($H1860="","",IFERROR(MID($H1860&amp;" ",FIND("|",SUBSTITUTE($H1860&amp;" "," ","|",2))+1,FIND("|",SUBSTITUTE($H1860&amp;" "," ","|",3))-FIND("|",SUBSTITUTE($H1860&amp;" "," ","|",2))-1),""))</f>
        <v/>
      </c>
      <c r="E1860" s="58">
        <f>IF($H1860="","",IFERROR(MID($H1860&amp;" ",FIND("|",SUBSTITUTE($H1860&amp;" "," ","|",3))+1,FIND("|",SUBSTITUTE($H1860&amp;" "," ","|",4))-FIND("|",SUBSTITUTE($H1860&amp;" "," ","|",3))-1),""))</f>
        <v/>
      </c>
      <c r="F1860" s="59">
        <f>IF($H1860="","",IFERROR(VALUE(IFERROR(MID($H1860&amp;" ",FIND("|",SUBSTITUTE($H1860&amp;" "," ","|",4))+1,FIND("|",SUBSTITUTE($H1860&amp;" "," ","|",5))-FIND("|",SUBSTITUTE($H1860&amp;" "," ","|",4))-1),""))/86400+25569+9/24,""))</f>
        <v/>
      </c>
      <c r="G1860" s="58">
        <f>TRIM(SUBSTITUTE(SUBSTITUTE(SUBSTITUTE($A1860,CHAR(9)," ")," "," "),CHAR(13),""))</f>
        <v/>
      </c>
      <c r="H1860" s="58">
        <f>IF($G1860="","",IF(ISNUMBER(FIND(" ",$G1860)),$G1860,IFERROR(IF((LEN(SUBSTITUTE(SUBSTITUTE($G1860,"-"," ",LEN($G1860)-LEN(SUBSTITUTE($G1860,"-",""))),"-"," ",LEN($G1860)-LEN(SUBSTITUTE($G1860,"-",""))-1))-LEN(SUBSTITUTE(SUBSTITUTE(SUBSTITUTE($G1860,"-"," ",LEN($G1860)-LEN(SUBSTITUTE($G1860,"-",""))),"-"," ",LEN($G1860)-LEN(SUBSTITUTE($G1860,"-",""))-1),".","")))=0,SUBSTITUTE(SUBSTITUTE($G1860,"-"," ",LEN($G1860)-LEN(SUBSTITUTE($G1860,"-",""))),"-"," ",LEN($G1860)-LEN(SUBSTITUTE($G1860,"-",""))-1),SUBSTITUTE(SUBSTITUTE(SUBSTITUTE($G1860,"-"," ",LEN($G1860)-LEN(SUBSTITUTE($G1860,"-",""))),"-"," ",LEN($G1860)-LEN(SUBSTITUTE($G1860,"-",""))-1),"."," ",(LEN(SUBSTITUTE(SUBSTITUTE($G1860,"-"," ",LEN($G1860)-LEN(SUBSTITUTE($G1860,"-",""))),"-"," ",LEN($G1860)-LEN(SUBSTITUTE($G1860,"-",""))-1))-LEN(SUBSTITUTE(SUBSTITUTE(SUBSTITUTE($G1860,"-"," ",LEN($G1860)-LEN(SUBSTITUTE($G1860,"-",""))),"-"," ",LEN($G1860)-LEN(SUBSTITUTE($G1860,"-",""))-1),".",""))))),$G1860)))</f>
        <v/>
      </c>
    </row>
    <row r="1861">
      <c r="A1861" s="58" t="n"/>
      <c r="B1861" s="58">
        <f>IF($H1861="","",LEFT($H1861,FIND(" ",$H1861&amp;" ")-1))</f>
        <v/>
      </c>
      <c r="C1861" s="58">
        <f>IF($H1861="","",IFERROR(MID($H1861&amp;" ",FIND("|",SUBSTITUTE($H1861&amp;" "," ","|",1))+1,FIND("|",SUBSTITUTE($H1861&amp;" "," ","|",2))-FIND("|",SUBSTITUTE($H1861&amp;" "," ","|",1))-1),""))</f>
        <v/>
      </c>
      <c r="D1861" s="58">
        <f>IF($H1861="","",IFERROR(MID($H1861&amp;" ",FIND("|",SUBSTITUTE($H1861&amp;" "," ","|",2))+1,FIND("|",SUBSTITUTE($H1861&amp;" "," ","|",3))-FIND("|",SUBSTITUTE($H1861&amp;" "," ","|",2))-1),""))</f>
        <v/>
      </c>
      <c r="E1861" s="58">
        <f>IF($H1861="","",IFERROR(MID($H1861&amp;" ",FIND("|",SUBSTITUTE($H1861&amp;" "," ","|",3))+1,FIND("|",SUBSTITUTE($H1861&amp;" "," ","|",4))-FIND("|",SUBSTITUTE($H1861&amp;" "," ","|",3))-1),""))</f>
        <v/>
      </c>
      <c r="F1861" s="59">
        <f>IF($H1861="","",IFERROR(VALUE(IFERROR(MID($H1861&amp;" ",FIND("|",SUBSTITUTE($H1861&amp;" "," ","|",4))+1,FIND("|",SUBSTITUTE($H1861&amp;" "," ","|",5))-FIND("|",SUBSTITUTE($H1861&amp;" "," ","|",4))-1),""))/86400+25569+9/24,""))</f>
        <v/>
      </c>
      <c r="G1861" s="58">
        <f>TRIM(SUBSTITUTE(SUBSTITUTE(SUBSTITUTE($A1861,CHAR(9)," ")," "," "),CHAR(13),""))</f>
        <v/>
      </c>
      <c r="H1861" s="58">
        <f>IF($G1861="","",IF(ISNUMBER(FIND(" ",$G1861)),$G1861,IFERROR(IF((LEN(SUBSTITUTE(SUBSTITUTE($G1861,"-"," ",LEN($G1861)-LEN(SUBSTITUTE($G1861,"-",""))),"-"," ",LEN($G1861)-LEN(SUBSTITUTE($G1861,"-",""))-1))-LEN(SUBSTITUTE(SUBSTITUTE(SUBSTITUTE($G1861,"-"," ",LEN($G1861)-LEN(SUBSTITUTE($G1861,"-",""))),"-"," ",LEN($G1861)-LEN(SUBSTITUTE($G1861,"-",""))-1),".","")))=0,SUBSTITUTE(SUBSTITUTE($G1861,"-"," ",LEN($G1861)-LEN(SUBSTITUTE($G1861,"-",""))),"-"," ",LEN($G1861)-LEN(SUBSTITUTE($G1861,"-",""))-1),SUBSTITUTE(SUBSTITUTE(SUBSTITUTE($G1861,"-"," ",LEN($G1861)-LEN(SUBSTITUTE($G1861,"-",""))),"-"," ",LEN($G1861)-LEN(SUBSTITUTE($G1861,"-",""))-1),"."," ",(LEN(SUBSTITUTE(SUBSTITUTE($G1861,"-"," ",LEN($G1861)-LEN(SUBSTITUTE($G1861,"-",""))),"-"," ",LEN($G1861)-LEN(SUBSTITUTE($G1861,"-",""))-1))-LEN(SUBSTITUTE(SUBSTITUTE(SUBSTITUTE($G1861,"-"," ",LEN($G1861)-LEN(SUBSTITUTE($G1861,"-",""))),"-"," ",LEN($G1861)-LEN(SUBSTITUTE($G1861,"-",""))-1),".",""))))),$G1861)))</f>
        <v/>
      </c>
    </row>
    <row r="1862">
      <c r="A1862" s="58" t="n"/>
      <c r="B1862" s="58">
        <f>IF($H1862="","",LEFT($H1862,FIND(" ",$H1862&amp;" ")-1))</f>
        <v/>
      </c>
      <c r="C1862" s="58">
        <f>IF($H1862="","",IFERROR(MID($H1862&amp;" ",FIND("|",SUBSTITUTE($H1862&amp;" "," ","|",1))+1,FIND("|",SUBSTITUTE($H1862&amp;" "," ","|",2))-FIND("|",SUBSTITUTE($H1862&amp;" "," ","|",1))-1),""))</f>
        <v/>
      </c>
      <c r="D1862" s="58">
        <f>IF($H1862="","",IFERROR(MID($H1862&amp;" ",FIND("|",SUBSTITUTE($H1862&amp;" "," ","|",2))+1,FIND("|",SUBSTITUTE($H1862&amp;" "," ","|",3))-FIND("|",SUBSTITUTE($H1862&amp;" "," ","|",2))-1),""))</f>
        <v/>
      </c>
      <c r="E1862" s="58">
        <f>IF($H1862="","",IFERROR(MID($H1862&amp;" ",FIND("|",SUBSTITUTE($H1862&amp;" "," ","|",3))+1,FIND("|",SUBSTITUTE($H1862&amp;" "," ","|",4))-FIND("|",SUBSTITUTE($H1862&amp;" "," ","|",3))-1),""))</f>
        <v/>
      </c>
      <c r="F1862" s="59">
        <f>IF($H1862="","",IFERROR(VALUE(IFERROR(MID($H1862&amp;" ",FIND("|",SUBSTITUTE($H1862&amp;" "," ","|",4))+1,FIND("|",SUBSTITUTE($H1862&amp;" "," ","|",5))-FIND("|",SUBSTITUTE($H1862&amp;" "," ","|",4))-1),""))/86400+25569+9/24,""))</f>
        <v/>
      </c>
      <c r="G1862" s="58">
        <f>TRIM(SUBSTITUTE(SUBSTITUTE(SUBSTITUTE($A1862,CHAR(9)," ")," "," "),CHAR(13),""))</f>
        <v/>
      </c>
      <c r="H1862" s="58">
        <f>IF($G1862="","",IF(ISNUMBER(FIND(" ",$G1862)),$G1862,IFERROR(IF((LEN(SUBSTITUTE(SUBSTITUTE($G1862,"-"," ",LEN($G1862)-LEN(SUBSTITUTE($G1862,"-",""))),"-"," ",LEN($G1862)-LEN(SUBSTITUTE($G1862,"-",""))-1))-LEN(SUBSTITUTE(SUBSTITUTE(SUBSTITUTE($G1862,"-"," ",LEN($G1862)-LEN(SUBSTITUTE($G1862,"-",""))),"-"," ",LEN($G1862)-LEN(SUBSTITUTE($G1862,"-",""))-1),".","")))=0,SUBSTITUTE(SUBSTITUTE($G1862,"-"," ",LEN($G1862)-LEN(SUBSTITUTE($G1862,"-",""))),"-"," ",LEN($G1862)-LEN(SUBSTITUTE($G1862,"-",""))-1),SUBSTITUTE(SUBSTITUTE(SUBSTITUTE($G1862,"-"," ",LEN($G1862)-LEN(SUBSTITUTE($G1862,"-",""))),"-"," ",LEN($G1862)-LEN(SUBSTITUTE($G1862,"-",""))-1),"."," ",(LEN(SUBSTITUTE(SUBSTITUTE($G1862,"-"," ",LEN($G1862)-LEN(SUBSTITUTE($G1862,"-",""))),"-"," ",LEN($G1862)-LEN(SUBSTITUTE($G1862,"-",""))-1))-LEN(SUBSTITUTE(SUBSTITUTE(SUBSTITUTE($G1862,"-"," ",LEN($G1862)-LEN(SUBSTITUTE($G1862,"-",""))),"-"," ",LEN($G1862)-LEN(SUBSTITUTE($G1862,"-",""))-1),".",""))))),$G1862)))</f>
        <v/>
      </c>
    </row>
    <row r="1863">
      <c r="A1863" s="58" t="n"/>
      <c r="B1863" s="58">
        <f>IF($H1863="","",LEFT($H1863,FIND(" ",$H1863&amp;" ")-1))</f>
        <v/>
      </c>
      <c r="C1863" s="58">
        <f>IF($H1863="","",IFERROR(MID($H1863&amp;" ",FIND("|",SUBSTITUTE($H1863&amp;" "," ","|",1))+1,FIND("|",SUBSTITUTE($H1863&amp;" "," ","|",2))-FIND("|",SUBSTITUTE($H1863&amp;" "," ","|",1))-1),""))</f>
        <v/>
      </c>
      <c r="D1863" s="58">
        <f>IF($H1863="","",IFERROR(MID($H1863&amp;" ",FIND("|",SUBSTITUTE($H1863&amp;" "," ","|",2))+1,FIND("|",SUBSTITUTE($H1863&amp;" "," ","|",3))-FIND("|",SUBSTITUTE($H1863&amp;" "," ","|",2))-1),""))</f>
        <v/>
      </c>
      <c r="E1863" s="58">
        <f>IF($H1863="","",IFERROR(MID($H1863&amp;" ",FIND("|",SUBSTITUTE($H1863&amp;" "," ","|",3))+1,FIND("|",SUBSTITUTE($H1863&amp;" "," ","|",4))-FIND("|",SUBSTITUTE($H1863&amp;" "," ","|",3))-1),""))</f>
        <v/>
      </c>
      <c r="F1863" s="59">
        <f>IF($H1863="","",IFERROR(VALUE(IFERROR(MID($H1863&amp;" ",FIND("|",SUBSTITUTE($H1863&amp;" "," ","|",4))+1,FIND("|",SUBSTITUTE($H1863&amp;" "," ","|",5))-FIND("|",SUBSTITUTE($H1863&amp;" "," ","|",4))-1),""))/86400+25569+9/24,""))</f>
        <v/>
      </c>
      <c r="G1863" s="58">
        <f>TRIM(SUBSTITUTE(SUBSTITUTE(SUBSTITUTE($A1863,CHAR(9)," ")," "," "),CHAR(13),""))</f>
        <v/>
      </c>
      <c r="H1863" s="58">
        <f>IF($G1863="","",IF(ISNUMBER(FIND(" ",$G1863)),$G1863,IFERROR(IF((LEN(SUBSTITUTE(SUBSTITUTE($G1863,"-"," ",LEN($G1863)-LEN(SUBSTITUTE($G1863,"-",""))),"-"," ",LEN($G1863)-LEN(SUBSTITUTE($G1863,"-",""))-1))-LEN(SUBSTITUTE(SUBSTITUTE(SUBSTITUTE($G1863,"-"," ",LEN($G1863)-LEN(SUBSTITUTE($G1863,"-",""))),"-"," ",LEN($G1863)-LEN(SUBSTITUTE($G1863,"-",""))-1),".","")))=0,SUBSTITUTE(SUBSTITUTE($G1863,"-"," ",LEN($G1863)-LEN(SUBSTITUTE($G1863,"-",""))),"-"," ",LEN($G1863)-LEN(SUBSTITUTE($G1863,"-",""))-1),SUBSTITUTE(SUBSTITUTE(SUBSTITUTE($G1863,"-"," ",LEN($G1863)-LEN(SUBSTITUTE($G1863,"-",""))),"-"," ",LEN($G1863)-LEN(SUBSTITUTE($G1863,"-",""))-1),"."," ",(LEN(SUBSTITUTE(SUBSTITUTE($G1863,"-"," ",LEN($G1863)-LEN(SUBSTITUTE($G1863,"-",""))),"-"," ",LEN($G1863)-LEN(SUBSTITUTE($G1863,"-",""))-1))-LEN(SUBSTITUTE(SUBSTITUTE(SUBSTITUTE($G1863,"-"," ",LEN($G1863)-LEN(SUBSTITUTE($G1863,"-",""))),"-"," ",LEN($G1863)-LEN(SUBSTITUTE($G1863,"-",""))-1),".",""))))),$G1863)))</f>
        <v/>
      </c>
    </row>
    <row r="1864">
      <c r="A1864" s="58" t="n"/>
      <c r="B1864" s="58">
        <f>IF($H1864="","",LEFT($H1864,FIND(" ",$H1864&amp;" ")-1))</f>
        <v/>
      </c>
      <c r="C1864" s="58">
        <f>IF($H1864="","",IFERROR(MID($H1864&amp;" ",FIND("|",SUBSTITUTE($H1864&amp;" "," ","|",1))+1,FIND("|",SUBSTITUTE($H1864&amp;" "," ","|",2))-FIND("|",SUBSTITUTE($H1864&amp;" "," ","|",1))-1),""))</f>
        <v/>
      </c>
      <c r="D1864" s="58">
        <f>IF($H1864="","",IFERROR(MID($H1864&amp;" ",FIND("|",SUBSTITUTE($H1864&amp;" "," ","|",2))+1,FIND("|",SUBSTITUTE($H1864&amp;" "," ","|",3))-FIND("|",SUBSTITUTE($H1864&amp;" "," ","|",2))-1),""))</f>
        <v/>
      </c>
      <c r="E1864" s="58">
        <f>IF($H1864="","",IFERROR(MID($H1864&amp;" ",FIND("|",SUBSTITUTE($H1864&amp;" "," ","|",3))+1,FIND("|",SUBSTITUTE($H1864&amp;" "," ","|",4))-FIND("|",SUBSTITUTE($H1864&amp;" "," ","|",3))-1),""))</f>
        <v/>
      </c>
      <c r="F1864" s="59">
        <f>IF($H1864="","",IFERROR(VALUE(IFERROR(MID($H1864&amp;" ",FIND("|",SUBSTITUTE($H1864&amp;" "," ","|",4))+1,FIND("|",SUBSTITUTE($H1864&amp;" "," ","|",5))-FIND("|",SUBSTITUTE($H1864&amp;" "," ","|",4))-1),""))/86400+25569+9/24,""))</f>
        <v/>
      </c>
      <c r="G1864" s="58">
        <f>TRIM(SUBSTITUTE(SUBSTITUTE(SUBSTITUTE($A1864,CHAR(9)," ")," "," "),CHAR(13),""))</f>
        <v/>
      </c>
      <c r="H1864" s="58">
        <f>IF($G1864="","",IF(ISNUMBER(FIND(" ",$G1864)),$G1864,IFERROR(IF((LEN(SUBSTITUTE(SUBSTITUTE($G1864,"-"," ",LEN($G1864)-LEN(SUBSTITUTE($G1864,"-",""))),"-"," ",LEN($G1864)-LEN(SUBSTITUTE($G1864,"-",""))-1))-LEN(SUBSTITUTE(SUBSTITUTE(SUBSTITUTE($G1864,"-"," ",LEN($G1864)-LEN(SUBSTITUTE($G1864,"-",""))),"-"," ",LEN($G1864)-LEN(SUBSTITUTE($G1864,"-",""))-1),".","")))=0,SUBSTITUTE(SUBSTITUTE($G1864,"-"," ",LEN($G1864)-LEN(SUBSTITUTE($G1864,"-",""))),"-"," ",LEN($G1864)-LEN(SUBSTITUTE($G1864,"-",""))-1),SUBSTITUTE(SUBSTITUTE(SUBSTITUTE($G1864,"-"," ",LEN($G1864)-LEN(SUBSTITUTE($G1864,"-",""))),"-"," ",LEN($G1864)-LEN(SUBSTITUTE($G1864,"-",""))-1),"."," ",(LEN(SUBSTITUTE(SUBSTITUTE($G1864,"-"," ",LEN($G1864)-LEN(SUBSTITUTE($G1864,"-",""))),"-"," ",LEN($G1864)-LEN(SUBSTITUTE($G1864,"-",""))-1))-LEN(SUBSTITUTE(SUBSTITUTE(SUBSTITUTE($G1864,"-"," ",LEN($G1864)-LEN(SUBSTITUTE($G1864,"-",""))),"-"," ",LEN($G1864)-LEN(SUBSTITUTE($G1864,"-",""))-1),".",""))))),$G1864)))</f>
        <v/>
      </c>
    </row>
    <row r="1865">
      <c r="A1865" s="58" t="n"/>
      <c r="B1865" s="58">
        <f>IF($H1865="","",LEFT($H1865,FIND(" ",$H1865&amp;" ")-1))</f>
        <v/>
      </c>
      <c r="C1865" s="58">
        <f>IF($H1865="","",IFERROR(MID($H1865&amp;" ",FIND("|",SUBSTITUTE($H1865&amp;" "," ","|",1))+1,FIND("|",SUBSTITUTE($H1865&amp;" "," ","|",2))-FIND("|",SUBSTITUTE($H1865&amp;" "," ","|",1))-1),""))</f>
        <v/>
      </c>
      <c r="D1865" s="58">
        <f>IF($H1865="","",IFERROR(MID($H1865&amp;" ",FIND("|",SUBSTITUTE($H1865&amp;" "," ","|",2))+1,FIND("|",SUBSTITUTE($H1865&amp;" "," ","|",3))-FIND("|",SUBSTITUTE($H1865&amp;" "," ","|",2))-1),""))</f>
        <v/>
      </c>
      <c r="E1865" s="58">
        <f>IF($H1865="","",IFERROR(MID($H1865&amp;" ",FIND("|",SUBSTITUTE($H1865&amp;" "," ","|",3))+1,FIND("|",SUBSTITUTE($H1865&amp;" "," ","|",4))-FIND("|",SUBSTITUTE($H1865&amp;" "," ","|",3))-1),""))</f>
        <v/>
      </c>
      <c r="F1865" s="59">
        <f>IF($H1865="","",IFERROR(VALUE(IFERROR(MID($H1865&amp;" ",FIND("|",SUBSTITUTE($H1865&amp;" "," ","|",4))+1,FIND("|",SUBSTITUTE($H1865&amp;" "," ","|",5))-FIND("|",SUBSTITUTE($H1865&amp;" "," ","|",4))-1),""))/86400+25569+9/24,""))</f>
        <v/>
      </c>
      <c r="G1865" s="58">
        <f>TRIM(SUBSTITUTE(SUBSTITUTE(SUBSTITUTE($A1865,CHAR(9)," ")," "," "),CHAR(13),""))</f>
        <v/>
      </c>
      <c r="H1865" s="58">
        <f>IF($G1865="","",IF(ISNUMBER(FIND(" ",$G1865)),$G1865,IFERROR(IF((LEN(SUBSTITUTE(SUBSTITUTE($G1865,"-"," ",LEN($G1865)-LEN(SUBSTITUTE($G1865,"-",""))),"-"," ",LEN($G1865)-LEN(SUBSTITUTE($G1865,"-",""))-1))-LEN(SUBSTITUTE(SUBSTITUTE(SUBSTITUTE($G1865,"-"," ",LEN($G1865)-LEN(SUBSTITUTE($G1865,"-",""))),"-"," ",LEN($G1865)-LEN(SUBSTITUTE($G1865,"-",""))-1),".","")))=0,SUBSTITUTE(SUBSTITUTE($G1865,"-"," ",LEN($G1865)-LEN(SUBSTITUTE($G1865,"-",""))),"-"," ",LEN($G1865)-LEN(SUBSTITUTE($G1865,"-",""))-1),SUBSTITUTE(SUBSTITUTE(SUBSTITUTE($G1865,"-"," ",LEN($G1865)-LEN(SUBSTITUTE($G1865,"-",""))),"-"," ",LEN($G1865)-LEN(SUBSTITUTE($G1865,"-",""))-1),"."," ",(LEN(SUBSTITUTE(SUBSTITUTE($G1865,"-"," ",LEN($G1865)-LEN(SUBSTITUTE($G1865,"-",""))),"-"," ",LEN($G1865)-LEN(SUBSTITUTE($G1865,"-",""))-1))-LEN(SUBSTITUTE(SUBSTITUTE(SUBSTITUTE($G1865,"-"," ",LEN($G1865)-LEN(SUBSTITUTE($G1865,"-",""))),"-"," ",LEN($G1865)-LEN(SUBSTITUTE($G1865,"-",""))-1),".",""))))),$G1865)))</f>
        <v/>
      </c>
    </row>
    <row r="1866">
      <c r="A1866" s="58" t="n"/>
      <c r="B1866" s="58">
        <f>IF($H1866="","",LEFT($H1866,FIND(" ",$H1866&amp;" ")-1))</f>
        <v/>
      </c>
      <c r="C1866" s="58">
        <f>IF($H1866="","",IFERROR(MID($H1866&amp;" ",FIND("|",SUBSTITUTE($H1866&amp;" "," ","|",1))+1,FIND("|",SUBSTITUTE($H1866&amp;" "," ","|",2))-FIND("|",SUBSTITUTE($H1866&amp;" "," ","|",1))-1),""))</f>
        <v/>
      </c>
      <c r="D1866" s="58">
        <f>IF($H1866="","",IFERROR(MID($H1866&amp;" ",FIND("|",SUBSTITUTE($H1866&amp;" "," ","|",2))+1,FIND("|",SUBSTITUTE($H1866&amp;" "," ","|",3))-FIND("|",SUBSTITUTE($H1866&amp;" "," ","|",2))-1),""))</f>
        <v/>
      </c>
      <c r="E1866" s="58">
        <f>IF($H1866="","",IFERROR(MID($H1866&amp;" ",FIND("|",SUBSTITUTE($H1866&amp;" "," ","|",3))+1,FIND("|",SUBSTITUTE($H1866&amp;" "," ","|",4))-FIND("|",SUBSTITUTE($H1866&amp;" "," ","|",3))-1),""))</f>
        <v/>
      </c>
      <c r="F1866" s="59">
        <f>IF($H1866="","",IFERROR(VALUE(IFERROR(MID($H1866&amp;" ",FIND("|",SUBSTITUTE($H1866&amp;" "," ","|",4))+1,FIND("|",SUBSTITUTE($H1866&amp;" "," ","|",5))-FIND("|",SUBSTITUTE($H1866&amp;" "," ","|",4))-1),""))/86400+25569+9/24,""))</f>
        <v/>
      </c>
      <c r="G1866" s="58">
        <f>TRIM(SUBSTITUTE(SUBSTITUTE(SUBSTITUTE($A1866,CHAR(9)," ")," "," "),CHAR(13),""))</f>
        <v/>
      </c>
      <c r="H1866" s="58">
        <f>IF($G1866="","",IF(ISNUMBER(FIND(" ",$G1866)),$G1866,IFERROR(IF((LEN(SUBSTITUTE(SUBSTITUTE($G1866,"-"," ",LEN($G1866)-LEN(SUBSTITUTE($G1866,"-",""))),"-"," ",LEN($G1866)-LEN(SUBSTITUTE($G1866,"-",""))-1))-LEN(SUBSTITUTE(SUBSTITUTE(SUBSTITUTE($G1866,"-"," ",LEN($G1866)-LEN(SUBSTITUTE($G1866,"-",""))),"-"," ",LEN($G1866)-LEN(SUBSTITUTE($G1866,"-",""))-1),".","")))=0,SUBSTITUTE(SUBSTITUTE($G1866,"-"," ",LEN($G1866)-LEN(SUBSTITUTE($G1866,"-",""))),"-"," ",LEN($G1866)-LEN(SUBSTITUTE($G1866,"-",""))-1),SUBSTITUTE(SUBSTITUTE(SUBSTITUTE($G1866,"-"," ",LEN($G1866)-LEN(SUBSTITUTE($G1866,"-",""))),"-"," ",LEN($G1866)-LEN(SUBSTITUTE($G1866,"-",""))-1),"."," ",(LEN(SUBSTITUTE(SUBSTITUTE($G1866,"-"," ",LEN($G1866)-LEN(SUBSTITUTE($G1866,"-",""))),"-"," ",LEN($G1866)-LEN(SUBSTITUTE($G1866,"-",""))-1))-LEN(SUBSTITUTE(SUBSTITUTE(SUBSTITUTE($G1866,"-"," ",LEN($G1866)-LEN(SUBSTITUTE($G1866,"-",""))),"-"," ",LEN($G1866)-LEN(SUBSTITUTE($G1866,"-",""))-1),".",""))))),$G1866)))</f>
        <v/>
      </c>
    </row>
    <row r="1867">
      <c r="A1867" s="58" t="n"/>
      <c r="B1867" s="58">
        <f>IF($H1867="","",LEFT($H1867,FIND(" ",$H1867&amp;" ")-1))</f>
        <v/>
      </c>
      <c r="C1867" s="58">
        <f>IF($H1867="","",IFERROR(MID($H1867&amp;" ",FIND("|",SUBSTITUTE($H1867&amp;" "," ","|",1))+1,FIND("|",SUBSTITUTE($H1867&amp;" "," ","|",2))-FIND("|",SUBSTITUTE($H1867&amp;" "," ","|",1))-1),""))</f>
        <v/>
      </c>
      <c r="D1867" s="58">
        <f>IF($H1867="","",IFERROR(MID($H1867&amp;" ",FIND("|",SUBSTITUTE($H1867&amp;" "," ","|",2))+1,FIND("|",SUBSTITUTE($H1867&amp;" "," ","|",3))-FIND("|",SUBSTITUTE($H1867&amp;" "," ","|",2))-1),""))</f>
        <v/>
      </c>
      <c r="E1867" s="58">
        <f>IF($H1867="","",IFERROR(MID($H1867&amp;" ",FIND("|",SUBSTITUTE($H1867&amp;" "," ","|",3))+1,FIND("|",SUBSTITUTE($H1867&amp;" "," ","|",4))-FIND("|",SUBSTITUTE($H1867&amp;" "," ","|",3))-1),""))</f>
        <v/>
      </c>
      <c r="F1867" s="59">
        <f>IF($H1867="","",IFERROR(VALUE(IFERROR(MID($H1867&amp;" ",FIND("|",SUBSTITUTE($H1867&amp;" "," ","|",4))+1,FIND("|",SUBSTITUTE($H1867&amp;" "," ","|",5))-FIND("|",SUBSTITUTE($H1867&amp;" "," ","|",4))-1),""))/86400+25569+9/24,""))</f>
        <v/>
      </c>
      <c r="G1867" s="58">
        <f>TRIM(SUBSTITUTE(SUBSTITUTE(SUBSTITUTE($A1867,CHAR(9)," ")," "," "),CHAR(13),""))</f>
        <v/>
      </c>
      <c r="H1867" s="58">
        <f>IF($G1867="","",IF(ISNUMBER(FIND(" ",$G1867)),$G1867,IFERROR(IF((LEN(SUBSTITUTE(SUBSTITUTE($G1867,"-"," ",LEN($G1867)-LEN(SUBSTITUTE($G1867,"-",""))),"-"," ",LEN($G1867)-LEN(SUBSTITUTE($G1867,"-",""))-1))-LEN(SUBSTITUTE(SUBSTITUTE(SUBSTITUTE($G1867,"-"," ",LEN($G1867)-LEN(SUBSTITUTE($G1867,"-",""))),"-"," ",LEN($G1867)-LEN(SUBSTITUTE($G1867,"-",""))-1),".","")))=0,SUBSTITUTE(SUBSTITUTE($G1867,"-"," ",LEN($G1867)-LEN(SUBSTITUTE($G1867,"-",""))),"-"," ",LEN($G1867)-LEN(SUBSTITUTE($G1867,"-",""))-1),SUBSTITUTE(SUBSTITUTE(SUBSTITUTE($G1867,"-"," ",LEN($G1867)-LEN(SUBSTITUTE($G1867,"-",""))),"-"," ",LEN($G1867)-LEN(SUBSTITUTE($G1867,"-",""))-1),"."," ",(LEN(SUBSTITUTE(SUBSTITUTE($G1867,"-"," ",LEN($G1867)-LEN(SUBSTITUTE($G1867,"-",""))),"-"," ",LEN($G1867)-LEN(SUBSTITUTE($G1867,"-",""))-1))-LEN(SUBSTITUTE(SUBSTITUTE(SUBSTITUTE($G1867,"-"," ",LEN($G1867)-LEN(SUBSTITUTE($G1867,"-",""))),"-"," ",LEN($G1867)-LEN(SUBSTITUTE($G1867,"-",""))-1),".",""))))),$G1867)))</f>
        <v/>
      </c>
    </row>
    <row r="1868">
      <c r="A1868" s="58" t="n"/>
      <c r="B1868" s="58">
        <f>IF($H1868="","",LEFT($H1868,FIND(" ",$H1868&amp;" ")-1))</f>
        <v/>
      </c>
      <c r="C1868" s="58">
        <f>IF($H1868="","",IFERROR(MID($H1868&amp;" ",FIND("|",SUBSTITUTE($H1868&amp;" "," ","|",1))+1,FIND("|",SUBSTITUTE($H1868&amp;" "," ","|",2))-FIND("|",SUBSTITUTE($H1868&amp;" "," ","|",1))-1),""))</f>
        <v/>
      </c>
      <c r="D1868" s="58">
        <f>IF($H1868="","",IFERROR(MID($H1868&amp;" ",FIND("|",SUBSTITUTE($H1868&amp;" "," ","|",2))+1,FIND("|",SUBSTITUTE($H1868&amp;" "," ","|",3))-FIND("|",SUBSTITUTE($H1868&amp;" "," ","|",2))-1),""))</f>
        <v/>
      </c>
      <c r="E1868" s="58">
        <f>IF($H1868="","",IFERROR(MID($H1868&amp;" ",FIND("|",SUBSTITUTE($H1868&amp;" "," ","|",3))+1,FIND("|",SUBSTITUTE($H1868&amp;" "," ","|",4))-FIND("|",SUBSTITUTE($H1868&amp;" "," ","|",3))-1),""))</f>
        <v/>
      </c>
      <c r="F1868" s="59">
        <f>IF($H1868="","",IFERROR(VALUE(IFERROR(MID($H1868&amp;" ",FIND("|",SUBSTITUTE($H1868&amp;" "," ","|",4))+1,FIND("|",SUBSTITUTE($H1868&amp;" "," ","|",5))-FIND("|",SUBSTITUTE($H1868&amp;" "," ","|",4))-1),""))/86400+25569+9/24,""))</f>
        <v/>
      </c>
      <c r="G1868" s="58">
        <f>TRIM(SUBSTITUTE(SUBSTITUTE(SUBSTITUTE($A1868,CHAR(9)," ")," "," "),CHAR(13),""))</f>
        <v/>
      </c>
      <c r="H1868" s="58">
        <f>IF($G1868="","",IF(ISNUMBER(FIND(" ",$G1868)),$G1868,IFERROR(IF((LEN(SUBSTITUTE(SUBSTITUTE($G1868,"-"," ",LEN($G1868)-LEN(SUBSTITUTE($G1868,"-",""))),"-"," ",LEN($G1868)-LEN(SUBSTITUTE($G1868,"-",""))-1))-LEN(SUBSTITUTE(SUBSTITUTE(SUBSTITUTE($G1868,"-"," ",LEN($G1868)-LEN(SUBSTITUTE($G1868,"-",""))),"-"," ",LEN($G1868)-LEN(SUBSTITUTE($G1868,"-",""))-1),".","")))=0,SUBSTITUTE(SUBSTITUTE($G1868,"-"," ",LEN($G1868)-LEN(SUBSTITUTE($G1868,"-",""))),"-"," ",LEN($G1868)-LEN(SUBSTITUTE($G1868,"-",""))-1),SUBSTITUTE(SUBSTITUTE(SUBSTITUTE($G1868,"-"," ",LEN($G1868)-LEN(SUBSTITUTE($G1868,"-",""))),"-"," ",LEN($G1868)-LEN(SUBSTITUTE($G1868,"-",""))-1),"."," ",(LEN(SUBSTITUTE(SUBSTITUTE($G1868,"-"," ",LEN($G1868)-LEN(SUBSTITUTE($G1868,"-",""))),"-"," ",LEN($G1868)-LEN(SUBSTITUTE($G1868,"-",""))-1))-LEN(SUBSTITUTE(SUBSTITUTE(SUBSTITUTE($G1868,"-"," ",LEN($G1868)-LEN(SUBSTITUTE($G1868,"-",""))),"-"," ",LEN($G1868)-LEN(SUBSTITUTE($G1868,"-",""))-1),".",""))))),$G1868)))</f>
        <v/>
      </c>
    </row>
    <row r="1869">
      <c r="A1869" s="58" t="n"/>
      <c r="B1869" s="58">
        <f>IF($H1869="","",LEFT($H1869,FIND(" ",$H1869&amp;" ")-1))</f>
        <v/>
      </c>
      <c r="C1869" s="58">
        <f>IF($H1869="","",IFERROR(MID($H1869&amp;" ",FIND("|",SUBSTITUTE($H1869&amp;" "," ","|",1))+1,FIND("|",SUBSTITUTE($H1869&amp;" "," ","|",2))-FIND("|",SUBSTITUTE($H1869&amp;" "," ","|",1))-1),""))</f>
        <v/>
      </c>
      <c r="D1869" s="58">
        <f>IF($H1869="","",IFERROR(MID($H1869&amp;" ",FIND("|",SUBSTITUTE($H1869&amp;" "," ","|",2))+1,FIND("|",SUBSTITUTE($H1869&amp;" "," ","|",3))-FIND("|",SUBSTITUTE($H1869&amp;" "," ","|",2))-1),""))</f>
        <v/>
      </c>
      <c r="E1869" s="58">
        <f>IF($H1869="","",IFERROR(MID($H1869&amp;" ",FIND("|",SUBSTITUTE($H1869&amp;" "," ","|",3))+1,FIND("|",SUBSTITUTE($H1869&amp;" "," ","|",4))-FIND("|",SUBSTITUTE($H1869&amp;" "," ","|",3))-1),""))</f>
        <v/>
      </c>
      <c r="F1869" s="59">
        <f>IF($H1869="","",IFERROR(VALUE(IFERROR(MID($H1869&amp;" ",FIND("|",SUBSTITUTE($H1869&amp;" "," ","|",4))+1,FIND("|",SUBSTITUTE($H1869&amp;" "," ","|",5))-FIND("|",SUBSTITUTE($H1869&amp;" "," ","|",4))-1),""))/86400+25569+9/24,""))</f>
        <v/>
      </c>
      <c r="G1869" s="58">
        <f>TRIM(SUBSTITUTE(SUBSTITUTE(SUBSTITUTE($A1869,CHAR(9)," ")," "," "),CHAR(13),""))</f>
        <v/>
      </c>
      <c r="H1869" s="58">
        <f>IF($G1869="","",IF(ISNUMBER(FIND(" ",$G1869)),$G1869,IFERROR(IF((LEN(SUBSTITUTE(SUBSTITUTE($G1869,"-"," ",LEN($G1869)-LEN(SUBSTITUTE($G1869,"-",""))),"-"," ",LEN($G1869)-LEN(SUBSTITUTE($G1869,"-",""))-1))-LEN(SUBSTITUTE(SUBSTITUTE(SUBSTITUTE($G1869,"-"," ",LEN($G1869)-LEN(SUBSTITUTE($G1869,"-",""))),"-"," ",LEN($G1869)-LEN(SUBSTITUTE($G1869,"-",""))-1),".","")))=0,SUBSTITUTE(SUBSTITUTE($G1869,"-"," ",LEN($G1869)-LEN(SUBSTITUTE($G1869,"-",""))),"-"," ",LEN($G1869)-LEN(SUBSTITUTE($G1869,"-",""))-1),SUBSTITUTE(SUBSTITUTE(SUBSTITUTE($G1869,"-"," ",LEN($G1869)-LEN(SUBSTITUTE($G1869,"-",""))),"-"," ",LEN($G1869)-LEN(SUBSTITUTE($G1869,"-",""))-1),"."," ",(LEN(SUBSTITUTE(SUBSTITUTE($G1869,"-"," ",LEN($G1869)-LEN(SUBSTITUTE($G1869,"-",""))),"-"," ",LEN($G1869)-LEN(SUBSTITUTE($G1869,"-",""))-1))-LEN(SUBSTITUTE(SUBSTITUTE(SUBSTITUTE($G1869,"-"," ",LEN($G1869)-LEN(SUBSTITUTE($G1869,"-",""))),"-"," ",LEN($G1869)-LEN(SUBSTITUTE($G1869,"-",""))-1),".",""))))),$G1869)))</f>
        <v/>
      </c>
    </row>
    <row r="1870">
      <c r="A1870" s="58" t="n"/>
      <c r="B1870" s="58">
        <f>IF($H1870="","",LEFT($H1870,FIND(" ",$H1870&amp;" ")-1))</f>
        <v/>
      </c>
      <c r="C1870" s="58">
        <f>IF($H1870="","",IFERROR(MID($H1870&amp;" ",FIND("|",SUBSTITUTE($H1870&amp;" "," ","|",1))+1,FIND("|",SUBSTITUTE($H1870&amp;" "," ","|",2))-FIND("|",SUBSTITUTE($H1870&amp;" "," ","|",1))-1),""))</f>
        <v/>
      </c>
      <c r="D1870" s="58">
        <f>IF($H1870="","",IFERROR(MID($H1870&amp;" ",FIND("|",SUBSTITUTE($H1870&amp;" "," ","|",2))+1,FIND("|",SUBSTITUTE($H1870&amp;" "," ","|",3))-FIND("|",SUBSTITUTE($H1870&amp;" "," ","|",2))-1),""))</f>
        <v/>
      </c>
      <c r="E1870" s="58">
        <f>IF($H1870="","",IFERROR(MID($H1870&amp;" ",FIND("|",SUBSTITUTE($H1870&amp;" "," ","|",3))+1,FIND("|",SUBSTITUTE($H1870&amp;" "," ","|",4))-FIND("|",SUBSTITUTE($H1870&amp;" "," ","|",3))-1),""))</f>
        <v/>
      </c>
      <c r="F1870" s="59">
        <f>IF($H1870="","",IFERROR(VALUE(IFERROR(MID($H1870&amp;" ",FIND("|",SUBSTITUTE($H1870&amp;" "," ","|",4))+1,FIND("|",SUBSTITUTE($H1870&amp;" "," ","|",5))-FIND("|",SUBSTITUTE($H1870&amp;" "," ","|",4))-1),""))/86400+25569+9/24,""))</f>
        <v/>
      </c>
      <c r="G1870" s="58">
        <f>TRIM(SUBSTITUTE(SUBSTITUTE(SUBSTITUTE($A1870,CHAR(9)," ")," "," "),CHAR(13),""))</f>
        <v/>
      </c>
      <c r="H1870" s="58">
        <f>IF($G1870="","",IF(ISNUMBER(FIND(" ",$G1870)),$G1870,IFERROR(IF((LEN(SUBSTITUTE(SUBSTITUTE($G1870,"-"," ",LEN($G1870)-LEN(SUBSTITUTE($G1870,"-",""))),"-"," ",LEN($G1870)-LEN(SUBSTITUTE($G1870,"-",""))-1))-LEN(SUBSTITUTE(SUBSTITUTE(SUBSTITUTE($G1870,"-"," ",LEN($G1870)-LEN(SUBSTITUTE($G1870,"-",""))),"-"," ",LEN($G1870)-LEN(SUBSTITUTE($G1870,"-",""))-1),".","")))=0,SUBSTITUTE(SUBSTITUTE($G1870,"-"," ",LEN($G1870)-LEN(SUBSTITUTE($G1870,"-",""))),"-"," ",LEN($G1870)-LEN(SUBSTITUTE($G1870,"-",""))-1),SUBSTITUTE(SUBSTITUTE(SUBSTITUTE($G1870,"-"," ",LEN($G1870)-LEN(SUBSTITUTE($G1870,"-",""))),"-"," ",LEN($G1870)-LEN(SUBSTITUTE($G1870,"-",""))-1),"."," ",(LEN(SUBSTITUTE(SUBSTITUTE($G1870,"-"," ",LEN($G1870)-LEN(SUBSTITUTE($G1870,"-",""))),"-"," ",LEN($G1870)-LEN(SUBSTITUTE($G1870,"-",""))-1))-LEN(SUBSTITUTE(SUBSTITUTE(SUBSTITUTE($G1870,"-"," ",LEN($G1870)-LEN(SUBSTITUTE($G1870,"-",""))),"-"," ",LEN($G1870)-LEN(SUBSTITUTE($G1870,"-",""))-1),".",""))))),$G1870)))</f>
        <v/>
      </c>
    </row>
    <row r="1871">
      <c r="A1871" s="58" t="n"/>
      <c r="B1871" s="58">
        <f>IF($H1871="","",LEFT($H1871,FIND(" ",$H1871&amp;" ")-1))</f>
        <v/>
      </c>
      <c r="C1871" s="58">
        <f>IF($H1871="","",IFERROR(MID($H1871&amp;" ",FIND("|",SUBSTITUTE($H1871&amp;" "," ","|",1))+1,FIND("|",SUBSTITUTE($H1871&amp;" "," ","|",2))-FIND("|",SUBSTITUTE($H1871&amp;" "," ","|",1))-1),""))</f>
        <v/>
      </c>
      <c r="D1871" s="58">
        <f>IF($H1871="","",IFERROR(MID($H1871&amp;" ",FIND("|",SUBSTITUTE($H1871&amp;" "," ","|",2))+1,FIND("|",SUBSTITUTE($H1871&amp;" "," ","|",3))-FIND("|",SUBSTITUTE($H1871&amp;" "," ","|",2))-1),""))</f>
        <v/>
      </c>
      <c r="E1871" s="58">
        <f>IF($H1871="","",IFERROR(MID($H1871&amp;" ",FIND("|",SUBSTITUTE($H1871&amp;" "," ","|",3))+1,FIND("|",SUBSTITUTE($H1871&amp;" "," ","|",4))-FIND("|",SUBSTITUTE($H1871&amp;" "," ","|",3))-1),""))</f>
        <v/>
      </c>
      <c r="F1871" s="59">
        <f>IF($H1871="","",IFERROR(VALUE(IFERROR(MID($H1871&amp;" ",FIND("|",SUBSTITUTE($H1871&amp;" "," ","|",4))+1,FIND("|",SUBSTITUTE($H1871&amp;" "," ","|",5))-FIND("|",SUBSTITUTE($H1871&amp;" "," ","|",4))-1),""))/86400+25569+9/24,""))</f>
        <v/>
      </c>
      <c r="G1871" s="58">
        <f>TRIM(SUBSTITUTE(SUBSTITUTE(SUBSTITUTE($A1871,CHAR(9)," ")," "," "),CHAR(13),""))</f>
        <v/>
      </c>
      <c r="H1871" s="58">
        <f>IF($G1871="","",IF(ISNUMBER(FIND(" ",$G1871)),$G1871,IFERROR(IF((LEN(SUBSTITUTE(SUBSTITUTE($G1871,"-"," ",LEN($G1871)-LEN(SUBSTITUTE($G1871,"-",""))),"-"," ",LEN($G1871)-LEN(SUBSTITUTE($G1871,"-",""))-1))-LEN(SUBSTITUTE(SUBSTITUTE(SUBSTITUTE($G1871,"-"," ",LEN($G1871)-LEN(SUBSTITUTE($G1871,"-",""))),"-"," ",LEN($G1871)-LEN(SUBSTITUTE($G1871,"-",""))-1),".","")))=0,SUBSTITUTE(SUBSTITUTE($G1871,"-"," ",LEN($G1871)-LEN(SUBSTITUTE($G1871,"-",""))),"-"," ",LEN($G1871)-LEN(SUBSTITUTE($G1871,"-",""))-1),SUBSTITUTE(SUBSTITUTE(SUBSTITUTE($G1871,"-"," ",LEN($G1871)-LEN(SUBSTITUTE($G1871,"-",""))),"-"," ",LEN($G1871)-LEN(SUBSTITUTE($G1871,"-",""))-1),"."," ",(LEN(SUBSTITUTE(SUBSTITUTE($G1871,"-"," ",LEN($G1871)-LEN(SUBSTITUTE($G1871,"-",""))),"-"," ",LEN($G1871)-LEN(SUBSTITUTE($G1871,"-",""))-1))-LEN(SUBSTITUTE(SUBSTITUTE(SUBSTITUTE($G1871,"-"," ",LEN($G1871)-LEN(SUBSTITUTE($G1871,"-",""))),"-"," ",LEN($G1871)-LEN(SUBSTITUTE($G1871,"-",""))-1),".",""))))),$G1871)))</f>
        <v/>
      </c>
    </row>
    <row r="1872">
      <c r="A1872" s="58" t="n"/>
      <c r="B1872" s="58">
        <f>IF($H1872="","",LEFT($H1872,FIND(" ",$H1872&amp;" ")-1))</f>
        <v/>
      </c>
      <c r="C1872" s="58">
        <f>IF($H1872="","",IFERROR(MID($H1872&amp;" ",FIND("|",SUBSTITUTE($H1872&amp;" "," ","|",1))+1,FIND("|",SUBSTITUTE($H1872&amp;" "," ","|",2))-FIND("|",SUBSTITUTE($H1872&amp;" "," ","|",1))-1),""))</f>
        <v/>
      </c>
      <c r="D1872" s="58">
        <f>IF($H1872="","",IFERROR(MID($H1872&amp;" ",FIND("|",SUBSTITUTE($H1872&amp;" "," ","|",2))+1,FIND("|",SUBSTITUTE($H1872&amp;" "," ","|",3))-FIND("|",SUBSTITUTE($H1872&amp;" "," ","|",2))-1),""))</f>
        <v/>
      </c>
      <c r="E1872" s="58">
        <f>IF($H1872="","",IFERROR(MID($H1872&amp;" ",FIND("|",SUBSTITUTE($H1872&amp;" "," ","|",3))+1,FIND("|",SUBSTITUTE($H1872&amp;" "," ","|",4))-FIND("|",SUBSTITUTE($H1872&amp;" "," ","|",3))-1),""))</f>
        <v/>
      </c>
      <c r="F1872" s="59">
        <f>IF($H1872="","",IFERROR(VALUE(IFERROR(MID($H1872&amp;" ",FIND("|",SUBSTITUTE($H1872&amp;" "," ","|",4))+1,FIND("|",SUBSTITUTE($H1872&amp;" "," ","|",5))-FIND("|",SUBSTITUTE($H1872&amp;" "," ","|",4))-1),""))/86400+25569+9/24,""))</f>
        <v/>
      </c>
      <c r="G1872" s="58">
        <f>TRIM(SUBSTITUTE(SUBSTITUTE(SUBSTITUTE($A1872,CHAR(9)," ")," "," "),CHAR(13),""))</f>
        <v/>
      </c>
      <c r="H1872" s="58">
        <f>IF($G1872="","",IF(ISNUMBER(FIND(" ",$G1872)),$G1872,IFERROR(IF((LEN(SUBSTITUTE(SUBSTITUTE($G1872,"-"," ",LEN($G1872)-LEN(SUBSTITUTE($G1872,"-",""))),"-"," ",LEN($G1872)-LEN(SUBSTITUTE($G1872,"-",""))-1))-LEN(SUBSTITUTE(SUBSTITUTE(SUBSTITUTE($G1872,"-"," ",LEN($G1872)-LEN(SUBSTITUTE($G1872,"-",""))),"-"," ",LEN($G1872)-LEN(SUBSTITUTE($G1872,"-",""))-1),".","")))=0,SUBSTITUTE(SUBSTITUTE($G1872,"-"," ",LEN($G1872)-LEN(SUBSTITUTE($G1872,"-",""))),"-"," ",LEN($G1872)-LEN(SUBSTITUTE($G1872,"-",""))-1),SUBSTITUTE(SUBSTITUTE(SUBSTITUTE($G1872,"-"," ",LEN($G1872)-LEN(SUBSTITUTE($G1872,"-",""))),"-"," ",LEN($G1872)-LEN(SUBSTITUTE($G1872,"-",""))-1),"."," ",(LEN(SUBSTITUTE(SUBSTITUTE($G1872,"-"," ",LEN($G1872)-LEN(SUBSTITUTE($G1872,"-",""))),"-"," ",LEN($G1872)-LEN(SUBSTITUTE($G1872,"-",""))-1))-LEN(SUBSTITUTE(SUBSTITUTE(SUBSTITUTE($G1872,"-"," ",LEN($G1872)-LEN(SUBSTITUTE($G1872,"-",""))),"-"," ",LEN($G1872)-LEN(SUBSTITUTE($G1872,"-",""))-1),".",""))))),$G1872)))</f>
        <v/>
      </c>
    </row>
    <row r="1873">
      <c r="A1873" s="58" t="n"/>
      <c r="B1873" s="58">
        <f>IF($H1873="","",LEFT($H1873,FIND(" ",$H1873&amp;" ")-1))</f>
        <v/>
      </c>
      <c r="C1873" s="58">
        <f>IF($H1873="","",IFERROR(MID($H1873&amp;" ",FIND("|",SUBSTITUTE($H1873&amp;" "," ","|",1))+1,FIND("|",SUBSTITUTE($H1873&amp;" "," ","|",2))-FIND("|",SUBSTITUTE($H1873&amp;" "," ","|",1))-1),""))</f>
        <v/>
      </c>
      <c r="D1873" s="58">
        <f>IF($H1873="","",IFERROR(MID($H1873&amp;" ",FIND("|",SUBSTITUTE($H1873&amp;" "," ","|",2))+1,FIND("|",SUBSTITUTE($H1873&amp;" "," ","|",3))-FIND("|",SUBSTITUTE($H1873&amp;" "," ","|",2))-1),""))</f>
        <v/>
      </c>
      <c r="E1873" s="58">
        <f>IF($H1873="","",IFERROR(MID($H1873&amp;" ",FIND("|",SUBSTITUTE($H1873&amp;" "," ","|",3))+1,FIND("|",SUBSTITUTE($H1873&amp;" "," ","|",4))-FIND("|",SUBSTITUTE($H1873&amp;" "," ","|",3))-1),""))</f>
        <v/>
      </c>
      <c r="F1873" s="59">
        <f>IF($H1873="","",IFERROR(VALUE(IFERROR(MID($H1873&amp;" ",FIND("|",SUBSTITUTE($H1873&amp;" "," ","|",4))+1,FIND("|",SUBSTITUTE($H1873&amp;" "," ","|",5))-FIND("|",SUBSTITUTE($H1873&amp;" "," ","|",4))-1),""))/86400+25569+9/24,""))</f>
        <v/>
      </c>
      <c r="G1873" s="58">
        <f>TRIM(SUBSTITUTE(SUBSTITUTE(SUBSTITUTE($A1873,CHAR(9)," ")," "," "),CHAR(13),""))</f>
        <v/>
      </c>
      <c r="H1873" s="58">
        <f>IF($G1873="","",IF(ISNUMBER(FIND(" ",$G1873)),$G1873,IFERROR(IF((LEN(SUBSTITUTE(SUBSTITUTE($G1873,"-"," ",LEN($G1873)-LEN(SUBSTITUTE($G1873,"-",""))),"-"," ",LEN($G1873)-LEN(SUBSTITUTE($G1873,"-",""))-1))-LEN(SUBSTITUTE(SUBSTITUTE(SUBSTITUTE($G1873,"-"," ",LEN($G1873)-LEN(SUBSTITUTE($G1873,"-",""))),"-"," ",LEN($G1873)-LEN(SUBSTITUTE($G1873,"-",""))-1),".","")))=0,SUBSTITUTE(SUBSTITUTE($G1873,"-"," ",LEN($G1873)-LEN(SUBSTITUTE($G1873,"-",""))),"-"," ",LEN($G1873)-LEN(SUBSTITUTE($G1873,"-",""))-1),SUBSTITUTE(SUBSTITUTE(SUBSTITUTE($G1873,"-"," ",LEN($G1873)-LEN(SUBSTITUTE($G1873,"-",""))),"-"," ",LEN($G1873)-LEN(SUBSTITUTE($G1873,"-",""))-1),"."," ",(LEN(SUBSTITUTE(SUBSTITUTE($G1873,"-"," ",LEN($G1873)-LEN(SUBSTITUTE($G1873,"-",""))),"-"," ",LEN($G1873)-LEN(SUBSTITUTE($G1873,"-",""))-1))-LEN(SUBSTITUTE(SUBSTITUTE(SUBSTITUTE($G1873,"-"," ",LEN($G1873)-LEN(SUBSTITUTE($G1873,"-",""))),"-"," ",LEN($G1873)-LEN(SUBSTITUTE($G1873,"-",""))-1),".",""))))),$G1873)))</f>
        <v/>
      </c>
    </row>
    <row r="1874">
      <c r="A1874" s="58" t="n"/>
      <c r="B1874" s="58">
        <f>IF($H1874="","",LEFT($H1874,FIND(" ",$H1874&amp;" ")-1))</f>
        <v/>
      </c>
      <c r="C1874" s="58">
        <f>IF($H1874="","",IFERROR(MID($H1874&amp;" ",FIND("|",SUBSTITUTE($H1874&amp;" "," ","|",1))+1,FIND("|",SUBSTITUTE($H1874&amp;" "," ","|",2))-FIND("|",SUBSTITUTE($H1874&amp;" "," ","|",1))-1),""))</f>
        <v/>
      </c>
      <c r="D1874" s="58">
        <f>IF($H1874="","",IFERROR(MID($H1874&amp;" ",FIND("|",SUBSTITUTE($H1874&amp;" "," ","|",2))+1,FIND("|",SUBSTITUTE($H1874&amp;" "," ","|",3))-FIND("|",SUBSTITUTE($H1874&amp;" "," ","|",2))-1),""))</f>
        <v/>
      </c>
      <c r="E1874" s="58">
        <f>IF($H1874="","",IFERROR(MID($H1874&amp;" ",FIND("|",SUBSTITUTE($H1874&amp;" "," ","|",3))+1,FIND("|",SUBSTITUTE($H1874&amp;" "," ","|",4))-FIND("|",SUBSTITUTE($H1874&amp;" "," ","|",3))-1),""))</f>
        <v/>
      </c>
      <c r="F1874" s="59">
        <f>IF($H1874="","",IFERROR(VALUE(IFERROR(MID($H1874&amp;" ",FIND("|",SUBSTITUTE($H1874&amp;" "," ","|",4))+1,FIND("|",SUBSTITUTE($H1874&amp;" "," ","|",5))-FIND("|",SUBSTITUTE($H1874&amp;" "," ","|",4))-1),""))/86400+25569+9/24,""))</f>
        <v/>
      </c>
      <c r="G1874" s="58">
        <f>TRIM(SUBSTITUTE(SUBSTITUTE(SUBSTITUTE($A1874,CHAR(9)," ")," "," "),CHAR(13),""))</f>
        <v/>
      </c>
      <c r="H1874" s="58">
        <f>IF($G1874="","",IF(ISNUMBER(FIND(" ",$G1874)),$G1874,IFERROR(IF((LEN(SUBSTITUTE(SUBSTITUTE($G1874,"-"," ",LEN($G1874)-LEN(SUBSTITUTE($G1874,"-",""))),"-"," ",LEN($G1874)-LEN(SUBSTITUTE($G1874,"-",""))-1))-LEN(SUBSTITUTE(SUBSTITUTE(SUBSTITUTE($G1874,"-"," ",LEN($G1874)-LEN(SUBSTITUTE($G1874,"-",""))),"-"," ",LEN($G1874)-LEN(SUBSTITUTE($G1874,"-",""))-1),".","")))=0,SUBSTITUTE(SUBSTITUTE($G1874,"-"," ",LEN($G1874)-LEN(SUBSTITUTE($G1874,"-",""))),"-"," ",LEN($G1874)-LEN(SUBSTITUTE($G1874,"-",""))-1),SUBSTITUTE(SUBSTITUTE(SUBSTITUTE($G1874,"-"," ",LEN($G1874)-LEN(SUBSTITUTE($G1874,"-",""))),"-"," ",LEN($G1874)-LEN(SUBSTITUTE($G1874,"-",""))-1),"."," ",(LEN(SUBSTITUTE(SUBSTITUTE($G1874,"-"," ",LEN($G1874)-LEN(SUBSTITUTE($G1874,"-",""))),"-"," ",LEN($G1874)-LEN(SUBSTITUTE($G1874,"-",""))-1))-LEN(SUBSTITUTE(SUBSTITUTE(SUBSTITUTE($G1874,"-"," ",LEN($G1874)-LEN(SUBSTITUTE($G1874,"-",""))),"-"," ",LEN($G1874)-LEN(SUBSTITUTE($G1874,"-",""))-1),".",""))))),$G1874)))</f>
        <v/>
      </c>
    </row>
    <row r="1875">
      <c r="A1875" s="58" t="n"/>
      <c r="B1875" s="58">
        <f>IF($H1875="","",LEFT($H1875,FIND(" ",$H1875&amp;" ")-1))</f>
        <v/>
      </c>
      <c r="C1875" s="58">
        <f>IF($H1875="","",IFERROR(MID($H1875&amp;" ",FIND("|",SUBSTITUTE($H1875&amp;" "," ","|",1))+1,FIND("|",SUBSTITUTE($H1875&amp;" "," ","|",2))-FIND("|",SUBSTITUTE($H1875&amp;" "," ","|",1))-1),""))</f>
        <v/>
      </c>
      <c r="D1875" s="58">
        <f>IF($H1875="","",IFERROR(MID($H1875&amp;" ",FIND("|",SUBSTITUTE($H1875&amp;" "," ","|",2))+1,FIND("|",SUBSTITUTE($H1875&amp;" "," ","|",3))-FIND("|",SUBSTITUTE($H1875&amp;" "," ","|",2))-1),""))</f>
        <v/>
      </c>
      <c r="E1875" s="58">
        <f>IF($H1875="","",IFERROR(MID($H1875&amp;" ",FIND("|",SUBSTITUTE($H1875&amp;" "," ","|",3))+1,FIND("|",SUBSTITUTE($H1875&amp;" "," ","|",4))-FIND("|",SUBSTITUTE($H1875&amp;" "," ","|",3))-1),""))</f>
        <v/>
      </c>
      <c r="F1875" s="59">
        <f>IF($H1875="","",IFERROR(VALUE(IFERROR(MID($H1875&amp;" ",FIND("|",SUBSTITUTE($H1875&amp;" "," ","|",4))+1,FIND("|",SUBSTITUTE($H1875&amp;" "," ","|",5))-FIND("|",SUBSTITUTE($H1875&amp;" "," ","|",4))-1),""))/86400+25569+9/24,""))</f>
        <v/>
      </c>
      <c r="G1875" s="58">
        <f>TRIM(SUBSTITUTE(SUBSTITUTE(SUBSTITUTE($A1875,CHAR(9)," ")," "," "),CHAR(13),""))</f>
        <v/>
      </c>
      <c r="H1875" s="58">
        <f>IF($G1875="","",IF(ISNUMBER(FIND(" ",$G1875)),$G1875,IFERROR(IF((LEN(SUBSTITUTE(SUBSTITUTE($G1875,"-"," ",LEN($G1875)-LEN(SUBSTITUTE($G1875,"-",""))),"-"," ",LEN($G1875)-LEN(SUBSTITUTE($G1875,"-",""))-1))-LEN(SUBSTITUTE(SUBSTITUTE(SUBSTITUTE($G1875,"-"," ",LEN($G1875)-LEN(SUBSTITUTE($G1875,"-",""))),"-"," ",LEN($G1875)-LEN(SUBSTITUTE($G1875,"-",""))-1),".","")))=0,SUBSTITUTE(SUBSTITUTE($G1875,"-"," ",LEN($G1875)-LEN(SUBSTITUTE($G1875,"-",""))),"-"," ",LEN($G1875)-LEN(SUBSTITUTE($G1875,"-",""))-1),SUBSTITUTE(SUBSTITUTE(SUBSTITUTE($G1875,"-"," ",LEN($G1875)-LEN(SUBSTITUTE($G1875,"-",""))),"-"," ",LEN($G1875)-LEN(SUBSTITUTE($G1875,"-",""))-1),"."," ",(LEN(SUBSTITUTE(SUBSTITUTE($G1875,"-"," ",LEN($G1875)-LEN(SUBSTITUTE($G1875,"-",""))),"-"," ",LEN($G1875)-LEN(SUBSTITUTE($G1875,"-",""))-1))-LEN(SUBSTITUTE(SUBSTITUTE(SUBSTITUTE($G1875,"-"," ",LEN($G1875)-LEN(SUBSTITUTE($G1875,"-",""))),"-"," ",LEN($G1875)-LEN(SUBSTITUTE($G1875,"-",""))-1),".",""))))),$G1875)))</f>
        <v/>
      </c>
    </row>
    <row r="1876">
      <c r="A1876" s="58" t="n"/>
      <c r="B1876" s="58">
        <f>IF($H1876="","",LEFT($H1876,FIND(" ",$H1876&amp;" ")-1))</f>
        <v/>
      </c>
      <c r="C1876" s="58">
        <f>IF($H1876="","",IFERROR(MID($H1876&amp;" ",FIND("|",SUBSTITUTE($H1876&amp;" "," ","|",1))+1,FIND("|",SUBSTITUTE($H1876&amp;" "," ","|",2))-FIND("|",SUBSTITUTE($H1876&amp;" "," ","|",1))-1),""))</f>
        <v/>
      </c>
      <c r="D1876" s="58">
        <f>IF($H1876="","",IFERROR(MID($H1876&amp;" ",FIND("|",SUBSTITUTE($H1876&amp;" "," ","|",2))+1,FIND("|",SUBSTITUTE($H1876&amp;" "," ","|",3))-FIND("|",SUBSTITUTE($H1876&amp;" "," ","|",2))-1),""))</f>
        <v/>
      </c>
      <c r="E1876" s="58">
        <f>IF($H1876="","",IFERROR(MID($H1876&amp;" ",FIND("|",SUBSTITUTE($H1876&amp;" "," ","|",3))+1,FIND("|",SUBSTITUTE($H1876&amp;" "," ","|",4))-FIND("|",SUBSTITUTE($H1876&amp;" "," ","|",3))-1),""))</f>
        <v/>
      </c>
      <c r="F1876" s="59">
        <f>IF($H1876="","",IFERROR(VALUE(IFERROR(MID($H1876&amp;" ",FIND("|",SUBSTITUTE($H1876&amp;" "," ","|",4))+1,FIND("|",SUBSTITUTE($H1876&amp;" "," ","|",5))-FIND("|",SUBSTITUTE($H1876&amp;" "," ","|",4))-1),""))/86400+25569+9/24,""))</f>
        <v/>
      </c>
      <c r="G1876" s="58">
        <f>TRIM(SUBSTITUTE(SUBSTITUTE(SUBSTITUTE($A1876,CHAR(9)," ")," "," "),CHAR(13),""))</f>
        <v/>
      </c>
      <c r="H1876" s="58">
        <f>IF($G1876="","",IF(ISNUMBER(FIND(" ",$G1876)),$G1876,IFERROR(IF((LEN(SUBSTITUTE(SUBSTITUTE($G1876,"-"," ",LEN($G1876)-LEN(SUBSTITUTE($G1876,"-",""))),"-"," ",LEN($G1876)-LEN(SUBSTITUTE($G1876,"-",""))-1))-LEN(SUBSTITUTE(SUBSTITUTE(SUBSTITUTE($G1876,"-"," ",LEN($G1876)-LEN(SUBSTITUTE($G1876,"-",""))),"-"," ",LEN($G1876)-LEN(SUBSTITUTE($G1876,"-",""))-1),".","")))=0,SUBSTITUTE(SUBSTITUTE($G1876,"-"," ",LEN($G1876)-LEN(SUBSTITUTE($G1876,"-",""))),"-"," ",LEN($G1876)-LEN(SUBSTITUTE($G1876,"-",""))-1),SUBSTITUTE(SUBSTITUTE(SUBSTITUTE($G1876,"-"," ",LEN($G1876)-LEN(SUBSTITUTE($G1876,"-",""))),"-"," ",LEN($G1876)-LEN(SUBSTITUTE($G1876,"-",""))-1),"."," ",(LEN(SUBSTITUTE(SUBSTITUTE($G1876,"-"," ",LEN($G1876)-LEN(SUBSTITUTE($G1876,"-",""))),"-"," ",LEN($G1876)-LEN(SUBSTITUTE($G1876,"-",""))-1))-LEN(SUBSTITUTE(SUBSTITUTE(SUBSTITUTE($G1876,"-"," ",LEN($G1876)-LEN(SUBSTITUTE($G1876,"-",""))),"-"," ",LEN($G1876)-LEN(SUBSTITUTE($G1876,"-",""))-1),".",""))))),$G1876)))</f>
        <v/>
      </c>
    </row>
    <row r="1877">
      <c r="A1877" s="58" t="n"/>
      <c r="B1877" s="58">
        <f>IF($H1877="","",LEFT($H1877,FIND(" ",$H1877&amp;" ")-1))</f>
        <v/>
      </c>
      <c r="C1877" s="58">
        <f>IF($H1877="","",IFERROR(MID($H1877&amp;" ",FIND("|",SUBSTITUTE($H1877&amp;" "," ","|",1))+1,FIND("|",SUBSTITUTE($H1877&amp;" "," ","|",2))-FIND("|",SUBSTITUTE($H1877&amp;" "," ","|",1))-1),""))</f>
        <v/>
      </c>
      <c r="D1877" s="58">
        <f>IF($H1877="","",IFERROR(MID($H1877&amp;" ",FIND("|",SUBSTITUTE($H1877&amp;" "," ","|",2))+1,FIND("|",SUBSTITUTE($H1877&amp;" "," ","|",3))-FIND("|",SUBSTITUTE($H1877&amp;" "," ","|",2))-1),""))</f>
        <v/>
      </c>
      <c r="E1877" s="58">
        <f>IF($H1877="","",IFERROR(MID($H1877&amp;" ",FIND("|",SUBSTITUTE($H1877&amp;" "," ","|",3))+1,FIND("|",SUBSTITUTE($H1877&amp;" "," ","|",4))-FIND("|",SUBSTITUTE($H1877&amp;" "," ","|",3))-1),""))</f>
        <v/>
      </c>
      <c r="F1877" s="59">
        <f>IF($H1877="","",IFERROR(VALUE(IFERROR(MID($H1877&amp;" ",FIND("|",SUBSTITUTE($H1877&amp;" "," ","|",4))+1,FIND("|",SUBSTITUTE($H1877&amp;" "," ","|",5))-FIND("|",SUBSTITUTE($H1877&amp;" "," ","|",4))-1),""))/86400+25569+9/24,""))</f>
        <v/>
      </c>
      <c r="G1877" s="58">
        <f>TRIM(SUBSTITUTE(SUBSTITUTE(SUBSTITUTE($A1877,CHAR(9)," ")," "," "),CHAR(13),""))</f>
        <v/>
      </c>
      <c r="H1877" s="58">
        <f>IF($G1877="","",IF(ISNUMBER(FIND(" ",$G1877)),$G1877,IFERROR(IF((LEN(SUBSTITUTE(SUBSTITUTE($G1877,"-"," ",LEN($G1877)-LEN(SUBSTITUTE($G1877,"-",""))),"-"," ",LEN($G1877)-LEN(SUBSTITUTE($G1877,"-",""))-1))-LEN(SUBSTITUTE(SUBSTITUTE(SUBSTITUTE($G1877,"-"," ",LEN($G1877)-LEN(SUBSTITUTE($G1877,"-",""))),"-"," ",LEN($G1877)-LEN(SUBSTITUTE($G1877,"-",""))-1),".","")))=0,SUBSTITUTE(SUBSTITUTE($G1877,"-"," ",LEN($G1877)-LEN(SUBSTITUTE($G1877,"-",""))),"-"," ",LEN($G1877)-LEN(SUBSTITUTE($G1877,"-",""))-1),SUBSTITUTE(SUBSTITUTE(SUBSTITUTE($G1877,"-"," ",LEN($G1877)-LEN(SUBSTITUTE($G1877,"-",""))),"-"," ",LEN($G1877)-LEN(SUBSTITUTE($G1877,"-",""))-1),"."," ",(LEN(SUBSTITUTE(SUBSTITUTE($G1877,"-"," ",LEN($G1877)-LEN(SUBSTITUTE($G1877,"-",""))),"-"," ",LEN($G1877)-LEN(SUBSTITUTE($G1877,"-",""))-1))-LEN(SUBSTITUTE(SUBSTITUTE(SUBSTITUTE($G1877,"-"," ",LEN($G1877)-LEN(SUBSTITUTE($G1877,"-",""))),"-"," ",LEN($G1877)-LEN(SUBSTITUTE($G1877,"-",""))-1),".",""))))),$G1877)))</f>
        <v/>
      </c>
    </row>
    <row r="1878">
      <c r="A1878" s="58" t="n"/>
      <c r="B1878" s="58">
        <f>IF($H1878="","",LEFT($H1878,FIND(" ",$H1878&amp;" ")-1))</f>
        <v/>
      </c>
      <c r="C1878" s="58">
        <f>IF($H1878="","",IFERROR(MID($H1878&amp;" ",FIND("|",SUBSTITUTE($H1878&amp;" "," ","|",1))+1,FIND("|",SUBSTITUTE($H1878&amp;" "," ","|",2))-FIND("|",SUBSTITUTE($H1878&amp;" "," ","|",1))-1),""))</f>
        <v/>
      </c>
      <c r="D1878" s="58">
        <f>IF($H1878="","",IFERROR(MID($H1878&amp;" ",FIND("|",SUBSTITUTE($H1878&amp;" "," ","|",2))+1,FIND("|",SUBSTITUTE($H1878&amp;" "," ","|",3))-FIND("|",SUBSTITUTE($H1878&amp;" "," ","|",2))-1),""))</f>
        <v/>
      </c>
      <c r="E1878" s="58">
        <f>IF($H1878="","",IFERROR(MID($H1878&amp;" ",FIND("|",SUBSTITUTE($H1878&amp;" "," ","|",3))+1,FIND("|",SUBSTITUTE($H1878&amp;" "," ","|",4))-FIND("|",SUBSTITUTE($H1878&amp;" "," ","|",3))-1),""))</f>
        <v/>
      </c>
      <c r="F1878" s="59">
        <f>IF($H1878="","",IFERROR(VALUE(IFERROR(MID($H1878&amp;" ",FIND("|",SUBSTITUTE($H1878&amp;" "," ","|",4))+1,FIND("|",SUBSTITUTE($H1878&amp;" "," ","|",5))-FIND("|",SUBSTITUTE($H1878&amp;" "," ","|",4))-1),""))/86400+25569+9/24,""))</f>
        <v/>
      </c>
      <c r="G1878" s="58">
        <f>TRIM(SUBSTITUTE(SUBSTITUTE(SUBSTITUTE($A1878,CHAR(9)," ")," "," "),CHAR(13),""))</f>
        <v/>
      </c>
      <c r="H1878" s="58">
        <f>IF($G1878="","",IF(ISNUMBER(FIND(" ",$G1878)),$G1878,IFERROR(IF((LEN(SUBSTITUTE(SUBSTITUTE($G1878,"-"," ",LEN($G1878)-LEN(SUBSTITUTE($G1878,"-",""))),"-"," ",LEN($G1878)-LEN(SUBSTITUTE($G1878,"-",""))-1))-LEN(SUBSTITUTE(SUBSTITUTE(SUBSTITUTE($G1878,"-"," ",LEN($G1878)-LEN(SUBSTITUTE($G1878,"-",""))),"-"," ",LEN($G1878)-LEN(SUBSTITUTE($G1878,"-",""))-1),".","")))=0,SUBSTITUTE(SUBSTITUTE($G1878,"-"," ",LEN($G1878)-LEN(SUBSTITUTE($G1878,"-",""))),"-"," ",LEN($G1878)-LEN(SUBSTITUTE($G1878,"-",""))-1),SUBSTITUTE(SUBSTITUTE(SUBSTITUTE($G1878,"-"," ",LEN($G1878)-LEN(SUBSTITUTE($G1878,"-",""))),"-"," ",LEN($G1878)-LEN(SUBSTITUTE($G1878,"-",""))-1),"."," ",(LEN(SUBSTITUTE(SUBSTITUTE($G1878,"-"," ",LEN($G1878)-LEN(SUBSTITUTE($G1878,"-",""))),"-"," ",LEN($G1878)-LEN(SUBSTITUTE($G1878,"-",""))-1))-LEN(SUBSTITUTE(SUBSTITUTE(SUBSTITUTE($G1878,"-"," ",LEN($G1878)-LEN(SUBSTITUTE($G1878,"-",""))),"-"," ",LEN($G1878)-LEN(SUBSTITUTE($G1878,"-",""))-1),".",""))))),$G1878)))</f>
        <v/>
      </c>
    </row>
    <row r="1879">
      <c r="A1879" s="58" t="n"/>
      <c r="B1879" s="58">
        <f>IF($H1879="","",LEFT($H1879,FIND(" ",$H1879&amp;" ")-1))</f>
        <v/>
      </c>
      <c r="C1879" s="58">
        <f>IF($H1879="","",IFERROR(MID($H1879&amp;" ",FIND("|",SUBSTITUTE($H1879&amp;" "," ","|",1))+1,FIND("|",SUBSTITUTE($H1879&amp;" "," ","|",2))-FIND("|",SUBSTITUTE($H1879&amp;" "," ","|",1))-1),""))</f>
        <v/>
      </c>
      <c r="D1879" s="58">
        <f>IF($H1879="","",IFERROR(MID($H1879&amp;" ",FIND("|",SUBSTITUTE($H1879&amp;" "," ","|",2))+1,FIND("|",SUBSTITUTE($H1879&amp;" "," ","|",3))-FIND("|",SUBSTITUTE($H1879&amp;" "," ","|",2))-1),""))</f>
        <v/>
      </c>
      <c r="E1879" s="58">
        <f>IF($H1879="","",IFERROR(MID($H1879&amp;" ",FIND("|",SUBSTITUTE($H1879&amp;" "," ","|",3))+1,FIND("|",SUBSTITUTE($H1879&amp;" "," ","|",4))-FIND("|",SUBSTITUTE($H1879&amp;" "," ","|",3))-1),""))</f>
        <v/>
      </c>
      <c r="F1879" s="59">
        <f>IF($H1879="","",IFERROR(VALUE(IFERROR(MID($H1879&amp;" ",FIND("|",SUBSTITUTE($H1879&amp;" "," ","|",4))+1,FIND("|",SUBSTITUTE($H1879&amp;" "," ","|",5))-FIND("|",SUBSTITUTE($H1879&amp;" "," ","|",4))-1),""))/86400+25569+9/24,""))</f>
        <v/>
      </c>
      <c r="G1879" s="58">
        <f>TRIM(SUBSTITUTE(SUBSTITUTE(SUBSTITUTE($A1879,CHAR(9)," ")," "," "),CHAR(13),""))</f>
        <v/>
      </c>
      <c r="H1879" s="58">
        <f>IF($G1879="","",IF(ISNUMBER(FIND(" ",$G1879)),$G1879,IFERROR(IF((LEN(SUBSTITUTE(SUBSTITUTE($G1879,"-"," ",LEN($G1879)-LEN(SUBSTITUTE($G1879,"-",""))),"-"," ",LEN($G1879)-LEN(SUBSTITUTE($G1879,"-",""))-1))-LEN(SUBSTITUTE(SUBSTITUTE(SUBSTITUTE($G1879,"-"," ",LEN($G1879)-LEN(SUBSTITUTE($G1879,"-",""))),"-"," ",LEN($G1879)-LEN(SUBSTITUTE($G1879,"-",""))-1),".","")))=0,SUBSTITUTE(SUBSTITUTE($G1879,"-"," ",LEN($G1879)-LEN(SUBSTITUTE($G1879,"-",""))),"-"," ",LEN($G1879)-LEN(SUBSTITUTE($G1879,"-",""))-1),SUBSTITUTE(SUBSTITUTE(SUBSTITUTE($G1879,"-"," ",LEN($G1879)-LEN(SUBSTITUTE($G1879,"-",""))),"-"," ",LEN($G1879)-LEN(SUBSTITUTE($G1879,"-",""))-1),"."," ",(LEN(SUBSTITUTE(SUBSTITUTE($G1879,"-"," ",LEN($G1879)-LEN(SUBSTITUTE($G1879,"-",""))),"-"," ",LEN($G1879)-LEN(SUBSTITUTE($G1879,"-",""))-1))-LEN(SUBSTITUTE(SUBSTITUTE(SUBSTITUTE($G1879,"-"," ",LEN($G1879)-LEN(SUBSTITUTE($G1879,"-",""))),"-"," ",LEN($G1879)-LEN(SUBSTITUTE($G1879,"-",""))-1),".",""))))),$G1879)))</f>
        <v/>
      </c>
    </row>
    <row r="1880">
      <c r="A1880" s="58" t="n"/>
      <c r="B1880" s="58">
        <f>IF($H1880="","",LEFT($H1880,FIND(" ",$H1880&amp;" ")-1))</f>
        <v/>
      </c>
      <c r="C1880" s="58">
        <f>IF($H1880="","",IFERROR(MID($H1880&amp;" ",FIND("|",SUBSTITUTE($H1880&amp;" "," ","|",1))+1,FIND("|",SUBSTITUTE($H1880&amp;" "," ","|",2))-FIND("|",SUBSTITUTE($H1880&amp;" "," ","|",1))-1),""))</f>
        <v/>
      </c>
      <c r="D1880" s="58">
        <f>IF($H1880="","",IFERROR(MID($H1880&amp;" ",FIND("|",SUBSTITUTE($H1880&amp;" "," ","|",2))+1,FIND("|",SUBSTITUTE($H1880&amp;" "," ","|",3))-FIND("|",SUBSTITUTE($H1880&amp;" "," ","|",2))-1),""))</f>
        <v/>
      </c>
      <c r="E1880" s="58">
        <f>IF($H1880="","",IFERROR(MID($H1880&amp;" ",FIND("|",SUBSTITUTE($H1880&amp;" "," ","|",3))+1,FIND("|",SUBSTITUTE($H1880&amp;" "," ","|",4))-FIND("|",SUBSTITUTE($H1880&amp;" "," ","|",3))-1),""))</f>
        <v/>
      </c>
      <c r="F1880" s="59">
        <f>IF($H1880="","",IFERROR(VALUE(IFERROR(MID($H1880&amp;" ",FIND("|",SUBSTITUTE($H1880&amp;" "," ","|",4))+1,FIND("|",SUBSTITUTE($H1880&amp;" "," ","|",5))-FIND("|",SUBSTITUTE($H1880&amp;" "," ","|",4))-1),""))/86400+25569+9/24,""))</f>
        <v/>
      </c>
      <c r="G1880" s="58">
        <f>TRIM(SUBSTITUTE(SUBSTITUTE(SUBSTITUTE($A1880,CHAR(9)," ")," "," "),CHAR(13),""))</f>
        <v/>
      </c>
      <c r="H1880" s="58">
        <f>IF($G1880="","",IF(ISNUMBER(FIND(" ",$G1880)),$G1880,IFERROR(IF((LEN(SUBSTITUTE(SUBSTITUTE($G1880,"-"," ",LEN($G1880)-LEN(SUBSTITUTE($G1880,"-",""))),"-"," ",LEN($G1880)-LEN(SUBSTITUTE($G1880,"-",""))-1))-LEN(SUBSTITUTE(SUBSTITUTE(SUBSTITUTE($G1880,"-"," ",LEN($G1880)-LEN(SUBSTITUTE($G1880,"-",""))),"-"," ",LEN($G1880)-LEN(SUBSTITUTE($G1880,"-",""))-1),".","")))=0,SUBSTITUTE(SUBSTITUTE($G1880,"-"," ",LEN($G1880)-LEN(SUBSTITUTE($G1880,"-",""))),"-"," ",LEN($G1880)-LEN(SUBSTITUTE($G1880,"-",""))-1),SUBSTITUTE(SUBSTITUTE(SUBSTITUTE($G1880,"-"," ",LEN($G1880)-LEN(SUBSTITUTE($G1880,"-",""))),"-"," ",LEN($G1880)-LEN(SUBSTITUTE($G1880,"-",""))-1),"."," ",(LEN(SUBSTITUTE(SUBSTITUTE($G1880,"-"," ",LEN($G1880)-LEN(SUBSTITUTE($G1880,"-",""))),"-"," ",LEN($G1880)-LEN(SUBSTITUTE($G1880,"-",""))-1))-LEN(SUBSTITUTE(SUBSTITUTE(SUBSTITUTE($G1880,"-"," ",LEN($G1880)-LEN(SUBSTITUTE($G1880,"-",""))),"-"," ",LEN($G1880)-LEN(SUBSTITUTE($G1880,"-",""))-1),".",""))))),$G1880)))</f>
        <v/>
      </c>
    </row>
    <row r="1881">
      <c r="A1881" s="58" t="n"/>
      <c r="B1881" s="58">
        <f>IF($H1881="","",LEFT($H1881,FIND(" ",$H1881&amp;" ")-1))</f>
        <v/>
      </c>
      <c r="C1881" s="58">
        <f>IF($H1881="","",IFERROR(MID($H1881&amp;" ",FIND("|",SUBSTITUTE($H1881&amp;" "," ","|",1))+1,FIND("|",SUBSTITUTE($H1881&amp;" "," ","|",2))-FIND("|",SUBSTITUTE($H1881&amp;" "," ","|",1))-1),""))</f>
        <v/>
      </c>
      <c r="D1881" s="58">
        <f>IF($H1881="","",IFERROR(MID($H1881&amp;" ",FIND("|",SUBSTITUTE($H1881&amp;" "," ","|",2))+1,FIND("|",SUBSTITUTE($H1881&amp;" "," ","|",3))-FIND("|",SUBSTITUTE($H1881&amp;" "," ","|",2))-1),""))</f>
        <v/>
      </c>
      <c r="E1881" s="58">
        <f>IF($H1881="","",IFERROR(MID($H1881&amp;" ",FIND("|",SUBSTITUTE($H1881&amp;" "," ","|",3))+1,FIND("|",SUBSTITUTE($H1881&amp;" "," ","|",4))-FIND("|",SUBSTITUTE($H1881&amp;" "," ","|",3))-1),""))</f>
        <v/>
      </c>
      <c r="F1881" s="59">
        <f>IF($H1881="","",IFERROR(VALUE(IFERROR(MID($H1881&amp;" ",FIND("|",SUBSTITUTE($H1881&amp;" "," ","|",4))+1,FIND("|",SUBSTITUTE($H1881&amp;" "," ","|",5))-FIND("|",SUBSTITUTE($H1881&amp;" "," ","|",4))-1),""))/86400+25569+9/24,""))</f>
        <v/>
      </c>
      <c r="G1881" s="58">
        <f>TRIM(SUBSTITUTE(SUBSTITUTE(SUBSTITUTE($A1881,CHAR(9)," ")," "," "),CHAR(13),""))</f>
        <v/>
      </c>
      <c r="H1881" s="58">
        <f>IF($G1881="","",IF(ISNUMBER(FIND(" ",$G1881)),$G1881,IFERROR(IF((LEN(SUBSTITUTE(SUBSTITUTE($G1881,"-"," ",LEN($G1881)-LEN(SUBSTITUTE($G1881,"-",""))),"-"," ",LEN($G1881)-LEN(SUBSTITUTE($G1881,"-",""))-1))-LEN(SUBSTITUTE(SUBSTITUTE(SUBSTITUTE($G1881,"-"," ",LEN($G1881)-LEN(SUBSTITUTE($G1881,"-",""))),"-"," ",LEN($G1881)-LEN(SUBSTITUTE($G1881,"-",""))-1),".","")))=0,SUBSTITUTE(SUBSTITUTE($G1881,"-"," ",LEN($G1881)-LEN(SUBSTITUTE($G1881,"-",""))),"-"," ",LEN($G1881)-LEN(SUBSTITUTE($G1881,"-",""))-1),SUBSTITUTE(SUBSTITUTE(SUBSTITUTE($G1881,"-"," ",LEN($G1881)-LEN(SUBSTITUTE($G1881,"-",""))),"-"," ",LEN($G1881)-LEN(SUBSTITUTE($G1881,"-",""))-1),"."," ",(LEN(SUBSTITUTE(SUBSTITUTE($G1881,"-"," ",LEN($G1881)-LEN(SUBSTITUTE($G1881,"-",""))),"-"," ",LEN($G1881)-LEN(SUBSTITUTE($G1881,"-",""))-1))-LEN(SUBSTITUTE(SUBSTITUTE(SUBSTITUTE($G1881,"-"," ",LEN($G1881)-LEN(SUBSTITUTE($G1881,"-",""))),"-"," ",LEN($G1881)-LEN(SUBSTITUTE($G1881,"-",""))-1),".",""))))),$G1881)))</f>
        <v/>
      </c>
    </row>
    <row r="1882">
      <c r="A1882" s="58" t="n"/>
      <c r="B1882" s="58">
        <f>IF($H1882="","",LEFT($H1882,FIND(" ",$H1882&amp;" ")-1))</f>
        <v/>
      </c>
      <c r="C1882" s="58">
        <f>IF($H1882="","",IFERROR(MID($H1882&amp;" ",FIND("|",SUBSTITUTE($H1882&amp;" "," ","|",1))+1,FIND("|",SUBSTITUTE($H1882&amp;" "," ","|",2))-FIND("|",SUBSTITUTE($H1882&amp;" "," ","|",1))-1),""))</f>
        <v/>
      </c>
      <c r="D1882" s="58">
        <f>IF($H1882="","",IFERROR(MID($H1882&amp;" ",FIND("|",SUBSTITUTE($H1882&amp;" "," ","|",2))+1,FIND("|",SUBSTITUTE($H1882&amp;" "," ","|",3))-FIND("|",SUBSTITUTE($H1882&amp;" "," ","|",2))-1),""))</f>
        <v/>
      </c>
      <c r="E1882" s="58">
        <f>IF($H1882="","",IFERROR(MID($H1882&amp;" ",FIND("|",SUBSTITUTE($H1882&amp;" "," ","|",3))+1,FIND("|",SUBSTITUTE($H1882&amp;" "," ","|",4))-FIND("|",SUBSTITUTE($H1882&amp;" "," ","|",3))-1),""))</f>
        <v/>
      </c>
      <c r="F1882" s="59">
        <f>IF($H1882="","",IFERROR(VALUE(IFERROR(MID($H1882&amp;" ",FIND("|",SUBSTITUTE($H1882&amp;" "," ","|",4))+1,FIND("|",SUBSTITUTE($H1882&amp;" "," ","|",5))-FIND("|",SUBSTITUTE($H1882&amp;" "," ","|",4))-1),""))/86400+25569+9/24,""))</f>
        <v/>
      </c>
      <c r="G1882" s="58">
        <f>TRIM(SUBSTITUTE(SUBSTITUTE(SUBSTITUTE($A1882,CHAR(9)," ")," "," "),CHAR(13),""))</f>
        <v/>
      </c>
      <c r="H1882" s="58">
        <f>IF($G1882="","",IF(ISNUMBER(FIND(" ",$G1882)),$G1882,IFERROR(IF((LEN(SUBSTITUTE(SUBSTITUTE($G1882,"-"," ",LEN($G1882)-LEN(SUBSTITUTE($G1882,"-",""))),"-"," ",LEN($G1882)-LEN(SUBSTITUTE($G1882,"-",""))-1))-LEN(SUBSTITUTE(SUBSTITUTE(SUBSTITUTE($G1882,"-"," ",LEN($G1882)-LEN(SUBSTITUTE($G1882,"-",""))),"-"," ",LEN($G1882)-LEN(SUBSTITUTE($G1882,"-",""))-1),".","")))=0,SUBSTITUTE(SUBSTITUTE($G1882,"-"," ",LEN($G1882)-LEN(SUBSTITUTE($G1882,"-",""))),"-"," ",LEN($G1882)-LEN(SUBSTITUTE($G1882,"-",""))-1),SUBSTITUTE(SUBSTITUTE(SUBSTITUTE($G1882,"-"," ",LEN($G1882)-LEN(SUBSTITUTE($G1882,"-",""))),"-"," ",LEN($G1882)-LEN(SUBSTITUTE($G1882,"-",""))-1),"."," ",(LEN(SUBSTITUTE(SUBSTITUTE($G1882,"-"," ",LEN($G1882)-LEN(SUBSTITUTE($G1882,"-",""))),"-"," ",LEN($G1882)-LEN(SUBSTITUTE($G1882,"-",""))-1))-LEN(SUBSTITUTE(SUBSTITUTE(SUBSTITUTE($G1882,"-"," ",LEN($G1882)-LEN(SUBSTITUTE($G1882,"-",""))),"-"," ",LEN($G1882)-LEN(SUBSTITUTE($G1882,"-",""))-1),".",""))))),$G1882)))</f>
        <v/>
      </c>
    </row>
    <row r="1883">
      <c r="A1883" s="58" t="n"/>
      <c r="B1883" s="58">
        <f>IF($H1883="","",LEFT($H1883,FIND(" ",$H1883&amp;" ")-1))</f>
        <v/>
      </c>
      <c r="C1883" s="58">
        <f>IF($H1883="","",IFERROR(MID($H1883&amp;" ",FIND("|",SUBSTITUTE($H1883&amp;" "," ","|",1))+1,FIND("|",SUBSTITUTE($H1883&amp;" "," ","|",2))-FIND("|",SUBSTITUTE($H1883&amp;" "," ","|",1))-1),""))</f>
        <v/>
      </c>
      <c r="D1883" s="58">
        <f>IF($H1883="","",IFERROR(MID($H1883&amp;" ",FIND("|",SUBSTITUTE($H1883&amp;" "," ","|",2))+1,FIND("|",SUBSTITUTE($H1883&amp;" "," ","|",3))-FIND("|",SUBSTITUTE($H1883&amp;" "," ","|",2))-1),""))</f>
        <v/>
      </c>
      <c r="E1883" s="58">
        <f>IF($H1883="","",IFERROR(MID($H1883&amp;" ",FIND("|",SUBSTITUTE($H1883&amp;" "," ","|",3))+1,FIND("|",SUBSTITUTE($H1883&amp;" "," ","|",4))-FIND("|",SUBSTITUTE($H1883&amp;" "," ","|",3))-1),""))</f>
        <v/>
      </c>
      <c r="F1883" s="59">
        <f>IF($H1883="","",IFERROR(VALUE(IFERROR(MID($H1883&amp;" ",FIND("|",SUBSTITUTE($H1883&amp;" "," ","|",4))+1,FIND("|",SUBSTITUTE($H1883&amp;" "," ","|",5))-FIND("|",SUBSTITUTE($H1883&amp;" "," ","|",4))-1),""))/86400+25569+9/24,""))</f>
        <v/>
      </c>
      <c r="G1883" s="58">
        <f>TRIM(SUBSTITUTE(SUBSTITUTE(SUBSTITUTE($A1883,CHAR(9)," ")," "," "),CHAR(13),""))</f>
        <v/>
      </c>
      <c r="H1883" s="58">
        <f>IF($G1883="","",IF(ISNUMBER(FIND(" ",$G1883)),$G1883,IFERROR(IF((LEN(SUBSTITUTE(SUBSTITUTE($G1883,"-"," ",LEN($G1883)-LEN(SUBSTITUTE($G1883,"-",""))),"-"," ",LEN($G1883)-LEN(SUBSTITUTE($G1883,"-",""))-1))-LEN(SUBSTITUTE(SUBSTITUTE(SUBSTITUTE($G1883,"-"," ",LEN($G1883)-LEN(SUBSTITUTE($G1883,"-",""))),"-"," ",LEN($G1883)-LEN(SUBSTITUTE($G1883,"-",""))-1),".","")))=0,SUBSTITUTE(SUBSTITUTE($G1883,"-"," ",LEN($G1883)-LEN(SUBSTITUTE($G1883,"-",""))),"-"," ",LEN($G1883)-LEN(SUBSTITUTE($G1883,"-",""))-1),SUBSTITUTE(SUBSTITUTE(SUBSTITUTE($G1883,"-"," ",LEN($G1883)-LEN(SUBSTITUTE($G1883,"-",""))),"-"," ",LEN($G1883)-LEN(SUBSTITUTE($G1883,"-",""))-1),"."," ",(LEN(SUBSTITUTE(SUBSTITUTE($G1883,"-"," ",LEN($G1883)-LEN(SUBSTITUTE($G1883,"-",""))),"-"," ",LEN($G1883)-LEN(SUBSTITUTE($G1883,"-",""))-1))-LEN(SUBSTITUTE(SUBSTITUTE(SUBSTITUTE($G1883,"-"," ",LEN($G1883)-LEN(SUBSTITUTE($G1883,"-",""))),"-"," ",LEN($G1883)-LEN(SUBSTITUTE($G1883,"-",""))-1),".",""))))),$G1883)))</f>
        <v/>
      </c>
    </row>
    <row r="1884">
      <c r="A1884" s="58" t="n"/>
      <c r="B1884" s="58">
        <f>IF($H1884="","",LEFT($H1884,FIND(" ",$H1884&amp;" ")-1))</f>
        <v/>
      </c>
      <c r="C1884" s="58">
        <f>IF($H1884="","",IFERROR(MID($H1884&amp;" ",FIND("|",SUBSTITUTE($H1884&amp;" "," ","|",1))+1,FIND("|",SUBSTITUTE($H1884&amp;" "," ","|",2))-FIND("|",SUBSTITUTE($H1884&amp;" "," ","|",1))-1),""))</f>
        <v/>
      </c>
      <c r="D1884" s="58">
        <f>IF($H1884="","",IFERROR(MID($H1884&amp;" ",FIND("|",SUBSTITUTE($H1884&amp;" "," ","|",2))+1,FIND("|",SUBSTITUTE($H1884&amp;" "," ","|",3))-FIND("|",SUBSTITUTE($H1884&amp;" "," ","|",2))-1),""))</f>
        <v/>
      </c>
      <c r="E1884" s="58">
        <f>IF($H1884="","",IFERROR(MID($H1884&amp;" ",FIND("|",SUBSTITUTE($H1884&amp;" "," ","|",3))+1,FIND("|",SUBSTITUTE($H1884&amp;" "," ","|",4))-FIND("|",SUBSTITUTE($H1884&amp;" "," ","|",3))-1),""))</f>
        <v/>
      </c>
      <c r="F1884" s="59">
        <f>IF($H1884="","",IFERROR(VALUE(IFERROR(MID($H1884&amp;" ",FIND("|",SUBSTITUTE($H1884&amp;" "," ","|",4))+1,FIND("|",SUBSTITUTE($H1884&amp;" "," ","|",5))-FIND("|",SUBSTITUTE($H1884&amp;" "," ","|",4))-1),""))/86400+25569+9/24,""))</f>
        <v/>
      </c>
      <c r="G1884" s="58">
        <f>TRIM(SUBSTITUTE(SUBSTITUTE(SUBSTITUTE($A1884,CHAR(9)," ")," "," "),CHAR(13),""))</f>
        <v/>
      </c>
      <c r="H1884" s="58">
        <f>IF($G1884="","",IF(ISNUMBER(FIND(" ",$G1884)),$G1884,IFERROR(IF((LEN(SUBSTITUTE(SUBSTITUTE($G1884,"-"," ",LEN($G1884)-LEN(SUBSTITUTE($G1884,"-",""))),"-"," ",LEN($G1884)-LEN(SUBSTITUTE($G1884,"-",""))-1))-LEN(SUBSTITUTE(SUBSTITUTE(SUBSTITUTE($G1884,"-"," ",LEN($G1884)-LEN(SUBSTITUTE($G1884,"-",""))),"-"," ",LEN($G1884)-LEN(SUBSTITUTE($G1884,"-",""))-1),".","")))=0,SUBSTITUTE(SUBSTITUTE($G1884,"-"," ",LEN($G1884)-LEN(SUBSTITUTE($G1884,"-",""))),"-"," ",LEN($G1884)-LEN(SUBSTITUTE($G1884,"-",""))-1),SUBSTITUTE(SUBSTITUTE(SUBSTITUTE($G1884,"-"," ",LEN($G1884)-LEN(SUBSTITUTE($G1884,"-",""))),"-"," ",LEN($G1884)-LEN(SUBSTITUTE($G1884,"-",""))-1),"."," ",(LEN(SUBSTITUTE(SUBSTITUTE($G1884,"-"," ",LEN($G1884)-LEN(SUBSTITUTE($G1884,"-",""))),"-"," ",LEN($G1884)-LEN(SUBSTITUTE($G1884,"-",""))-1))-LEN(SUBSTITUTE(SUBSTITUTE(SUBSTITUTE($G1884,"-"," ",LEN($G1884)-LEN(SUBSTITUTE($G1884,"-",""))),"-"," ",LEN($G1884)-LEN(SUBSTITUTE($G1884,"-",""))-1),".",""))))),$G1884)))</f>
        <v/>
      </c>
    </row>
    <row r="1885">
      <c r="A1885" s="58" t="n"/>
      <c r="B1885" s="58">
        <f>IF($H1885="","",LEFT($H1885,FIND(" ",$H1885&amp;" ")-1))</f>
        <v/>
      </c>
      <c r="C1885" s="58">
        <f>IF($H1885="","",IFERROR(MID($H1885&amp;" ",FIND("|",SUBSTITUTE($H1885&amp;" "," ","|",1))+1,FIND("|",SUBSTITUTE($H1885&amp;" "," ","|",2))-FIND("|",SUBSTITUTE($H1885&amp;" "," ","|",1))-1),""))</f>
        <v/>
      </c>
      <c r="D1885" s="58">
        <f>IF($H1885="","",IFERROR(MID($H1885&amp;" ",FIND("|",SUBSTITUTE($H1885&amp;" "," ","|",2))+1,FIND("|",SUBSTITUTE($H1885&amp;" "," ","|",3))-FIND("|",SUBSTITUTE($H1885&amp;" "," ","|",2))-1),""))</f>
        <v/>
      </c>
      <c r="E1885" s="58">
        <f>IF($H1885="","",IFERROR(MID($H1885&amp;" ",FIND("|",SUBSTITUTE($H1885&amp;" "," ","|",3))+1,FIND("|",SUBSTITUTE($H1885&amp;" "," ","|",4))-FIND("|",SUBSTITUTE($H1885&amp;" "," ","|",3))-1),""))</f>
        <v/>
      </c>
      <c r="F1885" s="59">
        <f>IF($H1885="","",IFERROR(VALUE(IFERROR(MID($H1885&amp;" ",FIND("|",SUBSTITUTE($H1885&amp;" "," ","|",4))+1,FIND("|",SUBSTITUTE($H1885&amp;" "," ","|",5))-FIND("|",SUBSTITUTE($H1885&amp;" "," ","|",4))-1),""))/86400+25569+9/24,""))</f>
        <v/>
      </c>
      <c r="G1885" s="58">
        <f>TRIM(SUBSTITUTE(SUBSTITUTE(SUBSTITUTE($A1885,CHAR(9)," ")," "," "),CHAR(13),""))</f>
        <v/>
      </c>
      <c r="H1885" s="58">
        <f>IF($G1885="","",IF(ISNUMBER(FIND(" ",$G1885)),$G1885,IFERROR(IF((LEN(SUBSTITUTE(SUBSTITUTE($G1885,"-"," ",LEN($G1885)-LEN(SUBSTITUTE($G1885,"-",""))),"-"," ",LEN($G1885)-LEN(SUBSTITUTE($G1885,"-",""))-1))-LEN(SUBSTITUTE(SUBSTITUTE(SUBSTITUTE($G1885,"-"," ",LEN($G1885)-LEN(SUBSTITUTE($G1885,"-",""))),"-"," ",LEN($G1885)-LEN(SUBSTITUTE($G1885,"-",""))-1),".","")))=0,SUBSTITUTE(SUBSTITUTE($G1885,"-"," ",LEN($G1885)-LEN(SUBSTITUTE($G1885,"-",""))),"-"," ",LEN($G1885)-LEN(SUBSTITUTE($G1885,"-",""))-1),SUBSTITUTE(SUBSTITUTE(SUBSTITUTE($G1885,"-"," ",LEN($G1885)-LEN(SUBSTITUTE($G1885,"-",""))),"-"," ",LEN($G1885)-LEN(SUBSTITUTE($G1885,"-",""))-1),"."," ",(LEN(SUBSTITUTE(SUBSTITUTE($G1885,"-"," ",LEN($G1885)-LEN(SUBSTITUTE($G1885,"-",""))),"-"," ",LEN($G1885)-LEN(SUBSTITUTE($G1885,"-",""))-1))-LEN(SUBSTITUTE(SUBSTITUTE(SUBSTITUTE($G1885,"-"," ",LEN($G1885)-LEN(SUBSTITUTE($G1885,"-",""))),"-"," ",LEN($G1885)-LEN(SUBSTITUTE($G1885,"-",""))-1),".",""))))),$G1885)))</f>
        <v/>
      </c>
    </row>
    <row r="1886">
      <c r="A1886" s="58" t="n"/>
      <c r="B1886" s="58">
        <f>IF($H1886="","",LEFT($H1886,FIND(" ",$H1886&amp;" ")-1))</f>
        <v/>
      </c>
      <c r="C1886" s="58">
        <f>IF($H1886="","",IFERROR(MID($H1886&amp;" ",FIND("|",SUBSTITUTE($H1886&amp;" "," ","|",1))+1,FIND("|",SUBSTITUTE($H1886&amp;" "," ","|",2))-FIND("|",SUBSTITUTE($H1886&amp;" "," ","|",1))-1),""))</f>
        <v/>
      </c>
      <c r="D1886" s="58">
        <f>IF($H1886="","",IFERROR(MID($H1886&amp;" ",FIND("|",SUBSTITUTE($H1886&amp;" "," ","|",2))+1,FIND("|",SUBSTITUTE($H1886&amp;" "," ","|",3))-FIND("|",SUBSTITUTE($H1886&amp;" "," ","|",2))-1),""))</f>
        <v/>
      </c>
      <c r="E1886" s="58">
        <f>IF($H1886="","",IFERROR(MID($H1886&amp;" ",FIND("|",SUBSTITUTE($H1886&amp;" "," ","|",3))+1,FIND("|",SUBSTITUTE($H1886&amp;" "," ","|",4))-FIND("|",SUBSTITUTE($H1886&amp;" "," ","|",3))-1),""))</f>
        <v/>
      </c>
      <c r="F1886" s="59">
        <f>IF($H1886="","",IFERROR(VALUE(IFERROR(MID($H1886&amp;" ",FIND("|",SUBSTITUTE($H1886&amp;" "," ","|",4))+1,FIND("|",SUBSTITUTE($H1886&amp;" "," ","|",5))-FIND("|",SUBSTITUTE($H1886&amp;" "," ","|",4))-1),""))/86400+25569+9/24,""))</f>
        <v/>
      </c>
      <c r="G1886" s="58">
        <f>TRIM(SUBSTITUTE(SUBSTITUTE(SUBSTITUTE($A1886,CHAR(9)," ")," "," "),CHAR(13),""))</f>
        <v/>
      </c>
      <c r="H1886" s="58">
        <f>IF($G1886="","",IF(ISNUMBER(FIND(" ",$G1886)),$G1886,IFERROR(IF((LEN(SUBSTITUTE(SUBSTITUTE($G1886,"-"," ",LEN($G1886)-LEN(SUBSTITUTE($G1886,"-",""))),"-"," ",LEN($G1886)-LEN(SUBSTITUTE($G1886,"-",""))-1))-LEN(SUBSTITUTE(SUBSTITUTE(SUBSTITUTE($G1886,"-"," ",LEN($G1886)-LEN(SUBSTITUTE($G1886,"-",""))),"-"," ",LEN($G1886)-LEN(SUBSTITUTE($G1886,"-",""))-1),".","")))=0,SUBSTITUTE(SUBSTITUTE($G1886,"-"," ",LEN($G1886)-LEN(SUBSTITUTE($G1886,"-",""))),"-"," ",LEN($G1886)-LEN(SUBSTITUTE($G1886,"-",""))-1),SUBSTITUTE(SUBSTITUTE(SUBSTITUTE($G1886,"-"," ",LEN($G1886)-LEN(SUBSTITUTE($G1886,"-",""))),"-"," ",LEN($G1886)-LEN(SUBSTITUTE($G1886,"-",""))-1),"."," ",(LEN(SUBSTITUTE(SUBSTITUTE($G1886,"-"," ",LEN($G1886)-LEN(SUBSTITUTE($G1886,"-",""))),"-"," ",LEN($G1886)-LEN(SUBSTITUTE($G1886,"-",""))-1))-LEN(SUBSTITUTE(SUBSTITUTE(SUBSTITUTE($G1886,"-"," ",LEN($G1886)-LEN(SUBSTITUTE($G1886,"-",""))),"-"," ",LEN($G1886)-LEN(SUBSTITUTE($G1886,"-",""))-1),".",""))))),$G1886)))</f>
        <v/>
      </c>
    </row>
    <row r="1887">
      <c r="A1887" s="58" t="n"/>
      <c r="B1887" s="58">
        <f>IF($H1887="","",LEFT($H1887,FIND(" ",$H1887&amp;" ")-1))</f>
        <v/>
      </c>
      <c r="C1887" s="58">
        <f>IF($H1887="","",IFERROR(MID($H1887&amp;" ",FIND("|",SUBSTITUTE($H1887&amp;" "," ","|",1))+1,FIND("|",SUBSTITUTE($H1887&amp;" "," ","|",2))-FIND("|",SUBSTITUTE($H1887&amp;" "," ","|",1))-1),""))</f>
        <v/>
      </c>
      <c r="D1887" s="58">
        <f>IF($H1887="","",IFERROR(MID($H1887&amp;" ",FIND("|",SUBSTITUTE($H1887&amp;" "," ","|",2))+1,FIND("|",SUBSTITUTE($H1887&amp;" "," ","|",3))-FIND("|",SUBSTITUTE($H1887&amp;" "," ","|",2))-1),""))</f>
        <v/>
      </c>
      <c r="E1887" s="58">
        <f>IF($H1887="","",IFERROR(MID($H1887&amp;" ",FIND("|",SUBSTITUTE($H1887&amp;" "," ","|",3))+1,FIND("|",SUBSTITUTE($H1887&amp;" "," ","|",4))-FIND("|",SUBSTITUTE($H1887&amp;" "," ","|",3))-1),""))</f>
        <v/>
      </c>
      <c r="F1887" s="59">
        <f>IF($H1887="","",IFERROR(VALUE(IFERROR(MID($H1887&amp;" ",FIND("|",SUBSTITUTE($H1887&amp;" "," ","|",4))+1,FIND("|",SUBSTITUTE($H1887&amp;" "," ","|",5))-FIND("|",SUBSTITUTE($H1887&amp;" "," ","|",4))-1),""))/86400+25569+9/24,""))</f>
        <v/>
      </c>
      <c r="G1887" s="58">
        <f>TRIM(SUBSTITUTE(SUBSTITUTE(SUBSTITUTE($A1887,CHAR(9)," ")," "," "),CHAR(13),""))</f>
        <v/>
      </c>
      <c r="H1887" s="58">
        <f>IF($G1887="","",IF(ISNUMBER(FIND(" ",$G1887)),$G1887,IFERROR(IF((LEN(SUBSTITUTE(SUBSTITUTE($G1887,"-"," ",LEN($G1887)-LEN(SUBSTITUTE($G1887,"-",""))),"-"," ",LEN($G1887)-LEN(SUBSTITUTE($G1887,"-",""))-1))-LEN(SUBSTITUTE(SUBSTITUTE(SUBSTITUTE($G1887,"-"," ",LEN($G1887)-LEN(SUBSTITUTE($G1887,"-",""))),"-"," ",LEN($G1887)-LEN(SUBSTITUTE($G1887,"-",""))-1),".","")))=0,SUBSTITUTE(SUBSTITUTE($G1887,"-"," ",LEN($G1887)-LEN(SUBSTITUTE($G1887,"-",""))),"-"," ",LEN($G1887)-LEN(SUBSTITUTE($G1887,"-",""))-1),SUBSTITUTE(SUBSTITUTE(SUBSTITUTE($G1887,"-"," ",LEN($G1887)-LEN(SUBSTITUTE($G1887,"-",""))),"-"," ",LEN($G1887)-LEN(SUBSTITUTE($G1887,"-",""))-1),"."," ",(LEN(SUBSTITUTE(SUBSTITUTE($G1887,"-"," ",LEN($G1887)-LEN(SUBSTITUTE($G1887,"-",""))),"-"," ",LEN($G1887)-LEN(SUBSTITUTE($G1887,"-",""))-1))-LEN(SUBSTITUTE(SUBSTITUTE(SUBSTITUTE($G1887,"-"," ",LEN($G1887)-LEN(SUBSTITUTE($G1887,"-",""))),"-"," ",LEN($G1887)-LEN(SUBSTITUTE($G1887,"-",""))-1),".",""))))),$G1887)))</f>
        <v/>
      </c>
    </row>
    <row r="1888">
      <c r="A1888" s="58" t="n"/>
      <c r="B1888" s="58">
        <f>IF($H1888="","",LEFT($H1888,FIND(" ",$H1888&amp;" ")-1))</f>
        <v/>
      </c>
      <c r="C1888" s="58">
        <f>IF($H1888="","",IFERROR(MID($H1888&amp;" ",FIND("|",SUBSTITUTE($H1888&amp;" "," ","|",1))+1,FIND("|",SUBSTITUTE($H1888&amp;" "," ","|",2))-FIND("|",SUBSTITUTE($H1888&amp;" "," ","|",1))-1),""))</f>
        <v/>
      </c>
      <c r="D1888" s="58">
        <f>IF($H1888="","",IFERROR(MID($H1888&amp;" ",FIND("|",SUBSTITUTE($H1888&amp;" "," ","|",2))+1,FIND("|",SUBSTITUTE($H1888&amp;" "," ","|",3))-FIND("|",SUBSTITUTE($H1888&amp;" "," ","|",2))-1),""))</f>
        <v/>
      </c>
      <c r="E1888" s="58">
        <f>IF($H1888="","",IFERROR(MID($H1888&amp;" ",FIND("|",SUBSTITUTE($H1888&amp;" "," ","|",3))+1,FIND("|",SUBSTITUTE($H1888&amp;" "," ","|",4))-FIND("|",SUBSTITUTE($H1888&amp;" "," ","|",3))-1),""))</f>
        <v/>
      </c>
      <c r="F1888" s="59">
        <f>IF($H1888="","",IFERROR(VALUE(IFERROR(MID($H1888&amp;" ",FIND("|",SUBSTITUTE($H1888&amp;" "," ","|",4))+1,FIND("|",SUBSTITUTE($H1888&amp;" "," ","|",5))-FIND("|",SUBSTITUTE($H1888&amp;" "," ","|",4))-1),""))/86400+25569+9/24,""))</f>
        <v/>
      </c>
      <c r="G1888" s="58">
        <f>TRIM(SUBSTITUTE(SUBSTITUTE(SUBSTITUTE($A1888,CHAR(9)," ")," "," "),CHAR(13),""))</f>
        <v/>
      </c>
      <c r="H1888" s="58">
        <f>IF($G1888="","",IF(ISNUMBER(FIND(" ",$G1888)),$G1888,IFERROR(IF((LEN(SUBSTITUTE(SUBSTITUTE($G1888,"-"," ",LEN($G1888)-LEN(SUBSTITUTE($G1888,"-",""))),"-"," ",LEN($G1888)-LEN(SUBSTITUTE($G1888,"-",""))-1))-LEN(SUBSTITUTE(SUBSTITUTE(SUBSTITUTE($G1888,"-"," ",LEN($G1888)-LEN(SUBSTITUTE($G1888,"-",""))),"-"," ",LEN($G1888)-LEN(SUBSTITUTE($G1888,"-",""))-1),".","")))=0,SUBSTITUTE(SUBSTITUTE($G1888,"-"," ",LEN($G1888)-LEN(SUBSTITUTE($G1888,"-",""))),"-"," ",LEN($G1888)-LEN(SUBSTITUTE($G1888,"-",""))-1),SUBSTITUTE(SUBSTITUTE(SUBSTITUTE($G1888,"-"," ",LEN($G1888)-LEN(SUBSTITUTE($G1888,"-",""))),"-"," ",LEN($G1888)-LEN(SUBSTITUTE($G1888,"-",""))-1),"."," ",(LEN(SUBSTITUTE(SUBSTITUTE($G1888,"-"," ",LEN($G1888)-LEN(SUBSTITUTE($G1888,"-",""))),"-"," ",LEN($G1888)-LEN(SUBSTITUTE($G1888,"-",""))-1))-LEN(SUBSTITUTE(SUBSTITUTE(SUBSTITUTE($G1888,"-"," ",LEN($G1888)-LEN(SUBSTITUTE($G1888,"-",""))),"-"," ",LEN($G1888)-LEN(SUBSTITUTE($G1888,"-",""))-1),".",""))))),$G1888)))</f>
        <v/>
      </c>
    </row>
    <row r="1889">
      <c r="A1889" s="58" t="n"/>
      <c r="B1889" s="58">
        <f>IF($H1889="","",LEFT($H1889,FIND(" ",$H1889&amp;" ")-1))</f>
        <v/>
      </c>
      <c r="C1889" s="58">
        <f>IF($H1889="","",IFERROR(MID($H1889&amp;" ",FIND("|",SUBSTITUTE($H1889&amp;" "," ","|",1))+1,FIND("|",SUBSTITUTE($H1889&amp;" "," ","|",2))-FIND("|",SUBSTITUTE($H1889&amp;" "," ","|",1))-1),""))</f>
        <v/>
      </c>
      <c r="D1889" s="58">
        <f>IF($H1889="","",IFERROR(MID($H1889&amp;" ",FIND("|",SUBSTITUTE($H1889&amp;" "," ","|",2))+1,FIND("|",SUBSTITUTE($H1889&amp;" "," ","|",3))-FIND("|",SUBSTITUTE($H1889&amp;" "," ","|",2))-1),""))</f>
        <v/>
      </c>
      <c r="E1889" s="58">
        <f>IF($H1889="","",IFERROR(MID($H1889&amp;" ",FIND("|",SUBSTITUTE($H1889&amp;" "," ","|",3))+1,FIND("|",SUBSTITUTE($H1889&amp;" "," ","|",4))-FIND("|",SUBSTITUTE($H1889&amp;" "," ","|",3))-1),""))</f>
        <v/>
      </c>
      <c r="F1889" s="59">
        <f>IF($H1889="","",IFERROR(VALUE(IFERROR(MID($H1889&amp;" ",FIND("|",SUBSTITUTE($H1889&amp;" "," ","|",4))+1,FIND("|",SUBSTITUTE($H1889&amp;" "," ","|",5))-FIND("|",SUBSTITUTE($H1889&amp;" "," ","|",4))-1),""))/86400+25569+9/24,""))</f>
        <v/>
      </c>
      <c r="G1889" s="58">
        <f>TRIM(SUBSTITUTE(SUBSTITUTE(SUBSTITUTE($A1889,CHAR(9)," ")," "," "),CHAR(13),""))</f>
        <v/>
      </c>
      <c r="H1889" s="58">
        <f>IF($G1889="","",IF(ISNUMBER(FIND(" ",$G1889)),$G1889,IFERROR(IF((LEN(SUBSTITUTE(SUBSTITUTE($G1889,"-"," ",LEN($G1889)-LEN(SUBSTITUTE($G1889,"-",""))),"-"," ",LEN($G1889)-LEN(SUBSTITUTE($G1889,"-",""))-1))-LEN(SUBSTITUTE(SUBSTITUTE(SUBSTITUTE($G1889,"-"," ",LEN($G1889)-LEN(SUBSTITUTE($G1889,"-",""))),"-"," ",LEN($G1889)-LEN(SUBSTITUTE($G1889,"-",""))-1),".","")))=0,SUBSTITUTE(SUBSTITUTE($G1889,"-"," ",LEN($G1889)-LEN(SUBSTITUTE($G1889,"-",""))),"-"," ",LEN($G1889)-LEN(SUBSTITUTE($G1889,"-",""))-1),SUBSTITUTE(SUBSTITUTE(SUBSTITUTE($G1889,"-"," ",LEN($G1889)-LEN(SUBSTITUTE($G1889,"-",""))),"-"," ",LEN($G1889)-LEN(SUBSTITUTE($G1889,"-",""))-1),"."," ",(LEN(SUBSTITUTE(SUBSTITUTE($G1889,"-"," ",LEN($G1889)-LEN(SUBSTITUTE($G1889,"-",""))),"-"," ",LEN($G1889)-LEN(SUBSTITUTE($G1889,"-",""))-1))-LEN(SUBSTITUTE(SUBSTITUTE(SUBSTITUTE($G1889,"-"," ",LEN($G1889)-LEN(SUBSTITUTE($G1889,"-",""))),"-"," ",LEN($G1889)-LEN(SUBSTITUTE($G1889,"-",""))-1),".",""))))),$G1889)))</f>
        <v/>
      </c>
    </row>
    <row r="1890">
      <c r="A1890" s="58" t="n"/>
      <c r="B1890" s="58">
        <f>IF($H1890="","",LEFT($H1890,FIND(" ",$H1890&amp;" ")-1))</f>
        <v/>
      </c>
      <c r="C1890" s="58">
        <f>IF($H1890="","",IFERROR(MID($H1890&amp;" ",FIND("|",SUBSTITUTE($H1890&amp;" "," ","|",1))+1,FIND("|",SUBSTITUTE($H1890&amp;" "," ","|",2))-FIND("|",SUBSTITUTE($H1890&amp;" "," ","|",1))-1),""))</f>
        <v/>
      </c>
      <c r="D1890" s="58">
        <f>IF($H1890="","",IFERROR(MID($H1890&amp;" ",FIND("|",SUBSTITUTE($H1890&amp;" "," ","|",2))+1,FIND("|",SUBSTITUTE($H1890&amp;" "," ","|",3))-FIND("|",SUBSTITUTE($H1890&amp;" "," ","|",2))-1),""))</f>
        <v/>
      </c>
      <c r="E1890" s="58">
        <f>IF($H1890="","",IFERROR(MID($H1890&amp;" ",FIND("|",SUBSTITUTE($H1890&amp;" "," ","|",3))+1,FIND("|",SUBSTITUTE($H1890&amp;" "," ","|",4))-FIND("|",SUBSTITUTE($H1890&amp;" "," ","|",3))-1),""))</f>
        <v/>
      </c>
      <c r="F1890" s="59">
        <f>IF($H1890="","",IFERROR(VALUE(IFERROR(MID($H1890&amp;" ",FIND("|",SUBSTITUTE($H1890&amp;" "," ","|",4))+1,FIND("|",SUBSTITUTE($H1890&amp;" "," ","|",5))-FIND("|",SUBSTITUTE($H1890&amp;" "," ","|",4))-1),""))/86400+25569+9/24,""))</f>
        <v/>
      </c>
      <c r="G1890" s="58">
        <f>TRIM(SUBSTITUTE(SUBSTITUTE(SUBSTITUTE($A1890,CHAR(9)," ")," "," "),CHAR(13),""))</f>
        <v/>
      </c>
      <c r="H1890" s="58">
        <f>IF($G1890="","",IF(ISNUMBER(FIND(" ",$G1890)),$G1890,IFERROR(IF((LEN(SUBSTITUTE(SUBSTITUTE($G1890,"-"," ",LEN($G1890)-LEN(SUBSTITUTE($G1890,"-",""))),"-"," ",LEN($G1890)-LEN(SUBSTITUTE($G1890,"-",""))-1))-LEN(SUBSTITUTE(SUBSTITUTE(SUBSTITUTE($G1890,"-"," ",LEN($G1890)-LEN(SUBSTITUTE($G1890,"-",""))),"-"," ",LEN($G1890)-LEN(SUBSTITUTE($G1890,"-",""))-1),".","")))=0,SUBSTITUTE(SUBSTITUTE($G1890,"-"," ",LEN($G1890)-LEN(SUBSTITUTE($G1890,"-",""))),"-"," ",LEN($G1890)-LEN(SUBSTITUTE($G1890,"-",""))-1),SUBSTITUTE(SUBSTITUTE(SUBSTITUTE($G1890,"-"," ",LEN($G1890)-LEN(SUBSTITUTE($G1890,"-",""))),"-"," ",LEN($G1890)-LEN(SUBSTITUTE($G1890,"-",""))-1),"."," ",(LEN(SUBSTITUTE(SUBSTITUTE($G1890,"-"," ",LEN($G1890)-LEN(SUBSTITUTE($G1890,"-",""))),"-"," ",LEN($G1890)-LEN(SUBSTITUTE($G1890,"-",""))-1))-LEN(SUBSTITUTE(SUBSTITUTE(SUBSTITUTE($G1890,"-"," ",LEN($G1890)-LEN(SUBSTITUTE($G1890,"-",""))),"-"," ",LEN($G1890)-LEN(SUBSTITUTE($G1890,"-",""))-1),".",""))))),$G1890)))</f>
        <v/>
      </c>
    </row>
    <row r="1891">
      <c r="A1891" s="58" t="n"/>
      <c r="B1891" s="58">
        <f>IF($H1891="","",LEFT($H1891,FIND(" ",$H1891&amp;" ")-1))</f>
        <v/>
      </c>
      <c r="C1891" s="58">
        <f>IF($H1891="","",IFERROR(MID($H1891&amp;" ",FIND("|",SUBSTITUTE($H1891&amp;" "," ","|",1))+1,FIND("|",SUBSTITUTE($H1891&amp;" "," ","|",2))-FIND("|",SUBSTITUTE($H1891&amp;" "," ","|",1))-1),""))</f>
        <v/>
      </c>
      <c r="D1891" s="58">
        <f>IF($H1891="","",IFERROR(MID($H1891&amp;" ",FIND("|",SUBSTITUTE($H1891&amp;" "," ","|",2))+1,FIND("|",SUBSTITUTE($H1891&amp;" "," ","|",3))-FIND("|",SUBSTITUTE($H1891&amp;" "," ","|",2))-1),""))</f>
        <v/>
      </c>
      <c r="E1891" s="58">
        <f>IF($H1891="","",IFERROR(MID($H1891&amp;" ",FIND("|",SUBSTITUTE($H1891&amp;" "," ","|",3))+1,FIND("|",SUBSTITUTE($H1891&amp;" "," ","|",4))-FIND("|",SUBSTITUTE($H1891&amp;" "," ","|",3))-1),""))</f>
        <v/>
      </c>
      <c r="F1891" s="59">
        <f>IF($H1891="","",IFERROR(VALUE(IFERROR(MID($H1891&amp;" ",FIND("|",SUBSTITUTE($H1891&amp;" "," ","|",4))+1,FIND("|",SUBSTITUTE($H1891&amp;" "," ","|",5))-FIND("|",SUBSTITUTE($H1891&amp;" "," ","|",4))-1),""))/86400+25569+9/24,""))</f>
        <v/>
      </c>
      <c r="G1891" s="58">
        <f>TRIM(SUBSTITUTE(SUBSTITUTE(SUBSTITUTE($A1891,CHAR(9)," ")," "," "),CHAR(13),""))</f>
        <v/>
      </c>
      <c r="H1891" s="58">
        <f>IF($G1891="","",IF(ISNUMBER(FIND(" ",$G1891)),$G1891,IFERROR(IF((LEN(SUBSTITUTE(SUBSTITUTE($G1891,"-"," ",LEN($G1891)-LEN(SUBSTITUTE($G1891,"-",""))),"-"," ",LEN($G1891)-LEN(SUBSTITUTE($G1891,"-",""))-1))-LEN(SUBSTITUTE(SUBSTITUTE(SUBSTITUTE($G1891,"-"," ",LEN($G1891)-LEN(SUBSTITUTE($G1891,"-",""))),"-"," ",LEN($G1891)-LEN(SUBSTITUTE($G1891,"-",""))-1),".","")))=0,SUBSTITUTE(SUBSTITUTE($G1891,"-"," ",LEN($G1891)-LEN(SUBSTITUTE($G1891,"-",""))),"-"," ",LEN($G1891)-LEN(SUBSTITUTE($G1891,"-",""))-1),SUBSTITUTE(SUBSTITUTE(SUBSTITUTE($G1891,"-"," ",LEN($G1891)-LEN(SUBSTITUTE($G1891,"-",""))),"-"," ",LEN($G1891)-LEN(SUBSTITUTE($G1891,"-",""))-1),"."," ",(LEN(SUBSTITUTE(SUBSTITUTE($G1891,"-"," ",LEN($G1891)-LEN(SUBSTITUTE($G1891,"-",""))),"-"," ",LEN($G1891)-LEN(SUBSTITUTE($G1891,"-",""))-1))-LEN(SUBSTITUTE(SUBSTITUTE(SUBSTITUTE($G1891,"-"," ",LEN($G1891)-LEN(SUBSTITUTE($G1891,"-",""))),"-"," ",LEN($G1891)-LEN(SUBSTITUTE($G1891,"-",""))-1),".",""))))),$G1891)))</f>
        <v/>
      </c>
    </row>
    <row r="1892">
      <c r="A1892" s="58" t="n"/>
      <c r="B1892" s="58">
        <f>IF($H1892="","",LEFT($H1892,FIND(" ",$H1892&amp;" ")-1))</f>
        <v/>
      </c>
      <c r="C1892" s="58">
        <f>IF($H1892="","",IFERROR(MID($H1892&amp;" ",FIND("|",SUBSTITUTE($H1892&amp;" "," ","|",1))+1,FIND("|",SUBSTITUTE($H1892&amp;" "," ","|",2))-FIND("|",SUBSTITUTE($H1892&amp;" "," ","|",1))-1),""))</f>
        <v/>
      </c>
      <c r="D1892" s="58">
        <f>IF($H1892="","",IFERROR(MID($H1892&amp;" ",FIND("|",SUBSTITUTE($H1892&amp;" "," ","|",2))+1,FIND("|",SUBSTITUTE($H1892&amp;" "," ","|",3))-FIND("|",SUBSTITUTE($H1892&amp;" "," ","|",2))-1),""))</f>
        <v/>
      </c>
      <c r="E1892" s="58">
        <f>IF($H1892="","",IFERROR(MID($H1892&amp;" ",FIND("|",SUBSTITUTE($H1892&amp;" "," ","|",3))+1,FIND("|",SUBSTITUTE($H1892&amp;" "," ","|",4))-FIND("|",SUBSTITUTE($H1892&amp;" "," ","|",3))-1),""))</f>
        <v/>
      </c>
      <c r="F1892" s="59">
        <f>IF($H1892="","",IFERROR(VALUE(IFERROR(MID($H1892&amp;" ",FIND("|",SUBSTITUTE($H1892&amp;" "," ","|",4))+1,FIND("|",SUBSTITUTE($H1892&amp;" "," ","|",5))-FIND("|",SUBSTITUTE($H1892&amp;" "," ","|",4))-1),""))/86400+25569+9/24,""))</f>
        <v/>
      </c>
      <c r="G1892" s="58">
        <f>TRIM(SUBSTITUTE(SUBSTITUTE(SUBSTITUTE($A1892,CHAR(9)," ")," "," "),CHAR(13),""))</f>
        <v/>
      </c>
      <c r="H1892" s="58">
        <f>IF($G1892="","",IF(ISNUMBER(FIND(" ",$G1892)),$G1892,IFERROR(IF((LEN(SUBSTITUTE(SUBSTITUTE($G1892,"-"," ",LEN($G1892)-LEN(SUBSTITUTE($G1892,"-",""))),"-"," ",LEN($G1892)-LEN(SUBSTITUTE($G1892,"-",""))-1))-LEN(SUBSTITUTE(SUBSTITUTE(SUBSTITUTE($G1892,"-"," ",LEN($G1892)-LEN(SUBSTITUTE($G1892,"-",""))),"-"," ",LEN($G1892)-LEN(SUBSTITUTE($G1892,"-",""))-1),".","")))=0,SUBSTITUTE(SUBSTITUTE($G1892,"-"," ",LEN($G1892)-LEN(SUBSTITUTE($G1892,"-",""))),"-"," ",LEN($G1892)-LEN(SUBSTITUTE($G1892,"-",""))-1),SUBSTITUTE(SUBSTITUTE(SUBSTITUTE($G1892,"-"," ",LEN($G1892)-LEN(SUBSTITUTE($G1892,"-",""))),"-"," ",LEN($G1892)-LEN(SUBSTITUTE($G1892,"-",""))-1),"."," ",(LEN(SUBSTITUTE(SUBSTITUTE($G1892,"-"," ",LEN($G1892)-LEN(SUBSTITUTE($G1892,"-",""))),"-"," ",LEN($G1892)-LEN(SUBSTITUTE($G1892,"-",""))-1))-LEN(SUBSTITUTE(SUBSTITUTE(SUBSTITUTE($G1892,"-"," ",LEN($G1892)-LEN(SUBSTITUTE($G1892,"-",""))),"-"," ",LEN($G1892)-LEN(SUBSTITUTE($G1892,"-",""))-1),".",""))))),$G1892)))</f>
        <v/>
      </c>
    </row>
    <row r="1893">
      <c r="A1893" s="58" t="n"/>
      <c r="B1893" s="58">
        <f>IF($H1893="","",LEFT($H1893,FIND(" ",$H1893&amp;" ")-1))</f>
        <v/>
      </c>
      <c r="C1893" s="58">
        <f>IF($H1893="","",IFERROR(MID($H1893&amp;" ",FIND("|",SUBSTITUTE($H1893&amp;" "," ","|",1))+1,FIND("|",SUBSTITUTE($H1893&amp;" "," ","|",2))-FIND("|",SUBSTITUTE($H1893&amp;" "," ","|",1))-1),""))</f>
        <v/>
      </c>
      <c r="D1893" s="58">
        <f>IF($H1893="","",IFERROR(MID($H1893&amp;" ",FIND("|",SUBSTITUTE($H1893&amp;" "," ","|",2))+1,FIND("|",SUBSTITUTE($H1893&amp;" "," ","|",3))-FIND("|",SUBSTITUTE($H1893&amp;" "," ","|",2))-1),""))</f>
        <v/>
      </c>
      <c r="E1893" s="58">
        <f>IF($H1893="","",IFERROR(MID($H1893&amp;" ",FIND("|",SUBSTITUTE($H1893&amp;" "," ","|",3))+1,FIND("|",SUBSTITUTE($H1893&amp;" "," ","|",4))-FIND("|",SUBSTITUTE($H1893&amp;" "," ","|",3))-1),""))</f>
        <v/>
      </c>
      <c r="F1893" s="59">
        <f>IF($H1893="","",IFERROR(VALUE(IFERROR(MID($H1893&amp;" ",FIND("|",SUBSTITUTE($H1893&amp;" "," ","|",4))+1,FIND("|",SUBSTITUTE($H1893&amp;" "," ","|",5))-FIND("|",SUBSTITUTE($H1893&amp;" "," ","|",4))-1),""))/86400+25569+9/24,""))</f>
        <v/>
      </c>
      <c r="G1893" s="58">
        <f>TRIM(SUBSTITUTE(SUBSTITUTE(SUBSTITUTE($A1893,CHAR(9)," ")," "," "),CHAR(13),""))</f>
        <v/>
      </c>
      <c r="H1893" s="58">
        <f>IF($G1893="","",IF(ISNUMBER(FIND(" ",$G1893)),$G1893,IFERROR(IF((LEN(SUBSTITUTE(SUBSTITUTE($G1893,"-"," ",LEN($G1893)-LEN(SUBSTITUTE($G1893,"-",""))),"-"," ",LEN($G1893)-LEN(SUBSTITUTE($G1893,"-",""))-1))-LEN(SUBSTITUTE(SUBSTITUTE(SUBSTITUTE($G1893,"-"," ",LEN($G1893)-LEN(SUBSTITUTE($G1893,"-",""))),"-"," ",LEN($G1893)-LEN(SUBSTITUTE($G1893,"-",""))-1),".","")))=0,SUBSTITUTE(SUBSTITUTE($G1893,"-"," ",LEN($G1893)-LEN(SUBSTITUTE($G1893,"-",""))),"-"," ",LEN($G1893)-LEN(SUBSTITUTE($G1893,"-",""))-1),SUBSTITUTE(SUBSTITUTE(SUBSTITUTE($G1893,"-"," ",LEN($G1893)-LEN(SUBSTITUTE($G1893,"-",""))),"-"," ",LEN($G1893)-LEN(SUBSTITUTE($G1893,"-",""))-1),"."," ",(LEN(SUBSTITUTE(SUBSTITUTE($G1893,"-"," ",LEN($G1893)-LEN(SUBSTITUTE($G1893,"-",""))),"-"," ",LEN($G1893)-LEN(SUBSTITUTE($G1893,"-",""))-1))-LEN(SUBSTITUTE(SUBSTITUTE(SUBSTITUTE($G1893,"-"," ",LEN($G1893)-LEN(SUBSTITUTE($G1893,"-",""))),"-"," ",LEN($G1893)-LEN(SUBSTITUTE($G1893,"-",""))-1),".",""))))),$G1893)))</f>
        <v/>
      </c>
    </row>
    <row r="1894">
      <c r="A1894" s="58" t="n"/>
      <c r="B1894" s="58">
        <f>IF($H1894="","",LEFT($H1894,FIND(" ",$H1894&amp;" ")-1))</f>
        <v/>
      </c>
      <c r="C1894" s="58">
        <f>IF($H1894="","",IFERROR(MID($H1894&amp;" ",FIND("|",SUBSTITUTE($H1894&amp;" "," ","|",1))+1,FIND("|",SUBSTITUTE($H1894&amp;" "," ","|",2))-FIND("|",SUBSTITUTE($H1894&amp;" "," ","|",1))-1),""))</f>
        <v/>
      </c>
      <c r="D1894" s="58">
        <f>IF($H1894="","",IFERROR(MID($H1894&amp;" ",FIND("|",SUBSTITUTE($H1894&amp;" "," ","|",2))+1,FIND("|",SUBSTITUTE($H1894&amp;" "," ","|",3))-FIND("|",SUBSTITUTE($H1894&amp;" "," ","|",2))-1),""))</f>
        <v/>
      </c>
      <c r="E1894" s="58">
        <f>IF($H1894="","",IFERROR(MID($H1894&amp;" ",FIND("|",SUBSTITUTE($H1894&amp;" "," ","|",3))+1,FIND("|",SUBSTITUTE($H1894&amp;" "," ","|",4))-FIND("|",SUBSTITUTE($H1894&amp;" "," ","|",3))-1),""))</f>
        <v/>
      </c>
      <c r="F1894" s="59">
        <f>IF($H1894="","",IFERROR(VALUE(IFERROR(MID($H1894&amp;" ",FIND("|",SUBSTITUTE($H1894&amp;" "," ","|",4))+1,FIND("|",SUBSTITUTE($H1894&amp;" "," ","|",5))-FIND("|",SUBSTITUTE($H1894&amp;" "," ","|",4))-1),""))/86400+25569+9/24,""))</f>
        <v/>
      </c>
      <c r="G1894" s="58">
        <f>TRIM(SUBSTITUTE(SUBSTITUTE(SUBSTITUTE($A1894,CHAR(9)," ")," "," "),CHAR(13),""))</f>
        <v/>
      </c>
      <c r="H1894" s="58">
        <f>IF($G1894="","",IF(ISNUMBER(FIND(" ",$G1894)),$G1894,IFERROR(IF((LEN(SUBSTITUTE(SUBSTITUTE($G1894,"-"," ",LEN($G1894)-LEN(SUBSTITUTE($G1894,"-",""))),"-"," ",LEN($G1894)-LEN(SUBSTITUTE($G1894,"-",""))-1))-LEN(SUBSTITUTE(SUBSTITUTE(SUBSTITUTE($G1894,"-"," ",LEN($G1894)-LEN(SUBSTITUTE($G1894,"-",""))),"-"," ",LEN($G1894)-LEN(SUBSTITUTE($G1894,"-",""))-1),".","")))=0,SUBSTITUTE(SUBSTITUTE($G1894,"-"," ",LEN($G1894)-LEN(SUBSTITUTE($G1894,"-",""))),"-"," ",LEN($G1894)-LEN(SUBSTITUTE($G1894,"-",""))-1),SUBSTITUTE(SUBSTITUTE(SUBSTITUTE($G1894,"-"," ",LEN($G1894)-LEN(SUBSTITUTE($G1894,"-",""))),"-"," ",LEN($G1894)-LEN(SUBSTITUTE($G1894,"-",""))-1),"."," ",(LEN(SUBSTITUTE(SUBSTITUTE($G1894,"-"," ",LEN($G1894)-LEN(SUBSTITUTE($G1894,"-",""))),"-"," ",LEN($G1894)-LEN(SUBSTITUTE($G1894,"-",""))-1))-LEN(SUBSTITUTE(SUBSTITUTE(SUBSTITUTE($G1894,"-"," ",LEN($G1894)-LEN(SUBSTITUTE($G1894,"-",""))),"-"," ",LEN($G1894)-LEN(SUBSTITUTE($G1894,"-",""))-1),".",""))))),$G1894)))</f>
        <v/>
      </c>
    </row>
    <row r="1895">
      <c r="A1895" s="58" t="n"/>
      <c r="B1895" s="58">
        <f>IF($H1895="","",LEFT($H1895,FIND(" ",$H1895&amp;" ")-1))</f>
        <v/>
      </c>
      <c r="C1895" s="58">
        <f>IF($H1895="","",IFERROR(MID($H1895&amp;" ",FIND("|",SUBSTITUTE($H1895&amp;" "," ","|",1))+1,FIND("|",SUBSTITUTE($H1895&amp;" "," ","|",2))-FIND("|",SUBSTITUTE($H1895&amp;" "," ","|",1))-1),""))</f>
        <v/>
      </c>
      <c r="D1895" s="58">
        <f>IF($H1895="","",IFERROR(MID($H1895&amp;" ",FIND("|",SUBSTITUTE($H1895&amp;" "," ","|",2))+1,FIND("|",SUBSTITUTE($H1895&amp;" "," ","|",3))-FIND("|",SUBSTITUTE($H1895&amp;" "," ","|",2))-1),""))</f>
        <v/>
      </c>
      <c r="E1895" s="58">
        <f>IF($H1895="","",IFERROR(MID($H1895&amp;" ",FIND("|",SUBSTITUTE($H1895&amp;" "," ","|",3))+1,FIND("|",SUBSTITUTE($H1895&amp;" "," ","|",4))-FIND("|",SUBSTITUTE($H1895&amp;" "," ","|",3))-1),""))</f>
        <v/>
      </c>
      <c r="F1895" s="59">
        <f>IF($H1895="","",IFERROR(VALUE(IFERROR(MID($H1895&amp;" ",FIND("|",SUBSTITUTE($H1895&amp;" "," ","|",4))+1,FIND("|",SUBSTITUTE($H1895&amp;" "," ","|",5))-FIND("|",SUBSTITUTE($H1895&amp;" "," ","|",4))-1),""))/86400+25569+9/24,""))</f>
        <v/>
      </c>
      <c r="G1895" s="58">
        <f>TRIM(SUBSTITUTE(SUBSTITUTE(SUBSTITUTE($A1895,CHAR(9)," ")," "," "),CHAR(13),""))</f>
        <v/>
      </c>
      <c r="H1895" s="58">
        <f>IF($G1895="","",IF(ISNUMBER(FIND(" ",$G1895)),$G1895,IFERROR(IF((LEN(SUBSTITUTE(SUBSTITUTE($G1895,"-"," ",LEN($G1895)-LEN(SUBSTITUTE($G1895,"-",""))),"-"," ",LEN($G1895)-LEN(SUBSTITUTE($G1895,"-",""))-1))-LEN(SUBSTITUTE(SUBSTITUTE(SUBSTITUTE($G1895,"-"," ",LEN($G1895)-LEN(SUBSTITUTE($G1895,"-",""))),"-"," ",LEN($G1895)-LEN(SUBSTITUTE($G1895,"-",""))-1),".","")))=0,SUBSTITUTE(SUBSTITUTE($G1895,"-"," ",LEN($G1895)-LEN(SUBSTITUTE($G1895,"-",""))),"-"," ",LEN($G1895)-LEN(SUBSTITUTE($G1895,"-",""))-1),SUBSTITUTE(SUBSTITUTE(SUBSTITUTE($G1895,"-"," ",LEN($G1895)-LEN(SUBSTITUTE($G1895,"-",""))),"-"," ",LEN($G1895)-LEN(SUBSTITUTE($G1895,"-",""))-1),"."," ",(LEN(SUBSTITUTE(SUBSTITUTE($G1895,"-"," ",LEN($G1895)-LEN(SUBSTITUTE($G1895,"-",""))),"-"," ",LEN($G1895)-LEN(SUBSTITUTE($G1895,"-",""))-1))-LEN(SUBSTITUTE(SUBSTITUTE(SUBSTITUTE($G1895,"-"," ",LEN($G1895)-LEN(SUBSTITUTE($G1895,"-",""))),"-"," ",LEN($G1895)-LEN(SUBSTITUTE($G1895,"-",""))-1),".",""))))),$G1895)))</f>
        <v/>
      </c>
    </row>
    <row r="1896">
      <c r="A1896" s="58" t="n"/>
      <c r="B1896" s="58">
        <f>IF($H1896="","",LEFT($H1896,FIND(" ",$H1896&amp;" ")-1))</f>
        <v/>
      </c>
      <c r="C1896" s="58">
        <f>IF($H1896="","",IFERROR(MID($H1896&amp;" ",FIND("|",SUBSTITUTE($H1896&amp;" "," ","|",1))+1,FIND("|",SUBSTITUTE($H1896&amp;" "," ","|",2))-FIND("|",SUBSTITUTE($H1896&amp;" "," ","|",1))-1),""))</f>
        <v/>
      </c>
      <c r="D1896" s="58">
        <f>IF($H1896="","",IFERROR(MID($H1896&amp;" ",FIND("|",SUBSTITUTE($H1896&amp;" "," ","|",2))+1,FIND("|",SUBSTITUTE($H1896&amp;" "," ","|",3))-FIND("|",SUBSTITUTE($H1896&amp;" "," ","|",2))-1),""))</f>
        <v/>
      </c>
      <c r="E1896" s="58">
        <f>IF($H1896="","",IFERROR(MID($H1896&amp;" ",FIND("|",SUBSTITUTE($H1896&amp;" "," ","|",3))+1,FIND("|",SUBSTITUTE($H1896&amp;" "," ","|",4))-FIND("|",SUBSTITUTE($H1896&amp;" "," ","|",3))-1),""))</f>
        <v/>
      </c>
      <c r="F1896" s="59">
        <f>IF($H1896="","",IFERROR(VALUE(IFERROR(MID($H1896&amp;" ",FIND("|",SUBSTITUTE($H1896&amp;" "," ","|",4))+1,FIND("|",SUBSTITUTE($H1896&amp;" "," ","|",5))-FIND("|",SUBSTITUTE($H1896&amp;" "," ","|",4))-1),""))/86400+25569+9/24,""))</f>
        <v/>
      </c>
      <c r="G1896" s="58">
        <f>TRIM(SUBSTITUTE(SUBSTITUTE(SUBSTITUTE($A1896,CHAR(9)," ")," "," "),CHAR(13),""))</f>
        <v/>
      </c>
      <c r="H1896" s="58">
        <f>IF($G1896="","",IF(ISNUMBER(FIND(" ",$G1896)),$G1896,IFERROR(IF((LEN(SUBSTITUTE(SUBSTITUTE($G1896,"-"," ",LEN($G1896)-LEN(SUBSTITUTE($G1896,"-",""))),"-"," ",LEN($G1896)-LEN(SUBSTITUTE($G1896,"-",""))-1))-LEN(SUBSTITUTE(SUBSTITUTE(SUBSTITUTE($G1896,"-"," ",LEN($G1896)-LEN(SUBSTITUTE($G1896,"-",""))),"-"," ",LEN($G1896)-LEN(SUBSTITUTE($G1896,"-",""))-1),".","")))=0,SUBSTITUTE(SUBSTITUTE($G1896,"-"," ",LEN($G1896)-LEN(SUBSTITUTE($G1896,"-",""))),"-"," ",LEN($G1896)-LEN(SUBSTITUTE($G1896,"-",""))-1),SUBSTITUTE(SUBSTITUTE(SUBSTITUTE($G1896,"-"," ",LEN($G1896)-LEN(SUBSTITUTE($G1896,"-",""))),"-"," ",LEN($G1896)-LEN(SUBSTITUTE($G1896,"-",""))-1),"."," ",(LEN(SUBSTITUTE(SUBSTITUTE($G1896,"-"," ",LEN($G1896)-LEN(SUBSTITUTE($G1896,"-",""))),"-"," ",LEN($G1896)-LEN(SUBSTITUTE($G1896,"-",""))-1))-LEN(SUBSTITUTE(SUBSTITUTE(SUBSTITUTE($G1896,"-"," ",LEN($G1896)-LEN(SUBSTITUTE($G1896,"-",""))),"-"," ",LEN($G1896)-LEN(SUBSTITUTE($G1896,"-",""))-1),".",""))))),$G1896)))</f>
        <v/>
      </c>
    </row>
    <row r="1897">
      <c r="A1897" s="58" t="n"/>
      <c r="B1897" s="58">
        <f>IF($H1897="","",LEFT($H1897,FIND(" ",$H1897&amp;" ")-1))</f>
        <v/>
      </c>
      <c r="C1897" s="58">
        <f>IF($H1897="","",IFERROR(MID($H1897&amp;" ",FIND("|",SUBSTITUTE($H1897&amp;" "," ","|",1))+1,FIND("|",SUBSTITUTE($H1897&amp;" "," ","|",2))-FIND("|",SUBSTITUTE($H1897&amp;" "," ","|",1))-1),""))</f>
        <v/>
      </c>
      <c r="D1897" s="58">
        <f>IF($H1897="","",IFERROR(MID($H1897&amp;" ",FIND("|",SUBSTITUTE($H1897&amp;" "," ","|",2))+1,FIND("|",SUBSTITUTE($H1897&amp;" "," ","|",3))-FIND("|",SUBSTITUTE($H1897&amp;" "," ","|",2))-1),""))</f>
        <v/>
      </c>
      <c r="E1897" s="58">
        <f>IF($H1897="","",IFERROR(MID($H1897&amp;" ",FIND("|",SUBSTITUTE($H1897&amp;" "," ","|",3))+1,FIND("|",SUBSTITUTE($H1897&amp;" "," ","|",4))-FIND("|",SUBSTITUTE($H1897&amp;" "," ","|",3))-1),""))</f>
        <v/>
      </c>
      <c r="F1897" s="59">
        <f>IF($H1897="","",IFERROR(VALUE(IFERROR(MID($H1897&amp;" ",FIND("|",SUBSTITUTE($H1897&amp;" "," ","|",4))+1,FIND("|",SUBSTITUTE($H1897&amp;" "," ","|",5))-FIND("|",SUBSTITUTE($H1897&amp;" "," ","|",4))-1),""))/86400+25569+9/24,""))</f>
        <v/>
      </c>
      <c r="G1897" s="58">
        <f>TRIM(SUBSTITUTE(SUBSTITUTE(SUBSTITUTE($A1897,CHAR(9)," ")," "," "),CHAR(13),""))</f>
        <v/>
      </c>
      <c r="H1897" s="58">
        <f>IF($G1897="","",IF(ISNUMBER(FIND(" ",$G1897)),$G1897,IFERROR(IF((LEN(SUBSTITUTE(SUBSTITUTE($G1897,"-"," ",LEN($G1897)-LEN(SUBSTITUTE($G1897,"-",""))),"-"," ",LEN($G1897)-LEN(SUBSTITUTE($G1897,"-",""))-1))-LEN(SUBSTITUTE(SUBSTITUTE(SUBSTITUTE($G1897,"-"," ",LEN($G1897)-LEN(SUBSTITUTE($G1897,"-",""))),"-"," ",LEN($G1897)-LEN(SUBSTITUTE($G1897,"-",""))-1),".","")))=0,SUBSTITUTE(SUBSTITUTE($G1897,"-"," ",LEN($G1897)-LEN(SUBSTITUTE($G1897,"-",""))),"-"," ",LEN($G1897)-LEN(SUBSTITUTE($G1897,"-",""))-1),SUBSTITUTE(SUBSTITUTE(SUBSTITUTE($G1897,"-"," ",LEN($G1897)-LEN(SUBSTITUTE($G1897,"-",""))),"-"," ",LEN($G1897)-LEN(SUBSTITUTE($G1897,"-",""))-1),"."," ",(LEN(SUBSTITUTE(SUBSTITUTE($G1897,"-"," ",LEN($G1897)-LEN(SUBSTITUTE($G1897,"-",""))),"-"," ",LEN($G1897)-LEN(SUBSTITUTE($G1897,"-",""))-1))-LEN(SUBSTITUTE(SUBSTITUTE(SUBSTITUTE($G1897,"-"," ",LEN($G1897)-LEN(SUBSTITUTE($G1897,"-",""))),"-"," ",LEN($G1897)-LEN(SUBSTITUTE($G1897,"-",""))-1),".",""))))),$G1897)))</f>
        <v/>
      </c>
    </row>
    <row r="1898">
      <c r="A1898" s="58" t="n"/>
      <c r="B1898" s="58">
        <f>IF($H1898="","",LEFT($H1898,FIND(" ",$H1898&amp;" ")-1))</f>
        <v/>
      </c>
      <c r="C1898" s="58">
        <f>IF($H1898="","",IFERROR(MID($H1898&amp;" ",FIND("|",SUBSTITUTE($H1898&amp;" "," ","|",1))+1,FIND("|",SUBSTITUTE($H1898&amp;" "," ","|",2))-FIND("|",SUBSTITUTE($H1898&amp;" "," ","|",1))-1),""))</f>
        <v/>
      </c>
      <c r="D1898" s="58">
        <f>IF($H1898="","",IFERROR(MID($H1898&amp;" ",FIND("|",SUBSTITUTE($H1898&amp;" "," ","|",2))+1,FIND("|",SUBSTITUTE($H1898&amp;" "," ","|",3))-FIND("|",SUBSTITUTE($H1898&amp;" "," ","|",2))-1),""))</f>
        <v/>
      </c>
      <c r="E1898" s="58">
        <f>IF($H1898="","",IFERROR(MID($H1898&amp;" ",FIND("|",SUBSTITUTE($H1898&amp;" "," ","|",3))+1,FIND("|",SUBSTITUTE($H1898&amp;" "," ","|",4))-FIND("|",SUBSTITUTE($H1898&amp;" "," ","|",3))-1),""))</f>
        <v/>
      </c>
      <c r="F1898" s="59">
        <f>IF($H1898="","",IFERROR(VALUE(IFERROR(MID($H1898&amp;" ",FIND("|",SUBSTITUTE($H1898&amp;" "," ","|",4))+1,FIND("|",SUBSTITUTE($H1898&amp;" "," ","|",5))-FIND("|",SUBSTITUTE($H1898&amp;" "," ","|",4))-1),""))/86400+25569+9/24,""))</f>
        <v/>
      </c>
      <c r="G1898" s="58">
        <f>TRIM(SUBSTITUTE(SUBSTITUTE(SUBSTITUTE($A1898,CHAR(9)," ")," "," "),CHAR(13),""))</f>
        <v/>
      </c>
      <c r="H1898" s="58">
        <f>IF($G1898="","",IF(ISNUMBER(FIND(" ",$G1898)),$G1898,IFERROR(IF((LEN(SUBSTITUTE(SUBSTITUTE($G1898,"-"," ",LEN($G1898)-LEN(SUBSTITUTE($G1898,"-",""))),"-"," ",LEN($G1898)-LEN(SUBSTITUTE($G1898,"-",""))-1))-LEN(SUBSTITUTE(SUBSTITUTE(SUBSTITUTE($G1898,"-"," ",LEN($G1898)-LEN(SUBSTITUTE($G1898,"-",""))),"-"," ",LEN($G1898)-LEN(SUBSTITUTE($G1898,"-",""))-1),".","")))=0,SUBSTITUTE(SUBSTITUTE($G1898,"-"," ",LEN($G1898)-LEN(SUBSTITUTE($G1898,"-",""))),"-"," ",LEN($G1898)-LEN(SUBSTITUTE($G1898,"-",""))-1),SUBSTITUTE(SUBSTITUTE(SUBSTITUTE($G1898,"-"," ",LEN($G1898)-LEN(SUBSTITUTE($G1898,"-",""))),"-"," ",LEN($G1898)-LEN(SUBSTITUTE($G1898,"-",""))-1),"."," ",(LEN(SUBSTITUTE(SUBSTITUTE($G1898,"-"," ",LEN($G1898)-LEN(SUBSTITUTE($G1898,"-",""))),"-"," ",LEN($G1898)-LEN(SUBSTITUTE($G1898,"-",""))-1))-LEN(SUBSTITUTE(SUBSTITUTE(SUBSTITUTE($G1898,"-"," ",LEN($G1898)-LEN(SUBSTITUTE($G1898,"-",""))),"-"," ",LEN($G1898)-LEN(SUBSTITUTE($G1898,"-",""))-1),".",""))))),$G1898)))</f>
        <v/>
      </c>
    </row>
    <row r="1899">
      <c r="A1899" s="58" t="n"/>
      <c r="B1899" s="58">
        <f>IF($H1899="","",LEFT($H1899,FIND(" ",$H1899&amp;" ")-1))</f>
        <v/>
      </c>
      <c r="C1899" s="58">
        <f>IF($H1899="","",IFERROR(MID($H1899&amp;" ",FIND("|",SUBSTITUTE($H1899&amp;" "," ","|",1))+1,FIND("|",SUBSTITUTE($H1899&amp;" "," ","|",2))-FIND("|",SUBSTITUTE($H1899&amp;" "," ","|",1))-1),""))</f>
        <v/>
      </c>
      <c r="D1899" s="58">
        <f>IF($H1899="","",IFERROR(MID($H1899&amp;" ",FIND("|",SUBSTITUTE($H1899&amp;" "," ","|",2))+1,FIND("|",SUBSTITUTE($H1899&amp;" "," ","|",3))-FIND("|",SUBSTITUTE($H1899&amp;" "," ","|",2))-1),""))</f>
        <v/>
      </c>
      <c r="E1899" s="58">
        <f>IF($H1899="","",IFERROR(MID($H1899&amp;" ",FIND("|",SUBSTITUTE($H1899&amp;" "," ","|",3))+1,FIND("|",SUBSTITUTE($H1899&amp;" "," ","|",4))-FIND("|",SUBSTITUTE($H1899&amp;" "," ","|",3))-1),""))</f>
        <v/>
      </c>
      <c r="F1899" s="59">
        <f>IF($H1899="","",IFERROR(VALUE(IFERROR(MID($H1899&amp;" ",FIND("|",SUBSTITUTE($H1899&amp;" "," ","|",4))+1,FIND("|",SUBSTITUTE($H1899&amp;" "," ","|",5))-FIND("|",SUBSTITUTE($H1899&amp;" "," ","|",4))-1),""))/86400+25569+9/24,""))</f>
        <v/>
      </c>
      <c r="G1899" s="58">
        <f>TRIM(SUBSTITUTE(SUBSTITUTE(SUBSTITUTE($A1899,CHAR(9)," ")," "," "),CHAR(13),""))</f>
        <v/>
      </c>
      <c r="H1899" s="58">
        <f>IF($G1899="","",IF(ISNUMBER(FIND(" ",$G1899)),$G1899,IFERROR(IF((LEN(SUBSTITUTE(SUBSTITUTE($G1899,"-"," ",LEN($G1899)-LEN(SUBSTITUTE($G1899,"-",""))),"-"," ",LEN($G1899)-LEN(SUBSTITUTE($G1899,"-",""))-1))-LEN(SUBSTITUTE(SUBSTITUTE(SUBSTITUTE($G1899,"-"," ",LEN($G1899)-LEN(SUBSTITUTE($G1899,"-",""))),"-"," ",LEN($G1899)-LEN(SUBSTITUTE($G1899,"-",""))-1),".","")))=0,SUBSTITUTE(SUBSTITUTE($G1899,"-"," ",LEN($G1899)-LEN(SUBSTITUTE($G1899,"-",""))),"-"," ",LEN($G1899)-LEN(SUBSTITUTE($G1899,"-",""))-1),SUBSTITUTE(SUBSTITUTE(SUBSTITUTE($G1899,"-"," ",LEN($G1899)-LEN(SUBSTITUTE($G1899,"-",""))),"-"," ",LEN($G1899)-LEN(SUBSTITUTE($G1899,"-",""))-1),"."," ",(LEN(SUBSTITUTE(SUBSTITUTE($G1899,"-"," ",LEN($G1899)-LEN(SUBSTITUTE($G1899,"-",""))),"-"," ",LEN($G1899)-LEN(SUBSTITUTE($G1899,"-",""))-1))-LEN(SUBSTITUTE(SUBSTITUTE(SUBSTITUTE($G1899,"-"," ",LEN($G1899)-LEN(SUBSTITUTE($G1899,"-",""))),"-"," ",LEN($G1899)-LEN(SUBSTITUTE($G1899,"-",""))-1),".",""))))),$G1899)))</f>
        <v/>
      </c>
    </row>
    <row r="1900">
      <c r="A1900" s="58" t="n"/>
      <c r="B1900" s="58">
        <f>IF($H1900="","",LEFT($H1900,FIND(" ",$H1900&amp;" ")-1))</f>
        <v/>
      </c>
      <c r="C1900" s="58">
        <f>IF($H1900="","",IFERROR(MID($H1900&amp;" ",FIND("|",SUBSTITUTE($H1900&amp;" "," ","|",1))+1,FIND("|",SUBSTITUTE($H1900&amp;" "," ","|",2))-FIND("|",SUBSTITUTE($H1900&amp;" "," ","|",1))-1),""))</f>
        <v/>
      </c>
      <c r="D1900" s="58">
        <f>IF($H1900="","",IFERROR(MID($H1900&amp;" ",FIND("|",SUBSTITUTE($H1900&amp;" "," ","|",2))+1,FIND("|",SUBSTITUTE($H1900&amp;" "," ","|",3))-FIND("|",SUBSTITUTE($H1900&amp;" "," ","|",2))-1),""))</f>
        <v/>
      </c>
      <c r="E1900" s="58">
        <f>IF($H1900="","",IFERROR(MID($H1900&amp;" ",FIND("|",SUBSTITUTE($H1900&amp;" "," ","|",3))+1,FIND("|",SUBSTITUTE($H1900&amp;" "," ","|",4))-FIND("|",SUBSTITUTE($H1900&amp;" "," ","|",3))-1),""))</f>
        <v/>
      </c>
      <c r="F1900" s="59">
        <f>IF($H1900="","",IFERROR(VALUE(IFERROR(MID($H1900&amp;" ",FIND("|",SUBSTITUTE($H1900&amp;" "," ","|",4))+1,FIND("|",SUBSTITUTE($H1900&amp;" "," ","|",5))-FIND("|",SUBSTITUTE($H1900&amp;" "," ","|",4))-1),""))/86400+25569+9/24,""))</f>
        <v/>
      </c>
      <c r="G1900" s="58">
        <f>TRIM(SUBSTITUTE(SUBSTITUTE(SUBSTITUTE($A1900,CHAR(9)," ")," "," "),CHAR(13),""))</f>
        <v/>
      </c>
      <c r="H1900" s="58">
        <f>IF($G1900="","",IF(ISNUMBER(FIND(" ",$G1900)),$G1900,IFERROR(IF((LEN(SUBSTITUTE(SUBSTITUTE($G1900,"-"," ",LEN($G1900)-LEN(SUBSTITUTE($G1900,"-",""))),"-"," ",LEN($G1900)-LEN(SUBSTITUTE($G1900,"-",""))-1))-LEN(SUBSTITUTE(SUBSTITUTE(SUBSTITUTE($G1900,"-"," ",LEN($G1900)-LEN(SUBSTITUTE($G1900,"-",""))),"-"," ",LEN($G1900)-LEN(SUBSTITUTE($G1900,"-",""))-1),".","")))=0,SUBSTITUTE(SUBSTITUTE($G1900,"-"," ",LEN($G1900)-LEN(SUBSTITUTE($G1900,"-",""))),"-"," ",LEN($G1900)-LEN(SUBSTITUTE($G1900,"-",""))-1),SUBSTITUTE(SUBSTITUTE(SUBSTITUTE($G1900,"-"," ",LEN($G1900)-LEN(SUBSTITUTE($G1900,"-",""))),"-"," ",LEN($G1900)-LEN(SUBSTITUTE($G1900,"-",""))-1),"."," ",(LEN(SUBSTITUTE(SUBSTITUTE($G1900,"-"," ",LEN($G1900)-LEN(SUBSTITUTE($G1900,"-",""))),"-"," ",LEN($G1900)-LEN(SUBSTITUTE($G1900,"-",""))-1))-LEN(SUBSTITUTE(SUBSTITUTE(SUBSTITUTE($G1900,"-"," ",LEN($G1900)-LEN(SUBSTITUTE($G1900,"-",""))),"-"," ",LEN($G1900)-LEN(SUBSTITUTE($G1900,"-",""))-1),".",""))))),$G1900)))</f>
        <v/>
      </c>
    </row>
    <row r="1901">
      <c r="A1901" s="58" t="n"/>
      <c r="B1901" s="58">
        <f>IF($H1901="","",LEFT($H1901,FIND(" ",$H1901&amp;" ")-1))</f>
        <v/>
      </c>
      <c r="C1901" s="58">
        <f>IF($H1901="","",IFERROR(MID($H1901&amp;" ",FIND("|",SUBSTITUTE($H1901&amp;" "," ","|",1))+1,FIND("|",SUBSTITUTE($H1901&amp;" "," ","|",2))-FIND("|",SUBSTITUTE($H1901&amp;" "," ","|",1))-1),""))</f>
        <v/>
      </c>
      <c r="D1901" s="58">
        <f>IF($H1901="","",IFERROR(MID($H1901&amp;" ",FIND("|",SUBSTITUTE($H1901&amp;" "," ","|",2))+1,FIND("|",SUBSTITUTE($H1901&amp;" "," ","|",3))-FIND("|",SUBSTITUTE($H1901&amp;" "," ","|",2))-1),""))</f>
        <v/>
      </c>
      <c r="E1901" s="58">
        <f>IF($H1901="","",IFERROR(MID($H1901&amp;" ",FIND("|",SUBSTITUTE($H1901&amp;" "," ","|",3))+1,FIND("|",SUBSTITUTE($H1901&amp;" "," ","|",4))-FIND("|",SUBSTITUTE($H1901&amp;" "," ","|",3))-1),""))</f>
        <v/>
      </c>
      <c r="F1901" s="59">
        <f>IF($H1901="","",IFERROR(VALUE(IFERROR(MID($H1901&amp;" ",FIND("|",SUBSTITUTE($H1901&amp;" "," ","|",4))+1,FIND("|",SUBSTITUTE($H1901&amp;" "," ","|",5))-FIND("|",SUBSTITUTE($H1901&amp;" "," ","|",4))-1),""))/86400+25569+9/24,""))</f>
        <v/>
      </c>
      <c r="G1901" s="58">
        <f>TRIM(SUBSTITUTE(SUBSTITUTE(SUBSTITUTE($A1901,CHAR(9)," ")," "," "),CHAR(13),""))</f>
        <v/>
      </c>
      <c r="H1901" s="58">
        <f>IF($G1901="","",IF(ISNUMBER(FIND(" ",$G1901)),$G1901,IFERROR(IF((LEN(SUBSTITUTE(SUBSTITUTE($G1901,"-"," ",LEN($G1901)-LEN(SUBSTITUTE($G1901,"-",""))),"-"," ",LEN($G1901)-LEN(SUBSTITUTE($G1901,"-",""))-1))-LEN(SUBSTITUTE(SUBSTITUTE(SUBSTITUTE($G1901,"-"," ",LEN($G1901)-LEN(SUBSTITUTE($G1901,"-",""))),"-"," ",LEN($G1901)-LEN(SUBSTITUTE($G1901,"-",""))-1),".","")))=0,SUBSTITUTE(SUBSTITUTE($G1901,"-"," ",LEN($G1901)-LEN(SUBSTITUTE($G1901,"-",""))),"-"," ",LEN($G1901)-LEN(SUBSTITUTE($G1901,"-",""))-1),SUBSTITUTE(SUBSTITUTE(SUBSTITUTE($G1901,"-"," ",LEN($G1901)-LEN(SUBSTITUTE($G1901,"-",""))),"-"," ",LEN($G1901)-LEN(SUBSTITUTE($G1901,"-",""))-1),"."," ",(LEN(SUBSTITUTE(SUBSTITUTE($G1901,"-"," ",LEN($G1901)-LEN(SUBSTITUTE($G1901,"-",""))),"-"," ",LEN($G1901)-LEN(SUBSTITUTE($G1901,"-",""))-1))-LEN(SUBSTITUTE(SUBSTITUTE(SUBSTITUTE($G1901,"-"," ",LEN($G1901)-LEN(SUBSTITUTE($G1901,"-",""))),"-"," ",LEN($G1901)-LEN(SUBSTITUTE($G1901,"-",""))-1),".",""))))),$G1901)))</f>
        <v/>
      </c>
    </row>
    <row r="1902">
      <c r="A1902" s="58" t="n"/>
      <c r="B1902" s="58">
        <f>IF($H1902="","",LEFT($H1902,FIND(" ",$H1902&amp;" ")-1))</f>
        <v/>
      </c>
      <c r="C1902" s="58">
        <f>IF($H1902="","",IFERROR(MID($H1902&amp;" ",FIND("|",SUBSTITUTE($H1902&amp;" "," ","|",1))+1,FIND("|",SUBSTITUTE($H1902&amp;" "," ","|",2))-FIND("|",SUBSTITUTE($H1902&amp;" "," ","|",1))-1),""))</f>
        <v/>
      </c>
      <c r="D1902" s="58">
        <f>IF($H1902="","",IFERROR(MID($H1902&amp;" ",FIND("|",SUBSTITUTE($H1902&amp;" "," ","|",2))+1,FIND("|",SUBSTITUTE($H1902&amp;" "," ","|",3))-FIND("|",SUBSTITUTE($H1902&amp;" "," ","|",2))-1),""))</f>
        <v/>
      </c>
      <c r="E1902" s="58">
        <f>IF($H1902="","",IFERROR(MID($H1902&amp;" ",FIND("|",SUBSTITUTE($H1902&amp;" "," ","|",3))+1,FIND("|",SUBSTITUTE($H1902&amp;" "," ","|",4))-FIND("|",SUBSTITUTE($H1902&amp;" "," ","|",3))-1),""))</f>
        <v/>
      </c>
      <c r="F1902" s="59">
        <f>IF($H1902="","",IFERROR(VALUE(IFERROR(MID($H1902&amp;" ",FIND("|",SUBSTITUTE($H1902&amp;" "," ","|",4))+1,FIND("|",SUBSTITUTE($H1902&amp;" "," ","|",5))-FIND("|",SUBSTITUTE($H1902&amp;" "," ","|",4))-1),""))/86400+25569+9/24,""))</f>
        <v/>
      </c>
      <c r="G1902" s="58">
        <f>TRIM(SUBSTITUTE(SUBSTITUTE(SUBSTITUTE($A1902,CHAR(9)," ")," "," "),CHAR(13),""))</f>
        <v/>
      </c>
      <c r="H1902" s="58">
        <f>IF($G1902="","",IF(ISNUMBER(FIND(" ",$G1902)),$G1902,IFERROR(IF((LEN(SUBSTITUTE(SUBSTITUTE($G1902,"-"," ",LEN($G1902)-LEN(SUBSTITUTE($G1902,"-",""))),"-"," ",LEN($G1902)-LEN(SUBSTITUTE($G1902,"-",""))-1))-LEN(SUBSTITUTE(SUBSTITUTE(SUBSTITUTE($G1902,"-"," ",LEN($G1902)-LEN(SUBSTITUTE($G1902,"-",""))),"-"," ",LEN($G1902)-LEN(SUBSTITUTE($G1902,"-",""))-1),".","")))=0,SUBSTITUTE(SUBSTITUTE($G1902,"-"," ",LEN($G1902)-LEN(SUBSTITUTE($G1902,"-",""))),"-"," ",LEN($G1902)-LEN(SUBSTITUTE($G1902,"-",""))-1),SUBSTITUTE(SUBSTITUTE(SUBSTITUTE($G1902,"-"," ",LEN($G1902)-LEN(SUBSTITUTE($G1902,"-",""))),"-"," ",LEN($G1902)-LEN(SUBSTITUTE($G1902,"-",""))-1),"."," ",(LEN(SUBSTITUTE(SUBSTITUTE($G1902,"-"," ",LEN($G1902)-LEN(SUBSTITUTE($G1902,"-",""))),"-"," ",LEN($G1902)-LEN(SUBSTITUTE($G1902,"-",""))-1))-LEN(SUBSTITUTE(SUBSTITUTE(SUBSTITUTE($G1902,"-"," ",LEN($G1902)-LEN(SUBSTITUTE($G1902,"-",""))),"-"," ",LEN($G1902)-LEN(SUBSTITUTE($G1902,"-",""))-1),".",""))))),$G1902)))</f>
        <v/>
      </c>
    </row>
    <row r="1903">
      <c r="A1903" s="58" t="n"/>
      <c r="B1903" s="58">
        <f>IF($H1903="","",LEFT($H1903,FIND(" ",$H1903&amp;" ")-1))</f>
        <v/>
      </c>
      <c r="C1903" s="58">
        <f>IF($H1903="","",IFERROR(MID($H1903&amp;" ",FIND("|",SUBSTITUTE($H1903&amp;" "," ","|",1))+1,FIND("|",SUBSTITUTE($H1903&amp;" "," ","|",2))-FIND("|",SUBSTITUTE($H1903&amp;" "," ","|",1))-1),""))</f>
        <v/>
      </c>
      <c r="D1903" s="58">
        <f>IF($H1903="","",IFERROR(MID($H1903&amp;" ",FIND("|",SUBSTITUTE($H1903&amp;" "," ","|",2))+1,FIND("|",SUBSTITUTE($H1903&amp;" "," ","|",3))-FIND("|",SUBSTITUTE($H1903&amp;" "," ","|",2))-1),""))</f>
        <v/>
      </c>
      <c r="E1903" s="58">
        <f>IF($H1903="","",IFERROR(MID($H1903&amp;" ",FIND("|",SUBSTITUTE($H1903&amp;" "," ","|",3))+1,FIND("|",SUBSTITUTE($H1903&amp;" "," ","|",4))-FIND("|",SUBSTITUTE($H1903&amp;" "," ","|",3))-1),""))</f>
        <v/>
      </c>
      <c r="F1903" s="59">
        <f>IF($H1903="","",IFERROR(VALUE(IFERROR(MID($H1903&amp;" ",FIND("|",SUBSTITUTE($H1903&amp;" "," ","|",4))+1,FIND("|",SUBSTITUTE($H1903&amp;" "," ","|",5))-FIND("|",SUBSTITUTE($H1903&amp;" "," ","|",4))-1),""))/86400+25569+9/24,""))</f>
        <v/>
      </c>
      <c r="G1903" s="58">
        <f>TRIM(SUBSTITUTE(SUBSTITUTE(SUBSTITUTE($A1903,CHAR(9)," ")," "," "),CHAR(13),""))</f>
        <v/>
      </c>
      <c r="H1903" s="58">
        <f>IF($G1903="","",IF(ISNUMBER(FIND(" ",$G1903)),$G1903,IFERROR(IF((LEN(SUBSTITUTE(SUBSTITUTE($G1903,"-"," ",LEN($G1903)-LEN(SUBSTITUTE($G1903,"-",""))),"-"," ",LEN($G1903)-LEN(SUBSTITUTE($G1903,"-",""))-1))-LEN(SUBSTITUTE(SUBSTITUTE(SUBSTITUTE($G1903,"-"," ",LEN($G1903)-LEN(SUBSTITUTE($G1903,"-",""))),"-"," ",LEN($G1903)-LEN(SUBSTITUTE($G1903,"-",""))-1),".","")))=0,SUBSTITUTE(SUBSTITUTE($G1903,"-"," ",LEN($G1903)-LEN(SUBSTITUTE($G1903,"-",""))),"-"," ",LEN($G1903)-LEN(SUBSTITUTE($G1903,"-",""))-1),SUBSTITUTE(SUBSTITUTE(SUBSTITUTE($G1903,"-"," ",LEN($G1903)-LEN(SUBSTITUTE($G1903,"-",""))),"-"," ",LEN($G1903)-LEN(SUBSTITUTE($G1903,"-",""))-1),"."," ",(LEN(SUBSTITUTE(SUBSTITUTE($G1903,"-"," ",LEN($G1903)-LEN(SUBSTITUTE($G1903,"-",""))),"-"," ",LEN($G1903)-LEN(SUBSTITUTE($G1903,"-",""))-1))-LEN(SUBSTITUTE(SUBSTITUTE(SUBSTITUTE($G1903,"-"," ",LEN($G1903)-LEN(SUBSTITUTE($G1903,"-",""))),"-"," ",LEN($G1903)-LEN(SUBSTITUTE($G1903,"-",""))-1),".",""))))),$G1903)))</f>
        <v/>
      </c>
    </row>
    <row r="1904">
      <c r="A1904" s="58" t="n"/>
      <c r="B1904" s="58">
        <f>IF($H1904="","",LEFT($H1904,FIND(" ",$H1904&amp;" ")-1))</f>
        <v/>
      </c>
      <c r="C1904" s="58">
        <f>IF($H1904="","",IFERROR(MID($H1904&amp;" ",FIND("|",SUBSTITUTE($H1904&amp;" "," ","|",1))+1,FIND("|",SUBSTITUTE($H1904&amp;" "," ","|",2))-FIND("|",SUBSTITUTE($H1904&amp;" "," ","|",1))-1),""))</f>
        <v/>
      </c>
      <c r="D1904" s="58">
        <f>IF($H1904="","",IFERROR(MID($H1904&amp;" ",FIND("|",SUBSTITUTE($H1904&amp;" "," ","|",2))+1,FIND("|",SUBSTITUTE($H1904&amp;" "," ","|",3))-FIND("|",SUBSTITUTE($H1904&amp;" "," ","|",2))-1),""))</f>
        <v/>
      </c>
      <c r="E1904" s="58">
        <f>IF($H1904="","",IFERROR(MID($H1904&amp;" ",FIND("|",SUBSTITUTE($H1904&amp;" "," ","|",3))+1,FIND("|",SUBSTITUTE($H1904&amp;" "," ","|",4))-FIND("|",SUBSTITUTE($H1904&amp;" "," ","|",3))-1),""))</f>
        <v/>
      </c>
      <c r="F1904" s="59">
        <f>IF($H1904="","",IFERROR(VALUE(IFERROR(MID($H1904&amp;" ",FIND("|",SUBSTITUTE($H1904&amp;" "," ","|",4))+1,FIND("|",SUBSTITUTE($H1904&amp;" "," ","|",5))-FIND("|",SUBSTITUTE($H1904&amp;" "," ","|",4))-1),""))/86400+25569+9/24,""))</f>
        <v/>
      </c>
      <c r="G1904" s="58">
        <f>TRIM(SUBSTITUTE(SUBSTITUTE(SUBSTITUTE($A1904,CHAR(9)," ")," "," "),CHAR(13),""))</f>
        <v/>
      </c>
      <c r="H1904" s="58">
        <f>IF($G1904="","",IF(ISNUMBER(FIND(" ",$G1904)),$G1904,IFERROR(IF((LEN(SUBSTITUTE(SUBSTITUTE($G1904,"-"," ",LEN($G1904)-LEN(SUBSTITUTE($G1904,"-",""))),"-"," ",LEN($G1904)-LEN(SUBSTITUTE($G1904,"-",""))-1))-LEN(SUBSTITUTE(SUBSTITUTE(SUBSTITUTE($G1904,"-"," ",LEN($G1904)-LEN(SUBSTITUTE($G1904,"-",""))),"-"," ",LEN($G1904)-LEN(SUBSTITUTE($G1904,"-",""))-1),".","")))=0,SUBSTITUTE(SUBSTITUTE($G1904,"-"," ",LEN($G1904)-LEN(SUBSTITUTE($G1904,"-",""))),"-"," ",LEN($G1904)-LEN(SUBSTITUTE($G1904,"-",""))-1),SUBSTITUTE(SUBSTITUTE(SUBSTITUTE($G1904,"-"," ",LEN($G1904)-LEN(SUBSTITUTE($G1904,"-",""))),"-"," ",LEN($G1904)-LEN(SUBSTITUTE($G1904,"-",""))-1),"."," ",(LEN(SUBSTITUTE(SUBSTITUTE($G1904,"-"," ",LEN($G1904)-LEN(SUBSTITUTE($G1904,"-",""))),"-"," ",LEN($G1904)-LEN(SUBSTITUTE($G1904,"-",""))-1))-LEN(SUBSTITUTE(SUBSTITUTE(SUBSTITUTE($G1904,"-"," ",LEN($G1904)-LEN(SUBSTITUTE($G1904,"-",""))),"-"," ",LEN($G1904)-LEN(SUBSTITUTE($G1904,"-",""))-1),".",""))))),$G1904)))</f>
        <v/>
      </c>
    </row>
    <row r="1905">
      <c r="A1905" s="58" t="n"/>
      <c r="B1905" s="58">
        <f>IF($H1905="","",LEFT($H1905,FIND(" ",$H1905&amp;" ")-1))</f>
        <v/>
      </c>
      <c r="C1905" s="58">
        <f>IF($H1905="","",IFERROR(MID($H1905&amp;" ",FIND("|",SUBSTITUTE($H1905&amp;" "," ","|",1))+1,FIND("|",SUBSTITUTE($H1905&amp;" "," ","|",2))-FIND("|",SUBSTITUTE($H1905&amp;" "," ","|",1))-1),""))</f>
        <v/>
      </c>
      <c r="D1905" s="58">
        <f>IF($H1905="","",IFERROR(MID($H1905&amp;" ",FIND("|",SUBSTITUTE($H1905&amp;" "," ","|",2))+1,FIND("|",SUBSTITUTE($H1905&amp;" "," ","|",3))-FIND("|",SUBSTITUTE($H1905&amp;" "," ","|",2))-1),""))</f>
        <v/>
      </c>
      <c r="E1905" s="58">
        <f>IF($H1905="","",IFERROR(MID($H1905&amp;" ",FIND("|",SUBSTITUTE($H1905&amp;" "," ","|",3))+1,FIND("|",SUBSTITUTE($H1905&amp;" "," ","|",4))-FIND("|",SUBSTITUTE($H1905&amp;" "," ","|",3))-1),""))</f>
        <v/>
      </c>
      <c r="F1905" s="59">
        <f>IF($H1905="","",IFERROR(VALUE(IFERROR(MID($H1905&amp;" ",FIND("|",SUBSTITUTE($H1905&amp;" "," ","|",4))+1,FIND("|",SUBSTITUTE($H1905&amp;" "," ","|",5))-FIND("|",SUBSTITUTE($H1905&amp;" "," ","|",4))-1),""))/86400+25569+9/24,""))</f>
        <v/>
      </c>
      <c r="G1905" s="58">
        <f>TRIM(SUBSTITUTE(SUBSTITUTE(SUBSTITUTE($A1905,CHAR(9)," ")," "," "),CHAR(13),""))</f>
        <v/>
      </c>
      <c r="H1905" s="58">
        <f>IF($G1905="","",IF(ISNUMBER(FIND(" ",$G1905)),$G1905,IFERROR(IF((LEN(SUBSTITUTE(SUBSTITUTE($G1905,"-"," ",LEN($G1905)-LEN(SUBSTITUTE($G1905,"-",""))),"-"," ",LEN($G1905)-LEN(SUBSTITUTE($G1905,"-",""))-1))-LEN(SUBSTITUTE(SUBSTITUTE(SUBSTITUTE($G1905,"-"," ",LEN($G1905)-LEN(SUBSTITUTE($G1905,"-",""))),"-"," ",LEN($G1905)-LEN(SUBSTITUTE($G1905,"-",""))-1),".","")))=0,SUBSTITUTE(SUBSTITUTE($G1905,"-"," ",LEN($G1905)-LEN(SUBSTITUTE($G1905,"-",""))),"-"," ",LEN($G1905)-LEN(SUBSTITUTE($G1905,"-",""))-1),SUBSTITUTE(SUBSTITUTE(SUBSTITUTE($G1905,"-"," ",LEN($G1905)-LEN(SUBSTITUTE($G1905,"-",""))),"-"," ",LEN($G1905)-LEN(SUBSTITUTE($G1905,"-",""))-1),"."," ",(LEN(SUBSTITUTE(SUBSTITUTE($G1905,"-"," ",LEN($G1905)-LEN(SUBSTITUTE($G1905,"-",""))),"-"," ",LEN($G1905)-LEN(SUBSTITUTE($G1905,"-",""))-1))-LEN(SUBSTITUTE(SUBSTITUTE(SUBSTITUTE($G1905,"-"," ",LEN($G1905)-LEN(SUBSTITUTE($G1905,"-",""))),"-"," ",LEN($G1905)-LEN(SUBSTITUTE($G1905,"-",""))-1),".",""))))),$G1905)))</f>
        <v/>
      </c>
    </row>
    <row r="1906">
      <c r="A1906" s="58" t="n"/>
      <c r="B1906" s="58">
        <f>IF($H1906="","",LEFT($H1906,FIND(" ",$H1906&amp;" ")-1))</f>
        <v/>
      </c>
      <c r="C1906" s="58">
        <f>IF($H1906="","",IFERROR(MID($H1906&amp;" ",FIND("|",SUBSTITUTE($H1906&amp;" "," ","|",1))+1,FIND("|",SUBSTITUTE($H1906&amp;" "," ","|",2))-FIND("|",SUBSTITUTE($H1906&amp;" "," ","|",1))-1),""))</f>
        <v/>
      </c>
      <c r="D1906" s="58">
        <f>IF($H1906="","",IFERROR(MID($H1906&amp;" ",FIND("|",SUBSTITUTE($H1906&amp;" "," ","|",2))+1,FIND("|",SUBSTITUTE($H1906&amp;" "," ","|",3))-FIND("|",SUBSTITUTE($H1906&amp;" "," ","|",2))-1),""))</f>
        <v/>
      </c>
      <c r="E1906" s="58">
        <f>IF($H1906="","",IFERROR(MID($H1906&amp;" ",FIND("|",SUBSTITUTE($H1906&amp;" "," ","|",3))+1,FIND("|",SUBSTITUTE($H1906&amp;" "," ","|",4))-FIND("|",SUBSTITUTE($H1906&amp;" "," ","|",3))-1),""))</f>
        <v/>
      </c>
      <c r="F1906" s="59">
        <f>IF($H1906="","",IFERROR(VALUE(IFERROR(MID($H1906&amp;" ",FIND("|",SUBSTITUTE($H1906&amp;" "," ","|",4))+1,FIND("|",SUBSTITUTE($H1906&amp;" "," ","|",5))-FIND("|",SUBSTITUTE($H1906&amp;" "," ","|",4))-1),""))/86400+25569+9/24,""))</f>
        <v/>
      </c>
      <c r="G1906" s="58">
        <f>TRIM(SUBSTITUTE(SUBSTITUTE(SUBSTITUTE($A1906,CHAR(9)," ")," "," "),CHAR(13),""))</f>
        <v/>
      </c>
      <c r="H1906" s="58">
        <f>IF($G1906="","",IF(ISNUMBER(FIND(" ",$G1906)),$G1906,IFERROR(IF((LEN(SUBSTITUTE(SUBSTITUTE($G1906,"-"," ",LEN($G1906)-LEN(SUBSTITUTE($G1906,"-",""))),"-"," ",LEN($G1906)-LEN(SUBSTITUTE($G1906,"-",""))-1))-LEN(SUBSTITUTE(SUBSTITUTE(SUBSTITUTE($G1906,"-"," ",LEN($G1906)-LEN(SUBSTITUTE($G1906,"-",""))),"-"," ",LEN($G1906)-LEN(SUBSTITUTE($G1906,"-",""))-1),".","")))=0,SUBSTITUTE(SUBSTITUTE($G1906,"-"," ",LEN($G1906)-LEN(SUBSTITUTE($G1906,"-",""))),"-"," ",LEN($G1906)-LEN(SUBSTITUTE($G1906,"-",""))-1),SUBSTITUTE(SUBSTITUTE(SUBSTITUTE($G1906,"-"," ",LEN($G1906)-LEN(SUBSTITUTE($G1906,"-",""))),"-"," ",LEN($G1906)-LEN(SUBSTITUTE($G1906,"-",""))-1),"."," ",(LEN(SUBSTITUTE(SUBSTITUTE($G1906,"-"," ",LEN($G1906)-LEN(SUBSTITUTE($G1906,"-",""))),"-"," ",LEN($G1906)-LEN(SUBSTITUTE($G1906,"-",""))-1))-LEN(SUBSTITUTE(SUBSTITUTE(SUBSTITUTE($G1906,"-"," ",LEN($G1906)-LEN(SUBSTITUTE($G1906,"-",""))),"-"," ",LEN($G1906)-LEN(SUBSTITUTE($G1906,"-",""))-1),".",""))))),$G1906)))</f>
        <v/>
      </c>
    </row>
    <row r="1907">
      <c r="A1907" s="58" t="n"/>
      <c r="B1907" s="58">
        <f>IF($H1907="","",LEFT($H1907,FIND(" ",$H1907&amp;" ")-1))</f>
        <v/>
      </c>
      <c r="C1907" s="58">
        <f>IF($H1907="","",IFERROR(MID($H1907&amp;" ",FIND("|",SUBSTITUTE($H1907&amp;" "," ","|",1))+1,FIND("|",SUBSTITUTE($H1907&amp;" "," ","|",2))-FIND("|",SUBSTITUTE($H1907&amp;" "," ","|",1))-1),""))</f>
        <v/>
      </c>
      <c r="D1907" s="58">
        <f>IF($H1907="","",IFERROR(MID($H1907&amp;" ",FIND("|",SUBSTITUTE($H1907&amp;" "," ","|",2))+1,FIND("|",SUBSTITUTE($H1907&amp;" "," ","|",3))-FIND("|",SUBSTITUTE($H1907&amp;" "," ","|",2))-1),""))</f>
        <v/>
      </c>
      <c r="E1907" s="58">
        <f>IF($H1907="","",IFERROR(MID($H1907&amp;" ",FIND("|",SUBSTITUTE($H1907&amp;" "," ","|",3))+1,FIND("|",SUBSTITUTE($H1907&amp;" "," ","|",4))-FIND("|",SUBSTITUTE($H1907&amp;" "," ","|",3))-1),""))</f>
        <v/>
      </c>
      <c r="F1907" s="59">
        <f>IF($H1907="","",IFERROR(VALUE(IFERROR(MID($H1907&amp;" ",FIND("|",SUBSTITUTE($H1907&amp;" "," ","|",4))+1,FIND("|",SUBSTITUTE($H1907&amp;" "," ","|",5))-FIND("|",SUBSTITUTE($H1907&amp;" "," ","|",4))-1),""))/86400+25569+9/24,""))</f>
        <v/>
      </c>
      <c r="G1907" s="58">
        <f>TRIM(SUBSTITUTE(SUBSTITUTE(SUBSTITUTE($A1907,CHAR(9)," ")," "," "),CHAR(13),""))</f>
        <v/>
      </c>
      <c r="H1907" s="58">
        <f>IF($G1907="","",IF(ISNUMBER(FIND(" ",$G1907)),$G1907,IFERROR(IF((LEN(SUBSTITUTE(SUBSTITUTE($G1907,"-"," ",LEN($G1907)-LEN(SUBSTITUTE($G1907,"-",""))),"-"," ",LEN($G1907)-LEN(SUBSTITUTE($G1907,"-",""))-1))-LEN(SUBSTITUTE(SUBSTITUTE(SUBSTITUTE($G1907,"-"," ",LEN($G1907)-LEN(SUBSTITUTE($G1907,"-",""))),"-"," ",LEN($G1907)-LEN(SUBSTITUTE($G1907,"-",""))-1),".","")))=0,SUBSTITUTE(SUBSTITUTE($G1907,"-"," ",LEN($G1907)-LEN(SUBSTITUTE($G1907,"-",""))),"-"," ",LEN($G1907)-LEN(SUBSTITUTE($G1907,"-",""))-1),SUBSTITUTE(SUBSTITUTE(SUBSTITUTE($G1907,"-"," ",LEN($G1907)-LEN(SUBSTITUTE($G1907,"-",""))),"-"," ",LEN($G1907)-LEN(SUBSTITUTE($G1907,"-",""))-1),"."," ",(LEN(SUBSTITUTE(SUBSTITUTE($G1907,"-"," ",LEN($G1907)-LEN(SUBSTITUTE($G1907,"-",""))),"-"," ",LEN($G1907)-LEN(SUBSTITUTE($G1907,"-",""))-1))-LEN(SUBSTITUTE(SUBSTITUTE(SUBSTITUTE($G1907,"-"," ",LEN($G1907)-LEN(SUBSTITUTE($G1907,"-",""))),"-"," ",LEN($G1907)-LEN(SUBSTITUTE($G1907,"-",""))-1),".",""))))),$G1907)))</f>
        <v/>
      </c>
    </row>
    <row r="1908">
      <c r="A1908" s="58" t="n"/>
      <c r="B1908" s="58">
        <f>IF($H1908="","",LEFT($H1908,FIND(" ",$H1908&amp;" ")-1))</f>
        <v/>
      </c>
      <c r="C1908" s="58">
        <f>IF($H1908="","",IFERROR(MID($H1908&amp;" ",FIND("|",SUBSTITUTE($H1908&amp;" "," ","|",1))+1,FIND("|",SUBSTITUTE($H1908&amp;" "," ","|",2))-FIND("|",SUBSTITUTE($H1908&amp;" "," ","|",1))-1),""))</f>
        <v/>
      </c>
      <c r="D1908" s="58">
        <f>IF($H1908="","",IFERROR(MID($H1908&amp;" ",FIND("|",SUBSTITUTE($H1908&amp;" "," ","|",2))+1,FIND("|",SUBSTITUTE($H1908&amp;" "," ","|",3))-FIND("|",SUBSTITUTE($H1908&amp;" "," ","|",2))-1),""))</f>
        <v/>
      </c>
      <c r="E1908" s="58">
        <f>IF($H1908="","",IFERROR(MID($H1908&amp;" ",FIND("|",SUBSTITUTE($H1908&amp;" "," ","|",3))+1,FIND("|",SUBSTITUTE($H1908&amp;" "," ","|",4))-FIND("|",SUBSTITUTE($H1908&amp;" "," ","|",3))-1),""))</f>
        <v/>
      </c>
      <c r="F1908" s="59">
        <f>IF($H1908="","",IFERROR(VALUE(IFERROR(MID($H1908&amp;" ",FIND("|",SUBSTITUTE($H1908&amp;" "," ","|",4))+1,FIND("|",SUBSTITUTE($H1908&amp;" "," ","|",5))-FIND("|",SUBSTITUTE($H1908&amp;" "," ","|",4))-1),""))/86400+25569+9/24,""))</f>
        <v/>
      </c>
      <c r="G1908" s="58">
        <f>TRIM(SUBSTITUTE(SUBSTITUTE(SUBSTITUTE($A1908,CHAR(9)," ")," "," "),CHAR(13),""))</f>
        <v/>
      </c>
      <c r="H1908" s="58">
        <f>IF($G1908="","",IF(ISNUMBER(FIND(" ",$G1908)),$G1908,IFERROR(IF((LEN(SUBSTITUTE(SUBSTITUTE($G1908,"-"," ",LEN($G1908)-LEN(SUBSTITUTE($G1908,"-",""))),"-"," ",LEN($G1908)-LEN(SUBSTITUTE($G1908,"-",""))-1))-LEN(SUBSTITUTE(SUBSTITUTE(SUBSTITUTE($G1908,"-"," ",LEN($G1908)-LEN(SUBSTITUTE($G1908,"-",""))),"-"," ",LEN($G1908)-LEN(SUBSTITUTE($G1908,"-",""))-1),".","")))=0,SUBSTITUTE(SUBSTITUTE($G1908,"-"," ",LEN($G1908)-LEN(SUBSTITUTE($G1908,"-",""))),"-"," ",LEN($G1908)-LEN(SUBSTITUTE($G1908,"-",""))-1),SUBSTITUTE(SUBSTITUTE(SUBSTITUTE($G1908,"-"," ",LEN($G1908)-LEN(SUBSTITUTE($G1908,"-",""))),"-"," ",LEN($G1908)-LEN(SUBSTITUTE($G1908,"-",""))-1),"."," ",(LEN(SUBSTITUTE(SUBSTITUTE($G1908,"-"," ",LEN($G1908)-LEN(SUBSTITUTE($G1908,"-",""))),"-"," ",LEN($G1908)-LEN(SUBSTITUTE($G1908,"-",""))-1))-LEN(SUBSTITUTE(SUBSTITUTE(SUBSTITUTE($G1908,"-"," ",LEN($G1908)-LEN(SUBSTITUTE($G1908,"-",""))),"-"," ",LEN($G1908)-LEN(SUBSTITUTE($G1908,"-",""))-1),".",""))))),$G1908)))</f>
        <v/>
      </c>
    </row>
    <row r="1909">
      <c r="A1909" s="58" t="n"/>
      <c r="B1909" s="58">
        <f>IF($H1909="","",LEFT($H1909,FIND(" ",$H1909&amp;" ")-1))</f>
        <v/>
      </c>
      <c r="C1909" s="58">
        <f>IF($H1909="","",IFERROR(MID($H1909&amp;" ",FIND("|",SUBSTITUTE($H1909&amp;" "," ","|",1))+1,FIND("|",SUBSTITUTE($H1909&amp;" "," ","|",2))-FIND("|",SUBSTITUTE($H1909&amp;" "," ","|",1))-1),""))</f>
        <v/>
      </c>
      <c r="D1909" s="58">
        <f>IF($H1909="","",IFERROR(MID($H1909&amp;" ",FIND("|",SUBSTITUTE($H1909&amp;" "," ","|",2))+1,FIND("|",SUBSTITUTE($H1909&amp;" "," ","|",3))-FIND("|",SUBSTITUTE($H1909&amp;" "," ","|",2))-1),""))</f>
        <v/>
      </c>
      <c r="E1909" s="58">
        <f>IF($H1909="","",IFERROR(MID($H1909&amp;" ",FIND("|",SUBSTITUTE($H1909&amp;" "," ","|",3))+1,FIND("|",SUBSTITUTE($H1909&amp;" "," ","|",4))-FIND("|",SUBSTITUTE($H1909&amp;" "," ","|",3))-1),""))</f>
        <v/>
      </c>
      <c r="F1909" s="59">
        <f>IF($H1909="","",IFERROR(VALUE(IFERROR(MID($H1909&amp;" ",FIND("|",SUBSTITUTE($H1909&amp;" "," ","|",4))+1,FIND("|",SUBSTITUTE($H1909&amp;" "," ","|",5))-FIND("|",SUBSTITUTE($H1909&amp;" "," ","|",4))-1),""))/86400+25569+9/24,""))</f>
        <v/>
      </c>
      <c r="G1909" s="58">
        <f>TRIM(SUBSTITUTE(SUBSTITUTE(SUBSTITUTE($A1909,CHAR(9)," ")," "," "),CHAR(13),""))</f>
        <v/>
      </c>
      <c r="H1909" s="58">
        <f>IF($G1909="","",IF(ISNUMBER(FIND(" ",$G1909)),$G1909,IFERROR(IF((LEN(SUBSTITUTE(SUBSTITUTE($G1909,"-"," ",LEN($G1909)-LEN(SUBSTITUTE($G1909,"-",""))),"-"," ",LEN($G1909)-LEN(SUBSTITUTE($G1909,"-",""))-1))-LEN(SUBSTITUTE(SUBSTITUTE(SUBSTITUTE($G1909,"-"," ",LEN($G1909)-LEN(SUBSTITUTE($G1909,"-",""))),"-"," ",LEN($G1909)-LEN(SUBSTITUTE($G1909,"-",""))-1),".","")))=0,SUBSTITUTE(SUBSTITUTE($G1909,"-"," ",LEN($G1909)-LEN(SUBSTITUTE($G1909,"-",""))),"-"," ",LEN($G1909)-LEN(SUBSTITUTE($G1909,"-",""))-1),SUBSTITUTE(SUBSTITUTE(SUBSTITUTE($G1909,"-"," ",LEN($G1909)-LEN(SUBSTITUTE($G1909,"-",""))),"-"," ",LEN($G1909)-LEN(SUBSTITUTE($G1909,"-",""))-1),"."," ",(LEN(SUBSTITUTE(SUBSTITUTE($G1909,"-"," ",LEN($G1909)-LEN(SUBSTITUTE($G1909,"-",""))),"-"," ",LEN($G1909)-LEN(SUBSTITUTE($G1909,"-",""))-1))-LEN(SUBSTITUTE(SUBSTITUTE(SUBSTITUTE($G1909,"-"," ",LEN($G1909)-LEN(SUBSTITUTE($G1909,"-",""))),"-"," ",LEN($G1909)-LEN(SUBSTITUTE($G1909,"-",""))-1),".",""))))),$G1909)))</f>
        <v/>
      </c>
    </row>
    <row r="1910">
      <c r="A1910" s="58" t="n"/>
      <c r="B1910" s="58">
        <f>IF($H1910="","",LEFT($H1910,FIND(" ",$H1910&amp;" ")-1))</f>
        <v/>
      </c>
      <c r="C1910" s="58">
        <f>IF($H1910="","",IFERROR(MID($H1910&amp;" ",FIND("|",SUBSTITUTE($H1910&amp;" "," ","|",1))+1,FIND("|",SUBSTITUTE($H1910&amp;" "," ","|",2))-FIND("|",SUBSTITUTE($H1910&amp;" "," ","|",1))-1),""))</f>
        <v/>
      </c>
      <c r="D1910" s="58">
        <f>IF($H1910="","",IFERROR(MID($H1910&amp;" ",FIND("|",SUBSTITUTE($H1910&amp;" "," ","|",2))+1,FIND("|",SUBSTITUTE($H1910&amp;" "," ","|",3))-FIND("|",SUBSTITUTE($H1910&amp;" "," ","|",2))-1),""))</f>
        <v/>
      </c>
      <c r="E1910" s="58">
        <f>IF($H1910="","",IFERROR(MID($H1910&amp;" ",FIND("|",SUBSTITUTE($H1910&amp;" "," ","|",3))+1,FIND("|",SUBSTITUTE($H1910&amp;" "," ","|",4))-FIND("|",SUBSTITUTE($H1910&amp;" "," ","|",3))-1),""))</f>
        <v/>
      </c>
      <c r="F1910" s="59">
        <f>IF($H1910="","",IFERROR(VALUE(IFERROR(MID($H1910&amp;" ",FIND("|",SUBSTITUTE($H1910&amp;" "," ","|",4))+1,FIND("|",SUBSTITUTE($H1910&amp;" "," ","|",5))-FIND("|",SUBSTITUTE($H1910&amp;" "," ","|",4))-1),""))/86400+25569+9/24,""))</f>
        <v/>
      </c>
      <c r="G1910" s="58">
        <f>TRIM(SUBSTITUTE(SUBSTITUTE(SUBSTITUTE($A1910,CHAR(9)," ")," "," "),CHAR(13),""))</f>
        <v/>
      </c>
      <c r="H1910" s="58">
        <f>IF($G1910="","",IF(ISNUMBER(FIND(" ",$G1910)),$G1910,IFERROR(IF((LEN(SUBSTITUTE(SUBSTITUTE($G1910,"-"," ",LEN($G1910)-LEN(SUBSTITUTE($G1910,"-",""))),"-"," ",LEN($G1910)-LEN(SUBSTITUTE($G1910,"-",""))-1))-LEN(SUBSTITUTE(SUBSTITUTE(SUBSTITUTE($G1910,"-"," ",LEN($G1910)-LEN(SUBSTITUTE($G1910,"-",""))),"-"," ",LEN($G1910)-LEN(SUBSTITUTE($G1910,"-",""))-1),".","")))=0,SUBSTITUTE(SUBSTITUTE($G1910,"-"," ",LEN($G1910)-LEN(SUBSTITUTE($G1910,"-",""))),"-"," ",LEN($G1910)-LEN(SUBSTITUTE($G1910,"-",""))-1),SUBSTITUTE(SUBSTITUTE(SUBSTITUTE($G1910,"-"," ",LEN($G1910)-LEN(SUBSTITUTE($G1910,"-",""))),"-"," ",LEN($G1910)-LEN(SUBSTITUTE($G1910,"-",""))-1),"."," ",(LEN(SUBSTITUTE(SUBSTITUTE($G1910,"-"," ",LEN($G1910)-LEN(SUBSTITUTE($G1910,"-",""))),"-"," ",LEN($G1910)-LEN(SUBSTITUTE($G1910,"-",""))-1))-LEN(SUBSTITUTE(SUBSTITUTE(SUBSTITUTE($G1910,"-"," ",LEN($G1910)-LEN(SUBSTITUTE($G1910,"-",""))),"-"," ",LEN($G1910)-LEN(SUBSTITUTE($G1910,"-",""))-1),".",""))))),$G1910)))</f>
        <v/>
      </c>
    </row>
    <row r="1911">
      <c r="A1911" s="58" t="n"/>
      <c r="B1911" s="58">
        <f>IF($H1911="","",LEFT($H1911,FIND(" ",$H1911&amp;" ")-1))</f>
        <v/>
      </c>
      <c r="C1911" s="58">
        <f>IF($H1911="","",IFERROR(MID($H1911&amp;" ",FIND("|",SUBSTITUTE($H1911&amp;" "," ","|",1))+1,FIND("|",SUBSTITUTE($H1911&amp;" "," ","|",2))-FIND("|",SUBSTITUTE($H1911&amp;" "," ","|",1))-1),""))</f>
        <v/>
      </c>
      <c r="D1911" s="58">
        <f>IF($H1911="","",IFERROR(MID($H1911&amp;" ",FIND("|",SUBSTITUTE($H1911&amp;" "," ","|",2))+1,FIND("|",SUBSTITUTE($H1911&amp;" "," ","|",3))-FIND("|",SUBSTITUTE($H1911&amp;" "," ","|",2))-1),""))</f>
        <v/>
      </c>
      <c r="E1911" s="58">
        <f>IF($H1911="","",IFERROR(MID($H1911&amp;" ",FIND("|",SUBSTITUTE($H1911&amp;" "," ","|",3))+1,FIND("|",SUBSTITUTE($H1911&amp;" "," ","|",4))-FIND("|",SUBSTITUTE($H1911&amp;" "," ","|",3))-1),""))</f>
        <v/>
      </c>
      <c r="F1911" s="59">
        <f>IF($H1911="","",IFERROR(VALUE(IFERROR(MID($H1911&amp;" ",FIND("|",SUBSTITUTE($H1911&amp;" "," ","|",4))+1,FIND("|",SUBSTITUTE($H1911&amp;" "," ","|",5))-FIND("|",SUBSTITUTE($H1911&amp;" "," ","|",4))-1),""))/86400+25569+9/24,""))</f>
        <v/>
      </c>
      <c r="G1911" s="58">
        <f>TRIM(SUBSTITUTE(SUBSTITUTE(SUBSTITUTE($A1911,CHAR(9)," ")," "," "),CHAR(13),""))</f>
        <v/>
      </c>
      <c r="H1911" s="58">
        <f>IF($G1911="","",IF(ISNUMBER(FIND(" ",$G1911)),$G1911,IFERROR(IF((LEN(SUBSTITUTE(SUBSTITUTE($G1911,"-"," ",LEN($G1911)-LEN(SUBSTITUTE($G1911,"-",""))),"-"," ",LEN($G1911)-LEN(SUBSTITUTE($G1911,"-",""))-1))-LEN(SUBSTITUTE(SUBSTITUTE(SUBSTITUTE($G1911,"-"," ",LEN($G1911)-LEN(SUBSTITUTE($G1911,"-",""))),"-"," ",LEN($G1911)-LEN(SUBSTITUTE($G1911,"-",""))-1),".","")))=0,SUBSTITUTE(SUBSTITUTE($G1911,"-"," ",LEN($G1911)-LEN(SUBSTITUTE($G1911,"-",""))),"-"," ",LEN($G1911)-LEN(SUBSTITUTE($G1911,"-",""))-1),SUBSTITUTE(SUBSTITUTE(SUBSTITUTE($G1911,"-"," ",LEN($G1911)-LEN(SUBSTITUTE($G1911,"-",""))),"-"," ",LEN($G1911)-LEN(SUBSTITUTE($G1911,"-",""))-1),"."," ",(LEN(SUBSTITUTE(SUBSTITUTE($G1911,"-"," ",LEN($G1911)-LEN(SUBSTITUTE($G1911,"-",""))),"-"," ",LEN($G1911)-LEN(SUBSTITUTE($G1911,"-",""))-1))-LEN(SUBSTITUTE(SUBSTITUTE(SUBSTITUTE($G1911,"-"," ",LEN($G1911)-LEN(SUBSTITUTE($G1911,"-",""))),"-"," ",LEN($G1911)-LEN(SUBSTITUTE($G1911,"-",""))-1),".",""))))),$G1911)))</f>
        <v/>
      </c>
    </row>
    <row r="1912">
      <c r="A1912" s="58" t="n"/>
      <c r="B1912" s="58">
        <f>IF($H1912="","",LEFT($H1912,FIND(" ",$H1912&amp;" ")-1))</f>
        <v/>
      </c>
      <c r="C1912" s="58">
        <f>IF($H1912="","",IFERROR(MID($H1912&amp;" ",FIND("|",SUBSTITUTE($H1912&amp;" "," ","|",1))+1,FIND("|",SUBSTITUTE($H1912&amp;" "," ","|",2))-FIND("|",SUBSTITUTE($H1912&amp;" "," ","|",1))-1),""))</f>
        <v/>
      </c>
      <c r="D1912" s="58">
        <f>IF($H1912="","",IFERROR(MID($H1912&amp;" ",FIND("|",SUBSTITUTE($H1912&amp;" "," ","|",2))+1,FIND("|",SUBSTITUTE($H1912&amp;" "," ","|",3))-FIND("|",SUBSTITUTE($H1912&amp;" "," ","|",2))-1),""))</f>
        <v/>
      </c>
      <c r="E1912" s="58">
        <f>IF($H1912="","",IFERROR(MID($H1912&amp;" ",FIND("|",SUBSTITUTE($H1912&amp;" "," ","|",3))+1,FIND("|",SUBSTITUTE($H1912&amp;" "," ","|",4))-FIND("|",SUBSTITUTE($H1912&amp;" "," ","|",3))-1),""))</f>
        <v/>
      </c>
      <c r="F1912" s="59">
        <f>IF($H1912="","",IFERROR(VALUE(IFERROR(MID($H1912&amp;" ",FIND("|",SUBSTITUTE($H1912&amp;" "," ","|",4))+1,FIND("|",SUBSTITUTE($H1912&amp;" "," ","|",5))-FIND("|",SUBSTITUTE($H1912&amp;" "," ","|",4))-1),""))/86400+25569+9/24,""))</f>
        <v/>
      </c>
      <c r="G1912" s="58">
        <f>TRIM(SUBSTITUTE(SUBSTITUTE(SUBSTITUTE($A1912,CHAR(9)," ")," "," "),CHAR(13),""))</f>
        <v/>
      </c>
      <c r="H1912" s="58">
        <f>IF($G1912="","",IF(ISNUMBER(FIND(" ",$G1912)),$G1912,IFERROR(IF((LEN(SUBSTITUTE(SUBSTITUTE($G1912,"-"," ",LEN($G1912)-LEN(SUBSTITUTE($G1912,"-",""))),"-"," ",LEN($G1912)-LEN(SUBSTITUTE($G1912,"-",""))-1))-LEN(SUBSTITUTE(SUBSTITUTE(SUBSTITUTE($G1912,"-"," ",LEN($G1912)-LEN(SUBSTITUTE($G1912,"-",""))),"-"," ",LEN($G1912)-LEN(SUBSTITUTE($G1912,"-",""))-1),".","")))=0,SUBSTITUTE(SUBSTITUTE($G1912,"-"," ",LEN($G1912)-LEN(SUBSTITUTE($G1912,"-",""))),"-"," ",LEN($G1912)-LEN(SUBSTITUTE($G1912,"-",""))-1),SUBSTITUTE(SUBSTITUTE(SUBSTITUTE($G1912,"-"," ",LEN($G1912)-LEN(SUBSTITUTE($G1912,"-",""))),"-"," ",LEN($G1912)-LEN(SUBSTITUTE($G1912,"-",""))-1),"."," ",(LEN(SUBSTITUTE(SUBSTITUTE($G1912,"-"," ",LEN($G1912)-LEN(SUBSTITUTE($G1912,"-",""))),"-"," ",LEN($G1912)-LEN(SUBSTITUTE($G1912,"-",""))-1))-LEN(SUBSTITUTE(SUBSTITUTE(SUBSTITUTE($G1912,"-"," ",LEN($G1912)-LEN(SUBSTITUTE($G1912,"-",""))),"-"," ",LEN($G1912)-LEN(SUBSTITUTE($G1912,"-",""))-1),".",""))))),$G1912)))</f>
        <v/>
      </c>
    </row>
    <row r="1913">
      <c r="A1913" s="58" t="n"/>
      <c r="B1913" s="58">
        <f>IF($H1913="","",LEFT($H1913,FIND(" ",$H1913&amp;" ")-1))</f>
        <v/>
      </c>
      <c r="C1913" s="58">
        <f>IF($H1913="","",IFERROR(MID($H1913&amp;" ",FIND("|",SUBSTITUTE($H1913&amp;" "," ","|",1))+1,FIND("|",SUBSTITUTE($H1913&amp;" "," ","|",2))-FIND("|",SUBSTITUTE($H1913&amp;" "," ","|",1))-1),""))</f>
        <v/>
      </c>
      <c r="D1913" s="58">
        <f>IF($H1913="","",IFERROR(MID($H1913&amp;" ",FIND("|",SUBSTITUTE($H1913&amp;" "," ","|",2))+1,FIND("|",SUBSTITUTE($H1913&amp;" "," ","|",3))-FIND("|",SUBSTITUTE($H1913&amp;" "," ","|",2))-1),""))</f>
        <v/>
      </c>
      <c r="E1913" s="58">
        <f>IF($H1913="","",IFERROR(MID($H1913&amp;" ",FIND("|",SUBSTITUTE($H1913&amp;" "," ","|",3))+1,FIND("|",SUBSTITUTE($H1913&amp;" "," ","|",4))-FIND("|",SUBSTITUTE($H1913&amp;" "," ","|",3))-1),""))</f>
        <v/>
      </c>
      <c r="F1913" s="59">
        <f>IF($H1913="","",IFERROR(VALUE(IFERROR(MID($H1913&amp;" ",FIND("|",SUBSTITUTE($H1913&amp;" "," ","|",4))+1,FIND("|",SUBSTITUTE($H1913&amp;" "," ","|",5))-FIND("|",SUBSTITUTE($H1913&amp;" "," ","|",4))-1),""))/86400+25569+9/24,""))</f>
        <v/>
      </c>
      <c r="G1913" s="58">
        <f>TRIM(SUBSTITUTE(SUBSTITUTE(SUBSTITUTE($A1913,CHAR(9)," ")," "," "),CHAR(13),""))</f>
        <v/>
      </c>
      <c r="H1913" s="58">
        <f>IF($G1913="","",IF(ISNUMBER(FIND(" ",$G1913)),$G1913,IFERROR(IF((LEN(SUBSTITUTE(SUBSTITUTE($G1913,"-"," ",LEN($G1913)-LEN(SUBSTITUTE($G1913,"-",""))),"-"," ",LEN($G1913)-LEN(SUBSTITUTE($G1913,"-",""))-1))-LEN(SUBSTITUTE(SUBSTITUTE(SUBSTITUTE($G1913,"-"," ",LEN($G1913)-LEN(SUBSTITUTE($G1913,"-",""))),"-"," ",LEN($G1913)-LEN(SUBSTITUTE($G1913,"-",""))-1),".","")))=0,SUBSTITUTE(SUBSTITUTE($G1913,"-"," ",LEN($G1913)-LEN(SUBSTITUTE($G1913,"-",""))),"-"," ",LEN($G1913)-LEN(SUBSTITUTE($G1913,"-",""))-1),SUBSTITUTE(SUBSTITUTE(SUBSTITUTE($G1913,"-"," ",LEN($G1913)-LEN(SUBSTITUTE($G1913,"-",""))),"-"," ",LEN($G1913)-LEN(SUBSTITUTE($G1913,"-",""))-1),"."," ",(LEN(SUBSTITUTE(SUBSTITUTE($G1913,"-"," ",LEN($G1913)-LEN(SUBSTITUTE($G1913,"-",""))),"-"," ",LEN($G1913)-LEN(SUBSTITUTE($G1913,"-",""))-1))-LEN(SUBSTITUTE(SUBSTITUTE(SUBSTITUTE($G1913,"-"," ",LEN($G1913)-LEN(SUBSTITUTE($G1913,"-",""))),"-"," ",LEN($G1913)-LEN(SUBSTITUTE($G1913,"-",""))-1),".",""))))),$G1913)))</f>
        <v/>
      </c>
    </row>
    <row r="1914">
      <c r="A1914" s="58" t="n"/>
      <c r="B1914" s="58">
        <f>IF($H1914="","",LEFT($H1914,FIND(" ",$H1914&amp;" ")-1))</f>
        <v/>
      </c>
      <c r="C1914" s="58">
        <f>IF($H1914="","",IFERROR(MID($H1914&amp;" ",FIND("|",SUBSTITUTE($H1914&amp;" "," ","|",1))+1,FIND("|",SUBSTITUTE($H1914&amp;" "," ","|",2))-FIND("|",SUBSTITUTE($H1914&amp;" "," ","|",1))-1),""))</f>
        <v/>
      </c>
      <c r="D1914" s="58">
        <f>IF($H1914="","",IFERROR(MID($H1914&amp;" ",FIND("|",SUBSTITUTE($H1914&amp;" "," ","|",2))+1,FIND("|",SUBSTITUTE($H1914&amp;" "," ","|",3))-FIND("|",SUBSTITUTE($H1914&amp;" "," ","|",2))-1),""))</f>
        <v/>
      </c>
      <c r="E1914" s="58">
        <f>IF($H1914="","",IFERROR(MID($H1914&amp;" ",FIND("|",SUBSTITUTE($H1914&amp;" "," ","|",3))+1,FIND("|",SUBSTITUTE($H1914&amp;" "," ","|",4))-FIND("|",SUBSTITUTE($H1914&amp;" "," ","|",3))-1),""))</f>
        <v/>
      </c>
      <c r="F1914" s="59">
        <f>IF($H1914="","",IFERROR(VALUE(IFERROR(MID($H1914&amp;" ",FIND("|",SUBSTITUTE($H1914&amp;" "," ","|",4))+1,FIND("|",SUBSTITUTE($H1914&amp;" "," ","|",5))-FIND("|",SUBSTITUTE($H1914&amp;" "," ","|",4))-1),""))/86400+25569+9/24,""))</f>
        <v/>
      </c>
      <c r="G1914" s="58">
        <f>TRIM(SUBSTITUTE(SUBSTITUTE(SUBSTITUTE($A1914,CHAR(9)," ")," "," "),CHAR(13),""))</f>
        <v/>
      </c>
      <c r="H1914" s="58">
        <f>IF($G1914="","",IF(ISNUMBER(FIND(" ",$G1914)),$G1914,IFERROR(IF((LEN(SUBSTITUTE(SUBSTITUTE($G1914,"-"," ",LEN($G1914)-LEN(SUBSTITUTE($G1914,"-",""))),"-"," ",LEN($G1914)-LEN(SUBSTITUTE($G1914,"-",""))-1))-LEN(SUBSTITUTE(SUBSTITUTE(SUBSTITUTE($G1914,"-"," ",LEN($G1914)-LEN(SUBSTITUTE($G1914,"-",""))),"-"," ",LEN($G1914)-LEN(SUBSTITUTE($G1914,"-",""))-1),".","")))=0,SUBSTITUTE(SUBSTITUTE($G1914,"-"," ",LEN($G1914)-LEN(SUBSTITUTE($G1914,"-",""))),"-"," ",LEN($G1914)-LEN(SUBSTITUTE($G1914,"-",""))-1),SUBSTITUTE(SUBSTITUTE(SUBSTITUTE($G1914,"-"," ",LEN($G1914)-LEN(SUBSTITUTE($G1914,"-",""))),"-"," ",LEN($G1914)-LEN(SUBSTITUTE($G1914,"-",""))-1),"."," ",(LEN(SUBSTITUTE(SUBSTITUTE($G1914,"-"," ",LEN($G1914)-LEN(SUBSTITUTE($G1914,"-",""))),"-"," ",LEN($G1914)-LEN(SUBSTITUTE($G1914,"-",""))-1))-LEN(SUBSTITUTE(SUBSTITUTE(SUBSTITUTE($G1914,"-"," ",LEN($G1914)-LEN(SUBSTITUTE($G1914,"-",""))),"-"," ",LEN($G1914)-LEN(SUBSTITUTE($G1914,"-",""))-1),".",""))))),$G1914)))</f>
        <v/>
      </c>
    </row>
    <row r="1915">
      <c r="A1915" s="58" t="n"/>
      <c r="B1915" s="58">
        <f>IF($H1915="","",LEFT($H1915,FIND(" ",$H1915&amp;" ")-1))</f>
        <v/>
      </c>
      <c r="C1915" s="58">
        <f>IF($H1915="","",IFERROR(MID($H1915&amp;" ",FIND("|",SUBSTITUTE($H1915&amp;" "," ","|",1))+1,FIND("|",SUBSTITUTE($H1915&amp;" "," ","|",2))-FIND("|",SUBSTITUTE($H1915&amp;" "," ","|",1))-1),""))</f>
        <v/>
      </c>
      <c r="D1915" s="58">
        <f>IF($H1915="","",IFERROR(MID($H1915&amp;" ",FIND("|",SUBSTITUTE($H1915&amp;" "," ","|",2))+1,FIND("|",SUBSTITUTE($H1915&amp;" "," ","|",3))-FIND("|",SUBSTITUTE($H1915&amp;" "," ","|",2))-1),""))</f>
        <v/>
      </c>
      <c r="E1915" s="58">
        <f>IF($H1915="","",IFERROR(MID($H1915&amp;" ",FIND("|",SUBSTITUTE($H1915&amp;" "," ","|",3))+1,FIND("|",SUBSTITUTE($H1915&amp;" "," ","|",4))-FIND("|",SUBSTITUTE($H1915&amp;" "," ","|",3))-1),""))</f>
        <v/>
      </c>
      <c r="F1915" s="59">
        <f>IF($H1915="","",IFERROR(VALUE(IFERROR(MID($H1915&amp;" ",FIND("|",SUBSTITUTE($H1915&amp;" "," ","|",4))+1,FIND("|",SUBSTITUTE($H1915&amp;" "," ","|",5))-FIND("|",SUBSTITUTE($H1915&amp;" "," ","|",4))-1),""))/86400+25569+9/24,""))</f>
        <v/>
      </c>
      <c r="G1915" s="58">
        <f>TRIM(SUBSTITUTE(SUBSTITUTE(SUBSTITUTE($A1915,CHAR(9)," ")," "," "),CHAR(13),""))</f>
        <v/>
      </c>
      <c r="H1915" s="58">
        <f>IF($G1915="","",IF(ISNUMBER(FIND(" ",$G1915)),$G1915,IFERROR(IF((LEN(SUBSTITUTE(SUBSTITUTE($G1915,"-"," ",LEN($G1915)-LEN(SUBSTITUTE($G1915,"-",""))),"-"," ",LEN($G1915)-LEN(SUBSTITUTE($G1915,"-",""))-1))-LEN(SUBSTITUTE(SUBSTITUTE(SUBSTITUTE($G1915,"-"," ",LEN($G1915)-LEN(SUBSTITUTE($G1915,"-",""))),"-"," ",LEN($G1915)-LEN(SUBSTITUTE($G1915,"-",""))-1),".","")))=0,SUBSTITUTE(SUBSTITUTE($G1915,"-"," ",LEN($G1915)-LEN(SUBSTITUTE($G1915,"-",""))),"-"," ",LEN($G1915)-LEN(SUBSTITUTE($G1915,"-",""))-1),SUBSTITUTE(SUBSTITUTE(SUBSTITUTE($G1915,"-"," ",LEN($G1915)-LEN(SUBSTITUTE($G1915,"-",""))),"-"," ",LEN($G1915)-LEN(SUBSTITUTE($G1915,"-",""))-1),"."," ",(LEN(SUBSTITUTE(SUBSTITUTE($G1915,"-"," ",LEN($G1915)-LEN(SUBSTITUTE($G1915,"-",""))),"-"," ",LEN($G1915)-LEN(SUBSTITUTE($G1915,"-",""))-1))-LEN(SUBSTITUTE(SUBSTITUTE(SUBSTITUTE($G1915,"-"," ",LEN($G1915)-LEN(SUBSTITUTE($G1915,"-",""))),"-"," ",LEN($G1915)-LEN(SUBSTITUTE($G1915,"-",""))-1),".",""))))),$G1915)))</f>
        <v/>
      </c>
    </row>
    <row r="1916">
      <c r="A1916" s="58" t="n"/>
      <c r="B1916" s="58">
        <f>IF($H1916="","",LEFT($H1916,FIND(" ",$H1916&amp;" ")-1))</f>
        <v/>
      </c>
      <c r="C1916" s="58">
        <f>IF($H1916="","",IFERROR(MID($H1916&amp;" ",FIND("|",SUBSTITUTE($H1916&amp;" "," ","|",1))+1,FIND("|",SUBSTITUTE($H1916&amp;" "," ","|",2))-FIND("|",SUBSTITUTE($H1916&amp;" "," ","|",1))-1),""))</f>
        <v/>
      </c>
      <c r="D1916" s="58">
        <f>IF($H1916="","",IFERROR(MID($H1916&amp;" ",FIND("|",SUBSTITUTE($H1916&amp;" "," ","|",2))+1,FIND("|",SUBSTITUTE($H1916&amp;" "," ","|",3))-FIND("|",SUBSTITUTE($H1916&amp;" "," ","|",2))-1),""))</f>
        <v/>
      </c>
      <c r="E1916" s="58">
        <f>IF($H1916="","",IFERROR(MID($H1916&amp;" ",FIND("|",SUBSTITUTE($H1916&amp;" "," ","|",3))+1,FIND("|",SUBSTITUTE($H1916&amp;" "," ","|",4))-FIND("|",SUBSTITUTE($H1916&amp;" "," ","|",3))-1),""))</f>
        <v/>
      </c>
      <c r="F1916" s="59">
        <f>IF($H1916="","",IFERROR(VALUE(IFERROR(MID($H1916&amp;" ",FIND("|",SUBSTITUTE($H1916&amp;" "," ","|",4))+1,FIND("|",SUBSTITUTE($H1916&amp;" "," ","|",5))-FIND("|",SUBSTITUTE($H1916&amp;" "," ","|",4))-1),""))/86400+25569+9/24,""))</f>
        <v/>
      </c>
      <c r="G1916" s="58">
        <f>TRIM(SUBSTITUTE(SUBSTITUTE(SUBSTITUTE($A1916,CHAR(9)," ")," "," "),CHAR(13),""))</f>
        <v/>
      </c>
      <c r="H1916" s="58">
        <f>IF($G1916="","",IF(ISNUMBER(FIND(" ",$G1916)),$G1916,IFERROR(IF((LEN(SUBSTITUTE(SUBSTITUTE($G1916,"-"," ",LEN($G1916)-LEN(SUBSTITUTE($G1916,"-",""))),"-"," ",LEN($G1916)-LEN(SUBSTITUTE($G1916,"-",""))-1))-LEN(SUBSTITUTE(SUBSTITUTE(SUBSTITUTE($G1916,"-"," ",LEN($G1916)-LEN(SUBSTITUTE($G1916,"-",""))),"-"," ",LEN($G1916)-LEN(SUBSTITUTE($G1916,"-",""))-1),".","")))=0,SUBSTITUTE(SUBSTITUTE($G1916,"-"," ",LEN($G1916)-LEN(SUBSTITUTE($G1916,"-",""))),"-"," ",LEN($G1916)-LEN(SUBSTITUTE($G1916,"-",""))-1),SUBSTITUTE(SUBSTITUTE(SUBSTITUTE($G1916,"-"," ",LEN($G1916)-LEN(SUBSTITUTE($G1916,"-",""))),"-"," ",LEN($G1916)-LEN(SUBSTITUTE($G1916,"-",""))-1),"."," ",(LEN(SUBSTITUTE(SUBSTITUTE($G1916,"-"," ",LEN($G1916)-LEN(SUBSTITUTE($G1916,"-",""))),"-"," ",LEN($G1916)-LEN(SUBSTITUTE($G1916,"-",""))-1))-LEN(SUBSTITUTE(SUBSTITUTE(SUBSTITUTE($G1916,"-"," ",LEN($G1916)-LEN(SUBSTITUTE($G1916,"-",""))),"-"," ",LEN($G1916)-LEN(SUBSTITUTE($G1916,"-",""))-1),".",""))))),$G1916)))</f>
        <v/>
      </c>
    </row>
    <row r="1917">
      <c r="A1917" s="58" t="n"/>
      <c r="B1917" s="58">
        <f>IF($H1917="","",LEFT($H1917,FIND(" ",$H1917&amp;" ")-1))</f>
        <v/>
      </c>
      <c r="C1917" s="58">
        <f>IF($H1917="","",IFERROR(MID($H1917&amp;" ",FIND("|",SUBSTITUTE($H1917&amp;" "," ","|",1))+1,FIND("|",SUBSTITUTE($H1917&amp;" "," ","|",2))-FIND("|",SUBSTITUTE($H1917&amp;" "," ","|",1))-1),""))</f>
        <v/>
      </c>
      <c r="D1917" s="58">
        <f>IF($H1917="","",IFERROR(MID($H1917&amp;" ",FIND("|",SUBSTITUTE($H1917&amp;" "," ","|",2))+1,FIND("|",SUBSTITUTE($H1917&amp;" "," ","|",3))-FIND("|",SUBSTITUTE($H1917&amp;" "," ","|",2))-1),""))</f>
        <v/>
      </c>
      <c r="E1917" s="58">
        <f>IF($H1917="","",IFERROR(MID($H1917&amp;" ",FIND("|",SUBSTITUTE($H1917&amp;" "," ","|",3))+1,FIND("|",SUBSTITUTE($H1917&amp;" "," ","|",4))-FIND("|",SUBSTITUTE($H1917&amp;" "," ","|",3))-1),""))</f>
        <v/>
      </c>
      <c r="F1917" s="59">
        <f>IF($H1917="","",IFERROR(VALUE(IFERROR(MID($H1917&amp;" ",FIND("|",SUBSTITUTE($H1917&amp;" "," ","|",4))+1,FIND("|",SUBSTITUTE($H1917&amp;" "," ","|",5))-FIND("|",SUBSTITUTE($H1917&amp;" "," ","|",4))-1),""))/86400+25569+9/24,""))</f>
        <v/>
      </c>
      <c r="G1917" s="58">
        <f>TRIM(SUBSTITUTE(SUBSTITUTE(SUBSTITUTE($A1917,CHAR(9)," ")," "," "),CHAR(13),""))</f>
        <v/>
      </c>
      <c r="H1917" s="58">
        <f>IF($G1917="","",IF(ISNUMBER(FIND(" ",$G1917)),$G1917,IFERROR(IF((LEN(SUBSTITUTE(SUBSTITUTE($G1917,"-"," ",LEN($G1917)-LEN(SUBSTITUTE($G1917,"-",""))),"-"," ",LEN($G1917)-LEN(SUBSTITUTE($G1917,"-",""))-1))-LEN(SUBSTITUTE(SUBSTITUTE(SUBSTITUTE($G1917,"-"," ",LEN($G1917)-LEN(SUBSTITUTE($G1917,"-",""))),"-"," ",LEN($G1917)-LEN(SUBSTITUTE($G1917,"-",""))-1),".","")))=0,SUBSTITUTE(SUBSTITUTE($G1917,"-"," ",LEN($G1917)-LEN(SUBSTITUTE($G1917,"-",""))),"-"," ",LEN($G1917)-LEN(SUBSTITUTE($G1917,"-",""))-1),SUBSTITUTE(SUBSTITUTE(SUBSTITUTE($G1917,"-"," ",LEN($G1917)-LEN(SUBSTITUTE($G1917,"-",""))),"-"," ",LEN($G1917)-LEN(SUBSTITUTE($G1917,"-",""))-1),"."," ",(LEN(SUBSTITUTE(SUBSTITUTE($G1917,"-"," ",LEN($G1917)-LEN(SUBSTITUTE($G1917,"-",""))),"-"," ",LEN($G1917)-LEN(SUBSTITUTE($G1917,"-",""))-1))-LEN(SUBSTITUTE(SUBSTITUTE(SUBSTITUTE($G1917,"-"," ",LEN($G1917)-LEN(SUBSTITUTE($G1917,"-",""))),"-"," ",LEN($G1917)-LEN(SUBSTITUTE($G1917,"-",""))-1),".",""))))),$G1917)))</f>
        <v/>
      </c>
    </row>
    <row r="1918">
      <c r="A1918" s="58" t="n"/>
      <c r="B1918" s="58">
        <f>IF($H1918="","",LEFT($H1918,FIND(" ",$H1918&amp;" ")-1))</f>
        <v/>
      </c>
      <c r="C1918" s="58">
        <f>IF($H1918="","",IFERROR(MID($H1918&amp;" ",FIND("|",SUBSTITUTE($H1918&amp;" "," ","|",1))+1,FIND("|",SUBSTITUTE($H1918&amp;" "," ","|",2))-FIND("|",SUBSTITUTE($H1918&amp;" "," ","|",1))-1),""))</f>
        <v/>
      </c>
      <c r="D1918" s="58">
        <f>IF($H1918="","",IFERROR(MID($H1918&amp;" ",FIND("|",SUBSTITUTE($H1918&amp;" "," ","|",2))+1,FIND("|",SUBSTITUTE($H1918&amp;" "," ","|",3))-FIND("|",SUBSTITUTE($H1918&amp;" "," ","|",2))-1),""))</f>
        <v/>
      </c>
      <c r="E1918" s="58">
        <f>IF($H1918="","",IFERROR(MID($H1918&amp;" ",FIND("|",SUBSTITUTE($H1918&amp;" "," ","|",3))+1,FIND("|",SUBSTITUTE($H1918&amp;" "," ","|",4))-FIND("|",SUBSTITUTE($H1918&amp;" "," ","|",3))-1),""))</f>
        <v/>
      </c>
      <c r="F1918" s="59">
        <f>IF($H1918="","",IFERROR(VALUE(IFERROR(MID($H1918&amp;" ",FIND("|",SUBSTITUTE($H1918&amp;" "," ","|",4))+1,FIND("|",SUBSTITUTE($H1918&amp;" "," ","|",5))-FIND("|",SUBSTITUTE($H1918&amp;" "," ","|",4))-1),""))/86400+25569+9/24,""))</f>
        <v/>
      </c>
      <c r="G1918" s="58">
        <f>TRIM(SUBSTITUTE(SUBSTITUTE(SUBSTITUTE($A1918,CHAR(9)," ")," "," "),CHAR(13),""))</f>
        <v/>
      </c>
      <c r="H1918" s="58">
        <f>IF($G1918="","",IF(ISNUMBER(FIND(" ",$G1918)),$G1918,IFERROR(IF((LEN(SUBSTITUTE(SUBSTITUTE($G1918,"-"," ",LEN($G1918)-LEN(SUBSTITUTE($G1918,"-",""))),"-"," ",LEN($G1918)-LEN(SUBSTITUTE($G1918,"-",""))-1))-LEN(SUBSTITUTE(SUBSTITUTE(SUBSTITUTE($G1918,"-"," ",LEN($G1918)-LEN(SUBSTITUTE($G1918,"-",""))),"-"," ",LEN($G1918)-LEN(SUBSTITUTE($G1918,"-",""))-1),".","")))=0,SUBSTITUTE(SUBSTITUTE($G1918,"-"," ",LEN($G1918)-LEN(SUBSTITUTE($G1918,"-",""))),"-"," ",LEN($G1918)-LEN(SUBSTITUTE($G1918,"-",""))-1),SUBSTITUTE(SUBSTITUTE(SUBSTITUTE($G1918,"-"," ",LEN($G1918)-LEN(SUBSTITUTE($G1918,"-",""))),"-"," ",LEN($G1918)-LEN(SUBSTITUTE($G1918,"-",""))-1),"."," ",(LEN(SUBSTITUTE(SUBSTITUTE($G1918,"-"," ",LEN($G1918)-LEN(SUBSTITUTE($G1918,"-",""))),"-"," ",LEN($G1918)-LEN(SUBSTITUTE($G1918,"-",""))-1))-LEN(SUBSTITUTE(SUBSTITUTE(SUBSTITUTE($G1918,"-"," ",LEN($G1918)-LEN(SUBSTITUTE($G1918,"-",""))),"-"," ",LEN($G1918)-LEN(SUBSTITUTE($G1918,"-",""))-1),".",""))))),$G1918)))</f>
        <v/>
      </c>
    </row>
    <row r="1919">
      <c r="A1919" s="58" t="n"/>
      <c r="B1919" s="58">
        <f>IF($H1919="","",LEFT($H1919,FIND(" ",$H1919&amp;" ")-1))</f>
        <v/>
      </c>
      <c r="C1919" s="58">
        <f>IF($H1919="","",IFERROR(MID($H1919&amp;" ",FIND("|",SUBSTITUTE($H1919&amp;" "," ","|",1))+1,FIND("|",SUBSTITUTE($H1919&amp;" "," ","|",2))-FIND("|",SUBSTITUTE($H1919&amp;" "," ","|",1))-1),""))</f>
        <v/>
      </c>
      <c r="D1919" s="58">
        <f>IF($H1919="","",IFERROR(MID($H1919&amp;" ",FIND("|",SUBSTITUTE($H1919&amp;" "," ","|",2))+1,FIND("|",SUBSTITUTE($H1919&amp;" "," ","|",3))-FIND("|",SUBSTITUTE($H1919&amp;" "," ","|",2))-1),""))</f>
        <v/>
      </c>
      <c r="E1919" s="58">
        <f>IF($H1919="","",IFERROR(MID($H1919&amp;" ",FIND("|",SUBSTITUTE($H1919&amp;" "," ","|",3))+1,FIND("|",SUBSTITUTE($H1919&amp;" "," ","|",4))-FIND("|",SUBSTITUTE($H1919&amp;" "," ","|",3))-1),""))</f>
        <v/>
      </c>
      <c r="F1919" s="59">
        <f>IF($H1919="","",IFERROR(VALUE(IFERROR(MID($H1919&amp;" ",FIND("|",SUBSTITUTE($H1919&amp;" "," ","|",4))+1,FIND("|",SUBSTITUTE($H1919&amp;" "," ","|",5))-FIND("|",SUBSTITUTE($H1919&amp;" "," ","|",4))-1),""))/86400+25569+9/24,""))</f>
        <v/>
      </c>
      <c r="G1919" s="58">
        <f>TRIM(SUBSTITUTE(SUBSTITUTE(SUBSTITUTE($A1919,CHAR(9)," ")," "," "),CHAR(13),""))</f>
        <v/>
      </c>
      <c r="H1919" s="58">
        <f>IF($G1919="","",IF(ISNUMBER(FIND(" ",$G1919)),$G1919,IFERROR(IF((LEN(SUBSTITUTE(SUBSTITUTE($G1919,"-"," ",LEN($G1919)-LEN(SUBSTITUTE($G1919,"-",""))),"-"," ",LEN($G1919)-LEN(SUBSTITUTE($G1919,"-",""))-1))-LEN(SUBSTITUTE(SUBSTITUTE(SUBSTITUTE($G1919,"-"," ",LEN($G1919)-LEN(SUBSTITUTE($G1919,"-",""))),"-"," ",LEN($G1919)-LEN(SUBSTITUTE($G1919,"-",""))-1),".","")))=0,SUBSTITUTE(SUBSTITUTE($G1919,"-"," ",LEN($G1919)-LEN(SUBSTITUTE($G1919,"-",""))),"-"," ",LEN($G1919)-LEN(SUBSTITUTE($G1919,"-",""))-1),SUBSTITUTE(SUBSTITUTE(SUBSTITUTE($G1919,"-"," ",LEN($G1919)-LEN(SUBSTITUTE($G1919,"-",""))),"-"," ",LEN($G1919)-LEN(SUBSTITUTE($G1919,"-",""))-1),"."," ",(LEN(SUBSTITUTE(SUBSTITUTE($G1919,"-"," ",LEN($G1919)-LEN(SUBSTITUTE($G1919,"-",""))),"-"," ",LEN($G1919)-LEN(SUBSTITUTE($G1919,"-",""))-1))-LEN(SUBSTITUTE(SUBSTITUTE(SUBSTITUTE($G1919,"-"," ",LEN($G1919)-LEN(SUBSTITUTE($G1919,"-",""))),"-"," ",LEN($G1919)-LEN(SUBSTITUTE($G1919,"-",""))-1),".",""))))),$G1919)))</f>
        <v/>
      </c>
    </row>
    <row r="1920">
      <c r="A1920" s="58" t="n"/>
      <c r="B1920" s="58">
        <f>IF($H1920="","",LEFT($H1920,FIND(" ",$H1920&amp;" ")-1))</f>
        <v/>
      </c>
      <c r="C1920" s="58">
        <f>IF($H1920="","",IFERROR(MID($H1920&amp;" ",FIND("|",SUBSTITUTE($H1920&amp;" "," ","|",1))+1,FIND("|",SUBSTITUTE($H1920&amp;" "," ","|",2))-FIND("|",SUBSTITUTE($H1920&amp;" "," ","|",1))-1),""))</f>
        <v/>
      </c>
      <c r="D1920" s="58">
        <f>IF($H1920="","",IFERROR(MID($H1920&amp;" ",FIND("|",SUBSTITUTE($H1920&amp;" "," ","|",2))+1,FIND("|",SUBSTITUTE($H1920&amp;" "," ","|",3))-FIND("|",SUBSTITUTE($H1920&amp;" "," ","|",2))-1),""))</f>
        <v/>
      </c>
      <c r="E1920" s="58">
        <f>IF($H1920="","",IFERROR(MID($H1920&amp;" ",FIND("|",SUBSTITUTE($H1920&amp;" "," ","|",3))+1,FIND("|",SUBSTITUTE($H1920&amp;" "," ","|",4))-FIND("|",SUBSTITUTE($H1920&amp;" "," ","|",3))-1),""))</f>
        <v/>
      </c>
      <c r="F1920" s="59">
        <f>IF($H1920="","",IFERROR(VALUE(IFERROR(MID($H1920&amp;" ",FIND("|",SUBSTITUTE($H1920&amp;" "," ","|",4))+1,FIND("|",SUBSTITUTE($H1920&amp;" "," ","|",5))-FIND("|",SUBSTITUTE($H1920&amp;" "," ","|",4))-1),""))/86400+25569+9/24,""))</f>
        <v/>
      </c>
      <c r="G1920" s="58">
        <f>TRIM(SUBSTITUTE(SUBSTITUTE(SUBSTITUTE($A1920,CHAR(9)," ")," "," "),CHAR(13),""))</f>
        <v/>
      </c>
      <c r="H1920" s="58">
        <f>IF($G1920="","",IF(ISNUMBER(FIND(" ",$G1920)),$G1920,IFERROR(IF((LEN(SUBSTITUTE(SUBSTITUTE($G1920,"-"," ",LEN($G1920)-LEN(SUBSTITUTE($G1920,"-",""))),"-"," ",LEN($G1920)-LEN(SUBSTITUTE($G1920,"-",""))-1))-LEN(SUBSTITUTE(SUBSTITUTE(SUBSTITUTE($G1920,"-"," ",LEN($G1920)-LEN(SUBSTITUTE($G1920,"-",""))),"-"," ",LEN($G1920)-LEN(SUBSTITUTE($G1920,"-",""))-1),".","")))=0,SUBSTITUTE(SUBSTITUTE($G1920,"-"," ",LEN($G1920)-LEN(SUBSTITUTE($G1920,"-",""))),"-"," ",LEN($G1920)-LEN(SUBSTITUTE($G1920,"-",""))-1),SUBSTITUTE(SUBSTITUTE(SUBSTITUTE($G1920,"-"," ",LEN($G1920)-LEN(SUBSTITUTE($G1920,"-",""))),"-"," ",LEN($G1920)-LEN(SUBSTITUTE($G1920,"-",""))-1),"."," ",(LEN(SUBSTITUTE(SUBSTITUTE($G1920,"-"," ",LEN($G1920)-LEN(SUBSTITUTE($G1920,"-",""))),"-"," ",LEN($G1920)-LEN(SUBSTITUTE($G1920,"-",""))-1))-LEN(SUBSTITUTE(SUBSTITUTE(SUBSTITUTE($G1920,"-"," ",LEN($G1920)-LEN(SUBSTITUTE($G1920,"-",""))),"-"," ",LEN($G1920)-LEN(SUBSTITUTE($G1920,"-",""))-1),".",""))))),$G1920)))</f>
        <v/>
      </c>
    </row>
    <row r="1921">
      <c r="A1921" s="58" t="n"/>
      <c r="B1921" s="58">
        <f>IF($H1921="","",LEFT($H1921,FIND(" ",$H1921&amp;" ")-1))</f>
        <v/>
      </c>
      <c r="C1921" s="58">
        <f>IF($H1921="","",IFERROR(MID($H1921&amp;" ",FIND("|",SUBSTITUTE($H1921&amp;" "," ","|",1))+1,FIND("|",SUBSTITUTE($H1921&amp;" "," ","|",2))-FIND("|",SUBSTITUTE($H1921&amp;" "," ","|",1))-1),""))</f>
        <v/>
      </c>
      <c r="D1921" s="58">
        <f>IF($H1921="","",IFERROR(MID($H1921&amp;" ",FIND("|",SUBSTITUTE($H1921&amp;" "," ","|",2))+1,FIND("|",SUBSTITUTE($H1921&amp;" "," ","|",3))-FIND("|",SUBSTITUTE($H1921&amp;" "," ","|",2))-1),""))</f>
        <v/>
      </c>
      <c r="E1921" s="58">
        <f>IF($H1921="","",IFERROR(MID($H1921&amp;" ",FIND("|",SUBSTITUTE($H1921&amp;" "," ","|",3))+1,FIND("|",SUBSTITUTE($H1921&amp;" "," ","|",4))-FIND("|",SUBSTITUTE($H1921&amp;" "," ","|",3))-1),""))</f>
        <v/>
      </c>
      <c r="F1921" s="59">
        <f>IF($H1921="","",IFERROR(VALUE(IFERROR(MID($H1921&amp;" ",FIND("|",SUBSTITUTE($H1921&amp;" "," ","|",4))+1,FIND("|",SUBSTITUTE($H1921&amp;" "," ","|",5))-FIND("|",SUBSTITUTE($H1921&amp;" "," ","|",4))-1),""))/86400+25569+9/24,""))</f>
        <v/>
      </c>
      <c r="G1921" s="58">
        <f>TRIM(SUBSTITUTE(SUBSTITUTE(SUBSTITUTE($A1921,CHAR(9)," ")," "," "),CHAR(13),""))</f>
        <v/>
      </c>
      <c r="H1921" s="58">
        <f>IF($G1921="","",IF(ISNUMBER(FIND(" ",$G1921)),$G1921,IFERROR(IF((LEN(SUBSTITUTE(SUBSTITUTE($G1921,"-"," ",LEN($G1921)-LEN(SUBSTITUTE($G1921,"-",""))),"-"," ",LEN($G1921)-LEN(SUBSTITUTE($G1921,"-",""))-1))-LEN(SUBSTITUTE(SUBSTITUTE(SUBSTITUTE($G1921,"-"," ",LEN($G1921)-LEN(SUBSTITUTE($G1921,"-",""))),"-"," ",LEN($G1921)-LEN(SUBSTITUTE($G1921,"-",""))-1),".","")))=0,SUBSTITUTE(SUBSTITUTE($G1921,"-"," ",LEN($G1921)-LEN(SUBSTITUTE($G1921,"-",""))),"-"," ",LEN($G1921)-LEN(SUBSTITUTE($G1921,"-",""))-1),SUBSTITUTE(SUBSTITUTE(SUBSTITUTE($G1921,"-"," ",LEN($G1921)-LEN(SUBSTITUTE($G1921,"-",""))),"-"," ",LEN($G1921)-LEN(SUBSTITUTE($G1921,"-",""))-1),"."," ",(LEN(SUBSTITUTE(SUBSTITUTE($G1921,"-"," ",LEN($G1921)-LEN(SUBSTITUTE($G1921,"-",""))),"-"," ",LEN($G1921)-LEN(SUBSTITUTE($G1921,"-",""))-1))-LEN(SUBSTITUTE(SUBSTITUTE(SUBSTITUTE($G1921,"-"," ",LEN($G1921)-LEN(SUBSTITUTE($G1921,"-",""))),"-"," ",LEN($G1921)-LEN(SUBSTITUTE($G1921,"-",""))-1),".",""))))),$G1921)))</f>
        <v/>
      </c>
    </row>
    <row r="1922">
      <c r="A1922" s="58" t="n"/>
      <c r="B1922" s="58">
        <f>IF($H1922="","",LEFT($H1922,FIND(" ",$H1922&amp;" ")-1))</f>
        <v/>
      </c>
      <c r="C1922" s="58">
        <f>IF($H1922="","",IFERROR(MID($H1922&amp;" ",FIND("|",SUBSTITUTE($H1922&amp;" "," ","|",1))+1,FIND("|",SUBSTITUTE($H1922&amp;" "," ","|",2))-FIND("|",SUBSTITUTE($H1922&amp;" "," ","|",1))-1),""))</f>
        <v/>
      </c>
      <c r="D1922" s="58">
        <f>IF($H1922="","",IFERROR(MID($H1922&amp;" ",FIND("|",SUBSTITUTE($H1922&amp;" "," ","|",2))+1,FIND("|",SUBSTITUTE($H1922&amp;" "," ","|",3))-FIND("|",SUBSTITUTE($H1922&amp;" "," ","|",2))-1),""))</f>
        <v/>
      </c>
      <c r="E1922" s="58">
        <f>IF($H1922="","",IFERROR(MID($H1922&amp;" ",FIND("|",SUBSTITUTE($H1922&amp;" "," ","|",3))+1,FIND("|",SUBSTITUTE($H1922&amp;" "," ","|",4))-FIND("|",SUBSTITUTE($H1922&amp;" "," ","|",3))-1),""))</f>
        <v/>
      </c>
      <c r="F1922" s="59">
        <f>IF($H1922="","",IFERROR(VALUE(IFERROR(MID($H1922&amp;" ",FIND("|",SUBSTITUTE($H1922&amp;" "," ","|",4))+1,FIND("|",SUBSTITUTE($H1922&amp;" "," ","|",5))-FIND("|",SUBSTITUTE($H1922&amp;" "," ","|",4))-1),""))/86400+25569+9/24,""))</f>
        <v/>
      </c>
      <c r="G1922" s="58">
        <f>TRIM(SUBSTITUTE(SUBSTITUTE(SUBSTITUTE($A1922,CHAR(9)," ")," "," "),CHAR(13),""))</f>
        <v/>
      </c>
      <c r="H1922" s="58">
        <f>IF($G1922="","",IF(ISNUMBER(FIND(" ",$G1922)),$G1922,IFERROR(IF((LEN(SUBSTITUTE(SUBSTITUTE($G1922,"-"," ",LEN($G1922)-LEN(SUBSTITUTE($G1922,"-",""))),"-"," ",LEN($G1922)-LEN(SUBSTITUTE($G1922,"-",""))-1))-LEN(SUBSTITUTE(SUBSTITUTE(SUBSTITUTE($G1922,"-"," ",LEN($G1922)-LEN(SUBSTITUTE($G1922,"-",""))),"-"," ",LEN($G1922)-LEN(SUBSTITUTE($G1922,"-",""))-1),".","")))=0,SUBSTITUTE(SUBSTITUTE($G1922,"-"," ",LEN($G1922)-LEN(SUBSTITUTE($G1922,"-",""))),"-"," ",LEN($G1922)-LEN(SUBSTITUTE($G1922,"-",""))-1),SUBSTITUTE(SUBSTITUTE(SUBSTITUTE($G1922,"-"," ",LEN($G1922)-LEN(SUBSTITUTE($G1922,"-",""))),"-"," ",LEN($G1922)-LEN(SUBSTITUTE($G1922,"-",""))-1),"."," ",(LEN(SUBSTITUTE(SUBSTITUTE($G1922,"-"," ",LEN($G1922)-LEN(SUBSTITUTE($G1922,"-",""))),"-"," ",LEN($G1922)-LEN(SUBSTITUTE($G1922,"-",""))-1))-LEN(SUBSTITUTE(SUBSTITUTE(SUBSTITUTE($G1922,"-"," ",LEN($G1922)-LEN(SUBSTITUTE($G1922,"-",""))),"-"," ",LEN($G1922)-LEN(SUBSTITUTE($G1922,"-",""))-1),".",""))))),$G1922)))</f>
        <v/>
      </c>
    </row>
    <row r="1923">
      <c r="A1923" s="58" t="n"/>
      <c r="B1923" s="58">
        <f>IF($H1923="","",LEFT($H1923,FIND(" ",$H1923&amp;" ")-1))</f>
        <v/>
      </c>
      <c r="C1923" s="58">
        <f>IF($H1923="","",IFERROR(MID($H1923&amp;" ",FIND("|",SUBSTITUTE($H1923&amp;" "," ","|",1))+1,FIND("|",SUBSTITUTE($H1923&amp;" "," ","|",2))-FIND("|",SUBSTITUTE($H1923&amp;" "," ","|",1))-1),""))</f>
        <v/>
      </c>
      <c r="D1923" s="58">
        <f>IF($H1923="","",IFERROR(MID($H1923&amp;" ",FIND("|",SUBSTITUTE($H1923&amp;" "," ","|",2))+1,FIND("|",SUBSTITUTE($H1923&amp;" "," ","|",3))-FIND("|",SUBSTITUTE($H1923&amp;" "," ","|",2))-1),""))</f>
        <v/>
      </c>
      <c r="E1923" s="58">
        <f>IF($H1923="","",IFERROR(MID($H1923&amp;" ",FIND("|",SUBSTITUTE($H1923&amp;" "," ","|",3))+1,FIND("|",SUBSTITUTE($H1923&amp;" "," ","|",4))-FIND("|",SUBSTITUTE($H1923&amp;" "," ","|",3))-1),""))</f>
        <v/>
      </c>
      <c r="F1923" s="59">
        <f>IF($H1923="","",IFERROR(VALUE(IFERROR(MID($H1923&amp;" ",FIND("|",SUBSTITUTE($H1923&amp;" "," ","|",4))+1,FIND("|",SUBSTITUTE($H1923&amp;" "," ","|",5))-FIND("|",SUBSTITUTE($H1923&amp;" "," ","|",4))-1),""))/86400+25569+9/24,""))</f>
        <v/>
      </c>
      <c r="G1923" s="58">
        <f>TRIM(SUBSTITUTE(SUBSTITUTE(SUBSTITUTE($A1923,CHAR(9)," ")," "," "),CHAR(13),""))</f>
        <v/>
      </c>
      <c r="H1923" s="58">
        <f>IF($G1923="","",IF(ISNUMBER(FIND(" ",$G1923)),$G1923,IFERROR(IF((LEN(SUBSTITUTE(SUBSTITUTE($G1923,"-"," ",LEN($G1923)-LEN(SUBSTITUTE($G1923,"-",""))),"-"," ",LEN($G1923)-LEN(SUBSTITUTE($G1923,"-",""))-1))-LEN(SUBSTITUTE(SUBSTITUTE(SUBSTITUTE($G1923,"-"," ",LEN($G1923)-LEN(SUBSTITUTE($G1923,"-",""))),"-"," ",LEN($G1923)-LEN(SUBSTITUTE($G1923,"-",""))-1),".","")))=0,SUBSTITUTE(SUBSTITUTE($G1923,"-"," ",LEN($G1923)-LEN(SUBSTITUTE($G1923,"-",""))),"-"," ",LEN($G1923)-LEN(SUBSTITUTE($G1923,"-",""))-1),SUBSTITUTE(SUBSTITUTE(SUBSTITUTE($G1923,"-"," ",LEN($G1923)-LEN(SUBSTITUTE($G1923,"-",""))),"-"," ",LEN($G1923)-LEN(SUBSTITUTE($G1923,"-",""))-1),"."," ",(LEN(SUBSTITUTE(SUBSTITUTE($G1923,"-"," ",LEN($G1923)-LEN(SUBSTITUTE($G1923,"-",""))),"-"," ",LEN($G1923)-LEN(SUBSTITUTE($G1923,"-",""))-1))-LEN(SUBSTITUTE(SUBSTITUTE(SUBSTITUTE($G1923,"-"," ",LEN($G1923)-LEN(SUBSTITUTE($G1923,"-",""))),"-"," ",LEN($G1923)-LEN(SUBSTITUTE($G1923,"-",""))-1),".",""))))),$G1923)))</f>
        <v/>
      </c>
    </row>
    <row r="1924">
      <c r="A1924" s="58" t="n"/>
      <c r="B1924" s="58">
        <f>IF($H1924="","",LEFT($H1924,FIND(" ",$H1924&amp;" ")-1))</f>
        <v/>
      </c>
      <c r="C1924" s="58">
        <f>IF($H1924="","",IFERROR(MID($H1924&amp;" ",FIND("|",SUBSTITUTE($H1924&amp;" "," ","|",1))+1,FIND("|",SUBSTITUTE($H1924&amp;" "," ","|",2))-FIND("|",SUBSTITUTE($H1924&amp;" "," ","|",1))-1),""))</f>
        <v/>
      </c>
      <c r="D1924" s="58">
        <f>IF($H1924="","",IFERROR(MID($H1924&amp;" ",FIND("|",SUBSTITUTE($H1924&amp;" "," ","|",2))+1,FIND("|",SUBSTITUTE($H1924&amp;" "," ","|",3))-FIND("|",SUBSTITUTE($H1924&amp;" "," ","|",2))-1),""))</f>
        <v/>
      </c>
      <c r="E1924" s="58">
        <f>IF($H1924="","",IFERROR(MID($H1924&amp;" ",FIND("|",SUBSTITUTE($H1924&amp;" "," ","|",3))+1,FIND("|",SUBSTITUTE($H1924&amp;" "," ","|",4))-FIND("|",SUBSTITUTE($H1924&amp;" "," ","|",3))-1),""))</f>
        <v/>
      </c>
      <c r="F1924" s="59">
        <f>IF($H1924="","",IFERROR(VALUE(IFERROR(MID($H1924&amp;" ",FIND("|",SUBSTITUTE($H1924&amp;" "," ","|",4))+1,FIND("|",SUBSTITUTE($H1924&amp;" "," ","|",5))-FIND("|",SUBSTITUTE($H1924&amp;" "," ","|",4))-1),""))/86400+25569+9/24,""))</f>
        <v/>
      </c>
      <c r="G1924" s="58">
        <f>TRIM(SUBSTITUTE(SUBSTITUTE(SUBSTITUTE($A1924,CHAR(9)," ")," "," "),CHAR(13),""))</f>
        <v/>
      </c>
      <c r="H1924" s="58">
        <f>IF($G1924="","",IF(ISNUMBER(FIND(" ",$G1924)),$G1924,IFERROR(IF((LEN(SUBSTITUTE(SUBSTITUTE($G1924,"-"," ",LEN($G1924)-LEN(SUBSTITUTE($G1924,"-",""))),"-"," ",LEN($G1924)-LEN(SUBSTITUTE($G1924,"-",""))-1))-LEN(SUBSTITUTE(SUBSTITUTE(SUBSTITUTE($G1924,"-"," ",LEN($G1924)-LEN(SUBSTITUTE($G1924,"-",""))),"-"," ",LEN($G1924)-LEN(SUBSTITUTE($G1924,"-",""))-1),".","")))=0,SUBSTITUTE(SUBSTITUTE($G1924,"-"," ",LEN($G1924)-LEN(SUBSTITUTE($G1924,"-",""))),"-"," ",LEN($G1924)-LEN(SUBSTITUTE($G1924,"-",""))-1),SUBSTITUTE(SUBSTITUTE(SUBSTITUTE($G1924,"-"," ",LEN($G1924)-LEN(SUBSTITUTE($G1924,"-",""))),"-"," ",LEN($G1924)-LEN(SUBSTITUTE($G1924,"-",""))-1),"."," ",(LEN(SUBSTITUTE(SUBSTITUTE($G1924,"-"," ",LEN($G1924)-LEN(SUBSTITUTE($G1924,"-",""))),"-"," ",LEN($G1924)-LEN(SUBSTITUTE($G1924,"-",""))-1))-LEN(SUBSTITUTE(SUBSTITUTE(SUBSTITUTE($G1924,"-"," ",LEN($G1924)-LEN(SUBSTITUTE($G1924,"-",""))),"-"," ",LEN($G1924)-LEN(SUBSTITUTE($G1924,"-",""))-1),".",""))))),$G1924)))</f>
        <v/>
      </c>
    </row>
    <row r="1925">
      <c r="A1925" s="58" t="n"/>
      <c r="B1925" s="58">
        <f>IF($H1925="","",LEFT($H1925,FIND(" ",$H1925&amp;" ")-1))</f>
        <v/>
      </c>
      <c r="C1925" s="58">
        <f>IF($H1925="","",IFERROR(MID($H1925&amp;" ",FIND("|",SUBSTITUTE($H1925&amp;" "," ","|",1))+1,FIND("|",SUBSTITUTE($H1925&amp;" "," ","|",2))-FIND("|",SUBSTITUTE($H1925&amp;" "," ","|",1))-1),""))</f>
        <v/>
      </c>
      <c r="D1925" s="58">
        <f>IF($H1925="","",IFERROR(MID($H1925&amp;" ",FIND("|",SUBSTITUTE($H1925&amp;" "," ","|",2))+1,FIND("|",SUBSTITUTE($H1925&amp;" "," ","|",3))-FIND("|",SUBSTITUTE($H1925&amp;" "," ","|",2))-1),""))</f>
        <v/>
      </c>
      <c r="E1925" s="58">
        <f>IF($H1925="","",IFERROR(MID($H1925&amp;" ",FIND("|",SUBSTITUTE($H1925&amp;" "," ","|",3))+1,FIND("|",SUBSTITUTE($H1925&amp;" "," ","|",4))-FIND("|",SUBSTITUTE($H1925&amp;" "," ","|",3))-1),""))</f>
        <v/>
      </c>
      <c r="F1925" s="59">
        <f>IF($H1925="","",IFERROR(VALUE(IFERROR(MID($H1925&amp;" ",FIND("|",SUBSTITUTE($H1925&amp;" "," ","|",4))+1,FIND("|",SUBSTITUTE($H1925&amp;" "," ","|",5))-FIND("|",SUBSTITUTE($H1925&amp;" "," ","|",4))-1),""))/86400+25569+9/24,""))</f>
        <v/>
      </c>
      <c r="G1925" s="58">
        <f>TRIM(SUBSTITUTE(SUBSTITUTE(SUBSTITUTE($A1925,CHAR(9)," ")," "," "),CHAR(13),""))</f>
        <v/>
      </c>
      <c r="H1925" s="58">
        <f>IF($G1925="","",IF(ISNUMBER(FIND(" ",$G1925)),$G1925,IFERROR(IF((LEN(SUBSTITUTE(SUBSTITUTE($G1925,"-"," ",LEN($G1925)-LEN(SUBSTITUTE($G1925,"-",""))),"-"," ",LEN($G1925)-LEN(SUBSTITUTE($G1925,"-",""))-1))-LEN(SUBSTITUTE(SUBSTITUTE(SUBSTITUTE($G1925,"-"," ",LEN($G1925)-LEN(SUBSTITUTE($G1925,"-",""))),"-"," ",LEN($G1925)-LEN(SUBSTITUTE($G1925,"-",""))-1),".","")))=0,SUBSTITUTE(SUBSTITUTE($G1925,"-"," ",LEN($G1925)-LEN(SUBSTITUTE($G1925,"-",""))),"-"," ",LEN($G1925)-LEN(SUBSTITUTE($G1925,"-",""))-1),SUBSTITUTE(SUBSTITUTE(SUBSTITUTE($G1925,"-"," ",LEN($G1925)-LEN(SUBSTITUTE($G1925,"-",""))),"-"," ",LEN($G1925)-LEN(SUBSTITUTE($G1925,"-",""))-1),"."," ",(LEN(SUBSTITUTE(SUBSTITUTE($G1925,"-"," ",LEN($G1925)-LEN(SUBSTITUTE($G1925,"-",""))),"-"," ",LEN($G1925)-LEN(SUBSTITUTE($G1925,"-",""))-1))-LEN(SUBSTITUTE(SUBSTITUTE(SUBSTITUTE($G1925,"-"," ",LEN($G1925)-LEN(SUBSTITUTE($G1925,"-",""))),"-"," ",LEN($G1925)-LEN(SUBSTITUTE($G1925,"-",""))-1),".",""))))),$G1925)))</f>
        <v/>
      </c>
    </row>
    <row r="1926">
      <c r="A1926" s="58" t="n"/>
      <c r="B1926" s="58">
        <f>IF($H1926="","",LEFT($H1926,FIND(" ",$H1926&amp;" ")-1))</f>
        <v/>
      </c>
      <c r="C1926" s="58">
        <f>IF($H1926="","",IFERROR(MID($H1926&amp;" ",FIND("|",SUBSTITUTE($H1926&amp;" "," ","|",1))+1,FIND("|",SUBSTITUTE($H1926&amp;" "," ","|",2))-FIND("|",SUBSTITUTE($H1926&amp;" "," ","|",1))-1),""))</f>
        <v/>
      </c>
      <c r="D1926" s="58">
        <f>IF($H1926="","",IFERROR(MID($H1926&amp;" ",FIND("|",SUBSTITUTE($H1926&amp;" "," ","|",2))+1,FIND("|",SUBSTITUTE($H1926&amp;" "," ","|",3))-FIND("|",SUBSTITUTE($H1926&amp;" "," ","|",2))-1),""))</f>
        <v/>
      </c>
      <c r="E1926" s="58">
        <f>IF($H1926="","",IFERROR(MID($H1926&amp;" ",FIND("|",SUBSTITUTE($H1926&amp;" "," ","|",3))+1,FIND("|",SUBSTITUTE($H1926&amp;" "," ","|",4))-FIND("|",SUBSTITUTE($H1926&amp;" "," ","|",3))-1),""))</f>
        <v/>
      </c>
      <c r="F1926" s="59">
        <f>IF($H1926="","",IFERROR(VALUE(IFERROR(MID($H1926&amp;" ",FIND("|",SUBSTITUTE($H1926&amp;" "," ","|",4))+1,FIND("|",SUBSTITUTE($H1926&amp;" "," ","|",5))-FIND("|",SUBSTITUTE($H1926&amp;" "," ","|",4))-1),""))/86400+25569+9/24,""))</f>
        <v/>
      </c>
      <c r="G1926" s="58">
        <f>TRIM(SUBSTITUTE(SUBSTITUTE(SUBSTITUTE($A1926,CHAR(9)," ")," "," "),CHAR(13),""))</f>
        <v/>
      </c>
      <c r="H1926" s="58">
        <f>IF($G1926="","",IF(ISNUMBER(FIND(" ",$G1926)),$G1926,IFERROR(IF((LEN(SUBSTITUTE(SUBSTITUTE($G1926,"-"," ",LEN($G1926)-LEN(SUBSTITUTE($G1926,"-",""))),"-"," ",LEN($G1926)-LEN(SUBSTITUTE($G1926,"-",""))-1))-LEN(SUBSTITUTE(SUBSTITUTE(SUBSTITUTE($G1926,"-"," ",LEN($G1926)-LEN(SUBSTITUTE($G1926,"-",""))),"-"," ",LEN($G1926)-LEN(SUBSTITUTE($G1926,"-",""))-1),".","")))=0,SUBSTITUTE(SUBSTITUTE($G1926,"-"," ",LEN($G1926)-LEN(SUBSTITUTE($G1926,"-",""))),"-"," ",LEN($G1926)-LEN(SUBSTITUTE($G1926,"-",""))-1),SUBSTITUTE(SUBSTITUTE(SUBSTITUTE($G1926,"-"," ",LEN($G1926)-LEN(SUBSTITUTE($G1926,"-",""))),"-"," ",LEN($G1926)-LEN(SUBSTITUTE($G1926,"-",""))-1),"."," ",(LEN(SUBSTITUTE(SUBSTITUTE($G1926,"-"," ",LEN($G1926)-LEN(SUBSTITUTE($G1926,"-",""))),"-"," ",LEN($G1926)-LEN(SUBSTITUTE($G1926,"-",""))-1))-LEN(SUBSTITUTE(SUBSTITUTE(SUBSTITUTE($G1926,"-"," ",LEN($G1926)-LEN(SUBSTITUTE($G1926,"-",""))),"-"," ",LEN($G1926)-LEN(SUBSTITUTE($G1926,"-",""))-1),".",""))))),$G1926)))</f>
        <v/>
      </c>
    </row>
    <row r="1927">
      <c r="A1927" s="58" t="n"/>
      <c r="B1927" s="58">
        <f>IF($H1927="","",LEFT($H1927,FIND(" ",$H1927&amp;" ")-1))</f>
        <v/>
      </c>
      <c r="C1927" s="58">
        <f>IF($H1927="","",IFERROR(MID($H1927&amp;" ",FIND("|",SUBSTITUTE($H1927&amp;" "," ","|",1))+1,FIND("|",SUBSTITUTE($H1927&amp;" "," ","|",2))-FIND("|",SUBSTITUTE($H1927&amp;" "," ","|",1))-1),""))</f>
        <v/>
      </c>
      <c r="D1927" s="58">
        <f>IF($H1927="","",IFERROR(MID($H1927&amp;" ",FIND("|",SUBSTITUTE($H1927&amp;" "," ","|",2))+1,FIND("|",SUBSTITUTE($H1927&amp;" "," ","|",3))-FIND("|",SUBSTITUTE($H1927&amp;" "," ","|",2))-1),""))</f>
        <v/>
      </c>
      <c r="E1927" s="58">
        <f>IF($H1927="","",IFERROR(MID($H1927&amp;" ",FIND("|",SUBSTITUTE($H1927&amp;" "," ","|",3))+1,FIND("|",SUBSTITUTE($H1927&amp;" "," ","|",4))-FIND("|",SUBSTITUTE($H1927&amp;" "," ","|",3))-1),""))</f>
        <v/>
      </c>
      <c r="F1927" s="59">
        <f>IF($H1927="","",IFERROR(VALUE(IFERROR(MID($H1927&amp;" ",FIND("|",SUBSTITUTE($H1927&amp;" "," ","|",4))+1,FIND("|",SUBSTITUTE($H1927&amp;" "," ","|",5))-FIND("|",SUBSTITUTE($H1927&amp;" "," ","|",4))-1),""))/86400+25569+9/24,""))</f>
        <v/>
      </c>
      <c r="G1927" s="58">
        <f>TRIM(SUBSTITUTE(SUBSTITUTE(SUBSTITUTE($A1927,CHAR(9)," ")," "," "),CHAR(13),""))</f>
        <v/>
      </c>
      <c r="H1927" s="58">
        <f>IF($G1927="","",IF(ISNUMBER(FIND(" ",$G1927)),$G1927,IFERROR(IF((LEN(SUBSTITUTE(SUBSTITUTE($G1927,"-"," ",LEN($G1927)-LEN(SUBSTITUTE($G1927,"-",""))),"-"," ",LEN($G1927)-LEN(SUBSTITUTE($G1927,"-",""))-1))-LEN(SUBSTITUTE(SUBSTITUTE(SUBSTITUTE($G1927,"-"," ",LEN($G1927)-LEN(SUBSTITUTE($G1927,"-",""))),"-"," ",LEN($G1927)-LEN(SUBSTITUTE($G1927,"-",""))-1),".","")))=0,SUBSTITUTE(SUBSTITUTE($G1927,"-"," ",LEN($G1927)-LEN(SUBSTITUTE($G1927,"-",""))),"-"," ",LEN($G1927)-LEN(SUBSTITUTE($G1927,"-",""))-1),SUBSTITUTE(SUBSTITUTE(SUBSTITUTE($G1927,"-"," ",LEN($G1927)-LEN(SUBSTITUTE($G1927,"-",""))),"-"," ",LEN($G1927)-LEN(SUBSTITUTE($G1927,"-",""))-1),"."," ",(LEN(SUBSTITUTE(SUBSTITUTE($G1927,"-"," ",LEN($G1927)-LEN(SUBSTITUTE($G1927,"-",""))),"-"," ",LEN($G1927)-LEN(SUBSTITUTE($G1927,"-",""))-1))-LEN(SUBSTITUTE(SUBSTITUTE(SUBSTITUTE($G1927,"-"," ",LEN($G1927)-LEN(SUBSTITUTE($G1927,"-",""))),"-"," ",LEN($G1927)-LEN(SUBSTITUTE($G1927,"-",""))-1),".",""))))),$G1927)))</f>
        <v/>
      </c>
    </row>
    <row r="1928">
      <c r="A1928" s="58" t="n"/>
      <c r="B1928" s="58">
        <f>IF($H1928="","",LEFT($H1928,FIND(" ",$H1928&amp;" ")-1))</f>
        <v/>
      </c>
      <c r="C1928" s="58">
        <f>IF($H1928="","",IFERROR(MID($H1928&amp;" ",FIND("|",SUBSTITUTE($H1928&amp;" "," ","|",1))+1,FIND("|",SUBSTITUTE($H1928&amp;" "," ","|",2))-FIND("|",SUBSTITUTE($H1928&amp;" "," ","|",1))-1),""))</f>
        <v/>
      </c>
      <c r="D1928" s="58">
        <f>IF($H1928="","",IFERROR(MID($H1928&amp;" ",FIND("|",SUBSTITUTE($H1928&amp;" "," ","|",2))+1,FIND("|",SUBSTITUTE($H1928&amp;" "," ","|",3))-FIND("|",SUBSTITUTE($H1928&amp;" "," ","|",2))-1),""))</f>
        <v/>
      </c>
      <c r="E1928" s="58">
        <f>IF($H1928="","",IFERROR(MID($H1928&amp;" ",FIND("|",SUBSTITUTE($H1928&amp;" "," ","|",3))+1,FIND("|",SUBSTITUTE($H1928&amp;" "," ","|",4))-FIND("|",SUBSTITUTE($H1928&amp;" "," ","|",3))-1),""))</f>
        <v/>
      </c>
      <c r="F1928" s="59">
        <f>IF($H1928="","",IFERROR(VALUE(IFERROR(MID($H1928&amp;" ",FIND("|",SUBSTITUTE($H1928&amp;" "," ","|",4))+1,FIND("|",SUBSTITUTE($H1928&amp;" "," ","|",5))-FIND("|",SUBSTITUTE($H1928&amp;" "," ","|",4))-1),""))/86400+25569+9/24,""))</f>
        <v/>
      </c>
      <c r="G1928" s="58">
        <f>TRIM(SUBSTITUTE(SUBSTITUTE(SUBSTITUTE($A1928,CHAR(9)," ")," "," "),CHAR(13),""))</f>
        <v/>
      </c>
      <c r="H1928" s="58">
        <f>IF($G1928="","",IF(ISNUMBER(FIND(" ",$G1928)),$G1928,IFERROR(IF((LEN(SUBSTITUTE(SUBSTITUTE($G1928,"-"," ",LEN($G1928)-LEN(SUBSTITUTE($G1928,"-",""))),"-"," ",LEN($G1928)-LEN(SUBSTITUTE($G1928,"-",""))-1))-LEN(SUBSTITUTE(SUBSTITUTE(SUBSTITUTE($G1928,"-"," ",LEN($G1928)-LEN(SUBSTITUTE($G1928,"-",""))),"-"," ",LEN($G1928)-LEN(SUBSTITUTE($G1928,"-",""))-1),".","")))=0,SUBSTITUTE(SUBSTITUTE($G1928,"-"," ",LEN($G1928)-LEN(SUBSTITUTE($G1928,"-",""))),"-"," ",LEN($G1928)-LEN(SUBSTITUTE($G1928,"-",""))-1),SUBSTITUTE(SUBSTITUTE(SUBSTITUTE($G1928,"-"," ",LEN($G1928)-LEN(SUBSTITUTE($G1928,"-",""))),"-"," ",LEN($G1928)-LEN(SUBSTITUTE($G1928,"-",""))-1),"."," ",(LEN(SUBSTITUTE(SUBSTITUTE($G1928,"-"," ",LEN($G1928)-LEN(SUBSTITUTE($G1928,"-",""))),"-"," ",LEN($G1928)-LEN(SUBSTITUTE($G1928,"-",""))-1))-LEN(SUBSTITUTE(SUBSTITUTE(SUBSTITUTE($G1928,"-"," ",LEN($G1928)-LEN(SUBSTITUTE($G1928,"-",""))),"-"," ",LEN($G1928)-LEN(SUBSTITUTE($G1928,"-",""))-1),".",""))))),$G1928)))</f>
        <v/>
      </c>
    </row>
    <row r="1929">
      <c r="A1929" s="58" t="n"/>
      <c r="B1929" s="58">
        <f>IF($H1929="","",LEFT($H1929,FIND(" ",$H1929&amp;" ")-1))</f>
        <v/>
      </c>
      <c r="C1929" s="58">
        <f>IF($H1929="","",IFERROR(MID($H1929&amp;" ",FIND("|",SUBSTITUTE($H1929&amp;" "," ","|",1))+1,FIND("|",SUBSTITUTE($H1929&amp;" "," ","|",2))-FIND("|",SUBSTITUTE($H1929&amp;" "," ","|",1))-1),""))</f>
        <v/>
      </c>
      <c r="D1929" s="58">
        <f>IF($H1929="","",IFERROR(MID($H1929&amp;" ",FIND("|",SUBSTITUTE($H1929&amp;" "," ","|",2))+1,FIND("|",SUBSTITUTE($H1929&amp;" "," ","|",3))-FIND("|",SUBSTITUTE($H1929&amp;" "," ","|",2))-1),""))</f>
        <v/>
      </c>
      <c r="E1929" s="58">
        <f>IF($H1929="","",IFERROR(MID($H1929&amp;" ",FIND("|",SUBSTITUTE($H1929&amp;" "," ","|",3))+1,FIND("|",SUBSTITUTE($H1929&amp;" "," ","|",4))-FIND("|",SUBSTITUTE($H1929&amp;" "," ","|",3))-1),""))</f>
        <v/>
      </c>
      <c r="F1929" s="59">
        <f>IF($H1929="","",IFERROR(VALUE(IFERROR(MID($H1929&amp;" ",FIND("|",SUBSTITUTE($H1929&amp;" "," ","|",4))+1,FIND("|",SUBSTITUTE($H1929&amp;" "," ","|",5))-FIND("|",SUBSTITUTE($H1929&amp;" "," ","|",4))-1),""))/86400+25569+9/24,""))</f>
        <v/>
      </c>
      <c r="G1929" s="58">
        <f>TRIM(SUBSTITUTE(SUBSTITUTE(SUBSTITUTE($A1929,CHAR(9)," ")," "," "),CHAR(13),""))</f>
        <v/>
      </c>
      <c r="H1929" s="58">
        <f>IF($G1929="","",IF(ISNUMBER(FIND(" ",$G1929)),$G1929,IFERROR(IF((LEN(SUBSTITUTE(SUBSTITUTE($G1929,"-"," ",LEN($G1929)-LEN(SUBSTITUTE($G1929,"-",""))),"-"," ",LEN($G1929)-LEN(SUBSTITUTE($G1929,"-",""))-1))-LEN(SUBSTITUTE(SUBSTITUTE(SUBSTITUTE($G1929,"-"," ",LEN($G1929)-LEN(SUBSTITUTE($G1929,"-",""))),"-"," ",LEN($G1929)-LEN(SUBSTITUTE($G1929,"-",""))-1),".","")))=0,SUBSTITUTE(SUBSTITUTE($G1929,"-"," ",LEN($G1929)-LEN(SUBSTITUTE($G1929,"-",""))),"-"," ",LEN($G1929)-LEN(SUBSTITUTE($G1929,"-",""))-1),SUBSTITUTE(SUBSTITUTE(SUBSTITUTE($G1929,"-"," ",LEN($G1929)-LEN(SUBSTITUTE($G1929,"-",""))),"-"," ",LEN($G1929)-LEN(SUBSTITUTE($G1929,"-",""))-1),"."," ",(LEN(SUBSTITUTE(SUBSTITUTE($G1929,"-"," ",LEN($G1929)-LEN(SUBSTITUTE($G1929,"-",""))),"-"," ",LEN($G1929)-LEN(SUBSTITUTE($G1929,"-",""))-1))-LEN(SUBSTITUTE(SUBSTITUTE(SUBSTITUTE($G1929,"-"," ",LEN($G1929)-LEN(SUBSTITUTE($G1929,"-",""))),"-"," ",LEN($G1929)-LEN(SUBSTITUTE($G1929,"-",""))-1),".",""))))),$G1929)))</f>
        <v/>
      </c>
    </row>
    <row r="1930">
      <c r="A1930" s="58" t="n"/>
      <c r="B1930" s="58">
        <f>IF($H1930="","",LEFT($H1930,FIND(" ",$H1930&amp;" ")-1))</f>
        <v/>
      </c>
      <c r="C1930" s="58">
        <f>IF($H1930="","",IFERROR(MID($H1930&amp;" ",FIND("|",SUBSTITUTE($H1930&amp;" "," ","|",1))+1,FIND("|",SUBSTITUTE($H1930&amp;" "," ","|",2))-FIND("|",SUBSTITUTE($H1930&amp;" "," ","|",1))-1),""))</f>
        <v/>
      </c>
      <c r="D1930" s="58">
        <f>IF($H1930="","",IFERROR(MID($H1930&amp;" ",FIND("|",SUBSTITUTE($H1930&amp;" "," ","|",2))+1,FIND("|",SUBSTITUTE($H1930&amp;" "," ","|",3))-FIND("|",SUBSTITUTE($H1930&amp;" "," ","|",2))-1),""))</f>
        <v/>
      </c>
      <c r="E1930" s="58">
        <f>IF($H1930="","",IFERROR(MID($H1930&amp;" ",FIND("|",SUBSTITUTE($H1930&amp;" "," ","|",3))+1,FIND("|",SUBSTITUTE($H1930&amp;" "," ","|",4))-FIND("|",SUBSTITUTE($H1930&amp;" "," ","|",3))-1),""))</f>
        <v/>
      </c>
      <c r="F1930" s="59">
        <f>IF($H1930="","",IFERROR(VALUE(IFERROR(MID($H1930&amp;" ",FIND("|",SUBSTITUTE($H1930&amp;" "," ","|",4))+1,FIND("|",SUBSTITUTE($H1930&amp;" "," ","|",5))-FIND("|",SUBSTITUTE($H1930&amp;" "," ","|",4))-1),""))/86400+25569+9/24,""))</f>
        <v/>
      </c>
      <c r="G1930" s="58">
        <f>TRIM(SUBSTITUTE(SUBSTITUTE(SUBSTITUTE($A1930,CHAR(9)," ")," "," "),CHAR(13),""))</f>
        <v/>
      </c>
      <c r="H1930" s="58">
        <f>IF($G1930="","",IF(ISNUMBER(FIND(" ",$G1930)),$G1930,IFERROR(IF((LEN(SUBSTITUTE(SUBSTITUTE($G1930,"-"," ",LEN($G1930)-LEN(SUBSTITUTE($G1930,"-",""))),"-"," ",LEN($G1930)-LEN(SUBSTITUTE($G1930,"-",""))-1))-LEN(SUBSTITUTE(SUBSTITUTE(SUBSTITUTE($G1930,"-"," ",LEN($G1930)-LEN(SUBSTITUTE($G1930,"-",""))),"-"," ",LEN($G1930)-LEN(SUBSTITUTE($G1930,"-",""))-1),".","")))=0,SUBSTITUTE(SUBSTITUTE($G1930,"-"," ",LEN($G1930)-LEN(SUBSTITUTE($G1930,"-",""))),"-"," ",LEN($G1930)-LEN(SUBSTITUTE($G1930,"-",""))-1),SUBSTITUTE(SUBSTITUTE(SUBSTITUTE($G1930,"-"," ",LEN($G1930)-LEN(SUBSTITUTE($G1930,"-",""))),"-"," ",LEN($G1930)-LEN(SUBSTITUTE($G1930,"-",""))-1),"."," ",(LEN(SUBSTITUTE(SUBSTITUTE($G1930,"-"," ",LEN($G1930)-LEN(SUBSTITUTE($G1930,"-",""))),"-"," ",LEN($G1930)-LEN(SUBSTITUTE($G1930,"-",""))-1))-LEN(SUBSTITUTE(SUBSTITUTE(SUBSTITUTE($G1930,"-"," ",LEN($G1930)-LEN(SUBSTITUTE($G1930,"-",""))),"-"," ",LEN($G1930)-LEN(SUBSTITUTE($G1930,"-",""))-1),".",""))))),$G1930)))</f>
        <v/>
      </c>
    </row>
    <row r="1931">
      <c r="A1931" s="58" t="n"/>
      <c r="B1931" s="58">
        <f>IF($H1931="","",LEFT($H1931,FIND(" ",$H1931&amp;" ")-1))</f>
        <v/>
      </c>
      <c r="C1931" s="58">
        <f>IF($H1931="","",IFERROR(MID($H1931&amp;" ",FIND("|",SUBSTITUTE($H1931&amp;" "," ","|",1))+1,FIND("|",SUBSTITUTE($H1931&amp;" "," ","|",2))-FIND("|",SUBSTITUTE($H1931&amp;" "," ","|",1))-1),""))</f>
        <v/>
      </c>
      <c r="D1931" s="58">
        <f>IF($H1931="","",IFERROR(MID($H1931&amp;" ",FIND("|",SUBSTITUTE($H1931&amp;" "," ","|",2))+1,FIND("|",SUBSTITUTE($H1931&amp;" "," ","|",3))-FIND("|",SUBSTITUTE($H1931&amp;" "," ","|",2))-1),""))</f>
        <v/>
      </c>
      <c r="E1931" s="58">
        <f>IF($H1931="","",IFERROR(MID($H1931&amp;" ",FIND("|",SUBSTITUTE($H1931&amp;" "," ","|",3))+1,FIND("|",SUBSTITUTE($H1931&amp;" "," ","|",4))-FIND("|",SUBSTITUTE($H1931&amp;" "," ","|",3))-1),""))</f>
        <v/>
      </c>
      <c r="F1931" s="59">
        <f>IF($H1931="","",IFERROR(VALUE(IFERROR(MID($H1931&amp;" ",FIND("|",SUBSTITUTE($H1931&amp;" "," ","|",4))+1,FIND("|",SUBSTITUTE($H1931&amp;" "," ","|",5))-FIND("|",SUBSTITUTE($H1931&amp;" "," ","|",4))-1),""))/86400+25569+9/24,""))</f>
        <v/>
      </c>
      <c r="G1931" s="58">
        <f>TRIM(SUBSTITUTE(SUBSTITUTE(SUBSTITUTE($A1931,CHAR(9)," ")," "," "),CHAR(13),""))</f>
        <v/>
      </c>
      <c r="H1931" s="58">
        <f>IF($G1931="","",IF(ISNUMBER(FIND(" ",$G1931)),$G1931,IFERROR(IF((LEN(SUBSTITUTE(SUBSTITUTE($G1931,"-"," ",LEN($G1931)-LEN(SUBSTITUTE($G1931,"-",""))),"-"," ",LEN($G1931)-LEN(SUBSTITUTE($G1931,"-",""))-1))-LEN(SUBSTITUTE(SUBSTITUTE(SUBSTITUTE($G1931,"-"," ",LEN($G1931)-LEN(SUBSTITUTE($G1931,"-",""))),"-"," ",LEN($G1931)-LEN(SUBSTITUTE($G1931,"-",""))-1),".","")))=0,SUBSTITUTE(SUBSTITUTE($G1931,"-"," ",LEN($G1931)-LEN(SUBSTITUTE($G1931,"-",""))),"-"," ",LEN($G1931)-LEN(SUBSTITUTE($G1931,"-",""))-1),SUBSTITUTE(SUBSTITUTE(SUBSTITUTE($G1931,"-"," ",LEN($G1931)-LEN(SUBSTITUTE($G1931,"-",""))),"-"," ",LEN($G1931)-LEN(SUBSTITUTE($G1931,"-",""))-1),"."," ",(LEN(SUBSTITUTE(SUBSTITUTE($G1931,"-"," ",LEN($G1931)-LEN(SUBSTITUTE($G1931,"-",""))),"-"," ",LEN($G1931)-LEN(SUBSTITUTE($G1931,"-",""))-1))-LEN(SUBSTITUTE(SUBSTITUTE(SUBSTITUTE($G1931,"-"," ",LEN($G1931)-LEN(SUBSTITUTE($G1931,"-",""))),"-"," ",LEN($G1931)-LEN(SUBSTITUTE($G1931,"-",""))-1),".",""))))),$G1931)))</f>
        <v/>
      </c>
    </row>
    <row r="1932">
      <c r="A1932" s="58" t="n"/>
      <c r="B1932" s="58">
        <f>IF($H1932="","",LEFT($H1932,FIND(" ",$H1932&amp;" ")-1))</f>
        <v/>
      </c>
      <c r="C1932" s="58">
        <f>IF($H1932="","",IFERROR(MID($H1932&amp;" ",FIND("|",SUBSTITUTE($H1932&amp;" "," ","|",1))+1,FIND("|",SUBSTITUTE($H1932&amp;" "," ","|",2))-FIND("|",SUBSTITUTE($H1932&amp;" "," ","|",1))-1),""))</f>
        <v/>
      </c>
      <c r="D1932" s="58">
        <f>IF($H1932="","",IFERROR(MID($H1932&amp;" ",FIND("|",SUBSTITUTE($H1932&amp;" "," ","|",2))+1,FIND("|",SUBSTITUTE($H1932&amp;" "," ","|",3))-FIND("|",SUBSTITUTE($H1932&amp;" "," ","|",2))-1),""))</f>
        <v/>
      </c>
      <c r="E1932" s="58">
        <f>IF($H1932="","",IFERROR(MID($H1932&amp;" ",FIND("|",SUBSTITUTE($H1932&amp;" "," ","|",3))+1,FIND("|",SUBSTITUTE($H1932&amp;" "," ","|",4))-FIND("|",SUBSTITUTE($H1932&amp;" "," ","|",3))-1),""))</f>
        <v/>
      </c>
      <c r="F1932" s="59">
        <f>IF($H1932="","",IFERROR(VALUE(IFERROR(MID($H1932&amp;" ",FIND("|",SUBSTITUTE($H1932&amp;" "," ","|",4))+1,FIND("|",SUBSTITUTE($H1932&amp;" "," ","|",5))-FIND("|",SUBSTITUTE($H1932&amp;" "," ","|",4))-1),""))/86400+25569+9/24,""))</f>
        <v/>
      </c>
      <c r="G1932" s="58">
        <f>TRIM(SUBSTITUTE(SUBSTITUTE(SUBSTITUTE($A1932,CHAR(9)," ")," "," "),CHAR(13),""))</f>
        <v/>
      </c>
      <c r="H1932" s="58">
        <f>IF($G1932="","",IF(ISNUMBER(FIND(" ",$G1932)),$G1932,IFERROR(IF((LEN(SUBSTITUTE(SUBSTITUTE($G1932,"-"," ",LEN($G1932)-LEN(SUBSTITUTE($G1932,"-",""))),"-"," ",LEN($G1932)-LEN(SUBSTITUTE($G1932,"-",""))-1))-LEN(SUBSTITUTE(SUBSTITUTE(SUBSTITUTE($G1932,"-"," ",LEN($G1932)-LEN(SUBSTITUTE($G1932,"-",""))),"-"," ",LEN($G1932)-LEN(SUBSTITUTE($G1932,"-",""))-1),".","")))=0,SUBSTITUTE(SUBSTITUTE($G1932,"-"," ",LEN($G1932)-LEN(SUBSTITUTE($G1932,"-",""))),"-"," ",LEN($G1932)-LEN(SUBSTITUTE($G1932,"-",""))-1),SUBSTITUTE(SUBSTITUTE(SUBSTITUTE($G1932,"-"," ",LEN($G1932)-LEN(SUBSTITUTE($G1932,"-",""))),"-"," ",LEN($G1932)-LEN(SUBSTITUTE($G1932,"-",""))-1),"."," ",(LEN(SUBSTITUTE(SUBSTITUTE($G1932,"-"," ",LEN($G1932)-LEN(SUBSTITUTE($G1932,"-",""))),"-"," ",LEN($G1932)-LEN(SUBSTITUTE($G1932,"-",""))-1))-LEN(SUBSTITUTE(SUBSTITUTE(SUBSTITUTE($G1932,"-"," ",LEN($G1932)-LEN(SUBSTITUTE($G1932,"-",""))),"-"," ",LEN($G1932)-LEN(SUBSTITUTE($G1932,"-",""))-1),".",""))))),$G1932)))</f>
        <v/>
      </c>
    </row>
    <row r="1933">
      <c r="A1933" s="58" t="n"/>
      <c r="B1933" s="58">
        <f>IF($H1933="","",LEFT($H1933,FIND(" ",$H1933&amp;" ")-1))</f>
        <v/>
      </c>
      <c r="C1933" s="58">
        <f>IF($H1933="","",IFERROR(MID($H1933&amp;" ",FIND("|",SUBSTITUTE($H1933&amp;" "," ","|",1))+1,FIND("|",SUBSTITUTE($H1933&amp;" "," ","|",2))-FIND("|",SUBSTITUTE($H1933&amp;" "," ","|",1))-1),""))</f>
        <v/>
      </c>
      <c r="D1933" s="58">
        <f>IF($H1933="","",IFERROR(MID($H1933&amp;" ",FIND("|",SUBSTITUTE($H1933&amp;" "," ","|",2))+1,FIND("|",SUBSTITUTE($H1933&amp;" "," ","|",3))-FIND("|",SUBSTITUTE($H1933&amp;" "," ","|",2))-1),""))</f>
        <v/>
      </c>
      <c r="E1933" s="58">
        <f>IF($H1933="","",IFERROR(MID($H1933&amp;" ",FIND("|",SUBSTITUTE($H1933&amp;" "," ","|",3))+1,FIND("|",SUBSTITUTE($H1933&amp;" "," ","|",4))-FIND("|",SUBSTITUTE($H1933&amp;" "," ","|",3))-1),""))</f>
        <v/>
      </c>
      <c r="F1933" s="59">
        <f>IF($H1933="","",IFERROR(VALUE(IFERROR(MID($H1933&amp;" ",FIND("|",SUBSTITUTE($H1933&amp;" "," ","|",4))+1,FIND("|",SUBSTITUTE($H1933&amp;" "," ","|",5))-FIND("|",SUBSTITUTE($H1933&amp;" "," ","|",4))-1),""))/86400+25569+9/24,""))</f>
        <v/>
      </c>
      <c r="G1933" s="58">
        <f>TRIM(SUBSTITUTE(SUBSTITUTE(SUBSTITUTE($A1933,CHAR(9)," ")," "," "),CHAR(13),""))</f>
        <v/>
      </c>
      <c r="H1933" s="58">
        <f>IF($G1933="","",IF(ISNUMBER(FIND(" ",$G1933)),$G1933,IFERROR(IF((LEN(SUBSTITUTE(SUBSTITUTE($G1933,"-"," ",LEN($G1933)-LEN(SUBSTITUTE($G1933,"-",""))),"-"," ",LEN($G1933)-LEN(SUBSTITUTE($G1933,"-",""))-1))-LEN(SUBSTITUTE(SUBSTITUTE(SUBSTITUTE($G1933,"-"," ",LEN($G1933)-LEN(SUBSTITUTE($G1933,"-",""))),"-"," ",LEN($G1933)-LEN(SUBSTITUTE($G1933,"-",""))-1),".","")))=0,SUBSTITUTE(SUBSTITUTE($G1933,"-"," ",LEN($G1933)-LEN(SUBSTITUTE($G1933,"-",""))),"-"," ",LEN($G1933)-LEN(SUBSTITUTE($G1933,"-",""))-1),SUBSTITUTE(SUBSTITUTE(SUBSTITUTE($G1933,"-"," ",LEN($G1933)-LEN(SUBSTITUTE($G1933,"-",""))),"-"," ",LEN($G1933)-LEN(SUBSTITUTE($G1933,"-",""))-1),"."," ",(LEN(SUBSTITUTE(SUBSTITUTE($G1933,"-"," ",LEN($G1933)-LEN(SUBSTITUTE($G1933,"-",""))),"-"," ",LEN($G1933)-LEN(SUBSTITUTE($G1933,"-",""))-1))-LEN(SUBSTITUTE(SUBSTITUTE(SUBSTITUTE($G1933,"-"," ",LEN($G1933)-LEN(SUBSTITUTE($G1933,"-",""))),"-"," ",LEN($G1933)-LEN(SUBSTITUTE($G1933,"-",""))-1),".",""))))),$G1933)))</f>
        <v/>
      </c>
    </row>
    <row r="1934">
      <c r="A1934" s="58" t="n"/>
      <c r="B1934" s="58">
        <f>IF($H1934="","",LEFT($H1934,FIND(" ",$H1934&amp;" ")-1))</f>
        <v/>
      </c>
      <c r="C1934" s="58">
        <f>IF($H1934="","",IFERROR(MID($H1934&amp;" ",FIND("|",SUBSTITUTE($H1934&amp;" "," ","|",1))+1,FIND("|",SUBSTITUTE($H1934&amp;" "," ","|",2))-FIND("|",SUBSTITUTE($H1934&amp;" "," ","|",1))-1),""))</f>
        <v/>
      </c>
      <c r="D1934" s="58">
        <f>IF($H1934="","",IFERROR(MID($H1934&amp;" ",FIND("|",SUBSTITUTE($H1934&amp;" "," ","|",2))+1,FIND("|",SUBSTITUTE($H1934&amp;" "," ","|",3))-FIND("|",SUBSTITUTE($H1934&amp;" "," ","|",2))-1),""))</f>
        <v/>
      </c>
      <c r="E1934" s="58">
        <f>IF($H1934="","",IFERROR(MID($H1934&amp;" ",FIND("|",SUBSTITUTE($H1934&amp;" "," ","|",3))+1,FIND("|",SUBSTITUTE($H1934&amp;" "," ","|",4))-FIND("|",SUBSTITUTE($H1934&amp;" "," ","|",3))-1),""))</f>
        <v/>
      </c>
      <c r="F1934" s="59">
        <f>IF($H1934="","",IFERROR(VALUE(IFERROR(MID($H1934&amp;" ",FIND("|",SUBSTITUTE($H1934&amp;" "," ","|",4))+1,FIND("|",SUBSTITUTE($H1934&amp;" "," ","|",5))-FIND("|",SUBSTITUTE($H1934&amp;" "," ","|",4))-1),""))/86400+25569+9/24,""))</f>
        <v/>
      </c>
      <c r="G1934" s="58">
        <f>TRIM(SUBSTITUTE(SUBSTITUTE(SUBSTITUTE($A1934,CHAR(9)," ")," "," "),CHAR(13),""))</f>
        <v/>
      </c>
      <c r="H1934" s="58">
        <f>IF($G1934="","",IF(ISNUMBER(FIND(" ",$G1934)),$G1934,IFERROR(IF((LEN(SUBSTITUTE(SUBSTITUTE($G1934,"-"," ",LEN($G1934)-LEN(SUBSTITUTE($G1934,"-",""))),"-"," ",LEN($G1934)-LEN(SUBSTITUTE($G1934,"-",""))-1))-LEN(SUBSTITUTE(SUBSTITUTE(SUBSTITUTE($G1934,"-"," ",LEN($G1934)-LEN(SUBSTITUTE($G1934,"-",""))),"-"," ",LEN($G1934)-LEN(SUBSTITUTE($G1934,"-",""))-1),".","")))=0,SUBSTITUTE(SUBSTITUTE($G1934,"-"," ",LEN($G1934)-LEN(SUBSTITUTE($G1934,"-",""))),"-"," ",LEN($G1934)-LEN(SUBSTITUTE($G1934,"-",""))-1),SUBSTITUTE(SUBSTITUTE(SUBSTITUTE($G1934,"-"," ",LEN($G1934)-LEN(SUBSTITUTE($G1934,"-",""))),"-"," ",LEN($G1934)-LEN(SUBSTITUTE($G1934,"-",""))-1),"."," ",(LEN(SUBSTITUTE(SUBSTITUTE($G1934,"-"," ",LEN($G1934)-LEN(SUBSTITUTE($G1934,"-",""))),"-"," ",LEN($G1934)-LEN(SUBSTITUTE($G1934,"-",""))-1))-LEN(SUBSTITUTE(SUBSTITUTE(SUBSTITUTE($G1934,"-"," ",LEN($G1934)-LEN(SUBSTITUTE($G1934,"-",""))),"-"," ",LEN($G1934)-LEN(SUBSTITUTE($G1934,"-",""))-1),".",""))))),$G1934)))</f>
        <v/>
      </c>
    </row>
    <row r="1935">
      <c r="A1935" s="58" t="n"/>
      <c r="B1935" s="58">
        <f>IF($H1935="","",LEFT($H1935,FIND(" ",$H1935&amp;" ")-1))</f>
        <v/>
      </c>
      <c r="C1935" s="58">
        <f>IF($H1935="","",IFERROR(MID($H1935&amp;" ",FIND("|",SUBSTITUTE($H1935&amp;" "," ","|",1))+1,FIND("|",SUBSTITUTE($H1935&amp;" "," ","|",2))-FIND("|",SUBSTITUTE($H1935&amp;" "," ","|",1))-1),""))</f>
        <v/>
      </c>
      <c r="D1935" s="58">
        <f>IF($H1935="","",IFERROR(MID($H1935&amp;" ",FIND("|",SUBSTITUTE($H1935&amp;" "," ","|",2))+1,FIND("|",SUBSTITUTE($H1935&amp;" "," ","|",3))-FIND("|",SUBSTITUTE($H1935&amp;" "," ","|",2))-1),""))</f>
        <v/>
      </c>
      <c r="E1935" s="58">
        <f>IF($H1935="","",IFERROR(MID($H1935&amp;" ",FIND("|",SUBSTITUTE($H1935&amp;" "," ","|",3))+1,FIND("|",SUBSTITUTE($H1935&amp;" "," ","|",4))-FIND("|",SUBSTITUTE($H1935&amp;" "," ","|",3))-1),""))</f>
        <v/>
      </c>
      <c r="F1935" s="59">
        <f>IF($H1935="","",IFERROR(VALUE(IFERROR(MID($H1935&amp;" ",FIND("|",SUBSTITUTE($H1935&amp;" "," ","|",4))+1,FIND("|",SUBSTITUTE($H1935&amp;" "," ","|",5))-FIND("|",SUBSTITUTE($H1935&amp;" "," ","|",4))-1),""))/86400+25569+9/24,""))</f>
        <v/>
      </c>
      <c r="G1935" s="58">
        <f>TRIM(SUBSTITUTE(SUBSTITUTE(SUBSTITUTE($A1935,CHAR(9)," ")," "," "),CHAR(13),""))</f>
        <v/>
      </c>
      <c r="H1935" s="58">
        <f>IF($G1935="","",IF(ISNUMBER(FIND(" ",$G1935)),$G1935,IFERROR(IF((LEN(SUBSTITUTE(SUBSTITUTE($G1935,"-"," ",LEN($G1935)-LEN(SUBSTITUTE($G1935,"-",""))),"-"," ",LEN($G1935)-LEN(SUBSTITUTE($G1935,"-",""))-1))-LEN(SUBSTITUTE(SUBSTITUTE(SUBSTITUTE($G1935,"-"," ",LEN($G1935)-LEN(SUBSTITUTE($G1935,"-",""))),"-"," ",LEN($G1935)-LEN(SUBSTITUTE($G1935,"-",""))-1),".","")))=0,SUBSTITUTE(SUBSTITUTE($G1935,"-"," ",LEN($G1935)-LEN(SUBSTITUTE($G1935,"-",""))),"-"," ",LEN($G1935)-LEN(SUBSTITUTE($G1935,"-",""))-1),SUBSTITUTE(SUBSTITUTE(SUBSTITUTE($G1935,"-"," ",LEN($G1935)-LEN(SUBSTITUTE($G1935,"-",""))),"-"," ",LEN($G1935)-LEN(SUBSTITUTE($G1935,"-",""))-1),"."," ",(LEN(SUBSTITUTE(SUBSTITUTE($G1935,"-"," ",LEN($G1935)-LEN(SUBSTITUTE($G1935,"-",""))),"-"," ",LEN($G1935)-LEN(SUBSTITUTE($G1935,"-",""))-1))-LEN(SUBSTITUTE(SUBSTITUTE(SUBSTITUTE($G1935,"-"," ",LEN($G1935)-LEN(SUBSTITUTE($G1935,"-",""))),"-"," ",LEN($G1935)-LEN(SUBSTITUTE($G1935,"-",""))-1),".",""))))),$G1935)))</f>
        <v/>
      </c>
    </row>
    <row r="1936">
      <c r="A1936" s="58" t="n"/>
      <c r="B1936" s="58">
        <f>IF($H1936="","",LEFT($H1936,FIND(" ",$H1936&amp;" ")-1))</f>
        <v/>
      </c>
      <c r="C1936" s="58">
        <f>IF($H1936="","",IFERROR(MID($H1936&amp;" ",FIND("|",SUBSTITUTE($H1936&amp;" "," ","|",1))+1,FIND("|",SUBSTITUTE($H1936&amp;" "," ","|",2))-FIND("|",SUBSTITUTE($H1936&amp;" "," ","|",1))-1),""))</f>
        <v/>
      </c>
      <c r="D1936" s="58">
        <f>IF($H1936="","",IFERROR(MID($H1936&amp;" ",FIND("|",SUBSTITUTE($H1936&amp;" "," ","|",2))+1,FIND("|",SUBSTITUTE($H1936&amp;" "," ","|",3))-FIND("|",SUBSTITUTE($H1936&amp;" "," ","|",2))-1),""))</f>
        <v/>
      </c>
      <c r="E1936" s="58">
        <f>IF($H1936="","",IFERROR(MID($H1936&amp;" ",FIND("|",SUBSTITUTE($H1936&amp;" "," ","|",3))+1,FIND("|",SUBSTITUTE($H1936&amp;" "," ","|",4))-FIND("|",SUBSTITUTE($H1936&amp;" "," ","|",3))-1),""))</f>
        <v/>
      </c>
      <c r="F1936" s="59">
        <f>IF($H1936="","",IFERROR(VALUE(IFERROR(MID($H1936&amp;" ",FIND("|",SUBSTITUTE($H1936&amp;" "," ","|",4))+1,FIND("|",SUBSTITUTE($H1936&amp;" "," ","|",5))-FIND("|",SUBSTITUTE($H1936&amp;" "," ","|",4))-1),""))/86400+25569+9/24,""))</f>
        <v/>
      </c>
      <c r="G1936" s="58">
        <f>TRIM(SUBSTITUTE(SUBSTITUTE(SUBSTITUTE($A1936,CHAR(9)," ")," "," "),CHAR(13),""))</f>
        <v/>
      </c>
      <c r="H1936" s="58">
        <f>IF($G1936="","",IF(ISNUMBER(FIND(" ",$G1936)),$G1936,IFERROR(IF((LEN(SUBSTITUTE(SUBSTITUTE($G1936,"-"," ",LEN($G1936)-LEN(SUBSTITUTE($G1936,"-",""))),"-"," ",LEN($G1936)-LEN(SUBSTITUTE($G1936,"-",""))-1))-LEN(SUBSTITUTE(SUBSTITUTE(SUBSTITUTE($G1936,"-"," ",LEN($G1936)-LEN(SUBSTITUTE($G1936,"-",""))),"-"," ",LEN($G1936)-LEN(SUBSTITUTE($G1936,"-",""))-1),".","")))=0,SUBSTITUTE(SUBSTITUTE($G1936,"-"," ",LEN($G1936)-LEN(SUBSTITUTE($G1936,"-",""))),"-"," ",LEN($G1936)-LEN(SUBSTITUTE($G1936,"-",""))-1),SUBSTITUTE(SUBSTITUTE(SUBSTITUTE($G1936,"-"," ",LEN($G1936)-LEN(SUBSTITUTE($G1936,"-",""))),"-"," ",LEN($G1936)-LEN(SUBSTITUTE($G1936,"-",""))-1),"."," ",(LEN(SUBSTITUTE(SUBSTITUTE($G1936,"-"," ",LEN($G1936)-LEN(SUBSTITUTE($G1936,"-",""))),"-"," ",LEN($G1936)-LEN(SUBSTITUTE($G1936,"-",""))-1))-LEN(SUBSTITUTE(SUBSTITUTE(SUBSTITUTE($G1936,"-"," ",LEN($G1936)-LEN(SUBSTITUTE($G1936,"-",""))),"-"," ",LEN($G1936)-LEN(SUBSTITUTE($G1936,"-",""))-1),".",""))))),$G1936)))</f>
        <v/>
      </c>
    </row>
    <row r="1937">
      <c r="A1937" s="58" t="n"/>
      <c r="B1937" s="58">
        <f>IF($H1937="","",LEFT($H1937,FIND(" ",$H1937&amp;" ")-1))</f>
        <v/>
      </c>
      <c r="C1937" s="58">
        <f>IF($H1937="","",IFERROR(MID($H1937&amp;" ",FIND("|",SUBSTITUTE($H1937&amp;" "," ","|",1))+1,FIND("|",SUBSTITUTE($H1937&amp;" "," ","|",2))-FIND("|",SUBSTITUTE($H1937&amp;" "," ","|",1))-1),""))</f>
        <v/>
      </c>
      <c r="D1937" s="58">
        <f>IF($H1937="","",IFERROR(MID($H1937&amp;" ",FIND("|",SUBSTITUTE($H1937&amp;" "," ","|",2))+1,FIND("|",SUBSTITUTE($H1937&amp;" "," ","|",3))-FIND("|",SUBSTITUTE($H1937&amp;" "," ","|",2))-1),""))</f>
        <v/>
      </c>
      <c r="E1937" s="58">
        <f>IF($H1937="","",IFERROR(MID($H1937&amp;" ",FIND("|",SUBSTITUTE($H1937&amp;" "," ","|",3))+1,FIND("|",SUBSTITUTE($H1937&amp;" "," ","|",4))-FIND("|",SUBSTITUTE($H1937&amp;" "," ","|",3))-1),""))</f>
        <v/>
      </c>
      <c r="F1937" s="59">
        <f>IF($H1937="","",IFERROR(VALUE(IFERROR(MID($H1937&amp;" ",FIND("|",SUBSTITUTE($H1937&amp;" "," ","|",4))+1,FIND("|",SUBSTITUTE($H1937&amp;" "," ","|",5))-FIND("|",SUBSTITUTE($H1937&amp;" "," ","|",4))-1),""))/86400+25569+9/24,""))</f>
        <v/>
      </c>
      <c r="G1937" s="58">
        <f>TRIM(SUBSTITUTE(SUBSTITUTE(SUBSTITUTE($A1937,CHAR(9)," ")," "," "),CHAR(13),""))</f>
        <v/>
      </c>
      <c r="H1937" s="58">
        <f>IF($G1937="","",IF(ISNUMBER(FIND(" ",$G1937)),$G1937,IFERROR(IF((LEN(SUBSTITUTE(SUBSTITUTE($G1937,"-"," ",LEN($G1937)-LEN(SUBSTITUTE($G1937,"-",""))),"-"," ",LEN($G1937)-LEN(SUBSTITUTE($G1937,"-",""))-1))-LEN(SUBSTITUTE(SUBSTITUTE(SUBSTITUTE($G1937,"-"," ",LEN($G1937)-LEN(SUBSTITUTE($G1937,"-",""))),"-"," ",LEN($G1937)-LEN(SUBSTITUTE($G1937,"-",""))-1),".","")))=0,SUBSTITUTE(SUBSTITUTE($G1937,"-"," ",LEN($G1937)-LEN(SUBSTITUTE($G1937,"-",""))),"-"," ",LEN($G1937)-LEN(SUBSTITUTE($G1937,"-",""))-1),SUBSTITUTE(SUBSTITUTE(SUBSTITUTE($G1937,"-"," ",LEN($G1937)-LEN(SUBSTITUTE($G1937,"-",""))),"-"," ",LEN($G1937)-LEN(SUBSTITUTE($G1937,"-",""))-1),"."," ",(LEN(SUBSTITUTE(SUBSTITUTE($G1937,"-"," ",LEN($G1937)-LEN(SUBSTITUTE($G1937,"-",""))),"-"," ",LEN($G1937)-LEN(SUBSTITUTE($G1937,"-",""))-1))-LEN(SUBSTITUTE(SUBSTITUTE(SUBSTITUTE($G1937,"-"," ",LEN($G1937)-LEN(SUBSTITUTE($G1937,"-",""))),"-"," ",LEN($G1937)-LEN(SUBSTITUTE($G1937,"-",""))-1),".",""))))),$G1937)))</f>
        <v/>
      </c>
    </row>
    <row r="1938">
      <c r="A1938" s="58" t="n"/>
      <c r="B1938" s="58">
        <f>IF($H1938="","",LEFT($H1938,FIND(" ",$H1938&amp;" ")-1))</f>
        <v/>
      </c>
      <c r="C1938" s="58">
        <f>IF($H1938="","",IFERROR(MID($H1938&amp;" ",FIND("|",SUBSTITUTE($H1938&amp;" "," ","|",1))+1,FIND("|",SUBSTITUTE($H1938&amp;" "," ","|",2))-FIND("|",SUBSTITUTE($H1938&amp;" "," ","|",1))-1),""))</f>
        <v/>
      </c>
      <c r="D1938" s="58">
        <f>IF($H1938="","",IFERROR(MID($H1938&amp;" ",FIND("|",SUBSTITUTE($H1938&amp;" "," ","|",2))+1,FIND("|",SUBSTITUTE($H1938&amp;" "," ","|",3))-FIND("|",SUBSTITUTE($H1938&amp;" "," ","|",2))-1),""))</f>
        <v/>
      </c>
      <c r="E1938" s="58">
        <f>IF($H1938="","",IFERROR(MID($H1938&amp;" ",FIND("|",SUBSTITUTE($H1938&amp;" "," ","|",3))+1,FIND("|",SUBSTITUTE($H1938&amp;" "," ","|",4))-FIND("|",SUBSTITUTE($H1938&amp;" "," ","|",3))-1),""))</f>
        <v/>
      </c>
      <c r="F1938" s="59">
        <f>IF($H1938="","",IFERROR(VALUE(IFERROR(MID($H1938&amp;" ",FIND("|",SUBSTITUTE($H1938&amp;" "," ","|",4))+1,FIND("|",SUBSTITUTE($H1938&amp;" "," ","|",5))-FIND("|",SUBSTITUTE($H1938&amp;" "," ","|",4))-1),""))/86400+25569+9/24,""))</f>
        <v/>
      </c>
      <c r="G1938" s="58">
        <f>TRIM(SUBSTITUTE(SUBSTITUTE(SUBSTITUTE($A1938,CHAR(9)," ")," "," "),CHAR(13),""))</f>
        <v/>
      </c>
      <c r="H1938" s="58">
        <f>IF($G1938="","",IF(ISNUMBER(FIND(" ",$G1938)),$G1938,IFERROR(IF((LEN(SUBSTITUTE(SUBSTITUTE($G1938,"-"," ",LEN($G1938)-LEN(SUBSTITUTE($G1938,"-",""))),"-"," ",LEN($G1938)-LEN(SUBSTITUTE($G1938,"-",""))-1))-LEN(SUBSTITUTE(SUBSTITUTE(SUBSTITUTE($G1938,"-"," ",LEN($G1938)-LEN(SUBSTITUTE($G1938,"-",""))),"-"," ",LEN($G1938)-LEN(SUBSTITUTE($G1938,"-",""))-1),".","")))=0,SUBSTITUTE(SUBSTITUTE($G1938,"-"," ",LEN($G1938)-LEN(SUBSTITUTE($G1938,"-",""))),"-"," ",LEN($G1938)-LEN(SUBSTITUTE($G1938,"-",""))-1),SUBSTITUTE(SUBSTITUTE(SUBSTITUTE($G1938,"-"," ",LEN($G1938)-LEN(SUBSTITUTE($G1938,"-",""))),"-"," ",LEN($G1938)-LEN(SUBSTITUTE($G1938,"-",""))-1),"."," ",(LEN(SUBSTITUTE(SUBSTITUTE($G1938,"-"," ",LEN($G1938)-LEN(SUBSTITUTE($G1938,"-",""))),"-"," ",LEN($G1938)-LEN(SUBSTITUTE($G1938,"-",""))-1))-LEN(SUBSTITUTE(SUBSTITUTE(SUBSTITUTE($G1938,"-"," ",LEN($G1938)-LEN(SUBSTITUTE($G1938,"-",""))),"-"," ",LEN($G1938)-LEN(SUBSTITUTE($G1938,"-",""))-1),".",""))))),$G1938)))</f>
        <v/>
      </c>
    </row>
    <row r="1939">
      <c r="A1939" s="58" t="n"/>
      <c r="B1939" s="58">
        <f>IF($H1939="","",LEFT($H1939,FIND(" ",$H1939&amp;" ")-1))</f>
        <v/>
      </c>
      <c r="C1939" s="58">
        <f>IF($H1939="","",IFERROR(MID($H1939&amp;" ",FIND("|",SUBSTITUTE($H1939&amp;" "," ","|",1))+1,FIND("|",SUBSTITUTE($H1939&amp;" "," ","|",2))-FIND("|",SUBSTITUTE($H1939&amp;" "," ","|",1))-1),""))</f>
        <v/>
      </c>
      <c r="D1939" s="58">
        <f>IF($H1939="","",IFERROR(MID($H1939&amp;" ",FIND("|",SUBSTITUTE($H1939&amp;" "," ","|",2))+1,FIND("|",SUBSTITUTE($H1939&amp;" "," ","|",3))-FIND("|",SUBSTITUTE($H1939&amp;" "," ","|",2))-1),""))</f>
        <v/>
      </c>
      <c r="E1939" s="58">
        <f>IF($H1939="","",IFERROR(MID($H1939&amp;" ",FIND("|",SUBSTITUTE($H1939&amp;" "," ","|",3))+1,FIND("|",SUBSTITUTE($H1939&amp;" "," ","|",4))-FIND("|",SUBSTITUTE($H1939&amp;" "," ","|",3))-1),""))</f>
        <v/>
      </c>
      <c r="F1939" s="59">
        <f>IF($H1939="","",IFERROR(VALUE(IFERROR(MID($H1939&amp;" ",FIND("|",SUBSTITUTE($H1939&amp;" "," ","|",4))+1,FIND("|",SUBSTITUTE($H1939&amp;" "," ","|",5))-FIND("|",SUBSTITUTE($H1939&amp;" "," ","|",4))-1),""))/86400+25569+9/24,""))</f>
        <v/>
      </c>
      <c r="G1939" s="58">
        <f>TRIM(SUBSTITUTE(SUBSTITUTE(SUBSTITUTE($A1939,CHAR(9)," ")," "," "),CHAR(13),""))</f>
        <v/>
      </c>
      <c r="H1939" s="58">
        <f>IF($G1939="","",IF(ISNUMBER(FIND(" ",$G1939)),$G1939,IFERROR(IF((LEN(SUBSTITUTE(SUBSTITUTE($G1939,"-"," ",LEN($G1939)-LEN(SUBSTITUTE($G1939,"-",""))),"-"," ",LEN($G1939)-LEN(SUBSTITUTE($G1939,"-",""))-1))-LEN(SUBSTITUTE(SUBSTITUTE(SUBSTITUTE($G1939,"-"," ",LEN($G1939)-LEN(SUBSTITUTE($G1939,"-",""))),"-"," ",LEN($G1939)-LEN(SUBSTITUTE($G1939,"-",""))-1),".","")))=0,SUBSTITUTE(SUBSTITUTE($G1939,"-"," ",LEN($G1939)-LEN(SUBSTITUTE($G1939,"-",""))),"-"," ",LEN($G1939)-LEN(SUBSTITUTE($G1939,"-",""))-1),SUBSTITUTE(SUBSTITUTE(SUBSTITUTE($G1939,"-"," ",LEN($G1939)-LEN(SUBSTITUTE($G1939,"-",""))),"-"," ",LEN($G1939)-LEN(SUBSTITUTE($G1939,"-",""))-1),"."," ",(LEN(SUBSTITUTE(SUBSTITUTE($G1939,"-"," ",LEN($G1939)-LEN(SUBSTITUTE($G1939,"-",""))),"-"," ",LEN($G1939)-LEN(SUBSTITUTE($G1939,"-",""))-1))-LEN(SUBSTITUTE(SUBSTITUTE(SUBSTITUTE($G1939,"-"," ",LEN($G1939)-LEN(SUBSTITUTE($G1939,"-",""))),"-"," ",LEN($G1939)-LEN(SUBSTITUTE($G1939,"-",""))-1),".",""))))),$G1939)))</f>
        <v/>
      </c>
    </row>
    <row r="1940">
      <c r="A1940" s="58" t="n"/>
      <c r="B1940" s="58">
        <f>IF($H1940="","",LEFT($H1940,FIND(" ",$H1940&amp;" ")-1))</f>
        <v/>
      </c>
      <c r="C1940" s="58">
        <f>IF($H1940="","",IFERROR(MID($H1940&amp;" ",FIND("|",SUBSTITUTE($H1940&amp;" "," ","|",1))+1,FIND("|",SUBSTITUTE($H1940&amp;" "," ","|",2))-FIND("|",SUBSTITUTE($H1940&amp;" "," ","|",1))-1),""))</f>
        <v/>
      </c>
      <c r="D1940" s="58">
        <f>IF($H1940="","",IFERROR(MID($H1940&amp;" ",FIND("|",SUBSTITUTE($H1940&amp;" "," ","|",2))+1,FIND("|",SUBSTITUTE($H1940&amp;" "," ","|",3))-FIND("|",SUBSTITUTE($H1940&amp;" "," ","|",2))-1),""))</f>
        <v/>
      </c>
      <c r="E1940" s="58">
        <f>IF($H1940="","",IFERROR(MID($H1940&amp;" ",FIND("|",SUBSTITUTE($H1940&amp;" "," ","|",3))+1,FIND("|",SUBSTITUTE($H1940&amp;" "," ","|",4))-FIND("|",SUBSTITUTE($H1940&amp;" "," ","|",3))-1),""))</f>
        <v/>
      </c>
      <c r="F1940" s="59">
        <f>IF($H1940="","",IFERROR(VALUE(IFERROR(MID($H1940&amp;" ",FIND("|",SUBSTITUTE($H1940&amp;" "," ","|",4))+1,FIND("|",SUBSTITUTE($H1940&amp;" "," ","|",5))-FIND("|",SUBSTITUTE($H1940&amp;" "," ","|",4))-1),""))/86400+25569+9/24,""))</f>
        <v/>
      </c>
      <c r="G1940" s="58">
        <f>TRIM(SUBSTITUTE(SUBSTITUTE(SUBSTITUTE($A1940,CHAR(9)," ")," "," "),CHAR(13),""))</f>
        <v/>
      </c>
      <c r="H1940" s="58">
        <f>IF($G1940="","",IF(ISNUMBER(FIND(" ",$G1940)),$G1940,IFERROR(IF((LEN(SUBSTITUTE(SUBSTITUTE($G1940,"-"," ",LEN($G1940)-LEN(SUBSTITUTE($G1940,"-",""))),"-"," ",LEN($G1940)-LEN(SUBSTITUTE($G1940,"-",""))-1))-LEN(SUBSTITUTE(SUBSTITUTE(SUBSTITUTE($G1940,"-"," ",LEN($G1940)-LEN(SUBSTITUTE($G1940,"-",""))),"-"," ",LEN($G1940)-LEN(SUBSTITUTE($G1940,"-",""))-1),".","")))=0,SUBSTITUTE(SUBSTITUTE($G1940,"-"," ",LEN($G1940)-LEN(SUBSTITUTE($G1940,"-",""))),"-"," ",LEN($G1940)-LEN(SUBSTITUTE($G1940,"-",""))-1),SUBSTITUTE(SUBSTITUTE(SUBSTITUTE($G1940,"-"," ",LEN($G1940)-LEN(SUBSTITUTE($G1940,"-",""))),"-"," ",LEN($G1940)-LEN(SUBSTITUTE($G1940,"-",""))-1),"."," ",(LEN(SUBSTITUTE(SUBSTITUTE($G1940,"-"," ",LEN($G1940)-LEN(SUBSTITUTE($G1940,"-",""))),"-"," ",LEN($G1940)-LEN(SUBSTITUTE($G1940,"-",""))-1))-LEN(SUBSTITUTE(SUBSTITUTE(SUBSTITUTE($G1940,"-"," ",LEN($G1940)-LEN(SUBSTITUTE($G1940,"-",""))),"-"," ",LEN($G1940)-LEN(SUBSTITUTE($G1940,"-",""))-1),".",""))))),$G1940)))</f>
        <v/>
      </c>
    </row>
    <row r="1941">
      <c r="A1941" s="58" t="n"/>
      <c r="B1941" s="58">
        <f>IF($H1941="","",LEFT($H1941,FIND(" ",$H1941&amp;" ")-1))</f>
        <v/>
      </c>
      <c r="C1941" s="58">
        <f>IF($H1941="","",IFERROR(MID($H1941&amp;" ",FIND("|",SUBSTITUTE($H1941&amp;" "," ","|",1))+1,FIND("|",SUBSTITUTE($H1941&amp;" "," ","|",2))-FIND("|",SUBSTITUTE($H1941&amp;" "," ","|",1))-1),""))</f>
        <v/>
      </c>
      <c r="D1941" s="58">
        <f>IF($H1941="","",IFERROR(MID($H1941&amp;" ",FIND("|",SUBSTITUTE($H1941&amp;" "," ","|",2))+1,FIND("|",SUBSTITUTE($H1941&amp;" "," ","|",3))-FIND("|",SUBSTITUTE($H1941&amp;" "," ","|",2))-1),""))</f>
        <v/>
      </c>
      <c r="E1941" s="58">
        <f>IF($H1941="","",IFERROR(MID($H1941&amp;" ",FIND("|",SUBSTITUTE($H1941&amp;" "," ","|",3))+1,FIND("|",SUBSTITUTE($H1941&amp;" "," ","|",4))-FIND("|",SUBSTITUTE($H1941&amp;" "," ","|",3))-1),""))</f>
        <v/>
      </c>
      <c r="F1941" s="59">
        <f>IF($H1941="","",IFERROR(VALUE(IFERROR(MID($H1941&amp;" ",FIND("|",SUBSTITUTE($H1941&amp;" "," ","|",4))+1,FIND("|",SUBSTITUTE($H1941&amp;" "," ","|",5))-FIND("|",SUBSTITUTE($H1941&amp;" "," ","|",4))-1),""))/86400+25569+9/24,""))</f>
        <v/>
      </c>
      <c r="G1941" s="58">
        <f>TRIM(SUBSTITUTE(SUBSTITUTE(SUBSTITUTE($A1941,CHAR(9)," ")," "," "),CHAR(13),""))</f>
        <v/>
      </c>
      <c r="H1941" s="58">
        <f>IF($G1941="","",IF(ISNUMBER(FIND(" ",$G1941)),$G1941,IFERROR(IF((LEN(SUBSTITUTE(SUBSTITUTE($G1941,"-"," ",LEN($G1941)-LEN(SUBSTITUTE($G1941,"-",""))),"-"," ",LEN($G1941)-LEN(SUBSTITUTE($G1941,"-",""))-1))-LEN(SUBSTITUTE(SUBSTITUTE(SUBSTITUTE($G1941,"-"," ",LEN($G1941)-LEN(SUBSTITUTE($G1941,"-",""))),"-"," ",LEN($G1941)-LEN(SUBSTITUTE($G1941,"-",""))-1),".","")))=0,SUBSTITUTE(SUBSTITUTE($G1941,"-"," ",LEN($G1941)-LEN(SUBSTITUTE($G1941,"-",""))),"-"," ",LEN($G1941)-LEN(SUBSTITUTE($G1941,"-",""))-1),SUBSTITUTE(SUBSTITUTE(SUBSTITUTE($G1941,"-"," ",LEN($G1941)-LEN(SUBSTITUTE($G1941,"-",""))),"-"," ",LEN($G1941)-LEN(SUBSTITUTE($G1941,"-",""))-1),"."," ",(LEN(SUBSTITUTE(SUBSTITUTE($G1941,"-"," ",LEN($G1941)-LEN(SUBSTITUTE($G1941,"-",""))),"-"," ",LEN($G1941)-LEN(SUBSTITUTE($G1941,"-",""))-1))-LEN(SUBSTITUTE(SUBSTITUTE(SUBSTITUTE($G1941,"-"," ",LEN($G1941)-LEN(SUBSTITUTE($G1941,"-",""))),"-"," ",LEN($G1941)-LEN(SUBSTITUTE($G1941,"-",""))-1),".",""))))),$G1941)))</f>
        <v/>
      </c>
    </row>
    <row r="1942">
      <c r="A1942" s="58" t="n"/>
      <c r="B1942" s="58">
        <f>IF($H1942="","",LEFT($H1942,FIND(" ",$H1942&amp;" ")-1))</f>
        <v/>
      </c>
      <c r="C1942" s="58">
        <f>IF($H1942="","",IFERROR(MID($H1942&amp;" ",FIND("|",SUBSTITUTE($H1942&amp;" "," ","|",1))+1,FIND("|",SUBSTITUTE($H1942&amp;" "," ","|",2))-FIND("|",SUBSTITUTE($H1942&amp;" "," ","|",1))-1),""))</f>
        <v/>
      </c>
      <c r="D1942" s="58">
        <f>IF($H1942="","",IFERROR(MID($H1942&amp;" ",FIND("|",SUBSTITUTE($H1942&amp;" "," ","|",2))+1,FIND("|",SUBSTITUTE($H1942&amp;" "," ","|",3))-FIND("|",SUBSTITUTE($H1942&amp;" "," ","|",2))-1),""))</f>
        <v/>
      </c>
      <c r="E1942" s="58">
        <f>IF($H1942="","",IFERROR(MID($H1942&amp;" ",FIND("|",SUBSTITUTE($H1942&amp;" "," ","|",3))+1,FIND("|",SUBSTITUTE($H1942&amp;" "," ","|",4))-FIND("|",SUBSTITUTE($H1942&amp;" "," ","|",3))-1),""))</f>
        <v/>
      </c>
      <c r="F1942" s="59">
        <f>IF($H1942="","",IFERROR(VALUE(IFERROR(MID($H1942&amp;" ",FIND("|",SUBSTITUTE($H1942&amp;" "," ","|",4))+1,FIND("|",SUBSTITUTE($H1942&amp;" "," ","|",5))-FIND("|",SUBSTITUTE($H1942&amp;" "," ","|",4))-1),""))/86400+25569+9/24,""))</f>
        <v/>
      </c>
      <c r="G1942" s="58">
        <f>TRIM(SUBSTITUTE(SUBSTITUTE(SUBSTITUTE($A1942,CHAR(9)," ")," "," "),CHAR(13),""))</f>
        <v/>
      </c>
      <c r="H1942" s="58">
        <f>IF($G1942="","",IF(ISNUMBER(FIND(" ",$G1942)),$G1942,IFERROR(IF((LEN(SUBSTITUTE(SUBSTITUTE($G1942,"-"," ",LEN($G1942)-LEN(SUBSTITUTE($G1942,"-",""))),"-"," ",LEN($G1942)-LEN(SUBSTITUTE($G1942,"-",""))-1))-LEN(SUBSTITUTE(SUBSTITUTE(SUBSTITUTE($G1942,"-"," ",LEN($G1942)-LEN(SUBSTITUTE($G1942,"-",""))),"-"," ",LEN($G1942)-LEN(SUBSTITUTE($G1942,"-",""))-1),".","")))=0,SUBSTITUTE(SUBSTITUTE($G1942,"-"," ",LEN($G1942)-LEN(SUBSTITUTE($G1942,"-",""))),"-"," ",LEN($G1942)-LEN(SUBSTITUTE($G1942,"-",""))-1),SUBSTITUTE(SUBSTITUTE(SUBSTITUTE($G1942,"-"," ",LEN($G1942)-LEN(SUBSTITUTE($G1942,"-",""))),"-"," ",LEN($G1942)-LEN(SUBSTITUTE($G1942,"-",""))-1),"."," ",(LEN(SUBSTITUTE(SUBSTITUTE($G1942,"-"," ",LEN($G1942)-LEN(SUBSTITUTE($G1942,"-",""))),"-"," ",LEN($G1942)-LEN(SUBSTITUTE($G1942,"-",""))-1))-LEN(SUBSTITUTE(SUBSTITUTE(SUBSTITUTE($G1942,"-"," ",LEN($G1942)-LEN(SUBSTITUTE($G1942,"-",""))),"-"," ",LEN($G1942)-LEN(SUBSTITUTE($G1942,"-",""))-1),".",""))))),$G1942)))</f>
        <v/>
      </c>
    </row>
    <row r="1943">
      <c r="A1943" s="58" t="n"/>
      <c r="B1943" s="58">
        <f>IF($H1943="","",LEFT($H1943,FIND(" ",$H1943&amp;" ")-1))</f>
        <v/>
      </c>
      <c r="C1943" s="58">
        <f>IF($H1943="","",IFERROR(MID($H1943&amp;" ",FIND("|",SUBSTITUTE($H1943&amp;" "," ","|",1))+1,FIND("|",SUBSTITUTE($H1943&amp;" "," ","|",2))-FIND("|",SUBSTITUTE($H1943&amp;" "," ","|",1))-1),""))</f>
        <v/>
      </c>
      <c r="D1943" s="58">
        <f>IF($H1943="","",IFERROR(MID($H1943&amp;" ",FIND("|",SUBSTITUTE($H1943&amp;" "," ","|",2))+1,FIND("|",SUBSTITUTE($H1943&amp;" "," ","|",3))-FIND("|",SUBSTITUTE($H1943&amp;" "," ","|",2))-1),""))</f>
        <v/>
      </c>
      <c r="E1943" s="58">
        <f>IF($H1943="","",IFERROR(MID($H1943&amp;" ",FIND("|",SUBSTITUTE($H1943&amp;" "," ","|",3))+1,FIND("|",SUBSTITUTE($H1943&amp;" "," ","|",4))-FIND("|",SUBSTITUTE($H1943&amp;" "," ","|",3))-1),""))</f>
        <v/>
      </c>
      <c r="F1943" s="59">
        <f>IF($H1943="","",IFERROR(VALUE(IFERROR(MID($H1943&amp;" ",FIND("|",SUBSTITUTE($H1943&amp;" "," ","|",4))+1,FIND("|",SUBSTITUTE($H1943&amp;" "," ","|",5))-FIND("|",SUBSTITUTE($H1943&amp;" "," ","|",4))-1),""))/86400+25569+9/24,""))</f>
        <v/>
      </c>
      <c r="G1943" s="58">
        <f>TRIM(SUBSTITUTE(SUBSTITUTE(SUBSTITUTE($A1943,CHAR(9)," ")," "," "),CHAR(13),""))</f>
        <v/>
      </c>
      <c r="H1943" s="58">
        <f>IF($G1943="","",IF(ISNUMBER(FIND(" ",$G1943)),$G1943,IFERROR(IF((LEN(SUBSTITUTE(SUBSTITUTE($G1943,"-"," ",LEN($G1943)-LEN(SUBSTITUTE($G1943,"-",""))),"-"," ",LEN($G1943)-LEN(SUBSTITUTE($G1943,"-",""))-1))-LEN(SUBSTITUTE(SUBSTITUTE(SUBSTITUTE($G1943,"-"," ",LEN($G1943)-LEN(SUBSTITUTE($G1943,"-",""))),"-"," ",LEN($G1943)-LEN(SUBSTITUTE($G1943,"-",""))-1),".","")))=0,SUBSTITUTE(SUBSTITUTE($G1943,"-"," ",LEN($G1943)-LEN(SUBSTITUTE($G1943,"-",""))),"-"," ",LEN($G1943)-LEN(SUBSTITUTE($G1943,"-",""))-1),SUBSTITUTE(SUBSTITUTE(SUBSTITUTE($G1943,"-"," ",LEN($G1943)-LEN(SUBSTITUTE($G1943,"-",""))),"-"," ",LEN($G1943)-LEN(SUBSTITUTE($G1943,"-",""))-1),"."," ",(LEN(SUBSTITUTE(SUBSTITUTE($G1943,"-"," ",LEN($G1943)-LEN(SUBSTITUTE($G1943,"-",""))),"-"," ",LEN($G1943)-LEN(SUBSTITUTE($G1943,"-",""))-1))-LEN(SUBSTITUTE(SUBSTITUTE(SUBSTITUTE($G1943,"-"," ",LEN($G1943)-LEN(SUBSTITUTE($G1943,"-",""))),"-"," ",LEN($G1943)-LEN(SUBSTITUTE($G1943,"-",""))-1),".",""))))),$G1943)))</f>
        <v/>
      </c>
    </row>
    <row r="1944">
      <c r="A1944" s="58" t="n"/>
      <c r="B1944" s="58">
        <f>IF($H1944="","",LEFT($H1944,FIND(" ",$H1944&amp;" ")-1))</f>
        <v/>
      </c>
      <c r="C1944" s="58">
        <f>IF($H1944="","",IFERROR(MID($H1944&amp;" ",FIND("|",SUBSTITUTE($H1944&amp;" "," ","|",1))+1,FIND("|",SUBSTITUTE($H1944&amp;" "," ","|",2))-FIND("|",SUBSTITUTE($H1944&amp;" "," ","|",1))-1),""))</f>
        <v/>
      </c>
      <c r="D1944" s="58">
        <f>IF($H1944="","",IFERROR(MID($H1944&amp;" ",FIND("|",SUBSTITUTE($H1944&amp;" "," ","|",2))+1,FIND("|",SUBSTITUTE($H1944&amp;" "," ","|",3))-FIND("|",SUBSTITUTE($H1944&amp;" "," ","|",2))-1),""))</f>
        <v/>
      </c>
      <c r="E1944" s="58">
        <f>IF($H1944="","",IFERROR(MID($H1944&amp;" ",FIND("|",SUBSTITUTE($H1944&amp;" "," ","|",3))+1,FIND("|",SUBSTITUTE($H1944&amp;" "," ","|",4))-FIND("|",SUBSTITUTE($H1944&amp;" "," ","|",3))-1),""))</f>
        <v/>
      </c>
      <c r="F1944" s="59">
        <f>IF($H1944="","",IFERROR(VALUE(IFERROR(MID($H1944&amp;" ",FIND("|",SUBSTITUTE($H1944&amp;" "," ","|",4))+1,FIND("|",SUBSTITUTE($H1944&amp;" "," ","|",5))-FIND("|",SUBSTITUTE($H1944&amp;" "," ","|",4))-1),""))/86400+25569+9/24,""))</f>
        <v/>
      </c>
      <c r="G1944" s="58">
        <f>TRIM(SUBSTITUTE(SUBSTITUTE(SUBSTITUTE($A1944,CHAR(9)," ")," "," "),CHAR(13),""))</f>
        <v/>
      </c>
      <c r="H1944" s="58">
        <f>IF($G1944="","",IF(ISNUMBER(FIND(" ",$G1944)),$G1944,IFERROR(IF((LEN(SUBSTITUTE(SUBSTITUTE($G1944,"-"," ",LEN($G1944)-LEN(SUBSTITUTE($G1944,"-",""))),"-"," ",LEN($G1944)-LEN(SUBSTITUTE($G1944,"-",""))-1))-LEN(SUBSTITUTE(SUBSTITUTE(SUBSTITUTE($G1944,"-"," ",LEN($G1944)-LEN(SUBSTITUTE($G1944,"-",""))),"-"," ",LEN($G1944)-LEN(SUBSTITUTE($G1944,"-",""))-1),".","")))=0,SUBSTITUTE(SUBSTITUTE($G1944,"-"," ",LEN($G1944)-LEN(SUBSTITUTE($G1944,"-",""))),"-"," ",LEN($G1944)-LEN(SUBSTITUTE($G1944,"-",""))-1),SUBSTITUTE(SUBSTITUTE(SUBSTITUTE($G1944,"-"," ",LEN($G1944)-LEN(SUBSTITUTE($G1944,"-",""))),"-"," ",LEN($G1944)-LEN(SUBSTITUTE($G1944,"-",""))-1),"."," ",(LEN(SUBSTITUTE(SUBSTITUTE($G1944,"-"," ",LEN($G1944)-LEN(SUBSTITUTE($G1944,"-",""))),"-"," ",LEN($G1944)-LEN(SUBSTITUTE($G1944,"-",""))-1))-LEN(SUBSTITUTE(SUBSTITUTE(SUBSTITUTE($G1944,"-"," ",LEN($G1944)-LEN(SUBSTITUTE($G1944,"-",""))),"-"," ",LEN($G1944)-LEN(SUBSTITUTE($G1944,"-",""))-1),".",""))))),$G1944)))</f>
        <v/>
      </c>
    </row>
    <row r="1945">
      <c r="A1945" s="58" t="n"/>
      <c r="B1945" s="58">
        <f>IF($H1945="","",LEFT($H1945,FIND(" ",$H1945&amp;" ")-1))</f>
        <v/>
      </c>
      <c r="C1945" s="58">
        <f>IF($H1945="","",IFERROR(MID($H1945&amp;" ",FIND("|",SUBSTITUTE($H1945&amp;" "," ","|",1))+1,FIND("|",SUBSTITUTE($H1945&amp;" "," ","|",2))-FIND("|",SUBSTITUTE($H1945&amp;" "," ","|",1))-1),""))</f>
        <v/>
      </c>
      <c r="D1945" s="58">
        <f>IF($H1945="","",IFERROR(MID($H1945&amp;" ",FIND("|",SUBSTITUTE($H1945&amp;" "," ","|",2))+1,FIND("|",SUBSTITUTE($H1945&amp;" "," ","|",3))-FIND("|",SUBSTITUTE($H1945&amp;" "," ","|",2))-1),""))</f>
        <v/>
      </c>
      <c r="E1945" s="58">
        <f>IF($H1945="","",IFERROR(MID($H1945&amp;" ",FIND("|",SUBSTITUTE($H1945&amp;" "," ","|",3))+1,FIND("|",SUBSTITUTE($H1945&amp;" "," ","|",4))-FIND("|",SUBSTITUTE($H1945&amp;" "," ","|",3))-1),""))</f>
        <v/>
      </c>
      <c r="F1945" s="59">
        <f>IF($H1945="","",IFERROR(VALUE(IFERROR(MID($H1945&amp;" ",FIND("|",SUBSTITUTE($H1945&amp;" "," ","|",4))+1,FIND("|",SUBSTITUTE($H1945&amp;" "," ","|",5))-FIND("|",SUBSTITUTE($H1945&amp;" "," ","|",4))-1),""))/86400+25569+9/24,""))</f>
        <v/>
      </c>
      <c r="G1945" s="58">
        <f>TRIM(SUBSTITUTE(SUBSTITUTE(SUBSTITUTE($A1945,CHAR(9)," ")," "," "),CHAR(13),""))</f>
        <v/>
      </c>
      <c r="H1945" s="58">
        <f>IF($G1945="","",IF(ISNUMBER(FIND(" ",$G1945)),$G1945,IFERROR(IF((LEN(SUBSTITUTE(SUBSTITUTE($G1945,"-"," ",LEN($G1945)-LEN(SUBSTITUTE($G1945,"-",""))),"-"," ",LEN($G1945)-LEN(SUBSTITUTE($G1945,"-",""))-1))-LEN(SUBSTITUTE(SUBSTITUTE(SUBSTITUTE($G1945,"-"," ",LEN($G1945)-LEN(SUBSTITUTE($G1945,"-",""))),"-"," ",LEN($G1945)-LEN(SUBSTITUTE($G1945,"-",""))-1),".","")))=0,SUBSTITUTE(SUBSTITUTE($G1945,"-"," ",LEN($G1945)-LEN(SUBSTITUTE($G1945,"-",""))),"-"," ",LEN($G1945)-LEN(SUBSTITUTE($G1945,"-",""))-1),SUBSTITUTE(SUBSTITUTE(SUBSTITUTE($G1945,"-"," ",LEN($G1945)-LEN(SUBSTITUTE($G1945,"-",""))),"-"," ",LEN($G1945)-LEN(SUBSTITUTE($G1945,"-",""))-1),"."," ",(LEN(SUBSTITUTE(SUBSTITUTE($G1945,"-"," ",LEN($G1945)-LEN(SUBSTITUTE($G1945,"-",""))),"-"," ",LEN($G1945)-LEN(SUBSTITUTE($G1945,"-",""))-1))-LEN(SUBSTITUTE(SUBSTITUTE(SUBSTITUTE($G1945,"-"," ",LEN($G1945)-LEN(SUBSTITUTE($G1945,"-",""))),"-"," ",LEN($G1945)-LEN(SUBSTITUTE($G1945,"-",""))-1),".",""))))),$G1945)))</f>
        <v/>
      </c>
    </row>
    <row r="1946">
      <c r="A1946" s="58" t="n"/>
      <c r="B1946" s="58">
        <f>IF($H1946="","",LEFT($H1946,FIND(" ",$H1946&amp;" ")-1))</f>
        <v/>
      </c>
      <c r="C1946" s="58">
        <f>IF($H1946="","",IFERROR(MID($H1946&amp;" ",FIND("|",SUBSTITUTE($H1946&amp;" "," ","|",1))+1,FIND("|",SUBSTITUTE($H1946&amp;" "," ","|",2))-FIND("|",SUBSTITUTE($H1946&amp;" "," ","|",1))-1),""))</f>
        <v/>
      </c>
      <c r="D1946" s="58">
        <f>IF($H1946="","",IFERROR(MID($H1946&amp;" ",FIND("|",SUBSTITUTE($H1946&amp;" "," ","|",2))+1,FIND("|",SUBSTITUTE($H1946&amp;" "," ","|",3))-FIND("|",SUBSTITUTE($H1946&amp;" "," ","|",2))-1),""))</f>
        <v/>
      </c>
      <c r="E1946" s="58">
        <f>IF($H1946="","",IFERROR(MID($H1946&amp;" ",FIND("|",SUBSTITUTE($H1946&amp;" "," ","|",3))+1,FIND("|",SUBSTITUTE($H1946&amp;" "," ","|",4))-FIND("|",SUBSTITUTE($H1946&amp;" "," ","|",3))-1),""))</f>
        <v/>
      </c>
      <c r="F1946" s="59">
        <f>IF($H1946="","",IFERROR(VALUE(IFERROR(MID($H1946&amp;" ",FIND("|",SUBSTITUTE($H1946&amp;" "," ","|",4))+1,FIND("|",SUBSTITUTE($H1946&amp;" "," ","|",5))-FIND("|",SUBSTITUTE($H1946&amp;" "," ","|",4))-1),""))/86400+25569+9/24,""))</f>
        <v/>
      </c>
      <c r="G1946" s="58">
        <f>TRIM(SUBSTITUTE(SUBSTITUTE(SUBSTITUTE($A1946,CHAR(9)," ")," "," "),CHAR(13),""))</f>
        <v/>
      </c>
      <c r="H1946" s="58">
        <f>IF($G1946="","",IF(ISNUMBER(FIND(" ",$G1946)),$G1946,IFERROR(IF((LEN(SUBSTITUTE(SUBSTITUTE($G1946,"-"," ",LEN($G1946)-LEN(SUBSTITUTE($G1946,"-",""))),"-"," ",LEN($G1946)-LEN(SUBSTITUTE($G1946,"-",""))-1))-LEN(SUBSTITUTE(SUBSTITUTE(SUBSTITUTE($G1946,"-"," ",LEN($G1946)-LEN(SUBSTITUTE($G1946,"-",""))),"-"," ",LEN($G1946)-LEN(SUBSTITUTE($G1946,"-",""))-1),".","")))=0,SUBSTITUTE(SUBSTITUTE($G1946,"-"," ",LEN($G1946)-LEN(SUBSTITUTE($G1946,"-",""))),"-"," ",LEN($G1946)-LEN(SUBSTITUTE($G1946,"-",""))-1),SUBSTITUTE(SUBSTITUTE(SUBSTITUTE($G1946,"-"," ",LEN($G1946)-LEN(SUBSTITUTE($G1946,"-",""))),"-"," ",LEN($G1946)-LEN(SUBSTITUTE($G1946,"-",""))-1),"."," ",(LEN(SUBSTITUTE(SUBSTITUTE($G1946,"-"," ",LEN($G1946)-LEN(SUBSTITUTE($G1946,"-",""))),"-"," ",LEN($G1946)-LEN(SUBSTITUTE($G1946,"-",""))-1))-LEN(SUBSTITUTE(SUBSTITUTE(SUBSTITUTE($G1946,"-"," ",LEN($G1946)-LEN(SUBSTITUTE($G1946,"-",""))),"-"," ",LEN($G1946)-LEN(SUBSTITUTE($G1946,"-",""))-1),".",""))))),$G1946)))</f>
        <v/>
      </c>
    </row>
    <row r="1947">
      <c r="A1947" s="58" t="n"/>
      <c r="B1947" s="58">
        <f>IF($H1947="","",LEFT($H1947,FIND(" ",$H1947&amp;" ")-1))</f>
        <v/>
      </c>
      <c r="C1947" s="58">
        <f>IF($H1947="","",IFERROR(MID($H1947&amp;" ",FIND("|",SUBSTITUTE($H1947&amp;" "," ","|",1))+1,FIND("|",SUBSTITUTE($H1947&amp;" "," ","|",2))-FIND("|",SUBSTITUTE($H1947&amp;" "," ","|",1))-1),""))</f>
        <v/>
      </c>
      <c r="D1947" s="58">
        <f>IF($H1947="","",IFERROR(MID($H1947&amp;" ",FIND("|",SUBSTITUTE($H1947&amp;" "," ","|",2))+1,FIND("|",SUBSTITUTE($H1947&amp;" "," ","|",3))-FIND("|",SUBSTITUTE($H1947&amp;" "," ","|",2))-1),""))</f>
        <v/>
      </c>
      <c r="E1947" s="58">
        <f>IF($H1947="","",IFERROR(MID($H1947&amp;" ",FIND("|",SUBSTITUTE($H1947&amp;" "," ","|",3))+1,FIND("|",SUBSTITUTE($H1947&amp;" "," ","|",4))-FIND("|",SUBSTITUTE($H1947&amp;" "," ","|",3))-1),""))</f>
        <v/>
      </c>
      <c r="F1947" s="59">
        <f>IF($H1947="","",IFERROR(VALUE(IFERROR(MID($H1947&amp;" ",FIND("|",SUBSTITUTE($H1947&amp;" "," ","|",4))+1,FIND("|",SUBSTITUTE($H1947&amp;" "," ","|",5))-FIND("|",SUBSTITUTE($H1947&amp;" "," ","|",4))-1),""))/86400+25569+9/24,""))</f>
        <v/>
      </c>
      <c r="G1947" s="58">
        <f>TRIM(SUBSTITUTE(SUBSTITUTE(SUBSTITUTE($A1947,CHAR(9)," ")," "," "),CHAR(13),""))</f>
        <v/>
      </c>
      <c r="H1947" s="58">
        <f>IF($G1947="","",IF(ISNUMBER(FIND(" ",$G1947)),$G1947,IFERROR(IF((LEN(SUBSTITUTE(SUBSTITUTE($G1947,"-"," ",LEN($G1947)-LEN(SUBSTITUTE($G1947,"-",""))),"-"," ",LEN($G1947)-LEN(SUBSTITUTE($G1947,"-",""))-1))-LEN(SUBSTITUTE(SUBSTITUTE(SUBSTITUTE($G1947,"-"," ",LEN($G1947)-LEN(SUBSTITUTE($G1947,"-",""))),"-"," ",LEN($G1947)-LEN(SUBSTITUTE($G1947,"-",""))-1),".","")))=0,SUBSTITUTE(SUBSTITUTE($G1947,"-"," ",LEN($G1947)-LEN(SUBSTITUTE($G1947,"-",""))),"-"," ",LEN($G1947)-LEN(SUBSTITUTE($G1947,"-",""))-1),SUBSTITUTE(SUBSTITUTE(SUBSTITUTE($G1947,"-"," ",LEN($G1947)-LEN(SUBSTITUTE($G1947,"-",""))),"-"," ",LEN($G1947)-LEN(SUBSTITUTE($G1947,"-",""))-1),"."," ",(LEN(SUBSTITUTE(SUBSTITUTE($G1947,"-"," ",LEN($G1947)-LEN(SUBSTITUTE($G1947,"-",""))),"-"," ",LEN($G1947)-LEN(SUBSTITUTE($G1947,"-",""))-1))-LEN(SUBSTITUTE(SUBSTITUTE(SUBSTITUTE($G1947,"-"," ",LEN($G1947)-LEN(SUBSTITUTE($G1947,"-",""))),"-"," ",LEN($G1947)-LEN(SUBSTITUTE($G1947,"-",""))-1),".",""))))),$G1947)))</f>
        <v/>
      </c>
    </row>
    <row r="1948">
      <c r="A1948" s="58" t="n"/>
      <c r="B1948" s="58">
        <f>IF($H1948="","",LEFT($H1948,FIND(" ",$H1948&amp;" ")-1))</f>
        <v/>
      </c>
      <c r="C1948" s="58">
        <f>IF($H1948="","",IFERROR(MID($H1948&amp;" ",FIND("|",SUBSTITUTE($H1948&amp;" "," ","|",1))+1,FIND("|",SUBSTITUTE($H1948&amp;" "," ","|",2))-FIND("|",SUBSTITUTE($H1948&amp;" "," ","|",1))-1),""))</f>
        <v/>
      </c>
      <c r="D1948" s="58">
        <f>IF($H1948="","",IFERROR(MID($H1948&amp;" ",FIND("|",SUBSTITUTE($H1948&amp;" "," ","|",2))+1,FIND("|",SUBSTITUTE($H1948&amp;" "," ","|",3))-FIND("|",SUBSTITUTE($H1948&amp;" "," ","|",2))-1),""))</f>
        <v/>
      </c>
      <c r="E1948" s="58">
        <f>IF($H1948="","",IFERROR(MID($H1948&amp;" ",FIND("|",SUBSTITUTE($H1948&amp;" "," ","|",3))+1,FIND("|",SUBSTITUTE($H1948&amp;" "," ","|",4))-FIND("|",SUBSTITUTE($H1948&amp;" "," ","|",3))-1),""))</f>
        <v/>
      </c>
      <c r="F1948" s="59">
        <f>IF($H1948="","",IFERROR(VALUE(IFERROR(MID($H1948&amp;" ",FIND("|",SUBSTITUTE($H1948&amp;" "," ","|",4))+1,FIND("|",SUBSTITUTE($H1948&amp;" "," ","|",5))-FIND("|",SUBSTITUTE($H1948&amp;" "," ","|",4))-1),""))/86400+25569+9/24,""))</f>
        <v/>
      </c>
      <c r="G1948" s="58">
        <f>TRIM(SUBSTITUTE(SUBSTITUTE(SUBSTITUTE($A1948,CHAR(9)," ")," "," "),CHAR(13),""))</f>
        <v/>
      </c>
      <c r="H1948" s="58">
        <f>IF($G1948="","",IF(ISNUMBER(FIND(" ",$G1948)),$G1948,IFERROR(IF((LEN(SUBSTITUTE(SUBSTITUTE($G1948,"-"," ",LEN($G1948)-LEN(SUBSTITUTE($G1948,"-",""))),"-"," ",LEN($G1948)-LEN(SUBSTITUTE($G1948,"-",""))-1))-LEN(SUBSTITUTE(SUBSTITUTE(SUBSTITUTE($G1948,"-"," ",LEN($G1948)-LEN(SUBSTITUTE($G1948,"-",""))),"-"," ",LEN($G1948)-LEN(SUBSTITUTE($G1948,"-",""))-1),".","")))=0,SUBSTITUTE(SUBSTITUTE($G1948,"-"," ",LEN($G1948)-LEN(SUBSTITUTE($G1948,"-",""))),"-"," ",LEN($G1948)-LEN(SUBSTITUTE($G1948,"-",""))-1),SUBSTITUTE(SUBSTITUTE(SUBSTITUTE($G1948,"-"," ",LEN($G1948)-LEN(SUBSTITUTE($G1948,"-",""))),"-"," ",LEN($G1948)-LEN(SUBSTITUTE($G1948,"-",""))-1),"."," ",(LEN(SUBSTITUTE(SUBSTITUTE($G1948,"-"," ",LEN($G1948)-LEN(SUBSTITUTE($G1948,"-",""))),"-"," ",LEN($G1948)-LEN(SUBSTITUTE($G1948,"-",""))-1))-LEN(SUBSTITUTE(SUBSTITUTE(SUBSTITUTE($G1948,"-"," ",LEN($G1948)-LEN(SUBSTITUTE($G1948,"-",""))),"-"," ",LEN($G1948)-LEN(SUBSTITUTE($G1948,"-",""))-1),".",""))))),$G1948)))</f>
        <v/>
      </c>
    </row>
    <row r="1949">
      <c r="A1949" s="58" t="n"/>
      <c r="B1949" s="58">
        <f>IF($H1949="","",LEFT($H1949,FIND(" ",$H1949&amp;" ")-1))</f>
        <v/>
      </c>
      <c r="C1949" s="58">
        <f>IF($H1949="","",IFERROR(MID($H1949&amp;" ",FIND("|",SUBSTITUTE($H1949&amp;" "," ","|",1))+1,FIND("|",SUBSTITUTE($H1949&amp;" "," ","|",2))-FIND("|",SUBSTITUTE($H1949&amp;" "," ","|",1))-1),""))</f>
        <v/>
      </c>
      <c r="D1949" s="58">
        <f>IF($H1949="","",IFERROR(MID($H1949&amp;" ",FIND("|",SUBSTITUTE($H1949&amp;" "," ","|",2))+1,FIND("|",SUBSTITUTE($H1949&amp;" "," ","|",3))-FIND("|",SUBSTITUTE($H1949&amp;" "," ","|",2))-1),""))</f>
        <v/>
      </c>
      <c r="E1949" s="58">
        <f>IF($H1949="","",IFERROR(MID($H1949&amp;" ",FIND("|",SUBSTITUTE($H1949&amp;" "," ","|",3))+1,FIND("|",SUBSTITUTE($H1949&amp;" "," ","|",4))-FIND("|",SUBSTITUTE($H1949&amp;" "," ","|",3))-1),""))</f>
        <v/>
      </c>
      <c r="F1949" s="59">
        <f>IF($H1949="","",IFERROR(VALUE(IFERROR(MID($H1949&amp;" ",FIND("|",SUBSTITUTE($H1949&amp;" "," ","|",4))+1,FIND("|",SUBSTITUTE($H1949&amp;" "," ","|",5))-FIND("|",SUBSTITUTE($H1949&amp;" "," ","|",4))-1),""))/86400+25569+9/24,""))</f>
        <v/>
      </c>
      <c r="G1949" s="58">
        <f>TRIM(SUBSTITUTE(SUBSTITUTE(SUBSTITUTE($A1949,CHAR(9)," ")," "," "),CHAR(13),""))</f>
        <v/>
      </c>
      <c r="H1949" s="58">
        <f>IF($G1949="","",IF(ISNUMBER(FIND(" ",$G1949)),$G1949,IFERROR(IF((LEN(SUBSTITUTE(SUBSTITUTE($G1949,"-"," ",LEN($G1949)-LEN(SUBSTITUTE($G1949,"-",""))),"-"," ",LEN($G1949)-LEN(SUBSTITUTE($G1949,"-",""))-1))-LEN(SUBSTITUTE(SUBSTITUTE(SUBSTITUTE($G1949,"-"," ",LEN($G1949)-LEN(SUBSTITUTE($G1949,"-",""))),"-"," ",LEN($G1949)-LEN(SUBSTITUTE($G1949,"-",""))-1),".","")))=0,SUBSTITUTE(SUBSTITUTE($G1949,"-"," ",LEN($G1949)-LEN(SUBSTITUTE($G1949,"-",""))),"-"," ",LEN($G1949)-LEN(SUBSTITUTE($G1949,"-",""))-1),SUBSTITUTE(SUBSTITUTE(SUBSTITUTE($G1949,"-"," ",LEN($G1949)-LEN(SUBSTITUTE($G1949,"-",""))),"-"," ",LEN($G1949)-LEN(SUBSTITUTE($G1949,"-",""))-1),"."," ",(LEN(SUBSTITUTE(SUBSTITUTE($G1949,"-"," ",LEN($G1949)-LEN(SUBSTITUTE($G1949,"-",""))),"-"," ",LEN($G1949)-LEN(SUBSTITUTE($G1949,"-",""))-1))-LEN(SUBSTITUTE(SUBSTITUTE(SUBSTITUTE($G1949,"-"," ",LEN($G1949)-LEN(SUBSTITUTE($G1949,"-",""))),"-"," ",LEN($G1949)-LEN(SUBSTITUTE($G1949,"-",""))-1),".",""))))),$G1949)))</f>
        <v/>
      </c>
    </row>
    <row r="1950">
      <c r="A1950" s="58" t="n"/>
      <c r="B1950" s="58">
        <f>IF($H1950="","",LEFT($H1950,FIND(" ",$H1950&amp;" ")-1))</f>
        <v/>
      </c>
      <c r="C1950" s="58">
        <f>IF($H1950="","",IFERROR(MID($H1950&amp;" ",FIND("|",SUBSTITUTE($H1950&amp;" "," ","|",1))+1,FIND("|",SUBSTITUTE($H1950&amp;" "," ","|",2))-FIND("|",SUBSTITUTE($H1950&amp;" "," ","|",1))-1),""))</f>
        <v/>
      </c>
      <c r="D1950" s="58">
        <f>IF($H1950="","",IFERROR(MID($H1950&amp;" ",FIND("|",SUBSTITUTE($H1950&amp;" "," ","|",2))+1,FIND("|",SUBSTITUTE($H1950&amp;" "," ","|",3))-FIND("|",SUBSTITUTE($H1950&amp;" "," ","|",2))-1),""))</f>
        <v/>
      </c>
      <c r="E1950" s="58">
        <f>IF($H1950="","",IFERROR(MID($H1950&amp;" ",FIND("|",SUBSTITUTE($H1950&amp;" "," ","|",3))+1,FIND("|",SUBSTITUTE($H1950&amp;" "," ","|",4))-FIND("|",SUBSTITUTE($H1950&amp;" "," ","|",3))-1),""))</f>
        <v/>
      </c>
      <c r="F1950" s="59">
        <f>IF($H1950="","",IFERROR(VALUE(IFERROR(MID($H1950&amp;" ",FIND("|",SUBSTITUTE($H1950&amp;" "," ","|",4))+1,FIND("|",SUBSTITUTE($H1950&amp;" "," ","|",5))-FIND("|",SUBSTITUTE($H1950&amp;" "," ","|",4))-1),""))/86400+25569+9/24,""))</f>
        <v/>
      </c>
      <c r="G1950" s="58">
        <f>TRIM(SUBSTITUTE(SUBSTITUTE(SUBSTITUTE($A1950,CHAR(9)," ")," "," "),CHAR(13),""))</f>
        <v/>
      </c>
      <c r="H1950" s="58">
        <f>IF($G1950="","",IF(ISNUMBER(FIND(" ",$G1950)),$G1950,IFERROR(IF((LEN(SUBSTITUTE(SUBSTITUTE($G1950,"-"," ",LEN($G1950)-LEN(SUBSTITUTE($G1950,"-",""))),"-"," ",LEN($G1950)-LEN(SUBSTITUTE($G1950,"-",""))-1))-LEN(SUBSTITUTE(SUBSTITUTE(SUBSTITUTE($G1950,"-"," ",LEN($G1950)-LEN(SUBSTITUTE($G1950,"-",""))),"-"," ",LEN($G1950)-LEN(SUBSTITUTE($G1950,"-",""))-1),".","")))=0,SUBSTITUTE(SUBSTITUTE($G1950,"-"," ",LEN($G1950)-LEN(SUBSTITUTE($G1950,"-",""))),"-"," ",LEN($G1950)-LEN(SUBSTITUTE($G1950,"-",""))-1),SUBSTITUTE(SUBSTITUTE(SUBSTITUTE($G1950,"-"," ",LEN($G1950)-LEN(SUBSTITUTE($G1950,"-",""))),"-"," ",LEN($G1950)-LEN(SUBSTITUTE($G1950,"-",""))-1),"."," ",(LEN(SUBSTITUTE(SUBSTITUTE($G1950,"-"," ",LEN($G1950)-LEN(SUBSTITUTE($G1950,"-",""))),"-"," ",LEN($G1950)-LEN(SUBSTITUTE($G1950,"-",""))-1))-LEN(SUBSTITUTE(SUBSTITUTE(SUBSTITUTE($G1950,"-"," ",LEN($G1950)-LEN(SUBSTITUTE($G1950,"-",""))),"-"," ",LEN($G1950)-LEN(SUBSTITUTE($G1950,"-",""))-1),".",""))))),$G1950)))</f>
        <v/>
      </c>
    </row>
    <row r="1951">
      <c r="A1951" s="58" t="n"/>
      <c r="B1951" s="58">
        <f>IF($H1951="","",LEFT($H1951,FIND(" ",$H1951&amp;" ")-1))</f>
        <v/>
      </c>
      <c r="C1951" s="58">
        <f>IF($H1951="","",IFERROR(MID($H1951&amp;" ",FIND("|",SUBSTITUTE($H1951&amp;" "," ","|",1))+1,FIND("|",SUBSTITUTE($H1951&amp;" "," ","|",2))-FIND("|",SUBSTITUTE($H1951&amp;" "," ","|",1))-1),""))</f>
        <v/>
      </c>
      <c r="D1951" s="58">
        <f>IF($H1951="","",IFERROR(MID($H1951&amp;" ",FIND("|",SUBSTITUTE($H1951&amp;" "," ","|",2))+1,FIND("|",SUBSTITUTE($H1951&amp;" "," ","|",3))-FIND("|",SUBSTITUTE($H1951&amp;" "," ","|",2))-1),""))</f>
        <v/>
      </c>
      <c r="E1951" s="58">
        <f>IF($H1951="","",IFERROR(MID($H1951&amp;" ",FIND("|",SUBSTITUTE($H1951&amp;" "," ","|",3))+1,FIND("|",SUBSTITUTE($H1951&amp;" "," ","|",4))-FIND("|",SUBSTITUTE($H1951&amp;" "," ","|",3))-1),""))</f>
        <v/>
      </c>
      <c r="F1951" s="59">
        <f>IF($H1951="","",IFERROR(VALUE(IFERROR(MID($H1951&amp;" ",FIND("|",SUBSTITUTE($H1951&amp;" "," ","|",4))+1,FIND("|",SUBSTITUTE($H1951&amp;" "," ","|",5))-FIND("|",SUBSTITUTE($H1951&amp;" "," ","|",4))-1),""))/86400+25569+9/24,""))</f>
        <v/>
      </c>
      <c r="G1951" s="58">
        <f>TRIM(SUBSTITUTE(SUBSTITUTE(SUBSTITUTE($A1951,CHAR(9)," ")," "," "),CHAR(13),""))</f>
        <v/>
      </c>
      <c r="H1951" s="58">
        <f>IF($G1951="","",IF(ISNUMBER(FIND(" ",$G1951)),$G1951,IFERROR(IF((LEN(SUBSTITUTE(SUBSTITUTE($G1951,"-"," ",LEN($G1951)-LEN(SUBSTITUTE($G1951,"-",""))),"-"," ",LEN($G1951)-LEN(SUBSTITUTE($G1951,"-",""))-1))-LEN(SUBSTITUTE(SUBSTITUTE(SUBSTITUTE($G1951,"-"," ",LEN($G1951)-LEN(SUBSTITUTE($G1951,"-",""))),"-"," ",LEN($G1951)-LEN(SUBSTITUTE($G1951,"-",""))-1),".","")))=0,SUBSTITUTE(SUBSTITUTE($G1951,"-"," ",LEN($G1951)-LEN(SUBSTITUTE($G1951,"-",""))),"-"," ",LEN($G1951)-LEN(SUBSTITUTE($G1951,"-",""))-1),SUBSTITUTE(SUBSTITUTE(SUBSTITUTE($G1951,"-"," ",LEN($G1951)-LEN(SUBSTITUTE($G1951,"-",""))),"-"," ",LEN($G1951)-LEN(SUBSTITUTE($G1951,"-",""))-1),"."," ",(LEN(SUBSTITUTE(SUBSTITUTE($G1951,"-"," ",LEN($G1951)-LEN(SUBSTITUTE($G1951,"-",""))),"-"," ",LEN($G1951)-LEN(SUBSTITUTE($G1951,"-",""))-1))-LEN(SUBSTITUTE(SUBSTITUTE(SUBSTITUTE($G1951,"-"," ",LEN($G1951)-LEN(SUBSTITUTE($G1951,"-",""))),"-"," ",LEN($G1951)-LEN(SUBSTITUTE($G1951,"-",""))-1),".",""))))),$G1951)))</f>
        <v/>
      </c>
    </row>
    <row r="1952">
      <c r="A1952" s="58" t="n"/>
      <c r="B1952" s="58">
        <f>IF($H1952="","",LEFT($H1952,FIND(" ",$H1952&amp;" ")-1))</f>
        <v/>
      </c>
      <c r="C1952" s="58">
        <f>IF($H1952="","",IFERROR(MID($H1952&amp;" ",FIND("|",SUBSTITUTE($H1952&amp;" "," ","|",1))+1,FIND("|",SUBSTITUTE($H1952&amp;" "," ","|",2))-FIND("|",SUBSTITUTE($H1952&amp;" "," ","|",1))-1),""))</f>
        <v/>
      </c>
      <c r="D1952" s="58">
        <f>IF($H1952="","",IFERROR(MID($H1952&amp;" ",FIND("|",SUBSTITUTE($H1952&amp;" "," ","|",2))+1,FIND("|",SUBSTITUTE($H1952&amp;" "," ","|",3))-FIND("|",SUBSTITUTE($H1952&amp;" "," ","|",2))-1),""))</f>
        <v/>
      </c>
      <c r="E1952" s="58">
        <f>IF($H1952="","",IFERROR(MID($H1952&amp;" ",FIND("|",SUBSTITUTE($H1952&amp;" "," ","|",3))+1,FIND("|",SUBSTITUTE($H1952&amp;" "," ","|",4))-FIND("|",SUBSTITUTE($H1952&amp;" "," ","|",3))-1),""))</f>
        <v/>
      </c>
      <c r="F1952" s="59">
        <f>IF($H1952="","",IFERROR(VALUE(IFERROR(MID($H1952&amp;" ",FIND("|",SUBSTITUTE($H1952&amp;" "," ","|",4))+1,FIND("|",SUBSTITUTE($H1952&amp;" "," ","|",5))-FIND("|",SUBSTITUTE($H1952&amp;" "," ","|",4))-1),""))/86400+25569+9/24,""))</f>
        <v/>
      </c>
      <c r="G1952" s="58">
        <f>TRIM(SUBSTITUTE(SUBSTITUTE(SUBSTITUTE($A1952,CHAR(9)," ")," "," "),CHAR(13),""))</f>
        <v/>
      </c>
      <c r="H1952" s="58">
        <f>IF($G1952="","",IF(ISNUMBER(FIND(" ",$G1952)),$G1952,IFERROR(IF((LEN(SUBSTITUTE(SUBSTITUTE($G1952,"-"," ",LEN($G1952)-LEN(SUBSTITUTE($G1952,"-",""))),"-"," ",LEN($G1952)-LEN(SUBSTITUTE($G1952,"-",""))-1))-LEN(SUBSTITUTE(SUBSTITUTE(SUBSTITUTE($G1952,"-"," ",LEN($G1952)-LEN(SUBSTITUTE($G1952,"-",""))),"-"," ",LEN($G1952)-LEN(SUBSTITUTE($G1952,"-",""))-1),".","")))=0,SUBSTITUTE(SUBSTITUTE($G1952,"-"," ",LEN($G1952)-LEN(SUBSTITUTE($G1952,"-",""))),"-"," ",LEN($G1952)-LEN(SUBSTITUTE($G1952,"-",""))-1),SUBSTITUTE(SUBSTITUTE(SUBSTITUTE($G1952,"-"," ",LEN($G1952)-LEN(SUBSTITUTE($G1952,"-",""))),"-"," ",LEN($G1952)-LEN(SUBSTITUTE($G1952,"-",""))-1),"."," ",(LEN(SUBSTITUTE(SUBSTITUTE($G1952,"-"," ",LEN($G1952)-LEN(SUBSTITUTE($G1952,"-",""))),"-"," ",LEN($G1952)-LEN(SUBSTITUTE($G1952,"-",""))-1))-LEN(SUBSTITUTE(SUBSTITUTE(SUBSTITUTE($G1952,"-"," ",LEN($G1952)-LEN(SUBSTITUTE($G1952,"-",""))),"-"," ",LEN($G1952)-LEN(SUBSTITUTE($G1952,"-",""))-1),".",""))))),$G1952)))</f>
        <v/>
      </c>
    </row>
    <row r="1953">
      <c r="A1953" s="58" t="n"/>
      <c r="B1953" s="58">
        <f>IF($H1953="","",LEFT($H1953,FIND(" ",$H1953&amp;" ")-1))</f>
        <v/>
      </c>
      <c r="C1953" s="58">
        <f>IF($H1953="","",IFERROR(MID($H1953&amp;" ",FIND("|",SUBSTITUTE($H1953&amp;" "," ","|",1))+1,FIND("|",SUBSTITUTE($H1953&amp;" "," ","|",2))-FIND("|",SUBSTITUTE($H1953&amp;" "," ","|",1))-1),""))</f>
        <v/>
      </c>
      <c r="D1953" s="58">
        <f>IF($H1953="","",IFERROR(MID($H1953&amp;" ",FIND("|",SUBSTITUTE($H1953&amp;" "," ","|",2))+1,FIND("|",SUBSTITUTE($H1953&amp;" "," ","|",3))-FIND("|",SUBSTITUTE($H1953&amp;" "," ","|",2))-1),""))</f>
        <v/>
      </c>
      <c r="E1953" s="58">
        <f>IF($H1953="","",IFERROR(MID($H1953&amp;" ",FIND("|",SUBSTITUTE($H1953&amp;" "," ","|",3))+1,FIND("|",SUBSTITUTE($H1953&amp;" "," ","|",4))-FIND("|",SUBSTITUTE($H1953&amp;" "," ","|",3))-1),""))</f>
        <v/>
      </c>
      <c r="F1953" s="59">
        <f>IF($H1953="","",IFERROR(VALUE(IFERROR(MID($H1953&amp;" ",FIND("|",SUBSTITUTE($H1953&amp;" "," ","|",4))+1,FIND("|",SUBSTITUTE($H1953&amp;" "," ","|",5))-FIND("|",SUBSTITUTE($H1953&amp;" "," ","|",4))-1),""))/86400+25569+9/24,""))</f>
        <v/>
      </c>
      <c r="G1953" s="58">
        <f>TRIM(SUBSTITUTE(SUBSTITUTE(SUBSTITUTE($A1953,CHAR(9)," ")," "," "),CHAR(13),""))</f>
        <v/>
      </c>
      <c r="H1953" s="58">
        <f>IF($G1953="","",IF(ISNUMBER(FIND(" ",$G1953)),$G1953,IFERROR(IF((LEN(SUBSTITUTE(SUBSTITUTE($G1953,"-"," ",LEN($G1953)-LEN(SUBSTITUTE($G1953,"-",""))),"-"," ",LEN($G1953)-LEN(SUBSTITUTE($G1953,"-",""))-1))-LEN(SUBSTITUTE(SUBSTITUTE(SUBSTITUTE($G1953,"-"," ",LEN($G1953)-LEN(SUBSTITUTE($G1953,"-",""))),"-"," ",LEN($G1953)-LEN(SUBSTITUTE($G1953,"-",""))-1),".","")))=0,SUBSTITUTE(SUBSTITUTE($G1953,"-"," ",LEN($G1953)-LEN(SUBSTITUTE($G1953,"-",""))),"-"," ",LEN($G1953)-LEN(SUBSTITUTE($G1953,"-",""))-1),SUBSTITUTE(SUBSTITUTE(SUBSTITUTE($G1953,"-"," ",LEN($G1953)-LEN(SUBSTITUTE($G1953,"-",""))),"-"," ",LEN($G1953)-LEN(SUBSTITUTE($G1953,"-",""))-1),"."," ",(LEN(SUBSTITUTE(SUBSTITUTE($G1953,"-"," ",LEN($G1953)-LEN(SUBSTITUTE($G1953,"-",""))),"-"," ",LEN($G1953)-LEN(SUBSTITUTE($G1953,"-",""))-1))-LEN(SUBSTITUTE(SUBSTITUTE(SUBSTITUTE($G1953,"-"," ",LEN($G1953)-LEN(SUBSTITUTE($G1953,"-",""))),"-"," ",LEN($G1953)-LEN(SUBSTITUTE($G1953,"-",""))-1),".",""))))),$G1953)))</f>
        <v/>
      </c>
    </row>
    <row r="1954">
      <c r="A1954" s="58" t="n"/>
      <c r="B1954" s="58">
        <f>IF($H1954="","",LEFT($H1954,FIND(" ",$H1954&amp;" ")-1))</f>
        <v/>
      </c>
      <c r="C1954" s="58">
        <f>IF($H1954="","",IFERROR(MID($H1954&amp;" ",FIND("|",SUBSTITUTE($H1954&amp;" "," ","|",1))+1,FIND("|",SUBSTITUTE($H1954&amp;" "," ","|",2))-FIND("|",SUBSTITUTE($H1954&amp;" "," ","|",1))-1),""))</f>
        <v/>
      </c>
      <c r="D1954" s="58">
        <f>IF($H1954="","",IFERROR(MID($H1954&amp;" ",FIND("|",SUBSTITUTE($H1954&amp;" "," ","|",2))+1,FIND("|",SUBSTITUTE($H1954&amp;" "," ","|",3))-FIND("|",SUBSTITUTE($H1954&amp;" "," ","|",2))-1),""))</f>
        <v/>
      </c>
      <c r="E1954" s="58">
        <f>IF($H1954="","",IFERROR(MID($H1954&amp;" ",FIND("|",SUBSTITUTE($H1954&amp;" "," ","|",3))+1,FIND("|",SUBSTITUTE($H1954&amp;" "," ","|",4))-FIND("|",SUBSTITUTE($H1954&amp;" "," ","|",3))-1),""))</f>
        <v/>
      </c>
      <c r="F1954" s="59">
        <f>IF($H1954="","",IFERROR(VALUE(IFERROR(MID($H1954&amp;" ",FIND("|",SUBSTITUTE($H1954&amp;" "," ","|",4))+1,FIND("|",SUBSTITUTE($H1954&amp;" "," ","|",5))-FIND("|",SUBSTITUTE($H1954&amp;" "," ","|",4))-1),""))/86400+25569+9/24,""))</f>
        <v/>
      </c>
      <c r="G1954" s="58">
        <f>TRIM(SUBSTITUTE(SUBSTITUTE(SUBSTITUTE($A1954,CHAR(9)," ")," "," "),CHAR(13),""))</f>
        <v/>
      </c>
      <c r="H1954" s="58">
        <f>IF($G1954="","",IF(ISNUMBER(FIND(" ",$G1954)),$G1954,IFERROR(IF((LEN(SUBSTITUTE(SUBSTITUTE($G1954,"-"," ",LEN($G1954)-LEN(SUBSTITUTE($G1954,"-",""))),"-"," ",LEN($G1954)-LEN(SUBSTITUTE($G1954,"-",""))-1))-LEN(SUBSTITUTE(SUBSTITUTE(SUBSTITUTE($G1954,"-"," ",LEN($G1954)-LEN(SUBSTITUTE($G1954,"-",""))),"-"," ",LEN($G1954)-LEN(SUBSTITUTE($G1954,"-",""))-1),".","")))=0,SUBSTITUTE(SUBSTITUTE($G1954,"-"," ",LEN($G1954)-LEN(SUBSTITUTE($G1954,"-",""))),"-"," ",LEN($G1954)-LEN(SUBSTITUTE($G1954,"-",""))-1),SUBSTITUTE(SUBSTITUTE(SUBSTITUTE($G1954,"-"," ",LEN($G1954)-LEN(SUBSTITUTE($G1954,"-",""))),"-"," ",LEN($G1954)-LEN(SUBSTITUTE($G1954,"-",""))-1),"."," ",(LEN(SUBSTITUTE(SUBSTITUTE($G1954,"-"," ",LEN($G1954)-LEN(SUBSTITUTE($G1954,"-",""))),"-"," ",LEN($G1954)-LEN(SUBSTITUTE($G1954,"-",""))-1))-LEN(SUBSTITUTE(SUBSTITUTE(SUBSTITUTE($G1954,"-"," ",LEN($G1954)-LEN(SUBSTITUTE($G1954,"-",""))),"-"," ",LEN($G1954)-LEN(SUBSTITUTE($G1954,"-",""))-1),".",""))))),$G1954)))</f>
        <v/>
      </c>
    </row>
    <row r="1955">
      <c r="A1955" s="58" t="n"/>
      <c r="B1955" s="58">
        <f>IF($H1955="","",LEFT($H1955,FIND(" ",$H1955&amp;" ")-1))</f>
        <v/>
      </c>
      <c r="C1955" s="58">
        <f>IF($H1955="","",IFERROR(MID($H1955&amp;" ",FIND("|",SUBSTITUTE($H1955&amp;" "," ","|",1))+1,FIND("|",SUBSTITUTE($H1955&amp;" "," ","|",2))-FIND("|",SUBSTITUTE($H1955&amp;" "," ","|",1))-1),""))</f>
        <v/>
      </c>
      <c r="D1955" s="58">
        <f>IF($H1955="","",IFERROR(MID($H1955&amp;" ",FIND("|",SUBSTITUTE($H1955&amp;" "," ","|",2))+1,FIND("|",SUBSTITUTE($H1955&amp;" "," ","|",3))-FIND("|",SUBSTITUTE($H1955&amp;" "," ","|",2))-1),""))</f>
        <v/>
      </c>
      <c r="E1955" s="58">
        <f>IF($H1955="","",IFERROR(MID($H1955&amp;" ",FIND("|",SUBSTITUTE($H1955&amp;" "," ","|",3))+1,FIND("|",SUBSTITUTE($H1955&amp;" "," ","|",4))-FIND("|",SUBSTITUTE($H1955&amp;" "," ","|",3))-1),""))</f>
        <v/>
      </c>
      <c r="F1955" s="59">
        <f>IF($H1955="","",IFERROR(VALUE(IFERROR(MID($H1955&amp;" ",FIND("|",SUBSTITUTE($H1955&amp;" "," ","|",4))+1,FIND("|",SUBSTITUTE($H1955&amp;" "," ","|",5))-FIND("|",SUBSTITUTE($H1955&amp;" "," ","|",4))-1),""))/86400+25569+9/24,""))</f>
        <v/>
      </c>
      <c r="G1955" s="58">
        <f>TRIM(SUBSTITUTE(SUBSTITUTE(SUBSTITUTE($A1955,CHAR(9)," ")," "," "),CHAR(13),""))</f>
        <v/>
      </c>
      <c r="H1955" s="58">
        <f>IF($G1955="","",IF(ISNUMBER(FIND(" ",$G1955)),$G1955,IFERROR(IF((LEN(SUBSTITUTE(SUBSTITUTE($G1955,"-"," ",LEN($G1955)-LEN(SUBSTITUTE($G1955,"-",""))),"-"," ",LEN($G1955)-LEN(SUBSTITUTE($G1955,"-",""))-1))-LEN(SUBSTITUTE(SUBSTITUTE(SUBSTITUTE($G1955,"-"," ",LEN($G1955)-LEN(SUBSTITUTE($G1955,"-",""))),"-"," ",LEN($G1955)-LEN(SUBSTITUTE($G1955,"-",""))-1),".","")))=0,SUBSTITUTE(SUBSTITUTE($G1955,"-"," ",LEN($G1955)-LEN(SUBSTITUTE($G1955,"-",""))),"-"," ",LEN($G1955)-LEN(SUBSTITUTE($G1955,"-",""))-1),SUBSTITUTE(SUBSTITUTE(SUBSTITUTE($G1955,"-"," ",LEN($G1955)-LEN(SUBSTITUTE($G1955,"-",""))),"-"," ",LEN($G1955)-LEN(SUBSTITUTE($G1955,"-",""))-1),"."," ",(LEN(SUBSTITUTE(SUBSTITUTE($G1955,"-"," ",LEN($G1955)-LEN(SUBSTITUTE($G1955,"-",""))),"-"," ",LEN($G1955)-LEN(SUBSTITUTE($G1955,"-",""))-1))-LEN(SUBSTITUTE(SUBSTITUTE(SUBSTITUTE($G1955,"-"," ",LEN($G1955)-LEN(SUBSTITUTE($G1955,"-",""))),"-"," ",LEN($G1955)-LEN(SUBSTITUTE($G1955,"-",""))-1),".",""))))),$G1955)))</f>
        <v/>
      </c>
    </row>
    <row r="1956">
      <c r="A1956" s="58" t="n"/>
      <c r="B1956" s="58">
        <f>IF($H1956="","",LEFT($H1956,FIND(" ",$H1956&amp;" ")-1))</f>
        <v/>
      </c>
      <c r="C1956" s="58">
        <f>IF($H1956="","",IFERROR(MID($H1956&amp;" ",FIND("|",SUBSTITUTE($H1956&amp;" "," ","|",1))+1,FIND("|",SUBSTITUTE($H1956&amp;" "," ","|",2))-FIND("|",SUBSTITUTE($H1956&amp;" "," ","|",1))-1),""))</f>
        <v/>
      </c>
      <c r="D1956" s="58">
        <f>IF($H1956="","",IFERROR(MID($H1956&amp;" ",FIND("|",SUBSTITUTE($H1956&amp;" "," ","|",2))+1,FIND("|",SUBSTITUTE($H1956&amp;" "," ","|",3))-FIND("|",SUBSTITUTE($H1956&amp;" "," ","|",2))-1),""))</f>
        <v/>
      </c>
      <c r="E1956" s="58">
        <f>IF($H1956="","",IFERROR(MID($H1956&amp;" ",FIND("|",SUBSTITUTE($H1956&amp;" "," ","|",3))+1,FIND("|",SUBSTITUTE($H1956&amp;" "," ","|",4))-FIND("|",SUBSTITUTE($H1956&amp;" "," ","|",3))-1),""))</f>
        <v/>
      </c>
      <c r="F1956" s="59">
        <f>IF($H1956="","",IFERROR(VALUE(IFERROR(MID($H1956&amp;" ",FIND("|",SUBSTITUTE($H1956&amp;" "," ","|",4))+1,FIND("|",SUBSTITUTE($H1956&amp;" "," ","|",5))-FIND("|",SUBSTITUTE($H1956&amp;" "," ","|",4))-1),""))/86400+25569+9/24,""))</f>
        <v/>
      </c>
      <c r="G1956" s="58">
        <f>TRIM(SUBSTITUTE(SUBSTITUTE(SUBSTITUTE($A1956,CHAR(9)," ")," "," "),CHAR(13),""))</f>
        <v/>
      </c>
      <c r="H1956" s="58">
        <f>IF($G1956="","",IF(ISNUMBER(FIND(" ",$G1956)),$G1956,IFERROR(IF((LEN(SUBSTITUTE(SUBSTITUTE($G1956,"-"," ",LEN($G1956)-LEN(SUBSTITUTE($G1956,"-",""))),"-"," ",LEN($G1956)-LEN(SUBSTITUTE($G1956,"-",""))-1))-LEN(SUBSTITUTE(SUBSTITUTE(SUBSTITUTE($G1956,"-"," ",LEN($G1956)-LEN(SUBSTITUTE($G1956,"-",""))),"-"," ",LEN($G1956)-LEN(SUBSTITUTE($G1956,"-",""))-1),".","")))=0,SUBSTITUTE(SUBSTITUTE($G1956,"-"," ",LEN($G1956)-LEN(SUBSTITUTE($G1956,"-",""))),"-"," ",LEN($G1956)-LEN(SUBSTITUTE($G1956,"-",""))-1),SUBSTITUTE(SUBSTITUTE(SUBSTITUTE($G1956,"-"," ",LEN($G1956)-LEN(SUBSTITUTE($G1956,"-",""))),"-"," ",LEN($G1956)-LEN(SUBSTITUTE($G1956,"-",""))-1),"."," ",(LEN(SUBSTITUTE(SUBSTITUTE($G1956,"-"," ",LEN($G1956)-LEN(SUBSTITUTE($G1956,"-",""))),"-"," ",LEN($G1956)-LEN(SUBSTITUTE($G1956,"-",""))-1))-LEN(SUBSTITUTE(SUBSTITUTE(SUBSTITUTE($G1956,"-"," ",LEN($G1956)-LEN(SUBSTITUTE($G1956,"-",""))),"-"," ",LEN($G1956)-LEN(SUBSTITUTE($G1956,"-",""))-1),".",""))))),$G1956)))</f>
        <v/>
      </c>
    </row>
    <row r="1957">
      <c r="A1957" s="58" t="n"/>
      <c r="B1957" s="58">
        <f>IF($H1957="","",LEFT($H1957,FIND(" ",$H1957&amp;" ")-1))</f>
        <v/>
      </c>
      <c r="C1957" s="58">
        <f>IF($H1957="","",IFERROR(MID($H1957&amp;" ",FIND("|",SUBSTITUTE($H1957&amp;" "," ","|",1))+1,FIND("|",SUBSTITUTE($H1957&amp;" "," ","|",2))-FIND("|",SUBSTITUTE($H1957&amp;" "," ","|",1))-1),""))</f>
        <v/>
      </c>
      <c r="D1957" s="58">
        <f>IF($H1957="","",IFERROR(MID($H1957&amp;" ",FIND("|",SUBSTITUTE($H1957&amp;" "," ","|",2))+1,FIND("|",SUBSTITUTE($H1957&amp;" "," ","|",3))-FIND("|",SUBSTITUTE($H1957&amp;" "," ","|",2))-1),""))</f>
        <v/>
      </c>
      <c r="E1957" s="58">
        <f>IF($H1957="","",IFERROR(MID($H1957&amp;" ",FIND("|",SUBSTITUTE($H1957&amp;" "," ","|",3))+1,FIND("|",SUBSTITUTE($H1957&amp;" "," ","|",4))-FIND("|",SUBSTITUTE($H1957&amp;" "," ","|",3))-1),""))</f>
        <v/>
      </c>
      <c r="F1957" s="59">
        <f>IF($H1957="","",IFERROR(VALUE(IFERROR(MID($H1957&amp;" ",FIND("|",SUBSTITUTE($H1957&amp;" "," ","|",4))+1,FIND("|",SUBSTITUTE($H1957&amp;" "," ","|",5))-FIND("|",SUBSTITUTE($H1957&amp;" "," ","|",4))-1),""))/86400+25569+9/24,""))</f>
        <v/>
      </c>
      <c r="G1957" s="58">
        <f>TRIM(SUBSTITUTE(SUBSTITUTE(SUBSTITUTE($A1957,CHAR(9)," ")," "," "),CHAR(13),""))</f>
        <v/>
      </c>
      <c r="H1957" s="58">
        <f>IF($G1957="","",IF(ISNUMBER(FIND(" ",$G1957)),$G1957,IFERROR(IF((LEN(SUBSTITUTE(SUBSTITUTE($G1957,"-"," ",LEN($G1957)-LEN(SUBSTITUTE($G1957,"-",""))),"-"," ",LEN($G1957)-LEN(SUBSTITUTE($G1957,"-",""))-1))-LEN(SUBSTITUTE(SUBSTITUTE(SUBSTITUTE($G1957,"-"," ",LEN($G1957)-LEN(SUBSTITUTE($G1957,"-",""))),"-"," ",LEN($G1957)-LEN(SUBSTITUTE($G1957,"-",""))-1),".","")))=0,SUBSTITUTE(SUBSTITUTE($G1957,"-"," ",LEN($G1957)-LEN(SUBSTITUTE($G1957,"-",""))),"-"," ",LEN($G1957)-LEN(SUBSTITUTE($G1957,"-",""))-1),SUBSTITUTE(SUBSTITUTE(SUBSTITUTE($G1957,"-"," ",LEN($G1957)-LEN(SUBSTITUTE($G1957,"-",""))),"-"," ",LEN($G1957)-LEN(SUBSTITUTE($G1957,"-",""))-1),"."," ",(LEN(SUBSTITUTE(SUBSTITUTE($G1957,"-"," ",LEN($G1957)-LEN(SUBSTITUTE($G1957,"-",""))),"-"," ",LEN($G1957)-LEN(SUBSTITUTE($G1957,"-",""))-1))-LEN(SUBSTITUTE(SUBSTITUTE(SUBSTITUTE($G1957,"-"," ",LEN($G1957)-LEN(SUBSTITUTE($G1957,"-",""))),"-"," ",LEN($G1957)-LEN(SUBSTITUTE($G1957,"-",""))-1),".",""))))),$G1957)))</f>
        <v/>
      </c>
    </row>
    <row r="1958">
      <c r="A1958" s="58" t="n"/>
      <c r="B1958" s="58">
        <f>IF($H1958="","",LEFT($H1958,FIND(" ",$H1958&amp;" ")-1))</f>
        <v/>
      </c>
      <c r="C1958" s="58">
        <f>IF($H1958="","",IFERROR(MID($H1958&amp;" ",FIND("|",SUBSTITUTE($H1958&amp;" "," ","|",1))+1,FIND("|",SUBSTITUTE($H1958&amp;" "," ","|",2))-FIND("|",SUBSTITUTE($H1958&amp;" "," ","|",1))-1),""))</f>
        <v/>
      </c>
      <c r="D1958" s="58">
        <f>IF($H1958="","",IFERROR(MID($H1958&amp;" ",FIND("|",SUBSTITUTE($H1958&amp;" "," ","|",2))+1,FIND("|",SUBSTITUTE($H1958&amp;" "," ","|",3))-FIND("|",SUBSTITUTE($H1958&amp;" "," ","|",2))-1),""))</f>
        <v/>
      </c>
      <c r="E1958" s="58">
        <f>IF($H1958="","",IFERROR(MID($H1958&amp;" ",FIND("|",SUBSTITUTE($H1958&amp;" "," ","|",3))+1,FIND("|",SUBSTITUTE($H1958&amp;" "," ","|",4))-FIND("|",SUBSTITUTE($H1958&amp;" "," ","|",3))-1),""))</f>
        <v/>
      </c>
      <c r="F1958" s="59">
        <f>IF($H1958="","",IFERROR(VALUE(IFERROR(MID($H1958&amp;" ",FIND("|",SUBSTITUTE($H1958&amp;" "," ","|",4))+1,FIND("|",SUBSTITUTE($H1958&amp;" "," ","|",5))-FIND("|",SUBSTITUTE($H1958&amp;" "," ","|",4))-1),""))/86400+25569+9/24,""))</f>
        <v/>
      </c>
      <c r="G1958" s="58">
        <f>TRIM(SUBSTITUTE(SUBSTITUTE(SUBSTITUTE($A1958,CHAR(9)," ")," "," "),CHAR(13),""))</f>
        <v/>
      </c>
      <c r="H1958" s="58">
        <f>IF($G1958="","",IF(ISNUMBER(FIND(" ",$G1958)),$G1958,IFERROR(IF((LEN(SUBSTITUTE(SUBSTITUTE($G1958,"-"," ",LEN($G1958)-LEN(SUBSTITUTE($G1958,"-",""))),"-"," ",LEN($G1958)-LEN(SUBSTITUTE($G1958,"-",""))-1))-LEN(SUBSTITUTE(SUBSTITUTE(SUBSTITUTE($G1958,"-"," ",LEN($G1958)-LEN(SUBSTITUTE($G1958,"-",""))),"-"," ",LEN($G1958)-LEN(SUBSTITUTE($G1958,"-",""))-1),".","")))=0,SUBSTITUTE(SUBSTITUTE($G1958,"-"," ",LEN($G1958)-LEN(SUBSTITUTE($G1958,"-",""))),"-"," ",LEN($G1958)-LEN(SUBSTITUTE($G1958,"-",""))-1),SUBSTITUTE(SUBSTITUTE(SUBSTITUTE($G1958,"-"," ",LEN($G1958)-LEN(SUBSTITUTE($G1958,"-",""))),"-"," ",LEN($G1958)-LEN(SUBSTITUTE($G1958,"-",""))-1),"."," ",(LEN(SUBSTITUTE(SUBSTITUTE($G1958,"-"," ",LEN($G1958)-LEN(SUBSTITUTE($G1958,"-",""))),"-"," ",LEN($G1958)-LEN(SUBSTITUTE($G1958,"-",""))-1))-LEN(SUBSTITUTE(SUBSTITUTE(SUBSTITUTE($G1958,"-"," ",LEN($G1958)-LEN(SUBSTITUTE($G1958,"-",""))),"-"," ",LEN($G1958)-LEN(SUBSTITUTE($G1958,"-",""))-1),".",""))))),$G1958)))</f>
        <v/>
      </c>
    </row>
    <row r="1959">
      <c r="A1959" s="58" t="n"/>
      <c r="B1959" s="58">
        <f>IF($H1959="","",LEFT($H1959,FIND(" ",$H1959&amp;" ")-1))</f>
        <v/>
      </c>
      <c r="C1959" s="58">
        <f>IF($H1959="","",IFERROR(MID($H1959&amp;" ",FIND("|",SUBSTITUTE($H1959&amp;" "," ","|",1))+1,FIND("|",SUBSTITUTE($H1959&amp;" "," ","|",2))-FIND("|",SUBSTITUTE($H1959&amp;" "," ","|",1))-1),""))</f>
        <v/>
      </c>
      <c r="D1959" s="58">
        <f>IF($H1959="","",IFERROR(MID($H1959&amp;" ",FIND("|",SUBSTITUTE($H1959&amp;" "," ","|",2))+1,FIND("|",SUBSTITUTE($H1959&amp;" "," ","|",3))-FIND("|",SUBSTITUTE($H1959&amp;" "," ","|",2))-1),""))</f>
        <v/>
      </c>
      <c r="E1959" s="58">
        <f>IF($H1959="","",IFERROR(MID($H1959&amp;" ",FIND("|",SUBSTITUTE($H1959&amp;" "," ","|",3))+1,FIND("|",SUBSTITUTE($H1959&amp;" "," ","|",4))-FIND("|",SUBSTITUTE($H1959&amp;" "," ","|",3))-1),""))</f>
        <v/>
      </c>
      <c r="F1959" s="59">
        <f>IF($H1959="","",IFERROR(VALUE(IFERROR(MID($H1959&amp;" ",FIND("|",SUBSTITUTE($H1959&amp;" "," ","|",4))+1,FIND("|",SUBSTITUTE($H1959&amp;" "," ","|",5))-FIND("|",SUBSTITUTE($H1959&amp;" "," ","|",4))-1),""))/86400+25569+9/24,""))</f>
        <v/>
      </c>
      <c r="G1959" s="58">
        <f>TRIM(SUBSTITUTE(SUBSTITUTE(SUBSTITUTE($A1959,CHAR(9)," ")," "," "),CHAR(13),""))</f>
        <v/>
      </c>
      <c r="H1959" s="58">
        <f>IF($G1959="","",IF(ISNUMBER(FIND(" ",$G1959)),$G1959,IFERROR(IF((LEN(SUBSTITUTE(SUBSTITUTE($G1959,"-"," ",LEN($G1959)-LEN(SUBSTITUTE($G1959,"-",""))),"-"," ",LEN($G1959)-LEN(SUBSTITUTE($G1959,"-",""))-1))-LEN(SUBSTITUTE(SUBSTITUTE(SUBSTITUTE($G1959,"-"," ",LEN($G1959)-LEN(SUBSTITUTE($G1959,"-",""))),"-"," ",LEN($G1959)-LEN(SUBSTITUTE($G1959,"-",""))-1),".","")))=0,SUBSTITUTE(SUBSTITUTE($G1959,"-"," ",LEN($G1959)-LEN(SUBSTITUTE($G1959,"-",""))),"-"," ",LEN($G1959)-LEN(SUBSTITUTE($G1959,"-",""))-1),SUBSTITUTE(SUBSTITUTE(SUBSTITUTE($G1959,"-"," ",LEN($G1959)-LEN(SUBSTITUTE($G1959,"-",""))),"-"," ",LEN($G1959)-LEN(SUBSTITUTE($G1959,"-",""))-1),"."," ",(LEN(SUBSTITUTE(SUBSTITUTE($G1959,"-"," ",LEN($G1959)-LEN(SUBSTITUTE($G1959,"-",""))),"-"," ",LEN($G1959)-LEN(SUBSTITUTE($G1959,"-",""))-1))-LEN(SUBSTITUTE(SUBSTITUTE(SUBSTITUTE($G1959,"-"," ",LEN($G1959)-LEN(SUBSTITUTE($G1959,"-",""))),"-"," ",LEN($G1959)-LEN(SUBSTITUTE($G1959,"-",""))-1),".",""))))),$G1959)))</f>
        <v/>
      </c>
    </row>
    <row r="1960">
      <c r="A1960" s="58" t="n"/>
      <c r="B1960" s="58">
        <f>IF($H1960="","",LEFT($H1960,FIND(" ",$H1960&amp;" ")-1))</f>
        <v/>
      </c>
      <c r="C1960" s="58">
        <f>IF($H1960="","",IFERROR(MID($H1960&amp;" ",FIND("|",SUBSTITUTE($H1960&amp;" "," ","|",1))+1,FIND("|",SUBSTITUTE($H1960&amp;" "," ","|",2))-FIND("|",SUBSTITUTE($H1960&amp;" "," ","|",1))-1),""))</f>
        <v/>
      </c>
      <c r="D1960" s="58">
        <f>IF($H1960="","",IFERROR(MID($H1960&amp;" ",FIND("|",SUBSTITUTE($H1960&amp;" "," ","|",2))+1,FIND("|",SUBSTITUTE($H1960&amp;" "," ","|",3))-FIND("|",SUBSTITUTE($H1960&amp;" "," ","|",2))-1),""))</f>
        <v/>
      </c>
      <c r="E1960" s="58">
        <f>IF($H1960="","",IFERROR(MID($H1960&amp;" ",FIND("|",SUBSTITUTE($H1960&amp;" "," ","|",3))+1,FIND("|",SUBSTITUTE($H1960&amp;" "," ","|",4))-FIND("|",SUBSTITUTE($H1960&amp;" "," ","|",3))-1),""))</f>
        <v/>
      </c>
      <c r="F1960" s="59">
        <f>IF($H1960="","",IFERROR(VALUE(IFERROR(MID($H1960&amp;" ",FIND("|",SUBSTITUTE($H1960&amp;" "," ","|",4))+1,FIND("|",SUBSTITUTE($H1960&amp;" "," ","|",5))-FIND("|",SUBSTITUTE($H1960&amp;" "," ","|",4))-1),""))/86400+25569+9/24,""))</f>
        <v/>
      </c>
      <c r="G1960" s="58">
        <f>TRIM(SUBSTITUTE(SUBSTITUTE(SUBSTITUTE($A1960,CHAR(9)," ")," "," "),CHAR(13),""))</f>
        <v/>
      </c>
      <c r="H1960" s="58">
        <f>IF($G1960="","",IF(ISNUMBER(FIND(" ",$G1960)),$G1960,IFERROR(IF((LEN(SUBSTITUTE(SUBSTITUTE($G1960,"-"," ",LEN($G1960)-LEN(SUBSTITUTE($G1960,"-",""))),"-"," ",LEN($G1960)-LEN(SUBSTITUTE($G1960,"-",""))-1))-LEN(SUBSTITUTE(SUBSTITUTE(SUBSTITUTE($G1960,"-"," ",LEN($G1960)-LEN(SUBSTITUTE($G1960,"-",""))),"-"," ",LEN($G1960)-LEN(SUBSTITUTE($G1960,"-",""))-1),".","")))=0,SUBSTITUTE(SUBSTITUTE($G1960,"-"," ",LEN($G1960)-LEN(SUBSTITUTE($G1960,"-",""))),"-"," ",LEN($G1960)-LEN(SUBSTITUTE($G1960,"-",""))-1),SUBSTITUTE(SUBSTITUTE(SUBSTITUTE($G1960,"-"," ",LEN($G1960)-LEN(SUBSTITUTE($G1960,"-",""))),"-"," ",LEN($G1960)-LEN(SUBSTITUTE($G1960,"-",""))-1),"."," ",(LEN(SUBSTITUTE(SUBSTITUTE($G1960,"-"," ",LEN($G1960)-LEN(SUBSTITUTE($G1960,"-",""))),"-"," ",LEN($G1960)-LEN(SUBSTITUTE($G1960,"-",""))-1))-LEN(SUBSTITUTE(SUBSTITUTE(SUBSTITUTE($G1960,"-"," ",LEN($G1960)-LEN(SUBSTITUTE($G1960,"-",""))),"-"," ",LEN($G1960)-LEN(SUBSTITUTE($G1960,"-",""))-1),".",""))))),$G1960)))</f>
        <v/>
      </c>
    </row>
    <row r="1961">
      <c r="A1961" s="58" t="n"/>
      <c r="B1961" s="58">
        <f>IF($H1961="","",LEFT($H1961,FIND(" ",$H1961&amp;" ")-1))</f>
        <v/>
      </c>
      <c r="C1961" s="58">
        <f>IF($H1961="","",IFERROR(MID($H1961&amp;" ",FIND("|",SUBSTITUTE($H1961&amp;" "," ","|",1))+1,FIND("|",SUBSTITUTE($H1961&amp;" "," ","|",2))-FIND("|",SUBSTITUTE($H1961&amp;" "," ","|",1))-1),""))</f>
        <v/>
      </c>
      <c r="D1961" s="58">
        <f>IF($H1961="","",IFERROR(MID($H1961&amp;" ",FIND("|",SUBSTITUTE($H1961&amp;" "," ","|",2))+1,FIND("|",SUBSTITUTE($H1961&amp;" "," ","|",3))-FIND("|",SUBSTITUTE($H1961&amp;" "," ","|",2))-1),""))</f>
        <v/>
      </c>
      <c r="E1961" s="58">
        <f>IF($H1961="","",IFERROR(MID($H1961&amp;" ",FIND("|",SUBSTITUTE($H1961&amp;" "," ","|",3))+1,FIND("|",SUBSTITUTE($H1961&amp;" "," ","|",4))-FIND("|",SUBSTITUTE($H1961&amp;" "," ","|",3))-1),""))</f>
        <v/>
      </c>
      <c r="F1961" s="59">
        <f>IF($H1961="","",IFERROR(VALUE(IFERROR(MID($H1961&amp;" ",FIND("|",SUBSTITUTE($H1961&amp;" "," ","|",4))+1,FIND("|",SUBSTITUTE($H1961&amp;" "," ","|",5))-FIND("|",SUBSTITUTE($H1961&amp;" "," ","|",4))-1),""))/86400+25569+9/24,""))</f>
        <v/>
      </c>
      <c r="G1961" s="58">
        <f>TRIM(SUBSTITUTE(SUBSTITUTE(SUBSTITUTE($A1961,CHAR(9)," ")," "," "),CHAR(13),""))</f>
        <v/>
      </c>
      <c r="H1961" s="58">
        <f>IF($G1961="","",IF(ISNUMBER(FIND(" ",$G1961)),$G1961,IFERROR(IF((LEN(SUBSTITUTE(SUBSTITUTE($G1961,"-"," ",LEN($G1961)-LEN(SUBSTITUTE($G1961,"-",""))),"-"," ",LEN($G1961)-LEN(SUBSTITUTE($G1961,"-",""))-1))-LEN(SUBSTITUTE(SUBSTITUTE(SUBSTITUTE($G1961,"-"," ",LEN($G1961)-LEN(SUBSTITUTE($G1961,"-",""))),"-"," ",LEN($G1961)-LEN(SUBSTITUTE($G1961,"-",""))-1),".","")))=0,SUBSTITUTE(SUBSTITUTE($G1961,"-"," ",LEN($G1961)-LEN(SUBSTITUTE($G1961,"-",""))),"-"," ",LEN($G1961)-LEN(SUBSTITUTE($G1961,"-",""))-1),SUBSTITUTE(SUBSTITUTE(SUBSTITUTE($G1961,"-"," ",LEN($G1961)-LEN(SUBSTITUTE($G1961,"-",""))),"-"," ",LEN($G1961)-LEN(SUBSTITUTE($G1961,"-",""))-1),"."," ",(LEN(SUBSTITUTE(SUBSTITUTE($G1961,"-"," ",LEN($G1961)-LEN(SUBSTITUTE($G1961,"-",""))),"-"," ",LEN($G1961)-LEN(SUBSTITUTE($G1961,"-",""))-1))-LEN(SUBSTITUTE(SUBSTITUTE(SUBSTITUTE($G1961,"-"," ",LEN($G1961)-LEN(SUBSTITUTE($G1961,"-",""))),"-"," ",LEN($G1961)-LEN(SUBSTITUTE($G1961,"-",""))-1),".",""))))),$G1961)))</f>
        <v/>
      </c>
    </row>
    <row r="1962">
      <c r="A1962" s="58" t="n"/>
      <c r="B1962" s="58">
        <f>IF($H1962="","",LEFT($H1962,FIND(" ",$H1962&amp;" ")-1))</f>
        <v/>
      </c>
      <c r="C1962" s="58">
        <f>IF($H1962="","",IFERROR(MID($H1962&amp;" ",FIND("|",SUBSTITUTE($H1962&amp;" "," ","|",1))+1,FIND("|",SUBSTITUTE($H1962&amp;" "," ","|",2))-FIND("|",SUBSTITUTE($H1962&amp;" "," ","|",1))-1),""))</f>
        <v/>
      </c>
      <c r="D1962" s="58">
        <f>IF($H1962="","",IFERROR(MID($H1962&amp;" ",FIND("|",SUBSTITUTE($H1962&amp;" "," ","|",2))+1,FIND("|",SUBSTITUTE($H1962&amp;" "," ","|",3))-FIND("|",SUBSTITUTE($H1962&amp;" "," ","|",2))-1),""))</f>
        <v/>
      </c>
      <c r="E1962" s="58">
        <f>IF($H1962="","",IFERROR(MID($H1962&amp;" ",FIND("|",SUBSTITUTE($H1962&amp;" "," ","|",3))+1,FIND("|",SUBSTITUTE($H1962&amp;" "," ","|",4))-FIND("|",SUBSTITUTE($H1962&amp;" "," ","|",3))-1),""))</f>
        <v/>
      </c>
      <c r="F1962" s="59">
        <f>IF($H1962="","",IFERROR(VALUE(IFERROR(MID($H1962&amp;" ",FIND("|",SUBSTITUTE($H1962&amp;" "," ","|",4))+1,FIND("|",SUBSTITUTE($H1962&amp;" "," ","|",5))-FIND("|",SUBSTITUTE($H1962&amp;" "," ","|",4))-1),""))/86400+25569+9/24,""))</f>
        <v/>
      </c>
      <c r="G1962" s="58">
        <f>TRIM(SUBSTITUTE(SUBSTITUTE(SUBSTITUTE($A1962,CHAR(9)," ")," "," "),CHAR(13),""))</f>
        <v/>
      </c>
      <c r="H1962" s="58">
        <f>IF($G1962="","",IF(ISNUMBER(FIND(" ",$G1962)),$G1962,IFERROR(IF((LEN(SUBSTITUTE(SUBSTITUTE($G1962,"-"," ",LEN($G1962)-LEN(SUBSTITUTE($G1962,"-",""))),"-"," ",LEN($G1962)-LEN(SUBSTITUTE($G1962,"-",""))-1))-LEN(SUBSTITUTE(SUBSTITUTE(SUBSTITUTE($G1962,"-"," ",LEN($G1962)-LEN(SUBSTITUTE($G1962,"-",""))),"-"," ",LEN($G1962)-LEN(SUBSTITUTE($G1962,"-",""))-1),".","")))=0,SUBSTITUTE(SUBSTITUTE($G1962,"-"," ",LEN($G1962)-LEN(SUBSTITUTE($G1962,"-",""))),"-"," ",LEN($G1962)-LEN(SUBSTITUTE($G1962,"-",""))-1),SUBSTITUTE(SUBSTITUTE(SUBSTITUTE($G1962,"-"," ",LEN($G1962)-LEN(SUBSTITUTE($G1962,"-",""))),"-"," ",LEN($G1962)-LEN(SUBSTITUTE($G1962,"-",""))-1),"."," ",(LEN(SUBSTITUTE(SUBSTITUTE($G1962,"-"," ",LEN($G1962)-LEN(SUBSTITUTE($G1962,"-",""))),"-"," ",LEN($G1962)-LEN(SUBSTITUTE($G1962,"-",""))-1))-LEN(SUBSTITUTE(SUBSTITUTE(SUBSTITUTE($G1962,"-"," ",LEN($G1962)-LEN(SUBSTITUTE($G1962,"-",""))),"-"," ",LEN($G1962)-LEN(SUBSTITUTE($G1962,"-",""))-1),".",""))))),$G1962)))</f>
        <v/>
      </c>
    </row>
    <row r="1963">
      <c r="A1963" s="58" t="n"/>
      <c r="B1963" s="58">
        <f>IF($H1963="","",LEFT($H1963,FIND(" ",$H1963&amp;" ")-1))</f>
        <v/>
      </c>
      <c r="C1963" s="58">
        <f>IF($H1963="","",IFERROR(MID($H1963&amp;" ",FIND("|",SUBSTITUTE($H1963&amp;" "," ","|",1))+1,FIND("|",SUBSTITUTE($H1963&amp;" "," ","|",2))-FIND("|",SUBSTITUTE($H1963&amp;" "," ","|",1))-1),""))</f>
        <v/>
      </c>
      <c r="D1963" s="58">
        <f>IF($H1963="","",IFERROR(MID($H1963&amp;" ",FIND("|",SUBSTITUTE($H1963&amp;" "," ","|",2))+1,FIND("|",SUBSTITUTE($H1963&amp;" "," ","|",3))-FIND("|",SUBSTITUTE($H1963&amp;" "," ","|",2))-1),""))</f>
        <v/>
      </c>
      <c r="E1963" s="58">
        <f>IF($H1963="","",IFERROR(MID($H1963&amp;" ",FIND("|",SUBSTITUTE($H1963&amp;" "," ","|",3))+1,FIND("|",SUBSTITUTE($H1963&amp;" "," ","|",4))-FIND("|",SUBSTITUTE($H1963&amp;" "," ","|",3))-1),""))</f>
        <v/>
      </c>
      <c r="F1963" s="59">
        <f>IF($H1963="","",IFERROR(VALUE(IFERROR(MID($H1963&amp;" ",FIND("|",SUBSTITUTE($H1963&amp;" "," ","|",4))+1,FIND("|",SUBSTITUTE($H1963&amp;" "," ","|",5))-FIND("|",SUBSTITUTE($H1963&amp;" "," ","|",4))-1),""))/86400+25569+9/24,""))</f>
        <v/>
      </c>
      <c r="G1963" s="58">
        <f>TRIM(SUBSTITUTE(SUBSTITUTE(SUBSTITUTE($A1963,CHAR(9)," ")," "," "),CHAR(13),""))</f>
        <v/>
      </c>
      <c r="H1963" s="58">
        <f>IF($G1963="","",IF(ISNUMBER(FIND(" ",$G1963)),$G1963,IFERROR(IF((LEN(SUBSTITUTE(SUBSTITUTE($G1963,"-"," ",LEN($G1963)-LEN(SUBSTITUTE($G1963,"-",""))),"-"," ",LEN($G1963)-LEN(SUBSTITUTE($G1963,"-",""))-1))-LEN(SUBSTITUTE(SUBSTITUTE(SUBSTITUTE($G1963,"-"," ",LEN($G1963)-LEN(SUBSTITUTE($G1963,"-",""))),"-"," ",LEN($G1963)-LEN(SUBSTITUTE($G1963,"-",""))-1),".","")))=0,SUBSTITUTE(SUBSTITUTE($G1963,"-"," ",LEN($G1963)-LEN(SUBSTITUTE($G1963,"-",""))),"-"," ",LEN($G1963)-LEN(SUBSTITUTE($G1963,"-",""))-1),SUBSTITUTE(SUBSTITUTE(SUBSTITUTE($G1963,"-"," ",LEN($G1963)-LEN(SUBSTITUTE($G1963,"-",""))),"-"," ",LEN($G1963)-LEN(SUBSTITUTE($G1963,"-",""))-1),"."," ",(LEN(SUBSTITUTE(SUBSTITUTE($G1963,"-"," ",LEN($G1963)-LEN(SUBSTITUTE($G1963,"-",""))),"-"," ",LEN($G1963)-LEN(SUBSTITUTE($G1963,"-",""))-1))-LEN(SUBSTITUTE(SUBSTITUTE(SUBSTITUTE($G1963,"-"," ",LEN($G1963)-LEN(SUBSTITUTE($G1963,"-",""))),"-"," ",LEN($G1963)-LEN(SUBSTITUTE($G1963,"-",""))-1),".",""))))),$G1963)))</f>
        <v/>
      </c>
    </row>
    <row r="1964">
      <c r="A1964" s="58" t="n"/>
      <c r="B1964" s="58">
        <f>IF($H1964="","",LEFT($H1964,FIND(" ",$H1964&amp;" ")-1))</f>
        <v/>
      </c>
      <c r="C1964" s="58">
        <f>IF($H1964="","",IFERROR(MID($H1964&amp;" ",FIND("|",SUBSTITUTE($H1964&amp;" "," ","|",1))+1,FIND("|",SUBSTITUTE($H1964&amp;" "," ","|",2))-FIND("|",SUBSTITUTE($H1964&amp;" "," ","|",1))-1),""))</f>
        <v/>
      </c>
      <c r="D1964" s="58">
        <f>IF($H1964="","",IFERROR(MID($H1964&amp;" ",FIND("|",SUBSTITUTE($H1964&amp;" "," ","|",2))+1,FIND("|",SUBSTITUTE($H1964&amp;" "," ","|",3))-FIND("|",SUBSTITUTE($H1964&amp;" "," ","|",2))-1),""))</f>
        <v/>
      </c>
      <c r="E1964" s="58">
        <f>IF($H1964="","",IFERROR(MID($H1964&amp;" ",FIND("|",SUBSTITUTE($H1964&amp;" "," ","|",3))+1,FIND("|",SUBSTITUTE($H1964&amp;" "," ","|",4))-FIND("|",SUBSTITUTE($H1964&amp;" "," ","|",3))-1),""))</f>
        <v/>
      </c>
      <c r="F1964" s="59">
        <f>IF($H1964="","",IFERROR(VALUE(IFERROR(MID($H1964&amp;" ",FIND("|",SUBSTITUTE($H1964&amp;" "," ","|",4))+1,FIND("|",SUBSTITUTE($H1964&amp;" "," ","|",5))-FIND("|",SUBSTITUTE($H1964&amp;" "," ","|",4))-1),""))/86400+25569+9/24,""))</f>
        <v/>
      </c>
      <c r="G1964" s="58">
        <f>TRIM(SUBSTITUTE(SUBSTITUTE(SUBSTITUTE($A1964,CHAR(9)," ")," "," "),CHAR(13),""))</f>
        <v/>
      </c>
      <c r="H1964" s="58">
        <f>IF($G1964="","",IF(ISNUMBER(FIND(" ",$G1964)),$G1964,IFERROR(IF((LEN(SUBSTITUTE(SUBSTITUTE($G1964,"-"," ",LEN($G1964)-LEN(SUBSTITUTE($G1964,"-",""))),"-"," ",LEN($G1964)-LEN(SUBSTITUTE($G1964,"-",""))-1))-LEN(SUBSTITUTE(SUBSTITUTE(SUBSTITUTE($G1964,"-"," ",LEN($G1964)-LEN(SUBSTITUTE($G1964,"-",""))),"-"," ",LEN($G1964)-LEN(SUBSTITUTE($G1964,"-",""))-1),".","")))=0,SUBSTITUTE(SUBSTITUTE($G1964,"-"," ",LEN($G1964)-LEN(SUBSTITUTE($G1964,"-",""))),"-"," ",LEN($G1964)-LEN(SUBSTITUTE($G1964,"-",""))-1),SUBSTITUTE(SUBSTITUTE(SUBSTITUTE($G1964,"-"," ",LEN($G1964)-LEN(SUBSTITUTE($G1964,"-",""))),"-"," ",LEN($G1964)-LEN(SUBSTITUTE($G1964,"-",""))-1),"."," ",(LEN(SUBSTITUTE(SUBSTITUTE($G1964,"-"," ",LEN($G1964)-LEN(SUBSTITUTE($G1964,"-",""))),"-"," ",LEN($G1964)-LEN(SUBSTITUTE($G1964,"-",""))-1))-LEN(SUBSTITUTE(SUBSTITUTE(SUBSTITUTE($G1964,"-"," ",LEN($G1964)-LEN(SUBSTITUTE($G1964,"-",""))),"-"," ",LEN($G1964)-LEN(SUBSTITUTE($G1964,"-",""))-1),".",""))))),$G1964)))</f>
        <v/>
      </c>
    </row>
    <row r="1965">
      <c r="A1965" s="58" t="n"/>
      <c r="B1965" s="58">
        <f>IF($H1965="","",LEFT($H1965,FIND(" ",$H1965&amp;" ")-1))</f>
        <v/>
      </c>
      <c r="C1965" s="58">
        <f>IF($H1965="","",IFERROR(MID($H1965&amp;" ",FIND("|",SUBSTITUTE($H1965&amp;" "," ","|",1))+1,FIND("|",SUBSTITUTE($H1965&amp;" "," ","|",2))-FIND("|",SUBSTITUTE($H1965&amp;" "," ","|",1))-1),""))</f>
        <v/>
      </c>
      <c r="D1965" s="58">
        <f>IF($H1965="","",IFERROR(MID($H1965&amp;" ",FIND("|",SUBSTITUTE($H1965&amp;" "," ","|",2))+1,FIND("|",SUBSTITUTE($H1965&amp;" "," ","|",3))-FIND("|",SUBSTITUTE($H1965&amp;" "," ","|",2))-1),""))</f>
        <v/>
      </c>
      <c r="E1965" s="58">
        <f>IF($H1965="","",IFERROR(MID($H1965&amp;" ",FIND("|",SUBSTITUTE($H1965&amp;" "," ","|",3))+1,FIND("|",SUBSTITUTE($H1965&amp;" "," ","|",4))-FIND("|",SUBSTITUTE($H1965&amp;" "," ","|",3))-1),""))</f>
        <v/>
      </c>
      <c r="F1965" s="59">
        <f>IF($H1965="","",IFERROR(VALUE(IFERROR(MID($H1965&amp;" ",FIND("|",SUBSTITUTE($H1965&amp;" "," ","|",4))+1,FIND("|",SUBSTITUTE($H1965&amp;" "," ","|",5))-FIND("|",SUBSTITUTE($H1965&amp;" "," ","|",4))-1),""))/86400+25569+9/24,""))</f>
        <v/>
      </c>
      <c r="G1965" s="58">
        <f>TRIM(SUBSTITUTE(SUBSTITUTE(SUBSTITUTE($A1965,CHAR(9)," ")," "," "),CHAR(13),""))</f>
        <v/>
      </c>
      <c r="H1965" s="58">
        <f>IF($G1965="","",IF(ISNUMBER(FIND(" ",$G1965)),$G1965,IFERROR(IF((LEN(SUBSTITUTE(SUBSTITUTE($G1965,"-"," ",LEN($G1965)-LEN(SUBSTITUTE($G1965,"-",""))),"-"," ",LEN($G1965)-LEN(SUBSTITUTE($G1965,"-",""))-1))-LEN(SUBSTITUTE(SUBSTITUTE(SUBSTITUTE($G1965,"-"," ",LEN($G1965)-LEN(SUBSTITUTE($G1965,"-",""))),"-"," ",LEN($G1965)-LEN(SUBSTITUTE($G1965,"-",""))-1),".","")))=0,SUBSTITUTE(SUBSTITUTE($G1965,"-"," ",LEN($G1965)-LEN(SUBSTITUTE($G1965,"-",""))),"-"," ",LEN($G1965)-LEN(SUBSTITUTE($G1965,"-",""))-1),SUBSTITUTE(SUBSTITUTE(SUBSTITUTE($G1965,"-"," ",LEN($G1965)-LEN(SUBSTITUTE($G1965,"-",""))),"-"," ",LEN($G1965)-LEN(SUBSTITUTE($G1965,"-",""))-1),"."," ",(LEN(SUBSTITUTE(SUBSTITUTE($G1965,"-"," ",LEN($G1965)-LEN(SUBSTITUTE($G1965,"-",""))),"-"," ",LEN($G1965)-LEN(SUBSTITUTE($G1965,"-",""))-1))-LEN(SUBSTITUTE(SUBSTITUTE(SUBSTITUTE($G1965,"-"," ",LEN($G1965)-LEN(SUBSTITUTE($G1965,"-",""))),"-"," ",LEN($G1965)-LEN(SUBSTITUTE($G1965,"-",""))-1),".",""))))),$G1965)))</f>
        <v/>
      </c>
    </row>
    <row r="1966">
      <c r="A1966" s="58" t="n"/>
      <c r="B1966" s="58">
        <f>IF($H1966="","",LEFT($H1966,FIND(" ",$H1966&amp;" ")-1))</f>
        <v/>
      </c>
      <c r="C1966" s="58">
        <f>IF($H1966="","",IFERROR(MID($H1966&amp;" ",FIND("|",SUBSTITUTE($H1966&amp;" "," ","|",1))+1,FIND("|",SUBSTITUTE($H1966&amp;" "," ","|",2))-FIND("|",SUBSTITUTE($H1966&amp;" "," ","|",1))-1),""))</f>
        <v/>
      </c>
      <c r="D1966" s="58">
        <f>IF($H1966="","",IFERROR(MID($H1966&amp;" ",FIND("|",SUBSTITUTE($H1966&amp;" "," ","|",2))+1,FIND("|",SUBSTITUTE($H1966&amp;" "," ","|",3))-FIND("|",SUBSTITUTE($H1966&amp;" "," ","|",2))-1),""))</f>
        <v/>
      </c>
      <c r="E1966" s="58">
        <f>IF($H1966="","",IFERROR(MID($H1966&amp;" ",FIND("|",SUBSTITUTE($H1966&amp;" "," ","|",3))+1,FIND("|",SUBSTITUTE($H1966&amp;" "," ","|",4))-FIND("|",SUBSTITUTE($H1966&amp;" "," ","|",3))-1),""))</f>
        <v/>
      </c>
      <c r="F1966" s="59">
        <f>IF($H1966="","",IFERROR(VALUE(IFERROR(MID($H1966&amp;" ",FIND("|",SUBSTITUTE($H1966&amp;" "," ","|",4))+1,FIND("|",SUBSTITUTE($H1966&amp;" "," ","|",5))-FIND("|",SUBSTITUTE($H1966&amp;" "," ","|",4))-1),""))/86400+25569+9/24,""))</f>
        <v/>
      </c>
      <c r="G1966" s="58">
        <f>TRIM(SUBSTITUTE(SUBSTITUTE(SUBSTITUTE($A1966,CHAR(9)," ")," "," "),CHAR(13),""))</f>
        <v/>
      </c>
      <c r="H1966" s="58">
        <f>IF($G1966="","",IF(ISNUMBER(FIND(" ",$G1966)),$G1966,IFERROR(IF((LEN(SUBSTITUTE(SUBSTITUTE($G1966,"-"," ",LEN($G1966)-LEN(SUBSTITUTE($G1966,"-",""))),"-"," ",LEN($G1966)-LEN(SUBSTITUTE($G1966,"-",""))-1))-LEN(SUBSTITUTE(SUBSTITUTE(SUBSTITUTE($G1966,"-"," ",LEN($G1966)-LEN(SUBSTITUTE($G1966,"-",""))),"-"," ",LEN($G1966)-LEN(SUBSTITUTE($G1966,"-",""))-1),".","")))=0,SUBSTITUTE(SUBSTITUTE($G1966,"-"," ",LEN($G1966)-LEN(SUBSTITUTE($G1966,"-",""))),"-"," ",LEN($G1966)-LEN(SUBSTITUTE($G1966,"-",""))-1),SUBSTITUTE(SUBSTITUTE(SUBSTITUTE($G1966,"-"," ",LEN($G1966)-LEN(SUBSTITUTE($G1966,"-",""))),"-"," ",LEN($G1966)-LEN(SUBSTITUTE($G1966,"-",""))-1),"."," ",(LEN(SUBSTITUTE(SUBSTITUTE($G1966,"-"," ",LEN($G1966)-LEN(SUBSTITUTE($G1966,"-",""))),"-"," ",LEN($G1966)-LEN(SUBSTITUTE($G1966,"-",""))-1))-LEN(SUBSTITUTE(SUBSTITUTE(SUBSTITUTE($G1966,"-"," ",LEN($G1966)-LEN(SUBSTITUTE($G1966,"-",""))),"-"," ",LEN($G1966)-LEN(SUBSTITUTE($G1966,"-",""))-1),".",""))))),$G1966)))</f>
        <v/>
      </c>
    </row>
    <row r="1967">
      <c r="A1967" s="58" t="n"/>
      <c r="B1967" s="58">
        <f>IF($H1967="","",LEFT($H1967,FIND(" ",$H1967&amp;" ")-1))</f>
        <v/>
      </c>
      <c r="C1967" s="58">
        <f>IF($H1967="","",IFERROR(MID($H1967&amp;" ",FIND("|",SUBSTITUTE($H1967&amp;" "," ","|",1))+1,FIND("|",SUBSTITUTE($H1967&amp;" "," ","|",2))-FIND("|",SUBSTITUTE($H1967&amp;" "," ","|",1))-1),""))</f>
        <v/>
      </c>
      <c r="D1967" s="58">
        <f>IF($H1967="","",IFERROR(MID($H1967&amp;" ",FIND("|",SUBSTITUTE($H1967&amp;" "," ","|",2))+1,FIND("|",SUBSTITUTE($H1967&amp;" "," ","|",3))-FIND("|",SUBSTITUTE($H1967&amp;" "," ","|",2))-1),""))</f>
        <v/>
      </c>
      <c r="E1967" s="58">
        <f>IF($H1967="","",IFERROR(MID($H1967&amp;" ",FIND("|",SUBSTITUTE($H1967&amp;" "," ","|",3))+1,FIND("|",SUBSTITUTE($H1967&amp;" "," ","|",4))-FIND("|",SUBSTITUTE($H1967&amp;" "," ","|",3))-1),""))</f>
        <v/>
      </c>
      <c r="F1967" s="59">
        <f>IF($H1967="","",IFERROR(VALUE(IFERROR(MID($H1967&amp;" ",FIND("|",SUBSTITUTE($H1967&amp;" "," ","|",4))+1,FIND("|",SUBSTITUTE($H1967&amp;" "," ","|",5))-FIND("|",SUBSTITUTE($H1967&amp;" "," ","|",4))-1),""))/86400+25569+9/24,""))</f>
        <v/>
      </c>
      <c r="G1967" s="58">
        <f>TRIM(SUBSTITUTE(SUBSTITUTE(SUBSTITUTE($A1967,CHAR(9)," ")," "," "),CHAR(13),""))</f>
        <v/>
      </c>
      <c r="H1967" s="58">
        <f>IF($G1967="","",IF(ISNUMBER(FIND(" ",$G1967)),$G1967,IFERROR(IF((LEN(SUBSTITUTE(SUBSTITUTE($G1967,"-"," ",LEN($G1967)-LEN(SUBSTITUTE($G1967,"-",""))),"-"," ",LEN($G1967)-LEN(SUBSTITUTE($G1967,"-",""))-1))-LEN(SUBSTITUTE(SUBSTITUTE(SUBSTITUTE($G1967,"-"," ",LEN($G1967)-LEN(SUBSTITUTE($G1967,"-",""))),"-"," ",LEN($G1967)-LEN(SUBSTITUTE($G1967,"-",""))-1),".","")))=0,SUBSTITUTE(SUBSTITUTE($G1967,"-"," ",LEN($G1967)-LEN(SUBSTITUTE($G1967,"-",""))),"-"," ",LEN($G1967)-LEN(SUBSTITUTE($G1967,"-",""))-1),SUBSTITUTE(SUBSTITUTE(SUBSTITUTE($G1967,"-"," ",LEN($G1967)-LEN(SUBSTITUTE($G1967,"-",""))),"-"," ",LEN($G1967)-LEN(SUBSTITUTE($G1967,"-",""))-1),"."," ",(LEN(SUBSTITUTE(SUBSTITUTE($G1967,"-"," ",LEN($G1967)-LEN(SUBSTITUTE($G1967,"-",""))),"-"," ",LEN($G1967)-LEN(SUBSTITUTE($G1967,"-",""))-1))-LEN(SUBSTITUTE(SUBSTITUTE(SUBSTITUTE($G1967,"-"," ",LEN($G1967)-LEN(SUBSTITUTE($G1967,"-",""))),"-"," ",LEN($G1967)-LEN(SUBSTITUTE($G1967,"-",""))-1),".",""))))),$G1967)))</f>
        <v/>
      </c>
    </row>
    <row r="1968">
      <c r="A1968" s="58" t="n"/>
      <c r="B1968" s="58">
        <f>IF($H1968="","",LEFT($H1968,FIND(" ",$H1968&amp;" ")-1))</f>
        <v/>
      </c>
      <c r="C1968" s="58">
        <f>IF($H1968="","",IFERROR(MID($H1968&amp;" ",FIND("|",SUBSTITUTE($H1968&amp;" "," ","|",1))+1,FIND("|",SUBSTITUTE($H1968&amp;" "," ","|",2))-FIND("|",SUBSTITUTE($H1968&amp;" "," ","|",1))-1),""))</f>
        <v/>
      </c>
      <c r="D1968" s="58">
        <f>IF($H1968="","",IFERROR(MID($H1968&amp;" ",FIND("|",SUBSTITUTE($H1968&amp;" "," ","|",2))+1,FIND("|",SUBSTITUTE($H1968&amp;" "," ","|",3))-FIND("|",SUBSTITUTE($H1968&amp;" "," ","|",2))-1),""))</f>
        <v/>
      </c>
      <c r="E1968" s="58">
        <f>IF($H1968="","",IFERROR(MID($H1968&amp;" ",FIND("|",SUBSTITUTE($H1968&amp;" "," ","|",3))+1,FIND("|",SUBSTITUTE($H1968&amp;" "," ","|",4))-FIND("|",SUBSTITUTE($H1968&amp;" "," ","|",3))-1),""))</f>
        <v/>
      </c>
      <c r="F1968" s="59">
        <f>IF($H1968="","",IFERROR(VALUE(IFERROR(MID($H1968&amp;" ",FIND("|",SUBSTITUTE($H1968&amp;" "," ","|",4))+1,FIND("|",SUBSTITUTE($H1968&amp;" "," ","|",5))-FIND("|",SUBSTITUTE($H1968&amp;" "," ","|",4))-1),""))/86400+25569+9/24,""))</f>
        <v/>
      </c>
      <c r="G1968" s="58">
        <f>TRIM(SUBSTITUTE(SUBSTITUTE(SUBSTITUTE($A1968,CHAR(9)," ")," "," "),CHAR(13),""))</f>
        <v/>
      </c>
      <c r="H1968" s="58">
        <f>IF($G1968="","",IF(ISNUMBER(FIND(" ",$G1968)),$G1968,IFERROR(IF((LEN(SUBSTITUTE(SUBSTITUTE($G1968,"-"," ",LEN($G1968)-LEN(SUBSTITUTE($G1968,"-",""))),"-"," ",LEN($G1968)-LEN(SUBSTITUTE($G1968,"-",""))-1))-LEN(SUBSTITUTE(SUBSTITUTE(SUBSTITUTE($G1968,"-"," ",LEN($G1968)-LEN(SUBSTITUTE($G1968,"-",""))),"-"," ",LEN($G1968)-LEN(SUBSTITUTE($G1968,"-",""))-1),".","")))=0,SUBSTITUTE(SUBSTITUTE($G1968,"-"," ",LEN($G1968)-LEN(SUBSTITUTE($G1968,"-",""))),"-"," ",LEN($G1968)-LEN(SUBSTITUTE($G1968,"-",""))-1),SUBSTITUTE(SUBSTITUTE(SUBSTITUTE($G1968,"-"," ",LEN($G1968)-LEN(SUBSTITUTE($G1968,"-",""))),"-"," ",LEN($G1968)-LEN(SUBSTITUTE($G1968,"-",""))-1),"."," ",(LEN(SUBSTITUTE(SUBSTITUTE($G1968,"-"," ",LEN($G1968)-LEN(SUBSTITUTE($G1968,"-",""))),"-"," ",LEN($G1968)-LEN(SUBSTITUTE($G1968,"-",""))-1))-LEN(SUBSTITUTE(SUBSTITUTE(SUBSTITUTE($G1968,"-"," ",LEN($G1968)-LEN(SUBSTITUTE($G1968,"-",""))),"-"," ",LEN($G1968)-LEN(SUBSTITUTE($G1968,"-",""))-1),".",""))))),$G1968)))</f>
        <v/>
      </c>
    </row>
    <row r="1969">
      <c r="A1969" s="58" t="n"/>
      <c r="B1969" s="58">
        <f>IF($H1969="","",LEFT($H1969,FIND(" ",$H1969&amp;" ")-1))</f>
        <v/>
      </c>
      <c r="C1969" s="58">
        <f>IF($H1969="","",IFERROR(MID($H1969&amp;" ",FIND("|",SUBSTITUTE($H1969&amp;" "," ","|",1))+1,FIND("|",SUBSTITUTE($H1969&amp;" "," ","|",2))-FIND("|",SUBSTITUTE($H1969&amp;" "," ","|",1))-1),""))</f>
        <v/>
      </c>
      <c r="D1969" s="58">
        <f>IF($H1969="","",IFERROR(MID($H1969&amp;" ",FIND("|",SUBSTITUTE($H1969&amp;" "," ","|",2))+1,FIND("|",SUBSTITUTE($H1969&amp;" "," ","|",3))-FIND("|",SUBSTITUTE($H1969&amp;" "," ","|",2))-1),""))</f>
        <v/>
      </c>
      <c r="E1969" s="58">
        <f>IF($H1969="","",IFERROR(MID($H1969&amp;" ",FIND("|",SUBSTITUTE($H1969&amp;" "," ","|",3))+1,FIND("|",SUBSTITUTE($H1969&amp;" "," ","|",4))-FIND("|",SUBSTITUTE($H1969&amp;" "," ","|",3))-1),""))</f>
        <v/>
      </c>
      <c r="F1969" s="59">
        <f>IF($H1969="","",IFERROR(VALUE(IFERROR(MID($H1969&amp;" ",FIND("|",SUBSTITUTE($H1969&amp;" "," ","|",4))+1,FIND("|",SUBSTITUTE($H1969&amp;" "," ","|",5))-FIND("|",SUBSTITUTE($H1969&amp;" "," ","|",4))-1),""))/86400+25569+9/24,""))</f>
        <v/>
      </c>
      <c r="G1969" s="58">
        <f>TRIM(SUBSTITUTE(SUBSTITUTE(SUBSTITUTE($A1969,CHAR(9)," ")," "," "),CHAR(13),""))</f>
        <v/>
      </c>
      <c r="H1969" s="58">
        <f>IF($G1969="","",IF(ISNUMBER(FIND(" ",$G1969)),$G1969,IFERROR(IF((LEN(SUBSTITUTE(SUBSTITUTE($G1969,"-"," ",LEN($G1969)-LEN(SUBSTITUTE($G1969,"-",""))),"-"," ",LEN($G1969)-LEN(SUBSTITUTE($G1969,"-",""))-1))-LEN(SUBSTITUTE(SUBSTITUTE(SUBSTITUTE($G1969,"-"," ",LEN($G1969)-LEN(SUBSTITUTE($G1969,"-",""))),"-"," ",LEN($G1969)-LEN(SUBSTITUTE($G1969,"-",""))-1),".","")))=0,SUBSTITUTE(SUBSTITUTE($G1969,"-"," ",LEN($G1969)-LEN(SUBSTITUTE($G1969,"-",""))),"-"," ",LEN($G1969)-LEN(SUBSTITUTE($G1969,"-",""))-1),SUBSTITUTE(SUBSTITUTE(SUBSTITUTE($G1969,"-"," ",LEN($G1969)-LEN(SUBSTITUTE($G1969,"-",""))),"-"," ",LEN($G1969)-LEN(SUBSTITUTE($G1969,"-",""))-1),"."," ",(LEN(SUBSTITUTE(SUBSTITUTE($G1969,"-"," ",LEN($G1969)-LEN(SUBSTITUTE($G1969,"-",""))),"-"," ",LEN($G1969)-LEN(SUBSTITUTE($G1969,"-",""))-1))-LEN(SUBSTITUTE(SUBSTITUTE(SUBSTITUTE($G1969,"-"," ",LEN($G1969)-LEN(SUBSTITUTE($G1969,"-",""))),"-"," ",LEN($G1969)-LEN(SUBSTITUTE($G1969,"-",""))-1),".",""))))),$G1969)))</f>
        <v/>
      </c>
    </row>
    <row r="1970">
      <c r="A1970" s="58" t="n"/>
      <c r="B1970" s="58">
        <f>IF($H1970="","",LEFT($H1970,FIND(" ",$H1970&amp;" ")-1))</f>
        <v/>
      </c>
      <c r="C1970" s="58">
        <f>IF($H1970="","",IFERROR(MID($H1970&amp;" ",FIND("|",SUBSTITUTE($H1970&amp;" "," ","|",1))+1,FIND("|",SUBSTITUTE($H1970&amp;" "," ","|",2))-FIND("|",SUBSTITUTE($H1970&amp;" "," ","|",1))-1),""))</f>
        <v/>
      </c>
      <c r="D1970" s="58">
        <f>IF($H1970="","",IFERROR(MID($H1970&amp;" ",FIND("|",SUBSTITUTE($H1970&amp;" "," ","|",2))+1,FIND("|",SUBSTITUTE($H1970&amp;" "," ","|",3))-FIND("|",SUBSTITUTE($H1970&amp;" "," ","|",2))-1),""))</f>
        <v/>
      </c>
      <c r="E1970" s="58">
        <f>IF($H1970="","",IFERROR(MID($H1970&amp;" ",FIND("|",SUBSTITUTE($H1970&amp;" "," ","|",3))+1,FIND("|",SUBSTITUTE($H1970&amp;" "," ","|",4))-FIND("|",SUBSTITUTE($H1970&amp;" "," ","|",3))-1),""))</f>
        <v/>
      </c>
      <c r="F1970" s="59">
        <f>IF($H1970="","",IFERROR(VALUE(IFERROR(MID($H1970&amp;" ",FIND("|",SUBSTITUTE($H1970&amp;" "," ","|",4))+1,FIND("|",SUBSTITUTE($H1970&amp;" "," ","|",5))-FIND("|",SUBSTITUTE($H1970&amp;" "," ","|",4))-1),""))/86400+25569+9/24,""))</f>
        <v/>
      </c>
      <c r="G1970" s="58">
        <f>TRIM(SUBSTITUTE(SUBSTITUTE(SUBSTITUTE($A1970,CHAR(9)," ")," "," "),CHAR(13),""))</f>
        <v/>
      </c>
      <c r="H1970" s="58">
        <f>IF($G1970="","",IF(ISNUMBER(FIND(" ",$G1970)),$G1970,IFERROR(IF((LEN(SUBSTITUTE(SUBSTITUTE($G1970,"-"," ",LEN($G1970)-LEN(SUBSTITUTE($G1970,"-",""))),"-"," ",LEN($G1970)-LEN(SUBSTITUTE($G1970,"-",""))-1))-LEN(SUBSTITUTE(SUBSTITUTE(SUBSTITUTE($G1970,"-"," ",LEN($G1970)-LEN(SUBSTITUTE($G1970,"-",""))),"-"," ",LEN($G1970)-LEN(SUBSTITUTE($G1970,"-",""))-1),".","")))=0,SUBSTITUTE(SUBSTITUTE($G1970,"-"," ",LEN($G1970)-LEN(SUBSTITUTE($G1970,"-",""))),"-"," ",LEN($G1970)-LEN(SUBSTITUTE($G1970,"-",""))-1),SUBSTITUTE(SUBSTITUTE(SUBSTITUTE($G1970,"-"," ",LEN($G1970)-LEN(SUBSTITUTE($G1970,"-",""))),"-"," ",LEN($G1970)-LEN(SUBSTITUTE($G1970,"-",""))-1),"."," ",(LEN(SUBSTITUTE(SUBSTITUTE($G1970,"-"," ",LEN($G1970)-LEN(SUBSTITUTE($G1970,"-",""))),"-"," ",LEN($G1970)-LEN(SUBSTITUTE($G1970,"-",""))-1))-LEN(SUBSTITUTE(SUBSTITUTE(SUBSTITUTE($G1970,"-"," ",LEN($G1970)-LEN(SUBSTITUTE($G1970,"-",""))),"-"," ",LEN($G1970)-LEN(SUBSTITUTE($G1970,"-",""))-1),".",""))))),$G1970)))</f>
        <v/>
      </c>
    </row>
    <row r="1971">
      <c r="A1971" s="58" t="n"/>
      <c r="B1971" s="58">
        <f>IF($H1971="","",LEFT($H1971,FIND(" ",$H1971&amp;" ")-1))</f>
        <v/>
      </c>
      <c r="C1971" s="58">
        <f>IF($H1971="","",IFERROR(MID($H1971&amp;" ",FIND("|",SUBSTITUTE($H1971&amp;" "," ","|",1))+1,FIND("|",SUBSTITUTE($H1971&amp;" "," ","|",2))-FIND("|",SUBSTITUTE($H1971&amp;" "," ","|",1))-1),""))</f>
        <v/>
      </c>
      <c r="D1971" s="58">
        <f>IF($H1971="","",IFERROR(MID($H1971&amp;" ",FIND("|",SUBSTITUTE($H1971&amp;" "," ","|",2))+1,FIND("|",SUBSTITUTE($H1971&amp;" "," ","|",3))-FIND("|",SUBSTITUTE($H1971&amp;" "," ","|",2))-1),""))</f>
        <v/>
      </c>
      <c r="E1971" s="58">
        <f>IF($H1971="","",IFERROR(MID($H1971&amp;" ",FIND("|",SUBSTITUTE($H1971&amp;" "," ","|",3))+1,FIND("|",SUBSTITUTE($H1971&amp;" "," ","|",4))-FIND("|",SUBSTITUTE($H1971&amp;" "," ","|",3))-1),""))</f>
        <v/>
      </c>
      <c r="F1971" s="59">
        <f>IF($H1971="","",IFERROR(VALUE(IFERROR(MID($H1971&amp;" ",FIND("|",SUBSTITUTE($H1971&amp;" "," ","|",4))+1,FIND("|",SUBSTITUTE($H1971&amp;" "," ","|",5))-FIND("|",SUBSTITUTE($H1971&amp;" "," ","|",4))-1),""))/86400+25569+9/24,""))</f>
        <v/>
      </c>
      <c r="G1971" s="58">
        <f>TRIM(SUBSTITUTE(SUBSTITUTE(SUBSTITUTE($A1971,CHAR(9)," ")," "," "),CHAR(13),""))</f>
        <v/>
      </c>
      <c r="H1971" s="58">
        <f>IF($G1971="","",IF(ISNUMBER(FIND(" ",$G1971)),$G1971,IFERROR(IF((LEN(SUBSTITUTE(SUBSTITUTE($G1971,"-"," ",LEN($G1971)-LEN(SUBSTITUTE($G1971,"-",""))),"-"," ",LEN($G1971)-LEN(SUBSTITUTE($G1971,"-",""))-1))-LEN(SUBSTITUTE(SUBSTITUTE(SUBSTITUTE($G1971,"-"," ",LEN($G1971)-LEN(SUBSTITUTE($G1971,"-",""))),"-"," ",LEN($G1971)-LEN(SUBSTITUTE($G1971,"-",""))-1),".","")))=0,SUBSTITUTE(SUBSTITUTE($G1971,"-"," ",LEN($G1971)-LEN(SUBSTITUTE($G1971,"-",""))),"-"," ",LEN($G1971)-LEN(SUBSTITUTE($G1971,"-",""))-1),SUBSTITUTE(SUBSTITUTE(SUBSTITUTE($G1971,"-"," ",LEN($G1971)-LEN(SUBSTITUTE($G1971,"-",""))),"-"," ",LEN($G1971)-LEN(SUBSTITUTE($G1971,"-",""))-1),"."," ",(LEN(SUBSTITUTE(SUBSTITUTE($G1971,"-"," ",LEN($G1971)-LEN(SUBSTITUTE($G1971,"-",""))),"-"," ",LEN($G1971)-LEN(SUBSTITUTE($G1971,"-",""))-1))-LEN(SUBSTITUTE(SUBSTITUTE(SUBSTITUTE($G1971,"-"," ",LEN($G1971)-LEN(SUBSTITUTE($G1971,"-",""))),"-"," ",LEN($G1971)-LEN(SUBSTITUTE($G1971,"-",""))-1),".",""))))),$G1971)))</f>
        <v/>
      </c>
    </row>
    <row r="1972">
      <c r="A1972" s="58" t="n"/>
      <c r="B1972" s="58">
        <f>IF($H1972="","",LEFT($H1972,FIND(" ",$H1972&amp;" ")-1))</f>
        <v/>
      </c>
      <c r="C1972" s="58">
        <f>IF($H1972="","",IFERROR(MID($H1972&amp;" ",FIND("|",SUBSTITUTE($H1972&amp;" "," ","|",1))+1,FIND("|",SUBSTITUTE($H1972&amp;" "," ","|",2))-FIND("|",SUBSTITUTE($H1972&amp;" "," ","|",1))-1),""))</f>
        <v/>
      </c>
      <c r="D1972" s="58">
        <f>IF($H1972="","",IFERROR(MID($H1972&amp;" ",FIND("|",SUBSTITUTE($H1972&amp;" "," ","|",2))+1,FIND("|",SUBSTITUTE($H1972&amp;" "," ","|",3))-FIND("|",SUBSTITUTE($H1972&amp;" "," ","|",2))-1),""))</f>
        <v/>
      </c>
      <c r="E1972" s="58">
        <f>IF($H1972="","",IFERROR(MID($H1972&amp;" ",FIND("|",SUBSTITUTE($H1972&amp;" "," ","|",3))+1,FIND("|",SUBSTITUTE($H1972&amp;" "," ","|",4))-FIND("|",SUBSTITUTE($H1972&amp;" "," ","|",3))-1),""))</f>
        <v/>
      </c>
      <c r="F1972" s="59">
        <f>IF($H1972="","",IFERROR(VALUE(IFERROR(MID($H1972&amp;" ",FIND("|",SUBSTITUTE($H1972&amp;" "," ","|",4))+1,FIND("|",SUBSTITUTE($H1972&amp;" "," ","|",5))-FIND("|",SUBSTITUTE($H1972&amp;" "," ","|",4))-1),""))/86400+25569+9/24,""))</f>
        <v/>
      </c>
      <c r="G1972" s="58">
        <f>TRIM(SUBSTITUTE(SUBSTITUTE(SUBSTITUTE($A1972,CHAR(9)," ")," "," "),CHAR(13),""))</f>
        <v/>
      </c>
      <c r="H1972" s="58">
        <f>IF($G1972="","",IF(ISNUMBER(FIND(" ",$G1972)),$G1972,IFERROR(IF((LEN(SUBSTITUTE(SUBSTITUTE($G1972,"-"," ",LEN($G1972)-LEN(SUBSTITUTE($G1972,"-",""))),"-"," ",LEN($G1972)-LEN(SUBSTITUTE($G1972,"-",""))-1))-LEN(SUBSTITUTE(SUBSTITUTE(SUBSTITUTE($G1972,"-"," ",LEN($G1972)-LEN(SUBSTITUTE($G1972,"-",""))),"-"," ",LEN($G1972)-LEN(SUBSTITUTE($G1972,"-",""))-1),".","")))=0,SUBSTITUTE(SUBSTITUTE($G1972,"-"," ",LEN($G1972)-LEN(SUBSTITUTE($G1972,"-",""))),"-"," ",LEN($G1972)-LEN(SUBSTITUTE($G1972,"-",""))-1),SUBSTITUTE(SUBSTITUTE(SUBSTITUTE($G1972,"-"," ",LEN($G1972)-LEN(SUBSTITUTE($G1972,"-",""))),"-"," ",LEN($G1972)-LEN(SUBSTITUTE($G1972,"-",""))-1),"."," ",(LEN(SUBSTITUTE(SUBSTITUTE($G1972,"-"," ",LEN($G1972)-LEN(SUBSTITUTE($G1972,"-",""))),"-"," ",LEN($G1972)-LEN(SUBSTITUTE($G1972,"-",""))-1))-LEN(SUBSTITUTE(SUBSTITUTE(SUBSTITUTE($G1972,"-"," ",LEN($G1972)-LEN(SUBSTITUTE($G1972,"-",""))),"-"," ",LEN($G1972)-LEN(SUBSTITUTE($G1972,"-",""))-1),".",""))))),$G1972)))</f>
        <v/>
      </c>
    </row>
    <row r="1973">
      <c r="A1973" s="58" t="n"/>
      <c r="B1973" s="58">
        <f>IF($H1973="","",LEFT($H1973,FIND(" ",$H1973&amp;" ")-1))</f>
        <v/>
      </c>
      <c r="C1973" s="58">
        <f>IF($H1973="","",IFERROR(MID($H1973&amp;" ",FIND("|",SUBSTITUTE($H1973&amp;" "," ","|",1))+1,FIND("|",SUBSTITUTE($H1973&amp;" "," ","|",2))-FIND("|",SUBSTITUTE($H1973&amp;" "," ","|",1))-1),""))</f>
        <v/>
      </c>
      <c r="D1973" s="58">
        <f>IF($H1973="","",IFERROR(MID($H1973&amp;" ",FIND("|",SUBSTITUTE($H1973&amp;" "," ","|",2))+1,FIND("|",SUBSTITUTE($H1973&amp;" "," ","|",3))-FIND("|",SUBSTITUTE($H1973&amp;" "," ","|",2))-1),""))</f>
        <v/>
      </c>
      <c r="E1973" s="58">
        <f>IF($H1973="","",IFERROR(MID($H1973&amp;" ",FIND("|",SUBSTITUTE($H1973&amp;" "," ","|",3))+1,FIND("|",SUBSTITUTE($H1973&amp;" "," ","|",4))-FIND("|",SUBSTITUTE($H1973&amp;" "," ","|",3))-1),""))</f>
        <v/>
      </c>
      <c r="F1973" s="59">
        <f>IF($H1973="","",IFERROR(VALUE(IFERROR(MID($H1973&amp;" ",FIND("|",SUBSTITUTE($H1973&amp;" "," ","|",4))+1,FIND("|",SUBSTITUTE($H1973&amp;" "," ","|",5))-FIND("|",SUBSTITUTE($H1973&amp;" "," ","|",4))-1),""))/86400+25569+9/24,""))</f>
        <v/>
      </c>
      <c r="G1973" s="58">
        <f>TRIM(SUBSTITUTE(SUBSTITUTE(SUBSTITUTE($A1973,CHAR(9)," ")," "," "),CHAR(13),""))</f>
        <v/>
      </c>
      <c r="H1973" s="58">
        <f>IF($G1973="","",IF(ISNUMBER(FIND(" ",$G1973)),$G1973,IFERROR(IF((LEN(SUBSTITUTE(SUBSTITUTE($G1973,"-"," ",LEN($G1973)-LEN(SUBSTITUTE($G1973,"-",""))),"-"," ",LEN($G1973)-LEN(SUBSTITUTE($G1973,"-",""))-1))-LEN(SUBSTITUTE(SUBSTITUTE(SUBSTITUTE($G1973,"-"," ",LEN($G1973)-LEN(SUBSTITUTE($G1973,"-",""))),"-"," ",LEN($G1973)-LEN(SUBSTITUTE($G1973,"-",""))-1),".","")))=0,SUBSTITUTE(SUBSTITUTE($G1973,"-"," ",LEN($G1973)-LEN(SUBSTITUTE($G1973,"-",""))),"-"," ",LEN($G1973)-LEN(SUBSTITUTE($G1973,"-",""))-1),SUBSTITUTE(SUBSTITUTE(SUBSTITUTE($G1973,"-"," ",LEN($G1973)-LEN(SUBSTITUTE($G1973,"-",""))),"-"," ",LEN($G1973)-LEN(SUBSTITUTE($G1973,"-",""))-1),"."," ",(LEN(SUBSTITUTE(SUBSTITUTE($G1973,"-"," ",LEN($G1973)-LEN(SUBSTITUTE($G1973,"-",""))),"-"," ",LEN($G1973)-LEN(SUBSTITUTE($G1973,"-",""))-1))-LEN(SUBSTITUTE(SUBSTITUTE(SUBSTITUTE($G1973,"-"," ",LEN($G1973)-LEN(SUBSTITUTE($G1973,"-",""))),"-"," ",LEN($G1973)-LEN(SUBSTITUTE($G1973,"-",""))-1),".",""))))),$G1973)))</f>
        <v/>
      </c>
    </row>
    <row r="1974">
      <c r="A1974" s="58" t="n"/>
      <c r="B1974" s="58">
        <f>IF($H1974="","",LEFT($H1974,FIND(" ",$H1974&amp;" ")-1))</f>
        <v/>
      </c>
      <c r="C1974" s="58">
        <f>IF($H1974="","",IFERROR(MID($H1974&amp;" ",FIND("|",SUBSTITUTE($H1974&amp;" "," ","|",1))+1,FIND("|",SUBSTITUTE($H1974&amp;" "," ","|",2))-FIND("|",SUBSTITUTE($H1974&amp;" "," ","|",1))-1),""))</f>
        <v/>
      </c>
      <c r="D1974" s="58">
        <f>IF($H1974="","",IFERROR(MID($H1974&amp;" ",FIND("|",SUBSTITUTE($H1974&amp;" "," ","|",2))+1,FIND("|",SUBSTITUTE($H1974&amp;" "," ","|",3))-FIND("|",SUBSTITUTE($H1974&amp;" "," ","|",2))-1),""))</f>
        <v/>
      </c>
      <c r="E1974" s="58">
        <f>IF($H1974="","",IFERROR(MID($H1974&amp;" ",FIND("|",SUBSTITUTE($H1974&amp;" "," ","|",3))+1,FIND("|",SUBSTITUTE($H1974&amp;" "," ","|",4))-FIND("|",SUBSTITUTE($H1974&amp;" "," ","|",3))-1),""))</f>
        <v/>
      </c>
      <c r="F1974" s="59">
        <f>IF($H1974="","",IFERROR(VALUE(IFERROR(MID($H1974&amp;" ",FIND("|",SUBSTITUTE($H1974&amp;" "," ","|",4))+1,FIND("|",SUBSTITUTE($H1974&amp;" "," ","|",5))-FIND("|",SUBSTITUTE($H1974&amp;" "," ","|",4))-1),""))/86400+25569+9/24,""))</f>
        <v/>
      </c>
      <c r="G1974" s="58">
        <f>TRIM(SUBSTITUTE(SUBSTITUTE(SUBSTITUTE($A1974,CHAR(9)," ")," "," "),CHAR(13),""))</f>
        <v/>
      </c>
      <c r="H1974" s="58">
        <f>IF($G1974="","",IF(ISNUMBER(FIND(" ",$G1974)),$G1974,IFERROR(IF((LEN(SUBSTITUTE(SUBSTITUTE($G1974,"-"," ",LEN($G1974)-LEN(SUBSTITUTE($G1974,"-",""))),"-"," ",LEN($G1974)-LEN(SUBSTITUTE($G1974,"-",""))-1))-LEN(SUBSTITUTE(SUBSTITUTE(SUBSTITUTE($G1974,"-"," ",LEN($G1974)-LEN(SUBSTITUTE($G1974,"-",""))),"-"," ",LEN($G1974)-LEN(SUBSTITUTE($G1974,"-",""))-1),".","")))=0,SUBSTITUTE(SUBSTITUTE($G1974,"-"," ",LEN($G1974)-LEN(SUBSTITUTE($G1974,"-",""))),"-"," ",LEN($G1974)-LEN(SUBSTITUTE($G1974,"-",""))-1),SUBSTITUTE(SUBSTITUTE(SUBSTITUTE($G1974,"-"," ",LEN($G1974)-LEN(SUBSTITUTE($G1974,"-",""))),"-"," ",LEN($G1974)-LEN(SUBSTITUTE($G1974,"-",""))-1),"."," ",(LEN(SUBSTITUTE(SUBSTITUTE($G1974,"-"," ",LEN($G1974)-LEN(SUBSTITUTE($G1974,"-",""))),"-"," ",LEN($G1974)-LEN(SUBSTITUTE($G1974,"-",""))-1))-LEN(SUBSTITUTE(SUBSTITUTE(SUBSTITUTE($G1974,"-"," ",LEN($G1974)-LEN(SUBSTITUTE($G1974,"-",""))),"-"," ",LEN($G1974)-LEN(SUBSTITUTE($G1974,"-",""))-1),".",""))))),$G1974)))</f>
        <v/>
      </c>
    </row>
    <row r="1975">
      <c r="A1975" s="58" t="n"/>
      <c r="B1975" s="58">
        <f>IF($H1975="","",LEFT($H1975,FIND(" ",$H1975&amp;" ")-1))</f>
        <v/>
      </c>
      <c r="C1975" s="58">
        <f>IF($H1975="","",IFERROR(MID($H1975&amp;" ",FIND("|",SUBSTITUTE($H1975&amp;" "," ","|",1))+1,FIND("|",SUBSTITUTE($H1975&amp;" "," ","|",2))-FIND("|",SUBSTITUTE($H1975&amp;" "," ","|",1))-1),""))</f>
        <v/>
      </c>
      <c r="D1975" s="58">
        <f>IF($H1975="","",IFERROR(MID($H1975&amp;" ",FIND("|",SUBSTITUTE($H1975&amp;" "," ","|",2))+1,FIND("|",SUBSTITUTE($H1975&amp;" "," ","|",3))-FIND("|",SUBSTITUTE($H1975&amp;" "," ","|",2))-1),""))</f>
        <v/>
      </c>
      <c r="E1975" s="58">
        <f>IF($H1975="","",IFERROR(MID($H1975&amp;" ",FIND("|",SUBSTITUTE($H1975&amp;" "," ","|",3))+1,FIND("|",SUBSTITUTE($H1975&amp;" "," ","|",4))-FIND("|",SUBSTITUTE($H1975&amp;" "," ","|",3))-1),""))</f>
        <v/>
      </c>
      <c r="F1975" s="59">
        <f>IF($H1975="","",IFERROR(VALUE(IFERROR(MID($H1975&amp;" ",FIND("|",SUBSTITUTE($H1975&amp;" "," ","|",4))+1,FIND("|",SUBSTITUTE($H1975&amp;" "," ","|",5))-FIND("|",SUBSTITUTE($H1975&amp;" "," ","|",4))-1),""))/86400+25569+9/24,""))</f>
        <v/>
      </c>
      <c r="G1975" s="58">
        <f>TRIM(SUBSTITUTE(SUBSTITUTE(SUBSTITUTE($A1975,CHAR(9)," ")," "," "),CHAR(13),""))</f>
        <v/>
      </c>
      <c r="H1975" s="58">
        <f>IF($G1975="","",IF(ISNUMBER(FIND(" ",$G1975)),$G1975,IFERROR(IF((LEN(SUBSTITUTE(SUBSTITUTE($G1975,"-"," ",LEN($G1975)-LEN(SUBSTITUTE($G1975,"-",""))),"-"," ",LEN($G1975)-LEN(SUBSTITUTE($G1975,"-",""))-1))-LEN(SUBSTITUTE(SUBSTITUTE(SUBSTITUTE($G1975,"-"," ",LEN($G1975)-LEN(SUBSTITUTE($G1975,"-",""))),"-"," ",LEN($G1975)-LEN(SUBSTITUTE($G1975,"-",""))-1),".","")))=0,SUBSTITUTE(SUBSTITUTE($G1975,"-"," ",LEN($G1975)-LEN(SUBSTITUTE($G1975,"-",""))),"-"," ",LEN($G1975)-LEN(SUBSTITUTE($G1975,"-",""))-1),SUBSTITUTE(SUBSTITUTE(SUBSTITUTE($G1975,"-"," ",LEN($G1975)-LEN(SUBSTITUTE($G1975,"-",""))),"-"," ",LEN($G1975)-LEN(SUBSTITUTE($G1975,"-",""))-1),"."," ",(LEN(SUBSTITUTE(SUBSTITUTE($G1975,"-"," ",LEN($G1975)-LEN(SUBSTITUTE($G1975,"-",""))),"-"," ",LEN($G1975)-LEN(SUBSTITUTE($G1975,"-",""))-1))-LEN(SUBSTITUTE(SUBSTITUTE(SUBSTITUTE($G1975,"-"," ",LEN($G1975)-LEN(SUBSTITUTE($G1975,"-",""))),"-"," ",LEN($G1975)-LEN(SUBSTITUTE($G1975,"-",""))-1),".",""))))),$G1975)))</f>
        <v/>
      </c>
    </row>
    <row r="1976">
      <c r="A1976" s="58" t="n"/>
      <c r="B1976" s="58">
        <f>IF($H1976="","",LEFT($H1976,FIND(" ",$H1976&amp;" ")-1))</f>
        <v/>
      </c>
      <c r="C1976" s="58">
        <f>IF($H1976="","",IFERROR(MID($H1976&amp;" ",FIND("|",SUBSTITUTE($H1976&amp;" "," ","|",1))+1,FIND("|",SUBSTITUTE($H1976&amp;" "," ","|",2))-FIND("|",SUBSTITUTE($H1976&amp;" "," ","|",1))-1),""))</f>
        <v/>
      </c>
      <c r="D1976" s="58">
        <f>IF($H1976="","",IFERROR(MID($H1976&amp;" ",FIND("|",SUBSTITUTE($H1976&amp;" "," ","|",2))+1,FIND("|",SUBSTITUTE($H1976&amp;" "," ","|",3))-FIND("|",SUBSTITUTE($H1976&amp;" "," ","|",2))-1),""))</f>
        <v/>
      </c>
      <c r="E1976" s="58">
        <f>IF($H1976="","",IFERROR(MID($H1976&amp;" ",FIND("|",SUBSTITUTE($H1976&amp;" "," ","|",3))+1,FIND("|",SUBSTITUTE($H1976&amp;" "," ","|",4))-FIND("|",SUBSTITUTE($H1976&amp;" "," ","|",3))-1),""))</f>
        <v/>
      </c>
      <c r="F1976" s="59">
        <f>IF($H1976="","",IFERROR(VALUE(IFERROR(MID($H1976&amp;" ",FIND("|",SUBSTITUTE($H1976&amp;" "," ","|",4))+1,FIND("|",SUBSTITUTE($H1976&amp;" "," ","|",5))-FIND("|",SUBSTITUTE($H1976&amp;" "," ","|",4))-1),""))/86400+25569+9/24,""))</f>
        <v/>
      </c>
      <c r="G1976" s="58">
        <f>TRIM(SUBSTITUTE(SUBSTITUTE(SUBSTITUTE($A1976,CHAR(9)," ")," "," "),CHAR(13),""))</f>
        <v/>
      </c>
      <c r="H1976" s="58">
        <f>IF($G1976="","",IF(ISNUMBER(FIND(" ",$G1976)),$G1976,IFERROR(IF((LEN(SUBSTITUTE(SUBSTITUTE($G1976,"-"," ",LEN($G1976)-LEN(SUBSTITUTE($G1976,"-",""))),"-"," ",LEN($G1976)-LEN(SUBSTITUTE($G1976,"-",""))-1))-LEN(SUBSTITUTE(SUBSTITUTE(SUBSTITUTE($G1976,"-"," ",LEN($G1976)-LEN(SUBSTITUTE($G1976,"-",""))),"-"," ",LEN($G1976)-LEN(SUBSTITUTE($G1976,"-",""))-1),".","")))=0,SUBSTITUTE(SUBSTITUTE($G1976,"-"," ",LEN($G1976)-LEN(SUBSTITUTE($G1976,"-",""))),"-"," ",LEN($G1976)-LEN(SUBSTITUTE($G1976,"-",""))-1),SUBSTITUTE(SUBSTITUTE(SUBSTITUTE($G1976,"-"," ",LEN($G1976)-LEN(SUBSTITUTE($G1976,"-",""))),"-"," ",LEN($G1976)-LEN(SUBSTITUTE($G1976,"-",""))-1),"."," ",(LEN(SUBSTITUTE(SUBSTITUTE($G1976,"-"," ",LEN($G1976)-LEN(SUBSTITUTE($G1976,"-",""))),"-"," ",LEN($G1976)-LEN(SUBSTITUTE($G1976,"-",""))-1))-LEN(SUBSTITUTE(SUBSTITUTE(SUBSTITUTE($G1976,"-"," ",LEN($G1976)-LEN(SUBSTITUTE($G1976,"-",""))),"-"," ",LEN($G1976)-LEN(SUBSTITUTE($G1976,"-",""))-1),".",""))))),$G1976)))</f>
        <v/>
      </c>
    </row>
    <row r="1977">
      <c r="A1977" s="58" t="n"/>
      <c r="B1977" s="58">
        <f>IF($H1977="","",LEFT($H1977,FIND(" ",$H1977&amp;" ")-1))</f>
        <v/>
      </c>
      <c r="C1977" s="58">
        <f>IF($H1977="","",IFERROR(MID($H1977&amp;" ",FIND("|",SUBSTITUTE($H1977&amp;" "," ","|",1))+1,FIND("|",SUBSTITUTE($H1977&amp;" "," ","|",2))-FIND("|",SUBSTITUTE($H1977&amp;" "," ","|",1))-1),""))</f>
        <v/>
      </c>
      <c r="D1977" s="58">
        <f>IF($H1977="","",IFERROR(MID($H1977&amp;" ",FIND("|",SUBSTITUTE($H1977&amp;" "," ","|",2))+1,FIND("|",SUBSTITUTE($H1977&amp;" "," ","|",3))-FIND("|",SUBSTITUTE($H1977&amp;" "," ","|",2))-1),""))</f>
        <v/>
      </c>
      <c r="E1977" s="58">
        <f>IF($H1977="","",IFERROR(MID($H1977&amp;" ",FIND("|",SUBSTITUTE($H1977&amp;" "," ","|",3))+1,FIND("|",SUBSTITUTE($H1977&amp;" "," ","|",4))-FIND("|",SUBSTITUTE($H1977&amp;" "," ","|",3))-1),""))</f>
        <v/>
      </c>
      <c r="F1977" s="59">
        <f>IF($H1977="","",IFERROR(VALUE(IFERROR(MID($H1977&amp;" ",FIND("|",SUBSTITUTE($H1977&amp;" "," ","|",4))+1,FIND("|",SUBSTITUTE($H1977&amp;" "," ","|",5))-FIND("|",SUBSTITUTE($H1977&amp;" "," ","|",4))-1),""))/86400+25569+9/24,""))</f>
        <v/>
      </c>
      <c r="G1977" s="58">
        <f>TRIM(SUBSTITUTE(SUBSTITUTE(SUBSTITUTE($A1977,CHAR(9)," ")," "," "),CHAR(13),""))</f>
        <v/>
      </c>
      <c r="H1977" s="58">
        <f>IF($G1977="","",IF(ISNUMBER(FIND(" ",$G1977)),$G1977,IFERROR(IF((LEN(SUBSTITUTE(SUBSTITUTE($G1977,"-"," ",LEN($G1977)-LEN(SUBSTITUTE($G1977,"-",""))),"-"," ",LEN($G1977)-LEN(SUBSTITUTE($G1977,"-",""))-1))-LEN(SUBSTITUTE(SUBSTITUTE(SUBSTITUTE($G1977,"-"," ",LEN($G1977)-LEN(SUBSTITUTE($G1977,"-",""))),"-"," ",LEN($G1977)-LEN(SUBSTITUTE($G1977,"-",""))-1),".","")))=0,SUBSTITUTE(SUBSTITUTE($G1977,"-"," ",LEN($G1977)-LEN(SUBSTITUTE($G1977,"-",""))),"-"," ",LEN($G1977)-LEN(SUBSTITUTE($G1977,"-",""))-1),SUBSTITUTE(SUBSTITUTE(SUBSTITUTE($G1977,"-"," ",LEN($G1977)-LEN(SUBSTITUTE($G1977,"-",""))),"-"," ",LEN($G1977)-LEN(SUBSTITUTE($G1977,"-",""))-1),"."," ",(LEN(SUBSTITUTE(SUBSTITUTE($G1977,"-"," ",LEN($G1977)-LEN(SUBSTITUTE($G1977,"-",""))),"-"," ",LEN($G1977)-LEN(SUBSTITUTE($G1977,"-",""))-1))-LEN(SUBSTITUTE(SUBSTITUTE(SUBSTITUTE($G1977,"-"," ",LEN($G1977)-LEN(SUBSTITUTE($G1977,"-",""))),"-"," ",LEN($G1977)-LEN(SUBSTITUTE($G1977,"-",""))-1),".",""))))),$G1977)))</f>
        <v/>
      </c>
    </row>
    <row r="1978">
      <c r="A1978" s="58" t="n"/>
      <c r="B1978" s="58">
        <f>IF($H1978="","",LEFT($H1978,FIND(" ",$H1978&amp;" ")-1))</f>
        <v/>
      </c>
      <c r="C1978" s="58">
        <f>IF($H1978="","",IFERROR(MID($H1978&amp;" ",FIND("|",SUBSTITUTE($H1978&amp;" "," ","|",1))+1,FIND("|",SUBSTITUTE($H1978&amp;" "," ","|",2))-FIND("|",SUBSTITUTE($H1978&amp;" "," ","|",1))-1),""))</f>
        <v/>
      </c>
      <c r="D1978" s="58">
        <f>IF($H1978="","",IFERROR(MID($H1978&amp;" ",FIND("|",SUBSTITUTE($H1978&amp;" "," ","|",2))+1,FIND("|",SUBSTITUTE($H1978&amp;" "," ","|",3))-FIND("|",SUBSTITUTE($H1978&amp;" "," ","|",2))-1),""))</f>
        <v/>
      </c>
      <c r="E1978" s="58">
        <f>IF($H1978="","",IFERROR(MID($H1978&amp;" ",FIND("|",SUBSTITUTE($H1978&amp;" "," ","|",3))+1,FIND("|",SUBSTITUTE($H1978&amp;" "," ","|",4))-FIND("|",SUBSTITUTE($H1978&amp;" "," ","|",3))-1),""))</f>
        <v/>
      </c>
      <c r="F1978" s="59">
        <f>IF($H1978="","",IFERROR(VALUE(IFERROR(MID($H1978&amp;" ",FIND("|",SUBSTITUTE($H1978&amp;" "," ","|",4))+1,FIND("|",SUBSTITUTE($H1978&amp;" "," ","|",5))-FIND("|",SUBSTITUTE($H1978&amp;" "," ","|",4))-1),""))/86400+25569+9/24,""))</f>
        <v/>
      </c>
      <c r="G1978" s="58">
        <f>TRIM(SUBSTITUTE(SUBSTITUTE(SUBSTITUTE($A1978,CHAR(9)," ")," "," "),CHAR(13),""))</f>
        <v/>
      </c>
      <c r="H1978" s="58">
        <f>IF($G1978="","",IF(ISNUMBER(FIND(" ",$G1978)),$G1978,IFERROR(IF((LEN(SUBSTITUTE(SUBSTITUTE($G1978,"-"," ",LEN($G1978)-LEN(SUBSTITUTE($G1978,"-",""))),"-"," ",LEN($G1978)-LEN(SUBSTITUTE($G1978,"-",""))-1))-LEN(SUBSTITUTE(SUBSTITUTE(SUBSTITUTE($G1978,"-"," ",LEN($G1978)-LEN(SUBSTITUTE($G1978,"-",""))),"-"," ",LEN($G1978)-LEN(SUBSTITUTE($G1978,"-",""))-1),".","")))=0,SUBSTITUTE(SUBSTITUTE($G1978,"-"," ",LEN($G1978)-LEN(SUBSTITUTE($G1978,"-",""))),"-"," ",LEN($G1978)-LEN(SUBSTITUTE($G1978,"-",""))-1),SUBSTITUTE(SUBSTITUTE(SUBSTITUTE($G1978,"-"," ",LEN($G1978)-LEN(SUBSTITUTE($G1978,"-",""))),"-"," ",LEN($G1978)-LEN(SUBSTITUTE($G1978,"-",""))-1),"."," ",(LEN(SUBSTITUTE(SUBSTITUTE($G1978,"-"," ",LEN($G1978)-LEN(SUBSTITUTE($G1978,"-",""))),"-"," ",LEN($G1978)-LEN(SUBSTITUTE($G1978,"-",""))-1))-LEN(SUBSTITUTE(SUBSTITUTE(SUBSTITUTE($G1978,"-"," ",LEN($G1978)-LEN(SUBSTITUTE($G1978,"-",""))),"-"," ",LEN($G1978)-LEN(SUBSTITUTE($G1978,"-",""))-1),".",""))))),$G1978)))</f>
        <v/>
      </c>
    </row>
    <row r="1979">
      <c r="A1979" s="58" t="n"/>
      <c r="B1979" s="58">
        <f>IF($H1979="","",LEFT($H1979,FIND(" ",$H1979&amp;" ")-1))</f>
        <v/>
      </c>
      <c r="C1979" s="58">
        <f>IF($H1979="","",IFERROR(MID($H1979&amp;" ",FIND("|",SUBSTITUTE($H1979&amp;" "," ","|",1))+1,FIND("|",SUBSTITUTE($H1979&amp;" "," ","|",2))-FIND("|",SUBSTITUTE($H1979&amp;" "," ","|",1))-1),""))</f>
        <v/>
      </c>
      <c r="D1979" s="58">
        <f>IF($H1979="","",IFERROR(MID($H1979&amp;" ",FIND("|",SUBSTITUTE($H1979&amp;" "," ","|",2))+1,FIND("|",SUBSTITUTE($H1979&amp;" "," ","|",3))-FIND("|",SUBSTITUTE($H1979&amp;" "," ","|",2))-1),""))</f>
        <v/>
      </c>
      <c r="E1979" s="58">
        <f>IF($H1979="","",IFERROR(MID($H1979&amp;" ",FIND("|",SUBSTITUTE($H1979&amp;" "," ","|",3))+1,FIND("|",SUBSTITUTE($H1979&amp;" "," ","|",4))-FIND("|",SUBSTITUTE($H1979&amp;" "," ","|",3))-1),""))</f>
        <v/>
      </c>
      <c r="F1979" s="59">
        <f>IF($H1979="","",IFERROR(VALUE(IFERROR(MID($H1979&amp;" ",FIND("|",SUBSTITUTE($H1979&amp;" "," ","|",4))+1,FIND("|",SUBSTITUTE($H1979&amp;" "," ","|",5))-FIND("|",SUBSTITUTE($H1979&amp;" "," ","|",4))-1),""))/86400+25569+9/24,""))</f>
        <v/>
      </c>
      <c r="G1979" s="58">
        <f>TRIM(SUBSTITUTE(SUBSTITUTE(SUBSTITUTE($A1979,CHAR(9)," ")," "," "),CHAR(13),""))</f>
        <v/>
      </c>
      <c r="H1979" s="58">
        <f>IF($G1979="","",IF(ISNUMBER(FIND(" ",$G1979)),$G1979,IFERROR(IF((LEN(SUBSTITUTE(SUBSTITUTE($G1979,"-"," ",LEN($G1979)-LEN(SUBSTITUTE($G1979,"-",""))),"-"," ",LEN($G1979)-LEN(SUBSTITUTE($G1979,"-",""))-1))-LEN(SUBSTITUTE(SUBSTITUTE(SUBSTITUTE($G1979,"-"," ",LEN($G1979)-LEN(SUBSTITUTE($G1979,"-",""))),"-"," ",LEN($G1979)-LEN(SUBSTITUTE($G1979,"-",""))-1),".","")))=0,SUBSTITUTE(SUBSTITUTE($G1979,"-"," ",LEN($G1979)-LEN(SUBSTITUTE($G1979,"-",""))),"-"," ",LEN($G1979)-LEN(SUBSTITUTE($G1979,"-",""))-1),SUBSTITUTE(SUBSTITUTE(SUBSTITUTE($G1979,"-"," ",LEN($G1979)-LEN(SUBSTITUTE($G1979,"-",""))),"-"," ",LEN($G1979)-LEN(SUBSTITUTE($G1979,"-",""))-1),"."," ",(LEN(SUBSTITUTE(SUBSTITUTE($G1979,"-"," ",LEN($G1979)-LEN(SUBSTITUTE($G1979,"-",""))),"-"," ",LEN($G1979)-LEN(SUBSTITUTE($G1979,"-",""))-1))-LEN(SUBSTITUTE(SUBSTITUTE(SUBSTITUTE($G1979,"-"," ",LEN($G1979)-LEN(SUBSTITUTE($G1979,"-",""))),"-"," ",LEN($G1979)-LEN(SUBSTITUTE($G1979,"-",""))-1),".",""))))),$G1979)))</f>
        <v/>
      </c>
    </row>
    <row r="1980">
      <c r="A1980" s="58" t="n"/>
      <c r="B1980" s="58">
        <f>IF($H1980="","",LEFT($H1980,FIND(" ",$H1980&amp;" ")-1))</f>
        <v/>
      </c>
      <c r="C1980" s="58">
        <f>IF($H1980="","",IFERROR(MID($H1980&amp;" ",FIND("|",SUBSTITUTE($H1980&amp;" "," ","|",1))+1,FIND("|",SUBSTITUTE($H1980&amp;" "," ","|",2))-FIND("|",SUBSTITUTE($H1980&amp;" "," ","|",1))-1),""))</f>
        <v/>
      </c>
      <c r="D1980" s="58">
        <f>IF($H1980="","",IFERROR(MID($H1980&amp;" ",FIND("|",SUBSTITUTE($H1980&amp;" "," ","|",2))+1,FIND("|",SUBSTITUTE($H1980&amp;" "," ","|",3))-FIND("|",SUBSTITUTE($H1980&amp;" "," ","|",2))-1),""))</f>
        <v/>
      </c>
      <c r="E1980" s="58">
        <f>IF($H1980="","",IFERROR(MID($H1980&amp;" ",FIND("|",SUBSTITUTE($H1980&amp;" "," ","|",3))+1,FIND("|",SUBSTITUTE($H1980&amp;" "," ","|",4))-FIND("|",SUBSTITUTE($H1980&amp;" "," ","|",3))-1),""))</f>
        <v/>
      </c>
      <c r="F1980" s="59">
        <f>IF($H1980="","",IFERROR(VALUE(IFERROR(MID($H1980&amp;" ",FIND("|",SUBSTITUTE($H1980&amp;" "," ","|",4))+1,FIND("|",SUBSTITUTE($H1980&amp;" "," ","|",5))-FIND("|",SUBSTITUTE($H1980&amp;" "," ","|",4))-1),""))/86400+25569+9/24,""))</f>
        <v/>
      </c>
      <c r="G1980" s="58">
        <f>TRIM(SUBSTITUTE(SUBSTITUTE(SUBSTITUTE($A1980,CHAR(9)," ")," "," "),CHAR(13),""))</f>
        <v/>
      </c>
      <c r="H1980" s="58">
        <f>IF($G1980="","",IF(ISNUMBER(FIND(" ",$G1980)),$G1980,IFERROR(IF((LEN(SUBSTITUTE(SUBSTITUTE($G1980,"-"," ",LEN($G1980)-LEN(SUBSTITUTE($G1980,"-",""))),"-"," ",LEN($G1980)-LEN(SUBSTITUTE($G1980,"-",""))-1))-LEN(SUBSTITUTE(SUBSTITUTE(SUBSTITUTE($G1980,"-"," ",LEN($G1980)-LEN(SUBSTITUTE($G1980,"-",""))),"-"," ",LEN($G1980)-LEN(SUBSTITUTE($G1980,"-",""))-1),".","")))=0,SUBSTITUTE(SUBSTITUTE($G1980,"-"," ",LEN($G1980)-LEN(SUBSTITUTE($G1980,"-",""))),"-"," ",LEN($G1980)-LEN(SUBSTITUTE($G1980,"-",""))-1),SUBSTITUTE(SUBSTITUTE(SUBSTITUTE($G1980,"-"," ",LEN($G1980)-LEN(SUBSTITUTE($G1980,"-",""))),"-"," ",LEN($G1980)-LEN(SUBSTITUTE($G1980,"-",""))-1),"."," ",(LEN(SUBSTITUTE(SUBSTITUTE($G1980,"-"," ",LEN($G1980)-LEN(SUBSTITUTE($G1980,"-",""))),"-"," ",LEN($G1980)-LEN(SUBSTITUTE($G1980,"-",""))-1))-LEN(SUBSTITUTE(SUBSTITUTE(SUBSTITUTE($G1980,"-"," ",LEN($G1980)-LEN(SUBSTITUTE($G1980,"-",""))),"-"," ",LEN($G1980)-LEN(SUBSTITUTE($G1980,"-",""))-1),".",""))))),$G1980)))</f>
        <v/>
      </c>
    </row>
    <row r="1981">
      <c r="A1981" s="58" t="n"/>
      <c r="B1981" s="58">
        <f>IF($H1981="","",LEFT($H1981,FIND(" ",$H1981&amp;" ")-1))</f>
        <v/>
      </c>
      <c r="C1981" s="58">
        <f>IF($H1981="","",IFERROR(MID($H1981&amp;" ",FIND("|",SUBSTITUTE($H1981&amp;" "," ","|",1))+1,FIND("|",SUBSTITUTE($H1981&amp;" "," ","|",2))-FIND("|",SUBSTITUTE($H1981&amp;" "," ","|",1))-1),""))</f>
        <v/>
      </c>
      <c r="D1981" s="58">
        <f>IF($H1981="","",IFERROR(MID($H1981&amp;" ",FIND("|",SUBSTITUTE($H1981&amp;" "," ","|",2))+1,FIND("|",SUBSTITUTE($H1981&amp;" "," ","|",3))-FIND("|",SUBSTITUTE($H1981&amp;" "," ","|",2))-1),""))</f>
        <v/>
      </c>
      <c r="E1981" s="58">
        <f>IF($H1981="","",IFERROR(MID($H1981&amp;" ",FIND("|",SUBSTITUTE($H1981&amp;" "," ","|",3))+1,FIND("|",SUBSTITUTE($H1981&amp;" "," ","|",4))-FIND("|",SUBSTITUTE($H1981&amp;" "," ","|",3))-1),""))</f>
        <v/>
      </c>
      <c r="F1981" s="59">
        <f>IF($H1981="","",IFERROR(VALUE(IFERROR(MID($H1981&amp;" ",FIND("|",SUBSTITUTE($H1981&amp;" "," ","|",4))+1,FIND("|",SUBSTITUTE($H1981&amp;" "," ","|",5))-FIND("|",SUBSTITUTE($H1981&amp;" "," ","|",4))-1),""))/86400+25569+9/24,""))</f>
        <v/>
      </c>
      <c r="G1981" s="58">
        <f>TRIM(SUBSTITUTE(SUBSTITUTE(SUBSTITUTE($A1981,CHAR(9)," ")," "," "),CHAR(13),""))</f>
        <v/>
      </c>
      <c r="H1981" s="58">
        <f>IF($G1981="","",IF(ISNUMBER(FIND(" ",$G1981)),$G1981,IFERROR(IF((LEN(SUBSTITUTE(SUBSTITUTE($G1981,"-"," ",LEN($G1981)-LEN(SUBSTITUTE($G1981,"-",""))),"-"," ",LEN($G1981)-LEN(SUBSTITUTE($G1981,"-",""))-1))-LEN(SUBSTITUTE(SUBSTITUTE(SUBSTITUTE($G1981,"-"," ",LEN($G1981)-LEN(SUBSTITUTE($G1981,"-",""))),"-"," ",LEN($G1981)-LEN(SUBSTITUTE($G1981,"-",""))-1),".","")))=0,SUBSTITUTE(SUBSTITUTE($G1981,"-"," ",LEN($G1981)-LEN(SUBSTITUTE($G1981,"-",""))),"-"," ",LEN($G1981)-LEN(SUBSTITUTE($G1981,"-",""))-1),SUBSTITUTE(SUBSTITUTE(SUBSTITUTE($G1981,"-"," ",LEN($G1981)-LEN(SUBSTITUTE($G1981,"-",""))),"-"," ",LEN($G1981)-LEN(SUBSTITUTE($G1981,"-",""))-1),"."," ",(LEN(SUBSTITUTE(SUBSTITUTE($G1981,"-"," ",LEN($G1981)-LEN(SUBSTITUTE($G1981,"-",""))),"-"," ",LEN($G1981)-LEN(SUBSTITUTE($G1981,"-",""))-1))-LEN(SUBSTITUTE(SUBSTITUTE(SUBSTITUTE($G1981,"-"," ",LEN($G1981)-LEN(SUBSTITUTE($G1981,"-",""))),"-"," ",LEN($G1981)-LEN(SUBSTITUTE($G1981,"-",""))-1),".",""))))),$G1981)))</f>
        <v/>
      </c>
    </row>
    <row r="1982">
      <c r="A1982" s="58" t="n"/>
      <c r="B1982" s="58">
        <f>IF($H1982="","",LEFT($H1982,FIND(" ",$H1982&amp;" ")-1))</f>
        <v/>
      </c>
      <c r="C1982" s="58">
        <f>IF($H1982="","",IFERROR(MID($H1982&amp;" ",FIND("|",SUBSTITUTE($H1982&amp;" "," ","|",1))+1,FIND("|",SUBSTITUTE($H1982&amp;" "," ","|",2))-FIND("|",SUBSTITUTE($H1982&amp;" "," ","|",1))-1),""))</f>
        <v/>
      </c>
      <c r="D1982" s="58">
        <f>IF($H1982="","",IFERROR(MID($H1982&amp;" ",FIND("|",SUBSTITUTE($H1982&amp;" "," ","|",2))+1,FIND("|",SUBSTITUTE($H1982&amp;" "," ","|",3))-FIND("|",SUBSTITUTE($H1982&amp;" "," ","|",2))-1),""))</f>
        <v/>
      </c>
      <c r="E1982" s="58">
        <f>IF($H1982="","",IFERROR(MID($H1982&amp;" ",FIND("|",SUBSTITUTE($H1982&amp;" "," ","|",3))+1,FIND("|",SUBSTITUTE($H1982&amp;" "," ","|",4))-FIND("|",SUBSTITUTE($H1982&amp;" "," ","|",3))-1),""))</f>
        <v/>
      </c>
      <c r="F1982" s="59">
        <f>IF($H1982="","",IFERROR(VALUE(IFERROR(MID($H1982&amp;" ",FIND("|",SUBSTITUTE($H1982&amp;" "," ","|",4))+1,FIND("|",SUBSTITUTE($H1982&amp;" "," ","|",5))-FIND("|",SUBSTITUTE($H1982&amp;" "," ","|",4))-1),""))/86400+25569+9/24,""))</f>
        <v/>
      </c>
      <c r="G1982" s="58">
        <f>TRIM(SUBSTITUTE(SUBSTITUTE(SUBSTITUTE($A1982,CHAR(9)," ")," "," "),CHAR(13),""))</f>
        <v/>
      </c>
      <c r="H1982" s="58">
        <f>IF($G1982="","",IF(ISNUMBER(FIND(" ",$G1982)),$G1982,IFERROR(IF((LEN(SUBSTITUTE(SUBSTITUTE($G1982,"-"," ",LEN($G1982)-LEN(SUBSTITUTE($G1982,"-",""))),"-"," ",LEN($G1982)-LEN(SUBSTITUTE($G1982,"-",""))-1))-LEN(SUBSTITUTE(SUBSTITUTE(SUBSTITUTE($G1982,"-"," ",LEN($G1982)-LEN(SUBSTITUTE($G1982,"-",""))),"-"," ",LEN($G1982)-LEN(SUBSTITUTE($G1982,"-",""))-1),".","")))=0,SUBSTITUTE(SUBSTITUTE($G1982,"-"," ",LEN($G1982)-LEN(SUBSTITUTE($G1982,"-",""))),"-"," ",LEN($G1982)-LEN(SUBSTITUTE($G1982,"-",""))-1),SUBSTITUTE(SUBSTITUTE(SUBSTITUTE($G1982,"-"," ",LEN($G1982)-LEN(SUBSTITUTE($G1982,"-",""))),"-"," ",LEN($G1982)-LEN(SUBSTITUTE($G1982,"-",""))-1),"."," ",(LEN(SUBSTITUTE(SUBSTITUTE($G1982,"-"," ",LEN($G1982)-LEN(SUBSTITUTE($G1982,"-",""))),"-"," ",LEN($G1982)-LEN(SUBSTITUTE($G1982,"-",""))-1))-LEN(SUBSTITUTE(SUBSTITUTE(SUBSTITUTE($G1982,"-"," ",LEN($G1982)-LEN(SUBSTITUTE($G1982,"-",""))),"-"," ",LEN($G1982)-LEN(SUBSTITUTE($G1982,"-",""))-1),".",""))))),$G1982)))</f>
        <v/>
      </c>
    </row>
    <row r="1983">
      <c r="A1983" s="58" t="n"/>
      <c r="B1983" s="58">
        <f>IF($H1983="","",LEFT($H1983,FIND(" ",$H1983&amp;" ")-1))</f>
        <v/>
      </c>
      <c r="C1983" s="58">
        <f>IF($H1983="","",IFERROR(MID($H1983&amp;" ",FIND("|",SUBSTITUTE($H1983&amp;" "," ","|",1))+1,FIND("|",SUBSTITUTE($H1983&amp;" "," ","|",2))-FIND("|",SUBSTITUTE($H1983&amp;" "," ","|",1))-1),""))</f>
        <v/>
      </c>
      <c r="D1983" s="58">
        <f>IF($H1983="","",IFERROR(MID($H1983&amp;" ",FIND("|",SUBSTITUTE($H1983&amp;" "," ","|",2))+1,FIND("|",SUBSTITUTE($H1983&amp;" "," ","|",3))-FIND("|",SUBSTITUTE($H1983&amp;" "," ","|",2))-1),""))</f>
        <v/>
      </c>
      <c r="E1983" s="58">
        <f>IF($H1983="","",IFERROR(MID($H1983&amp;" ",FIND("|",SUBSTITUTE($H1983&amp;" "," ","|",3))+1,FIND("|",SUBSTITUTE($H1983&amp;" "," ","|",4))-FIND("|",SUBSTITUTE($H1983&amp;" "," ","|",3))-1),""))</f>
        <v/>
      </c>
      <c r="F1983" s="59">
        <f>IF($H1983="","",IFERROR(VALUE(IFERROR(MID($H1983&amp;" ",FIND("|",SUBSTITUTE($H1983&amp;" "," ","|",4))+1,FIND("|",SUBSTITUTE($H1983&amp;" "," ","|",5))-FIND("|",SUBSTITUTE($H1983&amp;" "," ","|",4))-1),""))/86400+25569+9/24,""))</f>
        <v/>
      </c>
      <c r="G1983" s="58">
        <f>TRIM(SUBSTITUTE(SUBSTITUTE(SUBSTITUTE($A1983,CHAR(9)," ")," "," "),CHAR(13),""))</f>
        <v/>
      </c>
      <c r="H1983" s="58">
        <f>IF($G1983="","",IF(ISNUMBER(FIND(" ",$G1983)),$G1983,IFERROR(IF((LEN(SUBSTITUTE(SUBSTITUTE($G1983,"-"," ",LEN($G1983)-LEN(SUBSTITUTE($G1983,"-",""))),"-"," ",LEN($G1983)-LEN(SUBSTITUTE($G1983,"-",""))-1))-LEN(SUBSTITUTE(SUBSTITUTE(SUBSTITUTE($G1983,"-"," ",LEN($G1983)-LEN(SUBSTITUTE($G1983,"-",""))),"-"," ",LEN($G1983)-LEN(SUBSTITUTE($G1983,"-",""))-1),".","")))=0,SUBSTITUTE(SUBSTITUTE($G1983,"-"," ",LEN($G1983)-LEN(SUBSTITUTE($G1983,"-",""))),"-"," ",LEN($G1983)-LEN(SUBSTITUTE($G1983,"-",""))-1),SUBSTITUTE(SUBSTITUTE(SUBSTITUTE($G1983,"-"," ",LEN($G1983)-LEN(SUBSTITUTE($G1983,"-",""))),"-"," ",LEN($G1983)-LEN(SUBSTITUTE($G1983,"-",""))-1),"."," ",(LEN(SUBSTITUTE(SUBSTITUTE($G1983,"-"," ",LEN($G1983)-LEN(SUBSTITUTE($G1983,"-",""))),"-"," ",LEN($G1983)-LEN(SUBSTITUTE($G1983,"-",""))-1))-LEN(SUBSTITUTE(SUBSTITUTE(SUBSTITUTE($G1983,"-"," ",LEN($G1983)-LEN(SUBSTITUTE($G1983,"-",""))),"-"," ",LEN($G1983)-LEN(SUBSTITUTE($G1983,"-",""))-1),".",""))))),$G1983)))</f>
        <v/>
      </c>
    </row>
    <row r="1984">
      <c r="A1984" s="58" t="n"/>
      <c r="B1984" s="58">
        <f>IF($H1984="","",LEFT($H1984,FIND(" ",$H1984&amp;" ")-1))</f>
        <v/>
      </c>
      <c r="C1984" s="58">
        <f>IF($H1984="","",IFERROR(MID($H1984&amp;" ",FIND("|",SUBSTITUTE($H1984&amp;" "," ","|",1))+1,FIND("|",SUBSTITUTE($H1984&amp;" "," ","|",2))-FIND("|",SUBSTITUTE($H1984&amp;" "," ","|",1))-1),""))</f>
        <v/>
      </c>
      <c r="D1984" s="58">
        <f>IF($H1984="","",IFERROR(MID($H1984&amp;" ",FIND("|",SUBSTITUTE($H1984&amp;" "," ","|",2))+1,FIND("|",SUBSTITUTE($H1984&amp;" "," ","|",3))-FIND("|",SUBSTITUTE($H1984&amp;" "," ","|",2))-1),""))</f>
        <v/>
      </c>
      <c r="E1984" s="58">
        <f>IF($H1984="","",IFERROR(MID($H1984&amp;" ",FIND("|",SUBSTITUTE($H1984&amp;" "," ","|",3))+1,FIND("|",SUBSTITUTE($H1984&amp;" "," ","|",4))-FIND("|",SUBSTITUTE($H1984&amp;" "," ","|",3))-1),""))</f>
        <v/>
      </c>
      <c r="F1984" s="59">
        <f>IF($H1984="","",IFERROR(VALUE(IFERROR(MID($H1984&amp;" ",FIND("|",SUBSTITUTE($H1984&amp;" "," ","|",4))+1,FIND("|",SUBSTITUTE($H1984&amp;" "," ","|",5))-FIND("|",SUBSTITUTE($H1984&amp;" "," ","|",4))-1),""))/86400+25569+9/24,""))</f>
        <v/>
      </c>
      <c r="G1984" s="58">
        <f>TRIM(SUBSTITUTE(SUBSTITUTE(SUBSTITUTE($A1984,CHAR(9)," ")," "," "),CHAR(13),""))</f>
        <v/>
      </c>
      <c r="H1984" s="58">
        <f>IF($G1984="","",IF(ISNUMBER(FIND(" ",$G1984)),$G1984,IFERROR(IF((LEN(SUBSTITUTE(SUBSTITUTE($G1984,"-"," ",LEN($G1984)-LEN(SUBSTITUTE($G1984,"-",""))),"-"," ",LEN($G1984)-LEN(SUBSTITUTE($G1984,"-",""))-1))-LEN(SUBSTITUTE(SUBSTITUTE(SUBSTITUTE($G1984,"-"," ",LEN($G1984)-LEN(SUBSTITUTE($G1984,"-",""))),"-"," ",LEN($G1984)-LEN(SUBSTITUTE($G1984,"-",""))-1),".","")))=0,SUBSTITUTE(SUBSTITUTE($G1984,"-"," ",LEN($G1984)-LEN(SUBSTITUTE($G1984,"-",""))),"-"," ",LEN($G1984)-LEN(SUBSTITUTE($G1984,"-",""))-1),SUBSTITUTE(SUBSTITUTE(SUBSTITUTE($G1984,"-"," ",LEN($G1984)-LEN(SUBSTITUTE($G1984,"-",""))),"-"," ",LEN($G1984)-LEN(SUBSTITUTE($G1984,"-",""))-1),"."," ",(LEN(SUBSTITUTE(SUBSTITUTE($G1984,"-"," ",LEN($G1984)-LEN(SUBSTITUTE($G1984,"-",""))),"-"," ",LEN($G1984)-LEN(SUBSTITUTE($G1984,"-",""))-1))-LEN(SUBSTITUTE(SUBSTITUTE(SUBSTITUTE($G1984,"-"," ",LEN($G1984)-LEN(SUBSTITUTE($G1984,"-",""))),"-"," ",LEN($G1984)-LEN(SUBSTITUTE($G1984,"-",""))-1),".",""))))),$G1984)))</f>
        <v/>
      </c>
    </row>
    <row r="1985">
      <c r="A1985" s="58" t="n"/>
      <c r="B1985" s="58">
        <f>IF($H1985="","",LEFT($H1985,FIND(" ",$H1985&amp;" ")-1))</f>
        <v/>
      </c>
      <c r="C1985" s="58">
        <f>IF($H1985="","",IFERROR(MID($H1985&amp;" ",FIND("|",SUBSTITUTE($H1985&amp;" "," ","|",1))+1,FIND("|",SUBSTITUTE($H1985&amp;" "," ","|",2))-FIND("|",SUBSTITUTE($H1985&amp;" "," ","|",1))-1),""))</f>
        <v/>
      </c>
      <c r="D1985" s="58">
        <f>IF($H1985="","",IFERROR(MID($H1985&amp;" ",FIND("|",SUBSTITUTE($H1985&amp;" "," ","|",2))+1,FIND("|",SUBSTITUTE($H1985&amp;" "," ","|",3))-FIND("|",SUBSTITUTE($H1985&amp;" "," ","|",2))-1),""))</f>
        <v/>
      </c>
      <c r="E1985" s="58">
        <f>IF($H1985="","",IFERROR(MID($H1985&amp;" ",FIND("|",SUBSTITUTE($H1985&amp;" "," ","|",3))+1,FIND("|",SUBSTITUTE($H1985&amp;" "," ","|",4))-FIND("|",SUBSTITUTE($H1985&amp;" "," ","|",3))-1),""))</f>
        <v/>
      </c>
      <c r="F1985" s="59">
        <f>IF($H1985="","",IFERROR(VALUE(IFERROR(MID($H1985&amp;" ",FIND("|",SUBSTITUTE($H1985&amp;" "," ","|",4))+1,FIND("|",SUBSTITUTE($H1985&amp;" "," ","|",5))-FIND("|",SUBSTITUTE($H1985&amp;" "," ","|",4))-1),""))/86400+25569+9/24,""))</f>
        <v/>
      </c>
      <c r="G1985" s="58">
        <f>TRIM(SUBSTITUTE(SUBSTITUTE(SUBSTITUTE($A1985,CHAR(9)," ")," "," "),CHAR(13),""))</f>
        <v/>
      </c>
      <c r="H1985" s="58">
        <f>IF($G1985="","",IF(ISNUMBER(FIND(" ",$G1985)),$G1985,IFERROR(IF((LEN(SUBSTITUTE(SUBSTITUTE($G1985,"-"," ",LEN($G1985)-LEN(SUBSTITUTE($G1985,"-",""))),"-"," ",LEN($G1985)-LEN(SUBSTITUTE($G1985,"-",""))-1))-LEN(SUBSTITUTE(SUBSTITUTE(SUBSTITUTE($G1985,"-"," ",LEN($G1985)-LEN(SUBSTITUTE($G1985,"-",""))),"-"," ",LEN($G1985)-LEN(SUBSTITUTE($G1985,"-",""))-1),".","")))=0,SUBSTITUTE(SUBSTITUTE($G1985,"-"," ",LEN($G1985)-LEN(SUBSTITUTE($G1985,"-",""))),"-"," ",LEN($G1985)-LEN(SUBSTITUTE($G1985,"-",""))-1),SUBSTITUTE(SUBSTITUTE(SUBSTITUTE($G1985,"-"," ",LEN($G1985)-LEN(SUBSTITUTE($G1985,"-",""))),"-"," ",LEN($G1985)-LEN(SUBSTITUTE($G1985,"-",""))-1),"."," ",(LEN(SUBSTITUTE(SUBSTITUTE($G1985,"-"," ",LEN($G1985)-LEN(SUBSTITUTE($G1985,"-",""))),"-"," ",LEN($G1985)-LEN(SUBSTITUTE($G1985,"-",""))-1))-LEN(SUBSTITUTE(SUBSTITUTE(SUBSTITUTE($G1985,"-"," ",LEN($G1985)-LEN(SUBSTITUTE($G1985,"-",""))),"-"," ",LEN($G1985)-LEN(SUBSTITUTE($G1985,"-",""))-1),".",""))))),$G1985)))</f>
        <v/>
      </c>
    </row>
    <row r="1986">
      <c r="A1986" s="58" t="n"/>
      <c r="B1986" s="58">
        <f>IF($H1986="","",LEFT($H1986,FIND(" ",$H1986&amp;" ")-1))</f>
        <v/>
      </c>
      <c r="C1986" s="58">
        <f>IF($H1986="","",IFERROR(MID($H1986&amp;" ",FIND("|",SUBSTITUTE($H1986&amp;" "," ","|",1))+1,FIND("|",SUBSTITUTE($H1986&amp;" "," ","|",2))-FIND("|",SUBSTITUTE($H1986&amp;" "," ","|",1))-1),""))</f>
        <v/>
      </c>
      <c r="D1986" s="58">
        <f>IF($H1986="","",IFERROR(MID($H1986&amp;" ",FIND("|",SUBSTITUTE($H1986&amp;" "," ","|",2))+1,FIND("|",SUBSTITUTE($H1986&amp;" "," ","|",3))-FIND("|",SUBSTITUTE($H1986&amp;" "," ","|",2))-1),""))</f>
        <v/>
      </c>
      <c r="E1986" s="58">
        <f>IF($H1986="","",IFERROR(MID($H1986&amp;" ",FIND("|",SUBSTITUTE($H1986&amp;" "," ","|",3))+1,FIND("|",SUBSTITUTE($H1986&amp;" "," ","|",4))-FIND("|",SUBSTITUTE($H1986&amp;" "," ","|",3))-1),""))</f>
        <v/>
      </c>
      <c r="F1986" s="59">
        <f>IF($H1986="","",IFERROR(VALUE(IFERROR(MID($H1986&amp;" ",FIND("|",SUBSTITUTE($H1986&amp;" "," ","|",4))+1,FIND("|",SUBSTITUTE($H1986&amp;" "," ","|",5))-FIND("|",SUBSTITUTE($H1986&amp;" "," ","|",4))-1),""))/86400+25569+9/24,""))</f>
        <v/>
      </c>
      <c r="G1986" s="58">
        <f>TRIM(SUBSTITUTE(SUBSTITUTE(SUBSTITUTE($A1986,CHAR(9)," ")," "," "),CHAR(13),""))</f>
        <v/>
      </c>
      <c r="H1986" s="58">
        <f>IF($G1986="","",IF(ISNUMBER(FIND(" ",$G1986)),$G1986,IFERROR(IF((LEN(SUBSTITUTE(SUBSTITUTE($G1986,"-"," ",LEN($G1986)-LEN(SUBSTITUTE($G1986,"-",""))),"-"," ",LEN($G1986)-LEN(SUBSTITUTE($G1986,"-",""))-1))-LEN(SUBSTITUTE(SUBSTITUTE(SUBSTITUTE($G1986,"-"," ",LEN($G1986)-LEN(SUBSTITUTE($G1986,"-",""))),"-"," ",LEN($G1986)-LEN(SUBSTITUTE($G1986,"-",""))-1),".","")))=0,SUBSTITUTE(SUBSTITUTE($G1986,"-"," ",LEN($G1986)-LEN(SUBSTITUTE($G1986,"-",""))),"-"," ",LEN($G1986)-LEN(SUBSTITUTE($G1986,"-",""))-1),SUBSTITUTE(SUBSTITUTE(SUBSTITUTE($G1986,"-"," ",LEN($G1986)-LEN(SUBSTITUTE($G1986,"-",""))),"-"," ",LEN($G1986)-LEN(SUBSTITUTE($G1986,"-",""))-1),"."," ",(LEN(SUBSTITUTE(SUBSTITUTE($G1986,"-"," ",LEN($G1986)-LEN(SUBSTITUTE($G1986,"-",""))),"-"," ",LEN($G1986)-LEN(SUBSTITUTE($G1986,"-",""))-1))-LEN(SUBSTITUTE(SUBSTITUTE(SUBSTITUTE($G1986,"-"," ",LEN($G1986)-LEN(SUBSTITUTE($G1986,"-",""))),"-"," ",LEN($G1986)-LEN(SUBSTITUTE($G1986,"-",""))-1),".",""))))),$G1986)))</f>
        <v/>
      </c>
    </row>
    <row r="1987">
      <c r="A1987" s="58" t="n"/>
      <c r="B1987" s="58">
        <f>IF($H1987="","",LEFT($H1987,FIND(" ",$H1987&amp;" ")-1))</f>
        <v/>
      </c>
      <c r="C1987" s="58">
        <f>IF($H1987="","",IFERROR(MID($H1987&amp;" ",FIND("|",SUBSTITUTE($H1987&amp;" "," ","|",1))+1,FIND("|",SUBSTITUTE($H1987&amp;" "," ","|",2))-FIND("|",SUBSTITUTE($H1987&amp;" "," ","|",1))-1),""))</f>
        <v/>
      </c>
      <c r="D1987" s="58">
        <f>IF($H1987="","",IFERROR(MID($H1987&amp;" ",FIND("|",SUBSTITUTE($H1987&amp;" "," ","|",2))+1,FIND("|",SUBSTITUTE($H1987&amp;" "," ","|",3))-FIND("|",SUBSTITUTE($H1987&amp;" "," ","|",2))-1),""))</f>
        <v/>
      </c>
      <c r="E1987" s="58">
        <f>IF($H1987="","",IFERROR(MID($H1987&amp;" ",FIND("|",SUBSTITUTE($H1987&amp;" "," ","|",3))+1,FIND("|",SUBSTITUTE($H1987&amp;" "," ","|",4))-FIND("|",SUBSTITUTE($H1987&amp;" "," ","|",3))-1),""))</f>
        <v/>
      </c>
      <c r="F1987" s="59">
        <f>IF($H1987="","",IFERROR(VALUE(IFERROR(MID($H1987&amp;" ",FIND("|",SUBSTITUTE($H1987&amp;" "," ","|",4))+1,FIND("|",SUBSTITUTE($H1987&amp;" "," ","|",5))-FIND("|",SUBSTITUTE($H1987&amp;" "," ","|",4))-1),""))/86400+25569+9/24,""))</f>
        <v/>
      </c>
      <c r="G1987" s="58">
        <f>TRIM(SUBSTITUTE(SUBSTITUTE(SUBSTITUTE($A1987,CHAR(9)," ")," "," "),CHAR(13),""))</f>
        <v/>
      </c>
      <c r="H1987" s="58">
        <f>IF($G1987="","",IF(ISNUMBER(FIND(" ",$G1987)),$G1987,IFERROR(IF((LEN(SUBSTITUTE(SUBSTITUTE($G1987,"-"," ",LEN($G1987)-LEN(SUBSTITUTE($G1987,"-",""))),"-"," ",LEN($G1987)-LEN(SUBSTITUTE($G1987,"-",""))-1))-LEN(SUBSTITUTE(SUBSTITUTE(SUBSTITUTE($G1987,"-"," ",LEN($G1987)-LEN(SUBSTITUTE($G1987,"-",""))),"-"," ",LEN($G1987)-LEN(SUBSTITUTE($G1987,"-",""))-1),".","")))=0,SUBSTITUTE(SUBSTITUTE($G1987,"-"," ",LEN($G1987)-LEN(SUBSTITUTE($G1987,"-",""))),"-"," ",LEN($G1987)-LEN(SUBSTITUTE($G1987,"-",""))-1),SUBSTITUTE(SUBSTITUTE(SUBSTITUTE($G1987,"-"," ",LEN($G1987)-LEN(SUBSTITUTE($G1987,"-",""))),"-"," ",LEN($G1987)-LEN(SUBSTITUTE($G1987,"-",""))-1),"."," ",(LEN(SUBSTITUTE(SUBSTITUTE($G1987,"-"," ",LEN($G1987)-LEN(SUBSTITUTE($G1987,"-",""))),"-"," ",LEN($G1987)-LEN(SUBSTITUTE($G1987,"-",""))-1))-LEN(SUBSTITUTE(SUBSTITUTE(SUBSTITUTE($G1987,"-"," ",LEN($G1987)-LEN(SUBSTITUTE($G1987,"-",""))),"-"," ",LEN($G1987)-LEN(SUBSTITUTE($G1987,"-",""))-1),".",""))))),$G1987)))</f>
        <v/>
      </c>
    </row>
    <row r="1988">
      <c r="A1988" s="58" t="n"/>
      <c r="B1988" s="58">
        <f>IF($H1988="","",LEFT($H1988,FIND(" ",$H1988&amp;" ")-1))</f>
        <v/>
      </c>
      <c r="C1988" s="58">
        <f>IF($H1988="","",IFERROR(MID($H1988&amp;" ",FIND("|",SUBSTITUTE($H1988&amp;" "," ","|",1))+1,FIND("|",SUBSTITUTE($H1988&amp;" "," ","|",2))-FIND("|",SUBSTITUTE($H1988&amp;" "," ","|",1))-1),""))</f>
        <v/>
      </c>
      <c r="D1988" s="58">
        <f>IF($H1988="","",IFERROR(MID($H1988&amp;" ",FIND("|",SUBSTITUTE($H1988&amp;" "," ","|",2))+1,FIND("|",SUBSTITUTE($H1988&amp;" "," ","|",3))-FIND("|",SUBSTITUTE($H1988&amp;" "," ","|",2))-1),""))</f>
        <v/>
      </c>
      <c r="E1988" s="58">
        <f>IF($H1988="","",IFERROR(MID($H1988&amp;" ",FIND("|",SUBSTITUTE($H1988&amp;" "," ","|",3))+1,FIND("|",SUBSTITUTE($H1988&amp;" "," ","|",4))-FIND("|",SUBSTITUTE($H1988&amp;" "," ","|",3))-1),""))</f>
        <v/>
      </c>
      <c r="F1988" s="59">
        <f>IF($H1988="","",IFERROR(VALUE(IFERROR(MID($H1988&amp;" ",FIND("|",SUBSTITUTE($H1988&amp;" "," ","|",4))+1,FIND("|",SUBSTITUTE($H1988&amp;" "," ","|",5))-FIND("|",SUBSTITUTE($H1988&amp;" "," ","|",4))-1),""))/86400+25569+9/24,""))</f>
        <v/>
      </c>
      <c r="G1988" s="58">
        <f>TRIM(SUBSTITUTE(SUBSTITUTE(SUBSTITUTE($A1988,CHAR(9)," ")," "," "),CHAR(13),""))</f>
        <v/>
      </c>
      <c r="H1988" s="58">
        <f>IF($G1988="","",IF(ISNUMBER(FIND(" ",$G1988)),$G1988,IFERROR(IF((LEN(SUBSTITUTE(SUBSTITUTE($G1988,"-"," ",LEN($G1988)-LEN(SUBSTITUTE($G1988,"-",""))),"-"," ",LEN($G1988)-LEN(SUBSTITUTE($G1988,"-",""))-1))-LEN(SUBSTITUTE(SUBSTITUTE(SUBSTITUTE($G1988,"-"," ",LEN($G1988)-LEN(SUBSTITUTE($G1988,"-",""))),"-"," ",LEN($G1988)-LEN(SUBSTITUTE($G1988,"-",""))-1),".","")))=0,SUBSTITUTE(SUBSTITUTE($G1988,"-"," ",LEN($G1988)-LEN(SUBSTITUTE($G1988,"-",""))),"-"," ",LEN($G1988)-LEN(SUBSTITUTE($G1988,"-",""))-1),SUBSTITUTE(SUBSTITUTE(SUBSTITUTE($G1988,"-"," ",LEN($G1988)-LEN(SUBSTITUTE($G1988,"-",""))),"-"," ",LEN($G1988)-LEN(SUBSTITUTE($G1988,"-",""))-1),"."," ",(LEN(SUBSTITUTE(SUBSTITUTE($G1988,"-"," ",LEN($G1988)-LEN(SUBSTITUTE($G1988,"-",""))),"-"," ",LEN($G1988)-LEN(SUBSTITUTE($G1988,"-",""))-1))-LEN(SUBSTITUTE(SUBSTITUTE(SUBSTITUTE($G1988,"-"," ",LEN($G1988)-LEN(SUBSTITUTE($G1988,"-",""))),"-"," ",LEN($G1988)-LEN(SUBSTITUTE($G1988,"-",""))-1),".",""))))),$G1988)))</f>
        <v/>
      </c>
    </row>
    <row r="1989">
      <c r="A1989" s="58" t="n"/>
      <c r="B1989" s="58">
        <f>IF($H1989="","",LEFT($H1989,FIND(" ",$H1989&amp;" ")-1))</f>
        <v/>
      </c>
      <c r="C1989" s="58">
        <f>IF($H1989="","",IFERROR(MID($H1989&amp;" ",FIND("|",SUBSTITUTE($H1989&amp;" "," ","|",1))+1,FIND("|",SUBSTITUTE($H1989&amp;" "," ","|",2))-FIND("|",SUBSTITUTE($H1989&amp;" "," ","|",1))-1),""))</f>
        <v/>
      </c>
      <c r="D1989" s="58">
        <f>IF($H1989="","",IFERROR(MID($H1989&amp;" ",FIND("|",SUBSTITUTE($H1989&amp;" "," ","|",2))+1,FIND("|",SUBSTITUTE($H1989&amp;" "," ","|",3))-FIND("|",SUBSTITUTE($H1989&amp;" "," ","|",2))-1),""))</f>
        <v/>
      </c>
      <c r="E1989" s="58">
        <f>IF($H1989="","",IFERROR(MID($H1989&amp;" ",FIND("|",SUBSTITUTE($H1989&amp;" "," ","|",3))+1,FIND("|",SUBSTITUTE($H1989&amp;" "," ","|",4))-FIND("|",SUBSTITUTE($H1989&amp;" "," ","|",3))-1),""))</f>
        <v/>
      </c>
      <c r="F1989" s="59">
        <f>IF($H1989="","",IFERROR(VALUE(IFERROR(MID($H1989&amp;" ",FIND("|",SUBSTITUTE($H1989&amp;" "," ","|",4))+1,FIND("|",SUBSTITUTE($H1989&amp;" "," ","|",5))-FIND("|",SUBSTITUTE($H1989&amp;" "," ","|",4))-1),""))/86400+25569+9/24,""))</f>
        <v/>
      </c>
      <c r="G1989" s="58">
        <f>TRIM(SUBSTITUTE(SUBSTITUTE(SUBSTITUTE($A1989,CHAR(9)," ")," "," "),CHAR(13),""))</f>
        <v/>
      </c>
      <c r="H1989" s="58">
        <f>IF($G1989="","",IF(ISNUMBER(FIND(" ",$G1989)),$G1989,IFERROR(IF((LEN(SUBSTITUTE(SUBSTITUTE($G1989,"-"," ",LEN($G1989)-LEN(SUBSTITUTE($G1989,"-",""))),"-"," ",LEN($G1989)-LEN(SUBSTITUTE($G1989,"-",""))-1))-LEN(SUBSTITUTE(SUBSTITUTE(SUBSTITUTE($G1989,"-"," ",LEN($G1989)-LEN(SUBSTITUTE($G1989,"-",""))),"-"," ",LEN($G1989)-LEN(SUBSTITUTE($G1989,"-",""))-1),".","")))=0,SUBSTITUTE(SUBSTITUTE($G1989,"-"," ",LEN($G1989)-LEN(SUBSTITUTE($G1989,"-",""))),"-"," ",LEN($G1989)-LEN(SUBSTITUTE($G1989,"-",""))-1),SUBSTITUTE(SUBSTITUTE(SUBSTITUTE($G1989,"-"," ",LEN($G1989)-LEN(SUBSTITUTE($G1989,"-",""))),"-"," ",LEN($G1989)-LEN(SUBSTITUTE($G1989,"-",""))-1),"."," ",(LEN(SUBSTITUTE(SUBSTITUTE($G1989,"-"," ",LEN($G1989)-LEN(SUBSTITUTE($G1989,"-",""))),"-"," ",LEN($G1989)-LEN(SUBSTITUTE($G1989,"-",""))-1))-LEN(SUBSTITUTE(SUBSTITUTE(SUBSTITUTE($G1989,"-"," ",LEN($G1989)-LEN(SUBSTITUTE($G1989,"-",""))),"-"," ",LEN($G1989)-LEN(SUBSTITUTE($G1989,"-",""))-1),".",""))))),$G1989)))</f>
        <v/>
      </c>
    </row>
    <row r="1990">
      <c r="A1990" s="58" t="n"/>
      <c r="B1990" s="58">
        <f>IF($H1990="","",LEFT($H1990,FIND(" ",$H1990&amp;" ")-1))</f>
        <v/>
      </c>
      <c r="C1990" s="58">
        <f>IF($H1990="","",IFERROR(MID($H1990&amp;" ",FIND("|",SUBSTITUTE($H1990&amp;" "," ","|",1))+1,FIND("|",SUBSTITUTE($H1990&amp;" "," ","|",2))-FIND("|",SUBSTITUTE($H1990&amp;" "," ","|",1))-1),""))</f>
        <v/>
      </c>
      <c r="D1990" s="58">
        <f>IF($H1990="","",IFERROR(MID($H1990&amp;" ",FIND("|",SUBSTITUTE($H1990&amp;" "," ","|",2))+1,FIND("|",SUBSTITUTE($H1990&amp;" "," ","|",3))-FIND("|",SUBSTITUTE($H1990&amp;" "," ","|",2))-1),""))</f>
        <v/>
      </c>
      <c r="E1990" s="58">
        <f>IF($H1990="","",IFERROR(MID($H1990&amp;" ",FIND("|",SUBSTITUTE($H1990&amp;" "," ","|",3))+1,FIND("|",SUBSTITUTE($H1990&amp;" "," ","|",4))-FIND("|",SUBSTITUTE($H1990&amp;" "," ","|",3))-1),""))</f>
        <v/>
      </c>
      <c r="F1990" s="59">
        <f>IF($H1990="","",IFERROR(VALUE(IFERROR(MID($H1990&amp;" ",FIND("|",SUBSTITUTE($H1990&amp;" "," ","|",4))+1,FIND("|",SUBSTITUTE($H1990&amp;" "," ","|",5))-FIND("|",SUBSTITUTE($H1990&amp;" "," ","|",4))-1),""))/86400+25569+9/24,""))</f>
        <v/>
      </c>
      <c r="G1990" s="58">
        <f>TRIM(SUBSTITUTE(SUBSTITUTE(SUBSTITUTE($A1990,CHAR(9)," ")," "," "),CHAR(13),""))</f>
        <v/>
      </c>
      <c r="H1990" s="58">
        <f>IF($G1990="","",IF(ISNUMBER(FIND(" ",$G1990)),$G1990,IFERROR(IF((LEN(SUBSTITUTE(SUBSTITUTE($G1990,"-"," ",LEN($G1990)-LEN(SUBSTITUTE($G1990,"-",""))),"-"," ",LEN($G1990)-LEN(SUBSTITUTE($G1990,"-",""))-1))-LEN(SUBSTITUTE(SUBSTITUTE(SUBSTITUTE($G1990,"-"," ",LEN($G1990)-LEN(SUBSTITUTE($G1990,"-",""))),"-"," ",LEN($G1990)-LEN(SUBSTITUTE($G1990,"-",""))-1),".","")))=0,SUBSTITUTE(SUBSTITUTE($G1990,"-"," ",LEN($G1990)-LEN(SUBSTITUTE($G1990,"-",""))),"-"," ",LEN($G1990)-LEN(SUBSTITUTE($G1990,"-",""))-1),SUBSTITUTE(SUBSTITUTE(SUBSTITUTE($G1990,"-"," ",LEN($G1990)-LEN(SUBSTITUTE($G1990,"-",""))),"-"," ",LEN($G1990)-LEN(SUBSTITUTE($G1990,"-",""))-1),"."," ",(LEN(SUBSTITUTE(SUBSTITUTE($G1990,"-"," ",LEN($G1990)-LEN(SUBSTITUTE($G1990,"-",""))),"-"," ",LEN($G1990)-LEN(SUBSTITUTE($G1990,"-",""))-1))-LEN(SUBSTITUTE(SUBSTITUTE(SUBSTITUTE($G1990,"-"," ",LEN($G1990)-LEN(SUBSTITUTE($G1990,"-",""))),"-"," ",LEN($G1990)-LEN(SUBSTITUTE($G1990,"-",""))-1),".",""))))),$G1990)))</f>
        <v/>
      </c>
    </row>
    <row r="1991">
      <c r="A1991" s="58" t="n"/>
      <c r="B1991" s="58">
        <f>IF($H1991="","",LEFT($H1991,FIND(" ",$H1991&amp;" ")-1))</f>
        <v/>
      </c>
      <c r="C1991" s="58">
        <f>IF($H1991="","",IFERROR(MID($H1991&amp;" ",FIND("|",SUBSTITUTE($H1991&amp;" "," ","|",1))+1,FIND("|",SUBSTITUTE($H1991&amp;" "," ","|",2))-FIND("|",SUBSTITUTE($H1991&amp;" "," ","|",1))-1),""))</f>
        <v/>
      </c>
      <c r="D1991" s="58">
        <f>IF($H1991="","",IFERROR(MID($H1991&amp;" ",FIND("|",SUBSTITUTE($H1991&amp;" "," ","|",2))+1,FIND("|",SUBSTITUTE($H1991&amp;" "," ","|",3))-FIND("|",SUBSTITUTE($H1991&amp;" "," ","|",2))-1),""))</f>
        <v/>
      </c>
      <c r="E1991" s="58">
        <f>IF($H1991="","",IFERROR(MID($H1991&amp;" ",FIND("|",SUBSTITUTE($H1991&amp;" "," ","|",3))+1,FIND("|",SUBSTITUTE($H1991&amp;" "," ","|",4))-FIND("|",SUBSTITUTE($H1991&amp;" "," ","|",3))-1),""))</f>
        <v/>
      </c>
      <c r="F1991" s="59">
        <f>IF($H1991="","",IFERROR(VALUE(IFERROR(MID($H1991&amp;" ",FIND("|",SUBSTITUTE($H1991&amp;" "," ","|",4))+1,FIND("|",SUBSTITUTE($H1991&amp;" "," ","|",5))-FIND("|",SUBSTITUTE($H1991&amp;" "," ","|",4))-1),""))/86400+25569+9/24,""))</f>
        <v/>
      </c>
      <c r="G1991" s="58">
        <f>TRIM(SUBSTITUTE(SUBSTITUTE(SUBSTITUTE($A1991,CHAR(9)," ")," "," "),CHAR(13),""))</f>
        <v/>
      </c>
      <c r="H1991" s="58">
        <f>IF($G1991="","",IF(ISNUMBER(FIND(" ",$G1991)),$G1991,IFERROR(IF((LEN(SUBSTITUTE(SUBSTITUTE($G1991,"-"," ",LEN($G1991)-LEN(SUBSTITUTE($G1991,"-",""))),"-"," ",LEN($G1991)-LEN(SUBSTITUTE($G1991,"-",""))-1))-LEN(SUBSTITUTE(SUBSTITUTE(SUBSTITUTE($G1991,"-"," ",LEN($G1991)-LEN(SUBSTITUTE($G1991,"-",""))),"-"," ",LEN($G1991)-LEN(SUBSTITUTE($G1991,"-",""))-1),".","")))=0,SUBSTITUTE(SUBSTITUTE($G1991,"-"," ",LEN($G1991)-LEN(SUBSTITUTE($G1991,"-",""))),"-"," ",LEN($G1991)-LEN(SUBSTITUTE($G1991,"-",""))-1),SUBSTITUTE(SUBSTITUTE(SUBSTITUTE($G1991,"-"," ",LEN($G1991)-LEN(SUBSTITUTE($G1991,"-",""))),"-"," ",LEN($G1991)-LEN(SUBSTITUTE($G1991,"-",""))-1),"."," ",(LEN(SUBSTITUTE(SUBSTITUTE($G1991,"-"," ",LEN($G1991)-LEN(SUBSTITUTE($G1991,"-",""))),"-"," ",LEN($G1991)-LEN(SUBSTITUTE($G1991,"-",""))-1))-LEN(SUBSTITUTE(SUBSTITUTE(SUBSTITUTE($G1991,"-"," ",LEN($G1991)-LEN(SUBSTITUTE($G1991,"-",""))),"-"," ",LEN($G1991)-LEN(SUBSTITUTE($G1991,"-",""))-1),".",""))))),$G1991)))</f>
        <v/>
      </c>
    </row>
    <row r="1992">
      <c r="A1992" s="58" t="n"/>
      <c r="B1992" s="58">
        <f>IF($H1992="","",LEFT($H1992,FIND(" ",$H1992&amp;" ")-1))</f>
        <v/>
      </c>
      <c r="C1992" s="58">
        <f>IF($H1992="","",IFERROR(MID($H1992&amp;" ",FIND("|",SUBSTITUTE($H1992&amp;" "," ","|",1))+1,FIND("|",SUBSTITUTE($H1992&amp;" "," ","|",2))-FIND("|",SUBSTITUTE($H1992&amp;" "," ","|",1))-1),""))</f>
        <v/>
      </c>
      <c r="D1992" s="58">
        <f>IF($H1992="","",IFERROR(MID($H1992&amp;" ",FIND("|",SUBSTITUTE($H1992&amp;" "," ","|",2))+1,FIND("|",SUBSTITUTE($H1992&amp;" "," ","|",3))-FIND("|",SUBSTITUTE($H1992&amp;" "," ","|",2))-1),""))</f>
        <v/>
      </c>
      <c r="E1992" s="58">
        <f>IF($H1992="","",IFERROR(MID($H1992&amp;" ",FIND("|",SUBSTITUTE($H1992&amp;" "," ","|",3))+1,FIND("|",SUBSTITUTE($H1992&amp;" "," ","|",4))-FIND("|",SUBSTITUTE($H1992&amp;" "," ","|",3))-1),""))</f>
        <v/>
      </c>
      <c r="F1992" s="59">
        <f>IF($H1992="","",IFERROR(VALUE(IFERROR(MID($H1992&amp;" ",FIND("|",SUBSTITUTE($H1992&amp;" "," ","|",4))+1,FIND("|",SUBSTITUTE($H1992&amp;" "," ","|",5))-FIND("|",SUBSTITUTE($H1992&amp;" "," ","|",4))-1),""))/86400+25569+9/24,""))</f>
        <v/>
      </c>
      <c r="G1992" s="58">
        <f>TRIM(SUBSTITUTE(SUBSTITUTE(SUBSTITUTE($A1992,CHAR(9)," ")," "," "),CHAR(13),""))</f>
        <v/>
      </c>
      <c r="H1992" s="58">
        <f>IF($G1992="","",IF(ISNUMBER(FIND(" ",$G1992)),$G1992,IFERROR(IF((LEN(SUBSTITUTE(SUBSTITUTE($G1992,"-"," ",LEN($G1992)-LEN(SUBSTITUTE($G1992,"-",""))),"-"," ",LEN($G1992)-LEN(SUBSTITUTE($G1992,"-",""))-1))-LEN(SUBSTITUTE(SUBSTITUTE(SUBSTITUTE($G1992,"-"," ",LEN($G1992)-LEN(SUBSTITUTE($G1992,"-",""))),"-"," ",LEN($G1992)-LEN(SUBSTITUTE($G1992,"-",""))-1),".","")))=0,SUBSTITUTE(SUBSTITUTE($G1992,"-"," ",LEN($G1992)-LEN(SUBSTITUTE($G1992,"-",""))),"-"," ",LEN($G1992)-LEN(SUBSTITUTE($G1992,"-",""))-1),SUBSTITUTE(SUBSTITUTE(SUBSTITUTE($G1992,"-"," ",LEN($G1992)-LEN(SUBSTITUTE($G1992,"-",""))),"-"," ",LEN($G1992)-LEN(SUBSTITUTE($G1992,"-",""))-1),"."," ",(LEN(SUBSTITUTE(SUBSTITUTE($G1992,"-"," ",LEN($G1992)-LEN(SUBSTITUTE($G1992,"-",""))),"-"," ",LEN($G1992)-LEN(SUBSTITUTE($G1992,"-",""))-1))-LEN(SUBSTITUTE(SUBSTITUTE(SUBSTITUTE($G1992,"-"," ",LEN($G1992)-LEN(SUBSTITUTE($G1992,"-",""))),"-"," ",LEN($G1992)-LEN(SUBSTITUTE($G1992,"-",""))-1),".",""))))),$G1992)))</f>
        <v/>
      </c>
    </row>
    <row r="1993">
      <c r="A1993" s="58" t="n"/>
      <c r="B1993" s="58">
        <f>IF($H1993="","",LEFT($H1993,FIND(" ",$H1993&amp;" ")-1))</f>
        <v/>
      </c>
      <c r="C1993" s="58">
        <f>IF($H1993="","",IFERROR(MID($H1993&amp;" ",FIND("|",SUBSTITUTE($H1993&amp;" "," ","|",1))+1,FIND("|",SUBSTITUTE($H1993&amp;" "," ","|",2))-FIND("|",SUBSTITUTE($H1993&amp;" "," ","|",1))-1),""))</f>
        <v/>
      </c>
      <c r="D1993" s="58">
        <f>IF($H1993="","",IFERROR(MID($H1993&amp;" ",FIND("|",SUBSTITUTE($H1993&amp;" "," ","|",2))+1,FIND("|",SUBSTITUTE($H1993&amp;" "," ","|",3))-FIND("|",SUBSTITUTE($H1993&amp;" "," ","|",2))-1),""))</f>
        <v/>
      </c>
      <c r="E1993" s="58">
        <f>IF($H1993="","",IFERROR(MID($H1993&amp;" ",FIND("|",SUBSTITUTE($H1993&amp;" "," ","|",3))+1,FIND("|",SUBSTITUTE($H1993&amp;" "," ","|",4))-FIND("|",SUBSTITUTE($H1993&amp;" "," ","|",3))-1),""))</f>
        <v/>
      </c>
      <c r="F1993" s="59">
        <f>IF($H1993="","",IFERROR(VALUE(IFERROR(MID($H1993&amp;" ",FIND("|",SUBSTITUTE($H1993&amp;" "," ","|",4))+1,FIND("|",SUBSTITUTE($H1993&amp;" "," ","|",5))-FIND("|",SUBSTITUTE($H1993&amp;" "," ","|",4))-1),""))/86400+25569+9/24,""))</f>
        <v/>
      </c>
      <c r="G1993" s="58">
        <f>TRIM(SUBSTITUTE(SUBSTITUTE(SUBSTITUTE($A1993,CHAR(9)," ")," "," "),CHAR(13),""))</f>
        <v/>
      </c>
      <c r="H1993" s="58">
        <f>IF($G1993="","",IF(ISNUMBER(FIND(" ",$G1993)),$G1993,IFERROR(IF((LEN(SUBSTITUTE(SUBSTITUTE($G1993,"-"," ",LEN($G1993)-LEN(SUBSTITUTE($G1993,"-",""))),"-"," ",LEN($G1993)-LEN(SUBSTITUTE($G1993,"-",""))-1))-LEN(SUBSTITUTE(SUBSTITUTE(SUBSTITUTE($G1993,"-"," ",LEN($G1993)-LEN(SUBSTITUTE($G1993,"-",""))),"-"," ",LEN($G1993)-LEN(SUBSTITUTE($G1993,"-",""))-1),".","")))=0,SUBSTITUTE(SUBSTITUTE($G1993,"-"," ",LEN($G1993)-LEN(SUBSTITUTE($G1993,"-",""))),"-"," ",LEN($G1993)-LEN(SUBSTITUTE($G1993,"-",""))-1),SUBSTITUTE(SUBSTITUTE(SUBSTITUTE($G1993,"-"," ",LEN($G1993)-LEN(SUBSTITUTE($G1993,"-",""))),"-"," ",LEN($G1993)-LEN(SUBSTITUTE($G1993,"-",""))-1),"."," ",(LEN(SUBSTITUTE(SUBSTITUTE($G1993,"-"," ",LEN($G1993)-LEN(SUBSTITUTE($G1993,"-",""))),"-"," ",LEN($G1993)-LEN(SUBSTITUTE($G1993,"-",""))-1))-LEN(SUBSTITUTE(SUBSTITUTE(SUBSTITUTE($G1993,"-"," ",LEN($G1993)-LEN(SUBSTITUTE($G1993,"-",""))),"-"," ",LEN($G1993)-LEN(SUBSTITUTE($G1993,"-",""))-1),".",""))))),$G1993)))</f>
        <v/>
      </c>
    </row>
    <row r="1994">
      <c r="A1994" s="58" t="n"/>
      <c r="B1994" s="58">
        <f>IF($H1994="","",LEFT($H1994,FIND(" ",$H1994&amp;" ")-1))</f>
        <v/>
      </c>
      <c r="C1994" s="58">
        <f>IF($H1994="","",IFERROR(MID($H1994&amp;" ",FIND("|",SUBSTITUTE($H1994&amp;" "," ","|",1))+1,FIND("|",SUBSTITUTE($H1994&amp;" "," ","|",2))-FIND("|",SUBSTITUTE($H1994&amp;" "," ","|",1))-1),""))</f>
        <v/>
      </c>
      <c r="D1994" s="58">
        <f>IF($H1994="","",IFERROR(MID($H1994&amp;" ",FIND("|",SUBSTITUTE($H1994&amp;" "," ","|",2))+1,FIND("|",SUBSTITUTE($H1994&amp;" "," ","|",3))-FIND("|",SUBSTITUTE($H1994&amp;" "," ","|",2))-1),""))</f>
        <v/>
      </c>
      <c r="E1994" s="58">
        <f>IF($H1994="","",IFERROR(MID($H1994&amp;" ",FIND("|",SUBSTITUTE($H1994&amp;" "," ","|",3))+1,FIND("|",SUBSTITUTE($H1994&amp;" "," ","|",4))-FIND("|",SUBSTITUTE($H1994&amp;" "," ","|",3))-1),""))</f>
        <v/>
      </c>
      <c r="F1994" s="59">
        <f>IF($H1994="","",IFERROR(VALUE(IFERROR(MID($H1994&amp;" ",FIND("|",SUBSTITUTE($H1994&amp;" "," ","|",4))+1,FIND("|",SUBSTITUTE($H1994&amp;" "," ","|",5))-FIND("|",SUBSTITUTE($H1994&amp;" "," ","|",4))-1),""))/86400+25569+9/24,""))</f>
        <v/>
      </c>
      <c r="G1994" s="58">
        <f>TRIM(SUBSTITUTE(SUBSTITUTE(SUBSTITUTE($A1994,CHAR(9)," ")," "," "),CHAR(13),""))</f>
        <v/>
      </c>
      <c r="H1994" s="58">
        <f>IF($G1994="","",IF(ISNUMBER(FIND(" ",$G1994)),$G1994,IFERROR(IF((LEN(SUBSTITUTE(SUBSTITUTE($G1994,"-"," ",LEN($G1994)-LEN(SUBSTITUTE($G1994,"-",""))),"-"," ",LEN($G1994)-LEN(SUBSTITUTE($G1994,"-",""))-1))-LEN(SUBSTITUTE(SUBSTITUTE(SUBSTITUTE($G1994,"-"," ",LEN($G1994)-LEN(SUBSTITUTE($G1994,"-",""))),"-"," ",LEN($G1994)-LEN(SUBSTITUTE($G1994,"-",""))-1),".","")))=0,SUBSTITUTE(SUBSTITUTE($G1994,"-"," ",LEN($G1994)-LEN(SUBSTITUTE($G1994,"-",""))),"-"," ",LEN($G1994)-LEN(SUBSTITUTE($G1994,"-",""))-1),SUBSTITUTE(SUBSTITUTE(SUBSTITUTE($G1994,"-"," ",LEN($G1994)-LEN(SUBSTITUTE($G1994,"-",""))),"-"," ",LEN($G1994)-LEN(SUBSTITUTE($G1994,"-",""))-1),"."," ",(LEN(SUBSTITUTE(SUBSTITUTE($G1994,"-"," ",LEN($G1994)-LEN(SUBSTITUTE($G1994,"-",""))),"-"," ",LEN($G1994)-LEN(SUBSTITUTE($G1994,"-",""))-1))-LEN(SUBSTITUTE(SUBSTITUTE(SUBSTITUTE($G1994,"-"," ",LEN($G1994)-LEN(SUBSTITUTE($G1994,"-",""))),"-"," ",LEN($G1994)-LEN(SUBSTITUTE($G1994,"-",""))-1),".",""))))),$G1994)))</f>
        <v/>
      </c>
    </row>
    <row r="1995">
      <c r="A1995" s="58" t="n"/>
      <c r="B1995" s="58">
        <f>IF($H1995="","",LEFT($H1995,FIND(" ",$H1995&amp;" ")-1))</f>
        <v/>
      </c>
      <c r="C1995" s="58">
        <f>IF($H1995="","",IFERROR(MID($H1995&amp;" ",FIND("|",SUBSTITUTE($H1995&amp;" "," ","|",1))+1,FIND("|",SUBSTITUTE($H1995&amp;" "," ","|",2))-FIND("|",SUBSTITUTE($H1995&amp;" "," ","|",1))-1),""))</f>
        <v/>
      </c>
      <c r="D1995" s="58">
        <f>IF($H1995="","",IFERROR(MID($H1995&amp;" ",FIND("|",SUBSTITUTE($H1995&amp;" "," ","|",2))+1,FIND("|",SUBSTITUTE($H1995&amp;" "," ","|",3))-FIND("|",SUBSTITUTE($H1995&amp;" "," ","|",2))-1),""))</f>
        <v/>
      </c>
      <c r="E1995" s="58">
        <f>IF($H1995="","",IFERROR(MID($H1995&amp;" ",FIND("|",SUBSTITUTE($H1995&amp;" "," ","|",3))+1,FIND("|",SUBSTITUTE($H1995&amp;" "," ","|",4))-FIND("|",SUBSTITUTE($H1995&amp;" "," ","|",3))-1),""))</f>
        <v/>
      </c>
      <c r="F1995" s="59">
        <f>IF($H1995="","",IFERROR(VALUE(IFERROR(MID($H1995&amp;" ",FIND("|",SUBSTITUTE($H1995&amp;" "," ","|",4))+1,FIND("|",SUBSTITUTE($H1995&amp;" "," ","|",5))-FIND("|",SUBSTITUTE($H1995&amp;" "," ","|",4))-1),""))/86400+25569+9/24,""))</f>
        <v/>
      </c>
      <c r="G1995" s="58">
        <f>TRIM(SUBSTITUTE(SUBSTITUTE(SUBSTITUTE($A1995,CHAR(9)," ")," "," "),CHAR(13),""))</f>
        <v/>
      </c>
      <c r="H1995" s="58">
        <f>IF($G1995="","",IF(ISNUMBER(FIND(" ",$G1995)),$G1995,IFERROR(IF((LEN(SUBSTITUTE(SUBSTITUTE($G1995,"-"," ",LEN($G1995)-LEN(SUBSTITUTE($G1995,"-",""))),"-"," ",LEN($G1995)-LEN(SUBSTITUTE($G1995,"-",""))-1))-LEN(SUBSTITUTE(SUBSTITUTE(SUBSTITUTE($G1995,"-"," ",LEN($G1995)-LEN(SUBSTITUTE($G1995,"-",""))),"-"," ",LEN($G1995)-LEN(SUBSTITUTE($G1995,"-",""))-1),".","")))=0,SUBSTITUTE(SUBSTITUTE($G1995,"-"," ",LEN($G1995)-LEN(SUBSTITUTE($G1995,"-",""))),"-"," ",LEN($G1995)-LEN(SUBSTITUTE($G1995,"-",""))-1),SUBSTITUTE(SUBSTITUTE(SUBSTITUTE($G1995,"-"," ",LEN($G1995)-LEN(SUBSTITUTE($G1995,"-",""))),"-"," ",LEN($G1995)-LEN(SUBSTITUTE($G1995,"-",""))-1),"."," ",(LEN(SUBSTITUTE(SUBSTITUTE($G1995,"-"," ",LEN($G1995)-LEN(SUBSTITUTE($G1995,"-",""))),"-"," ",LEN($G1995)-LEN(SUBSTITUTE($G1995,"-",""))-1))-LEN(SUBSTITUTE(SUBSTITUTE(SUBSTITUTE($G1995,"-"," ",LEN($G1995)-LEN(SUBSTITUTE($G1995,"-",""))),"-"," ",LEN($G1995)-LEN(SUBSTITUTE($G1995,"-",""))-1),".",""))))),$G1995)))</f>
        <v/>
      </c>
    </row>
    <row r="1996">
      <c r="A1996" s="58" t="n"/>
      <c r="B1996" s="58">
        <f>IF($H1996="","",LEFT($H1996,FIND(" ",$H1996&amp;" ")-1))</f>
        <v/>
      </c>
      <c r="C1996" s="58">
        <f>IF($H1996="","",IFERROR(MID($H1996&amp;" ",FIND("|",SUBSTITUTE($H1996&amp;" "," ","|",1))+1,FIND("|",SUBSTITUTE($H1996&amp;" "," ","|",2))-FIND("|",SUBSTITUTE($H1996&amp;" "," ","|",1))-1),""))</f>
        <v/>
      </c>
      <c r="D1996" s="58">
        <f>IF($H1996="","",IFERROR(MID($H1996&amp;" ",FIND("|",SUBSTITUTE($H1996&amp;" "," ","|",2))+1,FIND("|",SUBSTITUTE($H1996&amp;" "," ","|",3))-FIND("|",SUBSTITUTE($H1996&amp;" "," ","|",2))-1),""))</f>
        <v/>
      </c>
      <c r="E1996" s="58">
        <f>IF($H1996="","",IFERROR(MID($H1996&amp;" ",FIND("|",SUBSTITUTE($H1996&amp;" "," ","|",3))+1,FIND("|",SUBSTITUTE($H1996&amp;" "," ","|",4))-FIND("|",SUBSTITUTE($H1996&amp;" "," ","|",3))-1),""))</f>
        <v/>
      </c>
      <c r="F1996" s="59">
        <f>IF($H1996="","",IFERROR(VALUE(IFERROR(MID($H1996&amp;" ",FIND("|",SUBSTITUTE($H1996&amp;" "," ","|",4))+1,FIND("|",SUBSTITUTE($H1996&amp;" "," ","|",5))-FIND("|",SUBSTITUTE($H1996&amp;" "," ","|",4))-1),""))/86400+25569+9/24,""))</f>
        <v/>
      </c>
      <c r="G1996" s="58">
        <f>TRIM(SUBSTITUTE(SUBSTITUTE(SUBSTITUTE($A1996,CHAR(9)," ")," "," "),CHAR(13),""))</f>
        <v/>
      </c>
      <c r="H1996" s="58">
        <f>IF($G1996="","",IF(ISNUMBER(FIND(" ",$G1996)),$G1996,IFERROR(IF((LEN(SUBSTITUTE(SUBSTITUTE($G1996,"-"," ",LEN($G1996)-LEN(SUBSTITUTE($G1996,"-",""))),"-"," ",LEN($G1996)-LEN(SUBSTITUTE($G1996,"-",""))-1))-LEN(SUBSTITUTE(SUBSTITUTE(SUBSTITUTE($G1996,"-"," ",LEN($G1996)-LEN(SUBSTITUTE($G1996,"-",""))),"-"," ",LEN($G1996)-LEN(SUBSTITUTE($G1996,"-",""))-1),".","")))=0,SUBSTITUTE(SUBSTITUTE($G1996,"-"," ",LEN($G1996)-LEN(SUBSTITUTE($G1996,"-",""))),"-"," ",LEN($G1996)-LEN(SUBSTITUTE($G1996,"-",""))-1),SUBSTITUTE(SUBSTITUTE(SUBSTITUTE($G1996,"-"," ",LEN($G1996)-LEN(SUBSTITUTE($G1996,"-",""))),"-"," ",LEN($G1996)-LEN(SUBSTITUTE($G1996,"-",""))-1),"."," ",(LEN(SUBSTITUTE(SUBSTITUTE($G1996,"-"," ",LEN($G1996)-LEN(SUBSTITUTE($G1996,"-",""))),"-"," ",LEN($G1996)-LEN(SUBSTITUTE($G1996,"-",""))-1))-LEN(SUBSTITUTE(SUBSTITUTE(SUBSTITUTE($G1996,"-"," ",LEN($G1996)-LEN(SUBSTITUTE($G1996,"-",""))),"-"," ",LEN($G1996)-LEN(SUBSTITUTE($G1996,"-",""))-1),".",""))))),$G1996)))</f>
        <v/>
      </c>
    </row>
    <row r="1997">
      <c r="A1997" s="58" t="n"/>
      <c r="B1997" s="58">
        <f>IF($H1997="","",LEFT($H1997,FIND(" ",$H1997&amp;" ")-1))</f>
        <v/>
      </c>
      <c r="C1997" s="58">
        <f>IF($H1997="","",IFERROR(MID($H1997&amp;" ",FIND("|",SUBSTITUTE($H1997&amp;" "," ","|",1))+1,FIND("|",SUBSTITUTE($H1997&amp;" "," ","|",2))-FIND("|",SUBSTITUTE($H1997&amp;" "," ","|",1))-1),""))</f>
        <v/>
      </c>
      <c r="D1997" s="58">
        <f>IF($H1997="","",IFERROR(MID($H1997&amp;" ",FIND("|",SUBSTITUTE($H1997&amp;" "," ","|",2))+1,FIND("|",SUBSTITUTE($H1997&amp;" "," ","|",3))-FIND("|",SUBSTITUTE($H1997&amp;" "," ","|",2))-1),""))</f>
        <v/>
      </c>
      <c r="E1997" s="58">
        <f>IF($H1997="","",IFERROR(MID($H1997&amp;" ",FIND("|",SUBSTITUTE($H1997&amp;" "," ","|",3))+1,FIND("|",SUBSTITUTE($H1997&amp;" "," ","|",4))-FIND("|",SUBSTITUTE($H1997&amp;" "," ","|",3))-1),""))</f>
        <v/>
      </c>
      <c r="F1997" s="59">
        <f>IF($H1997="","",IFERROR(VALUE(IFERROR(MID($H1997&amp;" ",FIND("|",SUBSTITUTE($H1997&amp;" "," ","|",4))+1,FIND("|",SUBSTITUTE($H1997&amp;" "," ","|",5))-FIND("|",SUBSTITUTE($H1997&amp;" "," ","|",4))-1),""))/86400+25569+9/24,""))</f>
        <v/>
      </c>
      <c r="G1997" s="58">
        <f>TRIM(SUBSTITUTE(SUBSTITUTE(SUBSTITUTE($A1997,CHAR(9)," ")," "," "),CHAR(13),""))</f>
        <v/>
      </c>
      <c r="H1997" s="58">
        <f>IF($G1997="","",IF(ISNUMBER(FIND(" ",$G1997)),$G1997,IFERROR(IF((LEN(SUBSTITUTE(SUBSTITUTE($G1997,"-"," ",LEN($G1997)-LEN(SUBSTITUTE($G1997,"-",""))),"-"," ",LEN($G1997)-LEN(SUBSTITUTE($G1997,"-",""))-1))-LEN(SUBSTITUTE(SUBSTITUTE(SUBSTITUTE($G1997,"-"," ",LEN($G1997)-LEN(SUBSTITUTE($G1997,"-",""))),"-"," ",LEN($G1997)-LEN(SUBSTITUTE($G1997,"-",""))-1),".","")))=0,SUBSTITUTE(SUBSTITUTE($G1997,"-"," ",LEN($G1997)-LEN(SUBSTITUTE($G1997,"-",""))),"-"," ",LEN($G1997)-LEN(SUBSTITUTE($G1997,"-",""))-1),SUBSTITUTE(SUBSTITUTE(SUBSTITUTE($G1997,"-"," ",LEN($G1997)-LEN(SUBSTITUTE($G1997,"-",""))),"-"," ",LEN($G1997)-LEN(SUBSTITUTE($G1997,"-",""))-1),"."," ",(LEN(SUBSTITUTE(SUBSTITUTE($G1997,"-"," ",LEN($G1997)-LEN(SUBSTITUTE($G1997,"-",""))),"-"," ",LEN($G1997)-LEN(SUBSTITUTE($G1997,"-",""))-1))-LEN(SUBSTITUTE(SUBSTITUTE(SUBSTITUTE($G1997,"-"," ",LEN($G1997)-LEN(SUBSTITUTE($G1997,"-",""))),"-"," ",LEN($G1997)-LEN(SUBSTITUTE($G1997,"-",""))-1),".",""))))),$G1997)))</f>
        <v/>
      </c>
    </row>
    <row r="1998">
      <c r="A1998" s="58" t="n"/>
      <c r="B1998" s="58">
        <f>IF($H1998="","",LEFT($H1998,FIND(" ",$H1998&amp;" ")-1))</f>
        <v/>
      </c>
      <c r="C1998" s="58">
        <f>IF($H1998="","",IFERROR(MID($H1998&amp;" ",FIND("|",SUBSTITUTE($H1998&amp;" "," ","|",1))+1,FIND("|",SUBSTITUTE($H1998&amp;" "," ","|",2))-FIND("|",SUBSTITUTE($H1998&amp;" "," ","|",1))-1),""))</f>
        <v/>
      </c>
      <c r="D1998" s="58">
        <f>IF($H1998="","",IFERROR(MID($H1998&amp;" ",FIND("|",SUBSTITUTE($H1998&amp;" "," ","|",2))+1,FIND("|",SUBSTITUTE($H1998&amp;" "," ","|",3))-FIND("|",SUBSTITUTE($H1998&amp;" "," ","|",2))-1),""))</f>
        <v/>
      </c>
      <c r="E1998" s="58">
        <f>IF($H1998="","",IFERROR(MID($H1998&amp;" ",FIND("|",SUBSTITUTE($H1998&amp;" "," ","|",3))+1,FIND("|",SUBSTITUTE($H1998&amp;" "," ","|",4))-FIND("|",SUBSTITUTE($H1998&amp;" "," ","|",3))-1),""))</f>
        <v/>
      </c>
      <c r="F1998" s="59">
        <f>IF($H1998="","",IFERROR(VALUE(IFERROR(MID($H1998&amp;" ",FIND("|",SUBSTITUTE($H1998&amp;" "," ","|",4))+1,FIND("|",SUBSTITUTE($H1998&amp;" "," ","|",5))-FIND("|",SUBSTITUTE($H1998&amp;" "," ","|",4))-1),""))/86400+25569+9/24,""))</f>
        <v/>
      </c>
      <c r="G1998" s="58">
        <f>TRIM(SUBSTITUTE(SUBSTITUTE(SUBSTITUTE($A1998,CHAR(9)," ")," "," "),CHAR(13),""))</f>
        <v/>
      </c>
      <c r="H1998" s="58">
        <f>IF($G1998="","",IF(ISNUMBER(FIND(" ",$G1998)),$G1998,IFERROR(IF((LEN(SUBSTITUTE(SUBSTITUTE($G1998,"-"," ",LEN($G1998)-LEN(SUBSTITUTE($G1998,"-",""))),"-"," ",LEN($G1998)-LEN(SUBSTITUTE($G1998,"-",""))-1))-LEN(SUBSTITUTE(SUBSTITUTE(SUBSTITUTE($G1998,"-"," ",LEN($G1998)-LEN(SUBSTITUTE($G1998,"-",""))),"-"," ",LEN($G1998)-LEN(SUBSTITUTE($G1998,"-",""))-1),".","")))=0,SUBSTITUTE(SUBSTITUTE($G1998,"-"," ",LEN($G1998)-LEN(SUBSTITUTE($G1998,"-",""))),"-"," ",LEN($G1998)-LEN(SUBSTITUTE($G1998,"-",""))-1),SUBSTITUTE(SUBSTITUTE(SUBSTITUTE($G1998,"-"," ",LEN($G1998)-LEN(SUBSTITUTE($G1998,"-",""))),"-"," ",LEN($G1998)-LEN(SUBSTITUTE($G1998,"-",""))-1),"."," ",(LEN(SUBSTITUTE(SUBSTITUTE($G1998,"-"," ",LEN($G1998)-LEN(SUBSTITUTE($G1998,"-",""))),"-"," ",LEN($G1998)-LEN(SUBSTITUTE($G1998,"-",""))-1))-LEN(SUBSTITUTE(SUBSTITUTE(SUBSTITUTE($G1998,"-"," ",LEN($G1998)-LEN(SUBSTITUTE($G1998,"-",""))),"-"," ",LEN($G1998)-LEN(SUBSTITUTE($G1998,"-",""))-1),".",""))))),$G1998)))</f>
        <v/>
      </c>
    </row>
    <row r="1999">
      <c r="A1999" s="58" t="n"/>
      <c r="B1999" s="58">
        <f>IF($H1999="","",LEFT($H1999,FIND(" ",$H1999&amp;" ")-1))</f>
        <v/>
      </c>
      <c r="C1999" s="58">
        <f>IF($H1999="","",IFERROR(MID($H1999&amp;" ",FIND("|",SUBSTITUTE($H1999&amp;" "," ","|",1))+1,FIND("|",SUBSTITUTE($H1999&amp;" "," ","|",2))-FIND("|",SUBSTITUTE($H1999&amp;" "," ","|",1))-1),""))</f>
        <v/>
      </c>
      <c r="D1999" s="58">
        <f>IF($H1999="","",IFERROR(MID($H1999&amp;" ",FIND("|",SUBSTITUTE($H1999&amp;" "," ","|",2))+1,FIND("|",SUBSTITUTE($H1999&amp;" "," ","|",3))-FIND("|",SUBSTITUTE($H1999&amp;" "," ","|",2))-1),""))</f>
        <v/>
      </c>
      <c r="E1999" s="58">
        <f>IF($H1999="","",IFERROR(MID($H1999&amp;" ",FIND("|",SUBSTITUTE($H1999&amp;" "," ","|",3))+1,FIND("|",SUBSTITUTE($H1999&amp;" "," ","|",4))-FIND("|",SUBSTITUTE($H1999&amp;" "," ","|",3))-1),""))</f>
        <v/>
      </c>
      <c r="F1999" s="59">
        <f>IF($H1999="","",IFERROR(VALUE(IFERROR(MID($H1999&amp;" ",FIND("|",SUBSTITUTE($H1999&amp;" "," ","|",4))+1,FIND("|",SUBSTITUTE($H1999&amp;" "," ","|",5))-FIND("|",SUBSTITUTE($H1999&amp;" "," ","|",4))-1),""))/86400+25569+9/24,""))</f>
        <v/>
      </c>
      <c r="G1999" s="58">
        <f>TRIM(SUBSTITUTE(SUBSTITUTE(SUBSTITUTE($A1999,CHAR(9)," ")," "," "),CHAR(13),""))</f>
        <v/>
      </c>
      <c r="H1999" s="58">
        <f>IF($G1999="","",IF(ISNUMBER(FIND(" ",$G1999)),$G1999,IFERROR(IF((LEN(SUBSTITUTE(SUBSTITUTE($G1999,"-"," ",LEN($G1999)-LEN(SUBSTITUTE($G1999,"-",""))),"-"," ",LEN($G1999)-LEN(SUBSTITUTE($G1999,"-",""))-1))-LEN(SUBSTITUTE(SUBSTITUTE(SUBSTITUTE($G1999,"-"," ",LEN($G1999)-LEN(SUBSTITUTE($G1999,"-",""))),"-"," ",LEN($G1999)-LEN(SUBSTITUTE($G1999,"-",""))-1),".","")))=0,SUBSTITUTE(SUBSTITUTE($G1999,"-"," ",LEN($G1999)-LEN(SUBSTITUTE($G1999,"-",""))),"-"," ",LEN($G1999)-LEN(SUBSTITUTE($G1999,"-",""))-1),SUBSTITUTE(SUBSTITUTE(SUBSTITUTE($G1999,"-"," ",LEN($G1999)-LEN(SUBSTITUTE($G1999,"-",""))),"-"," ",LEN($G1999)-LEN(SUBSTITUTE($G1999,"-",""))-1),"."," ",(LEN(SUBSTITUTE(SUBSTITUTE($G1999,"-"," ",LEN($G1999)-LEN(SUBSTITUTE($G1999,"-",""))),"-"," ",LEN($G1999)-LEN(SUBSTITUTE($G1999,"-",""))-1))-LEN(SUBSTITUTE(SUBSTITUTE(SUBSTITUTE($G1999,"-"," ",LEN($G1999)-LEN(SUBSTITUTE($G1999,"-",""))),"-"," ",LEN($G1999)-LEN(SUBSTITUTE($G1999,"-",""))-1),".",""))))),$G1999)))</f>
        <v/>
      </c>
    </row>
    <row r="2000">
      <c r="A2000" s="58" t="n"/>
      <c r="B2000" s="58">
        <f>IF($H2000="","",LEFT($H2000,FIND(" ",$H2000&amp;" ")-1))</f>
        <v/>
      </c>
      <c r="C2000" s="58">
        <f>IF($H2000="","",IFERROR(MID($H2000&amp;" ",FIND("|",SUBSTITUTE($H2000&amp;" "," ","|",1))+1,FIND("|",SUBSTITUTE($H2000&amp;" "," ","|",2))-FIND("|",SUBSTITUTE($H2000&amp;" "," ","|",1))-1),""))</f>
        <v/>
      </c>
      <c r="D2000" s="58">
        <f>IF($H2000="","",IFERROR(MID($H2000&amp;" ",FIND("|",SUBSTITUTE($H2000&amp;" "," ","|",2))+1,FIND("|",SUBSTITUTE($H2000&amp;" "," ","|",3))-FIND("|",SUBSTITUTE($H2000&amp;" "," ","|",2))-1),""))</f>
        <v/>
      </c>
      <c r="E2000" s="58">
        <f>IF($H2000="","",IFERROR(MID($H2000&amp;" ",FIND("|",SUBSTITUTE($H2000&amp;" "," ","|",3))+1,FIND("|",SUBSTITUTE($H2000&amp;" "," ","|",4))-FIND("|",SUBSTITUTE($H2000&amp;" "," ","|",3))-1),""))</f>
        <v/>
      </c>
      <c r="F2000" s="59">
        <f>IF($H2000="","",IFERROR(VALUE(IFERROR(MID($H2000&amp;" ",FIND("|",SUBSTITUTE($H2000&amp;" "," ","|",4))+1,FIND("|",SUBSTITUTE($H2000&amp;" "," ","|",5))-FIND("|",SUBSTITUTE($H2000&amp;" "," ","|",4))-1),""))/86400+25569+9/24,""))</f>
        <v/>
      </c>
      <c r="G2000" s="58">
        <f>TRIM(SUBSTITUTE(SUBSTITUTE(SUBSTITUTE($A2000,CHAR(9)," ")," "," "),CHAR(13),""))</f>
        <v/>
      </c>
      <c r="H2000" s="58">
        <f>IF($G2000="","",IF(ISNUMBER(FIND(" ",$G2000)),$G2000,IFERROR(IF((LEN(SUBSTITUTE(SUBSTITUTE($G2000,"-"," ",LEN($G2000)-LEN(SUBSTITUTE($G2000,"-",""))),"-"," ",LEN($G2000)-LEN(SUBSTITUTE($G2000,"-",""))-1))-LEN(SUBSTITUTE(SUBSTITUTE(SUBSTITUTE($G2000,"-"," ",LEN($G2000)-LEN(SUBSTITUTE($G2000,"-",""))),"-"," ",LEN($G2000)-LEN(SUBSTITUTE($G2000,"-",""))-1),".","")))=0,SUBSTITUTE(SUBSTITUTE($G2000,"-"," ",LEN($G2000)-LEN(SUBSTITUTE($G2000,"-",""))),"-"," ",LEN($G2000)-LEN(SUBSTITUTE($G2000,"-",""))-1),SUBSTITUTE(SUBSTITUTE(SUBSTITUTE($G2000,"-"," ",LEN($G2000)-LEN(SUBSTITUTE($G2000,"-",""))),"-"," ",LEN($G2000)-LEN(SUBSTITUTE($G2000,"-",""))-1),"."," ",(LEN(SUBSTITUTE(SUBSTITUTE($G2000,"-"," ",LEN($G2000)-LEN(SUBSTITUTE($G2000,"-",""))),"-"," ",LEN($G2000)-LEN(SUBSTITUTE($G2000,"-",""))-1))-LEN(SUBSTITUTE(SUBSTITUTE(SUBSTITUTE($G2000,"-"," ",LEN($G2000)-LEN(SUBSTITUTE($G2000,"-",""))),"-"," ",LEN($G2000)-LEN(SUBSTITUTE($G2000,"-",""))-1),".",""))))),$G2000)))</f>
        <v/>
      </c>
    </row>
    <row r="2001">
      <c r="A2001" s="58" t="n"/>
      <c r="B2001" s="58">
        <f>IF($H2001="","",LEFT($H2001,FIND(" ",$H2001&amp;" ")-1))</f>
        <v/>
      </c>
      <c r="C2001" s="58">
        <f>IF($H2001="","",IFERROR(MID($H2001&amp;" ",FIND("|",SUBSTITUTE($H2001&amp;" "," ","|",1))+1,FIND("|",SUBSTITUTE($H2001&amp;" "," ","|",2))-FIND("|",SUBSTITUTE($H2001&amp;" "," ","|",1))-1),""))</f>
        <v/>
      </c>
      <c r="D2001" s="58">
        <f>IF($H2001="","",IFERROR(MID($H2001&amp;" ",FIND("|",SUBSTITUTE($H2001&amp;" "," ","|",2))+1,FIND("|",SUBSTITUTE($H2001&amp;" "," ","|",3))-FIND("|",SUBSTITUTE($H2001&amp;" "," ","|",2))-1),""))</f>
        <v/>
      </c>
      <c r="E2001" s="58">
        <f>IF($H2001="","",IFERROR(MID($H2001&amp;" ",FIND("|",SUBSTITUTE($H2001&amp;" "," ","|",3))+1,FIND("|",SUBSTITUTE($H2001&amp;" "," ","|",4))-FIND("|",SUBSTITUTE($H2001&amp;" "," ","|",3))-1),""))</f>
        <v/>
      </c>
      <c r="F2001" s="59">
        <f>IF($H2001="","",IFERROR(VALUE(IFERROR(MID($H2001&amp;" ",FIND("|",SUBSTITUTE($H2001&amp;" "," ","|",4))+1,FIND("|",SUBSTITUTE($H2001&amp;" "," ","|",5))-FIND("|",SUBSTITUTE($H2001&amp;" "," ","|",4))-1),""))/86400+25569+9/24,""))</f>
        <v/>
      </c>
      <c r="G2001" s="58">
        <f>TRIM(SUBSTITUTE(SUBSTITUTE(SUBSTITUTE($A2001,CHAR(9)," ")," "," "),CHAR(13),""))</f>
        <v/>
      </c>
      <c r="H2001" s="58">
        <f>IF($G2001="","",IF(ISNUMBER(FIND(" ",$G2001)),$G2001,IFERROR(IF((LEN(SUBSTITUTE(SUBSTITUTE($G2001,"-"," ",LEN($G2001)-LEN(SUBSTITUTE($G2001,"-",""))),"-"," ",LEN($G2001)-LEN(SUBSTITUTE($G2001,"-",""))-1))-LEN(SUBSTITUTE(SUBSTITUTE(SUBSTITUTE($G2001,"-"," ",LEN($G2001)-LEN(SUBSTITUTE($G2001,"-",""))),"-"," ",LEN($G2001)-LEN(SUBSTITUTE($G2001,"-",""))-1),".","")))=0,SUBSTITUTE(SUBSTITUTE($G2001,"-"," ",LEN($G2001)-LEN(SUBSTITUTE($G2001,"-",""))),"-"," ",LEN($G2001)-LEN(SUBSTITUTE($G2001,"-",""))-1),SUBSTITUTE(SUBSTITUTE(SUBSTITUTE($G2001,"-"," ",LEN($G2001)-LEN(SUBSTITUTE($G2001,"-",""))),"-"," ",LEN($G2001)-LEN(SUBSTITUTE($G2001,"-",""))-1),"."," ",(LEN(SUBSTITUTE(SUBSTITUTE($G2001,"-"," ",LEN($G2001)-LEN(SUBSTITUTE($G2001,"-",""))),"-"," ",LEN($G2001)-LEN(SUBSTITUTE($G2001,"-",""))-1))-LEN(SUBSTITUTE(SUBSTITUTE(SUBSTITUTE($G2001,"-"," ",LEN($G2001)-LEN(SUBSTITUTE($G2001,"-",""))),"-"," ",LEN($G2001)-LEN(SUBSTITUTE($G2001,"-",""))-1),".",""))))),$G2001)))</f>
        <v/>
      </c>
    </row>
    <row r="2002">
      <c r="A2002" s="58" t="n"/>
      <c r="B2002" s="58">
        <f>IF($H2002="","",LEFT($H2002,FIND(" ",$H2002&amp;" ")-1))</f>
        <v/>
      </c>
      <c r="C2002" s="58">
        <f>IF($H2002="","",IFERROR(MID($H2002&amp;" ",FIND("|",SUBSTITUTE($H2002&amp;" "," ","|",1))+1,FIND("|",SUBSTITUTE($H2002&amp;" "," ","|",2))-FIND("|",SUBSTITUTE($H2002&amp;" "," ","|",1))-1),""))</f>
        <v/>
      </c>
      <c r="D2002" s="58">
        <f>IF($H2002="","",IFERROR(MID($H2002&amp;" ",FIND("|",SUBSTITUTE($H2002&amp;" "," ","|",2))+1,FIND("|",SUBSTITUTE($H2002&amp;" "," ","|",3))-FIND("|",SUBSTITUTE($H2002&amp;" "," ","|",2))-1),""))</f>
        <v/>
      </c>
      <c r="E2002" s="58">
        <f>IF($H2002="","",IFERROR(MID($H2002&amp;" ",FIND("|",SUBSTITUTE($H2002&amp;" "," ","|",3))+1,FIND("|",SUBSTITUTE($H2002&amp;" "," ","|",4))-FIND("|",SUBSTITUTE($H2002&amp;" "," ","|",3))-1),""))</f>
        <v/>
      </c>
      <c r="F2002" s="59">
        <f>IF($H2002="","",IFERROR(VALUE(IFERROR(MID($H2002&amp;" ",FIND("|",SUBSTITUTE($H2002&amp;" "," ","|",4))+1,FIND("|",SUBSTITUTE($H2002&amp;" "," ","|",5))-FIND("|",SUBSTITUTE($H2002&amp;" "," ","|",4))-1),""))/86400+25569+9/24,""))</f>
        <v/>
      </c>
      <c r="G2002" s="58">
        <f>TRIM(SUBSTITUTE(SUBSTITUTE(SUBSTITUTE($A2002,CHAR(9)," ")," "," "),CHAR(13),""))</f>
        <v/>
      </c>
      <c r="H2002" s="58">
        <f>IF($G2002="","",IF(ISNUMBER(FIND(" ",$G2002)),$G2002,IFERROR(IF((LEN(SUBSTITUTE(SUBSTITUTE($G2002,"-"," ",LEN($G2002)-LEN(SUBSTITUTE($G2002,"-",""))),"-"," ",LEN($G2002)-LEN(SUBSTITUTE($G2002,"-",""))-1))-LEN(SUBSTITUTE(SUBSTITUTE(SUBSTITUTE($G2002,"-"," ",LEN($G2002)-LEN(SUBSTITUTE($G2002,"-",""))),"-"," ",LEN($G2002)-LEN(SUBSTITUTE($G2002,"-",""))-1),".","")))=0,SUBSTITUTE(SUBSTITUTE($G2002,"-"," ",LEN($G2002)-LEN(SUBSTITUTE($G2002,"-",""))),"-"," ",LEN($G2002)-LEN(SUBSTITUTE($G2002,"-",""))-1),SUBSTITUTE(SUBSTITUTE(SUBSTITUTE($G2002,"-"," ",LEN($G2002)-LEN(SUBSTITUTE($G2002,"-",""))),"-"," ",LEN($G2002)-LEN(SUBSTITUTE($G2002,"-",""))-1),"."," ",(LEN(SUBSTITUTE(SUBSTITUTE($G2002,"-"," ",LEN($G2002)-LEN(SUBSTITUTE($G2002,"-",""))),"-"," ",LEN($G2002)-LEN(SUBSTITUTE($G2002,"-",""))-1))-LEN(SUBSTITUTE(SUBSTITUTE(SUBSTITUTE($G2002,"-"," ",LEN($G2002)-LEN(SUBSTITUTE($G2002,"-",""))),"-"," ",LEN($G2002)-LEN(SUBSTITUTE($G2002,"-",""))-1),".",""))))),$G2002)))</f>
        <v/>
      </c>
    </row>
    <row r="2003">
      <c r="A2003" s="58" t="n"/>
      <c r="B2003" s="58">
        <f>IF($H2003="","",LEFT($H2003,FIND(" ",$H2003&amp;" ")-1))</f>
        <v/>
      </c>
      <c r="C2003" s="58">
        <f>IF($H2003="","",IFERROR(MID($H2003&amp;" ",FIND("|",SUBSTITUTE($H2003&amp;" "," ","|",1))+1,FIND("|",SUBSTITUTE($H2003&amp;" "," ","|",2))-FIND("|",SUBSTITUTE($H2003&amp;" "," ","|",1))-1),""))</f>
        <v/>
      </c>
      <c r="D2003" s="58">
        <f>IF($H2003="","",IFERROR(MID($H2003&amp;" ",FIND("|",SUBSTITUTE($H2003&amp;" "," ","|",2))+1,FIND("|",SUBSTITUTE($H2003&amp;" "," ","|",3))-FIND("|",SUBSTITUTE($H2003&amp;" "," ","|",2))-1),""))</f>
        <v/>
      </c>
      <c r="E2003" s="58">
        <f>IF($H2003="","",IFERROR(MID($H2003&amp;" ",FIND("|",SUBSTITUTE($H2003&amp;" "," ","|",3))+1,FIND("|",SUBSTITUTE($H2003&amp;" "," ","|",4))-FIND("|",SUBSTITUTE($H2003&amp;" "," ","|",3))-1),""))</f>
        <v/>
      </c>
      <c r="F2003" s="59">
        <f>IF($H2003="","",IFERROR(VALUE(IFERROR(MID($H2003&amp;" ",FIND("|",SUBSTITUTE($H2003&amp;" "," ","|",4))+1,FIND("|",SUBSTITUTE($H2003&amp;" "," ","|",5))-FIND("|",SUBSTITUTE($H2003&amp;" "," ","|",4))-1),""))/86400+25569+9/24,""))</f>
        <v/>
      </c>
      <c r="G2003" s="58">
        <f>TRIM(SUBSTITUTE(SUBSTITUTE(SUBSTITUTE($A2003,CHAR(9)," ")," "," "),CHAR(13),""))</f>
        <v/>
      </c>
      <c r="H2003" s="58">
        <f>IF($G2003="","",IF(ISNUMBER(FIND(" ",$G2003)),$G2003,IFERROR(IF((LEN(SUBSTITUTE(SUBSTITUTE($G2003,"-"," ",LEN($G2003)-LEN(SUBSTITUTE($G2003,"-",""))),"-"," ",LEN($G2003)-LEN(SUBSTITUTE($G2003,"-",""))-1))-LEN(SUBSTITUTE(SUBSTITUTE(SUBSTITUTE($G2003,"-"," ",LEN($G2003)-LEN(SUBSTITUTE($G2003,"-",""))),"-"," ",LEN($G2003)-LEN(SUBSTITUTE($G2003,"-",""))-1),".","")))=0,SUBSTITUTE(SUBSTITUTE($G2003,"-"," ",LEN($G2003)-LEN(SUBSTITUTE($G2003,"-",""))),"-"," ",LEN($G2003)-LEN(SUBSTITUTE($G2003,"-",""))-1),SUBSTITUTE(SUBSTITUTE(SUBSTITUTE($G2003,"-"," ",LEN($G2003)-LEN(SUBSTITUTE($G2003,"-",""))),"-"," ",LEN($G2003)-LEN(SUBSTITUTE($G2003,"-",""))-1),"."," ",(LEN(SUBSTITUTE(SUBSTITUTE($G2003,"-"," ",LEN($G2003)-LEN(SUBSTITUTE($G2003,"-",""))),"-"," ",LEN($G2003)-LEN(SUBSTITUTE($G2003,"-",""))-1))-LEN(SUBSTITUTE(SUBSTITUTE(SUBSTITUTE($G2003,"-"," ",LEN($G2003)-LEN(SUBSTITUTE($G2003,"-",""))),"-"," ",LEN($G2003)-LEN(SUBSTITUTE($G2003,"-",""))-1),".",""))))),$G2003)))</f>
        <v/>
      </c>
    </row>
    <row r="2004">
      <c r="A2004" s="58" t="n"/>
      <c r="B2004" s="58">
        <f>IF($H2004="","",LEFT($H2004,FIND(" ",$H2004&amp;" ")-1))</f>
        <v/>
      </c>
      <c r="C2004" s="58">
        <f>IF($H2004="","",IFERROR(MID($H2004&amp;" ",FIND("|",SUBSTITUTE($H2004&amp;" "," ","|",1))+1,FIND("|",SUBSTITUTE($H2004&amp;" "," ","|",2))-FIND("|",SUBSTITUTE($H2004&amp;" "," ","|",1))-1),""))</f>
        <v/>
      </c>
      <c r="D2004" s="58">
        <f>IF($H2004="","",IFERROR(MID($H2004&amp;" ",FIND("|",SUBSTITUTE($H2004&amp;" "," ","|",2))+1,FIND("|",SUBSTITUTE($H2004&amp;" "," ","|",3))-FIND("|",SUBSTITUTE($H2004&amp;" "," ","|",2))-1),""))</f>
        <v/>
      </c>
      <c r="E2004" s="58">
        <f>IF($H2004="","",IFERROR(MID($H2004&amp;" ",FIND("|",SUBSTITUTE($H2004&amp;" "," ","|",3))+1,FIND("|",SUBSTITUTE($H2004&amp;" "," ","|",4))-FIND("|",SUBSTITUTE($H2004&amp;" "," ","|",3))-1),""))</f>
        <v/>
      </c>
      <c r="F2004" s="59">
        <f>IF($H2004="","",IFERROR(VALUE(IFERROR(MID($H2004&amp;" ",FIND("|",SUBSTITUTE($H2004&amp;" "," ","|",4))+1,FIND("|",SUBSTITUTE($H2004&amp;" "," ","|",5))-FIND("|",SUBSTITUTE($H2004&amp;" "," ","|",4))-1),""))/86400+25569+9/24,""))</f>
        <v/>
      </c>
      <c r="G2004" s="58">
        <f>TRIM(SUBSTITUTE(SUBSTITUTE(SUBSTITUTE($A2004,CHAR(9)," ")," "," "),CHAR(13),""))</f>
        <v/>
      </c>
      <c r="H2004" s="58">
        <f>IF($G2004="","",IF(ISNUMBER(FIND(" ",$G2004)),$G2004,IFERROR(IF((LEN(SUBSTITUTE(SUBSTITUTE($G2004,"-"," ",LEN($G2004)-LEN(SUBSTITUTE($G2004,"-",""))),"-"," ",LEN($G2004)-LEN(SUBSTITUTE($G2004,"-",""))-1))-LEN(SUBSTITUTE(SUBSTITUTE(SUBSTITUTE($G2004,"-"," ",LEN($G2004)-LEN(SUBSTITUTE($G2004,"-",""))),"-"," ",LEN($G2004)-LEN(SUBSTITUTE($G2004,"-",""))-1),".","")))=0,SUBSTITUTE(SUBSTITUTE($G2004,"-"," ",LEN($G2004)-LEN(SUBSTITUTE($G2004,"-",""))),"-"," ",LEN($G2004)-LEN(SUBSTITUTE($G2004,"-",""))-1),SUBSTITUTE(SUBSTITUTE(SUBSTITUTE($G2004,"-"," ",LEN($G2004)-LEN(SUBSTITUTE($G2004,"-",""))),"-"," ",LEN($G2004)-LEN(SUBSTITUTE($G2004,"-",""))-1),"."," ",(LEN(SUBSTITUTE(SUBSTITUTE($G2004,"-"," ",LEN($G2004)-LEN(SUBSTITUTE($G2004,"-",""))),"-"," ",LEN($G2004)-LEN(SUBSTITUTE($G2004,"-",""))-1))-LEN(SUBSTITUTE(SUBSTITUTE(SUBSTITUTE($G2004,"-"," ",LEN($G2004)-LEN(SUBSTITUTE($G2004,"-",""))),"-"," ",LEN($G2004)-LEN(SUBSTITUTE($G2004,"-",""))-1),".",""))))),$G2004)))</f>
        <v/>
      </c>
    </row>
    <row r="2005">
      <c r="A2005" s="58" t="n"/>
      <c r="B2005" s="58">
        <f>IF($H2005="","",LEFT($H2005,FIND(" ",$H2005&amp;" ")-1))</f>
        <v/>
      </c>
      <c r="C2005" s="58">
        <f>IF($H2005="","",IFERROR(MID($H2005&amp;" ",FIND("|",SUBSTITUTE($H2005&amp;" "," ","|",1))+1,FIND("|",SUBSTITUTE($H2005&amp;" "," ","|",2))-FIND("|",SUBSTITUTE($H2005&amp;" "," ","|",1))-1),""))</f>
        <v/>
      </c>
      <c r="D2005" s="58">
        <f>IF($H2005="","",IFERROR(MID($H2005&amp;" ",FIND("|",SUBSTITUTE($H2005&amp;" "," ","|",2))+1,FIND("|",SUBSTITUTE($H2005&amp;" "," ","|",3))-FIND("|",SUBSTITUTE($H2005&amp;" "," ","|",2))-1),""))</f>
        <v/>
      </c>
      <c r="E2005" s="58">
        <f>IF($H2005="","",IFERROR(MID($H2005&amp;" ",FIND("|",SUBSTITUTE($H2005&amp;" "," ","|",3))+1,FIND("|",SUBSTITUTE($H2005&amp;" "," ","|",4))-FIND("|",SUBSTITUTE($H2005&amp;" "," ","|",3))-1),""))</f>
        <v/>
      </c>
      <c r="F2005" s="59">
        <f>IF($H2005="","",IFERROR(VALUE(IFERROR(MID($H2005&amp;" ",FIND("|",SUBSTITUTE($H2005&amp;" "," ","|",4))+1,FIND("|",SUBSTITUTE($H2005&amp;" "," ","|",5))-FIND("|",SUBSTITUTE($H2005&amp;" "," ","|",4))-1),""))/86400+25569+9/24,""))</f>
        <v/>
      </c>
      <c r="G2005" s="58">
        <f>TRIM(SUBSTITUTE(SUBSTITUTE(SUBSTITUTE($A2005,CHAR(9)," ")," "," "),CHAR(13),""))</f>
        <v/>
      </c>
      <c r="H2005" s="58">
        <f>IF($G2005="","",IF(ISNUMBER(FIND(" ",$G2005)),$G2005,IFERROR(IF((LEN(SUBSTITUTE(SUBSTITUTE($G2005,"-"," ",LEN($G2005)-LEN(SUBSTITUTE($G2005,"-",""))),"-"," ",LEN($G2005)-LEN(SUBSTITUTE($G2005,"-",""))-1))-LEN(SUBSTITUTE(SUBSTITUTE(SUBSTITUTE($G2005,"-"," ",LEN($G2005)-LEN(SUBSTITUTE($G2005,"-",""))),"-"," ",LEN($G2005)-LEN(SUBSTITUTE($G2005,"-",""))-1),".","")))=0,SUBSTITUTE(SUBSTITUTE($G2005,"-"," ",LEN($G2005)-LEN(SUBSTITUTE($G2005,"-",""))),"-"," ",LEN($G2005)-LEN(SUBSTITUTE($G2005,"-",""))-1),SUBSTITUTE(SUBSTITUTE(SUBSTITUTE($G2005,"-"," ",LEN($G2005)-LEN(SUBSTITUTE($G2005,"-",""))),"-"," ",LEN($G2005)-LEN(SUBSTITUTE($G2005,"-",""))-1),"."," ",(LEN(SUBSTITUTE(SUBSTITUTE($G2005,"-"," ",LEN($G2005)-LEN(SUBSTITUTE($G2005,"-",""))),"-"," ",LEN($G2005)-LEN(SUBSTITUTE($G2005,"-",""))-1))-LEN(SUBSTITUTE(SUBSTITUTE(SUBSTITUTE($G2005,"-"," ",LEN($G2005)-LEN(SUBSTITUTE($G2005,"-",""))),"-"," ",LEN($G2005)-LEN(SUBSTITUTE($G2005,"-",""))-1),".",""))))),$G2005)))</f>
        <v/>
      </c>
    </row>
    <row r="2006">
      <c r="A2006" s="58" t="n"/>
      <c r="B2006" s="58">
        <f>IF($H2006="","",LEFT($H2006,FIND(" ",$H2006&amp;" ")-1))</f>
        <v/>
      </c>
      <c r="C2006" s="58">
        <f>IF($H2006="","",IFERROR(MID($H2006&amp;" ",FIND("|",SUBSTITUTE($H2006&amp;" "," ","|",1))+1,FIND("|",SUBSTITUTE($H2006&amp;" "," ","|",2))-FIND("|",SUBSTITUTE($H2006&amp;" "," ","|",1))-1),""))</f>
        <v/>
      </c>
      <c r="D2006" s="58">
        <f>IF($H2006="","",IFERROR(MID($H2006&amp;" ",FIND("|",SUBSTITUTE($H2006&amp;" "," ","|",2))+1,FIND("|",SUBSTITUTE($H2006&amp;" "," ","|",3))-FIND("|",SUBSTITUTE($H2006&amp;" "," ","|",2))-1),""))</f>
        <v/>
      </c>
      <c r="E2006" s="58">
        <f>IF($H2006="","",IFERROR(MID($H2006&amp;" ",FIND("|",SUBSTITUTE($H2006&amp;" "," ","|",3))+1,FIND("|",SUBSTITUTE($H2006&amp;" "," ","|",4))-FIND("|",SUBSTITUTE($H2006&amp;" "," ","|",3))-1),""))</f>
        <v/>
      </c>
      <c r="F2006" s="59">
        <f>IF($H2006="","",IFERROR(VALUE(IFERROR(MID($H2006&amp;" ",FIND("|",SUBSTITUTE($H2006&amp;" "," ","|",4))+1,FIND("|",SUBSTITUTE($H2006&amp;" "," ","|",5))-FIND("|",SUBSTITUTE($H2006&amp;" "," ","|",4))-1),""))/86400+25569+9/24,""))</f>
        <v/>
      </c>
      <c r="G2006" s="58">
        <f>TRIM(SUBSTITUTE(SUBSTITUTE(SUBSTITUTE($A2006,CHAR(9)," ")," "," "),CHAR(13),""))</f>
        <v/>
      </c>
      <c r="H2006" s="58">
        <f>IF($G2006="","",IF(ISNUMBER(FIND(" ",$G2006)),$G2006,IFERROR(IF((LEN(SUBSTITUTE(SUBSTITUTE($G2006,"-"," ",LEN($G2006)-LEN(SUBSTITUTE($G2006,"-",""))),"-"," ",LEN($G2006)-LEN(SUBSTITUTE($G2006,"-",""))-1))-LEN(SUBSTITUTE(SUBSTITUTE(SUBSTITUTE($G2006,"-"," ",LEN($G2006)-LEN(SUBSTITUTE($G2006,"-",""))),"-"," ",LEN($G2006)-LEN(SUBSTITUTE($G2006,"-",""))-1),".","")))=0,SUBSTITUTE(SUBSTITUTE($G2006,"-"," ",LEN($G2006)-LEN(SUBSTITUTE($G2006,"-",""))),"-"," ",LEN($G2006)-LEN(SUBSTITUTE($G2006,"-",""))-1),SUBSTITUTE(SUBSTITUTE(SUBSTITUTE($G2006,"-"," ",LEN($G2006)-LEN(SUBSTITUTE($G2006,"-",""))),"-"," ",LEN($G2006)-LEN(SUBSTITUTE($G2006,"-",""))-1),"."," ",(LEN(SUBSTITUTE(SUBSTITUTE($G2006,"-"," ",LEN($G2006)-LEN(SUBSTITUTE($G2006,"-",""))),"-"," ",LEN($G2006)-LEN(SUBSTITUTE($G2006,"-",""))-1))-LEN(SUBSTITUTE(SUBSTITUTE(SUBSTITUTE($G2006,"-"," ",LEN($G2006)-LEN(SUBSTITUTE($G2006,"-",""))),"-"," ",LEN($G2006)-LEN(SUBSTITUTE($G2006,"-",""))-1),".",""))))),$G2006)))</f>
        <v/>
      </c>
    </row>
    <row r="2007">
      <c r="A2007" s="58" t="n"/>
      <c r="B2007" s="58">
        <f>IF($H2007="","",LEFT($H2007,FIND(" ",$H2007&amp;" ")-1))</f>
        <v/>
      </c>
      <c r="C2007" s="58">
        <f>IF($H2007="","",IFERROR(MID($H2007&amp;" ",FIND("|",SUBSTITUTE($H2007&amp;" "," ","|",1))+1,FIND("|",SUBSTITUTE($H2007&amp;" "," ","|",2))-FIND("|",SUBSTITUTE($H2007&amp;" "," ","|",1))-1),""))</f>
        <v/>
      </c>
      <c r="D2007" s="58">
        <f>IF($H2007="","",IFERROR(MID($H2007&amp;" ",FIND("|",SUBSTITUTE($H2007&amp;" "," ","|",2))+1,FIND("|",SUBSTITUTE($H2007&amp;" "," ","|",3))-FIND("|",SUBSTITUTE($H2007&amp;" "," ","|",2))-1),""))</f>
        <v/>
      </c>
      <c r="E2007" s="58">
        <f>IF($H2007="","",IFERROR(MID($H2007&amp;" ",FIND("|",SUBSTITUTE($H2007&amp;" "," ","|",3))+1,FIND("|",SUBSTITUTE($H2007&amp;" "," ","|",4))-FIND("|",SUBSTITUTE($H2007&amp;" "," ","|",3))-1),""))</f>
        <v/>
      </c>
      <c r="F2007" s="59">
        <f>IF($H2007="","",IFERROR(VALUE(IFERROR(MID($H2007&amp;" ",FIND("|",SUBSTITUTE($H2007&amp;" "," ","|",4))+1,FIND("|",SUBSTITUTE($H2007&amp;" "," ","|",5))-FIND("|",SUBSTITUTE($H2007&amp;" "," ","|",4))-1),""))/86400+25569+9/24,""))</f>
        <v/>
      </c>
      <c r="G2007" s="58">
        <f>TRIM(SUBSTITUTE(SUBSTITUTE(SUBSTITUTE($A2007,CHAR(9)," ")," "," "),CHAR(13),""))</f>
        <v/>
      </c>
      <c r="H2007" s="58">
        <f>IF($G2007="","",IF(ISNUMBER(FIND(" ",$G2007)),$G2007,IFERROR(IF((LEN(SUBSTITUTE(SUBSTITUTE($G2007,"-"," ",LEN($G2007)-LEN(SUBSTITUTE($G2007,"-",""))),"-"," ",LEN($G2007)-LEN(SUBSTITUTE($G2007,"-",""))-1))-LEN(SUBSTITUTE(SUBSTITUTE(SUBSTITUTE($G2007,"-"," ",LEN($G2007)-LEN(SUBSTITUTE($G2007,"-",""))),"-"," ",LEN($G2007)-LEN(SUBSTITUTE($G2007,"-",""))-1),".","")))=0,SUBSTITUTE(SUBSTITUTE($G2007,"-"," ",LEN($G2007)-LEN(SUBSTITUTE($G2007,"-",""))),"-"," ",LEN($G2007)-LEN(SUBSTITUTE($G2007,"-",""))-1),SUBSTITUTE(SUBSTITUTE(SUBSTITUTE($G2007,"-"," ",LEN($G2007)-LEN(SUBSTITUTE($G2007,"-",""))),"-"," ",LEN($G2007)-LEN(SUBSTITUTE($G2007,"-",""))-1),"."," ",(LEN(SUBSTITUTE(SUBSTITUTE($G2007,"-"," ",LEN($G2007)-LEN(SUBSTITUTE($G2007,"-",""))),"-"," ",LEN($G2007)-LEN(SUBSTITUTE($G2007,"-",""))-1))-LEN(SUBSTITUTE(SUBSTITUTE(SUBSTITUTE($G2007,"-"," ",LEN($G2007)-LEN(SUBSTITUTE($G2007,"-",""))),"-"," ",LEN($G2007)-LEN(SUBSTITUTE($G2007,"-",""))-1),".",""))))),$G2007)))</f>
        <v/>
      </c>
    </row>
    <row r="2008">
      <c r="A2008" s="58" t="n"/>
      <c r="B2008" s="58">
        <f>IF($H2008="","",LEFT($H2008,FIND(" ",$H2008&amp;" ")-1))</f>
        <v/>
      </c>
      <c r="C2008" s="58">
        <f>IF($H2008="","",IFERROR(MID($H2008&amp;" ",FIND("|",SUBSTITUTE($H2008&amp;" "," ","|",1))+1,FIND("|",SUBSTITUTE($H2008&amp;" "," ","|",2))-FIND("|",SUBSTITUTE($H2008&amp;" "," ","|",1))-1),""))</f>
        <v/>
      </c>
      <c r="D2008" s="58">
        <f>IF($H2008="","",IFERROR(MID($H2008&amp;" ",FIND("|",SUBSTITUTE($H2008&amp;" "," ","|",2))+1,FIND("|",SUBSTITUTE($H2008&amp;" "," ","|",3))-FIND("|",SUBSTITUTE($H2008&amp;" "," ","|",2))-1),""))</f>
        <v/>
      </c>
      <c r="E2008" s="58">
        <f>IF($H2008="","",IFERROR(MID($H2008&amp;" ",FIND("|",SUBSTITUTE($H2008&amp;" "," ","|",3))+1,FIND("|",SUBSTITUTE($H2008&amp;" "," ","|",4))-FIND("|",SUBSTITUTE($H2008&amp;" "," ","|",3))-1),""))</f>
        <v/>
      </c>
      <c r="F2008" s="59">
        <f>IF($H2008="","",IFERROR(VALUE(IFERROR(MID($H2008&amp;" ",FIND("|",SUBSTITUTE($H2008&amp;" "," ","|",4))+1,FIND("|",SUBSTITUTE($H2008&amp;" "," ","|",5))-FIND("|",SUBSTITUTE($H2008&amp;" "," ","|",4))-1),""))/86400+25569+9/24,""))</f>
        <v/>
      </c>
      <c r="G2008" s="58">
        <f>TRIM(SUBSTITUTE(SUBSTITUTE(SUBSTITUTE($A2008,CHAR(9)," ")," "," "),CHAR(13),""))</f>
        <v/>
      </c>
      <c r="H2008" s="58">
        <f>IF($G2008="","",IF(ISNUMBER(FIND(" ",$G2008)),$G2008,IFERROR(IF((LEN(SUBSTITUTE(SUBSTITUTE($G2008,"-"," ",LEN($G2008)-LEN(SUBSTITUTE($G2008,"-",""))),"-"," ",LEN($G2008)-LEN(SUBSTITUTE($G2008,"-",""))-1))-LEN(SUBSTITUTE(SUBSTITUTE(SUBSTITUTE($G2008,"-"," ",LEN($G2008)-LEN(SUBSTITUTE($G2008,"-",""))),"-"," ",LEN($G2008)-LEN(SUBSTITUTE($G2008,"-",""))-1),".","")))=0,SUBSTITUTE(SUBSTITUTE($G2008,"-"," ",LEN($G2008)-LEN(SUBSTITUTE($G2008,"-",""))),"-"," ",LEN($G2008)-LEN(SUBSTITUTE($G2008,"-",""))-1),SUBSTITUTE(SUBSTITUTE(SUBSTITUTE($G2008,"-"," ",LEN($G2008)-LEN(SUBSTITUTE($G2008,"-",""))),"-"," ",LEN($G2008)-LEN(SUBSTITUTE($G2008,"-",""))-1),"."," ",(LEN(SUBSTITUTE(SUBSTITUTE($G2008,"-"," ",LEN($G2008)-LEN(SUBSTITUTE($G2008,"-",""))),"-"," ",LEN($G2008)-LEN(SUBSTITUTE($G2008,"-",""))-1))-LEN(SUBSTITUTE(SUBSTITUTE(SUBSTITUTE($G2008,"-"," ",LEN($G2008)-LEN(SUBSTITUTE($G2008,"-",""))),"-"," ",LEN($G2008)-LEN(SUBSTITUTE($G2008,"-",""))-1),".",""))))),$G2008)))</f>
        <v/>
      </c>
    </row>
    <row r="2009">
      <c r="A2009" s="58" t="n"/>
      <c r="B2009" s="58">
        <f>IF($H2009="","",LEFT($H2009,FIND(" ",$H2009&amp;" ")-1))</f>
        <v/>
      </c>
      <c r="C2009" s="58">
        <f>IF($H2009="","",IFERROR(MID($H2009&amp;" ",FIND("|",SUBSTITUTE($H2009&amp;" "," ","|",1))+1,FIND("|",SUBSTITUTE($H2009&amp;" "," ","|",2))-FIND("|",SUBSTITUTE($H2009&amp;" "," ","|",1))-1),""))</f>
        <v/>
      </c>
      <c r="D2009" s="58">
        <f>IF($H2009="","",IFERROR(MID($H2009&amp;" ",FIND("|",SUBSTITUTE($H2009&amp;" "," ","|",2))+1,FIND("|",SUBSTITUTE($H2009&amp;" "," ","|",3))-FIND("|",SUBSTITUTE($H2009&amp;" "," ","|",2))-1),""))</f>
        <v/>
      </c>
      <c r="E2009" s="58">
        <f>IF($H2009="","",IFERROR(MID($H2009&amp;" ",FIND("|",SUBSTITUTE($H2009&amp;" "," ","|",3))+1,FIND("|",SUBSTITUTE($H2009&amp;" "," ","|",4))-FIND("|",SUBSTITUTE($H2009&amp;" "," ","|",3))-1),""))</f>
        <v/>
      </c>
      <c r="F2009" s="59">
        <f>IF($H2009="","",IFERROR(VALUE(IFERROR(MID($H2009&amp;" ",FIND("|",SUBSTITUTE($H2009&amp;" "," ","|",4))+1,FIND("|",SUBSTITUTE($H2009&amp;" "," ","|",5))-FIND("|",SUBSTITUTE($H2009&amp;" "," ","|",4))-1),""))/86400+25569+9/24,""))</f>
        <v/>
      </c>
      <c r="G2009" s="58">
        <f>TRIM(SUBSTITUTE(SUBSTITUTE(SUBSTITUTE($A2009,CHAR(9)," ")," "," "),CHAR(13),""))</f>
        <v/>
      </c>
      <c r="H2009" s="58">
        <f>IF($G2009="","",IF(ISNUMBER(FIND(" ",$G2009)),$G2009,IFERROR(IF((LEN(SUBSTITUTE(SUBSTITUTE($G2009,"-"," ",LEN($G2009)-LEN(SUBSTITUTE($G2009,"-",""))),"-"," ",LEN($G2009)-LEN(SUBSTITUTE($G2009,"-",""))-1))-LEN(SUBSTITUTE(SUBSTITUTE(SUBSTITUTE($G2009,"-"," ",LEN($G2009)-LEN(SUBSTITUTE($G2009,"-",""))),"-"," ",LEN($G2009)-LEN(SUBSTITUTE($G2009,"-",""))-1),".","")))=0,SUBSTITUTE(SUBSTITUTE($G2009,"-"," ",LEN($G2009)-LEN(SUBSTITUTE($G2009,"-",""))),"-"," ",LEN($G2009)-LEN(SUBSTITUTE($G2009,"-",""))-1),SUBSTITUTE(SUBSTITUTE(SUBSTITUTE($G2009,"-"," ",LEN($G2009)-LEN(SUBSTITUTE($G2009,"-",""))),"-"," ",LEN($G2009)-LEN(SUBSTITUTE($G2009,"-",""))-1),"."," ",(LEN(SUBSTITUTE(SUBSTITUTE($G2009,"-"," ",LEN($G2009)-LEN(SUBSTITUTE($G2009,"-",""))),"-"," ",LEN($G2009)-LEN(SUBSTITUTE($G2009,"-",""))-1))-LEN(SUBSTITUTE(SUBSTITUTE(SUBSTITUTE($G2009,"-"," ",LEN($G2009)-LEN(SUBSTITUTE($G2009,"-",""))),"-"," ",LEN($G2009)-LEN(SUBSTITUTE($G2009,"-",""))-1),".",""))))),$G2009)))</f>
        <v/>
      </c>
    </row>
    <row r="2010">
      <c r="A2010" s="58" t="n"/>
      <c r="B2010" s="58">
        <f>IF($H2010="","",LEFT($H2010,FIND(" ",$H2010&amp;" ")-1))</f>
        <v/>
      </c>
      <c r="C2010" s="58">
        <f>IF($H2010="","",IFERROR(MID($H2010&amp;" ",FIND("|",SUBSTITUTE($H2010&amp;" "," ","|",1))+1,FIND("|",SUBSTITUTE($H2010&amp;" "," ","|",2))-FIND("|",SUBSTITUTE($H2010&amp;" "," ","|",1))-1),""))</f>
        <v/>
      </c>
      <c r="D2010" s="58">
        <f>IF($H2010="","",IFERROR(MID($H2010&amp;" ",FIND("|",SUBSTITUTE($H2010&amp;" "," ","|",2))+1,FIND("|",SUBSTITUTE($H2010&amp;" "," ","|",3))-FIND("|",SUBSTITUTE($H2010&amp;" "," ","|",2))-1),""))</f>
        <v/>
      </c>
      <c r="E2010" s="58">
        <f>IF($H2010="","",IFERROR(MID($H2010&amp;" ",FIND("|",SUBSTITUTE($H2010&amp;" "," ","|",3))+1,FIND("|",SUBSTITUTE($H2010&amp;" "," ","|",4))-FIND("|",SUBSTITUTE($H2010&amp;" "," ","|",3))-1),""))</f>
        <v/>
      </c>
      <c r="F2010" s="59">
        <f>IF($H2010="","",IFERROR(VALUE(IFERROR(MID($H2010&amp;" ",FIND("|",SUBSTITUTE($H2010&amp;" "," ","|",4))+1,FIND("|",SUBSTITUTE($H2010&amp;" "," ","|",5))-FIND("|",SUBSTITUTE($H2010&amp;" "," ","|",4))-1),""))/86400+25569+9/24,""))</f>
        <v/>
      </c>
      <c r="G2010" s="58">
        <f>TRIM(SUBSTITUTE(SUBSTITUTE(SUBSTITUTE($A2010,CHAR(9)," ")," "," "),CHAR(13),""))</f>
        <v/>
      </c>
      <c r="H2010" s="58">
        <f>IF($G2010="","",IF(ISNUMBER(FIND(" ",$G2010)),$G2010,IFERROR(IF((LEN(SUBSTITUTE(SUBSTITUTE($G2010,"-"," ",LEN($G2010)-LEN(SUBSTITUTE($G2010,"-",""))),"-"," ",LEN($G2010)-LEN(SUBSTITUTE($G2010,"-",""))-1))-LEN(SUBSTITUTE(SUBSTITUTE(SUBSTITUTE($G2010,"-"," ",LEN($G2010)-LEN(SUBSTITUTE($G2010,"-",""))),"-"," ",LEN($G2010)-LEN(SUBSTITUTE($G2010,"-",""))-1),".","")))=0,SUBSTITUTE(SUBSTITUTE($G2010,"-"," ",LEN($G2010)-LEN(SUBSTITUTE($G2010,"-",""))),"-"," ",LEN($G2010)-LEN(SUBSTITUTE($G2010,"-",""))-1),SUBSTITUTE(SUBSTITUTE(SUBSTITUTE($G2010,"-"," ",LEN($G2010)-LEN(SUBSTITUTE($G2010,"-",""))),"-"," ",LEN($G2010)-LEN(SUBSTITUTE($G2010,"-",""))-1),"."," ",(LEN(SUBSTITUTE(SUBSTITUTE($G2010,"-"," ",LEN($G2010)-LEN(SUBSTITUTE($G2010,"-",""))),"-"," ",LEN($G2010)-LEN(SUBSTITUTE($G2010,"-",""))-1))-LEN(SUBSTITUTE(SUBSTITUTE(SUBSTITUTE($G2010,"-"," ",LEN($G2010)-LEN(SUBSTITUTE($G2010,"-",""))),"-"," ",LEN($G2010)-LEN(SUBSTITUTE($G2010,"-",""))-1),".",""))))),$G2010)))</f>
        <v/>
      </c>
    </row>
    <row r="2011">
      <c r="A2011" s="58" t="n"/>
      <c r="B2011" s="58">
        <f>IF($H2011="","",LEFT($H2011,FIND(" ",$H2011&amp;" ")-1))</f>
        <v/>
      </c>
      <c r="C2011" s="58">
        <f>IF($H2011="","",IFERROR(MID($H2011&amp;" ",FIND("|",SUBSTITUTE($H2011&amp;" "," ","|",1))+1,FIND("|",SUBSTITUTE($H2011&amp;" "," ","|",2))-FIND("|",SUBSTITUTE($H2011&amp;" "," ","|",1))-1),""))</f>
        <v/>
      </c>
      <c r="D2011" s="58">
        <f>IF($H2011="","",IFERROR(MID($H2011&amp;" ",FIND("|",SUBSTITUTE($H2011&amp;" "," ","|",2))+1,FIND("|",SUBSTITUTE($H2011&amp;" "," ","|",3))-FIND("|",SUBSTITUTE($H2011&amp;" "," ","|",2))-1),""))</f>
        <v/>
      </c>
      <c r="E2011" s="58">
        <f>IF($H2011="","",IFERROR(MID($H2011&amp;" ",FIND("|",SUBSTITUTE($H2011&amp;" "," ","|",3))+1,FIND("|",SUBSTITUTE($H2011&amp;" "," ","|",4))-FIND("|",SUBSTITUTE($H2011&amp;" "," ","|",3))-1),""))</f>
        <v/>
      </c>
      <c r="F2011" s="59">
        <f>IF($H2011="","",IFERROR(VALUE(IFERROR(MID($H2011&amp;" ",FIND("|",SUBSTITUTE($H2011&amp;" "," ","|",4))+1,FIND("|",SUBSTITUTE($H2011&amp;" "," ","|",5))-FIND("|",SUBSTITUTE($H2011&amp;" "," ","|",4))-1),""))/86400+25569+9/24,""))</f>
        <v/>
      </c>
      <c r="G2011" s="58">
        <f>TRIM(SUBSTITUTE(SUBSTITUTE(SUBSTITUTE($A2011,CHAR(9)," ")," "," "),CHAR(13),""))</f>
        <v/>
      </c>
      <c r="H2011" s="58">
        <f>IF($G2011="","",IF(ISNUMBER(FIND(" ",$G2011)),$G2011,IFERROR(IF((LEN(SUBSTITUTE(SUBSTITUTE($G2011,"-"," ",LEN($G2011)-LEN(SUBSTITUTE($G2011,"-",""))),"-"," ",LEN($G2011)-LEN(SUBSTITUTE($G2011,"-",""))-1))-LEN(SUBSTITUTE(SUBSTITUTE(SUBSTITUTE($G2011,"-"," ",LEN($G2011)-LEN(SUBSTITUTE($G2011,"-",""))),"-"," ",LEN($G2011)-LEN(SUBSTITUTE($G2011,"-",""))-1),".","")))=0,SUBSTITUTE(SUBSTITUTE($G2011,"-"," ",LEN($G2011)-LEN(SUBSTITUTE($G2011,"-",""))),"-"," ",LEN($G2011)-LEN(SUBSTITUTE($G2011,"-",""))-1),SUBSTITUTE(SUBSTITUTE(SUBSTITUTE($G2011,"-"," ",LEN($G2011)-LEN(SUBSTITUTE($G2011,"-",""))),"-"," ",LEN($G2011)-LEN(SUBSTITUTE($G2011,"-",""))-1),"."," ",(LEN(SUBSTITUTE(SUBSTITUTE($G2011,"-"," ",LEN($G2011)-LEN(SUBSTITUTE($G2011,"-",""))),"-"," ",LEN($G2011)-LEN(SUBSTITUTE($G2011,"-",""))-1))-LEN(SUBSTITUTE(SUBSTITUTE(SUBSTITUTE($G2011,"-"," ",LEN($G2011)-LEN(SUBSTITUTE($G2011,"-",""))),"-"," ",LEN($G2011)-LEN(SUBSTITUTE($G2011,"-",""))-1),".",""))))),$G2011)))</f>
        <v/>
      </c>
    </row>
    <row r="2012">
      <c r="A2012" s="58" t="n"/>
      <c r="B2012" s="58">
        <f>IF($H2012="","",LEFT($H2012,FIND(" ",$H2012&amp;" ")-1))</f>
        <v/>
      </c>
      <c r="C2012" s="58">
        <f>IF($H2012="","",IFERROR(MID($H2012&amp;" ",FIND("|",SUBSTITUTE($H2012&amp;" "," ","|",1))+1,FIND("|",SUBSTITUTE($H2012&amp;" "," ","|",2))-FIND("|",SUBSTITUTE($H2012&amp;" "," ","|",1))-1),""))</f>
        <v/>
      </c>
      <c r="D2012" s="58">
        <f>IF($H2012="","",IFERROR(MID($H2012&amp;" ",FIND("|",SUBSTITUTE($H2012&amp;" "," ","|",2))+1,FIND("|",SUBSTITUTE($H2012&amp;" "," ","|",3))-FIND("|",SUBSTITUTE($H2012&amp;" "," ","|",2))-1),""))</f>
        <v/>
      </c>
      <c r="E2012" s="58">
        <f>IF($H2012="","",IFERROR(MID($H2012&amp;" ",FIND("|",SUBSTITUTE($H2012&amp;" "," ","|",3))+1,FIND("|",SUBSTITUTE($H2012&amp;" "," ","|",4))-FIND("|",SUBSTITUTE($H2012&amp;" "," ","|",3))-1),""))</f>
        <v/>
      </c>
      <c r="F2012" s="59">
        <f>IF($H2012="","",IFERROR(VALUE(IFERROR(MID($H2012&amp;" ",FIND("|",SUBSTITUTE($H2012&amp;" "," ","|",4))+1,FIND("|",SUBSTITUTE($H2012&amp;" "," ","|",5))-FIND("|",SUBSTITUTE($H2012&amp;" "," ","|",4))-1),""))/86400+25569+9/24,""))</f>
        <v/>
      </c>
      <c r="G2012" s="58">
        <f>TRIM(SUBSTITUTE(SUBSTITUTE(SUBSTITUTE($A2012,CHAR(9)," ")," "," "),CHAR(13),""))</f>
        <v/>
      </c>
      <c r="H2012" s="58">
        <f>IF($G2012="","",IF(ISNUMBER(FIND(" ",$G2012)),$G2012,IFERROR(IF((LEN(SUBSTITUTE(SUBSTITUTE($G2012,"-"," ",LEN($G2012)-LEN(SUBSTITUTE($G2012,"-",""))),"-"," ",LEN($G2012)-LEN(SUBSTITUTE($G2012,"-",""))-1))-LEN(SUBSTITUTE(SUBSTITUTE(SUBSTITUTE($G2012,"-"," ",LEN($G2012)-LEN(SUBSTITUTE($G2012,"-",""))),"-"," ",LEN($G2012)-LEN(SUBSTITUTE($G2012,"-",""))-1),".","")))=0,SUBSTITUTE(SUBSTITUTE($G2012,"-"," ",LEN($G2012)-LEN(SUBSTITUTE($G2012,"-",""))),"-"," ",LEN($G2012)-LEN(SUBSTITUTE($G2012,"-",""))-1),SUBSTITUTE(SUBSTITUTE(SUBSTITUTE($G2012,"-"," ",LEN($G2012)-LEN(SUBSTITUTE($G2012,"-",""))),"-"," ",LEN($G2012)-LEN(SUBSTITUTE($G2012,"-",""))-1),"."," ",(LEN(SUBSTITUTE(SUBSTITUTE($G2012,"-"," ",LEN($G2012)-LEN(SUBSTITUTE($G2012,"-",""))),"-"," ",LEN($G2012)-LEN(SUBSTITUTE($G2012,"-",""))-1))-LEN(SUBSTITUTE(SUBSTITUTE(SUBSTITUTE($G2012,"-"," ",LEN($G2012)-LEN(SUBSTITUTE($G2012,"-",""))),"-"," ",LEN($G2012)-LEN(SUBSTITUTE($G2012,"-",""))-1),".",""))))),$G2012)))</f>
        <v/>
      </c>
    </row>
    <row r="2013">
      <c r="A2013" s="58" t="n"/>
      <c r="B2013" s="58">
        <f>IF($H2013="","",LEFT($H2013,FIND(" ",$H2013&amp;" ")-1))</f>
        <v/>
      </c>
      <c r="C2013" s="58">
        <f>IF($H2013="","",IFERROR(MID($H2013&amp;" ",FIND("|",SUBSTITUTE($H2013&amp;" "," ","|",1))+1,FIND("|",SUBSTITUTE($H2013&amp;" "," ","|",2))-FIND("|",SUBSTITUTE($H2013&amp;" "," ","|",1))-1),""))</f>
        <v/>
      </c>
      <c r="D2013" s="58">
        <f>IF($H2013="","",IFERROR(MID($H2013&amp;" ",FIND("|",SUBSTITUTE($H2013&amp;" "," ","|",2))+1,FIND("|",SUBSTITUTE($H2013&amp;" "," ","|",3))-FIND("|",SUBSTITUTE($H2013&amp;" "," ","|",2))-1),""))</f>
        <v/>
      </c>
      <c r="E2013" s="58">
        <f>IF($H2013="","",IFERROR(MID($H2013&amp;" ",FIND("|",SUBSTITUTE($H2013&amp;" "," ","|",3))+1,FIND("|",SUBSTITUTE($H2013&amp;" "," ","|",4))-FIND("|",SUBSTITUTE($H2013&amp;" "," ","|",3))-1),""))</f>
        <v/>
      </c>
      <c r="F2013" s="59">
        <f>IF($H2013="","",IFERROR(VALUE(IFERROR(MID($H2013&amp;" ",FIND("|",SUBSTITUTE($H2013&amp;" "," ","|",4))+1,FIND("|",SUBSTITUTE($H2013&amp;" "," ","|",5))-FIND("|",SUBSTITUTE($H2013&amp;" "," ","|",4))-1),""))/86400+25569+9/24,""))</f>
        <v/>
      </c>
      <c r="G2013" s="58">
        <f>TRIM(SUBSTITUTE(SUBSTITUTE(SUBSTITUTE($A2013,CHAR(9)," ")," "," "),CHAR(13),""))</f>
        <v/>
      </c>
      <c r="H2013" s="58">
        <f>IF($G2013="","",IF(ISNUMBER(FIND(" ",$G2013)),$G2013,IFERROR(IF((LEN(SUBSTITUTE(SUBSTITUTE($G2013,"-"," ",LEN($G2013)-LEN(SUBSTITUTE($G2013,"-",""))),"-"," ",LEN($G2013)-LEN(SUBSTITUTE($G2013,"-",""))-1))-LEN(SUBSTITUTE(SUBSTITUTE(SUBSTITUTE($G2013,"-"," ",LEN($G2013)-LEN(SUBSTITUTE($G2013,"-",""))),"-"," ",LEN($G2013)-LEN(SUBSTITUTE($G2013,"-",""))-1),".","")))=0,SUBSTITUTE(SUBSTITUTE($G2013,"-"," ",LEN($G2013)-LEN(SUBSTITUTE($G2013,"-",""))),"-"," ",LEN($G2013)-LEN(SUBSTITUTE($G2013,"-",""))-1),SUBSTITUTE(SUBSTITUTE(SUBSTITUTE($G2013,"-"," ",LEN($G2013)-LEN(SUBSTITUTE($G2013,"-",""))),"-"," ",LEN($G2013)-LEN(SUBSTITUTE($G2013,"-",""))-1),"."," ",(LEN(SUBSTITUTE(SUBSTITUTE($G2013,"-"," ",LEN($G2013)-LEN(SUBSTITUTE($G2013,"-",""))),"-"," ",LEN($G2013)-LEN(SUBSTITUTE($G2013,"-",""))-1))-LEN(SUBSTITUTE(SUBSTITUTE(SUBSTITUTE($G2013,"-"," ",LEN($G2013)-LEN(SUBSTITUTE($G2013,"-",""))),"-"," ",LEN($G2013)-LEN(SUBSTITUTE($G2013,"-",""))-1),".",""))))),$G2013)))</f>
        <v/>
      </c>
    </row>
    <row r="2014">
      <c r="A2014" s="58" t="n"/>
      <c r="B2014" s="58">
        <f>IF($H2014="","",LEFT($H2014,FIND(" ",$H2014&amp;" ")-1))</f>
        <v/>
      </c>
      <c r="C2014" s="58">
        <f>IF($H2014="","",IFERROR(MID($H2014&amp;" ",FIND("|",SUBSTITUTE($H2014&amp;" "," ","|",1))+1,FIND("|",SUBSTITUTE($H2014&amp;" "," ","|",2))-FIND("|",SUBSTITUTE($H2014&amp;" "," ","|",1))-1),""))</f>
        <v/>
      </c>
      <c r="D2014" s="58">
        <f>IF($H2014="","",IFERROR(MID($H2014&amp;" ",FIND("|",SUBSTITUTE($H2014&amp;" "," ","|",2))+1,FIND("|",SUBSTITUTE($H2014&amp;" "," ","|",3))-FIND("|",SUBSTITUTE($H2014&amp;" "," ","|",2))-1),""))</f>
        <v/>
      </c>
      <c r="E2014" s="58">
        <f>IF($H2014="","",IFERROR(MID($H2014&amp;" ",FIND("|",SUBSTITUTE($H2014&amp;" "," ","|",3))+1,FIND("|",SUBSTITUTE($H2014&amp;" "," ","|",4))-FIND("|",SUBSTITUTE($H2014&amp;" "," ","|",3))-1),""))</f>
        <v/>
      </c>
      <c r="F2014" s="59">
        <f>IF($H2014="","",IFERROR(VALUE(IFERROR(MID($H2014&amp;" ",FIND("|",SUBSTITUTE($H2014&amp;" "," ","|",4))+1,FIND("|",SUBSTITUTE($H2014&amp;" "," ","|",5))-FIND("|",SUBSTITUTE($H2014&amp;" "," ","|",4))-1),""))/86400+25569+9/24,""))</f>
        <v/>
      </c>
      <c r="G2014" s="58">
        <f>TRIM(SUBSTITUTE(SUBSTITUTE(SUBSTITUTE($A2014,CHAR(9)," ")," "," "),CHAR(13),""))</f>
        <v/>
      </c>
      <c r="H2014" s="58">
        <f>IF($G2014="","",IF(ISNUMBER(FIND(" ",$G2014)),$G2014,IFERROR(IF((LEN(SUBSTITUTE(SUBSTITUTE($G2014,"-"," ",LEN($G2014)-LEN(SUBSTITUTE($G2014,"-",""))),"-"," ",LEN($G2014)-LEN(SUBSTITUTE($G2014,"-",""))-1))-LEN(SUBSTITUTE(SUBSTITUTE(SUBSTITUTE($G2014,"-"," ",LEN($G2014)-LEN(SUBSTITUTE($G2014,"-",""))),"-"," ",LEN($G2014)-LEN(SUBSTITUTE($G2014,"-",""))-1),".","")))=0,SUBSTITUTE(SUBSTITUTE($G2014,"-"," ",LEN($G2014)-LEN(SUBSTITUTE($G2014,"-",""))),"-"," ",LEN($G2014)-LEN(SUBSTITUTE($G2014,"-",""))-1),SUBSTITUTE(SUBSTITUTE(SUBSTITUTE($G2014,"-"," ",LEN($G2014)-LEN(SUBSTITUTE($G2014,"-",""))),"-"," ",LEN($G2014)-LEN(SUBSTITUTE($G2014,"-",""))-1),"."," ",(LEN(SUBSTITUTE(SUBSTITUTE($G2014,"-"," ",LEN($G2014)-LEN(SUBSTITUTE($G2014,"-",""))),"-"," ",LEN($G2014)-LEN(SUBSTITUTE($G2014,"-",""))-1))-LEN(SUBSTITUTE(SUBSTITUTE(SUBSTITUTE($G2014,"-"," ",LEN($G2014)-LEN(SUBSTITUTE($G2014,"-",""))),"-"," ",LEN($G2014)-LEN(SUBSTITUTE($G2014,"-",""))-1),".",""))))),$G2014)))</f>
        <v/>
      </c>
    </row>
    <row r="2015">
      <c r="A2015" s="58" t="n"/>
      <c r="B2015" s="58">
        <f>IF($H2015="","",LEFT($H2015,FIND(" ",$H2015&amp;" ")-1))</f>
        <v/>
      </c>
      <c r="C2015" s="58">
        <f>IF($H2015="","",IFERROR(MID($H2015&amp;" ",FIND("|",SUBSTITUTE($H2015&amp;" "," ","|",1))+1,FIND("|",SUBSTITUTE($H2015&amp;" "," ","|",2))-FIND("|",SUBSTITUTE($H2015&amp;" "," ","|",1))-1),""))</f>
        <v/>
      </c>
      <c r="D2015" s="58">
        <f>IF($H2015="","",IFERROR(MID($H2015&amp;" ",FIND("|",SUBSTITUTE($H2015&amp;" "," ","|",2))+1,FIND("|",SUBSTITUTE($H2015&amp;" "," ","|",3))-FIND("|",SUBSTITUTE($H2015&amp;" "," ","|",2))-1),""))</f>
        <v/>
      </c>
      <c r="E2015" s="58">
        <f>IF($H2015="","",IFERROR(MID($H2015&amp;" ",FIND("|",SUBSTITUTE($H2015&amp;" "," ","|",3))+1,FIND("|",SUBSTITUTE($H2015&amp;" "," ","|",4))-FIND("|",SUBSTITUTE($H2015&amp;" "," ","|",3))-1),""))</f>
        <v/>
      </c>
      <c r="F2015" s="59">
        <f>IF($H2015="","",IFERROR(VALUE(IFERROR(MID($H2015&amp;" ",FIND("|",SUBSTITUTE($H2015&amp;" "," ","|",4))+1,FIND("|",SUBSTITUTE($H2015&amp;" "," ","|",5))-FIND("|",SUBSTITUTE($H2015&amp;" "," ","|",4))-1),""))/86400+25569+9/24,""))</f>
        <v/>
      </c>
      <c r="G2015" s="58">
        <f>TRIM(SUBSTITUTE(SUBSTITUTE(SUBSTITUTE($A2015,CHAR(9)," ")," "," "),CHAR(13),""))</f>
        <v/>
      </c>
      <c r="H2015" s="58">
        <f>IF($G2015="","",IF(ISNUMBER(FIND(" ",$G2015)),$G2015,IFERROR(IF((LEN(SUBSTITUTE(SUBSTITUTE($G2015,"-"," ",LEN($G2015)-LEN(SUBSTITUTE($G2015,"-",""))),"-"," ",LEN($G2015)-LEN(SUBSTITUTE($G2015,"-",""))-1))-LEN(SUBSTITUTE(SUBSTITUTE(SUBSTITUTE($G2015,"-"," ",LEN($G2015)-LEN(SUBSTITUTE($G2015,"-",""))),"-"," ",LEN($G2015)-LEN(SUBSTITUTE($G2015,"-",""))-1),".","")))=0,SUBSTITUTE(SUBSTITUTE($G2015,"-"," ",LEN($G2015)-LEN(SUBSTITUTE($G2015,"-",""))),"-"," ",LEN($G2015)-LEN(SUBSTITUTE($G2015,"-",""))-1),SUBSTITUTE(SUBSTITUTE(SUBSTITUTE($G2015,"-"," ",LEN($G2015)-LEN(SUBSTITUTE($G2015,"-",""))),"-"," ",LEN($G2015)-LEN(SUBSTITUTE($G2015,"-",""))-1),"."," ",(LEN(SUBSTITUTE(SUBSTITUTE($G2015,"-"," ",LEN($G2015)-LEN(SUBSTITUTE($G2015,"-",""))),"-"," ",LEN($G2015)-LEN(SUBSTITUTE($G2015,"-",""))-1))-LEN(SUBSTITUTE(SUBSTITUTE(SUBSTITUTE($G2015,"-"," ",LEN($G2015)-LEN(SUBSTITUTE($G2015,"-",""))),"-"," ",LEN($G2015)-LEN(SUBSTITUTE($G2015,"-",""))-1),".",""))))),$G2015)))</f>
        <v/>
      </c>
    </row>
    <row r="2016">
      <c r="A2016" s="58" t="n"/>
      <c r="B2016" s="58">
        <f>IF($H2016="","",LEFT($H2016,FIND(" ",$H2016&amp;" ")-1))</f>
        <v/>
      </c>
      <c r="C2016" s="58">
        <f>IF($H2016="","",IFERROR(MID($H2016&amp;" ",FIND("|",SUBSTITUTE($H2016&amp;" "," ","|",1))+1,FIND("|",SUBSTITUTE($H2016&amp;" "," ","|",2))-FIND("|",SUBSTITUTE($H2016&amp;" "," ","|",1))-1),""))</f>
        <v/>
      </c>
      <c r="D2016" s="58">
        <f>IF($H2016="","",IFERROR(MID($H2016&amp;" ",FIND("|",SUBSTITUTE($H2016&amp;" "," ","|",2))+1,FIND("|",SUBSTITUTE($H2016&amp;" "," ","|",3))-FIND("|",SUBSTITUTE($H2016&amp;" "," ","|",2))-1),""))</f>
        <v/>
      </c>
      <c r="E2016" s="58">
        <f>IF($H2016="","",IFERROR(MID($H2016&amp;" ",FIND("|",SUBSTITUTE($H2016&amp;" "," ","|",3))+1,FIND("|",SUBSTITUTE($H2016&amp;" "," ","|",4))-FIND("|",SUBSTITUTE($H2016&amp;" "," ","|",3))-1),""))</f>
        <v/>
      </c>
      <c r="F2016" s="59">
        <f>IF($H2016="","",IFERROR(VALUE(IFERROR(MID($H2016&amp;" ",FIND("|",SUBSTITUTE($H2016&amp;" "," ","|",4))+1,FIND("|",SUBSTITUTE($H2016&amp;" "," ","|",5))-FIND("|",SUBSTITUTE($H2016&amp;" "," ","|",4))-1),""))/86400+25569+9/24,""))</f>
        <v/>
      </c>
      <c r="G2016" s="58">
        <f>TRIM(SUBSTITUTE(SUBSTITUTE(SUBSTITUTE($A2016,CHAR(9)," ")," "," "),CHAR(13),""))</f>
        <v/>
      </c>
      <c r="H2016" s="58">
        <f>IF($G2016="","",IF(ISNUMBER(FIND(" ",$G2016)),$G2016,IFERROR(IF((LEN(SUBSTITUTE(SUBSTITUTE($G2016,"-"," ",LEN($G2016)-LEN(SUBSTITUTE($G2016,"-",""))),"-"," ",LEN($G2016)-LEN(SUBSTITUTE($G2016,"-",""))-1))-LEN(SUBSTITUTE(SUBSTITUTE(SUBSTITUTE($G2016,"-"," ",LEN($G2016)-LEN(SUBSTITUTE($G2016,"-",""))),"-"," ",LEN($G2016)-LEN(SUBSTITUTE($G2016,"-",""))-1),".","")))=0,SUBSTITUTE(SUBSTITUTE($G2016,"-"," ",LEN($G2016)-LEN(SUBSTITUTE($G2016,"-",""))),"-"," ",LEN($G2016)-LEN(SUBSTITUTE($G2016,"-",""))-1),SUBSTITUTE(SUBSTITUTE(SUBSTITUTE($G2016,"-"," ",LEN($G2016)-LEN(SUBSTITUTE($G2016,"-",""))),"-"," ",LEN($G2016)-LEN(SUBSTITUTE($G2016,"-",""))-1),"."," ",(LEN(SUBSTITUTE(SUBSTITUTE($G2016,"-"," ",LEN($G2016)-LEN(SUBSTITUTE($G2016,"-",""))),"-"," ",LEN($G2016)-LEN(SUBSTITUTE($G2016,"-",""))-1))-LEN(SUBSTITUTE(SUBSTITUTE(SUBSTITUTE($G2016,"-"," ",LEN($G2016)-LEN(SUBSTITUTE($G2016,"-",""))),"-"," ",LEN($G2016)-LEN(SUBSTITUTE($G2016,"-",""))-1),".",""))))),$G2016)))</f>
        <v/>
      </c>
    </row>
    <row r="2017">
      <c r="A2017" s="58" t="n"/>
      <c r="B2017" s="58">
        <f>IF($H2017="","",LEFT($H2017,FIND(" ",$H2017&amp;" ")-1))</f>
        <v/>
      </c>
      <c r="C2017" s="58">
        <f>IF($H2017="","",IFERROR(MID($H2017&amp;" ",FIND("|",SUBSTITUTE($H2017&amp;" "," ","|",1))+1,FIND("|",SUBSTITUTE($H2017&amp;" "," ","|",2))-FIND("|",SUBSTITUTE($H2017&amp;" "," ","|",1))-1),""))</f>
        <v/>
      </c>
      <c r="D2017" s="58">
        <f>IF($H2017="","",IFERROR(MID($H2017&amp;" ",FIND("|",SUBSTITUTE($H2017&amp;" "," ","|",2))+1,FIND("|",SUBSTITUTE($H2017&amp;" "," ","|",3))-FIND("|",SUBSTITUTE($H2017&amp;" "," ","|",2))-1),""))</f>
        <v/>
      </c>
      <c r="E2017" s="58">
        <f>IF($H2017="","",IFERROR(MID($H2017&amp;" ",FIND("|",SUBSTITUTE($H2017&amp;" "," ","|",3))+1,FIND("|",SUBSTITUTE($H2017&amp;" "," ","|",4))-FIND("|",SUBSTITUTE($H2017&amp;" "," ","|",3))-1),""))</f>
        <v/>
      </c>
      <c r="F2017" s="59">
        <f>IF($H2017="","",IFERROR(VALUE(IFERROR(MID($H2017&amp;" ",FIND("|",SUBSTITUTE($H2017&amp;" "," ","|",4))+1,FIND("|",SUBSTITUTE($H2017&amp;" "," ","|",5))-FIND("|",SUBSTITUTE($H2017&amp;" "," ","|",4))-1),""))/86400+25569+9/24,""))</f>
        <v/>
      </c>
      <c r="G2017" s="58">
        <f>TRIM(SUBSTITUTE(SUBSTITUTE(SUBSTITUTE($A2017,CHAR(9)," ")," "," "),CHAR(13),""))</f>
        <v/>
      </c>
      <c r="H2017" s="58">
        <f>IF($G2017="","",IF(ISNUMBER(FIND(" ",$G2017)),$G2017,IFERROR(IF((LEN(SUBSTITUTE(SUBSTITUTE($G2017,"-"," ",LEN($G2017)-LEN(SUBSTITUTE($G2017,"-",""))),"-"," ",LEN($G2017)-LEN(SUBSTITUTE($G2017,"-",""))-1))-LEN(SUBSTITUTE(SUBSTITUTE(SUBSTITUTE($G2017,"-"," ",LEN($G2017)-LEN(SUBSTITUTE($G2017,"-",""))),"-"," ",LEN($G2017)-LEN(SUBSTITUTE($G2017,"-",""))-1),".","")))=0,SUBSTITUTE(SUBSTITUTE($G2017,"-"," ",LEN($G2017)-LEN(SUBSTITUTE($G2017,"-",""))),"-"," ",LEN($G2017)-LEN(SUBSTITUTE($G2017,"-",""))-1),SUBSTITUTE(SUBSTITUTE(SUBSTITUTE($G2017,"-"," ",LEN($G2017)-LEN(SUBSTITUTE($G2017,"-",""))),"-"," ",LEN($G2017)-LEN(SUBSTITUTE($G2017,"-",""))-1),"."," ",(LEN(SUBSTITUTE(SUBSTITUTE($G2017,"-"," ",LEN($G2017)-LEN(SUBSTITUTE($G2017,"-",""))),"-"," ",LEN($G2017)-LEN(SUBSTITUTE($G2017,"-",""))-1))-LEN(SUBSTITUTE(SUBSTITUTE(SUBSTITUTE($G2017,"-"," ",LEN($G2017)-LEN(SUBSTITUTE($G2017,"-",""))),"-"," ",LEN($G2017)-LEN(SUBSTITUTE($G2017,"-",""))-1),".",""))))),$G2017)))</f>
        <v/>
      </c>
    </row>
    <row r="2018">
      <c r="A2018" s="58" t="n"/>
      <c r="B2018" s="58">
        <f>IF($H2018="","",LEFT($H2018,FIND(" ",$H2018&amp;" ")-1))</f>
        <v/>
      </c>
      <c r="C2018" s="58">
        <f>IF($H2018="","",IFERROR(MID($H2018&amp;" ",FIND("|",SUBSTITUTE($H2018&amp;" "," ","|",1))+1,FIND("|",SUBSTITUTE($H2018&amp;" "," ","|",2))-FIND("|",SUBSTITUTE($H2018&amp;" "," ","|",1))-1),""))</f>
        <v/>
      </c>
      <c r="D2018" s="58">
        <f>IF($H2018="","",IFERROR(MID($H2018&amp;" ",FIND("|",SUBSTITUTE($H2018&amp;" "," ","|",2))+1,FIND("|",SUBSTITUTE($H2018&amp;" "," ","|",3))-FIND("|",SUBSTITUTE($H2018&amp;" "," ","|",2))-1),""))</f>
        <v/>
      </c>
      <c r="E2018" s="58">
        <f>IF($H2018="","",IFERROR(MID($H2018&amp;" ",FIND("|",SUBSTITUTE($H2018&amp;" "," ","|",3))+1,FIND("|",SUBSTITUTE($H2018&amp;" "," ","|",4))-FIND("|",SUBSTITUTE($H2018&amp;" "," ","|",3))-1),""))</f>
        <v/>
      </c>
      <c r="F2018" s="59">
        <f>IF($H2018="","",IFERROR(VALUE(IFERROR(MID($H2018&amp;" ",FIND("|",SUBSTITUTE($H2018&amp;" "," ","|",4))+1,FIND("|",SUBSTITUTE($H2018&amp;" "," ","|",5))-FIND("|",SUBSTITUTE($H2018&amp;" "," ","|",4))-1),""))/86400+25569+9/24,""))</f>
        <v/>
      </c>
      <c r="G2018" s="58">
        <f>TRIM(SUBSTITUTE(SUBSTITUTE(SUBSTITUTE($A2018,CHAR(9)," ")," "," "),CHAR(13),""))</f>
        <v/>
      </c>
      <c r="H2018" s="58">
        <f>IF($G2018="","",IF(ISNUMBER(FIND(" ",$G2018)),$G2018,IFERROR(IF((LEN(SUBSTITUTE(SUBSTITUTE($G2018,"-"," ",LEN($G2018)-LEN(SUBSTITUTE($G2018,"-",""))),"-"," ",LEN($G2018)-LEN(SUBSTITUTE($G2018,"-",""))-1))-LEN(SUBSTITUTE(SUBSTITUTE(SUBSTITUTE($G2018,"-"," ",LEN($G2018)-LEN(SUBSTITUTE($G2018,"-",""))),"-"," ",LEN($G2018)-LEN(SUBSTITUTE($G2018,"-",""))-1),".","")))=0,SUBSTITUTE(SUBSTITUTE($G2018,"-"," ",LEN($G2018)-LEN(SUBSTITUTE($G2018,"-",""))),"-"," ",LEN($G2018)-LEN(SUBSTITUTE($G2018,"-",""))-1),SUBSTITUTE(SUBSTITUTE(SUBSTITUTE($G2018,"-"," ",LEN($G2018)-LEN(SUBSTITUTE($G2018,"-",""))),"-"," ",LEN($G2018)-LEN(SUBSTITUTE($G2018,"-",""))-1),"."," ",(LEN(SUBSTITUTE(SUBSTITUTE($G2018,"-"," ",LEN($G2018)-LEN(SUBSTITUTE($G2018,"-",""))),"-"," ",LEN($G2018)-LEN(SUBSTITUTE($G2018,"-",""))-1))-LEN(SUBSTITUTE(SUBSTITUTE(SUBSTITUTE($G2018,"-"," ",LEN($G2018)-LEN(SUBSTITUTE($G2018,"-",""))),"-"," ",LEN($G2018)-LEN(SUBSTITUTE($G2018,"-",""))-1),".",""))))),$G2018)))</f>
        <v/>
      </c>
    </row>
    <row r="2019">
      <c r="A2019" s="58" t="n"/>
      <c r="B2019" s="58">
        <f>IF($H2019="","",LEFT($H2019,FIND(" ",$H2019&amp;" ")-1))</f>
        <v/>
      </c>
      <c r="C2019" s="58">
        <f>IF($H2019="","",IFERROR(MID($H2019&amp;" ",FIND("|",SUBSTITUTE($H2019&amp;" "," ","|",1))+1,FIND("|",SUBSTITUTE($H2019&amp;" "," ","|",2))-FIND("|",SUBSTITUTE($H2019&amp;" "," ","|",1))-1),""))</f>
        <v/>
      </c>
      <c r="D2019" s="58">
        <f>IF($H2019="","",IFERROR(MID($H2019&amp;" ",FIND("|",SUBSTITUTE($H2019&amp;" "," ","|",2))+1,FIND("|",SUBSTITUTE($H2019&amp;" "," ","|",3))-FIND("|",SUBSTITUTE($H2019&amp;" "," ","|",2))-1),""))</f>
        <v/>
      </c>
      <c r="E2019" s="58">
        <f>IF($H2019="","",IFERROR(MID($H2019&amp;" ",FIND("|",SUBSTITUTE($H2019&amp;" "," ","|",3))+1,FIND("|",SUBSTITUTE($H2019&amp;" "," ","|",4))-FIND("|",SUBSTITUTE($H2019&amp;" "," ","|",3))-1),""))</f>
        <v/>
      </c>
      <c r="F2019" s="59">
        <f>IF($H2019="","",IFERROR(VALUE(IFERROR(MID($H2019&amp;" ",FIND("|",SUBSTITUTE($H2019&amp;" "," ","|",4))+1,FIND("|",SUBSTITUTE($H2019&amp;" "," ","|",5))-FIND("|",SUBSTITUTE($H2019&amp;" "," ","|",4))-1),""))/86400+25569+9/24,""))</f>
        <v/>
      </c>
      <c r="G2019" s="58">
        <f>TRIM(SUBSTITUTE(SUBSTITUTE(SUBSTITUTE($A2019,CHAR(9)," ")," "," "),CHAR(13),""))</f>
        <v/>
      </c>
      <c r="H2019" s="58">
        <f>IF($G2019="","",IF(ISNUMBER(FIND(" ",$G2019)),$G2019,IFERROR(IF((LEN(SUBSTITUTE(SUBSTITUTE($G2019,"-"," ",LEN($G2019)-LEN(SUBSTITUTE($G2019,"-",""))),"-"," ",LEN($G2019)-LEN(SUBSTITUTE($G2019,"-",""))-1))-LEN(SUBSTITUTE(SUBSTITUTE(SUBSTITUTE($G2019,"-"," ",LEN($G2019)-LEN(SUBSTITUTE($G2019,"-",""))),"-"," ",LEN($G2019)-LEN(SUBSTITUTE($G2019,"-",""))-1),".","")))=0,SUBSTITUTE(SUBSTITUTE($G2019,"-"," ",LEN($G2019)-LEN(SUBSTITUTE($G2019,"-",""))),"-"," ",LEN($G2019)-LEN(SUBSTITUTE($G2019,"-",""))-1),SUBSTITUTE(SUBSTITUTE(SUBSTITUTE($G2019,"-"," ",LEN($G2019)-LEN(SUBSTITUTE($G2019,"-",""))),"-"," ",LEN($G2019)-LEN(SUBSTITUTE($G2019,"-",""))-1),"."," ",(LEN(SUBSTITUTE(SUBSTITUTE($G2019,"-"," ",LEN($G2019)-LEN(SUBSTITUTE($G2019,"-",""))),"-"," ",LEN($G2019)-LEN(SUBSTITUTE($G2019,"-",""))-1))-LEN(SUBSTITUTE(SUBSTITUTE(SUBSTITUTE($G2019,"-"," ",LEN($G2019)-LEN(SUBSTITUTE($G2019,"-",""))),"-"," ",LEN($G2019)-LEN(SUBSTITUTE($G2019,"-",""))-1),".",""))))),$G2019)))</f>
        <v/>
      </c>
    </row>
    <row r="2020">
      <c r="A2020" s="58" t="n"/>
      <c r="B2020" s="58">
        <f>IF($H2020="","",LEFT($H2020,FIND(" ",$H2020&amp;" ")-1))</f>
        <v/>
      </c>
      <c r="C2020" s="58">
        <f>IF($H2020="","",IFERROR(MID($H2020&amp;" ",FIND("|",SUBSTITUTE($H2020&amp;" "," ","|",1))+1,FIND("|",SUBSTITUTE($H2020&amp;" "," ","|",2))-FIND("|",SUBSTITUTE($H2020&amp;" "," ","|",1))-1),""))</f>
        <v/>
      </c>
      <c r="D2020" s="58">
        <f>IF($H2020="","",IFERROR(MID($H2020&amp;" ",FIND("|",SUBSTITUTE($H2020&amp;" "," ","|",2))+1,FIND("|",SUBSTITUTE($H2020&amp;" "," ","|",3))-FIND("|",SUBSTITUTE($H2020&amp;" "," ","|",2))-1),""))</f>
        <v/>
      </c>
      <c r="E2020" s="58">
        <f>IF($H2020="","",IFERROR(MID($H2020&amp;" ",FIND("|",SUBSTITUTE($H2020&amp;" "," ","|",3))+1,FIND("|",SUBSTITUTE($H2020&amp;" "," ","|",4))-FIND("|",SUBSTITUTE($H2020&amp;" "," ","|",3))-1),""))</f>
        <v/>
      </c>
      <c r="F2020" s="59">
        <f>IF($H2020="","",IFERROR(VALUE(IFERROR(MID($H2020&amp;" ",FIND("|",SUBSTITUTE($H2020&amp;" "," ","|",4))+1,FIND("|",SUBSTITUTE($H2020&amp;" "," ","|",5))-FIND("|",SUBSTITUTE($H2020&amp;" "," ","|",4))-1),""))/86400+25569+9/24,""))</f>
        <v/>
      </c>
      <c r="G2020" s="58">
        <f>TRIM(SUBSTITUTE(SUBSTITUTE(SUBSTITUTE($A2020,CHAR(9)," ")," "," "),CHAR(13),""))</f>
        <v/>
      </c>
      <c r="H2020" s="58">
        <f>IF($G2020="","",IF(ISNUMBER(FIND(" ",$G2020)),$G2020,IFERROR(IF((LEN(SUBSTITUTE(SUBSTITUTE($G2020,"-"," ",LEN($G2020)-LEN(SUBSTITUTE($G2020,"-",""))),"-"," ",LEN($G2020)-LEN(SUBSTITUTE($G2020,"-",""))-1))-LEN(SUBSTITUTE(SUBSTITUTE(SUBSTITUTE($G2020,"-"," ",LEN($G2020)-LEN(SUBSTITUTE($G2020,"-",""))),"-"," ",LEN($G2020)-LEN(SUBSTITUTE($G2020,"-",""))-1),".","")))=0,SUBSTITUTE(SUBSTITUTE($G2020,"-"," ",LEN($G2020)-LEN(SUBSTITUTE($G2020,"-",""))),"-"," ",LEN($G2020)-LEN(SUBSTITUTE($G2020,"-",""))-1),SUBSTITUTE(SUBSTITUTE(SUBSTITUTE($G2020,"-"," ",LEN($G2020)-LEN(SUBSTITUTE($G2020,"-",""))),"-"," ",LEN($G2020)-LEN(SUBSTITUTE($G2020,"-",""))-1),"."," ",(LEN(SUBSTITUTE(SUBSTITUTE($G2020,"-"," ",LEN($G2020)-LEN(SUBSTITUTE($G2020,"-",""))),"-"," ",LEN($G2020)-LEN(SUBSTITUTE($G2020,"-",""))-1))-LEN(SUBSTITUTE(SUBSTITUTE(SUBSTITUTE($G2020,"-"," ",LEN($G2020)-LEN(SUBSTITUTE($G2020,"-",""))),"-"," ",LEN($G2020)-LEN(SUBSTITUTE($G2020,"-",""))-1),".",""))))),$G2020)))</f>
        <v/>
      </c>
    </row>
    <row r="2021">
      <c r="A2021" s="58" t="n"/>
      <c r="B2021" s="58">
        <f>IF($H2021="","",LEFT($H2021,FIND(" ",$H2021&amp;" ")-1))</f>
        <v/>
      </c>
      <c r="C2021" s="58">
        <f>IF($H2021="","",IFERROR(MID($H2021&amp;" ",FIND("|",SUBSTITUTE($H2021&amp;" "," ","|",1))+1,FIND("|",SUBSTITUTE($H2021&amp;" "," ","|",2))-FIND("|",SUBSTITUTE($H2021&amp;" "," ","|",1))-1),""))</f>
        <v/>
      </c>
      <c r="D2021" s="58">
        <f>IF($H2021="","",IFERROR(MID($H2021&amp;" ",FIND("|",SUBSTITUTE($H2021&amp;" "," ","|",2))+1,FIND("|",SUBSTITUTE($H2021&amp;" "," ","|",3))-FIND("|",SUBSTITUTE($H2021&amp;" "," ","|",2))-1),""))</f>
        <v/>
      </c>
      <c r="E2021" s="58">
        <f>IF($H2021="","",IFERROR(MID($H2021&amp;" ",FIND("|",SUBSTITUTE($H2021&amp;" "," ","|",3))+1,FIND("|",SUBSTITUTE($H2021&amp;" "," ","|",4))-FIND("|",SUBSTITUTE($H2021&amp;" "," ","|",3))-1),""))</f>
        <v/>
      </c>
      <c r="F2021" s="59">
        <f>IF($H2021="","",IFERROR(VALUE(IFERROR(MID($H2021&amp;" ",FIND("|",SUBSTITUTE($H2021&amp;" "," ","|",4))+1,FIND("|",SUBSTITUTE($H2021&amp;" "," ","|",5))-FIND("|",SUBSTITUTE($H2021&amp;" "," ","|",4))-1),""))/86400+25569+9/24,""))</f>
        <v/>
      </c>
      <c r="G2021" s="58">
        <f>TRIM(SUBSTITUTE(SUBSTITUTE(SUBSTITUTE($A2021,CHAR(9)," ")," "," "),CHAR(13),""))</f>
        <v/>
      </c>
      <c r="H2021" s="58">
        <f>IF($G2021="","",IF(ISNUMBER(FIND(" ",$G2021)),$G2021,IFERROR(IF((LEN(SUBSTITUTE(SUBSTITUTE($G2021,"-"," ",LEN($G2021)-LEN(SUBSTITUTE($G2021,"-",""))),"-"," ",LEN($G2021)-LEN(SUBSTITUTE($G2021,"-",""))-1))-LEN(SUBSTITUTE(SUBSTITUTE(SUBSTITUTE($G2021,"-"," ",LEN($G2021)-LEN(SUBSTITUTE($G2021,"-",""))),"-"," ",LEN($G2021)-LEN(SUBSTITUTE($G2021,"-",""))-1),".","")))=0,SUBSTITUTE(SUBSTITUTE($G2021,"-"," ",LEN($G2021)-LEN(SUBSTITUTE($G2021,"-",""))),"-"," ",LEN($G2021)-LEN(SUBSTITUTE($G2021,"-",""))-1),SUBSTITUTE(SUBSTITUTE(SUBSTITUTE($G2021,"-"," ",LEN($G2021)-LEN(SUBSTITUTE($G2021,"-",""))),"-"," ",LEN($G2021)-LEN(SUBSTITUTE($G2021,"-",""))-1),"."," ",(LEN(SUBSTITUTE(SUBSTITUTE($G2021,"-"," ",LEN($G2021)-LEN(SUBSTITUTE($G2021,"-",""))),"-"," ",LEN($G2021)-LEN(SUBSTITUTE($G2021,"-",""))-1))-LEN(SUBSTITUTE(SUBSTITUTE(SUBSTITUTE($G2021,"-"," ",LEN($G2021)-LEN(SUBSTITUTE($G2021,"-",""))),"-"," ",LEN($G2021)-LEN(SUBSTITUTE($G2021,"-",""))-1),".",""))))),$G2021)))</f>
        <v/>
      </c>
    </row>
    <row r="2022">
      <c r="A2022" s="58" t="n"/>
      <c r="B2022" s="58">
        <f>IF($H2022="","",LEFT($H2022,FIND(" ",$H2022&amp;" ")-1))</f>
        <v/>
      </c>
      <c r="C2022" s="58">
        <f>IF($H2022="","",IFERROR(MID($H2022&amp;" ",FIND("|",SUBSTITUTE($H2022&amp;" "," ","|",1))+1,FIND("|",SUBSTITUTE($H2022&amp;" "," ","|",2))-FIND("|",SUBSTITUTE($H2022&amp;" "," ","|",1))-1),""))</f>
        <v/>
      </c>
      <c r="D2022" s="58">
        <f>IF($H2022="","",IFERROR(MID($H2022&amp;" ",FIND("|",SUBSTITUTE($H2022&amp;" "," ","|",2))+1,FIND("|",SUBSTITUTE($H2022&amp;" "," ","|",3))-FIND("|",SUBSTITUTE($H2022&amp;" "," ","|",2))-1),""))</f>
        <v/>
      </c>
      <c r="E2022" s="58">
        <f>IF($H2022="","",IFERROR(MID($H2022&amp;" ",FIND("|",SUBSTITUTE($H2022&amp;" "," ","|",3))+1,FIND("|",SUBSTITUTE($H2022&amp;" "," ","|",4))-FIND("|",SUBSTITUTE($H2022&amp;" "," ","|",3))-1),""))</f>
        <v/>
      </c>
      <c r="F2022" s="59">
        <f>IF($H2022="","",IFERROR(VALUE(IFERROR(MID($H2022&amp;" ",FIND("|",SUBSTITUTE($H2022&amp;" "," ","|",4))+1,FIND("|",SUBSTITUTE($H2022&amp;" "," ","|",5))-FIND("|",SUBSTITUTE($H2022&amp;" "," ","|",4))-1),""))/86400+25569+9/24,""))</f>
        <v/>
      </c>
      <c r="G2022" s="58">
        <f>TRIM(SUBSTITUTE(SUBSTITUTE(SUBSTITUTE($A2022,CHAR(9)," ")," "," "),CHAR(13),""))</f>
        <v/>
      </c>
      <c r="H2022" s="58">
        <f>IF($G2022="","",IF(ISNUMBER(FIND(" ",$G2022)),$G2022,IFERROR(IF((LEN(SUBSTITUTE(SUBSTITUTE($G2022,"-"," ",LEN($G2022)-LEN(SUBSTITUTE($G2022,"-",""))),"-"," ",LEN($G2022)-LEN(SUBSTITUTE($G2022,"-",""))-1))-LEN(SUBSTITUTE(SUBSTITUTE(SUBSTITUTE($G2022,"-"," ",LEN($G2022)-LEN(SUBSTITUTE($G2022,"-",""))),"-"," ",LEN($G2022)-LEN(SUBSTITUTE($G2022,"-",""))-1),".","")))=0,SUBSTITUTE(SUBSTITUTE($G2022,"-"," ",LEN($G2022)-LEN(SUBSTITUTE($G2022,"-",""))),"-"," ",LEN($G2022)-LEN(SUBSTITUTE($G2022,"-",""))-1),SUBSTITUTE(SUBSTITUTE(SUBSTITUTE($G2022,"-"," ",LEN($G2022)-LEN(SUBSTITUTE($G2022,"-",""))),"-"," ",LEN($G2022)-LEN(SUBSTITUTE($G2022,"-",""))-1),"."," ",(LEN(SUBSTITUTE(SUBSTITUTE($G2022,"-"," ",LEN($G2022)-LEN(SUBSTITUTE($G2022,"-",""))),"-"," ",LEN($G2022)-LEN(SUBSTITUTE($G2022,"-",""))-1))-LEN(SUBSTITUTE(SUBSTITUTE(SUBSTITUTE($G2022,"-"," ",LEN($G2022)-LEN(SUBSTITUTE($G2022,"-",""))),"-"," ",LEN($G2022)-LEN(SUBSTITUTE($G2022,"-",""))-1),".",""))))),$G2022)))</f>
        <v/>
      </c>
    </row>
    <row r="2023">
      <c r="A2023" s="58" t="n"/>
      <c r="B2023" s="58">
        <f>IF($H2023="","",LEFT($H2023,FIND(" ",$H2023&amp;" ")-1))</f>
        <v/>
      </c>
      <c r="C2023" s="58">
        <f>IF($H2023="","",IFERROR(MID($H2023&amp;" ",FIND("|",SUBSTITUTE($H2023&amp;" "," ","|",1))+1,FIND("|",SUBSTITUTE($H2023&amp;" "," ","|",2))-FIND("|",SUBSTITUTE($H2023&amp;" "," ","|",1))-1),""))</f>
        <v/>
      </c>
      <c r="D2023" s="58">
        <f>IF($H2023="","",IFERROR(MID($H2023&amp;" ",FIND("|",SUBSTITUTE($H2023&amp;" "," ","|",2))+1,FIND("|",SUBSTITUTE($H2023&amp;" "," ","|",3))-FIND("|",SUBSTITUTE($H2023&amp;" "," ","|",2))-1),""))</f>
        <v/>
      </c>
      <c r="E2023" s="58">
        <f>IF($H2023="","",IFERROR(MID($H2023&amp;" ",FIND("|",SUBSTITUTE($H2023&amp;" "," ","|",3))+1,FIND("|",SUBSTITUTE($H2023&amp;" "," ","|",4))-FIND("|",SUBSTITUTE($H2023&amp;" "," ","|",3))-1),""))</f>
        <v/>
      </c>
      <c r="F2023" s="59">
        <f>IF($H2023="","",IFERROR(VALUE(IFERROR(MID($H2023&amp;" ",FIND("|",SUBSTITUTE($H2023&amp;" "," ","|",4))+1,FIND("|",SUBSTITUTE($H2023&amp;" "," ","|",5))-FIND("|",SUBSTITUTE($H2023&amp;" "," ","|",4))-1),""))/86400+25569+9/24,""))</f>
        <v/>
      </c>
      <c r="G2023" s="58">
        <f>TRIM(SUBSTITUTE(SUBSTITUTE(SUBSTITUTE($A2023,CHAR(9)," ")," "," "),CHAR(13),""))</f>
        <v/>
      </c>
      <c r="H2023" s="58">
        <f>IF($G2023="","",IF(ISNUMBER(FIND(" ",$G2023)),$G2023,IFERROR(IF((LEN(SUBSTITUTE(SUBSTITUTE($G2023,"-"," ",LEN($G2023)-LEN(SUBSTITUTE($G2023,"-",""))),"-"," ",LEN($G2023)-LEN(SUBSTITUTE($G2023,"-",""))-1))-LEN(SUBSTITUTE(SUBSTITUTE(SUBSTITUTE($G2023,"-"," ",LEN($G2023)-LEN(SUBSTITUTE($G2023,"-",""))),"-"," ",LEN($G2023)-LEN(SUBSTITUTE($G2023,"-",""))-1),".","")))=0,SUBSTITUTE(SUBSTITUTE($G2023,"-"," ",LEN($G2023)-LEN(SUBSTITUTE($G2023,"-",""))),"-"," ",LEN($G2023)-LEN(SUBSTITUTE($G2023,"-",""))-1),SUBSTITUTE(SUBSTITUTE(SUBSTITUTE($G2023,"-"," ",LEN($G2023)-LEN(SUBSTITUTE($G2023,"-",""))),"-"," ",LEN($G2023)-LEN(SUBSTITUTE($G2023,"-",""))-1),"."," ",(LEN(SUBSTITUTE(SUBSTITUTE($G2023,"-"," ",LEN($G2023)-LEN(SUBSTITUTE($G2023,"-",""))),"-"," ",LEN($G2023)-LEN(SUBSTITUTE($G2023,"-",""))-1))-LEN(SUBSTITUTE(SUBSTITUTE(SUBSTITUTE($G2023,"-"," ",LEN($G2023)-LEN(SUBSTITUTE($G2023,"-",""))),"-"," ",LEN($G2023)-LEN(SUBSTITUTE($G2023,"-",""))-1),".",""))))),$G2023)))</f>
        <v/>
      </c>
    </row>
    <row r="2024">
      <c r="A2024" s="58" t="n"/>
      <c r="B2024" s="58">
        <f>IF($H2024="","",LEFT($H2024,FIND(" ",$H2024&amp;" ")-1))</f>
        <v/>
      </c>
      <c r="C2024" s="58">
        <f>IF($H2024="","",IFERROR(MID($H2024&amp;" ",FIND("|",SUBSTITUTE($H2024&amp;" "," ","|",1))+1,FIND("|",SUBSTITUTE($H2024&amp;" "," ","|",2))-FIND("|",SUBSTITUTE($H2024&amp;" "," ","|",1))-1),""))</f>
        <v/>
      </c>
      <c r="D2024" s="58">
        <f>IF($H2024="","",IFERROR(MID($H2024&amp;" ",FIND("|",SUBSTITUTE($H2024&amp;" "," ","|",2))+1,FIND("|",SUBSTITUTE($H2024&amp;" "," ","|",3))-FIND("|",SUBSTITUTE($H2024&amp;" "," ","|",2))-1),""))</f>
        <v/>
      </c>
      <c r="E2024" s="58">
        <f>IF($H2024="","",IFERROR(MID($H2024&amp;" ",FIND("|",SUBSTITUTE($H2024&amp;" "," ","|",3))+1,FIND("|",SUBSTITUTE($H2024&amp;" "," ","|",4))-FIND("|",SUBSTITUTE($H2024&amp;" "," ","|",3))-1),""))</f>
        <v/>
      </c>
      <c r="F2024" s="59">
        <f>IF($H2024="","",IFERROR(VALUE(IFERROR(MID($H2024&amp;" ",FIND("|",SUBSTITUTE($H2024&amp;" "," ","|",4))+1,FIND("|",SUBSTITUTE($H2024&amp;" "," ","|",5))-FIND("|",SUBSTITUTE($H2024&amp;" "," ","|",4))-1),""))/86400+25569+9/24,""))</f>
        <v/>
      </c>
      <c r="G2024" s="58">
        <f>TRIM(SUBSTITUTE(SUBSTITUTE(SUBSTITUTE($A2024,CHAR(9)," ")," "," "),CHAR(13),""))</f>
        <v/>
      </c>
      <c r="H2024" s="58">
        <f>IF($G2024="","",IF(ISNUMBER(FIND(" ",$G2024)),$G2024,IFERROR(IF((LEN(SUBSTITUTE(SUBSTITUTE($G2024,"-"," ",LEN($G2024)-LEN(SUBSTITUTE($G2024,"-",""))),"-"," ",LEN($G2024)-LEN(SUBSTITUTE($G2024,"-",""))-1))-LEN(SUBSTITUTE(SUBSTITUTE(SUBSTITUTE($G2024,"-"," ",LEN($G2024)-LEN(SUBSTITUTE($G2024,"-",""))),"-"," ",LEN($G2024)-LEN(SUBSTITUTE($G2024,"-",""))-1),".","")))=0,SUBSTITUTE(SUBSTITUTE($G2024,"-"," ",LEN($G2024)-LEN(SUBSTITUTE($G2024,"-",""))),"-"," ",LEN($G2024)-LEN(SUBSTITUTE($G2024,"-",""))-1),SUBSTITUTE(SUBSTITUTE(SUBSTITUTE($G2024,"-"," ",LEN($G2024)-LEN(SUBSTITUTE($G2024,"-",""))),"-"," ",LEN($G2024)-LEN(SUBSTITUTE($G2024,"-",""))-1),"."," ",(LEN(SUBSTITUTE(SUBSTITUTE($G2024,"-"," ",LEN($G2024)-LEN(SUBSTITUTE($G2024,"-",""))),"-"," ",LEN($G2024)-LEN(SUBSTITUTE($G2024,"-",""))-1))-LEN(SUBSTITUTE(SUBSTITUTE(SUBSTITUTE($G2024,"-"," ",LEN($G2024)-LEN(SUBSTITUTE($G2024,"-",""))),"-"," ",LEN($G2024)-LEN(SUBSTITUTE($G2024,"-",""))-1),".",""))))),$G2024)))</f>
        <v/>
      </c>
    </row>
    <row r="2025">
      <c r="A2025" s="58" t="n"/>
      <c r="B2025" s="58">
        <f>IF($H2025="","",LEFT($H2025,FIND(" ",$H2025&amp;" ")-1))</f>
        <v/>
      </c>
      <c r="C2025" s="58">
        <f>IF($H2025="","",IFERROR(MID($H2025&amp;" ",FIND("|",SUBSTITUTE($H2025&amp;" "," ","|",1))+1,FIND("|",SUBSTITUTE($H2025&amp;" "," ","|",2))-FIND("|",SUBSTITUTE($H2025&amp;" "," ","|",1))-1),""))</f>
        <v/>
      </c>
      <c r="D2025" s="58">
        <f>IF($H2025="","",IFERROR(MID($H2025&amp;" ",FIND("|",SUBSTITUTE($H2025&amp;" "," ","|",2))+1,FIND("|",SUBSTITUTE($H2025&amp;" "," ","|",3))-FIND("|",SUBSTITUTE($H2025&amp;" "," ","|",2))-1),""))</f>
        <v/>
      </c>
      <c r="E2025" s="58">
        <f>IF($H2025="","",IFERROR(MID($H2025&amp;" ",FIND("|",SUBSTITUTE($H2025&amp;" "," ","|",3))+1,FIND("|",SUBSTITUTE($H2025&amp;" "," ","|",4))-FIND("|",SUBSTITUTE($H2025&amp;" "," ","|",3))-1),""))</f>
        <v/>
      </c>
      <c r="F2025" s="59">
        <f>IF($H2025="","",IFERROR(VALUE(IFERROR(MID($H2025&amp;" ",FIND("|",SUBSTITUTE($H2025&amp;" "," ","|",4))+1,FIND("|",SUBSTITUTE($H2025&amp;" "," ","|",5))-FIND("|",SUBSTITUTE($H2025&amp;" "," ","|",4))-1),""))/86400+25569+9/24,""))</f>
        <v/>
      </c>
      <c r="G2025" s="58">
        <f>TRIM(SUBSTITUTE(SUBSTITUTE(SUBSTITUTE($A2025,CHAR(9)," ")," "," "),CHAR(13),""))</f>
        <v/>
      </c>
      <c r="H2025" s="58">
        <f>IF($G2025="","",IF(ISNUMBER(FIND(" ",$G2025)),$G2025,IFERROR(IF((LEN(SUBSTITUTE(SUBSTITUTE($G2025,"-"," ",LEN($G2025)-LEN(SUBSTITUTE($G2025,"-",""))),"-"," ",LEN($G2025)-LEN(SUBSTITUTE($G2025,"-",""))-1))-LEN(SUBSTITUTE(SUBSTITUTE(SUBSTITUTE($G2025,"-"," ",LEN($G2025)-LEN(SUBSTITUTE($G2025,"-",""))),"-"," ",LEN($G2025)-LEN(SUBSTITUTE($G2025,"-",""))-1),".","")))=0,SUBSTITUTE(SUBSTITUTE($G2025,"-"," ",LEN($G2025)-LEN(SUBSTITUTE($G2025,"-",""))),"-"," ",LEN($G2025)-LEN(SUBSTITUTE($G2025,"-",""))-1),SUBSTITUTE(SUBSTITUTE(SUBSTITUTE($G2025,"-"," ",LEN($G2025)-LEN(SUBSTITUTE($G2025,"-",""))),"-"," ",LEN($G2025)-LEN(SUBSTITUTE($G2025,"-",""))-1),"."," ",(LEN(SUBSTITUTE(SUBSTITUTE($G2025,"-"," ",LEN($G2025)-LEN(SUBSTITUTE($G2025,"-",""))),"-"," ",LEN($G2025)-LEN(SUBSTITUTE($G2025,"-",""))-1))-LEN(SUBSTITUTE(SUBSTITUTE(SUBSTITUTE($G2025,"-"," ",LEN($G2025)-LEN(SUBSTITUTE($G2025,"-",""))),"-"," ",LEN($G2025)-LEN(SUBSTITUTE($G2025,"-",""))-1),".",""))))),$G2025)))</f>
        <v/>
      </c>
    </row>
    <row r="2026">
      <c r="A2026" s="58" t="n"/>
      <c r="B2026" s="58">
        <f>IF($H2026="","",LEFT($H2026,FIND(" ",$H2026&amp;" ")-1))</f>
        <v/>
      </c>
      <c r="C2026" s="58">
        <f>IF($H2026="","",IFERROR(MID($H2026&amp;" ",FIND("|",SUBSTITUTE($H2026&amp;" "," ","|",1))+1,FIND("|",SUBSTITUTE($H2026&amp;" "," ","|",2))-FIND("|",SUBSTITUTE($H2026&amp;" "," ","|",1))-1),""))</f>
        <v/>
      </c>
      <c r="D2026" s="58">
        <f>IF($H2026="","",IFERROR(MID($H2026&amp;" ",FIND("|",SUBSTITUTE($H2026&amp;" "," ","|",2))+1,FIND("|",SUBSTITUTE($H2026&amp;" "," ","|",3))-FIND("|",SUBSTITUTE($H2026&amp;" "," ","|",2))-1),""))</f>
        <v/>
      </c>
      <c r="E2026" s="58">
        <f>IF($H2026="","",IFERROR(MID($H2026&amp;" ",FIND("|",SUBSTITUTE($H2026&amp;" "," ","|",3))+1,FIND("|",SUBSTITUTE($H2026&amp;" "," ","|",4))-FIND("|",SUBSTITUTE($H2026&amp;" "," ","|",3))-1),""))</f>
        <v/>
      </c>
      <c r="F2026" s="59">
        <f>IF($H2026="","",IFERROR(VALUE(IFERROR(MID($H2026&amp;" ",FIND("|",SUBSTITUTE($H2026&amp;" "," ","|",4))+1,FIND("|",SUBSTITUTE($H2026&amp;" "," ","|",5))-FIND("|",SUBSTITUTE($H2026&amp;" "," ","|",4))-1),""))/86400+25569+9/24,""))</f>
        <v/>
      </c>
      <c r="G2026" s="58">
        <f>TRIM(SUBSTITUTE(SUBSTITUTE(SUBSTITUTE($A2026,CHAR(9)," ")," "," "),CHAR(13),""))</f>
        <v/>
      </c>
      <c r="H2026" s="58">
        <f>IF($G2026="","",IF(ISNUMBER(FIND(" ",$G2026)),$G2026,IFERROR(IF((LEN(SUBSTITUTE(SUBSTITUTE($G2026,"-"," ",LEN($G2026)-LEN(SUBSTITUTE($G2026,"-",""))),"-"," ",LEN($G2026)-LEN(SUBSTITUTE($G2026,"-",""))-1))-LEN(SUBSTITUTE(SUBSTITUTE(SUBSTITUTE($G2026,"-"," ",LEN($G2026)-LEN(SUBSTITUTE($G2026,"-",""))),"-"," ",LEN($G2026)-LEN(SUBSTITUTE($G2026,"-",""))-1),".","")))=0,SUBSTITUTE(SUBSTITUTE($G2026,"-"," ",LEN($G2026)-LEN(SUBSTITUTE($G2026,"-",""))),"-"," ",LEN($G2026)-LEN(SUBSTITUTE($G2026,"-",""))-1),SUBSTITUTE(SUBSTITUTE(SUBSTITUTE($G2026,"-"," ",LEN($G2026)-LEN(SUBSTITUTE($G2026,"-",""))),"-"," ",LEN($G2026)-LEN(SUBSTITUTE($G2026,"-",""))-1),"."," ",(LEN(SUBSTITUTE(SUBSTITUTE($G2026,"-"," ",LEN($G2026)-LEN(SUBSTITUTE($G2026,"-",""))),"-"," ",LEN($G2026)-LEN(SUBSTITUTE($G2026,"-",""))-1))-LEN(SUBSTITUTE(SUBSTITUTE(SUBSTITUTE($G2026,"-"," ",LEN($G2026)-LEN(SUBSTITUTE($G2026,"-",""))),"-"," ",LEN($G2026)-LEN(SUBSTITUTE($G2026,"-",""))-1),".",""))))),$G2026)))</f>
        <v/>
      </c>
    </row>
    <row r="2027">
      <c r="A2027" s="58" t="n"/>
      <c r="B2027" s="58">
        <f>IF($H2027="","",LEFT($H2027,FIND(" ",$H2027&amp;" ")-1))</f>
        <v/>
      </c>
      <c r="C2027" s="58">
        <f>IF($H2027="","",IFERROR(MID($H2027&amp;" ",FIND("|",SUBSTITUTE($H2027&amp;" "," ","|",1))+1,FIND("|",SUBSTITUTE($H2027&amp;" "," ","|",2))-FIND("|",SUBSTITUTE($H2027&amp;" "," ","|",1))-1),""))</f>
        <v/>
      </c>
      <c r="D2027" s="58">
        <f>IF($H2027="","",IFERROR(MID($H2027&amp;" ",FIND("|",SUBSTITUTE($H2027&amp;" "," ","|",2))+1,FIND("|",SUBSTITUTE($H2027&amp;" "," ","|",3))-FIND("|",SUBSTITUTE($H2027&amp;" "," ","|",2))-1),""))</f>
        <v/>
      </c>
      <c r="E2027" s="58">
        <f>IF($H2027="","",IFERROR(MID($H2027&amp;" ",FIND("|",SUBSTITUTE($H2027&amp;" "," ","|",3))+1,FIND("|",SUBSTITUTE($H2027&amp;" "," ","|",4))-FIND("|",SUBSTITUTE($H2027&amp;" "," ","|",3))-1),""))</f>
        <v/>
      </c>
      <c r="F2027" s="59">
        <f>IF($H2027="","",IFERROR(VALUE(IFERROR(MID($H2027&amp;" ",FIND("|",SUBSTITUTE($H2027&amp;" "," ","|",4))+1,FIND("|",SUBSTITUTE($H2027&amp;" "," ","|",5))-FIND("|",SUBSTITUTE($H2027&amp;" "," ","|",4))-1),""))/86400+25569+9/24,""))</f>
        <v/>
      </c>
      <c r="G2027" s="58">
        <f>TRIM(SUBSTITUTE(SUBSTITUTE(SUBSTITUTE($A2027,CHAR(9)," ")," "," "),CHAR(13),""))</f>
        <v/>
      </c>
      <c r="H2027" s="58">
        <f>IF($G2027="","",IF(ISNUMBER(FIND(" ",$G2027)),$G2027,IFERROR(IF((LEN(SUBSTITUTE(SUBSTITUTE($G2027,"-"," ",LEN($G2027)-LEN(SUBSTITUTE($G2027,"-",""))),"-"," ",LEN($G2027)-LEN(SUBSTITUTE($G2027,"-",""))-1))-LEN(SUBSTITUTE(SUBSTITUTE(SUBSTITUTE($G2027,"-"," ",LEN($G2027)-LEN(SUBSTITUTE($G2027,"-",""))),"-"," ",LEN($G2027)-LEN(SUBSTITUTE($G2027,"-",""))-1),".","")))=0,SUBSTITUTE(SUBSTITUTE($G2027,"-"," ",LEN($G2027)-LEN(SUBSTITUTE($G2027,"-",""))),"-"," ",LEN($G2027)-LEN(SUBSTITUTE($G2027,"-",""))-1),SUBSTITUTE(SUBSTITUTE(SUBSTITUTE($G2027,"-"," ",LEN($G2027)-LEN(SUBSTITUTE($G2027,"-",""))),"-"," ",LEN($G2027)-LEN(SUBSTITUTE($G2027,"-",""))-1),"."," ",(LEN(SUBSTITUTE(SUBSTITUTE($G2027,"-"," ",LEN($G2027)-LEN(SUBSTITUTE($G2027,"-",""))),"-"," ",LEN($G2027)-LEN(SUBSTITUTE($G2027,"-",""))-1))-LEN(SUBSTITUTE(SUBSTITUTE(SUBSTITUTE($G2027,"-"," ",LEN($G2027)-LEN(SUBSTITUTE($G2027,"-",""))),"-"," ",LEN($G2027)-LEN(SUBSTITUTE($G2027,"-",""))-1),".",""))))),$G2027)))</f>
        <v/>
      </c>
    </row>
    <row r="2028">
      <c r="A2028" s="58" t="n"/>
      <c r="B2028" s="58">
        <f>IF($H2028="","",LEFT($H2028,FIND(" ",$H2028&amp;" ")-1))</f>
        <v/>
      </c>
      <c r="C2028" s="58">
        <f>IF($H2028="","",IFERROR(MID($H2028&amp;" ",FIND("|",SUBSTITUTE($H2028&amp;" "," ","|",1))+1,FIND("|",SUBSTITUTE($H2028&amp;" "," ","|",2))-FIND("|",SUBSTITUTE($H2028&amp;" "," ","|",1))-1),""))</f>
        <v/>
      </c>
      <c r="D2028" s="58">
        <f>IF($H2028="","",IFERROR(MID($H2028&amp;" ",FIND("|",SUBSTITUTE($H2028&amp;" "," ","|",2))+1,FIND("|",SUBSTITUTE($H2028&amp;" "," ","|",3))-FIND("|",SUBSTITUTE($H2028&amp;" "," ","|",2))-1),""))</f>
        <v/>
      </c>
      <c r="E2028" s="58">
        <f>IF($H2028="","",IFERROR(MID($H2028&amp;" ",FIND("|",SUBSTITUTE($H2028&amp;" "," ","|",3))+1,FIND("|",SUBSTITUTE($H2028&amp;" "," ","|",4))-FIND("|",SUBSTITUTE($H2028&amp;" "," ","|",3))-1),""))</f>
        <v/>
      </c>
      <c r="F2028" s="59">
        <f>IF($H2028="","",IFERROR(VALUE(IFERROR(MID($H2028&amp;" ",FIND("|",SUBSTITUTE($H2028&amp;" "," ","|",4))+1,FIND("|",SUBSTITUTE($H2028&amp;" "," ","|",5))-FIND("|",SUBSTITUTE($H2028&amp;" "," ","|",4))-1),""))/86400+25569+9/24,""))</f>
        <v/>
      </c>
      <c r="G2028" s="58">
        <f>TRIM(SUBSTITUTE(SUBSTITUTE(SUBSTITUTE($A2028,CHAR(9)," ")," "," "),CHAR(13),""))</f>
        <v/>
      </c>
      <c r="H2028" s="58">
        <f>IF($G2028="","",IF(ISNUMBER(FIND(" ",$G2028)),$G2028,IFERROR(IF((LEN(SUBSTITUTE(SUBSTITUTE($G2028,"-"," ",LEN($G2028)-LEN(SUBSTITUTE($G2028,"-",""))),"-"," ",LEN($G2028)-LEN(SUBSTITUTE($G2028,"-",""))-1))-LEN(SUBSTITUTE(SUBSTITUTE(SUBSTITUTE($G2028,"-"," ",LEN($G2028)-LEN(SUBSTITUTE($G2028,"-",""))),"-"," ",LEN($G2028)-LEN(SUBSTITUTE($G2028,"-",""))-1),".","")))=0,SUBSTITUTE(SUBSTITUTE($G2028,"-"," ",LEN($G2028)-LEN(SUBSTITUTE($G2028,"-",""))),"-"," ",LEN($G2028)-LEN(SUBSTITUTE($G2028,"-",""))-1),SUBSTITUTE(SUBSTITUTE(SUBSTITUTE($G2028,"-"," ",LEN($G2028)-LEN(SUBSTITUTE($G2028,"-",""))),"-"," ",LEN($G2028)-LEN(SUBSTITUTE($G2028,"-",""))-1),"."," ",(LEN(SUBSTITUTE(SUBSTITUTE($G2028,"-"," ",LEN($G2028)-LEN(SUBSTITUTE($G2028,"-",""))),"-"," ",LEN($G2028)-LEN(SUBSTITUTE($G2028,"-",""))-1))-LEN(SUBSTITUTE(SUBSTITUTE(SUBSTITUTE($G2028,"-"," ",LEN($G2028)-LEN(SUBSTITUTE($G2028,"-",""))),"-"," ",LEN($G2028)-LEN(SUBSTITUTE($G2028,"-",""))-1),".",""))))),$G2028)))</f>
        <v/>
      </c>
    </row>
    <row r="2029">
      <c r="A2029" s="58" t="n"/>
      <c r="B2029" s="58">
        <f>IF($H2029="","",LEFT($H2029,FIND(" ",$H2029&amp;" ")-1))</f>
        <v/>
      </c>
      <c r="C2029" s="58">
        <f>IF($H2029="","",IFERROR(MID($H2029&amp;" ",FIND("|",SUBSTITUTE($H2029&amp;" "," ","|",1))+1,FIND("|",SUBSTITUTE($H2029&amp;" "," ","|",2))-FIND("|",SUBSTITUTE($H2029&amp;" "," ","|",1))-1),""))</f>
        <v/>
      </c>
      <c r="D2029" s="58">
        <f>IF($H2029="","",IFERROR(MID($H2029&amp;" ",FIND("|",SUBSTITUTE($H2029&amp;" "," ","|",2))+1,FIND("|",SUBSTITUTE($H2029&amp;" "," ","|",3))-FIND("|",SUBSTITUTE($H2029&amp;" "," ","|",2))-1),""))</f>
        <v/>
      </c>
      <c r="E2029" s="58">
        <f>IF($H2029="","",IFERROR(MID($H2029&amp;" ",FIND("|",SUBSTITUTE($H2029&amp;" "," ","|",3))+1,FIND("|",SUBSTITUTE($H2029&amp;" "," ","|",4))-FIND("|",SUBSTITUTE($H2029&amp;" "," ","|",3))-1),""))</f>
        <v/>
      </c>
      <c r="F2029" s="59">
        <f>IF($H2029="","",IFERROR(VALUE(IFERROR(MID($H2029&amp;" ",FIND("|",SUBSTITUTE($H2029&amp;" "," ","|",4))+1,FIND("|",SUBSTITUTE($H2029&amp;" "," ","|",5))-FIND("|",SUBSTITUTE($H2029&amp;" "," ","|",4))-1),""))/86400+25569+9/24,""))</f>
        <v/>
      </c>
      <c r="G2029" s="58">
        <f>TRIM(SUBSTITUTE(SUBSTITUTE(SUBSTITUTE($A2029,CHAR(9)," ")," "," "),CHAR(13),""))</f>
        <v/>
      </c>
      <c r="H2029" s="58">
        <f>IF($G2029="","",IF(ISNUMBER(FIND(" ",$G2029)),$G2029,IFERROR(IF((LEN(SUBSTITUTE(SUBSTITUTE($G2029,"-"," ",LEN($G2029)-LEN(SUBSTITUTE($G2029,"-",""))),"-"," ",LEN($G2029)-LEN(SUBSTITUTE($G2029,"-",""))-1))-LEN(SUBSTITUTE(SUBSTITUTE(SUBSTITUTE($G2029,"-"," ",LEN($G2029)-LEN(SUBSTITUTE($G2029,"-",""))),"-"," ",LEN($G2029)-LEN(SUBSTITUTE($G2029,"-",""))-1),".","")))=0,SUBSTITUTE(SUBSTITUTE($G2029,"-"," ",LEN($G2029)-LEN(SUBSTITUTE($G2029,"-",""))),"-"," ",LEN($G2029)-LEN(SUBSTITUTE($G2029,"-",""))-1),SUBSTITUTE(SUBSTITUTE(SUBSTITUTE($G2029,"-"," ",LEN($G2029)-LEN(SUBSTITUTE($G2029,"-",""))),"-"," ",LEN($G2029)-LEN(SUBSTITUTE($G2029,"-",""))-1),"."," ",(LEN(SUBSTITUTE(SUBSTITUTE($G2029,"-"," ",LEN($G2029)-LEN(SUBSTITUTE($G2029,"-",""))),"-"," ",LEN($G2029)-LEN(SUBSTITUTE($G2029,"-",""))-1))-LEN(SUBSTITUTE(SUBSTITUTE(SUBSTITUTE($G2029,"-"," ",LEN($G2029)-LEN(SUBSTITUTE($G2029,"-",""))),"-"," ",LEN($G2029)-LEN(SUBSTITUTE($G2029,"-",""))-1),".",""))))),$G2029)))</f>
        <v/>
      </c>
    </row>
    <row r="2030">
      <c r="A2030" s="58" t="n"/>
      <c r="B2030" s="58">
        <f>IF($H2030="","",LEFT($H2030,FIND(" ",$H2030&amp;" ")-1))</f>
        <v/>
      </c>
      <c r="C2030" s="58">
        <f>IF($H2030="","",IFERROR(MID($H2030&amp;" ",FIND("|",SUBSTITUTE($H2030&amp;" "," ","|",1))+1,FIND("|",SUBSTITUTE($H2030&amp;" "," ","|",2))-FIND("|",SUBSTITUTE($H2030&amp;" "," ","|",1))-1),""))</f>
        <v/>
      </c>
      <c r="D2030" s="58">
        <f>IF($H2030="","",IFERROR(MID($H2030&amp;" ",FIND("|",SUBSTITUTE($H2030&amp;" "," ","|",2))+1,FIND("|",SUBSTITUTE($H2030&amp;" "," ","|",3))-FIND("|",SUBSTITUTE($H2030&amp;" "," ","|",2))-1),""))</f>
        <v/>
      </c>
      <c r="E2030" s="58">
        <f>IF($H2030="","",IFERROR(MID($H2030&amp;" ",FIND("|",SUBSTITUTE($H2030&amp;" "," ","|",3))+1,FIND("|",SUBSTITUTE($H2030&amp;" "," ","|",4))-FIND("|",SUBSTITUTE($H2030&amp;" "," ","|",3))-1),""))</f>
        <v/>
      </c>
      <c r="F2030" s="59">
        <f>IF($H2030="","",IFERROR(VALUE(IFERROR(MID($H2030&amp;" ",FIND("|",SUBSTITUTE($H2030&amp;" "," ","|",4))+1,FIND("|",SUBSTITUTE($H2030&amp;" "," ","|",5))-FIND("|",SUBSTITUTE($H2030&amp;" "," ","|",4))-1),""))/86400+25569+9/24,""))</f>
        <v/>
      </c>
      <c r="G2030" s="58">
        <f>TRIM(SUBSTITUTE(SUBSTITUTE(SUBSTITUTE($A2030,CHAR(9)," ")," "," "),CHAR(13),""))</f>
        <v/>
      </c>
      <c r="H2030" s="58">
        <f>IF($G2030="","",IF(ISNUMBER(FIND(" ",$G2030)),$G2030,IFERROR(IF((LEN(SUBSTITUTE(SUBSTITUTE($G2030,"-"," ",LEN($G2030)-LEN(SUBSTITUTE($G2030,"-",""))),"-"," ",LEN($G2030)-LEN(SUBSTITUTE($G2030,"-",""))-1))-LEN(SUBSTITUTE(SUBSTITUTE(SUBSTITUTE($G2030,"-"," ",LEN($G2030)-LEN(SUBSTITUTE($G2030,"-",""))),"-"," ",LEN($G2030)-LEN(SUBSTITUTE($G2030,"-",""))-1),".","")))=0,SUBSTITUTE(SUBSTITUTE($G2030,"-"," ",LEN($G2030)-LEN(SUBSTITUTE($G2030,"-",""))),"-"," ",LEN($G2030)-LEN(SUBSTITUTE($G2030,"-",""))-1),SUBSTITUTE(SUBSTITUTE(SUBSTITUTE($G2030,"-"," ",LEN($G2030)-LEN(SUBSTITUTE($G2030,"-",""))),"-"," ",LEN($G2030)-LEN(SUBSTITUTE($G2030,"-",""))-1),"."," ",(LEN(SUBSTITUTE(SUBSTITUTE($G2030,"-"," ",LEN($G2030)-LEN(SUBSTITUTE($G2030,"-",""))),"-"," ",LEN($G2030)-LEN(SUBSTITUTE($G2030,"-",""))-1))-LEN(SUBSTITUTE(SUBSTITUTE(SUBSTITUTE($G2030,"-"," ",LEN($G2030)-LEN(SUBSTITUTE($G2030,"-",""))),"-"," ",LEN($G2030)-LEN(SUBSTITUTE($G2030,"-",""))-1),".",""))))),$G2030)))</f>
        <v/>
      </c>
    </row>
    <row r="2031">
      <c r="A2031" s="58" t="n"/>
      <c r="B2031" s="58">
        <f>IF($H2031="","",LEFT($H2031,FIND(" ",$H2031&amp;" ")-1))</f>
        <v/>
      </c>
      <c r="C2031" s="58">
        <f>IF($H2031="","",IFERROR(MID($H2031&amp;" ",FIND("|",SUBSTITUTE($H2031&amp;" "," ","|",1))+1,FIND("|",SUBSTITUTE($H2031&amp;" "," ","|",2))-FIND("|",SUBSTITUTE($H2031&amp;" "," ","|",1))-1),""))</f>
        <v/>
      </c>
      <c r="D2031" s="58">
        <f>IF($H2031="","",IFERROR(MID($H2031&amp;" ",FIND("|",SUBSTITUTE($H2031&amp;" "," ","|",2))+1,FIND("|",SUBSTITUTE($H2031&amp;" "," ","|",3))-FIND("|",SUBSTITUTE($H2031&amp;" "," ","|",2))-1),""))</f>
        <v/>
      </c>
      <c r="E2031" s="58">
        <f>IF($H2031="","",IFERROR(MID($H2031&amp;" ",FIND("|",SUBSTITUTE($H2031&amp;" "," ","|",3))+1,FIND("|",SUBSTITUTE($H2031&amp;" "," ","|",4))-FIND("|",SUBSTITUTE($H2031&amp;" "," ","|",3))-1),""))</f>
        <v/>
      </c>
      <c r="F2031" s="59">
        <f>IF($H2031="","",IFERROR(VALUE(IFERROR(MID($H2031&amp;" ",FIND("|",SUBSTITUTE($H2031&amp;" "," ","|",4))+1,FIND("|",SUBSTITUTE($H2031&amp;" "," ","|",5))-FIND("|",SUBSTITUTE($H2031&amp;" "," ","|",4))-1),""))/86400+25569+9/24,""))</f>
        <v/>
      </c>
      <c r="G2031" s="58">
        <f>TRIM(SUBSTITUTE(SUBSTITUTE(SUBSTITUTE($A2031,CHAR(9)," ")," "," "),CHAR(13),""))</f>
        <v/>
      </c>
      <c r="H2031" s="58">
        <f>IF($G2031="","",IF(ISNUMBER(FIND(" ",$G2031)),$G2031,IFERROR(IF((LEN(SUBSTITUTE(SUBSTITUTE($G2031,"-"," ",LEN($G2031)-LEN(SUBSTITUTE($G2031,"-",""))),"-"," ",LEN($G2031)-LEN(SUBSTITUTE($G2031,"-",""))-1))-LEN(SUBSTITUTE(SUBSTITUTE(SUBSTITUTE($G2031,"-"," ",LEN($G2031)-LEN(SUBSTITUTE($G2031,"-",""))),"-"," ",LEN($G2031)-LEN(SUBSTITUTE($G2031,"-",""))-1),".","")))=0,SUBSTITUTE(SUBSTITUTE($G2031,"-"," ",LEN($G2031)-LEN(SUBSTITUTE($G2031,"-",""))),"-"," ",LEN($G2031)-LEN(SUBSTITUTE($G2031,"-",""))-1),SUBSTITUTE(SUBSTITUTE(SUBSTITUTE($G2031,"-"," ",LEN($G2031)-LEN(SUBSTITUTE($G2031,"-",""))),"-"," ",LEN($G2031)-LEN(SUBSTITUTE($G2031,"-",""))-1),"."," ",(LEN(SUBSTITUTE(SUBSTITUTE($G2031,"-"," ",LEN($G2031)-LEN(SUBSTITUTE($G2031,"-",""))),"-"," ",LEN($G2031)-LEN(SUBSTITUTE($G2031,"-",""))-1))-LEN(SUBSTITUTE(SUBSTITUTE(SUBSTITUTE($G2031,"-"," ",LEN($G2031)-LEN(SUBSTITUTE($G2031,"-",""))),"-"," ",LEN($G2031)-LEN(SUBSTITUTE($G2031,"-",""))-1),".",""))))),$G2031)))</f>
        <v/>
      </c>
    </row>
    <row r="2032">
      <c r="A2032" s="58" t="n"/>
      <c r="B2032" s="58">
        <f>IF($H2032="","",LEFT($H2032,FIND(" ",$H2032&amp;" ")-1))</f>
        <v/>
      </c>
      <c r="C2032" s="58">
        <f>IF($H2032="","",IFERROR(MID($H2032&amp;" ",FIND("|",SUBSTITUTE($H2032&amp;" "," ","|",1))+1,FIND("|",SUBSTITUTE($H2032&amp;" "," ","|",2))-FIND("|",SUBSTITUTE($H2032&amp;" "," ","|",1))-1),""))</f>
        <v/>
      </c>
      <c r="D2032" s="58">
        <f>IF($H2032="","",IFERROR(MID($H2032&amp;" ",FIND("|",SUBSTITUTE($H2032&amp;" "," ","|",2))+1,FIND("|",SUBSTITUTE($H2032&amp;" "," ","|",3))-FIND("|",SUBSTITUTE($H2032&amp;" "," ","|",2))-1),""))</f>
        <v/>
      </c>
      <c r="E2032" s="58">
        <f>IF($H2032="","",IFERROR(MID($H2032&amp;" ",FIND("|",SUBSTITUTE($H2032&amp;" "," ","|",3))+1,FIND("|",SUBSTITUTE($H2032&amp;" "," ","|",4))-FIND("|",SUBSTITUTE($H2032&amp;" "," ","|",3))-1),""))</f>
        <v/>
      </c>
      <c r="F2032" s="59">
        <f>IF($H2032="","",IFERROR(VALUE(IFERROR(MID($H2032&amp;" ",FIND("|",SUBSTITUTE($H2032&amp;" "," ","|",4))+1,FIND("|",SUBSTITUTE($H2032&amp;" "," ","|",5))-FIND("|",SUBSTITUTE($H2032&amp;" "," ","|",4))-1),""))/86400+25569+9/24,""))</f>
        <v/>
      </c>
      <c r="G2032" s="58">
        <f>TRIM(SUBSTITUTE(SUBSTITUTE(SUBSTITUTE($A2032,CHAR(9)," ")," "," "),CHAR(13),""))</f>
        <v/>
      </c>
      <c r="H2032" s="58">
        <f>IF($G2032="","",IF(ISNUMBER(FIND(" ",$G2032)),$G2032,IFERROR(IF((LEN(SUBSTITUTE(SUBSTITUTE($G2032,"-"," ",LEN($G2032)-LEN(SUBSTITUTE($G2032,"-",""))),"-"," ",LEN($G2032)-LEN(SUBSTITUTE($G2032,"-",""))-1))-LEN(SUBSTITUTE(SUBSTITUTE(SUBSTITUTE($G2032,"-"," ",LEN($G2032)-LEN(SUBSTITUTE($G2032,"-",""))),"-"," ",LEN($G2032)-LEN(SUBSTITUTE($G2032,"-",""))-1),".","")))=0,SUBSTITUTE(SUBSTITUTE($G2032,"-"," ",LEN($G2032)-LEN(SUBSTITUTE($G2032,"-",""))),"-"," ",LEN($G2032)-LEN(SUBSTITUTE($G2032,"-",""))-1),SUBSTITUTE(SUBSTITUTE(SUBSTITUTE($G2032,"-"," ",LEN($G2032)-LEN(SUBSTITUTE($G2032,"-",""))),"-"," ",LEN($G2032)-LEN(SUBSTITUTE($G2032,"-",""))-1),"."," ",(LEN(SUBSTITUTE(SUBSTITUTE($G2032,"-"," ",LEN($G2032)-LEN(SUBSTITUTE($G2032,"-",""))),"-"," ",LEN($G2032)-LEN(SUBSTITUTE($G2032,"-",""))-1))-LEN(SUBSTITUTE(SUBSTITUTE(SUBSTITUTE($G2032,"-"," ",LEN($G2032)-LEN(SUBSTITUTE($G2032,"-",""))),"-"," ",LEN($G2032)-LEN(SUBSTITUTE($G2032,"-",""))-1),".",""))))),$G2032)))</f>
        <v/>
      </c>
    </row>
    <row r="2033">
      <c r="A2033" s="58" t="n"/>
      <c r="B2033" s="58">
        <f>IF($H2033="","",LEFT($H2033,FIND(" ",$H2033&amp;" ")-1))</f>
        <v/>
      </c>
      <c r="C2033" s="58">
        <f>IF($H2033="","",IFERROR(MID($H2033&amp;" ",FIND("|",SUBSTITUTE($H2033&amp;" "," ","|",1))+1,FIND("|",SUBSTITUTE($H2033&amp;" "," ","|",2))-FIND("|",SUBSTITUTE($H2033&amp;" "," ","|",1))-1),""))</f>
        <v/>
      </c>
      <c r="D2033" s="58">
        <f>IF($H2033="","",IFERROR(MID($H2033&amp;" ",FIND("|",SUBSTITUTE($H2033&amp;" "," ","|",2))+1,FIND("|",SUBSTITUTE($H2033&amp;" "," ","|",3))-FIND("|",SUBSTITUTE($H2033&amp;" "," ","|",2))-1),""))</f>
        <v/>
      </c>
      <c r="E2033" s="58">
        <f>IF($H2033="","",IFERROR(MID($H2033&amp;" ",FIND("|",SUBSTITUTE($H2033&amp;" "," ","|",3))+1,FIND("|",SUBSTITUTE($H2033&amp;" "," ","|",4))-FIND("|",SUBSTITUTE($H2033&amp;" "," ","|",3))-1),""))</f>
        <v/>
      </c>
      <c r="F2033" s="59">
        <f>IF($H2033="","",IFERROR(VALUE(IFERROR(MID($H2033&amp;" ",FIND("|",SUBSTITUTE($H2033&amp;" "," ","|",4))+1,FIND("|",SUBSTITUTE($H2033&amp;" "," ","|",5))-FIND("|",SUBSTITUTE($H2033&amp;" "," ","|",4))-1),""))/86400+25569+9/24,""))</f>
        <v/>
      </c>
      <c r="G2033" s="58">
        <f>TRIM(SUBSTITUTE(SUBSTITUTE(SUBSTITUTE($A2033,CHAR(9)," ")," "," "),CHAR(13),""))</f>
        <v/>
      </c>
      <c r="H2033" s="58">
        <f>IF($G2033="","",IF(ISNUMBER(FIND(" ",$G2033)),$G2033,IFERROR(IF((LEN(SUBSTITUTE(SUBSTITUTE($G2033,"-"," ",LEN($G2033)-LEN(SUBSTITUTE($G2033,"-",""))),"-"," ",LEN($G2033)-LEN(SUBSTITUTE($G2033,"-",""))-1))-LEN(SUBSTITUTE(SUBSTITUTE(SUBSTITUTE($G2033,"-"," ",LEN($G2033)-LEN(SUBSTITUTE($G2033,"-",""))),"-"," ",LEN($G2033)-LEN(SUBSTITUTE($G2033,"-",""))-1),".","")))=0,SUBSTITUTE(SUBSTITUTE($G2033,"-"," ",LEN($G2033)-LEN(SUBSTITUTE($G2033,"-",""))),"-"," ",LEN($G2033)-LEN(SUBSTITUTE($G2033,"-",""))-1),SUBSTITUTE(SUBSTITUTE(SUBSTITUTE($G2033,"-"," ",LEN($G2033)-LEN(SUBSTITUTE($G2033,"-",""))),"-"," ",LEN($G2033)-LEN(SUBSTITUTE($G2033,"-",""))-1),"."," ",(LEN(SUBSTITUTE(SUBSTITUTE($G2033,"-"," ",LEN($G2033)-LEN(SUBSTITUTE($G2033,"-",""))),"-"," ",LEN($G2033)-LEN(SUBSTITUTE($G2033,"-",""))-1))-LEN(SUBSTITUTE(SUBSTITUTE(SUBSTITUTE($G2033,"-"," ",LEN($G2033)-LEN(SUBSTITUTE($G2033,"-",""))),"-"," ",LEN($G2033)-LEN(SUBSTITUTE($G2033,"-",""))-1),".",""))))),$G2033)))</f>
        <v/>
      </c>
    </row>
    <row r="2034">
      <c r="A2034" s="58" t="n"/>
      <c r="B2034" s="58">
        <f>IF($H2034="","",LEFT($H2034,FIND(" ",$H2034&amp;" ")-1))</f>
        <v/>
      </c>
      <c r="C2034" s="58">
        <f>IF($H2034="","",IFERROR(MID($H2034&amp;" ",FIND("|",SUBSTITUTE($H2034&amp;" "," ","|",1))+1,FIND("|",SUBSTITUTE($H2034&amp;" "," ","|",2))-FIND("|",SUBSTITUTE($H2034&amp;" "," ","|",1))-1),""))</f>
        <v/>
      </c>
      <c r="D2034" s="58">
        <f>IF($H2034="","",IFERROR(MID($H2034&amp;" ",FIND("|",SUBSTITUTE($H2034&amp;" "," ","|",2))+1,FIND("|",SUBSTITUTE($H2034&amp;" "," ","|",3))-FIND("|",SUBSTITUTE($H2034&amp;" "," ","|",2))-1),""))</f>
        <v/>
      </c>
      <c r="E2034" s="58">
        <f>IF($H2034="","",IFERROR(MID($H2034&amp;" ",FIND("|",SUBSTITUTE($H2034&amp;" "," ","|",3))+1,FIND("|",SUBSTITUTE($H2034&amp;" "," ","|",4))-FIND("|",SUBSTITUTE($H2034&amp;" "," ","|",3))-1),""))</f>
        <v/>
      </c>
      <c r="F2034" s="59">
        <f>IF($H2034="","",IFERROR(VALUE(IFERROR(MID($H2034&amp;" ",FIND("|",SUBSTITUTE($H2034&amp;" "," ","|",4))+1,FIND("|",SUBSTITUTE($H2034&amp;" "," ","|",5))-FIND("|",SUBSTITUTE($H2034&amp;" "," ","|",4))-1),""))/86400+25569+9/24,""))</f>
        <v/>
      </c>
      <c r="G2034" s="58">
        <f>TRIM(SUBSTITUTE(SUBSTITUTE(SUBSTITUTE($A2034,CHAR(9)," ")," "," "),CHAR(13),""))</f>
        <v/>
      </c>
      <c r="H2034" s="58">
        <f>IF($G2034="","",IF(ISNUMBER(FIND(" ",$G2034)),$G2034,IFERROR(IF((LEN(SUBSTITUTE(SUBSTITUTE($G2034,"-"," ",LEN($G2034)-LEN(SUBSTITUTE($G2034,"-",""))),"-"," ",LEN($G2034)-LEN(SUBSTITUTE($G2034,"-",""))-1))-LEN(SUBSTITUTE(SUBSTITUTE(SUBSTITUTE($G2034,"-"," ",LEN($G2034)-LEN(SUBSTITUTE($G2034,"-",""))),"-"," ",LEN($G2034)-LEN(SUBSTITUTE($G2034,"-",""))-1),".","")))=0,SUBSTITUTE(SUBSTITUTE($G2034,"-"," ",LEN($G2034)-LEN(SUBSTITUTE($G2034,"-",""))),"-"," ",LEN($G2034)-LEN(SUBSTITUTE($G2034,"-",""))-1),SUBSTITUTE(SUBSTITUTE(SUBSTITUTE($G2034,"-"," ",LEN($G2034)-LEN(SUBSTITUTE($G2034,"-",""))),"-"," ",LEN($G2034)-LEN(SUBSTITUTE($G2034,"-",""))-1),"."," ",(LEN(SUBSTITUTE(SUBSTITUTE($G2034,"-"," ",LEN($G2034)-LEN(SUBSTITUTE($G2034,"-",""))),"-"," ",LEN($G2034)-LEN(SUBSTITUTE($G2034,"-",""))-1))-LEN(SUBSTITUTE(SUBSTITUTE(SUBSTITUTE($G2034,"-"," ",LEN($G2034)-LEN(SUBSTITUTE($G2034,"-",""))),"-"," ",LEN($G2034)-LEN(SUBSTITUTE($G2034,"-",""))-1),".",""))))),$G2034)))</f>
        <v/>
      </c>
    </row>
    <row r="2035">
      <c r="A2035" s="58" t="n"/>
      <c r="B2035" s="58">
        <f>IF($H2035="","",LEFT($H2035,FIND(" ",$H2035&amp;" ")-1))</f>
        <v/>
      </c>
      <c r="C2035" s="58">
        <f>IF($H2035="","",IFERROR(MID($H2035&amp;" ",FIND("|",SUBSTITUTE($H2035&amp;" "," ","|",1))+1,FIND("|",SUBSTITUTE($H2035&amp;" "," ","|",2))-FIND("|",SUBSTITUTE($H2035&amp;" "," ","|",1))-1),""))</f>
        <v/>
      </c>
      <c r="D2035" s="58">
        <f>IF($H2035="","",IFERROR(MID($H2035&amp;" ",FIND("|",SUBSTITUTE($H2035&amp;" "," ","|",2))+1,FIND("|",SUBSTITUTE($H2035&amp;" "," ","|",3))-FIND("|",SUBSTITUTE($H2035&amp;" "," ","|",2))-1),""))</f>
        <v/>
      </c>
      <c r="E2035" s="58">
        <f>IF($H2035="","",IFERROR(MID($H2035&amp;" ",FIND("|",SUBSTITUTE($H2035&amp;" "," ","|",3))+1,FIND("|",SUBSTITUTE($H2035&amp;" "," ","|",4))-FIND("|",SUBSTITUTE($H2035&amp;" "," ","|",3))-1),""))</f>
        <v/>
      </c>
      <c r="F2035" s="59">
        <f>IF($H2035="","",IFERROR(VALUE(IFERROR(MID($H2035&amp;" ",FIND("|",SUBSTITUTE($H2035&amp;" "," ","|",4))+1,FIND("|",SUBSTITUTE($H2035&amp;" "," ","|",5))-FIND("|",SUBSTITUTE($H2035&amp;" "," ","|",4))-1),""))/86400+25569+9/24,""))</f>
        <v/>
      </c>
      <c r="G2035" s="58">
        <f>TRIM(SUBSTITUTE(SUBSTITUTE(SUBSTITUTE($A2035,CHAR(9)," ")," "," "),CHAR(13),""))</f>
        <v/>
      </c>
      <c r="H2035" s="58">
        <f>IF($G2035="","",IF(ISNUMBER(FIND(" ",$G2035)),$G2035,IFERROR(IF((LEN(SUBSTITUTE(SUBSTITUTE($G2035,"-"," ",LEN($G2035)-LEN(SUBSTITUTE($G2035,"-",""))),"-"," ",LEN($G2035)-LEN(SUBSTITUTE($G2035,"-",""))-1))-LEN(SUBSTITUTE(SUBSTITUTE(SUBSTITUTE($G2035,"-"," ",LEN($G2035)-LEN(SUBSTITUTE($G2035,"-",""))),"-"," ",LEN($G2035)-LEN(SUBSTITUTE($G2035,"-",""))-1),".","")))=0,SUBSTITUTE(SUBSTITUTE($G2035,"-"," ",LEN($G2035)-LEN(SUBSTITUTE($G2035,"-",""))),"-"," ",LEN($G2035)-LEN(SUBSTITUTE($G2035,"-",""))-1),SUBSTITUTE(SUBSTITUTE(SUBSTITUTE($G2035,"-"," ",LEN($G2035)-LEN(SUBSTITUTE($G2035,"-",""))),"-"," ",LEN($G2035)-LEN(SUBSTITUTE($G2035,"-",""))-1),"."," ",(LEN(SUBSTITUTE(SUBSTITUTE($G2035,"-"," ",LEN($G2035)-LEN(SUBSTITUTE($G2035,"-",""))),"-"," ",LEN($G2035)-LEN(SUBSTITUTE($G2035,"-",""))-1))-LEN(SUBSTITUTE(SUBSTITUTE(SUBSTITUTE($G2035,"-"," ",LEN($G2035)-LEN(SUBSTITUTE($G2035,"-",""))),"-"," ",LEN($G2035)-LEN(SUBSTITUTE($G2035,"-",""))-1),".",""))))),$G2035)))</f>
        <v/>
      </c>
    </row>
    <row r="2036">
      <c r="A2036" s="58" t="n"/>
      <c r="B2036" s="58">
        <f>IF($H2036="","",LEFT($H2036,FIND(" ",$H2036&amp;" ")-1))</f>
        <v/>
      </c>
      <c r="C2036" s="58">
        <f>IF($H2036="","",IFERROR(MID($H2036&amp;" ",FIND("|",SUBSTITUTE($H2036&amp;" "," ","|",1))+1,FIND("|",SUBSTITUTE($H2036&amp;" "," ","|",2))-FIND("|",SUBSTITUTE($H2036&amp;" "," ","|",1))-1),""))</f>
        <v/>
      </c>
      <c r="D2036" s="58">
        <f>IF($H2036="","",IFERROR(MID($H2036&amp;" ",FIND("|",SUBSTITUTE($H2036&amp;" "," ","|",2))+1,FIND("|",SUBSTITUTE($H2036&amp;" "," ","|",3))-FIND("|",SUBSTITUTE($H2036&amp;" "," ","|",2))-1),""))</f>
        <v/>
      </c>
      <c r="E2036" s="58">
        <f>IF($H2036="","",IFERROR(MID($H2036&amp;" ",FIND("|",SUBSTITUTE($H2036&amp;" "," ","|",3))+1,FIND("|",SUBSTITUTE($H2036&amp;" "," ","|",4))-FIND("|",SUBSTITUTE($H2036&amp;" "," ","|",3))-1),""))</f>
        <v/>
      </c>
      <c r="F2036" s="59">
        <f>IF($H2036="","",IFERROR(VALUE(IFERROR(MID($H2036&amp;" ",FIND("|",SUBSTITUTE($H2036&amp;" "," ","|",4))+1,FIND("|",SUBSTITUTE($H2036&amp;" "," ","|",5))-FIND("|",SUBSTITUTE($H2036&amp;" "," ","|",4))-1),""))/86400+25569+9/24,""))</f>
        <v/>
      </c>
      <c r="G2036" s="58">
        <f>TRIM(SUBSTITUTE(SUBSTITUTE(SUBSTITUTE($A2036,CHAR(9)," ")," "," "),CHAR(13),""))</f>
        <v/>
      </c>
      <c r="H2036" s="58">
        <f>IF($G2036="","",IF(ISNUMBER(FIND(" ",$G2036)),$G2036,IFERROR(IF((LEN(SUBSTITUTE(SUBSTITUTE($G2036,"-"," ",LEN($G2036)-LEN(SUBSTITUTE($G2036,"-",""))),"-"," ",LEN($G2036)-LEN(SUBSTITUTE($G2036,"-",""))-1))-LEN(SUBSTITUTE(SUBSTITUTE(SUBSTITUTE($G2036,"-"," ",LEN($G2036)-LEN(SUBSTITUTE($G2036,"-",""))),"-"," ",LEN($G2036)-LEN(SUBSTITUTE($G2036,"-",""))-1),".","")))=0,SUBSTITUTE(SUBSTITUTE($G2036,"-"," ",LEN($G2036)-LEN(SUBSTITUTE($G2036,"-",""))),"-"," ",LEN($G2036)-LEN(SUBSTITUTE($G2036,"-",""))-1),SUBSTITUTE(SUBSTITUTE(SUBSTITUTE($G2036,"-"," ",LEN($G2036)-LEN(SUBSTITUTE($G2036,"-",""))),"-"," ",LEN($G2036)-LEN(SUBSTITUTE($G2036,"-",""))-1),"."," ",(LEN(SUBSTITUTE(SUBSTITUTE($G2036,"-"," ",LEN($G2036)-LEN(SUBSTITUTE($G2036,"-",""))),"-"," ",LEN($G2036)-LEN(SUBSTITUTE($G2036,"-",""))-1))-LEN(SUBSTITUTE(SUBSTITUTE(SUBSTITUTE($G2036,"-"," ",LEN($G2036)-LEN(SUBSTITUTE($G2036,"-",""))),"-"," ",LEN($G2036)-LEN(SUBSTITUTE($G2036,"-",""))-1),".",""))))),$G2036)))</f>
        <v/>
      </c>
    </row>
    <row r="2037">
      <c r="A2037" s="58" t="n"/>
      <c r="B2037" s="58">
        <f>IF($H2037="","",LEFT($H2037,FIND(" ",$H2037&amp;" ")-1))</f>
        <v/>
      </c>
      <c r="C2037" s="58">
        <f>IF($H2037="","",IFERROR(MID($H2037&amp;" ",FIND("|",SUBSTITUTE($H2037&amp;" "," ","|",1))+1,FIND("|",SUBSTITUTE($H2037&amp;" "," ","|",2))-FIND("|",SUBSTITUTE($H2037&amp;" "," ","|",1))-1),""))</f>
        <v/>
      </c>
      <c r="D2037" s="58">
        <f>IF($H2037="","",IFERROR(MID($H2037&amp;" ",FIND("|",SUBSTITUTE($H2037&amp;" "," ","|",2))+1,FIND("|",SUBSTITUTE($H2037&amp;" "," ","|",3))-FIND("|",SUBSTITUTE($H2037&amp;" "," ","|",2))-1),""))</f>
        <v/>
      </c>
      <c r="E2037" s="58">
        <f>IF($H2037="","",IFERROR(MID($H2037&amp;" ",FIND("|",SUBSTITUTE($H2037&amp;" "," ","|",3))+1,FIND("|",SUBSTITUTE($H2037&amp;" "," ","|",4))-FIND("|",SUBSTITUTE($H2037&amp;" "," ","|",3))-1),""))</f>
        <v/>
      </c>
      <c r="F2037" s="59">
        <f>IF($H2037="","",IFERROR(VALUE(IFERROR(MID($H2037&amp;" ",FIND("|",SUBSTITUTE($H2037&amp;" "," ","|",4))+1,FIND("|",SUBSTITUTE($H2037&amp;" "," ","|",5))-FIND("|",SUBSTITUTE($H2037&amp;" "," ","|",4))-1),""))/86400+25569+9/24,""))</f>
        <v/>
      </c>
      <c r="G2037" s="58">
        <f>TRIM(SUBSTITUTE(SUBSTITUTE(SUBSTITUTE($A2037,CHAR(9)," ")," "," "),CHAR(13),""))</f>
        <v/>
      </c>
      <c r="H2037" s="58">
        <f>IF($G2037="","",IF(ISNUMBER(FIND(" ",$G2037)),$G2037,IFERROR(IF((LEN(SUBSTITUTE(SUBSTITUTE($G2037,"-"," ",LEN($G2037)-LEN(SUBSTITUTE($G2037,"-",""))),"-"," ",LEN($G2037)-LEN(SUBSTITUTE($G2037,"-",""))-1))-LEN(SUBSTITUTE(SUBSTITUTE(SUBSTITUTE($G2037,"-"," ",LEN($G2037)-LEN(SUBSTITUTE($G2037,"-",""))),"-"," ",LEN($G2037)-LEN(SUBSTITUTE($G2037,"-",""))-1),".","")))=0,SUBSTITUTE(SUBSTITUTE($G2037,"-"," ",LEN($G2037)-LEN(SUBSTITUTE($G2037,"-",""))),"-"," ",LEN($G2037)-LEN(SUBSTITUTE($G2037,"-",""))-1),SUBSTITUTE(SUBSTITUTE(SUBSTITUTE($G2037,"-"," ",LEN($G2037)-LEN(SUBSTITUTE($G2037,"-",""))),"-"," ",LEN($G2037)-LEN(SUBSTITUTE($G2037,"-",""))-1),"."," ",(LEN(SUBSTITUTE(SUBSTITUTE($G2037,"-"," ",LEN($G2037)-LEN(SUBSTITUTE($G2037,"-",""))),"-"," ",LEN($G2037)-LEN(SUBSTITUTE($G2037,"-",""))-1))-LEN(SUBSTITUTE(SUBSTITUTE(SUBSTITUTE($G2037,"-"," ",LEN($G2037)-LEN(SUBSTITUTE($G2037,"-",""))),"-"," ",LEN($G2037)-LEN(SUBSTITUTE($G2037,"-",""))-1),".",""))))),$G2037)))</f>
        <v/>
      </c>
    </row>
    <row r="2038">
      <c r="A2038" s="58" t="n"/>
      <c r="B2038" s="58">
        <f>IF($H2038="","",LEFT($H2038,FIND(" ",$H2038&amp;" ")-1))</f>
        <v/>
      </c>
      <c r="C2038" s="58">
        <f>IF($H2038="","",IFERROR(MID($H2038&amp;" ",FIND("|",SUBSTITUTE($H2038&amp;" "," ","|",1))+1,FIND("|",SUBSTITUTE($H2038&amp;" "," ","|",2))-FIND("|",SUBSTITUTE($H2038&amp;" "," ","|",1))-1),""))</f>
        <v/>
      </c>
      <c r="D2038" s="58">
        <f>IF($H2038="","",IFERROR(MID($H2038&amp;" ",FIND("|",SUBSTITUTE($H2038&amp;" "," ","|",2))+1,FIND("|",SUBSTITUTE($H2038&amp;" "," ","|",3))-FIND("|",SUBSTITUTE($H2038&amp;" "," ","|",2))-1),""))</f>
        <v/>
      </c>
      <c r="E2038" s="58">
        <f>IF($H2038="","",IFERROR(MID($H2038&amp;" ",FIND("|",SUBSTITUTE($H2038&amp;" "," ","|",3))+1,FIND("|",SUBSTITUTE($H2038&amp;" "," ","|",4))-FIND("|",SUBSTITUTE($H2038&amp;" "," ","|",3))-1),""))</f>
        <v/>
      </c>
      <c r="F2038" s="59">
        <f>IF($H2038="","",IFERROR(VALUE(IFERROR(MID($H2038&amp;" ",FIND("|",SUBSTITUTE($H2038&amp;" "," ","|",4))+1,FIND("|",SUBSTITUTE($H2038&amp;" "," ","|",5))-FIND("|",SUBSTITUTE($H2038&amp;" "," ","|",4))-1),""))/86400+25569+9/24,""))</f>
        <v/>
      </c>
      <c r="G2038" s="58">
        <f>TRIM(SUBSTITUTE(SUBSTITUTE(SUBSTITUTE($A2038,CHAR(9)," ")," "," "),CHAR(13),""))</f>
        <v/>
      </c>
      <c r="H2038" s="58">
        <f>IF($G2038="","",IF(ISNUMBER(FIND(" ",$G2038)),$G2038,IFERROR(IF((LEN(SUBSTITUTE(SUBSTITUTE($G2038,"-"," ",LEN($G2038)-LEN(SUBSTITUTE($G2038,"-",""))),"-"," ",LEN($G2038)-LEN(SUBSTITUTE($G2038,"-",""))-1))-LEN(SUBSTITUTE(SUBSTITUTE(SUBSTITUTE($G2038,"-"," ",LEN($G2038)-LEN(SUBSTITUTE($G2038,"-",""))),"-"," ",LEN($G2038)-LEN(SUBSTITUTE($G2038,"-",""))-1),".","")))=0,SUBSTITUTE(SUBSTITUTE($G2038,"-"," ",LEN($G2038)-LEN(SUBSTITUTE($G2038,"-",""))),"-"," ",LEN($G2038)-LEN(SUBSTITUTE($G2038,"-",""))-1),SUBSTITUTE(SUBSTITUTE(SUBSTITUTE($G2038,"-"," ",LEN($G2038)-LEN(SUBSTITUTE($G2038,"-",""))),"-"," ",LEN($G2038)-LEN(SUBSTITUTE($G2038,"-",""))-1),"."," ",(LEN(SUBSTITUTE(SUBSTITUTE($G2038,"-"," ",LEN($G2038)-LEN(SUBSTITUTE($G2038,"-",""))),"-"," ",LEN($G2038)-LEN(SUBSTITUTE($G2038,"-",""))-1))-LEN(SUBSTITUTE(SUBSTITUTE(SUBSTITUTE($G2038,"-"," ",LEN($G2038)-LEN(SUBSTITUTE($G2038,"-",""))),"-"," ",LEN($G2038)-LEN(SUBSTITUTE($G2038,"-",""))-1),".",""))))),$G2038)))</f>
        <v/>
      </c>
    </row>
    <row r="2039">
      <c r="A2039" s="58" t="n"/>
      <c r="B2039" s="58">
        <f>IF($H2039="","",LEFT($H2039,FIND(" ",$H2039&amp;" ")-1))</f>
        <v/>
      </c>
      <c r="C2039" s="58">
        <f>IF($H2039="","",IFERROR(MID($H2039&amp;" ",FIND("|",SUBSTITUTE($H2039&amp;" "," ","|",1))+1,FIND("|",SUBSTITUTE($H2039&amp;" "," ","|",2))-FIND("|",SUBSTITUTE($H2039&amp;" "," ","|",1))-1),""))</f>
        <v/>
      </c>
      <c r="D2039" s="58">
        <f>IF($H2039="","",IFERROR(MID($H2039&amp;" ",FIND("|",SUBSTITUTE($H2039&amp;" "," ","|",2))+1,FIND("|",SUBSTITUTE($H2039&amp;" "," ","|",3))-FIND("|",SUBSTITUTE($H2039&amp;" "," ","|",2))-1),""))</f>
        <v/>
      </c>
      <c r="E2039" s="58">
        <f>IF($H2039="","",IFERROR(MID($H2039&amp;" ",FIND("|",SUBSTITUTE($H2039&amp;" "," ","|",3))+1,FIND("|",SUBSTITUTE($H2039&amp;" "," ","|",4))-FIND("|",SUBSTITUTE($H2039&amp;" "," ","|",3))-1),""))</f>
        <v/>
      </c>
      <c r="F2039" s="59">
        <f>IF($H2039="","",IFERROR(VALUE(IFERROR(MID($H2039&amp;" ",FIND("|",SUBSTITUTE($H2039&amp;" "," ","|",4))+1,FIND("|",SUBSTITUTE($H2039&amp;" "," ","|",5))-FIND("|",SUBSTITUTE($H2039&amp;" "," ","|",4))-1),""))/86400+25569+9/24,""))</f>
        <v/>
      </c>
      <c r="G2039" s="58">
        <f>TRIM(SUBSTITUTE(SUBSTITUTE(SUBSTITUTE($A2039,CHAR(9)," ")," "," "),CHAR(13),""))</f>
        <v/>
      </c>
      <c r="H2039" s="58">
        <f>IF($G2039="","",IF(ISNUMBER(FIND(" ",$G2039)),$G2039,IFERROR(IF((LEN(SUBSTITUTE(SUBSTITUTE($G2039,"-"," ",LEN($G2039)-LEN(SUBSTITUTE($G2039,"-",""))),"-"," ",LEN($G2039)-LEN(SUBSTITUTE($G2039,"-",""))-1))-LEN(SUBSTITUTE(SUBSTITUTE(SUBSTITUTE($G2039,"-"," ",LEN($G2039)-LEN(SUBSTITUTE($G2039,"-",""))),"-"," ",LEN($G2039)-LEN(SUBSTITUTE($G2039,"-",""))-1),".","")))=0,SUBSTITUTE(SUBSTITUTE($G2039,"-"," ",LEN($G2039)-LEN(SUBSTITUTE($G2039,"-",""))),"-"," ",LEN($G2039)-LEN(SUBSTITUTE($G2039,"-",""))-1),SUBSTITUTE(SUBSTITUTE(SUBSTITUTE($G2039,"-"," ",LEN($G2039)-LEN(SUBSTITUTE($G2039,"-",""))),"-"," ",LEN($G2039)-LEN(SUBSTITUTE($G2039,"-",""))-1),"."," ",(LEN(SUBSTITUTE(SUBSTITUTE($G2039,"-"," ",LEN($G2039)-LEN(SUBSTITUTE($G2039,"-",""))),"-"," ",LEN($G2039)-LEN(SUBSTITUTE($G2039,"-",""))-1))-LEN(SUBSTITUTE(SUBSTITUTE(SUBSTITUTE($G2039,"-"," ",LEN($G2039)-LEN(SUBSTITUTE($G2039,"-",""))),"-"," ",LEN($G2039)-LEN(SUBSTITUTE($G2039,"-",""))-1),".",""))))),$G2039)))</f>
        <v/>
      </c>
    </row>
    <row r="2040">
      <c r="A2040" s="58" t="n"/>
      <c r="B2040" s="58">
        <f>IF($H2040="","",LEFT($H2040,FIND(" ",$H2040&amp;" ")-1))</f>
        <v/>
      </c>
      <c r="C2040" s="58">
        <f>IF($H2040="","",IFERROR(MID($H2040&amp;" ",FIND("|",SUBSTITUTE($H2040&amp;" "," ","|",1))+1,FIND("|",SUBSTITUTE($H2040&amp;" "," ","|",2))-FIND("|",SUBSTITUTE($H2040&amp;" "," ","|",1))-1),""))</f>
        <v/>
      </c>
      <c r="D2040" s="58">
        <f>IF($H2040="","",IFERROR(MID($H2040&amp;" ",FIND("|",SUBSTITUTE($H2040&amp;" "," ","|",2))+1,FIND("|",SUBSTITUTE($H2040&amp;" "," ","|",3))-FIND("|",SUBSTITUTE($H2040&amp;" "," ","|",2))-1),""))</f>
        <v/>
      </c>
      <c r="E2040" s="58">
        <f>IF($H2040="","",IFERROR(MID($H2040&amp;" ",FIND("|",SUBSTITUTE($H2040&amp;" "," ","|",3))+1,FIND("|",SUBSTITUTE($H2040&amp;" "," ","|",4))-FIND("|",SUBSTITUTE($H2040&amp;" "," ","|",3))-1),""))</f>
        <v/>
      </c>
      <c r="F2040" s="59">
        <f>IF($H2040="","",IFERROR(VALUE(IFERROR(MID($H2040&amp;" ",FIND("|",SUBSTITUTE($H2040&amp;" "," ","|",4))+1,FIND("|",SUBSTITUTE($H2040&amp;" "," ","|",5))-FIND("|",SUBSTITUTE($H2040&amp;" "," ","|",4))-1),""))/86400+25569+9/24,""))</f>
        <v/>
      </c>
      <c r="G2040" s="58">
        <f>TRIM(SUBSTITUTE(SUBSTITUTE(SUBSTITUTE($A2040,CHAR(9)," ")," "," "),CHAR(13),""))</f>
        <v/>
      </c>
      <c r="H2040" s="58">
        <f>IF($G2040="","",IF(ISNUMBER(FIND(" ",$G2040)),$G2040,IFERROR(IF((LEN(SUBSTITUTE(SUBSTITUTE($G2040,"-"," ",LEN($G2040)-LEN(SUBSTITUTE($G2040,"-",""))),"-"," ",LEN($G2040)-LEN(SUBSTITUTE($G2040,"-",""))-1))-LEN(SUBSTITUTE(SUBSTITUTE(SUBSTITUTE($G2040,"-"," ",LEN($G2040)-LEN(SUBSTITUTE($G2040,"-",""))),"-"," ",LEN($G2040)-LEN(SUBSTITUTE($G2040,"-",""))-1),".","")))=0,SUBSTITUTE(SUBSTITUTE($G2040,"-"," ",LEN($G2040)-LEN(SUBSTITUTE($G2040,"-",""))),"-"," ",LEN($G2040)-LEN(SUBSTITUTE($G2040,"-",""))-1),SUBSTITUTE(SUBSTITUTE(SUBSTITUTE($G2040,"-"," ",LEN($G2040)-LEN(SUBSTITUTE($G2040,"-",""))),"-"," ",LEN($G2040)-LEN(SUBSTITUTE($G2040,"-",""))-1),"."," ",(LEN(SUBSTITUTE(SUBSTITUTE($G2040,"-"," ",LEN($G2040)-LEN(SUBSTITUTE($G2040,"-",""))),"-"," ",LEN($G2040)-LEN(SUBSTITUTE($G2040,"-",""))-1))-LEN(SUBSTITUTE(SUBSTITUTE(SUBSTITUTE($G2040,"-"," ",LEN($G2040)-LEN(SUBSTITUTE($G2040,"-",""))),"-"," ",LEN($G2040)-LEN(SUBSTITUTE($G2040,"-",""))-1),".",""))))),$G2040)))</f>
        <v/>
      </c>
    </row>
    <row r="2041">
      <c r="A2041" s="58" t="n"/>
      <c r="B2041" s="58">
        <f>IF($H2041="","",LEFT($H2041,FIND(" ",$H2041&amp;" ")-1))</f>
        <v/>
      </c>
      <c r="C2041" s="58">
        <f>IF($H2041="","",IFERROR(MID($H2041&amp;" ",FIND("|",SUBSTITUTE($H2041&amp;" "," ","|",1))+1,FIND("|",SUBSTITUTE($H2041&amp;" "," ","|",2))-FIND("|",SUBSTITUTE($H2041&amp;" "," ","|",1))-1),""))</f>
        <v/>
      </c>
      <c r="D2041" s="58">
        <f>IF($H2041="","",IFERROR(MID($H2041&amp;" ",FIND("|",SUBSTITUTE($H2041&amp;" "," ","|",2))+1,FIND("|",SUBSTITUTE($H2041&amp;" "," ","|",3))-FIND("|",SUBSTITUTE($H2041&amp;" "," ","|",2))-1),""))</f>
        <v/>
      </c>
      <c r="E2041" s="58">
        <f>IF($H2041="","",IFERROR(MID($H2041&amp;" ",FIND("|",SUBSTITUTE($H2041&amp;" "," ","|",3))+1,FIND("|",SUBSTITUTE($H2041&amp;" "," ","|",4))-FIND("|",SUBSTITUTE($H2041&amp;" "," ","|",3))-1),""))</f>
        <v/>
      </c>
      <c r="F2041" s="59">
        <f>IF($H2041="","",IFERROR(VALUE(IFERROR(MID($H2041&amp;" ",FIND("|",SUBSTITUTE($H2041&amp;" "," ","|",4))+1,FIND("|",SUBSTITUTE($H2041&amp;" "," ","|",5))-FIND("|",SUBSTITUTE($H2041&amp;" "," ","|",4))-1),""))/86400+25569+9/24,""))</f>
        <v/>
      </c>
      <c r="G2041" s="58">
        <f>TRIM(SUBSTITUTE(SUBSTITUTE(SUBSTITUTE($A2041,CHAR(9)," ")," "," "),CHAR(13),""))</f>
        <v/>
      </c>
      <c r="H2041" s="58">
        <f>IF($G2041="","",IF(ISNUMBER(FIND(" ",$G2041)),$G2041,IFERROR(IF((LEN(SUBSTITUTE(SUBSTITUTE($G2041,"-"," ",LEN($G2041)-LEN(SUBSTITUTE($G2041,"-",""))),"-"," ",LEN($G2041)-LEN(SUBSTITUTE($G2041,"-",""))-1))-LEN(SUBSTITUTE(SUBSTITUTE(SUBSTITUTE($G2041,"-"," ",LEN($G2041)-LEN(SUBSTITUTE($G2041,"-",""))),"-"," ",LEN($G2041)-LEN(SUBSTITUTE($G2041,"-",""))-1),".","")))=0,SUBSTITUTE(SUBSTITUTE($G2041,"-"," ",LEN($G2041)-LEN(SUBSTITUTE($G2041,"-",""))),"-"," ",LEN($G2041)-LEN(SUBSTITUTE($G2041,"-",""))-1),SUBSTITUTE(SUBSTITUTE(SUBSTITUTE($G2041,"-"," ",LEN($G2041)-LEN(SUBSTITUTE($G2041,"-",""))),"-"," ",LEN($G2041)-LEN(SUBSTITUTE($G2041,"-",""))-1),"."," ",(LEN(SUBSTITUTE(SUBSTITUTE($G2041,"-"," ",LEN($G2041)-LEN(SUBSTITUTE($G2041,"-",""))),"-"," ",LEN($G2041)-LEN(SUBSTITUTE($G2041,"-",""))-1))-LEN(SUBSTITUTE(SUBSTITUTE(SUBSTITUTE($G2041,"-"," ",LEN($G2041)-LEN(SUBSTITUTE($G2041,"-",""))),"-"," ",LEN($G2041)-LEN(SUBSTITUTE($G2041,"-",""))-1),".",""))))),$G2041)))</f>
        <v/>
      </c>
    </row>
    <row r="2042">
      <c r="A2042" s="58" t="n"/>
      <c r="B2042" s="58">
        <f>IF($H2042="","",LEFT($H2042,FIND(" ",$H2042&amp;" ")-1))</f>
        <v/>
      </c>
      <c r="C2042" s="58">
        <f>IF($H2042="","",IFERROR(MID($H2042&amp;" ",FIND("|",SUBSTITUTE($H2042&amp;" "," ","|",1))+1,FIND("|",SUBSTITUTE($H2042&amp;" "," ","|",2))-FIND("|",SUBSTITUTE($H2042&amp;" "," ","|",1))-1),""))</f>
        <v/>
      </c>
      <c r="D2042" s="58">
        <f>IF($H2042="","",IFERROR(MID($H2042&amp;" ",FIND("|",SUBSTITUTE($H2042&amp;" "," ","|",2))+1,FIND("|",SUBSTITUTE($H2042&amp;" "," ","|",3))-FIND("|",SUBSTITUTE($H2042&amp;" "," ","|",2))-1),""))</f>
        <v/>
      </c>
      <c r="E2042" s="58">
        <f>IF($H2042="","",IFERROR(MID($H2042&amp;" ",FIND("|",SUBSTITUTE($H2042&amp;" "," ","|",3))+1,FIND("|",SUBSTITUTE($H2042&amp;" "," ","|",4))-FIND("|",SUBSTITUTE($H2042&amp;" "," ","|",3))-1),""))</f>
        <v/>
      </c>
      <c r="F2042" s="59">
        <f>IF($H2042="","",IFERROR(VALUE(IFERROR(MID($H2042&amp;" ",FIND("|",SUBSTITUTE($H2042&amp;" "," ","|",4))+1,FIND("|",SUBSTITUTE($H2042&amp;" "," ","|",5))-FIND("|",SUBSTITUTE($H2042&amp;" "," ","|",4))-1),""))/86400+25569+9/24,""))</f>
        <v/>
      </c>
      <c r="G2042" s="58">
        <f>TRIM(SUBSTITUTE(SUBSTITUTE(SUBSTITUTE($A2042,CHAR(9)," ")," "," "),CHAR(13),""))</f>
        <v/>
      </c>
      <c r="H2042" s="58">
        <f>IF($G2042="","",IF(ISNUMBER(FIND(" ",$G2042)),$G2042,IFERROR(IF((LEN(SUBSTITUTE(SUBSTITUTE($G2042,"-"," ",LEN($G2042)-LEN(SUBSTITUTE($G2042,"-",""))),"-"," ",LEN($G2042)-LEN(SUBSTITUTE($G2042,"-",""))-1))-LEN(SUBSTITUTE(SUBSTITUTE(SUBSTITUTE($G2042,"-"," ",LEN($G2042)-LEN(SUBSTITUTE($G2042,"-",""))),"-"," ",LEN($G2042)-LEN(SUBSTITUTE($G2042,"-",""))-1),".","")))=0,SUBSTITUTE(SUBSTITUTE($G2042,"-"," ",LEN($G2042)-LEN(SUBSTITUTE($G2042,"-",""))),"-"," ",LEN($G2042)-LEN(SUBSTITUTE($G2042,"-",""))-1),SUBSTITUTE(SUBSTITUTE(SUBSTITUTE($G2042,"-"," ",LEN($G2042)-LEN(SUBSTITUTE($G2042,"-",""))),"-"," ",LEN($G2042)-LEN(SUBSTITUTE($G2042,"-",""))-1),"."," ",(LEN(SUBSTITUTE(SUBSTITUTE($G2042,"-"," ",LEN($G2042)-LEN(SUBSTITUTE($G2042,"-",""))),"-"," ",LEN($G2042)-LEN(SUBSTITUTE($G2042,"-",""))-1))-LEN(SUBSTITUTE(SUBSTITUTE(SUBSTITUTE($G2042,"-"," ",LEN($G2042)-LEN(SUBSTITUTE($G2042,"-",""))),"-"," ",LEN($G2042)-LEN(SUBSTITUTE($G2042,"-",""))-1),".",""))))),$G2042)))</f>
        <v/>
      </c>
    </row>
    <row r="2043">
      <c r="A2043" s="58" t="n"/>
      <c r="B2043" s="58">
        <f>IF($H2043="","",LEFT($H2043,FIND(" ",$H2043&amp;" ")-1))</f>
        <v/>
      </c>
      <c r="C2043" s="58">
        <f>IF($H2043="","",IFERROR(MID($H2043&amp;" ",FIND("|",SUBSTITUTE($H2043&amp;" "," ","|",1))+1,FIND("|",SUBSTITUTE($H2043&amp;" "," ","|",2))-FIND("|",SUBSTITUTE($H2043&amp;" "," ","|",1))-1),""))</f>
        <v/>
      </c>
      <c r="D2043" s="58">
        <f>IF($H2043="","",IFERROR(MID($H2043&amp;" ",FIND("|",SUBSTITUTE($H2043&amp;" "," ","|",2))+1,FIND("|",SUBSTITUTE($H2043&amp;" "," ","|",3))-FIND("|",SUBSTITUTE($H2043&amp;" "," ","|",2))-1),""))</f>
        <v/>
      </c>
      <c r="E2043" s="58">
        <f>IF($H2043="","",IFERROR(MID($H2043&amp;" ",FIND("|",SUBSTITUTE($H2043&amp;" "," ","|",3))+1,FIND("|",SUBSTITUTE($H2043&amp;" "," ","|",4))-FIND("|",SUBSTITUTE($H2043&amp;" "," ","|",3))-1),""))</f>
        <v/>
      </c>
      <c r="F2043" s="59">
        <f>IF($H2043="","",IFERROR(VALUE(IFERROR(MID($H2043&amp;" ",FIND("|",SUBSTITUTE($H2043&amp;" "," ","|",4))+1,FIND("|",SUBSTITUTE($H2043&amp;" "," ","|",5))-FIND("|",SUBSTITUTE($H2043&amp;" "," ","|",4))-1),""))/86400+25569+9/24,""))</f>
        <v/>
      </c>
      <c r="G2043" s="58">
        <f>TRIM(SUBSTITUTE(SUBSTITUTE(SUBSTITUTE($A2043,CHAR(9)," ")," "," "),CHAR(13),""))</f>
        <v/>
      </c>
      <c r="H2043" s="58">
        <f>IF($G2043="","",IF(ISNUMBER(FIND(" ",$G2043)),$G2043,IFERROR(IF((LEN(SUBSTITUTE(SUBSTITUTE($G2043,"-"," ",LEN($G2043)-LEN(SUBSTITUTE($G2043,"-",""))),"-"," ",LEN($G2043)-LEN(SUBSTITUTE($G2043,"-",""))-1))-LEN(SUBSTITUTE(SUBSTITUTE(SUBSTITUTE($G2043,"-"," ",LEN($G2043)-LEN(SUBSTITUTE($G2043,"-",""))),"-"," ",LEN($G2043)-LEN(SUBSTITUTE($G2043,"-",""))-1),".","")))=0,SUBSTITUTE(SUBSTITUTE($G2043,"-"," ",LEN($G2043)-LEN(SUBSTITUTE($G2043,"-",""))),"-"," ",LEN($G2043)-LEN(SUBSTITUTE($G2043,"-",""))-1),SUBSTITUTE(SUBSTITUTE(SUBSTITUTE($G2043,"-"," ",LEN($G2043)-LEN(SUBSTITUTE($G2043,"-",""))),"-"," ",LEN($G2043)-LEN(SUBSTITUTE($G2043,"-",""))-1),"."," ",(LEN(SUBSTITUTE(SUBSTITUTE($G2043,"-"," ",LEN($G2043)-LEN(SUBSTITUTE($G2043,"-",""))),"-"," ",LEN($G2043)-LEN(SUBSTITUTE($G2043,"-",""))-1))-LEN(SUBSTITUTE(SUBSTITUTE(SUBSTITUTE($G2043,"-"," ",LEN($G2043)-LEN(SUBSTITUTE($G2043,"-",""))),"-"," ",LEN($G2043)-LEN(SUBSTITUTE($G2043,"-",""))-1),".",""))))),$G2043)))</f>
        <v/>
      </c>
    </row>
    <row r="2044">
      <c r="A2044" s="58" t="n"/>
      <c r="B2044" s="58">
        <f>IF($H2044="","",LEFT($H2044,FIND(" ",$H2044&amp;" ")-1))</f>
        <v/>
      </c>
      <c r="C2044" s="58">
        <f>IF($H2044="","",IFERROR(MID($H2044&amp;" ",FIND("|",SUBSTITUTE($H2044&amp;" "," ","|",1))+1,FIND("|",SUBSTITUTE($H2044&amp;" "," ","|",2))-FIND("|",SUBSTITUTE($H2044&amp;" "," ","|",1))-1),""))</f>
        <v/>
      </c>
      <c r="D2044" s="58">
        <f>IF($H2044="","",IFERROR(MID($H2044&amp;" ",FIND("|",SUBSTITUTE($H2044&amp;" "," ","|",2))+1,FIND("|",SUBSTITUTE($H2044&amp;" "," ","|",3))-FIND("|",SUBSTITUTE($H2044&amp;" "," ","|",2))-1),""))</f>
        <v/>
      </c>
      <c r="E2044" s="58">
        <f>IF($H2044="","",IFERROR(MID($H2044&amp;" ",FIND("|",SUBSTITUTE($H2044&amp;" "," ","|",3))+1,FIND("|",SUBSTITUTE($H2044&amp;" "," ","|",4))-FIND("|",SUBSTITUTE($H2044&amp;" "," ","|",3))-1),""))</f>
        <v/>
      </c>
      <c r="F2044" s="59">
        <f>IF($H2044="","",IFERROR(VALUE(IFERROR(MID($H2044&amp;" ",FIND("|",SUBSTITUTE($H2044&amp;" "," ","|",4))+1,FIND("|",SUBSTITUTE($H2044&amp;" "," ","|",5))-FIND("|",SUBSTITUTE($H2044&amp;" "," ","|",4))-1),""))/86400+25569+9/24,""))</f>
        <v/>
      </c>
      <c r="G2044" s="58">
        <f>TRIM(SUBSTITUTE(SUBSTITUTE(SUBSTITUTE($A2044,CHAR(9)," ")," "," "),CHAR(13),""))</f>
        <v/>
      </c>
      <c r="H2044" s="58">
        <f>IF($G2044="","",IF(ISNUMBER(FIND(" ",$G2044)),$G2044,IFERROR(IF((LEN(SUBSTITUTE(SUBSTITUTE($G2044,"-"," ",LEN($G2044)-LEN(SUBSTITUTE($G2044,"-",""))),"-"," ",LEN($G2044)-LEN(SUBSTITUTE($G2044,"-",""))-1))-LEN(SUBSTITUTE(SUBSTITUTE(SUBSTITUTE($G2044,"-"," ",LEN($G2044)-LEN(SUBSTITUTE($G2044,"-",""))),"-"," ",LEN($G2044)-LEN(SUBSTITUTE($G2044,"-",""))-1),".","")))=0,SUBSTITUTE(SUBSTITUTE($G2044,"-"," ",LEN($G2044)-LEN(SUBSTITUTE($G2044,"-",""))),"-"," ",LEN($G2044)-LEN(SUBSTITUTE($G2044,"-",""))-1),SUBSTITUTE(SUBSTITUTE(SUBSTITUTE($G2044,"-"," ",LEN($G2044)-LEN(SUBSTITUTE($G2044,"-",""))),"-"," ",LEN($G2044)-LEN(SUBSTITUTE($G2044,"-",""))-1),"."," ",(LEN(SUBSTITUTE(SUBSTITUTE($G2044,"-"," ",LEN($G2044)-LEN(SUBSTITUTE($G2044,"-",""))),"-"," ",LEN($G2044)-LEN(SUBSTITUTE($G2044,"-",""))-1))-LEN(SUBSTITUTE(SUBSTITUTE(SUBSTITUTE($G2044,"-"," ",LEN($G2044)-LEN(SUBSTITUTE($G2044,"-",""))),"-"," ",LEN($G2044)-LEN(SUBSTITUTE($G2044,"-",""))-1),".",""))))),$G2044)))</f>
        <v/>
      </c>
    </row>
    <row r="2045">
      <c r="A2045" s="58" t="n"/>
      <c r="B2045" s="58">
        <f>IF($H2045="","",LEFT($H2045,FIND(" ",$H2045&amp;" ")-1))</f>
        <v/>
      </c>
      <c r="C2045" s="58">
        <f>IF($H2045="","",IFERROR(MID($H2045&amp;" ",FIND("|",SUBSTITUTE($H2045&amp;" "," ","|",1))+1,FIND("|",SUBSTITUTE($H2045&amp;" "," ","|",2))-FIND("|",SUBSTITUTE($H2045&amp;" "," ","|",1))-1),""))</f>
        <v/>
      </c>
      <c r="D2045" s="58">
        <f>IF($H2045="","",IFERROR(MID($H2045&amp;" ",FIND("|",SUBSTITUTE($H2045&amp;" "," ","|",2))+1,FIND("|",SUBSTITUTE($H2045&amp;" "," ","|",3))-FIND("|",SUBSTITUTE($H2045&amp;" "," ","|",2))-1),""))</f>
        <v/>
      </c>
      <c r="E2045" s="58">
        <f>IF($H2045="","",IFERROR(MID($H2045&amp;" ",FIND("|",SUBSTITUTE($H2045&amp;" "," ","|",3))+1,FIND("|",SUBSTITUTE($H2045&amp;" "," ","|",4))-FIND("|",SUBSTITUTE($H2045&amp;" "," ","|",3))-1),""))</f>
        <v/>
      </c>
      <c r="F2045" s="59">
        <f>IF($H2045="","",IFERROR(VALUE(IFERROR(MID($H2045&amp;" ",FIND("|",SUBSTITUTE($H2045&amp;" "," ","|",4))+1,FIND("|",SUBSTITUTE($H2045&amp;" "," ","|",5))-FIND("|",SUBSTITUTE($H2045&amp;" "," ","|",4))-1),""))/86400+25569+9/24,""))</f>
        <v/>
      </c>
      <c r="G2045" s="58">
        <f>TRIM(SUBSTITUTE(SUBSTITUTE(SUBSTITUTE($A2045,CHAR(9)," ")," "," "),CHAR(13),""))</f>
        <v/>
      </c>
      <c r="H2045" s="58">
        <f>IF($G2045="","",IF(ISNUMBER(FIND(" ",$G2045)),$G2045,IFERROR(IF((LEN(SUBSTITUTE(SUBSTITUTE($G2045,"-"," ",LEN($G2045)-LEN(SUBSTITUTE($G2045,"-",""))),"-"," ",LEN($G2045)-LEN(SUBSTITUTE($G2045,"-",""))-1))-LEN(SUBSTITUTE(SUBSTITUTE(SUBSTITUTE($G2045,"-"," ",LEN($G2045)-LEN(SUBSTITUTE($G2045,"-",""))),"-"," ",LEN($G2045)-LEN(SUBSTITUTE($G2045,"-",""))-1),".","")))=0,SUBSTITUTE(SUBSTITUTE($G2045,"-"," ",LEN($G2045)-LEN(SUBSTITUTE($G2045,"-",""))),"-"," ",LEN($G2045)-LEN(SUBSTITUTE($G2045,"-",""))-1),SUBSTITUTE(SUBSTITUTE(SUBSTITUTE($G2045,"-"," ",LEN($G2045)-LEN(SUBSTITUTE($G2045,"-",""))),"-"," ",LEN($G2045)-LEN(SUBSTITUTE($G2045,"-",""))-1),"."," ",(LEN(SUBSTITUTE(SUBSTITUTE($G2045,"-"," ",LEN($G2045)-LEN(SUBSTITUTE($G2045,"-",""))),"-"," ",LEN($G2045)-LEN(SUBSTITUTE($G2045,"-",""))-1))-LEN(SUBSTITUTE(SUBSTITUTE(SUBSTITUTE($G2045,"-"," ",LEN($G2045)-LEN(SUBSTITUTE($G2045,"-",""))),"-"," ",LEN($G2045)-LEN(SUBSTITUTE($G2045,"-",""))-1),".",""))))),$G2045)))</f>
        <v/>
      </c>
    </row>
    <row r="2046">
      <c r="A2046" s="58" t="n"/>
      <c r="B2046" s="58">
        <f>IF($H2046="","",LEFT($H2046,FIND(" ",$H2046&amp;" ")-1))</f>
        <v/>
      </c>
      <c r="C2046" s="58">
        <f>IF($H2046="","",IFERROR(MID($H2046&amp;" ",FIND("|",SUBSTITUTE($H2046&amp;" "," ","|",1))+1,FIND("|",SUBSTITUTE($H2046&amp;" "," ","|",2))-FIND("|",SUBSTITUTE($H2046&amp;" "," ","|",1))-1),""))</f>
        <v/>
      </c>
      <c r="D2046" s="58">
        <f>IF($H2046="","",IFERROR(MID($H2046&amp;" ",FIND("|",SUBSTITUTE($H2046&amp;" "," ","|",2))+1,FIND("|",SUBSTITUTE($H2046&amp;" "," ","|",3))-FIND("|",SUBSTITUTE($H2046&amp;" "," ","|",2))-1),""))</f>
        <v/>
      </c>
      <c r="E2046" s="58">
        <f>IF($H2046="","",IFERROR(MID($H2046&amp;" ",FIND("|",SUBSTITUTE($H2046&amp;" "," ","|",3))+1,FIND("|",SUBSTITUTE($H2046&amp;" "," ","|",4))-FIND("|",SUBSTITUTE($H2046&amp;" "," ","|",3))-1),""))</f>
        <v/>
      </c>
      <c r="F2046" s="59">
        <f>IF($H2046="","",IFERROR(VALUE(IFERROR(MID($H2046&amp;" ",FIND("|",SUBSTITUTE($H2046&amp;" "," ","|",4))+1,FIND("|",SUBSTITUTE($H2046&amp;" "," ","|",5))-FIND("|",SUBSTITUTE($H2046&amp;" "," ","|",4))-1),""))/86400+25569+9/24,""))</f>
        <v/>
      </c>
      <c r="G2046" s="58">
        <f>TRIM(SUBSTITUTE(SUBSTITUTE(SUBSTITUTE($A2046,CHAR(9)," ")," "," "),CHAR(13),""))</f>
        <v/>
      </c>
      <c r="H2046" s="58">
        <f>IF($G2046="","",IF(ISNUMBER(FIND(" ",$G2046)),$G2046,IFERROR(IF((LEN(SUBSTITUTE(SUBSTITUTE($G2046,"-"," ",LEN($G2046)-LEN(SUBSTITUTE($G2046,"-",""))),"-"," ",LEN($G2046)-LEN(SUBSTITUTE($G2046,"-",""))-1))-LEN(SUBSTITUTE(SUBSTITUTE(SUBSTITUTE($G2046,"-"," ",LEN($G2046)-LEN(SUBSTITUTE($G2046,"-",""))),"-"," ",LEN($G2046)-LEN(SUBSTITUTE($G2046,"-",""))-1),".","")))=0,SUBSTITUTE(SUBSTITUTE($G2046,"-"," ",LEN($G2046)-LEN(SUBSTITUTE($G2046,"-",""))),"-"," ",LEN($G2046)-LEN(SUBSTITUTE($G2046,"-",""))-1),SUBSTITUTE(SUBSTITUTE(SUBSTITUTE($G2046,"-"," ",LEN($G2046)-LEN(SUBSTITUTE($G2046,"-",""))),"-"," ",LEN($G2046)-LEN(SUBSTITUTE($G2046,"-",""))-1),"."," ",(LEN(SUBSTITUTE(SUBSTITUTE($G2046,"-"," ",LEN($G2046)-LEN(SUBSTITUTE($G2046,"-",""))),"-"," ",LEN($G2046)-LEN(SUBSTITUTE($G2046,"-",""))-1))-LEN(SUBSTITUTE(SUBSTITUTE(SUBSTITUTE($G2046,"-"," ",LEN($G2046)-LEN(SUBSTITUTE($G2046,"-",""))),"-"," ",LEN($G2046)-LEN(SUBSTITUTE($G2046,"-",""))-1),".",""))))),$G2046)))</f>
        <v/>
      </c>
    </row>
    <row r="2047">
      <c r="A2047" s="58" t="n"/>
      <c r="B2047" s="58">
        <f>IF($H2047="","",LEFT($H2047,FIND(" ",$H2047&amp;" ")-1))</f>
        <v/>
      </c>
      <c r="C2047" s="58">
        <f>IF($H2047="","",IFERROR(MID($H2047&amp;" ",FIND("|",SUBSTITUTE($H2047&amp;" "," ","|",1))+1,FIND("|",SUBSTITUTE($H2047&amp;" "," ","|",2))-FIND("|",SUBSTITUTE($H2047&amp;" "," ","|",1))-1),""))</f>
        <v/>
      </c>
      <c r="D2047" s="58">
        <f>IF($H2047="","",IFERROR(MID($H2047&amp;" ",FIND("|",SUBSTITUTE($H2047&amp;" "," ","|",2))+1,FIND("|",SUBSTITUTE($H2047&amp;" "," ","|",3))-FIND("|",SUBSTITUTE($H2047&amp;" "," ","|",2))-1),""))</f>
        <v/>
      </c>
      <c r="E2047" s="58">
        <f>IF($H2047="","",IFERROR(MID($H2047&amp;" ",FIND("|",SUBSTITUTE($H2047&amp;" "," ","|",3))+1,FIND("|",SUBSTITUTE($H2047&amp;" "," ","|",4))-FIND("|",SUBSTITUTE($H2047&amp;" "," ","|",3))-1),""))</f>
        <v/>
      </c>
      <c r="F2047" s="59">
        <f>IF($H2047="","",IFERROR(VALUE(IFERROR(MID($H2047&amp;" ",FIND("|",SUBSTITUTE($H2047&amp;" "," ","|",4))+1,FIND("|",SUBSTITUTE($H2047&amp;" "," ","|",5))-FIND("|",SUBSTITUTE($H2047&amp;" "," ","|",4))-1),""))/86400+25569+9/24,""))</f>
        <v/>
      </c>
      <c r="G2047" s="58">
        <f>TRIM(SUBSTITUTE(SUBSTITUTE(SUBSTITUTE($A2047,CHAR(9)," ")," "," "),CHAR(13),""))</f>
        <v/>
      </c>
      <c r="H2047" s="58">
        <f>IF($G2047="","",IF(ISNUMBER(FIND(" ",$G2047)),$G2047,IFERROR(IF((LEN(SUBSTITUTE(SUBSTITUTE($G2047,"-"," ",LEN($G2047)-LEN(SUBSTITUTE($G2047,"-",""))),"-"," ",LEN($G2047)-LEN(SUBSTITUTE($G2047,"-",""))-1))-LEN(SUBSTITUTE(SUBSTITUTE(SUBSTITUTE($G2047,"-"," ",LEN($G2047)-LEN(SUBSTITUTE($G2047,"-",""))),"-"," ",LEN($G2047)-LEN(SUBSTITUTE($G2047,"-",""))-1),".","")))=0,SUBSTITUTE(SUBSTITUTE($G2047,"-"," ",LEN($G2047)-LEN(SUBSTITUTE($G2047,"-",""))),"-"," ",LEN($G2047)-LEN(SUBSTITUTE($G2047,"-",""))-1),SUBSTITUTE(SUBSTITUTE(SUBSTITUTE($G2047,"-"," ",LEN($G2047)-LEN(SUBSTITUTE($G2047,"-",""))),"-"," ",LEN($G2047)-LEN(SUBSTITUTE($G2047,"-",""))-1),"."," ",(LEN(SUBSTITUTE(SUBSTITUTE($G2047,"-"," ",LEN($G2047)-LEN(SUBSTITUTE($G2047,"-",""))),"-"," ",LEN($G2047)-LEN(SUBSTITUTE($G2047,"-",""))-1))-LEN(SUBSTITUTE(SUBSTITUTE(SUBSTITUTE($G2047,"-"," ",LEN($G2047)-LEN(SUBSTITUTE($G2047,"-",""))),"-"," ",LEN($G2047)-LEN(SUBSTITUTE($G2047,"-",""))-1),".",""))))),$G2047)))</f>
        <v/>
      </c>
    </row>
    <row r="2048">
      <c r="A2048" s="58" t="n"/>
      <c r="B2048" s="58">
        <f>IF($H2048="","",LEFT($H2048,FIND(" ",$H2048&amp;" ")-1))</f>
        <v/>
      </c>
      <c r="C2048" s="58">
        <f>IF($H2048="","",IFERROR(MID($H2048&amp;" ",FIND("|",SUBSTITUTE($H2048&amp;" "," ","|",1))+1,FIND("|",SUBSTITUTE($H2048&amp;" "," ","|",2))-FIND("|",SUBSTITUTE($H2048&amp;" "," ","|",1))-1),""))</f>
        <v/>
      </c>
      <c r="D2048" s="58">
        <f>IF($H2048="","",IFERROR(MID($H2048&amp;" ",FIND("|",SUBSTITUTE($H2048&amp;" "," ","|",2))+1,FIND("|",SUBSTITUTE($H2048&amp;" "," ","|",3))-FIND("|",SUBSTITUTE($H2048&amp;" "," ","|",2))-1),""))</f>
        <v/>
      </c>
      <c r="E2048" s="58">
        <f>IF($H2048="","",IFERROR(MID($H2048&amp;" ",FIND("|",SUBSTITUTE($H2048&amp;" "," ","|",3))+1,FIND("|",SUBSTITUTE($H2048&amp;" "," ","|",4))-FIND("|",SUBSTITUTE($H2048&amp;" "," ","|",3))-1),""))</f>
        <v/>
      </c>
      <c r="F2048" s="59">
        <f>IF($H2048="","",IFERROR(VALUE(IFERROR(MID($H2048&amp;" ",FIND("|",SUBSTITUTE($H2048&amp;" "," ","|",4))+1,FIND("|",SUBSTITUTE($H2048&amp;" "," ","|",5))-FIND("|",SUBSTITUTE($H2048&amp;" "," ","|",4))-1),""))/86400+25569+9/24,""))</f>
        <v/>
      </c>
      <c r="G2048" s="58">
        <f>TRIM(SUBSTITUTE(SUBSTITUTE(SUBSTITUTE($A2048,CHAR(9)," ")," "," "),CHAR(13),""))</f>
        <v/>
      </c>
      <c r="H2048" s="58">
        <f>IF($G2048="","",IF(ISNUMBER(FIND(" ",$G2048)),$G2048,IFERROR(IF((LEN(SUBSTITUTE(SUBSTITUTE($G2048,"-"," ",LEN($G2048)-LEN(SUBSTITUTE($G2048,"-",""))),"-"," ",LEN($G2048)-LEN(SUBSTITUTE($G2048,"-",""))-1))-LEN(SUBSTITUTE(SUBSTITUTE(SUBSTITUTE($G2048,"-"," ",LEN($G2048)-LEN(SUBSTITUTE($G2048,"-",""))),"-"," ",LEN($G2048)-LEN(SUBSTITUTE($G2048,"-",""))-1),".","")))=0,SUBSTITUTE(SUBSTITUTE($G2048,"-"," ",LEN($G2048)-LEN(SUBSTITUTE($G2048,"-",""))),"-"," ",LEN($G2048)-LEN(SUBSTITUTE($G2048,"-",""))-1),SUBSTITUTE(SUBSTITUTE(SUBSTITUTE($G2048,"-"," ",LEN($G2048)-LEN(SUBSTITUTE($G2048,"-",""))),"-"," ",LEN($G2048)-LEN(SUBSTITUTE($G2048,"-",""))-1),"."," ",(LEN(SUBSTITUTE(SUBSTITUTE($G2048,"-"," ",LEN($G2048)-LEN(SUBSTITUTE($G2048,"-",""))),"-"," ",LEN($G2048)-LEN(SUBSTITUTE($G2048,"-",""))-1))-LEN(SUBSTITUTE(SUBSTITUTE(SUBSTITUTE($G2048,"-"," ",LEN($G2048)-LEN(SUBSTITUTE($G2048,"-",""))),"-"," ",LEN($G2048)-LEN(SUBSTITUTE($G2048,"-",""))-1),".",""))))),$G2048)))</f>
        <v/>
      </c>
    </row>
    <row r="2049">
      <c r="A2049" s="58" t="n"/>
      <c r="B2049" s="58">
        <f>IF($H2049="","",LEFT($H2049,FIND(" ",$H2049&amp;" ")-1))</f>
        <v/>
      </c>
      <c r="C2049" s="58">
        <f>IF($H2049="","",IFERROR(MID($H2049&amp;" ",FIND("|",SUBSTITUTE($H2049&amp;" "," ","|",1))+1,FIND("|",SUBSTITUTE($H2049&amp;" "," ","|",2))-FIND("|",SUBSTITUTE($H2049&amp;" "," ","|",1))-1),""))</f>
        <v/>
      </c>
      <c r="D2049" s="58">
        <f>IF($H2049="","",IFERROR(MID($H2049&amp;" ",FIND("|",SUBSTITUTE($H2049&amp;" "," ","|",2))+1,FIND("|",SUBSTITUTE($H2049&amp;" "," ","|",3))-FIND("|",SUBSTITUTE($H2049&amp;" "," ","|",2))-1),""))</f>
        <v/>
      </c>
      <c r="E2049" s="58">
        <f>IF($H2049="","",IFERROR(MID($H2049&amp;" ",FIND("|",SUBSTITUTE($H2049&amp;" "," ","|",3))+1,FIND("|",SUBSTITUTE($H2049&amp;" "," ","|",4))-FIND("|",SUBSTITUTE($H2049&amp;" "," ","|",3))-1),""))</f>
        <v/>
      </c>
      <c r="F2049" s="59">
        <f>IF($H2049="","",IFERROR(VALUE(IFERROR(MID($H2049&amp;" ",FIND("|",SUBSTITUTE($H2049&amp;" "," ","|",4))+1,FIND("|",SUBSTITUTE($H2049&amp;" "," ","|",5))-FIND("|",SUBSTITUTE($H2049&amp;" "," ","|",4))-1),""))/86400+25569+9/24,""))</f>
        <v/>
      </c>
      <c r="G2049" s="58">
        <f>TRIM(SUBSTITUTE(SUBSTITUTE(SUBSTITUTE($A2049,CHAR(9)," ")," "," "),CHAR(13),""))</f>
        <v/>
      </c>
      <c r="H2049" s="58">
        <f>IF($G2049="","",IF(ISNUMBER(FIND(" ",$G2049)),$G2049,IFERROR(IF((LEN(SUBSTITUTE(SUBSTITUTE($G2049,"-"," ",LEN($G2049)-LEN(SUBSTITUTE($G2049,"-",""))),"-"," ",LEN($G2049)-LEN(SUBSTITUTE($G2049,"-",""))-1))-LEN(SUBSTITUTE(SUBSTITUTE(SUBSTITUTE($G2049,"-"," ",LEN($G2049)-LEN(SUBSTITUTE($G2049,"-",""))),"-"," ",LEN($G2049)-LEN(SUBSTITUTE($G2049,"-",""))-1),".","")))=0,SUBSTITUTE(SUBSTITUTE($G2049,"-"," ",LEN($G2049)-LEN(SUBSTITUTE($G2049,"-",""))),"-"," ",LEN($G2049)-LEN(SUBSTITUTE($G2049,"-",""))-1),SUBSTITUTE(SUBSTITUTE(SUBSTITUTE($G2049,"-"," ",LEN($G2049)-LEN(SUBSTITUTE($G2049,"-",""))),"-"," ",LEN($G2049)-LEN(SUBSTITUTE($G2049,"-",""))-1),"."," ",(LEN(SUBSTITUTE(SUBSTITUTE($G2049,"-"," ",LEN($G2049)-LEN(SUBSTITUTE($G2049,"-",""))),"-"," ",LEN($G2049)-LEN(SUBSTITUTE($G2049,"-",""))-1))-LEN(SUBSTITUTE(SUBSTITUTE(SUBSTITUTE($G2049,"-"," ",LEN($G2049)-LEN(SUBSTITUTE($G2049,"-",""))),"-"," ",LEN($G2049)-LEN(SUBSTITUTE($G2049,"-",""))-1),".",""))))),$G2049)))</f>
        <v/>
      </c>
    </row>
    <row r="2050">
      <c r="A2050" s="58" t="n"/>
      <c r="B2050" s="58">
        <f>IF($H2050="","",LEFT($H2050,FIND(" ",$H2050&amp;" ")-1))</f>
        <v/>
      </c>
      <c r="C2050" s="58">
        <f>IF($H2050="","",IFERROR(MID($H2050&amp;" ",FIND("|",SUBSTITUTE($H2050&amp;" "," ","|",1))+1,FIND("|",SUBSTITUTE($H2050&amp;" "," ","|",2))-FIND("|",SUBSTITUTE($H2050&amp;" "," ","|",1))-1),""))</f>
        <v/>
      </c>
      <c r="D2050" s="58">
        <f>IF($H2050="","",IFERROR(MID($H2050&amp;" ",FIND("|",SUBSTITUTE($H2050&amp;" "," ","|",2))+1,FIND("|",SUBSTITUTE($H2050&amp;" "," ","|",3))-FIND("|",SUBSTITUTE($H2050&amp;" "," ","|",2))-1),""))</f>
        <v/>
      </c>
      <c r="E2050" s="58">
        <f>IF($H2050="","",IFERROR(MID($H2050&amp;" ",FIND("|",SUBSTITUTE($H2050&amp;" "," ","|",3))+1,FIND("|",SUBSTITUTE($H2050&amp;" "," ","|",4))-FIND("|",SUBSTITUTE($H2050&amp;" "," ","|",3))-1),""))</f>
        <v/>
      </c>
      <c r="F2050" s="59">
        <f>IF($H2050="","",IFERROR(VALUE(IFERROR(MID($H2050&amp;" ",FIND("|",SUBSTITUTE($H2050&amp;" "," ","|",4))+1,FIND("|",SUBSTITUTE($H2050&amp;" "," ","|",5))-FIND("|",SUBSTITUTE($H2050&amp;" "," ","|",4))-1),""))/86400+25569+9/24,""))</f>
        <v/>
      </c>
      <c r="G2050" s="58">
        <f>TRIM(SUBSTITUTE(SUBSTITUTE(SUBSTITUTE($A2050,CHAR(9)," ")," "," "),CHAR(13),""))</f>
        <v/>
      </c>
      <c r="H2050" s="58">
        <f>IF($G2050="","",IF(ISNUMBER(FIND(" ",$G2050)),$G2050,IFERROR(IF((LEN(SUBSTITUTE(SUBSTITUTE($G2050,"-"," ",LEN($G2050)-LEN(SUBSTITUTE($G2050,"-",""))),"-"," ",LEN($G2050)-LEN(SUBSTITUTE($G2050,"-",""))-1))-LEN(SUBSTITUTE(SUBSTITUTE(SUBSTITUTE($G2050,"-"," ",LEN($G2050)-LEN(SUBSTITUTE($G2050,"-",""))),"-"," ",LEN($G2050)-LEN(SUBSTITUTE($G2050,"-",""))-1),".","")))=0,SUBSTITUTE(SUBSTITUTE($G2050,"-"," ",LEN($G2050)-LEN(SUBSTITUTE($G2050,"-",""))),"-"," ",LEN($G2050)-LEN(SUBSTITUTE($G2050,"-",""))-1),SUBSTITUTE(SUBSTITUTE(SUBSTITUTE($G2050,"-"," ",LEN($G2050)-LEN(SUBSTITUTE($G2050,"-",""))),"-"," ",LEN($G2050)-LEN(SUBSTITUTE($G2050,"-",""))-1),"."," ",(LEN(SUBSTITUTE(SUBSTITUTE($G2050,"-"," ",LEN($G2050)-LEN(SUBSTITUTE($G2050,"-",""))),"-"," ",LEN($G2050)-LEN(SUBSTITUTE($G2050,"-",""))-1))-LEN(SUBSTITUTE(SUBSTITUTE(SUBSTITUTE($G2050,"-"," ",LEN($G2050)-LEN(SUBSTITUTE($G2050,"-",""))),"-"," ",LEN($G2050)-LEN(SUBSTITUTE($G2050,"-",""))-1),".",""))))),$G2050)))</f>
        <v/>
      </c>
    </row>
    <row r="2051">
      <c r="A2051" s="58" t="n"/>
      <c r="B2051" s="58">
        <f>IF($H2051="","",LEFT($H2051,FIND(" ",$H2051&amp;" ")-1))</f>
        <v/>
      </c>
      <c r="C2051" s="58">
        <f>IF($H2051="","",IFERROR(MID($H2051&amp;" ",FIND("|",SUBSTITUTE($H2051&amp;" "," ","|",1))+1,FIND("|",SUBSTITUTE($H2051&amp;" "," ","|",2))-FIND("|",SUBSTITUTE($H2051&amp;" "," ","|",1))-1),""))</f>
        <v/>
      </c>
      <c r="D2051" s="58">
        <f>IF($H2051="","",IFERROR(MID($H2051&amp;" ",FIND("|",SUBSTITUTE($H2051&amp;" "," ","|",2))+1,FIND("|",SUBSTITUTE($H2051&amp;" "," ","|",3))-FIND("|",SUBSTITUTE($H2051&amp;" "," ","|",2))-1),""))</f>
        <v/>
      </c>
      <c r="E2051" s="58">
        <f>IF($H2051="","",IFERROR(MID($H2051&amp;" ",FIND("|",SUBSTITUTE($H2051&amp;" "," ","|",3))+1,FIND("|",SUBSTITUTE($H2051&amp;" "," ","|",4))-FIND("|",SUBSTITUTE($H2051&amp;" "," ","|",3))-1),""))</f>
        <v/>
      </c>
      <c r="F2051" s="59">
        <f>IF($H2051="","",IFERROR(VALUE(IFERROR(MID($H2051&amp;" ",FIND("|",SUBSTITUTE($H2051&amp;" "," ","|",4))+1,FIND("|",SUBSTITUTE($H2051&amp;" "," ","|",5))-FIND("|",SUBSTITUTE($H2051&amp;" "," ","|",4))-1),""))/86400+25569+9/24,""))</f>
        <v/>
      </c>
      <c r="G2051" s="58">
        <f>TRIM(SUBSTITUTE(SUBSTITUTE(SUBSTITUTE($A2051,CHAR(9)," ")," "," "),CHAR(13),""))</f>
        <v/>
      </c>
      <c r="H2051" s="58">
        <f>IF($G2051="","",IF(ISNUMBER(FIND(" ",$G2051)),$G2051,IFERROR(IF((LEN(SUBSTITUTE(SUBSTITUTE($G2051,"-"," ",LEN($G2051)-LEN(SUBSTITUTE($G2051,"-",""))),"-"," ",LEN($G2051)-LEN(SUBSTITUTE($G2051,"-",""))-1))-LEN(SUBSTITUTE(SUBSTITUTE(SUBSTITUTE($G2051,"-"," ",LEN($G2051)-LEN(SUBSTITUTE($G2051,"-",""))),"-"," ",LEN($G2051)-LEN(SUBSTITUTE($G2051,"-",""))-1),".","")))=0,SUBSTITUTE(SUBSTITUTE($G2051,"-"," ",LEN($G2051)-LEN(SUBSTITUTE($G2051,"-",""))),"-"," ",LEN($G2051)-LEN(SUBSTITUTE($G2051,"-",""))-1),SUBSTITUTE(SUBSTITUTE(SUBSTITUTE($G2051,"-"," ",LEN($G2051)-LEN(SUBSTITUTE($G2051,"-",""))),"-"," ",LEN($G2051)-LEN(SUBSTITUTE($G2051,"-",""))-1),"."," ",(LEN(SUBSTITUTE(SUBSTITUTE($G2051,"-"," ",LEN($G2051)-LEN(SUBSTITUTE($G2051,"-",""))),"-"," ",LEN($G2051)-LEN(SUBSTITUTE($G2051,"-",""))-1))-LEN(SUBSTITUTE(SUBSTITUTE(SUBSTITUTE($G2051,"-"," ",LEN($G2051)-LEN(SUBSTITUTE($G2051,"-",""))),"-"," ",LEN($G2051)-LEN(SUBSTITUTE($G2051,"-",""))-1),".",""))))),$G2051)))</f>
        <v/>
      </c>
    </row>
    <row r="2052">
      <c r="A2052" s="58" t="n"/>
      <c r="B2052" s="58">
        <f>IF($H2052="","",LEFT($H2052,FIND(" ",$H2052&amp;" ")-1))</f>
        <v/>
      </c>
      <c r="C2052" s="58">
        <f>IF($H2052="","",IFERROR(MID($H2052&amp;" ",FIND("|",SUBSTITUTE($H2052&amp;" "," ","|",1))+1,FIND("|",SUBSTITUTE($H2052&amp;" "," ","|",2))-FIND("|",SUBSTITUTE($H2052&amp;" "," ","|",1))-1),""))</f>
        <v/>
      </c>
      <c r="D2052" s="58">
        <f>IF($H2052="","",IFERROR(MID($H2052&amp;" ",FIND("|",SUBSTITUTE($H2052&amp;" "," ","|",2))+1,FIND("|",SUBSTITUTE($H2052&amp;" "," ","|",3))-FIND("|",SUBSTITUTE($H2052&amp;" "," ","|",2))-1),""))</f>
        <v/>
      </c>
      <c r="E2052" s="58">
        <f>IF($H2052="","",IFERROR(MID($H2052&amp;" ",FIND("|",SUBSTITUTE($H2052&amp;" "," ","|",3))+1,FIND("|",SUBSTITUTE($H2052&amp;" "," ","|",4))-FIND("|",SUBSTITUTE($H2052&amp;" "," ","|",3))-1),""))</f>
        <v/>
      </c>
      <c r="F2052" s="59">
        <f>IF($H2052="","",IFERROR(VALUE(IFERROR(MID($H2052&amp;" ",FIND("|",SUBSTITUTE($H2052&amp;" "," ","|",4))+1,FIND("|",SUBSTITUTE($H2052&amp;" "," ","|",5))-FIND("|",SUBSTITUTE($H2052&amp;" "," ","|",4))-1),""))/86400+25569+9/24,""))</f>
        <v/>
      </c>
      <c r="G2052" s="58">
        <f>TRIM(SUBSTITUTE(SUBSTITUTE(SUBSTITUTE($A2052,CHAR(9)," ")," "," "),CHAR(13),""))</f>
        <v/>
      </c>
      <c r="H2052" s="58">
        <f>IF($G2052="","",IF(ISNUMBER(FIND(" ",$G2052)),$G2052,IFERROR(IF((LEN(SUBSTITUTE(SUBSTITUTE($G2052,"-"," ",LEN($G2052)-LEN(SUBSTITUTE($G2052,"-",""))),"-"," ",LEN($G2052)-LEN(SUBSTITUTE($G2052,"-",""))-1))-LEN(SUBSTITUTE(SUBSTITUTE(SUBSTITUTE($G2052,"-"," ",LEN($G2052)-LEN(SUBSTITUTE($G2052,"-",""))),"-"," ",LEN($G2052)-LEN(SUBSTITUTE($G2052,"-",""))-1),".","")))=0,SUBSTITUTE(SUBSTITUTE($G2052,"-"," ",LEN($G2052)-LEN(SUBSTITUTE($G2052,"-",""))),"-"," ",LEN($G2052)-LEN(SUBSTITUTE($G2052,"-",""))-1),SUBSTITUTE(SUBSTITUTE(SUBSTITUTE($G2052,"-"," ",LEN($G2052)-LEN(SUBSTITUTE($G2052,"-",""))),"-"," ",LEN($G2052)-LEN(SUBSTITUTE($G2052,"-",""))-1),"."," ",(LEN(SUBSTITUTE(SUBSTITUTE($G2052,"-"," ",LEN($G2052)-LEN(SUBSTITUTE($G2052,"-",""))),"-"," ",LEN($G2052)-LEN(SUBSTITUTE($G2052,"-",""))-1))-LEN(SUBSTITUTE(SUBSTITUTE(SUBSTITUTE($G2052,"-"," ",LEN($G2052)-LEN(SUBSTITUTE($G2052,"-",""))),"-"," ",LEN($G2052)-LEN(SUBSTITUTE($G2052,"-",""))-1),".",""))))),$G2052)))</f>
        <v/>
      </c>
    </row>
    <row r="2053">
      <c r="A2053" s="58" t="n"/>
      <c r="B2053" s="58">
        <f>IF($H2053="","",LEFT($H2053,FIND(" ",$H2053&amp;" ")-1))</f>
        <v/>
      </c>
      <c r="C2053" s="58">
        <f>IF($H2053="","",IFERROR(MID($H2053&amp;" ",FIND("|",SUBSTITUTE($H2053&amp;" "," ","|",1))+1,FIND("|",SUBSTITUTE($H2053&amp;" "," ","|",2))-FIND("|",SUBSTITUTE($H2053&amp;" "," ","|",1))-1),""))</f>
        <v/>
      </c>
      <c r="D2053" s="58">
        <f>IF($H2053="","",IFERROR(MID($H2053&amp;" ",FIND("|",SUBSTITUTE($H2053&amp;" "," ","|",2))+1,FIND("|",SUBSTITUTE($H2053&amp;" "," ","|",3))-FIND("|",SUBSTITUTE($H2053&amp;" "," ","|",2))-1),""))</f>
        <v/>
      </c>
      <c r="E2053" s="58">
        <f>IF($H2053="","",IFERROR(MID($H2053&amp;" ",FIND("|",SUBSTITUTE($H2053&amp;" "," ","|",3))+1,FIND("|",SUBSTITUTE($H2053&amp;" "," ","|",4))-FIND("|",SUBSTITUTE($H2053&amp;" "," ","|",3))-1),""))</f>
        <v/>
      </c>
      <c r="F2053" s="59">
        <f>IF($H2053="","",IFERROR(VALUE(IFERROR(MID($H2053&amp;" ",FIND("|",SUBSTITUTE($H2053&amp;" "," ","|",4))+1,FIND("|",SUBSTITUTE($H2053&amp;" "," ","|",5))-FIND("|",SUBSTITUTE($H2053&amp;" "," ","|",4))-1),""))/86400+25569+9/24,""))</f>
        <v/>
      </c>
      <c r="G2053" s="58">
        <f>TRIM(SUBSTITUTE(SUBSTITUTE(SUBSTITUTE($A2053,CHAR(9)," ")," "," "),CHAR(13),""))</f>
        <v/>
      </c>
      <c r="H2053" s="58">
        <f>IF($G2053="","",IF(ISNUMBER(FIND(" ",$G2053)),$G2053,IFERROR(IF((LEN(SUBSTITUTE(SUBSTITUTE($G2053,"-"," ",LEN($G2053)-LEN(SUBSTITUTE($G2053,"-",""))),"-"," ",LEN($G2053)-LEN(SUBSTITUTE($G2053,"-",""))-1))-LEN(SUBSTITUTE(SUBSTITUTE(SUBSTITUTE($G2053,"-"," ",LEN($G2053)-LEN(SUBSTITUTE($G2053,"-",""))),"-"," ",LEN($G2053)-LEN(SUBSTITUTE($G2053,"-",""))-1),".","")))=0,SUBSTITUTE(SUBSTITUTE($G2053,"-"," ",LEN($G2053)-LEN(SUBSTITUTE($G2053,"-",""))),"-"," ",LEN($G2053)-LEN(SUBSTITUTE($G2053,"-",""))-1),SUBSTITUTE(SUBSTITUTE(SUBSTITUTE($G2053,"-"," ",LEN($G2053)-LEN(SUBSTITUTE($G2053,"-",""))),"-"," ",LEN($G2053)-LEN(SUBSTITUTE($G2053,"-",""))-1),"."," ",(LEN(SUBSTITUTE(SUBSTITUTE($G2053,"-"," ",LEN($G2053)-LEN(SUBSTITUTE($G2053,"-",""))),"-"," ",LEN($G2053)-LEN(SUBSTITUTE($G2053,"-",""))-1))-LEN(SUBSTITUTE(SUBSTITUTE(SUBSTITUTE($G2053,"-"," ",LEN($G2053)-LEN(SUBSTITUTE($G2053,"-",""))),"-"," ",LEN($G2053)-LEN(SUBSTITUTE($G2053,"-",""))-1),".",""))))),$G2053)))</f>
        <v/>
      </c>
    </row>
    <row r="2054">
      <c r="A2054" s="58" t="n"/>
      <c r="B2054" s="58">
        <f>IF($H2054="","",LEFT($H2054,FIND(" ",$H2054&amp;" ")-1))</f>
        <v/>
      </c>
      <c r="C2054" s="58">
        <f>IF($H2054="","",IFERROR(MID($H2054&amp;" ",FIND("|",SUBSTITUTE($H2054&amp;" "," ","|",1))+1,FIND("|",SUBSTITUTE($H2054&amp;" "," ","|",2))-FIND("|",SUBSTITUTE($H2054&amp;" "," ","|",1))-1),""))</f>
        <v/>
      </c>
      <c r="D2054" s="58">
        <f>IF($H2054="","",IFERROR(MID($H2054&amp;" ",FIND("|",SUBSTITUTE($H2054&amp;" "," ","|",2))+1,FIND("|",SUBSTITUTE($H2054&amp;" "," ","|",3))-FIND("|",SUBSTITUTE($H2054&amp;" "," ","|",2))-1),""))</f>
        <v/>
      </c>
      <c r="E2054" s="58">
        <f>IF($H2054="","",IFERROR(MID($H2054&amp;" ",FIND("|",SUBSTITUTE($H2054&amp;" "," ","|",3))+1,FIND("|",SUBSTITUTE($H2054&amp;" "," ","|",4))-FIND("|",SUBSTITUTE($H2054&amp;" "," ","|",3))-1),""))</f>
        <v/>
      </c>
      <c r="F2054" s="59">
        <f>IF($H2054="","",IFERROR(VALUE(IFERROR(MID($H2054&amp;" ",FIND("|",SUBSTITUTE($H2054&amp;" "," ","|",4))+1,FIND("|",SUBSTITUTE($H2054&amp;" "," ","|",5))-FIND("|",SUBSTITUTE($H2054&amp;" "," ","|",4))-1),""))/86400+25569+9/24,""))</f>
        <v/>
      </c>
      <c r="G2054" s="58">
        <f>TRIM(SUBSTITUTE(SUBSTITUTE(SUBSTITUTE($A2054,CHAR(9)," ")," "," "),CHAR(13),""))</f>
        <v/>
      </c>
      <c r="H2054" s="58">
        <f>IF($G2054="","",IF(ISNUMBER(FIND(" ",$G2054)),$G2054,IFERROR(IF((LEN(SUBSTITUTE(SUBSTITUTE($G2054,"-"," ",LEN($G2054)-LEN(SUBSTITUTE($G2054,"-",""))),"-"," ",LEN($G2054)-LEN(SUBSTITUTE($G2054,"-",""))-1))-LEN(SUBSTITUTE(SUBSTITUTE(SUBSTITUTE($G2054,"-"," ",LEN($G2054)-LEN(SUBSTITUTE($G2054,"-",""))),"-"," ",LEN($G2054)-LEN(SUBSTITUTE($G2054,"-",""))-1),".","")))=0,SUBSTITUTE(SUBSTITUTE($G2054,"-"," ",LEN($G2054)-LEN(SUBSTITUTE($G2054,"-",""))),"-"," ",LEN($G2054)-LEN(SUBSTITUTE($G2054,"-",""))-1),SUBSTITUTE(SUBSTITUTE(SUBSTITUTE($G2054,"-"," ",LEN($G2054)-LEN(SUBSTITUTE($G2054,"-",""))),"-"," ",LEN($G2054)-LEN(SUBSTITUTE($G2054,"-",""))-1),"."," ",(LEN(SUBSTITUTE(SUBSTITUTE($G2054,"-"," ",LEN($G2054)-LEN(SUBSTITUTE($G2054,"-",""))),"-"," ",LEN($G2054)-LEN(SUBSTITUTE($G2054,"-",""))-1))-LEN(SUBSTITUTE(SUBSTITUTE(SUBSTITUTE($G2054,"-"," ",LEN($G2054)-LEN(SUBSTITUTE($G2054,"-",""))),"-"," ",LEN($G2054)-LEN(SUBSTITUTE($G2054,"-",""))-1),".",""))))),$G2054)))</f>
        <v/>
      </c>
    </row>
    <row r="2055">
      <c r="A2055" s="58" t="n"/>
      <c r="B2055" s="58">
        <f>IF($H2055="","",LEFT($H2055,FIND(" ",$H2055&amp;" ")-1))</f>
        <v/>
      </c>
      <c r="C2055" s="58">
        <f>IF($H2055="","",IFERROR(MID($H2055&amp;" ",FIND("|",SUBSTITUTE($H2055&amp;" "," ","|",1))+1,FIND("|",SUBSTITUTE($H2055&amp;" "," ","|",2))-FIND("|",SUBSTITUTE($H2055&amp;" "," ","|",1))-1),""))</f>
        <v/>
      </c>
      <c r="D2055" s="58">
        <f>IF($H2055="","",IFERROR(MID($H2055&amp;" ",FIND("|",SUBSTITUTE($H2055&amp;" "," ","|",2))+1,FIND("|",SUBSTITUTE($H2055&amp;" "," ","|",3))-FIND("|",SUBSTITUTE($H2055&amp;" "," ","|",2))-1),""))</f>
        <v/>
      </c>
      <c r="E2055" s="58">
        <f>IF($H2055="","",IFERROR(MID($H2055&amp;" ",FIND("|",SUBSTITUTE($H2055&amp;" "," ","|",3))+1,FIND("|",SUBSTITUTE($H2055&amp;" "," ","|",4))-FIND("|",SUBSTITUTE($H2055&amp;" "," ","|",3))-1),""))</f>
        <v/>
      </c>
      <c r="F2055" s="59">
        <f>IF($H2055="","",IFERROR(VALUE(IFERROR(MID($H2055&amp;" ",FIND("|",SUBSTITUTE($H2055&amp;" "," ","|",4))+1,FIND("|",SUBSTITUTE($H2055&amp;" "," ","|",5))-FIND("|",SUBSTITUTE($H2055&amp;" "," ","|",4))-1),""))/86400+25569+9/24,""))</f>
        <v/>
      </c>
      <c r="G2055" s="58">
        <f>TRIM(SUBSTITUTE(SUBSTITUTE(SUBSTITUTE($A2055,CHAR(9)," ")," "," "),CHAR(13),""))</f>
        <v/>
      </c>
      <c r="H2055" s="58">
        <f>IF($G2055="","",IF(ISNUMBER(FIND(" ",$G2055)),$G2055,IFERROR(IF((LEN(SUBSTITUTE(SUBSTITUTE($G2055,"-"," ",LEN($G2055)-LEN(SUBSTITUTE($G2055,"-",""))),"-"," ",LEN($G2055)-LEN(SUBSTITUTE($G2055,"-",""))-1))-LEN(SUBSTITUTE(SUBSTITUTE(SUBSTITUTE($G2055,"-"," ",LEN($G2055)-LEN(SUBSTITUTE($G2055,"-",""))),"-"," ",LEN($G2055)-LEN(SUBSTITUTE($G2055,"-",""))-1),".","")))=0,SUBSTITUTE(SUBSTITUTE($G2055,"-"," ",LEN($G2055)-LEN(SUBSTITUTE($G2055,"-",""))),"-"," ",LEN($G2055)-LEN(SUBSTITUTE($G2055,"-",""))-1),SUBSTITUTE(SUBSTITUTE(SUBSTITUTE($G2055,"-"," ",LEN($G2055)-LEN(SUBSTITUTE($G2055,"-",""))),"-"," ",LEN($G2055)-LEN(SUBSTITUTE($G2055,"-",""))-1),"."," ",(LEN(SUBSTITUTE(SUBSTITUTE($G2055,"-"," ",LEN($G2055)-LEN(SUBSTITUTE($G2055,"-",""))),"-"," ",LEN($G2055)-LEN(SUBSTITUTE($G2055,"-",""))-1))-LEN(SUBSTITUTE(SUBSTITUTE(SUBSTITUTE($G2055,"-"," ",LEN($G2055)-LEN(SUBSTITUTE($G2055,"-",""))),"-"," ",LEN($G2055)-LEN(SUBSTITUTE($G2055,"-",""))-1),".",""))))),$G2055)))</f>
        <v/>
      </c>
    </row>
    <row r="2056">
      <c r="A2056" s="58" t="n"/>
      <c r="B2056" s="58">
        <f>IF($H2056="","",LEFT($H2056,FIND(" ",$H2056&amp;" ")-1))</f>
        <v/>
      </c>
      <c r="C2056" s="58">
        <f>IF($H2056="","",IFERROR(MID($H2056&amp;" ",FIND("|",SUBSTITUTE($H2056&amp;" "," ","|",1))+1,FIND("|",SUBSTITUTE($H2056&amp;" "," ","|",2))-FIND("|",SUBSTITUTE($H2056&amp;" "," ","|",1))-1),""))</f>
        <v/>
      </c>
      <c r="D2056" s="58">
        <f>IF($H2056="","",IFERROR(MID($H2056&amp;" ",FIND("|",SUBSTITUTE($H2056&amp;" "," ","|",2))+1,FIND("|",SUBSTITUTE($H2056&amp;" "," ","|",3))-FIND("|",SUBSTITUTE($H2056&amp;" "," ","|",2))-1),""))</f>
        <v/>
      </c>
      <c r="E2056" s="58">
        <f>IF($H2056="","",IFERROR(MID($H2056&amp;" ",FIND("|",SUBSTITUTE($H2056&amp;" "," ","|",3))+1,FIND("|",SUBSTITUTE($H2056&amp;" "," ","|",4))-FIND("|",SUBSTITUTE($H2056&amp;" "," ","|",3))-1),""))</f>
        <v/>
      </c>
      <c r="F2056" s="59">
        <f>IF($H2056="","",IFERROR(VALUE(IFERROR(MID($H2056&amp;" ",FIND("|",SUBSTITUTE($H2056&amp;" "," ","|",4))+1,FIND("|",SUBSTITUTE($H2056&amp;" "," ","|",5))-FIND("|",SUBSTITUTE($H2056&amp;" "," ","|",4))-1),""))/86400+25569+9/24,""))</f>
        <v/>
      </c>
      <c r="G2056" s="58">
        <f>TRIM(SUBSTITUTE(SUBSTITUTE(SUBSTITUTE($A2056,CHAR(9)," ")," "," "),CHAR(13),""))</f>
        <v/>
      </c>
      <c r="H2056" s="58">
        <f>IF($G2056="","",IF(ISNUMBER(FIND(" ",$G2056)),$G2056,IFERROR(IF((LEN(SUBSTITUTE(SUBSTITUTE($G2056,"-"," ",LEN($G2056)-LEN(SUBSTITUTE($G2056,"-",""))),"-"," ",LEN($G2056)-LEN(SUBSTITUTE($G2056,"-",""))-1))-LEN(SUBSTITUTE(SUBSTITUTE(SUBSTITUTE($G2056,"-"," ",LEN($G2056)-LEN(SUBSTITUTE($G2056,"-",""))),"-"," ",LEN($G2056)-LEN(SUBSTITUTE($G2056,"-",""))-1),".","")))=0,SUBSTITUTE(SUBSTITUTE($G2056,"-"," ",LEN($G2056)-LEN(SUBSTITUTE($G2056,"-",""))),"-"," ",LEN($G2056)-LEN(SUBSTITUTE($G2056,"-",""))-1),SUBSTITUTE(SUBSTITUTE(SUBSTITUTE($G2056,"-"," ",LEN($G2056)-LEN(SUBSTITUTE($G2056,"-",""))),"-"," ",LEN($G2056)-LEN(SUBSTITUTE($G2056,"-",""))-1),"."," ",(LEN(SUBSTITUTE(SUBSTITUTE($G2056,"-"," ",LEN($G2056)-LEN(SUBSTITUTE($G2056,"-",""))),"-"," ",LEN($G2056)-LEN(SUBSTITUTE($G2056,"-",""))-1))-LEN(SUBSTITUTE(SUBSTITUTE(SUBSTITUTE($G2056,"-"," ",LEN($G2056)-LEN(SUBSTITUTE($G2056,"-",""))),"-"," ",LEN($G2056)-LEN(SUBSTITUTE($G2056,"-",""))-1),".",""))))),$G2056)))</f>
        <v/>
      </c>
    </row>
    <row r="2057">
      <c r="A2057" s="58" t="n"/>
      <c r="B2057" s="58">
        <f>IF($H2057="","",LEFT($H2057,FIND(" ",$H2057&amp;" ")-1))</f>
        <v/>
      </c>
      <c r="C2057" s="58">
        <f>IF($H2057="","",IFERROR(MID($H2057&amp;" ",FIND("|",SUBSTITUTE($H2057&amp;" "," ","|",1))+1,FIND("|",SUBSTITUTE($H2057&amp;" "," ","|",2))-FIND("|",SUBSTITUTE($H2057&amp;" "," ","|",1))-1),""))</f>
        <v/>
      </c>
      <c r="D2057" s="58">
        <f>IF($H2057="","",IFERROR(MID($H2057&amp;" ",FIND("|",SUBSTITUTE($H2057&amp;" "," ","|",2))+1,FIND("|",SUBSTITUTE($H2057&amp;" "," ","|",3))-FIND("|",SUBSTITUTE($H2057&amp;" "," ","|",2))-1),""))</f>
        <v/>
      </c>
      <c r="E2057" s="58">
        <f>IF($H2057="","",IFERROR(MID($H2057&amp;" ",FIND("|",SUBSTITUTE($H2057&amp;" "," ","|",3))+1,FIND("|",SUBSTITUTE($H2057&amp;" "," ","|",4))-FIND("|",SUBSTITUTE($H2057&amp;" "," ","|",3))-1),""))</f>
        <v/>
      </c>
      <c r="F2057" s="59">
        <f>IF($H2057="","",IFERROR(VALUE(IFERROR(MID($H2057&amp;" ",FIND("|",SUBSTITUTE($H2057&amp;" "," ","|",4))+1,FIND("|",SUBSTITUTE($H2057&amp;" "," ","|",5))-FIND("|",SUBSTITUTE($H2057&amp;" "," ","|",4))-1),""))/86400+25569+9/24,""))</f>
        <v/>
      </c>
      <c r="G2057" s="58">
        <f>TRIM(SUBSTITUTE(SUBSTITUTE(SUBSTITUTE($A2057,CHAR(9)," ")," "," "),CHAR(13),""))</f>
        <v/>
      </c>
      <c r="H2057" s="58">
        <f>IF($G2057="","",IF(ISNUMBER(FIND(" ",$G2057)),$G2057,IFERROR(IF((LEN(SUBSTITUTE(SUBSTITUTE($G2057,"-"," ",LEN($G2057)-LEN(SUBSTITUTE($G2057,"-",""))),"-"," ",LEN($G2057)-LEN(SUBSTITUTE($G2057,"-",""))-1))-LEN(SUBSTITUTE(SUBSTITUTE(SUBSTITUTE($G2057,"-"," ",LEN($G2057)-LEN(SUBSTITUTE($G2057,"-",""))),"-"," ",LEN($G2057)-LEN(SUBSTITUTE($G2057,"-",""))-1),".","")))=0,SUBSTITUTE(SUBSTITUTE($G2057,"-"," ",LEN($G2057)-LEN(SUBSTITUTE($G2057,"-",""))),"-"," ",LEN($G2057)-LEN(SUBSTITUTE($G2057,"-",""))-1),SUBSTITUTE(SUBSTITUTE(SUBSTITUTE($G2057,"-"," ",LEN($G2057)-LEN(SUBSTITUTE($G2057,"-",""))),"-"," ",LEN($G2057)-LEN(SUBSTITUTE($G2057,"-",""))-1),"."," ",(LEN(SUBSTITUTE(SUBSTITUTE($G2057,"-"," ",LEN($G2057)-LEN(SUBSTITUTE($G2057,"-",""))),"-"," ",LEN($G2057)-LEN(SUBSTITUTE($G2057,"-",""))-1))-LEN(SUBSTITUTE(SUBSTITUTE(SUBSTITUTE($G2057,"-"," ",LEN($G2057)-LEN(SUBSTITUTE($G2057,"-",""))),"-"," ",LEN($G2057)-LEN(SUBSTITUTE($G2057,"-",""))-1),".",""))))),$G2057)))</f>
        <v/>
      </c>
    </row>
    <row r="2058">
      <c r="A2058" s="58" t="n"/>
      <c r="B2058" s="58">
        <f>IF($H2058="","",LEFT($H2058,FIND(" ",$H2058&amp;" ")-1))</f>
        <v/>
      </c>
      <c r="C2058" s="58">
        <f>IF($H2058="","",IFERROR(MID($H2058&amp;" ",FIND("|",SUBSTITUTE($H2058&amp;" "," ","|",1))+1,FIND("|",SUBSTITUTE($H2058&amp;" "," ","|",2))-FIND("|",SUBSTITUTE($H2058&amp;" "," ","|",1))-1),""))</f>
        <v/>
      </c>
      <c r="D2058" s="58">
        <f>IF($H2058="","",IFERROR(MID($H2058&amp;" ",FIND("|",SUBSTITUTE($H2058&amp;" "," ","|",2))+1,FIND("|",SUBSTITUTE($H2058&amp;" "," ","|",3))-FIND("|",SUBSTITUTE($H2058&amp;" "," ","|",2))-1),""))</f>
        <v/>
      </c>
      <c r="E2058" s="58">
        <f>IF($H2058="","",IFERROR(MID($H2058&amp;" ",FIND("|",SUBSTITUTE($H2058&amp;" "," ","|",3))+1,FIND("|",SUBSTITUTE($H2058&amp;" "," ","|",4))-FIND("|",SUBSTITUTE($H2058&amp;" "," ","|",3))-1),""))</f>
        <v/>
      </c>
      <c r="F2058" s="59">
        <f>IF($H2058="","",IFERROR(VALUE(IFERROR(MID($H2058&amp;" ",FIND("|",SUBSTITUTE($H2058&amp;" "," ","|",4))+1,FIND("|",SUBSTITUTE($H2058&amp;" "," ","|",5))-FIND("|",SUBSTITUTE($H2058&amp;" "," ","|",4))-1),""))/86400+25569+9/24,""))</f>
        <v/>
      </c>
      <c r="G2058" s="58">
        <f>TRIM(SUBSTITUTE(SUBSTITUTE(SUBSTITUTE($A2058,CHAR(9)," ")," "," "),CHAR(13),""))</f>
        <v/>
      </c>
      <c r="H2058" s="58">
        <f>IF($G2058="","",IF(ISNUMBER(FIND(" ",$G2058)),$G2058,IFERROR(IF((LEN(SUBSTITUTE(SUBSTITUTE($G2058,"-"," ",LEN($G2058)-LEN(SUBSTITUTE($G2058,"-",""))),"-"," ",LEN($G2058)-LEN(SUBSTITUTE($G2058,"-",""))-1))-LEN(SUBSTITUTE(SUBSTITUTE(SUBSTITUTE($G2058,"-"," ",LEN($G2058)-LEN(SUBSTITUTE($G2058,"-",""))),"-"," ",LEN($G2058)-LEN(SUBSTITUTE($G2058,"-",""))-1),".","")))=0,SUBSTITUTE(SUBSTITUTE($G2058,"-"," ",LEN($G2058)-LEN(SUBSTITUTE($G2058,"-",""))),"-"," ",LEN($G2058)-LEN(SUBSTITUTE($G2058,"-",""))-1),SUBSTITUTE(SUBSTITUTE(SUBSTITUTE($G2058,"-"," ",LEN($G2058)-LEN(SUBSTITUTE($G2058,"-",""))),"-"," ",LEN($G2058)-LEN(SUBSTITUTE($G2058,"-",""))-1),"."," ",(LEN(SUBSTITUTE(SUBSTITUTE($G2058,"-"," ",LEN($G2058)-LEN(SUBSTITUTE($G2058,"-",""))),"-"," ",LEN($G2058)-LEN(SUBSTITUTE($G2058,"-",""))-1))-LEN(SUBSTITUTE(SUBSTITUTE(SUBSTITUTE($G2058,"-"," ",LEN($G2058)-LEN(SUBSTITUTE($G2058,"-",""))),"-"," ",LEN($G2058)-LEN(SUBSTITUTE($G2058,"-",""))-1),".",""))))),$G2058)))</f>
        <v/>
      </c>
    </row>
    <row r="2059">
      <c r="A2059" s="58" t="n"/>
      <c r="B2059" s="58">
        <f>IF($H2059="","",LEFT($H2059,FIND(" ",$H2059&amp;" ")-1))</f>
        <v/>
      </c>
      <c r="C2059" s="58">
        <f>IF($H2059="","",IFERROR(MID($H2059&amp;" ",FIND("|",SUBSTITUTE($H2059&amp;" "," ","|",1))+1,FIND("|",SUBSTITUTE($H2059&amp;" "," ","|",2))-FIND("|",SUBSTITUTE($H2059&amp;" "," ","|",1))-1),""))</f>
        <v/>
      </c>
      <c r="D2059" s="58">
        <f>IF($H2059="","",IFERROR(MID($H2059&amp;" ",FIND("|",SUBSTITUTE($H2059&amp;" "," ","|",2))+1,FIND("|",SUBSTITUTE($H2059&amp;" "," ","|",3))-FIND("|",SUBSTITUTE($H2059&amp;" "," ","|",2))-1),""))</f>
        <v/>
      </c>
      <c r="E2059" s="58">
        <f>IF($H2059="","",IFERROR(MID($H2059&amp;" ",FIND("|",SUBSTITUTE($H2059&amp;" "," ","|",3))+1,FIND("|",SUBSTITUTE($H2059&amp;" "," ","|",4))-FIND("|",SUBSTITUTE($H2059&amp;" "," ","|",3))-1),""))</f>
        <v/>
      </c>
      <c r="F2059" s="59">
        <f>IF($H2059="","",IFERROR(VALUE(IFERROR(MID($H2059&amp;" ",FIND("|",SUBSTITUTE($H2059&amp;" "," ","|",4))+1,FIND("|",SUBSTITUTE($H2059&amp;" "," ","|",5))-FIND("|",SUBSTITUTE($H2059&amp;" "," ","|",4))-1),""))/86400+25569+9/24,""))</f>
        <v/>
      </c>
      <c r="G2059" s="58">
        <f>TRIM(SUBSTITUTE(SUBSTITUTE(SUBSTITUTE($A2059,CHAR(9)," ")," "," "),CHAR(13),""))</f>
        <v/>
      </c>
      <c r="H2059" s="58">
        <f>IF($G2059="","",IF(ISNUMBER(FIND(" ",$G2059)),$G2059,IFERROR(IF((LEN(SUBSTITUTE(SUBSTITUTE($G2059,"-"," ",LEN($G2059)-LEN(SUBSTITUTE($G2059,"-",""))),"-"," ",LEN($G2059)-LEN(SUBSTITUTE($G2059,"-",""))-1))-LEN(SUBSTITUTE(SUBSTITUTE(SUBSTITUTE($G2059,"-"," ",LEN($G2059)-LEN(SUBSTITUTE($G2059,"-",""))),"-"," ",LEN($G2059)-LEN(SUBSTITUTE($G2059,"-",""))-1),".","")))=0,SUBSTITUTE(SUBSTITUTE($G2059,"-"," ",LEN($G2059)-LEN(SUBSTITUTE($G2059,"-",""))),"-"," ",LEN($G2059)-LEN(SUBSTITUTE($G2059,"-",""))-1),SUBSTITUTE(SUBSTITUTE(SUBSTITUTE($G2059,"-"," ",LEN($G2059)-LEN(SUBSTITUTE($G2059,"-",""))),"-"," ",LEN($G2059)-LEN(SUBSTITUTE($G2059,"-",""))-1),"."," ",(LEN(SUBSTITUTE(SUBSTITUTE($G2059,"-"," ",LEN($G2059)-LEN(SUBSTITUTE($G2059,"-",""))),"-"," ",LEN($G2059)-LEN(SUBSTITUTE($G2059,"-",""))-1))-LEN(SUBSTITUTE(SUBSTITUTE(SUBSTITUTE($G2059,"-"," ",LEN($G2059)-LEN(SUBSTITUTE($G2059,"-",""))),"-"," ",LEN($G2059)-LEN(SUBSTITUTE($G2059,"-",""))-1),".",""))))),$G2059)))</f>
        <v/>
      </c>
    </row>
    <row r="2060">
      <c r="A2060" s="58" t="n"/>
      <c r="B2060" s="58">
        <f>IF($H2060="","",LEFT($H2060,FIND(" ",$H2060&amp;" ")-1))</f>
        <v/>
      </c>
      <c r="C2060" s="58">
        <f>IF($H2060="","",IFERROR(MID($H2060&amp;" ",FIND("|",SUBSTITUTE($H2060&amp;" "," ","|",1))+1,FIND("|",SUBSTITUTE($H2060&amp;" "," ","|",2))-FIND("|",SUBSTITUTE($H2060&amp;" "," ","|",1))-1),""))</f>
        <v/>
      </c>
      <c r="D2060" s="58">
        <f>IF($H2060="","",IFERROR(MID($H2060&amp;" ",FIND("|",SUBSTITUTE($H2060&amp;" "," ","|",2))+1,FIND("|",SUBSTITUTE($H2060&amp;" "," ","|",3))-FIND("|",SUBSTITUTE($H2060&amp;" "," ","|",2))-1),""))</f>
        <v/>
      </c>
      <c r="E2060" s="58">
        <f>IF($H2060="","",IFERROR(MID($H2060&amp;" ",FIND("|",SUBSTITUTE($H2060&amp;" "," ","|",3))+1,FIND("|",SUBSTITUTE($H2060&amp;" "," ","|",4))-FIND("|",SUBSTITUTE($H2060&amp;" "," ","|",3))-1),""))</f>
        <v/>
      </c>
      <c r="F2060" s="59">
        <f>IF($H2060="","",IFERROR(VALUE(IFERROR(MID($H2060&amp;" ",FIND("|",SUBSTITUTE($H2060&amp;" "," ","|",4))+1,FIND("|",SUBSTITUTE($H2060&amp;" "," ","|",5))-FIND("|",SUBSTITUTE($H2060&amp;" "," ","|",4))-1),""))/86400+25569+9/24,""))</f>
        <v/>
      </c>
      <c r="G2060" s="58">
        <f>TRIM(SUBSTITUTE(SUBSTITUTE(SUBSTITUTE($A2060,CHAR(9)," ")," "," "),CHAR(13),""))</f>
        <v/>
      </c>
      <c r="H2060" s="58">
        <f>IF($G2060="","",IF(ISNUMBER(FIND(" ",$G2060)),$G2060,IFERROR(IF((LEN(SUBSTITUTE(SUBSTITUTE($G2060,"-"," ",LEN($G2060)-LEN(SUBSTITUTE($G2060,"-",""))),"-"," ",LEN($G2060)-LEN(SUBSTITUTE($G2060,"-",""))-1))-LEN(SUBSTITUTE(SUBSTITUTE(SUBSTITUTE($G2060,"-"," ",LEN($G2060)-LEN(SUBSTITUTE($G2060,"-",""))),"-"," ",LEN($G2060)-LEN(SUBSTITUTE($G2060,"-",""))-1),".","")))=0,SUBSTITUTE(SUBSTITUTE($G2060,"-"," ",LEN($G2060)-LEN(SUBSTITUTE($G2060,"-",""))),"-"," ",LEN($G2060)-LEN(SUBSTITUTE($G2060,"-",""))-1),SUBSTITUTE(SUBSTITUTE(SUBSTITUTE($G2060,"-"," ",LEN($G2060)-LEN(SUBSTITUTE($G2060,"-",""))),"-"," ",LEN($G2060)-LEN(SUBSTITUTE($G2060,"-",""))-1),"."," ",(LEN(SUBSTITUTE(SUBSTITUTE($G2060,"-"," ",LEN($G2060)-LEN(SUBSTITUTE($G2060,"-",""))),"-"," ",LEN($G2060)-LEN(SUBSTITUTE($G2060,"-",""))-1))-LEN(SUBSTITUTE(SUBSTITUTE(SUBSTITUTE($G2060,"-"," ",LEN($G2060)-LEN(SUBSTITUTE($G2060,"-",""))),"-"," ",LEN($G2060)-LEN(SUBSTITUTE($G2060,"-",""))-1),".",""))))),$G2060)))</f>
        <v/>
      </c>
    </row>
    <row r="2061">
      <c r="A2061" s="58" t="n"/>
      <c r="B2061" s="58">
        <f>IF($H2061="","",LEFT($H2061,FIND(" ",$H2061&amp;" ")-1))</f>
        <v/>
      </c>
      <c r="C2061" s="58">
        <f>IF($H2061="","",IFERROR(MID($H2061&amp;" ",FIND("|",SUBSTITUTE($H2061&amp;" "," ","|",1))+1,FIND("|",SUBSTITUTE($H2061&amp;" "," ","|",2))-FIND("|",SUBSTITUTE($H2061&amp;" "," ","|",1))-1),""))</f>
        <v/>
      </c>
      <c r="D2061" s="58">
        <f>IF($H2061="","",IFERROR(MID($H2061&amp;" ",FIND("|",SUBSTITUTE($H2061&amp;" "," ","|",2))+1,FIND("|",SUBSTITUTE($H2061&amp;" "," ","|",3))-FIND("|",SUBSTITUTE($H2061&amp;" "," ","|",2))-1),""))</f>
        <v/>
      </c>
      <c r="E2061" s="58">
        <f>IF($H2061="","",IFERROR(MID($H2061&amp;" ",FIND("|",SUBSTITUTE($H2061&amp;" "," ","|",3))+1,FIND("|",SUBSTITUTE($H2061&amp;" "," ","|",4))-FIND("|",SUBSTITUTE($H2061&amp;" "," ","|",3))-1),""))</f>
        <v/>
      </c>
      <c r="F2061" s="59">
        <f>IF($H2061="","",IFERROR(VALUE(IFERROR(MID($H2061&amp;" ",FIND("|",SUBSTITUTE($H2061&amp;" "," ","|",4))+1,FIND("|",SUBSTITUTE($H2061&amp;" "," ","|",5))-FIND("|",SUBSTITUTE($H2061&amp;" "," ","|",4))-1),""))/86400+25569+9/24,""))</f>
        <v/>
      </c>
      <c r="G2061" s="58">
        <f>TRIM(SUBSTITUTE(SUBSTITUTE(SUBSTITUTE($A2061,CHAR(9)," ")," "," "),CHAR(13),""))</f>
        <v/>
      </c>
      <c r="H2061" s="58">
        <f>IF($G2061="","",IF(ISNUMBER(FIND(" ",$G2061)),$G2061,IFERROR(IF((LEN(SUBSTITUTE(SUBSTITUTE($G2061,"-"," ",LEN($G2061)-LEN(SUBSTITUTE($G2061,"-",""))),"-"," ",LEN($G2061)-LEN(SUBSTITUTE($G2061,"-",""))-1))-LEN(SUBSTITUTE(SUBSTITUTE(SUBSTITUTE($G2061,"-"," ",LEN($G2061)-LEN(SUBSTITUTE($G2061,"-",""))),"-"," ",LEN($G2061)-LEN(SUBSTITUTE($G2061,"-",""))-1),".","")))=0,SUBSTITUTE(SUBSTITUTE($G2061,"-"," ",LEN($G2061)-LEN(SUBSTITUTE($G2061,"-",""))),"-"," ",LEN($G2061)-LEN(SUBSTITUTE($G2061,"-",""))-1),SUBSTITUTE(SUBSTITUTE(SUBSTITUTE($G2061,"-"," ",LEN($G2061)-LEN(SUBSTITUTE($G2061,"-",""))),"-"," ",LEN($G2061)-LEN(SUBSTITUTE($G2061,"-",""))-1),"."," ",(LEN(SUBSTITUTE(SUBSTITUTE($G2061,"-"," ",LEN($G2061)-LEN(SUBSTITUTE($G2061,"-",""))),"-"," ",LEN($G2061)-LEN(SUBSTITUTE($G2061,"-",""))-1))-LEN(SUBSTITUTE(SUBSTITUTE(SUBSTITUTE($G2061,"-"," ",LEN($G2061)-LEN(SUBSTITUTE($G2061,"-",""))),"-"," ",LEN($G2061)-LEN(SUBSTITUTE($G2061,"-",""))-1),".",""))))),$G2061)))</f>
        <v/>
      </c>
    </row>
    <row r="2062">
      <c r="A2062" s="58" t="n"/>
      <c r="B2062" s="58">
        <f>IF($H2062="","",LEFT($H2062,FIND(" ",$H2062&amp;" ")-1))</f>
        <v/>
      </c>
      <c r="C2062" s="58">
        <f>IF($H2062="","",IFERROR(MID($H2062&amp;" ",FIND("|",SUBSTITUTE($H2062&amp;" "," ","|",1))+1,FIND("|",SUBSTITUTE($H2062&amp;" "," ","|",2))-FIND("|",SUBSTITUTE($H2062&amp;" "," ","|",1))-1),""))</f>
        <v/>
      </c>
      <c r="D2062" s="58">
        <f>IF($H2062="","",IFERROR(MID($H2062&amp;" ",FIND("|",SUBSTITUTE($H2062&amp;" "," ","|",2))+1,FIND("|",SUBSTITUTE($H2062&amp;" "," ","|",3))-FIND("|",SUBSTITUTE($H2062&amp;" "," ","|",2))-1),""))</f>
        <v/>
      </c>
      <c r="E2062" s="58">
        <f>IF($H2062="","",IFERROR(MID($H2062&amp;" ",FIND("|",SUBSTITUTE($H2062&amp;" "," ","|",3))+1,FIND("|",SUBSTITUTE($H2062&amp;" "," ","|",4))-FIND("|",SUBSTITUTE($H2062&amp;" "," ","|",3))-1),""))</f>
        <v/>
      </c>
      <c r="F2062" s="59">
        <f>IF($H2062="","",IFERROR(VALUE(IFERROR(MID($H2062&amp;" ",FIND("|",SUBSTITUTE($H2062&amp;" "," ","|",4))+1,FIND("|",SUBSTITUTE($H2062&amp;" "," ","|",5))-FIND("|",SUBSTITUTE($H2062&amp;" "," ","|",4))-1),""))/86400+25569+9/24,""))</f>
        <v/>
      </c>
      <c r="G2062" s="58">
        <f>TRIM(SUBSTITUTE(SUBSTITUTE(SUBSTITUTE($A2062,CHAR(9)," ")," "," "),CHAR(13),""))</f>
        <v/>
      </c>
      <c r="H2062" s="58">
        <f>IF($G2062="","",IF(ISNUMBER(FIND(" ",$G2062)),$G2062,IFERROR(IF((LEN(SUBSTITUTE(SUBSTITUTE($G2062,"-"," ",LEN($G2062)-LEN(SUBSTITUTE($G2062,"-",""))),"-"," ",LEN($G2062)-LEN(SUBSTITUTE($G2062,"-",""))-1))-LEN(SUBSTITUTE(SUBSTITUTE(SUBSTITUTE($G2062,"-"," ",LEN($G2062)-LEN(SUBSTITUTE($G2062,"-",""))),"-"," ",LEN($G2062)-LEN(SUBSTITUTE($G2062,"-",""))-1),".","")))=0,SUBSTITUTE(SUBSTITUTE($G2062,"-"," ",LEN($G2062)-LEN(SUBSTITUTE($G2062,"-",""))),"-"," ",LEN($G2062)-LEN(SUBSTITUTE($G2062,"-",""))-1),SUBSTITUTE(SUBSTITUTE(SUBSTITUTE($G2062,"-"," ",LEN($G2062)-LEN(SUBSTITUTE($G2062,"-",""))),"-"," ",LEN($G2062)-LEN(SUBSTITUTE($G2062,"-",""))-1),"."," ",(LEN(SUBSTITUTE(SUBSTITUTE($G2062,"-"," ",LEN($G2062)-LEN(SUBSTITUTE($G2062,"-",""))),"-"," ",LEN($G2062)-LEN(SUBSTITUTE($G2062,"-",""))-1))-LEN(SUBSTITUTE(SUBSTITUTE(SUBSTITUTE($G2062,"-"," ",LEN($G2062)-LEN(SUBSTITUTE($G2062,"-",""))),"-"," ",LEN($G2062)-LEN(SUBSTITUTE($G2062,"-",""))-1),".",""))))),$G2062)))</f>
        <v/>
      </c>
    </row>
    <row r="2063">
      <c r="A2063" s="58" t="n"/>
      <c r="B2063" s="58">
        <f>IF($H2063="","",LEFT($H2063,FIND(" ",$H2063&amp;" ")-1))</f>
        <v/>
      </c>
      <c r="C2063" s="58">
        <f>IF($H2063="","",IFERROR(MID($H2063&amp;" ",FIND("|",SUBSTITUTE($H2063&amp;" "," ","|",1))+1,FIND("|",SUBSTITUTE($H2063&amp;" "," ","|",2))-FIND("|",SUBSTITUTE($H2063&amp;" "," ","|",1))-1),""))</f>
        <v/>
      </c>
      <c r="D2063" s="58">
        <f>IF($H2063="","",IFERROR(MID($H2063&amp;" ",FIND("|",SUBSTITUTE($H2063&amp;" "," ","|",2))+1,FIND("|",SUBSTITUTE($H2063&amp;" "," ","|",3))-FIND("|",SUBSTITUTE($H2063&amp;" "," ","|",2))-1),""))</f>
        <v/>
      </c>
      <c r="E2063" s="58">
        <f>IF($H2063="","",IFERROR(MID($H2063&amp;" ",FIND("|",SUBSTITUTE($H2063&amp;" "," ","|",3))+1,FIND("|",SUBSTITUTE($H2063&amp;" "," ","|",4))-FIND("|",SUBSTITUTE($H2063&amp;" "," ","|",3))-1),""))</f>
        <v/>
      </c>
      <c r="F2063" s="59">
        <f>IF($H2063="","",IFERROR(VALUE(IFERROR(MID($H2063&amp;" ",FIND("|",SUBSTITUTE($H2063&amp;" "," ","|",4))+1,FIND("|",SUBSTITUTE($H2063&amp;" "," ","|",5))-FIND("|",SUBSTITUTE($H2063&amp;" "," ","|",4))-1),""))/86400+25569+9/24,""))</f>
        <v/>
      </c>
      <c r="G2063" s="58">
        <f>TRIM(SUBSTITUTE(SUBSTITUTE(SUBSTITUTE($A2063,CHAR(9)," ")," "," "),CHAR(13),""))</f>
        <v/>
      </c>
      <c r="H2063" s="58">
        <f>IF($G2063="","",IF(ISNUMBER(FIND(" ",$G2063)),$G2063,IFERROR(IF((LEN(SUBSTITUTE(SUBSTITUTE($G2063,"-"," ",LEN($G2063)-LEN(SUBSTITUTE($G2063,"-",""))),"-"," ",LEN($G2063)-LEN(SUBSTITUTE($G2063,"-",""))-1))-LEN(SUBSTITUTE(SUBSTITUTE(SUBSTITUTE($G2063,"-"," ",LEN($G2063)-LEN(SUBSTITUTE($G2063,"-",""))),"-"," ",LEN($G2063)-LEN(SUBSTITUTE($G2063,"-",""))-1),".","")))=0,SUBSTITUTE(SUBSTITUTE($G2063,"-"," ",LEN($G2063)-LEN(SUBSTITUTE($G2063,"-",""))),"-"," ",LEN($G2063)-LEN(SUBSTITUTE($G2063,"-",""))-1),SUBSTITUTE(SUBSTITUTE(SUBSTITUTE($G2063,"-"," ",LEN($G2063)-LEN(SUBSTITUTE($G2063,"-",""))),"-"," ",LEN($G2063)-LEN(SUBSTITUTE($G2063,"-",""))-1),"."," ",(LEN(SUBSTITUTE(SUBSTITUTE($G2063,"-"," ",LEN($G2063)-LEN(SUBSTITUTE($G2063,"-",""))),"-"," ",LEN($G2063)-LEN(SUBSTITUTE($G2063,"-",""))-1))-LEN(SUBSTITUTE(SUBSTITUTE(SUBSTITUTE($G2063,"-"," ",LEN($G2063)-LEN(SUBSTITUTE($G2063,"-",""))),"-"," ",LEN($G2063)-LEN(SUBSTITUTE($G2063,"-",""))-1),".",""))))),$G2063)))</f>
        <v/>
      </c>
    </row>
    <row r="2064">
      <c r="A2064" s="58" t="n"/>
      <c r="B2064" s="58">
        <f>IF($H2064="","",LEFT($H2064,FIND(" ",$H2064&amp;" ")-1))</f>
        <v/>
      </c>
      <c r="C2064" s="58">
        <f>IF($H2064="","",IFERROR(MID($H2064&amp;" ",FIND("|",SUBSTITUTE($H2064&amp;" "," ","|",1))+1,FIND("|",SUBSTITUTE($H2064&amp;" "," ","|",2))-FIND("|",SUBSTITUTE($H2064&amp;" "," ","|",1))-1),""))</f>
        <v/>
      </c>
      <c r="D2064" s="58">
        <f>IF($H2064="","",IFERROR(MID($H2064&amp;" ",FIND("|",SUBSTITUTE($H2064&amp;" "," ","|",2))+1,FIND("|",SUBSTITUTE($H2064&amp;" "," ","|",3))-FIND("|",SUBSTITUTE($H2064&amp;" "," ","|",2))-1),""))</f>
        <v/>
      </c>
      <c r="E2064" s="58">
        <f>IF($H2064="","",IFERROR(MID($H2064&amp;" ",FIND("|",SUBSTITUTE($H2064&amp;" "," ","|",3))+1,FIND("|",SUBSTITUTE($H2064&amp;" "," ","|",4))-FIND("|",SUBSTITUTE($H2064&amp;" "," ","|",3))-1),""))</f>
        <v/>
      </c>
      <c r="F2064" s="59">
        <f>IF($H2064="","",IFERROR(VALUE(IFERROR(MID($H2064&amp;" ",FIND("|",SUBSTITUTE($H2064&amp;" "," ","|",4))+1,FIND("|",SUBSTITUTE($H2064&amp;" "," ","|",5))-FIND("|",SUBSTITUTE($H2064&amp;" "," ","|",4))-1),""))/86400+25569+9/24,""))</f>
        <v/>
      </c>
      <c r="G2064" s="58">
        <f>TRIM(SUBSTITUTE(SUBSTITUTE(SUBSTITUTE($A2064,CHAR(9)," ")," "," "),CHAR(13),""))</f>
        <v/>
      </c>
      <c r="H2064" s="58">
        <f>IF($G2064="","",IF(ISNUMBER(FIND(" ",$G2064)),$G2064,IFERROR(IF((LEN(SUBSTITUTE(SUBSTITUTE($G2064,"-"," ",LEN($G2064)-LEN(SUBSTITUTE($G2064,"-",""))),"-"," ",LEN($G2064)-LEN(SUBSTITUTE($G2064,"-",""))-1))-LEN(SUBSTITUTE(SUBSTITUTE(SUBSTITUTE($G2064,"-"," ",LEN($G2064)-LEN(SUBSTITUTE($G2064,"-",""))),"-"," ",LEN($G2064)-LEN(SUBSTITUTE($G2064,"-",""))-1),".","")))=0,SUBSTITUTE(SUBSTITUTE($G2064,"-"," ",LEN($G2064)-LEN(SUBSTITUTE($G2064,"-",""))),"-"," ",LEN($G2064)-LEN(SUBSTITUTE($G2064,"-",""))-1),SUBSTITUTE(SUBSTITUTE(SUBSTITUTE($G2064,"-"," ",LEN($G2064)-LEN(SUBSTITUTE($G2064,"-",""))),"-"," ",LEN($G2064)-LEN(SUBSTITUTE($G2064,"-",""))-1),"."," ",(LEN(SUBSTITUTE(SUBSTITUTE($G2064,"-"," ",LEN($G2064)-LEN(SUBSTITUTE($G2064,"-",""))),"-"," ",LEN($G2064)-LEN(SUBSTITUTE($G2064,"-",""))-1))-LEN(SUBSTITUTE(SUBSTITUTE(SUBSTITUTE($G2064,"-"," ",LEN($G2064)-LEN(SUBSTITUTE($G2064,"-",""))),"-"," ",LEN($G2064)-LEN(SUBSTITUTE($G2064,"-",""))-1),".",""))))),$G2064)))</f>
        <v/>
      </c>
    </row>
    <row r="2065">
      <c r="A2065" s="58" t="n"/>
      <c r="B2065" s="58">
        <f>IF($H2065="","",LEFT($H2065,FIND(" ",$H2065&amp;" ")-1))</f>
        <v/>
      </c>
      <c r="C2065" s="58">
        <f>IF($H2065="","",IFERROR(MID($H2065&amp;" ",FIND("|",SUBSTITUTE($H2065&amp;" "," ","|",1))+1,FIND("|",SUBSTITUTE($H2065&amp;" "," ","|",2))-FIND("|",SUBSTITUTE($H2065&amp;" "," ","|",1))-1),""))</f>
        <v/>
      </c>
      <c r="D2065" s="58">
        <f>IF($H2065="","",IFERROR(MID($H2065&amp;" ",FIND("|",SUBSTITUTE($H2065&amp;" "," ","|",2))+1,FIND("|",SUBSTITUTE($H2065&amp;" "," ","|",3))-FIND("|",SUBSTITUTE($H2065&amp;" "," ","|",2))-1),""))</f>
        <v/>
      </c>
      <c r="E2065" s="58">
        <f>IF($H2065="","",IFERROR(MID($H2065&amp;" ",FIND("|",SUBSTITUTE($H2065&amp;" "," ","|",3))+1,FIND("|",SUBSTITUTE($H2065&amp;" "," ","|",4))-FIND("|",SUBSTITUTE($H2065&amp;" "," ","|",3))-1),""))</f>
        <v/>
      </c>
      <c r="F2065" s="59">
        <f>IF($H2065="","",IFERROR(VALUE(IFERROR(MID($H2065&amp;" ",FIND("|",SUBSTITUTE($H2065&amp;" "," ","|",4))+1,FIND("|",SUBSTITUTE($H2065&amp;" "," ","|",5))-FIND("|",SUBSTITUTE($H2065&amp;" "," ","|",4))-1),""))/86400+25569+9/24,""))</f>
        <v/>
      </c>
      <c r="G2065" s="58">
        <f>TRIM(SUBSTITUTE(SUBSTITUTE(SUBSTITUTE($A2065,CHAR(9)," ")," "," "),CHAR(13),""))</f>
        <v/>
      </c>
      <c r="H2065" s="58">
        <f>IF($G2065="","",IF(ISNUMBER(FIND(" ",$G2065)),$G2065,IFERROR(IF((LEN(SUBSTITUTE(SUBSTITUTE($G2065,"-"," ",LEN($G2065)-LEN(SUBSTITUTE($G2065,"-",""))),"-"," ",LEN($G2065)-LEN(SUBSTITUTE($G2065,"-",""))-1))-LEN(SUBSTITUTE(SUBSTITUTE(SUBSTITUTE($G2065,"-"," ",LEN($G2065)-LEN(SUBSTITUTE($G2065,"-",""))),"-"," ",LEN($G2065)-LEN(SUBSTITUTE($G2065,"-",""))-1),".","")))=0,SUBSTITUTE(SUBSTITUTE($G2065,"-"," ",LEN($G2065)-LEN(SUBSTITUTE($G2065,"-",""))),"-"," ",LEN($G2065)-LEN(SUBSTITUTE($G2065,"-",""))-1),SUBSTITUTE(SUBSTITUTE(SUBSTITUTE($G2065,"-"," ",LEN($G2065)-LEN(SUBSTITUTE($G2065,"-",""))),"-"," ",LEN($G2065)-LEN(SUBSTITUTE($G2065,"-",""))-1),"."," ",(LEN(SUBSTITUTE(SUBSTITUTE($G2065,"-"," ",LEN($G2065)-LEN(SUBSTITUTE($G2065,"-",""))),"-"," ",LEN($G2065)-LEN(SUBSTITUTE($G2065,"-",""))-1))-LEN(SUBSTITUTE(SUBSTITUTE(SUBSTITUTE($G2065,"-"," ",LEN($G2065)-LEN(SUBSTITUTE($G2065,"-",""))),"-"," ",LEN($G2065)-LEN(SUBSTITUTE($G2065,"-",""))-1),".",""))))),$G2065)))</f>
        <v/>
      </c>
    </row>
    <row r="2066">
      <c r="A2066" s="58" t="n"/>
      <c r="B2066" s="58">
        <f>IF($H2066="","",LEFT($H2066,FIND(" ",$H2066&amp;" ")-1))</f>
        <v/>
      </c>
      <c r="C2066" s="58">
        <f>IF($H2066="","",IFERROR(MID($H2066&amp;" ",FIND("|",SUBSTITUTE($H2066&amp;" "," ","|",1))+1,FIND("|",SUBSTITUTE($H2066&amp;" "," ","|",2))-FIND("|",SUBSTITUTE($H2066&amp;" "," ","|",1))-1),""))</f>
        <v/>
      </c>
      <c r="D2066" s="58">
        <f>IF($H2066="","",IFERROR(MID($H2066&amp;" ",FIND("|",SUBSTITUTE($H2066&amp;" "," ","|",2))+1,FIND("|",SUBSTITUTE($H2066&amp;" "," ","|",3))-FIND("|",SUBSTITUTE($H2066&amp;" "," ","|",2))-1),""))</f>
        <v/>
      </c>
      <c r="E2066" s="58">
        <f>IF($H2066="","",IFERROR(MID($H2066&amp;" ",FIND("|",SUBSTITUTE($H2066&amp;" "," ","|",3))+1,FIND("|",SUBSTITUTE($H2066&amp;" "," ","|",4))-FIND("|",SUBSTITUTE($H2066&amp;" "," ","|",3))-1),""))</f>
        <v/>
      </c>
      <c r="F2066" s="59">
        <f>IF($H2066="","",IFERROR(VALUE(IFERROR(MID($H2066&amp;" ",FIND("|",SUBSTITUTE($H2066&amp;" "," ","|",4))+1,FIND("|",SUBSTITUTE($H2066&amp;" "," ","|",5))-FIND("|",SUBSTITUTE($H2066&amp;" "," ","|",4))-1),""))/86400+25569+9/24,""))</f>
        <v/>
      </c>
      <c r="G2066" s="58">
        <f>TRIM(SUBSTITUTE(SUBSTITUTE(SUBSTITUTE($A2066,CHAR(9)," ")," "," "),CHAR(13),""))</f>
        <v/>
      </c>
      <c r="H2066" s="58">
        <f>IF($G2066="","",IF(ISNUMBER(FIND(" ",$G2066)),$G2066,IFERROR(IF((LEN(SUBSTITUTE(SUBSTITUTE($G2066,"-"," ",LEN($G2066)-LEN(SUBSTITUTE($G2066,"-",""))),"-"," ",LEN($G2066)-LEN(SUBSTITUTE($G2066,"-",""))-1))-LEN(SUBSTITUTE(SUBSTITUTE(SUBSTITUTE($G2066,"-"," ",LEN($G2066)-LEN(SUBSTITUTE($G2066,"-",""))),"-"," ",LEN($G2066)-LEN(SUBSTITUTE($G2066,"-",""))-1),".","")))=0,SUBSTITUTE(SUBSTITUTE($G2066,"-"," ",LEN($G2066)-LEN(SUBSTITUTE($G2066,"-",""))),"-"," ",LEN($G2066)-LEN(SUBSTITUTE($G2066,"-",""))-1),SUBSTITUTE(SUBSTITUTE(SUBSTITUTE($G2066,"-"," ",LEN($G2066)-LEN(SUBSTITUTE($G2066,"-",""))),"-"," ",LEN($G2066)-LEN(SUBSTITUTE($G2066,"-",""))-1),"."," ",(LEN(SUBSTITUTE(SUBSTITUTE($G2066,"-"," ",LEN($G2066)-LEN(SUBSTITUTE($G2066,"-",""))),"-"," ",LEN($G2066)-LEN(SUBSTITUTE($G2066,"-",""))-1))-LEN(SUBSTITUTE(SUBSTITUTE(SUBSTITUTE($G2066,"-"," ",LEN($G2066)-LEN(SUBSTITUTE($G2066,"-",""))),"-"," ",LEN($G2066)-LEN(SUBSTITUTE($G2066,"-",""))-1),".",""))))),$G2066)))</f>
        <v/>
      </c>
    </row>
    <row r="2067">
      <c r="A2067" s="58" t="n"/>
      <c r="B2067" s="58">
        <f>IF($H2067="","",LEFT($H2067,FIND(" ",$H2067&amp;" ")-1))</f>
        <v/>
      </c>
      <c r="C2067" s="58">
        <f>IF($H2067="","",IFERROR(MID($H2067&amp;" ",FIND("|",SUBSTITUTE($H2067&amp;" "," ","|",1))+1,FIND("|",SUBSTITUTE($H2067&amp;" "," ","|",2))-FIND("|",SUBSTITUTE($H2067&amp;" "," ","|",1))-1),""))</f>
        <v/>
      </c>
      <c r="D2067" s="58">
        <f>IF($H2067="","",IFERROR(MID($H2067&amp;" ",FIND("|",SUBSTITUTE($H2067&amp;" "," ","|",2))+1,FIND("|",SUBSTITUTE($H2067&amp;" "," ","|",3))-FIND("|",SUBSTITUTE($H2067&amp;" "," ","|",2))-1),""))</f>
        <v/>
      </c>
      <c r="E2067" s="58">
        <f>IF($H2067="","",IFERROR(MID($H2067&amp;" ",FIND("|",SUBSTITUTE($H2067&amp;" "," ","|",3))+1,FIND("|",SUBSTITUTE($H2067&amp;" "," ","|",4))-FIND("|",SUBSTITUTE($H2067&amp;" "," ","|",3))-1),""))</f>
        <v/>
      </c>
      <c r="F2067" s="59">
        <f>IF($H2067="","",IFERROR(VALUE(IFERROR(MID($H2067&amp;" ",FIND("|",SUBSTITUTE($H2067&amp;" "," ","|",4))+1,FIND("|",SUBSTITUTE($H2067&amp;" "," ","|",5))-FIND("|",SUBSTITUTE($H2067&amp;" "," ","|",4))-1),""))/86400+25569+9/24,""))</f>
        <v/>
      </c>
      <c r="G2067" s="58">
        <f>TRIM(SUBSTITUTE(SUBSTITUTE(SUBSTITUTE($A2067,CHAR(9)," ")," "," "),CHAR(13),""))</f>
        <v/>
      </c>
      <c r="H2067" s="58">
        <f>IF($G2067="","",IF(ISNUMBER(FIND(" ",$G2067)),$G2067,IFERROR(IF((LEN(SUBSTITUTE(SUBSTITUTE($G2067,"-"," ",LEN($G2067)-LEN(SUBSTITUTE($G2067,"-",""))),"-"," ",LEN($G2067)-LEN(SUBSTITUTE($G2067,"-",""))-1))-LEN(SUBSTITUTE(SUBSTITUTE(SUBSTITUTE($G2067,"-"," ",LEN($G2067)-LEN(SUBSTITUTE($G2067,"-",""))),"-"," ",LEN($G2067)-LEN(SUBSTITUTE($G2067,"-",""))-1),".","")))=0,SUBSTITUTE(SUBSTITUTE($G2067,"-"," ",LEN($G2067)-LEN(SUBSTITUTE($G2067,"-",""))),"-"," ",LEN($G2067)-LEN(SUBSTITUTE($G2067,"-",""))-1),SUBSTITUTE(SUBSTITUTE(SUBSTITUTE($G2067,"-"," ",LEN($G2067)-LEN(SUBSTITUTE($G2067,"-",""))),"-"," ",LEN($G2067)-LEN(SUBSTITUTE($G2067,"-",""))-1),"."," ",(LEN(SUBSTITUTE(SUBSTITUTE($G2067,"-"," ",LEN($G2067)-LEN(SUBSTITUTE($G2067,"-",""))),"-"," ",LEN($G2067)-LEN(SUBSTITUTE($G2067,"-",""))-1))-LEN(SUBSTITUTE(SUBSTITUTE(SUBSTITUTE($G2067,"-"," ",LEN($G2067)-LEN(SUBSTITUTE($G2067,"-",""))),"-"," ",LEN($G2067)-LEN(SUBSTITUTE($G2067,"-",""))-1),".",""))))),$G2067)))</f>
        <v/>
      </c>
    </row>
    <row r="2068">
      <c r="A2068" s="58" t="n"/>
      <c r="B2068" s="58">
        <f>IF($H2068="","",LEFT($H2068,FIND(" ",$H2068&amp;" ")-1))</f>
        <v/>
      </c>
      <c r="C2068" s="58">
        <f>IF($H2068="","",IFERROR(MID($H2068&amp;" ",FIND("|",SUBSTITUTE($H2068&amp;" "," ","|",1))+1,FIND("|",SUBSTITUTE($H2068&amp;" "," ","|",2))-FIND("|",SUBSTITUTE($H2068&amp;" "," ","|",1))-1),""))</f>
        <v/>
      </c>
      <c r="D2068" s="58">
        <f>IF($H2068="","",IFERROR(MID($H2068&amp;" ",FIND("|",SUBSTITUTE($H2068&amp;" "," ","|",2))+1,FIND("|",SUBSTITUTE($H2068&amp;" "," ","|",3))-FIND("|",SUBSTITUTE($H2068&amp;" "," ","|",2))-1),""))</f>
        <v/>
      </c>
      <c r="E2068" s="58">
        <f>IF($H2068="","",IFERROR(MID($H2068&amp;" ",FIND("|",SUBSTITUTE($H2068&amp;" "," ","|",3))+1,FIND("|",SUBSTITUTE($H2068&amp;" "," ","|",4))-FIND("|",SUBSTITUTE($H2068&amp;" "," ","|",3))-1),""))</f>
        <v/>
      </c>
      <c r="F2068" s="59">
        <f>IF($H2068="","",IFERROR(VALUE(IFERROR(MID($H2068&amp;" ",FIND("|",SUBSTITUTE($H2068&amp;" "," ","|",4))+1,FIND("|",SUBSTITUTE($H2068&amp;" "," ","|",5))-FIND("|",SUBSTITUTE($H2068&amp;" "," ","|",4))-1),""))/86400+25569+9/24,""))</f>
        <v/>
      </c>
      <c r="G2068" s="58">
        <f>TRIM(SUBSTITUTE(SUBSTITUTE(SUBSTITUTE($A2068,CHAR(9)," ")," "," "),CHAR(13),""))</f>
        <v/>
      </c>
      <c r="H2068" s="58">
        <f>IF($G2068="","",IF(ISNUMBER(FIND(" ",$G2068)),$G2068,IFERROR(IF((LEN(SUBSTITUTE(SUBSTITUTE($G2068,"-"," ",LEN($G2068)-LEN(SUBSTITUTE($G2068,"-",""))),"-"," ",LEN($G2068)-LEN(SUBSTITUTE($G2068,"-",""))-1))-LEN(SUBSTITUTE(SUBSTITUTE(SUBSTITUTE($G2068,"-"," ",LEN($G2068)-LEN(SUBSTITUTE($G2068,"-",""))),"-"," ",LEN($G2068)-LEN(SUBSTITUTE($G2068,"-",""))-1),".","")))=0,SUBSTITUTE(SUBSTITUTE($G2068,"-"," ",LEN($G2068)-LEN(SUBSTITUTE($G2068,"-",""))),"-"," ",LEN($G2068)-LEN(SUBSTITUTE($G2068,"-",""))-1),SUBSTITUTE(SUBSTITUTE(SUBSTITUTE($G2068,"-"," ",LEN($G2068)-LEN(SUBSTITUTE($G2068,"-",""))),"-"," ",LEN($G2068)-LEN(SUBSTITUTE($G2068,"-",""))-1),"."," ",(LEN(SUBSTITUTE(SUBSTITUTE($G2068,"-"," ",LEN($G2068)-LEN(SUBSTITUTE($G2068,"-",""))),"-"," ",LEN($G2068)-LEN(SUBSTITUTE($G2068,"-",""))-1))-LEN(SUBSTITUTE(SUBSTITUTE(SUBSTITUTE($G2068,"-"," ",LEN($G2068)-LEN(SUBSTITUTE($G2068,"-",""))),"-"," ",LEN($G2068)-LEN(SUBSTITUTE($G2068,"-",""))-1),".",""))))),$G2068)))</f>
        <v/>
      </c>
    </row>
    <row r="2069">
      <c r="A2069" s="58" t="n"/>
      <c r="B2069" s="58">
        <f>IF($H2069="","",LEFT($H2069,FIND(" ",$H2069&amp;" ")-1))</f>
        <v/>
      </c>
      <c r="C2069" s="58">
        <f>IF($H2069="","",IFERROR(MID($H2069&amp;" ",FIND("|",SUBSTITUTE($H2069&amp;" "," ","|",1))+1,FIND("|",SUBSTITUTE($H2069&amp;" "," ","|",2))-FIND("|",SUBSTITUTE($H2069&amp;" "," ","|",1))-1),""))</f>
        <v/>
      </c>
      <c r="D2069" s="58">
        <f>IF($H2069="","",IFERROR(MID($H2069&amp;" ",FIND("|",SUBSTITUTE($H2069&amp;" "," ","|",2))+1,FIND("|",SUBSTITUTE($H2069&amp;" "," ","|",3))-FIND("|",SUBSTITUTE($H2069&amp;" "," ","|",2))-1),""))</f>
        <v/>
      </c>
      <c r="E2069" s="58">
        <f>IF($H2069="","",IFERROR(MID($H2069&amp;" ",FIND("|",SUBSTITUTE($H2069&amp;" "," ","|",3))+1,FIND("|",SUBSTITUTE($H2069&amp;" "," ","|",4))-FIND("|",SUBSTITUTE($H2069&amp;" "," ","|",3))-1),""))</f>
        <v/>
      </c>
      <c r="F2069" s="59">
        <f>IF($H2069="","",IFERROR(VALUE(IFERROR(MID($H2069&amp;" ",FIND("|",SUBSTITUTE($H2069&amp;" "," ","|",4))+1,FIND("|",SUBSTITUTE($H2069&amp;" "," ","|",5))-FIND("|",SUBSTITUTE($H2069&amp;" "," ","|",4))-1),""))/86400+25569+9/24,""))</f>
        <v/>
      </c>
      <c r="G2069" s="58">
        <f>TRIM(SUBSTITUTE(SUBSTITUTE(SUBSTITUTE($A2069,CHAR(9)," ")," "," "),CHAR(13),""))</f>
        <v/>
      </c>
      <c r="H2069" s="58">
        <f>IF($G2069="","",IF(ISNUMBER(FIND(" ",$G2069)),$G2069,IFERROR(IF((LEN(SUBSTITUTE(SUBSTITUTE($G2069,"-"," ",LEN($G2069)-LEN(SUBSTITUTE($G2069,"-",""))),"-"," ",LEN($G2069)-LEN(SUBSTITUTE($G2069,"-",""))-1))-LEN(SUBSTITUTE(SUBSTITUTE(SUBSTITUTE($G2069,"-"," ",LEN($G2069)-LEN(SUBSTITUTE($G2069,"-",""))),"-"," ",LEN($G2069)-LEN(SUBSTITUTE($G2069,"-",""))-1),".","")))=0,SUBSTITUTE(SUBSTITUTE($G2069,"-"," ",LEN($G2069)-LEN(SUBSTITUTE($G2069,"-",""))),"-"," ",LEN($G2069)-LEN(SUBSTITUTE($G2069,"-",""))-1),SUBSTITUTE(SUBSTITUTE(SUBSTITUTE($G2069,"-"," ",LEN($G2069)-LEN(SUBSTITUTE($G2069,"-",""))),"-"," ",LEN($G2069)-LEN(SUBSTITUTE($G2069,"-",""))-1),"."," ",(LEN(SUBSTITUTE(SUBSTITUTE($G2069,"-"," ",LEN($G2069)-LEN(SUBSTITUTE($G2069,"-",""))),"-"," ",LEN($G2069)-LEN(SUBSTITUTE($G2069,"-",""))-1))-LEN(SUBSTITUTE(SUBSTITUTE(SUBSTITUTE($G2069,"-"," ",LEN($G2069)-LEN(SUBSTITUTE($G2069,"-",""))),"-"," ",LEN($G2069)-LEN(SUBSTITUTE($G2069,"-",""))-1),".",""))))),$G2069)))</f>
        <v/>
      </c>
    </row>
    <row r="2070">
      <c r="A2070" s="58" t="n"/>
      <c r="B2070" s="58">
        <f>IF($H2070="","",LEFT($H2070,FIND(" ",$H2070&amp;" ")-1))</f>
        <v/>
      </c>
      <c r="C2070" s="58">
        <f>IF($H2070="","",IFERROR(MID($H2070&amp;" ",FIND("|",SUBSTITUTE($H2070&amp;" "," ","|",1))+1,FIND("|",SUBSTITUTE($H2070&amp;" "," ","|",2))-FIND("|",SUBSTITUTE($H2070&amp;" "," ","|",1))-1),""))</f>
        <v/>
      </c>
      <c r="D2070" s="58">
        <f>IF($H2070="","",IFERROR(MID($H2070&amp;" ",FIND("|",SUBSTITUTE($H2070&amp;" "," ","|",2))+1,FIND("|",SUBSTITUTE($H2070&amp;" "," ","|",3))-FIND("|",SUBSTITUTE($H2070&amp;" "," ","|",2))-1),""))</f>
        <v/>
      </c>
      <c r="E2070" s="58">
        <f>IF($H2070="","",IFERROR(MID($H2070&amp;" ",FIND("|",SUBSTITUTE($H2070&amp;" "," ","|",3))+1,FIND("|",SUBSTITUTE($H2070&amp;" "," ","|",4))-FIND("|",SUBSTITUTE($H2070&amp;" "," ","|",3))-1),""))</f>
        <v/>
      </c>
      <c r="F2070" s="59">
        <f>IF($H2070="","",IFERROR(VALUE(IFERROR(MID($H2070&amp;" ",FIND("|",SUBSTITUTE($H2070&amp;" "," ","|",4))+1,FIND("|",SUBSTITUTE($H2070&amp;" "," ","|",5))-FIND("|",SUBSTITUTE($H2070&amp;" "," ","|",4))-1),""))/86400+25569+9/24,""))</f>
        <v/>
      </c>
      <c r="G2070" s="58">
        <f>TRIM(SUBSTITUTE(SUBSTITUTE(SUBSTITUTE($A2070,CHAR(9)," ")," "," "),CHAR(13),""))</f>
        <v/>
      </c>
      <c r="H2070" s="58">
        <f>IF($G2070="","",IF(ISNUMBER(FIND(" ",$G2070)),$G2070,IFERROR(IF((LEN(SUBSTITUTE(SUBSTITUTE($G2070,"-"," ",LEN($G2070)-LEN(SUBSTITUTE($G2070,"-",""))),"-"," ",LEN($G2070)-LEN(SUBSTITUTE($G2070,"-",""))-1))-LEN(SUBSTITUTE(SUBSTITUTE(SUBSTITUTE($G2070,"-"," ",LEN($G2070)-LEN(SUBSTITUTE($G2070,"-",""))),"-"," ",LEN($G2070)-LEN(SUBSTITUTE($G2070,"-",""))-1),".","")))=0,SUBSTITUTE(SUBSTITUTE($G2070,"-"," ",LEN($G2070)-LEN(SUBSTITUTE($G2070,"-",""))),"-"," ",LEN($G2070)-LEN(SUBSTITUTE($G2070,"-",""))-1),SUBSTITUTE(SUBSTITUTE(SUBSTITUTE($G2070,"-"," ",LEN($G2070)-LEN(SUBSTITUTE($G2070,"-",""))),"-"," ",LEN($G2070)-LEN(SUBSTITUTE($G2070,"-",""))-1),"."," ",(LEN(SUBSTITUTE(SUBSTITUTE($G2070,"-"," ",LEN($G2070)-LEN(SUBSTITUTE($G2070,"-",""))),"-"," ",LEN($G2070)-LEN(SUBSTITUTE($G2070,"-",""))-1))-LEN(SUBSTITUTE(SUBSTITUTE(SUBSTITUTE($G2070,"-"," ",LEN($G2070)-LEN(SUBSTITUTE($G2070,"-",""))),"-"," ",LEN($G2070)-LEN(SUBSTITUTE($G2070,"-",""))-1),".",""))))),$G2070)))</f>
        <v/>
      </c>
    </row>
    <row r="2071">
      <c r="A2071" s="58" t="n"/>
      <c r="B2071" s="58">
        <f>IF($H2071="","",LEFT($H2071,FIND(" ",$H2071&amp;" ")-1))</f>
        <v/>
      </c>
      <c r="C2071" s="58">
        <f>IF($H2071="","",IFERROR(MID($H2071&amp;" ",FIND("|",SUBSTITUTE($H2071&amp;" "," ","|",1))+1,FIND("|",SUBSTITUTE($H2071&amp;" "," ","|",2))-FIND("|",SUBSTITUTE($H2071&amp;" "," ","|",1))-1),""))</f>
        <v/>
      </c>
      <c r="D2071" s="58">
        <f>IF($H2071="","",IFERROR(MID($H2071&amp;" ",FIND("|",SUBSTITUTE($H2071&amp;" "," ","|",2))+1,FIND("|",SUBSTITUTE($H2071&amp;" "," ","|",3))-FIND("|",SUBSTITUTE($H2071&amp;" "," ","|",2))-1),""))</f>
        <v/>
      </c>
      <c r="E2071" s="58">
        <f>IF($H2071="","",IFERROR(MID($H2071&amp;" ",FIND("|",SUBSTITUTE($H2071&amp;" "," ","|",3))+1,FIND("|",SUBSTITUTE($H2071&amp;" "," ","|",4))-FIND("|",SUBSTITUTE($H2071&amp;" "," ","|",3))-1),""))</f>
        <v/>
      </c>
      <c r="F2071" s="59">
        <f>IF($H2071="","",IFERROR(VALUE(IFERROR(MID($H2071&amp;" ",FIND("|",SUBSTITUTE($H2071&amp;" "," ","|",4))+1,FIND("|",SUBSTITUTE($H2071&amp;" "," ","|",5))-FIND("|",SUBSTITUTE($H2071&amp;" "," ","|",4))-1),""))/86400+25569+9/24,""))</f>
        <v/>
      </c>
      <c r="G2071" s="58">
        <f>TRIM(SUBSTITUTE(SUBSTITUTE(SUBSTITUTE($A2071,CHAR(9)," ")," "," "),CHAR(13),""))</f>
        <v/>
      </c>
      <c r="H2071" s="58">
        <f>IF($G2071="","",IF(ISNUMBER(FIND(" ",$G2071)),$G2071,IFERROR(IF((LEN(SUBSTITUTE(SUBSTITUTE($G2071,"-"," ",LEN($G2071)-LEN(SUBSTITUTE($G2071,"-",""))),"-"," ",LEN($G2071)-LEN(SUBSTITUTE($G2071,"-",""))-1))-LEN(SUBSTITUTE(SUBSTITUTE(SUBSTITUTE($G2071,"-"," ",LEN($G2071)-LEN(SUBSTITUTE($G2071,"-",""))),"-"," ",LEN($G2071)-LEN(SUBSTITUTE($G2071,"-",""))-1),".","")))=0,SUBSTITUTE(SUBSTITUTE($G2071,"-"," ",LEN($G2071)-LEN(SUBSTITUTE($G2071,"-",""))),"-"," ",LEN($G2071)-LEN(SUBSTITUTE($G2071,"-",""))-1),SUBSTITUTE(SUBSTITUTE(SUBSTITUTE($G2071,"-"," ",LEN($G2071)-LEN(SUBSTITUTE($G2071,"-",""))),"-"," ",LEN($G2071)-LEN(SUBSTITUTE($G2071,"-",""))-1),"."," ",(LEN(SUBSTITUTE(SUBSTITUTE($G2071,"-"," ",LEN($G2071)-LEN(SUBSTITUTE($G2071,"-",""))),"-"," ",LEN($G2071)-LEN(SUBSTITUTE($G2071,"-",""))-1))-LEN(SUBSTITUTE(SUBSTITUTE(SUBSTITUTE($G2071,"-"," ",LEN($G2071)-LEN(SUBSTITUTE($G2071,"-",""))),"-"," ",LEN($G2071)-LEN(SUBSTITUTE($G2071,"-",""))-1),".",""))))),$G2071)))</f>
        <v/>
      </c>
    </row>
    <row r="2072">
      <c r="A2072" s="58" t="n"/>
      <c r="B2072" s="58">
        <f>IF($H2072="","",LEFT($H2072,FIND(" ",$H2072&amp;" ")-1))</f>
        <v/>
      </c>
      <c r="C2072" s="58">
        <f>IF($H2072="","",IFERROR(MID($H2072&amp;" ",FIND("|",SUBSTITUTE($H2072&amp;" "," ","|",1))+1,FIND("|",SUBSTITUTE($H2072&amp;" "," ","|",2))-FIND("|",SUBSTITUTE($H2072&amp;" "," ","|",1))-1),""))</f>
        <v/>
      </c>
      <c r="D2072" s="58">
        <f>IF($H2072="","",IFERROR(MID($H2072&amp;" ",FIND("|",SUBSTITUTE($H2072&amp;" "," ","|",2))+1,FIND("|",SUBSTITUTE($H2072&amp;" "," ","|",3))-FIND("|",SUBSTITUTE($H2072&amp;" "," ","|",2))-1),""))</f>
        <v/>
      </c>
      <c r="E2072" s="58">
        <f>IF($H2072="","",IFERROR(MID($H2072&amp;" ",FIND("|",SUBSTITUTE($H2072&amp;" "," ","|",3))+1,FIND("|",SUBSTITUTE($H2072&amp;" "," ","|",4))-FIND("|",SUBSTITUTE($H2072&amp;" "," ","|",3))-1),""))</f>
        <v/>
      </c>
      <c r="F2072" s="59">
        <f>IF($H2072="","",IFERROR(VALUE(IFERROR(MID($H2072&amp;" ",FIND("|",SUBSTITUTE($H2072&amp;" "," ","|",4))+1,FIND("|",SUBSTITUTE($H2072&amp;" "," ","|",5))-FIND("|",SUBSTITUTE($H2072&amp;" "," ","|",4))-1),""))/86400+25569+9/24,""))</f>
        <v/>
      </c>
      <c r="G2072" s="58">
        <f>TRIM(SUBSTITUTE(SUBSTITUTE(SUBSTITUTE($A2072,CHAR(9)," ")," "," "),CHAR(13),""))</f>
        <v/>
      </c>
      <c r="H2072" s="58">
        <f>IF($G2072="","",IF(ISNUMBER(FIND(" ",$G2072)),$G2072,IFERROR(IF((LEN(SUBSTITUTE(SUBSTITUTE($G2072,"-"," ",LEN($G2072)-LEN(SUBSTITUTE($G2072,"-",""))),"-"," ",LEN($G2072)-LEN(SUBSTITUTE($G2072,"-",""))-1))-LEN(SUBSTITUTE(SUBSTITUTE(SUBSTITUTE($G2072,"-"," ",LEN($G2072)-LEN(SUBSTITUTE($G2072,"-",""))),"-"," ",LEN($G2072)-LEN(SUBSTITUTE($G2072,"-",""))-1),".","")))=0,SUBSTITUTE(SUBSTITUTE($G2072,"-"," ",LEN($G2072)-LEN(SUBSTITUTE($G2072,"-",""))),"-"," ",LEN($G2072)-LEN(SUBSTITUTE($G2072,"-",""))-1),SUBSTITUTE(SUBSTITUTE(SUBSTITUTE($G2072,"-"," ",LEN($G2072)-LEN(SUBSTITUTE($G2072,"-",""))),"-"," ",LEN($G2072)-LEN(SUBSTITUTE($G2072,"-",""))-1),"."," ",(LEN(SUBSTITUTE(SUBSTITUTE($G2072,"-"," ",LEN($G2072)-LEN(SUBSTITUTE($G2072,"-",""))),"-"," ",LEN($G2072)-LEN(SUBSTITUTE($G2072,"-",""))-1))-LEN(SUBSTITUTE(SUBSTITUTE(SUBSTITUTE($G2072,"-"," ",LEN($G2072)-LEN(SUBSTITUTE($G2072,"-",""))),"-"," ",LEN($G2072)-LEN(SUBSTITUTE($G2072,"-",""))-1),".",""))))),$G2072)))</f>
        <v/>
      </c>
    </row>
    <row r="2073">
      <c r="A2073" s="58" t="n"/>
      <c r="B2073" s="58">
        <f>IF($H2073="","",LEFT($H2073,FIND(" ",$H2073&amp;" ")-1))</f>
        <v/>
      </c>
      <c r="C2073" s="58">
        <f>IF($H2073="","",IFERROR(MID($H2073&amp;" ",FIND("|",SUBSTITUTE($H2073&amp;" "," ","|",1))+1,FIND("|",SUBSTITUTE($H2073&amp;" "," ","|",2))-FIND("|",SUBSTITUTE($H2073&amp;" "," ","|",1))-1),""))</f>
        <v/>
      </c>
      <c r="D2073" s="58">
        <f>IF($H2073="","",IFERROR(MID($H2073&amp;" ",FIND("|",SUBSTITUTE($H2073&amp;" "," ","|",2))+1,FIND("|",SUBSTITUTE($H2073&amp;" "," ","|",3))-FIND("|",SUBSTITUTE($H2073&amp;" "," ","|",2))-1),""))</f>
        <v/>
      </c>
      <c r="E2073" s="58">
        <f>IF($H2073="","",IFERROR(MID($H2073&amp;" ",FIND("|",SUBSTITUTE($H2073&amp;" "," ","|",3))+1,FIND("|",SUBSTITUTE($H2073&amp;" "," ","|",4))-FIND("|",SUBSTITUTE($H2073&amp;" "," ","|",3))-1),""))</f>
        <v/>
      </c>
      <c r="F2073" s="59">
        <f>IF($H2073="","",IFERROR(VALUE(IFERROR(MID($H2073&amp;" ",FIND("|",SUBSTITUTE($H2073&amp;" "," ","|",4))+1,FIND("|",SUBSTITUTE($H2073&amp;" "," ","|",5))-FIND("|",SUBSTITUTE($H2073&amp;" "," ","|",4))-1),""))/86400+25569+9/24,""))</f>
        <v/>
      </c>
      <c r="G2073" s="58">
        <f>TRIM(SUBSTITUTE(SUBSTITUTE(SUBSTITUTE($A2073,CHAR(9)," ")," "," "),CHAR(13),""))</f>
        <v/>
      </c>
      <c r="H2073" s="58">
        <f>IF($G2073="","",IF(ISNUMBER(FIND(" ",$G2073)),$G2073,IFERROR(IF((LEN(SUBSTITUTE(SUBSTITUTE($G2073,"-"," ",LEN($G2073)-LEN(SUBSTITUTE($G2073,"-",""))),"-"," ",LEN($G2073)-LEN(SUBSTITUTE($G2073,"-",""))-1))-LEN(SUBSTITUTE(SUBSTITUTE(SUBSTITUTE($G2073,"-"," ",LEN($G2073)-LEN(SUBSTITUTE($G2073,"-",""))),"-"," ",LEN($G2073)-LEN(SUBSTITUTE($G2073,"-",""))-1),".","")))=0,SUBSTITUTE(SUBSTITUTE($G2073,"-"," ",LEN($G2073)-LEN(SUBSTITUTE($G2073,"-",""))),"-"," ",LEN($G2073)-LEN(SUBSTITUTE($G2073,"-",""))-1),SUBSTITUTE(SUBSTITUTE(SUBSTITUTE($G2073,"-"," ",LEN($G2073)-LEN(SUBSTITUTE($G2073,"-",""))),"-"," ",LEN($G2073)-LEN(SUBSTITUTE($G2073,"-",""))-1),"."," ",(LEN(SUBSTITUTE(SUBSTITUTE($G2073,"-"," ",LEN($G2073)-LEN(SUBSTITUTE($G2073,"-",""))),"-"," ",LEN($G2073)-LEN(SUBSTITUTE($G2073,"-",""))-1))-LEN(SUBSTITUTE(SUBSTITUTE(SUBSTITUTE($G2073,"-"," ",LEN($G2073)-LEN(SUBSTITUTE($G2073,"-",""))),"-"," ",LEN($G2073)-LEN(SUBSTITUTE($G2073,"-",""))-1),".",""))))),$G2073)))</f>
        <v/>
      </c>
    </row>
    <row r="2074">
      <c r="A2074" s="58" t="n"/>
      <c r="B2074" s="58">
        <f>IF($H2074="","",LEFT($H2074,FIND(" ",$H2074&amp;" ")-1))</f>
        <v/>
      </c>
      <c r="C2074" s="58">
        <f>IF($H2074="","",IFERROR(MID($H2074&amp;" ",FIND("|",SUBSTITUTE($H2074&amp;" "," ","|",1))+1,FIND("|",SUBSTITUTE($H2074&amp;" "," ","|",2))-FIND("|",SUBSTITUTE($H2074&amp;" "," ","|",1))-1),""))</f>
        <v/>
      </c>
      <c r="D2074" s="58">
        <f>IF($H2074="","",IFERROR(MID($H2074&amp;" ",FIND("|",SUBSTITUTE($H2074&amp;" "," ","|",2))+1,FIND("|",SUBSTITUTE($H2074&amp;" "," ","|",3))-FIND("|",SUBSTITUTE($H2074&amp;" "," ","|",2))-1),""))</f>
        <v/>
      </c>
      <c r="E2074" s="58">
        <f>IF($H2074="","",IFERROR(MID($H2074&amp;" ",FIND("|",SUBSTITUTE($H2074&amp;" "," ","|",3))+1,FIND("|",SUBSTITUTE($H2074&amp;" "," ","|",4))-FIND("|",SUBSTITUTE($H2074&amp;" "," ","|",3))-1),""))</f>
        <v/>
      </c>
      <c r="F2074" s="59">
        <f>IF($H2074="","",IFERROR(VALUE(IFERROR(MID($H2074&amp;" ",FIND("|",SUBSTITUTE($H2074&amp;" "," ","|",4))+1,FIND("|",SUBSTITUTE($H2074&amp;" "," ","|",5))-FIND("|",SUBSTITUTE($H2074&amp;" "," ","|",4))-1),""))/86400+25569+9/24,""))</f>
        <v/>
      </c>
      <c r="G2074" s="58">
        <f>TRIM(SUBSTITUTE(SUBSTITUTE(SUBSTITUTE($A2074,CHAR(9)," ")," "," "),CHAR(13),""))</f>
        <v/>
      </c>
      <c r="H2074" s="58">
        <f>IF($G2074="","",IF(ISNUMBER(FIND(" ",$G2074)),$G2074,IFERROR(IF((LEN(SUBSTITUTE(SUBSTITUTE($G2074,"-"," ",LEN($G2074)-LEN(SUBSTITUTE($G2074,"-",""))),"-"," ",LEN($G2074)-LEN(SUBSTITUTE($G2074,"-",""))-1))-LEN(SUBSTITUTE(SUBSTITUTE(SUBSTITUTE($G2074,"-"," ",LEN($G2074)-LEN(SUBSTITUTE($G2074,"-",""))),"-"," ",LEN($G2074)-LEN(SUBSTITUTE($G2074,"-",""))-1),".","")))=0,SUBSTITUTE(SUBSTITUTE($G2074,"-"," ",LEN($G2074)-LEN(SUBSTITUTE($G2074,"-",""))),"-"," ",LEN($G2074)-LEN(SUBSTITUTE($G2074,"-",""))-1),SUBSTITUTE(SUBSTITUTE(SUBSTITUTE($G2074,"-"," ",LEN($G2074)-LEN(SUBSTITUTE($G2074,"-",""))),"-"," ",LEN($G2074)-LEN(SUBSTITUTE($G2074,"-",""))-1),"."," ",(LEN(SUBSTITUTE(SUBSTITUTE($G2074,"-"," ",LEN($G2074)-LEN(SUBSTITUTE($G2074,"-",""))),"-"," ",LEN($G2074)-LEN(SUBSTITUTE($G2074,"-",""))-1))-LEN(SUBSTITUTE(SUBSTITUTE(SUBSTITUTE($G2074,"-"," ",LEN($G2074)-LEN(SUBSTITUTE($G2074,"-",""))),"-"," ",LEN($G2074)-LEN(SUBSTITUTE($G2074,"-",""))-1),".",""))))),$G2074)))</f>
        <v/>
      </c>
    </row>
    <row r="2075">
      <c r="A2075" s="58" t="n"/>
      <c r="B2075" s="58">
        <f>IF($H2075="","",LEFT($H2075,FIND(" ",$H2075&amp;" ")-1))</f>
        <v/>
      </c>
      <c r="C2075" s="58">
        <f>IF($H2075="","",IFERROR(MID($H2075&amp;" ",FIND("|",SUBSTITUTE($H2075&amp;" "," ","|",1))+1,FIND("|",SUBSTITUTE($H2075&amp;" "," ","|",2))-FIND("|",SUBSTITUTE($H2075&amp;" "," ","|",1))-1),""))</f>
        <v/>
      </c>
      <c r="D2075" s="58">
        <f>IF($H2075="","",IFERROR(MID($H2075&amp;" ",FIND("|",SUBSTITUTE($H2075&amp;" "," ","|",2))+1,FIND("|",SUBSTITUTE($H2075&amp;" "," ","|",3))-FIND("|",SUBSTITUTE($H2075&amp;" "," ","|",2))-1),""))</f>
        <v/>
      </c>
      <c r="E2075" s="58">
        <f>IF($H2075="","",IFERROR(MID($H2075&amp;" ",FIND("|",SUBSTITUTE($H2075&amp;" "," ","|",3))+1,FIND("|",SUBSTITUTE($H2075&amp;" "," ","|",4))-FIND("|",SUBSTITUTE($H2075&amp;" "," ","|",3))-1),""))</f>
        <v/>
      </c>
      <c r="F2075" s="59">
        <f>IF($H2075="","",IFERROR(VALUE(IFERROR(MID($H2075&amp;" ",FIND("|",SUBSTITUTE($H2075&amp;" "," ","|",4))+1,FIND("|",SUBSTITUTE($H2075&amp;" "," ","|",5))-FIND("|",SUBSTITUTE($H2075&amp;" "," ","|",4))-1),""))/86400+25569+9/24,""))</f>
        <v/>
      </c>
      <c r="G2075" s="58">
        <f>TRIM(SUBSTITUTE(SUBSTITUTE(SUBSTITUTE($A2075,CHAR(9)," ")," "," "),CHAR(13),""))</f>
        <v/>
      </c>
      <c r="H2075" s="58">
        <f>IF($G2075="","",IF(ISNUMBER(FIND(" ",$G2075)),$G2075,IFERROR(IF((LEN(SUBSTITUTE(SUBSTITUTE($G2075,"-"," ",LEN($G2075)-LEN(SUBSTITUTE($G2075,"-",""))),"-"," ",LEN($G2075)-LEN(SUBSTITUTE($G2075,"-",""))-1))-LEN(SUBSTITUTE(SUBSTITUTE(SUBSTITUTE($G2075,"-"," ",LEN($G2075)-LEN(SUBSTITUTE($G2075,"-",""))),"-"," ",LEN($G2075)-LEN(SUBSTITUTE($G2075,"-",""))-1),".","")))=0,SUBSTITUTE(SUBSTITUTE($G2075,"-"," ",LEN($G2075)-LEN(SUBSTITUTE($G2075,"-",""))),"-"," ",LEN($G2075)-LEN(SUBSTITUTE($G2075,"-",""))-1),SUBSTITUTE(SUBSTITUTE(SUBSTITUTE($G2075,"-"," ",LEN($G2075)-LEN(SUBSTITUTE($G2075,"-",""))),"-"," ",LEN($G2075)-LEN(SUBSTITUTE($G2075,"-",""))-1),"."," ",(LEN(SUBSTITUTE(SUBSTITUTE($G2075,"-"," ",LEN($G2075)-LEN(SUBSTITUTE($G2075,"-",""))),"-"," ",LEN($G2075)-LEN(SUBSTITUTE($G2075,"-",""))-1))-LEN(SUBSTITUTE(SUBSTITUTE(SUBSTITUTE($G2075,"-"," ",LEN($G2075)-LEN(SUBSTITUTE($G2075,"-",""))),"-"," ",LEN($G2075)-LEN(SUBSTITUTE($G2075,"-",""))-1),".",""))))),$G2075)))</f>
        <v/>
      </c>
    </row>
    <row r="2076">
      <c r="A2076" s="58" t="n"/>
      <c r="B2076" s="58">
        <f>IF($H2076="","",LEFT($H2076,FIND(" ",$H2076&amp;" ")-1))</f>
        <v/>
      </c>
      <c r="C2076" s="58">
        <f>IF($H2076="","",IFERROR(MID($H2076&amp;" ",FIND("|",SUBSTITUTE($H2076&amp;" "," ","|",1))+1,FIND("|",SUBSTITUTE($H2076&amp;" "," ","|",2))-FIND("|",SUBSTITUTE($H2076&amp;" "," ","|",1))-1),""))</f>
        <v/>
      </c>
      <c r="D2076" s="58">
        <f>IF($H2076="","",IFERROR(MID($H2076&amp;" ",FIND("|",SUBSTITUTE($H2076&amp;" "," ","|",2))+1,FIND("|",SUBSTITUTE($H2076&amp;" "," ","|",3))-FIND("|",SUBSTITUTE($H2076&amp;" "," ","|",2))-1),""))</f>
        <v/>
      </c>
      <c r="E2076" s="58">
        <f>IF($H2076="","",IFERROR(MID($H2076&amp;" ",FIND("|",SUBSTITUTE($H2076&amp;" "," ","|",3))+1,FIND("|",SUBSTITUTE($H2076&amp;" "," ","|",4))-FIND("|",SUBSTITUTE($H2076&amp;" "," ","|",3))-1),""))</f>
        <v/>
      </c>
      <c r="F2076" s="59">
        <f>IF($H2076="","",IFERROR(VALUE(IFERROR(MID($H2076&amp;" ",FIND("|",SUBSTITUTE($H2076&amp;" "," ","|",4))+1,FIND("|",SUBSTITUTE($H2076&amp;" "," ","|",5))-FIND("|",SUBSTITUTE($H2076&amp;" "," ","|",4))-1),""))/86400+25569+9/24,""))</f>
        <v/>
      </c>
      <c r="G2076" s="58">
        <f>TRIM(SUBSTITUTE(SUBSTITUTE(SUBSTITUTE($A2076,CHAR(9)," ")," "," "),CHAR(13),""))</f>
        <v/>
      </c>
      <c r="H2076" s="58">
        <f>IF($G2076="","",IF(ISNUMBER(FIND(" ",$G2076)),$G2076,IFERROR(IF((LEN(SUBSTITUTE(SUBSTITUTE($G2076,"-"," ",LEN($G2076)-LEN(SUBSTITUTE($G2076,"-",""))),"-"," ",LEN($G2076)-LEN(SUBSTITUTE($G2076,"-",""))-1))-LEN(SUBSTITUTE(SUBSTITUTE(SUBSTITUTE($G2076,"-"," ",LEN($G2076)-LEN(SUBSTITUTE($G2076,"-",""))),"-"," ",LEN($G2076)-LEN(SUBSTITUTE($G2076,"-",""))-1),".","")))=0,SUBSTITUTE(SUBSTITUTE($G2076,"-"," ",LEN($G2076)-LEN(SUBSTITUTE($G2076,"-",""))),"-"," ",LEN($G2076)-LEN(SUBSTITUTE($G2076,"-",""))-1),SUBSTITUTE(SUBSTITUTE(SUBSTITUTE($G2076,"-"," ",LEN($G2076)-LEN(SUBSTITUTE($G2076,"-",""))),"-"," ",LEN($G2076)-LEN(SUBSTITUTE($G2076,"-",""))-1),"."," ",(LEN(SUBSTITUTE(SUBSTITUTE($G2076,"-"," ",LEN($G2076)-LEN(SUBSTITUTE($G2076,"-",""))),"-"," ",LEN($G2076)-LEN(SUBSTITUTE($G2076,"-",""))-1))-LEN(SUBSTITUTE(SUBSTITUTE(SUBSTITUTE($G2076,"-"," ",LEN($G2076)-LEN(SUBSTITUTE($G2076,"-",""))),"-"," ",LEN($G2076)-LEN(SUBSTITUTE($G2076,"-",""))-1),".",""))))),$G2076)))</f>
        <v/>
      </c>
    </row>
    <row r="2077">
      <c r="A2077" s="58" t="n"/>
      <c r="B2077" s="58">
        <f>IF($H2077="","",LEFT($H2077,FIND(" ",$H2077&amp;" ")-1))</f>
        <v/>
      </c>
      <c r="C2077" s="58">
        <f>IF($H2077="","",IFERROR(MID($H2077&amp;" ",FIND("|",SUBSTITUTE($H2077&amp;" "," ","|",1))+1,FIND("|",SUBSTITUTE($H2077&amp;" "," ","|",2))-FIND("|",SUBSTITUTE($H2077&amp;" "," ","|",1))-1),""))</f>
        <v/>
      </c>
      <c r="D2077" s="58">
        <f>IF($H2077="","",IFERROR(MID($H2077&amp;" ",FIND("|",SUBSTITUTE($H2077&amp;" "," ","|",2))+1,FIND("|",SUBSTITUTE($H2077&amp;" "," ","|",3))-FIND("|",SUBSTITUTE($H2077&amp;" "," ","|",2))-1),""))</f>
        <v/>
      </c>
      <c r="E2077" s="58">
        <f>IF($H2077="","",IFERROR(MID($H2077&amp;" ",FIND("|",SUBSTITUTE($H2077&amp;" "," ","|",3))+1,FIND("|",SUBSTITUTE($H2077&amp;" "," ","|",4))-FIND("|",SUBSTITUTE($H2077&amp;" "," ","|",3))-1),""))</f>
        <v/>
      </c>
      <c r="F2077" s="59">
        <f>IF($H2077="","",IFERROR(VALUE(IFERROR(MID($H2077&amp;" ",FIND("|",SUBSTITUTE($H2077&amp;" "," ","|",4))+1,FIND("|",SUBSTITUTE($H2077&amp;" "," ","|",5))-FIND("|",SUBSTITUTE($H2077&amp;" "," ","|",4))-1),""))/86400+25569+9/24,""))</f>
        <v/>
      </c>
      <c r="G2077" s="58">
        <f>TRIM(SUBSTITUTE(SUBSTITUTE(SUBSTITUTE($A2077,CHAR(9)," ")," "," "),CHAR(13),""))</f>
        <v/>
      </c>
      <c r="H2077" s="58">
        <f>IF($G2077="","",IF(ISNUMBER(FIND(" ",$G2077)),$G2077,IFERROR(IF((LEN(SUBSTITUTE(SUBSTITUTE($G2077,"-"," ",LEN($G2077)-LEN(SUBSTITUTE($G2077,"-",""))),"-"," ",LEN($G2077)-LEN(SUBSTITUTE($G2077,"-",""))-1))-LEN(SUBSTITUTE(SUBSTITUTE(SUBSTITUTE($G2077,"-"," ",LEN($G2077)-LEN(SUBSTITUTE($G2077,"-",""))),"-"," ",LEN($G2077)-LEN(SUBSTITUTE($G2077,"-",""))-1),".","")))=0,SUBSTITUTE(SUBSTITUTE($G2077,"-"," ",LEN($G2077)-LEN(SUBSTITUTE($G2077,"-",""))),"-"," ",LEN($G2077)-LEN(SUBSTITUTE($G2077,"-",""))-1),SUBSTITUTE(SUBSTITUTE(SUBSTITUTE($G2077,"-"," ",LEN($G2077)-LEN(SUBSTITUTE($G2077,"-",""))),"-"," ",LEN($G2077)-LEN(SUBSTITUTE($G2077,"-",""))-1),"."," ",(LEN(SUBSTITUTE(SUBSTITUTE($G2077,"-"," ",LEN($G2077)-LEN(SUBSTITUTE($G2077,"-",""))),"-"," ",LEN($G2077)-LEN(SUBSTITUTE($G2077,"-",""))-1))-LEN(SUBSTITUTE(SUBSTITUTE(SUBSTITUTE($G2077,"-"," ",LEN($G2077)-LEN(SUBSTITUTE($G2077,"-",""))),"-"," ",LEN($G2077)-LEN(SUBSTITUTE($G2077,"-",""))-1),".",""))))),$G2077)))</f>
        <v/>
      </c>
    </row>
    <row r="2078">
      <c r="A2078" s="58" t="n"/>
      <c r="B2078" s="58">
        <f>IF($H2078="","",LEFT($H2078,FIND(" ",$H2078&amp;" ")-1))</f>
        <v/>
      </c>
      <c r="C2078" s="58">
        <f>IF($H2078="","",IFERROR(MID($H2078&amp;" ",FIND("|",SUBSTITUTE($H2078&amp;" "," ","|",1))+1,FIND("|",SUBSTITUTE($H2078&amp;" "," ","|",2))-FIND("|",SUBSTITUTE($H2078&amp;" "," ","|",1))-1),""))</f>
        <v/>
      </c>
      <c r="D2078" s="58">
        <f>IF($H2078="","",IFERROR(MID($H2078&amp;" ",FIND("|",SUBSTITUTE($H2078&amp;" "," ","|",2))+1,FIND("|",SUBSTITUTE($H2078&amp;" "," ","|",3))-FIND("|",SUBSTITUTE($H2078&amp;" "," ","|",2))-1),""))</f>
        <v/>
      </c>
      <c r="E2078" s="58">
        <f>IF($H2078="","",IFERROR(MID($H2078&amp;" ",FIND("|",SUBSTITUTE($H2078&amp;" "," ","|",3))+1,FIND("|",SUBSTITUTE($H2078&amp;" "," ","|",4))-FIND("|",SUBSTITUTE($H2078&amp;" "," ","|",3))-1),""))</f>
        <v/>
      </c>
      <c r="F2078" s="59">
        <f>IF($H2078="","",IFERROR(VALUE(IFERROR(MID($H2078&amp;" ",FIND("|",SUBSTITUTE($H2078&amp;" "," ","|",4))+1,FIND("|",SUBSTITUTE($H2078&amp;" "," ","|",5))-FIND("|",SUBSTITUTE($H2078&amp;" "," ","|",4))-1),""))/86400+25569+9/24,""))</f>
        <v/>
      </c>
      <c r="G2078" s="58">
        <f>TRIM(SUBSTITUTE(SUBSTITUTE(SUBSTITUTE($A2078,CHAR(9)," ")," "," "),CHAR(13),""))</f>
        <v/>
      </c>
      <c r="H2078" s="58">
        <f>IF($G2078="","",IF(ISNUMBER(FIND(" ",$G2078)),$G2078,IFERROR(IF((LEN(SUBSTITUTE(SUBSTITUTE($G2078,"-"," ",LEN($G2078)-LEN(SUBSTITUTE($G2078,"-",""))),"-"," ",LEN($G2078)-LEN(SUBSTITUTE($G2078,"-",""))-1))-LEN(SUBSTITUTE(SUBSTITUTE(SUBSTITUTE($G2078,"-"," ",LEN($G2078)-LEN(SUBSTITUTE($G2078,"-",""))),"-"," ",LEN($G2078)-LEN(SUBSTITUTE($G2078,"-",""))-1),".","")))=0,SUBSTITUTE(SUBSTITUTE($G2078,"-"," ",LEN($G2078)-LEN(SUBSTITUTE($G2078,"-",""))),"-"," ",LEN($G2078)-LEN(SUBSTITUTE($G2078,"-",""))-1),SUBSTITUTE(SUBSTITUTE(SUBSTITUTE($G2078,"-"," ",LEN($G2078)-LEN(SUBSTITUTE($G2078,"-",""))),"-"," ",LEN($G2078)-LEN(SUBSTITUTE($G2078,"-",""))-1),"."," ",(LEN(SUBSTITUTE(SUBSTITUTE($G2078,"-"," ",LEN($G2078)-LEN(SUBSTITUTE($G2078,"-",""))),"-"," ",LEN($G2078)-LEN(SUBSTITUTE($G2078,"-",""))-1))-LEN(SUBSTITUTE(SUBSTITUTE(SUBSTITUTE($G2078,"-"," ",LEN($G2078)-LEN(SUBSTITUTE($G2078,"-",""))),"-"," ",LEN($G2078)-LEN(SUBSTITUTE($G2078,"-",""))-1),".",""))))),$G2078)))</f>
        <v/>
      </c>
    </row>
    <row r="2079">
      <c r="A2079" s="58" t="n"/>
      <c r="B2079" s="58">
        <f>IF($H2079="","",LEFT($H2079,FIND(" ",$H2079&amp;" ")-1))</f>
        <v/>
      </c>
      <c r="C2079" s="58">
        <f>IF($H2079="","",IFERROR(MID($H2079&amp;" ",FIND("|",SUBSTITUTE($H2079&amp;" "," ","|",1))+1,FIND("|",SUBSTITUTE($H2079&amp;" "," ","|",2))-FIND("|",SUBSTITUTE($H2079&amp;" "," ","|",1))-1),""))</f>
        <v/>
      </c>
      <c r="D2079" s="58">
        <f>IF($H2079="","",IFERROR(MID($H2079&amp;" ",FIND("|",SUBSTITUTE($H2079&amp;" "," ","|",2))+1,FIND("|",SUBSTITUTE($H2079&amp;" "," ","|",3))-FIND("|",SUBSTITUTE($H2079&amp;" "," ","|",2))-1),""))</f>
        <v/>
      </c>
      <c r="E2079" s="58">
        <f>IF($H2079="","",IFERROR(MID($H2079&amp;" ",FIND("|",SUBSTITUTE($H2079&amp;" "," ","|",3))+1,FIND("|",SUBSTITUTE($H2079&amp;" "," ","|",4))-FIND("|",SUBSTITUTE($H2079&amp;" "," ","|",3))-1),""))</f>
        <v/>
      </c>
      <c r="F2079" s="59">
        <f>IF($H2079="","",IFERROR(VALUE(IFERROR(MID($H2079&amp;" ",FIND("|",SUBSTITUTE($H2079&amp;" "," ","|",4))+1,FIND("|",SUBSTITUTE($H2079&amp;" "," ","|",5))-FIND("|",SUBSTITUTE($H2079&amp;" "," ","|",4))-1),""))/86400+25569+9/24,""))</f>
        <v/>
      </c>
      <c r="G2079" s="58">
        <f>TRIM(SUBSTITUTE(SUBSTITUTE(SUBSTITUTE($A2079,CHAR(9)," ")," "," "),CHAR(13),""))</f>
        <v/>
      </c>
      <c r="H2079" s="58">
        <f>IF($G2079="","",IF(ISNUMBER(FIND(" ",$G2079)),$G2079,IFERROR(IF((LEN(SUBSTITUTE(SUBSTITUTE($G2079,"-"," ",LEN($G2079)-LEN(SUBSTITUTE($G2079,"-",""))),"-"," ",LEN($G2079)-LEN(SUBSTITUTE($G2079,"-",""))-1))-LEN(SUBSTITUTE(SUBSTITUTE(SUBSTITUTE($G2079,"-"," ",LEN($G2079)-LEN(SUBSTITUTE($G2079,"-",""))),"-"," ",LEN($G2079)-LEN(SUBSTITUTE($G2079,"-",""))-1),".","")))=0,SUBSTITUTE(SUBSTITUTE($G2079,"-"," ",LEN($G2079)-LEN(SUBSTITUTE($G2079,"-",""))),"-"," ",LEN($G2079)-LEN(SUBSTITUTE($G2079,"-",""))-1),SUBSTITUTE(SUBSTITUTE(SUBSTITUTE($G2079,"-"," ",LEN($G2079)-LEN(SUBSTITUTE($G2079,"-",""))),"-"," ",LEN($G2079)-LEN(SUBSTITUTE($G2079,"-",""))-1),"."," ",(LEN(SUBSTITUTE(SUBSTITUTE($G2079,"-"," ",LEN($G2079)-LEN(SUBSTITUTE($G2079,"-",""))),"-"," ",LEN($G2079)-LEN(SUBSTITUTE($G2079,"-",""))-1))-LEN(SUBSTITUTE(SUBSTITUTE(SUBSTITUTE($G2079,"-"," ",LEN($G2079)-LEN(SUBSTITUTE($G2079,"-",""))),"-"," ",LEN($G2079)-LEN(SUBSTITUTE($G2079,"-",""))-1),".",""))))),$G2079)))</f>
        <v/>
      </c>
    </row>
    <row r="2080">
      <c r="A2080" s="58" t="n"/>
      <c r="B2080" s="58">
        <f>IF($H2080="","",LEFT($H2080,FIND(" ",$H2080&amp;" ")-1))</f>
        <v/>
      </c>
      <c r="C2080" s="58">
        <f>IF($H2080="","",IFERROR(MID($H2080&amp;" ",FIND("|",SUBSTITUTE($H2080&amp;" "," ","|",1))+1,FIND("|",SUBSTITUTE($H2080&amp;" "," ","|",2))-FIND("|",SUBSTITUTE($H2080&amp;" "," ","|",1))-1),""))</f>
        <v/>
      </c>
      <c r="D2080" s="58">
        <f>IF($H2080="","",IFERROR(MID($H2080&amp;" ",FIND("|",SUBSTITUTE($H2080&amp;" "," ","|",2))+1,FIND("|",SUBSTITUTE($H2080&amp;" "," ","|",3))-FIND("|",SUBSTITUTE($H2080&amp;" "," ","|",2))-1),""))</f>
        <v/>
      </c>
      <c r="E2080" s="58">
        <f>IF($H2080="","",IFERROR(MID($H2080&amp;" ",FIND("|",SUBSTITUTE($H2080&amp;" "," ","|",3))+1,FIND("|",SUBSTITUTE($H2080&amp;" "," ","|",4))-FIND("|",SUBSTITUTE($H2080&amp;" "," ","|",3))-1),""))</f>
        <v/>
      </c>
      <c r="F2080" s="59">
        <f>IF($H2080="","",IFERROR(VALUE(IFERROR(MID($H2080&amp;" ",FIND("|",SUBSTITUTE($H2080&amp;" "," ","|",4))+1,FIND("|",SUBSTITUTE($H2080&amp;" "," ","|",5))-FIND("|",SUBSTITUTE($H2080&amp;" "," ","|",4))-1),""))/86400+25569+9/24,""))</f>
        <v/>
      </c>
      <c r="G2080" s="58">
        <f>TRIM(SUBSTITUTE(SUBSTITUTE(SUBSTITUTE($A2080,CHAR(9)," ")," "," "),CHAR(13),""))</f>
        <v/>
      </c>
      <c r="H2080" s="58">
        <f>IF($G2080="","",IF(ISNUMBER(FIND(" ",$G2080)),$G2080,IFERROR(IF((LEN(SUBSTITUTE(SUBSTITUTE($G2080,"-"," ",LEN($G2080)-LEN(SUBSTITUTE($G2080,"-",""))),"-"," ",LEN($G2080)-LEN(SUBSTITUTE($G2080,"-",""))-1))-LEN(SUBSTITUTE(SUBSTITUTE(SUBSTITUTE($G2080,"-"," ",LEN($G2080)-LEN(SUBSTITUTE($G2080,"-",""))),"-"," ",LEN($G2080)-LEN(SUBSTITUTE($G2080,"-",""))-1),".","")))=0,SUBSTITUTE(SUBSTITUTE($G2080,"-"," ",LEN($G2080)-LEN(SUBSTITUTE($G2080,"-",""))),"-"," ",LEN($G2080)-LEN(SUBSTITUTE($G2080,"-",""))-1),SUBSTITUTE(SUBSTITUTE(SUBSTITUTE($G2080,"-"," ",LEN($G2080)-LEN(SUBSTITUTE($G2080,"-",""))),"-"," ",LEN($G2080)-LEN(SUBSTITUTE($G2080,"-",""))-1),"."," ",(LEN(SUBSTITUTE(SUBSTITUTE($G2080,"-"," ",LEN($G2080)-LEN(SUBSTITUTE($G2080,"-",""))),"-"," ",LEN($G2080)-LEN(SUBSTITUTE($G2080,"-",""))-1))-LEN(SUBSTITUTE(SUBSTITUTE(SUBSTITUTE($G2080,"-"," ",LEN($G2080)-LEN(SUBSTITUTE($G2080,"-",""))),"-"," ",LEN($G2080)-LEN(SUBSTITUTE($G2080,"-",""))-1),".",""))))),$G2080)))</f>
        <v/>
      </c>
    </row>
    <row r="2081">
      <c r="A2081" s="58" t="n"/>
      <c r="B2081" s="58">
        <f>IF($H2081="","",LEFT($H2081,FIND(" ",$H2081&amp;" ")-1))</f>
        <v/>
      </c>
      <c r="C2081" s="58">
        <f>IF($H2081="","",IFERROR(MID($H2081&amp;" ",FIND("|",SUBSTITUTE($H2081&amp;" "," ","|",1))+1,FIND("|",SUBSTITUTE($H2081&amp;" "," ","|",2))-FIND("|",SUBSTITUTE($H2081&amp;" "," ","|",1))-1),""))</f>
        <v/>
      </c>
      <c r="D2081" s="58">
        <f>IF($H2081="","",IFERROR(MID($H2081&amp;" ",FIND("|",SUBSTITUTE($H2081&amp;" "," ","|",2))+1,FIND("|",SUBSTITUTE($H2081&amp;" "," ","|",3))-FIND("|",SUBSTITUTE($H2081&amp;" "," ","|",2))-1),""))</f>
        <v/>
      </c>
      <c r="E2081" s="58">
        <f>IF($H2081="","",IFERROR(MID($H2081&amp;" ",FIND("|",SUBSTITUTE($H2081&amp;" "," ","|",3))+1,FIND("|",SUBSTITUTE($H2081&amp;" "," ","|",4))-FIND("|",SUBSTITUTE($H2081&amp;" "," ","|",3))-1),""))</f>
        <v/>
      </c>
      <c r="F2081" s="59">
        <f>IF($H2081="","",IFERROR(VALUE(IFERROR(MID($H2081&amp;" ",FIND("|",SUBSTITUTE($H2081&amp;" "," ","|",4))+1,FIND("|",SUBSTITUTE($H2081&amp;" "," ","|",5))-FIND("|",SUBSTITUTE($H2081&amp;" "," ","|",4))-1),""))/86400+25569+9/24,""))</f>
        <v/>
      </c>
      <c r="G2081" s="58">
        <f>TRIM(SUBSTITUTE(SUBSTITUTE(SUBSTITUTE($A2081,CHAR(9)," ")," "," "),CHAR(13),""))</f>
        <v/>
      </c>
      <c r="H2081" s="58">
        <f>IF($G2081="","",IF(ISNUMBER(FIND(" ",$G2081)),$G2081,IFERROR(IF((LEN(SUBSTITUTE(SUBSTITUTE($G2081,"-"," ",LEN($G2081)-LEN(SUBSTITUTE($G2081,"-",""))),"-"," ",LEN($G2081)-LEN(SUBSTITUTE($G2081,"-",""))-1))-LEN(SUBSTITUTE(SUBSTITUTE(SUBSTITUTE($G2081,"-"," ",LEN($G2081)-LEN(SUBSTITUTE($G2081,"-",""))),"-"," ",LEN($G2081)-LEN(SUBSTITUTE($G2081,"-",""))-1),".","")))=0,SUBSTITUTE(SUBSTITUTE($G2081,"-"," ",LEN($G2081)-LEN(SUBSTITUTE($G2081,"-",""))),"-"," ",LEN($G2081)-LEN(SUBSTITUTE($G2081,"-",""))-1),SUBSTITUTE(SUBSTITUTE(SUBSTITUTE($G2081,"-"," ",LEN($G2081)-LEN(SUBSTITUTE($G2081,"-",""))),"-"," ",LEN($G2081)-LEN(SUBSTITUTE($G2081,"-",""))-1),"."," ",(LEN(SUBSTITUTE(SUBSTITUTE($G2081,"-"," ",LEN($G2081)-LEN(SUBSTITUTE($G2081,"-",""))),"-"," ",LEN($G2081)-LEN(SUBSTITUTE($G2081,"-",""))-1))-LEN(SUBSTITUTE(SUBSTITUTE(SUBSTITUTE($G2081,"-"," ",LEN($G2081)-LEN(SUBSTITUTE($G2081,"-",""))),"-"," ",LEN($G2081)-LEN(SUBSTITUTE($G2081,"-",""))-1),".",""))))),$G2081)))</f>
        <v/>
      </c>
    </row>
    <row r="2082">
      <c r="A2082" s="58" t="n"/>
      <c r="B2082" s="58">
        <f>IF($H2082="","",LEFT($H2082,FIND(" ",$H2082&amp;" ")-1))</f>
        <v/>
      </c>
      <c r="C2082" s="58">
        <f>IF($H2082="","",IFERROR(MID($H2082&amp;" ",FIND("|",SUBSTITUTE($H2082&amp;" "," ","|",1))+1,FIND("|",SUBSTITUTE($H2082&amp;" "," ","|",2))-FIND("|",SUBSTITUTE($H2082&amp;" "," ","|",1))-1),""))</f>
        <v/>
      </c>
      <c r="D2082" s="58">
        <f>IF($H2082="","",IFERROR(MID($H2082&amp;" ",FIND("|",SUBSTITUTE($H2082&amp;" "," ","|",2))+1,FIND("|",SUBSTITUTE($H2082&amp;" "," ","|",3))-FIND("|",SUBSTITUTE($H2082&amp;" "," ","|",2))-1),""))</f>
        <v/>
      </c>
      <c r="E2082" s="58">
        <f>IF($H2082="","",IFERROR(MID($H2082&amp;" ",FIND("|",SUBSTITUTE($H2082&amp;" "," ","|",3))+1,FIND("|",SUBSTITUTE($H2082&amp;" "," ","|",4))-FIND("|",SUBSTITUTE($H2082&amp;" "," ","|",3))-1),""))</f>
        <v/>
      </c>
      <c r="F2082" s="59">
        <f>IF($H2082="","",IFERROR(VALUE(IFERROR(MID($H2082&amp;" ",FIND("|",SUBSTITUTE($H2082&amp;" "," ","|",4))+1,FIND("|",SUBSTITUTE($H2082&amp;" "," ","|",5))-FIND("|",SUBSTITUTE($H2082&amp;" "," ","|",4))-1),""))/86400+25569+9/24,""))</f>
        <v/>
      </c>
      <c r="G2082" s="58">
        <f>TRIM(SUBSTITUTE(SUBSTITUTE(SUBSTITUTE($A2082,CHAR(9)," ")," "," "),CHAR(13),""))</f>
        <v/>
      </c>
      <c r="H2082" s="58">
        <f>IF($G2082="","",IF(ISNUMBER(FIND(" ",$G2082)),$G2082,IFERROR(IF((LEN(SUBSTITUTE(SUBSTITUTE($G2082,"-"," ",LEN($G2082)-LEN(SUBSTITUTE($G2082,"-",""))),"-"," ",LEN($G2082)-LEN(SUBSTITUTE($G2082,"-",""))-1))-LEN(SUBSTITUTE(SUBSTITUTE(SUBSTITUTE($G2082,"-"," ",LEN($G2082)-LEN(SUBSTITUTE($G2082,"-",""))),"-"," ",LEN($G2082)-LEN(SUBSTITUTE($G2082,"-",""))-1),".","")))=0,SUBSTITUTE(SUBSTITUTE($G2082,"-"," ",LEN($G2082)-LEN(SUBSTITUTE($G2082,"-",""))),"-"," ",LEN($G2082)-LEN(SUBSTITUTE($G2082,"-",""))-1),SUBSTITUTE(SUBSTITUTE(SUBSTITUTE($G2082,"-"," ",LEN($G2082)-LEN(SUBSTITUTE($G2082,"-",""))),"-"," ",LEN($G2082)-LEN(SUBSTITUTE($G2082,"-",""))-1),"."," ",(LEN(SUBSTITUTE(SUBSTITUTE($G2082,"-"," ",LEN($G2082)-LEN(SUBSTITUTE($G2082,"-",""))),"-"," ",LEN($G2082)-LEN(SUBSTITUTE($G2082,"-",""))-1))-LEN(SUBSTITUTE(SUBSTITUTE(SUBSTITUTE($G2082,"-"," ",LEN($G2082)-LEN(SUBSTITUTE($G2082,"-",""))),"-"," ",LEN($G2082)-LEN(SUBSTITUTE($G2082,"-",""))-1),".",""))))),$G2082)))</f>
        <v/>
      </c>
    </row>
    <row r="2083">
      <c r="A2083" s="58" t="n"/>
      <c r="B2083" s="58">
        <f>IF($H2083="","",LEFT($H2083,FIND(" ",$H2083&amp;" ")-1))</f>
        <v/>
      </c>
      <c r="C2083" s="58">
        <f>IF($H2083="","",IFERROR(MID($H2083&amp;" ",FIND("|",SUBSTITUTE($H2083&amp;" "," ","|",1))+1,FIND("|",SUBSTITUTE($H2083&amp;" "," ","|",2))-FIND("|",SUBSTITUTE($H2083&amp;" "," ","|",1))-1),""))</f>
        <v/>
      </c>
      <c r="D2083" s="58">
        <f>IF($H2083="","",IFERROR(MID($H2083&amp;" ",FIND("|",SUBSTITUTE($H2083&amp;" "," ","|",2))+1,FIND("|",SUBSTITUTE($H2083&amp;" "," ","|",3))-FIND("|",SUBSTITUTE($H2083&amp;" "," ","|",2))-1),""))</f>
        <v/>
      </c>
      <c r="E2083" s="58">
        <f>IF($H2083="","",IFERROR(MID($H2083&amp;" ",FIND("|",SUBSTITUTE($H2083&amp;" "," ","|",3))+1,FIND("|",SUBSTITUTE($H2083&amp;" "," ","|",4))-FIND("|",SUBSTITUTE($H2083&amp;" "," ","|",3))-1),""))</f>
        <v/>
      </c>
      <c r="F2083" s="59">
        <f>IF($H2083="","",IFERROR(VALUE(IFERROR(MID($H2083&amp;" ",FIND("|",SUBSTITUTE($H2083&amp;" "," ","|",4))+1,FIND("|",SUBSTITUTE($H2083&amp;" "," ","|",5))-FIND("|",SUBSTITUTE($H2083&amp;" "," ","|",4))-1),""))/86400+25569+9/24,""))</f>
        <v/>
      </c>
      <c r="G2083" s="58">
        <f>TRIM(SUBSTITUTE(SUBSTITUTE(SUBSTITUTE($A2083,CHAR(9)," ")," "," "),CHAR(13),""))</f>
        <v/>
      </c>
      <c r="H2083" s="58">
        <f>IF($G2083="","",IF(ISNUMBER(FIND(" ",$G2083)),$G2083,IFERROR(IF((LEN(SUBSTITUTE(SUBSTITUTE($G2083,"-"," ",LEN($G2083)-LEN(SUBSTITUTE($G2083,"-",""))),"-"," ",LEN($G2083)-LEN(SUBSTITUTE($G2083,"-",""))-1))-LEN(SUBSTITUTE(SUBSTITUTE(SUBSTITUTE($G2083,"-"," ",LEN($G2083)-LEN(SUBSTITUTE($G2083,"-",""))),"-"," ",LEN($G2083)-LEN(SUBSTITUTE($G2083,"-",""))-1),".","")))=0,SUBSTITUTE(SUBSTITUTE($G2083,"-"," ",LEN($G2083)-LEN(SUBSTITUTE($G2083,"-",""))),"-"," ",LEN($G2083)-LEN(SUBSTITUTE($G2083,"-",""))-1),SUBSTITUTE(SUBSTITUTE(SUBSTITUTE($G2083,"-"," ",LEN($G2083)-LEN(SUBSTITUTE($G2083,"-",""))),"-"," ",LEN($G2083)-LEN(SUBSTITUTE($G2083,"-",""))-1),"."," ",(LEN(SUBSTITUTE(SUBSTITUTE($G2083,"-"," ",LEN($G2083)-LEN(SUBSTITUTE($G2083,"-",""))),"-"," ",LEN($G2083)-LEN(SUBSTITUTE($G2083,"-",""))-1))-LEN(SUBSTITUTE(SUBSTITUTE(SUBSTITUTE($G2083,"-"," ",LEN($G2083)-LEN(SUBSTITUTE($G2083,"-",""))),"-"," ",LEN($G2083)-LEN(SUBSTITUTE($G2083,"-",""))-1),".",""))))),$G2083)))</f>
        <v/>
      </c>
    </row>
    <row r="2084">
      <c r="A2084" s="58" t="n"/>
      <c r="B2084" s="58">
        <f>IF($H2084="","",LEFT($H2084,FIND(" ",$H2084&amp;" ")-1))</f>
        <v/>
      </c>
      <c r="C2084" s="58">
        <f>IF($H2084="","",IFERROR(MID($H2084&amp;" ",FIND("|",SUBSTITUTE($H2084&amp;" "," ","|",1))+1,FIND("|",SUBSTITUTE($H2084&amp;" "," ","|",2))-FIND("|",SUBSTITUTE($H2084&amp;" "," ","|",1))-1),""))</f>
        <v/>
      </c>
      <c r="D2084" s="58">
        <f>IF($H2084="","",IFERROR(MID($H2084&amp;" ",FIND("|",SUBSTITUTE($H2084&amp;" "," ","|",2))+1,FIND("|",SUBSTITUTE($H2084&amp;" "," ","|",3))-FIND("|",SUBSTITUTE($H2084&amp;" "," ","|",2))-1),""))</f>
        <v/>
      </c>
      <c r="E2084" s="58">
        <f>IF($H2084="","",IFERROR(MID($H2084&amp;" ",FIND("|",SUBSTITUTE($H2084&amp;" "," ","|",3))+1,FIND("|",SUBSTITUTE($H2084&amp;" "," ","|",4))-FIND("|",SUBSTITUTE($H2084&amp;" "," ","|",3))-1),""))</f>
        <v/>
      </c>
      <c r="F2084" s="59">
        <f>IF($H2084="","",IFERROR(VALUE(IFERROR(MID($H2084&amp;" ",FIND("|",SUBSTITUTE($H2084&amp;" "," ","|",4))+1,FIND("|",SUBSTITUTE($H2084&amp;" "," ","|",5))-FIND("|",SUBSTITUTE($H2084&amp;" "," ","|",4))-1),""))/86400+25569+9/24,""))</f>
        <v/>
      </c>
      <c r="G2084" s="58">
        <f>TRIM(SUBSTITUTE(SUBSTITUTE(SUBSTITUTE($A2084,CHAR(9)," ")," "," "),CHAR(13),""))</f>
        <v/>
      </c>
      <c r="H2084" s="58">
        <f>IF($G2084="","",IF(ISNUMBER(FIND(" ",$G2084)),$G2084,IFERROR(IF((LEN(SUBSTITUTE(SUBSTITUTE($G2084,"-"," ",LEN($G2084)-LEN(SUBSTITUTE($G2084,"-",""))),"-"," ",LEN($G2084)-LEN(SUBSTITUTE($G2084,"-",""))-1))-LEN(SUBSTITUTE(SUBSTITUTE(SUBSTITUTE($G2084,"-"," ",LEN($G2084)-LEN(SUBSTITUTE($G2084,"-",""))),"-"," ",LEN($G2084)-LEN(SUBSTITUTE($G2084,"-",""))-1),".","")))=0,SUBSTITUTE(SUBSTITUTE($G2084,"-"," ",LEN($G2084)-LEN(SUBSTITUTE($G2084,"-",""))),"-"," ",LEN($G2084)-LEN(SUBSTITUTE($G2084,"-",""))-1),SUBSTITUTE(SUBSTITUTE(SUBSTITUTE($G2084,"-"," ",LEN($G2084)-LEN(SUBSTITUTE($G2084,"-",""))),"-"," ",LEN($G2084)-LEN(SUBSTITUTE($G2084,"-",""))-1),"."," ",(LEN(SUBSTITUTE(SUBSTITUTE($G2084,"-"," ",LEN($G2084)-LEN(SUBSTITUTE($G2084,"-",""))),"-"," ",LEN($G2084)-LEN(SUBSTITUTE($G2084,"-",""))-1))-LEN(SUBSTITUTE(SUBSTITUTE(SUBSTITUTE($G2084,"-"," ",LEN($G2084)-LEN(SUBSTITUTE($G2084,"-",""))),"-"," ",LEN($G2084)-LEN(SUBSTITUTE($G2084,"-",""))-1),".",""))))),$G2084)))</f>
        <v/>
      </c>
    </row>
    <row r="2085">
      <c r="A2085" s="58" t="n"/>
      <c r="B2085" s="58">
        <f>IF($H2085="","",LEFT($H2085,FIND(" ",$H2085&amp;" ")-1))</f>
        <v/>
      </c>
      <c r="C2085" s="58">
        <f>IF($H2085="","",IFERROR(MID($H2085&amp;" ",FIND("|",SUBSTITUTE($H2085&amp;" "," ","|",1))+1,FIND("|",SUBSTITUTE($H2085&amp;" "," ","|",2))-FIND("|",SUBSTITUTE($H2085&amp;" "," ","|",1))-1),""))</f>
        <v/>
      </c>
      <c r="D2085" s="58">
        <f>IF($H2085="","",IFERROR(MID($H2085&amp;" ",FIND("|",SUBSTITUTE($H2085&amp;" "," ","|",2))+1,FIND("|",SUBSTITUTE($H2085&amp;" "," ","|",3))-FIND("|",SUBSTITUTE($H2085&amp;" "," ","|",2))-1),""))</f>
        <v/>
      </c>
      <c r="E2085" s="58">
        <f>IF($H2085="","",IFERROR(MID($H2085&amp;" ",FIND("|",SUBSTITUTE($H2085&amp;" "," ","|",3))+1,FIND("|",SUBSTITUTE($H2085&amp;" "," ","|",4))-FIND("|",SUBSTITUTE($H2085&amp;" "," ","|",3))-1),""))</f>
        <v/>
      </c>
      <c r="F2085" s="59">
        <f>IF($H2085="","",IFERROR(VALUE(IFERROR(MID($H2085&amp;" ",FIND("|",SUBSTITUTE($H2085&amp;" "," ","|",4))+1,FIND("|",SUBSTITUTE($H2085&amp;" "," ","|",5))-FIND("|",SUBSTITUTE($H2085&amp;" "," ","|",4))-1),""))/86400+25569+9/24,""))</f>
        <v/>
      </c>
      <c r="G2085" s="58">
        <f>TRIM(SUBSTITUTE(SUBSTITUTE(SUBSTITUTE($A2085,CHAR(9)," ")," "," "),CHAR(13),""))</f>
        <v/>
      </c>
      <c r="H2085" s="58">
        <f>IF($G2085="","",IF(ISNUMBER(FIND(" ",$G2085)),$G2085,IFERROR(IF((LEN(SUBSTITUTE(SUBSTITUTE($G2085,"-"," ",LEN($G2085)-LEN(SUBSTITUTE($G2085,"-",""))),"-"," ",LEN($G2085)-LEN(SUBSTITUTE($G2085,"-",""))-1))-LEN(SUBSTITUTE(SUBSTITUTE(SUBSTITUTE($G2085,"-"," ",LEN($G2085)-LEN(SUBSTITUTE($G2085,"-",""))),"-"," ",LEN($G2085)-LEN(SUBSTITUTE($G2085,"-",""))-1),".","")))=0,SUBSTITUTE(SUBSTITUTE($G2085,"-"," ",LEN($G2085)-LEN(SUBSTITUTE($G2085,"-",""))),"-"," ",LEN($G2085)-LEN(SUBSTITUTE($G2085,"-",""))-1),SUBSTITUTE(SUBSTITUTE(SUBSTITUTE($G2085,"-"," ",LEN($G2085)-LEN(SUBSTITUTE($G2085,"-",""))),"-"," ",LEN($G2085)-LEN(SUBSTITUTE($G2085,"-",""))-1),"."," ",(LEN(SUBSTITUTE(SUBSTITUTE($G2085,"-"," ",LEN($G2085)-LEN(SUBSTITUTE($G2085,"-",""))),"-"," ",LEN($G2085)-LEN(SUBSTITUTE($G2085,"-",""))-1))-LEN(SUBSTITUTE(SUBSTITUTE(SUBSTITUTE($G2085,"-"," ",LEN($G2085)-LEN(SUBSTITUTE($G2085,"-",""))),"-"," ",LEN($G2085)-LEN(SUBSTITUTE($G2085,"-",""))-1),".",""))))),$G2085)))</f>
        <v/>
      </c>
    </row>
    <row r="2086">
      <c r="A2086" s="58" t="n"/>
      <c r="B2086" s="58">
        <f>IF($H2086="","",LEFT($H2086,FIND(" ",$H2086&amp;" ")-1))</f>
        <v/>
      </c>
      <c r="C2086" s="58">
        <f>IF($H2086="","",IFERROR(MID($H2086&amp;" ",FIND("|",SUBSTITUTE($H2086&amp;" "," ","|",1))+1,FIND("|",SUBSTITUTE($H2086&amp;" "," ","|",2))-FIND("|",SUBSTITUTE($H2086&amp;" "," ","|",1))-1),""))</f>
        <v/>
      </c>
      <c r="D2086" s="58">
        <f>IF($H2086="","",IFERROR(MID($H2086&amp;" ",FIND("|",SUBSTITUTE($H2086&amp;" "," ","|",2))+1,FIND("|",SUBSTITUTE($H2086&amp;" "," ","|",3))-FIND("|",SUBSTITUTE($H2086&amp;" "," ","|",2))-1),""))</f>
        <v/>
      </c>
      <c r="E2086" s="58">
        <f>IF($H2086="","",IFERROR(MID($H2086&amp;" ",FIND("|",SUBSTITUTE($H2086&amp;" "," ","|",3))+1,FIND("|",SUBSTITUTE($H2086&amp;" "," ","|",4))-FIND("|",SUBSTITUTE($H2086&amp;" "," ","|",3))-1),""))</f>
        <v/>
      </c>
      <c r="F2086" s="59">
        <f>IF($H2086="","",IFERROR(VALUE(IFERROR(MID($H2086&amp;" ",FIND("|",SUBSTITUTE($H2086&amp;" "," ","|",4))+1,FIND("|",SUBSTITUTE($H2086&amp;" "," ","|",5))-FIND("|",SUBSTITUTE($H2086&amp;" "," ","|",4))-1),""))/86400+25569+9/24,""))</f>
        <v/>
      </c>
      <c r="G2086" s="58">
        <f>TRIM(SUBSTITUTE(SUBSTITUTE(SUBSTITUTE($A2086,CHAR(9)," ")," "," "),CHAR(13),""))</f>
        <v/>
      </c>
      <c r="H2086" s="58">
        <f>IF($G2086="","",IF(ISNUMBER(FIND(" ",$G2086)),$G2086,IFERROR(IF((LEN(SUBSTITUTE(SUBSTITUTE($G2086,"-"," ",LEN($G2086)-LEN(SUBSTITUTE($G2086,"-",""))),"-"," ",LEN($G2086)-LEN(SUBSTITUTE($G2086,"-",""))-1))-LEN(SUBSTITUTE(SUBSTITUTE(SUBSTITUTE($G2086,"-"," ",LEN($G2086)-LEN(SUBSTITUTE($G2086,"-",""))),"-"," ",LEN($G2086)-LEN(SUBSTITUTE($G2086,"-",""))-1),".","")))=0,SUBSTITUTE(SUBSTITUTE($G2086,"-"," ",LEN($G2086)-LEN(SUBSTITUTE($G2086,"-",""))),"-"," ",LEN($G2086)-LEN(SUBSTITUTE($G2086,"-",""))-1),SUBSTITUTE(SUBSTITUTE(SUBSTITUTE($G2086,"-"," ",LEN($G2086)-LEN(SUBSTITUTE($G2086,"-",""))),"-"," ",LEN($G2086)-LEN(SUBSTITUTE($G2086,"-",""))-1),"."," ",(LEN(SUBSTITUTE(SUBSTITUTE($G2086,"-"," ",LEN($G2086)-LEN(SUBSTITUTE($G2086,"-",""))),"-"," ",LEN($G2086)-LEN(SUBSTITUTE($G2086,"-",""))-1))-LEN(SUBSTITUTE(SUBSTITUTE(SUBSTITUTE($G2086,"-"," ",LEN($G2086)-LEN(SUBSTITUTE($G2086,"-",""))),"-"," ",LEN($G2086)-LEN(SUBSTITUTE($G2086,"-",""))-1),".",""))))),$G2086)))</f>
        <v/>
      </c>
    </row>
    <row r="2087">
      <c r="A2087" s="58" t="n"/>
      <c r="B2087" s="58">
        <f>IF($H2087="","",LEFT($H2087,FIND(" ",$H2087&amp;" ")-1))</f>
        <v/>
      </c>
      <c r="C2087" s="58">
        <f>IF($H2087="","",IFERROR(MID($H2087&amp;" ",FIND("|",SUBSTITUTE($H2087&amp;" "," ","|",1))+1,FIND("|",SUBSTITUTE($H2087&amp;" "," ","|",2))-FIND("|",SUBSTITUTE($H2087&amp;" "," ","|",1))-1),""))</f>
        <v/>
      </c>
      <c r="D2087" s="58">
        <f>IF($H2087="","",IFERROR(MID($H2087&amp;" ",FIND("|",SUBSTITUTE($H2087&amp;" "," ","|",2))+1,FIND("|",SUBSTITUTE($H2087&amp;" "," ","|",3))-FIND("|",SUBSTITUTE($H2087&amp;" "," ","|",2))-1),""))</f>
        <v/>
      </c>
      <c r="E2087" s="58">
        <f>IF($H2087="","",IFERROR(MID($H2087&amp;" ",FIND("|",SUBSTITUTE($H2087&amp;" "," ","|",3))+1,FIND("|",SUBSTITUTE($H2087&amp;" "," ","|",4))-FIND("|",SUBSTITUTE($H2087&amp;" "," ","|",3))-1),""))</f>
        <v/>
      </c>
      <c r="F2087" s="59">
        <f>IF($H2087="","",IFERROR(VALUE(IFERROR(MID($H2087&amp;" ",FIND("|",SUBSTITUTE($H2087&amp;" "," ","|",4))+1,FIND("|",SUBSTITUTE($H2087&amp;" "," ","|",5))-FIND("|",SUBSTITUTE($H2087&amp;" "," ","|",4))-1),""))/86400+25569+9/24,""))</f>
        <v/>
      </c>
      <c r="G2087" s="58">
        <f>TRIM(SUBSTITUTE(SUBSTITUTE(SUBSTITUTE($A2087,CHAR(9)," ")," "," "),CHAR(13),""))</f>
        <v/>
      </c>
      <c r="H2087" s="58">
        <f>IF($G2087="","",IF(ISNUMBER(FIND(" ",$G2087)),$G2087,IFERROR(IF((LEN(SUBSTITUTE(SUBSTITUTE($G2087,"-"," ",LEN($G2087)-LEN(SUBSTITUTE($G2087,"-",""))),"-"," ",LEN($G2087)-LEN(SUBSTITUTE($G2087,"-",""))-1))-LEN(SUBSTITUTE(SUBSTITUTE(SUBSTITUTE($G2087,"-"," ",LEN($G2087)-LEN(SUBSTITUTE($G2087,"-",""))),"-"," ",LEN($G2087)-LEN(SUBSTITUTE($G2087,"-",""))-1),".","")))=0,SUBSTITUTE(SUBSTITUTE($G2087,"-"," ",LEN($G2087)-LEN(SUBSTITUTE($G2087,"-",""))),"-"," ",LEN($G2087)-LEN(SUBSTITUTE($G2087,"-",""))-1),SUBSTITUTE(SUBSTITUTE(SUBSTITUTE($G2087,"-"," ",LEN($G2087)-LEN(SUBSTITUTE($G2087,"-",""))),"-"," ",LEN($G2087)-LEN(SUBSTITUTE($G2087,"-",""))-1),"."," ",(LEN(SUBSTITUTE(SUBSTITUTE($G2087,"-"," ",LEN($G2087)-LEN(SUBSTITUTE($G2087,"-",""))),"-"," ",LEN($G2087)-LEN(SUBSTITUTE($G2087,"-",""))-1))-LEN(SUBSTITUTE(SUBSTITUTE(SUBSTITUTE($G2087,"-"," ",LEN($G2087)-LEN(SUBSTITUTE($G2087,"-",""))),"-"," ",LEN($G2087)-LEN(SUBSTITUTE($G2087,"-",""))-1),".",""))))),$G2087)))</f>
        <v/>
      </c>
    </row>
    <row r="2088">
      <c r="A2088" s="58" t="n"/>
      <c r="B2088" s="58">
        <f>IF($H2088="","",LEFT($H2088,FIND(" ",$H2088&amp;" ")-1))</f>
        <v/>
      </c>
      <c r="C2088" s="58">
        <f>IF($H2088="","",IFERROR(MID($H2088&amp;" ",FIND("|",SUBSTITUTE($H2088&amp;" "," ","|",1))+1,FIND("|",SUBSTITUTE($H2088&amp;" "," ","|",2))-FIND("|",SUBSTITUTE($H2088&amp;" "," ","|",1))-1),""))</f>
        <v/>
      </c>
      <c r="D2088" s="58">
        <f>IF($H2088="","",IFERROR(MID($H2088&amp;" ",FIND("|",SUBSTITUTE($H2088&amp;" "," ","|",2))+1,FIND("|",SUBSTITUTE($H2088&amp;" "," ","|",3))-FIND("|",SUBSTITUTE($H2088&amp;" "," ","|",2))-1),""))</f>
        <v/>
      </c>
      <c r="E2088" s="58">
        <f>IF($H2088="","",IFERROR(MID($H2088&amp;" ",FIND("|",SUBSTITUTE($H2088&amp;" "," ","|",3))+1,FIND("|",SUBSTITUTE($H2088&amp;" "," ","|",4))-FIND("|",SUBSTITUTE($H2088&amp;" "," ","|",3))-1),""))</f>
        <v/>
      </c>
      <c r="F2088" s="59">
        <f>IF($H2088="","",IFERROR(VALUE(IFERROR(MID($H2088&amp;" ",FIND("|",SUBSTITUTE($H2088&amp;" "," ","|",4))+1,FIND("|",SUBSTITUTE($H2088&amp;" "," ","|",5))-FIND("|",SUBSTITUTE($H2088&amp;" "," ","|",4))-1),""))/86400+25569+9/24,""))</f>
        <v/>
      </c>
      <c r="G2088" s="58">
        <f>TRIM(SUBSTITUTE(SUBSTITUTE(SUBSTITUTE($A2088,CHAR(9)," ")," "," "),CHAR(13),""))</f>
        <v/>
      </c>
      <c r="H2088" s="58">
        <f>IF($G2088="","",IF(ISNUMBER(FIND(" ",$G2088)),$G2088,IFERROR(IF((LEN(SUBSTITUTE(SUBSTITUTE($G2088,"-"," ",LEN($G2088)-LEN(SUBSTITUTE($G2088,"-",""))),"-"," ",LEN($G2088)-LEN(SUBSTITUTE($G2088,"-",""))-1))-LEN(SUBSTITUTE(SUBSTITUTE(SUBSTITUTE($G2088,"-"," ",LEN($G2088)-LEN(SUBSTITUTE($G2088,"-",""))),"-"," ",LEN($G2088)-LEN(SUBSTITUTE($G2088,"-",""))-1),".","")))=0,SUBSTITUTE(SUBSTITUTE($G2088,"-"," ",LEN($G2088)-LEN(SUBSTITUTE($G2088,"-",""))),"-"," ",LEN($G2088)-LEN(SUBSTITUTE($G2088,"-",""))-1),SUBSTITUTE(SUBSTITUTE(SUBSTITUTE($G2088,"-"," ",LEN($G2088)-LEN(SUBSTITUTE($G2088,"-",""))),"-"," ",LEN($G2088)-LEN(SUBSTITUTE($G2088,"-",""))-1),"."," ",(LEN(SUBSTITUTE(SUBSTITUTE($G2088,"-"," ",LEN($G2088)-LEN(SUBSTITUTE($G2088,"-",""))),"-"," ",LEN($G2088)-LEN(SUBSTITUTE($G2088,"-",""))-1))-LEN(SUBSTITUTE(SUBSTITUTE(SUBSTITUTE($G2088,"-"," ",LEN($G2088)-LEN(SUBSTITUTE($G2088,"-",""))),"-"," ",LEN($G2088)-LEN(SUBSTITUTE($G2088,"-",""))-1),".",""))))),$G2088)))</f>
        <v/>
      </c>
    </row>
    <row r="2089">
      <c r="A2089" s="58" t="n"/>
      <c r="B2089" s="58">
        <f>IF($H2089="","",LEFT($H2089,FIND(" ",$H2089&amp;" ")-1))</f>
        <v/>
      </c>
      <c r="C2089" s="58">
        <f>IF($H2089="","",IFERROR(MID($H2089&amp;" ",FIND("|",SUBSTITUTE($H2089&amp;" "," ","|",1))+1,FIND("|",SUBSTITUTE($H2089&amp;" "," ","|",2))-FIND("|",SUBSTITUTE($H2089&amp;" "," ","|",1))-1),""))</f>
        <v/>
      </c>
      <c r="D2089" s="58">
        <f>IF($H2089="","",IFERROR(MID($H2089&amp;" ",FIND("|",SUBSTITUTE($H2089&amp;" "," ","|",2))+1,FIND("|",SUBSTITUTE($H2089&amp;" "," ","|",3))-FIND("|",SUBSTITUTE($H2089&amp;" "," ","|",2))-1),""))</f>
        <v/>
      </c>
      <c r="E2089" s="58">
        <f>IF($H2089="","",IFERROR(MID($H2089&amp;" ",FIND("|",SUBSTITUTE($H2089&amp;" "," ","|",3))+1,FIND("|",SUBSTITUTE($H2089&amp;" "," ","|",4))-FIND("|",SUBSTITUTE($H2089&amp;" "," ","|",3))-1),""))</f>
        <v/>
      </c>
      <c r="F2089" s="59">
        <f>IF($H2089="","",IFERROR(VALUE(IFERROR(MID($H2089&amp;" ",FIND("|",SUBSTITUTE($H2089&amp;" "," ","|",4))+1,FIND("|",SUBSTITUTE($H2089&amp;" "," ","|",5))-FIND("|",SUBSTITUTE($H2089&amp;" "," ","|",4))-1),""))/86400+25569+9/24,""))</f>
        <v/>
      </c>
      <c r="G2089" s="58">
        <f>TRIM(SUBSTITUTE(SUBSTITUTE(SUBSTITUTE($A2089,CHAR(9)," ")," "," "),CHAR(13),""))</f>
        <v/>
      </c>
      <c r="H2089" s="58">
        <f>IF($G2089="","",IF(ISNUMBER(FIND(" ",$G2089)),$G2089,IFERROR(IF((LEN(SUBSTITUTE(SUBSTITUTE($G2089,"-"," ",LEN($G2089)-LEN(SUBSTITUTE($G2089,"-",""))),"-"," ",LEN($G2089)-LEN(SUBSTITUTE($G2089,"-",""))-1))-LEN(SUBSTITUTE(SUBSTITUTE(SUBSTITUTE($G2089,"-"," ",LEN($G2089)-LEN(SUBSTITUTE($G2089,"-",""))),"-"," ",LEN($G2089)-LEN(SUBSTITUTE($G2089,"-",""))-1),".","")))=0,SUBSTITUTE(SUBSTITUTE($G2089,"-"," ",LEN($G2089)-LEN(SUBSTITUTE($G2089,"-",""))),"-"," ",LEN($G2089)-LEN(SUBSTITUTE($G2089,"-",""))-1),SUBSTITUTE(SUBSTITUTE(SUBSTITUTE($G2089,"-"," ",LEN($G2089)-LEN(SUBSTITUTE($G2089,"-",""))),"-"," ",LEN($G2089)-LEN(SUBSTITUTE($G2089,"-",""))-1),"."," ",(LEN(SUBSTITUTE(SUBSTITUTE($G2089,"-"," ",LEN($G2089)-LEN(SUBSTITUTE($G2089,"-",""))),"-"," ",LEN($G2089)-LEN(SUBSTITUTE($G2089,"-",""))-1))-LEN(SUBSTITUTE(SUBSTITUTE(SUBSTITUTE($G2089,"-"," ",LEN($G2089)-LEN(SUBSTITUTE($G2089,"-",""))),"-"," ",LEN($G2089)-LEN(SUBSTITUTE($G2089,"-",""))-1),".",""))))),$G2089)))</f>
        <v/>
      </c>
    </row>
    <row r="2090">
      <c r="A2090" s="58" t="n"/>
      <c r="B2090" s="58">
        <f>IF($H2090="","",LEFT($H2090,FIND(" ",$H2090&amp;" ")-1))</f>
        <v/>
      </c>
      <c r="C2090" s="58">
        <f>IF($H2090="","",IFERROR(MID($H2090&amp;" ",FIND("|",SUBSTITUTE($H2090&amp;" "," ","|",1))+1,FIND("|",SUBSTITUTE($H2090&amp;" "," ","|",2))-FIND("|",SUBSTITUTE($H2090&amp;" "," ","|",1))-1),""))</f>
        <v/>
      </c>
      <c r="D2090" s="58">
        <f>IF($H2090="","",IFERROR(MID($H2090&amp;" ",FIND("|",SUBSTITUTE($H2090&amp;" "," ","|",2))+1,FIND("|",SUBSTITUTE($H2090&amp;" "," ","|",3))-FIND("|",SUBSTITUTE($H2090&amp;" "," ","|",2))-1),""))</f>
        <v/>
      </c>
      <c r="E2090" s="58">
        <f>IF($H2090="","",IFERROR(MID($H2090&amp;" ",FIND("|",SUBSTITUTE($H2090&amp;" "," ","|",3))+1,FIND("|",SUBSTITUTE($H2090&amp;" "," ","|",4))-FIND("|",SUBSTITUTE($H2090&amp;" "," ","|",3))-1),""))</f>
        <v/>
      </c>
      <c r="F2090" s="59">
        <f>IF($H2090="","",IFERROR(VALUE(IFERROR(MID($H2090&amp;" ",FIND("|",SUBSTITUTE($H2090&amp;" "," ","|",4))+1,FIND("|",SUBSTITUTE($H2090&amp;" "," ","|",5))-FIND("|",SUBSTITUTE($H2090&amp;" "," ","|",4))-1),""))/86400+25569+9/24,""))</f>
        <v/>
      </c>
      <c r="G2090" s="58">
        <f>TRIM(SUBSTITUTE(SUBSTITUTE(SUBSTITUTE($A2090,CHAR(9)," ")," "," "),CHAR(13),""))</f>
        <v/>
      </c>
      <c r="H2090" s="58">
        <f>IF($G2090="","",IF(ISNUMBER(FIND(" ",$G2090)),$G2090,IFERROR(IF((LEN(SUBSTITUTE(SUBSTITUTE($G2090,"-"," ",LEN($G2090)-LEN(SUBSTITUTE($G2090,"-",""))),"-"," ",LEN($G2090)-LEN(SUBSTITUTE($G2090,"-",""))-1))-LEN(SUBSTITUTE(SUBSTITUTE(SUBSTITUTE($G2090,"-"," ",LEN($G2090)-LEN(SUBSTITUTE($G2090,"-",""))),"-"," ",LEN($G2090)-LEN(SUBSTITUTE($G2090,"-",""))-1),".","")))=0,SUBSTITUTE(SUBSTITUTE($G2090,"-"," ",LEN($G2090)-LEN(SUBSTITUTE($G2090,"-",""))),"-"," ",LEN($G2090)-LEN(SUBSTITUTE($G2090,"-",""))-1),SUBSTITUTE(SUBSTITUTE(SUBSTITUTE($G2090,"-"," ",LEN($G2090)-LEN(SUBSTITUTE($G2090,"-",""))),"-"," ",LEN($G2090)-LEN(SUBSTITUTE($G2090,"-",""))-1),"."," ",(LEN(SUBSTITUTE(SUBSTITUTE($G2090,"-"," ",LEN($G2090)-LEN(SUBSTITUTE($G2090,"-",""))),"-"," ",LEN($G2090)-LEN(SUBSTITUTE($G2090,"-",""))-1))-LEN(SUBSTITUTE(SUBSTITUTE(SUBSTITUTE($G2090,"-"," ",LEN($G2090)-LEN(SUBSTITUTE($G2090,"-",""))),"-"," ",LEN($G2090)-LEN(SUBSTITUTE($G2090,"-",""))-1),".",""))))),$G2090)))</f>
        <v/>
      </c>
    </row>
    <row r="2091">
      <c r="A2091" s="58" t="n"/>
      <c r="B2091" s="58">
        <f>IF($H2091="","",LEFT($H2091,FIND(" ",$H2091&amp;" ")-1))</f>
        <v/>
      </c>
      <c r="C2091" s="58">
        <f>IF($H2091="","",IFERROR(MID($H2091&amp;" ",FIND("|",SUBSTITUTE($H2091&amp;" "," ","|",1))+1,FIND("|",SUBSTITUTE($H2091&amp;" "," ","|",2))-FIND("|",SUBSTITUTE($H2091&amp;" "," ","|",1))-1),""))</f>
        <v/>
      </c>
      <c r="D2091" s="58">
        <f>IF($H2091="","",IFERROR(MID($H2091&amp;" ",FIND("|",SUBSTITUTE($H2091&amp;" "," ","|",2))+1,FIND("|",SUBSTITUTE($H2091&amp;" "," ","|",3))-FIND("|",SUBSTITUTE($H2091&amp;" "," ","|",2))-1),""))</f>
        <v/>
      </c>
      <c r="E2091" s="58">
        <f>IF($H2091="","",IFERROR(MID($H2091&amp;" ",FIND("|",SUBSTITUTE($H2091&amp;" "," ","|",3))+1,FIND("|",SUBSTITUTE($H2091&amp;" "," ","|",4))-FIND("|",SUBSTITUTE($H2091&amp;" "," ","|",3))-1),""))</f>
        <v/>
      </c>
      <c r="F2091" s="59">
        <f>IF($H2091="","",IFERROR(VALUE(IFERROR(MID($H2091&amp;" ",FIND("|",SUBSTITUTE($H2091&amp;" "," ","|",4))+1,FIND("|",SUBSTITUTE($H2091&amp;" "," ","|",5))-FIND("|",SUBSTITUTE($H2091&amp;" "," ","|",4))-1),""))/86400+25569+9/24,""))</f>
        <v/>
      </c>
      <c r="G2091" s="58">
        <f>TRIM(SUBSTITUTE(SUBSTITUTE(SUBSTITUTE($A2091,CHAR(9)," ")," "," "),CHAR(13),""))</f>
        <v/>
      </c>
      <c r="H2091" s="58">
        <f>IF($G2091="","",IF(ISNUMBER(FIND(" ",$G2091)),$G2091,IFERROR(IF((LEN(SUBSTITUTE(SUBSTITUTE($G2091,"-"," ",LEN($G2091)-LEN(SUBSTITUTE($G2091,"-",""))),"-"," ",LEN($G2091)-LEN(SUBSTITUTE($G2091,"-",""))-1))-LEN(SUBSTITUTE(SUBSTITUTE(SUBSTITUTE($G2091,"-"," ",LEN($G2091)-LEN(SUBSTITUTE($G2091,"-",""))),"-"," ",LEN($G2091)-LEN(SUBSTITUTE($G2091,"-",""))-1),".","")))=0,SUBSTITUTE(SUBSTITUTE($G2091,"-"," ",LEN($G2091)-LEN(SUBSTITUTE($G2091,"-",""))),"-"," ",LEN($G2091)-LEN(SUBSTITUTE($G2091,"-",""))-1),SUBSTITUTE(SUBSTITUTE(SUBSTITUTE($G2091,"-"," ",LEN($G2091)-LEN(SUBSTITUTE($G2091,"-",""))),"-"," ",LEN($G2091)-LEN(SUBSTITUTE($G2091,"-",""))-1),"."," ",(LEN(SUBSTITUTE(SUBSTITUTE($G2091,"-"," ",LEN($G2091)-LEN(SUBSTITUTE($G2091,"-",""))),"-"," ",LEN($G2091)-LEN(SUBSTITUTE($G2091,"-",""))-1))-LEN(SUBSTITUTE(SUBSTITUTE(SUBSTITUTE($G2091,"-"," ",LEN($G2091)-LEN(SUBSTITUTE($G2091,"-",""))),"-"," ",LEN($G2091)-LEN(SUBSTITUTE($G2091,"-",""))-1),".",""))))),$G2091)))</f>
        <v/>
      </c>
    </row>
    <row r="2092">
      <c r="A2092" s="58" t="n"/>
      <c r="B2092" s="58">
        <f>IF($H2092="","",LEFT($H2092,FIND(" ",$H2092&amp;" ")-1))</f>
        <v/>
      </c>
      <c r="C2092" s="58">
        <f>IF($H2092="","",IFERROR(MID($H2092&amp;" ",FIND("|",SUBSTITUTE($H2092&amp;" "," ","|",1))+1,FIND("|",SUBSTITUTE($H2092&amp;" "," ","|",2))-FIND("|",SUBSTITUTE($H2092&amp;" "," ","|",1))-1),""))</f>
        <v/>
      </c>
      <c r="D2092" s="58">
        <f>IF($H2092="","",IFERROR(MID($H2092&amp;" ",FIND("|",SUBSTITUTE($H2092&amp;" "," ","|",2))+1,FIND("|",SUBSTITUTE($H2092&amp;" "," ","|",3))-FIND("|",SUBSTITUTE($H2092&amp;" "," ","|",2))-1),""))</f>
        <v/>
      </c>
      <c r="E2092" s="58">
        <f>IF($H2092="","",IFERROR(MID($H2092&amp;" ",FIND("|",SUBSTITUTE($H2092&amp;" "," ","|",3))+1,FIND("|",SUBSTITUTE($H2092&amp;" "," ","|",4))-FIND("|",SUBSTITUTE($H2092&amp;" "," ","|",3))-1),""))</f>
        <v/>
      </c>
      <c r="F2092" s="59">
        <f>IF($H2092="","",IFERROR(VALUE(IFERROR(MID($H2092&amp;" ",FIND("|",SUBSTITUTE($H2092&amp;" "," ","|",4))+1,FIND("|",SUBSTITUTE($H2092&amp;" "," ","|",5))-FIND("|",SUBSTITUTE($H2092&amp;" "," ","|",4))-1),""))/86400+25569+9/24,""))</f>
        <v/>
      </c>
      <c r="G2092" s="58">
        <f>TRIM(SUBSTITUTE(SUBSTITUTE(SUBSTITUTE($A2092,CHAR(9)," ")," "," "),CHAR(13),""))</f>
        <v/>
      </c>
      <c r="H2092" s="58">
        <f>IF($G2092="","",IF(ISNUMBER(FIND(" ",$G2092)),$G2092,IFERROR(IF((LEN(SUBSTITUTE(SUBSTITUTE($G2092,"-"," ",LEN($G2092)-LEN(SUBSTITUTE($G2092,"-",""))),"-"," ",LEN($G2092)-LEN(SUBSTITUTE($G2092,"-",""))-1))-LEN(SUBSTITUTE(SUBSTITUTE(SUBSTITUTE($G2092,"-"," ",LEN($G2092)-LEN(SUBSTITUTE($G2092,"-",""))),"-"," ",LEN($G2092)-LEN(SUBSTITUTE($G2092,"-",""))-1),".","")))=0,SUBSTITUTE(SUBSTITUTE($G2092,"-"," ",LEN($G2092)-LEN(SUBSTITUTE($G2092,"-",""))),"-"," ",LEN($G2092)-LEN(SUBSTITUTE($G2092,"-",""))-1),SUBSTITUTE(SUBSTITUTE(SUBSTITUTE($G2092,"-"," ",LEN($G2092)-LEN(SUBSTITUTE($G2092,"-",""))),"-"," ",LEN($G2092)-LEN(SUBSTITUTE($G2092,"-",""))-1),"."," ",(LEN(SUBSTITUTE(SUBSTITUTE($G2092,"-"," ",LEN($G2092)-LEN(SUBSTITUTE($G2092,"-",""))),"-"," ",LEN($G2092)-LEN(SUBSTITUTE($G2092,"-",""))-1))-LEN(SUBSTITUTE(SUBSTITUTE(SUBSTITUTE($G2092,"-"," ",LEN($G2092)-LEN(SUBSTITUTE($G2092,"-",""))),"-"," ",LEN($G2092)-LEN(SUBSTITUTE($G2092,"-",""))-1),".",""))))),$G2092)))</f>
        <v/>
      </c>
    </row>
    <row r="2093">
      <c r="A2093" s="58" t="n"/>
      <c r="B2093" s="58">
        <f>IF($H2093="","",LEFT($H2093,FIND(" ",$H2093&amp;" ")-1))</f>
        <v/>
      </c>
      <c r="C2093" s="58">
        <f>IF($H2093="","",IFERROR(MID($H2093&amp;" ",FIND("|",SUBSTITUTE($H2093&amp;" "," ","|",1))+1,FIND("|",SUBSTITUTE($H2093&amp;" "," ","|",2))-FIND("|",SUBSTITUTE($H2093&amp;" "," ","|",1))-1),""))</f>
        <v/>
      </c>
      <c r="D2093" s="58">
        <f>IF($H2093="","",IFERROR(MID($H2093&amp;" ",FIND("|",SUBSTITUTE($H2093&amp;" "," ","|",2))+1,FIND("|",SUBSTITUTE($H2093&amp;" "," ","|",3))-FIND("|",SUBSTITUTE($H2093&amp;" "," ","|",2))-1),""))</f>
        <v/>
      </c>
      <c r="E2093" s="58">
        <f>IF($H2093="","",IFERROR(MID($H2093&amp;" ",FIND("|",SUBSTITUTE($H2093&amp;" "," ","|",3))+1,FIND("|",SUBSTITUTE($H2093&amp;" "," ","|",4))-FIND("|",SUBSTITUTE($H2093&amp;" "," ","|",3))-1),""))</f>
        <v/>
      </c>
      <c r="F2093" s="59">
        <f>IF($H2093="","",IFERROR(VALUE(IFERROR(MID($H2093&amp;" ",FIND("|",SUBSTITUTE($H2093&amp;" "," ","|",4))+1,FIND("|",SUBSTITUTE($H2093&amp;" "," ","|",5))-FIND("|",SUBSTITUTE($H2093&amp;" "," ","|",4))-1),""))/86400+25569+9/24,""))</f>
        <v/>
      </c>
      <c r="G2093" s="58">
        <f>TRIM(SUBSTITUTE(SUBSTITUTE(SUBSTITUTE($A2093,CHAR(9)," ")," "," "),CHAR(13),""))</f>
        <v/>
      </c>
      <c r="H2093" s="58">
        <f>IF($G2093="","",IF(ISNUMBER(FIND(" ",$G2093)),$G2093,IFERROR(IF((LEN(SUBSTITUTE(SUBSTITUTE($G2093,"-"," ",LEN($G2093)-LEN(SUBSTITUTE($G2093,"-",""))),"-"," ",LEN($G2093)-LEN(SUBSTITUTE($G2093,"-",""))-1))-LEN(SUBSTITUTE(SUBSTITUTE(SUBSTITUTE($G2093,"-"," ",LEN($G2093)-LEN(SUBSTITUTE($G2093,"-",""))),"-"," ",LEN($G2093)-LEN(SUBSTITUTE($G2093,"-",""))-1),".","")))=0,SUBSTITUTE(SUBSTITUTE($G2093,"-"," ",LEN($G2093)-LEN(SUBSTITUTE($G2093,"-",""))),"-"," ",LEN($G2093)-LEN(SUBSTITUTE($G2093,"-",""))-1),SUBSTITUTE(SUBSTITUTE(SUBSTITUTE($G2093,"-"," ",LEN($G2093)-LEN(SUBSTITUTE($G2093,"-",""))),"-"," ",LEN($G2093)-LEN(SUBSTITUTE($G2093,"-",""))-1),"."," ",(LEN(SUBSTITUTE(SUBSTITUTE($G2093,"-"," ",LEN($G2093)-LEN(SUBSTITUTE($G2093,"-",""))),"-"," ",LEN($G2093)-LEN(SUBSTITUTE($G2093,"-",""))-1))-LEN(SUBSTITUTE(SUBSTITUTE(SUBSTITUTE($G2093,"-"," ",LEN($G2093)-LEN(SUBSTITUTE($G2093,"-",""))),"-"," ",LEN($G2093)-LEN(SUBSTITUTE($G2093,"-",""))-1),".",""))))),$G2093)))</f>
        <v/>
      </c>
    </row>
    <row r="2094">
      <c r="A2094" s="58" t="n"/>
      <c r="B2094" s="58">
        <f>IF($H2094="","",LEFT($H2094,FIND(" ",$H2094&amp;" ")-1))</f>
        <v/>
      </c>
      <c r="C2094" s="58">
        <f>IF($H2094="","",IFERROR(MID($H2094&amp;" ",FIND("|",SUBSTITUTE($H2094&amp;" "," ","|",1))+1,FIND("|",SUBSTITUTE($H2094&amp;" "," ","|",2))-FIND("|",SUBSTITUTE($H2094&amp;" "," ","|",1))-1),""))</f>
        <v/>
      </c>
      <c r="D2094" s="58">
        <f>IF($H2094="","",IFERROR(MID($H2094&amp;" ",FIND("|",SUBSTITUTE($H2094&amp;" "," ","|",2))+1,FIND("|",SUBSTITUTE($H2094&amp;" "," ","|",3))-FIND("|",SUBSTITUTE($H2094&amp;" "," ","|",2))-1),""))</f>
        <v/>
      </c>
      <c r="E2094" s="58">
        <f>IF($H2094="","",IFERROR(MID($H2094&amp;" ",FIND("|",SUBSTITUTE($H2094&amp;" "," ","|",3))+1,FIND("|",SUBSTITUTE($H2094&amp;" "," ","|",4))-FIND("|",SUBSTITUTE($H2094&amp;" "," ","|",3))-1),""))</f>
        <v/>
      </c>
      <c r="F2094" s="59">
        <f>IF($H2094="","",IFERROR(VALUE(IFERROR(MID($H2094&amp;" ",FIND("|",SUBSTITUTE($H2094&amp;" "," ","|",4))+1,FIND("|",SUBSTITUTE($H2094&amp;" "," ","|",5))-FIND("|",SUBSTITUTE($H2094&amp;" "," ","|",4))-1),""))/86400+25569+9/24,""))</f>
        <v/>
      </c>
      <c r="G2094" s="58">
        <f>TRIM(SUBSTITUTE(SUBSTITUTE(SUBSTITUTE($A2094,CHAR(9)," ")," "," "),CHAR(13),""))</f>
        <v/>
      </c>
      <c r="H2094" s="58">
        <f>IF($G2094="","",IF(ISNUMBER(FIND(" ",$G2094)),$G2094,IFERROR(IF((LEN(SUBSTITUTE(SUBSTITUTE($G2094,"-"," ",LEN($G2094)-LEN(SUBSTITUTE($G2094,"-",""))),"-"," ",LEN($G2094)-LEN(SUBSTITUTE($G2094,"-",""))-1))-LEN(SUBSTITUTE(SUBSTITUTE(SUBSTITUTE($G2094,"-"," ",LEN($G2094)-LEN(SUBSTITUTE($G2094,"-",""))),"-"," ",LEN($G2094)-LEN(SUBSTITUTE($G2094,"-",""))-1),".","")))=0,SUBSTITUTE(SUBSTITUTE($G2094,"-"," ",LEN($G2094)-LEN(SUBSTITUTE($G2094,"-",""))),"-"," ",LEN($G2094)-LEN(SUBSTITUTE($G2094,"-",""))-1),SUBSTITUTE(SUBSTITUTE(SUBSTITUTE($G2094,"-"," ",LEN($G2094)-LEN(SUBSTITUTE($G2094,"-",""))),"-"," ",LEN($G2094)-LEN(SUBSTITUTE($G2094,"-",""))-1),"."," ",(LEN(SUBSTITUTE(SUBSTITUTE($G2094,"-"," ",LEN($G2094)-LEN(SUBSTITUTE($G2094,"-",""))),"-"," ",LEN($G2094)-LEN(SUBSTITUTE($G2094,"-",""))-1))-LEN(SUBSTITUTE(SUBSTITUTE(SUBSTITUTE($G2094,"-"," ",LEN($G2094)-LEN(SUBSTITUTE($G2094,"-",""))),"-"," ",LEN($G2094)-LEN(SUBSTITUTE($G2094,"-",""))-1),".",""))))),$G2094)))</f>
        <v/>
      </c>
    </row>
    <row r="2095">
      <c r="A2095" s="58" t="n"/>
      <c r="B2095" s="58">
        <f>IF($H2095="","",LEFT($H2095,FIND(" ",$H2095&amp;" ")-1))</f>
        <v/>
      </c>
      <c r="C2095" s="58">
        <f>IF($H2095="","",IFERROR(MID($H2095&amp;" ",FIND("|",SUBSTITUTE($H2095&amp;" "," ","|",1))+1,FIND("|",SUBSTITUTE($H2095&amp;" "," ","|",2))-FIND("|",SUBSTITUTE($H2095&amp;" "," ","|",1))-1),""))</f>
        <v/>
      </c>
      <c r="D2095" s="58">
        <f>IF($H2095="","",IFERROR(MID($H2095&amp;" ",FIND("|",SUBSTITUTE($H2095&amp;" "," ","|",2))+1,FIND("|",SUBSTITUTE($H2095&amp;" "," ","|",3))-FIND("|",SUBSTITUTE($H2095&amp;" "," ","|",2))-1),""))</f>
        <v/>
      </c>
      <c r="E2095" s="58">
        <f>IF($H2095="","",IFERROR(MID($H2095&amp;" ",FIND("|",SUBSTITUTE($H2095&amp;" "," ","|",3))+1,FIND("|",SUBSTITUTE($H2095&amp;" "," ","|",4))-FIND("|",SUBSTITUTE($H2095&amp;" "," ","|",3))-1),""))</f>
        <v/>
      </c>
      <c r="F2095" s="59">
        <f>IF($H2095="","",IFERROR(VALUE(IFERROR(MID($H2095&amp;" ",FIND("|",SUBSTITUTE($H2095&amp;" "," ","|",4))+1,FIND("|",SUBSTITUTE($H2095&amp;" "," ","|",5))-FIND("|",SUBSTITUTE($H2095&amp;" "," ","|",4))-1),""))/86400+25569+9/24,""))</f>
        <v/>
      </c>
      <c r="G2095" s="58">
        <f>TRIM(SUBSTITUTE(SUBSTITUTE(SUBSTITUTE($A2095,CHAR(9)," ")," "," "),CHAR(13),""))</f>
        <v/>
      </c>
      <c r="H2095" s="58">
        <f>IF($G2095="","",IF(ISNUMBER(FIND(" ",$G2095)),$G2095,IFERROR(IF((LEN(SUBSTITUTE(SUBSTITUTE($G2095,"-"," ",LEN($G2095)-LEN(SUBSTITUTE($G2095,"-",""))),"-"," ",LEN($G2095)-LEN(SUBSTITUTE($G2095,"-",""))-1))-LEN(SUBSTITUTE(SUBSTITUTE(SUBSTITUTE($G2095,"-"," ",LEN($G2095)-LEN(SUBSTITUTE($G2095,"-",""))),"-"," ",LEN($G2095)-LEN(SUBSTITUTE($G2095,"-",""))-1),".","")))=0,SUBSTITUTE(SUBSTITUTE($G2095,"-"," ",LEN($G2095)-LEN(SUBSTITUTE($G2095,"-",""))),"-"," ",LEN($G2095)-LEN(SUBSTITUTE($G2095,"-",""))-1),SUBSTITUTE(SUBSTITUTE(SUBSTITUTE($G2095,"-"," ",LEN($G2095)-LEN(SUBSTITUTE($G2095,"-",""))),"-"," ",LEN($G2095)-LEN(SUBSTITUTE($G2095,"-",""))-1),"."," ",(LEN(SUBSTITUTE(SUBSTITUTE($G2095,"-"," ",LEN($G2095)-LEN(SUBSTITUTE($G2095,"-",""))),"-"," ",LEN($G2095)-LEN(SUBSTITUTE($G2095,"-",""))-1))-LEN(SUBSTITUTE(SUBSTITUTE(SUBSTITUTE($G2095,"-"," ",LEN($G2095)-LEN(SUBSTITUTE($G2095,"-",""))),"-"," ",LEN($G2095)-LEN(SUBSTITUTE($G2095,"-",""))-1),".",""))))),$G2095)))</f>
        <v/>
      </c>
    </row>
    <row r="2096">
      <c r="A2096" s="58" t="n"/>
      <c r="B2096" s="58">
        <f>IF($H2096="","",LEFT($H2096,FIND(" ",$H2096&amp;" ")-1))</f>
        <v/>
      </c>
      <c r="C2096" s="58">
        <f>IF($H2096="","",IFERROR(MID($H2096&amp;" ",FIND("|",SUBSTITUTE($H2096&amp;" "," ","|",1))+1,FIND("|",SUBSTITUTE($H2096&amp;" "," ","|",2))-FIND("|",SUBSTITUTE($H2096&amp;" "," ","|",1))-1),""))</f>
        <v/>
      </c>
      <c r="D2096" s="58">
        <f>IF($H2096="","",IFERROR(MID($H2096&amp;" ",FIND("|",SUBSTITUTE($H2096&amp;" "," ","|",2))+1,FIND("|",SUBSTITUTE($H2096&amp;" "," ","|",3))-FIND("|",SUBSTITUTE($H2096&amp;" "," ","|",2))-1),""))</f>
        <v/>
      </c>
      <c r="E2096" s="58">
        <f>IF($H2096="","",IFERROR(MID($H2096&amp;" ",FIND("|",SUBSTITUTE($H2096&amp;" "," ","|",3))+1,FIND("|",SUBSTITUTE($H2096&amp;" "," ","|",4))-FIND("|",SUBSTITUTE($H2096&amp;" "," ","|",3))-1),""))</f>
        <v/>
      </c>
      <c r="F2096" s="59">
        <f>IF($H2096="","",IFERROR(VALUE(IFERROR(MID($H2096&amp;" ",FIND("|",SUBSTITUTE($H2096&amp;" "," ","|",4))+1,FIND("|",SUBSTITUTE($H2096&amp;" "," ","|",5))-FIND("|",SUBSTITUTE($H2096&amp;" "," ","|",4))-1),""))/86400+25569+9/24,""))</f>
        <v/>
      </c>
      <c r="G2096" s="58">
        <f>TRIM(SUBSTITUTE(SUBSTITUTE(SUBSTITUTE($A2096,CHAR(9)," ")," "," "),CHAR(13),""))</f>
        <v/>
      </c>
      <c r="H2096" s="58">
        <f>IF($G2096="","",IF(ISNUMBER(FIND(" ",$G2096)),$G2096,IFERROR(IF((LEN(SUBSTITUTE(SUBSTITUTE($G2096,"-"," ",LEN($G2096)-LEN(SUBSTITUTE($G2096,"-",""))),"-"," ",LEN($G2096)-LEN(SUBSTITUTE($G2096,"-",""))-1))-LEN(SUBSTITUTE(SUBSTITUTE(SUBSTITUTE($G2096,"-"," ",LEN($G2096)-LEN(SUBSTITUTE($G2096,"-",""))),"-"," ",LEN($G2096)-LEN(SUBSTITUTE($G2096,"-",""))-1),".","")))=0,SUBSTITUTE(SUBSTITUTE($G2096,"-"," ",LEN($G2096)-LEN(SUBSTITUTE($G2096,"-",""))),"-"," ",LEN($G2096)-LEN(SUBSTITUTE($G2096,"-",""))-1),SUBSTITUTE(SUBSTITUTE(SUBSTITUTE($G2096,"-"," ",LEN($G2096)-LEN(SUBSTITUTE($G2096,"-",""))),"-"," ",LEN($G2096)-LEN(SUBSTITUTE($G2096,"-",""))-1),"."," ",(LEN(SUBSTITUTE(SUBSTITUTE($G2096,"-"," ",LEN($G2096)-LEN(SUBSTITUTE($G2096,"-",""))),"-"," ",LEN($G2096)-LEN(SUBSTITUTE($G2096,"-",""))-1))-LEN(SUBSTITUTE(SUBSTITUTE(SUBSTITUTE($G2096,"-"," ",LEN($G2096)-LEN(SUBSTITUTE($G2096,"-",""))),"-"," ",LEN($G2096)-LEN(SUBSTITUTE($G2096,"-",""))-1),".",""))))),$G2096)))</f>
        <v/>
      </c>
    </row>
    <row r="2097">
      <c r="A2097" s="58" t="n"/>
      <c r="B2097" s="58">
        <f>IF($H2097="","",LEFT($H2097,FIND(" ",$H2097&amp;" ")-1))</f>
        <v/>
      </c>
      <c r="C2097" s="58">
        <f>IF($H2097="","",IFERROR(MID($H2097&amp;" ",FIND("|",SUBSTITUTE($H2097&amp;" "," ","|",1))+1,FIND("|",SUBSTITUTE($H2097&amp;" "," ","|",2))-FIND("|",SUBSTITUTE($H2097&amp;" "," ","|",1))-1),""))</f>
        <v/>
      </c>
      <c r="D2097" s="58">
        <f>IF($H2097="","",IFERROR(MID($H2097&amp;" ",FIND("|",SUBSTITUTE($H2097&amp;" "," ","|",2))+1,FIND("|",SUBSTITUTE($H2097&amp;" "," ","|",3))-FIND("|",SUBSTITUTE($H2097&amp;" "," ","|",2))-1),""))</f>
        <v/>
      </c>
      <c r="E2097" s="58">
        <f>IF($H2097="","",IFERROR(MID($H2097&amp;" ",FIND("|",SUBSTITUTE($H2097&amp;" "," ","|",3))+1,FIND("|",SUBSTITUTE($H2097&amp;" "," ","|",4))-FIND("|",SUBSTITUTE($H2097&amp;" "," ","|",3))-1),""))</f>
        <v/>
      </c>
      <c r="F2097" s="59">
        <f>IF($H2097="","",IFERROR(VALUE(IFERROR(MID($H2097&amp;" ",FIND("|",SUBSTITUTE($H2097&amp;" "," ","|",4))+1,FIND("|",SUBSTITUTE($H2097&amp;" "," ","|",5))-FIND("|",SUBSTITUTE($H2097&amp;" "," ","|",4))-1),""))/86400+25569+9/24,""))</f>
        <v/>
      </c>
      <c r="G2097" s="58">
        <f>TRIM(SUBSTITUTE(SUBSTITUTE(SUBSTITUTE($A2097,CHAR(9)," ")," "," "),CHAR(13),""))</f>
        <v/>
      </c>
      <c r="H2097" s="58">
        <f>IF($G2097="","",IF(ISNUMBER(FIND(" ",$G2097)),$G2097,IFERROR(IF((LEN(SUBSTITUTE(SUBSTITUTE($G2097,"-"," ",LEN($G2097)-LEN(SUBSTITUTE($G2097,"-",""))),"-"," ",LEN($G2097)-LEN(SUBSTITUTE($G2097,"-",""))-1))-LEN(SUBSTITUTE(SUBSTITUTE(SUBSTITUTE($G2097,"-"," ",LEN($G2097)-LEN(SUBSTITUTE($G2097,"-",""))),"-"," ",LEN($G2097)-LEN(SUBSTITUTE($G2097,"-",""))-1),".","")))=0,SUBSTITUTE(SUBSTITUTE($G2097,"-"," ",LEN($G2097)-LEN(SUBSTITUTE($G2097,"-",""))),"-"," ",LEN($G2097)-LEN(SUBSTITUTE($G2097,"-",""))-1),SUBSTITUTE(SUBSTITUTE(SUBSTITUTE($G2097,"-"," ",LEN($G2097)-LEN(SUBSTITUTE($G2097,"-",""))),"-"," ",LEN($G2097)-LEN(SUBSTITUTE($G2097,"-",""))-1),"."," ",(LEN(SUBSTITUTE(SUBSTITUTE($G2097,"-"," ",LEN($G2097)-LEN(SUBSTITUTE($G2097,"-",""))),"-"," ",LEN($G2097)-LEN(SUBSTITUTE($G2097,"-",""))-1))-LEN(SUBSTITUTE(SUBSTITUTE(SUBSTITUTE($G2097,"-"," ",LEN($G2097)-LEN(SUBSTITUTE($G2097,"-",""))),"-"," ",LEN($G2097)-LEN(SUBSTITUTE($G2097,"-",""))-1),".",""))))),$G2097)))</f>
        <v/>
      </c>
    </row>
    <row r="2098">
      <c r="A2098" s="58" t="n"/>
      <c r="B2098" s="58">
        <f>IF($H2098="","",LEFT($H2098,FIND(" ",$H2098&amp;" ")-1))</f>
        <v/>
      </c>
      <c r="C2098" s="58">
        <f>IF($H2098="","",IFERROR(MID($H2098&amp;" ",FIND("|",SUBSTITUTE($H2098&amp;" "," ","|",1))+1,FIND("|",SUBSTITUTE($H2098&amp;" "," ","|",2))-FIND("|",SUBSTITUTE($H2098&amp;" "," ","|",1))-1),""))</f>
        <v/>
      </c>
      <c r="D2098" s="58">
        <f>IF($H2098="","",IFERROR(MID($H2098&amp;" ",FIND("|",SUBSTITUTE($H2098&amp;" "," ","|",2))+1,FIND("|",SUBSTITUTE($H2098&amp;" "," ","|",3))-FIND("|",SUBSTITUTE($H2098&amp;" "," ","|",2))-1),""))</f>
        <v/>
      </c>
      <c r="E2098" s="58">
        <f>IF($H2098="","",IFERROR(MID($H2098&amp;" ",FIND("|",SUBSTITUTE($H2098&amp;" "," ","|",3))+1,FIND("|",SUBSTITUTE($H2098&amp;" "," ","|",4))-FIND("|",SUBSTITUTE($H2098&amp;" "," ","|",3))-1),""))</f>
        <v/>
      </c>
      <c r="F2098" s="59">
        <f>IF($H2098="","",IFERROR(VALUE(IFERROR(MID($H2098&amp;" ",FIND("|",SUBSTITUTE($H2098&amp;" "," ","|",4))+1,FIND("|",SUBSTITUTE($H2098&amp;" "," ","|",5))-FIND("|",SUBSTITUTE($H2098&amp;" "," ","|",4))-1),""))/86400+25569+9/24,""))</f>
        <v/>
      </c>
      <c r="G2098" s="58">
        <f>TRIM(SUBSTITUTE(SUBSTITUTE(SUBSTITUTE($A2098,CHAR(9)," ")," "," "),CHAR(13),""))</f>
        <v/>
      </c>
      <c r="H2098" s="58">
        <f>IF($G2098="","",IF(ISNUMBER(FIND(" ",$G2098)),$G2098,IFERROR(IF((LEN(SUBSTITUTE(SUBSTITUTE($G2098,"-"," ",LEN($G2098)-LEN(SUBSTITUTE($G2098,"-",""))),"-"," ",LEN($G2098)-LEN(SUBSTITUTE($G2098,"-",""))-1))-LEN(SUBSTITUTE(SUBSTITUTE(SUBSTITUTE($G2098,"-"," ",LEN($G2098)-LEN(SUBSTITUTE($G2098,"-",""))),"-"," ",LEN($G2098)-LEN(SUBSTITUTE($G2098,"-",""))-1),".","")))=0,SUBSTITUTE(SUBSTITUTE($G2098,"-"," ",LEN($G2098)-LEN(SUBSTITUTE($G2098,"-",""))),"-"," ",LEN($G2098)-LEN(SUBSTITUTE($G2098,"-",""))-1),SUBSTITUTE(SUBSTITUTE(SUBSTITUTE($G2098,"-"," ",LEN($G2098)-LEN(SUBSTITUTE($G2098,"-",""))),"-"," ",LEN($G2098)-LEN(SUBSTITUTE($G2098,"-",""))-1),"."," ",(LEN(SUBSTITUTE(SUBSTITUTE($G2098,"-"," ",LEN($G2098)-LEN(SUBSTITUTE($G2098,"-",""))),"-"," ",LEN($G2098)-LEN(SUBSTITUTE($G2098,"-",""))-1))-LEN(SUBSTITUTE(SUBSTITUTE(SUBSTITUTE($G2098,"-"," ",LEN($G2098)-LEN(SUBSTITUTE($G2098,"-",""))),"-"," ",LEN($G2098)-LEN(SUBSTITUTE($G2098,"-",""))-1),".",""))))),$G2098)))</f>
        <v/>
      </c>
    </row>
    <row r="2099">
      <c r="A2099" s="58" t="n"/>
      <c r="B2099" s="58">
        <f>IF($H2099="","",LEFT($H2099,FIND(" ",$H2099&amp;" ")-1))</f>
        <v/>
      </c>
      <c r="C2099" s="58">
        <f>IF($H2099="","",IFERROR(MID($H2099&amp;" ",FIND("|",SUBSTITUTE($H2099&amp;" "," ","|",1))+1,FIND("|",SUBSTITUTE($H2099&amp;" "," ","|",2))-FIND("|",SUBSTITUTE($H2099&amp;" "," ","|",1))-1),""))</f>
        <v/>
      </c>
      <c r="D2099" s="58">
        <f>IF($H2099="","",IFERROR(MID($H2099&amp;" ",FIND("|",SUBSTITUTE($H2099&amp;" "," ","|",2))+1,FIND("|",SUBSTITUTE($H2099&amp;" "," ","|",3))-FIND("|",SUBSTITUTE($H2099&amp;" "," ","|",2))-1),""))</f>
        <v/>
      </c>
      <c r="E2099" s="58">
        <f>IF($H2099="","",IFERROR(MID($H2099&amp;" ",FIND("|",SUBSTITUTE($H2099&amp;" "," ","|",3))+1,FIND("|",SUBSTITUTE($H2099&amp;" "," ","|",4))-FIND("|",SUBSTITUTE($H2099&amp;" "," ","|",3))-1),""))</f>
        <v/>
      </c>
      <c r="F2099" s="59">
        <f>IF($H2099="","",IFERROR(VALUE(IFERROR(MID($H2099&amp;" ",FIND("|",SUBSTITUTE($H2099&amp;" "," ","|",4))+1,FIND("|",SUBSTITUTE($H2099&amp;" "," ","|",5))-FIND("|",SUBSTITUTE($H2099&amp;" "," ","|",4))-1),""))/86400+25569+9/24,""))</f>
        <v/>
      </c>
      <c r="G2099" s="58">
        <f>TRIM(SUBSTITUTE(SUBSTITUTE(SUBSTITUTE($A2099,CHAR(9)," ")," "," "),CHAR(13),""))</f>
        <v/>
      </c>
      <c r="H2099" s="58">
        <f>IF($G2099="","",IF(ISNUMBER(FIND(" ",$G2099)),$G2099,IFERROR(IF((LEN(SUBSTITUTE(SUBSTITUTE($G2099,"-"," ",LEN($G2099)-LEN(SUBSTITUTE($G2099,"-",""))),"-"," ",LEN($G2099)-LEN(SUBSTITUTE($G2099,"-",""))-1))-LEN(SUBSTITUTE(SUBSTITUTE(SUBSTITUTE($G2099,"-"," ",LEN($G2099)-LEN(SUBSTITUTE($G2099,"-",""))),"-"," ",LEN($G2099)-LEN(SUBSTITUTE($G2099,"-",""))-1),".","")))=0,SUBSTITUTE(SUBSTITUTE($G2099,"-"," ",LEN($G2099)-LEN(SUBSTITUTE($G2099,"-",""))),"-"," ",LEN($G2099)-LEN(SUBSTITUTE($G2099,"-",""))-1),SUBSTITUTE(SUBSTITUTE(SUBSTITUTE($G2099,"-"," ",LEN($G2099)-LEN(SUBSTITUTE($G2099,"-",""))),"-"," ",LEN($G2099)-LEN(SUBSTITUTE($G2099,"-",""))-1),"."," ",(LEN(SUBSTITUTE(SUBSTITUTE($G2099,"-"," ",LEN($G2099)-LEN(SUBSTITUTE($G2099,"-",""))),"-"," ",LEN($G2099)-LEN(SUBSTITUTE($G2099,"-",""))-1))-LEN(SUBSTITUTE(SUBSTITUTE(SUBSTITUTE($G2099,"-"," ",LEN($G2099)-LEN(SUBSTITUTE($G2099,"-",""))),"-"," ",LEN($G2099)-LEN(SUBSTITUTE($G2099,"-",""))-1),".",""))))),$G2099)))</f>
        <v/>
      </c>
    </row>
    <row r="2100">
      <c r="A2100" s="58" t="n"/>
      <c r="B2100" s="58">
        <f>IF($H2100="","",LEFT($H2100,FIND(" ",$H2100&amp;" ")-1))</f>
        <v/>
      </c>
      <c r="C2100" s="58">
        <f>IF($H2100="","",IFERROR(MID($H2100&amp;" ",FIND("|",SUBSTITUTE($H2100&amp;" "," ","|",1))+1,FIND("|",SUBSTITUTE($H2100&amp;" "," ","|",2))-FIND("|",SUBSTITUTE($H2100&amp;" "," ","|",1))-1),""))</f>
        <v/>
      </c>
      <c r="D2100" s="58">
        <f>IF($H2100="","",IFERROR(MID($H2100&amp;" ",FIND("|",SUBSTITUTE($H2100&amp;" "," ","|",2))+1,FIND("|",SUBSTITUTE($H2100&amp;" "," ","|",3))-FIND("|",SUBSTITUTE($H2100&amp;" "," ","|",2))-1),""))</f>
        <v/>
      </c>
      <c r="E2100" s="58">
        <f>IF($H2100="","",IFERROR(MID($H2100&amp;" ",FIND("|",SUBSTITUTE($H2100&amp;" "," ","|",3))+1,FIND("|",SUBSTITUTE($H2100&amp;" "," ","|",4))-FIND("|",SUBSTITUTE($H2100&amp;" "," ","|",3))-1),""))</f>
        <v/>
      </c>
      <c r="F2100" s="59">
        <f>IF($H2100="","",IFERROR(VALUE(IFERROR(MID($H2100&amp;" ",FIND("|",SUBSTITUTE($H2100&amp;" "," ","|",4))+1,FIND("|",SUBSTITUTE($H2100&amp;" "," ","|",5))-FIND("|",SUBSTITUTE($H2100&amp;" "," ","|",4))-1),""))/86400+25569+9/24,""))</f>
        <v/>
      </c>
      <c r="G2100" s="58">
        <f>TRIM(SUBSTITUTE(SUBSTITUTE(SUBSTITUTE($A2100,CHAR(9)," ")," "," "),CHAR(13),""))</f>
        <v/>
      </c>
      <c r="H2100" s="58">
        <f>IF($G2100="","",IF(ISNUMBER(FIND(" ",$G2100)),$G2100,IFERROR(IF((LEN(SUBSTITUTE(SUBSTITUTE($G2100,"-"," ",LEN($G2100)-LEN(SUBSTITUTE($G2100,"-",""))),"-"," ",LEN($G2100)-LEN(SUBSTITUTE($G2100,"-",""))-1))-LEN(SUBSTITUTE(SUBSTITUTE(SUBSTITUTE($G2100,"-"," ",LEN($G2100)-LEN(SUBSTITUTE($G2100,"-",""))),"-"," ",LEN($G2100)-LEN(SUBSTITUTE($G2100,"-",""))-1),".","")))=0,SUBSTITUTE(SUBSTITUTE($G2100,"-"," ",LEN($G2100)-LEN(SUBSTITUTE($G2100,"-",""))),"-"," ",LEN($G2100)-LEN(SUBSTITUTE($G2100,"-",""))-1),SUBSTITUTE(SUBSTITUTE(SUBSTITUTE($G2100,"-"," ",LEN($G2100)-LEN(SUBSTITUTE($G2100,"-",""))),"-"," ",LEN($G2100)-LEN(SUBSTITUTE($G2100,"-",""))-1),"."," ",(LEN(SUBSTITUTE(SUBSTITUTE($G2100,"-"," ",LEN($G2100)-LEN(SUBSTITUTE($G2100,"-",""))),"-"," ",LEN($G2100)-LEN(SUBSTITUTE($G2100,"-",""))-1))-LEN(SUBSTITUTE(SUBSTITUTE(SUBSTITUTE($G2100,"-"," ",LEN($G2100)-LEN(SUBSTITUTE($G2100,"-",""))),"-"," ",LEN($G2100)-LEN(SUBSTITUTE($G2100,"-",""))-1),".",""))))),$G2100)))</f>
        <v/>
      </c>
    </row>
    <row r="2101">
      <c r="A2101" s="58" t="n"/>
      <c r="B2101" s="58">
        <f>IF($H2101="","",LEFT($H2101,FIND(" ",$H2101&amp;" ")-1))</f>
        <v/>
      </c>
      <c r="C2101" s="58">
        <f>IF($H2101="","",IFERROR(MID($H2101&amp;" ",FIND("|",SUBSTITUTE($H2101&amp;" "," ","|",1))+1,FIND("|",SUBSTITUTE($H2101&amp;" "," ","|",2))-FIND("|",SUBSTITUTE($H2101&amp;" "," ","|",1))-1),""))</f>
        <v/>
      </c>
      <c r="D2101" s="58">
        <f>IF($H2101="","",IFERROR(MID($H2101&amp;" ",FIND("|",SUBSTITUTE($H2101&amp;" "," ","|",2))+1,FIND("|",SUBSTITUTE($H2101&amp;" "," ","|",3))-FIND("|",SUBSTITUTE($H2101&amp;" "," ","|",2))-1),""))</f>
        <v/>
      </c>
      <c r="E2101" s="58">
        <f>IF($H2101="","",IFERROR(MID($H2101&amp;" ",FIND("|",SUBSTITUTE($H2101&amp;" "," ","|",3))+1,FIND("|",SUBSTITUTE($H2101&amp;" "," ","|",4))-FIND("|",SUBSTITUTE($H2101&amp;" "," ","|",3))-1),""))</f>
        <v/>
      </c>
      <c r="F2101" s="59">
        <f>IF($H2101="","",IFERROR(VALUE(IFERROR(MID($H2101&amp;" ",FIND("|",SUBSTITUTE($H2101&amp;" "," ","|",4))+1,FIND("|",SUBSTITUTE($H2101&amp;" "," ","|",5))-FIND("|",SUBSTITUTE($H2101&amp;" "," ","|",4))-1),""))/86400+25569+9/24,""))</f>
        <v/>
      </c>
      <c r="G2101" s="58">
        <f>TRIM(SUBSTITUTE(SUBSTITUTE(SUBSTITUTE($A2101,CHAR(9)," ")," "," "),CHAR(13),""))</f>
        <v/>
      </c>
      <c r="H2101" s="58">
        <f>IF($G2101="","",IF(ISNUMBER(FIND(" ",$G2101)),$G2101,IFERROR(IF((LEN(SUBSTITUTE(SUBSTITUTE($G2101,"-"," ",LEN($G2101)-LEN(SUBSTITUTE($G2101,"-",""))),"-"," ",LEN($G2101)-LEN(SUBSTITUTE($G2101,"-",""))-1))-LEN(SUBSTITUTE(SUBSTITUTE(SUBSTITUTE($G2101,"-"," ",LEN($G2101)-LEN(SUBSTITUTE($G2101,"-",""))),"-"," ",LEN($G2101)-LEN(SUBSTITUTE($G2101,"-",""))-1),".","")))=0,SUBSTITUTE(SUBSTITUTE($G2101,"-"," ",LEN($G2101)-LEN(SUBSTITUTE($G2101,"-",""))),"-"," ",LEN($G2101)-LEN(SUBSTITUTE($G2101,"-",""))-1),SUBSTITUTE(SUBSTITUTE(SUBSTITUTE($G2101,"-"," ",LEN($G2101)-LEN(SUBSTITUTE($G2101,"-",""))),"-"," ",LEN($G2101)-LEN(SUBSTITUTE($G2101,"-",""))-1),"."," ",(LEN(SUBSTITUTE(SUBSTITUTE($G2101,"-"," ",LEN($G2101)-LEN(SUBSTITUTE($G2101,"-",""))),"-"," ",LEN($G2101)-LEN(SUBSTITUTE($G2101,"-",""))-1))-LEN(SUBSTITUTE(SUBSTITUTE(SUBSTITUTE($G2101,"-"," ",LEN($G2101)-LEN(SUBSTITUTE($G2101,"-",""))),"-"," ",LEN($G2101)-LEN(SUBSTITUTE($G2101,"-",""))-1),".",""))))),$G2101)))</f>
        <v/>
      </c>
    </row>
    <row r="2102">
      <c r="A2102" s="58" t="n"/>
      <c r="B2102" s="58">
        <f>IF($H2102="","",LEFT($H2102,FIND(" ",$H2102&amp;" ")-1))</f>
        <v/>
      </c>
      <c r="C2102" s="58">
        <f>IF($H2102="","",IFERROR(MID($H2102&amp;" ",FIND("|",SUBSTITUTE($H2102&amp;" "," ","|",1))+1,FIND("|",SUBSTITUTE($H2102&amp;" "," ","|",2))-FIND("|",SUBSTITUTE($H2102&amp;" "," ","|",1))-1),""))</f>
        <v/>
      </c>
      <c r="D2102" s="58">
        <f>IF($H2102="","",IFERROR(MID($H2102&amp;" ",FIND("|",SUBSTITUTE($H2102&amp;" "," ","|",2))+1,FIND("|",SUBSTITUTE($H2102&amp;" "," ","|",3))-FIND("|",SUBSTITUTE($H2102&amp;" "," ","|",2))-1),""))</f>
        <v/>
      </c>
      <c r="E2102" s="58">
        <f>IF($H2102="","",IFERROR(MID($H2102&amp;" ",FIND("|",SUBSTITUTE($H2102&amp;" "," ","|",3))+1,FIND("|",SUBSTITUTE($H2102&amp;" "," ","|",4))-FIND("|",SUBSTITUTE($H2102&amp;" "," ","|",3))-1),""))</f>
        <v/>
      </c>
      <c r="F2102" s="59">
        <f>IF($H2102="","",IFERROR(VALUE(IFERROR(MID($H2102&amp;" ",FIND("|",SUBSTITUTE($H2102&amp;" "," ","|",4))+1,FIND("|",SUBSTITUTE($H2102&amp;" "," ","|",5))-FIND("|",SUBSTITUTE($H2102&amp;" "," ","|",4))-1),""))/86400+25569+9/24,""))</f>
        <v/>
      </c>
      <c r="G2102" s="58">
        <f>TRIM(SUBSTITUTE(SUBSTITUTE(SUBSTITUTE($A2102,CHAR(9)," ")," "," "),CHAR(13),""))</f>
        <v/>
      </c>
      <c r="H2102" s="58">
        <f>IF($G2102="","",IF(ISNUMBER(FIND(" ",$G2102)),$G2102,IFERROR(IF((LEN(SUBSTITUTE(SUBSTITUTE($G2102,"-"," ",LEN($G2102)-LEN(SUBSTITUTE($G2102,"-",""))),"-"," ",LEN($G2102)-LEN(SUBSTITUTE($G2102,"-",""))-1))-LEN(SUBSTITUTE(SUBSTITUTE(SUBSTITUTE($G2102,"-"," ",LEN($G2102)-LEN(SUBSTITUTE($G2102,"-",""))),"-"," ",LEN($G2102)-LEN(SUBSTITUTE($G2102,"-",""))-1),".","")))=0,SUBSTITUTE(SUBSTITUTE($G2102,"-"," ",LEN($G2102)-LEN(SUBSTITUTE($G2102,"-",""))),"-"," ",LEN($G2102)-LEN(SUBSTITUTE($G2102,"-",""))-1),SUBSTITUTE(SUBSTITUTE(SUBSTITUTE($G2102,"-"," ",LEN($G2102)-LEN(SUBSTITUTE($G2102,"-",""))),"-"," ",LEN($G2102)-LEN(SUBSTITUTE($G2102,"-",""))-1),"."," ",(LEN(SUBSTITUTE(SUBSTITUTE($G2102,"-"," ",LEN($G2102)-LEN(SUBSTITUTE($G2102,"-",""))),"-"," ",LEN($G2102)-LEN(SUBSTITUTE($G2102,"-",""))-1))-LEN(SUBSTITUTE(SUBSTITUTE(SUBSTITUTE($G2102,"-"," ",LEN($G2102)-LEN(SUBSTITUTE($G2102,"-",""))),"-"," ",LEN($G2102)-LEN(SUBSTITUTE($G2102,"-",""))-1),".",""))))),$G2102)))</f>
        <v/>
      </c>
    </row>
    <row r="2103">
      <c r="A2103" s="58" t="n"/>
      <c r="B2103" s="58">
        <f>IF($H2103="","",LEFT($H2103,FIND(" ",$H2103&amp;" ")-1))</f>
        <v/>
      </c>
      <c r="C2103" s="58">
        <f>IF($H2103="","",IFERROR(MID($H2103&amp;" ",FIND("|",SUBSTITUTE($H2103&amp;" "," ","|",1))+1,FIND("|",SUBSTITUTE($H2103&amp;" "," ","|",2))-FIND("|",SUBSTITUTE($H2103&amp;" "," ","|",1))-1),""))</f>
        <v/>
      </c>
      <c r="D2103" s="58">
        <f>IF($H2103="","",IFERROR(MID($H2103&amp;" ",FIND("|",SUBSTITUTE($H2103&amp;" "," ","|",2))+1,FIND("|",SUBSTITUTE($H2103&amp;" "," ","|",3))-FIND("|",SUBSTITUTE($H2103&amp;" "," ","|",2))-1),""))</f>
        <v/>
      </c>
      <c r="E2103" s="58">
        <f>IF($H2103="","",IFERROR(MID($H2103&amp;" ",FIND("|",SUBSTITUTE($H2103&amp;" "," ","|",3))+1,FIND("|",SUBSTITUTE($H2103&amp;" "," ","|",4))-FIND("|",SUBSTITUTE($H2103&amp;" "," ","|",3))-1),""))</f>
        <v/>
      </c>
      <c r="F2103" s="59">
        <f>IF($H2103="","",IFERROR(VALUE(IFERROR(MID($H2103&amp;" ",FIND("|",SUBSTITUTE($H2103&amp;" "," ","|",4))+1,FIND("|",SUBSTITUTE($H2103&amp;" "," ","|",5))-FIND("|",SUBSTITUTE($H2103&amp;" "," ","|",4))-1),""))/86400+25569+9/24,""))</f>
        <v/>
      </c>
      <c r="G2103" s="58">
        <f>TRIM(SUBSTITUTE(SUBSTITUTE(SUBSTITUTE($A2103,CHAR(9)," ")," "," "),CHAR(13),""))</f>
        <v/>
      </c>
      <c r="H2103" s="58">
        <f>IF($G2103="","",IF(ISNUMBER(FIND(" ",$G2103)),$G2103,IFERROR(IF((LEN(SUBSTITUTE(SUBSTITUTE($G2103,"-"," ",LEN($G2103)-LEN(SUBSTITUTE($G2103,"-",""))),"-"," ",LEN($G2103)-LEN(SUBSTITUTE($G2103,"-",""))-1))-LEN(SUBSTITUTE(SUBSTITUTE(SUBSTITUTE($G2103,"-"," ",LEN($G2103)-LEN(SUBSTITUTE($G2103,"-",""))),"-"," ",LEN($G2103)-LEN(SUBSTITUTE($G2103,"-",""))-1),".","")))=0,SUBSTITUTE(SUBSTITUTE($G2103,"-"," ",LEN($G2103)-LEN(SUBSTITUTE($G2103,"-",""))),"-"," ",LEN($G2103)-LEN(SUBSTITUTE($G2103,"-",""))-1),SUBSTITUTE(SUBSTITUTE(SUBSTITUTE($G2103,"-"," ",LEN($G2103)-LEN(SUBSTITUTE($G2103,"-",""))),"-"," ",LEN($G2103)-LEN(SUBSTITUTE($G2103,"-",""))-1),"."," ",(LEN(SUBSTITUTE(SUBSTITUTE($G2103,"-"," ",LEN($G2103)-LEN(SUBSTITUTE($G2103,"-",""))),"-"," ",LEN($G2103)-LEN(SUBSTITUTE($G2103,"-",""))-1))-LEN(SUBSTITUTE(SUBSTITUTE(SUBSTITUTE($G2103,"-"," ",LEN($G2103)-LEN(SUBSTITUTE($G2103,"-",""))),"-"," ",LEN($G2103)-LEN(SUBSTITUTE($G2103,"-",""))-1),".",""))))),$G2103)))</f>
        <v/>
      </c>
    </row>
    <row r="2104">
      <c r="A2104" s="58" t="n"/>
      <c r="B2104" s="58">
        <f>IF($H2104="","",LEFT($H2104,FIND(" ",$H2104&amp;" ")-1))</f>
        <v/>
      </c>
      <c r="C2104" s="58">
        <f>IF($H2104="","",IFERROR(MID($H2104&amp;" ",FIND("|",SUBSTITUTE($H2104&amp;" "," ","|",1))+1,FIND("|",SUBSTITUTE($H2104&amp;" "," ","|",2))-FIND("|",SUBSTITUTE($H2104&amp;" "," ","|",1))-1),""))</f>
        <v/>
      </c>
      <c r="D2104" s="58">
        <f>IF($H2104="","",IFERROR(MID($H2104&amp;" ",FIND("|",SUBSTITUTE($H2104&amp;" "," ","|",2))+1,FIND("|",SUBSTITUTE($H2104&amp;" "," ","|",3))-FIND("|",SUBSTITUTE($H2104&amp;" "," ","|",2))-1),""))</f>
        <v/>
      </c>
      <c r="E2104" s="58">
        <f>IF($H2104="","",IFERROR(MID($H2104&amp;" ",FIND("|",SUBSTITUTE($H2104&amp;" "," ","|",3))+1,FIND("|",SUBSTITUTE($H2104&amp;" "," ","|",4))-FIND("|",SUBSTITUTE($H2104&amp;" "," ","|",3))-1),""))</f>
        <v/>
      </c>
      <c r="F2104" s="59">
        <f>IF($H2104="","",IFERROR(VALUE(IFERROR(MID($H2104&amp;" ",FIND("|",SUBSTITUTE($H2104&amp;" "," ","|",4))+1,FIND("|",SUBSTITUTE($H2104&amp;" "," ","|",5))-FIND("|",SUBSTITUTE($H2104&amp;" "," ","|",4))-1),""))/86400+25569+9/24,""))</f>
        <v/>
      </c>
      <c r="G2104" s="58">
        <f>TRIM(SUBSTITUTE(SUBSTITUTE(SUBSTITUTE($A2104,CHAR(9)," ")," "," "),CHAR(13),""))</f>
        <v/>
      </c>
      <c r="H2104" s="58">
        <f>IF($G2104="","",IF(ISNUMBER(FIND(" ",$G2104)),$G2104,IFERROR(IF((LEN(SUBSTITUTE(SUBSTITUTE($G2104,"-"," ",LEN($G2104)-LEN(SUBSTITUTE($G2104,"-",""))),"-"," ",LEN($G2104)-LEN(SUBSTITUTE($G2104,"-",""))-1))-LEN(SUBSTITUTE(SUBSTITUTE(SUBSTITUTE($G2104,"-"," ",LEN($G2104)-LEN(SUBSTITUTE($G2104,"-",""))),"-"," ",LEN($G2104)-LEN(SUBSTITUTE($G2104,"-",""))-1),".","")))=0,SUBSTITUTE(SUBSTITUTE($G2104,"-"," ",LEN($G2104)-LEN(SUBSTITUTE($G2104,"-",""))),"-"," ",LEN($G2104)-LEN(SUBSTITUTE($G2104,"-",""))-1),SUBSTITUTE(SUBSTITUTE(SUBSTITUTE($G2104,"-"," ",LEN($G2104)-LEN(SUBSTITUTE($G2104,"-",""))),"-"," ",LEN($G2104)-LEN(SUBSTITUTE($G2104,"-",""))-1),"."," ",(LEN(SUBSTITUTE(SUBSTITUTE($G2104,"-"," ",LEN($G2104)-LEN(SUBSTITUTE($G2104,"-",""))),"-"," ",LEN($G2104)-LEN(SUBSTITUTE($G2104,"-",""))-1))-LEN(SUBSTITUTE(SUBSTITUTE(SUBSTITUTE($G2104,"-"," ",LEN($G2104)-LEN(SUBSTITUTE($G2104,"-",""))),"-"," ",LEN($G2104)-LEN(SUBSTITUTE($G2104,"-",""))-1),".",""))))),$G2104)))</f>
        <v/>
      </c>
    </row>
    <row r="2105">
      <c r="A2105" s="58" t="n"/>
      <c r="B2105" s="58">
        <f>IF($H2105="","",LEFT($H2105,FIND(" ",$H2105&amp;" ")-1))</f>
        <v/>
      </c>
      <c r="C2105" s="58">
        <f>IF($H2105="","",IFERROR(MID($H2105&amp;" ",FIND("|",SUBSTITUTE($H2105&amp;" "," ","|",1))+1,FIND("|",SUBSTITUTE($H2105&amp;" "," ","|",2))-FIND("|",SUBSTITUTE($H2105&amp;" "," ","|",1))-1),""))</f>
        <v/>
      </c>
      <c r="D2105" s="58">
        <f>IF($H2105="","",IFERROR(MID($H2105&amp;" ",FIND("|",SUBSTITUTE($H2105&amp;" "," ","|",2))+1,FIND("|",SUBSTITUTE($H2105&amp;" "," ","|",3))-FIND("|",SUBSTITUTE($H2105&amp;" "," ","|",2))-1),""))</f>
        <v/>
      </c>
      <c r="E2105" s="58">
        <f>IF($H2105="","",IFERROR(MID($H2105&amp;" ",FIND("|",SUBSTITUTE($H2105&amp;" "," ","|",3))+1,FIND("|",SUBSTITUTE($H2105&amp;" "," ","|",4))-FIND("|",SUBSTITUTE($H2105&amp;" "," ","|",3))-1),""))</f>
        <v/>
      </c>
      <c r="F2105" s="59">
        <f>IF($H2105="","",IFERROR(VALUE(IFERROR(MID($H2105&amp;" ",FIND("|",SUBSTITUTE($H2105&amp;" "," ","|",4))+1,FIND("|",SUBSTITUTE($H2105&amp;" "," ","|",5))-FIND("|",SUBSTITUTE($H2105&amp;" "," ","|",4))-1),""))/86400+25569+9/24,""))</f>
        <v/>
      </c>
      <c r="G2105" s="58">
        <f>TRIM(SUBSTITUTE(SUBSTITUTE(SUBSTITUTE($A2105,CHAR(9)," ")," "," "),CHAR(13),""))</f>
        <v/>
      </c>
      <c r="H2105" s="58">
        <f>IF($G2105="","",IF(ISNUMBER(FIND(" ",$G2105)),$G2105,IFERROR(IF((LEN(SUBSTITUTE(SUBSTITUTE($G2105,"-"," ",LEN($G2105)-LEN(SUBSTITUTE($G2105,"-",""))),"-"," ",LEN($G2105)-LEN(SUBSTITUTE($G2105,"-",""))-1))-LEN(SUBSTITUTE(SUBSTITUTE(SUBSTITUTE($G2105,"-"," ",LEN($G2105)-LEN(SUBSTITUTE($G2105,"-",""))),"-"," ",LEN($G2105)-LEN(SUBSTITUTE($G2105,"-",""))-1),".","")))=0,SUBSTITUTE(SUBSTITUTE($G2105,"-"," ",LEN($G2105)-LEN(SUBSTITUTE($G2105,"-",""))),"-"," ",LEN($G2105)-LEN(SUBSTITUTE($G2105,"-",""))-1),SUBSTITUTE(SUBSTITUTE(SUBSTITUTE($G2105,"-"," ",LEN($G2105)-LEN(SUBSTITUTE($G2105,"-",""))),"-"," ",LEN($G2105)-LEN(SUBSTITUTE($G2105,"-",""))-1),"."," ",(LEN(SUBSTITUTE(SUBSTITUTE($G2105,"-"," ",LEN($G2105)-LEN(SUBSTITUTE($G2105,"-",""))),"-"," ",LEN($G2105)-LEN(SUBSTITUTE($G2105,"-",""))-1))-LEN(SUBSTITUTE(SUBSTITUTE(SUBSTITUTE($G2105,"-"," ",LEN($G2105)-LEN(SUBSTITUTE($G2105,"-",""))),"-"," ",LEN($G2105)-LEN(SUBSTITUTE($G2105,"-",""))-1),".",""))))),$G2105)))</f>
        <v/>
      </c>
    </row>
    <row r="2106">
      <c r="A2106" s="58" t="n"/>
      <c r="B2106" s="58">
        <f>IF($H2106="","",LEFT($H2106,FIND(" ",$H2106&amp;" ")-1))</f>
        <v/>
      </c>
      <c r="C2106" s="58">
        <f>IF($H2106="","",IFERROR(MID($H2106&amp;" ",FIND("|",SUBSTITUTE($H2106&amp;" "," ","|",1))+1,FIND("|",SUBSTITUTE($H2106&amp;" "," ","|",2))-FIND("|",SUBSTITUTE($H2106&amp;" "," ","|",1))-1),""))</f>
        <v/>
      </c>
      <c r="D2106" s="58">
        <f>IF($H2106="","",IFERROR(MID($H2106&amp;" ",FIND("|",SUBSTITUTE($H2106&amp;" "," ","|",2))+1,FIND("|",SUBSTITUTE($H2106&amp;" "," ","|",3))-FIND("|",SUBSTITUTE($H2106&amp;" "," ","|",2))-1),""))</f>
        <v/>
      </c>
      <c r="E2106" s="58">
        <f>IF($H2106="","",IFERROR(MID($H2106&amp;" ",FIND("|",SUBSTITUTE($H2106&amp;" "," ","|",3))+1,FIND("|",SUBSTITUTE($H2106&amp;" "," ","|",4))-FIND("|",SUBSTITUTE($H2106&amp;" "," ","|",3))-1),""))</f>
        <v/>
      </c>
      <c r="F2106" s="59">
        <f>IF($H2106="","",IFERROR(VALUE(IFERROR(MID($H2106&amp;" ",FIND("|",SUBSTITUTE($H2106&amp;" "," ","|",4))+1,FIND("|",SUBSTITUTE($H2106&amp;" "," ","|",5))-FIND("|",SUBSTITUTE($H2106&amp;" "," ","|",4))-1),""))/86400+25569+9/24,""))</f>
        <v/>
      </c>
      <c r="G2106" s="58">
        <f>TRIM(SUBSTITUTE(SUBSTITUTE(SUBSTITUTE($A2106,CHAR(9)," ")," "," "),CHAR(13),""))</f>
        <v/>
      </c>
      <c r="H2106" s="58">
        <f>IF($G2106="","",IF(ISNUMBER(FIND(" ",$G2106)),$G2106,IFERROR(IF((LEN(SUBSTITUTE(SUBSTITUTE($G2106,"-"," ",LEN($G2106)-LEN(SUBSTITUTE($G2106,"-",""))),"-"," ",LEN($G2106)-LEN(SUBSTITUTE($G2106,"-",""))-1))-LEN(SUBSTITUTE(SUBSTITUTE(SUBSTITUTE($G2106,"-"," ",LEN($G2106)-LEN(SUBSTITUTE($G2106,"-",""))),"-"," ",LEN($G2106)-LEN(SUBSTITUTE($G2106,"-",""))-1),".","")))=0,SUBSTITUTE(SUBSTITUTE($G2106,"-"," ",LEN($G2106)-LEN(SUBSTITUTE($G2106,"-",""))),"-"," ",LEN($G2106)-LEN(SUBSTITUTE($G2106,"-",""))-1),SUBSTITUTE(SUBSTITUTE(SUBSTITUTE($G2106,"-"," ",LEN($G2106)-LEN(SUBSTITUTE($G2106,"-",""))),"-"," ",LEN($G2106)-LEN(SUBSTITUTE($G2106,"-",""))-1),"."," ",(LEN(SUBSTITUTE(SUBSTITUTE($G2106,"-"," ",LEN($G2106)-LEN(SUBSTITUTE($G2106,"-",""))),"-"," ",LEN($G2106)-LEN(SUBSTITUTE($G2106,"-",""))-1))-LEN(SUBSTITUTE(SUBSTITUTE(SUBSTITUTE($G2106,"-"," ",LEN($G2106)-LEN(SUBSTITUTE($G2106,"-",""))),"-"," ",LEN($G2106)-LEN(SUBSTITUTE($G2106,"-",""))-1),".",""))))),$G2106)))</f>
        <v/>
      </c>
    </row>
    <row r="2107">
      <c r="A2107" s="58" t="n"/>
      <c r="B2107" s="58">
        <f>IF($H2107="","",LEFT($H2107,FIND(" ",$H2107&amp;" ")-1))</f>
        <v/>
      </c>
      <c r="C2107" s="58">
        <f>IF($H2107="","",IFERROR(MID($H2107&amp;" ",FIND("|",SUBSTITUTE($H2107&amp;" "," ","|",1))+1,FIND("|",SUBSTITUTE($H2107&amp;" "," ","|",2))-FIND("|",SUBSTITUTE($H2107&amp;" "," ","|",1))-1),""))</f>
        <v/>
      </c>
      <c r="D2107" s="58">
        <f>IF($H2107="","",IFERROR(MID($H2107&amp;" ",FIND("|",SUBSTITUTE($H2107&amp;" "," ","|",2))+1,FIND("|",SUBSTITUTE($H2107&amp;" "," ","|",3))-FIND("|",SUBSTITUTE($H2107&amp;" "," ","|",2))-1),""))</f>
        <v/>
      </c>
      <c r="E2107" s="58">
        <f>IF($H2107="","",IFERROR(MID($H2107&amp;" ",FIND("|",SUBSTITUTE($H2107&amp;" "," ","|",3))+1,FIND("|",SUBSTITUTE($H2107&amp;" "," ","|",4))-FIND("|",SUBSTITUTE($H2107&amp;" "," ","|",3))-1),""))</f>
        <v/>
      </c>
      <c r="F2107" s="59">
        <f>IF($H2107="","",IFERROR(VALUE(IFERROR(MID($H2107&amp;" ",FIND("|",SUBSTITUTE($H2107&amp;" "," ","|",4))+1,FIND("|",SUBSTITUTE($H2107&amp;" "," ","|",5))-FIND("|",SUBSTITUTE($H2107&amp;" "," ","|",4))-1),""))/86400+25569+9/24,""))</f>
        <v/>
      </c>
      <c r="G2107" s="58">
        <f>TRIM(SUBSTITUTE(SUBSTITUTE(SUBSTITUTE($A2107,CHAR(9)," ")," "," "),CHAR(13),""))</f>
        <v/>
      </c>
      <c r="H2107" s="58">
        <f>IF($G2107="","",IF(ISNUMBER(FIND(" ",$G2107)),$G2107,IFERROR(IF((LEN(SUBSTITUTE(SUBSTITUTE($G2107,"-"," ",LEN($G2107)-LEN(SUBSTITUTE($G2107,"-",""))),"-"," ",LEN($G2107)-LEN(SUBSTITUTE($G2107,"-",""))-1))-LEN(SUBSTITUTE(SUBSTITUTE(SUBSTITUTE($G2107,"-"," ",LEN($G2107)-LEN(SUBSTITUTE($G2107,"-",""))),"-"," ",LEN($G2107)-LEN(SUBSTITUTE($G2107,"-",""))-1),".","")))=0,SUBSTITUTE(SUBSTITUTE($G2107,"-"," ",LEN($G2107)-LEN(SUBSTITUTE($G2107,"-",""))),"-"," ",LEN($G2107)-LEN(SUBSTITUTE($G2107,"-",""))-1),SUBSTITUTE(SUBSTITUTE(SUBSTITUTE($G2107,"-"," ",LEN($G2107)-LEN(SUBSTITUTE($G2107,"-",""))),"-"," ",LEN($G2107)-LEN(SUBSTITUTE($G2107,"-",""))-1),"."," ",(LEN(SUBSTITUTE(SUBSTITUTE($G2107,"-"," ",LEN($G2107)-LEN(SUBSTITUTE($G2107,"-",""))),"-"," ",LEN($G2107)-LEN(SUBSTITUTE($G2107,"-",""))-1))-LEN(SUBSTITUTE(SUBSTITUTE(SUBSTITUTE($G2107,"-"," ",LEN($G2107)-LEN(SUBSTITUTE($G2107,"-",""))),"-"," ",LEN($G2107)-LEN(SUBSTITUTE($G2107,"-",""))-1),".",""))))),$G2107)))</f>
        <v/>
      </c>
    </row>
    <row r="2108">
      <c r="A2108" s="58" t="n"/>
      <c r="B2108" s="58">
        <f>IF($H2108="","",LEFT($H2108,FIND(" ",$H2108&amp;" ")-1))</f>
        <v/>
      </c>
      <c r="C2108" s="58">
        <f>IF($H2108="","",IFERROR(MID($H2108&amp;" ",FIND("|",SUBSTITUTE($H2108&amp;" "," ","|",1))+1,FIND("|",SUBSTITUTE($H2108&amp;" "," ","|",2))-FIND("|",SUBSTITUTE($H2108&amp;" "," ","|",1))-1),""))</f>
        <v/>
      </c>
      <c r="D2108" s="58">
        <f>IF($H2108="","",IFERROR(MID($H2108&amp;" ",FIND("|",SUBSTITUTE($H2108&amp;" "," ","|",2))+1,FIND("|",SUBSTITUTE($H2108&amp;" "," ","|",3))-FIND("|",SUBSTITUTE($H2108&amp;" "," ","|",2))-1),""))</f>
        <v/>
      </c>
      <c r="E2108" s="58">
        <f>IF($H2108="","",IFERROR(MID($H2108&amp;" ",FIND("|",SUBSTITUTE($H2108&amp;" "," ","|",3))+1,FIND("|",SUBSTITUTE($H2108&amp;" "," ","|",4))-FIND("|",SUBSTITUTE($H2108&amp;" "," ","|",3))-1),""))</f>
        <v/>
      </c>
      <c r="F2108" s="59">
        <f>IF($H2108="","",IFERROR(VALUE(IFERROR(MID($H2108&amp;" ",FIND("|",SUBSTITUTE($H2108&amp;" "," ","|",4))+1,FIND("|",SUBSTITUTE($H2108&amp;" "," ","|",5))-FIND("|",SUBSTITUTE($H2108&amp;" "," ","|",4))-1),""))/86400+25569+9/24,""))</f>
        <v/>
      </c>
      <c r="G2108" s="58">
        <f>TRIM(SUBSTITUTE(SUBSTITUTE(SUBSTITUTE($A2108,CHAR(9)," ")," "," "),CHAR(13),""))</f>
        <v/>
      </c>
      <c r="H2108" s="58">
        <f>IF($G2108="","",IF(ISNUMBER(FIND(" ",$G2108)),$G2108,IFERROR(IF((LEN(SUBSTITUTE(SUBSTITUTE($G2108,"-"," ",LEN($G2108)-LEN(SUBSTITUTE($G2108,"-",""))),"-"," ",LEN($G2108)-LEN(SUBSTITUTE($G2108,"-",""))-1))-LEN(SUBSTITUTE(SUBSTITUTE(SUBSTITUTE($G2108,"-"," ",LEN($G2108)-LEN(SUBSTITUTE($G2108,"-",""))),"-"," ",LEN($G2108)-LEN(SUBSTITUTE($G2108,"-",""))-1),".","")))=0,SUBSTITUTE(SUBSTITUTE($G2108,"-"," ",LEN($G2108)-LEN(SUBSTITUTE($G2108,"-",""))),"-"," ",LEN($G2108)-LEN(SUBSTITUTE($G2108,"-",""))-1),SUBSTITUTE(SUBSTITUTE(SUBSTITUTE($G2108,"-"," ",LEN($G2108)-LEN(SUBSTITUTE($G2108,"-",""))),"-"," ",LEN($G2108)-LEN(SUBSTITUTE($G2108,"-",""))-1),"."," ",(LEN(SUBSTITUTE(SUBSTITUTE($G2108,"-"," ",LEN($G2108)-LEN(SUBSTITUTE($G2108,"-",""))),"-"," ",LEN($G2108)-LEN(SUBSTITUTE($G2108,"-",""))-1))-LEN(SUBSTITUTE(SUBSTITUTE(SUBSTITUTE($G2108,"-"," ",LEN($G2108)-LEN(SUBSTITUTE($G2108,"-",""))),"-"," ",LEN($G2108)-LEN(SUBSTITUTE($G2108,"-",""))-1),".",""))))),$G2108)))</f>
        <v/>
      </c>
    </row>
    <row r="2109">
      <c r="A2109" s="58" t="n"/>
      <c r="B2109" s="58">
        <f>IF($H2109="","",LEFT($H2109,FIND(" ",$H2109&amp;" ")-1))</f>
        <v/>
      </c>
      <c r="C2109" s="58">
        <f>IF($H2109="","",IFERROR(MID($H2109&amp;" ",FIND("|",SUBSTITUTE($H2109&amp;" "," ","|",1))+1,FIND("|",SUBSTITUTE($H2109&amp;" "," ","|",2))-FIND("|",SUBSTITUTE($H2109&amp;" "," ","|",1))-1),""))</f>
        <v/>
      </c>
      <c r="D2109" s="58">
        <f>IF($H2109="","",IFERROR(MID($H2109&amp;" ",FIND("|",SUBSTITUTE($H2109&amp;" "," ","|",2))+1,FIND("|",SUBSTITUTE($H2109&amp;" "," ","|",3))-FIND("|",SUBSTITUTE($H2109&amp;" "," ","|",2))-1),""))</f>
        <v/>
      </c>
      <c r="E2109" s="58">
        <f>IF($H2109="","",IFERROR(MID($H2109&amp;" ",FIND("|",SUBSTITUTE($H2109&amp;" "," ","|",3))+1,FIND("|",SUBSTITUTE($H2109&amp;" "," ","|",4))-FIND("|",SUBSTITUTE($H2109&amp;" "," ","|",3))-1),""))</f>
        <v/>
      </c>
      <c r="F2109" s="59">
        <f>IF($H2109="","",IFERROR(VALUE(IFERROR(MID($H2109&amp;" ",FIND("|",SUBSTITUTE($H2109&amp;" "," ","|",4))+1,FIND("|",SUBSTITUTE($H2109&amp;" "," ","|",5))-FIND("|",SUBSTITUTE($H2109&amp;" "," ","|",4))-1),""))/86400+25569+9/24,""))</f>
        <v/>
      </c>
      <c r="G2109" s="58">
        <f>TRIM(SUBSTITUTE(SUBSTITUTE(SUBSTITUTE($A2109,CHAR(9)," ")," "," "),CHAR(13),""))</f>
        <v/>
      </c>
      <c r="H2109" s="58">
        <f>IF($G2109="","",IF(ISNUMBER(FIND(" ",$G2109)),$G2109,IFERROR(IF((LEN(SUBSTITUTE(SUBSTITUTE($G2109,"-"," ",LEN($G2109)-LEN(SUBSTITUTE($G2109,"-",""))),"-"," ",LEN($G2109)-LEN(SUBSTITUTE($G2109,"-",""))-1))-LEN(SUBSTITUTE(SUBSTITUTE(SUBSTITUTE($G2109,"-"," ",LEN($G2109)-LEN(SUBSTITUTE($G2109,"-",""))),"-"," ",LEN($G2109)-LEN(SUBSTITUTE($G2109,"-",""))-1),".","")))=0,SUBSTITUTE(SUBSTITUTE($G2109,"-"," ",LEN($G2109)-LEN(SUBSTITUTE($G2109,"-",""))),"-"," ",LEN($G2109)-LEN(SUBSTITUTE($G2109,"-",""))-1),SUBSTITUTE(SUBSTITUTE(SUBSTITUTE($G2109,"-"," ",LEN($G2109)-LEN(SUBSTITUTE($G2109,"-",""))),"-"," ",LEN($G2109)-LEN(SUBSTITUTE($G2109,"-",""))-1),"."," ",(LEN(SUBSTITUTE(SUBSTITUTE($G2109,"-"," ",LEN($G2109)-LEN(SUBSTITUTE($G2109,"-",""))),"-"," ",LEN($G2109)-LEN(SUBSTITUTE($G2109,"-",""))-1))-LEN(SUBSTITUTE(SUBSTITUTE(SUBSTITUTE($G2109,"-"," ",LEN($G2109)-LEN(SUBSTITUTE($G2109,"-",""))),"-"," ",LEN($G2109)-LEN(SUBSTITUTE($G2109,"-",""))-1),".",""))))),$G2109)))</f>
        <v/>
      </c>
    </row>
    <row r="2110">
      <c r="A2110" s="58" t="n"/>
      <c r="B2110" s="58">
        <f>IF($H2110="","",LEFT($H2110,FIND(" ",$H2110&amp;" ")-1))</f>
        <v/>
      </c>
      <c r="C2110" s="58">
        <f>IF($H2110="","",IFERROR(MID($H2110&amp;" ",FIND("|",SUBSTITUTE($H2110&amp;" "," ","|",1))+1,FIND("|",SUBSTITUTE($H2110&amp;" "," ","|",2))-FIND("|",SUBSTITUTE($H2110&amp;" "," ","|",1))-1),""))</f>
        <v/>
      </c>
      <c r="D2110" s="58">
        <f>IF($H2110="","",IFERROR(MID($H2110&amp;" ",FIND("|",SUBSTITUTE($H2110&amp;" "," ","|",2))+1,FIND("|",SUBSTITUTE($H2110&amp;" "," ","|",3))-FIND("|",SUBSTITUTE($H2110&amp;" "," ","|",2))-1),""))</f>
        <v/>
      </c>
      <c r="E2110" s="58">
        <f>IF($H2110="","",IFERROR(MID($H2110&amp;" ",FIND("|",SUBSTITUTE($H2110&amp;" "," ","|",3))+1,FIND("|",SUBSTITUTE($H2110&amp;" "," ","|",4))-FIND("|",SUBSTITUTE($H2110&amp;" "," ","|",3))-1),""))</f>
        <v/>
      </c>
      <c r="F2110" s="59">
        <f>IF($H2110="","",IFERROR(VALUE(IFERROR(MID($H2110&amp;" ",FIND("|",SUBSTITUTE($H2110&amp;" "," ","|",4))+1,FIND("|",SUBSTITUTE($H2110&amp;" "," ","|",5))-FIND("|",SUBSTITUTE($H2110&amp;" "," ","|",4))-1),""))/86400+25569+9/24,""))</f>
        <v/>
      </c>
      <c r="G2110" s="58">
        <f>TRIM(SUBSTITUTE(SUBSTITUTE(SUBSTITUTE($A2110,CHAR(9)," ")," "," "),CHAR(13),""))</f>
        <v/>
      </c>
      <c r="H2110" s="58">
        <f>IF($G2110="","",IF(ISNUMBER(FIND(" ",$G2110)),$G2110,IFERROR(IF((LEN(SUBSTITUTE(SUBSTITUTE($G2110,"-"," ",LEN($G2110)-LEN(SUBSTITUTE($G2110,"-",""))),"-"," ",LEN($G2110)-LEN(SUBSTITUTE($G2110,"-",""))-1))-LEN(SUBSTITUTE(SUBSTITUTE(SUBSTITUTE($G2110,"-"," ",LEN($G2110)-LEN(SUBSTITUTE($G2110,"-",""))),"-"," ",LEN($G2110)-LEN(SUBSTITUTE($G2110,"-",""))-1),".","")))=0,SUBSTITUTE(SUBSTITUTE($G2110,"-"," ",LEN($G2110)-LEN(SUBSTITUTE($G2110,"-",""))),"-"," ",LEN($G2110)-LEN(SUBSTITUTE($G2110,"-",""))-1),SUBSTITUTE(SUBSTITUTE(SUBSTITUTE($G2110,"-"," ",LEN($G2110)-LEN(SUBSTITUTE($G2110,"-",""))),"-"," ",LEN($G2110)-LEN(SUBSTITUTE($G2110,"-",""))-1),"."," ",(LEN(SUBSTITUTE(SUBSTITUTE($G2110,"-"," ",LEN($G2110)-LEN(SUBSTITUTE($G2110,"-",""))),"-"," ",LEN($G2110)-LEN(SUBSTITUTE($G2110,"-",""))-1))-LEN(SUBSTITUTE(SUBSTITUTE(SUBSTITUTE($G2110,"-"," ",LEN($G2110)-LEN(SUBSTITUTE($G2110,"-",""))),"-"," ",LEN($G2110)-LEN(SUBSTITUTE($G2110,"-",""))-1),".",""))))),$G2110)))</f>
        <v/>
      </c>
    </row>
    <row r="2111">
      <c r="A2111" s="58" t="n"/>
      <c r="B2111" s="58">
        <f>IF($H2111="","",LEFT($H2111,FIND(" ",$H2111&amp;" ")-1))</f>
        <v/>
      </c>
      <c r="C2111" s="58">
        <f>IF($H2111="","",IFERROR(MID($H2111&amp;" ",FIND("|",SUBSTITUTE($H2111&amp;" "," ","|",1))+1,FIND("|",SUBSTITUTE($H2111&amp;" "," ","|",2))-FIND("|",SUBSTITUTE($H2111&amp;" "," ","|",1))-1),""))</f>
        <v/>
      </c>
      <c r="D2111" s="58">
        <f>IF($H2111="","",IFERROR(MID($H2111&amp;" ",FIND("|",SUBSTITUTE($H2111&amp;" "," ","|",2))+1,FIND("|",SUBSTITUTE($H2111&amp;" "," ","|",3))-FIND("|",SUBSTITUTE($H2111&amp;" "," ","|",2))-1),""))</f>
        <v/>
      </c>
      <c r="E2111" s="58">
        <f>IF($H2111="","",IFERROR(MID($H2111&amp;" ",FIND("|",SUBSTITUTE($H2111&amp;" "," ","|",3))+1,FIND("|",SUBSTITUTE($H2111&amp;" "," ","|",4))-FIND("|",SUBSTITUTE($H2111&amp;" "," ","|",3))-1),""))</f>
        <v/>
      </c>
      <c r="F2111" s="59">
        <f>IF($H2111="","",IFERROR(VALUE(IFERROR(MID($H2111&amp;" ",FIND("|",SUBSTITUTE($H2111&amp;" "," ","|",4))+1,FIND("|",SUBSTITUTE($H2111&amp;" "," ","|",5))-FIND("|",SUBSTITUTE($H2111&amp;" "," ","|",4))-1),""))/86400+25569+9/24,""))</f>
        <v/>
      </c>
      <c r="G2111" s="58">
        <f>TRIM(SUBSTITUTE(SUBSTITUTE(SUBSTITUTE($A2111,CHAR(9)," ")," "," "),CHAR(13),""))</f>
        <v/>
      </c>
      <c r="H2111" s="58">
        <f>IF($G2111="","",IF(ISNUMBER(FIND(" ",$G2111)),$G2111,IFERROR(IF((LEN(SUBSTITUTE(SUBSTITUTE($G2111,"-"," ",LEN($G2111)-LEN(SUBSTITUTE($G2111,"-",""))),"-"," ",LEN($G2111)-LEN(SUBSTITUTE($G2111,"-",""))-1))-LEN(SUBSTITUTE(SUBSTITUTE(SUBSTITUTE($G2111,"-"," ",LEN($G2111)-LEN(SUBSTITUTE($G2111,"-",""))),"-"," ",LEN($G2111)-LEN(SUBSTITUTE($G2111,"-",""))-1),".","")))=0,SUBSTITUTE(SUBSTITUTE($G2111,"-"," ",LEN($G2111)-LEN(SUBSTITUTE($G2111,"-",""))),"-"," ",LEN($G2111)-LEN(SUBSTITUTE($G2111,"-",""))-1),SUBSTITUTE(SUBSTITUTE(SUBSTITUTE($G2111,"-"," ",LEN($G2111)-LEN(SUBSTITUTE($G2111,"-",""))),"-"," ",LEN($G2111)-LEN(SUBSTITUTE($G2111,"-",""))-1),"."," ",(LEN(SUBSTITUTE(SUBSTITUTE($G2111,"-"," ",LEN($G2111)-LEN(SUBSTITUTE($G2111,"-",""))),"-"," ",LEN($G2111)-LEN(SUBSTITUTE($G2111,"-",""))-1))-LEN(SUBSTITUTE(SUBSTITUTE(SUBSTITUTE($G2111,"-"," ",LEN($G2111)-LEN(SUBSTITUTE($G2111,"-",""))),"-"," ",LEN($G2111)-LEN(SUBSTITUTE($G2111,"-",""))-1),".",""))))),$G2111)))</f>
        <v/>
      </c>
    </row>
    <row r="2112">
      <c r="A2112" s="58" t="n"/>
      <c r="B2112" s="58">
        <f>IF($H2112="","",LEFT($H2112,FIND(" ",$H2112&amp;" ")-1))</f>
        <v/>
      </c>
      <c r="C2112" s="58">
        <f>IF($H2112="","",IFERROR(MID($H2112&amp;" ",FIND("|",SUBSTITUTE($H2112&amp;" "," ","|",1))+1,FIND("|",SUBSTITUTE($H2112&amp;" "," ","|",2))-FIND("|",SUBSTITUTE($H2112&amp;" "," ","|",1))-1),""))</f>
        <v/>
      </c>
      <c r="D2112" s="58">
        <f>IF($H2112="","",IFERROR(MID($H2112&amp;" ",FIND("|",SUBSTITUTE($H2112&amp;" "," ","|",2))+1,FIND("|",SUBSTITUTE($H2112&amp;" "," ","|",3))-FIND("|",SUBSTITUTE($H2112&amp;" "," ","|",2))-1),""))</f>
        <v/>
      </c>
      <c r="E2112" s="58">
        <f>IF($H2112="","",IFERROR(MID($H2112&amp;" ",FIND("|",SUBSTITUTE($H2112&amp;" "," ","|",3))+1,FIND("|",SUBSTITUTE($H2112&amp;" "," ","|",4))-FIND("|",SUBSTITUTE($H2112&amp;" "," ","|",3))-1),""))</f>
        <v/>
      </c>
      <c r="F2112" s="59">
        <f>IF($H2112="","",IFERROR(VALUE(IFERROR(MID($H2112&amp;" ",FIND("|",SUBSTITUTE($H2112&amp;" "," ","|",4))+1,FIND("|",SUBSTITUTE($H2112&amp;" "," ","|",5))-FIND("|",SUBSTITUTE($H2112&amp;" "," ","|",4))-1),""))/86400+25569+9/24,""))</f>
        <v/>
      </c>
      <c r="G2112" s="58">
        <f>TRIM(SUBSTITUTE(SUBSTITUTE(SUBSTITUTE($A2112,CHAR(9)," ")," "," "),CHAR(13),""))</f>
        <v/>
      </c>
      <c r="H2112" s="58">
        <f>IF($G2112="","",IF(ISNUMBER(FIND(" ",$G2112)),$G2112,IFERROR(IF((LEN(SUBSTITUTE(SUBSTITUTE($G2112,"-"," ",LEN($G2112)-LEN(SUBSTITUTE($G2112,"-",""))),"-"," ",LEN($G2112)-LEN(SUBSTITUTE($G2112,"-",""))-1))-LEN(SUBSTITUTE(SUBSTITUTE(SUBSTITUTE($G2112,"-"," ",LEN($G2112)-LEN(SUBSTITUTE($G2112,"-",""))),"-"," ",LEN($G2112)-LEN(SUBSTITUTE($G2112,"-",""))-1),".","")))=0,SUBSTITUTE(SUBSTITUTE($G2112,"-"," ",LEN($G2112)-LEN(SUBSTITUTE($G2112,"-",""))),"-"," ",LEN($G2112)-LEN(SUBSTITUTE($G2112,"-",""))-1),SUBSTITUTE(SUBSTITUTE(SUBSTITUTE($G2112,"-"," ",LEN($G2112)-LEN(SUBSTITUTE($G2112,"-",""))),"-"," ",LEN($G2112)-LEN(SUBSTITUTE($G2112,"-",""))-1),"."," ",(LEN(SUBSTITUTE(SUBSTITUTE($G2112,"-"," ",LEN($G2112)-LEN(SUBSTITUTE($G2112,"-",""))),"-"," ",LEN($G2112)-LEN(SUBSTITUTE($G2112,"-",""))-1))-LEN(SUBSTITUTE(SUBSTITUTE(SUBSTITUTE($G2112,"-"," ",LEN($G2112)-LEN(SUBSTITUTE($G2112,"-",""))),"-"," ",LEN($G2112)-LEN(SUBSTITUTE($G2112,"-",""))-1),".",""))))),$G2112)))</f>
        <v/>
      </c>
    </row>
    <row r="2113">
      <c r="A2113" s="58" t="n"/>
      <c r="B2113" s="58">
        <f>IF($H2113="","",LEFT($H2113,FIND(" ",$H2113&amp;" ")-1))</f>
        <v/>
      </c>
      <c r="C2113" s="58">
        <f>IF($H2113="","",IFERROR(MID($H2113&amp;" ",FIND("|",SUBSTITUTE($H2113&amp;" "," ","|",1))+1,FIND("|",SUBSTITUTE($H2113&amp;" "," ","|",2))-FIND("|",SUBSTITUTE($H2113&amp;" "," ","|",1))-1),""))</f>
        <v/>
      </c>
      <c r="D2113" s="58">
        <f>IF($H2113="","",IFERROR(MID($H2113&amp;" ",FIND("|",SUBSTITUTE($H2113&amp;" "," ","|",2))+1,FIND("|",SUBSTITUTE($H2113&amp;" "," ","|",3))-FIND("|",SUBSTITUTE($H2113&amp;" "," ","|",2))-1),""))</f>
        <v/>
      </c>
      <c r="E2113" s="58">
        <f>IF($H2113="","",IFERROR(MID($H2113&amp;" ",FIND("|",SUBSTITUTE($H2113&amp;" "," ","|",3))+1,FIND("|",SUBSTITUTE($H2113&amp;" "," ","|",4))-FIND("|",SUBSTITUTE($H2113&amp;" "," ","|",3))-1),""))</f>
        <v/>
      </c>
      <c r="F2113" s="59">
        <f>IF($H2113="","",IFERROR(VALUE(IFERROR(MID($H2113&amp;" ",FIND("|",SUBSTITUTE($H2113&amp;" "," ","|",4))+1,FIND("|",SUBSTITUTE($H2113&amp;" "," ","|",5))-FIND("|",SUBSTITUTE($H2113&amp;" "," ","|",4))-1),""))/86400+25569+9/24,""))</f>
        <v/>
      </c>
      <c r="G2113" s="58">
        <f>TRIM(SUBSTITUTE(SUBSTITUTE(SUBSTITUTE($A2113,CHAR(9)," ")," "," "),CHAR(13),""))</f>
        <v/>
      </c>
      <c r="H2113" s="58">
        <f>IF($G2113="","",IF(ISNUMBER(FIND(" ",$G2113)),$G2113,IFERROR(IF((LEN(SUBSTITUTE(SUBSTITUTE($G2113,"-"," ",LEN($G2113)-LEN(SUBSTITUTE($G2113,"-",""))),"-"," ",LEN($G2113)-LEN(SUBSTITUTE($G2113,"-",""))-1))-LEN(SUBSTITUTE(SUBSTITUTE(SUBSTITUTE($G2113,"-"," ",LEN($G2113)-LEN(SUBSTITUTE($G2113,"-",""))),"-"," ",LEN($G2113)-LEN(SUBSTITUTE($G2113,"-",""))-1),".","")))=0,SUBSTITUTE(SUBSTITUTE($G2113,"-"," ",LEN($G2113)-LEN(SUBSTITUTE($G2113,"-",""))),"-"," ",LEN($G2113)-LEN(SUBSTITUTE($G2113,"-",""))-1),SUBSTITUTE(SUBSTITUTE(SUBSTITUTE($G2113,"-"," ",LEN($G2113)-LEN(SUBSTITUTE($G2113,"-",""))),"-"," ",LEN($G2113)-LEN(SUBSTITUTE($G2113,"-",""))-1),"."," ",(LEN(SUBSTITUTE(SUBSTITUTE($G2113,"-"," ",LEN($G2113)-LEN(SUBSTITUTE($G2113,"-",""))),"-"," ",LEN($G2113)-LEN(SUBSTITUTE($G2113,"-",""))-1))-LEN(SUBSTITUTE(SUBSTITUTE(SUBSTITUTE($G2113,"-"," ",LEN($G2113)-LEN(SUBSTITUTE($G2113,"-",""))),"-"," ",LEN($G2113)-LEN(SUBSTITUTE($G2113,"-",""))-1),".",""))))),$G2113)))</f>
        <v/>
      </c>
    </row>
    <row r="2114">
      <c r="A2114" s="58" t="n"/>
      <c r="B2114" s="58">
        <f>IF($H2114="","",LEFT($H2114,FIND(" ",$H2114&amp;" ")-1))</f>
        <v/>
      </c>
      <c r="C2114" s="58">
        <f>IF($H2114="","",IFERROR(MID($H2114&amp;" ",FIND("|",SUBSTITUTE($H2114&amp;" "," ","|",1))+1,FIND("|",SUBSTITUTE($H2114&amp;" "," ","|",2))-FIND("|",SUBSTITUTE($H2114&amp;" "," ","|",1))-1),""))</f>
        <v/>
      </c>
      <c r="D2114" s="58">
        <f>IF($H2114="","",IFERROR(MID($H2114&amp;" ",FIND("|",SUBSTITUTE($H2114&amp;" "," ","|",2))+1,FIND("|",SUBSTITUTE($H2114&amp;" "," ","|",3))-FIND("|",SUBSTITUTE($H2114&amp;" "," ","|",2))-1),""))</f>
        <v/>
      </c>
      <c r="E2114" s="58">
        <f>IF($H2114="","",IFERROR(MID($H2114&amp;" ",FIND("|",SUBSTITUTE($H2114&amp;" "," ","|",3))+1,FIND("|",SUBSTITUTE($H2114&amp;" "," ","|",4))-FIND("|",SUBSTITUTE($H2114&amp;" "," ","|",3))-1),""))</f>
        <v/>
      </c>
      <c r="F2114" s="59">
        <f>IF($H2114="","",IFERROR(VALUE(IFERROR(MID($H2114&amp;" ",FIND("|",SUBSTITUTE($H2114&amp;" "," ","|",4))+1,FIND("|",SUBSTITUTE($H2114&amp;" "," ","|",5))-FIND("|",SUBSTITUTE($H2114&amp;" "," ","|",4))-1),""))/86400+25569+9/24,""))</f>
        <v/>
      </c>
      <c r="G2114" s="58">
        <f>TRIM(SUBSTITUTE(SUBSTITUTE(SUBSTITUTE($A2114,CHAR(9)," ")," "," "),CHAR(13),""))</f>
        <v/>
      </c>
      <c r="H2114" s="58">
        <f>IF($G2114="","",IF(ISNUMBER(FIND(" ",$G2114)),$G2114,IFERROR(IF((LEN(SUBSTITUTE(SUBSTITUTE($G2114,"-"," ",LEN($G2114)-LEN(SUBSTITUTE($G2114,"-",""))),"-"," ",LEN($G2114)-LEN(SUBSTITUTE($G2114,"-",""))-1))-LEN(SUBSTITUTE(SUBSTITUTE(SUBSTITUTE($G2114,"-"," ",LEN($G2114)-LEN(SUBSTITUTE($G2114,"-",""))),"-"," ",LEN($G2114)-LEN(SUBSTITUTE($G2114,"-",""))-1),".","")))=0,SUBSTITUTE(SUBSTITUTE($G2114,"-"," ",LEN($G2114)-LEN(SUBSTITUTE($G2114,"-",""))),"-"," ",LEN($G2114)-LEN(SUBSTITUTE($G2114,"-",""))-1),SUBSTITUTE(SUBSTITUTE(SUBSTITUTE($G2114,"-"," ",LEN($G2114)-LEN(SUBSTITUTE($G2114,"-",""))),"-"," ",LEN($G2114)-LEN(SUBSTITUTE($G2114,"-",""))-1),"."," ",(LEN(SUBSTITUTE(SUBSTITUTE($G2114,"-"," ",LEN($G2114)-LEN(SUBSTITUTE($G2114,"-",""))),"-"," ",LEN($G2114)-LEN(SUBSTITUTE($G2114,"-",""))-1))-LEN(SUBSTITUTE(SUBSTITUTE(SUBSTITUTE($G2114,"-"," ",LEN($G2114)-LEN(SUBSTITUTE($G2114,"-",""))),"-"," ",LEN($G2114)-LEN(SUBSTITUTE($G2114,"-",""))-1),".",""))))),$G2114)))</f>
        <v/>
      </c>
    </row>
    <row r="2115">
      <c r="A2115" s="58" t="n"/>
      <c r="B2115" s="58">
        <f>IF($H2115="","",LEFT($H2115,FIND(" ",$H2115&amp;" ")-1))</f>
        <v/>
      </c>
      <c r="C2115" s="58">
        <f>IF($H2115="","",IFERROR(MID($H2115&amp;" ",FIND("|",SUBSTITUTE($H2115&amp;" "," ","|",1))+1,FIND("|",SUBSTITUTE($H2115&amp;" "," ","|",2))-FIND("|",SUBSTITUTE($H2115&amp;" "," ","|",1))-1),""))</f>
        <v/>
      </c>
      <c r="D2115" s="58">
        <f>IF($H2115="","",IFERROR(MID($H2115&amp;" ",FIND("|",SUBSTITUTE($H2115&amp;" "," ","|",2))+1,FIND("|",SUBSTITUTE($H2115&amp;" "," ","|",3))-FIND("|",SUBSTITUTE($H2115&amp;" "," ","|",2))-1),""))</f>
        <v/>
      </c>
      <c r="E2115" s="58">
        <f>IF($H2115="","",IFERROR(MID($H2115&amp;" ",FIND("|",SUBSTITUTE($H2115&amp;" "," ","|",3))+1,FIND("|",SUBSTITUTE($H2115&amp;" "," ","|",4))-FIND("|",SUBSTITUTE($H2115&amp;" "," ","|",3))-1),""))</f>
        <v/>
      </c>
      <c r="F2115" s="59">
        <f>IF($H2115="","",IFERROR(VALUE(IFERROR(MID($H2115&amp;" ",FIND("|",SUBSTITUTE($H2115&amp;" "," ","|",4))+1,FIND("|",SUBSTITUTE($H2115&amp;" "," ","|",5))-FIND("|",SUBSTITUTE($H2115&amp;" "," ","|",4))-1),""))/86400+25569+9/24,""))</f>
        <v/>
      </c>
      <c r="G2115" s="58">
        <f>TRIM(SUBSTITUTE(SUBSTITUTE(SUBSTITUTE($A2115,CHAR(9)," ")," "," "),CHAR(13),""))</f>
        <v/>
      </c>
      <c r="H2115" s="58">
        <f>IF($G2115="","",IF(ISNUMBER(FIND(" ",$G2115)),$G2115,IFERROR(IF((LEN(SUBSTITUTE(SUBSTITUTE($G2115,"-"," ",LEN($G2115)-LEN(SUBSTITUTE($G2115,"-",""))),"-"," ",LEN($G2115)-LEN(SUBSTITUTE($G2115,"-",""))-1))-LEN(SUBSTITUTE(SUBSTITUTE(SUBSTITUTE($G2115,"-"," ",LEN($G2115)-LEN(SUBSTITUTE($G2115,"-",""))),"-"," ",LEN($G2115)-LEN(SUBSTITUTE($G2115,"-",""))-1),".","")))=0,SUBSTITUTE(SUBSTITUTE($G2115,"-"," ",LEN($G2115)-LEN(SUBSTITUTE($G2115,"-",""))),"-"," ",LEN($G2115)-LEN(SUBSTITUTE($G2115,"-",""))-1),SUBSTITUTE(SUBSTITUTE(SUBSTITUTE($G2115,"-"," ",LEN($G2115)-LEN(SUBSTITUTE($G2115,"-",""))),"-"," ",LEN($G2115)-LEN(SUBSTITUTE($G2115,"-",""))-1),"."," ",(LEN(SUBSTITUTE(SUBSTITUTE($G2115,"-"," ",LEN($G2115)-LEN(SUBSTITUTE($G2115,"-",""))),"-"," ",LEN($G2115)-LEN(SUBSTITUTE($G2115,"-",""))-1))-LEN(SUBSTITUTE(SUBSTITUTE(SUBSTITUTE($G2115,"-"," ",LEN($G2115)-LEN(SUBSTITUTE($G2115,"-",""))),"-"," ",LEN($G2115)-LEN(SUBSTITUTE($G2115,"-",""))-1),".",""))))),$G2115)))</f>
        <v/>
      </c>
    </row>
    <row r="2116">
      <c r="A2116" s="58" t="n"/>
      <c r="B2116" s="58">
        <f>IF($H2116="","",LEFT($H2116,FIND(" ",$H2116&amp;" ")-1))</f>
        <v/>
      </c>
      <c r="C2116" s="58">
        <f>IF($H2116="","",IFERROR(MID($H2116&amp;" ",FIND("|",SUBSTITUTE($H2116&amp;" "," ","|",1))+1,FIND("|",SUBSTITUTE($H2116&amp;" "," ","|",2))-FIND("|",SUBSTITUTE($H2116&amp;" "," ","|",1))-1),""))</f>
        <v/>
      </c>
      <c r="D2116" s="58">
        <f>IF($H2116="","",IFERROR(MID($H2116&amp;" ",FIND("|",SUBSTITUTE($H2116&amp;" "," ","|",2))+1,FIND("|",SUBSTITUTE($H2116&amp;" "," ","|",3))-FIND("|",SUBSTITUTE($H2116&amp;" "," ","|",2))-1),""))</f>
        <v/>
      </c>
      <c r="E2116" s="58">
        <f>IF($H2116="","",IFERROR(MID($H2116&amp;" ",FIND("|",SUBSTITUTE($H2116&amp;" "," ","|",3))+1,FIND("|",SUBSTITUTE($H2116&amp;" "," ","|",4))-FIND("|",SUBSTITUTE($H2116&amp;" "," ","|",3))-1),""))</f>
        <v/>
      </c>
      <c r="F2116" s="59">
        <f>IF($H2116="","",IFERROR(VALUE(IFERROR(MID($H2116&amp;" ",FIND("|",SUBSTITUTE($H2116&amp;" "," ","|",4))+1,FIND("|",SUBSTITUTE($H2116&amp;" "," ","|",5))-FIND("|",SUBSTITUTE($H2116&amp;" "," ","|",4))-1),""))/86400+25569+9/24,""))</f>
        <v/>
      </c>
      <c r="G2116" s="58">
        <f>TRIM(SUBSTITUTE(SUBSTITUTE(SUBSTITUTE($A2116,CHAR(9)," ")," "," "),CHAR(13),""))</f>
        <v/>
      </c>
      <c r="H2116" s="58">
        <f>IF($G2116="","",IF(ISNUMBER(FIND(" ",$G2116)),$G2116,IFERROR(IF((LEN(SUBSTITUTE(SUBSTITUTE($G2116,"-"," ",LEN($G2116)-LEN(SUBSTITUTE($G2116,"-",""))),"-"," ",LEN($G2116)-LEN(SUBSTITUTE($G2116,"-",""))-1))-LEN(SUBSTITUTE(SUBSTITUTE(SUBSTITUTE($G2116,"-"," ",LEN($G2116)-LEN(SUBSTITUTE($G2116,"-",""))),"-"," ",LEN($G2116)-LEN(SUBSTITUTE($G2116,"-",""))-1),".","")))=0,SUBSTITUTE(SUBSTITUTE($G2116,"-"," ",LEN($G2116)-LEN(SUBSTITUTE($G2116,"-",""))),"-"," ",LEN($G2116)-LEN(SUBSTITUTE($G2116,"-",""))-1),SUBSTITUTE(SUBSTITUTE(SUBSTITUTE($G2116,"-"," ",LEN($G2116)-LEN(SUBSTITUTE($G2116,"-",""))),"-"," ",LEN($G2116)-LEN(SUBSTITUTE($G2116,"-",""))-1),"."," ",(LEN(SUBSTITUTE(SUBSTITUTE($G2116,"-"," ",LEN($G2116)-LEN(SUBSTITUTE($G2116,"-",""))),"-"," ",LEN($G2116)-LEN(SUBSTITUTE($G2116,"-",""))-1))-LEN(SUBSTITUTE(SUBSTITUTE(SUBSTITUTE($G2116,"-"," ",LEN($G2116)-LEN(SUBSTITUTE($G2116,"-",""))),"-"," ",LEN($G2116)-LEN(SUBSTITUTE($G2116,"-",""))-1),".",""))))),$G2116)))</f>
        <v/>
      </c>
    </row>
    <row r="2117">
      <c r="A2117" s="58" t="n"/>
      <c r="B2117" s="58">
        <f>IF($H2117="","",LEFT($H2117,FIND(" ",$H2117&amp;" ")-1))</f>
        <v/>
      </c>
      <c r="C2117" s="58">
        <f>IF($H2117="","",IFERROR(MID($H2117&amp;" ",FIND("|",SUBSTITUTE($H2117&amp;" "," ","|",1))+1,FIND("|",SUBSTITUTE($H2117&amp;" "," ","|",2))-FIND("|",SUBSTITUTE($H2117&amp;" "," ","|",1))-1),""))</f>
        <v/>
      </c>
      <c r="D2117" s="58">
        <f>IF($H2117="","",IFERROR(MID($H2117&amp;" ",FIND("|",SUBSTITUTE($H2117&amp;" "," ","|",2))+1,FIND("|",SUBSTITUTE($H2117&amp;" "," ","|",3))-FIND("|",SUBSTITUTE($H2117&amp;" "," ","|",2))-1),""))</f>
        <v/>
      </c>
      <c r="E2117" s="58">
        <f>IF($H2117="","",IFERROR(MID($H2117&amp;" ",FIND("|",SUBSTITUTE($H2117&amp;" "," ","|",3))+1,FIND("|",SUBSTITUTE($H2117&amp;" "," ","|",4))-FIND("|",SUBSTITUTE($H2117&amp;" "," ","|",3))-1),""))</f>
        <v/>
      </c>
      <c r="F2117" s="59">
        <f>IF($H2117="","",IFERROR(VALUE(IFERROR(MID($H2117&amp;" ",FIND("|",SUBSTITUTE($H2117&amp;" "," ","|",4))+1,FIND("|",SUBSTITUTE($H2117&amp;" "," ","|",5))-FIND("|",SUBSTITUTE($H2117&amp;" "," ","|",4))-1),""))/86400+25569+9/24,""))</f>
        <v/>
      </c>
      <c r="G2117" s="58">
        <f>TRIM(SUBSTITUTE(SUBSTITUTE(SUBSTITUTE($A2117,CHAR(9)," ")," "," "),CHAR(13),""))</f>
        <v/>
      </c>
      <c r="H2117" s="58">
        <f>IF($G2117="","",IF(ISNUMBER(FIND(" ",$G2117)),$G2117,IFERROR(IF((LEN(SUBSTITUTE(SUBSTITUTE($G2117,"-"," ",LEN($G2117)-LEN(SUBSTITUTE($G2117,"-",""))),"-"," ",LEN($G2117)-LEN(SUBSTITUTE($G2117,"-",""))-1))-LEN(SUBSTITUTE(SUBSTITUTE(SUBSTITUTE($G2117,"-"," ",LEN($G2117)-LEN(SUBSTITUTE($G2117,"-",""))),"-"," ",LEN($G2117)-LEN(SUBSTITUTE($G2117,"-",""))-1),".","")))=0,SUBSTITUTE(SUBSTITUTE($G2117,"-"," ",LEN($G2117)-LEN(SUBSTITUTE($G2117,"-",""))),"-"," ",LEN($G2117)-LEN(SUBSTITUTE($G2117,"-",""))-1),SUBSTITUTE(SUBSTITUTE(SUBSTITUTE($G2117,"-"," ",LEN($G2117)-LEN(SUBSTITUTE($G2117,"-",""))),"-"," ",LEN($G2117)-LEN(SUBSTITUTE($G2117,"-",""))-1),"."," ",(LEN(SUBSTITUTE(SUBSTITUTE($G2117,"-"," ",LEN($G2117)-LEN(SUBSTITUTE($G2117,"-",""))),"-"," ",LEN($G2117)-LEN(SUBSTITUTE($G2117,"-",""))-1))-LEN(SUBSTITUTE(SUBSTITUTE(SUBSTITUTE($G2117,"-"," ",LEN($G2117)-LEN(SUBSTITUTE($G2117,"-",""))),"-"," ",LEN($G2117)-LEN(SUBSTITUTE($G2117,"-",""))-1),".",""))))),$G2117)))</f>
        <v/>
      </c>
    </row>
    <row r="2118">
      <c r="A2118" s="58" t="n"/>
      <c r="B2118" s="58">
        <f>IF($H2118="","",LEFT($H2118,FIND(" ",$H2118&amp;" ")-1))</f>
        <v/>
      </c>
      <c r="C2118" s="58">
        <f>IF($H2118="","",IFERROR(MID($H2118&amp;" ",FIND("|",SUBSTITUTE($H2118&amp;" "," ","|",1))+1,FIND("|",SUBSTITUTE($H2118&amp;" "," ","|",2))-FIND("|",SUBSTITUTE($H2118&amp;" "," ","|",1))-1),""))</f>
        <v/>
      </c>
      <c r="D2118" s="58">
        <f>IF($H2118="","",IFERROR(MID($H2118&amp;" ",FIND("|",SUBSTITUTE($H2118&amp;" "," ","|",2))+1,FIND("|",SUBSTITUTE($H2118&amp;" "," ","|",3))-FIND("|",SUBSTITUTE($H2118&amp;" "," ","|",2))-1),""))</f>
        <v/>
      </c>
      <c r="E2118" s="58">
        <f>IF($H2118="","",IFERROR(MID($H2118&amp;" ",FIND("|",SUBSTITUTE($H2118&amp;" "," ","|",3))+1,FIND("|",SUBSTITUTE($H2118&amp;" "," ","|",4))-FIND("|",SUBSTITUTE($H2118&amp;" "," ","|",3))-1),""))</f>
        <v/>
      </c>
      <c r="F2118" s="59">
        <f>IF($H2118="","",IFERROR(VALUE(IFERROR(MID($H2118&amp;" ",FIND("|",SUBSTITUTE($H2118&amp;" "," ","|",4))+1,FIND("|",SUBSTITUTE($H2118&amp;" "," ","|",5))-FIND("|",SUBSTITUTE($H2118&amp;" "," ","|",4))-1),""))/86400+25569+9/24,""))</f>
        <v/>
      </c>
      <c r="G2118" s="58">
        <f>TRIM(SUBSTITUTE(SUBSTITUTE(SUBSTITUTE($A2118,CHAR(9)," ")," "," "),CHAR(13),""))</f>
        <v/>
      </c>
      <c r="H2118" s="58">
        <f>IF($G2118="","",IF(ISNUMBER(FIND(" ",$G2118)),$G2118,IFERROR(IF((LEN(SUBSTITUTE(SUBSTITUTE($G2118,"-"," ",LEN($G2118)-LEN(SUBSTITUTE($G2118,"-",""))),"-"," ",LEN($G2118)-LEN(SUBSTITUTE($G2118,"-",""))-1))-LEN(SUBSTITUTE(SUBSTITUTE(SUBSTITUTE($G2118,"-"," ",LEN($G2118)-LEN(SUBSTITUTE($G2118,"-",""))),"-"," ",LEN($G2118)-LEN(SUBSTITUTE($G2118,"-",""))-1),".","")))=0,SUBSTITUTE(SUBSTITUTE($G2118,"-"," ",LEN($G2118)-LEN(SUBSTITUTE($G2118,"-",""))),"-"," ",LEN($G2118)-LEN(SUBSTITUTE($G2118,"-",""))-1),SUBSTITUTE(SUBSTITUTE(SUBSTITUTE($G2118,"-"," ",LEN($G2118)-LEN(SUBSTITUTE($G2118,"-",""))),"-"," ",LEN($G2118)-LEN(SUBSTITUTE($G2118,"-",""))-1),"."," ",(LEN(SUBSTITUTE(SUBSTITUTE($G2118,"-"," ",LEN($G2118)-LEN(SUBSTITUTE($G2118,"-",""))),"-"," ",LEN($G2118)-LEN(SUBSTITUTE($G2118,"-",""))-1))-LEN(SUBSTITUTE(SUBSTITUTE(SUBSTITUTE($G2118,"-"," ",LEN($G2118)-LEN(SUBSTITUTE($G2118,"-",""))),"-"," ",LEN($G2118)-LEN(SUBSTITUTE($G2118,"-",""))-1),".",""))))),$G2118)))</f>
        <v/>
      </c>
    </row>
    <row r="2119">
      <c r="A2119" s="58" t="n"/>
      <c r="B2119" s="58">
        <f>IF($H2119="","",LEFT($H2119,FIND(" ",$H2119&amp;" ")-1))</f>
        <v/>
      </c>
      <c r="C2119" s="58">
        <f>IF($H2119="","",IFERROR(MID($H2119&amp;" ",FIND("|",SUBSTITUTE($H2119&amp;" "," ","|",1))+1,FIND("|",SUBSTITUTE($H2119&amp;" "," ","|",2))-FIND("|",SUBSTITUTE($H2119&amp;" "," ","|",1))-1),""))</f>
        <v/>
      </c>
      <c r="D2119" s="58">
        <f>IF($H2119="","",IFERROR(MID($H2119&amp;" ",FIND("|",SUBSTITUTE($H2119&amp;" "," ","|",2))+1,FIND("|",SUBSTITUTE($H2119&amp;" "," ","|",3))-FIND("|",SUBSTITUTE($H2119&amp;" "," ","|",2))-1),""))</f>
        <v/>
      </c>
      <c r="E2119" s="58">
        <f>IF($H2119="","",IFERROR(MID($H2119&amp;" ",FIND("|",SUBSTITUTE($H2119&amp;" "," ","|",3))+1,FIND("|",SUBSTITUTE($H2119&amp;" "," ","|",4))-FIND("|",SUBSTITUTE($H2119&amp;" "," ","|",3))-1),""))</f>
        <v/>
      </c>
      <c r="F2119" s="59">
        <f>IF($H2119="","",IFERROR(VALUE(IFERROR(MID($H2119&amp;" ",FIND("|",SUBSTITUTE($H2119&amp;" "," ","|",4))+1,FIND("|",SUBSTITUTE($H2119&amp;" "," ","|",5))-FIND("|",SUBSTITUTE($H2119&amp;" "," ","|",4))-1),""))/86400+25569+9/24,""))</f>
        <v/>
      </c>
      <c r="G2119" s="58">
        <f>TRIM(SUBSTITUTE(SUBSTITUTE(SUBSTITUTE($A2119,CHAR(9)," ")," "," "),CHAR(13),""))</f>
        <v/>
      </c>
      <c r="H2119" s="58">
        <f>IF($G2119="","",IF(ISNUMBER(FIND(" ",$G2119)),$G2119,IFERROR(IF((LEN(SUBSTITUTE(SUBSTITUTE($G2119,"-"," ",LEN($G2119)-LEN(SUBSTITUTE($G2119,"-",""))),"-"," ",LEN($G2119)-LEN(SUBSTITUTE($G2119,"-",""))-1))-LEN(SUBSTITUTE(SUBSTITUTE(SUBSTITUTE($G2119,"-"," ",LEN($G2119)-LEN(SUBSTITUTE($G2119,"-",""))),"-"," ",LEN($G2119)-LEN(SUBSTITUTE($G2119,"-",""))-1),".","")))=0,SUBSTITUTE(SUBSTITUTE($G2119,"-"," ",LEN($G2119)-LEN(SUBSTITUTE($G2119,"-",""))),"-"," ",LEN($G2119)-LEN(SUBSTITUTE($G2119,"-",""))-1),SUBSTITUTE(SUBSTITUTE(SUBSTITUTE($G2119,"-"," ",LEN($G2119)-LEN(SUBSTITUTE($G2119,"-",""))),"-"," ",LEN($G2119)-LEN(SUBSTITUTE($G2119,"-",""))-1),"."," ",(LEN(SUBSTITUTE(SUBSTITUTE($G2119,"-"," ",LEN($G2119)-LEN(SUBSTITUTE($G2119,"-",""))),"-"," ",LEN($G2119)-LEN(SUBSTITUTE($G2119,"-",""))-1))-LEN(SUBSTITUTE(SUBSTITUTE(SUBSTITUTE($G2119,"-"," ",LEN($G2119)-LEN(SUBSTITUTE($G2119,"-",""))),"-"," ",LEN($G2119)-LEN(SUBSTITUTE($G2119,"-",""))-1),".",""))))),$G2119)))</f>
        <v/>
      </c>
    </row>
    <row r="2120">
      <c r="A2120" s="58" t="n"/>
      <c r="B2120" s="58">
        <f>IF($H2120="","",LEFT($H2120,FIND(" ",$H2120&amp;" ")-1))</f>
        <v/>
      </c>
      <c r="C2120" s="58">
        <f>IF($H2120="","",IFERROR(MID($H2120&amp;" ",FIND("|",SUBSTITUTE($H2120&amp;" "," ","|",1))+1,FIND("|",SUBSTITUTE($H2120&amp;" "," ","|",2))-FIND("|",SUBSTITUTE($H2120&amp;" "," ","|",1))-1),""))</f>
        <v/>
      </c>
      <c r="D2120" s="58">
        <f>IF($H2120="","",IFERROR(MID($H2120&amp;" ",FIND("|",SUBSTITUTE($H2120&amp;" "," ","|",2))+1,FIND("|",SUBSTITUTE($H2120&amp;" "," ","|",3))-FIND("|",SUBSTITUTE($H2120&amp;" "," ","|",2))-1),""))</f>
        <v/>
      </c>
      <c r="E2120" s="58">
        <f>IF($H2120="","",IFERROR(MID($H2120&amp;" ",FIND("|",SUBSTITUTE($H2120&amp;" "," ","|",3))+1,FIND("|",SUBSTITUTE($H2120&amp;" "," ","|",4))-FIND("|",SUBSTITUTE($H2120&amp;" "," ","|",3))-1),""))</f>
        <v/>
      </c>
      <c r="F2120" s="59">
        <f>IF($H2120="","",IFERROR(VALUE(IFERROR(MID($H2120&amp;" ",FIND("|",SUBSTITUTE($H2120&amp;" "," ","|",4))+1,FIND("|",SUBSTITUTE($H2120&amp;" "," ","|",5))-FIND("|",SUBSTITUTE($H2120&amp;" "," ","|",4))-1),""))/86400+25569+9/24,""))</f>
        <v/>
      </c>
      <c r="G2120" s="58">
        <f>TRIM(SUBSTITUTE(SUBSTITUTE(SUBSTITUTE($A2120,CHAR(9)," ")," "," "),CHAR(13),""))</f>
        <v/>
      </c>
      <c r="H2120" s="58">
        <f>IF($G2120="","",IF(ISNUMBER(FIND(" ",$G2120)),$G2120,IFERROR(IF((LEN(SUBSTITUTE(SUBSTITUTE($G2120,"-"," ",LEN($G2120)-LEN(SUBSTITUTE($G2120,"-",""))),"-"," ",LEN($G2120)-LEN(SUBSTITUTE($G2120,"-",""))-1))-LEN(SUBSTITUTE(SUBSTITUTE(SUBSTITUTE($G2120,"-"," ",LEN($G2120)-LEN(SUBSTITUTE($G2120,"-",""))),"-"," ",LEN($G2120)-LEN(SUBSTITUTE($G2120,"-",""))-1),".","")))=0,SUBSTITUTE(SUBSTITUTE($G2120,"-"," ",LEN($G2120)-LEN(SUBSTITUTE($G2120,"-",""))),"-"," ",LEN($G2120)-LEN(SUBSTITUTE($G2120,"-",""))-1),SUBSTITUTE(SUBSTITUTE(SUBSTITUTE($G2120,"-"," ",LEN($G2120)-LEN(SUBSTITUTE($G2120,"-",""))),"-"," ",LEN($G2120)-LEN(SUBSTITUTE($G2120,"-",""))-1),"."," ",(LEN(SUBSTITUTE(SUBSTITUTE($G2120,"-"," ",LEN($G2120)-LEN(SUBSTITUTE($G2120,"-",""))),"-"," ",LEN($G2120)-LEN(SUBSTITUTE($G2120,"-",""))-1))-LEN(SUBSTITUTE(SUBSTITUTE(SUBSTITUTE($G2120,"-"," ",LEN($G2120)-LEN(SUBSTITUTE($G2120,"-",""))),"-"," ",LEN($G2120)-LEN(SUBSTITUTE($G2120,"-",""))-1),".",""))))),$G2120)))</f>
        <v/>
      </c>
    </row>
    <row r="2121">
      <c r="A2121" s="58" t="n"/>
      <c r="B2121" s="58">
        <f>IF($H2121="","",LEFT($H2121,FIND(" ",$H2121&amp;" ")-1))</f>
        <v/>
      </c>
      <c r="C2121" s="58">
        <f>IF($H2121="","",IFERROR(MID($H2121&amp;" ",FIND("|",SUBSTITUTE($H2121&amp;" "," ","|",1))+1,FIND("|",SUBSTITUTE($H2121&amp;" "," ","|",2))-FIND("|",SUBSTITUTE($H2121&amp;" "," ","|",1))-1),""))</f>
        <v/>
      </c>
      <c r="D2121" s="58">
        <f>IF($H2121="","",IFERROR(MID($H2121&amp;" ",FIND("|",SUBSTITUTE($H2121&amp;" "," ","|",2))+1,FIND("|",SUBSTITUTE($H2121&amp;" "," ","|",3))-FIND("|",SUBSTITUTE($H2121&amp;" "," ","|",2))-1),""))</f>
        <v/>
      </c>
      <c r="E2121" s="58">
        <f>IF($H2121="","",IFERROR(MID($H2121&amp;" ",FIND("|",SUBSTITUTE($H2121&amp;" "," ","|",3))+1,FIND("|",SUBSTITUTE($H2121&amp;" "," ","|",4))-FIND("|",SUBSTITUTE($H2121&amp;" "," ","|",3))-1),""))</f>
        <v/>
      </c>
      <c r="F2121" s="59">
        <f>IF($H2121="","",IFERROR(VALUE(IFERROR(MID($H2121&amp;" ",FIND("|",SUBSTITUTE($H2121&amp;" "," ","|",4))+1,FIND("|",SUBSTITUTE($H2121&amp;" "," ","|",5))-FIND("|",SUBSTITUTE($H2121&amp;" "," ","|",4))-1),""))/86400+25569+9/24,""))</f>
        <v/>
      </c>
      <c r="G2121" s="58">
        <f>TRIM(SUBSTITUTE(SUBSTITUTE(SUBSTITUTE($A2121,CHAR(9)," ")," "," "),CHAR(13),""))</f>
        <v/>
      </c>
      <c r="H2121" s="58">
        <f>IF($G2121="","",IF(ISNUMBER(FIND(" ",$G2121)),$G2121,IFERROR(IF((LEN(SUBSTITUTE(SUBSTITUTE($G2121,"-"," ",LEN($G2121)-LEN(SUBSTITUTE($G2121,"-",""))),"-"," ",LEN($G2121)-LEN(SUBSTITUTE($G2121,"-",""))-1))-LEN(SUBSTITUTE(SUBSTITUTE(SUBSTITUTE($G2121,"-"," ",LEN($G2121)-LEN(SUBSTITUTE($G2121,"-",""))),"-"," ",LEN($G2121)-LEN(SUBSTITUTE($G2121,"-",""))-1),".","")))=0,SUBSTITUTE(SUBSTITUTE($G2121,"-"," ",LEN($G2121)-LEN(SUBSTITUTE($G2121,"-",""))),"-"," ",LEN($G2121)-LEN(SUBSTITUTE($G2121,"-",""))-1),SUBSTITUTE(SUBSTITUTE(SUBSTITUTE($G2121,"-"," ",LEN($G2121)-LEN(SUBSTITUTE($G2121,"-",""))),"-"," ",LEN($G2121)-LEN(SUBSTITUTE($G2121,"-",""))-1),"."," ",(LEN(SUBSTITUTE(SUBSTITUTE($G2121,"-"," ",LEN($G2121)-LEN(SUBSTITUTE($G2121,"-",""))),"-"," ",LEN($G2121)-LEN(SUBSTITUTE($G2121,"-",""))-1))-LEN(SUBSTITUTE(SUBSTITUTE(SUBSTITUTE($G2121,"-"," ",LEN($G2121)-LEN(SUBSTITUTE($G2121,"-",""))),"-"," ",LEN($G2121)-LEN(SUBSTITUTE($G2121,"-",""))-1),".",""))))),$G2121)))</f>
        <v/>
      </c>
    </row>
    <row r="2122">
      <c r="A2122" s="58" t="n"/>
      <c r="B2122" s="58">
        <f>IF($H2122="","",LEFT($H2122,FIND(" ",$H2122&amp;" ")-1))</f>
        <v/>
      </c>
      <c r="C2122" s="58">
        <f>IF($H2122="","",IFERROR(MID($H2122&amp;" ",FIND("|",SUBSTITUTE($H2122&amp;" "," ","|",1))+1,FIND("|",SUBSTITUTE($H2122&amp;" "," ","|",2))-FIND("|",SUBSTITUTE($H2122&amp;" "," ","|",1))-1),""))</f>
        <v/>
      </c>
      <c r="D2122" s="58">
        <f>IF($H2122="","",IFERROR(MID($H2122&amp;" ",FIND("|",SUBSTITUTE($H2122&amp;" "," ","|",2))+1,FIND("|",SUBSTITUTE($H2122&amp;" "," ","|",3))-FIND("|",SUBSTITUTE($H2122&amp;" "," ","|",2))-1),""))</f>
        <v/>
      </c>
      <c r="E2122" s="58">
        <f>IF($H2122="","",IFERROR(MID($H2122&amp;" ",FIND("|",SUBSTITUTE($H2122&amp;" "," ","|",3))+1,FIND("|",SUBSTITUTE($H2122&amp;" "," ","|",4))-FIND("|",SUBSTITUTE($H2122&amp;" "," ","|",3))-1),""))</f>
        <v/>
      </c>
      <c r="F2122" s="59">
        <f>IF($H2122="","",IFERROR(VALUE(IFERROR(MID($H2122&amp;" ",FIND("|",SUBSTITUTE($H2122&amp;" "," ","|",4))+1,FIND("|",SUBSTITUTE($H2122&amp;" "," ","|",5))-FIND("|",SUBSTITUTE($H2122&amp;" "," ","|",4))-1),""))/86400+25569+9/24,""))</f>
        <v/>
      </c>
      <c r="G2122" s="58">
        <f>TRIM(SUBSTITUTE(SUBSTITUTE(SUBSTITUTE($A2122,CHAR(9)," ")," "," "),CHAR(13),""))</f>
        <v/>
      </c>
      <c r="H2122" s="58">
        <f>IF($G2122="","",IF(ISNUMBER(FIND(" ",$G2122)),$G2122,IFERROR(IF((LEN(SUBSTITUTE(SUBSTITUTE($G2122,"-"," ",LEN($G2122)-LEN(SUBSTITUTE($G2122,"-",""))),"-"," ",LEN($G2122)-LEN(SUBSTITUTE($G2122,"-",""))-1))-LEN(SUBSTITUTE(SUBSTITUTE(SUBSTITUTE($G2122,"-"," ",LEN($G2122)-LEN(SUBSTITUTE($G2122,"-",""))),"-"," ",LEN($G2122)-LEN(SUBSTITUTE($G2122,"-",""))-1),".","")))=0,SUBSTITUTE(SUBSTITUTE($G2122,"-"," ",LEN($G2122)-LEN(SUBSTITUTE($G2122,"-",""))),"-"," ",LEN($G2122)-LEN(SUBSTITUTE($G2122,"-",""))-1),SUBSTITUTE(SUBSTITUTE(SUBSTITUTE($G2122,"-"," ",LEN($G2122)-LEN(SUBSTITUTE($G2122,"-",""))),"-"," ",LEN($G2122)-LEN(SUBSTITUTE($G2122,"-",""))-1),"."," ",(LEN(SUBSTITUTE(SUBSTITUTE($G2122,"-"," ",LEN($G2122)-LEN(SUBSTITUTE($G2122,"-",""))),"-"," ",LEN($G2122)-LEN(SUBSTITUTE($G2122,"-",""))-1))-LEN(SUBSTITUTE(SUBSTITUTE(SUBSTITUTE($G2122,"-"," ",LEN($G2122)-LEN(SUBSTITUTE($G2122,"-",""))),"-"," ",LEN($G2122)-LEN(SUBSTITUTE($G2122,"-",""))-1),".",""))))),$G2122)))</f>
        <v/>
      </c>
    </row>
    <row r="2123">
      <c r="A2123" s="58" t="n"/>
      <c r="B2123" s="58">
        <f>IF($H2123="","",LEFT($H2123,FIND(" ",$H2123&amp;" ")-1))</f>
        <v/>
      </c>
      <c r="C2123" s="58">
        <f>IF($H2123="","",IFERROR(MID($H2123&amp;" ",FIND("|",SUBSTITUTE($H2123&amp;" "," ","|",1))+1,FIND("|",SUBSTITUTE($H2123&amp;" "," ","|",2))-FIND("|",SUBSTITUTE($H2123&amp;" "," ","|",1))-1),""))</f>
        <v/>
      </c>
      <c r="D2123" s="58">
        <f>IF($H2123="","",IFERROR(MID($H2123&amp;" ",FIND("|",SUBSTITUTE($H2123&amp;" "," ","|",2))+1,FIND("|",SUBSTITUTE($H2123&amp;" "," ","|",3))-FIND("|",SUBSTITUTE($H2123&amp;" "," ","|",2))-1),""))</f>
        <v/>
      </c>
      <c r="E2123" s="58">
        <f>IF($H2123="","",IFERROR(MID($H2123&amp;" ",FIND("|",SUBSTITUTE($H2123&amp;" "," ","|",3))+1,FIND("|",SUBSTITUTE($H2123&amp;" "," ","|",4))-FIND("|",SUBSTITUTE($H2123&amp;" "," ","|",3))-1),""))</f>
        <v/>
      </c>
      <c r="F2123" s="59">
        <f>IF($H2123="","",IFERROR(VALUE(IFERROR(MID($H2123&amp;" ",FIND("|",SUBSTITUTE($H2123&amp;" "," ","|",4))+1,FIND("|",SUBSTITUTE($H2123&amp;" "," ","|",5))-FIND("|",SUBSTITUTE($H2123&amp;" "," ","|",4))-1),""))/86400+25569+9/24,""))</f>
        <v/>
      </c>
      <c r="G2123" s="58">
        <f>TRIM(SUBSTITUTE(SUBSTITUTE(SUBSTITUTE($A2123,CHAR(9)," ")," "," "),CHAR(13),""))</f>
        <v/>
      </c>
      <c r="H2123" s="58">
        <f>IF($G2123="","",IF(ISNUMBER(FIND(" ",$G2123)),$G2123,IFERROR(IF((LEN(SUBSTITUTE(SUBSTITUTE($G2123,"-"," ",LEN($G2123)-LEN(SUBSTITUTE($G2123,"-",""))),"-"," ",LEN($G2123)-LEN(SUBSTITUTE($G2123,"-",""))-1))-LEN(SUBSTITUTE(SUBSTITUTE(SUBSTITUTE($G2123,"-"," ",LEN($G2123)-LEN(SUBSTITUTE($G2123,"-",""))),"-"," ",LEN($G2123)-LEN(SUBSTITUTE($G2123,"-",""))-1),".","")))=0,SUBSTITUTE(SUBSTITUTE($G2123,"-"," ",LEN($G2123)-LEN(SUBSTITUTE($G2123,"-",""))),"-"," ",LEN($G2123)-LEN(SUBSTITUTE($G2123,"-",""))-1),SUBSTITUTE(SUBSTITUTE(SUBSTITUTE($G2123,"-"," ",LEN($G2123)-LEN(SUBSTITUTE($G2123,"-",""))),"-"," ",LEN($G2123)-LEN(SUBSTITUTE($G2123,"-",""))-1),"."," ",(LEN(SUBSTITUTE(SUBSTITUTE($G2123,"-"," ",LEN($G2123)-LEN(SUBSTITUTE($G2123,"-",""))),"-"," ",LEN($G2123)-LEN(SUBSTITUTE($G2123,"-",""))-1))-LEN(SUBSTITUTE(SUBSTITUTE(SUBSTITUTE($G2123,"-"," ",LEN($G2123)-LEN(SUBSTITUTE($G2123,"-",""))),"-"," ",LEN($G2123)-LEN(SUBSTITUTE($G2123,"-",""))-1),".",""))))),$G2123)))</f>
        <v/>
      </c>
    </row>
    <row r="2124">
      <c r="A2124" s="58" t="n"/>
      <c r="B2124" s="58">
        <f>IF($H2124="","",LEFT($H2124,FIND(" ",$H2124&amp;" ")-1))</f>
        <v/>
      </c>
      <c r="C2124" s="58">
        <f>IF($H2124="","",IFERROR(MID($H2124&amp;" ",FIND("|",SUBSTITUTE($H2124&amp;" "," ","|",1))+1,FIND("|",SUBSTITUTE($H2124&amp;" "," ","|",2))-FIND("|",SUBSTITUTE($H2124&amp;" "," ","|",1))-1),""))</f>
        <v/>
      </c>
      <c r="D2124" s="58">
        <f>IF($H2124="","",IFERROR(MID($H2124&amp;" ",FIND("|",SUBSTITUTE($H2124&amp;" "," ","|",2))+1,FIND("|",SUBSTITUTE($H2124&amp;" "," ","|",3))-FIND("|",SUBSTITUTE($H2124&amp;" "," ","|",2))-1),""))</f>
        <v/>
      </c>
      <c r="E2124" s="58">
        <f>IF($H2124="","",IFERROR(MID($H2124&amp;" ",FIND("|",SUBSTITUTE($H2124&amp;" "," ","|",3))+1,FIND("|",SUBSTITUTE($H2124&amp;" "," ","|",4))-FIND("|",SUBSTITUTE($H2124&amp;" "," ","|",3))-1),""))</f>
        <v/>
      </c>
      <c r="F2124" s="59">
        <f>IF($H2124="","",IFERROR(VALUE(IFERROR(MID($H2124&amp;" ",FIND("|",SUBSTITUTE($H2124&amp;" "," ","|",4))+1,FIND("|",SUBSTITUTE($H2124&amp;" "," ","|",5))-FIND("|",SUBSTITUTE($H2124&amp;" "," ","|",4))-1),""))/86400+25569+9/24,""))</f>
        <v/>
      </c>
      <c r="G2124" s="58">
        <f>TRIM(SUBSTITUTE(SUBSTITUTE(SUBSTITUTE($A2124,CHAR(9)," ")," "," "),CHAR(13),""))</f>
        <v/>
      </c>
      <c r="H2124" s="58">
        <f>IF($G2124="","",IF(ISNUMBER(FIND(" ",$G2124)),$G2124,IFERROR(IF((LEN(SUBSTITUTE(SUBSTITUTE($G2124,"-"," ",LEN($G2124)-LEN(SUBSTITUTE($G2124,"-",""))),"-"," ",LEN($G2124)-LEN(SUBSTITUTE($G2124,"-",""))-1))-LEN(SUBSTITUTE(SUBSTITUTE(SUBSTITUTE($G2124,"-"," ",LEN($G2124)-LEN(SUBSTITUTE($G2124,"-",""))),"-"," ",LEN($G2124)-LEN(SUBSTITUTE($G2124,"-",""))-1),".","")))=0,SUBSTITUTE(SUBSTITUTE($G2124,"-"," ",LEN($G2124)-LEN(SUBSTITUTE($G2124,"-",""))),"-"," ",LEN($G2124)-LEN(SUBSTITUTE($G2124,"-",""))-1),SUBSTITUTE(SUBSTITUTE(SUBSTITUTE($G2124,"-"," ",LEN($G2124)-LEN(SUBSTITUTE($G2124,"-",""))),"-"," ",LEN($G2124)-LEN(SUBSTITUTE($G2124,"-",""))-1),"."," ",(LEN(SUBSTITUTE(SUBSTITUTE($G2124,"-"," ",LEN($G2124)-LEN(SUBSTITUTE($G2124,"-",""))),"-"," ",LEN($G2124)-LEN(SUBSTITUTE($G2124,"-",""))-1))-LEN(SUBSTITUTE(SUBSTITUTE(SUBSTITUTE($G2124,"-"," ",LEN($G2124)-LEN(SUBSTITUTE($G2124,"-",""))),"-"," ",LEN($G2124)-LEN(SUBSTITUTE($G2124,"-",""))-1),".",""))))),$G2124)))</f>
        <v/>
      </c>
    </row>
    <row r="2125">
      <c r="A2125" s="58" t="n"/>
      <c r="B2125" s="58">
        <f>IF($H2125="","",LEFT($H2125,FIND(" ",$H2125&amp;" ")-1))</f>
        <v/>
      </c>
      <c r="C2125" s="58">
        <f>IF($H2125="","",IFERROR(MID($H2125&amp;" ",FIND("|",SUBSTITUTE($H2125&amp;" "," ","|",1))+1,FIND("|",SUBSTITUTE($H2125&amp;" "," ","|",2))-FIND("|",SUBSTITUTE($H2125&amp;" "," ","|",1))-1),""))</f>
        <v/>
      </c>
      <c r="D2125" s="58">
        <f>IF($H2125="","",IFERROR(MID($H2125&amp;" ",FIND("|",SUBSTITUTE($H2125&amp;" "," ","|",2))+1,FIND("|",SUBSTITUTE($H2125&amp;" "," ","|",3))-FIND("|",SUBSTITUTE($H2125&amp;" "," ","|",2))-1),""))</f>
        <v/>
      </c>
      <c r="E2125" s="58">
        <f>IF($H2125="","",IFERROR(MID($H2125&amp;" ",FIND("|",SUBSTITUTE($H2125&amp;" "," ","|",3))+1,FIND("|",SUBSTITUTE($H2125&amp;" "," ","|",4))-FIND("|",SUBSTITUTE($H2125&amp;" "," ","|",3))-1),""))</f>
        <v/>
      </c>
      <c r="F2125" s="59">
        <f>IF($H2125="","",IFERROR(VALUE(IFERROR(MID($H2125&amp;" ",FIND("|",SUBSTITUTE($H2125&amp;" "," ","|",4))+1,FIND("|",SUBSTITUTE($H2125&amp;" "," ","|",5))-FIND("|",SUBSTITUTE($H2125&amp;" "," ","|",4))-1),""))/86400+25569+9/24,""))</f>
        <v/>
      </c>
      <c r="G2125" s="58">
        <f>TRIM(SUBSTITUTE(SUBSTITUTE(SUBSTITUTE($A2125,CHAR(9)," ")," "," "),CHAR(13),""))</f>
        <v/>
      </c>
      <c r="H2125" s="58">
        <f>IF($G2125="","",IF(ISNUMBER(FIND(" ",$G2125)),$G2125,IFERROR(IF((LEN(SUBSTITUTE(SUBSTITUTE($G2125,"-"," ",LEN($G2125)-LEN(SUBSTITUTE($G2125,"-",""))),"-"," ",LEN($G2125)-LEN(SUBSTITUTE($G2125,"-",""))-1))-LEN(SUBSTITUTE(SUBSTITUTE(SUBSTITUTE($G2125,"-"," ",LEN($G2125)-LEN(SUBSTITUTE($G2125,"-",""))),"-"," ",LEN($G2125)-LEN(SUBSTITUTE($G2125,"-",""))-1),".","")))=0,SUBSTITUTE(SUBSTITUTE($G2125,"-"," ",LEN($G2125)-LEN(SUBSTITUTE($G2125,"-",""))),"-"," ",LEN($G2125)-LEN(SUBSTITUTE($G2125,"-",""))-1),SUBSTITUTE(SUBSTITUTE(SUBSTITUTE($G2125,"-"," ",LEN($G2125)-LEN(SUBSTITUTE($G2125,"-",""))),"-"," ",LEN($G2125)-LEN(SUBSTITUTE($G2125,"-",""))-1),"."," ",(LEN(SUBSTITUTE(SUBSTITUTE($G2125,"-"," ",LEN($G2125)-LEN(SUBSTITUTE($G2125,"-",""))),"-"," ",LEN($G2125)-LEN(SUBSTITUTE($G2125,"-",""))-1))-LEN(SUBSTITUTE(SUBSTITUTE(SUBSTITUTE($G2125,"-"," ",LEN($G2125)-LEN(SUBSTITUTE($G2125,"-",""))),"-"," ",LEN($G2125)-LEN(SUBSTITUTE($G2125,"-",""))-1),".",""))))),$G2125)))</f>
        <v/>
      </c>
    </row>
    <row r="2126">
      <c r="A2126" s="58" t="n"/>
      <c r="B2126" s="58">
        <f>IF($H2126="","",LEFT($H2126,FIND(" ",$H2126&amp;" ")-1))</f>
        <v/>
      </c>
      <c r="C2126" s="58">
        <f>IF($H2126="","",IFERROR(MID($H2126&amp;" ",FIND("|",SUBSTITUTE($H2126&amp;" "," ","|",1))+1,FIND("|",SUBSTITUTE($H2126&amp;" "," ","|",2))-FIND("|",SUBSTITUTE($H2126&amp;" "," ","|",1))-1),""))</f>
        <v/>
      </c>
      <c r="D2126" s="58">
        <f>IF($H2126="","",IFERROR(MID($H2126&amp;" ",FIND("|",SUBSTITUTE($H2126&amp;" "," ","|",2))+1,FIND("|",SUBSTITUTE($H2126&amp;" "," ","|",3))-FIND("|",SUBSTITUTE($H2126&amp;" "," ","|",2))-1),""))</f>
        <v/>
      </c>
      <c r="E2126" s="58">
        <f>IF($H2126="","",IFERROR(MID($H2126&amp;" ",FIND("|",SUBSTITUTE($H2126&amp;" "," ","|",3))+1,FIND("|",SUBSTITUTE($H2126&amp;" "," ","|",4))-FIND("|",SUBSTITUTE($H2126&amp;" "," ","|",3))-1),""))</f>
        <v/>
      </c>
      <c r="F2126" s="59">
        <f>IF($H2126="","",IFERROR(VALUE(IFERROR(MID($H2126&amp;" ",FIND("|",SUBSTITUTE($H2126&amp;" "," ","|",4))+1,FIND("|",SUBSTITUTE($H2126&amp;" "," ","|",5))-FIND("|",SUBSTITUTE($H2126&amp;" "," ","|",4))-1),""))/86400+25569+9/24,""))</f>
        <v/>
      </c>
      <c r="G2126" s="58">
        <f>TRIM(SUBSTITUTE(SUBSTITUTE(SUBSTITUTE($A2126,CHAR(9)," ")," "," "),CHAR(13),""))</f>
        <v/>
      </c>
      <c r="H2126" s="58">
        <f>IF($G2126="","",IF(ISNUMBER(FIND(" ",$G2126)),$G2126,IFERROR(IF((LEN(SUBSTITUTE(SUBSTITUTE($G2126,"-"," ",LEN($G2126)-LEN(SUBSTITUTE($G2126,"-",""))),"-"," ",LEN($G2126)-LEN(SUBSTITUTE($G2126,"-",""))-1))-LEN(SUBSTITUTE(SUBSTITUTE(SUBSTITUTE($G2126,"-"," ",LEN($G2126)-LEN(SUBSTITUTE($G2126,"-",""))),"-"," ",LEN($G2126)-LEN(SUBSTITUTE($G2126,"-",""))-1),".","")))=0,SUBSTITUTE(SUBSTITUTE($G2126,"-"," ",LEN($G2126)-LEN(SUBSTITUTE($G2126,"-",""))),"-"," ",LEN($G2126)-LEN(SUBSTITUTE($G2126,"-",""))-1),SUBSTITUTE(SUBSTITUTE(SUBSTITUTE($G2126,"-"," ",LEN($G2126)-LEN(SUBSTITUTE($G2126,"-",""))),"-"," ",LEN($G2126)-LEN(SUBSTITUTE($G2126,"-",""))-1),"."," ",(LEN(SUBSTITUTE(SUBSTITUTE($G2126,"-"," ",LEN($G2126)-LEN(SUBSTITUTE($G2126,"-",""))),"-"," ",LEN($G2126)-LEN(SUBSTITUTE($G2126,"-",""))-1))-LEN(SUBSTITUTE(SUBSTITUTE(SUBSTITUTE($G2126,"-"," ",LEN($G2126)-LEN(SUBSTITUTE($G2126,"-",""))),"-"," ",LEN($G2126)-LEN(SUBSTITUTE($G2126,"-",""))-1),".",""))))),$G2126)))</f>
        <v/>
      </c>
    </row>
    <row r="2127">
      <c r="A2127" s="58" t="n"/>
      <c r="B2127" s="58">
        <f>IF($H2127="","",LEFT($H2127,FIND(" ",$H2127&amp;" ")-1))</f>
        <v/>
      </c>
      <c r="C2127" s="58">
        <f>IF($H2127="","",IFERROR(MID($H2127&amp;" ",FIND("|",SUBSTITUTE($H2127&amp;" "," ","|",1))+1,FIND("|",SUBSTITUTE($H2127&amp;" "," ","|",2))-FIND("|",SUBSTITUTE($H2127&amp;" "," ","|",1))-1),""))</f>
        <v/>
      </c>
      <c r="D2127" s="58">
        <f>IF($H2127="","",IFERROR(MID($H2127&amp;" ",FIND("|",SUBSTITUTE($H2127&amp;" "," ","|",2))+1,FIND("|",SUBSTITUTE($H2127&amp;" "," ","|",3))-FIND("|",SUBSTITUTE($H2127&amp;" "," ","|",2))-1),""))</f>
        <v/>
      </c>
      <c r="E2127" s="58">
        <f>IF($H2127="","",IFERROR(MID($H2127&amp;" ",FIND("|",SUBSTITUTE($H2127&amp;" "," ","|",3))+1,FIND("|",SUBSTITUTE($H2127&amp;" "," ","|",4))-FIND("|",SUBSTITUTE($H2127&amp;" "," ","|",3))-1),""))</f>
        <v/>
      </c>
      <c r="F2127" s="59">
        <f>IF($H2127="","",IFERROR(VALUE(IFERROR(MID($H2127&amp;" ",FIND("|",SUBSTITUTE($H2127&amp;" "," ","|",4))+1,FIND("|",SUBSTITUTE($H2127&amp;" "," ","|",5))-FIND("|",SUBSTITUTE($H2127&amp;" "," ","|",4))-1),""))/86400+25569+9/24,""))</f>
        <v/>
      </c>
      <c r="G2127" s="58">
        <f>TRIM(SUBSTITUTE(SUBSTITUTE(SUBSTITUTE($A2127,CHAR(9)," ")," "," "),CHAR(13),""))</f>
        <v/>
      </c>
      <c r="H2127" s="58">
        <f>IF($G2127="","",IF(ISNUMBER(FIND(" ",$G2127)),$G2127,IFERROR(IF((LEN(SUBSTITUTE(SUBSTITUTE($G2127,"-"," ",LEN($G2127)-LEN(SUBSTITUTE($G2127,"-",""))),"-"," ",LEN($G2127)-LEN(SUBSTITUTE($G2127,"-",""))-1))-LEN(SUBSTITUTE(SUBSTITUTE(SUBSTITUTE($G2127,"-"," ",LEN($G2127)-LEN(SUBSTITUTE($G2127,"-",""))),"-"," ",LEN($G2127)-LEN(SUBSTITUTE($G2127,"-",""))-1),".","")))=0,SUBSTITUTE(SUBSTITUTE($G2127,"-"," ",LEN($G2127)-LEN(SUBSTITUTE($G2127,"-",""))),"-"," ",LEN($G2127)-LEN(SUBSTITUTE($G2127,"-",""))-1),SUBSTITUTE(SUBSTITUTE(SUBSTITUTE($G2127,"-"," ",LEN($G2127)-LEN(SUBSTITUTE($G2127,"-",""))),"-"," ",LEN($G2127)-LEN(SUBSTITUTE($G2127,"-",""))-1),"."," ",(LEN(SUBSTITUTE(SUBSTITUTE($G2127,"-"," ",LEN($G2127)-LEN(SUBSTITUTE($G2127,"-",""))),"-"," ",LEN($G2127)-LEN(SUBSTITUTE($G2127,"-",""))-1))-LEN(SUBSTITUTE(SUBSTITUTE(SUBSTITUTE($G2127,"-"," ",LEN($G2127)-LEN(SUBSTITUTE($G2127,"-",""))),"-"," ",LEN($G2127)-LEN(SUBSTITUTE($G2127,"-",""))-1),".",""))))),$G2127)))</f>
        <v/>
      </c>
    </row>
    <row r="2128">
      <c r="A2128" s="58" t="n"/>
      <c r="B2128" s="58">
        <f>IF($H2128="","",LEFT($H2128,FIND(" ",$H2128&amp;" ")-1))</f>
        <v/>
      </c>
      <c r="C2128" s="58">
        <f>IF($H2128="","",IFERROR(MID($H2128&amp;" ",FIND("|",SUBSTITUTE($H2128&amp;" "," ","|",1))+1,FIND("|",SUBSTITUTE($H2128&amp;" "," ","|",2))-FIND("|",SUBSTITUTE($H2128&amp;" "," ","|",1))-1),""))</f>
        <v/>
      </c>
      <c r="D2128" s="58">
        <f>IF($H2128="","",IFERROR(MID($H2128&amp;" ",FIND("|",SUBSTITUTE($H2128&amp;" "," ","|",2))+1,FIND("|",SUBSTITUTE($H2128&amp;" "," ","|",3))-FIND("|",SUBSTITUTE($H2128&amp;" "," ","|",2))-1),""))</f>
        <v/>
      </c>
      <c r="E2128" s="58">
        <f>IF($H2128="","",IFERROR(MID($H2128&amp;" ",FIND("|",SUBSTITUTE($H2128&amp;" "," ","|",3))+1,FIND("|",SUBSTITUTE($H2128&amp;" "," ","|",4))-FIND("|",SUBSTITUTE($H2128&amp;" "," ","|",3))-1),""))</f>
        <v/>
      </c>
      <c r="F2128" s="59">
        <f>IF($H2128="","",IFERROR(VALUE(IFERROR(MID($H2128&amp;" ",FIND("|",SUBSTITUTE($H2128&amp;" "," ","|",4))+1,FIND("|",SUBSTITUTE($H2128&amp;" "," ","|",5))-FIND("|",SUBSTITUTE($H2128&amp;" "," ","|",4))-1),""))/86400+25569+9/24,""))</f>
        <v/>
      </c>
      <c r="G2128" s="58">
        <f>TRIM(SUBSTITUTE(SUBSTITUTE(SUBSTITUTE($A2128,CHAR(9)," ")," "," "),CHAR(13),""))</f>
        <v/>
      </c>
      <c r="H2128" s="58">
        <f>IF($G2128="","",IF(ISNUMBER(FIND(" ",$G2128)),$G2128,IFERROR(IF((LEN(SUBSTITUTE(SUBSTITUTE($G2128,"-"," ",LEN($G2128)-LEN(SUBSTITUTE($G2128,"-",""))),"-"," ",LEN($G2128)-LEN(SUBSTITUTE($G2128,"-",""))-1))-LEN(SUBSTITUTE(SUBSTITUTE(SUBSTITUTE($G2128,"-"," ",LEN($G2128)-LEN(SUBSTITUTE($G2128,"-",""))),"-"," ",LEN($G2128)-LEN(SUBSTITUTE($G2128,"-",""))-1),".","")))=0,SUBSTITUTE(SUBSTITUTE($G2128,"-"," ",LEN($G2128)-LEN(SUBSTITUTE($G2128,"-",""))),"-"," ",LEN($G2128)-LEN(SUBSTITUTE($G2128,"-",""))-1),SUBSTITUTE(SUBSTITUTE(SUBSTITUTE($G2128,"-"," ",LEN($G2128)-LEN(SUBSTITUTE($G2128,"-",""))),"-"," ",LEN($G2128)-LEN(SUBSTITUTE($G2128,"-",""))-1),"."," ",(LEN(SUBSTITUTE(SUBSTITUTE($G2128,"-"," ",LEN($G2128)-LEN(SUBSTITUTE($G2128,"-",""))),"-"," ",LEN($G2128)-LEN(SUBSTITUTE($G2128,"-",""))-1))-LEN(SUBSTITUTE(SUBSTITUTE(SUBSTITUTE($G2128,"-"," ",LEN($G2128)-LEN(SUBSTITUTE($G2128,"-",""))),"-"," ",LEN($G2128)-LEN(SUBSTITUTE($G2128,"-",""))-1),".",""))))),$G2128)))</f>
        <v/>
      </c>
    </row>
    <row r="2129">
      <c r="A2129" s="58" t="n"/>
      <c r="B2129" s="58">
        <f>IF($H2129="","",LEFT($H2129,FIND(" ",$H2129&amp;" ")-1))</f>
        <v/>
      </c>
      <c r="C2129" s="58">
        <f>IF($H2129="","",IFERROR(MID($H2129&amp;" ",FIND("|",SUBSTITUTE($H2129&amp;" "," ","|",1))+1,FIND("|",SUBSTITUTE($H2129&amp;" "," ","|",2))-FIND("|",SUBSTITUTE($H2129&amp;" "," ","|",1))-1),""))</f>
        <v/>
      </c>
      <c r="D2129" s="58">
        <f>IF($H2129="","",IFERROR(MID($H2129&amp;" ",FIND("|",SUBSTITUTE($H2129&amp;" "," ","|",2))+1,FIND("|",SUBSTITUTE($H2129&amp;" "," ","|",3))-FIND("|",SUBSTITUTE($H2129&amp;" "," ","|",2))-1),""))</f>
        <v/>
      </c>
      <c r="E2129" s="58">
        <f>IF($H2129="","",IFERROR(MID($H2129&amp;" ",FIND("|",SUBSTITUTE($H2129&amp;" "," ","|",3))+1,FIND("|",SUBSTITUTE($H2129&amp;" "," ","|",4))-FIND("|",SUBSTITUTE($H2129&amp;" "," ","|",3))-1),""))</f>
        <v/>
      </c>
      <c r="F2129" s="59">
        <f>IF($H2129="","",IFERROR(VALUE(IFERROR(MID($H2129&amp;" ",FIND("|",SUBSTITUTE($H2129&amp;" "," ","|",4))+1,FIND("|",SUBSTITUTE($H2129&amp;" "," ","|",5))-FIND("|",SUBSTITUTE($H2129&amp;" "," ","|",4))-1),""))/86400+25569+9/24,""))</f>
        <v/>
      </c>
      <c r="G2129" s="58">
        <f>TRIM(SUBSTITUTE(SUBSTITUTE(SUBSTITUTE($A2129,CHAR(9)," ")," "," "),CHAR(13),""))</f>
        <v/>
      </c>
      <c r="H2129" s="58">
        <f>IF($G2129="","",IF(ISNUMBER(FIND(" ",$G2129)),$G2129,IFERROR(IF((LEN(SUBSTITUTE(SUBSTITUTE($G2129,"-"," ",LEN($G2129)-LEN(SUBSTITUTE($G2129,"-",""))),"-"," ",LEN($G2129)-LEN(SUBSTITUTE($G2129,"-",""))-1))-LEN(SUBSTITUTE(SUBSTITUTE(SUBSTITUTE($G2129,"-"," ",LEN($G2129)-LEN(SUBSTITUTE($G2129,"-",""))),"-"," ",LEN($G2129)-LEN(SUBSTITUTE($G2129,"-",""))-1),".","")))=0,SUBSTITUTE(SUBSTITUTE($G2129,"-"," ",LEN($G2129)-LEN(SUBSTITUTE($G2129,"-",""))),"-"," ",LEN($G2129)-LEN(SUBSTITUTE($G2129,"-",""))-1),SUBSTITUTE(SUBSTITUTE(SUBSTITUTE($G2129,"-"," ",LEN($G2129)-LEN(SUBSTITUTE($G2129,"-",""))),"-"," ",LEN($G2129)-LEN(SUBSTITUTE($G2129,"-",""))-1),"."," ",(LEN(SUBSTITUTE(SUBSTITUTE($G2129,"-"," ",LEN($G2129)-LEN(SUBSTITUTE($G2129,"-",""))),"-"," ",LEN($G2129)-LEN(SUBSTITUTE($G2129,"-",""))-1))-LEN(SUBSTITUTE(SUBSTITUTE(SUBSTITUTE($G2129,"-"," ",LEN($G2129)-LEN(SUBSTITUTE($G2129,"-",""))),"-"," ",LEN($G2129)-LEN(SUBSTITUTE($G2129,"-",""))-1),".",""))))),$G2129)))</f>
        <v/>
      </c>
    </row>
    <row r="2130">
      <c r="A2130" s="58" t="n"/>
      <c r="B2130" s="58">
        <f>IF($H2130="","",LEFT($H2130,FIND(" ",$H2130&amp;" ")-1))</f>
        <v/>
      </c>
      <c r="C2130" s="58">
        <f>IF($H2130="","",IFERROR(MID($H2130&amp;" ",FIND("|",SUBSTITUTE($H2130&amp;" "," ","|",1))+1,FIND("|",SUBSTITUTE($H2130&amp;" "," ","|",2))-FIND("|",SUBSTITUTE($H2130&amp;" "," ","|",1))-1),""))</f>
        <v/>
      </c>
      <c r="D2130" s="58">
        <f>IF($H2130="","",IFERROR(MID($H2130&amp;" ",FIND("|",SUBSTITUTE($H2130&amp;" "," ","|",2))+1,FIND("|",SUBSTITUTE($H2130&amp;" "," ","|",3))-FIND("|",SUBSTITUTE($H2130&amp;" "," ","|",2))-1),""))</f>
        <v/>
      </c>
      <c r="E2130" s="58">
        <f>IF($H2130="","",IFERROR(MID($H2130&amp;" ",FIND("|",SUBSTITUTE($H2130&amp;" "," ","|",3))+1,FIND("|",SUBSTITUTE($H2130&amp;" "," ","|",4))-FIND("|",SUBSTITUTE($H2130&amp;" "," ","|",3))-1),""))</f>
        <v/>
      </c>
      <c r="F2130" s="59">
        <f>IF($H2130="","",IFERROR(VALUE(IFERROR(MID($H2130&amp;" ",FIND("|",SUBSTITUTE($H2130&amp;" "," ","|",4))+1,FIND("|",SUBSTITUTE($H2130&amp;" "," ","|",5))-FIND("|",SUBSTITUTE($H2130&amp;" "," ","|",4))-1),""))/86400+25569+9/24,""))</f>
        <v/>
      </c>
      <c r="G2130" s="58">
        <f>TRIM(SUBSTITUTE(SUBSTITUTE(SUBSTITUTE($A2130,CHAR(9)," ")," "," "),CHAR(13),""))</f>
        <v/>
      </c>
      <c r="H2130" s="58">
        <f>IF($G2130="","",IF(ISNUMBER(FIND(" ",$G2130)),$G2130,IFERROR(IF((LEN(SUBSTITUTE(SUBSTITUTE($G2130,"-"," ",LEN($G2130)-LEN(SUBSTITUTE($G2130,"-",""))),"-"," ",LEN($G2130)-LEN(SUBSTITUTE($G2130,"-",""))-1))-LEN(SUBSTITUTE(SUBSTITUTE(SUBSTITUTE($G2130,"-"," ",LEN($G2130)-LEN(SUBSTITUTE($G2130,"-",""))),"-"," ",LEN($G2130)-LEN(SUBSTITUTE($G2130,"-",""))-1),".","")))=0,SUBSTITUTE(SUBSTITUTE($G2130,"-"," ",LEN($G2130)-LEN(SUBSTITUTE($G2130,"-",""))),"-"," ",LEN($G2130)-LEN(SUBSTITUTE($G2130,"-",""))-1),SUBSTITUTE(SUBSTITUTE(SUBSTITUTE($G2130,"-"," ",LEN($G2130)-LEN(SUBSTITUTE($G2130,"-",""))),"-"," ",LEN($G2130)-LEN(SUBSTITUTE($G2130,"-",""))-1),"."," ",(LEN(SUBSTITUTE(SUBSTITUTE($G2130,"-"," ",LEN($G2130)-LEN(SUBSTITUTE($G2130,"-",""))),"-"," ",LEN($G2130)-LEN(SUBSTITUTE($G2130,"-",""))-1))-LEN(SUBSTITUTE(SUBSTITUTE(SUBSTITUTE($G2130,"-"," ",LEN($G2130)-LEN(SUBSTITUTE($G2130,"-",""))),"-"," ",LEN($G2130)-LEN(SUBSTITUTE($G2130,"-",""))-1),".",""))))),$G2130)))</f>
        <v/>
      </c>
    </row>
    <row r="2131">
      <c r="A2131" s="58" t="n"/>
      <c r="B2131" s="58">
        <f>IF($H2131="","",LEFT($H2131,FIND(" ",$H2131&amp;" ")-1))</f>
        <v/>
      </c>
      <c r="C2131" s="58">
        <f>IF($H2131="","",IFERROR(MID($H2131&amp;" ",FIND("|",SUBSTITUTE($H2131&amp;" "," ","|",1))+1,FIND("|",SUBSTITUTE($H2131&amp;" "," ","|",2))-FIND("|",SUBSTITUTE($H2131&amp;" "," ","|",1))-1),""))</f>
        <v/>
      </c>
      <c r="D2131" s="58">
        <f>IF($H2131="","",IFERROR(MID($H2131&amp;" ",FIND("|",SUBSTITUTE($H2131&amp;" "," ","|",2))+1,FIND("|",SUBSTITUTE($H2131&amp;" "," ","|",3))-FIND("|",SUBSTITUTE($H2131&amp;" "," ","|",2))-1),""))</f>
        <v/>
      </c>
      <c r="E2131" s="58">
        <f>IF($H2131="","",IFERROR(MID($H2131&amp;" ",FIND("|",SUBSTITUTE($H2131&amp;" "," ","|",3))+1,FIND("|",SUBSTITUTE($H2131&amp;" "," ","|",4))-FIND("|",SUBSTITUTE($H2131&amp;" "," ","|",3))-1),""))</f>
        <v/>
      </c>
      <c r="F2131" s="59">
        <f>IF($H2131="","",IFERROR(VALUE(IFERROR(MID($H2131&amp;" ",FIND("|",SUBSTITUTE($H2131&amp;" "," ","|",4))+1,FIND("|",SUBSTITUTE($H2131&amp;" "," ","|",5))-FIND("|",SUBSTITUTE($H2131&amp;" "," ","|",4))-1),""))/86400+25569+9/24,""))</f>
        <v/>
      </c>
      <c r="G2131" s="58">
        <f>TRIM(SUBSTITUTE(SUBSTITUTE(SUBSTITUTE($A2131,CHAR(9)," ")," "," "),CHAR(13),""))</f>
        <v/>
      </c>
      <c r="H2131" s="58">
        <f>IF($G2131="","",IF(ISNUMBER(FIND(" ",$G2131)),$G2131,IFERROR(IF((LEN(SUBSTITUTE(SUBSTITUTE($G2131,"-"," ",LEN($G2131)-LEN(SUBSTITUTE($G2131,"-",""))),"-"," ",LEN($G2131)-LEN(SUBSTITUTE($G2131,"-",""))-1))-LEN(SUBSTITUTE(SUBSTITUTE(SUBSTITUTE($G2131,"-"," ",LEN($G2131)-LEN(SUBSTITUTE($G2131,"-",""))),"-"," ",LEN($G2131)-LEN(SUBSTITUTE($G2131,"-",""))-1),".","")))=0,SUBSTITUTE(SUBSTITUTE($G2131,"-"," ",LEN($G2131)-LEN(SUBSTITUTE($G2131,"-",""))),"-"," ",LEN($G2131)-LEN(SUBSTITUTE($G2131,"-",""))-1),SUBSTITUTE(SUBSTITUTE(SUBSTITUTE($G2131,"-"," ",LEN($G2131)-LEN(SUBSTITUTE($G2131,"-",""))),"-"," ",LEN($G2131)-LEN(SUBSTITUTE($G2131,"-",""))-1),"."," ",(LEN(SUBSTITUTE(SUBSTITUTE($G2131,"-"," ",LEN($G2131)-LEN(SUBSTITUTE($G2131,"-",""))),"-"," ",LEN($G2131)-LEN(SUBSTITUTE($G2131,"-",""))-1))-LEN(SUBSTITUTE(SUBSTITUTE(SUBSTITUTE($G2131,"-"," ",LEN($G2131)-LEN(SUBSTITUTE($G2131,"-",""))),"-"," ",LEN($G2131)-LEN(SUBSTITUTE($G2131,"-",""))-1),".",""))))),$G2131)))</f>
        <v/>
      </c>
    </row>
    <row r="2132">
      <c r="A2132" s="58" t="n"/>
      <c r="B2132" s="58">
        <f>IF($H2132="","",LEFT($H2132,FIND(" ",$H2132&amp;" ")-1))</f>
        <v/>
      </c>
      <c r="C2132" s="58">
        <f>IF($H2132="","",IFERROR(MID($H2132&amp;" ",FIND("|",SUBSTITUTE($H2132&amp;" "," ","|",1))+1,FIND("|",SUBSTITUTE($H2132&amp;" "," ","|",2))-FIND("|",SUBSTITUTE($H2132&amp;" "," ","|",1))-1),""))</f>
        <v/>
      </c>
      <c r="D2132" s="58">
        <f>IF($H2132="","",IFERROR(MID($H2132&amp;" ",FIND("|",SUBSTITUTE($H2132&amp;" "," ","|",2))+1,FIND("|",SUBSTITUTE($H2132&amp;" "," ","|",3))-FIND("|",SUBSTITUTE($H2132&amp;" "," ","|",2))-1),""))</f>
        <v/>
      </c>
      <c r="E2132" s="58">
        <f>IF($H2132="","",IFERROR(MID($H2132&amp;" ",FIND("|",SUBSTITUTE($H2132&amp;" "," ","|",3))+1,FIND("|",SUBSTITUTE($H2132&amp;" "," ","|",4))-FIND("|",SUBSTITUTE($H2132&amp;" "," ","|",3))-1),""))</f>
        <v/>
      </c>
      <c r="F2132" s="59">
        <f>IF($H2132="","",IFERROR(VALUE(IFERROR(MID($H2132&amp;" ",FIND("|",SUBSTITUTE($H2132&amp;" "," ","|",4))+1,FIND("|",SUBSTITUTE($H2132&amp;" "," ","|",5))-FIND("|",SUBSTITUTE($H2132&amp;" "," ","|",4))-1),""))/86400+25569+9/24,""))</f>
        <v/>
      </c>
      <c r="G2132" s="58">
        <f>TRIM(SUBSTITUTE(SUBSTITUTE(SUBSTITUTE($A2132,CHAR(9)," ")," "," "),CHAR(13),""))</f>
        <v/>
      </c>
      <c r="H2132" s="58">
        <f>IF($G2132="","",IF(ISNUMBER(FIND(" ",$G2132)),$G2132,IFERROR(IF((LEN(SUBSTITUTE(SUBSTITUTE($G2132,"-"," ",LEN($G2132)-LEN(SUBSTITUTE($G2132,"-",""))),"-"," ",LEN($G2132)-LEN(SUBSTITUTE($G2132,"-",""))-1))-LEN(SUBSTITUTE(SUBSTITUTE(SUBSTITUTE($G2132,"-"," ",LEN($G2132)-LEN(SUBSTITUTE($G2132,"-",""))),"-"," ",LEN($G2132)-LEN(SUBSTITUTE($G2132,"-",""))-1),".","")))=0,SUBSTITUTE(SUBSTITUTE($G2132,"-"," ",LEN($G2132)-LEN(SUBSTITUTE($G2132,"-",""))),"-"," ",LEN($G2132)-LEN(SUBSTITUTE($G2132,"-",""))-1),SUBSTITUTE(SUBSTITUTE(SUBSTITUTE($G2132,"-"," ",LEN($G2132)-LEN(SUBSTITUTE($G2132,"-",""))),"-"," ",LEN($G2132)-LEN(SUBSTITUTE($G2132,"-",""))-1),"."," ",(LEN(SUBSTITUTE(SUBSTITUTE($G2132,"-"," ",LEN($G2132)-LEN(SUBSTITUTE($G2132,"-",""))),"-"," ",LEN($G2132)-LEN(SUBSTITUTE($G2132,"-",""))-1))-LEN(SUBSTITUTE(SUBSTITUTE(SUBSTITUTE($G2132,"-"," ",LEN($G2132)-LEN(SUBSTITUTE($G2132,"-",""))),"-"," ",LEN($G2132)-LEN(SUBSTITUTE($G2132,"-",""))-1),".",""))))),$G2132)))</f>
        <v/>
      </c>
    </row>
    <row r="2133">
      <c r="A2133" s="58" t="n"/>
      <c r="B2133" s="58">
        <f>IF($H2133="","",LEFT($H2133,FIND(" ",$H2133&amp;" ")-1))</f>
        <v/>
      </c>
      <c r="C2133" s="58">
        <f>IF($H2133="","",IFERROR(MID($H2133&amp;" ",FIND("|",SUBSTITUTE($H2133&amp;" "," ","|",1))+1,FIND("|",SUBSTITUTE($H2133&amp;" "," ","|",2))-FIND("|",SUBSTITUTE($H2133&amp;" "," ","|",1))-1),""))</f>
        <v/>
      </c>
      <c r="D2133" s="58">
        <f>IF($H2133="","",IFERROR(MID($H2133&amp;" ",FIND("|",SUBSTITUTE($H2133&amp;" "," ","|",2))+1,FIND("|",SUBSTITUTE($H2133&amp;" "," ","|",3))-FIND("|",SUBSTITUTE($H2133&amp;" "," ","|",2))-1),""))</f>
        <v/>
      </c>
      <c r="E2133" s="58">
        <f>IF($H2133="","",IFERROR(MID($H2133&amp;" ",FIND("|",SUBSTITUTE($H2133&amp;" "," ","|",3))+1,FIND("|",SUBSTITUTE($H2133&amp;" "," ","|",4))-FIND("|",SUBSTITUTE($H2133&amp;" "," ","|",3))-1),""))</f>
        <v/>
      </c>
      <c r="F2133" s="59">
        <f>IF($H2133="","",IFERROR(VALUE(IFERROR(MID($H2133&amp;" ",FIND("|",SUBSTITUTE($H2133&amp;" "," ","|",4))+1,FIND("|",SUBSTITUTE($H2133&amp;" "," ","|",5))-FIND("|",SUBSTITUTE($H2133&amp;" "," ","|",4))-1),""))/86400+25569+9/24,""))</f>
        <v/>
      </c>
      <c r="G2133" s="58">
        <f>TRIM(SUBSTITUTE(SUBSTITUTE(SUBSTITUTE($A2133,CHAR(9)," ")," "," "),CHAR(13),""))</f>
        <v/>
      </c>
      <c r="H2133" s="58">
        <f>IF($G2133="","",IF(ISNUMBER(FIND(" ",$G2133)),$G2133,IFERROR(IF((LEN(SUBSTITUTE(SUBSTITUTE($G2133,"-"," ",LEN($G2133)-LEN(SUBSTITUTE($G2133,"-",""))),"-"," ",LEN($G2133)-LEN(SUBSTITUTE($G2133,"-",""))-1))-LEN(SUBSTITUTE(SUBSTITUTE(SUBSTITUTE($G2133,"-"," ",LEN($G2133)-LEN(SUBSTITUTE($G2133,"-",""))),"-"," ",LEN($G2133)-LEN(SUBSTITUTE($G2133,"-",""))-1),".","")))=0,SUBSTITUTE(SUBSTITUTE($G2133,"-"," ",LEN($G2133)-LEN(SUBSTITUTE($G2133,"-",""))),"-"," ",LEN($G2133)-LEN(SUBSTITUTE($G2133,"-",""))-1),SUBSTITUTE(SUBSTITUTE(SUBSTITUTE($G2133,"-"," ",LEN($G2133)-LEN(SUBSTITUTE($G2133,"-",""))),"-"," ",LEN($G2133)-LEN(SUBSTITUTE($G2133,"-",""))-1),"."," ",(LEN(SUBSTITUTE(SUBSTITUTE($G2133,"-"," ",LEN($G2133)-LEN(SUBSTITUTE($G2133,"-",""))),"-"," ",LEN($G2133)-LEN(SUBSTITUTE($G2133,"-",""))-1))-LEN(SUBSTITUTE(SUBSTITUTE(SUBSTITUTE($G2133,"-"," ",LEN($G2133)-LEN(SUBSTITUTE($G2133,"-",""))),"-"," ",LEN($G2133)-LEN(SUBSTITUTE($G2133,"-",""))-1),".",""))))),$G2133)))</f>
        <v/>
      </c>
    </row>
    <row r="2134">
      <c r="A2134" s="58" t="n"/>
      <c r="B2134" s="58">
        <f>IF($H2134="","",LEFT($H2134,FIND(" ",$H2134&amp;" ")-1))</f>
        <v/>
      </c>
      <c r="C2134" s="58">
        <f>IF($H2134="","",IFERROR(MID($H2134&amp;" ",FIND("|",SUBSTITUTE($H2134&amp;" "," ","|",1))+1,FIND("|",SUBSTITUTE($H2134&amp;" "," ","|",2))-FIND("|",SUBSTITUTE($H2134&amp;" "," ","|",1))-1),""))</f>
        <v/>
      </c>
      <c r="D2134" s="58">
        <f>IF($H2134="","",IFERROR(MID($H2134&amp;" ",FIND("|",SUBSTITUTE($H2134&amp;" "," ","|",2))+1,FIND("|",SUBSTITUTE($H2134&amp;" "," ","|",3))-FIND("|",SUBSTITUTE($H2134&amp;" "," ","|",2))-1),""))</f>
        <v/>
      </c>
      <c r="E2134" s="58">
        <f>IF($H2134="","",IFERROR(MID($H2134&amp;" ",FIND("|",SUBSTITUTE($H2134&amp;" "," ","|",3))+1,FIND("|",SUBSTITUTE($H2134&amp;" "," ","|",4))-FIND("|",SUBSTITUTE($H2134&amp;" "," ","|",3))-1),""))</f>
        <v/>
      </c>
      <c r="F2134" s="59">
        <f>IF($H2134="","",IFERROR(VALUE(IFERROR(MID($H2134&amp;" ",FIND("|",SUBSTITUTE($H2134&amp;" "," ","|",4))+1,FIND("|",SUBSTITUTE($H2134&amp;" "," ","|",5))-FIND("|",SUBSTITUTE($H2134&amp;" "," ","|",4))-1),""))/86400+25569+9/24,""))</f>
        <v/>
      </c>
      <c r="G2134" s="58">
        <f>TRIM(SUBSTITUTE(SUBSTITUTE(SUBSTITUTE($A2134,CHAR(9)," ")," "," "),CHAR(13),""))</f>
        <v/>
      </c>
      <c r="H2134" s="58">
        <f>IF($G2134="","",IF(ISNUMBER(FIND(" ",$G2134)),$G2134,IFERROR(IF((LEN(SUBSTITUTE(SUBSTITUTE($G2134,"-"," ",LEN($G2134)-LEN(SUBSTITUTE($G2134,"-",""))),"-"," ",LEN($G2134)-LEN(SUBSTITUTE($G2134,"-",""))-1))-LEN(SUBSTITUTE(SUBSTITUTE(SUBSTITUTE($G2134,"-"," ",LEN($G2134)-LEN(SUBSTITUTE($G2134,"-",""))),"-"," ",LEN($G2134)-LEN(SUBSTITUTE($G2134,"-",""))-1),".","")))=0,SUBSTITUTE(SUBSTITUTE($G2134,"-"," ",LEN($G2134)-LEN(SUBSTITUTE($G2134,"-",""))),"-"," ",LEN($G2134)-LEN(SUBSTITUTE($G2134,"-",""))-1),SUBSTITUTE(SUBSTITUTE(SUBSTITUTE($G2134,"-"," ",LEN($G2134)-LEN(SUBSTITUTE($G2134,"-",""))),"-"," ",LEN($G2134)-LEN(SUBSTITUTE($G2134,"-",""))-1),"."," ",(LEN(SUBSTITUTE(SUBSTITUTE($G2134,"-"," ",LEN($G2134)-LEN(SUBSTITUTE($G2134,"-",""))),"-"," ",LEN($G2134)-LEN(SUBSTITUTE($G2134,"-",""))-1))-LEN(SUBSTITUTE(SUBSTITUTE(SUBSTITUTE($G2134,"-"," ",LEN($G2134)-LEN(SUBSTITUTE($G2134,"-",""))),"-"," ",LEN($G2134)-LEN(SUBSTITUTE($G2134,"-",""))-1),".",""))))),$G2134)))</f>
        <v/>
      </c>
    </row>
    <row r="2135">
      <c r="A2135" s="58" t="n"/>
      <c r="B2135" s="58">
        <f>IF($H2135="","",LEFT($H2135,FIND(" ",$H2135&amp;" ")-1))</f>
        <v/>
      </c>
      <c r="C2135" s="58">
        <f>IF($H2135="","",IFERROR(MID($H2135&amp;" ",FIND("|",SUBSTITUTE($H2135&amp;" "," ","|",1))+1,FIND("|",SUBSTITUTE($H2135&amp;" "," ","|",2))-FIND("|",SUBSTITUTE($H2135&amp;" "," ","|",1))-1),""))</f>
        <v/>
      </c>
      <c r="D2135" s="58">
        <f>IF($H2135="","",IFERROR(MID($H2135&amp;" ",FIND("|",SUBSTITUTE($H2135&amp;" "," ","|",2))+1,FIND("|",SUBSTITUTE($H2135&amp;" "," ","|",3))-FIND("|",SUBSTITUTE($H2135&amp;" "," ","|",2))-1),""))</f>
        <v/>
      </c>
      <c r="E2135" s="58">
        <f>IF($H2135="","",IFERROR(MID($H2135&amp;" ",FIND("|",SUBSTITUTE($H2135&amp;" "," ","|",3))+1,FIND("|",SUBSTITUTE($H2135&amp;" "," ","|",4))-FIND("|",SUBSTITUTE($H2135&amp;" "," ","|",3))-1),""))</f>
        <v/>
      </c>
      <c r="F2135" s="59">
        <f>IF($H2135="","",IFERROR(VALUE(IFERROR(MID($H2135&amp;" ",FIND("|",SUBSTITUTE($H2135&amp;" "," ","|",4))+1,FIND("|",SUBSTITUTE($H2135&amp;" "," ","|",5))-FIND("|",SUBSTITUTE($H2135&amp;" "," ","|",4))-1),""))/86400+25569+9/24,""))</f>
        <v/>
      </c>
      <c r="G2135" s="58">
        <f>TRIM(SUBSTITUTE(SUBSTITUTE(SUBSTITUTE($A2135,CHAR(9)," ")," "," "),CHAR(13),""))</f>
        <v/>
      </c>
      <c r="H2135" s="58">
        <f>IF($G2135="","",IF(ISNUMBER(FIND(" ",$G2135)),$G2135,IFERROR(IF((LEN(SUBSTITUTE(SUBSTITUTE($G2135,"-"," ",LEN($G2135)-LEN(SUBSTITUTE($G2135,"-",""))),"-"," ",LEN($G2135)-LEN(SUBSTITUTE($G2135,"-",""))-1))-LEN(SUBSTITUTE(SUBSTITUTE(SUBSTITUTE($G2135,"-"," ",LEN($G2135)-LEN(SUBSTITUTE($G2135,"-",""))),"-"," ",LEN($G2135)-LEN(SUBSTITUTE($G2135,"-",""))-1),".","")))=0,SUBSTITUTE(SUBSTITUTE($G2135,"-"," ",LEN($G2135)-LEN(SUBSTITUTE($G2135,"-",""))),"-"," ",LEN($G2135)-LEN(SUBSTITUTE($G2135,"-",""))-1),SUBSTITUTE(SUBSTITUTE(SUBSTITUTE($G2135,"-"," ",LEN($G2135)-LEN(SUBSTITUTE($G2135,"-",""))),"-"," ",LEN($G2135)-LEN(SUBSTITUTE($G2135,"-",""))-1),"."," ",(LEN(SUBSTITUTE(SUBSTITUTE($G2135,"-"," ",LEN($G2135)-LEN(SUBSTITUTE($G2135,"-",""))),"-"," ",LEN($G2135)-LEN(SUBSTITUTE($G2135,"-",""))-1))-LEN(SUBSTITUTE(SUBSTITUTE(SUBSTITUTE($G2135,"-"," ",LEN($G2135)-LEN(SUBSTITUTE($G2135,"-",""))),"-"," ",LEN($G2135)-LEN(SUBSTITUTE($G2135,"-",""))-1),".",""))))),$G2135)))</f>
        <v/>
      </c>
    </row>
    <row r="2136">
      <c r="A2136" s="58" t="n"/>
      <c r="B2136" s="58">
        <f>IF($H2136="","",LEFT($H2136,FIND(" ",$H2136&amp;" ")-1))</f>
        <v/>
      </c>
      <c r="C2136" s="58">
        <f>IF($H2136="","",IFERROR(MID($H2136&amp;" ",FIND("|",SUBSTITUTE($H2136&amp;" "," ","|",1))+1,FIND("|",SUBSTITUTE($H2136&amp;" "," ","|",2))-FIND("|",SUBSTITUTE($H2136&amp;" "," ","|",1))-1),""))</f>
        <v/>
      </c>
      <c r="D2136" s="58">
        <f>IF($H2136="","",IFERROR(MID($H2136&amp;" ",FIND("|",SUBSTITUTE($H2136&amp;" "," ","|",2))+1,FIND("|",SUBSTITUTE($H2136&amp;" "," ","|",3))-FIND("|",SUBSTITUTE($H2136&amp;" "," ","|",2))-1),""))</f>
        <v/>
      </c>
      <c r="E2136" s="58">
        <f>IF($H2136="","",IFERROR(MID($H2136&amp;" ",FIND("|",SUBSTITUTE($H2136&amp;" "," ","|",3))+1,FIND("|",SUBSTITUTE($H2136&amp;" "," ","|",4))-FIND("|",SUBSTITUTE($H2136&amp;" "," ","|",3))-1),""))</f>
        <v/>
      </c>
      <c r="F2136" s="59">
        <f>IF($H2136="","",IFERROR(VALUE(IFERROR(MID($H2136&amp;" ",FIND("|",SUBSTITUTE($H2136&amp;" "," ","|",4))+1,FIND("|",SUBSTITUTE($H2136&amp;" "," ","|",5))-FIND("|",SUBSTITUTE($H2136&amp;" "," ","|",4))-1),""))/86400+25569+9/24,""))</f>
        <v/>
      </c>
      <c r="G2136" s="58">
        <f>TRIM(SUBSTITUTE(SUBSTITUTE(SUBSTITUTE($A2136,CHAR(9)," ")," "," "),CHAR(13),""))</f>
        <v/>
      </c>
      <c r="H2136" s="58">
        <f>IF($G2136="","",IF(ISNUMBER(FIND(" ",$G2136)),$G2136,IFERROR(IF((LEN(SUBSTITUTE(SUBSTITUTE($G2136,"-"," ",LEN($G2136)-LEN(SUBSTITUTE($G2136,"-",""))),"-"," ",LEN($G2136)-LEN(SUBSTITUTE($G2136,"-",""))-1))-LEN(SUBSTITUTE(SUBSTITUTE(SUBSTITUTE($G2136,"-"," ",LEN($G2136)-LEN(SUBSTITUTE($G2136,"-",""))),"-"," ",LEN($G2136)-LEN(SUBSTITUTE($G2136,"-",""))-1),".","")))=0,SUBSTITUTE(SUBSTITUTE($G2136,"-"," ",LEN($G2136)-LEN(SUBSTITUTE($G2136,"-",""))),"-"," ",LEN($G2136)-LEN(SUBSTITUTE($G2136,"-",""))-1),SUBSTITUTE(SUBSTITUTE(SUBSTITUTE($G2136,"-"," ",LEN($G2136)-LEN(SUBSTITUTE($G2136,"-",""))),"-"," ",LEN($G2136)-LEN(SUBSTITUTE($G2136,"-",""))-1),"."," ",(LEN(SUBSTITUTE(SUBSTITUTE($G2136,"-"," ",LEN($G2136)-LEN(SUBSTITUTE($G2136,"-",""))),"-"," ",LEN($G2136)-LEN(SUBSTITUTE($G2136,"-",""))-1))-LEN(SUBSTITUTE(SUBSTITUTE(SUBSTITUTE($G2136,"-"," ",LEN($G2136)-LEN(SUBSTITUTE($G2136,"-",""))),"-"," ",LEN($G2136)-LEN(SUBSTITUTE($G2136,"-",""))-1),".",""))))),$G2136)))</f>
        <v/>
      </c>
    </row>
    <row r="2137">
      <c r="A2137" s="58" t="n"/>
      <c r="B2137" s="58">
        <f>IF($H2137="","",LEFT($H2137,FIND(" ",$H2137&amp;" ")-1))</f>
        <v/>
      </c>
      <c r="C2137" s="58">
        <f>IF($H2137="","",IFERROR(MID($H2137&amp;" ",FIND("|",SUBSTITUTE($H2137&amp;" "," ","|",1))+1,FIND("|",SUBSTITUTE($H2137&amp;" "," ","|",2))-FIND("|",SUBSTITUTE($H2137&amp;" "," ","|",1))-1),""))</f>
        <v/>
      </c>
      <c r="D2137" s="58">
        <f>IF($H2137="","",IFERROR(MID($H2137&amp;" ",FIND("|",SUBSTITUTE($H2137&amp;" "," ","|",2))+1,FIND("|",SUBSTITUTE($H2137&amp;" "," ","|",3))-FIND("|",SUBSTITUTE($H2137&amp;" "," ","|",2))-1),""))</f>
        <v/>
      </c>
      <c r="E2137" s="58">
        <f>IF($H2137="","",IFERROR(MID($H2137&amp;" ",FIND("|",SUBSTITUTE($H2137&amp;" "," ","|",3))+1,FIND("|",SUBSTITUTE($H2137&amp;" "," ","|",4))-FIND("|",SUBSTITUTE($H2137&amp;" "," ","|",3))-1),""))</f>
        <v/>
      </c>
      <c r="F2137" s="59">
        <f>IF($H2137="","",IFERROR(VALUE(IFERROR(MID($H2137&amp;" ",FIND("|",SUBSTITUTE($H2137&amp;" "," ","|",4))+1,FIND("|",SUBSTITUTE($H2137&amp;" "," ","|",5))-FIND("|",SUBSTITUTE($H2137&amp;" "," ","|",4))-1),""))/86400+25569+9/24,""))</f>
        <v/>
      </c>
      <c r="G2137" s="58">
        <f>TRIM(SUBSTITUTE(SUBSTITUTE(SUBSTITUTE($A2137,CHAR(9)," ")," "," "),CHAR(13),""))</f>
        <v/>
      </c>
      <c r="H2137" s="58">
        <f>IF($G2137="","",IF(ISNUMBER(FIND(" ",$G2137)),$G2137,IFERROR(IF((LEN(SUBSTITUTE(SUBSTITUTE($G2137,"-"," ",LEN($G2137)-LEN(SUBSTITUTE($G2137,"-",""))),"-"," ",LEN($G2137)-LEN(SUBSTITUTE($G2137,"-",""))-1))-LEN(SUBSTITUTE(SUBSTITUTE(SUBSTITUTE($G2137,"-"," ",LEN($G2137)-LEN(SUBSTITUTE($G2137,"-",""))),"-"," ",LEN($G2137)-LEN(SUBSTITUTE($G2137,"-",""))-1),".","")))=0,SUBSTITUTE(SUBSTITUTE($G2137,"-"," ",LEN($G2137)-LEN(SUBSTITUTE($G2137,"-",""))),"-"," ",LEN($G2137)-LEN(SUBSTITUTE($G2137,"-",""))-1),SUBSTITUTE(SUBSTITUTE(SUBSTITUTE($G2137,"-"," ",LEN($G2137)-LEN(SUBSTITUTE($G2137,"-",""))),"-"," ",LEN($G2137)-LEN(SUBSTITUTE($G2137,"-",""))-1),"."," ",(LEN(SUBSTITUTE(SUBSTITUTE($G2137,"-"," ",LEN($G2137)-LEN(SUBSTITUTE($G2137,"-",""))),"-"," ",LEN($G2137)-LEN(SUBSTITUTE($G2137,"-",""))-1))-LEN(SUBSTITUTE(SUBSTITUTE(SUBSTITUTE($G2137,"-"," ",LEN($G2137)-LEN(SUBSTITUTE($G2137,"-",""))),"-"," ",LEN($G2137)-LEN(SUBSTITUTE($G2137,"-",""))-1),".",""))))),$G2137)))</f>
        <v/>
      </c>
    </row>
    <row r="2138">
      <c r="A2138" s="58" t="n"/>
      <c r="B2138" s="58">
        <f>IF($H2138="","",LEFT($H2138,FIND(" ",$H2138&amp;" ")-1))</f>
        <v/>
      </c>
      <c r="C2138" s="58">
        <f>IF($H2138="","",IFERROR(MID($H2138&amp;" ",FIND("|",SUBSTITUTE($H2138&amp;" "," ","|",1))+1,FIND("|",SUBSTITUTE($H2138&amp;" "," ","|",2))-FIND("|",SUBSTITUTE($H2138&amp;" "," ","|",1))-1),""))</f>
        <v/>
      </c>
      <c r="D2138" s="58">
        <f>IF($H2138="","",IFERROR(MID($H2138&amp;" ",FIND("|",SUBSTITUTE($H2138&amp;" "," ","|",2))+1,FIND("|",SUBSTITUTE($H2138&amp;" "," ","|",3))-FIND("|",SUBSTITUTE($H2138&amp;" "," ","|",2))-1),""))</f>
        <v/>
      </c>
      <c r="E2138" s="58">
        <f>IF($H2138="","",IFERROR(MID($H2138&amp;" ",FIND("|",SUBSTITUTE($H2138&amp;" "," ","|",3))+1,FIND("|",SUBSTITUTE($H2138&amp;" "," ","|",4))-FIND("|",SUBSTITUTE($H2138&amp;" "," ","|",3))-1),""))</f>
        <v/>
      </c>
      <c r="F2138" s="59">
        <f>IF($H2138="","",IFERROR(VALUE(IFERROR(MID($H2138&amp;" ",FIND("|",SUBSTITUTE($H2138&amp;" "," ","|",4))+1,FIND("|",SUBSTITUTE($H2138&amp;" "," ","|",5))-FIND("|",SUBSTITUTE($H2138&amp;" "," ","|",4))-1),""))/86400+25569+9/24,""))</f>
        <v/>
      </c>
      <c r="G2138" s="58">
        <f>TRIM(SUBSTITUTE(SUBSTITUTE(SUBSTITUTE($A2138,CHAR(9)," ")," "," "),CHAR(13),""))</f>
        <v/>
      </c>
      <c r="H2138" s="58">
        <f>IF($G2138="","",IF(ISNUMBER(FIND(" ",$G2138)),$G2138,IFERROR(IF((LEN(SUBSTITUTE(SUBSTITUTE($G2138,"-"," ",LEN($G2138)-LEN(SUBSTITUTE($G2138,"-",""))),"-"," ",LEN($G2138)-LEN(SUBSTITUTE($G2138,"-",""))-1))-LEN(SUBSTITUTE(SUBSTITUTE(SUBSTITUTE($G2138,"-"," ",LEN($G2138)-LEN(SUBSTITUTE($G2138,"-",""))),"-"," ",LEN($G2138)-LEN(SUBSTITUTE($G2138,"-",""))-1),".","")))=0,SUBSTITUTE(SUBSTITUTE($G2138,"-"," ",LEN($G2138)-LEN(SUBSTITUTE($G2138,"-",""))),"-"," ",LEN($G2138)-LEN(SUBSTITUTE($G2138,"-",""))-1),SUBSTITUTE(SUBSTITUTE(SUBSTITUTE($G2138,"-"," ",LEN($G2138)-LEN(SUBSTITUTE($G2138,"-",""))),"-"," ",LEN($G2138)-LEN(SUBSTITUTE($G2138,"-",""))-1),"."," ",(LEN(SUBSTITUTE(SUBSTITUTE($G2138,"-"," ",LEN($G2138)-LEN(SUBSTITUTE($G2138,"-",""))),"-"," ",LEN($G2138)-LEN(SUBSTITUTE($G2138,"-",""))-1))-LEN(SUBSTITUTE(SUBSTITUTE(SUBSTITUTE($G2138,"-"," ",LEN($G2138)-LEN(SUBSTITUTE($G2138,"-",""))),"-"," ",LEN($G2138)-LEN(SUBSTITUTE($G2138,"-",""))-1),".",""))))),$G2138)))</f>
        <v/>
      </c>
    </row>
    <row r="2139">
      <c r="A2139" s="58" t="n"/>
      <c r="B2139" s="58">
        <f>IF($H2139="","",LEFT($H2139,FIND(" ",$H2139&amp;" ")-1))</f>
        <v/>
      </c>
      <c r="C2139" s="58">
        <f>IF($H2139="","",IFERROR(MID($H2139&amp;" ",FIND("|",SUBSTITUTE($H2139&amp;" "," ","|",1))+1,FIND("|",SUBSTITUTE($H2139&amp;" "," ","|",2))-FIND("|",SUBSTITUTE($H2139&amp;" "," ","|",1))-1),""))</f>
        <v/>
      </c>
      <c r="D2139" s="58">
        <f>IF($H2139="","",IFERROR(MID($H2139&amp;" ",FIND("|",SUBSTITUTE($H2139&amp;" "," ","|",2))+1,FIND("|",SUBSTITUTE($H2139&amp;" "," ","|",3))-FIND("|",SUBSTITUTE($H2139&amp;" "," ","|",2))-1),""))</f>
        <v/>
      </c>
      <c r="E2139" s="58">
        <f>IF($H2139="","",IFERROR(MID($H2139&amp;" ",FIND("|",SUBSTITUTE($H2139&amp;" "," ","|",3))+1,FIND("|",SUBSTITUTE($H2139&amp;" "," ","|",4))-FIND("|",SUBSTITUTE($H2139&amp;" "," ","|",3))-1),""))</f>
        <v/>
      </c>
      <c r="F2139" s="59">
        <f>IF($H2139="","",IFERROR(VALUE(IFERROR(MID($H2139&amp;" ",FIND("|",SUBSTITUTE($H2139&amp;" "," ","|",4))+1,FIND("|",SUBSTITUTE($H2139&amp;" "," ","|",5))-FIND("|",SUBSTITUTE($H2139&amp;" "," ","|",4))-1),""))/86400+25569+9/24,""))</f>
        <v/>
      </c>
      <c r="G2139" s="58">
        <f>TRIM(SUBSTITUTE(SUBSTITUTE(SUBSTITUTE($A2139,CHAR(9)," ")," "," "),CHAR(13),""))</f>
        <v/>
      </c>
      <c r="H2139" s="58">
        <f>IF($G2139="","",IF(ISNUMBER(FIND(" ",$G2139)),$G2139,IFERROR(IF((LEN(SUBSTITUTE(SUBSTITUTE($G2139,"-"," ",LEN($G2139)-LEN(SUBSTITUTE($G2139,"-",""))),"-"," ",LEN($G2139)-LEN(SUBSTITUTE($G2139,"-",""))-1))-LEN(SUBSTITUTE(SUBSTITUTE(SUBSTITUTE($G2139,"-"," ",LEN($G2139)-LEN(SUBSTITUTE($G2139,"-",""))),"-"," ",LEN($G2139)-LEN(SUBSTITUTE($G2139,"-",""))-1),".","")))=0,SUBSTITUTE(SUBSTITUTE($G2139,"-"," ",LEN($G2139)-LEN(SUBSTITUTE($G2139,"-",""))),"-"," ",LEN($G2139)-LEN(SUBSTITUTE($G2139,"-",""))-1),SUBSTITUTE(SUBSTITUTE(SUBSTITUTE($G2139,"-"," ",LEN($G2139)-LEN(SUBSTITUTE($G2139,"-",""))),"-"," ",LEN($G2139)-LEN(SUBSTITUTE($G2139,"-",""))-1),"."," ",(LEN(SUBSTITUTE(SUBSTITUTE($G2139,"-"," ",LEN($G2139)-LEN(SUBSTITUTE($G2139,"-",""))),"-"," ",LEN($G2139)-LEN(SUBSTITUTE($G2139,"-",""))-1))-LEN(SUBSTITUTE(SUBSTITUTE(SUBSTITUTE($G2139,"-"," ",LEN($G2139)-LEN(SUBSTITUTE($G2139,"-",""))),"-"," ",LEN($G2139)-LEN(SUBSTITUTE($G2139,"-",""))-1),".",""))))),$G2139)))</f>
        <v/>
      </c>
    </row>
    <row r="2140">
      <c r="A2140" s="58" t="n"/>
      <c r="B2140" s="58">
        <f>IF($H2140="","",LEFT($H2140,FIND(" ",$H2140&amp;" ")-1))</f>
        <v/>
      </c>
      <c r="C2140" s="58">
        <f>IF($H2140="","",IFERROR(MID($H2140&amp;" ",FIND("|",SUBSTITUTE($H2140&amp;" "," ","|",1))+1,FIND("|",SUBSTITUTE($H2140&amp;" "," ","|",2))-FIND("|",SUBSTITUTE($H2140&amp;" "," ","|",1))-1),""))</f>
        <v/>
      </c>
      <c r="D2140" s="58">
        <f>IF($H2140="","",IFERROR(MID($H2140&amp;" ",FIND("|",SUBSTITUTE($H2140&amp;" "," ","|",2))+1,FIND("|",SUBSTITUTE($H2140&amp;" "," ","|",3))-FIND("|",SUBSTITUTE($H2140&amp;" "," ","|",2))-1),""))</f>
        <v/>
      </c>
      <c r="E2140" s="58">
        <f>IF($H2140="","",IFERROR(MID($H2140&amp;" ",FIND("|",SUBSTITUTE($H2140&amp;" "," ","|",3))+1,FIND("|",SUBSTITUTE($H2140&amp;" "," ","|",4))-FIND("|",SUBSTITUTE($H2140&amp;" "," ","|",3))-1),""))</f>
        <v/>
      </c>
      <c r="F2140" s="59">
        <f>IF($H2140="","",IFERROR(VALUE(IFERROR(MID($H2140&amp;" ",FIND("|",SUBSTITUTE($H2140&amp;" "," ","|",4))+1,FIND("|",SUBSTITUTE($H2140&amp;" "," ","|",5))-FIND("|",SUBSTITUTE($H2140&amp;" "," ","|",4))-1),""))/86400+25569+9/24,""))</f>
        <v/>
      </c>
      <c r="G2140" s="58">
        <f>TRIM(SUBSTITUTE(SUBSTITUTE(SUBSTITUTE($A2140,CHAR(9)," ")," "," "),CHAR(13),""))</f>
        <v/>
      </c>
      <c r="H2140" s="58">
        <f>IF($G2140="","",IF(ISNUMBER(FIND(" ",$G2140)),$G2140,IFERROR(IF((LEN(SUBSTITUTE(SUBSTITUTE($G2140,"-"," ",LEN($G2140)-LEN(SUBSTITUTE($G2140,"-",""))),"-"," ",LEN($G2140)-LEN(SUBSTITUTE($G2140,"-",""))-1))-LEN(SUBSTITUTE(SUBSTITUTE(SUBSTITUTE($G2140,"-"," ",LEN($G2140)-LEN(SUBSTITUTE($G2140,"-",""))),"-"," ",LEN($G2140)-LEN(SUBSTITUTE($G2140,"-",""))-1),".","")))=0,SUBSTITUTE(SUBSTITUTE($G2140,"-"," ",LEN($G2140)-LEN(SUBSTITUTE($G2140,"-",""))),"-"," ",LEN($G2140)-LEN(SUBSTITUTE($G2140,"-",""))-1),SUBSTITUTE(SUBSTITUTE(SUBSTITUTE($G2140,"-"," ",LEN($G2140)-LEN(SUBSTITUTE($G2140,"-",""))),"-"," ",LEN($G2140)-LEN(SUBSTITUTE($G2140,"-",""))-1),"."," ",(LEN(SUBSTITUTE(SUBSTITUTE($G2140,"-"," ",LEN($G2140)-LEN(SUBSTITUTE($G2140,"-",""))),"-"," ",LEN($G2140)-LEN(SUBSTITUTE($G2140,"-",""))-1))-LEN(SUBSTITUTE(SUBSTITUTE(SUBSTITUTE($G2140,"-"," ",LEN($G2140)-LEN(SUBSTITUTE($G2140,"-",""))),"-"," ",LEN($G2140)-LEN(SUBSTITUTE($G2140,"-",""))-1),".",""))))),$G2140)))</f>
        <v/>
      </c>
    </row>
    <row r="2141">
      <c r="A2141" s="58" t="n"/>
      <c r="B2141" s="58">
        <f>IF($H2141="","",LEFT($H2141,FIND(" ",$H2141&amp;" ")-1))</f>
        <v/>
      </c>
      <c r="C2141" s="58">
        <f>IF($H2141="","",IFERROR(MID($H2141&amp;" ",FIND("|",SUBSTITUTE($H2141&amp;" "," ","|",1))+1,FIND("|",SUBSTITUTE($H2141&amp;" "," ","|",2))-FIND("|",SUBSTITUTE($H2141&amp;" "," ","|",1))-1),""))</f>
        <v/>
      </c>
      <c r="D2141" s="58">
        <f>IF($H2141="","",IFERROR(MID($H2141&amp;" ",FIND("|",SUBSTITUTE($H2141&amp;" "," ","|",2))+1,FIND("|",SUBSTITUTE($H2141&amp;" "," ","|",3))-FIND("|",SUBSTITUTE($H2141&amp;" "," ","|",2))-1),""))</f>
        <v/>
      </c>
      <c r="E2141" s="58">
        <f>IF($H2141="","",IFERROR(MID($H2141&amp;" ",FIND("|",SUBSTITUTE($H2141&amp;" "," ","|",3))+1,FIND("|",SUBSTITUTE($H2141&amp;" "," ","|",4))-FIND("|",SUBSTITUTE($H2141&amp;" "," ","|",3))-1),""))</f>
        <v/>
      </c>
      <c r="F2141" s="59">
        <f>IF($H2141="","",IFERROR(VALUE(IFERROR(MID($H2141&amp;" ",FIND("|",SUBSTITUTE($H2141&amp;" "," ","|",4))+1,FIND("|",SUBSTITUTE($H2141&amp;" "," ","|",5))-FIND("|",SUBSTITUTE($H2141&amp;" "," ","|",4))-1),""))/86400+25569+9/24,""))</f>
        <v/>
      </c>
      <c r="G2141" s="58">
        <f>TRIM(SUBSTITUTE(SUBSTITUTE(SUBSTITUTE($A2141,CHAR(9)," ")," "," "),CHAR(13),""))</f>
        <v/>
      </c>
      <c r="H2141" s="58">
        <f>IF($G2141="","",IF(ISNUMBER(FIND(" ",$G2141)),$G2141,IFERROR(IF((LEN(SUBSTITUTE(SUBSTITUTE($G2141,"-"," ",LEN($G2141)-LEN(SUBSTITUTE($G2141,"-",""))),"-"," ",LEN($G2141)-LEN(SUBSTITUTE($G2141,"-",""))-1))-LEN(SUBSTITUTE(SUBSTITUTE(SUBSTITUTE($G2141,"-"," ",LEN($G2141)-LEN(SUBSTITUTE($G2141,"-",""))),"-"," ",LEN($G2141)-LEN(SUBSTITUTE($G2141,"-",""))-1),".","")))=0,SUBSTITUTE(SUBSTITUTE($G2141,"-"," ",LEN($G2141)-LEN(SUBSTITUTE($G2141,"-",""))),"-"," ",LEN($G2141)-LEN(SUBSTITUTE($G2141,"-",""))-1),SUBSTITUTE(SUBSTITUTE(SUBSTITUTE($G2141,"-"," ",LEN($G2141)-LEN(SUBSTITUTE($G2141,"-",""))),"-"," ",LEN($G2141)-LEN(SUBSTITUTE($G2141,"-",""))-1),"."," ",(LEN(SUBSTITUTE(SUBSTITUTE($G2141,"-"," ",LEN($G2141)-LEN(SUBSTITUTE($G2141,"-",""))),"-"," ",LEN($G2141)-LEN(SUBSTITUTE($G2141,"-",""))-1))-LEN(SUBSTITUTE(SUBSTITUTE(SUBSTITUTE($G2141,"-"," ",LEN($G2141)-LEN(SUBSTITUTE($G2141,"-",""))),"-"," ",LEN($G2141)-LEN(SUBSTITUTE($G2141,"-",""))-1),".",""))))),$G2141)))</f>
        <v/>
      </c>
    </row>
    <row r="2142">
      <c r="A2142" s="58" t="n"/>
      <c r="B2142" s="58">
        <f>IF($H2142="","",LEFT($H2142,FIND(" ",$H2142&amp;" ")-1))</f>
        <v/>
      </c>
      <c r="C2142" s="58">
        <f>IF($H2142="","",IFERROR(MID($H2142&amp;" ",FIND("|",SUBSTITUTE($H2142&amp;" "," ","|",1))+1,FIND("|",SUBSTITUTE($H2142&amp;" "," ","|",2))-FIND("|",SUBSTITUTE($H2142&amp;" "," ","|",1))-1),""))</f>
        <v/>
      </c>
      <c r="D2142" s="58">
        <f>IF($H2142="","",IFERROR(MID($H2142&amp;" ",FIND("|",SUBSTITUTE($H2142&amp;" "," ","|",2))+1,FIND("|",SUBSTITUTE($H2142&amp;" "," ","|",3))-FIND("|",SUBSTITUTE($H2142&amp;" "," ","|",2))-1),""))</f>
        <v/>
      </c>
      <c r="E2142" s="58">
        <f>IF($H2142="","",IFERROR(MID($H2142&amp;" ",FIND("|",SUBSTITUTE($H2142&amp;" "," ","|",3))+1,FIND("|",SUBSTITUTE($H2142&amp;" "," ","|",4))-FIND("|",SUBSTITUTE($H2142&amp;" "," ","|",3))-1),""))</f>
        <v/>
      </c>
      <c r="F2142" s="59">
        <f>IF($H2142="","",IFERROR(VALUE(IFERROR(MID($H2142&amp;" ",FIND("|",SUBSTITUTE($H2142&amp;" "," ","|",4))+1,FIND("|",SUBSTITUTE($H2142&amp;" "," ","|",5))-FIND("|",SUBSTITUTE($H2142&amp;" "," ","|",4))-1),""))/86400+25569+9/24,""))</f>
        <v/>
      </c>
      <c r="G2142" s="58">
        <f>TRIM(SUBSTITUTE(SUBSTITUTE(SUBSTITUTE($A2142,CHAR(9)," ")," "," "),CHAR(13),""))</f>
        <v/>
      </c>
      <c r="H2142" s="58">
        <f>IF($G2142="","",IF(ISNUMBER(FIND(" ",$G2142)),$G2142,IFERROR(IF((LEN(SUBSTITUTE(SUBSTITUTE($G2142,"-"," ",LEN($G2142)-LEN(SUBSTITUTE($G2142,"-",""))),"-"," ",LEN($G2142)-LEN(SUBSTITUTE($G2142,"-",""))-1))-LEN(SUBSTITUTE(SUBSTITUTE(SUBSTITUTE($G2142,"-"," ",LEN($G2142)-LEN(SUBSTITUTE($G2142,"-",""))),"-"," ",LEN($G2142)-LEN(SUBSTITUTE($G2142,"-",""))-1),".","")))=0,SUBSTITUTE(SUBSTITUTE($G2142,"-"," ",LEN($G2142)-LEN(SUBSTITUTE($G2142,"-",""))),"-"," ",LEN($G2142)-LEN(SUBSTITUTE($G2142,"-",""))-1),SUBSTITUTE(SUBSTITUTE(SUBSTITUTE($G2142,"-"," ",LEN($G2142)-LEN(SUBSTITUTE($G2142,"-",""))),"-"," ",LEN($G2142)-LEN(SUBSTITUTE($G2142,"-",""))-1),"."," ",(LEN(SUBSTITUTE(SUBSTITUTE($G2142,"-"," ",LEN($G2142)-LEN(SUBSTITUTE($G2142,"-",""))),"-"," ",LEN($G2142)-LEN(SUBSTITUTE($G2142,"-",""))-1))-LEN(SUBSTITUTE(SUBSTITUTE(SUBSTITUTE($G2142,"-"," ",LEN($G2142)-LEN(SUBSTITUTE($G2142,"-",""))),"-"," ",LEN($G2142)-LEN(SUBSTITUTE($G2142,"-",""))-1),".",""))))),$G2142)))</f>
        <v/>
      </c>
    </row>
    <row r="2143">
      <c r="A2143" s="58" t="n"/>
      <c r="B2143" s="58">
        <f>IF($H2143="","",LEFT($H2143,FIND(" ",$H2143&amp;" ")-1))</f>
        <v/>
      </c>
      <c r="C2143" s="58">
        <f>IF($H2143="","",IFERROR(MID($H2143&amp;" ",FIND("|",SUBSTITUTE($H2143&amp;" "," ","|",1))+1,FIND("|",SUBSTITUTE($H2143&amp;" "," ","|",2))-FIND("|",SUBSTITUTE($H2143&amp;" "," ","|",1))-1),""))</f>
        <v/>
      </c>
      <c r="D2143" s="58">
        <f>IF($H2143="","",IFERROR(MID($H2143&amp;" ",FIND("|",SUBSTITUTE($H2143&amp;" "," ","|",2))+1,FIND("|",SUBSTITUTE($H2143&amp;" "," ","|",3))-FIND("|",SUBSTITUTE($H2143&amp;" "," ","|",2))-1),""))</f>
        <v/>
      </c>
      <c r="E2143" s="58">
        <f>IF($H2143="","",IFERROR(MID($H2143&amp;" ",FIND("|",SUBSTITUTE($H2143&amp;" "," ","|",3))+1,FIND("|",SUBSTITUTE($H2143&amp;" "," ","|",4))-FIND("|",SUBSTITUTE($H2143&amp;" "," ","|",3))-1),""))</f>
        <v/>
      </c>
      <c r="F2143" s="59">
        <f>IF($H2143="","",IFERROR(VALUE(IFERROR(MID($H2143&amp;" ",FIND("|",SUBSTITUTE($H2143&amp;" "," ","|",4))+1,FIND("|",SUBSTITUTE($H2143&amp;" "," ","|",5))-FIND("|",SUBSTITUTE($H2143&amp;" "," ","|",4))-1),""))/86400+25569+9/24,""))</f>
        <v/>
      </c>
      <c r="G2143" s="58">
        <f>TRIM(SUBSTITUTE(SUBSTITUTE(SUBSTITUTE($A2143,CHAR(9)," ")," "," "),CHAR(13),""))</f>
        <v/>
      </c>
      <c r="H2143" s="58">
        <f>IF($G2143="","",IF(ISNUMBER(FIND(" ",$G2143)),$G2143,IFERROR(IF((LEN(SUBSTITUTE(SUBSTITUTE($G2143,"-"," ",LEN($G2143)-LEN(SUBSTITUTE($G2143,"-",""))),"-"," ",LEN($G2143)-LEN(SUBSTITUTE($G2143,"-",""))-1))-LEN(SUBSTITUTE(SUBSTITUTE(SUBSTITUTE($G2143,"-"," ",LEN($G2143)-LEN(SUBSTITUTE($G2143,"-",""))),"-"," ",LEN($G2143)-LEN(SUBSTITUTE($G2143,"-",""))-1),".","")))=0,SUBSTITUTE(SUBSTITUTE($G2143,"-"," ",LEN($G2143)-LEN(SUBSTITUTE($G2143,"-",""))),"-"," ",LEN($G2143)-LEN(SUBSTITUTE($G2143,"-",""))-1),SUBSTITUTE(SUBSTITUTE(SUBSTITUTE($G2143,"-"," ",LEN($G2143)-LEN(SUBSTITUTE($G2143,"-",""))),"-"," ",LEN($G2143)-LEN(SUBSTITUTE($G2143,"-",""))-1),"."," ",(LEN(SUBSTITUTE(SUBSTITUTE($G2143,"-"," ",LEN($G2143)-LEN(SUBSTITUTE($G2143,"-",""))),"-"," ",LEN($G2143)-LEN(SUBSTITUTE($G2143,"-",""))-1))-LEN(SUBSTITUTE(SUBSTITUTE(SUBSTITUTE($G2143,"-"," ",LEN($G2143)-LEN(SUBSTITUTE($G2143,"-",""))),"-"," ",LEN($G2143)-LEN(SUBSTITUTE($G2143,"-",""))-1),".",""))))),$G2143)))</f>
        <v/>
      </c>
    </row>
    <row r="2144">
      <c r="A2144" s="58" t="n"/>
      <c r="B2144" s="58">
        <f>IF($H2144="","",LEFT($H2144,FIND(" ",$H2144&amp;" ")-1))</f>
        <v/>
      </c>
      <c r="C2144" s="58">
        <f>IF($H2144="","",IFERROR(MID($H2144&amp;" ",FIND("|",SUBSTITUTE($H2144&amp;" "," ","|",1))+1,FIND("|",SUBSTITUTE($H2144&amp;" "," ","|",2))-FIND("|",SUBSTITUTE($H2144&amp;" "," ","|",1))-1),""))</f>
        <v/>
      </c>
      <c r="D2144" s="58">
        <f>IF($H2144="","",IFERROR(MID($H2144&amp;" ",FIND("|",SUBSTITUTE($H2144&amp;" "," ","|",2))+1,FIND("|",SUBSTITUTE($H2144&amp;" "," ","|",3))-FIND("|",SUBSTITUTE($H2144&amp;" "," ","|",2))-1),""))</f>
        <v/>
      </c>
      <c r="E2144" s="58">
        <f>IF($H2144="","",IFERROR(MID($H2144&amp;" ",FIND("|",SUBSTITUTE($H2144&amp;" "," ","|",3))+1,FIND("|",SUBSTITUTE($H2144&amp;" "," ","|",4))-FIND("|",SUBSTITUTE($H2144&amp;" "," ","|",3))-1),""))</f>
        <v/>
      </c>
      <c r="F2144" s="59">
        <f>IF($H2144="","",IFERROR(VALUE(IFERROR(MID($H2144&amp;" ",FIND("|",SUBSTITUTE($H2144&amp;" "," ","|",4))+1,FIND("|",SUBSTITUTE($H2144&amp;" "," ","|",5))-FIND("|",SUBSTITUTE($H2144&amp;" "," ","|",4))-1),""))/86400+25569+9/24,""))</f>
        <v/>
      </c>
      <c r="G2144" s="58">
        <f>TRIM(SUBSTITUTE(SUBSTITUTE(SUBSTITUTE($A2144,CHAR(9)," ")," "," "),CHAR(13),""))</f>
        <v/>
      </c>
      <c r="H2144" s="58">
        <f>IF($G2144="","",IF(ISNUMBER(FIND(" ",$G2144)),$G2144,IFERROR(IF((LEN(SUBSTITUTE(SUBSTITUTE($G2144,"-"," ",LEN($G2144)-LEN(SUBSTITUTE($G2144,"-",""))),"-"," ",LEN($G2144)-LEN(SUBSTITUTE($G2144,"-",""))-1))-LEN(SUBSTITUTE(SUBSTITUTE(SUBSTITUTE($G2144,"-"," ",LEN($G2144)-LEN(SUBSTITUTE($G2144,"-",""))),"-"," ",LEN($G2144)-LEN(SUBSTITUTE($G2144,"-",""))-1),".","")))=0,SUBSTITUTE(SUBSTITUTE($G2144,"-"," ",LEN($G2144)-LEN(SUBSTITUTE($G2144,"-",""))),"-"," ",LEN($G2144)-LEN(SUBSTITUTE($G2144,"-",""))-1),SUBSTITUTE(SUBSTITUTE(SUBSTITUTE($G2144,"-"," ",LEN($G2144)-LEN(SUBSTITUTE($G2144,"-",""))),"-"," ",LEN($G2144)-LEN(SUBSTITUTE($G2144,"-",""))-1),"."," ",(LEN(SUBSTITUTE(SUBSTITUTE($G2144,"-"," ",LEN($G2144)-LEN(SUBSTITUTE($G2144,"-",""))),"-"," ",LEN($G2144)-LEN(SUBSTITUTE($G2144,"-",""))-1))-LEN(SUBSTITUTE(SUBSTITUTE(SUBSTITUTE($G2144,"-"," ",LEN($G2144)-LEN(SUBSTITUTE($G2144,"-",""))),"-"," ",LEN($G2144)-LEN(SUBSTITUTE($G2144,"-",""))-1),".",""))))),$G2144)))</f>
        <v/>
      </c>
    </row>
    <row r="2145">
      <c r="A2145" s="58" t="n"/>
      <c r="B2145" s="58">
        <f>IF($H2145="","",LEFT($H2145,FIND(" ",$H2145&amp;" ")-1))</f>
        <v/>
      </c>
      <c r="C2145" s="58">
        <f>IF($H2145="","",IFERROR(MID($H2145&amp;" ",FIND("|",SUBSTITUTE($H2145&amp;" "," ","|",1))+1,FIND("|",SUBSTITUTE($H2145&amp;" "," ","|",2))-FIND("|",SUBSTITUTE($H2145&amp;" "," ","|",1))-1),""))</f>
        <v/>
      </c>
      <c r="D2145" s="58">
        <f>IF($H2145="","",IFERROR(MID($H2145&amp;" ",FIND("|",SUBSTITUTE($H2145&amp;" "," ","|",2))+1,FIND("|",SUBSTITUTE($H2145&amp;" "," ","|",3))-FIND("|",SUBSTITUTE($H2145&amp;" "," ","|",2))-1),""))</f>
        <v/>
      </c>
      <c r="E2145" s="58">
        <f>IF($H2145="","",IFERROR(MID($H2145&amp;" ",FIND("|",SUBSTITUTE($H2145&amp;" "," ","|",3))+1,FIND("|",SUBSTITUTE($H2145&amp;" "," ","|",4))-FIND("|",SUBSTITUTE($H2145&amp;" "," ","|",3))-1),""))</f>
        <v/>
      </c>
      <c r="F2145" s="59">
        <f>IF($H2145="","",IFERROR(VALUE(IFERROR(MID($H2145&amp;" ",FIND("|",SUBSTITUTE($H2145&amp;" "," ","|",4))+1,FIND("|",SUBSTITUTE($H2145&amp;" "," ","|",5))-FIND("|",SUBSTITUTE($H2145&amp;" "," ","|",4))-1),""))/86400+25569+9/24,""))</f>
        <v/>
      </c>
      <c r="G2145" s="58">
        <f>TRIM(SUBSTITUTE(SUBSTITUTE(SUBSTITUTE($A2145,CHAR(9)," ")," "," "),CHAR(13),""))</f>
        <v/>
      </c>
      <c r="H2145" s="58">
        <f>IF($G2145="","",IF(ISNUMBER(FIND(" ",$G2145)),$G2145,IFERROR(IF((LEN(SUBSTITUTE(SUBSTITUTE($G2145,"-"," ",LEN($G2145)-LEN(SUBSTITUTE($G2145,"-",""))),"-"," ",LEN($G2145)-LEN(SUBSTITUTE($G2145,"-",""))-1))-LEN(SUBSTITUTE(SUBSTITUTE(SUBSTITUTE($G2145,"-"," ",LEN($G2145)-LEN(SUBSTITUTE($G2145,"-",""))),"-"," ",LEN($G2145)-LEN(SUBSTITUTE($G2145,"-",""))-1),".","")))=0,SUBSTITUTE(SUBSTITUTE($G2145,"-"," ",LEN($G2145)-LEN(SUBSTITUTE($G2145,"-",""))),"-"," ",LEN($G2145)-LEN(SUBSTITUTE($G2145,"-",""))-1),SUBSTITUTE(SUBSTITUTE(SUBSTITUTE($G2145,"-"," ",LEN($G2145)-LEN(SUBSTITUTE($G2145,"-",""))),"-"," ",LEN($G2145)-LEN(SUBSTITUTE($G2145,"-",""))-1),"."," ",(LEN(SUBSTITUTE(SUBSTITUTE($G2145,"-"," ",LEN($G2145)-LEN(SUBSTITUTE($G2145,"-",""))),"-"," ",LEN($G2145)-LEN(SUBSTITUTE($G2145,"-",""))-1))-LEN(SUBSTITUTE(SUBSTITUTE(SUBSTITUTE($G2145,"-"," ",LEN($G2145)-LEN(SUBSTITUTE($G2145,"-",""))),"-"," ",LEN($G2145)-LEN(SUBSTITUTE($G2145,"-",""))-1),".",""))))),$G2145)))</f>
        <v/>
      </c>
    </row>
    <row r="2146">
      <c r="A2146" s="58" t="n"/>
      <c r="B2146" s="58">
        <f>IF($H2146="","",LEFT($H2146,FIND(" ",$H2146&amp;" ")-1))</f>
        <v/>
      </c>
      <c r="C2146" s="58">
        <f>IF($H2146="","",IFERROR(MID($H2146&amp;" ",FIND("|",SUBSTITUTE($H2146&amp;" "," ","|",1))+1,FIND("|",SUBSTITUTE($H2146&amp;" "," ","|",2))-FIND("|",SUBSTITUTE($H2146&amp;" "," ","|",1))-1),""))</f>
        <v/>
      </c>
      <c r="D2146" s="58">
        <f>IF($H2146="","",IFERROR(MID($H2146&amp;" ",FIND("|",SUBSTITUTE($H2146&amp;" "," ","|",2))+1,FIND("|",SUBSTITUTE($H2146&amp;" "," ","|",3))-FIND("|",SUBSTITUTE($H2146&amp;" "," ","|",2))-1),""))</f>
        <v/>
      </c>
      <c r="E2146" s="58">
        <f>IF($H2146="","",IFERROR(MID($H2146&amp;" ",FIND("|",SUBSTITUTE($H2146&amp;" "," ","|",3))+1,FIND("|",SUBSTITUTE($H2146&amp;" "," ","|",4))-FIND("|",SUBSTITUTE($H2146&amp;" "," ","|",3))-1),""))</f>
        <v/>
      </c>
      <c r="F2146" s="59">
        <f>IF($H2146="","",IFERROR(VALUE(IFERROR(MID($H2146&amp;" ",FIND("|",SUBSTITUTE($H2146&amp;" "," ","|",4))+1,FIND("|",SUBSTITUTE($H2146&amp;" "," ","|",5))-FIND("|",SUBSTITUTE($H2146&amp;" "," ","|",4))-1),""))/86400+25569+9/24,""))</f>
        <v/>
      </c>
      <c r="G2146" s="58">
        <f>TRIM(SUBSTITUTE(SUBSTITUTE(SUBSTITUTE($A2146,CHAR(9)," ")," "," "),CHAR(13),""))</f>
        <v/>
      </c>
      <c r="H2146" s="58">
        <f>IF($G2146="","",IF(ISNUMBER(FIND(" ",$G2146)),$G2146,IFERROR(IF((LEN(SUBSTITUTE(SUBSTITUTE($G2146,"-"," ",LEN($G2146)-LEN(SUBSTITUTE($G2146,"-",""))),"-"," ",LEN($G2146)-LEN(SUBSTITUTE($G2146,"-",""))-1))-LEN(SUBSTITUTE(SUBSTITUTE(SUBSTITUTE($G2146,"-"," ",LEN($G2146)-LEN(SUBSTITUTE($G2146,"-",""))),"-"," ",LEN($G2146)-LEN(SUBSTITUTE($G2146,"-",""))-1),".","")))=0,SUBSTITUTE(SUBSTITUTE($G2146,"-"," ",LEN($G2146)-LEN(SUBSTITUTE($G2146,"-",""))),"-"," ",LEN($G2146)-LEN(SUBSTITUTE($G2146,"-",""))-1),SUBSTITUTE(SUBSTITUTE(SUBSTITUTE($G2146,"-"," ",LEN($G2146)-LEN(SUBSTITUTE($G2146,"-",""))),"-"," ",LEN($G2146)-LEN(SUBSTITUTE($G2146,"-",""))-1),"."," ",(LEN(SUBSTITUTE(SUBSTITUTE($G2146,"-"," ",LEN($G2146)-LEN(SUBSTITUTE($G2146,"-",""))),"-"," ",LEN($G2146)-LEN(SUBSTITUTE($G2146,"-",""))-1))-LEN(SUBSTITUTE(SUBSTITUTE(SUBSTITUTE($G2146,"-"," ",LEN($G2146)-LEN(SUBSTITUTE($G2146,"-",""))),"-"," ",LEN($G2146)-LEN(SUBSTITUTE($G2146,"-",""))-1),".",""))))),$G2146)))</f>
        <v/>
      </c>
    </row>
    <row r="2147">
      <c r="A2147" s="58" t="n"/>
      <c r="B2147" s="58">
        <f>IF($H2147="","",LEFT($H2147,FIND(" ",$H2147&amp;" ")-1))</f>
        <v/>
      </c>
      <c r="C2147" s="58">
        <f>IF($H2147="","",IFERROR(MID($H2147&amp;" ",FIND("|",SUBSTITUTE($H2147&amp;" "," ","|",1))+1,FIND("|",SUBSTITUTE($H2147&amp;" "," ","|",2))-FIND("|",SUBSTITUTE($H2147&amp;" "," ","|",1))-1),""))</f>
        <v/>
      </c>
      <c r="D2147" s="58">
        <f>IF($H2147="","",IFERROR(MID($H2147&amp;" ",FIND("|",SUBSTITUTE($H2147&amp;" "," ","|",2))+1,FIND("|",SUBSTITUTE($H2147&amp;" "," ","|",3))-FIND("|",SUBSTITUTE($H2147&amp;" "," ","|",2))-1),""))</f>
        <v/>
      </c>
      <c r="E2147" s="58">
        <f>IF($H2147="","",IFERROR(MID($H2147&amp;" ",FIND("|",SUBSTITUTE($H2147&amp;" "," ","|",3))+1,FIND("|",SUBSTITUTE($H2147&amp;" "," ","|",4))-FIND("|",SUBSTITUTE($H2147&amp;" "," ","|",3))-1),""))</f>
        <v/>
      </c>
      <c r="F2147" s="59">
        <f>IF($H2147="","",IFERROR(VALUE(IFERROR(MID($H2147&amp;" ",FIND("|",SUBSTITUTE($H2147&amp;" "," ","|",4))+1,FIND("|",SUBSTITUTE($H2147&amp;" "," ","|",5))-FIND("|",SUBSTITUTE($H2147&amp;" "," ","|",4))-1),""))/86400+25569+9/24,""))</f>
        <v/>
      </c>
      <c r="G2147" s="58">
        <f>TRIM(SUBSTITUTE(SUBSTITUTE(SUBSTITUTE($A2147,CHAR(9)," ")," "," "),CHAR(13),""))</f>
        <v/>
      </c>
      <c r="H2147" s="58">
        <f>IF($G2147="","",IF(ISNUMBER(FIND(" ",$G2147)),$G2147,IFERROR(IF((LEN(SUBSTITUTE(SUBSTITUTE($G2147,"-"," ",LEN($G2147)-LEN(SUBSTITUTE($G2147,"-",""))),"-"," ",LEN($G2147)-LEN(SUBSTITUTE($G2147,"-",""))-1))-LEN(SUBSTITUTE(SUBSTITUTE(SUBSTITUTE($G2147,"-"," ",LEN($G2147)-LEN(SUBSTITUTE($G2147,"-",""))),"-"," ",LEN($G2147)-LEN(SUBSTITUTE($G2147,"-",""))-1),".","")))=0,SUBSTITUTE(SUBSTITUTE($G2147,"-"," ",LEN($G2147)-LEN(SUBSTITUTE($G2147,"-",""))),"-"," ",LEN($G2147)-LEN(SUBSTITUTE($G2147,"-",""))-1),SUBSTITUTE(SUBSTITUTE(SUBSTITUTE($G2147,"-"," ",LEN($G2147)-LEN(SUBSTITUTE($G2147,"-",""))),"-"," ",LEN($G2147)-LEN(SUBSTITUTE($G2147,"-",""))-1),"."," ",(LEN(SUBSTITUTE(SUBSTITUTE($G2147,"-"," ",LEN($G2147)-LEN(SUBSTITUTE($G2147,"-",""))),"-"," ",LEN($G2147)-LEN(SUBSTITUTE($G2147,"-",""))-1))-LEN(SUBSTITUTE(SUBSTITUTE(SUBSTITUTE($G2147,"-"," ",LEN($G2147)-LEN(SUBSTITUTE($G2147,"-",""))),"-"," ",LEN($G2147)-LEN(SUBSTITUTE($G2147,"-",""))-1),".",""))))),$G2147)))</f>
        <v/>
      </c>
    </row>
    <row r="2148">
      <c r="A2148" s="58" t="n"/>
      <c r="B2148" s="58">
        <f>IF($H2148="","",LEFT($H2148,FIND(" ",$H2148&amp;" ")-1))</f>
        <v/>
      </c>
      <c r="C2148" s="58">
        <f>IF($H2148="","",IFERROR(MID($H2148&amp;" ",FIND("|",SUBSTITUTE($H2148&amp;" "," ","|",1))+1,FIND("|",SUBSTITUTE($H2148&amp;" "," ","|",2))-FIND("|",SUBSTITUTE($H2148&amp;" "," ","|",1))-1),""))</f>
        <v/>
      </c>
      <c r="D2148" s="58">
        <f>IF($H2148="","",IFERROR(MID($H2148&amp;" ",FIND("|",SUBSTITUTE($H2148&amp;" "," ","|",2))+1,FIND("|",SUBSTITUTE($H2148&amp;" "," ","|",3))-FIND("|",SUBSTITUTE($H2148&amp;" "," ","|",2))-1),""))</f>
        <v/>
      </c>
      <c r="E2148" s="58">
        <f>IF($H2148="","",IFERROR(MID($H2148&amp;" ",FIND("|",SUBSTITUTE($H2148&amp;" "," ","|",3))+1,FIND("|",SUBSTITUTE($H2148&amp;" "," ","|",4))-FIND("|",SUBSTITUTE($H2148&amp;" "," ","|",3))-1),""))</f>
        <v/>
      </c>
      <c r="F2148" s="59">
        <f>IF($H2148="","",IFERROR(VALUE(IFERROR(MID($H2148&amp;" ",FIND("|",SUBSTITUTE($H2148&amp;" "," ","|",4))+1,FIND("|",SUBSTITUTE($H2148&amp;" "," ","|",5))-FIND("|",SUBSTITUTE($H2148&amp;" "," ","|",4))-1),""))/86400+25569+9/24,""))</f>
        <v/>
      </c>
      <c r="G2148" s="58">
        <f>TRIM(SUBSTITUTE(SUBSTITUTE(SUBSTITUTE($A2148,CHAR(9)," ")," "," "),CHAR(13),""))</f>
        <v/>
      </c>
      <c r="H2148" s="58">
        <f>IF($G2148="","",IF(ISNUMBER(FIND(" ",$G2148)),$G2148,IFERROR(IF((LEN(SUBSTITUTE(SUBSTITUTE($G2148,"-"," ",LEN($G2148)-LEN(SUBSTITUTE($G2148,"-",""))),"-"," ",LEN($G2148)-LEN(SUBSTITUTE($G2148,"-",""))-1))-LEN(SUBSTITUTE(SUBSTITUTE(SUBSTITUTE($G2148,"-"," ",LEN($G2148)-LEN(SUBSTITUTE($G2148,"-",""))),"-"," ",LEN($G2148)-LEN(SUBSTITUTE($G2148,"-",""))-1),".","")))=0,SUBSTITUTE(SUBSTITUTE($G2148,"-"," ",LEN($G2148)-LEN(SUBSTITUTE($G2148,"-",""))),"-"," ",LEN($G2148)-LEN(SUBSTITUTE($G2148,"-",""))-1),SUBSTITUTE(SUBSTITUTE(SUBSTITUTE($G2148,"-"," ",LEN($G2148)-LEN(SUBSTITUTE($G2148,"-",""))),"-"," ",LEN($G2148)-LEN(SUBSTITUTE($G2148,"-",""))-1),"."," ",(LEN(SUBSTITUTE(SUBSTITUTE($G2148,"-"," ",LEN($G2148)-LEN(SUBSTITUTE($G2148,"-",""))),"-"," ",LEN($G2148)-LEN(SUBSTITUTE($G2148,"-",""))-1))-LEN(SUBSTITUTE(SUBSTITUTE(SUBSTITUTE($G2148,"-"," ",LEN($G2148)-LEN(SUBSTITUTE($G2148,"-",""))),"-"," ",LEN($G2148)-LEN(SUBSTITUTE($G2148,"-",""))-1),".",""))))),$G2148)))</f>
        <v/>
      </c>
    </row>
    <row r="2149">
      <c r="A2149" s="58" t="n"/>
      <c r="B2149" s="58">
        <f>IF($H2149="","",LEFT($H2149,FIND(" ",$H2149&amp;" ")-1))</f>
        <v/>
      </c>
      <c r="C2149" s="58">
        <f>IF($H2149="","",IFERROR(MID($H2149&amp;" ",FIND("|",SUBSTITUTE($H2149&amp;" "," ","|",1))+1,FIND("|",SUBSTITUTE($H2149&amp;" "," ","|",2))-FIND("|",SUBSTITUTE($H2149&amp;" "," ","|",1))-1),""))</f>
        <v/>
      </c>
      <c r="D2149" s="58">
        <f>IF($H2149="","",IFERROR(MID($H2149&amp;" ",FIND("|",SUBSTITUTE($H2149&amp;" "," ","|",2))+1,FIND("|",SUBSTITUTE($H2149&amp;" "," ","|",3))-FIND("|",SUBSTITUTE($H2149&amp;" "," ","|",2))-1),""))</f>
        <v/>
      </c>
      <c r="E2149" s="58">
        <f>IF($H2149="","",IFERROR(MID($H2149&amp;" ",FIND("|",SUBSTITUTE($H2149&amp;" "," ","|",3))+1,FIND("|",SUBSTITUTE($H2149&amp;" "," ","|",4))-FIND("|",SUBSTITUTE($H2149&amp;" "," ","|",3))-1),""))</f>
        <v/>
      </c>
      <c r="F2149" s="59">
        <f>IF($H2149="","",IFERROR(VALUE(IFERROR(MID($H2149&amp;" ",FIND("|",SUBSTITUTE($H2149&amp;" "," ","|",4))+1,FIND("|",SUBSTITUTE($H2149&amp;" "," ","|",5))-FIND("|",SUBSTITUTE($H2149&amp;" "," ","|",4))-1),""))/86400+25569+9/24,""))</f>
        <v/>
      </c>
      <c r="G2149" s="58">
        <f>TRIM(SUBSTITUTE(SUBSTITUTE(SUBSTITUTE($A2149,CHAR(9)," ")," "," "),CHAR(13),""))</f>
        <v/>
      </c>
      <c r="H2149" s="58">
        <f>IF($G2149="","",IF(ISNUMBER(FIND(" ",$G2149)),$G2149,IFERROR(IF((LEN(SUBSTITUTE(SUBSTITUTE($G2149,"-"," ",LEN($G2149)-LEN(SUBSTITUTE($G2149,"-",""))),"-"," ",LEN($G2149)-LEN(SUBSTITUTE($G2149,"-",""))-1))-LEN(SUBSTITUTE(SUBSTITUTE(SUBSTITUTE($G2149,"-"," ",LEN($G2149)-LEN(SUBSTITUTE($G2149,"-",""))),"-"," ",LEN($G2149)-LEN(SUBSTITUTE($G2149,"-",""))-1),".","")))=0,SUBSTITUTE(SUBSTITUTE($G2149,"-"," ",LEN($G2149)-LEN(SUBSTITUTE($G2149,"-",""))),"-"," ",LEN($G2149)-LEN(SUBSTITUTE($G2149,"-",""))-1),SUBSTITUTE(SUBSTITUTE(SUBSTITUTE($G2149,"-"," ",LEN($G2149)-LEN(SUBSTITUTE($G2149,"-",""))),"-"," ",LEN($G2149)-LEN(SUBSTITUTE($G2149,"-",""))-1),"."," ",(LEN(SUBSTITUTE(SUBSTITUTE($G2149,"-"," ",LEN($G2149)-LEN(SUBSTITUTE($G2149,"-",""))),"-"," ",LEN($G2149)-LEN(SUBSTITUTE($G2149,"-",""))-1))-LEN(SUBSTITUTE(SUBSTITUTE(SUBSTITUTE($G2149,"-"," ",LEN($G2149)-LEN(SUBSTITUTE($G2149,"-",""))),"-"," ",LEN($G2149)-LEN(SUBSTITUTE($G2149,"-",""))-1),".",""))))),$G2149)))</f>
        <v/>
      </c>
    </row>
    <row r="2150">
      <c r="A2150" s="58" t="n"/>
      <c r="B2150" s="58">
        <f>IF($H2150="","",LEFT($H2150,FIND(" ",$H2150&amp;" ")-1))</f>
        <v/>
      </c>
      <c r="C2150" s="58">
        <f>IF($H2150="","",IFERROR(MID($H2150&amp;" ",FIND("|",SUBSTITUTE($H2150&amp;" "," ","|",1))+1,FIND("|",SUBSTITUTE($H2150&amp;" "," ","|",2))-FIND("|",SUBSTITUTE($H2150&amp;" "," ","|",1))-1),""))</f>
        <v/>
      </c>
      <c r="D2150" s="58">
        <f>IF($H2150="","",IFERROR(MID($H2150&amp;" ",FIND("|",SUBSTITUTE($H2150&amp;" "," ","|",2))+1,FIND("|",SUBSTITUTE($H2150&amp;" "," ","|",3))-FIND("|",SUBSTITUTE($H2150&amp;" "," ","|",2))-1),""))</f>
        <v/>
      </c>
      <c r="E2150" s="58">
        <f>IF($H2150="","",IFERROR(MID($H2150&amp;" ",FIND("|",SUBSTITUTE($H2150&amp;" "," ","|",3))+1,FIND("|",SUBSTITUTE($H2150&amp;" "," ","|",4))-FIND("|",SUBSTITUTE($H2150&amp;" "," ","|",3))-1),""))</f>
        <v/>
      </c>
      <c r="F2150" s="59">
        <f>IF($H2150="","",IFERROR(VALUE(IFERROR(MID($H2150&amp;" ",FIND("|",SUBSTITUTE($H2150&amp;" "," ","|",4))+1,FIND("|",SUBSTITUTE($H2150&amp;" "," ","|",5))-FIND("|",SUBSTITUTE($H2150&amp;" "," ","|",4))-1),""))/86400+25569+9/24,""))</f>
        <v/>
      </c>
      <c r="G2150" s="58">
        <f>TRIM(SUBSTITUTE(SUBSTITUTE(SUBSTITUTE($A2150,CHAR(9)," ")," "," "),CHAR(13),""))</f>
        <v/>
      </c>
      <c r="H2150" s="58">
        <f>IF($G2150="","",IF(ISNUMBER(FIND(" ",$G2150)),$G2150,IFERROR(IF((LEN(SUBSTITUTE(SUBSTITUTE($G2150,"-"," ",LEN($G2150)-LEN(SUBSTITUTE($G2150,"-",""))),"-"," ",LEN($G2150)-LEN(SUBSTITUTE($G2150,"-",""))-1))-LEN(SUBSTITUTE(SUBSTITUTE(SUBSTITUTE($G2150,"-"," ",LEN($G2150)-LEN(SUBSTITUTE($G2150,"-",""))),"-"," ",LEN($G2150)-LEN(SUBSTITUTE($G2150,"-",""))-1),".","")))=0,SUBSTITUTE(SUBSTITUTE($G2150,"-"," ",LEN($G2150)-LEN(SUBSTITUTE($G2150,"-",""))),"-"," ",LEN($G2150)-LEN(SUBSTITUTE($G2150,"-",""))-1),SUBSTITUTE(SUBSTITUTE(SUBSTITUTE($G2150,"-"," ",LEN($G2150)-LEN(SUBSTITUTE($G2150,"-",""))),"-"," ",LEN($G2150)-LEN(SUBSTITUTE($G2150,"-",""))-1),"."," ",(LEN(SUBSTITUTE(SUBSTITUTE($G2150,"-"," ",LEN($G2150)-LEN(SUBSTITUTE($G2150,"-",""))),"-"," ",LEN($G2150)-LEN(SUBSTITUTE($G2150,"-",""))-1))-LEN(SUBSTITUTE(SUBSTITUTE(SUBSTITUTE($G2150,"-"," ",LEN($G2150)-LEN(SUBSTITUTE($G2150,"-",""))),"-"," ",LEN($G2150)-LEN(SUBSTITUTE($G2150,"-",""))-1),".",""))))),$G2150)))</f>
        <v/>
      </c>
    </row>
    <row r="2151">
      <c r="A2151" s="58" t="n"/>
      <c r="B2151" s="58">
        <f>IF($H2151="","",LEFT($H2151,FIND(" ",$H2151&amp;" ")-1))</f>
        <v/>
      </c>
      <c r="C2151" s="58">
        <f>IF($H2151="","",IFERROR(MID($H2151&amp;" ",FIND("|",SUBSTITUTE($H2151&amp;" "," ","|",1))+1,FIND("|",SUBSTITUTE($H2151&amp;" "," ","|",2))-FIND("|",SUBSTITUTE($H2151&amp;" "," ","|",1))-1),""))</f>
        <v/>
      </c>
      <c r="D2151" s="58">
        <f>IF($H2151="","",IFERROR(MID($H2151&amp;" ",FIND("|",SUBSTITUTE($H2151&amp;" "," ","|",2))+1,FIND("|",SUBSTITUTE($H2151&amp;" "," ","|",3))-FIND("|",SUBSTITUTE($H2151&amp;" "," ","|",2))-1),""))</f>
        <v/>
      </c>
      <c r="E2151" s="58">
        <f>IF($H2151="","",IFERROR(MID($H2151&amp;" ",FIND("|",SUBSTITUTE($H2151&amp;" "," ","|",3))+1,FIND("|",SUBSTITUTE($H2151&amp;" "," ","|",4))-FIND("|",SUBSTITUTE($H2151&amp;" "," ","|",3))-1),""))</f>
        <v/>
      </c>
      <c r="F2151" s="59">
        <f>IF($H2151="","",IFERROR(VALUE(IFERROR(MID($H2151&amp;" ",FIND("|",SUBSTITUTE($H2151&amp;" "," ","|",4))+1,FIND("|",SUBSTITUTE($H2151&amp;" "," ","|",5))-FIND("|",SUBSTITUTE($H2151&amp;" "," ","|",4))-1),""))/86400+25569+9/24,""))</f>
        <v/>
      </c>
      <c r="G2151" s="58">
        <f>TRIM(SUBSTITUTE(SUBSTITUTE(SUBSTITUTE($A2151,CHAR(9)," ")," "," "),CHAR(13),""))</f>
        <v/>
      </c>
      <c r="H2151" s="58">
        <f>IF($G2151="","",IF(ISNUMBER(FIND(" ",$G2151)),$G2151,IFERROR(IF((LEN(SUBSTITUTE(SUBSTITUTE($G2151,"-"," ",LEN($G2151)-LEN(SUBSTITUTE($G2151,"-",""))),"-"," ",LEN($G2151)-LEN(SUBSTITUTE($G2151,"-",""))-1))-LEN(SUBSTITUTE(SUBSTITUTE(SUBSTITUTE($G2151,"-"," ",LEN($G2151)-LEN(SUBSTITUTE($G2151,"-",""))),"-"," ",LEN($G2151)-LEN(SUBSTITUTE($G2151,"-",""))-1),".","")))=0,SUBSTITUTE(SUBSTITUTE($G2151,"-"," ",LEN($G2151)-LEN(SUBSTITUTE($G2151,"-",""))),"-"," ",LEN($G2151)-LEN(SUBSTITUTE($G2151,"-",""))-1),SUBSTITUTE(SUBSTITUTE(SUBSTITUTE($G2151,"-"," ",LEN($G2151)-LEN(SUBSTITUTE($G2151,"-",""))),"-"," ",LEN($G2151)-LEN(SUBSTITUTE($G2151,"-",""))-1),"."," ",(LEN(SUBSTITUTE(SUBSTITUTE($G2151,"-"," ",LEN($G2151)-LEN(SUBSTITUTE($G2151,"-",""))),"-"," ",LEN($G2151)-LEN(SUBSTITUTE($G2151,"-",""))-1))-LEN(SUBSTITUTE(SUBSTITUTE(SUBSTITUTE($G2151,"-"," ",LEN($G2151)-LEN(SUBSTITUTE($G2151,"-",""))),"-"," ",LEN($G2151)-LEN(SUBSTITUTE($G2151,"-",""))-1),".",""))))),$G2151)))</f>
        <v/>
      </c>
    </row>
    <row r="2152">
      <c r="A2152" s="58" t="n"/>
      <c r="B2152" s="58">
        <f>IF($H2152="","",LEFT($H2152,FIND(" ",$H2152&amp;" ")-1))</f>
        <v/>
      </c>
      <c r="C2152" s="58">
        <f>IF($H2152="","",IFERROR(MID($H2152&amp;" ",FIND("|",SUBSTITUTE($H2152&amp;" "," ","|",1))+1,FIND("|",SUBSTITUTE($H2152&amp;" "," ","|",2))-FIND("|",SUBSTITUTE($H2152&amp;" "," ","|",1))-1),""))</f>
        <v/>
      </c>
      <c r="D2152" s="58">
        <f>IF($H2152="","",IFERROR(MID($H2152&amp;" ",FIND("|",SUBSTITUTE($H2152&amp;" "," ","|",2))+1,FIND("|",SUBSTITUTE($H2152&amp;" "," ","|",3))-FIND("|",SUBSTITUTE($H2152&amp;" "," ","|",2))-1),""))</f>
        <v/>
      </c>
      <c r="E2152" s="58">
        <f>IF($H2152="","",IFERROR(MID($H2152&amp;" ",FIND("|",SUBSTITUTE($H2152&amp;" "," ","|",3))+1,FIND("|",SUBSTITUTE($H2152&amp;" "," ","|",4))-FIND("|",SUBSTITUTE($H2152&amp;" "," ","|",3))-1),""))</f>
        <v/>
      </c>
      <c r="F2152" s="59">
        <f>IF($H2152="","",IFERROR(VALUE(IFERROR(MID($H2152&amp;" ",FIND("|",SUBSTITUTE($H2152&amp;" "," ","|",4))+1,FIND("|",SUBSTITUTE($H2152&amp;" "," ","|",5))-FIND("|",SUBSTITUTE($H2152&amp;" "," ","|",4))-1),""))/86400+25569+9/24,""))</f>
        <v/>
      </c>
      <c r="G2152" s="58">
        <f>TRIM(SUBSTITUTE(SUBSTITUTE(SUBSTITUTE($A2152,CHAR(9)," ")," "," "),CHAR(13),""))</f>
        <v/>
      </c>
      <c r="H2152" s="58">
        <f>IF($G2152="","",IF(ISNUMBER(FIND(" ",$G2152)),$G2152,IFERROR(IF((LEN(SUBSTITUTE(SUBSTITUTE($G2152,"-"," ",LEN($G2152)-LEN(SUBSTITUTE($G2152,"-",""))),"-"," ",LEN($G2152)-LEN(SUBSTITUTE($G2152,"-",""))-1))-LEN(SUBSTITUTE(SUBSTITUTE(SUBSTITUTE($G2152,"-"," ",LEN($G2152)-LEN(SUBSTITUTE($G2152,"-",""))),"-"," ",LEN($G2152)-LEN(SUBSTITUTE($G2152,"-",""))-1),".","")))=0,SUBSTITUTE(SUBSTITUTE($G2152,"-"," ",LEN($G2152)-LEN(SUBSTITUTE($G2152,"-",""))),"-"," ",LEN($G2152)-LEN(SUBSTITUTE($G2152,"-",""))-1),SUBSTITUTE(SUBSTITUTE(SUBSTITUTE($G2152,"-"," ",LEN($G2152)-LEN(SUBSTITUTE($G2152,"-",""))),"-"," ",LEN($G2152)-LEN(SUBSTITUTE($G2152,"-",""))-1),"."," ",(LEN(SUBSTITUTE(SUBSTITUTE($G2152,"-"," ",LEN($G2152)-LEN(SUBSTITUTE($G2152,"-",""))),"-"," ",LEN($G2152)-LEN(SUBSTITUTE($G2152,"-",""))-1))-LEN(SUBSTITUTE(SUBSTITUTE(SUBSTITUTE($G2152,"-"," ",LEN($G2152)-LEN(SUBSTITUTE($G2152,"-",""))),"-"," ",LEN($G2152)-LEN(SUBSTITUTE($G2152,"-",""))-1),".",""))))),$G2152)))</f>
        <v/>
      </c>
    </row>
    <row r="2153">
      <c r="A2153" s="58" t="n"/>
      <c r="B2153" s="58">
        <f>IF($H2153="","",LEFT($H2153,FIND(" ",$H2153&amp;" ")-1))</f>
        <v/>
      </c>
      <c r="C2153" s="58">
        <f>IF($H2153="","",IFERROR(MID($H2153&amp;" ",FIND("|",SUBSTITUTE($H2153&amp;" "," ","|",1))+1,FIND("|",SUBSTITUTE($H2153&amp;" "," ","|",2))-FIND("|",SUBSTITUTE($H2153&amp;" "," ","|",1))-1),""))</f>
        <v/>
      </c>
      <c r="D2153" s="58">
        <f>IF($H2153="","",IFERROR(MID($H2153&amp;" ",FIND("|",SUBSTITUTE($H2153&amp;" "," ","|",2))+1,FIND("|",SUBSTITUTE($H2153&amp;" "," ","|",3))-FIND("|",SUBSTITUTE($H2153&amp;" "," ","|",2))-1),""))</f>
        <v/>
      </c>
      <c r="E2153" s="58">
        <f>IF($H2153="","",IFERROR(MID($H2153&amp;" ",FIND("|",SUBSTITUTE($H2153&amp;" "," ","|",3))+1,FIND("|",SUBSTITUTE($H2153&amp;" "," ","|",4))-FIND("|",SUBSTITUTE($H2153&amp;" "," ","|",3))-1),""))</f>
        <v/>
      </c>
      <c r="F2153" s="59">
        <f>IF($H2153="","",IFERROR(VALUE(IFERROR(MID($H2153&amp;" ",FIND("|",SUBSTITUTE($H2153&amp;" "," ","|",4))+1,FIND("|",SUBSTITUTE($H2153&amp;" "," ","|",5))-FIND("|",SUBSTITUTE($H2153&amp;" "," ","|",4))-1),""))/86400+25569+9/24,""))</f>
        <v/>
      </c>
      <c r="G2153" s="58">
        <f>TRIM(SUBSTITUTE(SUBSTITUTE(SUBSTITUTE($A2153,CHAR(9)," ")," "," "),CHAR(13),""))</f>
        <v/>
      </c>
      <c r="H2153" s="58">
        <f>IF($G2153="","",IF(ISNUMBER(FIND(" ",$G2153)),$G2153,IFERROR(IF((LEN(SUBSTITUTE(SUBSTITUTE($G2153,"-"," ",LEN($G2153)-LEN(SUBSTITUTE($G2153,"-",""))),"-"," ",LEN($G2153)-LEN(SUBSTITUTE($G2153,"-",""))-1))-LEN(SUBSTITUTE(SUBSTITUTE(SUBSTITUTE($G2153,"-"," ",LEN($G2153)-LEN(SUBSTITUTE($G2153,"-",""))),"-"," ",LEN($G2153)-LEN(SUBSTITUTE($G2153,"-",""))-1),".","")))=0,SUBSTITUTE(SUBSTITUTE($G2153,"-"," ",LEN($G2153)-LEN(SUBSTITUTE($G2153,"-",""))),"-"," ",LEN($G2153)-LEN(SUBSTITUTE($G2153,"-",""))-1),SUBSTITUTE(SUBSTITUTE(SUBSTITUTE($G2153,"-"," ",LEN($G2153)-LEN(SUBSTITUTE($G2153,"-",""))),"-"," ",LEN($G2153)-LEN(SUBSTITUTE($G2153,"-",""))-1),"."," ",(LEN(SUBSTITUTE(SUBSTITUTE($G2153,"-"," ",LEN($G2153)-LEN(SUBSTITUTE($G2153,"-",""))),"-"," ",LEN($G2153)-LEN(SUBSTITUTE($G2153,"-",""))-1))-LEN(SUBSTITUTE(SUBSTITUTE(SUBSTITUTE($G2153,"-"," ",LEN($G2153)-LEN(SUBSTITUTE($G2153,"-",""))),"-"," ",LEN($G2153)-LEN(SUBSTITUTE($G2153,"-",""))-1),".",""))))),$G2153)))</f>
        <v/>
      </c>
    </row>
    <row r="2154">
      <c r="A2154" s="58" t="n"/>
      <c r="B2154" s="58">
        <f>IF($H2154="","",LEFT($H2154,FIND(" ",$H2154&amp;" ")-1))</f>
        <v/>
      </c>
      <c r="C2154" s="58">
        <f>IF($H2154="","",IFERROR(MID($H2154&amp;" ",FIND("|",SUBSTITUTE($H2154&amp;" "," ","|",1))+1,FIND("|",SUBSTITUTE($H2154&amp;" "," ","|",2))-FIND("|",SUBSTITUTE($H2154&amp;" "," ","|",1))-1),""))</f>
        <v/>
      </c>
      <c r="D2154" s="58">
        <f>IF($H2154="","",IFERROR(MID($H2154&amp;" ",FIND("|",SUBSTITUTE($H2154&amp;" "," ","|",2))+1,FIND("|",SUBSTITUTE($H2154&amp;" "," ","|",3))-FIND("|",SUBSTITUTE($H2154&amp;" "," ","|",2))-1),""))</f>
        <v/>
      </c>
      <c r="E2154" s="58">
        <f>IF($H2154="","",IFERROR(MID($H2154&amp;" ",FIND("|",SUBSTITUTE($H2154&amp;" "," ","|",3))+1,FIND("|",SUBSTITUTE($H2154&amp;" "," ","|",4))-FIND("|",SUBSTITUTE($H2154&amp;" "," ","|",3))-1),""))</f>
        <v/>
      </c>
      <c r="F2154" s="59">
        <f>IF($H2154="","",IFERROR(VALUE(IFERROR(MID($H2154&amp;" ",FIND("|",SUBSTITUTE($H2154&amp;" "," ","|",4))+1,FIND("|",SUBSTITUTE($H2154&amp;" "," ","|",5))-FIND("|",SUBSTITUTE($H2154&amp;" "," ","|",4))-1),""))/86400+25569+9/24,""))</f>
        <v/>
      </c>
      <c r="G2154" s="58">
        <f>TRIM(SUBSTITUTE(SUBSTITUTE(SUBSTITUTE($A2154,CHAR(9)," ")," "," "),CHAR(13),""))</f>
        <v/>
      </c>
      <c r="H2154" s="58">
        <f>IF($G2154="","",IF(ISNUMBER(FIND(" ",$G2154)),$G2154,IFERROR(IF((LEN(SUBSTITUTE(SUBSTITUTE($G2154,"-"," ",LEN($G2154)-LEN(SUBSTITUTE($G2154,"-",""))),"-"," ",LEN($G2154)-LEN(SUBSTITUTE($G2154,"-",""))-1))-LEN(SUBSTITUTE(SUBSTITUTE(SUBSTITUTE($G2154,"-"," ",LEN($G2154)-LEN(SUBSTITUTE($G2154,"-",""))),"-"," ",LEN($G2154)-LEN(SUBSTITUTE($G2154,"-",""))-1),".","")))=0,SUBSTITUTE(SUBSTITUTE($G2154,"-"," ",LEN($G2154)-LEN(SUBSTITUTE($G2154,"-",""))),"-"," ",LEN($G2154)-LEN(SUBSTITUTE($G2154,"-",""))-1),SUBSTITUTE(SUBSTITUTE(SUBSTITUTE($G2154,"-"," ",LEN($G2154)-LEN(SUBSTITUTE($G2154,"-",""))),"-"," ",LEN($G2154)-LEN(SUBSTITUTE($G2154,"-",""))-1),"."," ",(LEN(SUBSTITUTE(SUBSTITUTE($G2154,"-"," ",LEN($G2154)-LEN(SUBSTITUTE($G2154,"-",""))),"-"," ",LEN($G2154)-LEN(SUBSTITUTE($G2154,"-",""))-1))-LEN(SUBSTITUTE(SUBSTITUTE(SUBSTITUTE($G2154,"-"," ",LEN($G2154)-LEN(SUBSTITUTE($G2154,"-",""))),"-"," ",LEN($G2154)-LEN(SUBSTITUTE($G2154,"-",""))-1),".",""))))),$G2154)))</f>
        <v/>
      </c>
    </row>
    <row r="2155">
      <c r="A2155" s="58" t="n"/>
      <c r="B2155" s="58">
        <f>IF($H2155="","",LEFT($H2155,FIND(" ",$H2155&amp;" ")-1))</f>
        <v/>
      </c>
      <c r="C2155" s="58">
        <f>IF($H2155="","",IFERROR(MID($H2155&amp;" ",FIND("|",SUBSTITUTE($H2155&amp;" "," ","|",1))+1,FIND("|",SUBSTITUTE($H2155&amp;" "," ","|",2))-FIND("|",SUBSTITUTE($H2155&amp;" "," ","|",1))-1),""))</f>
        <v/>
      </c>
      <c r="D2155" s="58">
        <f>IF($H2155="","",IFERROR(MID($H2155&amp;" ",FIND("|",SUBSTITUTE($H2155&amp;" "," ","|",2))+1,FIND("|",SUBSTITUTE($H2155&amp;" "," ","|",3))-FIND("|",SUBSTITUTE($H2155&amp;" "," ","|",2))-1),""))</f>
        <v/>
      </c>
      <c r="E2155" s="58">
        <f>IF($H2155="","",IFERROR(MID($H2155&amp;" ",FIND("|",SUBSTITUTE($H2155&amp;" "," ","|",3))+1,FIND("|",SUBSTITUTE($H2155&amp;" "," ","|",4))-FIND("|",SUBSTITUTE($H2155&amp;" "," ","|",3))-1),""))</f>
        <v/>
      </c>
      <c r="F2155" s="59">
        <f>IF($H2155="","",IFERROR(VALUE(IFERROR(MID($H2155&amp;" ",FIND("|",SUBSTITUTE($H2155&amp;" "," ","|",4))+1,FIND("|",SUBSTITUTE($H2155&amp;" "," ","|",5))-FIND("|",SUBSTITUTE($H2155&amp;" "," ","|",4))-1),""))/86400+25569+9/24,""))</f>
        <v/>
      </c>
      <c r="G2155" s="58">
        <f>TRIM(SUBSTITUTE(SUBSTITUTE(SUBSTITUTE($A2155,CHAR(9)," ")," "," "),CHAR(13),""))</f>
        <v/>
      </c>
      <c r="H2155" s="58">
        <f>IF($G2155="","",IF(ISNUMBER(FIND(" ",$G2155)),$G2155,IFERROR(IF((LEN(SUBSTITUTE(SUBSTITUTE($G2155,"-"," ",LEN($G2155)-LEN(SUBSTITUTE($G2155,"-",""))),"-"," ",LEN($G2155)-LEN(SUBSTITUTE($G2155,"-",""))-1))-LEN(SUBSTITUTE(SUBSTITUTE(SUBSTITUTE($G2155,"-"," ",LEN($G2155)-LEN(SUBSTITUTE($G2155,"-",""))),"-"," ",LEN($G2155)-LEN(SUBSTITUTE($G2155,"-",""))-1),".","")))=0,SUBSTITUTE(SUBSTITUTE($G2155,"-"," ",LEN($G2155)-LEN(SUBSTITUTE($G2155,"-",""))),"-"," ",LEN($G2155)-LEN(SUBSTITUTE($G2155,"-",""))-1),SUBSTITUTE(SUBSTITUTE(SUBSTITUTE($G2155,"-"," ",LEN($G2155)-LEN(SUBSTITUTE($G2155,"-",""))),"-"," ",LEN($G2155)-LEN(SUBSTITUTE($G2155,"-",""))-1),"."," ",(LEN(SUBSTITUTE(SUBSTITUTE($G2155,"-"," ",LEN($G2155)-LEN(SUBSTITUTE($G2155,"-",""))),"-"," ",LEN($G2155)-LEN(SUBSTITUTE($G2155,"-",""))-1))-LEN(SUBSTITUTE(SUBSTITUTE(SUBSTITUTE($G2155,"-"," ",LEN($G2155)-LEN(SUBSTITUTE($G2155,"-",""))),"-"," ",LEN($G2155)-LEN(SUBSTITUTE($G2155,"-",""))-1),".",""))))),$G2155)))</f>
        <v/>
      </c>
    </row>
    <row r="2156">
      <c r="A2156" s="58" t="n"/>
      <c r="B2156" s="58">
        <f>IF($H2156="","",LEFT($H2156,FIND(" ",$H2156&amp;" ")-1))</f>
        <v/>
      </c>
      <c r="C2156" s="58">
        <f>IF($H2156="","",IFERROR(MID($H2156&amp;" ",FIND("|",SUBSTITUTE($H2156&amp;" "," ","|",1))+1,FIND("|",SUBSTITUTE($H2156&amp;" "," ","|",2))-FIND("|",SUBSTITUTE($H2156&amp;" "," ","|",1))-1),""))</f>
        <v/>
      </c>
      <c r="D2156" s="58">
        <f>IF($H2156="","",IFERROR(MID($H2156&amp;" ",FIND("|",SUBSTITUTE($H2156&amp;" "," ","|",2))+1,FIND("|",SUBSTITUTE($H2156&amp;" "," ","|",3))-FIND("|",SUBSTITUTE($H2156&amp;" "," ","|",2))-1),""))</f>
        <v/>
      </c>
      <c r="E2156" s="58">
        <f>IF($H2156="","",IFERROR(MID($H2156&amp;" ",FIND("|",SUBSTITUTE($H2156&amp;" "," ","|",3))+1,FIND("|",SUBSTITUTE($H2156&amp;" "," ","|",4))-FIND("|",SUBSTITUTE($H2156&amp;" "," ","|",3))-1),""))</f>
        <v/>
      </c>
      <c r="F2156" s="59">
        <f>IF($H2156="","",IFERROR(VALUE(IFERROR(MID($H2156&amp;" ",FIND("|",SUBSTITUTE($H2156&amp;" "," ","|",4))+1,FIND("|",SUBSTITUTE($H2156&amp;" "," ","|",5))-FIND("|",SUBSTITUTE($H2156&amp;" "," ","|",4))-1),""))/86400+25569+9/24,""))</f>
        <v/>
      </c>
      <c r="G2156" s="58">
        <f>TRIM(SUBSTITUTE(SUBSTITUTE(SUBSTITUTE($A2156,CHAR(9)," ")," "," "),CHAR(13),""))</f>
        <v/>
      </c>
      <c r="H2156" s="58">
        <f>IF($G2156="","",IF(ISNUMBER(FIND(" ",$G2156)),$G2156,IFERROR(IF((LEN(SUBSTITUTE(SUBSTITUTE($G2156,"-"," ",LEN($G2156)-LEN(SUBSTITUTE($G2156,"-",""))),"-"," ",LEN($G2156)-LEN(SUBSTITUTE($G2156,"-",""))-1))-LEN(SUBSTITUTE(SUBSTITUTE(SUBSTITUTE($G2156,"-"," ",LEN($G2156)-LEN(SUBSTITUTE($G2156,"-",""))),"-"," ",LEN($G2156)-LEN(SUBSTITUTE($G2156,"-",""))-1),".","")))=0,SUBSTITUTE(SUBSTITUTE($G2156,"-"," ",LEN($G2156)-LEN(SUBSTITUTE($G2156,"-",""))),"-"," ",LEN($G2156)-LEN(SUBSTITUTE($G2156,"-",""))-1),SUBSTITUTE(SUBSTITUTE(SUBSTITUTE($G2156,"-"," ",LEN($G2156)-LEN(SUBSTITUTE($G2156,"-",""))),"-"," ",LEN($G2156)-LEN(SUBSTITUTE($G2156,"-",""))-1),"."," ",(LEN(SUBSTITUTE(SUBSTITUTE($G2156,"-"," ",LEN($G2156)-LEN(SUBSTITUTE($G2156,"-",""))),"-"," ",LEN($G2156)-LEN(SUBSTITUTE($G2156,"-",""))-1))-LEN(SUBSTITUTE(SUBSTITUTE(SUBSTITUTE($G2156,"-"," ",LEN($G2156)-LEN(SUBSTITUTE($G2156,"-",""))),"-"," ",LEN($G2156)-LEN(SUBSTITUTE($G2156,"-",""))-1),".",""))))),$G2156)))</f>
        <v/>
      </c>
    </row>
    <row r="2157">
      <c r="A2157" s="58" t="n"/>
      <c r="B2157" s="58">
        <f>IF($H2157="","",LEFT($H2157,FIND(" ",$H2157&amp;" ")-1))</f>
        <v/>
      </c>
      <c r="C2157" s="58">
        <f>IF($H2157="","",IFERROR(MID($H2157&amp;" ",FIND("|",SUBSTITUTE($H2157&amp;" "," ","|",1))+1,FIND("|",SUBSTITUTE($H2157&amp;" "," ","|",2))-FIND("|",SUBSTITUTE($H2157&amp;" "," ","|",1))-1),""))</f>
        <v/>
      </c>
      <c r="D2157" s="58">
        <f>IF($H2157="","",IFERROR(MID($H2157&amp;" ",FIND("|",SUBSTITUTE($H2157&amp;" "," ","|",2))+1,FIND("|",SUBSTITUTE($H2157&amp;" "," ","|",3))-FIND("|",SUBSTITUTE($H2157&amp;" "," ","|",2))-1),""))</f>
        <v/>
      </c>
      <c r="E2157" s="58">
        <f>IF($H2157="","",IFERROR(MID($H2157&amp;" ",FIND("|",SUBSTITUTE($H2157&amp;" "," ","|",3))+1,FIND("|",SUBSTITUTE($H2157&amp;" "," ","|",4))-FIND("|",SUBSTITUTE($H2157&amp;" "," ","|",3))-1),""))</f>
        <v/>
      </c>
      <c r="F2157" s="59">
        <f>IF($H2157="","",IFERROR(VALUE(IFERROR(MID($H2157&amp;" ",FIND("|",SUBSTITUTE($H2157&amp;" "," ","|",4))+1,FIND("|",SUBSTITUTE($H2157&amp;" "," ","|",5))-FIND("|",SUBSTITUTE($H2157&amp;" "," ","|",4))-1),""))/86400+25569+9/24,""))</f>
        <v/>
      </c>
      <c r="G2157" s="58">
        <f>TRIM(SUBSTITUTE(SUBSTITUTE(SUBSTITUTE($A2157,CHAR(9)," ")," "," "),CHAR(13),""))</f>
        <v/>
      </c>
      <c r="H2157" s="58">
        <f>IF($G2157="","",IF(ISNUMBER(FIND(" ",$G2157)),$G2157,IFERROR(IF((LEN(SUBSTITUTE(SUBSTITUTE($G2157,"-"," ",LEN($G2157)-LEN(SUBSTITUTE($G2157,"-",""))),"-"," ",LEN($G2157)-LEN(SUBSTITUTE($G2157,"-",""))-1))-LEN(SUBSTITUTE(SUBSTITUTE(SUBSTITUTE($G2157,"-"," ",LEN($G2157)-LEN(SUBSTITUTE($G2157,"-",""))),"-"," ",LEN($G2157)-LEN(SUBSTITUTE($G2157,"-",""))-1),".","")))=0,SUBSTITUTE(SUBSTITUTE($G2157,"-"," ",LEN($G2157)-LEN(SUBSTITUTE($G2157,"-",""))),"-"," ",LEN($G2157)-LEN(SUBSTITUTE($G2157,"-",""))-1),SUBSTITUTE(SUBSTITUTE(SUBSTITUTE($G2157,"-"," ",LEN($G2157)-LEN(SUBSTITUTE($G2157,"-",""))),"-"," ",LEN($G2157)-LEN(SUBSTITUTE($G2157,"-",""))-1),"."," ",(LEN(SUBSTITUTE(SUBSTITUTE($G2157,"-"," ",LEN($G2157)-LEN(SUBSTITUTE($G2157,"-",""))),"-"," ",LEN($G2157)-LEN(SUBSTITUTE($G2157,"-",""))-1))-LEN(SUBSTITUTE(SUBSTITUTE(SUBSTITUTE($G2157,"-"," ",LEN($G2157)-LEN(SUBSTITUTE($G2157,"-",""))),"-"," ",LEN($G2157)-LEN(SUBSTITUTE($G2157,"-",""))-1),".",""))))),$G2157)))</f>
        <v/>
      </c>
    </row>
    <row r="2158">
      <c r="A2158" s="58" t="n"/>
      <c r="B2158" s="58">
        <f>IF($H2158="","",LEFT($H2158,FIND(" ",$H2158&amp;" ")-1))</f>
        <v/>
      </c>
      <c r="C2158" s="58">
        <f>IF($H2158="","",IFERROR(MID($H2158&amp;" ",FIND("|",SUBSTITUTE($H2158&amp;" "," ","|",1))+1,FIND("|",SUBSTITUTE($H2158&amp;" "," ","|",2))-FIND("|",SUBSTITUTE($H2158&amp;" "," ","|",1))-1),""))</f>
        <v/>
      </c>
      <c r="D2158" s="58">
        <f>IF($H2158="","",IFERROR(MID($H2158&amp;" ",FIND("|",SUBSTITUTE($H2158&amp;" "," ","|",2))+1,FIND("|",SUBSTITUTE($H2158&amp;" "," ","|",3))-FIND("|",SUBSTITUTE($H2158&amp;" "," ","|",2))-1),""))</f>
        <v/>
      </c>
      <c r="E2158" s="58">
        <f>IF($H2158="","",IFERROR(MID($H2158&amp;" ",FIND("|",SUBSTITUTE($H2158&amp;" "," ","|",3))+1,FIND("|",SUBSTITUTE($H2158&amp;" "," ","|",4))-FIND("|",SUBSTITUTE($H2158&amp;" "," ","|",3))-1),""))</f>
        <v/>
      </c>
      <c r="F2158" s="59">
        <f>IF($H2158="","",IFERROR(VALUE(IFERROR(MID($H2158&amp;" ",FIND("|",SUBSTITUTE($H2158&amp;" "," ","|",4))+1,FIND("|",SUBSTITUTE($H2158&amp;" "," ","|",5))-FIND("|",SUBSTITUTE($H2158&amp;" "," ","|",4))-1),""))/86400+25569+9/24,""))</f>
        <v/>
      </c>
      <c r="G2158" s="58">
        <f>TRIM(SUBSTITUTE(SUBSTITUTE(SUBSTITUTE($A2158,CHAR(9)," ")," "," "),CHAR(13),""))</f>
        <v/>
      </c>
      <c r="H2158" s="58">
        <f>IF($G2158="","",IF(ISNUMBER(FIND(" ",$G2158)),$G2158,IFERROR(IF((LEN(SUBSTITUTE(SUBSTITUTE($G2158,"-"," ",LEN($G2158)-LEN(SUBSTITUTE($G2158,"-",""))),"-"," ",LEN($G2158)-LEN(SUBSTITUTE($G2158,"-",""))-1))-LEN(SUBSTITUTE(SUBSTITUTE(SUBSTITUTE($G2158,"-"," ",LEN($G2158)-LEN(SUBSTITUTE($G2158,"-",""))),"-"," ",LEN($G2158)-LEN(SUBSTITUTE($G2158,"-",""))-1),".","")))=0,SUBSTITUTE(SUBSTITUTE($G2158,"-"," ",LEN($G2158)-LEN(SUBSTITUTE($G2158,"-",""))),"-"," ",LEN($G2158)-LEN(SUBSTITUTE($G2158,"-",""))-1),SUBSTITUTE(SUBSTITUTE(SUBSTITUTE($G2158,"-"," ",LEN($G2158)-LEN(SUBSTITUTE($G2158,"-",""))),"-"," ",LEN($G2158)-LEN(SUBSTITUTE($G2158,"-",""))-1),"."," ",(LEN(SUBSTITUTE(SUBSTITUTE($G2158,"-"," ",LEN($G2158)-LEN(SUBSTITUTE($G2158,"-",""))),"-"," ",LEN($G2158)-LEN(SUBSTITUTE($G2158,"-",""))-1))-LEN(SUBSTITUTE(SUBSTITUTE(SUBSTITUTE($G2158,"-"," ",LEN($G2158)-LEN(SUBSTITUTE($G2158,"-",""))),"-"," ",LEN($G2158)-LEN(SUBSTITUTE($G2158,"-",""))-1),".",""))))),$G2158)))</f>
        <v/>
      </c>
    </row>
    <row r="2159">
      <c r="A2159" s="58" t="n"/>
      <c r="B2159" s="58">
        <f>IF($H2159="","",LEFT($H2159,FIND(" ",$H2159&amp;" ")-1))</f>
        <v/>
      </c>
      <c r="C2159" s="58">
        <f>IF($H2159="","",IFERROR(MID($H2159&amp;" ",FIND("|",SUBSTITUTE($H2159&amp;" "," ","|",1))+1,FIND("|",SUBSTITUTE($H2159&amp;" "," ","|",2))-FIND("|",SUBSTITUTE($H2159&amp;" "," ","|",1))-1),""))</f>
        <v/>
      </c>
      <c r="D2159" s="58">
        <f>IF($H2159="","",IFERROR(MID($H2159&amp;" ",FIND("|",SUBSTITUTE($H2159&amp;" "," ","|",2))+1,FIND("|",SUBSTITUTE($H2159&amp;" "," ","|",3))-FIND("|",SUBSTITUTE($H2159&amp;" "," ","|",2))-1),""))</f>
        <v/>
      </c>
      <c r="E2159" s="58">
        <f>IF($H2159="","",IFERROR(MID($H2159&amp;" ",FIND("|",SUBSTITUTE($H2159&amp;" "," ","|",3))+1,FIND("|",SUBSTITUTE($H2159&amp;" "," ","|",4))-FIND("|",SUBSTITUTE($H2159&amp;" "," ","|",3))-1),""))</f>
        <v/>
      </c>
      <c r="F2159" s="59">
        <f>IF($H2159="","",IFERROR(VALUE(IFERROR(MID($H2159&amp;" ",FIND("|",SUBSTITUTE($H2159&amp;" "," ","|",4))+1,FIND("|",SUBSTITUTE($H2159&amp;" "," ","|",5))-FIND("|",SUBSTITUTE($H2159&amp;" "," ","|",4))-1),""))/86400+25569+9/24,""))</f>
        <v/>
      </c>
      <c r="G2159" s="58">
        <f>TRIM(SUBSTITUTE(SUBSTITUTE(SUBSTITUTE($A2159,CHAR(9)," ")," "," "),CHAR(13),""))</f>
        <v/>
      </c>
      <c r="H2159" s="58">
        <f>IF($G2159="","",IF(ISNUMBER(FIND(" ",$G2159)),$G2159,IFERROR(IF((LEN(SUBSTITUTE(SUBSTITUTE($G2159,"-"," ",LEN($G2159)-LEN(SUBSTITUTE($G2159,"-",""))),"-"," ",LEN($G2159)-LEN(SUBSTITUTE($G2159,"-",""))-1))-LEN(SUBSTITUTE(SUBSTITUTE(SUBSTITUTE($G2159,"-"," ",LEN($G2159)-LEN(SUBSTITUTE($G2159,"-",""))),"-"," ",LEN($G2159)-LEN(SUBSTITUTE($G2159,"-",""))-1),".","")))=0,SUBSTITUTE(SUBSTITUTE($G2159,"-"," ",LEN($G2159)-LEN(SUBSTITUTE($G2159,"-",""))),"-"," ",LEN($G2159)-LEN(SUBSTITUTE($G2159,"-",""))-1),SUBSTITUTE(SUBSTITUTE(SUBSTITUTE($G2159,"-"," ",LEN($G2159)-LEN(SUBSTITUTE($G2159,"-",""))),"-"," ",LEN($G2159)-LEN(SUBSTITUTE($G2159,"-",""))-1),"."," ",(LEN(SUBSTITUTE(SUBSTITUTE($G2159,"-"," ",LEN($G2159)-LEN(SUBSTITUTE($G2159,"-",""))),"-"," ",LEN($G2159)-LEN(SUBSTITUTE($G2159,"-",""))-1))-LEN(SUBSTITUTE(SUBSTITUTE(SUBSTITUTE($G2159,"-"," ",LEN($G2159)-LEN(SUBSTITUTE($G2159,"-",""))),"-"," ",LEN($G2159)-LEN(SUBSTITUTE($G2159,"-",""))-1),".",""))))),$G2159)))</f>
        <v/>
      </c>
    </row>
    <row r="2160">
      <c r="A2160" s="58" t="n"/>
      <c r="B2160" s="58">
        <f>IF($H2160="","",LEFT($H2160,FIND(" ",$H2160&amp;" ")-1))</f>
        <v/>
      </c>
      <c r="C2160" s="58">
        <f>IF($H2160="","",IFERROR(MID($H2160&amp;" ",FIND("|",SUBSTITUTE($H2160&amp;" "," ","|",1))+1,FIND("|",SUBSTITUTE($H2160&amp;" "," ","|",2))-FIND("|",SUBSTITUTE($H2160&amp;" "," ","|",1))-1),""))</f>
        <v/>
      </c>
      <c r="D2160" s="58">
        <f>IF($H2160="","",IFERROR(MID($H2160&amp;" ",FIND("|",SUBSTITUTE($H2160&amp;" "," ","|",2))+1,FIND("|",SUBSTITUTE($H2160&amp;" "," ","|",3))-FIND("|",SUBSTITUTE($H2160&amp;" "," ","|",2))-1),""))</f>
        <v/>
      </c>
      <c r="E2160" s="58">
        <f>IF($H2160="","",IFERROR(MID($H2160&amp;" ",FIND("|",SUBSTITUTE($H2160&amp;" "," ","|",3))+1,FIND("|",SUBSTITUTE($H2160&amp;" "," ","|",4))-FIND("|",SUBSTITUTE($H2160&amp;" "," ","|",3))-1),""))</f>
        <v/>
      </c>
      <c r="F2160" s="59">
        <f>IF($H2160="","",IFERROR(VALUE(IFERROR(MID($H2160&amp;" ",FIND("|",SUBSTITUTE($H2160&amp;" "," ","|",4))+1,FIND("|",SUBSTITUTE($H2160&amp;" "," ","|",5))-FIND("|",SUBSTITUTE($H2160&amp;" "," ","|",4))-1),""))/86400+25569+9/24,""))</f>
        <v/>
      </c>
      <c r="G2160" s="58">
        <f>TRIM(SUBSTITUTE(SUBSTITUTE(SUBSTITUTE($A2160,CHAR(9)," ")," "," "),CHAR(13),""))</f>
        <v/>
      </c>
      <c r="H2160" s="58">
        <f>IF($G2160="","",IF(ISNUMBER(FIND(" ",$G2160)),$G2160,IFERROR(IF((LEN(SUBSTITUTE(SUBSTITUTE($G2160,"-"," ",LEN($G2160)-LEN(SUBSTITUTE($G2160,"-",""))),"-"," ",LEN($G2160)-LEN(SUBSTITUTE($G2160,"-",""))-1))-LEN(SUBSTITUTE(SUBSTITUTE(SUBSTITUTE($G2160,"-"," ",LEN($G2160)-LEN(SUBSTITUTE($G2160,"-",""))),"-"," ",LEN($G2160)-LEN(SUBSTITUTE($G2160,"-",""))-1),".","")))=0,SUBSTITUTE(SUBSTITUTE($G2160,"-"," ",LEN($G2160)-LEN(SUBSTITUTE($G2160,"-",""))),"-"," ",LEN($G2160)-LEN(SUBSTITUTE($G2160,"-",""))-1),SUBSTITUTE(SUBSTITUTE(SUBSTITUTE($G2160,"-"," ",LEN($G2160)-LEN(SUBSTITUTE($G2160,"-",""))),"-"," ",LEN($G2160)-LEN(SUBSTITUTE($G2160,"-",""))-1),"."," ",(LEN(SUBSTITUTE(SUBSTITUTE($G2160,"-"," ",LEN($G2160)-LEN(SUBSTITUTE($G2160,"-",""))),"-"," ",LEN($G2160)-LEN(SUBSTITUTE($G2160,"-",""))-1))-LEN(SUBSTITUTE(SUBSTITUTE(SUBSTITUTE($G2160,"-"," ",LEN($G2160)-LEN(SUBSTITUTE($G2160,"-",""))),"-"," ",LEN($G2160)-LEN(SUBSTITUTE($G2160,"-",""))-1),".",""))))),$G2160)))</f>
        <v/>
      </c>
    </row>
    <row r="2161">
      <c r="A2161" s="58" t="n"/>
      <c r="B2161" s="58">
        <f>IF($H2161="","",LEFT($H2161,FIND(" ",$H2161&amp;" ")-1))</f>
        <v/>
      </c>
      <c r="C2161" s="58">
        <f>IF($H2161="","",IFERROR(MID($H2161&amp;" ",FIND("|",SUBSTITUTE($H2161&amp;" "," ","|",1))+1,FIND("|",SUBSTITUTE($H2161&amp;" "," ","|",2))-FIND("|",SUBSTITUTE($H2161&amp;" "," ","|",1))-1),""))</f>
        <v/>
      </c>
      <c r="D2161" s="58">
        <f>IF($H2161="","",IFERROR(MID($H2161&amp;" ",FIND("|",SUBSTITUTE($H2161&amp;" "," ","|",2))+1,FIND("|",SUBSTITUTE($H2161&amp;" "," ","|",3))-FIND("|",SUBSTITUTE($H2161&amp;" "," ","|",2))-1),""))</f>
        <v/>
      </c>
      <c r="E2161" s="58">
        <f>IF($H2161="","",IFERROR(MID($H2161&amp;" ",FIND("|",SUBSTITUTE($H2161&amp;" "," ","|",3))+1,FIND("|",SUBSTITUTE($H2161&amp;" "," ","|",4))-FIND("|",SUBSTITUTE($H2161&amp;" "," ","|",3))-1),""))</f>
        <v/>
      </c>
      <c r="F2161" s="59">
        <f>IF($H2161="","",IFERROR(VALUE(IFERROR(MID($H2161&amp;" ",FIND("|",SUBSTITUTE($H2161&amp;" "," ","|",4))+1,FIND("|",SUBSTITUTE($H2161&amp;" "," ","|",5))-FIND("|",SUBSTITUTE($H2161&amp;" "," ","|",4))-1),""))/86400+25569+9/24,""))</f>
        <v/>
      </c>
      <c r="G2161" s="58">
        <f>TRIM(SUBSTITUTE(SUBSTITUTE(SUBSTITUTE($A2161,CHAR(9)," ")," "," "),CHAR(13),""))</f>
        <v/>
      </c>
      <c r="H2161" s="58">
        <f>IF($G2161="","",IF(ISNUMBER(FIND(" ",$G2161)),$G2161,IFERROR(IF((LEN(SUBSTITUTE(SUBSTITUTE($G2161,"-"," ",LEN($G2161)-LEN(SUBSTITUTE($G2161,"-",""))),"-"," ",LEN($G2161)-LEN(SUBSTITUTE($G2161,"-",""))-1))-LEN(SUBSTITUTE(SUBSTITUTE(SUBSTITUTE($G2161,"-"," ",LEN($G2161)-LEN(SUBSTITUTE($G2161,"-",""))),"-"," ",LEN($G2161)-LEN(SUBSTITUTE($G2161,"-",""))-1),".","")))=0,SUBSTITUTE(SUBSTITUTE($G2161,"-"," ",LEN($G2161)-LEN(SUBSTITUTE($G2161,"-",""))),"-"," ",LEN($G2161)-LEN(SUBSTITUTE($G2161,"-",""))-1),SUBSTITUTE(SUBSTITUTE(SUBSTITUTE($G2161,"-"," ",LEN($G2161)-LEN(SUBSTITUTE($G2161,"-",""))),"-"," ",LEN($G2161)-LEN(SUBSTITUTE($G2161,"-",""))-1),"."," ",(LEN(SUBSTITUTE(SUBSTITUTE($G2161,"-"," ",LEN($G2161)-LEN(SUBSTITUTE($G2161,"-",""))),"-"," ",LEN($G2161)-LEN(SUBSTITUTE($G2161,"-",""))-1))-LEN(SUBSTITUTE(SUBSTITUTE(SUBSTITUTE($G2161,"-"," ",LEN($G2161)-LEN(SUBSTITUTE($G2161,"-",""))),"-"," ",LEN($G2161)-LEN(SUBSTITUTE($G2161,"-",""))-1),".",""))))),$G2161)))</f>
        <v/>
      </c>
    </row>
    <row r="2162">
      <c r="A2162" s="58" t="n"/>
      <c r="B2162" s="58">
        <f>IF($H2162="","",LEFT($H2162,FIND(" ",$H2162&amp;" ")-1))</f>
        <v/>
      </c>
      <c r="C2162" s="58">
        <f>IF($H2162="","",IFERROR(MID($H2162&amp;" ",FIND("|",SUBSTITUTE($H2162&amp;" "," ","|",1))+1,FIND("|",SUBSTITUTE($H2162&amp;" "," ","|",2))-FIND("|",SUBSTITUTE($H2162&amp;" "," ","|",1))-1),""))</f>
        <v/>
      </c>
      <c r="D2162" s="58">
        <f>IF($H2162="","",IFERROR(MID($H2162&amp;" ",FIND("|",SUBSTITUTE($H2162&amp;" "," ","|",2))+1,FIND("|",SUBSTITUTE($H2162&amp;" "," ","|",3))-FIND("|",SUBSTITUTE($H2162&amp;" "," ","|",2))-1),""))</f>
        <v/>
      </c>
      <c r="E2162" s="58">
        <f>IF($H2162="","",IFERROR(MID($H2162&amp;" ",FIND("|",SUBSTITUTE($H2162&amp;" "," ","|",3))+1,FIND("|",SUBSTITUTE($H2162&amp;" "," ","|",4))-FIND("|",SUBSTITUTE($H2162&amp;" "," ","|",3))-1),""))</f>
        <v/>
      </c>
      <c r="F2162" s="59">
        <f>IF($H2162="","",IFERROR(VALUE(IFERROR(MID($H2162&amp;" ",FIND("|",SUBSTITUTE($H2162&amp;" "," ","|",4))+1,FIND("|",SUBSTITUTE($H2162&amp;" "," ","|",5))-FIND("|",SUBSTITUTE($H2162&amp;" "," ","|",4))-1),""))/86400+25569+9/24,""))</f>
        <v/>
      </c>
      <c r="G2162" s="58">
        <f>TRIM(SUBSTITUTE(SUBSTITUTE(SUBSTITUTE($A2162,CHAR(9)," ")," "," "),CHAR(13),""))</f>
        <v/>
      </c>
      <c r="H2162" s="58">
        <f>IF($G2162="","",IF(ISNUMBER(FIND(" ",$G2162)),$G2162,IFERROR(IF((LEN(SUBSTITUTE(SUBSTITUTE($G2162,"-"," ",LEN($G2162)-LEN(SUBSTITUTE($G2162,"-",""))),"-"," ",LEN($G2162)-LEN(SUBSTITUTE($G2162,"-",""))-1))-LEN(SUBSTITUTE(SUBSTITUTE(SUBSTITUTE($G2162,"-"," ",LEN($G2162)-LEN(SUBSTITUTE($G2162,"-",""))),"-"," ",LEN($G2162)-LEN(SUBSTITUTE($G2162,"-",""))-1),".","")))=0,SUBSTITUTE(SUBSTITUTE($G2162,"-"," ",LEN($G2162)-LEN(SUBSTITUTE($G2162,"-",""))),"-"," ",LEN($G2162)-LEN(SUBSTITUTE($G2162,"-",""))-1),SUBSTITUTE(SUBSTITUTE(SUBSTITUTE($G2162,"-"," ",LEN($G2162)-LEN(SUBSTITUTE($G2162,"-",""))),"-"," ",LEN($G2162)-LEN(SUBSTITUTE($G2162,"-",""))-1),"."," ",(LEN(SUBSTITUTE(SUBSTITUTE($G2162,"-"," ",LEN($G2162)-LEN(SUBSTITUTE($G2162,"-",""))),"-"," ",LEN($G2162)-LEN(SUBSTITUTE($G2162,"-",""))-1))-LEN(SUBSTITUTE(SUBSTITUTE(SUBSTITUTE($G2162,"-"," ",LEN($G2162)-LEN(SUBSTITUTE($G2162,"-",""))),"-"," ",LEN($G2162)-LEN(SUBSTITUTE($G2162,"-",""))-1),".",""))))),$G2162)))</f>
        <v/>
      </c>
    </row>
    <row r="2163">
      <c r="A2163" s="58" t="n"/>
      <c r="B2163" s="58">
        <f>IF($H2163="","",LEFT($H2163,FIND(" ",$H2163&amp;" ")-1))</f>
        <v/>
      </c>
      <c r="C2163" s="58">
        <f>IF($H2163="","",IFERROR(MID($H2163&amp;" ",FIND("|",SUBSTITUTE($H2163&amp;" "," ","|",1))+1,FIND("|",SUBSTITUTE($H2163&amp;" "," ","|",2))-FIND("|",SUBSTITUTE($H2163&amp;" "," ","|",1))-1),""))</f>
        <v/>
      </c>
      <c r="D2163" s="58">
        <f>IF($H2163="","",IFERROR(MID($H2163&amp;" ",FIND("|",SUBSTITUTE($H2163&amp;" "," ","|",2))+1,FIND("|",SUBSTITUTE($H2163&amp;" "," ","|",3))-FIND("|",SUBSTITUTE($H2163&amp;" "," ","|",2))-1),""))</f>
        <v/>
      </c>
      <c r="E2163" s="58">
        <f>IF($H2163="","",IFERROR(MID($H2163&amp;" ",FIND("|",SUBSTITUTE($H2163&amp;" "," ","|",3))+1,FIND("|",SUBSTITUTE($H2163&amp;" "," ","|",4))-FIND("|",SUBSTITUTE($H2163&amp;" "," ","|",3))-1),""))</f>
        <v/>
      </c>
      <c r="F2163" s="59">
        <f>IF($H2163="","",IFERROR(VALUE(IFERROR(MID($H2163&amp;" ",FIND("|",SUBSTITUTE($H2163&amp;" "," ","|",4))+1,FIND("|",SUBSTITUTE($H2163&amp;" "," ","|",5))-FIND("|",SUBSTITUTE($H2163&amp;" "," ","|",4))-1),""))/86400+25569+9/24,""))</f>
        <v/>
      </c>
      <c r="G2163" s="58">
        <f>TRIM(SUBSTITUTE(SUBSTITUTE(SUBSTITUTE($A2163,CHAR(9)," ")," "," "),CHAR(13),""))</f>
        <v/>
      </c>
      <c r="H2163" s="58">
        <f>IF($G2163="","",IF(ISNUMBER(FIND(" ",$G2163)),$G2163,IFERROR(IF((LEN(SUBSTITUTE(SUBSTITUTE($G2163,"-"," ",LEN($G2163)-LEN(SUBSTITUTE($G2163,"-",""))),"-"," ",LEN($G2163)-LEN(SUBSTITUTE($G2163,"-",""))-1))-LEN(SUBSTITUTE(SUBSTITUTE(SUBSTITUTE($G2163,"-"," ",LEN($G2163)-LEN(SUBSTITUTE($G2163,"-",""))),"-"," ",LEN($G2163)-LEN(SUBSTITUTE($G2163,"-",""))-1),".","")))=0,SUBSTITUTE(SUBSTITUTE($G2163,"-"," ",LEN($G2163)-LEN(SUBSTITUTE($G2163,"-",""))),"-"," ",LEN($G2163)-LEN(SUBSTITUTE($G2163,"-",""))-1),SUBSTITUTE(SUBSTITUTE(SUBSTITUTE($G2163,"-"," ",LEN($G2163)-LEN(SUBSTITUTE($G2163,"-",""))),"-"," ",LEN($G2163)-LEN(SUBSTITUTE($G2163,"-",""))-1),"."," ",(LEN(SUBSTITUTE(SUBSTITUTE($G2163,"-"," ",LEN($G2163)-LEN(SUBSTITUTE($G2163,"-",""))),"-"," ",LEN($G2163)-LEN(SUBSTITUTE($G2163,"-",""))-1))-LEN(SUBSTITUTE(SUBSTITUTE(SUBSTITUTE($G2163,"-"," ",LEN($G2163)-LEN(SUBSTITUTE($G2163,"-",""))),"-"," ",LEN($G2163)-LEN(SUBSTITUTE($G2163,"-",""))-1),".",""))))),$G2163)))</f>
        <v/>
      </c>
    </row>
    <row r="2164">
      <c r="A2164" s="58" t="n"/>
      <c r="B2164" s="58">
        <f>IF($H2164="","",LEFT($H2164,FIND(" ",$H2164&amp;" ")-1))</f>
        <v/>
      </c>
      <c r="C2164" s="58">
        <f>IF($H2164="","",IFERROR(MID($H2164&amp;" ",FIND("|",SUBSTITUTE($H2164&amp;" "," ","|",1))+1,FIND("|",SUBSTITUTE($H2164&amp;" "," ","|",2))-FIND("|",SUBSTITUTE($H2164&amp;" "," ","|",1))-1),""))</f>
        <v/>
      </c>
      <c r="D2164" s="58">
        <f>IF($H2164="","",IFERROR(MID($H2164&amp;" ",FIND("|",SUBSTITUTE($H2164&amp;" "," ","|",2))+1,FIND("|",SUBSTITUTE($H2164&amp;" "," ","|",3))-FIND("|",SUBSTITUTE($H2164&amp;" "," ","|",2))-1),""))</f>
        <v/>
      </c>
      <c r="E2164" s="58">
        <f>IF($H2164="","",IFERROR(MID($H2164&amp;" ",FIND("|",SUBSTITUTE($H2164&amp;" "," ","|",3))+1,FIND("|",SUBSTITUTE($H2164&amp;" "," ","|",4))-FIND("|",SUBSTITUTE($H2164&amp;" "," ","|",3))-1),""))</f>
        <v/>
      </c>
      <c r="F2164" s="59">
        <f>IF($H2164="","",IFERROR(VALUE(IFERROR(MID($H2164&amp;" ",FIND("|",SUBSTITUTE($H2164&amp;" "," ","|",4))+1,FIND("|",SUBSTITUTE($H2164&amp;" "," ","|",5))-FIND("|",SUBSTITUTE($H2164&amp;" "," ","|",4))-1),""))/86400+25569+9/24,""))</f>
        <v/>
      </c>
      <c r="G2164" s="58">
        <f>TRIM(SUBSTITUTE(SUBSTITUTE(SUBSTITUTE($A2164,CHAR(9)," ")," "," "),CHAR(13),""))</f>
        <v/>
      </c>
      <c r="H2164" s="58">
        <f>IF($G2164="","",IF(ISNUMBER(FIND(" ",$G2164)),$G2164,IFERROR(IF((LEN(SUBSTITUTE(SUBSTITUTE($G2164,"-"," ",LEN($G2164)-LEN(SUBSTITUTE($G2164,"-",""))),"-"," ",LEN($G2164)-LEN(SUBSTITUTE($G2164,"-",""))-1))-LEN(SUBSTITUTE(SUBSTITUTE(SUBSTITUTE($G2164,"-"," ",LEN($G2164)-LEN(SUBSTITUTE($G2164,"-",""))),"-"," ",LEN($G2164)-LEN(SUBSTITUTE($G2164,"-",""))-1),".","")))=0,SUBSTITUTE(SUBSTITUTE($G2164,"-"," ",LEN($G2164)-LEN(SUBSTITUTE($G2164,"-",""))),"-"," ",LEN($G2164)-LEN(SUBSTITUTE($G2164,"-",""))-1),SUBSTITUTE(SUBSTITUTE(SUBSTITUTE($G2164,"-"," ",LEN($G2164)-LEN(SUBSTITUTE($G2164,"-",""))),"-"," ",LEN($G2164)-LEN(SUBSTITUTE($G2164,"-",""))-1),"."," ",(LEN(SUBSTITUTE(SUBSTITUTE($G2164,"-"," ",LEN($G2164)-LEN(SUBSTITUTE($G2164,"-",""))),"-"," ",LEN($G2164)-LEN(SUBSTITUTE($G2164,"-",""))-1))-LEN(SUBSTITUTE(SUBSTITUTE(SUBSTITUTE($G2164,"-"," ",LEN($G2164)-LEN(SUBSTITUTE($G2164,"-",""))),"-"," ",LEN($G2164)-LEN(SUBSTITUTE($G2164,"-",""))-1),".",""))))),$G2164)))</f>
        <v/>
      </c>
    </row>
    <row r="2165">
      <c r="A2165" s="58" t="n"/>
      <c r="B2165" s="58">
        <f>IF($H2165="","",LEFT($H2165,FIND(" ",$H2165&amp;" ")-1))</f>
        <v/>
      </c>
      <c r="C2165" s="58">
        <f>IF($H2165="","",IFERROR(MID($H2165&amp;" ",FIND("|",SUBSTITUTE($H2165&amp;" "," ","|",1))+1,FIND("|",SUBSTITUTE($H2165&amp;" "," ","|",2))-FIND("|",SUBSTITUTE($H2165&amp;" "," ","|",1))-1),""))</f>
        <v/>
      </c>
      <c r="D2165" s="58">
        <f>IF($H2165="","",IFERROR(MID($H2165&amp;" ",FIND("|",SUBSTITUTE($H2165&amp;" "," ","|",2))+1,FIND("|",SUBSTITUTE($H2165&amp;" "," ","|",3))-FIND("|",SUBSTITUTE($H2165&amp;" "," ","|",2))-1),""))</f>
        <v/>
      </c>
      <c r="E2165" s="58">
        <f>IF($H2165="","",IFERROR(MID($H2165&amp;" ",FIND("|",SUBSTITUTE($H2165&amp;" "," ","|",3))+1,FIND("|",SUBSTITUTE($H2165&amp;" "," ","|",4))-FIND("|",SUBSTITUTE($H2165&amp;" "," ","|",3))-1),""))</f>
        <v/>
      </c>
      <c r="F2165" s="59">
        <f>IF($H2165="","",IFERROR(VALUE(IFERROR(MID($H2165&amp;" ",FIND("|",SUBSTITUTE($H2165&amp;" "," ","|",4))+1,FIND("|",SUBSTITUTE($H2165&amp;" "," ","|",5))-FIND("|",SUBSTITUTE($H2165&amp;" "," ","|",4))-1),""))/86400+25569+9/24,""))</f>
        <v/>
      </c>
      <c r="G2165" s="58">
        <f>TRIM(SUBSTITUTE(SUBSTITUTE(SUBSTITUTE($A2165,CHAR(9)," ")," "," "),CHAR(13),""))</f>
        <v/>
      </c>
      <c r="H2165" s="58">
        <f>IF($G2165="","",IF(ISNUMBER(FIND(" ",$G2165)),$G2165,IFERROR(IF((LEN(SUBSTITUTE(SUBSTITUTE($G2165,"-"," ",LEN($G2165)-LEN(SUBSTITUTE($G2165,"-",""))),"-"," ",LEN($G2165)-LEN(SUBSTITUTE($G2165,"-",""))-1))-LEN(SUBSTITUTE(SUBSTITUTE(SUBSTITUTE($G2165,"-"," ",LEN($G2165)-LEN(SUBSTITUTE($G2165,"-",""))),"-"," ",LEN($G2165)-LEN(SUBSTITUTE($G2165,"-",""))-1),".","")))=0,SUBSTITUTE(SUBSTITUTE($G2165,"-"," ",LEN($G2165)-LEN(SUBSTITUTE($G2165,"-",""))),"-"," ",LEN($G2165)-LEN(SUBSTITUTE($G2165,"-",""))-1),SUBSTITUTE(SUBSTITUTE(SUBSTITUTE($G2165,"-"," ",LEN($G2165)-LEN(SUBSTITUTE($G2165,"-",""))),"-"," ",LEN($G2165)-LEN(SUBSTITUTE($G2165,"-",""))-1),"."," ",(LEN(SUBSTITUTE(SUBSTITUTE($G2165,"-"," ",LEN($G2165)-LEN(SUBSTITUTE($G2165,"-",""))),"-"," ",LEN($G2165)-LEN(SUBSTITUTE($G2165,"-",""))-1))-LEN(SUBSTITUTE(SUBSTITUTE(SUBSTITUTE($G2165,"-"," ",LEN($G2165)-LEN(SUBSTITUTE($G2165,"-",""))),"-"," ",LEN($G2165)-LEN(SUBSTITUTE($G2165,"-",""))-1),".",""))))),$G2165)))</f>
        <v/>
      </c>
    </row>
    <row r="2166">
      <c r="A2166" s="58" t="n"/>
      <c r="B2166" s="58">
        <f>IF($H2166="","",LEFT($H2166,FIND(" ",$H2166&amp;" ")-1))</f>
        <v/>
      </c>
      <c r="C2166" s="58">
        <f>IF($H2166="","",IFERROR(MID($H2166&amp;" ",FIND("|",SUBSTITUTE($H2166&amp;" "," ","|",1))+1,FIND("|",SUBSTITUTE($H2166&amp;" "," ","|",2))-FIND("|",SUBSTITUTE($H2166&amp;" "," ","|",1))-1),""))</f>
        <v/>
      </c>
      <c r="D2166" s="58">
        <f>IF($H2166="","",IFERROR(MID($H2166&amp;" ",FIND("|",SUBSTITUTE($H2166&amp;" "," ","|",2))+1,FIND("|",SUBSTITUTE($H2166&amp;" "," ","|",3))-FIND("|",SUBSTITUTE($H2166&amp;" "," ","|",2))-1),""))</f>
        <v/>
      </c>
      <c r="E2166" s="58">
        <f>IF($H2166="","",IFERROR(MID($H2166&amp;" ",FIND("|",SUBSTITUTE($H2166&amp;" "," ","|",3))+1,FIND("|",SUBSTITUTE($H2166&amp;" "," ","|",4))-FIND("|",SUBSTITUTE($H2166&amp;" "," ","|",3))-1),""))</f>
        <v/>
      </c>
      <c r="F2166" s="59">
        <f>IF($H2166="","",IFERROR(VALUE(IFERROR(MID($H2166&amp;" ",FIND("|",SUBSTITUTE($H2166&amp;" "," ","|",4))+1,FIND("|",SUBSTITUTE($H2166&amp;" "," ","|",5))-FIND("|",SUBSTITUTE($H2166&amp;" "," ","|",4))-1),""))/86400+25569+9/24,""))</f>
        <v/>
      </c>
      <c r="G2166" s="58">
        <f>TRIM(SUBSTITUTE(SUBSTITUTE(SUBSTITUTE($A2166,CHAR(9)," ")," "," "),CHAR(13),""))</f>
        <v/>
      </c>
      <c r="H2166" s="58">
        <f>IF($G2166="","",IF(ISNUMBER(FIND(" ",$G2166)),$G2166,IFERROR(IF((LEN(SUBSTITUTE(SUBSTITUTE($G2166,"-"," ",LEN($G2166)-LEN(SUBSTITUTE($G2166,"-",""))),"-"," ",LEN($G2166)-LEN(SUBSTITUTE($G2166,"-",""))-1))-LEN(SUBSTITUTE(SUBSTITUTE(SUBSTITUTE($G2166,"-"," ",LEN($G2166)-LEN(SUBSTITUTE($G2166,"-",""))),"-"," ",LEN($G2166)-LEN(SUBSTITUTE($G2166,"-",""))-1),".","")))=0,SUBSTITUTE(SUBSTITUTE($G2166,"-"," ",LEN($G2166)-LEN(SUBSTITUTE($G2166,"-",""))),"-"," ",LEN($G2166)-LEN(SUBSTITUTE($G2166,"-",""))-1),SUBSTITUTE(SUBSTITUTE(SUBSTITUTE($G2166,"-"," ",LEN($G2166)-LEN(SUBSTITUTE($G2166,"-",""))),"-"," ",LEN($G2166)-LEN(SUBSTITUTE($G2166,"-",""))-1),"."," ",(LEN(SUBSTITUTE(SUBSTITUTE($G2166,"-"," ",LEN($G2166)-LEN(SUBSTITUTE($G2166,"-",""))),"-"," ",LEN($G2166)-LEN(SUBSTITUTE($G2166,"-",""))-1))-LEN(SUBSTITUTE(SUBSTITUTE(SUBSTITUTE($G2166,"-"," ",LEN($G2166)-LEN(SUBSTITUTE($G2166,"-",""))),"-"," ",LEN($G2166)-LEN(SUBSTITUTE($G2166,"-",""))-1),".",""))))),$G2166)))</f>
        <v/>
      </c>
    </row>
    <row r="2167">
      <c r="A2167" s="58" t="n"/>
      <c r="B2167" s="58">
        <f>IF($H2167="","",LEFT($H2167,FIND(" ",$H2167&amp;" ")-1))</f>
        <v/>
      </c>
      <c r="C2167" s="58">
        <f>IF($H2167="","",IFERROR(MID($H2167&amp;" ",FIND("|",SUBSTITUTE($H2167&amp;" "," ","|",1))+1,FIND("|",SUBSTITUTE($H2167&amp;" "," ","|",2))-FIND("|",SUBSTITUTE($H2167&amp;" "," ","|",1))-1),""))</f>
        <v/>
      </c>
      <c r="D2167" s="58">
        <f>IF($H2167="","",IFERROR(MID($H2167&amp;" ",FIND("|",SUBSTITUTE($H2167&amp;" "," ","|",2))+1,FIND("|",SUBSTITUTE($H2167&amp;" "," ","|",3))-FIND("|",SUBSTITUTE($H2167&amp;" "," ","|",2))-1),""))</f>
        <v/>
      </c>
      <c r="E2167" s="58">
        <f>IF($H2167="","",IFERROR(MID($H2167&amp;" ",FIND("|",SUBSTITUTE($H2167&amp;" "," ","|",3))+1,FIND("|",SUBSTITUTE($H2167&amp;" "," ","|",4))-FIND("|",SUBSTITUTE($H2167&amp;" "," ","|",3))-1),""))</f>
        <v/>
      </c>
      <c r="F2167" s="59">
        <f>IF($H2167="","",IFERROR(VALUE(IFERROR(MID($H2167&amp;" ",FIND("|",SUBSTITUTE($H2167&amp;" "," ","|",4))+1,FIND("|",SUBSTITUTE($H2167&amp;" "," ","|",5))-FIND("|",SUBSTITUTE($H2167&amp;" "," ","|",4))-1),""))/86400+25569+9/24,""))</f>
        <v/>
      </c>
      <c r="G2167" s="58">
        <f>TRIM(SUBSTITUTE(SUBSTITUTE(SUBSTITUTE($A2167,CHAR(9)," ")," "," "),CHAR(13),""))</f>
        <v/>
      </c>
      <c r="H2167" s="58">
        <f>IF($G2167="","",IF(ISNUMBER(FIND(" ",$G2167)),$G2167,IFERROR(IF((LEN(SUBSTITUTE(SUBSTITUTE($G2167,"-"," ",LEN($G2167)-LEN(SUBSTITUTE($G2167,"-",""))),"-"," ",LEN($G2167)-LEN(SUBSTITUTE($G2167,"-",""))-1))-LEN(SUBSTITUTE(SUBSTITUTE(SUBSTITUTE($G2167,"-"," ",LEN($G2167)-LEN(SUBSTITUTE($G2167,"-",""))),"-"," ",LEN($G2167)-LEN(SUBSTITUTE($G2167,"-",""))-1),".","")))=0,SUBSTITUTE(SUBSTITUTE($G2167,"-"," ",LEN($G2167)-LEN(SUBSTITUTE($G2167,"-",""))),"-"," ",LEN($G2167)-LEN(SUBSTITUTE($G2167,"-",""))-1),SUBSTITUTE(SUBSTITUTE(SUBSTITUTE($G2167,"-"," ",LEN($G2167)-LEN(SUBSTITUTE($G2167,"-",""))),"-"," ",LEN($G2167)-LEN(SUBSTITUTE($G2167,"-",""))-1),"."," ",(LEN(SUBSTITUTE(SUBSTITUTE($G2167,"-"," ",LEN($G2167)-LEN(SUBSTITUTE($G2167,"-",""))),"-"," ",LEN($G2167)-LEN(SUBSTITUTE($G2167,"-",""))-1))-LEN(SUBSTITUTE(SUBSTITUTE(SUBSTITUTE($G2167,"-"," ",LEN($G2167)-LEN(SUBSTITUTE($G2167,"-",""))),"-"," ",LEN($G2167)-LEN(SUBSTITUTE($G2167,"-",""))-1),".",""))))),$G2167)))</f>
        <v/>
      </c>
    </row>
    <row r="2168">
      <c r="A2168" s="58" t="n"/>
      <c r="B2168" s="58">
        <f>IF($H2168="","",LEFT($H2168,FIND(" ",$H2168&amp;" ")-1))</f>
        <v/>
      </c>
      <c r="C2168" s="58">
        <f>IF($H2168="","",IFERROR(MID($H2168&amp;" ",FIND("|",SUBSTITUTE($H2168&amp;" "," ","|",1))+1,FIND("|",SUBSTITUTE($H2168&amp;" "," ","|",2))-FIND("|",SUBSTITUTE($H2168&amp;" "," ","|",1))-1),""))</f>
        <v/>
      </c>
      <c r="D2168" s="58">
        <f>IF($H2168="","",IFERROR(MID($H2168&amp;" ",FIND("|",SUBSTITUTE($H2168&amp;" "," ","|",2))+1,FIND("|",SUBSTITUTE($H2168&amp;" "," ","|",3))-FIND("|",SUBSTITUTE($H2168&amp;" "," ","|",2))-1),""))</f>
        <v/>
      </c>
      <c r="E2168" s="58">
        <f>IF($H2168="","",IFERROR(MID($H2168&amp;" ",FIND("|",SUBSTITUTE($H2168&amp;" "," ","|",3))+1,FIND("|",SUBSTITUTE($H2168&amp;" "," ","|",4))-FIND("|",SUBSTITUTE($H2168&amp;" "," ","|",3))-1),""))</f>
        <v/>
      </c>
      <c r="F2168" s="59">
        <f>IF($H2168="","",IFERROR(VALUE(IFERROR(MID($H2168&amp;" ",FIND("|",SUBSTITUTE($H2168&amp;" "," ","|",4))+1,FIND("|",SUBSTITUTE($H2168&amp;" "," ","|",5))-FIND("|",SUBSTITUTE($H2168&amp;" "," ","|",4))-1),""))/86400+25569+9/24,""))</f>
        <v/>
      </c>
      <c r="G2168" s="58">
        <f>TRIM(SUBSTITUTE(SUBSTITUTE(SUBSTITUTE($A2168,CHAR(9)," ")," "," "),CHAR(13),""))</f>
        <v/>
      </c>
      <c r="H2168" s="58">
        <f>IF($G2168="","",IF(ISNUMBER(FIND(" ",$G2168)),$G2168,IFERROR(IF((LEN(SUBSTITUTE(SUBSTITUTE($G2168,"-"," ",LEN($G2168)-LEN(SUBSTITUTE($G2168,"-",""))),"-"," ",LEN($G2168)-LEN(SUBSTITUTE($G2168,"-",""))-1))-LEN(SUBSTITUTE(SUBSTITUTE(SUBSTITUTE($G2168,"-"," ",LEN($G2168)-LEN(SUBSTITUTE($G2168,"-",""))),"-"," ",LEN($G2168)-LEN(SUBSTITUTE($G2168,"-",""))-1),".","")))=0,SUBSTITUTE(SUBSTITUTE($G2168,"-"," ",LEN($G2168)-LEN(SUBSTITUTE($G2168,"-",""))),"-"," ",LEN($G2168)-LEN(SUBSTITUTE($G2168,"-",""))-1),SUBSTITUTE(SUBSTITUTE(SUBSTITUTE($G2168,"-"," ",LEN($G2168)-LEN(SUBSTITUTE($G2168,"-",""))),"-"," ",LEN($G2168)-LEN(SUBSTITUTE($G2168,"-",""))-1),"."," ",(LEN(SUBSTITUTE(SUBSTITUTE($G2168,"-"," ",LEN($G2168)-LEN(SUBSTITUTE($G2168,"-",""))),"-"," ",LEN($G2168)-LEN(SUBSTITUTE($G2168,"-",""))-1))-LEN(SUBSTITUTE(SUBSTITUTE(SUBSTITUTE($G2168,"-"," ",LEN($G2168)-LEN(SUBSTITUTE($G2168,"-",""))),"-"," ",LEN($G2168)-LEN(SUBSTITUTE($G2168,"-",""))-1),".",""))))),$G2168)))</f>
        <v/>
      </c>
    </row>
    <row r="2169">
      <c r="A2169" s="58" t="n"/>
      <c r="B2169" s="58">
        <f>IF($H2169="","",LEFT($H2169,FIND(" ",$H2169&amp;" ")-1))</f>
        <v/>
      </c>
      <c r="C2169" s="58">
        <f>IF($H2169="","",IFERROR(MID($H2169&amp;" ",FIND("|",SUBSTITUTE($H2169&amp;" "," ","|",1))+1,FIND("|",SUBSTITUTE($H2169&amp;" "," ","|",2))-FIND("|",SUBSTITUTE($H2169&amp;" "," ","|",1))-1),""))</f>
        <v/>
      </c>
      <c r="D2169" s="58">
        <f>IF($H2169="","",IFERROR(MID($H2169&amp;" ",FIND("|",SUBSTITUTE($H2169&amp;" "," ","|",2))+1,FIND("|",SUBSTITUTE($H2169&amp;" "," ","|",3))-FIND("|",SUBSTITUTE($H2169&amp;" "," ","|",2))-1),""))</f>
        <v/>
      </c>
      <c r="E2169" s="58">
        <f>IF($H2169="","",IFERROR(MID($H2169&amp;" ",FIND("|",SUBSTITUTE($H2169&amp;" "," ","|",3))+1,FIND("|",SUBSTITUTE($H2169&amp;" "," ","|",4))-FIND("|",SUBSTITUTE($H2169&amp;" "," ","|",3))-1),""))</f>
        <v/>
      </c>
      <c r="F2169" s="59">
        <f>IF($H2169="","",IFERROR(VALUE(IFERROR(MID($H2169&amp;" ",FIND("|",SUBSTITUTE($H2169&amp;" "," ","|",4))+1,FIND("|",SUBSTITUTE($H2169&amp;" "," ","|",5))-FIND("|",SUBSTITUTE($H2169&amp;" "," ","|",4))-1),""))/86400+25569+9/24,""))</f>
        <v/>
      </c>
      <c r="G2169" s="58">
        <f>TRIM(SUBSTITUTE(SUBSTITUTE(SUBSTITUTE($A2169,CHAR(9)," ")," "," "),CHAR(13),""))</f>
        <v/>
      </c>
      <c r="H2169" s="58">
        <f>IF($G2169="","",IF(ISNUMBER(FIND(" ",$G2169)),$G2169,IFERROR(IF((LEN(SUBSTITUTE(SUBSTITUTE($G2169,"-"," ",LEN($G2169)-LEN(SUBSTITUTE($G2169,"-",""))),"-"," ",LEN($G2169)-LEN(SUBSTITUTE($G2169,"-",""))-1))-LEN(SUBSTITUTE(SUBSTITUTE(SUBSTITUTE($G2169,"-"," ",LEN($G2169)-LEN(SUBSTITUTE($G2169,"-",""))),"-"," ",LEN($G2169)-LEN(SUBSTITUTE($G2169,"-",""))-1),".","")))=0,SUBSTITUTE(SUBSTITUTE($G2169,"-"," ",LEN($G2169)-LEN(SUBSTITUTE($G2169,"-",""))),"-"," ",LEN($G2169)-LEN(SUBSTITUTE($G2169,"-",""))-1),SUBSTITUTE(SUBSTITUTE(SUBSTITUTE($G2169,"-"," ",LEN($G2169)-LEN(SUBSTITUTE($G2169,"-",""))),"-"," ",LEN($G2169)-LEN(SUBSTITUTE($G2169,"-",""))-1),"."," ",(LEN(SUBSTITUTE(SUBSTITUTE($G2169,"-"," ",LEN($G2169)-LEN(SUBSTITUTE($G2169,"-",""))),"-"," ",LEN($G2169)-LEN(SUBSTITUTE($G2169,"-",""))-1))-LEN(SUBSTITUTE(SUBSTITUTE(SUBSTITUTE($G2169,"-"," ",LEN($G2169)-LEN(SUBSTITUTE($G2169,"-",""))),"-"," ",LEN($G2169)-LEN(SUBSTITUTE($G2169,"-",""))-1),".",""))))),$G2169)))</f>
        <v/>
      </c>
    </row>
    <row r="2170">
      <c r="A2170" s="58" t="n"/>
      <c r="B2170" s="58">
        <f>IF($H2170="","",LEFT($H2170,FIND(" ",$H2170&amp;" ")-1))</f>
        <v/>
      </c>
      <c r="C2170" s="58">
        <f>IF($H2170="","",IFERROR(MID($H2170&amp;" ",FIND("|",SUBSTITUTE($H2170&amp;" "," ","|",1))+1,FIND("|",SUBSTITUTE($H2170&amp;" "," ","|",2))-FIND("|",SUBSTITUTE($H2170&amp;" "," ","|",1))-1),""))</f>
        <v/>
      </c>
      <c r="D2170" s="58">
        <f>IF($H2170="","",IFERROR(MID($H2170&amp;" ",FIND("|",SUBSTITUTE($H2170&amp;" "," ","|",2))+1,FIND("|",SUBSTITUTE($H2170&amp;" "," ","|",3))-FIND("|",SUBSTITUTE($H2170&amp;" "," ","|",2))-1),""))</f>
        <v/>
      </c>
      <c r="E2170" s="58">
        <f>IF($H2170="","",IFERROR(MID($H2170&amp;" ",FIND("|",SUBSTITUTE($H2170&amp;" "," ","|",3))+1,FIND("|",SUBSTITUTE($H2170&amp;" "," ","|",4))-FIND("|",SUBSTITUTE($H2170&amp;" "," ","|",3))-1),""))</f>
        <v/>
      </c>
      <c r="F2170" s="59">
        <f>IF($H2170="","",IFERROR(VALUE(IFERROR(MID($H2170&amp;" ",FIND("|",SUBSTITUTE($H2170&amp;" "," ","|",4))+1,FIND("|",SUBSTITUTE($H2170&amp;" "," ","|",5))-FIND("|",SUBSTITUTE($H2170&amp;" "," ","|",4))-1),""))/86400+25569+9/24,""))</f>
        <v/>
      </c>
      <c r="G2170" s="58">
        <f>TRIM(SUBSTITUTE(SUBSTITUTE(SUBSTITUTE($A2170,CHAR(9)," ")," "," "),CHAR(13),""))</f>
        <v/>
      </c>
      <c r="H2170" s="58">
        <f>IF($G2170="","",IF(ISNUMBER(FIND(" ",$G2170)),$G2170,IFERROR(IF((LEN(SUBSTITUTE(SUBSTITUTE($G2170,"-"," ",LEN($G2170)-LEN(SUBSTITUTE($G2170,"-",""))),"-"," ",LEN($G2170)-LEN(SUBSTITUTE($G2170,"-",""))-1))-LEN(SUBSTITUTE(SUBSTITUTE(SUBSTITUTE($G2170,"-"," ",LEN($G2170)-LEN(SUBSTITUTE($G2170,"-",""))),"-"," ",LEN($G2170)-LEN(SUBSTITUTE($G2170,"-",""))-1),".","")))=0,SUBSTITUTE(SUBSTITUTE($G2170,"-"," ",LEN($G2170)-LEN(SUBSTITUTE($G2170,"-",""))),"-"," ",LEN($G2170)-LEN(SUBSTITUTE($G2170,"-",""))-1),SUBSTITUTE(SUBSTITUTE(SUBSTITUTE($G2170,"-"," ",LEN($G2170)-LEN(SUBSTITUTE($G2170,"-",""))),"-"," ",LEN($G2170)-LEN(SUBSTITUTE($G2170,"-",""))-1),"."," ",(LEN(SUBSTITUTE(SUBSTITUTE($G2170,"-"," ",LEN($G2170)-LEN(SUBSTITUTE($G2170,"-",""))),"-"," ",LEN($G2170)-LEN(SUBSTITUTE($G2170,"-",""))-1))-LEN(SUBSTITUTE(SUBSTITUTE(SUBSTITUTE($G2170,"-"," ",LEN($G2170)-LEN(SUBSTITUTE($G2170,"-",""))),"-"," ",LEN($G2170)-LEN(SUBSTITUTE($G2170,"-",""))-1),".",""))))),$G2170)))</f>
        <v/>
      </c>
    </row>
    <row r="2171">
      <c r="A2171" s="58" t="n"/>
      <c r="B2171" s="58">
        <f>IF($H2171="","",LEFT($H2171,FIND(" ",$H2171&amp;" ")-1))</f>
        <v/>
      </c>
      <c r="C2171" s="58">
        <f>IF($H2171="","",IFERROR(MID($H2171&amp;" ",FIND("|",SUBSTITUTE($H2171&amp;" "," ","|",1))+1,FIND("|",SUBSTITUTE($H2171&amp;" "," ","|",2))-FIND("|",SUBSTITUTE($H2171&amp;" "," ","|",1))-1),""))</f>
        <v/>
      </c>
      <c r="D2171" s="58">
        <f>IF($H2171="","",IFERROR(MID($H2171&amp;" ",FIND("|",SUBSTITUTE($H2171&amp;" "," ","|",2))+1,FIND("|",SUBSTITUTE($H2171&amp;" "," ","|",3))-FIND("|",SUBSTITUTE($H2171&amp;" "," ","|",2))-1),""))</f>
        <v/>
      </c>
      <c r="E2171" s="58">
        <f>IF($H2171="","",IFERROR(MID($H2171&amp;" ",FIND("|",SUBSTITUTE($H2171&amp;" "," ","|",3))+1,FIND("|",SUBSTITUTE($H2171&amp;" "," ","|",4))-FIND("|",SUBSTITUTE($H2171&amp;" "," ","|",3))-1),""))</f>
        <v/>
      </c>
      <c r="F2171" s="59">
        <f>IF($H2171="","",IFERROR(VALUE(IFERROR(MID($H2171&amp;" ",FIND("|",SUBSTITUTE($H2171&amp;" "," ","|",4))+1,FIND("|",SUBSTITUTE($H2171&amp;" "," ","|",5))-FIND("|",SUBSTITUTE($H2171&amp;" "," ","|",4))-1),""))/86400+25569+9/24,""))</f>
        <v/>
      </c>
      <c r="G2171" s="58">
        <f>TRIM(SUBSTITUTE(SUBSTITUTE(SUBSTITUTE($A2171,CHAR(9)," ")," "," "),CHAR(13),""))</f>
        <v/>
      </c>
      <c r="H2171" s="58">
        <f>IF($G2171="","",IF(ISNUMBER(FIND(" ",$G2171)),$G2171,IFERROR(IF((LEN(SUBSTITUTE(SUBSTITUTE($G2171,"-"," ",LEN($G2171)-LEN(SUBSTITUTE($G2171,"-",""))),"-"," ",LEN($G2171)-LEN(SUBSTITUTE($G2171,"-",""))-1))-LEN(SUBSTITUTE(SUBSTITUTE(SUBSTITUTE($G2171,"-"," ",LEN($G2171)-LEN(SUBSTITUTE($G2171,"-",""))),"-"," ",LEN($G2171)-LEN(SUBSTITUTE($G2171,"-",""))-1),".","")))=0,SUBSTITUTE(SUBSTITUTE($G2171,"-"," ",LEN($G2171)-LEN(SUBSTITUTE($G2171,"-",""))),"-"," ",LEN($G2171)-LEN(SUBSTITUTE($G2171,"-",""))-1),SUBSTITUTE(SUBSTITUTE(SUBSTITUTE($G2171,"-"," ",LEN($G2171)-LEN(SUBSTITUTE($G2171,"-",""))),"-"," ",LEN($G2171)-LEN(SUBSTITUTE($G2171,"-",""))-1),"."," ",(LEN(SUBSTITUTE(SUBSTITUTE($G2171,"-"," ",LEN($G2171)-LEN(SUBSTITUTE($G2171,"-",""))),"-"," ",LEN($G2171)-LEN(SUBSTITUTE($G2171,"-",""))-1))-LEN(SUBSTITUTE(SUBSTITUTE(SUBSTITUTE($G2171,"-"," ",LEN($G2171)-LEN(SUBSTITUTE($G2171,"-",""))),"-"," ",LEN($G2171)-LEN(SUBSTITUTE($G2171,"-",""))-1),".",""))))),$G2171)))</f>
        <v/>
      </c>
    </row>
    <row r="2172">
      <c r="A2172" s="58" t="n"/>
      <c r="B2172" s="58">
        <f>IF($H2172="","",LEFT($H2172,FIND(" ",$H2172&amp;" ")-1))</f>
        <v/>
      </c>
      <c r="C2172" s="58">
        <f>IF($H2172="","",IFERROR(MID($H2172&amp;" ",FIND("|",SUBSTITUTE($H2172&amp;" "," ","|",1))+1,FIND("|",SUBSTITUTE($H2172&amp;" "," ","|",2))-FIND("|",SUBSTITUTE($H2172&amp;" "," ","|",1))-1),""))</f>
        <v/>
      </c>
      <c r="D2172" s="58">
        <f>IF($H2172="","",IFERROR(MID($H2172&amp;" ",FIND("|",SUBSTITUTE($H2172&amp;" "," ","|",2))+1,FIND("|",SUBSTITUTE($H2172&amp;" "," ","|",3))-FIND("|",SUBSTITUTE($H2172&amp;" "," ","|",2))-1),""))</f>
        <v/>
      </c>
      <c r="E2172" s="58">
        <f>IF($H2172="","",IFERROR(MID($H2172&amp;" ",FIND("|",SUBSTITUTE($H2172&amp;" "," ","|",3))+1,FIND("|",SUBSTITUTE($H2172&amp;" "," ","|",4))-FIND("|",SUBSTITUTE($H2172&amp;" "," ","|",3))-1),""))</f>
        <v/>
      </c>
      <c r="F2172" s="59">
        <f>IF($H2172="","",IFERROR(VALUE(IFERROR(MID($H2172&amp;" ",FIND("|",SUBSTITUTE($H2172&amp;" "," ","|",4))+1,FIND("|",SUBSTITUTE($H2172&amp;" "," ","|",5))-FIND("|",SUBSTITUTE($H2172&amp;" "," ","|",4))-1),""))/86400+25569+9/24,""))</f>
        <v/>
      </c>
      <c r="G2172" s="58">
        <f>TRIM(SUBSTITUTE(SUBSTITUTE(SUBSTITUTE($A2172,CHAR(9)," ")," "," "),CHAR(13),""))</f>
        <v/>
      </c>
      <c r="H2172" s="58">
        <f>IF($G2172="","",IF(ISNUMBER(FIND(" ",$G2172)),$G2172,IFERROR(IF((LEN(SUBSTITUTE(SUBSTITUTE($G2172,"-"," ",LEN($G2172)-LEN(SUBSTITUTE($G2172,"-",""))),"-"," ",LEN($G2172)-LEN(SUBSTITUTE($G2172,"-",""))-1))-LEN(SUBSTITUTE(SUBSTITUTE(SUBSTITUTE($G2172,"-"," ",LEN($G2172)-LEN(SUBSTITUTE($G2172,"-",""))),"-"," ",LEN($G2172)-LEN(SUBSTITUTE($G2172,"-",""))-1),".","")))=0,SUBSTITUTE(SUBSTITUTE($G2172,"-"," ",LEN($G2172)-LEN(SUBSTITUTE($G2172,"-",""))),"-"," ",LEN($G2172)-LEN(SUBSTITUTE($G2172,"-",""))-1),SUBSTITUTE(SUBSTITUTE(SUBSTITUTE($G2172,"-"," ",LEN($G2172)-LEN(SUBSTITUTE($G2172,"-",""))),"-"," ",LEN($G2172)-LEN(SUBSTITUTE($G2172,"-",""))-1),"."," ",(LEN(SUBSTITUTE(SUBSTITUTE($G2172,"-"," ",LEN($G2172)-LEN(SUBSTITUTE($G2172,"-",""))),"-"," ",LEN($G2172)-LEN(SUBSTITUTE($G2172,"-",""))-1))-LEN(SUBSTITUTE(SUBSTITUTE(SUBSTITUTE($G2172,"-"," ",LEN($G2172)-LEN(SUBSTITUTE($G2172,"-",""))),"-"," ",LEN($G2172)-LEN(SUBSTITUTE($G2172,"-",""))-1),".",""))))),$G2172)))</f>
        <v/>
      </c>
    </row>
    <row r="2173">
      <c r="A2173" s="58" t="n"/>
      <c r="B2173" s="58">
        <f>IF($H2173="","",LEFT($H2173,FIND(" ",$H2173&amp;" ")-1))</f>
        <v/>
      </c>
      <c r="C2173" s="58">
        <f>IF($H2173="","",IFERROR(MID($H2173&amp;" ",FIND("|",SUBSTITUTE($H2173&amp;" "," ","|",1))+1,FIND("|",SUBSTITUTE($H2173&amp;" "," ","|",2))-FIND("|",SUBSTITUTE($H2173&amp;" "," ","|",1))-1),""))</f>
        <v/>
      </c>
      <c r="D2173" s="58">
        <f>IF($H2173="","",IFERROR(MID($H2173&amp;" ",FIND("|",SUBSTITUTE($H2173&amp;" "," ","|",2))+1,FIND("|",SUBSTITUTE($H2173&amp;" "," ","|",3))-FIND("|",SUBSTITUTE($H2173&amp;" "," ","|",2))-1),""))</f>
        <v/>
      </c>
      <c r="E2173" s="58">
        <f>IF($H2173="","",IFERROR(MID($H2173&amp;" ",FIND("|",SUBSTITUTE($H2173&amp;" "," ","|",3))+1,FIND("|",SUBSTITUTE($H2173&amp;" "," ","|",4))-FIND("|",SUBSTITUTE($H2173&amp;" "," ","|",3))-1),""))</f>
        <v/>
      </c>
      <c r="F2173" s="59">
        <f>IF($H2173="","",IFERROR(VALUE(IFERROR(MID($H2173&amp;" ",FIND("|",SUBSTITUTE($H2173&amp;" "," ","|",4))+1,FIND("|",SUBSTITUTE($H2173&amp;" "," ","|",5))-FIND("|",SUBSTITUTE($H2173&amp;" "," ","|",4))-1),""))/86400+25569+9/24,""))</f>
        <v/>
      </c>
      <c r="G2173" s="58">
        <f>TRIM(SUBSTITUTE(SUBSTITUTE(SUBSTITUTE($A2173,CHAR(9)," ")," "," "),CHAR(13),""))</f>
        <v/>
      </c>
      <c r="H2173" s="58">
        <f>IF($G2173="","",IF(ISNUMBER(FIND(" ",$G2173)),$G2173,IFERROR(IF((LEN(SUBSTITUTE(SUBSTITUTE($G2173,"-"," ",LEN($G2173)-LEN(SUBSTITUTE($G2173,"-",""))),"-"," ",LEN($G2173)-LEN(SUBSTITUTE($G2173,"-",""))-1))-LEN(SUBSTITUTE(SUBSTITUTE(SUBSTITUTE($G2173,"-"," ",LEN($G2173)-LEN(SUBSTITUTE($G2173,"-",""))),"-"," ",LEN($G2173)-LEN(SUBSTITUTE($G2173,"-",""))-1),".","")))=0,SUBSTITUTE(SUBSTITUTE($G2173,"-"," ",LEN($G2173)-LEN(SUBSTITUTE($G2173,"-",""))),"-"," ",LEN($G2173)-LEN(SUBSTITUTE($G2173,"-",""))-1),SUBSTITUTE(SUBSTITUTE(SUBSTITUTE($G2173,"-"," ",LEN($G2173)-LEN(SUBSTITUTE($G2173,"-",""))),"-"," ",LEN($G2173)-LEN(SUBSTITUTE($G2173,"-",""))-1),"."," ",(LEN(SUBSTITUTE(SUBSTITUTE($G2173,"-"," ",LEN($G2173)-LEN(SUBSTITUTE($G2173,"-",""))),"-"," ",LEN($G2173)-LEN(SUBSTITUTE($G2173,"-",""))-1))-LEN(SUBSTITUTE(SUBSTITUTE(SUBSTITUTE($G2173,"-"," ",LEN($G2173)-LEN(SUBSTITUTE($G2173,"-",""))),"-"," ",LEN($G2173)-LEN(SUBSTITUTE($G2173,"-",""))-1),".",""))))),$G2173)))</f>
        <v/>
      </c>
    </row>
    <row r="2174">
      <c r="A2174" s="58" t="n"/>
      <c r="B2174" s="58">
        <f>IF($H2174="","",LEFT($H2174,FIND(" ",$H2174&amp;" ")-1))</f>
        <v/>
      </c>
      <c r="C2174" s="58">
        <f>IF($H2174="","",IFERROR(MID($H2174&amp;" ",FIND("|",SUBSTITUTE($H2174&amp;" "," ","|",1))+1,FIND("|",SUBSTITUTE($H2174&amp;" "," ","|",2))-FIND("|",SUBSTITUTE($H2174&amp;" "," ","|",1))-1),""))</f>
        <v/>
      </c>
      <c r="D2174" s="58">
        <f>IF($H2174="","",IFERROR(MID($H2174&amp;" ",FIND("|",SUBSTITUTE($H2174&amp;" "," ","|",2))+1,FIND("|",SUBSTITUTE($H2174&amp;" "," ","|",3))-FIND("|",SUBSTITUTE($H2174&amp;" "," ","|",2))-1),""))</f>
        <v/>
      </c>
      <c r="E2174" s="58">
        <f>IF($H2174="","",IFERROR(MID($H2174&amp;" ",FIND("|",SUBSTITUTE($H2174&amp;" "," ","|",3))+1,FIND("|",SUBSTITUTE($H2174&amp;" "," ","|",4))-FIND("|",SUBSTITUTE($H2174&amp;" "," ","|",3))-1),""))</f>
        <v/>
      </c>
      <c r="F2174" s="59">
        <f>IF($H2174="","",IFERROR(VALUE(IFERROR(MID($H2174&amp;" ",FIND("|",SUBSTITUTE($H2174&amp;" "," ","|",4))+1,FIND("|",SUBSTITUTE($H2174&amp;" "," ","|",5))-FIND("|",SUBSTITUTE($H2174&amp;" "," ","|",4))-1),""))/86400+25569+9/24,""))</f>
        <v/>
      </c>
      <c r="G2174" s="58">
        <f>TRIM(SUBSTITUTE(SUBSTITUTE(SUBSTITUTE($A2174,CHAR(9)," ")," "," "),CHAR(13),""))</f>
        <v/>
      </c>
      <c r="H2174" s="58">
        <f>IF($G2174="","",IF(ISNUMBER(FIND(" ",$G2174)),$G2174,IFERROR(IF((LEN(SUBSTITUTE(SUBSTITUTE($G2174,"-"," ",LEN($G2174)-LEN(SUBSTITUTE($G2174,"-",""))),"-"," ",LEN($G2174)-LEN(SUBSTITUTE($G2174,"-",""))-1))-LEN(SUBSTITUTE(SUBSTITUTE(SUBSTITUTE($G2174,"-"," ",LEN($G2174)-LEN(SUBSTITUTE($G2174,"-",""))),"-"," ",LEN($G2174)-LEN(SUBSTITUTE($G2174,"-",""))-1),".","")))=0,SUBSTITUTE(SUBSTITUTE($G2174,"-"," ",LEN($G2174)-LEN(SUBSTITUTE($G2174,"-",""))),"-"," ",LEN($G2174)-LEN(SUBSTITUTE($G2174,"-",""))-1),SUBSTITUTE(SUBSTITUTE(SUBSTITUTE($G2174,"-"," ",LEN($G2174)-LEN(SUBSTITUTE($G2174,"-",""))),"-"," ",LEN($G2174)-LEN(SUBSTITUTE($G2174,"-",""))-1),"."," ",(LEN(SUBSTITUTE(SUBSTITUTE($G2174,"-"," ",LEN($G2174)-LEN(SUBSTITUTE($G2174,"-",""))),"-"," ",LEN($G2174)-LEN(SUBSTITUTE($G2174,"-",""))-1))-LEN(SUBSTITUTE(SUBSTITUTE(SUBSTITUTE($G2174,"-"," ",LEN($G2174)-LEN(SUBSTITUTE($G2174,"-",""))),"-"," ",LEN($G2174)-LEN(SUBSTITUTE($G2174,"-",""))-1),".",""))))),$G2174)))</f>
        <v/>
      </c>
    </row>
    <row r="2175">
      <c r="A2175" s="58" t="n"/>
      <c r="B2175" s="58">
        <f>IF($H2175="","",LEFT($H2175,FIND(" ",$H2175&amp;" ")-1))</f>
        <v/>
      </c>
      <c r="C2175" s="58">
        <f>IF($H2175="","",IFERROR(MID($H2175&amp;" ",FIND("|",SUBSTITUTE($H2175&amp;" "," ","|",1))+1,FIND("|",SUBSTITUTE($H2175&amp;" "," ","|",2))-FIND("|",SUBSTITUTE($H2175&amp;" "," ","|",1))-1),""))</f>
        <v/>
      </c>
      <c r="D2175" s="58">
        <f>IF($H2175="","",IFERROR(MID($H2175&amp;" ",FIND("|",SUBSTITUTE($H2175&amp;" "," ","|",2))+1,FIND("|",SUBSTITUTE($H2175&amp;" "," ","|",3))-FIND("|",SUBSTITUTE($H2175&amp;" "," ","|",2))-1),""))</f>
        <v/>
      </c>
      <c r="E2175" s="58">
        <f>IF($H2175="","",IFERROR(MID($H2175&amp;" ",FIND("|",SUBSTITUTE($H2175&amp;" "," ","|",3))+1,FIND("|",SUBSTITUTE($H2175&amp;" "," ","|",4))-FIND("|",SUBSTITUTE($H2175&amp;" "," ","|",3))-1),""))</f>
        <v/>
      </c>
      <c r="F2175" s="59">
        <f>IF($H2175="","",IFERROR(VALUE(IFERROR(MID($H2175&amp;" ",FIND("|",SUBSTITUTE($H2175&amp;" "," ","|",4))+1,FIND("|",SUBSTITUTE($H2175&amp;" "," ","|",5))-FIND("|",SUBSTITUTE($H2175&amp;" "," ","|",4))-1),""))/86400+25569+9/24,""))</f>
        <v/>
      </c>
      <c r="G2175" s="58">
        <f>TRIM(SUBSTITUTE(SUBSTITUTE(SUBSTITUTE($A2175,CHAR(9)," ")," "," "),CHAR(13),""))</f>
        <v/>
      </c>
      <c r="H2175" s="58">
        <f>IF($G2175="","",IF(ISNUMBER(FIND(" ",$G2175)),$G2175,IFERROR(IF((LEN(SUBSTITUTE(SUBSTITUTE($G2175,"-"," ",LEN($G2175)-LEN(SUBSTITUTE($G2175,"-",""))),"-"," ",LEN($G2175)-LEN(SUBSTITUTE($G2175,"-",""))-1))-LEN(SUBSTITUTE(SUBSTITUTE(SUBSTITUTE($G2175,"-"," ",LEN($G2175)-LEN(SUBSTITUTE($G2175,"-",""))),"-"," ",LEN($G2175)-LEN(SUBSTITUTE($G2175,"-",""))-1),".","")))=0,SUBSTITUTE(SUBSTITUTE($G2175,"-"," ",LEN($G2175)-LEN(SUBSTITUTE($G2175,"-",""))),"-"," ",LEN($G2175)-LEN(SUBSTITUTE($G2175,"-",""))-1),SUBSTITUTE(SUBSTITUTE(SUBSTITUTE($G2175,"-"," ",LEN($G2175)-LEN(SUBSTITUTE($G2175,"-",""))),"-"," ",LEN($G2175)-LEN(SUBSTITUTE($G2175,"-",""))-1),"."," ",(LEN(SUBSTITUTE(SUBSTITUTE($G2175,"-"," ",LEN($G2175)-LEN(SUBSTITUTE($G2175,"-",""))),"-"," ",LEN($G2175)-LEN(SUBSTITUTE($G2175,"-",""))-1))-LEN(SUBSTITUTE(SUBSTITUTE(SUBSTITUTE($G2175,"-"," ",LEN($G2175)-LEN(SUBSTITUTE($G2175,"-",""))),"-"," ",LEN($G2175)-LEN(SUBSTITUTE($G2175,"-",""))-1),".",""))))),$G2175)))</f>
        <v/>
      </c>
    </row>
    <row r="2176">
      <c r="A2176" s="58" t="n"/>
      <c r="B2176" s="58">
        <f>IF($H2176="","",LEFT($H2176,FIND(" ",$H2176&amp;" ")-1))</f>
        <v/>
      </c>
      <c r="C2176" s="58">
        <f>IF($H2176="","",IFERROR(MID($H2176&amp;" ",FIND("|",SUBSTITUTE($H2176&amp;" "," ","|",1))+1,FIND("|",SUBSTITUTE($H2176&amp;" "," ","|",2))-FIND("|",SUBSTITUTE($H2176&amp;" "," ","|",1))-1),""))</f>
        <v/>
      </c>
      <c r="D2176" s="58">
        <f>IF($H2176="","",IFERROR(MID($H2176&amp;" ",FIND("|",SUBSTITUTE($H2176&amp;" "," ","|",2))+1,FIND("|",SUBSTITUTE($H2176&amp;" "," ","|",3))-FIND("|",SUBSTITUTE($H2176&amp;" "," ","|",2))-1),""))</f>
        <v/>
      </c>
      <c r="E2176" s="58">
        <f>IF($H2176="","",IFERROR(MID($H2176&amp;" ",FIND("|",SUBSTITUTE($H2176&amp;" "," ","|",3))+1,FIND("|",SUBSTITUTE($H2176&amp;" "," ","|",4))-FIND("|",SUBSTITUTE($H2176&amp;" "," ","|",3))-1),""))</f>
        <v/>
      </c>
      <c r="F2176" s="59">
        <f>IF($H2176="","",IFERROR(VALUE(IFERROR(MID($H2176&amp;" ",FIND("|",SUBSTITUTE($H2176&amp;" "," ","|",4))+1,FIND("|",SUBSTITUTE($H2176&amp;" "," ","|",5))-FIND("|",SUBSTITUTE($H2176&amp;" "," ","|",4))-1),""))/86400+25569+9/24,""))</f>
        <v/>
      </c>
      <c r="G2176" s="58">
        <f>TRIM(SUBSTITUTE(SUBSTITUTE(SUBSTITUTE($A2176,CHAR(9)," ")," "," "),CHAR(13),""))</f>
        <v/>
      </c>
      <c r="H2176" s="58">
        <f>IF($G2176="","",IF(ISNUMBER(FIND(" ",$G2176)),$G2176,IFERROR(IF((LEN(SUBSTITUTE(SUBSTITUTE($G2176,"-"," ",LEN($G2176)-LEN(SUBSTITUTE($G2176,"-",""))),"-"," ",LEN($G2176)-LEN(SUBSTITUTE($G2176,"-",""))-1))-LEN(SUBSTITUTE(SUBSTITUTE(SUBSTITUTE($G2176,"-"," ",LEN($G2176)-LEN(SUBSTITUTE($G2176,"-",""))),"-"," ",LEN($G2176)-LEN(SUBSTITUTE($G2176,"-",""))-1),".","")))=0,SUBSTITUTE(SUBSTITUTE($G2176,"-"," ",LEN($G2176)-LEN(SUBSTITUTE($G2176,"-",""))),"-"," ",LEN($G2176)-LEN(SUBSTITUTE($G2176,"-",""))-1),SUBSTITUTE(SUBSTITUTE(SUBSTITUTE($G2176,"-"," ",LEN($G2176)-LEN(SUBSTITUTE($G2176,"-",""))),"-"," ",LEN($G2176)-LEN(SUBSTITUTE($G2176,"-",""))-1),"."," ",(LEN(SUBSTITUTE(SUBSTITUTE($G2176,"-"," ",LEN($G2176)-LEN(SUBSTITUTE($G2176,"-",""))),"-"," ",LEN($G2176)-LEN(SUBSTITUTE($G2176,"-",""))-1))-LEN(SUBSTITUTE(SUBSTITUTE(SUBSTITUTE($G2176,"-"," ",LEN($G2176)-LEN(SUBSTITUTE($G2176,"-",""))),"-"," ",LEN($G2176)-LEN(SUBSTITUTE($G2176,"-",""))-1),".",""))))),$G2176)))</f>
        <v/>
      </c>
    </row>
    <row r="2177">
      <c r="A2177" s="58" t="n"/>
      <c r="B2177" s="58">
        <f>IF($H2177="","",LEFT($H2177,FIND(" ",$H2177&amp;" ")-1))</f>
        <v/>
      </c>
      <c r="C2177" s="58">
        <f>IF($H2177="","",IFERROR(MID($H2177&amp;" ",FIND("|",SUBSTITUTE($H2177&amp;" "," ","|",1))+1,FIND("|",SUBSTITUTE($H2177&amp;" "," ","|",2))-FIND("|",SUBSTITUTE($H2177&amp;" "," ","|",1))-1),""))</f>
        <v/>
      </c>
      <c r="D2177" s="58">
        <f>IF($H2177="","",IFERROR(MID($H2177&amp;" ",FIND("|",SUBSTITUTE($H2177&amp;" "," ","|",2))+1,FIND("|",SUBSTITUTE($H2177&amp;" "," ","|",3))-FIND("|",SUBSTITUTE($H2177&amp;" "," ","|",2))-1),""))</f>
        <v/>
      </c>
      <c r="E2177" s="58">
        <f>IF($H2177="","",IFERROR(MID($H2177&amp;" ",FIND("|",SUBSTITUTE($H2177&amp;" "," ","|",3))+1,FIND("|",SUBSTITUTE($H2177&amp;" "," ","|",4))-FIND("|",SUBSTITUTE($H2177&amp;" "," ","|",3))-1),""))</f>
        <v/>
      </c>
      <c r="F2177" s="59">
        <f>IF($H2177="","",IFERROR(VALUE(IFERROR(MID($H2177&amp;" ",FIND("|",SUBSTITUTE($H2177&amp;" "," ","|",4))+1,FIND("|",SUBSTITUTE($H2177&amp;" "," ","|",5))-FIND("|",SUBSTITUTE($H2177&amp;" "," ","|",4))-1),""))/86400+25569+9/24,""))</f>
        <v/>
      </c>
      <c r="G2177" s="58">
        <f>TRIM(SUBSTITUTE(SUBSTITUTE(SUBSTITUTE($A2177,CHAR(9)," ")," "," "),CHAR(13),""))</f>
        <v/>
      </c>
      <c r="H2177" s="58">
        <f>IF($G2177="","",IF(ISNUMBER(FIND(" ",$G2177)),$G2177,IFERROR(IF((LEN(SUBSTITUTE(SUBSTITUTE($G2177,"-"," ",LEN($G2177)-LEN(SUBSTITUTE($G2177,"-",""))),"-"," ",LEN($G2177)-LEN(SUBSTITUTE($G2177,"-",""))-1))-LEN(SUBSTITUTE(SUBSTITUTE(SUBSTITUTE($G2177,"-"," ",LEN($G2177)-LEN(SUBSTITUTE($G2177,"-",""))),"-"," ",LEN($G2177)-LEN(SUBSTITUTE($G2177,"-",""))-1),".","")))=0,SUBSTITUTE(SUBSTITUTE($G2177,"-"," ",LEN($G2177)-LEN(SUBSTITUTE($G2177,"-",""))),"-"," ",LEN($G2177)-LEN(SUBSTITUTE($G2177,"-",""))-1),SUBSTITUTE(SUBSTITUTE(SUBSTITUTE($G2177,"-"," ",LEN($G2177)-LEN(SUBSTITUTE($G2177,"-",""))),"-"," ",LEN($G2177)-LEN(SUBSTITUTE($G2177,"-",""))-1),"."," ",(LEN(SUBSTITUTE(SUBSTITUTE($G2177,"-"," ",LEN($G2177)-LEN(SUBSTITUTE($G2177,"-",""))),"-"," ",LEN($G2177)-LEN(SUBSTITUTE($G2177,"-",""))-1))-LEN(SUBSTITUTE(SUBSTITUTE(SUBSTITUTE($G2177,"-"," ",LEN($G2177)-LEN(SUBSTITUTE($G2177,"-",""))),"-"," ",LEN($G2177)-LEN(SUBSTITUTE($G2177,"-",""))-1),".",""))))),$G2177)))</f>
        <v/>
      </c>
    </row>
    <row r="2178">
      <c r="A2178" s="58" t="n"/>
      <c r="B2178" s="58">
        <f>IF($H2178="","",LEFT($H2178,FIND(" ",$H2178&amp;" ")-1))</f>
        <v/>
      </c>
      <c r="C2178" s="58">
        <f>IF($H2178="","",IFERROR(MID($H2178&amp;" ",FIND("|",SUBSTITUTE($H2178&amp;" "," ","|",1))+1,FIND("|",SUBSTITUTE($H2178&amp;" "," ","|",2))-FIND("|",SUBSTITUTE($H2178&amp;" "," ","|",1))-1),""))</f>
        <v/>
      </c>
      <c r="D2178" s="58">
        <f>IF($H2178="","",IFERROR(MID($H2178&amp;" ",FIND("|",SUBSTITUTE($H2178&amp;" "," ","|",2))+1,FIND("|",SUBSTITUTE($H2178&amp;" "," ","|",3))-FIND("|",SUBSTITUTE($H2178&amp;" "," ","|",2))-1),""))</f>
        <v/>
      </c>
      <c r="E2178" s="58">
        <f>IF($H2178="","",IFERROR(MID($H2178&amp;" ",FIND("|",SUBSTITUTE($H2178&amp;" "," ","|",3))+1,FIND("|",SUBSTITUTE($H2178&amp;" "," ","|",4))-FIND("|",SUBSTITUTE($H2178&amp;" "," ","|",3))-1),""))</f>
        <v/>
      </c>
      <c r="F2178" s="59">
        <f>IF($H2178="","",IFERROR(VALUE(IFERROR(MID($H2178&amp;" ",FIND("|",SUBSTITUTE($H2178&amp;" "," ","|",4))+1,FIND("|",SUBSTITUTE($H2178&amp;" "," ","|",5))-FIND("|",SUBSTITUTE($H2178&amp;" "," ","|",4))-1),""))/86400+25569+9/24,""))</f>
        <v/>
      </c>
      <c r="G2178" s="58">
        <f>TRIM(SUBSTITUTE(SUBSTITUTE(SUBSTITUTE($A2178,CHAR(9)," ")," "," "),CHAR(13),""))</f>
        <v/>
      </c>
      <c r="H2178" s="58">
        <f>IF($G2178="","",IF(ISNUMBER(FIND(" ",$G2178)),$G2178,IFERROR(IF((LEN(SUBSTITUTE(SUBSTITUTE($G2178,"-"," ",LEN($G2178)-LEN(SUBSTITUTE($G2178,"-",""))),"-"," ",LEN($G2178)-LEN(SUBSTITUTE($G2178,"-",""))-1))-LEN(SUBSTITUTE(SUBSTITUTE(SUBSTITUTE($G2178,"-"," ",LEN($G2178)-LEN(SUBSTITUTE($G2178,"-",""))),"-"," ",LEN($G2178)-LEN(SUBSTITUTE($G2178,"-",""))-1),".","")))=0,SUBSTITUTE(SUBSTITUTE($G2178,"-"," ",LEN($G2178)-LEN(SUBSTITUTE($G2178,"-",""))),"-"," ",LEN($G2178)-LEN(SUBSTITUTE($G2178,"-",""))-1),SUBSTITUTE(SUBSTITUTE(SUBSTITUTE($G2178,"-"," ",LEN($G2178)-LEN(SUBSTITUTE($G2178,"-",""))),"-"," ",LEN($G2178)-LEN(SUBSTITUTE($G2178,"-",""))-1),"."," ",(LEN(SUBSTITUTE(SUBSTITUTE($G2178,"-"," ",LEN($G2178)-LEN(SUBSTITUTE($G2178,"-",""))),"-"," ",LEN($G2178)-LEN(SUBSTITUTE($G2178,"-",""))-1))-LEN(SUBSTITUTE(SUBSTITUTE(SUBSTITUTE($G2178,"-"," ",LEN($G2178)-LEN(SUBSTITUTE($G2178,"-",""))),"-"," ",LEN($G2178)-LEN(SUBSTITUTE($G2178,"-",""))-1),".",""))))),$G2178)))</f>
        <v/>
      </c>
    </row>
    <row r="2179">
      <c r="A2179" s="58" t="n"/>
      <c r="B2179" s="58">
        <f>IF($H2179="","",LEFT($H2179,FIND(" ",$H2179&amp;" ")-1))</f>
        <v/>
      </c>
      <c r="C2179" s="58">
        <f>IF($H2179="","",IFERROR(MID($H2179&amp;" ",FIND("|",SUBSTITUTE($H2179&amp;" "," ","|",1))+1,FIND("|",SUBSTITUTE($H2179&amp;" "," ","|",2))-FIND("|",SUBSTITUTE($H2179&amp;" "," ","|",1))-1),""))</f>
        <v/>
      </c>
      <c r="D2179" s="58">
        <f>IF($H2179="","",IFERROR(MID($H2179&amp;" ",FIND("|",SUBSTITUTE($H2179&amp;" "," ","|",2))+1,FIND("|",SUBSTITUTE($H2179&amp;" "," ","|",3))-FIND("|",SUBSTITUTE($H2179&amp;" "," ","|",2))-1),""))</f>
        <v/>
      </c>
      <c r="E2179" s="58">
        <f>IF($H2179="","",IFERROR(MID($H2179&amp;" ",FIND("|",SUBSTITUTE($H2179&amp;" "," ","|",3))+1,FIND("|",SUBSTITUTE($H2179&amp;" "," ","|",4))-FIND("|",SUBSTITUTE($H2179&amp;" "," ","|",3))-1),""))</f>
        <v/>
      </c>
      <c r="F2179" s="59">
        <f>IF($H2179="","",IFERROR(VALUE(IFERROR(MID($H2179&amp;" ",FIND("|",SUBSTITUTE($H2179&amp;" "," ","|",4))+1,FIND("|",SUBSTITUTE($H2179&amp;" "," ","|",5))-FIND("|",SUBSTITUTE($H2179&amp;" "," ","|",4))-1),""))/86400+25569+9/24,""))</f>
        <v/>
      </c>
      <c r="G2179" s="58">
        <f>TRIM(SUBSTITUTE(SUBSTITUTE(SUBSTITUTE($A2179,CHAR(9)," ")," "," "),CHAR(13),""))</f>
        <v/>
      </c>
      <c r="H2179" s="58">
        <f>IF($G2179="","",IF(ISNUMBER(FIND(" ",$G2179)),$G2179,IFERROR(IF((LEN(SUBSTITUTE(SUBSTITUTE($G2179,"-"," ",LEN($G2179)-LEN(SUBSTITUTE($G2179,"-",""))),"-"," ",LEN($G2179)-LEN(SUBSTITUTE($G2179,"-",""))-1))-LEN(SUBSTITUTE(SUBSTITUTE(SUBSTITUTE($G2179,"-"," ",LEN($G2179)-LEN(SUBSTITUTE($G2179,"-",""))),"-"," ",LEN($G2179)-LEN(SUBSTITUTE($G2179,"-",""))-1),".","")))=0,SUBSTITUTE(SUBSTITUTE($G2179,"-"," ",LEN($G2179)-LEN(SUBSTITUTE($G2179,"-",""))),"-"," ",LEN($G2179)-LEN(SUBSTITUTE($G2179,"-",""))-1),SUBSTITUTE(SUBSTITUTE(SUBSTITUTE($G2179,"-"," ",LEN($G2179)-LEN(SUBSTITUTE($G2179,"-",""))),"-"," ",LEN($G2179)-LEN(SUBSTITUTE($G2179,"-",""))-1),"."," ",(LEN(SUBSTITUTE(SUBSTITUTE($G2179,"-"," ",LEN($G2179)-LEN(SUBSTITUTE($G2179,"-",""))),"-"," ",LEN($G2179)-LEN(SUBSTITUTE($G2179,"-",""))-1))-LEN(SUBSTITUTE(SUBSTITUTE(SUBSTITUTE($G2179,"-"," ",LEN($G2179)-LEN(SUBSTITUTE($G2179,"-",""))),"-"," ",LEN($G2179)-LEN(SUBSTITUTE($G2179,"-",""))-1),".",""))))),$G2179)))</f>
        <v/>
      </c>
    </row>
    <row r="2180">
      <c r="A2180" s="58" t="n"/>
      <c r="B2180" s="58">
        <f>IF($H2180="","",LEFT($H2180,FIND(" ",$H2180&amp;" ")-1))</f>
        <v/>
      </c>
      <c r="C2180" s="58">
        <f>IF($H2180="","",IFERROR(MID($H2180&amp;" ",FIND("|",SUBSTITUTE($H2180&amp;" "," ","|",1))+1,FIND("|",SUBSTITUTE($H2180&amp;" "," ","|",2))-FIND("|",SUBSTITUTE($H2180&amp;" "," ","|",1))-1),""))</f>
        <v/>
      </c>
      <c r="D2180" s="58">
        <f>IF($H2180="","",IFERROR(MID($H2180&amp;" ",FIND("|",SUBSTITUTE($H2180&amp;" "," ","|",2))+1,FIND("|",SUBSTITUTE($H2180&amp;" "," ","|",3))-FIND("|",SUBSTITUTE($H2180&amp;" "," ","|",2))-1),""))</f>
        <v/>
      </c>
      <c r="E2180" s="58">
        <f>IF($H2180="","",IFERROR(MID($H2180&amp;" ",FIND("|",SUBSTITUTE($H2180&amp;" "," ","|",3))+1,FIND("|",SUBSTITUTE($H2180&amp;" "," ","|",4))-FIND("|",SUBSTITUTE($H2180&amp;" "," ","|",3))-1),""))</f>
        <v/>
      </c>
      <c r="F2180" s="59">
        <f>IF($H2180="","",IFERROR(VALUE(IFERROR(MID($H2180&amp;" ",FIND("|",SUBSTITUTE($H2180&amp;" "," ","|",4))+1,FIND("|",SUBSTITUTE($H2180&amp;" "," ","|",5))-FIND("|",SUBSTITUTE($H2180&amp;" "," ","|",4))-1),""))/86400+25569+9/24,""))</f>
        <v/>
      </c>
      <c r="G2180" s="58">
        <f>TRIM(SUBSTITUTE(SUBSTITUTE(SUBSTITUTE($A2180,CHAR(9)," ")," "," "),CHAR(13),""))</f>
        <v/>
      </c>
      <c r="H2180" s="58">
        <f>IF($G2180="","",IF(ISNUMBER(FIND(" ",$G2180)),$G2180,IFERROR(IF((LEN(SUBSTITUTE(SUBSTITUTE($G2180,"-"," ",LEN($G2180)-LEN(SUBSTITUTE($G2180,"-",""))),"-"," ",LEN($G2180)-LEN(SUBSTITUTE($G2180,"-",""))-1))-LEN(SUBSTITUTE(SUBSTITUTE(SUBSTITUTE($G2180,"-"," ",LEN($G2180)-LEN(SUBSTITUTE($G2180,"-",""))),"-"," ",LEN($G2180)-LEN(SUBSTITUTE($G2180,"-",""))-1),".","")))=0,SUBSTITUTE(SUBSTITUTE($G2180,"-"," ",LEN($G2180)-LEN(SUBSTITUTE($G2180,"-",""))),"-"," ",LEN($G2180)-LEN(SUBSTITUTE($G2180,"-",""))-1),SUBSTITUTE(SUBSTITUTE(SUBSTITUTE($G2180,"-"," ",LEN($G2180)-LEN(SUBSTITUTE($G2180,"-",""))),"-"," ",LEN($G2180)-LEN(SUBSTITUTE($G2180,"-",""))-1),"."," ",(LEN(SUBSTITUTE(SUBSTITUTE($G2180,"-"," ",LEN($G2180)-LEN(SUBSTITUTE($G2180,"-",""))),"-"," ",LEN($G2180)-LEN(SUBSTITUTE($G2180,"-",""))-1))-LEN(SUBSTITUTE(SUBSTITUTE(SUBSTITUTE($G2180,"-"," ",LEN($G2180)-LEN(SUBSTITUTE($G2180,"-",""))),"-"," ",LEN($G2180)-LEN(SUBSTITUTE($G2180,"-",""))-1),".",""))))),$G2180)))</f>
        <v/>
      </c>
    </row>
    <row r="2181">
      <c r="A2181" s="58" t="n"/>
      <c r="B2181" s="58">
        <f>IF($H2181="","",LEFT($H2181,FIND(" ",$H2181&amp;" ")-1))</f>
        <v/>
      </c>
      <c r="C2181" s="58">
        <f>IF($H2181="","",IFERROR(MID($H2181&amp;" ",FIND("|",SUBSTITUTE($H2181&amp;" "," ","|",1))+1,FIND("|",SUBSTITUTE($H2181&amp;" "," ","|",2))-FIND("|",SUBSTITUTE($H2181&amp;" "," ","|",1))-1),""))</f>
        <v/>
      </c>
      <c r="D2181" s="58">
        <f>IF($H2181="","",IFERROR(MID($H2181&amp;" ",FIND("|",SUBSTITUTE($H2181&amp;" "," ","|",2))+1,FIND("|",SUBSTITUTE($H2181&amp;" "," ","|",3))-FIND("|",SUBSTITUTE($H2181&amp;" "," ","|",2))-1),""))</f>
        <v/>
      </c>
      <c r="E2181" s="58">
        <f>IF($H2181="","",IFERROR(MID($H2181&amp;" ",FIND("|",SUBSTITUTE($H2181&amp;" "," ","|",3))+1,FIND("|",SUBSTITUTE($H2181&amp;" "," ","|",4))-FIND("|",SUBSTITUTE($H2181&amp;" "," ","|",3))-1),""))</f>
        <v/>
      </c>
      <c r="F2181" s="59">
        <f>IF($H2181="","",IFERROR(VALUE(IFERROR(MID($H2181&amp;" ",FIND("|",SUBSTITUTE($H2181&amp;" "," ","|",4))+1,FIND("|",SUBSTITUTE($H2181&amp;" "," ","|",5))-FIND("|",SUBSTITUTE($H2181&amp;" "," ","|",4))-1),""))/86400+25569+9/24,""))</f>
        <v/>
      </c>
      <c r="G2181" s="58">
        <f>TRIM(SUBSTITUTE(SUBSTITUTE(SUBSTITUTE($A2181,CHAR(9)," ")," "," "),CHAR(13),""))</f>
        <v/>
      </c>
      <c r="H2181" s="58">
        <f>IF($G2181="","",IF(ISNUMBER(FIND(" ",$G2181)),$G2181,IFERROR(IF((LEN(SUBSTITUTE(SUBSTITUTE($G2181,"-"," ",LEN($G2181)-LEN(SUBSTITUTE($G2181,"-",""))),"-"," ",LEN($G2181)-LEN(SUBSTITUTE($G2181,"-",""))-1))-LEN(SUBSTITUTE(SUBSTITUTE(SUBSTITUTE($G2181,"-"," ",LEN($G2181)-LEN(SUBSTITUTE($G2181,"-",""))),"-"," ",LEN($G2181)-LEN(SUBSTITUTE($G2181,"-",""))-1),".","")))=0,SUBSTITUTE(SUBSTITUTE($G2181,"-"," ",LEN($G2181)-LEN(SUBSTITUTE($G2181,"-",""))),"-"," ",LEN($G2181)-LEN(SUBSTITUTE($G2181,"-",""))-1),SUBSTITUTE(SUBSTITUTE(SUBSTITUTE($G2181,"-"," ",LEN($G2181)-LEN(SUBSTITUTE($G2181,"-",""))),"-"," ",LEN($G2181)-LEN(SUBSTITUTE($G2181,"-",""))-1),"."," ",(LEN(SUBSTITUTE(SUBSTITUTE($G2181,"-"," ",LEN($G2181)-LEN(SUBSTITUTE($G2181,"-",""))),"-"," ",LEN($G2181)-LEN(SUBSTITUTE($G2181,"-",""))-1))-LEN(SUBSTITUTE(SUBSTITUTE(SUBSTITUTE($G2181,"-"," ",LEN($G2181)-LEN(SUBSTITUTE($G2181,"-",""))),"-"," ",LEN($G2181)-LEN(SUBSTITUTE($G2181,"-",""))-1),".",""))))),$G2181)))</f>
        <v/>
      </c>
    </row>
    <row r="2182">
      <c r="A2182" s="58" t="n"/>
      <c r="B2182" s="58">
        <f>IF($H2182="","",LEFT($H2182,FIND(" ",$H2182&amp;" ")-1))</f>
        <v/>
      </c>
      <c r="C2182" s="58">
        <f>IF($H2182="","",IFERROR(MID($H2182&amp;" ",FIND("|",SUBSTITUTE($H2182&amp;" "," ","|",1))+1,FIND("|",SUBSTITUTE($H2182&amp;" "," ","|",2))-FIND("|",SUBSTITUTE($H2182&amp;" "," ","|",1))-1),""))</f>
        <v/>
      </c>
      <c r="D2182" s="58">
        <f>IF($H2182="","",IFERROR(MID($H2182&amp;" ",FIND("|",SUBSTITUTE($H2182&amp;" "," ","|",2))+1,FIND("|",SUBSTITUTE($H2182&amp;" "," ","|",3))-FIND("|",SUBSTITUTE($H2182&amp;" "," ","|",2))-1),""))</f>
        <v/>
      </c>
      <c r="E2182" s="58">
        <f>IF($H2182="","",IFERROR(MID($H2182&amp;" ",FIND("|",SUBSTITUTE($H2182&amp;" "," ","|",3))+1,FIND("|",SUBSTITUTE($H2182&amp;" "," ","|",4))-FIND("|",SUBSTITUTE($H2182&amp;" "," ","|",3))-1),""))</f>
        <v/>
      </c>
      <c r="F2182" s="59">
        <f>IF($H2182="","",IFERROR(VALUE(IFERROR(MID($H2182&amp;" ",FIND("|",SUBSTITUTE($H2182&amp;" "," ","|",4))+1,FIND("|",SUBSTITUTE($H2182&amp;" "," ","|",5))-FIND("|",SUBSTITUTE($H2182&amp;" "," ","|",4))-1),""))/86400+25569+9/24,""))</f>
        <v/>
      </c>
      <c r="G2182" s="58">
        <f>TRIM(SUBSTITUTE(SUBSTITUTE(SUBSTITUTE($A2182,CHAR(9)," ")," "," "),CHAR(13),""))</f>
        <v/>
      </c>
      <c r="H2182" s="58">
        <f>IF($G2182="","",IF(ISNUMBER(FIND(" ",$G2182)),$G2182,IFERROR(IF((LEN(SUBSTITUTE(SUBSTITUTE($G2182,"-"," ",LEN($G2182)-LEN(SUBSTITUTE($G2182,"-",""))),"-"," ",LEN($G2182)-LEN(SUBSTITUTE($G2182,"-",""))-1))-LEN(SUBSTITUTE(SUBSTITUTE(SUBSTITUTE($G2182,"-"," ",LEN($G2182)-LEN(SUBSTITUTE($G2182,"-",""))),"-"," ",LEN($G2182)-LEN(SUBSTITUTE($G2182,"-",""))-1),".","")))=0,SUBSTITUTE(SUBSTITUTE($G2182,"-"," ",LEN($G2182)-LEN(SUBSTITUTE($G2182,"-",""))),"-"," ",LEN($G2182)-LEN(SUBSTITUTE($G2182,"-",""))-1),SUBSTITUTE(SUBSTITUTE(SUBSTITUTE($G2182,"-"," ",LEN($G2182)-LEN(SUBSTITUTE($G2182,"-",""))),"-"," ",LEN($G2182)-LEN(SUBSTITUTE($G2182,"-",""))-1),"."," ",(LEN(SUBSTITUTE(SUBSTITUTE($G2182,"-"," ",LEN($G2182)-LEN(SUBSTITUTE($G2182,"-",""))),"-"," ",LEN($G2182)-LEN(SUBSTITUTE($G2182,"-",""))-1))-LEN(SUBSTITUTE(SUBSTITUTE(SUBSTITUTE($G2182,"-"," ",LEN($G2182)-LEN(SUBSTITUTE($G2182,"-",""))),"-"," ",LEN($G2182)-LEN(SUBSTITUTE($G2182,"-",""))-1),".",""))))),$G2182)))</f>
        <v/>
      </c>
    </row>
    <row r="2183">
      <c r="A2183" s="58" t="n"/>
      <c r="B2183" s="58">
        <f>IF($H2183="","",LEFT($H2183,FIND(" ",$H2183&amp;" ")-1))</f>
        <v/>
      </c>
      <c r="C2183" s="58">
        <f>IF($H2183="","",IFERROR(MID($H2183&amp;" ",FIND("|",SUBSTITUTE($H2183&amp;" "," ","|",1))+1,FIND("|",SUBSTITUTE($H2183&amp;" "," ","|",2))-FIND("|",SUBSTITUTE($H2183&amp;" "," ","|",1))-1),""))</f>
        <v/>
      </c>
      <c r="D2183" s="58">
        <f>IF($H2183="","",IFERROR(MID($H2183&amp;" ",FIND("|",SUBSTITUTE($H2183&amp;" "," ","|",2))+1,FIND("|",SUBSTITUTE($H2183&amp;" "," ","|",3))-FIND("|",SUBSTITUTE($H2183&amp;" "," ","|",2))-1),""))</f>
        <v/>
      </c>
      <c r="E2183" s="58">
        <f>IF($H2183="","",IFERROR(MID($H2183&amp;" ",FIND("|",SUBSTITUTE($H2183&amp;" "," ","|",3))+1,FIND("|",SUBSTITUTE($H2183&amp;" "," ","|",4))-FIND("|",SUBSTITUTE($H2183&amp;" "," ","|",3))-1),""))</f>
        <v/>
      </c>
      <c r="F2183" s="59">
        <f>IF($H2183="","",IFERROR(VALUE(IFERROR(MID($H2183&amp;" ",FIND("|",SUBSTITUTE($H2183&amp;" "," ","|",4))+1,FIND("|",SUBSTITUTE($H2183&amp;" "," ","|",5))-FIND("|",SUBSTITUTE($H2183&amp;" "," ","|",4))-1),""))/86400+25569+9/24,""))</f>
        <v/>
      </c>
      <c r="G2183" s="58">
        <f>TRIM(SUBSTITUTE(SUBSTITUTE(SUBSTITUTE($A2183,CHAR(9)," ")," "," "),CHAR(13),""))</f>
        <v/>
      </c>
      <c r="H2183" s="58">
        <f>IF($G2183="","",IF(ISNUMBER(FIND(" ",$G2183)),$G2183,IFERROR(IF((LEN(SUBSTITUTE(SUBSTITUTE($G2183,"-"," ",LEN($G2183)-LEN(SUBSTITUTE($G2183,"-",""))),"-"," ",LEN($G2183)-LEN(SUBSTITUTE($G2183,"-",""))-1))-LEN(SUBSTITUTE(SUBSTITUTE(SUBSTITUTE($G2183,"-"," ",LEN($G2183)-LEN(SUBSTITUTE($G2183,"-",""))),"-"," ",LEN($G2183)-LEN(SUBSTITUTE($G2183,"-",""))-1),".","")))=0,SUBSTITUTE(SUBSTITUTE($G2183,"-"," ",LEN($G2183)-LEN(SUBSTITUTE($G2183,"-",""))),"-"," ",LEN($G2183)-LEN(SUBSTITUTE($G2183,"-",""))-1),SUBSTITUTE(SUBSTITUTE(SUBSTITUTE($G2183,"-"," ",LEN($G2183)-LEN(SUBSTITUTE($G2183,"-",""))),"-"," ",LEN($G2183)-LEN(SUBSTITUTE($G2183,"-",""))-1),"."," ",(LEN(SUBSTITUTE(SUBSTITUTE($G2183,"-"," ",LEN($G2183)-LEN(SUBSTITUTE($G2183,"-",""))),"-"," ",LEN($G2183)-LEN(SUBSTITUTE($G2183,"-",""))-1))-LEN(SUBSTITUTE(SUBSTITUTE(SUBSTITUTE($G2183,"-"," ",LEN($G2183)-LEN(SUBSTITUTE($G2183,"-",""))),"-"," ",LEN($G2183)-LEN(SUBSTITUTE($G2183,"-",""))-1),".",""))))),$G2183)))</f>
        <v/>
      </c>
    </row>
    <row r="2184">
      <c r="A2184" s="58" t="n"/>
      <c r="B2184" s="58">
        <f>IF($H2184="","",LEFT($H2184,FIND(" ",$H2184&amp;" ")-1))</f>
        <v/>
      </c>
      <c r="C2184" s="58">
        <f>IF($H2184="","",IFERROR(MID($H2184&amp;" ",FIND("|",SUBSTITUTE($H2184&amp;" "," ","|",1))+1,FIND("|",SUBSTITUTE($H2184&amp;" "," ","|",2))-FIND("|",SUBSTITUTE($H2184&amp;" "," ","|",1))-1),""))</f>
        <v/>
      </c>
      <c r="D2184" s="58">
        <f>IF($H2184="","",IFERROR(MID($H2184&amp;" ",FIND("|",SUBSTITUTE($H2184&amp;" "," ","|",2))+1,FIND("|",SUBSTITUTE($H2184&amp;" "," ","|",3))-FIND("|",SUBSTITUTE($H2184&amp;" "," ","|",2))-1),""))</f>
        <v/>
      </c>
      <c r="E2184" s="58">
        <f>IF($H2184="","",IFERROR(MID($H2184&amp;" ",FIND("|",SUBSTITUTE($H2184&amp;" "," ","|",3))+1,FIND("|",SUBSTITUTE($H2184&amp;" "," ","|",4))-FIND("|",SUBSTITUTE($H2184&amp;" "," ","|",3))-1),""))</f>
        <v/>
      </c>
      <c r="F2184" s="59">
        <f>IF($H2184="","",IFERROR(VALUE(IFERROR(MID($H2184&amp;" ",FIND("|",SUBSTITUTE($H2184&amp;" "," ","|",4))+1,FIND("|",SUBSTITUTE($H2184&amp;" "," ","|",5))-FIND("|",SUBSTITUTE($H2184&amp;" "," ","|",4))-1),""))/86400+25569+9/24,""))</f>
        <v/>
      </c>
      <c r="G2184" s="58">
        <f>TRIM(SUBSTITUTE(SUBSTITUTE(SUBSTITUTE($A2184,CHAR(9)," ")," "," "),CHAR(13),""))</f>
        <v/>
      </c>
      <c r="H2184" s="58">
        <f>IF($G2184="","",IF(ISNUMBER(FIND(" ",$G2184)),$G2184,IFERROR(IF((LEN(SUBSTITUTE(SUBSTITUTE($G2184,"-"," ",LEN($G2184)-LEN(SUBSTITUTE($G2184,"-",""))),"-"," ",LEN($G2184)-LEN(SUBSTITUTE($G2184,"-",""))-1))-LEN(SUBSTITUTE(SUBSTITUTE(SUBSTITUTE($G2184,"-"," ",LEN($G2184)-LEN(SUBSTITUTE($G2184,"-",""))),"-"," ",LEN($G2184)-LEN(SUBSTITUTE($G2184,"-",""))-1),".","")))=0,SUBSTITUTE(SUBSTITUTE($G2184,"-"," ",LEN($G2184)-LEN(SUBSTITUTE($G2184,"-",""))),"-"," ",LEN($G2184)-LEN(SUBSTITUTE($G2184,"-",""))-1),SUBSTITUTE(SUBSTITUTE(SUBSTITUTE($G2184,"-"," ",LEN($G2184)-LEN(SUBSTITUTE($G2184,"-",""))),"-"," ",LEN($G2184)-LEN(SUBSTITUTE($G2184,"-",""))-1),"."," ",(LEN(SUBSTITUTE(SUBSTITUTE($G2184,"-"," ",LEN($G2184)-LEN(SUBSTITUTE($G2184,"-",""))),"-"," ",LEN($G2184)-LEN(SUBSTITUTE($G2184,"-",""))-1))-LEN(SUBSTITUTE(SUBSTITUTE(SUBSTITUTE($G2184,"-"," ",LEN($G2184)-LEN(SUBSTITUTE($G2184,"-",""))),"-"," ",LEN($G2184)-LEN(SUBSTITUTE($G2184,"-",""))-1),".",""))))),$G2184)))</f>
        <v/>
      </c>
    </row>
    <row r="2185">
      <c r="A2185" s="58" t="n"/>
      <c r="B2185" s="58">
        <f>IF($H2185="","",LEFT($H2185,FIND(" ",$H2185&amp;" ")-1))</f>
        <v/>
      </c>
      <c r="C2185" s="58">
        <f>IF($H2185="","",IFERROR(MID($H2185&amp;" ",FIND("|",SUBSTITUTE($H2185&amp;" "," ","|",1))+1,FIND("|",SUBSTITUTE($H2185&amp;" "," ","|",2))-FIND("|",SUBSTITUTE($H2185&amp;" "," ","|",1))-1),""))</f>
        <v/>
      </c>
      <c r="D2185" s="58">
        <f>IF($H2185="","",IFERROR(MID($H2185&amp;" ",FIND("|",SUBSTITUTE($H2185&amp;" "," ","|",2))+1,FIND("|",SUBSTITUTE($H2185&amp;" "," ","|",3))-FIND("|",SUBSTITUTE($H2185&amp;" "," ","|",2))-1),""))</f>
        <v/>
      </c>
      <c r="E2185" s="58">
        <f>IF($H2185="","",IFERROR(MID($H2185&amp;" ",FIND("|",SUBSTITUTE($H2185&amp;" "," ","|",3))+1,FIND("|",SUBSTITUTE($H2185&amp;" "," ","|",4))-FIND("|",SUBSTITUTE($H2185&amp;" "," ","|",3))-1),""))</f>
        <v/>
      </c>
      <c r="F2185" s="59">
        <f>IF($H2185="","",IFERROR(VALUE(IFERROR(MID($H2185&amp;" ",FIND("|",SUBSTITUTE($H2185&amp;" "," ","|",4))+1,FIND("|",SUBSTITUTE($H2185&amp;" "," ","|",5))-FIND("|",SUBSTITUTE($H2185&amp;" "," ","|",4))-1),""))/86400+25569+9/24,""))</f>
        <v/>
      </c>
      <c r="G2185" s="58">
        <f>TRIM(SUBSTITUTE(SUBSTITUTE(SUBSTITUTE($A2185,CHAR(9)," ")," "," "),CHAR(13),""))</f>
        <v/>
      </c>
      <c r="H2185" s="58">
        <f>IF($G2185="","",IF(ISNUMBER(FIND(" ",$G2185)),$G2185,IFERROR(IF((LEN(SUBSTITUTE(SUBSTITUTE($G2185,"-"," ",LEN($G2185)-LEN(SUBSTITUTE($G2185,"-",""))),"-"," ",LEN($G2185)-LEN(SUBSTITUTE($G2185,"-",""))-1))-LEN(SUBSTITUTE(SUBSTITUTE(SUBSTITUTE($G2185,"-"," ",LEN($G2185)-LEN(SUBSTITUTE($G2185,"-",""))),"-"," ",LEN($G2185)-LEN(SUBSTITUTE($G2185,"-",""))-1),".","")))=0,SUBSTITUTE(SUBSTITUTE($G2185,"-"," ",LEN($G2185)-LEN(SUBSTITUTE($G2185,"-",""))),"-"," ",LEN($G2185)-LEN(SUBSTITUTE($G2185,"-",""))-1),SUBSTITUTE(SUBSTITUTE(SUBSTITUTE($G2185,"-"," ",LEN($G2185)-LEN(SUBSTITUTE($G2185,"-",""))),"-"," ",LEN($G2185)-LEN(SUBSTITUTE($G2185,"-",""))-1),"."," ",(LEN(SUBSTITUTE(SUBSTITUTE($G2185,"-"," ",LEN($G2185)-LEN(SUBSTITUTE($G2185,"-",""))),"-"," ",LEN($G2185)-LEN(SUBSTITUTE($G2185,"-",""))-1))-LEN(SUBSTITUTE(SUBSTITUTE(SUBSTITUTE($G2185,"-"," ",LEN($G2185)-LEN(SUBSTITUTE($G2185,"-",""))),"-"," ",LEN($G2185)-LEN(SUBSTITUTE($G2185,"-",""))-1),".",""))))),$G2185)))</f>
        <v/>
      </c>
    </row>
    <row r="2186">
      <c r="A2186" s="58" t="n"/>
      <c r="B2186" s="58">
        <f>IF($H2186="","",LEFT($H2186,FIND(" ",$H2186&amp;" ")-1))</f>
        <v/>
      </c>
      <c r="C2186" s="58">
        <f>IF($H2186="","",IFERROR(MID($H2186&amp;" ",FIND("|",SUBSTITUTE($H2186&amp;" "," ","|",1))+1,FIND("|",SUBSTITUTE($H2186&amp;" "," ","|",2))-FIND("|",SUBSTITUTE($H2186&amp;" "," ","|",1))-1),""))</f>
        <v/>
      </c>
      <c r="D2186" s="58">
        <f>IF($H2186="","",IFERROR(MID($H2186&amp;" ",FIND("|",SUBSTITUTE($H2186&amp;" "," ","|",2))+1,FIND("|",SUBSTITUTE($H2186&amp;" "," ","|",3))-FIND("|",SUBSTITUTE($H2186&amp;" "," ","|",2))-1),""))</f>
        <v/>
      </c>
      <c r="E2186" s="58">
        <f>IF($H2186="","",IFERROR(MID($H2186&amp;" ",FIND("|",SUBSTITUTE($H2186&amp;" "," ","|",3))+1,FIND("|",SUBSTITUTE($H2186&amp;" "," ","|",4))-FIND("|",SUBSTITUTE($H2186&amp;" "," ","|",3))-1),""))</f>
        <v/>
      </c>
      <c r="F2186" s="59">
        <f>IF($H2186="","",IFERROR(VALUE(IFERROR(MID($H2186&amp;" ",FIND("|",SUBSTITUTE($H2186&amp;" "," ","|",4))+1,FIND("|",SUBSTITUTE($H2186&amp;" "," ","|",5))-FIND("|",SUBSTITUTE($H2186&amp;" "," ","|",4))-1),""))/86400+25569+9/24,""))</f>
        <v/>
      </c>
      <c r="G2186" s="58">
        <f>TRIM(SUBSTITUTE(SUBSTITUTE(SUBSTITUTE($A2186,CHAR(9)," ")," "," "),CHAR(13),""))</f>
        <v/>
      </c>
      <c r="H2186" s="58">
        <f>IF($G2186="","",IF(ISNUMBER(FIND(" ",$G2186)),$G2186,IFERROR(IF((LEN(SUBSTITUTE(SUBSTITUTE($G2186,"-"," ",LEN($G2186)-LEN(SUBSTITUTE($G2186,"-",""))),"-"," ",LEN($G2186)-LEN(SUBSTITUTE($G2186,"-",""))-1))-LEN(SUBSTITUTE(SUBSTITUTE(SUBSTITUTE($G2186,"-"," ",LEN($G2186)-LEN(SUBSTITUTE($G2186,"-",""))),"-"," ",LEN($G2186)-LEN(SUBSTITUTE($G2186,"-",""))-1),".","")))=0,SUBSTITUTE(SUBSTITUTE($G2186,"-"," ",LEN($G2186)-LEN(SUBSTITUTE($G2186,"-",""))),"-"," ",LEN($G2186)-LEN(SUBSTITUTE($G2186,"-",""))-1),SUBSTITUTE(SUBSTITUTE(SUBSTITUTE($G2186,"-"," ",LEN($G2186)-LEN(SUBSTITUTE($G2186,"-",""))),"-"," ",LEN($G2186)-LEN(SUBSTITUTE($G2186,"-",""))-1),"."," ",(LEN(SUBSTITUTE(SUBSTITUTE($G2186,"-"," ",LEN($G2186)-LEN(SUBSTITUTE($G2186,"-",""))),"-"," ",LEN($G2186)-LEN(SUBSTITUTE($G2186,"-",""))-1))-LEN(SUBSTITUTE(SUBSTITUTE(SUBSTITUTE($G2186,"-"," ",LEN($G2186)-LEN(SUBSTITUTE($G2186,"-",""))),"-"," ",LEN($G2186)-LEN(SUBSTITUTE($G2186,"-",""))-1),".",""))))),$G2186)))</f>
        <v/>
      </c>
    </row>
    <row r="2187">
      <c r="A2187" s="58" t="n"/>
      <c r="B2187" s="58">
        <f>IF($H2187="","",LEFT($H2187,FIND(" ",$H2187&amp;" ")-1))</f>
        <v/>
      </c>
      <c r="C2187" s="58">
        <f>IF($H2187="","",IFERROR(MID($H2187&amp;" ",FIND("|",SUBSTITUTE($H2187&amp;" "," ","|",1))+1,FIND("|",SUBSTITUTE($H2187&amp;" "," ","|",2))-FIND("|",SUBSTITUTE($H2187&amp;" "," ","|",1))-1),""))</f>
        <v/>
      </c>
      <c r="D2187" s="58">
        <f>IF($H2187="","",IFERROR(MID($H2187&amp;" ",FIND("|",SUBSTITUTE($H2187&amp;" "," ","|",2))+1,FIND("|",SUBSTITUTE($H2187&amp;" "," ","|",3))-FIND("|",SUBSTITUTE($H2187&amp;" "," ","|",2))-1),""))</f>
        <v/>
      </c>
      <c r="E2187" s="58">
        <f>IF($H2187="","",IFERROR(MID($H2187&amp;" ",FIND("|",SUBSTITUTE($H2187&amp;" "," ","|",3))+1,FIND("|",SUBSTITUTE($H2187&amp;" "," ","|",4))-FIND("|",SUBSTITUTE($H2187&amp;" "," ","|",3))-1),""))</f>
        <v/>
      </c>
      <c r="F2187" s="59">
        <f>IF($H2187="","",IFERROR(VALUE(IFERROR(MID($H2187&amp;" ",FIND("|",SUBSTITUTE($H2187&amp;" "," ","|",4))+1,FIND("|",SUBSTITUTE($H2187&amp;" "," ","|",5))-FIND("|",SUBSTITUTE($H2187&amp;" "," ","|",4))-1),""))/86400+25569+9/24,""))</f>
        <v/>
      </c>
      <c r="G2187" s="58">
        <f>TRIM(SUBSTITUTE(SUBSTITUTE(SUBSTITUTE($A2187,CHAR(9)," ")," "," "),CHAR(13),""))</f>
        <v/>
      </c>
      <c r="H2187" s="58">
        <f>IF($G2187="","",IF(ISNUMBER(FIND(" ",$G2187)),$G2187,IFERROR(IF((LEN(SUBSTITUTE(SUBSTITUTE($G2187,"-"," ",LEN($G2187)-LEN(SUBSTITUTE($G2187,"-",""))),"-"," ",LEN($G2187)-LEN(SUBSTITUTE($G2187,"-",""))-1))-LEN(SUBSTITUTE(SUBSTITUTE(SUBSTITUTE($G2187,"-"," ",LEN($G2187)-LEN(SUBSTITUTE($G2187,"-",""))),"-"," ",LEN($G2187)-LEN(SUBSTITUTE($G2187,"-",""))-1),".","")))=0,SUBSTITUTE(SUBSTITUTE($G2187,"-"," ",LEN($G2187)-LEN(SUBSTITUTE($G2187,"-",""))),"-"," ",LEN($G2187)-LEN(SUBSTITUTE($G2187,"-",""))-1),SUBSTITUTE(SUBSTITUTE(SUBSTITUTE($G2187,"-"," ",LEN($G2187)-LEN(SUBSTITUTE($G2187,"-",""))),"-"," ",LEN($G2187)-LEN(SUBSTITUTE($G2187,"-",""))-1),"."," ",(LEN(SUBSTITUTE(SUBSTITUTE($G2187,"-"," ",LEN($G2187)-LEN(SUBSTITUTE($G2187,"-",""))),"-"," ",LEN($G2187)-LEN(SUBSTITUTE($G2187,"-",""))-1))-LEN(SUBSTITUTE(SUBSTITUTE(SUBSTITUTE($G2187,"-"," ",LEN($G2187)-LEN(SUBSTITUTE($G2187,"-",""))),"-"," ",LEN($G2187)-LEN(SUBSTITUTE($G2187,"-",""))-1),".",""))))),$G2187)))</f>
        <v/>
      </c>
    </row>
    <row r="2188">
      <c r="A2188" s="58" t="n"/>
      <c r="B2188" s="58">
        <f>IF($H2188="","",LEFT($H2188,FIND(" ",$H2188&amp;" ")-1))</f>
        <v/>
      </c>
      <c r="C2188" s="58">
        <f>IF($H2188="","",IFERROR(MID($H2188&amp;" ",FIND("|",SUBSTITUTE($H2188&amp;" "," ","|",1))+1,FIND("|",SUBSTITUTE($H2188&amp;" "," ","|",2))-FIND("|",SUBSTITUTE($H2188&amp;" "," ","|",1))-1),""))</f>
        <v/>
      </c>
      <c r="D2188" s="58">
        <f>IF($H2188="","",IFERROR(MID($H2188&amp;" ",FIND("|",SUBSTITUTE($H2188&amp;" "," ","|",2))+1,FIND("|",SUBSTITUTE($H2188&amp;" "," ","|",3))-FIND("|",SUBSTITUTE($H2188&amp;" "," ","|",2))-1),""))</f>
        <v/>
      </c>
      <c r="E2188" s="58">
        <f>IF($H2188="","",IFERROR(MID($H2188&amp;" ",FIND("|",SUBSTITUTE($H2188&amp;" "," ","|",3))+1,FIND("|",SUBSTITUTE($H2188&amp;" "," ","|",4))-FIND("|",SUBSTITUTE($H2188&amp;" "," ","|",3))-1),""))</f>
        <v/>
      </c>
      <c r="F2188" s="59">
        <f>IF($H2188="","",IFERROR(VALUE(IFERROR(MID($H2188&amp;" ",FIND("|",SUBSTITUTE($H2188&amp;" "," ","|",4))+1,FIND("|",SUBSTITUTE($H2188&amp;" "," ","|",5))-FIND("|",SUBSTITUTE($H2188&amp;" "," ","|",4))-1),""))/86400+25569+9/24,""))</f>
        <v/>
      </c>
      <c r="G2188" s="58">
        <f>TRIM(SUBSTITUTE(SUBSTITUTE(SUBSTITUTE($A2188,CHAR(9)," ")," "," "),CHAR(13),""))</f>
        <v/>
      </c>
      <c r="H2188" s="58">
        <f>IF($G2188="","",IF(ISNUMBER(FIND(" ",$G2188)),$G2188,IFERROR(IF((LEN(SUBSTITUTE(SUBSTITUTE($G2188,"-"," ",LEN($G2188)-LEN(SUBSTITUTE($G2188,"-",""))),"-"," ",LEN($G2188)-LEN(SUBSTITUTE($G2188,"-",""))-1))-LEN(SUBSTITUTE(SUBSTITUTE(SUBSTITUTE($G2188,"-"," ",LEN($G2188)-LEN(SUBSTITUTE($G2188,"-",""))),"-"," ",LEN($G2188)-LEN(SUBSTITUTE($G2188,"-",""))-1),".","")))=0,SUBSTITUTE(SUBSTITUTE($G2188,"-"," ",LEN($G2188)-LEN(SUBSTITUTE($G2188,"-",""))),"-"," ",LEN($G2188)-LEN(SUBSTITUTE($G2188,"-",""))-1),SUBSTITUTE(SUBSTITUTE(SUBSTITUTE($G2188,"-"," ",LEN($G2188)-LEN(SUBSTITUTE($G2188,"-",""))),"-"," ",LEN($G2188)-LEN(SUBSTITUTE($G2188,"-",""))-1),"."," ",(LEN(SUBSTITUTE(SUBSTITUTE($G2188,"-"," ",LEN($G2188)-LEN(SUBSTITUTE($G2188,"-",""))),"-"," ",LEN($G2188)-LEN(SUBSTITUTE($G2188,"-",""))-1))-LEN(SUBSTITUTE(SUBSTITUTE(SUBSTITUTE($G2188,"-"," ",LEN($G2188)-LEN(SUBSTITUTE($G2188,"-",""))),"-"," ",LEN($G2188)-LEN(SUBSTITUTE($G2188,"-",""))-1),".",""))))),$G2188)))</f>
        <v/>
      </c>
    </row>
    <row r="2189">
      <c r="A2189" s="58" t="n"/>
      <c r="B2189" s="58">
        <f>IF($H2189="","",LEFT($H2189,FIND(" ",$H2189&amp;" ")-1))</f>
        <v/>
      </c>
      <c r="C2189" s="58">
        <f>IF($H2189="","",IFERROR(MID($H2189&amp;" ",FIND("|",SUBSTITUTE($H2189&amp;" "," ","|",1))+1,FIND("|",SUBSTITUTE($H2189&amp;" "," ","|",2))-FIND("|",SUBSTITUTE($H2189&amp;" "," ","|",1))-1),""))</f>
        <v/>
      </c>
      <c r="D2189" s="58">
        <f>IF($H2189="","",IFERROR(MID($H2189&amp;" ",FIND("|",SUBSTITUTE($H2189&amp;" "," ","|",2))+1,FIND("|",SUBSTITUTE($H2189&amp;" "," ","|",3))-FIND("|",SUBSTITUTE($H2189&amp;" "," ","|",2))-1),""))</f>
        <v/>
      </c>
      <c r="E2189" s="58">
        <f>IF($H2189="","",IFERROR(MID($H2189&amp;" ",FIND("|",SUBSTITUTE($H2189&amp;" "," ","|",3))+1,FIND("|",SUBSTITUTE($H2189&amp;" "," ","|",4))-FIND("|",SUBSTITUTE($H2189&amp;" "," ","|",3))-1),""))</f>
        <v/>
      </c>
      <c r="F2189" s="59">
        <f>IF($H2189="","",IFERROR(VALUE(IFERROR(MID($H2189&amp;" ",FIND("|",SUBSTITUTE($H2189&amp;" "," ","|",4))+1,FIND("|",SUBSTITUTE($H2189&amp;" "," ","|",5))-FIND("|",SUBSTITUTE($H2189&amp;" "," ","|",4))-1),""))/86400+25569+9/24,""))</f>
        <v/>
      </c>
      <c r="G2189" s="58">
        <f>TRIM(SUBSTITUTE(SUBSTITUTE(SUBSTITUTE($A2189,CHAR(9)," ")," "," "),CHAR(13),""))</f>
        <v/>
      </c>
      <c r="H2189" s="58">
        <f>IF($G2189="","",IF(ISNUMBER(FIND(" ",$G2189)),$G2189,IFERROR(IF((LEN(SUBSTITUTE(SUBSTITUTE($G2189,"-"," ",LEN($G2189)-LEN(SUBSTITUTE($G2189,"-",""))),"-"," ",LEN($G2189)-LEN(SUBSTITUTE($G2189,"-",""))-1))-LEN(SUBSTITUTE(SUBSTITUTE(SUBSTITUTE($G2189,"-"," ",LEN($G2189)-LEN(SUBSTITUTE($G2189,"-",""))),"-"," ",LEN($G2189)-LEN(SUBSTITUTE($G2189,"-",""))-1),".","")))=0,SUBSTITUTE(SUBSTITUTE($G2189,"-"," ",LEN($G2189)-LEN(SUBSTITUTE($G2189,"-",""))),"-"," ",LEN($G2189)-LEN(SUBSTITUTE($G2189,"-",""))-1),SUBSTITUTE(SUBSTITUTE(SUBSTITUTE($G2189,"-"," ",LEN($G2189)-LEN(SUBSTITUTE($G2189,"-",""))),"-"," ",LEN($G2189)-LEN(SUBSTITUTE($G2189,"-",""))-1),"."," ",(LEN(SUBSTITUTE(SUBSTITUTE($G2189,"-"," ",LEN($G2189)-LEN(SUBSTITUTE($G2189,"-",""))),"-"," ",LEN($G2189)-LEN(SUBSTITUTE($G2189,"-",""))-1))-LEN(SUBSTITUTE(SUBSTITUTE(SUBSTITUTE($G2189,"-"," ",LEN($G2189)-LEN(SUBSTITUTE($G2189,"-",""))),"-"," ",LEN($G2189)-LEN(SUBSTITUTE($G2189,"-",""))-1),".",""))))),$G2189)))</f>
        <v/>
      </c>
    </row>
    <row r="2190">
      <c r="A2190" s="58" t="n"/>
      <c r="B2190" s="58">
        <f>IF($H2190="","",LEFT($H2190,FIND(" ",$H2190&amp;" ")-1))</f>
        <v/>
      </c>
      <c r="C2190" s="58">
        <f>IF($H2190="","",IFERROR(MID($H2190&amp;" ",FIND("|",SUBSTITUTE($H2190&amp;" "," ","|",1))+1,FIND("|",SUBSTITUTE($H2190&amp;" "," ","|",2))-FIND("|",SUBSTITUTE($H2190&amp;" "," ","|",1))-1),""))</f>
        <v/>
      </c>
      <c r="D2190" s="58">
        <f>IF($H2190="","",IFERROR(MID($H2190&amp;" ",FIND("|",SUBSTITUTE($H2190&amp;" "," ","|",2))+1,FIND("|",SUBSTITUTE($H2190&amp;" "," ","|",3))-FIND("|",SUBSTITUTE($H2190&amp;" "," ","|",2))-1),""))</f>
        <v/>
      </c>
      <c r="E2190" s="58">
        <f>IF($H2190="","",IFERROR(MID($H2190&amp;" ",FIND("|",SUBSTITUTE($H2190&amp;" "," ","|",3))+1,FIND("|",SUBSTITUTE($H2190&amp;" "," ","|",4))-FIND("|",SUBSTITUTE($H2190&amp;" "," ","|",3))-1),""))</f>
        <v/>
      </c>
      <c r="F2190" s="59">
        <f>IF($H2190="","",IFERROR(VALUE(IFERROR(MID($H2190&amp;" ",FIND("|",SUBSTITUTE($H2190&amp;" "," ","|",4))+1,FIND("|",SUBSTITUTE($H2190&amp;" "," ","|",5))-FIND("|",SUBSTITUTE($H2190&amp;" "," ","|",4))-1),""))/86400+25569+9/24,""))</f>
        <v/>
      </c>
      <c r="G2190" s="58">
        <f>TRIM(SUBSTITUTE(SUBSTITUTE(SUBSTITUTE($A2190,CHAR(9)," ")," "," "),CHAR(13),""))</f>
        <v/>
      </c>
      <c r="H2190" s="58">
        <f>IF($G2190="","",IF(ISNUMBER(FIND(" ",$G2190)),$G2190,IFERROR(IF((LEN(SUBSTITUTE(SUBSTITUTE($G2190,"-"," ",LEN($G2190)-LEN(SUBSTITUTE($G2190,"-",""))),"-"," ",LEN($G2190)-LEN(SUBSTITUTE($G2190,"-",""))-1))-LEN(SUBSTITUTE(SUBSTITUTE(SUBSTITUTE($G2190,"-"," ",LEN($G2190)-LEN(SUBSTITUTE($G2190,"-",""))),"-"," ",LEN($G2190)-LEN(SUBSTITUTE($G2190,"-",""))-1),".","")))=0,SUBSTITUTE(SUBSTITUTE($G2190,"-"," ",LEN($G2190)-LEN(SUBSTITUTE($G2190,"-",""))),"-"," ",LEN($G2190)-LEN(SUBSTITUTE($G2190,"-",""))-1),SUBSTITUTE(SUBSTITUTE(SUBSTITUTE($G2190,"-"," ",LEN($G2190)-LEN(SUBSTITUTE($G2190,"-",""))),"-"," ",LEN($G2190)-LEN(SUBSTITUTE($G2190,"-",""))-1),"."," ",(LEN(SUBSTITUTE(SUBSTITUTE($G2190,"-"," ",LEN($G2190)-LEN(SUBSTITUTE($G2190,"-",""))),"-"," ",LEN($G2190)-LEN(SUBSTITUTE($G2190,"-",""))-1))-LEN(SUBSTITUTE(SUBSTITUTE(SUBSTITUTE($G2190,"-"," ",LEN($G2190)-LEN(SUBSTITUTE($G2190,"-",""))),"-"," ",LEN($G2190)-LEN(SUBSTITUTE($G2190,"-",""))-1),".",""))))),$G2190)))</f>
        <v/>
      </c>
    </row>
    <row r="2191">
      <c r="A2191" s="58" t="n"/>
      <c r="B2191" s="58">
        <f>IF($H2191="","",LEFT($H2191,FIND(" ",$H2191&amp;" ")-1))</f>
        <v/>
      </c>
      <c r="C2191" s="58">
        <f>IF($H2191="","",IFERROR(MID($H2191&amp;" ",FIND("|",SUBSTITUTE($H2191&amp;" "," ","|",1))+1,FIND("|",SUBSTITUTE($H2191&amp;" "," ","|",2))-FIND("|",SUBSTITUTE($H2191&amp;" "," ","|",1))-1),""))</f>
        <v/>
      </c>
      <c r="D2191" s="58">
        <f>IF($H2191="","",IFERROR(MID($H2191&amp;" ",FIND("|",SUBSTITUTE($H2191&amp;" "," ","|",2))+1,FIND("|",SUBSTITUTE($H2191&amp;" "," ","|",3))-FIND("|",SUBSTITUTE($H2191&amp;" "," ","|",2))-1),""))</f>
        <v/>
      </c>
      <c r="E2191" s="58">
        <f>IF($H2191="","",IFERROR(MID($H2191&amp;" ",FIND("|",SUBSTITUTE($H2191&amp;" "," ","|",3))+1,FIND("|",SUBSTITUTE($H2191&amp;" "," ","|",4))-FIND("|",SUBSTITUTE($H2191&amp;" "," ","|",3))-1),""))</f>
        <v/>
      </c>
      <c r="F2191" s="59">
        <f>IF($H2191="","",IFERROR(VALUE(IFERROR(MID($H2191&amp;" ",FIND("|",SUBSTITUTE($H2191&amp;" "," ","|",4))+1,FIND("|",SUBSTITUTE($H2191&amp;" "," ","|",5))-FIND("|",SUBSTITUTE($H2191&amp;" "," ","|",4))-1),""))/86400+25569+9/24,""))</f>
        <v/>
      </c>
      <c r="G2191" s="58">
        <f>TRIM(SUBSTITUTE(SUBSTITUTE(SUBSTITUTE($A2191,CHAR(9)," ")," "," "),CHAR(13),""))</f>
        <v/>
      </c>
      <c r="H2191" s="58">
        <f>IF($G2191="","",IF(ISNUMBER(FIND(" ",$G2191)),$G2191,IFERROR(IF((LEN(SUBSTITUTE(SUBSTITUTE($G2191,"-"," ",LEN($G2191)-LEN(SUBSTITUTE($G2191,"-",""))),"-"," ",LEN($G2191)-LEN(SUBSTITUTE($G2191,"-",""))-1))-LEN(SUBSTITUTE(SUBSTITUTE(SUBSTITUTE($G2191,"-"," ",LEN($G2191)-LEN(SUBSTITUTE($G2191,"-",""))),"-"," ",LEN($G2191)-LEN(SUBSTITUTE($G2191,"-",""))-1),".","")))=0,SUBSTITUTE(SUBSTITUTE($G2191,"-"," ",LEN($G2191)-LEN(SUBSTITUTE($G2191,"-",""))),"-"," ",LEN($G2191)-LEN(SUBSTITUTE($G2191,"-",""))-1),SUBSTITUTE(SUBSTITUTE(SUBSTITUTE($G2191,"-"," ",LEN($G2191)-LEN(SUBSTITUTE($G2191,"-",""))),"-"," ",LEN($G2191)-LEN(SUBSTITUTE($G2191,"-",""))-1),"."," ",(LEN(SUBSTITUTE(SUBSTITUTE($G2191,"-"," ",LEN($G2191)-LEN(SUBSTITUTE($G2191,"-",""))),"-"," ",LEN($G2191)-LEN(SUBSTITUTE($G2191,"-",""))-1))-LEN(SUBSTITUTE(SUBSTITUTE(SUBSTITUTE($G2191,"-"," ",LEN($G2191)-LEN(SUBSTITUTE($G2191,"-",""))),"-"," ",LEN($G2191)-LEN(SUBSTITUTE($G2191,"-",""))-1),".",""))))),$G2191)))</f>
        <v/>
      </c>
    </row>
    <row r="2192">
      <c r="A2192" s="58" t="n"/>
      <c r="B2192" s="58">
        <f>IF($H2192="","",LEFT($H2192,FIND(" ",$H2192&amp;" ")-1))</f>
        <v/>
      </c>
      <c r="C2192" s="58">
        <f>IF($H2192="","",IFERROR(MID($H2192&amp;" ",FIND("|",SUBSTITUTE($H2192&amp;" "," ","|",1))+1,FIND("|",SUBSTITUTE($H2192&amp;" "," ","|",2))-FIND("|",SUBSTITUTE($H2192&amp;" "," ","|",1))-1),""))</f>
        <v/>
      </c>
      <c r="D2192" s="58">
        <f>IF($H2192="","",IFERROR(MID($H2192&amp;" ",FIND("|",SUBSTITUTE($H2192&amp;" "," ","|",2))+1,FIND("|",SUBSTITUTE($H2192&amp;" "," ","|",3))-FIND("|",SUBSTITUTE($H2192&amp;" "," ","|",2))-1),""))</f>
        <v/>
      </c>
      <c r="E2192" s="58">
        <f>IF($H2192="","",IFERROR(MID($H2192&amp;" ",FIND("|",SUBSTITUTE($H2192&amp;" "," ","|",3))+1,FIND("|",SUBSTITUTE($H2192&amp;" "," ","|",4))-FIND("|",SUBSTITUTE($H2192&amp;" "," ","|",3))-1),""))</f>
        <v/>
      </c>
      <c r="F2192" s="59">
        <f>IF($H2192="","",IFERROR(VALUE(IFERROR(MID($H2192&amp;" ",FIND("|",SUBSTITUTE($H2192&amp;" "," ","|",4))+1,FIND("|",SUBSTITUTE($H2192&amp;" "," ","|",5))-FIND("|",SUBSTITUTE($H2192&amp;" "," ","|",4))-1),""))/86400+25569+9/24,""))</f>
        <v/>
      </c>
      <c r="G2192" s="58">
        <f>TRIM(SUBSTITUTE(SUBSTITUTE(SUBSTITUTE($A2192,CHAR(9)," ")," "," "),CHAR(13),""))</f>
        <v/>
      </c>
      <c r="H2192" s="58">
        <f>IF($G2192="","",IF(ISNUMBER(FIND(" ",$G2192)),$G2192,IFERROR(IF((LEN(SUBSTITUTE(SUBSTITUTE($G2192,"-"," ",LEN($G2192)-LEN(SUBSTITUTE($G2192,"-",""))),"-"," ",LEN($G2192)-LEN(SUBSTITUTE($G2192,"-",""))-1))-LEN(SUBSTITUTE(SUBSTITUTE(SUBSTITUTE($G2192,"-"," ",LEN($G2192)-LEN(SUBSTITUTE($G2192,"-",""))),"-"," ",LEN($G2192)-LEN(SUBSTITUTE($G2192,"-",""))-1),".","")))=0,SUBSTITUTE(SUBSTITUTE($G2192,"-"," ",LEN($G2192)-LEN(SUBSTITUTE($G2192,"-",""))),"-"," ",LEN($G2192)-LEN(SUBSTITUTE($G2192,"-",""))-1),SUBSTITUTE(SUBSTITUTE(SUBSTITUTE($G2192,"-"," ",LEN($G2192)-LEN(SUBSTITUTE($G2192,"-",""))),"-"," ",LEN($G2192)-LEN(SUBSTITUTE($G2192,"-",""))-1),"."," ",(LEN(SUBSTITUTE(SUBSTITUTE($G2192,"-"," ",LEN($G2192)-LEN(SUBSTITUTE($G2192,"-",""))),"-"," ",LEN($G2192)-LEN(SUBSTITUTE($G2192,"-",""))-1))-LEN(SUBSTITUTE(SUBSTITUTE(SUBSTITUTE($G2192,"-"," ",LEN($G2192)-LEN(SUBSTITUTE($G2192,"-",""))),"-"," ",LEN($G2192)-LEN(SUBSTITUTE($G2192,"-",""))-1),".",""))))),$G2192)))</f>
        <v/>
      </c>
    </row>
    <row r="2193">
      <c r="A2193" s="58" t="n"/>
      <c r="B2193" s="58">
        <f>IF($H2193="","",LEFT($H2193,FIND(" ",$H2193&amp;" ")-1))</f>
        <v/>
      </c>
      <c r="C2193" s="58">
        <f>IF($H2193="","",IFERROR(MID($H2193&amp;" ",FIND("|",SUBSTITUTE($H2193&amp;" "," ","|",1))+1,FIND("|",SUBSTITUTE($H2193&amp;" "," ","|",2))-FIND("|",SUBSTITUTE($H2193&amp;" "," ","|",1))-1),""))</f>
        <v/>
      </c>
      <c r="D2193" s="58">
        <f>IF($H2193="","",IFERROR(MID($H2193&amp;" ",FIND("|",SUBSTITUTE($H2193&amp;" "," ","|",2))+1,FIND("|",SUBSTITUTE($H2193&amp;" "," ","|",3))-FIND("|",SUBSTITUTE($H2193&amp;" "," ","|",2))-1),""))</f>
        <v/>
      </c>
      <c r="E2193" s="58">
        <f>IF($H2193="","",IFERROR(MID($H2193&amp;" ",FIND("|",SUBSTITUTE($H2193&amp;" "," ","|",3))+1,FIND("|",SUBSTITUTE($H2193&amp;" "," ","|",4))-FIND("|",SUBSTITUTE($H2193&amp;" "," ","|",3))-1),""))</f>
        <v/>
      </c>
      <c r="F2193" s="59">
        <f>IF($H2193="","",IFERROR(VALUE(IFERROR(MID($H2193&amp;" ",FIND("|",SUBSTITUTE($H2193&amp;" "," ","|",4))+1,FIND("|",SUBSTITUTE($H2193&amp;" "," ","|",5))-FIND("|",SUBSTITUTE($H2193&amp;" "," ","|",4))-1),""))/86400+25569+9/24,""))</f>
        <v/>
      </c>
      <c r="G2193" s="58">
        <f>TRIM(SUBSTITUTE(SUBSTITUTE(SUBSTITUTE($A2193,CHAR(9)," ")," "," "),CHAR(13),""))</f>
        <v/>
      </c>
      <c r="H2193" s="58">
        <f>IF($G2193="","",IF(ISNUMBER(FIND(" ",$G2193)),$G2193,IFERROR(IF((LEN(SUBSTITUTE(SUBSTITUTE($G2193,"-"," ",LEN($G2193)-LEN(SUBSTITUTE($G2193,"-",""))),"-"," ",LEN($G2193)-LEN(SUBSTITUTE($G2193,"-",""))-1))-LEN(SUBSTITUTE(SUBSTITUTE(SUBSTITUTE($G2193,"-"," ",LEN($G2193)-LEN(SUBSTITUTE($G2193,"-",""))),"-"," ",LEN($G2193)-LEN(SUBSTITUTE($G2193,"-",""))-1),".","")))=0,SUBSTITUTE(SUBSTITUTE($G2193,"-"," ",LEN($G2193)-LEN(SUBSTITUTE($G2193,"-",""))),"-"," ",LEN($G2193)-LEN(SUBSTITUTE($G2193,"-",""))-1),SUBSTITUTE(SUBSTITUTE(SUBSTITUTE($G2193,"-"," ",LEN($G2193)-LEN(SUBSTITUTE($G2193,"-",""))),"-"," ",LEN($G2193)-LEN(SUBSTITUTE($G2193,"-",""))-1),"."," ",(LEN(SUBSTITUTE(SUBSTITUTE($G2193,"-"," ",LEN($G2193)-LEN(SUBSTITUTE($G2193,"-",""))),"-"," ",LEN($G2193)-LEN(SUBSTITUTE($G2193,"-",""))-1))-LEN(SUBSTITUTE(SUBSTITUTE(SUBSTITUTE($G2193,"-"," ",LEN($G2193)-LEN(SUBSTITUTE($G2193,"-",""))),"-"," ",LEN($G2193)-LEN(SUBSTITUTE($G2193,"-",""))-1),".",""))))),$G2193)))</f>
        <v/>
      </c>
    </row>
    <row r="2194">
      <c r="A2194" s="58" t="n"/>
      <c r="B2194" s="58">
        <f>IF($H2194="","",LEFT($H2194,FIND(" ",$H2194&amp;" ")-1))</f>
        <v/>
      </c>
      <c r="C2194" s="58">
        <f>IF($H2194="","",IFERROR(MID($H2194&amp;" ",FIND("|",SUBSTITUTE($H2194&amp;" "," ","|",1))+1,FIND("|",SUBSTITUTE($H2194&amp;" "," ","|",2))-FIND("|",SUBSTITUTE($H2194&amp;" "," ","|",1))-1),""))</f>
        <v/>
      </c>
      <c r="D2194" s="58">
        <f>IF($H2194="","",IFERROR(MID($H2194&amp;" ",FIND("|",SUBSTITUTE($H2194&amp;" "," ","|",2))+1,FIND("|",SUBSTITUTE($H2194&amp;" "," ","|",3))-FIND("|",SUBSTITUTE($H2194&amp;" "," ","|",2))-1),""))</f>
        <v/>
      </c>
      <c r="E2194" s="58">
        <f>IF($H2194="","",IFERROR(MID($H2194&amp;" ",FIND("|",SUBSTITUTE($H2194&amp;" "," ","|",3))+1,FIND("|",SUBSTITUTE($H2194&amp;" "," ","|",4))-FIND("|",SUBSTITUTE($H2194&amp;" "," ","|",3))-1),""))</f>
        <v/>
      </c>
      <c r="F2194" s="59">
        <f>IF($H2194="","",IFERROR(VALUE(IFERROR(MID($H2194&amp;" ",FIND("|",SUBSTITUTE($H2194&amp;" "," ","|",4))+1,FIND("|",SUBSTITUTE($H2194&amp;" "," ","|",5))-FIND("|",SUBSTITUTE($H2194&amp;" "," ","|",4))-1),""))/86400+25569+9/24,""))</f>
        <v/>
      </c>
      <c r="G2194" s="58">
        <f>TRIM(SUBSTITUTE(SUBSTITUTE(SUBSTITUTE($A2194,CHAR(9)," ")," "," "),CHAR(13),""))</f>
        <v/>
      </c>
      <c r="H2194" s="58">
        <f>IF($G2194="","",IF(ISNUMBER(FIND(" ",$G2194)),$G2194,IFERROR(IF((LEN(SUBSTITUTE(SUBSTITUTE($G2194,"-"," ",LEN($G2194)-LEN(SUBSTITUTE($G2194,"-",""))),"-"," ",LEN($G2194)-LEN(SUBSTITUTE($G2194,"-",""))-1))-LEN(SUBSTITUTE(SUBSTITUTE(SUBSTITUTE($G2194,"-"," ",LEN($G2194)-LEN(SUBSTITUTE($G2194,"-",""))),"-"," ",LEN($G2194)-LEN(SUBSTITUTE($G2194,"-",""))-1),".","")))=0,SUBSTITUTE(SUBSTITUTE($G2194,"-"," ",LEN($G2194)-LEN(SUBSTITUTE($G2194,"-",""))),"-"," ",LEN($G2194)-LEN(SUBSTITUTE($G2194,"-",""))-1),SUBSTITUTE(SUBSTITUTE(SUBSTITUTE($G2194,"-"," ",LEN($G2194)-LEN(SUBSTITUTE($G2194,"-",""))),"-"," ",LEN($G2194)-LEN(SUBSTITUTE($G2194,"-",""))-1),"."," ",(LEN(SUBSTITUTE(SUBSTITUTE($G2194,"-"," ",LEN($G2194)-LEN(SUBSTITUTE($G2194,"-",""))),"-"," ",LEN($G2194)-LEN(SUBSTITUTE($G2194,"-",""))-1))-LEN(SUBSTITUTE(SUBSTITUTE(SUBSTITUTE($G2194,"-"," ",LEN($G2194)-LEN(SUBSTITUTE($G2194,"-",""))),"-"," ",LEN($G2194)-LEN(SUBSTITUTE($G2194,"-",""))-1),".",""))))),$G2194)))</f>
        <v/>
      </c>
    </row>
    <row r="2195">
      <c r="A2195" s="58" t="n"/>
      <c r="B2195" s="58">
        <f>IF($H2195="","",LEFT($H2195,FIND(" ",$H2195&amp;" ")-1))</f>
        <v/>
      </c>
      <c r="C2195" s="58">
        <f>IF($H2195="","",IFERROR(MID($H2195&amp;" ",FIND("|",SUBSTITUTE($H2195&amp;" "," ","|",1))+1,FIND("|",SUBSTITUTE($H2195&amp;" "," ","|",2))-FIND("|",SUBSTITUTE($H2195&amp;" "," ","|",1))-1),""))</f>
        <v/>
      </c>
      <c r="D2195" s="58">
        <f>IF($H2195="","",IFERROR(MID($H2195&amp;" ",FIND("|",SUBSTITUTE($H2195&amp;" "," ","|",2))+1,FIND("|",SUBSTITUTE($H2195&amp;" "," ","|",3))-FIND("|",SUBSTITUTE($H2195&amp;" "," ","|",2))-1),""))</f>
        <v/>
      </c>
      <c r="E2195" s="58">
        <f>IF($H2195="","",IFERROR(MID($H2195&amp;" ",FIND("|",SUBSTITUTE($H2195&amp;" "," ","|",3))+1,FIND("|",SUBSTITUTE($H2195&amp;" "," ","|",4))-FIND("|",SUBSTITUTE($H2195&amp;" "," ","|",3))-1),""))</f>
        <v/>
      </c>
      <c r="F2195" s="59">
        <f>IF($H2195="","",IFERROR(VALUE(IFERROR(MID($H2195&amp;" ",FIND("|",SUBSTITUTE($H2195&amp;" "," ","|",4))+1,FIND("|",SUBSTITUTE($H2195&amp;" "," ","|",5))-FIND("|",SUBSTITUTE($H2195&amp;" "," ","|",4))-1),""))/86400+25569+9/24,""))</f>
        <v/>
      </c>
      <c r="G2195" s="58">
        <f>TRIM(SUBSTITUTE(SUBSTITUTE(SUBSTITUTE($A2195,CHAR(9)," ")," "," "),CHAR(13),""))</f>
        <v/>
      </c>
      <c r="H2195" s="58">
        <f>IF($G2195="","",IF(ISNUMBER(FIND(" ",$G2195)),$G2195,IFERROR(IF((LEN(SUBSTITUTE(SUBSTITUTE($G2195,"-"," ",LEN($G2195)-LEN(SUBSTITUTE($G2195,"-",""))),"-"," ",LEN($G2195)-LEN(SUBSTITUTE($G2195,"-",""))-1))-LEN(SUBSTITUTE(SUBSTITUTE(SUBSTITUTE($G2195,"-"," ",LEN($G2195)-LEN(SUBSTITUTE($G2195,"-",""))),"-"," ",LEN($G2195)-LEN(SUBSTITUTE($G2195,"-",""))-1),".","")))=0,SUBSTITUTE(SUBSTITUTE($G2195,"-"," ",LEN($G2195)-LEN(SUBSTITUTE($G2195,"-",""))),"-"," ",LEN($G2195)-LEN(SUBSTITUTE($G2195,"-",""))-1),SUBSTITUTE(SUBSTITUTE(SUBSTITUTE($G2195,"-"," ",LEN($G2195)-LEN(SUBSTITUTE($G2195,"-",""))),"-"," ",LEN($G2195)-LEN(SUBSTITUTE($G2195,"-",""))-1),"."," ",(LEN(SUBSTITUTE(SUBSTITUTE($G2195,"-"," ",LEN($G2195)-LEN(SUBSTITUTE($G2195,"-",""))),"-"," ",LEN($G2195)-LEN(SUBSTITUTE($G2195,"-",""))-1))-LEN(SUBSTITUTE(SUBSTITUTE(SUBSTITUTE($G2195,"-"," ",LEN($G2195)-LEN(SUBSTITUTE($G2195,"-",""))),"-"," ",LEN($G2195)-LEN(SUBSTITUTE($G2195,"-",""))-1),".",""))))),$G2195)))</f>
        <v/>
      </c>
    </row>
    <row r="2196">
      <c r="A2196" s="58" t="n"/>
      <c r="B2196" s="58">
        <f>IF($H2196="","",LEFT($H2196,FIND(" ",$H2196&amp;" ")-1))</f>
        <v/>
      </c>
      <c r="C2196" s="58">
        <f>IF($H2196="","",IFERROR(MID($H2196&amp;" ",FIND("|",SUBSTITUTE($H2196&amp;" "," ","|",1))+1,FIND("|",SUBSTITUTE($H2196&amp;" "," ","|",2))-FIND("|",SUBSTITUTE($H2196&amp;" "," ","|",1))-1),""))</f>
        <v/>
      </c>
      <c r="D2196" s="58">
        <f>IF($H2196="","",IFERROR(MID($H2196&amp;" ",FIND("|",SUBSTITUTE($H2196&amp;" "," ","|",2))+1,FIND("|",SUBSTITUTE($H2196&amp;" "," ","|",3))-FIND("|",SUBSTITUTE($H2196&amp;" "," ","|",2))-1),""))</f>
        <v/>
      </c>
      <c r="E2196" s="58">
        <f>IF($H2196="","",IFERROR(MID($H2196&amp;" ",FIND("|",SUBSTITUTE($H2196&amp;" "," ","|",3))+1,FIND("|",SUBSTITUTE($H2196&amp;" "," ","|",4))-FIND("|",SUBSTITUTE($H2196&amp;" "," ","|",3))-1),""))</f>
        <v/>
      </c>
      <c r="F2196" s="59">
        <f>IF($H2196="","",IFERROR(VALUE(IFERROR(MID($H2196&amp;" ",FIND("|",SUBSTITUTE($H2196&amp;" "," ","|",4))+1,FIND("|",SUBSTITUTE($H2196&amp;" "," ","|",5))-FIND("|",SUBSTITUTE($H2196&amp;" "," ","|",4))-1),""))/86400+25569+9/24,""))</f>
        <v/>
      </c>
      <c r="G2196" s="58">
        <f>TRIM(SUBSTITUTE(SUBSTITUTE(SUBSTITUTE($A2196,CHAR(9)," ")," "," "),CHAR(13),""))</f>
        <v/>
      </c>
      <c r="H2196" s="58">
        <f>IF($G2196="","",IF(ISNUMBER(FIND(" ",$G2196)),$G2196,IFERROR(IF((LEN(SUBSTITUTE(SUBSTITUTE($G2196,"-"," ",LEN($G2196)-LEN(SUBSTITUTE($G2196,"-",""))),"-"," ",LEN($G2196)-LEN(SUBSTITUTE($G2196,"-",""))-1))-LEN(SUBSTITUTE(SUBSTITUTE(SUBSTITUTE($G2196,"-"," ",LEN($G2196)-LEN(SUBSTITUTE($G2196,"-",""))),"-"," ",LEN($G2196)-LEN(SUBSTITUTE($G2196,"-",""))-1),".","")))=0,SUBSTITUTE(SUBSTITUTE($G2196,"-"," ",LEN($G2196)-LEN(SUBSTITUTE($G2196,"-",""))),"-"," ",LEN($G2196)-LEN(SUBSTITUTE($G2196,"-",""))-1),SUBSTITUTE(SUBSTITUTE(SUBSTITUTE($G2196,"-"," ",LEN($G2196)-LEN(SUBSTITUTE($G2196,"-",""))),"-"," ",LEN($G2196)-LEN(SUBSTITUTE($G2196,"-",""))-1),"."," ",(LEN(SUBSTITUTE(SUBSTITUTE($G2196,"-"," ",LEN($G2196)-LEN(SUBSTITUTE($G2196,"-",""))),"-"," ",LEN($G2196)-LEN(SUBSTITUTE($G2196,"-",""))-1))-LEN(SUBSTITUTE(SUBSTITUTE(SUBSTITUTE($G2196,"-"," ",LEN($G2196)-LEN(SUBSTITUTE($G2196,"-",""))),"-"," ",LEN($G2196)-LEN(SUBSTITUTE($G2196,"-",""))-1),".",""))))),$G2196)))</f>
        <v/>
      </c>
    </row>
    <row r="2197">
      <c r="A2197" s="58" t="n"/>
      <c r="B2197" s="58">
        <f>IF($H2197="","",LEFT($H2197,FIND(" ",$H2197&amp;" ")-1))</f>
        <v/>
      </c>
      <c r="C2197" s="58">
        <f>IF($H2197="","",IFERROR(MID($H2197&amp;" ",FIND("|",SUBSTITUTE($H2197&amp;" "," ","|",1))+1,FIND("|",SUBSTITUTE($H2197&amp;" "," ","|",2))-FIND("|",SUBSTITUTE($H2197&amp;" "," ","|",1))-1),""))</f>
        <v/>
      </c>
      <c r="D2197" s="58">
        <f>IF($H2197="","",IFERROR(MID($H2197&amp;" ",FIND("|",SUBSTITUTE($H2197&amp;" "," ","|",2))+1,FIND("|",SUBSTITUTE($H2197&amp;" "," ","|",3))-FIND("|",SUBSTITUTE($H2197&amp;" "," ","|",2))-1),""))</f>
        <v/>
      </c>
      <c r="E2197" s="58">
        <f>IF($H2197="","",IFERROR(MID($H2197&amp;" ",FIND("|",SUBSTITUTE($H2197&amp;" "," ","|",3))+1,FIND("|",SUBSTITUTE($H2197&amp;" "," ","|",4))-FIND("|",SUBSTITUTE($H2197&amp;" "," ","|",3))-1),""))</f>
        <v/>
      </c>
      <c r="F2197" s="59">
        <f>IF($H2197="","",IFERROR(VALUE(IFERROR(MID($H2197&amp;" ",FIND("|",SUBSTITUTE($H2197&amp;" "," ","|",4))+1,FIND("|",SUBSTITUTE($H2197&amp;" "," ","|",5))-FIND("|",SUBSTITUTE($H2197&amp;" "," ","|",4))-1),""))/86400+25569+9/24,""))</f>
        <v/>
      </c>
      <c r="G2197" s="58">
        <f>TRIM(SUBSTITUTE(SUBSTITUTE(SUBSTITUTE($A2197,CHAR(9)," ")," "," "),CHAR(13),""))</f>
        <v/>
      </c>
      <c r="H2197" s="58">
        <f>IF($G2197="","",IF(ISNUMBER(FIND(" ",$G2197)),$G2197,IFERROR(IF((LEN(SUBSTITUTE(SUBSTITUTE($G2197,"-"," ",LEN($G2197)-LEN(SUBSTITUTE($G2197,"-",""))),"-"," ",LEN($G2197)-LEN(SUBSTITUTE($G2197,"-",""))-1))-LEN(SUBSTITUTE(SUBSTITUTE(SUBSTITUTE($G2197,"-"," ",LEN($G2197)-LEN(SUBSTITUTE($G2197,"-",""))),"-"," ",LEN($G2197)-LEN(SUBSTITUTE($G2197,"-",""))-1),".","")))=0,SUBSTITUTE(SUBSTITUTE($G2197,"-"," ",LEN($G2197)-LEN(SUBSTITUTE($G2197,"-",""))),"-"," ",LEN($G2197)-LEN(SUBSTITUTE($G2197,"-",""))-1),SUBSTITUTE(SUBSTITUTE(SUBSTITUTE($G2197,"-"," ",LEN($G2197)-LEN(SUBSTITUTE($G2197,"-",""))),"-"," ",LEN($G2197)-LEN(SUBSTITUTE($G2197,"-",""))-1),"."," ",(LEN(SUBSTITUTE(SUBSTITUTE($G2197,"-"," ",LEN($G2197)-LEN(SUBSTITUTE($G2197,"-",""))),"-"," ",LEN($G2197)-LEN(SUBSTITUTE($G2197,"-",""))-1))-LEN(SUBSTITUTE(SUBSTITUTE(SUBSTITUTE($G2197,"-"," ",LEN($G2197)-LEN(SUBSTITUTE($G2197,"-",""))),"-"," ",LEN($G2197)-LEN(SUBSTITUTE($G2197,"-",""))-1),".",""))))),$G2197)))</f>
        <v/>
      </c>
    </row>
    <row r="2198">
      <c r="A2198" s="58" t="n"/>
      <c r="B2198" s="58">
        <f>IF($H2198="","",LEFT($H2198,FIND(" ",$H2198&amp;" ")-1))</f>
        <v/>
      </c>
      <c r="C2198" s="58">
        <f>IF($H2198="","",IFERROR(MID($H2198&amp;" ",FIND("|",SUBSTITUTE($H2198&amp;" "," ","|",1))+1,FIND("|",SUBSTITUTE($H2198&amp;" "," ","|",2))-FIND("|",SUBSTITUTE($H2198&amp;" "," ","|",1))-1),""))</f>
        <v/>
      </c>
      <c r="D2198" s="58">
        <f>IF($H2198="","",IFERROR(MID($H2198&amp;" ",FIND("|",SUBSTITUTE($H2198&amp;" "," ","|",2))+1,FIND("|",SUBSTITUTE($H2198&amp;" "," ","|",3))-FIND("|",SUBSTITUTE($H2198&amp;" "," ","|",2))-1),""))</f>
        <v/>
      </c>
      <c r="E2198" s="58">
        <f>IF($H2198="","",IFERROR(MID($H2198&amp;" ",FIND("|",SUBSTITUTE($H2198&amp;" "," ","|",3))+1,FIND("|",SUBSTITUTE($H2198&amp;" "," ","|",4))-FIND("|",SUBSTITUTE($H2198&amp;" "," ","|",3))-1),""))</f>
        <v/>
      </c>
      <c r="F2198" s="59">
        <f>IF($H2198="","",IFERROR(VALUE(IFERROR(MID($H2198&amp;" ",FIND("|",SUBSTITUTE($H2198&amp;" "," ","|",4))+1,FIND("|",SUBSTITUTE($H2198&amp;" "," ","|",5))-FIND("|",SUBSTITUTE($H2198&amp;" "," ","|",4))-1),""))/86400+25569+9/24,""))</f>
        <v/>
      </c>
      <c r="G2198" s="58">
        <f>TRIM(SUBSTITUTE(SUBSTITUTE(SUBSTITUTE($A2198,CHAR(9)," ")," "," "),CHAR(13),""))</f>
        <v/>
      </c>
      <c r="H2198" s="58">
        <f>IF($G2198="","",IF(ISNUMBER(FIND(" ",$G2198)),$G2198,IFERROR(IF((LEN(SUBSTITUTE(SUBSTITUTE($G2198,"-"," ",LEN($G2198)-LEN(SUBSTITUTE($G2198,"-",""))),"-"," ",LEN($G2198)-LEN(SUBSTITUTE($G2198,"-",""))-1))-LEN(SUBSTITUTE(SUBSTITUTE(SUBSTITUTE($G2198,"-"," ",LEN($G2198)-LEN(SUBSTITUTE($G2198,"-",""))),"-"," ",LEN($G2198)-LEN(SUBSTITUTE($G2198,"-",""))-1),".","")))=0,SUBSTITUTE(SUBSTITUTE($G2198,"-"," ",LEN($G2198)-LEN(SUBSTITUTE($G2198,"-",""))),"-"," ",LEN($G2198)-LEN(SUBSTITUTE($G2198,"-",""))-1),SUBSTITUTE(SUBSTITUTE(SUBSTITUTE($G2198,"-"," ",LEN($G2198)-LEN(SUBSTITUTE($G2198,"-",""))),"-"," ",LEN($G2198)-LEN(SUBSTITUTE($G2198,"-",""))-1),"."," ",(LEN(SUBSTITUTE(SUBSTITUTE($G2198,"-"," ",LEN($G2198)-LEN(SUBSTITUTE($G2198,"-",""))),"-"," ",LEN($G2198)-LEN(SUBSTITUTE($G2198,"-",""))-1))-LEN(SUBSTITUTE(SUBSTITUTE(SUBSTITUTE($G2198,"-"," ",LEN($G2198)-LEN(SUBSTITUTE($G2198,"-",""))),"-"," ",LEN($G2198)-LEN(SUBSTITUTE($G2198,"-",""))-1),".",""))))),$G2198)))</f>
        <v/>
      </c>
    </row>
    <row r="2199">
      <c r="A2199" s="58" t="n"/>
      <c r="B2199" s="58">
        <f>IF($H2199="","",LEFT($H2199,FIND(" ",$H2199&amp;" ")-1))</f>
        <v/>
      </c>
      <c r="C2199" s="58">
        <f>IF($H2199="","",IFERROR(MID($H2199&amp;" ",FIND("|",SUBSTITUTE($H2199&amp;" "," ","|",1))+1,FIND("|",SUBSTITUTE($H2199&amp;" "," ","|",2))-FIND("|",SUBSTITUTE($H2199&amp;" "," ","|",1))-1),""))</f>
        <v/>
      </c>
      <c r="D2199" s="58">
        <f>IF($H2199="","",IFERROR(MID($H2199&amp;" ",FIND("|",SUBSTITUTE($H2199&amp;" "," ","|",2))+1,FIND("|",SUBSTITUTE($H2199&amp;" "," ","|",3))-FIND("|",SUBSTITUTE($H2199&amp;" "," ","|",2))-1),""))</f>
        <v/>
      </c>
      <c r="E2199" s="58">
        <f>IF($H2199="","",IFERROR(MID($H2199&amp;" ",FIND("|",SUBSTITUTE($H2199&amp;" "," ","|",3))+1,FIND("|",SUBSTITUTE($H2199&amp;" "," ","|",4))-FIND("|",SUBSTITUTE($H2199&amp;" "," ","|",3))-1),""))</f>
        <v/>
      </c>
      <c r="F2199" s="59">
        <f>IF($H2199="","",IFERROR(VALUE(IFERROR(MID($H2199&amp;" ",FIND("|",SUBSTITUTE($H2199&amp;" "," ","|",4))+1,FIND("|",SUBSTITUTE($H2199&amp;" "," ","|",5))-FIND("|",SUBSTITUTE($H2199&amp;" "," ","|",4))-1),""))/86400+25569+9/24,""))</f>
        <v/>
      </c>
      <c r="G2199" s="58">
        <f>TRIM(SUBSTITUTE(SUBSTITUTE(SUBSTITUTE($A2199,CHAR(9)," ")," "," "),CHAR(13),""))</f>
        <v/>
      </c>
      <c r="H2199" s="58">
        <f>IF($G2199="","",IF(ISNUMBER(FIND(" ",$G2199)),$G2199,IFERROR(IF((LEN(SUBSTITUTE(SUBSTITUTE($G2199,"-"," ",LEN($G2199)-LEN(SUBSTITUTE($G2199,"-",""))),"-"," ",LEN($G2199)-LEN(SUBSTITUTE($G2199,"-",""))-1))-LEN(SUBSTITUTE(SUBSTITUTE(SUBSTITUTE($G2199,"-"," ",LEN($G2199)-LEN(SUBSTITUTE($G2199,"-",""))),"-"," ",LEN($G2199)-LEN(SUBSTITUTE($G2199,"-",""))-1),".","")))=0,SUBSTITUTE(SUBSTITUTE($G2199,"-"," ",LEN($G2199)-LEN(SUBSTITUTE($G2199,"-",""))),"-"," ",LEN($G2199)-LEN(SUBSTITUTE($G2199,"-",""))-1),SUBSTITUTE(SUBSTITUTE(SUBSTITUTE($G2199,"-"," ",LEN($G2199)-LEN(SUBSTITUTE($G2199,"-",""))),"-"," ",LEN($G2199)-LEN(SUBSTITUTE($G2199,"-",""))-1),"."," ",(LEN(SUBSTITUTE(SUBSTITUTE($G2199,"-"," ",LEN($G2199)-LEN(SUBSTITUTE($G2199,"-",""))),"-"," ",LEN($G2199)-LEN(SUBSTITUTE($G2199,"-",""))-1))-LEN(SUBSTITUTE(SUBSTITUTE(SUBSTITUTE($G2199,"-"," ",LEN($G2199)-LEN(SUBSTITUTE($G2199,"-",""))),"-"," ",LEN($G2199)-LEN(SUBSTITUTE($G2199,"-",""))-1),".",""))))),$G2199)))</f>
        <v/>
      </c>
    </row>
    <row r="2200">
      <c r="A2200" s="58" t="n"/>
      <c r="B2200" s="58">
        <f>IF($H2200="","",LEFT($H2200,FIND(" ",$H2200&amp;" ")-1))</f>
        <v/>
      </c>
      <c r="C2200" s="58">
        <f>IF($H2200="","",IFERROR(MID($H2200&amp;" ",FIND("|",SUBSTITUTE($H2200&amp;" "," ","|",1))+1,FIND("|",SUBSTITUTE($H2200&amp;" "," ","|",2))-FIND("|",SUBSTITUTE($H2200&amp;" "," ","|",1))-1),""))</f>
        <v/>
      </c>
      <c r="D2200" s="58">
        <f>IF($H2200="","",IFERROR(MID($H2200&amp;" ",FIND("|",SUBSTITUTE($H2200&amp;" "," ","|",2))+1,FIND("|",SUBSTITUTE($H2200&amp;" "," ","|",3))-FIND("|",SUBSTITUTE($H2200&amp;" "," ","|",2))-1),""))</f>
        <v/>
      </c>
      <c r="E2200" s="58">
        <f>IF($H2200="","",IFERROR(MID($H2200&amp;" ",FIND("|",SUBSTITUTE($H2200&amp;" "," ","|",3))+1,FIND("|",SUBSTITUTE($H2200&amp;" "," ","|",4))-FIND("|",SUBSTITUTE($H2200&amp;" "," ","|",3))-1),""))</f>
        <v/>
      </c>
      <c r="F2200" s="59">
        <f>IF($H2200="","",IFERROR(VALUE(IFERROR(MID($H2200&amp;" ",FIND("|",SUBSTITUTE($H2200&amp;" "," ","|",4))+1,FIND("|",SUBSTITUTE($H2200&amp;" "," ","|",5))-FIND("|",SUBSTITUTE($H2200&amp;" "," ","|",4))-1),""))/86400+25569+9/24,""))</f>
        <v/>
      </c>
      <c r="G2200" s="58">
        <f>TRIM(SUBSTITUTE(SUBSTITUTE(SUBSTITUTE($A2200,CHAR(9)," ")," "," "),CHAR(13),""))</f>
        <v/>
      </c>
      <c r="H2200" s="58">
        <f>IF($G2200="","",IF(ISNUMBER(FIND(" ",$G2200)),$G2200,IFERROR(IF((LEN(SUBSTITUTE(SUBSTITUTE($G2200,"-"," ",LEN($G2200)-LEN(SUBSTITUTE($G2200,"-",""))),"-"," ",LEN($G2200)-LEN(SUBSTITUTE($G2200,"-",""))-1))-LEN(SUBSTITUTE(SUBSTITUTE(SUBSTITUTE($G2200,"-"," ",LEN($G2200)-LEN(SUBSTITUTE($G2200,"-",""))),"-"," ",LEN($G2200)-LEN(SUBSTITUTE($G2200,"-",""))-1),".","")))=0,SUBSTITUTE(SUBSTITUTE($G2200,"-"," ",LEN($G2200)-LEN(SUBSTITUTE($G2200,"-",""))),"-"," ",LEN($G2200)-LEN(SUBSTITUTE($G2200,"-",""))-1),SUBSTITUTE(SUBSTITUTE(SUBSTITUTE($G2200,"-"," ",LEN($G2200)-LEN(SUBSTITUTE($G2200,"-",""))),"-"," ",LEN($G2200)-LEN(SUBSTITUTE($G2200,"-",""))-1),"."," ",(LEN(SUBSTITUTE(SUBSTITUTE($G2200,"-"," ",LEN($G2200)-LEN(SUBSTITUTE($G2200,"-",""))),"-"," ",LEN($G2200)-LEN(SUBSTITUTE($G2200,"-",""))-1))-LEN(SUBSTITUTE(SUBSTITUTE(SUBSTITUTE($G2200,"-"," ",LEN($G2200)-LEN(SUBSTITUTE($G2200,"-",""))),"-"," ",LEN($G2200)-LEN(SUBSTITUTE($G2200,"-",""))-1),".",""))))),$G2200)))</f>
        <v/>
      </c>
    </row>
    <row r="2201">
      <c r="A2201" s="58" t="n"/>
      <c r="B2201" s="58">
        <f>IF($H2201="","",LEFT($H2201,FIND(" ",$H2201&amp;" ")-1))</f>
        <v/>
      </c>
      <c r="C2201" s="58">
        <f>IF($H2201="","",IFERROR(MID($H2201&amp;" ",FIND("|",SUBSTITUTE($H2201&amp;" "," ","|",1))+1,FIND("|",SUBSTITUTE($H2201&amp;" "," ","|",2))-FIND("|",SUBSTITUTE($H2201&amp;" "," ","|",1))-1),""))</f>
        <v/>
      </c>
      <c r="D2201" s="58">
        <f>IF($H2201="","",IFERROR(MID($H2201&amp;" ",FIND("|",SUBSTITUTE($H2201&amp;" "," ","|",2))+1,FIND("|",SUBSTITUTE($H2201&amp;" "," ","|",3))-FIND("|",SUBSTITUTE($H2201&amp;" "," ","|",2))-1),""))</f>
        <v/>
      </c>
      <c r="E2201" s="58">
        <f>IF($H2201="","",IFERROR(MID($H2201&amp;" ",FIND("|",SUBSTITUTE($H2201&amp;" "," ","|",3))+1,FIND("|",SUBSTITUTE($H2201&amp;" "," ","|",4))-FIND("|",SUBSTITUTE($H2201&amp;" "," ","|",3))-1),""))</f>
        <v/>
      </c>
      <c r="F2201" s="59">
        <f>IF($H2201="","",IFERROR(VALUE(IFERROR(MID($H2201&amp;" ",FIND("|",SUBSTITUTE($H2201&amp;" "," ","|",4))+1,FIND("|",SUBSTITUTE($H2201&amp;" "," ","|",5))-FIND("|",SUBSTITUTE($H2201&amp;" "," ","|",4))-1),""))/86400+25569+9/24,""))</f>
        <v/>
      </c>
      <c r="G2201" s="58">
        <f>TRIM(SUBSTITUTE(SUBSTITUTE(SUBSTITUTE($A2201,CHAR(9)," ")," "," "),CHAR(13),""))</f>
        <v/>
      </c>
      <c r="H2201" s="58">
        <f>IF($G2201="","",IF(ISNUMBER(FIND(" ",$G2201)),$G2201,IFERROR(IF((LEN(SUBSTITUTE(SUBSTITUTE($G2201,"-"," ",LEN($G2201)-LEN(SUBSTITUTE($G2201,"-",""))),"-"," ",LEN($G2201)-LEN(SUBSTITUTE($G2201,"-",""))-1))-LEN(SUBSTITUTE(SUBSTITUTE(SUBSTITUTE($G2201,"-"," ",LEN($G2201)-LEN(SUBSTITUTE($G2201,"-",""))),"-"," ",LEN($G2201)-LEN(SUBSTITUTE($G2201,"-",""))-1),".","")))=0,SUBSTITUTE(SUBSTITUTE($G2201,"-"," ",LEN($G2201)-LEN(SUBSTITUTE($G2201,"-",""))),"-"," ",LEN($G2201)-LEN(SUBSTITUTE($G2201,"-",""))-1),SUBSTITUTE(SUBSTITUTE(SUBSTITUTE($G2201,"-"," ",LEN($G2201)-LEN(SUBSTITUTE($G2201,"-",""))),"-"," ",LEN($G2201)-LEN(SUBSTITUTE($G2201,"-",""))-1),"."," ",(LEN(SUBSTITUTE(SUBSTITUTE($G2201,"-"," ",LEN($G2201)-LEN(SUBSTITUTE($G2201,"-",""))),"-"," ",LEN($G2201)-LEN(SUBSTITUTE($G2201,"-",""))-1))-LEN(SUBSTITUTE(SUBSTITUTE(SUBSTITUTE($G2201,"-"," ",LEN($G2201)-LEN(SUBSTITUTE($G2201,"-",""))),"-"," ",LEN($G2201)-LEN(SUBSTITUTE($G2201,"-",""))-1),".",""))))),$G2201)))</f>
        <v/>
      </c>
    </row>
    <row r="2202">
      <c r="A2202" s="58" t="n"/>
      <c r="B2202" s="58">
        <f>IF($H2202="","",LEFT($H2202,FIND(" ",$H2202&amp;" ")-1))</f>
        <v/>
      </c>
      <c r="C2202" s="58">
        <f>IF($H2202="","",IFERROR(MID($H2202&amp;" ",FIND("|",SUBSTITUTE($H2202&amp;" "," ","|",1))+1,FIND("|",SUBSTITUTE($H2202&amp;" "," ","|",2))-FIND("|",SUBSTITUTE($H2202&amp;" "," ","|",1))-1),""))</f>
        <v/>
      </c>
      <c r="D2202" s="58">
        <f>IF($H2202="","",IFERROR(MID($H2202&amp;" ",FIND("|",SUBSTITUTE($H2202&amp;" "," ","|",2))+1,FIND("|",SUBSTITUTE($H2202&amp;" "," ","|",3))-FIND("|",SUBSTITUTE($H2202&amp;" "," ","|",2))-1),""))</f>
        <v/>
      </c>
      <c r="E2202" s="58">
        <f>IF($H2202="","",IFERROR(MID($H2202&amp;" ",FIND("|",SUBSTITUTE($H2202&amp;" "," ","|",3))+1,FIND("|",SUBSTITUTE($H2202&amp;" "," ","|",4))-FIND("|",SUBSTITUTE($H2202&amp;" "," ","|",3))-1),""))</f>
        <v/>
      </c>
      <c r="F2202" s="59">
        <f>IF($H2202="","",IFERROR(VALUE(IFERROR(MID($H2202&amp;" ",FIND("|",SUBSTITUTE($H2202&amp;" "," ","|",4))+1,FIND("|",SUBSTITUTE($H2202&amp;" "," ","|",5))-FIND("|",SUBSTITUTE($H2202&amp;" "," ","|",4))-1),""))/86400+25569+9/24,""))</f>
        <v/>
      </c>
      <c r="G2202" s="58">
        <f>TRIM(SUBSTITUTE(SUBSTITUTE(SUBSTITUTE($A2202,CHAR(9)," ")," "," "),CHAR(13),""))</f>
        <v/>
      </c>
      <c r="H2202" s="58">
        <f>IF($G2202="","",IF(ISNUMBER(FIND(" ",$G2202)),$G2202,IFERROR(IF((LEN(SUBSTITUTE(SUBSTITUTE($G2202,"-"," ",LEN($G2202)-LEN(SUBSTITUTE($G2202,"-",""))),"-"," ",LEN($G2202)-LEN(SUBSTITUTE($G2202,"-",""))-1))-LEN(SUBSTITUTE(SUBSTITUTE(SUBSTITUTE($G2202,"-"," ",LEN($G2202)-LEN(SUBSTITUTE($G2202,"-",""))),"-"," ",LEN($G2202)-LEN(SUBSTITUTE($G2202,"-",""))-1),".","")))=0,SUBSTITUTE(SUBSTITUTE($G2202,"-"," ",LEN($G2202)-LEN(SUBSTITUTE($G2202,"-",""))),"-"," ",LEN($G2202)-LEN(SUBSTITUTE($G2202,"-",""))-1),SUBSTITUTE(SUBSTITUTE(SUBSTITUTE($G2202,"-"," ",LEN($G2202)-LEN(SUBSTITUTE($G2202,"-",""))),"-"," ",LEN($G2202)-LEN(SUBSTITUTE($G2202,"-",""))-1),"."," ",(LEN(SUBSTITUTE(SUBSTITUTE($G2202,"-"," ",LEN($G2202)-LEN(SUBSTITUTE($G2202,"-",""))),"-"," ",LEN($G2202)-LEN(SUBSTITUTE($G2202,"-",""))-1))-LEN(SUBSTITUTE(SUBSTITUTE(SUBSTITUTE($G2202,"-"," ",LEN($G2202)-LEN(SUBSTITUTE($G2202,"-",""))),"-"," ",LEN($G2202)-LEN(SUBSTITUTE($G2202,"-",""))-1),".",""))))),$G2202)))</f>
        <v/>
      </c>
    </row>
    <row r="2203">
      <c r="A2203" s="58" t="n"/>
      <c r="B2203" s="58">
        <f>IF($H2203="","",LEFT($H2203,FIND(" ",$H2203&amp;" ")-1))</f>
        <v/>
      </c>
      <c r="C2203" s="58">
        <f>IF($H2203="","",IFERROR(MID($H2203&amp;" ",FIND("|",SUBSTITUTE($H2203&amp;" "," ","|",1))+1,FIND("|",SUBSTITUTE($H2203&amp;" "," ","|",2))-FIND("|",SUBSTITUTE($H2203&amp;" "," ","|",1))-1),""))</f>
        <v/>
      </c>
      <c r="D2203" s="58">
        <f>IF($H2203="","",IFERROR(MID($H2203&amp;" ",FIND("|",SUBSTITUTE($H2203&amp;" "," ","|",2))+1,FIND("|",SUBSTITUTE($H2203&amp;" "," ","|",3))-FIND("|",SUBSTITUTE($H2203&amp;" "," ","|",2))-1),""))</f>
        <v/>
      </c>
      <c r="E2203" s="58">
        <f>IF($H2203="","",IFERROR(MID($H2203&amp;" ",FIND("|",SUBSTITUTE($H2203&amp;" "," ","|",3))+1,FIND("|",SUBSTITUTE($H2203&amp;" "," ","|",4))-FIND("|",SUBSTITUTE($H2203&amp;" "," ","|",3))-1),""))</f>
        <v/>
      </c>
      <c r="F2203" s="59">
        <f>IF($H2203="","",IFERROR(VALUE(IFERROR(MID($H2203&amp;" ",FIND("|",SUBSTITUTE($H2203&amp;" "," ","|",4))+1,FIND("|",SUBSTITUTE($H2203&amp;" "," ","|",5))-FIND("|",SUBSTITUTE($H2203&amp;" "," ","|",4))-1),""))/86400+25569+9/24,""))</f>
        <v/>
      </c>
      <c r="G2203" s="58">
        <f>TRIM(SUBSTITUTE(SUBSTITUTE(SUBSTITUTE($A2203,CHAR(9)," ")," "," "),CHAR(13),""))</f>
        <v/>
      </c>
      <c r="H2203" s="58">
        <f>IF($G2203="","",IF(ISNUMBER(FIND(" ",$G2203)),$G2203,IFERROR(IF((LEN(SUBSTITUTE(SUBSTITUTE($G2203,"-"," ",LEN($G2203)-LEN(SUBSTITUTE($G2203,"-",""))),"-"," ",LEN($G2203)-LEN(SUBSTITUTE($G2203,"-",""))-1))-LEN(SUBSTITUTE(SUBSTITUTE(SUBSTITUTE($G2203,"-"," ",LEN($G2203)-LEN(SUBSTITUTE($G2203,"-",""))),"-"," ",LEN($G2203)-LEN(SUBSTITUTE($G2203,"-",""))-1),".","")))=0,SUBSTITUTE(SUBSTITUTE($G2203,"-"," ",LEN($G2203)-LEN(SUBSTITUTE($G2203,"-",""))),"-"," ",LEN($G2203)-LEN(SUBSTITUTE($G2203,"-",""))-1),SUBSTITUTE(SUBSTITUTE(SUBSTITUTE($G2203,"-"," ",LEN($G2203)-LEN(SUBSTITUTE($G2203,"-",""))),"-"," ",LEN($G2203)-LEN(SUBSTITUTE($G2203,"-",""))-1),"."," ",(LEN(SUBSTITUTE(SUBSTITUTE($G2203,"-"," ",LEN($G2203)-LEN(SUBSTITUTE($G2203,"-",""))),"-"," ",LEN($G2203)-LEN(SUBSTITUTE($G2203,"-",""))-1))-LEN(SUBSTITUTE(SUBSTITUTE(SUBSTITUTE($G2203,"-"," ",LEN($G2203)-LEN(SUBSTITUTE($G2203,"-",""))),"-"," ",LEN($G2203)-LEN(SUBSTITUTE($G2203,"-",""))-1),".",""))))),$G2203)))</f>
        <v/>
      </c>
    </row>
    <row r="2204">
      <c r="A2204" s="58" t="n"/>
      <c r="B2204" s="58">
        <f>IF($H2204="","",LEFT($H2204,FIND(" ",$H2204&amp;" ")-1))</f>
        <v/>
      </c>
      <c r="C2204" s="58">
        <f>IF($H2204="","",IFERROR(MID($H2204&amp;" ",FIND("|",SUBSTITUTE($H2204&amp;" "," ","|",1))+1,FIND("|",SUBSTITUTE($H2204&amp;" "," ","|",2))-FIND("|",SUBSTITUTE($H2204&amp;" "," ","|",1))-1),""))</f>
        <v/>
      </c>
      <c r="D2204" s="58">
        <f>IF($H2204="","",IFERROR(MID($H2204&amp;" ",FIND("|",SUBSTITUTE($H2204&amp;" "," ","|",2))+1,FIND("|",SUBSTITUTE($H2204&amp;" "," ","|",3))-FIND("|",SUBSTITUTE($H2204&amp;" "," ","|",2))-1),""))</f>
        <v/>
      </c>
      <c r="E2204" s="58">
        <f>IF($H2204="","",IFERROR(MID($H2204&amp;" ",FIND("|",SUBSTITUTE($H2204&amp;" "," ","|",3))+1,FIND("|",SUBSTITUTE($H2204&amp;" "," ","|",4))-FIND("|",SUBSTITUTE($H2204&amp;" "," ","|",3))-1),""))</f>
        <v/>
      </c>
      <c r="F2204" s="59">
        <f>IF($H2204="","",IFERROR(VALUE(IFERROR(MID($H2204&amp;" ",FIND("|",SUBSTITUTE($H2204&amp;" "," ","|",4))+1,FIND("|",SUBSTITUTE($H2204&amp;" "," ","|",5))-FIND("|",SUBSTITUTE($H2204&amp;" "," ","|",4))-1),""))/86400+25569+9/24,""))</f>
        <v/>
      </c>
      <c r="G2204" s="58">
        <f>TRIM(SUBSTITUTE(SUBSTITUTE(SUBSTITUTE($A2204,CHAR(9)," ")," "," "),CHAR(13),""))</f>
        <v/>
      </c>
      <c r="H2204" s="58">
        <f>IF($G2204="","",IF(ISNUMBER(FIND(" ",$G2204)),$G2204,IFERROR(IF((LEN(SUBSTITUTE(SUBSTITUTE($G2204,"-"," ",LEN($G2204)-LEN(SUBSTITUTE($G2204,"-",""))),"-"," ",LEN($G2204)-LEN(SUBSTITUTE($G2204,"-",""))-1))-LEN(SUBSTITUTE(SUBSTITUTE(SUBSTITUTE($G2204,"-"," ",LEN($G2204)-LEN(SUBSTITUTE($G2204,"-",""))),"-"," ",LEN($G2204)-LEN(SUBSTITUTE($G2204,"-",""))-1),".","")))=0,SUBSTITUTE(SUBSTITUTE($G2204,"-"," ",LEN($G2204)-LEN(SUBSTITUTE($G2204,"-",""))),"-"," ",LEN($G2204)-LEN(SUBSTITUTE($G2204,"-",""))-1),SUBSTITUTE(SUBSTITUTE(SUBSTITUTE($G2204,"-"," ",LEN($G2204)-LEN(SUBSTITUTE($G2204,"-",""))),"-"," ",LEN($G2204)-LEN(SUBSTITUTE($G2204,"-",""))-1),"."," ",(LEN(SUBSTITUTE(SUBSTITUTE($G2204,"-"," ",LEN($G2204)-LEN(SUBSTITUTE($G2204,"-",""))),"-"," ",LEN($G2204)-LEN(SUBSTITUTE($G2204,"-",""))-1))-LEN(SUBSTITUTE(SUBSTITUTE(SUBSTITUTE($G2204,"-"," ",LEN($G2204)-LEN(SUBSTITUTE($G2204,"-",""))),"-"," ",LEN($G2204)-LEN(SUBSTITUTE($G2204,"-",""))-1),".",""))))),$G2204)))</f>
        <v/>
      </c>
    </row>
    <row r="2205">
      <c r="A2205" s="58" t="n"/>
      <c r="B2205" s="58">
        <f>IF($H2205="","",LEFT($H2205,FIND(" ",$H2205&amp;" ")-1))</f>
        <v/>
      </c>
      <c r="C2205" s="58">
        <f>IF($H2205="","",IFERROR(MID($H2205&amp;" ",FIND("|",SUBSTITUTE($H2205&amp;" "," ","|",1))+1,FIND("|",SUBSTITUTE($H2205&amp;" "," ","|",2))-FIND("|",SUBSTITUTE($H2205&amp;" "," ","|",1))-1),""))</f>
        <v/>
      </c>
      <c r="D2205" s="58">
        <f>IF($H2205="","",IFERROR(MID($H2205&amp;" ",FIND("|",SUBSTITUTE($H2205&amp;" "," ","|",2))+1,FIND("|",SUBSTITUTE($H2205&amp;" "," ","|",3))-FIND("|",SUBSTITUTE($H2205&amp;" "," ","|",2))-1),""))</f>
        <v/>
      </c>
      <c r="E2205" s="58">
        <f>IF($H2205="","",IFERROR(MID($H2205&amp;" ",FIND("|",SUBSTITUTE($H2205&amp;" "," ","|",3))+1,FIND("|",SUBSTITUTE($H2205&amp;" "," ","|",4))-FIND("|",SUBSTITUTE($H2205&amp;" "," ","|",3))-1),""))</f>
        <v/>
      </c>
      <c r="F2205" s="59">
        <f>IF($H2205="","",IFERROR(VALUE(IFERROR(MID($H2205&amp;" ",FIND("|",SUBSTITUTE($H2205&amp;" "," ","|",4))+1,FIND("|",SUBSTITUTE($H2205&amp;" "," ","|",5))-FIND("|",SUBSTITUTE($H2205&amp;" "," ","|",4))-1),""))/86400+25569+9/24,""))</f>
        <v/>
      </c>
      <c r="G2205" s="58">
        <f>TRIM(SUBSTITUTE(SUBSTITUTE(SUBSTITUTE($A2205,CHAR(9)," ")," "," "),CHAR(13),""))</f>
        <v/>
      </c>
      <c r="H2205" s="58">
        <f>IF($G2205="","",IF(ISNUMBER(FIND(" ",$G2205)),$G2205,IFERROR(IF((LEN(SUBSTITUTE(SUBSTITUTE($G2205,"-"," ",LEN($G2205)-LEN(SUBSTITUTE($G2205,"-",""))),"-"," ",LEN($G2205)-LEN(SUBSTITUTE($G2205,"-",""))-1))-LEN(SUBSTITUTE(SUBSTITUTE(SUBSTITUTE($G2205,"-"," ",LEN($G2205)-LEN(SUBSTITUTE($G2205,"-",""))),"-"," ",LEN($G2205)-LEN(SUBSTITUTE($G2205,"-",""))-1),".","")))=0,SUBSTITUTE(SUBSTITUTE($G2205,"-"," ",LEN($G2205)-LEN(SUBSTITUTE($G2205,"-",""))),"-"," ",LEN($G2205)-LEN(SUBSTITUTE($G2205,"-",""))-1),SUBSTITUTE(SUBSTITUTE(SUBSTITUTE($G2205,"-"," ",LEN($G2205)-LEN(SUBSTITUTE($G2205,"-",""))),"-"," ",LEN($G2205)-LEN(SUBSTITUTE($G2205,"-",""))-1),"."," ",(LEN(SUBSTITUTE(SUBSTITUTE($G2205,"-"," ",LEN($G2205)-LEN(SUBSTITUTE($G2205,"-",""))),"-"," ",LEN($G2205)-LEN(SUBSTITUTE($G2205,"-",""))-1))-LEN(SUBSTITUTE(SUBSTITUTE(SUBSTITUTE($G2205,"-"," ",LEN($G2205)-LEN(SUBSTITUTE($G2205,"-",""))),"-"," ",LEN($G2205)-LEN(SUBSTITUTE($G2205,"-",""))-1),".",""))))),$G2205)))</f>
        <v/>
      </c>
    </row>
    <row r="2206">
      <c r="A2206" s="58" t="n"/>
      <c r="B2206" s="58">
        <f>IF($H2206="","",LEFT($H2206,FIND(" ",$H2206&amp;" ")-1))</f>
        <v/>
      </c>
      <c r="C2206" s="58">
        <f>IF($H2206="","",IFERROR(MID($H2206&amp;" ",FIND("|",SUBSTITUTE($H2206&amp;" "," ","|",1))+1,FIND("|",SUBSTITUTE($H2206&amp;" "," ","|",2))-FIND("|",SUBSTITUTE($H2206&amp;" "," ","|",1))-1),""))</f>
        <v/>
      </c>
      <c r="D2206" s="58">
        <f>IF($H2206="","",IFERROR(MID($H2206&amp;" ",FIND("|",SUBSTITUTE($H2206&amp;" "," ","|",2))+1,FIND("|",SUBSTITUTE($H2206&amp;" "," ","|",3))-FIND("|",SUBSTITUTE($H2206&amp;" "," ","|",2))-1),""))</f>
        <v/>
      </c>
      <c r="E2206" s="58">
        <f>IF($H2206="","",IFERROR(MID($H2206&amp;" ",FIND("|",SUBSTITUTE($H2206&amp;" "," ","|",3))+1,FIND("|",SUBSTITUTE($H2206&amp;" "," ","|",4))-FIND("|",SUBSTITUTE($H2206&amp;" "," ","|",3))-1),""))</f>
        <v/>
      </c>
      <c r="F2206" s="59">
        <f>IF($H2206="","",IFERROR(VALUE(IFERROR(MID($H2206&amp;" ",FIND("|",SUBSTITUTE($H2206&amp;" "," ","|",4))+1,FIND("|",SUBSTITUTE($H2206&amp;" "," ","|",5))-FIND("|",SUBSTITUTE($H2206&amp;" "," ","|",4))-1),""))/86400+25569+9/24,""))</f>
        <v/>
      </c>
      <c r="G2206" s="58">
        <f>TRIM(SUBSTITUTE(SUBSTITUTE(SUBSTITUTE($A2206,CHAR(9)," ")," "," "),CHAR(13),""))</f>
        <v/>
      </c>
      <c r="H2206" s="58">
        <f>IF($G2206="","",IF(ISNUMBER(FIND(" ",$G2206)),$G2206,IFERROR(IF((LEN(SUBSTITUTE(SUBSTITUTE($G2206,"-"," ",LEN($G2206)-LEN(SUBSTITUTE($G2206,"-",""))),"-"," ",LEN($G2206)-LEN(SUBSTITUTE($G2206,"-",""))-1))-LEN(SUBSTITUTE(SUBSTITUTE(SUBSTITUTE($G2206,"-"," ",LEN($G2206)-LEN(SUBSTITUTE($G2206,"-",""))),"-"," ",LEN($G2206)-LEN(SUBSTITUTE($G2206,"-",""))-1),".","")))=0,SUBSTITUTE(SUBSTITUTE($G2206,"-"," ",LEN($G2206)-LEN(SUBSTITUTE($G2206,"-",""))),"-"," ",LEN($G2206)-LEN(SUBSTITUTE($G2206,"-",""))-1),SUBSTITUTE(SUBSTITUTE(SUBSTITUTE($G2206,"-"," ",LEN($G2206)-LEN(SUBSTITUTE($G2206,"-",""))),"-"," ",LEN($G2206)-LEN(SUBSTITUTE($G2206,"-",""))-1),"."," ",(LEN(SUBSTITUTE(SUBSTITUTE($G2206,"-"," ",LEN($G2206)-LEN(SUBSTITUTE($G2206,"-",""))),"-"," ",LEN($G2206)-LEN(SUBSTITUTE($G2206,"-",""))-1))-LEN(SUBSTITUTE(SUBSTITUTE(SUBSTITUTE($G2206,"-"," ",LEN($G2206)-LEN(SUBSTITUTE($G2206,"-",""))),"-"," ",LEN($G2206)-LEN(SUBSTITUTE($G2206,"-",""))-1),".",""))))),$G2206)))</f>
        <v/>
      </c>
    </row>
    <row r="2207">
      <c r="A2207" s="58" t="n"/>
      <c r="B2207" s="58">
        <f>IF($H2207="","",LEFT($H2207,FIND(" ",$H2207&amp;" ")-1))</f>
        <v/>
      </c>
      <c r="C2207" s="58">
        <f>IF($H2207="","",IFERROR(MID($H2207&amp;" ",FIND("|",SUBSTITUTE($H2207&amp;" "," ","|",1))+1,FIND("|",SUBSTITUTE($H2207&amp;" "," ","|",2))-FIND("|",SUBSTITUTE($H2207&amp;" "," ","|",1))-1),""))</f>
        <v/>
      </c>
      <c r="D2207" s="58">
        <f>IF($H2207="","",IFERROR(MID($H2207&amp;" ",FIND("|",SUBSTITUTE($H2207&amp;" "," ","|",2))+1,FIND("|",SUBSTITUTE($H2207&amp;" "," ","|",3))-FIND("|",SUBSTITUTE($H2207&amp;" "," ","|",2))-1),""))</f>
        <v/>
      </c>
      <c r="E2207" s="58">
        <f>IF($H2207="","",IFERROR(MID($H2207&amp;" ",FIND("|",SUBSTITUTE($H2207&amp;" "," ","|",3))+1,FIND("|",SUBSTITUTE($H2207&amp;" "," ","|",4))-FIND("|",SUBSTITUTE($H2207&amp;" "," ","|",3))-1),""))</f>
        <v/>
      </c>
      <c r="F2207" s="59">
        <f>IF($H2207="","",IFERROR(VALUE(IFERROR(MID($H2207&amp;" ",FIND("|",SUBSTITUTE($H2207&amp;" "," ","|",4))+1,FIND("|",SUBSTITUTE($H2207&amp;" "," ","|",5))-FIND("|",SUBSTITUTE($H2207&amp;" "," ","|",4))-1),""))/86400+25569+9/24,""))</f>
        <v/>
      </c>
      <c r="G2207" s="58">
        <f>TRIM(SUBSTITUTE(SUBSTITUTE(SUBSTITUTE($A2207,CHAR(9)," ")," "," "),CHAR(13),""))</f>
        <v/>
      </c>
      <c r="H2207" s="58">
        <f>IF($G2207="","",IF(ISNUMBER(FIND(" ",$G2207)),$G2207,IFERROR(IF((LEN(SUBSTITUTE(SUBSTITUTE($G2207,"-"," ",LEN($G2207)-LEN(SUBSTITUTE($G2207,"-",""))),"-"," ",LEN($G2207)-LEN(SUBSTITUTE($G2207,"-",""))-1))-LEN(SUBSTITUTE(SUBSTITUTE(SUBSTITUTE($G2207,"-"," ",LEN($G2207)-LEN(SUBSTITUTE($G2207,"-",""))),"-"," ",LEN($G2207)-LEN(SUBSTITUTE($G2207,"-",""))-1),".","")))=0,SUBSTITUTE(SUBSTITUTE($G2207,"-"," ",LEN($G2207)-LEN(SUBSTITUTE($G2207,"-",""))),"-"," ",LEN($G2207)-LEN(SUBSTITUTE($G2207,"-",""))-1),SUBSTITUTE(SUBSTITUTE(SUBSTITUTE($G2207,"-"," ",LEN($G2207)-LEN(SUBSTITUTE($G2207,"-",""))),"-"," ",LEN($G2207)-LEN(SUBSTITUTE($G2207,"-",""))-1),"."," ",(LEN(SUBSTITUTE(SUBSTITUTE($G2207,"-"," ",LEN($G2207)-LEN(SUBSTITUTE($G2207,"-",""))),"-"," ",LEN($G2207)-LEN(SUBSTITUTE($G2207,"-",""))-1))-LEN(SUBSTITUTE(SUBSTITUTE(SUBSTITUTE($G2207,"-"," ",LEN($G2207)-LEN(SUBSTITUTE($G2207,"-",""))),"-"," ",LEN($G2207)-LEN(SUBSTITUTE($G2207,"-",""))-1),".",""))))),$G2207)))</f>
        <v/>
      </c>
    </row>
    <row r="2208">
      <c r="A2208" s="58" t="n"/>
      <c r="B2208" s="58">
        <f>IF($H2208="","",LEFT($H2208,FIND(" ",$H2208&amp;" ")-1))</f>
        <v/>
      </c>
      <c r="C2208" s="58">
        <f>IF($H2208="","",IFERROR(MID($H2208&amp;" ",FIND("|",SUBSTITUTE($H2208&amp;" "," ","|",1))+1,FIND("|",SUBSTITUTE($H2208&amp;" "," ","|",2))-FIND("|",SUBSTITUTE($H2208&amp;" "," ","|",1))-1),""))</f>
        <v/>
      </c>
      <c r="D2208" s="58">
        <f>IF($H2208="","",IFERROR(MID($H2208&amp;" ",FIND("|",SUBSTITUTE($H2208&amp;" "," ","|",2))+1,FIND("|",SUBSTITUTE($H2208&amp;" "," ","|",3))-FIND("|",SUBSTITUTE($H2208&amp;" "," ","|",2))-1),""))</f>
        <v/>
      </c>
      <c r="E2208" s="58">
        <f>IF($H2208="","",IFERROR(MID($H2208&amp;" ",FIND("|",SUBSTITUTE($H2208&amp;" "," ","|",3))+1,FIND("|",SUBSTITUTE($H2208&amp;" "," ","|",4))-FIND("|",SUBSTITUTE($H2208&amp;" "," ","|",3))-1),""))</f>
        <v/>
      </c>
      <c r="F2208" s="59">
        <f>IF($H2208="","",IFERROR(VALUE(IFERROR(MID($H2208&amp;" ",FIND("|",SUBSTITUTE($H2208&amp;" "," ","|",4))+1,FIND("|",SUBSTITUTE($H2208&amp;" "," ","|",5))-FIND("|",SUBSTITUTE($H2208&amp;" "," ","|",4))-1),""))/86400+25569+9/24,""))</f>
        <v/>
      </c>
      <c r="G2208" s="58">
        <f>TRIM(SUBSTITUTE(SUBSTITUTE(SUBSTITUTE($A2208,CHAR(9)," ")," "," "),CHAR(13),""))</f>
        <v/>
      </c>
      <c r="H2208" s="58">
        <f>IF($G2208="","",IF(ISNUMBER(FIND(" ",$G2208)),$G2208,IFERROR(IF((LEN(SUBSTITUTE(SUBSTITUTE($G2208,"-"," ",LEN($G2208)-LEN(SUBSTITUTE($G2208,"-",""))),"-"," ",LEN($G2208)-LEN(SUBSTITUTE($G2208,"-",""))-1))-LEN(SUBSTITUTE(SUBSTITUTE(SUBSTITUTE($G2208,"-"," ",LEN($G2208)-LEN(SUBSTITUTE($G2208,"-",""))),"-"," ",LEN($G2208)-LEN(SUBSTITUTE($G2208,"-",""))-1),".","")))=0,SUBSTITUTE(SUBSTITUTE($G2208,"-"," ",LEN($G2208)-LEN(SUBSTITUTE($G2208,"-",""))),"-"," ",LEN($G2208)-LEN(SUBSTITUTE($G2208,"-",""))-1),SUBSTITUTE(SUBSTITUTE(SUBSTITUTE($G2208,"-"," ",LEN($G2208)-LEN(SUBSTITUTE($G2208,"-",""))),"-"," ",LEN($G2208)-LEN(SUBSTITUTE($G2208,"-",""))-1),"."," ",(LEN(SUBSTITUTE(SUBSTITUTE($G2208,"-"," ",LEN($G2208)-LEN(SUBSTITUTE($G2208,"-",""))),"-"," ",LEN($G2208)-LEN(SUBSTITUTE($G2208,"-",""))-1))-LEN(SUBSTITUTE(SUBSTITUTE(SUBSTITUTE($G2208,"-"," ",LEN($G2208)-LEN(SUBSTITUTE($G2208,"-",""))),"-"," ",LEN($G2208)-LEN(SUBSTITUTE($G2208,"-",""))-1),".",""))))),$G2208)))</f>
        <v/>
      </c>
    </row>
    <row r="2209">
      <c r="A2209" s="58" t="n"/>
      <c r="B2209" s="58">
        <f>IF($H2209="","",LEFT($H2209,FIND(" ",$H2209&amp;" ")-1))</f>
        <v/>
      </c>
      <c r="C2209" s="58">
        <f>IF($H2209="","",IFERROR(MID($H2209&amp;" ",FIND("|",SUBSTITUTE($H2209&amp;" "," ","|",1))+1,FIND("|",SUBSTITUTE($H2209&amp;" "," ","|",2))-FIND("|",SUBSTITUTE($H2209&amp;" "," ","|",1))-1),""))</f>
        <v/>
      </c>
      <c r="D2209" s="58">
        <f>IF($H2209="","",IFERROR(MID($H2209&amp;" ",FIND("|",SUBSTITUTE($H2209&amp;" "," ","|",2))+1,FIND("|",SUBSTITUTE($H2209&amp;" "," ","|",3))-FIND("|",SUBSTITUTE($H2209&amp;" "," ","|",2))-1),""))</f>
        <v/>
      </c>
      <c r="E2209" s="58">
        <f>IF($H2209="","",IFERROR(MID($H2209&amp;" ",FIND("|",SUBSTITUTE($H2209&amp;" "," ","|",3))+1,FIND("|",SUBSTITUTE($H2209&amp;" "," ","|",4))-FIND("|",SUBSTITUTE($H2209&amp;" "," ","|",3))-1),""))</f>
        <v/>
      </c>
      <c r="F2209" s="59">
        <f>IF($H2209="","",IFERROR(VALUE(IFERROR(MID($H2209&amp;" ",FIND("|",SUBSTITUTE($H2209&amp;" "," ","|",4))+1,FIND("|",SUBSTITUTE($H2209&amp;" "," ","|",5))-FIND("|",SUBSTITUTE($H2209&amp;" "," ","|",4))-1),""))/86400+25569+9/24,""))</f>
        <v/>
      </c>
      <c r="G2209" s="58">
        <f>TRIM(SUBSTITUTE(SUBSTITUTE(SUBSTITUTE($A2209,CHAR(9)," ")," "," "),CHAR(13),""))</f>
        <v/>
      </c>
      <c r="H2209" s="58">
        <f>IF($G2209="","",IF(ISNUMBER(FIND(" ",$G2209)),$G2209,IFERROR(IF((LEN(SUBSTITUTE(SUBSTITUTE($G2209,"-"," ",LEN($G2209)-LEN(SUBSTITUTE($G2209,"-",""))),"-"," ",LEN($G2209)-LEN(SUBSTITUTE($G2209,"-",""))-1))-LEN(SUBSTITUTE(SUBSTITUTE(SUBSTITUTE($G2209,"-"," ",LEN($G2209)-LEN(SUBSTITUTE($G2209,"-",""))),"-"," ",LEN($G2209)-LEN(SUBSTITUTE($G2209,"-",""))-1),".","")))=0,SUBSTITUTE(SUBSTITUTE($G2209,"-"," ",LEN($G2209)-LEN(SUBSTITUTE($G2209,"-",""))),"-"," ",LEN($G2209)-LEN(SUBSTITUTE($G2209,"-",""))-1),SUBSTITUTE(SUBSTITUTE(SUBSTITUTE($G2209,"-"," ",LEN($G2209)-LEN(SUBSTITUTE($G2209,"-",""))),"-"," ",LEN($G2209)-LEN(SUBSTITUTE($G2209,"-",""))-1),"."," ",(LEN(SUBSTITUTE(SUBSTITUTE($G2209,"-"," ",LEN($G2209)-LEN(SUBSTITUTE($G2209,"-",""))),"-"," ",LEN($G2209)-LEN(SUBSTITUTE($G2209,"-",""))-1))-LEN(SUBSTITUTE(SUBSTITUTE(SUBSTITUTE($G2209,"-"," ",LEN($G2209)-LEN(SUBSTITUTE($G2209,"-",""))),"-"," ",LEN($G2209)-LEN(SUBSTITUTE($G2209,"-",""))-1),".",""))))),$G2209)))</f>
        <v/>
      </c>
    </row>
    <row r="2210">
      <c r="A2210" s="58" t="n"/>
      <c r="B2210" s="58">
        <f>IF($H2210="","",LEFT($H2210,FIND(" ",$H2210&amp;" ")-1))</f>
        <v/>
      </c>
      <c r="C2210" s="58">
        <f>IF($H2210="","",IFERROR(MID($H2210&amp;" ",FIND("|",SUBSTITUTE($H2210&amp;" "," ","|",1))+1,FIND("|",SUBSTITUTE($H2210&amp;" "," ","|",2))-FIND("|",SUBSTITUTE($H2210&amp;" "," ","|",1))-1),""))</f>
        <v/>
      </c>
      <c r="D2210" s="58">
        <f>IF($H2210="","",IFERROR(MID($H2210&amp;" ",FIND("|",SUBSTITUTE($H2210&amp;" "," ","|",2))+1,FIND("|",SUBSTITUTE($H2210&amp;" "," ","|",3))-FIND("|",SUBSTITUTE($H2210&amp;" "," ","|",2))-1),""))</f>
        <v/>
      </c>
      <c r="E2210" s="58">
        <f>IF($H2210="","",IFERROR(MID($H2210&amp;" ",FIND("|",SUBSTITUTE($H2210&amp;" "," ","|",3))+1,FIND("|",SUBSTITUTE($H2210&amp;" "," ","|",4))-FIND("|",SUBSTITUTE($H2210&amp;" "," ","|",3))-1),""))</f>
        <v/>
      </c>
      <c r="F2210" s="59">
        <f>IF($H2210="","",IFERROR(VALUE(IFERROR(MID($H2210&amp;" ",FIND("|",SUBSTITUTE($H2210&amp;" "," ","|",4))+1,FIND("|",SUBSTITUTE($H2210&amp;" "," ","|",5))-FIND("|",SUBSTITUTE($H2210&amp;" "," ","|",4))-1),""))/86400+25569+9/24,""))</f>
        <v/>
      </c>
      <c r="G2210" s="58">
        <f>TRIM(SUBSTITUTE(SUBSTITUTE(SUBSTITUTE($A2210,CHAR(9)," ")," "," "),CHAR(13),""))</f>
        <v/>
      </c>
      <c r="H2210" s="58">
        <f>IF($G2210="","",IF(ISNUMBER(FIND(" ",$G2210)),$G2210,IFERROR(IF((LEN(SUBSTITUTE(SUBSTITUTE($G2210,"-"," ",LEN($G2210)-LEN(SUBSTITUTE($G2210,"-",""))),"-"," ",LEN($G2210)-LEN(SUBSTITUTE($G2210,"-",""))-1))-LEN(SUBSTITUTE(SUBSTITUTE(SUBSTITUTE($G2210,"-"," ",LEN($G2210)-LEN(SUBSTITUTE($G2210,"-",""))),"-"," ",LEN($G2210)-LEN(SUBSTITUTE($G2210,"-",""))-1),".","")))=0,SUBSTITUTE(SUBSTITUTE($G2210,"-"," ",LEN($G2210)-LEN(SUBSTITUTE($G2210,"-",""))),"-"," ",LEN($G2210)-LEN(SUBSTITUTE($G2210,"-",""))-1),SUBSTITUTE(SUBSTITUTE(SUBSTITUTE($G2210,"-"," ",LEN($G2210)-LEN(SUBSTITUTE($G2210,"-",""))),"-"," ",LEN($G2210)-LEN(SUBSTITUTE($G2210,"-",""))-1),"."," ",(LEN(SUBSTITUTE(SUBSTITUTE($G2210,"-"," ",LEN($G2210)-LEN(SUBSTITUTE($G2210,"-",""))),"-"," ",LEN($G2210)-LEN(SUBSTITUTE($G2210,"-",""))-1))-LEN(SUBSTITUTE(SUBSTITUTE(SUBSTITUTE($G2210,"-"," ",LEN($G2210)-LEN(SUBSTITUTE($G2210,"-",""))),"-"," ",LEN($G2210)-LEN(SUBSTITUTE($G2210,"-",""))-1),".",""))))),$G2210)))</f>
        <v/>
      </c>
    </row>
    <row r="2211">
      <c r="A2211" s="58" t="n"/>
      <c r="B2211" s="58">
        <f>IF($H2211="","",LEFT($H2211,FIND(" ",$H2211&amp;" ")-1))</f>
        <v/>
      </c>
      <c r="C2211" s="58">
        <f>IF($H2211="","",IFERROR(MID($H2211&amp;" ",FIND("|",SUBSTITUTE($H2211&amp;" "," ","|",1))+1,FIND("|",SUBSTITUTE($H2211&amp;" "," ","|",2))-FIND("|",SUBSTITUTE($H2211&amp;" "," ","|",1))-1),""))</f>
        <v/>
      </c>
      <c r="D2211" s="58">
        <f>IF($H2211="","",IFERROR(MID($H2211&amp;" ",FIND("|",SUBSTITUTE($H2211&amp;" "," ","|",2))+1,FIND("|",SUBSTITUTE($H2211&amp;" "," ","|",3))-FIND("|",SUBSTITUTE($H2211&amp;" "," ","|",2))-1),""))</f>
        <v/>
      </c>
      <c r="E2211" s="58">
        <f>IF($H2211="","",IFERROR(MID($H2211&amp;" ",FIND("|",SUBSTITUTE($H2211&amp;" "," ","|",3))+1,FIND("|",SUBSTITUTE($H2211&amp;" "," ","|",4))-FIND("|",SUBSTITUTE($H2211&amp;" "," ","|",3))-1),""))</f>
        <v/>
      </c>
      <c r="F2211" s="59">
        <f>IF($H2211="","",IFERROR(VALUE(IFERROR(MID($H2211&amp;" ",FIND("|",SUBSTITUTE($H2211&amp;" "," ","|",4))+1,FIND("|",SUBSTITUTE($H2211&amp;" "," ","|",5))-FIND("|",SUBSTITUTE($H2211&amp;" "," ","|",4))-1),""))/86400+25569+9/24,""))</f>
        <v/>
      </c>
      <c r="G2211" s="58">
        <f>TRIM(SUBSTITUTE(SUBSTITUTE(SUBSTITUTE($A2211,CHAR(9)," ")," "," "),CHAR(13),""))</f>
        <v/>
      </c>
      <c r="H2211" s="58">
        <f>IF($G2211="","",IF(ISNUMBER(FIND(" ",$G2211)),$G2211,IFERROR(IF((LEN(SUBSTITUTE(SUBSTITUTE($G2211,"-"," ",LEN($G2211)-LEN(SUBSTITUTE($G2211,"-",""))),"-"," ",LEN($G2211)-LEN(SUBSTITUTE($G2211,"-",""))-1))-LEN(SUBSTITUTE(SUBSTITUTE(SUBSTITUTE($G2211,"-"," ",LEN($G2211)-LEN(SUBSTITUTE($G2211,"-",""))),"-"," ",LEN($G2211)-LEN(SUBSTITUTE($G2211,"-",""))-1),".","")))=0,SUBSTITUTE(SUBSTITUTE($G2211,"-"," ",LEN($G2211)-LEN(SUBSTITUTE($G2211,"-",""))),"-"," ",LEN($G2211)-LEN(SUBSTITUTE($G2211,"-",""))-1),SUBSTITUTE(SUBSTITUTE(SUBSTITUTE($G2211,"-"," ",LEN($G2211)-LEN(SUBSTITUTE($G2211,"-",""))),"-"," ",LEN($G2211)-LEN(SUBSTITUTE($G2211,"-",""))-1),"."," ",(LEN(SUBSTITUTE(SUBSTITUTE($G2211,"-"," ",LEN($G2211)-LEN(SUBSTITUTE($G2211,"-",""))),"-"," ",LEN($G2211)-LEN(SUBSTITUTE($G2211,"-",""))-1))-LEN(SUBSTITUTE(SUBSTITUTE(SUBSTITUTE($G2211,"-"," ",LEN($G2211)-LEN(SUBSTITUTE($G2211,"-",""))),"-"," ",LEN($G2211)-LEN(SUBSTITUTE($G2211,"-",""))-1),".",""))))),$G2211)))</f>
        <v/>
      </c>
    </row>
    <row r="2212">
      <c r="A2212" s="58" t="n"/>
      <c r="B2212" s="58">
        <f>IF($H2212="","",LEFT($H2212,FIND(" ",$H2212&amp;" ")-1))</f>
        <v/>
      </c>
      <c r="C2212" s="58">
        <f>IF($H2212="","",IFERROR(MID($H2212&amp;" ",FIND("|",SUBSTITUTE($H2212&amp;" "," ","|",1))+1,FIND("|",SUBSTITUTE($H2212&amp;" "," ","|",2))-FIND("|",SUBSTITUTE($H2212&amp;" "," ","|",1))-1),""))</f>
        <v/>
      </c>
      <c r="D2212" s="58">
        <f>IF($H2212="","",IFERROR(MID($H2212&amp;" ",FIND("|",SUBSTITUTE($H2212&amp;" "," ","|",2))+1,FIND("|",SUBSTITUTE($H2212&amp;" "," ","|",3))-FIND("|",SUBSTITUTE($H2212&amp;" "," ","|",2))-1),""))</f>
        <v/>
      </c>
      <c r="E2212" s="58">
        <f>IF($H2212="","",IFERROR(MID($H2212&amp;" ",FIND("|",SUBSTITUTE($H2212&amp;" "," ","|",3))+1,FIND("|",SUBSTITUTE($H2212&amp;" "," ","|",4))-FIND("|",SUBSTITUTE($H2212&amp;" "," ","|",3))-1),""))</f>
        <v/>
      </c>
      <c r="F2212" s="59">
        <f>IF($H2212="","",IFERROR(VALUE(IFERROR(MID($H2212&amp;" ",FIND("|",SUBSTITUTE($H2212&amp;" "," ","|",4))+1,FIND("|",SUBSTITUTE($H2212&amp;" "," ","|",5))-FIND("|",SUBSTITUTE($H2212&amp;" "," ","|",4))-1),""))/86400+25569+9/24,""))</f>
        <v/>
      </c>
      <c r="G2212" s="58">
        <f>TRIM(SUBSTITUTE(SUBSTITUTE(SUBSTITUTE($A2212,CHAR(9)," ")," "," "),CHAR(13),""))</f>
        <v/>
      </c>
      <c r="H2212" s="58">
        <f>IF($G2212="","",IF(ISNUMBER(FIND(" ",$G2212)),$G2212,IFERROR(IF((LEN(SUBSTITUTE(SUBSTITUTE($G2212,"-"," ",LEN($G2212)-LEN(SUBSTITUTE($G2212,"-",""))),"-"," ",LEN($G2212)-LEN(SUBSTITUTE($G2212,"-",""))-1))-LEN(SUBSTITUTE(SUBSTITUTE(SUBSTITUTE($G2212,"-"," ",LEN($G2212)-LEN(SUBSTITUTE($G2212,"-",""))),"-"," ",LEN($G2212)-LEN(SUBSTITUTE($G2212,"-",""))-1),".","")))=0,SUBSTITUTE(SUBSTITUTE($G2212,"-"," ",LEN($G2212)-LEN(SUBSTITUTE($G2212,"-",""))),"-"," ",LEN($G2212)-LEN(SUBSTITUTE($G2212,"-",""))-1),SUBSTITUTE(SUBSTITUTE(SUBSTITUTE($G2212,"-"," ",LEN($G2212)-LEN(SUBSTITUTE($G2212,"-",""))),"-"," ",LEN($G2212)-LEN(SUBSTITUTE($G2212,"-",""))-1),"."," ",(LEN(SUBSTITUTE(SUBSTITUTE($G2212,"-"," ",LEN($G2212)-LEN(SUBSTITUTE($G2212,"-",""))),"-"," ",LEN($G2212)-LEN(SUBSTITUTE($G2212,"-",""))-1))-LEN(SUBSTITUTE(SUBSTITUTE(SUBSTITUTE($G2212,"-"," ",LEN($G2212)-LEN(SUBSTITUTE($G2212,"-",""))),"-"," ",LEN($G2212)-LEN(SUBSTITUTE($G2212,"-",""))-1),".",""))))),$G2212)))</f>
        <v/>
      </c>
    </row>
    <row r="2213">
      <c r="A2213" s="58" t="n"/>
      <c r="B2213" s="58">
        <f>IF($H2213="","",LEFT($H2213,FIND(" ",$H2213&amp;" ")-1))</f>
        <v/>
      </c>
      <c r="C2213" s="58">
        <f>IF($H2213="","",IFERROR(MID($H2213&amp;" ",FIND("|",SUBSTITUTE($H2213&amp;" "," ","|",1))+1,FIND("|",SUBSTITUTE($H2213&amp;" "," ","|",2))-FIND("|",SUBSTITUTE($H2213&amp;" "," ","|",1))-1),""))</f>
        <v/>
      </c>
      <c r="D2213" s="58">
        <f>IF($H2213="","",IFERROR(MID($H2213&amp;" ",FIND("|",SUBSTITUTE($H2213&amp;" "," ","|",2))+1,FIND("|",SUBSTITUTE($H2213&amp;" "," ","|",3))-FIND("|",SUBSTITUTE($H2213&amp;" "," ","|",2))-1),""))</f>
        <v/>
      </c>
      <c r="E2213" s="58">
        <f>IF($H2213="","",IFERROR(MID($H2213&amp;" ",FIND("|",SUBSTITUTE($H2213&amp;" "," ","|",3))+1,FIND("|",SUBSTITUTE($H2213&amp;" "," ","|",4))-FIND("|",SUBSTITUTE($H2213&amp;" "," ","|",3))-1),""))</f>
        <v/>
      </c>
      <c r="F2213" s="59">
        <f>IF($H2213="","",IFERROR(VALUE(IFERROR(MID($H2213&amp;" ",FIND("|",SUBSTITUTE($H2213&amp;" "," ","|",4))+1,FIND("|",SUBSTITUTE($H2213&amp;" "," ","|",5))-FIND("|",SUBSTITUTE($H2213&amp;" "," ","|",4))-1),""))/86400+25569+9/24,""))</f>
        <v/>
      </c>
      <c r="G2213" s="58">
        <f>TRIM(SUBSTITUTE(SUBSTITUTE(SUBSTITUTE($A2213,CHAR(9)," ")," "," "),CHAR(13),""))</f>
        <v/>
      </c>
      <c r="H2213" s="58">
        <f>IF($G2213="","",IF(ISNUMBER(FIND(" ",$G2213)),$G2213,IFERROR(IF((LEN(SUBSTITUTE(SUBSTITUTE($G2213,"-"," ",LEN($G2213)-LEN(SUBSTITUTE($G2213,"-",""))),"-"," ",LEN($G2213)-LEN(SUBSTITUTE($G2213,"-",""))-1))-LEN(SUBSTITUTE(SUBSTITUTE(SUBSTITUTE($G2213,"-"," ",LEN($G2213)-LEN(SUBSTITUTE($G2213,"-",""))),"-"," ",LEN($G2213)-LEN(SUBSTITUTE($G2213,"-",""))-1),".","")))=0,SUBSTITUTE(SUBSTITUTE($G2213,"-"," ",LEN($G2213)-LEN(SUBSTITUTE($G2213,"-",""))),"-"," ",LEN($G2213)-LEN(SUBSTITUTE($G2213,"-",""))-1),SUBSTITUTE(SUBSTITUTE(SUBSTITUTE($G2213,"-"," ",LEN($G2213)-LEN(SUBSTITUTE($G2213,"-",""))),"-"," ",LEN($G2213)-LEN(SUBSTITUTE($G2213,"-",""))-1),"."," ",(LEN(SUBSTITUTE(SUBSTITUTE($G2213,"-"," ",LEN($G2213)-LEN(SUBSTITUTE($G2213,"-",""))),"-"," ",LEN($G2213)-LEN(SUBSTITUTE($G2213,"-",""))-1))-LEN(SUBSTITUTE(SUBSTITUTE(SUBSTITUTE($G2213,"-"," ",LEN($G2213)-LEN(SUBSTITUTE($G2213,"-",""))),"-"," ",LEN($G2213)-LEN(SUBSTITUTE($G2213,"-",""))-1),".",""))))),$G2213)))</f>
        <v/>
      </c>
    </row>
    <row r="2214">
      <c r="A2214" s="58" t="n"/>
      <c r="B2214" s="58">
        <f>IF($H2214="","",LEFT($H2214,FIND(" ",$H2214&amp;" ")-1))</f>
        <v/>
      </c>
      <c r="C2214" s="58">
        <f>IF($H2214="","",IFERROR(MID($H2214&amp;" ",FIND("|",SUBSTITUTE($H2214&amp;" "," ","|",1))+1,FIND("|",SUBSTITUTE($H2214&amp;" "," ","|",2))-FIND("|",SUBSTITUTE($H2214&amp;" "," ","|",1))-1),""))</f>
        <v/>
      </c>
      <c r="D2214" s="58">
        <f>IF($H2214="","",IFERROR(MID($H2214&amp;" ",FIND("|",SUBSTITUTE($H2214&amp;" "," ","|",2))+1,FIND("|",SUBSTITUTE($H2214&amp;" "," ","|",3))-FIND("|",SUBSTITUTE($H2214&amp;" "," ","|",2))-1),""))</f>
        <v/>
      </c>
      <c r="E2214" s="58">
        <f>IF($H2214="","",IFERROR(MID($H2214&amp;" ",FIND("|",SUBSTITUTE($H2214&amp;" "," ","|",3))+1,FIND("|",SUBSTITUTE($H2214&amp;" "," ","|",4))-FIND("|",SUBSTITUTE($H2214&amp;" "," ","|",3))-1),""))</f>
        <v/>
      </c>
      <c r="F2214" s="59">
        <f>IF($H2214="","",IFERROR(VALUE(IFERROR(MID($H2214&amp;" ",FIND("|",SUBSTITUTE($H2214&amp;" "," ","|",4))+1,FIND("|",SUBSTITUTE($H2214&amp;" "," ","|",5))-FIND("|",SUBSTITUTE($H2214&amp;" "," ","|",4))-1),""))/86400+25569+9/24,""))</f>
        <v/>
      </c>
      <c r="G2214" s="58">
        <f>TRIM(SUBSTITUTE(SUBSTITUTE(SUBSTITUTE($A2214,CHAR(9)," ")," "," "),CHAR(13),""))</f>
        <v/>
      </c>
      <c r="H2214" s="58">
        <f>IF($G2214="","",IF(ISNUMBER(FIND(" ",$G2214)),$G2214,IFERROR(IF((LEN(SUBSTITUTE(SUBSTITUTE($G2214,"-"," ",LEN($G2214)-LEN(SUBSTITUTE($G2214,"-",""))),"-"," ",LEN($G2214)-LEN(SUBSTITUTE($G2214,"-",""))-1))-LEN(SUBSTITUTE(SUBSTITUTE(SUBSTITUTE($G2214,"-"," ",LEN($G2214)-LEN(SUBSTITUTE($G2214,"-",""))),"-"," ",LEN($G2214)-LEN(SUBSTITUTE($G2214,"-",""))-1),".","")))=0,SUBSTITUTE(SUBSTITUTE($G2214,"-"," ",LEN($G2214)-LEN(SUBSTITUTE($G2214,"-",""))),"-"," ",LEN($G2214)-LEN(SUBSTITUTE($G2214,"-",""))-1),SUBSTITUTE(SUBSTITUTE(SUBSTITUTE($G2214,"-"," ",LEN($G2214)-LEN(SUBSTITUTE($G2214,"-",""))),"-"," ",LEN($G2214)-LEN(SUBSTITUTE($G2214,"-",""))-1),"."," ",(LEN(SUBSTITUTE(SUBSTITUTE($G2214,"-"," ",LEN($G2214)-LEN(SUBSTITUTE($G2214,"-",""))),"-"," ",LEN($G2214)-LEN(SUBSTITUTE($G2214,"-",""))-1))-LEN(SUBSTITUTE(SUBSTITUTE(SUBSTITUTE($G2214,"-"," ",LEN($G2214)-LEN(SUBSTITUTE($G2214,"-",""))),"-"," ",LEN($G2214)-LEN(SUBSTITUTE($G2214,"-",""))-1),".",""))))),$G2214)))</f>
        <v/>
      </c>
    </row>
    <row r="2215">
      <c r="A2215" s="58" t="n"/>
      <c r="B2215" s="58">
        <f>IF($H2215="","",LEFT($H2215,FIND(" ",$H2215&amp;" ")-1))</f>
        <v/>
      </c>
      <c r="C2215" s="58">
        <f>IF($H2215="","",IFERROR(MID($H2215&amp;" ",FIND("|",SUBSTITUTE($H2215&amp;" "," ","|",1))+1,FIND("|",SUBSTITUTE($H2215&amp;" "," ","|",2))-FIND("|",SUBSTITUTE($H2215&amp;" "," ","|",1))-1),""))</f>
        <v/>
      </c>
      <c r="D2215" s="58">
        <f>IF($H2215="","",IFERROR(MID($H2215&amp;" ",FIND("|",SUBSTITUTE($H2215&amp;" "," ","|",2))+1,FIND("|",SUBSTITUTE($H2215&amp;" "," ","|",3))-FIND("|",SUBSTITUTE($H2215&amp;" "," ","|",2))-1),""))</f>
        <v/>
      </c>
      <c r="E2215" s="58">
        <f>IF($H2215="","",IFERROR(MID($H2215&amp;" ",FIND("|",SUBSTITUTE($H2215&amp;" "," ","|",3))+1,FIND("|",SUBSTITUTE($H2215&amp;" "," ","|",4))-FIND("|",SUBSTITUTE($H2215&amp;" "," ","|",3))-1),""))</f>
        <v/>
      </c>
      <c r="F2215" s="59">
        <f>IF($H2215="","",IFERROR(VALUE(IFERROR(MID($H2215&amp;" ",FIND("|",SUBSTITUTE($H2215&amp;" "," ","|",4))+1,FIND("|",SUBSTITUTE($H2215&amp;" "," ","|",5))-FIND("|",SUBSTITUTE($H2215&amp;" "," ","|",4))-1),""))/86400+25569+9/24,""))</f>
        <v/>
      </c>
      <c r="G2215" s="58">
        <f>TRIM(SUBSTITUTE(SUBSTITUTE(SUBSTITUTE($A2215,CHAR(9)," ")," "," "),CHAR(13),""))</f>
        <v/>
      </c>
      <c r="H2215" s="58">
        <f>IF($G2215="","",IF(ISNUMBER(FIND(" ",$G2215)),$G2215,IFERROR(IF((LEN(SUBSTITUTE(SUBSTITUTE($G2215,"-"," ",LEN($G2215)-LEN(SUBSTITUTE($G2215,"-",""))),"-"," ",LEN($G2215)-LEN(SUBSTITUTE($G2215,"-",""))-1))-LEN(SUBSTITUTE(SUBSTITUTE(SUBSTITUTE($G2215,"-"," ",LEN($G2215)-LEN(SUBSTITUTE($G2215,"-",""))),"-"," ",LEN($G2215)-LEN(SUBSTITUTE($G2215,"-",""))-1),".","")))=0,SUBSTITUTE(SUBSTITUTE($G2215,"-"," ",LEN($G2215)-LEN(SUBSTITUTE($G2215,"-",""))),"-"," ",LEN($G2215)-LEN(SUBSTITUTE($G2215,"-",""))-1),SUBSTITUTE(SUBSTITUTE(SUBSTITUTE($G2215,"-"," ",LEN($G2215)-LEN(SUBSTITUTE($G2215,"-",""))),"-"," ",LEN($G2215)-LEN(SUBSTITUTE($G2215,"-",""))-1),"."," ",(LEN(SUBSTITUTE(SUBSTITUTE($G2215,"-"," ",LEN($G2215)-LEN(SUBSTITUTE($G2215,"-",""))),"-"," ",LEN($G2215)-LEN(SUBSTITUTE($G2215,"-",""))-1))-LEN(SUBSTITUTE(SUBSTITUTE(SUBSTITUTE($G2215,"-"," ",LEN($G2215)-LEN(SUBSTITUTE($G2215,"-",""))),"-"," ",LEN($G2215)-LEN(SUBSTITUTE($G2215,"-",""))-1),".",""))))),$G2215)))</f>
        <v/>
      </c>
    </row>
    <row r="2216">
      <c r="A2216" s="58" t="n"/>
      <c r="B2216" s="58">
        <f>IF($H2216="","",LEFT($H2216,FIND(" ",$H2216&amp;" ")-1))</f>
        <v/>
      </c>
      <c r="C2216" s="58">
        <f>IF($H2216="","",IFERROR(MID($H2216&amp;" ",FIND("|",SUBSTITUTE($H2216&amp;" "," ","|",1))+1,FIND("|",SUBSTITUTE($H2216&amp;" "," ","|",2))-FIND("|",SUBSTITUTE($H2216&amp;" "," ","|",1))-1),""))</f>
        <v/>
      </c>
      <c r="D2216" s="58">
        <f>IF($H2216="","",IFERROR(MID($H2216&amp;" ",FIND("|",SUBSTITUTE($H2216&amp;" "," ","|",2))+1,FIND("|",SUBSTITUTE($H2216&amp;" "," ","|",3))-FIND("|",SUBSTITUTE($H2216&amp;" "," ","|",2))-1),""))</f>
        <v/>
      </c>
      <c r="E2216" s="58">
        <f>IF($H2216="","",IFERROR(MID($H2216&amp;" ",FIND("|",SUBSTITUTE($H2216&amp;" "," ","|",3))+1,FIND("|",SUBSTITUTE($H2216&amp;" "," ","|",4))-FIND("|",SUBSTITUTE($H2216&amp;" "," ","|",3))-1),""))</f>
        <v/>
      </c>
      <c r="F2216" s="59">
        <f>IF($H2216="","",IFERROR(VALUE(IFERROR(MID($H2216&amp;" ",FIND("|",SUBSTITUTE($H2216&amp;" "," ","|",4))+1,FIND("|",SUBSTITUTE($H2216&amp;" "," ","|",5))-FIND("|",SUBSTITUTE($H2216&amp;" "," ","|",4))-1),""))/86400+25569+9/24,""))</f>
        <v/>
      </c>
      <c r="G2216" s="58">
        <f>TRIM(SUBSTITUTE(SUBSTITUTE(SUBSTITUTE($A2216,CHAR(9)," ")," "," "),CHAR(13),""))</f>
        <v/>
      </c>
      <c r="H2216" s="58">
        <f>IF($G2216="","",IF(ISNUMBER(FIND(" ",$G2216)),$G2216,IFERROR(IF((LEN(SUBSTITUTE(SUBSTITUTE($G2216,"-"," ",LEN($G2216)-LEN(SUBSTITUTE($G2216,"-",""))),"-"," ",LEN($G2216)-LEN(SUBSTITUTE($G2216,"-",""))-1))-LEN(SUBSTITUTE(SUBSTITUTE(SUBSTITUTE($G2216,"-"," ",LEN($G2216)-LEN(SUBSTITUTE($G2216,"-",""))),"-"," ",LEN($G2216)-LEN(SUBSTITUTE($G2216,"-",""))-1),".","")))=0,SUBSTITUTE(SUBSTITUTE($G2216,"-"," ",LEN($G2216)-LEN(SUBSTITUTE($G2216,"-",""))),"-"," ",LEN($G2216)-LEN(SUBSTITUTE($G2216,"-",""))-1),SUBSTITUTE(SUBSTITUTE(SUBSTITUTE($G2216,"-"," ",LEN($G2216)-LEN(SUBSTITUTE($G2216,"-",""))),"-"," ",LEN($G2216)-LEN(SUBSTITUTE($G2216,"-",""))-1),"."," ",(LEN(SUBSTITUTE(SUBSTITUTE($G2216,"-"," ",LEN($G2216)-LEN(SUBSTITUTE($G2216,"-",""))),"-"," ",LEN($G2216)-LEN(SUBSTITUTE($G2216,"-",""))-1))-LEN(SUBSTITUTE(SUBSTITUTE(SUBSTITUTE($G2216,"-"," ",LEN($G2216)-LEN(SUBSTITUTE($G2216,"-",""))),"-"," ",LEN($G2216)-LEN(SUBSTITUTE($G2216,"-",""))-1),".",""))))),$G2216)))</f>
        <v/>
      </c>
    </row>
    <row r="2217">
      <c r="A2217" s="58" t="n"/>
      <c r="B2217" s="58">
        <f>IF($H2217="","",LEFT($H2217,FIND(" ",$H2217&amp;" ")-1))</f>
        <v/>
      </c>
      <c r="C2217" s="58">
        <f>IF($H2217="","",IFERROR(MID($H2217&amp;" ",FIND("|",SUBSTITUTE($H2217&amp;" "," ","|",1))+1,FIND("|",SUBSTITUTE($H2217&amp;" "," ","|",2))-FIND("|",SUBSTITUTE($H2217&amp;" "," ","|",1))-1),""))</f>
        <v/>
      </c>
      <c r="D2217" s="58">
        <f>IF($H2217="","",IFERROR(MID($H2217&amp;" ",FIND("|",SUBSTITUTE($H2217&amp;" "," ","|",2))+1,FIND("|",SUBSTITUTE($H2217&amp;" "," ","|",3))-FIND("|",SUBSTITUTE($H2217&amp;" "," ","|",2))-1),""))</f>
        <v/>
      </c>
      <c r="E2217" s="58">
        <f>IF($H2217="","",IFERROR(MID($H2217&amp;" ",FIND("|",SUBSTITUTE($H2217&amp;" "," ","|",3))+1,FIND("|",SUBSTITUTE($H2217&amp;" "," ","|",4))-FIND("|",SUBSTITUTE($H2217&amp;" "," ","|",3))-1),""))</f>
        <v/>
      </c>
      <c r="F2217" s="59">
        <f>IF($H2217="","",IFERROR(VALUE(IFERROR(MID($H2217&amp;" ",FIND("|",SUBSTITUTE($H2217&amp;" "," ","|",4))+1,FIND("|",SUBSTITUTE($H2217&amp;" "," ","|",5))-FIND("|",SUBSTITUTE($H2217&amp;" "," ","|",4))-1),""))/86400+25569+9/24,""))</f>
        <v/>
      </c>
      <c r="G2217" s="58">
        <f>TRIM(SUBSTITUTE(SUBSTITUTE(SUBSTITUTE($A2217,CHAR(9)," ")," "," "),CHAR(13),""))</f>
        <v/>
      </c>
      <c r="H2217" s="58">
        <f>IF($G2217="","",IF(ISNUMBER(FIND(" ",$G2217)),$G2217,IFERROR(IF((LEN(SUBSTITUTE(SUBSTITUTE($G2217,"-"," ",LEN($G2217)-LEN(SUBSTITUTE($G2217,"-",""))),"-"," ",LEN($G2217)-LEN(SUBSTITUTE($G2217,"-",""))-1))-LEN(SUBSTITUTE(SUBSTITUTE(SUBSTITUTE($G2217,"-"," ",LEN($G2217)-LEN(SUBSTITUTE($G2217,"-",""))),"-"," ",LEN($G2217)-LEN(SUBSTITUTE($G2217,"-",""))-1),".","")))=0,SUBSTITUTE(SUBSTITUTE($G2217,"-"," ",LEN($G2217)-LEN(SUBSTITUTE($G2217,"-",""))),"-"," ",LEN($G2217)-LEN(SUBSTITUTE($G2217,"-",""))-1),SUBSTITUTE(SUBSTITUTE(SUBSTITUTE($G2217,"-"," ",LEN($G2217)-LEN(SUBSTITUTE($G2217,"-",""))),"-"," ",LEN($G2217)-LEN(SUBSTITUTE($G2217,"-",""))-1),"."," ",(LEN(SUBSTITUTE(SUBSTITUTE($G2217,"-"," ",LEN($G2217)-LEN(SUBSTITUTE($G2217,"-",""))),"-"," ",LEN($G2217)-LEN(SUBSTITUTE($G2217,"-",""))-1))-LEN(SUBSTITUTE(SUBSTITUTE(SUBSTITUTE($G2217,"-"," ",LEN($G2217)-LEN(SUBSTITUTE($G2217,"-",""))),"-"," ",LEN($G2217)-LEN(SUBSTITUTE($G2217,"-",""))-1),".",""))))),$G2217)))</f>
        <v/>
      </c>
    </row>
    <row r="2218">
      <c r="A2218" s="58" t="n"/>
      <c r="B2218" s="58">
        <f>IF($H2218="","",LEFT($H2218,FIND(" ",$H2218&amp;" ")-1))</f>
        <v/>
      </c>
      <c r="C2218" s="58">
        <f>IF($H2218="","",IFERROR(MID($H2218&amp;" ",FIND("|",SUBSTITUTE($H2218&amp;" "," ","|",1))+1,FIND("|",SUBSTITUTE($H2218&amp;" "," ","|",2))-FIND("|",SUBSTITUTE($H2218&amp;" "," ","|",1))-1),""))</f>
        <v/>
      </c>
      <c r="D2218" s="58">
        <f>IF($H2218="","",IFERROR(MID($H2218&amp;" ",FIND("|",SUBSTITUTE($H2218&amp;" "," ","|",2))+1,FIND("|",SUBSTITUTE($H2218&amp;" "," ","|",3))-FIND("|",SUBSTITUTE($H2218&amp;" "," ","|",2))-1),""))</f>
        <v/>
      </c>
      <c r="E2218" s="58">
        <f>IF($H2218="","",IFERROR(MID($H2218&amp;" ",FIND("|",SUBSTITUTE($H2218&amp;" "," ","|",3))+1,FIND("|",SUBSTITUTE($H2218&amp;" "," ","|",4))-FIND("|",SUBSTITUTE($H2218&amp;" "," ","|",3))-1),""))</f>
        <v/>
      </c>
      <c r="F2218" s="59">
        <f>IF($H2218="","",IFERROR(VALUE(IFERROR(MID($H2218&amp;" ",FIND("|",SUBSTITUTE($H2218&amp;" "," ","|",4))+1,FIND("|",SUBSTITUTE($H2218&amp;" "," ","|",5))-FIND("|",SUBSTITUTE($H2218&amp;" "," ","|",4))-1),""))/86400+25569+9/24,""))</f>
        <v/>
      </c>
      <c r="G2218" s="58">
        <f>TRIM(SUBSTITUTE(SUBSTITUTE(SUBSTITUTE($A2218,CHAR(9)," ")," "," "),CHAR(13),""))</f>
        <v/>
      </c>
      <c r="H2218" s="58">
        <f>IF($G2218="","",IF(ISNUMBER(FIND(" ",$G2218)),$G2218,IFERROR(IF((LEN(SUBSTITUTE(SUBSTITUTE($G2218,"-"," ",LEN($G2218)-LEN(SUBSTITUTE($G2218,"-",""))),"-"," ",LEN($G2218)-LEN(SUBSTITUTE($G2218,"-",""))-1))-LEN(SUBSTITUTE(SUBSTITUTE(SUBSTITUTE($G2218,"-"," ",LEN($G2218)-LEN(SUBSTITUTE($G2218,"-",""))),"-"," ",LEN($G2218)-LEN(SUBSTITUTE($G2218,"-",""))-1),".","")))=0,SUBSTITUTE(SUBSTITUTE($G2218,"-"," ",LEN($G2218)-LEN(SUBSTITUTE($G2218,"-",""))),"-"," ",LEN($G2218)-LEN(SUBSTITUTE($G2218,"-",""))-1),SUBSTITUTE(SUBSTITUTE(SUBSTITUTE($G2218,"-"," ",LEN($G2218)-LEN(SUBSTITUTE($G2218,"-",""))),"-"," ",LEN($G2218)-LEN(SUBSTITUTE($G2218,"-",""))-1),"."," ",(LEN(SUBSTITUTE(SUBSTITUTE($G2218,"-"," ",LEN($G2218)-LEN(SUBSTITUTE($G2218,"-",""))),"-"," ",LEN($G2218)-LEN(SUBSTITUTE($G2218,"-",""))-1))-LEN(SUBSTITUTE(SUBSTITUTE(SUBSTITUTE($G2218,"-"," ",LEN($G2218)-LEN(SUBSTITUTE($G2218,"-",""))),"-"," ",LEN($G2218)-LEN(SUBSTITUTE($G2218,"-",""))-1),".",""))))),$G2218)))</f>
        <v/>
      </c>
    </row>
    <row r="2219">
      <c r="A2219" s="58" t="n"/>
      <c r="B2219" s="58">
        <f>IF($H2219="","",LEFT($H2219,FIND(" ",$H2219&amp;" ")-1))</f>
        <v/>
      </c>
      <c r="C2219" s="58">
        <f>IF($H2219="","",IFERROR(MID($H2219&amp;" ",FIND("|",SUBSTITUTE($H2219&amp;" "," ","|",1))+1,FIND("|",SUBSTITUTE($H2219&amp;" "," ","|",2))-FIND("|",SUBSTITUTE($H2219&amp;" "," ","|",1))-1),""))</f>
        <v/>
      </c>
      <c r="D2219" s="58">
        <f>IF($H2219="","",IFERROR(MID($H2219&amp;" ",FIND("|",SUBSTITUTE($H2219&amp;" "," ","|",2))+1,FIND("|",SUBSTITUTE($H2219&amp;" "," ","|",3))-FIND("|",SUBSTITUTE($H2219&amp;" "," ","|",2))-1),""))</f>
        <v/>
      </c>
      <c r="E2219" s="58">
        <f>IF($H2219="","",IFERROR(MID($H2219&amp;" ",FIND("|",SUBSTITUTE($H2219&amp;" "," ","|",3))+1,FIND("|",SUBSTITUTE($H2219&amp;" "," ","|",4))-FIND("|",SUBSTITUTE($H2219&amp;" "," ","|",3))-1),""))</f>
        <v/>
      </c>
      <c r="F2219" s="59">
        <f>IF($H2219="","",IFERROR(VALUE(IFERROR(MID($H2219&amp;" ",FIND("|",SUBSTITUTE($H2219&amp;" "," ","|",4))+1,FIND("|",SUBSTITUTE($H2219&amp;" "," ","|",5))-FIND("|",SUBSTITUTE($H2219&amp;" "," ","|",4))-1),""))/86400+25569+9/24,""))</f>
        <v/>
      </c>
      <c r="G2219" s="58">
        <f>TRIM(SUBSTITUTE(SUBSTITUTE(SUBSTITUTE($A2219,CHAR(9)," ")," "," "),CHAR(13),""))</f>
        <v/>
      </c>
      <c r="H2219" s="58">
        <f>IF($G2219="","",IF(ISNUMBER(FIND(" ",$G2219)),$G2219,IFERROR(IF((LEN(SUBSTITUTE(SUBSTITUTE($G2219,"-"," ",LEN($G2219)-LEN(SUBSTITUTE($G2219,"-",""))),"-"," ",LEN($G2219)-LEN(SUBSTITUTE($G2219,"-",""))-1))-LEN(SUBSTITUTE(SUBSTITUTE(SUBSTITUTE($G2219,"-"," ",LEN($G2219)-LEN(SUBSTITUTE($G2219,"-",""))),"-"," ",LEN($G2219)-LEN(SUBSTITUTE($G2219,"-",""))-1),".","")))=0,SUBSTITUTE(SUBSTITUTE($G2219,"-"," ",LEN($G2219)-LEN(SUBSTITUTE($G2219,"-",""))),"-"," ",LEN($G2219)-LEN(SUBSTITUTE($G2219,"-",""))-1),SUBSTITUTE(SUBSTITUTE(SUBSTITUTE($G2219,"-"," ",LEN($G2219)-LEN(SUBSTITUTE($G2219,"-",""))),"-"," ",LEN($G2219)-LEN(SUBSTITUTE($G2219,"-",""))-1),"."," ",(LEN(SUBSTITUTE(SUBSTITUTE($G2219,"-"," ",LEN($G2219)-LEN(SUBSTITUTE($G2219,"-",""))),"-"," ",LEN($G2219)-LEN(SUBSTITUTE($G2219,"-",""))-1))-LEN(SUBSTITUTE(SUBSTITUTE(SUBSTITUTE($G2219,"-"," ",LEN($G2219)-LEN(SUBSTITUTE($G2219,"-",""))),"-"," ",LEN($G2219)-LEN(SUBSTITUTE($G2219,"-",""))-1),".",""))))),$G2219)))</f>
        <v/>
      </c>
    </row>
    <row r="2220">
      <c r="A2220" s="58" t="n"/>
      <c r="B2220" s="58">
        <f>IF($H2220="","",LEFT($H2220,FIND(" ",$H2220&amp;" ")-1))</f>
        <v/>
      </c>
      <c r="C2220" s="58">
        <f>IF($H2220="","",IFERROR(MID($H2220&amp;" ",FIND("|",SUBSTITUTE($H2220&amp;" "," ","|",1))+1,FIND("|",SUBSTITUTE($H2220&amp;" "," ","|",2))-FIND("|",SUBSTITUTE($H2220&amp;" "," ","|",1))-1),""))</f>
        <v/>
      </c>
      <c r="D2220" s="58">
        <f>IF($H2220="","",IFERROR(MID($H2220&amp;" ",FIND("|",SUBSTITUTE($H2220&amp;" "," ","|",2))+1,FIND("|",SUBSTITUTE($H2220&amp;" "," ","|",3))-FIND("|",SUBSTITUTE($H2220&amp;" "," ","|",2))-1),""))</f>
        <v/>
      </c>
      <c r="E2220" s="58">
        <f>IF($H2220="","",IFERROR(MID($H2220&amp;" ",FIND("|",SUBSTITUTE($H2220&amp;" "," ","|",3))+1,FIND("|",SUBSTITUTE($H2220&amp;" "," ","|",4))-FIND("|",SUBSTITUTE($H2220&amp;" "," ","|",3))-1),""))</f>
        <v/>
      </c>
      <c r="F2220" s="59">
        <f>IF($H2220="","",IFERROR(VALUE(IFERROR(MID($H2220&amp;" ",FIND("|",SUBSTITUTE($H2220&amp;" "," ","|",4))+1,FIND("|",SUBSTITUTE($H2220&amp;" "," ","|",5))-FIND("|",SUBSTITUTE($H2220&amp;" "," ","|",4))-1),""))/86400+25569+9/24,""))</f>
        <v/>
      </c>
      <c r="G2220" s="58">
        <f>TRIM(SUBSTITUTE(SUBSTITUTE(SUBSTITUTE($A2220,CHAR(9)," ")," "," "),CHAR(13),""))</f>
        <v/>
      </c>
      <c r="H2220" s="58">
        <f>IF($G2220="","",IF(ISNUMBER(FIND(" ",$G2220)),$G2220,IFERROR(IF((LEN(SUBSTITUTE(SUBSTITUTE($G2220,"-"," ",LEN($G2220)-LEN(SUBSTITUTE($G2220,"-",""))),"-"," ",LEN($G2220)-LEN(SUBSTITUTE($G2220,"-",""))-1))-LEN(SUBSTITUTE(SUBSTITUTE(SUBSTITUTE($G2220,"-"," ",LEN($G2220)-LEN(SUBSTITUTE($G2220,"-",""))),"-"," ",LEN($G2220)-LEN(SUBSTITUTE($G2220,"-",""))-1),".","")))=0,SUBSTITUTE(SUBSTITUTE($G2220,"-"," ",LEN($G2220)-LEN(SUBSTITUTE($G2220,"-",""))),"-"," ",LEN($G2220)-LEN(SUBSTITUTE($G2220,"-",""))-1),SUBSTITUTE(SUBSTITUTE(SUBSTITUTE($G2220,"-"," ",LEN($G2220)-LEN(SUBSTITUTE($G2220,"-",""))),"-"," ",LEN($G2220)-LEN(SUBSTITUTE($G2220,"-",""))-1),"."," ",(LEN(SUBSTITUTE(SUBSTITUTE($G2220,"-"," ",LEN($G2220)-LEN(SUBSTITUTE($G2220,"-",""))),"-"," ",LEN($G2220)-LEN(SUBSTITUTE($G2220,"-",""))-1))-LEN(SUBSTITUTE(SUBSTITUTE(SUBSTITUTE($G2220,"-"," ",LEN($G2220)-LEN(SUBSTITUTE($G2220,"-",""))),"-"," ",LEN($G2220)-LEN(SUBSTITUTE($G2220,"-",""))-1),".",""))))),$G2220)))</f>
        <v/>
      </c>
    </row>
    <row r="2221">
      <c r="A2221" s="58" t="n"/>
      <c r="B2221" s="58">
        <f>IF($H2221="","",LEFT($H2221,FIND(" ",$H2221&amp;" ")-1))</f>
        <v/>
      </c>
      <c r="C2221" s="58">
        <f>IF($H2221="","",IFERROR(MID($H2221&amp;" ",FIND("|",SUBSTITUTE($H2221&amp;" "," ","|",1))+1,FIND("|",SUBSTITUTE($H2221&amp;" "," ","|",2))-FIND("|",SUBSTITUTE($H2221&amp;" "," ","|",1))-1),""))</f>
        <v/>
      </c>
      <c r="D2221" s="58">
        <f>IF($H2221="","",IFERROR(MID($H2221&amp;" ",FIND("|",SUBSTITUTE($H2221&amp;" "," ","|",2))+1,FIND("|",SUBSTITUTE($H2221&amp;" "," ","|",3))-FIND("|",SUBSTITUTE($H2221&amp;" "," ","|",2))-1),""))</f>
        <v/>
      </c>
      <c r="E2221" s="58">
        <f>IF($H2221="","",IFERROR(MID($H2221&amp;" ",FIND("|",SUBSTITUTE($H2221&amp;" "," ","|",3))+1,FIND("|",SUBSTITUTE($H2221&amp;" "," ","|",4))-FIND("|",SUBSTITUTE($H2221&amp;" "," ","|",3))-1),""))</f>
        <v/>
      </c>
      <c r="F2221" s="59">
        <f>IF($H2221="","",IFERROR(VALUE(IFERROR(MID($H2221&amp;" ",FIND("|",SUBSTITUTE($H2221&amp;" "," ","|",4))+1,FIND("|",SUBSTITUTE($H2221&amp;" "," ","|",5))-FIND("|",SUBSTITUTE($H2221&amp;" "," ","|",4))-1),""))/86400+25569+9/24,""))</f>
        <v/>
      </c>
      <c r="G2221" s="58">
        <f>TRIM(SUBSTITUTE(SUBSTITUTE(SUBSTITUTE($A2221,CHAR(9)," ")," "," "),CHAR(13),""))</f>
        <v/>
      </c>
      <c r="H2221" s="58">
        <f>IF($G2221="","",IF(ISNUMBER(FIND(" ",$G2221)),$G2221,IFERROR(IF((LEN(SUBSTITUTE(SUBSTITUTE($G2221,"-"," ",LEN($G2221)-LEN(SUBSTITUTE($G2221,"-",""))),"-"," ",LEN($G2221)-LEN(SUBSTITUTE($G2221,"-",""))-1))-LEN(SUBSTITUTE(SUBSTITUTE(SUBSTITUTE($G2221,"-"," ",LEN($G2221)-LEN(SUBSTITUTE($G2221,"-",""))),"-"," ",LEN($G2221)-LEN(SUBSTITUTE($G2221,"-",""))-1),".","")))=0,SUBSTITUTE(SUBSTITUTE($G2221,"-"," ",LEN($G2221)-LEN(SUBSTITUTE($G2221,"-",""))),"-"," ",LEN($G2221)-LEN(SUBSTITUTE($G2221,"-",""))-1),SUBSTITUTE(SUBSTITUTE(SUBSTITUTE($G2221,"-"," ",LEN($G2221)-LEN(SUBSTITUTE($G2221,"-",""))),"-"," ",LEN($G2221)-LEN(SUBSTITUTE($G2221,"-",""))-1),"."," ",(LEN(SUBSTITUTE(SUBSTITUTE($G2221,"-"," ",LEN($G2221)-LEN(SUBSTITUTE($G2221,"-",""))),"-"," ",LEN($G2221)-LEN(SUBSTITUTE($G2221,"-",""))-1))-LEN(SUBSTITUTE(SUBSTITUTE(SUBSTITUTE($G2221,"-"," ",LEN($G2221)-LEN(SUBSTITUTE($G2221,"-",""))),"-"," ",LEN($G2221)-LEN(SUBSTITUTE($G2221,"-",""))-1),".",""))))),$G2221)))</f>
        <v/>
      </c>
    </row>
    <row r="2222">
      <c r="A2222" s="58" t="n"/>
      <c r="B2222" s="58">
        <f>IF($H2222="","",LEFT($H2222,FIND(" ",$H2222&amp;" ")-1))</f>
        <v/>
      </c>
      <c r="C2222" s="58">
        <f>IF($H2222="","",IFERROR(MID($H2222&amp;" ",FIND("|",SUBSTITUTE($H2222&amp;" "," ","|",1))+1,FIND("|",SUBSTITUTE($H2222&amp;" "," ","|",2))-FIND("|",SUBSTITUTE($H2222&amp;" "," ","|",1))-1),""))</f>
        <v/>
      </c>
      <c r="D2222" s="58">
        <f>IF($H2222="","",IFERROR(MID($H2222&amp;" ",FIND("|",SUBSTITUTE($H2222&amp;" "," ","|",2))+1,FIND("|",SUBSTITUTE($H2222&amp;" "," ","|",3))-FIND("|",SUBSTITUTE($H2222&amp;" "," ","|",2))-1),""))</f>
        <v/>
      </c>
      <c r="E2222" s="58">
        <f>IF($H2222="","",IFERROR(MID($H2222&amp;" ",FIND("|",SUBSTITUTE($H2222&amp;" "," ","|",3))+1,FIND("|",SUBSTITUTE($H2222&amp;" "," ","|",4))-FIND("|",SUBSTITUTE($H2222&amp;" "," ","|",3))-1),""))</f>
        <v/>
      </c>
      <c r="F2222" s="59">
        <f>IF($H2222="","",IFERROR(VALUE(IFERROR(MID($H2222&amp;" ",FIND("|",SUBSTITUTE($H2222&amp;" "," ","|",4))+1,FIND("|",SUBSTITUTE($H2222&amp;" "," ","|",5))-FIND("|",SUBSTITUTE($H2222&amp;" "," ","|",4))-1),""))/86400+25569+9/24,""))</f>
        <v/>
      </c>
      <c r="G2222" s="58">
        <f>TRIM(SUBSTITUTE(SUBSTITUTE(SUBSTITUTE($A2222,CHAR(9)," ")," "," "),CHAR(13),""))</f>
        <v/>
      </c>
      <c r="H2222" s="58">
        <f>IF($G2222="","",IF(ISNUMBER(FIND(" ",$G2222)),$G2222,IFERROR(IF((LEN(SUBSTITUTE(SUBSTITUTE($G2222,"-"," ",LEN($G2222)-LEN(SUBSTITUTE($G2222,"-",""))),"-"," ",LEN($G2222)-LEN(SUBSTITUTE($G2222,"-",""))-1))-LEN(SUBSTITUTE(SUBSTITUTE(SUBSTITUTE($G2222,"-"," ",LEN($G2222)-LEN(SUBSTITUTE($G2222,"-",""))),"-"," ",LEN($G2222)-LEN(SUBSTITUTE($G2222,"-",""))-1),".","")))=0,SUBSTITUTE(SUBSTITUTE($G2222,"-"," ",LEN($G2222)-LEN(SUBSTITUTE($G2222,"-",""))),"-"," ",LEN($G2222)-LEN(SUBSTITUTE($G2222,"-",""))-1),SUBSTITUTE(SUBSTITUTE(SUBSTITUTE($G2222,"-"," ",LEN($G2222)-LEN(SUBSTITUTE($G2222,"-",""))),"-"," ",LEN($G2222)-LEN(SUBSTITUTE($G2222,"-",""))-1),"."," ",(LEN(SUBSTITUTE(SUBSTITUTE($G2222,"-"," ",LEN($G2222)-LEN(SUBSTITUTE($G2222,"-",""))),"-"," ",LEN($G2222)-LEN(SUBSTITUTE($G2222,"-",""))-1))-LEN(SUBSTITUTE(SUBSTITUTE(SUBSTITUTE($G2222,"-"," ",LEN($G2222)-LEN(SUBSTITUTE($G2222,"-",""))),"-"," ",LEN($G2222)-LEN(SUBSTITUTE($G2222,"-",""))-1),".",""))))),$G2222)))</f>
        <v/>
      </c>
    </row>
    <row r="2223">
      <c r="A2223" s="58" t="n"/>
      <c r="B2223" s="58">
        <f>IF($H2223="","",LEFT($H2223,FIND(" ",$H2223&amp;" ")-1))</f>
        <v/>
      </c>
      <c r="C2223" s="58">
        <f>IF($H2223="","",IFERROR(MID($H2223&amp;" ",FIND("|",SUBSTITUTE($H2223&amp;" "," ","|",1))+1,FIND("|",SUBSTITUTE($H2223&amp;" "," ","|",2))-FIND("|",SUBSTITUTE($H2223&amp;" "," ","|",1))-1),""))</f>
        <v/>
      </c>
      <c r="D2223" s="58">
        <f>IF($H2223="","",IFERROR(MID($H2223&amp;" ",FIND("|",SUBSTITUTE($H2223&amp;" "," ","|",2))+1,FIND("|",SUBSTITUTE($H2223&amp;" "," ","|",3))-FIND("|",SUBSTITUTE($H2223&amp;" "," ","|",2))-1),""))</f>
        <v/>
      </c>
      <c r="E2223" s="58">
        <f>IF($H2223="","",IFERROR(MID($H2223&amp;" ",FIND("|",SUBSTITUTE($H2223&amp;" "," ","|",3))+1,FIND("|",SUBSTITUTE($H2223&amp;" "," ","|",4))-FIND("|",SUBSTITUTE($H2223&amp;" "," ","|",3))-1),""))</f>
        <v/>
      </c>
      <c r="F2223" s="59">
        <f>IF($H2223="","",IFERROR(VALUE(IFERROR(MID($H2223&amp;" ",FIND("|",SUBSTITUTE($H2223&amp;" "," ","|",4))+1,FIND("|",SUBSTITUTE($H2223&amp;" "," ","|",5))-FIND("|",SUBSTITUTE($H2223&amp;" "," ","|",4))-1),""))/86400+25569+9/24,""))</f>
        <v/>
      </c>
      <c r="G2223" s="58">
        <f>TRIM(SUBSTITUTE(SUBSTITUTE(SUBSTITUTE($A2223,CHAR(9)," ")," "," "),CHAR(13),""))</f>
        <v/>
      </c>
      <c r="H2223" s="58">
        <f>IF($G2223="","",IF(ISNUMBER(FIND(" ",$G2223)),$G2223,IFERROR(IF((LEN(SUBSTITUTE(SUBSTITUTE($G2223,"-"," ",LEN($G2223)-LEN(SUBSTITUTE($G2223,"-",""))),"-"," ",LEN($G2223)-LEN(SUBSTITUTE($G2223,"-",""))-1))-LEN(SUBSTITUTE(SUBSTITUTE(SUBSTITUTE($G2223,"-"," ",LEN($G2223)-LEN(SUBSTITUTE($G2223,"-",""))),"-"," ",LEN($G2223)-LEN(SUBSTITUTE($G2223,"-",""))-1),".","")))=0,SUBSTITUTE(SUBSTITUTE($G2223,"-"," ",LEN($G2223)-LEN(SUBSTITUTE($G2223,"-",""))),"-"," ",LEN($G2223)-LEN(SUBSTITUTE($G2223,"-",""))-1),SUBSTITUTE(SUBSTITUTE(SUBSTITUTE($G2223,"-"," ",LEN($G2223)-LEN(SUBSTITUTE($G2223,"-",""))),"-"," ",LEN($G2223)-LEN(SUBSTITUTE($G2223,"-",""))-1),"."," ",(LEN(SUBSTITUTE(SUBSTITUTE($G2223,"-"," ",LEN($G2223)-LEN(SUBSTITUTE($G2223,"-",""))),"-"," ",LEN($G2223)-LEN(SUBSTITUTE($G2223,"-",""))-1))-LEN(SUBSTITUTE(SUBSTITUTE(SUBSTITUTE($G2223,"-"," ",LEN($G2223)-LEN(SUBSTITUTE($G2223,"-",""))),"-"," ",LEN($G2223)-LEN(SUBSTITUTE($G2223,"-",""))-1),".",""))))),$G2223)))</f>
        <v/>
      </c>
    </row>
    <row r="2224">
      <c r="A2224" s="58" t="n"/>
      <c r="B2224" s="58">
        <f>IF($H2224="","",LEFT($H2224,FIND(" ",$H2224&amp;" ")-1))</f>
        <v/>
      </c>
      <c r="C2224" s="58">
        <f>IF($H2224="","",IFERROR(MID($H2224&amp;" ",FIND("|",SUBSTITUTE($H2224&amp;" "," ","|",1))+1,FIND("|",SUBSTITUTE($H2224&amp;" "," ","|",2))-FIND("|",SUBSTITUTE($H2224&amp;" "," ","|",1))-1),""))</f>
        <v/>
      </c>
      <c r="D2224" s="58">
        <f>IF($H2224="","",IFERROR(MID($H2224&amp;" ",FIND("|",SUBSTITUTE($H2224&amp;" "," ","|",2))+1,FIND("|",SUBSTITUTE($H2224&amp;" "," ","|",3))-FIND("|",SUBSTITUTE($H2224&amp;" "," ","|",2))-1),""))</f>
        <v/>
      </c>
      <c r="E2224" s="58">
        <f>IF($H2224="","",IFERROR(MID($H2224&amp;" ",FIND("|",SUBSTITUTE($H2224&amp;" "," ","|",3))+1,FIND("|",SUBSTITUTE($H2224&amp;" "," ","|",4))-FIND("|",SUBSTITUTE($H2224&amp;" "," ","|",3))-1),""))</f>
        <v/>
      </c>
      <c r="F2224" s="59">
        <f>IF($H2224="","",IFERROR(VALUE(IFERROR(MID($H2224&amp;" ",FIND("|",SUBSTITUTE($H2224&amp;" "," ","|",4))+1,FIND("|",SUBSTITUTE($H2224&amp;" "," ","|",5))-FIND("|",SUBSTITUTE($H2224&amp;" "," ","|",4))-1),""))/86400+25569+9/24,""))</f>
        <v/>
      </c>
      <c r="G2224" s="58">
        <f>TRIM(SUBSTITUTE(SUBSTITUTE(SUBSTITUTE($A2224,CHAR(9)," ")," "," "),CHAR(13),""))</f>
        <v/>
      </c>
      <c r="H2224" s="58">
        <f>IF($G2224="","",IF(ISNUMBER(FIND(" ",$G2224)),$G2224,IFERROR(IF((LEN(SUBSTITUTE(SUBSTITUTE($G2224,"-"," ",LEN($G2224)-LEN(SUBSTITUTE($G2224,"-",""))),"-"," ",LEN($G2224)-LEN(SUBSTITUTE($G2224,"-",""))-1))-LEN(SUBSTITUTE(SUBSTITUTE(SUBSTITUTE($G2224,"-"," ",LEN($G2224)-LEN(SUBSTITUTE($G2224,"-",""))),"-"," ",LEN($G2224)-LEN(SUBSTITUTE($G2224,"-",""))-1),".","")))=0,SUBSTITUTE(SUBSTITUTE($G2224,"-"," ",LEN($G2224)-LEN(SUBSTITUTE($G2224,"-",""))),"-"," ",LEN($G2224)-LEN(SUBSTITUTE($G2224,"-",""))-1),SUBSTITUTE(SUBSTITUTE(SUBSTITUTE($G2224,"-"," ",LEN($G2224)-LEN(SUBSTITUTE($G2224,"-",""))),"-"," ",LEN($G2224)-LEN(SUBSTITUTE($G2224,"-",""))-1),"."," ",(LEN(SUBSTITUTE(SUBSTITUTE($G2224,"-"," ",LEN($G2224)-LEN(SUBSTITUTE($G2224,"-",""))),"-"," ",LEN($G2224)-LEN(SUBSTITUTE($G2224,"-",""))-1))-LEN(SUBSTITUTE(SUBSTITUTE(SUBSTITUTE($G2224,"-"," ",LEN($G2224)-LEN(SUBSTITUTE($G2224,"-",""))),"-"," ",LEN($G2224)-LEN(SUBSTITUTE($G2224,"-",""))-1),".",""))))),$G2224)))</f>
        <v/>
      </c>
    </row>
    <row r="2225">
      <c r="A2225" s="58" t="n"/>
      <c r="B2225" s="58">
        <f>IF($H2225="","",LEFT($H2225,FIND(" ",$H2225&amp;" ")-1))</f>
        <v/>
      </c>
      <c r="C2225" s="58">
        <f>IF($H2225="","",IFERROR(MID($H2225&amp;" ",FIND("|",SUBSTITUTE($H2225&amp;" "," ","|",1))+1,FIND("|",SUBSTITUTE($H2225&amp;" "," ","|",2))-FIND("|",SUBSTITUTE($H2225&amp;" "," ","|",1))-1),""))</f>
        <v/>
      </c>
      <c r="D2225" s="58">
        <f>IF($H2225="","",IFERROR(MID($H2225&amp;" ",FIND("|",SUBSTITUTE($H2225&amp;" "," ","|",2))+1,FIND("|",SUBSTITUTE($H2225&amp;" "," ","|",3))-FIND("|",SUBSTITUTE($H2225&amp;" "," ","|",2))-1),""))</f>
        <v/>
      </c>
      <c r="E2225" s="58">
        <f>IF($H2225="","",IFERROR(MID($H2225&amp;" ",FIND("|",SUBSTITUTE($H2225&amp;" "," ","|",3))+1,FIND("|",SUBSTITUTE($H2225&amp;" "," ","|",4))-FIND("|",SUBSTITUTE($H2225&amp;" "," ","|",3))-1),""))</f>
        <v/>
      </c>
      <c r="F2225" s="59">
        <f>IF($H2225="","",IFERROR(VALUE(IFERROR(MID($H2225&amp;" ",FIND("|",SUBSTITUTE($H2225&amp;" "," ","|",4))+1,FIND("|",SUBSTITUTE($H2225&amp;" "," ","|",5))-FIND("|",SUBSTITUTE($H2225&amp;" "," ","|",4))-1),""))/86400+25569+9/24,""))</f>
        <v/>
      </c>
      <c r="G2225" s="58">
        <f>TRIM(SUBSTITUTE(SUBSTITUTE(SUBSTITUTE($A2225,CHAR(9)," ")," "," "),CHAR(13),""))</f>
        <v/>
      </c>
      <c r="H2225" s="58">
        <f>IF($G2225="","",IF(ISNUMBER(FIND(" ",$G2225)),$G2225,IFERROR(IF((LEN(SUBSTITUTE(SUBSTITUTE($G2225,"-"," ",LEN($G2225)-LEN(SUBSTITUTE($G2225,"-",""))),"-"," ",LEN($G2225)-LEN(SUBSTITUTE($G2225,"-",""))-1))-LEN(SUBSTITUTE(SUBSTITUTE(SUBSTITUTE($G2225,"-"," ",LEN($G2225)-LEN(SUBSTITUTE($G2225,"-",""))),"-"," ",LEN($G2225)-LEN(SUBSTITUTE($G2225,"-",""))-1),".","")))=0,SUBSTITUTE(SUBSTITUTE($G2225,"-"," ",LEN($G2225)-LEN(SUBSTITUTE($G2225,"-",""))),"-"," ",LEN($G2225)-LEN(SUBSTITUTE($G2225,"-",""))-1),SUBSTITUTE(SUBSTITUTE(SUBSTITUTE($G2225,"-"," ",LEN($G2225)-LEN(SUBSTITUTE($G2225,"-",""))),"-"," ",LEN($G2225)-LEN(SUBSTITUTE($G2225,"-",""))-1),"."," ",(LEN(SUBSTITUTE(SUBSTITUTE($G2225,"-"," ",LEN($G2225)-LEN(SUBSTITUTE($G2225,"-",""))),"-"," ",LEN($G2225)-LEN(SUBSTITUTE($G2225,"-",""))-1))-LEN(SUBSTITUTE(SUBSTITUTE(SUBSTITUTE($G2225,"-"," ",LEN($G2225)-LEN(SUBSTITUTE($G2225,"-",""))),"-"," ",LEN($G2225)-LEN(SUBSTITUTE($G2225,"-",""))-1),".",""))))),$G2225)))</f>
        <v/>
      </c>
    </row>
    <row r="2226">
      <c r="A2226" s="58" t="n"/>
      <c r="B2226" s="58">
        <f>IF($H2226="","",LEFT($H2226,FIND(" ",$H2226&amp;" ")-1))</f>
        <v/>
      </c>
      <c r="C2226" s="58">
        <f>IF($H2226="","",IFERROR(MID($H2226&amp;" ",FIND("|",SUBSTITUTE($H2226&amp;" "," ","|",1))+1,FIND("|",SUBSTITUTE($H2226&amp;" "," ","|",2))-FIND("|",SUBSTITUTE($H2226&amp;" "," ","|",1))-1),""))</f>
        <v/>
      </c>
      <c r="D2226" s="58">
        <f>IF($H2226="","",IFERROR(MID($H2226&amp;" ",FIND("|",SUBSTITUTE($H2226&amp;" "," ","|",2))+1,FIND("|",SUBSTITUTE($H2226&amp;" "," ","|",3))-FIND("|",SUBSTITUTE($H2226&amp;" "," ","|",2))-1),""))</f>
        <v/>
      </c>
      <c r="E2226" s="58">
        <f>IF($H2226="","",IFERROR(MID($H2226&amp;" ",FIND("|",SUBSTITUTE($H2226&amp;" "," ","|",3))+1,FIND("|",SUBSTITUTE($H2226&amp;" "," ","|",4))-FIND("|",SUBSTITUTE($H2226&amp;" "," ","|",3))-1),""))</f>
        <v/>
      </c>
      <c r="F2226" s="59">
        <f>IF($H2226="","",IFERROR(VALUE(IFERROR(MID($H2226&amp;" ",FIND("|",SUBSTITUTE($H2226&amp;" "," ","|",4))+1,FIND("|",SUBSTITUTE($H2226&amp;" "," ","|",5))-FIND("|",SUBSTITUTE($H2226&amp;" "," ","|",4))-1),""))/86400+25569+9/24,""))</f>
        <v/>
      </c>
      <c r="G2226" s="58">
        <f>TRIM(SUBSTITUTE(SUBSTITUTE(SUBSTITUTE($A2226,CHAR(9)," ")," "," "),CHAR(13),""))</f>
        <v/>
      </c>
      <c r="H2226" s="58">
        <f>IF($G2226="","",IF(ISNUMBER(FIND(" ",$G2226)),$G2226,IFERROR(IF((LEN(SUBSTITUTE(SUBSTITUTE($G2226,"-"," ",LEN($G2226)-LEN(SUBSTITUTE($G2226,"-",""))),"-"," ",LEN($G2226)-LEN(SUBSTITUTE($G2226,"-",""))-1))-LEN(SUBSTITUTE(SUBSTITUTE(SUBSTITUTE($G2226,"-"," ",LEN($G2226)-LEN(SUBSTITUTE($G2226,"-",""))),"-"," ",LEN($G2226)-LEN(SUBSTITUTE($G2226,"-",""))-1),".","")))=0,SUBSTITUTE(SUBSTITUTE($G2226,"-"," ",LEN($G2226)-LEN(SUBSTITUTE($G2226,"-",""))),"-"," ",LEN($G2226)-LEN(SUBSTITUTE($G2226,"-",""))-1),SUBSTITUTE(SUBSTITUTE(SUBSTITUTE($G2226,"-"," ",LEN($G2226)-LEN(SUBSTITUTE($G2226,"-",""))),"-"," ",LEN($G2226)-LEN(SUBSTITUTE($G2226,"-",""))-1),"."," ",(LEN(SUBSTITUTE(SUBSTITUTE($G2226,"-"," ",LEN($G2226)-LEN(SUBSTITUTE($G2226,"-",""))),"-"," ",LEN($G2226)-LEN(SUBSTITUTE($G2226,"-",""))-1))-LEN(SUBSTITUTE(SUBSTITUTE(SUBSTITUTE($G2226,"-"," ",LEN($G2226)-LEN(SUBSTITUTE($G2226,"-",""))),"-"," ",LEN($G2226)-LEN(SUBSTITUTE($G2226,"-",""))-1),".",""))))),$G2226)))</f>
        <v/>
      </c>
    </row>
    <row r="2227">
      <c r="A2227" s="58" t="n"/>
      <c r="B2227" s="58">
        <f>IF($H2227="","",LEFT($H2227,FIND(" ",$H2227&amp;" ")-1))</f>
        <v/>
      </c>
      <c r="C2227" s="58">
        <f>IF($H2227="","",IFERROR(MID($H2227&amp;" ",FIND("|",SUBSTITUTE($H2227&amp;" "," ","|",1))+1,FIND("|",SUBSTITUTE($H2227&amp;" "," ","|",2))-FIND("|",SUBSTITUTE($H2227&amp;" "," ","|",1))-1),""))</f>
        <v/>
      </c>
      <c r="D2227" s="58">
        <f>IF($H2227="","",IFERROR(MID($H2227&amp;" ",FIND("|",SUBSTITUTE($H2227&amp;" "," ","|",2))+1,FIND("|",SUBSTITUTE($H2227&amp;" "," ","|",3))-FIND("|",SUBSTITUTE($H2227&amp;" "," ","|",2))-1),""))</f>
        <v/>
      </c>
      <c r="E2227" s="58">
        <f>IF($H2227="","",IFERROR(MID($H2227&amp;" ",FIND("|",SUBSTITUTE($H2227&amp;" "," ","|",3))+1,FIND("|",SUBSTITUTE($H2227&amp;" "," ","|",4))-FIND("|",SUBSTITUTE($H2227&amp;" "," ","|",3))-1),""))</f>
        <v/>
      </c>
      <c r="F2227" s="59">
        <f>IF($H2227="","",IFERROR(VALUE(IFERROR(MID($H2227&amp;" ",FIND("|",SUBSTITUTE($H2227&amp;" "," ","|",4))+1,FIND("|",SUBSTITUTE($H2227&amp;" "," ","|",5))-FIND("|",SUBSTITUTE($H2227&amp;" "," ","|",4))-1),""))/86400+25569+9/24,""))</f>
        <v/>
      </c>
      <c r="G2227" s="58">
        <f>TRIM(SUBSTITUTE(SUBSTITUTE(SUBSTITUTE($A2227,CHAR(9)," ")," "," "),CHAR(13),""))</f>
        <v/>
      </c>
      <c r="H2227" s="58">
        <f>IF($G2227="","",IF(ISNUMBER(FIND(" ",$G2227)),$G2227,IFERROR(IF((LEN(SUBSTITUTE(SUBSTITUTE($G2227,"-"," ",LEN($G2227)-LEN(SUBSTITUTE($G2227,"-",""))),"-"," ",LEN($G2227)-LEN(SUBSTITUTE($G2227,"-",""))-1))-LEN(SUBSTITUTE(SUBSTITUTE(SUBSTITUTE($G2227,"-"," ",LEN($G2227)-LEN(SUBSTITUTE($G2227,"-",""))),"-"," ",LEN($G2227)-LEN(SUBSTITUTE($G2227,"-",""))-1),".","")))=0,SUBSTITUTE(SUBSTITUTE($G2227,"-"," ",LEN($G2227)-LEN(SUBSTITUTE($G2227,"-",""))),"-"," ",LEN($G2227)-LEN(SUBSTITUTE($G2227,"-",""))-1),SUBSTITUTE(SUBSTITUTE(SUBSTITUTE($G2227,"-"," ",LEN($G2227)-LEN(SUBSTITUTE($G2227,"-",""))),"-"," ",LEN($G2227)-LEN(SUBSTITUTE($G2227,"-",""))-1),"."," ",(LEN(SUBSTITUTE(SUBSTITUTE($G2227,"-"," ",LEN($G2227)-LEN(SUBSTITUTE($G2227,"-",""))),"-"," ",LEN($G2227)-LEN(SUBSTITUTE($G2227,"-",""))-1))-LEN(SUBSTITUTE(SUBSTITUTE(SUBSTITUTE($G2227,"-"," ",LEN($G2227)-LEN(SUBSTITUTE($G2227,"-",""))),"-"," ",LEN($G2227)-LEN(SUBSTITUTE($G2227,"-",""))-1),".",""))))),$G2227)))</f>
        <v/>
      </c>
    </row>
    <row r="2228">
      <c r="A2228" s="58" t="n"/>
      <c r="B2228" s="58">
        <f>IF($H2228="","",LEFT($H2228,FIND(" ",$H2228&amp;" ")-1))</f>
        <v/>
      </c>
      <c r="C2228" s="58">
        <f>IF($H2228="","",IFERROR(MID($H2228&amp;" ",FIND("|",SUBSTITUTE($H2228&amp;" "," ","|",1))+1,FIND("|",SUBSTITUTE($H2228&amp;" "," ","|",2))-FIND("|",SUBSTITUTE($H2228&amp;" "," ","|",1))-1),""))</f>
        <v/>
      </c>
      <c r="D2228" s="58">
        <f>IF($H2228="","",IFERROR(MID($H2228&amp;" ",FIND("|",SUBSTITUTE($H2228&amp;" "," ","|",2))+1,FIND("|",SUBSTITUTE($H2228&amp;" "," ","|",3))-FIND("|",SUBSTITUTE($H2228&amp;" "," ","|",2))-1),""))</f>
        <v/>
      </c>
      <c r="E2228" s="58">
        <f>IF($H2228="","",IFERROR(MID($H2228&amp;" ",FIND("|",SUBSTITUTE($H2228&amp;" "," ","|",3))+1,FIND("|",SUBSTITUTE($H2228&amp;" "," ","|",4))-FIND("|",SUBSTITUTE($H2228&amp;" "," ","|",3))-1),""))</f>
        <v/>
      </c>
      <c r="F2228" s="59">
        <f>IF($H2228="","",IFERROR(VALUE(IFERROR(MID($H2228&amp;" ",FIND("|",SUBSTITUTE($H2228&amp;" "," ","|",4))+1,FIND("|",SUBSTITUTE($H2228&amp;" "," ","|",5))-FIND("|",SUBSTITUTE($H2228&amp;" "," ","|",4))-1),""))/86400+25569+9/24,""))</f>
        <v/>
      </c>
      <c r="G2228" s="58">
        <f>TRIM(SUBSTITUTE(SUBSTITUTE(SUBSTITUTE($A2228,CHAR(9)," ")," "," "),CHAR(13),""))</f>
        <v/>
      </c>
      <c r="H2228" s="58">
        <f>IF($G2228="","",IF(ISNUMBER(FIND(" ",$G2228)),$G2228,IFERROR(IF((LEN(SUBSTITUTE(SUBSTITUTE($G2228,"-"," ",LEN($G2228)-LEN(SUBSTITUTE($G2228,"-",""))),"-"," ",LEN($G2228)-LEN(SUBSTITUTE($G2228,"-",""))-1))-LEN(SUBSTITUTE(SUBSTITUTE(SUBSTITUTE($G2228,"-"," ",LEN($G2228)-LEN(SUBSTITUTE($G2228,"-",""))),"-"," ",LEN($G2228)-LEN(SUBSTITUTE($G2228,"-",""))-1),".","")))=0,SUBSTITUTE(SUBSTITUTE($G2228,"-"," ",LEN($G2228)-LEN(SUBSTITUTE($G2228,"-",""))),"-"," ",LEN($G2228)-LEN(SUBSTITUTE($G2228,"-",""))-1),SUBSTITUTE(SUBSTITUTE(SUBSTITUTE($G2228,"-"," ",LEN($G2228)-LEN(SUBSTITUTE($G2228,"-",""))),"-"," ",LEN($G2228)-LEN(SUBSTITUTE($G2228,"-",""))-1),"."," ",(LEN(SUBSTITUTE(SUBSTITUTE($G2228,"-"," ",LEN($G2228)-LEN(SUBSTITUTE($G2228,"-",""))),"-"," ",LEN($G2228)-LEN(SUBSTITUTE($G2228,"-",""))-1))-LEN(SUBSTITUTE(SUBSTITUTE(SUBSTITUTE($G2228,"-"," ",LEN($G2228)-LEN(SUBSTITUTE($G2228,"-",""))),"-"," ",LEN($G2228)-LEN(SUBSTITUTE($G2228,"-",""))-1),".",""))))),$G2228)))</f>
        <v/>
      </c>
    </row>
    <row r="2229">
      <c r="A2229" s="58" t="n"/>
      <c r="B2229" s="58">
        <f>IF($H2229="","",LEFT($H2229,FIND(" ",$H2229&amp;" ")-1))</f>
        <v/>
      </c>
      <c r="C2229" s="58">
        <f>IF($H2229="","",IFERROR(MID($H2229&amp;" ",FIND("|",SUBSTITUTE($H2229&amp;" "," ","|",1))+1,FIND("|",SUBSTITUTE($H2229&amp;" "," ","|",2))-FIND("|",SUBSTITUTE($H2229&amp;" "," ","|",1))-1),""))</f>
        <v/>
      </c>
      <c r="D2229" s="58">
        <f>IF($H2229="","",IFERROR(MID($H2229&amp;" ",FIND("|",SUBSTITUTE($H2229&amp;" "," ","|",2))+1,FIND("|",SUBSTITUTE($H2229&amp;" "," ","|",3))-FIND("|",SUBSTITUTE($H2229&amp;" "," ","|",2))-1),""))</f>
        <v/>
      </c>
      <c r="E2229" s="58">
        <f>IF($H2229="","",IFERROR(MID($H2229&amp;" ",FIND("|",SUBSTITUTE($H2229&amp;" "," ","|",3))+1,FIND("|",SUBSTITUTE($H2229&amp;" "," ","|",4))-FIND("|",SUBSTITUTE($H2229&amp;" "," ","|",3))-1),""))</f>
        <v/>
      </c>
      <c r="F2229" s="59">
        <f>IF($H2229="","",IFERROR(VALUE(IFERROR(MID($H2229&amp;" ",FIND("|",SUBSTITUTE($H2229&amp;" "," ","|",4))+1,FIND("|",SUBSTITUTE($H2229&amp;" "," ","|",5))-FIND("|",SUBSTITUTE($H2229&amp;" "," ","|",4))-1),""))/86400+25569+9/24,""))</f>
        <v/>
      </c>
      <c r="G2229" s="58">
        <f>TRIM(SUBSTITUTE(SUBSTITUTE(SUBSTITUTE($A2229,CHAR(9)," ")," "," "),CHAR(13),""))</f>
        <v/>
      </c>
      <c r="H2229" s="58">
        <f>IF($G2229="","",IF(ISNUMBER(FIND(" ",$G2229)),$G2229,IFERROR(IF((LEN(SUBSTITUTE(SUBSTITUTE($G2229,"-"," ",LEN($G2229)-LEN(SUBSTITUTE($G2229,"-",""))),"-"," ",LEN($G2229)-LEN(SUBSTITUTE($G2229,"-",""))-1))-LEN(SUBSTITUTE(SUBSTITUTE(SUBSTITUTE($G2229,"-"," ",LEN($G2229)-LEN(SUBSTITUTE($G2229,"-",""))),"-"," ",LEN($G2229)-LEN(SUBSTITUTE($G2229,"-",""))-1),".","")))=0,SUBSTITUTE(SUBSTITUTE($G2229,"-"," ",LEN($G2229)-LEN(SUBSTITUTE($G2229,"-",""))),"-"," ",LEN($G2229)-LEN(SUBSTITUTE($G2229,"-",""))-1),SUBSTITUTE(SUBSTITUTE(SUBSTITUTE($G2229,"-"," ",LEN($G2229)-LEN(SUBSTITUTE($G2229,"-",""))),"-"," ",LEN($G2229)-LEN(SUBSTITUTE($G2229,"-",""))-1),"."," ",(LEN(SUBSTITUTE(SUBSTITUTE($G2229,"-"," ",LEN($G2229)-LEN(SUBSTITUTE($G2229,"-",""))),"-"," ",LEN($G2229)-LEN(SUBSTITUTE($G2229,"-",""))-1))-LEN(SUBSTITUTE(SUBSTITUTE(SUBSTITUTE($G2229,"-"," ",LEN($G2229)-LEN(SUBSTITUTE($G2229,"-",""))),"-"," ",LEN($G2229)-LEN(SUBSTITUTE($G2229,"-",""))-1),".",""))))),$G2229)))</f>
        <v/>
      </c>
    </row>
    <row r="2230">
      <c r="A2230" s="58" t="n"/>
      <c r="B2230" s="58">
        <f>IF($H2230="","",LEFT($H2230,FIND(" ",$H2230&amp;" ")-1))</f>
        <v/>
      </c>
      <c r="C2230" s="58">
        <f>IF($H2230="","",IFERROR(MID($H2230&amp;" ",FIND("|",SUBSTITUTE($H2230&amp;" "," ","|",1))+1,FIND("|",SUBSTITUTE($H2230&amp;" "," ","|",2))-FIND("|",SUBSTITUTE($H2230&amp;" "," ","|",1))-1),""))</f>
        <v/>
      </c>
      <c r="D2230" s="58">
        <f>IF($H2230="","",IFERROR(MID($H2230&amp;" ",FIND("|",SUBSTITUTE($H2230&amp;" "," ","|",2))+1,FIND("|",SUBSTITUTE($H2230&amp;" "," ","|",3))-FIND("|",SUBSTITUTE($H2230&amp;" "," ","|",2))-1),""))</f>
        <v/>
      </c>
      <c r="E2230" s="58">
        <f>IF($H2230="","",IFERROR(MID($H2230&amp;" ",FIND("|",SUBSTITUTE($H2230&amp;" "," ","|",3))+1,FIND("|",SUBSTITUTE($H2230&amp;" "," ","|",4))-FIND("|",SUBSTITUTE($H2230&amp;" "," ","|",3))-1),""))</f>
        <v/>
      </c>
      <c r="F2230" s="59">
        <f>IF($H2230="","",IFERROR(VALUE(IFERROR(MID($H2230&amp;" ",FIND("|",SUBSTITUTE($H2230&amp;" "," ","|",4))+1,FIND("|",SUBSTITUTE($H2230&amp;" "," ","|",5))-FIND("|",SUBSTITUTE($H2230&amp;" "," ","|",4))-1),""))/86400+25569+9/24,""))</f>
        <v/>
      </c>
      <c r="G2230" s="58">
        <f>TRIM(SUBSTITUTE(SUBSTITUTE(SUBSTITUTE($A2230,CHAR(9)," ")," "," "),CHAR(13),""))</f>
        <v/>
      </c>
      <c r="H2230" s="58">
        <f>IF($G2230="","",IF(ISNUMBER(FIND(" ",$G2230)),$G2230,IFERROR(IF((LEN(SUBSTITUTE(SUBSTITUTE($G2230,"-"," ",LEN($G2230)-LEN(SUBSTITUTE($G2230,"-",""))),"-"," ",LEN($G2230)-LEN(SUBSTITUTE($G2230,"-",""))-1))-LEN(SUBSTITUTE(SUBSTITUTE(SUBSTITUTE($G2230,"-"," ",LEN($G2230)-LEN(SUBSTITUTE($G2230,"-",""))),"-"," ",LEN($G2230)-LEN(SUBSTITUTE($G2230,"-",""))-1),".","")))=0,SUBSTITUTE(SUBSTITUTE($G2230,"-"," ",LEN($G2230)-LEN(SUBSTITUTE($G2230,"-",""))),"-"," ",LEN($G2230)-LEN(SUBSTITUTE($G2230,"-",""))-1),SUBSTITUTE(SUBSTITUTE(SUBSTITUTE($G2230,"-"," ",LEN($G2230)-LEN(SUBSTITUTE($G2230,"-",""))),"-"," ",LEN($G2230)-LEN(SUBSTITUTE($G2230,"-",""))-1),"."," ",(LEN(SUBSTITUTE(SUBSTITUTE($G2230,"-"," ",LEN($G2230)-LEN(SUBSTITUTE($G2230,"-",""))),"-"," ",LEN($G2230)-LEN(SUBSTITUTE($G2230,"-",""))-1))-LEN(SUBSTITUTE(SUBSTITUTE(SUBSTITUTE($G2230,"-"," ",LEN($G2230)-LEN(SUBSTITUTE($G2230,"-",""))),"-"," ",LEN($G2230)-LEN(SUBSTITUTE($G2230,"-",""))-1),".",""))))),$G2230)))</f>
        <v/>
      </c>
    </row>
    <row r="2231">
      <c r="A2231" s="58" t="n"/>
      <c r="B2231" s="58">
        <f>IF($H2231="","",LEFT($H2231,FIND(" ",$H2231&amp;" ")-1))</f>
        <v/>
      </c>
      <c r="C2231" s="58">
        <f>IF($H2231="","",IFERROR(MID($H2231&amp;" ",FIND("|",SUBSTITUTE($H2231&amp;" "," ","|",1))+1,FIND("|",SUBSTITUTE($H2231&amp;" "," ","|",2))-FIND("|",SUBSTITUTE($H2231&amp;" "," ","|",1))-1),""))</f>
        <v/>
      </c>
      <c r="D2231" s="58">
        <f>IF($H2231="","",IFERROR(MID($H2231&amp;" ",FIND("|",SUBSTITUTE($H2231&amp;" "," ","|",2))+1,FIND("|",SUBSTITUTE($H2231&amp;" "," ","|",3))-FIND("|",SUBSTITUTE($H2231&amp;" "," ","|",2))-1),""))</f>
        <v/>
      </c>
      <c r="E2231" s="58">
        <f>IF($H2231="","",IFERROR(MID($H2231&amp;" ",FIND("|",SUBSTITUTE($H2231&amp;" "," ","|",3))+1,FIND("|",SUBSTITUTE($H2231&amp;" "," ","|",4))-FIND("|",SUBSTITUTE($H2231&amp;" "," ","|",3))-1),""))</f>
        <v/>
      </c>
      <c r="F2231" s="59">
        <f>IF($H2231="","",IFERROR(VALUE(IFERROR(MID($H2231&amp;" ",FIND("|",SUBSTITUTE($H2231&amp;" "," ","|",4))+1,FIND("|",SUBSTITUTE($H2231&amp;" "," ","|",5))-FIND("|",SUBSTITUTE($H2231&amp;" "," ","|",4))-1),""))/86400+25569+9/24,""))</f>
        <v/>
      </c>
      <c r="G2231" s="58">
        <f>TRIM(SUBSTITUTE(SUBSTITUTE(SUBSTITUTE($A2231,CHAR(9)," ")," "," "),CHAR(13),""))</f>
        <v/>
      </c>
      <c r="H2231" s="58">
        <f>IF($G2231="","",IF(ISNUMBER(FIND(" ",$G2231)),$G2231,IFERROR(IF((LEN(SUBSTITUTE(SUBSTITUTE($G2231,"-"," ",LEN($G2231)-LEN(SUBSTITUTE($G2231,"-",""))),"-"," ",LEN($G2231)-LEN(SUBSTITUTE($G2231,"-",""))-1))-LEN(SUBSTITUTE(SUBSTITUTE(SUBSTITUTE($G2231,"-"," ",LEN($G2231)-LEN(SUBSTITUTE($G2231,"-",""))),"-"," ",LEN($G2231)-LEN(SUBSTITUTE($G2231,"-",""))-1),".","")))=0,SUBSTITUTE(SUBSTITUTE($G2231,"-"," ",LEN($G2231)-LEN(SUBSTITUTE($G2231,"-",""))),"-"," ",LEN($G2231)-LEN(SUBSTITUTE($G2231,"-",""))-1),SUBSTITUTE(SUBSTITUTE(SUBSTITUTE($G2231,"-"," ",LEN($G2231)-LEN(SUBSTITUTE($G2231,"-",""))),"-"," ",LEN($G2231)-LEN(SUBSTITUTE($G2231,"-",""))-1),"."," ",(LEN(SUBSTITUTE(SUBSTITUTE($G2231,"-"," ",LEN($G2231)-LEN(SUBSTITUTE($G2231,"-",""))),"-"," ",LEN($G2231)-LEN(SUBSTITUTE($G2231,"-",""))-1))-LEN(SUBSTITUTE(SUBSTITUTE(SUBSTITUTE($G2231,"-"," ",LEN($G2231)-LEN(SUBSTITUTE($G2231,"-",""))),"-"," ",LEN($G2231)-LEN(SUBSTITUTE($G2231,"-",""))-1),".",""))))),$G2231)))</f>
        <v/>
      </c>
    </row>
    <row r="2232">
      <c r="A2232" s="58" t="n"/>
      <c r="B2232" s="58">
        <f>IF($H2232="","",LEFT($H2232,FIND(" ",$H2232&amp;" ")-1))</f>
        <v/>
      </c>
      <c r="C2232" s="58">
        <f>IF($H2232="","",IFERROR(MID($H2232&amp;" ",FIND("|",SUBSTITUTE($H2232&amp;" "," ","|",1))+1,FIND("|",SUBSTITUTE($H2232&amp;" "," ","|",2))-FIND("|",SUBSTITUTE($H2232&amp;" "," ","|",1))-1),""))</f>
        <v/>
      </c>
      <c r="D2232" s="58">
        <f>IF($H2232="","",IFERROR(MID($H2232&amp;" ",FIND("|",SUBSTITUTE($H2232&amp;" "," ","|",2))+1,FIND("|",SUBSTITUTE($H2232&amp;" "," ","|",3))-FIND("|",SUBSTITUTE($H2232&amp;" "," ","|",2))-1),""))</f>
        <v/>
      </c>
      <c r="E2232" s="58">
        <f>IF($H2232="","",IFERROR(MID($H2232&amp;" ",FIND("|",SUBSTITUTE($H2232&amp;" "," ","|",3))+1,FIND("|",SUBSTITUTE($H2232&amp;" "," ","|",4))-FIND("|",SUBSTITUTE($H2232&amp;" "," ","|",3))-1),""))</f>
        <v/>
      </c>
      <c r="F2232" s="59">
        <f>IF($H2232="","",IFERROR(VALUE(IFERROR(MID($H2232&amp;" ",FIND("|",SUBSTITUTE($H2232&amp;" "," ","|",4))+1,FIND("|",SUBSTITUTE($H2232&amp;" "," ","|",5))-FIND("|",SUBSTITUTE($H2232&amp;" "," ","|",4))-1),""))/86400+25569+9/24,""))</f>
        <v/>
      </c>
      <c r="G2232" s="58">
        <f>TRIM(SUBSTITUTE(SUBSTITUTE(SUBSTITUTE($A2232,CHAR(9)," ")," "," "),CHAR(13),""))</f>
        <v/>
      </c>
      <c r="H2232" s="58">
        <f>IF($G2232="","",IF(ISNUMBER(FIND(" ",$G2232)),$G2232,IFERROR(IF((LEN(SUBSTITUTE(SUBSTITUTE($G2232,"-"," ",LEN($G2232)-LEN(SUBSTITUTE($G2232,"-",""))),"-"," ",LEN($G2232)-LEN(SUBSTITUTE($G2232,"-",""))-1))-LEN(SUBSTITUTE(SUBSTITUTE(SUBSTITUTE($G2232,"-"," ",LEN($G2232)-LEN(SUBSTITUTE($G2232,"-",""))),"-"," ",LEN($G2232)-LEN(SUBSTITUTE($G2232,"-",""))-1),".","")))=0,SUBSTITUTE(SUBSTITUTE($G2232,"-"," ",LEN($G2232)-LEN(SUBSTITUTE($G2232,"-",""))),"-"," ",LEN($G2232)-LEN(SUBSTITUTE($G2232,"-",""))-1),SUBSTITUTE(SUBSTITUTE(SUBSTITUTE($G2232,"-"," ",LEN($G2232)-LEN(SUBSTITUTE($G2232,"-",""))),"-"," ",LEN($G2232)-LEN(SUBSTITUTE($G2232,"-",""))-1),"."," ",(LEN(SUBSTITUTE(SUBSTITUTE($G2232,"-"," ",LEN($G2232)-LEN(SUBSTITUTE($G2232,"-",""))),"-"," ",LEN($G2232)-LEN(SUBSTITUTE($G2232,"-",""))-1))-LEN(SUBSTITUTE(SUBSTITUTE(SUBSTITUTE($G2232,"-"," ",LEN($G2232)-LEN(SUBSTITUTE($G2232,"-",""))),"-"," ",LEN($G2232)-LEN(SUBSTITUTE($G2232,"-",""))-1),".",""))))),$G2232)))</f>
        <v/>
      </c>
    </row>
    <row r="2233">
      <c r="A2233" s="58" t="n"/>
      <c r="B2233" s="58">
        <f>IF($H2233="","",LEFT($H2233,FIND(" ",$H2233&amp;" ")-1))</f>
        <v/>
      </c>
      <c r="C2233" s="58">
        <f>IF($H2233="","",IFERROR(MID($H2233&amp;" ",FIND("|",SUBSTITUTE($H2233&amp;" "," ","|",1))+1,FIND("|",SUBSTITUTE($H2233&amp;" "," ","|",2))-FIND("|",SUBSTITUTE($H2233&amp;" "," ","|",1))-1),""))</f>
        <v/>
      </c>
      <c r="D2233" s="58">
        <f>IF($H2233="","",IFERROR(MID($H2233&amp;" ",FIND("|",SUBSTITUTE($H2233&amp;" "," ","|",2))+1,FIND("|",SUBSTITUTE($H2233&amp;" "," ","|",3))-FIND("|",SUBSTITUTE($H2233&amp;" "," ","|",2))-1),""))</f>
        <v/>
      </c>
      <c r="E2233" s="58">
        <f>IF($H2233="","",IFERROR(MID($H2233&amp;" ",FIND("|",SUBSTITUTE($H2233&amp;" "," ","|",3))+1,FIND("|",SUBSTITUTE($H2233&amp;" "," ","|",4))-FIND("|",SUBSTITUTE($H2233&amp;" "," ","|",3))-1),""))</f>
        <v/>
      </c>
      <c r="F2233" s="59">
        <f>IF($H2233="","",IFERROR(VALUE(IFERROR(MID($H2233&amp;" ",FIND("|",SUBSTITUTE($H2233&amp;" "," ","|",4))+1,FIND("|",SUBSTITUTE($H2233&amp;" "," ","|",5))-FIND("|",SUBSTITUTE($H2233&amp;" "," ","|",4))-1),""))/86400+25569+9/24,""))</f>
        <v/>
      </c>
      <c r="G2233" s="58">
        <f>TRIM(SUBSTITUTE(SUBSTITUTE(SUBSTITUTE($A2233,CHAR(9)," ")," "," "),CHAR(13),""))</f>
        <v/>
      </c>
      <c r="H2233" s="58">
        <f>IF($G2233="","",IF(ISNUMBER(FIND(" ",$G2233)),$G2233,IFERROR(IF((LEN(SUBSTITUTE(SUBSTITUTE($G2233,"-"," ",LEN($G2233)-LEN(SUBSTITUTE($G2233,"-",""))),"-"," ",LEN($G2233)-LEN(SUBSTITUTE($G2233,"-",""))-1))-LEN(SUBSTITUTE(SUBSTITUTE(SUBSTITUTE($G2233,"-"," ",LEN($G2233)-LEN(SUBSTITUTE($G2233,"-",""))),"-"," ",LEN($G2233)-LEN(SUBSTITUTE($G2233,"-",""))-1),".","")))=0,SUBSTITUTE(SUBSTITUTE($G2233,"-"," ",LEN($G2233)-LEN(SUBSTITUTE($G2233,"-",""))),"-"," ",LEN($G2233)-LEN(SUBSTITUTE($G2233,"-",""))-1),SUBSTITUTE(SUBSTITUTE(SUBSTITUTE($G2233,"-"," ",LEN($G2233)-LEN(SUBSTITUTE($G2233,"-",""))),"-"," ",LEN($G2233)-LEN(SUBSTITUTE($G2233,"-",""))-1),"."," ",(LEN(SUBSTITUTE(SUBSTITUTE($G2233,"-"," ",LEN($G2233)-LEN(SUBSTITUTE($G2233,"-",""))),"-"," ",LEN($G2233)-LEN(SUBSTITUTE($G2233,"-",""))-1))-LEN(SUBSTITUTE(SUBSTITUTE(SUBSTITUTE($G2233,"-"," ",LEN($G2233)-LEN(SUBSTITUTE($G2233,"-",""))),"-"," ",LEN($G2233)-LEN(SUBSTITUTE($G2233,"-",""))-1),".",""))))),$G2233)))</f>
        <v/>
      </c>
    </row>
    <row r="2234">
      <c r="A2234" s="58" t="n"/>
      <c r="B2234" s="58">
        <f>IF($H2234="","",LEFT($H2234,FIND(" ",$H2234&amp;" ")-1))</f>
        <v/>
      </c>
      <c r="C2234" s="58">
        <f>IF($H2234="","",IFERROR(MID($H2234&amp;" ",FIND("|",SUBSTITUTE($H2234&amp;" "," ","|",1))+1,FIND("|",SUBSTITUTE($H2234&amp;" "," ","|",2))-FIND("|",SUBSTITUTE($H2234&amp;" "," ","|",1))-1),""))</f>
        <v/>
      </c>
      <c r="D2234" s="58">
        <f>IF($H2234="","",IFERROR(MID($H2234&amp;" ",FIND("|",SUBSTITUTE($H2234&amp;" "," ","|",2))+1,FIND("|",SUBSTITUTE($H2234&amp;" "," ","|",3))-FIND("|",SUBSTITUTE($H2234&amp;" "," ","|",2))-1),""))</f>
        <v/>
      </c>
      <c r="E2234" s="58">
        <f>IF($H2234="","",IFERROR(MID($H2234&amp;" ",FIND("|",SUBSTITUTE($H2234&amp;" "," ","|",3))+1,FIND("|",SUBSTITUTE($H2234&amp;" "," ","|",4))-FIND("|",SUBSTITUTE($H2234&amp;" "," ","|",3))-1),""))</f>
        <v/>
      </c>
      <c r="F2234" s="59">
        <f>IF($H2234="","",IFERROR(VALUE(IFERROR(MID($H2234&amp;" ",FIND("|",SUBSTITUTE($H2234&amp;" "," ","|",4))+1,FIND("|",SUBSTITUTE($H2234&amp;" "," ","|",5))-FIND("|",SUBSTITUTE($H2234&amp;" "," ","|",4))-1),""))/86400+25569+9/24,""))</f>
        <v/>
      </c>
      <c r="G2234" s="58">
        <f>TRIM(SUBSTITUTE(SUBSTITUTE(SUBSTITUTE($A2234,CHAR(9)," ")," "," "),CHAR(13),""))</f>
        <v/>
      </c>
      <c r="H2234" s="58">
        <f>IF($G2234="","",IF(ISNUMBER(FIND(" ",$G2234)),$G2234,IFERROR(IF((LEN(SUBSTITUTE(SUBSTITUTE($G2234,"-"," ",LEN($G2234)-LEN(SUBSTITUTE($G2234,"-",""))),"-"," ",LEN($G2234)-LEN(SUBSTITUTE($G2234,"-",""))-1))-LEN(SUBSTITUTE(SUBSTITUTE(SUBSTITUTE($G2234,"-"," ",LEN($G2234)-LEN(SUBSTITUTE($G2234,"-",""))),"-"," ",LEN($G2234)-LEN(SUBSTITUTE($G2234,"-",""))-1),".","")))=0,SUBSTITUTE(SUBSTITUTE($G2234,"-"," ",LEN($G2234)-LEN(SUBSTITUTE($G2234,"-",""))),"-"," ",LEN($G2234)-LEN(SUBSTITUTE($G2234,"-",""))-1),SUBSTITUTE(SUBSTITUTE(SUBSTITUTE($G2234,"-"," ",LEN($G2234)-LEN(SUBSTITUTE($G2234,"-",""))),"-"," ",LEN($G2234)-LEN(SUBSTITUTE($G2234,"-",""))-1),"."," ",(LEN(SUBSTITUTE(SUBSTITUTE($G2234,"-"," ",LEN($G2234)-LEN(SUBSTITUTE($G2234,"-",""))),"-"," ",LEN($G2234)-LEN(SUBSTITUTE($G2234,"-",""))-1))-LEN(SUBSTITUTE(SUBSTITUTE(SUBSTITUTE($G2234,"-"," ",LEN($G2234)-LEN(SUBSTITUTE($G2234,"-",""))),"-"," ",LEN($G2234)-LEN(SUBSTITUTE($G2234,"-",""))-1),".",""))))),$G2234)))</f>
        <v/>
      </c>
    </row>
    <row r="2235">
      <c r="A2235" s="58" t="n"/>
      <c r="B2235" s="58">
        <f>IF($H2235="","",LEFT($H2235,FIND(" ",$H2235&amp;" ")-1))</f>
        <v/>
      </c>
      <c r="C2235" s="58">
        <f>IF($H2235="","",IFERROR(MID($H2235&amp;" ",FIND("|",SUBSTITUTE($H2235&amp;" "," ","|",1))+1,FIND("|",SUBSTITUTE($H2235&amp;" "," ","|",2))-FIND("|",SUBSTITUTE($H2235&amp;" "," ","|",1))-1),""))</f>
        <v/>
      </c>
      <c r="D2235" s="58">
        <f>IF($H2235="","",IFERROR(MID($H2235&amp;" ",FIND("|",SUBSTITUTE($H2235&amp;" "," ","|",2))+1,FIND("|",SUBSTITUTE($H2235&amp;" "," ","|",3))-FIND("|",SUBSTITUTE($H2235&amp;" "," ","|",2))-1),""))</f>
        <v/>
      </c>
      <c r="E2235" s="58">
        <f>IF($H2235="","",IFERROR(MID($H2235&amp;" ",FIND("|",SUBSTITUTE($H2235&amp;" "," ","|",3))+1,FIND("|",SUBSTITUTE($H2235&amp;" "," ","|",4))-FIND("|",SUBSTITUTE($H2235&amp;" "," ","|",3))-1),""))</f>
        <v/>
      </c>
      <c r="F2235" s="59">
        <f>IF($H2235="","",IFERROR(VALUE(IFERROR(MID($H2235&amp;" ",FIND("|",SUBSTITUTE($H2235&amp;" "," ","|",4))+1,FIND("|",SUBSTITUTE($H2235&amp;" "," ","|",5))-FIND("|",SUBSTITUTE($H2235&amp;" "," ","|",4))-1),""))/86400+25569+9/24,""))</f>
        <v/>
      </c>
      <c r="G2235" s="58">
        <f>TRIM(SUBSTITUTE(SUBSTITUTE(SUBSTITUTE($A2235,CHAR(9)," ")," "," "),CHAR(13),""))</f>
        <v/>
      </c>
      <c r="H2235" s="58">
        <f>IF($G2235="","",IF(ISNUMBER(FIND(" ",$G2235)),$G2235,IFERROR(IF((LEN(SUBSTITUTE(SUBSTITUTE($G2235,"-"," ",LEN($G2235)-LEN(SUBSTITUTE($G2235,"-",""))),"-"," ",LEN($G2235)-LEN(SUBSTITUTE($G2235,"-",""))-1))-LEN(SUBSTITUTE(SUBSTITUTE(SUBSTITUTE($G2235,"-"," ",LEN($G2235)-LEN(SUBSTITUTE($G2235,"-",""))),"-"," ",LEN($G2235)-LEN(SUBSTITUTE($G2235,"-",""))-1),".","")))=0,SUBSTITUTE(SUBSTITUTE($G2235,"-"," ",LEN($G2235)-LEN(SUBSTITUTE($G2235,"-",""))),"-"," ",LEN($G2235)-LEN(SUBSTITUTE($G2235,"-",""))-1),SUBSTITUTE(SUBSTITUTE(SUBSTITUTE($G2235,"-"," ",LEN($G2235)-LEN(SUBSTITUTE($G2235,"-",""))),"-"," ",LEN($G2235)-LEN(SUBSTITUTE($G2235,"-",""))-1),"."," ",(LEN(SUBSTITUTE(SUBSTITUTE($G2235,"-"," ",LEN($G2235)-LEN(SUBSTITUTE($G2235,"-",""))),"-"," ",LEN($G2235)-LEN(SUBSTITUTE($G2235,"-",""))-1))-LEN(SUBSTITUTE(SUBSTITUTE(SUBSTITUTE($G2235,"-"," ",LEN($G2235)-LEN(SUBSTITUTE($G2235,"-",""))),"-"," ",LEN($G2235)-LEN(SUBSTITUTE($G2235,"-",""))-1),".",""))))),$G2235)))</f>
        <v/>
      </c>
    </row>
    <row r="2236">
      <c r="A2236" s="58" t="n"/>
      <c r="B2236" s="58">
        <f>IF($H2236="","",LEFT($H2236,FIND(" ",$H2236&amp;" ")-1))</f>
        <v/>
      </c>
      <c r="C2236" s="58">
        <f>IF($H2236="","",IFERROR(MID($H2236&amp;" ",FIND("|",SUBSTITUTE($H2236&amp;" "," ","|",1))+1,FIND("|",SUBSTITUTE($H2236&amp;" "," ","|",2))-FIND("|",SUBSTITUTE($H2236&amp;" "," ","|",1))-1),""))</f>
        <v/>
      </c>
      <c r="D2236" s="58">
        <f>IF($H2236="","",IFERROR(MID($H2236&amp;" ",FIND("|",SUBSTITUTE($H2236&amp;" "," ","|",2))+1,FIND("|",SUBSTITUTE($H2236&amp;" "," ","|",3))-FIND("|",SUBSTITUTE($H2236&amp;" "," ","|",2))-1),""))</f>
        <v/>
      </c>
      <c r="E2236" s="58">
        <f>IF($H2236="","",IFERROR(MID($H2236&amp;" ",FIND("|",SUBSTITUTE($H2236&amp;" "," ","|",3))+1,FIND("|",SUBSTITUTE($H2236&amp;" "," ","|",4))-FIND("|",SUBSTITUTE($H2236&amp;" "," ","|",3))-1),""))</f>
        <v/>
      </c>
      <c r="F2236" s="59">
        <f>IF($H2236="","",IFERROR(VALUE(IFERROR(MID($H2236&amp;" ",FIND("|",SUBSTITUTE($H2236&amp;" "," ","|",4))+1,FIND("|",SUBSTITUTE($H2236&amp;" "," ","|",5))-FIND("|",SUBSTITUTE($H2236&amp;" "," ","|",4))-1),""))/86400+25569+9/24,""))</f>
        <v/>
      </c>
      <c r="G2236" s="58">
        <f>TRIM(SUBSTITUTE(SUBSTITUTE(SUBSTITUTE($A2236,CHAR(9)," ")," "," "),CHAR(13),""))</f>
        <v/>
      </c>
      <c r="H2236" s="58">
        <f>IF($G2236="","",IF(ISNUMBER(FIND(" ",$G2236)),$G2236,IFERROR(IF((LEN(SUBSTITUTE(SUBSTITUTE($G2236,"-"," ",LEN($G2236)-LEN(SUBSTITUTE($G2236,"-",""))),"-"," ",LEN($G2236)-LEN(SUBSTITUTE($G2236,"-",""))-1))-LEN(SUBSTITUTE(SUBSTITUTE(SUBSTITUTE($G2236,"-"," ",LEN($G2236)-LEN(SUBSTITUTE($G2236,"-",""))),"-"," ",LEN($G2236)-LEN(SUBSTITUTE($G2236,"-",""))-1),".","")))=0,SUBSTITUTE(SUBSTITUTE($G2236,"-"," ",LEN($G2236)-LEN(SUBSTITUTE($G2236,"-",""))),"-"," ",LEN($G2236)-LEN(SUBSTITUTE($G2236,"-",""))-1),SUBSTITUTE(SUBSTITUTE(SUBSTITUTE($G2236,"-"," ",LEN($G2236)-LEN(SUBSTITUTE($G2236,"-",""))),"-"," ",LEN($G2236)-LEN(SUBSTITUTE($G2236,"-",""))-1),"."," ",(LEN(SUBSTITUTE(SUBSTITUTE($G2236,"-"," ",LEN($G2236)-LEN(SUBSTITUTE($G2236,"-",""))),"-"," ",LEN($G2236)-LEN(SUBSTITUTE($G2236,"-",""))-1))-LEN(SUBSTITUTE(SUBSTITUTE(SUBSTITUTE($G2236,"-"," ",LEN($G2236)-LEN(SUBSTITUTE($G2236,"-",""))),"-"," ",LEN($G2236)-LEN(SUBSTITUTE($G2236,"-",""))-1),".",""))))),$G2236)))</f>
        <v/>
      </c>
    </row>
    <row r="2237">
      <c r="A2237" s="58" t="n"/>
      <c r="B2237" s="58">
        <f>IF($H2237="","",LEFT($H2237,FIND(" ",$H2237&amp;" ")-1))</f>
        <v/>
      </c>
      <c r="C2237" s="58">
        <f>IF($H2237="","",IFERROR(MID($H2237&amp;" ",FIND("|",SUBSTITUTE($H2237&amp;" "," ","|",1))+1,FIND("|",SUBSTITUTE($H2237&amp;" "," ","|",2))-FIND("|",SUBSTITUTE($H2237&amp;" "," ","|",1))-1),""))</f>
        <v/>
      </c>
      <c r="D2237" s="58">
        <f>IF($H2237="","",IFERROR(MID($H2237&amp;" ",FIND("|",SUBSTITUTE($H2237&amp;" "," ","|",2))+1,FIND("|",SUBSTITUTE($H2237&amp;" "," ","|",3))-FIND("|",SUBSTITUTE($H2237&amp;" "," ","|",2))-1),""))</f>
        <v/>
      </c>
      <c r="E2237" s="58">
        <f>IF($H2237="","",IFERROR(MID($H2237&amp;" ",FIND("|",SUBSTITUTE($H2237&amp;" "," ","|",3))+1,FIND("|",SUBSTITUTE($H2237&amp;" "," ","|",4))-FIND("|",SUBSTITUTE($H2237&amp;" "," ","|",3))-1),""))</f>
        <v/>
      </c>
      <c r="F2237" s="59">
        <f>IF($H2237="","",IFERROR(VALUE(IFERROR(MID($H2237&amp;" ",FIND("|",SUBSTITUTE($H2237&amp;" "," ","|",4))+1,FIND("|",SUBSTITUTE($H2237&amp;" "," ","|",5))-FIND("|",SUBSTITUTE($H2237&amp;" "," ","|",4))-1),""))/86400+25569+9/24,""))</f>
        <v/>
      </c>
      <c r="G2237" s="58">
        <f>TRIM(SUBSTITUTE(SUBSTITUTE(SUBSTITUTE($A2237,CHAR(9)," ")," "," "),CHAR(13),""))</f>
        <v/>
      </c>
      <c r="H2237" s="58">
        <f>IF($G2237="","",IF(ISNUMBER(FIND(" ",$G2237)),$G2237,IFERROR(IF((LEN(SUBSTITUTE(SUBSTITUTE($G2237,"-"," ",LEN($G2237)-LEN(SUBSTITUTE($G2237,"-",""))),"-"," ",LEN($G2237)-LEN(SUBSTITUTE($G2237,"-",""))-1))-LEN(SUBSTITUTE(SUBSTITUTE(SUBSTITUTE($G2237,"-"," ",LEN($G2237)-LEN(SUBSTITUTE($G2237,"-",""))),"-"," ",LEN($G2237)-LEN(SUBSTITUTE($G2237,"-",""))-1),".","")))=0,SUBSTITUTE(SUBSTITUTE($G2237,"-"," ",LEN($G2237)-LEN(SUBSTITUTE($G2237,"-",""))),"-"," ",LEN($G2237)-LEN(SUBSTITUTE($G2237,"-",""))-1),SUBSTITUTE(SUBSTITUTE(SUBSTITUTE($G2237,"-"," ",LEN($G2237)-LEN(SUBSTITUTE($G2237,"-",""))),"-"," ",LEN($G2237)-LEN(SUBSTITUTE($G2237,"-",""))-1),"."," ",(LEN(SUBSTITUTE(SUBSTITUTE($G2237,"-"," ",LEN($G2237)-LEN(SUBSTITUTE($G2237,"-",""))),"-"," ",LEN($G2237)-LEN(SUBSTITUTE($G2237,"-",""))-1))-LEN(SUBSTITUTE(SUBSTITUTE(SUBSTITUTE($G2237,"-"," ",LEN($G2237)-LEN(SUBSTITUTE($G2237,"-",""))),"-"," ",LEN($G2237)-LEN(SUBSTITUTE($G2237,"-",""))-1),".",""))))),$G2237)))</f>
        <v/>
      </c>
    </row>
    <row r="2238">
      <c r="A2238" s="58" t="n"/>
      <c r="B2238" s="58">
        <f>IF($H2238="","",LEFT($H2238,FIND(" ",$H2238&amp;" ")-1))</f>
        <v/>
      </c>
      <c r="C2238" s="58">
        <f>IF($H2238="","",IFERROR(MID($H2238&amp;" ",FIND("|",SUBSTITUTE($H2238&amp;" "," ","|",1))+1,FIND("|",SUBSTITUTE($H2238&amp;" "," ","|",2))-FIND("|",SUBSTITUTE($H2238&amp;" "," ","|",1))-1),""))</f>
        <v/>
      </c>
      <c r="D2238" s="58">
        <f>IF($H2238="","",IFERROR(MID($H2238&amp;" ",FIND("|",SUBSTITUTE($H2238&amp;" "," ","|",2))+1,FIND("|",SUBSTITUTE($H2238&amp;" "," ","|",3))-FIND("|",SUBSTITUTE($H2238&amp;" "," ","|",2))-1),""))</f>
        <v/>
      </c>
      <c r="E2238" s="58">
        <f>IF($H2238="","",IFERROR(MID($H2238&amp;" ",FIND("|",SUBSTITUTE($H2238&amp;" "," ","|",3))+1,FIND("|",SUBSTITUTE($H2238&amp;" "," ","|",4))-FIND("|",SUBSTITUTE($H2238&amp;" "," ","|",3))-1),""))</f>
        <v/>
      </c>
      <c r="F2238" s="59">
        <f>IF($H2238="","",IFERROR(VALUE(IFERROR(MID($H2238&amp;" ",FIND("|",SUBSTITUTE($H2238&amp;" "," ","|",4))+1,FIND("|",SUBSTITUTE($H2238&amp;" "," ","|",5))-FIND("|",SUBSTITUTE($H2238&amp;" "," ","|",4))-1),""))/86400+25569+9/24,""))</f>
        <v/>
      </c>
      <c r="G2238" s="58">
        <f>TRIM(SUBSTITUTE(SUBSTITUTE(SUBSTITUTE($A2238,CHAR(9)," ")," "," "),CHAR(13),""))</f>
        <v/>
      </c>
      <c r="H2238" s="58">
        <f>IF($G2238="","",IF(ISNUMBER(FIND(" ",$G2238)),$G2238,IFERROR(IF((LEN(SUBSTITUTE(SUBSTITUTE($G2238,"-"," ",LEN($G2238)-LEN(SUBSTITUTE($G2238,"-",""))),"-"," ",LEN($G2238)-LEN(SUBSTITUTE($G2238,"-",""))-1))-LEN(SUBSTITUTE(SUBSTITUTE(SUBSTITUTE($G2238,"-"," ",LEN($G2238)-LEN(SUBSTITUTE($G2238,"-",""))),"-"," ",LEN($G2238)-LEN(SUBSTITUTE($G2238,"-",""))-1),".","")))=0,SUBSTITUTE(SUBSTITUTE($G2238,"-"," ",LEN($G2238)-LEN(SUBSTITUTE($G2238,"-",""))),"-"," ",LEN($G2238)-LEN(SUBSTITUTE($G2238,"-",""))-1),SUBSTITUTE(SUBSTITUTE(SUBSTITUTE($G2238,"-"," ",LEN($G2238)-LEN(SUBSTITUTE($G2238,"-",""))),"-"," ",LEN($G2238)-LEN(SUBSTITUTE($G2238,"-",""))-1),"."," ",(LEN(SUBSTITUTE(SUBSTITUTE($G2238,"-"," ",LEN($G2238)-LEN(SUBSTITUTE($G2238,"-",""))),"-"," ",LEN($G2238)-LEN(SUBSTITUTE($G2238,"-",""))-1))-LEN(SUBSTITUTE(SUBSTITUTE(SUBSTITUTE($G2238,"-"," ",LEN($G2238)-LEN(SUBSTITUTE($G2238,"-",""))),"-"," ",LEN($G2238)-LEN(SUBSTITUTE($G2238,"-",""))-1),".",""))))),$G2238)))</f>
        <v/>
      </c>
    </row>
    <row r="2239">
      <c r="A2239" s="58" t="n"/>
      <c r="B2239" s="58">
        <f>IF($H2239="","",LEFT($H2239,FIND(" ",$H2239&amp;" ")-1))</f>
        <v/>
      </c>
      <c r="C2239" s="58">
        <f>IF($H2239="","",IFERROR(MID($H2239&amp;" ",FIND("|",SUBSTITUTE($H2239&amp;" "," ","|",1))+1,FIND("|",SUBSTITUTE($H2239&amp;" "," ","|",2))-FIND("|",SUBSTITUTE($H2239&amp;" "," ","|",1))-1),""))</f>
        <v/>
      </c>
      <c r="D2239" s="58">
        <f>IF($H2239="","",IFERROR(MID($H2239&amp;" ",FIND("|",SUBSTITUTE($H2239&amp;" "," ","|",2))+1,FIND("|",SUBSTITUTE($H2239&amp;" "," ","|",3))-FIND("|",SUBSTITUTE($H2239&amp;" "," ","|",2))-1),""))</f>
        <v/>
      </c>
      <c r="E2239" s="58">
        <f>IF($H2239="","",IFERROR(MID($H2239&amp;" ",FIND("|",SUBSTITUTE($H2239&amp;" "," ","|",3))+1,FIND("|",SUBSTITUTE($H2239&amp;" "," ","|",4))-FIND("|",SUBSTITUTE($H2239&amp;" "," ","|",3))-1),""))</f>
        <v/>
      </c>
      <c r="F2239" s="59">
        <f>IF($H2239="","",IFERROR(VALUE(IFERROR(MID($H2239&amp;" ",FIND("|",SUBSTITUTE($H2239&amp;" "," ","|",4))+1,FIND("|",SUBSTITUTE($H2239&amp;" "," ","|",5))-FIND("|",SUBSTITUTE($H2239&amp;" "," ","|",4))-1),""))/86400+25569+9/24,""))</f>
        <v/>
      </c>
      <c r="G2239" s="58">
        <f>TRIM(SUBSTITUTE(SUBSTITUTE(SUBSTITUTE($A2239,CHAR(9)," ")," "," "),CHAR(13),""))</f>
        <v/>
      </c>
      <c r="H2239" s="58">
        <f>IF($G2239="","",IF(ISNUMBER(FIND(" ",$G2239)),$G2239,IFERROR(IF((LEN(SUBSTITUTE(SUBSTITUTE($G2239,"-"," ",LEN($G2239)-LEN(SUBSTITUTE($G2239,"-",""))),"-"," ",LEN($G2239)-LEN(SUBSTITUTE($G2239,"-",""))-1))-LEN(SUBSTITUTE(SUBSTITUTE(SUBSTITUTE($G2239,"-"," ",LEN($G2239)-LEN(SUBSTITUTE($G2239,"-",""))),"-"," ",LEN($G2239)-LEN(SUBSTITUTE($G2239,"-",""))-1),".","")))=0,SUBSTITUTE(SUBSTITUTE($G2239,"-"," ",LEN($G2239)-LEN(SUBSTITUTE($G2239,"-",""))),"-"," ",LEN($G2239)-LEN(SUBSTITUTE($G2239,"-",""))-1),SUBSTITUTE(SUBSTITUTE(SUBSTITUTE($G2239,"-"," ",LEN($G2239)-LEN(SUBSTITUTE($G2239,"-",""))),"-"," ",LEN($G2239)-LEN(SUBSTITUTE($G2239,"-",""))-1),"."," ",(LEN(SUBSTITUTE(SUBSTITUTE($G2239,"-"," ",LEN($G2239)-LEN(SUBSTITUTE($G2239,"-",""))),"-"," ",LEN($G2239)-LEN(SUBSTITUTE($G2239,"-",""))-1))-LEN(SUBSTITUTE(SUBSTITUTE(SUBSTITUTE($G2239,"-"," ",LEN($G2239)-LEN(SUBSTITUTE($G2239,"-",""))),"-"," ",LEN($G2239)-LEN(SUBSTITUTE($G2239,"-",""))-1),".",""))))),$G2239)))</f>
        <v/>
      </c>
    </row>
    <row r="2240">
      <c r="A2240" s="58" t="n"/>
      <c r="B2240" s="58">
        <f>IF($H2240="","",LEFT($H2240,FIND(" ",$H2240&amp;" ")-1))</f>
        <v/>
      </c>
      <c r="C2240" s="58">
        <f>IF($H2240="","",IFERROR(MID($H2240&amp;" ",FIND("|",SUBSTITUTE($H2240&amp;" "," ","|",1))+1,FIND("|",SUBSTITUTE($H2240&amp;" "," ","|",2))-FIND("|",SUBSTITUTE($H2240&amp;" "," ","|",1))-1),""))</f>
        <v/>
      </c>
      <c r="D2240" s="58">
        <f>IF($H2240="","",IFERROR(MID($H2240&amp;" ",FIND("|",SUBSTITUTE($H2240&amp;" "," ","|",2))+1,FIND("|",SUBSTITUTE($H2240&amp;" "," ","|",3))-FIND("|",SUBSTITUTE($H2240&amp;" "," ","|",2))-1),""))</f>
        <v/>
      </c>
      <c r="E2240" s="58">
        <f>IF($H2240="","",IFERROR(MID($H2240&amp;" ",FIND("|",SUBSTITUTE($H2240&amp;" "," ","|",3))+1,FIND("|",SUBSTITUTE($H2240&amp;" "," ","|",4))-FIND("|",SUBSTITUTE($H2240&amp;" "," ","|",3))-1),""))</f>
        <v/>
      </c>
      <c r="F2240" s="59">
        <f>IF($H2240="","",IFERROR(VALUE(IFERROR(MID($H2240&amp;" ",FIND("|",SUBSTITUTE($H2240&amp;" "," ","|",4))+1,FIND("|",SUBSTITUTE($H2240&amp;" "," ","|",5))-FIND("|",SUBSTITUTE($H2240&amp;" "," ","|",4))-1),""))/86400+25569+9/24,""))</f>
        <v/>
      </c>
      <c r="G2240" s="58">
        <f>TRIM(SUBSTITUTE(SUBSTITUTE(SUBSTITUTE($A2240,CHAR(9)," ")," "," "),CHAR(13),""))</f>
        <v/>
      </c>
      <c r="H2240" s="58">
        <f>IF($G2240="","",IF(ISNUMBER(FIND(" ",$G2240)),$G2240,IFERROR(IF((LEN(SUBSTITUTE(SUBSTITUTE($G2240,"-"," ",LEN($G2240)-LEN(SUBSTITUTE($G2240,"-",""))),"-"," ",LEN($G2240)-LEN(SUBSTITUTE($G2240,"-",""))-1))-LEN(SUBSTITUTE(SUBSTITUTE(SUBSTITUTE($G2240,"-"," ",LEN($G2240)-LEN(SUBSTITUTE($G2240,"-",""))),"-"," ",LEN($G2240)-LEN(SUBSTITUTE($G2240,"-",""))-1),".","")))=0,SUBSTITUTE(SUBSTITUTE($G2240,"-"," ",LEN($G2240)-LEN(SUBSTITUTE($G2240,"-",""))),"-"," ",LEN($G2240)-LEN(SUBSTITUTE($G2240,"-",""))-1),SUBSTITUTE(SUBSTITUTE(SUBSTITUTE($G2240,"-"," ",LEN($G2240)-LEN(SUBSTITUTE($G2240,"-",""))),"-"," ",LEN($G2240)-LEN(SUBSTITUTE($G2240,"-",""))-1),"."," ",(LEN(SUBSTITUTE(SUBSTITUTE($G2240,"-"," ",LEN($G2240)-LEN(SUBSTITUTE($G2240,"-",""))),"-"," ",LEN($G2240)-LEN(SUBSTITUTE($G2240,"-",""))-1))-LEN(SUBSTITUTE(SUBSTITUTE(SUBSTITUTE($G2240,"-"," ",LEN($G2240)-LEN(SUBSTITUTE($G2240,"-",""))),"-"," ",LEN($G2240)-LEN(SUBSTITUTE($G2240,"-",""))-1),".",""))))),$G2240)))</f>
        <v/>
      </c>
    </row>
    <row r="2241">
      <c r="A2241" s="58" t="n"/>
      <c r="B2241" s="58">
        <f>IF($H2241="","",LEFT($H2241,FIND(" ",$H2241&amp;" ")-1))</f>
        <v/>
      </c>
      <c r="C2241" s="58">
        <f>IF($H2241="","",IFERROR(MID($H2241&amp;" ",FIND("|",SUBSTITUTE($H2241&amp;" "," ","|",1))+1,FIND("|",SUBSTITUTE($H2241&amp;" "," ","|",2))-FIND("|",SUBSTITUTE($H2241&amp;" "," ","|",1))-1),""))</f>
        <v/>
      </c>
      <c r="D2241" s="58">
        <f>IF($H2241="","",IFERROR(MID($H2241&amp;" ",FIND("|",SUBSTITUTE($H2241&amp;" "," ","|",2))+1,FIND("|",SUBSTITUTE($H2241&amp;" "," ","|",3))-FIND("|",SUBSTITUTE($H2241&amp;" "," ","|",2))-1),""))</f>
        <v/>
      </c>
      <c r="E2241" s="58">
        <f>IF($H2241="","",IFERROR(MID($H2241&amp;" ",FIND("|",SUBSTITUTE($H2241&amp;" "," ","|",3))+1,FIND("|",SUBSTITUTE($H2241&amp;" "," ","|",4))-FIND("|",SUBSTITUTE($H2241&amp;" "," ","|",3))-1),""))</f>
        <v/>
      </c>
      <c r="F2241" s="59">
        <f>IF($H2241="","",IFERROR(VALUE(IFERROR(MID($H2241&amp;" ",FIND("|",SUBSTITUTE($H2241&amp;" "," ","|",4))+1,FIND("|",SUBSTITUTE($H2241&amp;" "," ","|",5))-FIND("|",SUBSTITUTE($H2241&amp;" "," ","|",4))-1),""))/86400+25569+9/24,""))</f>
        <v/>
      </c>
      <c r="G2241" s="58">
        <f>TRIM(SUBSTITUTE(SUBSTITUTE(SUBSTITUTE($A2241,CHAR(9)," ")," "," "),CHAR(13),""))</f>
        <v/>
      </c>
      <c r="H2241" s="58">
        <f>IF($G2241="","",IF(ISNUMBER(FIND(" ",$G2241)),$G2241,IFERROR(IF((LEN(SUBSTITUTE(SUBSTITUTE($G2241,"-"," ",LEN($G2241)-LEN(SUBSTITUTE($G2241,"-",""))),"-"," ",LEN($G2241)-LEN(SUBSTITUTE($G2241,"-",""))-1))-LEN(SUBSTITUTE(SUBSTITUTE(SUBSTITUTE($G2241,"-"," ",LEN($G2241)-LEN(SUBSTITUTE($G2241,"-",""))),"-"," ",LEN($G2241)-LEN(SUBSTITUTE($G2241,"-",""))-1),".","")))=0,SUBSTITUTE(SUBSTITUTE($G2241,"-"," ",LEN($G2241)-LEN(SUBSTITUTE($G2241,"-",""))),"-"," ",LEN($G2241)-LEN(SUBSTITUTE($G2241,"-",""))-1),SUBSTITUTE(SUBSTITUTE(SUBSTITUTE($G2241,"-"," ",LEN($G2241)-LEN(SUBSTITUTE($G2241,"-",""))),"-"," ",LEN($G2241)-LEN(SUBSTITUTE($G2241,"-",""))-1),"."," ",(LEN(SUBSTITUTE(SUBSTITUTE($G2241,"-"," ",LEN($G2241)-LEN(SUBSTITUTE($G2241,"-",""))),"-"," ",LEN($G2241)-LEN(SUBSTITUTE($G2241,"-",""))-1))-LEN(SUBSTITUTE(SUBSTITUTE(SUBSTITUTE($G2241,"-"," ",LEN($G2241)-LEN(SUBSTITUTE($G2241,"-",""))),"-"," ",LEN($G2241)-LEN(SUBSTITUTE($G2241,"-",""))-1),".",""))))),$G2241)))</f>
        <v/>
      </c>
    </row>
    <row r="2242">
      <c r="A2242" s="58" t="n"/>
      <c r="B2242" s="58">
        <f>IF($H2242="","",LEFT($H2242,FIND(" ",$H2242&amp;" ")-1))</f>
        <v/>
      </c>
      <c r="C2242" s="58">
        <f>IF($H2242="","",IFERROR(MID($H2242&amp;" ",FIND("|",SUBSTITUTE($H2242&amp;" "," ","|",1))+1,FIND("|",SUBSTITUTE($H2242&amp;" "," ","|",2))-FIND("|",SUBSTITUTE($H2242&amp;" "," ","|",1))-1),""))</f>
        <v/>
      </c>
      <c r="D2242" s="58">
        <f>IF($H2242="","",IFERROR(MID($H2242&amp;" ",FIND("|",SUBSTITUTE($H2242&amp;" "," ","|",2))+1,FIND("|",SUBSTITUTE($H2242&amp;" "," ","|",3))-FIND("|",SUBSTITUTE($H2242&amp;" "," ","|",2))-1),""))</f>
        <v/>
      </c>
      <c r="E2242" s="58">
        <f>IF($H2242="","",IFERROR(MID($H2242&amp;" ",FIND("|",SUBSTITUTE($H2242&amp;" "," ","|",3))+1,FIND("|",SUBSTITUTE($H2242&amp;" "," ","|",4))-FIND("|",SUBSTITUTE($H2242&amp;" "," ","|",3))-1),""))</f>
        <v/>
      </c>
      <c r="F2242" s="59">
        <f>IF($H2242="","",IFERROR(VALUE(IFERROR(MID($H2242&amp;" ",FIND("|",SUBSTITUTE($H2242&amp;" "," ","|",4))+1,FIND("|",SUBSTITUTE($H2242&amp;" "," ","|",5))-FIND("|",SUBSTITUTE($H2242&amp;" "," ","|",4))-1),""))/86400+25569+9/24,""))</f>
        <v/>
      </c>
      <c r="G2242" s="58">
        <f>TRIM(SUBSTITUTE(SUBSTITUTE(SUBSTITUTE($A2242,CHAR(9)," ")," "," "),CHAR(13),""))</f>
        <v/>
      </c>
      <c r="H2242" s="58">
        <f>IF($G2242="","",IF(ISNUMBER(FIND(" ",$G2242)),$G2242,IFERROR(IF((LEN(SUBSTITUTE(SUBSTITUTE($G2242,"-"," ",LEN($G2242)-LEN(SUBSTITUTE($G2242,"-",""))),"-"," ",LEN($G2242)-LEN(SUBSTITUTE($G2242,"-",""))-1))-LEN(SUBSTITUTE(SUBSTITUTE(SUBSTITUTE($G2242,"-"," ",LEN($G2242)-LEN(SUBSTITUTE($G2242,"-",""))),"-"," ",LEN($G2242)-LEN(SUBSTITUTE($G2242,"-",""))-1),".","")))=0,SUBSTITUTE(SUBSTITUTE($G2242,"-"," ",LEN($G2242)-LEN(SUBSTITUTE($G2242,"-",""))),"-"," ",LEN($G2242)-LEN(SUBSTITUTE($G2242,"-",""))-1),SUBSTITUTE(SUBSTITUTE(SUBSTITUTE($G2242,"-"," ",LEN($G2242)-LEN(SUBSTITUTE($G2242,"-",""))),"-"," ",LEN($G2242)-LEN(SUBSTITUTE($G2242,"-",""))-1),"."," ",(LEN(SUBSTITUTE(SUBSTITUTE($G2242,"-"," ",LEN($G2242)-LEN(SUBSTITUTE($G2242,"-",""))),"-"," ",LEN($G2242)-LEN(SUBSTITUTE($G2242,"-",""))-1))-LEN(SUBSTITUTE(SUBSTITUTE(SUBSTITUTE($G2242,"-"," ",LEN($G2242)-LEN(SUBSTITUTE($G2242,"-",""))),"-"," ",LEN($G2242)-LEN(SUBSTITUTE($G2242,"-",""))-1),".",""))))),$G2242)))</f>
        <v/>
      </c>
    </row>
    <row r="2243">
      <c r="A2243" s="58" t="n"/>
      <c r="B2243" s="58">
        <f>IF($H2243="","",LEFT($H2243,FIND(" ",$H2243&amp;" ")-1))</f>
        <v/>
      </c>
      <c r="C2243" s="58">
        <f>IF($H2243="","",IFERROR(MID($H2243&amp;" ",FIND("|",SUBSTITUTE($H2243&amp;" "," ","|",1))+1,FIND("|",SUBSTITUTE($H2243&amp;" "," ","|",2))-FIND("|",SUBSTITUTE($H2243&amp;" "," ","|",1))-1),""))</f>
        <v/>
      </c>
      <c r="D2243" s="58">
        <f>IF($H2243="","",IFERROR(MID($H2243&amp;" ",FIND("|",SUBSTITUTE($H2243&amp;" "," ","|",2))+1,FIND("|",SUBSTITUTE($H2243&amp;" "," ","|",3))-FIND("|",SUBSTITUTE($H2243&amp;" "," ","|",2))-1),""))</f>
        <v/>
      </c>
      <c r="E2243" s="58">
        <f>IF($H2243="","",IFERROR(MID($H2243&amp;" ",FIND("|",SUBSTITUTE($H2243&amp;" "," ","|",3))+1,FIND("|",SUBSTITUTE($H2243&amp;" "," ","|",4))-FIND("|",SUBSTITUTE($H2243&amp;" "," ","|",3))-1),""))</f>
        <v/>
      </c>
      <c r="F2243" s="59">
        <f>IF($H2243="","",IFERROR(VALUE(IFERROR(MID($H2243&amp;" ",FIND("|",SUBSTITUTE($H2243&amp;" "," ","|",4))+1,FIND("|",SUBSTITUTE($H2243&amp;" "," ","|",5))-FIND("|",SUBSTITUTE($H2243&amp;" "," ","|",4))-1),""))/86400+25569+9/24,""))</f>
        <v/>
      </c>
      <c r="G2243" s="58">
        <f>TRIM(SUBSTITUTE(SUBSTITUTE(SUBSTITUTE($A2243,CHAR(9)," ")," "," "),CHAR(13),""))</f>
        <v/>
      </c>
      <c r="H2243" s="58">
        <f>IF($G2243="","",IF(ISNUMBER(FIND(" ",$G2243)),$G2243,IFERROR(IF((LEN(SUBSTITUTE(SUBSTITUTE($G2243,"-"," ",LEN($G2243)-LEN(SUBSTITUTE($G2243,"-",""))),"-"," ",LEN($G2243)-LEN(SUBSTITUTE($G2243,"-",""))-1))-LEN(SUBSTITUTE(SUBSTITUTE(SUBSTITUTE($G2243,"-"," ",LEN($G2243)-LEN(SUBSTITUTE($G2243,"-",""))),"-"," ",LEN($G2243)-LEN(SUBSTITUTE($G2243,"-",""))-1),".","")))=0,SUBSTITUTE(SUBSTITUTE($G2243,"-"," ",LEN($G2243)-LEN(SUBSTITUTE($G2243,"-",""))),"-"," ",LEN($G2243)-LEN(SUBSTITUTE($G2243,"-",""))-1),SUBSTITUTE(SUBSTITUTE(SUBSTITUTE($G2243,"-"," ",LEN($G2243)-LEN(SUBSTITUTE($G2243,"-",""))),"-"," ",LEN($G2243)-LEN(SUBSTITUTE($G2243,"-",""))-1),"."," ",(LEN(SUBSTITUTE(SUBSTITUTE($G2243,"-"," ",LEN($G2243)-LEN(SUBSTITUTE($G2243,"-",""))),"-"," ",LEN($G2243)-LEN(SUBSTITUTE($G2243,"-",""))-1))-LEN(SUBSTITUTE(SUBSTITUTE(SUBSTITUTE($G2243,"-"," ",LEN($G2243)-LEN(SUBSTITUTE($G2243,"-",""))),"-"," ",LEN($G2243)-LEN(SUBSTITUTE($G2243,"-",""))-1),".",""))))),$G2243)))</f>
        <v/>
      </c>
    </row>
    <row r="2244">
      <c r="A2244" s="58" t="n"/>
      <c r="B2244" s="58">
        <f>IF($H2244="","",LEFT($H2244,FIND(" ",$H2244&amp;" ")-1))</f>
        <v/>
      </c>
      <c r="C2244" s="58">
        <f>IF($H2244="","",IFERROR(MID($H2244&amp;" ",FIND("|",SUBSTITUTE($H2244&amp;" "," ","|",1))+1,FIND("|",SUBSTITUTE($H2244&amp;" "," ","|",2))-FIND("|",SUBSTITUTE($H2244&amp;" "," ","|",1))-1),""))</f>
        <v/>
      </c>
      <c r="D2244" s="58">
        <f>IF($H2244="","",IFERROR(MID($H2244&amp;" ",FIND("|",SUBSTITUTE($H2244&amp;" "," ","|",2))+1,FIND("|",SUBSTITUTE($H2244&amp;" "," ","|",3))-FIND("|",SUBSTITUTE($H2244&amp;" "," ","|",2))-1),""))</f>
        <v/>
      </c>
      <c r="E2244" s="58">
        <f>IF($H2244="","",IFERROR(MID($H2244&amp;" ",FIND("|",SUBSTITUTE($H2244&amp;" "," ","|",3))+1,FIND("|",SUBSTITUTE($H2244&amp;" "," ","|",4))-FIND("|",SUBSTITUTE($H2244&amp;" "," ","|",3))-1),""))</f>
        <v/>
      </c>
      <c r="F2244" s="59">
        <f>IF($H2244="","",IFERROR(VALUE(IFERROR(MID($H2244&amp;" ",FIND("|",SUBSTITUTE($H2244&amp;" "," ","|",4))+1,FIND("|",SUBSTITUTE($H2244&amp;" "," ","|",5))-FIND("|",SUBSTITUTE($H2244&amp;" "," ","|",4))-1),""))/86400+25569+9/24,""))</f>
        <v/>
      </c>
      <c r="G2244" s="58">
        <f>TRIM(SUBSTITUTE(SUBSTITUTE(SUBSTITUTE($A2244,CHAR(9)," ")," "," "),CHAR(13),""))</f>
        <v/>
      </c>
      <c r="H2244" s="58">
        <f>IF($G2244="","",IF(ISNUMBER(FIND(" ",$G2244)),$G2244,IFERROR(IF((LEN(SUBSTITUTE(SUBSTITUTE($G2244,"-"," ",LEN($G2244)-LEN(SUBSTITUTE($G2244,"-",""))),"-"," ",LEN($G2244)-LEN(SUBSTITUTE($G2244,"-",""))-1))-LEN(SUBSTITUTE(SUBSTITUTE(SUBSTITUTE($G2244,"-"," ",LEN($G2244)-LEN(SUBSTITUTE($G2244,"-",""))),"-"," ",LEN($G2244)-LEN(SUBSTITUTE($G2244,"-",""))-1),".","")))=0,SUBSTITUTE(SUBSTITUTE($G2244,"-"," ",LEN($G2244)-LEN(SUBSTITUTE($G2244,"-",""))),"-"," ",LEN($G2244)-LEN(SUBSTITUTE($G2244,"-",""))-1),SUBSTITUTE(SUBSTITUTE(SUBSTITUTE($G2244,"-"," ",LEN($G2244)-LEN(SUBSTITUTE($G2244,"-",""))),"-"," ",LEN($G2244)-LEN(SUBSTITUTE($G2244,"-",""))-1),"."," ",(LEN(SUBSTITUTE(SUBSTITUTE($G2244,"-"," ",LEN($G2244)-LEN(SUBSTITUTE($G2244,"-",""))),"-"," ",LEN($G2244)-LEN(SUBSTITUTE($G2244,"-",""))-1))-LEN(SUBSTITUTE(SUBSTITUTE(SUBSTITUTE($G2244,"-"," ",LEN($G2244)-LEN(SUBSTITUTE($G2244,"-",""))),"-"," ",LEN($G2244)-LEN(SUBSTITUTE($G2244,"-",""))-1),".",""))))),$G2244)))</f>
        <v/>
      </c>
    </row>
    <row r="2245">
      <c r="A2245" s="58" t="n"/>
      <c r="B2245" s="58">
        <f>IF($H2245="","",LEFT($H2245,FIND(" ",$H2245&amp;" ")-1))</f>
        <v/>
      </c>
      <c r="C2245" s="58">
        <f>IF($H2245="","",IFERROR(MID($H2245&amp;" ",FIND("|",SUBSTITUTE($H2245&amp;" "," ","|",1))+1,FIND("|",SUBSTITUTE($H2245&amp;" "," ","|",2))-FIND("|",SUBSTITUTE($H2245&amp;" "," ","|",1))-1),""))</f>
        <v/>
      </c>
      <c r="D2245" s="58">
        <f>IF($H2245="","",IFERROR(MID($H2245&amp;" ",FIND("|",SUBSTITUTE($H2245&amp;" "," ","|",2))+1,FIND("|",SUBSTITUTE($H2245&amp;" "," ","|",3))-FIND("|",SUBSTITUTE($H2245&amp;" "," ","|",2))-1),""))</f>
        <v/>
      </c>
      <c r="E2245" s="58">
        <f>IF($H2245="","",IFERROR(MID($H2245&amp;" ",FIND("|",SUBSTITUTE($H2245&amp;" "," ","|",3))+1,FIND("|",SUBSTITUTE($H2245&amp;" "," ","|",4))-FIND("|",SUBSTITUTE($H2245&amp;" "," ","|",3))-1),""))</f>
        <v/>
      </c>
      <c r="F2245" s="59">
        <f>IF($H2245="","",IFERROR(VALUE(IFERROR(MID($H2245&amp;" ",FIND("|",SUBSTITUTE($H2245&amp;" "," ","|",4))+1,FIND("|",SUBSTITUTE($H2245&amp;" "," ","|",5))-FIND("|",SUBSTITUTE($H2245&amp;" "," ","|",4))-1),""))/86400+25569+9/24,""))</f>
        <v/>
      </c>
      <c r="G2245" s="58">
        <f>TRIM(SUBSTITUTE(SUBSTITUTE(SUBSTITUTE($A2245,CHAR(9)," ")," "," "),CHAR(13),""))</f>
        <v/>
      </c>
      <c r="H2245" s="58">
        <f>IF($G2245="","",IF(ISNUMBER(FIND(" ",$G2245)),$G2245,IFERROR(IF((LEN(SUBSTITUTE(SUBSTITUTE($G2245,"-"," ",LEN($G2245)-LEN(SUBSTITUTE($G2245,"-",""))),"-"," ",LEN($G2245)-LEN(SUBSTITUTE($G2245,"-",""))-1))-LEN(SUBSTITUTE(SUBSTITUTE(SUBSTITUTE($G2245,"-"," ",LEN($G2245)-LEN(SUBSTITUTE($G2245,"-",""))),"-"," ",LEN($G2245)-LEN(SUBSTITUTE($G2245,"-",""))-1),".","")))=0,SUBSTITUTE(SUBSTITUTE($G2245,"-"," ",LEN($G2245)-LEN(SUBSTITUTE($G2245,"-",""))),"-"," ",LEN($G2245)-LEN(SUBSTITUTE($G2245,"-",""))-1),SUBSTITUTE(SUBSTITUTE(SUBSTITUTE($G2245,"-"," ",LEN($G2245)-LEN(SUBSTITUTE($G2245,"-",""))),"-"," ",LEN($G2245)-LEN(SUBSTITUTE($G2245,"-",""))-1),"."," ",(LEN(SUBSTITUTE(SUBSTITUTE($G2245,"-"," ",LEN($G2245)-LEN(SUBSTITUTE($G2245,"-",""))),"-"," ",LEN($G2245)-LEN(SUBSTITUTE($G2245,"-",""))-1))-LEN(SUBSTITUTE(SUBSTITUTE(SUBSTITUTE($G2245,"-"," ",LEN($G2245)-LEN(SUBSTITUTE($G2245,"-",""))),"-"," ",LEN($G2245)-LEN(SUBSTITUTE($G2245,"-",""))-1),".",""))))),$G2245)))</f>
        <v/>
      </c>
    </row>
    <row r="2246">
      <c r="A2246" s="58" t="n"/>
      <c r="B2246" s="58">
        <f>IF($H2246="","",LEFT($H2246,FIND(" ",$H2246&amp;" ")-1))</f>
        <v/>
      </c>
      <c r="C2246" s="58">
        <f>IF($H2246="","",IFERROR(MID($H2246&amp;" ",FIND("|",SUBSTITUTE($H2246&amp;" "," ","|",1))+1,FIND("|",SUBSTITUTE($H2246&amp;" "," ","|",2))-FIND("|",SUBSTITUTE($H2246&amp;" "," ","|",1))-1),""))</f>
        <v/>
      </c>
      <c r="D2246" s="58">
        <f>IF($H2246="","",IFERROR(MID($H2246&amp;" ",FIND("|",SUBSTITUTE($H2246&amp;" "," ","|",2))+1,FIND("|",SUBSTITUTE($H2246&amp;" "," ","|",3))-FIND("|",SUBSTITUTE($H2246&amp;" "," ","|",2))-1),""))</f>
        <v/>
      </c>
      <c r="E2246" s="58">
        <f>IF($H2246="","",IFERROR(MID($H2246&amp;" ",FIND("|",SUBSTITUTE($H2246&amp;" "," ","|",3))+1,FIND("|",SUBSTITUTE($H2246&amp;" "," ","|",4))-FIND("|",SUBSTITUTE($H2246&amp;" "," ","|",3))-1),""))</f>
        <v/>
      </c>
      <c r="F2246" s="59">
        <f>IF($H2246="","",IFERROR(VALUE(IFERROR(MID($H2246&amp;" ",FIND("|",SUBSTITUTE($H2246&amp;" "," ","|",4))+1,FIND("|",SUBSTITUTE($H2246&amp;" "," ","|",5))-FIND("|",SUBSTITUTE($H2246&amp;" "," ","|",4))-1),""))/86400+25569+9/24,""))</f>
        <v/>
      </c>
      <c r="G2246" s="58">
        <f>TRIM(SUBSTITUTE(SUBSTITUTE(SUBSTITUTE($A2246,CHAR(9)," ")," "," "),CHAR(13),""))</f>
        <v/>
      </c>
      <c r="H2246" s="58">
        <f>IF($G2246="","",IF(ISNUMBER(FIND(" ",$G2246)),$G2246,IFERROR(IF((LEN(SUBSTITUTE(SUBSTITUTE($G2246,"-"," ",LEN($G2246)-LEN(SUBSTITUTE($G2246,"-",""))),"-"," ",LEN($G2246)-LEN(SUBSTITUTE($G2246,"-",""))-1))-LEN(SUBSTITUTE(SUBSTITUTE(SUBSTITUTE($G2246,"-"," ",LEN($G2246)-LEN(SUBSTITUTE($G2246,"-",""))),"-"," ",LEN($G2246)-LEN(SUBSTITUTE($G2246,"-",""))-1),".","")))=0,SUBSTITUTE(SUBSTITUTE($G2246,"-"," ",LEN($G2246)-LEN(SUBSTITUTE($G2246,"-",""))),"-"," ",LEN($G2246)-LEN(SUBSTITUTE($G2246,"-",""))-1),SUBSTITUTE(SUBSTITUTE(SUBSTITUTE($G2246,"-"," ",LEN($G2246)-LEN(SUBSTITUTE($G2246,"-",""))),"-"," ",LEN($G2246)-LEN(SUBSTITUTE($G2246,"-",""))-1),"."," ",(LEN(SUBSTITUTE(SUBSTITUTE($G2246,"-"," ",LEN($G2246)-LEN(SUBSTITUTE($G2246,"-",""))),"-"," ",LEN($G2246)-LEN(SUBSTITUTE($G2246,"-",""))-1))-LEN(SUBSTITUTE(SUBSTITUTE(SUBSTITUTE($G2246,"-"," ",LEN($G2246)-LEN(SUBSTITUTE($G2246,"-",""))),"-"," ",LEN($G2246)-LEN(SUBSTITUTE($G2246,"-",""))-1),".",""))))),$G2246)))</f>
        <v/>
      </c>
    </row>
    <row r="2247">
      <c r="A2247" s="58" t="n"/>
      <c r="B2247" s="58">
        <f>IF($H2247="","",LEFT($H2247,FIND(" ",$H2247&amp;" ")-1))</f>
        <v/>
      </c>
      <c r="C2247" s="58">
        <f>IF($H2247="","",IFERROR(MID($H2247&amp;" ",FIND("|",SUBSTITUTE($H2247&amp;" "," ","|",1))+1,FIND("|",SUBSTITUTE($H2247&amp;" "," ","|",2))-FIND("|",SUBSTITUTE($H2247&amp;" "," ","|",1))-1),""))</f>
        <v/>
      </c>
      <c r="D2247" s="58">
        <f>IF($H2247="","",IFERROR(MID($H2247&amp;" ",FIND("|",SUBSTITUTE($H2247&amp;" "," ","|",2))+1,FIND("|",SUBSTITUTE($H2247&amp;" "," ","|",3))-FIND("|",SUBSTITUTE($H2247&amp;" "," ","|",2))-1),""))</f>
        <v/>
      </c>
      <c r="E2247" s="58">
        <f>IF($H2247="","",IFERROR(MID($H2247&amp;" ",FIND("|",SUBSTITUTE($H2247&amp;" "," ","|",3))+1,FIND("|",SUBSTITUTE($H2247&amp;" "," ","|",4))-FIND("|",SUBSTITUTE($H2247&amp;" "," ","|",3))-1),""))</f>
        <v/>
      </c>
      <c r="F2247" s="59">
        <f>IF($H2247="","",IFERROR(VALUE(IFERROR(MID($H2247&amp;" ",FIND("|",SUBSTITUTE($H2247&amp;" "," ","|",4))+1,FIND("|",SUBSTITUTE($H2247&amp;" "," ","|",5))-FIND("|",SUBSTITUTE($H2247&amp;" "," ","|",4))-1),""))/86400+25569+9/24,""))</f>
        <v/>
      </c>
      <c r="G2247" s="58">
        <f>TRIM(SUBSTITUTE(SUBSTITUTE(SUBSTITUTE($A2247,CHAR(9)," ")," "," "),CHAR(13),""))</f>
        <v/>
      </c>
      <c r="H2247" s="58">
        <f>IF($G2247="","",IF(ISNUMBER(FIND(" ",$G2247)),$G2247,IFERROR(IF((LEN(SUBSTITUTE(SUBSTITUTE($G2247,"-"," ",LEN($G2247)-LEN(SUBSTITUTE($G2247,"-",""))),"-"," ",LEN($G2247)-LEN(SUBSTITUTE($G2247,"-",""))-1))-LEN(SUBSTITUTE(SUBSTITUTE(SUBSTITUTE($G2247,"-"," ",LEN($G2247)-LEN(SUBSTITUTE($G2247,"-",""))),"-"," ",LEN($G2247)-LEN(SUBSTITUTE($G2247,"-",""))-1),".","")))=0,SUBSTITUTE(SUBSTITUTE($G2247,"-"," ",LEN($G2247)-LEN(SUBSTITUTE($G2247,"-",""))),"-"," ",LEN($G2247)-LEN(SUBSTITUTE($G2247,"-",""))-1),SUBSTITUTE(SUBSTITUTE(SUBSTITUTE($G2247,"-"," ",LEN($G2247)-LEN(SUBSTITUTE($G2247,"-",""))),"-"," ",LEN($G2247)-LEN(SUBSTITUTE($G2247,"-",""))-1),"."," ",(LEN(SUBSTITUTE(SUBSTITUTE($G2247,"-"," ",LEN($G2247)-LEN(SUBSTITUTE($G2247,"-",""))),"-"," ",LEN($G2247)-LEN(SUBSTITUTE($G2247,"-",""))-1))-LEN(SUBSTITUTE(SUBSTITUTE(SUBSTITUTE($G2247,"-"," ",LEN($G2247)-LEN(SUBSTITUTE($G2247,"-",""))),"-"," ",LEN($G2247)-LEN(SUBSTITUTE($G2247,"-",""))-1),".",""))))),$G2247)))</f>
        <v/>
      </c>
    </row>
    <row r="2248">
      <c r="A2248" s="58" t="n"/>
      <c r="B2248" s="58">
        <f>IF($H2248="","",LEFT($H2248,FIND(" ",$H2248&amp;" ")-1))</f>
        <v/>
      </c>
      <c r="C2248" s="58">
        <f>IF($H2248="","",IFERROR(MID($H2248&amp;" ",FIND("|",SUBSTITUTE($H2248&amp;" "," ","|",1))+1,FIND("|",SUBSTITUTE($H2248&amp;" "," ","|",2))-FIND("|",SUBSTITUTE($H2248&amp;" "," ","|",1))-1),""))</f>
        <v/>
      </c>
      <c r="D2248" s="58">
        <f>IF($H2248="","",IFERROR(MID($H2248&amp;" ",FIND("|",SUBSTITUTE($H2248&amp;" "," ","|",2))+1,FIND("|",SUBSTITUTE($H2248&amp;" "," ","|",3))-FIND("|",SUBSTITUTE($H2248&amp;" "," ","|",2))-1),""))</f>
        <v/>
      </c>
      <c r="E2248" s="58">
        <f>IF($H2248="","",IFERROR(MID($H2248&amp;" ",FIND("|",SUBSTITUTE($H2248&amp;" "," ","|",3))+1,FIND("|",SUBSTITUTE($H2248&amp;" "," ","|",4))-FIND("|",SUBSTITUTE($H2248&amp;" "," ","|",3))-1),""))</f>
        <v/>
      </c>
      <c r="F2248" s="59">
        <f>IF($H2248="","",IFERROR(VALUE(IFERROR(MID($H2248&amp;" ",FIND("|",SUBSTITUTE($H2248&amp;" "," ","|",4))+1,FIND("|",SUBSTITUTE($H2248&amp;" "," ","|",5))-FIND("|",SUBSTITUTE($H2248&amp;" "," ","|",4))-1),""))/86400+25569+9/24,""))</f>
        <v/>
      </c>
      <c r="G2248" s="58">
        <f>TRIM(SUBSTITUTE(SUBSTITUTE(SUBSTITUTE($A2248,CHAR(9)," ")," "," "),CHAR(13),""))</f>
        <v/>
      </c>
      <c r="H2248" s="58">
        <f>IF($G2248="","",IF(ISNUMBER(FIND(" ",$G2248)),$G2248,IFERROR(IF((LEN(SUBSTITUTE(SUBSTITUTE($G2248,"-"," ",LEN($G2248)-LEN(SUBSTITUTE($G2248,"-",""))),"-"," ",LEN($G2248)-LEN(SUBSTITUTE($G2248,"-",""))-1))-LEN(SUBSTITUTE(SUBSTITUTE(SUBSTITUTE($G2248,"-"," ",LEN($G2248)-LEN(SUBSTITUTE($G2248,"-",""))),"-"," ",LEN($G2248)-LEN(SUBSTITUTE($G2248,"-",""))-1),".","")))=0,SUBSTITUTE(SUBSTITUTE($G2248,"-"," ",LEN($G2248)-LEN(SUBSTITUTE($G2248,"-",""))),"-"," ",LEN($G2248)-LEN(SUBSTITUTE($G2248,"-",""))-1),SUBSTITUTE(SUBSTITUTE(SUBSTITUTE($G2248,"-"," ",LEN($G2248)-LEN(SUBSTITUTE($G2248,"-",""))),"-"," ",LEN($G2248)-LEN(SUBSTITUTE($G2248,"-",""))-1),"."," ",(LEN(SUBSTITUTE(SUBSTITUTE($G2248,"-"," ",LEN($G2248)-LEN(SUBSTITUTE($G2248,"-",""))),"-"," ",LEN($G2248)-LEN(SUBSTITUTE($G2248,"-",""))-1))-LEN(SUBSTITUTE(SUBSTITUTE(SUBSTITUTE($G2248,"-"," ",LEN($G2248)-LEN(SUBSTITUTE($G2248,"-",""))),"-"," ",LEN($G2248)-LEN(SUBSTITUTE($G2248,"-",""))-1),".",""))))),$G2248)))</f>
        <v/>
      </c>
    </row>
    <row r="2249">
      <c r="A2249" s="58" t="n"/>
      <c r="B2249" s="58">
        <f>IF($H2249="","",LEFT($H2249,FIND(" ",$H2249&amp;" ")-1))</f>
        <v/>
      </c>
      <c r="C2249" s="58">
        <f>IF($H2249="","",IFERROR(MID($H2249&amp;" ",FIND("|",SUBSTITUTE($H2249&amp;" "," ","|",1))+1,FIND("|",SUBSTITUTE($H2249&amp;" "," ","|",2))-FIND("|",SUBSTITUTE($H2249&amp;" "," ","|",1))-1),""))</f>
        <v/>
      </c>
      <c r="D2249" s="58">
        <f>IF($H2249="","",IFERROR(MID($H2249&amp;" ",FIND("|",SUBSTITUTE($H2249&amp;" "," ","|",2))+1,FIND("|",SUBSTITUTE($H2249&amp;" "," ","|",3))-FIND("|",SUBSTITUTE($H2249&amp;" "," ","|",2))-1),""))</f>
        <v/>
      </c>
      <c r="E2249" s="58">
        <f>IF($H2249="","",IFERROR(MID($H2249&amp;" ",FIND("|",SUBSTITUTE($H2249&amp;" "," ","|",3))+1,FIND("|",SUBSTITUTE($H2249&amp;" "," ","|",4))-FIND("|",SUBSTITUTE($H2249&amp;" "," ","|",3))-1),""))</f>
        <v/>
      </c>
      <c r="F2249" s="59">
        <f>IF($H2249="","",IFERROR(VALUE(IFERROR(MID($H2249&amp;" ",FIND("|",SUBSTITUTE($H2249&amp;" "," ","|",4))+1,FIND("|",SUBSTITUTE($H2249&amp;" "," ","|",5))-FIND("|",SUBSTITUTE($H2249&amp;" "," ","|",4))-1),""))/86400+25569+9/24,""))</f>
        <v/>
      </c>
      <c r="G2249" s="58">
        <f>TRIM(SUBSTITUTE(SUBSTITUTE(SUBSTITUTE($A2249,CHAR(9)," ")," "," "),CHAR(13),""))</f>
        <v/>
      </c>
      <c r="H2249" s="58">
        <f>IF($G2249="","",IF(ISNUMBER(FIND(" ",$G2249)),$G2249,IFERROR(IF((LEN(SUBSTITUTE(SUBSTITUTE($G2249,"-"," ",LEN($G2249)-LEN(SUBSTITUTE($G2249,"-",""))),"-"," ",LEN($G2249)-LEN(SUBSTITUTE($G2249,"-",""))-1))-LEN(SUBSTITUTE(SUBSTITUTE(SUBSTITUTE($G2249,"-"," ",LEN($G2249)-LEN(SUBSTITUTE($G2249,"-",""))),"-"," ",LEN($G2249)-LEN(SUBSTITUTE($G2249,"-",""))-1),".","")))=0,SUBSTITUTE(SUBSTITUTE($G2249,"-"," ",LEN($G2249)-LEN(SUBSTITUTE($G2249,"-",""))),"-"," ",LEN($G2249)-LEN(SUBSTITUTE($G2249,"-",""))-1),SUBSTITUTE(SUBSTITUTE(SUBSTITUTE($G2249,"-"," ",LEN($G2249)-LEN(SUBSTITUTE($G2249,"-",""))),"-"," ",LEN($G2249)-LEN(SUBSTITUTE($G2249,"-",""))-1),"."," ",(LEN(SUBSTITUTE(SUBSTITUTE($G2249,"-"," ",LEN($G2249)-LEN(SUBSTITUTE($G2249,"-",""))),"-"," ",LEN($G2249)-LEN(SUBSTITUTE($G2249,"-",""))-1))-LEN(SUBSTITUTE(SUBSTITUTE(SUBSTITUTE($G2249,"-"," ",LEN($G2249)-LEN(SUBSTITUTE($G2249,"-",""))),"-"," ",LEN($G2249)-LEN(SUBSTITUTE($G2249,"-",""))-1),".",""))))),$G2249)))</f>
        <v/>
      </c>
    </row>
    <row r="2250">
      <c r="A2250" s="58" t="n"/>
      <c r="B2250" s="58">
        <f>IF($H2250="","",LEFT($H2250,FIND(" ",$H2250&amp;" ")-1))</f>
        <v/>
      </c>
      <c r="C2250" s="58">
        <f>IF($H2250="","",IFERROR(MID($H2250&amp;" ",FIND("|",SUBSTITUTE($H2250&amp;" "," ","|",1))+1,FIND("|",SUBSTITUTE($H2250&amp;" "," ","|",2))-FIND("|",SUBSTITUTE($H2250&amp;" "," ","|",1))-1),""))</f>
        <v/>
      </c>
      <c r="D2250" s="58">
        <f>IF($H2250="","",IFERROR(MID($H2250&amp;" ",FIND("|",SUBSTITUTE($H2250&amp;" "," ","|",2))+1,FIND("|",SUBSTITUTE($H2250&amp;" "," ","|",3))-FIND("|",SUBSTITUTE($H2250&amp;" "," ","|",2))-1),""))</f>
        <v/>
      </c>
      <c r="E2250" s="58">
        <f>IF($H2250="","",IFERROR(MID($H2250&amp;" ",FIND("|",SUBSTITUTE($H2250&amp;" "," ","|",3))+1,FIND("|",SUBSTITUTE($H2250&amp;" "," ","|",4))-FIND("|",SUBSTITUTE($H2250&amp;" "," ","|",3))-1),""))</f>
        <v/>
      </c>
      <c r="F2250" s="59">
        <f>IF($H2250="","",IFERROR(VALUE(IFERROR(MID($H2250&amp;" ",FIND("|",SUBSTITUTE($H2250&amp;" "," ","|",4))+1,FIND("|",SUBSTITUTE($H2250&amp;" "," ","|",5))-FIND("|",SUBSTITUTE($H2250&amp;" "," ","|",4))-1),""))/86400+25569+9/24,""))</f>
        <v/>
      </c>
      <c r="G2250" s="58">
        <f>TRIM(SUBSTITUTE(SUBSTITUTE(SUBSTITUTE($A2250,CHAR(9)," ")," "," "),CHAR(13),""))</f>
        <v/>
      </c>
      <c r="H2250" s="58">
        <f>IF($G2250="","",IF(ISNUMBER(FIND(" ",$G2250)),$G2250,IFERROR(IF((LEN(SUBSTITUTE(SUBSTITUTE($G2250,"-"," ",LEN($G2250)-LEN(SUBSTITUTE($G2250,"-",""))),"-"," ",LEN($G2250)-LEN(SUBSTITUTE($G2250,"-",""))-1))-LEN(SUBSTITUTE(SUBSTITUTE(SUBSTITUTE($G2250,"-"," ",LEN($G2250)-LEN(SUBSTITUTE($G2250,"-",""))),"-"," ",LEN($G2250)-LEN(SUBSTITUTE($G2250,"-",""))-1),".","")))=0,SUBSTITUTE(SUBSTITUTE($G2250,"-"," ",LEN($G2250)-LEN(SUBSTITUTE($G2250,"-",""))),"-"," ",LEN($G2250)-LEN(SUBSTITUTE($G2250,"-",""))-1),SUBSTITUTE(SUBSTITUTE(SUBSTITUTE($G2250,"-"," ",LEN($G2250)-LEN(SUBSTITUTE($G2250,"-",""))),"-"," ",LEN($G2250)-LEN(SUBSTITUTE($G2250,"-",""))-1),"."," ",(LEN(SUBSTITUTE(SUBSTITUTE($G2250,"-"," ",LEN($G2250)-LEN(SUBSTITUTE($G2250,"-",""))),"-"," ",LEN($G2250)-LEN(SUBSTITUTE($G2250,"-",""))-1))-LEN(SUBSTITUTE(SUBSTITUTE(SUBSTITUTE($G2250,"-"," ",LEN($G2250)-LEN(SUBSTITUTE($G2250,"-",""))),"-"," ",LEN($G2250)-LEN(SUBSTITUTE($G2250,"-",""))-1),".",""))))),$G2250)))</f>
        <v/>
      </c>
    </row>
    <row r="2251">
      <c r="A2251" s="58" t="n"/>
      <c r="B2251" s="58">
        <f>IF($H2251="","",LEFT($H2251,FIND(" ",$H2251&amp;" ")-1))</f>
        <v/>
      </c>
      <c r="C2251" s="58">
        <f>IF($H2251="","",IFERROR(MID($H2251&amp;" ",FIND("|",SUBSTITUTE($H2251&amp;" "," ","|",1))+1,FIND("|",SUBSTITUTE($H2251&amp;" "," ","|",2))-FIND("|",SUBSTITUTE($H2251&amp;" "," ","|",1))-1),""))</f>
        <v/>
      </c>
      <c r="D2251" s="58">
        <f>IF($H2251="","",IFERROR(MID($H2251&amp;" ",FIND("|",SUBSTITUTE($H2251&amp;" "," ","|",2))+1,FIND("|",SUBSTITUTE($H2251&amp;" "," ","|",3))-FIND("|",SUBSTITUTE($H2251&amp;" "," ","|",2))-1),""))</f>
        <v/>
      </c>
      <c r="E2251" s="58">
        <f>IF($H2251="","",IFERROR(MID($H2251&amp;" ",FIND("|",SUBSTITUTE($H2251&amp;" "," ","|",3))+1,FIND("|",SUBSTITUTE($H2251&amp;" "," ","|",4))-FIND("|",SUBSTITUTE($H2251&amp;" "," ","|",3))-1),""))</f>
        <v/>
      </c>
      <c r="F2251" s="59">
        <f>IF($H2251="","",IFERROR(VALUE(IFERROR(MID($H2251&amp;" ",FIND("|",SUBSTITUTE($H2251&amp;" "," ","|",4))+1,FIND("|",SUBSTITUTE($H2251&amp;" "," ","|",5))-FIND("|",SUBSTITUTE($H2251&amp;" "," ","|",4))-1),""))/86400+25569+9/24,""))</f>
        <v/>
      </c>
      <c r="G2251" s="58">
        <f>TRIM(SUBSTITUTE(SUBSTITUTE(SUBSTITUTE($A2251,CHAR(9)," ")," "," "),CHAR(13),""))</f>
        <v/>
      </c>
      <c r="H2251" s="58">
        <f>IF($G2251="","",IF(ISNUMBER(FIND(" ",$G2251)),$G2251,IFERROR(IF((LEN(SUBSTITUTE(SUBSTITUTE($G2251,"-"," ",LEN($G2251)-LEN(SUBSTITUTE($G2251,"-",""))),"-"," ",LEN($G2251)-LEN(SUBSTITUTE($G2251,"-",""))-1))-LEN(SUBSTITUTE(SUBSTITUTE(SUBSTITUTE($G2251,"-"," ",LEN($G2251)-LEN(SUBSTITUTE($G2251,"-",""))),"-"," ",LEN($G2251)-LEN(SUBSTITUTE($G2251,"-",""))-1),".","")))=0,SUBSTITUTE(SUBSTITUTE($G2251,"-"," ",LEN($G2251)-LEN(SUBSTITUTE($G2251,"-",""))),"-"," ",LEN($G2251)-LEN(SUBSTITUTE($G2251,"-",""))-1),SUBSTITUTE(SUBSTITUTE(SUBSTITUTE($G2251,"-"," ",LEN($G2251)-LEN(SUBSTITUTE($G2251,"-",""))),"-"," ",LEN($G2251)-LEN(SUBSTITUTE($G2251,"-",""))-1),"."," ",(LEN(SUBSTITUTE(SUBSTITUTE($G2251,"-"," ",LEN($G2251)-LEN(SUBSTITUTE($G2251,"-",""))),"-"," ",LEN($G2251)-LEN(SUBSTITUTE($G2251,"-",""))-1))-LEN(SUBSTITUTE(SUBSTITUTE(SUBSTITUTE($G2251,"-"," ",LEN($G2251)-LEN(SUBSTITUTE($G2251,"-",""))),"-"," ",LEN($G2251)-LEN(SUBSTITUTE($G2251,"-",""))-1),".",""))))),$G2251)))</f>
        <v/>
      </c>
    </row>
    <row r="2252">
      <c r="A2252" s="58" t="n"/>
      <c r="B2252" s="58">
        <f>IF($H2252="","",LEFT($H2252,FIND(" ",$H2252&amp;" ")-1))</f>
        <v/>
      </c>
      <c r="C2252" s="58">
        <f>IF($H2252="","",IFERROR(MID($H2252&amp;" ",FIND("|",SUBSTITUTE($H2252&amp;" "," ","|",1))+1,FIND("|",SUBSTITUTE($H2252&amp;" "," ","|",2))-FIND("|",SUBSTITUTE($H2252&amp;" "," ","|",1))-1),""))</f>
        <v/>
      </c>
      <c r="D2252" s="58">
        <f>IF($H2252="","",IFERROR(MID($H2252&amp;" ",FIND("|",SUBSTITUTE($H2252&amp;" "," ","|",2))+1,FIND("|",SUBSTITUTE($H2252&amp;" "," ","|",3))-FIND("|",SUBSTITUTE($H2252&amp;" "," ","|",2))-1),""))</f>
        <v/>
      </c>
      <c r="E2252" s="58">
        <f>IF($H2252="","",IFERROR(MID($H2252&amp;" ",FIND("|",SUBSTITUTE($H2252&amp;" "," ","|",3))+1,FIND("|",SUBSTITUTE($H2252&amp;" "," ","|",4))-FIND("|",SUBSTITUTE($H2252&amp;" "," ","|",3))-1),""))</f>
        <v/>
      </c>
      <c r="F2252" s="59">
        <f>IF($H2252="","",IFERROR(VALUE(IFERROR(MID($H2252&amp;" ",FIND("|",SUBSTITUTE($H2252&amp;" "," ","|",4))+1,FIND("|",SUBSTITUTE($H2252&amp;" "," ","|",5))-FIND("|",SUBSTITUTE($H2252&amp;" "," ","|",4))-1),""))/86400+25569+9/24,""))</f>
        <v/>
      </c>
      <c r="G2252" s="58">
        <f>TRIM(SUBSTITUTE(SUBSTITUTE(SUBSTITUTE($A2252,CHAR(9)," ")," "," "),CHAR(13),""))</f>
        <v/>
      </c>
      <c r="H2252" s="58">
        <f>IF($G2252="","",IF(ISNUMBER(FIND(" ",$G2252)),$G2252,IFERROR(IF((LEN(SUBSTITUTE(SUBSTITUTE($G2252,"-"," ",LEN($G2252)-LEN(SUBSTITUTE($G2252,"-",""))),"-"," ",LEN($G2252)-LEN(SUBSTITUTE($G2252,"-",""))-1))-LEN(SUBSTITUTE(SUBSTITUTE(SUBSTITUTE($G2252,"-"," ",LEN($G2252)-LEN(SUBSTITUTE($G2252,"-",""))),"-"," ",LEN($G2252)-LEN(SUBSTITUTE($G2252,"-",""))-1),".","")))=0,SUBSTITUTE(SUBSTITUTE($G2252,"-"," ",LEN($G2252)-LEN(SUBSTITUTE($G2252,"-",""))),"-"," ",LEN($G2252)-LEN(SUBSTITUTE($G2252,"-",""))-1),SUBSTITUTE(SUBSTITUTE(SUBSTITUTE($G2252,"-"," ",LEN($G2252)-LEN(SUBSTITUTE($G2252,"-",""))),"-"," ",LEN($G2252)-LEN(SUBSTITUTE($G2252,"-",""))-1),"."," ",(LEN(SUBSTITUTE(SUBSTITUTE($G2252,"-"," ",LEN($G2252)-LEN(SUBSTITUTE($G2252,"-",""))),"-"," ",LEN($G2252)-LEN(SUBSTITUTE($G2252,"-",""))-1))-LEN(SUBSTITUTE(SUBSTITUTE(SUBSTITUTE($G2252,"-"," ",LEN($G2252)-LEN(SUBSTITUTE($G2252,"-",""))),"-"," ",LEN($G2252)-LEN(SUBSTITUTE($G2252,"-",""))-1),".",""))))),$G2252)))</f>
        <v/>
      </c>
    </row>
    <row r="2253">
      <c r="A2253" s="58" t="n"/>
      <c r="B2253" s="58">
        <f>IF($H2253="","",LEFT($H2253,FIND(" ",$H2253&amp;" ")-1))</f>
        <v/>
      </c>
      <c r="C2253" s="58">
        <f>IF($H2253="","",IFERROR(MID($H2253&amp;" ",FIND("|",SUBSTITUTE($H2253&amp;" "," ","|",1))+1,FIND("|",SUBSTITUTE($H2253&amp;" "," ","|",2))-FIND("|",SUBSTITUTE($H2253&amp;" "," ","|",1))-1),""))</f>
        <v/>
      </c>
      <c r="D2253" s="58">
        <f>IF($H2253="","",IFERROR(MID($H2253&amp;" ",FIND("|",SUBSTITUTE($H2253&amp;" "," ","|",2))+1,FIND("|",SUBSTITUTE($H2253&amp;" "," ","|",3))-FIND("|",SUBSTITUTE($H2253&amp;" "," ","|",2))-1),""))</f>
        <v/>
      </c>
      <c r="E2253" s="58">
        <f>IF($H2253="","",IFERROR(MID($H2253&amp;" ",FIND("|",SUBSTITUTE($H2253&amp;" "," ","|",3))+1,FIND("|",SUBSTITUTE($H2253&amp;" "," ","|",4))-FIND("|",SUBSTITUTE($H2253&amp;" "," ","|",3))-1),""))</f>
        <v/>
      </c>
      <c r="F2253" s="59">
        <f>IF($H2253="","",IFERROR(VALUE(IFERROR(MID($H2253&amp;" ",FIND("|",SUBSTITUTE($H2253&amp;" "," ","|",4))+1,FIND("|",SUBSTITUTE($H2253&amp;" "," ","|",5))-FIND("|",SUBSTITUTE($H2253&amp;" "," ","|",4))-1),""))/86400+25569+9/24,""))</f>
        <v/>
      </c>
      <c r="G2253" s="58">
        <f>TRIM(SUBSTITUTE(SUBSTITUTE(SUBSTITUTE($A2253,CHAR(9)," ")," "," "),CHAR(13),""))</f>
        <v/>
      </c>
      <c r="H2253" s="58">
        <f>IF($G2253="","",IF(ISNUMBER(FIND(" ",$G2253)),$G2253,IFERROR(IF((LEN(SUBSTITUTE(SUBSTITUTE($G2253,"-"," ",LEN($G2253)-LEN(SUBSTITUTE($G2253,"-",""))),"-"," ",LEN($G2253)-LEN(SUBSTITUTE($G2253,"-",""))-1))-LEN(SUBSTITUTE(SUBSTITUTE(SUBSTITUTE($G2253,"-"," ",LEN($G2253)-LEN(SUBSTITUTE($G2253,"-",""))),"-"," ",LEN($G2253)-LEN(SUBSTITUTE($G2253,"-",""))-1),".","")))=0,SUBSTITUTE(SUBSTITUTE($G2253,"-"," ",LEN($G2253)-LEN(SUBSTITUTE($G2253,"-",""))),"-"," ",LEN($G2253)-LEN(SUBSTITUTE($G2253,"-",""))-1),SUBSTITUTE(SUBSTITUTE(SUBSTITUTE($G2253,"-"," ",LEN($G2253)-LEN(SUBSTITUTE($G2253,"-",""))),"-"," ",LEN($G2253)-LEN(SUBSTITUTE($G2253,"-",""))-1),"."," ",(LEN(SUBSTITUTE(SUBSTITUTE($G2253,"-"," ",LEN($G2253)-LEN(SUBSTITUTE($G2253,"-",""))),"-"," ",LEN($G2253)-LEN(SUBSTITUTE($G2253,"-",""))-1))-LEN(SUBSTITUTE(SUBSTITUTE(SUBSTITUTE($G2253,"-"," ",LEN($G2253)-LEN(SUBSTITUTE($G2253,"-",""))),"-"," ",LEN($G2253)-LEN(SUBSTITUTE($G2253,"-",""))-1),".",""))))),$G2253)))</f>
        <v/>
      </c>
    </row>
    <row r="2254">
      <c r="A2254" s="58" t="n"/>
      <c r="B2254" s="58">
        <f>IF($H2254="","",LEFT($H2254,FIND(" ",$H2254&amp;" ")-1))</f>
        <v/>
      </c>
      <c r="C2254" s="58">
        <f>IF($H2254="","",IFERROR(MID($H2254&amp;" ",FIND("|",SUBSTITUTE($H2254&amp;" "," ","|",1))+1,FIND("|",SUBSTITUTE($H2254&amp;" "," ","|",2))-FIND("|",SUBSTITUTE($H2254&amp;" "," ","|",1))-1),""))</f>
        <v/>
      </c>
      <c r="D2254" s="58">
        <f>IF($H2254="","",IFERROR(MID($H2254&amp;" ",FIND("|",SUBSTITUTE($H2254&amp;" "," ","|",2))+1,FIND("|",SUBSTITUTE($H2254&amp;" "," ","|",3))-FIND("|",SUBSTITUTE($H2254&amp;" "," ","|",2))-1),""))</f>
        <v/>
      </c>
      <c r="E2254" s="58">
        <f>IF($H2254="","",IFERROR(MID($H2254&amp;" ",FIND("|",SUBSTITUTE($H2254&amp;" "," ","|",3))+1,FIND("|",SUBSTITUTE($H2254&amp;" "," ","|",4))-FIND("|",SUBSTITUTE($H2254&amp;" "," ","|",3))-1),""))</f>
        <v/>
      </c>
      <c r="F2254" s="59">
        <f>IF($H2254="","",IFERROR(VALUE(IFERROR(MID($H2254&amp;" ",FIND("|",SUBSTITUTE($H2254&amp;" "," ","|",4))+1,FIND("|",SUBSTITUTE($H2254&amp;" "," ","|",5))-FIND("|",SUBSTITUTE($H2254&amp;" "," ","|",4))-1),""))/86400+25569+9/24,""))</f>
        <v/>
      </c>
      <c r="G2254" s="58">
        <f>TRIM(SUBSTITUTE(SUBSTITUTE(SUBSTITUTE($A2254,CHAR(9)," ")," "," "),CHAR(13),""))</f>
        <v/>
      </c>
      <c r="H2254" s="58">
        <f>IF($G2254="","",IF(ISNUMBER(FIND(" ",$G2254)),$G2254,IFERROR(IF((LEN(SUBSTITUTE(SUBSTITUTE($G2254,"-"," ",LEN($G2254)-LEN(SUBSTITUTE($G2254,"-",""))),"-"," ",LEN($G2254)-LEN(SUBSTITUTE($G2254,"-",""))-1))-LEN(SUBSTITUTE(SUBSTITUTE(SUBSTITUTE($G2254,"-"," ",LEN($G2254)-LEN(SUBSTITUTE($G2254,"-",""))),"-"," ",LEN($G2254)-LEN(SUBSTITUTE($G2254,"-",""))-1),".","")))=0,SUBSTITUTE(SUBSTITUTE($G2254,"-"," ",LEN($G2254)-LEN(SUBSTITUTE($G2254,"-",""))),"-"," ",LEN($G2254)-LEN(SUBSTITUTE($G2254,"-",""))-1),SUBSTITUTE(SUBSTITUTE(SUBSTITUTE($G2254,"-"," ",LEN($G2254)-LEN(SUBSTITUTE($G2254,"-",""))),"-"," ",LEN($G2254)-LEN(SUBSTITUTE($G2254,"-",""))-1),"."," ",(LEN(SUBSTITUTE(SUBSTITUTE($G2254,"-"," ",LEN($G2254)-LEN(SUBSTITUTE($G2254,"-",""))),"-"," ",LEN($G2254)-LEN(SUBSTITUTE($G2254,"-",""))-1))-LEN(SUBSTITUTE(SUBSTITUTE(SUBSTITUTE($G2254,"-"," ",LEN($G2254)-LEN(SUBSTITUTE($G2254,"-",""))),"-"," ",LEN($G2254)-LEN(SUBSTITUTE($G2254,"-",""))-1),".",""))))),$G2254)))</f>
        <v/>
      </c>
    </row>
    <row r="2255">
      <c r="A2255" s="58" t="n"/>
      <c r="B2255" s="58">
        <f>IF($H2255="","",LEFT($H2255,FIND(" ",$H2255&amp;" ")-1))</f>
        <v/>
      </c>
      <c r="C2255" s="58">
        <f>IF($H2255="","",IFERROR(MID($H2255&amp;" ",FIND("|",SUBSTITUTE($H2255&amp;" "," ","|",1))+1,FIND("|",SUBSTITUTE($H2255&amp;" "," ","|",2))-FIND("|",SUBSTITUTE($H2255&amp;" "," ","|",1))-1),""))</f>
        <v/>
      </c>
      <c r="D2255" s="58">
        <f>IF($H2255="","",IFERROR(MID($H2255&amp;" ",FIND("|",SUBSTITUTE($H2255&amp;" "," ","|",2))+1,FIND("|",SUBSTITUTE($H2255&amp;" "," ","|",3))-FIND("|",SUBSTITUTE($H2255&amp;" "," ","|",2))-1),""))</f>
        <v/>
      </c>
      <c r="E2255" s="58">
        <f>IF($H2255="","",IFERROR(MID($H2255&amp;" ",FIND("|",SUBSTITUTE($H2255&amp;" "," ","|",3))+1,FIND("|",SUBSTITUTE($H2255&amp;" "," ","|",4))-FIND("|",SUBSTITUTE($H2255&amp;" "," ","|",3))-1),""))</f>
        <v/>
      </c>
      <c r="F2255" s="59">
        <f>IF($H2255="","",IFERROR(VALUE(IFERROR(MID($H2255&amp;" ",FIND("|",SUBSTITUTE($H2255&amp;" "," ","|",4))+1,FIND("|",SUBSTITUTE($H2255&amp;" "," ","|",5))-FIND("|",SUBSTITUTE($H2255&amp;" "," ","|",4))-1),""))/86400+25569+9/24,""))</f>
        <v/>
      </c>
      <c r="G2255" s="58">
        <f>TRIM(SUBSTITUTE(SUBSTITUTE(SUBSTITUTE($A2255,CHAR(9)," ")," "," "),CHAR(13),""))</f>
        <v/>
      </c>
      <c r="H2255" s="58">
        <f>IF($G2255="","",IF(ISNUMBER(FIND(" ",$G2255)),$G2255,IFERROR(IF((LEN(SUBSTITUTE(SUBSTITUTE($G2255,"-"," ",LEN($G2255)-LEN(SUBSTITUTE($G2255,"-",""))),"-"," ",LEN($G2255)-LEN(SUBSTITUTE($G2255,"-",""))-1))-LEN(SUBSTITUTE(SUBSTITUTE(SUBSTITUTE($G2255,"-"," ",LEN($G2255)-LEN(SUBSTITUTE($G2255,"-",""))),"-"," ",LEN($G2255)-LEN(SUBSTITUTE($G2255,"-",""))-1),".","")))=0,SUBSTITUTE(SUBSTITUTE($G2255,"-"," ",LEN($G2255)-LEN(SUBSTITUTE($G2255,"-",""))),"-"," ",LEN($G2255)-LEN(SUBSTITUTE($G2255,"-",""))-1),SUBSTITUTE(SUBSTITUTE(SUBSTITUTE($G2255,"-"," ",LEN($G2255)-LEN(SUBSTITUTE($G2255,"-",""))),"-"," ",LEN($G2255)-LEN(SUBSTITUTE($G2255,"-",""))-1),"."," ",(LEN(SUBSTITUTE(SUBSTITUTE($G2255,"-"," ",LEN($G2255)-LEN(SUBSTITUTE($G2255,"-",""))),"-"," ",LEN($G2255)-LEN(SUBSTITUTE($G2255,"-",""))-1))-LEN(SUBSTITUTE(SUBSTITUTE(SUBSTITUTE($G2255,"-"," ",LEN($G2255)-LEN(SUBSTITUTE($G2255,"-",""))),"-"," ",LEN($G2255)-LEN(SUBSTITUTE($G2255,"-",""))-1),".",""))))),$G2255)))</f>
        <v/>
      </c>
    </row>
    <row r="2256">
      <c r="A2256" s="58" t="n"/>
      <c r="B2256" s="58">
        <f>IF($H2256="","",LEFT($H2256,FIND(" ",$H2256&amp;" ")-1))</f>
        <v/>
      </c>
      <c r="C2256" s="58">
        <f>IF($H2256="","",IFERROR(MID($H2256&amp;" ",FIND("|",SUBSTITUTE($H2256&amp;" "," ","|",1))+1,FIND("|",SUBSTITUTE($H2256&amp;" "," ","|",2))-FIND("|",SUBSTITUTE($H2256&amp;" "," ","|",1))-1),""))</f>
        <v/>
      </c>
      <c r="D2256" s="58">
        <f>IF($H2256="","",IFERROR(MID($H2256&amp;" ",FIND("|",SUBSTITUTE($H2256&amp;" "," ","|",2))+1,FIND("|",SUBSTITUTE($H2256&amp;" "," ","|",3))-FIND("|",SUBSTITUTE($H2256&amp;" "," ","|",2))-1),""))</f>
        <v/>
      </c>
      <c r="E2256" s="58">
        <f>IF($H2256="","",IFERROR(MID($H2256&amp;" ",FIND("|",SUBSTITUTE($H2256&amp;" "," ","|",3))+1,FIND("|",SUBSTITUTE($H2256&amp;" "," ","|",4))-FIND("|",SUBSTITUTE($H2256&amp;" "," ","|",3))-1),""))</f>
        <v/>
      </c>
      <c r="F2256" s="59">
        <f>IF($H2256="","",IFERROR(VALUE(IFERROR(MID($H2256&amp;" ",FIND("|",SUBSTITUTE($H2256&amp;" "," ","|",4))+1,FIND("|",SUBSTITUTE($H2256&amp;" "," ","|",5))-FIND("|",SUBSTITUTE($H2256&amp;" "," ","|",4))-1),""))/86400+25569+9/24,""))</f>
        <v/>
      </c>
      <c r="G2256" s="58">
        <f>TRIM(SUBSTITUTE(SUBSTITUTE(SUBSTITUTE($A2256,CHAR(9)," ")," "," "),CHAR(13),""))</f>
        <v/>
      </c>
      <c r="H2256" s="58">
        <f>IF($G2256="","",IF(ISNUMBER(FIND(" ",$G2256)),$G2256,IFERROR(IF((LEN(SUBSTITUTE(SUBSTITUTE($G2256,"-"," ",LEN($G2256)-LEN(SUBSTITUTE($G2256,"-",""))),"-"," ",LEN($G2256)-LEN(SUBSTITUTE($G2256,"-",""))-1))-LEN(SUBSTITUTE(SUBSTITUTE(SUBSTITUTE($G2256,"-"," ",LEN($G2256)-LEN(SUBSTITUTE($G2256,"-",""))),"-"," ",LEN($G2256)-LEN(SUBSTITUTE($G2256,"-",""))-1),".","")))=0,SUBSTITUTE(SUBSTITUTE($G2256,"-"," ",LEN($G2256)-LEN(SUBSTITUTE($G2256,"-",""))),"-"," ",LEN($G2256)-LEN(SUBSTITUTE($G2256,"-",""))-1),SUBSTITUTE(SUBSTITUTE(SUBSTITUTE($G2256,"-"," ",LEN($G2256)-LEN(SUBSTITUTE($G2256,"-",""))),"-"," ",LEN($G2256)-LEN(SUBSTITUTE($G2256,"-",""))-1),"."," ",(LEN(SUBSTITUTE(SUBSTITUTE($G2256,"-"," ",LEN($G2256)-LEN(SUBSTITUTE($G2256,"-",""))),"-"," ",LEN($G2256)-LEN(SUBSTITUTE($G2256,"-",""))-1))-LEN(SUBSTITUTE(SUBSTITUTE(SUBSTITUTE($G2256,"-"," ",LEN($G2256)-LEN(SUBSTITUTE($G2256,"-",""))),"-"," ",LEN($G2256)-LEN(SUBSTITUTE($G2256,"-",""))-1),".",""))))),$G2256)))</f>
        <v/>
      </c>
    </row>
    <row r="2257">
      <c r="A2257" s="58" t="n"/>
      <c r="B2257" s="58">
        <f>IF($H2257="","",LEFT($H2257,FIND(" ",$H2257&amp;" ")-1))</f>
        <v/>
      </c>
      <c r="C2257" s="58">
        <f>IF($H2257="","",IFERROR(MID($H2257&amp;" ",FIND("|",SUBSTITUTE($H2257&amp;" "," ","|",1))+1,FIND("|",SUBSTITUTE($H2257&amp;" "," ","|",2))-FIND("|",SUBSTITUTE($H2257&amp;" "," ","|",1))-1),""))</f>
        <v/>
      </c>
      <c r="D2257" s="58">
        <f>IF($H2257="","",IFERROR(MID($H2257&amp;" ",FIND("|",SUBSTITUTE($H2257&amp;" "," ","|",2))+1,FIND("|",SUBSTITUTE($H2257&amp;" "," ","|",3))-FIND("|",SUBSTITUTE($H2257&amp;" "," ","|",2))-1),""))</f>
        <v/>
      </c>
      <c r="E2257" s="58">
        <f>IF($H2257="","",IFERROR(MID($H2257&amp;" ",FIND("|",SUBSTITUTE($H2257&amp;" "," ","|",3))+1,FIND("|",SUBSTITUTE($H2257&amp;" "," ","|",4))-FIND("|",SUBSTITUTE($H2257&amp;" "," ","|",3))-1),""))</f>
        <v/>
      </c>
      <c r="F2257" s="59">
        <f>IF($H2257="","",IFERROR(VALUE(IFERROR(MID($H2257&amp;" ",FIND("|",SUBSTITUTE($H2257&amp;" "," ","|",4))+1,FIND("|",SUBSTITUTE($H2257&amp;" "," ","|",5))-FIND("|",SUBSTITUTE($H2257&amp;" "," ","|",4))-1),""))/86400+25569+9/24,""))</f>
        <v/>
      </c>
      <c r="G2257" s="58">
        <f>TRIM(SUBSTITUTE(SUBSTITUTE(SUBSTITUTE($A2257,CHAR(9)," ")," "," "),CHAR(13),""))</f>
        <v/>
      </c>
      <c r="H2257" s="58">
        <f>IF($G2257="","",IF(ISNUMBER(FIND(" ",$G2257)),$G2257,IFERROR(IF((LEN(SUBSTITUTE(SUBSTITUTE($G2257,"-"," ",LEN($G2257)-LEN(SUBSTITUTE($G2257,"-",""))),"-"," ",LEN($G2257)-LEN(SUBSTITUTE($G2257,"-",""))-1))-LEN(SUBSTITUTE(SUBSTITUTE(SUBSTITUTE($G2257,"-"," ",LEN($G2257)-LEN(SUBSTITUTE($G2257,"-",""))),"-"," ",LEN($G2257)-LEN(SUBSTITUTE($G2257,"-",""))-1),".","")))=0,SUBSTITUTE(SUBSTITUTE($G2257,"-"," ",LEN($G2257)-LEN(SUBSTITUTE($G2257,"-",""))),"-"," ",LEN($G2257)-LEN(SUBSTITUTE($G2257,"-",""))-1),SUBSTITUTE(SUBSTITUTE(SUBSTITUTE($G2257,"-"," ",LEN($G2257)-LEN(SUBSTITUTE($G2257,"-",""))),"-"," ",LEN($G2257)-LEN(SUBSTITUTE($G2257,"-",""))-1),"."," ",(LEN(SUBSTITUTE(SUBSTITUTE($G2257,"-"," ",LEN($G2257)-LEN(SUBSTITUTE($G2257,"-",""))),"-"," ",LEN($G2257)-LEN(SUBSTITUTE($G2257,"-",""))-1))-LEN(SUBSTITUTE(SUBSTITUTE(SUBSTITUTE($G2257,"-"," ",LEN($G2257)-LEN(SUBSTITUTE($G2257,"-",""))),"-"," ",LEN($G2257)-LEN(SUBSTITUTE($G2257,"-",""))-1),".",""))))),$G2257)))</f>
        <v/>
      </c>
    </row>
    <row r="2258">
      <c r="A2258" s="58" t="n"/>
      <c r="B2258" s="58">
        <f>IF($H2258="","",LEFT($H2258,FIND(" ",$H2258&amp;" ")-1))</f>
        <v/>
      </c>
      <c r="C2258" s="58">
        <f>IF($H2258="","",IFERROR(MID($H2258&amp;" ",FIND("|",SUBSTITUTE($H2258&amp;" "," ","|",1))+1,FIND("|",SUBSTITUTE($H2258&amp;" "," ","|",2))-FIND("|",SUBSTITUTE($H2258&amp;" "," ","|",1))-1),""))</f>
        <v/>
      </c>
      <c r="D2258" s="58">
        <f>IF($H2258="","",IFERROR(MID($H2258&amp;" ",FIND("|",SUBSTITUTE($H2258&amp;" "," ","|",2))+1,FIND("|",SUBSTITUTE($H2258&amp;" "," ","|",3))-FIND("|",SUBSTITUTE($H2258&amp;" "," ","|",2))-1),""))</f>
        <v/>
      </c>
      <c r="E2258" s="58">
        <f>IF($H2258="","",IFERROR(MID($H2258&amp;" ",FIND("|",SUBSTITUTE($H2258&amp;" "," ","|",3))+1,FIND("|",SUBSTITUTE($H2258&amp;" "," ","|",4))-FIND("|",SUBSTITUTE($H2258&amp;" "," ","|",3))-1),""))</f>
        <v/>
      </c>
      <c r="F2258" s="59">
        <f>IF($H2258="","",IFERROR(VALUE(IFERROR(MID($H2258&amp;" ",FIND("|",SUBSTITUTE($H2258&amp;" "," ","|",4))+1,FIND("|",SUBSTITUTE($H2258&amp;" "," ","|",5))-FIND("|",SUBSTITUTE($H2258&amp;" "," ","|",4))-1),""))/86400+25569+9/24,""))</f>
        <v/>
      </c>
      <c r="G2258" s="58">
        <f>TRIM(SUBSTITUTE(SUBSTITUTE(SUBSTITUTE($A2258,CHAR(9)," ")," "," "),CHAR(13),""))</f>
        <v/>
      </c>
      <c r="H2258" s="58">
        <f>IF($G2258="","",IF(ISNUMBER(FIND(" ",$G2258)),$G2258,IFERROR(IF((LEN(SUBSTITUTE(SUBSTITUTE($G2258,"-"," ",LEN($G2258)-LEN(SUBSTITUTE($G2258,"-",""))),"-"," ",LEN($G2258)-LEN(SUBSTITUTE($G2258,"-",""))-1))-LEN(SUBSTITUTE(SUBSTITUTE(SUBSTITUTE($G2258,"-"," ",LEN($G2258)-LEN(SUBSTITUTE($G2258,"-",""))),"-"," ",LEN($G2258)-LEN(SUBSTITUTE($G2258,"-",""))-1),".","")))=0,SUBSTITUTE(SUBSTITUTE($G2258,"-"," ",LEN($G2258)-LEN(SUBSTITUTE($G2258,"-",""))),"-"," ",LEN($G2258)-LEN(SUBSTITUTE($G2258,"-",""))-1),SUBSTITUTE(SUBSTITUTE(SUBSTITUTE($G2258,"-"," ",LEN($G2258)-LEN(SUBSTITUTE($G2258,"-",""))),"-"," ",LEN($G2258)-LEN(SUBSTITUTE($G2258,"-",""))-1),"."," ",(LEN(SUBSTITUTE(SUBSTITUTE($G2258,"-"," ",LEN($G2258)-LEN(SUBSTITUTE($G2258,"-",""))),"-"," ",LEN($G2258)-LEN(SUBSTITUTE($G2258,"-",""))-1))-LEN(SUBSTITUTE(SUBSTITUTE(SUBSTITUTE($G2258,"-"," ",LEN($G2258)-LEN(SUBSTITUTE($G2258,"-",""))),"-"," ",LEN($G2258)-LEN(SUBSTITUTE($G2258,"-",""))-1),".",""))))),$G2258)))</f>
        <v/>
      </c>
    </row>
    <row r="2259">
      <c r="A2259" s="58" t="n"/>
      <c r="B2259" s="58">
        <f>IF($H2259="","",LEFT($H2259,FIND(" ",$H2259&amp;" ")-1))</f>
        <v/>
      </c>
      <c r="C2259" s="58">
        <f>IF($H2259="","",IFERROR(MID($H2259&amp;" ",FIND("|",SUBSTITUTE($H2259&amp;" "," ","|",1))+1,FIND("|",SUBSTITUTE($H2259&amp;" "," ","|",2))-FIND("|",SUBSTITUTE($H2259&amp;" "," ","|",1))-1),""))</f>
        <v/>
      </c>
      <c r="D2259" s="58">
        <f>IF($H2259="","",IFERROR(MID($H2259&amp;" ",FIND("|",SUBSTITUTE($H2259&amp;" "," ","|",2))+1,FIND("|",SUBSTITUTE($H2259&amp;" "," ","|",3))-FIND("|",SUBSTITUTE($H2259&amp;" "," ","|",2))-1),""))</f>
        <v/>
      </c>
      <c r="E2259" s="58">
        <f>IF($H2259="","",IFERROR(MID($H2259&amp;" ",FIND("|",SUBSTITUTE($H2259&amp;" "," ","|",3))+1,FIND("|",SUBSTITUTE($H2259&amp;" "," ","|",4))-FIND("|",SUBSTITUTE($H2259&amp;" "," ","|",3))-1),""))</f>
        <v/>
      </c>
      <c r="F2259" s="59">
        <f>IF($H2259="","",IFERROR(VALUE(IFERROR(MID($H2259&amp;" ",FIND("|",SUBSTITUTE($H2259&amp;" "," ","|",4))+1,FIND("|",SUBSTITUTE($H2259&amp;" "," ","|",5))-FIND("|",SUBSTITUTE($H2259&amp;" "," ","|",4))-1),""))/86400+25569+9/24,""))</f>
        <v/>
      </c>
      <c r="G2259" s="58">
        <f>TRIM(SUBSTITUTE(SUBSTITUTE(SUBSTITUTE($A2259,CHAR(9)," ")," "," "),CHAR(13),""))</f>
        <v/>
      </c>
      <c r="H2259" s="58">
        <f>IF($G2259="","",IF(ISNUMBER(FIND(" ",$G2259)),$G2259,IFERROR(IF((LEN(SUBSTITUTE(SUBSTITUTE($G2259,"-"," ",LEN($G2259)-LEN(SUBSTITUTE($G2259,"-",""))),"-"," ",LEN($G2259)-LEN(SUBSTITUTE($G2259,"-",""))-1))-LEN(SUBSTITUTE(SUBSTITUTE(SUBSTITUTE($G2259,"-"," ",LEN($G2259)-LEN(SUBSTITUTE($G2259,"-",""))),"-"," ",LEN($G2259)-LEN(SUBSTITUTE($G2259,"-",""))-1),".","")))=0,SUBSTITUTE(SUBSTITUTE($G2259,"-"," ",LEN($G2259)-LEN(SUBSTITUTE($G2259,"-",""))),"-"," ",LEN($G2259)-LEN(SUBSTITUTE($G2259,"-",""))-1),SUBSTITUTE(SUBSTITUTE(SUBSTITUTE($G2259,"-"," ",LEN($G2259)-LEN(SUBSTITUTE($G2259,"-",""))),"-"," ",LEN($G2259)-LEN(SUBSTITUTE($G2259,"-",""))-1),"."," ",(LEN(SUBSTITUTE(SUBSTITUTE($G2259,"-"," ",LEN($G2259)-LEN(SUBSTITUTE($G2259,"-",""))),"-"," ",LEN($G2259)-LEN(SUBSTITUTE($G2259,"-",""))-1))-LEN(SUBSTITUTE(SUBSTITUTE(SUBSTITUTE($G2259,"-"," ",LEN($G2259)-LEN(SUBSTITUTE($G2259,"-",""))),"-"," ",LEN($G2259)-LEN(SUBSTITUTE($G2259,"-",""))-1),".",""))))),$G2259)))</f>
        <v/>
      </c>
    </row>
    <row r="2260">
      <c r="A2260" s="58" t="n"/>
      <c r="B2260" s="58">
        <f>IF($H2260="","",LEFT($H2260,FIND(" ",$H2260&amp;" ")-1))</f>
        <v/>
      </c>
      <c r="C2260" s="58">
        <f>IF($H2260="","",IFERROR(MID($H2260&amp;" ",FIND("|",SUBSTITUTE($H2260&amp;" "," ","|",1))+1,FIND("|",SUBSTITUTE($H2260&amp;" "," ","|",2))-FIND("|",SUBSTITUTE($H2260&amp;" "," ","|",1))-1),""))</f>
        <v/>
      </c>
      <c r="D2260" s="58">
        <f>IF($H2260="","",IFERROR(MID($H2260&amp;" ",FIND("|",SUBSTITUTE($H2260&amp;" "," ","|",2))+1,FIND("|",SUBSTITUTE($H2260&amp;" "," ","|",3))-FIND("|",SUBSTITUTE($H2260&amp;" "," ","|",2))-1),""))</f>
        <v/>
      </c>
      <c r="E2260" s="58">
        <f>IF($H2260="","",IFERROR(MID($H2260&amp;" ",FIND("|",SUBSTITUTE($H2260&amp;" "," ","|",3))+1,FIND("|",SUBSTITUTE($H2260&amp;" "," ","|",4))-FIND("|",SUBSTITUTE($H2260&amp;" "," ","|",3))-1),""))</f>
        <v/>
      </c>
      <c r="F2260" s="59">
        <f>IF($H2260="","",IFERROR(VALUE(IFERROR(MID($H2260&amp;" ",FIND("|",SUBSTITUTE($H2260&amp;" "," ","|",4))+1,FIND("|",SUBSTITUTE($H2260&amp;" "," ","|",5))-FIND("|",SUBSTITUTE($H2260&amp;" "," ","|",4))-1),""))/86400+25569+9/24,""))</f>
        <v/>
      </c>
      <c r="G2260" s="58">
        <f>TRIM(SUBSTITUTE(SUBSTITUTE(SUBSTITUTE($A2260,CHAR(9)," ")," "," "),CHAR(13),""))</f>
        <v/>
      </c>
      <c r="H2260" s="58">
        <f>IF($G2260="","",IF(ISNUMBER(FIND(" ",$G2260)),$G2260,IFERROR(IF((LEN(SUBSTITUTE(SUBSTITUTE($G2260,"-"," ",LEN($G2260)-LEN(SUBSTITUTE($G2260,"-",""))),"-"," ",LEN($G2260)-LEN(SUBSTITUTE($G2260,"-",""))-1))-LEN(SUBSTITUTE(SUBSTITUTE(SUBSTITUTE($G2260,"-"," ",LEN($G2260)-LEN(SUBSTITUTE($G2260,"-",""))),"-"," ",LEN($G2260)-LEN(SUBSTITUTE($G2260,"-",""))-1),".","")))=0,SUBSTITUTE(SUBSTITUTE($G2260,"-"," ",LEN($G2260)-LEN(SUBSTITUTE($G2260,"-",""))),"-"," ",LEN($G2260)-LEN(SUBSTITUTE($G2260,"-",""))-1),SUBSTITUTE(SUBSTITUTE(SUBSTITUTE($G2260,"-"," ",LEN($G2260)-LEN(SUBSTITUTE($G2260,"-",""))),"-"," ",LEN($G2260)-LEN(SUBSTITUTE($G2260,"-",""))-1),"."," ",(LEN(SUBSTITUTE(SUBSTITUTE($G2260,"-"," ",LEN($G2260)-LEN(SUBSTITUTE($G2260,"-",""))),"-"," ",LEN($G2260)-LEN(SUBSTITUTE($G2260,"-",""))-1))-LEN(SUBSTITUTE(SUBSTITUTE(SUBSTITUTE($G2260,"-"," ",LEN($G2260)-LEN(SUBSTITUTE($G2260,"-",""))),"-"," ",LEN($G2260)-LEN(SUBSTITUTE($G2260,"-",""))-1),".",""))))),$G2260)))</f>
        <v/>
      </c>
    </row>
    <row r="2261">
      <c r="A2261" s="58" t="n"/>
      <c r="B2261" s="58">
        <f>IF($H2261="","",LEFT($H2261,FIND(" ",$H2261&amp;" ")-1))</f>
        <v/>
      </c>
      <c r="C2261" s="58">
        <f>IF($H2261="","",IFERROR(MID($H2261&amp;" ",FIND("|",SUBSTITUTE($H2261&amp;" "," ","|",1))+1,FIND("|",SUBSTITUTE($H2261&amp;" "," ","|",2))-FIND("|",SUBSTITUTE($H2261&amp;" "," ","|",1))-1),""))</f>
        <v/>
      </c>
      <c r="D2261" s="58">
        <f>IF($H2261="","",IFERROR(MID($H2261&amp;" ",FIND("|",SUBSTITUTE($H2261&amp;" "," ","|",2))+1,FIND("|",SUBSTITUTE($H2261&amp;" "," ","|",3))-FIND("|",SUBSTITUTE($H2261&amp;" "," ","|",2))-1),""))</f>
        <v/>
      </c>
      <c r="E2261" s="58">
        <f>IF($H2261="","",IFERROR(MID($H2261&amp;" ",FIND("|",SUBSTITUTE($H2261&amp;" "," ","|",3))+1,FIND("|",SUBSTITUTE($H2261&amp;" "," ","|",4))-FIND("|",SUBSTITUTE($H2261&amp;" "," ","|",3))-1),""))</f>
        <v/>
      </c>
      <c r="F2261" s="59">
        <f>IF($H2261="","",IFERROR(VALUE(IFERROR(MID($H2261&amp;" ",FIND("|",SUBSTITUTE($H2261&amp;" "," ","|",4))+1,FIND("|",SUBSTITUTE($H2261&amp;" "," ","|",5))-FIND("|",SUBSTITUTE($H2261&amp;" "," ","|",4))-1),""))/86400+25569+9/24,""))</f>
        <v/>
      </c>
      <c r="G2261" s="58">
        <f>TRIM(SUBSTITUTE(SUBSTITUTE(SUBSTITUTE($A2261,CHAR(9)," ")," "," "),CHAR(13),""))</f>
        <v/>
      </c>
      <c r="H2261" s="58">
        <f>IF($G2261="","",IF(ISNUMBER(FIND(" ",$G2261)),$G2261,IFERROR(IF((LEN(SUBSTITUTE(SUBSTITUTE($G2261,"-"," ",LEN($G2261)-LEN(SUBSTITUTE($G2261,"-",""))),"-"," ",LEN($G2261)-LEN(SUBSTITUTE($G2261,"-",""))-1))-LEN(SUBSTITUTE(SUBSTITUTE(SUBSTITUTE($G2261,"-"," ",LEN($G2261)-LEN(SUBSTITUTE($G2261,"-",""))),"-"," ",LEN($G2261)-LEN(SUBSTITUTE($G2261,"-",""))-1),".","")))=0,SUBSTITUTE(SUBSTITUTE($G2261,"-"," ",LEN($G2261)-LEN(SUBSTITUTE($G2261,"-",""))),"-"," ",LEN($G2261)-LEN(SUBSTITUTE($G2261,"-",""))-1),SUBSTITUTE(SUBSTITUTE(SUBSTITUTE($G2261,"-"," ",LEN($G2261)-LEN(SUBSTITUTE($G2261,"-",""))),"-"," ",LEN($G2261)-LEN(SUBSTITUTE($G2261,"-",""))-1),"."," ",(LEN(SUBSTITUTE(SUBSTITUTE($G2261,"-"," ",LEN($G2261)-LEN(SUBSTITUTE($G2261,"-",""))),"-"," ",LEN($G2261)-LEN(SUBSTITUTE($G2261,"-",""))-1))-LEN(SUBSTITUTE(SUBSTITUTE(SUBSTITUTE($G2261,"-"," ",LEN($G2261)-LEN(SUBSTITUTE($G2261,"-",""))),"-"," ",LEN($G2261)-LEN(SUBSTITUTE($G2261,"-",""))-1),".",""))))),$G2261)))</f>
        <v/>
      </c>
    </row>
    <row r="2262">
      <c r="A2262" s="58" t="n"/>
      <c r="B2262" s="58">
        <f>IF($H2262="","",LEFT($H2262,FIND(" ",$H2262&amp;" ")-1))</f>
        <v/>
      </c>
      <c r="C2262" s="58">
        <f>IF($H2262="","",IFERROR(MID($H2262&amp;" ",FIND("|",SUBSTITUTE($H2262&amp;" "," ","|",1))+1,FIND("|",SUBSTITUTE($H2262&amp;" "," ","|",2))-FIND("|",SUBSTITUTE($H2262&amp;" "," ","|",1))-1),""))</f>
        <v/>
      </c>
      <c r="D2262" s="58">
        <f>IF($H2262="","",IFERROR(MID($H2262&amp;" ",FIND("|",SUBSTITUTE($H2262&amp;" "," ","|",2))+1,FIND("|",SUBSTITUTE($H2262&amp;" "," ","|",3))-FIND("|",SUBSTITUTE($H2262&amp;" "," ","|",2))-1),""))</f>
        <v/>
      </c>
      <c r="E2262" s="58">
        <f>IF($H2262="","",IFERROR(MID($H2262&amp;" ",FIND("|",SUBSTITUTE($H2262&amp;" "," ","|",3))+1,FIND("|",SUBSTITUTE($H2262&amp;" "," ","|",4))-FIND("|",SUBSTITUTE($H2262&amp;" "," ","|",3))-1),""))</f>
        <v/>
      </c>
      <c r="F2262" s="59">
        <f>IF($H2262="","",IFERROR(VALUE(IFERROR(MID($H2262&amp;" ",FIND("|",SUBSTITUTE($H2262&amp;" "," ","|",4))+1,FIND("|",SUBSTITUTE($H2262&amp;" "," ","|",5))-FIND("|",SUBSTITUTE($H2262&amp;" "," ","|",4))-1),""))/86400+25569+9/24,""))</f>
        <v/>
      </c>
      <c r="G2262" s="58">
        <f>TRIM(SUBSTITUTE(SUBSTITUTE(SUBSTITUTE($A2262,CHAR(9)," ")," "," "),CHAR(13),""))</f>
        <v/>
      </c>
      <c r="H2262" s="58">
        <f>IF($G2262="","",IF(ISNUMBER(FIND(" ",$G2262)),$G2262,IFERROR(IF((LEN(SUBSTITUTE(SUBSTITUTE($G2262,"-"," ",LEN($G2262)-LEN(SUBSTITUTE($G2262,"-",""))),"-"," ",LEN($G2262)-LEN(SUBSTITUTE($G2262,"-",""))-1))-LEN(SUBSTITUTE(SUBSTITUTE(SUBSTITUTE($G2262,"-"," ",LEN($G2262)-LEN(SUBSTITUTE($G2262,"-",""))),"-"," ",LEN($G2262)-LEN(SUBSTITUTE($G2262,"-",""))-1),".","")))=0,SUBSTITUTE(SUBSTITUTE($G2262,"-"," ",LEN($G2262)-LEN(SUBSTITUTE($G2262,"-",""))),"-"," ",LEN($G2262)-LEN(SUBSTITUTE($G2262,"-",""))-1),SUBSTITUTE(SUBSTITUTE(SUBSTITUTE($G2262,"-"," ",LEN($G2262)-LEN(SUBSTITUTE($G2262,"-",""))),"-"," ",LEN($G2262)-LEN(SUBSTITUTE($G2262,"-",""))-1),"."," ",(LEN(SUBSTITUTE(SUBSTITUTE($G2262,"-"," ",LEN($G2262)-LEN(SUBSTITUTE($G2262,"-",""))),"-"," ",LEN($G2262)-LEN(SUBSTITUTE($G2262,"-",""))-1))-LEN(SUBSTITUTE(SUBSTITUTE(SUBSTITUTE($G2262,"-"," ",LEN($G2262)-LEN(SUBSTITUTE($G2262,"-",""))),"-"," ",LEN($G2262)-LEN(SUBSTITUTE($G2262,"-",""))-1),".",""))))),$G2262)))</f>
        <v/>
      </c>
    </row>
    <row r="2263">
      <c r="A2263" s="58" t="n"/>
      <c r="B2263" s="58">
        <f>IF($H2263="","",LEFT($H2263,FIND(" ",$H2263&amp;" ")-1))</f>
        <v/>
      </c>
      <c r="C2263" s="58">
        <f>IF($H2263="","",IFERROR(MID($H2263&amp;" ",FIND("|",SUBSTITUTE($H2263&amp;" "," ","|",1))+1,FIND("|",SUBSTITUTE($H2263&amp;" "," ","|",2))-FIND("|",SUBSTITUTE($H2263&amp;" "," ","|",1))-1),""))</f>
        <v/>
      </c>
      <c r="D2263" s="58">
        <f>IF($H2263="","",IFERROR(MID($H2263&amp;" ",FIND("|",SUBSTITUTE($H2263&amp;" "," ","|",2))+1,FIND("|",SUBSTITUTE($H2263&amp;" "," ","|",3))-FIND("|",SUBSTITUTE($H2263&amp;" "," ","|",2))-1),""))</f>
        <v/>
      </c>
      <c r="E2263" s="58">
        <f>IF($H2263="","",IFERROR(MID($H2263&amp;" ",FIND("|",SUBSTITUTE($H2263&amp;" "," ","|",3))+1,FIND("|",SUBSTITUTE($H2263&amp;" "," ","|",4))-FIND("|",SUBSTITUTE($H2263&amp;" "," ","|",3))-1),""))</f>
        <v/>
      </c>
      <c r="F2263" s="59">
        <f>IF($H2263="","",IFERROR(VALUE(IFERROR(MID($H2263&amp;" ",FIND("|",SUBSTITUTE($H2263&amp;" "," ","|",4))+1,FIND("|",SUBSTITUTE($H2263&amp;" "," ","|",5))-FIND("|",SUBSTITUTE($H2263&amp;" "," ","|",4))-1),""))/86400+25569+9/24,""))</f>
        <v/>
      </c>
      <c r="G2263" s="58">
        <f>TRIM(SUBSTITUTE(SUBSTITUTE(SUBSTITUTE($A2263,CHAR(9)," ")," "," "),CHAR(13),""))</f>
        <v/>
      </c>
      <c r="H2263" s="58">
        <f>IF($G2263="","",IF(ISNUMBER(FIND(" ",$G2263)),$G2263,IFERROR(IF((LEN(SUBSTITUTE(SUBSTITUTE($G2263,"-"," ",LEN($G2263)-LEN(SUBSTITUTE($G2263,"-",""))),"-"," ",LEN($G2263)-LEN(SUBSTITUTE($G2263,"-",""))-1))-LEN(SUBSTITUTE(SUBSTITUTE(SUBSTITUTE($G2263,"-"," ",LEN($G2263)-LEN(SUBSTITUTE($G2263,"-",""))),"-"," ",LEN($G2263)-LEN(SUBSTITUTE($G2263,"-",""))-1),".","")))=0,SUBSTITUTE(SUBSTITUTE($G2263,"-"," ",LEN($G2263)-LEN(SUBSTITUTE($G2263,"-",""))),"-"," ",LEN($G2263)-LEN(SUBSTITUTE($G2263,"-",""))-1),SUBSTITUTE(SUBSTITUTE(SUBSTITUTE($G2263,"-"," ",LEN($G2263)-LEN(SUBSTITUTE($G2263,"-",""))),"-"," ",LEN($G2263)-LEN(SUBSTITUTE($G2263,"-",""))-1),"."," ",(LEN(SUBSTITUTE(SUBSTITUTE($G2263,"-"," ",LEN($G2263)-LEN(SUBSTITUTE($G2263,"-",""))),"-"," ",LEN($G2263)-LEN(SUBSTITUTE($G2263,"-",""))-1))-LEN(SUBSTITUTE(SUBSTITUTE(SUBSTITUTE($G2263,"-"," ",LEN($G2263)-LEN(SUBSTITUTE($G2263,"-",""))),"-"," ",LEN($G2263)-LEN(SUBSTITUTE($G2263,"-",""))-1),".",""))))),$G2263)))</f>
        <v/>
      </c>
    </row>
    <row r="2264">
      <c r="A2264" s="58" t="n"/>
      <c r="B2264" s="58">
        <f>IF($H2264="","",LEFT($H2264,FIND(" ",$H2264&amp;" ")-1))</f>
        <v/>
      </c>
      <c r="C2264" s="58">
        <f>IF($H2264="","",IFERROR(MID($H2264&amp;" ",FIND("|",SUBSTITUTE($H2264&amp;" "," ","|",1))+1,FIND("|",SUBSTITUTE($H2264&amp;" "," ","|",2))-FIND("|",SUBSTITUTE($H2264&amp;" "," ","|",1))-1),""))</f>
        <v/>
      </c>
      <c r="D2264" s="58">
        <f>IF($H2264="","",IFERROR(MID($H2264&amp;" ",FIND("|",SUBSTITUTE($H2264&amp;" "," ","|",2))+1,FIND("|",SUBSTITUTE($H2264&amp;" "," ","|",3))-FIND("|",SUBSTITUTE($H2264&amp;" "," ","|",2))-1),""))</f>
        <v/>
      </c>
      <c r="E2264" s="58">
        <f>IF($H2264="","",IFERROR(MID($H2264&amp;" ",FIND("|",SUBSTITUTE($H2264&amp;" "," ","|",3))+1,FIND("|",SUBSTITUTE($H2264&amp;" "," ","|",4))-FIND("|",SUBSTITUTE($H2264&amp;" "," ","|",3))-1),""))</f>
        <v/>
      </c>
      <c r="F2264" s="59">
        <f>IF($H2264="","",IFERROR(VALUE(IFERROR(MID($H2264&amp;" ",FIND("|",SUBSTITUTE($H2264&amp;" "," ","|",4))+1,FIND("|",SUBSTITUTE($H2264&amp;" "," ","|",5))-FIND("|",SUBSTITUTE($H2264&amp;" "," ","|",4))-1),""))/86400+25569+9/24,""))</f>
        <v/>
      </c>
      <c r="G2264" s="58">
        <f>TRIM(SUBSTITUTE(SUBSTITUTE(SUBSTITUTE($A2264,CHAR(9)," ")," "," "),CHAR(13),""))</f>
        <v/>
      </c>
      <c r="H2264" s="58">
        <f>IF($G2264="","",IF(ISNUMBER(FIND(" ",$G2264)),$G2264,IFERROR(IF((LEN(SUBSTITUTE(SUBSTITUTE($G2264,"-"," ",LEN($G2264)-LEN(SUBSTITUTE($G2264,"-",""))),"-"," ",LEN($G2264)-LEN(SUBSTITUTE($G2264,"-",""))-1))-LEN(SUBSTITUTE(SUBSTITUTE(SUBSTITUTE($G2264,"-"," ",LEN($G2264)-LEN(SUBSTITUTE($G2264,"-",""))),"-"," ",LEN($G2264)-LEN(SUBSTITUTE($G2264,"-",""))-1),".","")))=0,SUBSTITUTE(SUBSTITUTE($G2264,"-"," ",LEN($G2264)-LEN(SUBSTITUTE($G2264,"-",""))),"-"," ",LEN($G2264)-LEN(SUBSTITUTE($G2264,"-",""))-1),SUBSTITUTE(SUBSTITUTE(SUBSTITUTE($G2264,"-"," ",LEN($G2264)-LEN(SUBSTITUTE($G2264,"-",""))),"-"," ",LEN($G2264)-LEN(SUBSTITUTE($G2264,"-",""))-1),"."," ",(LEN(SUBSTITUTE(SUBSTITUTE($G2264,"-"," ",LEN($G2264)-LEN(SUBSTITUTE($G2264,"-",""))),"-"," ",LEN($G2264)-LEN(SUBSTITUTE($G2264,"-",""))-1))-LEN(SUBSTITUTE(SUBSTITUTE(SUBSTITUTE($G2264,"-"," ",LEN($G2264)-LEN(SUBSTITUTE($G2264,"-",""))),"-"," ",LEN($G2264)-LEN(SUBSTITUTE($G2264,"-",""))-1),".",""))))),$G2264)))</f>
        <v/>
      </c>
    </row>
    <row r="2265">
      <c r="A2265" s="58" t="n"/>
      <c r="B2265" s="58">
        <f>IF($H2265="","",LEFT($H2265,FIND(" ",$H2265&amp;" ")-1))</f>
        <v/>
      </c>
      <c r="C2265" s="58">
        <f>IF($H2265="","",IFERROR(MID($H2265&amp;" ",FIND("|",SUBSTITUTE($H2265&amp;" "," ","|",1))+1,FIND("|",SUBSTITUTE($H2265&amp;" "," ","|",2))-FIND("|",SUBSTITUTE($H2265&amp;" "," ","|",1))-1),""))</f>
        <v/>
      </c>
      <c r="D2265" s="58">
        <f>IF($H2265="","",IFERROR(MID($H2265&amp;" ",FIND("|",SUBSTITUTE($H2265&amp;" "," ","|",2))+1,FIND("|",SUBSTITUTE($H2265&amp;" "," ","|",3))-FIND("|",SUBSTITUTE($H2265&amp;" "," ","|",2))-1),""))</f>
        <v/>
      </c>
      <c r="E2265" s="58">
        <f>IF($H2265="","",IFERROR(MID($H2265&amp;" ",FIND("|",SUBSTITUTE($H2265&amp;" "," ","|",3))+1,FIND("|",SUBSTITUTE($H2265&amp;" "," ","|",4))-FIND("|",SUBSTITUTE($H2265&amp;" "," ","|",3))-1),""))</f>
        <v/>
      </c>
      <c r="F2265" s="59">
        <f>IF($H2265="","",IFERROR(VALUE(IFERROR(MID($H2265&amp;" ",FIND("|",SUBSTITUTE($H2265&amp;" "," ","|",4))+1,FIND("|",SUBSTITUTE($H2265&amp;" "," ","|",5))-FIND("|",SUBSTITUTE($H2265&amp;" "," ","|",4))-1),""))/86400+25569+9/24,""))</f>
        <v/>
      </c>
      <c r="G2265" s="58">
        <f>TRIM(SUBSTITUTE(SUBSTITUTE(SUBSTITUTE($A2265,CHAR(9)," ")," "," "),CHAR(13),""))</f>
        <v/>
      </c>
      <c r="H2265" s="58">
        <f>IF($G2265="","",IF(ISNUMBER(FIND(" ",$G2265)),$G2265,IFERROR(IF((LEN(SUBSTITUTE(SUBSTITUTE($G2265,"-"," ",LEN($G2265)-LEN(SUBSTITUTE($G2265,"-",""))),"-"," ",LEN($G2265)-LEN(SUBSTITUTE($G2265,"-",""))-1))-LEN(SUBSTITUTE(SUBSTITUTE(SUBSTITUTE($G2265,"-"," ",LEN($G2265)-LEN(SUBSTITUTE($G2265,"-",""))),"-"," ",LEN($G2265)-LEN(SUBSTITUTE($G2265,"-",""))-1),".","")))=0,SUBSTITUTE(SUBSTITUTE($G2265,"-"," ",LEN($G2265)-LEN(SUBSTITUTE($G2265,"-",""))),"-"," ",LEN($G2265)-LEN(SUBSTITUTE($G2265,"-",""))-1),SUBSTITUTE(SUBSTITUTE(SUBSTITUTE($G2265,"-"," ",LEN($G2265)-LEN(SUBSTITUTE($G2265,"-",""))),"-"," ",LEN($G2265)-LEN(SUBSTITUTE($G2265,"-",""))-1),"."," ",(LEN(SUBSTITUTE(SUBSTITUTE($G2265,"-"," ",LEN($G2265)-LEN(SUBSTITUTE($G2265,"-",""))),"-"," ",LEN($G2265)-LEN(SUBSTITUTE($G2265,"-",""))-1))-LEN(SUBSTITUTE(SUBSTITUTE(SUBSTITUTE($G2265,"-"," ",LEN($G2265)-LEN(SUBSTITUTE($G2265,"-",""))),"-"," ",LEN($G2265)-LEN(SUBSTITUTE($G2265,"-",""))-1),".",""))))),$G2265)))</f>
        <v/>
      </c>
    </row>
    <row r="2266">
      <c r="A2266" s="58" t="n"/>
      <c r="B2266" s="58">
        <f>IF($H2266="","",LEFT($H2266,FIND(" ",$H2266&amp;" ")-1))</f>
        <v/>
      </c>
      <c r="C2266" s="58">
        <f>IF($H2266="","",IFERROR(MID($H2266&amp;" ",FIND("|",SUBSTITUTE($H2266&amp;" "," ","|",1))+1,FIND("|",SUBSTITUTE($H2266&amp;" "," ","|",2))-FIND("|",SUBSTITUTE($H2266&amp;" "," ","|",1))-1),""))</f>
        <v/>
      </c>
      <c r="D2266" s="58">
        <f>IF($H2266="","",IFERROR(MID($H2266&amp;" ",FIND("|",SUBSTITUTE($H2266&amp;" "," ","|",2))+1,FIND("|",SUBSTITUTE($H2266&amp;" "," ","|",3))-FIND("|",SUBSTITUTE($H2266&amp;" "," ","|",2))-1),""))</f>
        <v/>
      </c>
      <c r="E2266" s="58">
        <f>IF($H2266="","",IFERROR(MID($H2266&amp;" ",FIND("|",SUBSTITUTE($H2266&amp;" "," ","|",3))+1,FIND("|",SUBSTITUTE($H2266&amp;" "," ","|",4))-FIND("|",SUBSTITUTE($H2266&amp;" "," ","|",3))-1),""))</f>
        <v/>
      </c>
      <c r="F2266" s="59">
        <f>IF($H2266="","",IFERROR(VALUE(IFERROR(MID($H2266&amp;" ",FIND("|",SUBSTITUTE($H2266&amp;" "," ","|",4))+1,FIND("|",SUBSTITUTE($H2266&amp;" "," ","|",5))-FIND("|",SUBSTITUTE($H2266&amp;" "," ","|",4))-1),""))/86400+25569+9/24,""))</f>
        <v/>
      </c>
      <c r="G2266" s="58">
        <f>TRIM(SUBSTITUTE(SUBSTITUTE(SUBSTITUTE($A2266,CHAR(9)," ")," "," "),CHAR(13),""))</f>
        <v/>
      </c>
      <c r="H2266" s="58">
        <f>IF($G2266="","",IF(ISNUMBER(FIND(" ",$G2266)),$G2266,IFERROR(IF((LEN(SUBSTITUTE(SUBSTITUTE($G2266,"-"," ",LEN($G2266)-LEN(SUBSTITUTE($G2266,"-",""))),"-"," ",LEN($G2266)-LEN(SUBSTITUTE($G2266,"-",""))-1))-LEN(SUBSTITUTE(SUBSTITUTE(SUBSTITUTE($G2266,"-"," ",LEN($G2266)-LEN(SUBSTITUTE($G2266,"-",""))),"-"," ",LEN($G2266)-LEN(SUBSTITUTE($G2266,"-",""))-1),".","")))=0,SUBSTITUTE(SUBSTITUTE($G2266,"-"," ",LEN($G2266)-LEN(SUBSTITUTE($G2266,"-",""))),"-"," ",LEN($G2266)-LEN(SUBSTITUTE($G2266,"-",""))-1),SUBSTITUTE(SUBSTITUTE(SUBSTITUTE($G2266,"-"," ",LEN($G2266)-LEN(SUBSTITUTE($G2266,"-",""))),"-"," ",LEN($G2266)-LEN(SUBSTITUTE($G2266,"-",""))-1),"."," ",(LEN(SUBSTITUTE(SUBSTITUTE($G2266,"-"," ",LEN($G2266)-LEN(SUBSTITUTE($G2266,"-",""))),"-"," ",LEN($G2266)-LEN(SUBSTITUTE($G2266,"-",""))-1))-LEN(SUBSTITUTE(SUBSTITUTE(SUBSTITUTE($G2266,"-"," ",LEN($G2266)-LEN(SUBSTITUTE($G2266,"-",""))),"-"," ",LEN($G2266)-LEN(SUBSTITUTE($G2266,"-",""))-1),".",""))))),$G2266)))</f>
        <v/>
      </c>
    </row>
    <row r="2267">
      <c r="A2267" s="58" t="n"/>
      <c r="B2267" s="58">
        <f>IF($H2267="","",LEFT($H2267,FIND(" ",$H2267&amp;" ")-1))</f>
        <v/>
      </c>
      <c r="C2267" s="58">
        <f>IF($H2267="","",IFERROR(MID($H2267&amp;" ",FIND("|",SUBSTITUTE($H2267&amp;" "," ","|",1))+1,FIND("|",SUBSTITUTE($H2267&amp;" "," ","|",2))-FIND("|",SUBSTITUTE($H2267&amp;" "," ","|",1))-1),""))</f>
        <v/>
      </c>
      <c r="D2267" s="58">
        <f>IF($H2267="","",IFERROR(MID($H2267&amp;" ",FIND("|",SUBSTITUTE($H2267&amp;" "," ","|",2))+1,FIND("|",SUBSTITUTE($H2267&amp;" "," ","|",3))-FIND("|",SUBSTITUTE($H2267&amp;" "," ","|",2))-1),""))</f>
        <v/>
      </c>
      <c r="E2267" s="58">
        <f>IF($H2267="","",IFERROR(MID($H2267&amp;" ",FIND("|",SUBSTITUTE($H2267&amp;" "," ","|",3))+1,FIND("|",SUBSTITUTE($H2267&amp;" "," ","|",4))-FIND("|",SUBSTITUTE($H2267&amp;" "," ","|",3))-1),""))</f>
        <v/>
      </c>
      <c r="F2267" s="59">
        <f>IF($H2267="","",IFERROR(VALUE(IFERROR(MID($H2267&amp;" ",FIND("|",SUBSTITUTE($H2267&amp;" "," ","|",4))+1,FIND("|",SUBSTITUTE($H2267&amp;" "," ","|",5))-FIND("|",SUBSTITUTE($H2267&amp;" "," ","|",4))-1),""))/86400+25569+9/24,""))</f>
        <v/>
      </c>
      <c r="G2267" s="58">
        <f>TRIM(SUBSTITUTE(SUBSTITUTE(SUBSTITUTE($A2267,CHAR(9)," ")," "," "),CHAR(13),""))</f>
        <v/>
      </c>
      <c r="H2267" s="58">
        <f>IF($G2267="","",IF(ISNUMBER(FIND(" ",$G2267)),$G2267,IFERROR(IF((LEN(SUBSTITUTE(SUBSTITUTE($G2267,"-"," ",LEN($G2267)-LEN(SUBSTITUTE($G2267,"-",""))),"-"," ",LEN($G2267)-LEN(SUBSTITUTE($G2267,"-",""))-1))-LEN(SUBSTITUTE(SUBSTITUTE(SUBSTITUTE($G2267,"-"," ",LEN($G2267)-LEN(SUBSTITUTE($G2267,"-",""))),"-"," ",LEN($G2267)-LEN(SUBSTITUTE($G2267,"-",""))-1),".","")))=0,SUBSTITUTE(SUBSTITUTE($G2267,"-"," ",LEN($G2267)-LEN(SUBSTITUTE($G2267,"-",""))),"-"," ",LEN($G2267)-LEN(SUBSTITUTE($G2267,"-",""))-1),SUBSTITUTE(SUBSTITUTE(SUBSTITUTE($G2267,"-"," ",LEN($G2267)-LEN(SUBSTITUTE($G2267,"-",""))),"-"," ",LEN($G2267)-LEN(SUBSTITUTE($G2267,"-",""))-1),"."," ",(LEN(SUBSTITUTE(SUBSTITUTE($G2267,"-"," ",LEN($G2267)-LEN(SUBSTITUTE($G2267,"-",""))),"-"," ",LEN($G2267)-LEN(SUBSTITUTE($G2267,"-",""))-1))-LEN(SUBSTITUTE(SUBSTITUTE(SUBSTITUTE($G2267,"-"," ",LEN($G2267)-LEN(SUBSTITUTE($G2267,"-",""))),"-"," ",LEN($G2267)-LEN(SUBSTITUTE($G2267,"-",""))-1),".",""))))),$G2267)))</f>
        <v/>
      </c>
    </row>
    <row r="2268">
      <c r="A2268" s="58" t="n"/>
      <c r="B2268" s="58">
        <f>IF($H2268="","",LEFT($H2268,FIND(" ",$H2268&amp;" ")-1))</f>
        <v/>
      </c>
      <c r="C2268" s="58">
        <f>IF($H2268="","",IFERROR(MID($H2268&amp;" ",FIND("|",SUBSTITUTE($H2268&amp;" "," ","|",1))+1,FIND("|",SUBSTITUTE($H2268&amp;" "," ","|",2))-FIND("|",SUBSTITUTE($H2268&amp;" "," ","|",1))-1),""))</f>
        <v/>
      </c>
      <c r="D2268" s="58">
        <f>IF($H2268="","",IFERROR(MID($H2268&amp;" ",FIND("|",SUBSTITUTE($H2268&amp;" "," ","|",2))+1,FIND("|",SUBSTITUTE($H2268&amp;" "," ","|",3))-FIND("|",SUBSTITUTE($H2268&amp;" "," ","|",2))-1),""))</f>
        <v/>
      </c>
      <c r="E2268" s="58">
        <f>IF($H2268="","",IFERROR(MID($H2268&amp;" ",FIND("|",SUBSTITUTE($H2268&amp;" "," ","|",3))+1,FIND("|",SUBSTITUTE($H2268&amp;" "," ","|",4))-FIND("|",SUBSTITUTE($H2268&amp;" "," ","|",3))-1),""))</f>
        <v/>
      </c>
      <c r="F2268" s="59">
        <f>IF($H2268="","",IFERROR(VALUE(IFERROR(MID($H2268&amp;" ",FIND("|",SUBSTITUTE($H2268&amp;" "," ","|",4))+1,FIND("|",SUBSTITUTE($H2268&amp;" "," ","|",5))-FIND("|",SUBSTITUTE($H2268&amp;" "," ","|",4))-1),""))/86400+25569+9/24,""))</f>
        <v/>
      </c>
      <c r="G2268" s="58">
        <f>TRIM(SUBSTITUTE(SUBSTITUTE(SUBSTITUTE($A2268,CHAR(9)," ")," "," "),CHAR(13),""))</f>
        <v/>
      </c>
      <c r="H2268" s="58">
        <f>IF($G2268="","",IF(ISNUMBER(FIND(" ",$G2268)),$G2268,IFERROR(IF((LEN(SUBSTITUTE(SUBSTITUTE($G2268,"-"," ",LEN($G2268)-LEN(SUBSTITUTE($G2268,"-",""))),"-"," ",LEN($G2268)-LEN(SUBSTITUTE($G2268,"-",""))-1))-LEN(SUBSTITUTE(SUBSTITUTE(SUBSTITUTE($G2268,"-"," ",LEN($G2268)-LEN(SUBSTITUTE($G2268,"-",""))),"-"," ",LEN($G2268)-LEN(SUBSTITUTE($G2268,"-",""))-1),".","")))=0,SUBSTITUTE(SUBSTITUTE($G2268,"-"," ",LEN($G2268)-LEN(SUBSTITUTE($G2268,"-",""))),"-"," ",LEN($G2268)-LEN(SUBSTITUTE($G2268,"-",""))-1),SUBSTITUTE(SUBSTITUTE(SUBSTITUTE($G2268,"-"," ",LEN($G2268)-LEN(SUBSTITUTE($G2268,"-",""))),"-"," ",LEN($G2268)-LEN(SUBSTITUTE($G2268,"-",""))-1),"."," ",(LEN(SUBSTITUTE(SUBSTITUTE($G2268,"-"," ",LEN($G2268)-LEN(SUBSTITUTE($G2268,"-",""))),"-"," ",LEN($G2268)-LEN(SUBSTITUTE($G2268,"-",""))-1))-LEN(SUBSTITUTE(SUBSTITUTE(SUBSTITUTE($G2268,"-"," ",LEN($G2268)-LEN(SUBSTITUTE($G2268,"-",""))),"-"," ",LEN($G2268)-LEN(SUBSTITUTE($G2268,"-",""))-1),".",""))))),$G2268)))</f>
        <v/>
      </c>
    </row>
    <row r="2269">
      <c r="A2269" s="58" t="n"/>
      <c r="B2269" s="58">
        <f>IF($H2269="","",LEFT($H2269,FIND(" ",$H2269&amp;" ")-1))</f>
        <v/>
      </c>
      <c r="C2269" s="58">
        <f>IF($H2269="","",IFERROR(MID($H2269&amp;" ",FIND("|",SUBSTITUTE($H2269&amp;" "," ","|",1))+1,FIND("|",SUBSTITUTE($H2269&amp;" "," ","|",2))-FIND("|",SUBSTITUTE($H2269&amp;" "," ","|",1))-1),""))</f>
        <v/>
      </c>
      <c r="D2269" s="58">
        <f>IF($H2269="","",IFERROR(MID($H2269&amp;" ",FIND("|",SUBSTITUTE($H2269&amp;" "," ","|",2))+1,FIND("|",SUBSTITUTE($H2269&amp;" "," ","|",3))-FIND("|",SUBSTITUTE($H2269&amp;" "," ","|",2))-1),""))</f>
        <v/>
      </c>
      <c r="E2269" s="58">
        <f>IF($H2269="","",IFERROR(MID($H2269&amp;" ",FIND("|",SUBSTITUTE($H2269&amp;" "," ","|",3))+1,FIND("|",SUBSTITUTE($H2269&amp;" "," ","|",4))-FIND("|",SUBSTITUTE($H2269&amp;" "," ","|",3))-1),""))</f>
        <v/>
      </c>
      <c r="F2269" s="59">
        <f>IF($H2269="","",IFERROR(VALUE(IFERROR(MID($H2269&amp;" ",FIND("|",SUBSTITUTE($H2269&amp;" "," ","|",4))+1,FIND("|",SUBSTITUTE($H2269&amp;" "," ","|",5))-FIND("|",SUBSTITUTE($H2269&amp;" "," ","|",4))-1),""))/86400+25569+9/24,""))</f>
        <v/>
      </c>
      <c r="G2269" s="58">
        <f>TRIM(SUBSTITUTE(SUBSTITUTE(SUBSTITUTE($A2269,CHAR(9)," ")," "," "),CHAR(13),""))</f>
        <v/>
      </c>
      <c r="H2269" s="58">
        <f>IF($G2269="","",IF(ISNUMBER(FIND(" ",$G2269)),$G2269,IFERROR(IF((LEN(SUBSTITUTE(SUBSTITUTE($G2269,"-"," ",LEN($G2269)-LEN(SUBSTITUTE($G2269,"-",""))),"-"," ",LEN($G2269)-LEN(SUBSTITUTE($G2269,"-",""))-1))-LEN(SUBSTITUTE(SUBSTITUTE(SUBSTITUTE($G2269,"-"," ",LEN($G2269)-LEN(SUBSTITUTE($G2269,"-",""))),"-"," ",LEN($G2269)-LEN(SUBSTITUTE($G2269,"-",""))-1),".","")))=0,SUBSTITUTE(SUBSTITUTE($G2269,"-"," ",LEN($G2269)-LEN(SUBSTITUTE($G2269,"-",""))),"-"," ",LEN($G2269)-LEN(SUBSTITUTE($G2269,"-",""))-1),SUBSTITUTE(SUBSTITUTE(SUBSTITUTE($G2269,"-"," ",LEN($G2269)-LEN(SUBSTITUTE($G2269,"-",""))),"-"," ",LEN($G2269)-LEN(SUBSTITUTE($G2269,"-",""))-1),"."," ",(LEN(SUBSTITUTE(SUBSTITUTE($G2269,"-"," ",LEN($G2269)-LEN(SUBSTITUTE($G2269,"-",""))),"-"," ",LEN($G2269)-LEN(SUBSTITUTE($G2269,"-",""))-1))-LEN(SUBSTITUTE(SUBSTITUTE(SUBSTITUTE($G2269,"-"," ",LEN($G2269)-LEN(SUBSTITUTE($G2269,"-",""))),"-"," ",LEN($G2269)-LEN(SUBSTITUTE($G2269,"-",""))-1),".",""))))),$G2269)))</f>
        <v/>
      </c>
    </row>
    <row r="2270">
      <c r="A2270" s="58" t="n"/>
      <c r="B2270" s="58">
        <f>IF($H2270="","",LEFT($H2270,FIND(" ",$H2270&amp;" ")-1))</f>
        <v/>
      </c>
      <c r="C2270" s="58">
        <f>IF($H2270="","",IFERROR(MID($H2270&amp;" ",FIND("|",SUBSTITUTE($H2270&amp;" "," ","|",1))+1,FIND("|",SUBSTITUTE($H2270&amp;" "," ","|",2))-FIND("|",SUBSTITUTE($H2270&amp;" "," ","|",1))-1),""))</f>
        <v/>
      </c>
      <c r="D2270" s="58">
        <f>IF($H2270="","",IFERROR(MID($H2270&amp;" ",FIND("|",SUBSTITUTE($H2270&amp;" "," ","|",2))+1,FIND("|",SUBSTITUTE($H2270&amp;" "," ","|",3))-FIND("|",SUBSTITUTE($H2270&amp;" "," ","|",2))-1),""))</f>
        <v/>
      </c>
      <c r="E2270" s="58">
        <f>IF($H2270="","",IFERROR(MID($H2270&amp;" ",FIND("|",SUBSTITUTE($H2270&amp;" "," ","|",3))+1,FIND("|",SUBSTITUTE($H2270&amp;" "," ","|",4))-FIND("|",SUBSTITUTE($H2270&amp;" "," ","|",3))-1),""))</f>
        <v/>
      </c>
      <c r="F2270" s="59">
        <f>IF($H2270="","",IFERROR(VALUE(IFERROR(MID($H2270&amp;" ",FIND("|",SUBSTITUTE($H2270&amp;" "," ","|",4))+1,FIND("|",SUBSTITUTE($H2270&amp;" "," ","|",5))-FIND("|",SUBSTITUTE($H2270&amp;" "," ","|",4))-1),""))/86400+25569+9/24,""))</f>
        <v/>
      </c>
      <c r="G2270" s="58">
        <f>TRIM(SUBSTITUTE(SUBSTITUTE(SUBSTITUTE($A2270,CHAR(9)," ")," "," "),CHAR(13),""))</f>
        <v/>
      </c>
      <c r="H2270" s="58">
        <f>IF($G2270="","",IF(ISNUMBER(FIND(" ",$G2270)),$G2270,IFERROR(IF((LEN(SUBSTITUTE(SUBSTITUTE($G2270,"-"," ",LEN($G2270)-LEN(SUBSTITUTE($G2270,"-",""))),"-"," ",LEN($G2270)-LEN(SUBSTITUTE($G2270,"-",""))-1))-LEN(SUBSTITUTE(SUBSTITUTE(SUBSTITUTE($G2270,"-"," ",LEN($G2270)-LEN(SUBSTITUTE($G2270,"-",""))),"-"," ",LEN($G2270)-LEN(SUBSTITUTE($G2270,"-",""))-1),".","")))=0,SUBSTITUTE(SUBSTITUTE($G2270,"-"," ",LEN($G2270)-LEN(SUBSTITUTE($G2270,"-",""))),"-"," ",LEN($G2270)-LEN(SUBSTITUTE($G2270,"-",""))-1),SUBSTITUTE(SUBSTITUTE(SUBSTITUTE($G2270,"-"," ",LEN($G2270)-LEN(SUBSTITUTE($G2270,"-",""))),"-"," ",LEN($G2270)-LEN(SUBSTITUTE($G2270,"-",""))-1),"."," ",(LEN(SUBSTITUTE(SUBSTITUTE($G2270,"-"," ",LEN($G2270)-LEN(SUBSTITUTE($G2270,"-",""))),"-"," ",LEN($G2270)-LEN(SUBSTITUTE($G2270,"-",""))-1))-LEN(SUBSTITUTE(SUBSTITUTE(SUBSTITUTE($G2270,"-"," ",LEN($G2270)-LEN(SUBSTITUTE($G2270,"-",""))),"-"," ",LEN($G2270)-LEN(SUBSTITUTE($G2270,"-",""))-1),".",""))))),$G2270)))</f>
        <v/>
      </c>
    </row>
    <row r="2271">
      <c r="A2271" s="58" t="n"/>
      <c r="B2271" s="58">
        <f>IF($H2271="","",LEFT($H2271,FIND(" ",$H2271&amp;" ")-1))</f>
        <v/>
      </c>
      <c r="C2271" s="58">
        <f>IF($H2271="","",IFERROR(MID($H2271&amp;" ",FIND("|",SUBSTITUTE($H2271&amp;" "," ","|",1))+1,FIND("|",SUBSTITUTE($H2271&amp;" "," ","|",2))-FIND("|",SUBSTITUTE($H2271&amp;" "," ","|",1))-1),""))</f>
        <v/>
      </c>
      <c r="D2271" s="58">
        <f>IF($H2271="","",IFERROR(MID($H2271&amp;" ",FIND("|",SUBSTITUTE($H2271&amp;" "," ","|",2))+1,FIND("|",SUBSTITUTE($H2271&amp;" "," ","|",3))-FIND("|",SUBSTITUTE($H2271&amp;" "," ","|",2))-1),""))</f>
        <v/>
      </c>
      <c r="E2271" s="58">
        <f>IF($H2271="","",IFERROR(MID($H2271&amp;" ",FIND("|",SUBSTITUTE($H2271&amp;" "," ","|",3))+1,FIND("|",SUBSTITUTE($H2271&amp;" "," ","|",4))-FIND("|",SUBSTITUTE($H2271&amp;" "," ","|",3))-1),""))</f>
        <v/>
      </c>
      <c r="F2271" s="59">
        <f>IF($H2271="","",IFERROR(VALUE(IFERROR(MID($H2271&amp;" ",FIND("|",SUBSTITUTE($H2271&amp;" "," ","|",4))+1,FIND("|",SUBSTITUTE($H2271&amp;" "," ","|",5))-FIND("|",SUBSTITUTE($H2271&amp;" "," ","|",4))-1),""))/86400+25569+9/24,""))</f>
        <v/>
      </c>
      <c r="G2271" s="58">
        <f>TRIM(SUBSTITUTE(SUBSTITUTE(SUBSTITUTE($A2271,CHAR(9)," ")," "," "),CHAR(13),""))</f>
        <v/>
      </c>
      <c r="H2271" s="58">
        <f>IF($G2271="","",IF(ISNUMBER(FIND(" ",$G2271)),$G2271,IFERROR(IF((LEN(SUBSTITUTE(SUBSTITUTE($G2271,"-"," ",LEN($G2271)-LEN(SUBSTITUTE($G2271,"-",""))),"-"," ",LEN($G2271)-LEN(SUBSTITUTE($G2271,"-",""))-1))-LEN(SUBSTITUTE(SUBSTITUTE(SUBSTITUTE($G2271,"-"," ",LEN($G2271)-LEN(SUBSTITUTE($G2271,"-",""))),"-"," ",LEN($G2271)-LEN(SUBSTITUTE($G2271,"-",""))-1),".","")))=0,SUBSTITUTE(SUBSTITUTE($G2271,"-"," ",LEN($G2271)-LEN(SUBSTITUTE($G2271,"-",""))),"-"," ",LEN($G2271)-LEN(SUBSTITUTE($G2271,"-",""))-1),SUBSTITUTE(SUBSTITUTE(SUBSTITUTE($G2271,"-"," ",LEN($G2271)-LEN(SUBSTITUTE($G2271,"-",""))),"-"," ",LEN($G2271)-LEN(SUBSTITUTE($G2271,"-",""))-1),"."," ",(LEN(SUBSTITUTE(SUBSTITUTE($G2271,"-"," ",LEN($G2271)-LEN(SUBSTITUTE($G2271,"-",""))),"-"," ",LEN($G2271)-LEN(SUBSTITUTE($G2271,"-",""))-1))-LEN(SUBSTITUTE(SUBSTITUTE(SUBSTITUTE($G2271,"-"," ",LEN($G2271)-LEN(SUBSTITUTE($G2271,"-",""))),"-"," ",LEN($G2271)-LEN(SUBSTITUTE($G2271,"-",""))-1),".",""))))),$G2271)))</f>
        <v/>
      </c>
    </row>
    <row r="2272">
      <c r="A2272" s="58" t="n"/>
      <c r="B2272" s="58">
        <f>IF($H2272="","",LEFT($H2272,FIND(" ",$H2272&amp;" ")-1))</f>
        <v/>
      </c>
      <c r="C2272" s="58">
        <f>IF($H2272="","",IFERROR(MID($H2272&amp;" ",FIND("|",SUBSTITUTE($H2272&amp;" "," ","|",1))+1,FIND("|",SUBSTITUTE($H2272&amp;" "," ","|",2))-FIND("|",SUBSTITUTE($H2272&amp;" "," ","|",1))-1),""))</f>
        <v/>
      </c>
      <c r="D2272" s="58">
        <f>IF($H2272="","",IFERROR(MID($H2272&amp;" ",FIND("|",SUBSTITUTE($H2272&amp;" "," ","|",2))+1,FIND("|",SUBSTITUTE($H2272&amp;" "," ","|",3))-FIND("|",SUBSTITUTE($H2272&amp;" "," ","|",2))-1),""))</f>
        <v/>
      </c>
      <c r="E2272" s="58">
        <f>IF($H2272="","",IFERROR(MID($H2272&amp;" ",FIND("|",SUBSTITUTE($H2272&amp;" "," ","|",3))+1,FIND("|",SUBSTITUTE($H2272&amp;" "," ","|",4))-FIND("|",SUBSTITUTE($H2272&amp;" "," ","|",3))-1),""))</f>
        <v/>
      </c>
      <c r="F2272" s="59">
        <f>IF($H2272="","",IFERROR(VALUE(IFERROR(MID($H2272&amp;" ",FIND("|",SUBSTITUTE($H2272&amp;" "," ","|",4))+1,FIND("|",SUBSTITUTE($H2272&amp;" "," ","|",5))-FIND("|",SUBSTITUTE($H2272&amp;" "," ","|",4))-1),""))/86400+25569+9/24,""))</f>
        <v/>
      </c>
      <c r="G2272" s="58">
        <f>TRIM(SUBSTITUTE(SUBSTITUTE(SUBSTITUTE($A2272,CHAR(9)," ")," "," "),CHAR(13),""))</f>
        <v/>
      </c>
      <c r="H2272" s="58">
        <f>IF($G2272="","",IF(ISNUMBER(FIND(" ",$G2272)),$G2272,IFERROR(IF((LEN(SUBSTITUTE(SUBSTITUTE($G2272,"-"," ",LEN($G2272)-LEN(SUBSTITUTE($G2272,"-",""))),"-"," ",LEN($G2272)-LEN(SUBSTITUTE($G2272,"-",""))-1))-LEN(SUBSTITUTE(SUBSTITUTE(SUBSTITUTE($G2272,"-"," ",LEN($G2272)-LEN(SUBSTITUTE($G2272,"-",""))),"-"," ",LEN($G2272)-LEN(SUBSTITUTE($G2272,"-",""))-1),".","")))=0,SUBSTITUTE(SUBSTITUTE($G2272,"-"," ",LEN($G2272)-LEN(SUBSTITUTE($G2272,"-",""))),"-"," ",LEN($G2272)-LEN(SUBSTITUTE($G2272,"-",""))-1),SUBSTITUTE(SUBSTITUTE(SUBSTITUTE($G2272,"-"," ",LEN($G2272)-LEN(SUBSTITUTE($G2272,"-",""))),"-"," ",LEN($G2272)-LEN(SUBSTITUTE($G2272,"-",""))-1),"."," ",(LEN(SUBSTITUTE(SUBSTITUTE($G2272,"-"," ",LEN($G2272)-LEN(SUBSTITUTE($G2272,"-",""))),"-"," ",LEN($G2272)-LEN(SUBSTITUTE($G2272,"-",""))-1))-LEN(SUBSTITUTE(SUBSTITUTE(SUBSTITUTE($G2272,"-"," ",LEN($G2272)-LEN(SUBSTITUTE($G2272,"-",""))),"-"," ",LEN($G2272)-LEN(SUBSTITUTE($G2272,"-",""))-1),".",""))))),$G2272)))</f>
        <v/>
      </c>
    </row>
    <row r="2273">
      <c r="A2273" s="58" t="n"/>
      <c r="B2273" s="58">
        <f>IF($H2273="","",LEFT($H2273,FIND(" ",$H2273&amp;" ")-1))</f>
        <v/>
      </c>
      <c r="C2273" s="58">
        <f>IF($H2273="","",IFERROR(MID($H2273&amp;" ",FIND("|",SUBSTITUTE($H2273&amp;" "," ","|",1))+1,FIND("|",SUBSTITUTE($H2273&amp;" "," ","|",2))-FIND("|",SUBSTITUTE($H2273&amp;" "," ","|",1))-1),""))</f>
        <v/>
      </c>
      <c r="D2273" s="58">
        <f>IF($H2273="","",IFERROR(MID($H2273&amp;" ",FIND("|",SUBSTITUTE($H2273&amp;" "," ","|",2))+1,FIND("|",SUBSTITUTE($H2273&amp;" "," ","|",3))-FIND("|",SUBSTITUTE($H2273&amp;" "," ","|",2))-1),""))</f>
        <v/>
      </c>
      <c r="E2273" s="58">
        <f>IF($H2273="","",IFERROR(MID($H2273&amp;" ",FIND("|",SUBSTITUTE($H2273&amp;" "," ","|",3))+1,FIND("|",SUBSTITUTE($H2273&amp;" "," ","|",4))-FIND("|",SUBSTITUTE($H2273&amp;" "," ","|",3))-1),""))</f>
        <v/>
      </c>
      <c r="F2273" s="59">
        <f>IF($H2273="","",IFERROR(VALUE(IFERROR(MID($H2273&amp;" ",FIND("|",SUBSTITUTE($H2273&amp;" "," ","|",4))+1,FIND("|",SUBSTITUTE($H2273&amp;" "," ","|",5))-FIND("|",SUBSTITUTE($H2273&amp;" "," ","|",4))-1),""))/86400+25569+9/24,""))</f>
        <v/>
      </c>
      <c r="G2273" s="58">
        <f>TRIM(SUBSTITUTE(SUBSTITUTE(SUBSTITUTE($A2273,CHAR(9)," ")," "," "),CHAR(13),""))</f>
        <v/>
      </c>
      <c r="H2273" s="58">
        <f>IF($G2273="","",IF(ISNUMBER(FIND(" ",$G2273)),$G2273,IFERROR(IF((LEN(SUBSTITUTE(SUBSTITUTE($G2273,"-"," ",LEN($G2273)-LEN(SUBSTITUTE($G2273,"-",""))),"-"," ",LEN($G2273)-LEN(SUBSTITUTE($G2273,"-",""))-1))-LEN(SUBSTITUTE(SUBSTITUTE(SUBSTITUTE($G2273,"-"," ",LEN($G2273)-LEN(SUBSTITUTE($G2273,"-",""))),"-"," ",LEN($G2273)-LEN(SUBSTITUTE($G2273,"-",""))-1),".","")))=0,SUBSTITUTE(SUBSTITUTE($G2273,"-"," ",LEN($G2273)-LEN(SUBSTITUTE($G2273,"-",""))),"-"," ",LEN($G2273)-LEN(SUBSTITUTE($G2273,"-",""))-1),SUBSTITUTE(SUBSTITUTE(SUBSTITUTE($G2273,"-"," ",LEN($G2273)-LEN(SUBSTITUTE($G2273,"-",""))),"-"," ",LEN($G2273)-LEN(SUBSTITUTE($G2273,"-",""))-1),"."," ",(LEN(SUBSTITUTE(SUBSTITUTE($G2273,"-"," ",LEN($G2273)-LEN(SUBSTITUTE($G2273,"-",""))),"-"," ",LEN($G2273)-LEN(SUBSTITUTE($G2273,"-",""))-1))-LEN(SUBSTITUTE(SUBSTITUTE(SUBSTITUTE($G2273,"-"," ",LEN($G2273)-LEN(SUBSTITUTE($G2273,"-",""))),"-"," ",LEN($G2273)-LEN(SUBSTITUTE($G2273,"-",""))-1),".",""))))),$G2273)))</f>
        <v/>
      </c>
    </row>
    <row r="2274">
      <c r="A2274" s="58" t="n"/>
      <c r="B2274" s="58">
        <f>IF($H2274="","",LEFT($H2274,FIND(" ",$H2274&amp;" ")-1))</f>
        <v/>
      </c>
      <c r="C2274" s="58">
        <f>IF($H2274="","",IFERROR(MID($H2274&amp;" ",FIND("|",SUBSTITUTE($H2274&amp;" "," ","|",1))+1,FIND("|",SUBSTITUTE($H2274&amp;" "," ","|",2))-FIND("|",SUBSTITUTE($H2274&amp;" "," ","|",1))-1),""))</f>
        <v/>
      </c>
      <c r="D2274" s="58">
        <f>IF($H2274="","",IFERROR(MID($H2274&amp;" ",FIND("|",SUBSTITUTE($H2274&amp;" "," ","|",2))+1,FIND("|",SUBSTITUTE($H2274&amp;" "," ","|",3))-FIND("|",SUBSTITUTE($H2274&amp;" "," ","|",2))-1),""))</f>
        <v/>
      </c>
      <c r="E2274" s="58">
        <f>IF($H2274="","",IFERROR(MID($H2274&amp;" ",FIND("|",SUBSTITUTE($H2274&amp;" "," ","|",3))+1,FIND("|",SUBSTITUTE($H2274&amp;" "," ","|",4))-FIND("|",SUBSTITUTE($H2274&amp;" "," ","|",3))-1),""))</f>
        <v/>
      </c>
      <c r="F2274" s="59">
        <f>IF($H2274="","",IFERROR(VALUE(IFERROR(MID($H2274&amp;" ",FIND("|",SUBSTITUTE($H2274&amp;" "," ","|",4))+1,FIND("|",SUBSTITUTE($H2274&amp;" "," ","|",5))-FIND("|",SUBSTITUTE($H2274&amp;" "," ","|",4))-1),""))/86400+25569+9/24,""))</f>
        <v/>
      </c>
      <c r="G2274" s="58">
        <f>TRIM(SUBSTITUTE(SUBSTITUTE(SUBSTITUTE($A2274,CHAR(9)," ")," "," "),CHAR(13),""))</f>
        <v/>
      </c>
      <c r="H2274" s="58">
        <f>IF($G2274="","",IF(ISNUMBER(FIND(" ",$G2274)),$G2274,IFERROR(IF((LEN(SUBSTITUTE(SUBSTITUTE($G2274,"-"," ",LEN($G2274)-LEN(SUBSTITUTE($G2274,"-",""))),"-"," ",LEN($G2274)-LEN(SUBSTITUTE($G2274,"-",""))-1))-LEN(SUBSTITUTE(SUBSTITUTE(SUBSTITUTE($G2274,"-"," ",LEN($G2274)-LEN(SUBSTITUTE($G2274,"-",""))),"-"," ",LEN($G2274)-LEN(SUBSTITUTE($G2274,"-",""))-1),".","")))=0,SUBSTITUTE(SUBSTITUTE($G2274,"-"," ",LEN($G2274)-LEN(SUBSTITUTE($G2274,"-",""))),"-"," ",LEN($G2274)-LEN(SUBSTITUTE($G2274,"-",""))-1),SUBSTITUTE(SUBSTITUTE(SUBSTITUTE($G2274,"-"," ",LEN($G2274)-LEN(SUBSTITUTE($G2274,"-",""))),"-"," ",LEN($G2274)-LEN(SUBSTITUTE($G2274,"-",""))-1),"."," ",(LEN(SUBSTITUTE(SUBSTITUTE($G2274,"-"," ",LEN($G2274)-LEN(SUBSTITUTE($G2274,"-",""))),"-"," ",LEN($G2274)-LEN(SUBSTITUTE($G2274,"-",""))-1))-LEN(SUBSTITUTE(SUBSTITUTE(SUBSTITUTE($G2274,"-"," ",LEN($G2274)-LEN(SUBSTITUTE($G2274,"-",""))),"-"," ",LEN($G2274)-LEN(SUBSTITUTE($G2274,"-",""))-1),".",""))))),$G2274)))</f>
        <v/>
      </c>
    </row>
    <row r="2275">
      <c r="A2275" s="58" t="n"/>
      <c r="B2275" s="58">
        <f>IF($H2275="","",LEFT($H2275,FIND(" ",$H2275&amp;" ")-1))</f>
        <v/>
      </c>
      <c r="C2275" s="58">
        <f>IF($H2275="","",IFERROR(MID($H2275&amp;" ",FIND("|",SUBSTITUTE($H2275&amp;" "," ","|",1))+1,FIND("|",SUBSTITUTE($H2275&amp;" "," ","|",2))-FIND("|",SUBSTITUTE($H2275&amp;" "," ","|",1))-1),""))</f>
        <v/>
      </c>
      <c r="D2275" s="58">
        <f>IF($H2275="","",IFERROR(MID($H2275&amp;" ",FIND("|",SUBSTITUTE($H2275&amp;" "," ","|",2))+1,FIND("|",SUBSTITUTE($H2275&amp;" "," ","|",3))-FIND("|",SUBSTITUTE($H2275&amp;" "," ","|",2))-1),""))</f>
        <v/>
      </c>
      <c r="E2275" s="58">
        <f>IF($H2275="","",IFERROR(MID($H2275&amp;" ",FIND("|",SUBSTITUTE($H2275&amp;" "," ","|",3))+1,FIND("|",SUBSTITUTE($H2275&amp;" "," ","|",4))-FIND("|",SUBSTITUTE($H2275&amp;" "," ","|",3))-1),""))</f>
        <v/>
      </c>
      <c r="F2275" s="59">
        <f>IF($H2275="","",IFERROR(VALUE(IFERROR(MID($H2275&amp;" ",FIND("|",SUBSTITUTE($H2275&amp;" "," ","|",4))+1,FIND("|",SUBSTITUTE($H2275&amp;" "," ","|",5))-FIND("|",SUBSTITUTE($H2275&amp;" "," ","|",4))-1),""))/86400+25569+9/24,""))</f>
        <v/>
      </c>
      <c r="G2275" s="58">
        <f>TRIM(SUBSTITUTE(SUBSTITUTE(SUBSTITUTE($A2275,CHAR(9)," ")," "," "),CHAR(13),""))</f>
        <v/>
      </c>
      <c r="H2275" s="58">
        <f>IF($G2275="","",IF(ISNUMBER(FIND(" ",$G2275)),$G2275,IFERROR(IF((LEN(SUBSTITUTE(SUBSTITUTE($G2275,"-"," ",LEN($G2275)-LEN(SUBSTITUTE($G2275,"-",""))),"-"," ",LEN($G2275)-LEN(SUBSTITUTE($G2275,"-",""))-1))-LEN(SUBSTITUTE(SUBSTITUTE(SUBSTITUTE($G2275,"-"," ",LEN($G2275)-LEN(SUBSTITUTE($G2275,"-",""))),"-"," ",LEN($G2275)-LEN(SUBSTITUTE($G2275,"-",""))-1),".","")))=0,SUBSTITUTE(SUBSTITUTE($G2275,"-"," ",LEN($G2275)-LEN(SUBSTITUTE($G2275,"-",""))),"-"," ",LEN($G2275)-LEN(SUBSTITUTE($G2275,"-",""))-1),SUBSTITUTE(SUBSTITUTE(SUBSTITUTE($G2275,"-"," ",LEN($G2275)-LEN(SUBSTITUTE($G2275,"-",""))),"-"," ",LEN($G2275)-LEN(SUBSTITUTE($G2275,"-",""))-1),"."," ",(LEN(SUBSTITUTE(SUBSTITUTE($G2275,"-"," ",LEN($G2275)-LEN(SUBSTITUTE($G2275,"-",""))),"-"," ",LEN($G2275)-LEN(SUBSTITUTE($G2275,"-",""))-1))-LEN(SUBSTITUTE(SUBSTITUTE(SUBSTITUTE($G2275,"-"," ",LEN($G2275)-LEN(SUBSTITUTE($G2275,"-",""))),"-"," ",LEN($G2275)-LEN(SUBSTITUTE($G2275,"-",""))-1),".",""))))),$G2275)))</f>
        <v/>
      </c>
    </row>
    <row r="2276">
      <c r="A2276" s="58" t="n"/>
      <c r="B2276" s="58">
        <f>IF($H2276="","",LEFT($H2276,FIND(" ",$H2276&amp;" ")-1))</f>
        <v/>
      </c>
      <c r="C2276" s="58">
        <f>IF($H2276="","",IFERROR(MID($H2276&amp;" ",FIND("|",SUBSTITUTE($H2276&amp;" "," ","|",1))+1,FIND("|",SUBSTITUTE($H2276&amp;" "," ","|",2))-FIND("|",SUBSTITUTE($H2276&amp;" "," ","|",1))-1),""))</f>
        <v/>
      </c>
      <c r="D2276" s="58">
        <f>IF($H2276="","",IFERROR(MID($H2276&amp;" ",FIND("|",SUBSTITUTE($H2276&amp;" "," ","|",2))+1,FIND("|",SUBSTITUTE($H2276&amp;" "," ","|",3))-FIND("|",SUBSTITUTE($H2276&amp;" "," ","|",2))-1),""))</f>
        <v/>
      </c>
      <c r="E2276" s="58">
        <f>IF($H2276="","",IFERROR(MID($H2276&amp;" ",FIND("|",SUBSTITUTE($H2276&amp;" "," ","|",3))+1,FIND("|",SUBSTITUTE($H2276&amp;" "," ","|",4))-FIND("|",SUBSTITUTE($H2276&amp;" "," ","|",3))-1),""))</f>
        <v/>
      </c>
      <c r="F2276" s="59">
        <f>IF($H2276="","",IFERROR(VALUE(IFERROR(MID($H2276&amp;" ",FIND("|",SUBSTITUTE($H2276&amp;" "," ","|",4))+1,FIND("|",SUBSTITUTE($H2276&amp;" "," ","|",5))-FIND("|",SUBSTITUTE($H2276&amp;" "," ","|",4))-1),""))/86400+25569+9/24,""))</f>
        <v/>
      </c>
      <c r="G2276" s="58">
        <f>TRIM(SUBSTITUTE(SUBSTITUTE(SUBSTITUTE($A2276,CHAR(9)," ")," "," "),CHAR(13),""))</f>
        <v/>
      </c>
      <c r="H2276" s="58">
        <f>IF($G2276="","",IF(ISNUMBER(FIND(" ",$G2276)),$G2276,IFERROR(IF((LEN(SUBSTITUTE(SUBSTITUTE($G2276,"-"," ",LEN($G2276)-LEN(SUBSTITUTE($G2276,"-",""))),"-"," ",LEN($G2276)-LEN(SUBSTITUTE($G2276,"-",""))-1))-LEN(SUBSTITUTE(SUBSTITUTE(SUBSTITUTE($G2276,"-"," ",LEN($G2276)-LEN(SUBSTITUTE($G2276,"-",""))),"-"," ",LEN($G2276)-LEN(SUBSTITUTE($G2276,"-",""))-1),".","")))=0,SUBSTITUTE(SUBSTITUTE($G2276,"-"," ",LEN($G2276)-LEN(SUBSTITUTE($G2276,"-",""))),"-"," ",LEN($G2276)-LEN(SUBSTITUTE($G2276,"-",""))-1),SUBSTITUTE(SUBSTITUTE(SUBSTITUTE($G2276,"-"," ",LEN($G2276)-LEN(SUBSTITUTE($G2276,"-",""))),"-"," ",LEN($G2276)-LEN(SUBSTITUTE($G2276,"-",""))-1),"."," ",(LEN(SUBSTITUTE(SUBSTITUTE($G2276,"-"," ",LEN($G2276)-LEN(SUBSTITUTE($G2276,"-",""))),"-"," ",LEN($G2276)-LEN(SUBSTITUTE($G2276,"-",""))-1))-LEN(SUBSTITUTE(SUBSTITUTE(SUBSTITUTE($G2276,"-"," ",LEN($G2276)-LEN(SUBSTITUTE($G2276,"-",""))),"-"," ",LEN($G2276)-LEN(SUBSTITUTE($G2276,"-",""))-1),".",""))))),$G2276)))</f>
        <v/>
      </c>
    </row>
    <row r="2277">
      <c r="A2277" s="58" t="n"/>
      <c r="B2277" s="58">
        <f>IF($H2277="","",LEFT($H2277,FIND(" ",$H2277&amp;" ")-1))</f>
        <v/>
      </c>
      <c r="C2277" s="58">
        <f>IF($H2277="","",IFERROR(MID($H2277&amp;" ",FIND("|",SUBSTITUTE($H2277&amp;" "," ","|",1))+1,FIND("|",SUBSTITUTE($H2277&amp;" "," ","|",2))-FIND("|",SUBSTITUTE($H2277&amp;" "," ","|",1))-1),""))</f>
        <v/>
      </c>
      <c r="D2277" s="58">
        <f>IF($H2277="","",IFERROR(MID($H2277&amp;" ",FIND("|",SUBSTITUTE($H2277&amp;" "," ","|",2))+1,FIND("|",SUBSTITUTE($H2277&amp;" "," ","|",3))-FIND("|",SUBSTITUTE($H2277&amp;" "," ","|",2))-1),""))</f>
        <v/>
      </c>
      <c r="E2277" s="58">
        <f>IF($H2277="","",IFERROR(MID($H2277&amp;" ",FIND("|",SUBSTITUTE($H2277&amp;" "," ","|",3))+1,FIND("|",SUBSTITUTE($H2277&amp;" "," ","|",4))-FIND("|",SUBSTITUTE($H2277&amp;" "," ","|",3))-1),""))</f>
        <v/>
      </c>
      <c r="F2277" s="59">
        <f>IF($H2277="","",IFERROR(VALUE(IFERROR(MID($H2277&amp;" ",FIND("|",SUBSTITUTE($H2277&amp;" "," ","|",4))+1,FIND("|",SUBSTITUTE($H2277&amp;" "," ","|",5))-FIND("|",SUBSTITUTE($H2277&amp;" "," ","|",4))-1),""))/86400+25569+9/24,""))</f>
        <v/>
      </c>
      <c r="G2277" s="58">
        <f>TRIM(SUBSTITUTE(SUBSTITUTE(SUBSTITUTE($A2277,CHAR(9)," ")," "," "),CHAR(13),""))</f>
        <v/>
      </c>
      <c r="H2277" s="58">
        <f>IF($G2277="","",IF(ISNUMBER(FIND(" ",$G2277)),$G2277,IFERROR(IF((LEN(SUBSTITUTE(SUBSTITUTE($G2277,"-"," ",LEN($G2277)-LEN(SUBSTITUTE($G2277,"-",""))),"-"," ",LEN($G2277)-LEN(SUBSTITUTE($G2277,"-",""))-1))-LEN(SUBSTITUTE(SUBSTITUTE(SUBSTITUTE($G2277,"-"," ",LEN($G2277)-LEN(SUBSTITUTE($G2277,"-",""))),"-"," ",LEN($G2277)-LEN(SUBSTITUTE($G2277,"-",""))-1),".","")))=0,SUBSTITUTE(SUBSTITUTE($G2277,"-"," ",LEN($G2277)-LEN(SUBSTITUTE($G2277,"-",""))),"-"," ",LEN($G2277)-LEN(SUBSTITUTE($G2277,"-",""))-1),SUBSTITUTE(SUBSTITUTE(SUBSTITUTE($G2277,"-"," ",LEN($G2277)-LEN(SUBSTITUTE($G2277,"-",""))),"-"," ",LEN($G2277)-LEN(SUBSTITUTE($G2277,"-",""))-1),"."," ",(LEN(SUBSTITUTE(SUBSTITUTE($G2277,"-"," ",LEN($G2277)-LEN(SUBSTITUTE($G2277,"-",""))),"-"," ",LEN($G2277)-LEN(SUBSTITUTE($G2277,"-",""))-1))-LEN(SUBSTITUTE(SUBSTITUTE(SUBSTITUTE($G2277,"-"," ",LEN($G2277)-LEN(SUBSTITUTE($G2277,"-",""))),"-"," ",LEN($G2277)-LEN(SUBSTITUTE($G2277,"-",""))-1),".",""))))),$G2277)))</f>
        <v/>
      </c>
    </row>
    <row r="2278">
      <c r="A2278" s="58" t="n"/>
      <c r="B2278" s="58">
        <f>IF($H2278="","",LEFT($H2278,FIND(" ",$H2278&amp;" ")-1))</f>
        <v/>
      </c>
      <c r="C2278" s="58">
        <f>IF($H2278="","",IFERROR(MID($H2278&amp;" ",FIND("|",SUBSTITUTE($H2278&amp;" "," ","|",1))+1,FIND("|",SUBSTITUTE($H2278&amp;" "," ","|",2))-FIND("|",SUBSTITUTE($H2278&amp;" "," ","|",1))-1),""))</f>
        <v/>
      </c>
      <c r="D2278" s="58">
        <f>IF($H2278="","",IFERROR(MID($H2278&amp;" ",FIND("|",SUBSTITUTE($H2278&amp;" "," ","|",2))+1,FIND("|",SUBSTITUTE($H2278&amp;" "," ","|",3))-FIND("|",SUBSTITUTE($H2278&amp;" "," ","|",2))-1),""))</f>
        <v/>
      </c>
      <c r="E2278" s="58">
        <f>IF($H2278="","",IFERROR(MID($H2278&amp;" ",FIND("|",SUBSTITUTE($H2278&amp;" "," ","|",3))+1,FIND("|",SUBSTITUTE($H2278&amp;" "," ","|",4))-FIND("|",SUBSTITUTE($H2278&amp;" "," ","|",3))-1),""))</f>
        <v/>
      </c>
      <c r="F2278" s="59">
        <f>IF($H2278="","",IFERROR(VALUE(IFERROR(MID($H2278&amp;" ",FIND("|",SUBSTITUTE($H2278&amp;" "," ","|",4))+1,FIND("|",SUBSTITUTE($H2278&amp;" "," ","|",5))-FIND("|",SUBSTITUTE($H2278&amp;" "," ","|",4))-1),""))/86400+25569+9/24,""))</f>
        <v/>
      </c>
      <c r="G2278" s="58">
        <f>TRIM(SUBSTITUTE(SUBSTITUTE(SUBSTITUTE($A2278,CHAR(9)," ")," "," "),CHAR(13),""))</f>
        <v/>
      </c>
      <c r="H2278" s="58">
        <f>IF($G2278="","",IF(ISNUMBER(FIND(" ",$G2278)),$G2278,IFERROR(IF((LEN(SUBSTITUTE(SUBSTITUTE($G2278,"-"," ",LEN($G2278)-LEN(SUBSTITUTE($G2278,"-",""))),"-"," ",LEN($G2278)-LEN(SUBSTITUTE($G2278,"-",""))-1))-LEN(SUBSTITUTE(SUBSTITUTE(SUBSTITUTE($G2278,"-"," ",LEN($G2278)-LEN(SUBSTITUTE($G2278,"-",""))),"-"," ",LEN($G2278)-LEN(SUBSTITUTE($G2278,"-",""))-1),".","")))=0,SUBSTITUTE(SUBSTITUTE($G2278,"-"," ",LEN($G2278)-LEN(SUBSTITUTE($G2278,"-",""))),"-"," ",LEN($G2278)-LEN(SUBSTITUTE($G2278,"-",""))-1),SUBSTITUTE(SUBSTITUTE(SUBSTITUTE($G2278,"-"," ",LEN($G2278)-LEN(SUBSTITUTE($G2278,"-",""))),"-"," ",LEN($G2278)-LEN(SUBSTITUTE($G2278,"-",""))-1),"."," ",(LEN(SUBSTITUTE(SUBSTITUTE($G2278,"-"," ",LEN($G2278)-LEN(SUBSTITUTE($G2278,"-",""))),"-"," ",LEN($G2278)-LEN(SUBSTITUTE($G2278,"-",""))-1))-LEN(SUBSTITUTE(SUBSTITUTE(SUBSTITUTE($G2278,"-"," ",LEN($G2278)-LEN(SUBSTITUTE($G2278,"-",""))),"-"," ",LEN($G2278)-LEN(SUBSTITUTE($G2278,"-",""))-1),".",""))))),$G2278)))</f>
        <v/>
      </c>
    </row>
    <row r="2279">
      <c r="A2279" s="58" t="n"/>
      <c r="B2279" s="58">
        <f>IF($H2279="","",LEFT($H2279,FIND(" ",$H2279&amp;" ")-1))</f>
        <v/>
      </c>
      <c r="C2279" s="58">
        <f>IF($H2279="","",IFERROR(MID($H2279&amp;" ",FIND("|",SUBSTITUTE($H2279&amp;" "," ","|",1))+1,FIND("|",SUBSTITUTE($H2279&amp;" "," ","|",2))-FIND("|",SUBSTITUTE($H2279&amp;" "," ","|",1))-1),""))</f>
        <v/>
      </c>
      <c r="D2279" s="58">
        <f>IF($H2279="","",IFERROR(MID($H2279&amp;" ",FIND("|",SUBSTITUTE($H2279&amp;" "," ","|",2))+1,FIND("|",SUBSTITUTE($H2279&amp;" "," ","|",3))-FIND("|",SUBSTITUTE($H2279&amp;" "," ","|",2))-1),""))</f>
        <v/>
      </c>
      <c r="E2279" s="58">
        <f>IF($H2279="","",IFERROR(MID($H2279&amp;" ",FIND("|",SUBSTITUTE($H2279&amp;" "," ","|",3))+1,FIND("|",SUBSTITUTE($H2279&amp;" "," ","|",4))-FIND("|",SUBSTITUTE($H2279&amp;" "," ","|",3))-1),""))</f>
        <v/>
      </c>
      <c r="F2279" s="59">
        <f>IF($H2279="","",IFERROR(VALUE(IFERROR(MID($H2279&amp;" ",FIND("|",SUBSTITUTE($H2279&amp;" "," ","|",4))+1,FIND("|",SUBSTITUTE($H2279&amp;" "," ","|",5))-FIND("|",SUBSTITUTE($H2279&amp;" "," ","|",4))-1),""))/86400+25569+9/24,""))</f>
        <v/>
      </c>
      <c r="G2279" s="58">
        <f>TRIM(SUBSTITUTE(SUBSTITUTE(SUBSTITUTE($A2279,CHAR(9)," ")," "," "),CHAR(13),""))</f>
        <v/>
      </c>
      <c r="H2279" s="58">
        <f>IF($G2279="","",IF(ISNUMBER(FIND(" ",$G2279)),$G2279,IFERROR(IF((LEN(SUBSTITUTE(SUBSTITUTE($G2279,"-"," ",LEN($G2279)-LEN(SUBSTITUTE($G2279,"-",""))),"-"," ",LEN($G2279)-LEN(SUBSTITUTE($G2279,"-",""))-1))-LEN(SUBSTITUTE(SUBSTITUTE(SUBSTITUTE($G2279,"-"," ",LEN($G2279)-LEN(SUBSTITUTE($G2279,"-",""))),"-"," ",LEN($G2279)-LEN(SUBSTITUTE($G2279,"-",""))-1),".","")))=0,SUBSTITUTE(SUBSTITUTE($G2279,"-"," ",LEN($G2279)-LEN(SUBSTITUTE($G2279,"-",""))),"-"," ",LEN($G2279)-LEN(SUBSTITUTE($G2279,"-",""))-1),SUBSTITUTE(SUBSTITUTE(SUBSTITUTE($G2279,"-"," ",LEN($G2279)-LEN(SUBSTITUTE($G2279,"-",""))),"-"," ",LEN($G2279)-LEN(SUBSTITUTE($G2279,"-",""))-1),"."," ",(LEN(SUBSTITUTE(SUBSTITUTE($G2279,"-"," ",LEN($G2279)-LEN(SUBSTITUTE($G2279,"-",""))),"-"," ",LEN($G2279)-LEN(SUBSTITUTE($G2279,"-",""))-1))-LEN(SUBSTITUTE(SUBSTITUTE(SUBSTITUTE($G2279,"-"," ",LEN($G2279)-LEN(SUBSTITUTE($G2279,"-",""))),"-"," ",LEN($G2279)-LEN(SUBSTITUTE($G2279,"-",""))-1),".",""))))),$G2279)))</f>
        <v/>
      </c>
    </row>
    <row r="2280">
      <c r="A2280" s="58" t="n"/>
      <c r="B2280" s="58">
        <f>IF($H2280="","",LEFT($H2280,FIND(" ",$H2280&amp;" ")-1))</f>
        <v/>
      </c>
      <c r="C2280" s="58">
        <f>IF($H2280="","",IFERROR(MID($H2280&amp;" ",FIND("|",SUBSTITUTE($H2280&amp;" "," ","|",1))+1,FIND("|",SUBSTITUTE($H2280&amp;" "," ","|",2))-FIND("|",SUBSTITUTE($H2280&amp;" "," ","|",1))-1),""))</f>
        <v/>
      </c>
      <c r="D2280" s="58">
        <f>IF($H2280="","",IFERROR(MID($H2280&amp;" ",FIND("|",SUBSTITUTE($H2280&amp;" "," ","|",2))+1,FIND("|",SUBSTITUTE($H2280&amp;" "," ","|",3))-FIND("|",SUBSTITUTE($H2280&amp;" "," ","|",2))-1),""))</f>
        <v/>
      </c>
      <c r="E2280" s="58">
        <f>IF($H2280="","",IFERROR(MID($H2280&amp;" ",FIND("|",SUBSTITUTE($H2280&amp;" "," ","|",3))+1,FIND("|",SUBSTITUTE($H2280&amp;" "," ","|",4))-FIND("|",SUBSTITUTE($H2280&amp;" "," ","|",3))-1),""))</f>
        <v/>
      </c>
      <c r="F2280" s="59">
        <f>IF($H2280="","",IFERROR(VALUE(IFERROR(MID($H2280&amp;" ",FIND("|",SUBSTITUTE($H2280&amp;" "," ","|",4))+1,FIND("|",SUBSTITUTE($H2280&amp;" "," ","|",5))-FIND("|",SUBSTITUTE($H2280&amp;" "," ","|",4))-1),""))/86400+25569+9/24,""))</f>
        <v/>
      </c>
      <c r="G2280" s="58">
        <f>TRIM(SUBSTITUTE(SUBSTITUTE(SUBSTITUTE($A2280,CHAR(9)," ")," "," "),CHAR(13),""))</f>
        <v/>
      </c>
      <c r="H2280" s="58">
        <f>IF($G2280="","",IF(ISNUMBER(FIND(" ",$G2280)),$G2280,IFERROR(IF((LEN(SUBSTITUTE(SUBSTITUTE($G2280,"-"," ",LEN($G2280)-LEN(SUBSTITUTE($G2280,"-",""))),"-"," ",LEN($G2280)-LEN(SUBSTITUTE($G2280,"-",""))-1))-LEN(SUBSTITUTE(SUBSTITUTE(SUBSTITUTE($G2280,"-"," ",LEN($G2280)-LEN(SUBSTITUTE($G2280,"-",""))),"-"," ",LEN($G2280)-LEN(SUBSTITUTE($G2280,"-",""))-1),".","")))=0,SUBSTITUTE(SUBSTITUTE($G2280,"-"," ",LEN($G2280)-LEN(SUBSTITUTE($G2280,"-",""))),"-"," ",LEN($G2280)-LEN(SUBSTITUTE($G2280,"-",""))-1),SUBSTITUTE(SUBSTITUTE(SUBSTITUTE($G2280,"-"," ",LEN($G2280)-LEN(SUBSTITUTE($G2280,"-",""))),"-"," ",LEN($G2280)-LEN(SUBSTITUTE($G2280,"-",""))-1),"."," ",(LEN(SUBSTITUTE(SUBSTITUTE($G2280,"-"," ",LEN($G2280)-LEN(SUBSTITUTE($G2280,"-",""))),"-"," ",LEN($G2280)-LEN(SUBSTITUTE($G2280,"-",""))-1))-LEN(SUBSTITUTE(SUBSTITUTE(SUBSTITUTE($G2280,"-"," ",LEN($G2280)-LEN(SUBSTITUTE($G2280,"-",""))),"-"," ",LEN($G2280)-LEN(SUBSTITUTE($G2280,"-",""))-1),".",""))))),$G2280)))</f>
        <v/>
      </c>
    </row>
    <row r="2281">
      <c r="A2281" s="58" t="n"/>
      <c r="B2281" s="58">
        <f>IF($H2281="","",LEFT($H2281,FIND(" ",$H2281&amp;" ")-1))</f>
        <v/>
      </c>
      <c r="C2281" s="58">
        <f>IF($H2281="","",IFERROR(MID($H2281&amp;" ",FIND("|",SUBSTITUTE($H2281&amp;" "," ","|",1))+1,FIND("|",SUBSTITUTE($H2281&amp;" "," ","|",2))-FIND("|",SUBSTITUTE($H2281&amp;" "," ","|",1))-1),""))</f>
        <v/>
      </c>
      <c r="D2281" s="58">
        <f>IF($H2281="","",IFERROR(MID($H2281&amp;" ",FIND("|",SUBSTITUTE($H2281&amp;" "," ","|",2))+1,FIND("|",SUBSTITUTE($H2281&amp;" "," ","|",3))-FIND("|",SUBSTITUTE($H2281&amp;" "," ","|",2))-1),""))</f>
        <v/>
      </c>
      <c r="E2281" s="58">
        <f>IF($H2281="","",IFERROR(MID($H2281&amp;" ",FIND("|",SUBSTITUTE($H2281&amp;" "," ","|",3))+1,FIND("|",SUBSTITUTE($H2281&amp;" "," ","|",4))-FIND("|",SUBSTITUTE($H2281&amp;" "," ","|",3))-1),""))</f>
        <v/>
      </c>
      <c r="F2281" s="59">
        <f>IF($H2281="","",IFERROR(VALUE(IFERROR(MID($H2281&amp;" ",FIND("|",SUBSTITUTE($H2281&amp;" "," ","|",4))+1,FIND("|",SUBSTITUTE($H2281&amp;" "," ","|",5))-FIND("|",SUBSTITUTE($H2281&amp;" "," ","|",4))-1),""))/86400+25569+9/24,""))</f>
        <v/>
      </c>
      <c r="G2281" s="58">
        <f>TRIM(SUBSTITUTE(SUBSTITUTE(SUBSTITUTE($A2281,CHAR(9)," ")," "," "),CHAR(13),""))</f>
        <v/>
      </c>
      <c r="H2281" s="58">
        <f>IF($G2281="","",IF(ISNUMBER(FIND(" ",$G2281)),$G2281,IFERROR(IF((LEN(SUBSTITUTE(SUBSTITUTE($G2281,"-"," ",LEN($G2281)-LEN(SUBSTITUTE($G2281,"-",""))),"-"," ",LEN($G2281)-LEN(SUBSTITUTE($G2281,"-",""))-1))-LEN(SUBSTITUTE(SUBSTITUTE(SUBSTITUTE($G2281,"-"," ",LEN($G2281)-LEN(SUBSTITUTE($G2281,"-",""))),"-"," ",LEN($G2281)-LEN(SUBSTITUTE($G2281,"-",""))-1),".","")))=0,SUBSTITUTE(SUBSTITUTE($G2281,"-"," ",LEN($G2281)-LEN(SUBSTITUTE($G2281,"-",""))),"-"," ",LEN($G2281)-LEN(SUBSTITUTE($G2281,"-",""))-1),SUBSTITUTE(SUBSTITUTE(SUBSTITUTE($G2281,"-"," ",LEN($G2281)-LEN(SUBSTITUTE($G2281,"-",""))),"-"," ",LEN($G2281)-LEN(SUBSTITUTE($G2281,"-",""))-1),"."," ",(LEN(SUBSTITUTE(SUBSTITUTE($G2281,"-"," ",LEN($G2281)-LEN(SUBSTITUTE($G2281,"-",""))),"-"," ",LEN($G2281)-LEN(SUBSTITUTE($G2281,"-",""))-1))-LEN(SUBSTITUTE(SUBSTITUTE(SUBSTITUTE($G2281,"-"," ",LEN($G2281)-LEN(SUBSTITUTE($G2281,"-",""))),"-"," ",LEN($G2281)-LEN(SUBSTITUTE($G2281,"-",""))-1),".",""))))),$G2281)))</f>
        <v/>
      </c>
    </row>
    <row r="2282">
      <c r="A2282" s="58" t="n"/>
      <c r="B2282" s="58">
        <f>IF($H2282="","",LEFT($H2282,FIND(" ",$H2282&amp;" ")-1))</f>
        <v/>
      </c>
      <c r="C2282" s="58">
        <f>IF($H2282="","",IFERROR(MID($H2282&amp;" ",FIND("|",SUBSTITUTE($H2282&amp;" "," ","|",1))+1,FIND("|",SUBSTITUTE($H2282&amp;" "," ","|",2))-FIND("|",SUBSTITUTE($H2282&amp;" "," ","|",1))-1),""))</f>
        <v/>
      </c>
      <c r="D2282" s="58">
        <f>IF($H2282="","",IFERROR(MID($H2282&amp;" ",FIND("|",SUBSTITUTE($H2282&amp;" "," ","|",2))+1,FIND("|",SUBSTITUTE($H2282&amp;" "," ","|",3))-FIND("|",SUBSTITUTE($H2282&amp;" "," ","|",2))-1),""))</f>
        <v/>
      </c>
      <c r="E2282" s="58">
        <f>IF($H2282="","",IFERROR(MID($H2282&amp;" ",FIND("|",SUBSTITUTE($H2282&amp;" "," ","|",3))+1,FIND("|",SUBSTITUTE($H2282&amp;" "," ","|",4))-FIND("|",SUBSTITUTE($H2282&amp;" "," ","|",3))-1),""))</f>
        <v/>
      </c>
      <c r="F2282" s="59">
        <f>IF($H2282="","",IFERROR(VALUE(IFERROR(MID($H2282&amp;" ",FIND("|",SUBSTITUTE($H2282&amp;" "," ","|",4))+1,FIND("|",SUBSTITUTE($H2282&amp;" "," ","|",5))-FIND("|",SUBSTITUTE($H2282&amp;" "," ","|",4))-1),""))/86400+25569+9/24,""))</f>
        <v/>
      </c>
      <c r="G2282" s="58">
        <f>TRIM(SUBSTITUTE(SUBSTITUTE(SUBSTITUTE($A2282,CHAR(9)," ")," "," "),CHAR(13),""))</f>
        <v/>
      </c>
      <c r="H2282" s="58">
        <f>IF($G2282="","",IF(ISNUMBER(FIND(" ",$G2282)),$G2282,IFERROR(IF((LEN(SUBSTITUTE(SUBSTITUTE($G2282,"-"," ",LEN($G2282)-LEN(SUBSTITUTE($G2282,"-",""))),"-"," ",LEN($G2282)-LEN(SUBSTITUTE($G2282,"-",""))-1))-LEN(SUBSTITUTE(SUBSTITUTE(SUBSTITUTE($G2282,"-"," ",LEN($G2282)-LEN(SUBSTITUTE($G2282,"-",""))),"-"," ",LEN($G2282)-LEN(SUBSTITUTE($G2282,"-",""))-1),".","")))=0,SUBSTITUTE(SUBSTITUTE($G2282,"-"," ",LEN($G2282)-LEN(SUBSTITUTE($G2282,"-",""))),"-"," ",LEN($G2282)-LEN(SUBSTITUTE($G2282,"-",""))-1),SUBSTITUTE(SUBSTITUTE(SUBSTITUTE($G2282,"-"," ",LEN($G2282)-LEN(SUBSTITUTE($G2282,"-",""))),"-"," ",LEN($G2282)-LEN(SUBSTITUTE($G2282,"-",""))-1),"."," ",(LEN(SUBSTITUTE(SUBSTITUTE($G2282,"-"," ",LEN($G2282)-LEN(SUBSTITUTE($G2282,"-",""))),"-"," ",LEN($G2282)-LEN(SUBSTITUTE($G2282,"-",""))-1))-LEN(SUBSTITUTE(SUBSTITUTE(SUBSTITUTE($G2282,"-"," ",LEN($G2282)-LEN(SUBSTITUTE($G2282,"-",""))),"-"," ",LEN($G2282)-LEN(SUBSTITUTE($G2282,"-",""))-1),".",""))))),$G2282)))</f>
        <v/>
      </c>
    </row>
    <row r="2283">
      <c r="A2283" s="58" t="n"/>
      <c r="B2283" s="58">
        <f>IF($H2283="","",LEFT($H2283,FIND(" ",$H2283&amp;" ")-1))</f>
        <v/>
      </c>
      <c r="C2283" s="58">
        <f>IF($H2283="","",IFERROR(MID($H2283&amp;" ",FIND("|",SUBSTITUTE($H2283&amp;" "," ","|",1))+1,FIND("|",SUBSTITUTE($H2283&amp;" "," ","|",2))-FIND("|",SUBSTITUTE($H2283&amp;" "," ","|",1))-1),""))</f>
        <v/>
      </c>
      <c r="D2283" s="58">
        <f>IF($H2283="","",IFERROR(MID($H2283&amp;" ",FIND("|",SUBSTITUTE($H2283&amp;" "," ","|",2))+1,FIND("|",SUBSTITUTE($H2283&amp;" "," ","|",3))-FIND("|",SUBSTITUTE($H2283&amp;" "," ","|",2))-1),""))</f>
        <v/>
      </c>
      <c r="E2283" s="58">
        <f>IF($H2283="","",IFERROR(MID($H2283&amp;" ",FIND("|",SUBSTITUTE($H2283&amp;" "," ","|",3))+1,FIND("|",SUBSTITUTE($H2283&amp;" "," ","|",4))-FIND("|",SUBSTITUTE($H2283&amp;" "," ","|",3))-1),""))</f>
        <v/>
      </c>
      <c r="F2283" s="59">
        <f>IF($H2283="","",IFERROR(VALUE(IFERROR(MID($H2283&amp;" ",FIND("|",SUBSTITUTE($H2283&amp;" "," ","|",4))+1,FIND("|",SUBSTITUTE($H2283&amp;" "," ","|",5))-FIND("|",SUBSTITUTE($H2283&amp;" "," ","|",4))-1),""))/86400+25569+9/24,""))</f>
        <v/>
      </c>
      <c r="G2283" s="58">
        <f>TRIM(SUBSTITUTE(SUBSTITUTE(SUBSTITUTE($A2283,CHAR(9)," ")," "," "),CHAR(13),""))</f>
        <v/>
      </c>
      <c r="H2283" s="58">
        <f>IF($G2283="","",IF(ISNUMBER(FIND(" ",$G2283)),$G2283,IFERROR(IF((LEN(SUBSTITUTE(SUBSTITUTE($G2283,"-"," ",LEN($G2283)-LEN(SUBSTITUTE($G2283,"-",""))),"-"," ",LEN($G2283)-LEN(SUBSTITUTE($G2283,"-",""))-1))-LEN(SUBSTITUTE(SUBSTITUTE(SUBSTITUTE($G2283,"-"," ",LEN($G2283)-LEN(SUBSTITUTE($G2283,"-",""))),"-"," ",LEN($G2283)-LEN(SUBSTITUTE($G2283,"-",""))-1),".","")))=0,SUBSTITUTE(SUBSTITUTE($G2283,"-"," ",LEN($G2283)-LEN(SUBSTITUTE($G2283,"-",""))),"-"," ",LEN($G2283)-LEN(SUBSTITUTE($G2283,"-",""))-1),SUBSTITUTE(SUBSTITUTE(SUBSTITUTE($G2283,"-"," ",LEN($G2283)-LEN(SUBSTITUTE($G2283,"-",""))),"-"," ",LEN($G2283)-LEN(SUBSTITUTE($G2283,"-",""))-1),"."," ",(LEN(SUBSTITUTE(SUBSTITUTE($G2283,"-"," ",LEN($G2283)-LEN(SUBSTITUTE($G2283,"-",""))),"-"," ",LEN($G2283)-LEN(SUBSTITUTE($G2283,"-",""))-1))-LEN(SUBSTITUTE(SUBSTITUTE(SUBSTITUTE($G2283,"-"," ",LEN($G2283)-LEN(SUBSTITUTE($G2283,"-",""))),"-"," ",LEN($G2283)-LEN(SUBSTITUTE($G2283,"-",""))-1),".",""))))),$G2283)))</f>
        <v/>
      </c>
    </row>
    <row r="2284">
      <c r="A2284" s="58" t="n"/>
      <c r="B2284" s="58">
        <f>IF($H2284="","",LEFT($H2284,FIND(" ",$H2284&amp;" ")-1))</f>
        <v/>
      </c>
      <c r="C2284" s="58">
        <f>IF($H2284="","",IFERROR(MID($H2284&amp;" ",FIND("|",SUBSTITUTE($H2284&amp;" "," ","|",1))+1,FIND("|",SUBSTITUTE($H2284&amp;" "," ","|",2))-FIND("|",SUBSTITUTE($H2284&amp;" "," ","|",1))-1),""))</f>
        <v/>
      </c>
      <c r="D2284" s="58">
        <f>IF($H2284="","",IFERROR(MID($H2284&amp;" ",FIND("|",SUBSTITUTE($H2284&amp;" "," ","|",2))+1,FIND("|",SUBSTITUTE($H2284&amp;" "," ","|",3))-FIND("|",SUBSTITUTE($H2284&amp;" "," ","|",2))-1),""))</f>
        <v/>
      </c>
      <c r="E2284" s="58">
        <f>IF($H2284="","",IFERROR(MID($H2284&amp;" ",FIND("|",SUBSTITUTE($H2284&amp;" "," ","|",3))+1,FIND("|",SUBSTITUTE($H2284&amp;" "," ","|",4))-FIND("|",SUBSTITUTE($H2284&amp;" "," ","|",3))-1),""))</f>
        <v/>
      </c>
      <c r="F2284" s="59">
        <f>IF($H2284="","",IFERROR(VALUE(IFERROR(MID($H2284&amp;" ",FIND("|",SUBSTITUTE($H2284&amp;" "," ","|",4))+1,FIND("|",SUBSTITUTE($H2284&amp;" "," ","|",5))-FIND("|",SUBSTITUTE($H2284&amp;" "," ","|",4))-1),""))/86400+25569+9/24,""))</f>
        <v/>
      </c>
      <c r="G2284" s="58">
        <f>TRIM(SUBSTITUTE(SUBSTITUTE(SUBSTITUTE($A2284,CHAR(9)," ")," "," "),CHAR(13),""))</f>
        <v/>
      </c>
      <c r="H2284" s="58">
        <f>IF($G2284="","",IF(ISNUMBER(FIND(" ",$G2284)),$G2284,IFERROR(IF((LEN(SUBSTITUTE(SUBSTITUTE($G2284,"-"," ",LEN($G2284)-LEN(SUBSTITUTE($G2284,"-",""))),"-"," ",LEN($G2284)-LEN(SUBSTITUTE($G2284,"-",""))-1))-LEN(SUBSTITUTE(SUBSTITUTE(SUBSTITUTE($G2284,"-"," ",LEN($G2284)-LEN(SUBSTITUTE($G2284,"-",""))),"-"," ",LEN($G2284)-LEN(SUBSTITUTE($G2284,"-",""))-1),".","")))=0,SUBSTITUTE(SUBSTITUTE($G2284,"-"," ",LEN($G2284)-LEN(SUBSTITUTE($G2284,"-",""))),"-"," ",LEN($G2284)-LEN(SUBSTITUTE($G2284,"-",""))-1),SUBSTITUTE(SUBSTITUTE(SUBSTITUTE($G2284,"-"," ",LEN($G2284)-LEN(SUBSTITUTE($G2284,"-",""))),"-"," ",LEN($G2284)-LEN(SUBSTITUTE($G2284,"-",""))-1),"."," ",(LEN(SUBSTITUTE(SUBSTITUTE($G2284,"-"," ",LEN($G2284)-LEN(SUBSTITUTE($G2284,"-",""))),"-"," ",LEN($G2284)-LEN(SUBSTITUTE($G2284,"-",""))-1))-LEN(SUBSTITUTE(SUBSTITUTE(SUBSTITUTE($G2284,"-"," ",LEN($G2284)-LEN(SUBSTITUTE($G2284,"-",""))),"-"," ",LEN($G2284)-LEN(SUBSTITUTE($G2284,"-",""))-1),".",""))))),$G2284)))</f>
        <v/>
      </c>
    </row>
    <row r="2285">
      <c r="A2285" s="58" t="n"/>
      <c r="B2285" s="58">
        <f>IF($H2285="","",LEFT($H2285,FIND(" ",$H2285&amp;" ")-1))</f>
        <v/>
      </c>
      <c r="C2285" s="58">
        <f>IF($H2285="","",IFERROR(MID($H2285&amp;" ",FIND("|",SUBSTITUTE($H2285&amp;" "," ","|",1))+1,FIND("|",SUBSTITUTE($H2285&amp;" "," ","|",2))-FIND("|",SUBSTITUTE($H2285&amp;" "," ","|",1))-1),""))</f>
        <v/>
      </c>
      <c r="D2285" s="58">
        <f>IF($H2285="","",IFERROR(MID($H2285&amp;" ",FIND("|",SUBSTITUTE($H2285&amp;" "," ","|",2))+1,FIND("|",SUBSTITUTE($H2285&amp;" "," ","|",3))-FIND("|",SUBSTITUTE($H2285&amp;" "," ","|",2))-1),""))</f>
        <v/>
      </c>
      <c r="E2285" s="58">
        <f>IF($H2285="","",IFERROR(MID($H2285&amp;" ",FIND("|",SUBSTITUTE($H2285&amp;" "," ","|",3))+1,FIND("|",SUBSTITUTE($H2285&amp;" "," ","|",4))-FIND("|",SUBSTITUTE($H2285&amp;" "," ","|",3))-1),""))</f>
        <v/>
      </c>
      <c r="F2285" s="59">
        <f>IF($H2285="","",IFERROR(VALUE(IFERROR(MID($H2285&amp;" ",FIND("|",SUBSTITUTE($H2285&amp;" "," ","|",4))+1,FIND("|",SUBSTITUTE($H2285&amp;" "," ","|",5))-FIND("|",SUBSTITUTE($H2285&amp;" "," ","|",4))-1),""))/86400+25569+9/24,""))</f>
        <v/>
      </c>
      <c r="G2285" s="58">
        <f>TRIM(SUBSTITUTE(SUBSTITUTE(SUBSTITUTE($A2285,CHAR(9)," ")," "," "),CHAR(13),""))</f>
        <v/>
      </c>
      <c r="H2285" s="58">
        <f>IF($G2285="","",IF(ISNUMBER(FIND(" ",$G2285)),$G2285,IFERROR(IF((LEN(SUBSTITUTE(SUBSTITUTE($G2285,"-"," ",LEN($G2285)-LEN(SUBSTITUTE($G2285,"-",""))),"-"," ",LEN($G2285)-LEN(SUBSTITUTE($G2285,"-",""))-1))-LEN(SUBSTITUTE(SUBSTITUTE(SUBSTITUTE($G2285,"-"," ",LEN($G2285)-LEN(SUBSTITUTE($G2285,"-",""))),"-"," ",LEN($G2285)-LEN(SUBSTITUTE($G2285,"-",""))-1),".","")))=0,SUBSTITUTE(SUBSTITUTE($G2285,"-"," ",LEN($G2285)-LEN(SUBSTITUTE($G2285,"-",""))),"-"," ",LEN($G2285)-LEN(SUBSTITUTE($G2285,"-",""))-1),SUBSTITUTE(SUBSTITUTE(SUBSTITUTE($G2285,"-"," ",LEN($G2285)-LEN(SUBSTITUTE($G2285,"-",""))),"-"," ",LEN($G2285)-LEN(SUBSTITUTE($G2285,"-",""))-1),"."," ",(LEN(SUBSTITUTE(SUBSTITUTE($G2285,"-"," ",LEN($G2285)-LEN(SUBSTITUTE($G2285,"-",""))),"-"," ",LEN($G2285)-LEN(SUBSTITUTE($G2285,"-",""))-1))-LEN(SUBSTITUTE(SUBSTITUTE(SUBSTITUTE($G2285,"-"," ",LEN($G2285)-LEN(SUBSTITUTE($G2285,"-",""))),"-"," ",LEN($G2285)-LEN(SUBSTITUTE($G2285,"-",""))-1),".",""))))),$G2285)))</f>
        <v/>
      </c>
    </row>
    <row r="2286">
      <c r="A2286" s="58" t="n"/>
      <c r="B2286" s="58">
        <f>IF($H2286="","",LEFT($H2286,FIND(" ",$H2286&amp;" ")-1))</f>
        <v/>
      </c>
      <c r="C2286" s="58">
        <f>IF($H2286="","",IFERROR(MID($H2286&amp;" ",FIND("|",SUBSTITUTE($H2286&amp;" "," ","|",1))+1,FIND("|",SUBSTITUTE($H2286&amp;" "," ","|",2))-FIND("|",SUBSTITUTE($H2286&amp;" "," ","|",1))-1),""))</f>
        <v/>
      </c>
      <c r="D2286" s="58">
        <f>IF($H2286="","",IFERROR(MID($H2286&amp;" ",FIND("|",SUBSTITUTE($H2286&amp;" "," ","|",2))+1,FIND("|",SUBSTITUTE($H2286&amp;" "," ","|",3))-FIND("|",SUBSTITUTE($H2286&amp;" "," ","|",2))-1),""))</f>
        <v/>
      </c>
      <c r="E2286" s="58">
        <f>IF($H2286="","",IFERROR(MID($H2286&amp;" ",FIND("|",SUBSTITUTE($H2286&amp;" "," ","|",3))+1,FIND("|",SUBSTITUTE($H2286&amp;" "," ","|",4))-FIND("|",SUBSTITUTE($H2286&amp;" "," ","|",3))-1),""))</f>
        <v/>
      </c>
      <c r="F2286" s="59">
        <f>IF($H2286="","",IFERROR(VALUE(IFERROR(MID($H2286&amp;" ",FIND("|",SUBSTITUTE($H2286&amp;" "," ","|",4))+1,FIND("|",SUBSTITUTE($H2286&amp;" "," ","|",5))-FIND("|",SUBSTITUTE($H2286&amp;" "," ","|",4))-1),""))/86400+25569+9/24,""))</f>
        <v/>
      </c>
      <c r="G2286" s="58">
        <f>TRIM(SUBSTITUTE(SUBSTITUTE(SUBSTITUTE($A2286,CHAR(9)," ")," "," "),CHAR(13),""))</f>
        <v/>
      </c>
      <c r="H2286" s="58">
        <f>IF($G2286="","",IF(ISNUMBER(FIND(" ",$G2286)),$G2286,IFERROR(IF((LEN(SUBSTITUTE(SUBSTITUTE($G2286,"-"," ",LEN($G2286)-LEN(SUBSTITUTE($G2286,"-",""))),"-"," ",LEN($G2286)-LEN(SUBSTITUTE($G2286,"-",""))-1))-LEN(SUBSTITUTE(SUBSTITUTE(SUBSTITUTE($G2286,"-"," ",LEN($G2286)-LEN(SUBSTITUTE($G2286,"-",""))),"-"," ",LEN($G2286)-LEN(SUBSTITUTE($G2286,"-",""))-1),".","")))=0,SUBSTITUTE(SUBSTITUTE($G2286,"-"," ",LEN($G2286)-LEN(SUBSTITUTE($G2286,"-",""))),"-"," ",LEN($G2286)-LEN(SUBSTITUTE($G2286,"-",""))-1),SUBSTITUTE(SUBSTITUTE(SUBSTITUTE($G2286,"-"," ",LEN($G2286)-LEN(SUBSTITUTE($G2286,"-",""))),"-"," ",LEN($G2286)-LEN(SUBSTITUTE($G2286,"-",""))-1),"."," ",(LEN(SUBSTITUTE(SUBSTITUTE($G2286,"-"," ",LEN($G2286)-LEN(SUBSTITUTE($G2286,"-",""))),"-"," ",LEN($G2286)-LEN(SUBSTITUTE($G2286,"-",""))-1))-LEN(SUBSTITUTE(SUBSTITUTE(SUBSTITUTE($G2286,"-"," ",LEN($G2286)-LEN(SUBSTITUTE($G2286,"-",""))),"-"," ",LEN($G2286)-LEN(SUBSTITUTE($G2286,"-",""))-1),".",""))))),$G2286)))</f>
        <v/>
      </c>
    </row>
    <row r="2287">
      <c r="A2287" s="58" t="n"/>
      <c r="B2287" s="58">
        <f>IF($H2287="","",LEFT($H2287,FIND(" ",$H2287&amp;" ")-1))</f>
        <v/>
      </c>
      <c r="C2287" s="58">
        <f>IF($H2287="","",IFERROR(MID($H2287&amp;" ",FIND("|",SUBSTITUTE($H2287&amp;" "," ","|",1))+1,FIND("|",SUBSTITUTE($H2287&amp;" "," ","|",2))-FIND("|",SUBSTITUTE($H2287&amp;" "," ","|",1))-1),""))</f>
        <v/>
      </c>
      <c r="D2287" s="58">
        <f>IF($H2287="","",IFERROR(MID($H2287&amp;" ",FIND("|",SUBSTITUTE($H2287&amp;" "," ","|",2))+1,FIND("|",SUBSTITUTE($H2287&amp;" "," ","|",3))-FIND("|",SUBSTITUTE($H2287&amp;" "," ","|",2))-1),""))</f>
        <v/>
      </c>
      <c r="E2287" s="58">
        <f>IF($H2287="","",IFERROR(MID($H2287&amp;" ",FIND("|",SUBSTITUTE($H2287&amp;" "," ","|",3))+1,FIND("|",SUBSTITUTE($H2287&amp;" "," ","|",4))-FIND("|",SUBSTITUTE($H2287&amp;" "," ","|",3))-1),""))</f>
        <v/>
      </c>
      <c r="F2287" s="59">
        <f>IF($H2287="","",IFERROR(VALUE(IFERROR(MID($H2287&amp;" ",FIND("|",SUBSTITUTE($H2287&amp;" "," ","|",4))+1,FIND("|",SUBSTITUTE($H2287&amp;" "," ","|",5))-FIND("|",SUBSTITUTE($H2287&amp;" "," ","|",4))-1),""))/86400+25569+9/24,""))</f>
        <v/>
      </c>
      <c r="G2287" s="58">
        <f>TRIM(SUBSTITUTE(SUBSTITUTE(SUBSTITUTE($A2287,CHAR(9)," ")," "," "),CHAR(13),""))</f>
        <v/>
      </c>
      <c r="H2287" s="58">
        <f>IF($G2287="","",IF(ISNUMBER(FIND(" ",$G2287)),$G2287,IFERROR(IF((LEN(SUBSTITUTE(SUBSTITUTE($G2287,"-"," ",LEN($G2287)-LEN(SUBSTITUTE($G2287,"-",""))),"-"," ",LEN($G2287)-LEN(SUBSTITUTE($G2287,"-",""))-1))-LEN(SUBSTITUTE(SUBSTITUTE(SUBSTITUTE($G2287,"-"," ",LEN($G2287)-LEN(SUBSTITUTE($G2287,"-",""))),"-"," ",LEN($G2287)-LEN(SUBSTITUTE($G2287,"-",""))-1),".","")))=0,SUBSTITUTE(SUBSTITUTE($G2287,"-"," ",LEN($G2287)-LEN(SUBSTITUTE($G2287,"-",""))),"-"," ",LEN($G2287)-LEN(SUBSTITUTE($G2287,"-",""))-1),SUBSTITUTE(SUBSTITUTE(SUBSTITUTE($G2287,"-"," ",LEN($G2287)-LEN(SUBSTITUTE($G2287,"-",""))),"-"," ",LEN($G2287)-LEN(SUBSTITUTE($G2287,"-",""))-1),"."," ",(LEN(SUBSTITUTE(SUBSTITUTE($G2287,"-"," ",LEN($G2287)-LEN(SUBSTITUTE($G2287,"-",""))),"-"," ",LEN($G2287)-LEN(SUBSTITUTE($G2287,"-",""))-1))-LEN(SUBSTITUTE(SUBSTITUTE(SUBSTITUTE($G2287,"-"," ",LEN($G2287)-LEN(SUBSTITUTE($G2287,"-",""))),"-"," ",LEN($G2287)-LEN(SUBSTITUTE($G2287,"-",""))-1),".",""))))),$G2287)))</f>
        <v/>
      </c>
    </row>
    <row r="2288">
      <c r="A2288" s="58" t="n"/>
      <c r="B2288" s="58">
        <f>IF($H2288="","",LEFT($H2288,FIND(" ",$H2288&amp;" ")-1))</f>
        <v/>
      </c>
      <c r="C2288" s="58">
        <f>IF($H2288="","",IFERROR(MID($H2288&amp;" ",FIND("|",SUBSTITUTE($H2288&amp;" "," ","|",1))+1,FIND("|",SUBSTITUTE($H2288&amp;" "," ","|",2))-FIND("|",SUBSTITUTE($H2288&amp;" "," ","|",1))-1),""))</f>
        <v/>
      </c>
      <c r="D2288" s="58">
        <f>IF($H2288="","",IFERROR(MID($H2288&amp;" ",FIND("|",SUBSTITUTE($H2288&amp;" "," ","|",2))+1,FIND("|",SUBSTITUTE($H2288&amp;" "," ","|",3))-FIND("|",SUBSTITUTE($H2288&amp;" "," ","|",2))-1),""))</f>
        <v/>
      </c>
      <c r="E2288" s="58">
        <f>IF($H2288="","",IFERROR(MID($H2288&amp;" ",FIND("|",SUBSTITUTE($H2288&amp;" "," ","|",3))+1,FIND("|",SUBSTITUTE($H2288&amp;" "," ","|",4))-FIND("|",SUBSTITUTE($H2288&amp;" "," ","|",3))-1),""))</f>
        <v/>
      </c>
      <c r="F2288" s="59">
        <f>IF($H2288="","",IFERROR(VALUE(IFERROR(MID($H2288&amp;" ",FIND("|",SUBSTITUTE($H2288&amp;" "," ","|",4))+1,FIND("|",SUBSTITUTE($H2288&amp;" "," ","|",5))-FIND("|",SUBSTITUTE($H2288&amp;" "," ","|",4))-1),""))/86400+25569+9/24,""))</f>
        <v/>
      </c>
      <c r="G2288" s="58">
        <f>TRIM(SUBSTITUTE(SUBSTITUTE(SUBSTITUTE($A2288,CHAR(9)," ")," "," "),CHAR(13),""))</f>
        <v/>
      </c>
      <c r="H2288" s="58">
        <f>IF($G2288="","",IF(ISNUMBER(FIND(" ",$G2288)),$G2288,IFERROR(IF((LEN(SUBSTITUTE(SUBSTITUTE($G2288,"-"," ",LEN($G2288)-LEN(SUBSTITUTE($G2288,"-",""))),"-"," ",LEN($G2288)-LEN(SUBSTITUTE($G2288,"-",""))-1))-LEN(SUBSTITUTE(SUBSTITUTE(SUBSTITUTE($G2288,"-"," ",LEN($G2288)-LEN(SUBSTITUTE($G2288,"-",""))),"-"," ",LEN($G2288)-LEN(SUBSTITUTE($G2288,"-",""))-1),".","")))=0,SUBSTITUTE(SUBSTITUTE($G2288,"-"," ",LEN($G2288)-LEN(SUBSTITUTE($G2288,"-",""))),"-"," ",LEN($G2288)-LEN(SUBSTITUTE($G2288,"-",""))-1),SUBSTITUTE(SUBSTITUTE(SUBSTITUTE($G2288,"-"," ",LEN($G2288)-LEN(SUBSTITUTE($G2288,"-",""))),"-"," ",LEN($G2288)-LEN(SUBSTITUTE($G2288,"-",""))-1),"."," ",(LEN(SUBSTITUTE(SUBSTITUTE($G2288,"-"," ",LEN($G2288)-LEN(SUBSTITUTE($G2288,"-",""))),"-"," ",LEN($G2288)-LEN(SUBSTITUTE($G2288,"-",""))-1))-LEN(SUBSTITUTE(SUBSTITUTE(SUBSTITUTE($G2288,"-"," ",LEN($G2288)-LEN(SUBSTITUTE($G2288,"-",""))),"-"," ",LEN($G2288)-LEN(SUBSTITUTE($G2288,"-",""))-1),".",""))))),$G2288)))</f>
        <v/>
      </c>
    </row>
    <row r="2289">
      <c r="A2289" s="58" t="n"/>
      <c r="B2289" s="58">
        <f>IF($H2289="","",LEFT($H2289,FIND(" ",$H2289&amp;" ")-1))</f>
        <v/>
      </c>
      <c r="C2289" s="58">
        <f>IF($H2289="","",IFERROR(MID($H2289&amp;" ",FIND("|",SUBSTITUTE($H2289&amp;" "," ","|",1))+1,FIND("|",SUBSTITUTE($H2289&amp;" "," ","|",2))-FIND("|",SUBSTITUTE($H2289&amp;" "," ","|",1))-1),""))</f>
        <v/>
      </c>
      <c r="D2289" s="58">
        <f>IF($H2289="","",IFERROR(MID($H2289&amp;" ",FIND("|",SUBSTITUTE($H2289&amp;" "," ","|",2))+1,FIND("|",SUBSTITUTE($H2289&amp;" "," ","|",3))-FIND("|",SUBSTITUTE($H2289&amp;" "," ","|",2))-1),""))</f>
        <v/>
      </c>
      <c r="E2289" s="58">
        <f>IF($H2289="","",IFERROR(MID($H2289&amp;" ",FIND("|",SUBSTITUTE($H2289&amp;" "," ","|",3))+1,FIND("|",SUBSTITUTE($H2289&amp;" "," ","|",4))-FIND("|",SUBSTITUTE($H2289&amp;" "," ","|",3))-1),""))</f>
        <v/>
      </c>
      <c r="F2289" s="59">
        <f>IF($H2289="","",IFERROR(VALUE(IFERROR(MID($H2289&amp;" ",FIND("|",SUBSTITUTE($H2289&amp;" "," ","|",4))+1,FIND("|",SUBSTITUTE($H2289&amp;" "," ","|",5))-FIND("|",SUBSTITUTE($H2289&amp;" "," ","|",4))-1),""))/86400+25569+9/24,""))</f>
        <v/>
      </c>
      <c r="G2289" s="58">
        <f>TRIM(SUBSTITUTE(SUBSTITUTE(SUBSTITUTE($A2289,CHAR(9)," ")," "," "),CHAR(13),""))</f>
        <v/>
      </c>
      <c r="H2289" s="58">
        <f>IF($G2289="","",IF(ISNUMBER(FIND(" ",$G2289)),$G2289,IFERROR(IF((LEN(SUBSTITUTE(SUBSTITUTE($G2289,"-"," ",LEN($G2289)-LEN(SUBSTITUTE($G2289,"-",""))),"-"," ",LEN($G2289)-LEN(SUBSTITUTE($G2289,"-",""))-1))-LEN(SUBSTITUTE(SUBSTITUTE(SUBSTITUTE($G2289,"-"," ",LEN($G2289)-LEN(SUBSTITUTE($G2289,"-",""))),"-"," ",LEN($G2289)-LEN(SUBSTITUTE($G2289,"-",""))-1),".","")))=0,SUBSTITUTE(SUBSTITUTE($G2289,"-"," ",LEN($G2289)-LEN(SUBSTITUTE($G2289,"-",""))),"-"," ",LEN($G2289)-LEN(SUBSTITUTE($G2289,"-",""))-1),SUBSTITUTE(SUBSTITUTE(SUBSTITUTE($G2289,"-"," ",LEN($G2289)-LEN(SUBSTITUTE($G2289,"-",""))),"-"," ",LEN($G2289)-LEN(SUBSTITUTE($G2289,"-",""))-1),"."," ",(LEN(SUBSTITUTE(SUBSTITUTE($G2289,"-"," ",LEN($G2289)-LEN(SUBSTITUTE($G2289,"-",""))),"-"," ",LEN($G2289)-LEN(SUBSTITUTE($G2289,"-",""))-1))-LEN(SUBSTITUTE(SUBSTITUTE(SUBSTITUTE($G2289,"-"," ",LEN($G2289)-LEN(SUBSTITUTE($G2289,"-",""))),"-"," ",LEN($G2289)-LEN(SUBSTITUTE($G2289,"-",""))-1),".",""))))),$G2289)))</f>
        <v/>
      </c>
    </row>
    <row r="2290">
      <c r="A2290" s="58" t="n"/>
      <c r="B2290" s="58">
        <f>IF($H2290="","",LEFT($H2290,FIND(" ",$H2290&amp;" ")-1))</f>
        <v/>
      </c>
      <c r="C2290" s="58">
        <f>IF($H2290="","",IFERROR(MID($H2290&amp;" ",FIND("|",SUBSTITUTE($H2290&amp;" "," ","|",1))+1,FIND("|",SUBSTITUTE($H2290&amp;" "," ","|",2))-FIND("|",SUBSTITUTE($H2290&amp;" "," ","|",1))-1),""))</f>
        <v/>
      </c>
      <c r="D2290" s="58">
        <f>IF($H2290="","",IFERROR(MID($H2290&amp;" ",FIND("|",SUBSTITUTE($H2290&amp;" "," ","|",2))+1,FIND("|",SUBSTITUTE($H2290&amp;" "," ","|",3))-FIND("|",SUBSTITUTE($H2290&amp;" "," ","|",2))-1),""))</f>
        <v/>
      </c>
      <c r="E2290" s="58">
        <f>IF($H2290="","",IFERROR(MID($H2290&amp;" ",FIND("|",SUBSTITUTE($H2290&amp;" "," ","|",3))+1,FIND("|",SUBSTITUTE($H2290&amp;" "," ","|",4))-FIND("|",SUBSTITUTE($H2290&amp;" "," ","|",3))-1),""))</f>
        <v/>
      </c>
      <c r="F2290" s="59">
        <f>IF($H2290="","",IFERROR(VALUE(IFERROR(MID($H2290&amp;" ",FIND("|",SUBSTITUTE($H2290&amp;" "," ","|",4))+1,FIND("|",SUBSTITUTE($H2290&amp;" "," ","|",5))-FIND("|",SUBSTITUTE($H2290&amp;" "," ","|",4))-1),""))/86400+25569+9/24,""))</f>
        <v/>
      </c>
      <c r="G2290" s="58">
        <f>TRIM(SUBSTITUTE(SUBSTITUTE(SUBSTITUTE($A2290,CHAR(9)," ")," "," "),CHAR(13),""))</f>
        <v/>
      </c>
      <c r="H2290" s="58">
        <f>IF($G2290="","",IF(ISNUMBER(FIND(" ",$G2290)),$G2290,IFERROR(IF((LEN(SUBSTITUTE(SUBSTITUTE($G2290,"-"," ",LEN($G2290)-LEN(SUBSTITUTE($G2290,"-",""))),"-"," ",LEN($G2290)-LEN(SUBSTITUTE($G2290,"-",""))-1))-LEN(SUBSTITUTE(SUBSTITUTE(SUBSTITUTE($G2290,"-"," ",LEN($G2290)-LEN(SUBSTITUTE($G2290,"-",""))),"-"," ",LEN($G2290)-LEN(SUBSTITUTE($G2290,"-",""))-1),".","")))=0,SUBSTITUTE(SUBSTITUTE($G2290,"-"," ",LEN($G2290)-LEN(SUBSTITUTE($G2290,"-",""))),"-"," ",LEN($G2290)-LEN(SUBSTITUTE($G2290,"-",""))-1),SUBSTITUTE(SUBSTITUTE(SUBSTITUTE($G2290,"-"," ",LEN($G2290)-LEN(SUBSTITUTE($G2290,"-",""))),"-"," ",LEN($G2290)-LEN(SUBSTITUTE($G2290,"-",""))-1),"."," ",(LEN(SUBSTITUTE(SUBSTITUTE($G2290,"-"," ",LEN($G2290)-LEN(SUBSTITUTE($G2290,"-",""))),"-"," ",LEN($G2290)-LEN(SUBSTITUTE($G2290,"-",""))-1))-LEN(SUBSTITUTE(SUBSTITUTE(SUBSTITUTE($G2290,"-"," ",LEN($G2290)-LEN(SUBSTITUTE($G2290,"-",""))),"-"," ",LEN($G2290)-LEN(SUBSTITUTE($G2290,"-",""))-1),".",""))))),$G2290)))</f>
        <v/>
      </c>
    </row>
    <row r="2291">
      <c r="A2291" s="58" t="n"/>
      <c r="B2291" s="58">
        <f>IF($H2291="","",LEFT($H2291,FIND(" ",$H2291&amp;" ")-1))</f>
        <v/>
      </c>
      <c r="C2291" s="58">
        <f>IF($H2291="","",IFERROR(MID($H2291&amp;" ",FIND("|",SUBSTITUTE($H2291&amp;" "," ","|",1))+1,FIND("|",SUBSTITUTE($H2291&amp;" "," ","|",2))-FIND("|",SUBSTITUTE($H2291&amp;" "," ","|",1))-1),""))</f>
        <v/>
      </c>
      <c r="D2291" s="58">
        <f>IF($H2291="","",IFERROR(MID($H2291&amp;" ",FIND("|",SUBSTITUTE($H2291&amp;" "," ","|",2))+1,FIND("|",SUBSTITUTE($H2291&amp;" "," ","|",3))-FIND("|",SUBSTITUTE($H2291&amp;" "," ","|",2))-1),""))</f>
        <v/>
      </c>
      <c r="E2291" s="58">
        <f>IF($H2291="","",IFERROR(MID($H2291&amp;" ",FIND("|",SUBSTITUTE($H2291&amp;" "," ","|",3))+1,FIND("|",SUBSTITUTE($H2291&amp;" "," ","|",4))-FIND("|",SUBSTITUTE($H2291&amp;" "," ","|",3))-1),""))</f>
        <v/>
      </c>
      <c r="F2291" s="59">
        <f>IF($H2291="","",IFERROR(VALUE(IFERROR(MID($H2291&amp;" ",FIND("|",SUBSTITUTE($H2291&amp;" "," ","|",4))+1,FIND("|",SUBSTITUTE($H2291&amp;" "," ","|",5))-FIND("|",SUBSTITUTE($H2291&amp;" "," ","|",4))-1),""))/86400+25569+9/24,""))</f>
        <v/>
      </c>
      <c r="G2291" s="58">
        <f>TRIM(SUBSTITUTE(SUBSTITUTE(SUBSTITUTE($A2291,CHAR(9)," ")," "," "),CHAR(13),""))</f>
        <v/>
      </c>
      <c r="H2291" s="58">
        <f>IF($G2291="","",IF(ISNUMBER(FIND(" ",$G2291)),$G2291,IFERROR(IF((LEN(SUBSTITUTE(SUBSTITUTE($G2291,"-"," ",LEN($G2291)-LEN(SUBSTITUTE($G2291,"-",""))),"-"," ",LEN($G2291)-LEN(SUBSTITUTE($G2291,"-",""))-1))-LEN(SUBSTITUTE(SUBSTITUTE(SUBSTITUTE($G2291,"-"," ",LEN($G2291)-LEN(SUBSTITUTE($G2291,"-",""))),"-"," ",LEN($G2291)-LEN(SUBSTITUTE($G2291,"-",""))-1),".","")))=0,SUBSTITUTE(SUBSTITUTE($G2291,"-"," ",LEN($G2291)-LEN(SUBSTITUTE($G2291,"-",""))),"-"," ",LEN($G2291)-LEN(SUBSTITUTE($G2291,"-",""))-1),SUBSTITUTE(SUBSTITUTE(SUBSTITUTE($G2291,"-"," ",LEN($G2291)-LEN(SUBSTITUTE($G2291,"-",""))),"-"," ",LEN($G2291)-LEN(SUBSTITUTE($G2291,"-",""))-1),"."," ",(LEN(SUBSTITUTE(SUBSTITUTE($G2291,"-"," ",LEN($G2291)-LEN(SUBSTITUTE($G2291,"-",""))),"-"," ",LEN($G2291)-LEN(SUBSTITUTE($G2291,"-",""))-1))-LEN(SUBSTITUTE(SUBSTITUTE(SUBSTITUTE($G2291,"-"," ",LEN($G2291)-LEN(SUBSTITUTE($G2291,"-",""))),"-"," ",LEN($G2291)-LEN(SUBSTITUTE($G2291,"-",""))-1),".",""))))),$G2291)))</f>
        <v/>
      </c>
    </row>
    <row r="2292">
      <c r="A2292" s="58" t="n"/>
      <c r="B2292" s="58">
        <f>IF($H2292="","",LEFT($H2292,FIND(" ",$H2292&amp;" ")-1))</f>
        <v/>
      </c>
      <c r="C2292" s="58">
        <f>IF($H2292="","",IFERROR(MID($H2292&amp;" ",FIND("|",SUBSTITUTE($H2292&amp;" "," ","|",1))+1,FIND("|",SUBSTITUTE($H2292&amp;" "," ","|",2))-FIND("|",SUBSTITUTE($H2292&amp;" "," ","|",1))-1),""))</f>
        <v/>
      </c>
      <c r="D2292" s="58">
        <f>IF($H2292="","",IFERROR(MID($H2292&amp;" ",FIND("|",SUBSTITUTE($H2292&amp;" "," ","|",2))+1,FIND("|",SUBSTITUTE($H2292&amp;" "," ","|",3))-FIND("|",SUBSTITUTE($H2292&amp;" "," ","|",2))-1),""))</f>
        <v/>
      </c>
      <c r="E2292" s="58">
        <f>IF($H2292="","",IFERROR(MID($H2292&amp;" ",FIND("|",SUBSTITUTE($H2292&amp;" "," ","|",3))+1,FIND("|",SUBSTITUTE($H2292&amp;" "," ","|",4))-FIND("|",SUBSTITUTE($H2292&amp;" "," ","|",3))-1),""))</f>
        <v/>
      </c>
      <c r="F2292" s="59">
        <f>IF($H2292="","",IFERROR(VALUE(IFERROR(MID($H2292&amp;" ",FIND("|",SUBSTITUTE($H2292&amp;" "," ","|",4))+1,FIND("|",SUBSTITUTE($H2292&amp;" "," ","|",5))-FIND("|",SUBSTITUTE($H2292&amp;" "," ","|",4))-1),""))/86400+25569+9/24,""))</f>
        <v/>
      </c>
      <c r="G2292" s="58">
        <f>TRIM(SUBSTITUTE(SUBSTITUTE(SUBSTITUTE($A2292,CHAR(9)," ")," "," "),CHAR(13),""))</f>
        <v/>
      </c>
      <c r="H2292" s="58">
        <f>IF($G2292="","",IF(ISNUMBER(FIND(" ",$G2292)),$G2292,IFERROR(IF((LEN(SUBSTITUTE(SUBSTITUTE($G2292,"-"," ",LEN($G2292)-LEN(SUBSTITUTE($G2292,"-",""))),"-"," ",LEN($G2292)-LEN(SUBSTITUTE($G2292,"-",""))-1))-LEN(SUBSTITUTE(SUBSTITUTE(SUBSTITUTE($G2292,"-"," ",LEN($G2292)-LEN(SUBSTITUTE($G2292,"-",""))),"-"," ",LEN($G2292)-LEN(SUBSTITUTE($G2292,"-",""))-1),".","")))=0,SUBSTITUTE(SUBSTITUTE($G2292,"-"," ",LEN($G2292)-LEN(SUBSTITUTE($G2292,"-",""))),"-"," ",LEN($G2292)-LEN(SUBSTITUTE($G2292,"-",""))-1),SUBSTITUTE(SUBSTITUTE(SUBSTITUTE($G2292,"-"," ",LEN($G2292)-LEN(SUBSTITUTE($G2292,"-",""))),"-"," ",LEN($G2292)-LEN(SUBSTITUTE($G2292,"-",""))-1),"."," ",(LEN(SUBSTITUTE(SUBSTITUTE($G2292,"-"," ",LEN($G2292)-LEN(SUBSTITUTE($G2292,"-",""))),"-"," ",LEN($G2292)-LEN(SUBSTITUTE($G2292,"-",""))-1))-LEN(SUBSTITUTE(SUBSTITUTE(SUBSTITUTE($G2292,"-"," ",LEN($G2292)-LEN(SUBSTITUTE($G2292,"-",""))),"-"," ",LEN($G2292)-LEN(SUBSTITUTE($G2292,"-",""))-1),".",""))))),$G2292)))</f>
        <v/>
      </c>
    </row>
    <row r="2293">
      <c r="A2293" s="58" t="n"/>
      <c r="B2293" s="58">
        <f>IF($H2293="","",LEFT($H2293,FIND(" ",$H2293&amp;" ")-1))</f>
        <v/>
      </c>
      <c r="C2293" s="58">
        <f>IF($H2293="","",IFERROR(MID($H2293&amp;" ",FIND("|",SUBSTITUTE($H2293&amp;" "," ","|",1))+1,FIND("|",SUBSTITUTE($H2293&amp;" "," ","|",2))-FIND("|",SUBSTITUTE($H2293&amp;" "," ","|",1))-1),""))</f>
        <v/>
      </c>
      <c r="D2293" s="58">
        <f>IF($H2293="","",IFERROR(MID($H2293&amp;" ",FIND("|",SUBSTITUTE($H2293&amp;" "," ","|",2))+1,FIND("|",SUBSTITUTE($H2293&amp;" "," ","|",3))-FIND("|",SUBSTITUTE($H2293&amp;" "," ","|",2))-1),""))</f>
        <v/>
      </c>
      <c r="E2293" s="58">
        <f>IF($H2293="","",IFERROR(MID($H2293&amp;" ",FIND("|",SUBSTITUTE($H2293&amp;" "," ","|",3))+1,FIND("|",SUBSTITUTE($H2293&amp;" "," ","|",4))-FIND("|",SUBSTITUTE($H2293&amp;" "," ","|",3))-1),""))</f>
        <v/>
      </c>
      <c r="F2293" s="59">
        <f>IF($H2293="","",IFERROR(VALUE(IFERROR(MID($H2293&amp;" ",FIND("|",SUBSTITUTE($H2293&amp;" "," ","|",4))+1,FIND("|",SUBSTITUTE($H2293&amp;" "," ","|",5))-FIND("|",SUBSTITUTE($H2293&amp;" "," ","|",4))-1),""))/86400+25569+9/24,""))</f>
        <v/>
      </c>
      <c r="G2293" s="58">
        <f>TRIM(SUBSTITUTE(SUBSTITUTE(SUBSTITUTE($A2293,CHAR(9)," ")," "," "),CHAR(13),""))</f>
        <v/>
      </c>
      <c r="H2293" s="58">
        <f>IF($G2293="","",IF(ISNUMBER(FIND(" ",$G2293)),$G2293,IFERROR(IF((LEN(SUBSTITUTE(SUBSTITUTE($G2293,"-"," ",LEN($G2293)-LEN(SUBSTITUTE($G2293,"-",""))),"-"," ",LEN($G2293)-LEN(SUBSTITUTE($G2293,"-",""))-1))-LEN(SUBSTITUTE(SUBSTITUTE(SUBSTITUTE($G2293,"-"," ",LEN($G2293)-LEN(SUBSTITUTE($G2293,"-",""))),"-"," ",LEN($G2293)-LEN(SUBSTITUTE($G2293,"-",""))-1),".","")))=0,SUBSTITUTE(SUBSTITUTE($G2293,"-"," ",LEN($G2293)-LEN(SUBSTITUTE($G2293,"-",""))),"-"," ",LEN($G2293)-LEN(SUBSTITUTE($G2293,"-",""))-1),SUBSTITUTE(SUBSTITUTE(SUBSTITUTE($G2293,"-"," ",LEN($G2293)-LEN(SUBSTITUTE($G2293,"-",""))),"-"," ",LEN($G2293)-LEN(SUBSTITUTE($G2293,"-",""))-1),"."," ",(LEN(SUBSTITUTE(SUBSTITUTE($G2293,"-"," ",LEN($G2293)-LEN(SUBSTITUTE($G2293,"-",""))),"-"," ",LEN($G2293)-LEN(SUBSTITUTE($G2293,"-",""))-1))-LEN(SUBSTITUTE(SUBSTITUTE(SUBSTITUTE($G2293,"-"," ",LEN($G2293)-LEN(SUBSTITUTE($G2293,"-",""))),"-"," ",LEN($G2293)-LEN(SUBSTITUTE($G2293,"-",""))-1),".",""))))),$G2293)))</f>
        <v/>
      </c>
    </row>
    <row r="2294">
      <c r="A2294" s="58" t="n"/>
      <c r="B2294" s="58">
        <f>IF($H2294="","",LEFT($H2294,FIND(" ",$H2294&amp;" ")-1))</f>
        <v/>
      </c>
      <c r="C2294" s="58">
        <f>IF($H2294="","",IFERROR(MID($H2294&amp;" ",FIND("|",SUBSTITUTE($H2294&amp;" "," ","|",1))+1,FIND("|",SUBSTITUTE($H2294&amp;" "," ","|",2))-FIND("|",SUBSTITUTE($H2294&amp;" "," ","|",1))-1),""))</f>
        <v/>
      </c>
      <c r="D2294" s="58">
        <f>IF($H2294="","",IFERROR(MID($H2294&amp;" ",FIND("|",SUBSTITUTE($H2294&amp;" "," ","|",2))+1,FIND("|",SUBSTITUTE($H2294&amp;" "," ","|",3))-FIND("|",SUBSTITUTE($H2294&amp;" "," ","|",2))-1),""))</f>
        <v/>
      </c>
      <c r="E2294" s="58">
        <f>IF($H2294="","",IFERROR(MID($H2294&amp;" ",FIND("|",SUBSTITUTE($H2294&amp;" "," ","|",3))+1,FIND("|",SUBSTITUTE($H2294&amp;" "," ","|",4))-FIND("|",SUBSTITUTE($H2294&amp;" "," ","|",3))-1),""))</f>
        <v/>
      </c>
      <c r="F2294" s="59">
        <f>IF($H2294="","",IFERROR(VALUE(IFERROR(MID($H2294&amp;" ",FIND("|",SUBSTITUTE($H2294&amp;" "," ","|",4))+1,FIND("|",SUBSTITUTE($H2294&amp;" "," ","|",5))-FIND("|",SUBSTITUTE($H2294&amp;" "," ","|",4))-1),""))/86400+25569+9/24,""))</f>
        <v/>
      </c>
      <c r="G2294" s="58">
        <f>TRIM(SUBSTITUTE(SUBSTITUTE(SUBSTITUTE($A2294,CHAR(9)," ")," "," "),CHAR(13),""))</f>
        <v/>
      </c>
      <c r="H2294" s="58">
        <f>IF($G2294="","",IF(ISNUMBER(FIND(" ",$G2294)),$G2294,IFERROR(IF((LEN(SUBSTITUTE(SUBSTITUTE($G2294,"-"," ",LEN($G2294)-LEN(SUBSTITUTE($G2294,"-",""))),"-"," ",LEN($G2294)-LEN(SUBSTITUTE($G2294,"-",""))-1))-LEN(SUBSTITUTE(SUBSTITUTE(SUBSTITUTE($G2294,"-"," ",LEN($G2294)-LEN(SUBSTITUTE($G2294,"-",""))),"-"," ",LEN($G2294)-LEN(SUBSTITUTE($G2294,"-",""))-1),".","")))=0,SUBSTITUTE(SUBSTITUTE($G2294,"-"," ",LEN($G2294)-LEN(SUBSTITUTE($G2294,"-",""))),"-"," ",LEN($G2294)-LEN(SUBSTITUTE($G2294,"-",""))-1),SUBSTITUTE(SUBSTITUTE(SUBSTITUTE($G2294,"-"," ",LEN($G2294)-LEN(SUBSTITUTE($G2294,"-",""))),"-"," ",LEN($G2294)-LEN(SUBSTITUTE($G2294,"-",""))-1),"."," ",(LEN(SUBSTITUTE(SUBSTITUTE($G2294,"-"," ",LEN($G2294)-LEN(SUBSTITUTE($G2294,"-",""))),"-"," ",LEN($G2294)-LEN(SUBSTITUTE($G2294,"-",""))-1))-LEN(SUBSTITUTE(SUBSTITUTE(SUBSTITUTE($G2294,"-"," ",LEN($G2294)-LEN(SUBSTITUTE($G2294,"-",""))),"-"," ",LEN($G2294)-LEN(SUBSTITUTE($G2294,"-",""))-1),".",""))))),$G2294)))</f>
        <v/>
      </c>
    </row>
    <row r="2295">
      <c r="A2295" s="58" t="n"/>
      <c r="B2295" s="58">
        <f>IF($H2295="","",LEFT($H2295,FIND(" ",$H2295&amp;" ")-1))</f>
        <v/>
      </c>
      <c r="C2295" s="58">
        <f>IF($H2295="","",IFERROR(MID($H2295&amp;" ",FIND("|",SUBSTITUTE($H2295&amp;" "," ","|",1))+1,FIND("|",SUBSTITUTE($H2295&amp;" "," ","|",2))-FIND("|",SUBSTITUTE($H2295&amp;" "," ","|",1))-1),""))</f>
        <v/>
      </c>
      <c r="D2295" s="58">
        <f>IF($H2295="","",IFERROR(MID($H2295&amp;" ",FIND("|",SUBSTITUTE($H2295&amp;" "," ","|",2))+1,FIND("|",SUBSTITUTE($H2295&amp;" "," ","|",3))-FIND("|",SUBSTITUTE($H2295&amp;" "," ","|",2))-1),""))</f>
        <v/>
      </c>
      <c r="E2295" s="58">
        <f>IF($H2295="","",IFERROR(MID($H2295&amp;" ",FIND("|",SUBSTITUTE($H2295&amp;" "," ","|",3))+1,FIND("|",SUBSTITUTE($H2295&amp;" "," ","|",4))-FIND("|",SUBSTITUTE($H2295&amp;" "," ","|",3))-1),""))</f>
        <v/>
      </c>
      <c r="F2295" s="59">
        <f>IF($H2295="","",IFERROR(VALUE(IFERROR(MID($H2295&amp;" ",FIND("|",SUBSTITUTE($H2295&amp;" "," ","|",4))+1,FIND("|",SUBSTITUTE($H2295&amp;" "," ","|",5))-FIND("|",SUBSTITUTE($H2295&amp;" "," ","|",4))-1),""))/86400+25569+9/24,""))</f>
        <v/>
      </c>
      <c r="G2295" s="58">
        <f>TRIM(SUBSTITUTE(SUBSTITUTE(SUBSTITUTE($A2295,CHAR(9)," ")," "," "),CHAR(13),""))</f>
        <v/>
      </c>
      <c r="H2295" s="58">
        <f>IF($G2295="","",IF(ISNUMBER(FIND(" ",$G2295)),$G2295,IFERROR(IF((LEN(SUBSTITUTE(SUBSTITUTE($G2295,"-"," ",LEN($G2295)-LEN(SUBSTITUTE($G2295,"-",""))),"-"," ",LEN($G2295)-LEN(SUBSTITUTE($G2295,"-",""))-1))-LEN(SUBSTITUTE(SUBSTITUTE(SUBSTITUTE($G2295,"-"," ",LEN($G2295)-LEN(SUBSTITUTE($G2295,"-",""))),"-"," ",LEN($G2295)-LEN(SUBSTITUTE($G2295,"-",""))-1),".","")))=0,SUBSTITUTE(SUBSTITUTE($G2295,"-"," ",LEN($G2295)-LEN(SUBSTITUTE($G2295,"-",""))),"-"," ",LEN($G2295)-LEN(SUBSTITUTE($G2295,"-",""))-1),SUBSTITUTE(SUBSTITUTE(SUBSTITUTE($G2295,"-"," ",LEN($G2295)-LEN(SUBSTITUTE($G2295,"-",""))),"-"," ",LEN($G2295)-LEN(SUBSTITUTE($G2295,"-",""))-1),"."," ",(LEN(SUBSTITUTE(SUBSTITUTE($G2295,"-"," ",LEN($G2295)-LEN(SUBSTITUTE($G2295,"-",""))),"-"," ",LEN($G2295)-LEN(SUBSTITUTE($G2295,"-",""))-1))-LEN(SUBSTITUTE(SUBSTITUTE(SUBSTITUTE($G2295,"-"," ",LEN($G2295)-LEN(SUBSTITUTE($G2295,"-",""))),"-"," ",LEN($G2295)-LEN(SUBSTITUTE($G2295,"-",""))-1),".",""))))),$G2295)))</f>
        <v/>
      </c>
    </row>
    <row r="2296">
      <c r="A2296" s="58" t="n"/>
      <c r="B2296" s="58">
        <f>IF($H2296="","",LEFT($H2296,FIND(" ",$H2296&amp;" ")-1))</f>
        <v/>
      </c>
      <c r="C2296" s="58">
        <f>IF($H2296="","",IFERROR(MID($H2296&amp;" ",FIND("|",SUBSTITUTE($H2296&amp;" "," ","|",1))+1,FIND("|",SUBSTITUTE($H2296&amp;" "," ","|",2))-FIND("|",SUBSTITUTE($H2296&amp;" "," ","|",1))-1),""))</f>
        <v/>
      </c>
      <c r="D2296" s="58">
        <f>IF($H2296="","",IFERROR(MID($H2296&amp;" ",FIND("|",SUBSTITUTE($H2296&amp;" "," ","|",2))+1,FIND("|",SUBSTITUTE($H2296&amp;" "," ","|",3))-FIND("|",SUBSTITUTE($H2296&amp;" "," ","|",2))-1),""))</f>
        <v/>
      </c>
      <c r="E2296" s="58">
        <f>IF($H2296="","",IFERROR(MID($H2296&amp;" ",FIND("|",SUBSTITUTE($H2296&amp;" "," ","|",3))+1,FIND("|",SUBSTITUTE($H2296&amp;" "," ","|",4))-FIND("|",SUBSTITUTE($H2296&amp;" "," ","|",3))-1),""))</f>
        <v/>
      </c>
      <c r="F2296" s="59">
        <f>IF($H2296="","",IFERROR(VALUE(IFERROR(MID($H2296&amp;" ",FIND("|",SUBSTITUTE($H2296&amp;" "," ","|",4))+1,FIND("|",SUBSTITUTE($H2296&amp;" "," ","|",5))-FIND("|",SUBSTITUTE($H2296&amp;" "," ","|",4))-1),""))/86400+25569+9/24,""))</f>
        <v/>
      </c>
      <c r="G2296" s="58">
        <f>TRIM(SUBSTITUTE(SUBSTITUTE(SUBSTITUTE($A2296,CHAR(9)," ")," "," "),CHAR(13),""))</f>
        <v/>
      </c>
      <c r="H2296" s="58">
        <f>IF($G2296="","",IF(ISNUMBER(FIND(" ",$G2296)),$G2296,IFERROR(IF((LEN(SUBSTITUTE(SUBSTITUTE($G2296,"-"," ",LEN($G2296)-LEN(SUBSTITUTE($G2296,"-",""))),"-"," ",LEN($G2296)-LEN(SUBSTITUTE($G2296,"-",""))-1))-LEN(SUBSTITUTE(SUBSTITUTE(SUBSTITUTE($G2296,"-"," ",LEN($G2296)-LEN(SUBSTITUTE($G2296,"-",""))),"-"," ",LEN($G2296)-LEN(SUBSTITUTE($G2296,"-",""))-1),".","")))=0,SUBSTITUTE(SUBSTITUTE($G2296,"-"," ",LEN($G2296)-LEN(SUBSTITUTE($G2296,"-",""))),"-"," ",LEN($G2296)-LEN(SUBSTITUTE($G2296,"-",""))-1),SUBSTITUTE(SUBSTITUTE(SUBSTITUTE($G2296,"-"," ",LEN($G2296)-LEN(SUBSTITUTE($G2296,"-",""))),"-"," ",LEN($G2296)-LEN(SUBSTITUTE($G2296,"-",""))-1),"."," ",(LEN(SUBSTITUTE(SUBSTITUTE($G2296,"-"," ",LEN($G2296)-LEN(SUBSTITUTE($G2296,"-",""))),"-"," ",LEN($G2296)-LEN(SUBSTITUTE($G2296,"-",""))-1))-LEN(SUBSTITUTE(SUBSTITUTE(SUBSTITUTE($G2296,"-"," ",LEN($G2296)-LEN(SUBSTITUTE($G2296,"-",""))),"-"," ",LEN($G2296)-LEN(SUBSTITUTE($G2296,"-",""))-1),".",""))))),$G2296)))</f>
        <v/>
      </c>
    </row>
    <row r="2297">
      <c r="A2297" s="58" t="n"/>
      <c r="B2297" s="58">
        <f>IF($H2297="","",LEFT($H2297,FIND(" ",$H2297&amp;" ")-1))</f>
        <v/>
      </c>
      <c r="C2297" s="58">
        <f>IF($H2297="","",IFERROR(MID($H2297&amp;" ",FIND("|",SUBSTITUTE($H2297&amp;" "," ","|",1))+1,FIND("|",SUBSTITUTE($H2297&amp;" "," ","|",2))-FIND("|",SUBSTITUTE($H2297&amp;" "," ","|",1))-1),""))</f>
        <v/>
      </c>
      <c r="D2297" s="58">
        <f>IF($H2297="","",IFERROR(MID($H2297&amp;" ",FIND("|",SUBSTITUTE($H2297&amp;" "," ","|",2))+1,FIND("|",SUBSTITUTE($H2297&amp;" "," ","|",3))-FIND("|",SUBSTITUTE($H2297&amp;" "," ","|",2))-1),""))</f>
        <v/>
      </c>
      <c r="E2297" s="58">
        <f>IF($H2297="","",IFERROR(MID($H2297&amp;" ",FIND("|",SUBSTITUTE($H2297&amp;" "," ","|",3))+1,FIND("|",SUBSTITUTE($H2297&amp;" "," ","|",4))-FIND("|",SUBSTITUTE($H2297&amp;" "," ","|",3))-1),""))</f>
        <v/>
      </c>
      <c r="F2297" s="59">
        <f>IF($H2297="","",IFERROR(VALUE(IFERROR(MID($H2297&amp;" ",FIND("|",SUBSTITUTE($H2297&amp;" "," ","|",4))+1,FIND("|",SUBSTITUTE($H2297&amp;" "," ","|",5))-FIND("|",SUBSTITUTE($H2297&amp;" "," ","|",4))-1),""))/86400+25569+9/24,""))</f>
        <v/>
      </c>
      <c r="G2297" s="58">
        <f>TRIM(SUBSTITUTE(SUBSTITUTE(SUBSTITUTE($A2297,CHAR(9)," ")," "," "),CHAR(13),""))</f>
        <v/>
      </c>
      <c r="H2297" s="58">
        <f>IF($G2297="","",IF(ISNUMBER(FIND(" ",$G2297)),$G2297,IFERROR(IF((LEN(SUBSTITUTE(SUBSTITUTE($G2297,"-"," ",LEN($G2297)-LEN(SUBSTITUTE($G2297,"-",""))),"-"," ",LEN($G2297)-LEN(SUBSTITUTE($G2297,"-",""))-1))-LEN(SUBSTITUTE(SUBSTITUTE(SUBSTITUTE($G2297,"-"," ",LEN($G2297)-LEN(SUBSTITUTE($G2297,"-",""))),"-"," ",LEN($G2297)-LEN(SUBSTITUTE($G2297,"-",""))-1),".","")))=0,SUBSTITUTE(SUBSTITUTE($G2297,"-"," ",LEN($G2297)-LEN(SUBSTITUTE($G2297,"-",""))),"-"," ",LEN($G2297)-LEN(SUBSTITUTE($G2297,"-",""))-1),SUBSTITUTE(SUBSTITUTE(SUBSTITUTE($G2297,"-"," ",LEN($G2297)-LEN(SUBSTITUTE($G2297,"-",""))),"-"," ",LEN($G2297)-LEN(SUBSTITUTE($G2297,"-",""))-1),"."," ",(LEN(SUBSTITUTE(SUBSTITUTE($G2297,"-"," ",LEN($G2297)-LEN(SUBSTITUTE($G2297,"-",""))),"-"," ",LEN($G2297)-LEN(SUBSTITUTE($G2297,"-",""))-1))-LEN(SUBSTITUTE(SUBSTITUTE(SUBSTITUTE($G2297,"-"," ",LEN($G2297)-LEN(SUBSTITUTE($G2297,"-",""))),"-"," ",LEN($G2297)-LEN(SUBSTITUTE($G2297,"-",""))-1),".",""))))),$G2297)))</f>
        <v/>
      </c>
    </row>
    <row r="2298">
      <c r="A2298" s="58" t="n"/>
      <c r="B2298" s="58">
        <f>IF($H2298="","",LEFT($H2298,FIND(" ",$H2298&amp;" ")-1))</f>
        <v/>
      </c>
      <c r="C2298" s="58">
        <f>IF($H2298="","",IFERROR(MID($H2298&amp;" ",FIND("|",SUBSTITUTE($H2298&amp;" "," ","|",1))+1,FIND("|",SUBSTITUTE($H2298&amp;" "," ","|",2))-FIND("|",SUBSTITUTE($H2298&amp;" "," ","|",1))-1),""))</f>
        <v/>
      </c>
      <c r="D2298" s="58">
        <f>IF($H2298="","",IFERROR(MID($H2298&amp;" ",FIND("|",SUBSTITUTE($H2298&amp;" "," ","|",2))+1,FIND("|",SUBSTITUTE($H2298&amp;" "," ","|",3))-FIND("|",SUBSTITUTE($H2298&amp;" "," ","|",2))-1),""))</f>
        <v/>
      </c>
      <c r="E2298" s="58">
        <f>IF($H2298="","",IFERROR(MID($H2298&amp;" ",FIND("|",SUBSTITUTE($H2298&amp;" "," ","|",3))+1,FIND("|",SUBSTITUTE($H2298&amp;" "," ","|",4))-FIND("|",SUBSTITUTE($H2298&amp;" "," ","|",3))-1),""))</f>
        <v/>
      </c>
      <c r="F2298" s="59">
        <f>IF($H2298="","",IFERROR(VALUE(IFERROR(MID($H2298&amp;" ",FIND("|",SUBSTITUTE($H2298&amp;" "," ","|",4))+1,FIND("|",SUBSTITUTE($H2298&amp;" "," ","|",5))-FIND("|",SUBSTITUTE($H2298&amp;" "," ","|",4))-1),""))/86400+25569+9/24,""))</f>
        <v/>
      </c>
      <c r="G2298" s="58">
        <f>TRIM(SUBSTITUTE(SUBSTITUTE(SUBSTITUTE($A2298,CHAR(9)," ")," "," "),CHAR(13),""))</f>
        <v/>
      </c>
      <c r="H2298" s="58">
        <f>IF($G2298="","",IF(ISNUMBER(FIND(" ",$G2298)),$G2298,IFERROR(IF((LEN(SUBSTITUTE(SUBSTITUTE($G2298,"-"," ",LEN($G2298)-LEN(SUBSTITUTE($G2298,"-",""))),"-"," ",LEN($G2298)-LEN(SUBSTITUTE($G2298,"-",""))-1))-LEN(SUBSTITUTE(SUBSTITUTE(SUBSTITUTE($G2298,"-"," ",LEN($G2298)-LEN(SUBSTITUTE($G2298,"-",""))),"-"," ",LEN($G2298)-LEN(SUBSTITUTE($G2298,"-",""))-1),".","")))=0,SUBSTITUTE(SUBSTITUTE($G2298,"-"," ",LEN($G2298)-LEN(SUBSTITUTE($G2298,"-",""))),"-"," ",LEN($G2298)-LEN(SUBSTITUTE($G2298,"-",""))-1),SUBSTITUTE(SUBSTITUTE(SUBSTITUTE($G2298,"-"," ",LEN($G2298)-LEN(SUBSTITUTE($G2298,"-",""))),"-"," ",LEN($G2298)-LEN(SUBSTITUTE($G2298,"-",""))-1),"."," ",(LEN(SUBSTITUTE(SUBSTITUTE($G2298,"-"," ",LEN($G2298)-LEN(SUBSTITUTE($G2298,"-",""))),"-"," ",LEN($G2298)-LEN(SUBSTITUTE($G2298,"-",""))-1))-LEN(SUBSTITUTE(SUBSTITUTE(SUBSTITUTE($G2298,"-"," ",LEN($G2298)-LEN(SUBSTITUTE($G2298,"-",""))),"-"," ",LEN($G2298)-LEN(SUBSTITUTE($G2298,"-",""))-1),".",""))))),$G2298)))</f>
        <v/>
      </c>
    </row>
    <row r="2299">
      <c r="A2299" s="58" t="n"/>
      <c r="B2299" s="58">
        <f>IF($H2299="","",LEFT($H2299,FIND(" ",$H2299&amp;" ")-1))</f>
        <v/>
      </c>
      <c r="C2299" s="58">
        <f>IF($H2299="","",IFERROR(MID($H2299&amp;" ",FIND("|",SUBSTITUTE($H2299&amp;" "," ","|",1))+1,FIND("|",SUBSTITUTE($H2299&amp;" "," ","|",2))-FIND("|",SUBSTITUTE($H2299&amp;" "," ","|",1))-1),""))</f>
        <v/>
      </c>
      <c r="D2299" s="58">
        <f>IF($H2299="","",IFERROR(MID($H2299&amp;" ",FIND("|",SUBSTITUTE($H2299&amp;" "," ","|",2))+1,FIND("|",SUBSTITUTE($H2299&amp;" "," ","|",3))-FIND("|",SUBSTITUTE($H2299&amp;" "," ","|",2))-1),""))</f>
        <v/>
      </c>
      <c r="E2299" s="58">
        <f>IF($H2299="","",IFERROR(MID($H2299&amp;" ",FIND("|",SUBSTITUTE($H2299&amp;" "," ","|",3))+1,FIND("|",SUBSTITUTE($H2299&amp;" "," ","|",4))-FIND("|",SUBSTITUTE($H2299&amp;" "," ","|",3))-1),""))</f>
        <v/>
      </c>
      <c r="F2299" s="59">
        <f>IF($H2299="","",IFERROR(VALUE(IFERROR(MID($H2299&amp;" ",FIND("|",SUBSTITUTE($H2299&amp;" "," ","|",4))+1,FIND("|",SUBSTITUTE($H2299&amp;" "," ","|",5))-FIND("|",SUBSTITUTE($H2299&amp;" "," ","|",4))-1),""))/86400+25569+9/24,""))</f>
        <v/>
      </c>
      <c r="G2299" s="58">
        <f>TRIM(SUBSTITUTE(SUBSTITUTE(SUBSTITUTE($A2299,CHAR(9)," ")," "," "),CHAR(13),""))</f>
        <v/>
      </c>
      <c r="H2299" s="58">
        <f>IF($G2299="","",IF(ISNUMBER(FIND(" ",$G2299)),$G2299,IFERROR(IF((LEN(SUBSTITUTE(SUBSTITUTE($G2299,"-"," ",LEN($G2299)-LEN(SUBSTITUTE($G2299,"-",""))),"-"," ",LEN($G2299)-LEN(SUBSTITUTE($G2299,"-",""))-1))-LEN(SUBSTITUTE(SUBSTITUTE(SUBSTITUTE($G2299,"-"," ",LEN($G2299)-LEN(SUBSTITUTE($G2299,"-",""))),"-"," ",LEN($G2299)-LEN(SUBSTITUTE($G2299,"-",""))-1),".","")))=0,SUBSTITUTE(SUBSTITUTE($G2299,"-"," ",LEN($G2299)-LEN(SUBSTITUTE($G2299,"-",""))),"-"," ",LEN($G2299)-LEN(SUBSTITUTE($G2299,"-",""))-1),SUBSTITUTE(SUBSTITUTE(SUBSTITUTE($G2299,"-"," ",LEN($G2299)-LEN(SUBSTITUTE($G2299,"-",""))),"-"," ",LEN($G2299)-LEN(SUBSTITUTE($G2299,"-",""))-1),"."," ",(LEN(SUBSTITUTE(SUBSTITUTE($G2299,"-"," ",LEN($G2299)-LEN(SUBSTITUTE($G2299,"-",""))),"-"," ",LEN($G2299)-LEN(SUBSTITUTE($G2299,"-",""))-1))-LEN(SUBSTITUTE(SUBSTITUTE(SUBSTITUTE($G2299,"-"," ",LEN($G2299)-LEN(SUBSTITUTE($G2299,"-",""))),"-"," ",LEN($G2299)-LEN(SUBSTITUTE($G2299,"-",""))-1),".",""))))),$G2299)))</f>
        <v/>
      </c>
    </row>
    <row r="2300">
      <c r="A2300" s="58" t="n"/>
      <c r="B2300" s="58">
        <f>IF($H2300="","",LEFT($H2300,FIND(" ",$H2300&amp;" ")-1))</f>
        <v/>
      </c>
      <c r="C2300" s="58">
        <f>IF($H2300="","",IFERROR(MID($H2300&amp;" ",FIND("|",SUBSTITUTE($H2300&amp;" "," ","|",1))+1,FIND("|",SUBSTITUTE($H2300&amp;" "," ","|",2))-FIND("|",SUBSTITUTE($H2300&amp;" "," ","|",1))-1),""))</f>
        <v/>
      </c>
      <c r="D2300" s="58">
        <f>IF($H2300="","",IFERROR(MID($H2300&amp;" ",FIND("|",SUBSTITUTE($H2300&amp;" "," ","|",2))+1,FIND("|",SUBSTITUTE($H2300&amp;" "," ","|",3))-FIND("|",SUBSTITUTE($H2300&amp;" "," ","|",2))-1),""))</f>
        <v/>
      </c>
      <c r="E2300" s="58">
        <f>IF($H2300="","",IFERROR(MID($H2300&amp;" ",FIND("|",SUBSTITUTE($H2300&amp;" "," ","|",3))+1,FIND("|",SUBSTITUTE($H2300&amp;" "," ","|",4))-FIND("|",SUBSTITUTE($H2300&amp;" "," ","|",3))-1),""))</f>
        <v/>
      </c>
      <c r="F2300" s="59">
        <f>IF($H2300="","",IFERROR(VALUE(IFERROR(MID($H2300&amp;" ",FIND("|",SUBSTITUTE($H2300&amp;" "," ","|",4))+1,FIND("|",SUBSTITUTE($H2300&amp;" "," ","|",5))-FIND("|",SUBSTITUTE($H2300&amp;" "," ","|",4))-1),""))/86400+25569+9/24,""))</f>
        <v/>
      </c>
      <c r="G2300" s="58">
        <f>TRIM(SUBSTITUTE(SUBSTITUTE(SUBSTITUTE($A2300,CHAR(9)," ")," "," "),CHAR(13),""))</f>
        <v/>
      </c>
      <c r="H2300" s="58">
        <f>IF($G2300="","",IF(ISNUMBER(FIND(" ",$G2300)),$G2300,IFERROR(IF((LEN(SUBSTITUTE(SUBSTITUTE($G2300,"-"," ",LEN($G2300)-LEN(SUBSTITUTE($G2300,"-",""))),"-"," ",LEN($G2300)-LEN(SUBSTITUTE($G2300,"-",""))-1))-LEN(SUBSTITUTE(SUBSTITUTE(SUBSTITUTE($G2300,"-"," ",LEN($G2300)-LEN(SUBSTITUTE($G2300,"-",""))),"-"," ",LEN($G2300)-LEN(SUBSTITUTE($G2300,"-",""))-1),".","")))=0,SUBSTITUTE(SUBSTITUTE($G2300,"-"," ",LEN($G2300)-LEN(SUBSTITUTE($G2300,"-",""))),"-"," ",LEN($G2300)-LEN(SUBSTITUTE($G2300,"-",""))-1),SUBSTITUTE(SUBSTITUTE(SUBSTITUTE($G2300,"-"," ",LEN($G2300)-LEN(SUBSTITUTE($G2300,"-",""))),"-"," ",LEN($G2300)-LEN(SUBSTITUTE($G2300,"-",""))-1),"."," ",(LEN(SUBSTITUTE(SUBSTITUTE($G2300,"-"," ",LEN($G2300)-LEN(SUBSTITUTE($G2300,"-",""))),"-"," ",LEN($G2300)-LEN(SUBSTITUTE($G2300,"-",""))-1))-LEN(SUBSTITUTE(SUBSTITUTE(SUBSTITUTE($G2300,"-"," ",LEN($G2300)-LEN(SUBSTITUTE($G2300,"-",""))),"-"," ",LEN($G2300)-LEN(SUBSTITUTE($G2300,"-",""))-1),".",""))))),$G2300)))</f>
        <v/>
      </c>
    </row>
    <row r="2301">
      <c r="A2301" s="58" t="n"/>
      <c r="B2301" s="58">
        <f>IF($H2301="","",LEFT($H2301,FIND(" ",$H2301&amp;" ")-1))</f>
        <v/>
      </c>
      <c r="C2301" s="58">
        <f>IF($H2301="","",IFERROR(MID($H2301&amp;" ",FIND("|",SUBSTITUTE($H2301&amp;" "," ","|",1))+1,FIND("|",SUBSTITUTE($H2301&amp;" "," ","|",2))-FIND("|",SUBSTITUTE($H2301&amp;" "," ","|",1))-1),""))</f>
        <v/>
      </c>
      <c r="D2301" s="58">
        <f>IF($H2301="","",IFERROR(MID($H2301&amp;" ",FIND("|",SUBSTITUTE($H2301&amp;" "," ","|",2))+1,FIND("|",SUBSTITUTE($H2301&amp;" "," ","|",3))-FIND("|",SUBSTITUTE($H2301&amp;" "," ","|",2))-1),""))</f>
        <v/>
      </c>
      <c r="E2301" s="58">
        <f>IF($H2301="","",IFERROR(MID($H2301&amp;" ",FIND("|",SUBSTITUTE($H2301&amp;" "," ","|",3))+1,FIND("|",SUBSTITUTE($H2301&amp;" "," ","|",4))-FIND("|",SUBSTITUTE($H2301&amp;" "," ","|",3))-1),""))</f>
        <v/>
      </c>
      <c r="F2301" s="59">
        <f>IF($H2301="","",IFERROR(VALUE(IFERROR(MID($H2301&amp;" ",FIND("|",SUBSTITUTE($H2301&amp;" "," ","|",4))+1,FIND("|",SUBSTITUTE($H2301&amp;" "," ","|",5))-FIND("|",SUBSTITUTE($H2301&amp;" "," ","|",4))-1),""))/86400+25569+9/24,""))</f>
        <v/>
      </c>
      <c r="G2301" s="58">
        <f>TRIM(SUBSTITUTE(SUBSTITUTE(SUBSTITUTE($A2301,CHAR(9)," ")," "," "),CHAR(13),""))</f>
        <v/>
      </c>
      <c r="H2301" s="58">
        <f>IF($G2301="","",IF(ISNUMBER(FIND(" ",$G2301)),$G2301,IFERROR(IF((LEN(SUBSTITUTE(SUBSTITUTE($G2301,"-"," ",LEN($G2301)-LEN(SUBSTITUTE($G2301,"-",""))),"-"," ",LEN($G2301)-LEN(SUBSTITUTE($G2301,"-",""))-1))-LEN(SUBSTITUTE(SUBSTITUTE(SUBSTITUTE($G2301,"-"," ",LEN($G2301)-LEN(SUBSTITUTE($G2301,"-",""))),"-"," ",LEN($G2301)-LEN(SUBSTITUTE($G2301,"-",""))-1),".","")))=0,SUBSTITUTE(SUBSTITUTE($G2301,"-"," ",LEN($G2301)-LEN(SUBSTITUTE($G2301,"-",""))),"-"," ",LEN($G2301)-LEN(SUBSTITUTE($G2301,"-",""))-1),SUBSTITUTE(SUBSTITUTE(SUBSTITUTE($G2301,"-"," ",LEN($G2301)-LEN(SUBSTITUTE($G2301,"-",""))),"-"," ",LEN($G2301)-LEN(SUBSTITUTE($G2301,"-",""))-1),"."," ",(LEN(SUBSTITUTE(SUBSTITUTE($G2301,"-"," ",LEN($G2301)-LEN(SUBSTITUTE($G2301,"-",""))),"-"," ",LEN($G2301)-LEN(SUBSTITUTE($G2301,"-",""))-1))-LEN(SUBSTITUTE(SUBSTITUTE(SUBSTITUTE($G2301,"-"," ",LEN($G2301)-LEN(SUBSTITUTE($G2301,"-",""))),"-"," ",LEN($G2301)-LEN(SUBSTITUTE($G2301,"-",""))-1),".",""))))),$G2301)))</f>
        <v/>
      </c>
    </row>
    <row r="2302">
      <c r="A2302" s="58" t="n"/>
      <c r="B2302" s="58">
        <f>IF($H2302="","",LEFT($H2302,FIND(" ",$H2302&amp;" ")-1))</f>
        <v/>
      </c>
      <c r="C2302" s="58">
        <f>IF($H2302="","",IFERROR(MID($H2302&amp;" ",FIND("|",SUBSTITUTE($H2302&amp;" "," ","|",1))+1,FIND("|",SUBSTITUTE($H2302&amp;" "," ","|",2))-FIND("|",SUBSTITUTE($H2302&amp;" "," ","|",1))-1),""))</f>
        <v/>
      </c>
      <c r="D2302" s="58">
        <f>IF($H2302="","",IFERROR(MID($H2302&amp;" ",FIND("|",SUBSTITUTE($H2302&amp;" "," ","|",2))+1,FIND("|",SUBSTITUTE($H2302&amp;" "," ","|",3))-FIND("|",SUBSTITUTE($H2302&amp;" "," ","|",2))-1),""))</f>
        <v/>
      </c>
      <c r="E2302" s="58">
        <f>IF($H2302="","",IFERROR(MID($H2302&amp;" ",FIND("|",SUBSTITUTE($H2302&amp;" "," ","|",3))+1,FIND("|",SUBSTITUTE($H2302&amp;" "," ","|",4))-FIND("|",SUBSTITUTE($H2302&amp;" "," ","|",3))-1),""))</f>
        <v/>
      </c>
      <c r="F2302" s="59">
        <f>IF($H2302="","",IFERROR(VALUE(IFERROR(MID($H2302&amp;" ",FIND("|",SUBSTITUTE($H2302&amp;" "," ","|",4))+1,FIND("|",SUBSTITUTE($H2302&amp;" "," ","|",5))-FIND("|",SUBSTITUTE($H2302&amp;" "," ","|",4))-1),""))/86400+25569+9/24,""))</f>
        <v/>
      </c>
      <c r="G2302" s="58">
        <f>TRIM(SUBSTITUTE(SUBSTITUTE(SUBSTITUTE($A2302,CHAR(9)," ")," "," "),CHAR(13),""))</f>
        <v/>
      </c>
      <c r="H2302" s="58">
        <f>IF($G2302="","",IF(ISNUMBER(FIND(" ",$G2302)),$G2302,IFERROR(IF((LEN(SUBSTITUTE(SUBSTITUTE($G2302,"-"," ",LEN($G2302)-LEN(SUBSTITUTE($G2302,"-",""))),"-"," ",LEN($G2302)-LEN(SUBSTITUTE($G2302,"-",""))-1))-LEN(SUBSTITUTE(SUBSTITUTE(SUBSTITUTE($G2302,"-"," ",LEN($G2302)-LEN(SUBSTITUTE($G2302,"-",""))),"-"," ",LEN($G2302)-LEN(SUBSTITUTE($G2302,"-",""))-1),".","")))=0,SUBSTITUTE(SUBSTITUTE($G2302,"-"," ",LEN($G2302)-LEN(SUBSTITUTE($G2302,"-",""))),"-"," ",LEN($G2302)-LEN(SUBSTITUTE($G2302,"-",""))-1),SUBSTITUTE(SUBSTITUTE(SUBSTITUTE($G2302,"-"," ",LEN($G2302)-LEN(SUBSTITUTE($G2302,"-",""))),"-"," ",LEN($G2302)-LEN(SUBSTITUTE($G2302,"-",""))-1),"."," ",(LEN(SUBSTITUTE(SUBSTITUTE($G2302,"-"," ",LEN($G2302)-LEN(SUBSTITUTE($G2302,"-",""))),"-"," ",LEN($G2302)-LEN(SUBSTITUTE($G2302,"-",""))-1))-LEN(SUBSTITUTE(SUBSTITUTE(SUBSTITUTE($G2302,"-"," ",LEN($G2302)-LEN(SUBSTITUTE($G2302,"-",""))),"-"," ",LEN($G2302)-LEN(SUBSTITUTE($G2302,"-",""))-1),".",""))))),$G2302)))</f>
        <v/>
      </c>
    </row>
    <row r="2303">
      <c r="A2303" s="58" t="n"/>
      <c r="B2303" s="58">
        <f>IF($H2303="","",LEFT($H2303,FIND(" ",$H2303&amp;" ")-1))</f>
        <v/>
      </c>
      <c r="C2303" s="58">
        <f>IF($H2303="","",IFERROR(MID($H2303&amp;" ",FIND("|",SUBSTITUTE($H2303&amp;" "," ","|",1))+1,FIND("|",SUBSTITUTE($H2303&amp;" "," ","|",2))-FIND("|",SUBSTITUTE($H2303&amp;" "," ","|",1))-1),""))</f>
        <v/>
      </c>
      <c r="D2303" s="58">
        <f>IF($H2303="","",IFERROR(MID($H2303&amp;" ",FIND("|",SUBSTITUTE($H2303&amp;" "," ","|",2))+1,FIND("|",SUBSTITUTE($H2303&amp;" "," ","|",3))-FIND("|",SUBSTITUTE($H2303&amp;" "," ","|",2))-1),""))</f>
        <v/>
      </c>
      <c r="E2303" s="58">
        <f>IF($H2303="","",IFERROR(MID($H2303&amp;" ",FIND("|",SUBSTITUTE($H2303&amp;" "," ","|",3))+1,FIND("|",SUBSTITUTE($H2303&amp;" "," ","|",4))-FIND("|",SUBSTITUTE($H2303&amp;" "," ","|",3))-1),""))</f>
        <v/>
      </c>
      <c r="F2303" s="59">
        <f>IF($H2303="","",IFERROR(VALUE(IFERROR(MID($H2303&amp;" ",FIND("|",SUBSTITUTE($H2303&amp;" "," ","|",4))+1,FIND("|",SUBSTITUTE($H2303&amp;" "," ","|",5))-FIND("|",SUBSTITUTE($H2303&amp;" "," ","|",4))-1),""))/86400+25569+9/24,""))</f>
        <v/>
      </c>
      <c r="G2303" s="58">
        <f>TRIM(SUBSTITUTE(SUBSTITUTE(SUBSTITUTE($A2303,CHAR(9)," ")," "," "),CHAR(13),""))</f>
        <v/>
      </c>
      <c r="H2303" s="58">
        <f>IF($G2303="","",IF(ISNUMBER(FIND(" ",$G2303)),$G2303,IFERROR(IF((LEN(SUBSTITUTE(SUBSTITUTE($G2303,"-"," ",LEN($G2303)-LEN(SUBSTITUTE($G2303,"-",""))),"-"," ",LEN($G2303)-LEN(SUBSTITUTE($G2303,"-",""))-1))-LEN(SUBSTITUTE(SUBSTITUTE(SUBSTITUTE($G2303,"-"," ",LEN($G2303)-LEN(SUBSTITUTE($G2303,"-",""))),"-"," ",LEN($G2303)-LEN(SUBSTITUTE($G2303,"-",""))-1),".","")))=0,SUBSTITUTE(SUBSTITUTE($G2303,"-"," ",LEN($G2303)-LEN(SUBSTITUTE($G2303,"-",""))),"-"," ",LEN($G2303)-LEN(SUBSTITUTE($G2303,"-",""))-1),SUBSTITUTE(SUBSTITUTE(SUBSTITUTE($G2303,"-"," ",LEN($G2303)-LEN(SUBSTITUTE($G2303,"-",""))),"-"," ",LEN($G2303)-LEN(SUBSTITUTE($G2303,"-",""))-1),"."," ",(LEN(SUBSTITUTE(SUBSTITUTE($G2303,"-"," ",LEN($G2303)-LEN(SUBSTITUTE($G2303,"-",""))),"-"," ",LEN($G2303)-LEN(SUBSTITUTE($G2303,"-",""))-1))-LEN(SUBSTITUTE(SUBSTITUTE(SUBSTITUTE($G2303,"-"," ",LEN($G2303)-LEN(SUBSTITUTE($G2303,"-",""))),"-"," ",LEN($G2303)-LEN(SUBSTITUTE($G2303,"-",""))-1),".",""))))),$G2303)))</f>
        <v/>
      </c>
    </row>
    <row r="2304">
      <c r="A2304" s="58" t="n"/>
      <c r="B2304" s="58">
        <f>IF($H2304="","",LEFT($H2304,FIND(" ",$H2304&amp;" ")-1))</f>
        <v/>
      </c>
      <c r="C2304" s="58">
        <f>IF($H2304="","",IFERROR(MID($H2304&amp;" ",FIND("|",SUBSTITUTE($H2304&amp;" "," ","|",1))+1,FIND("|",SUBSTITUTE($H2304&amp;" "," ","|",2))-FIND("|",SUBSTITUTE($H2304&amp;" "," ","|",1))-1),""))</f>
        <v/>
      </c>
      <c r="D2304" s="58">
        <f>IF($H2304="","",IFERROR(MID($H2304&amp;" ",FIND("|",SUBSTITUTE($H2304&amp;" "," ","|",2))+1,FIND("|",SUBSTITUTE($H2304&amp;" "," ","|",3))-FIND("|",SUBSTITUTE($H2304&amp;" "," ","|",2))-1),""))</f>
        <v/>
      </c>
      <c r="E2304" s="58">
        <f>IF($H2304="","",IFERROR(MID($H2304&amp;" ",FIND("|",SUBSTITUTE($H2304&amp;" "," ","|",3))+1,FIND("|",SUBSTITUTE($H2304&amp;" "," ","|",4))-FIND("|",SUBSTITUTE($H2304&amp;" "," ","|",3))-1),""))</f>
        <v/>
      </c>
      <c r="F2304" s="59">
        <f>IF($H2304="","",IFERROR(VALUE(IFERROR(MID($H2304&amp;" ",FIND("|",SUBSTITUTE($H2304&amp;" "," ","|",4))+1,FIND("|",SUBSTITUTE($H2304&amp;" "," ","|",5))-FIND("|",SUBSTITUTE($H2304&amp;" "," ","|",4))-1),""))/86400+25569+9/24,""))</f>
        <v/>
      </c>
      <c r="G2304" s="58">
        <f>TRIM(SUBSTITUTE(SUBSTITUTE(SUBSTITUTE($A2304,CHAR(9)," ")," "," "),CHAR(13),""))</f>
        <v/>
      </c>
      <c r="H2304" s="58">
        <f>IF($G2304="","",IF(ISNUMBER(FIND(" ",$G2304)),$G2304,IFERROR(IF((LEN(SUBSTITUTE(SUBSTITUTE($G2304,"-"," ",LEN($G2304)-LEN(SUBSTITUTE($G2304,"-",""))),"-"," ",LEN($G2304)-LEN(SUBSTITUTE($G2304,"-",""))-1))-LEN(SUBSTITUTE(SUBSTITUTE(SUBSTITUTE($G2304,"-"," ",LEN($G2304)-LEN(SUBSTITUTE($G2304,"-",""))),"-"," ",LEN($G2304)-LEN(SUBSTITUTE($G2304,"-",""))-1),".","")))=0,SUBSTITUTE(SUBSTITUTE($G2304,"-"," ",LEN($G2304)-LEN(SUBSTITUTE($G2304,"-",""))),"-"," ",LEN($G2304)-LEN(SUBSTITUTE($G2304,"-",""))-1),SUBSTITUTE(SUBSTITUTE(SUBSTITUTE($G2304,"-"," ",LEN($G2304)-LEN(SUBSTITUTE($G2304,"-",""))),"-"," ",LEN($G2304)-LEN(SUBSTITUTE($G2304,"-",""))-1),"."," ",(LEN(SUBSTITUTE(SUBSTITUTE($G2304,"-"," ",LEN($G2304)-LEN(SUBSTITUTE($G2304,"-",""))),"-"," ",LEN($G2304)-LEN(SUBSTITUTE($G2304,"-",""))-1))-LEN(SUBSTITUTE(SUBSTITUTE(SUBSTITUTE($G2304,"-"," ",LEN($G2304)-LEN(SUBSTITUTE($G2304,"-",""))),"-"," ",LEN($G2304)-LEN(SUBSTITUTE($G2304,"-",""))-1),".",""))))),$G2304)))</f>
        <v/>
      </c>
    </row>
    <row r="2305">
      <c r="A2305" s="58" t="n"/>
      <c r="B2305" s="58">
        <f>IF($H2305="","",LEFT($H2305,FIND(" ",$H2305&amp;" ")-1))</f>
        <v/>
      </c>
      <c r="C2305" s="58">
        <f>IF($H2305="","",IFERROR(MID($H2305&amp;" ",FIND("|",SUBSTITUTE($H2305&amp;" "," ","|",1))+1,FIND("|",SUBSTITUTE($H2305&amp;" "," ","|",2))-FIND("|",SUBSTITUTE($H2305&amp;" "," ","|",1))-1),""))</f>
        <v/>
      </c>
      <c r="D2305" s="58">
        <f>IF($H2305="","",IFERROR(MID($H2305&amp;" ",FIND("|",SUBSTITUTE($H2305&amp;" "," ","|",2))+1,FIND("|",SUBSTITUTE($H2305&amp;" "," ","|",3))-FIND("|",SUBSTITUTE($H2305&amp;" "," ","|",2))-1),""))</f>
        <v/>
      </c>
      <c r="E2305" s="58">
        <f>IF($H2305="","",IFERROR(MID($H2305&amp;" ",FIND("|",SUBSTITUTE($H2305&amp;" "," ","|",3))+1,FIND("|",SUBSTITUTE($H2305&amp;" "," ","|",4))-FIND("|",SUBSTITUTE($H2305&amp;" "," ","|",3))-1),""))</f>
        <v/>
      </c>
      <c r="F2305" s="59">
        <f>IF($H2305="","",IFERROR(VALUE(IFERROR(MID($H2305&amp;" ",FIND("|",SUBSTITUTE($H2305&amp;" "," ","|",4))+1,FIND("|",SUBSTITUTE($H2305&amp;" "," ","|",5))-FIND("|",SUBSTITUTE($H2305&amp;" "," ","|",4))-1),""))/86400+25569+9/24,""))</f>
        <v/>
      </c>
      <c r="G2305" s="58">
        <f>TRIM(SUBSTITUTE(SUBSTITUTE(SUBSTITUTE($A2305,CHAR(9)," ")," "," "),CHAR(13),""))</f>
        <v/>
      </c>
      <c r="H2305" s="58">
        <f>IF($G2305="","",IF(ISNUMBER(FIND(" ",$G2305)),$G2305,IFERROR(IF((LEN(SUBSTITUTE(SUBSTITUTE($G2305,"-"," ",LEN($G2305)-LEN(SUBSTITUTE($G2305,"-",""))),"-"," ",LEN($G2305)-LEN(SUBSTITUTE($G2305,"-",""))-1))-LEN(SUBSTITUTE(SUBSTITUTE(SUBSTITUTE($G2305,"-"," ",LEN($G2305)-LEN(SUBSTITUTE($G2305,"-",""))),"-"," ",LEN($G2305)-LEN(SUBSTITUTE($G2305,"-",""))-1),".","")))=0,SUBSTITUTE(SUBSTITUTE($G2305,"-"," ",LEN($G2305)-LEN(SUBSTITUTE($G2305,"-",""))),"-"," ",LEN($G2305)-LEN(SUBSTITUTE($G2305,"-",""))-1),SUBSTITUTE(SUBSTITUTE(SUBSTITUTE($G2305,"-"," ",LEN($G2305)-LEN(SUBSTITUTE($G2305,"-",""))),"-"," ",LEN($G2305)-LEN(SUBSTITUTE($G2305,"-",""))-1),"."," ",(LEN(SUBSTITUTE(SUBSTITUTE($G2305,"-"," ",LEN($G2305)-LEN(SUBSTITUTE($G2305,"-",""))),"-"," ",LEN($G2305)-LEN(SUBSTITUTE($G2305,"-",""))-1))-LEN(SUBSTITUTE(SUBSTITUTE(SUBSTITUTE($G2305,"-"," ",LEN($G2305)-LEN(SUBSTITUTE($G2305,"-",""))),"-"," ",LEN($G2305)-LEN(SUBSTITUTE($G2305,"-",""))-1),".",""))))),$G2305)))</f>
        <v/>
      </c>
    </row>
    <row r="2306">
      <c r="A2306" s="58" t="n"/>
      <c r="B2306" s="58">
        <f>IF($H2306="","",LEFT($H2306,FIND(" ",$H2306&amp;" ")-1))</f>
        <v/>
      </c>
      <c r="C2306" s="58">
        <f>IF($H2306="","",IFERROR(MID($H2306&amp;" ",FIND("|",SUBSTITUTE($H2306&amp;" "," ","|",1))+1,FIND("|",SUBSTITUTE($H2306&amp;" "," ","|",2))-FIND("|",SUBSTITUTE($H2306&amp;" "," ","|",1))-1),""))</f>
        <v/>
      </c>
      <c r="D2306" s="58">
        <f>IF($H2306="","",IFERROR(MID($H2306&amp;" ",FIND("|",SUBSTITUTE($H2306&amp;" "," ","|",2))+1,FIND("|",SUBSTITUTE($H2306&amp;" "," ","|",3))-FIND("|",SUBSTITUTE($H2306&amp;" "," ","|",2))-1),""))</f>
        <v/>
      </c>
      <c r="E2306" s="58">
        <f>IF($H2306="","",IFERROR(MID($H2306&amp;" ",FIND("|",SUBSTITUTE($H2306&amp;" "," ","|",3))+1,FIND("|",SUBSTITUTE($H2306&amp;" "," ","|",4))-FIND("|",SUBSTITUTE($H2306&amp;" "," ","|",3))-1),""))</f>
        <v/>
      </c>
      <c r="F2306" s="59">
        <f>IF($H2306="","",IFERROR(VALUE(IFERROR(MID($H2306&amp;" ",FIND("|",SUBSTITUTE($H2306&amp;" "," ","|",4))+1,FIND("|",SUBSTITUTE($H2306&amp;" "," ","|",5))-FIND("|",SUBSTITUTE($H2306&amp;" "," ","|",4))-1),""))/86400+25569+9/24,""))</f>
        <v/>
      </c>
      <c r="G2306" s="58">
        <f>TRIM(SUBSTITUTE(SUBSTITUTE(SUBSTITUTE($A2306,CHAR(9)," ")," "," "),CHAR(13),""))</f>
        <v/>
      </c>
      <c r="H2306" s="58">
        <f>IF($G2306="","",IF(ISNUMBER(FIND(" ",$G2306)),$G2306,IFERROR(IF((LEN(SUBSTITUTE(SUBSTITUTE($G2306,"-"," ",LEN($G2306)-LEN(SUBSTITUTE($G2306,"-",""))),"-"," ",LEN($G2306)-LEN(SUBSTITUTE($G2306,"-",""))-1))-LEN(SUBSTITUTE(SUBSTITUTE(SUBSTITUTE($G2306,"-"," ",LEN($G2306)-LEN(SUBSTITUTE($G2306,"-",""))),"-"," ",LEN($G2306)-LEN(SUBSTITUTE($G2306,"-",""))-1),".","")))=0,SUBSTITUTE(SUBSTITUTE($G2306,"-"," ",LEN($G2306)-LEN(SUBSTITUTE($G2306,"-",""))),"-"," ",LEN($G2306)-LEN(SUBSTITUTE($G2306,"-",""))-1),SUBSTITUTE(SUBSTITUTE(SUBSTITUTE($G2306,"-"," ",LEN($G2306)-LEN(SUBSTITUTE($G2306,"-",""))),"-"," ",LEN($G2306)-LEN(SUBSTITUTE($G2306,"-",""))-1),"."," ",(LEN(SUBSTITUTE(SUBSTITUTE($G2306,"-"," ",LEN($G2306)-LEN(SUBSTITUTE($G2306,"-",""))),"-"," ",LEN($G2306)-LEN(SUBSTITUTE($G2306,"-",""))-1))-LEN(SUBSTITUTE(SUBSTITUTE(SUBSTITUTE($G2306,"-"," ",LEN($G2306)-LEN(SUBSTITUTE($G2306,"-",""))),"-"," ",LEN($G2306)-LEN(SUBSTITUTE($G2306,"-",""))-1),".",""))))),$G2306)))</f>
        <v/>
      </c>
    </row>
    <row r="2307">
      <c r="A2307" s="58" t="n"/>
      <c r="B2307" s="58">
        <f>IF($H2307="","",LEFT($H2307,FIND(" ",$H2307&amp;" ")-1))</f>
        <v/>
      </c>
      <c r="C2307" s="58">
        <f>IF($H2307="","",IFERROR(MID($H2307&amp;" ",FIND("|",SUBSTITUTE($H2307&amp;" "," ","|",1))+1,FIND("|",SUBSTITUTE($H2307&amp;" "," ","|",2))-FIND("|",SUBSTITUTE($H2307&amp;" "," ","|",1))-1),""))</f>
        <v/>
      </c>
      <c r="D2307" s="58">
        <f>IF($H2307="","",IFERROR(MID($H2307&amp;" ",FIND("|",SUBSTITUTE($H2307&amp;" "," ","|",2))+1,FIND("|",SUBSTITUTE($H2307&amp;" "," ","|",3))-FIND("|",SUBSTITUTE($H2307&amp;" "," ","|",2))-1),""))</f>
        <v/>
      </c>
      <c r="E2307" s="58">
        <f>IF($H2307="","",IFERROR(MID($H2307&amp;" ",FIND("|",SUBSTITUTE($H2307&amp;" "," ","|",3))+1,FIND("|",SUBSTITUTE($H2307&amp;" "," ","|",4))-FIND("|",SUBSTITUTE($H2307&amp;" "," ","|",3))-1),""))</f>
        <v/>
      </c>
      <c r="F2307" s="59">
        <f>IF($H2307="","",IFERROR(VALUE(IFERROR(MID($H2307&amp;" ",FIND("|",SUBSTITUTE($H2307&amp;" "," ","|",4))+1,FIND("|",SUBSTITUTE($H2307&amp;" "," ","|",5))-FIND("|",SUBSTITUTE($H2307&amp;" "," ","|",4))-1),""))/86400+25569+9/24,""))</f>
        <v/>
      </c>
      <c r="G2307" s="58">
        <f>TRIM(SUBSTITUTE(SUBSTITUTE(SUBSTITUTE($A2307,CHAR(9)," ")," "," "),CHAR(13),""))</f>
        <v/>
      </c>
      <c r="H2307" s="58">
        <f>IF($G2307="","",IF(ISNUMBER(FIND(" ",$G2307)),$G2307,IFERROR(IF((LEN(SUBSTITUTE(SUBSTITUTE($G2307,"-"," ",LEN($G2307)-LEN(SUBSTITUTE($G2307,"-",""))),"-"," ",LEN($G2307)-LEN(SUBSTITUTE($G2307,"-",""))-1))-LEN(SUBSTITUTE(SUBSTITUTE(SUBSTITUTE($G2307,"-"," ",LEN($G2307)-LEN(SUBSTITUTE($G2307,"-",""))),"-"," ",LEN($G2307)-LEN(SUBSTITUTE($G2307,"-",""))-1),".","")))=0,SUBSTITUTE(SUBSTITUTE($G2307,"-"," ",LEN($G2307)-LEN(SUBSTITUTE($G2307,"-",""))),"-"," ",LEN($G2307)-LEN(SUBSTITUTE($G2307,"-",""))-1),SUBSTITUTE(SUBSTITUTE(SUBSTITUTE($G2307,"-"," ",LEN($G2307)-LEN(SUBSTITUTE($G2307,"-",""))),"-"," ",LEN($G2307)-LEN(SUBSTITUTE($G2307,"-",""))-1),"."," ",(LEN(SUBSTITUTE(SUBSTITUTE($G2307,"-"," ",LEN($G2307)-LEN(SUBSTITUTE($G2307,"-",""))),"-"," ",LEN($G2307)-LEN(SUBSTITUTE($G2307,"-",""))-1))-LEN(SUBSTITUTE(SUBSTITUTE(SUBSTITUTE($G2307,"-"," ",LEN($G2307)-LEN(SUBSTITUTE($G2307,"-",""))),"-"," ",LEN($G2307)-LEN(SUBSTITUTE($G2307,"-",""))-1),".",""))))),$G2307)))</f>
        <v/>
      </c>
    </row>
    <row r="2308">
      <c r="A2308" s="58" t="n"/>
      <c r="B2308" s="58">
        <f>IF($H2308="","",LEFT($H2308,FIND(" ",$H2308&amp;" ")-1))</f>
        <v/>
      </c>
      <c r="C2308" s="58">
        <f>IF($H2308="","",IFERROR(MID($H2308&amp;" ",FIND("|",SUBSTITUTE($H2308&amp;" "," ","|",1))+1,FIND("|",SUBSTITUTE($H2308&amp;" "," ","|",2))-FIND("|",SUBSTITUTE($H2308&amp;" "," ","|",1))-1),""))</f>
        <v/>
      </c>
      <c r="D2308" s="58">
        <f>IF($H2308="","",IFERROR(MID($H2308&amp;" ",FIND("|",SUBSTITUTE($H2308&amp;" "," ","|",2))+1,FIND("|",SUBSTITUTE($H2308&amp;" "," ","|",3))-FIND("|",SUBSTITUTE($H2308&amp;" "," ","|",2))-1),""))</f>
        <v/>
      </c>
      <c r="E2308" s="58">
        <f>IF($H2308="","",IFERROR(MID($H2308&amp;" ",FIND("|",SUBSTITUTE($H2308&amp;" "," ","|",3))+1,FIND("|",SUBSTITUTE($H2308&amp;" "," ","|",4))-FIND("|",SUBSTITUTE($H2308&amp;" "," ","|",3))-1),""))</f>
        <v/>
      </c>
      <c r="F2308" s="59">
        <f>IF($H2308="","",IFERROR(VALUE(IFERROR(MID($H2308&amp;" ",FIND("|",SUBSTITUTE($H2308&amp;" "," ","|",4))+1,FIND("|",SUBSTITUTE($H2308&amp;" "," ","|",5))-FIND("|",SUBSTITUTE($H2308&amp;" "," ","|",4))-1),""))/86400+25569+9/24,""))</f>
        <v/>
      </c>
      <c r="G2308" s="58">
        <f>TRIM(SUBSTITUTE(SUBSTITUTE(SUBSTITUTE($A2308,CHAR(9)," ")," "," "),CHAR(13),""))</f>
        <v/>
      </c>
      <c r="H2308" s="58">
        <f>IF($G2308="","",IF(ISNUMBER(FIND(" ",$G2308)),$G2308,IFERROR(IF((LEN(SUBSTITUTE(SUBSTITUTE($G2308,"-"," ",LEN($G2308)-LEN(SUBSTITUTE($G2308,"-",""))),"-"," ",LEN($G2308)-LEN(SUBSTITUTE($G2308,"-",""))-1))-LEN(SUBSTITUTE(SUBSTITUTE(SUBSTITUTE($G2308,"-"," ",LEN($G2308)-LEN(SUBSTITUTE($G2308,"-",""))),"-"," ",LEN($G2308)-LEN(SUBSTITUTE($G2308,"-",""))-1),".","")))=0,SUBSTITUTE(SUBSTITUTE($G2308,"-"," ",LEN($G2308)-LEN(SUBSTITUTE($G2308,"-",""))),"-"," ",LEN($G2308)-LEN(SUBSTITUTE($G2308,"-",""))-1),SUBSTITUTE(SUBSTITUTE(SUBSTITUTE($G2308,"-"," ",LEN($G2308)-LEN(SUBSTITUTE($G2308,"-",""))),"-"," ",LEN($G2308)-LEN(SUBSTITUTE($G2308,"-",""))-1),"."," ",(LEN(SUBSTITUTE(SUBSTITUTE($G2308,"-"," ",LEN($G2308)-LEN(SUBSTITUTE($G2308,"-",""))),"-"," ",LEN($G2308)-LEN(SUBSTITUTE($G2308,"-",""))-1))-LEN(SUBSTITUTE(SUBSTITUTE(SUBSTITUTE($G2308,"-"," ",LEN($G2308)-LEN(SUBSTITUTE($G2308,"-",""))),"-"," ",LEN($G2308)-LEN(SUBSTITUTE($G2308,"-",""))-1),".",""))))),$G2308)))</f>
        <v/>
      </c>
    </row>
    <row r="2309">
      <c r="A2309" s="58" t="n"/>
      <c r="B2309" s="58">
        <f>IF($H2309="","",LEFT($H2309,FIND(" ",$H2309&amp;" ")-1))</f>
        <v/>
      </c>
      <c r="C2309" s="58">
        <f>IF($H2309="","",IFERROR(MID($H2309&amp;" ",FIND("|",SUBSTITUTE($H2309&amp;" "," ","|",1))+1,FIND("|",SUBSTITUTE($H2309&amp;" "," ","|",2))-FIND("|",SUBSTITUTE($H2309&amp;" "," ","|",1))-1),""))</f>
        <v/>
      </c>
      <c r="D2309" s="58">
        <f>IF($H2309="","",IFERROR(MID($H2309&amp;" ",FIND("|",SUBSTITUTE($H2309&amp;" "," ","|",2))+1,FIND("|",SUBSTITUTE($H2309&amp;" "," ","|",3))-FIND("|",SUBSTITUTE($H2309&amp;" "," ","|",2))-1),""))</f>
        <v/>
      </c>
      <c r="E2309" s="58">
        <f>IF($H2309="","",IFERROR(MID($H2309&amp;" ",FIND("|",SUBSTITUTE($H2309&amp;" "," ","|",3))+1,FIND("|",SUBSTITUTE($H2309&amp;" "," ","|",4))-FIND("|",SUBSTITUTE($H2309&amp;" "," ","|",3))-1),""))</f>
        <v/>
      </c>
      <c r="F2309" s="59">
        <f>IF($H2309="","",IFERROR(VALUE(IFERROR(MID($H2309&amp;" ",FIND("|",SUBSTITUTE($H2309&amp;" "," ","|",4))+1,FIND("|",SUBSTITUTE($H2309&amp;" "," ","|",5))-FIND("|",SUBSTITUTE($H2309&amp;" "," ","|",4))-1),""))/86400+25569+9/24,""))</f>
        <v/>
      </c>
      <c r="G2309" s="58">
        <f>TRIM(SUBSTITUTE(SUBSTITUTE(SUBSTITUTE($A2309,CHAR(9)," ")," "," "),CHAR(13),""))</f>
        <v/>
      </c>
      <c r="H2309" s="58">
        <f>IF($G2309="","",IF(ISNUMBER(FIND(" ",$G2309)),$G2309,IFERROR(IF((LEN(SUBSTITUTE(SUBSTITUTE($G2309,"-"," ",LEN($G2309)-LEN(SUBSTITUTE($G2309,"-",""))),"-"," ",LEN($G2309)-LEN(SUBSTITUTE($G2309,"-",""))-1))-LEN(SUBSTITUTE(SUBSTITUTE(SUBSTITUTE($G2309,"-"," ",LEN($G2309)-LEN(SUBSTITUTE($G2309,"-",""))),"-"," ",LEN($G2309)-LEN(SUBSTITUTE($G2309,"-",""))-1),".","")))=0,SUBSTITUTE(SUBSTITUTE($G2309,"-"," ",LEN($G2309)-LEN(SUBSTITUTE($G2309,"-",""))),"-"," ",LEN($G2309)-LEN(SUBSTITUTE($G2309,"-",""))-1),SUBSTITUTE(SUBSTITUTE(SUBSTITUTE($G2309,"-"," ",LEN($G2309)-LEN(SUBSTITUTE($G2309,"-",""))),"-"," ",LEN($G2309)-LEN(SUBSTITUTE($G2309,"-",""))-1),"."," ",(LEN(SUBSTITUTE(SUBSTITUTE($G2309,"-"," ",LEN($G2309)-LEN(SUBSTITUTE($G2309,"-",""))),"-"," ",LEN($G2309)-LEN(SUBSTITUTE($G2309,"-",""))-1))-LEN(SUBSTITUTE(SUBSTITUTE(SUBSTITUTE($G2309,"-"," ",LEN($G2309)-LEN(SUBSTITUTE($G2309,"-",""))),"-"," ",LEN($G2309)-LEN(SUBSTITUTE($G2309,"-",""))-1),".",""))))),$G2309)))</f>
        <v/>
      </c>
    </row>
    <row r="2310">
      <c r="A2310" s="58" t="n"/>
      <c r="B2310" s="58">
        <f>IF($H2310="","",LEFT($H2310,FIND(" ",$H2310&amp;" ")-1))</f>
        <v/>
      </c>
      <c r="C2310" s="58">
        <f>IF($H2310="","",IFERROR(MID($H2310&amp;" ",FIND("|",SUBSTITUTE($H2310&amp;" "," ","|",1))+1,FIND("|",SUBSTITUTE($H2310&amp;" "," ","|",2))-FIND("|",SUBSTITUTE($H2310&amp;" "," ","|",1))-1),""))</f>
        <v/>
      </c>
      <c r="D2310" s="58">
        <f>IF($H2310="","",IFERROR(MID($H2310&amp;" ",FIND("|",SUBSTITUTE($H2310&amp;" "," ","|",2))+1,FIND("|",SUBSTITUTE($H2310&amp;" "," ","|",3))-FIND("|",SUBSTITUTE($H2310&amp;" "," ","|",2))-1),""))</f>
        <v/>
      </c>
      <c r="E2310" s="58">
        <f>IF($H2310="","",IFERROR(MID($H2310&amp;" ",FIND("|",SUBSTITUTE($H2310&amp;" "," ","|",3))+1,FIND("|",SUBSTITUTE($H2310&amp;" "," ","|",4))-FIND("|",SUBSTITUTE($H2310&amp;" "," ","|",3))-1),""))</f>
        <v/>
      </c>
      <c r="F2310" s="59">
        <f>IF($H2310="","",IFERROR(VALUE(IFERROR(MID($H2310&amp;" ",FIND("|",SUBSTITUTE($H2310&amp;" "," ","|",4))+1,FIND("|",SUBSTITUTE($H2310&amp;" "," ","|",5))-FIND("|",SUBSTITUTE($H2310&amp;" "," ","|",4))-1),""))/86400+25569+9/24,""))</f>
        <v/>
      </c>
      <c r="G2310" s="58">
        <f>TRIM(SUBSTITUTE(SUBSTITUTE(SUBSTITUTE($A2310,CHAR(9)," ")," "," "),CHAR(13),""))</f>
        <v/>
      </c>
      <c r="H2310" s="58">
        <f>IF($G2310="","",IF(ISNUMBER(FIND(" ",$G2310)),$G2310,IFERROR(IF((LEN(SUBSTITUTE(SUBSTITUTE($G2310,"-"," ",LEN($G2310)-LEN(SUBSTITUTE($G2310,"-",""))),"-"," ",LEN($G2310)-LEN(SUBSTITUTE($G2310,"-",""))-1))-LEN(SUBSTITUTE(SUBSTITUTE(SUBSTITUTE($G2310,"-"," ",LEN($G2310)-LEN(SUBSTITUTE($G2310,"-",""))),"-"," ",LEN($G2310)-LEN(SUBSTITUTE($G2310,"-",""))-1),".","")))=0,SUBSTITUTE(SUBSTITUTE($G2310,"-"," ",LEN($G2310)-LEN(SUBSTITUTE($G2310,"-",""))),"-"," ",LEN($G2310)-LEN(SUBSTITUTE($G2310,"-",""))-1),SUBSTITUTE(SUBSTITUTE(SUBSTITUTE($G2310,"-"," ",LEN($G2310)-LEN(SUBSTITUTE($G2310,"-",""))),"-"," ",LEN($G2310)-LEN(SUBSTITUTE($G2310,"-",""))-1),"."," ",(LEN(SUBSTITUTE(SUBSTITUTE($G2310,"-"," ",LEN($G2310)-LEN(SUBSTITUTE($G2310,"-",""))),"-"," ",LEN($G2310)-LEN(SUBSTITUTE($G2310,"-",""))-1))-LEN(SUBSTITUTE(SUBSTITUTE(SUBSTITUTE($G2310,"-"," ",LEN($G2310)-LEN(SUBSTITUTE($G2310,"-",""))),"-"," ",LEN($G2310)-LEN(SUBSTITUTE($G2310,"-",""))-1),".",""))))),$G2310)))</f>
        <v/>
      </c>
    </row>
    <row r="2311">
      <c r="A2311" s="58" t="n"/>
      <c r="B2311" s="58">
        <f>IF($H2311="","",LEFT($H2311,FIND(" ",$H2311&amp;" ")-1))</f>
        <v/>
      </c>
      <c r="C2311" s="58">
        <f>IF($H2311="","",IFERROR(MID($H2311&amp;" ",FIND("|",SUBSTITUTE($H2311&amp;" "," ","|",1))+1,FIND("|",SUBSTITUTE($H2311&amp;" "," ","|",2))-FIND("|",SUBSTITUTE($H2311&amp;" "," ","|",1))-1),""))</f>
        <v/>
      </c>
      <c r="D2311" s="58">
        <f>IF($H2311="","",IFERROR(MID($H2311&amp;" ",FIND("|",SUBSTITUTE($H2311&amp;" "," ","|",2))+1,FIND("|",SUBSTITUTE($H2311&amp;" "," ","|",3))-FIND("|",SUBSTITUTE($H2311&amp;" "," ","|",2))-1),""))</f>
        <v/>
      </c>
      <c r="E2311" s="58">
        <f>IF($H2311="","",IFERROR(MID($H2311&amp;" ",FIND("|",SUBSTITUTE($H2311&amp;" "," ","|",3))+1,FIND("|",SUBSTITUTE($H2311&amp;" "," ","|",4))-FIND("|",SUBSTITUTE($H2311&amp;" "," ","|",3))-1),""))</f>
        <v/>
      </c>
      <c r="F2311" s="59">
        <f>IF($H2311="","",IFERROR(VALUE(IFERROR(MID($H2311&amp;" ",FIND("|",SUBSTITUTE($H2311&amp;" "," ","|",4))+1,FIND("|",SUBSTITUTE($H2311&amp;" "," ","|",5))-FIND("|",SUBSTITUTE($H2311&amp;" "," ","|",4))-1),""))/86400+25569+9/24,""))</f>
        <v/>
      </c>
      <c r="G2311" s="58">
        <f>TRIM(SUBSTITUTE(SUBSTITUTE(SUBSTITUTE($A2311,CHAR(9)," ")," "," "),CHAR(13),""))</f>
        <v/>
      </c>
      <c r="H2311" s="58">
        <f>IF($G2311="","",IF(ISNUMBER(FIND(" ",$G2311)),$G2311,IFERROR(IF((LEN(SUBSTITUTE(SUBSTITUTE($G2311,"-"," ",LEN($G2311)-LEN(SUBSTITUTE($G2311,"-",""))),"-"," ",LEN($G2311)-LEN(SUBSTITUTE($G2311,"-",""))-1))-LEN(SUBSTITUTE(SUBSTITUTE(SUBSTITUTE($G2311,"-"," ",LEN($G2311)-LEN(SUBSTITUTE($G2311,"-",""))),"-"," ",LEN($G2311)-LEN(SUBSTITUTE($G2311,"-",""))-1),".","")))=0,SUBSTITUTE(SUBSTITUTE($G2311,"-"," ",LEN($G2311)-LEN(SUBSTITUTE($G2311,"-",""))),"-"," ",LEN($G2311)-LEN(SUBSTITUTE($G2311,"-",""))-1),SUBSTITUTE(SUBSTITUTE(SUBSTITUTE($G2311,"-"," ",LEN($G2311)-LEN(SUBSTITUTE($G2311,"-",""))),"-"," ",LEN($G2311)-LEN(SUBSTITUTE($G2311,"-",""))-1),"."," ",(LEN(SUBSTITUTE(SUBSTITUTE($G2311,"-"," ",LEN($G2311)-LEN(SUBSTITUTE($G2311,"-",""))),"-"," ",LEN($G2311)-LEN(SUBSTITUTE($G2311,"-",""))-1))-LEN(SUBSTITUTE(SUBSTITUTE(SUBSTITUTE($G2311,"-"," ",LEN($G2311)-LEN(SUBSTITUTE($G2311,"-",""))),"-"," ",LEN($G2311)-LEN(SUBSTITUTE($G2311,"-",""))-1),".",""))))),$G2311)))</f>
        <v/>
      </c>
    </row>
    <row r="2312">
      <c r="A2312" s="58" t="n"/>
      <c r="B2312" s="58">
        <f>IF($H2312="","",LEFT($H2312,FIND(" ",$H2312&amp;" ")-1))</f>
        <v/>
      </c>
      <c r="C2312" s="58">
        <f>IF($H2312="","",IFERROR(MID($H2312&amp;" ",FIND("|",SUBSTITUTE($H2312&amp;" "," ","|",1))+1,FIND("|",SUBSTITUTE($H2312&amp;" "," ","|",2))-FIND("|",SUBSTITUTE($H2312&amp;" "," ","|",1))-1),""))</f>
        <v/>
      </c>
      <c r="D2312" s="58">
        <f>IF($H2312="","",IFERROR(MID($H2312&amp;" ",FIND("|",SUBSTITUTE($H2312&amp;" "," ","|",2))+1,FIND("|",SUBSTITUTE($H2312&amp;" "," ","|",3))-FIND("|",SUBSTITUTE($H2312&amp;" "," ","|",2))-1),""))</f>
        <v/>
      </c>
      <c r="E2312" s="58">
        <f>IF($H2312="","",IFERROR(MID($H2312&amp;" ",FIND("|",SUBSTITUTE($H2312&amp;" "," ","|",3))+1,FIND("|",SUBSTITUTE($H2312&amp;" "," ","|",4))-FIND("|",SUBSTITUTE($H2312&amp;" "," ","|",3))-1),""))</f>
        <v/>
      </c>
      <c r="F2312" s="59">
        <f>IF($H2312="","",IFERROR(VALUE(IFERROR(MID($H2312&amp;" ",FIND("|",SUBSTITUTE($H2312&amp;" "," ","|",4))+1,FIND("|",SUBSTITUTE($H2312&amp;" "," ","|",5))-FIND("|",SUBSTITUTE($H2312&amp;" "," ","|",4))-1),""))/86400+25569+9/24,""))</f>
        <v/>
      </c>
      <c r="G2312" s="58">
        <f>TRIM(SUBSTITUTE(SUBSTITUTE(SUBSTITUTE($A2312,CHAR(9)," ")," "," "),CHAR(13),""))</f>
        <v/>
      </c>
      <c r="H2312" s="58">
        <f>IF($G2312="","",IF(ISNUMBER(FIND(" ",$G2312)),$G2312,IFERROR(IF((LEN(SUBSTITUTE(SUBSTITUTE($G2312,"-"," ",LEN($G2312)-LEN(SUBSTITUTE($G2312,"-",""))),"-"," ",LEN($G2312)-LEN(SUBSTITUTE($G2312,"-",""))-1))-LEN(SUBSTITUTE(SUBSTITUTE(SUBSTITUTE($G2312,"-"," ",LEN($G2312)-LEN(SUBSTITUTE($G2312,"-",""))),"-"," ",LEN($G2312)-LEN(SUBSTITUTE($G2312,"-",""))-1),".","")))=0,SUBSTITUTE(SUBSTITUTE($G2312,"-"," ",LEN($G2312)-LEN(SUBSTITUTE($G2312,"-",""))),"-"," ",LEN($G2312)-LEN(SUBSTITUTE($G2312,"-",""))-1),SUBSTITUTE(SUBSTITUTE(SUBSTITUTE($G2312,"-"," ",LEN($G2312)-LEN(SUBSTITUTE($G2312,"-",""))),"-"," ",LEN($G2312)-LEN(SUBSTITUTE($G2312,"-",""))-1),"."," ",(LEN(SUBSTITUTE(SUBSTITUTE($G2312,"-"," ",LEN($G2312)-LEN(SUBSTITUTE($G2312,"-",""))),"-"," ",LEN($G2312)-LEN(SUBSTITUTE($G2312,"-",""))-1))-LEN(SUBSTITUTE(SUBSTITUTE(SUBSTITUTE($G2312,"-"," ",LEN($G2312)-LEN(SUBSTITUTE($G2312,"-",""))),"-"," ",LEN($G2312)-LEN(SUBSTITUTE($G2312,"-",""))-1),".",""))))),$G2312)))</f>
        <v/>
      </c>
    </row>
    <row r="2313">
      <c r="A2313" s="58" t="n"/>
      <c r="B2313" s="58">
        <f>IF($H2313="","",LEFT($H2313,FIND(" ",$H2313&amp;" ")-1))</f>
        <v/>
      </c>
      <c r="C2313" s="58">
        <f>IF($H2313="","",IFERROR(MID($H2313&amp;" ",FIND("|",SUBSTITUTE($H2313&amp;" "," ","|",1))+1,FIND("|",SUBSTITUTE($H2313&amp;" "," ","|",2))-FIND("|",SUBSTITUTE($H2313&amp;" "," ","|",1))-1),""))</f>
        <v/>
      </c>
      <c r="D2313" s="58">
        <f>IF($H2313="","",IFERROR(MID($H2313&amp;" ",FIND("|",SUBSTITUTE($H2313&amp;" "," ","|",2))+1,FIND("|",SUBSTITUTE($H2313&amp;" "," ","|",3))-FIND("|",SUBSTITUTE($H2313&amp;" "," ","|",2))-1),""))</f>
        <v/>
      </c>
      <c r="E2313" s="58">
        <f>IF($H2313="","",IFERROR(MID($H2313&amp;" ",FIND("|",SUBSTITUTE($H2313&amp;" "," ","|",3))+1,FIND("|",SUBSTITUTE($H2313&amp;" "," ","|",4))-FIND("|",SUBSTITUTE($H2313&amp;" "," ","|",3))-1),""))</f>
        <v/>
      </c>
      <c r="F2313" s="59">
        <f>IF($H2313="","",IFERROR(VALUE(IFERROR(MID($H2313&amp;" ",FIND("|",SUBSTITUTE($H2313&amp;" "," ","|",4))+1,FIND("|",SUBSTITUTE($H2313&amp;" "," ","|",5))-FIND("|",SUBSTITUTE($H2313&amp;" "," ","|",4))-1),""))/86400+25569+9/24,""))</f>
        <v/>
      </c>
      <c r="G2313" s="58">
        <f>TRIM(SUBSTITUTE(SUBSTITUTE(SUBSTITUTE($A2313,CHAR(9)," ")," "," "),CHAR(13),""))</f>
        <v/>
      </c>
      <c r="H2313" s="58">
        <f>IF($G2313="","",IF(ISNUMBER(FIND(" ",$G2313)),$G2313,IFERROR(IF((LEN(SUBSTITUTE(SUBSTITUTE($G2313,"-"," ",LEN($G2313)-LEN(SUBSTITUTE($G2313,"-",""))),"-"," ",LEN($G2313)-LEN(SUBSTITUTE($G2313,"-",""))-1))-LEN(SUBSTITUTE(SUBSTITUTE(SUBSTITUTE($G2313,"-"," ",LEN($G2313)-LEN(SUBSTITUTE($G2313,"-",""))),"-"," ",LEN($G2313)-LEN(SUBSTITUTE($G2313,"-",""))-1),".","")))=0,SUBSTITUTE(SUBSTITUTE($G2313,"-"," ",LEN($G2313)-LEN(SUBSTITUTE($G2313,"-",""))),"-"," ",LEN($G2313)-LEN(SUBSTITUTE($G2313,"-",""))-1),SUBSTITUTE(SUBSTITUTE(SUBSTITUTE($G2313,"-"," ",LEN($G2313)-LEN(SUBSTITUTE($G2313,"-",""))),"-"," ",LEN($G2313)-LEN(SUBSTITUTE($G2313,"-",""))-1),"."," ",(LEN(SUBSTITUTE(SUBSTITUTE($G2313,"-"," ",LEN($G2313)-LEN(SUBSTITUTE($G2313,"-",""))),"-"," ",LEN($G2313)-LEN(SUBSTITUTE($G2313,"-",""))-1))-LEN(SUBSTITUTE(SUBSTITUTE(SUBSTITUTE($G2313,"-"," ",LEN($G2313)-LEN(SUBSTITUTE($G2313,"-",""))),"-"," ",LEN($G2313)-LEN(SUBSTITUTE($G2313,"-",""))-1),".",""))))),$G2313)))</f>
        <v/>
      </c>
    </row>
    <row r="2314">
      <c r="A2314" s="58" t="n"/>
      <c r="B2314" s="58">
        <f>IF($H2314="","",LEFT($H2314,FIND(" ",$H2314&amp;" ")-1))</f>
        <v/>
      </c>
      <c r="C2314" s="58">
        <f>IF($H2314="","",IFERROR(MID($H2314&amp;" ",FIND("|",SUBSTITUTE($H2314&amp;" "," ","|",1))+1,FIND("|",SUBSTITUTE($H2314&amp;" "," ","|",2))-FIND("|",SUBSTITUTE($H2314&amp;" "," ","|",1))-1),""))</f>
        <v/>
      </c>
      <c r="D2314" s="58">
        <f>IF($H2314="","",IFERROR(MID($H2314&amp;" ",FIND("|",SUBSTITUTE($H2314&amp;" "," ","|",2))+1,FIND("|",SUBSTITUTE($H2314&amp;" "," ","|",3))-FIND("|",SUBSTITUTE($H2314&amp;" "," ","|",2))-1),""))</f>
        <v/>
      </c>
      <c r="E2314" s="58">
        <f>IF($H2314="","",IFERROR(MID($H2314&amp;" ",FIND("|",SUBSTITUTE($H2314&amp;" "," ","|",3))+1,FIND("|",SUBSTITUTE($H2314&amp;" "," ","|",4))-FIND("|",SUBSTITUTE($H2314&amp;" "," ","|",3))-1),""))</f>
        <v/>
      </c>
      <c r="F2314" s="59">
        <f>IF($H2314="","",IFERROR(VALUE(IFERROR(MID($H2314&amp;" ",FIND("|",SUBSTITUTE($H2314&amp;" "," ","|",4))+1,FIND("|",SUBSTITUTE($H2314&amp;" "," ","|",5))-FIND("|",SUBSTITUTE($H2314&amp;" "," ","|",4))-1),""))/86400+25569+9/24,""))</f>
        <v/>
      </c>
      <c r="G2314" s="58">
        <f>TRIM(SUBSTITUTE(SUBSTITUTE(SUBSTITUTE($A2314,CHAR(9)," ")," "," "),CHAR(13),""))</f>
        <v/>
      </c>
      <c r="H2314" s="58">
        <f>IF($G2314="","",IF(ISNUMBER(FIND(" ",$G2314)),$G2314,IFERROR(IF((LEN(SUBSTITUTE(SUBSTITUTE($G2314,"-"," ",LEN($G2314)-LEN(SUBSTITUTE($G2314,"-",""))),"-"," ",LEN($G2314)-LEN(SUBSTITUTE($G2314,"-",""))-1))-LEN(SUBSTITUTE(SUBSTITUTE(SUBSTITUTE($G2314,"-"," ",LEN($G2314)-LEN(SUBSTITUTE($G2314,"-",""))),"-"," ",LEN($G2314)-LEN(SUBSTITUTE($G2314,"-",""))-1),".","")))=0,SUBSTITUTE(SUBSTITUTE($G2314,"-"," ",LEN($G2314)-LEN(SUBSTITUTE($G2314,"-",""))),"-"," ",LEN($G2314)-LEN(SUBSTITUTE($G2314,"-",""))-1),SUBSTITUTE(SUBSTITUTE(SUBSTITUTE($G2314,"-"," ",LEN($G2314)-LEN(SUBSTITUTE($G2314,"-",""))),"-"," ",LEN($G2314)-LEN(SUBSTITUTE($G2314,"-",""))-1),"."," ",(LEN(SUBSTITUTE(SUBSTITUTE($G2314,"-"," ",LEN($G2314)-LEN(SUBSTITUTE($G2314,"-",""))),"-"," ",LEN($G2314)-LEN(SUBSTITUTE($G2314,"-",""))-1))-LEN(SUBSTITUTE(SUBSTITUTE(SUBSTITUTE($G2314,"-"," ",LEN($G2314)-LEN(SUBSTITUTE($G2314,"-",""))),"-"," ",LEN($G2314)-LEN(SUBSTITUTE($G2314,"-",""))-1),".",""))))),$G2314)))</f>
        <v/>
      </c>
    </row>
    <row r="2315">
      <c r="A2315" s="58" t="n"/>
      <c r="B2315" s="58">
        <f>IF($H2315="","",LEFT($H2315,FIND(" ",$H2315&amp;" ")-1))</f>
        <v/>
      </c>
      <c r="C2315" s="58">
        <f>IF($H2315="","",IFERROR(MID($H2315&amp;" ",FIND("|",SUBSTITUTE($H2315&amp;" "," ","|",1))+1,FIND("|",SUBSTITUTE($H2315&amp;" "," ","|",2))-FIND("|",SUBSTITUTE($H2315&amp;" "," ","|",1))-1),""))</f>
        <v/>
      </c>
      <c r="D2315" s="58">
        <f>IF($H2315="","",IFERROR(MID($H2315&amp;" ",FIND("|",SUBSTITUTE($H2315&amp;" "," ","|",2))+1,FIND("|",SUBSTITUTE($H2315&amp;" "," ","|",3))-FIND("|",SUBSTITUTE($H2315&amp;" "," ","|",2))-1),""))</f>
        <v/>
      </c>
      <c r="E2315" s="58">
        <f>IF($H2315="","",IFERROR(MID($H2315&amp;" ",FIND("|",SUBSTITUTE($H2315&amp;" "," ","|",3))+1,FIND("|",SUBSTITUTE($H2315&amp;" "," ","|",4))-FIND("|",SUBSTITUTE($H2315&amp;" "," ","|",3))-1),""))</f>
        <v/>
      </c>
      <c r="F2315" s="59">
        <f>IF($H2315="","",IFERROR(VALUE(IFERROR(MID($H2315&amp;" ",FIND("|",SUBSTITUTE($H2315&amp;" "," ","|",4))+1,FIND("|",SUBSTITUTE($H2315&amp;" "," ","|",5))-FIND("|",SUBSTITUTE($H2315&amp;" "," ","|",4))-1),""))/86400+25569+9/24,""))</f>
        <v/>
      </c>
      <c r="G2315" s="58">
        <f>TRIM(SUBSTITUTE(SUBSTITUTE(SUBSTITUTE($A2315,CHAR(9)," ")," "," "),CHAR(13),""))</f>
        <v/>
      </c>
      <c r="H2315" s="58">
        <f>IF($G2315="","",IF(ISNUMBER(FIND(" ",$G2315)),$G2315,IFERROR(IF((LEN(SUBSTITUTE(SUBSTITUTE($G2315,"-"," ",LEN($G2315)-LEN(SUBSTITUTE($G2315,"-",""))),"-"," ",LEN($G2315)-LEN(SUBSTITUTE($G2315,"-",""))-1))-LEN(SUBSTITUTE(SUBSTITUTE(SUBSTITUTE($G2315,"-"," ",LEN($G2315)-LEN(SUBSTITUTE($G2315,"-",""))),"-"," ",LEN($G2315)-LEN(SUBSTITUTE($G2315,"-",""))-1),".","")))=0,SUBSTITUTE(SUBSTITUTE($G2315,"-"," ",LEN($G2315)-LEN(SUBSTITUTE($G2315,"-",""))),"-"," ",LEN($G2315)-LEN(SUBSTITUTE($G2315,"-",""))-1),SUBSTITUTE(SUBSTITUTE(SUBSTITUTE($G2315,"-"," ",LEN($G2315)-LEN(SUBSTITUTE($G2315,"-",""))),"-"," ",LEN($G2315)-LEN(SUBSTITUTE($G2315,"-",""))-1),"."," ",(LEN(SUBSTITUTE(SUBSTITUTE($G2315,"-"," ",LEN($G2315)-LEN(SUBSTITUTE($G2315,"-",""))),"-"," ",LEN($G2315)-LEN(SUBSTITUTE($G2315,"-",""))-1))-LEN(SUBSTITUTE(SUBSTITUTE(SUBSTITUTE($G2315,"-"," ",LEN($G2315)-LEN(SUBSTITUTE($G2315,"-",""))),"-"," ",LEN($G2315)-LEN(SUBSTITUTE($G2315,"-",""))-1),".",""))))),$G2315)))</f>
        <v/>
      </c>
    </row>
    <row r="2316">
      <c r="A2316" s="58" t="n"/>
      <c r="B2316" s="58">
        <f>IF($H2316="","",LEFT($H2316,FIND(" ",$H2316&amp;" ")-1))</f>
        <v/>
      </c>
      <c r="C2316" s="58">
        <f>IF($H2316="","",IFERROR(MID($H2316&amp;" ",FIND("|",SUBSTITUTE($H2316&amp;" "," ","|",1))+1,FIND("|",SUBSTITUTE($H2316&amp;" "," ","|",2))-FIND("|",SUBSTITUTE($H2316&amp;" "," ","|",1))-1),""))</f>
        <v/>
      </c>
      <c r="D2316" s="58">
        <f>IF($H2316="","",IFERROR(MID($H2316&amp;" ",FIND("|",SUBSTITUTE($H2316&amp;" "," ","|",2))+1,FIND("|",SUBSTITUTE($H2316&amp;" "," ","|",3))-FIND("|",SUBSTITUTE($H2316&amp;" "," ","|",2))-1),""))</f>
        <v/>
      </c>
      <c r="E2316" s="58">
        <f>IF($H2316="","",IFERROR(MID($H2316&amp;" ",FIND("|",SUBSTITUTE($H2316&amp;" "," ","|",3))+1,FIND("|",SUBSTITUTE($H2316&amp;" "," ","|",4))-FIND("|",SUBSTITUTE($H2316&amp;" "," ","|",3))-1),""))</f>
        <v/>
      </c>
      <c r="F2316" s="59">
        <f>IF($H2316="","",IFERROR(VALUE(IFERROR(MID($H2316&amp;" ",FIND("|",SUBSTITUTE($H2316&amp;" "," ","|",4))+1,FIND("|",SUBSTITUTE($H2316&amp;" "," ","|",5))-FIND("|",SUBSTITUTE($H2316&amp;" "," ","|",4))-1),""))/86400+25569+9/24,""))</f>
        <v/>
      </c>
      <c r="G2316" s="58">
        <f>TRIM(SUBSTITUTE(SUBSTITUTE(SUBSTITUTE($A2316,CHAR(9)," ")," "," "),CHAR(13),""))</f>
        <v/>
      </c>
      <c r="H2316" s="58">
        <f>IF($G2316="","",IF(ISNUMBER(FIND(" ",$G2316)),$G2316,IFERROR(IF((LEN(SUBSTITUTE(SUBSTITUTE($G2316,"-"," ",LEN($G2316)-LEN(SUBSTITUTE($G2316,"-",""))),"-"," ",LEN($G2316)-LEN(SUBSTITUTE($G2316,"-",""))-1))-LEN(SUBSTITUTE(SUBSTITUTE(SUBSTITUTE($G2316,"-"," ",LEN($G2316)-LEN(SUBSTITUTE($G2316,"-",""))),"-"," ",LEN($G2316)-LEN(SUBSTITUTE($G2316,"-",""))-1),".","")))=0,SUBSTITUTE(SUBSTITUTE($G2316,"-"," ",LEN($G2316)-LEN(SUBSTITUTE($G2316,"-",""))),"-"," ",LEN($G2316)-LEN(SUBSTITUTE($G2316,"-",""))-1),SUBSTITUTE(SUBSTITUTE(SUBSTITUTE($G2316,"-"," ",LEN($G2316)-LEN(SUBSTITUTE($G2316,"-",""))),"-"," ",LEN($G2316)-LEN(SUBSTITUTE($G2316,"-",""))-1),"."," ",(LEN(SUBSTITUTE(SUBSTITUTE($G2316,"-"," ",LEN($G2316)-LEN(SUBSTITUTE($G2316,"-",""))),"-"," ",LEN($G2316)-LEN(SUBSTITUTE($G2316,"-",""))-1))-LEN(SUBSTITUTE(SUBSTITUTE(SUBSTITUTE($G2316,"-"," ",LEN($G2316)-LEN(SUBSTITUTE($G2316,"-",""))),"-"," ",LEN($G2316)-LEN(SUBSTITUTE($G2316,"-",""))-1),".",""))))),$G2316)))</f>
        <v/>
      </c>
    </row>
    <row r="2317">
      <c r="A2317" s="58" t="n"/>
      <c r="B2317" s="58">
        <f>IF($H2317="","",LEFT($H2317,FIND(" ",$H2317&amp;" ")-1))</f>
        <v/>
      </c>
      <c r="C2317" s="58">
        <f>IF($H2317="","",IFERROR(MID($H2317&amp;" ",FIND("|",SUBSTITUTE($H2317&amp;" "," ","|",1))+1,FIND("|",SUBSTITUTE($H2317&amp;" "," ","|",2))-FIND("|",SUBSTITUTE($H2317&amp;" "," ","|",1))-1),""))</f>
        <v/>
      </c>
      <c r="D2317" s="58">
        <f>IF($H2317="","",IFERROR(MID($H2317&amp;" ",FIND("|",SUBSTITUTE($H2317&amp;" "," ","|",2))+1,FIND("|",SUBSTITUTE($H2317&amp;" "," ","|",3))-FIND("|",SUBSTITUTE($H2317&amp;" "," ","|",2))-1),""))</f>
        <v/>
      </c>
      <c r="E2317" s="58">
        <f>IF($H2317="","",IFERROR(MID($H2317&amp;" ",FIND("|",SUBSTITUTE($H2317&amp;" "," ","|",3))+1,FIND("|",SUBSTITUTE($H2317&amp;" "," ","|",4))-FIND("|",SUBSTITUTE($H2317&amp;" "," ","|",3))-1),""))</f>
        <v/>
      </c>
      <c r="F2317" s="59">
        <f>IF($H2317="","",IFERROR(VALUE(IFERROR(MID($H2317&amp;" ",FIND("|",SUBSTITUTE($H2317&amp;" "," ","|",4))+1,FIND("|",SUBSTITUTE($H2317&amp;" "," ","|",5))-FIND("|",SUBSTITUTE($H2317&amp;" "," ","|",4))-1),""))/86400+25569+9/24,""))</f>
        <v/>
      </c>
      <c r="G2317" s="58">
        <f>TRIM(SUBSTITUTE(SUBSTITUTE(SUBSTITUTE($A2317,CHAR(9)," ")," "," "),CHAR(13),""))</f>
        <v/>
      </c>
      <c r="H2317" s="58">
        <f>IF($G2317="","",IF(ISNUMBER(FIND(" ",$G2317)),$G2317,IFERROR(IF((LEN(SUBSTITUTE(SUBSTITUTE($G2317,"-"," ",LEN($G2317)-LEN(SUBSTITUTE($G2317,"-",""))),"-"," ",LEN($G2317)-LEN(SUBSTITUTE($G2317,"-",""))-1))-LEN(SUBSTITUTE(SUBSTITUTE(SUBSTITUTE($G2317,"-"," ",LEN($G2317)-LEN(SUBSTITUTE($G2317,"-",""))),"-"," ",LEN($G2317)-LEN(SUBSTITUTE($G2317,"-",""))-1),".","")))=0,SUBSTITUTE(SUBSTITUTE($G2317,"-"," ",LEN($G2317)-LEN(SUBSTITUTE($G2317,"-",""))),"-"," ",LEN($G2317)-LEN(SUBSTITUTE($G2317,"-",""))-1),SUBSTITUTE(SUBSTITUTE(SUBSTITUTE($G2317,"-"," ",LEN($G2317)-LEN(SUBSTITUTE($G2317,"-",""))),"-"," ",LEN($G2317)-LEN(SUBSTITUTE($G2317,"-",""))-1),"."," ",(LEN(SUBSTITUTE(SUBSTITUTE($G2317,"-"," ",LEN($G2317)-LEN(SUBSTITUTE($G2317,"-",""))),"-"," ",LEN($G2317)-LEN(SUBSTITUTE($G2317,"-",""))-1))-LEN(SUBSTITUTE(SUBSTITUTE(SUBSTITUTE($G2317,"-"," ",LEN($G2317)-LEN(SUBSTITUTE($G2317,"-",""))),"-"," ",LEN($G2317)-LEN(SUBSTITUTE($G2317,"-",""))-1),".",""))))),$G2317)))</f>
        <v/>
      </c>
    </row>
    <row r="2318">
      <c r="A2318" s="58" t="n"/>
      <c r="B2318" s="58">
        <f>IF($H2318="","",LEFT($H2318,FIND(" ",$H2318&amp;" ")-1))</f>
        <v/>
      </c>
      <c r="C2318" s="58">
        <f>IF($H2318="","",IFERROR(MID($H2318&amp;" ",FIND("|",SUBSTITUTE($H2318&amp;" "," ","|",1))+1,FIND("|",SUBSTITUTE($H2318&amp;" "," ","|",2))-FIND("|",SUBSTITUTE($H2318&amp;" "," ","|",1))-1),""))</f>
        <v/>
      </c>
      <c r="D2318" s="58">
        <f>IF($H2318="","",IFERROR(MID($H2318&amp;" ",FIND("|",SUBSTITUTE($H2318&amp;" "," ","|",2))+1,FIND("|",SUBSTITUTE($H2318&amp;" "," ","|",3))-FIND("|",SUBSTITUTE($H2318&amp;" "," ","|",2))-1),""))</f>
        <v/>
      </c>
      <c r="E2318" s="58">
        <f>IF($H2318="","",IFERROR(MID($H2318&amp;" ",FIND("|",SUBSTITUTE($H2318&amp;" "," ","|",3))+1,FIND("|",SUBSTITUTE($H2318&amp;" "," ","|",4))-FIND("|",SUBSTITUTE($H2318&amp;" "," ","|",3))-1),""))</f>
        <v/>
      </c>
      <c r="F2318" s="59">
        <f>IF($H2318="","",IFERROR(VALUE(IFERROR(MID($H2318&amp;" ",FIND("|",SUBSTITUTE($H2318&amp;" "," ","|",4))+1,FIND("|",SUBSTITUTE($H2318&amp;" "," ","|",5))-FIND("|",SUBSTITUTE($H2318&amp;" "," ","|",4))-1),""))/86400+25569+9/24,""))</f>
        <v/>
      </c>
      <c r="G2318" s="58">
        <f>TRIM(SUBSTITUTE(SUBSTITUTE(SUBSTITUTE($A2318,CHAR(9)," ")," "," "),CHAR(13),""))</f>
        <v/>
      </c>
      <c r="H2318" s="58">
        <f>IF($G2318="","",IF(ISNUMBER(FIND(" ",$G2318)),$G2318,IFERROR(IF((LEN(SUBSTITUTE(SUBSTITUTE($G2318,"-"," ",LEN($G2318)-LEN(SUBSTITUTE($G2318,"-",""))),"-"," ",LEN($G2318)-LEN(SUBSTITUTE($G2318,"-",""))-1))-LEN(SUBSTITUTE(SUBSTITUTE(SUBSTITUTE($G2318,"-"," ",LEN($G2318)-LEN(SUBSTITUTE($G2318,"-",""))),"-"," ",LEN($G2318)-LEN(SUBSTITUTE($G2318,"-",""))-1),".","")))=0,SUBSTITUTE(SUBSTITUTE($G2318,"-"," ",LEN($G2318)-LEN(SUBSTITUTE($G2318,"-",""))),"-"," ",LEN($G2318)-LEN(SUBSTITUTE($G2318,"-",""))-1),SUBSTITUTE(SUBSTITUTE(SUBSTITUTE($G2318,"-"," ",LEN($G2318)-LEN(SUBSTITUTE($G2318,"-",""))),"-"," ",LEN($G2318)-LEN(SUBSTITUTE($G2318,"-",""))-1),"."," ",(LEN(SUBSTITUTE(SUBSTITUTE($G2318,"-"," ",LEN($G2318)-LEN(SUBSTITUTE($G2318,"-",""))),"-"," ",LEN($G2318)-LEN(SUBSTITUTE($G2318,"-",""))-1))-LEN(SUBSTITUTE(SUBSTITUTE(SUBSTITUTE($G2318,"-"," ",LEN($G2318)-LEN(SUBSTITUTE($G2318,"-",""))),"-"," ",LEN($G2318)-LEN(SUBSTITUTE($G2318,"-",""))-1),".",""))))),$G2318)))</f>
        <v/>
      </c>
    </row>
    <row r="2319">
      <c r="A2319" s="58" t="n"/>
      <c r="B2319" s="58">
        <f>IF($H2319="","",LEFT($H2319,FIND(" ",$H2319&amp;" ")-1))</f>
        <v/>
      </c>
      <c r="C2319" s="58">
        <f>IF($H2319="","",IFERROR(MID($H2319&amp;" ",FIND("|",SUBSTITUTE($H2319&amp;" "," ","|",1))+1,FIND("|",SUBSTITUTE($H2319&amp;" "," ","|",2))-FIND("|",SUBSTITUTE($H2319&amp;" "," ","|",1))-1),""))</f>
        <v/>
      </c>
      <c r="D2319" s="58">
        <f>IF($H2319="","",IFERROR(MID($H2319&amp;" ",FIND("|",SUBSTITUTE($H2319&amp;" "," ","|",2))+1,FIND("|",SUBSTITUTE($H2319&amp;" "," ","|",3))-FIND("|",SUBSTITUTE($H2319&amp;" "," ","|",2))-1),""))</f>
        <v/>
      </c>
      <c r="E2319" s="58">
        <f>IF($H2319="","",IFERROR(MID($H2319&amp;" ",FIND("|",SUBSTITUTE($H2319&amp;" "," ","|",3))+1,FIND("|",SUBSTITUTE($H2319&amp;" "," ","|",4))-FIND("|",SUBSTITUTE($H2319&amp;" "," ","|",3))-1),""))</f>
        <v/>
      </c>
      <c r="F2319" s="59">
        <f>IF($H2319="","",IFERROR(VALUE(IFERROR(MID($H2319&amp;" ",FIND("|",SUBSTITUTE($H2319&amp;" "," ","|",4))+1,FIND("|",SUBSTITUTE($H2319&amp;" "," ","|",5))-FIND("|",SUBSTITUTE($H2319&amp;" "," ","|",4))-1),""))/86400+25569+9/24,""))</f>
        <v/>
      </c>
      <c r="G2319" s="58">
        <f>TRIM(SUBSTITUTE(SUBSTITUTE(SUBSTITUTE($A2319,CHAR(9)," ")," "," "),CHAR(13),""))</f>
        <v/>
      </c>
      <c r="H2319" s="58">
        <f>IF($G2319="","",IF(ISNUMBER(FIND(" ",$G2319)),$G2319,IFERROR(IF((LEN(SUBSTITUTE(SUBSTITUTE($G2319,"-"," ",LEN($G2319)-LEN(SUBSTITUTE($G2319,"-",""))),"-"," ",LEN($G2319)-LEN(SUBSTITUTE($G2319,"-",""))-1))-LEN(SUBSTITUTE(SUBSTITUTE(SUBSTITUTE($G2319,"-"," ",LEN($G2319)-LEN(SUBSTITUTE($G2319,"-",""))),"-"," ",LEN($G2319)-LEN(SUBSTITUTE($G2319,"-",""))-1),".","")))=0,SUBSTITUTE(SUBSTITUTE($G2319,"-"," ",LEN($G2319)-LEN(SUBSTITUTE($G2319,"-",""))),"-"," ",LEN($G2319)-LEN(SUBSTITUTE($G2319,"-",""))-1),SUBSTITUTE(SUBSTITUTE(SUBSTITUTE($G2319,"-"," ",LEN($G2319)-LEN(SUBSTITUTE($G2319,"-",""))),"-"," ",LEN($G2319)-LEN(SUBSTITUTE($G2319,"-",""))-1),"."," ",(LEN(SUBSTITUTE(SUBSTITUTE($G2319,"-"," ",LEN($G2319)-LEN(SUBSTITUTE($G2319,"-",""))),"-"," ",LEN($G2319)-LEN(SUBSTITUTE($G2319,"-",""))-1))-LEN(SUBSTITUTE(SUBSTITUTE(SUBSTITUTE($G2319,"-"," ",LEN($G2319)-LEN(SUBSTITUTE($G2319,"-",""))),"-"," ",LEN($G2319)-LEN(SUBSTITUTE($G2319,"-",""))-1),".",""))))),$G2319)))</f>
        <v/>
      </c>
    </row>
    <row r="2320">
      <c r="A2320" s="58" t="n"/>
      <c r="B2320" s="58">
        <f>IF($H2320="","",LEFT($H2320,FIND(" ",$H2320&amp;" ")-1))</f>
        <v/>
      </c>
      <c r="C2320" s="58">
        <f>IF($H2320="","",IFERROR(MID($H2320&amp;" ",FIND("|",SUBSTITUTE($H2320&amp;" "," ","|",1))+1,FIND("|",SUBSTITUTE($H2320&amp;" "," ","|",2))-FIND("|",SUBSTITUTE($H2320&amp;" "," ","|",1))-1),""))</f>
        <v/>
      </c>
      <c r="D2320" s="58">
        <f>IF($H2320="","",IFERROR(MID($H2320&amp;" ",FIND("|",SUBSTITUTE($H2320&amp;" "," ","|",2))+1,FIND("|",SUBSTITUTE($H2320&amp;" "," ","|",3))-FIND("|",SUBSTITUTE($H2320&amp;" "," ","|",2))-1),""))</f>
        <v/>
      </c>
      <c r="E2320" s="58">
        <f>IF($H2320="","",IFERROR(MID($H2320&amp;" ",FIND("|",SUBSTITUTE($H2320&amp;" "," ","|",3))+1,FIND("|",SUBSTITUTE($H2320&amp;" "," ","|",4))-FIND("|",SUBSTITUTE($H2320&amp;" "," ","|",3))-1),""))</f>
        <v/>
      </c>
      <c r="F2320" s="59">
        <f>IF($H2320="","",IFERROR(VALUE(IFERROR(MID($H2320&amp;" ",FIND("|",SUBSTITUTE($H2320&amp;" "," ","|",4))+1,FIND("|",SUBSTITUTE($H2320&amp;" "," ","|",5))-FIND("|",SUBSTITUTE($H2320&amp;" "," ","|",4))-1),""))/86400+25569+9/24,""))</f>
        <v/>
      </c>
      <c r="G2320" s="58">
        <f>TRIM(SUBSTITUTE(SUBSTITUTE(SUBSTITUTE($A2320,CHAR(9)," ")," "," "),CHAR(13),""))</f>
        <v/>
      </c>
      <c r="H2320" s="58">
        <f>IF($G2320="","",IF(ISNUMBER(FIND(" ",$G2320)),$G2320,IFERROR(IF((LEN(SUBSTITUTE(SUBSTITUTE($G2320,"-"," ",LEN($G2320)-LEN(SUBSTITUTE($G2320,"-",""))),"-"," ",LEN($G2320)-LEN(SUBSTITUTE($G2320,"-",""))-1))-LEN(SUBSTITUTE(SUBSTITUTE(SUBSTITUTE($G2320,"-"," ",LEN($G2320)-LEN(SUBSTITUTE($G2320,"-",""))),"-"," ",LEN($G2320)-LEN(SUBSTITUTE($G2320,"-",""))-1),".","")))=0,SUBSTITUTE(SUBSTITUTE($G2320,"-"," ",LEN($G2320)-LEN(SUBSTITUTE($G2320,"-",""))),"-"," ",LEN($G2320)-LEN(SUBSTITUTE($G2320,"-",""))-1),SUBSTITUTE(SUBSTITUTE(SUBSTITUTE($G2320,"-"," ",LEN($G2320)-LEN(SUBSTITUTE($G2320,"-",""))),"-"," ",LEN($G2320)-LEN(SUBSTITUTE($G2320,"-",""))-1),"."," ",(LEN(SUBSTITUTE(SUBSTITUTE($G2320,"-"," ",LEN($G2320)-LEN(SUBSTITUTE($G2320,"-",""))),"-"," ",LEN($G2320)-LEN(SUBSTITUTE($G2320,"-",""))-1))-LEN(SUBSTITUTE(SUBSTITUTE(SUBSTITUTE($G2320,"-"," ",LEN($G2320)-LEN(SUBSTITUTE($G2320,"-",""))),"-"," ",LEN($G2320)-LEN(SUBSTITUTE($G2320,"-",""))-1),".",""))))),$G2320)))</f>
        <v/>
      </c>
    </row>
    <row r="2321">
      <c r="A2321" s="58" t="n"/>
      <c r="B2321" s="58">
        <f>IF($H2321="","",LEFT($H2321,FIND(" ",$H2321&amp;" ")-1))</f>
        <v/>
      </c>
      <c r="C2321" s="58">
        <f>IF($H2321="","",IFERROR(MID($H2321&amp;" ",FIND("|",SUBSTITUTE($H2321&amp;" "," ","|",1))+1,FIND("|",SUBSTITUTE($H2321&amp;" "," ","|",2))-FIND("|",SUBSTITUTE($H2321&amp;" "," ","|",1))-1),""))</f>
        <v/>
      </c>
      <c r="D2321" s="58">
        <f>IF($H2321="","",IFERROR(MID($H2321&amp;" ",FIND("|",SUBSTITUTE($H2321&amp;" "," ","|",2))+1,FIND("|",SUBSTITUTE($H2321&amp;" "," ","|",3))-FIND("|",SUBSTITUTE($H2321&amp;" "," ","|",2))-1),""))</f>
        <v/>
      </c>
      <c r="E2321" s="58">
        <f>IF($H2321="","",IFERROR(MID($H2321&amp;" ",FIND("|",SUBSTITUTE($H2321&amp;" "," ","|",3))+1,FIND("|",SUBSTITUTE($H2321&amp;" "," ","|",4))-FIND("|",SUBSTITUTE($H2321&amp;" "," ","|",3))-1),""))</f>
        <v/>
      </c>
      <c r="F2321" s="59">
        <f>IF($H2321="","",IFERROR(VALUE(IFERROR(MID($H2321&amp;" ",FIND("|",SUBSTITUTE($H2321&amp;" "," ","|",4))+1,FIND("|",SUBSTITUTE($H2321&amp;" "," ","|",5))-FIND("|",SUBSTITUTE($H2321&amp;" "," ","|",4))-1),""))/86400+25569+9/24,""))</f>
        <v/>
      </c>
      <c r="G2321" s="58">
        <f>TRIM(SUBSTITUTE(SUBSTITUTE(SUBSTITUTE($A2321,CHAR(9)," ")," "," "),CHAR(13),""))</f>
        <v/>
      </c>
      <c r="H2321" s="58">
        <f>IF($G2321="","",IF(ISNUMBER(FIND(" ",$G2321)),$G2321,IFERROR(IF((LEN(SUBSTITUTE(SUBSTITUTE($G2321,"-"," ",LEN($G2321)-LEN(SUBSTITUTE($G2321,"-",""))),"-"," ",LEN($G2321)-LEN(SUBSTITUTE($G2321,"-",""))-1))-LEN(SUBSTITUTE(SUBSTITUTE(SUBSTITUTE($G2321,"-"," ",LEN($G2321)-LEN(SUBSTITUTE($G2321,"-",""))),"-"," ",LEN($G2321)-LEN(SUBSTITUTE($G2321,"-",""))-1),".","")))=0,SUBSTITUTE(SUBSTITUTE($G2321,"-"," ",LEN($G2321)-LEN(SUBSTITUTE($G2321,"-",""))),"-"," ",LEN($G2321)-LEN(SUBSTITUTE($G2321,"-",""))-1),SUBSTITUTE(SUBSTITUTE(SUBSTITUTE($G2321,"-"," ",LEN($G2321)-LEN(SUBSTITUTE($G2321,"-",""))),"-"," ",LEN($G2321)-LEN(SUBSTITUTE($G2321,"-",""))-1),"."," ",(LEN(SUBSTITUTE(SUBSTITUTE($G2321,"-"," ",LEN($G2321)-LEN(SUBSTITUTE($G2321,"-",""))),"-"," ",LEN($G2321)-LEN(SUBSTITUTE($G2321,"-",""))-1))-LEN(SUBSTITUTE(SUBSTITUTE(SUBSTITUTE($G2321,"-"," ",LEN($G2321)-LEN(SUBSTITUTE($G2321,"-",""))),"-"," ",LEN($G2321)-LEN(SUBSTITUTE($G2321,"-",""))-1),".",""))))),$G2321)))</f>
        <v/>
      </c>
    </row>
    <row r="2322">
      <c r="A2322" s="58" t="n"/>
      <c r="B2322" s="58">
        <f>IF($H2322="","",LEFT($H2322,FIND(" ",$H2322&amp;" ")-1))</f>
        <v/>
      </c>
      <c r="C2322" s="58">
        <f>IF($H2322="","",IFERROR(MID($H2322&amp;" ",FIND("|",SUBSTITUTE($H2322&amp;" "," ","|",1))+1,FIND("|",SUBSTITUTE($H2322&amp;" "," ","|",2))-FIND("|",SUBSTITUTE($H2322&amp;" "," ","|",1))-1),""))</f>
        <v/>
      </c>
      <c r="D2322" s="58">
        <f>IF($H2322="","",IFERROR(MID($H2322&amp;" ",FIND("|",SUBSTITUTE($H2322&amp;" "," ","|",2))+1,FIND("|",SUBSTITUTE($H2322&amp;" "," ","|",3))-FIND("|",SUBSTITUTE($H2322&amp;" "," ","|",2))-1),""))</f>
        <v/>
      </c>
      <c r="E2322" s="58">
        <f>IF($H2322="","",IFERROR(MID($H2322&amp;" ",FIND("|",SUBSTITUTE($H2322&amp;" "," ","|",3))+1,FIND("|",SUBSTITUTE($H2322&amp;" "," ","|",4))-FIND("|",SUBSTITUTE($H2322&amp;" "," ","|",3))-1),""))</f>
        <v/>
      </c>
      <c r="F2322" s="59">
        <f>IF($H2322="","",IFERROR(VALUE(IFERROR(MID($H2322&amp;" ",FIND("|",SUBSTITUTE($H2322&amp;" "," ","|",4))+1,FIND("|",SUBSTITUTE($H2322&amp;" "," ","|",5))-FIND("|",SUBSTITUTE($H2322&amp;" "," ","|",4))-1),""))/86400+25569+9/24,""))</f>
        <v/>
      </c>
      <c r="G2322" s="58">
        <f>TRIM(SUBSTITUTE(SUBSTITUTE(SUBSTITUTE($A2322,CHAR(9)," ")," "," "),CHAR(13),""))</f>
        <v/>
      </c>
      <c r="H2322" s="58">
        <f>IF($G2322="","",IF(ISNUMBER(FIND(" ",$G2322)),$G2322,IFERROR(IF((LEN(SUBSTITUTE(SUBSTITUTE($G2322,"-"," ",LEN($G2322)-LEN(SUBSTITUTE($G2322,"-",""))),"-"," ",LEN($G2322)-LEN(SUBSTITUTE($G2322,"-",""))-1))-LEN(SUBSTITUTE(SUBSTITUTE(SUBSTITUTE($G2322,"-"," ",LEN($G2322)-LEN(SUBSTITUTE($G2322,"-",""))),"-"," ",LEN($G2322)-LEN(SUBSTITUTE($G2322,"-",""))-1),".","")))=0,SUBSTITUTE(SUBSTITUTE($G2322,"-"," ",LEN($G2322)-LEN(SUBSTITUTE($G2322,"-",""))),"-"," ",LEN($G2322)-LEN(SUBSTITUTE($G2322,"-",""))-1),SUBSTITUTE(SUBSTITUTE(SUBSTITUTE($G2322,"-"," ",LEN($G2322)-LEN(SUBSTITUTE($G2322,"-",""))),"-"," ",LEN($G2322)-LEN(SUBSTITUTE($G2322,"-",""))-1),"."," ",(LEN(SUBSTITUTE(SUBSTITUTE($G2322,"-"," ",LEN($G2322)-LEN(SUBSTITUTE($G2322,"-",""))),"-"," ",LEN($G2322)-LEN(SUBSTITUTE($G2322,"-",""))-1))-LEN(SUBSTITUTE(SUBSTITUTE(SUBSTITUTE($G2322,"-"," ",LEN($G2322)-LEN(SUBSTITUTE($G2322,"-",""))),"-"," ",LEN($G2322)-LEN(SUBSTITUTE($G2322,"-",""))-1),".",""))))),$G2322)))</f>
        <v/>
      </c>
    </row>
    <row r="2323">
      <c r="A2323" s="58" t="n"/>
      <c r="B2323" s="58">
        <f>IF($H2323="","",LEFT($H2323,FIND(" ",$H2323&amp;" ")-1))</f>
        <v/>
      </c>
      <c r="C2323" s="58">
        <f>IF($H2323="","",IFERROR(MID($H2323&amp;" ",FIND("|",SUBSTITUTE($H2323&amp;" "," ","|",1))+1,FIND("|",SUBSTITUTE($H2323&amp;" "," ","|",2))-FIND("|",SUBSTITUTE($H2323&amp;" "," ","|",1))-1),""))</f>
        <v/>
      </c>
      <c r="D2323" s="58">
        <f>IF($H2323="","",IFERROR(MID($H2323&amp;" ",FIND("|",SUBSTITUTE($H2323&amp;" "," ","|",2))+1,FIND("|",SUBSTITUTE($H2323&amp;" "," ","|",3))-FIND("|",SUBSTITUTE($H2323&amp;" "," ","|",2))-1),""))</f>
        <v/>
      </c>
      <c r="E2323" s="58">
        <f>IF($H2323="","",IFERROR(MID($H2323&amp;" ",FIND("|",SUBSTITUTE($H2323&amp;" "," ","|",3))+1,FIND("|",SUBSTITUTE($H2323&amp;" "," ","|",4))-FIND("|",SUBSTITUTE($H2323&amp;" "," ","|",3))-1),""))</f>
        <v/>
      </c>
      <c r="F2323" s="59">
        <f>IF($H2323="","",IFERROR(VALUE(IFERROR(MID($H2323&amp;" ",FIND("|",SUBSTITUTE($H2323&amp;" "," ","|",4))+1,FIND("|",SUBSTITUTE($H2323&amp;" "," ","|",5))-FIND("|",SUBSTITUTE($H2323&amp;" "," ","|",4))-1),""))/86400+25569+9/24,""))</f>
        <v/>
      </c>
      <c r="G2323" s="58">
        <f>TRIM(SUBSTITUTE(SUBSTITUTE(SUBSTITUTE($A2323,CHAR(9)," ")," "," "),CHAR(13),""))</f>
        <v/>
      </c>
      <c r="H2323" s="58">
        <f>IF($G2323="","",IF(ISNUMBER(FIND(" ",$G2323)),$G2323,IFERROR(IF((LEN(SUBSTITUTE(SUBSTITUTE($G2323,"-"," ",LEN($G2323)-LEN(SUBSTITUTE($G2323,"-",""))),"-"," ",LEN($G2323)-LEN(SUBSTITUTE($G2323,"-",""))-1))-LEN(SUBSTITUTE(SUBSTITUTE(SUBSTITUTE($G2323,"-"," ",LEN($G2323)-LEN(SUBSTITUTE($G2323,"-",""))),"-"," ",LEN($G2323)-LEN(SUBSTITUTE($G2323,"-",""))-1),".","")))=0,SUBSTITUTE(SUBSTITUTE($G2323,"-"," ",LEN($G2323)-LEN(SUBSTITUTE($G2323,"-",""))),"-"," ",LEN($G2323)-LEN(SUBSTITUTE($G2323,"-",""))-1),SUBSTITUTE(SUBSTITUTE(SUBSTITUTE($G2323,"-"," ",LEN($G2323)-LEN(SUBSTITUTE($G2323,"-",""))),"-"," ",LEN($G2323)-LEN(SUBSTITUTE($G2323,"-",""))-1),"."," ",(LEN(SUBSTITUTE(SUBSTITUTE($G2323,"-"," ",LEN($G2323)-LEN(SUBSTITUTE($G2323,"-",""))),"-"," ",LEN($G2323)-LEN(SUBSTITUTE($G2323,"-",""))-1))-LEN(SUBSTITUTE(SUBSTITUTE(SUBSTITUTE($G2323,"-"," ",LEN($G2323)-LEN(SUBSTITUTE($G2323,"-",""))),"-"," ",LEN($G2323)-LEN(SUBSTITUTE($G2323,"-",""))-1),".",""))))),$G2323)))</f>
        <v/>
      </c>
    </row>
    <row r="2324">
      <c r="A2324" s="58" t="n"/>
      <c r="B2324" s="58">
        <f>IF($H2324="","",LEFT($H2324,FIND(" ",$H2324&amp;" ")-1))</f>
        <v/>
      </c>
      <c r="C2324" s="58">
        <f>IF($H2324="","",IFERROR(MID($H2324&amp;" ",FIND("|",SUBSTITUTE($H2324&amp;" "," ","|",1))+1,FIND("|",SUBSTITUTE($H2324&amp;" "," ","|",2))-FIND("|",SUBSTITUTE($H2324&amp;" "," ","|",1))-1),""))</f>
        <v/>
      </c>
      <c r="D2324" s="58">
        <f>IF($H2324="","",IFERROR(MID($H2324&amp;" ",FIND("|",SUBSTITUTE($H2324&amp;" "," ","|",2))+1,FIND("|",SUBSTITUTE($H2324&amp;" "," ","|",3))-FIND("|",SUBSTITUTE($H2324&amp;" "," ","|",2))-1),""))</f>
        <v/>
      </c>
      <c r="E2324" s="58">
        <f>IF($H2324="","",IFERROR(MID($H2324&amp;" ",FIND("|",SUBSTITUTE($H2324&amp;" "," ","|",3))+1,FIND("|",SUBSTITUTE($H2324&amp;" "," ","|",4))-FIND("|",SUBSTITUTE($H2324&amp;" "," ","|",3))-1),""))</f>
        <v/>
      </c>
      <c r="F2324" s="59">
        <f>IF($H2324="","",IFERROR(VALUE(IFERROR(MID($H2324&amp;" ",FIND("|",SUBSTITUTE($H2324&amp;" "," ","|",4))+1,FIND("|",SUBSTITUTE($H2324&amp;" "," ","|",5))-FIND("|",SUBSTITUTE($H2324&amp;" "," ","|",4))-1),""))/86400+25569+9/24,""))</f>
        <v/>
      </c>
      <c r="G2324" s="58">
        <f>TRIM(SUBSTITUTE(SUBSTITUTE(SUBSTITUTE($A2324,CHAR(9)," ")," "," "),CHAR(13),""))</f>
        <v/>
      </c>
      <c r="H2324" s="58">
        <f>IF($G2324="","",IF(ISNUMBER(FIND(" ",$G2324)),$G2324,IFERROR(IF((LEN(SUBSTITUTE(SUBSTITUTE($G2324,"-"," ",LEN($G2324)-LEN(SUBSTITUTE($G2324,"-",""))),"-"," ",LEN($G2324)-LEN(SUBSTITUTE($G2324,"-",""))-1))-LEN(SUBSTITUTE(SUBSTITUTE(SUBSTITUTE($G2324,"-"," ",LEN($G2324)-LEN(SUBSTITUTE($G2324,"-",""))),"-"," ",LEN($G2324)-LEN(SUBSTITUTE($G2324,"-",""))-1),".","")))=0,SUBSTITUTE(SUBSTITUTE($G2324,"-"," ",LEN($G2324)-LEN(SUBSTITUTE($G2324,"-",""))),"-"," ",LEN($G2324)-LEN(SUBSTITUTE($G2324,"-",""))-1),SUBSTITUTE(SUBSTITUTE(SUBSTITUTE($G2324,"-"," ",LEN($G2324)-LEN(SUBSTITUTE($G2324,"-",""))),"-"," ",LEN($G2324)-LEN(SUBSTITUTE($G2324,"-",""))-1),"."," ",(LEN(SUBSTITUTE(SUBSTITUTE($G2324,"-"," ",LEN($G2324)-LEN(SUBSTITUTE($G2324,"-",""))),"-"," ",LEN($G2324)-LEN(SUBSTITUTE($G2324,"-",""))-1))-LEN(SUBSTITUTE(SUBSTITUTE(SUBSTITUTE($G2324,"-"," ",LEN($G2324)-LEN(SUBSTITUTE($G2324,"-",""))),"-"," ",LEN($G2324)-LEN(SUBSTITUTE($G2324,"-",""))-1),".",""))))),$G2324)))</f>
        <v/>
      </c>
    </row>
    <row r="2325">
      <c r="A2325" s="58" t="n"/>
      <c r="B2325" s="58">
        <f>IF($H2325="","",LEFT($H2325,FIND(" ",$H2325&amp;" ")-1))</f>
        <v/>
      </c>
      <c r="C2325" s="58">
        <f>IF($H2325="","",IFERROR(MID($H2325&amp;" ",FIND("|",SUBSTITUTE($H2325&amp;" "," ","|",1))+1,FIND("|",SUBSTITUTE($H2325&amp;" "," ","|",2))-FIND("|",SUBSTITUTE($H2325&amp;" "," ","|",1))-1),""))</f>
        <v/>
      </c>
      <c r="D2325" s="58">
        <f>IF($H2325="","",IFERROR(MID($H2325&amp;" ",FIND("|",SUBSTITUTE($H2325&amp;" "," ","|",2))+1,FIND("|",SUBSTITUTE($H2325&amp;" "," ","|",3))-FIND("|",SUBSTITUTE($H2325&amp;" "," ","|",2))-1),""))</f>
        <v/>
      </c>
      <c r="E2325" s="58">
        <f>IF($H2325="","",IFERROR(MID($H2325&amp;" ",FIND("|",SUBSTITUTE($H2325&amp;" "," ","|",3))+1,FIND("|",SUBSTITUTE($H2325&amp;" "," ","|",4))-FIND("|",SUBSTITUTE($H2325&amp;" "," ","|",3))-1),""))</f>
        <v/>
      </c>
      <c r="F2325" s="59">
        <f>IF($H2325="","",IFERROR(VALUE(IFERROR(MID($H2325&amp;" ",FIND("|",SUBSTITUTE($H2325&amp;" "," ","|",4))+1,FIND("|",SUBSTITUTE($H2325&amp;" "," ","|",5))-FIND("|",SUBSTITUTE($H2325&amp;" "," ","|",4))-1),""))/86400+25569+9/24,""))</f>
        <v/>
      </c>
      <c r="G2325" s="58">
        <f>TRIM(SUBSTITUTE(SUBSTITUTE(SUBSTITUTE($A2325,CHAR(9)," ")," "," "),CHAR(13),""))</f>
        <v/>
      </c>
      <c r="H2325" s="58">
        <f>IF($G2325="","",IF(ISNUMBER(FIND(" ",$G2325)),$G2325,IFERROR(IF((LEN(SUBSTITUTE(SUBSTITUTE($G2325,"-"," ",LEN($G2325)-LEN(SUBSTITUTE($G2325,"-",""))),"-"," ",LEN($G2325)-LEN(SUBSTITUTE($G2325,"-",""))-1))-LEN(SUBSTITUTE(SUBSTITUTE(SUBSTITUTE($G2325,"-"," ",LEN($G2325)-LEN(SUBSTITUTE($G2325,"-",""))),"-"," ",LEN($G2325)-LEN(SUBSTITUTE($G2325,"-",""))-1),".","")))=0,SUBSTITUTE(SUBSTITUTE($G2325,"-"," ",LEN($G2325)-LEN(SUBSTITUTE($G2325,"-",""))),"-"," ",LEN($G2325)-LEN(SUBSTITUTE($G2325,"-",""))-1),SUBSTITUTE(SUBSTITUTE(SUBSTITUTE($G2325,"-"," ",LEN($G2325)-LEN(SUBSTITUTE($G2325,"-",""))),"-"," ",LEN($G2325)-LEN(SUBSTITUTE($G2325,"-",""))-1),"."," ",(LEN(SUBSTITUTE(SUBSTITUTE($G2325,"-"," ",LEN($G2325)-LEN(SUBSTITUTE($G2325,"-",""))),"-"," ",LEN($G2325)-LEN(SUBSTITUTE($G2325,"-",""))-1))-LEN(SUBSTITUTE(SUBSTITUTE(SUBSTITUTE($G2325,"-"," ",LEN($G2325)-LEN(SUBSTITUTE($G2325,"-",""))),"-"," ",LEN($G2325)-LEN(SUBSTITUTE($G2325,"-",""))-1),".",""))))),$G2325)))</f>
        <v/>
      </c>
    </row>
    <row r="2326">
      <c r="A2326" s="58" t="n"/>
      <c r="B2326" s="58">
        <f>IF($H2326="","",LEFT($H2326,FIND(" ",$H2326&amp;" ")-1))</f>
        <v/>
      </c>
      <c r="C2326" s="58">
        <f>IF($H2326="","",IFERROR(MID($H2326&amp;" ",FIND("|",SUBSTITUTE($H2326&amp;" "," ","|",1))+1,FIND("|",SUBSTITUTE($H2326&amp;" "," ","|",2))-FIND("|",SUBSTITUTE($H2326&amp;" "," ","|",1))-1),""))</f>
        <v/>
      </c>
      <c r="D2326" s="58">
        <f>IF($H2326="","",IFERROR(MID($H2326&amp;" ",FIND("|",SUBSTITUTE($H2326&amp;" "," ","|",2))+1,FIND("|",SUBSTITUTE($H2326&amp;" "," ","|",3))-FIND("|",SUBSTITUTE($H2326&amp;" "," ","|",2))-1),""))</f>
        <v/>
      </c>
      <c r="E2326" s="58">
        <f>IF($H2326="","",IFERROR(MID($H2326&amp;" ",FIND("|",SUBSTITUTE($H2326&amp;" "," ","|",3))+1,FIND("|",SUBSTITUTE($H2326&amp;" "," ","|",4))-FIND("|",SUBSTITUTE($H2326&amp;" "," ","|",3))-1),""))</f>
        <v/>
      </c>
      <c r="F2326" s="59">
        <f>IF($H2326="","",IFERROR(VALUE(IFERROR(MID($H2326&amp;" ",FIND("|",SUBSTITUTE($H2326&amp;" "," ","|",4))+1,FIND("|",SUBSTITUTE($H2326&amp;" "," ","|",5))-FIND("|",SUBSTITUTE($H2326&amp;" "," ","|",4))-1),""))/86400+25569+9/24,""))</f>
        <v/>
      </c>
      <c r="G2326" s="58">
        <f>TRIM(SUBSTITUTE(SUBSTITUTE(SUBSTITUTE($A2326,CHAR(9)," ")," "," "),CHAR(13),""))</f>
        <v/>
      </c>
      <c r="H2326" s="58">
        <f>IF($G2326="","",IF(ISNUMBER(FIND(" ",$G2326)),$G2326,IFERROR(IF((LEN(SUBSTITUTE(SUBSTITUTE($G2326,"-"," ",LEN($G2326)-LEN(SUBSTITUTE($G2326,"-",""))),"-"," ",LEN($G2326)-LEN(SUBSTITUTE($G2326,"-",""))-1))-LEN(SUBSTITUTE(SUBSTITUTE(SUBSTITUTE($G2326,"-"," ",LEN($G2326)-LEN(SUBSTITUTE($G2326,"-",""))),"-"," ",LEN($G2326)-LEN(SUBSTITUTE($G2326,"-",""))-1),".","")))=0,SUBSTITUTE(SUBSTITUTE($G2326,"-"," ",LEN($G2326)-LEN(SUBSTITUTE($G2326,"-",""))),"-"," ",LEN($G2326)-LEN(SUBSTITUTE($G2326,"-",""))-1),SUBSTITUTE(SUBSTITUTE(SUBSTITUTE($G2326,"-"," ",LEN($G2326)-LEN(SUBSTITUTE($G2326,"-",""))),"-"," ",LEN($G2326)-LEN(SUBSTITUTE($G2326,"-",""))-1),"."," ",(LEN(SUBSTITUTE(SUBSTITUTE($G2326,"-"," ",LEN($G2326)-LEN(SUBSTITUTE($G2326,"-",""))),"-"," ",LEN($G2326)-LEN(SUBSTITUTE($G2326,"-",""))-1))-LEN(SUBSTITUTE(SUBSTITUTE(SUBSTITUTE($G2326,"-"," ",LEN($G2326)-LEN(SUBSTITUTE($G2326,"-",""))),"-"," ",LEN($G2326)-LEN(SUBSTITUTE($G2326,"-",""))-1),".",""))))),$G2326)))</f>
        <v/>
      </c>
    </row>
    <row r="2327">
      <c r="A2327" s="58" t="n"/>
      <c r="B2327" s="58">
        <f>IF($H2327="","",LEFT($H2327,FIND(" ",$H2327&amp;" ")-1))</f>
        <v/>
      </c>
      <c r="C2327" s="58">
        <f>IF($H2327="","",IFERROR(MID($H2327&amp;" ",FIND("|",SUBSTITUTE($H2327&amp;" "," ","|",1))+1,FIND("|",SUBSTITUTE($H2327&amp;" "," ","|",2))-FIND("|",SUBSTITUTE($H2327&amp;" "," ","|",1))-1),""))</f>
        <v/>
      </c>
      <c r="D2327" s="58">
        <f>IF($H2327="","",IFERROR(MID($H2327&amp;" ",FIND("|",SUBSTITUTE($H2327&amp;" "," ","|",2))+1,FIND("|",SUBSTITUTE($H2327&amp;" "," ","|",3))-FIND("|",SUBSTITUTE($H2327&amp;" "," ","|",2))-1),""))</f>
        <v/>
      </c>
      <c r="E2327" s="58">
        <f>IF($H2327="","",IFERROR(MID($H2327&amp;" ",FIND("|",SUBSTITUTE($H2327&amp;" "," ","|",3))+1,FIND("|",SUBSTITUTE($H2327&amp;" "," ","|",4))-FIND("|",SUBSTITUTE($H2327&amp;" "," ","|",3))-1),""))</f>
        <v/>
      </c>
      <c r="F2327" s="59">
        <f>IF($H2327="","",IFERROR(VALUE(IFERROR(MID($H2327&amp;" ",FIND("|",SUBSTITUTE($H2327&amp;" "," ","|",4))+1,FIND("|",SUBSTITUTE($H2327&amp;" "," ","|",5))-FIND("|",SUBSTITUTE($H2327&amp;" "," ","|",4))-1),""))/86400+25569+9/24,""))</f>
        <v/>
      </c>
      <c r="G2327" s="58">
        <f>TRIM(SUBSTITUTE(SUBSTITUTE(SUBSTITUTE($A2327,CHAR(9)," ")," "," "),CHAR(13),""))</f>
        <v/>
      </c>
      <c r="H2327" s="58">
        <f>IF($G2327="","",IF(ISNUMBER(FIND(" ",$G2327)),$G2327,IFERROR(IF((LEN(SUBSTITUTE(SUBSTITUTE($G2327,"-"," ",LEN($G2327)-LEN(SUBSTITUTE($G2327,"-",""))),"-"," ",LEN($G2327)-LEN(SUBSTITUTE($G2327,"-",""))-1))-LEN(SUBSTITUTE(SUBSTITUTE(SUBSTITUTE($G2327,"-"," ",LEN($G2327)-LEN(SUBSTITUTE($G2327,"-",""))),"-"," ",LEN($G2327)-LEN(SUBSTITUTE($G2327,"-",""))-1),".","")))=0,SUBSTITUTE(SUBSTITUTE($G2327,"-"," ",LEN($G2327)-LEN(SUBSTITUTE($G2327,"-",""))),"-"," ",LEN($G2327)-LEN(SUBSTITUTE($G2327,"-",""))-1),SUBSTITUTE(SUBSTITUTE(SUBSTITUTE($G2327,"-"," ",LEN($G2327)-LEN(SUBSTITUTE($G2327,"-",""))),"-"," ",LEN($G2327)-LEN(SUBSTITUTE($G2327,"-",""))-1),"."," ",(LEN(SUBSTITUTE(SUBSTITUTE($G2327,"-"," ",LEN($G2327)-LEN(SUBSTITUTE($G2327,"-",""))),"-"," ",LEN($G2327)-LEN(SUBSTITUTE($G2327,"-",""))-1))-LEN(SUBSTITUTE(SUBSTITUTE(SUBSTITUTE($G2327,"-"," ",LEN($G2327)-LEN(SUBSTITUTE($G2327,"-",""))),"-"," ",LEN($G2327)-LEN(SUBSTITUTE($G2327,"-",""))-1),".",""))))),$G2327)))</f>
        <v/>
      </c>
    </row>
    <row r="2328">
      <c r="A2328" s="58" t="n"/>
      <c r="B2328" s="58">
        <f>IF($H2328="","",LEFT($H2328,FIND(" ",$H2328&amp;" ")-1))</f>
        <v/>
      </c>
      <c r="C2328" s="58">
        <f>IF($H2328="","",IFERROR(MID($H2328&amp;" ",FIND("|",SUBSTITUTE($H2328&amp;" "," ","|",1))+1,FIND("|",SUBSTITUTE($H2328&amp;" "," ","|",2))-FIND("|",SUBSTITUTE($H2328&amp;" "," ","|",1))-1),""))</f>
        <v/>
      </c>
      <c r="D2328" s="58">
        <f>IF($H2328="","",IFERROR(MID($H2328&amp;" ",FIND("|",SUBSTITUTE($H2328&amp;" "," ","|",2))+1,FIND("|",SUBSTITUTE($H2328&amp;" "," ","|",3))-FIND("|",SUBSTITUTE($H2328&amp;" "," ","|",2))-1),""))</f>
        <v/>
      </c>
      <c r="E2328" s="58">
        <f>IF($H2328="","",IFERROR(MID($H2328&amp;" ",FIND("|",SUBSTITUTE($H2328&amp;" "," ","|",3))+1,FIND("|",SUBSTITUTE($H2328&amp;" "," ","|",4))-FIND("|",SUBSTITUTE($H2328&amp;" "," ","|",3))-1),""))</f>
        <v/>
      </c>
      <c r="F2328" s="59">
        <f>IF($H2328="","",IFERROR(VALUE(IFERROR(MID($H2328&amp;" ",FIND("|",SUBSTITUTE($H2328&amp;" "," ","|",4))+1,FIND("|",SUBSTITUTE($H2328&amp;" "," ","|",5))-FIND("|",SUBSTITUTE($H2328&amp;" "," ","|",4))-1),""))/86400+25569+9/24,""))</f>
        <v/>
      </c>
      <c r="G2328" s="58">
        <f>TRIM(SUBSTITUTE(SUBSTITUTE(SUBSTITUTE($A2328,CHAR(9)," ")," "," "),CHAR(13),""))</f>
        <v/>
      </c>
      <c r="H2328" s="58">
        <f>IF($G2328="","",IF(ISNUMBER(FIND(" ",$G2328)),$G2328,IFERROR(IF((LEN(SUBSTITUTE(SUBSTITUTE($G2328,"-"," ",LEN($G2328)-LEN(SUBSTITUTE($G2328,"-",""))),"-"," ",LEN($G2328)-LEN(SUBSTITUTE($G2328,"-",""))-1))-LEN(SUBSTITUTE(SUBSTITUTE(SUBSTITUTE($G2328,"-"," ",LEN($G2328)-LEN(SUBSTITUTE($G2328,"-",""))),"-"," ",LEN($G2328)-LEN(SUBSTITUTE($G2328,"-",""))-1),".","")))=0,SUBSTITUTE(SUBSTITUTE($G2328,"-"," ",LEN($G2328)-LEN(SUBSTITUTE($G2328,"-",""))),"-"," ",LEN($G2328)-LEN(SUBSTITUTE($G2328,"-",""))-1),SUBSTITUTE(SUBSTITUTE(SUBSTITUTE($G2328,"-"," ",LEN($G2328)-LEN(SUBSTITUTE($G2328,"-",""))),"-"," ",LEN($G2328)-LEN(SUBSTITUTE($G2328,"-",""))-1),"."," ",(LEN(SUBSTITUTE(SUBSTITUTE($G2328,"-"," ",LEN($G2328)-LEN(SUBSTITUTE($G2328,"-",""))),"-"," ",LEN($G2328)-LEN(SUBSTITUTE($G2328,"-",""))-1))-LEN(SUBSTITUTE(SUBSTITUTE(SUBSTITUTE($G2328,"-"," ",LEN($G2328)-LEN(SUBSTITUTE($G2328,"-",""))),"-"," ",LEN($G2328)-LEN(SUBSTITUTE($G2328,"-",""))-1),".",""))))),$G2328)))</f>
        <v/>
      </c>
    </row>
    <row r="2329">
      <c r="A2329" s="58" t="n"/>
      <c r="B2329" s="58">
        <f>IF($H2329="","",LEFT($H2329,FIND(" ",$H2329&amp;" ")-1))</f>
        <v/>
      </c>
      <c r="C2329" s="58">
        <f>IF($H2329="","",IFERROR(MID($H2329&amp;" ",FIND("|",SUBSTITUTE($H2329&amp;" "," ","|",1))+1,FIND("|",SUBSTITUTE($H2329&amp;" "," ","|",2))-FIND("|",SUBSTITUTE($H2329&amp;" "," ","|",1))-1),""))</f>
        <v/>
      </c>
      <c r="D2329" s="58">
        <f>IF($H2329="","",IFERROR(MID($H2329&amp;" ",FIND("|",SUBSTITUTE($H2329&amp;" "," ","|",2))+1,FIND("|",SUBSTITUTE($H2329&amp;" "," ","|",3))-FIND("|",SUBSTITUTE($H2329&amp;" "," ","|",2))-1),""))</f>
        <v/>
      </c>
      <c r="E2329" s="58">
        <f>IF($H2329="","",IFERROR(MID($H2329&amp;" ",FIND("|",SUBSTITUTE($H2329&amp;" "," ","|",3))+1,FIND("|",SUBSTITUTE($H2329&amp;" "," ","|",4))-FIND("|",SUBSTITUTE($H2329&amp;" "," ","|",3))-1),""))</f>
        <v/>
      </c>
      <c r="F2329" s="59">
        <f>IF($H2329="","",IFERROR(VALUE(IFERROR(MID($H2329&amp;" ",FIND("|",SUBSTITUTE($H2329&amp;" "," ","|",4))+1,FIND("|",SUBSTITUTE($H2329&amp;" "," ","|",5))-FIND("|",SUBSTITUTE($H2329&amp;" "," ","|",4))-1),""))/86400+25569+9/24,""))</f>
        <v/>
      </c>
      <c r="G2329" s="58">
        <f>TRIM(SUBSTITUTE(SUBSTITUTE(SUBSTITUTE($A2329,CHAR(9)," ")," "," "),CHAR(13),""))</f>
        <v/>
      </c>
      <c r="H2329" s="58">
        <f>IF($G2329="","",IF(ISNUMBER(FIND(" ",$G2329)),$G2329,IFERROR(IF((LEN(SUBSTITUTE(SUBSTITUTE($G2329,"-"," ",LEN($G2329)-LEN(SUBSTITUTE($G2329,"-",""))),"-"," ",LEN($G2329)-LEN(SUBSTITUTE($G2329,"-",""))-1))-LEN(SUBSTITUTE(SUBSTITUTE(SUBSTITUTE($G2329,"-"," ",LEN($G2329)-LEN(SUBSTITUTE($G2329,"-",""))),"-"," ",LEN($G2329)-LEN(SUBSTITUTE($G2329,"-",""))-1),".","")))=0,SUBSTITUTE(SUBSTITUTE($G2329,"-"," ",LEN($G2329)-LEN(SUBSTITUTE($G2329,"-",""))),"-"," ",LEN($G2329)-LEN(SUBSTITUTE($G2329,"-",""))-1),SUBSTITUTE(SUBSTITUTE(SUBSTITUTE($G2329,"-"," ",LEN($G2329)-LEN(SUBSTITUTE($G2329,"-",""))),"-"," ",LEN($G2329)-LEN(SUBSTITUTE($G2329,"-",""))-1),"."," ",(LEN(SUBSTITUTE(SUBSTITUTE($G2329,"-"," ",LEN($G2329)-LEN(SUBSTITUTE($G2329,"-",""))),"-"," ",LEN($G2329)-LEN(SUBSTITUTE($G2329,"-",""))-1))-LEN(SUBSTITUTE(SUBSTITUTE(SUBSTITUTE($G2329,"-"," ",LEN($G2329)-LEN(SUBSTITUTE($G2329,"-",""))),"-"," ",LEN($G2329)-LEN(SUBSTITUTE($G2329,"-",""))-1),".",""))))),$G2329)))</f>
        <v/>
      </c>
    </row>
    <row r="2330">
      <c r="A2330" s="58" t="n"/>
      <c r="B2330" s="58">
        <f>IF($H2330="","",LEFT($H2330,FIND(" ",$H2330&amp;" ")-1))</f>
        <v/>
      </c>
      <c r="C2330" s="58">
        <f>IF($H2330="","",IFERROR(MID($H2330&amp;" ",FIND("|",SUBSTITUTE($H2330&amp;" "," ","|",1))+1,FIND("|",SUBSTITUTE($H2330&amp;" "," ","|",2))-FIND("|",SUBSTITUTE($H2330&amp;" "," ","|",1))-1),""))</f>
        <v/>
      </c>
      <c r="D2330" s="58">
        <f>IF($H2330="","",IFERROR(MID($H2330&amp;" ",FIND("|",SUBSTITUTE($H2330&amp;" "," ","|",2))+1,FIND("|",SUBSTITUTE($H2330&amp;" "," ","|",3))-FIND("|",SUBSTITUTE($H2330&amp;" "," ","|",2))-1),""))</f>
        <v/>
      </c>
      <c r="E2330" s="58">
        <f>IF($H2330="","",IFERROR(MID($H2330&amp;" ",FIND("|",SUBSTITUTE($H2330&amp;" "," ","|",3))+1,FIND("|",SUBSTITUTE($H2330&amp;" "," ","|",4))-FIND("|",SUBSTITUTE($H2330&amp;" "," ","|",3))-1),""))</f>
        <v/>
      </c>
      <c r="F2330" s="59">
        <f>IF($H2330="","",IFERROR(VALUE(IFERROR(MID($H2330&amp;" ",FIND("|",SUBSTITUTE($H2330&amp;" "," ","|",4))+1,FIND("|",SUBSTITUTE($H2330&amp;" "," ","|",5))-FIND("|",SUBSTITUTE($H2330&amp;" "," ","|",4))-1),""))/86400+25569+9/24,""))</f>
        <v/>
      </c>
      <c r="G2330" s="58">
        <f>TRIM(SUBSTITUTE(SUBSTITUTE(SUBSTITUTE($A2330,CHAR(9)," ")," "," "),CHAR(13),""))</f>
        <v/>
      </c>
      <c r="H2330" s="58">
        <f>IF($G2330="","",IF(ISNUMBER(FIND(" ",$G2330)),$G2330,IFERROR(IF((LEN(SUBSTITUTE(SUBSTITUTE($G2330,"-"," ",LEN($G2330)-LEN(SUBSTITUTE($G2330,"-",""))),"-"," ",LEN($G2330)-LEN(SUBSTITUTE($G2330,"-",""))-1))-LEN(SUBSTITUTE(SUBSTITUTE(SUBSTITUTE($G2330,"-"," ",LEN($G2330)-LEN(SUBSTITUTE($G2330,"-",""))),"-"," ",LEN($G2330)-LEN(SUBSTITUTE($G2330,"-",""))-1),".","")))=0,SUBSTITUTE(SUBSTITUTE($G2330,"-"," ",LEN($G2330)-LEN(SUBSTITUTE($G2330,"-",""))),"-"," ",LEN($G2330)-LEN(SUBSTITUTE($G2330,"-",""))-1),SUBSTITUTE(SUBSTITUTE(SUBSTITUTE($G2330,"-"," ",LEN($G2330)-LEN(SUBSTITUTE($G2330,"-",""))),"-"," ",LEN($G2330)-LEN(SUBSTITUTE($G2330,"-",""))-1),"."," ",(LEN(SUBSTITUTE(SUBSTITUTE($G2330,"-"," ",LEN($G2330)-LEN(SUBSTITUTE($G2330,"-",""))),"-"," ",LEN($G2330)-LEN(SUBSTITUTE($G2330,"-",""))-1))-LEN(SUBSTITUTE(SUBSTITUTE(SUBSTITUTE($G2330,"-"," ",LEN($G2330)-LEN(SUBSTITUTE($G2330,"-",""))),"-"," ",LEN($G2330)-LEN(SUBSTITUTE($G2330,"-",""))-1),".",""))))),$G2330)))</f>
        <v/>
      </c>
    </row>
    <row r="2331">
      <c r="A2331" s="58" t="n"/>
      <c r="B2331" s="58">
        <f>IF($H2331="","",LEFT($H2331,FIND(" ",$H2331&amp;" ")-1))</f>
        <v/>
      </c>
      <c r="C2331" s="58">
        <f>IF($H2331="","",IFERROR(MID($H2331&amp;" ",FIND("|",SUBSTITUTE($H2331&amp;" "," ","|",1))+1,FIND("|",SUBSTITUTE($H2331&amp;" "," ","|",2))-FIND("|",SUBSTITUTE($H2331&amp;" "," ","|",1))-1),""))</f>
        <v/>
      </c>
      <c r="D2331" s="58">
        <f>IF($H2331="","",IFERROR(MID($H2331&amp;" ",FIND("|",SUBSTITUTE($H2331&amp;" "," ","|",2))+1,FIND("|",SUBSTITUTE($H2331&amp;" "," ","|",3))-FIND("|",SUBSTITUTE($H2331&amp;" "," ","|",2))-1),""))</f>
        <v/>
      </c>
      <c r="E2331" s="58">
        <f>IF($H2331="","",IFERROR(MID($H2331&amp;" ",FIND("|",SUBSTITUTE($H2331&amp;" "," ","|",3))+1,FIND("|",SUBSTITUTE($H2331&amp;" "," ","|",4))-FIND("|",SUBSTITUTE($H2331&amp;" "," ","|",3))-1),""))</f>
        <v/>
      </c>
      <c r="F2331" s="59">
        <f>IF($H2331="","",IFERROR(VALUE(IFERROR(MID($H2331&amp;" ",FIND("|",SUBSTITUTE($H2331&amp;" "," ","|",4))+1,FIND("|",SUBSTITUTE($H2331&amp;" "," ","|",5))-FIND("|",SUBSTITUTE($H2331&amp;" "," ","|",4))-1),""))/86400+25569+9/24,""))</f>
        <v/>
      </c>
      <c r="G2331" s="58">
        <f>TRIM(SUBSTITUTE(SUBSTITUTE(SUBSTITUTE($A2331,CHAR(9)," ")," "," "),CHAR(13),""))</f>
        <v/>
      </c>
      <c r="H2331" s="58">
        <f>IF($G2331="","",IF(ISNUMBER(FIND(" ",$G2331)),$G2331,IFERROR(IF((LEN(SUBSTITUTE(SUBSTITUTE($G2331,"-"," ",LEN($G2331)-LEN(SUBSTITUTE($G2331,"-",""))),"-"," ",LEN($G2331)-LEN(SUBSTITUTE($G2331,"-",""))-1))-LEN(SUBSTITUTE(SUBSTITUTE(SUBSTITUTE($G2331,"-"," ",LEN($G2331)-LEN(SUBSTITUTE($G2331,"-",""))),"-"," ",LEN($G2331)-LEN(SUBSTITUTE($G2331,"-",""))-1),".","")))=0,SUBSTITUTE(SUBSTITUTE($G2331,"-"," ",LEN($G2331)-LEN(SUBSTITUTE($G2331,"-",""))),"-"," ",LEN($G2331)-LEN(SUBSTITUTE($G2331,"-",""))-1),SUBSTITUTE(SUBSTITUTE(SUBSTITUTE($G2331,"-"," ",LEN($G2331)-LEN(SUBSTITUTE($G2331,"-",""))),"-"," ",LEN($G2331)-LEN(SUBSTITUTE($G2331,"-",""))-1),"."," ",(LEN(SUBSTITUTE(SUBSTITUTE($G2331,"-"," ",LEN($G2331)-LEN(SUBSTITUTE($G2331,"-",""))),"-"," ",LEN($G2331)-LEN(SUBSTITUTE($G2331,"-",""))-1))-LEN(SUBSTITUTE(SUBSTITUTE(SUBSTITUTE($G2331,"-"," ",LEN($G2331)-LEN(SUBSTITUTE($G2331,"-",""))),"-"," ",LEN($G2331)-LEN(SUBSTITUTE($G2331,"-",""))-1),".",""))))),$G2331)))</f>
        <v/>
      </c>
    </row>
    <row r="2332">
      <c r="A2332" s="58" t="n"/>
      <c r="B2332" s="58">
        <f>IF($H2332="","",LEFT($H2332,FIND(" ",$H2332&amp;" ")-1))</f>
        <v/>
      </c>
      <c r="C2332" s="58">
        <f>IF($H2332="","",IFERROR(MID($H2332&amp;" ",FIND("|",SUBSTITUTE($H2332&amp;" "," ","|",1))+1,FIND("|",SUBSTITUTE($H2332&amp;" "," ","|",2))-FIND("|",SUBSTITUTE($H2332&amp;" "," ","|",1))-1),""))</f>
        <v/>
      </c>
      <c r="D2332" s="58">
        <f>IF($H2332="","",IFERROR(MID($H2332&amp;" ",FIND("|",SUBSTITUTE($H2332&amp;" "," ","|",2))+1,FIND("|",SUBSTITUTE($H2332&amp;" "," ","|",3))-FIND("|",SUBSTITUTE($H2332&amp;" "," ","|",2))-1),""))</f>
        <v/>
      </c>
      <c r="E2332" s="58">
        <f>IF($H2332="","",IFERROR(MID($H2332&amp;" ",FIND("|",SUBSTITUTE($H2332&amp;" "," ","|",3))+1,FIND("|",SUBSTITUTE($H2332&amp;" "," ","|",4))-FIND("|",SUBSTITUTE($H2332&amp;" "," ","|",3))-1),""))</f>
        <v/>
      </c>
      <c r="F2332" s="59">
        <f>IF($H2332="","",IFERROR(VALUE(IFERROR(MID($H2332&amp;" ",FIND("|",SUBSTITUTE($H2332&amp;" "," ","|",4))+1,FIND("|",SUBSTITUTE($H2332&amp;" "," ","|",5))-FIND("|",SUBSTITUTE($H2332&amp;" "," ","|",4))-1),""))/86400+25569+9/24,""))</f>
        <v/>
      </c>
      <c r="G2332" s="58">
        <f>TRIM(SUBSTITUTE(SUBSTITUTE(SUBSTITUTE($A2332,CHAR(9)," ")," "," "),CHAR(13),""))</f>
        <v/>
      </c>
      <c r="H2332" s="58">
        <f>IF($G2332="","",IF(ISNUMBER(FIND(" ",$G2332)),$G2332,IFERROR(IF((LEN(SUBSTITUTE(SUBSTITUTE($G2332,"-"," ",LEN($G2332)-LEN(SUBSTITUTE($G2332,"-",""))),"-"," ",LEN($G2332)-LEN(SUBSTITUTE($G2332,"-",""))-1))-LEN(SUBSTITUTE(SUBSTITUTE(SUBSTITUTE($G2332,"-"," ",LEN($G2332)-LEN(SUBSTITUTE($G2332,"-",""))),"-"," ",LEN($G2332)-LEN(SUBSTITUTE($G2332,"-",""))-1),".","")))=0,SUBSTITUTE(SUBSTITUTE($G2332,"-"," ",LEN($G2332)-LEN(SUBSTITUTE($G2332,"-",""))),"-"," ",LEN($G2332)-LEN(SUBSTITUTE($G2332,"-",""))-1),SUBSTITUTE(SUBSTITUTE(SUBSTITUTE($G2332,"-"," ",LEN($G2332)-LEN(SUBSTITUTE($G2332,"-",""))),"-"," ",LEN($G2332)-LEN(SUBSTITUTE($G2332,"-",""))-1),"."," ",(LEN(SUBSTITUTE(SUBSTITUTE($G2332,"-"," ",LEN($G2332)-LEN(SUBSTITUTE($G2332,"-",""))),"-"," ",LEN($G2332)-LEN(SUBSTITUTE($G2332,"-",""))-1))-LEN(SUBSTITUTE(SUBSTITUTE(SUBSTITUTE($G2332,"-"," ",LEN($G2332)-LEN(SUBSTITUTE($G2332,"-",""))),"-"," ",LEN($G2332)-LEN(SUBSTITUTE($G2332,"-",""))-1),".",""))))),$G2332)))</f>
        <v/>
      </c>
    </row>
    <row r="2333">
      <c r="A2333" s="58" t="n"/>
      <c r="B2333" s="58">
        <f>IF($H2333="","",LEFT($H2333,FIND(" ",$H2333&amp;" ")-1))</f>
        <v/>
      </c>
      <c r="C2333" s="58">
        <f>IF($H2333="","",IFERROR(MID($H2333&amp;" ",FIND("|",SUBSTITUTE($H2333&amp;" "," ","|",1))+1,FIND("|",SUBSTITUTE($H2333&amp;" "," ","|",2))-FIND("|",SUBSTITUTE($H2333&amp;" "," ","|",1))-1),""))</f>
        <v/>
      </c>
      <c r="D2333" s="58">
        <f>IF($H2333="","",IFERROR(MID($H2333&amp;" ",FIND("|",SUBSTITUTE($H2333&amp;" "," ","|",2))+1,FIND("|",SUBSTITUTE($H2333&amp;" "," ","|",3))-FIND("|",SUBSTITUTE($H2333&amp;" "," ","|",2))-1),""))</f>
        <v/>
      </c>
      <c r="E2333" s="58">
        <f>IF($H2333="","",IFERROR(MID($H2333&amp;" ",FIND("|",SUBSTITUTE($H2333&amp;" "," ","|",3))+1,FIND("|",SUBSTITUTE($H2333&amp;" "," ","|",4))-FIND("|",SUBSTITUTE($H2333&amp;" "," ","|",3))-1),""))</f>
        <v/>
      </c>
      <c r="F2333" s="59">
        <f>IF($H2333="","",IFERROR(VALUE(IFERROR(MID($H2333&amp;" ",FIND("|",SUBSTITUTE($H2333&amp;" "," ","|",4))+1,FIND("|",SUBSTITUTE($H2333&amp;" "," ","|",5))-FIND("|",SUBSTITUTE($H2333&amp;" "," ","|",4))-1),""))/86400+25569+9/24,""))</f>
        <v/>
      </c>
      <c r="G2333" s="58">
        <f>TRIM(SUBSTITUTE(SUBSTITUTE(SUBSTITUTE($A2333,CHAR(9)," ")," "," "),CHAR(13),""))</f>
        <v/>
      </c>
      <c r="H2333" s="58">
        <f>IF($G2333="","",IF(ISNUMBER(FIND(" ",$G2333)),$G2333,IFERROR(IF((LEN(SUBSTITUTE(SUBSTITUTE($G2333,"-"," ",LEN($G2333)-LEN(SUBSTITUTE($G2333,"-",""))),"-"," ",LEN($G2333)-LEN(SUBSTITUTE($G2333,"-",""))-1))-LEN(SUBSTITUTE(SUBSTITUTE(SUBSTITUTE($G2333,"-"," ",LEN($G2333)-LEN(SUBSTITUTE($G2333,"-",""))),"-"," ",LEN($G2333)-LEN(SUBSTITUTE($G2333,"-",""))-1),".","")))=0,SUBSTITUTE(SUBSTITUTE($G2333,"-"," ",LEN($G2333)-LEN(SUBSTITUTE($G2333,"-",""))),"-"," ",LEN($G2333)-LEN(SUBSTITUTE($G2333,"-",""))-1),SUBSTITUTE(SUBSTITUTE(SUBSTITUTE($G2333,"-"," ",LEN($G2333)-LEN(SUBSTITUTE($G2333,"-",""))),"-"," ",LEN($G2333)-LEN(SUBSTITUTE($G2333,"-",""))-1),"."," ",(LEN(SUBSTITUTE(SUBSTITUTE($G2333,"-"," ",LEN($G2333)-LEN(SUBSTITUTE($G2333,"-",""))),"-"," ",LEN($G2333)-LEN(SUBSTITUTE($G2333,"-",""))-1))-LEN(SUBSTITUTE(SUBSTITUTE(SUBSTITUTE($G2333,"-"," ",LEN($G2333)-LEN(SUBSTITUTE($G2333,"-",""))),"-"," ",LEN($G2333)-LEN(SUBSTITUTE($G2333,"-",""))-1),".",""))))),$G2333)))</f>
        <v/>
      </c>
    </row>
    <row r="2334">
      <c r="A2334" s="58" t="n"/>
      <c r="B2334" s="58">
        <f>IF($H2334="","",LEFT($H2334,FIND(" ",$H2334&amp;" ")-1))</f>
        <v/>
      </c>
      <c r="C2334" s="58">
        <f>IF($H2334="","",IFERROR(MID($H2334&amp;" ",FIND("|",SUBSTITUTE($H2334&amp;" "," ","|",1))+1,FIND("|",SUBSTITUTE($H2334&amp;" "," ","|",2))-FIND("|",SUBSTITUTE($H2334&amp;" "," ","|",1))-1),""))</f>
        <v/>
      </c>
      <c r="D2334" s="58">
        <f>IF($H2334="","",IFERROR(MID($H2334&amp;" ",FIND("|",SUBSTITUTE($H2334&amp;" "," ","|",2))+1,FIND("|",SUBSTITUTE($H2334&amp;" "," ","|",3))-FIND("|",SUBSTITUTE($H2334&amp;" "," ","|",2))-1),""))</f>
        <v/>
      </c>
      <c r="E2334" s="58">
        <f>IF($H2334="","",IFERROR(MID($H2334&amp;" ",FIND("|",SUBSTITUTE($H2334&amp;" "," ","|",3))+1,FIND("|",SUBSTITUTE($H2334&amp;" "," ","|",4))-FIND("|",SUBSTITUTE($H2334&amp;" "," ","|",3))-1),""))</f>
        <v/>
      </c>
      <c r="F2334" s="59">
        <f>IF($H2334="","",IFERROR(VALUE(IFERROR(MID($H2334&amp;" ",FIND("|",SUBSTITUTE($H2334&amp;" "," ","|",4))+1,FIND("|",SUBSTITUTE($H2334&amp;" "," ","|",5))-FIND("|",SUBSTITUTE($H2334&amp;" "," ","|",4))-1),""))/86400+25569+9/24,""))</f>
        <v/>
      </c>
      <c r="G2334" s="58">
        <f>TRIM(SUBSTITUTE(SUBSTITUTE(SUBSTITUTE($A2334,CHAR(9)," ")," "," "),CHAR(13),""))</f>
        <v/>
      </c>
      <c r="H2334" s="58">
        <f>IF($G2334="","",IF(ISNUMBER(FIND(" ",$G2334)),$G2334,IFERROR(IF((LEN(SUBSTITUTE(SUBSTITUTE($G2334,"-"," ",LEN($G2334)-LEN(SUBSTITUTE($G2334,"-",""))),"-"," ",LEN($G2334)-LEN(SUBSTITUTE($G2334,"-",""))-1))-LEN(SUBSTITUTE(SUBSTITUTE(SUBSTITUTE($G2334,"-"," ",LEN($G2334)-LEN(SUBSTITUTE($G2334,"-",""))),"-"," ",LEN($G2334)-LEN(SUBSTITUTE($G2334,"-",""))-1),".","")))=0,SUBSTITUTE(SUBSTITUTE($G2334,"-"," ",LEN($G2334)-LEN(SUBSTITUTE($G2334,"-",""))),"-"," ",LEN($G2334)-LEN(SUBSTITUTE($G2334,"-",""))-1),SUBSTITUTE(SUBSTITUTE(SUBSTITUTE($G2334,"-"," ",LEN($G2334)-LEN(SUBSTITUTE($G2334,"-",""))),"-"," ",LEN($G2334)-LEN(SUBSTITUTE($G2334,"-",""))-1),"."," ",(LEN(SUBSTITUTE(SUBSTITUTE($G2334,"-"," ",LEN($G2334)-LEN(SUBSTITUTE($G2334,"-",""))),"-"," ",LEN($G2334)-LEN(SUBSTITUTE($G2334,"-",""))-1))-LEN(SUBSTITUTE(SUBSTITUTE(SUBSTITUTE($G2334,"-"," ",LEN($G2334)-LEN(SUBSTITUTE($G2334,"-",""))),"-"," ",LEN($G2334)-LEN(SUBSTITUTE($G2334,"-",""))-1),".",""))))),$G2334)))</f>
        <v/>
      </c>
    </row>
    <row r="2335">
      <c r="A2335" s="58" t="n"/>
      <c r="B2335" s="58">
        <f>IF($H2335="","",LEFT($H2335,FIND(" ",$H2335&amp;" ")-1))</f>
        <v/>
      </c>
      <c r="C2335" s="58">
        <f>IF($H2335="","",IFERROR(MID($H2335&amp;" ",FIND("|",SUBSTITUTE($H2335&amp;" "," ","|",1))+1,FIND("|",SUBSTITUTE($H2335&amp;" "," ","|",2))-FIND("|",SUBSTITUTE($H2335&amp;" "," ","|",1))-1),""))</f>
        <v/>
      </c>
      <c r="D2335" s="58">
        <f>IF($H2335="","",IFERROR(MID($H2335&amp;" ",FIND("|",SUBSTITUTE($H2335&amp;" "," ","|",2))+1,FIND("|",SUBSTITUTE($H2335&amp;" "," ","|",3))-FIND("|",SUBSTITUTE($H2335&amp;" "," ","|",2))-1),""))</f>
        <v/>
      </c>
      <c r="E2335" s="58">
        <f>IF($H2335="","",IFERROR(MID($H2335&amp;" ",FIND("|",SUBSTITUTE($H2335&amp;" "," ","|",3))+1,FIND("|",SUBSTITUTE($H2335&amp;" "," ","|",4))-FIND("|",SUBSTITUTE($H2335&amp;" "," ","|",3))-1),""))</f>
        <v/>
      </c>
      <c r="F2335" s="59">
        <f>IF($H2335="","",IFERROR(VALUE(IFERROR(MID($H2335&amp;" ",FIND("|",SUBSTITUTE($H2335&amp;" "," ","|",4))+1,FIND("|",SUBSTITUTE($H2335&amp;" "," ","|",5))-FIND("|",SUBSTITUTE($H2335&amp;" "," ","|",4))-1),""))/86400+25569+9/24,""))</f>
        <v/>
      </c>
      <c r="G2335" s="58">
        <f>TRIM(SUBSTITUTE(SUBSTITUTE(SUBSTITUTE($A2335,CHAR(9)," ")," "," "),CHAR(13),""))</f>
        <v/>
      </c>
      <c r="H2335" s="58">
        <f>IF($G2335="","",IF(ISNUMBER(FIND(" ",$G2335)),$G2335,IFERROR(IF((LEN(SUBSTITUTE(SUBSTITUTE($G2335,"-"," ",LEN($G2335)-LEN(SUBSTITUTE($G2335,"-",""))),"-"," ",LEN($G2335)-LEN(SUBSTITUTE($G2335,"-",""))-1))-LEN(SUBSTITUTE(SUBSTITUTE(SUBSTITUTE($G2335,"-"," ",LEN($G2335)-LEN(SUBSTITUTE($G2335,"-",""))),"-"," ",LEN($G2335)-LEN(SUBSTITUTE($G2335,"-",""))-1),".","")))=0,SUBSTITUTE(SUBSTITUTE($G2335,"-"," ",LEN($G2335)-LEN(SUBSTITUTE($G2335,"-",""))),"-"," ",LEN($G2335)-LEN(SUBSTITUTE($G2335,"-",""))-1),SUBSTITUTE(SUBSTITUTE(SUBSTITUTE($G2335,"-"," ",LEN($G2335)-LEN(SUBSTITUTE($G2335,"-",""))),"-"," ",LEN($G2335)-LEN(SUBSTITUTE($G2335,"-",""))-1),"."," ",(LEN(SUBSTITUTE(SUBSTITUTE($G2335,"-"," ",LEN($G2335)-LEN(SUBSTITUTE($G2335,"-",""))),"-"," ",LEN($G2335)-LEN(SUBSTITUTE($G2335,"-",""))-1))-LEN(SUBSTITUTE(SUBSTITUTE(SUBSTITUTE($G2335,"-"," ",LEN($G2335)-LEN(SUBSTITUTE($G2335,"-",""))),"-"," ",LEN($G2335)-LEN(SUBSTITUTE($G2335,"-",""))-1),".",""))))),$G2335)))</f>
        <v/>
      </c>
    </row>
    <row r="2336">
      <c r="A2336" s="58" t="n"/>
      <c r="B2336" s="58">
        <f>IF($H2336="","",LEFT($H2336,FIND(" ",$H2336&amp;" ")-1))</f>
        <v/>
      </c>
      <c r="C2336" s="58">
        <f>IF($H2336="","",IFERROR(MID($H2336&amp;" ",FIND("|",SUBSTITUTE($H2336&amp;" "," ","|",1))+1,FIND("|",SUBSTITUTE($H2336&amp;" "," ","|",2))-FIND("|",SUBSTITUTE($H2336&amp;" "," ","|",1))-1),""))</f>
        <v/>
      </c>
      <c r="D2336" s="58">
        <f>IF($H2336="","",IFERROR(MID($H2336&amp;" ",FIND("|",SUBSTITUTE($H2336&amp;" "," ","|",2))+1,FIND("|",SUBSTITUTE($H2336&amp;" "," ","|",3))-FIND("|",SUBSTITUTE($H2336&amp;" "," ","|",2))-1),""))</f>
        <v/>
      </c>
      <c r="E2336" s="58">
        <f>IF($H2336="","",IFERROR(MID($H2336&amp;" ",FIND("|",SUBSTITUTE($H2336&amp;" "," ","|",3))+1,FIND("|",SUBSTITUTE($H2336&amp;" "," ","|",4))-FIND("|",SUBSTITUTE($H2336&amp;" "," ","|",3))-1),""))</f>
        <v/>
      </c>
      <c r="F2336" s="59">
        <f>IF($H2336="","",IFERROR(VALUE(IFERROR(MID($H2336&amp;" ",FIND("|",SUBSTITUTE($H2336&amp;" "," ","|",4))+1,FIND("|",SUBSTITUTE($H2336&amp;" "," ","|",5))-FIND("|",SUBSTITUTE($H2336&amp;" "," ","|",4))-1),""))/86400+25569+9/24,""))</f>
        <v/>
      </c>
      <c r="G2336" s="58">
        <f>TRIM(SUBSTITUTE(SUBSTITUTE(SUBSTITUTE($A2336,CHAR(9)," ")," "," "),CHAR(13),""))</f>
        <v/>
      </c>
      <c r="H2336" s="58">
        <f>IF($G2336="","",IF(ISNUMBER(FIND(" ",$G2336)),$G2336,IFERROR(IF((LEN(SUBSTITUTE(SUBSTITUTE($G2336,"-"," ",LEN($G2336)-LEN(SUBSTITUTE($G2336,"-",""))),"-"," ",LEN($G2336)-LEN(SUBSTITUTE($G2336,"-",""))-1))-LEN(SUBSTITUTE(SUBSTITUTE(SUBSTITUTE($G2336,"-"," ",LEN($G2336)-LEN(SUBSTITUTE($G2336,"-",""))),"-"," ",LEN($G2336)-LEN(SUBSTITUTE($G2336,"-",""))-1),".","")))=0,SUBSTITUTE(SUBSTITUTE($G2336,"-"," ",LEN($G2336)-LEN(SUBSTITUTE($G2336,"-",""))),"-"," ",LEN($G2336)-LEN(SUBSTITUTE($G2336,"-",""))-1),SUBSTITUTE(SUBSTITUTE(SUBSTITUTE($G2336,"-"," ",LEN($G2336)-LEN(SUBSTITUTE($G2336,"-",""))),"-"," ",LEN($G2336)-LEN(SUBSTITUTE($G2336,"-",""))-1),"."," ",(LEN(SUBSTITUTE(SUBSTITUTE($G2336,"-"," ",LEN($G2336)-LEN(SUBSTITUTE($G2336,"-",""))),"-"," ",LEN($G2336)-LEN(SUBSTITUTE($G2336,"-",""))-1))-LEN(SUBSTITUTE(SUBSTITUTE(SUBSTITUTE($G2336,"-"," ",LEN($G2336)-LEN(SUBSTITUTE($G2336,"-",""))),"-"," ",LEN($G2336)-LEN(SUBSTITUTE($G2336,"-",""))-1),".",""))))),$G2336)))</f>
        <v/>
      </c>
    </row>
    <row r="2337">
      <c r="A2337" s="58" t="n"/>
      <c r="B2337" s="58">
        <f>IF($H2337="","",LEFT($H2337,FIND(" ",$H2337&amp;" ")-1))</f>
        <v/>
      </c>
      <c r="C2337" s="58">
        <f>IF($H2337="","",IFERROR(MID($H2337&amp;" ",FIND("|",SUBSTITUTE($H2337&amp;" "," ","|",1))+1,FIND("|",SUBSTITUTE($H2337&amp;" "," ","|",2))-FIND("|",SUBSTITUTE($H2337&amp;" "," ","|",1))-1),""))</f>
        <v/>
      </c>
      <c r="D2337" s="58">
        <f>IF($H2337="","",IFERROR(MID($H2337&amp;" ",FIND("|",SUBSTITUTE($H2337&amp;" "," ","|",2))+1,FIND("|",SUBSTITUTE($H2337&amp;" "," ","|",3))-FIND("|",SUBSTITUTE($H2337&amp;" "," ","|",2))-1),""))</f>
        <v/>
      </c>
      <c r="E2337" s="58">
        <f>IF($H2337="","",IFERROR(MID($H2337&amp;" ",FIND("|",SUBSTITUTE($H2337&amp;" "," ","|",3))+1,FIND("|",SUBSTITUTE($H2337&amp;" "," ","|",4))-FIND("|",SUBSTITUTE($H2337&amp;" "," ","|",3))-1),""))</f>
        <v/>
      </c>
      <c r="F2337" s="59">
        <f>IF($H2337="","",IFERROR(VALUE(IFERROR(MID($H2337&amp;" ",FIND("|",SUBSTITUTE($H2337&amp;" "," ","|",4))+1,FIND("|",SUBSTITUTE($H2337&amp;" "," ","|",5))-FIND("|",SUBSTITUTE($H2337&amp;" "," ","|",4))-1),""))/86400+25569+9/24,""))</f>
        <v/>
      </c>
      <c r="G2337" s="58">
        <f>TRIM(SUBSTITUTE(SUBSTITUTE(SUBSTITUTE($A2337,CHAR(9)," ")," "," "),CHAR(13),""))</f>
        <v/>
      </c>
      <c r="H2337" s="58">
        <f>IF($G2337="","",IF(ISNUMBER(FIND(" ",$G2337)),$G2337,IFERROR(IF((LEN(SUBSTITUTE(SUBSTITUTE($G2337,"-"," ",LEN($G2337)-LEN(SUBSTITUTE($G2337,"-",""))),"-"," ",LEN($G2337)-LEN(SUBSTITUTE($G2337,"-",""))-1))-LEN(SUBSTITUTE(SUBSTITUTE(SUBSTITUTE($G2337,"-"," ",LEN($G2337)-LEN(SUBSTITUTE($G2337,"-",""))),"-"," ",LEN($G2337)-LEN(SUBSTITUTE($G2337,"-",""))-1),".","")))=0,SUBSTITUTE(SUBSTITUTE($G2337,"-"," ",LEN($G2337)-LEN(SUBSTITUTE($G2337,"-",""))),"-"," ",LEN($G2337)-LEN(SUBSTITUTE($G2337,"-",""))-1),SUBSTITUTE(SUBSTITUTE(SUBSTITUTE($G2337,"-"," ",LEN($G2337)-LEN(SUBSTITUTE($G2337,"-",""))),"-"," ",LEN($G2337)-LEN(SUBSTITUTE($G2337,"-",""))-1),"."," ",(LEN(SUBSTITUTE(SUBSTITUTE($G2337,"-"," ",LEN($G2337)-LEN(SUBSTITUTE($G2337,"-",""))),"-"," ",LEN($G2337)-LEN(SUBSTITUTE($G2337,"-",""))-1))-LEN(SUBSTITUTE(SUBSTITUTE(SUBSTITUTE($G2337,"-"," ",LEN($G2337)-LEN(SUBSTITUTE($G2337,"-",""))),"-"," ",LEN($G2337)-LEN(SUBSTITUTE($G2337,"-",""))-1),".",""))))),$G2337)))</f>
        <v/>
      </c>
    </row>
    <row r="2338">
      <c r="A2338" s="58" t="n"/>
      <c r="B2338" s="58">
        <f>IF($H2338="","",LEFT($H2338,FIND(" ",$H2338&amp;" ")-1))</f>
        <v/>
      </c>
      <c r="C2338" s="58">
        <f>IF($H2338="","",IFERROR(MID($H2338&amp;" ",FIND("|",SUBSTITUTE($H2338&amp;" "," ","|",1))+1,FIND("|",SUBSTITUTE($H2338&amp;" "," ","|",2))-FIND("|",SUBSTITUTE($H2338&amp;" "," ","|",1))-1),""))</f>
        <v/>
      </c>
      <c r="D2338" s="58">
        <f>IF($H2338="","",IFERROR(MID($H2338&amp;" ",FIND("|",SUBSTITUTE($H2338&amp;" "," ","|",2))+1,FIND("|",SUBSTITUTE($H2338&amp;" "," ","|",3))-FIND("|",SUBSTITUTE($H2338&amp;" "," ","|",2))-1),""))</f>
        <v/>
      </c>
      <c r="E2338" s="58">
        <f>IF($H2338="","",IFERROR(MID($H2338&amp;" ",FIND("|",SUBSTITUTE($H2338&amp;" "," ","|",3))+1,FIND("|",SUBSTITUTE($H2338&amp;" "," ","|",4))-FIND("|",SUBSTITUTE($H2338&amp;" "," ","|",3))-1),""))</f>
        <v/>
      </c>
      <c r="F2338" s="59">
        <f>IF($H2338="","",IFERROR(VALUE(IFERROR(MID($H2338&amp;" ",FIND("|",SUBSTITUTE($H2338&amp;" "," ","|",4))+1,FIND("|",SUBSTITUTE($H2338&amp;" "," ","|",5))-FIND("|",SUBSTITUTE($H2338&amp;" "," ","|",4))-1),""))/86400+25569+9/24,""))</f>
        <v/>
      </c>
      <c r="G2338" s="58">
        <f>TRIM(SUBSTITUTE(SUBSTITUTE(SUBSTITUTE($A2338,CHAR(9)," ")," "," "),CHAR(13),""))</f>
        <v/>
      </c>
      <c r="H2338" s="58">
        <f>IF($G2338="","",IF(ISNUMBER(FIND(" ",$G2338)),$G2338,IFERROR(IF((LEN(SUBSTITUTE(SUBSTITUTE($G2338,"-"," ",LEN($G2338)-LEN(SUBSTITUTE($G2338,"-",""))),"-"," ",LEN($G2338)-LEN(SUBSTITUTE($G2338,"-",""))-1))-LEN(SUBSTITUTE(SUBSTITUTE(SUBSTITUTE($G2338,"-"," ",LEN($G2338)-LEN(SUBSTITUTE($G2338,"-",""))),"-"," ",LEN($G2338)-LEN(SUBSTITUTE($G2338,"-",""))-1),".","")))=0,SUBSTITUTE(SUBSTITUTE($G2338,"-"," ",LEN($G2338)-LEN(SUBSTITUTE($G2338,"-",""))),"-"," ",LEN($G2338)-LEN(SUBSTITUTE($G2338,"-",""))-1),SUBSTITUTE(SUBSTITUTE(SUBSTITUTE($G2338,"-"," ",LEN($G2338)-LEN(SUBSTITUTE($G2338,"-",""))),"-"," ",LEN($G2338)-LEN(SUBSTITUTE($G2338,"-",""))-1),"."," ",(LEN(SUBSTITUTE(SUBSTITUTE($G2338,"-"," ",LEN($G2338)-LEN(SUBSTITUTE($G2338,"-",""))),"-"," ",LEN($G2338)-LEN(SUBSTITUTE($G2338,"-",""))-1))-LEN(SUBSTITUTE(SUBSTITUTE(SUBSTITUTE($G2338,"-"," ",LEN($G2338)-LEN(SUBSTITUTE($G2338,"-",""))),"-"," ",LEN($G2338)-LEN(SUBSTITUTE($G2338,"-",""))-1),".",""))))),$G2338)))</f>
        <v/>
      </c>
    </row>
    <row r="2339">
      <c r="A2339" s="58" t="n"/>
      <c r="B2339" s="58">
        <f>IF($H2339="","",LEFT($H2339,FIND(" ",$H2339&amp;" ")-1))</f>
        <v/>
      </c>
      <c r="C2339" s="58">
        <f>IF($H2339="","",IFERROR(MID($H2339&amp;" ",FIND("|",SUBSTITUTE($H2339&amp;" "," ","|",1))+1,FIND("|",SUBSTITUTE($H2339&amp;" "," ","|",2))-FIND("|",SUBSTITUTE($H2339&amp;" "," ","|",1))-1),""))</f>
        <v/>
      </c>
      <c r="D2339" s="58">
        <f>IF($H2339="","",IFERROR(MID($H2339&amp;" ",FIND("|",SUBSTITUTE($H2339&amp;" "," ","|",2))+1,FIND("|",SUBSTITUTE($H2339&amp;" "," ","|",3))-FIND("|",SUBSTITUTE($H2339&amp;" "," ","|",2))-1),""))</f>
        <v/>
      </c>
      <c r="E2339" s="58">
        <f>IF($H2339="","",IFERROR(MID($H2339&amp;" ",FIND("|",SUBSTITUTE($H2339&amp;" "," ","|",3))+1,FIND("|",SUBSTITUTE($H2339&amp;" "," ","|",4))-FIND("|",SUBSTITUTE($H2339&amp;" "," ","|",3))-1),""))</f>
        <v/>
      </c>
      <c r="F2339" s="59">
        <f>IF($H2339="","",IFERROR(VALUE(IFERROR(MID($H2339&amp;" ",FIND("|",SUBSTITUTE($H2339&amp;" "," ","|",4))+1,FIND("|",SUBSTITUTE($H2339&amp;" "," ","|",5))-FIND("|",SUBSTITUTE($H2339&amp;" "," ","|",4))-1),""))/86400+25569+9/24,""))</f>
        <v/>
      </c>
      <c r="G2339" s="58">
        <f>TRIM(SUBSTITUTE(SUBSTITUTE(SUBSTITUTE($A2339,CHAR(9)," ")," "," "),CHAR(13),""))</f>
        <v/>
      </c>
      <c r="H2339" s="58">
        <f>IF($G2339="","",IF(ISNUMBER(FIND(" ",$G2339)),$G2339,IFERROR(IF((LEN(SUBSTITUTE(SUBSTITUTE($G2339,"-"," ",LEN($G2339)-LEN(SUBSTITUTE($G2339,"-",""))),"-"," ",LEN($G2339)-LEN(SUBSTITUTE($G2339,"-",""))-1))-LEN(SUBSTITUTE(SUBSTITUTE(SUBSTITUTE($G2339,"-"," ",LEN($G2339)-LEN(SUBSTITUTE($G2339,"-",""))),"-"," ",LEN($G2339)-LEN(SUBSTITUTE($G2339,"-",""))-1),".","")))=0,SUBSTITUTE(SUBSTITUTE($G2339,"-"," ",LEN($G2339)-LEN(SUBSTITUTE($G2339,"-",""))),"-"," ",LEN($G2339)-LEN(SUBSTITUTE($G2339,"-",""))-1),SUBSTITUTE(SUBSTITUTE(SUBSTITUTE($G2339,"-"," ",LEN($G2339)-LEN(SUBSTITUTE($G2339,"-",""))),"-"," ",LEN($G2339)-LEN(SUBSTITUTE($G2339,"-",""))-1),"."," ",(LEN(SUBSTITUTE(SUBSTITUTE($G2339,"-"," ",LEN($G2339)-LEN(SUBSTITUTE($G2339,"-",""))),"-"," ",LEN($G2339)-LEN(SUBSTITUTE($G2339,"-",""))-1))-LEN(SUBSTITUTE(SUBSTITUTE(SUBSTITUTE($G2339,"-"," ",LEN($G2339)-LEN(SUBSTITUTE($G2339,"-",""))),"-"," ",LEN($G2339)-LEN(SUBSTITUTE($G2339,"-",""))-1),".",""))))),$G2339)))</f>
        <v/>
      </c>
    </row>
    <row r="2340">
      <c r="A2340" s="58" t="n"/>
      <c r="B2340" s="58">
        <f>IF($H2340="","",LEFT($H2340,FIND(" ",$H2340&amp;" ")-1))</f>
        <v/>
      </c>
      <c r="C2340" s="58">
        <f>IF($H2340="","",IFERROR(MID($H2340&amp;" ",FIND("|",SUBSTITUTE($H2340&amp;" "," ","|",1))+1,FIND("|",SUBSTITUTE($H2340&amp;" "," ","|",2))-FIND("|",SUBSTITUTE($H2340&amp;" "," ","|",1))-1),""))</f>
        <v/>
      </c>
      <c r="D2340" s="58">
        <f>IF($H2340="","",IFERROR(MID($H2340&amp;" ",FIND("|",SUBSTITUTE($H2340&amp;" "," ","|",2))+1,FIND("|",SUBSTITUTE($H2340&amp;" "," ","|",3))-FIND("|",SUBSTITUTE($H2340&amp;" "," ","|",2))-1),""))</f>
        <v/>
      </c>
      <c r="E2340" s="58">
        <f>IF($H2340="","",IFERROR(MID($H2340&amp;" ",FIND("|",SUBSTITUTE($H2340&amp;" "," ","|",3))+1,FIND("|",SUBSTITUTE($H2340&amp;" "," ","|",4))-FIND("|",SUBSTITUTE($H2340&amp;" "," ","|",3))-1),""))</f>
        <v/>
      </c>
      <c r="F2340" s="59">
        <f>IF($H2340="","",IFERROR(VALUE(IFERROR(MID($H2340&amp;" ",FIND("|",SUBSTITUTE($H2340&amp;" "," ","|",4))+1,FIND("|",SUBSTITUTE($H2340&amp;" "," ","|",5))-FIND("|",SUBSTITUTE($H2340&amp;" "," ","|",4))-1),""))/86400+25569+9/24,""))</f>
        <v/>
      </c>
      <c r="G2340" s="58">
        <f>TRIM(SUBSTITUTE(SUBSTITUTE(SUBSTITUTE($A2340,CHAR(9)," ")," "," "),CHAR(13),""))</f>
        <v/>
      </c>
      <c r="H2340" s="58">
        <f>IF($G2340="","",IF(ISNUMBER(FIND(" ",$G2340)),$G2340,IFERROR(IF((LEN(SUBSTITUTE(SUBSTITUTE($G2340,"-"," ",LEN($G2340)-LEN(SUBSTITUTE($G2340,"-",""))),"-"," ",LEN($G2340)-LEN(SUBSTITUTE($G2340,"-",""))-1))-LEN(SUBSTITUTE(SUBSTITUTE(SUBSTITUTE($G2340,"-"," ",LEN($G2340)-LEN(SUBSTITUTE($G2340,"-",""))),"-"," ",LEN($G2340)-LEN(SUBSTITUTE($G2340,"-",""))-1),".","")))=0,SUBSTITUTE(SUBSTITUTE($G2340,"-"," ",LEN($G2340)-LEN(SUBSTITUTE($G2340,"-",""))),"-"," ",LEN($G2340)-LEN(SUBSTITUTE($G2340,"-",""))-1),SUBSTITUTE(SUBSTITUTE(SUBSTITUTE($G2340,"-"," ",LEN($G2340)-LEN(SUBSTITUTE($G2340,"-",""))),"-"," ",LEN($G2340)-LEN(SUBSTITUTE($G2340,"-",""))-1),"."," ",(LEN(SUBSTITUTE(SUBSTITUTE($G2340,"-"," ",LEN($G2340)-LEN(SUBSTITUTE($G2340,"-",""))),"-"," ",LEN($G2340)-LEN(SUBSTITUTE($G2340,"-",""))-1))-LEN(SUBSTITUTE(SUBSTITUTE(SUBSTITUTE($G2340,"-"," ",LEN($G2340)-LEN(SUBSTITUTE($G2340,"-",""))),"-"," ",LEN($G2340)-LEN(SUBSTITUTE($G2340,"-",""))-1),".",""))))),$G2340)))</f>
        <v/>
      </c>
    </row>
    <row r="2341">
      <c r="A2341" s="58" t="n"/>
      <c r="B2341" s="58">
        <f>IF($H2341="","",LEFT($H2341,FIND(" ",$H2341&amp;" ")-1))</f>
        <v/>
      </c>
      <c r="C2341" s="58">
        <f>IF($H2341="","",IFERROR(MID($H2341&amp;" ",FIND("|",SUBSTITUTE($H2341&amp;" "," ","|",1))+1,FIND("|",SUBSTITUTE($H2341&amp;" "," ","|",2))-FIND("|",SUBSTITUTE($H2341&amp;" "," ","|",1))-1),""))</f>
        <v/>
      </c>
      <c r="D2341" s="58">
        <f>IF($H2341="","",IFERROR(MID($H2341&amp;" ",FIND("|",SUBSTITUTE($H2341&amp;" "," ","|",2))+1,FIND("|",SUBSTITUTE($H2341&amp;" "," ","|",3))-FIND("|",SUBSTITUTE($H2341&amp;" "," ","|",2))-1),""))</f>
        <v/>
      </c>
      <c r="E2341" s="58">
        <f>IF($H2341="","",IFERROR(MID($H2341&amp;" ",FIND("|",SUBSTITUTE($H2341&amp;" "," ","|",3))+1,FIND("|",SUBSTITUTE($H2341&amp;" "," ","|",4))-FIND("|",SUBSTITUTE($H2341&amp;" "," ","|",3))-1),""))</f>
        <v/>
      </c>
      <c r="F2341" s="59">
        <f>IF($H2341="","",IFERROR(VALUE(IFERROR(MID($H2341&amp;" ",FIND("|",SUBSTITUTE($H2341&amp;" "," ","|",4))+1,FIND("|",SUBSTITUTE($H2341&amp;" "," ","|",5))-FIND("|",SUBSTITUTE($H2341&amp;" "," ","|",4))-1),""))/86400+25569+9/24,""))</f>
        <v/>
      </c>
      <c r="G2341" s="58">
        <f>TRIM(SUBSTITUTE(SUBSTITUTE(SUBSTITUTE($A2341,CHAR(9)," ")," "," "),CHAR(13),""))</f>
        <v/>
      </c>
      <c r="H2341" s="58">
        <f>IF($G2341="","",IF(ISNUMBER(FIND(" ",$G2341)),$G2341,IFERROR(IF((LEN(SUBSTITUTE(SUBSTITUTE($G2341,"-"," ",LEN($G2341)-LEN(SUBSTITUTE($G2341,"-",""))),"-"," ",LEN($G2341)-LEN(SUBSTITUTE($G2341,"-",""))-1))-LEN(SUBSTITUTE(SUBSTITUTE(SUBSTITUTE($G2341,"-"," ",LEN($G2341)-LEN(SUBSTITUTE($G2341,"-",""))),"-"," ",LEN($G2341)-LEN(SUBSTITUTE($G2341,"-",""))-1),".","")))=0,SUBSTITUTE(SUBSTITUTE($G2341,"-"," ",LEN($G2341)-LEN(SUBSTITUTE($G2341,"-",""))),"-"," ",LEN($G2341)-LEN(SUBSTITUTE($G2341,"-",""))-1),SUBSTITUTE(SUBSTITUTE(SUBSTITUTE($G2341,"-"," ",LEN($G2341)-LEN(SUBSTITUTE($G2341,"-",""))),"-"," ",LEN($G2341)-LEN(SUBSTITUTE($G2341,"-",""))-1),"."," ",(LEN(SUBSTITUTE(SUBSTITUTE($G2341,"-"," ",LEN($G2341)-LEN(SUBSTITUTE($G2341,"-",""))),"-"," ",LEN($G2341)-LEN(SUBSTITUTE($G2341,"-",""))-1))-LEN(SUBSTITUTE(SUBSTITUTE(SUBSTITUTE($G2341,"-"," ",LEN($G2341)-LEN(SUBSTITUTE($G2341,"-",""))),"-"," ",LEN($G2341)-LEN(SUBSTITUTE($G2341,"-",""))-1),".",""))))),$G2341)))</f>
        <v/>
      </c>
    </row>
    <row r="2342">
      <c r="A2342" s="58" t="n"/>
      <c r="B2342" s="58">
        <f>IF($H2342="","",LEFT($H2342,FIND(" ",$H2342&amp;" ")-1))</f>
        <v/>
      </c>
      <c r="C2342" s="58">
        <f>IF($H2342="","",IFERROR(MID($H2342&amp;" ",FIND("|",SUBSTITUTE($H2342&amp;" "," ","|",1))+1,FIND("|",SUBSTITUTE($H2342&amp;" "," ","|",2))-FIND("|",SUBSTITUTE($H2342&amp;" "," ","|",1))-1),""))</f>
        <v/>
      </c>
      <c r="D2342" s="58">
        <f>IF($H2342="","",IFERROR(MID($H2342&amp;" ",FIND("|",SUBSTITUTE($H2342&amp;" "," ","|",2))+1,FIND("|",SUBSTITUTE($H2342&amp;" "," ","|",3))-FIND("|",SUBSTITUTE($H2342&amp;" "," ","|",2))-1),""))</f>
        <v/>
      </c>
      <c r="E2342" s="58">
        <f>IF($H2342="","",IFERROR(MID($H2342&amp;" ",FIND("|",SUBSTITUTE($H2342&amp;" "," ","|",3))+1,FIND("|",SUBSTITUTE($H2342&amp;" "," ","|",4))-FIND("|",SUBSTITUTE($H2342&amp;" "," ","|",3))-1),""))</f>
        <v/>
      </c>
      <c r="F2342" s="59">
        <f>IF($H2342="","",IFERROR(VALUE(IFERROR(MID($H2342&amp;" ",FIND("|",SUBSTITUTE($H2342&amp;" "," ","|",4))+1,FIND("|",SUBSTITUTE($H2342&amp;" "," ","|",5))-FIND("|",SUBSTITUTE($H2342&amp;" "," ","|",4))-1),""))/86400+25569+9/24,""))</f>
        <v/>
      </c>
      <c r="G2342" s="58">
        <f>TRIM(SUBSTITUTE(SUBSTITUTE(SUBSTITUTE($A2342,CHAR(9)," ")," "," "),CHAR(13),""))</f>
        <v/>
      </c>
      <c r="H2342" s="58">
        <f>IF($G2342="","",IF(ISNUMBER(FIND(" ",$G2342)),$G2342,IFERROR(IF((LEN(SUBSTITUTE(SUBSTITUTE($G2342,"-"," ",LEN($G2342)-LEN(SUBSTITUTE($G2342,"-",""))),"-"," ",LEN($G2342)-LEN(SUBSTITUTE($G2342,"-",""))-1))-LEN(SUBSTITUTE(SUBSTITUTE(SUBSTITUTE($G2342,"-"," ",LEN($G2342)-LEN(SUBSTITUTE($G2342,"-",""))),"-"," ",LEN($G2342)-LEN(SUBSTITUTE($G2342,"-",""))-1),".","")))=0,SUBSTITUTE(SUBSTITUTE($G2342,"-"," ",LEN($G2342)-LEN(SUBSTITUTE($G2342,"-",""))),"-"," ",LEN($G2342)-LEN(SUBSTITUTE($G2342,"-",""))-1),SUBSTITUTE(SUBSTITUTE(SUBSTITUTE($G2342,"-"," ",LEN($G2342)-LEN(SUBSTITUTE($G2342,"-",""))),"-"," ",LEN($G2342)-LEN(SUBSTITUTE($G2342,"-",""))-1),"."," ",(LEN(SUBSTITUTE(SUBSTITUTE($G2342,"-"," ",LEN($G2342)-LEN(SUBSTITUTE($G2342,"-",""))),"-"," ",LEN($G2342)-LEN(SUBSTITUTE($G2342,"-",""))-1))-LEN(SUBSTITUTE(SUBSTITUTE(SUBSTITUTE($G2342,"-"," ",LEN($G2342)-LEN(SUBSTITUTE($G2342,"-",""))),"-"," ",LEN($G2342)-LEN(SUBSTITUTE($G2342,"-",""))-1),".",""))))),$G2342)))</f>
        <v/>
      </c>
    </row>
    <row r="2343">
      <c r="A2343" s="58" t="n"/>
      <c r="B2343" s="58">
        <f>IF($H2343="","",LEFT($H2343,FIND(" ",$H2343&amp;" ")-1))</f>
        <v/>
      </c>
      <c r="C2343" s="58">
        <f>IF($H2343="","",IFERROR(MID($H2343&amp;" ",FIND("|",SUBSTITUTE($H2343&amp;" "," ","|",1))+1,FIND("|",SUBSTITUTE($H2343&amp;" "," ","|",2))-FIND("|",SUBSTITUTE($H2343&amp;" "," ","|",1))-1),""))</f>
        <v/>
      </c>
      <c r="D2343" s="58">
        <f>IF($H2343="","",IFERROR(MID($H2343&amp;" ",FIND("|",SUBSTITUTE($H2343&amp;" "," ","|",2))+1,FIND("|",SUBSTITUTE($H2343&amp;" "," ","|",3))-FIND("|",SUBSTITUTE($H2343&amp;" "," ","|",2))-1),""))</f>
        <v/>
      </c>
      <c r="E2343" s="58">
        <f>IF($H2343="","",IFERROR(MID($H2343&amp;" ",FIND("|",SUBSTITUTE($H2343&amp;" "," ","|",3))+1,FIND("|",SUBSTITUTE($H2343&amp;" "," ","|",4))-FIND("|",SUBSTITUTE($H2343&amp;" "," ","|",3))-1),""))</f>
        <v/>
      </c>
      <c r="F2343" s="59">
        <f>IF($H2343="","",IFERROR(VALUE(IFERROR(MID($H2343&amp;" ",FIND("|",SUBSTITUTE($H2343&amp;" "," ","|",4))+1,FIND("|",SUBSTITUTE($H2343&amp;" "," ","|",5))-FIND("|",SUBSTITUTE($H2343&amp;" "," ","|",4))-1),""))/86400+25569+9/24,""))</f>
        <v/>
      </c>
      <c r="G2343" s="58">
        <f>TRIM(SUBSTITUTE(SUBSTITUTE(SUBSTITUTE($A2343,CHAR(9)," ")," "," "),CHAR(13),""))</f>
        <v/>
      </c>
      <c r="H2343" s="58">
        <f>IF($G2343="","",IF(ISNUMBER(FIND(" ",$G2343)),$G2343,IFERROR(IF((LEN(SUBSTITUTE(SUBSTITUTE($G2343,"-"," ",LEN($G2343)-LEN(SUBSTITUTE($G2343,"-",""))),"-"," ",LEN($G2343)-LEN(SUBSTITUTE($G2343,"-",""))-1))-LEN(SUBSTITUTE(SUBSTITUTE(SUBSTITUTE($G2343,"-"," ",LEN($G2343)-LEN(SUBSTITUTE($G2343,"-",""))),"-"," ",LEN($G2343)-LEN(SUBSTITUTE($G2343,"-",""))-1),".","")))=0,SUBSTITUTE(SUBSTITUTE($G2343,"-"," ",LEN($G2343)-LEN(SUBSTITUTE($G2343,"-",""))),"-"," ",LEN($G2343)-LEN(SUBSTITUTE($G2343,"-",""))-1),SUBSTITUTE(SUBSTITUTE(SUBSTITUTE($G2343,"-"," ",LEN($G2343)-LEN(SUBSTITUTE($G2343,"-",""))),"-"," ",LEN($G2343)-LEN(SUBSTITUTE($G2343,"-",""))-1),"."," ",(LEN(SUBSTITUTE(SUBSTITUTE($G2343,"-"," ",LEN($G2343)-LEN(SUBSTITUTE($G2343,"-",""))),"-"," ",LEN($G2343)-LEN(SUBSTITUTE($G2343,"-",""))-1))-LEN(SUBSTITUTE(SUBSTITUTE(SUBSTITUTE($G2343,"-"," ",LEN($G2343)-LEN(SUBSTITUTE($G2343,"-",""))),"-"," ",LEN($G2343)-LEN(SUBSTITUTE($G2343,"-",""))-1),".",""))))),$G2343)))</f>
        <v/>
      </c>
    </row>
    <row r="2344">
      <c r="A2344" s="58" t="n"/>
      <c r="B2344" s="58">
        <f>IF($H2344="","",LEFT($H2344,FIND(" ",$H2344&amp;" ")-1))</f>
        <v/>
      </c>
      <c r="C2344" s="58">
        <f>IF($H2344="","",IFERROR(MID($H2344&amp;" ",FIND("|",SUBSTITUTE($H2344&amp;" "," ","|",1))+1,FIND("|",SUBSTITUTE($H2344&amp;" "," ","|",2))-FIND("|",SUBSTITUTE($H2344&amp;" "," ","|",1))-1),""))</f>
        <v/>
      </c>
      <c r="D2344" s="58">
        <f>IF($H2344="","",IFERROR(MID($H2344&amp;" ",FIND("|",SUBSTITUTE($H2344&amp;" "," ","|",2))+1,FIND("|",SUBSTITUTE($H2344&amp;" "," ","|",3))-FIND("|",SUBSTITUTE($H2344&amp;" "," ","|",2))-1),""))</f>
        <v/>
      </c>
      <c r="E2344" s="58">
        <f>IF($H2344="","",IFERROR(MID($H2344&amp;" ",FIND("|",SUBSTITUTE($H2344&amp;" "," ","|",3))+1,FIND("|",SUBSTITUTE($H2344&amp;" "," ","|",4))-FIND("|",SUBSTITUTE($H2344&amp;" "," ","|",3))-1),""))</f>
        <v/>
      </c>
      <c r="F2344" s="59">
        <f>IF($H2344="","",IFERROR(VALUE(IFERROR(MID($H2344&amp;" ",FIND("|",SUBSTITUTE($H2344&amp;" "," ","|",4))+1,FIND("|",SUBSTITUTE($H2344&amp;" "," ","|",5))-FIND("|",SUBSTITUTE($H2344&amp;" "," ","|",4))-1),""))/86400+25569+9/24,""))</f>
        <v/>
      </c>
      <c r="G2344" s="58">
        <f>TRIM(SUBSTITUTE(SUBSTITUTE(SUBSTITUTE($A2344,CHAR(9)," ")," "," "),CHAR(13),""))</f>
        <v/>
      </c>
      <c r="H2344" s="58">
        <f>IF($G2344="","",IF(ISNUMBER(FIND(" ",$G2344)),$G2344,IFERROR(IF((LEN(SUBSTITUTE(SUBSTITUTE($G2344,"-"," ",LEN($G2344)-LEN(SUBSTITUTE($G2344,"-",""))),"-"," ",LEN($G2344)-LEN(SUBSTITUTE($G2344,"-",""))-1))-LEN(SUBSTITUTE(SUBSTITUTE(SUBSTITUTE($G2344,"-"," ",LEN($G2344)-LEN(SUBSTITUTE($G2344,"-",""))),"-"," ",LEN($G2344)-LEN(SUBSTITUTE($G2344,"-",""))-1),".","")))=0,SUBSTITUTE(SUBSTITUTE($G2344,"-"," ",LEN($G2344)-LEN(SUBSTITUTE($G2344,"-",""))),"-"," ",LEN($G2344)-LEN(SUBSTITUTE($G2344,"-",""))-1),SUBSTITUTE(SUBSTITUTE(SUBSTITUTE($G2344,"-"," ",LEN($G2344)-LEN(SUBSTITUTE($G2344,"-",""))),"-"," ",LEN($G2344)-LEN(SUBSTITUTE($G2344,"-",""))-1),"."," ",(LEN(SUBSTITUTE(SUBSTITUTE($G2344,"-"," ",LEN($G2344)-LEN(SUBSTITUTE($G2344,"-",""))),"-"," ",LEN($G2344)-LEN(SUBSTITUTE($G2344,"-",""))-1))-LEN(SUBSTITUTE(SUBSTITUTE(SUBSTITUTE($G2344,"-"," ",LEN($G2344)-LEN(SUBSTITUTE($G2344,"-",""))),"-"," ",LEN($G2344)-LEN(SUBSTITUTE($G2344,"-",""))-1),".",""))))),$G2344)))</f>
        <v/>
      </c>
    </row>
    <row r="2345">
      <c r="A2345" s="58" t="n"/>
      <c r="B2345" s="58">
        <f>IF($H2345="","",LEFT($H2345,FIND(" ",$H2345&amp;" ")-1))</f>
        <v/>
      </c>
      <c r="C2345" s="58">
        <f>IF($H2345="","",IFERROR(MID($H2345&amp;" ",FIND("|",SUBSTITUTE($H2345&amp;" "," ","|",1))+1,FIND("|",SUBSTITUTE($H2345&amp;" "," ","|",2))-FIND("|",SUBSTITUTE($H2345&amp;" "," ","|",1))-1),""))</f>
        <v/>
      </c>
      <c r="D2345" s="58">
        <f>IF($H2345="","",IFERROR(MID($H2345&amp;" ",FIND("|",SUBSTITUTE($H2345&amp;" "," ","|",2))+1,FIND("|",SUBSTITUTE($H2345&amp;" "," ","|",3))-FIND("|",SUBSTITUTE($H2345&amp;" "," ","|",2))-1),""))</f>
        <v/>
      </c>
      <c r="E2345" s="58">
        <f>IF($H2345="","",IFERROR(MID($H2345&amp;" ",FIND("|",SUBSTITUTE($H2345&amp;" "," ","|",3))+1,FIND("|",SUBSTITUTE($H2345&amp;" "," ","|",4))-FIND("|",SUBSTITUTE($H2345&amp;" "," ","|",3))-1),""))</f>
        <v/>
      </c>
      <c r="F2345" s="59">
        <f>IF($H2345="","",IFERROR(VALUE(IFERROR(MID($H2345&amp;" ",FIND("|",SUBSTITUTE($H2345&amp;" "," ","|",4))+1,FIND("|",SUBSTITUTE($H2345&amp;" "," ","|",5))-FIND("|",SUBSTITUTE($H2345&amp;" "," ","|",4))-1),""))/86400+25569+9/24,""))</f>
        <v/>
      </c>
      <c r="G2345" s="58">
        <f>TRIM(SUBSTITUTE(SUBSTITUTE(SUBSTITUTE($A2345,CHAR(9)," ")," "," "),CHAR(13),""))</f>
        <v/>
      </c>
      <c r="H2345" s="58">
        <f>IF($G2345="","",IF(ISNUMBER(FIND(" ",$G2345)),$G2345,IFERROR(IF((LEN(SUBSTITUTE(SUBSTITUTE($G2345,"-"," ",LEN($G2345)-LEN(SUBSTITUTE($G2345,"-",""))),"-"," ",LEN($G2345)-LEN(SUBSTITUTE($G2345,"-",""))-1))-LEN(SUBSTITUTE(SUBSTITUTE(SUBSTITUTE($G2345,"-"," ",LEN($G2345)-LEN(SUBSTITUTE($G2345,"-",""))),"-"," ",LEN($G2345)-LEN(SUBSTITUTE($G2345,"-",""))-1),".","")))=0,SUBSTITUTE(SUBSTITUTE($G2345,"-"," ",LEN($G2345)-LEN(SUBSTITUTE($G2345,"-",""))),"-"," ",LEN($G2345)-LEN(SUBSTITUTE($G2345,"-",""))-1),SUBSTITUTE(SUBSTITUTE(SUBSTITUTE($G2345,"-"," ",LEN($G2345)-LEN(SUBSTITUTE($G2345,"-",""))),"-"," ",LEN($G2345)-LEN(SUBSTITUTE($G2345,"-",""))-1),"."," ",(LEN(SUBSTITUTE(SUBSTITUTE($G2345,"-"," ",LEN($G2345)-LEN(SUBSTITUTE($G2345,"-",""))),"-"," ",LEN($G2345)-LEN(SUBSTITUTE($G2345,"-",""))-1))-LEN(SUBSTITUTE(SUBSTITUTE(SUBSTITUTE($G2345,"-"," ",LEN($G2345)-LEN(SUBSTITUTE($G2345,"-",""))),"-"," ",LEN($G2345)-LEN(SUBSTITUTE($G2345,"-",""))-1),".",""))))),$G2345)))</f>
        <v/>
      </c>
    </row>
    <row r="2346">
      <c r="A2346" s="58" t="n"/>
      <c r="B2346" s="58">
        <f>IF($H2346="","",LEFT($H2346,FIND(" ",$H2346&amp;" ")-1))</f>
        <v/>
      </c>
      <c r="C2346" s="58">
        <f>IF($H2346="","",IFERROR(MID($H2346&amp;" ",FIND("|",SUBSTITUTE($H2346&amp;" "," ","|",1))+1,FIND("|",SUBSTITUTE($H2346&amp;" "," ","|",2))-FIND("|",SUBSTITUTE($H2346&amp;" "," ","|",1))-1),""))</f>
        <v/>
      </c>
      <c r="D2346" s="58">
        <f>IF($H2346="","",IFERROR(MID($H2346&amp;" ",FIND("|",SUBSTITUTE($H2346&amp;" "," ","|",2))+1,FIND("|",SUBSTITUTE($H2346&amp;" "," ","|",3))-FIND("|",SUBSTITUTE($H2346&amp;" "," ","|",2))-1),""))</f>
        <v/>
      </c>
      <c r="E2346" s="58">
        <f>IF($H2346="","",IFERROR(MID($H2346&amp;" ",FIND("|",SUBSTITUTE($H2346&amp;" "," ","|",3))+1,FIND("|",SUBSTITUTE($H2346&amp;" "," ","|",4))-FIND("|",SUBSTITUTE($H2346&amp;" "," ","|",3))-1),""))</f>
        <v/>
      </c>
      <c r="F2346" s="59">
        <f>IF($H2346="","",IFERROR(VALUE(IFERROR(MID($H2346&amp;" ",FIND("|",SUBSTITUTE($H2346&amp;" "," ","|",4))+1,FIND("|",SUBSTITUTE($H2346&amp;" "," ","|",5))-FIND("|",SUBSTITUTE($H2346&amp;" "," ","|",4))-1),""))/86400+25569+9/24,""))</f>
        <v/>
      </c>
      <c r="G2346" s="58">
        <f>TRIM(SUBSTITUTE(SUBSTITUTE(SUBSTITUTE($A2346,CHAR(9)," ")," "," "),CHAR(13),""))</f>
        <v/>
      </c>
      <c r="H2346" s="58">
        <f>IF($G2346="","",IF(ISNUMBER(FIND(" ",$G2346)),$G2346,IFERROR(IF((LEN(SUBSTITUTE(SUBSTITUTE($G2346,"-"," ",LEN($G2346)-LEN(SUBSTITUTE($G2346,"-",""))),"-"," ",LEN($G2346)-LEN(SUBSTITUTE($G2346,"-",""))-1))-LEN(SUBSTITUTE(SUBSTITUTE(SUBSTITUTE($G2346,"-"," ",LEN($G2346)-LEN(SUBSTITUTE($G2346,"-",""))),"-"," ",LEN($G2346)-LEN(SUBSTITUTE($G2346,"-",""))-1),".","")))=0,SUBSTITUTE(SUBSTITUTE($G2346,"-"," ",LEN($G2346)-LEN(SUBSTITUTE($G2346,"-",""))),"-"," ",LEN($G2346)-LEN(SUBSTITUTE($G2346,"-",""))-1),SUBSTITUTE(SUBSTITUTE(SUBSTITUTE($G2346,"-"," ",LEN($G2346)-LEN(SUBSTITUTE($G2346,"-",""))),"-"," ",LEN($G2346)-LEN(SUBSTITUTE($G2346,"-",""))-1),"."," ",(LEN(SUBSTITUTE(SUBSTITUTE($G2346,"-"," ",LEN($G2346)-LEN(SUBSTITUTE($G2346,"-",""))),"-"," ",LEN($G2346)-LEN(SUBSTITUTE($G2346,"-",""))-1))-LEN(SUBSTITUTE(SUBSTITUTE(SUBSTITUTE($G2346,"-"," ",LEN($G2346)-LEN(SUBSTITUTE($G2346,"-",""))),"-"," ",LEN($G2346)-LEN(SUBSTITUTE($G2346,"-",""))-1),".",""))))),$G2346)))</f>
        <v/>
      </c>
    </row>
    <row r="2347">
      <c r="A2347" s="58" t="n"/>
      <c r="B2347" s="58">
        <f>IF($H2347="","",LEFT($H2347,FIND(" ",$H2347&amp;" ")-1))</f>
        <v/>
      </c>
      <c r="C2347" s="58">
        <f>IF($H2347="","",IFERROR(MID($H2347&amp;" ",FIND("|",SUBSTITUTE($H2347&amp;" "," ","|",1))+1,FIND("|",SUBSTITUTE($H2347&amp;" "," ","|",2))-FIND("|",SUBSTITUTE($H2347&amp;" "," ","|",1))-1),""))</f>
        <v/>
      </c>
      <c r="D2347" s="58">
        <f>IF($H2347="","",IFERROR(MID($H2347&amp;" ",FIND("|",SUBSTITUTE($H2347&amp;" "," ","|",2))+1,FIND("|",SUBSTITUTE($H2347&amp;" "," ","|",3))-FIND("|",SUBSTITUTE($H2347&amp;" "," ","|",2))-1),""))</f>
        <v/>
      </c>
      <c r="E2347" s="58">
        <f>IF($H2347="","",IFERROR(MID($H2347&amp;" ",FIND("|",SUBSTITUTE($H2347&amp;" "," ","|",3))+1,FIND("|",SUBSTITUTE($H2347&amp;" "," ","|",4))-FIND("|",SUBSTITUTE($H2347&amp;" "," ","|",3))-1),""))</f>
        <v/>
      </c>
      <c r="F2347" s="59">
        <f>IF($H2347="","",IFERROR(VALUE(IFERROR(MID($H2347&amp;" ",FIND("|",SUBSTITUTE($H2347&amp;" "," ","|",4))+1,FIND("|",SUBSTITUTE($H2347&amp;" "," ","|",5))-FIND("|",SUBSTITUTE($H2347&amp;" "," ","|",4))-1),""))/86400+25569+9/24,""))</f>
        <v/>
      </c>
      <c r="G2347" s="58">
        <f>TRIM(SUBSTITUTE(SUBSTITUTE(SUBSTITUTE($A2347,CHAR(9)," ")," "," "),CHAR(13),""))</f>
        <v/>
      </c>
      <c r="H2347" s="58">
        <f>IF($G2347="","",IF(ISNUMBER(FIND(" ",$G2347)),$G2347,IFERROR(IF((LEN(SUBSTITUTE(SUBSTITUTE($G2347,"-"," ",LEN($G2347)-LEN(SUBSTITUTE($G2347,"-",""))),"-"," ",LEN($G2347)-LEN(SUBSTITUTE($G2347,"-",""))-1))-LEN(SUBSTITUTE(SUBSTITUTE(SUBSTITUTE($G2347,"-"," ",LEN($G2347)-LEN(SUBSTITUTE($G2347,"-",""))),"-"," ",LEN($G2347)-LEN(SUBSTITUTE($G2347,"-",""))-1),".","")))=0,SUBSTITUTE(SUBSTITUTE($G2347,"-"," ",LEN($G2347)-LEN(SUBSTITUTE($G2347,"-",""))),"-"," ",LEN($G2347)-LEN(SUBSTITUTE($G2347,"-",""))-1),SUBSTITUTE(SUBSTITUTE(SUBSTITUTE($G2347,"-"," ",LEN($G2347)-LEN(SUBSTITUTE($G2347,"-",""))),"-"," ",LEN($G2347)-LEN(SUBSTITUTE($G2347,"-",""))-1),"."," ",(LEN(SUBSTITUTE(SUBSTITUTE($G2347,"-"," ",LEN($G2347)-LEN(SUBSTITUTE($G2347,"-",""))),"-"," ",LEN($G2347)-LEN(SUBSTITUTE($G2347,"-",""))-1))-LEN(SUBSTITUTE(SUBSTITUTE(SUBSTITUTE($G2347,"-"," ",LEN($G2347)-LEN(SUBSTITUTE($G2347,"-",""))),"-"," ",LEN($G2347)-LEN(SUBSTITUTE($G2347,"-",""))-1),".",""))))),$G2347)))</f>
        <v/>
      </c>
    </row>
    <row r="2348">
      <c r="A2348" s="58" t="n"/>
      <c r="B2348" s="58">
        <f>IF($H2348="","",LEFT($H2348,FIND(" ",$H2348&amp;" ")-1))</f>
        <v/>
      </c>
      <c r="C2348" s="58">
        <f>IF($H2348="","",IFERROR(MID($H2348&amp;" ",FIND("|",SUBSTITUTE($H2348&amp;" "," ","|",1))+1,FIND("|",SUBSTITUTE($H2348&amp;" "," ","|",2))-FIND("|",SUBSTITUTE($H2348&amp;" "," ","|",1))-1),""))</f>
        <v/>
      </c>
      <c r="D2348" s="58">
        <f>IF($H2348="","",IFERROR(MID($H2348&amp;" ",FIND("|",SUBSTITUTE($H2348&amp;" "," ","|",2))+1,FIND("|",SUBSTITUTE($H2348&amp;" "," ","|",3))-FIND("|",SUBSTITUTE($H2348&amp;" "," ","|",2))-1),""))</f>
        <v/>
      </c>
      <c r="E2348" s="58">
        <f>IF($H2348="","",IFERROR(MID($H2348&amp;" ",FIND("|",SUBSTITUTE($H2348&amp;" "," ","|",3))+1,FIND("|",SUBSTITUTE($H2348&amp;" "," ","|",4))-FIND("|",SUBSTITUTE($H2348&amp;" "," ","|",3))-1),""))</f>
        <v/>
      </c>
      <c r="F2348" s="59">
        <f>IF($H2348="","",IFERROR(VALUE(IFERROR(MID($H2348&amp;" ",FIND("|",SUBSTITUTE($H2348&amp;" "," ","|",4))+1,FIND("|",SUBSTITUTE($H2348&amp;" "," ","|",5))-FIND("|",SUBSTITUTE($H2348&amp;" "," ","|",4))-1),""))/86400+25569+9/24,""))</f>
        <v/>
      </c>
      <c r="G2348" s="58">
        <f>TRIM(SUBSTITUTE(SUBSTITUTE(SUBSTITUTE($A2348,CHAR(9)," ")," "," "),CHAR(13),""))</f>
        <v/>
      </c>
      <c r="H2348" s="58">
        <f>IF($G2348="","",IF(ISNUMBER(FIND(" ",$G2348)),$G2348,IFERROR(IF((LEN(SUBSTITUTE(SUBSTITUTE($G2348,"-"," ",LEN($G2348)-LEN(SUBSTITUTE($G2348,"-",""))),"-"," ",LEN($G2348)-LEN(SUBSTITUTE($G2348,"-",""))-1))-LEN(SUBSTITUTE(SUBSTITUTE(SUBSTITUTE($G2348,"-"," ",LEN($G2348)-LEN(SUBSTITUTE($G2348,"-",""))),"-"," ",LEN($G2348)-LEN(SUBSTITUTE($G2348,"-",""))-1),".","")))=0,SUBSTITUTE(SUBSTITUTE($G2348,"-"," ",LEN($G2348)-LEN(SUBSTITUTE($G2348,"-",""))),"-"," ",LEN($G2348)-LEN(SUBSTITUTE($G2348,"-",""))-1),SUBSTITUTE(SUBSTITUTE(SUBSTITUTE($G2348,"-"," ",LEN($G2348)-LEN(SUBSTITUTE($G2348,"-",""))),"-"," ",LEN($G2348)-LEN(SUBSTITUTE($G2348,"-",""))-1),"."," ",(LEN(SUBSTITUTE(SUBSTITUTE($G2348,"-"," ",LEN($G2348)-LEN(SUBSTITUTE($G2348,"-",""))),"-"," ",LEN($G2348)-LEN(SUBSTITUTE($G2348,"-",""))-1))-LEN(SUBSTITUTE(SUBSTITUTE(SUBSTITUTE($G2348,"-"," ",LEN($G2348)-LEN(SUBSTITUTE($G2348,"-",""))),"-"," ",LEN($G2348)-LEN(SUBSTITUTE($G2348,"-",""))-1),".",""))))),$G2348)))</f>
        <v/>
      </c>
    </row>
    <row r="2349">
      <c r="A2349" s="58" t="n"/>
      <c r="B2349" s="58">
        <f>IF($H2349="","",LEFT($H2349,FIND(" ",$H2349&amp;" ")-1))</f>
        <v/>
      </c>
      <c r="C2349" s="58">
        <f>IF($H2349="","",IFERROR(MID($H2349&amp;" ",FIND("|",SUBSTITUTE($H2349&amp;" "," ","|",1))+1,FIND("|",SUBSTITUTE($H2349&amp;" "," ","|",2))-FIND("|",SUBSTITUTE($H2349&amp;" "," ","|",1))-1),""))</f>
        <v/>
      </c>
      <c r="D2349" s="58">
        <f>IF($H2349="","",IFERROR(MID($H2349&amp;" ",FIND("|",SUBSTITUTE($H2349&amp;" "," ","|",2))+1,FIND("|",SUBSTITUTE($H2349&amp;" "," ","|",3))-FIND("|",SUBSTITUTE($H2349&amp;" "," ","|",2))-1),""))</f>
        <v/>
      </c>
      <c r="E2349" s="58">
        <f>IF($H2349="","",IFERROR(MID($H2349&amp;" ",FIND("|",SUBSTITUTE($H2349&amp;" "," ","|",3))+1,FIND("|",SUBSTITUTE($H2349&amp;" "," ","|",4))-FIND("|",SUBSTITUTE($H2349&amp;" "," ","|",3))-1),""))</f>
        <v/>
      </c>
      <c r="F2349" s="59">
        <f>IF($H2349="","",IFERROR(VALUE(IFERROR(MID($H2349&amp;" ",FIND("|",SUBSTITUTE($H2349&amp;" "," ","|",4))+1,FIND("|",SUBSTITUTE($H2349&amp;" "," ","|",5))-FIND("|",SUBSTITUTE($H2349&amp;" "," ","|",4))-1),""))/86400+25569+9/24,""))</f>
        <v/>
      </c>
      <c r="G2349" s="58">
        <f>TRIM(SUBSTITUTE(SUBSTITUTE(SUBSTITUTE($A2349,CHAR(9)," ")," "," "),CHAR(13),""))</f>
        <v/>
      </c>
      <c r="H2349" s="58">
        <f>IF($G2349="","",IF(ISNUMBER(FIND(" ",$G2349)),$G2349,IFERROR(IF((LEN(SUBSTITUTE(SUBSTITUTE($G2349,"-"," ",LEN($G2349)-LEN(SUBSTITUTE($G2349,"-",""))),"-"," ",LEN($G2349)-LEN(SUBSTITUTE($G2349,"-",""))-1))-LEN(SUBSTITUTE(SUBSTITUTE(SUBSTITUTE($G2349,"-"," ",LEN($G2349)-LEN(SUBSTITUTE($G2349,"-",""))),"-"," ",LEN($G2349)-LEN(SUBSTITUTE($G2349,"-",""))-1),".","")))=0,SUBSTITUTE(SUBSTITUTE($G2349,"-"," ",LEN($G2349)-LEN(SUBSTITUTE($G2349,"-",""))),"-"," ",LEN($G2349)-LEN(SUBSTITUTE($G2349,"-",""))-1),SUBSTITUTE(SUBSTITUTE(SUBSTITUTE($G2349,"-"," ",LEN($G2349)-LEN(SUBSTITUTE($G2349,"-",""))),"-"," ",LEN($G2349)-LEN(SUBSTITUTE($G2349,"-",""))-1),"."," ",(LEN(SUBSTITUTE(SUBSTITUTE($G2349,"-"," ",LEN($G2349)-LEN(SUBSTITUTE($G2349,"-",""))),"-"," ",LEN($G2349)-LEN(SUBSTITUTE($G2349,"-",""))-1))-LEN(SUBSTITUTE(SUBSTITUTE(SUBSTITUTE($G2349,"-"," ",LEN($G2349)-LEN(SUBSTITUTE($G2349,"-",""))),"-"," ",LEN($G2349)-LEN(SUBSTITUTE($G2349,"-",""))-1),".",""))))),$G2349)))</f>
        <v/>
      </c>
    </row>
    <row r="2350">
      <c r="A2350" s="58" t="n"/>
      <c r="B2350" s="58">
        <f>IF($H2350="","",LEFT($H2350,FIND(" ",$H2350&amp;" ")-1))</f>
        <v/>
      </c>
      <c r="C2350" s="58">
        <f>IF($H2350="","",IFERROR(MID($H2350&amp;" ",FIND("|",SUBSTITUTE($H2350&amp;" "," ","|",1))+1,FIND("|",SUBSTITUTE($H2350&amp;" "," ","|",2))-FIND("|",SUBSTITUTE($H2350&amp;" "," ","|",1))-1),""))</f>
        <v/>
      </c>
      <c r="D2350" s="58">
        <f>IF($H2350="","",IFERROR(MID($H2350&amp;" ",FIND("|",SUBSTITUTE($H2350&amp;" "," ","|",2))+1,FIND("|",SUBSTITUTE($H2350&amp;" "," ","|",3))-FIND("|",SUBSTITUTE($H2350&amp;" "," ","|",2))-1),""))</f>
        <v/>
      </c>
      <c r="E2350" s="58">
        <f>IF($H2350="","",IFERROR(MID($H2350&amp;" ",FIND("|",SUBSTITUTE($H2350&amp;" "," ","|",3))+1,FIND("|",SUBSTITUTE($H2350&amp;" "," ","|",4))-FIND("|",SUBSTITUTE($H2350&amp;" "," ","|",3))-1),""))</f>
        <v/>
      </c>
      <c r="F2350" s="59">
        <f>IF($H2350="","",IFERROR(VALUE(IFERROR(MID($H2350&amp;" ",FIND("|",SUBSTITUTE($H2350&amp;" "," ","|",4))+1,FIND("|",SUBSTITUTE($H2350&amp;" "," ","|",5))-FIND("|",SUBSTITUTE($H2350&amp;" "," ","|",4))-1),""))/86400+25569+9/24,""))</f>
        <v/>
      </c>
      <c r="G2350" s="58">
        <f>TRIM(SUBSTITUTE(SUBSTITUTE(SUBSTITUTE($A2350,CHAR(9)," ")," "," "),CHAR(13),""))</f>
        <v/>
      </c>
      <c r="H2350" s="58">
        <f>IF($G2350="","",IF(ISNUMBER(FIND(" ",$G2350)),$G2350,IFERROR(IF((LEN(SUBSTITUTE(SUBSTITUTE($G2350,"-"," ",LEN($G2350)-LEN(SUBSTITUTE($G2350,"-",""))),"-"," ",LEN($G2350)-LEN(SUBSTITUTE($G2350,"-",""))-1))-LEN(SUBSTITUTE(SUBSTITUTE(SUBSTITUTE($G2350,"-"," ",LEN($G2350)-LEN(SUBSTITUTE($G2350,"-",""))),"-"," ",LEN($G2350)-LEN(SUBSTITUTE($G2350,"-",""))-1),".","")))=0,SUBSTITUTE(SUBSTITUTE($G2350,"-"," ",LEN($G2350)-LEN(SUBSTITUTE($G2350,"-",""))),"-"," ",LEN($G2350)-LEN(SUBSTITUTE($G2350,"-",""))-1),SUBSTITUTE(SUBSTITUTE(SUBSTITUTE($G2350,"-"," ",LEN($G2350)-LEN(SUBSTITUTE($G2350,"-",""))),"-"," ",LEN($G2350)-LEN(SUBSTITUTE($G2350,"-",""))-1),"."," ",(LEN(SUBSTITUTE(SUBSTITUTE($G2350,"-"," ",LEN($G2350)-LEN(SUBSTITUTE($G2350,"-",""))),"-"," ",LEN($G2350)-LEN(SUBSTITUTE($G2350,"-",""))-1))-LEN(SUBSTITUTE(SUBSTITUTE(SUBSTITUTE($G2350,"-"," ",LEN($G2350)-LEN(SUBSTITUTE($G2350,"-",""))),"-"," ",LEN($G2350)-LEN(SUBSTITUTE($G2350,"-",""))-1),".",""))))),$G2350)))</f>
        <v/>
      </c>
    </row>
    <row r="2351">
      <c r="A2351" s="58" t="n"/>
      <c r="B2351" s="58">
        <f>IF($H2351="","",LEFT($H2351,FIND(" ",$H2351&amp;" ")-1))</f>
        <v/>
      </c>
      <c r="C2351" s="58">
        <f>IF($H2351="","",IFERROR(MID($H2351&amp;" ",FIND("|",SUBSTITUTE($H2351&amp;" "," ","|",1))+1,FIND("|",SUBSTITUTE($H2351&amp;" "," ","|",2))-FIND("|",SUBSTITUTE($H2351&amp;" "," ","|",1))-1),""))</f>
        <v/>
      </c>
      <c r="D2351" s="58">
        <f>IF($H2351="","",IFERROR(MID($H2351&amp;" ",FIND("|",SUBSTITUTE($H2351&amp;" "," ","|",2))+1,FIND("|",SUBSTITUTE($H2351&amp;" "," ","|",3))-FIND("|",SUBSTITUTE($H2351&amp;" "," ","|",2))-1),""))</f>
        <v/>
      </c>
      <c r="E2351" s="58">
        <f>IF($H2351="","",IFERROR(MID($H2351&amp;" ",FIND("|",SUBSTITUTE($H2351&amp;" "," ","|",3))+1,FIND("|",SUBSTITUTE($H2351&amp;" "," ","|",4))-FIND("|",SUBSTITUTE($H2351&amp;" "," ","|",3))-1),""))</f>
        <v/>
      </c>
      <c r="F2351" s="59">
        <f>IF($H2351="","",IFERROR(VALUE(IFERROR(MID($H2351&amp;" ",FIND("|",SUBSTITUTE($H2351&amp;" "," ","|",4))+1,FIND("|",SUBSTITUTE($H2351&amp;" "," ","|",5))-FIND("|",SUBSTITUTE($H2351&amp;" "," ","|",4))-1),""))/86400+25569+9/24,""))</f>
        <v/>
      </c>
      <c r="G2351" s="58">
        <f>TRIM(SUBSTITUTE(SUBSTITUTE(SUBSTITUTE($A2351,CHAR(9)," ")," "," "),CHAR(13),""))</f>
        <v/>
      </c>
      <c r="H2351" s="58">
        <f>IF($G2351="","",IF(ISNUMBER(FIND(" ",$G2351)),$G2351,IFERROR(IF((LEN(SUBSTITUTE(SUBSTITUTE($G2351,"-"," ",LEN($G2351)-LEN(SUBSTITUTE($G2351,"-",""))),"-"," ",LEN($G2351)-LEN(SUBSTITUTE($G2351,"-",""))-1))-LEN(SUBSTITUTE(SUBSTITUTE(SUBSTITUTE($G2351,"-"," ",LEN($G2351)-LEN(SUBSTITUTE($G2351,"-",""))),"-"," ",LEN($G2351)-LEN(SUBSTITUTE($G2351,"-",""))-1),".","")))=0,SUBSTITUTE(SUBSTITUTE($G2351,"-"," ",LEN($G2351)-LEN(SUBSTITUTE($G2351,"-",""))),"-"," ",LEN($G2351)-LEN(SUBSTITUTE($G2351,"-",""))-1),SUBSTITUTE(SUBSTITUTE(SUBSTITUTE($G2351,"-"," ",LEN($G2351)-LEN(SUBSTITUTE($G2351,"-",""))),"-"," ",LEN($G2351)-LEN(SUBSTITUTE($G2351,"-",""))-1),"."," ",(LEN(SUBSTITUTE(SUBSTITUTE($G2351,"-"," ",LEN($G2351)-LEN(SUBSTITUTE($G2351,"-",""))),"-"," ",LEN($G2351)-LEN(SUBSTITUTE($G2351,"-",""))-1))-LEN(SUBSTITUTE(SUBSTITUTE(SUBSTITUTE($G2351,"-"," ",LEN($G2351)-LEN(SUBSTITUTE($G2351,"-",""))),"-"," ",LEN($G2351)-LEN(SUBSTITUTE($G2351,"-",""))-1),".",""))))),$G2351)))</f>
        <v/>
      </c>
    </row>
    <row r="2352">
      <c r="A2352" s="58" t="n"/>
      <c r="B2352" s="58">
        <f>IF($H2352="","",LEFT($H2352,FIND(" ",$H2352&amp;" ")-1))</f>
        <v/>
      </c>
      <c r="C2352" s="58">
        <f>IF($H2352="","",IFERROR(MID($H2352&amp;" ",FIND("|",SUBSTITUTE($H2352&amp;" "," ","|",1))+1,FIND("|",SUBSTITUTE($H2352&amp;" "," ","|",2))-FIND("|",SUBSTITUTE($H2352&amp;" "," ","|",1))-1),""))</f>
        <v/>
      </c>
      <c r="D2352" s="58">
        <f>IF($H2352="","",IFERROR(MID($H2352&amp;" ",FIND("|",SUBSTITUTE($H2352&amp;" "," ","|",2))+1,FIND("|",SUBSTITUTE($H2352&amp;" "," ","|",3))-FIND("|",SUBSTITUTE($H2352&amp;" "," ","|",2))-1),""))</f>
        <v/>
      </c>
      <c r="E2352" s="58">
        <f>IF($H2352="","",IFERROR(MID($H2352&amp;" ",FIND("|",SUBSTITUTE($H2352&amp;" "," ","|",3))+1,FIND("|",SUBSTITUTE($H2352&amp;" "," ","|",4))-FIND("|",SUBSTITUTE($H2352&amp;" "," ","|",3))-1),""))</f>
        <v/>
      </c>
      <c r="F2352" s="59">
        <f>IF($H2352="","",IFERROR(VALUE(IFERROR(MID($H2352&amp;" ",FIND("|",SUBSTITUTE($H2352&amp;" "," ","|",4))+1,FIND("|",SUBSTITUTE($H2352&amp;" "," ","|",5))-FIND("|",SUBSTITUTE($H2352&amp;" "," ","|",4))-1),""))/86400+25569+9/24,""))</f>
        <v/>
      </c>
      <c r="G2352" s="58">
        <f>TRIM(SUBSTITUTE(SUBSTITUTE(SUBSTITUTE($A2352,CHAR(9)," ")," "," "),CHAR(13),""))</f>
        <v/>
      </c>
      <c r="H2352" s="58">
        <f>IF($G2352="","",IF(ISNUMBER(FIND(" ",$G2352)),$G2352,IFERROR(IF((LEN(SUBSTITUTE(SUBSTITUTE($G2352,"-"," ",LEN($G2352)-LEN(SUBSTITUTE($G2352,"-",""))),"-"," ",LEN($G2352)-LEN(SUBSTITUTE($G2352,"-",""))-1))-LEN(SUBSTITUTE(SUBSTITUTE(SUBSTITUTE($G2352,"-"," ",LEN($G2352)-LEN(SUBSTITUTE($G2352,"-",""))),"-"," ",LEN($G2352)-LEN(SUBSTITUTE($G2352,"-",""))-1),".","")))=0,SUBSTITUTE(SUBSTITUTE($G2352,"-"," ",LEN($G2352)-LEN(SUBSTITUTE($G2352,"-",""))),"-"," ",LEN($G2352)-LEN(SUBSTITUTE($G2352,"-",""))-1),SUBSTITUTE(SUBSTITUTE(SUBSTITUTE($G2352,"-"," ",LEN($G2352)-LEN(SUBSTITUTE($G2352,"-",""))),"-"," ",LEN($G2352)-LEN(SUBSTITUTE($G2352,"-",""))-1),"."," ",(LEN(SUBSTITUTE(SUBSTITUTE($G2352,"-"," ",LEN($G2352)-LEN(SUBSTITUTE($G2352,"-",""))),"-"," ",LEN($G2352)-LEN(SUBSTITUTE($G2352,"-",""))-1))-LEN(SUBSTITUTE(SUBSTITUTE(SUBSTITUTE($G2352,"-"," ",LEN($G2352)-LEN(SUBSTITUTE($G2352,"-",""))),"-"," ",LEN($G2352)-LEN(SUBSTITUTE($G2352,"-",""))-1),".",""))))),$G2352)))</f>
        <v/>
      </c>
    </row>
    <row r="2353">
      <c r="A2353" s="58" t="n"/>
      <c r="B2353" s="58">
        <f>IF($H2353="","",LEFT($H2353,FIND(" ",$H2353&amp;" ")-1))</f>
        <v/>
      </c>
      <c r="C2353" s="58">
        <f>IF($H2353="","",IFERROR(MID($H2353&amp;" ",FIND("|",SUBSTITUTE($H2353&amp;" "," ","|",1))+1,FIND("|",SUBSTITUTE($H2353&amp;" "," ","|",2))-FIND("|",SUBSTITUTE($H2353&amp;" "," ","|",1))-1),""))</f>
        <v/>
      </c>
      <c r="D2353" s="58">
        <f>IF($H2353="","",IFERROR(MID($H2353&amp;" ",FIND("|",SUBSTITUTE($H2353&amp;" "," ","|",2))+1,FIND("|",SUBSTITUTE($H2353&amp;" "," ","|",3))-FIND("|",SUBSTITUTE($H2353&amp;" "," ","|",2))-1),""))</f>
        <v/>
      </c>
      <c r="E2353" s="58">
        <f>IF($H2353="","",IFERROR(MID($H2353&amp;" ",FIND("|",SUBSTITUTE($H2353&amp;" "," ","|",3))+1,FIND("|",SUBSTITUTE($H2353&amp;" "," ","|",4))-FIND("|",SUBSTITUTE($H2353&amp;" "," ","|",3))-1),""))</f>
        <v/>
      </c>
      <c r="F2353" s="59">
        <f>IF($H2353="","",IFERROR(VALUE(IFERROR(MID($H2353&amp;" ",FIND("|",SUBSTITUTE($H2353&amp;" "," ","|",4))+1,FIND("|",SUBSTITUTE($H2353&amp;" "," ","|",5))-FIND("|",SUBSTITUTE($H2353&amp;" "," ","|",4))-1),""))/86400+25569+9/24,""))</f>
        <v/>
      </c>
      <c r="G2353" s="58">
        <f>TRIM(SUBSTITUTE(SUBSTITUTE(SUBSTITUTE($A2353,CHAR(9)," ")," "," "),CHAR(13),""))</f>
        <v/>
      </c>
      <c r="H2353" s="58">
        <f>IF($G2353="","",IF(ISNUMBER(FIND(" ",$G2353)),$G2353,IFERROR(IF((LEN(SUBSTITUTE(SUBSTITUTE($G2353,"-"," ",LEN($G2353)-LEN(SUBSTITUTE($G2353,"-",""))),"-"," ",LEN($G2353)-LEN(SUBSTITUTE($G2353,"-",""))-1))-LEN(SUBSTITUTE(SUBSTITUTE(SUBSTITUTE($G2353,"-"," ",LEN($G2353)-LEN(SUBSTITUTE($G2353,"-",""))),"-"," ",LEN($G2353)-LEN(SUBSTITUTE($G2353,"-",""))-1),".","")))=0,SUBSTITUTE(SUBSTITUTE($G2353,"-"," ",LEN($G2353)-LEN(SUBSTITUTE($G2353,"-",""))),"-"," ",LEN($G2353)-LEN(SUBSTITUTE($G2353,"-",""))-1),SUBSTITUTE(SUBSTITUTE(SUBSTITUTE($G2353,"-"," ",LEN($G2353)-LEN(SUBSTITUTE($G2353,"-",""))),"-"," ",LEN($G2353)-LEN(SUBSTITUTE($G2353,"-",""))-1),"."," ",(LEN(SUBSTITUTE(SUBSTITUTE($G2353,"-"," ",LEN($G2353)-LEN(SUBSTITUTE($G2353,"-",""))),"-"," ",LEN($G2353)-LEN(SUBSTITUTE($G2353,"-",""))-1))-LEN(SUBSTITUTE(SUBSTITUTE(SUBSTITUTE($G2353,"-"," ",LEN($G2353)-LEN(SUBSTITUTE($G2353,"-",""))),"-"," ",LEN($G2353)-LEN(SUBSTITUTE($G2353,"-",""))-1),".",""))))),$G2353)))</f>
        <v/>
      </c>
    </row>
    <row r="2354">
      <c r="A2354" s="58" t="n"/>
      <c r="B2354" s="58">
        <f>IF($H2354="","",LEFT($H2354,FIND(" ",$H2354&amp;" ")-1))</f>
        <v/>
      </c>
      <c r="C2354" s="58">
        <f>IF($H2354="","",IFERROR(MID($H2354&amp;" ",FIND("|",SUBSTITUTE($H2354&amp;" "," ","|",1))+1,FIND("|",SUBSTITUTE($H2354&amp;" "," ","|",2))-FIND("|",SUBSTITUTE($H2354&amp;" "," ","|",1))-1),""))</f>
        <v/>
      </c>
      <c r="D2354" s="58">
        <f>IF($H2354="","",IFERROR(MID($H2354&amp;" ",FIND("|",SUBSTITUTE($H2354&amp;" "," ","|",2))+1,FIND("|",SUBSTITUTE($H2354&amp;" "," ","|",3))-FIND("|",SUBSTITUTE($H2354&amp;" "," ","|",2))-1),""))</f>
        <v/>
      </c>
      <c r="E2354" s="58">
        <f>IF($H2354="","",IFERROR(MID($H2354&amp;" ",FIND("|",SUBSTITUTE($H2354&amp;" "," ","|",3))+1,FIND("|",SUBSTITUTE($H2354&amp;" "," ","|",4))-FIND("|",SUBSTITUTE($H2354&amp;" "," ","|",3))-1),""))</f>
        <v/>
      </c>
      <c r="F2354" s="59">
        <f>IF($H2354="","",IFERROR(VALUE(IFERROR(MID($H2354&amp;" ",FIND("|",SUBSTITUTE($H2354&amp;" "," ","|",4))+1,FIND("|",SUBSTITUTE($H2354&amp;" "," ","|",5))-FIND("|",SUBSTITUTE($H2354&amp;" "," ","|",4))-1),""))/86400+25569+9/24,""))</f>
        <v/>
      </c>
      <c r="G2354" s="58">
        <f>TRIM(SUBSTITUTE(SUBSTITUTE(SUBSTITUTE($A2354,CHAR(9)," ")," "," "),CHAR(13),""))</f>
        <v/>
      </c>
      <c r="H2354" s="58">
        <f>IF($G2354="","",IF(ISNUMBER(FIND(" ",$G2354)),$G2354,IFERROR(IF((LEN(SUBSTITUTE(SUBSTITUTE($G2354,"-"," ",LEN($G2354)-LEN(SUBSTITUTE($G2354,"-",""))),"-"," ",LEN($G2354)-LEN(SUBSTITUTE($G2354,"-",""))-1))-LEN(SUBSTITUTE(SUBSTITUTE(SUBSTITUTE($G2354,"-"," ",LEN($G2354)-LEN(SUBSTITUTE($G2354,"-",""))),"-"," ",LEN($G2354)-LEN(SUBSTITUTE($G2354,"-",""))-1),".","")))=0,SUBSTITUTE(SUBSTITUTE($G2354,"-"," ",LEN($G2354)-LEN(SUBSTITUTE($G2354,"-",""))),"-"," ",LEN($G2354)-LEN(SUBSTITUTE($G2354,"-",""))-1),SUBSTITUTE(SUBSTITUTE(SUBSTITUTE($G2354,"-"," ",LEN($G2354)-LEN(SUBSTITUTE($G2354,"-",""))),"-"," ",LEN($G2354)-LEN(SUBSTITUTE($G2354,"-",""))-1),"."," ",(LEN(SUBSTITUTE(SUBSTITUTE($G2354,"-"," ",LEN($G2354)-LEN(SUBSTITUTE($G2354,"-",""))),"-"," ",LEN($G2354)-LEN(SUBSTITUTE($G2354,"-",""))-1))-LEN(SUBSTITUTE(SUBSTITUTE(SUBSTITUTE($G2354,"-"," ",LEN($G2354)-LEN(SUBSTITUTE($G2354,"-",""))),"-"," ",LEN($G2354)-LEN(SUBSTITUTE($G2354,"-",""))-1),".",""))))),$G2354)))</f>
        <v/>
      </c>
    </row>
    <row r="2355">
      <c r="A2355" s="58" t="n"/>
      <c r="B2355" s="58">
        <f>IF($H2355="","",LEFT($H2355,FIND(" ",$H2355&amp;" ")-1))</f>
        <v/>
      </c>
      <c r="C2355" s="58">
        <f>IF($H2355="","",IFERROR(MID($H2355&amp;" ",FIND("|",SUBSTITUTE($H2355&amp;" "," ","|",1))+1,FIND("|",SUBSTITUTE($H2355&amp;" "," ","|",2))-FIND("|",SUBSTITUTE($H2355&amp;" "," ","|",1))-1),""))</f>
        <v/>
      </c>
      <c r="D2355" s="58">
        <f>IF($H2355="","",IFERROR(MID($H2355&amp;" ",FIND("|",SUBSTITUTE($H2355&amp;" "," ","|",2))+1,FIND("|",SUBSTITUTE($H2355&amp;" "," ","|",3))-FIND("|",SUBSTITUTE($H2355&amp;" "," ","|",2))-1),""))</f>
        <v/>
      </c>
      <c r="E2355" s="58">
        <f>IF($H2355="","",IFERROR(MID($H2355&amp;" ",FIND("|",SUBSTITUTE($H2355&amp;" "," ","|",3))+1,FIND("|",SUBSTITUTE($H2355&amp;" "," ","|",4))-FIND("|",SUBSTITUTE($H2355&amp;" "," ","|",3))-1),""))</f>
        <v/>
      </c>
      <c r="F2355" s="59">
        <f>IF($H2355="","",IFERROR(VALUE(IFERROR(MID($H2355&amp;" ",FIND("|",SUBSTITUTE($H2355&amp;" "," ","|",4))+1,FIND("|",SUBSTITUTE($H2355&amp;" "," ","|",5))-FIND("|",SUBSTITUTE($H2355&amp;" "," ","|",4))-1),""))/86400+25569+9/24,""))</f>
        <v/>
      </c>
      <c r="G2355" s="58">
        <f>TRIM(SUBSTITUTE(SUBSTITUTE(SUBSTITUTE($A2355,CHAR(9)," ")," "," "),CHAR(13),""))</f>
        <v/>
      </c>
      <c r="H2355" s="58">
        <f>IF($G2355="","",IF(ISNUMBER(FIND(" ",$G2355)),$G2355,IFERROR(IF((LEN(SUBSTITUTE(SUBSTITUTE($G2355,"-"," ",LEN($G2355)-LEN(SUBSTITUTE($G2355,"-",""))),"-"," ",LEN($G2355)-LEN(SUBSTITUTE($G2355,"-",""))-1))-LEN(SUBSTITUTE(SUBSTITUTE(SUBSTITUTE($G2355,"-"," ",LEN($G2355)-LEN(SUBSTITUTE($G2355,"-",""))),"-"," ",LEN($G2355)-LEN(SUBSTITUTE($G2355,"-",""))-1),".","")))=0,SUBSTITUTE(SUBSTITUTE($G2355,"-"," ",LEN($G2355)-LEN(SUBSTITUTE($G2355,"-",""))),"-"," ",LEN($G2355)-LEN(SUBSTITUTE($G2355,"-",""))-1),SUBSTITUTE(SUBSTITUTE(SUBSTITUTE($G2355,"-"," ",LEN($G2355)-LEN(SUBSTITUTE($G2355,"-",""))),"-"," ",LEN($G2355)-LEN(SUBSTITUTE($G2355,"-",""))-1),"."," ",(LEN(SUBSTITUTE(SUBSTITUTE($G2355,"-"," ",LEN($G2355)-LEN(SUBSTITUTE($G2355,"-",""))),"-"," ",LEN($G2355)-LEN(SUBSTITUTE($G2355,"-",""))-1))-LEN(SUBSTITUTE(SUBSTITUTE(SUBSTITUTE($G2355,"-"," ",LEN($G2355)-LEN(SUBSTITUTE($G2355,"-",""))),"-"," ",LEN($G2355)-LEN(SUBSTITUTE($G2355,"-",""))-1),".",""))))),$G2355)))</f>
        <v/>
      </c>
    </row>
    <row r="2356">
      <c r="A2356" s="58" t="n"/>
      <c r="B2356" s="58">
        <f>IF($H2356="","",LEFT($H2356,FIND(" ",$H2356&amp;" ")-1))</f>
        <v/>
      </c>
      <c r="C2356" s="58">
        <f>IF($H2356="","",IFERROR(MID($H2356&amp;" ",FIND("|",SUBSTITUTE($H2356&amp;" "," ","|",1))+1,FIND("|",SUBSTITUTE($H2356&amp;" "," ","|",2))-FIND("|",SUBSTITUTE($H2356&amp;" "," ","|",1))-1),""))</f>
        <v/>
      </c>
      <c r="D2356" s="58">
        <f>IF($H2356="","",IFERROR(MID($H2356&amp;" ",FIND("|",SUBSTITUTE($H2356&amp;" "," ","|",2))+1,FIND("|",SUBSTITUTE($H2356&amp;" "," ","|",3))-FIND("|",SUBSTITUTE($H2356&amp;" "," ","|",2))-1),""))</f>
        <v/>
      </c>
      <c r="E2356" s="58">
        <f>IF($H2356="","",IFERROR(MID($H2356&amp;" ",FIND("|",SUBSTITUTE($H2356&amp;" "," ","|",3))+1,FIND("|",SUBSTITUTE($H2356&amp;" "," ","|",4))-FIND("|",SUBSTITUTE($H2356&amp;" "," ","|",3))-1),""))</f>
        <v/>
      </c>
      <c r="F2356" s="59">
        <f>IF($H2356="","",IFERROR(VALUE(IFERROR(MID($H2356&amp;" ",FIND("|",SUBSTITUTE($H2356&amp;" "," ","|",4))+1,FIND("|",SUBSTITUTE($H2356&amp;" "," ","|",5))-FIND("|",SUBSTITUTE($H2356&amp;" "," ","|",4))-1),""))/86400+25569+9/24,""))</f>
        <v/>
      </c>
      <c r="G2356" s="58">
        <f>TRIM(SUBSTITUTE(SUBSTITUTE(SUBSTITUTE($A2356,CHAR(9)," ")," "," "),CHAR(13),""))</f>
        <v/>
      </c>
      <c r="H2356" s="58">
        <f>IF($G2356="","",IF(ISNUMBER(FIND(" ",$G2356)),$G2356,IFERROR(IF((LEN(SUBSTITUTE(SUBSTITUTE($G2356,"-"," ",LEN($G2356)-LEN(SUBSTITUTE($G2356,"-",""))),"-"," ",LEN($G2356)-LEN(SUBSTITUTE($G2356,"-",""))-1))-LEN(SUBSTITUTE(SUBSTITUTE(SUBSTITUTE($G2356,"-"," ",LEN($G2356)-LEN(SUBSTITUTE($G2356,"-",""))),"-"," ",LEN($G2356)-LEN(SUBSTITUTE($G2356,"-",""))-1),".","")))=0,SUBSTITUTE(SUBSTITUTE($G2356,"-"," ",LEN($G2356)-LEN(SUBSTITUTE($G2356,"-",""))),"-"," ",LEN($G2356)-LEN(SUBSTITUTE($G2356,"-",""))-1),SUBSTITUTE(SUBSTITUTE(SUBSTITUTE($G2356,"-"," ",LEN($G2356)-LEN(SUBSTITUTE($G2356,"-",""))),"-"," ",LEN($G2356)-LEN(SUBSTITUTE($G2356,"-",""))-1),"."," ",(LEN(SUBSTITUTE(SUBSTITUTE($G2356,"-"," ",LEN($G2356)-LEN(SUBSTITUTE($G2356,"-",""))),"-"," ",LEN($G2356)-LEN(SUBSTITUTE($G2356,"-",""))-1))-LEN(SUBSTITUTE(SUBSTITUTE(SUBSTITUTE($G2356,"-"," ",LEN($G2356)-LEN(SUBSTITUTE($G2356,"-",""))),"-"," ",LEN($G2356)-LEN(SUBSTITUTE($G2356,"-",""))-1),".",""))))),$G2356)))</f>
        <v/>
      </c>
    </row>
    <row r="2357">
      <c r="A2357" s="58" t="n"/>
      <c r="B2357" s="58">
        <f>IF($H2357="","",LEFT($H2357,FIND(" ",$H2357&amp;" ")-1))</f>
        <v/>
      </c>
      <c r="C2357" s="58">
        <f>IF($H2357="","",IFERROR(MID($H2357&amp;" ",FIND("|",SUBSTITUTE($H2357&amp;" "," ","|",1))+1,FIND("|",SUBSTITUTE($H2357&amp;" "," ","|",2))-FIND("|",SUBSTITUTE($H2357&amp;" "," ","|",1))-1),""))</f>
        <v/>
      </c>
      <c r="D2357" s="58">
        <f>IF($H2357="","",IFERROR(MID($H2357&amp;" ",FIND("|",SUBSTITUTE($H2357&amp;" "," ","|",2))+1,FIND("|",SUBSTITUTE($H2357&amp;" "," ","|",3))-FIND("|",SUBSTITUTE($H2357&amp;" "," ","|",2))-1),""))</f>
        <v/>
      </c>
      <c r="E2357" s="58">
        <f>IF($H2357="","",IFERROR(MID($H2357&amp;" ",FIND("|",SUBSTITUTE($H2357&amp;" "," ","|",3))+1,FIND("|",SUBSTITUTE($H2357&amp;" "," ","|",4))-FIND("|",SUBSTITUTE($H2357&amp;" "," ","|",3))-1),""))</f>
        <v/>
      </c>
      <c r="F2357" s="59">
        <f>IF($H2357="","",IFERROR(VALUE(IFERROR(MID($H2357&amp;" ",FIND("|",SUBSTITUTE($H2357&amp;" "," ","|",4))+1,FIND("|",SUBSTITUTE($H2357&amp;" "," ","|",5))-FIND("|",SUBSTITUTE($H2357&amp;" "," ","|",4))-1),""))/86400+25569+9/24,""))</f>
        <v/>
      </c>
      <c r="G2357" s="58">
        <f>TRIM(SUBSTITUTE(SUBSTITUTE(SUBSTITUTE($A2357,CHAR(9)," ")," "," "),CHAR(13),""))</f>
        <v/>
      </c>
      <c r="H2357" s="58">
        <f>IF($G2357="","",IF(ISNUMBER(FIND(" ",$G2357)),$G2357,IFERROR(IF((LEN(SUBSTITUTE(SUBSTITUTE($G2357,"-"," ",LEN($G2357)-LEN(SUBSTITUTE($G2357,"-",""))),"-"," ",LEN($G2357)-LEN(SUBSTITUTE($G2357,"-",""))-1))-LEN(SUBSTITUTE(SUBSTITUTE(SUBSTITUTE($G2357,"-"," ",LEN($G2357)-LEN(SUBSTITUTE($G2357,"-",""))),"-"," ",LEN($G2357)-LEN(SUBSTITUTE($G2357,"-",""))-1),".","")))=0,SUBSTITUTE(SUBSTITUTE($G2357,"-"," ",LEN($G2357)-LEN(SUBSTITUTE($G2357,"-",""))),"-"," ",LEN($G2357)-LEN(SUBSTITUTE($G2357,"-",""))-1),SUBSTITUTE(SUBSTITUTE(SUBSTITUTE($G2357,"-"," ",LEN($G2357)-LEN(SUBSTITUTE($G2357,"-",""))),"-"," ",LEN($G2357)-LEN(SUBSTITUTE($G2357,"-",""))-1),"."," ",(LEN(SUBSTITUTE(SUBSTITUTE($G2357,"-"," ",LEN($G2357)-LEN(SUBSTITUTE($G2357,"-",""))),"-"," ",LEN($G2357)-LEN(SUBSTITUTE($G2357,"-",""))-1))-LEN(SUBSTITUTE(SUBSTITUTE(SUBSTITUTE($G2357,"-"," ",LEN($G2357)-LEN(SUBSTITUTE($G2357,"-",""))),"-"," ",LEN($G2357)-LEN(SUBSTITUTE($G2357,"-",""))-1),".",""))))),$G2357)))</f>
        <v/>
      </c>
    </row>
    <row r="2358">
      <c r="A2358" s="58" t="n"/>
      <c r="B2358" s="58">
        <f>IF($H2358="","",LEFT($H2358,FIND(" ",$H2358&amp;" ")-1))</f>
        <v/>
      </c>
      <c r="C2358" s="58">
        <f>IF($H2358="","",IFERROR(MID($H2358&amp;" ",FIND("|",SUBSTITUTE($H2358&amp;" "," ","|",1))+1,FIND("|",SUBSTITUTE($H2358&amp;" "," ","|",2))-FIND("|",SUBSTITUTE($H2358&amp;" "," ","|",1))-1),""))</f>
        <v/>
      </c>
      <c r="D2358" s="58">
        <f>IF($H2358="","",IFERROR(MID($H2358&amp;" ",FIND("|",SUBSTITUTE($H2358&amp;" "," ","|",2))+1,FIND("|",SUBSTITUTE($H2358&amp;" "," ","|",3))-FIND("|",SUBSTITUTE($H2358&amp;" "," ","|",2))-1),""))</f>
        <v/>
      </c>
      <c r="E2358" s="58">
        <f>IF($H2358="","",IFERROR(MID($H2358&amp;" ",FIND("|",SUBSTITUTE($H2358&amp;" "," ","|",3))+1,FIND("|",SUBSTITUTE($H2358&amp;" "," ","|",4))-FIND("|",SUBSTITUTE($H2358&amp;" "," ","|",3))-1),""))</f>
        <v/>
      </c>
      <c r="F2358" s="59">
        <f>IF($H2358="","",IFERROR(VALUE(IFERROR(MID($H2358&amp;" ",FIND("|",SUBSTITUTE($H2358&amp;" "," ","|",4))+1,FIND("|",SUBSTITUTE($H2358&amp;" "," ","|",5))-FIND("|",SUBSTITUTE($H2358&amp;" "," ","|",4))-1),""))/86400+25569+9/24,""))</f>
        <v/>
      </c>
      <c r="G2358" s="58">
        <f>TRIM(SUBSTITUTE(SUBSTITUTE(SUBSTITUTE($A2358,CHAR(9)," ")," "," "),CHAR(13),""))</f>
        <v/>
      </c>
      <c r="H2358" s="58">
        <f>IF($G2358="","",IF(ISNUMBER(FIND(" ",$G2358)),$G2358,IFERROR(IF((LEN(SUBSTITUTE(SUBSTITUTE($G2358,"-"," ",LEN($G2358)-LEN(SUBSTITUTE($G2358,"-",""))),"-"," ",LEN($G2358)-LEN(SUBSTITUTE($G2358,"-",""))-1))-LEN(SUBSTITUTE(SUBSTITUTE(SUBSTITUTE($G2358,"-"," ",LEN($G2358)-LEN(SUBSTITUTE($G2358,"-",""))),"-"," ",LEN($G2358)-LEN(SUBSTITUTE($G2358,"-",""))-1),".","")))=0,SUBSTITUTE(SUBSTITUTE($G2358,"-"," ",LEN($G2358)-LEN(SUBSTITUTE($G2358,"-",""))),"-"," ",LEN($G2358)-LEN(SUBSTITUTE($G2358,"-",""))-1),SUBSTITUTE(SUBSTITUTE(SUBSTITUTE($G2358,"-"," ",LEN($G2358)-LEN(SUBSTITUTE($G2358,"-",""))),"-"," ",LEN($G2358)-LEN(SUBSTITUTE($G2358,"-",""))-1),"."," ",(LEN(SUBSTITUTE(SUBSTITUTE($G2358,"-"," ",LEN($G2358)-LEN(SUBSTITUTE($G2358,"-",""))),"-"," ",LEN($G2358)-LEN(SUBSTITUTE($G2358,"-",""))-1))-LEN(SUBSTITUTE(SUBSTITUTE(SUBSTITUTE($G2358,"-"," ",LEN($G2358)-LEN(SUBSTITUTE($G2358,"-",""))),"-"," ",LEN($G2358)-LEN(SUBSTITUTE($G2358,"-",""))-1),".",""))))),$G2358)))</f>
        <v/>
      </c>
    </row>
    <row r="2359">
      <c r="A2359" s="58" t="n"/>
      <c r="B2359" s="58">
        <f>IF($H2359="","",LEFT($H2359,FIND(" ",$H2359&amp;" ")-1))</f>
        <v/>
      </c>
      <c r="C2359" s="58">
        <f>IF($H2359="","",IFERROR(MID($H2359&amp;" ",FIND("|",SUBSTITUTE($H2359&amp;" "," ","|",1))+1,FIND("|",SUBSTITUTE($H2359&amp;" "," ","|",2))-FIND("|",SUBSTITUTE($H2359&amp;" "," ","|",1))-1),""))</f>
        <v/>
      </c>
      <c r="D2359" s="58">
        <f>IF($H2359="","",IFERROR(MID($H2359&amp;" ",FIND("|",SUBSTITUTE($H2359&amp;" "," ","|",2))+1,FIND("|",SUBSTITUTE($H2359&amp;" "," ","|",3))-FIND("|",SUBSTITUTE($H2359&amp;" "," ","|",2))-1),""))</f>
        <v/>
      </c>
      <c r="E2359" s="58">
        <f>IF($H2359="","",IFERROR(MID($H2359&amp;" ",FIND("|",SUBSTITUTE($H2359&amp;" "," ","|",3))+1,FIND("|",SUBSTITUTE($H2359&amp;" "," ","|",4))-FIND("|",SUBSTITUTE($H2359&amp;" "," ","|",3))-1),""))</f>
        <v/>
      </c>
      <c r="F2359" s="59">
        <f>IF($H2359="","",IFERROR(VALUE(IFERROR(MID($H2359&amp;" ",FIND("|",SUBSTITUTE($H2359&amp;" "," ","|",4))+1,FIND("|",SUBSTITUTE($H2359&amp;" "," ","|",5))-FIND("|",SUBSTITUTE($H2359&amp;" "," ","|",4))-1),""))/86400+25569+9/24,""))</f>
        <v/>
      </c>
      <c r="G2359" s="58">
        <f>TRIM(SUBSTITUTE(SUBSTITUTE(SUBSTITUTE($A2359,CHAR(9)," ")," "," "),CHAR(13),""))</f>
        <v/>
      </c>
      <c r="H2359" s="58">
        <f>IF($G2359="","",IF(ISNUMBER(FIND(" ",$G2359)),$G2359,IFERROR(IF((LEN(SUBSTITUTE(SUBSTITUTE($G2359,"-"," ",LEN($G2359)-LEN(SUBSTITUTE($G2359,"-",""))),"-"," ",LEN($G2359)-LEN(SUBSTITUTE($G2359,"-",""))-1))-LEN(SUBSTITUTE(SUBSTITUTE(SUBSTITUTE($G2359,"-"," ",LEN($G2359)-LEN(SUBSTITUTE($G2359,"-",""))),"-"," ",LEN($G2359)-LEN(SUBSTITUTE($G2359,"-",""))-1),".","")))=0,SUBSTITUTE(SUBSTITUTE($G2359,"-"," ",LEN($G2359)-LEN(SUBSTITUTE($G2359,"-",""))),"-"," ",LEN($G2359)-LEN(SUBSTITUTE($G2359,"-",""))-1),SUBSTITUTE(SUBSTITUTE(SUBSTITUTE($G2359,"-"," ",LEN($G2359)-LEN(SUBSTITUTE($G2359,"-",""))),"-"," ",LEN($G2359)-LEN(SUBSTITUTE($G2359,"-",""))-1),"."," ",(LEN(SUBSTITUTE(SUBSTITUTE($G2359,"-"," ",LEN($G2359)-LEN(SUBSTITUTE($G2359,"-",""))),"-"," ",LEN($G2359)-LEN(SUBSTITUTE($G2359,"-",""))-1))-LEN(SUBSTITUTE(SUBSTITUTE(SUBSTITUTE($G2359,"-"," ",LEN($G2359)-LEN(SUBSTITUTE($G2359,"-",""))),"-"," ",LEN($G2359)-LEN(SUBSTITUTE($G2359,"-",""))-1),".",""))))),$G2359)))</f>
        <v/>
      </c>
    </row>
    <row r="2360">
      <c r="A2360" s="58" t="n"/>
      <c r="B2360" s="58">
        <f>IF($H2360="","",LEFT($H2360,FIND(" ",$H2360&amp;" ")-1))</f>
        <v/>
      </c>
      <c r="C2360" s="58">
        <f>IF($H2360="","",IFERROR(MID($H2360&amp;" ",FIND("|",SUBSTITUTE($H2360&amp;" "," ","|",1))+1,FIND("|",SUBSTITUTE($H2360&amp;" "," ","|",2))-FIND("|",SUBSTITUTE($H2360&amp;" "," ","|",1))-1),""))</f>
        <v/>
      </c>
      <c r="D2360" s="58">
        <f>IF($H2360="","",IFERROR(MID($H2360&amp;" ",FIND("|",SUBSTITUTE($H2360&amp;" "," ","|",2))+1,FIND("|",SUBSTITUTE($H2360&amp;" "," ","|",3))-FIND("|",SUBSTITUTE($H2360&amp;" "," ","|",2))-1),""))</f>
        <v/>
      </c>
      <c r="E2360" s="58">
        <f>IF($H2360="","",IFERROR(MID($H2360&amp;" ",FIND("|",SUBSTITUTE($H2360&amp;" "," ","|",3))+1,FIND("|",SUBSTITUTE($H2360&amp;" "," ","|",4))-FIND("|",SUBSTITUTE($H2360&amp;" "," ","|",3))-1),""))</f>
        <v/>
      </c>
      <c r="F2360" s="59">
        <f>IF($H2360="","",IFERROR(VALUE(IFERROR(MID($H2360&amp;" ",FIND("|",SUBSTITUTE($H2360&amp;" "," ","|",4))+1,FIND("|",SUBSTITUTE($H2360&amp;" "," ","|",5))-FIND("|",SUBSTITUTE($H2360&amp;" "," ","|",4))-1),""))/86400+25569+9/24,""))</f>
        <v/>
      </c>
      <c r="G2360" s="58">
        <f>TRIM(SUBSTITUTE(SUBSTITUTE(SUBSTITUTE($A2360,CHAR(9)," ")," "," "),CHAR(13),""))</f>
        <v/>
      </c>
      <c r="H2360" s="58">
        <f>IF($G2360="","",IF(ISNUMBER(FIND(" ",$G2360)),$G2360,IFERROR(IF((LEN(SUBSTITUTE(SUBSTITUTE($G2360,"-"," ",LEN($G2360)-LEN(SUBSTITUTE($G2360,"-",""))),"-"," ",LEN($G2360)-LEN(SUBSTITUTE($G2360,"-",""))-1))-LEN(SUBSTITUTE(SUBSTITUTE(SUBSTITUTE($G2360,"-"," ",LEN($G2360)-LEN(SUBSTITUTE($G2360,"-",""))),"-"," ",LEN($G2360)-LEN(SUBSTITUTE($G2360,"-",""))-1),".","")))=0,SUBSTITUTE(SUBSTITUTE($G2360,"-"," ",LEN($G2360)-LEN(SUBSTITUTE($G2360,"-",""))),"-"," ",LEN($G2360)-LEN(SUBSTITUTE($G2360,"-",""))-1),SUBSTITUTE(SUBSTITUTE(SUBSTITUTE($G2360,"-"," ",LEN($G2360)-LEN(SUBSTITUTE($G2360,"-",""))),"-"," ",LEN($G2360)-LEN(SUBSTITUTE($G2360,"-",""))-1),"."," ",(LEN(SUBSTITUTE(SUBSTITUTE($G2360,"-"," ",LEN($G2360)-LEN(SUBSTITUTE($G2360,"-",""))),"-"," ",LEN($G2360)-LEN(SUBSTITUTE($G2360,"-",""))-1))-LEN(SUBSTITUTE(SUBSTITUTE(SUBSTITUTE($G2360,"-"," ",LEN($G2360)-LEN(SUBSTITUTE($G2360,"-",""))),"-"," ",LEN($G2360)-LEN(SUBSTITUTE($G2360,"-",""))-1),".",""))))),$G2360)))</f>
        <v/>
      </c>
    </row>
    <row r="2361">
      <c r="A2361" s="58" t="n"/>
      <c r="B2361" s="58">
        <f>IF($H2361="","",LEFT($H2361,FIND(" ",$H2361&amp;" ")-1))</f>
        <v/>
      </c>
      <c r="C2361" s="58">
        <f>IF($H2361="","",IFERROR(MID($H2361&amp;" ",FIND("|",SUBSTITUTE($H2361&amp;" "," ","|",1))+1,FIND("|",SUBSTITUTE($H2361&amp;" "," ","|",2))-FIND("|",SUBSTITUTE($H2361&amp;" "," ","|",1))-1),""))</f>
        <v/>
      </c>
      <c r="D2361" s="58">
        <f>IF($H2361="","",IFERROR(MID($H2361&amp;" ",FIND("|",SUBSTITUTE($H2361&amp;" "," ","|",2))+1,FIND("|",SUBSTITUTE($H2361&amp;" "," ","|",3))-FIND("|",SUBSTITUTE($H2361&amp;" "," ","|",2))-1),""))</f>
        <v/>
      </c>
      <c r="E2361" s="58">
        <f>IF($H2361="","",IFERROR(MID($H2361&amp;" ",FIND("|",SUBSTITUTE($H2361&amp;" "," ","|",3))+1,FIND("|",SUBSTITUTE($H2361&amp;" "," ","|",4))-FIND("|",SUBSTITUTE($H2361&amp;" "," ","|",3))-1),""))</f>
        <v/>
      </c>
      <c r="F2361" s="59">
        <f>IF($H2361="","",IFERROR(VALUE(IFERROR(MID($H2361&amp;" ",FIND("|",SUBSTITUTE($H2361&amp;" "," ","|",4))+1,FIND("|",SUBSTITUTE($H2361&amp;" "," ","|",5))-FIND("|",SUBSTITUTE($H2361&amp;" "," ","|",4))-1),""))/86400+25569+9/24,""))</f>
        <v/>
      </c>
      <c r="G2361" s="58">
        <f>TRIM(SUBSTITUTE(SUBSTITUTE(SUBSTITUTE($A2361,CHAR(9)," ")," "," "),CHAR(13),""))</f>
        <v/>
      </c>
      <c r="H2361" s="58">
        <f>IF($G2361="","",IF(ISNUMBER(FIND(" ",$G2361)),$G2361,IFERROR(IF((LEN(SUBSTITUTE(SUBSTITUTE($G2361,"-"," ",LEN($G2361)-LEN(SUBSTITUTE($G2361,"-",""))),"-"," ",LEN($G2361)-LEN(SUBSTITUTE($G2361,"-",""))-1))-LEN(SUBSTITUTE(SUBSTITUTE(SUBSTITUTE($G2361,"-"," ",LEN($G2361)-LEN(SUBSTITUTE($G2361,"-",""))),"-"," ",LEN($G2361)-LEN(SUBSTITUTE($G2361,"-",""))-1),".","")))=0,SUBSTITUTE(SUBSTITUTE($G2361,"-"," ",LEN($G2361)-LEN(SUBSTITUTE($G2361,"-",""))),"-"," ",LEN($G2361)-LEN(SUBSTITUTE($G2361,"-",""))-1),SUBSTITUTE(SUBSTITUTE(SUBSTITUTE($G2361,"-"," ",LEN($G2361)-LEN(SUBSTITUTE($G2361,"-",""))),"-"," ",LEN($G2361)-LEN(SUBSTITUTE($G2361,"-",""))-1),"."," ",(LEN(SUBSTITUTE(SUBSTITUTE($G2361,"-"," ",LEN($G2361)-LEN(SUBSTITUTE($G2361,"-",""))),"-"," ",LEN($G2361)-LEN(SUBSTITUTE($G2361,"-",""))-1))-LEN(SUBSTITUTE(SUBSTITUTE(SUBSTITUTE($G2361,"-"," ",LEN($G2361)-LEN(SUBSTITUTE($G2361,"-",""))),"-"," ",LEN($G2361)-LEN(SUBSTITUTE($G2361,"-",""))-1),".",""))))),$G2361)))</f>
        <v/>
      </c>
    </row>
    <row r="2362">
      <c r="A2362" s="58" t="n"/>
      <c r="B2362" s="58">
        <f>IF($H2362="","",LEFT($H2362,FIND(" ",$H2362&amp;" ")-1))</f>
        <v/>
      </c>
      <c r="C2362" s="58">
        <f>IF($H2362="","",IFERROR(MID($H2362&amp;" ",FIND("|",SUBSTITUTE($H2362&amp;" "," ","|",1))+1,FIND("|",SUBSTITUTE($H2362&amp;" "," ","|",2))-FIND("|",SUBSTITUTE($H2362&amp;" "," ","|",1))-1),""))</f>
        <v/>
      </c>
      <c r="D2362" s="58">
        <f>IF($H2362="","",IFERROR(MID($H2362&amp;" ",FIND("|",SUBSTITUTE($H2362&amp;" "," ","|",2))+1,FIND("|",SUBSTITUTE($H2362&amp;" "," ","|",3))-FIND("|",SUBSTITUTE($H2362&amp;" "," ","|",2))-1),""))</f>
        <v/>
      </c>
      <c r="E2362" s="58">
        <f>IF($H2362="","",IFERROR(MID($H2362&amp;" ",FIND("|",SUBSTITUTE($H2362&amp;" "," ","|",3))+1,FIND("|",SUBSTITUTE($H2362&amp;" "," ","|",4))-FIND("|",SUBSTITUTE($H2362&amp;" "," ","|",3))-1),""))</f>
        <v/>
      </c>
      <c r="F2362" s="59">
        <f>IF($H2362="","",IFERROR(VALUE(IFERROR(MID($H2362&amp;" ",FIND("|",SUBSTITUTE($H2362&amp;" "," ","|",4))+1,FIND("|",SUBSTITUTE($H2362&amp;" "," ","|",5))-FIND("|",SUBSTITUTE($H2362&amp;" "," ","|",4))-1),""))/86400+25569+9/24,""))</f>
        <v/>
      </c>
      <c r="G2362" s="58">
        <f>TRIM(SUBSTITUTE(SUBSTITUTE(SUBSTITUTE($A2362,CHAR(9)," ")," "," "),CHAR(13),""))</f>
        <v/>
      </c>
      <c r="H2362" s="58">
        <f>IF($G2362="","",IF(ISNUMBER(FIND(" ",$G2362)),$G2362,IFERROR(IF((LEN(SUBSTITUTE(SUBSTITUTE($G2362,"-"," ",LEN($G2362)-LEN(SUBSTITUTE($G2362,"-",""))),"-"," ",LEN($G2362)-LEN(SUBSTITUTE($G2362,"-",""))-1))-LEN(SUBSTITUTE(SUBSTITUTE(SUBSTITUTE($G2362,"-"," ",LEN($G2362)-LEN(SUBSTITUTE($G2362,"-",""))),"-"," ",LEN($G2362)-LEN(SUBSTITUTE($G2362,"-",""))-1),".","")))=0,SUBSTITUTE(SUBSTITUTE($G2362,"-"," ",LEN($G2362)-LEN(SUBSTITUTE($G2362,"-",""))),"-"," ",LEN($G2362)-LEN(SUBSTITUTE($G2362,"-",""))-1),SUBSTITUTE(SUBSTITUTE(SUBSTITUTE($G2362,"-"," ",LEN($G2362)-LEN(SUBSTITUTE($G2362,"-",""))),"-"," ",LEN($G2362)-LEN(SUBSTITUTE($G2362,"-",""))-1),"."," ",(LEN(SUBSTITUTE(SUBSTITUTE($G2362,"-"," ",LEN($G2362)-LEN(SUBSTITUTE($G2362,"-",""))),"-"," ",LEN($G2362)-LEN(SUBSTITUTE($G2362,"-",""))-1))-LEN(SUBSTITUTE(SUBSTITUTE(SUBSTITUTE($G2362,"-"," ",LEN($G2362)-LEN(SUBSTITUTE($G2362,"-",""))),"-"," ",LEN($G2362)-LEN(SUBSTITUTE($G2362,"-",""))-1),".",""))))),$G2362)))</f>
        <v/>
      </c>
    </row>
    <row r="2363">
      <c r="A2363" s="58" t="n"/>
      <c r="B2363" s="58">
        <f>IF($H2363="","",LEFT($H2363,FIND(" ",$H2363&amp;" ")-1))</f>
        <v/>
      </c>
      <c r="C2363" s="58">
        <f>IF($H2363="","",IFERROR(MID($H2363&amp;" ",FIND("|",SUBSTITUTE($H2363&amp;" "," ","|",1))+1,FIND("|",SUBSTITUTE($H2363&amp;" "," ","|",2))-FIND("|",SUBSTITUTE($H2363&amp;" "," ","|",1))-1),""))</f>
        <v/>
      </c>
      <c r="D2363" s="58">
        <f>IF($H2363="","",IFERROR(MID($H2363&amp;" ",FIND("|",SUBSTITUTE($H2363&amp;" "," ","|",2))+1,FIND("|",SUBSTITUTE($H2363&amp;" "," ","|",3))-FIND("|",SUBSTITUTE($H2363&amp;" "," ","|",2))-1),""))</f>
        <v/>
      </c>
      <c r="E2363" s="58">
        <f>IF($H2363="","",IFERROR(MID($H2363&amp;" ",FIND("|",SUBSTITUTE($H2363&amp;" "," ","|",3))+1,FIND("|",SUBSTITUTE($H2363&amp;" "," ","|",4))-FIND("|",SUBSTITUTE($H2363&amp;" "," ","|",3))-1),""))</f>
        <v/>
      </c>
      <c r="F2363" s="59">
        <f>IF($H2363="","",IFERROR(VALUE(IFERROR(MID($H2363&amp;" ",FIND("|",SUBSTITUTE($H2363&amp;" "," ","|",4))+1,FIND("|",SUBSTITUTE($H2363&amp;" "," ","|",5))-FIND("|",SUBSTITUTE($H2363&amp;" "," ","|",4))-1),""))/86400+25569+9/24,""))</f>
        <v/>
      </c>
      <c r="G2363" s="58">
        <f>TRIM(SUBSTITUTE(SUBSTITUTE(SUBSTITUTE($A2363,CHAR(9)," ")," "," "),CHAR(13),""))</f>
        <v/>
      </c>
      <c r="H2363" s="58">
        <f>IF($G2363="","",IF(ISNUMBER(FIND(" ",$G2363)),$G2363,IFERROR(IF((LEN(SUBSTITUTE(SUBSTITUTE($G2363,"-"," ",LEN($G2363)-LEN(SUBSTITUTE($G2363,"-",""))),"-"," ",LEN($G2363)-LEN(SUBSTITUTE($G2363,"-",""))-1))-LEN(SUBSTITUTE(SUBSTITUTE(SUBSTITUTE($G2363,"-"," ",LEN($G2363)-LEN(SUBSTITUTE($G2363,"-",""))),"-"," ",LEN($G2363)-LEN(SUBSTITUTE($G2363,"-",""))-1),".","")))=0,SUBSTITUTE(SUBSTITUTE($G2363,"-"," ",LEN($G2363)-LEN(SUBSTITUTE($G2363,"-",""))),"-"," ",LEN($G2363)-LEN(SUBSTITUTE($G2363,"-",""))-1),SUBSTITUTE(SUBSTITUTE(SUBSTITUTE($G2363,"-"," ",LEN($G2363)-LEN(SUBSTITUTE($G2363,"-",""))),"-"," ",LEN($G2363)-LEN(SUBSTITUTE($G2363,"-",""))-1),"."," ",(LEN(SUBSTITUTE(SUBSTITUTE($G2363,"-"," ",LEN($G2363)-LEN(SUBSTITUTE($G2363,"-",""))),"-"," ",LEN($G2363)-LEN(SUBSTITUTE($G2363,"-",""))-1))-LEN(SUBSTITUTE(SUBSTITUTE(SUBSTITUTE($G2363,"-"," ",LEN($G2363)-LEN(SUBSTITUTE($G2363,"-",""))),"-"," ",LEN($G2363)-LEN(SUBSTITUTE($G2363,"-",""))-1),".",""))))),$G2363)))</f>
        <v/>
      </c>
    </row>
    <row r="2364">
      <c r="A2364" s="58" t="n"/>
      <c r="B2364" s="58">
        <f>IF($H2364="","",LEFT($H2364,FIND(" ",$H2364&amp;" ")-1))</f>
        <v/>
      </c>
      <c r="C2364" s="58">
        <f>IF($H2364="","",IFERROR(MID($H2364&amp;" ",FIND("|",SUBSTITUTE($H2364&amp;" "," ","|",1))+1,FIND("|",SUBSTITUTE($H2364&amp;" "," ","|",2))-FIND("|",SUBSTITUTE($H2364&amp;" "," ","|",1))-1),""))</f>
        <v/>
      </c>
      <c r="D2364" s="58">
        <f>IF($H2364="","",IFERROR(MID($H2364&amp;" ",FIND("|",SUBSTITUTE($H2364&amp;" "," ","|",2))+1,FIND("|",SUBSTITUTE($H2364&amp;" "," ","|",3))-FIND("|",SUBSTITUTE($H2364&amp;" "," ","|",2))-1),""))</f>
        <v/>
      </c>
      <c r="E2364" s="58">
        <f>IF($H2364="","",IFERROR(MID($H2364&amp;" ",FIND("|",SUBSTITUTE($H2364&amp;" "," ","|",3))+1,FIND("|",SUBSTITUTE($H2364&amp;" "," ","|",4))-FIND("|",SUBSTITUTE($H2364&amp;" "," ","|",3))-1),""))</f>
        <v/>
      </c>
      <c r="F2364" s="59">
        <f>IF($H2364="","",IFERROR(VALUE(IFERROR(MID($H2364&amp;" ",FIND("|",SUBSTITUTE($H2364&amp;" "," ","|",4))+1,FIND("|",SUBSTITUTE($H2364&amp;" "," ","|",5))-FIND("|",SUBSTITUTE($H2364&amp;" "," ","|",4))-1),""))/86400+25569+9/24,""))</f>
        <v/>
      </c>
      <c r="G2364" s="58">
        <f>TRIM(SUBSTITUTE(SUBSTITUTE(SUBSTITUTE($A2364,CHAR(9)," ")," "," "),CHAR(13),""))</f>
        <v/>
      </c>
      <c r="H2364" s="58">
        <f>IF($G2364="","",IF(ISNUMBER(FIND(" ",$G2364)),$G2364,IFERROR(IF((LEN(SUBSTITUTE(SUBSTITUTE($G2364,"-"," ",LEN($G2364)-LEN(SUBSTITUTE($G2364,"-",""))),"-"," ",LEN($G2364)-LEN(SUBSTITUTE($G2364,"-",""))-1))-LEN(SUBSTITUTE(SUBSTITUTE(SUBSTITUTE($G2364,"-"," ",LEN($G2364)-LEN(SUBSTITUTE($G2364,"-",""))),"-"," ",LEN($G2364)-LEN(SUBSTITUTE($G2364,"-",""))-1),".","")))=0,SUBSTITUTE(SUBSTITUTE($G2364,"-"," ",LEN($G2364)-LEN(SUBSTITUTE($G2364,"-",""))),"-"," ",LEN($G2364)-LEN(SUBSTITUTE($G2364,"-",""))-1),SUBSTITUTE(SUBSTITUTE(SUBSTITUTE($G2364,"-"," ",LEN($G2364)-LEN(SUBSTITUTE($G2364,"-",""))),"-"," ",LEN($G2364)-LEN(SUBSTITUTE($G2364,"-",""))-1),"."," ",(LEN(SUBSTITUTE(SUBSTITUTE($G2364,"-"," ",LEN($G2364)-LEN(SUBSTITUTE($G2364,"-",""))),"-"," ",LEN($G2364)-LEN(SUBSTITUTE($G2364,"-",""))-1))-LEN(SUBSTITUTE(SUBSTITUTE(SUBSTITUTE($G2364,"-"," ",LEN($G2364)-LEN(SUBSTITUTE($G2364,"-",""))),"-"," ",LEN($G2364)-LEN(SUBSTITUTE($G2364,"-",""))-1),".",""))))),$G2364)))</f>
        <v/>
      </c>
    </row>
    <row r="2365">
      <c r="A2365" s="58" t="n"/>
      <c r="B2365" s="58">
        <f>IF($H2365="","",LEFT($H2365,FIND(" ",$H2365&amp;" ")-1))</f>
        <v/>
      </c>
      <c r="C2365" s="58">
        <f>IF($H2365="","",IFERROR(MID($H2365&amp;" ",FIND("|",SUBSTITUTE($H2365&amp;" "," ","|",1))+1,FIND("|",SUBSTITUTE($H2365&amp;" "," ","|",2))-FIND("|",SUBSTITUTE($H2365&amp;" "," ","|",1))-1),""))</f>
        <v/>
      </c>
      <c r="D2365" s="58">
        <f>IF($H2365="","",IFERROR(MID($H2365&amp;" ",FIND("|",SUBSTITUTE($H2365&amp;" "," ","|",2))+1,FIND("|",SUBSTITUTE($H2365&amp;" "," ","|",3))-FIND("|",SUBSTITUTE($H2365&amp;" "," ","|",2))-1),""))</f>
        <v/>
      </c>
      <c r="E2365" s="58">
        <f>IF($H2365="","",IFERROR(MID($H2365&amp;" ",FIND("|",SUBSTITUTE($H2365&amp;" "," ","|",3))+1,FIND("|",SUBSTITUTE($H2365&amp;" "," ","|",4))-FIND("|",SUBSTITUTE($H2365&amp;" "," ","|",3))-1),""))</f>
        <v/>
      </c>
      <c r="F2365" s="59">
        <f>IF($H2365="","",IFERROR(VALUE(IFERROR(MID($H2365&amp;" ",FIND("|",SUBSTITUTE($H2365&amp;" "," ","|",4))+1,FIND("|",SUBSTITUTE($H2365&amp;" "," ","|",5))-FIND("|",SUBSTITUTE($H2365&amp;" "," ","|",4))-1),""))/86400+25569+9/24,""))</f>
        <v/>
      </c>
      <c r="G2365" s="58">
        <f>TRIM(SUBSTITUTE(SUBSTITUTE(SUBSTITUTE($A2365,CHAR(9)," ")," "," "),CHAR(13),""))</f>
        <v/>
      </c>
      <c r="H2365" s="58">
        <f>IF($G2365="","",IF(ISNUMBER(FIND(" ",$G2365)),$G2365,IFERROR(IF((LEN(SUBSTITUTE(SUBSTITUTE($G2365,"-"," ",LEN($G2365)-LEN(SUBSTITUTE($G2365,"-",""))),"-"," ",LEN($G2365)-LEN(SUBSTITUTE($G2365,"-",""))-1))-LEN(SUBSTITUTE(SUBSTITUTE(SUBSTITUTE($G2365,"-"," ",LEN($G2365)-LEN(SUBSTITUTE($G2365,"-",""))),"-"," ",LEN($G2365)-LEN(SUBSTITUTE($G2365,"-",""))-1),".","")))=0,SUBSTITUTE(SUBSTITUTE($G2365,"-"," ",LEN($G2365)-LEN(SUBSTITUTE($G2365,"-",""))),"-"," ",LEN($G2365)-LEN(SUBSTITUTE($G2365,"-",""))-1),SUBSTITUTE(SUBSTITUTE(SUBSTITUTE($G2365,"-"," ",LEN($G2365)-LEN(SUBSTITUTE($G2365,"-",""))),"-"," ",LEN($G2365)-LEN(SUBSTITUTE($G2365,"-",""))-1),"."," ",(LEN(SUBSTITUTE(SUBSTITUTE($G2365,"-"," ",LEN($G2365)-LEN(SUBSTITUTE($G2365,"-",""))),"-"," ",LEN($G2365)-LEN(SUBSTITUTE($G2365,"-",""))-1))-LEN(SUBSTITUTE(SUBSTITUTE(SUBSTITUTE($G2365,"-"," ",LEN($G2365)-LEN(SUBSTITUTE($G2365,"-",""))),"-"," ",LEN($G2365)-LEN(SUBSTITUTE($G2365,"-",""))-1),".",""))))),$G2365)))</f>
        <v/>
      </c>
    </row>
    <row r="2366">
      <c r="A2366" s="58" t="n"/>
      <c r="B2366" s="58">
        <f>IF($H2366="","",LEFT($H2366,FIND(" ",$H2366&amp;" ")-1))</f>
        <v/>
      </c>
      <c r="C2366" s="58">
        <f>IF($H2366="","",IFERROR(MID($H2366&amp;" ",FIND("|",SUBSTITUTE($H2366&amp;" "," ","|",1))+1,FIND("|",SUBSTITUTE($H2366&amp;" "," ","|",2))-FIND("|",SUBSTITUTE($H2366&amp;" "," ","|",1))-1),""))</f>
        <v/>
      </c>
      <c r="D2366" s="58">
        <f>IF($H2366="","",IFERROR(MID($H2366&amp;" ",FIND("|",SUBSTITUTE($H2366&amp;" "," ","|",2))+1,FIND("|",SUBSTITUTE($H2366&amp;" "," ","|",3))-FIND("|",SUBSTITUTE($H2366&amp;" "," ","|",2))-1),""))</f>
        <v/>
      </c>
      <c r="E2366" s="58">
        <f>IF($H2366="","",IFERROR(MID($H2366&amp;" ",FIND("|",SUBSTITUTE($H2366&amp;" "," ","|",3))+1,FIND("|",SUBSTITUTE($H2366&amp;" "," ","|",4))-FIND("|",SUBSTITUTE($H2366&amp;" "," ","|",3))-1),""))</f>
        <v/>
      </c>
      <c r="F2366" s="59">
        <f>IF($H2366="","",IFERROR(VALUE(IFERROR(MID($H2366&amp;" ",FIND("|",SUBSTITUTE($H2366&amp;" "," ","|",4))+1,FIND("|",SUBSTITUTE($H2366&amp;" "," ","|",5))-FIND("|",SUBSTITUTE($H2366&amp;" "," ","|",4))-1),""))/86400+25569+9/24,""))</f>
        <v/>
      </c>
      <c r="G2366" s="58">
        <f>TRIM(SUBSTITUTE(SUBSTITUTE(SUBSTITUTE($A2366,CHAR(9)," ")," "," "),CHAR(13),""))</f>
        <v/>
      </c>
      <c r="H2366" s="58">
        <f>IF($G2366="","",IF(ISNUMBER(FIND(" ",$G2366)),$G2366,IFERROR(IF((LEN(SUBSTITUTE(SUBSTITUTE($G2366,"-"," ",LEN($G2366)-LEN(SUBSTITUTE($G2366,"-",""))),"-"," ",LEN($G2366)-LEN(SUBSTITUTE($G2366,"-",""))-1))-LEN(SUBSTITUTE(SUBSTITUTE(SUBSTITUTE($G2366,"-"," ",LEN($G2366)-LEN(SUBSTITUTE($G2366,"-",""))),"-"," ",LEN($G2366)-LEN(SUBSTITUTE($G2366,"-",""))-1),".","")))=0,SUBSTITUTE(SUBSTITUTE($G2366,"-"," ",LEN($G2366)-LEN(SUBSTITUTE($G2366,"-",""))),"-"," ",LEN($G2366)-LEN(SUBSTITUTE($G2366,"-",""))-1),SUBSTITUTE(SUBSTITUTE(SUBSTITUTE($G2366,"-"," ",LEN($G2366)-LEN(SUBSTITUTE($G2366,"-",""))),"-"," ",LEN($G2366)-LEN(SUBSTITUTE($G2366,"-",""))-1),"."," ",(LEN(SUBSTITUTE(SUBSTITUTE($G2366,"-"," ",LEN($G2366)-LEN(SUBSTITUTE($G2366,"-",""))),"-"," ",LEN($G2366)-LEN(SUBSTITUTE($G2366,"-",""))-1))-LEN(SUBSTITUTE(SUBSTITUTE(SUBSTITUTE($G2366,"-"," ",LEN($G2366)-LEN(SUBSTITUTE($G2366,"-",""))),"-"," ",LEN($G2366)-LEN(SUBSTITUTE($G2366,"-",""))-1),".",""))))),$G2366)))</f>
        <v/>
      </c>
    </row>
    <row r="2367">
      <c r="A2367" s="58" t="n"/>
      <c r="B2367" s="58">
        <f>IF($H2367="","",LEFT($H2367,FIND(" ",$H2367&amp;" ")-1))</f>
        <v/>
      </c>
      <c r="C2367" s="58">
        <f>IF($H2367="","",IFERROR(MID($H2367&amp;" ",FIND("|",SUBSTITUTE($H2367&amp;" "," ","|",1))+1,FIND("|",SUBSTITUTE($H2367&amp;" "," ","|",2))-FIND("|",SUBSTITUTE($H2367&amp;" "," ","|",1))-1),""))</f>
        <v/>
      </c>
      <c r="D2367" s="58">
        <f>IF($H2367="","",IFERROR(MID($H2367&amp;" ",FIND("|",SUBSTITUTE($H2367&amp;" "," ","|",2))+1,FIND("|",SUBSTITUTE($H2367&amp;" "," ","|",3))-FIND("|",SUBSTITUTE($H2367&amp;" "," ","|",2))-1),""))</f>
        <v/>
      </c>
      <c r="E2367" s="58">
        <f>IF($H2367="","",IFERROR(MID($H2367&amp;" ",FIND("|",SUBSTITUTE($H2367&amp;" "," ","|",3))+1,FIND("|",SUBSTITUTE($H2367&amp;" "," ","|",4))-FIND("|",SUBSTITUTE($H2367&amp;" "," ","|",3))-1),""))</f>
        <v/>
      </c>
      <c r="F2367" s="59">
        <f>IF($H2367="","",IFERROR(VALUE(IFERROR(MID($H2367&amp;" ",FIND("|",SUBSTITUTE($H2367&amp;" "," ","|",4))+1,FIND("|",SUBSTITUTE($H2367&amp;" "," ","|",5))-FIND("|",SUBSTITUTE($H2367&amp;" "," ","|",4))-1),""))/86400+25569+9/24,""))</f>
        <v/>
      </c>
      <c r="G2367" s="58">
        <f>TRIM(SUBSTITUTE(SUBSTITUTE(SUBSTITUTE($A2367,CHAR(9)," ")," "," "),CHAR(13),""))</f>
        <v/>
      </c>
      <c r="H2367" s="58">
        <f>IF($G2367="","",IF(ISNUMBER(FIND(" ",$G2367)),$G2367,IFERROR(IF((LEN(SUBSTITUTE(SUBSTITUTE($G2367,"-"," ",LEN($G2367)-LEN(SUBSTITUTE($G2367,"-",""))),"-"," ",LEN($G2367)-LEN(SUBSTITUTE($G2367,"-",""))-1))-LEN(SUBSTITUTE(SUBSTITUTE(SUBSTITUTE($G2367,"-"," ",LEN($G2367)-LEN(SUBSTITUTE($G2367,"-",""))),"-"," ",LEN($G2367)-LEN(SUBSTITUTE($G2367,"-",""))-1),".","")))=0,SUBSTITUTE(SUBSTITUTE($G2367,"-"," ",LEN($G2367)-LEN(SUBSTITUTE($G2367,"-",""))),"-"," ",LEN($G2367)-LEN(SUBSTITUTE($G2367,"-",""))-1),SUBSTITUTE(SUBSTITUTE(SUBSTITUTE($G2367,"-"," ",LEN($G2367)-LEN(SUBSTITUTE($G2367,"-",""))),"-"," ",LEN($G2367)-LEN(SUBSTITUTE($G2367,"-",""))-1),"."," ",(LEN(SUBSTITUTE(SUBSTITUTE($G2367,"-"," ",LEN($G2367)-LEN(SUBSTITUTE($G2367,"-",""))),"-"," ",LEN($G2367)-LEN(SUBSTITUTE($G2367,"-",""))-1))-LEN(SUBSTITUTE(SUBSTITUTE(SUBSTITUTE($G2367,"-"," ",LEN($G2367)-LEN(SUBSTITUTE($G2367,"-",""))),"-"," ",LEN($G2367)-LEN(SUBSTITUTE($G2367,"-",""))-1),".",""))))),$G2367)))</f>
        <v/>
      </c>
    </row>
    <row r="2368">
      <c r="A2368" s="58" t="n"/>
      <c r="B2368" s="58">
        <f>IF($H2368="","",LEFT($H2368,FIND(" ",$H2368&amp;" ")-1))</f>
        <v/>
      </c>
      <c r="C2368" s="58">
        <f>IF($H2368="","",IFERROR(MID($H2368&amp;" ",FIND("|",SUBSTITUTE($H2368&amp;" "," ","|",1))+1,FIND("|",SUBSTITUTE($H2368&amp;" "," ","|",2))-FIND("|",SUBSTITUTE($H2368&amp;" "," ","|",1))-1),""))</f>
        <v/>
      </c>
      <c r="D2368" s="58">
        <f>IF($H2368="","",IFERROR(MID($H2368&amp;" ",FIND("|",SUBSTITUTE($H2368&amp;" "," ","|",2))+1,FIND("|",SUBSTITUTE($H2368&amp;" "," ","|",3))-FIND("|",SUBSTITUTE($H2368&amp;" "," ","|",2))-1),""))</f>
        <v/>
      </c>
      <c r="E2368" s="58">
        <f>IF($H2368="","",IFERROR(MID($H2368&amp;" ",FIND("|",SUBSTITUTE($H2368&amp;" "," ","|",3))+1,FIND("|",SUBSTITUTE($H2368&amp;" "," ","|",4))-FIND("|",SUBSTITUTE($H2368&amp;" "," ","|",3))-1),""))</f>
        <v/>
      </c>
      <c r="F2368" s="59">
        <f>IF($H2368="","",IFERROR(VALUE(IFERROR(MID($H2368&amp;" ",FIND("|",SUBSTITUTE($H2368&amp;" "," ","|",4))+1,FIND("|",SUBSTITUTE($H2368&amp;" "," ","|",5))-FIND("|",SUBSTITUTE($H2368&amp;" "," ","|",4))-1),""))/86400+25569+9/24,""))</f>
        <v/>
      </c>
      <c r="G2368" s="58">
        <f>TRIM(SUBSTITUTE(SUBSTITUTE(SUBSTITUTE($A2368,CHAR(9)," ")," "," "),CHAR(13),""))</f>
        <v/>
      </c>
      <c r="H2368" s="58">
        <f>IF($G2368="","",IF(ISNUMBER(FIND(" ",$G2368)),$G2368,IFERROR(IF((LEN(SUBSTITUTE(SUBSTITUTE($G2368,"-"," ",LEN($G2368)-LEN(SUBSTITUTE($G2368,"-",""))),"-"," ",LEN($G2368)-LEN(SUBSTITUTE($G2368,"-",""))-1))-LEN(SUBSTITUTE(SUBSTITUTE(SUBSTITUTE($G2368,"-"," ",LEN($G2368)-LEN(SUBSTITUTE($G2368,"-",""))),"-"," ",LEN($G2368)-LEN(SUBSTITUTE($G2368,"-",""))-1),".","")))=0,SUBSTITUTE(SUBSTITUTE($G2368,"-"," ",LEN($G2368)-LEN(SUBSTITUTE($G2368,"-",""))),"-"," ",LEN($G2368)-LEN(SUBSTITUTE($G2368,"-",""))-1),SUBSTITUTE(SUBSTITUTE(SUBSTITUTE($G2368,"-"," ",LEN($G2368)-LEN(SUBSTITUTE($G2368,"-",""))),"-"," ",LEN($G2368)-LEN(SUBSTITUTE($G2368,"-",""))-1),"."," ",(LEN(SUBSTITUTE(SUBSTITUTE($G2368,"-"," ",LEN($G2368)-LEN(SUBSTITUTE($G2368,"-",""))),"-"," ",LEN($G2368)-LEN(SUBSTITUTE($G2368,"-",""))-1))-LEN(SUBSTITUTE(SUBSTITUTE(SUBSTITUTE($G2368,"-"," ",LEN($G2368)-LEN(SUBSTITUTE($G2368,"-",""))),"-"," ",LEN($G2368)-LEN(SUBSTITUTE($G2368,"-",""))-1),".",""))))),$G2368)))</f>
        <v/>
      </c>
    </row>
    <row r="2369">
      <c r="A2369" s="58" t="n"/>
      <c r="B2369" s="58">
        <f>IF($H2369="","",LEFT($H2369,FIND(" ",$H2369&amp;" ")-1))</f>
        <v/>
      </c>
      <c r="C2369" s="58">
        <f>IF($H2369="","",IFERROR(MID($H2369&amp;" ",FIND("|",SUBSTITUTE($H2369&amp;" "," ","|",1))+1,FIND("|",SUBSTITUTE($H2369&amp;" "," ","|",2))-FIND("|",SUBSTITUTE($H2369&amp;" "," ","|",1))-1),""))</f>
        <v/>
      </c>
      <c r="D2369" s="58">
        <f>IF($H2369="","",IFERROR(MID($H2369&amp;" ",FIND("|",SUBSTITUTE($H2369&amp;" "," ","|",2))+1,FIND("|",SUBSTITUTE($H2369&amp;" "," ","|",3))-FIND("|",SUBSTITUTE($H2369&amp;" "," ","|",2))-1),""))</f>
        <v/>
      </c>
      <c r="E2369" s="58">
        <f>IF($H2369="","",IFERROR(MID($H2369&amp;" ",FIND("|",SUBSTITUTE($H2369&amp;" "," ","|",3))+1,FIND("|",SUBSTITUTE($H2369&amp;" "," ","|",4))-FIND("|",SUBSTITUTE($H2369&amp;" "," ","|",3))-1),""))</f>
        <v/>
      </c>
      <c r="F2369" s="59">
        <f>IF($H2369="","",IFERROR(VALUE(IFERROR(MID($H2369&amp;" ",FIND("|",SUBSTITUTE($H2369&amp;" "," ","|",4))+1,FIND("|",SUBSTITUTE($H2369&amp;" "," ","|",5))-FIND("|",SUBSTITUTE($H2369&amp;" "," ","|",4))-1),""))/86400+25569+9/24,""))</f>
        <v/>
      </c>
      <c r="G2369" s="58">
        <f>TRIM(SUBSTITUTE(SUBSTITUTE(SUBSTITUTE($A2369,CHAR(9)," ")," "," "),CHAR(13),""))</f>
        <v/>
      </c>
      <c r="H2369" s="58">
        <f>IF($G2369="","",IF(ISNUMBER(FIND(" ",$G2369)),$G2369,IFERROR(IF((LEN(SUBSTITUTE(SUBSTITUTE($G2369,"-"," ",LEN($G2369)-LEN(SUBSTITUTE($G2369,"-",""))),"-"," ",LEN($G2369)-LEN(SUBSTITUTE($G2369,"-",""))-1))-LEN(SUBSTITUTE(SUBSTITUTE(SUBSTITUTE($G2369,"-"," ",LEN($G2369)-LEN(SUBSTITUTE($G2369,"-",""))),"-"," ",LEN($G2369)-LEN(SUBSTITUTE($G2369,"-",""))-1),".","")))=0,SUBSTITUTE(SUBSTITUTE($G2369,"-"," ",LEN($G2369)-LEN(SUBSTITUTE($G2369,"-",""))),"-"," ",LEN($G2369)-LEN(SUBSTITUTE($G2369,"-",""))-1),SUBSTITUTE(SUBSTITUTE(SUBSTITUTE($G2369,"-"," ",LEN($G2369)-LEN(SUBSTITUTE($G2369,"-",""))),"-"," ",LEN($G2369)-LEN(SUBSTITUTE($G2369,"-",""))-1),"."," ",(LEN(SUBSTITUTE(SUBSTITUTE($G2369,"-"," ",LEN($G2369)-LEN(SUBSTITUTE($G2369,"-",""))),"-"," ",LEN($G2369)-LEN(SUBSTITUTE($G2369,"-",""))-1))-LEN(SUBSTITUTE(SUBSTITUTE(SUBSTITUTE($G2369,"-"," ",LEN($G2369)-LEN(SUBSTITUTE($G2369,"-",""))),"-"," ",LEN($G2369)-LEN(SUBSTITUTE($G2369,"-",""))-1),".",""))))),$G2369)))</f>
        <v/>
      </c>
    </row>
    <row r="2370">
      <c r="A2370" s="58" t="n"/>
      <c r="B2370" s="58">
        <f>IF($H2370="","",LEFT($H2370,FIND(" ",$H2370&amp;" ")-1))</f>
        <v/>
      </c>
      <c r="C2370" s="58">
        <f>IF($H2370="","",IFERROR(MID($H2370&amp;" ",FIND("|",SUBSTITUTE($H2370&amp;" "," ","|",1))+1,FIND("|",SUBSTITUTE($H2370&amp;" "," ","|",2))-FIND("|",SUBSTITUTE($H2370&amp;" "," ","|",1))-1),""))</f>
        <v/>
      </c>
      <c r="D2370" s="58">
        <f>IF($H2370="","",IFERROR(MID($H2370&amp;" ",FIND("|",SUBSTITUTE($H2370&amp;" "," ","|",2))+1,FIND("|",SUBSTITUTE($H2370&amp;" "," ","|",3))-FIND("|",SUBSTITUTE($H2370&amp;" "," ","|",2))-1),""))</f>
        <v/>
      </c>
      <c r="E2370" s="58">
        <f>IF($H2370="","",IFERROR(MID($H2370&amp;" ",FIND("|",SUBSTITUTE($H2370&amp;" "," ","|",3))+1,FIND("|",SUBSTITUTE($H2370&amp;" "," ","|",4))-FIND("|",SUBSTITUTE($H2370&amp;" "," ","|",3))-1),""))</f>
        <v/>
      </c>
      <c r="F2370" s="59">
        <f>IF($H2370="","",IFERROR(VALUE(IFERROR(MID($H2370&amp;" ",FIND("|",SUBSTITUTE($H2370&amp;" "," ","|",4))+1,FIND("|",SUBSTITUTE($H2370&amp;" "," ","|",5))-FIND("|",SUBSTITUTE($H2370&amp;" "," ","|",4))-1),""))/86400+25569+9/24,""))</f>
        <v/>
      </c>
      <c r="G2370" s="58">
        <f>TRIM(SUBSTITUTE(SUBSTITUTE(SUBSTITUTE($A2370,CHAR(9)," ")," "," "),CHAR(13),""))</f>
        <v/>
      </c>
      <c r="H2370" s="58">
        <f>IF($G2370="","",IF(ISNUMBER(FIND(" ",$G2370)),$G2370,IFERROR(IF((LEN(SUBSTITUTE(SUBSTITUTE($G2370,"-"," ",LEN($G2370)-LEN(SUBSTITUTE($G2370,"-",""))),"-"," ",LEN($G2370)-LEN(SUBSTITUTE($G2370,"-",""))-1))-LEN(SUBSTITUTE(SUBSTITUTE(SUBSTITUTE($G2370,"-"," ",LEN($G2370)-LEN(SUBSTITUTE($G2370,"-",""))),"-"," ",LEN($G2370)-LEN(SUBSTITUTE($G2370,"-",""))-1),".","")))=0,SUBSTITUTE(SUBSTITUTE($G2370,"-"," ",LEN($G2370)-LEN(SUBSTITUTE($G2370,"-",""))),"-"," ",LEN($G2370)-LEN(SUBSTITUTE($G2370,"-",""))-1),SUBSTITUTE(SUBSTITUTE(SUBSTITUTE($G2370,"-"," ",LEN($G2370)-LEN(SUBSTITUTE($G2370,"-",""))),"-"," ",LEN($G2370)-LEN(SUBSTITUTE($G2370,"-",""))-1),"."," ",(LEN(SUBSTITUTE(SUBSTITUTE($G2370,"-"," ",LEN($G2370)-LEN(SUBSTITUTE($G2370,"-",""))),"-"," ",LEN($G2370)-LEN(SUBSTITUTE($G2370,"-",""))-1))-LEN(SUBSTITUTE(SUBSTITUTE(SUBSTITUTE($G2370,"-"," ",LEN($G2370)-LEN(SUBSTITUTE($G2370,"-",""))),"-"," ",LEN($G2370)-LEN(SUBSTITUTE($G2370,"-",""))-1),".",""))))),$G2370)))</f>
        <v/>
      </c>
    </row>
    <row r="2371">
      <c r="A2371" s="58" t="n"/>
      <c r="B2371" s="58">
        <f>IF($H2371="","",LEFT($H2371,FIND(" ",$H2371&amp;" ")-1))</f>
        <v/>
      </c>
      <c r="C2371" s="58">
        <f>IF($H2371="","",IFERROR(MID($H2371&amp;" ",FIND("|",SUBSTITUTE($H2371&amp;" "," ","|",1))+1,FIND("|",SUBSTITUTE($H2371&amp;" "," ","|",2))-FIND("|",SUBSTITUTE($H2371&amp;" "," ","|",1))-1),""))</f>
        <v/>
      </c>
      <c r="D2371" s="58">
        <f>IF($H2371="","",IFERROR(MID($H2371&amp;" ",FIND("|",SUBSTITUTE($H2371&amp;" "," ","|",2))+1,FIND("|",SUBSTITUTE($H2371&amp;" "," ","|",3))-FIND("|",SUBSTITUTE($H2371&amp;" "," ","|",2))-1),""))</f>
        <v/>
      </c>
      <c r="E2371" s="58">
        <f>IF($H2371="","",IFERROR(MID($H2371&amp;" ",FIND("|",SUBSTITUTE($H2371&amp;" "," ","|",3))+1,FIND("|",SUBSTITUTE($H2371&amp;" "," ","|",4))-FIND("|",SUBSTITUTE($H2371&amp;" "," ","|",3))-1),""))</f>
        <v/>
      </c>
      <c r="F2371" s="59">
        <f>IF($H2371="","",IFERROR(VALUE(IFERROR(MID($H2371&amp;" ",FIND("|",SUBSTITUTE($H2371&amp;" "," ","|",4))+1,FIND("|",SUBSTITUTE($H2371&amp;" "," ","|",5))-FIND("|",SUBSTITUTE($H2371&amp;" "," ","|",4))-1),""))/86400+25569+9/24,""))</f>
        <v/>
      </c>
      <c r="G2371" s="58">
        <f>TRIM(SUBSTITUTE(SUBSTITUTE(SUBSTITUTE($A2371,CHAR(9)," ")," "," "),CHAR(13),""))</f>
        <v/>
      </c>
      <c r="H2371" s="58">
        <f>IF($G2371="","",IF(ISNUMBER(FIND(" ",$G2371)),$G2371,IFERROR(IF((LEN(SUBSTITUTE(SUBSTITUTE($G2371,"-"," ",LEN($G2371)-LEN(SUBSTITUTE($G2371,"-",""))),"-"," ",LEN($G2371)-LEN(SUBSTITUTE($G2371,"-",""))-1))-LEN(SUBSTITUTE(SUBSTITUTE(SUBSTITUTE($G2371,"-"," ",LEN($G2371)-LEN(SUBSTITUTE($G2371,"-",""))),"-"," ",LEN($G2371)-LEN(SUBSTITUTE($G2371,"-",""))-1),".","")))=0,SUBSTITUTE(SUBSTITUTE($G2371,"-"," ",LEN($G2371)-LEN(SUBSTITUTE($G2371,"-",""))),"-"," ",LEN($G2371)-LEN(SUBSTITUTE($G2371,"-",""))-1),SUBSTITUTE(SUBSTITUTE(SUBSTITUTE($G2371,"-"," ",LEN($G2371)-LEN(SUBSTITUTE($G2371,"-",""))),"-"," ",LEN($G2371)-LEN(SUBSTITUTE($G2371,"-",""))-1),"."," ",(LEN(SUBSTITUTE(SUBSTITUTE($G2371,"-"," ",LEN($G2371)-LEN(SUBSTITUTE($G2371,"-",""))),"-"," ",LEN($G2371)-LEN(SUBSTITUTE($G2371,"-",""))-1))-LEN(SUBSTITUTE(SUBSTITUTE(SUBSTITUTE($G2371,"-"," ",LEN($G2371)-LEN(SUBSTITUTE($G2371,"-",""))),"-"," ",LEN($G2371)-LEN(SUBSTITUTE($G2371,"-",""))-1),".",""))))),$G2371)))</f>
        <v/>
      </c>
    </row>
    <row r="2372">
      <c r="A2372" s="58" t="n"/>
      <c r="B2372" s="58">
        <f>IF($H2372="","",LEFT($H2372,FIND(" ",$H2372&amp;" ")-1))</f>
        <v/>
      </c>
      <c r="C2372" s="58">
        <f>IF($H2372="","",IFERROR(MID($H2372&amp;" ",FIND("|",SUBSTITUTE($H2372&amp;" "," ","|",1))+1,FIND("|",SUBSTITUTE($H2372&amp;" "," ","|",2))-FIND("|",SUBSTITUTE($H2372&amp;" "," ","|",1))-1),""))</f>
        <v/>
      </c>
      <c r="D2372" s="58">
        <f>IF($H2372="","",IFERROR(MID($H2372&amp;" ",FIND("|",SUBSTITUTE($H2372&amp;" "," ","|",2))+1,FIND("|",SUBSTITUTE($H2372&amp;" "," ","|",3))-FIND("|",SUBSTITUTE($H2372&amp;" "," ","|",2))-1),""))</f>
        <v/>
      </c>
      <c r="E2372" s="58">
        <f>IF($H2372="","",IFERROR(MID($H2372&amp;" ",FIND("|",SUBSTITUTE($H2372&amp;" "," ","|",3))+1,FIND("|",SUBSTITUTE($H2372&amp;" "," ","|",4))-FIND("|",SUBSTITUTE($H2372&amp;" "," ","|",3))-1),""))</f>
        <v/>
      </c>
      <c r="F2372" s="59">
        <f>IF($H2372="","",IFERROR(VALUE(IFERROR(MID($H2372&amp;" ",FIND("|",SUBSTITUTE($H2372&amp;" "," ","|",4))+1,FIND("|",SUBSTITUTE($H2372&amp;" "," ","|",5))-FIND("|",SUBSTITUTE($H2372&amp;" "," ","|",4))-1),""))/86400+25569+9/24,""))</f>
        <v/>
      </c>
      <c r="G2372" s="58">
        <f>TRIM(SUBSTITUTE(SUBSTITUTE(SUBSTITUTE($A2372,CHAR(9)," ")," "," "),CHAR(13),""))</f>
        <v/>
      </c>
      <c r="H2372" s="58">
        <f>IF($G2372="","",IF(ISNUMBER(FIND(" ",$G2372)),$G2372,IFERROR(IF((LEN(SUBSTITUTE(SUBSTITUTE($G2372,"-"," ",LEN($G2372)-LEN(SUBSTITUTE($G2372,"-",""))),"-"," ",LEN($G2372)-LEN(SUBSTITUTE($G2372,"-",""))-1))-LEN(SUBSTITUTE(SUBSTITUTE(SUBSTITUTE($G2372,"-"," ",LEN($G2372)-LEN(SUBSTITUTE($G2372,"-",""))),"-"," ",LEN($G2372)-LEN(SUBSTITUTE($G2372,"-",""))-1),".","")))=0,SUBSTITUTE(SUBSTITUTE($G2372,"-"," ",LEN($G2372)-LEN(SUBSTITUTE($G2372,"-",""))),"-"," ",LEN($G2372)-LEN(SUBSTITUTE($G2372,"-",""))-1),SUBSTITUTE(SUBSTITUTE(SUBSTITUTE($G2372,"-"," ",LEN($G2372)-LEN(SUBSTITUTE($G2372,"-",""))),"-"," ",LEN($G2372)-LEN(SUBSTITUTE($G2372,"-",""))-1),"."," ",(LEN(SUBSTITUTE(SUBSTITUTE($G2372,"-"," ",LEN($G2372)-LEN(SUBSTITUTE($G2372,"-",""))),"-"," ",LEN($G2372)-LEN(SUBSTITUTE($G2372,"-",""))-1))-LEN(SUBSTITUTE(SUBSTITUTE(SUBSTITUTE($G2372,"-"," ",LEN($G2372)-LEN(SUBSTITUTE($G2372,"-",""))),"-"," ",LEN($G2372)-LEN(SUBSTITUTE($G2372,"-",""))-1),".",""))))),$G2372)))</f>
        <v/>
      </c>
    </row>
    <row r="2373">
      <c r="A2373" s="58" t="n"/>
      <c r="B2373" s="58">
        <f>IF($H2373="","",LEFT($H2373,FIND(" ",$H2373&amp;" ")-1))</f>
        <v/>
      </c>
      <c r="C2373" s="58">
        <f>IF($H2373="","",IFERROR(MID($H2373&amp;" ",FIND("|",SUBSTITUTE($H2373&amp;" "," ","|",1))+1,FIND("|",SUBSTITUTE($H2373&amp;" "," ","|",2))-FIND("|",SUBSTITUTE($H2373&amp;" "," ","|",1))-1),""))</f>
        <v/>
      </c>
      <c r="D2373" s="58">
        <f>IF($H2373="","",IFERROR(MID($H2373&amp;" ",FIND("|",SUBSTITUTE($H2373&amp;" "," ","|",2))+1,FIND("|",SUBSTITUTE($H2373&amp;" "," ","|",3))-FIND("|",SUBSTITUTE($H2373&amp;" "," ","|",2))-1),""))</f>
        <v/>
      </c>
      <c r="E2373" s="58">
        <f>IF($H2373="","",IFERROR(MID($H2373&amp;" ",FIND("|",SUBSTITUTE($H2373&amp;" "," ","|",3))+1,FIND("|",SUBSTITUTE($H2373&amp;" "," ","|",4))-FIND("|",SUBSTITUTE($H2373&amp;" "," ","|",3))-1),""))</f>
        <v/>
      </c>
      <c r="F2373" s="59">
        <f>IF($H2373="","",IFERROR(VALUE(IFERROR(MID($H2373&amp;" ",FIND("|",SUBSTITUTE($H2373&amp;" "," ","|",4))+1,FIND("|",SUBSTITUTE($H2373&amp;" "," ","|",5))-FIND("|",SUBSTITUTE($H2373&amp;" "," ","|",4))-1),""))/86400+25569+9/24,""))</f>
        <v/>
      </c>
      <c r="G2373" s="58">
        <f>TRIM(SUBSTITUTE(SUBSTITUTE(SUBSTITUTE($A2373,CHAR(9)," ")," "," "),CHAR(13),""))</f>
        <v/>
      </c>
      <c r="H2373" s="58">
        <f>IF($G2373="","",IF(ISNUMBER(FIND(" ",$G2373)),$G2373,IFERROR(IF((LEN(SUBSTITUTE(SUBSTITUTE($G2373,"-"," ",LEN($G2373)-LEN(SUBSTITUTE($G2373,"-",""))),"-"," ",LEN($G2373)-LEN(SUBSTITUTE($G2373,"-",""))-1))-LEN(SUBSTITUTE(SUBSTITUTE(SUBSTITUTE($G2373,"-"," ",LEN($G2373)-LEN(SUBSTITUTE($G2373,"-",""))),"-"," ",LEN($G2373)-LEN(SUBSTITUTE($G2373,"-",""))-1),".","")))=0,SUBSTITUTE(SUBSTITUTE($G2373,"-"," ",LEN($G2373)-LEN(SUBSTITUTE($G2373,"-",""))),"-"," ",LEN($G2373)-LEN(SUBSTITUTE($G2373,"-",""))-1),SUBSTITUTE(SUBSTITUTE(SUBSTITUTE($G2373,"-"," ",LEN($G2373)-LEN(SUBSTITUTE($G2373,"-",""))),"-"," ",LEN($G2373)-LEN(SUBSTITUTE($G2373,"-",""))-1),"."," ",(LEN(SUBSTITUTE(SUBSTITUTE($G2373,"-"," ",LEN($G2373)-LEN(SUBSTITUTE($G2373,"-",""))),"-"," ",LEN($G2373)-LEN(SUBSTITUTE($G2373,"-",""))-1))-LEN(SUBSTITUTE(SUBSTITUTE(SUBSTITUTE($G2373,"-"," ",LEN($G2373)-LEN(SUBSTITUTE($G2373,"-",""))),"-"," ",LEN($G2373)-LEN(SUBSTITUTE($G2373,"-",""))-1),".",""))))),$G2373)))</f>
        <v/>
      </c>
    </row>
    <row r="2374">
      <c r="A2374" s="58" t="n"/>
      <c r="B2374" s="58">
        <f>IF($H2374="","",LEFT($H2374,FIND(" ",$H2374&amp;" ")-1))</f>
        <v/>
      </c>
      <c r="C2374" s="58">
        <f>IF($H2374="","",IFERROR(MID($H2374&amp;" ",FIND("|",SUBSTITUTE($H2374&amp;" "," ","|",1))+1,FIND("|",SUBSTITUTE($H2374&amp;" "," ","|",2))-FIND("|",SUBSTITUTE($H2374&amp;" "," ","|",1))-1),""))</f>
        <v/>
      </c>
      <c r="D2374" s="58">
        <f>IF($H2374="","",IFERROR(MID($H2374&amp;" ",FIND("|",SUBSTITUTE($H2374&amp;" "," ","|",2))+1,FIND("|",SUBSTITUTE($H2374&amp;" "," ","|",3))-FIND("|",SUBSTITUTE($H2374&amp;" "," ","|",2))-1),""))</f>
        <v/>
      </c>
      <c r="E2374" s="58">
        <f>IF($H2374="","",IFERROR(MID($H2374&amp;" ",FIND("|",SUBSTITUTE($H2374&amp;" "," ","|",3))+1,FIND("|",SUBSTITUTE($H2374&amp;" "," ","|",4))-FIND("|",SUBSTITUTE($H2374&amp;" "," ","|",3))-1),""))</f>
        <v/>
      </c>
      <c r="F2374" s="59">
        <f>IF($H2374="","",IFERROR(VALUE(IFERROR(MID($H2374&amp;" ",FIND("|",SUBSTITUTE($H2374&amp;" "," ","|",4))+1,FIND("|",SUBSTITUTE($H2374&amp;" "," ","|",5))-FIND("|",SUBSTITUTE($H2374&amp;" "," ","|",4))-1),""))/86400+25569+9/24,""))</f>
        <v/>
      </c>
      <c r="G2374" s="58">
        <f>TRIM(SUBSTITUTE(SUBSTITUTE(SUBSTITUTE($A2374,CHAR(9)," ")," "," "),CHAR(13),""))</f>
        <v/>
      </c>
      <c r="H2374" s="58">
        <f>IF($G2374="","",IF(ISNUMBER(FIND(" ",$G2374)),$G2374,IFERROR(IF((LEN(SUBSTITUTE(SUBSTITUTE($G2374,"-"," ",LEN($G2374)-LEN(SUBSTITUTE($G2374,"-",""))),"-"," ",LEN($G2374)-LEN(SUBSTITUTE($G2374,"-",""))-1))-LEN(SUBSTITUTE(SUBSTITUTE(SUBSTITUTE($G2374,"-"," ",LEN($G2374)-LEN(SUBSTITUTE($G2374,"-",""))),"-"," ",LEN($G2374)-LEN(SUBSTITUTE($G2374,"-",""))-1),".","")))=0,SUBSTITUTE(SUBSTITUTE($G2374,"-"," ",LEN($G2374)-LEN(SUBSTITUTE($G2374,"-",""))),"-"," ",LEN($G2374)-LEN(SUBSTITUTE($G2374,"-",""))-1),SUBSTITUTE(SUBSTITUTE(SUBSTITUTE($G2374,"-"," ",LEN($G2374)-LEN(SUBSTITUTE($G2374,"-",""))),"-"," ",LEN($G2374)-LEN(SUBSTITUTE($G2374,"-",""))-1),"."," ",(LEN(SUBSTITUTE(SUBSTITUTE($G2374,"-"," ",LEN($G2374)-LEN(SUBSTITUTE($G2374,"-",""))),"-"," ",LEN($G2374)-LEN(SUBSTITUTE($G2374,"-",""))-1))-LEN(SUBSTITUTE(SUBSTITUTE(SUBSTITUTE($G2374,"-"," ",LEN($G2374)-LEN(SUBSTITUTE($G2374,"-",""))),"-"," ",LEN($G2374)-LEN(SUBSTITUTE($G2374,"-",""))-1),".",""))))),$G2374)))</f>
        <v/>
      </c>
    </row>
    <row r="2375">
      <c r="A2375" s="58" t="n"/>
      <c r="B2375" s="58">
        <f>IF($H2375="","",LEFT($H2375,FIND(" ",$H2375&amp;" ")-1))</f>
        <v/>
      </c>
      <c r="C2375" s="58">
        <f>IF($H2375="","",IFERROR(MID($H2375&amp;" ",FIND("|",SUBSTITUTE($H2375&amp;" "," ","|",1))+1,FIND("|",SUBSTITUTE($H2375&amp;" "," ","|",2))-FIND("|",SUBSTITUTE($H2375&amp;" "," ","|",1))-1),""))</f>
        <v/>
      </c>
      <c r="D2375" s="58">
        <f>IF($H2375="","",IFERROR(MID($H2375&amp;" ",FIND("|",SUBSTITUTE($H2375&amp;" "," ","|",2))+1,FIND("|",SUBSTITUTE($H2375&amp;" "," ","|",3))-FIND("|",SUBSTITUTE($H2375&amp;" "," ","|",2))-1),""))</f>
        <v/>
      </c>
      <c r="E2375" s="58">
        <f>IF($H2375="","",IFERROR(MID($H2375&amp;" ",FIND("|",SUBSTITUTE($H2375&amp;" "," ","|",3))+1,FIND("|",SUBSTITUTE($H2375&amp;" "," ","|",4))-FIND("|",SUBSTITUTE($H2375&amp;" "," ","|",3))-1),""))</f>
        <v/>
      </c>
      <c r="F2375" s="59">
        <f>IF($H2375="","",IFERROR(VALUE(IFERROR(MID($H2375&amp;" ",FIND("|",SUBSTITUTE($H2375&amp;" "," ","|",4))+1,FIND("|",SUBSTITUTE($H2375&amp;" "," ","|",5))-FIND("|",SUBSTITUTE($H2375&amp;" "," ","|",4))-1),""))/86400+25569+9/24,""))</f>
        <v/>
      </c>
      <c r="G2375" s="58">
        <f>TRIM(SUBSTITUTE(SUBSTITUTE(SUBSTITUTE($A2375,CHAR(9)," ")," "," "),CHAR(13),""))</f>
        <v/>
      </c>
      <c r="H2375" s="58">
        <f>IF($G2375="","",IF(ISNUMBER(FIND(" ",$G2375)),$G2375,IFERROR(IF((LEN(SUBSTITUTE(SUBSTITUTE($G2375,"-"," ",LEN($G2375)-LEN(SUBSTITUTE($G2375,"-",""))),"-"," ",LEN($G2375)-LEN(SUBSTITUTE($G2375,"-",""))-1))-LEN(SUBSTITUTE(SUBSTITUTE(SUBSTITUTE($G2375,"-"," ",LEN($G2375)-LEN(SUBSTITUTE($G2375,"-",""))),"-"," ",LEN($G2375)-LEN(SUBSTITUTE($G2375,"-",""))-1),".","")))=0,SUBSTITUTE(SUBSTITUTE($G2375,"-"," ",LEN($G2375)-LEN(SUBSTITUTE($G2375,"-",""))),"-"," ",LEN($G2375)-LEN(SUBSTITUTE($G2375,"-",""))-1),SUBSTITUTE(SUBSTITUTE(SUBSTITUTE($G2375,"-"," ",LEN($G2375)-LEN(SUBSTITUTE($G2375,"-",""))),"-"," ",LEN($G2375)-LEN(SUBSTITUTE($G2375,"-",""))-1),"."," ",(LEN(SUBSTITUTE(SUBSTITUTE($G2375,"-"," ",LEN($G2375)-LEN(SUBSTITUTE($G2375,"-",""))),"-"," ",LEN($G2375)-LEN(SUBSTITUTE($G2375,"-",""))-1))-LEN(SUBSTITUTE(SUBSTITUTE(SUBSTITUTE($G2375,"-"," ",LEN($G2375)-LEN(SUBSTITUTE($G2375,"-",""))),"-"," ",LEN($G2375)-LEN(SUBSTITUTE($G2375,"-",""))-1),".",""))))),$G2375)))</f>
        <v/>
      </c>
    </row>
    <row r="2376">
      <c r="A2376" s="58" t="n"/>
      <c r="B2376" s="58">
        <f>IF($H2376="","",LEFT($H2376,FIND(" ",$H2376&amp;" ")-1))</f>
        <v/>
      </c>
      <c r="C2376" s="58">
        <f>IF($H2376="","",IFERROR(MID($H2376&amp;" ",FIND("|",SUBSTITUTE($H2376&amp;" "," ","|",1))+1,FIND("|",SUBSTITUTE($H2376&amp;" "," ","|",2))-FIND("|",SUBSTITUTE($H2376&amp;" "," ","|",1))-1),""))</f>
        <v/>
      </c>
      <c r="D2376" s="58">
        <f>IF($H2376="","",IFERROR(MID($H2376&amp;" ",FIND("|",SUBSTITUTE($H2376&amp;" "," ","|",2))+1,FIND("|",SUBSTITUTE($H2376&amp;" "," ","|",3))-FIND("|",SUBSTITUTE($H2376&amp;" "," ","|",2))-1),""))</f>
        <v/>
      </c>
      <c r="E2376" s="58">
        <f>IF($H2376="","",IFERROR(MID($H2376&amp;" ",FIND("|",SUBSTITUTE($H2376&amp;" "," ","|",3))+1,FIND("|",SUBSTITUTE($H2376&amp;" "," ","|",4))-FIND("|",SUBSTITUTE($H2376&amp;" "," ","|",3))-1),""))</f>
        <v/>
      </c>
      <c r="F2376" s="59">
        <f>IF($H2376="","",IFERROR(VALUE(IFERROR(MID($H2376&amp;" ",FIND("|",SUBSTITUTE($H2376&amp;" "," ","|",4))+1,FIND("|",SUBSTITUTE($H2376&amp;" "," ","|",5))-FIND("|",SUBSTITUTE($H2376&amp;" "," ","|",4))-1),""))/86400+25569+9/24,""))</f>
        <v/>
      </c>
      <c r="G2376" s="58">
        <f>TRIM(SUBSTITUTE(SUBSTITUTE(SUBSTITUTE($A2376,CHAR(9)," ")," "," "),CHAR(13),""))</f>
        <v/>
      </c>
      <c r="H2376" s="58">
        <f>IF($G2376="","",IF(ISNUMBER(FIND(" ",$G2376)),$G2376,IFERROR(IF((LEN(SUBSTITUTE(SUBSTITUTE($G2376,"-"," ",LEN($G2376)-LEN(SUBSTITUTE($G2376,"-",""))),"-"," ",LEN($G2376)-LEN(SUBSTITUTE($G2376,"-",""))-1))-LEN(SUBSTITUTE(SUBSTITUTE(SUBSTITUTE($G2376,"-"," ",LEN($G2376)-LEN(SUBSTITUTE($G2376,"-",""))),"-"," ",LEN($G2376)-LEN(SUBSTITUTE($G2376,"-",""))-1),".","")))=0,SUBSTITUTE(SUBSTITUTE($G2376,"-"," ",LEN($G2376)-LEN(SUBSTITUTE($G2376,"-",""))),"-"," ",LEN($G2376)-LEN(SUBSTITUTE($G2376,"-",""))-1),SUBSTITUTE(SUBSTITUTE(SUBSTITUTE($G2376,"-"," ",LEN($G2376)-LEN(SUBSTITUTE($G2376,"-",""))),"-"," ",LEN($G2376)-LEN(SUBSTITUTE($G2376,"-",""))-1),"."," ",(LEN(SUBSTITUTE(SUBSTITUTE($G2376,"-"," ",LEN($G2376)-LEN(SUBSTITUTE($G2376,"-",""))),"-"," ",LEN($G2376)-LEN(SUBSTITUTE($G2376,"-",""))-1))-LEN(SUBSTITUTE(SUBSTITUTE(SUBSTITUTE($G2376,"-"," ",LEN($G2376)-LEN(SUBSTITUTE($G2376,"-",""))),"-"," ",LEN($G2376)-LEN(SUBSTITUTE($G2376,"-",""))-1),".",""))))),$G2376)))</f>
        <v/>
      </c>
    </row>
    <row r="2377">
      <c r="A2377" s="58" t="n"/>
      <c r="B2377" s="58">
        <f>IF($H2377="","",LEFT($H2377,FIND(" ",$H2377&amp;" ")-1))</f>
        <v/>
      </c>
      <c r="C2377" s="58">
        <f>IF($H2377="","",IFERROR(MID($H2377&amp;" ",FIND("|",SUBSTITUTE($H2377&amp;" "," ","|",1))+1,FIND("|",SUBSTITUTE($H2377&amp;" "," ","|",2))-FIND("|",SUBSTITUTE($H2377&amp;" "," ","|",1))-1),""))</f>
        <v/>
      </c>
      <c r="D2377" s="58">
        <f>IF($H2377="","",IFERROR(MID($H2377&amp;" ",FIND("|",SUBSTITUTE($H2377&amp;" "," ","|",2))+1,FIND("|",SUBSTITUTE($H2377&amp;" "," ","|",3))-FIND("|",SUBSTITUTE($H2377&amp;" "," ","|",2))-1),""))</f>
        <v/>
      </c>
      <c r="E2377" s="58">
        <f>IF($H2377="","",IFERROR(MID($H2377&amp;" ",FIND("|",SUBSTITUTE($H2377&amp;" "," ","|",3))+1,FIND("|",SUBSTITUTE($H2377&amp;" "," ","|",4))-FIND("|",SUBSTITUTE($H2377&amp;" "," ","|",3))-1),""))</f>
        <v/>
      </c>
      <c r="F2377" s="59">
        <f>IF($H2377="","",IFERROR(VALUE(IFERROR(MID($H2377&amp;" ",FIND("|",SUBSTITUTE($H2377&amp;" "," ","|",4))+1,FIND("|",SUBSTITUTE($H2377&amp;" "," ","|",5))-FIND("|",SUBSTITUTE($H2377&amp;" "," ","|",4))-1),""))/86400+25569+9/24,""))</f>
        <v/>
      </c>
      <c r="G2377" s="58">
        <f>TRIM(SUBSTITUTE(SUBSTITUTE(SUBSTITUTE($A2377,CHAR(9)," ")," "," "),CHAR(13),""))</f>
        <v/>
      </c>
      <c r="H2377" s="58">
        <f>IF($G2377="","",IF(ISNUMBER(FIND(" ",$G2377)),$G2377,IFERROR(IF((LEN(SUBSTITUTE(SUBSTITUTE($G2377,"-"," ",LEN($G2377)-LEN(SUBSTITUTE($G2377,"-",""))),"-"," ",LEN($G2377)-LEN(SUBSTITUTE($G2377,"-",""))-1))-LEN(SUBSTITUTE(SUBSTITUTE(SUBSTITUTE($G2377,"-"," ",LEN($G2377)-LEN(SUBSTITUTE($G2377,"-",""))),"-"," ",LEN($G2377)-LEN(SUBSTITUTE($G2377,"-",""))-1),".","")))=0,SUBSTITUTE(SUBSTITUTE($G2377,"-"," ",LEN($G2377)-LEN(SUBSTITUTE($G2377,"-",""))),"-"," ",LEN($G2377)-LEN(SUBSTITUTE($G2377,"-",""))-1),SUBSTITUTE(SUBSTITUTE(SUBSTITUTE($G2377,"-"," ",LEN($G2377)-LEN(SUBSTITUTE($G2377,"-",""))),"-"," ",LEN($G2377)-LEN(SUBSTITUTE($G2377,"-",""))-1),"."," ",(LEN(SUBSTITUTE(SUBSTITUTE($G2377,"-"," ",LEN($G2377)-LEN(SUBSTITUTE($G2377,"-",""))),"-"," ",LEN($G2377)-LEN(SUBSTITUTE($G2377,"-",""))-1))-LEN(SUBSTITUTE(SUBSTITUTE(SUBSTITUTE($G2377,"-"," ",LEN($G2377)-LEN(SUBSTITUTE($G2377,"-",""))),"-"," ",LEN($G2377)-LEN(SUBSTITUTE($G2377,"-",""))-1),".",""))))),$G2377)))</f>
        <v/>
      </c>
    </row>
    <row r="2378">
      <c r="A2378" s="58" t="n"/>
      <c r="B2378" s="58">
        <f>IF($H2378="","",LEFT($H2378,FIND(" ",$H2378&amp;" ")-1))</f>
        <v/>
      </c>
      <c r="C2378" s="58">
        <f>IF($H2378="","",IFERROR(MID($H2378&amp;" ",FIND("|",SUBSTITUTE($H2378&amp;" "," ","|",1))+1,FIND("|",SUBSTITUTE($H2378&amp;" "," ","|",2))-FIND("|",SUBSTITUTE($H2378&amp;" "," ","|",1))-1),""))</f>
        <v/>
      </c>
      <c r="D2378" s="58">
        <f>IF($H2378="","",IFERROR(MID($H2378&amp;" ",FIND("|",SUBSTITUTE($H2378&amp;" "," ","|",2))+1,FIND("|",SUBSTITUTE($H2378&amp;" "," ","|",3))-FIND("|",SUBSTITUTE($H2378&amp;" "," ","|",2))-1),""))</f>
        <v/>
      </c>
      <c r="E2378" s="58">
        <f>IF($H2378="","",IFERROR(MID($H2378&amp;" ",FIND("|",SUBSTITUTE($H2378&amp;" "," ","|",3))+1,FIND("|",SUBSTITUTE($H2378&amp;" "," ","|",4))-FIND("|",SUBSTITUTE($H2378&amp;" "," ","|",3))-1),""))</f>
        <v/>
      </c>
      <c r="F2378" s="59">
        <f>IF($H2378="","",IFERROR(VALUE(IFERROR(MID($H2378&amp;" ",FIND("|",SUBSTITUTE($H2378&amp;" "," ","|",4))+1,FIND("|",SUBSTITUTE($H2378&amp;" "," ","|",5))-FIND("|",SUBSTITUTE($H2378&amp;" "," ","|",4))-1),""))/86400+25569+9/24,""))</f>
        <v/>
      </c>
      <c r="G2378" s="58">
        <f>TRIM(SUBSTITUTE(SUBSTITUTE(SUBSTITUTE($A2378,CHAR(9)," ")," "," "),CHAR(13),""))</f>
        <v/>
      </c>
      <c r="H2378" s="58">
        <f>IF($G2378="","",IF(ISNUMBER(FIND(" ",$G2378)),$G2378,IFERROR(IF((LEN(SUBSTITUTE(SUBSTITUTE($G2378,"-"," ",LEN($G2378)-LEN(SUBSTITUTE($G2378,"-",""))),"-"," ",LEN($G2378)-LEN(SUBSTITUTE($G2378,"-",""))-1))-LEN(SUBSTITUTE(SUBSTITUTE(SUBSTITUTE($G2378,"-"," ",LEN($G2378)-LEN(SUBSTITUTE($G2378,"-",""))),"-"," ",LEN($G2378)-LEN(SUBSTITUTE($G2378,"-",""))-1),".","")))=0,SUBSTITUTE(SUBSTITUTE($G2378,"-"," ",LEN($G2378)-LEN(SUBSTITUTE($G2378,"-",""))),"-"," ",LEN($G2378)-LEN(SUBSTITUTE($G2378,"-",""))-1),SUBSTITUTE(SUBSTITUTE(SUBSTITUTE($G2378,"-"," ",LEN($G2378)-LEN(SUBSTITUTE($G2378,"-",""))),"-"," ",LEN($G2378)-LEN(SUBSTITUTE($G2378,"-",""))-1),"."," ",(LEN(SUBSTITUTE(SUBSTITUTE($G2378,"-"," ",LEN($G2378)-LEN(SUBSTITUTE($G2378,"-",""))),"-"," ",LEN($G2378)-LEN(SUBSTITUTE($G2378,"-",""))-1))-LEN(SUBSTITUTE(SUBSTITUTE(SUBSTITUTE($G2378,"-"," ",LEN($G2378)-LEN(SUBSTITUTE($G2378,"-",""))),"-"," ",LEN($G2378)-LEN(SUBSTITUTE($G2378,"-",""))-1),".",""))))),$G2378)))</f>
        <v/>
      </c>
    </row>
    <row r="2379">
      <c r="A2379" s="58" t="n"/>
      <c r="B2379" s="58">
        <f>IF($H2379="","",LEFT($H2379,FIND(" ",$H2379&amp;" ")-1))</f>
        <v/>
      </c>
      <c r="C2379" s="58">
        <f>IF($H2379="","",IFERROR(MID($H2379&amp;" ",FIND("|",SUBSTITUTE($H2379&amp;" "," ","|",1))+1,FIND("|",SUBSTITUTE($H2379&amp;" "," ","|",2))-FIND("|",SUBSTITUTE($H2379&amp;" "," ","|",1))-1),""))</f>
        <v/>
      </c>
      <c r="D2379" s="58">
        <f>IF($H2379="","",IFERROR(MID($H2379&amp;" ",FIND("|",SUBSTITUTE($H2379&amp;" "," ","|",2))+1,FIND("|",SUBSTITUTE($H2379&amp;" "," ","|",3))-FIND("|",SUBSTITUTE($H2379&amp;" "," ","|",2))-1),""))</f>
        <v/>
      </c>
      <c r="E2379" s="58">
        <f>IF($H2379="","",IFERROR(MID($H2379&amp;" ",FIND("|",SUBSTITUTE($H2379&amp;" "," ","|",3))+1,FIND("|",SUBSTITUTE($H2379&amp;" "," ","|",4))-FIND("|",SUBSTITUTE($H2379&amp;" "," ","|",3))-1),""))</f>
        <v/>
      </c>
      <c r="F2379" s="59">
        <f>IF($H2379="","",IFERROR(VALUE(IFERROR(MID($H2379&amp;" ",FIND("|",SUBSTITUTE($H2379&amp;" "," ","|",4))+1,FIND("|",SUBSTITUTE($H2379&amp;" "," ","|",5))-FIND("|",SUBSTITUTE($H2379&amp;" "," ","|",4))-1),""))/86400+25569+9/24,""))</f>
        <v/>
      </c>
      <c r="G2379" s="58">
        <f>TRIM(SUBSTITUTE(SUBSTITUTE(SUBSTITUTE($A2379,CHAR(9)," ")," "," "),CHAR(13),""))</f>
        <v/>
      </c>
      <c r="H2379" s="58">
        <f>IF($G2379="","",IF(ISNUMBER(FIND(" ",$G2379)),$G2379,IFERROR(IF((LEN(SUBSTITUTE(SUBSTITUTE($G2379,"-"," ",LEN($G2379)-LEN(SUBSTITUTE($G2379,"-",""))),"-"," ",LEN($G2379)-LEN(SUBSTITUTE($G2379,"-",""))-1))-LEN(SUBSTITUTE(SUBSTITUTE(SUBSTITUTE($G2379,"-"," ",LEN($G2379)-LEN(SUBSTITUTE($G2379,"-",""))),"-"," ",LEN($G2379)-LEN(SUBSTITUTE($G2379,"-",""))-1),".","")))=0,SUBSTITUTE(SUBSTITUTE($G2379,"-"," ",LEN($G2379)-LEN(SUBSTITUTE($G2379,"-",""))),"-"," ",LEN($G2379)-LEN(SUBSTITUTE($G2379,"-",""))-1),SUBSTITUTE(SUBSTITUTE(SUBSTITUTE($G2379,"-"," ",LEN($G2379)-LEN(SUBSTITUTE($G2379,"-",""))),"-"," ",LEN($G2379)-LEN(SUBSTITUTE($G2379,"-",""))-1),"."," ",(LEN(SUBSTITUTE(SUBSTITUTE($G2379,"-"," ",LEN($G2379)-LEN(SUBSTITUTE($G2379,"-",""))),"-"," ",LEN($G2379)-LEN(SUBSTITUTE($G2379,"-",""))-1))-LEN(SUBSTITUTE(SUBSTITUTE(SUBSTITUTE($G2379,"-"," ",LEN($G2379)-LEN(SUBSTITUTE($G2379,"-",""))),"-"," ",LEN($G2379)-LEN(SUBSTITUTE($G2379,"-",""))-1),".",""))))),$G2379)))</f>
        <v/>
      </c>
    </row>
    <row r="2380">
      <c r="A2380" s="58" t="n"/>
      <c r="B2380" s="58">
        <f>IF($H2380="","",LEFT($H2380,FIND(" ",$H2380&amp;" ")-1))</f>
        <v/>
      </c>
      <c r="C2380" s="58">
        <f>IF($H2380="","",IFERROR(MID($H2380&amp;" ",FIND("|",SUBSTITUTE($H2380&amp;" "," ","|",1))+1,FIND("|",SUBSTITUTE($H2380&amp;" "," ","|",2))-FIND("|",SUBSTITUTE($H2380&amp;" "," ","|",1))-1),""))</f>
        <v/>
      </c>
      <c r="D2380" s="58">
        <f>IF($H2380="","",IFERROR(MID($H2380&amp;" ",FIND("|",SUBSTITUTE($H2380&amp;" "," ","|",2))+1,FIND("|",SUBSTITUTE($H2380&amp;" "," ","|",3))-FIND("|",SUBSTITUTE($H2380&amp;" "," ","|",2))-1),""))</f>
        <v/>
      </c>
      <c r="E2380" s="58">
        <f>IF($H2380="","",IFERROR(MID($H2380&amp;" ",FIND("|",SUBSTITUTE($H2380&amp;" "," ","|",3))+1,FIND("|",SUBSTITUTE($H2380&amp;" "," ","|",4))-FIND("|",SUBSTITUTE($H2380&amp;" "," ","|",3))-1),""))</f>
        <v/>
      </c>
      <c r="F2380" s="59">
        <f>IF($H2380="","",IFERROR(VALUE(IFERROR(MID($H2380&amp;" ",FIND("|",SUBSTITUTE($H2380&amp;" "," ","|",4))+1,FIND("|",SUBSTITUTE($H2380&amp;" "," ","|",5))-FIND("|",SUBSTITUTE($H2380&amp;" "," ","|",4))-1),""))/86400+25569+9/24,""))</f>
        <v/>
      </c>
      <c r="G2380" s="58">
        <f>TRIM(SUBSTITUTE(SUBSTITUTE(SUBSTITUTE($A2380,CHAR(9)," ")," "," "),CHAR(13),""))</f>
        <v/>
      </c>
      <c r="H2380" s="58">
        <f>IF($G2380="","",IF(ISNUMBER(FIND(" ",$G2380)),$G2380,IFERROR(IF((LEN(SUBSTITUTE(SUBSTITUTE($G2380,"-"," ",LEN($G2380)-LEN(SUBSTITUTE($G2380,"-",""))),"-"," ",LEN($G2380)-LEN(SUBSTITUTE($G2380,"-",""))-1))-LEN(SUBSTITUTE(SUBSTITUTE(SUBSTITUTE($G2380,"-"," ",LEN($G2380)-LEN(SUBSTITUTE($G2380,"-",""))),"-"," ",LEN($G2380)-LEN(SUBSTITUTE($G2380,"-",""))-1),".","")))=0,SUBSTITUTE(SUBSTITUTE($G2380,"-"," ",LEN($G2380)-LEN(SUBSTITUTE($G2380,"-",""))),"-"," ",LEN($G2380)-LEN(SUBSTITUTE($G2380,"-",""))-1),SUBSTITUTE(SUBSTITUTE(SUBSTITUTE($G2380,"-"," ",LEN($G2380)-LEN(SUBSTITUTE($G2380,"-",""))),"-"," ",LEN($G2380)-LEN(SUBSTITUTE($G2380,"-",""))-1),"."," ",(LEN(SUBSTITUTE(SUBSTITUTE($G2380,"-"," ",LEN($G2380)-LEN(SUBSTITUTE($G2380,"-",""))),"-"," ",LEN($G2380)-LEN(SUBSTITUTE($G2380,"-",""))-1))-LEN(SUBSTITUTE(SUBSTITUTE(SUBSTITUTE($G2380,"-"," ",LEN($G2380)-LEN(SUBSTITUTE($G2380,"-",""))),"-"," ",LEN($G2380)-LEN(SUBSTITUTE($G2380,"-",""))-1),".",""))))),$G2380)))</f>
        <v/>
      </c>
    </row>
    <row r="2381">
      <c r="A2381" s="58" t="n"/>
      <c r="B2381" s="58">
        <f>IF($H2381="","",LEFT($H2381,FIND(" ",$H2381&amp;" ")-1))</f>
        <v/>
      </c>
      <c r="C2381" s="58">
        <f>IF($H2381="","",IFERROR(MID($H2381&amp;" ",FIND("|",SUBSTITUTE($H2381&amp;" "," ","|",1))+1,FIND("|",SUBSTITUTE($H2381&amp;" "," ","|",2))-FIND("|",SUBSTITUTE($H2381&amp;" "," ","|",1))-1),""))</f>
        <v/>
      </c>
      <c r="D2381" s="58">
        <f>IF($H2381="","",IFERROR(MID($H2381&amp;" ",FIND("|",SUBSTITUTE($H2381&amp;" "," ","|",2))+1,FIND("|",SUBSTITUTE($H2381&amp;" "," ","|",3))-FIND("|",SUBSTITUTE($H2381&amp;" "," ","|",2))-1),""))</f>
        <v/>
      </c>
      <c r="E2381" s="58">
        <f>IF($H2381="","",IFERROR(MID($H2381&amp;" ",FIND("|",SUBSTITUTE($H2381&amp;" "," ","|",3))+1,FIND("|",SUBSTITUTE($H2381&amp;" "," ","|",4))-FIND("|",SUBSTITUTE($H2381&amp;" "," ","|",3))-1),""))</f>
        <v/>
      </c>
      <c r="F2381" s="59">
        <f>IF($H2381="","",IFERROR(VALUE(IFERROR(MID($H2381&amp;" ",FIND("|",SUBSTITUTE($H2381&amp;" "," ","|",4))+1,FIND("|",SUBSTITUTE($H2381&amp;" "," ","|",5))-FIND("|",SUBSTITUTE($H2381&amp;" "," ","|",4))-1),""))/86400+25569+9/24,""))</f>
        <v/>
      </c>
      <c r="G2381" s="58">
        <f>TRIM(SUBSTITUTE(SUBSTITUTE(SUBSTITUTE($A2381,CHAR(9)," ")," "," "),CHAR(13),""))</f>
        <v/>
      </c>
      <c r="H2381" s="58">
        <f>IF($G2381="","",IF(ISNUMBER(FIND(" ",$G2381)),$G2381,IFERROR(IF((LEN(SUBSTITUTE(SUBSTITUTE($G2381,"-"," ",LEN($G2381)-LEN(SUBSTITUTE($G2381,"-",""))),"-"," ",LEN($G2381)-LEN(SUBSTITUTE($G2381,"-",""))-1))-LEN(SUBSTITUTE(SUBSTITUTE(SUBSTITUTE($G2381,"-"," ",LEN($G2381)-LEN(SUBSTITUTE($G2381,"-",""))),"-"," ",LEN($G2381)-LEN(SUBSTITUTE($G2381,"-",""))-1),".","")))=0,SUBSTITUTE(SUBSTITUTE($G2381,"-"," ",LEN($G2381)-LEN(SUBSTITUTE($G2381,"-",""))),"-"," ",LEN($G2381)-LEN(SUBSTITUTE($G2381,"-",""))-1),SUBSTITUTE(SUBSTITUTE(SUBSTITUTE($G2381,"-"," ",LEN($G2381)-LEN(SUBSTITUTE($G2381,"-",""))),"-"," ",LEN($G2381)-LEN(SUBSTITUTE($G2381,"-",""))-1),"."," ",(LEN(SUBSTITUTE(SUBSTITUTE($G2381,"-"," ",LEN($G2381)-LEN(SUBSTITUTE($G2381,"-",""))),"-"," ",LEN($G2381)-LEN(SUBSTITUTE($G2381,"-",""))-1))-LEN(SUBSTITUTE(SUBSTITUTE(SUBSTITUTE($G2381,"-"," ",LEN($G2381)-LEN(SUBSTITUTE($G2381,"-",""))),"-"," ",LEN($G2381)-LEN(SUBSTITUTE($G2381,"-",""))-1),".",""))))),$G2381)))</f>
        <v/>
      </c>
    </row>
    <row r="2382">
      <c r="A2382" s="58" t="n"/>
      <c r="B2382" s="58">
        <f>IF($H2382="","",LEFT($H2382,FIND(" ",$H2382&amp;" ")-1))</f>
        <v/>
      </c>
      <c r="C2382" s="58">
        <f>IF($H2382="","",IFERROR(MID($H2382&amp;" ",FIND("|",SUBSTITUTE($H2382&amp;" "," ","|",1))+1,FIND("|",SUBSTITUTE($H2382&amp;" "," ","|",2))-FIND("|",SUBSTITUTE($H2382&amp;" "," ","|",1))-1),""))</f>
        <v/>
      </c>
      <c r="D2382" s="58">
        <f>IF($H2382="","",IFERROR(MID($H2382&amp;" ",FIND("|",SUBSTITUTE($H2382&amp;" "," ","|",2))+1,FIND("|",SUBSTITUTE($H2382&amp;" "," ","|",3))-FIND("|",SUBSTITUTE($H2382&amp;" "," ","|",2))-1),""))</f>
        <v/>
      </c>
      <c r="E2382" s="58">
        <f>IF($H2382="","",IFERROR(MID($H2382&amp;" ",FIND("|",SUBSTITUTE($H2382&amp;" "," ","|",3))+1,FIND("|",SUBSTITUTE($H2382&amp;" "," ","|",4))-FIND("|",SUBSTITUTE($H2382&amp;" "," ","|",3))-1),""))</f>
        <v/>
      </c>
      <c r="F2382" s="59">
        <f>IF($H2382="","",IFERROR(VALUE(IFERROR(MID($H2382&amp;" ",FIND("|",SUBSTITUTE($H2382&amp;" "," ","|",4))+1,FIND("|",SUBSTITUTE($H2382&amp;" "," ","|",5))-FIND("|",SUBSTITUTE($H2382&amp;" "," ","|",4))-1),""))/86400+25569+9/24,""))</f>
        <v/>
      </c>
      <c r="G2382" s="58">
        <f>TRIM(SUBSTITUTE(SUBSTITUTE(SUBSTITUTE($A2382,CHAR(9)," ")," "," "),CHAR(13),""))</f>
        <v/>
      </c>
      <c r="H2382" s="58">
        <f>IF($G2382="","",IF(ISNUMBER(FIND(" ",$G2382)),$G2382,IFERROR(IF((LEN(SUBSTITUTE(SUBSTITUTE($G2382,"-"," ",LEN($G2382)-LEN(SUBSTITUTE($G2382,"-",""))),"-"," ",LEN($G2382)-LEN(SUBSTITUTE($G2382,"-",""))-1))-LEN(SUBSTITUTE(SUBSTITUTE(SUBSTITUTE($G2382,"-"," ",LEN($G2382)-LEN(SUBSTITUTE($G2382,"-",""))),"-"," ",LEN($G2382)-LEN(SUBSTITUTE($G2382,"-",""))-1),".","")))=0,SUBSTITUTE(SUBSTITUTE($G2382,"-"," ",LEN($G2382)-LEN(SUBSTITUTE($G2382,"-",""))),"-"," ",LEN($G2382)-LEN(SUBSTITUTE($G2382,"-",""))-1),SUBSTITUTE(SUBSTITUTE(SUBSTITUTE($G2382,"-"," ",LEN($G2382)-LEN(SUBSTITUTE($G2382,"-",""))),"-"," ",LEN($G2382)-LEN(SUBSTITUTE($G2382,"-",""))-1),"."," ",(LEN(SUBSTITUTE(SUBSTITUTE($G2382,"-"," ",LEN($G2382)-LEN(SUBSTITUTE($G2382,"-",""))),"-"," ",LEN($G2382)-LEN(SUBSTITUTE($G2382,"-",""))-1))-LEN(SUBSTITUTE(SUBSTITUTE(SUBSTITUTE($G2382,"-"," ",LEN($G2382)-LEN(SUBSTITUTE($G2382,"-",""))),"-"," ",LEN($G2382)-LEN(SUBSTITUTE($G2382,"-",""))-1),".",""))))),$G2382)))</f>
        <v/>
      </c>
    </row>
    <row r="2383">
      <c r="A2383" s="58" t="n"/>
      <c r="B2383" s="58">
        <f>IF($H2383="","",LEFT($H2383,FIND(" ",$H2383&amp;" ")-1))</f>
        <v/>
      </c>
      <c r="C2383" s="58">
        <f>IF($H2383="","",IFERROR(MID($H2383&amp;" ",FIND("|",SUBSTITUTE($H2383&amp;" "," ","|",1))+1,FIND("|",SUBSTITUTE($H2383&amp;" "," ","|",2))-FIND("|",SUBSTITUTE($H2383&amp;" "," ","|",1))-1),""))</f>
        <v/>
      </c>
      <c r="D2383" s="58">
        <f>IF($H2383="","",IFERROR(MID($H2383&amp;" ",FIND("|",SUBSTITUTE($H2383&amp;" "," ","|",2))+1,FIND("|",SUBSTITUTE($H2383&amp;" "," ","|",3))-FIND("|",SUBSTITUTE($H2383&amp;" "," ","|",2))-1),""))</f>
        <v/>
      </c>
      <c r="E2383" s="58">
        <f>IF($H2383="","",IFERROR(MID($H2383&amp;" ",FIND("|",SUBSTITUTE($H2383&amp;" "," ","|",3))+1,FIND("|",SUBSTITUTE($H2383&amp;" "," ","|",4))-FIND("|",SUBSTITUTE($H2383&amp;" "," ","|",3))-1),""))</f>
        <v/>
      </c>
      <c r="F2383" s="59">
        <f>IF($H2383="","",IFERROR(VALUE(IFERROR(MID($H2383&amp;" ",FIND("|",SUBSTITUTE($H2383&amp;" "," ","|",4))+1,FIND("|",SUBSTITUTE($H2383&amp;" "," ","|",5))-FIND("|",SUBSTITUTE($H2383&amp;" "," ","|",4))-1),""))/86400+25569+9/24,""))</f>
        <v/>
      </c>
      <c r="G2383" s="58">
        <f>TRIM(SUBSTITUTE(SUBSTITUTE(SUBSTITUTE($A2383,CHAR(9)," ")," "," "),CHAR(13),""))</f>
        <v/>
      </c>
      <c r="H2383" s="58">
        <f>IF($G2383="","",IF(ISNUMBER(FIND(" ",$G2383)),$G2383,IFERROR(IF((LEN(SUBSTITUTE(SUBSTITUTE($G2383,"-"," ",LEN($G2383)-LEN(SUBSTITUTE($G2383,"-",""))),"-"," ",LEN($G2383)-LEN(SUBSTITUTE($G2383,"-",""))-1))-LEN(SUBSTITUTE(SUBSTITUTE(SUBSTITUTE($G2383,"-"," ",LEN($G2383)-LEN(SUBSTITUTE($G2383,"-",""))),"-"," ",LEN($G2383)-LEN(SUBSTITUTE($G2383,"-",""))-1),".","")))=0,SUBSTITUTE(SUBSTITUTE($G2383,"-"," ",LEN($G2383)-LEN(SUBSTITUTE($G2383,"-",""))),"-"," ",LEN($G2383)-LEN(SUBSTITUTE($G2383,"-",""))-1),SUBSTITUTE(SUBSTITUTE(SUBSTITUTE($G2383,"-"," ",LEN($G2383)-LEN(SUBSTITUTE($G2383,"-",""))),"-"," ",LEN($G2383)-LEN(SUBSTITUTE($G2383,"-",""))-1),"."," ",(LEN(SUBSTITUTE(SUBSTITUTE($G2383,"-"," ",LEN($G2383)-LEN(SUBSTITUTE($G2383,"-",""))),"-"," ",LEN($G2383)-LEN(SUBSTITUTE($G2383,"-",""))-1))-LEN(SUBSTITUTE(SUBSTITUTE(SUBSTITUTE($G2383,"-"," ",LEN($G2383)-LEN(SUBSTITUTE($G2383,"-",""))),"-"," ",LEN($G2383)-LEN(SUBSTITUTE($G2383,"-",""))-1),".",""))))),$G2383)))</f>
        <v/>
      </c>
    </row>
    <row r="2384">
      <c r="A2384" s="58" t="n"/>
      <c r="B2384" s="58">
        <f>IF($H2384="","",LEFT($H2384,FIND(" ",$H2384&amp;" ")-1))</f>
        <v/>
      </c>
      <c r="C2384" s="58">
        <f>IF($H2384="","",IFERROR(MID($H2384&amp;" ",FIND("|",SUBSTITUTE($H2384&amp;" "," ","|",1))+1,FIND("|",SUBSTITUTE($H2384&amp;" "," ","|",2))-FIND("|",SUBSTITUTE($H2384&amp;" "," ","|",1))-1),""))</f>
        <v/>
      </c>
      <c r="D2384" s="58">
        <f>IF($H2384="","",IFERROR(MID($H2384&amp;" ",FIND("|",SUBSTITUTE($H2384&amp;" "," ","|",2))+1,FIND("|",SUBSTITUTE($H2384&amp;" "," ","|",3))-FIND("|",SUBSTITUTE($H2384&amp;" "," ","|",2))-1),""))</f>
        <v/>
      </c>
      <c r="E2384" s="58">
        <f>IF($H2384="","",IFERROR(MID($H2384&amp;" ",FIND("|",SUBSTITUTE($H2384&amp;" "," ","|",3))+1,FIND("|",SUBSTITUTE($H2384&amp;" "," ","|",4))-FIND("|",SUBSTITUTE($H2384&amp;" "," ","|",3))-1),""))</f>
        <v/>
      </c>
      <c r="F2384" s="59">
        <f>IF($H2384="","",IFERROR(VALUE(IFERROR(MID($H2384&amp;" ",FIND("|",SUBSTITUTE($H2384&amp;" "," ","|",4))+1,FIND("|",SUBSTITUTE($H2384&amp;" "," ","|",5))-FIND("|",SUBSTITUTE($H2384&amp;" "," ","|",4))-1),""))/86400+25569+9/24,""))</f>
        <v/>
      </c>
      <c r="G2384" s="58">
        <f>TRIM(SUBSTITUTE(SUBSTITUTE(SUBSTITUTE($A2384,CHAR(9)," ")," "," "),CHAR(13),""))</f>
        <v/>
      </c>
      <c r="H2384" s="58">
        <f>IF($G2384="","",IF(ISNUMBER(FIND(" ",$G2384)),$G2384,IFERROR(IF((LEN(SUBSTITUTE(SUBSTITUTE($G2384,"-"," ",LEN($G2384)-LEN(SUBSTITUTE($G2384,"-",""))),"-"," ",LEN($G2384)-LEN(SUBSTITUTE($G2384,"-",""))-1))-LEN(SUBSTITUTE(SUBSTITUTE(SUBSTITUTE($G2384,"-"," ",LEN($G2384)-LEN(SUBSTITUTE($G2384,"-",""))),"-"," ",LEN($G2384)-LEN(SUBSTITUTE($G2384,"-",""))-1),".","")))=0,SUBSTITUTE(SUBSTITUTE($G2384,"-"," ",LEN($G2384)-LEN(SUBSTITUTE($G2384,"-",""))),"-"," ",LEN($G2384)-LEN(SUBSTITUTE($G2384,"-",""))-1),SUBSTITUTE(SUBSTITUTE(SUBSTITUTE($G2384,"-"," ",LEN($G2384)-LEN(SUBSTITUTE($G2384,"-",""))),"-"," ",LEN($G2384)-LEN(SUBSTITUTE($G2384,"-",""))-1),"."," ",(LEN(SUBSTITUTE(SUBSTITUTE($G2384,"-"," ",LEN($G2384)-LEN(SUBSTITUTE($G2384,"-",""))),"-"," ",LEN($G2384)-LEN(SUBSTITUTE($G2384,"-",""))-1))-LEN(SUBSTITUTE(SUBSTITUTE(SUBSTITUTE($G2384,"-"," ",LEN($G2384)-LEN(SUBSTITUTE($G2384,"-",""))),"-"," ",LEN($G2384)-LEN(SUBSTITUTE($G2384,"-",""))-1),".",""))))),$G2384)))</f>
        <v/>
      </c>
    </row>
    <row r="2385">
      <c r="A2385" s="58" t="n"/>
      <c r="B2385" s="58">
        <f>IF($H2385="","",LEFT($H2385,FIND(" ",$H2385&amp;" ")-1))</f>
        <v/>
      </c>
      <c r="C2385" s="58">
        <f>IF($H2385="","",IFERROR(MID($H2385&amp;" ",FIND("|",SUBSTITUTE($H2385&amp;" "," ","|",1))+1,FIND("|",SUBSTITUTE($H2385&amp;" "," ","|",2))-FIND("|",SUBSTITUTE($H2385&amp;" "," ","|",1))-1),""))</f>
        <v/>
      </c>
      <c r="D2385" s="58">
        <f>IF($H2385="","",IFERROR(MID($H2385&amp;" ",FIND("|",SUBSTITUTE($H2385&amp;" "," ","|",2))+1,FIND("|",SUBSTITUTE($H2385&amp;" "," ","|",3))-FIND("|",SUBSTITUTE($H2385&amp;" "," ","|",2))-1),""))</f>
        <v/>
      </c>
      <c r="E2385" s="58">
        <f>IF($H2385="","",IFERROR(MID($H2385&amp;" ",FIND("|",SUBSTITUTE($H2385&amp;" "," ","|",3))+1,FIND("|",SUBSTITUTE($H2385&amp;" "," ","|",4))-FIND("|",SUBSTITUTE($H2385&amp;" "," ","|",3))-1),""))</f>
        <v/>
      </c>
      <c r="F2385" s="59">
        <f>IF($H2385="","",IFERROR(VALUE(IFERROR(MID($H2385&amp;" ",FIND("|",SUBSTITUTE($H2385&amp;" "," ","|",4))+1,FIND("|",SUBSTITUTE($H2385&amp;" "," ","|",5))-FIND("|",SUBSTITUTE($H2385&amp;" "," ","|",4))-1),""))/86400+25569+9/24,""))</f>
        <v/>
      </c>
      <c r="G2385" s="58">
        <f>TRIM(SUBSTITUTE(SUBSTITUTE(SUBSTITUTE($A2385,CHAR(9)," ")," "," "),CHAR(13),""))</f>
        <v/>
      </c>
      <c r="H2385" s="58">
        <f>IF($G2385="","",IF(ISNUMBER(FIND(" ",$G2385)),$G2385,IFERROR(IF((LEN(SUBSTITUTE(SUBSTITUTE($G2385,"-"," ",LEN($G2385)-LEN(SUBSTITUTE($G2385,"-",""))),"-"," ",LEN($G2385)-LEN(SUBSTITUTE($G2385,"-",""))-1))-LEN(SUBSTITUTE(SUBSTITUTE(SUBSTITUTE($G2385,"-"," ",LEN($G2385)-LEN(SUBSTITUTE($G2385,"-",""))),"-"," ",LEN($G2385)-LEN(SUBSTITUTE($G2385,"-",""))-1),".","")))=0,SUBSTITUTE(SUBSTITUTE($G2385,"-"," ",LEN($G2385)-LEN(SUBSTITUTE($G2385,"-",""))),"-"," ",LEN($G2385)-LEN(SUBSTITUTE($G2385,"-",""))-1),SUBSTITUTE(SUBSTITUTE(SUBSTITUTE($G2385,"-"," ",LEN($G2385)-LEN(SUBSTITUTE($G2385,"-",""))),"-"," ",LEN($G2385)-LEN(SUBSTITUTE($G2385,"-",""))-1),"."," ",(LEN(SUBSTITUTE(SUBSTITUTE($G2385,"-"," ",LEN($G2385)-LEN(SUBSTITUTE($G2385,"-",""))),"-"," ",LEN($G2385)-LEN(SUBSTITUTE($G2385,"-",""))-1))-LEN(SUBSTITUTE(SUBSTITUTE(SUBSTITUTE($G2385,"-"," ",LEN($G2385)-LEN(SUBSTITUTE($G2385,"-",""))),"-"," ",LEN($G2385)-LEN(SUBSTITUTE($G2385,"-",""))-1),".",""))))),$G2385)))</f>
        <v/>
      </c>
    </row>
    <row r="2386">
      <c r="A2386" s="58" t="n"/>
      <c r="B2386" s="58">
        <f>IF($H2386="","",LEFT($H2386,FIND(" ",$H2386&amp;" ")-1))</f>
        <v/>
      </c>
      <c r="C2386" s="58">
        <f>IF($H2386="","",IFERROR(MID($H2386&amp;" ",FIND("|",SUBSTITUTE($H2386&amp;" "," ","|",1))+1,FIND("|",SUBSTITUTE($H2386&amp;" "," ","|",2))-FIND("|",SUBSTITUTE($H2386&amp;" "," ","|",1))-1),""))</f>
        <v/>
      </c>
      <c r="D2386" s="58">
        <f>IF($H2386="","",IFERROR(MID($H2386&amp;" ",FIND("|",SUBSTITUTE($H2386&amp;" "," ","|",2))+1,FIND("|",SUBSTITUTE($H2386&amp;" "," ","|",3))-FIND("|",SUBSTITUTE($H2386&amp;" "," ","|",2))-1),""))</f>
        <v/>
      </c>
      <c r="E2386" s="58">
        <f>IF($H2386="","",IFERROR(MID($H2386&amp;" ",FIND("|",SUBSTITUTE($H2386&amp;" "," ","|",3))+1,FIND("|",SUBSTITUTE($H2386&amp;" "," ","|",4))-FIND("|",SUBSTITUTE($H2386&amp;" "," ","|",3))-1),""))</f>
        <v/>
      </c>
      <c r="F2386" s="59">
        <f>IF($H2386="","",IFERROR(VALUE(IFERROR(MID($H2386&amp;" ",FIND("|",SUBSTITUTE($H2386&amp;" "," ","|",4))+1,FIND("|",SUBSTITUTE($H2386&amp;" "," ","|",5))-FIND("|",SUBSTITUTE($H2386&amp;" "," ","|",4))-1),""))/86400+25569+9/24,""))</f>
        <v/>
      </c>
      <c r="G2386" s="58">
        <f>TRIM(SUBSTITUTE(SUBSTITUTE(SUBSTITUTE($A2386,CHAR(9)," ")," "," "),CHAR(13),""))</f>
        <v/>
      </c>
      <c r="H2386" s="58">
        <f>IF($G2386="","",IF(ISNUMBER(FIND(" ",$G2386)),$G2386,IFERROR(IF((LEN(SUBSTITUTE(SUBSTITUTE($G2386,"-"," ",LEN($G2386)-LEN(SUBSTITUTE($G2386,"-",""))),"-"," ",LEN($G2386)-LEN(SUBSTITUTE($G2386,"-",""))-1))-LEN(SUBSTITUTE(SUBSTITUTE(SUBSTITUTE($G2386,"-"," ",LEN($G2386)-LEN(SUBSTITUTE($G2386,"-",""))),"-"," ",LEN($G2386)-LEN(SUBSTITUTE($G2386,"-",""))-1),".","")))=0,SUBSTITUTE(SUBSTITUTE($G2386,"-"," ",LEN($G2386)-LEN(SUBSTITUTE($G2386,"-",""))),"-"," ",LEN($G2386)-LEN(SUBSTITUTE($G2386,"-",""))-1),SUBSTITUTE(SUBSTITUTE(SUBSTITUTE($G2386,"-"," ",LEN($G2386)-LEN(SUBSTITUTE($G2386,"-",""))),"-"," ",LEN($G2386)-LEN(SUBSTITUTE($G2386,"-",""))-1),"."," ",(LEN(SUBSTITUTE(SUBSTITUTE($G2386,"-"," ",LEN($G2386)-LEN(SUBSTITUTE($G2386,"-",""))),"-"," ",LEN($G2386)-LEN(SUBSTITUTE($G2386,"-",""))-1))-LEN(SUBSTITUTE(SUBSTITUTE(SUBSTITUTE($G2386,"-"," ",LEN($G2386)-LEN(SUBSTITUTE($G2386,"-",""))),"-"," ",LEN($G2386)-LEN(SUBSTITUTE($G2386,"-",""))-1),".",""))))),$G2386)))</f>
        <v/>
      </c>
    </row>
    <row r="2387">
      <c r="A2387" s="58" t="n"/>
      <c r="B2387" s="58">
        <f>IF($H2387="","",LEFT($H2387,FIND(" ",$H2387&amp;" ")-1))</f>
        <v/>
      </c>
      <c r="C2387" s="58">
        <f>IF($H2387="","",IFERROR(MID($H2387&amp;" ",FIND("|",SUBSTITUTE($H2387&amp;" "," ","|",1))+1,FIND("|",SUBSTITUTE($H2387&amp;" "," ","|",2))-FIND("|",SUBSTITUTE($H2387&amp;" "," ","|",1))-1),""))</f>
        <v/>
      </c>
      <c r="D2387" s="58">
        <f>IF($H2387="","",IFERROR(MID($H2387&amp;" ",FIND("|",SUBSTITUTE($H2387&amp;" "," ","|",2))+1,FIND("|",SUBSTITUTE($H2387&amp;" "," ","|",3))-FIND("|",SUBSTITUTE($H2387&amp;" "," ","|",2))-1),""))</f>
        <v/>
      </c>
      <c r="E2387" s="58">
        <f>IF($H2387="","",IFERROR(MID($H2387&amp;" ",FIND("|",SUBSTITUTE($H2387&amp;" "," ","|",3))+1,FIND("|",SUBSTITUTE($H2387&amp;" "," ","|",4))-FIND("|",SUBSTITUTE($H2387&amp;" "," ","|",3))-1),""))</f>
        <v/>
      </c>
      <c r="F2387" s="59">
        <f>IF($H2387="","",IFERROR(VALUE(IFERROR(MID($H2387&amp;" ",FIND("|",SUBSTITUTE($H2387&amp;" "," ","|",4))+1,FIND("|",SUBSTITUTE($H2387&amp;" "," ","|",5))-FIND("|",SUBSTITUTE($H2387&amp;" "," ","|",4))-1),""))/86400+25569+9/24,""))</f>
        <v/>
      </c>
      <c r="G2387" s="58">
        <f>TRIM(SUBSTITUTE(SUBSTITUTE(SUBSTITUTE($A2387,CHAR(9)," ")," "," "),CHAR(13),""))</f>
        <v/>
      </c>
      <c r="H2387" s="58">
        <f>IF($G2387="","",IF(ISNUMBER(FIND(" ",$G2387)),$G2387,IFERROR(IF((LEN(SUBSTITUTE(SUBSTITUTE($G2387,"-"," ",LEN($G2387)-LEN(SUBSTITUTE($G2387,"-",""))),"-"," ",LEN($G2387)-LEN(SUBSTITUTE($G2387,"-",""))-1))-LEN(SUBSTITUTE(SUBSTITUTE(SUBSTITUTE($G2387,"-"," ",LEN($G2387)-LEN(SUBSTITUTE($G2387,"-",""))),"-"," ",LEN($G2387)-LEN(SUBSTITUTE($G2387,"-",""))-1),".","")))=0,SUBSTITUTE(SUBSTITUTE($G2387,"-"," ",LEN($G2387)-LEN(SUBSTITUTE($G2387,"-",""))),"-"," ",LEN($G2387)-LEN(SUBSTITUTE($G2387,"-",""))-1),SUBSTITUTE(SUBSTITUTE(SUBSTITUTE($G2387,"-"," ",LEN($G2387)-LEN(SUBSTITUTE($G2387,"-",""))),"-"," ",LEN($G2387)-LEN(SUBSTITUTE($G2387,"-",""))-1),"."," ",(LEN(SUBSTITUTE(SUBSTITUTE($G2387,"-"," ",LEN($G2387)-LEN(SUBSTITUTE($G2387,"-",""))),"-"," ",LEN($G2387)-LEN(SUBSTITUTE($G2387,"-",""))-1))-LEN(SUBSTITUTE(SUBSTITUTE(SUBSTITUTE($G2387,"-"," ",LEN($G2387)-LEN(SUBSTITUTE($G2387,"-",""))),"-"," ",LEN($G2387)-LEN(SUBSTITUTE($G2387,"-",""))-1),".",""))))),$G2387)))</f>
        <v/>
      </c>
    </row>
    <row r="2388">
      <c r="A2388" s="58" t="n"/>
      <c r="B2388" s="58">
        <f>IF($H2388="","",LEFT($H2388,FIND(" ",$H2388&amp;" ")-1))</f>
        <v/>
      </c>
      <c r="C2388" s="58">
        <f>IF($H2388="","",IFERROR(MID($H2388&amp;" ",FIND("|",SUBSTITUTE($H2388&amp;" "," ","|",1))+1,FIND("|",SUBSTITUTE($H2388&amp;" "," ","|",2))-FIND("|",SUBSTITUTE($H2388&amp;" "," ","|",1))-1),""))</f>
        <v/>
      </c>
      <c r="D2388" s="58">
        <f>IF($H2388="","",IFERROR(MID($H2388&amp;" ",FIND("|",SUBSTITUTE($H2388&amp;" "," ","|",2))+1,FIND("|",SUBSTITUTE($H2388&amp;" "," ","|",3))-FIND("|",SUBSTITUTE($H2388&amp;" "," ","|",2))-1),""))</f>
        <v/>
      </c>
      <c r="E2388" s="58">
        <f>IF($H2388="","",IFERROR(MID($H2388&amp;" ",FIND("|",SUBSTITUTE($H2388&amp;" "," ","|",3))+1,FIND("|",SUBSTITUTE($H2388&amp;" "," ","|",4))-FIND("|",SUBSTITUTE($H2388&amp;" "," ","|",3))-1),""))</f>
        <v/>
      </c>
      <c r="F2388" s="59">
        <f>IF($H2388="","",IFERROR(VALUE(IFERROR(MID($H2388&amp;" ",FIND("|",SUBSTITUTE($H2388&amp;" "," ","|",4))+1,FIND("|",SUBSTITUTE($H2388&amp;" "," ","|",5))-FIND("|",SUBSTITUTE($H2388&amp;" "," ","|",4))-1),""))/86400+25569+9/24,""))</f>
        <v/>
      </c>
      <c r="G2388" s="58">
        <f>TRIM(SUBSTITUTE(SUBSTITUTE(SUBSTITUTE($A2388,CHAR(9)," ")," "," "),CHAR(13),""))</f>
        <v/>
      </c>
      <c r="H2388" s="58">
        <f>IF($G2388="","",IF(ISNUMBER(FIND(" ",$G2388)),$G2388,IFERROR(IF((LEN(SUBSTITUTE(SUBSTITUTE($G2388,"-"," ",LEN($G2388)-LEN(SUBSTITUTE($G2388,"-",""))),"-"," ",LEN($G2388)-LEN(SUBSTITUTE($G2388,"-",""))-1))-LEN(SUBSTITUTE(SUBSTITUTE(SUBSTITUTE($G2388,"-"," ",LEN($G2388)-LEN(SUBSTITUTE($G2388,"-",""))),"-"," ",LEN($G2388)-LEN(SUBSTITUTE($G2388,"-",""))-1),".","")))=0,SUBSTITUTE(SUBSTITUTE($G2388,"-"," ",LEN($G2388)-LEN(SUBSTITUTE($G2388,"-",""))),"-"," ",LEN($G2388)-LEN(SUBSTITUTE($G2388,"-",""))-1),SUBSTITUTE(SUBSTITUTE(SUBSTITUTE($G2388,"-"," ",LEN($G2388)-LEN(SUBSTITUTE($G2388,"-",""))),"-"," ",LEN($G2388)-LEN(SUBSTITUTE($G2388,"-",""))-1),"."," ",(LEN(SUBSTITUTE(SUBSTITUTE($G2388,"-"," ",LEN($G2388)-LEN(SUBSTITUTE($G2388,"-",""))),"-"," ",LEN($G2388)-LEN(SUBSTITUTE($G2388,"-",""))-1))-LEN(SUBSTITUTE(SUBSTITUTE(SUBSTITUTE($G2388,"-"," ",LEN($G2388)-LEN(SUBSTITUTE($G2388,"-",""))),"-"," ",LEN($G2388)-LEN(SUBSTITUTE($G2388,"-",""))-1),".",""))))),$G2388)))</f>
        <v/>
      </c>
    </row>
    <row r="2389">
      <c r="A2389" s="58" t="n"/>
      <c r="B2389" s="58">
        <f>IF($H2389="","",LEFT($H2389,FIND(" ",$H2389&amp;" ")-1))</f>
        <v/>
      </c>
      <c r="C2389" s="58">
        <f>IF($H2389="","",IFERROR(MID($H2389&amp;" ",FIND("|",SUBSTITUTE($H2389&amp;" "," ","|",1))+1,FIND("|",SUBSTITUTE($H2389&amp;" "," ","|",2))-FIND("|",SUBSTITUTE($H2389&amp;" "," ","|",1))-1),""))</f>
        <v/>
      </c>
      <c r="D2389" s="58">
        <f>IF($H2389="","",IFERROR(MID($H2389&amp;" ",FIND("|",SUBSTITUTE($H2389&amp;" "," ","|",2))+1,FIND("|",SUBSTITUTE($H2389&amp;" "," ","|",3))-FIND("|",SUBSTITUTE($H2389&amp;" "," ","|",2))-1),""))</f>
        <v/>
      </c>
      <c r="E2389" s="58">
        <f>IF($H2389="","",IFERROR(MID($H2389&amp;" ",FIND("|",SUBSTITUTE($H2389&amp;" "," ","|",3))+1,FIND("|",SUBSTITUTE($H2389&amp;" "," ","|",4))-FIND("|",SUBSTITUTE($H2389&amp;" "," ","|",3))-1),""))</f>
        <v/>
      </c>
      <c r="F2389" s="59">
        <f>IF($H2389="","",IFERROR(VALUE(IFERROR(MID($H2389&amp;" ",FIND("|",SUBSTITUTE($H2389&amp;" "," ","|",4))+1,FIND("|",SUBSTITUTE($H2389&amp;" "," ","|",5))-FIND("|",SUBSTITUTE($H2389&amp;" "," ","|",4))-1),""))/86400+25569+9/24,""))</f>
        <v/>
      </c>
      <c r="G2389" s="58">
        <f>TRIM(SUBSTITUTE(SUBSTITUTE(SUBSTITUTE($A2389,CHAR(9)," ")," "," "),CHAR(13),""))</f>
        <v/>
      </c>
      <c r="H2389" s="58">
        <f>IF($G2389="","",IF(ISNUMBER(FIND(" ",$G2389)),$G2389,IFERROR(IF((LEN(SUBSTITUTE(SUBSTITUTE($G2389,"-"," ",LEN($G2389)-LEN(SUBSTITUTE($G2389,"-",""))),"-"," ",LEN($G2389)-LEN(SUBSTITUTE($G2389,"-",""))-1))-LEN(SUBSTITUTE(SUBSTITUTE(SUBSTITUTE($G2389,"-"," ",LEN($G2389)-LEN(SUBSTITUTE($G2389,"-",""))),"-"," ",LEN($G2389)-LEN(SUBSTITUTE($G2389,"-",""))-1),".","")))=0,SUBSTITUTE(SUBSTITUTE($G2389,"-"," ",LEN($G2389)-LEN(SUBSTITUTE($G2389,"-",""))),"-"," ",LEN($G2389)-LEN(SUBSTITUTE($G2389,"-",""))-1),SUBSTITUTE(SUBSTITUTE(SUBSTITUTE($G2389,"-"," ",LEN($G2389)-LEN(SUBSTITUTE($G2389,"-",""))),"-"," ",LEN($G2389)-LEN(SUBSTITUTE($G2389,"-",""))-1),"."," ",(LEN(SUBSTITUTE(SUBSTITUTE($G2389,"-"," ",LEN($G2389)-LEN(SUBSTITUTE($G2389,"-",""))),"-"," ",LEN($G2389)-LEN(SUBSTITUTE($G2389,"-",""))-1))-LEN(SUBSTITUTE(SUBSTITUTE(SUBSTITUTE($G2389,"-"," ",LEN($G2389)-LEN(SUBSTITUTE($G2389,"-",""))),"-"," ",LEN($G2389)-LEN(SUBSTITUTE($G2389,"-",""))-1),".",""))))),$G2389)))</f>
        <v/>
      </c>
    </row>
    <row r="2390">
      <c r="A2390" s="58" t="n"/>
      <c r="B2390" s="58">
        <f>IF($H2390="","",LEFT($H2390,FIND(" ",$H2390&amp;" ")-1))</f>
        <v/>
      </c>
      <c r="C2390" s="58">
        <f>IF($H2390="","",IFERROR(MID($H2390&amp;" ",FIND("|",SUBSTITUTE($H2390&amp;" "," ","|",1))+1,FIND("|",SUBSTITUTE($H2390&amp;" "," ","|",2))-FIND("|",SUBSTITUTE($H2390&amp;" "," ","|",1))-1),""))</f>
        <v/>
      </c>
      <c r="D2390" s="58">
        <f>IF($H2390="","",IFERROR(MID($H2390&amp;" ",FIND("|",SUBSTITUTE($H2390&amp;" "," ","|",2))+1,FIND("|",SUBSTITUTE($H2390&amp;" "," ","|",3))-FIND("|",SUBSTITUTE($H2390&amp;" "," ","|",2))-1),""))</f>
        <v/>
      </c>
      <c r="E2390" s="58">
        <f>IF($H2390="","",IFERROR(MID($H2390&amp;" ",FIND("|",SUBSTITUTE($H2390&amp;" "," ","|",3))+1,FIND("|",SUBSTITUTE($H2390&amp;" "," ","|",4))-FIND("|",SUBSTITUTE($H2390&amp;" "," ","|",3))-1),""))</f>
        <v/>
      </c>
      <c r="F2390" s="59">
        <f>IF($H2390="","",IFERROR(VALUE(IFERROR(MID($H2390&amp;" ",FIND("|",SUBSTITUTE($H2390&amp;" "," ","|",4))+1,FIND("|",SUBSTITUTE($H2390&amp;" "," ","|",5))-FIND("|",SUBSTITUTE($H2390&amp;" "," ","|",4))-1),""))/86400+25569+9/24,""))</f>
        <v/>
      </c>
      <c r="G2390" s="58">
        <f>TRIM(SUBSTITUTE(SUBSTITUTE(SUBSTITUTE($A2390,CHAR(9)," ")," "," "),CHAR(13),""))</f>
        <v/>
      </c>
      <c r="H2390" s="58">
        <f>IF($G2390="","",IF(ISNUMBER(FIND(" ",$G2390)),$G2390,IFERROR(IF((LEN(SUBSTITUTE(SUBSTITUTE($G2390,"-"," ",LEN($G2390)-LEN(SUBSTITUTE($G2390,"-",""))),"-"," ",LEN($G2390)-LEN(SUBSTITUTE($G2390,"-",""))-1))-LEN(SUBSTITUTE(SUBSTITUTE(SUBSTITUTE($G2390,"-"," ",LEN($G2390)-LEN(SUBSTITUTE($G2390,"-",""))),"-"," ",LEN($G2390)-LEN(SUBSTITUTE($G2390,"-",""))-1),".","")))=0,SUBSTITUTE(SUBSTITUTE($G2390,"-"," ",LEN($G2390)-LEN(SUBSTITUTE($G2390,"-",""))),"-"," ",LEN($G2390)-LEN(SUBSTITUTE($G2390,"-",""))-1),SUBSTITUTE(SUBSTITUTE(SUBSTITUTE($G2390,"-"," ",LEN($G2390)-LEN(SUBSTITUTE($G2390,"-",""))),"-"," ",LEN($G2390)-LEN(SUBSTITUTE($G2390,"-",""))-1),"."," ",(LEN(SUBSTITUTE(SUBSTITUTE($G2390,"-"," ",LEN($G2390)-LEN(SUBSTITUTE($G2390,"-",""))),"-"," ",LEN($G2390)-LEN(SUBSTITUTE($G2390,"-",""))-1))-LEN(SUBSTITUTE(SUBSTITUTE(SUBSTITUTE($G2390,"-"," ",LEN($G2390)-LEN(SUBSTITUTE($G2390,"-",""))),"-"," ",LEN($G2390)-LEN(SUBSTITUTE($G2390,"-",""))-1),".",""))))),$G2390)))</f>
        <v/>
      </c>
    </row>
    <row r="2391">
      <c r="A2391" s="58" t="n"/>
      <c r="B2391" s="58">
        <f>IF($H2391="","",LEFT($H2391,FIND(" ",$H2391&amp;" ")-1))</f>
        <v/>
      </c>
      <c r="C2391" s="58">
        <f>IF($H2391="","",IFERROR(MID($H2391&amp;" ",FIND("|",SUBSTITUTE($H2391&amp;" "," ","|",1))+1,FIND("|",SUBSTITUTE($H2391&amp;" "," ","|",2))-FIND("|",SUBSTITUTE($H2391&amp;" "," ","|",1))-1),""))</f>
        <v/>
      </c>
      <c r="D2391" s="58">
        <f>IF($H2391="","",IFERROR(MID($H2391&amp;" ",FIND("|",SUBSTITUTE($H2391&amp;" "," ","|",2))+1,FIND("|",SUBSTITUTE($H2391&amp;" "," ","|",3))-FIND("|",SUBSTITUTE($H2391&amp;" "," ","|",2))-1),""))</f>
        <v/>
      </c>
      <c r="E2391" s="58">
        <f>IF($H2391="","",IFERROR(MID($H2391&amp;" ",FIND("|",SUBSTITUTE($H2391&amp;" "," ","|",3))+1,FIND("|",SUBSTITUTE($H2391&amp;" "," ","|",4))-FIND("|",SUBSTITUTE($H2391&amp;" "," ","|",3))-1),""))</f>
        <v/>
      </c>
      <c r="F2391" s="59">
        <f>IF($H2391="","",IFERROR(VALUE(IFERROR(MID($H2391&amp;" ",FIND("|",SUBSTITUTE($H2391&amp;" "," ","|",4))+1,FIND("|",SUBSTITUTE($H2391&amp;" "," ","|",5))-FIND("|",SUBSTITUTE($H2391&amp;" "," ","|",4))-1),""))/86400+25569+9/24,""))</f>
        <v/>
      </c>
      <c r="G2391" s="58">
        <f>TRIM(SUBSTITUTE(SUBSTITUTE(SUBSTITUTE($A2391,CHAR(9)," ")," "," "),CHAR(13),""))</f>
        <v/>
      </c>
      <c r="H2391" s="58">
        <f>IF($G2391="","",IF(ISNUMBER(FIND(" ",$G2391)),$G2391,IFERROR(IF((LEN(SUBSTITUTE(SUBSTITUTE($G2391,"-"," ",LEN($G2391)-LEN(SUBSTITUTE($G2391,"-",""))),"-"," ",LEN($G2391)-LEN(SUBSTITUTE($G2391,"-",""))-1))-LEN(SUBSTITUTE(SUBSTITUTE(SUBSTITUTE($G2391,"-"," ",LEN($G2391)-LEN(SUBSTITUTE($G2391,"-",""))),"-"," ",LEN($G2391)-LEN(SUBSTITUTE($G2391,"-",""))-1),".","")))=0,SUBSTITUTE(SUBSTITUTE($G2391,"-"," ",LEN($G2391)-LEN(SUBSTITUTE($G2391,"-",""))),"-"," ",LEN($G2391)-LEN(SUBSTITUTE($G2391,"-",""))-1),SUBSTITUTE(SUBSTITUTE(SUBSTITUTE($G2391,"-"," ",LEN($G2391)-LEN(SUBSTITUTE($G2391,"-",""))),"-"," ",LEN($G2391)-LEN(SUBSTITUTE($G2391,"-",""))-1),"."," ",(LEN(SUBSTITUTE(SUBSTITUTE($G2391,"-"," ",LEN($G2391)-LEN(SUBSTITUTE($G2391,"-",""))),"-"," ",LEN($G2391)-LEN(SUBSTITUTE($G2391,"-",""))-1))-LEN(SUBSTITUTE(SUBSTITUTE(SUBSTITUTE($G2391,"-"," ",LEN($G2391)-LEN(SUBSTITUTE($G2391,"-",""))),"-"," ",LEN($G2391)-LEN(SUBSTITUTE($G2391,"-",""))-1),".",""))))),$G2391)))</f>
        <v/>
      </c>
    </row>
    <row r="2392">
      <c r="A2392" s="58" t="n"/>
      <c r="B2392" s="58">
        <f>IF($H2392="","",LEFT($H2392,FIND(" ",$H2392&amp;" ")-1))</f>
        <v/>
      </c>
      <c r="C2392" s="58">
        <f>IF($H2392="","",IFERROR(MID($H2392&amp;" ",FIND("|",SUBSTITUTE($H2392&amp;" "," ","|",1))+1,FIND("|",SUBSTITUTE($H2392&amp;" "," ","|",2))-FIND("|",SUBSTITUTE($H2392&amp;" "," ","|",1))-1),""))</f>
        <v/>
      </c>
      <c r="D2392" s="58">
        <f>IF($H2392="","",IFERROR(MID($H2392&amp;" ",FIND("|",SUBSTITUTE($H2392&amp;" "," ","|",2))+1,FIND("|",SUBSTITUTE($H2392&amp;" "," ","|",3))-FIND("|",SUBSTITUTE($H2392&amp;" "," ","|",2))-1),""))</f>
        <v/>
      </c>
      <c r="E2392" s="58">
        <f>IF($H2392="","",IFERROR(MID($H2392&amp;" ",FIND("|",SUBSTITUTE($H2392&amp;" "," ","|",3))+1,FIND("|",SUBSTITUTE($H2392&amp;" "," ","|",4))-FIND("|",SUBSTITUTE($H2392&amp;" "," ","|",3))-1),""))</f>
        <v/>
      </c>
      <c r="F2392" s="59">
        <f>IF($H2392="","",IFERROR(VALUE(IFERROR(MID($H2392&amp;" ",FIND("|",SUBSTITUTE($H2392&amp;" "," ","|",4))+1,FIND("|",SUBSTITUTE($H2392&amp;" "," ","|",5))-FIND("|",SUBSTITUTE($H2392&amp;" "," ","|",4))-1),""))/86400+25569+9/24,""))</f>
        <v/>
      </c>
      <c r="G2392" s="58">
        <f>TRIM(SUBSTITUTE(SUBSTITUTE(SUBSTITUTE($A2392,CHAR(9)," ")," "," "),CHAR(13),""))</f>
        <v/>
      </c>
      <c r="H2392" s="58">
        <f>IF($G2392="","",IF(ISNUMBER(FIND(" ",$G2392)),$G2392,IFERROR(IF((LEN(SUBSTITUTE(SUBSTITUTE($G2392,"-"," ",LEN($G2392)-LEN(SUBSTITUTE($G2392,"-",""))),"-"," ",LEN($G2392)-LEN(SUBSTITUTE($G2392,"-",""))-1))-LEN(SUBSTITUTE(SUBSTITUTE(SUBSTITUTE($G2392,"-"," ",LEN($G2392)-LEN(SUBSTITUTE($G2392,"-",""))),"-"," ",LEN($G2392)-LEN(SUBSTITUTE($G2392,"-",""))-1),".","")))=0,SUBSTITUTE(SUBSTITUTE($G2392,"-"," ",LEN($G2392)-LEN(SUBSTITUTE($G2392,"-",""))),"-"," ",LEN($G2392)-LEN(SUBSTITUTE($G2392,"-",""))-1),SUBSTITUTE(SUBSTITUTE(SUBSTITUTE($G2392,"-"," ",LEN($G2392)-LEN(SUBSTITUTE($G2392,"-",""))),"-"," ",LEN($G2392)-LEN(SUBSTITUTE($G2392,"-",""))-1),"."," ",(LEN(SUBSTITUTE(SUBSTITUTE($G2392,"-"," ",LEN($G2392)-LEN(SUBSTITUTE($G2392,"-",""))),"-"," ",LEN($G2392)-LEN(SUBSTITUTE($G2392,"-",""))-1))-LEN(SUBSTITUTE(SUBSTITUTE(SUBSTITUTE($G2392,"-"," ",LEN($G2392)-LEN(SUBSTITUTE($G2392,"-",""))),"-"," ",LEN($G2392)-LEN(SUBSTITUTE($G2392,"-",""))-1),".",""))))),$G2392)))</f>
        <v/>
      </c>
    </row>
    <row r="2393">
      <c r="A2393" s="58" t="n"/>
      <c r="B2393" s="58">
        <f>IF($H2393="","",LEFT($H2393,FIND(" ",$H2393&amp;" ")-1))</f>
        <v/>
      </c>
      <c r="C2393" s="58">
        <f>IF($H2393="","",IFERROR(MID($H2393&amp;" ",FIND("|",SUBSTITUTE($H2393&amp;" "," ","|",1))+1,FIND("|",SUBSTITUTE($H2393&amp;" "," ","|",2))-FIND("|",SUBSTITUTE($H2393&amp;" "," ","|",1))-1),""))</f>
        <v/>
      </c>
      <c r="D2393" s="58">
        <f>IF($H2393="","",IFERROR(MID($H2393&amp;" ",FIND("|",SUBSTITUTE($H2393&amp;" "," ","|",2))+1,FIND("|",SUBSTITUTE($H2393&amp;" "," ","|",3))-FIND("|",SUBSTITUTE($H2393&amp;" "," ","|",2))-1),""))</f>
        <v/>
      </c>
      <c r="E2393" s="58">
        <f>IF($H2393="","",IFERROR(MID($H2393&amp;" ",FIND("|",SUBSTITUTE($H2393&amp;" "," ","|",3))+1,FIND("|",SUBSTITUTE($H2393&amp;" "," ","|",4))-FIND("|",SUBSTITUTE($H2393&amp;" "," ","|",3))-1),""))</f>
        <v/>
      </c>
      <c r="F2393" s="59">
        <f>IF($H2393="","",IFERROR(VALUE(IFERROR(MID($H2393&amp;" ",FIND("|",SUBSTITUTE($H2393&amp;" "," ","|",4))+1,FIND("|",SUBSTITUTE($H2393&amp;" "," ","|",5))-FIND("|",SUBSTITUTE($H2393&amp;" "," ","|",4))-1),""))/86400+25569+9/24,""))</f>
        <v/>
      </c>
      <c r="G2393" s="58">
        <f>TRIM(SUBSTITUTE(SUBSTITUTE(SUBSTITUTE($A2393,CHAR(9)," ")," "," "),CHAR(13),""))</f>
        <v/>
      </c>
      <c r="H2393" s="58">
        <f>IF($G2393="","",IF(ISNUMBER(FIND(" ",$G2393)),$G2393,IFERROR(IF((LEN(SUBSTITUTE(SUBSTITUTE($G2393,"-"," ",LEN($G2393)-LEN(SUBSTITUTE($G2393,"-",""))),"-"," ",LEN($G2393)-LEN(SUBSTITUTE($G2393,"-",""))-1))-LEN(SUBSTITUTE(SUBSTITUTE(SUBSTITUTE($G2393,"-"," ",LEN($G2393)-LEN(SUBSTITUTE($G2393,"-",""))),"-"," ",LEN($G2393)-LEN(SUBSTITUTE($G2393,"-",""))-1),".","")))=0,SUBSTITUTE(SUBSTITUTE($G2393,"-"," ",LEN($G2393)-LEN(SUBSTITUTE($G2393,"-",""))),"-"," ",LEN($G2393)-LEN(SUBSTITUTE($G2393,"-",""))-1),SUBSTITUTE(SUBSTITUTE(SUBSTITUTE($G2393,"-"," ",LEN($G2393)-LEN(SUBSTITUTE($G2393,"-",""))),"-"," ",LEN($G2393)-LEN(SUBSTITUTE($G2393,"-",""))-1),"."," ",(LEN(SUBSTITUTE(SUBSTITUTE($G2393,"-"," ",LEN($G2393)-LEN(SUBSTITUTE($G2393,"-",""))),"-"," ",LEN($G2393)-LEN(SUBSTITUTE($G2393,"-",""))-1))-LEN(SUBSTITUTE(SUBSTITUTE(SUBSTITUTE($G2393,"-"," ",LEN($G2393)-LEN(SUBSTITUTE($G2393,"-",""))),"-"," ",LEN($G2393)-LEN(SUBSTITUTE($G2393,"-",""))-1),".",""))))),$G2393)))</f>
        <v/>
      </c>
    </row>
    <row r="2394">
      <c r="A2394" s="58" t="n"/>
      <c r="B2394" s="58">
        <f>IF($H2394="","",LEFT($H2394,FIND(" ",$H2394&amp;" ")-1))</f>
        <v/>
      </c>
      <c r="C2394" s="58">
        <f>IF($H2394="","",IFERROR(MID($H2394&amp;" ",FIND("|",SUBSTITUTE($H2394&amp;" "," ","|",1))+1,FIND("|",SUBSTITUTE($H2394&amp;" "," ","|",2))-FIND("|",SUBSTITUTE($H2394&amp;" "," ","|",1))-1),""))</f>
        <v/>
      </c>
      <c r="D2394" s="58">
        <f>IF($H2394="","",IFERROR(MID($H2394&amp;" ",FIND("|",SUBSTITUTE($H2394&amp;" "," ","|",2))+1,FIND("|",SUBSTITUTE($H2394&amp;" "," ","|",3))-FIND("|",SUBSTITUTE($H2394&amp;" "," ","|",2))-1),""))</f>
        <v/>
      </c>
      <c r="E2394" s="58">
        <f>IF($H2394="","",IFERROR(MID($H2394&amp;" ",FIND("|",SUBSTITUTE($H2394&amp;" "," ","|",3))+1,FIND("|",SUBSTITUTE($H2394&amp;" "," ","|",4))-FIND("|",SUBSTITUTE($H2394&amp;" "," ","|",3))-1),""))</f>
        <v/>
      </c>
      <c r="F2394" s="59">
        <f>IF($H2394="","",IFERROR(VALUE(IFERROR(MID($H2394&amp;" ",FIND("|",SUBSTITUTE($H2394&amp;" "," ","|",4))+1,FIND("|",SUBSTITUTE($H2394&amp;" "," ","|",5))-FIND("|",SUBSTITUTE($H2394&amp;" "," ","|",4))-1),""))/86400+25569+9/24,""))</f>
        <v/>
      </c>
      <c r="G2394" s="58">
        <f>TRIM(SUBSTITUTE(SUBSTITUTE(SUBSTITUTE($A2394,CHAR(9)," ")," "," "),CHAR(13),""))</f>
        <v/>
      </c>
      <c r="H2394" s="58">
        <f>IF($G2394="","",IF(ISNUMBER(FIND(" ",$G2394)),$G2394,IFERROR(IF((LEN(SUBSTITUTE(SUBSTITUTE($G2394,"-"," ",LEN($G2394)-LEN(SUBSTITUTE($G2394,"-",""))),"-"," ",LEN($G2394)-LEN(SUBSTITUTE($G2394,"-",""))-1))-LEN(SUBSTITUTE(SUBSTITUTE(SUBSTITUTE($G2394,"-"," ",LEN($G2394)-LEN(SUBSTITUTE($G2394,"-",""))),"-"," ",LEN($G2394)-LEN(SUBSTITUTE($G2394,"-",""))-1),".","")))=0,SUBSTITUTE(SUBSTITUTE($G2394,"-"," ",LEN($G2394)-LEN(SUBSTITUTE($G2394,"-",""))),"-"," ",LEN($G2394)-LEN(SUBSTITUTE($G2394,"-",""))-1),SUBSTITUTE(SUBSTITUTE(SUBSTITUTE($G2394,"-"," ",LEN($G2394)-LEN(SUBSTITUTE($G2394,"-",""))),"-"," ",LEN($G2394)-LEN(SUBSTITUTE($G2394,"-",""))-1),"."," ",(LEN(SUBSTITUTE(SUBSTITUTE($G2394,"-"," ",LEN($G2394)-LEN(SUBSTITUTE($G2394,"-",""))),"-"," ",LEN($G2394)-LEN(SUBSTITUTE($G2394,"-",""))-1))-LEN(SUBSTITUTE(SUBSTITUTE(SUBSTITUTE($G2394,"-"," ",LEN($G2394)-LEN(SUBSTITUTE($G2394,"-",""))),"-"," ",LEN($G2394)-LEN(SUBSTITUTE($G2394,"-",""))-1),".",""))))),$G2394)))</f>
        <v/>
      </c>
    </row>
    <row r="2395">
      <c r="A2395" s="58" t="n"/>
      <c r="B2395" s="58">
        <f>IF($H2395="","",LEFT($H2395,FIND(" ",$H2395&amp;" ")-1))</f>
        <v/>
      </c>
      <c r="C2395" s="58">
        <f>IF($H2395="","",IFERROR(MID($H2395&amp;" ",FIND("|",SUBSTITUTE($H2395&amp;" "," ","|",1))+1,FIND("|",SUBSTITUTE($H2395&amp;" "," ","|",2))-FIND("|",SUBSTITUTE($H2395&amp;" "," ","|",1))-1),""))</f>
        <v/>
      </c>
      <c r="D2395" s="58">
        <f>IF($H2395="","",IFERROR(MID($H2395&amp;" ",FIND("|",SUBSTITUTE($H2395&amp;" "," ","|",2))+1,FIND("|",SUBSTITUTE($H2395&amp;" "," ","|",3))-FIND("|",SUBSTITUTE($H2395&amp;" "," ","|",2))-1),""))</f>
        <v/>
      </c>
      <c r="E2395" s="58">
        <f>IF($H2395="","",IFERROR(MID($H2395&amp;" ",FIND("|",SUBSTITUTE($H2395&amp;" "," ","|",3))+1,FIND("|",SUBSTITUTE($H2395&amp;" "," ","|",4))-FIND("|",SUBSTITUTE($H2395&amp;" "," ","|",3))-1),""))</f>
        <v/>
      </c>
      <c r="F2395" s="59">
        <f>IF($H2395="","",IFERROR(VALUE(IFERROR(MID($H2395&amp;" ",FIND("|",SUBSTITUTE($H2395&amp;" "," ","|",4))+1,FIND("|",SUBSTITUTE($H2395&amp;" "," ","|",5))-FIND("|",SUBSTITUTE($H2395&amp;" "," ","|",4))-1),""))/86400+25569+9/24,""))</f>
        <v/>
      </c>
      <c r="G2395" s="58">
        <f>TRIM(SUBSTITUTE(SUBSTITUTE(SUBSTITUTE($A2395,CHAR(9)," ")," "," "),CHAR(13),""))</f>
        <v/>
      </c>
      <c r="H2395" s="58">
        <f>IF($G2395="","",IF(ISNUMBER(FIND(" ",$G2395)),$G2395,IFERROR(IF((LEN(SUBSTITUTE(SUBSTITUTE($G2395,"-"," ",LEN($G2395)-LEN(SUBSTITUTE($G2395,"-",""))),"-"," ",LEN($G2395)-LEN(SUBSTITUTE($G2395,"-",""))-1))-LEN(SUBSTITUTE(SUBSTITUTE(SUBSTITUTE($G2395,"-"," ",LEN($G2395)-LEN(SUBSTITUTE($G2395,"-",""))),"-"," ",LEN($G2395)-LEN(SUBSTITUTE($G2395,"-",""))-1),".","")))=0,SUBSTITUTE(SUBSTITUTE($G2395,"-"," ",LEN($G2395)-LEN(SUBSTITUTE($G2395,"-",""))),"-"," ",LEN($G2395)-LEN(SUBSTITUTE($G2395,"-",""))-1),SUBSTITUTE(SUBSTITUTE(SUBSTITUTE($G2395,"-"," ",LEN($G2395)-LEN(SUBSTITUTE($G2395,"-",""))),"-"," ",LEN($G2395)-LEN(SUBSTITUTE($G2395,"-",""))-1),"."," ",(LEN(SUBSTITUTE(SUBSTITUTE($G2395,"-"," ",LEN($G2395)-LEN(SUBSTITUTE($G2395,"-",""))),"-"," ",LEN($G2395)-LEN(SUBSTITUTE($G2395,"-",""))-1))-LEN(SUBSTITUTE(SUBSTITUTE(SUBSTITUTE($G2395,"-"," ",LEN($G2395)-LEN(SUBSTITUTE($G2395,"-",""))),"-"," ",LEN($G2395)-LEN(SUBSTITUTE($G2395,"-",""))-1),".",""))))),$G2395)))</f>
        <v/>
      </c>
    </row>
    <row r="2396">
      <c r="A2396" s="58" t="n"/>
      <c r="B2396" s="58">
        <f>IF($H2396="","",LEFT($H2396,FIND(" ",$H2396&amp;" ")-1))</f>
        <v/>
      </c>
      <c r="C2396" s="58">
        <f>IF($H2396="","",IFERROR(MID($H2396&amp;" ",FIND("|",SUBSTITUTE($H2396&amp;" "," ","|",1))+1,FIND("|",SUBSTITUTE($H2396&amp;" "," ","|",2))-FIND("|",SUBSTITUTE($H2396&amp;" "," ","|",1))-1),""))</f>
        <v/>
      </c>
      <c r="D2396" s="58">
        <f>IF($H2396="","",IFERROR(MID($H2396&amp;" ",FIND("|",SUBSTITUTE($H2396&amp;" "," ","|",2))+1,FIND("|",SUBSTITUTE($H2396&amp;" "," ","|",3))-FIND("|",SUBSTITUTE($H2396&amp;" "," ","|",2))-1),""))</f>
        <v/>
      </c>
      <c r="E2396" s="58">
        <f>IF($H2396="","",IFERROR(MID($H2396&amp;" ",FIND("|",SUBSTITUTE($H2396&amp;" "," ","|",3))+1,FIND("|",SUBSTITUTE($H2396&amp;" "," ","|",4))-FIND("|",SUBSTITUTE($H2396&amp;" "," ","|",3))-1),""))</f>
        <v/>
      </c>
      <c r="F2396" s="59">
        <f>IF($H2396="","",IFERROR(VALUE(IFERROR(MID($H2396&amp;" ",FIND("|",SUBSTITUTE($H2396&amp;" "," ","|",4))+1,FIND("|",SUBSTITUTE($H2396&amp;" "," ","|",5))-FIND("|",SUBSTITUTE($H2396&amp;" "," ","|",4))-1),""))/86400+25569+9/24,""))</f>
        <v/>
      </c>
      <c r="G2396" s="58">
        <f>TRIM(SUBSTITUTE(SUBSTITUTE(SUBSTITUTE($A2396,CHAR(9)," ")," "," "),CHAR(13),""))</f>
        <v/>
      </c>
      <c r="H2396" s="58">
        <f>IF($G2396="","",IF(ISNUMBER(FIND(" ",$G2396)),$G2396,IFERROR(IF((LEN(SUBSTITUTE(SUBSTITUTE($G2396,"-"," ",LEN($G2396)-LEN(SUBSTITUTE($G2396,"-",""))),"-"," ",LEN($G2396)-LEN(SUBSTITUTE($G2396,"-",""))-1))-LEN(SUBSTITUTE(SUBSTITUTE(SUBSTITUTE($G2396,"-"," ",LEN($G2396)-LEN(SUBSTITUTE($G2396,"-",""))),"-"," ",LEN($G2396)-LEN(SUBSTITUTE($G2396,"-",""))-1),".","")))=0,SUBSTITUTE(SUBSTITUTE($G2396,"-"," ",LEN($G2396)-LEN(SUBSTITUTE($G2396,"-",""))),"-"," ",LEN($G2396)-LEN(SUBSTITUTE($G2396,"-",""))-1),SUBSTITUTE(SUBSTITUTE(SUBSTITUTE($G2396,"-"," ",LEN($G2396)-LEN(SUBSTITUTE($G2396,"-",""))),"-"," ",LEN($G2396)-LEN(SUBSTITUTE($G2396,"-",""))-1),"."," ",(LEN(SUBSTITUTE(SUBSTITUTE($G2396,"-"," ",LEN($G2396)-LEN(SUBSTITUTE($G2396,"-",""))),"-"," ",LEN($G2396)-LEN(SUBSTITUTE($G2396,"-",""))-1))-LEN(SUBSTITUTE(SUBSTITUTE(SUBSTITUTE($G2396,"-"," ",LEN($G2396)-LEN(SUBSTITUTE($G2396,"-",""))),"-"," ",LEN($G2396)-LEN(SUBSTITUTE($G2396,"-",""))-1),".",""))))),$G2396)))</f>
        <v/>
      </c>
    </row>
    <row r="2397">
      <c r="A2397" s="58" t="n"/>
      <c r="B2397" s="58">
        <f>IF($H2397="","",LEFT($H2397,FIND(" ",$H2397&amp;" ")-1))</f>
        <v/>
      </c>
      <c r="C2397" s="58">
        <f>IF($H2397="","",IFERROR(MID($H2397&amp;" ",FIND("|",SUBSTITUTE($H2397&amp;" "," ","|",1))+1,FIND("|",SUBSTITUTE($H2397&amp;" "," ","|",2))-FIND("|",SUBSTITUTE($H2397&amp;" "," ","|",1))-1),""))</f>
        <v/>
      </c>
      <c r="D2397" s="58">
        <f>IF($H2397="","",IFERROR(MID($H2397&amp;" ",FIND("|",SUBSTITUTE($H2397&amp;" "," ","|",2))+1,FIND("|",SUBSTITUTE($H2397&amp;" "," ","|",3))-FIND("|",SUBSTITUTE($H2397&amp;" "," ","|",2))-1),""))</f>
        <v/>
      </c>
      <c r="E2397" s="58">
        <f>IF($H2397="","",IFERROR(MID($H2397&amp;" ",FIND("|",SUBSTITUTE($H2397&amp;" "," ","|",3))+1,FIND("|",SUBSTITUTE($H2397&amp;" "," ","|",4))-FIND("|",SUBSTITUTE($H2397&amp;" "," ","|",3))-1),""))</f>
        <v/>
      </c>
      <c r="F2397" s="59">
        <f>IF($H2397="","",IFERROR(VALUE(IFERROR(MID($H2397&amp;" ",FIND("|",SUBSTITUTE($H2397&amp;" "," ","|",4))+1,FIND("|",SUBSTITUTE($H2397&amp;" "," ","|",5))-FIND("|",SUBSTITUTE($H2397&amp;" "," ","|",4))-1),""))/86400+25569+9/24,""))</f>
        <v/>
      </c>
      <c r="G2397" s="58">
        <f>TRIM(SUBSTITUTE(SUBSTITUTE(SUBSTITUTE($A2397,CHAR(9)," ")," "," "),CHAR(13),""))</f>
        <v/>
      </c>
      <c r="H2397" s="58">
        <f>IF($G2397="","",IF(ISNUMBER(FIND(" ",$G2397)),$G2397,IFERROR(IF((LEN(SUBSTITUTE(SUBSTITUTE($G2397,"-"," ",LEN($G2397)-LEN(SUBSTITUTE($G2397,"-",""))),"-"," ",LEN($G2397)-LEN(SUBSTITUTE($G2397,"-",""))-1))-LEN(SUBSTITUTE(SUBSTITUTE(SUBSTITUTE($G2397,"-"," ",LEN($G2397)-LEN(SUBSTITUTE($G2397,"-",""))),"-"," ",LEN($G2397)-LEN(SUBSTITUTE($G2397,"-",""))-1),".","")))=0,SUBSTITUTE(SUBSTITUTE($G2397,"-"," ",LEN($G2397)-LEN(SUBSTITUTE($G2397,"-",""))),"-"," ",LEN($G2397)-LEN(SUBSTITUTE($G2397,"-",""))-1),SUBSTITUTE(SUBSTITUTE(SUBSTITUTE($G2397,"-"," ",LEN($G2397)-LEN(SUBSTITUTE($G2397,"-",""))),"-"," ",LEN($G2397)-LEN(SUBSTITUTE($G2397,"-",""))-1),"."," ",(LEN(SUBSTITUTE(SUBSTITUTE($G2397,"-"," ",LEN($G2397)-LEN(SUBSTITUTE($G2397,"-",""))),"-"," ",LEN($G2397)-LEN(SUBSTITUTE($G2397,"-",""))-1))-LEN(SUBSTITUTE(SUBSTITUTE(SUBSTITUTE($G2397,"-"," ",LEN($G2397)-LEN(SUBSTITUTE($G2397,"-",""))),"-"," ",LEN($G2397)-LEN(SUBSTITUTE($G2397,"-",""))-1),".",""))))),$G2397)))</f>
        <v/>
      </c>
    </row>
    <row r="2398">
      <c r="A2398" s="58" t="n"/>
      <c r="B2398" s="58">
        <f>IF($H2398="","",LEFT($H2398,FIND(" ",$H2398&amp;" ")-1))</f>
        <v/>
      </c>
      <c r="C2398" s="58">
        <f>IF($H2398="","",IFERROR(MID($H2398&amp;" ",FIND("|",SUBSTITUTE($H2398&amp;" "," ","|",1))+1,FIND("|",SUBSTITUTE($H2398&amp;" "," ","|",2))-FIND("|",SUBSTITUTE($H2398&amp;" "," ","|",1))-1),""))</f>
        <v/>
      </c>
      <c r="D2398" s="58">
        <f>IF($H2398="","",IFERROR(MID($H2398&amp;" ",FIND("|",SUBSTITUTE($H2398&amp;" "," ","|",2))+1,FIND("|",SUBSTITUTE($H2398&amp;" "," ","|",3))-FIND("|",SUBSTITUTE($H2398&amp;" "," ","|",2))-1),""))</f>
        <v/>
      </c>
      <c r="E2398" s="58">
        <f>IF($H2398="","",IFERROR(MID($H2398&amp;" ",FIND("|",SUBSTITUTE($H2398&amp;" "," ","|",3))+1,FIND("|",SUBSTITUTE($H2398&amp;" "," ","|",4))-FIND("|",SUBSTITUTE($H2398&amp;" "," ","|",3))-1),""))</f>
        <v/>
      </c>
      <c r="F2398" s="59">
        <f>IF($H2398="","",IFERROR(VALUE(IFERROR(MID($H2398&amp;" ",FIND("|",SUBSTITUTE($H2398&amp;" "," ","|",4))+1,FIND("|",SUBSTITUTE($H2398&amp;" "," ","|",5))-FIND("|",SUBSTITUTE($H2398&amp;" "," ","|",4))-1),""))/86400+25569+9/24,""))</f>
        <v/>
      </c>
      <c r="G2398" s="58">
        <f>TRIM(SUBSTITUTE(SUBSTITUTE(SUBSTITUTE($A2398,CHAR(9)," ")," "," "),CHAR(13),""))</f>
        <v/>
      </c>
      <c r="H2398" s="58">
        <f>IF($G2398="","",IF(ISNUMBER(FIND(" ",$G2398)),$G2398,IFERROR(IF((LEN(SUBSTITUTE(SUBSTITUTE($G2398,"-"," ",LEN($G2398)-LEN(SUBSTITUTE($G2398,"-",""))),"-"," ",LEN($G2398)-LEN(SUBSTITUTE($G2398,"-",""))-1))-LEN(SUBSTITUTE(SUBSTITUTE(SUBSTITUTE($G2398,"-"," ",LEN($G2398)-LEN(SUBSTITUTE($G2398,"-",""))),"-"," ",LEN($G2398)-LEN(SUBSTITUTE($G2398,"-",""))-1),".","")))=0,SUBSTITUTE(SUBSTITUTE($G2398,"-"," ",LEN($G2398)-LEN(SUBSTITUTE($G2398,"-",""))),"-"," ",LEN($G2398)-LEN(SUBSTITUTE($G2398,"-",""))-1),SUBSTITUTE(SUBSTITUTE(SUBSTITUTE($G2398,"-"," ",LEN($G2398)-LEN(SUBSTITUTE($G2398,"-",""))),"-"," ",LEN($G2398)-LEN(SUBSTITUTE($G2398,"-",""))-1),"."," ",(LEN(SUBSTITUTE(SUBSTITUTE($G2398,"-"," ",LEN($G2398)-LEN(SUBSTITUTE($G2398,"-",""))),"-"," ",LEN($G2398)-LEN(SUBSTITUTE($G2398,"-",""))-1))-LEN(SUBSTITUTE(SUBSTITUTE(SUBSTITUTE($G2398,"-"," ",LEN($G2398)-LEN(SUBSTITUTE($G2398,"-",""))),"-"," ",LEN($G2398)-LEN(SUBSTITUTE($G2398,"-",""))-1),".",""))))),$G2398)))</f>
        <v/>
      </c>
    </row>
    <row r="2399">
      <c r="A2399" s="58" t="n"/>
      <c r="B2399" s="58">
        <f>IF($H2399="","",LEFT($H2399,FIND(" ",$H2399&amp;" ")-1))</f>
        <v/>
      </c>
      <c r="C2399" s="58">
        <f>IF($H2399="","",IFERROR(MID($H2399&amp;" ",FIND("|",SUBSTITUTE($H2399&amp;" "," ","|",1))+1,FIND("|",SUBSTITUTE($H2399&amp;" "," ","|",2))-FIND("|",SUBSTITUTE($H2399&amp;" "," ","|",1))-1),""))</f>
        <v/>
      </c>
      <c r="D2399" s="58">
        <f>IF($H2399="","",IFERROR(MID($H2399&amp;" ",FIND("|",SUBSTITUTE($H2399&amp;" "," ","|",2))+1,FIND("|",SUBSTITUTE($H2399&amp;" "," ","|",3))-FIND("|",SUBSTITUTE($H2399&amp;" "," ","|",2))-1),""))</f>
        <v/>
      </c>
      <c r="E2399" s="58">
        <f>IF($H2399="","",IFERROR(MID($H2399&amp;" ",FIND("|",SUBSTITUTE($H2399&amp;" "," ","|",3))+1,FIND("|",SUBSTITUTE($H2399&amp;" "," ","|",4))-FIND("|",SUBSTITUTE($H2399&amp;" "," ","|",3))-1),""))</f>
        <v/>
      </c>
      <c r="F2399" s="59">
        <f>IF($H2399="","",IFERROR(VALUE(IFERROR(MID($H2399&amp;" ",FIND("|",SUBSTITUTE($H2399&amp;" "," ","|",4))+1,FIND("|",SUBSTITUTE($H2399&amp;" "," ","|",5))-FIND("|",SUBSTITUTE($H2399&amp;" "," ","|",4))-1),""))/86400+25569+9/24,""))</f>
        <v/>
      </c>
      <c r="G2399" s="58">
        <f>TRIM(SUBSTITUTE(SUBSTITUTE(SUBSTITUTE($A2399,CHAR(9)," ")," "," "),CHAR(13),""))</f>
        <v/>
      </c>
      <c r="H2399" s="58">
        <f>IF($G2399="","",IF(ISNUMBER(FIND(" ",$G2399)),$G2399,IFERROR(IF((LEN(SUBSTITUTE(SUBSTITUTE($G2399,"-"," ",LEN($G2399)-LEN(SUBSTITUTE($G2399,"-",""))),"-"," ",LEN($G2399)-LEN(SUBSTITUTE($G2399,"-",""))-1))-LEN(SUBSTITUTE(SUBSTITUTE(SUBSTITUTE($G2399,"-"," ",LEN($G2399)-LEN(SUBSTITUTE($G2399,"-",""))),"-"," ",LEN($G2399)-LEN(SUBSTITUTE($G2399,"-",""))-1),".","")))=0,SUBSTITUTE(SUBSTITUTE($G2399,"-"," ",LEN($G2399)-LEN(SUBSTITUTE($G2399,"-",""))),"-"," ",LEN($G2399)-LEN(SUBSTITUTE($G2399,"-",""))-1),SUBSTITUTE(SUBSTITUTE(SUBSTITUTE($G2399,"-"," ",LEN($G2399)-LEN(SUBSTITUTE($G2399,"-",""))),"-"," ",LEN($G2399)-LEN(SUBSTITUTE($G2399,"-",""))-1),"."," ",(LEN(SUBSTITUTE(SUBSTITUTE($G2399,"-"," ",LEN($G2399)-LEN(SUBSTITUTE($G2399,"-",""))),"-"," ",LEN($G2399)-LEN(SUBSTITUTE($G2399,"-",""))-1))-LEN(SUBSTITUTE(SUBSTITUTE(SUBSTITUTE($G2399,"-"," ",LEN($G2399)-LEN(SUBSTITUTE($G2399,"-",""))),"-"," ",LEN($G2399)-LEN(SUBSTITUTE($G2399,"-",""))-1),".",""))))),$G2399)))</f>
        <v/>
      </c>
    </row>
    <row r="2400">
      <c r="A2400" s="58" t="n"/>
      <c r="B2400" s="58">
        <f>IF($H2400="","",LEFT($H2400,FIND(" ",$H2400&amp;" ")-1))</f>
        <v/>
      </c>
      <c r="C2400" s="58">
        <f>IF($H2400="","",IFERROR(MID($H2400&amp;" ",FIND("|",SUBSTITUTE($H2400&amp;" "," ","|",1))+1,FIND("|",SUBSTITUTE($H2400&amp;" "," ","|",2))-FIND("|",SUBSTITUTE($H2400&amp;" "," ","|",1))-1),""))</f>
        <v/>
      </c>
      <c r="D2400" s="58">
        <f>IF($H2400="","",IFERROR(MID($H2400&amp;" ",FIND("|",SUBSTITUTE($H2400&amp;" "," ","|",2))+1,FIND("|",SUBSTITUTE($H2400&amp;" "," ","|",3))-FIND("|",SUBSTITUTE($H2400&amp;" "," ","|",2))-1),""))</f>
        <v/>
      </c>
      <c r="E2400" s="58">
        <f>IF($H2400="","",IFERROR(MID($H2400&amp;" ",FIND("|",SUBSTITUTE($H2400&amp;" "," ","|",3))+1,FIND("|",SUBSTITUTE($H2400&amp;" "," ","|",4))-FIND("|",SUBSTITUTE($H2400&amp;" "," ","|",3))-1),""))</f>
        <v/>
      </c>
      <c r="F2400" s="59">
        <f>IF($H2400="","",IFERROR(VALUE(IFERROR(MID($H2400&amp;" ",FIND("|",SUBSTITUTE($H2400&amp;" "," ","|",4))+1,FIND("|",SUBSTITUTE($H2400&amp;" "," ","|",5))-FIND("|",SUBSTITUTE($H2400&amp;" "," ","|",4))-1),""))/86400+25569+9/24,""))</f>
        <v/>
      </c>
      <c r="G2400" s="58">
        <f>TRIM(SUBSTITUTE(SUBSTITUTE(SUBSTITUTE($A2400,CHAR(9)," ")," "," "),CHAR(13),""))</f>
        <v/>
      </c>
      <c r="H2400" s="58">
        <f>IF($G2400="","",IF(ISNUMBER(FIND(" ",$G2400)),$G2400,IFERROR(IF((LEN(SUBSTITUTE(SUBSTITUTE($G2400,"-"," ",LEN($G2400)-LEN(SUBSTITUTE($G2400,"-",""))),"-"," ",LEN($G2400)-LEN(SUBSTITUTE($G2400,"-",""))-1))-LEN(SUBSTITUTE(SUBSTITUTE(SUBSTITUTE($G2400,"-"," ",LEN($G2400)-LEN(SUBSTITUTE($G2400,"-",""))),"-"," ",LEN($G2400)-LEN(SUBSTITUTE($G2400,"-",""))-1),".","")))=0,SUBSTITUTE(SUBSTITUTE($G2400,"-"," ",LEN($G2400)-LEN(SUBSTITUTE($G2400,"-",""))),"-"," ",LEN($G2400)-LEN(SUBSTITUTE($G2400,"-",""))-1),SUBSTITUTE(SUBSTITUTE(SUBSTITUTE($G2400,"-"," ",LEN($G2400)-LEN(SUBSTITUTE($G2400,"-",""))),"-"," ",LEN($G2400)-LEN(SUBSTITUTE($G2400,"-",""))-1),"."," ",(LEN(SUBSTITUTE(SUBSTITUTE($G2400,"-"," ",LEN($G2400)-LEN(SUBSTITUTE($G2400,"-",""))),"-"," ",LEN($G2400)-LEN(SUBSTITUTE($G2400,"-",""))-1))-LEN(SUBSTITUTE(SUBSTITUTE(SUBSTITUTE($G2400,"-"," ",LEN($G2400)-LEN(SUBSTITUTE($G2400,"-",""))),"-"," ",LEN($G2400)-LEN(SUBSTITUTE($G2400,"-",""))-1),".",""))))),$G2400)))</f>
        <v/>
      </c>
    </row>
    <row r="2401">
      <c r="A2401" s="58" t="n"/>
      <c r="B2401" s="58">
        <f>IF($H2401="","",LEFT($H2401,FIND(" ",$H2401&amp;" ")-1))</f>
        <v/>
      </c>
      <c r="C2401" s="58">
        <f>IF($H2401="","",IFERROR(MID($H2401&amp;" ",FIND("|",SUBSTITUTE($H2401&amp;" "," ","|",1))+1,FIND("|",SUBSTITUTE($H2401&amp;" "," ","|",2))-FIND("|",SUBSTITUTE($H2401&amp;" "," ","|",1))-1),""))</f>
        <v/>
      </c>
      <c r="D2401" s="58">
        <f>IF($H2401="","",IFERROR(MID($H2401&amp;" ",FIND("|",SUBSTITUTE($H2401&amp;" "," ","|",2))+1,FIND("|",SUBSTITUTE($H2401&amp;" "," ","|",3))-FIND("|",SUBSTITUTE($H2401&amp;" "," ","|",2))-1),""))</f>
        <v/>
      </c>
      <c r="E2401" s="58">
        <f>IF($H2401="","",IFERROR(MID($H2401&amp;" ",FIND("|",SUBSTITUTE($H2401&amp;" "," ","|",3))+1,FIND("|",SUBSTITUTE($H2401&amp;" "," ","|",4))-FIND("|",SUBSTITUTE($H2401&amp;" "," ","|",3))-1),""))</f>
        <v/>
      </c>
      <c r="F2401" s="59">
        <f>IF($H2401="","",IFERROR(VALUE(IFERROR(MID($H2401&amp;" ",FIND("|",SUBSTITUTE($H2401&amp;" "," ","|",4))+1,FIND("|",SUBSTITUTE($H2401&amp;" "," ","|",5))-FIND("|",SUBSTITUTE($H2401&amp;" "," ","|",4))-1),""))/86400+25569+9/24,""))</f>
        <v/>
      </c>
      <c r="G2401" s="58">
        <f>TRIM(SUBSTITUTE(SUBSTITUTE(SUBSTITUTE($A2401,CHAR(9)," ")," "," "),CHAR(13),""))</f>
        <v/>
      </c>
      <c r="H2401" s="58">
        <f>IF($G2401="","",IF(ISNUMBER(FIND(" ",$G2401)),$G2401,IFERROR(IF((LEN(SUBSTITUTE(SUBSTITUTE($G2401,"-"," ",LEN($G2401)-LEN(SUBSTITUTE($G2401,"-",""))),"-"," ",LEN($G2401)-LEN(SUBSTITUTE($G2401,"-",""))-1))-LEN(SUBSTITUTE(SUBSTITUTE(SUBSTITUTE($G2401,"-"," ",LEN($G2401)-LEN(SUBSTITUTE($G2401,"-",""))),"-"," ",LEN($G2401)-LEN(SUBSTITUTE($G2401,"-",""))-1),".","")))=0,SUBSTITUTE(SUBSTITUTE($G2401,"-"," ",LEN($G2401)-LEN(SUBSTITUTE($G2401,"-",""))),"-"," ",LEN($G2401)-LEN(SUBSTITUTE($G2401,"-",""))-1),SUBSTITUTE(SUBSTITUTE(SUBSTITUTE($G2401,"-"," ",LEN($G2401)-LEN(SUBSTITUTE($G2401,"-",""))),"-"," ",LEN($G2401)-LEN(SUBSTITUTE($G2401,"-",""))-1),"."," ",(LEN(SUBSTITUTE(SUBSTITUTE($G2401,"-"," ",LEN($G2401)-LEN(SUBSTITUTE($G2401,"-",""))),"-"," ",LEN($G2401)-LEN(SUBSTITUTE($G2401,"-",""))-1))-LEN(SUBSTITUTE(SUBSTITUTE(SUBSTITUTE($G2401,"-"," ",LEN($G2401)-LEN(SUBSTITUTE($G2401,"-",""))),"-"," ",LEN($G2401)-LEN(SUBSTITUTE($G2401,"-",""))-1),".",""))))),$G2401)))</f>
        <v/>
      </c>
    </row>
    <row r="2402">
      <c r="A2402" s="58" t="n"/>
      <c r="B2402" s="58">
        <f>IF($H2402="","",LEFT($H2402,FIND(" ",$H2402&amp;" ")-1))</f>
        <v/>
      </c>
      <c r="C2402" s="58">
        <f>IF($H2402="","",IFERROR(MID($H2402&amp;" ",FIND("|",SUBSTITUTE($H2402&amp;" "," ","|",1))+1,FIND("|",SUBSTITUTE($H2402&amp;" "," ","|",2))-FIND("|",SUBSTITUTE($H2402&amp;" "," ","|",1))-1),""))</f>
        <v/>
      </c>
      <c r="D2402" s="58">
        <f>IF($H2402="","",IFERROR(MID($H2402&amp;" ",FIND("|",SUBSTITUTE($H2402&amp;" "," ","|",2))+1,FIND("|",SUBSTITUTE($H2402&amp;" "," ","|",3))-FIND("|",SUBSTITUTE($H2402&amp;" "," ","|",2))-1),""))</f>
        <v/>
      </c>
      <c r="E2402" s="58">
        <f>IF($H2402="","",IFERROR(MID($H2402&amp;" ",FIND("|",SUBSTITUTE($H2402&amp;" "," ","|",3))+1,FIND("|",SUBSTITUTE($H2402&amp;" "," ","|",4))-FIND("|",SUBSTITUTE($H2402&amp;" "," ","|",3))-1),""))</f>
        <v/>
      </c>
      <c r="F2402" s="59">
        <f>IF($H2402="","",IFERROR(VALUE(IFERROR(MID($H2402&amp;" ",FIND("|",SUBSTITUTE($H2402&amp;" "," ","|",4))+1,FIND("|",SUBSTITUTE($H2402&amp;" "," ","|",5))-FIND("|",SUBSTITUTE($H2402&amp;" "," ","|",4))-1),""))/86400+25569+9/24,""))</f>
        <v/>
      </c>
      <c r="G2402" s="58">
        <f>TRIM(SUBSTITUTE(SUBSTITUTE(SUBSTITUTE($A2402,CHAR(9)," ")," "," "),CHAR(13),""))</f>
        <v/>
      </c>
      <c r="H2402" s="58">
        <f>IF($G2402="","",IF(ISNUMBER(FIND(" ",$G2402)),$G2402,IFERROR(IF((LEN(SUBSTITUTE(SUBSTITUTE($G2402,"-"," ",LEN($G2402)-LEN(SUBSTITUTE($G2402,"-",""))),"-"," ",LEN($G2402)-LEN(SUBSTITUTE($G2402,"-",""))-1))-LEN(SUBSTITUTE(SUBSTITUTE(SUBSTITUTE($G2402,"-"," ",LEN($G2402)-LEN(SUBSTITUTE($G2402,"-",""))),"-"," ",LEN($G2402)-LEN(SUBSTITUTE($G2402,"-",""))-1),".","")))=0,SUBSTITUTE(SUBSTITUTE($G2402,"-"," ",LEN($G2402)-LEN(SUBSTITUTE($G2402,"-",""))),"-"," ",LEN($G2402)-LEN(SUBSTITUTE($G2402,"-",""))-1),SUBSTITUTE(SUBSTITUTE(SUBSTITUTE($G2402,"-"," ",LEN($G2402)-LEN(SUBSTITUTE($G2402,"-",""))),"-"," ",LEN($G2402)-LEN(SUBSTITUTE($G2402,"-",""))-1),"."," ",(LEN(SUBSTITUTE(SUBSTITUTE($G2402,"-"," ",LEN($G2402)-LEN(SUBSTITUTE($G2402,"-",""))),"-"," ",LEN($G2402)-LEN(SUBSTITUTE($G2402,"-",""))-1))-LEN(SUBSTITUTE(SUBSTITUTE(SUBSTITUTE($G2402,"-"," ",LEN($G2402)-LEN(SUBSTITUTE($G2402,"-",""))),"-"," ",LEN($G2402)-LEN(SUBSTITUTE($G2402,"-",""))-1),".",""))))),$G2402)))</f>
        <v/>
      </c>
    </row>
    <row r="2403">
      <c r="A2403" s="58" t="n"/>
      <c r="B2403" s="58">
        <f>IF($H2403="","",LEFT($H2403,FIND(" ",$H2403&amp;" ")-1))</f>
        <v/>
      </c>
      <c r="C2403" s="58">
        <f>IF($H2403="","",IFERROR(MID($H2403&amp;" ",FIND("|",SUBSTITUTE($H2403&amp;" "," ","|",1))+1,FIND("|",SUBSTITUTE($H2403&amp;" "," ","|",2))-FIND("|",SUBSTITUTE($H2403&amp;" "," ","|",1))-1),""))</f>
        <v/>
      </c>
      <c r="D2403" s="58">
        <f>IF($H2403="","",IFERROR(MID($H2403&amp;" ",FIND("|",SUBSTITUTE($H2403&amp;" "," ","|",2))+1,FIND("|",SUBSTITUTE($H2403&amp;" "," ","|",3))-FIND("|",SUBSTITUTE($H2403&amp;" "," ","|",2))-1),""))</f>
        <v/>
      </c>
      <c r="E2403" s="58">
        <f>IF($H2403="","",IFERROR(MID($H2403&amp;" ",FIND("|",SUBSTITUTE($H2403&amp;" "," ","|",3))+1,FIND("|",SUBSTITUTE($H2403&amp;" "," ","|",4))-FIND("|",SUBSTITUTE($H2403&amp;" "," ","|",3))-1),""))</f>
        <v/>
      </c>
      <c r="F2403" s="59">
        <f>IF($H2403="","",IFERROR(VALUE(IFERROR(MID($H2403&amp;" ",FIND("|",SUBSTITUTE($H2403&amp;" "," ","|",4))+1,FIND("|",SUBSTITUTE($H2403&amp;" "," ","|",5))-FIND("|",SUBSTITUTE($H2403&amp;" "," ","|",4))-1),""))/86400+25569+9/24,""))</f>
        <v/>
      </c>
      <c r="G2403" s="58">
        <f>TRIM(SUBSTITUTE(SUBSTITUTE(SUBSTITUTE($A2403,CHAR(9)," ")," "," "),CHAR(13),""))</f>
        <v/>
      </c>
      <c r="H2403" s="58">
        <f>IF($G2403="","",IF(ISNUMBER(FIND(" ",$G2403)),$G2403,IFERROR(IF((LEN(SUBSTITUTE(SUBSTITUTE($G2403,"-"," ",LEN($G2403)-LEN(SUBSTITUTE($G2403,"-",""))),"-"," ",LEN($G2403)-LEN(SUBSTITUTE($G2403,"-",""))-1))-LEN(SUBSTITUTE(SUBSTITUTE(SUBSTITUTE($G2403,"-"," ",LEN($G2403)-LEN(SUBSTITUTE($G2403,"-",""))),"-"," ",LEN($G2403)-LEN(SUBSTITUTE($G2403,"-",""))-1),".","")))=0,SUBSTITUTE(SUBSTITUTE($G2403,"-"," ",LEN($G2403)-LEN(SUBSTITUTE($G2403,"-",""))),"-"," ",LEN($G2403)-LEN(SUBSTITUTE($G2403,"-",""))-1),SUBSTITUTE(SUBSTITUTE(SUBSTITUTE($G2403,"-"," ",LEN($G2403)-LEN(SUBSTITUTE($G2403,"-",""))),"-"," ",LEN($G2403)-LEN(SUBSTITUTE($G2403,"-",""))-1),"."," ",(LEN(SUBSTITUTE(SUBSTITUTE($G2403,"-"," ",LEN($G2403)-LEN(SUBSTITUTE($G2403,"-",""))),"-"," ",LEN($G2403)-LEN(SUBSTITUTE($G2403,"-",""))-1))-LEN(SUBSTITUTE(SUBSTITUTE(SUBSTITUTE($G2403,"-"," ",LEN($G2403)-LEN(SUBSTITUTE($G2403,"-",""))),"-"," ",LEN($G2403)-LEN(SUBSTITUTE($G2403,"-",""))-1),".",""))))),$G2403)))</f>
        <v/>
      </c>
    </row>
    <row r="2404">
      <c r="A2404" s="58" t="n"/>
      <c r="B2404" s="58">
        <f>IF($H2404="","",LEFT($H2404,FIND(" ",$H2404&amp;" ")-1))</f>
        <v/>
      </c>
      <c r="C2404" s="58">
        <f>IF($H2404="","",IFERROR(MID($H2404&amp;" ",FIND("|",SUBSTITUTE($H2404&amp;" "," ","|",1))+1,FIND("|",SUBSTITUTE($H2404&amp;" "," ","|",2))-FIND("|",SUBSTITUTE($H2404&amp;" "," ","|",1))-1),""))</f>
        <v/>
      </c>
      <c r="D2404" s="58">
        <f>IF($H2404="","",IFERROR(MID($H2404&amp;" ",FIND("|",SUBSTITUTE($H2404&amp;" "," ","|",2))+1,FIND("|",SUBSTITUTE($H2404&amp;" "," ","|",3))-FIND("|",SUBSTITUTE($H2404&amp;" "," ","|",2))-1),""))</f>
        <v/>
      </c>
      <c r="E2404" s="58">
        <f>IF($H2404="","",IFERROR(MID($H2404&amp;" ",FIND("|",SUBSTITUTE($H2404&amp;" "," ","|",3))+1,FIND("|",SUBSTITUTE($H2404&amp;" "," ","|",4))-FIND("|",SUBSTITUTE($H2404&amp;" "," ","|",3))-1),""))</f>
        <v/>
      </c>
      <c r="F2404" s="59">
        <f>IF($H2404="","",IFERROR(VALUE(IFERROR(MID($H2404&amp;" ",FIND("|",SUBSTITUTE($H2404&amp;" "," ","|",4))+1,FIND("|",SUBSTITUTE($H2404&amp;" "," ","|",5))-FIND("|",SUBSTITUTE($H2404&amp;" "," ","|",4))-1),""))/86400+25569+9/24,""))</f>
        <v/>
      </c>
      <c r="G2404" s="58">
        <f>TRIM(SUBSTITUTE(SUBSTITUTE(SUBSTITUTE($A2404,CHAR(9)," ")," "," "),CHAR(13),""))</f>
        <v/>
      </c>
      <c r="H2404" s="58">
        <f>IF($G2404="","",IF(ISNUMBER(FIND(" ",$G2404)),$G2404,IFERROR(IF((LEN(SUBSTITUTE(SUBSTITUTE($G2404,"-"," ",LEN($G2404)-LEN(SUBSTITUTE($G2404,"-",""))),"-"," ",LEN($G2404)-LEN(SUBSTITUTE($G2404,"-",""))-1))-LEN(SUBSTITUTE(SUBSTITUTE(SUBSTITUTE($G2404,"-"," ",LEN($G2404)-LEN(SUBSTITUTE($G2404,"-",""))),"-"," ",LEN($G2404)-LEN(SUBSTITUTE($G2404,"-",""))-1),".","")))=0,SUBSTITUTE(SUBSTITUTE($G2404,"-"," ",LEN($G2404)-LEN(SUBSTITUTE($G2404,"-",""))),"-"," ",LEN($G2404)-LEN(SUBSTITUTE($G2404,"-",""))-1),SUBSTITUTE(SUBSTITUTE(SUBSTITUTE($G2404,"-"," ",LEN($G2404)-LEN(SUBSTITUTE($G2404,"-",""))),"-"," ",LEN($G2404)-LEN(SUBSTITUTE($G2404,"-",""))-1),"."," ",(LEN(SUBSTITUTE(SUBSTITUTE($G2404,"-"," ",LEN($G2404)-LEN(SUBSTITUTE($G2404,"-",""))),"-"," ",LEN($G2404)-LEN(SUBSTITUTE($G2404,"-",""))-1))-LEN(SUBSTITUTE(SUBSTITUTE(SUBSTITUTE($G2404,"-"," ",LEN($G2404)-LEN(SUBSTITUTE($G2404,"-",""))),"-"," ",LEN($G2404)-LEN(SUBSTITUTE($G2404,"-",""))-1),".",""))))),$G2404)))</f>
        <v/>
      </c>
    </row>
    <row r="2405">
      <c r="A2405" s="58" t="n"/>
      <c r="B2405" s="58">
        <f>IF($H2405="","",LEFT($H2405,FIND(" ",$H2405&amp;" ")-1))</f>
        <v/>
      </c>
      <c r="C2405" s="58">
        <f>IF($H2405="","",IFERROR(MID($H2405&amp;" ",FIND("|",SUBSTITUTE($H2405&amp;" "," ","|",1))+1,FIND("|",SUBSTITUTE($H2405&amp;" "," ","|",2))-FIND("|",SUBSTITUTE($H2405&amp;" "," ","|",1))-1),""))</f>
        <v/>
      </c>
      <c r="D2405" s="58">
        <f>IF($H2405="","",IFERROR(MID($H2405&amp;" ",FIND("|",SUBSTITUTE($H2405&amp;" "," ","|",2))+1,FIND("|",SUBSTITUTE($H2405&amp;" "," ","|",3))-FIND("|",SUBSTITUTE($H2405&amp;" "," ","|",2))-1),""))</f>
        <v/>
      </c>
      <c r="E2405" s="58">
        <f>IF($H2405="","",IFERROR(MID($H2405&amp;" ",FIND("|",SUBSTITUTE($H2405&amp;" "," ","|",3))+1,FIND("|",SUBSTITUTE($H2405&amp;" "," ","|",4))-FIND("|",SUBSTITUTE($H2405&amp;" "," ","|",3))-1),""))</f>
        <v/>
      </c>
      <c r="F2405" s="59">
        <f>IF($H2405="","",IFERROR(VALUE(IFERROR(MID($H2405&amp;" ",FIND("|",SUBSTITUTE($H2405&amp;" "," ","|",4))+1,FIND("|",SUBSTITUTE($H2405&amp;" "," ","|",5))-FIND("|",SUBSTITUTE($H2405&amp;" "," ","|",4))-1),""))/86400+25569+9/24,""))</f>
        <v/>
      </c>
      <c r="G2405" s="58">
        <f>TRIM(SUBSTITUTE(SUBSTITUTE(SUBSTITUTE($A2405,CHAR(9)," ")," "," "),CHAR(13),""))</f>
        <v/>
      </c>
      <c r="H2405" s="58">
        <f>IF($G2405="","",IF(ISNUMBER(FIND(" ",$G2405)),$G2405,IFERROR(IF((LEN(SUBSTITUTE(SUBSTITUTE($G2405,"-"," ",LEN($G2405)-LEN(SUBSTITUTE($G2405,"-",""))),"-"," ",LEN($G2405)-LEN(SUBSTITUTE($G2405,"-",""))-1))-LEN(SUBSTITUTE(SUBSTITUTE(SUBSTITUTE($G2405,"-"," ",LEN($G2405)-LEN(SUBSTITUTE($G2405,"-",""))),"-"," ",LEN($G2405)-LEN(SUBSTITUTE($G2405,"-",""))-1),".","")))=0,SUBSTITUTE(SUBSTITUTE($G2405,"-"," ",LEN($G2405)-LEN(SUBSTITUTE($G2405,"-",""))),"-"," ",LEN($G2405)-LEN(SUBSTITUTE($G2405,"-",""))-1),SUBSTITUTE(SUBSTITUTE(SUBSTITUTE($G2405,"-"," ",LEN($G2405)-LEN(SUBSTITUTE($G2405,"-",""))),"-"," ",LEN($G2405)-LEN(SUBSTITUTE($G2405,"-",""))-1),"."," ",(LEN(SUBSTITUTE(SUBSTITUTE($G2405,"-"," ",LEN($G2405)-LEN(SUBSTITUTE($G2405,"-",""))),"-"," ",LEN($G2405)-LEN(SUBSTITUTE($G2405,"-",""))-1))-LEN(SUBSTITUTE(SUBSTITUTE(SUBSTITUTE($G2405,"-"," ",LEN($G2405)-LEN(SUBSTITUTE($G2405,"-",""))),"-"," ",LEN($G2405)-LEN(SUBSTITUTE($G2405,"-",""))-1),".",""))))),$G2405)))</f>
        <v/>
      </c>
    </row>
    <row r="2406">
      <c r="A2406" s="58" t="n"/>
      <c r="B2406" s="58">
        <f>IF($H2406="","",LEFT($H2406,FIND(" ",$H2406&amp;" ")-1))</f>
        <v/>
      </c>
      <c r="C2406" s="58">
        <f>IF($H2406="","",IFERROR(MID($H2406&amp;" ",FIND("|",SUBSTITUTE($H2406&amp;" "," ","|",1))+1,FIND("|",SUBSTITUTE($H2406&amp;" "," ","|",2))-FIND("|",SUBSTITUTE($H2406&amp;" "," ","|",1))-1),""))</f>
        <v/>
      </c>
      <c r="D2406" s="58">
        <f>IF($H2406="","",IFERROR(MID($H2406&amp;" ",FIND("|",SUBSTITUTE($H2406&amp;" "," ","|",2))+1,FIND("|",SUBSTITUTE($H2406&amp;" "," ","|",3))-FIND("|",SUBSTITUTE($H2406&amp;" "," ","|",2))-1),""))</f>
        <v/>
      </c>
      <c r="E2406" s="58">
        <f>IF($H2406="","",IFERROR(MID($H2406&amp;" ",FIND("|",SUBSTITUTE($H2406&amp;" "," ","|",3))+1,FIND("|",SUBSTITUTE($H2406&amp;" "," ","|",4))-FIND("|",SUBSTITUTE($H2406&amp;" "," ","|",3))-1),""))</f>
        <v/>
      </c>
      <c r="F2406" s="59">
        <f>IF($H2406="","",IFERROR(VALUE(IFERROR(MID($H2406&amp;" ",FIND("|",SUBSTITUTE($H2406&amp;" "," ","|",4))+1,FIND("|",SUBSTITUTE($H2406&amp;" "," ","|",5))-FIND("|",SUBSTITUTE($H2406&amp;" "," ","|",4))-1),""))/86400+25569+9/24,""))</f>
        <v/>
      </c>
      <c r="G2406" s="58">
        <f>TRIM(SUBSTITUTE(SUBSTITUTE(SUBSTITUTE($A2406,CHAR(9)," ")," "," "),CHAR(13),""))</f>
        <v/>
      </c>
      <c r="H2406" s="58">
        <f>IF($G2406="","",IF(ISNUMBER(FIND(" ",$G2406)),$G2406,IFERROR(IF((LEN(SUBSTITUTE(SUBSTITUTE($G2406,"-"," ",LEN($G2406)-LEN(SUBSTITUTE($G2406,"-",""))),"-"," ",LEN($G2406)-LEN(SUBSTITUTE($G2406,"-",""))-1))-LEN(SUBSTITUTE(SUBSTITUTE(SUBSTITUTE($G2406,"-"," ",LEN($G2406)-LEN(SUBSTITUTE($G2406,"-",""))),"-"," ",LEN($G2406)-LEN(SUBSTITUTE($G2406,"-",""))-1),".","")))=0,SUBSTITUTE(SUBSTITUTE($G2406,"-"," ",LEN($G2406)-LEN(SUBSTITUTE($G2406,"-",""))),"-"," ",LEN($G2406)-LEN(SUBSTITUTE($G2406,"-",""))-1),SUBSTITUTE(SUBSTITUTE(SUBSTITUTE($G2406,"-"," ",LEN($G2406)-LEN(SUBSTITUTE($G2406,"-",""))),"-"," ",LEN($G2406)-LEN(SUBSTITUTE($G2406,"-",""))-1),"."," ",(LEN(SUBSTITUTE(SUBSTITUTE($G2406,"-"," ",LEN($G2406)-LEN(SUBSTITUTE($G2406,"-",""))),"-"," ",LEN($G2406)-LEN(SUBSTITUTE($G2406,"-",""))-1))-LEN(SUBSTITUTE(SUBSTITUTE(SUBSTITUTE($G2406,"-"," ",LEN($G2406)-LEN(SUBSTITUTE($G2406,"-",""))),"-"," ",LEN($G2406)-LEN(SUBSTITUTE($G2406,"-",""))-1),".",""))))),$G2406)))</f>
        <v/>
      </c>
    </row>
    <row r="2407">
      <c r="A2407" s="58" t="n"/>
      <c r="B2407" s="58">
        <f>IF($H2407="","",LEFT($H2407,FIND(" ",$H2407&amp;" ")-1))</f>
        <v/>
      </c>
      <c r="C2407" s="58">
        <f>IF($H2407="","",IFERROR(MID($H2407&amp;" ",FIND("|",SUBSTITUTE($H2407&amp;" "," ","|",1))+1,FIND("|",SUBSTITUTE($H2407&amp;" "," ","|",2))-FIND("|",SUBSTITUTE($H2407&amp;" "," ","|",1))-1),""))</f>
        <v/>
      </c>
      <c r="D2407" s="58">
        <f>IF($H2407="","",IFERROR(MID($H2407&amp;" ",FIND("|",SUBSTITUTE($H2407&amp;" "," ","|",2))+1,FIND("|",SUBSTITUTE($H2407&amp;" "," ","|",3))-FIND("|",SUBSTITUTE($H2407&amp;" "," ","|",2))-1),""))</f>
        <v/>
      </c>
      <c r="E2407" s="58">
        <f>IF($H2407="","",IFERROR(MID($H2407&amp;" ",FIND("|",SUBSTITUTE($H2407&amp;" "," ","|",3))+1,FIND("|",SUBSTITUTE($H2407&amp;" "," ","|",4))-FIND("|",SUBSTITUTE($H2407&amp;" "," ","|",3))-1),""))</f>
        <v/>
      </c>
      <c r="F2407" s="59">
        <f>IF($H2407="","",IFERROR(VALUE(IFERROR(MID($H2407&amp;" ",FIND("|",SUBSTITUTE($H2407&amp;" "," ","|",4))+1,FIND("|",SUBSTITUTE($H2407&amp;" "," ","|",5))-FIND("|",SUBSTITUTE($H2407&amp;" "," ","|",4))-1),""))/86400+25569+9/24,""))</f>
        <v/>
      </c>
      <c r="G2407" s="58">
        <f>TRIM(SUBSTITUTE(SUBSTITUTE(SUBSTITUTE($A2407,CHAR(9)," ")," "," "),CHAR(13),""))</f>
        <v/>
      </c>
      <c r="H2407" s="58">
        <f>IF($G2407="","",IF(ISNUMBER(FIND(" ",$G2407)),$G2407,IFERROR(IF((LEN(SUBSTITUTE(SUBSTITUTE($G2407,"-"," ",LEN($G2407)-LEN(SUBSTITUTE($G2407,"-",""))),"-"," ",LEN($G2407)-LEN(SUBSTITUTE($G2407,"-",""))-1))-LEN(SUBSTITUTE(SUBSTITUTE(SUBSTITUTE($G2407,"-"," ",LEN($G2407)-LEN(SUBSTITUTE($G2407,"-",""))),"-"," ",LEN($G2407)-LEN(SUBSTITUTE($G2407,"-",""))-1),".","")))=0,SUBSTITUTE(SUBSTITUTE($G2407,"-"," ",LEN($G2407)-LEN(SUBSTITUTE($G2407,"-",""))),"-"," ",LEN($G2407)-LEN(SUBSTITUTE($G2407,"-",""))-1),SUBSTITUTE(SUBSTITUTE(SUBSTITUTE($G2407,"-"," ",LEN($G2407)-LEN(SUBSTITUTE($G2407,"-",""))),"-"," ",LEN($G2407)-LEN(SUBSTITUTE($G2407,"-",""))-1),"."," ",(LEN(SUBSTITUTE(SUBSTITUTE($G2407,"-"," ",LEN($G2407)-LEN(SUBSTITUTE($G2407,"-",""))),"-"," ",LEN($G2407)-LEN(SUBSTITUTE($G2407,"-",""))-1))-LEN(SUBSTITUTE(SUBSTITUTE(SUBSTITUTE($G2407,"-"," ",LEN($G2407)-LEN(SUBSTITUTE($G2407,"-",""))),"-"," ",LEN($G2407)-LEN(SUBSTITUTE($G2407,"-",""))-1),".",""))))),$G2407)))</f>
        <v/>
      </c>
    </row>
    <row r="2408">
      <c r="A2408" s="58" t="n"/>
      <c r="B2408" s="58">
        <f>IF($H2408="","",LEFT($H2408,FIND(" ",$H2408&amp;" ")-1))</f>
        <v/>
      </c>
      <c r="C2408" s="58">
        <f>IF($H2408="","",IFERROR(MID($H2408&amp;" ",FIND("|",SUBSTITUTE($H2408&amp;" "," ","|",1))+1,FIND("|",SUBSTITUTE($H2408&amp;" "," ","|",2))-FIND("|",SUBSTITUTE($H2408&amp;" "," ","|",1))-1),""))</f>
        <v/>
      </c>
      <c r="D2408" s="58">
        <f>IF($H2408="","",IFERROR(MID($H2408&amp;" ",FIND("|",SUBSTITUTE($H2408&amp;" "," ","|",2))+1,FIND("|",SUBSTITUTE($H2408&amp;" "," ","|",3))-FIND("|",SUBSTITUTE($H2408&amp;" "," ","|",2))-1),""))</f>
        <v/>
      </c>
      <c r="E2408" s="58">
        <f>IF($H2408="","",IFERROR(MID($H2408&amp;" ",FIND("|",SUBSTITUTE($H2408&amp;" "," ","|",3))+1,FIND("|",SUBSTITUTE($H2408&amp;" "," ","|",4))-FIND("|",SUBSTITUTE($H2408&amp;" "," ","|",3))-1),""))</f>
        <v/>
      </c>
      <c r="F2408" s="59">
        <f>IF($H2408="","",IFERROR(VALUE(IFERROR(MID($H2408&amp;" ",FIND("|",SUBSTITUTE($H2408&amp;" "," ","|",4))+1,FIND("|",SUBSTITUTE($H2408&amp;" "," ","|",5))-FIND("|",SUBSTITUTE($H2408&amp;" "," ","|",4))-1),""))/86400+25569+9/24,""))</f>
        <v/>
      </c>
      <c r="G2408" s="58">
        <f>TRIM(SUBSTITUTE(SUBSTITUTE(SUBSTITUTE($A2408,CHAR(9)," ")," "," "),CHAR(13),""))</f>
        <v/>
      </c>
      <c r="H2408" s="58">
        <f>IF($G2408="","",IF(ISNUMBER(FIND(" ",$G2408)),$G2408,IFERROR(IF((LEN(SUBSTITUTE(SUBSTITUTE($G2408,"-"," ",LEN($G2408)-LEN(SUBSTITUTE($G2408,"-",""))),"-"," ",LEN($G2408)-LEN(SUBSTITUTE($G2408,"-",""))-1))-LEN(SUBSTITUTE(SUBSTITUTE(SUBSTITUTE($G2408,"-"," ",LEN($G2408)-LEN(SUBSTITUTE($G2408,"-",""))),"-"," ",LEN($G2408)-LEN(SUBSTITUTE($G2408,"-",""))-1),".","")))=0,SUBSTITUTE(SUBSTITUTE($G2408,"-"," ",LEN($G2408)-LEN(SUBSTITUTE($G2408,"-",""))),"-"," ",LEN($G2408)-LEN(SUBSTITUTE($G2408,"-",""))-1),SUBSTITUTE(SUBSTITUTE(SUBSTITUTE($G2408,"-"," ",LEN($G2408)-LEN(SUBSTITUTE($G2408,"-",""))),"-"," ",LEN($G2408)-LEN(SUBSTITUTE($G2408,"-",""))-1),"."," ",(LEN(SUBSTITUTE(SUBSTITUTE($G2408,"-"," ",LEN($G2408)-LEN(SUBSTITUTE($G2408,"-",""))),"-"," ",LEN($G2408)-LEN(SUBSTITUTE($G2408,"-",""))-1))-LEN(SUBSTITUTE(SUBSTITUTE(SUBSTITUTE($G2408,"-"," ",LEN($G2408)-LEN(SUBSTITUTE($G2408,"-",""))),"-"," ",LEN($G2408)-LEN(SUBSTITUTE($G2408,"-",""))-1),".",""))))),$G2408)))</f>
        <v/>
      </c>
    </row>
    <row r="2409">
      <c r="A2409" s="58" t="n"/>
      <c r="B2409" s="58">
        <f>IF($H2409="","",LEFT($H2409,FIND(" ",$H2409&amp;" ")-1))</f>
        <v/>
      </c>
      <c r="C2409" s="58">
        <f>IF($H2409="","",IFERROR(MID($H2409&amp;" ",FIND("|",SUBSTITUTE($H2409&amp;" "," ","|",1))+1,FIND("|",SUBSTITUTE($H2409&amp;" "," ","|",2))-FIND("|",SUBSTITUTE($H2409&amp;" "," ","|",1))-1),""))</f>
        <v/>
      </c>
      <c r="D2409" s="58">
        <f>IF($H2409="","",IFERROR(MID($H2409&amp;" ",FIND("|",SUBSTITUTE($H2409&amp;" "," ","|",2))+1,FIND("|",SUBSTITUTE($H2409&amp;" "," ","|",3))-FIND("|",SUBSTITUTE($H2409&amp;" "," ","|",2))-1),""))</f>
        <v/>
      </c>
      <c r="E2409" s="58">
        <f>IF($H2409="","",IFERROR(MID($H2409&amp;" ",FIND("|",SUBSTITUTE($H2409&amp;" "," ","|",3))+1,FIND("|",SUBSTITUTE($H2409&amp;" "," ","|",4))-FIND("|",SUBSTITUTE($H2409&amp;" "," ","|",3))-1),""))</f>
        <v/>
      </c>
      <c r="F2409" s="59">
        <f>IF($H2409="","",IFERROR(VALUE(IFERROR(MID($H2409&amp;" ",FIND("|",SUBSTITUTE($H2409&amp;" "," ","|",4))+1,FIND("|",SUBSTITUTE($H2409&amp;" "," ","|",5))-FIND("|",SUBSTITUTE($H2409&amp;" "," ","|",4))-1),""))/86400+25569+9/24,""))</f>
        <v/>
      </c>
      <c r="G2409" s="58">
        <f>TRIM(SUBSTITUTE(SUBSTITUTE(SUBSTITUTE($A2409,CHAR(9)," ")," "," "),CHAR(13),""))</f>
        <v/>
      </c>
      <c r="H2409" s="58">
        <f>IF($G2409="","",IF(ISNUMBER(FIND(" ",$G2409)),$G2409,IFERROR(IF((LEN(SUBSTITUTE(SUBSTITUTE($G2409,"-"," ",LEN($G2409)-LEN(SUBSTITUTE($G2409,"-",""))),"-"," ",LEN($G2409)-LEN(SUBSTITUTE($G2409,"-",""))-1))-LEN(SUBSTITUTE(SUBSTITUTE(SUBSTITUTE($G2409,"-"," ",LEN($G2409)-LEN(SUBSTITUTE($G2409,"-",""))),"-"," ",LEN($G2409)-LEN(SUBSTITUTE($G2409,"-",""))-1),".","")))=0,SUBSTITUTE(SUBSTITUTE($G2409,"-"," ",LEN($G2409)-LEN(SUBSTITUTE($G2409,"-",""))),"-"," ",LEN($G2409)-LEN(SUBSTITUTE($G2409,"-",""))-1),SUBSTITUTE(SUBSTITUTE(SUBSTITUTE($G2409,"-"," ",LEN($G2409)-LEN(SUBSTITUTE($G2409,"-",""))),"-"," ",LEN($G2409)-LEN(SUBSTITUTE($G2409,"-",""))-1),"."," ",(LEN(SUBSTITUTE(SUBSTITUTE($G2409,"-"," ",LEN($G2409)-LEN(SUBSTITUTE($G2409,"-",""))),"-"," ",LEN($G2409)-LEN(SUBSTITUTE($G2409,"-",""))-1))-LEN(SUBSTITUTE(SUBSTITUTE(SUBSTITUTE($G2409,"-"," ",LEN($G2409)-LEN(SUBSTITUTE($G2409,"-",""))),"-"," ",LEN($G2409)-LEN(SUBSTITUTE($G2409,"-",""))-1),".",""))))),$G2409)))</f>
        <v/>
      </c>
    </row>
    <row r="2410">
      <c r="A2410" s="58" t="n"/>
      <c r="B2410" s="58">
        <f>IF($H2410="","",LEFT($H2410,FIND(" ",$H2410&amp;" ")-1))</f>
        <v/>
      </c>
      <c r="C2410" s="58">
        <f>IF($H2410="","",IFERROR(MID($H2410&amp;" ",FIND("|",SUBSTITUTE($H2410&amp;" "," ","|",1))+1,FIND("|",SUBSTITUTE($H2410&amp;" "," ","|",2))-FIND("|",SUBSTITUTE($H2410&amp;" "," ","|",1))-1),""))</f>
        <v/>
      </c>
      <c r="D2410" s="58">
        <f>IF($H2410="","",IFERROR(MID($H2410&amp;" ",FIND("|",SUBSTITUTE($H2410&amp;" "," ","|",2))+1,FIND("|",SUBSTITUTE($H2410&amp;" "," ","|",3))-FIND("|",SUBSTITUTE($H2410&amp;" "," ","|",2))-1),""))</f>
        <v/>
      </c>
      <c r="E2410" s="58">
        <f>IF($H2410="","",IFERROR(MID($H2410&amp;" ",FIND("|",SUBSTITUTE($H2410&amp;" "," ","|",3))+1,FIND("|",SUBSTITUTE($H2410&amp;" "," ","|",4))-FIND("|",SUBSTITUTE($H2410&amp;" "," ","|",3))-1),""))</f>
        <v/>
      </c>
      <c r="F2410" s="59">
        <f>IF($H2410="","",IFERROR(VALUE(IFERROR(MID($H2410&amp;" ",FIND("|",SUBSTITUTE($H2410&amp;" "," ","|",4))+1,FIND("|",SUBSTITUTE($H2410&amp;" "," ","|",5))-FIND("|",SUBSTITUTE($H2410&amp;" "," ","|",4))-1),""))/86400+25569+9/24,""))</f>
        <v/>
      </c>
      <c r="G2410" s="58">
        <f>TRIM(SUBSTITUTE(SUBSTITUTE(SUBSTITUTE($A2410,CHAR(9)," ")," "," "),CHAR(13),""))</f>
        <v/>
      </c>
      <c r="H2410" s="58">
        <f>IF($G2410="","",IF(ISNUMBER(FIND(" ",$G2410)),$G2410,IFERROR(IF((LEN(SUBSTITUTE(SUBSTITUTE($G2410,"-"," ",LEN($G2410)-LEN(SUBSTITUTE($G2410,"-",""))),"-"," ",LEN($G2410)-LEN(SUBSTITUTE($G2410,"-",""))-1))-LEN(SUBSTITUTE(SUBSTITUTE(SUBSTITUTE($G2410,"-"," ",LEN($G2410)-LEN(SUBSTITUTE($G2410,"-",""))),"-"," ",LEN($G2410)-LEN(SUBSTITUTE($G2410,"-",""))-1),".","")))=0,SUBSTITUTE(SUBSTITUTE($G2410,"-"," ",LEN($G2410)-LEN(SUBSTITUTE($G2410,"-",""))),"-"," ",LEN($G2410)-LEN(SUBSTITUTE($G2410,"-",""))-1),SUBSTITUTE(SUBSTITUTE(SUBSTITUTE($G2410,"-"," ",LEN($G2410)-LEN(SUBSTITUTE($G2410,"-",""))),"-"," ",LEN($G2410)-LEN(SUBSTITUTE($G2410,"-",""))-1),"."," ",(LEN(SUBSTITUTE(SUBSTITUTE($G2410,"-"," ",LEN($G2410)-LEN(SUBSTITUTE($G2410,"-",""))),"-"," ",LEN($G2410)-LEN(SUBSTITUTE($G2410,"-",""))-1))-LEN(SUBSTITUTE(SUBSTITUTE(SUBSTITUTE($G2410,"-"," ",LEN($G2410)-LEN(SUBSTITUTE($G2410,"-",""))),"-"," ",LEN($G2410)-LEN(SUBSTITUTE($G2410,"-",""))-1),".",""))))),$G2410)))</f>
        <v/>
      </c>
    </row>
    <row r="2411">
      <c r="A2411" s="58" t="n"/>
      <c r="B2411" s="58">
        <f>IF($H2411="","",LEFT($H2411,FIND(" ",$H2411&amp;" ")-1))</f>
        <v/>
      </c>
      <c r="C2411" s="58">
        <f>IF($H2411="","",IFERROR(MID($H2411&amp;" ",FIND("|",SUBSTITUTE($H2411&amp;" "," ","|",1))+1,FIND("|",SUBSTITUTE($H2411&amp;" "," ","|",2))-FIND("|",SUBSTITUTE($H2411&amp;" "," ","|",1))-1),""))</f>
        <v/>
      </c>
      <c r="D2411" s="58">
        <f>IF($H2411="","",IFERROR(MID($H2411&amp;" ",FIND("|",SUBSTITUTE($H2411&amp;" "," ","|",2))+1,FIND("|",SUBSTITUTE($H2411&amp;" "," ","|",3))-FIND("|",SUBSTITUTE($H2411&amp;" "," ","|",2))-1),""))</f>
        <v/>
      </c>
      <c r="E2411" s="58">
        <f>IF($H2411="","",IFERROR(MID($H2411&amp;" ",FIND("|",SUBSTITUTE($H2411&amp;" "," ","|",3))+1,FIND("|",SUBSTITUTE($H2411&amp;" "," ","|",4))-FIND("|",SUBSTITUTE($H2411&amp;" "," ","|",3))-1),""))</f>
        <v/>
      </c>
      <c r="F2411" s="59">
        <f>IF($H2411="","",IFERROR(VALUE(IFERROR(MID($H2411&amp;" ",FIND("|",SUBSTITUTE($H2411&amp;" "," ","|",4))+1,FIND("|",SUBSTITUTE($H2411&amp;" "," ","|",5))-FIND("|",SUBSTITUTE($H2411&amp;" "," ","|",4))-1),""))/86400+25569+9/24,""))</f>
        <v/>
      </c>
      <c r="G2411" s="58">
        <f>TRIM(SUBSTITUTE(SUBSTITUTE(SUBSTITUTE($A2411,CHAR(9)," ")," "," "),CHAR(13),""))</f>
        <v/>
      </c>
      <c r="H2411" s="58">
        <f>IF($G2411="","",IF(ISNUMBER(FIND(" ",$G2411)),$G2411,IFERROR(IF((LEN(SUBSTITUTE(SUBSTITUTE($G2411,"-"," ",LEN($G2411)-LEN(SUBSTITUTE($G2411,"-",""))),"-"," ",LEN($G2411)-LEN(SUBSTITUTE($G2411,"-",""))-1))-LEN(SUBSTITUTE(SUBSTITUTE(SUBSTITUTE($G2411,"-"," ",LEN($G2411)-LEN(SUBSTITUTE($G2411,"-",""))),"-"," ",LEN($G2411)-LEN(SUBSTITUTE($G2411,"-",""))-1),".","")))=0,SUBSTITUTE(SUBSTITUTE($G2411,"-"," ",LEN($G2411)-LEN(SUBSTITUTE($G2411,"-",""))),"-"," ",LEN($G2411)-LEN(SUBSTITUTE($G2411,"-",""))-1),SUBSTITUTE(SUBSTITUTE(SUBSTITUTE($G2411,"-"," ",LEN($G2411)-LEN(SUBSTITUTE($G2411,"-",""))),"-"," ",LEN($G2411)-LEN(SUBSTITUTE($G2411,"-",""))-1),"."," ",(LEN(SUBSTITUTE(SUBSTITUTE($G2411,"-"," ",LEN($G2411)-LEN(SUBSTITUTE($G2411,"-",""))),"-"," ",LEN($G2411)-LEN(SUBSTITUTE($G2411,"-",""))-1))-LEN(SUBSTITUTE(SUBSTITUTE(SUBSTITUTE($G2411,"-"," ",LEN($G2411)-LEN(SUBSTITUTE($G2411,"-",""))),"-"," ",LEN($G2411)-LEN(SUBSTITUTE($G2411,"-",""))-1),".",""))))),$G2411)))</f>
        <v/>
      </c>
    </row>
    <row r="2412">
      <c r="A2412" s="58" t="n"/>
      <c r="B2412" s="58">
        <f>IF($H2412="","",LEFT($H2412,FIND(" ",$H2412&amp;" ")-1))</f>
        <v/>
      </c>
      <c r="C2412" s="58">
        <f>IF($H2412="","",IFERROR(MID($H2412&amp;" ",FIND("|",SUBSTITUTE($H2412&amp;" "," ","|",1))+1,FIND("|",SUBSTITUTE($H2412&amp;" "," ","|",2))-FIND("|",SUBSTITUTE($H2412&amp;" "," ","|",1))-1),""))</f>
        <v/>
      </c>
      <c r="D2412" s="58">
        <f>IF($H2412="","",IFERROR(MID($H2412&amp;" ",FIND("|",SUBSTITUTE($H2412&amp;" "," ","|",2))+1,FIND("|",SUBSTITUTE($H2412&amp;" "," ","|",3))-FIND("|",SUBSTITUTE($H2412&amp;" "," ","|",2))-1),""))</f>
        <v/>
      </c>
      <c r="E2412" s="58">
        <f>IF($H2412="","",IFERROR(MID($H2412&amp;" ",FIND("|",SUBSTITUTE($H2412&amp;" "," ","|",3))+1,FIND("|",SUBSTITUTE($H2412&amp;" "," ","|",4))-FIND("|",SUBSTITUTE($H2412&amp;" "," ","|",3))-1),""))</f>
        <v/>
      </c>
      <c r="F2412" s="59">
        <f>IF($H2412="","",IFERROR(VALUE(IFERROR(MID($H2412&amp;" ",FIND("|",SUBSTITUTE($H2412&amp;" "," ","|",4))+1,FIND("|",SUBSTITUTE($H2412&amp;" "," ","|",5))-FIND("|",SUBSTITUTE($H2412&amp;" "," ","|",4))-1),""))/86400+25569+9/24,""))</f>
        <v/>
      </c>
      <c r="G2412" s="58">
        <f>TRIM(SUBSTITUTE(SUBSTITUTE(SUBSTITUTE($A2412,CHAR(9)," ")," "," "),CHAR(13),""))</f>
        <v/>
      </c>
      <c r="H2412" s="58">
        <f>IF($G2412="","",IF(ISNUMBER(FIND(" ",$G2412)),$G2412,IFERROR(IF((LEN(SUBSTITUTE(SUBSTITUTE($G2412,"-"," ",LEN($G2412)-LEN(SUBSTITUTE($G2412,"-",""))),"-"," ",LEN($G2412)-LEN(SUBSTITUTE($G2412,"-",""))-1))-LEN(SUBSTITUTE(SUBSTITUTE(SUBSTITUTE($G2412,"-"," ",LEN($G2412)-LEN(SUBSTITUTE($G2412,"-",""))),"-"," ",LEN($G2412)-LEN(SUBSTITUTE($G2412,"-",""))-1),".","")))=0,SUBSTITUTE(SUBSTITUTE($G2412,"-"," ",LEN($G2412)-LEN(SUBSTITUTE($G2412,"-",""))),"-"," ",LEN($G2412)-LEN(SUBSTITUTE($G2412,"-",""))-1),SUBSTITUTE(SUBSTITUTE(SUBSTITUTE($G2412,"-"," ",LEN($G2412)-LEN(SUBSTITUTE($G2412,"-",""))),"-"," ",LEN($G2412)-LEN(SUBSTITUTE($G2412,"-",""))-1),"."," ",(LEN(SUBSTITUTE(SUBSTITUTE($G2412,"-"," ",LEN($G2412)-LEN(SUBSTITUTE($G2412,"-",""))),"-"," ",LEN($G2412)-LEN(SUBSTITUTE($G2412,"-",""))-1))-LEN(SUBSTITUTE(SUBSTITUTE(SUBSTITUTE($G2412,"-"," ",LEN($G2412)-LEN(SUBSTITUTE($G2412,"-",""))),"-"," ",LEN($G2412)-LEN(SUBSTITUTE($G2412,"-",""))-1),".",""))))),$G2412)))</f>
        <v/>
      </c>
    </row>
    <row r="2413">
      <c r="A2413" s="58" t="n"/>
      <c r="B2413" s="58">
        <f>IF($H2413="","",LEFT($H2413,FIND(" ",$H2413&amp;" ")-1))</f>
        <v/>
      </c>
      <c r="C2413" s="58">
        <f>IF($H2413="","",IFERROR(MID($H2413&amp;" ",FIND("|",SUBSTITUTE($H2413&amp;" "," ","|",1))+1,FIND("|",SUBSTITUTE($H2413&amp;" "," ","|",2))-FIND("|",SUBSTITUTE($H2413&amp;" "," ","|",1))-1),""))</f>
        <v/>
      </c>
      <c r="D2413" s="58">
        <f>IF($H2413="","",IFERROR(MID($H2413&amp;" ",FIND("|",SUBSTITUTE($H2413&amp;" "," ","|",2))+1,FIND("|",SUBSTITUTE($H2413&amp;" "," ","|",3))-FIND("|",SUBSTITUTE($H2413&amp;" "," ","|",2))-1),""))</f>
        <v/>
      </c>
      <c r="E2413" s="58">
        <f>IF($H2413="","",IFERROR(MID($H2413&amp;" ",FIND("|",SUBSTITUTE($H2413&amp;" "," ","|",3))+1,FIND("|",SUBSTITUTE($H2413&amp;" "," ","|",4))-FIND("|",SUBSTITUTE($H2413&amp;" "," ","|",3))-1),""))</f>
        <v/>
      </c>
      <c r="F2413" s="59">
        <f>IF($H2413="","",IFERROR(VALUE(IFERROR(MID($H2413&amp;" ",FIND("|",SUBSTITUTE($H2413&amp;" "," ","|",4))+1,FIND("|",SUBSTITUTE($H2413&amp;" "," ","|",5))-FIND("|",SUBSTITUTE($H2413&amp;" "," ","|",4))-1),""))/86400+25569+9/24,""))</f>
        <v/>
      </c>
      <c r="G2413" s="58">
        <f>TRIM(SUBSTITUTE(SUBSTITUTE(SUBSTITUTE($A2413,CHAR(9)," ")," "," "),CHAR(13),""))</f>
        <v/>
      </c>
      <c r="H2413" s="58">
        <f>IF($G2413="","",IF(ISNUMBER(FIND(" ",$G2413)),$G2413,IFERROR(IF((LEN(SUBSTITUTE(SUBSTITUTE($G2413,"-"," ",LEN($G2413)-LEN(SUBSTITUTE($G2413,"-",""))),"-"," ",LEN($G2413)-LEN(SUBSTITUTE($G2413,"-",""))-1))-LEN(SUBSTITUTE(SUBSTITUTE(SUBSTITUTE($G2413,"-"," ",LEN($G2413)-LEN(SUBSTITUTE($G2413,"-",""))),"-"," ",LEN($G2413)-LEN(SUBSTITUTE($G2413,"-",""))-1),".","")))=0,SUBSTITUTE(SUBSTITUTE($G2413,"-"," ",LEN($G2413)-LEN(SUBSTITUTE($G2413,"-",""))),"-"," ",LEN($G2413)-LEN(SUBSTITUTE($G2413,"-",""))-1),SUBSTITUTE(SUBSTITUTE(SUBSTITUTE($G2413,"-"," ",LEN($G2413)-LEN(SUBSTITUTE($G2413,"-",""))),"-"," ",LEN($G2413)-LEN(SUBSTITUTE($G2413,"-",""))-1),"."," ",(LEN(SUBSTITUTE(SUBSTITUTE($G2413,"-"," ",LEN($G2413)-LEN(SUBSTITUTE($G2413,"-",""))),"-"," ",LEN($G2413)-LEN(SUBSTITUTE($G2413,"-",""))-1))-LEN(SUBSTITUTE(SUBSTITUTE(SUBSTITUTE($G2413,"-"," ",LEN($G2413)-LEN(SUBSTITUTE($G2413,"-",""))),"-"," ",LEN($G2413)-LEN(SUBSTITUTE($G2413,"-",""))-1),".",""))))),$G2413)))</f>
        <v/>
      </c>
    </row>
    <row r="2414">
      <c r="A2414" s="58" t="n"/>
      <c r="B2414" s="58">
        <f>IF($H2414="","",LEFT($H2414,FIND(" ",$H2414&amp;" ")-1))</f>
        <v/>
      </c>
      <c r="C2414" s="58">
        <f>IF($H2414="","",IFERROR(MID($H2414&amp;" ",FIND("|",SUBSTITUTE($H2414&amp;" "," ","|",1))+1,FIND("|",SUBSTITUTE($H2414&amp;" "," ","|",2))-FIND("|",SUBSTITUTE($H2414&amp;" "," ","|",1))-1),""))</f>
        <v/>
      </c>
      <c r="D2414" s="58">
        <f>IF($H2414="","",IFERROR(MID($H2414&amp;" ",FIND("|",SUBSTITUTE($H2414&amp;" "," ","|",2))+1,FIND("|",SUBSTITUTE($H2414&amp;" "," ","|",3))-FIND("|",SUBSTITUTE($H2414&amp;" "," ","|",2))-1),""))</f>
        <v/>
      </c>
      <c r="E2414" s="58">
        <f>IF($H2414="","",IFERROR(MID($H2414&amp;" ",FIND("|",SUBSTITUTE($H2414&amp;" "," ","|",3))+1,FIND("|",SUBSTITUTE($H2414&amp;" "," ","|",4))-FIND("|",SUBSTITUTE($H2414&amp;" "," ","|",3))-1),""))</f>
        <v/>
      </c>
      <c r="F2414" s="59">
        <f>IF($H2414="","",IFERROR(VALUE(IFERROR(MID($H2414&amp;" ",FIND("|",SUBSTITUTE($H2414&amp;" "," ","|",4))+1,FIND("|",SUBSTITUTE($H2414&amp;" "," ","|",5))-FIND("|",SUBSTITUTE($H2414&amp;" "," ","|",4))-1),""))/86400+25569+9/24,""))</f>
        <v/>
      </c>
      <c r="G2414" s="58">
        <f>TRIM(SUBSTITUTE(SUBSTITUTE(SUBSTITUTE($A2414,CHAR(9)," ")," "," "),CHAR(13),""))</f>
        <v/>
      </c>
      <c r="H2414" s="58">
        <f>IF($G2414="","",IF(ISNUMBER(FIND(" ",$G2414)),$G2414,IFERROR(IF((LEN(SUBSTITUTE(SUBSTITUTE($G2414,"-"," ",LEN($G2414)-LEN(SUBSTITUTE($G2414,"-",""))),"-"," ",LEN($G2414)-LEN(SUBSTITUTE($G2414,"-",""))-1))-LEN(SUBSTITUTE(SUBSTITUTE(SUBSTITUTE($G2414,"-"," ",LEN($G2414)-LEN(SUBSTITUTE($G2414,"-",""))),"-"," ",LEN($G2414)-LEN(SUBSTITUTE($G2414,"-",""))-1),".","")))=0,SUBSTITUTE(SUBSTITUTE($G2414,"-"," ",LEN($G2414)-LEN(SUBSTITUTE($G2414,"-",""))),"-"," ",LEN($G2414)-LEN(SUBSTITUTE($G2414,"-",""))-1),SUBSTITUTE(SUBSTITUTE(SUBSTITUTE($G2414,"-"," ",LEN($G2414)-LEN(SUBSTITUTE($G2414,"-",""))),"-"," ",LEN($G2414)-LEN(SUBSTITUTE($G2414,"-",""))-1),"."," ",(LEN(SUBSTITUTE(SUBSTITUTE($G2414,"-"," ",LEN($G2414)-LEN(SUBSTITUTE($G2414,"-",""))),"-"," ",LEN($G2414)-LEN(SUBSTITUTE($G2414,"-",""))-1))-LEN(SUBSTITUTE(SUBSTITUTE(SUBSTITUTE($G2414,"-"," ",LEN($G2414)-LEN(SUBSTITUTE($G2414,"-",""))),"-"," ",LEN($G2414)-LEN(SUBSTITUTE($G2414,"-",""))-1),".",""))))),$G2414)))</f>
        <v/>
      </c>
    </row>
    <row r="2415">
      <c r="A2415" s="58" t="n"/>
      <c r="B2415" s="58">
        <f>IF($H2415="","",LEFT($H2415,FIND(" ",$H2415&amp;" ")-1))</f>
        <v/>
      </c>
      <c r="C2415" s="58">
        <f>IF($H2415="","",IFERROR(MID($H2415&amp;" ",FIND("|",SUBSTITUTE($H2415&amp;" "," ","|",1))+1,FIND("|",SUBSTITUTE($H2415&amp;" "," ","|",2))-FIND("|",SUBSTITUTE($H2415&amp;" "," ","|",1))-1),""))</f>
        <v/>
      </c>
      <c r="D2415" s="58">
        <f>IF($H2415="","",IFERROR(MID($H2415&amp;" ",FIND("|",SUBSTITUTE($H2415&amp;" "," ","|",2))+1,FIND("|",SUBSTITUTE($H2415&amp;" "," ","|",3))-FIND("|",SUBSTITUTE($H2415&amp;" "," ","|",2))-1),""))</f>
        <v/>
      </c>
      <c r="E2415" s="58">
        <f>IF($H2415="","",IFERROR(MID($H2415&amp;" ",FIND("|",SUBSTITUTE($H2415&amp;" "," ","|",3))+1,FIND("|",SUBSTITUTE($H2415&amp;" "," ","|",4))-FIND("|",SUBSTITUTE($H2415&amp;" "," ","|",3))-1),""))</f>
        <v/>
      </c>
      <c r="F2415" s="59">
        <f>IF($H2415="","",IFERROR(VALUE(IFERROR(MID($H2415&amp;" ",FIND("|",SUBSTITUTE($H2415&amp;" "," ","|",4))+1,FIND("|",SUBSTITUTE($H2415&amp;" "," ","|",5))-FIND("|",SUBSTITUTE($H2415&amp;" "," ","|",4))-1),""))/86400+25569+9/24,""))</f>
        <v/>
      </c>
      <c r="G2415" s="58">
        <f>TRIM(SUBSTITUTE(SUBSTITUTE(SUBSTITUTE($A2415,CHAR(9)," ")," "," "),CHAR(13),""))</f>
        <v/>
      </c>
      <c r="H2415" s="58">
        <f>IF($G2415="","",IF(ISNUMBER(FIND(" ",$G2415)),$G2415,IFERROR(IF((LEN(SUBSTITUTE(SUBSTITUTE($G2415,"-"," ",LEN($G2415)-LEN(SUBSTITUTE($G2415,"-",""))),"-"," ",LEN($G2415)-LEN(SUBSTITUTE($G2415,"-",""))-1))-LEN(SUBSTITUTE(SUBSTITUTE(SUBSTITUTE($G2415,"-"," ",LEN($G2415)-LEN(SUBSTITUTE($G2415,"-",""))),"-"," ",LEN($G2415)-LEN(SUBSTITUTE($G2415,"-",""))-1),".","")))=0,SUBSTITUTE(SUBSTITUTE($G2415,"-"," ",LEN($G2415)-LEN(SUBSTITUTE($G2415,"-",""))),"-"," ",LEN($G2415)-LEN(SUBSTITUTE($G2415,"-",""))-1),SUBSTITUTE(SUBSTITUTE(SUBSTITUTE($G2415,"-"," ",LEN($G2415)-LEN(SUBSTITUTE($G2415,"-",""))),"-"," ",LEN($G2415)-LEN(SUBSTITUTE($G2415,"-",""))-1),"."," ",(LEN(SUBSTITUTE(SUBSTITUTE($G2415,"-"," ",LEN($G2415)-LEN(SUBSTITUTE($G2415,"-",""))),"-"," ",LEN($G2415)-LEN(SUBSTITUTE($G2415,"-",""))-1))-LEN(SUBSTITUTE(SUBSTITUTE(SUBSTITUTE($G2415,"-"," ",LEN($G2415)-LEN(SUBSTITUTE($G2415,"-",""))),"-"," ",LEN($G2415)-LEN(SUBSTITUTE($G2415,"-",""))-1),".",""))))),$G2415)))</f>
        <v/>
      </c>
    </row>
    <row r="2416">
      <c r="A2416" s="58" t="n"/>
      <c r="B2416" s="58">
        <f>IF($H2416="","",LEFT($H2416,FIND(" ",$H2416&amp;" ")-1))</f>
        <v/>
      </c>
      <c r="C2416" s="58">
        <f>IF($H2416="","",IFERROR(MID($H2416&amp;" ",FIND("|",SUBSTITUTE($H2416&amp;" "," ","|",1))+1,FIND("|",SUBSTITUTE($H2416&amp;" "," ","|",2))-FIND("|",SUBSTITUTE($H2416&amp;" "," ","|",1))-1),""))</f>
        <v/>
      </c>
      <c r="D2416" s="58">
        <f>IF($H2416="","",IFERROR(MID($H2416&amp;" ",FIND("|",SUBSTITUTE($H2416&amp;" "," ","|",2))+1,FIND("|",SUBSTITUTE($H2416&amp;" "," ","|",3))-FIND("|",SUBSTITUTE($H2416&amp;" "," ","|",2))-1),""))</f>
        <v/>
      </c>
      <c r="E2416" s="58">
        <f>IF($H2416="","",IFERROR(MID($H2416&amp;" ",FIND("|",SUBSTITUTE($H2416&amp;" "," ","|",3))+1,FIND("|",SUBSTITUTE($H2416&amp;" "," ","|",4))-FIND("|",SUBSTITUTE($H2416&amp;" "," ","|",3))-1),""))</f>
        <v/>
      </c>
      <c r="F2416" s="59">
        <f>IF($H2416="","",IFERROR(VALUE(IFERROR(MID($H2416&amp;" ",FIND("|",SUBSTITUTE($H2416&amp;" "," ","|",4))+1,FIND("|",SUBSTITUTE($H2416&amp;" "," ","|",5))-FIND("|",SUBSTITUTE($H2416&amp;" "," ","|",4))-1),""))/86400+25569+9/24,""))</f>
        <v/>
      </c>
      <c r="G2416" s="58">
        <f>TRIM(SUBSTITUTE(SUBSTITUTE(SUBSTITUTE($A2416,CHAR(9)," ")," "," "),CHAR(13),""))</f>
        <v/>
      </c>
      <c r="H2416" s="58">
        <f>IF($G2416="","",IF(ISNUMBER(FIND(" ",$G2416)),$G2416,IFERROR(IF((LEN(SUBSTITUTE(SUBSTITUTE($G2416,"-"," ",LEN($G2416)-LEN(SUBSTITUTE($G2416,"-",""))),"-"," ",LEN($G2416)-LEN(SUBSTITUTE($G2416,"-",""))-1))-LEN(SUBSTITUTE(SUBSTITUTE(SUBSTITUTE($G2416,"-"," ",LEN($G2416)-LEN(SUBSTITUTE($G2416,"-",""))),"-"," ",LEN($G2416)-LEN(SUBSTITUTE($G2416,"-",""))-1),".","")))=0,SUBSTITUTE(SUBSTITUTE($G2416,"-"," ",LEN($G2416)-LEN(SUBSTITUTE($G2416,"-",""))),"-"," ",LEN($G2416)-LEN(SUBSTITUTE($G2416,"-",""))-1),SUBSTITUTE(SUBSTITUTE(SUBSTITUTE($G2416,"-"," ",LEN($G2416)-LEN(SUBSTITUTE($G2416,"-",""))),"-"," ",LEN($G2416)-LEN(SUBSTITUTE($G2416,"-",""))-1),"."," ",(LEN(SUBSTITUTE(SUBSTITUTE($G2416,"-"," ",LEN($G2416)-LEN(SUBSTITUTE($G2416,"-",""))),"-"," ",LEN($G2416)-LEN(SUBSTITUTE($G2416,"-",""))-1))-LEN(SUBSTITUTE(SUBSTITUTE(SUBSTITUTE($G2416,"-"," ",LEN($G2416)-LEN(SUBSTITUTE($G2416,"-",""))),"-"," ",LEN($G2416)-LEN(SUBSTITUTE($G2416,"-",""))-1),".",""))))),$G2416)))</f>
        <v/>
      </c>
    </row>
    <row r="2417">
      <c r="A2417" s="58" t="n"/>
      <c r="B2417" s="58">
        <f>IF($H2417="","",LEFT($H2417,FIND(" ",$H2417&amp;" ")-1))</f>
        <v/>
      </c>
      <c r="C2417" s="58">
        <f>IF($H2417="","",IFERROR(MID($H2417&amp;" ",FIND("|",SUBSTITUTE($H2417&amp;" "," ","|",1))+1,FIND("|",SUBSTITUTE($H2417&amp;" "," ","|",2))-FIND("|",SUBSTITUTE($H2417&amp;" "," ","|",1))-1),""))</f>
        <v/>
      </c>
      <c r="D2417" s="58">
        <f>IF($H2417="","",IFERROR(MID($H2417&amp;" ",FIND("|",SUBSTITUTE($H2417&amp;" "," ","|",2))+1,FIND("|",SUBSTITUTE($H2417&amp;" "," ","|",3))-FIND("|",SUBSTITUTE($H2417&amp;" "," ","|",2))-1),""))</f>
        <v/>
      </c>
      <c r="E2417" s="58">
        <f>IF($H2417="","",IFERROR(MID($H2417&amp;" ",FIND("|",SUBSTITUTE($H2417&amp;" "," ","|",3))+1,FIND("|",SUBSTITUTE($H2417&amp;" "," ","|",4))-FIND("|",SUBSTITUTE($H2417&amp;" "," ","|",3))-1),""))</f>
        <v/>
      </c>
      <c r="F2417" s="59">
        <f>IF($H2417="","",IFERROR(VALUE(IFERROR(MID($H2417&amp;" ",FIND("|",SUBSTITUTE($H2417&amp;" "," ","|",4))+1,FIND("|",SUBSTITUTE($H2417&amp;" "," ","|",5))-FIND("|",SUBSTITUTE($H2417&amp;" "," ","|",4))-1),""))/86400+25569+9/24,""))</f>
        <v/>
      </c>
      <c r="G2417" s="58">
        <f>TRIM(SUBSTITUTE(SUBSTITUTE(SUBSTITUTE($A2417,CHAR(9)," ")," "," "),CHAR(13),""))</f>
        <v/>
      </c>
      <c r="H2417" s="58">
        <f>IF($G2417="","",IF(ISNUMBER(FIND(" ",$G2417)),$G2417,IFERROR(IF((LEN(SUBSTITUTE(SUBSTITUTE($G2417,"-"," ",LEN($G2417)-LEN(SUBSTITUTE($G2417,"-",""))),"-"," ",LEN($G2417)-LEN(SUBSTITUTE($G2417,"-",""))-1))-LEN(SUBSTITUTE(SUBSTITUTE(SUBSTITUTE($G2417,"-"," ",LEN($G2417)-LEN(SUBSTITUTE($G2417,"-",""))),"-"," ",LEN($G2417)-LEN(SUBSTITUTE($G2417,"-",""))-1),".","")))=0,SUBSTITUTE(SUBSTITUTE($G2417,"-"," ",LEN($G2417)-LEN(SUBSTITUTE($G2417,"-",""))),"-"," ",LEN($G2417)-LEN(SUBSTITUTE($G2417,"-",""))-1),SUBSTITUTE(SUBSTITUTE(SUBSTITUTE($G2417,"-"," ",LEN($G2417)-LEN(SUBSTITUTE($G2417,"-",""))),"-"," ",LEN($G2417)-LEN(SUBSTITUTE($G2417,"-",""))-1),"."," ",(LEN(SUBSTITUTE(SUBSTITUTE($G2417,"-"," ",LEN($G2417)-LEN(SUBSTITUTE($G2417,"-",""))),"-"," ",LEN($G2417)-LEN(SUBSTITUTE($G2417,"-",""))-1))-LEN(SUBSTITUTE(SUBSTITUTE(SUBSTITUTE($G2417,"-"," ",LEN($G2417)-LEN(SUBSTITUTE($G2417,"-",""))),"-"," ",LEN($G2417)-LEN(SUBSTITUTE($G2417,"-",""))-1),".",""))))),$G2417)))</f>
        <v/>
      </c>
    </row>
    <row r="2418">
      <c r="A2418" s="58" t="n"/>
      <c r="B2418" s="58">
        <f>IF($H2418="","",LEFT($H2418,FIND(" ",$H2418&amp;" ")-1))</f>
        <v/>
      </c>
      <c r="C2418" s="58">
        <f>IF($H2418="","",IFERROR(MID($H2418&amp;" ",FIND("|",SUBSTITUTE($H2418&amp;" "," ","|",1))+1,FIND("|",SUBSTITUTE($H2418&amp;" "," ","|",2))-FIND("|",SUBSTITUTE($H2418&amp;" "," ","|",1))-1),""))</f>
        <v/>
      </c>
      <c r="D2418" s="58">
        <f>IF($H2418="","",IFERROR(MID($H2418&amp;" ",FIND("|",SUBSTITUTE($H2418&amp;" "," ","|",2))+1,FIND("|",SUBSTITUTE($H2418&amp;" "," ","|",3))-FIND("|",SUBSTITUTE($H2418&amp;" "," ","|",2))-1),""))</f>
        <v/>
      </c>
      <c r="E2418" s="58">
        <f>IF($H2418="","",IFERROR(MID($H2418&amp;" ",FIND("|",SUBSTITUTE($H2418&amp;" "," ","|",3))+1,FIND("|",SUBSTITUTE($H2418&amp;" "," ","|",4))-FIND("|",SUBSTITUTE($H2418&amp;" "," ","|",3))-1),""))</f>
        <v/>
      </c>
      <c r="F2418" s="59">
        <f>IF($H2418="","",IFERROR(VALUE(IFERROR(MID($H2418&amp;" ",FIND("|",SUBSTITUTE($H2418&amp;" "," ","|",4))+1,FIND("|",SUBSTITUTE($H2418&amp;" "," ","|",5))-FIND("|",SUBSTITUTE($H2418&amp;" "," ","|",4))-1),""))/86400+25569+9/24,""))</f>
        <v/>
      </c>
      <c r="G2418" s="58">
        <f>TRIM(SUBSTITUTE(SUBSTITUTE(SUBSTITUTE($A2418,CHAR(9)," ")," "," "),CHAR(13),""))</f>
        <v/>
      </c>
      <c r="H2418" s="58">
        <f>IF($G2418="","",IF(ISNUMBER(FIND(" ",$G2418)),$G2418,IFERROR(IF((LEN(SUBSTITUTE(SUBSTITUTE($G2418,"-"," ",LEN($G2418)-LEN(SUBSTITUTE($G2418,"-",""))),"-"," ",LEN($G2418)-LEN(SUBSTITUTE($G2418,"-",""))-1))-LEN(SUBSTITUTE(SUBSTITUTE(SUBSTITUTE($G2418,"-"," ",LEN($G2418)-LEN(SUBSTITUTE($G2418,"-",""))),"-"," ",LEN($G2418)-LEN(SUBSTITUTE($G2418,"-",""))-1),".","")))=0,SUBSTITUTE(SUBSTITUTE($G2418,"-"," ",LEN($G2418)-LEN(SUBSTITUTE($G2418,"-",""))),"-"," ",LEN($G2418)-LEN(SUBSTITUTE($G2418,"-",""))-1),SUBSTITUTE(SUBSTITUTE(SUBSTITUTE($G2418,"-"," ",LEN($G2418)-LEN(SUBSTITUTE($G2418,"-",""))),"-"," ",LEN($G2418)-LEN(SUBSTITUTE($G2418,"-",""))-1),"."," ",(LEN(SUBSTITUTE(SUBSTITUTE($G2418,"-"," ",LEN($G2418)-LEN(SUBSTITUTE($G2418,"-",""))),"-"," ",LEN($G2418)-LEN(SUBSTITUTE($G2418,"-",""))-1))-LEN(SUBSTITUTE(SUBSTITUTE(SUBSTITUTE($G2418,"-"," ",LEN($G2418)-LEN(SUBSTITUTE($G2418,"-",""))),"-"," ",LEN($G2418)-LEN(SUBSTITUTE($G2418,"-",""))-1),".",""))))),$G2418)))</f>
        <v/>
      </c>
    </row>
    <row r="2419">
      <c r="A2419" s="58" t="n"/>
      <c r="B2419" s="58">
        <f>IF($H2419="","",LEFT($H2419,FIND(" ",$H2419&amp;" ")-1))</f>
        <v/>
      </c>
      <c r="C2419" s="58">
        <f>IF($H2419="","",IFERROR(MID($H2419&amp;" ",FIND("|",SUBSTITUTE($H2419&amp;" "," ","|",1))+1,FIND("|",SUBSTITUTE($H2419&amp;" "," ","|",2))-FIND("|",SUBSTITUTE($H2419&amp;" "," ","|",1))-1),""))</f>
        <v/>
      </c>
      <c r="D2419" s="58">
        <f>IF($H2419="","",IFERROR(MID($H2419&amp;" ",FIND("|",SUBSTITUTE($H2419&amp;" "," ","|",2))+1,FIND("|",SUBSTITUTE($H2419&amp;" "," ","|",3))-FIND("|",SUBSTITUTE($H2419&amp;" "," ","|",2))-1),""))</f>
        <v/>
      </c>
      <c r="E2419" s="58">
        <f>IF($H2419="","",IFERROR(MID($H2419&amp;" ",FIND("|",SUBSTITUTE($H2419&amp;" "," ","|",3))+1,FIND("|",SUBSTITUTE($H2419&amp;" "," ","|",4))-FIND("|",SUBSTITUTE($H2419&amp;" "," ","|",3))-1),""))</f>
        <v/>
      </c>
      <c r="F2419" s="59">
        <f>IF($H2419="","",IFERROR(VALUE(IFERROR(MID($H2419&amp;" ",FIND("|",SUBSTITUTE($H2419&amp;" "," ","|",4))+1,FIND("|",SUBSTITUTE($H2419&amp;" "," ","|",5))-FIND("|",SUBSTITUTE($H2419&amp;" "," ","|",4))-1),""))/86400+25569+9/24,""))</f>
        <v/>
      </c>
      <c r="G2419" s="58">
        <f>TRIM(SUBSTITUTE(SUBSTITUTE(SUBSTITUTE($A2419,CHAR(9)," ")," "," "),CHAR(13),""))</f>
        <v/>
      </c>
      <c r="H2419" s="58">
        <f>IF($G2419="","",IF(ISNUMBER(FIND(" ",$G2419)),$G2419,IFERROR(IF((LEN(SUBSTITUTE(SUBSTITUTE($G2419,"-"," ",LEN($G2419)-LEN(SUBSTITUTE($G2419,"-",""))),"-"," ",LEN($G2419)-LEN(SUBSTITUTE($G2419,"-",""))-1))-LEN(SUBSTITUTE(SUBSTITUTE(SUBSTITUTE($G2419,"-"," ",LEN($G2419)-LEN(SUBSTITUTE($G2419,"-",""))),"-"," ",LEN($G2419)-LEN(SUBSTITUTE($G2419,"-",""))-1),".","")))=0,SUBSTITUTE(SUBSTITUTE($G2419,"-"," ",LEN($G2419)-LEN(SUBSTITUTE($G2419,"-",""))),"-"," ",LEN($G2419)-LEN(SUBSTITUTE($G2419,"-",""))-1),SUBSTITUTE(SUBSTITUTE(SUBSTITUTE($G2419,"-"," ",LEN($G2419)-LEN(SUBSTITUTE($G2419,"-",""))),"-"," ",LEN($G2419)-LEN(SUBSTITUTE($G2419,"-",""))-1),"."," ",(LEN(SUBSTITUTE(SUBSTITUTE($G2419,"-"," ",LEN($G2419)-LEN(SUBSTITUTE($G2419,"-",""))),"-"," ",LEN($G2419)-LEN(SUBSTITUTE($G2419,"-",""))-1))-LEN(SUBSTITUTE(SUBSTITUTE(SUBSTITUTE($G2419,"-"," ",LEN($G2419)-LEN(SUBSTITUTE($G2419,"-",""))),"-"," ",LEN($G2419)-LEN(SUBSTITUTE($G2419,"-",""))-1),".",""))))),$G2419)))</f>
        <v/>
      </c>
    </row>
    <row r="2420">
      <c r="A2420" s="58" t="n"/>
      <c r="B2420" s="58">
        <f>IF($H2420="","",LEFT($H2420,FIND(" ",$H2420&amp;" ")-1))</f>
        <v/>
      </c>
      <c r="C2420" s="58">
        <f>IF($H2420="","",IFERROR(MID($H2420&amp;" ",FIND("|",SUBSTITUTE($H2420&amp;" "," ","|",1))+1,FIND("|",SUBSTITUTE($H2420&amp;" "," ","|",2))-FIND("|",SUBSTITUTE($H2420&amp;" "," ","|",1))-1),""))</f>
        <v/>
      </c>
      <c r="D2420" s="58">
        <f>IF($H2420="","",IFERROR(MID($H2420&amp;" ",FIND("|",SUBSTITUTE($H2420&amp;" "," ","|",2))+1,FIND("|",SUBSTITUTE($H2420&amp;" "," ","|",3))-FIND("|",SUBSTITUTE($H2420&amp;" "," ","|",2))-1),""))</f>
        <v/>
      </c>
      <c r="E2420" s="58">
        <f>IF($H2420="","",IFERROR(MID($H2420&amp;" ",FIND("|",SUBSTITUTE($H2420&amp;" "," ","|",3))+1,FIND("|",SUBSTITUTE($H2420&amp;" "," ","|",4))-FIND("|",SUBSTITUTE($H2420&amp;" "," ","|",3))-1),""))</f>
        <v/>
      </c>
      <c r="F2420" s="59">
        <f>IF($H2420="","",IFERROR(VALUE(IFERROR(MID($H2420&amp;" ",FIND("|",SUBSTITUTE($H2420&amp;" "," ","|",4))+1,FIND("|",SUBSTITUTE($H2420&amp;" "," ","|",5))-FIND("|",SUBSTITUTE($H2420&amp;" "," ","|",4))-1),""))/86400+25569+9/24,""))</f>
        <v/>
      </c>
      <c r="G2420" s="58">
        <f>TRIM(SUBSTITUTE(SUBSTITUTE(SUBSTITUTE($A2420,CHAR(9)," ")," "," "),CHAR(13),""))</f>
        <v/>
      </c>
      <c r="H2420" s="58">
        <f>IF($G2420="","",IF(ISNUMBER(FIND(" ",$G2420)),$G2420,IFERROR(IF((LEN(SUBSTITUTE(SUBSTITUTE($G2420,"-"," ",LEN($G2420)-LEN(SUBSTITUTE($G2420,"-",""))),"-"," ",LEN($G2420)-LEN(SUBSTITUTE($G2420,"-",""))-1))-LEN(SUBSTITUTE(SUBSTITUTE(SUBSTITUTE($G2420,"-"," ",LEN($G2420)-LEN(SUBSTITUTE($G2420,"-",""))),"-"," ",LEN($G2420)-LEN(SUBSTITUTE($G2420,"-",""))-1),".","")))=0,SUBSTITUTE(SUBSTITUTE($G2420,"-"," ",LEN($G2420)-LEN(SUBSTITUTE($G2420,"-",""))),"-"," ",LEN($G2420)-LEN(SUBSTITUTE($G2420,"-",""))-1),SUBSTITUTE(SUBSTITUTE(SUBSTITUTE($G2420,"-"," ",LEN($G2420)-LEN(SUBSTITUTE($G2420,"-",""))),"-"," ",LEN($G2420)-LEN(SUBSTITUTE($G2420,"-",""))-1),"."," ",(LEN(SUBSTITUTE(SUBSTITUTE($G2420,"-"," ",LEN($G2420)-LEN(SUBSTITUTE($G2420,"-",""))),"-"," ",LEN($G2420)-LEN(SUBSTITUTE($G2420,"-",""))-1))-LEN(SUBSTITUTE(SUBSTITUTE(SUBSTITUTE($G2420,"-"," ",LEN($G2420)-LEN(SUBSTITUTE($G2420,"-",""))),"-"," ",LEN($G2420)-LEN(SUBSTITUTE($G2420,"-",""))-1),".",""))))),$G2420)))</f>
        <v/>
      </c>
    </row>
    <row r="2421">
      <c r="A2421" s="58" t="n"/>
      <c r="B2421" s="58">
        <f>IF($H2421="","",LEFT($H2421,FIND(" ",$H2421&amp;" ")-1))</f>
        <v/>
      </c>
      <c r="C2421" s="58">
        <f>IF($H2421="","",IFERROR(MID($H2421&amp;" ",FIND("|",SUBSTITUTE($H2421&amp;" "," ","|",1))+1,FIND("|",SUBSTITUTE($H2421&amp;" "," ","|",2))-FIND("|",SUBSTITUTE($H2421&amp;" "," ","|",1))-1),""))</f>
        <v/>
      </c>
      <c r="D2421" s="58">
        <f>IF($H2421="","",IFERROR(MID($H2421&amp;" ",FIND("|",SUBSTITUTE($H2421&amp;" "," ","|",2))+1,FIND("|",SUBSTITUTE($H2421&amp;" "," ","|",3))-FIND("|",SUBSTITUTE($H2421&amp;" "," ","|",2))-1),""))</f>
        <v/>
      </c>
      <c r="E2421" s="58">
        <f>IF($H2421="","",IFERROR(MID($H2421&amp;" ",FIND("|",SUBSTITUTE($H2421&amp;" "," ","|",3))+1,FIND("|",SUBSTITUTE($H2421&amp;" "," ","|",4))-FIND("|",SUBSTITUTE($H2421&amp;" "," ","|",3))-1),""))</f>
        <v/>
      </c>
      <c r="F2421" s="59">
        <f>IF($H2421="","",IFERROR(VALUE(IFERROR(MID($H2421&amp;" ",FIND("|",SUBSTITUTE($H2421&amp;" "," ","|",4))+1,FIND("|",SUBSTITUTE($H2421&amp;" "," ","|",5))-FIND("|",SUBSTITUTE($H2421&amp;" "," ","|",4))-1),""))/86400+25569+9/24,""))</f>
        <v/>
      </c>
      <c r="G2421" s="58">
        <f>TRIM(SUBSTITUTE(SUBSTITUTE(SUBSTITUTE($A2421,CHAR(9)," ")," "," "),CHAR(13),""))</f>
        <v/>
      </c>
      <c r="H2421" s="58">
        <f>IF($G2421="","",IF(ISNUMBER(FIND(" ",$G2421)),$G2421,IFERROR(IF((LEN(SUBSTITUTE(SUBSTITUTE($G2421,"-"," ",LEN($G2421)-LEN(SUBSTITUTE($G2421,"-",""))),"-"," ",LEN($G2421)-LEN(SUBSTITUTE($G2421,"-",""))-1))-LEN(SUBSTITUTE(SUBSTITUTE(SUBSTITUTE($G2421,"-"," ",LEN($G2421)-LEN(SUBSTITUTE($G2421,"-",""))),"-"," ",LEN($G2421)-LEN(SUBSTITUTE($G2421,"-",""))-1),".","")))=0,SUBSTITUTE(SUBSTITUTE($G2421,"-"," ",LEN($G2421)-LEN(SUBSTITUTE($G2421,"-",""))),"-"," ",LEN($G2421)-LEN(SUBSTITUTE($G2421,"-",""))-1),SUBSTITUTE(SUBSTITUTE(SUBSTITUTE($G2421,"-"," ",LEN($G2421)-LEN(SUBSTITUTE($G2421,"-",""))),"-"," ",LEN($G2421)-LEN(SUBSTITUTE($G2421,"-",""))-1),"."," ",(LEN(SUBSTITUTE(SUBSTITUTE($G2421,"-"," ",LEN($G2421)-LEN(SUBSTITUTE($G2421,"-",""))),"-"," ",LEN($G2421)-LEN(SUBSTITUTE($G2421,"-",""))-1))-LEN(SUBSTITUTE(SUBSTITUTE(SUBSTITUTE($G2421,"-"," ",LEN($G2421)-LEN(SUBSTITUTE($G2421,"-",""))),"-"," ",LEN($G2421)-LEN(SUBSTITUTE($G2421,"-",""))-1),".",""))))),$G2421)))</f>
        <v/>
      </c>
    </row>
    <row r="2422">
      <c r="A2422" s="58" t="n"/>
      <c r="B2422" s="58">
        <f>IF($H2422="","",LEFT($H2422,FIND(" ",$H2422&amp;" ")-1))</f>
        <v/>
      </c>
      <c r="C2422" s="58">
        <f>IF($H2422="","",IFERROR(MID($H2422&amp;" ",FIND("|",SUBSTITUTE($H2422&amp;" "," ","|",1))+1,FIND("|",SUBSTITUTE($H2422&amp;" "," ","|",2))-FIND("|",SUBSTITUTE($H2422&amp;" "," ","|",1))-1),""))</f>
        <v/>
      </c>
      <c r="D2422" s="58">
        <f>IF($H2422="","",IFERROR(MID($H2422&amp;" ",FIND("|",SUBSTITUTE($H2422&amp;" "," ","|",2))+1,FIND("|",SUBSTITUTE($H2422&amp;" "," ","|",3))-FIND("|",SUBSTITUTE($H2422&amp;" "," ","|",2))-1),""))</f>
        <v/>
      </c>
      <c r="E2422" s="58">
        <f>IF($H2422="","",IFERROR(MID($H2422&amp;" ",FIND("|",SUBSTITUTE($H2422&amp;" "," ","|",3))+1,FIND("|",SUBSTITUTE($H2422&amp;" "," ","|",4))-FIND("|",SUBSTITUTE($H2422&amp;" "," ","|",3))-1),""))</f>
        <v/>
      </c>
      <c r="F2422" s="59">
        <f>IF($H2422="","",IFERROR(VALUE(IFERROR(MID($H2422&amp;" ",FIND("|",SUBSTITUTE($H2422&amp;" "," ","|",4))+1,FIND("|",SUBSTITUTE($H2422&amp;" "," ","|",5))-FIND("|",SUBSTITUTE($H2422&amp;" "," ","|",4))-1),""))/86400+25569+9/24,""))</f>
        <v/>
      </c>
      <c r="G2422" s="58">
        <f>TRIM(SUBSTITUTE(SUBSTITUTE(SUBSTITUTE($A2422,CHAR(9)," ")," "," "),CHAR(13),""))</f>
        <v/>
      </c>
      <c r="H2422" s="58">
        <f>IF($G2422="","",IF(ISNUMBER(FIND(" ",$G2422)),$G2422,IFERROR(IF((LEN(SUBSTITUTE(SUBSTITUTE($G2422,"-"," ",LEN($G2422)-LEN(SUBSTITUTE($G2422,"-",""))),"-"," ",LEN($G2422)-LEN(SUBSTITUTE($G2422,"-",""))-1))-LEN(SUBSTITUTE(SUBSTITUTE(SUBSTITUTE($G2422,"-"," ",LEN($G2422)-LEN(SUBSTITUTE($G2422,"-",""))),"-"," ",LEN($G2422)-LEN(SUBSTITUTE($G2422,"-",""))-1),".","")))=0,SUBSTITUTE(SUBSTITUTE($G2422,"-"," ",LEN($G2422)-LEN(SUBSTITUTE($G2422,"-",""))),"-"," ",LEN($G2422)-LEN(SUBSTITUTE($G2422,"-",""))-1),SUBSTITUTE(SUBSTITUTE(SUBSTITUTE($G2422,"-"," ",LEN($G2422)-LEN(SUBSTITUTE($G2422,"-",""))),"-"," ",LEN($G2422)-LEN(SUBSTITUTE($G2422,"-",""))-1),"."," ",(LEN(SUBSTITUTE(SUBSTITUTE($G2422,"-"," ",LEN($G2422)-LEN(SUBSTITUTE($G2422,"-",""))),"-"," ",LEN($G2422)-LEN(SUBSTITUTE($G2422,"-",""))-1))-LEN(SUBSTITUTE(SUBSTITUTE(SUBSTITUTE($G2422,"-"," ",LEN($G2422)-LEN(SUBSTITUTE($G2422,"-",""))),"-"," ",LEN($G2422)-LEN(SUBSTITUTE($G2422,"-",""))-1),".",""))))),$G2422)))</f>
        <v/>
      </c>
    </row>
    <row r="2423">
      <c r="A2423" s="58" t="n"/>
      <c r="B2423" s="58">
        <f>IF($H2423="","",LEFT($H2423,FIND(" ",$H2423&amp;" ")-1))</f>
        <v/>
      </c>
      <c r="C2423" s="58">
        <f>IF($H2423="","",IFERROR(MID($H2423&amp;" ",FIND("|",SUBSTITUTE($H2423&amp;" "," ","|",1))+1,FIND("|",SUBSTITUTE($H2423&amp;" "," ","|",2))-FIND("|",SUBSTITUTE($H2423&amp;" "," ","|",1))-1),""))</f>
        <v/>
      </c>
      <c r="D2423" s="58">
        <f>IF($H2423="","",IFERROR(MID($H2423&amp;" ",FIND("|",SUBSTITUTE($H2423&amp;" "," ","|",2))+1,FIND("|",SUBSTITUTE($H2423&amp;" "," ","|",3))-FIND("|",SUBSTITUTE($H2423&amp;" "," ","|",2))-1),""))</f>
        <v/>
      </c>
      <c r="E2423" s="58">
        <f>IF($H2423="","",IFERROR(MID($H2423&amp;" ",FIND("|",SUBSTITUTE($H2423&amp;" "," ","|",3))+1,FIND("|",SUBSTITUTE($H2423&amp;" "," ","|",4))-FIND("|",SUBSTITUTE($H2423&amp;" "," ","|",3))-1),""))</f>
        <v/>
      </c>
      <c r="F2423" s="59">
        <f>IF($H2423="","",IFERROR(VALUE(IFERROR(MID($H2423&amp;" ",FIND("|",SUBSTITUTE($H2423&amp;" "," ","|",4))+1,FIND("|",SUBSTITUTE($H2423&amp;" "," ","|",5))-FIND("|",SUBSTITUTE($H2423&amp;" "," ","|",4))-1),""))/86400+25569+9/24,""))</f>
        <v/>
      </c>
      <c r="G2423" s="58">
        <f>TRIM(SUBSTITUTE(SUBSTITUTE(SUBSTITUTE($A2423,CHAR(9)," ")," "," "),CHAR(13),""))</f>
        <v/>
      </c>
      <c r="H2423" s="58">
        <f>IF($G2423="","",IF(ISNUMBER(FIND(" ",$G2423)),$G2423,IFERROR(IF((LEN(SUBSTITUTE(SUBSTITUTE($G2423,"-"," ",LEN($G2423)-LEN(SUBSTITUTE($G2423,"-",""))),"-"," ",LEN($G2423)-LEN(SUBSTITUTE($G2423,"-",""))-1))-LEN(SUBSTITUTE(SUBSTITUTE(SUBSTITUTE($G2423,"-"," ",LEN($G2423)-LEN(SUBSTITUTE($G2423,"-",""))),"-"," ",LEN($G2423)-LEN(SUBSTITUTE($G2423,"-",""))-1),".","")))=0,SUBSTITUTE(SUBSTITUTE($G2423,"-"," ",LEN($G2423)-LEN(SUBSTITUTE($G2423,"-",""))),"-"," ",LEN($G2423)-LEN(SUBSTITUTE($G2423,"-",""))-1),SUBSTITUTE(SUBSTITUTE(SUBSTITUTE($G2423,"-"," ",LEN($G2423)-LEN(SUBSTITUTE($G2423,"-",""))),"-"," ",LEN($G2423)-LEN(SUBSTITUTE($G2423,"-",""))-1),"."," ",(LEN(SUBSTITUTE(SUBSTITUTE($G2423,"-"," ",LEN($G2423)-LEN(SUBSTITUTE($G2423,"-",""))),"-"," ",LEN($G2423)-LEN(SUBSTITUTE($G2423,"-",""))-1))-LEN(SUBSTITUTE(SUBSTITUTE(SUBSTITUTE($G2423,"-"," ",LEN($G2423)-LEN(SUBSTITUTE($G2423,"-",""))),"-"," ",LEN($G2423)-LEN(SUBSTITUTE($G2423,"-",""))-1),".",""))))),$G2423)))</f>
        <v/>
      </c>
    </row>
    <row r="2424">
      <c r="A2424" s="58" t="n"/>
      <c r="B2424" s="58">
        <f>IF($H2424="","",LEFT($H2424,FIND(" ",$H2424&amp;" ")-1))</f>
        <v/>
      </c>
      <c r="C2424" s="58">
        <f>IF($H2424="","",IFERROR(MID($H2424&amp;" ",FIND("|",SUBSTITUTE($H2424&amp;" "," ","|",1))+1,FIND("|",SUBSTITUTE($H2424&amp;" "," ","|",2))-FIND("|",SUBSTITUTE($H2424&amp;" "," ","|",1))-1),""))</f>
        <v/>
      </c>
      <c r="D2424" s="58">
        <f>IF($H2424="","",IFERROR(MID($H2424&amp;" ",FIND("|",SUBSTITUTE($H2424&amp;" "," ","|",2))+1,FIND("|",SUBSTITUTE($H2424&amp;" "," ","|",3))-FIND("|",SUBSTITUTE($H2424&amp;" "," ","|",2))-1),""))</f>
        <v/>
      </c>
      <c r="E2424" s="58">
        <f>IF($H2424="","",IFERROR(MID($H2424&amp;" ",FIND("|",SUBSTITUTE($H2424&amp;" "," ","|",3))+1,FIND("|",SUBSTITUTE($H2424&amp;" "," ","|",4))-FIND("|",SUBSTITUTE($H2424&amp;" "," ","|",3))-1),""))</f>
        <v/>
      </c>
      <c r="F2424" s="59">
        <f>IF($H2424="","",IFERROR(VALUE(IFERROR(MID($H2424&amp;" ",FIND("|",SUBSTITUTE($H2424&amp;" "," ","|",4))+1,FIND("|",SUBSTITUTE($H2424&amp;" "," ","|",5))-FIND("|",SUBSTITUTE($H2424&amp;" "," ","|",4))-1),""))/86400+25569+9/24,""))</f>
        <v/>
      </c>
      <c r="G2424" s="58">
        <f>TRIM(SUBSTITUTE(SUBSTITUTE(SUBSTITUTE($A2424,CHAR(9)," ")," "," "),CHAR(13),""))</f>
        <v/>
      </c>
      <c r="H2424" s="58">
        <f>IF($G2424="","",IF(ISNUMBER(FIND(" ",$G2424)),$G2424,IFERROR(IF((LEN(SUBSTITUTE(SUBSTITUTE($G2424,"-"," ",LEN($G2424)-LEN(SUBSTITUTE($G2424,"-",""))),"-"," ",LEN($G2424)-LEN(SUBSTITUTE($G2424,"-",""))-1))-LEN(SUBSTITUTE(SUBSTITUTE(SUBSTITUTE($G2424,"-"," ",LEN($G2424)-LEN(SUBSTITUTE($G2424,"-",""))),"-"," ",LEN($G2424)-LEN(SUBSTITUTE($G2424,"-",""))-1),".","")))=0,SUBSTITUTE(SUBSTITUTE($G2424,"-"," ",LEN($G2424)-LEN(SUBSTITUTE($G2424,"-",""))),"-"," ",LEN($G2424)-LEN(SUBSTITUTE($G2424,"-",""))-1),SUBSTITUTE(SUBSTITUTE(SUBSTITUTE($G2424,"-"," ",LEN($G2424)-LEN(SUBSTITUTE($G2424,"-",""))),"-"," ",LEN($G2424)-LEN(SUBSTITUTE($G2424,"-",""))-1),"."," ",(LEN(SUBSTITUTE(SUBSTITUTE($G2424,"-"," ",LEN($G2424)-LEN(SUBSTITUTE($G2424,"-",""))),"-"," ",LEN($G2424)-LEN(SUBSTITUTE($G2424,"-",""))-1))-LEN(SUBSTITUTE(SUBSTITUTE(SUBSTITUTE($G2424,"-"," ",LEN($G2424)-LEN(SUBSTITUTE($G2424,"-",""))),"-"," ",LEN($G2424)-LEN(SUBSTITUTE($G2424,"-",""))-1),".",""))))),$G2424)))</f>
        <v/>
      </c>
    </row>
    <row r="2425">
      <c r="A2425" s="58" t="n"/>
      <c r="B2425" s="58">
        <f>IF($H2425="","",LEFT($H2425,FIND(" ",$H2425&amp;" ")-1))</f>
        <v/>
      </c>
      <c r="C2425" s="58">
        <f>IF($H2425="","",IFERROR(MID($H2425&amp;" ",FIND("|",SUBSTITUTE($H2425&amp;" "," ","|",1))+1,FIND("|",SUBSTITUTE($H2425&amp;" "," ","|",2))-FIND("|",SUBSTITUTE($H2425&amp;" "," ","|",1))-1),""))</f>
        <v/>
      </c>
      <c r="D2425" s="58">
        <f>IF($H2425="","",IFERROR(MID($H2425&amp;" ",FIND("|",SUBSTITUTE($H2425&amp;" "," ","|",2))+1,FIND("|",SUBSTITUTE($H2425&amp;" "," ","|",3))-FIND("|",SUBSTITUTE($H2425&amp;" "," ","|",2))-1),""))</f>
        <v/>
      </c>
      <c r="E2425" s="58">
        <f>IF($H2425="","",IFERROR(MID($H2425&amp;" ",FIND("|",SUBSTITUTE($H2425&amp;" "," ","|",3))+1,FIND("|",SUBSTITUTE($H2425&amp;" "," ","|",4))-FIND("|",SUBSTITUTE($H2425&amp;" "," ","|",3))-1),""))</f>
        <v/>
      </c>
      <c r="F2425" s="59">
        <f>IF($H2425="","",IFERROR(VALUE(IFERROR(MID($H2425&amp;" ",FIND("|",SUBSTITUTE($H2425&amp;" "," ","|",4))+1,FIND("|",SUBSTITUTE($H2425&amp;" "," ","|",5))-FIND("|",SUBSTITUTE($H2425&amp;" "," ","|",4))-1),""))/86400+25569+9/24,""))</f>
        <v/>
      </c>
      <c r="G2425" s="58">
        <f>TRIM(SUBSTITUTE(SUBSTITUTE(SUBSTITUTE($A2425,CHAR(9)," ")," "," "),CHAR(13),""))</f>
        <v/>
      </c>
      <c r="H2425" s="58">
        <f>IF($G2425="","",IF(ISNUMBER(FIND(" ",$G2425)),$G2425,IFERROR(IF((LEN(SUBSTITUTE(SUBSTITUTE($G2425,"-"," ",LEN($G2425)-LEN(SUBSTITUTE($G2425,"-",""))),"-"," ",LEN($G2425)-LEN(SUBSTITUTE($G2425,"-",""))-1))-LEN(SUBSTITUTE(SUBSTITUTE(SUBSTITUTE($G2425,"-"," ",LEN($G2425)-LEN(SUBSTITUTE($G2425,"-",""))),"-"," ",LEN($G2425)-LEN(SUBSTITUTE($G2425,"-",""))-1),".","")))=0,SUBSTITUTE(SUBSTITUTE($G2425,"-"," ",LEN($G2425)-LEN(SUBSTITUTE($G2425,"-",""))),"-"," ",LEN($G2425)-LEN(SUBSTITUTE($G2425,"-",""))-1),SUBSTITUTE(SUBSTITUTE(SUBSTITUTE($G2425,"-"," ",LEN($G2425)-LEN(SUBSTITUTE($G2425,"-",""))),"-"," ",LEN($G2425)-LEN(SUBSTITUTE($G2425,"-",""))-1),"."," ",(LEN(SUBSTITUTE(SUBSTITUTE($G2425,"-"," ",LEN($G2425)-LEN(SUBSTITUTE($G2425,"-",""))),"-"," ",LEN($G2425)-LEN(SUBSTITUTE($G2425,"-",""))-1))-LEN(SUBSTITUTE(SUBSTITUTE(SUBSTITUTE($G2425,"-"," ",LEN($G2425)-LEN(SUBSTITUTE($G2425,"-",""))),"-"," ",LEN($G2425)-LEN(SUBSTITUTE($G2425,"-",""))-1),".",""))))),$G2425)))</f>
        <v/>
      </c>
    </row>
    <row r="2426">
      <c r="A2426" s="58" t="n"/>
      <c r="B2426" s="58">
        <f>IF($H2426="","",LEFT($H2426,FIND(" ",$H2426&amp;" ")-1))</f>
        <v/>
      </c>
      <c r="C2426" s="58">
        <f>IF($H2426="","",IFERROR(MID($H2426&amp;" ",FIND("|",SUBSTITUTE($H2426&amp;" "," ","|",1))+1,FIND("|",SUBSTITUTE($H2426&amp;" "," ","|",2))-FIND("|",SUBSTITUTE($H2426&amp;" "," ","|",1))-1),""))</f>
        <v/>
      </c>
      <c r="D2426" s="58">
        <f>IF($H2426="","",IFERROR(MID($H2426&amp;" ",FIND("|",SUBSTITUTE($H2426&amp;" "," ","|",2))+1,FIND("|",SUBSTITUTE($H2426&amp;" "," ","|",3))-FIND("|",SUBSTITUTE($H2426&amp;" "," ","|",2))-1),""))</f>
        <v/>
      </c>
      <c r="E2426" s="58">
        <f>IF($H2426="","",IFERROR(MID($H2426&amp;" ",FIND("|",SUBSTITUTE($H2426&amp;" "," ","|",3))+1,FIND("|",SUBSTITUTE($H2426&amp;" "," ","|",4))-FIND("|",SUBSTITUTE($H2426&amp;" "," ","|",3))-1),""))</f>
        <v/>
      </c>
      <c r="F2426" s="59">
        <f>IF($H2426="","",IFERROR(VALUE(IFERROR(MID($H2426&amp;" ",FIND("|",SUBSTITUTE($H2426&amp;" "," ","|",4))+1,FIND("|",SUBSTITUTE($H2426&amp;" "," ","|",5))-FIND("|",SUBSTITUTE($H2426&amp;" "," ","|",4))-1),""))/86400+25569+9/24,""))</f>
        <v/>
      </c>
      <c r="G2426" s="58">
        <f>TRIM(SUBSTITUTE(SUBSTITUTE(SUBSTITUTE($A2426,CHAR(9)," ")," "," "),CHAR(13),""))</f>
        <v/>
      </c>
      <c r="H2426" s="58">
        <f>IF($G2426="","",IF(ISNUMBER(FIND(" ",$G2426)),$G2426,IFERROR(IF((LEN(SUBSTITUTE(SUBSTITUTE($G2426,"-"," ",LEN($G2426)-LEN(SUBSTITUTE($G2426,"-",""))),"-"," ",LEN($G2426)-LEN(SUBSTITUTE($G2426,"-",""))-1))-LEN(SUBSTITUTE(SUBSTITUTE(SUBSTITUTE($G2426,"-"," ",LEN($G2426)-LEN(SUBSTITUTE($G2426,"-",""))),"-"," ",LEN($G2426)-LEN(SUBSTITUTE($G2426,"-",""))-1),".","")))=0,SUBSTITUTE(SUBSTITUTE($G2426,"-"," ",LEN($G2426)-LEN(SUBSTITUTE($G2426,"-",""))),"-"," ",LEN($G2426)-LEN(SUBSTITUTE($G2426,"-",""))-1),SUBSTITUTE(SUBSTITUTE(SUBSTITUTE($G2426,"-"," ",LEN($G2426)-LEN(SUBSTITUTE($G2426,"-",""))),"-"," ",LEN($G2426)-LEN(SUBSTITUTE($G2426,"-",""))-1),"."," ",(LEN(SUBSTITUTE(SUBSTITUTE($G2426,"-"," ",LEN($G2426)-LEN(SUBSTITUTE($G2426,"-",""))),"-"," ",LEN($G2426)-LEN(SUBSTITUTE($G2426,"-",""))-1))-LEN(SUBSTITUTE(SUBSTITUTE(SUBSTITUTE($G2426,"-"," ",LEN($G2426)-LEN(SUBSTITUTE($G2426,"-",""))),"-"," ",LEN($G2426)-LEN(SUBSTITUTE($G2426,"-",""))-1),".",""))))),$G2426)))</f>
        <v/>
      </c>
    </row>
    <row r="2427">
      <c r="A2427" s="58" t="n"/>
      <c r="B2427" s="58">
        <f>IF($H2427="","",LEFT($H2427,FIND(" ",$H2427&amp;" ")-1))</f>
        <v/>
      </c>
      <c r="C2427" s="58">
        <f>IF($H2427="","",IFERROR(MID($H2427&amp;" ",FIND("|",SUBSTITUTE($H2427&amp;" "," ","|",1))+1,FIND("|",SUBSTITUTE($H2427&amp;" "," ","|",2))-FIND("|",SUBSTITUTE($H2427&amp;" "," ","|",1))-1),""))</f>
        <v/>
      </c>
      <c r="D2427" s="58">
        <f>IF($H2427="","",IFERROR(MID($H2427&amp;" ",FIND("|",SUBSTITUTE($H2427&amp;" "," ","|",2))+1,FIND("|",SUBSTITUTE($H2427&amp;" "," ","|",3))-FIND("|",SUBSTITUTE($H2427&amp;" "," ","|",2))-1),""))</f>
        <v/>
      </c>
      <c r="E2427" s="58">
        <f>IF($H2427="","",IFERROR(MID($H2427&amp;" ",FIND("|",SUBSTITUTE($H2427&amp;" "," ","|",3))+1,FIND("|",SUBSTITUTE($H2427&amp;" "," ","|",4))-FIND("|",SUBSTITUTE($H2427&amp;" "," ","|",3))-1),""))</f>
        <v/>
      </c>
      <c r="F2427" s="59">
        <f>IF($H2427="","",IFERROR(VALUE(IFERROR(MID($H2427&amp;" ",FIND("|",SUBSTITUTE($H2427&amp;" "," ","|",4))+1,FIND("|",SUBSTITUTE($H2427&amp;" "," ","|",5))-FIND("|",SUBSTITUTE($H2427&amp;" "," ","|",4))-1),""))/86400+25569+9/24,""))</f>
        <v/>
      </c>
      <c r="G2427" s="58">
        <f>TRIM(SUBSTITUTE(SUBSTITUTE(SUBSTITUTE($A2427,CHAR(9)," ")," "," "),CHAR(13),""))</f>
        <v/>
      </c>
      <c r="H2427" s="58">
        <f>IF($G2427="","",IF(ISNUMBER(FIND(" ",$G2427)),$G2427,IFERROR(IF((LEN(SUBSTITUTE(SUBSTITUTE($G2427,"-"," ",LEN($G2427)-LEN(SUBSTITUTE($G2427,"-",""))),"-"," ",LEN($G2427)-LEN(SUBSTITUTE($G2427,"-",""))-1))-LEN(SUBSTITUTE(SUBSTITUTE(SUBSTITUTE($G2427,"-"," ",LEN($G2427)-LEN(SUBSTITUTE($G2427,"-",""))),"-"," ",LEN($G2427)-LEN(SUBSTITUTE($G2427,"-",""))-1),".","")))=0,SUBSTITUTE(SUBSTITUTE($G2427,"-"," ",LEN($G2427)-LEN(SUBSTITUTE($G2427,"-",""))),"-"," ",LEN($G2427)-LEN(SUBSTITUTE($G2427,"-",""))-1),SUBSTITUTE(SUBSTITUTE(SUBSTITUTE($G2427,"-"," ",LEN($G2427)-LEN(SUBSTITUTE($G2427,"-",""))),"-"," ",LEN($G2427)-LEN(SUBSTITUTE($G2427,"-",""))-1),"."," ",(LEN(SUBSTITUTE(SUBSTITUTE($G2427,"-"," ",LEN($G2427)-LEN(SUBSTITUTE($G2427,"-",""))),"-"," ",LEN($G2427)-LEN(SUBSTITUTE($G2427,"-",""))-1))-LEN(SUBSTITUTE(SUBSTITUTE(SUBSTITUTE($G2427,"-"," ",LEN($G2427)-LEN(SUBSTITUTE($G2427,"-",""))),"-"," ",LEN($G2427)-LEN(SUBSTITUTE($G2427,"-",""))-1),".",""))))),$G2427)))</f>
        <v/>
      </c>
    </row>
    <row r="2428">
      <c r="A2428" s="58" t="n"/>
      <c r="B2428" s="58">
        <f>IF($H2428="","",LEFT($H2428,FIND(" ",$H2428&amp;" ")-1))</f>
        <v/>
      </c>
      <c r="C2428" s="58">
        <f>IF($H2428="","",IFERROR(MID($H2428&amp;" ",FIND("|",SUBSTITUTE($H2428&amp;" "," ","|",1))+1,FIND("|",SUBSTITUTE($H2428&amp;" "," ","|",2))-FIND("|",SUBSTITUTE($H2428&amp;" "," ","|",1))-1),""))</f>
        <v/>
      </c>
      <c r="D2428" s="58">
        <f>IF($H2428="","",IFERROR(MID($H2428&amp;" ",FIND("|",SUBSTITUTE($H2428&amp;" "," ","|",2))+1,FIND("|",SUBSTITUTE($H2428&amp;" "," ","|",3))-FIND("|",SUBSTITUTE($H2428&amp;" "," ","|",2))-1),""))</f>
        <v/>
      </c>
      <c r="E2428" s="58">
        <f>IF($H2428="","",IFERROR(MID($H2428&amp;" ",FIND("|",SUBSTITUTE($H2428&amp;" "," ","|",3))+1,FIND("|",SUBSTITUTE($H2428&amp;" "," ","|",4))-FIND("|",SUBSTITUTE($H2428&amp;" "," ","|",3))-1),""))</f>
        <v/>
      </c>
      <c r="F2428" s="59">
        <f>IF($H2428="","",IFERROR(VALUE(IFERROR(MID($H2428&amp;" ",FIND("|",SUBSTITUTE($H2428&amp;" "," ","|",4))+1,FIND("|",SUBSTITUTE($H2428&amp;" "," ","|",5))-FIND("|",SUBSTITUTE($H2428&amp;" "," ","|",4))-1),""))/86400+25569+9/24,""))</f>
        <v/>
      </c>
      <c r="G2428" s="58">
        <f>TRIM(SUBSTITUTE(SUBSTITUTE(SUBSTITUTE($A2428,CHAR(9)," ")," "," "),CHAR(13),""))</f>
        <v/>
      </c>
      <c r="H2428" s="58">
        <f>IF($G2428="","",IF(ISNUMBER(FIND(" ",$G2428)),$G2428,IFERROR(IF((LEN(SUBSTITUTE(SUBSTITUTE($G2428,"-"," ",LEN($G2428)-LEN(SUBSTITUTE($G2428,"-",""))),"-"," ",LEN($G2428)-LEN(SUBSTITUTE($G2428,"-",""))-1))-LEN(SUBSTITUTE(SUBSTITUTE(SUBSTITUTE($G2428,"-"," ",LEN($G2428)-LEN(SUBSTITUTE($G2428,"-",""))),"-"," ",LEN($G2428)-LEN(SUBSTITUTE($G2428,"-",""))-1),".","")))=0,SUBSTITUTE(SUBSTITUTE($G2428,"-"," ",LEN($G2428)-LEN(SUBSTITUTE($G2428,"-",""))),"-"," ",LEN($G2428)-LEN(SUBSTITUTE($G2428,"-",""))-1),SUBSTITUTE(SUBSTITUTE(SUBSTITUTE($G2428,"-"," ",LEN($G2428)-LEN(SUBSTITUTE($G2428,"-",""))),"-"," ",LEN($G2428)-LEN(SUBSTITUTE($G2428,"-",""))-1),"."," ",(LEN(SUBSTITUTE(SUBSTITUTE($G2428,"-"," ",LEN($G2428)-LEN(SUBSTITUTE($G2428,"-",""))),"-"," ",LEN($G2428)-LEN(SUBSTITUTE($G2428,"-",""))-1))-LEN(SUBSTITUTE(SUBSTITUTE(SUBSTITUTE($G2428,"-"," ",LEN($G2428)-LEN(SUBSTITUTE($G2428,"-",""))),"-"," ",LEN($G2428)-LEN(SUBSTITUTE($G2428,"-",""))-1),".",""))))),$G2428)))</f>
        <v/>
      </c>
    </row>
    <row r="2429">
      <c r="A2429" s="58" t="n"/>
      <c r="B2429" s="58">
        <f>IF($H2429="","",LEFT($H2429,FIND(" ",$H2429&amp;" ")-1))</f>
        <v/>
      </c>
      <c r="C2429" s="58">
        <f>IF($H2429="","",IFERROR(MID($H2429&amp;" ",FIND("|",SUBSTITUTE($H2429&amp;" "," ","|",1))+1,FIND("|",SUBSTITUTE($H2429&amp;" "," ","|",2))-FIND("|",SUBSTITUTE($H2429&amp;" "," ","|",1))-1),""))</f>
        <v/>
      </c>
      <c r="D2429" s="58">
        <f>IF($H2429="","",IFERROR(MID($H2429&amp;" ",FIND("|",SUBSTITUTE($H2429&amp;" "," ","|",2))+1,FIND("|",SUBSTITUTE($H2429&amp;" "," ","|",3))-FIND("|",SUBSTITUTE($H2429&amp;" "," ","|",2))-1),""))</f>
        <v/>
      </c>
      <c r="E2429" s="58">
        <f>IF($H2429="","",IFERROR(MID($H2429&amp;" ",FIND("|",SUBSTITUTE($H2429&amp;" "," ","|",3))+1,FIND("|",SUBSTITUTE($H2429&amp;" "," ","|",4))-FIND("|",SUBSTITUTE($H2429&amp;" "," ","|",3))-1),""))</f>
        <v/>
      </c>
      <c r="F2429" s="59">
        <f>IF($H2429="","",IFERROR(VALUE(IFERROR(MID($H2429&amp;" ",FIND("|",SUBSTITUTE($H2429&amp;" "," ","|",4))+1,FIND("|",SUBSTITUTE($H2429&amp;" "," ","|",5))-FIND("|",SUBSTITUTE($H2429&amp;" "," ","|",4))-1),""))/86400+25569+9/24,""))</f>
        <v/>
      </c>
      <c r="G2429" s="58">
        <f>TRIM(SUBSTITUTE(SUBSTITUTE(SUBSTITUTE($A2429,CHAR(9)," ")," "," "),CHAR(13),""))</f>
        <v/>
      </c>
      <c r="H2429" s="58">
        <f>IF($G2429="","",IF(ISNUMBER(FIND(" ",$G2429)),$G2429,IFERROR(IF((LEN(SUBSTITUTE(SUBSTITUTE($G2429,"-"," ",LEN($G2429)-LEN(SUBSTITUTE($G2429,"-",""))),"-"," ",LEN($G2429)-LEN(SUBSTITUTE($G2429,"-",""))-1))-LEN(SUBSTITUTE(SUBSTITUTE(SUBSTITUTE($G2429,"-"," ",LEN($G2429)-LEN(SUBSTITUTE($G2429,"-",""))),"-"," ",LEN($G2429)-LEN(SUBSTITUTE($G2429,"-",""))-1),".","")))=0,SUBSTITUTE(SUBSTITUTE($G2429,"-"," ",LEN($G2429)-LEN(SUBSTITUTE($G2429,"-",""))),"-"," ",LEN($G2429)-LEN(SUBSTITUTE($G2429,"-",""))-1),SUBSTITUTE(SUBSTITUTE(SUBSTITUTE($G2429,"-"," ",LEN($G2429)-LEN(SUBSTITUTE($G2429,"-",""))),"-"," ",LEN($G2429)-LEN(SUBSTITUTE($G2429,"-",""))-1),"."," ",(LEN(SUBSTITUTE(SUBSTITUTE($G2429,"-"," ",LEN($G2429)-LEN(SUBSTITUTE($G2429,"-",""))),"-"," ",LEN($G2429)-LEN(SUBSTITUTE($G2429,"-",""))-1))-LEN(SUBSTITUTE(SUBSTITUTE(SUBSTITUTE($G2429,"-"," ",LEN($G2429)-LEN(SUBSTITUTE($G2429,"-",""))),"-"," ",LEN($G2429)-LEN(SUBSTITUTE($G2429,"-",""))-1),".",""))))),$G2429)))</f>
        <v/>
      </c>
    </row>
    <row r="2430">
      <c r="A2430" s="58" t="n"/>
      <c r="B2430" s="58">
        <f>IF($H2430="","",LEFT($H2430,FIND(" ",$H2430&amp;" ")-1))</f>
        <v/>
      </c>
      <c r="C2430" s="58">
        <f>IF($H2430="","",IFERROR(MID($H2430&amp;" ",FIND("|",SUBSTITUTE($H2430&amp;" "," ","|",1))+1,FIND("|",SUBSTITUTE($H2430&amp;" "," ","|",2))-FIND("|",SUBSTITUTE($H2430&amp;" "," ","|",1))-1),""))</f>
        <v/>
      </c>
      <c r="D2430" s="58">
        <f>IF($H2430="","",IFERROR(MID($H2430&amp;" ",FIND("|",SUBSTITUTE($H2430&amp;" "," ","|",2))+1,FIND("|",SUBSTITUTE($H2430&amp;" "," ","|",3))-FIND("|",SUBSTITUTE($H2430&amp;" "," ","|",2))-1),""))</f>
        <v/>
      </c>
      <c r="E2430" s="58">
        <f>IF($H2430="","",IFERROR(MID($H2430&amp;" ",FIND("|",SUBSTITUTE($H2430&amp;" "," ","|",3))+1,FIND("|",SUBSTITUTE($H2430&amp;" "," ","|",4))-FIND("|",SUBSTITUTE($H2430&amp;" "," ","|",3))-1),""))</f>
        <v/>
      </c>
      <c r="F2430" s="59">
        <f>IF($H2430="","",IFERROR(VALUE(IFERROR(MID($H2430&amp;" ",FIND("|",SUBSTITUTE($H2430&amp;" "," ","|",4))+1,FIND("|",SUBSTITUTE($H2430&amp;" "," ","|",5))-FIND("|",SUBSTITUTE($H2430&amp;" "," ","|",4))-1),""))/86400+25569+9/24,""))</f>
        <v/>
      </c>
      <c r="G2430" s="58">
        <f>TRIM(SUBSTITUTE(SUBSTITUTE(SUBSTITUTE($A2430,CHAR(9)," ")," "," "),CHAR(13),""))</f>
        <v/>
      </c>
      <c r="H2430" s="58">
        <f>IF($G2430="","",IF(ISNUMBER(FIND(" ",$G2430)),$G2430,IFERROR(IF((LEN(SUBSTITUTE(SUBSTITUTE($G2430,"-"," ",LEN($G2430)-LEN(SUBSTITUTE($G2430,"-",""))),"-"," ",LEN($G2430)-LEN(SUBSTITUTE($G2430,"-",""))-1))-LEN(SUBSTITUTE(SUBSTITUTE(SUBSTITUTE($G2430,"-"," ",LEN($G2430)-LEN(SUBSTITUTE($G2430,"-",""))),"-"," ",LEN($G2430)-LEN(SUBSTITUTE($G2430,"-",""))-1),".","")))=0,SUBSTITUTE(SUBSTITUTE($G2430,"-"," ",LEN($G2430)-LEN(SUBSTITUTE($G2430,"-",""))),"-"," ",LEN($G2430)-LEN(SUBSTITUTE($G2430,"-",""))-1),SUBSTITUTE(SUBSTITUTE(SUBSTITUTE($G2430,"-"," ",LEN($G2430)-LEN(SUBSTITUTE($G2430,"-",""))),"-"," ",LEN($G2430)-LEN(SUBSTITUTE($G2430,"-",""))-1),"."," ",(LEN(SUBSTITUTE(SUBSTITUTE($G2430,"-"," ",LEN($G2430)-LEN(SUBSTITUTE($G2430,"-",""))),"-"," ",LEN($G2430)-LEN(SUBSTITUTE($G2430,"-",""))-1))-LEN(SUBSTITUTE(SUBSTITUTE(SUBSTITUTE($G2430,"-"," ",LEN($G2430)-LEN(SUBSTITUTE($G2430,"-",""))),"-"," ",LEN($G2430)-LEN(SUBSTITUTE($G2430,"-",""))-1),".",""))))),$G2430)))</f>
        <v/>
      </c>
    </row>
    <row r="2431">
      <c r="A2431" s="58" t="n"/>
      <c r="B2431" s="58">
        <f>IF($H2431="","",LEFT($H2431,FIND(" ",$H2431&amp;" ")-1))</f>
        <v/>
      </c>
      <c r="C2431" s="58">
        <f>IF($H2431="","",IFERROR(MID($H2431&amp;" ",FIND("|",SUBSTITUTE($H2431&amp;" "," ","|",1))+1,FIND("|",SUBSTITUTE($H2431&amp;" "," ","|",2))-FIND("|",SUBSTITUTE($H2431&amp;" "," ","|",1))-1),""))</f>
        <v/>
      </c>
      <c r="D2431" s="58">
        <f>IF($H2431="","",IFERROR(MID($H2431&amp;" ",FIND("|",SUBSTITUTE($H2431&amp;" "," ","|",2))+1,FIND("|",SUBSTITUTE($H2431&amp;" "," ","|",3))-FIND("|",SUBSTITUTE($H2431&amp;" "," ","|",2))-1),""))</f>
        <v/>
      </c>
      <c r="E2431" s="58">
        <f>IF($H2431="","",IFERROR(MID($H2431&amp;" ",FIND("|",SUBSTITUTE($H2431&amp;" "," ","|",3))+1,FIND("|",SUBSTITUTE($H2431&amp;" "," ","|",4))-FIND("|",SUBSTITUTE($H2431&amp;" "," ","|",3))-1),""))</f>
        <v/>
      </c>
      <c r="F2431" s="59">
        <f>IF($H2431="","",IFERROR(VALUE(IFERROR(MID($H2431&amp;" ",FIND("|",SUBSTITUTE($H2431&amp;" "," ","|",4))+1,FIND("|",SUBSTITUTE($H2431&amp;" "," ","|",5))-FIND("|",SUBSTITUTE($H2431&amp;" "," ","|",4))-1),""))/86400+25569+9/24,""))</f>
        <v/>
      </c>
      <c r="G2431" s="58">
        <f>TRIM(SUBSTITUTE(SUBSTITUTE(SUBSTITUTE($A2431,CHAR(9)," ")," "," "),CHAR(13),""))</f>
        <v/>
      </c>
      <c r="H2431" s="58">
        <f>IF($G2431="","",IF(ISNUMBER(FIND(" ",$G2431)),$G2431,IFERROR(IF((LEN(SUBSTITUTE(SUBSTITUTE($G2431,"-"," ",LEN($G2431)-LEN(SUBSTITUTE($G2431,"-",""))),"-"," ",LEN($G2431)-LEN(SUBSTITUTE($G2431,"-",""))-1))-LEN(SUBSTITUTE(SUBSTITUTE(SUBSTITUTE($G2431,"-"," ",LEN($G2431)-LEN(SUBSTITUTE($G2431,"-",""))),"-"," ",LEN($G2431)-LEN(SUBSTITUTE($G2431,"-",""))-1),".","")))=0,SUBSTITUTE(SUBSTITUTE($G2431,"-"," ",LEN($G2431)-LEN(SUBSTITUTE($G2431,"-",""))),"-"," ",LEN($G2431)-LEN(SUBSTITUTE($G2431,"-",""))-1),SUBSTITUTE(SUBSTITUTE(SUBSTITUTE($G2431,"-"," ",LEN($G2431)-LEN(SUBSTITUTE($G2431,"-",""))),"-"," ",LEN($G2431)-LEN(SUBSTITUTE($G2431,"-",""))-1),"."," ",(LEN(SUBSTITUTE(SUBSTITUTE($G2431,"-"," ",LEN($G2431)-LEN(SUBSTITUTE($G2431,"-",""))),"-"," ",LEN($G2431)-LEN(SUBSTITUTE($G2431,"-",""))-1))-LEN(SUBSTITUTE(SUBSTITUTE(SUBSTITUTE($G2431,"-"," ",LEN($G2431)-LEN(SUBSTITUTE($G2431,"-",""))),"-"," ",LEN($G2431)-LEN(SUBSTITUTE($G2431,"-",""))-1),".",""))))),$G2431)))</f>
        <v/>
      </c>
    </row>
    <row r="2432">
      <c r="A2432" s="58" t="n"/>
      <c r="B2432" s="58">
        <f>IF($H2432="","",LEFT($H2432,FIND(" ",$H2432&amp;" ")-1))</f>
        <v/>
      </c>
      <c r="C2432" s="58">
        <f>IF($H2432="","",IFERROR(MID($H2432&amp;" ",FIND("|",SUBSTITUTE($H2432&amp;" "," ","|",1))+1,FIND("|",SUBSTITUTE($H2432&amp;" "," ","|",2))-FIND("|",SUBSTITUTE($H2432&amp;" "," ","|",1))-1),""))</f>
        <v/>
      </c>
      <c r="D2432" s="58">
        <f>IF($H2432="","",IFERROR(MID($H2432&amp;" ",FIND("|",SUBSTITUTE($H2432&amp;" "," ","|",2))+1,FIND("|",SUBSTITUTE($H2432&amp;" "," ","|",3))-FIND("|",SUBSTITUTE($H2432&amp;" "," ","|",2))-1),""))</f>
        <v/>
      </c>
      <c r="E2432" s="58">
        <f>IF($H2432="","",IFERROR(MID($H2432&amp;" ",FIND("|",SUBSTITUTE($H2432&amp;" "," ","|",3))+1,FIND("|",SUBSTITUTE($H2432&amp;" "," ","|",4))-FIND("|",SUBSTITUTE($H2432&amp;" "," ","|",3))-1),""))</f>
        <v/>
      </c>
      <c r="F2432" s="59">
        <f>IF($H2432="","",IFERROR(VALUE(IFERROR(MID($H2432&amp;" ",FIND("|",SUBSTITUTE($H2432&amp;" "," ","|",4))+1,FIND("|",SUBSTITUTE($H2432&amp;" "," ","|",5))-FIND("|",SUBSTITUTE($H2432&amp;" "," ","|",4))-1),""))/86400+25569+9/24,""))</f>
        <v/>
      </c>
      <c r="G2432" s="58">
        <f>TRIM(SUBSTITUTE(SUBSTITUTE(SUBSTITUTE($A2432,CHAR(9)," ")," "," "),CHAR(13),""))</f>
        <v/>
      </c>
      <c r="H2432" s="58">
        <f>IF($G2432="","",IF(ISNUMBER(FIND(" ",$G2432)),$G2432,IFERROR(IF((LEN(SUBSTITUTE(SUBSTITUTE($G2432,"-"," ",LEN($G2432)-LEN(SUBSTITUTE($G2432,"-",""))),"-"," ",LEN($G2432)-LEN(SUBSTITUTE($G2432,"-",""))-1))-LEN(SUBSTITUTE(SUBSTITUTE(SUBSTITUTE($G2432,"-"," ",LEN($G2432)-LEN(SUBSTITUTE($G2432,"-",""))),"-"," ",LEN($G2432)-LEN(SUBSTITUTE($G2432,"-",""))-1),".","")))=0,SUBSTITUTE(SUBSTITUTE($G2432,"-"," ",LEN($G2432)-LEN(SUBSTITUTE($G2432,"-",""))),"-"," ",LEN($G2432)-LEN(SUBSTITUTE($G2432,"-",""))-1),SUBSTITUTE(SUBSTITUTE(SUBSTITUTE($G2432,"-"," ",LEN($G2432)-LEN(SUBSTITUTE($G2432,"-",""))),"-"," ",LEN($G2432)-LEN(SUBSTITUTE($G2432,"-",""))-1),"."," ",(LEN(SUBSTITUTE(SUBSTITUTE($G2432,"-"," ",LEN($G2432)-LEN(SUBSTITUTE($G2432,"-",""))),"-"," ",LEN($G2432)-LEN(SUBSTITUTE($G2432,"-",""))-1))-LEN(SUBSTITUTE(SUBSTITUTE(SUBSTITUTE($G2432,"-"," ",LEN($G2432)-LEN(SUBSTITUTE($G2432,"-",""))),"-"," ",LEN($G2432)-LEN(SUBSTITUTE($G2432,"-",""))-1),".",""))))),$G2432)))</f>
        <v/>
      </c>
    </row>
    <row r="2433">
      <c r="A2433" s="58" t="n"/>
      <c r="B2433" s="58">
        <f>IF($H2433="","",LEFT($H2433,FIND(" ",$H2433&amp;" ")-1))</f>
        <v/>
      </c>
      <c r="C2433" s="58">
        <f>IF($H2433="","",IFERROR(MID($H2433&amp;" ",FIND("|",SUBSTITUTE($H2433&amp;" "," ","|",1))+1,FIND("|",SUBSTITUTE($H2433&amp;" "," ","|",2))-FIND("|",SUBSTITUTE($H2433&amp;" "," ","|",1))-1),""))</f>
        <v/>
      </c>
      <c r="D2433" s="58">
        <f>IF($H2433="","",IFERROR(MID($H2433&amp;" ",FIND("|",SUBSTITUTE($H2433&amp;" "," ","|",2))+1,FIND("|",SUBSTITUTE($H2433&amp;" "," ","|",3))-FIND("|",SUBSTITUTE($H2433&amp;" "," ","|",2))-1),""))</f>
        <v/>
      </c>
      <c r="E2433" s="58">
        <f>IF($H2433="","",IFERROR(MID($H2433&amp;" ",FIND("|",SUBSTITUTE($H2433&amp;" "," ","|",3))+1,FIND("|",SUBSTITUTE($H2433&amp;" "," ","|",4))-FIND("|",SUBSTITUTE($H2433&amp;" "," ","|",3))-1),""))</f>
        <v/>
      </c>
      <c r="F2433" s="59">
        <f>IF($H2433="","",IFERROR(VALUE(IFERROR(MID($H2433&amp;" ",FIND("|",SUBSTITUTE($H2433&amp;" "," ","|",4))+1,FIND("|",SUBSTITUTE($H2433&amp;" "," ","|",5))-FIND("|",SUBSTITUTE($H2433&amp;" "," ","|",4))-1),""))/86400+25569+9/24,""))</f>
        <v/>
      </c>
      <c r="G2433" s="58">
        <f>TRIM(SUBSTITUTE(SUBSTITUTE(SUBSTITUTE($A2433,CHAR(9)," ")," "," "),CHAR(13),""))</f>
        <v/>
      </c>
      <c r="H2433" s="58">
        <f>IF($G2433="","",IF(ISNUMBER(FIND(" ",$G2433)),$G2433,IFERROR(IF((LEN(SUBSTITUTE(SUBSTITUTE($G2433,"-"," ",LEN($G2433)-LEN(SUBSTITUTE($G2433,"-",""))),"-"," ",LEN($G2433)-LEN(SUBSTITUTE($G2433,"-",""))-1))-LEN(SUBSTITUTE(SUBSTITUTE(SUBSTITUTE($G2433,"-"," ",LEN($G2433)-LEN(SUBSTITUTE($G2433,"-",""))),"-"," ",LEN($G2433)-LEN(SUBSTITUTE($G2433,"-",""))-1),".","")))=0,SUBSTITUTE(SUBSTITUTE($G2433,"-"," ",LEN($G2433)-LEN(SUBSTITUTE($G2433,"-",""))),"-"," ",LEN($G2433)-LEN(SUBSTITUTE($G2433,"-",""))-1),SUBSTITUTE(SUBSTITUTE(SUBSTITUTE($G2433,"-"," ",LEN($G2433)-LEN(SUBSTITUTE($G2433,"-",""))),"-"," ",LEN($G2433)-LEN(SUBSTITUTE($G2433,"-",""))-1),"."," ",(LEN(SUBSTITUTE(SUBSTITUTE($G2433,"-"," ",LEN($G2433)-LEN(SUBSTITUTE($G2433,"-",""))),"-"," ",LEN($G2433)-LEN(SUBSTITUTE($G2433,"-",""))-1))-LEN(SUBSTITUTE(SUBSTITUTE(SUBSTITUTE($G2433,"-"," ",LEN($G2433)-LEN(SUBSTITUTE($G2433,"-",""))),"-"," ",LEN($G2433)-LEN(SUBSTITUTE($G2433,"-",""))-1),".",""))))),$G2433)))</f>
        <v/>
      </c>
    </row>
    <row r="2434">
      <c r="A2434" s="58" t="n"/>
      <c r="B2434" s="58">
        <f>IF($H2434="","",LEFT($H2434,FIND(" ",$H2434&amp;" ")-1))</f>
        <v/>
      </c>
      <c r="C2434" s="58">
        <f>IF($H2434="","",IFERROR(MID($H2434&amp;" ",FIND("|",SUBSTITUTE($H2434&amp;" "," ","|",1))+1,FIND("|",SUBSTITUTE($H2434&amp;" "," ","|",2))-FIND("|",SUBSTITUTE($H2434&amp;" "," ","|",1))-1),""))</f>
        <v/>
      </c>
      <c r="D2434" s="58">
        <f>IF($H2434="","",IFERROR(MID($H2434&amp;" ",FIND("|",SUBSTITUTE($H2434&amp;" "," ","|",2))+1,FIND("|",SUBSTITUTE($H2434&amp;" "," ","|",3))-FIND("|",SUBSTITUTE($H2434&amp;" "," ","|",2))-1),""))</f>
        <v/>
      </c>
      <c r="E2434" s="58">
        <f>IF($H2434="","",IFERROR(MID($H2434&amp;" ",FIND("|",SUBSTITUTE($H2434&amp;" "," ","|",3))+1,FIND("|",SUBSTITUTE($H2434&amp;" "," ","|",4))-FIND("|",SUBSTITUTE($H2434&amp;" "," ","|",3))-1),""))</f>
        <v/>
      </c>
      <c r="F2434" s="59">
        <f>IF($H2434="","",IFERROR(VALUE(IFERROR(MID($H2434&amp;" ",FIND("|",SUBSTITUTE($H2434&amp;" "," ","|",4))+1,FIND("|",SUBSTITUTE($H2434&amp;" "," ","|",5))-FIND("|",SUBSTITUTE($H2434&amp;" "," ","|",4))-1),""))/86400+25569+9/24,""))</f>
        <v/>
      </c>
      <c r="G2434" s="58">
        <f>TRIM(SUBSTITUTE(SUBSTITUTE(SUBSTITUTE($A2434,CHAR(9)," ")," "," "),CHAR(13),""))</f>
        <v/>
      </c>
      <c r="H2434" s="58">
        <f>IF($G2434="","",IF(ISNUMBER(FIND(" ",$G2434)),$G2434,IFERROR(IF((LEN(SUBSTITUTE(SUBSTITUTE($G2434,"-"," ",LEN($G2434)-LEN(SUBSTITUTE($G2434,"-",""))),"-"," ",LEN($G2434)-LEN(SUBSTITUTE($G2434,"-",""))-1))-LEN(SUBSTITUTE(SUBSTITUTE(SUBSTITUTE($G2434,"-"," ",LEN($G2434)-LEN(SUBSTITUTE($G2434,"-",""))),"-"," ",LEN($G2434)-LEN(SUBSTITUTE($G2434,"-",""))-1),".","")))=0,SUBSTITUTE(SUBSTITUTE($G2434,"-"," ",LEN($G2434)-LEN(SUBSTITUTE($G2434,"-",""))),"-"," ",LEN($G2434)-LEN(SUBSTITUTE($G2434,"-",""))-1),SUBSTITUTE(SUBSTITUTE(SUBSTITUTE($G2434,"-"," ",LEN($G2434)-LEN(SUBSTITUTE($G2434,"-",""))),"-"," ",LEN($G2434)-LEN(SUBSTITUTE($G2434,"-",""))-1),"."," ",(LEN(SUBSTITUTE(SUBSTITUTE($G2434,"-"," ",LEN($G2434)-LEN(SUBSTITUTE($G2434,"-",""))),"-"," ",LEN($G2434)-LEN(SUBSTITUTE($G2434,"-",""))-1))-LEN(SUBSTITUTE(SUBSTITUTE(SUBSTITUTE($G2434,"-"," ",LEN($G2434)-LEN(SUBSTITUTE($G2434,"-",""))),"-"," ",LEN($G2434)-LEN(SUBSTITUTE($G2434,"-",""))-1),".",""))))),$G2434)))</f>
        <v/>
      </c>
    </row>
    <row r="2435">
      <c r="A2435" s="58" t="n"/>
      <c r="B2435" s="58">
        <f>IF($H2435="","",LEFT($H2435,FIND(" ",$H2435&amp;" ")-1))</f>
        <v/>
      </c>
      <c r="C2435" s="58">
        <f>IF($H2435="","",IFERROR(MID($H2435&amp;" ",FIND("|",SUBSTITUTE($H2435&amp;" "," ","|",1))+1,FIND("|",SUBSTITUTE($H2435&amp;" "," ","|",2))-FIND("|",SUBSTITUTE($H2435&amp;" "," ","|",1))-1),""))</f>
        <v/>
      </c>
      <c r="D2435" s="58">
        <f>IF($H2435="","",IFERROR(MID($H2435&amp;" ",FIND("|",SUBSTITUTE($H2435&amp;" "," ","|",2))+1,FIND("|",SUBSTITUTE($H2435&amp;" "," ","|",3))-FIND("|",SUBSTITUTE($H2435&amp;" "," ","|",2))-1),""))</f>
        <v/>
      </c>
      <c r="E2435" s="58">
        <f>IF($H2435="","",IFERROR(MID($H2435&amp;" ",FIND("|",SUBSTITUTE($H2435&amp;" "," ","|",3))+1,FIND("|",SUBSTITUTE($H2435&amp;" "," ","|",4))-FIND("|",SUBSTITUTE($H2435&amp;" "," ","|",3))-1),""))</f>
        <v/>
      </c>
      <c r="F2435" s="59">
        <f>IF($H2435="","",IFERROR(VALUE(IFERROR(MID($H2435&amp;" ",FIND("|",SUBSTITUTE($H2435&amp;" "," ","|",4))+1,FIND("|",SUBSTITUTE($H2435&amp;" "," ","|",5))-FIND("|",SUBSTITUTE($H2435&amp;" "," ","|",4))-1),""))/86400+25569+9/24,""))</f>
        <v/>
      </c>
      <c r="G2435" s="58">
        <f>TRIM(SUBSTITUTE(SUBSTITUTE(SUBSTITUTE($A2435,CHAR(9)," ")," "," "),CHAR(13),""))</f>
        <v/>
      </c>
      <c r="H2435" s="58">
        <f>IF($G2435="","",IF(ISNUMBER(FIND(" ",$G2435)),$G2435,IFERROR(IF((LEN(SUBSTITUTE(SUBSTITUTE($G2435,"-"," ",LEN($G2435)-LEN(SUBSTITUTE($G2435,"-",""))),"-"," ",LEN($G2435)-LEN(SUBSTITUTE($G2435,"-",""))-1))-LEN(SUBSTITUTE(SUBSTITUTE(SUBSTITUTE($G2435,"-"," ",LEN($G2435)-LEN(SUBSTITUTE($G2435,"-",""))),"-"," ",LEN($G2435)-LEN(SUBSTITUTE($G2435,"-",""))-1),".","")))=0,SUBSTITUTE(SUBSTITUTE($G2435,"-"," ",LEN($G2435)-LEN(SUBSTITUTE($G2435,"-",""))),"-"," ",LEN($G2435)-LEN(SUBSTITUTE($G2435,"-",""))-1),SUBSTITUTE(SUBSTITUTE(SUBSTITUTE($G2435,"-"," ",LEN($G2435)-LEN(SUBSTITUTE($G2435,"-",""))),"-"," ",LEN($G2435)-LEN(SUBSTITUTE($G2435,"-",""))-1),"."," ",(LEN(SUBSTITUTE(SUBSTITUTE($G2435,"-"," ",LEN($G2435)-LEN(SUBSTITUTE($G2435,"-",""))),"-"," ",LEN($G2435)-LEN(SUBSTITUTE($G2435,"-",""))-1))-LEN(SUBSTITUTE(SUBSTITUTE(SUBSTITUTE($G2435,"-"," ",LEN($G2435)-LEN(SUBSTITUTE($G2435,"-",""))),"-"," ",LEN($G2435)-LEN(SUBSTITUTE($G2435,"-",""))-1),".",""))))),$G2435)))</f>
        <v/>
      </c>
    </row>
    <row r="2436">
      <c r="A2436" s="58" t="n"/>
      <c r="B2436" s="58">
        <f>IF($H2436="","",LEFT($H2436,FIND(" ",$H2436&amp;" ")-1))</f>
        <v/>
      </c>
      <c r="C2436" s="58">
        <f>IF($H2436="","",IFERROR(MID($H2436&amp;" ",FIND("|",SUBSTITUTE($H2436&amp;" "," ","|",1))+1,FIND("|",SUBSTITUTE($H2436&amp;" "," ","|",2))-FIND("|",SUBSTITUTE($H2436&amp;" "," ","|",1))-1),""))</f>
        <v/>
      </c>
      <c r="D2436" s="58">
        <f>IF($H2436="","",IFERROR(MID($H2436&amp;" ",FIND("|",SUBSTITUTE($H2436&amp;" "," ","|",2))+1,FIND("|",SUBSTITUTE($H2436&amp;" "," ","|",3))-FIND("|",SUBSTITUTE($H2436&amp;" "," ","|",2))-1),""))</f>
        <v/>
      </c>
      <c r="E2436" s="58">
        <f>IF($H2436="","",IFERROR(MID($H2436&amp;" ",FIND("|",SUBSTITUTE($H2436&amp;" "," ","|",3))+1,FIND("|",SUBSTITUTE($H2436&amp;" "," ","|",4))-FIND("|",SUBSTITUTE($H2436&amp;" "," ","|",3))-1),""))</f>
        <v/>
      </c>
      <c r="F2436" s="59">
        <f>IF($H2436="","",IFERROR(VALUE(IFERROR(MID($H2436&amp;" ",FIND("|",SUBSTITUTE($H2436&amp;" "," ","|",4))+1,FIND("|",SUBSTITUTE($H2436&amp;" "," ","|",5))-FIND("|",SUBSTITUTE($H2436&amp;" "," ","|",4))-1),""))/86400+25569+9/24,""))</f>
        <v/>
      </c>
      <c r="G2436" s="58">
        <f>TRIM(SUBSTITUTE(SUBSTITUTE(SUBSTITUTE($A2436,CHAR(9)," ")," "," "),CHAR(13),""))</f>
        <v/>
      </c>
      <c r="H2436" s="58">
        <f>IF($G2436="","",IF(ISNUMBER(FIND(" ",$G2436)),$G2436,IFERROR(IF((LEN(SUBSTITUTE(SUBSTITUTE($G2436,"-"," ",LEN($G2436)-LEN(SUBSTITUTE($G2436,"-",""))),"-"," ",LEN($G2436)-LEN(SUBSTITUTE($G2436,"-",""))-1))-LEN(SUBSTITUTE(SUBSTITUTE(SUBSTITUTE($G2436,"-"," ",LEN($G2436)-LEN(SUBSTITUTE($G2436,"-",""))),"-"," ",LEN($G2436)-LEN(SUBSTITUTE($G2436,"-",""))-1),".","")))=0,SUBSTITUTE(SUBSTITUTE($G2436,"-"," ",LEN($G2436)-LEN(SUBSTITUTE($G2436,"-",""))),"-"," ",LEN($G2436)-LEN(SUBSTITUTE($G2436,"-",""))-1),SUBSTITUTE(SUBSTITUTE(SUBSTITUTE($G2436,"-"," ",LEN($G2436)-LEN(SUBSTITUTE($G2436,"-",""))),"-"," ",LEN($G2436)-LEN(SUBSTITUTE($G2436,"-",""))-1),"."," ",(LEN(SUBSTITUTE(SUBSTITUTE($G2436,"-"," ",LEN($G2436)-LEN(SUBSTITUTE($G2436,"-",""))),"-"," ",LEN($G2436)-LEN(SUBSTITUTE($G2436,"-",""))-1))-LEN(SUBSTITUTE(SUBSTITUTE(SUBSTITUTE($G2436,"-"," ",LEN($G2436)-LEN(SUBSTITUTE($G2436,"-",""))),"-"," ",LEN($G2436)-LEN(SUBSTITUTE($G2436,"-",""))-1),".",""))))),$G2436)))</f>
        <v/>
      </c>
    </row>
    <row r="2437">
      <c r="A2437" s="58" t="n"/>
      <c r="B2437" s="58">
        <f>IF($H2437="","",LEFT($H2437,FIND(" ",$H2437&amp;" ")-1))</f>
        <v/>
      </c>
      <c r="C2437" s="58">
        <f>IF($H2437="","",IFERROR(MID($H2437&amp;" ",FIND("|",SUBSTITUTE($H2437&amp;" "," ","|",1))+1,FIND("|",SUBSTITUTE($H2437&amp;" "," ","|",2))-FIND("|",SUBSTITUTE($H2437&amp;" "," ","|",1))-1),""))</f>
        <v/>
      </c>
      <c r="D2437" s="58">
        <f>IF($H2437="","",IFERROR(MID($H2437&amp;" ",FIND("|",SUBSTITUTE($H2437&amp;" "," ","|",2))+1,FIND("|",SUBSTITUTE($H2437&amp;" "," ","|",3))-FIND("|",SUBSTITUTE($H2437&amp;" "," ","|",2))-1),""))</f>
        <v/>
      </c>
      <c r="E2437" s="58">
        <f>IF($H2437="","",IFERROR(MID($H2437&amp;" ",FIND("|",SUBSTITUTE($H2437&amp;" "," ","|",3))+1,FIND("|",SUBSTITUTE($H2437&amp;" "," ","|",4))-FIND("|",SUBSTITUTE($H2437&amp;" "," ","|",3))-1),""))</f>
        <v/>
      </c>
      <c r="F2437" s="59">
        <f>IF($H2437="","",IFERROR(VALUE(IFERROR(MID($H2437&amp;" ",FIND("|",SUBSTITUTE($H2437&amp;" "," ","|",4))+1,FIND("|",SUBSTITUTE($H2437&amp;" "," ","|",5))-FIND("|",SUBSTITUTE($H2437&amp;" "," ","|",4))-1),""))/86400+25569+9/24,""))</f>
        <v/>
      </c>
      <c r="G2437" s="58">
        <f>TRIM(SUBSTITUTE(SUBSTITUTE(SUBSTITUTE($A2437,CHAR(9)," ")," "," "),CHAR(13),""))</f>
        <v/>
      </c>
      <c r="H2437" s="58">
        <f>IF($G2437="","",IF(ISNUMBER(FIND(" ",$G2437)),$G2437,IFERROR(IF((LEN(SUBSTITUTE(SUBSTITUTE($G2437,"-"," ",LEN($G2437)-LEN(SUBSTITUTE($G2437,"-",""))),"-"," ",LEN($G2437)-LEN(SUBSTITUTE($G2437,"-",""))-1))-LEN(SUBSTITUTE(SUBSTITUTE(SUBSTITUTE($G2437,"-"," ",LEN($G2437)-LEN(SUBSTITUTE($G2437,"-",""))),"-"," ",LEN($G2437)-LEN(SUBSTITUTE($G2437,"-",""))-1),".","")))=0,SUBSTITUTE(SUBSTITUTE($G2437,"-"," ",LEN($G2437)-LEN(SUBSTITUTE($G2437,"-",""))),"-"," ",LEN($G2437)-LEN(SUBSTITUTE($G2437,"-",""))-1),SUBSTITUTE(SUBSTITUTE(SUBSTITUTE($G2437,"-"," ",LEN($G2437)-LEN(SUBSTITUTE($G2437,"-",""))),"-"," ",LEN($G2437)-LEN(SUBSTITUTE($G2437,"-",""))-1),"."," ",(LEN(SUBSTITUTE(SUBSTITUTE($G2437,"-"," ",LEN($G2437)-LEN(SUBSTITUTE($G2437,"-",""))),"-"," ",LEN($G2437)-LEN(SUBSTITUTE($G2437,"-",""))-1))-LEN(SUBSTITUTE(SUBSTITUTE(SUBSTITUTE($G2437,"-"," ",LEN($G2437)-LEN(SUBSTITUTE($G2437,"-",""))),"-"," ",LEN($G2437)-LEN(SUBSTITUTE($G2437,"-",""))-1),".",""))))),$G2437)))</f>
        <v/>
      </c>
    </row>
    <row r="2438">
      <c r="A2438" s="58" t="n"/>
      <c r="B2438" s="58">
        <f>IF($H2438="","",LEFT($H2438,FIND(" ",$H2438&amp;" ")-1))</f>
        <v/>
      </c>
      <c r="C2438" s="58">
        <f>IF($H2438="","",IFERROR(MID($H2438&amp;" ",FIND("|",SUBSTITUTE($H2438&amp;" "," ","|",1))+1,FIND("|",SUBSTITUTE($H2438&amp;" "," ","|",2))-FIND("|",SUBSTITUTE($H2438&amp;" "," ","|",1))-1),""))</f>
        <v/>
      </c>
      <c r="D2438" s="58">
        <f>IF($H2438="","",IFERROR(MID($H2438&amp;" ",FIND("|",SUBSTITUTE($H2438&amp;" "," ","|",2))+1,FIND("|",SUBSTITUTE($H2438&amp;" "," ","|",3))-FIND("|",SUBSTITUTE($H2438&amp;" "," ","|",2))-1),""))</f>
        <v/>
      </c>
      <c r="E2438" s="58">
        <f>IF($H2438="","",IFERROR(MID($H2438&amp;" ",FIND("|",SUBSTITUTE($H2438&amp;" "," ","|",3))+1,FIND("|",SUBSTITUTE($H2438&amp;" "," ","|",4))-FIND("|",SUBSTITUTE($H2438&amp;" "," ","|",3))-1),""))</f>
        <v/>
      </c>
      <c r="F2438" s="59">
        <f>IF($H2438="","",IFERROR(VALUE(IFERROR(MID($H2438&amp;" ",FIND("|",SUBSTITUTE($H2438&amp;" "," ","|",4))+1,FIND("|",SUBSTITUTE($H2438&amp;" "," ","|",5))-FIND("|",SUBSTITUTE($H2438&amp;" "," ","|",4))-1),""))/86400+25569+9/24,""))</f>
        <v/>
      </c>
      <c r="G2438" s="58">
        <f>TRIM(SUBSTITUTE(SUBSTITUTE(SUBSTITUTE($A2438,CHAR(9)," ")," "," "),CHAR(13),""))</f>
        <v/>
      </c>
      <c r="H2438" s="58">
        <f>IF($G2438="","",IF(ISNUMBER(FIND(" ",$G2438)),$G2438,IFERROR(IF((LEN(SUBSTITUTE(SUBSTITUTE($G2438,"-"," ",LEN($G2438)-LEN(SUBSTITUTE($G2438,"-",""))),"-"," ",LEN($G2438)-LEN(SUBSTITUTE($G2438,"-",""))-1))-LEN(SUBSTITUTE(SUBSTITUTE(SUBSTITUTE($G2438,"-"," ",LEN($G2438)-LEN(SUBSTITUTE($G2438,"-",""))),"-"," ",LEN($G2438)-LEN(SUBSTITUTE($G2438,"-",""))-1),".","")))=0,SUBSTITUTE(SUBSTITUTE($G2438,"-"," ",LEN($G2438)-LEN(SUBSTITUTE($G2438,"-",""))),"-"," ",LEN($G2438)-LEN(SUBSTITUTE($G2438,"-",""))-1),SUBSTITUTE(SUBSTITUTE(SUBSTITUTE($G2438,"-"," ",LEN($G2438)-LEN(SUBSTITUTE($G2438,"-",""))),"-"," ",LEN($G2438)-LEN(SUBSTITUTE($G2438,"-",""))-1),"."," ",(LEN(SUBSTITUTE(SUBSTITUTE($G2438,"-"," ",LEN($G2438)-LEN(SUBSTITUTE($G2438,"-",""))),"-"," ",LEN($G2438)-LEN(SUBSTITUTE($G2438,"-",""))-1))-LEN(SUBSTITUTE(SUBSTITUTE(SUBSTITUTE($G2438,"-"," ",LEN($G2438)-LEN(SUBSTITUTE($G2438,"-",""))),"-"," ",LEN($G2438)-LEN(SUBSTITUTE($G2438,"-",""))-1),".",""))))),$G2438)))</f>
        <v/>
      </c>
    </row>
    <row r="2439">
      <c r="A2439" s="58" t="n"/>
      <c r="B2439" s="58">
        <f>IF($H2439="","",LEFT($H2439,FIND(" ",$H2439&amp;" ")-1))</f>
        <v/>
      </c>
      <c r="C2439" s="58">
        <f>IF($H2439="","",IFERROR(MID($H2439&amp;" ",FIND("|",SUBSTITUTE($H2439&amp;" "," ","|",1))+1,FIND("|",SUBSTITUTE($H2439&amp;" "," ","|",2))-FIND("|",SUBSTITUTE($H2439&amp;" "," ","|",1))-1),""))</f>
        <v/>
      </c>
      <c r="D2439" s="58">
        <f>IF($H2439="","",IFERROR(MID($H2439&amp;" ",FIND("|",SUBSTITUTE($H2439&amp;" "," ","|",2))+1,FIND("|",SUBSTITUTE($H2439&amp;" "," ","|",3))-FIND("|",SUBSTITUTE($H2439&amp;" "," ","|",2))-1),""))</f>
        <v/>
      </c>
      <c r="E2439" s="58">
        <f>IF($H2439="","",IFERROR(MID($H2439&amp;" ",FIND("|",SUBSTITUTE($H2439&amp;" "," ","|",3))+1,FIND("|",SUBSTITUTE($H2439&amp;" "," ","|",4))-FIND("|",SUBSTITUTE($H2439&amp;" "," ","|",3))-1),""))</f>
        <v/>
      </c>
      <c r="F2439" s="59">
        <f>IF($H2439="","",IFERROR(VALUE(IFERROR(MID($H2439&amp;" ",FIND("|",SUBSTITUTE($H2439&amp;" "," ","|",4))+1,FIND("|",SUBSTITUTE($H2439&amp;" "," ","|",5))-FIND("|",SUBSTITUTE($H2439&amp;" "," ","|",4))-1),""))/86400+25569+9/24,""))</f>
        <v/>
      </c>
      <c r="G2439" s="58">
        <f>TRIM(SUBSTITUTE(SUBSTITUTE(SUBSTITUTE($A2439,CHAR(9)," ")," "," "),CHAR(13),""))</f>
        <v/>
      </c>
      <c r="H2439" s="58">
        <f>IF($G2439="","",IF(ISNUMBER(FIND(" ",$G2439)),$G2439,IFERROR(IF((LEN(SUBSTITUTE(SUBSTITUTE($G2439,"-"," ",LEN($G2439)-LEN(SUBSTITUTE($G2439,"-",""))),"-"," ",LEN($G2439)-LEN(SUBSTITUTE($G2439,"-",""))-1))-LEN(SUBSTITUTE(SUBSTITUTE(SUBSTITUTE($G2439,"-"," ",LEN($G2439)-LEN(SUBSTITUTE($G2439,"-",""))),"-"," ",LEN($G2439)-LEN(SUBSTITUTE($G2439,"-",""))-1),".","")))=0,SUBSTITUTE(SUBSTITUTE($G2439,"-"," ",LEN($G2439)-LEN(SUBSTITUTE($G2439,"-",""))),"-"," ",LEN($G2439)-LEN(SUBSTITUTE($G2439,"-",""))-1),SUBSTITUTE(SUBSTITUTE(SUBSTITUTE($G2439,"-"," ",LEN($G2439)-LEN(SUBSTITUTE($G2439,"-",""))),"-"," ",LEN($G2439)-LEN(SUBSTITUTE($G2439,"-",""))-1),"."," ",(LEN(SUBSTITUTE(SUBSTITUTE($G2439,"-"," ",LEN($G2439)-LEN(SUBSTITUTE($G2439,"-",""))),"-"," ",LEN($G2439)-LEN(SUBSTITUTE($G2439,"-",""))-1))-LEN(SUBSTITUTE(SUBSTITUTE(SUBSTITUTE($G2439,"-"," ",LEN($G2439)-LEN(SUBSTITUTE($G2439,"-",""))),"-"," ",LEN($G2439)-LEN(SUBSTITUTE($G2439,"-",""))-1),".",""))))),$G2439)))</f>
        <v/>
      </c>
    </row>
    <row r="2440">
      <c r="A2440" s="58" t="n"/>
      <c r="B2440" s="58">
        <f>IF($H2440="","",LEFT($H2440,FIND(" ",$H2440&amp;" ")-1))</f>
        <v/>
      </c>
      <c r="C2440" s="58">
        <f>IF($H2440="","",IFERROR(MID($H2440&amp;" ",FIND("|",SUBSTITUTE($H2440&amp;" "," ","|",1))+1,FIND("|",SUBSTITUTE($H2440&amp;" "," ","|",2))-FIND("|",SUBSTITUTE($H2440&amp;" "," ","|",1))-1),""))</f>
        <v/>
      </c>
      <c r="D2440" s="58">
        <f>IF($H2440="","",IFERROR(MID($H2440&amp;" ",FIND("|",SUBSTITUTE($H2440&amp;" "," ","|",2))+1,FIND("|",SUBSTITUTE($H2440&amp;" "," ","|",3))-FIND("|",SUBSTITUTE($H2440&amp;" "," ","|",2))-1),""))</f>
        <v/>
      </c>
      <c r="E2440" s="58">
        <f>IF($H2440="","",IFERROR(MID($H2440&amp;" ",FIND("|",SUBSTITUTE($H2440&amp;" "," ","|",3))+1,FIND("|",SUBSTITUTE($H2440&amp;" "," ","|",4))-FIND("|",SUBSTITUTE($H2440&amp;" "," ","|",3))-1),""))</f>
        <v/>
      </c>
      <c r="F2440" s="59">
        <f>IF($H2440="","",IFERROR(VALUE(IFERROR(MID($H2440&amp;" ",FIND("|",SUBSTITUTE($H2440&amp;" "," ","|",4))+1,FIND("|",SUBSTITUTE($H2440&amp;" "," ","|",5))-FIND("|",SUBSTITUTE($H2440&amp;" "," ","|",4))-1),""))/86400+25569+9/24,""))</f>
        <v/>
      </c>
      <c r="G2440" s="58">
        <f>TRIM(SUBSTITUTE(SUBSTITUTE(SUBSTITUTE($A2440,CHAR(9)," ")," "," "),CHAR(13),""))</f>
        <v/>
      </c>
      <c r="H2440" s="58">
        <f>IF($G2440="","",IF(ISNUMBER(FIND(" ",$G2440)),$G2440,IFERROR(IF((LEN(SUBSTITUTE(SUBSTITUTE($G2440,"-"," ",LEN($G2440)-LEN(SUBSTITUTE($G2440,"-",""))),"-"," ",LEN($G2440)-LEN(SUBSTITUTE($G2440,"-",""))-1))-LEN(SUBSTITUTE(SUBSTITUTE(SUBSTITUTE($G2440,"-"," ",LEN($G2440)-LEN(SUBSTITUTE($G2440,"-",""))),"-"," ",LEN($G2440)-LEN(SUBSTITUTE($G2440,"-",""))-1),".","")))=0,SUBSTITUTE(SUBSTITUTE($G2440,"-"," ",LEN($G2440)-LEN(SUBSTITUTE($G2440,"-",""))),"-"," ",LEN($G2440)-LEN(SUBSTITUTE($G2440,"-",""))-1),SUBSTITUTE(SUBSTITUTE(SUBSTITUTE($G2440,"-"," ",LEN($G2440)-LEN(SUBSTITUTE($G2440,"-",""))),"-"," ",LEN($G2440)-LEN(SUBSTITUTE($G2440,"-",""))-1),"."," ",(LEN(SUBSTITUTE(SUBSTITUTE($G2440,"-"," ",LEN($G2440)-LEN(SUBSTITUTE($G2440,"-",""))),"-"," ",LEN($G2440)-LEN(SUBSTITUTE($G2440,"-",""))-1))-LEN(SUBSTITUTE(SUBSTITUTE(SUBSTITUTE($G2440,"-"," ",LEN($G2440)-LEN(SUBSTITUTE($G2440,"-",""))),"-"," ",LEN($G2440)-LEN(SUBSTITUTE($G2440,"-",""))-1),".",""))))),$G2440)))</f>
        <v/>
      </c>
    </row>
    <row r="2441">
      <c r="A2441" s="58" t="n"/>
      <c r="B2441" s="58">
        <f>IF($H2441="","",LEFT($H2441,FIND(" ",$H2441&amp;" ")-1))</f>
        <v/>
      </c>
      <c r="C2441" s="58">
        <f>IF($H2441="","",IFERROR(MID($H2441&amp;" ",FIND("|",SUBSTITUTE($H2441&amp;" "," ","|",1))+1,FIND("|",SUBSTITUTE($H2441&amp;" "," ","|",2))-FIND("|",SUBSTITUTE($H2441&amp;" "," ","|",1))-1),""))</f>
        <v/>
      </c>
      <c r="D2441" s="58">
        <f>IF($H2441="","",IFERROR(MID($H2441&amp;" ",FIND("|",SUBSTITUTE($H2441&amp;" "," ","|",2))+1,FIND("|",SUBSTITUTE($H2441&amp;" "," ","|",3))-FIND("|",SUBSTITUTE($H2441&amp;" "," ","|",2))-1),""))</f>
        <v/>
      </c>
      <c r="E2441" s="58">
        <f>IF($H2441="","",IFERROR(MID($H2441&amp;" ",FIND("|",SUBSTITUTE($H2441&amp;" "," ","|",3))+1,FIND("|",SUBSTITUTE($H2441&amp;" "," ","|",4))-FIND("|",SUBSTITUTE($H2441&amp;" "," ","|",3))-1),""))</f>
        <v/>
      </c>
      <c r="F2441" s="59">
        <f>IF($H2441="","",IFERROR(VALUE(IFERROR(MID($H2441&amp;" ",FIND("|",SUBSTITUTE($H2441&amp;" "," ","|",4))+1,FIND("|",SUBSTITUTE($H2441&amp;" "," ","|",5))-FIND("|",SUBSTITUTE($H2441&amp;" "," ","|",4))-1),""))/86400+25569+9/24,""))</f>
        <v/>
      </c>
      <c r="G2441" s="58">
        <f>TRIM(SUBSTITUTE(SUBSTITUTE(SUBSTITUTE($A2441,CHAR(9)," ")," "," "),CHAR(13),""))</f>
        <v/>
      </c>
      <c r="H2441" s="58">
        <f>IF($G2441="","",IF(ISNUMBER(FIND(" ",$G2441)),$G2441,IFERROR(IF((LEN(SUBSTITUTE(SUBSTITUTE($G2441,"-"," ",LEN($G2441)-LEN(SUBSTITUTE($G2441,"-",""))),"-"," ",LEN($G2441)-LEN(SUBSTITUTE($G2441,"-",""))-1))-LEN(SUBSTITUTE(SUBSTITUTE(SUBSTITUTE($G2441,"-"," ",LEN($G2441)-LEN(SUBSTITUTE($G2441,"-",""))),"-"," ",LEN($G2441)-LEN(SUBSTITUTE($G2441,"-",""))-1),".","")))=0,SUBSTITUTE(SUBSTITUTE($G2441,"-"," ",LEN($G2441)-LEN(SUBSTITUTE($G2441,"-",""))),"-"," ",LEN($G2441)-LEN(SUBSTITUTE($G2441,"-",""))-1),SUBSTITUTE(SUBSTITUTE(SUBSTITUTE($G2441,"-"," ",LEN($G2441)-LEN(SUBSTITUTE($G2441,"-",""))),"-"," ",LEN($G2441)-LEN(SUBSTITUTE($G2441,"-",""))-1),"."," ",(LEN(SUBSTITUTE(SUBSTITUTE($G2441,"-"," ",LEN($G2441)-LEN(SUBSTITUTE($G2441,"-",""))),"-"," ",LEN($G2441)-LEN(SUBSTITUTE($G2441,"-",""))-1))-LEN(SUBSTITUTE(SUBSTITUTE(SUBSTITUTE($G2441,"-"," ",LEN($G2441)-LEN(SUBSTITUTE($G2441,"-",""))),"-"," ",LEN($G2441)-LEN(SUBSTITUTE($G2441,"-",""))-1),".",""))))),$G2441)))</f>
        <v/>
      </c>
    </row>
    <row r="2442">
      <c r="A2442" s="58" t="n"/>
      <c r="B2442" s="58">
        <f>IF($H2442="","",LEFT($H2442,FIND(" ",$H2442&amp;" ")-1))</f>
        <v/>
      </c>
      <c r="C2442" s="58">
        <f>IF($H2442="","",IFERROR(MID($H2442&amp;" ",FIND("|",SUBSTITUTE($H2442&amp;" "," ","|",1))+1,FIND("|",SUBSTITUTE($H2442&amp;" "," ","|",2))-FIND("|",SUBSTITUTE($H2442&amp;" "," ","|",1))-1),""))</f>
        <v/>
      </c>
      <c r="D2442" s="58">
        <f>IF($H2442="","",IFERROR(MID($H2442&amp;" ",FIND("|",SUBSTITUTE($H2442&amp;" "," ","|",2))+1,FIND("|",SUBSTITUTE($H2442&amp;" "," ","|",3))-FIND("|",SUBSTITUTE($H2442&amp;" "," ","|",2))-1),""))</f>
        <v/>
      </c>
      <c r="E2442" s="58">
        <f>IF($H2442="","",IFERROR(MID($H2442&amp;" ",FIND("|",SUBSTITUTE($H2442&amp;" "," ","|",3))+1,FIND("|",SUBSTITUTE($H2442&amp;" "," ","|",4))-FIND("|",SUBSTITUTE($H2442&amp;" "," ","|",3))-1),""))</f>
        <v/>
      </c>
      <c r="F2442" s="59">
        <f>IF($H2442="","",IFERROR(VALUE(IFERROR(MID($H2442&amp;" ",FIND("|",SUBSTITUTE($H2442&amp;" "," ","|",4))+1,FIND("|",SUBSTITUTE($H2442&amp;" "," ","|",5))-FIND("|",SUBSTITUTE($H2442&amp;" "," ","|",4))-1),""))/86400+25569+9/24,""))</f>
        <v/>
      </c>
      <c r="G2442" s="58">
        <f>TRIM(SUBSTITUTE(SUBSTITUTE(SUBSTITUTE($A2442,CHAR(9)," ")," "," "),CHAR(13),""))</f>
        <v/>
      </c>
      <c r="H2442" s="58">
        <f>IF($G2442="","",IF(ISNUMBER(FIND(" ",$G2442)),$G2442,IFERROR(IF((LEN(SUBSTITUTE(SUBSTITUTE($G2442,"-"," ",LEN($G2442)-LEN(SUBSTITUTE($G2442,"-",""))),"-"," ",LEN($G2442)-LEN(SUBSTITUTE($G2442,"-",""))-1))-LEN(SUBSTITUTE(SUBSTITUTE(SUBSTITUTE($G2442,"-"," ",LEN($G2442)-LEN(SUBSTITUTE($G2442,"-",""))),"-"," ",LEN($G2442)-LEN(SUBSTITUTE($G2442,"-",""))-1),".","")))=0,SUBSTITUTE(SUBSTITUTE($G2442,"-"," ",LEN($G2442)-LEN(SUBSTITUTE($G2442,"-",""))),"-"," ",LEN($G2442)-LEN(SUBSTITUTE($G2442,"-",""))-1),SUBSTITUTE(SUBSTITUTE(SUBSTITUTE($G2442,"-"," ",LEN($G2442)-LEN(SUBSTITUTE($G2442,"-",""))),"-"," ",LEN($G2442)-LEN(SUBSTITUTE($G2442,"-",""))-1),"."," ",(LEN(SUBSTITUTE(SUBSTITUTE($G2442,"-"," ",LEN($G2442)-LEN(SUBSTITUTE($G2442,"-",""))),"-"," ",LEN($G2442)-LEN(SUBSTITUTE($G2442,"-",""))-1))-LEN(SUBSTITUTE(SUBSTITUTE(SUBSTITUTE($G2442,"-"," ",LEN($G2442)-LEN(SUBSTITUTE($G2442,"-",""))),"-"," ",LEN($G2442)-LEN(SUBSTITUTE($G2442,"-",""))-1),".",""))))),$G2442)))</f>
        <v/>
      </c>
    </row>
    <row r="2443">
      <c r="A2443" s="58" t="n"/>
      <c r="B2443" s="58">
        <f>IF($H2443="","",LEFT($H2443,FIND(" ",$H2443&amp;" ")-1))</f>
        <v/>
      </c>
      <c r="C2443" s="58">
        <f>IF($H2443="","",IFERROR(MID($H2443&amp;" ",FIND("|",SUBSTITUTE($H2443&amp;" "," ","|",1))+1,FIND("|",SUBSTITUTE($H2443&amp;" "," ","|",2))-FIND("|",SUBSTITUTE($H2443&amp;" "," ","|",1))-1),""))</f>
        <v/>
      </c>
      <c r="D2443" s="58">
        <f>IF($H2443="","",IFERROR(MID($H2443&amp;" ",FIND("|",SUBSTITUTE($H2443&amp;" "," ","|",2))+1,FIND("|",SUBSTITUTE($H2443&amp;" "," ","|",3))-FIND("|",SUBSTITUTE($H2443&amp;" "," ","|",2))-1),""))</f>
        <v/>
      </c>
      <c r="E2443" s="58">
        <f>IF($H2443="","",IFERROR(MID($H2443&amp;" ",FIND("|",SUBSTITUTE($H2443&amp;" "," ","|",3))+1,FIND("|",SUBSTITUTE($H2443&amp;" "," ","|",4))-FIND("|",SUBSTITUTE($H2443&amp;" "," ","|",3))-1),""))</f>
        <v/>
      </c>
      <c r="F2443" s="59">
        <f>IF($H2443="","",IFERROR(VALUE(IFERROR(MID($H2443&amp;" ",FIND("|",SUBSTITUTE($H2443&amp;" "," ","|",4))+1,FIND("|",SUBSTITUTE($H2443&amp;" "," ","|",5))-FIND("|",SUBSTITUTE($H2443&amp;" "," ","|",4))-1),""))/86400+25569+9/24,""))</f>
        <v/>
      </c>
      <c r="G2443" s="58">
        <f>TRIM(SUBSTITUTE(SUBSTITUTE(SUBSTITUTE($A2443,CHAR(9)," ")," "," "),CHAR(13),""))</f>
        <v/>
      </c>
      <c r="H2443" s="58">
        <f>IF($G2443="","",IF(ISNUMBER(FIND(" ",$G2443)),$G2443,IFERROR(IF((LEN(SUBSTITUTE(SUBSTITUTE($G2443,"-"," ",LEN($G2443)-LEN(SUBSTITUTE($G2443,"-",""))),"-"," ",LEN($G2443)-LEN(SUBSTITUTE($G2443,"-",""))-1))-LEN(SUBSTITUTE(SUBSTITUTE(SUBSTITUTE($G2443,"-"," ",LEN($G2443)-LEN(SUBSTITUTE($G2443,"-",""))),"-"," ",LEN($G2443)-LEN(SUBSTITUTE($G2443,"-",""))-1),".","")))=0,SUBSTITUTE(SUBSTITUTE($G2443,"-"," ",LEN($G2443)-LEN(SUBSTITUTE($G2443,"-",""))),"-"," ",LEN($G2443)-LEN(SUBSTITUTE($G2443,"-",""))-1),SUBSTITUTE(SUBSTITUTE(SUBSTITUTE($G2443,"-"," ",LEN($G2443)-LEN(SUBSTITUTE($G2443,"-",""))),"-"," ",LEN($G2443)-LEN(SUBSTITUTE($G2443,"-",""))-1),"."," ",(LEN(SUBSTITUTE(SUBSTITUTE($G2443,"-"," ",LEN($G2443)-LEN(SUBSTITUTE($G2443,"-",""))),"-"," ",LEN($G2443)-LEN(SUBSTITUTE($G2443,"-",""))-1))-LEN(SUBSTITUTE(SUBSTITUTE(SUBSTITUTE($G2443,"-"," ",LEN($G2443)-LEN(SUBSTITUTE($G2443,"-",""))),"-"," ",LEN($G2443)-LEN(SUBSTITUTE($G2443,"-",""))-1),".",""))))),$G2443)))</f>
        <v/>
      </c>
    </row>
    <row r="2444">
      <c r="A2444" s="58" t="n"/>
      <c r="B2444" s="58">
        <f>IF($H2444="","",LEFT($H2444,FIND(" ",$H2444&amp;" ")-1))</f>
        <v/>
      </c>
      <c r="C2444" s="58">
        <f>IF($H2444="","",IFERROR(MID($H2444&amp;" ",FIND("|",SUBSTITUTE($H2444&amp;" "," ","|",1))+1,FIND("|",SUBSTITUTE($H2444&amp;" "," ","|",2))-FIND("|",SUBSTITUTE($H2444&amp;" "," ","|",1))-1),""))</f>
        <v/>
      </c>
      <c r="D2444" s="58">
        <f>IF($H2444="","",IFERROR(MID($H2444&amp;" ",FIND("|",SUBSTITUTE($H2444&amp;" "," ","|",2))+1,FIND("|",SUBSTITUTE($H2444&amp;" "," ","|",3))-FIND("|",SUBSTITUTE($H2444&amp;" "," ","|",2))-1),""))</f>
        <v/>
      </c>
      <c r="E2444" s="58">
        <f>IF($H2444="","",IFERROR(MID($H2444&amp;" ",FIND("|",SUBSTITUTE($H2444&amp;" "," ","|",3))+1,FIND("|",SUBSTITUTE($H2444&amp;" "," ","|",4))-FIND("|",SUBSTITUTE($H2444&amp;" "," ","|",3))-1),""))</f>
        <v/>
      </c>
      <c r="F2444" s="59">
        <f>IF($H2444="","",IFERROR(VALUE(IFERROR(MID($H2444&amp;" ",FIND("|",SUBSTITUTE($H2444&amp;" "," ","|",4))+1,FIND("|",SUBSTITUTE($H2444&amp;" "," ","|",5))-FIND("|",SUBSTITUTE($H2444&amp;" "," ","|",4))-1),""))/86400+25569+9/24,""))</f>
        <v/>
      </c>
      <c r="G2444" s="58">
        <f>TRIM(SUBSTITUTE(SUBSTITUTE(SUBSTITUTE($A2444,CHAR(9)," ")," "," "),CHAR(13),""))</f>
        <v/>
      </c>
      <c r="H2444" s="58">
        <f>IF($G2444="","",IF(ISNUMBER(FIND(" ",$G2444)),$G2444,IFERROR(IF((LEN(SUBSTITUTE(SUBSTITUTE($G2444,"-"," ",LEN($G2444)-LEN(SUBSTITUTE($G2444,"-",""))),"-"," ",LEN($G2444)-LEN(SUBSTITUTE($G2444,"-",""))-1))-LEN(SUBSTITUTE(SUBSTITUTE(SUBSTITUTE($G2444,"-"," ",LEN($G2444)-LEN(SUBSTITUTE($G2444,"-",""))),"-"," ",LEN($G2444)-LEN(SUBSTITUTE($G2444,"-",""))-1),".","")))=0,SUBSTITUTE(SUBSTITUTE($G2444,"-"," ",LEN($G2444)-LEN(SUBSTITUTE($G2444,"-",""))),"-"," ",LEN($G2444)-LEN(SUBSTITUTE($G2444,"-",""))-1),SUBSTITUTE(SUBSTITUTE(SUBSTITUTE($G2444,"-"," ",LEN($G2444)-LEN(SUBSTITUTE($G2444,"-",""))),"-"," ",LEN($G2444)-LEN(SUBSTITUTE($G2444,"-",""))-1),"."," ",(LEN(SUBSTITUTE(SUBSTITUTE($G2444,"-"," ",LEN($G2444)-LEN(SUBSTITUTE($G2444,"-",""))),"-"," ",LEN($G2444)-LEN(SUBSTITUTE($G2444,"-",""))-1))-LEN(SUBSTITUTE(SUBSTITUTE(SUBSTITUTE($G2444,"-"," ",LEN($G2444)-LEN(SUBSTITUTE($G2444,"-",""))),"-"," ",LEN($G2444)-LEN(SUBSTITUTE($G2444,"-",""))-1),".",""))))),$G2444)))</f>
        <v/>
      </c>
    </row>
    <row r="2445">
      <c r="A2445" s="58" t="n"/>
      <c r="B2445" s="58">
        <f>IF($H2445="","",LEFT($H2445,FIND(" ",$H2445&amp;" ")-1))</f>
        <v/>
      </c>
      <c r="C2445" s="58">
        <f>IF($H2445="","",IFERROR(MID($H2445&amp;" ",FIND("|",SUBSTITUTE($H2445&amp;" "," ","|",1))+1,FIND("|",SUBSTITUTE($H2445&amp;" "," ","|",2))-FIND("|",SUBSTITUTE($H2445&amp;" "," ","|",1))-1),""))</f>
        <v/>
      </c>
      <c r="D2445" s="58">
        <f>IF($H2445="","",IFERROR(MID($H2445&amp;" ",FIND("|",SUBSTITUTE($H2445&amp;" "," ","|",2))+1,FIND("|",SUBSTITUTE($H2445&amp;" "," ","|",3))-FIND("|",SUBSTITUTE($H2445&amp;" "," ","|",2))-1),""))</f>
        <v/>
      </c>
      <c r="E2445" s="58">
        <f>IF($H2445="","",IFERROR(MID($H2445&amp;" ",FIND("|",SUBSTITUTE($H2445&amp;" "," ","|",3))+1,FIND("|",SUBSTITUTE($H2445&amp;" "," ","|",4))-FIND("|",SUBSTITUTE($H2445&amp;" "," ","|",3))-1),""))</f>
        <v/>
      </c>
      <c r="F2445" s="59">
        <f>IF($H2445="","",IFERROR(VALUE(IFERROR(MID($H2445&amp;" ",FIND("|",SUBSTITUTE($H2445&amp;" "," ","|",4))+1,FIND("|",SUBSTITUTE($H2445&amp;" "," ","|",5))-FIND("|",SUBSTITUTE($H2445&amp;" "," ","|",4))-1),""))/86400+25569+9/24,""))</f>
        <v/>
      </c>
      <c r="G2445" s="58">
        <f>TRIM(SUBSTITUTE(SUBSTITUTE(SUBSTITUTE($A2445,CHAR(9)," ")," "," "),CHAR(13),""))</f>
        <v/>
      </c>
      <c r="H2445" s="58">
        <f>IF($G2445="","",IF(ISNUMBER(FIND(" ",$G2445)),$G2445,IFERROR(IF((LEN(SUBSTITUTE(SUBSTITUTE($G2445,"-"," ",LEN($G2445)-LEN(SUBSTITUTE($G2445,"-",""))),"-"," ",LEN($G2445)-LEN(SUBSTITUTE($G2445,"-",""))-1))-LEN(SUBSTITUTE(SUBSTITUTE(SUBSTITUTE($G2445,"-"," ",LEN($G2445)-LEN(SUBSTITUTE($G2445,"-",""))),"-"," ",LEN($G2445)-LEN(SUBSTITUTE($G2445,"-",""))-1),".","")))=0,SUBSTITUTE(SUBSTITUTE($G2445,"-"," ",LEN($G2445)-LEN(SUBSTITUTE($G2445,"-",""))),"-"," ",LEN($G2445)-LEN(SUBSTITUTE($G2445,"-",""))-1),SUBSTITUTE(SUBSTITUTE(SUBSTITUTE($G2445,"-"," ",LEN($G2445)-LEN(SUBSTITUTE($G2445,"-",""))),"-"," ",LEN($G2445)-LEN(SUBSTITUTE($G2445,"-",""))-1),"."," ",(LEN(SUBSTITUTE(SUBSTITUTE($G2445,"-"," ",LEN($G2445)-LEN(SUBSTITUTE($G2445,"-",""))),"-"," ",LEN($G2445)-LEN(SUBSTITUTE($G2445,"-",""))-1))-LEN(SUBSTITUTE(SUBSTITUTE(SUBSTITUTE($G2445,"-"," ",LEN($G2445)-LEN(SUBSTITUTE($G2445,"-",""))),"-"," ",LEN($G2445)-LEN(SUBSTITUTE($G2445,"-",""))-1),".",""))))),$G2445)))</f>
        <v/>
      </c>
    </row>
    <row r="2446">
      <c r="A2446" s="58" t="n"/>
      <c r="B2446" s="58">
        <f>IF($H2446="","",LEFT($H2446,FIND(" ",$H2446&amp;" ")-1))</f>
        <v/>
      </c>
      <c r="C2446" s="58">
        <f>IF($H2446="","",IFERROR(MID($H2446&amp;" ",FIND("|",SUBSTITUTE($H2446&amp;" "," ","|",1))+1,FIND("|",SUBSTITUTE($H2446&amp;" "," ","|",2))-FIND("|",SUBSTITUTE($H2446&amp;" "," ","|",1))-1),""))</f>
        <v/>
      </c>
      <c r="D2446" s="58">
        <f>IF($H2446="","",IFERROR(MID($H2446&amp;" ",FIND("|",SUBSTITUTE($H2446&amp;" "," ","|",2))+1,FIND("|",SUBSTITUTE($H2446&amp;" "," ","|",3))-FIND("|",SUBSTITUTE($H2446&amp;" "," ","|",2))-1),""))</f>
        <v/>
      </c>
      <c r="E2446" s="58">
        <f>IF($H2446="","",IFERROR(MID($H2446&amp;" ",FIND("|",SUBSTITUTE($H2446&amp;" "," ","|",3))+1,FIND("|",SUBSTITUTE($H2446&amp;" "," ","|",4))-FIND("|",SUBSTITUTE($H2446&amp;" "," ","|",3))-1),""))</f>
        <v/>
      </c>
      <c r="F2446" s="59">
        <f>IF($H2446="","",IFERROR(VALUE(IFERROR(MID($H2446&amp;" ",FIND("|",SUBSTITUTE($H2446&amp;" "," ","|",4))+1,FIND("|",SUBSTITUTE($H2446&amp;" "," ","|",5))-FIND("|",SUBSTITUTE($H2446&amp;" "," ","|",4))-1),""))/86400+25569+9/24,""))</f>
        <v/>
      </c>
      <c r="G2446" s="58">
        <f>TRIM(SUBSTITUTE(SUBSTITUTE(SUBSTITUTE($A2446,CHAR(9)," ")," "," "),CHAR(13),""))</f>
        <v/>
      </c>
      <c r="H2446" s="58">
        <f>IF($G2446="","",IF(ISNUMBER(FIND(" ",$G2446)),$G2446,IFERROR(IF((LEN(SUBSTITUTE(SUBSTITUTE($G2446,"-"," ",LEN($G2446)-LEN(SUBSTITUTE($G2446,"-",""))),"-"," ",LEN($G2446)-LEN(SUBSTITUTE($G2446,"-",""))-1))-LEN(SUBSTITUTE(SUBSTITUTE(SUBSTITUTE($G2446,"-"," ",LEN($G2446)-LEN(SUBSTITUTE($G2446,"-",""))),"-"," ",LEN($G2446)-LEN(SUBSTITUTE($G2446,"-",""))-1),".","")))=0,SUBSTITUTE(SUBSTITUTE($G2446,"-"," ",LEN($G2446)-LEN(SUBSTITUTE($G2446,"-",""))),"-"," ",LEN($G2446)-LEN(SUBSTITUTE($G2446,"-",""))-1),SUBSTITUTE(SUBSTITUTE(SUBSTITUTE($G2446,"-"," ",LEN($G2446)-LEN(SUBSTITUTE($G2446,"-",""))),"-"," ",LEN($G2446)-LEN(SUBSTITUTE($G2446,"-",""))-1),"."," ",(LEN(SUBSTITUTE(SUBSTITUTE($G2446,"-"," ",LEN($G2446)-LEN(SUBSTITUTE($G2446,"-",""))),"-"," ",LEN($G2446)-LEN(SUBSTITUTE($G2446,"-",""))-1))-LEN(SUBSTITUTE(SUBSTITUTE(SUBSTITUTE($G2446,"-"," ",LEN($G2446)-LEN(SUBSTITUTE($G2446,"-",""))),"-"," ",LEN($G2446)-LEN(SUBSTITUTE($G2446,"-",""))-1),".",""))))),$G2446)))</f>
        <v/>
      </c>
    </row>
    <row r="2447">
      <c r="A2447" s="58" t="n"/>
      <c r="B2447" s="58">
        <f>IF($H2447="","",LEFT($H2447,FIND(" ",$H2447&amp;" ")-1))</f>
        <v/>
      </c>
      <c r="C2447" s="58">
        <f>IF($H2447="","",IFERROR(MID($H2447&amp;" ",FIND("|",SUBSTITUTE($H2447&amp;" "," ","|",1))+1,FIND("|",SUBSTITUTE($H2447&amp;" "," ","|",2))-FIND("|",SUBSTITUTE($H2447&amp;" "," ","|",1))-1),""))</f>
        <v/>
      </c>
      <c r="D2447" s="58">
        <f>IF($H2447="","",IFERROR(MID($H2447&amp;" ",FIND("|",SUBSTITUTE($H2447&amp;" "," ","|",2))+1,FIND("|",SUBSTITUTE($H2447&amp;" "," ","|",3))-FIND("|",SUBSTITUTE($H2447&amp;" "," ","|",2))-1),""))</f>
        <v/>
      </c>
      <c r="E2447" s="58">
        <f>IF($H2447="","",IFERROR(MID($H2447&amp;" ",FIND("|",SUBSTITUTE($H2447&amp;" "," ","|",3))+1,FIND("|",SUBSTITUTE($H2447&amp;" "," ","|",4))-FIND("|",SUBSTITUTE($H2447&amp;" "," ","|",3))-1),""))</f>
        <v/>
      </c>
      <c r="F2447" s="59">
        <f>IF($H2447="","",IFERROR(VALUE(IFERROR(MID($H2447&amp;" ",FIND("|",SUBSTITUTE($H2447&amp;" "," ","|",4))+1,FIND("|",SUBSTITUTE($H2447&amp;" "," ","|",5))-FIND("|",SUBSTITUTE($H2447&amp;" "," ","|",4))-1),""))/86400+25569+9/24,""))</f>
        <v/>
      </c>
      <c r="G2447" s="58">
        <f>TRIM(SUBSTITUTE(SUBSTITUTE(SUBSTITUTE($A2447,CHAR(9)," ")," "," "),CHAR(13),""))</f>
        <v/>
      </c>
      <c r="H2447" s="58">
        <f>IF($G2447="","",IF(ISNUMBER(FIND(" ",$G2447)),$G2447,IFERROR(IF((LEN(SUBSTITUTE(SUBSTITUTE($G2447,"-"," ",LEN($G2447)-LEN(SUBSTITUTE($G2447,"-",""))),"-"," ",LEN($G2447)-LEN(SUBSTITUTE($G2447,"-",""))-1))-LEN(SUBSTITUTE(SUBSTITUTE(SUBSTITUTE($G2447,"-"," ",LEN($G2447)-LEN(SUBSTITUTE($G2447,"-",""))),"-"," ",LEN($G2447)-LEN(SUBSTITUTE($G2447,"-",""))-1),".","")))=0,SUBSTITUTE(SUBSTITUTE($G2447,"-"," ",LEN($G2447)-LEN(SUBSTITUTE($G2447,"-",""))),"-"," ",LEN($G2447)-LEN(SUBSTITUTE($G2447,"-",""))-1),SUBSTITUTE(SUBSTITUTE(SUBSTITUTE($G2447,"-"," ",LEN($G2447)-LEN(SUBSTITUTE($G2447,"-",""))),"-"," ",LEN($G2447)-LEN(SUBSTITUTE($G2447,"-",""))-1),"."," ",(LEN(SUBSTITUTE(SUBSTITUTE($G2447,"-"," ",LEN($G2447)-LEN(SUBSTITUTE($G2447,"-",""))),"-"," ",LEN($G2447)-LEN(SUBSTITUTE($G2447,"-",""))-1))-LEN(SUBSTITUTE(SUBSTITUTE(SUBSTITUTE($G2447,"-"," ",LEN($G2447)-LEN(SUBSTITUTE($G2447,"-",""))),"-"," ",LEN($G2447)-LEN(SUBSTITUTE($G2447,"-",""))-1),".",""))))),$G2447)))</f>
        <v/>
      </c>
    </row>
    <row r="2448">
      <c r="A2448" s="58" t="n"/>
      <c r="B2448" s="58">
        <f>IF($H2448="","",LEFT($H2448,FIND(" ",$H2448&amp;" ")-1))</f>
        <v/>
      </c>
      <c r="C2448" s="58">
        <f>IF($H2448="","",IFERROR(MID($H2448&amp;" ",FIND("|",SUBSTITUTE($H2448&amp;" "," ","|",1))+1,FIND("|",SUBSTITUTE($H2448&amp;" "," ","|",2))-FIND("|",SUBSTITUTE($H2448&amp;" "," ","|",1))-1),""))</f>
        <v/>
      </c>
      <c r="D2448" s="58">
        <f>IF($H2448="","",IFERROR(MID($H2448&amp;" ",FIND("|",SUBSTITUTE($H2448&amp;" "," ","|",2))+1,FIND("|",SUBSTITUTE($H2448&amp;" "," ","|",3))-FIND("|",SUBSTITUTE($H2448&amp;" "," ","|",2))-1),""))</f>
        <v/>
      </c>
      <c r="E2448" s="58">
        <f>IF($H2448="","",IFERROR(MID($H2448&amp;" ",FIND("|",SUBSTITUTE($H2448&amp;" "," ","|",3))+1,FIND("|",SUBSTITUTE($H2448&amp;" "," ","|",4))-FIND("|",SUBSTITUTE($H2448&amp;" "," ","|",3))-1),""))</f>
        <v/>
      </c>
      <c r="F2448" s="59">
        <f>IF($H2448="","",IFERROR(VALUE(IFERROR(MID($H2448&amp;" ",FIND("|",SUBSTITUTE($H2448&amp;" "," ","|",4))+1,FIND("|",SUBSTITUTE($H2448&amp;" "," ","|",5))-FIND("|",SUBSTITUTE($H2448&amp;" "," ","|",4))-1),""))/86400+25569+9/24,""))</f>
        <v/>
      </c>
      <c r="G2448" s="58">
        <f>TRIM(SUBSTITUTE(SUBSTITUTE(SUBSTITUTE($A2448,CHAR(9)," ")," "," "),CHAR(13),""))</f>
        <v/>
      </c>
      <c r="H2448" s="58">
        <f>IF($G2448="","",IF(ISNUMBER(FIND(" ",$G2448)),$G2448,IFERROR(IF((LEN(SUBSTITUTE(SUBSTITUTE($G2448,"-"," ",LEN($G2448)-LEN(SUBSTITUTE($G2448,"-",""))),"-"," ",LEN($G2448)-LEN(SUBSTITUTE($G2448,"-",""))-1))-LEN(SUBSTITUTE(SUBSTITUTE(SUBSTITUTE($G2448,"-"," ",LEN($G2448)-LEN(SUBSTITUTE($G2448,"-",""))),"-"," ",LEN($G2448)-LEN(SUBSTITUTE($G2448,"-",""))-1),".","")))=0,SUBSTITUTE(SUBSTITUTE($G2448,"-"," ",LEN($G2448)-LEN(SUBSTITUTE($G2448,"-",""))),"-"," ",LEN($G2448)-LEN(SUBSTITUTE($G2448,"-",""))-1),SUBSTITUTE(SUBSTITUTE(SUBSTITUTE($G2448,"-"," ",LEN($G2448)-LEN(SUBSTITUTE($G2448,"-",""))),"-"," ",LEN($G2448)-LEN(SUBSTITUTE($G2448,"-",""))-1),"."," ",(LEN(SUBSTITUTE(SUBSTITUTE($G2448,"-"," ",LEN($G2448)-LEN(SUBSTITUTE($G2448,"-",""))),"-"," ",LEN($G2448)-LEN(SUBSTITUTE($G2448,"-",""))-1))-LEN(SUBSTITUTE(SUBSTITUTE(SUBSTITUTE($G2448,"-"," ",LEN($G2448)-LEN(SUBSTITUTE($G2448,"-",""))),"-"," ",LEN($G2448)-LEN(SUBSTITUTE($G2448,"-",""))-1),".",""))))),$G2448)))</f>
        <v/>
      </c>
    </row>
    <row r="2449">
      <c r="A2449" s="58" t="n"/>
      <c r="B2449" s="58">
        <f>IF($H2449="","",LEFT($H2449,FIND(" ",$H2449&amp;" ")-1))</f>
        <v/>
      </c>
      <c r="C2449" s="58">
        <f>IF($H2449="","",IFERROR(MID($H2449&amp;" ",FIND("|",SUBSTITUTE($H2449&amp;" "," ","|",1))+1,FIND("|",SUBSTITUTE($H2449&amp;" "," ","|",2))-FIND("|",SUBSTITUTE($H2449&amp;" "," ","|",1))-1),""))</f>
        <v/>
      </c>
      <c r="D2449" s="58">
        <f>IF($H2449="","",IFERROR(MID($H2449&amp;" ",FIND("|",SUBSTITUTE($H2449&amp;" "," ","|",2))+1,FIND("|",SUBSTITUTE($H2449&amp;" "," ","|",3))-FIND("|",SUBSTITUTE($H2449&amp;" "," ","|",2))-1),""))</f>
        <v/>
      </c>
      <c r="E2449" s="58">
        <f>IF($H2449="","",IFERROR(MID($H2449&amp;" ",FIND("|",SUBSTITUTE($H2449&amp;" "," ","|",3))+1,FIND("|",SUBSTITUTE($H2449&amp;" "," ","|",4))-FIND("|",SUBSTITUTE($H2449&amp;" "," ","|",3))-1),""))</f>
        <v/>
      </c>
      <c r="F2449" s="59">
        <f>IF($H2449="","",IFERROR(VALUE(IFERROR(MID($H2449&amp;" ",FIND("|",SUBSTITUTE($H2449&amp;" "," ","|",4))+1,FIND("|",SUBSTITUTE($H2449&amp;" "," ","|",5))-FIND("|",SUBSTITUTE($H2449&amp;" "," ","|",4))-1),""))/86400+25569+9/24,""))</f>
        <v/>
      </c>
      <c r="G2449" s="58">
        <f>TRIM(SUBSTITUTE(SUBSTITUTE(SUBSTITUTE($A2449,CHAR(9)," ")," "," "),CHAR(13),""))</f>
        <v/>
      </c>
      <c r="H2449" s="58">
        <f>IF($G2449="","",IF(ISNUMBER(FIND(" ",$G2449)),$G2449,IFERROR(IF((LEN(SUBSTITUTE(SUBSTITUTE($G2449,"-"," ",LEN($G2449)-LEN(SUBSTITUTE($G2449,"-",""))),"-"," ",LEN($G2449)-LEN(SUBSTITUTE($G2449,"-",""))-1))-LEN(SUBSTITUTE(SUBSTITUTE(SUBSTITUTE($G2449,"-"," ",LEN($G2449)-LEN(SUBSTITUTE($G2449,"-",""))),"-"," ",LEN($G2449)-LEN(SUBSTITUTE($G2449,"-",""))-1),".","")))=0,SUBSTITUTE(SUBSTITUTE($G2449,"-"," ",LEN($G2449)-LEN(SUBSTITUTE($G2449,"-",""))),"-"," ",LEN($G2449)-LEN(SUBSTITUTE($G2449,"-",""))-1),SUBSTITUTE(SUBSTITUTE(SUBSTITUTE($G2449,"-"," ",LEN($G2449)-LEN(SUBSTITUTE($G2449,"-",""))),"-"," ",LEN($G2449)-LEN(SUBSTITUTE($G2449,"-",""))-1),"."," ",(LEN(SUBSTITUTE(SUBSTITUTE($G2449,"-"," ",LEN($G2449)-LEN(SUBSTITUTE($G2449,"-",""))),"-"," ",LEN($G2449)-LEN(SUBSTITUTE($G2449,"-",""))-1))-LEN(SUBSTITUTE(SUBSTITUTE(SUBSTITUTE($G2449,"-"," ",LEN($G2449)-LEN(SUBSTITUTE($G2449,"-",""))),"-"," ",LEN($G2449)-LEN(SUBSTITUTE($G2449,"-",""))-1),".",""))))),$G2449)))</f>
        <v/>
      </c>
    </row>
    <row r="2450">
      <c r="A2450" s="58" t="n"/>
      <c r="B2450" s="58">
        <f>IF($H2450="","",LEFT($H2450,FIND(" ",$H2450&amp;" ")-1))</f>
        <v/>
      </c>
      <c r="C2450" s="58">
        <f>IF($H2450="","",IFERROR(MID($H2450&amp;" ",FIND("|",SUBSTITUTE($H2450&amp;" "," ","|",1))+1,FIND("|",SUBSTITUTE($H2450&amp;" "," ","|",2))-FIND("|",SUBSTITUTE($H2450&amp;" "," ","|",1))-1),""))</f>
        <v/>
      </c>
      <c r="D2450" s="58">
        <f>IF($H2450="","",IFERROR(MID($H2450&amp;" ",FIND("|",SUBSTITUTE($H2450&amp;" "," ","|",2))+1,FIND("|",SUBSTITUTE($H2450&amp;" "," ","|",3))-FIND("|",SUBSTITUTE($H2450&amp;" "," ","|",2))-1),""))</f>
        <v/>
      </c>
      <c r="E2450" s="58">
        <f>IF($H2450="","",IFERROR(MID($H2450&amp;" ",FIND("|",SUBSTITUTE($H2450&amp;" "," ","|",3))+1,FIND("|",SUBSTITUTE($H2450&amp;" "," ","|",4))-FIND("|",SUBSTITUTE($H2450&amp;" "," ","|",3))-1),""))</f>
        <v/>
      </c>
      <c r="F2450" s="59">
        <f>IF($H2450="","",IFERROR(VALUE(IFERROR(MID($H2450&amp;" ",FIND("|",SUBSTITUTE($H2450&amp;" "," ","|",4))+1,FIND("|",SUBSTITUTE($H2450&amp;" "," ","|",5))-FIND("|",SUBSTITUTE($H2450&amp;" "," ","|",4))-1),""))/86400+25569+9/24,""))</f>
        <v/>
      </c>
      <c r="G2450" s="58">
        <f>TRIM(SUBSTITUTE(SUBSTITUTE(SUBSTITUTE($A2450,CHAR(9)," ")," "," "),CHAR(13),""))</f>
        <v/>
      </c>
      <c r="H2450" s="58">
        <f>IF($G2450="","",IF(ISNUMBER(FIND(" ",$G2450)),$G2450,IFERROR(IF((LEN(SUBSTITUTE(SUBSTITUTE($G2450,"-"," ",LEN($G2450)-LEN(SUBSTITUTE($G2450,"-",""))),"-"," ",LEN($G2450)-LEN(SUBSTITUTE($G2450,"-",""))-1))-LEN(SUBSTITUTE(SUBSTITUTE(SUBSTITUTE($G2450,"-"," ",LEN($G2450)-LEN(SUBSTITUTE($G2450,"-",""))),"-"," ",LEN($G2450)-LEN(SUBSTITUTE($G2450,"-",""))-1),".","")))=0,SUBSTITUTE(SUBSTITUTE($G2450,"-"," ",LEN($G2450)-LEN(SUBSTITUTE($G2450,"-",""))),"-"," ",LEN($G2450)-LEN(SUBSTITUTE($G2450,"-",""))-1),SUBSTITUTE(SUBSTITUTE(SUBSTITUTE($G2450,"-"," ",LEN($G2450)-LEN(SUBSTITUTE($G2450,"-",""))),"-"," ",LEN($G2450)-LEN(SUBSTITUTE($G2450,"-",""))-1),"."," ",(LEN(SUBSTITUTE(SUBSTITUTE($G2450,"-"," ",LEN($G2450)-LEN(SUBSTITUTE($G2450,"-",""))),"-"," ",LEN($G2450)-LEN(SUBSTITUTE($G2450,"-",""))-1))-LEN(SUBSTITUTE(SUBSTITUTE(SUBSTITUTE($G2450,"-"," ",LEN($G2450)-LEN(SUBSTITUTE($G2450,"-",""))),"-"," ",LEN($G2450)-LEN(SUBSTITUTE($G2450,"-",""))-1),".",""))))),$G2450)))</f>
        <v/>
      </c>
    </row>
    <row r="2451">
      <c r="A2451" s="58" t="n"/>
      <c r="B2451" s="58">
        <f>IF($H2451="","",LEFT($H2451,FIND(" ",$H2451&amp;" ")-1))</f>
        <v/>
      </c>
      <c r="C2451" s="58">
        <f>IF($H2451="","",IFERROR(MID($H2451&amp;" ",FIND("|",SUBSTITUTE($H2451&amp;" "," ","|",1))+1,FIND("|",SUBSTITUTE($H2451&amp;" "," ","|",2))-FIND("|",SUBSTITUTE($H2451&amp;" "," ","|",1))-1),""))</f>
        <v/>
      </c>
      <c r="D2451" s="58">
        <f>IF($H2451="","",IFERROR(MID($H2451&amp;" ",FIND("|",SUBSTITUTE($H2451&amp;" "," ","|",2))+1,FIND("|",SUBSTITUTE($H2451&amp;" "," ","|",3))-FIND("|",SUBSTITUTE($H2451&amp;" "," ","|",2))-1),""))</f>
        <v/>
      </c>
      <c r="E2451" s="58">
        <f>IF($H2451="","",IFERROR(MID($H2451&amp;" ",FIND("|",SUBSTITUTE($H2451&amp;" "," ","|",3))+1,FIND("|",SUBSTITUTE($H2451&amp;" "," ","|",4))-FIND("|",SUBSTITUTE($H2451&amp;" "," ","|",3))-1),""))</f>
        <v/>
      </c>
      <c r="F2451" s="59">
        <f>IF($H2451="","",IFERROR(VALUE(IFERROR(MID($H2451&amp;" ",FIND("|",SUBSTITUTE($H2451&amp;" "," ","|",4))+1,FIND("|",SUBSTITUTE($H2451&amp;" "," ","|",5))-FIND("|",SUBSTITUTE($H2451&amp;" "," ","|",4))-1),""))/86400+25569+9/24,""))</f>
        <v/>
      </c>
      <c r="G2451" s="58">
        <f>TRIM(SUBSTITUTE(SUBSTITUTE(SUBSTITUTE($A2451,CHAR(9)," ")," "," "),CHAR(13),""))</f>
        <v/>
      </c>
      <c r="H2451" s="58">
        <f>IF($G2451="","",IF(ISNUMBER(FIND(" ",$G2451)),$G2451,IFERROR(IF((LEN(SUBSTITUTE(SUBSTITUTE($G2451,"-"," ",LEN($G2451)-LEN(SUBSTITUTE($G2451,"-",""))),"-"," ",LEN($G2451)-LEN(SUBSTITUTE($G2451,"-",""))-1))-LEN(SUBSTITUTE(SUBSTITUTE(SUBSTITUTE($G2451,"-"," ",LEN($G2451)-LEN(SUBSTITUTE($G2451,"-",""))),"-"," ",LEN($G2451)-LEN(SUBSTITUTE($G2451,"-",""))-1),".","")))=0,SUBSTITUTE(SUBSTITUTE($G2451,"-"," ",LEN($G2451)-LEN(SUBSTITUTE($G2451,"-",""))),"-"," ",LEN($G2451)-LEN(SUBSTITUTE($G2451,"-",""))-1),SUBSTITUTE(SUBSTITUTE(SUBSTITUTE($G2451,"-"," ",LEN($G2451)-LEN(SUBSTITUTE($G2451,"-",""))),"-"," ",LEN($G2451)-LEN(SUBSTITUTE($G2451,"-",""))-1),"."," ",(LEN(SUBSTITUTE(SUBSTITUTE($G2451,"-"," ",LEN($G2451)-LEN(SUBSTITUTE($G2451,"-",""))),"-"," ",LEN($G2451)-LEN(SUBSTITUTE($G2451,"-",""))-1))-LEN(SUBSTITUTE(SUBSTITUTE(SUBSTITUTE($G2451,"-"," ",LEN($G2451)-LEN(SUBSTITUTE($G2451,"-",""))),"-"," ",LEN($G2451)-LEN(SUBSTITUTE($G2451,"-",""))-1),".",""))))),$G2451)))</f>
        <v/>
      </c>
    </row>
    <row r="2452">
      <c r="A2452" s="58" t="n"/>
      <c r="B2452" s="58">
        <f>IF($H2452="","",LEFT($H2452,FIND(" ",$H2452&amp;" ")-1))</f>
        <v/>
      </c>
      <c r="C2452" s="58">
        <f>IF($H2452="","",IFERROR(MID($H2452&amp;" ",FIND("|",SUBSTITUTE($H2452&amp;" "," ","|",1))+1,FIND("|",SUBSTITUTE($H2452&amp;" "," ","|",2))-FIND("|",SUBSTITUTE($H2452&amp;" "," ","|",1))-1),""))</f>
        <v/>
      </c>
      <c r="D2452" s="58">
        <f>IF($H2452="","",IFERROR(MID($H2452&amp;" ",FIND("|",SUBSTITUTE($H2452&amp;" "," ","|",2))+1,FIND("|",SUBSTITUTE($H2452&amp;" "," ","|",3))-FIND("|",SUBSTITUTE($H2452&amp;" "," ","|",2))-1),""))</f>
        <v/>
      </c>
      <c r="E2452" s="58">
        <f>IF($H2452="","",IFERROR(MID($H2452&amp;" ",FIND("|",SUBSTITUTE($H2452&amp;" "," ","|",3))+1,FIND("|",SUBSTITUTE($H2452&amp;" "," ","|",4))-FIND("|",SUBSTITUTE($H2452&amp;" "," ","|",3))-1),""))</f>
        <v/>
      </c>
      <c r="F2452" s="59">
        <f>IF($H2452="","",IFERROR(VALUE(IFERROR(MID($H2452&amp;" ",FIND("|",SUBSTITUTE($H2452&amp;" "," ","|",4))+1,FIND("|",SUBSTITUTE($H2452&amp;" "," ","|",5))-FIND("|",SUBSTITUTE($H2452&amp;" "," ","|",4))-1),""))/86400+25569+9/24,""))</f>
        <v/>
      </c>
      <c r="G2452" s="58">
        <f>TRIM(SUBSTITUTE(SUBSTITUTE(SUBSTITUTE($A2452,CHAR(9)," ")," "," "),CHAR(13),""))</f>
        <v/>
      </c>
      <c r="H2452" s="58">
        <f>IF($G2452="","",IF(ISNUMBER(FIND(" ",$G2452)),$G2452,IFERROR(IF((LEN(SUBSTITUTE(SUBSTITUTE($G2452,"-"," ",LEN($G2452)-LEN(SUBSTITUTE($G2452,"-",""))),"-"," ",LEN($G2452)-LEN(SUBSTITUTE($G2452,"-",""))-1))-LEN(SUBSTITUTE(SUBSTITUTE(SUBSTITUTE($G2452,"-"," ",LEN($G2452)-LEN(SUBSTITUTE($G2452,"-",""))),"-"," ",LEN($G2452)-LEN(SUBSTITUTE($G2452,"-",""))-1),".","")))=0,SUBSTITUTE(SUBSTITUTE($G2452,"-"," ",LEN($G2452)-LEN(SUBSTITUTE($G2452,"-",""))),"-"," ",LEN($G2452)-LEN(SUBSTITUTE($G2452,"-",""))-1),SUBSTITUTE(SUBSTITUTE(SUBSTITUTE($G2452,"-"," ",LEN($G2452)-LEN(SUBSTITUTE($G2452,"-",""))),"-"," ",LEN($G2452)-LEN(SUBSTITUTE($G2452,"-",""))-1),"."," ",(LEN(SUBSTITUTE(SUBSTITUTE($G2452,"-"," ",LEN($G2452)-LEN(SUBSTITUTE($G2452,"-",""))),"-"," ",LEN($G2452)-LEN(SUBSTITUTE($G2452,"-",""))-1))-LEN(SUBSTITUTE(SUBSTITUTE(SUBSTITUTE($G2452,"-"," ",LEN($G2452)-LEN(SUBSTITUTE($G2452,"-",""))),"-"," ",LEN($G2452)-LEN(SUBSTITUTE($G2452,"-",""))-1),".",""))))),$G2452)))</f>
        <v/>
      </c>
    </row>
    <row r="2453">
      <c r="A2453" s="58" t="n"/>
      <c r="B2453" s="58">
        <f>IF($H2453="","",LEFT($H2453,FIND(" ",$H2453&amp;" ")-1))</f>
        <v/>
      </c>
      <c r="C2453" s="58">
        <f>IF($H2453="","",IFERROR(MID($H2453&amp;" ",FIND("|",SUBSTITUTE($H2453&amp;" "," ","|",1))+1,FIND("|",SUBSTITUTE($H2453&amp;" "," ","|",2))-FIND("|",SUBSTITUTE($H2453&amp;" "," ","|",1))-1),""))</f>
        <v/>
      </c>
      <c r="D2453" s="58">
        <f>IF($H2453="","",IFERROR(MID($H2453&amp;" ",FIND("|",SUBSTITUTE($H2453&amp;" "," ","|",2))+1,FIND("|",SUBSTITUTE($H2453&amp;" "," ","|",3))-FIND("|",SUBSTITUTE($H2453&amp;" "," ","|",2))-1),""))</f>
        <v/>
      </c>
      <c r="E2453" s="58">
        <f>IF($H2453="","",IFERROR(MID($H2453&amp;" ",FIND("|",SUBSTITUTE($H2453&amp;" "," ","|",3))+1,FIND("|",SUBSTITUTE($H2453&amp;" "," ","|",4))-FIND("|",SUBSTITUTE($H2453&amp;" "," ","|",3))-1),""))</f>
        <v/>
      </c>
      <c r="F2453" s="59">
        <f>IF($H2453="","",IFERROR(VALUE(IFERROR(MID($H2453&amp;" ",FIND("|",SUBSTITUTE($H2453&amp;" "," ","|",4))+1,FIND("|",SUBSTITUTE($H2453&amp;" "," ","|",5))-FIND("|",SUBSTITUTE($H2453&amp;" "," ","|",4))-1),""))/86400+25569+9/24,""))</f>
        <v/>
      </c>
      <c r="G2453" s="58">
        <f>TRIM(SUBSTITUTE(SUBSTITUTE(SUBSTITUTE($A2453,CHAR(9)," ")," "," "),CHAR(13),""))</f>
        <v/>
      </c>
      <c r="H2453" s="58">
        <f>IF($G2453="","",IF(ISNUMBER(FIND(" ",$G2453)),$G2453,IFERROR(IF((LEN(SUBSTITUTE(SUBSTITUTE($G2453,"-"," ",LEN($G2453)-LEN(SUBSTITUTE($G2453,"-",""))),"-"," ",LEN($G2453)-LEN(SUBSTITUTE($G2453,"-",""))-1))-LEN(SUBSTITUTE(SUBSTITUTE(SUBSTITUTE($G2453,"-"," ",LEN($G2453)-LEN(SUBSTITUTE($G2453,"-",""))),"-"," ",LEN($G2453)-LEN(SUBSTITUTE($G2453,"-",""))-1),".","")))=0,SUBSTITUTE(SUBSTITUTE($G2453,"-"," ",LEN($G2453)-LEN(SUBSTITUTE($G2453,"-",""))),"-"," ",LEN($G2453)-LEN(SUBSTITUTE($G2453,"-",""))-1),SUBSTITUTE(SUBSTITUTE(SUBSTITUTE($G2453,"-"," ",LEN($G2453)-LEN(SUBSTITUTE($G2453,"-",""))),"-"," ",LEN($G2453)-LEN(SUBSTITUTE($G2453,"-",""))-1),"."," ",(LEN(SUBSTITUTE(SUBSTITUTE($G2453,"-"," ",LEN($G2453)-LEN(SUBSTITUTE($G2453,"-",""))),"-"," ",LEN($G2453)-LEN(SUBSTITUTE($G2453,"-",""))-1))-LEN(SUBSTITUTE(SUBSTITUTE(SUBSTITUTE($G2453,"-"," ",LEN($G2453)-LEN(SUBSTITUTE($G2453,"-",""))),"-"," ",LEN($G2453)-LEN(SUBSTITUTE($G2453,"-",""))-1),".",""))))),$G2453)))</f>
        <v/>
      </c>
    </row>
    <row r="2454">
      <c r="A2454" s="58" t="n"/>
      <c r="B2454" s="58">
        <f>IF($H2454="","",LEFT($H2454,FIND(" ",$H2454&amp;" ")-1))</f>
        <v/>
      </c>
      <c r="C2454" s="58">
        <f>IF($H2454="","",IFERROR(MID($H2454&amp;" ",FIND("|",SUBSTITUTE($H2454&amp;" "," ","|",1))+1,FIND("|",SUBSTITUTE($H2454&amp;" "," ","|",2))-FIND("|",SUBSTITUTE($H2454&amp;" "," ","|",1))-1),""))</f>
        <v/>
      </c>
      <c r="D2454" s="58">
        <f>IF($H2454="","",IFERROR(MID($H2454&amp;" ",FIND("|",SUBSTITUTE($H2454&amp;" "," ","|",2))+1,FIND("|",SUBSTITUTE($H2454&amp;" "," ","|",3))-FIND("|",SUBSTITUTE($H2454&amp;" "," ","|",2))-1),""))</f>
        <v/>
      </c>
      <c r="E2454" s="58">
        <f>IF($H2454="","",IFERROR(MID($H2454&amp;" ",FIND("|",SUBSTITUTE($H2454&amp;" "," ","|",3))+1,FIND("|",SUBSTITUTE($H2454&amp;" "," ","|",4))-FIND("|",SUBSTITUTE($H2454&amp;" "," ","|",3))-1),""))</f>
        <v/>
      </c>
      <c r="F2454" s="59">
        <f>IF($H2454="","",IFERROR(VALUE(IFERROR(MID($H2454&amp;" ",FIND("|",SUBSTITUTE($H2454&amp;" "," ","|",4))+1,FIND("|",SUBSTITUTE($H2454&amp;" "," ","|",5))-FIND("|",SUBSTITUTE($H2454&amp;" "," ","|",4))-1),""))/86400+25569+9/24,""))</f>
        <v/>
      </c>
      <c r="G2454" s="58">
        <f>TRIM(SUBSTITUTE(SUBSTITUTE(SUBSTITUTE($A2454,CHAR(9)," ")," "," "),CHAR(13),""))</f>
        <v/>
      </c>
      <c r="H2454" s="58">
        <f>IF($G2454="","",IF(ISNUMBER(FIND(" ",$G2454)),$G2454,IFERROR(IF((LEN(SUBSTITUTE(SUBSTITUTE($G2454,"-"," ",LEN($G2454)-LEN(SUBSTITUTE($G2454,"-",""))),"-"," ",LEN($G2454)-LEN(SUBSTITUTE($G2454,"-",""))-1))-LEN(SUBSTITUTE(SUBSTITUTE(SUBSTITUTE($G2454,"-"," ",LEN($G2454)-LEN(SUBSTITUTE($G2454,"-",""))),"-"," ",LEN($G2454)-LEN(SUBSTITUTE($G2454,"-",""))-1),".","")))=0,SUBSTITUTE(SUBSTITUTE($G2454,"-"," ",LEN($G2454)-LEN(SUBSTITUTE($G2454,"-",""))),"-"," ",LEN($G2454)-LEN(SUBSTITUTE($G2454,"-",""))-1),SUBSTITUTE(SUBSTITUTE(SUBSTITUTE($G2454,"-"," ",LEN($G2454)-LEN(SUBSTITUTE($G2454,"-",""))),"-"," ",LEN($G2454)-LEN(SUBSTITUTE($G2454,"-",""))-1),"."," ",(LEN(SUBSTITUTE(SUBSTITUTE($G2454,"-"," ",LEN($G2454)-LEN(SUBSTITUTE($G2454,"-",""))),"-"," ",LEN($G2454)-LEN(SUBSTITUTE($G2454,"-",""))-1))-LEN(SUBSTITUTE(SUBSTITUTE(SUBSTITUTE($G2454,"-"," ",LEN($G2454)-LEN(SUBSTITUTE($G2454,"-",""))),"-"," ",LEN($G2454)-LEN(SUBSTITUTE($G2454,"-",""))-1),".",""))))),$G2454)))</f>
        <v/>
      </c>
    </row>
    <row r="2455">
      <c r="A2455" s="58" t="n"/>
      <c r="B2455" s="58">
        <f>IF($H2455="","",LEFT($H2455,FIND(" ",$H2455&amp;" ")-1))</f>
        <v/>
      </c>
      <c r="C2455" s="58">
        <f>IF($H2455="","",IFERROR(MID($H2455&amp;" ",FIND("|",SUBSTITUTE($H2455&amp;" "," ","|",1))+1,FIND("|",SUBSTITUTE($H2455&amp;" "," ","|",2))-FIND("|",SUBSTITUTE($H2455&amp;" "," ","|",1))-1),""))</f>
        <v/>
      </c>
      <c r="D2455" s="58">
        <f>IF($H2455="","",IFERROR(MID($H2455&amp;" ",FIND("|",SUBSTITUTE($H2455&amp;" "," ","|",2))+1,FIND("|",SUBSTITUTE($H2455&amp;" "," ","|",3))-FIND("|",SUBSTITUTE($H2455&amp;" "," ","|",2))-1),""))</f>
        <v/>
      </c>
      <c r="E2455" s="58">
        <f>IF($H2455="","",IFERROR(MID($H2455&amp;" ",FIND("|",SUBSTITUTE($H2455&amp;" "," ","|",3))+1,FIND("|",SUBSTITUTE($H2455&amp;" "," ","|",4))-FIND("|",SUBSTITUTE($H2455&amp;" "," ","|",3))-1),""))</f>
        <v/>
      </c>
      <c r="F2455" s="59">
        <f>IF($H2455="","",IFERROR(VALUE(IFERROR(MID($H2455&amp;" ",FIND("|",SUBSTITUTE($H2455&amp;" "," ","|",4))+1,FIND("|",SUBSTITUTE($H2455&amp;" "," ","|",5))-FIND("|",SUBSTITUTE($H2455&amp;" "," ","|",4))-1),""))/86400+25569+9/24,""))</f>
        <v/>
      </c>
      <c r="G2455" s="58">
        <f>TRIM(SUBSTITUTE(SUBSTITUTE(SUBSTITUTE($A2455,CHAR(9)," ")," "," "),CHAR(13),""))</f>
        <v/>
      </c>
      <c r="H2455" s="58">
        <f>IF($G2455="","",IF(ISNUMBER(FIND(" ",$G2455)),$G2455,IFERROR(IF((LEN(SUBSTITUTE(SUBSTITUTE($G2455,"-"," ",LEN($G2455)-LEN(SUBSTITUTE($G2455,"-",""))),"-"," ",LEN($G2455)-LEN(SUBSTITUTE($G2455,"-",""))-1))-LEN(SUBSTITUTE(SUBSTITUTE(SUBSTITUTE($G2455,"-"," ",LEN($G2455)-LEN(SUBSTITUTE($G2455,"-",""))),"-"," ",LEN($G2455)-LEN(SUBSTITUTE($G2455,"-",""))-1),".","")))=0,SUBSTITUTE(SUBSTITUTE($G2455,"-"," ",LEN($G2455)-LEN(SUBSTITUTE($G2455,"-",""))),"-"," ",LEN($G2455)-LEN(SUBSTITUTE($G2455,"-",""))-1),SUBSTITUTE(SUBSTITUTE(SUBSTITUTE($G2455,"-"," ",LEN($G2455)-LEN(SUBSTITUTE($G2455,"-",""))),"-"," ",LEN($G2455)-LEN(SUBSTITUTE($G2455,"-",""))-1),"."," ",(LEN(SUBSTITUTE(SUBSTITUTE($G2455,"-"," ",LEN($G2455)-LEN(SUBSTITUTE($G2455,"-",""))),"-"," ",LEN($G2455)-LEN(SUBSTITUTE($G2455,"-",""))-1))-LEN(SUBSTITUTE(SUBSTITUTE(SUBSTITUTE($G2455,"-"," ",LEN($G2455)-LEN(SUBSTITUTE($G2455,"-",""))),"-"," ",LEN($G2455)-LEN(SUBSTITUTE($G2455,"-",""))-1),".",""))))),$G2455)))</f>
        <v/>
      </c>
    </row>
    <row r="2456">
      <c r="A2456" s="58" t="n"/>
      <c r="B2456" s="58">
        <f>IF($H2456="","",LEFT($H2456,FIND(" ",$H2456&amp;" ")-1))</f>
        <v/>
      </c>
      <c r="C2456" s="58">
        <f>IF($H2456="","",IFERROR(MID($H2456&amp;" ",FIND("|",SUBSTITUTE($H2456&amp;" "," ","|",1))+1,FIND("|",SUBSTITUTE($H2456&amp;" "," ","|",2))-FIND("|",SUBSTITUTE($H2456&amp;" "," ","|",1))-1),""))</f>
        <v/>
      </c>
      <c r="D2456" s="58">
        <f>IF($H2456="","",IFERROR(MID($H2456&amp;" ",FIND("|",SUBSTITUTE($H2456&amp;" "," ","|",2))+1,FIND("|",SUBSTITUTE($H2456&amp;" "," ","|",3))-FIND("|",SUBSTITUTE($H2456&amp;" "," ","|",2))-1),""))</f>
        <v/>
      </c>
      <c r="E2456" s="58">
        <f>IF($H2456="","",IFERROR(MID($H2456&amp;" ",FIND("|",SUBSTITUTE($H2456&amp;" "," ","|",3))+1,FIND("|",SUBSTITUTE($H2456&amp;" "," ","|",4))-FIND("|",SUBSTITUTE($H2456&amp;" "," ","|",3))-1),""))</f>
        <v/>
      </c>
      <c r="F2456" s="59">
        <f>IF($H2456="","",IFERROR(VALUE(IFERROR(MID($H2456&amp;" ",FIND("|",SUBSTITUTE($H2456&amp;" "," ","|",4))+1,FIND("|",SUBSTITUTE($H2456&amp;" "," ","|",5))-FIND("|",SUBSTITUTE($H2456&amp;" "," ","|",4))-1),""))/86400+25569+9/24,""))</f>
        <v/>
      </c>
      <c r="G2456" s="58">
        <f>TRIM(SUBSTITUTE(SUBSTITUTE(SUBSTITUTE($A2456,CHAR(9)," ")," "," "),CHAR(13),""))</f>
        <v/>
      </c>
      <c r="H2456" s="58">
        <f>IF($G2456="","",IF(ISNUMBER(FIND(" ",$G2456)),$G2456,IFERROR(IF((LEN(SUBSTITUTE(SUBSTITUTE($G2456,"-"," ",LEN($G2456)-LEN(SUBSTITUTE($G2456,"-",""))),"-"," ",LEN($G2456)-LEN(SUBSTITUTE($G2456,"-",""))-1))-LEN(SUBSTITUTE(SUBSTITUTE(SUBSTITUTE($G2456,"-"," ",LEN($G2456)-LEN(SUBSTITUTE($G2456,"-",""))),"-"," ",LEN($G2456)-LEN(SUBSTITUTE($G2456,"-",""))-1),".","")))=0,SUBSTITUTE(SUBSTITUTE($G2456,"-"," ",LEN($G2456)-LEN(SUBSTITUTE($G2456,"-",""))),"-"," ",LEN($G2456)-LEN(SUBSTITUTE($G2456,"-",""))-1),SUBSTITUTE(SUBSTITUTE(SUBSTITUTE($G2456,"-"," ",LEN($G2456)-LEN(SUBSTITUTE($G2456,"-",""))),"-"," ",LEN($G2456)-LEN(SUBSTITUTE($G2456,"-",""))-1),"."," ",(LEN(SUBSTITUTE(SUBSTITUTE($G2456,"-"," ",LEN($G2456)-LEN(SUBSTITUTE($G2456,"-",""))),"-"," ",LEN($G2456)-LEN(SUBSTITUTE($G2456,"-",""))-1))-LEN(SUBSTITUTE(SUBSTITUTE(SUBSTITUTE($G2456,"-"," ",LEN($G2456)-LEN(SUBSTITUTE($G2456,"-",""))),"-"," ",LEN($G2456)-LEN(SUBSTITUTE($G2456,"-",""))-1),".",""))))),$G2456)))</f>
        <v/>
      </c>
    </row>
    <row r="2457">
      <c r="A2457" s="58" t="n"/>
      <c r="B2457" s="58">
        <f>IF($H2457="","",LEFT($H2457,FIND(" ",$H2457&amp;" ")-1))</f>
        <v/>
      </c>
      <c r="C2457" s="58">
        <f>IF($H2457="","",IFERROR(MID($H2457&amp;" ",FIND("|",SUBSTITUTE($H2457&amp;" "," ","|",1))+1,FIND("|",SUBSTITUTE($H2457&amp;" "," ","|",2))-FIND("|",SUBSTITUTE($H2457&amp;" "," ","|",1))-1),""))</f>
        <v/>
      </c>
      <c r="D2457" s="58">
        <f>IF($H2457="","",IFERROR(MID($H2457&amp;" ",FIND("|",SUBSTITUTE($H2457&amp;" "," ","|",2))+1,FIND("|",SUBSTITUTE($H2457&amp;" "," ","|",3))-FIND("|",SUBSTITUTE($H2457&amp;" "," ","|",2))-1),""))</f>
        <v/>
      </c>
      <c r="E2457" s="58">
        <f>IF($H2457="","",IFERROR(MID($H2457&amp;" ",FIND("|",SUBSTITUTE($H2457&amp;" "," ","|",3))+1,FIND("|",SUBSTITUTE($H2457&amp;" "," ","|",4))-FIND("|",SUBSTITUTE($H2457&amp;" "," ","|",3))-1),""))</f>
        <v/>
      </c>
      <c r="F2457" s="59">
        <f>IF($H2457="","",IFERROR(VALUE(IFERROR(MID($H2457&amp;" ",FIND("|",SUBSTITUTE($H2457&amp;" "," ","|",4))+1,FIND("|",SUBSTITUTE($H2457&amp;" "," ","|",5))-FIND("|",SUBSTITUTE($H2457&amp;" "," ","|",4))-1),""))/86400+25569+9/24,""))</f>
        <v/>
      </c>
      <c r="G2457" s="58">
        <f>TRIM(SUBSTITUTE(SUBSTITUTE(SUBSTITUTE($A2457,CHAR(9)," ")," "," "),CHAR(13),""))</f>
        <v/>
      </c>
      <c r="H2457" s="58">
        <f>IF($G2457="","",IF(ISNUMBER(FIND(" ",$G2457)),$G2457,IFERROR(IF((LEN(SUBSTITUTE(SUBSTITUTE($G2457,"-"," ",LEN($G2457)-LEN(SUBSTITUTE($G2457,"-",""))),"-"," ",LEN($G2457)-LEN(SUBSTITUTE($G2457,"-",""))-1))-LEN(SUBSTITUTE(SUBSTITUTE(SUBSTITUTE($G2457,"-"," ",LEN($G2457)-LEN(SUBSTITUTE($G2457,"-",""))),"-"," ",LEN($G2457)-LEN(SUBSTITUTE($G2457,"-",""))-1),".","")))=0,SUBSTITUTE(SUBSTITUTE($G2457,"-"," ",LEN($G2457)-LEN(SUBSTITUTE($G2457,"-",""))),"-"," ",LEN($G2457)-LEN(SUBSTITUTE($G2457,"-",""))-1),SUBSTITUTE(SUBSTITUTE(SUBSTITUTE($G2457,"-"," ",LEN($G2457)-LEN(SUBSTITUTE($G2457,"-",""))),"-"," ",LEN($G2457)-LEN(SUBSTITUTE($G2457,"-",""))-1),"."," ",(LEN(SUBSTITUTE(SUBSTITUTE($G2457,"-"," ",LEN($G2457)-LEN(SUBSTITUTE($G2457,"-",""))),"-"," ",LEN($G2457)-LEN(SUBSTITUTE($G2457,"-",""))-1))-LEN(SUBSTITUTE(SUBSTITUTE(SUBSTITUTE($G2457,"-"," ",LEN($G2457)-LEN(SUBSTITUTE($G2457,"-",""))),"-"," ",LEN($G2457)-LEN(SUBSTITUTE($G2457,"-",""))-1),".",""))))),$G2457)))</f>
        <v/>
      </c>
    </row>
    <row r="2458">
      <c r="A2458" s="58" t="n"/>
      <c r="B2458" s="58">
        <f>IF($H2458="","",LEFT($H2458,FIND(" ",$H2458&amp;" ")-1))</f>
        <v/>
      </c>
      <c r="C2458" s="58">
        <f>IF($H2458="","",IFERROR(MID($H2458&amp;" ",FIND("|",SUBSTITUTE($H2458&amp;" "," ","|",1))+1,FIND("|",SUBSTITUTE($H2458&amp;" "," ","|",2))-FIND("|",SUBSTITUTE($H2458&amp;" "," ","|",1))-1),""))</f>
        <v/>
      </c>
      <c r="D2458" s="58">
        <f>IF($H2458="","",IFERROR(MID($H2458&amp;" ",FIND("|",SUBSTITUTE($H2458&amp;" "," ","|",2))+1,FIND("|",SUBSTITUTE($H2458&amp;" "," ","|",3))-FIND("|",SUBSTITUTE($H2458&amp;" "," ","|",2))-1),""))</f>
        <v/>
      </c>
      <c r="E2458" s="58">
        <f>IF($H2458="","",IFERROR(MID($H2458&amp;" ",FIND("|",SUBSTITUTE($H2458&amp;" "," ","|",3))+1,FIND("|",SUBSTITUTE($H2458&amp;" "," ","|",4))-FIND("|",SUBSTITUTE($H2458&amp;" "," ","|",3))-1),""))</f>
        <v/>
      </c>
      <c r="F2458" s="59">
        <f>IF($H2458="","",IFERROR(VALUE(IFERROR(MID($H2458&amp;" ",FIND("|",SUBSTITUTE($H2458&amp;" "," ","|",4))+1,FIND("|",SUBSTITUTE($H2458&amp;" "," ","|",5))-FIND("|",SUBSTITUTE($H2458&amp;" "," ","|",4))-1),""))/86400+25569+9/24,""))</f>
        <v/>
      </c>
      <c r="G2458" s="58">
        <f>TRIM(SUBSTITUTE(SUBSTITUTE(SUBSTITUTE($A2458,CHAR(9)," ")," "," "),CHAR(13),""))</f>
        <v/>
      </c>
      <c r="H2458" s="58">
        <f>IF($G2458="","",IF(ISNUMBER(FIND(" ",$G2458)),$G2458,IFERROR(IF((LEN(SUBSTITUTE(SUBSTITUTE($G2458,"-"," ",LEN($G2458)-LEN(SUBSTITUTE($G2458,"-",""))),"-"," ",LEN($G2458)-LEN(SUBSTITUTE($G2458,"-",""))-1))-LEN(SUBSTITUTE(SUBSTITUTE(SUBSTITUTE($G2458,"-"," ",LEN($G2458)-LEN(SUBSTITUTE($G2458,"-",""))),"-"," ",LEN($G2458)-LEN(SUBSTITUTE($G2458,"-",""))-1),".","")))=0,SUBSTITUTE(SUBSTITUTE($G2458,"-"," ",LEN($G2458)-LEN(SUBSTITUTE($G2458,"-",""))),"-"," ",LEN($G2458)-LEN(SUBSTITUTE($G2458,"-",""))-1),SUBSTITUTE(SUBSTITUTE(SUBSTITUTE($G2458,"-"," ",LEN($G2458)-LEN(SUBSTITUTE($G2458,"-",""))),"-"," ",LEN($G2458)-LEN(SUBSTITUTE($G2458,"-",""))-1),"."," ",(LEN(SUBSTITUTE(SUBSTITUTE($G2458,"-"," ",LEN($G2458)-LEN(SUBSTITUTE($G2458,"-",""))),"-"," ",LEN($G2458)-LEN(SUBSTITUTE($G2458,"-",""))-1))-LEN(SUBSTITUTE(SUBSTITUTE(SUBSTITUTE($G2458,"-"," ",LEN($G2458)-LEN(SUBSTITUTE($G2458,"-",""))),"-"," ",LEN($G2458)-LEN(SUBSTITUTE($G2458,"-",""))-1),".",""))))),$G2458)))</f>
        <v/>
      </c>
    </row>
    <row r="2459">
      <c r="A2459" s="58" t="n"/>
      <c r="B2459" s="58">
        <f>IF($H2459="","",LEFT($H2459,FIND(" ",$H2459&amp;" ")-1))</f>
        <v/>
      </c>
      <c r="C2459" s="58">
        <f>IF($H2459="","",IFERROR(MID($H2459&amp;" ",FIND("|",SUBSTITUTE($H2459&amp;" "," ","|",1))+1,FIND("|",SUBSTITUTE($H2459&amp;" "," ","|",2))-FIND("|",SUBSTITUTE($H2459&amp;" "," ","|",1))-1),""))</f>
        <v/>
      </c>
      <c r="D2459" s="58">
        <f>IF($H2459="","",IFERROR(MID($H2459&amp;" ",FIND("|",SUBSTITUTE($H2459&amp;" "," ","|",2))+1,FIND("|",SUBSTITUTE($H2459&amp;" "," ","|",3))-FIND("|",SUBSTITUTE($H2459&amp;" "," ","|",2))-1),""))</f>
        <v/>
      </c>
      <c r="E2459" s="58">
        <f>IF($H2459="","",IFERROR(MID($H2459&amp;" ",FIND("|",SUBSTITUTE($H2459&amp;" "," ","|",3))+1,FIND("|",SUBSTITUTE($H2459&amp;" "," ","|",4))-FIND("|",SUBSTITUTE($H2459&amp;" "," ","|",3))-1),""))</f>
        <v/>
      </c>
      <c r="F2459" s="59">
        <f>IF($H2459="","",IFERROR(VALUE(IFERROR(MID($H2459&amp;" ",FIND("|",SUBSTITUTE($H2459&amp;" "," ","|",4))+1,FIND("|",SUBSTITUTE($H2459&amp;" "," ","|",5))-FIND("|",SUBSTITUTE($H2459&amp;" "," ","|",4))-1),""))/86400+25569+9/24,""))</f>
        <v/>
      </c>
      <c r="G2459" s="58">
        <f>TRIM(SUBSTITUTE(SUBSTITUTE(SUBSTITUTE($A2459,CHAR(9)," ")," "," "),CHAR(13),""))</f>
        <v/>
      </c>
      <c r="H2459" s="58">
        <f>IF($G2459="","",IF(ISNUMBER(FIND(" ",$G2459)),$G2459,IFERROR(IF((LEN(SUBSTITUTE(SUBSTITUTE($G2459,"-"," ",LEN($G2459)-LEN(SUBSTITUTE($G2459,"-",""))),"-"," ",LEN($G2459)-LEN(SUBSTITUTE($G2459,"-",""))-1))-LEN(SUBSTITUTE(SUBSTITUTE(SUBSTITUTE($G2459,"-"," ",LEN($G2459)-LEN(SUBSTITUTE($G2459,"-",""))),"-"," ",LEN($G2459)-LEN(SUBSTITUTE($G2459,"-",""))-1),".","")))=0,SUBSTITUTE(SUBSTITUTE($G2459,"-"," ",LEN($G2459)-LEN(SUBSTITUTE($G2459,"-",""))),"-"," ",LEN($G2459)-LEN(SUBSTITUTE($G2459,"-",""))-1),SUBSTITUTE(SUBSTITUTE(SUBSTITUTE($G2459,"-"," ",LEN($G2459)-LEN(SUBSTITUTE($G2459,"-",""))),"-"," ",LEN($G2459)-LEN(SUBSTITUTE($G2459,"-",""))-1),"."," ",(LEN(SUBSTITUTE(SUBSTITUTE($G2459,"-"," ",LEN($G2459)-LEN(SUBSTITUTE($G2459,"-",""))),"-"," ",LEN($G2459)-LEN(SUBSTITUTE($G2459,"-",""))-1))-LEN(SUBSTITUTE(SUBSTITUTE(SUBSTITUTE($G2459,"-"," ",LEN($G2459)-LEN(SUBSTITUTE($G2459,"-",""))),"-"," ",LEN($G2459)-LEN(SUBSTITUTE($G2459,"-",""))-1),".",""))))),$G2459)))</f>
        <v/>
      </c>
    </row>
    <row r="2460">
      <c r="A2460" s="58" t="n"/>
      <c r="B2460" s="58">
        <f>IF($H2460="","",LEFT($H2460,FIND(" ",$H2460&amp;" ")-1))</f>
        <v/>
      </c>
      <c r="C2460" s="58">
        <f>IF($H2460="","",IFERROR(MID($H2460&amp;" ",FIND("|",SUBSTITUTE($H2460&amp;" "," ","|",1))+1,FIND("|",SUBSTITUTE($H2460&amp;" "," ","|",2))-FIND("|",SUBSTITUTE($H2460&amp;" "," ","|",1))-1),""))</f>
        <v/>
      </c>
      <c r="D2460" s="58">
        <f>IF($H2460="","",IFERROR(MID($H2460&amp;" ",FIND("|",SUBSTITUTE($H2460&amp;" "," ","|",2))+1,FIND("|",SUBSTITUTE($H2460&amp;" "," ","|",3))-FIND("|",SUBSTITUTE($H2460&amp;" "," ","|",2))-1),""))</f>
        <v/>
      </c>
      <c r="E2460" s="58">
        <f>IF($H2460="","",IFERROR(MID($H2460&amp;" ",FIND("|",SUBSTITUTE($H2460&amp;" "," ","|",3))+1,FIND("|",SUBSTITUTE($H2460&amp;" "," ","|",4))-FIND("|",SUBSTITUTE($H2460&amp;" "," ","|",3))-1),""))</f>
        <v/>
      </c>
      <c r="F2460" s="59">
        <f>IF($H2460="","",IFERROR(VALUE(IFERROR(MID($H2460&amp;" ",FIND("|",SUBSTITUTE($H2460&amp;" "," ","|",4))+1,FIND("|",SUBSTITUTE($H2460&amp;" "," ","|",5))-FIND("|",SUBSTITUTE($H2460&amp;" "," ","|",4))-1),""))/86400+25569+9/24,""))</f>
        <v/>
      </c>
      <c r="G2460" s="58">
        <f>TRIM(SUBSTITUTE(SUBSTITUTE(SUBSTITUTE($A2460,CHAR(9)," ")," "," "),CHAR(13),""))</f>
        <v/>
      </c>
      <c r="H2460" s="58">
        <f>IF($G2460="","",IF(ISNUMBER(FIND(" ",$G2460)),$G2460,IFERROR(IF((LEN(SUBSTITUTE(SUBSTITUTE($G2460,"-"," ",LEN($G2460)-LEN(SUBSTITUTE($G2460,"-",""))),"-"," ",LEN($G2460)-LEN(SUBSTITUTE($G2460,"-",""))-1))-LEN(SUBSTITUTE(SUBSTITUTE(SUBSTITUTE($G2460,"-"," ",LEN($G2460)-LEN(SUBSTITUTE($G2460,"-",""))),"-"," ",LEN($G2460)-LEN(SUBSTITUTE($G2460,"-",""))-1),".","")))=0,SUBSTITUTE(SUBSTITUTE($G2460,"-"," ",LEN($G2460)-LEN(SUBSTITUTE($G2460,"-",""))),"-"," ",LEN($G2460)-LEN(SUBSTITUTE($G2460,"-",""))-1),SUBSTITUTE(SUBSTITUTE(SUBSTITUTE($G2460,"-"," ",LEN($G2460)-LEN(SUBSTITUTE($G2460,"-",""))),"-"," ",LEN($G2460)-LEN(SUBSTITUTE($G2460,"-",""))-1),"."," ",(LEN(SUBSTITUTE(SUBSTITUTE($G2460,"-"," ",LEN($G2460)-LEN(SUBSTITUTE($G2460,"-",""))),"-"," ",LEN($G2460)-LEN(SUBSTITUTE($G2460,"-",""))-1))-LEN(SUBSTITUTE(SUBSTITUTE(SUBSTITUTE($G2460,"-"," ",LEN($G2460)-LEN(SUBSTITUTE($G2460,"-",""))),"-"," ",LEN($G2460)-LEN(SUBSTITUTE($G2460,"-",""))-1),".",""))))),$G2460)))</f>
        <v/>
      </c>
    </row>
    <row r="2461">
      <c r="A2461" s="58" t="n"/>
      <c r="B2461" s="58">
        <f>IF($H2461="","",LEFT($H2461,FIND(" ",$H2461&amp;" ")-1))</f>
        <v/>
      </c>
      <c r="C2461" s="58">
        <f>IF($H2461="","",IFERROR(MID($H2461&amp;" ",FIND("|",SUBSTITUTE($H2461&amp;" "," ","|",1))+1,FIND("|",SUBSTITUTE($H2461&amp;" "," ","|",2))-FIND("|",SUBSTITUTE($H2461&amp;" "," ","|",1))-1),""))</f>
        <v/>
      </c>
      <c r="D2461" s="58">
        <f>IF($H2461="","",IFERROR(MID($H2461&amp;" ",FIND("|",SUBSTITUTE($H2461&amp;" "," ","|",2))+1,FIND("|",SUBSTITUTE($H2461&amp;" "," ","|",3))-FIND("|",SUBSTITUTE($H2461&amp;" "," ","|",2))-1),""))</f>
        <v/>
      </c>
      <c r="E2461" s="58">
        <f>IF($H2461="","",IFERROR(MID($H2461&amp;" ",FIND("|",SUBSTITUTE($H2461&amp;" "," ","|",3))+1,FIND("|",SUBSTITUTE($H2461&amp;" "," ","|",4))-FIND("|",SUBSTITUTE($H2461&amp;" "," ","|",3))-1),""))</f>
        <v/>
      </c>
      <c r="F2461" s="59">
        <f>IF($H2461="","",IFERROR(VALUE(IFERROR(MID($H2461&amp;" ",FIND("|",SUBSTITUTE($H2461&amp;" "," ","|",4))+1,FIND("|",SUBSTITUTE($H2461&amp;" "," ","|",5))-FIND("|",SUBSTITUTE($H2461&amp;" "," ","|",4))-1),""))/86400+25569+9/24,""))</f>
        <v/>
      </c>
      <c r="G2461" s="58">
        <f>TRIM(SUBSTITUTE(SUBSTITUTE(SUBSTITUTE($A2461,CHAR(9)," ")," "," "),CHAR(13),""))</f>
        <v/>
      </c>
      <c r="H2461" s="58">
        <f>IF($G2461="","",IF(ISNUMBER(FIND(" ",$G2461)),$G2461,IFERROR(IF((LEN(SUBSTITUTE(SUBSTITUTE($G2461,"-"," ",LEN($G2461)-LEN(SUBSTITUTE($G2461,"-",""))),"-"," ",LEN($G2461)-LEN(SUBSTITUTE($G2461,"-",""))-1))-LEN(SUBSTITUTE(SUBSTITUTE(SUBSTITUTE($G2461,"-"," ",LEN($G2461)-LEN(SUBSTITUTE($G2461,"-",""))),"-"," ",LEN($G2461)-LEN(SUBSTITUTE($G2461,"-",""))-1),".","")))=0,SUBSTITUTE(SUBSTITUTE($G2461,"-"," ",LEN($G2461)-LEN(SUBSTITUTE($G2461,"-",""))),"-"," ",LEN($G2461)-LEN(SUBSTITUTE($G2461,"-",""))-1),SUBSTITUTE(SUBSTITUTE(SUBSTITUTE($G2461,"-"," ",LEN($G2461)-LEN(SUBSTITUTE($G2461,"-",""))),"-"," ",LEN($G2461)-LEN(SUBSTITUTE($G2461,"-",""))-1),"."," ",(LEN(SUBSTITUTE(SUBSTITUTE($G2461,"-"," ",LEN($G2461)-LEN(SUBSTITUTE($G2461,"-",""))),"-"," ",LEN($G2461)-LEN(SUBSTITUTE($G2461,"-",""))-1))-LEN(SUBSTITUTE(SUBSTITUTE(SUBSTITUTE($G2461,"-"," ",LEN($G2461)-LEN(SUBSTITUTE($G2461,"-",""))),"-"," ",LEN($G2461)-LEN(SUBSTITUTE($G2461,"-",""))-1),".",""))))),$G2461)))</f>
        <v/>
      </c>
    </row>
    <row r="2462">
      <c r="A2462" s="58" t="n"/>
      <c r="B2462" s="58">
        <f>IF($H2462="","",LEFT($H2462,FIND(" ",$H2462&amp;" ")-1))</f>
        <v/>
      </c>
      <c r="C2462" s="58">
        <f>IF($H2462="","",IFERROR(MID($H2462&amp;" ",FIND("|",SUBSTITUTE($H2462&amp;" "," ","|",1))+1,FIND("|",SUBSTITUTE($H2462&amp;" "," ","|",2))-FIND("|",SUBSTITUTE($H2462&amp;" "," ","|",1))-1),""))</f>
        <v/>
      </c>
      <c r="D2462" s="58">
        <f>IF($H2462="","",IFERROR(MID($H2462&amp;" ",FIND("|",SUBSTITUTE($H2462&amp;" "," ","|",2))+1,FIND("|",SUBSTITUTE($H2462&amp;" "," ","|",3))-FIND("|",SUBSTITUTE($H2462&amp;" "," ","|",2))-1),""))</f>
        <v/>
      </c>
      <c r="E2462" s="58">
        <f>IF($H2462="","",IFERROR(MID($H2462&amp;" ",FIND("|",SUBSTITUTE($H2462&amp;" "," ","|",3))+1,FIND("|",SUBSTITUTE($H2462&amp;" "," ","|",4))-FIND("|",SUBSTITUTE($H2462&amp;" "," ","|",3))-1),""))</f>
        <v/>
      </c>
      <c r="F2462" s="59">
        <f>IF($H2462="","",IFERROR(VALUE(IFERROR(MID($H2462&amp;" ",FIND("|",SUBSTITUTE($H2462&amp;" "," ","|",4))+1,FIND("|",SUBSTITUTE($H2462&amp;" "," ","|",5))-FIND("|",SUBSTITUTE($H2462&amp;" "," ","|",4))-1),""))/86400+25569+9/24,""))</f>
        <v/>
      </c>
      <c r="G2462" s="58">
        <f>TRIM(SUBSTITUTE(SUBSTITUTE(SUBSTITUTE($A2462,CHAR(9)," ")," "," "),CHAR(13),""))</f>
        <v/>
      </c>
      <c r="H2462" s="58">
        <f>IF($G2462="","",IF(ISNUMBER(FIND(" ",$G2462)),$G2462,IFERROR(IF((LEN(SUBSTITUTE(SUBSTITUTE($G2462,"-"," ",LEN($G2462)-LEN(SUBSTITUTE($G2462,"-",""))),"-"," ",LEN($G2462)-LEN(SUBSTITUTE($G2462,"-",""))-1))-LEN(SUBSTITUTE(SUBSTITUTE(SUBSTITUTE($G2462,"-"," ",LEN($G2462)-LEN(SUBSTITUTE($G2462,"-",""))),"-"," ",LEN($G2462)-LEN(SUBSTITUTE($G2462,"-",""))-1),".","")))=0,SUBSTITUTE(SUBSTITUTE($G2462,"-"," ",LEN($G2462)-LEN(SUBSTITUTE($G2462,"-",""))),"-"," ",LEN($G2462)-LEN(SUBSTITUTE($G2462,"-",""))-1),SUBSTITUTE(SUBSTITUTE(SUBSTITUTE($G2462,"-"," ",LEN($G2462)-LEN(SUBSTITUTE($G2462,"-",""))),"-"," ",LEN($G2462)-LEN(SUBSTITUTE($G2462,"-",""))-1),"."," ",(LEN(SUBSTITUTE(SUBSTITUTE($G2462,"-"," ",LEN($G2462)-LEN(SUBSTITUTE($G2462,"-",""))),"-"," ",LEN($G2462)-LEN(SUBSTITUTE($G2462,"-",""))-1))-LEN(SUBSTITUTE(SUBSTITUTE(SUBSTITUTE($G2462,"-"," ",LEN($G2462)-LEN(SUBSTITUTE($G2462,"-",""))),"-"," ",LEN($G2462)-LEN(SUBSTITUTE($G2462,"-",""))-1),".",""))))),$G2462)))</f>
        <v/>
      </c>
    </row>
    <row r="2463">
      <c r="A2463" s="58" t="n"/>
      <c r="B2463" s="58">
        <f>IF($H2463="","",LEFT($H2463,FIND(" ",$H2463&amp;" ")-1))</f>
        <v/>
      </c>
      <c r="C2463" s="58">
        <f>IF($H2463="","",IFERROR(MID($H2463&amp;" ",FIND("|",SUBSTITUTE($H2463&amp;" "," ","|",1))+1,FIND("|",SUBSTITUTE($H2463&amp;" "," ","|",2))-FIND("|",SUBSTITUTE($H2463&amp;" "," ","|",1))-1),""))</f>
        <v/>
      </c>
      <c r="D2463" s="58">
        <f>IF($H2463="","",IFERROR(MID($H2463&amp;" ",FIND("|",SUBSTITUTE($H2463&amp;" "," ","|",2))+1,FIND("|",SUBSTITUTE($H2463&amp;" "," ","|",3))-FIND("|",SUBSTITUTE($H2463&amp;" "," ","|",2))-1),""))</f>
        <v/>
      </c>
      <c r="E2463" s="58">
        <f>IF($H2463="","",IFERROR(MID($H2463&amp;" ",FIND("|",SUBSTITUTE($H2463&amp;" "," ","|",3))+1,FIND("|",SUBSTITUTE($H2463&amp;" "," ","|",4))-FIND("|",SUBSTITUTE($H2463&amp;" "," ","|",3))-1),""))</f>
        <v/>
      </c>
      <c r="F2463" s="59">
        <f>IF($H2463="","",IFERROR(VALUE(IFERROR(MID($H2463&amp;" ",FIND("|",SUBSTITUTE($H2463&amp;" "," ","|",4))+1,FIND("|",SUBSTITUTE($H2463&amp;" "," ","|",5))-FIND("|",SUBSTITUTE($H2463&amp;" "," ","|",4))-1),""))/86400+25569+9/24,""))</f>
        <v/>
      </c>
      <c r="G2463" s="58">
        <f>TRIM(SUBSTITUTE(SUBSTITUTE(SUBSTITUTE($A2463,CHAR(9)," ")," "," "),CHAR(13),""))</f>
        <v/>
      </c>
      <c r="H2463" s="58">
        <f>IF($G2463="","",IF(ISNUMBER(FIND(" ",$G2463)),$G2463,IFERROR(IF((LEN(SUBSTITUTE(SUBSTITUTE($G2463,"-"," ",LEN($G2463)-LEN(SUBSTITUTE($G2463,"-",""))),"-"," ",LEN($G2463)-LEN(SUBSTITUTE($G2463,"-",""))-1))-LEN(SUBSTITUTE(SUBSTITUTE(SUBSTITUTE($G2463,"-"," ",LEN($G2463)-LEN(SUBSTITUTE($G2463,"-",""))),"-"," ",LEN($G2463)-LEN(SUBSTITUTE($G2463,"-",""))-1),".","")))=0,SUBSTITUTE(SUBSTITUTE($G2463,"-"," ",LEN($G2463)-LEN(SUBSTITUTE($G2463,"-",""))),"-"," ",LEN($G2463)-LEN(SUBSTITUTE($G2463,"-",""))-1),SUBSTITUTE(SUBSTITUTE(SUBSTITUTE($G2463,"-"," ",LEN($G2463)-LEN(SUBSTITUTE($G2463,"-",""))),"-"," ",LEN($G2463)-LEN(SUBSTITUTE($G2463,"-",""))-1),"."," ",(LEN(SUBSTITUTE(SUBSTITUTE($G2463,"-"," ",LEN($G2463)-LEN(SUBSTITUTE($G2463,"-",""))),"-"," ",LEN($G2463)-LEN(SUBSTITUTE($G2463,"-",""))-1))-LEN(SUBSTITUTE(SUBSTITUTE(SUBSTITUTE($G2463,"-"," ",LEN($G2463)-LEN(SUBSTITUTE($G2463,"-",""))),"-"," ",LEN($G2463)-LEN(SUBSTITUTE($G2463,"-",""))-1),".",""))))),$G2463)))</f>
        <v/>
      </c>
    </row>
    <row r="2464">
      <c r="A2464" s="58" t="n"/>
      <c r="B2464" s="58">
        <f>IF($H2464="","",LEFT($H2464,FIND(" ",$H2464&amp;" ")-1))</f>
        <v/>
      </c>
      <c r="C2464" s="58">
        <f>IF($H2464="","",IFERROR(MID($H2464&amp;" ",FIND("|",SUBSTITUTE($H2464&amp;" "," ","|",1))+1,FIND("|",SUBSTITUTE($H2464&amp;" "," ","|",2))-FIND("|",SUBSTITUTE($H2464&amp;" "," ","|",1))-1),""))</f>
        <v/>
      </c>
      <c r="D2464" s="58">
        <f>IF($H2464="","",IFERROR(MID($H2464&amp;" ",FIND("|",SUBSTITUTE($H2464&amp;" "," ","|",2))+1,FIND("|",SUBSTITUTE($H2464&amp;" "," ","|",3))-FIND("|",SUBSTITUTE($H2464&amp;" "," ","|",2))-1),""))</f>
        <v/>
      </c>
      <c r="E2464" s="58">
        <f>IF($H2464="","",IFERROR(MID($H2464&amp;" ",FIND("|",SUBSTITUTE($H2464&amp;" "," ","|",3))+1,FIND("|",SUBSTITUTE($H2464&amp;" "," ","|",4))-FIND("|",SUBSTITUTE($H2464&amp;" "," ","|",3))-1),""))</f>
        <v/>
      </c>
      <c r="F2464" s="59">
        <f>IF($H2464="","",IFERROR(VALUE(IFERROR(MID($H2464&amp;" ",FIND("|",SUBSTITUTE($H2464&amp;" "," ","|",4))+1,FIND("|",SUBSTITUTE($H2464&amp;" "," ","|",5))-FIND("|",SUBSTITUTE($H2464&amp;" "," ","|",4))-1),""))/86400+25569+9/24,""))</f>
        <v/>
      </c>
      <c r="G2464" s="58">
        <f>TRIM(SUBSTITUTE(SUBSTITUTE(SUBSTITUTE($A2464,CHAR(9)," ")," "," "),CHAR(13),""))</f>
        <v/>
      </c>
      <c r="H2464" s="58">
        <f>IF($G2464="","",IF(ISNUMBER(FIND(" ",$G2464)),$G2464,IFERROR(IF((LEN(SUBSTITUTE(SUBSTITUTE($G2464,"-"," ",LEN($G2464)-LEN(SUBSTITUTE($G2464,"-",""))),"-"," ",LEN($G2464)-LEN(SUBSTITUTE($G2464,"-",""))-1))-LEN(SUBSTITUTE(SUBSTITUTE(SUBSTITUTE($G2464,"-"," ",LEN($G2464)-LEN(SUBSTITUTE($G2464,"-",""))),"-"," ",LEN($G2464)-LEN(SUBSTITUTE($G2464,"-",""))-1),".","")))=0,SUBSTITUTE(SUBSTITUTE($G2464,"-"," ",LEN($G2464)-LEN(SUBSTITUTE($G2464,"-",""))),"-"," ",LEN($G2464)-LEN(SUBSTITUTE($G2464,"-",""))-1),SUBSTITUTE(SUBSTITUTE(SUBSTITUTE($G2464,"-"," ",LEN($G2464)-LEN(SUBSTITUTE($G2464,"-",""))),"-"," ",LEN($G2464)-LEN(SUBSTITUTE($G2464,"-",""))-1),"."," ",(LEN(SUBSTITUTE(SUBSTITUTE($G2464,"-"," ",LEN($G2464)-LEN(SUBSTITUTE($G2464,"-",""))),"-"," ",LEN($G2464)-LEN(SUBSTITUTE($G2464,"-",""))-1))-LEN(SUBSTITUTE(SUBSTITUTE(SUBSTITUTE($G2464,"-"," ",LEN($G2464)-LEN(SUBSTITUTE($G2464,"-",""))),"-"," ",LEN($G2464)-LEN(SUBSTITUTE($G2464,"-",""))-1),".",""))))),$G2464)))</f>
        <v/>
      </c>
    </row>
    <row r="2465">
      <c r="A2465" s="58" t="n"/>
      <c r="B2465" s="58">
        <f>IF($H2465="","",LEFT($H2465,FIND(" ",$H2465&amp;" ")-1))</f>
        <v/>
      </c>
      <c r="C2465" s="58">
        <f>IF($H2465="","",IFERROR(MID($H2465&amp;" ",FIND("|",SUBSTITUTE($H2465&amp;" "," ","|",1))+1,FIND("|",SUBSTITUTE($H2465&amp;" "," ","|",2))-FIND("|",SUBSTITUTE($H2465&amp;" "," ","|",1))-1),""))</f>
        <v/>
      </c>
      <c r="D2465" s="58">
        <f>IF($H2465="","",IFERROR(MID($H2465&amp;" ",FIND("|",SUBSTITUTE($H2465&amp;" "," ","|",2))+1,FIND("|",SUBSTITUTE($H2465&amp;" "," ","|",3))-FIND("|",SUBSTITUTE($H2465&amp;" "," ","|",2))-1),""))</f>
        <v/>
      </c>
      <c r="E2465" s="58">
        <f>IF($H2465="","",IFERROR(MID($H2465&amp;" ",FIND("|",SUBSTITUTE($H2465&amp;" "," ","|",3))+1,FIND("|",SUBSTITUTE($H2465&amp;" "," ","|",4))-FIND("|",SUBSTITUTE($H2465&amp;" "," ","|",3))-1),""))</f>
        <v/>
      </c>
      <c r="F2465" s="59">
        <f>IF($H2465="","",IFERROR(VALUE(IFERROR(MID($H2465&amp;" ",FIND("|",SUBSTITUTE($H2465&amp;" "," ","|",4))+1,FIND("|",SUBSTITUTE($H2465&amp;" "," ","|",5))-FIND("|",SUBSTITUTE($H2465&amp;" "," ","|",4))-1),""))/86400+25569+9/24,""))</f>
        <v/>
      </c>
      <c r="G2465" s="58">
        <f>TRIM(SUBSTITUTE(SUBSTITUTE(SUBSTITUTE($A2465,CHAR(9)," ")," "," "),CHAR(13),""))</f>
        <v/>
      </c>
      <c r="H2465" s="58">
        <f>IF($G2465="","",IF(ISNUMBER(FIND(" ",$G2465)),$G2465,IFERROR(IF((LEN(SUBSTITUTE(SUBSTITUTE($G2465,"-"," ",LEN($G2465)-LEN(SUBSTITUTE($G2465,"-",""))),"-"," ",LEN($G2465)-LEN(SUBSTITUTE($G2465,"-",""))-1))-LEN(SUBSTITUTE(SUBSTITUTE(SUBSTITUTE($G2465,"-"," ",LEN($G2465)-LEN(SUBSTITUTE($G2465,"-",""))),"-"," ",LEN($G2465)-LEN(SUBSTITUTE($G2465,"-",""))-1),".","")))=0,SUBSTITUTE(SUBSTITUTE($G2465,"-"," ",LEN($G2465)-LEN(SUBSTITUTE($G2465,"-",""))),"-"," ",LEN($G2465)-LEN(SUBSTITUTE($G2465,"-",""))-1),SUBSTITUTE(SUBSTITUTE(SUBSTITUTE($G2465,"-"," ",LEN($G2465)-LEN(SUBSTITUTE($G2465,"-",""))),"-"," ",LEN($G2465)-LEN(SUBSTITUTE($G2465,"-",""))-1),"."," ",(LEN(SUBSTITUTE(SUBSTITUTE($G2465,"-"," ",LEN($G2465)-LEN(SUBSTITUTE($G2465,"-",""))),"-"," ",LEN($G2465)-LEN(SUBSTITUTE($G2465,"-",""))-1))-LEN(SUBSTITUTE(SUBSTITUTE(SUBSTITUTE($G2465,"-"," ",LEN($G2465)-LEN(SUBSTITUTE($G2465,"-",""))),"-"," ",LEN($G2465)-LEN(SUBSTITUTE($G2465,"-",""))-1),".",""))))),$G2465)))</f>
        <v/>
      </c>
    </row>
    <row r="2466">
      <c r="A2466" s="58" t="n"/>
      <c r="B2466" s="58">
        <f>IF($H2466="","",LEFT($H2466,FIND(" ",$H2466&amp;" ")-1))</f>
        <v/>
      </c>
      <c r="C2466" s="58">
        <f>IF($H2466="","",IFERROR(MID($H2466&amp;" ",FIND("|",SUBSTITUTE($H2466&amp;" "," ","|",1))+1,FIND("|",SUBSTITUTE($H2466&amp;" "," ","|",2))-FIND("|",SUBSTITUTE($H2466&amp;" "," ","|",1))-1),""))</f>
        <v/>
      </c>
      <c r="D2466" s="58">
        <f>IF($H2466="","",IFERROR(MID($H2466&amp;" ",FIND("|",SUBSTITUTE($H2466&amp;" "," ","|",2))+1,FIND("|",SUBSTITUTE($H2466&amp;" "," ","|",3))-FIND("|",SUBSTITUTE($H2466&amp;" "," ","|",2))-1),""))</f>
        <v/>
      </c>
      <c r="E2466" s="58">
        <f>IF($H2466="","",IFERROR(MID($H2466&amp;" ",FIND("|",SUBSTITUTE($H2466&amp;" "," ","|",3))+1,FIND("|",SUBSTITUTE($H2466&amp;" "," ","|",4))-FIND("|",SUBSTITUTE($H2466&amp;" "," ","|",3))-1),""))</f>
        <v/>
      </c>
      <c r="F2466" s="59">
        <f>IF($H2466="","",IFERROR(VALUE(IFERROR(MID($H2466&amp;" ",FIND("|",SUBSTITUTE($H2466&amp;" "," ","|",4))+1,FIND("|",SUBSTITUTE($H2466&amp;" "," ","|",5))-FIND("|",SUBSTITUTE($H2466&amp;" "," ","|",4))-1),""))/86400+25569+9/24,""))</f>
        <v/>
      </c>
      <c r="G2466" s="58">
        <f>TRIM(SUBSTITUTE(SUBSTITUTE(SUBSTITUTE($A2466,CHAR(9)," ")," "," "),CHAR(13),""))</f>
        <v/>
      </c>
      <c r="H2466" s="58">
        <f>IF($G2466="","",IF(ISNUMBER(FIND(" ",$G2466)),$G2466,IFERROR(IF((LEN(SUBSTITUTE(SUBSTITUTE($G2466,"-"," ",LEN($G2466)-LEN(SUBSTITUTE($G2466,"-",""))),"-"," ",LEN($G2466)-LEN(SUBSTITUTE($G2466,"-",""))-1))-LEN(SUBSTITUTE(SUBSTITUTE(SUBSTITUTE($G2466,"-"," ",LEN($G2466)-LEN(SUBSTITUTE($G2466,"-",""))),"-"," ",LEN($G2466)-LEN(SUBSTITUTE($G2466,"-",""))-1),".","")))=0,SUBSTITUTE(SUBSTITUTE($G2466,"-"," ",LEN($G2466)-LEN(SUBSTITUTE($G2466,"-",""))),"-"," ",LEN($G2466)-LEN(SUBSTITUTE($G2466,"-",""))-1),SUBSTITUTE(SUBSTITUTE(SUBSTITUTE($G2466,"-"," ",LEN($G2466)-LEN(SUBSTITUTE($G2466,"-",""))),"-"," ",LEN($G2466)-LEN(SUBSTITUTE($G2466,"-",""))-1),"."," ",(LEN(SUBSTITUTE(SUBSTITUTE($G2466,"-"," ",LEN($G2466)-LEN(SUBSTITUTE($G2466,"-",""))),"-"," ",LEN($G2466)-LEN(SUBSTITUTE($G2466,"-",""))-1))-LEN(SUBSTITUTE(SUBSTITUTE(SUBSTITUTE($G2466,"-"," ",LEN($G2466)-LEN(SUBSTITUTE($G2466,"-",""))),"-"," ",LEN($G2466)-LEN(SUBSTITUTE($G2466,"-",""))-1),".",""))))),$G2466)))</f>
        <v/>
      </c>
    </row>
    <row r="2467">
      <c r="A2467" s="58" t="n"/>
      <c r="B2467" s="58">
        <f>IF($H2467="","",LEFT($H2467,FIND(" ",$H2467&amp;" ")-1))</f>
        <v/>
      </c>
      <c r="C2467" s="58">
        <f>IF($H2467="","",IFERROR(MID($H2467&amp;" ",FIND("|",SUBSTITUTE($H2467&amp;" "," ","|",1))+1,FIND("|",SUBSTITUTE($H2467&amp;" "," ","|",2))-FIND("|",SUBSTITUTE($H2467&amp;" "," ","|",1))-1),""))</f>
        <v/>
      </c>
      <c r="D2467" s="58">
        <f>IF($H2467="","",IFERROR(MID($H2467&amp;" ",FIND("|",SUBSTITUTE($H2467&amp;" "," ","|",2))+1,FIND("|",SUBSTITUTE($H2467&amp;" "," ","|",3))-FIND("|",SUBSTITUTE($H2467&amp;" "," ","|",2))-1),""))</f>
        <v/>
      </c>
      <c r="E2467" s="58">
        <f>IF($H2467="","",IFERROR(MID($H2467&amp;" ",FIND("|",SUBSTITUTE($H2467&amp;" "," ","|",3))+1,FIND("|",SUBSTITUTE($H2467&amp;" "," ","|",4))-FIND("|",SUBSTITUTE($H2467&amp;" "," ","|",3))-1),""))</f>
        <v/>
      </c>
      <c r="F2467" s="59">
        <f>IF($H2467="","",IFERROR(VALUE(IFERROR(MID($H2467&amp;" ",FIND("|",SUBSTITUTE($H2467&amp;" "," ","|",4))+1,FIND("|",SUBSTITUTE($H2467&amp;" "," ","|",5))-FIND("|",SUBSTITUTE($H2467&amp;" "," ","|",4))-1),""))/86400+25569+9/24,""))</f>
        <v/>
      </c>
      <c r="G2467" s="58">
        <f>TRIM(SUBSTITUTE(SUBSTITUTE(SUBSTITUTE($A2467,CHAR(9)," ")," "," "),CHAR(13),""))</f>
        <v/>
      </c>
      <c r="H2467" s="58">
        <f>IF($G2467="","",IF(ISNUMBER(FIND(" ",$G2467)),$G2467,IFERROR(IF((LEN(SUBSTITUTE(SUBSTITUTE($G2467,"-"," ",LEN($G2467)-LEN(SUBSTITUTE($G2467,"-",""))),"-"," ",LEN($G2467)-LEN(SUBSTITUTE($G2467,"-",""))-1))-LEN(SUBSTITUTE(SUBSTITUTE(SUBSTITUTE($G2467,"-"," ",LEN($G2467)-LEN(SUBSTITUTE($G2467,"-",""))),"-"," ",LEN($G2467)-LEN(SUBSTITUTE($G2467,"-",""))-1),".","")))=0,SUBSTITUTE(SUBSTITUTE($G2467,"-"," ",LEN($G2467)-LEN(SUBSTITUTE($G2467,"-",""))),"-"," ",LEN($G2467)-LEN(SUBSTITUTE($G2467,"-",""))-1),SUBSTITUTE(SUBSTITUTE(SUBSTITUTE($G2467,"-"," ",LEN($G2467)-LEN(SUBSTITUTE($G2467,"-",""))),"-"," ",LEN($G2467)-LEN(SUBSTITUTE($G2467,"-",""))-1),"."," ",(LEN(SUBSTITUTE(SUBSTITUTE($G2467,"-"," ",LEN($G2467)-LEN(SUBSTITUTE($G2467,"-",""))),"-"," ",LEN($G2467)-LEN(SUBSTITUTE($G2467,"-",""))-1))-LEN(SUBSTITUTE(SUBSTITUTE(SUBSTITUTE($G2467,"-"," ",LEN($G2467)-LEN(SUBSTITUTE($G2467,"-",""))),"-"," ",LEN($G2467)-LEN(SUBSTITUTE($G2467,"-",""))-1),".",""))))),$G2467)))</f>
        <v/>
      </c>
    </row>
    <row r="2468">
      <c r="A2468" s="58" t="n"/>
      <c r="B2468" s="58">
        <f>IF($H2468="","",LEFT($H2468,FIND(" ",$H2468&amp;" ")-1))</f>
        <v/>
      </c>
      <c r="C2468" s="58">
        <f>IF($H2468="","",IFERROR(MID($H2468&amp;" ",FIND("|",SUBSTITUTE($H2468&amp;" "," ","|",1))+1,FIND("|",SUBSTITUTE($H2468&amp;" "," ","|",2))-FIND("|",SUBSTITUTE($H2468&amp;" "," ","|",1))-1),""))</f>
        <v/>
      </c>
      <c r="D2468" s="58">
        <f>IF($H2468="","",IFERROR(MID($H2468&amp;" ",FIND("|",SUBSTITUTE($H2468&amp;" "," ","|",2))+1,FIND("|",SUBSTITUTE($H2468&amp;" "," ","|",3))-FIND("|",SUBSTITUTE($H2468&amp;" "," ","|",2))-1),""))</f>
        <v/>
      </c>
      <c r="E2468" s="58">
        <f>IF($H2468="","",IFERROR(MID($H2468&amp;" ",FIND("|",SUBSTITUTE($H2468&amp;" "," ","|",3))+1,FIND("|",SUBSTITUTE($H2468&amp;" "," ","|",4))-FIND("|",SUBSTITUTE($H2468&amp;" "," ","|",3))-1),""))</f>
        <v/>
      </c>
      <c r="F2468" s="59">
        <f>IF($H2468="","",IFERROR(VALUE(IFERROR(MID($H2468&amp;" ",FIND("|",SUBSTITUTE($H2468&amp;" "," ","|",4))+1,FIND("|",SUBSTITUTE($H2468&amp;" "," ","|",5))-FIND("|",SUBSTITUTE($H2468&amp;" "," ","|",4))-1),""))/86400+25569+9/24,""))</f>
        <v/>
      </c>
      <c r="G2468" s="58">
        <f>TRIM(SUBSTITUTE(SUBSTITUTE(SUBSTITUTE($A2468,CHAR(9)," ")," "," "),CHAR(13),""))</f>
        <v/>
      </c>
      <c r="H2468" s="58">
        <f>IF($G2468="","",IF(ISNUMBER(FIND(" ",$G2468)),$G2468,IFERROR(IF((LEN(SUBSTITUTE(SUBSTITUTE($G2468,"-"," ",LEN($G2468)-LEN(SUBSTITUTE($G2468,"-",""))),"-"," ",LEN($G2468)-LEN(SUBSTITUTE($G2468,"-",""))-1))-LEN(SUBSTITUTE(SUBSTITUTE(SUBSTITUTE($G2468,"-"," ",LEN($G2468)-LEN(SUBSTITUTE($G2468,"-",""))),"-"," ",LEN($G2468)-LEN(SUBSTITUTE($G2468,"-",""))-1),".","")))=0,SUBSTITUTE(SUBSTITUTE($G2468,"-"," ",LEN($G2468)-LEN(SUBSTITUTE($G2468,"-",""))),"-"," ",LEN($G2468)-LEN(SUBSTITUTE($G2468,"-",""))-1),SUBSTITUTE(SUBSTITUTE(SUBSTITUTE($G2468,"-"," ",LEN($G2468)-LEN(SUBSTITUTE($G2468,"-",""))),"-"," ",LEN($G2468)-LEN(SUBSTITUTE($G2468,"-",""))-1),"."," ",(LEN(SUBSTITUTE(SUBSTITUTE($G2468,"-"," ",LEN($G2468)-LEN(SUBSTITUTE($G2468,"-",""))),"-"," ",LEN($G2468)-LEN(SUBSTITUTE($G2468,"-",""))-1))-LEN(SUBSTITUTE(SUBSTITUTE(SUBSTITUTE($G2468,"-"," ",LEN($G2468)-LEN(SUBSTITUTE($G2468,"-",""))),"-"," ",LEN($G2468)-LEN(SUBSTITUTE($G2468,"-",""))-1),".",""))))),$G2468)))</f>
        <v/>
      </c>
    </row>
    <row r="2469">
      <c r="A2469" s="58" t="n"/>
      <c r="B2469" s="58">
        <f>IF($H2469="","",LEFT($H2469,FIND(" ",$H2469&amp;" ")-1))</f>
        <v/>
      </c>
      <c r="C2469" s="58">
        <f>IF($H2469="","",IFERROR(MID($H2469&amp;" ",FIND("|",SUBSTITUTE($H2469&amp;" "," ","|",1))+1,FIND("|",SUBSTITUTE($H2469&amp;" "," ","|",2))-FIND("|",SUBSTITUTE($H2469&amp;" "," ","|",1))-1),""))</f>
        <v/>
      </c>
      <c r="D2469" s="58">
        <f>IF($H2469="","",IFERROR(MID($H2469&amp;" ",FIND("|",SUBSTITUTE($H2469&amp;" "," ","|",2))+1,FIND("|",SUBSTITUTE($H2469&amp;" "," ","|",3))-FIND("|",SUBSTITUTE($H2469&amp;" "," ","|",2))-1),""))</f>
        <v/>
      </c>
      <c r="E2469" s="58">
        <f>IF($H2469="","",IFERROR(MID($H2469&amp;" ",FIND("|",SUBSTITUTE($H2469&amp;" "," ","|",3))+1,FIND("|",SUBSTITUTE($H2469&amp;" "," ","|",4))-FIND("|",SUBSTITUTE($H2469&amp;" "," ","|",3))-1),""))</f>
        <v/>
      </c>
      <c r="F2469" s="59">
        <f>IF($H2469="","",IFERROR(VALUE(IFERROR(MID($H2469&amp;" ",FIND("|",SUBSTITUTE($H2469&amp;" "," ","|",4))+1,FIND("|",SUBSTITUTE($H2469&amp;" "," ","|",5))-FIND("|",SUBSTITUTE($H2469&amp;" "," ","|",4))-1),""))/86400+25569+9/24,""))</f>
        <v/>
      </c>
      <c r="G2469" s="58">
        <f>TRIM(SUBSTITUTE(SUBSTITUTE(SUBSTITUTE($A2469,CHAR(9)," ")," "," "),CHAR(13),""))</f>
        <v/>
      </c>
      <c r="H2469" s="58">
        <f>IF($G2469="","",IF(ISNUMBER(FIND(" ",$G2469)),$G2469,IFERROR(IF((LEN(SUBSTITUTE(SUBSTITUTE($G2469,"-"," ",LEN($G2469)-LEN(SUBSTITUTE($G2469,"-",""))),"-"," ",LEN($G2469)-LEN(SUBSTITUTE($G2469,"-",""))-1))-LEN(SUBSTITUTE(SUBSTITUTE(SUBSTITUTE($G2469,"-"," ",LEN($G2469)-LEN(SUBSTITUTE($G2469,"-",""))),"-"," ",LEN($G2469)-LEN(SUBSTITUTE($G2469,"-",""))-1),".","")))=0,SUBSTITUTE(SUBSTITUTE($G2469,"-"," ",LEN($G2469)-LEN(SUBSTITUTE($G2469,"-",""))),"-"," ",LEN($G2469)-LEN(SUBSTITUTE($G2469,"-",""))-1),SUBSTITUTE(SUBSTITUTE(SUBSTITUTE($G2469,"-"," ",LEN($G2469)-LEN(SUBSTITUTE($G2469,"-",""))),"-"," ",LEN($G2469)-LEN(SUBSTITUTE($G2469,"-",""))-1),"."," ",(LEN(SUBSTITUTE(SUBSTITUTE($G2469,"-"," ",LEN($G2469)-LEN(SUBSTITUTE($G2469,"-",""))),"-"," ",LEN($G2469)-LEN(SUBSTITUTE($G2469,"-",""))-1))-LEN(SUBSTITUTE(SUBSTITUTE(SUBSTITUTE($G2469,"-"," ",LEN($G2469)-LEN(SUBSTITUTE($G2469,"-",""))),"-"," ",LEN($G2469)-LEN(SUBSTITUTE($G2469,"-",""))-1),".",""))))),$G2469)))</f>
        <v/>
      </c>
    </row>
    <row r="2470">
      <c r="A2470" s="58" t="n"/>
      <c r="B2470" s="58">
        <f>IF($H2470="","",LEFT($H2470,FIND(" ",$H2470&amp;" ")-1))</f>
        <v/>
      </c>
      <c r="C2470" s="58">
        <f>IF($H2470="","",IFERROR(MID($H2470&amp;" ",FIND("|",SUBSTITUTE($H2470&amp;" "," ","|",1))+1,FIND("|",SUBSTITUTE($H2470&amp;" "," ","|",2))-FIND("|",SUBSTITUTE($H2470&amp;" "," ","|",1))-1),""))</f>
        <v/>
      </c>
      <c r="D2470" s="58">
        <f>IF($H2470="","",IFERROR(MID($H2470&amp;" ",FIND("|",SUBSTITUTE($H2470&amp;" "," ","|",2))+1,FIND("|",SUBSTITUTE($H2470&amp;" "," ","|",3))-FIND("|",SUBSTITUTE($H2470&amp;" "," ","|",2))-1),""))</f>
        <v/>
      </c>
      <c r="E2470" s="58">
        <f>IF($H2470="","",IFERROR(MID($H2470&amp;" ",FIND("|",SUBSTITUTE($H2470&amp;" "," ","|",3))+1,FIND("|",SUBSTITUTE($H2470&amp;" "," ","|",4))-FIND("|",SUBSTITUTE($H2470&amp;" "," ","|",3))-1),""))</f>
        <v/>
      </c>
      <c r="F2470" s="59">
        <f>IF($H2470="","",IFERROR(VALUE(IFERROR(MID($H2470&amp;" ",FIND("|",SUBSTITUTE($H2470&amp;" "," ","|",4))+1,FIND("|",SUBSTITUTE($H2470&amp;" "," ","|",5))-FIND("|",SUBSTITUTE($H2470&amp;" "," ","|",4))-1),""))/86400+25569+9/24,""))</f>
        <v/>
      </c>
      <c r="G2470" s="58">
        <f>TRIM(SUBSTITUTE(SUBSTITUTE(SUBSTITUTE($A2470,CHAR(9)," ")," "," "),CHAR(13),""))</f>
        <v/>
      </c>
      <c r="H2470" s="58">
        <f>IF($G2470="","",IF(ISNUMBER(FIND(" ",$G2470)),$G2470,IFERROR(IF((LEN(SUBSTITUTE(SUBSTITUTE($G2470,"-"," ",LEN($G2470)-LEN(SUBSTITUTE($G2470,"-",""))),"-"," ",LEN($G2470)-LEN(SUBSTITUTE($G2470,"-",""))-1))-LEN(SUBSTITUTE(SUBSTITUTE(SUBSTITUTE($G2470,"-"," ",LEN($G2470)-LEN(SUBSTITUTE($G2470,"-",""))),"-"," ",LEN($G2470)-LEN(SUBSTITUTE($G2470,"-",""))-1),".","")))=0,SUBSTITUTE(SUBSTITUTE($G2470,"-"," ",LEN($G2470)-LEN(SUBSTITUTE($G2470,"-",""))),"-"," ",LEN($G2470)-LEN(SUBSTITUTE($G2470,"-",""))-1),SUBSTITUTE(SUBSTITUTE(SUBSTITUTE($G2470,"-"," ",LEN($G2470)-LEN(SUBSTITUTE($G2470,"-",""))),"-"," ",LEN($G2470)-LEN(SUBSTITUTE($G2470,"-",""))-1),"."," ",(LEN(SUBSTITUTE(SUBSTITUTE($G2470,"-"," ",LEN($G2470)-LEN(SUBSTITUTE($G2470,"-",""))),"-"," ",LEN($G2470)-LEN(SUBSTITUTE($G2470,"-",""))-1))-LEN(SUBSTITUTE(SUBSTITUTE(SUBSTITUTE($G2470,"-"," ",LEN($G2470)-LEN(SUBSTITUTE($G2470,"-",""))),"-"," ",LEN($G2470)-LEN(SUBSTITUTE($G2470,"-",""))-1),".",""))))),$G2470)))</f>
        <v/>
      </c>
    </row>
    <row r="2471">
      <c r="A2471" s="58" t="n"/>
      <c r="B2471" s="58">
        <f>IF($H2471="","",LEFT($H2471,FIND(" ",$H2471&amp;" ")-1))</f>
        <v/>
      </c>
      <c r="C2471" s="58">
        <f>IF($H2471="","",IFERROR(MID($H2471&amp;" ",FIND("|",SUBSTITUTE($H2471&amp;" "," ","|",1))+1,FIND("|",SUBSTITUTE($H2471&amp;" "," ","|",2))-FIND("|",SUBSTITUTE($H2471&amp;" "," ","|",1))-1),""))</f>
        <v/>
      </c>
      <c r="D2471" s="58">
        <f>IF($H2471="","",IFERROR(MID($H2471&amp;" ",FIND("|",SUBSTITUTE($H2471&amp;" "," ","|",2))+1,FIND("|",SUBSTITUTE($H2471&amp;" "," ","|",3))-FIND("|",SUBSTITUTE($H2471&amp;" "," ","|",2))-1),""))</f>
        <v/>
      </c>
      <c r="E2471" s="58">
        <f>IF($H2471="","",IFERROR(MID($H2471&amp;" ",FIND("|",SUBSTITUTE($H2471&amp;" "," ","|",3))+1,FIND("|",SUBSTITUTE($H2471&amp;" "," ","|",4))-FIND("|",SUBSTITUTE($H2471&amp;" "," ","|",3))-1),""))</f>
        <v/>
      </c>
      <c r="F2471" s="59">
        <f>IF($H2471="","",IFERROR(VALUE(IFERROR(MID($H2471&amp;" ",FIND("|",SUBSTITUTE($H2471&amp;" "," ","|",4))+1,FIND("|",SUBSTITUTE($H2471&amp;" "," ","|",5))-FIND("|",SUBSTITUTE($H2471&amp;" "," ","|",4))-1),""))/86400+25569+9/24,""))</f>
        <v/>
      </c>
      <c r="G2471" s="58">
        <f>TRIM(SUBSTITUTE(SUBSTITUTE(SUBSTITUTE($A2471,CHAR(9)," ")," "," "),CHAR(13),""))</f>
        <v/>
      </c>
      <c r="H2471" s="58">
        <f>IF($G2471="","",IF(ISNUMBER(FIND(" ",$G2471)),$G2471,IFERROR(IF((LEN(SUBSTITUTE(SUBSTITUTE($G2471,"-"," ",LEN($G2471)-LEN(SUBSTITUTE($G2471,"-",""))),"-"," ",LEN($G2471)-LEN(SUBSTITUTE($G2471,"-",""))-1))-LEN(SUBSTITUTE(SUBSTITUTE(SUBSTITUTE($G2471,"-"," ",LEN($G2471)-LEN(SUBSTITUTE($G2471,"-",""))),"-"," ",LEN($G2471)-LEN(SUBSTITUTE($G2471,"-",""))-1),".","")))=0,SUBSTITUTE(SUBSTITUTE($G2471,"-"," ",LEN($G2471)-LEN(SUBSTITUTE($G2471,"-",""))),"-"," ",LEN($G2471)-LEN(SUBSTITUTE($G2471,"-",""))-1),SUBSTITUTE(SUBSTITUTE(SUBSTITUTE($G2471,"-"," ",LEN($G2471)-LEN(SUBSTITUTE($G2471,"-",""))),"-"," ",LEN($G2471)-LEN(SUBSTITUTE($G2471,"-",""))-1),"."," ",(LEN(SUBSTITUTE(SUBSTITUTE($G2471,"-"," ",LEN($G2471)-LEN(SUBSTITUTE($G2471,"-",""))),"-"," ",LEN($G2471)-LEN(SUBSTITUTE($G2471,"-",""))-1))-LEN(SUBSTITUTE(SUBSTITUTE(SUBSTITUTE($G2471,"-"," ",LEN($G2471)-LEN(SUBSTITUTE($G2471,"-",""))),"-"," ",LEN($G2471)-LEN(SUBSTITUTE($G2471,"-",""))-1),".",""))))),$G2471)))</f>
        <v/>
      </c>
    </row>
    <row r="2472">
      <c r="A2472" s="58" t="n"/>
      <c r="B2472" s="58">
        <f>IF($H2472="","",LEFT($H2472,FIND(" ",$H2472&amp;" ")-1))</f>
        <v/>
      </c>
      <c r="C2472" s="58">
        <f>IF($H2472="","",IFERROR(MID($H2472&amp;" ",FIND("|",SUBSTITUTE($H2472&amp;" "," ","|",1))+1,FIND("|",SUBSTITUTE($H2472&amp;" "," ","|",2))-FIND("|",SUBSTITUTE($H2472&amp;" "," ","|",1))-1),""))</f>
        <v/>
      </c>
      <c r="D2472" s="58">
        <f>IF($H2472="","",IFERROR(MID($H2472&amp;" ",FIND("|",SUBSTITUTE($H2472&amp;" "," ","|",2))+1,FIND("|",SUBSTITUTE($H2472&amp;" "," ","|",3))-FIND("|",SUBSTITUTE($H2472&amp;" "," ","|",2))-1),""))</f>
        <v/>
      </c>
      <c r="E2472" s="58">
        <f>IF($H2472="","",IFERROR(MID($H2472&amp;" ",FIND("|",SUBSTITUTE($H2472&amp;" "," ","|",3))+1,FIND("|",SUBSTITUTE($H2472&amp;" "," ","|",4))-FIND("|",SUBSTITUTE($H2472&amp;" "," ","|",3))-1),""))</f>
        <v/>
      </c>
      <c r="F2472" s="59">
        <f>IF($H2472="","",IFERROR(VALUE(IFERROR(MID($H2472&amp;" ",FIND("|",SUBSTITUTE($H2472&amp;" "," ","|",4))+1,FIND("|",SUBSTITUTE($H2472&amp;" "," ","|",5))-FIND("|",SUBSTITUTE($H2472&amp;" "," ","|",4))-1),""))/86400+25569+9/24,""))</f>
        <v/>
      </c>
      <c r="G2472" s="58">
        <f>TRIM(SUBSTITUTE(SUBSTITUTE(SUBSTITUTE($A2472,CHAR(9)," ")," "," "),CHAR(13),""))</f>
        <v/>
      </c>
      <c r="H2472" s="58">
        <f>IF($G2472="","",IF(ISNUMBER(FIND(" ",$G2472)),$G2472,IFERROR(IF((LEN(SUBSTITUTE(SUBSTITUTE($G2472,"-"," ",LEN($G2472)-LEN(SUBSTITUTE($G2472,"-",""))),"-"," ",LEN($G2472)-LEN(SUBSTITUTE($G2472,"-",""))-1))-LEN(SUBSTITUTE(SUBSTITUTE(SUBSTITUTE($G2472,"-"," ",LEN($G2472)-LEN(SUBSTITUTE($G2472,"-",""))),"-"," ",LEN($G2472)-LEN(SUBSTITUTE($G2472,"-",""))-1),".","")))=0,SUBSTITUTE(SUBSTITUTE($G2472,"-"," ",LEN($G2472)-LEN(SUBSTITUTE($G2472,"-",""))),"-"," ",LEN($G2472)-LEN(SUBSTITUTE($G2472,"-",""))-1),SUBSTITUTE(SUBSTITUTE(SUBSTITUTE($G2472,"-"," ",LEN($G2472)-LEN(SUBSTITUTE($G2472,"-",""))),"-"," ",LEN($G2472)-LEN(SUBSTITUTE($G2472,"-",""))-1),"."," ",(LEN(SUBSTITUTE(SUBSTITUTE($G2472,"-"," ",LEN($G2472)-LEN(SUBSTITUTE($G2472,"-",""))),"-"," ",LEN($G2472)-LEN(SUBSTITUTE($G2472,"-",""))-1))-LEN(SUBSTITUTE(SUBSTITUTE(SUBSTITUTE($G2472,"-"," ",LEN($G2472)-LEN(SUBSTITUTE($G2472,"-",""))),"-"," ",LEN($G2472)-LEN(SUBSTITUTE($G2472,"-",""))-1),".",""))))),$G2472)))</f>
        <v/>
      </c>
    </row>
    <row r="2473">
      <c r="A2473" s="58" t="n"/>
      <c r="B2473" s="58">
        <f>IF($H2473="","",LEFT($H2473,FIND(" ",$H2473&amp;" ")-1))</f>
        <v/>
      </c>
      <c r="C2473" s="58">
        <f>IF($H2473="","",IFERROR(MID($H2473&amp;" ",FIND("|",SUBSTITUTE($H2473&amp;" "," ","|",1))+1,FIND("|",SUBSTITUTE($H2473&amp;" "," ","|",2))-FIND("|",SUBSTITUTE($H2473&amp;" "," ","|",1))-1),""))</f>
        <v/>
      </c>
      <c r="D2473" s="58">
        <f>IF($H2473="","",IFERROR(MID($H2473&amp;" ",FIND("|",SUBSTITUTE($H2473&amp;" "," ","|",2))+1,FIND("|",SUBSTITUTE($H2473&amp;" "," ","|",3))-FIND("|",SUBSTITUTE($H2473&amp;" "," ","|",2))-1),""))</f>
        <v/>
      </c>
      <c r="E2473" s="58">
        <f>IF($H2473="","",IFERROR(MID($H2473&amp;" ",FIND("|",SUBSTITUTE($H2473&amp;" "," ","|",3))+1,FIND("|",SUBSTITUTE($H2473&amp;" "," ","|",4))-FIND("|",SUBSTITUTE($H2473&amp;" "," ","|",3))-1),""))</f>
        <v/>
      </c>
      <c r="F2473" s="59">
        <f>IF($H2473="","",IFERROR(VALUE(IFERROR(MID($H2473&amp;" ",FIND("|",SUBSTITUTE($H2473&amp;" "," ","|",4))+1,FIND("|",SUBSTITUTE($H2473&amp;" "," ","|",5))-FIND("|",SUBSTITUTE($H2473&amp;" "," ","|",4))-1),""))/86400+25569+9/24,""))</f>
        <v/>
      </c>
      <c r="G2473" s="58">
        <f>TRIM(SUBSTITUTE(SUBSTITUTE(SUBSTITUTE($A2473,CHAR(9)," ")," "," "),CHAR(13),""))</f>
        <v/>
      </c>
      <c r="H2473" s="58">
        <f>IF($G2473="","",IF(ISNUMBER(FIND(" ",$G2473)),$G2473,IFERROR(IF((LEN(SUBSTITUTE(SUBSTITUTE($G2473,"-"," ",LEN($G2473)-LEN(SUBSTITUTE($G2473,"-",""))),"-"," ",LEN($G2473)-LEN(SUBSTITUTE($G2473,"-",""))-1))-LEN(SUBSTITUTE(SUBSTITUTE(SUBSTITUTE($G2473,"-"," ",LEN($G2473)-LEN(SUBSTITUTE($G2473,"-",""))),"-"," ",LEN($G2473)-LEN(SUBSTITUTE($G2473,"-",""))-1),".","")))=0,SUBSTITUTE(SUBSTITUTE($G2473,"-"," ",LEN($G2473)-LEN(SUBSTITUTE($G2473,"-",""))),"-"," ",LEN($G2473)-LEN(SUBSTITUTE($G2473,"-",""))-1),SUBSTITUTE(SUBSTITUTE(SUBSTITUTE($G2473,"-"," ",LEN($G2473)-LEN(SUBSTITUTE($G2473,"-",""))),"-"," ",LEN($G2473)-LEN(SUBSTITUTE($G2473,"-",""))-1),"."," ",(LEN(SUBSTITUTE(SUBSTITUTE($G2473,"-"," ",LEN($G2473)-LEN(SUBSTITUTE($G2473,"-",""))),"-"," ",LEN($G2473)-LEN(SUBSTITUTE($G2473,"-",""))-1))-LEN(SUBSTITUTE(SUBSTITUTE(SUBSTITUTE($G2473,"-"," ",LEN($G2473)-LEN(SUBSTITUTE($G2473,"-",""))),"-"," ",LEN($G2473)-LEN(SUBSTITUTE($G2473,"-",""))-1),".",""))))),$G2473)))</f>
        <v/>
      </c>
    </row>
    <row r="2474">
      <c r="A2474" s="58" t="n"/>
      <c r="B2474" s="58">
        <f>IF($H2474="","",LEFT($H2474,FIND(" ",$H2474&amp;" ")-1))</f>
        <v/>
      </c>
      <c r="C2474" s="58">
        <f>IF($H2474="","",IFERROR(MID($H2474&amp;" ",FIND("|",SUBSTITUTE($H2474&amp;" "," ","|",1))+1,FIND("|",SUBSTITUTE($H2474&amp;" "," ","|",2))-FIND("|",SUBSTITUTE($H2474&amp;" "," ","|",1))-1),""))</f>
        <v/>
      </c>
      <c r="D2474" s="58">
        <f>IF($H2474="","",IFERROR(MID($H2474&amp;" ",FIND("|",SUBSTITUTE($H2474&amp;" "," ","|",2))+1,FIND("|",SUBSTITUTE($H2474&amp;" "," ","|",3))-FIND("|",SUBSTITUTE($H2474&amp;" "," ","|",2))-1),""))</f>
        <v/>
      </c>
      <c r="E2474" s="58">
        <f>IF($H2474="","",IFERROR(MID($H2474&amp;" ",FIND("|",SUBSTITUTE($H2474&amp;" "," ","|",3))+1,FIND("|",SUBSTITUTE($H2474&amp;" "," ","|",4))-FIND("|",SUBSTITUTE($H2474&amp;" "," ","|",3))-1),""))</f>
        <v/>
      </c>
      <c r="F2474" s="59">
        <f>IF($H2474="","",IFERROR(VALUE(IFERROR(MID($H2474&amp;" ",FIND("|",SUBSTITUTE($H2474&amp;" "," ","|",4))+1,FIND("|",SUBSTITUTE($H2474&amp;" "," ","|",5))-FIND("|",SUBSTITUTE($H2474&amp;" "," ","|",4))-1),""))/86400+25569+9/24,""))</f>
        <v/>
      </c>
      <c r="G2474" s="58">
        <f>TRIM(SUBSTITUTE(SUBSTITUTE(SUBSTITUTE($A2474,CHAR(9)," ")," "," "),CHAR(13),""))</f>
        <v/>
      </c>
      <c r="H2474" s="58">
        <f>IF($G2474="","",IF(ISNUMBER(FIND(" ",$G2474)),$G2474,IFERROR(IF((LEN(SUBSTITUTE(SUBSTITUTE($G2474,"-"," ",LEN($G2474)-LEN(SUBSTITUTE($G2474,"-",""))),"-"," ",LEN($G2474)-LEN(SUBSTITUTE($G2474,"-",""))-1))-LEN(SUBSTITUTE(SUBSTITUTE(SUBSTITUTE($G2474,"-"," ",LEN($G2474)-LEN(SUBSTITUTE($G2474,"-",""))),"-"," ",LEN($G2474)-LEN(SUBSTITUTE($G2474,"-",""))-1),".","")))=0,SUBSTITUTE(SUBSTITUTE($G2474,"-"," ",LEN($G2474)-LEN(SUBSTITUTE($G2474,"-",""))),"-"," ",LEN($G2474)-LEN(SUBSTITUTE($G2474,"-",""))-1),SUBSTITUTE(SUBSTITUTE(SUBSTITUTE($G2474,"-"," ",LEN($G2474)-LEN(SUBSTITUTE($G2474,"-",""))),"-"," ",LEN($G2474)-LEN(SUBSTITUTE($G2474,"-",""))-1),"."," ",(LEN(SUBSTITUTE(SUBSTITUTE($G2474,"-"," ",LEN($G2474)-LEN(SUBSTITUTE($G2474,"-",""))),"-"," ",LEN($G2474)-LEN(SUBSTITUTE($G2474,"-",""))-1))-LEN(SUBSTITUTE(SUBSTITUTE(SUBSTITUTE($G2474,"-"," ",LEN($G2474)-LEN(SUBSTITUTE($G2474,"-",""))),"-"," ",LEN($G2474)-LEN(SUBSTITUTE($G2474,"-",""))-1),".",""))))),$G2474)))</f>
        <v/>
      </c>
    </row>
    <row r="2475">
      <c r="A2475" s="58" t="n"/>
      <c r="B2475" s="58">
        <f>IF($H2475="","",LEFT($H2475,FIND(" ",$H2475&amp;" ")-1))</f>
        <v/>
      </c>
      <c r="C2475" s="58">
        <f>IF($H2475="","",IFERROR(MID($H2475&amp;" ",FIND("|",SUBSTITUTE($H2475&amp;" "," ","|",1))+1,FIND("|",SUBSTITUTE($H2475&amp;" "," ","|",2))-FIND("|",SUBSTITUTE($H2475&amp;" "," ","|",1))-1),""))</f>
        <v/>
      </c>
      <c r="D2475" s="58">
        <f>IF($H2475="","",IFERROR(MID($H2475&amp;" ",FIND("|",SUBSTITUTE($H2475&amp;" "," ","|",2))+1,FIND("|",SUBSTITUTE($H2475&amp;" "," ","|",3))-FIND("|",SUBSTITUTE($H2475&amp;" "," ","|",2))-1),""))</f>
        <v/>
      </c>
      <c r="E2475" s="58">
        <f>IF($H2475="","",IFERROR(MID($H2475&amp;" ",FIND("|",SUBSTITUTE($H2475&amp;" "," ","|",3))+1,FIND("|",SUBSTITUTE($H2475&amp;" "," ","|",4))-FIND("|",SUBSTITUTE($H2475&amp;" "," ","|",3))-1),""))</f>
        <v/>
      </c>
      <c r="F2475" s="59">
        <f>IF($H2475="","",IFERROR(VALUE(IFERROR(MID($H2475&amp;" ",FIND("|",SUBSTITUTE($H2475&amp;" "," ","|",4))+1,FIND("|",SUBSTITUTE($H2475&amp;" "," ","|",5))-FIND("|",SUBSTITUTE($H2475&amp;" "," ","|",4))-1),""))/86400+25569+9/24,""))</f>
        <v/>
      </c>
      <c r="G2475" s="58">
        <f>TRIM(SUBSTITUTE(SUBSTITUTE(SUBSTITUTE($A2475,CHAR(9)," ")," "," "),CHAR(13),""))</f>
        <v/>
      </c>
      <c r="H2475" s="58">
        <f>IF($G2475="","",IF(ISNUMBER(FIND(" ",$G2475)),$G2475,IFERROR(IF((LEN(SUBSTITUTE(SUBSTITUTE($G2475,"-"," ",LEN($G2475)-LEN(SUBSTITUTE($G2475,"-",""))),"-"," ",LEN($G2475)-LEN(SUBSTITUTE($G2475,"-",""))-1))-LEN(SUBSTITUTE(SUBSTITUTE(SUBSTITUTE($G2475,"-"," ",LEN($G2475)-LEN(SUBSTITUTE($G2475,"-",""))),"-"," ",LEN($G2475)-LEN(SUBSTITUTE($G2475,"-",""))-1),".","")))=0,SUBSTITUTE(SUBSTITUTE($G2475,"-"," ",LEN($G2475)-LEN(SUBSTITUTE($G2475,"-",""))),"-"," ",LEN($G2475)-LEN(SUBSTITUTE($G2475,"-",""))-1),SUBSTITUTE(SUBSTITUTE(SUBSTITUTE($G2475,"-"," ",LEN($G2475)-LEN(SUBSTITUTE($G2475,"-",""))),"-"," ",LEN($G2475)-LEN(SUBSTITUTE($G2475,"-",""))-1),"."," ",(LEN(SUBSTITUTE(SUBSTITUTE($G2475,"-"," ",LEN($G2475)-LEN(SUBSTITUTE($G2475,"-",""))),"-"," ",LEN($G2475)-LEN(SUBSTITUTE($G2475,"-",""))-1))-LEN(SUBSTITUTE(SUBSTITUTE(SUBSTITUTE($G2475,"-"," ",LEN($G2475)-LEN(SUBSTITUTE($G2475,"-",""))),"-"," ",LEN($G2475)-LEN(SUBSTITUTE($G2475,"-",""))-1),".",""))))),$G2475)))</f>
        <v/>
      </c>
    </row>
    <row r="2476">
      <c r="A2476" s="58" t="n"/>
      <c r="B2476" s="58">
        <f>IF($H2476="","",LEFT($H2476,FIND(" ",$H2476&amp;" ")-1))</f>
        <v/>
      </c>
      <c r="C2476" s="58">
        <f>IF($H2476="","",IFERROR(MID($H2476&amp;" ",FIND("|",SUBSTITUTE($H2476&amp;" "," ","|",1))+1,FIND("|",SUBSTITUTE($H2476&amp;" "," ","|",2))-FIND("|",SUBSTITUTE($H2476&amp;" "," ","|",1))-1),""))</f>
        <v/>
      </c>
      <c r="D2476" s="58">
        <f>IF($H2476="","",IFERROR(MID($H2476&amp;" ",FIND("|",SUBSTITUTE($H2476&amp;" "," ","|",2))+1,FIND("|",SUBSTITUTE($H2476&amp;" "," ","|",3))-FIND("|",SUBSTITUTE($H2476&amp;" "," ","|",2))-1),""))</f>
        <v/>
      </c>
      <c r="E2476" s="58">
        <f>IF($H2476="","",IFERROR(MID($H2476&amp;" ",FIND("|",SUBSTITUTE($H2476&amp;" "," ","|",3))+1,FIND("|",SUBSTITUTE($H2476&amp;" "," ","|",4))-FIND("|",SUBSTITUTE($H2476&amp;" "," ","|",3))-1),""))</f>
        <v/>
      </c>
      <c r="F2476" s="59">
        <f>IF($H2476="","",IFERROR(VALUE(IFERROR(MID($H2476&amp;" ",FIND("|",SUBSTITUTE($H2476&amp;" "," ","|",4))+1,FIND("|",SUBSTITUTE($H2476&amp;" "," ","|",5))-FIND("|",SUBSTITUTE($H2476&amp;" "," ","|",4))-1),""))/86400+25569+9/24,""))</f>
        <v/>
      </c>
      <c r="G2476" s="58">
        <f>TRIM(SUBSTITUTE(SUBSTITUTE(SUBSTITUTE($A2476,CHAR(9)," ")," "," "),CHAR(13),""))</f>
        <v/>
      </c>
      <c r="H2476" s="58">
        <f>IF($G2476="","",IF(ISNUMBER(FIND(" ",$G2476)),$G2476,IFERROR(IF((LEN(SUBSTITUTE(SUBSTITUTE($G2476,"-"," ",LEN($G2476)-LEN(SUBSTITUTE($G2476,"-",""))),"-"," ",LEN($G2476)-LEN(SUBSTITUTE($G2476,"-",""))-1))-LEN(SUBSTITUTE(SUBSTITUTE(SUBSTITUTE($G2476,"-"," ",LEN($G2476)-LEN(SUBSTITUTE($G2476,"-",""))),"-"," ",LEN($G2476)-LEN(SUBSTITUTE($G2476,"-",""))-1),".","")))=0,SUBSTITUTE(SUBSTITUTE($G2476,"-"," ",LEN($G2476)-LEN(SUBSTITUTE($G2476,"-",""))),"-"," ",LEN($G2476)-LEN(SUBSTITUTE($G2476,"-",""))-1),SUBSTITUTE(SUBSTITUTE(SUBSTITUTE($G2476,"-"," ",LEN($G2476)-LEN(SUBSTITUTE($G2476,"-",""))),"-"," ",LEN($G2476)-LEN(SUBSTITUTE($G2476,"-",""))-1),"."," ",(LEN(SUBSTITUTE(SUBSTITUTE($G2476,"-"," ",LEN($G2476)-LEN(SUBSTITUTE($G2476,"-",""))),"-"," ",LEN($G2476)-LEN(SUBSTITUTE($G2476,"-",""))-1))-LEN(SUBSTITUTE(SUBSTITUTE(SUBSTITUTE($G2476,"-"," ",LEN($G2476)-LEN(SUBSTITUTE($G2476,"-",""))),"-"," ",LEN($G2476)-LEN(SUBSTITUTE($G2476,"-",""))-1),".",""))))),$G2476)))</f>
        <v/>
      </c>
    </row>
    <row r="2477">
      <c r="A2477" s="58" t="n"/>
      <c r="B2477" s="58">
        <f>IF($H2477="","",LEFT($H2477,FIND(" ",$H2477&amp;" ")-1))</f>
        <v/>
      </c>
      <c r="C2477" s="58">
        <f>IF($H2477="","",IFERROR(MID($H2477&amp;" ",FIND("|",SUBSTITUTE($H2477&amp;" "," ","|",1))+1,FIND("|",SUBSTITUTE($H2477&amp;" "," ","|",2))-FIND("|",SUBSTITUTE($H2477&amp;" "," ","|",1))-1),""))</f>
        <v/>
      </c>
      <c r="D2477" s="58">
        <f>IF($H2477="","",IFERROR(MID($H2477&amp;" ",FIND("|",SUBSTITUTE($H2477&amp;" "," ","|",2))+1,FIND("|",SUBSTITUTE($H2477&amp;" "," ","|",3))-FIND("|",SUBSTITUTE($H2477&amp;" "," ","|",2))-1),""))</f>
        <v/>
      </c>
      <c r="E2477" s="58">
        <f>IF($H2477="","",IFERROR(MID($H2477&amp;" ",FIND("|",SUBSTITUTE($H2477&amp;" "," ","|",3))+1,FIND("|",SUBSTITUTE($H2477&amp;" "," ","|",4))-FIND("|",SUBSTITUTE($H2477&amp;" "," ","|",3))-1),""))</f>
        <v/>
      </c>
      <c r="F2477" s="59">
        <f>IF($H2477="","",IFERROR(VALUE(IFERROR(MID($H2477&amp;" ",FIND("|",SUBSTITUTE($H2477&amp;" "," ","|",4))+1,FIND("|",SUBSTITUTE($H2477&amp;" "," ","|",5))-FIND("|",SUBSTITUTE($H2477&amp;" "," ","|",4))-1),""))/86400+25569+9/24,""))</f>
        <v/>
      </c>
      <c r="G2477" s="58">
        <f>TRIM(SUBSTITUTE(SUBSTITUTE(SUBSTITUTE($A2477,CHAR(9)," ")," "," "),CHAR(13),""))</f>
        <v/>
      </c>
      <c r="H2477" s="58">
        <f>IF($G2477="","",IF(ISNUMBER(FIND(" ",$G2477)),$G2477,IFERROR(IF((LEN(SUBSTITUTE(SUBSTITUTE($G2477,"-"," ",LEN($G2477)-LEN(SUBSTITUTE($G2477,"-",""))),"-"," ",LEN($G2477)-LEN(SUBSTITUTE($G2477,"-",""))-1))-LEN(SUBSTITUTE(SUBSTITUTE(SUBSTITUTE($G2477,"-"," ",LEN($G2477)-LEN(SUBSTITUTE($G2477,"-",""))),"-"," ",LEN($G2477)-LEN(SUBSTITUTE($G2477,"-",""))-1),".","")))=0,SUBSTITUTE(SUBSTITUTE($G2477,"-"," ",LEN($G2477)-LEN(SUBSTITUTE($G2477,"-",""))),"-"," ",LEN($G2477)-LEN(SUBSTITUTE($G2477,"-",""))-1),SUBSTITUTE(SUBSTITUTE(SUBSTITUTE($G2477,"-"," ",LEN($G2477)-LEN(SUBSTITUTE($G2477,"-",""))),"-"," ",LEN($G2477)-LEN(SUBSTITUTE($G2477,"-",""))-1),"."," ",(LEN(SUBSTITUTE(SUBSTITUTE($G2477,"-"," ",LEN($G2477)-LEN(SUBSTITUTE($G2477,"-",""))),"-"," ",LEN($G2477)-LEN(SUBSTITUTE($G2477,"-",""))-1))-LEN(SUBSTITUTE(SUBSTITUTE(SUBSTITUTE($G2477,"-"," ",LEN($G2477)-LEN(SUBSTITUTE($G2477,"-",""))),"-"," ",LEN($G2477)-LEN(SUBSTITUTE($G2477,"-",""))-1),".",""))))),$G2477)))</f>
        <v/>
      </c>
    </row>
    <row r="2478">
      <c r="A2478" s="58" t="n"/>
      <c r="B2478" s="58">
        <f>IF($H2478="","",LEFT($H2478,FIND(" ",$H2478&amp;" ")-1))</f>
        <v/>
      </c>
      <c r="C2478" s="58">
        <f>IF($H2478="","",IFERROR(MID($H2478&amp;" ",FIND("|",SUBSTITUTE($H2478&amp;" "," ","|",1))+1,FIND("|",SUBSTITUTE($H2478&amp;" "," ","|",2))-FIND("|",SUBSTITUTE($H2478&amp;" "," ","|",1))-1),""))</f>
        <v/>
      </c>
      <c r="D2478" s="58">
        <f>IF($H2478="","",IFERROR(MID($H2478&amp;" ",FIND("|",SUBSTITUTE($H2478&amp;" "," ","|",2))+1,FIND("|",SUBSTITUTE($H2478&amp;" "," ","|",3))-FIND("|",SUBSTITUTE($H2478&amp;" "," ","|",2))-1),""))</f>
        <v/>
      </c>
      <c r="E2478" s="58">
        <f>IF($H2478="","",IFERROR(MID($H2478&amp;" ",FIND("|",SUBSTITUTE($H2478&amp;" "," ","|",3))+1,FIND("|",SUBSTITUTE($H2478&amp;" "," ","|",4))-FIND("|",SUBSTITUTE($H2478&amp;" "," ","|",3))-1),""))</f>
        <v/>
      </c>
      <c r="F2478" s="59">
        <f>IF($H2478="","",IFERROR(VALUE(IFERROR(MID($H2478&amp;" ",FIND("|",SUBSTITUTE($H2478&amp;" "," ","|",4))+1,FIND("|",SUBSTITUTE($H2478&amp;" "," ","|",5))-FIND("|",SUBSTITUTE($H2478&amp;" "," ","|",4))-1),""))/86400+25569+9/24,""))</f>
        <v/>
      </c>
      <c r="G2478" s="58">
        <f>TRIM(SUBSTITUTE(SUBSTITUTE(SUBSTITUTE($A2478,CHAR(9)," ")," "," "),CHAR(13),""))</f>
        <v/>
      </c>
      <c r="H2478" s="58">
        <f>IF($G2478="","",IF(ISNUMBER(FIND(" ",$G2478)),$G2478,IFERROR(IF((LEN(SUBSTITUTE(SUBSTITUTE($G2478,"-"," ",LEN($G2478)-LEN(SUBSTITUTE($G2478,"-",""))),"-"," ",LEN($G2478)-LEN(SUBSTITUTE($G2478,"-",""))-1))-LEN(SUBSTITUTE(SUBSTITUTE(SUBSTITUTE($G2478,"-"," ",LEN($G2478)-LEN(SUBSTITUTE($G2478,"-",""))),"-"," ",LEN($G2478)-LEN(SUBSTITUTE($G2478,"-",""))-1),".","")))=0,SUBSTITUTE(SUBSTITUTE($G2478,"-"," ",LEN($G2478)-LEN(SUBSTITUTE($G2478,"-",""))),"-"," ",LEN($G2478)-LEN(SUBSTITUTE($G2478,"-",""))-1),SUBSTITUTE(SUBSTITUTE(SUBSTITUTE($G2478,"-"," ",LEN($G2478)-LEN(SUBSTITUTE($G2478,"-",""))),"-"," ",LEN($G2478)-LEN(SUBSTITUTE($G2478,"-",""))-1),"."," ",(LEN(SUBSTITUTE(SUBSTITUTE($G2478,"-"," ",LEN($G2478)-LEN(SUBSTITUTE($G2478,"-",""))),"-"," ",LEN($G2478)-LEN(SUBSTITUTE($G2478,"-",""))-1))-LEN(SUBSTITUTE(SUBSTITUTE(SUBSTITUTE($G2478,"-"," ",LEN($G2478)-LEN(SUBSTITUTE($G2478,"-",""))),"-"," ",LEN($G2478)-LEN(SUBSTITUTE($G2478,"-",""))-1),".",""))))),$G2478)))</f>
        <v/>
      </c>
    </row>
    <row r="2479">
      <c r="A2479" s="58" t="n"/>
      <c r="B2479" s="58">
        <f>IF($H2479="","",LEFT($H2479,FIND(" ",$H2479&amp;" ")-1))</f>
        <v/>
      </c>
      <c r="C2479" s="58">
        <f>IF($H2479="","",IFERROR(MID($H2479&amp;" ",FIND("|",SUBSTITUTE($H2479&amp;" "," ","|",1))+1,FIND("|",SUBSTITUTE($H2479&amp;" "," ","|",2))-FIND("|",SUBSTITUTE($H2479&amp;" "," ","|",1))-1),""))</f>
        <v/>
      </c>
      <c r="D2479" s="58">
        <f>IF($H2479="","",IFERROR(MID($H2479&amp;" ",FIND("|",SUBSTITUTE($H2479&amp;" "," ","|",2))+1,FIND("|",SUBSTITUTE($H2479&amp;" "," ","|",3))-FIND("|",SUBSTITUTE($H2479&amp;" "," ","|",2))-1),""))</f>
        <v/>
      </c>
      <c r="E2479" s="58">
        <f>IF($H2479="","",IFERROR(MID($H2479&amp;" ",FIND("|",SUBSTITUTE($H2479&amp;" "," ","|",3))+1,FIND("|",SUBSTITUTE($H2479&amp;" "," ","|",4))-FIND("|",SUBSTITUTE($H2479&amp;" "," ","|",3))-1),""))</f>
        <v/>
      </c>
      <c r="F2479" s="59">
        <f>IF($H2479="","",IFERROR(VALUE(IFERROR(MID($H2479&amp;" ",FIND("|",SUBSTITUTE($H2479&amp;" "," ","|",4))+1,FIND("|",SUBSTITUTE($H2479&amp;" "," ","|",5))-FIND("|",SUBSTITUTE($H2479&amp;" "," ","|",4))-1),""))/86400+25569+9/24,""))</f>
        <v/>
      </c>
      <c r="G2479" s="58">
        <f>TRIM(SUBSTITUTE(SUBSTITUTE(SUBSTITUTE($A2479,CHAR(9)," ")," "," "),CHAR(13),""))</f>
        <v/>
      </c>
      <c r="H2479" s="58">
        <f>IF($G2479="","",IF(ISNUMBER(FIND(" ",$G2479)),$G2479,IFERROR(IF((LEN(SUBSTITUTE(SUBSTITUTE($G2479,"-"," ",LEN($G2479)-LEN(SUBSTITUTE($G2479,"-",""))),"-"," ",LEN($G2479)-LEN(SUBSTITUTE($G2479,"-",""))-1))-LEN(SUBSTITUTE(SUBSTITUTE(SUBSTITUTE($G2479,"-"," ",LEN($G2479)-LEN(SUBSTITUTE($G2479,"-",""))),"-"," ",LEN($G2479)-LEN(SUBSTITUTE($G2479,"-",""))-1),".","")))=0,SUBSTITUTE(SUBSTITUTE($G2479,"-"," ",LEN($G2479)-LEN(SUBSTITUTE($G2479,"-",""))),"-"," ",LEN($G2479)-LEN(SUBSTITUTE($G2479,"-",""))-1),SUBSTITUTE(SUBSTITUTE(SUBSTITUTE($G2479,"-"," ",LEN($G2479)-LEN(SUBSTITUTE($G2479,"-",""))),"-"," ",LEN($G2479)-LEN(SUBSTITUTE($G2479,"-",""))-1),"."," ",(LEN(SUBSTITUTE(SUBSTITUTE($G2479,"-"," ",LEN($G2479)-LEN(SUBSTITUTE($G2479,"-",""))),"-"," ",LEN($G2479)-LEN(SUBSTITUTE($G2479,"-",""))-1))-LEN(SUBSTITUTE(SUBSTITUTE(SUBSTITUTE($G2479,"-"," ",LEN($G2479)-LEN(SUBSTITUTE($G2479,"-",""))),"-"," ",LEN($G2479)-LEN(SUBSTITUTE($G2479,"-",""))-1),".",""))))),$G2479)))</f>
        <v/>
      </c>
    </row>
    <row r="2480">
      <c r="A2480" s="58" t="n"/>
      <c r="B2480" s="58">
        <f>IF($H2480="","",LEFT($H2480,FIND(" ",$H2480&amp;" ")-1))</f>
        <v/>
      </c>
      <c r="C2480" s="58">
        <f>IF($H2480="","",IFERROR(MID($H2480&amp;" ",FIND("|",SUBSTITUTE($H2480&amp;" "," ","|",1))+1,FIND("|",SUBSTITUTE($H2480&amp;" "," ","|",2))-FIND("|",SUBSTITUTE($H2480&amp;" "," ","|",1))-1),""))</f>
        <v/>
      </c>
      <c r="D2480" s="58">
        <f>IF($H2480="","",IFERROR(MID($H2480&amp;" ",FIND("|",SUBSTITUTE($H2480&amp;" "," ","|",2))+1,FIND("|",SUBSTITUTE($H2480&amp;" "," ","|",3))-FIND("|",SUBSTITUTE($H2480&amp;" "," ","|",2))-1),""))</f>
        <v/>
      </c>
      <c r="E2480" s="58">
        <f>IF($H2480="","",IFERROR(MID($H2480&amp;" ",FIND("|",SUBSTITUTE($H2480&amp;" "," ","|",3))+1,FIND("|",SUBSTITUTE($H2480&amp;" "," ","|",4))-FIND("|",SUBSTITUTE($H2480&amp;" "," ","|",3))-1),""))</f>
        <v/>
      </c>
      <c r="F2480" s="59">
        <f>IF($H2480="","",IFERROR(VALUE(IFERROR(MID($H2480&amp;" ",FIND("|",SUBSTITUTE($H2480&amp;" "," ","|",4))+1,FIND("|",SUBSTITUTE($H2480&amp;" "," ","|",5))-FIND("|",SUBSTITUTE($H2480&amp;" "," ","|",4))-1),""))/86400+25569+9/24,""))</f>
        <v/>
      </c>
      <c r="G2480" s="58">
        <f>TRIM(SUBSTITUTE(SUBSTITUTE(SUBSTITUTE($A2480,CHAR(9)," ")," "," "),CHAR(13),""))</f>
        <v/>
      </c>
      <c r="H2480" s="58">
        <f>IF($G2480="","",IF(ISNUMBER(FIND(" ",$G2480)),$G2480,IFERROR(IF((LEN(SUBSTITUTE(SUBSTITUTE($G2480,"-"," ",LEN($G2480)-LEN(SUBSTITUTE($G2480,"-",""))),"-"," ",LEN($G2480)-LEN(SUBSTITUTE($G2480,"-",""))-1))-LEN(SUBSTITUTE(SUBSTITUTE(SUBSTITUTE($G2480,"-"," ",LEN($G2480)-LEN(SUBSTITUTE($G2480,"-",""))),"-"," ",LEN($G2480)-LEN(SUBSTITUTE($G2480,"-",""))-1),".","")))=0,SUBSTITUTE(SUBSTITUTE($G2480,"-"," ",LEN($G2480)-LEN(SUBSTITUTE($G2480,"-",""))),"-"," ",LEN($G2480)-LEN(SUBSTITUTE($G2480,"-",""))-1),SUBSTITUTE(SUBSTITUTE(SUBSTITUTE($G2480,"-"," ",LEN($G2480)-LEN(SUBSTITUTE($G2480,"-",""))),"-"," ",LEN($G2480)-LEN(SUBSTITUTE($G2480,"-",""))-1),"."," ",(LEN(SUBSTITUTE(SUBSTITUTE($G2480,"-"," ",LEN($G2480)-LEN(SUBSTITUTE($G2480,"-",""))),"-"," ",LEN($G2480)-LEN(SUBSTITUTE($G2480,"-",""))-1))-LEN(SUBSTITUTE(SUBSTITUTE(SUBSTITUTE($G2480,"-"," ",LEN($G2480)-LEN(SUBSTITUTE($G2480,"-",""))),"-"," ",LEN($G2480)-LEN(SUBSTITUTE($G2480,"-",""))-1),".",""))))),$G2480)))</f>
        <v/>
      </c>
    </row>
    <row r="2481">
      <c r="A2481" s="58" t="n"/>
      <c r="B2481" s="58">
        <f>IF($H2481="","",LEFT($H2481,FIND(" ",$H2481&amp;" ")-1))</f>
        <v/>
      </c>
      <c r="C2481" s="58">
        <f>IF($H2481="","",IFERROR(MID($H2481&amp;" ",FIND("|",SUBSTITUTE($H2481&amp;" "," ","|",1))+1,FIND("|",SUBSTITUTE($H2481&amp;" "," ","|",2))-FIND("|",SUBSTITUTE($H2481&amp;" "," ","|",1))-1),""))</f>
        <v/>
      </c>
      <c r="D2481" s="58">
        <f>IF($H2481="","",IFERROR(MID($H2481&amp;" ",FIND("|",SUBSTITUTE($H2481&amp;" "," ","|",2))+1,FIND("|",SUBSTITUTE($H2481&amp;" "," ","|",3))-FIND("|",SUBSTITUTE($H2481&amp;" "," ","|",2))-1),""))</f>
        <v/>
      </c>
      <c r="E2481" s="58">
        <f>IF($H2481="","",IFERROR(MID($H2481&amp;" ",FIND("|",SUBSTITUTE($H2481&amp;" "," ","|",3))+1,FIND("|",SUBSTITUTE($H2481&amp;" "," ","|",4))-FIND("|",SUBSTITUTE($H2481&amp;" "," ","|",3))-1),""))</f>
        <v/>
      </c>
      <c r="F2481" s="59">
        <f>IF($H2481="","",IFERROR(VALUE(IFERROR(MID($H2481&amp;" ",FIND("|",SUBSTITUTE($H2481&amp;" "," ","|",4))+1,FIND("|",SUBSTITUTE($H2481&amp;" "," ","|",5))-FIND("|",SUBSTITUTE($H2481&amp;" "," ","|",4))-1),""))/86400+25569+9/24,""))</f>
        <v/>
      </c>
      <c r="G2481" s="58">
        <f>TRIM(SUBSTITUTE(SUBSTITUTE(SUBSTITUTE($A2481,CHAR(9)," ")," "," "),CHAR(13),""))</f>
        <v/>
      </c>
      <c r="H2481" s="58">
        <f>IF($G2481="","",IF(ISNUMBER(FIND(" ",$G2481)),$G2481,IFERROR(IF((LEN(SUBSTITUTE(SUBSTITUTE($G2481,"-"," ",LEN($G2481)-LEN(SUBSTITUTE($G2481,"-",""))),"-"," ",LEN($G2481)-LEN(SUBSTITUTE($G2481,"-",""))-1))-LEN(SUBSTITUTE(SUBSTITUTE(SUBSTITUTE($G2481,"-"," ",LEN($G2481)-LEN(SUBSTITUTE($G2481,"-",""))),"-"," ",LEN($G2481)-LEN(SUBSTITUTE($G2481,"-",""))-1),".","")))=0,SUBSTITUTE(SUBSTITUTE($G2481,"-"," ",LEN($G2481)-LEN(SUBSTITUTE($G2481,"-",""))),"-"," ",LEN($G2481)-LEN(SUBSTITUTE($G2481,"-",""))-1),SUBSTITUTE(SUBSTITUTE(SUBSTITUTE($G2481,"-"," ",LEN($G2481)-LEN(SUBSTITUTE($G2481,"-",""))),"-"," ",LEN($G2481)-LEN(SUBSTITUTE($G2481,"-",""))-1),"."," ",(LEN(SUBSTITUTE(SUBSTITUTE($G2481,"-"," ",LEN($G2481)-LEN(SUBSTITUTE($G2481,"-",""))),"-"," ",LEN($G2481)-LEN(SUBSTITUTE($G2481,"-",""))-1))-LEN(SUBSTITUTE(SUBSTITUTE(SUBSTITUTE($G2481,"-"," ",LEN($G2481)-LEN(SUBSTITUTE($G2481,"-",""))),"-"," ",LEN($G2481)-LEN(SUBSTITUTE($G2481,"-",""))-1),".",""))))),$G2481)))</f>
        <v/>
      </c>
    </row>
    <row r="2482">
      <c r="A2482" s="58" t="n"/>
      <c r="B2482" s="58">
        <f>IF($H2482="","",LEFT($H2482,FIND(" ",$H2482&amp;" ")-1))</f>
        <v/>
      </c>
      <c r="C2482" s="58">
        <f>IF($H2482="","",IFERROR(MID($H2482&amp;" ",FIND("|",SUBSTITUTE($H2482&amp;" "," ","|",1))+1,FIND("|",SUBSTITUTE($H2482&amp;" "," ","|",2))-FIND("|",SUBSTITUTE($H2482&amp;" "," ","|",1))-1),""))</f>
        <v/>
      </c>
      <c r="D2482" s="58">
        <f>IF($H2482="","",IFERROR(MID($H2482&amp;" ",FIND("|",SUBSTITUTE($H2482&amp;" "," ","|",2))+1,FIND("|",SUBSTITUTE($H2482&amp;" "," ","|",3))-FIND("|",SUBSTITUTE($H2482&amp;" "," ","|",2))-1),""))</f>
        <v/>
      </c>
      <c r="E2482" s="58">
        <f>IF($H2482="","",IFERROR(MID($H2482&amp;" ",FIND("|",SUBSTITUTE($H2482&amp;" "," ","|",3))+1,FIND("|",SUBSTITUTE($H2482&amp;" "," ","|",4))-FIND("|",SUBSTITUTE($H2482&amp;" "," ","|",3))-1),""))</f>
        <v/>
      </c>
      <c r="F2482" s="59">
        <f>IF($H2482="","",IFERROR(VALUE(IFERROR(MID($H2482&amp;" ",FIND("|",SUBSTITUTE($H2482&amp;" "," ","|",4))+1,FIND("|",SUBSTITUTE($H2482&amp;" "," ","|",5))-FIND("|",SUBSTITUTE($H2482&amp;" "," ","|",4))-1),""))/86400+25569+9/24,""))</f>
        <v/>
      </c>
      <c r="G2482" s="58">
        <f>TRIM(SUBSTITUTE(SUBSTITUTE(SUBSTITUTE($A2482,CHAR(9)," ")," "," "),CHAR(13),""))</f>
        <v/>
      </c>
      <c r="H2482" s="58">
        <f>IF($G2482="","",IF(ISNUMBER(FIND(" ",$G2482)),$G2482,IFERROR(IF((LEN(SUBSTITUTE(SUBSTITUTE($G2482,"-"," ",LEN($G2482)-LEN(SUBSTITUTE($G2482,"-",""))),"-"," ",LEN($G2482)-LEN(SUBSTITUTE($G2482,"-",""))-1))-LEN(SUBSTITUTE(SUBSTITUTE(SUBSTITUTE($G2482,"-"," ",LEN($G2482)-LEN(SUBSTITUTE($G2482,"-",""))),"-"," ",LEN($G2482)-LEN(SUBSTITUTE($G2482,"-",""))-1),".","")))=0,SUBSTITUTE(SUBSTITUTE($G2482,"-"," ",LEN($G2482)-LEN(SUBSTITUTE($G2482,"-",""))),"-"," ",LEN($G2482)-LEN(SUBSTITUTE($G2482,"-",""))-1),SUBSTITUTE(SUBSTITUTE(SUBSTITUTE($G2482,"-"," ",LEN($G2482)-LEN(SUBSTITUTE($G2482,"-",""))),"-"," ",LEN($G2482)-LEN(SUBSTITUTE($G2482,"-",""))-1),"."," ",(LEN(SUBSTITUTE(SUBSTITUTE($G2482,"-"," ",LEN($G2482)-LEN(SUBSTITUTE($G2482,"-",""))),"-"," ",LEN($G2482)-LEN(SUBSTITUTE($G2482,"-",""))-1))-LEN(SUBSTITUTE(SUBSTITUTE(SUBSTITUTE($G2482,"-"," ",LEN($G2482)-LEN(SUBSTITUTE($G2482,"-",""))),"-"," ",LEN($G2482)-LEN(SUBSTITUTE($G2482,"-",""))-1),".",""))))),$G2482)))</f>
        <v/>
      </c>
    </row>
    <row r="2483">
      <c r="A2483" s="58" t="n"/>
      <c r="B2483" s="58">
        <f>IF($H2483="","",LEFT($H2483,FIND(" ",$H2483&amp;" ")-1))</f>
        <v/>
      </c>
      <c r="C2483" s="58">
        <f>IF($H2483="","",IFERROR(MID($H2483&amp;" ",FIND("|",SUBSTITUTE($H2483&amp;" "," ","|",1))+1,FIND("|",SUBSTITUTE($H2483&amp;" "," ","|",2))-FIND("|",SUBSTITUTE($H2483&amp;" "," ","|",1))-1),""))</f>
        <v/>
      </c>
      <c r="D2483" s="58">
        <f>IF($H2483="","",IFERROR(MID($H2483&amp;" ",FIND("|",SUBSTITUTE($H2483&amp;" "," ","|",2))+1,FIND("|",SUBSTITUTE($H2483&amp;" "," ","|",3))-FIND("|",SUBSTITUTE($H2483&amp;" "," ","|",2))-1),""))</f>
        <v/>
      </c>
      <c r="E2483" s="58">
        <f>IF($H2483="","",IFERROR(MID($H2483&amp;" ",FIND("|",SUBSTITUTE($H2483&amp;" "," ","|",3))+1,FIND("|",SUBSTITUTE($H2483&amp;" "," ","|",4))-FIND("|",SUBSTITUTE($H2483&amp;" "," ","|",3))-1),""))</f>
        <v/>
      </c>
      <c r="F2483" s="59">
        <f>IF($H2483="","",IFERROR(VALUE(IFERROR(MID($H2483&amp;" ",FIND("|",SUBSTITUTE($H2483&amp;" "," ","|",4))+1,FIND("|",SUBSTITUTE($H2483&amp;" "," ","|",5))-FIND("|",SUBSTITUTE($H2483&amp;" "," ","|",4))-1),""))/86400+25569+9/24,""))</f>
        <v/>
      </c>
      <c r="G2483" s="58">
        <f>TRIM(SUBSTITUTE(SUBSTITUTE(SUBSTITUTE($A2483,CHAR(9)," ")," "," "),CHAR(13),""))</f>
        <v/>
      </c>
      <c r="H2483" s="58">
        <f>IF($G2483="","",IF(ISNUMBER(FIND(" ",$G2483)),$G2483,IFERROR(IF((LEN(SUBSTITUTE(SUBSTITUTE($G2483,"-"," ",LEN($G2483)-LEN(SUBSTITUTE($G2483,"-",""))),"-"," ",LEN($G2483)-LEN(SUBSTITUTE($G2483,"-",""))-1))-LEN(SUBSTITUTE(SUBSTITUTE(SUBSTITUTE($G2483,"-"," ",LEN($G2483)-LEN(SUBSTITUTE($G2483,"-",""))),"-"," ",LEN($G2483)-LEN(SUBSTITUTE($G2483,"-",""))-1),".","")))=0,SUBSTITUTE(SUBSTITUTE($G2483,"-"," ",LEN($G2483)-LEN(SUBSTITUTE($G2483,"-",""))),"-"," ",LEN($G2483)-LEN(SUBSTITUTE($G2483,"-",""))-1),SUBSTITUTE(SUBSTITUTE(SUBSTITUTE($G2483,"-"," ",LEN($G2483)-LEN(SUBSTITUTE($G2483,"-",""))),"-"," ",LEN($G2483)-LEN(SUBSTITUTE($G2483,"-",""))-1),"."," ",(LEN(SUBSTITUTE(SUBSTITUTE($G2483,"-"," ",LEN($G2483)-LEN(SUBSTITUTE($G2483,"-",""))),"-"," ",LEN($G2483)-LEN(SUBSTITUTE($G2483,"-",""))-1))-LEN(SUBSTITUTE(SUBSTITUTE(SUBSTITUTE($G2483,"-"," ",LEN($G2483)-LEN(SUBSTITUTE($G2483,"-",""))),"-"," ",LEN($G2483)-LEN(SUBSTITUTE($G2483,"-",""))-1),".",""))))),$G2483)))</f>
        <v/>
      </c>
    </row>
    <row r="2484">
      <c r="A2484" s="58" t="n"/>
      <c r="B2484" s="58">
        <f>IF($H2484="","",LEFT($H2484,FIND(" ",$H2484&amp;" ")-1))</f>
        <v/>
      </c>
      <c r="C2484" s="58">
        <f>IF($H2484="","",IFERROR(MID($H2484&amp;" ",FIND("|",SUBSTITUTE($H2484&amp;" "," ","|",1))+1,FIND("|",SUBSTITUTE($H2484&amp;" "," ","|",2))-FIND("|",SUBSTITUTE($H2484&amp;" "," ","|",1))-1),""))</f>
        <v/>
      </c>
      <c r="D2484" s="58">
        <f>IF($H2484="","",IFERROR(MID($H2484&amp;" ",FIND("|",SUBSTITUTE($H2484&amp;" "," ","|",2))+1,FIND("|",SUBSTITUTE($H2484&amp;" "," ","|",3))-FIND("|",SUBSTITUTE($H2484&amp;" "," ","|",2))-1),""))</f>
        <v/>
      </c>
      <c r="E2484" s="58">
        <f>IF($H2484="","",IFERROR(MID($H2484&amp;" ",FIND("|",SUBSTITUTE($H2484&amp;" "," ","|",3))+1,FIND("|",SUBSTITUTE($H2484&amp;" "," ","|",4))-FIND("|",SUBSTITUTE($H2484&amp;" "," ","|",3))-1),""))</f>
        <v/>
      </c>
      <c r="F2484" s="59">
        <f>IF($H2484="","",IFERROR(VALUE(IFERROR(MID($H2484&amp;" ",FIND("|",SUBSTITUTE($H2484&amp;" "," ","|",4))+1,FIND("|",SUBSTITUTE($H2484&amp;" "," ","|",5))-FIND("|",SUBSTITUTE($H2484&amp;" "," ","|",4))-1),""))/86400+25569+9/24,""))</f>
        <v/>
      </c>
      <c r="G2484" s="58">
        <f>TRIM(SUBSTITUTE(SUBSTITUTE(SUBSTITUTE($A2484,CHAR(9)," ")," "," "),CHAR(13),""))</f>
        <v/>
      </c>
      <c r="H2484" s="58">
        <f>IF($G2484="","",IF(ISNUMBER(FIND(" ",$G2484)),$G2484,IFERROR(IF((LEN(SUBSTITUTE(SUBSTITUTE($G2484,"-"," ",LEN($G2484)-LEN(SUBSTITUTE($G2484,"-",""))),"-"," ",LEN($G2484)-LEN(SUBSTITUTE($G2484,"-",""))-1))-LEN(SUBSTITUTE(SUBSTITUTE(SUBSTITUTE($G2484,"-"," ",LEN($G2484)-LEN(SUBSTITUTE($G2484,"-",""))),"-"," ",LEN($G2484)-LEN(SUBSTITUTE($G2484,"-",""))-1),".","")))=0,SUBSTITUTE(SUBSTITUTE($G2484,"-"," ",LEN($G2484)-LEN(SUBSTITUTE($G2484,"-",""))),"-"," ",LEN($G2484)-LEN(SUBSTITUTE($G2484,"-",""))-1),SUBSTITUTE(SUBSTITUTE(SUBSTITUTE($G2484,"-"," ",LEN($G2484)-LEN(SUBSTITUTE($G2484,"-",""))),"-"," ",LEN($G2484)-LEN(SUBSTITUTE($G2484,"-",""))-1),"."," ",(LEN(SUBSTITUTE(SUBSTITUTE($G2484,"-"," ",LEN($G2484)-LEN(SUBSTITUTE($G2484,"-",""))),"-"," ",LEN($G2484)-LEN(SUBSTITUTE($G2484,"-",""))-1))-LEN(SUBSTITUTE(SUBSTITUTE(SUBSTITUTE($G2484,"-"," ",LEN($G2484)-LEN(SUBSTITUTE($G2484,"-",""))),"-"," ",LEN($G2484)-LEN(SUBSTITUTE($G2484,"-",""))-1),".",""))))),$G2484)))</f>
        <v/>
      </c>
    </row>
    <row r="2485">
      <c r="A2485" s="58" t="n"/>
      <c r="B2485" s="58">
        <f>IF($H2485="","",LEFT($H2485,FIND(" ",$H2485&amp;" ")-1))</f>
        <v/>
      </c>
      <c r="C2485" s="58">
        <f>IF($H2485="","",IFERROR(MID($H2485&amp;" ",FIND("|",SUBSTITUTE($H2485&amp;" "," ","|",1))+1,FIND("|",SUBSTITUTE($H2485&amp;" "," ","|",2))-FIND("|",SUBSTITUTE($H2485&amp;" "," ","|",1))-1),""))</f>
        <v/>
      </c>
      <c r="D2485" s="58">
        <f>IF($H2485="","",IFERROR(MID($H2485&amp;" ",FIND("|",SUBSTITUTE($H2485&amp;" "," ","|",2))+1,FIND("|",SUBSTITUTE($H2485&amp;" "," ","|",3))-FIND("|",SUBSTITUTE($H2485&amp;" "," ","|",2))-1),""))</f>
        <v/>
      </c>
      <c r="E2485" s="58">
        <f>IF($H2485="","",IFERROR(MID($H2485&amp;" ",FIND("|",SUBSTITUTE($H2485&amp;" "," ","|",3))+1,FIND("|",SUBSTITUTE($H2485&amp;" "," ","|",4))-FIND("|",SUBSTITUTE($H2485&amp;" "," ","|",3))-1),""))</f>
        <v/>
      </c>
      <c r="F2485" s="59">
        <f>IF($H2485="","",IFERROR(VALUE(IFERROR(MID($H2485&amp;" ",FIND("|",SUBSTITUTE($H2485&amp;" "," ","|",4))+1,FIND("|",SUBSTITUTE($H2485&amp;" "," ","|",5))-FIND("|",SUBSTITUTE($H2485&amp;" "," ","|",4))-1),""))/86400+25569+9/24,""))</f>
        <v/>
      </c>
      <c r="G2485" s="58">
        <f>TRIM(SUBSTITUTE(SUBSTITUTE(SUBSTITUTE($A2485,CHAR(9)," ")," "," "),CHAR(13),""))</f>
        <v/>
      </c>
      <c r="H2485" s="58">
        <f>IF($G2485="","",IF(ISNUMBER(FIND(" ",$G2485)),$G2485,IFERROR(IF((LEN(SUBSTITUTE(SUBSTITUTE($G2485,"-"," ",LEN($G2485)-LEN(SUBSTITUTE($G2485,"-",""))),"-"," ",LEN($G2485)-LEN(SUBSTITUTE($G2485,"-",""))-1))-LEN(SUBSTITUTE(SUBSTITUTE(SUBSTITUTE($G2485,"-"," ",LEN($G2485)-LEN(SUBSTITUTE($G2485,"-",""))),"-"," ",LEN($G2485)-LEN(SUBSTITUTE($G2485,"-",""))-1),".","")))=0,SUBSTITUTE(SUBSTITUTE($G2485,"-"," ",LEN($G2485)-LEN(SUBSTITUTE($G2485,"-",""))),"-"," ",LEN($G2485)-LEN(SUBSTITUTE($G2485,"-",""))-1),SUBSTITUTE(SUBSTITUTE(SUBSTITUTE($G2485,"-"," ",LEN($G2485)-LEN(SUBSTITUTE($G2485,"-",""))),"-"," ",LEN($G2485)-LEN(SUBSTITUTE($G2485,"-",""))-1),"."," ",(LEN(SUBSTITUTE(SUBSTITUTE($G2485,"-"," ",LEN($G2485)-LEN(SUBSTITUTE($G2485,"-",""))),"-"," ",LEN($G2485)-LEN(SUBSTITUTE($G2485,"-",""))-1))-LEN(SUBSTITUTE(SUBSTITUTE(SUBSTITUTE($G2485,"-"," ",LEN($G2485)-LEN(SUBSTITUTE($G2485,"-",""))),"-"," ",LEN($G2485)-LEN(SUBSTITUTE($G2485,"-",""))-1),".",""))))),$G2485)))</f>
        <v/>
      </c>
    </row>
    <row r="2486">
      <c r="A2486" s="58" t="n"/>
      <c r="B2486" s="58">
        <f>IF($H2486="","",LEFT($H2486,FIND(" ",$H2486&amp;" ")-1))</f>
        <v/>
      </c>
      <c r="C2486" s="58">
        <f>IF($H2486="","",IFERROR(MID($H2486&amp;" ",FIND("|",SUBSTITUTE($H2486&amp;" "," ","|",1))+1,FIND("|",SUBSTITUTE($H2486&amp;" "," ","|",2))-FIND("|",SUBSTITUTE($H2486&amp;" "," ","|",1))-1),""))</f>
        <v/>
      </c>
      <c r="D2486" s="58">
        <f>IF($H2486="","",IFERROR(MID($H2486&amp;" ",FIND("|",SUBSTITUTE($H2486&amp;" "," ","|",2))+1,FIND("|",SUBSTITUTE($H2486&amp;" "," ","|",3))-FIND("|",SUBSTITUTE($H2486&amp;" "," ","|",2))-1),""))</f>
        <v/>
      </c>
      <c r="E2486" s="58">
        <f>IF($H2486="","",IFERROR(MID($H2486&amp;" ",FIND("|",SUBSTITUTE($H2486&amp;" "," ","|",3))+1,FIND("|",SUBSTITUTE($H2486&amp;" "," ","|",4))-FIND("|",SUBSTITUTE($H2486&amp;" "," ","|",3))-1),""))</f>
        <v/>
      </c>
      <c r="F2486" s="59">
        <f>IF($H2486="","",IFERROR(VALUE(IFERROR(MID($H2486&amp;" ",FIND("|",SUBSTITUTE($H2486&amp;" "," ","|",4))+1,FIND("|",SUBSTITUTE($H2486&amp;" "," ","|",5))-FIND("|",SUBSTITUTE($H2486&amp;" "," ","|",4))-1),""))/86400+25569+9/24,""))</f>
        <v/>
      </c>
      <c r="G2486" s="58">
        <f>TRIM(SUBSTITUTE(SUBSTITUTE(SUBSTITUTE($A2486,CHAR(9)," ")," "," "),CHAR(13),""))</f>
        <v/>
      </c>
      <c r="H2486" s="58">
        <f>IF($G2486="","",IF(ISNUMBER(FIND(" ",$G2486)),$G2486,IFERROR(IF((LEN(SUBSTITUTE(SUBSTITUTE($G2486,"-"," ",LEN($G2486)-LEN(SUBSTITUTE($G2486,"-",""))),"-"," ",LEN($G2486)-LEN(SUBSTITUTE($G2486,"-",""))-1))-LEN(SUBSTITUTE(SUBSTITUTE(SUBSTITUTE($G2486,"-"," ",LEN($G2486)-LEN(SUBSTITUTE($G2486,"-",""))),"-"," ",LEN($G2486)-LEN(SUBSTITUTE($G2486,"-",""))-1),".","")))=0,SUBSTITUTE(SUBSTITUTE($G2486,"-"," ",LEN($G2486)-LEN(SUBSTITUTE($G2486,"-",""))),"-"," ",LEN($G2486)-LEN(SUBSTITUTE($G2486,"-",""))-1),SUBSTITUTE(SUBSTITUTE(SUBSTITUTE($G2486,"-"," ",LEN($G2486)-LEN(SUBSTITUTE($G2486,"-",""))),"-"," ",LEN($G2486)-LEN(SUBSTITUTE($G2486,"-",""))-1),"."," ",(LEN(SUBSTITUTE(SUBSTITUTE($G2486,"-"," ",LEN($G2486)-LEN(SUBSTITUTE($G2486,"-",""))),"-"," ",LEN($G2486)-LEN(SUBSTITUTE($G2486,"-",""))-1))-LEN(SUBSTITUTE(SUBSTITUTE(SUBSTITUTE($G2486,"-"," ",LEN($G2486)-LEN(SUBSTITUTE($G2486,"-",""))),"-"," ",LEN($G2486)-LEN(SUBSTITUTE($G2486,"-",""))-1),".",""))))),$G2486)))</f>
        <v/>
      </c>
    </row>
    <row r="2487">
      <c r="A2487" s="58" t="n"/>
      <c r="B2487" s="58">
        <f>IF($H2487="","",LEFT($H2487,FIND(" ",$H2487&amp;" ")-1))</f>
        <v/>
      </c>
      <c r="C2487" s="58">
        <f>IF($H2487="","",IFERROR(MID($H2487&amp;" ",FIND("|",SUBSTITUTE($H2487&amp;" "," ","|",1))+1,FIND("|",SUBSTITUTE($H2487&amp;" "," ","|",2))-FIND("|",SUBSTITUTE($H2487&amp;" "," ","|",1))-1),""))</f>
        <v/>
      </c>
      <c r="D2487" s="58">
        <f>IF($H2487="","",IFERROR(MID($H2487&amp;" ",FIND("|",SUBSTITUTE($H2487&amp;" "," ","|",2))+1,FIND("|",SUBSTITUTE($H2487&amp;" "," ","|",3))-FIND("|",SUBSTITUTE($H2487&amp;" "," ","|",2))-1),""))</f>
        <v/>
      </c>
      <c r="E2487" s="58">
        <f>IF($H2487="","",IFERROR(MID($H2487&amp;" ",FIND("|",SUBSTITUTE($H2487&amp;" "," ","|",3))+1,FIND("|",SUBSTITUTE($H2487&amp;" "," ","|",4))-FIND("|",SUBSTITUTE($H2487&amp;" "," ","|",3))-1),""))</f>
        <v/>
      </c>
      <c r="F2487" s="59">
        <f>IF($H2487="","",IFERROR(VALUE(IFERROR(MID($H2487&amp;" ",FIND("|",SUBSTITUTE($H2487&amp;" "," ","|",4))+1,FIND("|",SUBSTITUTE($H2487&amp;" "," ","|",5))-FIND("|",SUBSTITUTE($H2487&amp;" "," ","|",4))-1),""))/86400+25569+9/24,""))</f>
        <v/>
      </c>
      <c r="G2487" s="58">
        <f>TRIM(SUBSTITUTE(SUBSTITUTE(SUBSTITUTE($A2487,CHAR(9)," ")," "," "),CHAR(13),""))</f>
        <v/>
      </c>
      <c r="H2487" s="58">
        <f>IF($G2487="","",IF(ISNUMBER(FIND(" ",$G2487)),$G2487,IFERROR(IF((LEN(SUBSTITUTE(SUBSTITUTE($G2487,"-"," ",LEN($G2487)-LEN(SUBSTITUTE($G2487,"-",""))),"-"," ",LEN($G2487)-LEN(SUBSTITUTE($G2487,"-",""))-1))-LEN(SUBSTITUTE(SUBSTITUTE(SUBSTITUTE($G2487,"-"," ",LEN($G2487)-LEN(SUBSTITUTE($G2487,"-",""))),"-"," ",LEN($G2487)-LEN(SUBSTITUTE($G2487,"-",""))-1),".","")))=0,SUBSTITUTE(SUBSTITUTE($G2487,"-"," ",LEN($G2487)-LEN(SUBSTITUTE($G2487,"-",""))),"-"," ",LEN($G2487)-LEN(SUBSTITUTE($G2487,"-",""))-1),SUBSTITUTE(SUBSTITUTE(SUBSTITUTE($G2487,"-"," ",LEN($G2487)-LEN(SUBSTITUTE($G2487,"-",""))),"-"," ",LEN($G2487)-LEN(SUBSTITUTE($G2487,"-",""))-1),"."," ",(LEN(SUBSTITUTE(SUBSTITUTE($G2487,"-"," ",LEN($G2487)-LEN(SUBSTITUTE($G2487,"-",""))),"-"," ",LEN($G2487)-LEN(SUBSTITUTE($G2487,"-",""))-1))-LEN(SUBSTITUTE(SUBSTITUTE(SUBSTITUTE($G2487,"-"," ",LEN($G2487)-LEN(SUBSTITUTE($G2487,"-",""))),"-"," ",LEN($G2487)-LEN(SUBSTITUTE($G2487,"-",""))-1),".",""))))),$G2487)))</f>
        <v/>
      </c>
    </row>
    <row r="2488">
      <c r="A2488" s="58" t="n"/>
      <c r="B2488" s="58">
        <f>IF($H2488="","",LEFT($H2488,FIND(" ",$H2488&amp;" ")-1))</f>
        <v/>
      </c>
      <c r="C2488" s="58">
        <f>IF($H2488="","",IFERROR(MID($H2488&amp;" ",FIND("|",SUBSTITUTE($H2488&amp;" "," ","|",1))+1,FIND("|",SUBSTITUTE($H2488&amp;" "," ","|",2))-FIND("|",SUBSTITUTE($H2488&amp;" "," ","|",1))-1),""))</f>
        <v/>
      </c>
      <c r="D2488" s="58">
        <f>IF($H2488="","",IFERROR(MID($H2488&amp;" ",FIND("|",SUBSTITUTE($H2488&amp;" "," ","|",2))+1,FIND("|",SUBSTITUTE($H2488&amp;" "," ","|",3))-FIND("|",SUBSTITUTE($H2488&amp;" "," ","|",2))-1),""))</f>
        <v/>
      </c>
      <c r="E2488" s="58">
        <f>IF($H2488="","",IFERROR(MID($H2488&amp;" ",FIND("|",SUBSTITUTE($H2488&amp;" "," ","|",3))+1,FIND("|",SUBSTITUTE($H2488&amp;" "," ","|",4))-FIND("|",SUBSTITUTE($H2488&amp;" "," ","|",3))-1),""))</f>
        <v/>
      </c>
      <c r="F2488" s="59">
        <f>IF($H2488="","",IFERROR(VALUE(IFERROR(MID($H2488&amp;" ",FIND("|",SUBSTITUTE($H2488&amp;" "," ","|",4))+1,FIND("|",SUBSTITUTE($H2488&amp;" "," ","|",5))-FIND("|",SUBSTITUTE($H2488&amp;" "," ","|",4))-1),""))/86400+25569+9/24,""))</f>
        <v/>
      </c>
      <c r="G2488" s="58">
        <f>TRIM(SUBSTITUTE(SUBSTITUTE(SUBSTITUTE($A2488,CHAR(9)," ")," "," "),CHAR(13),""))</f>
        <v/>
      </c>
      <c r="H2488" s="58">
        <f>IF($G2488="","",IF(ISNUMBER(FIND(" ",$G2488)),$G2488,IFERROR(IF((LEN(SUBSTITUTE(SUBSTITUTE($G2488,"-"," ",LEN($G2488)-LEN(SUBSTITUTE($G2488,"-",""))),"-"," ",LEN($G2488)-LEN(SUBSTITUTE($G2488,"-",""))-1))-LEN(SUBSTITUTE(SUBSTITUTE(SUBSTITUTE($G2488,"-"," ",LEN($G2488)-LEN(SUBSTITUTE($G2488,"-",""))),"-"," ",LEN($G2488)-LEN(SUBSTITUTE($G2488,"-",""))-1),".","")))=0,SUBSTITUTE(SUBSTITUTE($G2488,"-"," ",LEN($G2488)-LEN(SUBSTITUTE($G2488,"-",""))),"-"," ",LEN($G2488)-LEN(SUBSTITUTE($G2488,"-",""))-1),SUBSTITUTE(SUBSTITUTE(SUBSTITUTE($G2488,"-"," ",LEN($G2488)-LEN(SUBSTITUTE($G2488,"-",""))),"-"," ",LEN($G2488)-LEN(SUBSTITUTE($G2488,"-",""))-1),"."," ",(LEN(SUBSTITUTE(SUBSTITUTE($G2488,"-"," ",LEN($G2488)-LEN(SUBSTITUTE($G2488,"-",""))),"-"," ",LEN($G2488)-LEN(SUBSTITUTE($G2488,"-",""))-1))-LEN(SUBSTITUTE(SUBSTITUTE(SUBSTITUTE($G2488,"-"," ",LEN($G2488)-LEN(SUBSTITUTE($G2488,"-",""))),"-"," ",LEN($G2488)-LEN(SUBSTITUTE($G2488,"-",""))-1),".",""))))),$G2488)))</f>
        <v/>
      </c>
    </row>
    <row r="2489">
      <c r="A2489" s="58" t="n"/>
      <c r="B2489" s="58">
        <f>IF($H2489="","",LEFT($H2489,FIND(" ",$H2489&amp;" ")-1))</f>
        <v/>
      </c>
      <c r="C2489" s="58">
        <f>IF($H2489="","",IFERROR(MID($H2489&amp;" ",FIND("|",SUBSTITUTE($H2489&amp;" "," ","|",1))+1,FIND("|",SUBSTITUTE($H2489&amp;" "," ","|",2))-FIND("|",SUBSTITUTE($H2489&amp;" "," ","|",1))-1),""))</f>
        <v/>
      </c>
      <c r="D2489" s="58">
        <f>IF($H2489="","",IFERROR(MID($H2489&amp;" ",FIND("|",SUBSTITUTE($H2489&amp;" "," ","|",2))+1,FIND("|",SUBSTITUTE($H2489&amp;" "," ","|",3))-FIND("|",SUBSTITUTE($H2489&amp;" "," ","|",2))-1),""))</f>
        <v/>
      </c>
      <c r="E2489" s="58">
        <f>IF($H2489="","",IFERROR(MID($H2489&amp;" ",FIND("|",SUBSTITUTE($H2489&amp;" "," ","|",3))+1,FIND("|",SUBSTITUTE($H2489&amp;" "," ","|",4))-FIND("|",SUBSTITUTE($H2489&amp;" "," ","|",3))-1),""))</f>
        <v/>
      </c>
      <c r="F2489" s="59">
        <f>IF($H2489="","",IFERROR(VALUE(IFERROR(MID($H2489&amp;" ",FIND("|",SUBSTITUTE($H2489&amp;" "," ","|",4))+1,FIND("|",SUBSTITUTE($H2489&amp;" "," ","|",5))-FIND("|",SUBSTITUTE($H2489&amp;" "," ","|",4))-1),""))/86400+25569+9/24,""))</f>
        <v/>
      </c>
      <c r="G2489" s="58">
        <f>TRIM(SUBSTITUTE(SUBSTITUTE(SUBSTITUTE($A2489,CHAR(9)," ")," "," "),CHAR(13),""))</f>
        <v/>
      </c>
      <c r="H2489" s="58">
        <f>IF($G2489="","",IF(ISNUMBER(FIND(" ",$G2489)),$G2489,IFERROR(IF((LEN(SUBSTITUTE(SUBSTITUTE($G2489,"-"," ",LEN($G2489)-LEN(SUBSTITUTE($G2489,"-",""))),"-"," ",LEN($G2489)-LEN(SUBSTITUTE($G2489,"-",""))-1))-LEN(SUBSTITUTE(SUBSTITUTE(SUBSTITUTE($G2489,"-"," ",LEN($G2489)-LEN(SUBSTITUTE($G2489,"-",""))),"-"," ",LEN($G2489)-LEN(SUBSTITUTE($G2489,"-",""))-1),".","")))=0,SUBSTITUTE(SUBSTITUTE($G2489,"-"," ",LEN($G2489)-LEN(SUBSTITUTE($G2489,"-",""))),"-"," ",LEN($G2489)-LEN(SUBSTITUTE($G2489,"-",""))-1),SUBSTITUTE(SUBSTITUTE(SUBSTITUTE($G2489,"-"," ",LEN($G2489)-LEN(SUBSTITUTE($G2489,"-",""))),"-"," ",LEN($G2489)-LEN(SUBSTITUTE($G2489,"-",""))-1),"."," ",(LEN(SUBSTITUTE(SUBSTITUTE($G2489,"-"," ",LEN($G2489)-LEN(SUBSTITUTE($G2489,"-",""))),"-"," ",LEN($G2489)-LEN(SUBSTITUTE($G2489,"-",""))-1))-LEN(SUBSTITUTE(SUBSTITUTE(SUBSTITUTE($G2489,"-"," ",LEN($G2489)-LEN(SUBSTITUTE($G2489,"-",""))),"-"," ",LEN($G2489)-LEN(SUBSTITUTE($G2489,"-",""))-1),".",""))))),$G2489)))</f>
        <v/>
      </c>
    </row>
    <row r="2490">
      <c r="A2490" s="58" t="n"/>
      <c r="B2490" s="58">
        <f>IF($H2490="","",LEFT($H2490,FIND(" ",$H2490&amp;" ")-1))</f>
        <v/>
      </c>
      <c r="C2490" s="58">
        <f>IF($H2490="","",IFERROR(MID($H2490&amp;" ",FIND("|",SUBSTITUTE($H2490&amp;" "," ","|",1))+1,FIND("|",SUBSTITUTE($H2490&amp;" "," ","|",2))-FIND("|",SUBSTITUTE($H2490&amp;" "," ","|",1))-1),""))</f>
        <v/>
      </c>
      <c r="D2490" s="58">
        <f>IF($H2490="","",IFERROR(MID($H2490&amp;" ",FIND("|",SUBSTITUTE($H2490&amp;" "," ","|",2))+1,FIND("|",SUBSTITUTE($H2490&amp;" "," ","|",3))-FIND("|",SUBSTITUTE($H2490&amp;" "," ","|",2))-1),""))</f>
        <v/>
      </c>
      <c r="E2490" s="58">
        <f>IF($H2490="","",IFERROR(MID($H2490&amp;" ",FIND("|",SUBSTITUTE($H2490&amp;" "," ","|",3))+1,FIND("|",SUBSTITUTE($H2490&amp;" "," ","|",4))-FIND("|",SUBSTITUTE($H2490&amp;" "," ","|",3))-1),""))</f>
        <v/>
      </c>
      <c r="F2490" s="59">
        <f>IF($H2490="","",IFERROR(VALUE(IFERROR(MID($H2490&amp;" ",FIND("|",SUBSTITUTE($H2490&amp;" "," ","|",4))+1,FIND("|",SUBSTITUTE($H2490&amp;" "," ","|",5))-FIND("|",SUBSTITUTE($H2490&amp;" "," ","|",4))-1),""))/86400+25569+9/24,""))</f>
        <v/>
      </c>
      <c r="G2490" s="58">
        <f>TRIM(SUBSTITUTE(SUBSTITUTE(SUBSTITUTE($A2490,CHAR(9)," ")," "," "),CHAR(13),""))</f>
        <v/>
      </c>
      <c r="H2490" s="58">
        <f>IF($G2490="","",IF(ISNUMBER(FIND(" ",$G2490)),$G2490,IFERROR(IF((LEN(SUBSTITUTE(SUBSTITUTE($G2490,"-"," ",LEN($G2490)-LEN(SUBSTITUTE($G2490,"-",""))),"-"," ",LEN($G2490)-LEN(SUBSTITUTE($G2490,"-",""))-1))-LEN(SUBSTITUTE(SUBSTITUTE(SUBSTITUTE($G2490,"-"," ",LEN($G2490)-LEN(SUBSTITUTE($G2490,"-",""))),"-"," ",LEN($G2490)-LEN(SUBSTITUTE($G2490,"-",""))-1),".","")))=0,SUBSTITUTE(SUBSTITUTE($G2490,"-"," ",LEN($G2490)-LEN(SUBSTITUTE($G2490,"-",""))),"-"," ",LEN($G2490)-LEN(SUBSTITUTE($G2490,"-",""))-1),SUBSTITUTE(SUBSTITUTE(SUBSTITUTE($G2490,"-"," ",LEN($G2490)-LEN(SUBSTITUTE($G2490,"-",""))),"-"," ",LEN($G2490)-LEN(SUBSTITUTE($G2490,"-",""))-1),"."," ",(LEN(SUBSTITUTE(SUBSTITUTE($G2490,"-"," ",LEN($G2490)-LEN(SUBSTITUTE($G2490,"-",""))),"-"," ",LEN($G2490)-LEN(SUBSTITUTE($G2490,"-",""))-1))-LEN(SUBSTITUTE(SUBSTITUTE(SUBSTITUTE($G2490,"-"," ",LEN($G2490)-LEN(SUBSTITUTE($G2490,"-",""))),"-"," ",LEN($G2490)-LEN(SUBSTITUTE($G2490,"-",""))-1),".",""))))),$G2490)))</f>
        <v/>
      </c>
    </row>
    <row r="2491">
      <c r="A2491" s="58" t="n"/>
      <c r="B2491" s="58">
        <f>IF($H2491="","",LEFT($H2491,FIND(" ",$H2491&amp;" ")-1))</f>
        <v/>
      </c>
      <c r="C2491" s="58">
        <f>IF($H2491="","",IFERROR(MID($H2491&amp;" ",FIND("|",SUBSTITUTE($H2491&amp;" "," ","|",1))+1,FIND("|",SUBSTITUTE($H2491&amp;" "," ","|",2))-FIND("|",SUBSTITUTE($H2491&amp;" "," ","|",1))-1),""))</f>
        <v/>
      </c>
      <c r="D2491" s="58">
        <f>IF($H2491="","",IFERROR(MID($H2491&amp;" ",FIND("|",SUBSTITUTE($H2491&amp;" "," ","|",2))+1,FIND("|",SUBSTITUTE($H2491&amp;" "," ","|",3))-FIND("|",SUBSTITUTE($H2491&amp;" "," ","|",2))-1),""))</f>
        <v/>
      </c>
      <c r="E2491" s="58">
        <f>IF($H2491="","",IFERROR(MID($H2491&amp;" ",FIND("|",SUBSTITUTE($H2491&amp;" "," ","|",3))+1,FIND("|",SUBSTITUTE($H2491&amp;" "," ","|",4))-FIND("|",SUBSTITUTE($H2491&amp;" "," ","|",3))-1),""))</f>
        <v/>
      </c>
      <c r="F2491" s="59">
        <f>IF($H2491="","",IFERROR(VALUE(IFERROR(MID($H2491&amp;" ",FIND("|",SUBSTITUTE($H2491&amp;" "," ","|",4))+1,FIND("|",SUBSTITUTE($H2491&amp;" "," ","|",5))-FIND("|",SUBSTITUTE($H2491&amp;" "," ","|",4))-1),""))/86400+25569+9/24,""))</f>
        <v/>
      </c>
      <c r="G2491" s="58">
        <f>TRIM(SUBSTITUTE(SUBSTITUTE(SUBSTITUTE($A2491,CHAR(9)," ")," "," "),CHAR(13),""))</f>
        <v/>
      </c>
      <c r="H2491" s="58">
        <f>IF($G2491="","",IF(ISNUMBER(FIND(" ",$G2491)),$G2491,IFERROR(IF((LEN(SUBSTITUTE(SUBSTITUTE($G2491,"-"," ",LEN($G2491)-LEN(SUBSTITUTE($G2491,"-",""))),"-"," ",LEN($G2491)-LEN(SUBSTITUTE($G2491,"-",""))-1))-LEN(SUBSTITUTE(SUBSTITUTE(SUBSTITUTE($G2491,"-"," ",LEN($G2491)-LEN(SUBSTITUTE($G2491,"-",""))),"-"," ",LEN($G2491)-LEN(SUBSTITUTE($G2491,"-",""))-1),".","")))=0,SUBSTITUTE(SUBSTITUTE($G2491,"-"," ",LEN($G2491)-LEN(SUBSTITUTE($G2491,"-",""))),"-"," ",LEN($G2491)-LEN(SUBSTITUTE($G2491,"-",""))-1),SUBSTITUTE(SUBSTITUTE(SUBSTITUTE($G2491,"-"," ",LEN($G2491)-LEN(SUBSTITUTE($G2491,"-",""))),"-"," ",LEN($G2491)-LEN(SUBSTITUTE($G2491,"-",""))-1),"."," ",(LEN(SUBSTITUTE(SUBSTITUTE($G2491,"-"," ",LEN($G2491)-LEN(SUBSTITUTE($G2491,"-",""))),"-"," ",LEN($G2491)-LEN(SUBSTITUTE($G2491,"-",""))-1))-LEN(SUBSTITUTE(SUBSTITUTE(SUBSTITUTE($G2491,"-"," ",LEN($G2491)-LEN(SUBSTITUTE($G2491,"-",""))),"-"," ",LEN($G2491)-LEN(SUBSTITUTE($G2491,"-",""))-1),".",""))))),$G2491)))</f>
        <v/>
      </c>
    </row>
    <row r="2492">
      <c r="A2492" s="58" t="n"/>
      <c r="B2492" s="58">
        <f>IF($H2492="","",LEFT($H2492,FIND(" ",$H2492&amp;" ")-1))</f>
        <v/>
      </c>
      <c r="C2492" s="58">
        <f>IF($H2492="","",IFERROR(MID($H2492&amp;" ",FIND("|",SUBSTITUTE($H2492&amp;" "," ","|",1))+1,FIND("|",SUBSTITUTE($H2492&amp;" "," ","|",2))-FIND("|",SUBSTITUTE($H2492&amp;" "," ","|",1))-1),""))</f>
        <v/>
      </c>
      <c r="D2492" s="58">
        <f>IF($H2492="","",IFERROR(MID($H2492&amp;" ",FIND("|",SUBSTITUTE($H2492&amp;" "," ","|",2))+1,FIND("|",SUBSTITUTE($H2492&amp;" "," ","|",3))-FIND("|",SUBSTITUTE($H2492&amp;" "," ","|",2))-1),""))</f>
        <v/>
      </c>
      <c r="E2492" s="58">
        <f>IF($H2492="","",IFERROR(MID($H2492&amp;" ",FIND("|",SUBSTITUTE($H2492&amp;" "," ","|",3))+1,FIND("|",SUBSTITUTE($H2492&amp;" "," ","|",4))-FIND("|",SUBSTITUTE($H2492&amp;" "," ","|",3))-1),""))</f>
        <v/>
      </c>
      <c r="F2492" s="59">
        <f>IF($H2492="","",IFERROR(VALUE(IFERROR(MID($H2492&amp;" ",FIND("|",SUBSTITUTE($H2492&amp;" "," ","|",4))+1,FIND("|",SUBSTITUTE($H2492&amp;" "," ","|",5))-FIND("|",SUBSTITUTE($H2492&amp;" "," ","|",4))-1),""))/86400+25569+9/24,""))</f>
        <v/>
      </c>
      <c r="G2492" s="58">
        <f>TRIM(SUBSTITUTE(SUBSTITUTE(SUBSTITUTE($A2492,CHAR(9)," ")," "," "),CHAR(13),""))</f>
        <v/>
      </c>
      <c r="H2492" s="58">
        <f>IF($G2492="","",IF(ISNUMBER(FIND(" ",$G2492)),$G2492,IFERROR(IF((LEN(SUBSTITUTE(SUBSTITUTE($G2492,"-"," ",LEN($G2492)-LEN(SUBSTITUTE($G2492,"-",""))),"-"," ",LEN($G2492)-LEN(SUBSTITUTE($G2492,"-",""))-1))-LEN(SUBSTITUTE(SUBSTITUTE(SUBSTITUTE($G2492,"-"," ",LEN($G2492)-LEN(SUBSTITUTE($G2492,"-",""))),"-"," ",LEN($G2492)-LEN(SUBSTITUTE($G2492,"-",""))-1),".","")))=0,SUBSTITUTE(SUBSTITUTE($G2492,"-"," ",LEN($G2492)-LEN(SUBSTITUTE($G2492,"-",""))),"-"," ",LEN($G2492)-LEN(SUBSTITUTE($G2492,"-",""))-1),SUBSTITUTE(SUBSTITUTE(SUBSTITUTE($G2492,"-"," ",LEN($G2492)-LEN(SUBSTITUTE($G2492,"-",""))),"-"," ",LEN($G2492)-LEN(SUBSTITUTE($G2492,"-",""))-1),"."," ",(LEN(SUBSTITUTE(SUBSTITUTE($G2492,"-"," ",LEN($G2492)-LEN(SUBSTITUTE($G2492,"-",""))),"-"," ",LEN($G2492)-LEN(SUBSTITUTE($G2492,"-",""))-1))-LEN(SUBSTITUTE(SUBSTITUTE(SUBSTITUTE($G2492,"-"," ",LEN($G2492)-LEN(SUBSTITUTE($G2492,"-",""))),"-"," ",LEN($G2492)-LEN(SUBSTITUTE($G2492,"-",""))-1),".",""))))),$G2492)))</f>
        <v/>
      </c>
    </row>
    <row r="2493">
      <c r="A2493" s="58" t="n"/>
      <c r="B2493" s="58">
        <f>IF($H2493="","",LEFT($H2493,FIND(" ",$H2493&amp;" ")-1))</f>
        <v/>
      </c>
      <c r="C2493" s="58">
        <f>IF($H2493="","",IFERROR(MID($H2493&amp;" ",FIND("|",SUBSTITUTE($H2493&amp;" "," ","|",1))+1,FIND("|",SUBSTITUTE($H2493&amp;" "," ","|",2))-FIND("|",SUBSTITUTE($H2493&amp;" "," ","|",1))-1),""))</f>
        <v/>
      </c>
      <c r="D2493" s="58">
        <f>IF($H2493="","",IFERROR(MID($H2493&amp;" ",FIND("|",SUBSTITUTE($H2493&amp;" "," ","|",2))+1,FIND("|",SUBSTITUTE($H2493&amp;" "," ","|",3))-FIND("|",SUBSTITUTE($H2493&amp;" "," ","|",2))-1),""))</f>
        <v/>
      </c>
      <c r="E2493" s="58">
        <f>IF($H2493="","",IFERROR(MID($H2493&amp;" ",FIND("|",SUBSTITUTE($H2493&amp;" "," ","|",3))+1,FIND("|",SUBSTITUTE($H2493&amp;" "," ","|",4))-FIND("|",SUBSTITUTE($H2493&amp;" "," ","|",3))-1),""))</f>
        <v/>
      </c>
      <c r="F2493" s="59">
        <f>IF($H2493="","",IFERROR(VALUE(IFERROR(MID($H2493&amp;" ",FIND("|",SUBSTITUTE($H2493&amp;" "," ","|",4))+1,FIND("|",SUBSTITUTE($H2493&amp;" "," ","|",5))-FIND("|",SUBSTITUTE($H2493&amp;" "," ","|",4))-1),""))/86400+25569+9/24,""))</f>
        <v/>
      </c>
      <c r="G2493" s="58">
        <f>TRIM(SUBSTITUTE(SUBSTITUTE(SUBSTITUTE($A2493,CHAR(9)," ")," "," "),CHAR(13),""))</f>
        <v/>
      </c>
      <c r="H2493" s="58">
        <f>IF($G2493="","",IF(ISNUMBER(FIND(" ",$G2493)),$G2493,IFERROR(IF((LEN(SUBSTITUTE(SUBSTITUTE($G2493,"-"," ",LEN($G2493)-LEN(SUBSTITUTE($G2493,"-",""))),"-"," ",LEN($G2493)-LEN(SUBSTITUTE($G2493,"-",""))-1))-LEN(SUBSTITUTE(SUBSTITUTE(SUBSTITUTE($G2493,"-"," ",LEN($G2493)-LEN(SUBSTITUTE($G2493,"-",""))),"-"," ",LEN($G2493)-LEN(SUBSTITUTE($G2493,"-",""))-1),".","")))=0,SUBSTITUTE(SUBSTITUTE($G2493,"-"," ",LEN($G2493)-LEN(SUBSTITUTE($G2493,"-",""))),"-"," ",LEN($G2493)-LEN(SUBSTITUTE($G2493,"-",""))-1),SUBSTITUTE(SUBSTITUTE(SUBSTITUTE($G2493,"-"," ",LEN($G2493)-LEN(SUBSTITUTE($G2493,"-",""))),"-"," ",LEN($G2493)-LEN(SUBSTITUTE($G2493,"-",""))-1),"."," ",(LEN(SUBSTITUTE(SUBSTITUTE($G2493,"-"," ",LEN($G2493)-LEN(SUBSTITUTE($G2493,"-",""))),"-"," ",LEN($G2493)-LEN(SUBSTITUTE($G2493,"-",""))-1))-LEN(SUBSTITUTE(SUBSTITUTE(SUBSTITUTE($G2493,"-"," ",LEN($G2493)-LEN(SUBSTITUTE($G2493,"-",""))),"-"," ",LEN($G2493)-LEN(SUBSTITUTE($G2493,"-",""))-1),".",""))))),$G2493)))</f>
        <v/>
      </c>
    </row>
    <row r="2494">
      <c r="A2494" s="58" t="n"/>
      <c r="B2494" s="58">
        <f>IF($H2494="","",LEFT($H2494,FIND(" ",$H2494&amp;" ")-1))</f>
        <v/>
      </c>
      <c r="C2494" s="58">
        <f>IF($H2494="","",IFERROR(MID($H2494&amp;" ",FIND("|",SUBSTITUTE($H2494&amp;" "," ","|",1))+1,FIND("|",SUBSTITUTE($H2494&amp;" "," ","|",2))-FIND("|",SUBSTITUTE($H2494&amp;" "," ","|",1))-1),""))</f>
        <v/>
      </c>
      <c r="D2494" s="58">
        <f>IF($H2494="","",IFERROR(MID($H2494&amp;" ",FIND("|",SUBSTITUTE($H2494&amp;" "," ","|",2))+1,FIND("|",SUBSTITUTE($H2494&amp;" "," ","|",3))-FIND("|",SUBSTITUTE($H2494&amp;" "," ","|",2))-1),""))</f>
        <v/>
      </c>
      <c r="E2494" s="58">
        <f>IF($H2494="","",IFERROR(MID($H2494&amp;" ",FIND("|",SUBSTITUTE($H2494&amp;" "," ","|",3))+1,FIND("|",SUBSTITUTE($H2494&amp;" "," ","|",4))-FIND("|",SUBSTITUTE($H2494&amp;" "," ","|",3))-1),""))</f>
        <v/>
      </c>
      <c r="F2494" s="59">
        <f>IF($H2494="","",IFERROR(VALUE(IFERROR(MID($H2494&amp;" ",FIND("|",SUBSTITUTE($H2494&amp;" "," ","|",4))+1,FIND("|",SUBSTITUTE($H2494&amp;" "," ","|",5))-FIND("|",SUBSTITUTE($H2494&amp;" "," ","|",4))-1),""))/86400+25569+9/24,""))</f>
        <v/>
      </c>
      <c r="G2494" s="58">
        <f>TRIM(SUBSTITUTE(SUBSTITUTE(SUBSTITUTE($A2494,CHAR(9)," ")," "," "),CHAR(13),""))</f>
        <v/>
      </c>
      <c r="H2494" s="58">
        <f>IF($G2494="","",IF(ISNUMBER(FIND(" ",$G2494)),$G2494,IFERROR(IF((LEN(SUBSTITUTE(SUBSTITUTE($G2494,"-"," ",LEN($G2494)-LEN(SUBSTITUTE($G2494,"-",""))),"-"," ",LEN($G2494)-LEN(SUBSTITUTE($G2494,"-",""))-1))-LEN(SUBSTITUTE(SUBSTITUTE(SUBSTITUTE($G2494,"-"," ",LEN($G2494)-LEN(SUBSTITUTE($G2494,"-",""))),"-"," ",LEN($G2494)-LEN(SUBSTITUTE($G2494,"-",""))-1),".","")))=0,SUBSTITUTE(SUBSTITUTE($G2494,"-"," ",LEN($G2494)-LEN(SUBSTITUTE($G2494,"-",""))),"-"," ",LEN($G2494)-LEN(SUBSTITUTE($G2494,"-",""))-1),SUBSTITUTE(SUBSTITUTE(SUBSTITUTE($G2494,"-"," ",LEN($G2494)-LEN(SUBSTITUTE($G2494,"-",""))),"-"," ",LEN($G2494)-LEN(SUBSTITUTE($G2494,"-",""))-1),"."," ",(LEN(SUBSTITUTE(SUBSTITUTE($G2494,"-"," ",LEN($G2494)-LEN(SUBSTITUTE($G2494,"-",""))),"-"," ",LEN($G2494)-LEN(SUBSTITUTE($G2494,"-",""))-1))-LEN(SUBSTITUTE(SUBSTITUTE(SUBSTITUTE($G2494,"-"," ",LEN($G2494)-LEN(SUBSTITUTE($G2494,"-",""))),"-"," ",LEN($G2494)-LEN(SUBSTITUTE($G2494,"-",""))-1),".",""))))),$G2494)))</f>
        <v/>
      </c>
    </row>
    <row r="2495">
      <c r="A2495" s="58" t="n"/>
      <c r="B2495" s="58">
        <f>IF($H2495="","",LEFT($H2495,FIND(" ",$H2495&amp;" ")-1))</f>
        <v/>
      </c>
      <c r="C2495" s="58">
        <f>IF($H2495="","",IFERROR(MID($H2495&amp;" ",FIND("|",SUBSTITUTE($H2495&amp;" "," ","|",1))+1,FIND("|",SUBSTITUTE($H2495&amp;" "," ","|",2))-FIND("|",SUBSTITUTE($H2495&amp;" "," ","|",1))-1),""))</f>
        <v/>
      </c>
      <c r="D2495" s="58">
        <f>IF($H2495="","",IFERROR(MID($H2495&amp;" ",FIND("|",SUBSTITUTE($H2495&amp;" "," ","|",2))+1,FIND("|",SUBSTITUTE($H2495&amp;" "," ","|",3))-FIND("|",SUBSTITUTE($H2495&amp;" "," ","|",2))-1),""))</f>
        <v/>
      </c>
      <c r="E2495" s="58">
        <f>IF($H2495="","",IFERROR(MID($H2495&amp;" ",FIND("|",SUBSTITUTE($H2495&amp;" "," ","|",3))+1,FIND("|",SUBSTITUTE($H2495&amp;" "," ","|",4))-FIND("|",SUBSTITUTE($H2495&amp;" "," ","|",3))-1),""))</f>
        <v/>
      </c>
      <c r="F2495" s="59">
        <f>IF($H2495="","",IFERROR(VALUE(IFERROR(MID($H2495&amp;" ",FIND("|",SUBSTITUTE($H2495&amp;" "," ","|",4))+1,FIND("|",SUBSTITUTE($H2495&amp;" "," ","|",5))-FIND("|",SUBSTITUTE($H2495&amp;" "," ","|",4))-1),""))/86400+25569+9/24,""))</f>
        <v/>
      </c>
      <c r="G2495" s="58">
        <f>TRIM(SUBSTITUTE(SUBSTITUTE(SUBSTITUTE($A2495,CHAR(9)," ")," "," "),CHAR(13),""))</f>
        <v/>
      </c>
      <c r="H2495" s="58">
        <f>IF($G2495="","",IF(ISNUMBER(FIND(" ",$G2495)),$G2495,IFERROR(IF((LEN(SUBSTITUTE(SUBSTITUTE($G2495,"-"," ",LEN($G2495)-LEN(SUBSTITUTE($G2495,"-",""))),"-"," ",LEN($G2495)-LEN(SUBSTITUTE($G2495,"-",""))-1))-LEN(SUBSTITUTE(SUBSTITUTE(SUBSTITUTE($G2495,"-"," ",LEN($G2495)-LEN(SUBSTITUTE($G2495,"-",""))),"-"," ",LEN($G2495)-LEN(SUBSTITUTE($G2495,"-",""))-1),".","")))=0,SUBSTITUTE(SUBSTITUTE($G2495,"-"," ",LEN($G2495)-LEN(SUBSTITUTE($G2495,"-",""))),"-"," ",LEN($G2495)-LEN(SUBSTITUTE($G2495,"-",""))-1),SUBSTITUTE(SUBSTITUTE(SUBSTITUTE($G2495,"-"," ",LEN($G2495)-LEN(SUBSTITUTE($G2495,"-",""))),"-"," ",LEN($G2495)-LEN(SUBSTITUTE($G2495,"-",""))-1),"."," ",(LEN(SUBSTITUTE(SUBSTITUTE($G2495,"-"," ",LEN($G2495)-LEN(SUBSTITUTE($G2495,"-",""))),"-"," ",LEN($G2495)-LEN(SUBSTITUTE($G2495,"-",""))-1))-LEN(SUBSTITUTE(SUBSTITUTE(SUBSTITUTE($G2495,"-"," ",LEN($G2495)-LEN(SUBSTITUTE($G2495,"-",""))),"-"," ",LEN($G2495)-LEN(SUBSTITUTE($G2495,"-",""))-1),".",""))))),$G2495)))</f>
        <v/>
      </c>
    </row>
    <row r="2496">
      <c r="A2496" s="58" t="n"/>
      <c r="B2496" s="58">
        <f>IF($H2496="","",LEFT($H2496,FIND(" ",$H2496&amp;" ")-1))</f>
        <v/>
      </c>
      <c r="C2496" s="58">
        <f>IF($H2496="","",IFERROR(MID($H2496&amp;" ",FIND("|",SUBSTITUTE($H2496&amp;" "," ","|",1))+1,FIND("|",SUBSTITUTE($H2496&amp;" "," ","|",2))-FIND("|",SUBSTITUTE($H2496&amp;" "," ","|",1))-1),""))</f>
        <v/>
      </c>
      <c r="D2496" s="58">
        <f>IF($H2496="","",IFERROR(MID($H2496&amp;" ",FIND("|",SUBSTITUTE($H2496&amp;" "," ","|",2))+1,FIND("|",SUBSTITUTE($H2496&amp;" "," ","|",3))-FIND("|",SUBSTITUTE($H2496&amp;" "," ","|",2))-1),""))</f>
        <v/>
      </c>
      <c r="E2496" s="58">
        <f>IF($H2496="","",IFERROR(MID($H2496&amp;" ",FIND("|",SUBSTITUTE($H2496&amp;" "," ","|",3))+1,FIND("|",SUBSTITUTE($H2496&amp;" "," ","|",4))-FIND("|",SUBSTITUTE($H2496&amp;" "," ","|",3))-1),""))</f>
        <v/>
      </c>
      <c r="F2496" s="59">
        <f>IF($H2496="","",IFERROR(VALUE(IFERROR(MID($H2496&amp;" ",FIND("|",SUBSTITUTE($H2496&amp;" "," ","|",4))+1,FIND("|",SUBSTITUTE($H2496&amp;" "," ","|",5))-FIND("|",SUBSTITUTE($H2496&amp;" "," ","|",4))-1),""))/86400+25569+9/24,""))</f>
        <v/>
      </c>
      <c r="G2496" s="58">
        <f>TRIM(SUBSTITUTE(SUBSTITUTE(SUBSTITUTE($A2496,CHAR(9)," ")," "," "),CHAR(13),""))</f>
        <v/>
      </c>
      <c r="H2496" s="58">
        <f>IF($G2496="","",IF(ISNUMBER(FIND(" ",$G2496)),$G2496,IFERROR(IF((LEN(SUBSTITUTE(SUBSTITUTE($G2496,"-"," ",LEN($G2496)-LEN(SUBSTITUTE($G2496,"-",""))),"-"," ",LEN($G2496)-LEN(SUBSTITUTE($G2496,"-",""))-1))-LEN(SUBSTITUTE(SUBSTITUTE(SUBSTITUTE($G2496,"-"," ",LEN($G2496)-LEN(SUBSTITUTE($G2496,"-",""))),"-"," ",LEN($G2496)-LEN(SUBSTITUTE($G2496,"-",""))-1),".","")))=0,SUBSTITUTE(SUBSTITUTE($G2496,"-"," ",LEN($G2496)-LEN(SUBSTITUTE($G2496,"-",""))),"-"," ",LEN($G2496)-LEN(SUBSTITUTE($G2496,"-",""))-1),SUBSTITUTE(SUBSTITUTE(SUBSTITUTE($G2496,"-"," ",LEN($G2496)-LEN(SUBSTITUTE($G2496,"-",""))),"-"," ",LEN($G2496)-LEN(SUBSTITUTE($G2496,"-",""))-1),"."," ",(LEN(SUBSTITUTE(SUBSTITUTE($G2496,"-"," ",LEN($G2496)-LEN(SUBSTITUTE($G2496,"-",""))),"-"," ",LEN($G2496)-LEN(SUBSTITUTE($G2496,"-",""))-1))-LEN(SUBSTITUTE(SUBSTITUTE(SUBSTITUTE($G2496,"-"," ",LEN($G2496)-LEN(SUBSTITUTE($G2496,"-",""))),"-"," ",LEN($G2496)-LEN(SUBSTITUTE($G2496,"-",""))-1),".",""))))),$G2496)))</f>
        <v/>
      </c>
    </row>
    <row r="2497">
      <c r="A2497" s="58" t="n"/>
      <c r="B2497" s="58">
        <f>IF($H2497="","",LEFT($H2497,FIND(" ",$H2497&amp;" ")-1))</f>
        <v/>
      </c>
      <c r="C2497" s="58">
        <f>IF($H2497="","",IFERROR(MID($H2497&amp;" ",FIND("|",SUBSTITUTE($H2497&amp;" "," ","|",1))+1,FIND("|",SUBSTITUTE($H2497&amp;" "," ","|",2))-FIND("|",SUBSTITUTE($H2497&amp;" "," ","|",1))-1),""))</f>
        <v/>
      </c>
      <c r="D2497" s="58">
        <f>IF($H2497="","",IFERROR(MID($H2497&amp;" ",FIND("|",SUBSTITUTE($H2497&amp;" "," ","|",2))+1,FIND("|",SUBSTITUTE($H2497&amp;" "," ","|",3))-FIND("|",SUBSTITUTE($H2497&amp;" "," ","|",2))-1),""))</f>
        <v/>
      </c>
      <c r="E2497" s="58">
        <f>IF($H2497="","",IFERROR(MID($H2497&amp;" ",FIND("|",SUBSTITUTE($H2497&amp;" "," ","|",3))+1,FIND("|",SUBSTITUTE($H2497&amp;" "," ","|",4))-FIND("|",SUBSTITUTE($H2497&amp;" "," ","|",3))-1),""))</f>
        <v/>
      </c>
      <c r="F2497" s="59">
        <f>IF($H2497="","",IFERROR(VALUE(IFERROR(MID($H2497&amp;" ",FIND("|",SUBSTITUTE($H2497&amp;" "," ","|",4))+1,FIND("|",SUBSTITUTE($H2497&amp;" "," ","|",5))-FIND("|",SUBSTITUTE($H2497&amp;" "," ","|",4))-1),""))/86400+25569+9/24,""))</f>
        <v/>
      </c>
      <c r="G2497" s="58">
        <f>TRIM(SUBSTITUTE(SUBSTITUTE(SUBSTITUTE($A2497,CHAR(9)," ")," "," "),CHAR(13),""))</f>
        <v/>
      </c>
      <c r="H2497" s="58">
        <f>IF($G2497="","",IF(ISNUMBER(FIND(" ",$G2497)),$G2497,IFERROR(IF((LEN(SUBSTITUTE(SUBSTITUTE($G2497,"-"," ",LEN($G2497)-LEN(SUBSTITUTE($G2497,"-",""))),"-"," ",LEN($G2497)-LEN(SUBSTITUTE($G2497,"-",""))-1))-LEN(SUBSTITUTE(SUBSTITUTE(SUBSTITUTE($G2497,"-"," ",LEN($G2497)-LEN(SUBSTITUTE($G2497,"-",""))),"-"," ",LEN($G2497)-LEN(SUBSTITUTE($G2497,"-",""))-1),".","")))=0,SUBSTITUTE(SUBSTITUTE($G2497,"-"," ",LEN($G2497)-LEN(SUBSTITUTE($G2497,"-",""))),"-"," ",LEN($G2497)-LEN(SUBSTITUTE($G2497,"-",""))-1),SUBSTITUTE(SUBSTITUTE(SUBSTITUTE($G2497,"-"," ",LEN($G2497)-LEN(SUBSTITUTE($G2497,"-",""))),"-"," ",LEN($G2497)-LEN(SUBSTITUTE($G2497,"-",""))-1),"."," ",(LEN(SUBSTITUTE(SUBSTITUTE($G2497,"-"," ",LEN($G2497)-LEN(SUBSTITUTE($G2497,"-",""))),"-"," ",LEN($G2497)-LEN(SUBSTITUTE($G2497,"-",""))-1))-LEN(SUBSTITUTE(SUBSTITUTE(SUBSTITUTE($G2497,"-"," ",LEN($G2497)-LEN(SUBSTITUTE($G2497,"-",""))),"-"," ",LEN($G2497)-LEN(SUBSTITUTE($G2497,"-",""))-1),".",""))))),$G2497)))</f>
        <v/>
      </c>
    </row>
    <row r="2498">
      <c r="A2498" s="58" t="n"/>
      <c r="B2498" s="58">
        <f>IF($H2498="","",LEFT($H2498,FIND(" ",$H2498&amp;" ")-1))</f>
        <v/>
      </c>
      <c r="C2498" s="58">
        <f>IF($H2498="","",IFERROR(MID($H2498&amp;" ",FIND("|",SUBSTITUTE($H2498&amp;" "," ","|",1))+1,FIND("|",SUBSTITUTE($H2498&amp;" "," ","|",2))-FIND("|",SUBSTITUTE($H2498&amp;" "," ","|",1))-1),""))</f>
        <v/>
      </c>
      <c r="D2498" s="58">
        <f>IF($H2498="","",IFERROR(MID($H2498&amp;" ",FIND("|",SUBSTITUTE($H2498&amp;" "," ","|",2))+1,FIND("|",SUBSTITUTE($H2498&amp;" "," ","|",3))-FIND("|",SUBSTITUTE($H2498&amp;" "," ","|",2))-1),""))</f>
        <v/>
      </c>
      <c r="E2498" s="58">
        <f>IF($H2498="","",IFERROR(MID($H2498&amp;" ",FIND("|",SUBSTITUTE($H2498&amp;" "," ","|",3))+1,FIND("|",SUBSTITUTE($H2498&amp;" "," ","|",4))-FIND("|",SUBSTITUTE($H2498&amp;" "," ","|",3))-1),""))</f>
        <v/>
      </c>
      <c r="F2498" s="59">
        <f>IF($H2498="","",IFERROR(VALUE(IFERROR(MID($H2498&amp;" ",FIND("|",SUBSTITUTE($H2498&amp;" "," ","|",4))+1,FIND("|",SUBSTITUTE($H2498&amp;" "," ","|",5))-FIND("|",SUBSTITUTE($H2498&amp;" "," ","|",4))-1),""))/86400+25569+9/24,""))</f>
        <v/>
      </c>
      <c r="G2498" s="58">
        <f>TRIM(SUBSTITUTE(SUBSTITUTE(SUBSTITUTE($A2498,CHAR(9)," ")," "," "),CHAR(13),""))</f>
        <v/>
      </c>
      <c r="H2498" s="58">
        <f>IF($G2498="","",IF(ISNUMBER(FIND(" ",$G2498)),$G2498,IFERROR(IF((LEN(SUBSTITUTE(SUBSTITUTE($G2498,"-"," ",LEN($G2498)-LEN(SUBSTITUTE($G2498,"-",""))),"-"," ",LEN($G2498)-LEN(SUBSTITUTE($G2498,"-",""))-1))-LEN(SUBSTITUTE(SUBSTITUTE(SUBSTITUTE($G2498,"-"," ",LEN($G2498)-LEN(SUBSTITUTE($G2498,"-",""))),"-"," ",LEN($G2498)-LEN(SUBSTITUTE($G2498,"-",""))-1),".","")))=0,SUBSTITUTE(SUBSTITUTE($G2498,"-"," ",LEN($G2498)-LEN(SUBSTITUTE($G2498,"-",""))),"-"," ",LEN($G2498)-LEN(SUBSTITUTE($G2498,"-",""))-1),SUBSTITUTE(SUBSTITUTE(SUBSTITUTE($G2498,"-"," ",LEN($G2498)-LEN(SUBSTITUTE($G2498,"-",""))),"-"," ",LEN($G2498)-LEN(SUBSTITUTE($G2498,"-",""))-1),"."," ",(LEN(SUBSTITUTE(SUBSTITUTE($G2498,"-"," ",LEN($G2498)-LEN(SUBSTITUTE($G2498,"-",""))),"-"," ",LEN($G2498)-LEN(SUBSTITUTE($G2498,"-",""))-1))-LEN(SUBSTITUTE(SUBSTITUTE(SUBSTITUTE($G2498,"-"," ",LEN($G2498)-LEN(SUBSTITUTE($G2498,"-",""))),"-"," ",LEN($G2498)-LEN(SUBSTITUTE($G2498,"-",""))-1),".",""))))),$G2498)))</f>
        <v/>
      </c>
    </row>
    <row r="2499">
      <c r="A2499" s="58" t="n"/>
      <c r="B2499" s="58">
        <f>IF($H2499="","",LEFT($H2499,FIND(" ",$H2499&amp;" ")-1))</f>
        <v/>
      </c>
      <c r="C2499" s="58">
        <f>IF($H2499="","",IFERROR(MID($H2499&amp;" ",FIND("|",SUBSTITUTE($H2499&amp;" "," ","|",1))+1,FIND("|",SUBSTITUTE($H2499&amp;" "," ","|",2))-FIND("|",SUBSTITUTE($H2499&amp;" "," ","|",1))-1),""))</f>
        <v/>
      </c>
      <c r="D2499" s="58">
        <f>IF($H2499="","",IFERROR(MID($H2499&amp;" ",FIND("|",SUBSTITUTE($H2499&amp;" "," ","|",2))+1,FIND("|",SUBSTITUTE($H2499&amp;" "," ","|",3))-FIND("|",SUBSTITUTE($H2499&amp;" "," ","|",2))-1),""))</f>
        <v/>
      </c>
      <c r="E2499" s="58">
        <f>IF($H2499="","",IFERROR(MID($H2499&amp;" ",FIND("|",SUBSTITUTE($H2499&amp;" "," ","|",3))+1,FIND("|",SUBSTITUTE($H2499&amp;" "," ","|",4))-FIND("|",SUBSTITUTE($H2499&amp;" "," ","|",3))-1),""))</f>
        <v/>
      </c>
      <c r="F2499" s="59">
        <f>IF($H2499="","",IFERROR(VALUE(IFERROR(MID($H2499&amp;" ",FIND("|",SUBSTITUTE($H2499&amp;" "," ","|",4))+1,FIND("|",SUBSTITUTE($H2499&amp;" "," ","|",5))-FIND("|",SUBSTITUTE($H2499&amp;" "," ","|",4))-1),""))/86400+25569+9/24,""))</f>
        <v/>
      </c>
      <c r="G2499" s="58">
        <f>TRIM(SUBSTITUTE(SUBSTITUTE(SUBSTITUTE($A2499,CHAR(9)," ")," "," "),CHAR(13),""))</f>
        <v/>
      </c>
      <c r="H2499" s="58">
        <f>IF($G2499="","",IF(ISNUMBER(FIND(" ",$G2499)),$G2499,IFERROR(IF((LEN(SUBSTITUTE(SUBSTITUTE($G2499,"-"," ",LEN($G2499)-LEN(SUBSTITUTE($G2499,"-",""))),"-"," ",LEN($G2499)-LEN(SUBSTITUTE($G2499,"-",""))-1))-LEN(SUBSTITUTE(SUBSTITUTE(SUBSTITUTE($G2499,"-"," ",LEN($G2499)-LEN(SUBSTITUTE($G2499,"-",""))),"-"," ",LEN($G2499)-LEN(SUBSTITUTE($G2499,"-",""))-1),".","")))=0,SUBSTITUTE(SUBSTITUTE($G2499,"-"," ",LEN($G2499)-LEN(SUBSTITUTE($G2499,"-",""))),"-"," ",LEN($G2499)-LEN(SUBSTITUTE($G2499,"-",""))-1),SUBSTITUTE(SUBSTITUTE(SUBSTITUTE($G2499,"-"," ",LEN($G2499)-LEN(SUBSTITUTE($G2499,"-",""))),"-"," ",LEN($G2499)-LEN(SUBSTITUTE($G2499,"-",""))-1),"."," ",(LEN(SUBSTITUTE(SUBSTITUTE($G2499,"-"," ",LEN($G2499)-LEN(SUBSTITUTE($G2499,"-",""))),"-"," ",LEN($G2499)-LEN(SUBSTITUTE($G2499,"-",""))-1))-LEN(SUBSTITUTE(SUBSTITUTE(SUBSTITUTE($G2499,"-"," ",LEN($G2499)-LEN(SUBSTITUTE($G2499,"-",""))),"-"," ",LEN($G2499)-LEN(SUBSTITUTE($G2499,"-",""))-1),".",""))))),$G2499)))</f>
        <v/>
      </c>
    </row>
    <row r="2500">
      <c r="A2500" s="58" t="n"/>
      <c r="B2500" s="58">
        <f>IF($H2500="","",LEFT($H2500,FIND(" ",$H2500&amp;" ")-1))</f>
        <v/>
      </c>
      <c r="C2500" s="58">
        <f>IF($H2500="","",IFERROR(MID($H2500&amp;" ",FIND("|",SUBSTITUTE($H2500&amp;" "," ","|",1))+1,FIND("|",SUBSTITUTE($H2500&amp;" "," ","|",2))-FIND("|",SUBSTITUTE($H2500&amp;" "," ","|",1))-1),""))</f>
        <v/>
      </c>
      <c r="D2500" s="58">
        <f>IF($H2500="","",IFERROR(MID($H2500&amp;" ",FIND("|",SUBSTITUTE($H2500&amp;" "," ","|",2))+1,FIND("|",SUBSTITUTE($H2500&amp;" "," ","|",3))-FIND("|",SUBSTITUTE($H2500&amp;" "," ","|",2))-1),""))</f>
        <v/>
      </c>
      <c r="E2500" s="58">
        <f>IF($H2500="","",IFERROR(MID($H2500&amp;" ",FIND("|",SUBSTITUTE($H2500&amp;" "," ","|",3))+1,FIND("|",SUBSTITUTE($H2500&amp;" "," ","|",4))-FIND("|",SUBSTITUTE($H2500&amp;" "," ","|",3))-1),""))</f>
        <v/>
      </c>
      <c r="F2500" s="59">
        <f>IF($H2500="","",IFERROR(VALUE(IFERROR(MID($H2500&amp;" ",FIND("|",SUBSTITUTE($H2500&amp;" "," ","|",4))+1,FIND("|",SUBSTITUTE($H2500&amp;" "," ","|",5))-FIND("|",SUBSTITUTE($H2500&amp;" "," ","|",4))-1),""))/86400+25569+9/24,""))</f>
        <v/>
      </c>
      <c r="G2500" s="58">
        <f>TRIM(SUBSTITUTE(SUBSTITUTE(SUBSTITUTE($A2500,CHAR(9)," ")," "," "),CHAR(13),""))</f>
        <v/>
      </c>
      <c r="H2500" s="58">
        <f>IF($G2500="","",IF(ISNUMBER(FIND(" ",$G2500)),$G2500,IFERROR(IF((LEN(SUBSTITUTE(SUBSTITUTE($G2500,"-"," ",LEN($G2500)-LEN(SUBSTITUTE($G2500,"-",""))),"-"," ",LEN($G2500)-LEN(SUBSTITUTE($G2500,"-",""))-1))-LEN(SUBSTITUTE(SUBSTITUTE(SUBSTITUTE($G2500,"-"," ",LEN($G2500)-LEN(SUBSTITUTE($G2500,"-",""))),"-"," ",LEN($G2500)-LEN(SUBSTITUTE($G2500,"-",""))-1),".","")))=0,SUBSTITUTE(SUBSTITUTE($G2500,"-"," ",LEN($G2500)-LEN(SUBSTITUTE($G2500,"-",""))),"-"," ",LEN($G2500)-LEN(SUBSTITUTE($G2500,"-",""))-1),SUBSTITUTE(SUBSTITUTE(SUBSTITUTE($G2500,"-"," ",LEN($G2500)-LEN(SUBSTITUTE($G2500,"-",""))),"-"," ",LEN($G2500)-LEN(SUBSTITUTE($G2500,"-",""))-1),"."," ",(LEN(SUBSTITUTE(SUBSTITUTE($G2500,"-"," ",LEN($G2500)-LEN(SUBSTITUTE($G2500,"-",""))),"-"," ",LEN($G2500)-LEN(SUBSTITUTE($G2500,"-",""))-1))-LEN(SUBSTITUTE(SUBSTITUTE(SUBSTITUTE($G2500,"-"," ",LEN($G2500)-LEN(SUBSTITUTE($G2500,"-",""))),"-"," ",LEN($G2500)-LEN(SUBSTITUTE($G2500,"-",""))-1),".",""))))),$G2500)))</f>
        <v/>
      </c>
    </row>
    <row r="2501">
      <c r="A2501" s="58" t="n"/>
      <c r="B2501" s="58">
        <f>IF($H2501="","",LEFT($H2501,FIND(" ",$H2501&amp;" ")-1))</f>
        <v/>
      </c>
      <c r="C2501" s="58">
        <f>IF($H2501="","",IFERROR(MID($H2501&amp;" ",FIND("|",SUBSTITUTE($H2501&amp;" "," ","|",1))+1,FIND("|",SUBSTITUTE($H2501&amp;" "," ","|",2))-FIND("|",SUBSTITUTE($H2501&amp;" "," ","|",1))-1),""))</f>
        <v/>
      </c>
      <c r="D2501" s="58">
        <f>IF($H2501="","",IFERROR(MID($H2501&amp;" ",FIND("|",SUBSTITUTE($H2501&amp;" "," ","|",2))+1,FIND("|",SUBSTITUTE($H2501&amp;" "," ","|",3))-FIND("|",SUBSTITUTE($H2501&amp;" "," ","|",2))-1),""))</f>
        <v/>
      </c>
      <c r="E2501" s="58">
        <f>IF($H2501="","",IFERROR(MID($H2501&amp;" ",FIND("|",SUBSTITUTE($H2501&amp;" "," ","|",3))+1,FIND("|",SUBSTITUTE($H2501&amp;" "," ","|",4))-FIND("|",SUBSTITUTE($H2501&amp;" "," ","|",3))-1),""))</f>
        <v/>
      </c>
      <c r="F2501" s="59">
        <f>IF($H2501="","",IFERROR(VALUE(IFERROR(MID($H2501&amp;" ",FIND("|",SUBSTITUTE($H2501&amp;" "," ","|",4))+1,FIND("|",SUBSTITUTE($H2501&amp;" "," ","|",5))-FIND("|",SUBSTITUTE($H2501&amp;" "," ","|",4))-1),""))/86400+25569+9/24,""))</f>
        <v/>
      </c>
      <c r="G2501" s="58">
        <f>TRIM(SUBSTITUTE(SUBSTITUTE(SUBSTITUTE($A2501,CHAR(9)," ")," "," "),CHAR(13),""))</f>
        <v/>
      </c>
      <c r="H2501" s="58">
        <f>IF($G2501="","",IF(ISNUMBER(FIND(" ",$G2501)),$G2501,IFERROR(IF((LEN(SUBSTITUTE(SUBSTITUTE($G2501,"-"," ",LEN($G2501)-LEN(SUBSTITUTE($G2501,"-",""))),"-"," ",LEN($G2501)-LEN(SUBSTITUTE($G2501,"-",""))-1))-LEN(SUBSTITUTE(SUBSTITUTE(SUBSTITUTE($G2501,"-"," ",LEN($G2501)-LEN(SUBSTITUTE($G2501,"-",""))),"-"," ",LEN($G2501)-LEN(SUBSTITUTE($G2501,"-",""))-1),".","")))=0,SUBSTITUTE(SUBSTITUTE($G2501,"-"," ",LEN($G2501)-LEN(SUBSTITUTE($G2501,"-",""))),"-"," ",LEN($G2501)-LEN(SUBSTITUTE($G2501,"-",""))-1),SUBSTITUTE(SUBSTITUTE(SUBSTITUTE($G2501,"-"," ",LEN($G2501)-LEN(SUBSTITUTE($G2501,"-",""))),"-"," ",LEN($G2501)-LEN(SUBSTITUTE($G2501,"-",""))-1),"."," ",(LEN(SUBSTITUTE(SUBSTITUTE($G2501,"-"," ",LEN($G2501)-LEN(SUBSTITUTE($G2501,"-",""))),"-"," ",LEN($G2501)-LEN(SUBSTITUTE($G2501,"-",""))-1))-LEN(SUBSTITUTE(SUBSTITUTE(SUBSTITUTE($G2501,"-"," ",LEN($G2501)-LEN(SUBSTITUTE($G2501,"-",""))),"-"," ",LEN($G2501)-LEN(SUBSTITUTE($G2501,"-",""))-1),".",""))))),$G2501)))</f>
        <v/>
      </c>
    </row>
    <row r="2502">
      <c r="A2502" s="58" t="n"/>
      <c r="B2502" s="58">
        <f>IF($H2502="","",LEFT($H2502,FIND(" ",$H2502&amp;" ")-1))</f>
        <v/>
      </c>
      <c r="C2502" s="58">
        <f>IF($H2502="","",IFERROR(MID($H2502&amp;" ",FIND("|",SUBSTITUTE($H2502&amp;" "," ","|",1))+1,FIND("|",SUBSTITUTE($H2502&amp;" "," ","|",2))-FIND("|",SUBSTITUTE($H2502&amp;" "," ","|",1))-1),""))</f>
        <v/>
      </c>
      <c r="D2502" s="58">
        <f>IF($H2502="","",IFERROR(MID($H2502&amp;" ",FIND("|",SUBSTITUTE($H2502&amp;" "," ","|",2))+1,FIND("|",SUBSTITUTE($H2502&amp;" "," ","|",3))-FIND("|",SUBSTITUTE($H2502&amp;" "," ","|",2))-1),""))</f>
        <v/>
      </c>
      <c r="E2502" s="58">
        <f>IF($H2502="","",IFERROR(MID($H2502&amp;" ",FIND("|",SUBSTITUTE($H2502&amp;" "," ","|",3))+1,FIND("|",SUBSTITUTE($H2502&amp;" "," ","|",4))-FIND("|",SUBSTITUTE($H2502&amp;" "," ","|",3))-1),""))</f>
        <v/>
      </c>
      <c r="F2502" s="59">
        <f>IF($H2502="","",IFERROR(VALUE(IFERROR(MID($H2502&amp;" ",FIND("|",SUBSTITUTE($H2502&amp;" "," ","|",4))+1,FIND("|",SUBSTITUTE($H2502&amp;" "," ","|",5))-FIND("|",SUBSTITUTE($H2502&amp;" "," ","|",4))-1),""))/86400+25569+9/24,""))</f>
        <v/>
      </c>
      <c r="G2502" s="58">
        <f>TRIM(SUBSTITUTE(SUBSTITUTE(SUBSTITUTE($A2502,CHAR(9)," ")," "," "),CHAR(13),""))</f>
        <v/>
      </c>
      <c r="H2502" s="58">
        <f>IF($G2502="","",IF(ISNUMBER(FIND(" ",$G2502)),$G2502,IFERROR(IF((LEN(SUBSTITUTE(SUBSTITUTE($G2502,"-"," ",LEN($G2502)-LEN(SUBSTITUTE($G2502,"-",""))),"-"," ",LEN($G2502)-LEN(SUBSTITUTE($G2502,"-",""))-1))-LEN(SUBSTITUTE(SUBSTITUTE(SUBSTITUTE($G2502,"-"," ",LEN($G2502)-LEN(SUBSTITUTE($G2502,"-",""))),"-"," ",LEN($G2502)-LEN(SUBSTITUTE($G2502,"-",""))-1),".","")))=0,SUBSTITUTE(SUBSTITUTE($G2502,"-"," ",LEN($G2502)-LEN(SUBSTITUTE($G2502,"-",""))),"-"," ",LEN($G2502)-LEN(SUBSTITUTE($G2502,"-",""))-1),SUBSTITUTE(SUBSTITUTE(SUBSTITUTE($G2502,"-"," ",LEN($G2502)-LEN(SUBSTITUTE($G2502,"-",""))),"-"," ",LEN($G2502)-LEN(SUBSTITUTE($G2502,"-",""))-1),"."," ",(LEN(SUBSTITUTE(SUBSTITUTE($G2502,"-"," ",LEN($G2502)-LEN(SUBSTITUTE($G2502,"-",""))),"-"," ",LEN($G2502)-LEN(SUBSTITUTE($G2502,"-",""))-1))-LEN(SUBSTITUTE(SUBSTITUTE(SUBSTITUTE($G2502,"-"," ",LEN($G2502)-LEN(SUBSTITUTE($G2502,"-",""))),"-"," ",LEN($G2502)-LEN(SUBSTITUTE($G2502,"-",""))-1),".",""))))),$G2502)))</f>
        <v/>
      </c>
    </row>
    <row r="2503">
      <c r="A2503" s="58" t="n"/>
      <c r="B2503" s="58">
        <f>IF($H2503="","",LEFT($H2503,FIND(" ",$H2503&amp;" ")-1))</f>
        <v/>
      </c>
      <c r="C2503" s="58">
        <f>IF($H2503="","",IFERROR(MID($H2503&amp;" ",FIND("|",SUBSTITUTE($H2503&amp;" "," ","|",1))+1,FIND("|",SUBSTITUTE($H2503&amp;" "," ","|",2))-FIND("|",SUBSTITUTE($H2503&amp;" "," ","|",1))-1),""))</f>
        <v/>
      </c>
      <c r="D2503" s="58">
        <f>IF($H2503="","",IFERROR(MID($H2503&amp;" ",FIND("|",SUBSTITUTE($H2503&amp;" "," ","|",2))+1,FIND("|",SUBSTITUTE($H2503&amp;" "," ","|",3))-FIND("|",SUBSTITUTE($H2503&amp;" "," ","|",2))-1),""))</f>
        <v/>
      </c>
      <c r="E2503" s="58">
        <f>IF($H2503="","",IFERROR(MID($H2503&amp;" ",FIND("|",SUBSTITUTE($H2503&amp;" "," ","|",3))+1,FIND("|",SUBSTITUTE($H2503&amp;" "," ","|",4))-FIND("|",SUBSTITUTE($H2503&amp;" "," ","|",3))-1),""))</f>
        <v/>
      </c>
      <c r="F2503" s="59">
        <f>IF($H2503="","",IFERROR(VALUE(IFERROR(MID($H2503&amp;" ",FIND("|",SUBSTITUTE($H2503&amp;" "," ","|",4))+1,FIND("|",SUBSTITUTE($H2503&amp;" "," ","|",5))-FIND("|",SUBSTITUTE($H2503&amp;" "," ","|",4))-1),""))/86400+25569+9/24,""))</f>
        <v/>
      </c>
      <c r="G2503" s="58">
        <f>TRIM(SUBSTITUTE(SUBSTITUTE(SUBSTITUTE($A2503,CHAR(9)," ")," "," "),CHAR(13),""))</f>
        <v/>
      </c>
      <c r="H2503" s="58">
        <f>IF($G2503="","",IF(ISNUMBER(FIND(" ",$G2503)),$G2503,IFERROR(IF((LEN(SUBSTITUTE(SUBSTITUTE($G2503,"-"," ",LEN($G2503)-LEN(SUBSTITUTE($G2503,"-",""))),"-"," ",LEN($G2503)-LEN(SUBSTITUTE($G2503,"-",""))-1))-LEN(SUBSTITUTE(SUBSTITUTE(SUBSTITUTE($G2503,"-"," ",LEN($G2503)-LEN(SUBSTITUTE($G2503,"-",""))),"-"," ",LEN($G2503)-LEN(SUBSTITUTE($G2503,"-",""))-1),".","")))=0,SUBSTITUTE(SUBSTITUTE($G2503,"-"," ",LEN($G2503)-LEN(SUBSTITUTE($G2503,"-",""))),"-"," ",LEN($G2503)-LEN(SUBSTITUTE($G2503,"-",""))-1),SUBSTITUTE(SUBSTITUTE(SUBSTITUTE($G2503,"-"," ",LEN($G2503)-LEN(SUBSTITUTE($G2503,"-",""))),"-"," ",LEN($G2503)-LEN(SUBSTITUTE($G2503,"-",""))-1),"."," ",(LEN(SUBSTITUTE(SUBSTITUTE($G2503,"-"," ",LEN($G2503)-LEN(SUBSTITUTE($G2503,"-",""))),"-"," ",LEN($G2503)-LEN(SUBSTITUTE($G2503,"-",""))-1))-LEN(SUBSTITUTE(SUBSTITUTE(SUBSTITUTE($G2503,"-"," ",LEN($G2503)-LEN(SUBSTITUTE($G2503,"-",""))),"-"," ",LEN($G2503)-LEN(SUBSTITUTE($G2503,"-",""))-1),".",""))))),$G2503)))</f>
        <v/>
      </c>
    </row>
    <row r="2504">
      <c r="A2504" s="58" t="n"/>
      <c r="B2504" s="58">
        <f>IF($H2504="","",LEFT($H2504,FIND(" ",$H2504&amp;" ")-1))</f>
        <v/>
      </c>
      <c r="C2504" s="58">
        <f>IF($H2504="","",IFERROR(MID($H2504&amp;" ",FIND("|",SUBSTITUTE($H2504&amp;" "," ","|",1))+1,FIND("|",SUBSTITUTE($H2504&amp;" "," ","|",2))-FIND("|",SUBSTITUTE($H2504&amp;" "," ","|",1))-1),""))</f>
        <v/>
      </c>
      <c r="D2504" s="58">
        <f>IF($H2504="","",IFERROR(MID($H2504&amp;" ",FIND("|",SUBSTITUTE($H2504&amp;" "," ","|",2))+1,FIND("|",SUBSTITUTE($H2504&amp;" "," ","|",3))-FIND("|",SUBSTITUTE($H2504&amp;" "," ","|",2))-1),""))</f>
        <v/>
      </c>
      <c r="E2504" s="58">
        <f>IF($H2504="","",IFERROR(MID($H2504&amp;" ",FIND("|",SUBSTITUTE($H2504&amp;" "," ","|",3))+1,FIND("|",SUBSTITUTE($H2504&amp;" "," ","|",4))-FIND("|",SUBSTITUTE($H2504&amp;" "," ","|",3))-1),""))</f>
        <v/>
      </c>
      <c r="F2504" s="59">
        <f>IF($H2504="","",IFERROR(VALUE(IFERROR(MID($H2504&amp;" ",FIND("|",SUBSTITUTE($H2504&amp;" "," ","|",4))+1,FIND("|",SUBSTITUTE($H2504&amp;" "," ","|",5))-FIND("|",SUBSTITUTE($H2504&amp;" "," ","|",4))-1),""))/86400+25569+9/24,""))</f>
        <v/>
      </c>
      <c r="G2504" s="58">
        <f>TRIM(SUBSTITUTE(SUBSTITUTE(SUBSTITUTE($A2504,CHAR(9)," ")," "," "),CHAR(13),""))</f>
        <v/>
      </c>
      <c r="H2504" s="58">
        <f>IF($G2504="","",IF(ISNUMBER(FIND(" ",$G2504)),$G2504,IFERROR(IF((LEN(SUBSTITUTE(SUBSTITUTE($G2504,"-"," ",LEN($G2504)-LEN(SUBSTITUTE($G2504,"-",""))),"-"," ",LEN($G2504)-LEN(SUBSTITUTE($G2504,"-",""))-1))-LEN(SUBSTITUTE(SUBSTITUTE(SUBSTITUTE($G2504,"-"," ",LEN($G2504)-LEN(SUBSTITUTE($G2504,"-",""))),"-"," ",LEN($G2504)-LEN(SUBSTITUTE($G2504,"-",""))-1),".","")))=0,SUBSTITUTE(SUBSTITUTE($G2504,"-"," ",LEN($G2504)-LEN(SUBSTITUTE($G2504,"-",""))),"-"," ",LEN($G2504)-LEN(SUBSTITUTE($G2504,"-",""))-1),SUBSTITUTE(SUBSTITUTE(SUBSTITUTE($G2504,"-"," ",LEN($G2504)-LEN(SUBSTITUTE($G2504,"-",""))),"-"," ",LEN($G2504)-LEN(SUBSTITUTE($G2504,"-",""))-1),"."," ",(LEN(SUBSTITUTE(SUBSTITUTE($G2504,"-"," ",LEN($G2504)-LEN(SUBSTITUTE($G2504,"-",""))),"-"," ",LEN($G2504)-LEN(SUBSTITUTE($G2504,"-",""))-1))-LEN(SUBSTITUTE(SUBSTITUTE(SUBSTITUTE($G2504,"-"," ",LEN($G2504)-LEN(SUBSTITUTE($G2504,"-",""))),"-"," ",LEN($G2504)-LEN(SUBSTITUTE($G2504,"-",""))-1),".",""))))),$G2504)))</f>
        <v/>
      </c>
    </row>
    <row r="2505">
      <c r="A2505" s="58" t="n"/>
      <c r="B2505" s="58">
        <f>IF($H2505="","",LEFT($H2505,FIND(" ",$H2505&amp;" ")-1))</f>
        <v/>
      </c>
      <c r="C2505" s="58">
        <f>IF($H2505="","",IFERROR(MID($H2505&amp;" ",FIND("|",SUBSTITUTE($H2505&amp;" "," ","|",1))+1,FIND("|",SUBSTITUTE($H2505&amp;" "," ","|",2))-FIND("|",SUBSTITUTE($H2505&amp;" "," ","|",1))-1),""))</f>
        <v/>
      </c>
      <c r="D2505" s="58">
        <f>IF($H2505="","",IFERROR(MID($H2505&amp;" ",FIND("|",SUBSTITUTE($H2505&amp;" "," ","|",2))+1,FIND("|",SUBSTITUTE($H2505&amp;" "," ","|",3))-FIND("|",SUBSTITUTE($H2505&amp;" "," ","|",2))-1),""))</f>
        <v/>
      </c>
      <c r="E2505" s="58">
        <f>IF($H2505="","",IFERROR(MID($H2505&amp;" ",FIND("|",SUBSTITUTE($H2505&amp;" "," ","|",3))+1,FIND("|",SUBSTITUTE($H2505&amp;" "," ","|",4))-FIND("|",SUBSTITUTE($H2505&amp;" "," ","|",3))-1),""))</f>
        <v/>
      </c>
      <c r="F2505" s="59">
        <f>IF($H2505="","",IFERROR(VALUE(IFERROR(MID($H2505&amp;" ",FIND("|",SUBSTITUTE($H2505&amp;" "," ","|",4))+1,FIND("|",SUBSTITUTE($H2505&amp;" "," ","|",5))-FIND("|",SUBSTITUTE($H2505&amp;" "," ","|",4))-1),""))/86400+25569+9/24,""))</f>
        <v/>
      </c>
      <c r="G2505" s="58">
        <f>TRIM(SUBSTITUTE(SUBSTITUTE(SUBSTITUTE($A2505,CHAR(9)," ")," "," "),CHAR(13),""))</f>
        <v/>
      </c>
      <c r="H2505" s="58">
        <f>IF($G2505="","",IF(ISNUMBER(FIND(" ",$G2505)),$G2505,IFERROR(IF((LEN(SUBSTITUTE(SUBSTITUTE($G2505,"-"," ",LEN($G2505)-LEN(SUBSTITUTE($G2505,"-",""))),"-"," ",LEN($G2505)-LEN(SUBSTITUTE($G2505,"-",""))-1))-LEN(SUBSTITUTE(SUBSTITUTE(SUBSTITUTE($G2505,"-"," ",LEN($G2505)-LEN(SUBSTITUTE($G2505,"-",""))),"-"," ",LEN($G2505)-LEN(SUBSTITUTE($G2505,"-",""))-1),".","")))=0,SUBSTITUTE(SUBSTITUTE($G2505,"-"," ",LEN($G2505)-LEN(SUBSTITUTE($G2505,"-",""))),"-"," ",LEN($G2505)-LEN(SUBSTITUTE($G2505,"-",""))-1),SUBSTITUTE(SUBSTITUTE(SUBSTITUTE($G2505,"-"," ",LEN($G2505)-LEN(SUBSTITUTE($G2505,"-",""))),"-"," ",LEN($G2505)-LEN(SUBSTITUTE($G2505,"-",""))-1),"."," ",(LEN(SUBSTITUTE(SUBSTITUTE($G2505,"-"," ",LEN($G2505)-LEN(SUBSTITUTE($G2505,"-",""))),"-"," ",LEN($G2505)-LEN(SUBSTITUTE($G2505,"-",""))-1))-LEN(SUBSTITUTE(SUBSTITUTE(SUBSTITUTE($G2505,"-"," ",LEN($G2505)-LEN(SUBSTITUTE($G2505,"-",""))),"-"," ",LEN($G2505)-LEN(SUBSTITUTE($G2505,"-",""))-1),".",""))))),$G2505)))</f>
        <v/>
      </c>
    </row>
    <row r="2506">
      <c r="A2506" s="58" t="n"/>
      <c r="B2506" s="58">
        <f>IF($H2506="","",LEFT($H2506,FIND(" ",$H2506&amp;" ")-1))</f>
        <v/>
      </c>
      <c r="C2506" s="58">
        <f>IF($H2506="","",IFERROR(MID($H2506&amp;" ",FIND("|",SUBSTITUTE($H2506&amp;" "," ","|",1))+1,FIND("|",SUBSTITUTE($H2506&amp;" "," ","|",2))-FIND("|",SUBSTITUTE($H2506&amp;" "," ","|",1))-1),""))</f>
        <v/>
      </c>
      <c r="D2506" s="58">
        <f>IF($H2506="","",IFERROR(MID($H2506&amp;" ",FIND("|",SUBSTITUTE($H2506&amp;" "," ","|",2))+1,FIND("|",SUBSTITUTE($H2506&amp;" "," ","|",3))-FIND("|",SUBSTITUTE($H2506&amp;" "," ","|",2))-1),""))</f>
        <v/>
      </c>
      <c r="E2506" s="58">
        <f>IF($H2506="","",IFERROR(MID($H2506&amp;" ",FIND("|",SUBSTITUTE($H2506&amp;" "," ","|",3))+1,FIND("|",SUBSTITUTE($H2506&amp;" "," ","|",4))-FIND("|",SUBSTITUTE($H2506&amp;" "," ","|",3))-1),""))</f>
        <v/>
      </c>
      <c r="F2506" s="59">
        <f>IF($H2506="","",IFERROR(VALUE(IFERROR(MID($H2506&amp;" ",FIND("|",SUBSTITUTE($H2506&amp;" "," ","|",4))+1,FIND("|",SUBSTITUTE($H2506&amp;" "," ","|",5))-FIND("|",SUBSTITUTE($H2506&amp;" "," ","|",4))-1),""))/86400+25569+9/24,""))</f>
        <v/>
      </c>
      <c r="G2506" s="58">
        <f>TRIM(SUBSTITUTE(SUBSTITUTE(SUBSTITUTE($A2506,CHAR(9)," ")," "," "),CHAR(13),""))</f>
        <v/>
      </c>
      <c r="H2506" s="58">
        <f>IF($G2506="","",IF(ISNUMBER(FIND(" ",$G2506)),$G2506,IFERROR(IF((LEN(SUBSTITUTE(SUBSTITUTE($G2506,"-"," ",LEN($G2506)-LEN(SUBSTITUTE($G2506,"-",""))),"-"," ",LEN($G2506)-LEN(SUBSTITUTE($G2506,"-",""))-1))-LEN(SUBSTITUTE(SUBSTITUTE(SUBSTITUTE($G2506,"-"," ",LEN($G2506)-LEN(SUBSTITUTE($G2506,"-",""))),"-"," ",LEN($G2506)-LEN(SUBSTITUTE($G2506,"-",""))-1),".","")))=0,SUBSTITUTE(SUBSTITUTE($G2506,"-"," ",LEN($G2506)-LEN(SUBSTITUTE($G2506,"-",""))),"-"," ",LEN($G2506)-LEN(SUBSTITUTE($G2506,"-",""))-1),SUBSTITUTE(SUBSTITUTE(SUBSTITUTE($G2506,"-"," ",LEN($G2506)-LEN(SUBSTITUTE($G2506,"-",""))),"-"," ",LEN($G2506)-LEN(SUBSTITUTE($G2506,"-",""))-1),"."," ",(LEN(SUBSTITUTE(SUBSTITUTE($G2506,"-"," ",LEN($G2506)-LEN(SUBSTITUTE($G2506,"-",""))),"-"," ",LEN($G2506)-LEN(SUBSTITUTE($G2506,"-",""))-1))-LEN(SUBSTITUTE(SUBSTITUTE(SUBSTITUTE($G2506,"-"," ",LEN($G2506)-LEN(SUBSTITUTE($G2506,"-",""))),"-"," ",LEN($G2506)-LEN(SUBSTITUTE($G2506,"-",""))-1),".",""))))),$G2506)))</f>
        <v/>
      </c>
    </row>
    <row r="2507">
      <c r="A2507" s="58" t="n"/>
      <c r="B2507" s="58">
        <f>IF($H2507="","",LEFT($H2507,FIND(" ",$H2507&amp;" ")-1))</f>
        <v/>
      </c>
      <c r="C2507" s="58">
        <f>IF($H2507="","",IFERROR(MID($H2507&amp;" ",FIND("|",SUBSTITUTE($H2507&amp;" "," ","|",1))+1,FIND("|",SUBSTITUTE($H2507&amp;" "," ","|",2))-FIND("|",SUBSTITUTE($H2507&amp;" "," ","|",1))-1),""))</f>
        <v/>
      </c>
      <c r="D2507" s="58">
        <f>IF($H2507="","",IFERROR(MID($H2507&amp;" ",FIND("|",SUBSTITUTE($H2507&amp;" "," ","|",2))+1,FIND("|",SUBSTITUTE($H2507&amp;" "," ","|",3))-FIND("|",SUBSTITUTE($H2507&amp;" "," ","|",2))-1),""))</f>
        <v/>
      </c>
      <c r="E2507" s="58">
        <f>IF($H2507="","",IFERROR(MID($H2507&amp;" ",FIND("|",SUBSTITUTE($H2507&amp;" "," ","|",3))+1,FIND("|",SUBSTITUTE($H2507&amp;" "," ","|",4))-FIND("|",SUBSTITUTE($H2507&amp;" "," ","|",3))-1),""))</f>
        <v/>
      </c>
      <c r="F2507" s="59">
        <f>IF($H2507="","",IFERROR(VALUE(IFERROR(MID($H2507&amp;" ",FIND("|",SUBSTITUTE($H2507&amp;" "," ","|",4))+1,FIND("|",SUBSTITUTE($H2507&amp;" "," ","|",5))-FIND("|",SUBSTITUTE($H2507&amp;" "," ","|",4))-1),""))/86400+25569+9/24,""))</f>
        <v/>
      </c>
      <c r="G2507" s="58">
        <f>TRIM(SUBSTITUTE(SUBSTITUTE(SUBSTITUTE($A2507,CHAR(9)," ")," "," "),CHAR(13),""))</f>
        <v/>
      </c>
      <c r="H2507" s="58">
        <f>IF($G2507="","",IF(ISNUMBER(FIND(" ",$G2507)),$G2507,IFERROR(IF((LEN(SUBSTITUTE(SUBSTITUTE($G2507,"-"," ",LEN($G2507)-LEN(SUBSTITUTE($G2507,"-",""))),"-"," ",LEN($G2507)-LEN(SUBSTITUTE($G2507,"-",""))-1))-LEN(SUBSTITUTE(SUBSTITUTE(SUBSTITUTE($G2507,"-"," ",LEN($G2507)-LEN(SUBSTITUTE($G2507,"-",""))),"-"," ",LEN($G2507)-LEN(SUBSTITUTE($G2507,"-",""))-1),".","")))=0,SUBSTITUTE(SUBSTITUTE($G2507,"-"," ",LEN($G2507)-LEN(SUBSTITUTE($G2507,"-",""))),"-"," ",LEN($G2507)-LEN(SUBSTITUTE($G2507,"-",""))-1),SUBSTITUTE(SUBSTITUTE(SUBSTITUTE($G2507,"-"," ",LEN($G2507)-LEN(SUBSTITUTE($G2507,"-",""))),"-"," ",LEN($G2507)-LEN(SUBSTITUTE($G2507,"-",""))-1),"."," ",(LEN(SUBSTITUTE(SUBSTITUTE($G2507,"-"," ",LEN($G2507)-LEN(SUBSTITUTE($G2507,"-",""))),"-"," ",LEN($G2507)-LEN(SUBSTITUTE($G2507,"-",""))-1))-LEN(SUBSTITUTE(SUBSTITUTE(SUBSTITUTE($G2507,"-"," ",LEN($G2507)-LEN(SUBSTITUTE($G2507,"-",""))),"-"," ",LEN($G2507)-LEN(SUBSTITUTE($G2507,"-",""))-1),".",""))))),$G2507)))</f>
        <v/>
      </c>
    </row>
    <row r="2508">
      <c r="A2508" s="58" t="n"/>
      <c r="B2508" s="58">
        <f>IF($H2508="","",LEFT($H2508,FIND(" ",$H2508&amp;" ")-1))</f>
        <v/>
      </c>
      <c r="C2508" s="58">
        <f>IF($H2508="","",IFERROR(MID($H2508&amp;" ",FIND("|",SUBSTITUTE($H2508&amp;" "," ","|",1))+1,FIND("|",SUBSTITUTE($H2508&amp;" "," ","|",2))-FIND("|",SUBSTITUTE($H2508&amp;" "," ","|",1))-1),""))</f>
        <v/>
      </c>
      <c r="D2508" s="58">
        <f>IF($H2508="","",IFERROR(MID($H2508&amp;" ",FIND("|",SUBSTITUTE($H2508&amp;" "," ","|",2))+1,FIND("|",SUBSTITUTE($H2508&amp;" "," ","|",3))-FIND("|",SUBSTITUTE($H2508&amp;" "," ","|",2))-1),""))</f>
        <v/>
      </c>
      <c r="E2508" s="58">
        <f>IF($H2508="","",IFERROR(MID($H2508&amp;" ",FIND("|",SUBSTITUTE($H2508&amp;" "," ","|",3))+1,FIND("|",SUBSTITUTE($H2508&amp;" "," ","|",4))-FIND("|",SUBSTITUTE($H2508&amp;" "," ","|",3))-1),""))</f>
        <v/>
      </c>
      <c r="F2508" s="59">
        <f>IF($H2508="","",IFERROR(VALUE(IFERROR(MID($H2508&amp;" ",FIND("|",SUBSTITUTE($H2508&amp;" "," ","|",4))+1,FIND("|",SUBSTITUTE($H2508&amp;" "," ","|",5))-FIND("|",SUBSTITUTE($H2508&amp;" "," ","|",4))-1),""))/86400+25569+9/24,""))</f>
        <v/>
      </c>
      <c r="G2508" s="58">
        <f>TRIM(SUBSTITUTE(SUBSTITUTE(SUBSTITUTE($A2508,CHAR(9)," ")," "," "),CHAR(13),""))</f>
        <v/>
      </c>
      <c r="H2508" s="58">
        <f>IF($G2508="","",IF(ISNUMBER(FIND(" ",$G2508)),$G2508,IFERROR(IF((LEN(SUBSTITUTE(SUBSTITUTE($G2508,"-"," ",LEN($G2508)-LEN(SUBSTITUTE($G2508,"-",""))),"-"," ",LEN($G2508)-LEN(SUBSTITUTE($G2508,"-",""))-1))-LEN(SUBSTITUTE(SUBSTITUTE(SUBSTITUTE($G2508,"-"," ",LEN($G2508)-LEN(SUBSTITUTE($G2508,"-",""))),"-"," ",LEN($G2508)-LEN(SUBSTITUTE($G2508,"-",""))-1),".","")))=0,SUBSTITUTE(SUBSTITUTE($G2508,"-"," ",LEN($G2508)-LEN(SUBSTITUTE($G2508,"-",""))),"-"," ",LEN($G2508)-LEN(SUBSTITUTE($G2508,"-",""))-1),SUBSTITUTE(SUBSTITUTE(SUBSTITUTE($G2508,"-"," ",LEN($G2508)-LEN(SUBSTITUTE($G2508,"-",""))),"-"," ",LEN($G2508)-LEN(SUBSTITUTE($G2508,"-",""))-1),"."," ",(LEN(SUBSTITUTE(SUBSTITUTE($G2508,"-"," ",LEN($G2508)-LEN(SUBSTITUTE($G2508,"-",""))),"-"," ",LEN($G2508)-LEN(SUBSTITUTE($G2508,"-",""))-1))-LEN(SUBSTITUTE(SUBSTITUTE(SUBSTITUTE($G2508,"-"," ",LEN($G2508)-LEN(SUBSTITUTE($G2508,"-",""))),"-"," ",LEN($G2508)-LEN(SUBSTITUTE($G2508,"-",""))-1),".",""))))),$G2508)))</f>
        <v/>
      </c>
    </row>
    <row r="2509">
      <c r="A2509" s="58" t="n"/>
      <c r="B2509" s="58">
        <f>IF($H2509="","",LEFT($H2509,FIND(" ",$H2509&amp;" ")-1))</f>
        <v/>
      </c>
      <c r="C2509" s="58">
        <f>IF($H2509="","",IFERROR(MID($H2509&amp;" ",FIND("|",SUBSTITUTE($H2509&amp;" "," ","|",1))+1,FIND("|",SUBSTITUTE($H2509&amp;" "," ","|",2))-FIND("|",SUBSTITUTE($H2509&amp;" "," ","|",1))-1),""))</f>
        <v/>
      </c>
      <c r="D2509" s="58">
        <f>IF($H2509="","",IFERROR(MID($H2509&amp;" ",FIND("|",SUBSTITUTE($H2509&amp;" "," ","|",2))+1,FIND("|",SUBSTITUTE($H2509&amp;" "," ","|",3))-FIND("|",SUBSTITUTE($H2509&amp;" "," ","|",2))-1),""))</f>
        <v/>
      </c>
      <c r="E2509" s="58">
        <f>IF($H2509="","",IFERROR(MID($H2509&amp;" ",FIND("|",SUBSTITUTE($H2509&amp;" "," ","|",3))+1,FIND("|",SUBSTITUTE($H2509&amp;" "," ","|",4))-FIND("|",SUBSTITUTE($H2509&amp;" "," ","|",3))-1),""))</f>
        <v/>
      </c>
      <c r="F2509" s="59">
        <f>IF($H2509="","",IFERROR(VALUE(IFERROR(MID($H2509&amp;" ",FIND("|",SUBSTITUTE($H2509&amp;" "," ","|",4))+1,FIND("|",SUBSTITUTE($H2509&amp;" "," ","|",5))-FIND("|",SUBSTITUTE($H2509&amp;" "," ","|",4))-1),""))/86400+25569+9/24,""))</f>
        <v/>
      </c>
      <c r="G2509" s="58">
        <f>TRIM(SUBSTITUTE(SUBSTITUTE(SUBSTITUTE($A2509,CHAR(9)," ")," "," "),CHAR(13),""))</f>
        <v/>
      </c>
      <c r="H2509" s="58">
        <f>IF($G2509="","",IF(ISNUMBER(FIND(" ",$G2509)),$G2509,IFERROR(IF((LEN(SUBSTITUTE(SUBSTITUTE($G2509,"-"," ",LEN($G2509)-LEN(SUBSTITUTE($G2509,"-",""))),"-"," ",LEN($G2509)-LEN(SUBSTITUTE($G2509,"-",""))-1))-LEN(SUBSTITUTE(SUBSTITUTE(SUBSTITUTE($G2509,"-"," ",LEN($G2509)-LEN(SUBSTITUTE($G2509,"-",""))),"-"," ",LEN($G2509)-LEN(SUBSTITUTE($G2509,"-",""))-1),".","")))=0,SUBSTITUTE(SUBSTITUTE($G2509,"-"," ",LEN($G2509)-LEN(SUBSTITUTE($G2509,"-",""))),"-"," ",LEN($G2509)-LEN(SUBSTITUTE($G2509,"-",""))-1),SUBSTITUTE(SUBSTITUTE(SUBSTITUTE($G2509,"-"," ",LEN($G2509)-LEN(SUBSTITUTE($G2509,"-",""))),"-"," ",LEN($G2509)-LEN(SUBSTITUTE($G2509,"-",""))-1),"."," ",(LEN(SUBSTITUTE(SUBSTITUTE($G2509,"-"," ",LEN($G2509)-LEN(SUBSTITUTE($G2509,"-",""))),"-"," ",LEN($G2509)-LEN(SUBSTITUTE($G2509,"-",""))-1))-LEN(SUBSTITUTE(SUBSTITUTE(SUBSTITUTE($G2509,"-"," ",LEN($G2509)-LEN(SUBSTITUTE($G2509,"-",""))),"-"," ",LEN($G2509)-LEN(SUBSTITUTE($G2509,"-",""))-1),".",""))))),$G2509)))</f>
        <v/>
      </c>
    </row>
    <row r="2510">
      <c r="A2510" s="58" t="n"/>
      <c r="B2510" s="58">
        <f>IF($H2510="","",LEFT($H2510,FIND(" ",$H2510&amp;" ")-1))</f>
        <v/>
      </c>
      <c r="C2510" s="58">
        <f>IF($H2510="","",IFERROR(MID($H2510&amp;" ",FIND("|",SUBSTITUTE($H2510&amp;" "," ","|",1))+1,FIND("|",SUBSTITUTE($H2510&amp;" "," ","|",2))-FIND("|",SUBSTITUTE($H2510&amp;" "," ","|",1))-1),""))</f>
        <v/>
      </c>
      <c r="D2510" s="58">
        <f>IF($H2510="","",IFERROR(MID($H2510&amp;" ",FIND("|",SUBSTITUTE($H2510&amp;" "," ","|",2))+1,FIND("|",SUBSTITUTE($H2510&amp;" "," ","|",3))-FIND("|",SUBSTITUTE($H2510&amp;" "," ","|",2))-1),""))</f>
        <v/>
      </c>
      <c r="E2510" s="58">
        <f>IF($H2510="","",IFERROR(MID($H2510&amp;" ",FIND("|",SUBSTITUTE($H2510&amp;" "," ","|",3))+1,FIND("|",SUBSTITUTE($H2510&amp;" "," ","|",4))-FIND("|",SUBSTITUTE($H2510&amp;" "," ","|",3))-1),""))</f>
        <v/>
      </c>
      <c r="F2510" s="59">
        <f>IF($H2510="","",IFERROR(VALUE(IFERROR(MID($H2510&amp;" ",FIND("|",SUBSTITUTE($H2510&amp;" "," ","|",4))+1,FIND("|",SUBSTITUTE($H2510&amp;" "," ","|",5))-FIND("|",SUBSTITUTE($H2510&amp;" "," ","|",4))-1),""))/86400+25569+9/24,""))</f>
        <v/>
      </c>
      <c r="G2510" s="58">
        <f>TRIM(SUBSTITUTE(SUBSTITUTE(SUBSTITUTE($A2510,CHAR(9)," ")," "," "),CHAR(13),""))</f>
        <v/>
      </c>
      <c r="H2510" s="58">
        <f>IF($G2510="","",IF(ISNUMBER(FIND(" ",$G2510)),$G2510,IFERROR(IF((LEN(SUBSTITUTE(SUBSTITUTE($G2510,"-"," ",LEN($G2510)-LEN(SUBSTITUTE($G2510,"-",""))),"-"," ",LEN($G2510)-LEN(SUBSTITUTE($G2510,"-",""))-1))-LEN(SUBSTITUTE(SUBSTITUTE(SUBSTITUTE($G2510,"-"," ",LEN($G2510)-LEN(SUBSTITUTE($G2510,"-",""))),"-"," ",LEN($G2510)-LEN(SUBSTITUTE($G2510,"-",""))-1),".","")))=0,SUBSTITUTE(SUBSTITUTE($G2510,"-"," ",LEN($G2510)-LEN(SUBSTITUTE($G2510,"-",""))),"-"," ",LEN($G2510)-LEN(SUBSTITUTE($G2510,"-",""))-1),SUBSTITUTE(SUBSTITUTE(SUBSTITUTE($G2510,"-"," ",LEN($G2510)-LEN(SUBSTITUTE($G2510,"-",""))),"-"," ",LEN($G2510)-LEN(SUBSTITUTE($G2510,"-",""))-1),"."," ",(LEN(SUBSTITUTE(SUBSTITUTE($G2510,"-"," ",LEN($G2510)-LEN(SUBSTITUTE($G2510,"-",""))),"-"," ",LEN($G2510)-LEN(SUBSTITUTE($G2510,"-",""))-1))-LEN(SUBSTITUTE(SUBSTITUTE(SUBSTITUTE($G2510,"-"," ",LEN($G2510)-LEN(SUBSTITUTE($G2510,"-",""))),"-"," ",LEN($G2510)-LEN(SUBSTITUTE($G2510,"-",""))-1),".",""))))),$G2510)))</f>
        <v/>
      </c>
    </row>
    <row r="2511">
      <c r="A2511" s="58" t="n"/>
      <c r="B2511" s="58">
        <f>IF($H2511="","",LEFT($H2511,FIND(" ",$H2511&amp;" ")-1))</f>
        <v/>
      </c>
      <c r="C2511" s="58">
        <f>IF($H2511="","",IFERROR(MID($H2511&amp;" ",FIND("|",SUBSTITUTE($H2511&amp;" "," ","|",1))+1,FIND("|",SUBSTITUTE($H2511&amp;" "," ","|",2))-FIND("|",SUBSTITUTE($H2511&amp;" "," ","|",1))-1),""))</f>
        <v/>
      </c>
      <c r="D2511" s="58">
        <f>IF($H2511="","",IFERROR(MID($H2511&amp;" ",FIND("|",SUBSTITUTE($H2511&amp;" "," ","|",2))+1,FIND("|",SUBSTITUTE($H2511&amp;" "," ","|",3))-FIND("|",SUBSTITUTE($H2511&amp;" "," ","|",2))-1),""))</f>
        <v/>
      </c>
      <c r="E2511" s="58">
        <f>IF($H2511="","",IFERROR(MID($H2511&amp;" ",FIND("|",SUBSTITUTE($H2511&amp;" "," ","|",3))+1,FIND("|",SUBSTITUTE($H2511&amp;" "," ","|",4))-FIND("|",SUBSTITUTE($H2511&amp;" "," ","|",3))-1),""))</f>
        <v/>
      </c>
      <c r="F2511" s="59">
        <f>IF($H2511="","",IFERROR(VALUE(IFERROR(MID($H2511&amp;" ",FIND("|",SUBSTITUTE($H2511&amp;" "," ","|",4))+1,FIND("|",SUBSTITUTE($H2511&amp;" "," ","|",5))-FIND("|",SUBSTITUTE($H2511&amp;" "," ","|",4))-1),""))/86400+25569+9/24,""))</f>
        <v/>
      </c>
      <c r="G2511" s="58">
        <f>TRIM(SUBSTITUTE(SUBSTITUTE(SUBSTITUTE($A2511,CHAR(9)," ")," "," "),CHAR(13),""))</f>
        <v/>
      </c>
      <c r="H2511" s="58">
        <f>IF($G2511="","",IF(ISNUMBER(FIND(" ",$G2511)),$G2511,IFERROR(IF((LEN(SUBSTITUTE(SUBSTITUTE($G2511,"-"," ",LEN($G2511)-LEN(SUBSTITUTE($G2511,"-",""))),"-"," ",LEN($G2511)-LEN(SUBSTITUTE($G2511,"-",""))-1))-LEN(SUBSTITUTE(SUBSTITUTE(SUBSTITUTE($G2511,"-"," ",LEN($G2511)-LEN(SUBSTITUTE($G2511,"-",""))),"-"," ",LEN($G2511)-LEN(SUBSTITUTE($G2511,"-",""))-1),".","")))=0,SUBSTITUTE(SUBSTITUTE($G2511,"-"," ",LEN($G2511)-LEN(SUBSTITUTE($G2511,"-",""))),"-"," ",LEN($G2511)-LEN(SUBSTITUTE($G2511,"-",""))-1),SUBSTITUTE(SUBSTITUTE(SUBSTITUTE($G2511,"-"," ",LEN($G2511)-LEN(SUBSTITUTE($G2511,"-",""))),"-"," ",LEN($G2511)-LEN(SUBSTITUTE($G2511,"-",""))-1),"."," ",(LEN(SUBSTITUTE(SUBSTITUTE($G2511,"-"," ",LEN($G2511)-LEN(SUBSTITUTE($G2511,"-",""))),"-"," ",LEN($G2511)-LEN(SUBSTITUTE($G2511,"-",""))-1))-LEN(SUBSTITUTE(SUBSTITUTE(SUBSTITUTE($G2511,"-"," ",LEN($G2511)-LEN(SUBSTITUTE($G2511,"-",""))),"-"," ",LEN($G2511)-LEN(SUBSTITUTE($G2511,"-",""))-1),".",""))))),$G2511)))</f>
        <v/>
      </c>
    </row>
    <row r="2512">
      <c r="A2512" s="58" t="n"/>
      <c r="B2512" s="58">
        <f>IF($H2512="","",LEFT($H2512,FIND(" ",$H2512&amp;" ")-1))</f>
        <v/>
      </c>
      <c r="C2512" s="58">
        <f>IF($H2512="","",IFERROR(MID($H2512&amp;" ",FIND("|",SUBSTITUTE($H2512&amp;" "," ","|",1))+1,FIND("|",SUBSTITUTE($H2512&amp;" "," ","|",2))-FIND("|",SUBSTITUTE($H2512&amp;" "," ","|",1))-1),""))</f>
        <v/>
      </c>
      <c r="D2512" s="58">
        <f>IF($H2512="","",IFERROR(MID($H2512&amp;" ",FIND("|",SUBSTITUTE($H2512&amp;" "," ","|",2))+1,FIND("|",SUBSTITUTE($H2512&amp;" "," ","|",3))-FIND("|",SUBSTITUTE($H2512&amp;" "," ","|",2))-1),""))</f>
        <v/>
      </c>
      <c r="E2512" s="58">
        <f>IF($H2512="","",IFERROR(MID($H2512&amp;" ",FIND("|",SUBSTITUTE($H2512&amp;" "," ","|",3))+1,FIND("|",SUBSTITUTE($H2512&amp;" "," ","|",4))-FIND("|",SUBSTITUTE($H2512&amp;" "," ","|",3))-1),""))</f>
        <v/>
      </c>
      <c r="F2512" s="59">
        <f>IF($H2512="","",IFERROR(VALUE(IFERROR(MID($H2512&amp;" ",FIND("|",SUBSTITUTE($H2512&amp;" "," ","|",4))+1,FIND("|",SUBSTITUTE($H2512&amp;" "," ","|",5))-FIND("|",SUBSTITUTE($H2512&amp;" "," ","|",4))-1),""))/86400+25569+9/24,""))</f>
        <v/>
      </c>
      <c r="G2512" s="58">
        <f>TRIM(SUBSTITUTE(SUBSTITUTE(SUBSTITUTE($A2512,CHAR(9)," ")," "," "),CHAR(13),""))</f>
        <v/>
      </c>
      <c r="H2512" s="58">
        <f>IF($G2512="","",IF(ISNUMBER(FIND(" ",$G2512)),$G2512,IFERROR(IF((LEN(SUBSTITUTE(SUBSTITUTE($G2512,"-"," ",LEN($G2512)-LEN(SUBSTITUTE($G2512,"-",""))),"-"," ",LEN($G2512)-LEN(SUBSTITUTE($G2512,"-",""))-1))-LEN(SUBSTITUTE(SUBSTITUTE(SUBSTITUTE($G2512,"-"," ",LEN($G2512)-LEN(SUBSTITUTE($G2512,"-",""))),"-"," ",LEN($G2512)-LEN(SUBSTITUTE($G2512,"-",""))-1),".","")))=0,SUBSTITUTE(SUBSTITUTE($G2512,"-"," ",LEN($G2512)-LEN(SUBSTITUTE($G2512,"-",""))),"-"," ",LEN($G2512)-LEN(SUBSTITUTE($G2512,"-",""))-1),SUBSTITUTE(SUBSTITUTE(SUBSTITUTE($G2512,"-"," ",LEN($G2512)-LEN(SUBSTITUTE($G2512,"-",""))),"-"," ",LEN($G2512)-LEN(SUBSTITUTE($G2512,"-",""))-1),"."," ",(LEN(SUBSTITUTE(SUBSTITUTE($G2512,"-"," ",LEN($G2512)-LEN(SUBSTITUTE($G2512,"-",""))),"-"," ",LEN($G2512)-LEN(SUBSTITUTE($G2512,"-",""))-1))-LEN(SUBSTITUTE(SUBSTITUTE(SUBSTITUTE($G2512,"-"," ",LEN($G2512)-LEN(SUBSTITUTE($G2512,"-",""))),"-"," ",LEN($G2512)-LEN(SUBSTITUTE($G2512,"-",""))-1),".",""))))),$G2512)))</f>
        <v/>
      </c>
    </row>
    <row r="2513">
      <c r="A2513" s="58" t="n"/>
      <c r="B2513" s="58">
        <f>IF($H2513="","",LEFT($H2513,FIND(" ",$H2513&amp;" ")-1))</f>
        <v/>
      </c>
      <c r="C2513" s="58">
        <f>IF($H2513="","",IFERROR(MID($H2513&amp;" ",FIND("|",SUBSTITUTE($H2513&amp;" "," ","|",1))+1,FIND("|",SUBSTITUTE($H2513&amp;" "," ","|",2))-FIND("|",SUBSTITUTE($H2513&amp;" "," ","|",1))-1),""))</f>
        <v/>
      </c>
      <c r="D2513" s="58">
        <f>IF($H2513="","",IFERROR(MID($H2513&amp;" ",FIND("|",SUBSTITUTE($H2513&amp;" "," ","|",2))+1,FIND("|",SUBSTITUTE($H2513&amp;" "," ","|",3))-FIND("|",SUBSTITUTE($H2513&amp;" "," ","|",2))-1),""))</f>
        <v/>
      </c>
      <c r="E2513" s="58">
        <f>IF($H2513="","",IFERROR(MID($H2513&amp;" ",FIND("|",SUBSTITUTE($H2513&amp;" "," ","|",3))+1,FIND("|",SUBSTITUTE($H2513&amp;" "," ","|",4))-FIND("|",SUBSTITUTE($H2513&amp;" "," ","|",3))-1),""))</f>
        <v/>
      </c>
      <c r="F2513" s="59">
        <f>IF($H2513="","",IFERROR(VALUE(IFERROR(MID($H2513&amp;" ",FIND("|",SUBSTITUTE($H2513&amp;" "," ","|",4))+1,FIND("|",SUBSTITUTE($H2513&amp;" "," ","|",5))-FIND("|",SUBSTITUTE($H2513&amp;" "," ","|",4))-1),""))/86400+25569+9/24,""))</f>
        <v/>
      </c>
      <c r="G2513" s="58">
        <f>TRIM(SUBSTITUTE(SUBSTITUTE(SUBSTITUTE($A2513,CHAR(9)," ")," "," "),CHAR(13),""))</f>
        <v/>
      </c>
      <c r="H2513" s="58">
        <f>IF($G2513="","",IF(ISNUMBER(FIND(" ",$G2513)),$G2513,IFERROR(IF((LEN(SUBSTITUTE(SUBSTITUTE($G2513,"-"," ",LEN($G2513)-LEN(SUBSTITUTE($G2513,"-",""))),"-"," ",LEN($G2513)-LEN(SUBSTITUTE($G2513,"-",""))-1))-LEN(SUBSTITUTE(SUBSTITUTE(SUBSTITUTE($G2513,"-"," ",LEN($G2513)-LEN(SUBSTITUTE($G2513,"-",""))),"-"," ",LEN($G2513)-LEN(SUBSTITUTE($G2513,"-",""))-1),".","")))=0,SUBSTITUTE(SUBSTITUTE($G2513,"-"," ",LEN($G2513)-LEN(SUBSTITUTE($G2513,"-",""))),"-"," ",LEN($G2513)-LEN(SUBSTITUTE($G2513,"-",""))-1),SUBSTITUTE(SUBSTITUTE(SUBSTITUTE($G2513,"-"," ",LEN($G2513)-LEN(SUBSTITUTE($G2513,"-",""))),"-"," ",LEN($G2513)-LEN(SUBSTITUTE($G2513,"-",""))-1),"."," ",(LEN(SUBSTITUTE(SUBSTITUTE($G2513,"-"," ",LEN($G2513)-LEN(SUBSTITUTE($G2513,"-",""))),"-"," ",LEN($G2513)-LEN(SUBSTITUTE($G2513,"-",""))-1))-LEN(SUBSTITUTE(SUBSTITUTE(SUBSTITUTE($G2513,"-"," ",LEN($G2513)-LEN(SUBSTITUTE($G2513,"-",""))),"-"," ",LEN($G2513)-LEN(SUBSTITUTE($G2513,"-",""))-1),".",""))))),$G2513)))</f>
        <v/>
      </c>
    </row>
    <row r="2514">
      <c r="A2514" s="58" t="n"/>
      <c r="B2514" s="58">
        <f>IF($H2514="","",LEFT($H2514,FIND(" ",$H2514&amp;" ")-1))</f>
        <v/>
      </c>
      <c r="C2514" s="58">
        <f>IF($H2514="","",IFERROR(MID($H2514&amp;" ",FIND("|",SUBSTITUTE($H2514&amp;" "," ","|",1))+1,FIND("|",SUBSTITUTE($H2514&amp;" "," ","|",2))-FIND("|",SUBSTITUTE($H2514&amp;" "," ","|",1))-1),""))</f>
        <v/>
      </c>
      <c r="D2514" s="58">
        <f>IF($H2514="","",IFERROR(MID($H2514&amp;" ",FIND("|",SUBSTITUTE($H2514&amp;" "," ","|",2))+1,FIND("|",SUBSTITUTE($H2514&amp;" "," ","|",3))-FIND("|",SUBSTITUTE($H2514&amp;" "," ","|",2))-1),""))</f>
        <v/>
      </c>
      <c r="E2514" s="58">
        <f>IF($H2514="","",IFERROR(MID($H2514&amp;" ",FIND("|",SUBSTITUTE($H2514&amp;" "," ","|",3))+1,FIND("|",SUBSTITUTE($H2514&amp;" "," ","|",4))-FIND("|",SUBSTITUTE($H2514&amp;" "," ","|",3))-1),""))</f>
        <v/>
      </c>
      <c r="F2514" s="59">
        <f>IF($H2514="","",IFERROR(VALUE(IFERROR(MID($H2514&amp;" ",FIND("|",SUBSTITUTE($H2514&amp;" "," ","|",4))+1,FIND("|",SUBSTITUTE($H2514&amp;" "," ","|",5))-FIND("|",SUBSTITUTE($H2514&amp;" "," ","|",4))-1),""))/86400+25569+9/24,""))</f>
        <v/>
      </c>
      <c r="G2514" s="58">
        <f>TRIM(SUBSTITUTE(SUBSTITUTE(SUBSTITUTE($A2514,CHAR(9)," ")," "," "),CHAR(13),""))</f>
        <v/>
      </c>
      <c r="H2514" s="58">
        <f>IF($G2514="","",IF(ISNUMBER(FIND(" ",$G2514)),$G2514,IFERROR(IF((LEN(SUBSTITUTE(SUBSTITUTE($G2514,"-"," ",LEN($G2514)-LEN(SUBSTITUTE($G2514,"-",""))),"-"," ",LEN($G2514)-LEN(SUBSTITUTE($G2514,"-",""))-1))-LEN(SUBSTITUTE(SUBSTITUTE(SUBSTITUTE($G2514,"-"," ",LEN($G2514)-LEN(SUBSTITUTE($G2514,"-",""))),"-"," ",LEN($G2514)-LEN(SUBSTITUTE($G2514,"-",""))-1),".","")))=0,SUBSTITUTE(SUBSTITUTE($G2514,"-"," ",LEN($G2514)-LEN(SUBSTITUTE($G2514,"-",""))),"-"," ",LEN($G2514)-LEN(SUBSTITUTE($G2514,"-",""))-1),SUBSTITUTE(SUBSTITUTE(SUBSTITUTE($G2514,"-"," ",LEN($G2514)-LEN(SUBSTITUTE($G2514,"-",""))),"-"," ",LEN($G2514)-LEN(SUBSTITUTE($G2514,"-",""))-1),"."," ",(LEN(SUBSTITUTE(SUBSTITUTE($G2514,"-"," ",LEN($G2514)-LEN(SUBSTITUTE($G2514,"-",""))),"-"," ",LEN($G2514)-LEN(SUBSTITUTE($G2514,"-",""))-1))-LEN(SUBSTITUTE(SUBSTITUTE(SUBSTITUTE($G2514,"-"," ",LEN($G2514)-LEN(SUBSTITUTE($G2514,"-",""))),"-"," ",LEN($G2514)-LEN(SUBSTITUTE($G2514,"-",""))-1),".",""))))),$G2514)))</f>
        <v/>
      </c>
    </row>
    <row r="2515">
      <c r="A2515" s="58" t="n"/>
      <c r="B2515" s="58">
        <f>IF($H2515="","",LEFT($H2515,FIND(" ",$H2515&amp;" ")-1))</f>
        <v/>
      </c>
      <c r="C2515" s="58">
        <f>IF($H2515="","",IFERROR(MID($H2515&amp;" ",FIND("|",SUBSTITUTE($H2515&amp;" "," ","|",1))+1,FIND("|",SUBSTITUTE($H2515&amp;" "," ","|",2))-FIND("|",SUBSTITUTE($H2515&amp;" "," ","|",1))-1),""))</f>
        <v/>
      </c>
      <c r="D2515" s="58">
        <f>IF($H2515="","",IFERROR(MID($H2515&amp;" ",FIND("|",SUBSTITUTE($H2515&amp;" "," ","|",2))+1,FIND("|",SUBSTITUTE($H2515&amp;" "," ","|",3))-FIND("|",SUBSTITUTE($H2515&amp;" "," ","|",2))-1),""))</f>
        <v/>
      </c>
      <c r="E2515" s="58">
        <f>IF($H2515="","",IFERROR(MID($H2515&amp;" ",FIND("|",SUBSTITUTE($H2515&amp;" "," ","|",3))+1,FIND("|",SUBSTITUTE($H2515&amp;" "," ","|",4))-FIND("|",SUBSTITUTE($H2515&amp;" "," ","|",3))-1),""))</f>
        <v/>
      </c>
      <c r="F2515" s="59">
        <f>IF($H2515="","",IFERROR(VALUE(IFERROR(MID($H2515&amp;" ",FIND("|",SUBSTITUTE($H2515&amp;" "," ","|",4))+1,FIND("|",SUBSTITUTE($H2515&amp;" "," ","|",5))-FIND("|",SUBSTITUTE($H2515&amp;" "," ","|",4))-1),""))/86400+25569+9/24,""))</f>
        <v/>
      </c>
      <c r="G2515" s="58">
        <f>TRIM(SUBSTITUTE(SUBSTITUTE(SUBSTITUTE($A2515,CHAR(9)," ")," "," "),CHAR(13),""))</f>
        <v/>
      </c>
      <c r="H2515" s="58">
        <f>IF($G2515="","",IF(ISNUMBER(FIND(" ",$G2515)),$G2515,IFERROR(IF((LEN(SUBSTITUTE(SUBSTITUTE($G2515,"-"," ",LEN($G2515)-LEN(SUBSTITUTE($G2515,"-",""))),"-"," ",LEN($G2515)-LEN(SUBSTITUTE($G2515,"-",""))-1))-LEN(SUBSTITUTE(SUBSTITUTE(SUBSTITUTE($G2515,"-"," ",LEN($G2515)-LEN(SUBSTITUTE($G2515,"-",""))),"-"," ",LEN($G2515)-LEN(SUBSTITUTE($G2515,"-",""))-1),".","")))=0,SUBSTITUTE(SUBSTITUTE($G2515,"-"," ",LEN($G2515)-LEN(SUBSTITUTE($G2515,"-",""))),"-"," ",LEN($G2515)-LEN(SUBSTITUTE($G2515,"-",""))-1),SUBSTITUTE(SUBSTITUTE(SUBSTITUTE($G2515,"-"," ",LEN($G2515)-LEN(SUBSTITUTE($G2515,"-",""))),"-"," ",LEN($G2515)-LEN(SUBSTITUTE($G2515,"-",""))-1),"."," ",(LEN(SUBSTITUTE(SUBSTITUTE($G2515,"-"," ",LEN($G2515)-LEN(SUBSTITUTE($G2515,"-",""))),"-"," ",LEN($G2515)-LEN(SUBSTITUTE($G2515,"-",""))-1))-LEN(SUBSTITUTE(SUBSTITUTE(SUBSTITUTE($G2515,"-"," ",LEN($G2515)-LEN(SUBSTITUTE($G2515,"-",""))),"-"," ",LEN($G2515)-LEN(SUBSTITUTE($G2515,"-",""))-1),".",""))))),$G2515)))</f>
        <v/>
      </c>
    </row>
    <row r="2516">
      <c r="A2516" s="58" t="n"/>
      <c r="B2516" s="58">
        <f>IF($H2516="","",LEFT($H2516,FIND(" ",$H2516&amp;" ")-1))</f>
        <v/>
      </c>
      <c r="C2516" s="58">
        <f>IF($H2516="","",IFERROR(MID($H2516&amp;" ",FIND("|",SUBSTITUTE($H2516&amp;" "," ","|",1))+1,FIND("|",SUBSTITUTE($H2516&amp;" "," ","|",2))-FIND("|",SUBSTITUTE($H2516&amp;" "," ","|",1))-1),""))</f>
        <v/>
      </c>
      <c r="D2516" s="58">
        <f>IF($H2516="","",IFERROR(MID($H2516&amp;" ",FIND("|",SUBSTITUTE($H2516&amp;" "," ","|",2))+1,FIND("|",SUBSTITUTE($H2516&amp;" "," ","|",3))-FIND("|",SUBSTITUTE($H2516&amp;" "," ","|",2))-1),""))</f>
        <v/>
      </c>
      <c r="E2516" s="58">
        <f>IF($H2516="","",IFERROR(MID($H2516&amp;" ",FIND("|",SUBSTITUTE($H2516&amp;" "," ","|",3))+1,FIND("|",SUBSTITUTE($H2516&amp;" "," ","|",4))-FIND("|",SUBSTITUTE($H2516&amp;" "," ","|",3))-1),""))</f>
        <v/>
      </c>
      <c r="F2516" s="59">
        <f>IF($H2516="","",IFERROR(VALUE(IFERROR(MID($H2516&amp;" ",FIND("|",SUBSTITUTE($H2516&amp;" "," ","|",4))+1,FIND("|",SUBSTITUTE($H2516&amp;" "," ","|",5))-FIND("|",SUBSTITUTE($H2516&amp;" "," ","|",4))-1),""))/86400+25569+9/24,""))</f>
        <v/>
      </c>
      <c r="G2516" s="58">
        <f>TRIM(SUBSTITUTE(SUBSTITUTE(SUBSTITUTE($A2516,CHAR(9)," ")," "," "),CHAR(13),""))</f>
        <v/>
      </c>
      <c r="H2516" s="58">
        <f>IF($G2516="","",IF(ISNUMBER(FIND(" ",$G2516)),$G2516,IFERROR(IF((LEN(SUBSTITUTE(SUBSTITUTE($G2516,"-"," ",LEN($G2516)-LEN(SUBSTITUTE($G2516,"-",""))),"-"," ",LEN($G2516)-LEN(SUBSTITUTE($G2516,"-",""))-1))-LEN(SUBSTITUTE(SUBSTITUTE(SUBSTITUTE($G2516,"-"," ",LEN($G2516)-LEN(SUBSTITUTE($G2516,"-",""))),"-"," ",LEN($G2516)-LEN(SUBSTITUTE($G2516,"-",""))-1),".","")))=0,SUBSTITUTE(SUBSTITUTE($G2516,"-"," ",LEN($G2516)-LEN(SUBSTITUTE($G2516,"-",""))),"-"," ",LEN($G2516)-LEN(SUBSTITUTE($G2516,"-",""))-1),SUBSTITUTE(SUBSTITUTE(SUBSTITUTE($G2516,"-"," ",LEN($G2516)-LEN(SUBSTITUTE($G2516,"-",""))),"-"," ",LEN($G2516)-LEN(SUBSTITUTE($G2516,"-",""))-1),"."," ",(LEN(SUBSTITUTE(SUBSTITUTE($G2516,"-"," ",LEN($G2516)-LEN(SUBSTITUTE($G2516,"-",""))),"-"," ",LEN($G2516)-LEN(SUBSTITUTE($G2516,"-",""))-1))-LEN(SUBSTITUTE(SUBSTITUTE(SUBSTITUTE($G2516,"-"," ",LEN($G2516)-LEN(SUBSTITUTE($G2516,"-",""))),"-"," ",LEN($G2516)-LEN(SUBSTITUTE($G2516,"-",""))-1),".",""))))),$G2516)))</f>
        <v/>
      </c>
    </row>
    <row r="2517">
      <c r="A2517" s="58" t="n"/>
      <c r="B2517" s="58">
        <f>IF($H2517="","",LEFT($H2517,FIND(" ",$H2517&amp;" ")-1))</f>
        <v/>
      </c>
      <c r="C2517" s="58">
        <f>IF($H2517="","",IFERROR(MID($H2517&amp;" ",FIND("|",SUBSTITUTE($H2517&amp;" "," ","|",1))+1,FIND("|",SUBSTITUTE($H2517&amp;" "," ","|",2))-FIND("|",SUBSTITUTE($H2517&amp;" "," ","|",1))-1),""))</f>
        <v/>
      </c>
      <c r="D2517" s="58">
        <f>IF($H2517="","",IFERROR(MID($H2517&amp;" ",FIND("|",SUBSTITUTE($H2517&amp;" "," ","|",2))+1,FIND("|",SUBSTITUTE($H2517&amp;" "," ","|",3))-FIND("|",SUBSTITUTE($H2517&amp;" "," ","|",2))-1),""))</f>
        <v/>
      </c>
      <c r="E2517" s="58">
        <f>IF($H2517="","",IFERROR(MID($H2517&amp;" ",FIND("|",SUBSTITUTE($H2517&amp;" "," ","|",3))+1,FIND("|",SUBSTITUTE($H2517&amp;" "," ","|",4))-FIND("|",SUBSTITUTE($H2517&amp;" "," ","|",3))-1),""))</f>
        <v/>
      </c>
      <c r="F2517" s="59">
        <f>IF($H2517="","",IFERROR(VALUE(IFERROR(MID($H2517&amp;" ",FIND("|",SUBSTITUTE($H2517&amp;" "," ","|",4))+1,FIND("|",SUBSTITUTE($H2517&amp;" "," ","|",5))-FIND("|",SUBSTITUTE($H2517&amp;" "," ","|",4))-1),""))/86400+25569+9/24,""))</f>
        <v/>
      </c>
      <c r="G2517" s="58">
        <f>TRIM(SUBSTITUTE(SUBSTITUTE(SUBSTITUTE($A2517,CHAR(9)," ")," "," "),CHAR(13),""))</f>
        <v/>
      </c>
      <c r="H2517" s="58">
        <f>IF($G2517="","",IF(ISNUMBER(FIND(" ",$G2517)),$G2517,IFERROR(IF((LEN(SUBSTITUTE(SUBSTITUTE($G2517,"-"," ",LEN($G2517)-LEN(SUBSTITUTE($G2517,"-",""))),"-"," ",LEN($G2517)-LEN(SUBSTITUTE($G2517,"-",""))-1))-LEN(SUBSTITUTE(SUBSTITUTE(SUBSTITUTE($G2517,"-"," ",LEN($G2517)-LEN(SUBSTITUTE($G2517,"-",""))),"-"," ",LEN($G2517)-LEN(SUBSTITUTE($G2517,"-",""))-1),".","")))=0,SUBSTITUTE(SUBSTITUTE($G2517,"-"," ",LEN($G2517)-LEN(SUBSTITUTE($G2517,"-",""))),"-"," ",LEN($G2517)-LEN(SUBSTITUTE($G2517,"-",""))-1),SUBSTITUTE(SUBSTITUTE(SUBSTITUTE($G2517,"-"," ",LEN($G2517)-LEN(SUBSTITUTE($G2517,"-",""))),"-"," ",LEN($G2517)-LEN(SUBSTITUTE($G2517,"-",""))-1),"."," ",(LEN(SUBSTITUTE(SUBSTITUTE($G2517,"-"," ",LEN($G2517)-LEN(SUBSTITUTE($G2517,"-",""))),"-"," ",LEN($G2517)-LEN(SUBSTITUTE($G2517,"-",""))-1))-LEN(SUBSTITUTE(SUBSTITUTE(SUBSTITUTE($G2517,"-"," ",LEN($G2517)-LEN(SUBSTITUTE($G2517,"-",""))),"-"," ",LEN($G2517)-LEN(SUBSTITUTE($G2517,"-",""))-1),".",""))))),$G2517)))</f>
        <v/>
      </c>
    </row>
    <row r="2518">
      <c r="A2518" s="58" t="n"/>
      <c r="B2518" s="58">
        <f>IF($H2518="","",LEFT($H2518,FIND(" ",$H2518&amp;" ")-1))</f>
        <v/>
      </c>
      <c r="C2518" s="58">
        <f>IF($H2518="","",IFERROR(MID($H2518&amp;" ",FIND("|",SUBSTITUTE($H2518&amp;" "," ","|",1))+1,FIND("|",SUBSTITUTE($H2518&amp;" "," ","|",2))-FIND("|",SUBSTITUTE($H2518&amp;" "," ","|",1))-1),""))</f>
        <v/>
      </c>
      <c r="D2518" s="58">
        <f>IF($H2518="","",IFERROR(MID($H2518&amp;" ",FIND("|",SUBSTITUTE($H2518&amp;" "," ","|",2))+1,FIND("|",SUBSTITUTE($H2518&amp;" "," ","|",3))-FIND("|",SUBSTITUTE($H2518&amp;" "," ","|",2))-1),""))</f>
        <v/>
      </c>
      <c r="E2518" s="58">
        <f>IF($H2518="","",IFERROR(MID($H2518&amp;" ",FIND("|",SUBSTITUTE($H2518&amp;" "," ","|",3))+1,FIND("|",SUBSTITUTE($H2518&amp;" "," ","|",4))-FIND("|",SUBSTITUTE($H2518&amp;" "," ","|",3))-1),""))</f>
        <v/>
      </c>
      <c r="F2518" s="59">
        <f>IF($H2518="","",IFERROR(VALUE(IFERROR(MID($H2518&amp;" ",FIND("|",SUBSTITUTE($H2518&amp;" "," ","|",4))+1,FIND("|",SUBSTITUTE($H2518&amp;" "," ","|",5))-FIND("|",SUBSTITUTE($H2518&amp;" "," ","|",4))-1),""))/86400+25569+9/24,""))</f>
        <v/>
      </c>
      <c r="G2518" s="58">
        <f>TRIM(SUBSTITUTE(SUBSTITUTE(SUBSTITUTE($A2518,CHAR(9)," ")," "," "),CHAR(13),""))</f>
        <v/>
      </c>
      <c r="H2518" s="58">
        <f>IF($G2518="","",IF(ISNUMBER(FIND(" ",$G2518)),$G2518,IFERROR(IF((LEN(SUBSTITUTE(SUBSTITUTE($G2518,"-"," ",LEN($G2518)-LEN(SUBSTITUTE($G2518,"-",""))),"-"," ",LEN($G2518)-LEN(SUBSTITUTE($G2518,"-",""))-1))-LEN(SUBSTITUTE(SUBSTITUTE(SUBSTITUTE($G2518,"-"," ",LEN($G2518)-LEN(SUBSTITUTE($G2518,"-",""))),"-"," ",LEN($G2518)-LEN(SUBSTITUTE($G2518,"-",""))-1),".","")))=0,SUBSTITUTE(SUBSTITUTE($G2518,"-"," ",LEN($G2518)-LEN(SUBSTITUTE($G2518,"-",""))),"-"," ",LEN($G2518)-LEN(SUBSTITUTE($G2518,"-",""))-1),SUBSTITUTE(SUBSTITUTE(SUBSTITUTE($G2518,"-"," ",LEN($G2518)-LEN(SUBSTITUTE($G2518,"-",""))),"-"," ",LEN($G2518)-LEN(SUBSTITUTE($G2518,"-",""))-1),"."," ",(LEN(SUBSTITUTE(SUBSTITUTE($G2518,"-"," ",LEN($G2518)-LEN(SUBSTITUTE($G2518,"-",""))),"-"," ",LEN($G2518)-LEN(SUBSTITUTE($G2518,"-",""))-1))-LEN(SUBSTITUTE(SUBSTITUTE(SUBSTITUTE($G2518,"-"," ",LEN($G2518)-LEN(SUBSTITUTE($G2518,"-",""))),"-"," ",LEN($G2518)-LEN(SUBSTITUTE($G2518,"-",""))-1),".",""))))),$G2518)))</f>
        <v/>
      </c>
    </row>
    <row r="2519">
      <c r="A2519" s="58" t="n"/>
      <c r="B2519" s="58">
        <f>IF($H2519="","",LEFT($H2519,FIND(" ",$H2519&amp;" ")-1))</f>
        <v/>
      </c>
      <c r="C2519" s="58">
        <f>IF($H2519="","",IFERROR(MID($H2519&amp;" ",FIND("|",SUBSTITUTE($H2519&amp;" "," ","|",1))+1,FIND("|",SUBSTITUTE($H2519&amp;" "," ","|",2))-FIND("|",SUBSTITUTE($H2519&amp;" "," ","|",1))-1),""))</f>
        <v/>
      </c>
      <c r="D2519" s="58">
        <f>IF($H2519="","",IFERROR(MID($H2519&amp;" ",FIND("|",SUBSTITUTE($H2519&amp;" "," ","|",2))+1,FIND("|",SUBSTITUTE($H2519&amp;" "," ","|",3))-FIND("|",SUBSTITUTE($H2519&amp;" "," ","|",2))-1),""))</f>
        <v/>
      </c>
      <c r="E2519" s="58">
        <f>IF($H2519="","",IFERROR(MID($H2519&amp;" ",FIND("|",SUBSTITUTE($H2519&amp;" "," ","|",3))+1,FIND("|",SUBSTITUTE($H2519&amp;" "," ","|",4))-FIND("|",SUBSTITUTE($H2519&amp;" "," ","|",3))-1),""))</f>
        <v/>
      </c>
      <c r="F2519" s="59">
        <f>IF($H2519="","",IFERROR(VALUE(IFERROR(MID($H2519&amp;" ",FIND("|",SUBSTITUTE($H2519&amp;" "," ","|",4))+1,FIND("|",SUBSTITUTE($H2519&amp;" "," ","|",5))-FIND("|",SUBSTITUTE($H2519&amp;" "," ","|",4))-1),""))/86400+25569+9/24,""))</f>
        <v/>
      </c>
      <c r="G2519" s="58">
        <f>TRIM(SUBSTITUTE(SUBSTITUTE(SUBSTITUTE($A2519,CHAR(9)," ")," "," "),CHAR(13),""))</f>
        <v/>
      </c>
      <c r="H2519" s="58">
        <f>IF($G2519="","",IF(ISNUMBER(FIND(" ",$G2519)),$G2519,IFERROR(IF((LEN(SUBSTITUTE(SUBSTITUTE($G2519,"-"," ",LEN($G2519)-LEN(SUBSTITUTE($G2519,"-",""))),"-"," ",LEN($G2519)-LEN(SUBSTITUTE($G2519,"-",""))-1))-LEN(SUBSTITUTE(SUBSTITUTE(SUBSTITUTE($G2519,"-"," ",LEN($G2519)-LEN(SUBSTITUTE($G2519,"-",""))),"-"," ",LEN($G2519)-LEN(SUBSTITUTE($G2519,"-",""))-1),".","")))=0,SUBSTITUTE(SUBSTITUTE($G2519,"-"," ",LEN($G2519)-LEN(SUBSTITUTE($G2519,"-",""))),"-"," ",LEN($G2519)-LEN(SUBSTITUTE($G2519,"-",""))-1),SUBSTITUTE(SUBSTITUTE(SUBSTITUTE($G2519,"-"," ",LEN($G2519)-LEN(SUBSTITUTE($G2519,"-",""))),"-"," ",LEN($G2519)-LEN(SUBSTITUTE($G2519,"-",""))-1),"."," ",(LEN(SUBSTITUTE(SUBSTITUTE($G2519,"-"," ",LEN($G2519)-LEN(SUBSTITUTE($G2519,"-",""))),"-"," ",LEN($G2519)-LEN(SUBSTITUTE($G2519,"-",""))-1))-LEN(SUBSTITUTE(SUBSTITUTE(SUBSTITUTE($G2519,"-"," ",LEN($G2519)-LEN(SUBSTITUTE($G2519,"-",""))),"-"," ",LEN($G2519)-LEN(SUBSTITUTE($G2519,"-",""))-1),".",""))))),$G2519)))</f>
        <v/>
      </c>
    </row>
    <row r="2520">
      <c r="A2520" s="58" t="n"/>
      <c r="B2520" s="58">
        <f>IF($H2520="","",LEFT($H2520,FIND(" ",$H2520&amp;" ")-1))</f>
        <v/>
      </c>
      <c r="C2520" s="58">
        <f>IF($H2520="","",IFERROR(MID($H2520&amp;" ",FIND("|",SUBSTITUTE($H2520&amp;" "," ","|",1))+1,FIND("|",SUBSTITUTE($H2520&amp;" "," ","|",2))-FIND("|",SUBSTITUTE($H2520&amp;" "," ","|",1))-1),""))</f>
        <v/>
      </c>
      <c r="D2520" s="58">
        <f>IF($H2520="","",IFERROR(MID($H2520&amp;" ",FIND("|",SUBSTITUTE($H2520&amp;" "," ","|",2))+1,FIND("|",SUBSTITUTE($H2520&amp;" "," ","|",3))-FIND("|",SUBSTITUTE($H2520&amp;" "," ","|",2))-1),""))</f>
        <v/>
      </c>
      <c r="E2520" s="58">
        <f>IF($H2520="","",IFERROR(MID($H2520&amp;" ",FIND("|",SUBSTITUTE($H2520&amp;" "," ","|",3))+1,FIND("|",SUBSTITUTE($H2520&amp;" "," ","|",4))-FIND("|",SUBSTITUTE($H2520&amp;" "," ","|",3))-1),""))</f>
        <v/>
      </c>
      <c r="F2520" s="59">
        <f>IF($H2520="","",IFERROR(VALUE(IFERROR(MID($H2520&amp;" ",FIND("|",SUBSTITUTE($H2520&amp;" "," ","|",4))+1,FIND("|",SUBSTITUTE($H2520&amp;" "," ","|",5))-FIND("|",SUBSTITUTE($H2520&amp;" "," ","|",4))-1),""))/86400+25569+9/24,""))</f>
        <v/>
      </c>
      <c r="G2520" s="58">
        <f>TRIM(SUBSTITUTE(SUBSTITUTE(SUBSTITUTE($A2520,CHAR(9)," ")," "," "),CHAR(13),""))</f>
        <v/>
      </c>
      <c r="H2520" s="58">
        <f>IF($G2520="","",IF(ISNUMBER(FIND(" ",$G2520)),$G2520,IFERROR(IF((LEN(SUBSTITUTE(SUBSTITUTE($G2520,"-"," ",LEN($G2520)-LEN(SUBSTITUTE($G2520,"-",""))),"-"," ",LEN($G2520)-LEN(SUBSTITUTE($G2520,"-",""))-1))-LEN(SUBSTITUTE(SUBSTITUTE(SUBSTITUTE($G2520,"-"," ",LEN($G2520)-LEN(SUBSTITUTE($G2520,"-",""))),"-"," ",LEN($G2520)-LEN(SUBSTITUTE($G2520,"-",""))-1),".","")))=0,SUBSTITUTE(SUBSTITUTE($G2520,"-"," ",LEN($G2520)-LEN(SUBSTITUTE($G2520,"-",""))),"-"," ",LEN($G2520)-LEN(SUBSTITUTE($G2520,"-",""))-1),SUBSTITUTE(SUBSTITUTE(SUBSTITUTE($G2520,"-"," ",LEN($G2520)-LEN(SUBSTITUTE($G2520,"-",""))),"-"," ",LEN($G2520)-LEN(SUBSTITUTE($G2520,"-",""))-1),"."," ",(LEN(SUBSTITUTE(SUBSTITUTE($G2520,"-"," ",LEN($G2520)-LEN(SUBSTITUTE($G2520,"-",""))),"-"," ",LEN($G2520)-LEN(SUBSTITUTE($G2520,"-",""))-1))-LEN(SUBSTITUTE(SUBSTITUTE(SUBSTITUTE($G2520,"-"," ",LEN($G2520)-LEN(SUBSTITUTE($G2520,"-",""))),"-"," ",LEN($G2520)-LEN(SUBSTITUTE($G2520,"-",""))-1),".",""))))),$G2520)))</f>
        <v/>
      </c>
    </row>
    <row r="2521">
      <c r="A2521" s="58" t="n"/>
      <c r="B2521" s="58">
        <f>IF($H2521="","",LEFT($H2521,FIND(" ",$H2521&amp;" ")-1))</f>
        <v/>
      </c>
      <c r="C2521" s="58">
        <f>IF($H2521="","",IFERROR(MID($H2521&amp;" ",FIND("|",SUBSTITUTE($H2521&amp;" "," ","|",1))+1,FIND("|",SUBSTITUTE($H2521&amp;" "," ","|",2))-FIND("|",SUBSTITUTE($H2521&amp;" "," ","|",1))-1),""))</f>
        <v/>
      </c>
      <c r="D2521" s="58">
        <f>IF($H2521="","",IFERROR(MID($H2521&amp;" ",FIND("|",SUBSTITUTE($H2521&amp;" "," ","|",2))+1,FIND("|",SUBSTITUTE($H2521&amp;" "," ","|",3))-FIND("|",SUBSTITUTE($H2521&amp;" "," ","|",2))-1),""))</f>
        <v/>
      </c>
      <c r="E2521" s="58">
        <f>IF($H2521="","",IFERROR(MID($H2521&amp;" ",FIND("|",SUBSTITUTE($H2521&amp;" "," ","|",3))+1,FIND("|",SUBSTITUTE($H2521&amp;" "," ","|",4))-FIND("|",SUBSTITUTE($H2521&amp;" "," ","|",3))-1),""))</f>
        <v/>
      </c>
      <c r="F2521" s="59">
        <f>IF($H2521="","",IFERROR(VALUE(IFERROR(MID($H2521&amp;" ",FIND("|",SUBSTITUTE($H2521&amp;" "," ","|",4))+1,FIND("|",SUBSTITUTE($H2521&amp;" "," ","|",5))-FIND("|",SUBSTITUTE($H2521&amp;" "," ","|",4))-1),""))/86400+25569+9/24,""))</f>
        <v/>
      </c>
      <c r="G2521" s="58">
        <f>TRIM(SUBSTITUTE(SUBSTITUTE(SUBSTITUTE($A2521,CHAR(9)," ")," "," "),CHAR(13),""))</f>
        <v/>
      </c>
      <c r="H2521" s="58">
        <f>IF($G2521="","",IF(ISNUMBER(FIND(" ",$G2521)),$G2521,IFERROR(IF((LEN(SUBSTITUTE(SUBSTITUTE($G2521,"-"," ",LEN($G2521)-LEN(SUBSTITUTE($G2521,"-",""))),"-"," ",LEN($G2521)-LEN(SUBSTITUTE($G2521,"-",""))-1))-LEN(SUBSTITUTE(SUBSTITUTE(SUBSTITUTE($G2521,"-"," ",LEN($G2521)-LEN(SUBSTITUTE($G2521,"-",""))),"-"," ",LEN($G2521)-LEN(SUBSTITUTE($G2521,"-",""))-1),".","")))=0,SUBSTITUTE(SUBSTITUTE($G2521,"-"," ",LEN($G2521)-LEN(SUBSTITUTE($G2521,"-",""))),"-"," ",LEN($G2521)-LEN(SUBSTITUTE($G2521,"-",""))-1),SUBSTITUTE(SUBSTITUTE(SUBSTITUTE($G2521,"-"," ",LEN($G2521)-LEN(SUBSTITUTE($G2521,"-",""))),"-"," ",LEN($G2521)-LEN(SUBSTITUTE($G2521,"-",""))-1),"."," ",(LEN(SUBSTITUTE(SUBSTITUTE($G2521,"-"," ",LEN($G2521)-LEN(SUBSTITUTE($G2521,"-",""))),"-"," ",LEN($G2521)-LEN(SUBSTITUTE($G2521,"-",""))-1))-LEN(SUBSTITUTE(SUBSTITUTE(SUBSTITUTE($G2521,"-"," ",LEN($G2521)-LEN(SUBSTITUTE($G2521,"-",""))),"-"," ",LEN($G2521)-LEN(SUBSTITUTE($G2521,"-",""))-1),".",""))))),$G2521)))</f>
        <v/>
      </c>
    </row>
    <row r="2522">
      <c r="A2522" s="58" t="n"/>
      <c r="B2522" s="58">
        <f>IF($H2522="","",LEFT($H2522,FIND(" ",$H2522&amp;" ")-1))</f>
        <v/>
      </c>
      <c r="C2522" s="58">
        <f>IF($H2522="","",IFERROR(MID($H2522&amp;" ",FIND("|",SUBSTITUTE($H2522&amp;" "," ","|",1))+1,FIND("|",SUBSTITUTE($H2522&amp;" "," ","|",2))-FIND("|",SUBSTITUTE($H2522&amp;" "," ","|",1))-1),""))</f>
        <v/>
      </c>
      <c r="D2522" s="58">
        <f>IF($H2522="","",IFERROR(MID($H2522&amp;" ",FIND("|",SUBSTITUTE($H2522&amp;" "," ","|",2))+1,FIND("|",SUBSTITUTE($H2522&amp;" "," ","|",3))-FIND("|",SUBSTITUTE($H2522&amp;" "," ","|",2))-1),""))</f>
        <v/>
      </c>
      <c r="E2522" s="58">
        <f>IF($H2522="","",IFERROR(MID($H2522&amp;" ",FIND("|",SUBSTITUTE($H2522&amp;" "," ","|",3))+1,FIND("|",SUBSTITUTE($H2522&amp;" "," ","|",4))-FIND("|",SUBSTITUTE($H2522&amp;" "," ","|",3))-1),""))</f>
        <v/>
      </c>
      <c r="F2522" s="59">
        <f>IF($H2522="","",IFERROR(VALUE(IFERROR(MID($H2522&amp;" ",FIND("|",SUBSTITUTE($H2522&amp;" "," ","|",4))+1,FIND("|",SUBSTITUTE($H2522&amp;" "," ","|",5))-FIND("|",SUBSTITUTE($H2522&amp;" "," ","|",4))-1),""))/86400+25569+9/24,""))</f>
        <v/>
      </c>
      <c r="G2522" s="58">
        <f>TRIM(SUBSTITUTE(SUBSTITUTE(SUBSTITUTE($A2522,CHAR(9)," ")," "," "),CHAR(13),""))</f>
        <v/>
      </c>
      <c r="H2522" s="58">
        <f>IF($G2522="","",IF(ISNUMBER(FIND(" ",$G2522)),$G2522,IFERROR(IF((LEN(SUBSTITUTE(SUBSTITUTE($G2522,"-"," ",LEN($G2522)-LEN(SUBSTITUTE($G2522,"-",""))),"-"," ",LEN($G2522)-LEN(SUBSTITUTE($G2522,"-",""))-1))-LEN(SUBSTITUTE(SUBSTITUTE(SUBSTITUTE($G2522,"-"," ",LEN($G2522)-LEN(SUBSTITUTE($G2522,"-",""))),"-"," ",LEN($G2522)-LEN(SUBSTITUTE($G2522,"-",""))-1),".","")))=0,SUBSTITUTE(SUBSTITUTE($G2522,"-"," ",LEN($G2522)-LEN(SUBSTITUTE($G2522,"-",""))),"-"," ",LEN($G2522)-LEN(SUBSTITUTE($G2522,"-",""))-1),SUBSTITUTE(SUBSTITUTE(SUBSTITUTE($G2522,"-"," ",LEN($G2522)-LEN(SUBSTITUTE($G2522,"-",""))),"-"," ",LEN($G2522)-LEN(SUBSTITUTE($G2522,"-",""))-1),"."," ",(LEN(SUBSTITUTE(SUBSTITUTE($G2522,"-"," ",LEN($G2522)-LEN(SUBSTITUTE($G2522,"-",""))),"-"," ",LEN($G2522)-LEN(SUBSTITUTE($G2522,"-",""))-1))-LEN(SUBSTITUTE(SUBSTITUTE(SUBSTITUTE($G2522,"-"," ",LEN($G2522)-LEN(SUBSTITUTE($G2522,"-",""))),"-"," ",LEN($G2522)-LEN(SUBSTITUTE($G2522,"-",""))-1),".",""))))),$G2522)))</f>
        <v/>
      </c>
    </row>
    <row r="2523">
      <c r="A2523" s="58" t="n"/>
      <c r="B2523" s="58">
        <f>IF($H2523="","",LEFT($H2523,FIND(" ",$H2523&amp;" ")-1))</f>
        <v/>
      </c>
      <c r="C2523" s="58">
        <f>IF($H2523="","",IFERROR(MID($H2523&amp;" ",FIND("|",SUBSTITUTE($H2523&amp;" "," ","|",1))+1,FIND("|",SUBSTITUTE($H2523&amp;" "," ","|",2))-FIND("|",SUBSTITUTE($H2523&amp;" "," ","|",1))-1),""))</f>
        <v/>
      </c>
      <c r="D2523" s="58">
        <f>IF($H2523="","",IFERROR(MID($H2523&amp;" ",FIND("|",SUBSTITUTE($H2523&amp;" "," ","|",2))+1,FIND("|",SUBSTITUTE($H2523&amp;" "," ","|",3))-FIND("|",SUBSTITUTE($H2523&amp;" "," ","|",2))-1),""))</f>
        <v/>
      </c>
      <c r="E2523" s="58">
        <f>IF($H2523="","",IFERROR(MID($H2523&amp;" ",FIND("|",SUBSTITUTE($H2523&amp;" "," ","|",3))+1,FIND("|",SUBSTITUTE($H2523&amp;" "," ","|",4))-FIND("|",SUBSTITUTE($H2523&amp;" "," ","|",3))-1),""))</f>
        <v/>
      </c>
      <c r="F2523" s="59">
        <f>IF($H2523="","",IFERROR(VALUE(IFERROR(MID($H2523&amp;" ",FIND("|",SUBSTITUTE($H2523&amp;" "," ","|",4))+1,FIND("|",SUBSTITUTE($H2523&amp;" "," ","|",5))-FIND("|",SUBSTITUTE($H2523&amp;" "," ","|",4))-1),""))/86400+25569+9/24,""))</f>
        <v/>
      </c>
      <c r="G2523" s="58">
        <f>TRIM(SUBSTITUTE(SUBSTITUTE(SUBSTITUTE($A2523,CHAR(9)," ")," "," "),CHAR(13),""))</f>
        <v/>
      </c>
      <c r="H2523" s="58">
        <f>IF($G2523="","",IF(ISNUMBER(FIND(" ",$G2523)),$G2523,IFERROR(IF((LEN(SUBSTITUTE(SUBSTITUTE($G2523,"-"," ",LEN($G2523)-LEN(SUBSTITUTE($G2523,"-",""))),"-"," ",LEN($G2523)-LEN(SUBSTITUTE($G2523,"-",""))-1))-LEN(SUBSTITUTE(SUBSTITUTE(SUBSTITUTE($G2523,"-"," ",LEN($G2523)-LEN(SUBSTITUTE($G2523,"-",""))),"-"," ",LEN($G2523)-LEN(SUBSTITUTE($G2523,"-",""))-1),".","")))=0,SUBSTITUTE(SUBSTITUTE($G2523,"-"," ",LEN($G2523)-LEN(SUBSTITUTE($G2523,"-",""))),"-"," ",LEN($G2523)-LEN(SUBSTITUTE($G2523,"-",""))-1),SUBSTITUTE(SUBSTITUTE(SUBSTITUTE($G2523,"-"," ",LEN($G2523)-LEN(SUBSTITUTE($G2523,"-",""))),"-"," ",LEN($G2523)-LEN(SUBSTITUTE($G2523,"-",""))-1),"."," ",(LEN(SUBSTITUTE(SUBSTITUTE($G2523,"-"," ",LEN($G2523)-LEN(SUBSTITUTE($G2523,"-",""))),"-"," ",LEN($G2523)-LEN(SUBSTITUTE($G2523,"-",""))-1))-LEN(SUBSTITUTE(SUBSTITUTE(SUBSTITUTE($G2523,"-"," ",LEN($G2523)-LEN(SUBSTITUTE($G2523,"-",""))),"-"," ",LEN($G2523)-LEN(SUBSTITUTE($G2523,"-",""))-1),".",""))))),$G2523)))</f>
        <v/>
      </c>
    </row>
    <row r="2524">
      <c r="A2524" s="58" t="n"/>
      <c r="B2524" s="58">
        <f>IF($H2524="","",LEFT($H2524,FIND(" ",$H2524&amp;" ")-1))</f>
        <v/>
      </c>
      <c r="C2524" s="58">
        <f>IF($H2524="","",IFERROR(MID($H2524&amp;" ",FIND("|",SUBSTITUTE($H2524&amp;" "," ","|",1))+1,FIND("|",SUBSTITUTE($H2524&amp;" "," ","|",2))-FIND("|",SUBSTITUTE($H2524&amp;" "," ","|",1))-1),""))</f>
        <v/>
      </c>
      <c r="D2524" s="58">
        <f>IF($H2524="","",IFERROR(MID($H2524&amp;" ",FIND("|",SUBSTITUTE($H2524&amp;" "," ","|",2))+1,FIND("|",SUBSTITUTE($H2524&amp;" "," ","|",3))-FIND("|",SUBSTITUTE($H2524&amp;" "," ","|",2))-1),""))</f>
        <v/>
      </c>
      <c r="E2524" s="58">
        <f>IF($H2524="","",IFERROR(MID($H2524&amp;" ",FIND("|",SUBSTITUTE($H2524&amp;" "," ","|",3))+1,FIND("|",SUBSTITUTE($H2524&amp;" "," ","|",4))-FIND("|",SUBSTITUTE($H2524&amp;" "," ","|",3))-1),""))</f>
        <v/>
      </c>
      <c r="F2524" s="59">
        <f>IF($H2524="","",IFERROR(VALUE(IFERROR(MID($H2524&amp;" ",FIND("|",SUBSTITUTE($H2524&amp;" "," ","|",4))+1,FIND("|",SUBSTITUTE($H2524&amp;" "," ","|",5))-FIND("|",SUBSTITUTE($H2524&amp;" "," ","|",4))-1),""))/86400+25569+9/24,""))</f>
        <v/>
      </c>
      <c r="G2524" s="58">
        <f>TRIM(SUBSTITUTE(SUBSTITUTE(SUBSTITUTE($A2524,CHAR(9)," ")," "," "),CHAR(13),""))</f>
        <v/>
      </c>
      <c r="H2524" s="58">
        <f>IF($G2524="","",IF(ISNUMBER(FIND(" ",$G2524)),$G2524,IFERROR(IF((LEN(SUBSTITUTE(SUBSTITUTE($G2524,"-"," ",LEN($G2524)-LEN(SUBSTITUTE($G2524,"-",""))),"-"," ",LEN($G2524)-LEN(SUBSTITUTE($G2524,"-",""))-1))-LEN(SUBSTITUTE(SUBSTITUTE(SUBSTITUTE($G2524,"-"," ",LEN($G2524)-LEN(SUBSTITUTE($G2524,"-",""))),"-"," ",LEN($G2524)-LEN(SUBSTITUTE($G2524,"-",""))-1),".","")))=0,SUBSTITUTE(SUBSTITUTE($G2524,"-"," ",LEN($G2524)-LEN(SUBSTITUTE($G2524,"-",""))),"-"," ",LEN($G2524)-LEN(SUBSTITUTE($G2524,"-",""))-1),SUBSTITUTE(SUBSTITUTE(SUBSTITUTE($G2524,"-"," ",LEN($G2524)-LEN(SUBSTITUTE($G2524,"-",""))),"-"," ",LEN($G2524)-LEN(SUBSTITUTE($G2524,"-",""))-1),"."," ",(LEN(SUBSTITUTE(SUBSTITUTE($G2524,"-"," ",LEN($G2524)-LEN(SUBSTITUTE($G2524,"-",""))),"-"," ",LEN($G2524)-LEN(SUBSTITUTE($G2524,"-",""))-1))-LEN(SUBSTITUTE(SUBSTITUTE(SUBSTITUTE($G2524,"-"," ",LEN($G2524)-LEN(SUBSTITUTE($G2524,"-",""))),"-"," ",LEN($G2524)-LEN(SUBSTITUTE($G2524,"-",""))-1),".",""))))),$G2524)))</f>
        <v/>
      </c>
    </row>
    <row r="2525">
      <c r="A2525" s="58" t="n"/>
      <c r="B2525" s="58">
        <f>IF($H2525="","",LEFT($H2525,FIND(" ",$H2525&amp;" ")-1))</f>
        <v/>
      </c>
      <c r="C2525" s="58">
        <f>IF($H2525="","",IFERROR(MID($H2525&amp;" ",FIND("|",SUBSTITUTE($H2525&amp;" "," ","|",1))+1,FIND("|",SUBSTITUTE($H2525&amp;" "," ","|",2))-FIND("|",SUBSTITUTE($H2525&amp;" "," ","|",1))-1),""))</f>
        <v/>
      </c>
      <c r="D2525" s="58">
        <f>IF($H2525="","",IFERROR(MID($H2525&amp;" ",FIND("|",SUBSTITUTE($H2525&amp;" "," ","|",2))+1,FIND("|",SUBSTITUTE($H2525&amp;" "," ","|",3))-FIND("|",SUBSTITUTE($H2525&amp;" "," ","|",2))-1),""))</f>
        <v/>
      </c>
      <c r="E2525" s="58">
        <f>IF($H2525="","",IFERROR(MID($H2525&amp;" ",FIND("|",SUBSTITUTE($H2525&amp;" "," ","|",3))+1,FIND("|",SUBSTITUTE($H2525&amp;" "," ","|",4))-FIND("|",SUBSTITUTE($H2525&amp;" "," ","|",3))-1),""))</f>
        <v/>
      </c>
      <c r="F2525" s="59">
        <f>IF($H2525="","",IFERROR(VALUE(IFERROR(MID($H2525&amp;" ",FIND("|",SUBSTITUTE($H2525&amp;" "," ","|",4))+1,FIND("|",SUBSTITUTE($H2525&amp;" "," ","|",5))-FIND("|",SUBSTITUTE($H2525&amp;" "," ","|",4))-1),""))/86400+25569+9/24,""))</f>
        <v/>
      </c>
      <c r="G2525" s="58">
        <f>TRIM(SUBSTITUTE(SUBSTITUTE(SUBSTITUTE($A2525,CHAR(9)," ")," "," "),CHAR(13),""))</f>
        <v/>
      </c>
      <c r="H2525" s="58">
        <f>IF($G2525="","",IF(ISNUMBER(FIND(" ",$G2525)),$G2525,IFERROR(IF((LEN(SUBSTITUTE(SUBSTITUTE($G2525,"-"," ",LEN($G2525)-LEN(SUBSTITUTE($G2525,"-",""))),"-"," ",LEN($G2525)-LEN(SUBSTITUTE($G2525,"-",""))-1))-LEN(SUBSTITUTE(SUBSTITUTE(SUBSTITUTE($G2525,"-"," ",LEN($G2525)-LEN(SUBSTITUTE($G2525,"-",""))),"-"," ",LEN($G2525)-LEN(SUBSTITUTE($G2525,"-",""))-1),".","")))=0,SUBSTITUTE(SUBSTITUTE($G2525,"-"," ",LEN($G2525)-LEN(SUBSTITUTE($G2525,"-",""))),"-"," ",LEN($G2525)-LEN(SUBSTITUTE($G2525,"-",""))-1),SUBSTITUTE(SUBSTITUTE(SUBSTITUTE($G2525,"-"," ",LEN($G2525)-LEN(SUBSTITUTE($G2525,"-",""))),"-"," ",LEN($G2525)-LEN(SUBSTITUTE($G2525,"-",""))-1),"."," ",(LEN(SUBSTITUTE(SUBSTITUTE($G2525,"-"," ",LEN($G2525)-LEN(SUBSTITUTE($G2525,"-",""))),"-"," ",LEN($G2525)-LEN(SUBSTITUTE($G2525,"-",""))-1))-LEN(SUBSTITUTE(SUBSTITUTE(SUBSTITUTE($G2525,"-"," ",LEN($G2525)-LEN(SUBSTITUTE($G2525,"-",""))),"-"," ",LEN($G2525)-LEN(SUBSTITUTE($G2525,"-",""))-1),".",""))))),$G2525)))</f>
        <v/>
      </c>
    </row>
    <row r="2526">
      <c r="A2526" s="58" t="n"/>
      <c r="B2526" s="58">
        <f>IF($H2526="","",LEFT($H2526,FIND(" ",$H2526&amp;" ")-1))</f>
        <v/>
      </c>
      <c r="C2526" s="58">
        <f>IF($H2526="","",IFERROR(MID($H2526&amp;" ",FIND("|",SUBSTITUTE($H2526&amp;" "," ","|",1))+1,FIND("|",SUBSTITUTE($H2526&amp;" "," ","|",2))-FIND("|",SUBSTITUTE($H2526&amp;" "," ","|",1))-1),""))</f>
        <v/>
      </c>
      <c r="D2526" s="58">
        <f>IF($H2526="","",IFERROR(MID($H2526&amp;" ",FIND("|",SUBSTITUTE($H2526&amp;" "," ","|",2))+1,FIND("|",SUBSTITUTE($H2526&amp;" "," ","|",3))-FIND("|",SUBSTITUTE($H2526&amp;" "," ","|",2))-1),""))</f>
        <v/>
      </c>
      <c r="E2526" s="58">
        <f>IF($H2526="","",IFERROR(MID($H2526&amp;" ",FIND("|",SUBSTITUTE($H2526&amp;" "," ","|",3))+1,FIND("|",SUBSTITUTE($H2526&amp;" "," ","|",4))-FIND("|",SUBSTITUTE($H2526&amp;" "," ","|",3))-1),""))</f>
        <v/>
      </c>
      <c r="F2526" s="59">
        <f>IF($H2526="","",IFERROR(VALUE(IFERROR(MID($H2526&amp;" ",FIND("|",SUBSTITUTE($H2526&amp;" "," ","|",4))+1,FIND("|",SUBSTITUTE($H2526&amp;" "," ","|",5))-FIND("|",SUBSTITUTE($H2526&amp;" "," ","|",4))-1),""))/86400+25569+9/24,""))</f>
        <v/>
      </c>
      <c r="G2526" s="58">
        <f>TRIM(SUBSTITUTE(SUBSTITUTE(SUBSTITUTE($A2526,CHAR(9)," ")," "," "),CHAR(13),""))</f>
        <v/>
      </c>
      <c r="H2526" s="58">
        <f>IF($G2526="","",IF(ISNUMBER(FIND(" ",$G2526)),$G2526,IFERROR(IF((LEN(SUBSTITUTE(SUBSTITUTE($G2526,"-"," ",LEN($G2526)-LEN(SUBSTITUTE($G2526,"-",""))),"-"," ",LEN($G2526)-LEN(SUBSTITUTE($G2526,"-",""))-1))-LEN(SUBSTITUTE(SUBSTITUTE(SUBSTITUTE($G2526,"-"," ",LEN($G2526)-LEN(SUBSTITUTE($G2526,"-",""))),"-"," ",LEN($G2526)-LEN(SUBSTITUTE($G2526,"-",""))-1),".","")))=0,SUBSTITUTE(SUBSTITUTE($G2526,"-"," ",LEN($G2526)-LEN(SUBSTITUTE($G2526,"-",""))),"-"," ",LEN($G2526)-LEN(SUBSTITUTE($G2526,"-",""))-1),SUBSTITUTE(SUBSTITUTE(SUBSTITUTE($G2526,"-"," ",LEN($G2526)-LEN(SUBSTITUTE($G2526,"-",""))),"-"," ",LEN($G2526)-LEN(SUBSTITUTE($G2526,"-",""))-1),"."," ",(LEN(SUBSTITUTE(SUBSTITUTE($G2526,"-"," ",LEN($G2526)-LEN(SUBSTITUTE($G2526,"-",""))),"-"," ",LEN($G2526)-LEN(SUBSTITUTE($G2526,"-",""))-1))-LEN(SUBSTITUTE(SUBSTITUTE(SUBSTITUTE($G2526,"-"," ",LEN($G2526)-LEN(SUBSTITUTE($G2526,"-",""))),"-"," ",LEN($G2526)-LEN(SUBSTITUTE($G2526,"-",""))-1),".",""))))),$G2526)))</f>
        <v/>
      </c>
    </row>
    <row r="2527">
      <c r="A2527" s="58" t="n"/>
      <c r="B2527" s="58">
        <f>IF($H2527="","",LEFT($H2527,FIND(" ",$H2527&amp;" ")-1))</f>
        <v/>
      </c>
      <c r="C2527" s="58">
        <f>IF($H2527="","",IFERROR(MID($H2527&amp;" ",FIND("|",SUBSTITUTE($H2527&amp;" "," ","|",1))+1,FIND("|",SUBSTITUTE($H2527&amp;" "," ","|",2))-FIND("|",SUBSTITUTE($H2527&amp;" "," ","|",1))-1),""))</f>
        <v/>
      </c>
      <c r="D2527" s="58">
        <f>IF($H2527="","",IFERROR(MID($H2527&amp;" ",FIND("|",SUBSTITUTE($H2527&amp;" "," ","|",2))+1,FIND("|",SUBSTITUTE($H2527&amp;" "," ","|",3))-FIND("|",SUBSTITUTE($H2527&amp;" "," ","|",2))-1),""))</f>
        <v/>
      </c>
      <c r="E2527" s="58">
        <f>IF($H2527="","",IFERROR(MID($H2527&amp;" ",FIND("|",SUBSTITUTE($H2527&amp;" "," ","|",3))+1,FIND("|",SUBSTITUTE($H2527&amp;" "," ","|",4))-FIND("|",SUBSTITUTE($H2527&amp;" "," ","|",3))-1),""))</f>
        <v/>
      </c>
      <c r="F2527" s="59">
        <f>IF($H2527="","",IFERROR(VALUE(IFERROR(MID($H2527&amp;" ",FIND("|",SUBSTITUTE($H2527&amp;" "," ","|",4))+1,FIND("|",SUBSTITUTE($H2527&amp;" "," ","|",5))-FIND("|",SUBSTITUTE($H2527&amp;" "," ","|",4))-1),""))/86400+25569+9/24,""))</f>
        <v/>
      </c>
      <c r="G2527" s="58">
        <f>TRIM(SUBSTITUTE(SUBSTITUTE(SUBSTITUTE($A2527,CHAR(9)," ")," "," "),CHAR(13),""))</f>
        <v/>
      </c>
      <c r="H2527" s="58">
        <f>IF($G2527="","",IF(ISNUMBER(FIND(" ",$G2527)),$G2527,IFERROR(IF((LEN(SUBSTITUTE(SUBSTITUTE($G2527,"-"," ",LEN($G2527)-LEN(SUBSTITUTE($G2527,"-",""))),"-"," ",LEN($G2527)-LEN(SUBSTITUTE($G2527,"-",""))-1))-LEN(SUBSTITUTE(SUBSTITUTE(SUBSTITUTE($G2527,"-"," ",LEN($G2527)-LEN(SUBSTITUTE($G2527,"-",""))),"-"," ",LEN($G2527)-LEN(SUBSTITUTE($G2527,"-",""))-1),".","")))=0,SUBSTITUTE(SUBSTITUTE($G2527,"-"," ",LEN($G2527)-LEN(SUBSTITUTE($G2527,"-",""))),"-"," ",LEN($G2527)-LEN(SUBSTITUTE($G2527,"-",""))-1),SUBSTITUTE(SUBSTITUTE(SUBSTITUTE($G2527,"-"," ",LEN($G2527)-LEN(SUBSTITUTE($G2527,"-",""))),"-"," ",LEN($G2527)-LEN(SUBSTITUTE($G2527,"-",""))-1),"."," ",(LEN(SUBSTITUTE(SUBSTITUTE($G2527,"-"," ",LEN($G2527)-LEN(SUBSTITUTE($G2527,"-",""))),"-"," ",LEN($G2527)-LEN(SUBSTITUTE($G2527,"-",""))-1))-LEN(SUBSTITUTE(SUBSTITUTE(SUBSTITUTE($G2527,"-"," ",LEN($G2527)-LEN(SUBSTITUTE($G2527,"-",""))),"-"," ",LEN($G2527)-LEN(SUBSTITUTE($G2527,"-",""))-1),".",""))))),$G2527)))</f>
        <v/>
      </c>
    </row>
    <row r="2528">
      <c r="A2528" s="58" t="n"/>
      <c r="B2528" s="58">
        <f>IF($H2528="","",LEFT($H2528,FIND(" ",$H2528&amp;" ")-1))</f>
        <v/>
      </c>
      <c r="C2528" s="58">
        <f>IF($H2528="","",IFERROR(MID($H2528&amp;" ",FIND("|",SUBSTITUTE($H2528&amp;" "," ","|",1))+1,FIND("|",SUBSTITUTE($H2528&amp;" "," ","|",2))-FIND("|",SUBSTITUTE($H2528&amp;" "," ","|",1))-1),""))</f>
        <v/>
      </c>
      <c r="D2528" s="58">
        <f>IF($H2528="","",IFERROR(MID($H2528&amp;" ",FIND("|",SUBSTITUTE($H2528&amp;" "," ","|",2))+1,FIND("|",SUBSTITUTE($H2528&amp;" "," ","|",3))-FIND("|",SUBSTITUTE($H2528&amp;" "," ","|",2))-1),""))</f>
        <v/>
      </c>
      <c r="E2528" s="58">
        <f>IF($H2528="","",IFERROR(MID($H2528&amp;" ",FIND("|",SUBSTITUTE($H2528&amp;" "," ","|",3))+1,FIND("|",SUBSTITUTE($H2528&amp;" "," ","|",4))-FIND("|",SUBSTITUTE($H2528&amp;" "," ","|",3))-1),""))</f>
        <v/>
      </c>
      <c r="F2528" s="59">
        <f>IF($H2528="","",IFERROR(VALUE(IFERROR(MID($H2528&amp;" ",FIND("|",SUBSTITUTE($H2528&amp;" "," ","|",4))+1,FIND("|",SUBSTITUTE($H2528&amp;" "," ","|",5))-FIND("|",SUBSTITUTE($H2528&amp;" "," ","|",4))-1),""))/86400+25569+9/24,""))</f>
        <v/>
      </c>
      <c r="G2528" s="58">
        <f>TRIM(SUBSTITUTE(SUBSTITUTE(SUBSTITUTE($A2528,CHAR(9)," ")," "," "),CHAR(13),""))</f>
        <v/>
      </c>
      <c r="H2528" s="58">
        <f>IF($G2528="","",IF(ISNUMBER(FIND(" ",$G2528)),$G2528,IFERROR(IF((LEN(SUBSTITUTE(SUBSTITUTE($G2528,"-"," ",LEN($G2528)-LEN(SUBSTITUTE($G2528,"-",""))),"-"," ",LEN($G2528)-LEN(SUBSTITUTE($G2528,"-",""))-1))-LEN(SUBSTITUTE(SUBSTITUTE(SUBSTITUTE($G2528,"-"," ",LEN($G2528)-LEN(SUBSTITUTE($G2528,"-",""))),"-"," ",LEN($G2528)-LEN(SUBSTITUTE($G2528,"-",""))-1),".","")))=0,SUBSTITUTE(SUBSTITUTE($G2528,"-"," ",LEN($G2528)-LEN(SUBSTITUTE($G2528,"-",""))),"-"," ",LEN($G2528)-LEN(SUBSTITUTE($G2528,"-",""))-1),SUBSTITUTE(SUBSTITUTE(SUBSTITUTE($G2528,"-"," ",LEN($G2528)-LEN(SUBSTITUTE($G2528,"-",""))),"-"," ",LEN($G2528)-LEN(SUBSTITUTE($G2528,"-",""))-1),"."," ",(LEN(SUBSTITUTE(SUBSTITUTE($G2528,"-"," ",LEN($G2528)-LEN(SUBSTITUTE($G2528,"-",""))),"-"," ",LEN($G2528)-LEN(SUBSTITUTE($G2528,"-",""))-1))-LEN(SUBSTITUTE(SUBSTITUTE(SUBSTITUTE($G2528,"-"," ",LEN($G2528)-LEN(SUBSTITUTE($G2528,"-",""))),"-"," ",LEN($G2528)-LEN(SUBSTITUTE($G2528,"-",""))-1),".",""))))),$G2528)))</f>
        <v/>
      </c>
    </row>
    <row r="2529">
      <c r="A2529" s="58" t="n"/>
      <c r="B2529" s="58">
        <f>IF($H2529="","",LEFT($H2529,FIND(" ",$H2529&amp;" ")-1))</f>
        <v/>
      </c>
      <c r="C2529" s="58">
        <f>IF($H2529="","",IFERROR(MID($H2529&amp;" ",FIND("|",SUBSTITUTE($H2529&amp;" "," ","|",1))+1,FIND("|",SUBSTITUTE($H2529&amp;" "," ","|",2))-FIND("|",SUBSTITUTE($H2529&amp;" "," ","|",1))-1),""))</f>
        <v/>
      </c>
      <c r="D2529" s="58">
        <f>IF($H2529="","",IFERROR(MID($H2529&amp;" ",FIND("|",SUBSTITUTE($H2529&amp;" "," ","|",2))+1,FIND("|",SUBSTITUTE($H2529&amp;" "," ","|",3))-FIND("|",SUBSTITUTE($H2529&amp;" "," ","|",2))-1),""))</f>
        <v/>
      </c>
      <c r="E2529" s="58">
        <f>IF($H2529="","",IFERROR(MID($H2529&amp;" ",FIND("|",SUBSTITUTE($H2529&amp;" "," ","|",3))+1,FIND("|",SUBSTITUTE($H2529&amp;" "," ","|",4))-FIND("|",SUBSTITUTE($H2529&amp;" "," ","|",3))-1),""))</f>
        <v/>
      </c>
      <c r="F2529" s="59">
        <f>IF($H2529="","",IFERROR(VALUE(IFERROR(MID($H2529&amp;" ",FIND("|",SUBSTITUTE($H2529&amp;" "," ","|",4))+1,FIND("|",SUBSTITUTE($H2529&amp;" "," ","|",5))-FIND("|",SUBSTITUTE($H2529&amp;" "," ","|",4))-1),""))/86400+25569+9/24,""))</f>
        <v/>
      </c>
      <c r="G2529" s="58">
        <f>TRIM(SUBSTITUTE(SUBSTITUTE(SUBSTITUTE($A2529,CHAR(9)," ")," "," "),CHAR(13),""))</f>
        <v/>
      </c>
      <c r="H2529" s="58">
        <f>IF($G2529="","",IF(ISNUMBER(FIND(" ",$G2529)),$G2529,IFERROR(IF((LEN(SUBSTITUTE(SUBSTITUTE($G2529,"-"," ",LEN($G2529)-LEN(SUBSTITUTE($G2529,"-",""))),"-"," ",LEN($G2529)-LEN(SUBSTITUTE($G2529,"-",""))-1))-LEN(SUBSTITUTE(SUBSTITUTE(SUBSTITUTE($G2529,"-"," ",LEN($G2529)-LEN(SUBSTITUTE($G2529,"-",""))),"-"," ",LEN($G2529)-LEN(SUBSTITUTE($G2529,"-",""))-1),".","")))=0,SUBSTITUTE(SUBSTITUTE($G2529,"-"," ",LEN($G2529)-LEN(SUBSTITUTE($G2529,"-",""))),"-"," ",LEN($G2529)-LEN(SUBSTITUTE($G2529,"-",""))-1),SUBSTITUTE(SUBSTITUTE(SUBSTITUTE($G2529,"-"," ",LEN($G2529)-LEN(SUBSTITUTE($G2529,"-",""))),"-"," ",LEN($G2529)-LEN(SUBSTITUTE($G2529,"-",""))-1),"."," ",(LEN(SUBSTITUTE(SUBSTITUTE($G2529,"-"," ",LEN($G2529)-LEN(SUBSTITUTE($G2529,"-",""))),"-"," ",LEN($G2529)-LEN(SUBSTITUTE($G2529,"-",""))-1))-LEN(SUBSTITUTE(SUBSTITUTE(SUBSTITUTE($G2529,"-"," ",LEN($G2529)-LEN(SUBSTITUTE($G2529,"-",""))),"-"," ",LEN($G2529)-LEN(SUBSTITUTE($G2529,"-",""))-1),".",""))))),$G2529)))</f>
        <v/>
      </c>
    </row>
    <row r="2530">
      <c r="A2530" s="58" t="n"/>
      <c r="B2530" s="58">
        <f>IF($H2530="","",LEFT($H2530,FIND(" ",$H2530&amp;" ")-1))</f>
        <v/>
      </c>
      <c r="C2530" s="58">
        <f>IF($H2530="","",IFERROR(MID($H2530&amp;" ",FIND("|",SUBSTITUTE($H2530&amp;" "," ","|",1))+1,FIND("|",SUBSTITUTE($H2530&amp;" "," ","|",2))-FIND("|",SUBSTITUTE($H2530&amp;" "," ","|",1))-1),""))</f>
        <v/>
      </c>
      <c r="D2530" s="58">
        <f>IF($H2530="","",IFERROR(MID($H2530&amp;" ",FIND("|",SUBSTITUTE($H2530&amp;" "," ","|",2))+1,FIND("|",SUBSTITUTE($H2530&amp;" "," ","|",3))-FIND("|",SUBSTITUTE($H2530&amp;" "," ","|",2))-1),""))</f>
        <v/>
      </c>
      <c r="E2530" s="58">
        <f>IF($H2530="","",IFERROR(MID($H2530&amp;" ",FIND("|",SUBSTITUTE($H2530&amp;" "," ","|",3))+1,FIND("|",SUBSTITUTE($H2530&amp;" "," ","|",4))-FIND("|",SUBSTITUTE($H2530&amp;" "," ","|",3))-1),""))</f>
        <v/>
      </c>
      <c r="F2530" s="59">
        <f>IF($H2530="","",IFERROR(VALUE(IFERROR(MID($H2530&amp;" ",FIND("|",SUBSTITUTE($H2530&amp;" "," ","|",4))+1,FIND("|",SUBSTITUTE($H2530&amp;" "," ","|",5))-FIND("|",SUBSTITUTE($H2530&amp;" "," ","|",4))-1),""))/86400+25569+9/24,""))</f>
        <v/>
      </c>
      <c r="G2530" s="58">
        <f>TRIM(SUBSTITUTE(SUBSTITUTE(SUBSTITUTE($A2530,CHAR(9)," ")," "," "),CHAR(13),""))</f>
        <v/>
      </c>
      <c r="H2530" s="58">
        <f>IF($G2530="","",IF(ISNUMBER(FIND(" ",$G2530)),$G2530,IFERROR(IF((LEN(SUBSTITUTE(SUBSTITUTE($G2530,"-"," ",LEN($G2530)-LEN(SUBSTITUTE($G2530,"-",""))),"-"," ",LEN($G2530)-LEN(SUBSTITUTE($G2530,"-",""))-1))-LEN(SUBSTITUTE(SUBSTITUTE(SUBSTITUTE($G2530,"-"," ",LEN($G2530)-LEN(SUBSTITUTE($G2530,"-",""))),"-"," ",LEN($G2530)-LEN(SUBSTITUTE($G2530,"-",""))-1),".","")))=0,SUBSTITUTE(SUBSTITUTE($G2530,"-"," ",LEN($G2530)-LEN(SUBSTITUTE($G2530,"-",""))),"-"," ",LEN($G2530)-LEN(SUBSTITUTE($G2530,"-",""))-1),SUBSTITUTE(SUBSTITUTE(SUBSTITUTE($G2530,"-"," ",LEN($G2530)-LEN(SUBSTITUTE($G2530,"-",""))),"-"," ",LEN($G2530)-LEN(SUBSTITUTE($G2530,"-",""))-1),"."," ",(LEN(SUBSTITUTE(SUBSTITUTE($G2530,"-"," ",LEN($G2530)-LEN(SUBSTITUTE($G2530,"-",""))),"-"," ",LEN($G2530)-LEN(SUBSTITUTE($G2530,"-",""))-1))-LEN(SUBSTITUTE(SUBSTITUTE(SUBSTITUTE($G2530,"-"," ",LEN($G2530)-LEN(SUBSTITUTE($G2530,"-",""))),"-"," ",LEN($G2530)-LEN(SUBSTITUTE($G2530,"-",""))-1),".",""))))),$G2530)))</f>
        <v/>
      </c>
    </row>
    <row r="2531">
      <c r="A2531" s="58" t="n"/>
      <c r="B2531" s="58">
        <f>IF($H2531="","",LEFT($H2531,FIND(" ",$H2531&amp;" ")-1))</f>
        <v/>
      </c>
      <c r="C2531" s="58">
        <f>IF($H2531="","",IFERROR(MID($H2531&amp;" ",FIND("|",SUBSTITUTE($H2531&amp;" "," ","|",1))+1,FIND("|",SUBSTITUTE($H2531&amp;" "," ","|",2))-FIND("|",SUBSTITUTE($H2531&amp;" "," ","|",1))-1),""))</f>
        <v/>
      </c>
      <c r="D2531" s="58">
        <f>IF($H2531="","",IFERROR(MID($H2531&amp;" ",FIND("|",SUBSTITUTE($H2531&amp;" "," ","|",2))+1,FIND("|",SUBSTITUTE($H2531&amp;" "," ","|",3))-FIND("|",SUBSTITUTE($H2531&amp;" "," ","|",2))-1),""))</f>
        <v/>
      </c>
      <c r="E2531" s="58">
        <f>IF($H2531="","",IFERROR(MID($H2531&amp;" ",FIND("|",SUBSTITUTE($H2531&amp;" "," ","|",3))+1,FIND("|",SUBSTITUTE($H2531&amp;" "," ","|",4))-FIND("|",SUBSTITUTE($H2531&amp;" "," ","|",3))-1),""))</f>
        <v/>
      </c>
      <c r="F2531" s="59">
        <f>IF($H2531="","",IFERROR(VALUE(IFERROR(MID($H2531&amp;" ",FIND("|",SUBSTITUTE($H2531&amp;" "," ","|",4))+1,FIND("|",SUBSTITUTE($H2531&amp;" "," ","|",5))-FIND("|",SUBSTITUTE($H2531&amp;" "," ","|",4))-1),""))/86400+25569+9/24,""))</f>
        <v/>
      </c>
      <c r="G2531" s="58">
        <f>TRIM(SUBSTITUTE(SUBSTITUTE(SUBSTITUTE($A2531,CHAR(9)," ")," "," "),CHAR(13),""))</f>
        <v/>
      </c>
      <c r="H2531" s="58">
        <f>IF($G2531="","",IF(ISNUMBER(FIND(" ",$G2531)),$G2531,IFERROR(IF((LEN(SUBSTITUTE(SUBSTITUTE($G2531,"-"," ",LEN($G2531)-LEN(SUBSTITUTE($G2531,"-",""))),"-"," ",LEN($G2531)-LEN(SUBSTITUTE($G2531,"-",""))-1))-LEN(SUBSTITUTE(SUBSTITUTE(SUBSTITUTE($G2531,"-"," ",LEN($G2531)-LEN(SUBSTITUTE($G2531,"-",""))),"-"," ",LEN($G2531)-LEN(SUBSTITUTE($G2531,"-",""))-1),".","")))=0,SUBSTITUTE(SUBSTITUTE($G2531,"-"," ",LEN($G2531)-LEN(SUBSTITUTE($G2531,"-",""))),"-"," ",LEN($G2531)-LEN(SUBSTITUTE($G2531,"-",""))-1),SUBSTITUTE(SUBSTITUTE(SUBSTITUTE($G2531,"-"," ",LEN($G2531)-LEN(SUBSTITUTE($G2531,"-",""))),"-"," ",LEN($G2531)-LEN(SUBSTITUTE($G2531,"-",""))-1),"."," ",(LEN(SUBSTITUTE(SUBSTITUTE($G2531,"-"," ",LEN($G2531)-LEN(SUBSTITUTE($G2531,"-",""))),"-"," ",LEN($G2531)-LEN(SUBSTITUTE($G2531,"-",""))-1))-LEN(SUBSTITUTE(SUBSTITUTE(SUBSTITUTE($G2531,"-"," ",LEN($G2531)-LEN(SUBSTITUTE($G2531,"-",""))),"-"," ",LEN($G2531)-LEN(SUBSTITUTE($G2531,"-",""))-1),".",""))))),$G2531)))</f>
        <v/>
      </c>
    </row>
    <row r="2532">
      <c r="A2532" s="58" t="n"/>
      <c r="B2532" s="58">
        <f>IF($H2532="","",LEFT($H2532,FIND(" ",$H2532&amp;" ")-1))</f>
        <v/>
      </c>
      <c r="C2532" s="58">
        <f>IF($H2532="","",IFERROR(MID($H2532&amp;" ",FIND("|",SUBSTITUTE($H2532&amp;" "," ","|",1))+1,FIND("|",SUBSTITUTE($H2532&amp;" "," ","|",2))-FIND("|",SUBSTITUTE($H2532&amp;" "," ","|",1))-1),""))</f>
        <v/>
      </c>
      <c r="D2532" s="58">
        <f>IF($H2532="","",IFERROR(MID($H2532&amp;" ",FIND("|",SUBSTITUTE($H2532&amp;" "," ","|",2))+1,FIND("|",SUBSTITUTE($H2532&amp;" "," ","|",3))-FIND("|",SUBSTITUTE($H2532&amp;" "," ","|",2))-1),""))</f>
        <v/>
      </c>
      <c r="E2532" s="58">
        <f>IF($H2532="","",IFERROR(MID($H2532&amp;" ",FIND("|",SUBSTITUTE($H2532&amp;" "," ","|",3))+1,FIND("|",SUBSTITUTE($H2532&amp;" "," ","|",4))-FIND("|",SUBSTITUTE($H2532&amp;" "," ","|",3))-1),""))</f>
        <v/>
      </c>
      <c r="F2532" s="59">
        <f>IF($H2532="","",IFERROR(VALUE(IFERROR(MID($H2532&amp;" ",FIND("|",SUBSTITUTE($H2532&amp;" "," ","|",4))+1,FIND("|",SUBSTITUTE($H2532&amp;" "," ","|",5))-FIND("|",SUBSTITUTE($H2532&amp;" "," ","|",4))-1),""))/86400+25569+9/24,""))</f>
        <v/>
      </c>
      <c r="G2532" s="58">
        <f>TRIM(SUBSTITUTE(SUBSTITUTE(SUBSTITUTE($A2532,CHAR(9)," ")," "," "),CHAR(13),""))</f>
        <v/>
      </c>
      <c r="H2532" s="58">
        <f>IF($G2532="","",IF(ISNUMBER(FIND(" ",$G2532)),$G2532,IFERROR(IF((LEN(SUBSTITUTE(SUBSTITUTE($G2532,"-"," ",LEN($G2532)-LEN(SUBSTITUTE($G2532,"-",""))),"-"," ",LEN($G2532)-LEN(SUBSTITUTE($G2532,"-",""))-1))-LEN(SUBSTITUTE(SUBSTITUTE(SUBSTITUTE($G2532,"-"," ",LEN($G2532)-LEN(SUBSTITUTE($G2532,"-",""))),"-"," ",LEN($G2532)-LEN(SUBSTITUTE($G2532,"-",""))-1),".","")))=0,SUBSTITUTE(SUBSTITUTE($G2532,"-"," ",LEN($G2532)-LEN(SUBSTITUTE($G2532,"-",""))),"-"," ",LEN($G2532)-LEN(SUBSTITUTE($G2532,"-",""))-1),SUBSTITUTE(SUBSTITUTE(SUBSTITUTE($G2532,"-"," ",LEN($G2532)-LEN(SUBSTITUTE($G2532,"-",""))),"-"," ",LEN($G2532)-LEN(SUBSTITUTE($G2532,"-",""))-1),"."," ",(LEN(SUBSTITUTE(SUBSTITUTE($G2532,"-"," ",LEN($G2532)-LEN(SUBSTITUTE($G2532,"-",""))),"-"," ",LEN($G2532)-LEN(SUBSTITUTE($G2532,"-",""))-1))-LEN(SUBSTITUTE(SUBSTITUTE(SUBSTITUTE($G2532,"-"," ",LEN($G2532)-LEN(SUBSTITUTE($G2532,"-",""))),"-"," ",LEN($G2532)-LEN(SUBSTITUTE($G2532,"-",""))-1),".",""))))),$G2532)))</f>
        <v/>
      </c>
    </row>
    <row r="2533">
      <c r="A2533" s="58" t="n"/>
      <c r="B2533" s="58">
        <f>IF($H2533="","",LEFT($H2533,FIND(" ",$H2533&amp;" ")-1))</f>
        <v/>
      </c>
      <c r="C2533" s="58">
        <f>IF($H2533="","",IFERROR(MID($H2533&amp;" ",FIND("|",SUBSTITUTE($H2533&amp;" "," ","|",1))+1,FIND("|",SUBSTITUTE($H2533&amp;" "," ","|",2))-FIND("|",SUBSTITUTE($H2533&amp;" "," ","|",1))-1),""))</f>
        <v/>
      </c>
      <c r="D2533" s="58">
        <f>IF($H2533="","",IFERROR(MID($H2533&amp;" ",FIND("|",SUBSTITUTE($H2533&amp;" "," ","|",2))+1,FIND("|",SUBSTITUTE($H2533&amp;" "," ","|",3))-FIND("|",SUBSTITUTE($H2533&amp;" "," ","|",2))-1),""))</f>
        <v/>
      </c>
      <c r="E2533" s="58">
        <f>IF($H2533="","",IFERROR(MID($H2533&amp;" ",FIND("|",SUBSTITUTE($H2533&amp;" "," ","|",3))+1,FIND("|",SUBSTITUTE($H2533&amp;" "," ","|",4))-FIND("|",SUBSTITUTE($H2533&amp;" "," ","|",3))-1),""))</f>
        <v/>
      </c>
      <c r="F2533" s="59">
        <f>IF($H2533="","",IFERROR(VALUE(IFERROR(MID($H2533&amp;" ",FIND("|",SUBSTITUTE($H2533&amp;" "," ","|",4))+1,FIND("|",SUBSTITUTE($H2533&amp;" "," ","|",5))-FIND("|",SUBSTITUTE($H2533&amp;" "," ","|",4))-1),""))/86400+25569+9/24,""))</f>
        <v/>
      </c>
      <c r="G2533" s="58">
        <f>TRIM(SUBSTITUTE(SUBSTITUTE(SUBSTITUTE($A2533,CHAR(9)," ")," "," "),CHAR(13),""))</f>
        <v/>
      </c>
      <c r="H2533" s="58">
        <f>IF($G2533="","",IF(ISNUMBER(FIND(" ",$G2533)),$G2533,IFERROR(IF((LEN(SUBSTITUTE(SUBSTITUTE($G2533,"-"," ",LEN($G2533)-LEN(SUBSTITUTE($G2533,"-",""))),"-"," ",LEN($G2533)-LEN(SUBSTITUTE($G2533,"-",""))-1))-LEN(SUBSTITUTE(SUBSTITUTE(SUBSTITUTE($G2533,"-"," ",LEN($G2533)-LEN(SUBSTITUTE($G2533,"-",""))),"-"," ",LEN($G2533)-LEN(SUBSTITUTE($G2533,"-",""))-1),".","")))=0,SUBSTITUTE(SUBSTITUTE($G2533,"-"," ",LEN($G2533)-LEN(SUBSTITUTE($G2533,"-",""))),"-"," ",LEN($G2533)-LEN(SUBSTITUTE($G2533,"-",""))-1),SUBSTITUTE(SUBSTITUTE(SUBSTITUTE($G2533,"-"," ",LEN($G2533)-LEN(SUBSTITUTE($G2533,"-",""))),"-"," ",LEN($G2533)-LEN(SUBSTITUTE($G2533,"-",""))-1),"."," ",(LEN(SUBSTITUTE(SUBSTITUTE($G2533,"-"," ",LEN($G2533)-LEN(SUBSTITUTE($G2533,"-",""))),"-"," ",LEN($G2533)-LEN(SUBSTITUTE($G2533,"-",""))-1))-LEN(SUBSTITUTE(SUBSTITUTE(SUBSTITUTE($G2533,"-"," ",LEN($G2533)-LEN(SUBSTITUTE($G2533,"-",""))),"-"," ",LEN($G2533)-LEN(SUBSTITUTE($G2533,"-",""))-1),".",""))))),$G2533)))</f>
        <v/>
      </c>
    </row>
    <row r="2534">
      <c r="A2534" s="58" t="n"/>
      <c r="B2534" s="58">
        <f>IF($H2534="","",LEFT($H2534,FIND(" ",$H2534&amp;" ")-1))</f>
        <v/>
      </c>
      <c r="C2534" s="58">
        <f>IF($H2534="","",IFERROR(MID($H2534&amp;" ",FIND("|",SUBSTITUTE($H2534&amp;" "," ","|",1))+1,FIND("|",SUBSTITUTE($H2534&amp;" "," ","|",2))-FIND("|",SUBSTITUTE($H2534&amp;" "," ","|",1))-1),""))</f>
        <v/>
      </c>
      <c r="D2534" s="58">
        <f>IF($H2534="","",IFERROR(MID($H2534&amp;" ",FIND("|",SUBSTITUTE($H2534&amp;" "," ","|",2))+1,FIND("|",SUBSTITUTE($H2534&amp;" "," ","|",3))-FIND("|",SUBSTITUTE($H2534&amp;" "," ","|",2))-1),""))</f>
        <v/>
      </c>
      <c r="E2534" s="58">
        <f>IF($H2534="","",IFERROR(MID($H2534&amp;" ",FIND("|",SUBSTITUTE($H2534&amp;" "," ","|",3))+1,FIND("|",SUBSTITUTE($H2534&amp;" "," ","|",4))-FIND("|",SUBSTITUTE($H2534&amp;" "," ","|",3))-1),""))</f>
        <v/>
      </c>
      <c r="F2534" s="59">
        <f>IF($H2534="","",IFERROR(VALUE(IFERROR(MID($H2534&amp;" ",FIND("|",SUBSTITUTE($H2534&amp;" "," ","|",4))+1,FIND("|",SUBSTITUTE($H2534&amp;" "," ","|",5))-FIND("|",SUBSTITUTE($H2534&amp;" "," ","|",4))-1),""))/86400+25569+9/24,""))</f>
        <v/>
      </c>
      <c r="G2534" s="58">
        <f>TRIM(SUBSTITUTE(SUBSTITUTE(SUBSTITUTE($A2534,CHAR(9)," ")," "," "),CHAR(13),""))</f>
        <v/>
      </c>
      <c r="H2534" s="58">
        <f>IF($G2534="","",IF(ISNUMBER(FIND(" ",$G2534)),$G2534,IFERROR(IF((LEN(SUBSTITUTE(SUBSTITUTE($G2534,"-"," ",LEN($G2534)-LEN(SUBSTITUTE($G2534,"-",""))),"-"," ",LEN($G2534)-LEN(SUBSTITUTE($G2534,"-",""))-1))-LEN(SUBSTITUTE(SUBSTITUTE(SUBSTITUTE($G2534,"-"," ",LEN($G2534)-LEN(SUBSTITUTE($G2534,"-",""))),"-"," ",LEN($G2534)-LEN(SUBSTITUTE($G2534,"-",""))-1),".","")))=0,SUBSTITUTE(SUBSTITUTE($G2534,"-"," ",LEN($G2534)-LEN(SUBSTITUTE($G2534,"-",""))),"-"," ",LEN($G2534)-LEN(SUBSTITUTE($G2534,"-",""))-1),SUBSTITUTE(SUBSTITUTE(SUBSTITUTE($G2534,"-"," ",LEN($G2534)-LEN(SUBSTITUTE($G2534,"-",""))),"-"," ",LEN($G2534)-LEN(SUBSTITUTE($G2534,"-",""))-1),"."," ",(LEN(SUBSTITUTE(SUBSTITUTE($G2534,"-"," ",LEN($G2534)-LEN(SUBSTITUTE($G2534,"-",""))),"-"," ",LEN($G2534)-LEN(SUBSTITUTE($G2534,"-",""))-1))-LEN(SUBSTITUTE(SUBSTITUTE(SUBSTITUTE($G2534,"-"," ",LEN($G2534)-LEN(SUBSTITUTE($G2534,"-",""))),"-"," ",LEN($G2534)-LEN(SUBSTITUTE($G2534,"-",""))-1),".",""))))),$G2534)))</f>
        <v/>
      </c>
    </row>
    <row r="2535">
      <c r="A2535" s="58" t="n"/>
      <c r="B2535" s="58">
        <f>IF($H2535="","",LEFT($H2535,FIND(" ",$H2535&amp;" ")-1))</f>
        <v/>
      </c>
      <c r="C2535" s="58">
        <f>IF($H2535="","",IFERROR(MID($H2535&amp;" ",FIND("|",SUBSTITUTE($H2535&amp;" "," ","|",1))+1,FIND("|",SUBSTITUTE($H2535&amp;" "," ","|",2))-FIND("|",SUBSTITUTE($H2535&amp;" "," ","|",1))-1),""))</f>
        <v/>
      </c>
      <c r="D2535" s="58">
        <f>IF($H2535="","",IFERROR(MID($H2535&amp;" ",FIND("|",SUBSTITUTE($H2535&amp;" "," ","|",2))+1,FIND("|",SUBSTITUTE($H2535&amp;" "," ","|",3))-FIND("|",SUBSTITUTE($H2535&amp;" "," ","|",2))-1),""))</f>
        <v/>
      </c>
      <c r="E2535" s="58">
        <f>IF($H2535="","",IFERROR(MID($H2535&amp;" ",FIND("|",SUBSTITUTE($H2535&amp;" "," ","|",3))+1,FIND("|",SUBSTITUTE($H2535&amp;" "," ","|",4))-FIND("|",SUBSTITUTE($H2535&amp;" "," ","|",3))-1),""))</f>
        <v/>
      </c>
      <c r="F2535" s="59">
        <f>IF($H2535="","",IFERROR(VALUE(IFERROR(MID($H2535&amp;" ",FIND("|",SUBSTITUTE($H2535&amp;" "," ","|",4))+1,FIND("|",SUBSTITUTE($H2535&amp;" "," ","|",5))-FIND("|",SUBSTITUTE($H2535&amp;" "," ","|",4))-1),""))/86400+25569+9/24,""))</f>
        <v/>
      </c>
      <c r="G2535" s="58">
        <f>TRIM(SUBSTITUTE(SUBSTITUTE(SUBSTITUTE($A2535,CHAR(9)," ")," "," "),CHAR(13),""))</f>
        <v/>
      </c>
      <c r="H2535" s="58">
        <f>IF($G2535="","",IF(ISNUMBER(FIND(" ",$G2535)),$G2535,IFERROR(IF((LEN(SUBSTITUTE(SUBSTITUTE($G2535,"-"," ",LEN($G2535)-LEN(SUBSTITUTE($G2535,"-",""))),"-"," ",LEN($G2535)-LEN(SUBSTITUTE($G2535,"-",""))-1))-LEN(SUBSTITUTE(SUBSTITUTE(SUBSTITUTE($G2535,"-"," ",LEN($G2535)-LEN(SUBSTITUTE($G2535,"-",""))),"-"," ",LEN($G2535)-LEN(SUBSTITUTE($G2535,"-",""))-1),".","")))=0,SUBSTITUTE(SUBSTITUTE($G2535,"-"," ",LEN($G2535)-LEN(SUBSTITUTE($G2535,"-",""))),"-"," ",LEN($G2535)-LEN(SUBSTITUTE($G2535,"-",""))-1),SUBSTITUTE(SUBSTITUTE(SUBSTITUTE($G2535,"-"," ",LEN($G2535)-LEN(SUBSTITUTE($G2535,"-",""))),"-"," ",LEN($G2535)-LEN(SUBSTITUTE($G2535,"-",""))-1),"."," ",(LEN(SUBSTITUTE(SUBSTITUTE($G2535,"-"," ",LEN($G2535)-LEN(SUBSTITUTE($G2535,"-",""))),"-"," ",LEN($G2535)-LEN(SUBSTITUTE($G2535,"-",""))-1))-LEN(SUBSTITUTE(SUBSTITUTE(SUBSTITUTE($G2535,"-"," ",LEN($G2535)-LEN(SUBSTITUTE($G2535,"-",""))),"-"," ",LEN($G2535)-LEN(SUBSTITUTE($G2535,"-",""))-1),".",""))))),$G2535)))</f>
        <v/>
      </c>
    </row>
    <row r="2536">
      <c r="A2536" s="58" t="n"/>
      <c r="B2536" s="58">
        <f>IF($H2536="","",LEFT($H2536,FIND(" ",$H2536&amp;" ")-1))</f>
        <v/>
      </c>
      <c r="C2536" s="58">
        <f>IF($H2536="","",IFERROR(MID($H2536&amp;" ",FIND("|",SUBSTITUTE($H2536&amp;" "," ","|",1))+1,FIND("|",SUBSTITUTE($H2536&amp;" "," ","|",2))-FIND("|",SUBSTITUTE($H2536&amp;" "," ","|",1))-1),""))</f>
        <v/>
      </c>
      <c r="D2536" s="58">
        <f>IF($H2536="","",IFERROR(MID($H2536&amp;" ",FIND("|",SUBSTITUTE($H2536&amp;" "," ","|",2))+1,FIND("|",SUBSTITUTE($H2536&amp;" "," ","|",3))-FIND("|",SUBSTITUTE($H2536&amp;" "," ","|",2))-1),""))</f>
        <v/>
      </c>
      <c r="E2536" s="58">
        <f>IF($H2536="","",IFERROR(MID($H2536&amp;" ",FIND("|",SUBSTITUTE($H2536&amp;" "," ","|",3))+1,FIND("|",SUBSTITUTE($H2536&amp;" "," ","|",4))-FIND("|",SUBSTITUTE($H2536&amp;" "," ","|",3))-1),""))</f>
        <v/>
      </c>
      <c r="F2536" s="59">
        <f>IF($H2536="","",IFERROR(VALUE(IFERROR(MID($H2536&amp;" ",FIND("|",SUBSTITUTE($H2536&amp;" "," ","|",4))+1,FIND("|",SUBSTITUTE($H2536&amp;" "," ","|",5))-FIND("|",SUBSTITUTE($H2536&amp;" "," ","|",4))-1),""))/86400+25569+9/24,""))</f>
        <v/>
      </c>
      <c r="G2536" s="58">
        <f>TRIM(SUBSTITUTE(SUBSTITUTE(SUBSTITUTE($A2536,CHAR(9)," ")," "," "),CHAR(13),""))</f>
        <v/>
      </c>
      <c r="H2536" s="58">
        <f>IF($G2536="","",IF(ISNUMBER(FIND(" ",$G2536)),$G2536,IFERROR(IF((LEN(SUBSTITUTE(SUBSTITUTE($G2536,"-"," ",LEN($G2536)-LEN(SUBSTITUTE($G2536,"-",""))),"-"," ",LEN($G2536)-LEN(SUBSTITUTE($G2536,"-",""))-1))-LEN(SUBSTITUTE(SUBSTITUTE(SUBSTITUTE($G2536,"-"," ",LEN($G2536)-LEN(SUBSTITUTE($G2536,"-",""))),"-"," ",LEN($G2536)-LEN(SUBSTITUTE($G2536,"-",""))-1),".","")))=0,SUBSTITUTE(SUBSTITUTE($G2536,"-"," ",LEN($G2536)-LEN(SUBSTITUTE($G2536,"-",""))),"-"," ",LEN($G2536)-LEN(SUBSTITUTE($G2536,"-",""))-1),SUBSTITUTE(SUBSTITUTE(SUBSTITUTE($G2536,"-"," ",LEN($G2536)-LEN(SUBSTITUTE($G2536,"-",""))),"-"," ",LEN($G2536)-LEN(SUBSTITUTE($G2536,"-",""))-1),"."," ",(LEN(SUBSTITUTE(SUBSTITUTE($G2536,"-"," ",LEN($G2536)-LEN(SUBSTITUTE($G2536,"-",""))),"-"," ",LEN($G2536)-LEN(SUBSTITUTE($G2536,"-",""))-1))-LEN(SUBSTITUTE(SUBSTITUTE(SUBSTITUTE($G2536,"-"," ",LEN($G2536)-LEN(SUBSTITUTE($G2536,"-",""))),"-"," ",LEN($G2536)-LEN(SUBSTITUTE($G2536,"-",""))-1),".",""))))),$G2536)))</f>
        <v/>
      </c>
    </row>
    <row r="2537">
      <c r="A2537" s="58" t="n"/>
      <c r="B2537" s="58">
        <f>IF($H2537="","",LEFT($H2537,FIND(" ",$H2537&amp;" ")-1))</f>
        <v/>
      </c>
      <c r="C2537" s="58">
        <f>IF($H2537="","",IFERROR(MID($H2537&amp;" ",FIND("|",SUBSTITUTE($H2537&amp;" "," ","|",1))+1,FIND("|",SUBSTITUTE($H2537&amp;" "," ","|",2))-FIND("|",SUBSTITUTE($H2537&amp;" "," ","|",1))-1),""))</f>
        <v/>
      </c>
      <c r="D2537" s="58">
        <f>IF($H2537="","",IFERROR(MID($H2537&amp;" ",FIND("|",SUBSTITUTE($H2537&amp;" "," ","|",2))+1,FIND("|",SUBSTITUTE($H2537&amp;" "," ","|",3))-FIND("|",SUBSTITUTE($H2537&amp;" "," ","|",2))-1),""))</f>
        <v/>
      </c>
      <c r="E2537" s="58">
        <f>IF($H2537="","",IFERROR(MID($H2537&amp;" ",FIND("|",SUBSTITUTE($H2537&amp;" "," ","|",3))+1,FIND("|",SUBSTITUTE($H2537&amp;" "," ","|",4))-FIND("|",SUBSTITUTE($H2537&amp;" "," ","|",3))-1),""))</f>
        <v/>
      </c>
      <c r="F2537" s="59">
        <f>IF($H2537="","",IFERROR(VALUE(IFERROR(MID($H2537&amp;" ",FIND("|",SUBSTITUTE($H2537&amp;" "," ","|",4))+1,FIND("|",SUBSTITUTE($H2537&amp;" "," ","|",5))-FIND("|",SUBSTITUTE($H2537&amp;" "," ","|",4))-1),""))/86400+25569+9/24,""))</f>
        <v/>
      </c>
      <c r="G2537" s="58">
        <f>TRIM(SUBSTITUTE(SUBSTITUTE(SUBSTITUTE($A2537,CHAR(9)," ")," "," "),CHAR(13),""))</f>
        <v/>
      </c>
      <c r="H2537" s="58">
        <f>IF($G2537="","",IF(ISNUMBER(FIND(" ",$G2537)),$G2537,IFERROR(IF((LEN(SUBSTITUTE(SUBSTITUTE($G2537,"-"," ",LEN($G2537)-LEN(SUBSTITUTE($G2537,"-",""))),"-"," ",LEN($G2537)-LEN(SUBSTITUTE($G2537,"-",""))-1))-LEN(SUBSTITUTE(SUBSTITUTE(SUBSTITUTE($G2537,"-"," ",LEN($G2537)-LEN(SUBSTITUTE($G2537,"-",""))),"-"," ",LEN($G2537)-LEN(SUBSTITUTE($G2537,"-",""))-1),".","")))=0,SUBSTITUTE(SUBSTITUTE($G2537,"-"," ",LEN($G2537)-LEN(SUBSTITUTE($G2537,"-",""))),"-"," ",LEN($G2537)-LEN(SUBSTITUTE($G2537,"-",""))-1),SUBSTITUTE(SUBSTITUTE(SUBSTITUTE($G2537,"-"," ",LEN($G2537)-LEN(SUBSTITUTE($G2537,"-",""))),"-"," ",LEN($G2537)-LEN(SUBSTITUTE($G2537,"-",""))-1),"."," ",(LEN(SUBSTITUTE(SUBSTITUTE($G2537,"-"," ",LEN($G2537)-LEN(SUBSTITUTE($G2537,"-",""))),"-"," ",LEN($G2537)-LEN(SUBSTITUTE($G2537,"-",""))-1))-LEN(SUBSTITUTE(SUBSTITUTE(SUBSTITUTE($G2537,"-"," ",LEN($G2537)-LEN(SUBSTITUTE($G2537,"-",""))),"-"," ",LEN($G2537)-LEN(SUBSTITUTE($G2537,"-",""))-1),".",""))))),$G2537)))</f>
        <v/>
      </c>
    </row>
    <row r="2538">
      <c r="A2538" s="58" t="n"/>
      <c r="B2538" s="58">
        <f>IF($H2538="","",LEFT($H2538,FIND(" ",$H2538&amp;" ")-1))</f>
        <v/>
      </c>
      <c r="C2538" s="58">
        <f>IF($H2538="","",IFERROR(MID($H2538&amp;" ",FIND("|",SUBSTITUTE($H2538&amp;" "," ","|",1))+1,FIND("|",SUBSTITUTE($H2538&amp;" "," ","|",2))-FIND("|",SUBSTITUTE($H2538&amp;" "," ","|",1))-1),""))</f>
        <v/>
      </c>
      <c r="D2538" s="58">
        <f>IF($H2538="","",IFERROR(MID($H2538&amp;" ",FIND("|",SUBSTITUTE($H2538&amp;" "," ","|",2))+1,FIND("|",SUBSTITUTE($H2538&amp;" "," ","|",3))-FIND("|",SUBSTITUTE($H2538&amp;" "," ","|",2))-1),""))</f>
        <v/>
      </c>
      <c r="E2538" s="58">
        <f>IF($H2538="","",IFERROR(MID($H2538&amp;" ",FIND("|",SUBSTITUTE($H2538&amp;" "," ","|",3))+1,FIND("|",SUBSTITUTE($H2538&amp;" "," ","|",4))-FIND("|",SUBSTITUTE($H2538&amp;" "," ","|",3))-1),""))</f>
        <v/>
      </c>
      <c r="F2538" s="59">
        <f>IF($H2538="","",IFERROR(VALUE(IFERROR(MID($H2538&amp;" ",FIND("|",SUBSTITUTE($H2538&amp;" "," ","|",4))+1,FIND("|",SUBSTITUTE($H2538&amp;" "," ","|",5))-FIND("|",SUBSTITUTE($H2538&amp;" "," ","|",4))-1),""))/86400+25569+9/24,""))</f>
        <v/>
      </c>
      <c r="G2538" s="58">
        <f>TRIM(SUBSTITUTE(SUBSTITUTE(SUBSTITUTE($A2538,CHAR(9)," ")," "," "),CHAR(13),""))</f>
        <v/>
      </c>
      <c r="H2538" s="58">
        <f>IF($G2538="","",IF(ISNUMBER(FIND(" ",$G2538)),$G2538,IFERROR(IF((LEN(SUBSTITUTE(SUBSTITUTE($G2538,"-"," ",LEN($G2538)-LEN(SUBSTITUTE($G2538,"-",""))),"-"," ",LEN($G2538)-LEN(SUBSTITUTE($G2538,"-",""))-1))-LEN(SUBSTITUTE(SUBSTITUTE(SUBSTITUTE($G2538,"-"," ",LEN($G2538)-LEN(SUBSTITUTE($G2538,"-",""))),"-"," ",LEN($G2538)-LEN(SUBSTITUTE($G2538,"-",""))-1),".","")))=0,SUBSTITUTE(SUBSTITUTE($G2538,"-"," ",LEN($G2538)-LEN(SUBSTITUTE($G2538,"-",""))),"-"," ",LEN($G2538)-LEN(SUBSTITUTE($G2538,"-",""))-1),SUBSTITUTE(SUBSTITUTE(SUBSTITUTE($G2538,"-"," ",LEN($G2538)-LEN(SUBSTITUTE($G2538,"-",""))),"-"," ",LEN($G2538)-LEN(SUBSTITUTE($G2538,"-",""))-1),"."," ",(LEN(SUBSTITUTE(SUBSTITUTE($G2538,"-"," ",LEN($G2538)-LEN(SUBSTITUTE($G2538,"-",""))),"-"," ",LEN($G2538)-LEN(SUBSTITUTE($G2538,"-",""))-1))-LEN(SUBSTITUTE(SUBSTITUTE(SUBSTITUTE($G2538,"-"," ",LEN($G2538)-LEN(SUBSTITUTE($G2538,"-",""))),"-"," ",LEN($G2538)-LEN(SUBSTITUTE($G2538,"-",""))-1),".",""))))),$G2538)))</f>
        <v/>
      </c>
    </row>
    <row r="2539">
      <c r="A2539" s="58" t="n"/>
      <c r="B2539" s="58">
        <f>IF($H2539="","",LEFT($H2539,FIND(" ",$H2539&amp;" ")-1))</f>
        <v/>
      </c>
      <c r="C2539" s="58">
        <f>IF($H2539="","",IFERROR(MID($H2539&amp;" ",FIND("|",SUBSTITUTE($H2539&amp;" "," ","|",1))+1,FIND("|",SUBSTITUTE($H2539&amp;" "," ","|",2))-FIND("|",SUBSTITUTE($H2539&amp;" "," ","|",1))-1),""))</f>
        <v/>
      </c>
      <c r="D2539" s="58">
        <f>IF($H2539="","",IFERROR(MID($H2539&amp;" ",FIND("|",SUBSTITUTE($H2539&amp;" "," ","|",2))+1,FIND("|",SUBSTITUTE($H2539&amp;" "," ","|",3))-FIND("|",SUBSTITUTE($H2539&amp;" "," ","|",2))-1),""))</f>
        <v/>
      </c>
      <c r="E2539" s="58">
        <f>IF($H2539="","",IFERROR(MID($H2539&amp;" ",FIND("|",SUBSTITUTE($H2539&amp;" "," ","|",3))+1,FIND("|",SUBSTITUTE($H2539&amp;" "," ","|",4))-FIND("|",SUBSTITUTE($H2539&amp;" "," ","|",3))-1),""))</f>
        <v/>
      </c>
      <c r="F2539" s="59">
        <f>IF($H2539="","",IFERROR(VALUE(IFERROR(MID($H2539&amp;" ",FIND("|",SUBSTITUTE($H2539&amp;" "," ","|",4))+1,FIND("|",SUBSTITUTE($H2539&amp;" "," ","|",5))-FIND("|",SUBSTITUTE($H2539&amp;" "," ","|",4))-1),""))/86400+25569+9/24,""))</f>
        <v/>
      </c>
      <c r="G2539" s="58">
        <f>TRIM(SUBSTITUTE(SUBSTITUTE(SUBSTITUTE($A2539,CHAR(9)," ")," "," "),CHAR(13),""))</f>
        <v/>
      </c>
      <c r="H2539" s="58">
        <f>IF($G2539="","",IF(ISNUMBER(FIND(" ",$G2539)),$G2539,IFERROR(IF((LEN(SUBSTITUTE(SUBSTITUTE($G2539,"-"," ",LEN($G2539)-LEN(SUBSTITUTE($G2539,"-",""))),"-"," ",LEN($G2539)-LEN(SUBSTITUTE($G2539,"-",""))-1))-LEN(SUBSTITUTE(SUBSTITUTE(SUBSTITUTE($G2539,"-"," ",LEN($G2539)-LEN(SUBSTITUTE($G2539,"-",""))),"-"," ",LEN($G2539)-LEN(SUBSTITUTE($G2539,"-",""))-1),".","")))=0,SUBSTITUTE(SUBSTITUTE($G2539,"-"," ",LEN($G2539)-LEN(SUBSTITUTE($G2539,"-",""))),"-"," ",LEN($G2539)-LEN(SUBSTITUTE($G2539,"-",""))-1),SUBSTITUTE(SUBSTITUTE(SUBSTITUTE($G2539,"-"," ",LEN($G2539)-LEN(SUBSTITUTE($G2539,"-",""))),"-"," ",LEN($G2539)-LEN(SUBSTITUTE($G2539,"-",""))-1),"."," ",(LEN(SUBSTITUTE(SUBSTITUTE($G2539,"-"," ",LEN($G2539)-LEN(SUBSTITUTE($G2539,"-",""))),"-"," ",LEN($G2539)-LEN(SUBSTITUTE($G2539,"-",""))-1))-LEN(SUBSTITUTE(SUBSTITUTE(SUBSTITUTE($G2539,"-"," ",LEN($G2539)-LEN(SUBSTITUTE($G2539,"-",""))),"-"," ",LEN($G2539)-LEN(SUBSTITUTE($G2539,"-",""))-1),".",""))))),$G2539)))</f>
        <v/>
      </c>
    </row>
    <row r="2540">
      <c r="A2540" s="58" t="n"/>
      <c r="B2540" s="58">
        <f>IF($H2540="","",LEFT($H2540,FIND(" ",$H2540&amp;" ")-1))</f>
        <v/>
      </c>
      <c r="C2540" s="58">
        <f>IF($H2540="","",IFERROR(MID($H2540&amp;" ",FIND("|",SUBSTITUTE($H2540&amp;" "," ","|",1))+1,FIND("|",SUBSTITUTE($H2540&amp;" "," ","|",2))-FIND("|",SUBSTITUTE($H2540&amp;" "," ","|",1))-1),""))</f>
        <v/>
      </c>
      <c r="D2540" s="58">
        <f>IF($H2540="","",IFERROR(MID($H2540&amp;" ",FIND("|",SUBSTITUTE($H2540&amp;" "," ","|",2))+1,FIND("|",SUBSTITUTE($H2540&amp;" "," ","|",3))-FIND("|",SUBSTITUTE($H2540&amp;" "," ","|",2))-1),""))</f>
        <v/>
      </c>
      <c r="E2540" s="58">
        <f>IF($H2540="","",IFERROR(MID($H2540&amp;" ",FIND("|",SUBSTITUTE($H2540&amp;" "," ","|",3))+1,FIND("|",SUBSTITUTE($H2540&amp;" "," ","|",4))-FIND("|",SUBSTITUTE($H2540&amp;" "," ","|",3))-1),""))</f>
        <v/>
      </c>
      <c r="F2540" s="59">
        <f>IF($H2540="","",IFERROR(VALUE(IFERROR(MID($H2540&amp;" ",FIND("|",SUBSTITUTE($H2540&amp;" "," ","|",4))+1,FIND("|",SUBSTITUTE($H2540&amp;" "," ","|",5))-FIND("|",SUBSTITUTE($H2540&amp;" "," ","|",4))-1),""))/86400+25569+9/24,""))</f>
        <v/>
      </c>
      <c r="G2540" s="58">
        <f>TRIM(SUBSTITUTE(SUBSTITUTE(SUBSTITUTE($A2540,CHAR(9)," ")," "," "),CHAR(13),""))</f>
        <v/>
      </c>
      <c r="H2540" s="58">
        <f>IF($G2540="","",IF(ISNUMBER(FIND(" ",$G2540)),$G2540,IFERROR(IF((LEN(SUBSTITUTE(SUBSTITUTE($G2540,"-"," ",LEN($G2540)-LEN(SUBSTITUTE($G2540,"-",""))),"-"," ",LEN($G2540)-LEN(SUBSTITUTE($G2540,"-",""))-1))-LEN(SUBSTITUTE(SUBSTITUTE(SUBSTITUTE($G2540,"-"," ",LEN($G2540)-LEN(SUBSTITUTE($G2540,"-",""))),"-"," ",LEN($G2540)-LEN(SUBSTITUTE($G2540,"-",""))-1),".","")))=0,SUBSTITUTE(SUBSTITUTE($G2540,"-"," ",LEN($G2540)-LEN(SUBSTITUTE($G2540,"-",""))),"-"," ",LEN($G2540)-LEN(SUBSTITUTE($G2540,"-",""))-1),SUBSTITUTE(SUBSTITUTE(SUBSTITUTE($G2540,"-"," ",LEN($G2540)-LEN(SUBSTITUTE($G2540,"-",""))),"-"," ",LEN($G2540)-LEN(SUBSTITUTE($G2540,"-",""))-1),"."," ",(LEN(SUBSTITUTE(SUBSTITUTE($G2540,"-"," ",LEN($G2540)-LEN(SUBSTITUTE($G2540,"-",""))),"-"," ",LEN($G2540)-LEN(SUBSTITUTE($G2540,"-",""))-1))-LEN(SUBSTITUTE(SUBSTITUTE(SUBSTITUTE($G2540,"-"," ",LEN($G2540)-LEN(SUBSTITUTE($G2540,"-",""))),"-"," ",LEN($G2540)-LEN(SUBSTITUTE($G2540,"-",""))-1),".",""))))),$G2540)))</f>
        <v/>
      </c>
    </row>
    <row r="2541">
      <c r="A2541" s="58" t="n"/>
      <c r="B2541" s="58">
        <f>IF($H2541="","",LEFT($H2541,FIND(" ",$H2541&amp;" ")-1))</f>
        <v/>
      </c>
      <c r="C2541" s="58">
        <f>IF($H2541="","",IFERROR(MID($H2541&amp;" ",FIND("|",SUBSTITUTE($H2541&amp;" "," ","|",1))+1,FIND("|",SUBSTITUTE($H2541&amp;" "," ","|",2))-FIND("|",SUBSTITUTE($H2541&amp;" "," ","|",1))-1),""))</f>
        <v/>
      </c>
      <c r="D2541" s="58">
        <f>IF($H2541="","",IFERROR(MID($H2541&amp;" ",FIND("|",SUBSTITUTE($H2541&amp;" "," ","|",2))+1,FIND("|",SUBSTITUTE($H2541&amp;" "," ","|",3))-FIND("|",SUBSTITUTE($H2541&amp;" "," ","|",2))-1),""))</f>
        <v/>
      </c>
      <c r="E2541" s="58">
        <f>IF($H2541="","",IFERROR(MID($H2541&amp;" ",FIND("|",SUBSTITUTE($H2541&amp;" "," ","|",3))+1,FIND("|",SUBSTITUTE($H2541&amp;" "," ","|",4))-FIND("|",SUBSTITUTE($H2541&amp;" "," ","|",3))-1),""))</f>
        <v/>
      </c>
      <c r="F2541" s="59">
        <f>IF($H2541="","",IFERROR(VALUE(IFERROR(MID($H2541&amp;" ",FIND("|",SUBSTITUTE($H2541&amp;" "," ","|",4))+1,FIND("|",SUBSTITUTE($H2541&amp;" "," ","|",5))-FIND("|",SUBSTITUTE($H2541&amp;" "," ","|",4))-1),""))/86400+25569+9/24,""))</f>
        <v/>
      </c>
      <c r="G2541" s="58">
        <f>TRIM(SUBSTITUTE(SUBSTITUTE(SUBSTITUTE($A2541,CHAR(9)," ")," "," "),CHAR(13),""))</f>
        <v/>
      </c>
      <c r="H2541" s="58">
        <f>IF($G2541="","",IF(ISNUMBER(FIND(" ",$G2541)),$G2541,IFERROR(IF((LEN(SUBSTITUTE(SUBSTITUTE($G2541,"-"," ",LEN($G2541)-LEN(SUBSTITUTE($G2541,"-",""))),"-"," ",LEN($G2541)-LEN(SUBSTITUTE($G2541,"-",""))-1))-LEN(SUBSTITUTE(SUBSTITUTE(SUBSTITUTE($G2541,"-"," ",LEN($G2541)-LEN(SUBSTITUTE($G2541,"-",""))),"-"," ",LEN($G2541)-LEN(SUBSTITUTE($G2541,"-",""))-1),".","")))=0,SUBSTITUTE(SUBSTITUTE($G2541,"-"," ",LEN($G2541)-LEN(SUBSTITUTE($G2541,"-",""))),"-"," ",LEN($G2541)-LEN(SUBSTITUTE($G2541,"-",""))-1),SUBSTITUTE(SUBSTITUTE(SUBSTITUTE($G2541,"-"," ",LEN($G2541)-LEN(SUBSTITUTE($G2541,"-",""))),"-"," ",LEN($G2541)-LEN(SUBSTITUTE($G2541,"-",""))-1),"."," ",(LEN(SUBSTITUTE(SUBSTITUTE($G2541,"-"," ",LEN($G2541)-LEN(SUBSTITUTE($G2541,"-",""))),"-"," ",LEN($G2541)-LEN(SUBSTITUTE($G2541,"-",""))-1))-LEN(SUBSTITUTE(SUBSTITUTE(SUBSTITUTE($G2541,"-"," ",LEN($G2541)-LEN(SUBSTITUTE($G2541,"-",""))),"-"," ",LEN($G2541)-LEN(SUBSTITUTE($G2541,"-",""))-1),".",""))))),$G2541)))</f>
        <v/>
      </c>
    </row>
    <row r="2542">
      <c r="A2542" s="58" t="n"/>
      <c r="B2542" s="58">
        <f>IF($H2542="","",LEFT($H2542,FIND(" ",$H2542&amp;" ")-1))</f>
        <v/>
      </c>
      <c r="C2542" s="58">
        <f>IF($H2542="","",IFERROR(MID($H2542&amp;" ",FIND("|",SUBSTITUTE($H2542&amp;" "," ","|",1))+1,FIND("|",SUBSTITUTE($H2542&amp;" "," ","|",2))-FIND("|",SUBSTITUTE($H2542&amp;" "," ","|",1))-1),""))</f>
        <v/>
      </c>
      <c r="D2542" s="58">
        <f>IF($H2542="","",IFERROR(MID($H2542&amp;" ",FIND("|",SUBSTITUTE($H2542&amp;" "," ","|",2))+1,FIND("|",SUBSTITUTE($H2542&amp;" "," ","|",3))-FIND("|",SUBSTITUTE($H2542&amp;" "," ","|",2))-1),""))</f>
        <v/>
      </c>
      <c r="E2542" s="58">
        <f>IF($H2542="","",IFERROR(MID($H2542&amp;" ",FIND("|",SUBSTITUTE($H2542&amp;" "," ","|",3))+1,FIND("|",SUBSTITUTE($H2542&amp;" "," ","|",4))-FIND("|",SUBSTITUTE($H2542&amp;" "," ","|",3))-1),""))</f>
        <v/>
      </c>
      <c r="F2542" s="59">
        <f>IF($H2542="","",IFERROR(VALUE(IFERROR(MID($H2542&amp;" ",FIND("|",SUBSTITUTE($H2542&amp;" "," ","|",4))+1,FIND("|",SUBSTITUTE($H2542&amp;" "," ","|",5))-FIND("|",SUBSTITUTE($H2542&amp;" "," ","|",4))-1),""))/86400+25569+9/24,""))</f>
        <v/>
      </c>
      <c r="G2542" s="58">
        <f>TRIM(SUBSTITUTE(SUBSTITUTE(SUBSTITUTE($A2542,CHAR(9)," ")," "," "),CHAR(13),""))</f>
        <v/>
      </c>
      <c r="H2542" s="58">
        <f>IF($G2542="","",IF(ISNUMBER(FIND(" ",$G2542)),$G2542,IFERROR(IF((LEN(SUBSTITUTE(SUBSTITUTE($G2542,"-"," ",LEN($G2542)-LEN(SUBSTITUTE($G2542,"-",""))),"-"," ",LEN($G2542)-LEN(SUBSTITUTE($G2542,"-",""))-1))-LEN(SUBSTITUTE(SUBSTITUTE(SUBSTITUTE($G2542,"-"," ",LEN($G2542)-LEN(SUBSTITUTE($G2542,"-",""))),"-"," ",LEN($G2542)-LEN(SUBSTITUTE($G2542,"-",""))-1),".","")))=0,SUBSTITUTE(SUBSTITUTE($G2542,"-"," ",LEN($G2542)-LEN(SUBSTITUTE($G2542,"-",""))),"-"," ",LEN($G2542)-LEN(SUBSTITUTE($G2542,"-",""))-1),SUBSTITUTE(SUBSTITUTE(SUBSTITUTE($G2542,"-"," ",LEN($G2542)-LEN(SUBSTITUTE($G2542,"-",""))),"-"," ",LEN($G2542)-LEN(SUBSTITUTE($G2542,"-",""))-1),"."," ",(LEN(SUBSTITUTE(SUBSTITUTE($G2542,"-"," ",LEN($G2542)-LEN(SUBSTITUTE($G2542,"-",""))),"-"," ",LEN($G2542)-LEN(SUBSTITUTE($G2542,"-",""))-1))-LEN(SUBSTITUTE(SUBSTITUTE(SUBSTITUTE($G2542,"-"," ",LEN($G2542)-LEN(SUBSTITUTE($G2542,"-",""))),"-"," ",LEN($G2542)-LEN(SUBSTITUTE($G2542,"-",""))-1),".",""))))),$G2542)))</f>
        <v/>
      </c>
    </row>
    <row r="2543">
      <c r="A2543" s="58" t="n"/>
      <c r="B2543" s="58">
        <f>IF($H2543="","",LEFT($H2543,FIND(" ",$H2543&amp;" ")-1))</f>
        <v/>
      </c>
      <c r="C2543" s="58">
        <f>IF($H2543="","",IFERROR(MID($H2543&amp;" ",FIND("|",SUBSTITUTE($H2543&amp;" "," ","|",1))+1,FIND("|",SUBSTITUTE($H2543&amp;" "," ","|",2))-FIND("|",SUBSTITUTE($H2543&amp;" "," ","|",1))-1),""))</f>
        <v/>
      </c>
      <c r="D2543" s="58">
        <f>IF($H2543="","",IFERROR(MID($H2543&amp;" ",FIND("|",SUBSTITUTE($H2543&amp;" "," ","|",2))+1,FIND("|",SUBSTITUTE($H2543&amp;" "," ","|",3))-FIND("|",SUBSTITUTE($H2543&amp;" "," ","|",2))-1),""))</f>
        <v/>
      </c>
      <c r="E2543" s="58">
        <f>IF($H2543="","",IFERROR(MID($H2543&amp;" ",FIND("|",SUBSTITUTE($H2543&amp;" "," ","|",3))+1,FIND("|",SUBSTITUTE($H2543&amp;" "," ","|",4))-FIND("|",SUBSTITUTE($H2543&amp;" "," ","|",3))-1),""))</f>
        <v/>
      </c>
      <c r="F2543" s="59">
        <f>IF($H2543="","",IFERROR(VALUE(IFERROR(MID($H2543&amp;" ",FIND("|",SUBSTITUTE($H2543&amp;" "," ","|",4))+1,FIND("|",SUBSTITUTE($H2543&amp;" "," ","|",5))-FIND("|",SUBSTITUTE($H2543&amp;" "," ","|",4))-1),""))/86400+25569+9/24,""))</f>
        <v/>
      </c>
      <c r="G2543" s="58">
        <f>TRIM(SUBSTITUTE(SUBSTITUTE(SUBSTITUTE($A2543,CHAR(9)," ")," "," "),CHAR(13),""))</f>
        <v/>
      </c>
      <c r="H2543" s="58">
        <f>IF($G2543="","",IF(ISNUMBER(FIND(" ",$G2543)),$G2543,IFERROR(IF((LEN(SUBSTITUTE(SUBSTITUTE($G2543,"-"," ",LEN($G2543)-LEN(SUBSTITUTE($G2543,"-",""))),"-"," ",LEN($G2543)-LEN(SUBSTITUTE($G2543,"-",""))-1))-LEN(SUBSTITUTE(SUBSTITUTE(SUBSTITUTE($G2543,"-"," ",LEN($G2543)-LEN(SUBSTITUTE($G2543,"-",""))),"-"," ",LEN($G2543)-LEN(SUBSTITUTE($G2543,"-",""))-1),".","")))=0,SUBSTITUTE(SUBSTITUTE($G2543,"-"," ",LEN($G2543)-LEN(SUBSTITUTE($G2543,"-",""))),"-"," ",LEN($G2543)-LEN(SUBSTITUTE($G2543,"-",""))-1),SUBSTITUTE(SUBSTITUTE(SUBSTITUTE($G2543,"-"," ",LEN($G2543)-LEN(SUBSTITUTE($G2543,"-",""))),"-"," ",LEN($G2543)-LEN(SUBSTITUTE($G2543,"-",""))-1),"."," ",(LEN(SUBSTITUTE(SUBSTITUTE($G2543,"-"," ",LEN($G2543)-LEN(SUBSTITUTE($G2543,"-",""))),"-"," ",LEN($G2543)-LEN(SUBSTITUTE($G2543,"-",""))-1))-LEN(SUBSTITUTE(SUBSTITUTE(SUBSTITUTE($G2543,"-"," ",LEN($G2543)-LEN(SUBSTITUTE($G2543,"-",""))),"-"," ",LEN($G2543)-LEN(SUBSTITUTE($G2543,"-",""))-1),".",""))))),$G2543)))</f>
        <v/>
      </c>
    </row>
    <row r="2544">
      <c r="A2544" s="58" t="n"/>
      <c r="B2544" s="58">
        <f>IF($H2544="","",LEFT($H2544,FIND(" ",$H2544&amp;" ")-1))</f>
        <v/>
      </c>
      <c r="C2544" s="58">
        <f>IF($H2544="","",IFERROR(MID($H2544&amp;" ",FIND("|",SUBSTITUTE($H2544&amp;" "," ","|",1))+1,FIND("|",SUBSTITUTE($H2544&amp;" "," ","|",2))-FIND("|",SUBSTITUTE($H2544&amp;" "," ","|",1))-1),""))</f>
        <v/>
      </c>
      <c r="D2544" s="58">
        <f>IF($H2544="","",IFERROR(MID($H2544&amp;" ",FIND("|",SUBSTITUTE($H2544&amp;" "," ","|",2))+1,FIND("|",SUBSTITUTE($H2544&amp;" "," ","|",3))-FIND("|",SUBSTITUTE($H2544&amp;" "," ","|",2))-1),""))</f>
        <v/>
      </c>
      <c r="E2544" s="58">
        <f>IF($H2544="","",IFERROR(MID($H2544&amp;" ",FIND("|",SUBSTITUTE($H2544&amp;" "," ","|",3))+1,FIND("|",SUBSTITUTE($H2544&amp;" "," ","|",4))-FIND("|",SUBSTITUTE($H2544&amp;" "," ","|",3))-1),""))</f>
        <v/>
      </c>
      <c r="F2544" s="59">
        <f>IF($H2544="","",IFERROR(VALUE(IFERROR(MID($H2544&amp;" ",FIND("|",SUBSTITUTE($H2544&amp;" "," ","|",4))+1,FIND("|",SUBSTITUTE($H2544&amp;" "," ","|",5))-FIND("|",SUBSTITUTE($H2544&amp;" "," ","|",4))-1),""))/86400+25569+9/24,""))</f>
        <v/>
      </c>
      <c r="G2544" s="58">
        <f>TRIM(SUBSTITUTE(SUBSTITUTE(SUBSTITUTE($A2544,CHAR(9)," ")," "," "),CHAR(13),""))</f>
        <v/>
      </c>
      <c r="H2544" s="58">
        <f>IF($G2544="","",IF(ISNUMBER(FIND(" ",$G2544)),$G2544,IFERROR(IF((LEN(SUBSTITUTE(SUBSTITUTE($G2544,"-"," ",LEN($G2544)-LEN(SUBSTITUTE($G2544,"-",""))),"-"," ",LEN($G2544)-LEN(SUBSTITUTE($G2544,"-",""))-1))-LEN(SUBSTITUTE(SUBSTITUTE(SUBSTITUTE($G2544,"-"," ",LEN($G2544)-LEN(SUBSTITUTE($G2544,"-",""))),"-"," ",LEN($G2544)-LEN(SUBSTITUTE($G2544,"-",""))-1),".","")))=0,SUBSTITUTE(SUBSTITUTE($G2544,"-"," ",LEN($G2544)-LEN(SUBSTITUTE($G2544,"-",""))),"-"," ",LEN($G2544)-LEN(SUBSTITUTE($G2544,"-",""))-1),SUBSTITUTE(SUBSTITUTE(SUBSTITUTE($G2544,"-"," ",LEN($G2544)-LEN(SUBSTITUTE($G2544,"-",""))),"-"," ",LEN($G2544)-LEN(SUBSTITUTE($G2544,"-",""))-1),"."," ",(LEN(SUBSTITUTE(SUBSTITUTE($G2544,"-"," ",LEN($G2544)-LEN(SUBSTITUTE($G2544,"-",""))),"-"," ",LEN($G2544)-LEN(SUBSTITUTE($G2544,"-",""))-1))-LEN(SUBSTITUTE(SUBSTITUTE(SUBSTITUTE($G2544,"-"," ",LEN($G2544)-LEN(SUBSTITUTE($G2544,"-",""))),"-"," ",LEN($G2544)-LEN(SUBSTITUTE($G2544,"-",""))-1),".",""))))),$G2544)))</f>
        <v/>
      </c>
    </row>
    <row r="2545">
      <c r="A2545" s="58" t="n"/>
      <c r="B2545" s="58">
        <f>IF($H2545="","",LEFT($H2545,FIND(" ",$H2545&amp;" ")-1))</f>
        <v/>
      </c>
      <c r="C2545" s="58">
        <f>IF($H2545="","",IFERROR(MID($H2545&amp;" ",FIND("|",SUBSTITUTE($H2545&amp;" "," ","|",1))+1,FIND("|",SUBSTITUTE($H2545&amp;" "," ","|",2))-FIND("|",SUBSTITUTE($H2545&amp;" "," ","|",1))-1),""))</f>
        <v/>
      </c>
      <c r="D2545" s="58">
        <f>IF($H2545="","",IFERROR(MID($H2545&amp;" ",FIND("|",SUBSTITUTE($H2545&amp;" "," ","|",2))+1,FIND("|",SUBSTITUTE($H2545&amp;" "," ","|",3))-FIND("|",SUBSTITUTE($H2545&amp;" "," ","|",2))-1),""))</f>
        <v/>
      </c>
      <c r="E2545" s="58">
        <f>IF($H2545="","",IFERROR(MID($H2545&amp;" ",FIND("|",SUBSTITUTE($H2545&amp;" "," ","|",3))+1,FIND("|",SUBSTITUTE($H2545&amp;" "," ","|",4))-FIND("|",SUBSTITUTE($H2545&amp;" "," ","|",3))-1),""))</f>
        <v/>
      </c>
      <c r="F2545" s="59">
        <f>IF($H2545="","",IFERROR(VALUE(IFERROR(MID($H2545&amp;" ",FIND("|",SUBSTITUTE($H2545&amp;" "," ","|",4))+1,FIND("|",SUBSTITUTE($H2545&amp;" "," ","|",5))-FIND("|",SUBSTITUTE($H2545&amp;" "," ","|",4))-1),""))/86400+25569+9/24,""))</f>
        <v/>
      </c>
      <c r="G2545" s="58">
        <f>TRIM(SUBSTITUTE(SUBSTITUTE(SUBSTITUTE($A2545,CHAR(9)," ")," "," "),CHAR(13),""))</f>
        <v/>
      </c>
      <c r="H2545" s="58">
        <f>IF($G2545="","",IF(ISNUMBER(FIND(" ",$G2545)),$G2545,IFERROR(IF((LEN(SUBSTITUTE(SUBSTITUTE($G2545,"-"," ",LEN($G2545)-LEN(SUBSTITUTE($G2545,"-",""))),"-"," ",LEN($G2545)-LEN(SUBSTITUTE($G2545,"-",""))-1))-LEN(SUBSTITUTE(SUBSTITUTE(SUBSTITUTE($G2545,"-"," ",LEN($G2545)-LEN(SUBSTITUTE($G2545,"-",""))),"-"," ",LEN($G2545)-LEN(SUBSTITUTE($G2545,"-",""))-1),".","")))=0,SUBSTITUTE(SUBSTITUTE($G2545,"-"," ",LEN($G2545)-LEN(SUBSTITUTE($G2545,"-",""))),"-"," ",LEN($G2545)-LEN(SUBSTITUTE($G2545,"-",""))-1),SUBSTITUTE(SUBSTITUTE(SUBSTITUTE($G2545,"-"," ",LEN($G2545)-LEN(SUBSTITUTE($G2545,"-",""))),"-"," ",LEN($G2545)-LEN(SUBSTITUTE($G2545,"-",""))-1),"."," ",(LEN(SUBSTITUTE(SUBSTITUTE($G2545,"-"," ",LEN($G2545)-LEN(SUBSTITUTE($G2545,"-",""))),"-"," ",LEN($G2545)-LEN(SUBSTITUTE($G2545,"-",""))-1))-LEN(SUBSTITUTE(SUBSTITUTE(SUBSTITUTE($G2545,"-"," ",LEN($G2545)-LEN(SUBSTITUTE($G2545,"-",""))),"-"," ",LEN($G2545)-LEN(SUBSTITUTE($G2545,"-",""))-1),".",""))))),$G2545)))</f>
        <v/>
      </c>
    </row>
    <row r="2546">
      <c r="A2546" s="58" t="n"/>
      <c r="B2546" s="58">
        <f>IF($H2546="","",LEFT($H2546,FIND(" ",$H2546&amp;" ")-1))</f>
        <v/>
      </c>
      <c r="C2546" s="58">
        <f>IF($H2546="","",IFERROR(MID($H2546&amp;" ",FIND("|",SUBSTITUTE($H2546&amp;" "," ","|",1))+1,FIND("|",SUBSTITUTE($H2546&amp;" "," ","|",2))-FIND("|",SUBSTITUTE($H2546&amp;" "," ","|",1))-1),""))</f>
        <v/>
      </c>
      <c r="D2546" s="58">
        <f>IF($H2546="","",IFERROR(MID($H2546&amp;" ",FIND("|",SUBSTITUTE($H2546&amp;" "," ","|",2))+1,FIND("|",SUBSTITUTE($H2546&amp;" "," ","|",3))-FIND("|",SUBSTITUTE($H2546&amp;" "," ","|",2))-1),""))</f>
        <v/>
      </c>
      <c r="E2546" s="58">
        <f>IF($H2546="","",IFERROR(MID($H2546&amp;" ",FIND("|",SUBSTITUTE($H2546&amp;" "," ","|",3))+1,FIND("|",SUBSTITUTE($H2546&amp;" "," ","|",4))-FIND("|",SUBSTITUTE($H2546&amp;" "," ","|",3))-1),""))</f>
        <v/>
      </c>
      <c r="F2546" s="59">
        <f>IF($H2546="","",IFERROR(VALUE(IFERROR(MID($H2546&amp;" ",FIND("|",SUBSTITUTE($H2546&amp;" "," ","|",4))+1,FIND("|",SUBSTITUTE($H2546&amp;" "," ","|",5))-FIND("|",SUBSTITUTE($H2546&amp;" "," ","|",4))-1),""))/86400+25569+9/24,""))</f>
        <v/>
      </c>
      <c r="G2546" s="58">
        <f>TRIM(SUBSTITUTE(SUBSTITUTE(SUBSTITUTE($A2546,CHAR(9)," ")," "," "),CHAR(13),""))</f>
        <v/>
      </c>
      <c r="H2546" s="58">
        <f>IF($G2546="","",IF(ISNUMBER(FIND(" ",$G2546)),$G2546,IFERROR(IF((LEN(SUBSTITUTE(SUBSTITUTE($G2546,"-"," ",LEN($G2546)-LEN(SUBSTITUTE($G2546,"-",""))),"-"," ",LEN($G2546)-LEN(SUBSTITUTE($G2546,"-",""))-1))-LEN(SUBSTITUTE(SUBSTITUTE(SUBSTITUTE($G2546,"-"," ",LEN($G2546)-LEN(SUBSTITUTE($G2546,"-",""))),"-"," ",LEN($G2546)-LEN(SUBSTITUTE($G2546,"-",""))-1),".","")))=0,SUBSTITUTE(SUBSTITUTE($G2546,"-"," ",LEN($G2546)-LEN(SUBSTITUTE($G2546,"-",""))),"-"," ",LEN($G2546)-LEN(SUBSTITUTE($G2546,"-",""))-1),SUBSTITUTE(SUBSTITUTE(SUBSTITUTE($G2546,"-"," ",LEN($G2546)-LEN(SUBSTITUTE($G2546,"-",""))),"-"," ",LEN($G2546)-LEN(SUBSTITUTE($G2546,"-",""))-1),"."," ",(LEN(SUBSTITUTE(SUBSTITUTE($G2546,"-"," ",LEN($G2546)-LEN(SUBSTITUTE($G2546,"-",""))),"-"," ",LEN($G2546)-LEN(SUBSTITUTE($G2546,"-",""))-1))-LEN(SUBSTITUTE(SUBSTITUTE(SUBSTITUTE($G2546,"-"," ",LEN($G2546)-LEN(SUBSTITUTE($G2546,"-",""))),"-"," ",LEN($G2546)-LEN(SUBSTITUTE($G2546,"-",""))-1),".",""))))),$G2546)))</f>
        <v/>
      </c>
    </row>
    <row r="2547">
      <c r="A2547" s="58" t="n"/>
      <c r="B2547" s="58">
        <f>IF($H2547="","",LEFT($H2547,FIND(" ",$H2547&amp;" ")-1))</f>
        <v/>
      </c>
      <c r="C2547" s="58">
        <f>IF($H2547="","",IFERROR(MID($H2547&amp;" ",FIND("|",SUBSTITUTE($H2547&amp;" "," ","|",1))+1,FIND("|",SUBSTITUTE($H2547&amp;" "," ","|",2))-FIND("|",SUBSTITUTE($H2547&amp;" "," ","|",1))-1),""))</f>
        <v/>
      </c>
      <c r="D2547" s="58">
        <f>IF($H2547="","",IFERROR(MID($H2547&amp;" ",FIND("|",SUBSTITUTE($H2547&amp;" "," ","|",2))+1,FIND("|",SUBSTITUTE($H2547&amp;" "," ","|",3))-FIND("|",SUBSTITUTE($H2547&amp;" "," ","|",2))-1),""))</f>
        <v/>
      </c>
      <c r="E2547" s="58">
        <f>IF($H2547="","",IFERROR(MID($H2547&amp;" ",FIND("|",SUBSTITUTE($H2547&amp;" "," ","|",3))+1,FIND("|",SUBSTITUTE($H2547&amp;" "," ","|",4))-FIND("|",SUBSTITUTE($H2547&amp;" "," ","|",3))-1),""))</f>
        <v/>
      </c>
      <c r="F2547" s="59">
        <f>IF($H2547="","",IFERROR(VALUE(IFERROR(MID($H2547&amp;" ",FIND("|",SUBSTITUTE($H2547&amp;" "," ","|",4))+1,FIND("|",SUBSTITUTE($H2547&amp;" "," ","|",5))-FIND("|",SUBSTITUTE($H2547&amp;" "," ","|",4))-1),""))/86400+25569+9/24,""))</f>
        <v/>
      </c>
      <c r="G2547" s="58">
        <f>TRIM(SUBSTITUTE(SUBSTITUTE(SUBSTITUTE($A2547,CHAR(9)," ")," "," "),CHAR(13),""))</f>
        <v/>
      </c>
      <c r="H2547" s="58">
        <f>IF($G2547="","",IF(ISNUMBER(FIND(" ",$G2547)),$G2547,IFERROR(IF((LEN(SUBSTITUTE(SUBSTITUTE($G2547,"-"," ",LEN($G2547)-LEN(SUBSTITUTE($G2547,"-",""))),"-"," ",LEN($G2547)-LEN(SUBSTITUTE($G2547,"-",""))-1))-LEN(SUBSTITUTE(SUBSTITUTE(SUBSTITUTE($G2547,"-"," ",LEN($G2547)-LEN(SUBSTITUTE($G2547,"-",""))),"-"," ",LEN($G2547)-LEN(SUBSTITUTE($G2547,"-",""))-1),".","")))=0,SUBSTITUTE(SUBSTITUTE($G2547,"-"," ",LEN($G2547)-LEN(SUBSTITUTE($G2547,"-",""))),"-"," ",LEN($G2547)-LEN(SUBSTITUTE($G2547,"-",""))-1),SUBSTITUTE(SUBSTITUTE(SUBSTITUTE($G2547,"-"," ",LEN($G2547)-LEN(SUBSTITUTE($G2547,"-",""))),"-"," ",LEN($G2547)-LEN(SUBSTITUTE($G2547,"-",""))-1),"."," ",(LEN(SUBSTITUTE(SUBSTITUTE($G2547,"-"," ",LEN($G2547)-LEN(SUBSTITUTE($G2547,"-",""))),"-"," ",LEN($G2547)-LEN(SUBSTITUTE($G2547,"-",""))-1))-LEN(SUBSTITUTE(SUBSTITUTE(SUBSTITUTE($G2547,"-"," ",LEN($G2547)-LEN(SUBSTITUTE($G2547,"-",""))),"-"," ",LEN($G2547)-LEN(SUBSTITUTE($G2547,"-",""))-1),".",""))))),$G2547)))</f>
        <v/>
      </c>
    </row>
    <row r="2548">
      <c r="A2548" s="58" t="n"/>
      <c r="B2548" s="58">
        <f>IF($H2548="","",LEFT($H2548,FIND(" ",$H2548&amp;" ")-1))</f>
        <v/>
      </c>
      <c r="C2548" s="58">
        <f>IF($H2548="","",IFERROR(MID($H2548&amp;" ",FIND("|",SUBSTITUTE($H2548&amp;" "," ","|",1))+1,FIND("|",SUBSTITUTE($H2548&amp;" "," ","|",2))-FIND("|",SUBSTITUTE($H2548&amp;" "," ","|",1))-1),""))</f>
        <v/>
      </c>
      <c r="D2548" s="58">
        <f>IF($H2548="","",IFERROR(MID($H2548&amp;" ",FIND("|",SUBSTITUTE($H2548&amp;" "," ","|",2))+1,FIND("|",SUBSTITUTE($H2548&amp;" "," ","|",3))-FIND("|",SUBSTITUTE($H2548&amp;" "," ","|",2))-1),""))</f>
        <v/>
      </c>
      <c r="E2548" s="58">
        <f>IF($H2548="","",IFERROR(MID($H2548&amp;" ",FIND("|",SUBSTITUTE($H2548&amp;" "," ","|",3))+1,FIND("|",SUBSTITUTE($H2548&amp;" "," ","|",4))-FIND("|",SUBSTITUTE($H2548&amp;" "," ","|",3))-1),""))</f>
        <v/>
      </c>
      <c r="F2548" s="59">
        <f>IF($H2548="","",IFERROR(VALUE(IFERROR(MID($H2548&amp;" ",FIND("|",SUBSTITUTE($H2548&amp;" "," ","|",4))+1,FIND("|",SUBSTITUTE($H2548&amp;" "," ","|",5))-FIND("|",SUBSTITUTE($H2548&amp;" "," ","|",4))-1),""))/86400+25569+9/24,""))</f>
        <v/>
      </c>
      <c r="G2548" s="58">
        <f>TRIM(SUBSTITUTE(SUBSTITUTE(SUBSTITUTE($A2548,CHAR(9)," ")," "," "),CHAR(13),""))</f>
        <v/>
      </c>
      <c r="H2548" s="58">
        <f>IF($G2548="","",IF(ISNUMBER(FIND(" ",$G2548)),$G2548,IFERROR(IF((LEN(SUBSTITUTE(SUBSTITUTE($G2548,"-"," ",LEN($G2548)-LEN(SUBSTITUTE($G2548,"-",""))),"-"," ",LEN($G2548)-LEN(SUBSTITUTE($G2548,"-",""))-1))-LEN(SUBSTITUTE(SUBSTITUTE(SUBSTITUTE($G2548,"-"," ",LEN($G2548)-LEN(SUBSTITUTE($G2548,"-",""))),"-"," ",LEN($G2548)-LEN(SUBSTITUTE($G2548,"-",""))-1),".","")))=0,SUBSTITUTE(SUBSTITUTE($G2548,"-"," ",LEN($G2548)-LEN(SUBSTITUTE($G2548,"-",""))),"-"," ",LEN($G2548)-LEN(SUBSTITUTE($G2548,"-",""))-1),SUBSTITUTE(SUBSTITUTE(SUBSTITUTE($G2548,"-"," ",LEN($G2548)-LEN(SUBSTITUTE($G2548,"-",""))),"-"," ",LEN($G2548)-LEN(SUBSTITUTE($G2548,"-",""))-1),"."," ",(LEN(SUBSTITUTE(SUBSTITUTE($G2548,"-"," ",LEN($G2548)-LEN(SUBSTITUTE($G2548,"-",""))),"-"," ",LEN($G2548)-LEN(SUBSTITUTE($G2548,"-",""))-1))-LEN(SUBSTITUTE(SUBSTITUTE(SUBSTITUTE($G2548,"-"," ",LEN($G2548)-LEN(SUBSTITUTE($G2548,"-",""))),"-"," ",LEN($G2548)-LEN(SUBSTITUTE($G2548,"-",""))-1),".",""))))),$G2548)))</f>
        <v/>
      </c>
    </row>
    <row r="2549">
      <c r="A2549" s="58" t="n"/>
      <c r="B2549" s="58">
        <f>IF($H2549="","",LEFT($H2549,FIND(" ",$H2549&amp;" ")-1))</f>
        <v/>
      </c>
      <c r="C2549" s="58">
        <f>IF($H2549="","",IFERROR(MID($H2549&amp;" ",FIND("|",SUBSTITUTE($H2549&amp;" "," ","|",1))+1,FIND("|",SUBSTITUTE($H2549&amp;" "," ","|",2))-FIND("|",SUBSTITUTE($H2549&amp;" "," ","|",1))-1),""))</f>
        <v/>
      </c>
      <c r="D2549" s="58">
        <f>IF($H2549="","",IFERROR(MID($H2549&amp;" ",FIND("|",SUBSTITUTE($H2549&amp;" "," ","|",2))+1,FIND("|",SUBSTITUTE($H2549&amp;" "," ","|",3))-FIND("|",SUBSTITUTE($H2549&amp;" "," ","|",2))-1),""))</f>
        <v/>
      </c>
      <c r="E2549" s="58">
        <f>IF($H2549="","",IFERROR(MID($H2549&amp;" ",FIND("|",SUBSTITUTE($H2549&amp;" "," ","|",3))+1,FIND("|",SUBSTITUTE($H2549&amp;" "," ","|",4))-FIND("|",SUBSTITUTE($H2549&amp;" "," ","|",3))-1),""))</f>
        <v/>
      </c>
      <c r="F2549" s="59">
        <f>IF($H2549="","",IFERROR(VALUE(IFERROR(MID($H2549&amp;" ",FIND("|",SUBSTITUTE($H2549&amp;" "," ","|",4))+1,FIND("|",SUBSTITUTE($H2549&amp;" "," ","|",5))-FIND("|",SUBSTITUTE($H2549&amp;" "," ","|",4))-1),""))/86400+25569+9/24,""))</f>
        <v/>
      </c>
      <c r="G2549" s="58">
        <f>TRIM(SUBSTITUTE(SUBSTITUTE(SUBSTITUTE($A2549,CHAR(9)," ")," "," "),CHAR(13),""))</f>
        <v/>
      </c>
      <c r="H2549" s="58">
        <f>IF($G2549="","",IF(ISNUMBER(FIND(" ",$G2549)),$G2549,IFERROR(IF((LEN(SUBSTITUTE(SUBSTITUTE($G2549,"-"," ",LEN($G2549)-LEN(SUBSTITUTE($G2549,"-",""))),"-"," ",LEN($G2549)-LEN(SUBSTITUTE($G2549,"-",""))-1))-LEN(SUBSTITUTE(SUBSTITUTE(SUBSTITUTE($G2549,"-"," ",LEN($G2549)-LEN(SUBSTITUTE($G2549,"-",""))),"-"," ",LEN($G2549)-LEN(SUBSTITUTE($G2549,"-",""))-1),".","")))=0,SUBSTITUTE(SUBSTITUTE($G2549,"-"," ",LEN($G2549)-LEN(SUBSTITUTE($G2549,"-",""))),"-"," ",LEN($G2549)-LEN(SUBSTITUTE($G2549,"-",""))-1),SUBSTITUTE(SUBSTITUTE(SUBSTITUTE($G2549,"-"," ",LEN($G2549)-LEN(SUBSTITUTE($G2549,"-",""))),"-"," ",LEN($G2549)-LEN(SUBSTITUTE($G2549,"-",""))-1),"."," ",(LEN(SUBSTITUTE(SUBSTITUTE($G2549,"-"," ",LEN($G2549)-LEN(SUBSTITUTE($G2549,"-",""))),"-"," ",LEN($G2549)-LEN(SUBSTITUTE($G2549,"-",""))-1))-LEN(SUBSTITUTE(SUBSTITUTE(SUBSTITUTE($G2549,"-"," ",LEN($G2549)-LEN(SUBSTITUTE($G2549,"-",""))),"-"," ",LEN($G2549)-LEN(SUBSTITUTE($G2549,"-",""))-1),".",""))))),$G2549)))</f>
        <v/>
      </c>
    </row>
    <row r="2550">
      <c r="A2550" s="58" t="n"/>
      <c r="B2550" s="58">
        <f>IF($H2550="","",LEFT($H2550,FIND(" ",$H2550&amp;" ")-1))</f>
        <v/>
      </c>
      <c r="C2550" s="58">
        <f>IF($H2550="","",IFERROR(MID($H2550&amp;" ",FIND("|",SUBSTITUTE($H2550&amp;" "," ","|",1))+1,FIND("|",SUBSTITUTE($H2550&amp;" "," ","|",2))-FIND("|",SUBSTITUTE($H2550&amp;" "," ","|",1))-1),""))</f>
        <v/>
      </c>
      <c r="D2550" s="58">
        <f>IF($H2550="","",IFERROR(MID($H2550&amp;" ",FIND("|",SUBSTITUTE($H2550&amp;" "," ","|",2))+1,FIND("|",SUBSTITUTE($H2550&amp;" "," ","|",3))-FIND("|",SUBSTITUTE($H2550&amp;" "," ","|",2))-1),""))</f>
        <v/>
      </c>
      <c r="E2550" s="58">
        <f>IF($H2550="","",IFERROR(MID($H2550&amp;" ",FIND("|",SUBSTITUTE($H2550&amp;" "," ","|",3))+1,FIND("|",SUBSTITUTE($H2550&amp;" "," ","|",4))-FIND("|",SUBSTITUTE($H2550&amp;" "," ","|",3))-1),""))</f>
        <v/>
      </c>
      <c r="F2550" s="59">
        <f>IF($H2550="","",IFERROR(VALUE(IFERROR(MID($H2550&amp;" ",FIND("|",SUBSTITUTE($H2550&amp;" "," ","|",4))+1,FIND("|",SUBSTITUTE($H2550&amp;" "," ","|",5))-FIND("|",SUBSTITUTE($H2550&amp;" "," ","|",4))-1),""))/86400+25569+9/24,""))</f>
        <v/>
      </c>
      <c r="G2550" s="58">
        <f>TRIM(SUBSTITUTE(SUBSTITUTE(SUBSTITUTE($A2550,CHAR(9)," ")," "," "),CHAR(13),""))</f>
        <v/>
      </c>
      <c r="H2550" s="58">
        <f>IF($G2550="","",IF(ISNUMBER(FIND(" ",$G2550)),$G2550,IFERROR(IF((LEN(SUBSTITUTE(SUBSTITUTE($G2550,"-"," ",LEN($G2550)-LEN(SUBSTITUTE($G2550,"-",""))),"-"," ",LEN($G2550)-LEN(SUBSTITUTE($G2550,"-",""))-1))-LEN(SUBSTITUTE(SUBSTITUTE(SUBSTITUTE($G2550,"-"," ",LEN($G2550)-LEN(SUBSTITUTE($G2550,"-",""))),"-"," ",LEN($G2550)-LEN(SUBSTITUTE($G2550,"-",""))-1),".","")))=0,SUBSTITUTE(SUBSTITUTE($G2550,"-"," ",LEN($G2550)-LEN(SUBSTITUTE($G2550,"-",""))),"-"," ",LEN($G2550)-LEN(SUBSTITUTE($G2550,"-",""))-1),SUBSTITUTE(SUBSTITUTE(SUBSTITUTE($G2550,"-"," ",LEN($G2550)-LEN(SUBSTITUTE($G2550,"-",""))),"-"," ",LEN($G2550)-LEN(SUBSTITUTE($G2550,"-",""))-1),"."," ",(LEN(SUBSTITUTE(SUBSTITUTE($G2550,"-"," ",LEN($G2550)-LEN(SUBSTITUTE($G2550,"-",""))),"-"," ",LEN($G2550)-LEN(SUBSTITUTE($G2550,"-",""))-1))-LEN(SUBSTITUTE(SUBSTITUTE(SUBSTITUTE($G2550,"-"," ",LEN($G2550)-LEN(SUBSTITUTE($G2550,"-",""))),"-"," ",LEN($G2550)-LEN(SUBSTITUTE($G2550,"-",""))-1),".",""))))),$G2550)))</f>
        <v/>
      </c>
    </row>
    <row r="2551">
      <c r="A2551" s="58" t="n"/>
      <c r="B2551" s="58">
        <f>IF($H2551="","",LEFT($H2551,FIND(" ",$H2551&amp;" ")-1))</f>
        <v/>
      </c>
      <c r="C2551" s="58">
        <f>IF($H2551="","",IFERROR(MID($H2551&amp;" ",FIND("|",SUBSTITUTE($H2551&amp;" "," ","|",1))+1,FIND("|",SUBSTITUTE($H2551&amp;" "," ","|",2))-FIND("|",SUBSTITUTE($H2551&amp;" "," ","|",1))-1),""))</f>
        <v/>
      </c>
      <c r="D2551" s="58">
        <f>IF($H2551="","",IFERROR(MID($H2551&amp;" ",FIND("|",SUBSTITUTE($H2551&amp;" "," ","|",2))+1,FIND("|",SUBSTITUTE($H2551&amp;" "," ","|",3))-FIND("|",SUBSTITUTE($H2551&amp;" "," ","|",2))-1),""))</f>
        <v/>
      </c>
      <c r="E2551" s="58">
        <f>IF($H2551="","",IFERROR(MID($H2551&amp;" ",FIND("|",SUBSTITUTE($H2551&amp;" "," ","|",3))+1,FIND("|",SUBSTITUTE($H2551&amp;" "," ","|",4))-FIND("|",SUBSTITUTE($H2551&amp;" "," ","|",3))-1),""))</f>
        <v/>
      </c>
      <c r="F2551" s="59">
        <f>IF($H2551="","",IFERROR(VALUE(IFERROR(MID($H2551&amp;" ",FIND("|",SUBSTITUTE($H2551&amp;" "," ","|",4))+1,FIND("|",SUBSTITUTE($H2551&amp;" "," ","|",5))-FIND("|",SUBSTITUTE($H2551&amp;" "," ","|",4))-1),""))/86400+25569+9/24,""))</f>
        <v/>
      </c>
      <c r="G2551" s="58">
        <f>TRIM(SUBSTITUTE(SUBSTITUTE(SUBSTITUTE($A2551,CHAR(9)," ")," "," "),CHAR(13),""))</f>
        <v/>
      </c>
      <c r="H2551" s="58">
        <f>IF($G2551="","",IF(ISNUMBER(FIND(" ",$G2551)),$G2551,IFERROR(IF((LEN(SUBSTITUTE(SUBSTITUTE($G2551,"-"," ",LEN($G2551)-LEN(SUBSTITUTE($G2551,"-",""))),"-"," ",LEN($G2551)-LEN(SUBSTITUTE($G2551,"-",""))-1))-LEN(SUBSTITUTE(SUBSTITUTE(SUBSTITUTE($G2551,"-"," ",LEN($G2551)-LEN(SUBSTITUTE($G2551,"-",""))),"-"," ",LEN($G2551)-LEN(SUBSTITUTE($G2551,"-",""))-1),".","")))=0,SUBSTITUTE(SUBSTITUTE($G2551,"-"," ",LEN($G2551)-LEN(SUBSTITUTE($G2551,"-",""))),"-"," ",LEN($G2551)-LEN(SUBSTITUTE($G2551,"-",""))-1),SUBSTITUTE(SUBSTITUTE(SUBSTITUTE($G2551,"-"," ",LEN($G2551)-LEN(SUBSTITUTE($G2551,"-",""))),"-"," ",LEN($G2551)-LEN(SUBSTITUTE($G2551,"-",""))-1),"."," ",(LEN(SUBSTITUTE(SUBSTITUTE($G2551,"-"," ",LEN($G2551)-LEN(SUBSTITUTE($G2551,"-",""))),"-"," ",LEN($G2551)-LEN(SUBSTITUTE($G2551,"-",""))-1))-LEN(SUBSTITUTE(SUBSTITUTE(SUBSTITUTE($G2551,"-"," ",LEN($G2551)-LEN(SUBSTITUTE($G2551,"-",""))),"-"," ",LEN($G2551)-LEN(SUBSTITUTE($G2551,"-",""))-1),".",""))))),$G2551)))</f>
        <v/>
      </c>
    </row>
    <row r="2552">
      <c r="A2552" s="58" t="n"/>
      <c r="B2552" s="58">
        <f>IF($H2552="","",LEFT($H2552,FIND(" ",$H2552&amp;" ")-1))</f>
        <v/>
      </c>
      <c r="C2552" s="58">
        <f>IF($H2552="","",IFERROR(MID($H2552&amp;" ",FIND("|",SUBSTITUTE($H2552&amp;" "," ","|",1))+1,FIND("|",SUBSTITUTE($H2552&amp;" "," ","|",2))-FIND("|",SUBSTITUTE($H2552&amp;" "," ","|",1))-1),""))</f>
        <v/>
      </c>
      <c r="D2552" s="58">
        <f>IF($H2552="","",IFERROR(MID($H2552&amp;" ",FIND("|",SUBSTITUTE($H2552&amp;" "," ","|",2))+1,FIND("|",SUBSTITUTE($H2552&amp;" "," ","|",3))-FIND("|",SUBSTITUTE($H2552&amp;" "," ","|",2))-1),""))</f>
        <v/>
      </c>
      <c r="E2552" s="58">
        <f>IF($H2552="","",IFERROR(MID($H2552&amp;" ",FIND("|",SUBSTITUTE($H2552&amp;" "," ","|",3))+1,FIND("|",SUBSTITUTE($H2552&amp;" "," ","|",4))-FIND("|",SUBSTITUTE($H2552&amp;" "," ","|",3))-1),""))</f>
        <v/>
      </c>
      <c r="F2552" s="59">
        <f>IF($H2552="","",IFERROR(VALUE(IFERROR(MID($H2552&amp;" ",FIND("|",SUBSTITUTE($H2552&amp;" "," ","|",4))+1,FIND("|",SUBSTITUTE($H2552&amp;" "," ","|",5))-FIND("|",SUBSTITUTE($H2552&amp;" "," ","|",4))-1),""))/86400+25569+9/24,""))</f>
        <v/>
      </c>
      <c r="G2552" s="58">
        <f>TRIM(SUBSTITUTE(SUBSTITUTE(SUBSTITUTE($A2552,CHAR(9)," ")," "," "),CHAR(13),""))</f>
        <v/>
      </c>
      <c r="H2552" s="58">
        <f>IF($G2552="","",IF(ISNUMBER(FIND(" ",$G2552)),$G2552,IFERROR(IF((LEN(SUBSTITUTE(SUBSTITUTE($G2552,"-"," ",LEN($G2552)-LEN(SUBSTITUTE($G2552,"-",""))),"-"," ",LEN($G2552)-LEN(SUBSTITUTE($G2552,"-",""))-1))-LEN(SUBSTITUTE(SUBSTITUTE(SUBSTITUTE($G2552,"-"," ",LEN($G2552)-LEN(SUBSTITUTE($G2552,"-",""))),"-"," ",LEN($G2552)-LEN(SUBSTITUTE($G2552,"-",""))-1),".","")))=0,SUBSTITUTE(SUBSTITUTE($G2552,"-"," ",LEN($G2552)-LEN(SUBSTITUTE($G2552,"-",""))),"-"," ",LEN($G2552)-LEN(SUBSTITUTE($G2552,"-",""))-1),SUBSTITUTE(SUBSTITUTE(SUBSTITUTE($G2552,"-"," ",LEN($G2552)-LEN(SUBSTITUTE($G2552,"-",""))),"-"," ",LEN($G2552)-LEN(SUBSTITUTE($G2552,"-",""))-1),"."," ",(LEN(SUBSTITUTE(SUBSTITUTE($G2552,"-"," ",LEN($G2552)-LEN(SUBSTITUTE($G2552,"-",""))),"-"," ",LEN($G2552)-LEN(SUBSTITUTE($G2552,"-",""))-1))-LEN(SUBSTITUTE(SUBSTITUTE(SUBSTITUTE($G2552,"-"," ",LEN($G2552)-LEN(SUBSTITUTE($G2552,"-",""))),"-"," ",LEN($G2552)-LEN(SUBSTITUTE($G2552,"-",""))-1),".",""))))),$G2552)))</f>
        <v/>
      </c>
    </row>
    <row r="2553">
      <c r="A2553" s="58" t="n"/>
      <c r="B2553" s="58">
        <f>IF($H2553="","",LEFT($H2553,FIND(" ",$H2553&amp;" ")-1))</f>
        <v/>
      </c>
      <c r="C2553" s="58">
        <f>IF($H2553="","",IFERROR(MID($H2553&amp;" ",FIND("|",SUBSTITUTE($H2553&amp;" "," ","|",1))+1,FIND("|",SUBSTITUTE($H2553&amp;" "," ","|",2))-FIND("|",SUBSTITUTE($H2553&amp;" "," ","|",1))-1),""))</f>
        <v/>
      </c>
      <c r="D2553" s="58">
        <f>IF($H2553="","",IFERROR(MID($H2553&amp;" ",FIND("|",SUBSTITUTE($H2553&amp;" "," ","|",2))+1,FIND("|",SUBSTITUTE($H2553&amp;" "," ","|",3))-FIND("|",SUBSTITUTE($H2553&amp;" "," ","|",2))-1),""))</f>
        <v/>
      </c>
      <c r="E2553" s="58">
        <f>IF($H2553="","",IFERROR(MID($H2553&amp;" ",FIND("|",SUBSTITUTE($H2553&amp;" "," ","|",3))+1,FIND("|",SUBSTITUTE($H2553&amp;" "," ","|",4))-FIND("|",SUBSTITUTE($H2553&amp;" "," ","|",3))-1),""))</f>
        <v/>
      </c>
      <c r="F2553" s="59">
        <f>IF($H2553="","",IFERROR(VALUE(IFERROR(MID($H2553&amp;" ",FIND("|",SUBSTITUTE($H2553&amp;" "," ","|",4))+1,FIND("|",SUBSTITUTE($H2553&amp;" "," ","|",5))-FIND("|",SUBSTITUTE($H2553&amp;" "," ","|",4))-1),""))/86400+25569+9/24,""))</f>
        <v/>
      </c>
      <c r="G2553" s="58">
        <f>TRIM(SUBSTITUTE(SUBSTITUTE(SUBSTITUTE($A2553,CHAR(9)," ")," "," "),CHAR(13),""))</f>
        <v/>
      </c>
      <c r="H2553" s="58">
        <f>IF($G2553="","",IF(ISNUMBER(FIND(" ",$G2553)),$G2553,IFERROR(IF((LEN(SUBSTITUTE(SUBSTITUTE($G2553,"-"," ",LEN($G2553)-LEN(SUBSTITUTE($G2553,"-",""))),"-"," ",LEN($G2553)-LEN(SUBSTITUTE($G2553,"-",""))-1))-LEN(SUBSTITUTE(SUBSTITUTE(SUBSTITUTE($G2553,"-"," ",LEN($G2553)-LEN(SUBSTITUTE($G2553,"-",""))),"-"," ",LEN($G2553)-LEN(SUBSTITUTE($G2553,"-",""))-1),".","")))=0,SUBSTITUTE(SUBSTITUTE($G2553,"-"," ",LEN($G2553)-LEN(SUBSTITUTE($G2553,"-",""))),"-"," ",LEN($G2553)-LEN(SUBSTITUTE($G2553,"-",""))-1),SUBSTITUTE(SUBSTITUTE(SUBSTITUTE($G2553,"-"," ",LEN($G2553)-LEN(SUBSTITUTE($G2553,"-",""))),"-"," ",LEN($G2553)-LEN(SUBSTITUTE($G2553,"-",""))-1),"."," ",(LEN(SUBSTITUTE(SUBSTITUTE($G2553,"-"," ",LEN($G2553)-LEN(SUBSTITUTE($G2553,"-",""))),"-"," ",LEN($G2553)-LEN(SUBSTITUTE($G2553,"-",""))-1))-LEN(SUBSTITUTE(SUBSTITUTE(SUBSTITUTE($G2553,"-"," ",LEN($G2553)-LEN(SUBSTITUTE($G2553,"-",""))),"-"," ",LEN($G2553)-LEN(SUBSTITUTE($G2553,"-",""))-1),".",""))))),$G2553)))</f>
        <v/>
      </c>
    </row>
    <row r="2554">
      <c r="A2554" s="58" t="n"/>
      <c r="B2554" s="58">
        <f>IF($H2554="","",LEFT($H2554,FIND(" ",$H2554&amp;" ")-1))</f>
        <v/>
      </c>
      <c r="C2554" s="58">
        <f>IF($H2554="","",IFERROR(MID($H2554&amp;" ",FIND("|",SUBSTITUTE($H2554&amp;" "," ","|",1))+1,FIND("|",SUBSTITUTE($H2554&amp;" "," ","|",2))-FIND("|",SUBSTITUTE($H2554&amp;" "," ","|",1))-1),""))</f>
        <v/>
      </c>
      <c r="D2554" s="58">
        <f>IF($H2554="","",IFERROR(MID($H2554&amp;" ",FIND("|",SUBSTITUTE($H2554&amp;" "," ","|",2))+1,FIND("|",SUBSTITUTE($H2554&amp;" "," ","|",3))-FIND("|",SUBSTITUTE($H2554&amp;" "," ","|",2))-1),""))</f>
        <v/>
      </c>
      <c r="E2554" s="58">
        <f>IF($H2554="","",IFERROR(MID($H2554&amp;" ",FIND("|",SUBSTITUTE($H2554&amp;" "," ","|",3))+1,FIND("|",SUBSTITUTE($H2554&amp;" "," ","|",4))-FIND("|",SUBSTITUTE($H2554&amp;" "," ","|",3))-1),""))</f>
        <v/>
      </c>
      <c r="F2554" s="59">
        <f>IF($H2554="","",IFERROR(VALUE(IFERROR(MID($H2554&amp;" ",FIND("|",SUBSTITUTE($H2554&amp;" "," ","|",4))+1,FIND("|",SUBSTITUTE($H2554&amp;" "," ","|",5))-FIND("|",SUBSTITUTE($H2554&amp;" "," ","|",4))-1),""))/86400+25569+9/24,""))</f>
        <v/>
      </c>
      <c r="G2554" s="58">
        <f>TRIM(SUBSTITUTE(SUBSTITUTE(SUBSTITUTE($A2554,CHAR(9)," ")," "," "),CHAR(13),""))</f>
        <v/>
      </c>
      <c r="H2554" s="58">
        <f>IF($G2554="","",IF(ISNUMBER(FIND(" ",$G2554)),$G2554,IFERROR(IF((LEN(SUBSTITUTE(SUBSTITUTE($G2554,"-"," ",LEN($G2554)-LEN(SUBSTITUTE($G2554,"-",""))),"-"," ",LEN($G2554)-LEN(SUBSTITUTE($G2554,"-",""))-1))-LEN(SUBSTITUTE(SUBSTITUTE(SUBSTITUTE($G2554,"-"," ",LEN($G2554)-LEN(SUBSTITUTE($G2554,"-",""))),"-"," ",LEN($G2554)-LEN(SUBSTITUTE($G2554,"-",""))-1),".","")))=0,SUBSTITUTE(SUBSTITUTE($G2554,"-"," ",LEN($G2554)-LEN(SUBSTITUTE($G2554,"-",""))),"-"," ",LEN($G2554)-LEN(SUBSTITUTE($G2554,"-",""))-1),SUBSTITUTE(SUBSTITUTE(SUBSTITUTE($G2554,"-"," ",LEN($G2554)-LEN(SUBSTITUTE($G2554,"-",""))),"-"," ",LEN($G2554)-LEN(SUBSTITUTE($G2554,"-",""))-1),"."," ",(LEN(SUBSTITUTE(SUBSTITUTE($G2554,"-"," ",LEN($G2554)-LEN(SUBSTITUTE($G2554,"-",""))),"-"," ",LEN($G2554)-LEN(SUBSTITUTE($G2554,"-",""))-1))-LEN(SUBSTITUTE(SUBSTITUTE(SUBSTITUTE($G2554,"-"," ",LEN($G2554)-LEN(SUBSTITUTE($G2554,"-",""))),"-"," ",LEN($G2554)-LEN(SUBSTITUTE($G2554,"-",""))-1),".",""))))),$G2554)))</f>
        <v/>
      </c>
    </row>
    <row r="2555">
      <c r="A2555" s="58" t="n"/>
      <c r="B2555" s="58">
        <f>IF($H2555="","",LEFT($H2555,FIND(" ",$H2555&amp;" ")-1))</f>
        <v/>
      </c>
      <c r="C2555" s="58">
        <f>IF($H2555="","",IFERROR(MID($H2555&amp;" ",FIND("|",SUBSTITUTE($H2555&amp;" "," ","|",1))+1,FIND("|",SUBSTITUTE($H2555&amp;" "," ","|",2))-FIND("|",SUBSTITUTE($H2555&amp;" "," ","|",1))-1),""))</f>
        <v/>
      </c>
      <c r="D2555" s="58">
        <f>IF($H2555="","",IFERROR(MID($H2555&amp;" ",FIND("|",SUBSTITUTE($H2555&amp;" "," ","|",2))+1,FIND("|",SUBSTITUTE($H2555&amp;" "," ","|",3))-FIND("|",SUBSTITUTE($H2555&amp;" "," ","|",2))-1),""))</f>
        <v/>
      </c>
      <c r="E2555" s="58">
        <f>IF($H2555="","",IFERROR(MID($H2555&amp;" ",FIND("|",SUBSTITUTE($H2555&amp;" "," ","|",3))+1,FIND("|",SUBSTITUTE($H2555&amp;" "," ","|",4))-FIND("|",SUBSTITUTE($H2555&amp;" "," ","|",3))-1),""))</f>
        <v/>
      </c>
      <c r="F2555" s="59">
        <f>IF($H2555="","",IFERROR(VALUE(IFERROR(MID($H2555&amp;" ",FIND("|",SUBSTITUTE($H2555&amp;" "," ","|",4))+1,FIND("|",SUBSTITUTE($H2555&amp;" "," ","|",5))-FIND("|",SUBSTITUTE($H2555&amp;" "," ","|",4))-1),""))/86400+25569+9/24,""))</f>
        <v/>
      </c>
      <c r="G2555" s="58">
        <f>TRIM(SUBSTITUTE(SUBSTITUTE(SUBSTITUTE($A2555,CHAR(9)," ")," "," "),CHAR(13),""))</f>
        <v/>
      </c>
      <c r="H2555" s="58">
        <f>IF($G2555="","",IF(ISNUMBER(FIND(" ",$G2555)),$G2555,IFERROR(IF((LEN(SUBSTITUTE(SUBSTITUTE($G2555,"-"," ",LEN($G2555)-LEN(SUBSTITUTE($G2555,"-",""))),"-"," ",LEN($G2555)-LEN(SUBSTITUTE($G2555,"-",""))-1))-LEN(SUBSTITUTE(SUBSTITUTE(SUBSTITUTE($G2555,"-"," ",LEN($G2555)-LEN(SUBSTITUTE($G2555,"-",""))),"-"," ",LEN($G2555)-LEN(SUBSTITUTE($G2555,"-",""))-1),".","")))=0,SUBSTITUTE(SUBSTITUTE($G2555,"-"," ",LEN($G2555)-LEN(SUBSTITUTE($G2555,"-",""))),"-"," ",LEN($G2555)-LEN(SUBSTITUTE($G2555,"-",""))-1),SUBSTITUTE(SUBSTITUTE(SUBSTITUTE($G2555,"-"," ",LEN($G2555)-LEN(SUBSTITUTE($G2555,"-",""))),"-"," ",LEN($G2555)-LEN(SUBSTITUTE($G2555,"-",""))-1),"."," ",(LEN(SUBSTITUTE(SUBSTITUTE($G2555,"-"," ",LEN($G2555)-LEN(SUBSTITUTE($G2555,"-",""))),"-"," ",LEN($G2555)-LEN(SUBSTITUTE($G2555,"-",""))-1))-LEN(SUBSTITUTE(SUBSTITUTE(SUBSTITUTE($G2555,"-"," ",LEN($G2555)-LEN(SUBSTITUTE($G2555,"-",""))),"-"," ",LEN($G2555)-LEN(SUBSTITUTE($G2555,"-",""))-1),".",""))))),$G2555)))</f>
        <v/>
      </c>
    </row>
    <row r="2556">
      <c r="A2556" s="58" t="n"/>
      <c r="B2556" s="58">
        <f>IF($H2556="","",LEFT($H2556,FIND(" ",$H2556&amp;" ")-1))</f>
        <v/>
      </c>
      <c r="C2556" s="58">
        <f>IF($H2556="","",IFERROR(MID($H2556&amp;" ",FIND("|",SUBSTITUTE($H2556&amp;" "," ","|",1))+1,FIND("|",SUBSTITUTE($H2556&amp;" "," ","|",2))-FIND("|",SUBSTITUTE($H2556&amp;" "," ","|",1))-1),""))</f>
        <v/>
      </c>
      <c r="D2556" s="58">
        <f>IF($H2556="","",IFERROR(MID($H2556&amp;" ",FIND("|",SUBSTITUTE($H2556&amp;" "," ","|",2))+1,FIND("|",SUBSTITUTE($H2556&amp;" "," ","|",3))-FIND("|",SUBSTITUTE($H2556&amp;" "," ","|",2))-1),""))</f>
        <v/>
      </c>
      <c r="E2556" s="58">
        <f>IF($H2556="","",IFERROR(MID($H2556&amp;" ",FIND("|",SUBSTITUTE($H2556&amp;" "," ","|",3))+1,FIND("|",SUBSTITUTE($H2556&amp;" "," ","|",4))-FIND("|",SUBSTITUTE($H2556&amp;" "," ","|",3))-1),""))</f>
        <v/>
      </c>
      <c r="F2556" s="59">
        <f>IF($H2556="","",IFERROR(VALUE(IFERROR(MID($H2556&amp;" ",FIND("|",SUBSTITUTE($H2556&amp;" "," ","|",4))+1,FIND("|",SUBSTITUTE($H2556&amp;" "," ","|",5))-FIND("|",SUBSTITUTE($H2556&amp;" "," ","|",4))-1),""))/86400+25569+9/24,""))</f>
        <v/>
      </c>
      <c r="G2556" s="58">
        <f>TRIM(SUBSTITUTE(SUBSTITUTE(SUBSTITUTE($A2556,CHAR(9)," ")," "," "),CHAR(13),""))</f>
        <v/>
      </c>
      <c r="H2556" s="58">
        <f>IF($G2556="","",IF(ISNUMBER(FIND(" ",$G2556)),$G2556,IFERROR(IF((LEN(SUBSTITUTE(SUBSTITUTE($G2556,"-"," ",LEN($G2556)-LEN(SUBSTITUTE($G2556,"-",""))),"-"," ",LEN($G2556)-LEN(SUBSTITUTE($G2556,"-",""))-1))-LEN(SUBSTITUTE(SUBSTITUTE(SUBSTITUTE($G2556,"-"," ",LEN($G2556)-LEN(SUBSTITUTE($G2556,"-",""))),"-"," ",LEN($G2556)-LEN(SUBSTITUTE($G2556,"-",""))-1),".","")))=0,SUBSTITUTE(SUBSTITUTE($G2556,"-"," ",LEN($G2556)-LEN(SUBSTITUTE($G2556,"-",""))),"-"," ",LEN($G2556)-LEN(SUBSTITUTE($G2556,"-",""))-1),SUBSTITUTE(SUBSTITUTE(SUBSTITUTE($G2556,"-"," ",LEN($G2556)-LEN(SUBSTITUTE($G2556,"-",""))),"-"," ",LEN($G2556)-LEN(SUBSTITUTE($G2556,"-",""))-1),"."," ",(LEN(SUBSTITUTE(SUBSTITUTE($G2556,"-"," ",LEN($G2556)-LEN(SUBSTITUTE($G2556,"-",""))),"-"," ",LEN($G2556)-LEN(SUBSTITUTE($G2556,"-",""))-1))-LEN(SUBSTITUTE(SUBSTITUTE(SUBSTITUTE($G2556,"-"," ",LEN($G2556)-LEN(SUBSTITUTE($G2556,"-",""))),"-"," ",LEN($G2556)-LEN(SUBSTITUTE($G2556,"-",""))-1),".",""))))),$G2556)))</f>
        <v/>
      </c>
    </row>
    <row r="2557">
      <c r="A2557" s="58" t="n"/>
      <c r="B2557" s="58">
        <f>IF($H2557="","",LEFT($H2557,FIND(" ",$H2557&amp;" ")-1))</f>
        <v/>
      </c>
      <c r="C2557" s="58">
        <f>IF($H2557="","",IFERROR(MID($H2557&amp;" ",FIND("|",SUBSTITUTE($H2557&amp;" "," ","|",1))+1,FIND("|",SUBSTITUTE($H2557&amp;" "," ","|",2))-FIND("|",SUBSTITUTE($H2557&amp;" "," ","|",1))-1),""))</f>
        <v/>
      </c>
      <c r="D2557" s="58">
        <f>IF($H2557="","",IFERROR(MID($H2557&amp;" ",FIND("|",SUBSTITUTE($H2557&amp;" "," ","|",2))+1,FIND("|",SUBSTITUTE($H2557&amp;" "," ","|",3))-FIND("|",SUBSTITUTE($H2557&amp;" "," ","|",2))-1),""))</f>
        <v/>
      </c>
      <c r="E2557" s="58">
        <f>IF($H2557="","",IFERROR(MID($H2557&amp;" ",FIND("|",SUBSTITUTE($H2557&amp;" "," ","|",3))+1,FIND("|",SUBSTITUTE($H2557&amp;" "," ","|",4))-FIND("|",SUBSTITUTE($H2557&amp;" "," ","|",3))-1),""))</f>
        <v/>
      </c>
      <c r="F2557" s="59">
        <f>IF($H2557="","",IFERROR(VALUE(IFERROR(MID($H2557&amp;" ",FIND("|",SUBSTITUTE($H2557&amp;" "," ","|",4))+1,FIND("|",SUBSTITUTE($H2557&amp;" "," ","|",5))-FIND("|",SUBSTITUTE($H2557&amp;" "," ","|",4))-1),""))/86400+25569+9/24,""))</f>
        <v/>
      </c>
      <c r="G2557" s="58">
        <f>TRIM(SUBSTITUTE(SUBSTITUTE(SUBSTITUTE($A2557,CHAR(9)," ")," "," "),CHAR(13),""))</f>
        <v/>
      </c>
      <c r="H2557" s="58">
        <f>IF($G2557="","",IF(ISNUMBER(FIND(" ",$G2557)),$G2557,IFERROR(IF((LEN(SUBSTITUTE(SUBSTITUTE($G2557,"-"," ",LEN($G2557)-LEN(SUBSTITUTE($G2557,"-",""))),"-"," ",LEN($G2557)-LEN(SUBSTITUTE($G2557,"-",""))-1))-LEN(SUBSTITUTE(SUBSTITUTE(SUBSTITUTE($G2557,"-"," ",LEN($G2557)-LEN(SUBSTITUTE($G2557,"-",""))),"-"," ",LEN($G2557)-LEN(SUBSTITUTE($G2557,"-",""))-1),".","")))=0,SUBSTITUTE(SUBSTITUTE($G2557,"-"," ",LEN($G2557)-LEN(SUBSTITUTE($G2557,"-",""))),"-"," ",LEN($G2557)-LEN(SUBSTITUTE($G2557,"-",""))-1),SUBSTITUTE(SUBSTITUTE(SUBSTITUTE($G2557,"-"," ",LEN($G2557)-LEN(SUBSTITUTE($G2557,"-",""))),"-"," ",LEN($G2557)-LEN(SUBSTITUTE($G2557,"-",""))-1),"."," ",(LEN(SUBSTITUTE(SUBSTITUTE($G2557,"-"," ",LEN($G2557)-LEN(SUBSTITUTE($G2557,"-",""))),"-"," ",LEN($G2557)-LEN(SUBSTITUTE($G2557,"-",""))-1))-LEN(SUBSTITUTE(SUBSTITUTE(SUBSTITUTE($G2557,"-"," ",LEN($G2557)-LEN(SUBSTITUTE($G2557,"-",""))),"-"," ",LEN($G2557)-LEN(SUBSTITUTE($G2557,"-",""))-1),".",""))))),$G2557)))</f>
        <v/>
      </c>
    </row>
    <row r="2558">
      <c r="A2558" s="58" t="n"/>
      <c r="B2558" s="58">
        <f>IF($H2558="","",LEFT($H2558,FIND(" ",$H2558&amp;" ")-1))</f>
        <v/>
      </c>
      <c r="C2558" s="58">
        <f>IF($H2558="","",IFERROR(MID($H2558&amp;" ",FIND("|",SUBSTITUTE($H2558&amp;" "," ","|",1))+1,FIND("|",SUBSTITUTE($H2558&amp;" "," ","|",2))-FIND("|",SUBSTITUTE($H2558&amp;" "," ","|",1))-1),""))</f>
        <v/>
      </c>
      <c r="D2558" s="58">
        <f>IF($H2558="","",IFERROR(MID($H2558&amp;" ",FIND("|",SUBSTITUTE($H2558&amp;" "," ","|",2))+1,FIND("|",SUBSTITUTE($H2558&amp;" "," ","|",3))-FIND("|",SUBSTITUTE($H2558&amp;" "," ","|",2))-1),""))</f>
        <v/>
      </c>
      <c r="E2558" s="58">
        <f>IF($H2558="","",IFERROR(MID($H2558&amp;" ",FIND("|",SUBSTITUTE($H2558&amp;" "," ","|",3))+1,FIND("|",SUBSTITUTE($H2558&amp;" "," ","|",4))-FIND("|",SUBSTITUTE($H2558&amp;" "," ","|",3))-1),""))</f>
        <v/>
      </c>
      <c r="F2558" s="59">
        <f>IF($H2558="","",IFERROR(VALUE(IFERROR(MID($H2558&amp;" ",FIND("|",SUBSTITUTE($H2558&amp;" "," ","|",4))+1,FIND("|",SUBSTITUTE($H2558&amp;" "," ","|",5))-FIND("|",SUBSTITUTE($H2558&amp;" "," ","|",4))-1),""))/86400+25569+9/24,""))</f>
        <v/>
      </c>
      <c r="G2558" s="58">
        <f>TRIM(SUBSTITUTE(SUBSTITUTE(SUBSTITUTE($A2558,CHAR(9)," ")," "," "),CHAR(13),""))</f>
        <v/>
      </c>
      <c r="H2558" s="58">
        <f>IF($G2558="","",IF(ISNUMBER(FIND(" ",$G2558)),$G2558,IFERROR(IF((LEN(SUBSTITUTE(SUBSTITUTE($G2558,"-"," ",LEN($G2558)-LEN(SUBSTITUTE($G2558,"-",""))),"-"," ",LEN($G2558)-LEN(SUBSTITUTE($G2558,"-",""))-1))-LEN(SUBSTITUTE(SUBSTITUTE(SUBSTITUTE($G2558,"-"," ",LEN($G2558)-LEN(SUBSTITUTE($G2558,"-",""))),"-"," ",LEN($G2558)-LEN(SUBSTITUTE($G2558,"-",""))-1),".","")))=0,SUBSTITUTE(SUBSTITUTE($G2558,"-"," ",LEN($G2558)-LEN(SUBSTITUTE($G2558,"-",""))),"-"," ",LEN($G2558)-LEN(SUBSTITUTE($G2558,"-",""))-1),SUBSTITUTE(SUBSTITUTE(SUBSTITUTE($G2558,"-"," ",LEN($G2558)-LEN(SUBSTITUTE($G2558,"-",""))),"-"," ",LEN($G2558)-LEN(SUBSTITUTE($G2558,"-",""))-1),"."," ",(LEN(SUBSTITUTE(SUBSTITUTE($G2558,"-"," ",LEN($G2558)-LEN(SUBSTITUTE($G2558,"-",""))),"-"," ",LEN($G2558)-LEN(SUBSTITUTE($G2558,"-",""))-1))-LEN(SUBSTITUTE(SUBSTITUTE(SUBSTITUTE($G2558,"-"," ",LEN($G2558)-LEN(SUBSTITUTE($G2558,"-",""))),"-"," ",LEN($G2558)-LEN(SUBSTITUTE($G2558,"-",""))-1),".",""))))),$G2558)))</f>
        <v/>
      </c>
    </row>
    <row r="2559">
      <c r="A2559" s="58" t="n"/>
      <c r="B2559" s="58">
        <f>IF($H2559="","",LEFT($H2559,FIND(" ",$H2559&amp;" ")-1))</f>
        <v/>
      </c>
      <c r="C2559" s="58">
        <f>IF($H2559="","",IFERROR(MID($H2559&amp;" ",FIND("|",SUBSTITUTE($H2559&amp;" "," ","|",1))+1,FIND("|",SUBSTITUTE($H2559&amp;" "," ","|",2))-FIND("|",SUBSTITUTE($H2559&amp;" "," ","|",1))-1),""))</f>
        <v/>
      </c>
      <c r="D2559" s="58">
        <f>IF($H2559="","",IFERROR(MID($H2559&amp;" ",FIND("|",SUBSTITUTE($H2559&amp;" "," ","|",2))+1,FIND("|",SUBSTITUTE($H2559&amp;" "," ","|",3))-FIND("|",SUBSTITUTE($H2559&amp;" "," ","|",2))-1),""))</f>
        <v/>
      </c>
      <c r="E2559" s="58">
        <f>IF($H2559="","",IFERROR(MID($H2559&amp;" ",FIND("|",SUBSTITUTE($H2559&amp;" "," ","|",3))+1,FIND("|",SUBSTITUTE($H2559&amp;" "," ","|",4))-FIND("|",SUBSTITUTE($H2559&amp;" "," ","|",3))-1),""))</f>
        <v/>
      </c>
      <c r="F2559" s="59">
        <f>IF($H2559="","",IFERROR(VALUE(IFERROR(MID($H2559&amp;" ",FIND("|",SUBSTITUTE($H2559&amp;" "," ","|",4))+1,FIND("|",SUBSTITUTE($H2559&amp;" "," ","|",5))-FIND("|",SUBSTITUTE($H2559&amp;" "," ","|",4))-1),""))/86400+25569+9/24,""))</f>
        <v/>
      </c>
      <c r="G2559" s="58">
        <f>TRIM(SUBSTITUTE(SUBSTITUTE(SUBSTITUTE($A2559,CHAR(9)," ")," "," "),CHAR(13),""))</f>
        <v/>
      </c>
      <c r="H2559" s="58">
        <f>IF($G2559="","",IF(ISNUMBER(FIND(" ",$G2559)),$G2559,IFERROR(IF((LEN(SUBSTITUTE(SUBSTITUTE($G2559,"-"," ",LEN($G2559)-LEN(SUBSTITUTE($G2559,"-",""))),"-"," ",LEN($G2559)-LEN(SUBSTITUTE($G2559,"-",""))-1))-LEN(SUBSTITUTE(SUBSTITUTE(SUBSTITUTE($G2559,"-"," ",LEN($G2559)-LEN(SUBSTITUTE($G2559,"-",""))),"-"," ",LEN($G2559)-LEN(SUBSTITUTE($G2559,"-",""))-1),".","")))=0,SUBSTITUTE(SUBSTITUTE($G2559,"-"," ",LEN($G2559)-LEN(SUBSTITUTE($G2559,"-",""))),"-"," ",LEN($G2559)-LEN(SUBSTITUTE($G2559,"-",""))-1),SUBSTITUTE(SUBSTITUTE(SUBSTITUTE($G2559,"-"," ",LEN($G2559)-LEN(SUBSTITUTE($G2559,"-",""))),"-"," ",LEN($G2559)-LEN(SUBSTITUTE($G2559,"-",""))-1),"."," ",(LEN(SUBSTITUTE(SUBSTITUTE($G2559,"-"," ",LEN($G2559)-LEN(SUBSTITUTE($G2559,"-",""))),"-"," ",LEN($G2559)-LEN(SUBSTITUTE($G2559,"-",""))-1))-LEN(SUBSTITUTE(SUBSTITUTE(SUBSTITUTE($G2559,"-"," ",LEN($G2559)-LEN(SUBSTITUTE($G2559,"-",""))),"-"," ",LEN($G2559)-LEN(SUBSTITUTE($G2559,"-",""))-1),".",""))))),$G2559)))</f>
        <v/>
      </c>
    </row>
    <row r="2560">
      <c r="A2560" s="58" t="n"/>
      <c r="B2560" s="58">
        <f>IF($H2560="","",LEFT($H2560,FIND(" ",$H2560&amp;" ")-1))</f>
        <v/>
      </c>
      <c r="C2560" s="58">
        <f>IF($H2560="","",IFERROR(MID($H2560&amp;" ",FIND("|",SUBSTITUTE($H2560&amp;" "," ","|",1))+1,FIND("|",SUBSTITUTE($H2560&amp;" "," ","|",2))-FIND("|",SUBSTITUTE($H2560&amp;" "," ","|",1))-1),""))</f>
        <v/>
      </c>
      <c r="D2560" s="58">
        <f>IF($H2560="","",IFERROR(MID($H2560&amp;" ",FIND("|",SUBSTITUTE($H2560&amp;" "," ","|",2))+1,FIND("|",SUBSTITUTE($H2560&amp;" "," ","|",3))-FIND("|",SUBSTITUTE($H2560&amp;" "," ","|",2))-1),""))</f>
        <v/>
      </c>
      <c r="E2560" s="58">
        <f>IF($H2560="","",IFERROR(MID($H2560&amp;" ",FIND("|",SUBSTITUTE($H2560&amp;" "," ","|",3))+1,FIND("|",SUBSTITUTE($H2560&amp;" "," ","|",4))-FIND("|",SUBSTITUTE($H2560&amp;" "," ","|",3))-1),""))</f>
        <v/>
      </c>
      <c r="F2560" s="59">
        <f>IF($H2560="","",IFERROR(VALUE(IFERROR(MID($H2560&amp;" ",FIND("|",SUBSTITUTE($H2560&amp;" "," ","|",4))+1,FIND("|",SUBSTITUTE($H2560&amp;" "," ","|",5))-FIND("|",SUBSTITUTE($H2560&amp;" "," ","|",4))-1),""))/86400+25569+9/24,""))</f>
        <v/>
      </c>
      <c r="G2560" s="58">
        <f>TRIM(SUBSTITUTE(SUBSTITUTE(SUBSTITUTE($A2560,CHAR(9)," ")," "," "),CHAR(13),""))</f>
        <v/>
      </c>
      <c r="H2560" s="58">
        <f>IF($G2560="","",IF(ISNUMBER(FIND(" ",$G2560)),$G2560,IFERROR(IF((LEN(SUBSTITUTE(SUBSTITUTE($G2560,"-"," ",LEN($G2560)-LEN(SUBSTITUTE($G2560,"-",""))),"-"," ",LEN($G2560)-LEN(SUBSTITUTE($G2560,"-",""))-1))-LEN(SUBSTITUTE(SUBSTITUTE(SUBSTITUTE($G2560,"-"," ",LEN($G2560)-LEN(SUBSTITUTE($G2560,"-",""))),"-"," ",LEN($G2560)-LEN(SUBSTITUTE($G2560,"-",""))-1),".","")))=0,SUBSTITUTE(SUBSTITUTE($G2560,"-"," ",LEN($G2560)-LEN(SUBSTITUTE($G2560,"-",""))),"-"," ",LEN($G2560)-LEN(SUBSTITUTE($G2560,"-",""))-1),SUBSTITUTE(SUBSTITUTE(SUBSTITUTE($G2560,"-"," ",LEN($G2560)-LEN(SUBSTITUTE($G2560,"-",""))),"-"," ",LEN($G2560)-LEN(SUBSTITUTE($G2560,"-",""))-1),"."," ",(LEN(SUBSTITUTE(SUBSTITUTE($G2560,"-"," ",LEN($G2560)-LEN(SUBSTITUTE($G2560,"-",""))),"-"," ",LEN($G2560)-LEN(SUBSTITUTE($G2560,"-",""))-1))-LEN(SUBSTITUTE(SUBSTITUTE(SUBSTITUTE($G2560,"-"," ",LEN($G2560)-LEN(SUBSTITUTE($G2560,"-",""))),"-"," ",LEN($G2560)-LEN(SUBSTITUTE($G2560,"-",""))-1),".",""))))),$G2560)))</f>
        <v/>
      </c>
    </row>
    <row r="2561">
      <c r="A2561" s="58" t="n"/>
      <c r="B2561" s="58">
        <f>IF($H2561="","",LEFT($H2561,FIND(" ",$H2561&amp;" ")-1))</f>
        <v/>
      </c>
      <c r="C2561" s="58">
        <f>IF($H2561="","",IFERROR(MID($H2561&amp;" ",FIND("|",SUBSTITUTE($H2561&amp;" "," ","|",1))+1,FIND("|",SUBSTITUTE($H2561&amp;" "," ","|",2))-FIND("|",SUBSTITUTE($H2561&amp;" "," ","|",1))-1),""))</f>
        <v/>
      </c>
      <c r="D2561" s="58">
        <f>IF($H2561="","",IFERROR(MID($H2561&amp;" ",FIND("|",SUBSTITUTE($H2561&amp;" "," ","|",2))+1,FIND("|",SUBSTITUTE($H2561&amp;" "," ","|",3))-FIND("|",SUBSTITUTE($H2561&amp;" "," ","|",2))-1),""))</f>
        <v/>
      </c>
      <c r="E2561" s="58">
        <f>IF($H2561="","",IFERROR(MID($H2561&amp;" ",FIND("|",SUBSTITUTE($H2561&amp;" "," ","|",3))+1,FIND("|",SUBSTITUTE($H2561&amp;" "," ","|",4))-FIND("|",SUBSTITUTE($H2561&amp;" "," ","|",3))-1),""))</f>
        <v/>
      </c>
      <c r="F2561" s="59">
        <f>IF($H2561="","",IFERROR(VALUE(IFERROR(MID($H2561&amp;" ",FIND("|",SUBSTITUTE($H2561&amp;" "," ","|",4))+1,FIND("|",SUBSTITUTE($H2561&amp;" "," ","|",5))-FIND("|",SUBSTITUTE($H2561&amp;" "," ","|",4))-1),""))/86400+25569+9/24,""))</f>
        <v/>
      </c>
      <c r="G2561" s="58">
        <f>TRIM(SUBSTITUTE(SUBSTITUTE(SUBSTITUTE($A2561,CHAR(9)," ")," "," "),CHAR(13),""))</f>
        <v/>
      </c>
      <c r="H2561" s="58">
        <f>IF($G2561="","",IF(ISNUMBER(FIND(" ",$G2561)),$G2561,IFERROR(IF((LEN(SUBSTITUTE(SUBSTITUTE($G2561,"-"," ",LEN($G2561)-LEN(SUBSTITUTE($G2561,"-",""))),"-"," ",LEN($G2561)-LEN(SUBSTITUTE($G2561,"-",""))-1))-LEN(SUBSTITUTE(SUBSTITUTE(SUBSTITUTE($G2561,"-"," ",LEN($G2561)-LEN(SUBSTITUTE($G2561,"-",""))),"-"," ",LEN($G2561)-LEN(SUBSTITUTE($G2561,"-",""))-1),".","")))=0,SUBSTITUTE(SUBSTITUTE($G2561,"-"," ",LEN($G2561)-LEN(SUBSTITUTE($G2561,"-",""))),"-"," ",LEN($G2561)-LEN(SUBSTITUTE($G2561,"-",""))-1),SUBSTITUTE(SUBSTITUTE(SUBSTITUTE($G2561,"-"," ",LEN($G2561)-LEN(SUBSTITUTE($G2561,"-",""))),"-"," ",LEN($G2561)-LEN(SUBSTITUTE($G2561,"-",""))-1),"."," ",(LEN(SUBSTITUTE(SUBSTITUTE($G2561,"-"," ",LEN($G2561)-LEN(SUBSTITUTE($G2561,"-",""))),"-"," ",LEN($G2561)-LEN(SUBSTITUTE($G2561,"-",""))-1))-LEN(SUBSTITUTE(SUBSTITUTE(SUBSTITUTE($G2561,"-"," ",LEN($G2561)-LEN(SUBSTITUTE($G2561,"-",""))),"-"," ",LEN($G2561)-LEN(SUBSTITUTE($G2561,"-",""))-1),".",""))))),$G2561)))</f>
        <v/>
      </c>
    </row>
    <row r="2562">
      <c r="A2562" s="58" t="n"/>
      <c r="B2562" s="58">
        <f>IF($H2562="","",LEFT($H2562,FIND(" ",$H2562&amp;" ")-1))</f>
        <v/>
      </c>
      <c r="C2562" s="58">
        <f>IF($H2562="","",IFERROR(MID($H2562&amp;" ",FIND("|",SUBSTITUTE($H2562&amp;" "," ","|",1))+1,FIND("|",SUBSTITUTE($H2562&amp;" "," ","|",2))-FIND("|",SUBSTITUTE($H2562&amp;" "," ","|",1))-1),""))</f>
        <v/>
      </c>
      <c r="D2562" s="58">
        <f>IF($H2562="","",IFERROR(MID($H2562&amp;" ",FIND("|",SUBSTITUTE($H2562&amp;" "," ","|",2))+1,FIND("|",SUBSTITUTE($H2562&amp;" "," ","|",3))-FIND("|",SUBSTITUTE($H2562&amp;" "," ","|",2))-1),""))</f>
        <v/>
      </c>
      <c r="E2562" s="58">
        <f>IF($H2562="","",IFERROR(MID($H2562&amp;" ",FIND("|",SUBSTITUTE($H2562&amp;" "," ","|",3))+1,FIND("|",SUBSTITUTE($H2562&amp;" "," ","|",4))-FIND("|",SUBSTITUTE($H2562&amp;" "," ","|",3))-1),""))</f>
        <v/>
      </c>
      <c r="F2562" s="59">
        <f>IF($H2562="","",IFERROR(VALUE(IFERROR(MID($H2562&amp;" ",FIND("|",SUBSTITUTE($H2562&amp;" "," ","|",4))+1,FIND("|",SUBSTITUTE($H2562&amp;" "," ","|",5))-FIND("|",SUBSTITUTE($H2562&amp;" "," ","|",4))-1),""))/86400+25569+9/24,""))</f>
        <v/>
      </c>
      <c r="G2562" s="58">
        <f>TRIM(SUBSTITUTE(SUBSTITUTE(SUBSTITUTE($A2562,CHAR(9)," ")," "," "),CHAR(13),""))</f>
        <v/>
      </c>
      <c r="H2562" s="58">
        <f>IF($G2562="","",IF(ISNUMBER(FIND(" ",$G2562)),$G2562,IFERROR(IF((LEN(SUBSTITUTE(SUBSTITUTE($G2562,"-"," ",LEN($G2562)-LEN(SUBSTITUTE($G2562,"-",""))),"-"," ",LEN($G2562)-LEN(SUBSTITUTE($G2562,"-",""))-1))-LEN(SUBSTITUTE(SUBSTITUTE(SUBSTITUTE($G2562,"-"," ",LEN($G2562)-LEN(SUBSTITUTE($G2562,"-",""))),"-"," ",LEN($G2562)-LEN(SUBSTITUTE($G2562,"-",""))-1),".","")))=0,SUBSTITUTE(SUBSTITUTE($G2562,"-"," ",LEN($G2562)-LEN(SUBSTITUTE($G2562,"-",""))),"-"," ",LEN($G2562)-LEN(SUBSTITUTE($G2562,"-",""))-1),SUBSTITUTE(SUBSTITUTE(SUBSTITUTE($G2562,"-"," ",LEN($G2562)-LEN(SUBSTITUTE($G2562,"-",""))),"-"," ",LEN($G2562)-LEN(SUBSTITUTE($G2562,"-",""))-1),"."," ",(LEN(SUBSTITUTE(SUBSTITUTE($G2562,"-"," ",LEN($G2562)-LEN(SUBSTITUTE($G2562,"-",""))),"-"," ",LEN($G2562)-LEN(SUBSTITUTE($G2562,"-",""))-1))-LEN(SUBSTITUTE(SUBSTITUTE(SUBSTITUTE($G2562,"-"," ",LEN($G2562)-LEN(SUBSTITUTE($G2562,"-",""))),"-"," ",LEN($G2562)-LEN(SUBSTITUTE($G2562,"-",""))-1),".",""))))),$G2562)))</f>
        <v/>
      </c>
    </row>
    <row r="2563">
      <c r="A2563" s="58" t="n"/>
      <c r="B2563" s="58">
        <f>IF($H2563="","",LEFT($H2563,FIND(" ",$H2563&amp;" ")-1))</f>
        <v/>
      </c>
      <c r="C2563" s="58">
        <f>IF($H2563="","",IFERROR(MID($H2563&amp;" ",FIND("|",SUBSTITUTE($H2563&amp;" "," ","|",1))+1,FIND("|",SUBSTITUTE($H2563&amp;" "," ","|",2))-FIND("|",SUBSTITUTE($H2563&amp;" "," ","|",1))-1),""))</f>
        <v/>
      </c>
      <c r="D2563" s="58">
        <f>IF($H2563="","",IFERROR(MID($H2563&amp;" ",FIND("|",SUBSTITUTE($H2563&amp;" "," ","|",2))+1,FIND("|",SUBSTITUTE($H2563&amp;" "," ","|",3))-FIND("|",SUBSTITUTE($H2563&amp;" "," ","|",2))-1),""))</f>
        <v/>
      </c>
      <c r="E2563" s="58">
        <f>IF($H2563="","",IFERROR(MID($H2563&amp;" ",FIND("|",SUBSTITUTE($H2563&amp;" "," ","|",3))+1,FIND("|",SUBSTITUTE($H2563&amp;" "," ","|",4))-FIND("|",SUBSTITUTE($H2563&amp;" "," ","|",3))-1),""))</f>
        <v/>
      </c>
      <c r="F2563" s="59">
        <f>IF($H2563="","",IFERROR(VALUE(IFERROR(MID($H2563&amp;" ",FIND("|",SUBSTITUTE($H2563&amp;" "," ","|",4))+1,FIND("|",SUBSTITUTE($H2563&amp;" "," ","|",5))-FIND("|",SUBSTITUTE($H2563&amp;" "," ","|",4))-1),""))/86400+25569+9/24,""))</f>
        <v/>
      </c>
      <c r="G2563" s="58">
        <f>TRIM(SUBSTITUTE(SUBSTITUTE(SUBSTITUTE($A2563,CHAR(9)," ")," "," "),CHAR(13),""))</f>
        <v/>
      </c>
      <c r="H2563" s="58">
        <f>IF($G2563="","",IF(ISNUMBER(FIND(" ",$G2563)),$G2563,IFERROR(IF((LEN(SUBSTITUTE(SUBSTITUTE($G2563,"-"," ",LEN($G2563)-LEN(SUBSTITUTE($G2563,"-",""))),"-"," ",LEN($G2563)-LEN(SUBSTITUTE($G2563,"-",""))-1))-LEN(SUBSTITUTE(SUBSTITUTE(SUBSTITUTE($G2563,"-"," ",LEN($G2563)-LEN(SUBSTITUTE($G2563,"-",""))),"-"," ",LEN($G2563)-LEN(SUBSTITUTE($G2563,"-",""))-1),".","")))=0,SUBSTITUTE(SUBSTITUTE($G2563,"-"," ",LEN($G2563)-LEN(SUBSTITUTE($G2563,"-",""))),"-"," ",LEN($G2563)-LEN(SUBSTITUTE($G2563,"-",""))-1),SUBSTITUTE(SUBSTITUTE(SUBSTITUTE($G2563,"-"," ",LEN($G2563)-LEN(SUBSTITUTE($G2563,"-",""))),"-"," ",LEN($G2563)-LEN(SUBSTITUTE($G2563,"-",""))-1),"."," ",(LEN(SUBSTITUTE(SUBSTITUTE($G2563,"-"," ",LEN($G2563)-LEN(SUBSTITUTE($G2563,"-",""))),"-"," ",LEN($G2563)-LEN(SUBSTITUTE($G2563,"-",""))-1))-LEN(SUBSTITUTE(SUBSTITUTE(SUBSTITUTE($G2563,"-"," ",LEN($G2563)-LEN(SUBSTITUTE($G2563,"-",""))),"-"," ",LEN($G2563)-LEN(SUBSTITUTE($G2563,"-",""))-1),".",""))))),$G2563)))</f>
        <v/>
      </c>
    </row>
    <row r="2564">
      <c r="A2564" s="58" t="n"/>
      <c r="B2564" s="58">
        <f>IF($H2564="","",LEFT($H2564,FIND(" ",$H2564&amp;" ")-1))</f>
        <v/>
      </c>
      <c r="C2564" s="58">
        <f>IF($H2564="","",IFERROR(MID($H2564&amp;" ",FIND("|",SUBSTITUTE($H2564&amp;" "," ","|",1))+1,FIND("|",SUBSTITUTE($H2564&amp;" "," ","|",2))-FIND("|",SUBSTITUTE($H2564&amp;" "," ","|",1))-1),""))</f>
        <v/>
      </c>
      <c r="D2564" s="58">
        <f>IF($H2564="","",IFERROR(MID($H2564&amp;" ",FIND("|",SUBSTITUTE($H2564&amp;" "," ","|",2))+1,FIND("|",SUBSTITUTE($H2564&amp;" "," ","|",3))-FIND("|",SUBSTITUTE($H2564&amp;" "," ","|",2))-1),""))</f>
        <v/>
      </c>
      <c r="E2564" s="58">
        <f>IF($H2564="","",IFERROR(MID($H2564&amp;" ",FIND("|",SUBSTITUTE($H2564&amp;" "," ","|",3))+1,FIND("|",SUBSTITUTE($H2564&amp;" "," ","|",4))-FIND("|",SUBSTITUTE($H2564&amp;" "," ","|",3))-1),""))</f>
        <v/>
      </c>
      <c r="F2564" s="59">
        <f>IF($H2564="","",IFERROR(VALUE(IFERROR(MID($H2564&amp;" ",FIND("|",SUBSTITUTE($H2564&amp;" "," ","|",4))+1,FIND("|",SUBSTITUTE($H2564&amp;" "," ","|",5))-FIND("|",SUBSTITUTE($H2564&amp;" "," ","|",4))-1),""))/86400+25569+9/24,""))</f>
        <v/>
      </c>
      <c r="G2564" s="58">
        <f>TRIM(SUBSTITUTE(SUBSTITUTE(SUBSTITUTE($A2564,CHAR(9)," ")," "," "),CHAR(13),""))</f>
        <v/>
      </c>
      <c r="H2564" s="58">
        <f>IF($G2564="","",IF(ISNUMBER(FIND(" ",$G2564)),$G2564,IFERROR(IF((LEN(SUBSTITUTE(SUBSTITUTE($G2564,"-"," ",LEN($G2564)-LEN(SUBSTITUTE($G2564,"-",""))),"-"," ",LEN($G2564)-LEN(SUBSTITUTE($G2564,"-",""))-1))-LEN(SUBSTITUTE(SUBSTITUTE(SUBSTITUTE($G2564,"-"," ",LEN($G2564)-LEN(SUBSTITUTE($G2564,"-",""))),"-"," ",LEN($G2564)-LEN(SUBSTITUTE($G2564,"-",""))-1),".","")))=0,SUBSTITUTE(SUBSTITUTE($G2564,"-"," ",LEN($G2564)-LEN(SUBSTITUTE($G2564,"-",""))),"-"," ",LEN($G2564)-LEN(SUBSTITUTE($G2564,"-",""))-1),SUBSTITUTE(SUBSTITUTE(SUBSTITUTE($G2564,"-"," ",LEN($G2564)-LEN(SUBSTITUTE($G2564,"-",""))),"-"," ",LEN($G2564)-LEN(SUBSTITUTE($G2564,"-",""))-1),"."," ",(LEN(SUBSTITUTE(SUBSTITUTE($G2564,"-"," ",LEN($G2564)-LEN(SUBSTITUTE($G2564,"-",""))),"-"," ",LEN($G2564)-LEN(SUBSTITUTE($G2564,"-",""))-1))-LEN(SUBSTITUTE(SUBSTITUTE(SUBSTITUTE($G2564,"-"," ",LEN($G2564)-LEN(SUBSTITUTE($G2564,"-",""))),"-"," ",LEN($G2564)-LEN(SUBSTITUTE($G2564,"-",""))-1),".",""))))),$G2564)))</f>
        <v/>
      </c>
    </row>
    <row r="2565">
      <c r="A2565" s="58" t="n"/>
      <c r="B2565" s="58">
        <f>IF($H2565="","",LEFT($H2565,FIND(" ",$H2565&amp;" ")-1))</f>
        <v/>
      </c>
      <c r="C2565" s="58">
        <f>IF($H2565="","",IFERROR(MID($H2565&amp;" ",FIND("|",SUBSTITUTE($H2565&amp;" "," ","|",1))+1,FIND("|",SUBSTITUTE($H2565&amp;" "," ","|",2))-FIND("|",SUBSTITUTE($H2565&amp;" "," ","|",1))-1),""))</f>
        <v/>
      </c>
      <c r="D2565" s="58">
        <f>IF($H2565="","",IFERROR(MID($H2565&amp;" ",FIND("|",SUBSTITUTE($H2565&amp;" "," ","|",2))+1,FIND("|",SUBSTITUTE($H2565&amp;" "," ","|",3))-FIND("|",SUBSTITUTE($H2565&amp;" "," ","|",2))-1),""))</f>
        <v/>
      </c>
      <c r="E2565" s="58">
        <f>IF($H2565="","",IFERROR(MID($H2565&amp;" ",FIND("|",SUBSTITUTE($H2565&amp;" "," ","|",3))+1,FIND("|",SUBSTITUTE($H2565&amp;" "," ","|",4))-FIND("|",SUBSTITUTE($H2565&amp;" "," ","|",3))-1),""))</f>
        <v/>
      </c>
      <c r="F2565" s="59">
        <f>IF($H2565="","",IFERROR(VALUE(IFERROR(MID($H2565&amp;" ",FIND("|",SUBSTITUTE($H2565&amp;" "," ","|",4))+1,FIND("|",SUBSTITUTE($H2565&amp;" "," ","|",5))-FIND("|",SUBSTITUTE($H2565&amp;" "," ","|",4))-1),""))/86400+25569+9/24,""))</f>
        <v/>
      </c>
      <c r="G2565" s="58">
        <f>TRIM(SUBSTITUTE(SUBSTITUTE(SUBSTITUTE($A2565,CHAR(9)," ")," "," "),CHAR(13),""))</f>
        <v/>
      </c>
      <c r="H2565" s="58">
        <f>IF($G2565="","",IF(ISNUMBER(FIND(" ",$G2565)),$G2565,IFERROR(IF((LEN(SUBSTITUTE(SUBSTITUTE($G2565,"-"," ",LEN($G2565)-LEN(SUBSTITUTE($G2565,"-",""))),"-"," ",LEN($G2565)-LEN(SUBSTITUTE($G2565,"-",""))-1))-LEN(SUBSTITUTE(SUBSTITUTE(SUBSTITUTE($G2565,"-"," ",LEN($G2565)-LEN(SUBSTITUTE($G2565,"-",""))),"-"," ",LEN($G2565)-LEN(SUBSTITUTE($G2565,"-",""))-1),".","")))=0,SUBSTITUTE(SUBSTITUTE($G2565,"-"," ",LEN($G2565)-LEN(SUBSTITUTE($G2565,"-",""))),"-"," ",LEN($G2565)-LEN(SUBSTITUTE($G2565,"-",""))-1),SUBSTITUTE(SUBSTITUTE(SUBSTITUTE($G2565,"-"," ",LEN($G2565)-LEN(SUBSTITUTE($G2565,"-",""))),"-"," ",LEN($G2565)-LEN(SUBSTITUTE($G2565,"-",""))-1),"."," ",(LEN(SUBSTITUTE(SUBSTITUTE($G2565,"-"," ",LEN($G2565)-LEN(SUBSTITUTE($G2565,"-",""))),"-"," ",LEN($G2565)-LEN(SUBSTITUTE($G2565,"-",""))-1))-LEN(SUBSTITUTE(SUBSTITUTE(SUBSTITUTE($G2565,"-"," ",LEN($G2565)-LEN(SUBSTITUTE($G2565,"-",""))),"-"," ",LEN($G2565)-LEN(SUBSTITUTE($G2565,"-",""))-1),".",""))))),$G2565)))</f>
        <v/>
      </c>
    </row>
    <row r="2566">
      <c r="A2566" s="58" t="n"/>
      <c r="B2566" s="58">
        <f>IF($H2566="","",LEFT($H2566,FIND(" ",$H2566&amp;" ")-1))</f>
        <v/>
      </c>
      <c r="C2566" s="58">
        <f>IF($H2566="","",IFERROR(MID($H2566&amp;" ",FIND("|",SUBSTITUTE($H2566&amp;" "," ","|",1))+1,FIND("|",SUBSTITUTE($H2566&amp;" "," ","|",2))-FIND("|",SUBSTITUTE($H2566&amp;" "," ","|",1))-1),""))</f>
        <v/>
      </c>
      <c r="D2566" s="58">
        <f>IF($H2566="","",IFERROR(MID($H2566&amp;" ",FIND("|",SUBSTITUTE($H2566&amp;" "," ","|",2))+1,FIND("|",SUBSTITUTE($H2566&amp;" "," ","|",3))-FIND("|",SUBSTITUTE($H2566&amp;" "," ","|",2))-1),""))</f>
        <v/>
      </c>
      <c r="E2566" s="58">
        <f>IF($H2566="","",IFERROR(MID($H2566&amp;" ",FIND("|",SUBSTITUTE($H2566&amp;" "," ","|",3))+1,FIND("|",SUBSTITUTE($H2566&amp;" "," ","|",4))-FIND("|",SUBSTITUTE($H2566&amp;" "," ","|",3))-1),""))</f>
        <v/>
      </c>
      <c r="F2566" s="59">
        <f>IF($H2566="","",IFERROR(VALUE(IFERROR(MID($H2566&amp;" ",FIND("|",SUBSTITUTE($H2566&amp;" "," ","|",4))+1,FIND("|",SUBSTITUTE($H2566&amp;" "," ","|",5))-FIND("|",SUBSTITUTE($H2566&amp;" "," ","|",4))-1),""))/86400+25569+9/24,""))</f>
        <v/>
      </c>
      <c r="G2566" s="58">
        <f>TRIM(SUBSTITUTE(SUBSTITUTE(SUBSTITUTE($A2566,CHAR(9)," ")," "," "),CHAR(13),""))</f>
        <v/>
      </c>
      <c r="H2566" s="58">
        <f>IF($G2566="","",IF(ISNUMBER(FIND(" ",$G2566)),$G2566,IFERROR(IF((LEN(SUBSTITUTE(SUBSTITUTE($G2566,"-"," ",LEN($G2566)-LEN(SUBSTITUTE($G2566,"-",""))),"-"," ",LEN($G2566)-LEN(SUBSTITUTE($G2566,"-",""))-1))-LEN(SUBSTITUTE(SUBSTITUTE(SUBSTITUTE($G2566,"-"," ",LEN($G2566)-LEN(SUBSTITUTE($G2566,"-",""))),"-"," ",LEN($G2566)-LEN(SUBSTITUTE($G2566,"-",""))-1),".","")))=0,SUBSTITUTE(SUBSTITUTE($G2566,"-"," ",LEN($G2566)-LEN(SUBSTITUTE($G2566,"-",""))),"-"," ",LEN($G2566)-LEN(SUBSTITUTE($G2566,"-",""))-1),SUBSTITUTE(SUBSTITUTE(SUBSTITUTE($G2566,"-"," ",LEN($G2566)-LEN(SUBSTITUTE($G2566,"-",""))),"-"," ",LEN($G2566)-LEN(SUBSTITUTE($G2566,"-",""))-1),"."," ",(LEN(SUBSTITUTE(SUBSTITUTE($G2566,"-"," ",LEN($G2566)-LEN(SUBSTITUTE($G2566,"-",""))),"-"," ",LEN($G2566)-LEN(SUBSTITUTE($G2566,"-",""))-1))-LEN(SUBSTITUTE(SUBSTITUTE(SUBSTITUTE($G2566,"-"," ",LEN($G2566)-LEN(SUBSTITUTE($G2566,"-",""))),"-"," ",LEN($G2566)-LEN(SUBSTITUTE($G2566,"-",""))-1),".",""))))),$G2566)))</f>
        <v/>
      </c>
    </row>
    <row r="2567">
      <c r="A2567" s="58" t="n"/>
      <c r="B2567" s="58">
        <f>IF($H2567="","",LEFT($H2567,FIND(" ",$H2567&amp;" ")-1))</f>
        <v/>
      </c>
      <c r="C2567" s="58">
        <f>IF($H2567="","",IFERROR(MID($H2567&amp;" ",FIND("|",SUBSTITUTE($H2567&amp;" "," ","|",1))+1,FIND("|",SUBSTITUTE($H2567&amp;" "," ","|",2))-FIND("|",SUBSTITUTE($H2567&amp;" "," ","|",1))-1),""))</f>
        <v/>
      </c>
      <c r="D2567" s="58">
        <f>IF($H2567="","",IFERROR(MID($H2567&amp;" ",FIND("|",SUBSTITUTE($H2567&amp;" "," ","|",2))+1,FIND("|",SUBSTITUTE($H2567&amp;" "," ","|",3))-FIND("|",SUBSTITUTE($H2567&amp;" "," ","|",2))-1),""))</f>
        <v/>
      </c>
      <c r="E2567" s="58">
        <f>IF($H2567="","",IFERROR(MID($H2567&amp;" ",FIND("|",SUBSTITUTE($H2567&amp;" "," ","|",3))+1,FIND("|",SUBSTITUTE($H2567&amp;" "," ","|",4))-FIND("|",SUBSTITUTE($H2567&amp;" "," ","|",3))-1),""))</f>
        <v/>
      </c>
      <c r="F2567" s="59">
        <f>IF($H2567="","",IFERROR(VALUE(IFERROR(MID($H2567&amp;" ",FIND("|",SUBSTITUTE($H2567&amp;" "," ","|",4))+1,FIND("|",SUBSTITUTE($H2567&amp;" "," ","|",5))-FIND("|",SUBSTITUTE($H2567&amp;" "," ","|",4))-1),""))/86400+25569+9/24,""))</f>
        <v/>
      </c>
      <c r="G2567" s="58">
        <f>TRIM(SUBSTITUTE(SUBSTITUTE(SUBSTITUTE($A2567,CHAR(9)," ")," "," "),CHAR(13),""))</f>
        <v/>
      </c>
      <c r="H2567" s="58">
        <f>IF($G2567="","",IF(ISNUMBER(FIND(" ",$G2567)),$G2567,IFERROR(IF((LEN(SUBSTITUTE(SUBSTITUTE($G2567,"-"," ",LEN($G2567)-LEN(SUBSTITUTE($G2567,"-",""))),"-"," ",LEN($G2567)-LEN(SUBSTITUTE($G2567,"-",""))-1))-LEN(SUBSTITUTE(SUBSTITUTE(SUBSTITUTE($G2567,"-"," ",LEN($G2567)-LEN(SUBSTITUTE($G2567,"-",""))),"-"," ",LEN($G2567)-LEN(SUBSTITUTE($G2567,"-",""))-1),".","")))=0,SUBSTITUTE(SUBSTITUTE($G2567,"-"," ",LEN($G2567)-LEN(SUBSTITUTE($G2567,"-",""))),"-"," ",LEN($G2567)-LEN(SUBSTITUTE($G2567,"-",""))-1),SUBSTITUTE(SUBSTITUTE(SUBSTITUTE($G2567,"-"," ",LEN($G2567)-LEN(SUBSTITUTE($G2567,"-",""))),"-"," ",LEN($G2567)-LEN(SUBSTITUTE($G2567,"-",""))-1),"."," ",(LEN(SUBSTITUTE(SUBSTITUTE($G2567,"-"," ",LEN($G2567)-LEN(SUBSTITUTE($G2567,"-",""))),"-"," ",LEN($G2567)-LEN(SUBSTITUTE($G2567,"-",""))-1))-LEN(SUBSTITUTE(SUBSTITUTE(SUBSTITUTE($G2567,"-"," ",LEN($G2567)-LEN(SUBSTITUTE($G2567,"-",""))),"-"," ",LEN($G2567)-LEN(SUBSTITUTE($G2567,"-",""))-1),".",""))))),$G2567)))</f>
        <v/>
      </c>
    </row>
    <row r="2568">
      <c r="A2568" s="58" t="n"/>
      <c r="B2568" s="58">
        <f>IF($H2568="","",LEFT($H2568,FIND(" ",$H2568&amp;" ")-1))</f>
        <v/>
      </c>
      <c r="C2568" s="58">
        <f>IF($H2568="","",IFERROR(MID($H2568&amp;" ",FIND("|",SUBSTITUTE($H2568&amp;" "," ","|",1))+1,FIND("|",SUBSTITUTE($H2568&amp;" "," ","|",2))-FIND("|",SUBSTITUTE($H2568&amp;" "," ","|",1))-1),""))</f>
        <v/>
      </c>
      <c r="D2568" s="58">
        <f>IF($H2568="","",IFERROR(MID($H2568&amp;" ",FIND("|",SUBSTITUTE($H2568&amp;" "," ","|",2))+1,FIND("|",SUBSTITUTE($H2568&amp;" "," ","|",3))-FIND("|",SUBSTITUTE($H2568&amp;" "," ","|",2))-1),""))</f>
        <v/>
      </c>
      <c r="E2568" s="58">
        <f>IF($H2568="","",IFERROR(MID($H2568&amp;" ",FIND("|",SUBSTITUTE($H2568&amp;" "," ","|",3))+1,FIND("|",SUBSTITUTE($H2568&amp;" "," ","|",4))-FIND("|",SUBSTITUTE($H2568&amp;" "," ","|",3))-1),""))</f>
        <v/>
      </c>
      <c r="F2568" s="59">
        <f>IF($H2568="","",IFERROR(VALUE(IFERROR(MID($H2568&amp;" ",FIND("|",SUBSTITUTE($H2568&amp;" "," ","|",4))+1,FIND("|",SUBSTITUTE($H2568&amp;" "," ","|",5))-FIND("|",SUBSTITUTE($H2568&amp;" "," ","|",4))-1),""))/86400+25569+9/24,""))</f>
        <v/>
      </c>
      <c r="G2568" s="58">
        <f>TRIM(SUBSTITUTE(SUBSTITUTE(SUBSTITUTE($A2568,CHAR(9)," ")," "," "),CHAR(13),""))</f>
        <v/>
      </c>
      <c r="H2568" s="58">
        <f>IF($G2568="","",IF(ISNUMBER(FIND(" ",$G2568)),$G2568,IFERROR(IF((LEN(SUBSTITUTE(SUBSTITUTE($G2568,"-"," ",LEN($G2568)-LEN(SUBSTITUTE($G2568,"-",""))),"-"," ",LEN($G2568)-LEN(SUBSTITUTE($G2568,"-",""))-1))-LEN(SUBSTITUTE(SUBSTITUTE(SUBSTITUTE($G2568,"-"," ",LEN($G2568)-LEN(SUBSTITUTE($G2568,"-",""))),"-"," ",LEN($G2568)-LEN(SUBSTITUTE($G2568,"-",""))-1),".","")))=0,SUBSTITUTE(SUBSTITUTE($G2568,"-"," ",LEN($G2568)-LEN(SUBSTITUTE($G2568,"-",""))),"-"," ",LEN($G2568)-LEN(SUBSTITUTE($G2568,"-",""))-1),SUBSTITUTE(SUBSTITUTE(SUBSTITUTE($G2568,"-"," ",LEN($G2568)-LEN(SUBSTITUTE($G2568,"-",""))),"-"," ",LEN($G2568)-LEN(SUBSTITUTE($G2568,"-",""))-1),"."," ",(LEN(SUBSTITUTE(SUBSTITUTE($G2568,"-"," ",LEN($G2568)-LEN(SUBSTITUTE($G2568,"-",""))),"-"," ",LEN($G2568)-LEN(SUBSTITUTE($G2568,"-",""))-1))-LEN(SUBSTITUTE(SUBSTITUTE(SUBSTITUTE($G2568,"-"," ",LEN($G2568)-LEN(SUBSTITUTE($G2568,"-",""))),"-"," ",LEN($G2568)-LEN(SUBSTITUTE($G2568,"-",""))-1),".",""))))),$G2568)))</f>
        <v/>
      </c>
    </row>
    <row r="2569">
      <c r="A2569" s="58" t="n"/>
      <c r="B2569" s="58">
        <f>IF($H2569="","",LEFT($H2569,FIND(" ",$H2569&amp;" ")-1))</f>
        <v/>
      </c>
      <c r="C2569" s="58">
        <f>IF($H2569="","",IFERROR(MID($H2569&amp;" ",FIND("|",SUBSTITUTE($H2569&amp;" "," ","|",1))+1,FIND("|",SUBSTITUTE($H2569&amp;" "," ","|",2))-FIND("|",SUBSTITUTE($H2569&amp;" "," ","|",1))-1),""))</f>
        <v/>
      </c>
      <c r="D2569" s="58">
        <f>IF($H2569="","",IFERROR(MID($H2569&amp;" ",FIND("|",SUBSTITUTE($H2569&amp;" "," ","|",2))+1,FIND("|",SUBSTITUTE($H2569&amp;" "," ","|",3))-FIND("|",SUBSTITUTE($H2569&amp;" "," ","|",2))-1),""))</f>
        <v/>
      </c>
      <c r="E2569" s="58">
        <f>IF($H2569="","",IFERROR(MID($H2569&amp;" ",FIND("|",SUBSTITUTE($H2569&amp;" "," ","|",3))+1,FIND("|",SUBSTITUTE($H2569&amp;" "," ","|",4))-FIND("|",SUBSTITUTE($H2569&amp;" "," ","|",3))-1),""))</f>
        <v/>
      </c>
      <c r="F2569" s="59">
        <f>IF($H2569="","",IFERROR(VALUE(IFERROR(MID($H2569&amp;" ",FIND("|",SUBSTITUTE($H2569&amp;" "," ","|",4))+1,FIND("|",SUBSTITUTE($H2569&amp;" "," ","|",5))-FIND("|",SUBSTITUTE($H2569&amp;" "," ","|",4))-1),""))/86400+25569+9/24,""))</f>
        <v/>
      </c>
      <c r="G2569" s="58">
        <f>TRIM(SUBSTITUTE(SUBSTITUTE(SUBSTITUTE($A2569,CHAR(9)," ")," "," "),CHAR(13),""))</f>
        <v/>
      </c>
      <c r="H2569" s="58">
        <f>IF($G2569="","",IF(ISNUMBER(FIND(" ",$G2569)),$G2569,IFERROR(IF((LEN(SUBSTITUTE(SUBSTITUTE($G2569,"-"," ",LEN($G2569)-LEN(SUBSTITUTE($G2569,"-",""))),"-"," ",LEN($G2569)-LEN(SUBSTITUTE($G2569,"-",""))-1))-LEN(SUBSTITUTE(SUBSTITUTE(SUBSTITUTE($G2569,"-"," ",LEN($G2569)-LEN(SUBSTITUTE($G2569,"-",""))),"-"," ",LEN($G2569)-LEN(SUBSTITUTE($G2569,"-",""))-1),".","")))=0,SUBSTITUTE(SUBSTITUTE($G2569,"-"," ",LEN($G2569)-LEN(SUBSTITUTE($G2569,"-",""))),"-"," ",LEN($G2569)-LEN(SUBSTITUTE($G2569,"-",""))-1),SUBSTITUTE(SUBSTITUTE(SUBSTITUTE($G2569,"-"," ",LEN($G2569)-LEN(SUBSTITUTE($G2569,"-",""))),"-"," ",LEN($G2569)-LEN(SUBSTITUTE($G2569,"-",""))-1),"."," ",(LEN(SUBSTITUTE(SUBSTITUTE($G2569,"-"," ",LEN($G2569)-LEN(SUBSTITUTE($G2569,"-",""))),"-"," ",LEN($G2569)-LEN(SUBSTITUTE($G2569,"-",""))-1))-LEN(SUBSTITUTE(SUBSTITUTE(SUBSTITUTE($G2569,"-"," ",LEN($G2569)-LEN(SUBSTITUTE($G2569,"-",""))),"-"," ",LEN($G2569)-LEN(SUBSTITUTE($G2569,"-",""))-1),".",""))))),$G2569)))</f>
        <v/>
      </c>
    </row>
    <row r="2570">
      <c r="A2570" s="58" t="n"/>
      <c r="B2570" s="58">
        <f>IF($H2570="","",LEFT($H2570,FIND(" ",$H2570&amp;" ")-1))</f>
        <v/>
      </c>
      <c r="C2570" s="58">
        <f>IF($H2570="","",IFERROR(MID($H2570&amp;" ",FIND("|",SUBSTITUTE($H2570&amp;" "," ","|",1))+1,FIND("|",SUBSTITUTE($H2570&amp;" "," ","|",2))-FIND("|",SUBSTITUTE($H2570&amp;" "," ","|",1))-1),""))</f>
        <v/>
      </c>
      <c r="D2570" s="58">
        <f>IF($H2570="","",IFERROR(MID($H2570&amp;" ",FIND("|",SUBSTITUTE($H2570&amp;" "," ","|",2))+1,FIND("|",SUBSTITUTE($H2570&amp;" "," ","|",3))-FIND("|",SUBSTITUTE($H2570&amp;" "," ","|",2))-1),""))</f>
        <v/>
      </c>
      <c r="E2570" s="58">
        <f>IF($H2570="","",IFERROR(MID($H2570&amp;" ",FIND("|",SUBSTITUTE($H2570&amp;" "," ","|",3))+1,FIND("|",SUBSTITUTE($H2570&amp;" "," ","|",4))-FIND("|",SUBSTITUTE($H2570&amp;" "," ","|",3))-1),""))</f>
        <v/>
      </c>
      <c r="F2570" s="59">
        <f>IF($H2570="","",IFERROR(VALUE(IFERROR(MID($H2570&amp;" ",FIND("|",SUBSTITUTE($H2570&amp;" "," ","|",4))+1,FIND("|",SUBSTITUTE($H2570&amp;" "," ","|",5))-FIND("|",SUBSTITUTE($H2570&amp;" "," ","|",4))-1),""))/86400+25569+9/24,""))</f>
        <v/>
      </c>
      <c r="G2570" s="58">
        <f>TRIM(SUBSTITUTE(SUBSTITUTE(SUBSTITUTE($A2570,CHAR(9)," ")," "," "),CHAR(13),""))</f>
        <v/>
      </c>
      <c r="H2570" s="58">
        <f>IF($G2570="","",IF(ISNUMBER(FIND(" ",$G2570)),$G2570,IFERROR(IF((LEN(SUBSTITUTE(SUBSTITUTE($G2570,"-"," ",LEN($G2570)-LEN(SUBSTITUTE($G2570,"-",""))),"-"," ",LEN($G2570)-LEN(SUBSTITUTE($G2570,"-",""))-1))-LEN(SUBSTITUTE(SUBSTITUTE(SUBSTITUTE($G2570,"-"," ",LEN($G2570)-LEN(SUBSTITUTE($G2570,"-",""))),"-"," ",LEN($G2570)-LEN(SUBSTITUTE($G2570,"-",""))-1),".","")))=0,SUBSTITUTE(SUBSTITUTE($G2570,"-"," ",LEN($G2570)-LEN(SUBSTITUTE($G2570,"-",""))),"-"," ",LEN($G2570)-LEN(SUBSTITUTE($G2570,"-",""))-1),SUBSTITUTE(SUBSTITUTE(SUBSTITUTE($G2570,"-"," ",LEN($G2570)-LEN(SUBSTITUTE($G2570,"-",""))),"-"," ",LEN($G2570)-LEN(SUBSTITUTE($G2570,"-",""))-1),"."," ",(LEN(SUBSTITUTE(SUBSTITUTE($G2570,"-"," ",LEN($G2570)-LEN(SUBSTITUTE($G2570,"-",""))),"-"," ",LEN($G2570)-LEN(SUBSTITUTE($G2570,"-",""))-1))-LEN(SUBSTITUTE(SUBSTITUTE(SUBSTITUTE($G2570,"-"," ",LEN($G2570)-LEN(SUBSTITUTE($G2570,"-",""))),"-"," ",LEN($G2570)-LEN(SUBSTITUTE($G2570,"-",""))-1),".",""))))),$G2570)))</f>
        <v/>
      </c>
    </row>
    <row r="2571">
      <c r="A2571" s="58" t="n"/>
      <c r="B2571" s="58">
        <f>IF($H2571="","",LEFT($H2571,FIND(" ",$H2571&amp;" ")-1))</f>
        <v/>
      </c>
      <c r="C2571" s="58">
        <f>IF($H2571="","",IFERROR(MID($H2571&amp;" ",FIND("|",SUBSTITUTE($H2571&amp;" "," ","|",1))+1,FIND("|",SUBSTITUTE($H2571&amp;" "," ","|",2))-FIND("|",SUBSTITUTE($H2571&amp;" "," ","|",1))-1),""))</f>
        <v/>
      </c>
      <c r="D2571" s="58">
        <f>IF($H2571="","",IFERROR(MID($H2571&amp;" ",FIND("|",SUBSTITUTE($H2571&amp;" "," ","|",2))+1,FIND("|",SUBSTITUTE($H2571&amp;" "," ","|",3))-FIND("|",SUBSTITUTE($H2571&amp;" "," ","|",2))-1),""))</f>
        <v/>
      </c>
      <c r="E2571" s="58">
        <f>IF($H2571="","",IFERROR(MID($H2571&amp;" ",FIND("|",SUBSTITUTE($H2571&amp;" "," ","|",3))+1,FIND("|",SUBSTITUTE($H2571&amp;" "," ","|",4))-FIND("|",SUBSTITUTE($H2571&amp;" "," ","|",3))-1),""))</f>
        <v/>
      </c>
      <c r="F2571" s="59">
        <f>IF($H2571="","",IFERROR(VALUE(IFERROR(MID($H2571&amp;" ",FIND("|",SUBSTITUTE($H2571&amp;" "," ","|",4))+1,FIND("|",SUBSTITUTE($H2571&amp;" "," ","|",5))-FIND("|",SUBSTITUTE($H2571&amp;" "," ","|",4))-1),""))/86400+25569+9/24,""))</f>
        <v/>
      </c>
      <c r="G2571" s="58">
        <f>TRIM(SUBSTITUTE(SUBSTITUTE(SUBSTITUTE($A2571,CHAR(9)," ")," "," "),CHAR(13),""))</f>
        <v/>
      </c>
      <c r="H2571" s="58">
        <f>IF($G2571="","",IF(ISNUMBER(FIND(" ",$G2571)),$G2571,IFERROR(IF((LEN(SUBSTITUTE(SUBSTITUTE($G2571,"-"," ",LEN($G2571)-LEN(SUBSTITUTE($G2571,"-",""))),"-"," ",LEN($G2571)-LEN(SUBSTITUTE($G2571,"-",""))-1))-LEN(SUBSTITUTE(SUBSTITUTE(SUBSTITUTE($G2571,"-"," ",LEN($G2571)-LEN(SUBSTITUTE($G2571,"-",""))),"-"," ",LEN($G2571)-LEN(SUBSTITUTE($G2571,"-",""))-1),".","")))=0,SUBSTITUTE(SUBSTITUTE($G2571,"-"," ",LEN($G2571)-LEN(SUBSTITUTE($G2571,"-",""))),"-"," ",LEN($G2571)-LEN(SUBSTITUTE($G2571,"-",""))-1),SUBSTITUTE(SUBSTITUTE(SUBSTITUTE($G2571,"-"," ",LEN($G2571)-LEN(SUBSTITUTE($G2571,"-",""))),"-"," ",LEN($G2571)-LEN(SUBSTITUTE($G2571,"-",""))-1),"."," ",(LEN(SUBSTITUTE(SUBSTITUTE($G2571,"-"," ",LEN($G2571)-LEN(SUBSTITUTE($G2571,"-",""))),"-"," ",LEN($G2571)-LEN(SUBSTITUTE($G2571,"-",""))-1))-LEN(SUBSTITUTE(SUBSTITUTE(SUBSTITUTE($G2571,"-"," ",LEN($G2571)-LEN(SUBSTITUTE($G2571,"-",""))),"-"," ",LEN($G2571)-LEN(SUBSTITUTE($G2571,"-",""))-1),".",""))))),$G2571)))</f>
        <v/>
      </c>
    </row>
    <row r="2572">
      <c r="A2572" s="58" t="n"/>
      <c r="B2572" s="58">
        <f>IF($H2572="","",LEFT($H2572,FIND(" ",$H2572&amp;" ")-1))</f>
        <v/>
      </c>
      <c r="C2572" s="58">
        <f>IF($H2572="","",IFERROR(MID($H2572&amp;" ",FIND("|",SUBSTITUTE($H2572&amp;" "," ","|",1))+1,FIND("|",SUBSTITUTE($H2572&amp;" "," ","|",2))-FIND("|",SUBSTITUTE($H2572&amp;" "," ","|",1))-1),""))</f>
        <v/>
      </c>
      <c r="D2572" s="58">
        <f>IF($H2572="","",IFERROR(MID($H2572&amp;" ",FIND("|",SUBSTITUTE($H2572&amp;" "," ","|",2))+1,FIND("|",SUBSTITUTE($H2572&amp;" "," ","|",3))-FIND("|",SUBSTITUTE($H2572&amp;" "," ","|",2))-1),""))</f>
        <v/>
      </c>
      <c r="E2572" s="58">
        <f>IF($H2572="","",IFERROR(MID($H2572&amp;" ",FIND("|",SUBSTITUTE($H2572&amp;" "," ","|",3))+1,FIND("|",SUBSTITUTE($H2572&amp;" "," ","|",4))-FIND("|",SUBSTITUTE($H2572&amp;" "," ","|",3))-1),""))</f>
        <v/>
      </c>
      <c r="F2572" s="59">
        <f>IF($H2572="","",IFERROR(VALUE(IFERROR(MID($H2572&amp;" ",FIND("|",SUBSTITUTE($H2572&amp;" "," ","|",4))+1,FIND("|",SUBSTITUTE($H2572&amp;" "," ","|",5))-FIND("|",SUBSTITUTE($H2572&amp;" "," ","|",4))-1),""))/86400+25569+9/24,""))</f>
        <v/>
      </c>
      <c r="G2572" s="58">
        <f>TRIM(SUBSTITUTE(SUBSTITUTE(SUBSTITUTE($A2572,CHAR(9)," ")," "," "),CHAR(13),""))</f>
        <v/>
      </c>
      <c r="H2572" s="58">
        <f>IF($G2572="","",IF(ISNUMBER(FIND(" ",$G2572)),$G2572,IFERROR(IF((LEN(SUBSTITUTE(SUBSTITUTE($G2572,"-"," ",LEN($G2572)-LEN(SUBSTITUTE($G2572,"-",""))),"-"," ",LEN($G2572)-LEN(SUBSTITUTE($G2572,"-",""))-1))-LEN(SUBSTITUTE(SUBSTITUTE(SUBSTITUTE($G2572,"-"," ",LEN($G2572)-LEN(SUBSTITUTE($G2572,"-",""))),"-"," ",LEN($G2572)-LEN(SUBSTITUTE($G2572,"-",""))-1),".","")))=0,SUBSTITUTE(SUBSTITUTE($G2572,"-"," ",LEN($G2572)-LEN(SUBSTITUTE($G2572,"-",""))),"-"," ",LEN($G2572)-LEN(SUBSTITUTE($G2572,"-",""))-1),SUBSTITUTE(SUBSTITUTE(SUBSTITUTE($G2572,"-"," ",LEN($G2572)-LEN(SUBSTITUTE($G2572,"-",""))),"-"," ",LEN($G2572)-LEN(SUBSTITUTE($G2572,"-",""))-1),"."," ",(LEN(SUBSTITUTE(SUBSTITUTE($G2572,"-"," ",LEN($G2572)-LEN(SUBSTITUTE($G2572,"-",""))),"-"," ",LEN($G2572)-LEN(SUBSTITUTE($G2572,"-",""))-1))-LEN(SUBSTITUTE(SUBSTITUTE(SUBSTITUTE($G2572,"-"," ",LEN($G2572)-LEN(SUBSTITUTE($G2572,"-",""))),"-"," ",LEN($G2572)-LEN(SUBSTITUTE($G2572,"-",""))-1),".",""))))),$G2572)))</f>
        <v/>
      </c>
    </row>
    <row r="2573">
      <c r="A2573" s="58" t="n"/>
      <c r="B2573" s="58">
        <f>IF($H2573="","",LEFT($H2573,FIND(" ",$H2573&amp;" ")-1))</f>
        <v/>
      </c>
      <c r="C2573" s="58">
        <f>IF($H2573="","",IFERROR(MID($H2573&amp;" ",FIND("|",SUBSTITUTE($H2573&amp;" "," ","|",1))+1,FIND("|",SUBSTITUTE($H2573&amp;" "," ","|",2))-FIND("|",SUBSTITUTE($H2573&amp;" "," ","|",1))-1),""))</f>
        <v/>
      </c>
      <c r="D2573" s="58">
        <f>IF($H2573="","",IFERROR(MID($H2573&amp;" ",FIND("|",SUBSTITUTE($H2573&amp;" "," ","|",2))+1,FIND("|",SUBSTITUTE($H2573&amp;" "," ","|",3))-FIND("|",SUBSTITUTE($H2573&amp;" "," ","|",2))-1),""))</f>
        <v/>
      </c>
      <c r="E2573" s="58">
        <f>IF($H2573="","",IFERROR(MID($H2573&amp;" ",FIND("|",SUBSTITUTE($H2573&amp;" "," ","|",3))+1,FIND("|",SUBSTITUTE($H2573&amp;" "," ","|",4))-FIND("|",SUBSTITUTE($H2573&amp;" "," ","|",3))-1),""))</f>
        <v/>
      </c>
      <c r="F2573" s="59">
        <f>IF($H2573="","",IFERROR(VALUE(IFERROR(MID($H2573&amp;" ",FIND("|",SUBSTITUTE($H2573&amp;" "," ","|",4))+1,FIND("|",SUBSTITUTE($H2573&amp;" "," ","|",5))-FIND("|",SUBSTITUTE($H2573&amp;" "," ","|",4))-1),""))/86400+25569+9/24,""))</f>
        <v/>
      </c>
      <c r="G2573" s="58">
        <f>TRIM(SUBSTITUTE(SUBSTITUTE(SUBSTITUTE($A2573,CHAR(9)," ")," "," "),CHAR(13),""))</f>
        <v/>
      </c>
      <c r="H2573" s="58">
        <f>IF($G2573="","",IF(ISNUMBER(FIND(" ",$G2573)),$G2573,IFERROR(IF((LEN(SUBSTITUTE(SUBSTITUTE($G2573,"-"," ",LEN($G2573)-LEN(SUBSTITUTE($G2573,"-",""))),"-"," ",LEN($G2573)-LEN(SUBSTITUTE($G2573,"-",""))-1))-LEN(SUBSTITUTE(SUBSTITUTE(SUBSTITUTE($G2573,"-"," ",LEN($G2573)-LEN(SUBSTITUTE($G2573,"-",""))),"-"," ",LEN($G2573)-LEN(SUBSTITUTE($G2573,"-",""))-1),".","")))=0,SUBSTITUTE(SUBSTITUTE($G2573,"-"," ",LEN($G2573)-LEN(SUBSTITUTE($G2573,"-",""))),"-"," ",LEN($G2573)-LEN(SUBSTITUTE($G2573,"-",""))-1),SUBSTITUTE(SUBSTITUTE(SUBSTITUTE($G2573,"-"," ",LEN($G2573)-LEN(SUBSTITUTE($G2573,"-",""))),"-"," ",LEN($G2573)-LEN(SUBSTITUTE($G2573,"-",""))-1),"."," ",(LEN(SUBSTITUTE(SUBSTITUTE($G2573,"-"," ",LEN($G2573)-LEN(SUBSTITUTE($G2573,"-",""))),"-"," ",LEN($G2573)-LEN(SUBSTITUTE($G2573,"-",""))-1))-LEN(SUBSTITUTE(SUBSTITUTE(SUBSTITUTE($G2573,"-"," ",LEN($G2573)-LEN(SUBSTITUTE($G2573,"-",""))),"-"," ",LEN($G2573)-LEN(SUBSTITUTE($G2573,"-",""))-1),".",""))))),$G2573)))</f>
        <v/>
      </c>
    </row>
    <row r="2574">
      <c r="A2574" s="58" t="n"/>
      <c r="B2574" s="58">
        <f>IF($H2574="","",LEFT($H2574,FIND(" ",$H2574&amp;" ")-1))</f>
        <v/>
      </c>
      <c r="C2574" s="58">
        <f>IF($H2574="","",IFERROR(MID($H2574&amp;" ",FIND("|",SUBSTITUTE($H2574&amp;" "," ","|",1))+1,FIND("|",SUBSTITUTE($H2574&amp;" "," ","|",2))-FIND("|",SUBSTITUTE($H2574&amp;" "," ","|",1))-1),""))</f>
        <v/>
      </c>
      <c r="D2574" s="58">
        <f>IF($H2574="","",IFERROR(MID($H2574&amp;" ",FIND("|",SUBSTITUTE($H2574&amp;" "," ","|",2))+1,FIND("|",SUBSTITUTE($H2574&amp;" "," ","|",3))-FIND("|",SUBSTITUTE($H2574&amp;" "," ","|",2))-1),""))</f>
        <v/>
      </c>
      <c r="E2574" s="58">
        <f>IF($H2574="","",IFERROR(MID($H2574&amp;" ",FIND("|",SUBSTITUTE($H2574&amp;" "," ","|",3))+1,FIND("|",SUBSTITUTE($H2574&amp;" "," ","|",4))-FIND("|",SUBSTITUTE($H2574&amp;" "," ","|",3))-1),""))</f>
        <v/>
      </c>
      <c r="F2574" s="59">
        <f>IF($H2574="","",IFERROR(VALUE(IFERROR(MID($H2574&amp;" ",FIND("|",SUBSTITUTE($H2574&amp;" "," ","|",4))+1,FIND("|",SUBSTITUTE($H2574&amp;" "," ","|",5))-FIND("|",SUBSTITUTE($H2574&amp;" "," ","|",4))-1),""))/86400+25569+9/24,""))</f>
        <v/>
      </c>
      <c r="G2574" s="58">
        <f>TRIM(SUBSTITUTE(SUBSTITUTE(SUBSTITUTE($A2574,CHAR(9)," ")," "," "),CHAR(13),""))</f>
        <v/>
      </c>
      <c r="H2574" s="58">
        <f>IF($G2574="","",IF(ISNUMBER(FIND(" ",$G2574)),$G2574,IFERROR(IF((LEN(SUBSTITUTE(SUBSTITUTE($G2574,"-"," ",LEN($G2574)-LEN(SUBSTITUTE($G2574,"-",""))),"-"," ",LEN($G2574)-LEN(SUBSTITUTE($G2574,"-",""))-1))-LEN(SUBSTITUTE(SUBSTITUTE(SUBSTITUTE($G2574,"-"," ",LEN($G2574)-LEN(SUBSTITUTE($G2574,"-",""))),"-"," ",LEN($G2574)-LEN(SUBSTITUTE($G2574,"-",""))-1),".","")))=0,SUBSTITUTE(SUBSTITUTE($G2574,"-"," ",LEN($G2574)-LEN(SUBSTITUTE($G2574,"-",""))),"-"," ",LEN($G2574)-LEN(SUBSTITUTE($G2574,"-",""))-1),SUBSTITUTE(SUBSTITUTE(SUBSTITUTE($G2574,"-"," ",LEN($G2574)-LEN(SUBSTITUTE($G2574,"-",""))),"-"," ",LEN($G2574)-LEN(SUBSTITUTE($G2574,"-",""))-1),"."," ",(LEN(SUBSTITUTE(SUBSTITUTE($G2574,"-"," ",LEN($G2574)-LEN(SUBSTITUTE($G2574,"-",""))),"-"," ",LEN($G2574)-LEN(SUBSTITUTE($G2574,"-",""))-1))-LEN(SUBSTITUTE(SUBSTITUTE(SUBSTITUTE($G2574,"-"," ",LEN($G2574)-LEN(SUBSTITUTE($G2574,"-",""))),"-"," ",LEN($G2574)-LEN(SUBSTITUTE($G2574,"-",""))-1),".",""))))),$G2574)))</f>
        <v/>
      </c>
    </row>
    <row r="2575">
      <c r="A2575" s="58" t="n"/>
      <c r="B2575" s="58">
        <f>IF($H2575="","",LEFT($H2575,FIND(" ",$H2575&amp;" ")-1))</f>
        <v/>
      </c>
      <c r="C2575" s="58">
        <f>IF($H2575="","",IFERROR(MID($H2575&amp;" ",FIND("|",SUBSTITUTE($H2575&amp;" "," ","|",1))+1,FIND("|",SUBSTITUTE($H2575&amp;" "," ","|",2))-FIND("|",SUBSTITUTE($H2575&amp;" "," ","|",1))-1),""))</f>
        <v/>
      </c>
      <c r="D2575" s="58">
        <f>IF($H2575="","",IFERROR(MID($H2575&amp;" ",FIND("|",SUBSTITUTE($H2575&amp;" "," ","|",2))+1,FIND("|",SUBSTITUTE($H2575&amp;" "," ","|",3))-FIND("|",SUBSTITUTE($H2575&amp;" "," ","|",2))-1),""))</f>
        <v/>
      </c>
      <c r="E2575" s="58">
        <f>IF($H2575="","",IFERROR(MID($H2575&amp;" ",FIND("|",SUBSTITUTE($H2575&amp;" "," ","|",3))+1,FIND("|",SUBSTITUTE($H2575&amp;" "," ","|",4))-FIND("|",SUBSTITUTE($H2575&amp;" "," ","|",3))-1),""))</f>
        <v/>
      </c>
      <c r="F2575" s="59">
        <f>IF($H2575="","",IFERROR(VALUE(IFERROR(MID($H2575&amp;" ",FIND("|",SUBSTITUTE($H2575&amp;" "," ","|",4))+1,FIND("|",SUBSTITUTE($H2575&amp;" "," ","|",5))-FIND("|",SUBSTITUTE($H2575&amp;" "," ","|",4))-1),""))/86400+25569+9/24,""))</f>
        <v/>
      </c>
      <c r="G2575" s="58">
        <f>TRIM(SUBSTITUTE(SUBSTITUTE(SUBSTITUTE($A2575,CHAR(9)," ")," "," "),CHAR(13),""))</f>
        <v/>
      </c>
      <c r="H2575" s="58">
        <f>IF($G2575="","",IF(ISNUMBER(FIND(" ",$G2575)),$G2575,IFERROR(IF((LEN(SUBSTITUTE(SUBSTITUTE($G2575,"-"," ",LEN($G2575)-LEN(SUBSTITUTE($G2575,"-",""))),"-"," ",LEN($G2575)-LEN(SUBSTITUTE($G2575,"-",""))-1))-LEN(SUBSTITUTE(SUBSTITUTE(SUBSTITUTE($G2575,"-"," ",LEN($G2575)-LEN(SUBSTITUTE($G2575,"-",""))),"-"," ",LEN($G2575)-LEN(SUBSTITUTE($G2575,"-",""))-1),".","")))=0,SUBSTITUTE(SUBSTITUTE($G2575,"-"," ",LEN($G2575)-LEN(SUBSTITUTE($G2575,"-",""))),"-"," ",LEN($G2575)-LEN(SUBSTITUTE($G2575,"-",""))-1),SUBSTITUTE(SUBSTITUTE(SUBSTITUTE($G2575,"-"," ",LEN($G2575)-LEN(SUBSTITUTE($G2575,"-",""))),"-"," ",LEN($G2575)-LEN(SUBSTITUTE($G2575,"-",""))-1),"."," ",(LEN(SUBSTITUTE(SUBSTITUTE($G2575,"-"," ",LEN($G2575)-LEN(SUBSTITUTE($G2575,"-",""))),"-"," ",LEN($G2575)-LEN(SUBSTITUTE($G2575,"-",""))-1))-LEN(SUBSTITUTE(SUBSTITUTE(SUBSTITUTE($G2575,"-"," ",LEN($G2575)-LEN(SUBSTITUTE($G2575,"-",""))),"-"," ",LEN($G2575)-LEN(SUBSTITUTE($G2575,"-",""))-1),".",""))))),$G2575)))</f>
        <v/>
      </c>
    </row>
    <row r="2576">
      <c r="A2576" s="58" t="n"/>
      <c r="B2576" s="58">
        <f>IF($H2576="","",LEFT($H2576,FIND(" ",$H2576&amp;" ")-1))</f>
        <v/>
      </c>
      <c r="C2576" s="58">
        <f>IF($H2576="","",IFERROR(MID($H2576&amp;" ",FIND("|",SUBSTITUTE($H2576&amp;" "," ","|",1))+1,FIND("|",SUBSTITUTE($H2576&amp;" "," ","|",2))-FIND("|",SUBSTITUTE($H2576&amp;" "," ","|",1))-1),""))</f>
        <v/>
      </c>
      <c r="D2576" s="58">
        <f>IF($H2576="","",IFERROR(MID($H2576&amp;" ",FIND("|",SUBSTITUTE($H2576&amp;" "," ","|",2))+1,FIND("|",SUBSTITUTE($H2576&amp;" "," ","|",3))-FIND("|",SUBSTITUTE($H2576&amp;" "," ","|",2))-1),""))</f>
        <v/>
      </c>
      <c r="E2576" s="58">
        <f>IF($H2576="","",IFERROR(MID($H2576&amp;" ",FIND("|",SUBSTITUTE($H2576&amp;" "," ","|",3))+1,FIND("|",SUBSTITUTE($H2576&amp;" "," ","|",4))-FIND("|",SUBSTITUTE($H2576&amp;" "," ","|",3))-1),""))</f>
        <v/>
      </c>
      <c r="F2576" s="59">
        <f>IF($H2576="","",IFERROR(VALUE(IFERROR(MID($H2576&amp;" ",FIND("|",SUBSTITUTE($H2576&amp;" "," ","|",4))+1,FIND("|",SUBSTITUTE($H2576&amp;" "," ","|",5))-FIND("|",SUBSTITUTE($H2576&amp;" "," ","|",4))-1),""))/86400+25569+9/24,""))</f>
        <v/>
      </c>
      <c r="G2576" s="58">
        <f>TRIM(SUBSTITUTE(SUBSTITUTE(SUBSTITUTE($A2576,CHAR(9)," ")," "," "),CHAR(13),""))</f>
        <v/>
      </c>
      <c r="H2576" s="58">
        <f>IF($G2576="","",IF(ISNUMBER(FIND(" ",$G2576)),$G2576,IFERROR(IF((LEN(SUBSTITUTE(SUBSTITUTE($G2576,"-"," ",LEN($G2576)-LEN(SUBSTITUTE($G2576,"-",""))),"-"," ",LEN($G2576)-LEN(SUBSTITUTE($G2576,"-",""))-1))-LEN(SUBSTITUTE(SUBSTITUTE(SUBSTITUTE($G2576,"-"," ",LEN($G2576)-LEN(SUBSTITUTE($G2576,"-",""))),"-"," ",LEN($G2576)-LEN(SUBSTITUTE($G2576,"-",""))-1),".","")))=0,SUBSTITUTE(SUBSTITUTE($G2576,"-"," ",LEN($G2576)-LEN(SUBSTITUTE($G2576,"-",""))),"-"," ",LEN($G2576)-LEN(SUBSTITUTE($G2576,"-",""))-1),SUBSTITUTE(SUBSTITUTE(SUBSTITUTE($G2576,"-"," ",LEN($G2576)-LEN(SUBSTITUTE($G2576,"-",""))),"-"," ",LEN($G2576)-LEN(SUBSTITUTE($G2576,"-",""))-1),"."," ",(LEN(SUBSTITUTE(SUBSTITUTE($G2576,"-"," ",LEN($G2576)-LEN(SUBSTITUTE($G2576,"-",""))),"-"," ",LEN($G2576)-LEN(SUBSTITUTE($G2576,"-",""))-1))-LEN(SUBSTITUTE(SUBSTITUTE(SUBSTITUTE($G2576,"-"," ",LEN($G2576)-LEN(SUBSTITUTE($G2576,"-",""))),"-"," ",LEN($G2576)-LEN(SUBSTITUTE($G2576,"-",""))-1),".",""))))),$G2576)))</f>
        <v/>
      </c>
    </row>
    <row r="2577">
      <c r="A2577" s="58" t="n"/>
      <c r="B2577" s="58">
        <f>IF($H2577="","",LEFT($H2577,FIND(" ",$H2577&amp;" ")-1))</f>
        <v/>
      </c>
      <c r="C2577" s="58">
        <f>IF($H2577="","",IFERROR(MID($H2577&amp;" ",FIND("|",SUBSTITUTE($H2577&amp;" "," ","|",1))+1,FIND("|",SUBSTITUTE($H2577&amp;" "," ","|",2))-FIND("|",SUBSTITUTE($H2577&amp;" "," ","|",1))-1),""))</f>
        <v/>
      </c>
      <c r="D2577" s="58">
        <f>IF($H2577="","",IFERROR(MID($H2577&amp;" ",FIND("|",SUBSTITUTE($H2577&amp;" "," ","|",2))+1,FIND("|",SUBSTITUTE($H2577&amp;" "," ","|",3))-FIND("|",SUBSTITUTE($H2577&amp;" "," ","|",2))-1),""))</f>
        <v/>
      </c>
      <c r="E2577" s="58">
        <f>IF($H2577="","",IFERROR(MID($H2577&amp;" ",FIND("|",SUBSTITUTE($H2577&amp;" "," ","|",3))+1,FIND("|",SUBSTITUTE($H2577&amp;" "," ","|",4))-FIND("|",SUBSTITUTE($H2577&amp;" "," ","|",3))-1),""))</f>
        <v/>
      </c>
      <c r="F2577" s="59">
        <f>IF($H2577="","",IFERROR(VALUE(IFERROR(MID($H2577&amp;" ",FIND("|",SUBSTITUTE($H2577&amp;" "," ","|",4))+1,FIND("|",SUBSTITUTE($H2577&amp;" "," ","|",5))-FIND("|",SUBSTITUTE($H2577&amp;" "," ","|",4))-1),""))/86400+25569+9/24,""))</f>
        <v/>
      </c>
      <c r="G2577" s="58">
        <f>TRIM(SUBSTITUTE(SUBSTITUTE(SUBSTITUTE($A2577,CHAR(9)," ")," "," "),CHAR(13),""))</f>
        <v/>
      </c>
      <c r="H2577" s="58">
        <f>IF($G2577="","",IF(ISNUMBER(FIND(" ",$G2577)),$G2577,IFERROR(IF((LEN(SUBSTITUTE(SUBSTITUTE($G2577,"-"," ",LEN($G2577)-LEN(SUBSTITUTE($G2577,"-",""))),"-"," ",LEN($G2577)-LEN(SUBSTITUTE($G2577,"-",""))-1))-LEN(SUBSTITUTE(SUBSTITUTE(SUBSTITUTE($G2577,"-"," ",LEN($G2577)-LEN(SUBSTITUTE($G2577,"-",""))),"-"," ",LEN($G2577)-LEN(SUBSTITUTE($G2577,"-",""))-1),".","")))=0,SUBSTITUTE(SUBSTITUTE($G2577,"-"," ",LEN($G2577)-LEN(SUBSTITUTE($G2577,"-",""))),"-"," ",LEN($G2577)-LEN(SUBSTITUTE($G2577,"-",""))-1),SUBSTITUTE(SUBSTITUTE(SUBSTITUTE($G2577,"-"," ",LEN($G2577)-LEN(SUBSTITUTE($G2577,"-",""))),"-"," ",LEN($G2577)-LEN(SUBSTITUTE($G2577,"-",""))-1),"."," ",(LEN(SUBSTITUTE(SUBSTITUTE($G2577,"-"," ",LEN($G2577)-LEN(SUBSTITUTE($G2577,"-",""))),"-"," ",LEN($G2577)-LEN(SUBSTITUTE($G2577,"-",""))-1))-LEN(SUBSTITUTE(SUBSTITUTE(SUBSTITUTE($G2577,"-"," ",LEN($G2577)-LEN(SUBSTITUTE($G2577,"-",""))),"-"," ",LEN($G2577)-LEN(SUBSTITUTE($G2577,"-",""))-1),".",""))))),$G2577)))</f>
        <v/>
      </c>
    </row>
    <row r="2578">
      <c r="A2578" s="58" t="n"/>
      <c r="B2578" s="58">
        <f>IF($H2578="","",LEFT($H2578,FIND(" ",$H2578&amp;" ")-1))</f>
        <v/>
      </c>
      <c r="C2578" s="58">
        <f>IF($H2578="","",IFERROR(MID($H2578&amp;" ",FIND("|",SUBSTITUTE($H2578&amp;" "," ","|",1))+1,FIND("|",SUBSTITUTE($H2578&amp;" "," ","|",2))-FIND("|",SUBSTITUTE($H2578&amp;" "," ","|",1))-1),""))</f>
        <v/>
      </c>
      <c r="D2578" s="58">
        <f>IF($H2578="","",IFERROR(MID($H2578&amp;" ",FIND("|",SUBSTITUTE($H2578&amp;" "," ","|",2))+1,FIND("|",SUBSTITUTE($H2578&amp;" "," ","|",3))-FIND("|",SUBSTITUTE($H2578&amp;" "," ","|",2))-1),""))</f>
        <v/>
      </c>
      <c r="E2578" s="58">
        <f>IF($H2578="","",IFERROR(MID($H2578&amp;" ",FIND("|",SUBSTITUTE($H2578&amp;" "," ","|",3))+1,FIND("|",SUBSTITUTE($H2578&amp;" "," ","|",4))-FIND("|",SUBSTITUTE($H2578&amp;" "," ","|",3))-1),""))</f>
        <v/>
      </c>
      <c r="F2578" s="59">
        <f>IF($H2578="","",IFERROR(VALUE(IFERROR(MID($H2578&amp;" ",FIND("|",SUBSTITUTE($H2578&amp;" "," ","|",4))+1,FIND("|",SUBSTITUTE($H2578&amp;" "," ","|",5))-FIND("|",SUBSTITUTE($H2578&amp;" "," ","|",4))-1),""))/86400+25569+9/24,""))</f>
        <v/>
      </c>
      <c r="G2578" s="58">
        <f>TRIM(SUBSTITUTE(SUBSTITUTE(SUBSTITUTE($A2578,CHAR(9)," ")," "," "),CHAR(13),""))</f>
        <v/>
      </c>
      <c r="H2578" s="58">
        <f>IF($G2578="","",IF(ISNUMBER(FIND(" ",$G2578)),$G2578,IFERROR(IF((LEN(SUBSTITUTE(SUBSTITUTE($G2578,"-"," ",LEN($G2578)-LEN(SUBSTITUTE($G2578,"-",""))),"-"," ",LEN($G2578)-LEN(SUBSTITUTE($G2578,"-",""))-1))-LEN(SUBSTITUTE(SUBSTITUTE(SUBSTITUTE($G2578,"-"," ",LEN($G2578)-LEN(SUBSTITUTE($G2578,"-",""))),"-"," ",LEN($G2578)-LEN(SUBSTITUTE($G2578,"-",""))-1),".","")))=0,SUBSTITUTE(SUBSTITUTE($G2578,"-"," ",LEN($G2578)-LEN(SUBSTITUTE($G2578,"-",""))),"-"," ",LEN($G2578)-LEN(SUBSTITUTE($G2578,"-",""))-1),SUBSTITUTE(SUBSTITUTE(SUBSTITUTE($G2578,"-"," ",LEN($G2578)-LEN(SUBSTITUTE($G2578,"-",""))),"-"," ",LEN($G2578)-LEN(SUBSTITUTE($G2578,"-",""))-1),"."," ",(LEN(SUBSTITUTE(SUBSTITUTE($G2578,"-"," ",LEN($G2578)-LEN(SUBSTITUTE($G2578,"-",""))),"-"," ",LEN($G2578)-LEN(SUBSTITUTE($G2578,"-",""))-1))-LEN(SUBSTITUTE(SUBSTITUTE(SUBSTITUTE($G2578,"-"," ",LEN($G2578)-LEN(SUBSTITUTE($G2578,"-",""))),"-"," ",LEN($G2578)-LEN(SUBSTITUTE($G2578,"-",""))-1),".",""))))),$G2578)))</f>
        <v/>
      </c>
    </row>
    <row r="2579">
      <c r="A2579" s="58" t="n"/>
      <c r="B2579" s="58">
        <f>IF($H2579="","",LEFT($H2579,FIND(" ",$H2579&amp;" ")-1))</f>
        <v/>
      </c>
      <c r="C2579" s="58">
        <f>IF($H2579="","",IFERROR(MID($H2579&amp;" ",FIND("|",SUBSTITUTE($H2579&amp;" "," ","|",1))+1,FIND("|",SUBSTITUTE($H2579&amp;" "," ","|",2))-FIND("|",SUBSTITUTE($H2579&amp;" "," ","|",1))-1),""))</f>
        <v/>
      </c>
      <c r="D2579" s="58">
        <f>IF($H2579="","",IFERROR(MID($H2579&amp;" ",FIND("|",SUBSTITUTE($H2579&amp;" "," ","|",2))+1,FIND("|",SUBSTITUTE($H2579&amp;" "," ","|",3))-FIND("|",SUBSTITUTE($H2579&amp;" "," ","|",2))-1),""))</f>
        <v/>
      </c>
      <c r="E2579" s="58">
        <f>IF($H2579="","",IFERROR(MID($H2579&amp;" ",FIND("|",SUBSTITUTE($H2579&amp;" "," ","|",3))+1,FIND("|",SUBSTITUTE($H2579&amp;" "," ","|",4))-FIND("|",SUBSTITUTE($H2579&amp;" "," ","|",3))-1),""))</f>
        <v/>
      </c>
      <c r="F2579" s="59">
        <f>IF($H2579="","",IFERROR(VALUE(IFERROR(MID($H2579&amp;" ",FIND("|",SUBSTITUTE($H2579&amp;" "," ","|",4))+1,FIND("|",SUBSTITUTE($H2579&amp;" "," ","|",5))-FIND("|",SUBSTITUTE($H2579&amp;" "," ","|",4))-1),""))/86400+25569+9/24,""))</f>
        <v/>
      </c>
      <c r="G2579" s="58">
        <f>TRIM(SUBSTITUTE(SUBSTITUTE(SUBSTITUTE($A2579,CHAR(9)," ")," "," "),CHAR(13),""))</f>
        <v/>
      </c>
      <c r="H2579" s="58">
        <f>IF($G2579="","",IF(ISNUMBER(FIND(" ",$G2579)),$G2579,IFERROR(IF((LEN(SUBSTITUTE(SUBSTITUTE($G2579,"-"," ",LEN($G2579)-LEN(SUBSTITUTE($G2579,"-",""))),"-"," ",LEN($G2579)-LEN(SUBSTITUTE($G2579,"-",""))-1))-LEN(SUBSTITUTE(SUBSTITUTE(SUBSTITUTE($G2579,"-"," ",LEN($G2579)-LEN(SUBSTITUTE($G2579,"-",""))),"-"," ",LEN($G2579)-LEN(SUBSTITUTE($G2579,"-",""))-1),".","")))=0,SUBSTITUTE(SUBSTITUTE($G2579,"-"," ",LEN($G2579)-LEN(SUBSTITUTE($G2579,"-",""))),"-"," ",LEN($G2579)-LEN(SUBSTITUTE($G2579,"-",""))-1),SUBSTITUTE(SUBSTITUTE(SUBSTITUTE($G2579,"-"," ",LEN($G2579)-LEN(SUBSTITUTE($G2579,"-",""))),"-"," ",LEN($G2579)-LEN(SUBSTITUTE($G2579,"-",""))-1),"."," ",(LEN(SUBSTITUTE(SUBSTITUTE($G2579,"-"," ",LEN($G2579)-LEN(SUBSTITUTE($G2579,"-",""))),"-"," ",LEN($G2579)-LEN(SUBSTITUTE($G2579,"-",""))-1))-LEN(SUBSTITUTE(SUBSTITUTE(SUBSTITUTE($G2579,"-"," ",LEN($G2579)-LEN(SUBSTITUTE($G2579,"-",""))),"-"," ",LEN($G2579)-LEN(SUBSTITUTE($G2579,"-",""))-1),".",""))))),$G2579)))</f>
        <v/>
      </c>
    </row>
    <row r="2580">
      <c r="A2580" s="58" t="n"/>
      <c r="B2580" s="58">
        <f>IF($H2580="","",LEFT($H2580,FIND(" ",$H2580&amp;" ")-1))</f>
        <v/>
      </c>
      <c r="C2580" s="58">
        <f>IF($H2580="","",IFERROR(MID($H2580&amp;" ",FIND("|",SUBSTITUTE($H2580&amp;" "," ","|",1))+1,FIND("|",SUBSTITUTE($H2580&amp;" "," ","|",2))-FIND("|",SUBSTITUTE($H2580&amp;" "," ","|",1))-1),""))</f>
        <v/>
      </c>
      <c r="D2580" s="58">
        <f>IF($H2580="","",IFERROR(MID($H2580&amp;" ",FIND("|",SUBSTITUTE($H2580&amp;" "," ","|",2))+1,FIND("|",SUBSTITUTE($H2580&amp;" "," ","|",3))-FIND("|",SUBSTITUTE($H2580&amp;" "," ","|",2))-1),""))</f>
        <v/>
      </c>
      <c r="E2580" s="58">
        <f>IF($H2580="","",IFERROR(MID($H2580&amp;" ",FIND("|",SUBSTITUTE($H2580&amp;" "," ","|",3))+1,FIND("|",SUBSTITUTE($H2580&amp;" "," ","|",4))-FIND("|",SUBSTITUTE($H2580&amp;" "," ","|",3))-1),""))</f>
        <v/>
      </c>
      <c r="F2580" s="59">
        <f>IF($H2580="","",IFERROR(VALUE(IFERROR(MID($H2580&amp;" ",FIND("|",SUBSTITUTE($H2580&amp;" "," ","|",4))+1,FIND("|",SUBSTITUTE($H2580&amp;" "," ","|",5))-FIND("|",SUBSTITUTE($H2580&amp;" "," ","|",4))-1),""))/86400+25569+9/24,""))</f>
        <v/>
      </c>
      <c r="G2580" s="58">
        <f>TRIM(SUBSTITUTE(SUBSTITUTE(SUBSTITUTE($A2580,CHAR(9)," ")," "," "),CHAR(13),""))</f>
        <v/>
      </c>
      <c r="H2580" s="58">
        <f>IF($G2580="","",IF(ISNUMBER(FIND(" ",$G2580)),$G2580,IFERROR(IF((LEN(SUBSTITUTE(SUBSTITUTE($G2580,"-"," ",LEN($G2580)-LEN(SUBSTITUTE($G2580,"-",""))),"-"," ",LEN($G2580)-LEN(SUBSTITUTE($G2580,"-",""))-1))-LEN(SUBSTITUTE(SUBSTITUTE(SUBSTITUTE($G2580,"-"," ",LEN($G2580)-LEN(SUBSTITUTE($G2580,"-",""))),"-"," ",LEN($G2580)-LEN(SUBSTITUTE($G2580,"-",""))-1),".","")))=0,SUBSTITUTE(SUBSTITUTE($G2580,"-"," ",LEN($G2580)-LEN(SUBSTITUTE($G2580,"-",""))),"-"," ",LEN($G2580)-LEN(SUBSTITUTE($G2580,"-",""))-1),SUBSTITUTE(SUBSTITUTE(SUBSTITUTE($G2580,"-"," ",LEN($G2580)-LEN(SUBSTITUTE($G2580,"-",""))),"-"," ",LEN($G2580)-LEN(SUBSTITUTE($G2580,"-",""))-1),"."," ",(LEN(SUBSTITUTE(SUBSTITUTE($G2580,"-"," ",LEN($G2580)-LEN(SUBSTITUTE($G2580,"-",""))),"-"," ",LEN($G2580)-LEN(SUBSTITUTE($G2580,"-",""))-1))-LEN(SUBSTITUTE(SUBSTITUTE(SUBSTITUTE($G2580,"-"," ",LEN($G2580)-LEN(SUBSTITUTE($G2580,"-",""))),"-"," ",LEN($G2580)-LEN(SUBSTITUTE($G2580,"-",""))-1),".",""))))),$G2580)))</f>
        <v/>
      </c>
    </row>
    <row r="2581">
      <c r="A2581" s="58" t="n"/>
      <c r="B2581" s="58">
        <f>IF($H2581="","",LEFT($H2581,FIND(" ",$H2581&amp;" ")-1))</f>
        <v/>
      </c>
      <c r="C2581" s="58">
        <f>IF($H2581="","",IFERROR(MID($H2581&amp;" ",FIND("|",SUBSTITUTE($H2581&amp;" "," ","|",1))+1,FIND("|",SUBSTITUTE($H2581&amp;" "," ","|",2))-FIND("|",SUBSTITUTE($H2581&amp;" "," ","|",1))-1),""))</f>
        <v/>
      </c>
      <c r="D2581" s="58">
        <f>IF($H2581="","",IFERROR(MID($H2581&amp;" ",FIND("|",SUBSTITUTE($H2581&amp;" "," ","|",2))+1,FIND("|",SUBSTITUTE($H2581&amp;" "," ","|",3))-FIND("|",SUBSTITUTE($H2581&amp;" "," ","|",2))-1),""))</f>
        <v/>
      </c>
      <c r="E2581" s="58">
        <f>IF($H2581="","",IFERROR(MID($H2581&amp;" ",FIND("|",SUBSTITUTE($H2581&amp;" "," ","|",3))+1,FIND("|",SUBSTITUTE($H2581&amp;" "," ","|",4))-FIND("|",SUBSTITUTE($H2581&amp;" "," ","|",3))-1),""))</f>
        <v/>
      </c>
      <c r="F2581" s="59">
        <f>IF($H2581="","",IFERROR(VALUE(IFERROR(MID($H2581&amp;" ",FIND("|",SUBSTITUTE($H2581&amp;" "," ","|",4))+1,FIND("|",SUBSTITUTE($H2581&amp;" "," ","|",5))-FIND("|",SUBSTITUTE($H2581&amp;" "," ","|",4))-1),""))/86400+25569+9/24,""))</f>
        <v/>
      </c>
      <c r="G2581" s="58">
        <f>TRIM(SUBSTITUTE(SUBSTITUTE(SUBSTITUTE($A2581,CHAR(9)," ")," "," "),CHAR(13),""))</f>
        <v/>
      </c>
      <c r="H2581" s="58">
        <f>IF($G2581="","",IF(ISNUMBER(FIND(" ",$G2581)),$G2581,IFERROR(IF((LEN(SUBSTITUTE(SUBSTITUTE($G2581,"-"," ",LEN($G2581)-LEN(SUBSTITUTE($G2581,"-",""))),"-"," ",LEN($G2581)-LEN(SUBSTITUTE($G2581,"-",""))-1))-LEN(SUBSTITUTE(SUBSTITUTE(SUBSTITUTE($G2581,"-"," ",LEN($G2581)-LEN(SUBSTITUTE($G2581,"-",""))),"-"," ",LEN($G2581)-LEN(SUBSTITUTE($G2581,"-",""))-1),".","")))=0,SUBSTITUTE(SUBSTITUTE($G2581,"-"," ",LEN($G2581)-LEN(SUBSTITUTE($G2581,"-",""))),"-"," ",LEN($G2581)-LEN(SUBSTITUTE($G2581,"-",""))-1),SUBSTITUTE(SUBSTITUTE(SUBSTITUTE($G2581,"-"," ",LEN($G2581)-LEN(SUBSTITUTE($G2581,"-",""))),"-"," ",LEN($G2581)-LEN(SUBSTITUTE($G2581,"-",""))-1),"."," ",(LEN(SUBSTITUTE(SUBSTITUTE($G2581,"-"," ",LEN($G2581)-LEN(SUBSTITUTE($G2581,"-",""))),"-"," ",LEN($G2581)-LEN(SUBSTITUTE($G2581,"-",""))-1))-LEN(SUBSTITUTE(SUBSTITUTE(SUBSTITUTE($G2581,"-"," ",LEN($G2581)-LEN(SUBSTITUTE($G2581,"-",""))),"-"," ",LEN($G2581)-LEN(SUBSTITUTE($G2581,"-",""))-1),".",""))))),$G2581)))</f>
        <v/>
      </c>
    </row>
    <row r="2582">
      <c r="A2582" s="58" t="n"/>
      <c r="B2582" s="58">
        <f>IF($H2582="","",LEFT($H2582,FIND(" ",$H2582&amp;" ")-1))</f>
        <v/>
      </c>
      <c r="C2582" s="58">
        <f>IF($H2582="","",IFERROR(MID($H2582&amp;" ",FIND("|",SUBSTITUTE($H2582&amp;" "," ","|",1))+1,FIND("|",SUBSTITUTE($H2582&amp;" "," ","|",2))-FIND("|",SUBSTITUTE($H2582&amp;" "," ","|",1))-1),""))</f>
        <v/>
      </c>
      <c r="D2582" s="58">
        <f>IF($H2582="","",IFERROR(MID($H2582&amp;" ",FIND("|",SUBSTITUTE($H2582&amp;" "," ","|",2))+1,FIND("|",SUBSTITUTE($H2582&amp;" "," ","|",3))-FIND("|",SUBSTITUTE($H2582&amp;" "," ","|",2))-1),""))</f>
        <v/>
      </c>
      <c r="E2582" s="58">
        <f>IF($H2582="","",IFERROR(MID($H2582&amp;" ",FIND("|",SUBSTITUTE($H2582&amp;" "," ","|",3))+1,FIND("|",SUBSTITUTE($H2582&amp;" "," ","|",4))-FIND("|",SUBSTITUTE($H2582&amp;" "," ","|",3))-1),""))</f>
        <v/>
      </c>
      <c r="F2582" s="59">
        <f>IF($H2582="","",IFERROR(VALUE(IFERROR(MID($H2582&amp;" ",FIND("|",SUBSTITUTE($H2582&amp;" "," ","|",4))+1,FIND("|",SUBSTITUTE($H2582&amp;" "," ","|",5))-FIND("|",SUBSTITUTE($H2582&amp;" "," ","|",4))-1),""))/86400+25569+9/24,""))</f>
        <v/>
      </c>
      <c r="G2582" s="58">
        <f>TRIM(SUBSTITUTE(SUBSTITUTE(SUBSTITUTE($A2582,CHAR(9)," ")," "," "),CHAR(13),""))</f>
        <v/>
      </c>
      <c r="H2582" s="58">
        <f>IF($G2582="","",IF(ISNUMBER(FIND(" ",$G2582)),$G2582,IFERROR(IF((LEN(SUBSTITUTE(SUBSTITUTE($G2582,"-"," ",LEN($G2582)-LEN(SUBSTITUTE($G2582,"-",""))),"-"," ",LEN($G2582)-LEN(SUBSTITUTE($G2582,"-",""))-1))-LEN(SUBSTITUTE(SUBSTITUTE(SUBSTITUTE($G2582,"-"," ",LEN($G2582)-LEN(SUBSTITUTE($G2582,"-",""))),"-"," ",LEN($G2582)-LEN(SUBSTITUTE($G2582,"-",""))-1),".","")))=0,SUBSTITUTE(SUBSTITUTE($G2582,"-"," ",LEN($G2582)-LEN(SUBSTITUTE($G2582,"-",""))),"-"," ",LEN($G2582)-LEN(SUBSTITUTE($G2582,"-",""))-1),SUBSTITUTE(SUBSTITUTE(SUBSTITUTE($G2582,"-"," ",LEN($G2582)-LEN(SUBSTITUTE($G2582,"-",""))),"-"," ",LEN($G2582)-LEN(SUBSTITUTE($G2582,"-",""))-1),"."," ",(LEN(SUBSTITUTE(SUBSTITUTE($G2582,"-"," ",LEN($G2582)-LEN(SUBSTITUTE($G2582,"-",""))),"-"," ",LEN($G2582)-LEN(SUBSTITUTE($G2582,"-",""))-1))-LEN(SUBSTITUTE(SUBSTITUTE(SUBSTITUTE($G2582,"-"," ",LEN($G2582)-LEN(SUBSTITUTE($G2582,"-",""))),"-"," ",LEN($G2582)-LEN(SUBSTITUTE($G2582,"-",""))-1),".",""))))),$G2582)))</f>
        <v/>
      </c>
    </row>
    <row r="2583">
      <c r="A2583" s="58" t="n"/>
      <c r="B2583" s="58">
        <f>IF($H2583="","",LEFT($H2583,FIND(" ",$H2583&amp;" ")-1))</f>
        <v/>
      </c>
      <c r="C2583" s="58">
        <f>IF($H2583="","",IFERROR(MID($H2583&amp;" ",FIND("|",SUBSTITUTE($H2583&amp;" "," ","|",1))+1,FIND("|",SUBSTITUTE($H2583&amp;" "," ","|",2))-FIND("|",SUBSTITUTE($H2583&amp;" "," ","|",1))-1),""))</f>
        <v/>
      </c>
      <c r="D2583" s="58">
        <f>IF($H2583="","",IFERROR(MID($H2583&amp;" ",FIND("|",SUBSTITUTE($H2583&amp;" "," ","|",2))+1,FIND("|",SUBSTITUTE($H2583&amp;" "," ","|",3))-FIND("|",SUBSTITUTE($H2583&amp;" "," ","|",2))-1),""))</f>
        <v/>
      </c>
      <c r="E2583" s="58">
        <f>IF($H2583="","",IFERROR(MID($H2583&amp;" ",FIND("|",SUBSTITUTE($H2583&amp;" "," ","|",3))+1,FIND("|",SUBSTITUTE($H2583&amp;" "," ","|",4))-FIND("|",SUBSTITUTE($H2583&amp;" "," ","|",3))-1),""))</f>
        <v/>
      </c>
      <c r="F2583" s="59">
        <f>IF($H2583="","",IFERROR(VALUE(IFERROR(MID($H2583&amp;" ",FIND("|",SUBSTITUTE($H2583&amp;" "," ","|",4))+1,FIND("|",SUBSTITUTE($H2583&amp;" "," ","|",5))-FIND("|",SUBSTITUTE($H2583&amp;" "," ","|",4))-1),""))/86400+25569+9/24,""))</f>
        <v/>
      </c>
      <c r="G2583" s="58">
        <f>TRIM(SUBSTITUTE(SUBSTITUTE(SUBSTITUTE($A2583,CHAR(9)," ")," "," "),CHAR(13),""))</f>
        <v/>
      </c>
      <c r="H2583" s="58">
        <f>IF($G2583="","",IF(ISNUMBER(FIND(" ",$G2583)),$G2583,IFERROR(IF((LEN(SUBSTITUTE(SUBSTITUTE($G2583,"-"," ",LEN($G2583)-LEN(SUBSTITUTE($G2583,"-",""))),"-"," ",LEN($G2583)-LEN(SUBSTITUTE($G2583,"-",""))-1))-LEN(SUBSTITUTE(SUBSTITUTE(SUBSTITUTE($G2583,"-"," ",LEN($G2583)-LEN(SUBSTITUTE($G2583,"-",""))),"-"," ",LEN($G2583)-LEN(SUBSTITUTE($G2583,"-",""))-1),".","")))=0,SUBSTITUTE(SUBSTITUTE($G2583,"-"," ",LEN($G2583)-LEN(SUBSTITUTE($G2583,"-",""))),"-"," ",LEN($G2583)-LEN(SUBSTITUTE($G2583,"-",""))-1),SUBSTITUTE(SUBSTITUTE(SUBSTITUTE($G2583,"-"," ",LEN($G2583)-LEN(SUBSTITUTE($G2583,"-",""))),"-"," ",LEN($G2583)-LEN(SUBSTITUTE($G2583,"-",""))-1),"."," ",(LEN(SUBSTITUTE(SUBSTITUTE($G2583,"-"," ",LEN($G2583)-LEN(SUBSTITUTE($G2583,"-",""))),"-"," ",LEN($G2583)-LEN(SUBSTITUTE($G2583,"-",""))-1))-LEN(SUBSTITUTE(SUBSTITUTE(SUBSTITUTE($G2583,"-"," ",LEN($G2583)-LEN(SUBSTITUTE($G2583,"-",""))),"-"," ",LEN($G2583)-LEN(SUBSTITUTE($G2583,"-",""))-1),".",""))))),$G2583)))</f>
        <v/>
      </c>
    </row>
    <row r="2584">
      <c r="A2584" s="58" t="n"/>
      <c r="B2584" s="58">
        <f>IF($H2584="","",LEFT($H2584,FIND(" ",$H2584&amp;" ")-1))</f>
        <v/>
      </c>
      <c r="C2584" s="58">
        <f>IF($H2584="","",IFERROR(MID($H2584&amp;" ",FIND("|",SUBSTITUTE($H2584&amp;" "," ","|",1))+1,FIND("|",SUBSTITUTE($H2584&amp;" "," ","|",2))-FIND("|",SUBSTITUTE($H2584&amp;" "," ","|",1))-1),""))</f>
        <v/>
      </c>
      <c r="D2584" s="58">
        <f>IF($H2584="","",IFERROR(MID($H2584&amp;" ",FIND("|",SUBSTITUTE($H2584&amp;" "," ","|",2))+1,FIND("|",SUBSTITUTE($H2584&amp;" "," ","|",3))-FIND("|",SUBSTITUTE($H2584&amp;" "," ","|",2))-1),""))</f>
        <v/>
      </c>
      <c r="E2584" s="58">
        <f>IF($H2584="","",IFERROR(MID($H2584&amp;" ",FIND("|",SUBSTITUTE($H2584&amp;" "," ","|",3))+1,FIND("|",SUBSTITUTE($H2584&amp;" "," ","|",4))-FIND("|",SUBSTITUTE($H2584&amp;" "," ","|",3))-1),""))</f>
        <v/>
      </c>
      <c r="F2584" s="59">
        <f>IF($H2584="","",IFERROR(VALUE(IFERROR(MID($H2584&amp;" ",FIND("|",SUBSTITUTE($H2584&amp;" "," ","|",4))+1,FIND("|",SUBSTITUTE($H2584&amp;" "," ","|",5))-FIND("|",SUBSTITUTE($H2584&amp;" "," ","|",4))-1),""))/86400+25569+9/24,""))</f>
        <v/>
      </c>
      <c r="G2584" s="58">
        <f>TRIM(SUBSTITUTE(SUBSTITUTE(SUBSTITUTE($A2584,CHAR(9)," ")," "," "),CHAR(13),""))</f>
        <v/>
      </c>
      <c r="H2584" s="58">
        <f>IF($G2584="","",IF(ISNUMBER(FIND(" ",$G2584)),$G2584,IFERROR(IF((LEN(SUBSTITUTE(SUBSTITUTE($G2584,"-"," ",LEN($G2584)-LEN(SUBSTITUTE($G2584,"-",""))),"-"," ",LEN($G2584)-LEN(SUBSTITUTE($G2584,"-",""))-1))-LEN(SUBSTITUTE(SUBSTITUTE(SUBSTITUTE($G2584,"-"," ",LEN($G2584)-LEN(SUBSTITUTE($G2584,"-",""))),"-"," ",LEN($G2584)-LEN(SUBSTITUTE($G2584,"-",""))-1),".","")))=0,SUBSTITUTE(SUBSTITUTE($G2584,"-"," ",LEN($G2584)-LEN(SUBSTITUTE($G2584,"-",""))),"-"," ",LEN($G2584)-LEN(SUBSTITUTE($G2584,"-",""))-1),SUBSTITUTE(SUBSTITUTE(SUBSTITUTE($G2584,"-"," ",LEN($G2584)-LEN(SUBSTITUTE($G2584,"-",""))),"-"," ",LEN($G2584)-LEN(SUBSTITUTE($G2584,"-",""))-1),"."," ",(LEN(SUBSTITUTE(SUBSTITUTE($G2584,"-"," ",LEN($G2584)-LEN(SUBSTITUTE($G2584,"-",""))),"-"," ",LEN($G2584)-LEN(SUBSTITUTE($G2584,"-",""))-1))-LEN(SUBSTITUTE(SUBSTITUTE(SUBSTITUTE($G2584,"-"," ",LEN($G2584)-LEN(SUBSTITUTE($G2584,"-",""))),"-"," ",LEN($G2584)-LEN(SUBSTITUTE($G2584,"-",""))-1),".",""))))),$G2584)))</f>
        <v/>
      </c>
    </row>
    <row r="2585">
      <c r="A2585" s="58" t="n"/>
      <c r="B2585" s="58">
        <f>IF($H2585="","",LEFT($H2585,FIND(" ",$H2585&amp;" ")-1))</f>
        <v/>
      </c>
      <c r="C2585" s="58">
        <f>IF($H2585="","",IFERROR(MID($H2585&amp;" ",FIND("|",SUBSTITUTE($H2585&amp;" "," ","|",1))+1,FIND("|",SUBSTITUTE($H2585&amp;" "," ","|",2))-FIND("|",SUBSTITUTE($H2585&amp;" "," ","|",1))-1),""))</f>
        <v/>
      </c>
      <c r="D2585" s="58">
        <f>IF($H2585="","",IFERROR(MID($H2585&amp;" ",FIND("|",SUBSTITUTE($H2585&amp;" "," ","|",2))+1,FIND("|",SUBSTITUTE($H2585&amp;" "," ","|",3))-FIND("|",SUBSTITUTE($H2585&amp;" "," ","|",2))-1),""))</f>
        <v/>
      </c>
      <c r="E2585" s="58">
        <f>IF($H2585="","",IFERROR(MID($H2585&amp;" ",FIND("|",SUBSTITUTE($H2585&amp;" "," ","|",3))+1,FIND("|",SUBSTITUTE($H2585&amp;" "," ","|",4))-FIND("|",SUBSTITUTE($H2585&amp;" "," ","|",3))-1),""))</f>
        <v/>
      </c>
      <c r="F2585" s="59">
        <f>IF($H2585="","",IFERROR(VALUE(IFERROR(MID($H2585&amp;" ",FIND("|",SUBSTITUTE($H2585&amp;" "," ","|",4))+1,FIND("|",SUBSTITUTE($H2585&amp;" "," ","|",5))-FIND("|",SUBSTITUTE($H2585&amp;" "," ","|",4))-1),""))/86400+25569+9/24,""))</f>
        <v/>
      </c>
      <c r="G2585" s="58">
        <f>TRIM(SUBSTITUTE(SUBSTITUTE(SUBSTITUTE($A2585,CHAR(9)," ")," "," "),CHAR(13),""))</f>
        <v/>
      </c>
      <c r="H2585" s="58">
        <f>IF($G2585="","",IF(ISNUMBER(FIND(" ",$G2585)),$G2585,IFERROR(IF((LEN(SUBSTITUTE(SUBSTITUTE($G2585,"-"," ",LEN($G2585)-LEN(SUBSTITUTE($G2585,"-",""))),"-"," ",LEN($G2585)-LEN(SUBSTITUTE($G2585,"-",""))-1))-LEN(SUBSTITUTE(SUBSTITUTE(SUBSTITUTE($G2585,"-"," ",LEN($G2585)-LEN(SUBSTITUTE($G2585,"-",""))),"-"," ",LEN($G2585)-LEN(SUBSTITUTE($G2585,"-",""))-1),".","")))=0,SUBSTITUTE(SUBSTITUTE($G2585,"-"," ",LEN($G2585)-LEN(SUBSTITUTE($G2585,"-",""))),"-"," ",LEN($G2585)-LEN(SUBSTITUTE($G2585,"-",""))-1),SUBSTITUTE(SUBSTITUTE(SUBSTITUTE($G2585,"-"," ",LEN($G2585)-LEN(SUBSTITUTE($G2585,"-",""))),"-"," ",LEN($G2585)-LEN(SUBSTITUTE($G2585,"-",""))-1),"."," ",(LEN(SUBSTITUTE(SUBSTITUTE($G2585,"-"," ",LEN($G2585)-LEN(SUBSTITUTE($G2585,"-",""))),"-"," ",LEN($G2585)-LEN(SUBSTITUTE($G2585,"-",""))-1))-LEN(SUBSTITUTE(SUBSTITUTE(SUBSTITUTE($G2585,"-"," ",LEN($G2585)-LEN(SUBSTITUTE($G2585,"-",""))),"-"," ",LEN($G2585)-LEN(SUBSTITUTE($G2585,"-",""))-1),".",""))))),$G2585)))</f>
        <v/>
      </c>
    </row>
    <row r="2586">
      <c r="A2586" s="58" t="n"/>
      <c r="B2586" s="58">
        <f>IF($H2586="","",LEFT($H2586,FIND(" ",$H2586&amp;" ")-1))</f>
        <v/>
      </c>
      <c r="C2586" s="58">
        <f>IF($H2586="","",IFERROR(MID($H2586&amp;" ",FIND("|",SUBSTITUTE($H2586&amp;" "," ","|",1))+1,FIND("|",SUBSTITUTE($H2586&amp;" "," ","|",2))-FIND("|",SUBSTITUTE($H2586&amp;" "," ","|",1))-1),""))</f>
        <v/>
      </c>
      <c r="D2586" s="58">
        <f>IF($H2586="","",IFERROR(MID($H2586&amp;" ",FIND("|",SUBSTITUTE($H2586&amp;" "," ","|",2))+1,FIND("|",SUBSTITUTE($H2586&amp;" "," ","|",3))-FIND("|",SUBSTITUTE($H2586&amp;" "," ","|",2))-1),""))</f>
        <v/>
      </c>
      <c r="E2586" s="58">
        <f>IF($H2586="","",IFERROR(MID($H2586&amp;" ",FIND("|",SUBSTITUTE($H2586&amp;" "," ","|",3))+1,FIND("|",SUBSTITUTE($H2586&amp;" "," ","|",4))-FIND("|",SUBSTITUTE($H2586&amp;" "," ","|",3))-1),""))</f>
        <v/>
      </c>
      <c r="F2586" s="59">
        <f>IF($H2586="","",IFERROR(VALUE(IFERROR(MID($H2586&amp;" ",FIND("|",SUBSTITUTE($H2586&amp;" "," ","|",4))+1,FIND("|",SUBSTITUTE($H2586&amp;" "," ","|",5))-FIND("|",SUBSTITUTE($H2586&amp;" "," ","|",4))-1),""))/86400+25569+9/24,""))</f>
        <v/>
      </c>
      <c r="G2586" s="58">
        <f>TRIM(SUBSTITUTE(SUBSTITUTE(SUBSTITUTE($A2586,CHAR(9)," ")," "," "),CHAR(13),""))</f>
        <v/>
      </c>
      <c r="H2586" s="58">
        <f>IF($G2586="","",IF(ISNUMBER(FIND(" ",$G2586)),$G2586,IFERROR(IF((LEN(SUBSTITUTE(SUBSTITUTE($G2586,"-"," ",LEN($G2586)-LEN(SUBSTITUTE($G2586,"-",""))),"-"," ",LEN($G2586)-LEN(SUBSTITUTE($G2586,"-",""))-1))-LEN(SUBSTITUTE(SUBSTITUTE(SUBSTITUTE($G2586,"-"," ",LEN($G2586)-LEN(SUBSTITUTE($G2586,"-",""))),"-"," ",LEN($G2586)-LEN(SUBSTITUTE($G2586,"-",""))-1),".","")))=0,SUBSTITUTE(SUBSTITUTE($G2586,"-"," ",LEN($G2586)-LEN(SUBSTITUTE($G2586,"-",""))),"-"," ",LEN($G2586)-LEN(SUBSTITUTE($G2586,"-",""))-1),SUBSTITUTE(SUBSTITUTE(SUBSTITUTE($G2586,"-"," ",LEN($G2586)-LEN(SUBSTITUTE($G2586,"-",""))),"-"," ",LEN($G2586)-LEN(SUBSTITUTE($G2586,"-",""))-1),"."," ",(LEN(SUBSTITUTE(SUBSTITUTE($G2586,"-"," ",LEN($G2586)-LEN(SUBSTITUTE($G2586,"-",""))),"-"," ",LEN($G2586)-LEN(SUBSTITUTE($G2586,"-",""))-1))-LEN(SUBSTITUTE(SUBSTITUTE(SUBSTITUTE($G2586,"-"," ",LEN($G2586)-LEN(SUBSTITUTE($G2586,"-",""))),"-"," ",LEN($G2586)-LEN(SUBSTITUTE($G2586,"-",""))-1),".",""))))),$G2586)))</f>
        <v/>
      </c>
    </row>
    <row r="2587">
      <c r="A2587" s="58" t="n"/>
      <c r="B2587" s="58">
        <f>IF($H2587="","",LEFT($H2587,FIND(" ",$H2587&amp;" ")-1))</f>
        <v/>
      </c>
      <c r="C2587" s="58">
        <f>IF($H2587="","",IFERROR(MID($H2587&amp;" ",FIND("|",SUBSTITUTE($H2587&amp;" "," ","|",1))+1,FIND("|",SUBSTITUTE($H2587&amp;" "," ","|",2))-FIND("|",SUBSTITUTE($H2587&amp;" "," ","|",1))-1),""))</f>
        <v/>
      </c>
      <c r="D2587" s="58">
        <f>IF($H2587="","",IFERROR(MID($H2587&amp;" ",FIND("|",SUBSTITUTE($H2587&amp;" "," ","|",2))+1,FIND("|",SUBSTITUTE($H2587&amp;" "," ","|",3))-FIND("|",SUBSTITUTE($H2587&amp;" "," ","|",2))-1),""))</f>
        <v/>
      </c>
      <c r="E2587" s="58">
        <f>IF($H2587="","",IFERROR(MID($H2587&amp;" ",FIND("|",SUBSTITUTE($H2587&amp;" "," ","|",3))+1,FIND("|",SUBSTITUTE($H2587&amp;" "," ","|",4))-FIND("|",SUBSTITUTE($H2587&amp;" "," ","|",3))-1),""))</f>
        <v/>
      </c>
      <c r="F2587" s="59">
        <f>IF($H2587="","",IFERROR(VALUE(IFERROR(MID($H2587&amp;" ",FIND("|",SUBSTITUTE($H2587&amp;" "," ","|",4))+1,FIND("|",SUBSTITUTE($H2587&amp;" "," ","|",5))-FIND("|",SUBSTITUTE($H2587&amp;" "," ","|",4))-1),""))/86400+25569+9/24,""))</f>
        <v/>
      </c>
      <c r="G2587" s="58">
        <f>TRIM(SUBSTITUTE(SUBSTITUTE(SUBSTITUTE($A2587,CHAR(9)," ")," "," "),CHAR(13),""))</f>
        <v/>
      </c>
      <c r="H2587" s="58">
        <f>IF($G2587="","",IF(ISNUMBER(FIND(" ",$G2587)),$G2587,IFERROR(IF((LEN(SUBSTITUTE(SUBSTITUTE($G2587,"-"," ",LEN($G2587)-LEN(SUBSTITUTE($G2587,"-",""))),"-"," ",LEN($G2587)-LEN(SUBSTITUTE($G2587,"-",""))-1))-LEN(SUBSTITUTE(SUBSTITUTE(SUBSTITUTE($G2587,"-"," ",LEN($G2587)-LEN(SUBSTITUTE($G2587,"-",""))),"-"," ",LEN($G2587)-LEN(SUBSTITUTE($G2587,"-",""))-1),".","")))=0,SUBSTITUTE(SUBSTITUTE($G2587,"-"," ",LEN($G2587)-LEN(SUBSTITUTE($G2587,"-",""))),"-"," ",LEN($G2587)-LEN(SUBSTITUTE($G2587,"-",""))-1),SUBSTITUTE(SUBSTITUTE(SUBSTITUTE($G2587,"-"," ",LEN($G2587)-LEN(SUBSTITUTE($G2587,"-",""))),"-"," ",LEN($G2587)-LEN(SUBSTITUTE($G2587,"-",""))-1),"."," ",(LEN(SUBSTITUTE(SUBSTITUTE($G2587,"-"," ",LEN($G2587)-LEN(SUBSTITUTE($G2587,"-",""))),"-"," ",LEN($G2587)-LEN(SUBSTITUTE($G2587,"-",""))-1))-LEN(SUBSTITUTE(SUBSTITUTE(SUBSTITUTE($G2587,"-"," ",LEN($G2587)-LEN(SUBSTITUTE($G2587,"-",""))),"-"," ",LEN($G2587)-LEN(SUBSTITUTE($G2587,"-",""))-1),".",""))))),$G2587)))</f>
        <v/>
      </c>
    </row>
    <row r="2588">
      <c r="A2588" s="58" t="n"/>
      <c r="B2588" s="58">
        <f>IF($H2588="","",LEFT($H2588,FIND(" ",$H2588&amp;" ")-1))</f>
        <v/>
      </c>
      <c r="C2588" s="58">
        <f>IF($H2588="","",IFERROR(MID($H2588&amp;" ",FIND("|",SUBSTITUTE($H2588&amp;" "," ","|",1))+1,FIND("|",SUBSTITUTE($H2588&amp;" "," ","|",2))-FIND("|",SUBSTITUTE($H2588&amp;" "," ","|",1))-1),""))</f>
        <v/>
      </c>
      <c r="D2588" s="58">
        <f>IF($H2588="","",IFERROR(MID($H2588&amp;" ",FIND("|",SUBSTITUTE($H2588&amp;" "," ","|",2))+1,FIND("|",SUBSTITUTE($H2588&amp;" "," ","|",3))-FIND("|",SUBSTITUTE($H2588&amp;" "," ","|",2))-1),""))</f>
        <v/>
      </c>
      <c r="E2588" s="58">
        <f>IF($H2588="","",IFERROR(MID($H2588&amp;" ",FIND("|",SUBSTITUTE($H2588&amp;" "," ","|",3))+1,FIND("|",SUBSTITUTE($H2588&amp;" "," ","|",4))-FIND("|",SUBSTITUTE($H2588&amp;" "," ","|",3))-1),""))</f>
        <v/>
      </c>
      <c r="F2588" s="59">
        <f>IF($H2588="","",IFERROR(VALUE(IFERROR(MID($H2588&amp;" ",FIND("|",SUBSTITUTE($H2588&amp;" "," ","|",4))+1,FIND("|",SUBSTITUTE($H2588&amp;" "," ","|",5))-FIND("|",SUBSTITUTE($H2588&amp;" "," ","|",4))-1),""))/86400+25569+9/24,""))</f>
        <v/>
      </c>
      <c r="G2588" s="58">
        <f>TRIM(SUBSTITUTE(SUBSTITUTE(SUBSTITUTE($A2588,CHAR(9)," ")," "," "),CHAR(13),""))</f>
        <v/>
      </c>
      <c r="H2588" s="58">
        <f>IF($G2588="","",IF(ISNUMBER(FIND(" ",$G2588)),$G2588,IFERROR(IF((LEN(SUBSTITUTE(SUBSTITUTE($G2588,"-"," ",LEN($G2588)-LEN(SUBSTITUTE($G2588,"-",""))),"-"," ",LEN($G2588)-LEN(SUBSTITUTE($G2588,"-",""))-1))-LEN(SUBSTITUTE(SUBSTITUTE(SUBSTITUTE($G2588,"-"," ",LEN($G2588)-LEN(SUBSTITUTE($G2588,"-",""))),"-"," ",LEN($G2588)-LEN(SUBSTITUTE($G2588,"-",""))-1),".","")))=0,SUBSTITUTE(SUBSTITUTE($G2588,"-"," ",LEN($G2588)-LEN(SUBSTITUTE($G2588,"-",""))),"-"," ",LEN($G2588)-LEN(SUBSTITUTE($G2588,"-",""))-1),SUBSTITUTE(SUBSTITUTE(SUBSTITUTE($G2588,"-"," ",LEN($G2588)-LEN(SUBSTITUTE($G2588,"-",""))),"-"," ",LEN($G2588)-LEN(SUBSTITUTE($G2588,"-",""))-1),"."," ",(LEN(SUBSTITUTE(SUBSTITUTE($G2588,"-"," ",LEN($G2588)-LEN(SUBSTITUTE($G2588,"-",""))),"-"," ",LEN($G2588)-LEN(SUBSTITUTE($G2588,"-",""))-1))-LEN(SUBSTITUTE(SUBSTITUTE(SUBSTITUTE($G2588,"-"," ",LEN($G2588)-LEN(SUBSTITUTE($G2588,"-",""))),"-"," ",LEN($G2588)-LEN(SUBSTITUTE($G2588,"-",""))-1),".",""))))),$G2588)))</f>
        <v/>
      </c>
    </row>
    <row r="2589">
      <c r="A2589" s="58" t="n"/>
      <c r="B2589" s="58">
        <f>IF($H2589="","",LEFT($H2589,FIND(" ",$H2589&amp;" ")-1))</f>
        <v/>
      </c>
      <c r="C2589" s="58">
        <f>IF($H2589="","",IFERROR(MID($H2589&amp;" ",FIND("|",SUBSTITUTE($H2589&amp;" "," ","|",1))+1,FIND("|",SUBSTITUTE($H2589&amp;" "," ","|",2))-FIND("|",SUBSTITUTE($H2589&amp;" "," ","|",1))-1),""))</f>
        <v/>
      </c>
      <c r="D2589" s="58">
        <f>IF($H2589="","",IFERROR(MID($H2589&amp;" ",FIND("|",SUBSTITUTE($H2589&amp;" "," ","|",2))+1,FIND("|",SUBSTITUTE($H2589&amp;" "," ","|",3))-FIND("|",SUBSTITUTE($H2589&amp;" "," ","|",2))-1),""))</f>
        <v/>
      </c>
      <c r="E2589" s="58">
        <f>IF($H2589="","",IFERROR(MID($H2589&amp;" ",FIND("|",SUBSTITUTE($H2589&amp;" "," ","|",3))+1,FIND("|",SUBSTITUTE($H2589&amp;" "," ","|",4))-FIND("|",SUBSTITUTE($H2589&amp;" "," ","|",3))-1),""))</f>
        <v/>
      </c>
      <c r="F2589" s="59">
        <f>IF($H2589="","",IFERROR(VALUE(IFERROR(MID($H2589&amp;" ",FIND("|",SUBSTITUTE($H2589&amp;" "," ","|",4))+1,FIND("|",SUBSTITUTE($H2589&amp;" "," ","|",5))-FIND("|",SUBSTITUTE($H2589&amp;" "," ","|",4))-1),""))/86400+25569+9/24,""))</f>
        <v/>
      </c>
      <c r="G2589" s="58">
        <f>TRIM(SUBSTITUTE(SUBSTITUTE(SUBSTITUTE($A2589,CHAR(9)," ")," "," "),CHAR(13),""))</f>
        <v/>
      </c>
      <c r="H2589" s="58">
        <f>IF($G2589="","",IF(ISNUMBER(FIND(" ",$G2589)),$G2589,IFERROR(IF((LEN(SUBSTITUTE(SUBSTITUTE($G2589,"-"," ",LEN($G2589)-LEN(SUBSTITUTE($G2589,"-",""))),"-"," ",LEN($G2589)-LEN(SUBSTITUTE($G2589,"-",""))-1))-LEN(SUBSTITUTE(SUBSTITUTE(SUBSTITUTE($G2589,"-"," ",LEN($G2589)-LEN(SUBSTITUTE($G2589,"-",""))),"-"," ",LEN($G2589)-LEN(SUBSTITUTE($G2589,"-",""))-1),".","")))=0,SUBSTITUTE(SUBSTITUTE($G2589,"-"," ",LEN($G2589)-LEN(SUBSTITUTE($G2589,"-",""))),"-"," ",LEN($G2589)-LEN(SUBSTITUTE($G2589,"-",""))-1),SUBSTITUTE(SUBSTITUTE(SUBSTITUTE($G2589,"-"," ",LEN($G2589)-LEN(SUBSTITUTE($G2589,"-",""))),"-"," ",LEN($G2589)-LEN(SUBSTITUTE($G2589,"-",""))-1),"."," ",(LEN(SUBSTITUTE(SUBSTITUTE($G2589,"-"," ",LEN($G2589)-LEN(SUBSTITUTE($G2589,"-",""))),"-"," ",LEN($G2589)-LEN(SUBSTITUTE($G2589,"-",""))-1))-LEN(SUBSTITUTE(SUBSTITUTE(SUBSTITUTE($G2589,"-"," ",LEN($G2589)-LEN(SUBSTITUTE($G2589,"-",""))),"-"," ",LEN($G2589)-LEN(SUBSTITUTE($G2589,"-",""))-1),".",""))))),$G2589)))</f>
        <v/>
      </c>
    </row>
    <row r="2590">
      <c r="A2590" s="58" t="n"/>
      <c r="B2590" s="58">
        <f>IF($H2590="","",LEFT($H2590,FIND(" ",$H2590&amp;" ")-1))</f>
        <v/>
      </c>
      <c r="C2590" s="58">
        <f>IF($H2590="","",IFERROR(MID($H2590&amp;" ",FIND("|",SUBSTITUTE($H2590&amp;" "," ","|",1))+1,FIND("|",SUBSTITUTE($H2590&amp;" "," ","|",2))-FIND("|",SUBSTITUTE($H2590&amp;" "," ","|",1))-1),""))</f>
        <v/>
      </c>
      <c r="D2590" s="58">
        <f>IF($H2590="","",IFERROR(MID($H2590&amp;" ",FIND("|",SUBSTITUTE($H2590&amp;" "," ","|",2))+1,FIND("|",SUBSTITUTE($H2590&amp;" "," ","|",3))-FIND("|",SUBSTITUTE($H2590&amp;" "," ","|",2))-1),""))</f>
        <v/>
      </c>
      <c r="E2590" s="58">
        <f>IF($H2590="","",IFERROR(MID($H2590&amp;" ",FIND("|",SUBSTITUTE($H2590&amp;" "," ","|",3))+1,FIND("|",SUBSTITUTE($H2590&amp;" "," ","|",4))-FIND("|",SUBSTITUTE($H2590&amp;" "," ","|",3))-1),""))</f>
        <v/>
      </c>
      <c r="F2590" s="59">
        <f>IF($H2590="","",IFERROR(VALUE(IFERROR(MID($H2590&amp;" ",FIND("|",SUBSTITUTE($H2590&amp;" "," ","|",4))+1,FIND("|",SUBSTITUTE($H2590&amp;" "," ","|",5))-FIND("|",SUBSTITUTE($H2590&amp;" "," ","|",4))-1),""))/86400+25569+9/24,""))</f>
        <v/>
      </c>
      <c r="G2590" s="58">
        <f>TRIM(SUBSTITUTE(SUBSTITUTE(SUBSTITUTE($A2590,CHAR(9)," ")," "," "),CHAR(13),""))</f>
        <v/>
      </c>
      <c r="H2590" s="58">
        <f>IF($G2590="","",IF(ISNUMBER(FIND(" ",$G2590)),$G2590,IFERROR(IF((LEN(SUBSTITUTE(SUBSTITUTE($G2590,"-"," ",LEN($G2590)-LEN(SUBSTITUTE($G2590,"-",""))),"-"," ",LEN($G2590)-LEN(SUBSTITUTE($G2590,"-",""))-1))-LEN(SUBSTITUTE(SUBSTITUTE(SUBSTITUTE($G2590,"-"," ",LEN($G2590)-LEN(SUBSTITUTE($G2590,"-",""))),"-"," ",LEN($G2590)-LEN(SUBSTITUTE($G2590,"-",""))-1),".","")))=0,SUBSTITUTE(SUBSTITUTE($G2590,"-"," ",LEN($G2590)-LEN(SUBSTITUTE($G2590,"-",""))),"-"," ",LEN($G2590)-LEN(SUBSTITUTE($G2590,"-",""))-1),SUBSTITUTE(SUBSTITUTE(SUBSTITUTE($G2590,"-"," ",LEN($G2590)-LEN(SUBSTITUTE($G2590,"-",""))),"-"," ",LEN($G2590)-LEN(SUBSTITUTE($G2590,"-",""))-1),"."," ",(LEN(SUBSTITUTE(SUBSTITUTE($G2590,"-"," ",LEN($G2590)-LEN(SUBSTITUTE($G2590,"-",""))),"-"," ",LEN($G2590)-LEN(SUBSTITUTE($G2590,"-",""))-1))-LEN(SUBSTITUTE(SUBSTITUTE(SUBSTITUTE($G2590,"-"," ",LEN($G2590)-LEN(SUBSTITUTE($G2590,"-",""))),"-"," ",LEN($G2590)-LEN(SUBSTITUTE($G2590,"-",""))-1),".",""))))),$G2590)))</f>
        <v/>
      </c>
    </row>
    <row r="2591">
      <c r="A2591" s="58" t="n"/>
      <c r="B2591" s="58">
        <f>IF($H2591="","",LEFT($H2591,FIND(" ",$H2591&amp;" ")-1))</f>
        <v/>
      </c>
      <c r="C2591" s="58">
        <f>IF($H2591="","",IFERROR(MID($H2591&amp;" ",FIND("|",SUBSTITUTE($H2591&amp;" "," ","|",1))+1,FIND("|",SUBSTITUTE($H2591&amp;" "," ","|",2))-FIND("|",SUBSTITUTE($H2591&amp;" "," ","|",1))-1),""))</f>
        <v/>
      </c>
      <c r="D2591" s="58">
        <f>IF($H2591="","",IFERROR(MID($H2591&amp;" ",FIND("|",SUBSTITUTE($H2591&amp;" "," ","|",2))+1,FIND("|",SUBSTITUTE($H2591&amp;" "," ","|",3))-FIND("|",SUBSTITUTE($H2591&amp;" "," ","|",2))-1),""))</f>
        <v/>
      </c>
      <c r="E2591" s="58">
        <f>IF($H2591="","",IFERROR(MID($H2591&amp;" ",FIND("|",SUBSTITUTE($H2591&amp;" "," ","|",3))+1,FIND("|",SUBSTITUTE($H2591&amp;" "," ","|",4))-FIND("|",SUBSTITUTE($H2591&amp;" "," ","|",3))-1),""))</f>
        <v/>
      </c>
      <c r="F2591" s="59">
        <f>IF($H2591="","",IFERROR(VALUE(IFERROR(MID($H2591&amp;" ",FIND("|",SUBSTITUTE($H2591&amp;" "," ","|",4))+1,FIND("|",SUBSTITUTE($H2591&amp;" "," ","|",5))-FIND("|",SUBSTITUTE($H2591&amp;" "," ","|",4))-1),""))/86400+25569+9/24,""))</f>
        <v/>
      </c>
      <c r="G2591" s="58">
        <f>TRIM(SUBSTITUTE(SUBSTITUTE(SUBSTITUTE($A2591,CHAR(9)," ")," "," "),CHAR(13),""))</f>
        <v/>
      </c>
      <c r="H2591" s="58">
        <f>IF($G2591="","",IF(ISNUMBER(FIND(" ",$G2591)),$G2591,IFERROR(IF((LEN(SUBSTITUTE(SUBSTITUTE($G2591,"-"," ",LEN($G2591)-LEN(SUBSTITUTE($G2591,"-",""))),"-"," ",LEN($G2591)-LEN(SUBSTITUTE($G2591,"-",""))-1))-LEN(SUBSTITUTE(SUBSTITUTE(SUBSTITUTE($G2591,"-"," ",LEN($G2591)-LEN(SUBSTITUTE($G2591,"-",""))),"-"," ",LEN($G2591)-LEN(SUBSTITUTE($G2591,"-",""))-1),".","")))=0,SUBSTITUTE(SUBSTITUTE($G2591,"-"," ",LEN($G2591)-LEN(SUBSTITUTE($G2591,"-",""))),"-"," ",LEN($G2591)-LEN(SUBSTITUTE($G2591,"-",""))-1),SUBSTITUTE(SUBSTITUTE(SUBSTITUTE($G2591,"-"," ",LEN($G2591)-LEN(SUBSTITUTE($G2591,"-",""))),"-"," ",LEN($G2591)-LEN(SUBSTITUTE($G2591,"-",""))-1),"."," ",(LEN(SUBSTITUTE(SUBSTITUTE($G2591,"-"," ",LEN($G2591)-LEN(SUBSTITUTE($G2591,"-",""))),"-"," ",LEN($G2591)-LEN(SUBSTITUTE($G2591,"-",""))-1))-LEN(SUBSTITUTE(SUBSTITUTE(SUBSTITUTE($G2591,"-"," ",LEN($G2591)-LEN(SUBSTITUTE($G2591,"-",""))),"-"," ",LEN($G2591)-LEN(SUBSTITUTE($G2591,"-",""))-1),".",""))))),$G2591)))</f>
        <v/>
      </c>
    </row>
    <row r="2592">
      <c r="A2592" s="58" t="n"/>
      <c r="B2592" s="58">
        <f>IF($H2592="","",LEFT($H2592,FIND(" ",$H2592&amp;" ")-1))</f>
        <v/>
      </c>
      <c r="C2592" s="58">
        <f>IF($H2592="","",IFERROR(MID($H2592&amp;" ",FIND("|",SUBSTITUTE($H2592&amp;" "," ","|",1))+1,FIND("|",SUBSTITUTE($H2592&amp;" "," ","|",2))-FIND("|",SUBSTITUTE($H2592&amp;" "," ","|",1))-1),""))</f>
        <v/>
      </c>
      <c r="D2592" s="58">
        <f>IF($H2592="","",IFERROR(MID($H2592&amp;" ",FIND("|",SUBSTITUTE($H2592&amp;" "," ","|",2))+1,FIND("|",SUBSTITUTE($H2592&amp;" "," ","|",3))-FIND("|",SUBSTITUTE($H2592&amp;" "," ","|",2))-1),""))</f>
        <v/>
      </c>
      <c r="E2592" s="58">
        <f>IF($H2592="","",IFERROR(MID($H2592&amp;" ",FIND("|",SUBSTITUTE($H2592&amp;" "," ","|",3))+1,FIND("|",SUBSTITUTE($H2592&amp;" "," ","|",4))-FIND("|",SUBSTITUTE($H2592&amp;" "," ","|",3))-1),""))</f>
        <v/>
      </c>
      <c r="F2592" s="59">
        <f>IF($H2592="","",IFERROR(VALUE(IFERROR(MID($H2592&amp;" ",FIND("|",SUBSTITUTE($H2592&amp;" "," ","|",4))+1,FIND("|",SUBSTITUTE($H2592&amp;" "," ","|",5))-FIND("|",SUBSTITUTE($H2592&amp;" "," ","|",4))-1),""))/86400+25569+9/24,""))</f>
        <v/>
      </c>
      <c r="G2592" s="58">
        <f>TRIM(SUBSTITUTE(SUBSTITUTE(SUBSTITUTE($A2592,CHAR(9)," ")," "," "),CHAR(13),""))</f>
        <v/>
      </c>
      <c r="H2592" s="58">
        <f>IF($G2592="","",IF(ISNUMBER(FIND(" ",$G2592)),$G2592,IFERROR(IF((LEN(SUBSTITUTE(SUBSTITUTE($G2592,"-"," ",LEN($G2592)-LEN(SUBSTITUTE($G2592,"-",""))),"-"," ",LEN($G2592)-LEN(SUBSTITUTE($G2592,"-",""))-1))-LEN(SUBSTITUTE(SUBSTITUTE(SUBSTITUTE($G2592,"-"," ",LEN($G2592)-LEN(SUBSTITUTE($G2592,"-",""))),"-"," ",LEN($G2592)-LEN(SUBSTITUTE($G2592,"-",""))-1),".","")))=0,SUBSTITUTE(SUBSTITUTE($G2592,"-"," ",LEN($G2592)-LEN(SUBSTITUTE($G2592,"-",""))),"-"," ",LEN($G2592)-LEN(SUBSTITUTE($G2592,"-",""))-1),SUBSTITUTE(SUBSTITUTE(SUBSTITUTE($G2592,"-"," ",LEN($G2592)-LEN(SUBSTITUTE($G2592,"-",""))),"-"," ",LEN($G2592)-LEN(SUBSTITUTE($G2592,"-",""))-1),"."," ",(LEN(SUBSTITUTE(SUBSTITUTE($G2592,"-"," ",LEN($G2592)-LEN(SUBSTITUTE($G2592,"-",""))),"-"," ",LEN($G2592)-LEN(SUBSTITUTE($G2592,"-",""))-1))-LEN(SUBSTITUTE(SUBSTITUTE(SUBSTITUTE($G2592,"-"," ",LEN($G2592)-LEN(SUBSTITUTE($G2592,"-",""))),"-"," ",LEN($G2592)-LEN(SUBSTITUTE($G2592,"-",""))-1),".",""))))),$G2592)))</f>
        <v/>
      </c>
    </row>
    <row r="2593">
      <c r="A2593" s="58" t="n"/>
      <c r="B2593" s="58">
        <f>IF($H2593="","",LEFT($H2593,FIND(" ",$H2593&amp;" ")-1))</f>
        <v/>
      </c>
      <c r="C2593" s="58">
        <f>IF($H2593="","",IFERROR(MID($H2593&amp;" ",FIND("|",SUBSTITUTE($H2593&amp;" "," ","|",1))+1,FIND("|",SUBSTITUTE($H2593&amp;" "," ","|",2))-FIND("|",SUBSTITUTE($H2593&amp;" "," ","|",1))-1),""))</f>
        <v/>
      </c>
      <c r="D2593" s="58">
        <f>IF($H2593="","",IFERROR(MID($H2593&amp;" ",FIND("|",SUBSTITUTE($H2593&amp;" "," ","|",2))+1,FIND("|",SUBSTITUTE($H2593&amp;" "," ","|",3))-FIND("|",SUBSTITUTE($H2593&amp;" "," ","|",2))-1),""))</f>
        <v/>
      </c>
      <c r="E2593" s="58">
        <f>IF($H2593="","",IFERROR(MID($H2593&amp;" ",FIND("|",SUBSTITUTE($H2593&amp;" "," ","|",3))+1,FIND("|",SUBSTITUTE($H2593&amp;" "," ","|",4))-FIND("|",SUBSTITUTE($H2593&amp;" "," ","|",3))-1),""))</f>
        <v/>
      </c>
      <c r="F2593" s="59">
        <f>IF($H2593="","",IFERROR(VALUE(IFERROR(MID($H2593&amp;" ",FIND("|",SUBSTITUTE($H2593&amp;" "," ","|",4))+1,FIND("|",SUBSTITUTE($H2593&amp;" "," ","|",5))-FIND("|",SUBSTITUTE($H2593&amp;" "," ","|",4))-1),""))/86400+25569+9/24,""))</f>
        <v/>
      </c>
      <c r="G2593" s="58">
        <f>TRIM(SUBSTITUTE(SUBSTITUTE(SUBSTITUTE($A2593,CHAR(9)," ")," "," "),CHAR(13),""))</f>
        <v/>
      </c>
      <c r="H2593" s="58">
        <f>IF($G2593="","",IF(ISNUMBER(FIND(" ",$G2593)),$G2593,IFERROR(IF((LEN(SUBSTITUTE(SUBSTITUTE($G2593,"-"," ",LEN($G2593)-LEN(SUBSTITUTE($G2593,"-",""))),"-"," ",LEN($G2593)-LEN(SUBSTITUTE($G2593,"-",""))-1))-LEN(SUBSTITUTE(SUBSTITUTE(SUBSTITUTE($G2593,"-"," ",LEN($G2593)-LEN(SUBSTITUTE($G2593,"-",""))),"-"," ",LEN($G2593)-LEN(SUBSTITUTE($G2593,"-",""))-1),".","")))=0,SUBSTITUTE(SUBSTITUTE($G2593,"-"," ",LEN($G2593)-LEN(SUBSTITUTE($G2593,"-",""))),"-"," ",LEN($G2593)-LEN(SUBSTITUTE($G2593,"-",""))-1),SUBSTITUTE(SUBSTITUTE(SUBSTITUTE($G2593,"-"," ",LEN($G2593)-LEN(SUBSTITUTE($G2593,"-",""))),"-"," ",LEN($G2593)-LEN(SUBSTITUTE($G2593,"-",""))-1),"."," ",(LEN(SUBSTITUTE(SUBSTITUTE($G2593,"-"," ",LEN($G2593)-LEN(SUBSTITUTE($G2593,"-",""))),"-"," ",LEN($G2593)-LEN(SUBSTITUTE($G2593,"-",""))-1))-LEN(SUBSTITUTE(SUBSTITUTE(SUBSTITUTE($G2593,"-"," ",LEN($G2593)-LEN(SUBSTITUTE($G2593,"-",""))),"-"," ",LEN($G2593)-LEN(SUBSTITUTE($G2593,"-",""))-1),".",""))))),$G2593)))</f>
        <v/>
      </c>
    </row>
    <row r="2594">
      <c r="A2594" s="58" t="n"/>
      <c r="B2594" s="58">
        <f>IF($H2594="","",LEFT($H2594,FIND(" ",$H2594&amp;" ")-1))</f>
        <v/>
      </c>
      <c r="C2594" s="58">
        <f>IF($H2594="","",IFERROR(MID($H2594&amp;" ",FIND("|",SUBSTITUTE($H2594&amp;" "," ","|",1))+1,FIND("|",SUBSTITUTE($H2594&amp;" "," ","|",2))-FIND("|",SUBSTITUTE($H2594&amp;" "," ","|",1))-1),""))</f>
        <v/>
      </c>
      <c r="D2594" s="58">
        <f>IF($H2594="","",IFERROR(MID($H2594&amp;" ",FIND("|",SUBSTITUTE($H2594&amp;" "," ","|",2))+1,FIND("|",SUBSTITUTE($H2594&amp;" "," ","|",3))-FIND("|",SUBSTITUTE($H2594&amp;" "," ","|",2))-1),""))</f>
        <v/>
      </c>
      <c r="E2594" s="58">
        <f>IF($H2594="","",IFERROR(MID($H2594&amp;" ",FIND("|",SUBSTITUTE($H2594&amp;" "," ","|",3))+1,FIND("|",SUBSTITUTE($H2594&amp;" "," ","|",4))-FIND("|",SUBSTITUTE($H2594&amp;" "," ","|",3))-1),""))</f>
        <v/>
      </c>
      <c r="F2594" s="59">
        <f>IF($H2594="","",IFERROR(VALUE(IFERROR(MID($H2594&amp;" ",FIND("|",SUBSTITUTE($H2594&amp;" "," ","|",4))+1,FIND("|",SUBSTITUTE($H2594&amp;" "," ","|",5))-FIND("|",SUBSTITUTE($H2594&amp;" "," ","|",4))-1),""))/86400+25569+9/24,""))</f>
        <v/>
      </c>
      <c r="G2594" s="58">
        <f>TRIM(SUBSTITUTE(SUBSTITUTE(SUBSTITUTE($A2594,CHAR(9)," ")," "," "),CHAR(13),""))</f>
        <v/>
      </c>
      <c r="H2594" s="58">
        <f>IF($G2594="","",IF(ISNUMBER(FIND(" ",$G2594)),$G2594,IFERROR(IF((LEN(SUBSTITUTE(SUBSTITUTE($G2594,"-"," ",LEN($G2594)-LEN(SUBSTITUTE($G2594,"-",""))),"-"," ",LEN($G2594)-LEN(SUBSTITUTE($G2594,"-",""))-1))-LEN(SUBSTITUTE(SUBSTITUTE(SUBSTITUTE($G2594,"-"," ",LEN($G2594)-LEN(SUBSTITUTE($G2594,"-",""))),"-"," ",LEN($G2594)-LEN(SUBSTITUTE($G2594,"-",""))-1),".","")))=0,SUBSTITUTE(SUBSTITUTE($G2594,"-"," ",LEN($G2594)-LEN(SUBSTITUTE($G2594,"-",""))),"-"," ",LEN($G2594)-LEN(SUBSTITUTE($G2594,"-",""))-1),SUBSTITUTE(SUBSTITUTE(SUBSTITUTE($G2594,"-"," ",LEN($G2594)-LEN(SUBSTITUTE($G2594,"-",""))),"-"," ",LEN($G2594)-LEN(SUBSTITUTE($G2594,"-",""))-1),"."," ",(LEN(SUBSTITUTE(SUBSTITUTE($G2594,"-"," ",LEN($G2594)-LEN(SUBSTITUTE($G2594,"-",""))),"-"," ",LEN($G2594)-LEN(SUBSTITUTE($G2594,"-",""))-1))-LEN(SUBSTITUTE(SUBSTITUTE(SUBSTITUTE($G2594,"-"," ",LEN($G2594)-LEN(SUBSTITUTE($G2594,"-",""))),"-"," ",LEN($G2594)-LEN(SUBSTITUTE($G2594,"-",""))-1),".",""))))),$G2594)))</f>
        <v/>
      </c>
    </row>
    <row r="2595">
      <c r="A2595" s="58" t="n"/>
      <c r="B2595" s="58">
        <f>IF($H2595="","",LEFT($H2595,FIND(" ",$H2595&amp;" ")-1))</f>
        <v/>
      </c>
      <c r="C2595" s="58">
        <f>IF($H2595="","",IFERROR(MID($H2595&amp;" ",FIND("|",SUBSTITUTE($H2595&amp;" "," ","|",1))+1,FIND("|",SUBSTITUTE($H2595&amp;" "," ","|",2))-FIND("|",SUBSTITUTE($H2595&amp;" "," ","|",1))-1),""))</f>
        <v/>
      </c>
      <c r="D2595" s="58">
        <f>IF($H2595="","",IFERROR(MID($H2595&amp;" ",FIND("|",SUBSTITUTE($H2595&amp;" "," ","|",2))+1,FIND("|",SUBSTITUTE($H2595&amp;" "," ","|",3))-FIND("|",SUBSTITUTE($H2595&amp;" "," ","|",2))-1),""))</f>
        <v/>
      </c>
      <c r="E2595" s="58">
        <f>IF($H2595="","",IFERROR(MID($H2595&amp;" ",FIND("|",SUBSTITUTE($H2595&amp;" "," ","|",3))+1,FIND("|",SUBSTITUTE($H2595&amp;" "," ","|",4))-FIND("|",SUBSTITUTE($H2595&amp;" "," ","|",3))-1),""))</f>
        <v/>
      </c>
      <c r="F2595" s="59">
        <f>IF($H2595="","",IFERROR(VALUE(IFERROR(MID($H2595&amp;" ",FIND("|",SUBSTITUTE($H2595&amp;" "," ","|",4))+1,FIND("|",SUBSTITUTE($H2595&amp;" "," ","|",5))-FIND("|",SUBSTITUTE($H2595&amp;" "," ","|",4))-1),""))/86400+25569+9/24,""))</f>
        <v/>
      </c>
      <c r="G2595" s="58">
        <f>TRIM(SUBSTITUTE(SUBSTITUTE(SUBSTITUTE($A2595,CHAR(9)," ")," "," "),CHAR(13),""))</f>
        <v/>
      </c>
      <c r="H2595" s="58">
        <f>IF($G2595="","",IF(ISNUMBER(FIND(" ",$G2595)),$G2595,IFERROR(IF((LEN(SUBSTITUTE(SUBSTITUTE($G2595,"-"," ",LEN($G2595)-LEN(SUBSTITUTE($G2595,"-",""))),"-"," ",LEN($G2595)-LEN(SUBSTITUTE($G2595,"-",""))-1))-LEN(SUBSTITUTE(SUBSTITUTE(SUBSTITUTE($G2595,"-"," ",LEN($G2595)-LEN(SUBSTITUTE($G2595,"-",""))),"-"," ",LEN($G2595)-LEN(SUBSTITUTE($G2595,"-",""))-1),".","")))=0,SUBSTITUTE(SUBSTITUTE($G2595,"-"," ",LEN($G2595)-LEN(SUBSTITUTE($G2595,"-",""))),"-"," ",LEN($G2595)-LEN(SUBSTITUTE($G2595,"-",""))-1),SUBSTITUTE(SUBSTITUTE(SUBSTITUTE($G2595,"-"," ",LEN($G2595)-LEN(SUBSTITUTE($G2595,"-",""))),"-"," ",LEN($G2595)-LEN(SUBSTITUTE($G2595,"-",""))-1),"."," ",(LEN(SUBSTITUTE(SUBSTITUTE($G2595,"-"," ",LEN($G2595)-LEN(SUBSTITUTE($G2595,"-",""))),"-"," ",LEN($G2595)-LEN(SUBSTITUTE($G2595,"-",""))-1))-LEN(SUBSTITUTE(SUBSTITUTE(SUBSTITUTE($G2595,"-"," ",LEN($G2595)-LEN(SUBSTITUTE($G2595,"-",""))),"-"," ",LEN($G2595)-LEN(SUBSTITUTE($G2595,"-",""))-1),".",""))))),$G2595)))</f>
        <v/>
      </c>
    </row>
    <row r="2596">
      <c r="A2596" s="58" t="n"/>
      <c r="B2596" s="58">
        <f>IF($H2596="","",LEFT($H2596,FIND(" ",$H2596&amp;" ")-1))</f>
        <v/>
      </c>
      <c r="C2596" s="58">
        <f>IF($H2596="","",IFERROR(MID($H2596&amp;" ",FIND("|",SUBSTITUTE($H2596&amp;" "," ","|",1))+1,FIND("|",SUBSTITUTE($H2596&amp;" "," ","|",2))-FIND("|",SUBSTITUTE($H2596&amp;" "," ","|",1))-1),""))</f>
        <v/>
      </c>
      <c r="D2596" s="58">
        <f>IF($H2596="","",IFERROR(MID($H2596&amp;" ",FIND("|",SUBSTITUTE($H2596&amp;" "," ","|",2))+1,FIND("|",SUBSTITUTE($H2596&amp;" "," ","|",3))-FIND("|",SUBSTITUTE($H2596&amp;" "," ","|",2))-1),""))</f>
        <v/>
      </c>
      <c r="E2596" s="58">
        <f>IF($H2596="","",IFERROR(MID($H2596&amp;" ",FIND("|",SUBSTITUTE($H2596&amp;" "," ","|",3))+1,FIND("|",SUBSTITUTE($H2596&amp;" "," ","|",4))-FIND("|",SUBSTITUTE($H2596&amp;" "," ","|",3))-1),""))</f>
        <v/>
      </c>
      <c r="F2596" s="59">
        <f>IF($H2596="","",IFERROR(VALUE(IFERROR(MID($H2596&amp;" ",FIND("|",SUBSTITUTE($H2596&amp;" "," ","|",4))+1,FIND("|",SUBSTITUTE($H2596&amp;" "," ","|",5))-FIND("|",SUBSTITUTE($H2596&amp;" "," ","|",4))-1),""))/86400+25569+9/24,""))</f>
        <v/>
      </c>
      <c r="G2596" s="58">
        <f>TRIM(SUBSTITUTE(SUBSTITUTE(SUBSTITUTE($A2596,CHAR(9)," ")," "," "),CHAR(13),""))</f>
        <v/>
      </c>
      <c r="H2596" s="58">
        <f>IF($G2596="","",IF(ISNUMBER(FIND(" ",$G2596)),$G2596,IFERROR(IF((LEN(SUBSTITUTE(SUBSTITUTE($G2596,"-"," ",LEN($G2596)-LEN(SUBSTITUTE($G2596,"-",""))),"-"," ",LEN($G2596)-LEN(SUBSTITUTE($G2596,"-",""))-1))-LEN(SUBSTITUTE(SUBSTITUTE(SUBSTITUTE($G2596,"-"," ",LEN($G2596)-LEN(SUBSTITUTE($G2596,"-",""))),"-"," ",LEN($G2596)-LEN(SUBSTITUTE($G2596,"-",""))-1),".","")))=0,SUBSTITUTE(SUBSTITUTE($G2596,"-"," ",LEN($G2596)-LEN(SUBSTITUTE($G2596,"-",""))),"-"," ",LEN($G2596)-LEN(SUBSTITUTE($G2596,"-",""))-1),SUBSTITUTE(SUBSTITUTE(SUBSTITUTE($G2596,"-"," ",LEN($G2596)-LEN(SUBSTITUTE($G2596,"-",""))),"-"," ",LEN($G2596)-LEN(SUBSTITUTE($G2596,"-",""))-1),"."," ",(LEN(SUBSTITUTE(SUBSTITUTE($G2596,"-"," ",LEN($G2596)-LEN(SUBSTITUTE($G2596,"-",""))),"-"," ",LEN($G2596)-LEN(SUBSTITUTE($G2596,"-",""))-1))-LEN(SUBSTITUTE(SUBSTITUTE(SUBSTITUTE($G2596,"-"," ",LEN($G2596)-LEN(SUBSTITUTE($G2596,"-",""))),"-"," ",LEN($G2596)-LEN(SUBSTITUTE($G2596,"-",""))-1),".",""))))),$G2596)))</f>
        <v/>
      </c>
    </row>
    <row r="2597">
      <c r="A2597" s="58" t="n"/>
      <c r="B2597" s="58">
        <f>IF($H2597="","",LEFT($H2597,FIND(" ",$H2597&amp;" ")-1))</f>
        <v/>
      </c>
      <c r="C2597" s="58">
        <f>IF($H2597="","",IFERROR(MID($H2597&amp;" ",FIND("|",SUBSTITUTE($H2597&amp;" "," ","|",1))+1,FIND("|",SUBSTITUTE($H2597&amp;" "," ","|",2))-FIND("|",SUBSTITUTE($H2597&amp;" "," ","|",1))-1),""))</f>
        <v/>
      </c>
      <c r="D2597" s="58">
        <f>IF($H2597="","",IFERROR(MID($H2597&amp;" ",FIND("|",SUBSTITUTE($H2597&amp;" "," ","|",2))+1,FIND("|",SUBSTITUTE($H2597&amp;" "," ","|",3))-FIND("|",SUBSTITUTE($H2597&amp;" "," ","|",2))-1),""))</f>
        <v/>
      </c>
      <c r="E2597" s="58">
        <f>IF($H2597="","",IFERROR(MID($H2597&amp;" ",FIND("|",SUBSTITUTE($H2597&amp;" "," ","|",3))+1,FIND("|",SUBSTITUTE($H2597&amp;" "," ","|",4))-FIND("|",SUBSTITUTE($H2597&amp;" "," ","|",3))-1),""))</f>
        <v/>
      </c>
      <c r="F2597" s="59">
        <f>IF($H2597="","",IFERROR(VALUE(IFERROR(MID($H2597&amp;" ",FIND("|",SUBSTITUTE($H2597&amp;" "," ","|",4))+1,FIND("|",SUBSTITUTE($H2597&amp;" "," ","|",5))-FIND("|",SUBSTITUTE($H2597&amp;" "," ","|",4))-1),""))/86400+25569+9/24,""))</f>
        <v/>
      </c>
      <c r="G2597" s="58">
        <f>TRIM(SUBSTITUTE(SUBSTITUTE(SUBSTITUTE($A2597,CHAR(9)," ")," "," "),CHAR(13),""))</f>
        <v/>
      </c>
      <c r="H2597" s="58">
        <f>IF($G2597="","",IF(ISNUMBER(FIND(" ",$G2597)),$G2597,IFERROR(IF((LEN(SUBSTITUTE(SUBSTITUTE($G2597,"-"," ",LEN($G2597)-LEN(SUBSTITUTE($G2597,"-",""))),"-"," ",LEN($G2597)-LEN(SUBSTITUTE($G2597,"-",""))-1))-LEN(SUBSTITUTE(SUBSTITUTE(SUBSTITUTE($G2597,"-"," ",LEN($G2597)-LEN(SUBSTITUTE($G2597,"-",""))),"-"," ",LEN($G2597)-LEN(SUBSTITUTE($G2597,"-",""))-1),".","")))=0,SUBSTITUTE(SUBSTITUTE($G2597,"-"," ",LEN($G2597)-LEN(SUBSTITUTE($G2597,"-",""))),"-"," ",LEN($G2597)-LEN(SUBSTITUTE($G2597,"-",""))-1),SUBSTITUTE(SUBSTITUTE(SUBSTITUTE($G2597,"-"," ",LEN($G2597)-LEN(SUBSTITUTE($G2597,"-",""))),"-"," ",LEN($G2597)-LEN(SUBSTITUTE($G2597,"-",""))-1),"."," ",(LEN(SUBSTITUTE(SUBSTITUTE($G2597,"-"," ",LEN($G2597)-LEN(SUBSTITUTE($G2597,"-",""))),"-"," ",LEN($G2597)-LEN(SUBSTITUTE($G2597,"-",""))-1))-LEN(SUBSTITUTE(SUBSTITUTE(SUBSTITUTE($G2597,"-"," ",LEN($G2597)-LEN(SUBSTITUTE($G2597,"-",""))),"-"," ",LEN($G2597)-LEN(SUBSTITUTE($G2597,"-",""))-1),".",""))))),$G2597)))</f>
        <v/>
      </c>
    </row>
    <row r="2598">
      <c r="A2598" s="58" t="n"/>
      <c r="B2598" s="58">
        <f>IF($H2598="","",LEFT($H2598,FIND(" ",$H2598&amp;" ")-1))</f>
        <v/>
      </c>
      <c r="C2598" s="58">
        <f>IF($H2598="","",IFERROR(MID($H2598&amp;" ",FIND("|",SUBSTITUTE($H2598&amp;" "," ","|",1))+1,FIND("|",SUBSTITUTE($H2598&amp;" "," ","|",2))-FIND("|",SUBSTITUTE($H2598&amp;" "," ","|",1))-1),""))</f>
        <v/>
      </c>
      <c r="D2598" s="58">
        <f>IF($H2598="","",IFERROR(MID($H2598&amp;" ",FIND("|",SUBSTITUTE($H2598&amp;" "," ","|",2))+1,FIND("|",SUBSTITUTE($H2598&amp;" "," ","|",3))-FIND("|",SUBSTITUTE($H2598&amp;" "," ","|",2))-1),""))</f>
        <v/>
      </c>
      <c r="E2598" s="58">
        <f>IF($H2598="","",IFERROR(MID($H2598&amp;" ",FIND("|",SUBSTITUTE($H2598&amp;" "," ","|",3))+1,FIND("|",SUBSTITUTE($H2598&amp;" "," ","|",4))-FIND("|",SUBSTITUTE($H2598&amp;" "," ","|",3))-1),""))</f>
        <v/>
      </c>
      <c r="F2598" s="59">
        <f>IF($H2598="","",IFERROR(VALUE(IFERROR(MID($H2598&amp;" ",FIND("|",SUBSTITUTE($H2598&amp;" "," ","|",4))+1,FIND("|",SUBSTITUTE($H2598&amp;" "," ","|",5))-FIND("|",SUBSTITUTE($H2598&amp;" "," ","|",4))-1),""))/86400+25569+9/24,""))</f>
        <v/>
      </c>
      <c r="G2598" s="58">
        <f>TRIM(SUBSTITUTE(SUBSTITUTE(SUBSTITUTE($A2598,CHAR(9)," ")," "," "),CHAR(13),""))</f>
        <v/>
      </c>
      <c r="H2598" s="58">
        <f>IF($G2598="","",IF(ISNUMBER(FIND(" ",$G2598)),$G2598,IFERROR(IF((LEN(SUBSTITUTE(SUBSTITUTE($G2598,"-"," ",LEN($G2598)-LEN(SUBSTITUTE($G2598,"-",""))),"-"," ",LEN($G2598)-LEN(SUBSTITUTE($G2598,"-",""))-1))-LEN(SUBSTITUTE(SUBSTITUTE(SUBSTITUTE($G2598,"-"," ",LEN($G2598)-LEN(SUBSTITUTE($G2598,"-",""))),"-"," ",LEN($G2598)-LEN(SUBSTITUTE($G2598,"-",""))-1),".","")))=0,SUBSTITUTE(SUBSTITUTE($G2598,"-"," ",LEN($G2598)-LEN(SUBSTITUTE($G2598,"-",""))),"-"," ",LEN($G2598)-LEN(SUBSTITUTE($G2598,"-",""))-1),SUBSTITUTE(SUBSTITUTE(SUBSTITUTE($G2598,"-"," ",LEN($G2598)-LEN(SUBSTITUTE($G2598,"-",""))),"-"," ",LEN($G2598)-LEN(SUBSTITUTE($G2598,"-",""))-1),"."," ",(LEN(SUBSTITUTE(SUBSTITUTE($G2598,"-"," ",LEN($G2598)-LEN(SUBSTITUTE($G2598,"-",""))),"-"," ",LEN($G2598)-LEN(SUBSTITUTE($G2598,"-",""))-1))-LEN(SUBSTITUTE(SUBSTITUTE(SUBSTITUTE($G2598,"-"," ",LEN($G2598)-LEN(SUBSTITUTE($G2598,"-",""))),"-"," ",LEN($G2598)-LEN(SUBSTITUTE($G2598,"-",""))-1),".",""))))),$G2598)))</f>
        <v/>
      </c>
    </row>
    <row r="2599">
      <c r="A2599" s="58" t="n"/>
      <c r="B2599" s="58">
        <f>IF($H2599="","",LEFT($H2599,FIND(" ",$H2599&amp;" ")-1))</f>
        <v/>
      </c>
      <c r="C2599" s="58">
        <f>IF($H2599="","",IFERROR(MID($H2599&amp;" ",FIND("|",SUBSTITUTE($H2599&amp;" "," ","|",1))+1,FIND("|",SUBSTITUTE($H2599&amp;" "," ","|",2))-FIND("|",SUBSTITUTE($H2599&amp;" "," ","|",1))-1),""))</f>
        <v/>
      </c>
      <c r="D2599" s="58">
        <f>IF($H2599="","",IFERROR(MID($H2599&amp;" ",FIND("|",SUBSTITUTE($H2599&amp;" "," ","|",2))+1,FIND("|",SUBSTITUTE($H2599&amp;" "," ","|",3))-FIND("|",SUBSTITUTE($H2599&amp;" "," ","|",2))-1),""))</f>
        <v/>
      </c>
      <c r="E2599" s="58">
        <f>IF($H2599="","",IFERROR(MID($H2599&amp;" ",FIND("|",SUBSTITUTE($H2599&amp;" "," ","|",3))+1,FIND("|",SUBSTITUTE($H2599&amp;" "," ","|",4))-FIND("|",SUBSTITUTE($H2599&amp;" "," ","|",3))-1),""))</f>
        <v/>
      </c>
      <c r="F2599" s="59">
        <f>IF($H2599="","",IFERROR(VALUE(IFERROR(MID($H2599&amp;" ",FIND("|",SUBSTITUTE($H2599&amp;" "," ","|",4))+1,FIND("|",SUBSTITUTE($H2599&amp;" "," ","|",5))-FIND("|",SUBSTITUTE($H2599&amp;" "," ","|",4))-1),""))/86400+25569+9/24,""))</f>
        <v/>
      </c>
      <c r="G2599" s="58">
        <f>TRIM(SUBSTITUTE(SUBSTITUTE(SUBSTITUTE($A2599,CHAR(9)," ")," "," "),CHAR(13),""))</f>
        <v/>
      </c>
      <c r="H2599" s="58">
        <f>IF($G2599="","",IF(ISNUMBER(FIND(" ",$G2599)),$G2599,IFERROR(IF((LEN(SUBSTITUTE(SUBSTITUTE($G2599,"-"," ",LEN($G2599)-LEN(SUBSTITUTE($G2599,"-",""))),"-"," ",LEN($G2599)-LEN(SUBSTITUTE($G2599,"-",""))-1))-LEN(SUBSTITUTE(SUBSTITUTE(SUBSTITUTE($G2599,"-"," ",LEN($G2599)-LEN(SUBSTITUTE($G2599,"-",""))),"-"," ",LEN($G2599)-LEN(SUBSTITUTE($G2599,"-",""))-1),".","")))=0,SUBSTITUTE(SUBSTITUTE($G2599,"-"," ",LEN($G2599)-LEN(SUBSTITUTE($G2599,"-",""))),"-"," ",LEN($G2599)-LEN(SUBSTITUTE($G2599,"-",""))-1),SUBSTITUTE(SUBSTITUTE(SUBSTITUTE($G2599,"-"," ",LEN($G2599)-LEN(SUBSTITUTE($G2599,"-",""))),"-"," ",LEN($G2599)-LEN(SUBSTITUTE($G2599,"-",""))-1),"."," ",(LEN(SUBSTITUTE(SUBSTITUTE($G2599,"-"," ",LEN($G2599)-LEN(SUBSTITUTE($G2599,"-",""))),"-"," ",LEN($G2599)-LEN(SUBSTITUTE($G2599,"-",""))-1))-LEN(SUBSTITUTE(SUBSTITUTE(SUBSTITUTE($G2599,"-"," ",LEN($G2599)-LEN(SUBSTITUTE($G2599,"-",""))),"-"," ",LEN($G2599)-LEN(SUBSTITUTE($G2599,"-",""))-1),".",""))))),$G2599)))</f>
        <v/>
      </c>
    </row>
    <row r="2600">
      <c r="A2600" s="58" t="n"/>
      <c r="B2600" s="58">
        <f>IF($H2600="","",LEFT($H2600,FIND(" ",$H2600&amp;" ")-1))</f>
        <v/>
      </c>
      <c r="C2600" s="58">
        <f>IF($H2600="","",IFERROR(MID($H2600&amp;" ",FIND("|",SUBSTITUTE($H2600&amp;" "," ","|",1))+1,FIND("|",SUBSTITUTE($H2600&amp;" "," ","|",2))-FIND("|",SUBSTITUTE($H2600&amp;" "," ","|",1))-1),""))</f>
        <v/>
      </c>
      <c r="D2600" s="58">
        <f>IF($H2600="","",IFERROR(MID($H2600&amp;" ",FIND("|",SUBSTITUTE($H2600&amp;" "," ","|",2))+1,FIND("|",SUBSTITUTE($H2600&amp;" "," ","|",3))-FIND("|",SUBSTITUTE($H2600&amp;" "," ","|",2))-1),""))</f>
        <v/>
      </c>
      <c r="E2600" s="58">
        <f>IF($H2600="","",IFERROR(MID($H2600&amp;" ",FIND("|",SUBSTITUTE($H2600&amp;" "," ","|",3))+1,FIND("|",SUBSTITUTE($H2600&amp;" "," ","|",4))-FIND("|",SUBSTITUTE($H2600&amp;" "," ","|",3))-1),""))</f>
        <v/>
      </c>
      <c r="F2600" s="59">
        <f>IF($H2600="","",IFERROR(VALUE(IFERROR(MID($H2600&amp;" ",FIND("|",SUBSTITUTE($H2600&amp;" "," ","|",4))+1,FIND("|",SUBSTITUTE($H2600&amp;" "," ","|",5))-FIND("|",SUBSTITUTE($H2600&amp;" "," ","|",4))-1),""))/86400+25569+9/24,""))</f>
        <v/>
      </c>
      <c r="G2600" s="58">
        <f>TRIM(SUBSTITUTE(SUBSTITUTE(SUBSTITUTE($A2600,CHAR(9)," ")," "," "),CHAR(13),""))</f>
        <v/>
      </c>
      <c r="H2600" s="58">
        <f>IF($G2600="","",IF(ISNUMBER(FIND(" ",$G2600)),$G2600,IFERROR(IF((LEN(SUBSTITUTE(SUBSTITUTE($G2600,"-"," ",LEN($G2600)-LEN(SUBSTITUTE($G2600,"-",""))),"-"," ",LEN($G2600)-LEN(SUBSTITUTE($G2600,"-",""))-1))-LEN(SUBSTITUTE(SUBSTITUTE(SUBSTITUTE($G2600,"-"," ",LEN($G2600)-LEN(SUBSTITUTE($G2600,"-",""))),"-"," ",LEN($G2600)-LEN(SUBSTITUTE($G2600,"-",""))-1),".","")))=0,SUBSTITUTE(SUBSTITUTE($G2600,"-"," ",LEN($G2600)-LEN(SUBSTITUTE($G2600,"-",""))),"-"," ",LEN($G2600)-LEN(SUBSTITUTE($G2600,"-",""))-1),SUBSTITUTE(SUBSTITUTE(SUBSTITUTE($G2600,"-"," ",LEN($G2600)-LEN(SUBSTITUTE($G2600,"-",""))),"-"," ",LEN($G2600)-LEN(SUBSTITUTE($G2600,"-",""))-1),"."," ",(LEN(SUBSTITUTE(SUBSTITUTE($G2600,"-"," ",LEN($G2600)-LEN(SUBSTITUTE($G2600,"-",""))),"-"," ",LEN($G2600)-LEN(SUBSTITUTE($G2600,"-",""))-1))-LEN(SUBSTITUTE(SUBSTITUTE(SUBSTITUTE($G2600,"-"," ",LEN($G2600)-LEN(SUBSTITUTE($G2600,"-",""))),"-"," ",LEN($G2600)-LEN(SUBSTITUTE($G2600,"-",""))-1),".",""))))),$G2600)))</f>
        <v/>
      </c>
    </row>
    <row r="2601">
      <c r="A2601" s="58" t="n"/>
      <c r="B2601" s="58">
        <f>IF($H2601="","",LEFT($H2601,FIND(" ",$H2601&amp;" ")-1))</f>
        <v/>
      </c>
      <c r="C2601" s="58">
        <f>IF($H2601="","",IFERROR(MID($H2601&amp;" ",FIND("|",SUBSTITUTE($H2601&amp;" "," ","|",1))+1,FIND("|",SUBSTITUTE($H2601&amp;" "," ","|",2))-FIND("|",SUBSTITUTE($H2601&amp;" "," ","|",1))-1),""))</f>
        <v/>
      </c>
      <c r="D2601" s="58">
        <f>IF($H2601="","",IFERROR(MID($H2601&amp;" ",FIND("|",SUBSTITUTE($H2601&amp;" "," ","|",2))+1,FIND("|",SUBSTITUTE($H2601&amp;" "," ","|",3))-FIND("|",SUBSTITUTE($H2601&amp;" "," ","|",2))-1),""))</f>
        <v/>
      </c>
      <c r="E2601" s="58">
        <f>IF($H2601="","",IFERROR(MID($H2601&amp;" ",FIND("|",SUBSTITUTE($H2601&amp;" "," ","|",3))+1,FIND("|",SUBSTITUTE($H2601&amp;" "," ","|",4))-FIND("|",SUBSTITUTE($H2601&amp;" "," ","|",3))-1),""))</f>
        <v/>
      </c>
      <c r="F2601" s="59">
        <f>IF($H2601="","",IFERROR(VALUE(IFERROR(MID($H2601&amp;" ",FIND("|",SUBSTITUTE($H2601&amp;" "," ","|",4))+1,FIND("|",SUBSTITUTE($H2601&amp;" "," ","|",5))-FIND("|",SUBSTITUTE($H2601&amp;" "," ","|",4))-1),""))/86400+25569+9/24,""))</f>
        <v/>
      </c>
      <c r="G2601" s="58">
        <f>TRIM(SUBSTITUTE(SUBSTITUTE(SUBSTITUTE($A2601,CHAR(9)," ")," "," "),CHAR(13),""))</f>
        <v/>
      </c>
      <c r="H2601" s="58">
        <f>IF($G2601="","",IF(ISNUMBER(FIND(" ",$G2601)),$G2601,IFERROR(IF((LEN(SUBSTITUTE(SUBSTITUTE($G2601,"-"," ",LEN($G2601)-LEN(SUBSTITUTE($G2601,"-",""))),"-"," ",LEN($G2601)-LEN(SUBSTITUTE($G2601,"-",""))-1))-LEN(SUBSTITUTE(SUBSTITUTE(SUBSTITUTE($G2601,"-"," ",LEN($G2601)-LEN(SUBSTITUTE($G2601,"-",""))),"-"," ",LEN($G2601)-LEN(SUBSTITUTE($G2601,"-",""))-1),".","")))=0,SUBSTITUTE(SUBSTITUTE($G2601,"-"," ",LEN($G2601)-LEN(SUBSTITUTE($G2601,"-",""))),"-"," ",LEN($G2601)-LEN(SUBSTITUTE($G2601,"-",""))-1),SUBSTITUTE(SUBSTITUTE(SUBSTITUTE($G2601,"-"," ",LEN($G2601)-LEN(SUBSTITUTE($G2601,"-",""))),"-"," ",LEN($G2601)-LEN(SUBSTITUTE($G2601,"-",""))-1),"."," ",(LEN(SUBSTITUTE(SUBSTITUTE($G2601,"-"," ",LEN($G2601)-LEN(SUBSTITUTE($G2601,"-",""))),"-"," ",LEN($G2601)-LEN(SUBSTITUTE($G2601,"-",""))-1))-LEN(SUBSTITUTE(SUBSTITUTE(SUBSTITUTE($G2601,"-"," ",LEN($G2601)-LEN(SUBSTITUTE($G2601,"-",""))),"-"," ",LEN($G2601)-LEN(SUBSTITUTE($G2601,"-",""))-1),".",""))))),$G2601)))</f>
        <v/>
      </c>
    </row>
    <row r="2602">
      <c r="A2602" s="58" t="n"/>
      <c r="B2602" s="58">
        <f>IF($H2602="","",LEFT($H2602,FIND(" ",$H2602&amp;" ")-1))</f>
        <v/>
      </c>
      <c r="C2602" s="58">
        <f>IF($H2602="","",IFERROR(MID($H2602&amp;" ",FIND("|",SUBSTITUTE($H2602&amp;" "," ","|",1))+1,FIND("|",SUBSTITUTE($H2602&amp;" "," ","|",2))-FIND("|",SUBSTITUTE($H2602&amp;" "," ","|",1))-1),""))</f>
        <v/>
      </c>
      <c r="D2602" s="58">
        <f>IF($H2602="","",IFERROR(MID($H2602&amp;" ",FIND("|",SUBSTITUTE($H2602&amp;" "," ","|",2))+1,FIND("|",SUBSTITUTE($H2602&amp;" "," ","|",3))-FIND("|",SUBSTITUTE($H2602&amp;" "," ","|",2))-1),""))</f>
        <v/>
      </c>
      <c r="E2602" s="58">
        <f>IF($H2602="","",IFERROR(MID($H2602&amp;" ",FIND("|",SUBSTITUTE($H2602&amp;" "," ","|",3))+1,FIND("|",SUBSTITUTE($H2602&amp;" "," ","|",4))-FIND("|",SUBSTITUTE($H2602&amp;" "," ","|",3))-1),""))</f>
        <v/>
      </c>
      <c r="F2602" s="59">
        <f>IF($H2602="","",IFERROR(VALUE(IFERROR(MID($H2602&amp;" ",FIND("|",SUBSTITUTE($H2602&amp;" "," ","|",4))+1,FIND("|",SUBSTITUTE($H2602&amp;" "," ","|",5))-FIND("|",SUBSTITUTE($H2602&amp;" "," ","|",4))-1),""))/86400+25569+9/24,""))</f>
        <v/>
      </c>
      <c r="G2602" s="58">
        <f>TRIM(SUBSTITUTE(SUBSTITUTE(SUBSTITUTE($A2602,CHAR(9)," ")," "," "),CHAR(13),""))</f>
        <v/>
      </c>
      <c r="H2602" s="58">
        <f>IF($G2602="","",IF(ISNUMBER(FIND(" ",$G2602)),$G2602,IFERROR(IF((LEN(SUBSTITUTE(SUBSTITUTE($G2602,"-"," ",LEN($G2602)-LEN(SUBSTITUTE($G2602,"-",""))),"-"," ",LEN($G2602)-LEN(SUBSTITUTE($G2602,"-",""))-1))-LEN(SUBSTITUTE(SUBSTITUTE(SUBSTITUTE($G2602,"-"," ",LEN($G2602)-LEN(SUBSTITUTE($G2602,"-",""))),"-"," ",LEN($G2602)-LEN(SUBSTITUTE($G2602,"-",""))-1),".","")))=0,SUBSTITUTE(SUBSTITUTE($G2602,"-"," ",LEN($G2602)-LEN(SUBSTITUTE($G2602,"-",""))),"-"," ",LEN($G2602)-LEN(SUBSTITUTE($G2602,"-",""))-1),SUBSTITUTE(SUBSTITUTE(SUBSTITUTE($G2602,"-"," ",LEN($G2602)-LEN(SUBSTITUTE($G2602,"-",""))),"-"," ",LEN($G2602)-LEN(SUBSTITUTE($G2602,"-",""))-1),"."," ",(LEN(SUBSTITUTE(SUBSTITUTE($G2602,"-"," ",LEN($G2602)-LEN(SUBSTITUTE($G2602,"-",""))),"-"," ",LEN($G2602)-LEN(SUBSTITUTE($G2602,"-",""))-1))-LEN(SUBSTITUTE(SUBSTITUTE(SUBSTITUTE($G2602,"-"," ",LEN($G2602)-LEN(SUBSTITUTE($G2602,"-",""))),"-"," ",LEN($G2602)-LEN(SUBSTITUTE($G2602,"-",""))-1),".",""))))),$G2602)))</f>
        <v/>
      </c>
    </row>
    <row r="2603">
      <c r="A2603" s="58" t="n"/>
      <c r="B2603" s="58">
        <f>IF($H2603="","",LEFT($H2603,FIND(" ",$H2603&amp;" ")-1))</f>
        <v/>
      </c>
      <c r="C2603" s="58">
        <f>IF($H2603="","",IFERROR(MID($H2603&amp;" ",FIND("|",SUBSTITUTE($H2603&amp;" "," ","|",1))+1,FIND("|",SUBSTITUTE($H2603&amp;" "," ","|",2))-FIND("|",SUBSTITUTE($H2603&amp;" "," ","|",1))-1),""))</f>
        <v/>
      </c>
      <c r="D2603" s="58">
        <f>IF($H2603="","",IFERROR(MID($H2603&amp;" ",FIND("|",SUBSTITUTE($H2603&amp;" "," ","|",2))+1,FIND("|",SUBSTITUTE($H2603&amp;" "," ","|",3))-FIND("|",SUBSTITUTE($H2603&amp;" "," ","|",2))-1),""))</f>
        <v/>
      </c>
      <c r="E2603" s="58">
        <f>IF($H2603="","",IFERROR(MID($H2603&amp;" ",FIND("|",SUBSTITUTE($H2603&amp;" "," ","|",3))+1,FIND("|",SUBSTITUTE($H2603&amp;" "," ","|",4))-FIND("|",SUBSTITUTE($H2603&amp;" "," ","|",3))-1),""))</f>
        <v/>
      </c>
      <c r="F2603" s="59">
        <f>IF($H2603="","",IFERROR(VALUE(IFERROR(MID($H2603&amp;" ",FIND("|",SUBSTITUTE($H2603&amp;" "," ","|",4))+1,FIND("|",SUBSTITUTE($H2603&amp;" "," ","|",5))-FIND("|",SUBSTITUTE($H2603&amp;" "," ","|",4))-1),""))/86400+25569+9/24,""))</f>
        <v/>
      </c>
      <c r="G2603" s="58">
        <f>TRIM(SUBSTITUTE(SUBSTITUTE(SUBSTITUTE($A2603,CHAR(9)," ")," "," "),CHAR(13),""))</f>
        <v/>
      </c>
      <c r="H2603" s="58">
        <f>IF($G2603="","",IF(ISNUMBER(FIND(" ",$G2603)),$G2603,IFERROR(IF((LEN(SUBSTITUTE(SUBSTITUTE($G2603,"-"," ",LEN($G2603)-LEN(SUBSTITUTE($G2603,"-",""))),"-"," ",LEN($G2603)-LEN(SUBSTITUTE($G2603,"-",""))-1))-LEN(SUBSTITUTE(SUBSTITUTE(SUBSTITUTE($G2603,"-"," ",LEN($G2603)-LEN(SUBSTITUTE($G2603,"-",""))),"-"," ",LEN($G2603)-LEN(SUBSTITUTE($G2603,"-",""))-1),".","")))=0,SUBSTITUTE(SUBSTITUTE($G2603,"-"," ",LEN($G2603)-LEN(SUBSTITUTE($G2603,"-",""))),"-"," ",LEN($G2603)-LEN(SUBSTITUTE($G2603,"-",""))-1),SUBSTITUTE(SUBSTITUTE(SUBSTITUTE($G2603,"-"," ",LEN($G2603)-LEN(SUBSTITUTE($G2603,"-",""))),"-"," ",LEN($G2603)-LEN(SUBSTITUTE($G2603,"-",""))-1),"."," ",(LEN(SUBSTITUTE(SUBSTITUTE($G2603,"-"," ",LEN($G2603)-LEN(SUBSTITUTE($G2603,"-",""))),"-"," ",LEN($G2603)-LEN(SUBSTITUTE($G2603,"-",""))-1))-LEN(SUBSTITUTE(SUBSTITUTE(SUBSTITUTE($G2603,"-"," ",LEN($G2603)-LEN(SUBSTITUTE($G2603,"-",""))),"-"," ",LEN($G2603)-LEN(SUBSTITUTE($G2603,"-",""))-1),".",""))))),$G2603)))</f>
        <v/>
      </c>
    </row>
    <row r="2604">
      <c r="A2604" s="58" t="n"/>
      <c r="B2604" s="58">
        <f>IF($H2604="","",LEFT($H2604,FIND(" ",$H2604&amp;" ")-1))</f>
        <v/>
      </c>
      <c r="C2604" s="58">
        <f>IF($H2604="","",IFERROR(MID($H2604&amp;" ",FIND("|",SUBSTITUTE($H2604&amp;" "," ","|",1))+1,FIND("|",SUBSTITUTE($H2604&amp;" "," ","|",2))-FIND("|",SUBSTITUTE($H2604&amp;" "," ","|",1))-1),""))</f>
        <v/>
      </c>
      <c r="D2604" s="58">
        <f>IF($H2604="","",IFERROR(MID($H2604&amp;" ",FIND("|",SUBSTITUTE($H2604&amp;" "," ","|",2))+1,FIND("|",SUBSTITUTE($H2604&amp;" "," ","|",3))-FIND("|",SUBSTITUTE($H2604&amp;" "," ","|",2))-1),""))</f>
        <v/>
      </c>
      <c r="E2604" s="58">
        <f>IF($H2604="","",IFERROR(MID($H2604&amp;" ",FIND("|",SUBSTITUTE($H2604&amp;" "," ","|",3))+1,FIND("|",SUBSTITUTE($H2604&amp;" "," ","|",4))-FIND("|",SUBSTITUTE($H2604&amp;" "," ","|",3))-1),""))</f>
        <v/>
      </c>
      <c r="F2604" s="59">
        <f>IF($H2604="","",IFERROR(VALUE(IFERROR(MID($H2604&amp;" ",FIND("|",SUBSTITUTE($H2604&amp;" "," ","|",4))+1,FIND("|",SUBSTITUTE($H2604&amp;" "," ","|",5))-FIND("|",SUBSTITUTE($H2604&amp;" "," ","|",4))-1),""))/86400+25569+9/24,""))</f>
        <v/>
      </c>
      <c r="G2604" s="58">
        <f>TRIM(SUBSTITUTE(SUBSTITUTE(SUBSTITUTE($A2604,CHAR(9)," ")," "," "),CHAR(13),""))</f>
        <v/>
      </c>
      <c r="H2604" s="58">
        <f>IF($G2604="","",IF(ISNUMBER(FIND(" ",$G2604)),$G2604,IFERROR(IF((LEN(SUBSTITUTE(SUBSTITUTE($G2604,"-"," ",LEN($G2604)-LEN(SUBSTITUTE($G2604,"-",""))),"-"," ",LEN($G2604)-LEN(SUBSTITUTE($G2604,"-",""))-1))-LEN(SUBSTITUTE(SUBSTITUTE(SUBSTITUTE($G2604,"-"," ",LEN($G2604)-LEN(SUBSTITUTE($G2604,"-",""))),"-"," ",LEN($G2604)-LEN(SUBSTITUTE($G2604,"-",""))-1),".","")))=0,SUBSTITUTE(SUBSTITUTE($G2604,"-"," ",LEN($G2604)-LEN(SUBSTITUTE($G2604,"-",""))),"-"," ",LEN($G2604)-LEN(SUBSTITUTE($G2604,"-",""))-1),SUBSTITUTE(SUBSTITUTE(SUBSTITUTE($G2604,"-"," ",LEN($G2604)-LEN(SUBSTITUTE($G2604,"-",""))),"-"," ",LEN($G2604)-LEN(SUBSTITUTE($G2604,"-",""))-1),"."," ",(LEN(SUBSTITUTE(SUBSTITUTE($G2604,"-"," ",LEN($G2604)-LEN(SUBSTITUTE($G2604,"-",""))),"-"," ",LEN($G2604)-LEN(SUBSTITUTE($G2604,"-",""))-1))-LEN(SUBSTITUTE(SUBSTITUTE(SUBSTITUTE($G2604,"-"," ",LEN($G2604)-LEN(SUBSTITUTE($G2604,"-",""))),"-"," ",LEN($G2604)-LEN(SUBSTITUTE($G2604,"-",""))-1),".",""))))),$G2604)))</f>
        <v/>
      </c>
    </row>
    <row r="2605">
      <c r="A2605" s="58" t="n"/>
      <c r="B2605" s="58">
        <f>IF($H2605="","",LEFT($H2605,FIND(" ",$H2605&amp;" ")-1))</f>
        <v/>
      </c>
      <c r="C2605" s="58">
        <f>IF($H2605="","",IFERROR(MID($H2605&amp;" ",FIND("|",SUBSTITUTE($H2605&amp;" "," ","|",1))+1,FIND("|",SUBSTITUTE($H2605&amp;" "," ","|",2))-FIND("|",SUBSTITUTE($H2605&amp;" "," ","|",1))-1),""))</f>
        <v/>
      </c>
      <c r="D2605" s="58">
        <f>IF($H2605="","",IFERROR(MID($H2605&amp;" ",FIND("|",SUBSTITUTE($H2605&amp;" "," ","|",2))+1,FIND("|",SUBSTITUTE($H2605&amp;" "," ","|",3))-FIND("|",SUBSTITUTE($H2605&amp;" "," ","|",2))-1),""))</f>
        <v/>
      </c>
      <c r="E2605" s="58">
        <f>IF($H2605="","",IFERROR(MID($H2605&amp;" ",FIND("|",SUBSTITUTE($H2605&amp;" "," ","|",3))+1,FIND("|",SUBSTITUTE($H2605&amp;" "," ","|",4))-FIND("|",SUBSTITUTE($H2605&amp;" "," ","|",3))-1),""))</f>
        <v/>
      </c>
      <c r="F2605" s="59">
        <f>IF($H2605="","",IFERROR(VALUE(IFERROR(MID($H2605&amp;" ",FIND("|",SUBSTITUTE($H2605&amp;" "," ","|",4))+1,FIND("|",SUBSTITUTE($H2605&amp;" "," ","|",5))-FIND("|",SUBSTITUTE($H2605&amp;" "," ","|",4))-1),""))/86400+25569+9/24,""))</f>
        <v/>
      </c>
      <c r="G2605" s="58">
        <f>TRIM(SUBSTITUTE(SUBSTITUTE(SUBSTITUTE($A2605,CHAR(9)," ")," "," "),CHAR(13),""))</f>
        <v/>
      </c>
      <c r="H2605" s="58">
        <f>IF($G2605="","",IF(ISNUMBER(FIND(" ",$G2605)),$G2605,IFERROR(IF((LEN(SUBSTITUTE(SUBSTITUTE($G2605,"-"," ",LEN($G2605)-LEN(SUBSTITUTE($G2605,"-",""))),"-"," ",LEN($G2605)-LEN(SUBSTITUTE($G2605,"-",""))-1))-LEN(SUBSTITUTE(SUBSTITUTE(SUBSTITUTE($G2605,"-"," ",LEN($G2605)-LEN(SUBSTITUTE($G2605,"-",""))),"-"," ",LEN($G2605)-LEN(SUBSTITUTE($G2605,"-",""))-1),".","")))=0,SUBSTITUTE(SUBSTITUTE($G2605,"-"," ",LEN($G2605)-LEN(SUBSTITUTE($G2605,"-",""))),"-"," ",LEN($G2605)-LEN(SUBSTITUTE($G2605,"-",""))-1),SUBSTITUTE(SUBSTITUTE(SUBSTITUTE($G2605,"-"," ",LEN($G2605)-LEN(SUBSTITUTE($G2605,"-",""))),"-"," ",LEN($G2605)-LEN(SUBSTITUTE($G2605,"-",""))-1),"."," ",(LEN(SUBSTITUTE(SUBSTITUTE($G2605,"-"," ",LEN($G2605)-LEN(SUBSTITUTE($G2605,"-",""))),"-"," ",LEN($G2605)-LEN(SUBSTITUTE($G2605,"-",""))-1))-LEN(SUBSTITUTE(SUBSTITUTE(SUBSTITUTE($G2605,"-"," ",LEN($G2605)-LEN(SUBSTITUTE($G2605,"-",""))),"-"," ",LEN($G2605)-LEN(SUBSTITUTE($G2605,"-",""))-1),".",""))))),$G2605)))</f>
        <v/>
      </c>
    </row>
    <row r="2606">
      <c r="A2606" s="58" t="n"/>
      <c r="B2606" s="58">
        <f>IF($H2606="","",LEFT($H2606,FIND(" ",$H2606&amp;" ")-1))</f>
        <v/>
      </c>
      <c r="C2606" s="58">
        <f>IF($H2606="","",IFERROR(MID($H2606&amp;" ",FIND("|",SUBSTITUTE($H2606&amp;" "," ","|",1))+1,FIND("|",SUBSTITUTE($H2606&amp;" "," ","|",2))-FIND("|",SUBSTITUTE($H2606&amp;" "," ","|",1))-1),""))</f>
        <v/>
      </c>
      <c r="D2606" s="58">
        <f>IF($H2606="","",IFERROR(MID($H2606&amp;" ",FIND("|",SUBSTITUTE($H2606&amp;" "," ","|",2))+1,FIND("|",SUBSTITUTE($H2606&amp;" "," ","|",3))-FIND("|",SUBSTITUTE($H2606&amp;" "," ","|",2))-1),""))</f>
        <v/>
      </c>
      <c r="E2606" s="58">
        <f>IF($H2606="","",IFERROR(MID($H2606&amp;" ",FIND("|",SUBSTITUTE($H2606&amp;" "," ","|",3))+1,FIND("|",SUBSTITUTE($H2606&amp;" "," ","|",4))-FIND("|",SUBSTITUTE($H2606&amp;" "," ","|",3))-1),""))</f>
        <v/>
      </c>
      <c r="F2606" s="59">
        <f>IF($H2606="","",IFERROR(VALUE(IFERROR(MID($H2606&amp;" ",FIND("|",SUBSTITUTE($H2606&amp;" "," ","|",4))+1,FIND("|",SUBSTITUTE($H2606&amp;" "," ","|",5))-FIND("|",SUBSTITUTE($H2606&amp;" "," ","|",4))-1),""))/86400+25569+9/24,""))</f>
        <v/>
      </c>
      <c r="G2606" s="58">
        <f>TRIM(SUBSTITUTE(SUBSTITUTE(SUBSTITUTE($A2606,CHAR(9)," ")," "," "),CHAR(13),""))</f>
        <v/>
      </c>
      <c r="H2606" s="58">
        <f>IF($G2606="","",IF(ISNUMBER(FIND(" ",$G2606)),$G2606,IFERROR(IF((LEN(SUBSTITUTE(SUBSTITUTE($G2606,"-"," ",LEN($G2606)-LEN(SUBSTITUTE($G2606,"-",""))),"-"," ",LEN($G2606)-LEN(SUBSTITUTE($G2606,"-",""))-1))-LEN(SUBSTITUTE(SUBSTITUTE(SUBSTITUTE($G2606,"-"," ",LEN($G2606)-LEN(SUBSTITUTE($G2606,"-",""))),"-"," ",LEN($G2606)-LEN(SUBSTITUTE($G2606,"-",""))-1),".","")))=0,SUBSTITUTE(SUBSTITUTE($G2606,"-"," ",LEN($G2606)-LEN(SUBSTITUTE($G2606,"-",""))),"-"," ",LEN($G2606)-LEN(SUBSTITUTE($G2606,"-",""))-1),SUBSTITUTE(SUBSTITUTE(SUBSTITUTE($G2606,"-"," ",LEN($G2606)-LEN(SUBSTITUTE($G2606,"-",""))),"-"," ",LEN($G2606)-LEN(SUBSTITUTE($G2606,"-",""))-1),"."," ",(LEN(SUBSTITUTE(SUBSTITUTE($G2606,"-"," ",LEN($G2606)-LEN(SUBSTITUTE($G2606,"-",""))),"-"," ",LEN($G2606)-LEN(SUBSTITUTE($G2606,"-",""))-1))-LEN(SUBSTITUTE(SUBSTITUTE(SUBSTITUTE($G2606,"-"," ",LEN($G2606)-LEN(SUBSTITUTE($G2606,"-",""))),"-"," ",LEN($G2606)-LEN(SUBSTITUTE($G2606,"-",""))-1),".",""))))),$G2606)))</f>
        <v/>
      </c>
    </row>
    <row r="2607">
      <c r="A2607" s="58" t="n"/>
      <c r="B2607" s="58">
        <f>IF($H2607="","",LEFT($H2607,FIND(" ",$H2607&amp;" ")-1))</f>
        <v/>
      </c>
      <c r="C2607" s="58">
        <f>IF($H2607="","",IFERROR(MID($H2607&amp;" ",FIND("|",SUBSTITUTE($H2607&amp;" "," ","|",1))+1,FIND("|",SUBSTITUTE($H2607&amp;" "," ","|",2))-FIND("|",SUBSTITUTE($H2607&amp;" "," ","|",1))-1),""))</f>
        <v/>
      </c>
      <c r="D2607" s="58">
        <f>IF($H2607="","",IFERROR(MID($H2607&amp;" ",FIND("|",SUBSTITUTE($H2607&amp;" "," ","|",2))+1,FIND("|",SUBSTITUTE($H2607&amp;" "," ","|",3))-FIND("|",SUBSTITUTE($H2607&amp;" "," ","|",2))-1),""))</f>
        <v/>
      </c>
      <c r="E2607" s="58">
        <f>IF($H2607="","",IFERROR(MID($H2607&amp;" ",FIND("|",SUBSTITUTE($H2607&amp;" "," ","|",3))+1,FIND("|",SUBSTITUTE($H2607&amp;" "," ","|",4))-FIND("|",SUBSTITUTE($H2607&amp;" "," ","|",3))-1),""))</f>
        <v/>
      </c>
      <c r="F2607" s="59">
        <f>IF($H2607="","",IFERROR(VALUE(IFERROR(MID($H2607&amp;" ",FIND("|",SUBSTITUTE($H2607&amp;" "," ","|",4))+1,FIND("|",SUBSTITUTE($H2607&amp;" "," ","|",5))-FIND("|",SUBSTITUTE($H2607&amp;" "," ","|",4))-1),""))/86400+25569+9/24,""))</f>
        <v/>
      </c>
      <c r="G2607" s="58">
        <f>TRIM(SUBSTITUTE(SUBSTITUTE(SUBSTITUTE($A2607,CHAR(9)," ")," "," "),CHAR(13),""))</f>
        <v/>
      </c>
      <c r="H2607" s="58">
        <f>IF($G2607="","",IF(ISNUMBER(FIND(" ",$G2607)),$G2607,IFERROR(IF((LEN(SUBSTITUTE(SUBSTITUTE($G2607,"-"," ",LEN($G2607)-LEN(SUBSTITUTE($G2607,"-",""))),"-"," ",LEN($G2607)-LEN(SUBSTITUTE($G2607,"-",""))-1))-LEN(SUBSTITUTE(SUBSTITUTE(SUBSTITUTE($G2607,"-"," ",LEN($G2607)-LEN(SUBSTITUTE($G2607,"-",""))),"-"," ",LEN($G2607)-LEN(SUBSTITUTE($G2607,"-",""))-1),".","")))=0,SUBSTITUTE(SUBSTITUTE($G2607,"-"," ",LEN($G2607)-LEN(SUBSTITUTE($G2607,"-",""))),"-"," ",LEN($G2607)-LEN(SUBSTITUTE($G2607,"-",""))-1),SUBSTITUTE(SUBSTITUTE(SUBSTITUTE($G2607,"-"," ",LEN($G2607)-LEN(SUBSTITUTE($G2607,"-",""))),"-"," ",LEN($G2607)-LEN(SUBSTITUTE($G2607,"-",""))-1),"."," ",(LEN(SUBSTITUTE(SUBSTITUTE($G2607,"-"," ",LEN($G2607)-LEN(SUBSTITUTE($G2607,"-",""))),"-"," ",LEN($G2607)-LEN(SUBSTITUTE($G2607,"-",""))-1))-LEN(SUBSTITUTE(SUBSTITUTE(SUBSTITUTE($G2607,"-"," ",LEN($G2607)-LEN(SUBSTITUTE($G2607,"-",""))),"-"," ",LEN($G2607)-LEN(SUBSTITUTE($G2607,"-",""))-1),".",""))))),$G2607)))</f>
        <v/>
      </c>
    </row>
    <row r="2608">
      <c r="A2608" s="58" t="n"/>
      <c r="B2608" s="58">
        <f>IF($H2608="","",LEFT($H2608,FIND(" ",$H2608&amp;" ")-1))</f>
        <v/>
      </c>
      <c r="C2608" s="58">
        <f>IF($H2608="","",IFERROR(MID($H2608&amp;" ",FIND("|",SUBSTITUTE($H2608&amp;" "," ","|",1))+1,FIND("|",SUBSTITUTE($H2608&amp;" "," ","|",2))-FIND("|",SUBSTITUTE($H2608&amp;" "," ","|",1))-1),""))</f>
        <v/>
      </c>
      <c r="D2608" s="58">
        <f>IF($H2608="","",IFERROR(MID($H2608&amp;" ",FIND("|",SUBSTITUTE($H2608&amp;" "," ","|",2))+1,FIND("|",SUBSTITUTE($H2608&amp;" "," ","|",3))-FIND("|",SUBSTITUTE($H2608&amp;" "," ","|",2))-1),""))</f>
        <v/>
      </c>
      <c r="E2608" s="58">
        <f>IF($H2608="","",IFERROR(MID($H2608&amp;" ",FIND("|",SUBSTITUTE($H2608&amp;" "," ","|",3))+1,FIND("|",SUBSTITUTE($H2608&amp;" "," ","|",4))-FIND("|",SUBSTITUTE($H2608&amp;" "," ","|",3))-1),""))</f>
        <v/>
      </c>
      <c r="F2608" s="59">
        <f>IF($H2608="","",IFERROR(VALUE(IFERROR(MID($H2608&amp;" ",FIND("|",SUBSTITUTE($H2608&amp;" "," ","|",4))+1,FIND("|",SUBSTITUTE($H2608&amp;" "," ","|",5))-FIND("|",SUBSTITUTE($H2608&amp;" "," ","|",4))-1),""))/86400+25569+9/24,""))</f>
        <v/>
      </c>
      <c r="G2608" s="58">
        <f>TRIM(SUBSTITUTE(SUBSTITUTE(SUBSTITUTE($A2608,CHAR(9)," ")," "," "),CHAR(13),""))</f>
        <v/>
      </c>
      <c r="H2608" s="58">
        <f>IF($G2608="","",IF(ISNUMBER(FIND(" ",$G2608)),$G2608,IFERROR(IF((LEN(SUBSTITUTE(SUBSTITUTE($G2608,"-"," ",LEN($G2608)-LEN(SUBSTITUTE($G2608,"-",""))),"-"," ",LEN($G2608)-LEN(SUBSTITUTE($G2608,"-",""))-1))-LEN(SUBSTITUTE(SUBSTITUTE(SUBSTITUTE($G2608,"-"," ",LEN($G2608)-LEN(SUBSTITUTE($G2608,"-",""))),"-"," ",LEN($G2608)-LEN(SUBSTITUTE($G2608,"-",""))-1),".","")))=0,SUBSTITUTE(SUBSTITUTE($G2608,"-"," ",LEN($G2608)-LEN(SUBSTITUTE($G2608,"-",""))),"-"," ",LEN($G2608)-LEN(SUBSTITUTE($G2608,"-",""))-1),SUBSTITUTE(SUBSTITUTE(SUBSTITUTE($G2608,"-"," ",LEN($G2608)-LEN(SUBSTITUTE($G2608,"-",""))),"-"," ",LEN($G2608)-LEN(SUBSTITUTE($G2608,"-",""))-1),"."," ",(LEN(SUBSTITUTE(SUBSTITUTE($G2608,"-"," ",LEN($G2608)-LEN(SUBSTITUTE($G2608,"-",""))),"-"," ",LEN($G2608)-LEN(SUBSTITUTE($G2608,"-",""))-1))-LEN(SUBSTITUTE(SUBSTITUTE(SUBSTITUTE($G2608,"-"," ",LEN($G2608)-LEN(SUBSTITUTE($G2608,"-",""))),"-"," ",LEN($G2608)-LEN(SUBSTITUTE($G2608,"-",""))-1),".",""))))),$G2608)))</f>
        <v/>
      </c>
    </row>
    <row r="2609">
      <c r="A2609" s="58" t="n"/>
      <c r="B2609" s="58">
        <f>IF($H2609="","",LEFT($H2609,FIND(" ",$H2609&amp;" ")-1))</f>
        <v/>
      </c>
      <c r="C2609" s="58">
        <f>IF($H2609="","",IFERROR(MID($H2609&amp;" ",FIND("|",SUBSTITUTE($H2609&amp;" "," ","|",1))+1,FIND("|",SUBSTITUTE($H2609&amp;" "," ","|",2))-FIND("|",SUBSTITUTE($H2609&amp;" "," ","|",1))-1),""))</f>
        <v/>
      </c>
      <c r="D2609" s="58">
        <f>IF($H2609="","",IFERROR(MID($H2609&amp;" ",FIND("|",SUBSTITUTE($H2609&amp;" "," ","|",2))+1,FIND("|",SUBSTITUTE($H2609&amp;" "," ","|",3))-FIND("|",SUBSTITUTE($H2609&amp;" "," ","|",2))-1),""))</f>
        <v/>
      </c>
      <c r="E2609" s="58">
        <f>IF($H2609="","",IFERROR(MID($H2609&amp;" ",FIND("|",SUBSTITUTE($H2609&amp;" "," ","|",3))+1,FIND("|",SUBSTITUTE($H2609&amp;" "," ","|",4))-FIND("|",SUBSTITUTE($H2609&amp;" "," ","|",3))-1),""))</f>
        <v/>
      </c>
      <c r="F2609" s="59">
        <f>IF($H2609="","",IFERROR(VALUE(IFERROR(MID($H2609&amp;" ",FIND("|",SUBSTITUTE($H2609&amp;" "," ","|",4))+1,FIND("|",SUBSTITUTE($H2609&amp;" "," ","|",5))-FIND("|",SUBSTITUTE($H2609&amp;" "," ","|",4))-1),""))/86400+25569+9/24,""))</f>
        <v/>
      </c>
      <c r="G2609" s="58">
        <f>TRIM(SUBSTITUTE(SUBSTITUTE(SUBSTITUTE($A2609,CHAR(9)," ")," "," "),CHAR(13),""))</f>
        <v/>
      </c>
      <c r="H2609" s="58">
        <f>IF($G2609="","",IF(ISNUMBER(FIND(" ",$G2609)),$G2609,IFERROR(IF((LEN(SUBSTITUTE(SUBSTITUTE($G2609,"-"," ",LEN($G2609)-LEN(SUBSTITUTE($G2609,"-",""))),"-"," ",LEN($G2609)-LEN(SUBSTITUTE($G2609,"-",""))-1))-LEN(SUBSTITUTE(SUBSTITUTE(SUBSTITUTE($G2609,"-"," ",LEN($G2609)-LEN(SUBSTITUTE($G2609,"-",""))),"-"," ",LEN($G2609)-LEN(SUBSTITUTE($G2609,"-",""))-1),".","")))=0,SUBSTITUTE(SUBSTITUTE($G2609,"-"," ",LEN($G2609)-LEN(SUBSTITUTE($G2609,"-",""))),"-"," ",LEN($G2609)-LEN(SUBSTITUTE($G2609,"-",""))-1),SUBSTITUTE(SUBSTITUTE(SUBSTITUTE($G2609,"-"," ",LEN($G2609)-LEN(SUBSTITUTE($G2609,"-",""))),"-"," ",LEN($G2609)-LEN(SUBSTITUTE($G2609,"-",""))-1),"."," ",(LEN(SUBSTITUTE(SUBSTITUTE($G2609,"-"," ",LEN($G2609)-LEN(SUBSTITUTE($G2609,"-",""))),"-"," ",LEN($G2609)-LEN(SUBSTITUTE($G2609,"-",""))-1))-LEN(SUBSTITUTE(SUBSTITUTE(SUBSTITUTE($G2609,"-"," ",LEN($G2609)-LEN(SUBSTITUTE($G2609,"-",""))),"-"," ",LEN($G2609)-LEN(SUBSTITUTE($G2609,"-",""))-1),".",""))))),$G2609)))</f>
        <v/>
      </c>
    </row>
    <row r="2610">
      <c r="A2610" s="58" t="n"/>
      <c r="B2610" s="58">
        <f>IF($H2610="","",LEFT($H2610,FIND(" ",$H2610&amp;" ")-1))</f>
        <v/>
      </c>
      <c r="C2610" s="58">
        <f>IF($H2610="","",IFERROR(MID($H2610&amp;" ",FIND("|",SUBSTITUTE($H2610&amp;" "," ","|",1))+1,FIND("|",SUBSTITUTE($H2610&amp;" "," ","|",2))-FIND("|",SUBSTITUTE($H2610&amp;" "," ","|",1))-1),""))</f>
        <v/>
      </c>
      <c r="D2610" s="58">
        <f>IF($H2610="","",IFERROR(MID($H2610&amp;" ",FIND("|",SUBSTITUTE($H2610&amp;" "," ","|",2))+1,FIND("|",SUBSTITUTE($H2610&amp;" "," ","|",3))-FIND("|",SUBSTITUTE($H2610&amp;" "," ","|",2))-1),""))</f>
        <v/>
      </c>
      <c r="E2610" s="58">
        <f>IF($H2610="","",IFERROR(MID($H2610&amp;" ",FIND("|",SUBSTITUTE($H2610&amp;" "," ","|",3))+1,FIND("|",SUBSTITUTE($H2610&amp;" "," ","|",4))-FIND("|",SUBSTITUTE($H2610&amp;" "," ","|",3))-1),""))</f>
        <v/>
      </c>
      <c r="F2610" s="59">
        <f>IF($H2610="","",IFERROR(VALUE(IFERROR(MID($H2610&amp;" ",FIND("|",SUBSTITUTE($H2610&amp;" "," ","|",4))+1,FIND("|",SUBSTITUTE($H2610&amp;" "," ","|",5))-FIND("|",SUBSTITUTE($H2610&amp;" "," ","|",4))-1),""))/86400+25569+9/24,""))</f>
        <v/>
      </c>
      <c r="G2610" s="58">
        <f>TRIM(SUBSTITUTE(SUBSTITUTE(SUBSTITUTE($A2610,CHAR(9)," ")," "," "),CHAR(13),""))</f>
        <v/>
      </c>
      <c r="H2610" s="58">
        <f>IF($G2610="","",IF(ISNUMBER(FIND(" ",$G2610)),$G2610,IFERROR(IF((LEN(SUBSTITUTE(SUBSTITUTE($G2610,"-"," ",LEN($G2610)-LEN(SUBSTITUTE($G2610,"-",""))),"-"," ",LEN($G2610)-LEN(SUBSTITUTE($G2610,"-",""))-1))-LEN(SUBSTITUTE(SUBSTITUTE(SUBSTITUTE($G2610,"-"," ",LEN($G2610)-LEN(SUBSTITUTE($G2610,"-",""))),"-"," ",LEN($G2610)-LEN(SUBSTITUTE($G2610,"-",""))-1),".","")))=0,SUBSTITUTE(SUBSTITUTE($G2610,"-"," ",LEN($G2610)-LEN(SUBSTITUTE($G2610,"-",""))),"-"," ",LEN($G2610)-LEN(SUBSTITUTE($G2610,"-",""))-1),SUBSTITUTE(SUBSTITUTE(SUBSTITUTE($G2610,"-"," ",LEN($G2610)-LEN(SUBSTITUTE($G2610,"-",""))),"-"," ",LEN($G2610)-LEN(SUBSTITUTE($G2610,"-",""))-1),"."," ",(LEN(SUBSTITUTE(SUBSTITUTE($G2610,"-"," ",LEN($G2610)-LEN(SUBSTITUTE($G2610,"-",""))),"-"," ",LEN($G2610)-LEN(SUBSTITUTE($G2610,"-",""))-1))-LEN(SUBSTITUTE(SUBSTITUTE(SUBSTITUTE($G2610,"-"," ",LEN($G2610)-LEN(SUBSTITUTE($G2610,"-",""))),"-"," ",LEN($G2610)-LEN(SUBSTITUTE($G2610,"-",""))-1),".",""))))),$G2610)))</f>
        <v/>
      </c>
    </row>
    <row r="2611">
      <c r="A2611" s="58" t="n"/>
      <c r="B2611" s="58">
        <f>IF($H2611="","",LEFT($H2611,FIND(" ",$H2611&amp;" ")-1))</f>
        <v/>
      </c>
      <c r="C2611" s="58">
        <f>IF($H2611="","",IFERROR(MID($H2611&amp;" ",FIND("|",SUBSTITUTE($H2611&amp;" "," ","|",1))+1,FIND("|",SUBSTITUTE($H2611&amp;" "," ","|",2))-FIND("|",SUBSTITUTE($H2611&amp;" "," ","|",1))-1),""))</f>
        <v/>
      </c>
      <c r="D2611" s="58">
        <f>IF($H2611="","",IFERROR(MID($H2611&amp;" ",FIND("|",SUBSTITUTE($H2611&amp;" "," ","|",2))+1,FIND("|",SUBSTITUTE($H2611&amp;" "," ","|",3))-FIND("|",SUBSTITUTE($H2611&amp;" "," ","|",2))-1),""))</f>
        <v/>
      </c>
      <c r="E2611" s="58">
        <f>IF($H2611="","",IFERROR(MID($H2611&amp;" ",FIND("|",SUBSTITUTE($H2611&amp;" "," ","|",3))+1,FIND("|",SUBSTITUTE($H2611&amp;" "," ","|",4))-FIND("|",SUBSTITUTE($H2611&amp;" "," ","|",3))-1),""))</f>
        <v/>
      </c>
      <c r="F2611" s="59">
        <f>IF($H2611="","",IFERROR(VALUE(IFERROR(MID($H2611&amp;" ",FIND("|",SUBSTITUTE($H2611&amp;" "," ","|",4))+1,FIND("|",SUBSTITUTE($H2611&amp;" "," ","|",5))-FIND("|",SUBSTITUTE($H2611&amp;" "," ","|",4))-1),""))/86400+25569+9/24,""))</f>
        <v/>
      </c>
      <c r="G2611" s="58">
        <f>TRIM(SUBSTITUTE(SUBSTITUTE(SUBSTITUTE($A2611,CHAR(9)," ")," "," "),CHAR(13),""))</f>
        <v/>
      </c>
      <c r="H2611" s="58">
        <f>IF($G2611="","",IF(ISNUMBER(FIND(" ",$G2611)),$G2611,IFERROR(IF((LEN(SUBSTITUTE(SUBSTITUTE($G2611,"-"," ",LEN($G2611)-LEN(SUBSTITUTE($G2611,"-",""))),"-"," ",LEN($G2611)-LEN(SUBSTITUTE($G2611,"-",""))-1))-LEN(SUBSTITUTE(SUBSTITUTE(SUBSTITUTE($G2611,"-"," ",LEN($G2611)-LEN(SUBSTITUTE($G2611,"-",""))),"-"," ",LEN($G2611)-LEN(SUBSTITUTE($G2611,"-",""))-1),".","")))=0,SUBSTITUTE(SUBSTITUTE($G2611,"-"," ",LEN($G2611)-LEN(SUBSTITUTE($G2611,"-",""))),"-"," ",LEN($G2611)-LEN(SUBSTITUTE($G2611,"-",""))-1),SUBSTITUTE(SUBSTITUTE(SUBSTITUTE($G2611,"-"," ",LEN($G2611)-LEN(SUBSTITUTE($G2611,"-",""))),"-"," ",LEN($G2611)-LEN(SUBSTITUTE($G2611,"-",""))-1),"."," ",(LEN(SUBSTITUTE(SUBSTITUTE($G2611,"-"," ",LEN($G2611)-LEN(SUBSTITUTE($G2611,"-",""))),"-"," ",LEN($G2611)-LEN(SUBSTITUTE($G2611,"-",""))-1))-LEN(SUBSTITUTE(SUBSTITUTE(SUBSTITUTE($G2611,"-"," ",LEN($G2611)-LEN(SUBSTITUTE($G2611,"-",""))),"-"," ",LEN($G2611)-LEN(SUBSTITUTE($G2611,"-",""))-1),".",""))))),$G2611)))</f>
        <v/>
      </c>
    </row>
    <row r="2612">
      <c r="A2612" s="58" t="n"/>
      <c r="B2612" s="58">
        <f>IF($H2612="","",LEFT($H2612,FIND(" ",$H2612&amp;" ")-1))</f>
        <v/>
      </c>
      <c r="C2612" s="58">
        <f>IF($H2612="","",IFERROR(MID($H2612&amp;" ",FIND("|",SUBSTITUTE($H2612&amp;" "," ","|",1))+1,FIND("|",SUBSTITUTE($H2612&amp;" "," ","|",2))-FIND("|",SUBSTITUTE($H2612&amp;" "," ","|",1))-1),""))</f>
        <v/>
      </c>
      <c r="D2612" s="58">
        <f>IF($H2612="","",IFERROR(MID($H2612&amp;" ",FIND("|",SUBSTITUTE($H2612&amp;" "," ","|",2))+1,FIND("|",SUBSTITUTE($H2612&amp;" "," ","|",3))-FIND("|",SUBSTITUTE($H2612&amp;" "," ","|",2))-1),""))</f>
        <v/>
      </c>
      <c r="E2612" s="58">
        <f>IF($H2612="","",IFERROR(MID($H2612&amp;" ",FIND("|",SUBSTITUTE($H2612&amp;" "," ","|",3))+1,FIND("|",SUBSTITUTE($H2612&amp;" "," ","|",4))-FIND("|",SUBSTITUTE($H2612&amp;" "," ","|",3))-1),""))</f>
        <v/>
      </c>
      <c r="F2612" s="59">
        <f>IF($H2612="","",IFERROR(VALUE(IFERROR(MID($H2612&amp;" ",FIND("|",SUBSTITUTE($H2612&amp;" "," ","|",4))+1,FIND("|",SUBSTITUTE($H2612&amp;" "," ","|",5))-FIND("|",SUBSTITUTE($H2612&amp;" "," ","|",4))-1),""))/86400+25569+9/24,""))</f>
        <v/>
      </c>
      <c r="G2612" s="58">
        <f>TRIM(SUBSTITUTE(SUBSTITUTE(SUBSTITUTE($A2612,CHAR(9)," ")," "," "),CHAR(13),""))</f>
        <v/>
      </c>
      <c r="H2612" s="58">
        <f>IF($G2612="","",IF(ISNUMBER(FIND(" ",$G2612)),$G2612,IFERROR(IF((LEN(SUBSTITUTE(SUBSTITUTE($G2612,"-"," ",LEN($G2612)-LEN(SUBSTITUTE($G2612,"-",""))),"-"," ",LEN($G2612)-LEN(SUBSTITUTE($G2612,"-",""))-1))-LEN(SUBSTITUTE(SUBSTITUTE(SUBSTITUTE($G2612,"-"," ",LEN($G2612)-LEN(SUBSTITUTE($G2612,"-",""))),"-"," ",LEN($G2612)-LEN(SUBSTITUTE($G2612,"-",""))-1),".","")))=0,SUBSTITUTE(SUBSTITUTE($G2612,"-"," ",LEN($G2612)-LEN(SUBSTITUTE($G2612,"-",""))),"-"," ",LEN($G2612)-LEN(SUBSTITUTE($G2612,"-",""))-1),SUBSTITUTE(SUBSTITUTE(SUBSTITUTE($G2612,"-"," ",LEN($G2612)-LEN(SUBSTITUTE($G2612,"-",""))),"-"," ",LEN($G2612)-LEN(SUBSTITUTE($G2612,"-",""))-1),"."," ",(LEN(SUBSTITUTE(SUBSTITUTE($G2612,"-"," ",LEN($G2612)-LEN(SUBSTITUTE($G2612,"-",""))),"-"," ",LEN($G2612)-LEN(SUBSTITUTE($G2612,"-",""))-1))-LEN(SUBSTITUTE(SUBSTITUTE(SUBSTITUTE($G2612,"-"," ",LEN($G2612)-LEN(SUBSTITUTE($G2612,"-",""))),"-"," ",LEN($G2612)-LEN(SUBSTITUTE($G2612,"-",""))-1),".",""))))),$G2612)))</f>
        <v/>
      </c>
    </row>
    <row r="2613">
      <c r="A2613" s="58" t="n"/>
      <c r="B2613" s="58">
        <f>IF($H2613="","",LEFT($H2613,FIND(" ",$H2613&amp;" ")-1))</f>
        <v/>
      </c>
      <c r="C2613" s="58">
        <f>IF($H2613="","",IFERROR(MID($H2613&amp;" ",FIND("|",SUBSTITUTE($H2613&amp;" "," ","|",1))+1,FIND("|",SUBSTITUTE($H2613&amp;" "," ","|",2))-FIND("|",SUBSTITUTE($H2613&amp;" "," ","|",1))-1),""))</f>
        <v/>
      </c>
      <c r="D2613" s="58">
        <f>IF($H2613="","",IFERROR(MID($H2613&amp;" ",FIND("|",SUBSTITUTE($H2613&amp;" "," ","|",2))+1,FIND("|",SUBSTITUTE($H2613&amp;" "," ","|",3))-FIND("|",SUBSTITUTE($H2613&amp;" "," ","|",2))-1),""))</f>
        <v/>
      </c>
      <c r="E2613" s="58">
        <f>IF($H2613="","",IFERROR(MID($H2613&amp;" ",FIND("|",SUBSTITUTE($H2613&amp;" "," ","|",3))+1,FIND("|",SUBSTITUTE($H2613&amp;" "," ","|",4))-FIND("|",SUBSTITUTE($H2613&amp;" "," ","|",3))-1),""))</f>
        <v/>
      </c>
      <c r="F2613" s="59">
        <f>IF($H2613="","",IFERROR(VALUE(IFERROR(MID($H2613&amp;" ",FIND("|",SUBSTITUTE($H2613&amp;" "," ","|",4))+1,FIND("|",SUBSTITUTE($H2613&amp;" "," ","|",5))-FIND("|",SUBSTITUTE($H2613&amp;" "," ","|",4))-1),""))/86400+25569+9/24,""))</f>
        <v/>
      </c>
      <c r="G2613" s="58">
        <f>TRIM(SUBSTITUTE(SUBSTITUTE(SUBSTITUTE($A2613,CHAR(9)," ")," "," "),CHAR(13),""))</f>
        <v/>
      </c>
      <c r="H2613" s="58">
        <f>IF($G2613="","",IF(ISNUMBER(FIND(" ",$G2613)),$G2613,IFERROR(IF((LEN(SUBSTITUTE(SUBSTITUTE($G2613,"-"," ",LEN($G2613)-LEN(SUBSTITUTE($G2613,"-",""))),"-"," ",LEN($G2613)-LEN(SUBSTITUTE($G2613,"-",""))-1))-LEN(SUBSTITUTE(SUBSTITUTE(SUBSTITUTE($G2613,"-"," ",LEN($G2613)-LEN(SUBSTITUTE($G2613,"-",""))),"-"," ",LEN($G2613)-LEN(SUBSTITUTE($G2613,"-",""))-1),".","")))=0,SUBSTITUTE(SUBSTITUTE($G2613,"-"," ",LEN($G2613)-LEN(SUBSTITUTE($G2613,"-",""))),"-"," ",LEN($G2613)-LEN(SUBSTITUTE($G2613,"-",""))-1),SUBSTITUTE(SUBSTITUTE(SUBSTITUTE($G2613,"-"," ",LEN($G2613)-LEN(SUBSTITUTE($G2613,"-",""))),"-"," ",LEN($G2613)-LEN(SUBSTITUTE($G2613,"-",""))-1),"."," ",(LEN(SUBSTITUTE(SUBSTITUTE($G2613,"-"," ",LEN($G2613)-LEN(SUBSTITUTE($G2613,"-",""))),"-"," ",LEN($G2613)-LEN(SUBSTITUTE($G2613,"-",""))-1))-LEN(SUBSTITUTE(SUBSTITUTE(SUBSTITUTE($G2613,"-"," ",LEN($G2613)-LEN(SUBSTITUTE($G2613,"-",""))),"-"," ",LEN($G2613)-LEN(SUBSTITUTE($G2613,"-",""))-1),".",""))))),$G2613)))</f>
        <v/>
      </c>
    </row>
    <row r="2614">
      <c r="A2614" s="58" t="n"/>
      <c r="B2614" s="58">
        <f>IF($H2614="","",LEFT($H2614,FIND(" ",$H2614&amp;" ")-1))</f>
        <v/>
      </c>
      <c r="C2614" s="58">
        <f>IF($H2614="","",IFERROR(MID($H2614&amp;" ",FIND("|",SUBSTITUTE($H2614&amp;" "," ","|",1))+1,FIND("|",SUBSTITUTE($H2614&amp;" "," ","|",2))-FIND("|",SUBSTITUTE($H2614&amp;" "," ","|",1))-1),""))</f>
        <v/>
      </c>
      <c r="D2614" s="58">
        <f>IF($H2614="","",IFERROR(MID($H2614&amp;" ",FIND("|",SUBSTITUTE($H2614&amp;" "," ","|",2))+1,FIND("|",SUBSTITUTE($H2614&amp;" "," ","|",3))-FIND("|",SUBSTITUTE($H2614&amp;" "," ","|",2))-1),""))</f>
        <v/>
      </c>
      <c r="E2614" s="58">
        <f>IF($H2614="","",IFERROR(MID($H2614&amp;" ",FIND("|",SUBSTITUTE($H2614&amp;" "," ","|",3))+1,FIND("|",SUBSTITUTE($H2614&amp;" "," ","|",4))-FIND("|",SUBSTITUTE($H2614&amp;" "," ","|",3))-1),""))</f>
        <v/>
      </c>
      <c r="F2614" s="59">
        <f>IF($H2614="","",IFERROR(VALUE(IFERROR(MID($H2614&amp;" ",FIND("|",SUBSTITUTE($H2614&amp;" "," ","|",4))+1,FIND("|",SUBSTITUTE($H2614&amp;" "," ","|",5))-FIND("|",SUBSTITUTE($H2614&amp;" "," ","|",4))-1),""))/86400+25569+9/24,""))</f>
        <v/>
      </c>
      <c r="G2614" s="58">
        <f>TRIM(SUBSTITUTE(SUBSTITUTE(SUBSTITUTE($A2614,CHAR(9)," ")," "," "),CHAR(13),""))</f>
        <v/>
      </c>
      <c r="H2614" s="58">
        <f>IF($G2614="","",IF(ISNUMBER(FIND(" ",$G2614)),$G2614,IFERROR(IF((LEN(SUBSTITUTE(SUBSTITUTE($G2614,"-"," ",LEN($G2614)-LEN(SUBSTITUTE($G2614,"-",""))),"-"," ",LEN($G2614)-LEN(SUBSTITUTE($G2614,"-",""))-1))-LEN(SUBSTITUTE(SUBSTITUTE(SUBSTITUTE($G2614,"-"," ",LEN($G2614)-LEN(SUBSTITUTE($G2614,"-",""))),"-"," ",LEN($G2614)-LEN(SUBSTITUTE($G2614,"-",""))-1),".","")))=0,SUBSTITUTE(SUBSTITUTE($G2614,"-"," ",LEN($G2614)-LEN(SUBSTITUTE($G2614,"-",""))),"-"," ",LEN($G2614)-LEN(SUBSTITUTE($G2614,"-",""))-1),SUBSTITUTE(SUBSTITUTE(SUBSTITUTE($G2614,"-"," ",LEN($G2614)-LEN(SUBSTITUTE($G2614,"-",""))),"-"," ",LEN($G2614)-LEN(SUBSTITUTE($G2614,"-",""))-1),"."," ",(LEN(SUBSTITUTE(SUBSTITUTE($G2614,"-"," ",LEN($G2614)-LEN(SUBSTITUTE($G2614,"-",""))),"-"," ",LEN($G2614)-LEN(SUBSTITUTE($G2614,"-",""))-1))-LEN(SUBSTITUTE(SUBSTITUTE(SUBSTITUTE($G2614,"-"," ",LEN($G2614)-LEN(SUBSTITUTE($G2614,"-",""))),"-"," ",LEN($G2614)-LEN(SUBSTITUTE($G2614,"-",""))-1),".",""))))),$G2614)))</f>
        <v/>
      </c>
    </row>
    <row r="2615">
      <c r="A2615" s="58" t="n"/>
      <c r="B2615" s="58">
        <f>IF($H2615="","",LEFT($H2615,FIND(" ",$H2615&amp;" ")-1))</f>
        <v/>
      </c>
      <c r="C2615" s="58">
        <f>IF($H2615="","",IFERROR(MID($H2615&amp;" ",FIND("|",SUBSTITUTE($H2615&amp;" "," ","|",1))+1,FIND("|",SUBSTITUTE($H2615&amp;" "," ","|",2))-FIND("|",SUBSTITUTE($H2615&amp;" "," ","|",1))-1),""))</f>
        <v/>
      </c>
      <c r="D2615" s="58">
        <f>IF($H2615="","",IFERROR(MID($H2615&amp;" ",FIND("|",SUBSTITUTE($H2615&amp;" "," ","|",2))+1,FIND("|",SUBSTITUTE($H2615&amp;" "," ","|",3))-FIND("|",SUBSTITUTE($H2615&amp;" "," ","|",2))-1),""))</f>
        <v/>
      </c>
      <c r="E2615" s="58">
        <f>IF($H2615="","",IFERROR(MID($H2615&amp;" ",FIND("|",SUBSTITUTE($H2615&amp;" "," ","|",3))+1,FIND("|",SUBSTITUTE($H2615&amp;" "," ","|",4))-FIND("|",SUBSTITUTE($H2615&amp;" "," ","|",3))-1),""))</f>
        <v/>
      </c>
      <c r="F2615" s="59">
        <f>IF($H2615="","",IFERROR(VALUE(IFERROR(MID($H2615&amp;" ",FIND("|",SUBSTITUTE($H2615&amp;" "," ","|",4))+1,FIND("|",SUBSTITUTE($H2615&amp;" "," ","|",5))-FIND("|",SUBSTITUTE($H2615&amp;" "," ","|",4))-1),""))/86400+25569+9/24,""))</f>
        <v/>
      </c>
      <c r="G2615" s="58">
        <f>TRIM(SUBSTITUTE(SUBSTITUTE(SUBSTITUTE($A2615,CHAR(9)," ")," "," "),CHAR(13),""))</f>
        <v/>
      </c>
      <c r="H2615" s="58">
        <f>IF($G2615="","",IF(ISNUMBER(FIND(" ",$G2615)),$G2615,IFERROR(IF((LEN(SUBSTITUTE(SUBSTITUTE($G2615,"-"," ",LEN($G2615)-LEN(SUBSTITUTE($G2615,"-",""))),"-"," ",LEN($G2615)-LEN(SUBSTITUTE($G2615,"-",""))-1))-LEN(SUBSTITUTE(SUBSTITUTE(SUBSTITUTE($G2615,"-"," ",LEN($G2615)-LEN(SUBSTITUTE($G2615,"-",""))),"-"," ",LEN($G2615)-LEN(SUBSTITUTE($G2615,"-",""))-1),".","")))=0,SUBSTITUTE(SUBSTITUTE($G2615,"-"," ",LEN($G2615)-LEN(SUBSTITUTE($G2615,"-",""))),"-"," ",LEN($G2615)-LEN(SUBSTITUTE($G2615,"-",""))-1),SUBSTITUTE(SUBSTITUTE(SUBSTITUTE($G2615,"-"," ",LEN($G2615)-LEN(SUBSTITUTE($G2615,"-",""))),"-"," ",LEN($G2615)-LEN(SUBSTITUTE($G2615,"-",""))-1),"."," ",(LEN(SUBSTITUTE(SUBSTITUTE($G2615,"-"," ",LEN($G2615)-LEN(SUBSTITUTE($G2615,"-",""))),"-"," ",LEN($G2615)-LEN(SUBSTITUTE($G2615,"-",""))-1))-LEN(SUBSTITUTE(SUBSTITUTE(SUBSTITUTE($G2615,"-"," ",LEN($G2615)-LEN(SUBSTITUTE($G2615,"-",""))),"-"," ",LEN($G2615)-LEN(SUBSTITUTE($G2615,"-",""))-1),".",""))))),$G2615)))</f>
        <v/>
      </c>
    </row>
    <row r="2616">
      <c r="A2616" s="58" t="n"/>
      <c r="B2616" s="58">
        <f>IF($H2616="","",LEFT($H2616,FIND(" ",$H2616&amp;" ")-1))</f>
        <v/>
      </c>
      <c r="C2616" s="58">
        <f>IF($H2616="","",IFERROR(MID($H2616&amp;" ",FIND("|",SUBSTITUTE($H2616&amp;" "," ","|",1))+1,FIND("|",SUBSTITUTE($H2616&amp;" "," ","|",2))-FIND("|",SUBSTITUTE($H2616&amp;" "," ","|",1))-1),""))</f>
        <v/>
      </c>
      <c r="D2616" s="58">
        <f>IF($H2616="","",IFERROR(MID($H2616&amp;" ",FIND("|",SUBSTITUTE($H2616&amp;" "," ","|",2))+1,FIND("|",SUBSTITUTE($H2616&amp;" "," ","|",3))-FIND("|",SUBSTITUTE($H2616&amp;" "," ","|",2))-1),""))</f>
        <v/>
      </c>
      <c r="E2616" s="58">
        <f>IF($H2616="","",IFERROR(MID($H2616&amp;" ",FIND("|",SUBSTITUTE($H2616&amp;" "," ","|",3))+1,FIND("|",SUBSTITUTE($H2616&amp;" "," ","|",4))-FIND("|",SUBSTITUTE($H2616&amp;" "," ","|",3))-1),""))</f>
        <v/>
      </c>
      <c r="F2616" s="59">
        <f>IF($H2616="","",IFERROR(VALUE(IFERROR(MID($H2616&amp;" ",FIND("|",SUBSTITUTE($H2616&amp;" "," ","|",4))+1,FIND("|",SUBSTITUTE($H2616&amp;" "," ","|",5))-FIND("|",SUBSTITUTE($H2616&amp;" "," ","|",4))-1),""))/86400+25569+9/24,""))</f>
        <v/>
      </c>
      <c r="G2616" s="58">
        <f>TRIM(SUBSTITUTE(SUBSTITUTE(SUBSTITUTE($A2616,CHAR(9)," ")," "," "),CHAR(13),""))</f>
        <v/>
      </c>
      <c r="H2616" s="58">
        <f>IF($G2616="","",IF(ISNUMBER(FIND(" ",$G2616)),$G2616,IFERROR(IF((LEN(SUBSTITUTE(SUBSTITUTE($G2616,"-"," ",LEN($G2616)-LEN(SUBSTITUTE($G2616,"-",""))),"-"," ",LEN($G2616)-LEN(SUBSTITUTE($G2616,"-",""))-1))-LEN(SUBSTITUTE(SUBSTITUTE(SUBSTITUTE($G2616,"-"," ",LEN($G2616)-LEN(SUBSTITUTE($G2616,"-",""))),"-"," ",LEN($G2616)-LEN(SUBSTITUTE($G2616,"-",""))-1),".","")))=0,SUBSTITUTE(SUBSTITUTE($G2616,"-"," ",LEN($G2616)-LEN(SUBSTITUTE($G2616,"-",""))),"-"," ",LEN($G2616)-LEN(SUBSTITUTE($G2616,"-",""))-1),SUBSTITUTE(SUBSTITUTE(SUBSTITUTE($G2616,"-"," ",LEN($G2616)-LEN(SUBSTITUTE($G2616,"-",""))),"-"," ",LEN($G2616)-LEN(SUBSTITUTE($G2616,"-",""))-1),"."," ",(LEN(SUBSTITUTE(SUBSTITUTE($G2616,"-"," ",LEN($G2616)-LEN(SUBSTITUTE($G2616,"-",""))),"-"," ",LEN($G2616)-LEN(SUBSTITUTE($G2616,"-",""))-1))-LEN(SUBSTITUTE(SUBSTITUTE(SUBSTITUTE($G2616,"-"," ",LEN($G2616)-LEN(SUBSTITUTE($G2616,"-",""))),"-"," ",LEN($G2616)-LEN(SUBSTITUTE($G2616,"-",""))-1),".",""))))),$G2616)))</f>
        <v/>
      </c>
    </row>
    <row r="2617">
      <c r="A2617" s="58" t="n"/>
      <c r="B2617" s="58">
        <f>IF($H2617="","",LEFT($H2617,FIND(" ",$H2617&amp;" ")-1))</f>
        <v/>
      </c>
      <c r="C2617" s="58">
        <f>IF($H2617="","",IFERROR(MID($H2617&amp;" ",FIND("|",SUBSTITUTE($H2617&amp;" "," ","|",1))+1,FIND("|",SUBSTITUTE($H2617&amp;" "," ","|",2))-FIND("|",SUBSTITUTE($H2617&amp;" "," ","|",1))-1),""))</f>
        <v/>
      </c>
      <c r="D2617" s="58">
        <f>IF($H2617="","",IFERROR(MID($H2617&amp;" ",FIND("|",SUBSTITUTE($H2617&amp;" "," ","|",2))+1,FIND("|",SUBSTITUTE($H2617&amp;" "," ","|",3))-FIND("|",SUBSTITUTE($H2617&amp;" "," ","|",2))-1),""))</f>
        <v/>
      </c>
      <c r="E2617" s="58">
        <f>IF($H2617="","",IFERROR(MID($H2617&amp;" ",FIND("|",SUBSTITUTE($H2617&amp;" "," ","|",3))+1,FIND("|",SUBSTITUTE($H2617&amp;" "," ","|",4))-FIND("|",SUBSTITUTE($H2617&amp;" "," ","|",3))-1),""))</f>
        <v/>
      </c>
      <c r="F2617" s="59">
        <f>IF($H2617="","",IFERROR(VALUE(IFERROR(MID($H2617&amp;" ",FIND("|",SUBSTITUTE($H2617&amp;" "," ","|",4))+1,FIND("|",SUBSTITUTE($H2617&amp;" "," ","|",5))-FIND("|",SUBSTITUTE($H2617&amp;" "," ","|",4))-1),""))/86400+25569+9/24,""))</f>
        <v/>
      </c>
      <c r="G2617" s="58">
        <f>TRIM(SUBSTITUTE(SUBSTITUTE(SUBSTITUTE($A2617,CHAR(9)," ")," "," "),CHAR(13),""))</f>
        <v/>
      </c>
      <c r="H2617" s="58">
        <f>IF($G2617="","",IF(ISNUMBER(FIND(" ",$G2617)),$G2617,IFERROR(IF((LEN(SUBSTITUTE(SUBSTITUTE($G2617,"-"," ",LEN($G2617)-LEN(SUBSTITUTE($G2617,"-",""))),"-"," ",LEN($G2617)-LEN(SUBSTITUTE($G2617,"-",""))-1))-LEN(SUBSTITUTE(SUBSTITUTE(SUBSTITUTE($G2617,"-"," ",LEN($G2617)-LEN(SUBSTITUTE($G2617,"-",""))),"-"," ",LEN($G2617)-LEN(SUBSTITUTE($G2617,"-",""))-1),".","")))=0,SUBSTITUTE(SUBSTITUTE($G2617,"-"," ",LEN($G2617)-LEN(SUBSTITUTE($G2617,"-",""))),"-"," ",LEN($G2617)-LEN(SUBSTITUTE($G2617,"-",""))-1),SUBSTITUTE(SUBSTITUTE(SUBSTITUTE($G2617,"-"," ",LEN($G2617)-LEN(SUBSTITUTE($G2617,"-",""))),"-"," ",LEN($G2617)-LEN(SUBSTITUTE($G2617,"-",""))-1),"."," ",(LEN(SUBSTITUTE(SUBSTITUTE($G2617,"-"," ",LEN($G2617)-LEN(SUBSTITUTE($G2617,"-",""))),"-"," ",LEN($G2617)-LEN(SUBSTITUTE($G2617,"-",""))-1))-LEN(SUBSTITUTE(SUBSTITUTE(SUBSTITUTE($G2617,"-"," ",LEN($G2617)-LEN(SUBSTITUTE($G2617,"-",""))),"-"," ",LEN($G2617)-LEN(SUBSTITUTE($G2617,"-",""))-1),".",""))))),$G2617)))</f>
        <v/>
      </c>
    </row>
    <row r="2618">
      <c r="A2618" s="58" t="n"/>
      <c r="B2618" s="58">
        <f>IF($H2618="","",LEFT($H2618,FIND(" ",$H2618&amp;" ")-1))</f>
        <v/>
      </c>
      <c r="C2618" s="58">
        <f>IF($H2618="","",IFERROR(MID($H2618&amp;" ",FIND("|",SUBSTITUTE($H2618&amp;" "," ","|",1))+1,FIND("|",SUBSTITUTE($H2618&amp;" "," ","|",2))-FIND("|",SUBSTITUTE($H2618&amp;" "," ","|",1))-1),""))</f>
        <v/>
      </c>
      <c r="D2618" s="58">
        <f>IF($H2618="","",IFERROR(MID($H2618&amp;" ",FIND("|",SUBSTITUTE($H2618&amp;" "," ","|",2))+1,FIND("|",SUBSTITUTE($H2618&amp;" "," ","|",3))-FIND("|",SUBSTITUTE($H2618&amp;" "," ","|",2))-1),""))</f>
        <v/>
      </c>
      <c r="E2618" s="58">
        <f>IF($H2618="","",IFERROR(MID($H2618&amp;" ",FIND("|",SUBSTITUTE($H2618&amp;" "," ","|",3))+1,FIND("|",SUBSTITUTE($H2618&amp;" "," ","|",4))-FIND("|",SUBSTITUTE($H2618&amp;" "," ","|",3))-1),""))</f>
        <v/>
      </c>
      <c r="F2618" s="59">
        <f>IF($H2618="","",IFERROR(VALUE(IFERROR(MID($H2618&amp;" ",FIND("|",SUBSTITUTE($H2618&amp;" "," ","|",4))+1,FIND("|",SUBSTITUTE($H2618&amp;" "," ","|",5))-FIND("|",SUBSTITUTE($H2618&amp;" "," ","|",4))-1),""))/86400+25569+9/24,""))</f>
        <v/>
      </c>
      <c r="G2618" s="58">
        <f>TRIM(SUBSTITUTE(SUBSTITUTE(SUBSTITUTE($A2618,CHAR(9)," ")," "," "),CHAR(13),""))</f>
        <v/>
      </c>
      <c r="H2618" s="58">
        <f>IF($G2618="","",IF(ISNUMBER(FIND(" ",$G2618)),$G2618,IFERROR(IF((LEN(SUBSTITUTE(SUBSTITUTE($G2618,"-"," ",LEN($G2618)-LEN(SUBSTITUTE($G2618,"-",""))),"-"," ",LEN($G2618)-LEN(SUBSTITUTE($G2618,"-",""))-1))-LEN(SUBSTITUTE(SUBSTITUTE(SUBSTITUTE($G2618,"-"," ",LEN($G2618)-LEN(SUBSTITUTE($G2618,"-",""))),"-"," ",LEN($G2618)-LEN(SUBSTITUTE($G2618,"-",""))-1),".","")))=0,SUBSTITUTE(SUBSTITUTE($G2618,"-"," ",LEN($G2618)-LEN(SUBSTITUTE($G2618,"-",""))),"-"," ",LEN($G2618)-LEN(SUBSTITUTE($G2618,"-",""))-1),SUBSTITUTE(SUBSTITUTE(SUBSTITUTE($G2618,"-"," ",LEN($G2618)-LEN(SUBSTITUTE($G2618,"-",""))),"-"," ",LEN($G2618)-LEN(SUBSTITUTE($G2618,"-",""))-1),"."," ",(LEN(SUBSTITUTE(SUBSTITUTE($G2618,"-"," ",LEN($G2618)-LEN(SUBSTITUTE($G2618,"-",""))),"-"," ",LEN($G2618)-LEN(SUBSTITUTE($G2618,"-",""))-1))-LEN(SUBSTITUTE(SUBSTITUTE(SUBSTITUTE($G2618,"-"," ",LEN($G2618)-LEN(SUBSTITUTE($G2618,"-",""))),"-"," ",LEN($G2618)-LEN(SUBSTITUTE($G2618,"-",""))-1),".",""))))),$G2618)))</f>
        <v/>
      </c>
    </row>
    <row r="2619">
      <c r="A2619" s="58" t="n"/>
      <c r="B2619" s="58">
        <f>IF($H2619="","",LEFT($H2619,FIND(" ",$H2619&amp;" ")-1))</f>
        <v/>
      </c>
      <c r="C2619" s="58">
        <f>IF($H2619="","",IFERROR(MID($H2619&amp;" ",FIND("|",SUBSTITUTE($H2619&amp;" "," ","|",1))+1,FIND("|",SUBSTITUTE($H2619&amp;" "," ","|",2))-FIND("|",SUBSTITUTE($H2619&amp;" "," ","|",1))-1),""))</f>
        <v/>
      </c>
      <c r="D2619" s="58">
        <f>IF($H2619="","",IFERROR(MID($H2619&amp;" ",FIND("|",SUBSTITUTE($H2619&amp;" "," ","|",2))+1,FIND("|",SUBSTITUTE($H2619&amp;" "," ","|",3))-FIND("|",SUBSTITUTE($H2619&amp;" "," ","|",2))-1),""))</f>
        <v/>
      </c>
      <c r="E2619" s="58">
        <f>IF($H2619="","",IFERROR(MID($H2619&amp;" ",FIND("|",SUBSTITUTE($H2619&amp;" "," ","|",3))+1,FIND("|",SUBSTITUTE($H2619&amp;" "," ","|",4))-FIND("|",SUBSTITUTE($H2619&amp;" "," ","|",3))-1),""))</f>
        <v/>
      </c>
      <c r="F2619" s="59">
        <f>IF($H2619="","",IFERROR(VALUE(IFERROR(MID($H2619&amp;" ",FIND("|",SUBSTITUTE($H2619&amp;" "," ","|",4))+1,FIND("|",SUBSTITUTE($H2619&amp;" "," ","|",5))-FIND("|",SUBSTITUTE($H2619&amp;" "," ","|",4))-1),""))/86400+25569+9/24,""))</f>
        <v/>
      </c>
      <c r="G2619" s="58">
        <f>TRIM(SUBSTITUTE(SUBSTITUTE(SUBSTITUTE($A2619,CHAR(9)," ")," "," "),CHAR(13),""))</f>
        <v/>
      </c>
      <c r="H2619" s="58">
        <f>IF($G2619="","",IF(ISNUMBER(FIND(" ",$G2619)),$G2619,IFERROR(IF((LEN(SUBSTITUTE(SUBSTITUTE($G2619,"-"," ",LEN($G2619)-LEN(SUBSTITUTE($G2619,"-",""))),"-"," ",LEN($G2619)-LEN(SUBSTITUTE($G2619,"-",""))-1))-LEN(SUBSTITUTE(SUBSTITUTE(SUBSTITUTE($G2619,"-"," ",LEN($G2619)-LEN(SUBSTITUTE($G2619,"-",""))),"-"," ",LEN($G2619)-LEN(SUBSTITUTE($G2619,"-",""))-1),".","")))=0,SUBSTITUTE(SUBSTITUTE($G2619,"-"," ",LEN($G2619)-LEN(SUBSTITUTE($G2619,"-",""))),"-"," ",LEN($G2619)-LEN(SUBSTITUTE($G2619,"-",""))-1),SUBSTITUTE(SUBSTITUTE(SUBSTITUTE($G2619,"-"," ",LEN($G2619)-LEN(SUBSTITUTE($G2619,"-",""))),"-"," ",LEN($G2619)-LEN(SUBSTITUTE($G2619,"-",""))-1),"."," ",(LEN(SUBSTITUTE(SUBSTITUTE($G2619,"-"," ",LEN($G2619)-LEN(SUBSTITUTE($G2619,"-",""))),"-"," ",LEN($G2619)-LEN(SUBSTITUTE($G2619,"-",""))-1))-LEN(SUBSTITUTE(SUBSTITUTE(SUBSTITUTE($G2619,"-"," ",LEN($G2619)-LEN(SUBSTITUTE($G2619,"-",""))),"-"," ",LEN($G2619)-LEN(SUBSTITUTE($G2619,"-",""))-1),".",""))))),$G2619)))</f>
        <v/>
      </c>
    </row>
    <row r="2620">
      <c r="A2620" s="58" t="n"/>
      <c r="B2620" s="58">
        <f>IF($H2620="","",LEFT($H2620,FIND(" ",$H2620&amp;" ")-1))</f>
        <v/>
      </c>
      <c r="C2620" s="58">
        <f>IF($H2620="","",IFERROR(MID($H2620&amp;" ",FIND("|",SUBSTITUTE($H2620&amp;" "," ","|",1))+1,FIND("|",SUBSTITUTE($H2620&amp;" "," ","|",2))-FIND("|",SUBSTITUTE($H2620&amp;" "," ","|",1))-1),""))</f>
        <v/>
      </c>
      <c r="D2620" s="58">
        <f>IF($H2620="","",IFERROR(MID($H2620&amp;" ",FIND("|",SUBSTITUTE($H2620&amp;" "," ","|",2))+1,FIND("|",SUBSTITUTE($H2620&amp;" "," ","|",3))-FIND("|",SUBSTITUTE($H2620&amp;" "," ","|",2))-1),""))</f>
        <v/>
      </c>
      <c r="E2620" s="58">
        <f>IF($H2620="","",IFERROR(MID($H2620&amp;" ",FIND("|",SUBSTITUTE($H2620&amp;" "," ","|",3))+1,FIND("|",SUBSTITUTE($H2620&amp;" "," ","|",4))-FIND("|",SUBSTITUTE($H2620&amp;" "," ","|",3))-1),""))</f>
        <v/>
      </c>
      <c r="F2620" s="59">
        <f>IF($H2620="","",IFERROR(VALUE(IFERROR(MID($H2620&amp;" ",FIND("|",SUBSTITUTE($H2620&amp;" "," ","|",4))+1,FIND("|",SUBSTITUTE($H2620&amp;" "," ","|",5))-FIND("|",SUBSTITUTE($H2620&amp;" "," ","|",4))-1),""))/86400+25569+9/24,""))</f>
        <v/>
      </c>
      <c r="G2620" s="58">
        <f>TRIM(SUBSTITUTE(SUBSTITUTE(SUBSTITUTE($A2620,CHAR(9)," ")," "," "),CHAR(13),""))</f>
        <v/>
      </c>
      <c r="H2620" s="58">
        <f>IF($G2620="","",IF(ISNUMBER(FIND(" ",$G2620)),$G2620,IFERROR(IF((LEN(SUBSTITUTE(SUBSTITUTE($G2620,"-"," ",LEN($G2620)-LEN(SUBSTITUTE($G2620,"-",""))),"-"," ",LEN($G2620)-LEN(SUBSTITUTE($G2620,"-",""))-1))-LEN(SUBSTITUTE(SUBSTITUTE(SUBSTITUTE($G2620,"-"," ",LEN($G2620)-LEN(SUBSTITUTE($G2620,"-",""))),"-"," ",LEN($G2620)-LEN(SUBSTITUTE($G2620,"-",""))-1),".","")))=0,SUBSTITUTE(SUBSTITUTE($G2620,"-"," ",LEN($G2620)-LEN(SUBSTITUTE($G2620,"-",""))),"-"," ",LEN($G2620)-LEN(SUBSTITUTE($G2620,"-",""))-1),SUBSTITUTE(SUBSTITUTE(SUBSTITUTE($G2620,"-"," ",LEN($G2620)-LEN(SUBSTITUTE($G2620,"-",""))),"-"," ",LEN($G2620)-LEN(SUBSTITUTE($G2620,"-",""))-1),"."," ",(LEN(SUBSTITUTE(SUBSTITUTE($G2620,"-"," ",LEN($G2620)-LEN(SUBSTITUTE($G2620,"-",""))),"-"," ",LEN($G2620)-LEN(SUBSTITUTE($G2620,"-",""))-1))-LEN(SUBSTITUTE(SUBSTITUTE(SUBSTITUTE($G2620,"-"," ",LEN($G2620)-LEN(SUBSTITUTE($G2620,"-",""))),"-"," ",LEN($G2620)-LEN(SUBSTITUTE($G2620,"-",""))-1),".",""))))),$G2620)))</f>
        <v/>
      </c>
    </row>
    <row r="2621">
      <c r="A2621" s="58" t="n"/>
      <c r="B2621" s="58">
        <f>IF($H2621="","",LEFT($H2621,FIND(" ",$H2621&amp;" ")-1))</f>
        <v/>
      </c>
      <c r="C2621" s="58">
        <f>IF($H2621="","",IFERROR(MID($H2621&amp;" ",FIND("|",SUBSTITUTE($H2621&amp;" "," ","|",1))+1,FIND("|",SUBSTITUTE($H2621&amp;" "," ","|",2))-FIND("|",SUBSTITUTE($H2621&amp;" "," ","|",1))-1),""))</f>
        <v/>
      </c>
      <c r="D2621" s="58">
        <f>IF($H2621="","",IFERROR(MID($H2621&amp;" ",FIND("|",SUBSTITUTE($H2621&amp;" "," ","|",2))+1,FIND("|",SUBSTITUTE($H2621&amp;" "," ","|",3))-FIND("|",SUBSTITUTE($H2621&amp;" "," ","|",2))-1),""))</f>
        <v/>
      </c>
      <c r="E2621" s="58">
        <f>IF($H2621="","",IFERROR(MID($H2621&amp;" ",FIND("|",SUBSTITUTE($H2621&amp;" "," ","|",3))+1,FIND("|",SUBSTITUTE($H2621&amp;" "," ","|",4))-FIND("|",SUBSTITUTE($H2621&amp;" "," ","|",3))-1),""))</f>
        <v/>
      </c>
      <c r="F2621" s="59">
        <f>IF($H2621="","",IFERROR(VALUE(IFERROR(MID($H2621&amp;" ",FIND("|",SUBSTITUTE($H2621&amp;" "," ","|",4))+1,FIND("|",SUBSTITUTE($H2621&amp;" "," ","|",5))-FIND("|",SUBSTITUTE($H2621&amp;" "," ","|",4))-1),""))/86400+25569+9/24,""))</f>
        <v/>
      </c>
      <c r="G2621" s="58">
        <f>TRIM(SUBSTITUTE(SUBSTITUTE(SUBSTITUTE($A2621,CHAR(9)," ")," "," "),CHAR(13),""))</f>
        <v/>
      </c>
      <c r="H2621" s="58">
        <f>IF($G2621="","",IF(ISNUMBER(FIND(" ",$G2621)),$G2621,IFERROR(IF((LEN(SUBSTITUTE(SUBSTITUTE($G2621,"-"," ",LEN($G2621)-LEN(SUBSTITUTE($G2621,"-",""))),"-"," ",LEN($G2621)-LEN(SUBSTITUTE($G2621,"-",""))-1))-LEN(SUBSTITUTE(SUBSTITUTE(SUBSTITUTE($G2621,"-"," ",LEN($G2621)-LEN(SUBSTITUTE($G2621,"-",""))),"-"," ",LEN($G2621)-LEN(SUBSTITUTE($G2621,"-",""))-1),".","")))=0,SUBSTITUTE(SUBSTITUTE($G2621,"-"," ",LEN($G2621)-LEN(SUBSTITUTE($G2621,"-",""))),"-"," ",LEN($G2621)-LEN(SUBSTITUTE($G2621,"-",""))-1),SUBSTITUTE(SUBSTITUTE(SUBSTITUTE($G2621,"-"," ",LEN($G2621)-LEN(SUBSTITUTE($G2621,"-",""))),"-"," ",LEN($G2621)-LEN(SUBSTITUTE($G2621,"-",""))-1),"."," ",(LEN(SUBSTITUTE(SUBSTITUTE($G2621,"-"," ",LEN($G2621)-LEN(SUBSTITUTE($G2621,"-",""))),"-"," ",LEN($G2621)-LEN(SUBSTITUTE($G2621,"-",""))-1))-LEN(SUBSTITUTE(SUBSTITUTE(SUBSTITUTE($G2621,"-"," ",LEN($G2621)-LEN(SUBSTITUTE($G2621,"-",""))),"-"," ",LEN($G2621)-LEN(SUBSTITUTE($G2621,"-",""))-1),".",""))))),$G2621)))</f>
        <v/>
      </c>
    </row>
    <row r="2622">
      <c r="A2622" s="58" t="n"/>
      <c r="B2622" s="58">
        <f>IF($H2622="","",LEFT($H2622,FIND(" ",$H2622&amp;" ")-1))</f>
        <v/>
      </c>
      <c r="C2622" s="58">
        <f>IF($H2622="","",IFERROR(MID($H2622&amp;" ",FIND("|",SUBSTITUTE($H2622&amp;" "," ","|",1))+1,FIND("|",SUBSTITUTE($H2622&amp;" "," ","|",2))-FIND("|",SUBSTITUTE($H2622&amp;" "," ","|",1))-1),""))</f>
        <v/>
      </c>
      <c r="D2622" s="58">
        <f>IF($H2622="","",IFERROR(MID($H2622&amp;" ",FIND("|",SUBSTITUTE($H2622&amp;" "," ","|",2))+1,FIND("|",SUBSTITUTE($H2622&amp;" "," ","|",3))-FIND("|",SUBSTITUTE($H2622&amp;" "," ","|",2))-1),""))</f>
        <v/>
      </c>
      <c r="E2622" s="58">
        <f>IF($H2622="","",IFERROR(MID($H2622&amp;" ",FIND("|",SUBSTITUTE($H2622&amp;" "," ","|",3))+1,FIND("|",SUBSTITUTE($H2622&amp;" "," ","|",4))-FIND("|",SUBSTITUTE($H2622&amp;" "," ","|",3))-1),""))</f>
        <v/>
      </c>
      <c r="F2622" s="59">
        <f>IF($H2622="","",IFERROR(VALUE(IFERROR(MID($H2622&amp;" ",FIND("|",SUBSTITUTE($H2622&amp;" "," ","|",4))+1,FIND("|",SUBSTITUTE($H2622&amp;" "," ","|",5))-FIND("|",SUBSTITUTE($H2622&amp;" "," ","|",4))-1),""))/86400+25569+9/24,""))</f>
        <v/>
      </c>
      <c r="G2622" s="58">
        <f>TRIM(SUBSTITUTE(SUBSTITUTE(SUBSTITUTE($A2622,CHAR(9)," ")," "," "),CHAR(13),""))</f>
        <v/>
      </c>
      <c r="H2622" s="58">
        <f>IF($G2622="","",IF(ISNUMBER(FIND(" ",$G2622)),$G2622,IFERROR(IF((LEN(SUBSTITUTE(SUBSTITUTE($G2622,"-"," ",LEN($G2622)-LEN(SUBSTITUTE($G2622,"-",""))),"-"," ",LEN($G2622)-LEN(SUBSTITUTE($G2622,"-",""))-1))-LEN(SUBSTITUTE(SUBSTITUTE(SUBSTITUTE($G2622,"-"," ",LEN($G2622)-LEN(SUBSTITUTE($G2622,"-",""))),"-"," ",LEN($G2622)-LEN(SUBSTITUTE($G2622,"-",""))-1),".","")))=0,SUBSTITUTE(SUBSTITUTE($G2622,"-"," ",LEN($G2622)-LEN(SUBSTITUTE($G2622,"-",""))),"-"," ",LEN($G2622)-LEN(SUBSTITUTE($G2622,"-",""))-1),SUBSTITUTE(SUBSTITUTE(SUBSTITUTE($G2622,"-"," ",LEN($G2622)-LEN(SUBSTITUTE($G2622,"-",""))),"-"," ",LEN($G2622)-LEN(SUBSTITUTE($G2622,"-",""))-1),"."," ",(LEN(SUBSTITUTE(SUBSTITUTE($G2622,"-"," ",LEN($G2622)-LEN(SUBSTITUTE($G2622,"-",""))),"-"," ",LEN($G2622)-LEN(SUBSTITUTE($G2622,"-",""))-1))-LEN(SUBSTITUTE(SUBSTITUTE(SUBSTITUTE($G2622,"-"," ",LEN($G2622)-LEN(SUBSTITUTE($G2622,"-",""))),"-"," ",LEN($G2622)-LEN(SUBSTITUTE($G2622,"-",""))-1),".",""))))),$G2622)))</f>
        <v/>
      </c>
    </row>
    <row r="2623">
      <c r="A2623" s="58" t="n"/>
      <c r="B2623" s="58">
        <f>IF($H2623="","",LEFT($H2623,FIND(" ",$H2623&amp;" ")-1))</f>
        <v/>
      </c>
      <c r="C2623" s="58">
        <f>IF($H2623="","",IFERROR(MID($H2623&amp;" ",FIND("|",SUBSTITUTE($H2623&amp;" "," ","|",1))+1,FIND("|",SUBSTITUTE($H2623&amp;" "," ","|",2))-FIND("|",SUBSTITUTE($H2623&amp;" "," ","|",1))-1),""))</f>
        <v/>
      </c>
      <c r="D2623" s="58">
        <f>IF($H2623="","",IFERROR(MID($H2623&amp;" ",FIND("|",SUBSTITUTE($H2623&amp;" "," ","|",2))+1,FIND("|",SUBSTITUTE($H2623&amp;" "," ","|",3))-FIND("|",SUBSTITUTE($H2623&amp;" "," ","|",2))-1),""))</f>
        <v/>
      </c>
      <c r="E2623" s="58">
        <f>IF($H2623="","",IFERROR(MID($H2623&amp;" ",FIND("|",SUBSTITUTE($H2623&amp;" "," ","|",3))+1,FIND("|",SUBSTITUTE($H2623&amp;" "," ","|",4))-FIND("|",SUBSTITUTE($H2623&amp;" "," ","|",3))-1),""))</f>
        <v/>
      </c>
      <c r="F2623" s="59">
        <f>IF($H2623="","",IFERROR(VALUE(IFERROR(MID($H2623&amp;" ",FIND("|",SUBSTITUTE($H2623&amp;" "," ","|",4))+1,FIND("|",SUBSTITUTE($H2623&amp;" "," ","|",5))-FIND("|",SUBSTITUTE($H2623&amp;" "," ","|",4))-1),""))/86400+25569+9/24,""))</f>
        <v/>
      </c>
      <c r="G2623" s="58">
        <f>TRIM(SUBSTITUTE(SUBSTITUTE(SUBSTITUTE($A2623,CHAR(9)," ")," "," "),CHAR(13),""))</f>
        <v/>
      </c>
      <c r="H2623" s="58">
        <f>IF($G2623="","",IF(ISNUMBER(FIND(" ",$G2623)),$G2623,IFERROR(IF((LEN(SUBSTITUTE(SUBSTITUTE($G2623,"-"," ",LEN($G2623)-LEN(SUBSTITUTE($G2623,"-",""))),"-"," ",LEN($G2623)-LEN(SUBSTITUTE($G2623,"-",""))-1))-LEN(SUBSTITUTE(SUBSTITUTE(SUBSTITUTE($G2623,"-"," ",LEN($G2623)-LEN(SUBSTITUTE($G2623,"-",""))),"-"," ",LEN($G2623)-LEN(SUBSTITUTE($G2623,"-",""))-1),".","")))=0,SUBSTITUTE(SUBSTITUTE($G2623,"-"," ",LEN($G2623)-LEN(SUBSTITUTE($G2623,"-",""))),"-"," ",LEN($G2623)-LEN(SUBSTITUTE($G2623,"-",""))-1),SUBSTITUTE(SUBSTITUTE(SUBSTITUTE($G2623,"-"," ",LEN($G2623)-LEN(SUBSTITUTE($G2623,"-",""))),"-"," ",LEN($G2623)-LEN(SUBSTITUTE($G2623,"-",""))-1),"."," ",(LEN(SUBSTITUTE(SUBSTITUTE($G2623,"-"," ",LEN($G2623)-LEN(SUBSTITUTE($G2623,"-",""))),"-"," ",LEN($G2623)-LEN(SUBSTITUTE($G2623,"-",""))-1))-LEN(SUBSTITUTE(SUBSTITUTE(SUBSTITUTE($G2623,"-"," ",LEN($G2623)-LEN(SUBSTITUTE($G2623,"-",""))),"-"," ",LEN($G2623)-LEN(SUBSTITUTE($G2623,"-",""))-1),".",""))))),$G2623)))</f>
        <v/>
      </c>
    </row>
    <row r="2624">
      <c r="A2624" s="58" t="n"/>
      <c r="B2624" s="58">
        <f>IF($H2624="","",LEFT($H2624,FIND(" ",$H2624&amp;" ")-1))</f>
        <v/>
      </c>
      <c r="C2624" s="58">
        <f>IF($H2624="","",IFERROR(MID($H2624&amp;" ",FIND("|",SUBSTITUTE($H2624&amp;" "," ","|",1))+1,FIND("|",SUBSTITUTE($H2624&amp;" "," ","|",2))-FIND("|",SUBSTITUTE($H2624&amp;" "," ","|",1))-1),""))</f>
        <v/>
      </c>
      <c r="D2624" s="58">
        <f>IF($H2624="","",IFERROR(MID($H2624&amp;" ",FIND("|",SUBSTITUTE($H2624&amp;" "," ","|",2))+1,FIND("|",SUBSTITUTE($H2624&amp;" "," ","|",3))-FIND("|",SUBSTITUTE($H2624&amp;" "," ","|",2))-1),""))</f>
        <v/>
      </c>
      <c r="E2624" s="58">
        <f>IF($H2624="","",IFERROR(MID($H2624&amp;" ",FIND("|",SUBSTITUTE($H2624&amp;" "," ","|",3))+1,FIND("|",SUBSTITUTE($H2624&amp;" "," ","|",4))-FIND("|",SUBSTITUTE($H2624&amp;" "," ","|",3))-1),""))</f>
        <v/>
      </c>
      <c r="F2624" s="59">
        <f>IF($H2624="","",IFERROR(VALUE(IFERROR(MID($H2624&amp;" ",FIND("|",SUBSTITUTE($H2624&amp;" "," ","|",4))+1,FIND("|",SUBSTITUTE($H2624&amp;" "," ","|",5))-FIND("|",SUBSTITUTE($H2624&amp;" "," ","|",4))-1),""))/86400+25569+9/24,""))</f>
        <v/>
      </c>
      <c r="G2624" s="58">
        <f>TRIM(SUBSTITUTE(SUBSTITUTE(SUBSTITUTE($A2624,CHAR(9)," ")," "," "),CHAR(13),""))</f>
        <v/>
      </c>
      <c r="H2624" s="58">
        <f>IF($G2624="","",IF(ISNUMBER(FIND(" ",$G2624)),$G2624,IFERROR(IF((LEN(SUBSTITUTE(SUBSTITUTE($G2624,"-"," ",LEN($G2624)-LEN(SUBSTITUTE($G2624,"-",""))),"-"," ",LEN($G2624)-LEN(SUBSTITUTE($G2624,"-",""))-1))-LEN(SUBSTITUTE(SUBSTITUTE(SUBSTITUTE($G2624,"-"," ",LEN($G2624)-LEN(SUBSTITUTE($G2624,"-",""))),"-"," ",LEN($G2624)-LEN(SUBSTITUTE($G2624,"-",""))-1),".","")))=0,SUBSTITUTE(SUBSTITUTE($G2624,"-"," ",LEN($G2624)-LEN(SUBSTITUTE($G2624,"-",""))),"-"," ",LEN($G2624)-LEN(SUBSTITUTE($G2624,"-",""))-1),SUBSTITUTE(SUBSTITUTE(SUBSTITUTE($G2624,"-"," ",LEN($G2624)-LEN(SUBSTITUTE($G2624,"-",""))),"-"," ",LEN($G2624)-LEN(SUBSTITUTE($G2624,"-",""))-1),"."," ",(LEN(SUBSTITUTE(SUBSTITUTE($G2624,"-"," ",LEN($G2624)-LEN(SUBSTITUTE($G2624,"-",""))),"-"," ",LEN($G2624)-LEN(SUBSTITUTE($G2624,"-",""))-1))-LEN(SUBSTITUTE(SUBSTITUTE(SUBSTITUTE($G2624,"-"," ",LEN($G2624)-LEN(SUBSTITUTE($G2624,"-",""))),"-"," ",LEN($G2624)-LEN(SUBSTITUTE($G2624,"-",""))-1),".",""))))),$G2624)))</f>
        <v/>
      </c>
    </row>
    <row r="2625">
      <c r="A2625" s="58" t="n"/>
      <c r="B2625" s="58">
        <f>IF($H2625="","",LEFT($H2625,FIND(" ",$H2625&amp;" ")-1))</f>
        <v/>
      </c>
      <c r="C2625" s="58">
        <f>IF($H2625="","",IFERROR(MID($H2625&amp;" ",FIND("|",SUBSTITUTE($H2625&amp;" "," ","|",1))+1,FIND("|",SUBSTITUTE($H2625&amp;" "," ","|",2))-FIND("|",SUBSTITUTE($H2625&amp;" "," ","|",1))-1),""))</f>
        <v/>
      </c>
      <c r="D2625" s="58">
        <f>IF($H2625="","",IFERROR(MID($H2625&amp;" ",FIND("|",SUBSTITUTE($H2625&amp;" "," ","|",2))+1,FIND("|",SUBSTITUTE($H2625&amp;" "," ","|",3))-FIND("|",SUBSTITUTE($H2625&amp;" "," ","|",2))-1),""))</f>
        <v/>
      </c>
      <c r="E2625" s="58">
        <f>IF($H2625="","",IFERROR(MID($H2625&amp;" ",FIND("|",SUBSTITUTE($H2625&amp;" "," ","|",3))+1,FIND("|",SUBSTITUTE($H2625&amp;" "," ","|",4))-FIND("|",SUBSTITUTE($H2625&amp;" "," ","|",3))-1),""))</f>
        <v/>
      </c>
      <c r="F2625" s="59">
        <f>IF($H2625="","",IFERROR(VALUE(IFERROR(MID($H2625&amp;" ",FIND("|",SUBSTITUTE($H2625&amp;" "," ","|",4))+1,FIND("|",SUBSTITUTE($H2625&amp;" "," ","|",5))-FIND("|",SUBSTITUTE($H2625&amp;" "," ","|",4))-1),""))/86400+25569+9/24,""))</f>
        <v/>
      </c>
      <c r="G2625" s="58">
        <f>TRIM(SUBSTITUTE(SUBSTITUTE(SUBSTITUTE($A2625,CHAR(9)," ")," "," "),CHAR(13),""))</f>
        <v/>
      </c>
      <c r="H2625" s="58">
        <f>IF($G2625="","",IF(ISNUMBER(FIND(" ",$G2625)),$G2625,IFERROR(IF((LEN(SUBSTITUTE(SUBSTITUTE($G2625,"-"," ",LEN($G2625)-LEN(SUBSTITUTE($G2625,"-",""))),"-"," ",LEN($G2625)-LEN(SUBSTITUTE($G2625,"-",""))-1))-LEN(SUBSTITUTE(SUBSTITUTE(SUBSTITUTE($G2625,"-"," ",LEN($G2625)-LEN(SUBSTITUTE($G2625,"-",""))),"-"," ",LEN($G2625)-LEN(SUBSTITUTE($G2625,"-",""))-1),".","")))=0,SUBSTITUTE(SUBSTITUTE($G2625,"-"," ",LEN($G2625)-LEN(SUBSTITUTE($G2625,"-",""))),"-"," ",LEN($G2625)-LEN(SUBSTITUTE($G2625,"-",""))-1),SUBSTITUTE(SUBSTITUTE(SUBSTITUTE($G2625,"-"," ",LEN($G2625)-LEN(SUBSTITUTE($G2625,"-",""))),"-"," ",LEN($G2625)-LEN(SUBSTITUTE($G2625,"-",""))-1),"."," ",(LEN(SUBSTITUTE(SUBSTITUTE($G2625,"-"," ",LEN($G2625)-LEN(SUBSTITUTE($G2625,"-",""))),"-"," ",LEN($G2625)-LEN(SUBSTITUTE($G2625,"-",""))-1))-LEN(SUBSTITUTE(SUBSTITUTE(SUBSTITUTE($G2625,"-"," ",LEN($G2625)-LEN(SUBSTITUTE($G2625,"-",""))),"-"," ",LEN($G2625)-LEN(SUBSTITUTE($G2625,"-",""))-1),".",""))))),$G2625)))</f>
        <v/>
      </c>
    </row>
    <row r="2626">
      <c r="A2626" s="58" t="n"/>
      <c r="B2626" s="58">
        <f>IF($H2626="","",LEFT($H2626,FIND(" ",$H2626&amp;" ")-1))</f>
        <v/>
      </c>
      <c r="C2626" s="58">
        <f>IF($H2626="","",IFERROR(MID($H2626&amp;" ",FIND("|",SUBSTITUTE($H2626&amp;" "," ","|",1))+1,FIND("|",SUBSTITUTE($H2626&amp;" "," ","|",2))-FIND("|",SUBSTITUTE($H2626&amp;" "," ","|",1))-1),""))</f>
        <v/>
      </c>
      <c r="D2626" s="58">
        <f>IF($H2626="","",IFERROR(MID($H2626&amp;" ",FIND("|",SUBSTITUTE($H2626&amp;" "," ","|",2))+1,FIND("|",SUBSTITUTE($H2626&amp;" "," ","|",3))-FIND("|",SUBSTITUTE($H2626&amp;" "," ","|",2))-1),""))</f>
        <v/>
      </c>
      <c r="E2626" s="58">
        <f>IF($H2626="","",IFERROR(MID($H2626&amp;" ",FIND("|",SUBSTITUTE($H2626&amp;" "," ","|",3))+1,FIND("|",SUBSTITUTE($H2626&amp;" "," ","|",4))-FIND("|",SUBSTITUTE($H2626&amp;" "," ","|",3))-1),""))</f>
        <v/>
      </c>
      <c r="F2626" s="59">
        <f>IF($H2626="","",IFERROR(VALUE(IFERROR(MID($H2626&amp;" ",FIND("|",SUBSTITUTE($H2626&amp;" "," ","|",4))+1,FIND("|",SUBSTITUTE($H2626&amp;" "," ","|",5))-FIND("|",SUBSTITUTE($H2626&amp;" "," ","|",4))-1),""))/86400+25569+9/24,""))</f>
        <v/>
      </c>
      <c r="G2626" s="58">
        <f>TRIM(SUBSTITUTE(SUBSTITUTE(SUBSTITUTE($A2626,CHAR(9)," ")," "," "),CHAR(13),""))</f>
        <v/>
      </c>
      <c r="H2626" s="58">
        <f>IF($G2626="","",IF(ISNUMBER(FIND(" ",$G2626)),$G2626,IFERROR(IF((LEN(SUBSTITUTE(SUBSTITUTE($G2626,"-"," ",LEN($G2626)-LEN(SUBSTITUTE($G2626,"-",""))),"-"," ",LEN($G2626)-LEN(SUBSTITUTE($G2626,"-",""))-1))-LEN(SUBSTITUTE(SUBSTITUTE(SUBSTITUTE($G2626,"-"," ",LEN($G2626)-LEN(SUBSTITUTE($G2626,"-",""))),"-"," ",LEN($G2626)-LEN(SUBSTITUTE($G2626,"-",""))-1),".","")))=0,SUBSTITUTE(SUBSTITUTE($G2626,"-"," ",LEN($G2626)-LEN(SUBSTITUTE($G2626,"-",""))),"-"," ",LEN($G2626)-LEN(SUBSTITUTE($G2626,"-",""))-1),SUBSTITUTE(SUBSTITUTE(SUBSTITUTE($G2626,"-"," ",LEN($G2626)-LEN(SUBSTITUTE($G2626,"-",""))),"-"," ",LEN($G2626)-LEN(SUBSTITUTE($G2626,"-",""))-1),"."," ",(LEN(SUBSTITUTE(SUBSTITUTE($G2626,"-"," ",LEN($G2626)-LEN(SUBSTITUTE($G2626,"-",""))),"-"," ",LEN($G2626)-LEN(SUBSTITUTE($G2626,"-",""))-1))-LEN(SUBSTITUTE(SUBSTITUTE(SUBSTITUTE($G2626,"-"," ",LEN($G2626)-LEN(SUBSTITUTE($G2626,"-",""))),"-"," ",LEN($G2626)-LEN(SUBSTITUTE($G2626,"-",""))-1),".",""))))),$G2626)))</f>
        <v/>
      </c>
    </row>
    <row r="2627">
      <c r="A2627" s="58" t="n"/>
      <c r="B2627" s="58">
        <f>IF($H2627="","",LEFT($H2627,FIND(" ",$H2627&amp;" ")-1))</f>
        <v/>
      </c>
      <c r="C2627" s="58">
        <f>IF($H2627="","",IFERROR(MID($H2627&amp;" ",FIND("|",SUBSTITUTE($H2627&amp;" "," ","|",1))+1,FIND("|",SUBSTITUTE($H2627&amp;" "," ","|",2))-FIND("|",SUBSTITUTE($H2627&amp;" "," ","|",1))-1),""))</f>
        <v/>
      </c>
      <c r="D2627" s="58">
        <f>IF($H2627="","",IFERROR(MID($H2627&amp;" ",FIND("|",SUBSTITUTE($H2627&amp;" "," ","|",2))+1,FIND("|",SUBSTITUTE($H2627&amp;" "," ","|",3))-FIND("|",SUBSTITUTE($H2627&amp;" "," ","|",2))-1),""))</f>
        <v/>
      </c>
      <c r="E2627" s="58">
        <f>IF($H2627="","",IFERROR(MID($H2627&amp;" ",FIND("|",SUBSTITUTE($H2627&amp;" "," ","|",3))+1,FIND("|",SUBSTITUTE($H2627&amp;" "," ","|",4))-FIND("|",SUBSTITUTE($H2627&amp;" "," ","|",3))-1),""))</f>
        <v/>
      </c>
      <c r="F2627" s="59">
        <f>IF($H2627="","",IFERROR(VALUE(IFERROR(MID($H2627&amp;" ",FIND("|",SUBSTITUTE($H2627&amp;" "," ","|",4))+1,FIND("|",SUBSTITUTE($H2627&amp;" "," ","|",5))-FIND("|",SUBSTITUTE($H2627&amp;" "," ","|",4))-1),""))/86400+25569+9/24,""))</f>
        <v/>
      </c>
      <c r="G2627" s="58">
        <f>TRIM(SUBSTITUTE(SUBSTITUTE(SUBSTITUTE($A2627,CHAR(9)," ")," "," "),CHAR(13),""))</f>
        <v/>
      </c>
      <c r="H2627" s="58">
        <f>IF($G2627="","",IF(ISNUMBER(FIND(" ",$G2627)),$G2627,IFERROR(IF((LEN(SUBSTITUTE(SUBSTITUTE($G2627,"-"," ",LEN($G2627)-LEN(SUBSTITUTE($G2627,"-",""))),"-"," ",LEN($G2627)-LEN(SUBSTITUTE($G2627,"-",""))-1))-LEN(SUBSTITUTE(SUBSTITUTE(SUBSTITUTE($G2627,"-"," ",LEN($G2627)-LEN(SUBSTITUTE($G2627,"-",""))),"-"," ",LEN($G2627)-LEN(SUBSTITUTE($G2627,"-",""))-1),".","")))=0,SUBSTITUTE(SUBSTITUTE($G2627,"-"," ",LEN($G2627)-LEN(SUBSTITUTE($G2627,"-",""))),"-"," ",LEN($G2627)-LEN(SUBSTITUTE($G2627,"-",""))-1),SUBSTITUTE(SUBSTITUTE(SUBSTITUTE($G2627,"-"," ",LEN($G2627)-LEN(SUBSTITUTE($G2627,"-",""))),"-"," ",LEN($G2627)-LEN(SUBSTITUTE($G2627,"-",""))-1),"."," ",(LEN(SUBSTITUTE(SUBSTITUTE($G2627,"-"," ",LEN($G2627)-LEN(SUBSTITUTE($G2627,"-",""))),"-"," ",LEN($G2627)-LEN(SUBSTITUTE($G2627,"-",""))-1))-LEN(SUBSTITUTE(SUBSTITUTE(SUBSTITUTE($G2627,"-"," ",LEN($G2627)-LEN(SUBSTITUTE($G2627,"-",""))),"-"," ",LEN($G2627)-LEN(SUBSTITUTE($G2627,"-",""))-1),".",""))))),$G2627)))</f>
        <v/>
      </c>
    </row>
    <row r="2628">
      <c r="A2628" s="58" t="n"/>
      <c r="B2628" s="58">
        <f>IF($H2628="","",LEFT($H2628,FIND(" ",$H2628&amp;" ")-1))</f>
        <v/>
      </c>
      <c r="C2628" s="58">
        <f>IF($H2628="","",IFERROR(MID($H2628&amp;" ",FIND("|",SUBSTITUTE($H2628&amp;" "," ","|",1))+1,FIND("|",SUBSTITUTE($H2628&amp;" "," ","|",2))-FIND("|",SUBSTITUTE($H2628&amp;" "," ","|",1))-1),""))</f>
        <v/>
      </c>
      <c r="D2628" s="58">
        <f>IF($H2628="","",IFERROR(MID($H2628&amp;" ",FIND("|",SUBSTITUTE($H2628&amp;" "," ","|",2))+1,FIND("|",SUBSTITUTE($H2628&amp;" "," ","|",3))-FIND("|",SUBSTITUTE($H2628&amp;" "," ","|",2))-1),""))</f>
        <v/>
      </c>
      <c r="E2628" s="58">
        <f>IF($H2628="","",IFERROR(MID($H2628&amp;" ",FIND("|",SUBSTITUTE($H2628&amp;" "," ","|",3))+1,FIND("|",SUBSTITUTE($H2628&amp;" "," ","|",4))-FIND("|",SUBSTITUTE($H2628&amp;" "," ","|",3))-1),""))</f>
        <v/>
      </c>
      <c r="F2628" s="59">
        <f>IF($H2628="","",IFERROR(VALUE(IFERROR(MID($H2628&amp;" ",FIND("|",SUBSTITUTE($H2628&amp;" "," ","|",4))+1,FIND("|",SUBSTITUTE($H2628&amp;" "," ","|",5))-FIND("|",SUBSTITUTE($H2628&amp;" "," ","|",4))-1),""))/86400+25569+9/24,""))</f>
        <v/>
      </c>
      <c r="G2628" s="58">
        <f>TRIM(SUBSTITUTE(SUBSTITUTE(SUBSTITUTE($A2628,CHAR(9)," ")," "," "),CHAR(13),""))</f>
        <v/>
      </c>
      <c r="H2628" s="58">
        <f>IF($G2628="","",IF(ISNUMBER(FIND(" ",$G2628)),$G2628,IFERROR(IF((LEN(SUBSTITUTE(SUBSTITUTE($G2628,"-"," ",LEN($G2628)-LEN(SUBSTITUTE($G2628,"-",""))),"-"," ",LEN($G2628)-LEN(SUBSTITUTE($G2628,"-",""))-1))-LEN(SUBSTITUTE(SUBSTITUTE(SUBSTITUTE($G2628,"-"," ",LEN($G2628)-LEN(SUBSTITUTE($G2628,"-",""))),"-"," ",LEN($G2628)-LEN(SUBSTITUTE($G2628,"-",""))-1),".","")))=0,SUBSTITUTE(SUBSTITUTE($G2628,"-"," ",LEN($G2628)-LEN(SUBSTITUTE($G2628,"-",""))),"-"," ",LEN($G2628)-LEN(SUBSTITUTE($G2628,"-",""))-1),SUBSTITUTE(SUBSTITUTE(SUBSTITUTE($G2628,"-"," ",LEN($G2628)-LEN(SUBSTITUTE($G2628,"-",""))),"-"," ",LEN($G2628)-LEN(SUBSTITUTE($G2628,"-",""))-1),"."," ",(LEN(SUBSTITUTE(SUBSTITUTE($G2628,"-"," ",LEN($G2628)-LEN(SUBSTITUTE($G2628,"-",""))),"-"," ",LEN($G2628)-LEN(SUBSTITUTE($G2628,"-",""))-1))-LEN(SUBSTITUTE(SUBSTITUTE(SUBSTITUTE($G2628,"-"," ",LEN($G2628)-LEN(SUBSTITUTE($G2628,"-",""))),"-"," ",LEN($G2628)-LEN(SUBSTITUTE($G2628,"-",""))-1),".",""))))),$G2628)))</f>
        <v/>
      </c>
    </row>
    <row r="2629">
      <c r="A2629" s="58" t="n"/>
      <c r="B2629" s="58">
        <f>IF($H2629="","",LEFT($H2629,FIND(" ",$H2629&amp;" ")-1))</f>
        <v/>
      </c>
      <c r="C2629" s="58">
        <f>IF($H2629="","",IFERROR(MID($H2629&amp;" ",FIND("|",SUBSTITUTE($H2629&amp;" "," ","|",1))+1,FIND("|",SUBSTITUTE($H2629&amp;" "," ","|",2))-FIND("|",SUBSTITUTE($H2629&amp;" "," ","|",1))-1),""))</f>
        <v/>
      </c>
      <c r="D2629" s="58">
        <f>IF($H2629="","",IFERROR(MID($H2629&amp;" ",FIND("|",SUBSTITUTE($H2629&amp;" "," ","|",2))+1,FIND("|",SUBSTITUTE($H2629&amp;" "," ","|",3))-FIND("|",SUBSTITUTE($H2629&amp;" "," ","|",2))-1),""))</f>
        <v/>
      </c>
      <c r="E2629" s="58">
        <f>IF($H2629="","",IFERROR(MID($H2629&amp;" ",FIND("|",SUBSTITUTE($H2629&amp;" "," ","|",3))+1,FIND("|",SUBSTITUTE($H2629&amp;" "," ","|",4))-FIND("|",SUBSTITUTE($H2629&amp;" "," ","|",3))-1),""))</f>
        <v/>
      </c>
      <c r="F2629" s="59">
        <f>IF($H2629="","",IFERROR(VALUE(IFERROR(MID($H2629&amp;" ",FIND("|",SUBSTITUTE($H2629&amp;" "," ","|",4))+1,FIND("|",SUBSTITUTE($H2629&amp;" "," ","|",5))-FIND("|",SUBSTITUTE($H2629&amp;" "," ","|",4))-1),""))/86400+25569+9/24,""))</f>
        <v/>
      </c>
      <c r="G2629" s="58">
        <f>TRIM(SUBSTITUTE(SUBSTITUTE(SUBSTITUTE($A2629,CHAR(9)," ")," "," "),CHAR(13),""))</f>
        <v/>
      </c>
      <c r="H2629" s="58">
        <f>IF($G2629="","",IF(ISNUMBER(FIND(" ",$G2629)),$G2629,IFERROR(IF((LEN(SUBSTITUTE(SUBSTITUTE($G2629,"-"," ",LEN($G2629)-LEN(SUBSTITUTE($G2629,"-",""))),"-"," ",LEN($G2629)-LEN(SUBSTITUTE($G2629,"-",""))-1))-LEN(SUBSTITUTE(SUBSTITUTE(SUBSTITUTE($G2629,"-"," ",LEN($G2629)-LEN(SUBSTITUTE($G2629,"-",""))),"-"," ",LEN($G2629)-LEN(SUBSTITUTE($G2629,"-",""))-1),".","")))=0,SUBSTITUTE(SUBSTITUTE($G2629,"-"," ",LEN($G2629)-LEN(SUBSTITUTE($G2629,"-",""))),"-"," ",LEN($G2629)-LEN(SUBSTITUTE($G2629,"-",""))-1),SUBSTITUTE(SUBSTITUTE(SUBSTITUTE($G2629,"-"," ",LEN($G2629)-LEN(SUBSTITUTE($G2629,"-",""))),"-"," ",LEN($G2629)-LEN(SUBSTITUTE($G2629,"-",""))-1),"."," ",(LEN(SUBSTITUTE(SUBSTITUTE($G2629,"-"," ",LEN($G2629)-LEN(SUBSTITUTE($G2629,"-",""))),"-"," ",LEN($G2629)-LEN(SUBSTITUTE($G2629,"-",""))-1))-LEN(SUBSTITUTE(SUBSTITUTE(SUBSTITUTE($G2629,"-"," ",LEN($G2629)-LEN(SUBSTITUTE($G2629,"-",""))),"-"," ",LEN($G2629)-LEN(SUBSTITUTE($G2629,"-",""))-1),".",""))))),$G2629)))</f>
        <v/>
      </c>
    </row>
    <row r="2630">
      <c r="A2630" s="58" t="n"/>
      <c r="B2630" s="58">
        <f>IF($H2630="","",LEFT($H2630,FIND(" ",$H2630&amp;" ")-1))</f>
        <v/>
      </c>
      <c r="C2630" s="58">
        <f>IF($H2630="","",IFERROR(MID($H2630&amp;" ",FIND("|",SUBSTITUTE($H2630&amp;" "," ","|",1))+1,FIND("|",SUBSTITUTE($H2630&amp;" "," ","|",2))-FIND("|",SUBSTITUTE($H2630&amp;" "," ","|",1))-1),""))</f>
        <v/>
      </c>
      <c r="D2630" s="58">
        <f>IF($H2630="","",IFERROR(MID($H2630&amp;" ",FIND("|",SUBSTITUTE($H2630&amp;" "," ","|",2))+1,FIND("|",SUBSTITUTE($H2630&amp;" "," ","|",3))-FIND("|",SUBSTITUTE($H2630&amp;" "," ","|",2))-1),""))</f>
        <v/>
      </c>
      <c r="E2630" s="58">
        <f>IF($H2630="","",IFERROR(MID($H2630&amp;" ",FIND("|",SUBSTITUTE($H2630&amp;" "," ","|",3))+1,FIND("|",SUBSTITUTE($H2630&amp;" "," ","|",4))-FIND("|",SUBSTITUTE($H2630&amp;" "," ","|",3))-1),""))</f>
        <v/>
      </c>
      <c r="F2630" s="59">
        <f>IF($H2630="","",IFERROR(VALUE(IFERROR(MID($H2630&amp;" ",FIND("|",SUBSTITUTE($H2630&amp;" "," ","|",4))+1,FIND("|",SUBSTITUTE($H2630&amp;" "," ","|",5))-FIND("|",SUBSTITUTE($H2630&amp;" "," ","|",4))-1),""))/86400+25569+9/24,""))</f>
        <v/>
      </c>
      <c r="G2630" s="58">
        <f>TRIM(SUBSTITUTE(SUBSTITUTE(SUBSTITUTE($A2630,CHAR(9)," ")," "," "),CHAR(13),""))</f>
        <v/>
      </c>
      <c r="H2630" s="58">
        <f>IF($G2630="","",IF(ISNUMBER(FIND(" ",$G2630)),$G2630,IFERROR(IF((LEN(SUBSTITUTE(SUBSTITUTE($G2630,"-"," ",LEN($G2630)-LEN(SUBSTITUTE($G2630,"-",""))),"-"," ",LEN($G2630)-LEN(SUBSTITUTE($G2630,"-",""))-1))-LEN(SUBSTITUTE(SUBSTITUTE(SUBSTITUTE($G2630,"-"," ",LEN($G2630)-LEN(SUBSTITUTE($G2630,"-",""))),"-"," ",LEN($G2630)-LEN(SUBSTITUTE($G2630,"-",""))-1),".","")))=0,SUBSTITUTE(SUBSTITUTE($G2630,"-"," ",LEN($G2630)-LEN(SUBSTITUTE($G2630,"-",""))),"-"," ",LEN($G2630)-LEN(SUBSTITUTE($G2630,"-",""))-1),SUBSTITUTE(SUBSTITUTE(SUBSTITUTE($G2630,"-"," ",LEN($G2630)-LEN(SUBSTITUTE($G2630,"-",""))),"-"," ",LEN($G2630)-LEN(SUBSTITUTE($G2630,"-",""))-1),"."," ",(LEN(SUBSTITUTE(SUBSTITUTE($G2630,"-"," ",LEN($G2630)-LEN(SUBSTITUTE($G2630,"-",""))),"-"," ",LEN($G2630)-LEN(SUBSTITUTE($G2630,"-",""))-1))-LEN(SUBSTITUTE(SUBSTITUTE(SUBSTITUTE($G2630,"-"," ",LEN($G2630)-LEN(SUBSTITUTE($G2630,"-",""))),"-"," ",LEN($G2630)-LEN(SUBSTITUTE($G2630,"-",""))-1),".",""))))),$G2630)))</f>
        <v/>
      </c>
    </row>
    <row r="2631">
      <c r="A2631" s="58" t="n"/>
      <c r="B2631" s="58">
        <f>IF($H2631="","",LEFT($H2631,FIND(" ",$H2631&amp;" ")-1))</f>
        <v/>
      </c>
      <c r="C2631" s="58">
        <f>IF($H2631="","",IFERROR(MID($H2631&amp;" ",FIND("|",SUBSTITUTE($H2631&amp;" "," ","|",1))+1,FIND("|",SUBSTITUTE($H2631&amp;" "," ","|",2))-FIND("|",SUBSTITUTE($H2631&amp;" "," ","|",1))-1),""))</f>
        <v/>
      </c>
      <c r="D2631" s="58">
        <f>IF($H2631="","",IFERROR(MID($H2631&amp;" ",FIND("|",SUBSTITUTE($H2631&amp;" "," ","|",2))+1,FIND("|",SUBSTITUTE($H2631&amp;" "," ","|",3))-FIND("|",SUBSTITUTE($H2631&amp;" "," ","|",2))-1),""))</f>
        <v/>
      </c>
      <c r="E2631" s="58">
        <f>IF($H2631="","",IFERROR(MID($H2631&amp;" ",FIND("|",SUBSTITUTE($H2631&amp;" "," ","|",3))+1,FIND("|",SUBSTITUTE($H2631&amp;" "," ","|",4))-FIND("|",SUBSTITUTE($H2631&amp;" "," ","|",3))-1),""))</f>
        <v/>
      </c>
      <c r="F2631" s="59">
        <f>IF($H2631="","",IFERROR(VALUE(IFERROR(MID($H2631&amp;" ",FIND("|",SUBSTITUTE($H2631&amp;" "," ","|",4))+1,FIND("|",SUBSTITUTE($H2631&amp;" "," ","|",5))-FIND("|",SUBSTITUTE($H2631&amp;" "," ","|",4))-1),""))/86400+25569+9/24,""))</f>
        <v/>
      </c>
      <c r="G2631" s="58">
        <f>TRIM(SUBSTITUTE(SUBSTITUTE(SUBSTITUTE($A2631,CHAR(9)," ")," "," "),CHAR(13),""))</f>
        <v/>
      </c>
      <c r="H2631" s="58">
        <f>IF($G2631="","",IF(ISNUMBER(FIND(" ",$G2631)),$G2631,IFERROR(IF((LEN(SUBSTITUTE(SUBSTITUTE($G2631,"-"," ",LEN($G2631)-LEN(SUBSTITUTE($G2631,"-",""))),"-"," ",LEN($G2631)-LEN(SUBSTITUTE($G2631,"-",""))-1))-LEN(SUBSTITUTE(SUBSTITUTE(SUBSTITUTE($G2631,"-"," ",LEN($G2631)-LEN(SUBSTITUTE($G2631,"-",""))),"-"," ",LEN($G2631)-LEN(SUBSTITUTE($G2631,"-",""))-1),".","")))=0,SUBSTITUTE(SUBSTITUTE($G2631,"-"," ",LEN($G2631)-LEN(SUBSTITUTE($G2631,"-",""))),"-"," ",LEN($G2631)-LEN(SUBSTITUTE($G2631,"-",""))-1),SUBSTITUTE(SUBSTITUTE(SUBSTITUTE($G2631,"-"," ",LEN($G2631)-LEN(SUBSTITUTE($G2631,"-",""))),"-"," ",LEN($G2631)-LEN(SUBSTITUTE($G2631,"-",""))-1),"."," ",(LEN(SUBSTITUTE(SUBSTITUTE($G2631,"-"," ",LEN($G2631)-LEN(SUBSTITUTE($G2631,"-",""))),"-"," ",LEN($G2631)-LEN(SUBSTITUTE($G2631,"-",""))-1))-LEN(SUBSTITUTE(SUBSTITUTE(SUBSTITUTE($G2631,"-"," ",LEN($G2631)-LEN(SUBSTITUTE($G2631,"-",""))),"-"," ",LEN($G2631)-LEN(SUBSTITUTE($G2631,"-",""))-1),".",""))))),$G2631)))</f>
        <v/>
      </c>
    </row>
    <row r="2632">
      <c r="A2632" s="58" t="n"/>
      <c r="B2632" s="58">
        <f>IF($H2632="","",LEFT($H2632,FIND(" ",$H2632&amp;" ")-1))</f>
        <v/>
      </c>
      <c r="C2632" s="58">
        <f>IF($H2632="","",IFERROR(MID($H2632&amp;" ",FIND("|",SUBSTITUTE($H2632&amp;" "," ","|",1))+1,FIND("|",SUBSTITUTE($H2632&amp;" "," ","|",2))-FIND("|",SUBSTITUTE($H2632&amp;" "," ","|",1))-1),""))</f>
        <v/>
      </c>
      <c r="D2632" s="58">
        <f>IF($H2632="","",IFERROR(MID($H2632&amp;" ",FIND("|",SUBSTITUTE($H2632&amp;" "," ","|",2))+1,FIND("|",SUBSTITUTE($H2632&amp;" "," ","|",3))-FIND("|",SUBSTITUTE($H2632&amp;" "," ","|",2))-1),""))</f>
        <v/>
      </c>
      <c r="E2632" s="58">
        <f>IF($H2632="","",IFERROR(MID($H2632&amp;" ",FIND("|",SUBSTITUTE($H2632&amp;" "," ","|",3))+1,FIND("|",SUBSTITUTE($H2632&amp;" "," ","|",4))-FIND("|",SUBSTITUTE($H2632&amp;" "," ","|",3))-1),""))</f>
        <v/>
      </c>
      <c r="F2632" s="59">
        <f>IF($H2632="","",IFERROR(VALUE(IFERROR(MID($H2632&amp;" ",FIND("|",SUBSTITUTE($H2632&amp;" "," ","|",4))+1,FIND("|",SUBSTITUTE($H2632&amp;" "," ","|",5))-FIND("|",SUBSTITUTE($H2632&amp;" "," ","|",4))-1),""))/86400+25569+9/24,""))</f>
        <v/>
      </c>
      <c r="G2632" s="58">
        <f>TRIM(SUBSTITUTE(SUBSTITUTE(SUBSTITUTE($A2632,CHAR(9)," ")," "," "),CHAR(13),""))</f>
        <v/>
      </c>
      <c r="H2632" s="58">
        <f>IF($G2632="","",IF(ISNUMBER(FIND(" ",$G2632)),$G2632,IFERROR(IF((LEN(SUBSTITUTE(SUBSTITUTE($G2632,"-"," ",LEN($G2632)-LEN(SUBSTITUTE($G2632,"-",""))),"-"," ",LEN($G2632)-LEN(SUBSTITUTE($G2632,"-",""))-1))-LEN(SUBSTITUTE(SUBSTITUTE(SUBSTITUTE($G2632,"-"," ",LEN($G2632)-LEN(SUBSTITUTE($G2632,"-",""))),"-"," ",LEN($G2632)-LEN(SUBSTITUTE($G2632,"-",""))-1),".","")))=0,SUBSTITUTE(SUBSTITUTE($G2632,"-"," ",LEN($G2632)-LEN(SUBSTITUTE($G2632,"-",""))),"-"," ",LEN($G2632)-LEN(SUBSTITUTE($G2632,"-",""))-1),SUBSTITUTE(SUBSTITUTE(SUBSTITUTE($G2632,"-"," ",LEN($G2632)-LEN(SUBSTITUTE($G2632,"-",""))),"-"," ",LEN($G2632)-LEN(SUBSTITUTE($G2632,"-",""))-1),"."," ",(LEN(SUBSTITUTE(SUBSTITUTE($G2632,"-"," ",LEN($G2632)-LEN(SUBSTITUTE($G2632,"-",""))),"-"," ",LEN($G2632)-LEN(SUBSTITUTE($G2632,"-",""))-1))-LEN(SUBSTITUTE(SUBSTITUTE(SUBSTITUTE($G2632,"-"," ",LEN($G2632)-LEN(SUBSTITUTE($G2632,"-",""))),"-"," ",LEN($G2632)-LEN(SUBSTITUTE($G2632,"-",""))-1),".",""))))),$G2632)))</f>
        <v/>
      </c>
    </row>
    <row r="2633">
      <c r="A2633" s="58" t="n"/>
      <c r="B2633" s="58">
        <f>IF($H2633="","",LEFT($H2633,FIND(" ",$H2633&amp;" ")-1))</f>
        <v/>
      </c>
      <c r="C2633" s="58">
        <f>IF($H2633="","",IFERROR(MID($H2633&amp;" ",FIND("|",SUBSTITUTE($H2633&amp;" "," ","|",1))+1,FIND("|",SUBSTITUTE($H2633&amp;" "," ","|",2))-FIND("|",SUBSTITUTE($H2633&amp;" "," ","|",1))-1),""))</f>
        <v/>
      </c>
      <c r="D2633" s="58">
        <f>IF($H2633="","",IFERROR(MID($H2633&amp;" ",FIND("|",SUBSTITUTE($H2633&amp;" "," ","|",2))+1,FIND("|",SUBSTITUTE($H2633&amp;" "," ","|",3))-FIND("|",SUBSTITUTE($H2633&amp;" "," ","|",2))-1),""))</f>
        <v/>
      </c>
      <c r="E2633" s="58">
        <f>IF($H2633="","",IFERROR(MID($H2633&amp;" ",FIND("|",SUBSTITUTE($H2633&amp;" "," ","|",3))+1,FIND("|",SUBSTITUTE($H2633&amp;" "," ","|",4))-FIND("|",SUBSTITUTE($H2633&amp;" "," ","|",3))-1),""))</f>
        <v/>
      </c>
      <c r="F2633" s="59">
        <f>IF($H2633="","",IFERROR(VALUE(IFERROR(MID($H2633&amp;" ",FIND("|",SUBSTITUTE($H2633&amp;" "," ","|",4))+1,FIND("|",SUBSTITUTE($H2633&amp;" "," ","|",5))-FIND("|",SUBSTITUTE($H2633&amp;" "," ","|",4))-1),""))/86400+25569+9/24,""))</f>
        <v/>
      </c>
      <c r="G2633" s="58">
        <f>TRIM(SUBSTITUTE(SUBSTITUTE(SUBSTITUTE($A2633,CHAR(9)," ")," "," "),CHAR(13),""))</f>
        <v/>
      </c>
      <c r="H2633" s="58">
        <f>IF($G2633="","",IF(ISNUMBER(FIND(" ",$G2633)),$G2633,IFERROR(IF((LEN(SUBSTITUTE(SUBSTITUTE($G2633,"-"," ",LEN($G2633)-LEN(SUBSTITUTE($G2633,"-",""))),"-"," ",LEN($G2633)-LEN(SUBSTITUTE($G2633,"-",""))-1))-LEN(SUBSTITUTE(SUBSTITUTE(SUBSTITUTE($G2633,"-"," ",LEN($G2633)-LEN(SUBSTITUTE($G2633,"-",""))),"-"," ",LEN($G2633)-LEN(SUBSTITUTE($G2633,"-",""))-1),".","")))=0,SUBSTITUTE(SUBSTITUTE($G2633,"-"," ",LEN($G2633)-LEN(SUBSTITUTE($G2633,"-",""))),"-"," ",LEN($G2633)-LEN(SUBSTITUTE($G2633,"-",""))-1),SUBSTITUTE(SUBSTITUTE(SUBSTITUTE($G2633,"-"," ",LEN($G2633)-LEN(SUBSTITUTE($G2633,"-",""))),"-"," ",LEN($G2633)-LEN(SUBSTITUTE($G2633,"-",""))-1),"."," ",(LEN(SUBSTITUTE(SUBSTITUTE($G2633,"-"," ",LEN($G2633)-LEN(SUBSTITUTE($G2633,"-",""))),"-"," ",LEN($G2633)-LEN(SUBSTITUTE($G2633,"-",""))-1))-LEN(SUBSTITUTE(SUBSTITUTE(SUBSTITUTE($G2633,"-"," ",LEN($G2633)-LEN(SUBSTITUTE($G2633,"-",""))),"-"," ",LEN($G2633)-LEN(SUBSTITUTE($G2633,"-",""))-1),".",""))))),$G2633)))</f>
        <v/>
      </c>
    </row>
    <row r="2634">
      <c r="A2634" s="58" t="n"/>
      <c r="B2634" s="58">
        <f>IF($H2634="","",LEFT($H2634,FIND(" ",$H2634&amp;" ")-1))</f>
        <v/>
      </c>
      <c r="C2634" s="58">
        <f>IF($H2634="","",IFERROR(MID($H2634&amp;" ",FIND("|",SUBSTITUTE($H2634&amp;" "," ","|",1))+1,FIND("|",SUBSTITUTE($H2634&amp;" "," ","|",2))-FIND("|",SUBSTITUTE($H2634&amp;" "," ","|",1))-1),""))</f>
        <v/>
      </c>
      <c r="D2634" s="58">
        <f>IF($H2634="","",IFERROR(MID($H2634&amp;" ",FIND("|",SUBSTITUTE($H2634&amp;" "," ","|",2))+1,FIND("|",SUBSTITUTE($H2634&amp;" "," ","|",3))-FIND("|",SUBSTITUTE($H2634&amp;" "," ","|",2))-1),""))</f>
        <v/>
      </c>
      <c r="E2634" s="58">
        <f>IF($H2634="","",IFERROR(MID($H2634&amp;" ",FIND("|",SUBSTITUTE($H2634&amp;" "," ","|",3))+1,FIND("|",SUBSTITUTE($H2634&amp;" "," ","|",4))-FIND("|",SUBSTITUTE($H2634&amp;" "," ","|",3))-1),""))</f>
        <v/>
      </c>
      <c r="F2634" s="59">
        <f>IF($H2634="","",IFERROR(VALUE(IFERROR(MID($H2634&amp;" ",FIND("|",SUBSTITUTE($H2634&amp;" "," ","|",4))+1,FIND("|",SUBSTITUTE($H2634&amp;" "," ","|",5))-FIND("|",SUBSTITUTE($H2634&amp;" "," ","|",4))-1),""))/86400+25569+9/24,""))</f>
        <v/>
      </c>
      <c r="G2634" s="58">
        <f>TRIM(SUBSTITUTE(SUBSTITUTE(SUBSTITUTE($A2634,CHAR(9)," ")," "," "),CHAR(13),""))</f>
        <v/>
      </c>
      <c r="H2634" s="58">
        <f>IF($G2634="","",IF(ISNUMBER(FIND(" ",$G2634)),$G2634,IFERROR(IF((LEN(SUBSTITUTE(SUBSTITUTE($G2634,"-"," ",LEN($G2634)-LEN(SUBSTITUTE($G2634,"-",""))),"-"," ",LEN($G2634)-LEN(SUBSTITUTE($G2634,"-",""))-1))-LEN(SUBSTITUTE(SUBSTITUTE(SUBSTITUTE($G2634,"-"," ",LEN($G2634)-LEN(SUBSTITUTE($G2634,"-",""))),"-"," ",LEN($G2634)-LEN(SUBSTITUTE($G2634,"-",""))-1),".","")))=0,SUBSTITUTE(SUBSTITUTE($G2634,"-"," ",LEN($G2634)-LEN(SUBSTITUTE($G2634,"-",""))),"-"," ",LEN($G2634)-LEN(SUBSTITUTE($G2634,"-",""))-1),SUBSTITUTE(SUBSTITUTE(SUBSTITUTE($G2634,"-"," ",LEN($G2634)-LEN(SUBSTITUTE($G2634,"-",""))),"-"," ",LEN($G2634)-LEN(SUBSTITUTE($G2634,"-",""))-1),"."," ",(LEN(SUBSTITUTE(SUBSTITUTE($G2634,"-"," ",LEN($G2634)-LEN(SUBSTITUTE($G2634,"-",""))),"-"," ",LEN($G2634)-LEN(SUBSTITUTE($G2634,"-",""))-1))-LEN(SUBSTITUTE(SUBSTITUTE(SUBSTITUTE($G2634,"-"," ",LEN($G2634)-LEN(SUBSTITUTE($G2634,"-",""))),"-"," ",LEN($G2634)-LEN(SUBSTITUTE($G2634,"-",""))-1),".",""))))),$G2634)))</f>
        <v/>
      </c>
    </row>
    <row r="2635">
      <c r="A2635" s="58" t="n"/>
      <c r="B2635" s="58">
        <f>IF($H2635="","",LEFT($H2635,FIND(" ",$H2635&amp;" ")-1))</f>
        <v/>
      </c>
      <c r="C2635" s="58">
        <f>IF($H2635="","",IFERROR(MID($H2635&amp;" ",FIND("|",SUBSTITUTE($H2635&amp;" "," ","|",1))+1,FIND("|",SUBSTITUTE($H2635&amp;" "," ","|",2))-FIND("|",SUBSTITUTE($H2635&amp;" "," ","|",1))-1),""))</f>
        <v/>
      </c>
      <c r="D2635" s="58">
        <f>IF($H2635="","",IFERROR(MID($H2635&amp;" ",FIND("|",SUBSTITUTE($H2635&amp;" "," ","|",2))+1,FIND("|",SUBSTITUTE($H2635&amp;" "," ","|",3))-FIND("|",SUBSTITUTE($H2635&amp;" "," ","|",2))-1),""))</f>
        <v/>
      </c>
      <c r="E2635" s="58">
        <f>IF($H2635="","",IFERROR(MID($H2635&amp;" ",FIND("|",SUBSTITUTE($H2635&amp;" "," ","|",3))+1,FIND("|",SUBSTITUTE($H2635&amp;" "," ","|",4))-FIND("|",SUBSTITUTE($H2635&amp;" "," ","|",3))-1),""))</f>
        <v/>
      </c>
      <c r="F2635" s="59">
        <f>IF($H2635="","",IFERROR(VALUE(IFERROR(MID($H2635&amp;" ",FIND("|",SUBSTITUTE($H2635&amp;" "," ","|",4))+1,FIND("|",SUBSTITUTE($H2635&amp;" "," ","|",5))-FIND("|",SUBSTITUTE($H2635&amp;" "," ","|",4))-1),""))/86400+25569+9/24,""))</f>
        <v/>
      </c>
      <c r="G2635" s="58">
        <f>TRIM(SUBSTITUTE(SUBSTITUTE(SUBSTITUTE($A2635,CHAR(9)," ")," "," "),CHAR(13),""))</f>
        <v/>
      </c>
      <c r="H2635" s="58">
        <f>IF($G2635="","",IF(ISNUMBER(FIND(" ",$G2635)),$G2635,IFERROR(IF((LEN(SUBSTITUTE(SUBSTITUTE($G2635,"-"," ",LEN($G2635)-LEN(SUBSTITUTE($G2635,"-",""))),"-"," ",LEN($G2635)-LEN(SUBSTITUTE($G2635,"-",""))-1))-LEN(SUBSTITUTE(SUBSTITUTE(SUBSTITUTE($G2635,"-"," ",LEN($G2635)-LEN(SUBSTITUTE($G2635,"-",""))),"-"," ",LEN($G2635)-LEN(SUBSTITUTE($G2635,"-",""))-1),".","")))=0,SUBSTITUTE(SUBSTITUTE($G2635,"-"," ",LEN($G2635)-LEN(SUBSTITUTE($G2635,"-",""))),"-"," ",LEN($G2635)-LEN(SUBSTITUTE($G2635,"-",""))-1),SUBSTITUTE(SUBSTITUTE(SUBSTITUTE($G2635,"-"," ",LEN($G2635)-LEN(SUBSTITUTE($G2635,"-",""))),"-"," ",LEN($G2635)-LEN(SUBSTITUTE($G2635,"-",""))-1),"."," ",(LEN(SUBSTITUTE(SUBSTITUTE($G2635,"-"," ",LEN($G2635)-LEN(SUBSTITUTE($G2635,"-",""))),"-"," ",LEN($G2635)-LEN(SUBSTITUTE($G2635,"-",""))-1))-LEN(SUBSTITUTE(SUBSTITUTE(SUBSTITUTE($G2635,"-"," ",LEN($G2635)-LEN(SUBSTITUTE($G2635,"-",""))),"-"," ",LEN($G2635)-LEN(SUBSTITUTE($G2635,"-",""))-1),".",""))))),$G2635)))</f>
        <v/>
      </c>
    </row>
    <row r="2636">
      <c r="A2636" s="58" t="n"/>
      <c r="B2636" s="58">
        <f>IF($H2636="","",LEFT($H2636,FIND(" ",$H2636&amp;" ")-1))</f>
        <v/>
      </c>
      <c r="C2636" s="58">
        <f>IF($H2636="","",IFERROR(MID($H2636&amp;" ",FIND("|",SUBSTITUTE($H2636&amp;" "," ","|",1))+1,FIND("|",SUBSTITUTE($H2636&amp;" "," ","|",2))-FIND("|",SUBSTITUTE($H2636&amp;" "," ","|",1))-1),""))</f>
        <v/>
      </c>
      <c r="D2636" s="58">
        <f>IF($H2636="","",IFERROR(MID($H2636&amp;" ",FIND("|",SUBSTITUTE($H2636&amp;" "," ","|",2))+1,FIND("|",SUBSTITUTE($H2636&amp;" "," ","|",3))-FIND("|",SUBSTITUTE($H2636&amp;" "," ","|",2))-1),""))</f>
        <v/>
      </c>
      <c r="E2636" s="58">
        <f>IF($H2636="","",IFERROR(MID($H2636&amp;" ",FIND("|",SUBSTITUTE($H2636&amp;" "," ","|",3))+1,FIND("|",SUBSTITUTE($H2636&amp;" "," ","|",4))-FIND("|",SUBSTITUTE($H2636&amp;" "," ","|",3))-1),""))</f>
        <v/>
      </c>
      <c r="F2636" s="59">
        <f>IF($H2636="","",IFERROR(VALUE(IFERROR(MID($H2636&amp;" ",FIND("|",SUBSTITUTE($H2636&amp;" "," ","|",4))+1,FIND("|",SUBSTITUTE($H2636&amp;" "," ","|",5))-FIND("|",SUBSTITUTE($H2636&amp;" "," ","|",4))-1),""))/86400+25569+9/24,""))</f>
        <v/>
      </c>
      <c r="G2636" s="58">
        <f>TRIM(SUBSTITUTE(SUBSTITUTE(SUBSTITUTE($A2636,CHAR(9)," ")," "," "),CHAR(13),""))</f>
        <v/>
      </c>
      <c r="H2636" s="58">
        <f>IF($G2636="","",IF(ISNUMBER(FIND(" ",$G2636)),$G2636,IFERROR(IF((LEN(SUBSTITUTE(SUBSTITUTE($G2636,"-"," ",LEN($G2636)-LEN(SUBSTITUTE($G2636,"-",""))),"-"," ",LEN($G2636)-LEN(SUBSTITUTE($G2636,"-",""))-1))-LEN(SUBSTITUTE(SUBSTITUTE(SUBSTITUTE($G2636,"-"," ",LEN($G2636)-LEN(SUBSTITUTE($G2636,"-",""))),"-"," ",LEN($G2636)-LEN(SUBSTITUTE($G2636,"-",""))-1),".","")))=0,SUBSTITUTE(SUBSTITUTE($G2636,"-"," ",LEN($G2636)-LEN(SUBSTITUTE($G2636,"-",""))),"-"," ",LEN($G2636)-LEN(SUBSTITUTE($G2636,"-",""))-1),SUBSTITUTE(SUBSTITUTE(SUBSTITUTE($G2636,"-"," ",LEN($G2636)-LEN(SUBSTITUTE($G2636,"-",""))),"-"," ",LEN($G2636)-LEN(SUBSTITUTE($G2636,"-",""))-1),"."," ",(LEN(SUBSTITUTE(SUBSTITUTE($G2636,"-"," ",LEN($G2636)-LEN(SUBSTITUTE($G2636,"-",""))),"-"," ",LEN($G2636)-LEN(SUBSTITUTE($G2636,"-",""))-1))-LEN(SUBSTITUTE(SUBSTITUTE(SUBSTITUTE($G2636,"-"," ",LEN($G2636)-LEN(SUBSTITUTE($G2636,"-",""))),"-"," ",LEN($G2636)-LEN(SUBSTITUTE($G2636,"-",""))-1),".",""))))),$G2636)))</f>
        <v/>
      </c>
    </row>
    <row r="2637">
      <c r="A2637" s="58" t="n"/>
      <c r="B2637" s="58">
        <f>IF($H2637="","",LEFT($H2637,FIND(" ",$H2637&amp;" ")-1))</f>
        <v/>
      </c>
      <c r="C2637" s="58">
        <f>IF($H2637="","",IFERROR(MID($H2637&amp;" ",FIND("|",SUBSTITUTE($H2637&amp;" "," ","|",1))+1,FIND("|",SUBSTITUTE($H2637&amp;" "," ","|",2))-FIND("|",SUBSTITUTE($H2637&amp;" "," ","|",1))-1),""))</f>
        <v/>
      </c>
      <c r="D2637" s="58">
        <f>IF($H2637="","",IFERROR(MID($H2637&amp;" ",FIND("|",SUBSTITUTE($H2637&amp;" "," ","|",2))+1,FIND("|",SUBSTITUTE($H2637&amp;" "," ","|",3))-FIND("|",SUBSTITUTE($H2637&amp;" "," ","|",2))-1),""))</f>
        <v/>
      </c>
      <c r="E2637" s="58">
        <f>IF($H2637="","",IFERROR(MID($H2637&amp;" ",FIND("|",SUBSTITUTE($H2637&amp;" "," ","|",3))+1,FIND("|",SUBSTITUTE($H2637&amp;" "," ","|",4))-FIND("|",SUBSTITUTE($H2637&amp;" "," ","|",3))-1),""))</f>
        <v/>
      </c>
      <c r="F2637" s="59">
        <f>IF($H2637="","",IFERROR(VALUE(IFERROR(MID($H2637&amp;" ",FIND("|",SUBSTITUTE($H2637&amp;" "," ","|",4))+1,FIND("|",SUBSTITUTE($H2637&amp;" "," ","|",5))-FIND("|",SUBSTITUTE($H2637&amp;" "," ","|",4))-1),""))/86400+25569+9/24,""))</f>
        <v/>
      </c>
      <c r="G2637" s="58">
        <f>TRIM(SUBSTITUTE(SUBSTITUTE(SUBSTITUTE($A2637,CHAR(9)," ")," "," "),CHAR(13),""))</f>
        <v/>
      </c>
      <c r="H2637" s="58">
        <f>IF($G2637="","",IF(ISNUMBER(FIND(" ",$G2637)),$G2637,IFERROR(IF((LEN(SUBSTITUTE(SUBSTITUTE($G2637,"-"," ",LEN($G2637)-LEN(SUBSTITUTE($G2637,"-",""))),"-"," ",LEN($G2637)-LEN(SUBSTITUTE($G2637,"-",""))-1))-LEN(SUBSTITUTE(SUBSTITUTE(SUBSTITUTE($G2637,"-"," ",LEN($G2637)-LEN(SUBSTITUTE($G2637,"-",""))),"-"," ",LEN($G2637)-LEN(SUBSTITUTE($G2637,"-",""))-1),".","")))=0,SUBSTITUTE(SUBSTITUTE($G2637,"-"," ",LEN($G2637)-LEN(SUBSTITUTE($G2637,"-",""))),"-"," ",LEN($G2637)-LEN(SUBSTITUTE($G2637,"-",""))-1),SUBSTITUTE(SUBSTITUTE(SUBSTITUTE($G2637,"-"," ",LEN($G2637)-LEN(SUBSTITUTE($G2637,"-",""))),"-"," ",LEN($G2637)-LEN(SUBSTITUTE($G2637,"-",""))-1),"."," ",(LEN(SUBSTITUTE(SUBSTITUTE($G2637,"-"," ",LEN($G2637)-LEN(SUBSTITUTE($G2637,"-",""))),"-"," ",LEN($G2637)-LEN(SUBSTITUTE($G2637,"-",""))-1))-LEN(SUBSTITUTE(SUBSTITUTE(SUBSTITUTE($G2637,"-"," ",LEN($G2637)-LEN(SUBSTITUTE($G2637,"-",""))),"-"," ",LEN($G2637)-LEN(SUBSTITUTE($G2637,"-",""))-1),".",""))))),$G2637)))</f>
        <v/>
      </c>
    </row>
    <row r="2638">
      <c r="A2638" s="58" t="n"/>
      <c r="B2638" s="58">
        <f>IF($H2638="","",LEFT($H2638,FIND(" ",$H2638&amp;" ")-1))</f>
        <v/>
      </c>
      <c r="C2638" s="58">
        <f>IF($H2638="","",IFERROR(MID($H2638&amp;" ",FIND("|",SUBSTITUTE($H2638&amp;" "," ","|",1))+1,FIND("|",SUBSTITUTE($H2638&amp;" "," ","|",2))-FIND("|",SUBSTITUTE($H2638&amp;" "," ","|",1))-1),""))</f>
        <v/>
      </c>
      <c r="D2638" s="58">
        <f>IF($H2638="","",IFERROR(MID($H2638&amp;" ",FIND("|",SUBSTITUTE($H2638&amp;" "," ","|",2))+1,FIND("|",SUBSTITUTE($H2638&amp;" "," ","|",3))-FIND("|",SUBSTITUTE($H2638&amp;" "," ","|",2))-1),""))</f>
        <v/>
      </c>
      <c r="E2638" s="58">
        <f>IF($H2638="","",IFERROR(MID($H2638&amp;" ",FIND("|",SUBSTITUTE($H2638&amp;" "," ","|",3))+1,FIND("|",SUBSTITUTE($H2638&amp;" "," ","|",4))-FIND("|",SUBSTITUTE($H2638&amp;" "," ","|",3))-1),""))</f>
        <v/>
      </c>
      <c r="F2638" s="59">
        <f>IF($H2638="","",IFERROR(VALUE(IFERROR(MID($H2638&amp;" ",FIND("|",SUBSTITUTE($H2638&amp;" "," ","|",4))+1,FIND("|",SUBSTITUTE($H2638&amp;" "," ","|",5))-FIND("|",SUBSTITUTE($H2638&amp;" "," ","|",4))-1),""))/86400+25569+9/24,""))</f>
        <v/>
      </c>
      <c r="G2638" s="58">
        <f>TRIM(SUBSTITUTE(SUBSTITUTE(SUBSTITUTE($A2638,CHAR(9)," ")," "," "),CHAR(13),""))</f>
        <v/>
      </c>
      <c r="H2638" s="58">
        <f>IF($G2638="","",IF(ISNUMBER(FIND(" ",$G2638)),$G2638,IFERROR(IF((LEN(SUBSTITUTE(SUBSTITUTE($G2638,"-"," ",LEN($G2638)-LEN(SUBSTITUTE($G2638,"-",""))),"-"," ",LEN($G2638)-LEN(SUBSTITUTE($G2638,"-",""))-1))-LEN(SUBSTITUTE(SUBSTITUTE(SUBSTITUTE($G2638,"-"," ",LEN($G2638)-LEN(SUBSTITUTE($G2638,"-",""))),"-"," ",LEN($G2638)-LEN(SUBSTITUTE($G2638,"-",""))-1),".","")))=0,SUBSTITUTE(SUBSTITUTE($G2638,"-"," ",LEN($G2638)-LEN(SUBSTITUTE($G2638,"-",""))),"-"," ",LEN($G2638)-LEN(SUBSTITUTE($G2638,"-",""))-1),SUBSTITUTE(SUBSTITUTE(SUBSTITUTE($G2638,"-"," ",LEN($G2638)-LEN(SUBSTITUTE($G2638,"-",""))),"-"," ",LEN($G2638)-LEN(SUBSTITUTE($G2638,"-",""))-1),"."," ",(LEN(SUBSTITUTE(SUBSTITUTE($G2638,"-"," ",LEN($G2638)-LEN(SUBSTITUTE($G2638,"-",""))),"-"," ",LEN($G2638)-LEN(SUBSTITUTE($G2638,"-",""))-1))-LEN(SUBSTITUTE(SUBSTITUTE(SUBSTITUTE($G2638,"-"," ",LEN($G2638)-LEN(SUBSTITUTE($G2638,"-",""))),"-"," ",LEN($G2638)-LEN(SUBSTITUTE($G2638,"-",""))-1),".",""))))),$G2638)))</f>
        <v/>
      </c>
    </row>
    <row r="2639">
      <c r="A2639" s="58" t="n"/>
      <c r="B2639" s="58">
        <f>IF($H2639="","",LEFT($H2639,FIND(" ",$H2639&amp;" ")-1))</f>
        <v/>
      </c>
      <c r="C2639" s="58">
        <f>IF($H2639="","",IFERROR(MID($H2639&amp;" ",FIND("|",SUBSTITUTE($H2639&amp;" "," ","|",1))+1,FIND("|",SUBSTITUTE($H2639&amp;" "," ","|",2))-FIND("|",SUBSTITUTE($H2639&amp;" "," ","|",1))-1),""))</f>
        <v/>
      </c>
      <c r="D2639" s="58">
        <f>IF($H2639="","",IFERROR(MID($H2639&amp;" ",FIND("|",SUBSTITUTE($H2639&amp;" "," ","|",2))+1,FIND("|",SUBSTITUTE($H2639&amp;" "," ","|",3))-FIND("|",SUBSTITUTE($H2639&amp;" "," ","|",2))-1),""))</f>
        <v/>
      </c>
      <c r="E2639" s="58">
        <f>IF($H2639="","",IFERROR(MID($H2639&amp;" ",FIND("|",SUBSTITUTE($H2639&amp;" "," ","|",3))+1,FIND("|",SUBSTITUTE($H2639&amp;" "," ","|",4))-FIND("|",SUBSTITUTE($H2639&amp;" "," ","|",3))-1),""))</f>
        <v/>
      </c>
      <c r="F2639" s="59">
        <f>IF($H2639="","",IFERROR(VALUE(IFERROR(MID($H2639&amp;" ",FIND("|",SUBSTITUTE($H2639&amp;" "," ","|",4))+1,FIND("|",SUBSTITUTE($H2639&amp;" "," ","|",5))-FIND("|",SUBSTITUTE($H2639&amp;" "," ","|",4))-1),""))/86400+25569+9/24,""))</f>
        <v/>
      </c>
      <c r="G2639" s="58">
        <f>TRIM(SUBSTITUTE(SUBSTITUTE(SUBSTITUTE($A2639,CHAR(9)," ")," "," "),CHAR(13),""))</f>
        <v/>
      </c>
      <c r="H2639" s="58">
        <f>IF($G2639="","",IF(ISNUMBER(FIND(" ",$G2639)),$G2639,IFERROR(IF((LEN(SUBSTITUTE(SUBSTITUTE($G2639,"-"," ",LEN($G2639)-LEN(SUBSTITUTE($G2639,"-",""))),"-"," ",LEN($G2639)-LEN(SUBSTITUTE($G2639,"-",""))-1))-LEN(SUBSTITUTE(SUBSTITUTE(SUBSTITUTE($G2639,"-"," ",LEN($G2639)-LEN(SUBSTITUTE($G2639,"-",""))),"-"," ",LEN($G2639)-LEN(SUBSTITUTE($G2639,"-",""))-1),".","")))=0,SUBSTITUTE(SUBSTITUTE($G2639,"-"," ",LEN($G2639)-LEN(SUBSTITUTE($G2639,"-",""))),"-"," ",LEN($G2639)-LEN(SUBSTITUTE($G2639,"-",""))-1),SUBSTITUTE(SUBSTITUTE(SUBSTITUTE($G2639,"-"," ",LEN($G2639)-LEN(SUBSTITUTE($G2639,"-",""))),"-"," ",LEN($G2639)-LEN(SUBSTITUTE($G2639,"-",""))-1),"."," ",(LEN(SUBSTITUTE(SUBSTITUTE($G2639,"-"," ",LEN($G2639)-LEN(SUBSTITUTE($G2639,"-",""))),"-"," ",LEN($G2639)-LEN(SUBSTITUTE($G2639,"-",""))-1))-LEN(SUBSTITUTE(SUBSTITUTE(SUBSTITUTE($G2639,"-"," ",LEN($G2639)-LEN(SUBSTITUTE($G2639,"-",""))),"-"," ",LEN($G2639)-LEN(SUBSTITUTE($G2639,"-",""))-1),".",""))))),$G2639)))</f>
        <v/>
      </c>
    </row>
    <row r="2640">
      <c r="A2640" s="58" t="n"/>
      <c r="B2640" s="58">
        <f>IF($H2640="","",LEFT($H2640,FIND(" ",$H2640&amp;" ")-1))</f>
        <v/>
      </c>
      <c r="C2640" s="58">
        <f>IF($H2640="","",IFERROR(MID($H2640&amp;" ",FIND("|",SUBSTITUTE($H2640&amp;" "," ","|",1))+1,FIND("|",SUBSTITUTE($H2640&amp;" "," ","|",2))-FIND("|",SUBSTITUTE($H2640&amp;" "," ","|",1))-1),""))</f>
        <v/>
      </c>
      <c r="D2640" s="58">
        <f>IF($H2640="","",IFERROR(MID($H2640&amp;" ",FIND("|",SUBSTITUTE($H2640&amp;" "," ","|",2))+1,FIND("|",SUBSTITUTE($H2640&amp;" "," ","|",3))-FIND("|",SUBSTITUTE($H2640&amp;" "," ","|",2))-1),""))</f>
        <v/>
      </c>
      <c r="E2640" s="58">
        <f>IF($H2640="","",IFERROR(MID($H2640&amp;" ",FIND("|",SUBSTITUTE($H2640&amp;" "," ","|",3))+1,FIND("|",SUBSTITUTE($H2640&amp;" "," ","|",4))-FIND("|",SUBSTITUTE($H2640&amp;" "," ","|",3))-1),""))</f>
        <v/>
      </c>
      <c r="F2640" s="59">
        <f>IF($H2640="","",IFERROR(VALUE(IFERROR(MID($H2640&amp;" ",FIND("|",SUBSTITUTE($H2640&amp;" "," ","|",4))+1,FIND("|",SUBSTITUTE($H2640&amp;" "," ","|",5))-FIND("|",SUBSTITUTE($H2640&amp;" "," ","|",4))-1),""))/86400+25569+9/24,""))</f>
        <v/>
      </c>
      <c r="G2640" s="58">
        <f>TRIM(SUBSTITUTE(SUBSTITUTE(SUBSTITUTE($A2640,CHAR(9)," ")," "," "),CHAR(13),""))</f>
        <v/>
      </c>
      <c r="H2640" s="58">
        <f>IF($G2640="","",IF(ISNUMBER(FIND(" ",$G2640)),$G2640,IFERROR(IF((LEN(SUBSTITUTE(SUBSTITUTE($G2640,"-"," ",LEN($G2640)-LEN(SUBSTITUTE($G2640,"-",""))),"-"," ",LEN($G2640)-LEN(SUBSTITUTE($G2640,"-",""))-1))-LEN(SUBSTITUTE(SUBSTITUTE(SUBSTITUTE($G2640,"-"," ",LEN($G2640)-LEN(SUBSTITUTE($G2640,"-",""))),"-"," ",LEN($G2640)-LEN(SUBSTITUTE($G2640,"-",""))-1),".","")))=0,SUBSTITUTE(SUBSTITUTE($G2640,"-"," ",LEN($G2640)-LEN(SUBSTITUTE($G2640,"-",""))),"-"," ",LEN($G2640)-LEN(SUBSTITUTE($G2640,"-",""))-1),SUBSTITUTE(SUBSTITUTE(SUBSTITUTE($G2640,"-"," ",LEN($G2640)-LEN(SUBSTITUTE($G2640,"-",""))),"-"," ",LEN($G2640)-LEN(SUBSTITUTE($G2640,"-",""))-1),"."," ",(LEN(SUBSTITUTE(SUBSTITUTE($G2640,"-"," ",LEN($G2640)-LEN(SUBSTITUTE($G2640,"-",""))),"-"," ",LEN($G2640)-LEN(SUBSTITUTE($G2640,"-",""))-1))-LEN(SUBSTITUTE(SUBSTITUTE(SUBSTITUTE($G2640,"-"," ",LEN($G2640)-LEN(SUBSTITUTE($G2640,"-",""))),"-"," ",LEN($G2640)-LEN(SUBSTITUTE($G2640,"-",""))-1),".",""))))),$G2640)))</f>
        <v/>
      </c>
    </row>
    <row r="2641">
      <c r="A2641" s="58" t="n"/>
      <c r="B2641" s="58">
        <f>IF($H2641="","",LEFT($H2641,FIND(" ",$H2641&amp;" ")-1))</f>
        <v/>
      </c>
      <c r="C2641" s="58">
        <f>IF($H2641="","",IFERROR(MID($H2641&amp;" ",FIND("|",SUBSTITUTE($H2641&amp;" "," ","|",1))+1,FIND("|",SUBSTITUTE($H2641&amp;" "," ","|",2))-FIND("|",SUBSTITUTE($H2641&amp;" "," ","|",1))-1),""))</f>
        <v/>
      </c>
      <c r="D2641" s="58">
        <f>IF($H2641="","",IFERROR(MID($H2641&amp;" ",FIND("|",SUBSTITUTE($H2641&amp;" "," ","|",2))+1,FIND("|",SUBSTITUTE($H2641&amp;" "," ","|",3))-FIND("|",SUBSTITUTE($H2641&amp;" "," ","|",2))-1),""))</f>
        <v/>
      </c>
      <c r="E2641" s="58">
        <f>IF($H2641="","",IFERROR(MID($H2641&amp;" ",FIND("|",SUBSTITUTE($H2641&amp;" "," ","|",3))+1,FIND("|",SUBSTITUTE($H2641&amp;" "," ","|",4))-FIND("|",SUBSTITUTE($H2641&amp;" "," ","|",3))-1),""))</f>
        <v/>
      </c>
      <c r="F2641" s="59">
        <f>IF($H2641="","",IFERROR(VALUE(IFERROR(MID($H2641&amp;" ",FIND("|",SUBSTITUTE($H2641&amp;" "," ","|",4))+1,FIND("|",SUBSTITUTE($H2641&amp;" "," ","|",5))-FIND("|",SUBSTITUTE($H2641&amp;" "," ","|",4))-1),""))/86400+25569+9/24,""))</f>
        <v/>
      </c>
      <c r="G2641" s="58">
        <f>TRIM(SUBSTITUTE(SUBSTITUTE(SUBSTITUTE($A2641,CHAR(9)," ")," "," "),CHAR(13),""))</f>
        <v/>
      </c>
      <c r="H2641" s="58">
        <f>IF($G2641="","",IF(ISNUMBER(FIND(" ",$G2641)),$G2641,IFERROR(IF((LEN(SUBSTITUTE(SUBSTITUTE($G2641,"-"," ",LEN($G2641)-LEN(SUBSTITUTE($G2641,"-",""))),"-"," ",LEN($G2641)-LEN(SUBSTITUTE($G2641,"-",""))-1))-LEN(SUBSTITUTE(SUBSTITUTE(SUBSTITUTE($G2641,"-"," ",LEN($G2641)-LEN(SUBSTITUTE($G2641,"-",""))),"-"," ",LEN($G2641)-LEN(SUBSTITUTE($G2641,"-",""))-1),".","")))=0,SUBSTITUTE(SUBSTITUTE($G2641,"-"," ",LEN($G2641)-LEN(SUBSTITUTE($G2641,"-",""))),"-"," ",LEN($G2641)-LEN(SUBSTITUTE($G2641,"-",""))-1),SUBSTITUTE(SUBSTITUTE(SUBSTITUTE($G2641,"-"," ",LEN($G2641)-LEN(SUBSTITUTE($G2641,"-",""))),"-"," ",LEN($G2641)-LEN(SUBSTITUTE($G2641,"-",""))-1),"."," ",(LEN(SUBSTITUTE(SUBSTITUTE($G2641,"-"," ",LEN($G2641)-LEN(SUBSTITUTE($G2641,"-",""))),"-"," ",LEN($G2641)-LEN(SUBSTITUTE($G2641,"-",""))-1))-LEN(SUBSTITUTE(SUBSTITUTE(SUBSTITUTE($G2641,"-"," ",LEN($G2641)-LEN(SUBSTITUTE($G2641,"-",""))),"-"," ",LEN($G2641)-LEN(SUBSTITUTE($G2641,"-",""))-1),".",""))))),$G2641)))</f>
        <v/>
      </c>
    </row>
    <row r="2642">
      <c r="A2642" s="58" t="n"/>
      <c r="B2642" s="58">
        <f>IF($H2642="","",LEFT($H2642,FIND(" ",$H2642&amp;" ")-1))</f>
        <v/>
      </c>
      <c r="C2642" s="58">
        <f>IF($H2642="","",IFERROR(MID($H2642&amp;" ",FIND("|",SUBSTITUTE($H2642&amp;" "," ","|",1))+1,FIND("|",SUBSTITUTE($H2642&amp;" "," ","|",2))-FIND("|",SUBSTITUTE($H2642&amp;" "," ","|",1))-1),""))</f>
        <v/>
      </c>
      <c r="D2642" s="58">
        <f>IF($H2642="","",IFERROR(MID($H2642&amp;" ",FIND("|",SUBSTITUTE($H2642&amp;" "," ","|",2))+1,FIND("|",SUBSTITUTE($H2642&amp;" "," ","|",3))-FIND("|",SUBSTITUTE($H2642&amp;" "," ","|",2))-1),""))</f>
        <v/>
      </c>
      <c r="E2642" s="58">
        <f>IF($H2642="","",IFERROR(MID($H2642&amp;" ",FIND("|",SUBSTITUTE($H2642&amp;" "," ","|",3))+1,FIND("|",SUBSTITUTE($H2642&amp;" "," ","|",4))-FIND("|",SUBSTITUTE($H2642&amp;" "," ","|",3))-1),""))</f>
        <v/>
      </c>
      <c r="F2642" s="59">
        <f>IF($H2642="","",IFERROR(VALUE(IFERROR(MID($H2642&amp;" ",FIND("|",SUBSTITUTE($H2642&amp;" "," ","|",4))+1,FIND("|",SUBSTITUTE($H2642&amp;" "," ","|",5))-FIND("|",SUBSTITUTE($H2642&amp;" "," ","|",4))-1),""))/86400+25569+9/24,""))</f>
        <v/>
      </c>
      <c r="G2642" s="58">
        <f>TRIM(SUBSTITUTE(SUBSTITUTE(SUBSTITUTE($A2642,CHAR(9)," ")," "," "),CHAR(13),""))</f>
        <v/>
      </c>
      <c r="H2642" s="58">
        <f>IF($G2642="","",IF(ISNUMBER(FIND(" ",$G2642)),$G2642,IFERROR(IF((LEN(SUBSTITUTE(SUBSTITUTE($G2642,"-"," ",LEN($G2642)-LEN(SUBSTITUTE($G2642,"-",""))),"-"," ",LEN($G2642)-LEN(SUBSTITUTE($G2642,"-",""))-1))-LEN(SUBSTITUTE(SUBSTITUTE(SUBSTITUTE($G2642,"-"," ",LEN($G2642)-LEN(SUBSTITUTE($G2642,"-",""))),"-"," ",LEN($G2642)-LEN(SUBSTITUTE($G2642,"-",""))-1),".","")))=0,SUBSTITUTE(SUBSTITUTE($G2642,"-"," ",LEN($G2642)-LEN(SUBSTITUTE($G2642,"-",""))),"-"," ",LEN($G2642)-LEN(SUBSTITUTE($G2642,"-",""))-1),SUBSTITUTE(SUBSTITUTE(SUBSTITUTE($G2642,"-"," ",LEN($G2642)-LEN(SUBSTITUTE($G2642,"-",""))),"-"," ",LEN($G2642)-LEN(SUBSTITUTE($G2642,"-",""))-1),"."," ",(LEN(SUBSTITUTE(SUBSTITUTE($G2642,"-"," ",LEN($G2642)-LEN(SUBSTITUTE($G2642,"-",""))),"-"," ",LEN($G2642)-LEN(SUBSTITUTE($G2642,"-",""))-1))-LEN(SUBSTITUTE(SUBSTITUTE(SUBSTITUTE($G2642,"-"," ",LEN($G2642)-LEN(SUBSTITUTE($G2642,"-",""))),"-"," ",LEN($G2642)-LEN(SUBSTITUTE($G2642,"-",""))-1),".",""))))),$G2642)))</f>
        <v/>
      </c>
    </row>
    <row r="2643">
      <c r="A2643" s="58" t="n"/>
      <c r="B2643" s="58">
        <f>IF($H2643="","",LEFT($H2643,FIND(" ",$H2643&amp;" ")-1))</f>
        <v/>
      </c>
      <c r="C2643" s="58">
        <f>IF($H2643="","",IFERROR(MID($H2643&amp;" ",FIND("|",SUBSTITUTE($H2643&amp;" "," ","|",1))+1,FIND("|",SUBSTITUTE($H2643&amp;" "," ","|",2))-FIND("|",SUBSTITUTE($H2643&amp;" "," ","|",1))-1),""))</f>
        <v/>
      </c>
      <c r="D2643" s="58">
        <f>IF($H2643="","",IFERROR(MID($H2643&amp;" ",FIND("|",SUBSTITUTE($H2643&amp;" "," ","|",2))+1,FIND("|",SUBSTITUTE($H2643&amp;" "," ","|",3))-FIND("|",SUBSTITUTE($H2643&amp;" "," ","|",2))-1),""))</f>
        <v/>
      </c>
      <c r="E2643" s="58">
        <f>IF($H2643="","",IFERROR(MID($H2643&amp;" ",FIND("|",SUBSTITUTE($H2643&amp;" "," ","|",3))+1,FIND("|",SUBSTITUTE($H2643&amp;" "," ","|",4))-FIND("|",SUBSTITUTE($H2643&amp;" "," ","|",3))-1),""))</f>
        <v/>
      </c>
      <c r="F2643" s="59">
        <f>IF($H2643="","",IFERROR(VALUE(IFERROR(MID($H2643&amp;" ",FIND("|",SUBSTITUTE($H2643&amp;" "," ","|",4))+1,FIND("|",SUBSTITUTE($H2643&amp;" "," ","|",5))-FIND("|",SUBSTITUTE($H2643&amp;" "," ","|",4))-1),""))/86400+25569+9/24,""))</f>
        <v/>
      </c>
      <c r="G2643" s="58">
        <f>TRIM(SUBSTITUTE(SUBSTITUTE(SUBSTITUTE($A2643,CHAR(9)," ")," "," "),CHAR(13),""))</f>
        <v/>
      </c>
      <c r="H2643" s="58">
        <f>IF($G2643="","",IF(ISNUMBER(FIND(" ",$G2643)),$G2643,IFERROR(IF((LEN(SUBSTITUTE(SUBSTITUTE($G2643,"-"," ",LEN($G2643)-LEN(SUBSTITUTE($G2643,"-",""))),"-"," ",LEN($G2643)-LEN(SUBSTITUTE($G2643,"-",""))-1))-LEN(SUBSTITUTE(SUBSTITUTE(SUBSTITUTE($G2643,"-"," ",LEN($G2643)-LEN(SUBSTITUTE($G2643,"-",""))),"-"," ",LEN($G2643)-LEN(SUBSTITUTE($G2643,"-",""))-1),".","")))=0,SUBSTITUTE(SUBSTITUTE($G2643,"-"," ",LEN($G2643)-LEN(SUBSTITUTE($G2643,"-",""))),"-"," ",LEN($G2643)-LEN(SUBSTITUTE($G2643,"-",""))-1),SUBSTITUTE(SUBSTITUTE(SUBSTITUTE($G2643,"-"," ",LEN($G2643)-LEN(SUBSTITUTE($G2643,"-",""))),"-"," ",LEN($G2643)-LEN(SUBSTITUTE($G2643,"-",""))-1),"."," ",(LEN(SUBSTITUTE(SUBSTITUTE($G2643,"-"," ",LEN($G2643)-LEN(SUBSTITUTE($G2643,"-",""))),"-"," ",LEN($G2643)-LEN(SUBSTITUTE($G2643,"-",""))-1))-LEN(SUBSTITUTE(SUBSTITUTE(SUBSTITUTE($G2643,"-"," ",LEN($G2643)-LEN(SUBSTITUTE($G2643,"-",""))),"-"," ",LEN($G2643)-LEN(SUBSTITUTE($G2643,"-",""))-1),".",""))))),$G2643)))</f>
        <v/>
      </c>
    </row>
    <row r="2644">
      <c r="A2644" s="58" t="n"/>
      <c r="B2644" s="58">
        <f>IF($H2644="","",LEFT($H2644,FIND(" ",$H2644&amp;" ")-1))</f>
        <v/>
      </c>
      <c r="C2644" s="58">
        <f>IF($H2644="","",IFERROR(MID($H2644&amp;" ",FIND("|",SUBSTITUTE($H2644&amp;" "," ","|",1))+1,FIND("|",SUBSTITUTE($H2644&amp;" "," ","|",2))-FIND("|",SUBSTITUTE($H2644&amp;" "," ","|",1))-1),""))</f>
        <v/>
      </c>
      <c r="D2644" s="58">
        <f>IF($H2644="","",IFERROR(MID($H2644&amp;" ",FIND("|",SUBSTITUTE($H2644&amp;" "," ","|",2))+1,FIND("|",SUBSTITUTE($H2644&amp;" "," ","|",3))-FIND("|",SUBSTITUTE($H2644&amp;" "," ","|",2))-1),""))</f>
        <v/>
      </c>
      <c r="E2644" s="58">
        <f>IF($H2644="","",IFERROR(MID($H2644&amp;" ",FIND("|",SUBSTITUTE($H2644&amp;" "," ","|",3))+1,FIND("|",SUBSTITUTE($H2644&amp;" "," ","|",4))-FIND("|",SUBSTITUTE($H2644&amp;" "," ","|",3))-1),""))</f>
        <v/>
      </c>
      <c r="F2644" s="59">
        <f>IF($H2644="","",IFERROR(VALUE(IFERROR(MID($H2644&amp;" ",FIND("|",SUBSTITUTE($H2644&amp;" "," ","|",4))+1,FIND("|",SUBSTITUTE($H2644&amp;" "," ","|",5))-FIND("|",SUBSTITUTE($H2644&amp;" "," ","|",4))-1),""))/86400+25569+9/24,""))</f>
        <v/>
      </c>
      <c r="G2644" s="58">
        <f>TRIM(SUBSTITUTE(SUBSTITUTE(SUBSTITUTE($A2644,CHAR(9)," ")," "," "),CHAR(13),""))</f>
        <v/>
      </c>
      <c r="H2644" s="58">
        <f>IF($G2644="","",IF(ISNUMBER(FIND(" ",$G2644)),$G2644,IFERROR(IF((LEN(SUBSTITUTE(SUBSTITUTE($G2644,"-"," ",LEN($G2644)-LEN(SUBSTITUTE($G2644,"-",""))),"-"," ",LEN($G2644)-LEN(SUBSTITUTE($G2644,"-",""))-1))-LEN(SUBSTITUTE(SUBSTITUTE(SUBSTITUTE($G2644,"-"," ",LEN($G2644)-LEN(SUBSTITUTE($G2644,"-",""))),"-"," ",LEN($G2644)-LEN(SUBSTITUTE($G2644,"-",""))-1),".","")))=0,SUBSTITUTE(SUBSTITUTE($G2644,"-"," ",LEN($G2644)-LEN(SUBSTITUTE($G2644,"-",""))),"-"," ",LEN($G2644)-LEN(SUBSTITUTE($G2644,"-",""))-1),SUBSTITUTE(SUBSTITUTE(SUBSTITUTE($G2644,"-"," ",LEN($G2644)-LEN(SUBSTITUTE($G2644,"-",""))),"-"," ",LEN($G2644)-LEN(SUBSTITUTE($G2644,"-",""))-1),"."," ",(LEN(SUBSTITUTE(SUBSTITUTE($G2644,"-"," ",LEN($G2644)-LEN(SUBSTITUTE($G2644,"-",""))),"-"," ",LEN($G2644)-LEN(SUBSTITUTE($G2644,"-",""))-1))-LEN(SUBSTITUTE(SUBSTITUTE(SUBSTITUTE($G2644,"-"," ",LEN($G2644)-LEN(SUBSTITUTE($G2644,"-",""))),"-"," ",LEN($G2644)-LEN(SUBSTITUTE($G2644,"-",""))-1),".",""))))),$G2644)))</f>
        <v/>
      </c>
    </row>
    <row r="2645">
      <c r="A2645" s="58" t="n"/>
      <c r="B2645" s="58">
        <f>IF($H2645="","",LEFT($H2645,FIND(" ",$H2645&amp;" ")-1))</f>
        <v/>
      </c>
      <c r="C2645" s="58">
        <f>IF($H2645="","",IFERROR(MID($H2645&amp;" ",FIND("|",SUBSTITUTE($H2645&amp;" "," ","|",1))+1,FIND("|",SUBSTITUTE($H2645&amp;" "," ","|",2))-FIND("|",SUBSTITUTE($H2645&amp;" "," ","|",1))-1),""))</f>
        <v/>
      </c>
      <c r="D2645" s="58">
        <f>IF($H2645="","",IFERROR(MID($H2645&amp;" ",FIND("|",SUBSTITUTE($H2645&amp;" "," ","|",2))+1,FIND("|",SUBSTITUTE($H2645&amp;" "," ","|",3))-FIND("|",SUBSTITUTE($H2645&amp;" "," ","|",2))-1),""))</f>
        <v/>
      </c>
      <c r="E2645" s="58">
        <f>IF($H2645="","",IFERROR(MID($H2645&amp;" ",FIND("|",SUBSTITUTE($H2645&amp;" "," ","|",3))+1,FIND("|",SUBSTITUTE($H2645&amp;" "," ","|",4))-FIND("|",SUBSTITUTE($H2645&amp;" "," ","|",3))-1),""))</f>
        <v/>
      </c>
      <c r="F2645" s="59">
        <f>IF($H2645="","",IFERROR(VALUE(IFERROR(MID($H2645&amp;" ",FIND("|",SUBSTITUTE($H2645&amp;" "," ","|",4))+1,FIND("|",SUBSTITUTE($H2645&amp;" "," ","|",5))-FIND("|",SUBSTITUTE($H2645&amp;" "," ","|",4))-1),""))/86400+25569+9/24,""))</f>
        <v/>
      </c>
      <c r="G2645" s="58">
        <f>TRIM(SUBSTITUTE(SUBSTITUTE(SUBSTITUTE($A2645,CHAR(9)," ")," "," "),CHAR(13),""))</f>
        <v/>
      </c>
      <c r="H2645" s="58">
        <f>IF($G2645="","",IF(ISNUMBER(FIND(" ",$G2645)),$G2645,IFERROR(IF((LEN(SUBSTITUTE(SUBSTITUTE($G2645,"-"," ",LEN($G2645)-LEN(SUBSTITUTE($G2645,"-",""))),"-"," ",LEN($G2645)-LEN(SUBSTITUTE($G2645,"-",""))-1))-LEN(SUBSTITUTE(SUBSTITUTE(SUBSTITUTE($G2645,"-"," ",LEN($G2645)-LEN(SUBSTITUTE($G2645,"-",""))),"-"," ",LEN($G2645)-LEN(SUBSTITUTE($G2645,"-",""))-1),".","")))=0,SUBSTITUTE(SUBSTITUTE($G2645,"-"," ",LEN($G2645)-LEN(SUBSTITUTE($G2645,"-",""))),"-"," ",LEN($G2645)-LEN(SUBSTITUTE($G2645,"-",""))-1),SUBSTITUTE(SUBSTITUTE(SUBSTITUTE($G2645,"-"," ",LEN($G2645)-LEN(SUBSTITUTE($G2645,"-",""))),"-"," ",LEN($G2645)-LEN(SUBSTITUTE($G2645,"-",""))-1),"."," ",(LEN(SUBSTITUTE(SUBSTITUTE($G2645,"-"," ",LEN($G2645)-LEN(SUBSTITUTE($G2645,"-",""))),"-"," ",LEN($G2645)-LEN(SUBSTITUTE($G2645,"-",""))-1))-LEN(SUBSTITUTE(SUBSTITUTE(SUBSTITUTE($G2645,"-"," ",LEN($G2645)-LEN(SUBSTITUTE($G2645,"-",""))),"-"," ",LEN($G2645)-LEN(SUBSTITUTE($G2645,"-",""))-1),".",""))))),$G2645)))</f>
        <v/>
      </c>
    </row>
    <row r="2646">
      <c r="A2646" s="58" t="n"/>
      <c r="B2646" s="58">
        <f>IF($H2646="","",LEFT($H2646,FIND(" ",$H2646&amp;" ")-1))</f>
        <v/>
      </c>
      <c r="C2646" s="58">
        <f>IF($H2646="","",IFERROR(MID($H2646&amp;" ",FIND("|",SUBSTITUTE($H2646&amp;" "," ","|",1))+1,FIND("|",SUBSTITUTE($H2646&amp;" "," ","|",2))-FIND("|",SUBSTITUTE($H2646&amp;" "," ","|",1))-1),""))</f>
        <v/>
      </c>
      <c r="D2646" s="58">
        <f>IF($H2646="","",IFERROR(MID($H2646&amp;" ",FIND("|",SUBSTITUTE($H2646&amp;" "," ","|",2))+1,FIND("|",SUBSTITUTE($H2646&amp;" "," ","|",3))-FIND("|",SUBSTITUTE($H2646&amp;" "," ","|",2))-1),""))</f>
        <v/>
      </c>
      <c r="E2646" s="58">
        <f>IF($H2646="","",IFERROR(MID($H2646&amp;" ",FIND("|",SUBSTITUTE($H2646&amp;" "," ","|",3))+1,FIND("|",SUBSTITUTE($H2646&amp;" "," ","|",4))-FIND("|",SUBSTITUTE($H2646&amp;" "," ","|",3))-1),""))</f>
        <v/>
      </c>
      <c r="F2646" s="59">
        <f>IF($H2646="","",IFERROR(VALUE(IFERROR(MID($H2646&amp;" ",FIND("|",SUBSTITUTE($H2646&amp;" "," ","|",4))+1,FIND("|",SUBSTITUTE($H2646&amp;" "," ","|",5))-FIND("|",SUBSTITUTE($H2646&amp;" "," ","|",4))-1),""))/86400+25569+9/24,""))</f>
        <v/>
      </c>
      <c r="G2646" s="58">
        <f>TRIM(SUBSTITUTE(SUBSTITUTE(SUBSTITUTE($A2646,CHAR(9)," ")," "," "),CHAR(13),""))</f>
        <v/>
      </c>
      <c r="H2646" s="58">
        <f>IF($G2646="","",IF(ISNUMBER(FIND(" ",$G2646)),$G2646,IFERROR(IF((LEN(SUBSTITUTE(SUBSTITUTE($G2646,"-"," ",LEN($G2646)-LEN(SUBSTITUTE($G2646,"-",""))),"-"," ",LEN($G2646)-LEN(SUBSTITUTE($G2646,"-",""))-1))-LEN(SUBSTITUTE(SUBSTITUTE(SUBSTITUTE($G2646,"-"," ",LEN($G2646)-LEN(SUBSTITUTE($G2646,"-",""))),"-"," ",LEN($G2646)-LEN(SUBSTITUTE($G2646,"-",""))-1),".","")))=0,SUBSTITUTE(SUBSTITUTE($G2646,"-"," ",LEN($G2646)-LEN(SUBSTITUTE($G2646,"-",""))),"-"," ",LEN($G2646)-LEN(SUBSTITUTE($G2646,"-",""))-1),SUBSTITUTE(SUBSTITUTE(SUBSTITUTE($G2646,"-"," ",LEN($G2646)-LEN(SUBSTITUTE($G2646,"-",""))),"-"," ",LEN($G2646)-LEN(SUBSTITUTE($G2646,"-",""))-1),"."," ",(LEN(SUBSTITUTE(SUBSTITUTE($G2646,"-"," ",LEN($G2646)-LEN(SUBSTITUTE($G2646,"-",""))),"-"," ",LEN($G2646)-LEN(SUBSTITUTE($G2646,"-",""))-1))-LEN(SUBSTITUTE(SUBSTITUTE(SUBSTITUTE($G2646,"-"," ",LEN($G2646)-LEN(SUBSTITUTE($G2646,"-",""))),"-"," ",LEN($G2646)-LEN(SUBSTITUTE($G2646,"-",""))-1),".",""))))),$G2646)))</f>
        <v/>
      </c>
    </row>
    <row r="2647">
      <c r="A2647" s="58" t="n"/>
      <c r="B2647" s="58">
        <f>IF($H2647="","",LEFT($H2647,FIND(" ",$H2647&amp;" ")-1))</f>
        <v/>
      </c>
      <c r="C2647" s="58">
        <f>IF($H2647="","",IFERROR(MID($H2647&amp;" ",FIND("|",SUBSTITUTE($H2647&amp;" "," ","|",1))+1,FIND("|",SUBSTITUTE($H2647&amp;" "," ","|",2))-FIND("|",SUBSTITUTE($H2647&amp;" "," ","|",1))-1),""))</f>
        <v/>
      </c>
      <c r="D2647" s="58">
        <f>IF($H2647="","",IFERROR(MID($H2647&amp;" ",FIND("|",SUBSTITUTE($H2647&amp;" "," ","|",2))+1,FIND("|",SUBSTITUTE($H2647&amp;" "," ","|",3))-FIND("|",SUBSTITUTE($H2647&amp;" "," ","|",2))-1),""))</f>
        <v/>
      </c>
      <c r="E2647" s="58">
        <f>IF($H2647="","",IFERROR(MID($H2647&amp;" ",FIND("|",SUBSTITUTE($H2647&amp;" "," ","|",3))+1,FIND("|",SUBSTITUTE($H2647&amp;" "," ","|",4))-FIND("|",SUBSTITUTE($H2647&amp;" "," ","|",3))-1),""))</f>
        <v/>
      </c>
      <c r="F2647" s="59">
        <f>IF($H2647="","",IFERROR(VALUE(IFERROR(MID($H2647&amp;" ",FIND("|",SUBSTITUTE($H2647&amp;" "," ","|",4))+1,FIND("|",SUBSTITUTE($H2647&amp;" "," ","|",5))-FIND("|",SUBSTITUTE($H2647&amp;" "," ","|",4))-1),""))/86400+25569+9/24,""))</f>
        <v/>
      </c>
      <c r="G2647" s="58">
        <f>TRIM(SUBSTITUTE(SUBSTITUTE(SUBSTITUTE($A2647,CHAR(9)," ")," "," "),CHAR(13),""))</f>
        <v/>
      </c>
      <c r="H2647" s="58">
        <f>IF($G2647="","",IF(ISNUMBER(FIND(" ",$G2647)),$G2647,IFERROR(IF((LEN(SUBSTITUTE(SUBSTITUTE($G2647,"-"," ",LEN($G2647)-LEN(SUBSTITUTE($G2647,"-",""))),"-"," ",LEN($G2647)-LEN(SUBSTITUTE($G2647,"-",""))-1))-LEN(SUBSTITUTE(SUBSTITUTE(SUBSTITUTE($G2647,"-"," ",LEN($G2647)-LEN(SUBSTITUTE($G2647,"-",""))),"-"," ",LEN($G2647)-LEN(SUBSTITUTE($G2647,"-",""))-1),".","")))=0,SUBSTITUTE(SUBSTITUTE($G2647,"-"," ",LEN($G2647)-LEN(SUBSTITUTE($G2647,"-",""))),"-"," ",LEN($G2647)-LEN(SUBSTITUTE($G2647,"-",""))-1),SUBSTITUTE(SUBSTITUTE(SUBSTITUTE($G2647,"-"," ",LEN($G2647)-LEN(SUBSTITUTE($G2647,"-",""))),"-"," ",LEN($G2647)-LEN(SUBSTITUTE($G2647,"-",""))-1),"."," ",(LEN(SUBSTITUTE(SUBSTITUTE($G2647,"-"," ",LEN($G2647)-LEN(SUBSTITUTE($G2647,"-",""))),"-"," ",LEN($G2647)-LEN(SUBSTITUTE($G2647,"-",""))-1))-LEN(SUBSTITUTE(SUBSTITUTE(SUBSTITUTE($G2647,"-"," ",LEN($G2647)-LEN(SUBSTITUTE($G2647,"-",""))),"-"," ",LEN($G2647)-LEN(SUBSTITUTE($G2647,"-",""))-1),".",""))))),$G2647)))</f>
        <v/>
      </c>
    </row>
    <row r="2648">
      <c r="A2648" s="58" t="n"/>
      <c r="B2648" s="58">
        <f>IF($H2648="","",LEFT($H2648,FIND(" ",$H2648&amp;" ")-1))</f>
        <v/>
      </c>
      <c r="C2648" s="58">
        <f>IF($H2648="","",IFERROR(MID($H2648&amp;" ",FIND("|",SUBSTITUTE($H2648&amp;" "," ","|",1))+1,FIND("|",SUBSTITUTE($H2648&amp;" "," ","|",2))-FIND("|",SUBSTITUTE($H2648&amp;" "," ","|",1))-1),""))</f>
        <v/>
      </c>
      <c r="D2648" s="58">
        <f>IF($H2648="","",IFERROR(MID($H2648&amp;" ",FIND("|",SUBSTITUTE($H2648&amp;" "," ","|",2))+1,FIND("|",SUBSTITUTE($H2648&amp;" "," ","|",3))-FIND("|",SUBSTITUTE($H2648&amp;" "," ","|",2))-1),""))</f>
        <v/>
      </c>
      <c r="E2648" s="58">
        <f>IF($H2648="","",IFERROR(MID($H2648&amp;" ",FIND("|",SUBSTITUTE($H2648&amp;" "," ","|",3))+1,FIND("|",SUBSTITUTE($H2648&amp;" "," ","|",4))-FIND("|",SUBSTITUTE($H2648&amp;" "," ","|",3))-1),""))</f>
        <v/>
      </c>
      <c r="F2648" s="59">
        <f>IF($H2648="","",IFERROR(VALUE(IFERROR(MID($H2648&amp;" ",FIND("|",SUBSTITUTE($H2648&amp;" "," ","|",4))+1,FIND("|",SUBSTITUTE($H2648&amp;" "," ","|",5))-FIND("|",SUBSTITUTE($H2648&amp;" "," ","|",4))-1),""))/86400+25569+9/24,""))</f>
        <v/>
      </c>
      <c r="G2648" s="58">
        <f>TRIM(SUBSTITUTE(SUBSTITUTE(SUBSTITUTE($A2648,CHAR(9)," ")," "," "),CHAR(13),""))</f>
        <v/>
      </c>
      <c r="H2648" s="58">
        <f>IF($G2648="","",IF(ISNUMBER(FIND(" ",$G2648)),$G2648,IFERROR(IF((LEN(SUBSTITUTE(SUBSTITUTE($G2648,"-"," ",LEN($G2648)-LEN(SUBSTITUTE($G2648,"-",""))),"-"," ",LEN($G2648)-LEN(SUBSTITUTE($G2648,"-",""))-1))-LEN(SUBSTITUTE(SUBSTITUTE(SUBSTITUTE($G2648,"-"," ",LEN($G2648)-LEN(SUBSTITUTE($G2648,"-",""))),"-"," ",LEN($G2648)-LEN(SUBSTITUTE($G2648,"-",""))-1),".","")))=0,SUBSTITUTE(SUBSTITUTE($G2648,"-"," ",LEN($G2648)-LEN(SUBSTITUTE($G2648,"-",""))),"-"," ",LEN($G2648)-LEN(SUBSTITUTE($G2648,"-",""))-1),SUBSTITUTE(SUBSTITUTE(SUBSTITUTE($G2648,"-"," ",LEN($G2648)-LEN(SUBSTITUTE($G2648,"-",""))),"-"," ",LEN($G2648)-LEN(SUBSTITUTE($G2648,"-",""))-1),"."," ",(LEN(SUBSTITUTE(SUBSTITUTE($G2648,"-"," ",LEN($G2648)-LEN(SUBSTITUTE($G2648,"-",""))),"-"," ",LEN($G2648)-LEN(SUBSTITUTE($G2648,"-",""))-1))-LEN(SUBSTITUTE(SUBSTITUTE(SUBSTITUTE($G2648,"-"," ",LEN($G2648)-LEN(SUBSTITUTE($G2648,"-",""))),"-"," ",LEN($G2648)-LEN(SUBSTITUTE($G2648,"-",""))-1),".",""))))),$G2648)))</f>
        <v/>
      </c>
    </row>
    <row r="2649">
      <c r="A2649" s="58" t="n"/>
      <c r="B2649" s="58">
        <f>IF($H2649="","",LEFT($H2649,FIND(" ",$H2649&amp;" ")-1))</f>
        <v/>
      </c>
      <c r="C2649" s="58">
        <f>IF($H2649="","",IFERROR(MID($H2649&amp;" ",FIND("|",SUBSTITUTE($H2649&amp;" "," ","|",1))+1,FIND("|",SUBSTITUTE($H2649&amp;" "," ","|",2))-FIND("|",SUBSTITUTE($H2649&amp;" "," ","|",1))-1),""))</f>
        <v/>
      </c>
      <c r="D2649" s="58">
        <f>IF($H2649="","",IFERROR(MID($H2649&amp;" ",FIND("|",SUBSTITUTE($H2649&amp;" "," ","|",2))+1,FIND("|",SUBSTITUTE($H2649&amp;" "," ","|",3))-FIND("|",SUBSTITUTE($H2649&amp;" "," ","|",2))-1),""))</f>
        <v/>
      </c>
      <c r="E2649" s="58">
        <f>IF($H2649="","",IFERROR(MID($H2649&amp;" ",FIND("|",SUBSTITUTE($H2649&amp;" "," ","|",3))+1,FIND("|",SUBSTITUTE($H2649&amp;" "," ","|",4))-FIND("|",SUBSTITUTE($H2649&amp;" "," ","|",3))-1),""))</f>
        <v/>
      </c>
      <c r="F2649" s="59">
        <f>IF($H2649="","",IFERROR(VALUE(IFERROR(MID($H2649&amp;" ",FIND("|",SUBSTITUTE($H2649&amp;" "," ","|",4))+1,FIND("|",SUBSTITUTE($H2649&amp;" "," ","|",5))-FIND("|",SUBSTITUTE($H2649&amp;" "," ","|",4))-1),""))/86400+25569+9/24,""))</f>
        <v/>
      </c>
      <c r="G2649" s="58">
        <f>TRIM(SUBSTITUTE(SUBSTITUTE(SUBSTITUTE($A2649,CHAR(9)," ")," "," "),CHAR(13),""))</f>
        <v/>
      </c>
      <c r="H2649" s="58">
        <f>IF($G2649="","",IF(ISNUMBER(FIND(" ",$G2649)),$G2649,IFERROR(IF((LEN(SUBSTITUTE(SUBSTITUTE($G2649,"-"," ",LEN($G2649)-LEN(SUBSTITUTE($G2649,"-",""))),"-"," ",LEN($G2649)-LEN(SUBSTITUTE($G2649,"-",""))-1))-LEN(SUBSTITUTE(SUBSTITUTE(SUBSTITUTE($G2649,"-"," ",LEN($G2649)-LEN(SUBSTITUTE($G2649,"-",""))),"-"," ",LEN($G2649)-LEN(SUBSTITUTE($G2649,"-",""))-1),".","")))=0,SUBSTITUTE(SUBSTITUTE($G2649,"-"," ",LEN($G2649)-LEN(SUBSTITUTE($G2649,"-",""))),"-"," ",LEN($G2649)-LEN(SUBSTITUTE($G2649,"-",""))-1),SUBSTITUTE(SUBSTITUTE(SUBSTITUTE($G2649,"-"," ",LEN($G2649)-LEN(SUBSTITUTE($G2649,"-",""))),"-"," ",LEN($G2649)-LEN(SUBSTITUTE($G2649,"-",""))-1),"."," ",(LEN(SUBSTITUTE(SUBSTITUTE($G2649,"-"," ",LEN($G2649)-LEN(SUBSTITUTE($G2649,"-",""))),"-"," ",LEN($G2649)-LEN(SUBSTITUTE($G2649,"-",""))-1))-LEN(SUBSTITUTE(SUBSTITUTE(SUBSTITUTE($G2649,"-"," ",LEN($G2649)-LEN(SUBSTITUTE($G2649,"-",""))),"-"," ",LEN($G2649)-LEN(SUBSTITUTE($G2649,"-",""))-1),".",""))))),$G2649)))</f>
        <v/>
      </c>
    </row>
    <row r="2650">
      <c r="A2650" s="58" t="n"/>
      <c r="B2650" s="58">
        <f>IF($H2650="","",LEFT($H2650,FIND(" ",$H2650&amp;" ")-1))</f>
        <v/>
      </c>
      <c r="C2650" s="58">
        <f>IF($H2650="","",IFERROR(MID($H2650&amp;" ",FIND("|",SUBSTITUTE($H2650&amp;" "," ","|",1))+1,FIND("|",SUBSTITUTE($H2650&amp;" "," ","|",2))-FIND("|",SUBSTITUTE($H2650&amp;" "," ","|",1))-1),""))</f>
        <v/>
      </c>
      <c r="D2650" s="58">
        <f>IF($H2650="","",IFERROR(MID($H2650&amp;" ",FIND("|",SUBSTITUTE($H2650&amp;" "," ","|",2))+1,FIND("|",SUBSTITUTE($H2650&amp;" "," ","|",3))-FIND("|",SUBSTITUTE($H2650&amp;" "," ","|",2))-1),""))</f>
        <v/>
      </c>
      <c r="E2650" s="58">
        <f>IF($H2650="","",IFERROR(MID($H2650&amp;" ",FIND("|",SUBSTITUTE($H2650&amp;" "," ","|",3))+1,FIND("|",SUBSTITUTE($H2650&amp;" "," ","|",4))-FIND("|",SUBSTITUTE($H2650&amp;" "," ","|",3))-1),""))</f>
        <v/>
      </c>
      <c r="F2650" s="59">
        <f>IF($H2650="","",IFERROR(VALUE(IFERROR(MID($H2650&amp;" ",FIND("|",SUBSTITUTE($H2650&amp;" "," ","|",4))+1,FIND("|",SUBSTITUTE($H2650&amp;" "," ","|",5))-FIND("|",SUBSTITUTE($H2650&amp;" "," ","|",4))-1),""))/86400+25569+9/24,""))</f>
        <v/>
      </c>
      <c r="G2650" s="58">
        <f>TRIM(SUBSTITUTE(SUBSTITUTE(SUBSTITUTE($A2650,CHAR(9)," ")," "," "),CHAR(13),""))</f>
        <v/>
      </c>
      <c r="H2650" s="58">
        <f>IF($G2650="","",IF(ISNUMBER(FIND(" ",$G2650)),$G2650,IFERROR(IF((LEN(SUBSTITUTE(SUBSTITUTE($G2650,"-"," ",LEN($G2650)-LEN(SUBSTITUTE($G2650,"-",""))),"-"," ",LEN($G2650)-LEN(SUBSTITUTE($G2650,"-",""))-1))-LEN(SUBSTITUTE(SUBSTITUTE(SUBSTITUTE($G2650,"-"," ",LEN($G2650)-LEN(SUBSTITUTE($G2650,"-",""))),"-"," ",LEN($G2650)-LEN(SUBSTITUTE($G2650,"-",""))-1),".","")))=0,SUBSTITUTE(SUBSTITUTE($G2650,"-"," ",LEN($G2650)-LEN(SUBSTITUTE($G2650,"-",""))),"-"," ",LEN($G2650)-LEN(SUBSTITUTE($G2650,"-",""))-1),SUBSTITUTE(SUBSTITUTE(SUBSTITUTE($G2650,"-"," ",LEN($G2650)-LEN(SUBSTITUTE($G2650,"-",""))),"-"," ",LEN($G2650)-LEN(SUBSTITUTE($G2650,"-",""))-1),"."," ",(LEN(SUBSTITUTE(SUBSTITUTE($G2650,"-"," ",LEN($G2650)-LEN(SUBSTITUTE($G2650,"-",""))),"-"," ",LEN($G2650)-LEN(SUBSTITUTE($G2650,"-",""))-1))-LEN(SUBSTITUTE(SUBSTITUTE(SUBSTITUTE($G2650,"-"," ",LEN($G2650)-LEN(SUBSTITUTE($G2650,"-",""))),"-"," ",LEN($G2650)-LEN(SUBSTITUTE($G2650,"-",""))-1),".",""))))),$G2650)))</f>
        <v/>
      </c>
    </row>
    <row r="2651">
      <c r="A2651" s="58" t="n"/>
      <c r="B2651" s="58">
        <f>IF($H2651="","",LEFT($H2651,FIND(" ",$H2651&amp;" ")-1))</f>
        <v/>
      </c>
      <c r="C2651" s="58">
        <f>IF($H2651="","",IFERROR(MID($H2651&amp;" ",FIND("|",SUBSTITUTE($H2651&amp;" "," ","|",1))+1,FIND("|",SUBSTITUTE($H2651&amp;" "," ","|",2))-FIND("|",SUBSTITUTE($H2651&amp;" "," ","|",1))-1),""))</f>
        <v/>
      </c>
      <c r="D2651" s="58">
        <f>IF($H2651="","",IFERROR(MID($H2651&amp;" ",FIND("|",SUBSTITUTE($H2651&amp;" "," ","|",2))+1,FIND("|",SUBSTITUTE($H2651&amp;" "," ","|",3))-FIND("|",SUBSTITUTE($H2651&amp;" "," ","|",2))-1),""))</f>
        <v/>
      </c>
      <c r="E2651" s="58">
        <f>IF($H2651="","",IFERROR(MID($H2651&amp;" ",FIND("|",SUBSTITUTE($H2651&amp;" "," ","|",3))+1,FIND("|",SUBSTITUTE($H2651&amp;" "," ","|",4))-FIND("|",SUBSTITUTE($H2651&amp;" "," ","|",3))-1),""))</f>
        <v/>
      </c>
      <c r="F2651" s="59">
        <f>IF($H2651="","",IFERROR(VALUE(IFERROR(MID($H2651&amp;" ",FIND("|",SUBSTITUTE($H2651&amp;" "," ","|",4))+1,FIND("|",SUBSTITUTE($H2651&amp;" "," ","|",5))-FIND("|",SUBSTITUTE($H2651&amp;" "," ","|",4))-1),""))/86400+25569+9/24,""))</f>
        <v/>
      </c>
      <c r="G2651" s="58">
        <f>TRIM(SUBSTITUTE(SUBSTITUTE(SUBSTITUTE($A2651,CHAR(9)," ")," "," "),CHAR(13),""))</f>
        <v/>
      </c>
      <c r="H2651" s="58">
        <f>IF($G2651="","",IF(ISNUMBER(FIND(" ",$G2651)),$G2651,IFERROR(IF((LEN(SUBSTITUTE(SUBSTITUTE($G2651,"-"," ",LEN($G2651)-LEN(SUBSTITUTE($G2651,"-",""))),"-"," ",LEN($G2651)-LEN(SUBSTITUTE($G2651,"-",""))-1))-LEN(SUBSTITUTE(SUBSTITUTE(SUBSTITUTE($G2651,"-"," ",LEN($G2651)-LEN(SUBSTITUTE($G2651,"-",""))),"-"," ",LEN($G2651)-LEN(SUBSTITUTE($G2651,"-",""))-1),".","")))=0,SUBSTITUTE(SUBSTITUTE($G2651,"-"," ",LEN($G2651)-LEN(SUBSTITUTE($G2651,"-",""))),"-"," ",LEN($G2651)-LEN(SUBSTITUTE($G2651,"-",""))-1),SUBSTITUTE(SUBSTITUTE(SUBSTITUTE($G2651,"-"," ",LEN($G2651)-LEN(SUBSTITUTE($G2651,"-",""))),"-"," ",LEN($G2651)-LEN(SUBSTITUTE($G2651,"-",""))-1),"."," ",(LEN(SUBSTITUTE(SUBSTITUTE($G2651,"-"," ",LEN($G2651)-LEN(SUBSTITUTE($G2651,"-",""))),"-"," ",LEN($G2651)-LEN(SUBSTITUTE($G2651,"-",""))-1))-LEN(SUBSTITUTE(SUBSTITUTE(SUBSTITUTE($G2651,"-"," ",LEN($G2651)-LEN(SUBSTITUTE($G2651,"-",""))),"-"," ",LEN($G2651)-LEN(SUBSTITUTE($G2651,"-",""))-1),".",""))))),$G2651)))</f>
        <v/>
      </c>
    </row>
    <row r="2652">
      <c r="A2652" s="58" t="n"/>
      <c r="B2652" s="58">
        <f>IF($H2652="","",LEFT($H2652,FIND(" ",$H2652&amp;" ")-1))</f>
        <v/>
      </c>
      <c r="C2652" s="58">
        <f>IF($H2652="","",IFERROR(MID($H2652&amp;" ",FIND("|",SUBSTITUTE($H2652&amp;" "," ","|",1))+1,FIND("|",SUBSTITUTE($H2652&amp;" "," ","|",2))-FIND("|",SUBSTITUTE($H2652&amp;" "," ","|",1))-1),""))</f>
        <v/>
      </c>
      <c r="D2652" s="58">
        <f>IF($H2652="","",IFERROR(MID($H2652&amp;" ",FIND("|",SUBSTITUTE($H2652&amp;" "," ","|",2))+1,FIND("|",SUBSTITUTE($H2652&amp;" "," ","|",3))-FIND("|",SUBSTITUTE($H2652&amp;" "," ","|",2))-1),""))</f>
        <v/>
      </c>
      <c r="E2652" s="58">
        <f>IF($H2652="","",IFERROR(MID($H2652&amp;" ",FIND("|",SUBSTITUTE($H2652&amp;" "," ","|",3))+1,FIND("|",SUBSTITUTE($H2652&amp;" "," ","|",4))-FIND("|",SUBSTITUTE($H2652&amp;" "," ","|",3))-1),""))</f>
        <v/>
      </c>
      <c r="F2652" s="59">
        <f>IF($H2652="","",IFERROR(VALUE(IFERROR(MID($H2652&amp;" ",FIND("|",SUBSTITUTE($H2652&amp;" "," ","|",4))+1,FIND("|",SUBSTITUTE($H2652&amp;" "," ","|",5))-FIND("|",SUBSTITUTE($H2652&amp;" "," ","|",4))-1),""))/86400+25569+9/24,""))</f>
        <v/>
      </c>
      <c r="G2652" s="58">
        <f>TRIM(SUBSTITUTE(SUBSTITUTE(SUBSTITUTE($A2652,CHAR(9)," ")," "," "),CHAR(13),""))</f>
        <v/>
      </c>
      <c r="H2652" s="58">
        <f>IF($G2652="","",IF(ISNUMBER(FIND(" ",$G2652)),$G2652,IFERROR(IF((LEN(SUBSTITUTE(SUBSTITUTE($G2652,"-"," ",LEN($G2652)-LEN(SUBSTITUTE($G2652,"-",""))),"-"," ",LEN($G2652)-LEN(SUBSTITUTE($G2652,"-",""))-1))-LEN(SUBSTITUTE(SUBSTITUTE(SUBSTITUTE($G2652,"-"," ",LEN($G2652)-LEN(SUBSTITUTE($G2652,"-",""))),"-"," ",LEN($G2652)-LEN(SUBSTITUTE($G2652,"-",""))-1),".","")))=0,SUBSTITUTE(SUBSTITUTE($G2652,"-"," ",LEN($G2652)-LEN(SUBSTITUTE($G2652,"-",""))),"-"," ",LEN($G2652)-LEN(SUBSTITUTE($G2652,"-",""))-1),SUBSTITUTE(SUBSTITUTE(SUBSTITUTE($G2652,"-"," ",LEN($G2652)-LEN(SUBSTITUTE($G2652,"-",""))),"-"," ",LEN($G2652)-LEN(SUBSTITUTE($G2652,"-",""))-1),"."," ",(LEN(SUBSTITUTE(SUBSTITUTE($G2652,"-"," ",LEN($G2652)-LEN(SUBSTITUTE($G2652,"-",""))),"-"," ",LEN($G2652)-LEN(SUBSTITUTE($G2652,"-",""))-1))-LEN(SUBSTITUTE(SUBSTITUTE(SUBSTITUTE($G2652,"-"," ",LEN($G2652)-LEN(SUBSTITUTE($G2652,"-",""))),"-"," ",LEN($G2652)-LEN(SUBSTITUTE($G2652,"-",""))-1),".",""))))),$G2652)))</f>
        <v/>
      </c>
    </row>
    <row r="2653">
      <c r="A2653" s="58" t="n"/>
      <c r="B2653" s="58">
        <f>IF($H2653="","",LEFT($H2653,FIND(" ",$H2653&amp;" ")-1))</f>
        <v/>
      </c>
      <c r="C2653" s="58">
        <f>IF($H2653="","",IFERROR(MID($H2653&amp;" ",FIND("|",SUBSTITUTE($H2653&amp;" "," ","|",1))+1,FIND("|",SUBSTITUTE($H2653&amp;" "," ","|",2))-FIND("|",SUBSTITUTE($H2653&amp;" "," ","|",1))-1),""))</f>
        <v/>
      </c>
      <c r="D2653" s="58">
        <f>IF($H2653="","",IFERROR(MID($H2653&amp;" ",FIND("|",SUBSTITUTE($H2653&amp;" "," ","|",2))+1,FIND("|",SUBSTITUTE($H2653&amp;" "," ","|",3))-FIND("|",SUBSTITUTE($H2653&amp;" "," ","|",2))-1),""))</f>
        <v/>
      </c>
      <c r="E2653" s="58">
        <f>IF($H2653="","",IFERROR(MID($H2653&amp;" ",FIND("|",SUBSTITUTE($H2653&amp;" "," ","|",3))+1,FIND("|",SUBSTITUTE($H2653&amp;" "," ","|",4))-FIND("|",SUBSTITUTE($H2653&amp;" "," ","|",3))-1),""))</f>
        <v/>
      </c>
      <c r="F2653" s="59">
        <f>IF($H2653="","",IFERROR(VALUE(IFERROR(MID($H2653&amp;" ",FIND("|",SUBSTITUTE($H2653&amp;" "," ","|",4))+1,FIND("|",SUBSTITUTE($H2653&amp;" "," ","|",5))-FIND("|",SUBSTITUTE($H2653&amp;" "," ","|",4))-1),""))/86400+25569+9/24,""))</f>
        <v/>
      </c>
      <c r="G2653" s="58">
        <f>TRIM(SUBSTITUTE(SUBSTITUTE(SUBSTITUTE($A2653,CHAR(9)," ")," "," "),CHAR(13),""))</f>
        <v/>
      </c>
      <c r="H2653" s="58">
        <f>IF($G2653="","",IF(ISNUMBER(FIND(" ",$G2653)),$G2653,IFERROR(IF((LEN(SUBSTITUTE(SUBSTITUTE($G2653,"-"," ",LEN($G2653)-LEN(SUBSTITUTE($G2653,"-",""))),"-"," ",LEN($G2653)-LEN(SUBSTITUTE($G2653,"-",""))-1))-LEN(SUBSTITUTE(SUBSTITUTE(SUBSTITUTE($G2653,"-"," ",LEN($G2653)-LEN(SUBSTITUTE($G2653,"-",""))),"-"," ",LEN($G2653)-LEN(SUBSTITUTE($G2653,"-",""))-1),".","")))=0,SUBSTITUTE(SUBSTITUTE($G2653,"-"," ",LEN($G2653)-LEN(SUBSTITUTE($G2653,"-",""))),"-"," ",LEN($G2653)-LEN(SUBSTITUTE($G2653,"-",""))-1),SUBSTITUTE(SUBSTITUTE(SUBSTITUTE($G2653,"-"," ",LEN($G2653)-LEN(SUBSTITUTE($G2653,"-",""))),"-"," ",LEN($G2653)-LEN(SUBSTITUTE($G2653,"-",""))-1),"."," ",(LEN(SUBSTITUTE(SUBSTITUTE($G2653,"-"," ",LEN($G2653)-LEN(SUBSTITUTE($G2653,"-",""))),"-"," ",LEN($G2653)-LEN(SUBSTITUTE($G2653,"-",""))-1))-LEN(SUBSTITUTE(SUBSTITUTE(SUBSTITUTE($G2653,"-"," ",LEN($G2653)-LEN(SUBSTITUTE($G2653,"-",""))),"-"," ",LEN($G2653)-LEN(SUBSTITUTE($G2653,"-",""))-1),".",""))))),$G2653)))</f>
        <v/>
      </c>
    </row>
    <row r="2654">
      <c r="A2654" s="58" t="n"/>
      <c r="B2654" s="58">
        <f>IF($H2654="","",LEFT($H2654,FIND(" ",$H2654&amp;" ")-1))</f>
        <v/>
      </c>
      <c r="C2654" s="58">
        <f>IF($H2654="","",IFERROR(MID($H2654&amp;" ",FIND("|",SUBSTITUTE($H2654&amp;" "," ","|",1))+1,FIND("|",SUBSTITUTE($H2654&amp;" "," ","|",2))-FIND("|",SUBSTITUTE($H2654&amp;" "," ","|",1))-1),""))</f>
        <v/>
      </c>
      <c r="D2654" s="58">
        <f>IF($H2654="","",IFERROR(MID($H2654&amp;" ",FIND("|",SUBSTITUTE($H2654&amp;" "," ","|",2))+1,FIND("|",SUBSTITUTE($H2654&amp;" "," ","|",3))-FIND("|",SUBSTITUTE($H2654&amp;" "," ","|",2))-1),""))</f>
        <v/>
      </c>
      <c r="E2654" s="58">
        <f>IF($H2654="","",IFERROR(MID($H2654&amp;" ",FIND("|",SUBSTITUTE($H2654&amp;" "," ","|",3))+1,FIND("|",SUBSTITUTE($H2654&amp;" "," ","|",4))-FIND("|",SUBSTITUTE($H2654&amp;" "," ","|",3))-1),""))</f>
        <v/>
      </c>
      <c r="F2654" s="59">
        <f>IF($H2654="","",IFERROR(VALUE(IFERROR(MID($H2654&amp;" ",FIND("|",SUBSTITUTE($H2654&amp;" "," ","|",4))+1,FIND("|",SUBSTITUTE($H2654&amp;" "," ","|",5))-FIND("|",SUBSTITUTE($H2654&amp;" "," ","|",4))-1),""))/86400+25569+9/24,""))</f>
        <v/>
      </c>
      <c r="G2654" s="58">
        <f>TRIM(SUBSTITUTE(SUBSTITUTE(SUBSTITUTE($A2654,CHAR(9)," ")," "," "),CHAR(13),""))</f>
        <v/>
      </c>
      <c r="H2654" s="58">
        <f>IF($G2654="","",IF(ISNUMBER(FIND(" ",$G2654)),$G2654,IFERROR(IF((LEN(SUBSTITUTE(SUBSTITUTE($G2654,"-"," ",LEN($G2654)-LEN(SUBSTITUTE($G2654,"-",""))),"-"," ",LEN($G2654)-LEN(SUBSTITUTE($G2654,"-",""))-1))-LEN(SUBSTITUTE(SUBSTITUTE(SUBSTITUTE($G2654,"-"," ",LEN($G2654)-LEN(SUBSTITUTE($G2654,"-",""))),"-"," ",LEN($G2654)-LEN(SUBSTITUTE($G2654,"-",""))-1),".","")))=0,SUBSTITUTE(SUBSTITUTE($G2654,"-"," ",LEN($G2654)-LEN(SUBSTITUTE($G2654,"-",""))),"-"," ",LEN($G2654)-LEN(SUBSTITUTE($G2654,"-",""))-1),SUBSTITUTE(SUBSTITUTE(SUBSTITUTE($G2654,"-"," ",LEN($G2654)-LEN(SUBSTITUTE($G2654,"-",""))),"-"," ",LEN($G2654)-LEN(SUBSTITUTE($G2654,"-",""))-1),"."," ",(LEN(SUBSTITUTE(SUBSTITUTE($G2654,"-"," ",LEN($G2654)-LEN(SUBSTITUTE($G2654,"-",""))),"-"," ",LEN($G2654)-LEN(SUBSTITUTE($G2654,"-",""))-1))-LEN(SUBSTITUTE(SUBSTITUTE(SUBSTITUTE($G2654,"-"," ",LEN($G2654)-LEN(SUBSTITUTE($G2654,"-",""))),"-"," ",LEN($G2654)-LEN(SUBSTITUTE($G2654,"-",""))-1),".",""))))),$G2654)))</f>
        <v/>
      </c>
    </row>
    <row r="2655">
      <c r="A2655" s="58" t="n"/>
      <c r="B2655" s="58">
        <f>IF($H2655="","",LEFT($H2655,FIND(" ",$H2655&amp;" ")-1))</f>
        <v/>
      </c>
      <c r="C2655" s="58">
        <f>IF($H2655="","",IFERROR(MID($H2655&amp;" ",FIND("|",SUBSTITUTE($H2655&amp;" "," ","|",1))+1,FIND("|",SUBSTITUTE($H2655&amp;" "," ","|",2))-FIND("|",SUBSTITUTE($H2655&amp;" "," ","|",1))-1),""))</f>
        <v/>
      </c>
      <c r="D2655" s="58">
        <f>IF($H2655="","",IFERROR(MID($H2655&amp;" ",FIND("|",SUBSTITUTE($H2655&amp;" "," ","|",2))+1,FIND("|",SUBSTITUTE($H2655&amp;" "," ","|",3))-FIND("|",SUBSTITUTE($H2655&amp;" "," ","|",2))-1),""))</f>
        <v/>
      </c>
      <c r="E2655" s="58">
        <f>IF($H2655="","",IFERROR(MID($H2655&amp;" ",FIND("|",SUBSTITUTE($H2655&amp;" "," ","|",3))+1,FIND("|",SUBSTITUTE($H2655&amp;" "," ","|",4))-FIND("|",SUBSTITUTE($H2655&amp;" "," ","|",3))-1),""))</f>
        <v/>
      </c>
      <c r="F2655" s="59">
        <f>IF($H2655="","",IFERROR(VALUE(IFERROR(MID($H2655&amp;" ",FIND("|",SUBSTITUTE($H2655&amp;" "," ","|",4))+1,FIND("|",SUBSTITUTE($H2655&amp;" "," ","|",5))-FIND("|",SUBSTITUTE($H2655&amp;" "," ","|",4))-1),""))/86400+25569+9/24,""))</f>
        <v/>
      </c>
      <c r="G2655" s="58">
        <f>TRIM(SUBSTITUTE(SUBSTITUTE(SUBSTITUTE($A2655,CHAR(9)," ")," "," "),CHAR(13),""))</f>
        <v/>
      </c>
      <c r="H2655" s="58">
        <f>IF($G2655="","",IF(ISNUMBER(FIND(" ",$G2655)),$G2655,IFERROR(IF((LEN(SUBSTITUTE(SUBSTITUTE($G2655,"-"," ",LEN($G2655)-LEN(SUBSTITUTE($G2655,"-",""))),"-"," ",LEN($G2655)-LEN(SUBSTITUTE($G2655,"-",""))-1))-LEN(SUBSTITUTE(SUBSTITUTE(SUBSTITUTE($G2655,"-"," ",LEN($G2655)-LEN(SUBSTITUTE($G2655,"-",""))),"-"," ",LEN($G2655)-LEN(SUBSTITUTE($G2655,"-",""))-1),".","")))=0,SUBSTITUTE(SUBSTITUTE($G2655,"-"," ",LEN($G2655)-LEN(SUBSTITUTE($G2655,"-",""))),"-"," ",LEN($G2655)-LEN(SUBSTITUTE($G2655,"-",""))-1),SUBSTITUTE(SUBSTITUTE(SUBSTITUTE($G2655,"-"," ",LEN($G2655)-LEN(SUBSTITUTE($G2655,"-",""))),"-"," ",LEN($G2655)-LEN(SUBSTITUTE($G2655,"-",""))-1),"."," ",(LEN(SUBSTITUTE(SUBSTITUTE($G2655,"-"," ",LEN($G2655)-LEN(SUBSTITUTE($G2655,"-",""))),"-"," ",LEN($G2655)-LEN(SUBSTITUTE($G2655,"-",""))-1))-LEN(SUBSTITUTE(SUBSTITUTE(SUBSTITUTE($G2655,"-"," ",LEN($G2655)-LEN(SUBSTITUTE($G2655,"-",""))),"-"," ",LEN($G2655)-LEN(SUBSTITUTE($G2655,"-",""))-1),".",""))))),$G2655)))</f>
        <v/>
      </c>
    </row>
    <row r="2656">
      <c r="A2656" s="58" t="n"/>
      <c r="B2656" s="58">
        <f>IF($H2656="","",LEFT($H2656,FIND(" ",$H2656&amp;" ")-1))</f>
        <v/>
      </c>
      <c r="C2656" s="58">
        <f>IF($H2656="","",IFERROR(MID($H2656&amp;" ",FIND("|",SUBSTITUTE($H2656&amp;" "," ","|",1))+1,FIND("|",SUBSTITUTE($H2656&amp;" "," ","|",2))-FIND("|",SUBSTITUTE($H2656&amp;" "," ","|",1))-1),""))</f>
        <v/>
      </c>
      <c r="D2656" s="58">
        <f>IF($H2656="","",IFERROR(MID($H2656&amp;" ",FIND("|",SUBSTITUTE($H2656&amp;" "," ","|",2))+1,FIND("|",SUBSTITUTE($H2656&amp;" "," ","|",3))-FIND("|",SUBSTITUTE($H2656&amp;" "," ","|",2))-1),""))</f>
        <v/>
      </c>
      <c r="E2656" s="58">
        <f>IF($H2656="","",IFERROR(MID($H2656&amp;" ",FIND("|",SUBSTITUTE($H2656&amp;" "," ","|",3))+1,FIND("|",SUBSTITUTE($H2656&amp;" "," ","|",4))-FIND("|",SUBSTITUTE($H2656&amp;" "," ","|",3))-1),""))</f>
        <v/>
      </c>
      <c r="F2656" s="59">
        <f>IF($H2656="","",IFERROR(VALUE(IFERROR(MID($H2656&amp;" ",FIND("|",SUBSTITUTE($H2656&amp;" "," ","|",4))+1,FIND("|",SUBSTITUTE($H2656&amp;" "," ","|",5))-FIND("|",SUBSTITUTE($H2656&amp;" "," ","|",4))-1),""))/86400+25569+9/24,""))</f>
        <v/>
      </c>
      <c r="G2656" s="58">
        <f>TRIM(SUBSTITUTE(SUBSTITUTE(SUBSTITUTE($A2656,CHAR(9)," ")," "," "),CHAR(13),""))</f>
        <v/>
      </c>
      <c r="H2656" s="58">
        <f>IF($G2656="","",IF(ISNUMBER(FIND(" ",$G2656)),$G2656,IFERROR(IF((LEN(SUBSTITUTE(SUBSTITUTE($G2656,"-"," ",LEN($G2656)-LEN(SUBSTITUTE($G2656,"-",""))),"-"," ",LEN($G2656)-LEN(SUBSTITUTE($G2656,"-",""))-1))-LEN(SUBSTITUTE(SUBSTITUTE(SUBSTITUTE($G2656,"-"," ",LEN($G2656)-LEN(SUBSTITUTE($G2656,"-",""))),"-"," ",LEN($G2656)-LEN(SUBSTITUTE($G2656,"-",""))-1),".","")))=0,SUBSTITUTE(SUBSTITUTE($G2656,"-"," ",LEN($G2656)-LEN(SUBSTITUTE($G2656,"-",""))),"-"," ",LEN($G2656)-LEN(SUBSTITUTE($G2656,"-",""))-1),SUBSTITUTE(SUBSTITUTE(SUBSTITUTE($G2656,"-"," ",LEN($G2656)-LEN(SUBSTITUTE($G2656,"-",""))),"-"," ",LEN($G2656)-LEN(SUBSTITUTE($G2656,"-",""))-1),"."," ",(LEN(SUBSTITUTE(SUBSTITUTE($G2656,"-"," ",LEN($G2656)-LEN(SUBSTITUTE($G2656,"-",""))),"-"," ",LEN($G2656)-LEN(SUBSTITUTE($G2656,"-",""))-1))-LEN(SUBSTITUTE(SUBSTITUTE(SUBSTITUTE($G2656,"-"," ",LEN($G2656)-LEN(SUBSTITUTE($G2656,"-",""))),"-"," ",LEN($G2656)-LEN(SUBSTITUTE($G2656,"-",""))-1),".",""))))),$G2656)))</f>
        <v/>
      </c>
    </row>
    <row r="2657">
      <c r="A2657" s="58" t="n"/>
      <c r="B2657" s="58">
        <f>IF($H2657="","",LEFT($H2657,FIND(" ",$H2657&amp;" ")-1))</f>
        <v/>
      </c>
      <c r="C2657" s="58">
        <f>IF($H2657="","",IFERROR(MID($H2657&amp;" ",FIND("|",SUBSTITUTE($H2657&amp;" "," ","|",1))+1,FIND("|",SUBSTITUTE($H2657&amp;" "," ","|",2))-FIND("|",SUBSTITUTE($H2657&amp;" "," ","|",1))-1),""))</f>
        <v/>
      </c>
      <c r="D2657" s="58">
        <f>IF($H2657="","",IFERROR(MID($H2657&amp;" ",FIND("|",SUBSTITUTE($H2657&amp;" "," ","|",2))+1,FIND("|",SUBSTITUTE($H2657&amp;" "," ","|",3))-FIND("|",SUBSTITUTE($H2657&amp;" "," ","|",2))-1),""))</f>
        <v/>
      </c>
      <c r="E2657" s="58">
        <f>IF($H2657="","",IFERROR(MID($H2657&amp;" ",FIND("|",SUBSTITUTE($H2657&amp;" "," ","|",3))+1,FIND("|",SUBSTITUTE($H2657&amp;" "," ","|",4))-FIND("|",SUBSTITUTE($H2657&amp;" "," ","|",3))-1),""))</f>
        <v/>
      </c>
      <c r="F2657" s="59">
        <f>IF($H2657="","",IFERROR(VALUE(IFERROR(MID($H2657&amp;" ",FIND("|",SUBSTITUTE($H2657&amp;" "," ","|",4))+1,FIND("|",SUBSTITUTE($H2657&amp;" "," ","|",5))-FIND("|",SUBSTITUTE($H2657&amp;" "," ","|",4))-1),""))/86400+25569+9/24,""))</f>
        <v/>
      </c>
      <c r="G2657" s="58">
        <f>TRIM(SUBSTITUTE(SUBSTITUTE(SUBSTITUTE($A2657,CHAR(9)," ")," "," "),CHAR(13),""))</f>
        <v/>
      </c>
      <c r="H2657" s="58">
        <f>IF($G2657="","",IF(ISNUMBER(FIND(" ",$G2657)),$G2657,IFERROR(IF((LEN(SUBSTITUTE(SUBSTITUTE($G2657,"-"," ",LEN($G2657)-LEN(SUBSTITUTE($G2657,"-",""))),"-"," ",LEN($G2657)-LEN(SUBSTITUTE($G2657,"-",""))-1))-LEN(SUBSTITUTE(SUBSTITUTE(SUBSTITUTE($G2657,"-"," ",LEN($G2657)-LEN(SUBSTITUTE($G2657,"-",""))),"-"," ",LEN($G2657)-LEN(SUBSTITUTE($G2657,"-",""))-1),".","")))=0,SUBSTITUTE(SUBSTITUTE($G2657,"-"," ",LEN($G2657)-LEN(SUBSTITUTE($G2657,"-",""))),"-"," ",LEN($G2657)-LEN(SUBSTITUTE($G2657,"-",""))-1),SUBSTITUTE(SUBSTITUTE(SUBSTITUTE($G2657,"-"," ",LEN($G2657)-LEN(SUBSTITUTE($G2657,"-",""))),"-"," ",LEN($G2657)-LEN(SUBSTITUTE($G2657,"-",""))-1),"."," ",(LEN(SUBSTITUTE(SUBSTITUTE($G2657,"-"," ",LEN($G2657)-LEN(SUBSTITUTE($G2657,"-",""))),"-"," ",LEN($G2657)-LEN(SUBSTITUTE($G2657,"-",""))-1))-LEN(SUBSTITUTE(SUBSTITUTE(SUBSTITUTE($G2657,"-"," ",LEN($G2657)-LEN(SUBSTITUTE($G2657,"-",""))),"-"," ",LEN($G2657)-LEN(SUBSTITUTE($G2657,"-",""))-1),".",""))))),$G2657)))</f>
        <v/>
      </c>
    </row>
    <row r="2658">
      <c r="A2658" s="58" t="n"/>
      <c r="B2658" s="58">
        <f>IF($H2658="","",LEFT($H2658,FIND(" ",$H2658&amp;" ")-1))</f>
        <v/>
      </c>
      <c r="C2658" s="58">
        <f>IF($H2658="","",IFERROR(MID($H2658&amp;" ",FIND("|",SUBSTITUTE($H2658&amp;" "," ","|",1))+1,FIND("|",SUBSTITUTE($H2658&amp;" "," ","|",2))-FIND("|",SUBSTITUTE($H2658&amp;" "," ","|",1))-1),""))</f>
        <v/>
      </c>
      <c r="D2658" s="58">
        <f>IF($H2658="","",IFERROR(MID($H2658&amp;" ",FIND("|",SUBSTITUTE($H2658&amp;" "," ","|",2))+1,FIND("|",SUBSTITUTE($H2658&amp;" "," ","|",3))-FIND("|",SUBSTITUTE($H2658&amp;" "," ","|",2))-1),""))</f>
        <v/>
      </c>
      <c r="E2658" s="58">
        <f>IF($H2658="","",IFERROR(MID($H2658&amp;" ",FIND("|",SUBSTITUTE($H2658&amp;" "," ","|",3))+1,FIND("|",SUBSTITUTE($H2658&amp;" "," ","|",4))-FIND("|",SUBSTITUTE($H2658&amp;" "," ","|",3))-1),""))</f>
        <v/>
      </c>
      <c r="F2658" s="59">
        <f>IF($H2658="","",IFERROR(VALUE(IFERROR(MID($H2658&amp;" ",FIND("|",SUBSTITUTE($H2658&amp;" "," ","|",4))+1,FIND("|",SUBSTITUTE($H2658&amp;" "," ","|",5))-FIND("|",SUBSTITUTE($H2658&amp;" "," ","|",4))-1),""))/86400+25569+9/24,""))</f>
        <v/>
      </c>
      <c r="G2658" s="58">
        <f>TRIM(SUBSTITUTE(SUBSTITUTE(SUBSTITUTE($A2658,CHAR(9)," ")," "," "),CHAR(13),""))</f>
        <v/>
      </c>
      <c r="H2658" s="58">
        <f>IF($G2658="","",IF(ISNUMBER(FIND(" ",$G2658)),$G2658,IFERROR(IF((LEN(SUBSTITUTE(SUBSTITUTE($G2658,"-"," ",LEN($G2658)-LEN(SUBSTITUTE($G2658,"-",""))),"-"," ",LEN($G2658)-LEN(SUBSTITUTE($G2658,"-",""))-1))-LEN(SUBSTITUTE(SUBSTITUTE(SUBSTITUTE($G2658,"-"," ",LEN($G2658)-LEN(SUBSTITUTE($G2658,"-",""))),"-"," ",LEN($G2658)-LEN(SUBSTITUTE($G2658,"-",""))-1),".","")))=0,SUBSTITUTE(SUBSTITUTE($G2658,"-"," ",LEN($G2658)-LEN(SUBSTITUTE($G2658,"-",""))),"-"," ",LEN($G2658)-LEN(SUBSTITUTE($G2658,"-",""))-1),SUBSTITUTE(SUBSTITUTE(SUBSTITUTE($G2658,"-"," ",LEN($G2658)-LEN(SUBSTITUTE($G2658,"-",""))),"-"," ",LEN($G2658)-LEN(SUBSTITUTE($G2658,"-",""))-1),"."," ",(LEN(SUBSTITUTE(SUBSTITUTE($G2658,"-"," ",LEN($G2658)-LEN(SUBSTITUTE($G2658,"-",""))),"-"," ",LEN($G2658)-LEN(SUBSTITUTE($G2658,"-",""))-1))-LEN(SUBSTITUTE(SUBSTITUTE(SUBSTITUTE($G2658,"-"," ",LEN($G2658)-LEN(SUBSTITUTE($G2658,"-",""))),"-"," ",LEN($G2658)-LEN(SUBSTITUTE($G2658,"-",""))-1),".",""))))),$G2658)))</f>
        <v/>
      </c>
    </row>
    <row r="2659">
      <c r="A2659" s="58" t="n"/>
      <c r="B2659" s="58">
        <f>IF($H2659="","",LEFT($H2659,FIND(" ",$H2659&amp;" ")-1))</f>
        <v/>
      </c>
      <c r="C2659" s="58">
        <f>IF($H2659="","",IFERROR(MID($H2659&amp;" ",FIND("|",SUBSTITUTE($H2659&amp;" "," ","|",1))+1,FIND("|",SUBSTITUTE($H2659&amp;" "," ","|",2))-FIND("|",SUBSTITUTE($H2659&amp;" "," ","|",1))-1),""))</f>
        <v/>
      </c>
      <c r="D2659" s="58">
        <f>IF($H2659="","",IFERROR(MID($H2659&amp;" ",FIND("|",SUBSTITUTE($H2659&amp;" "," ","|",2))+1,FIND("|",SUBSTITUTE($H2659&amp;" "," ","|",3))-FIND("|",SUBSTITUTE($H2659&amp;" "," ","|",2))-1),""))</f>
        <v/>
      </c>
      <c r="E2659" s="58">
        <f>IF($H2659="","",IFERROR(MID($H2659&amp;" ",FIND("|",SUBSTITUTE($H2659&amp;" "," ","|",3))+1,FIND("|",SUBSTITUTE($H2659&amp;" "," ","|",4))-FIND("|",SUBSTITUTE($H2659&amp;" "," ","|",3))-1),""))</f>
        <v/>
      </c>
      <c r="F2659" s="59">
        <f>IF($H2659="","",IFERROR(VALUE(IFERROR(MID($H2659&amp;" ",FIND("|",SUBSTITUTE($H2659&amp;" "," ","|",4))+1,FIND("|",SUBSTITUTE($H2659&amp;" "," ","|",5))-FIND("|",SUBSTITUTE($H2659&amp;" "," ","|",4))-1),""))/86400+25569+9/24,""))</f>
        <v/>
      </c>
      <c r="G2659" s="58">
        <f>TRIM(SUBSTITUTE(SUBSTITUTE(SUBSTITUTE($A2659,CHAR(9)," ")," "," "),CHAR(13),""))</f>
        <v/>
      </c>
      <c r="H2659" s="58">
        <f>IF($G2659="","",IF(ISNUMBER(FIND(" ",$G2659)),$G2659,IFERROR(IF((LEN(SUBSTITUTE(SUBSTITUTE($G2659,"-"," ",LEN($G2659)-LEN(SUBSTITUTE($G2659,"-",""))),"-"," ",LEN($G2659)-LEN(SUBSTITUTE($G2659,"-",""))-1))-LEN(SUBSTITUTE(SUBSTITUTE(SUBSTITUTE($G2659,"-"," ",LEN($G2659)-LEN(SUBSTITUTE($G2659,"-",""))),"-"," ",LEN($G2659)-LEN(SUBSTITUTE($G2659,"-",""))-1),".","")))=0,SUBSTITUTE(SUBSTITUTE($G2659,"-"," ",LEN($G2659)-LEN(SUBSTITUTE($G2659,"-",""))),"-"," ",LEN($G2659)-LEN(SUBSTITUTE($G2659,"-",""))-1),SUBSTITUTE(SUBSTITUTE(SUBSTITUTE($G2659,"-"," ",LEN($G2659)-LEN(SUBSTITUTE($G2659,"-",""))),"-"," ",LEN($G2659)-LEN(SUBSTITUTE($G2659,"-",""))-1),"."," ",(LEN(SUBSTITUTE(SUBSTITUTE($G2659,"-"," ",LEN($G2659)-LEN(SUBSTITUTE($G2659,"-",""))),"-"," ",LEN($G2659)-LEN(SUBSTITUTE($G2659,"-",""))-1))-LEN(SUBSTITUTE(SUBSTITUTE(SUBSTITUTE($G2659,"-"," ",LEN($G2659)-LEN(SUBSTITUTE($G2659,"-",""))),"-"," ",LEN($G2659)-LEN(SUBSTITUTE($G2659,"-",""))-1),".",""))))),$G2659)))</f>
        <v/>
      </c>
    </row>
    <row r="2660">
      <c r="A2660" s="58" t="n"/>
      <c r="B2660" s="58">
        <f>IF($H2660="","",LEFT($H2660,FIND(" ",$H2660&amp;" ")-1))</f>
        <v/>
      </c>
      <c r="C2660" s="58">
        <f>IF($H2660="","",IFERROR(MID($H2660&amp;" ",FIND("|",SUBSTITUTE($H2660&amp;" "," ","|",1))+1,FIND("|",SUBSTITUTE($H2660&amp;" "," ","|",2))-FIND("|",SUBSTITUTE($H2660&amp;" "," ","|",1))-1),""))</f>
        <v/>
      </c>
      <c r="D2660" s="58">
        <f>IF($H2660="","",IFERROR(MID($H2660&amp;" ",FIND("|",SUBSTITUTE($H2660&amp;" "," ","|",2))+1,FIND("|",SUBSTITUTE($H2660&amp;" "," ","|",3))-FIND("|",SUBSTITUTE($H2660&amp;" "," ","|",2))-1),""))</f>
        <v/>
      </c>
      <c r="E2660" s="58">
        <f>IF($H2660="","",IFERROR(MID($H2660&amp;" ",FIND("|",SUBSTITUTE($H2660&amp;" "," ","|",3))+1,FIND("|",SUBSTITUTE($H2660&amp;" "," ","|",4))-FIND("|",SUBSTITUTE($H2660&amp;" "," ","|",3))-1),""))</f>
        <v/>
      </c>
      <c r="F2660" s="59">
        <f>IF($H2660="","",IFERROR(VALUE(IFERROR(MID($H2660&amp;" ",FIND("|",SUBSTITUTE($H2660&amp;" "," ","|",4))+1,FIND("|",SUBSTITUTE($H2660&amp;" "," ","|",5))-FIND("|",SUBSTITUTE($H2660&amp;" "," ","|",4))-1),""))/86400+25569+9/24,""))</f>
        <v/>
      </c>
      <c r="G2660" s="58">
        <f>TRIM(SUBSTITUTE(SUBSTITUTE(SUBSTITUTE($A2660,CHAR(9)," ")," "," "),CHAR(13),""))</f>
        <v/>
      </c>
      <c r="H2660" s="58">
        <f>IF($G2660="","",IF(ISNUMBER(FIND(" ",$G2660)),$G2660,IFERROR(IF((LEN(SUBSTITUTE(SUBSTITUTE($G2660,"-"," ",LEN($G2660)-LEN(SUBSTITUTE($G2660,"-",""))),"-"," ",LEN($G2660)-LEN(SUBSTITUTE($G2660,"-",""))-1))-LEN(SUBSTITUTE(SUBSTITUTE(SUBSTITUTE($G2660,"-"," ",LEN($G2660)-LEN(SUBSTITUTE($G2660,"-",""))),"-"," ",LEN($G2660)-LEN(SUBSTITUTE($G2660,"-",""))-1),".","")))=0,SUBSTITUTE(SUBSTITUTE($G2660,"-"," ",LEN($G2660)-LEN(SUBSTITUTE($G2660,"-",""))),"-"," ",LEN($G2660)-LEN(SUBSTITUTE($G2660,"-",""))-1),SUBSTITUTE(SUBSTITUTE(SUBSTITUTE($G2660,"-"," ",LEN($G2660)-LEN(SUBSTITUTE($G2660,"-",""))),"-"," ",LEN($G2660)-LEN(SUBSTITUTE($G2660,"-",""))-1),"."," ",(LEN(SUBSTITUTE(SUBSTITUTE($G2660,"-"," ",LEN($G2660)-LEN(SUBSTITUTE($G2660,"-",""))),"-"," ",LEN($G2660)-LEN(SUBSTITUTE($G2660,"-",""))-1))-LEN(SUBSTITUTE(SUBSTITUTE(SUBSTITUTE($G2660,"-"," ",LEN($G2660)-LEN(SUBSTITUTE($G2660,"-",""))),"-"," ",LEN($G2660)-LEN(SUBSTITUTE($G2660,"-",""))-1),".",""))))),$G2660)))</f>
        <v/>
      </c>
    </row>
    <row r="2661">
      <c r="A2661" s="58" t="n"/>
      <c r="B2661" s="58">
        <f>IF($H2661="","",LEFT($H2661,FIND(" ",$H2661&amp;" ")-1))</f>
        <v/>
      </c>
      <c r="C2661" s="58">
        <f>IF($H2661="","",IFERROR(MID($H2661&amp;" ",FIND("|",SUBSTITUTE($H2661&amp;" "," ","|",1))+1,FIND("|",SUBSTITUTE($H2661&amp;" "," ","|",2))-FIND("|",SUBSTITUTE($H2661&amp;" "," ","|",1))-1),""))</f>
        <v/>
      </c>
      <c r="D2661" s="58">
        <f>IF($H2661="","",IFERROR(MID($H2661&amp;" ",FIND("|",SUBSTITUTE($H2661&amp;" "," ","|",2))+1,FIND("|",SUBSTITUTE($H2661&amp;" "," ","|",3))-FIND("|",SUBSTITUTE($H2661&amp;" "," ","|",2))-1),""))</f>
        <v/>
      </c>
      <c r="E2661" s="58">
        <f>IF($H2661="","",IFERROR(MID($H2661&amp;" ",FIND("|",SUBSTITUTE($H2661&amp;" "," ","|",3))+1,FIND("|",SUBSTITUTE($H2661&amp;" "," ","|",4))-FIND("|",SUBSTITUTE($H2661&amp;" "," ","|",3))-1),""))</f>
        <v/>
      </c>
      <c r="F2661" s="59">
        <f>IF($H2661="","",IFERROR(VALUE(IFERROR(MID($H2661&amp;" ",FIND("|",SUBSTITUTE($H2661&amp;" "," ","|",4))+1,FIND("|",SUBSTITUTE($H2661&amp;" "," ","|",5))-FIND("|",SUBSTITUTE($H2661&amp;" "," ","|",4))-1),""))/86400+25569+9/24,""))</f>
        <v/>
      </c>
      <c r="G2661" s="58">
        <f>TRIM(SUBSTITUTE(SUBSTITUTE(SUBSTITUTE($A2661,CHAR(9)," ")," "," "),CHAR(13),""))</f>
        <v/>
      </c>
      <c r="H2661" s="58">
        <f>IF($G2661="","",IF(ISNUMBER(FIND(" ",$G2661)),$G2661,IFERROR(IF((LEN(SUBSTITUTE(SUBSTITUTE($G2661,"-"," ",LEN($G2661)-LEN(SUBSTITUTE($G2661,"-",""))),"-"," ",LEN($G2661)-LEN(SUBSTITUTE($G2661,"-",""))-1))-LEN(SUBSTITUTE(SUBSTITUTE(SUBSTITUTE($G2661,"-"," ",LEN($G2661)-LEN(SUBSTITUTE($G2661,"-",""))),"-"," ",LEN($G2661)-LEN(SUBSTITUTE($G2661,"-",""))-1),".","")))=0,SUBSTITUTE(SUBSTITUTE($G2661,"-"," ",LEN($G2661)-LEN(SUBSTITUTE($G2661,"-",""))),"-"," ",LEN($G2661)-LEN(SUBSTITUTE($G2661,"-",""))-1),SUBSTITUTE(SUBSTITUTE(SUBSTITUTE($G2661,"-"," ",LEN($G2661)-LEN(SUBSTITUTE($G2661,"-",""))),"-"," ",LEN($G2661)-LEN(SUBSTITUTE($G2661,"-",""))-1),"."," ",(LEN(SUBSTITUTE(SUBSTITUTE($G2661,"-"," ",LEN($G2661)-LEN(SUBSTITUTE($G2661,"-",""))),"-"," ",LEN($G2661)-LEN(SUBSTITUTE($G2661,"-",""))-1))-LEN(SUBSTITUTE(SUBSTITUTE(SUBSTITUTE($G2661,"-"," ",LEN($G2661)-LEN(SUBSTITUTE($G2661,"-",""))),"-"," ",LEN($G2661)-LEN(SUBSTITUTE($G2661,"-",""))-1),".",""))))),$G2661)))</f>
        <v/>
      </c>
    </row>
    <row r="2662">
      <c r="A2662" s="58" t="n"/>
      <c r="B2662" s="58">
        <f>IF($H2662="","",LEFT($H2662,FIND(" ",$H2662&amp;" ")-1))</f>
        <v/>
      </c>
      <c r="C2662" s="58">
        <f>IF($H2662="","",IFERROR(MID($H2662&amp;" ",FIND("|",SUBSTITUTE($H2662&amp;" "," ","|",1))+1,FIND("|",SUBSTITUTE($H2662&amp;" "," ","|",2))-FIND("|",SUBSTITUTE($H2662&amp;" "," ","|",1))-1),""))</f>
        <v/>
      </c>
      <c r="D2662" s="58">
        <f>IF($H2662="","",IFERROR(MID($H2662&amp;" ",FIND("|",SUBSTITUTE($H2662&amp;" "," ","|",2))+1,FIND("|",SUBSTITUTE($H2662&amp;" "," ","|",3))-FIND("|",SUBSTITUTE($H2662&amp;" "," ","|",2))-1),""))</f>
        <v/>
      </c>
      <c r="E2662" s="58">
        <f>IF($H2662="","",IFERROR(MID($H2662&amp;" ",FIND("|",SUBSTITUTE($H2662&amp;" "," ","|",3))+1,FIND("|",SUBSTITUTE($H2662&amp;" "," ","|",4))-FIND("|",SUBSTITUTE($H2662&amp;" "," ","|",3))-1),""))</f>
        <v/>
      </c>
      <c r="F2662" s="59">
        <f>IF($H2662="","",IFERROR(VALUE(IFERROR(MID($H2662&amp;" ",FIND("|",SUBSTITUTE($H2662&amp;" "," ","|",4))+1,FIND("|",SUBSTITUTE($H2662&amp;" "," ","|",5))-FIND("|",SUBSTITUTE($H2662&amp;" "," ","|",4))-1),""))/86400+25569+9/24,""))</f>
        <v/>
      </c>
      <c r="G2662" s="58">
        <f>TRIM(SUBSTITUTE(SUBSTITUTE(SUBSTITUTE($A2662,CHAR(9)," ")," "," "),CHAR(13),""))</f>
        <v/>
      </c>
      <c r="H2662" s="58">
        <f>IF($G2662="","",IF(ISNUMBER(FIND(" ",$G2662)),$G2662,IFERROR(IF((LEN(SUBSTITUTE(SUBSTITUTE($G2662,"-"," ",LEN($G2662)-LEN(SUBSTITUTE($G2662,"-",""))),"-"," ",LEN($G2662)-LEN(SUBSTITUTE($G2662,"-",""))-1))-LEN(SUBSTITUTE(SUBSTITUTE(SUBSTITUTE($G2662,"-"," ",LEN($G2662)-LEN(SUBSTITUTE($G2662,"-",""))),"-"," ",LEN($G2662)-LEN(SUBSTITUTE($G2662,"-",""))-1),".","")))=0,SUBSTITUTE(SUBSTITUTE($G2662,"-"," ",LEN($G2662)-LEN(SUBSTITUTE($G2662,"-",""))),"-"," ",LEN($G2662)-LEN(SUBSTITUTE($G2662,"-",""))-1),SUBSTITUTE(SUBSTITUTE(SUBSTITUTE($G2662,"-"," ",LEN($G2662)-LEN(SUBSTITUTE($G2662,"-",""))),"-"," ",LEN($G2662)-LEN(SUBSTITUTE($G2662,"-",""))-1),"."," ",(LEN(SUBSTITUTE(SUBSTITUTE($G2662,"-"," ",LEN($G2662)-LEN(SUBSTITUTE($G2662,"-",""))),"-"," ",LEN($G2662)-LEN(SUBSTITUTE($G2662,"-",""))-1))-LEN(SUBSTITUTE(SUBSTITUTE(SUBSTITUTE($G2662,"-"," ",LEN($G2662)-LEN(SUBSTITUTE($G2662,"-",""))),"-"," ",LEN($G2662)-LEN(SUBSTITUTE($G2662,"-",""))-1),".",""))))),$G2662)))</f>
        <v/>
      </c>
    </row>
    <row r="2663">
      <c r="A2663" s="58" t="n"/>
      <c r="B2663" s="58">
        <f>IF($H2663="","",LEFT($H2663,FIND(" ",$H2663&amp;" ")-1))</f>
        <v/>
      </c>
      <c r="C2663" s="58">
        <f>IF($H2663="","",IFERROR(MID($H2663&amp;" ",FIND("|",SUBSTITUTE($H2663&amp;" "," ","|",1))+1,FIND("|",SUBSTITUTE($H2663&amp;" "," ","|",2))-FIND("|",SUBSTITUTE($H2663&amp;" "," ","|",1))-1),""))</f>
        <v/>
      </c>
      <c r="D2663" s="58">
        <f>IF($H2663="","",IFERROR(MID($H2663&amp;" ",FIND("|",SUBSTITUTE($H2663&amp;" "," ","|",2))+1,FIND("|",SUBSTITUTE($H2663&amp;" "," ","|",3))-FIND("|",SUBSTITUTE($H2663&amp;" "," ","|",2))-1),""))</f>
        <v/>
      </c>
      <c r="E2663" s="58">
        <f>IF($H2663="","",IFERROR(MID($H2663&amp;" ",FIND("|",SUBSTITUTE($H2663&amp;" "," ","|",3))+1,FIND("|",SUBSTITUTE($H2663&amp;" "," ","|",4))-FIND("|",SUBSTITUTE($H2663&amp;" "," ","|",3))-1),""))</f>
        <v/>
      </c>
      <c r="F2663" s="59">
        <f>IF($H2663="","",IFERROR(VALUE(IFERROR(MID($H2663&amp;" ",FIND("|",SUBSTITUTE($H2663&amp;" "," ","|",4))+1,FIND("|",SUBSTITUTE($H2663&amp;" "," ","|",5))-FIND("|",SUBSTITUTE($H2663&amp;" "," ","|",4))-1),""))/86400+25569+9/24,""))</f>
        <v/>
      </c>
      <c r="G2663" s="58">
        <f>TRIM(SUBSTITUTE(SUBSTITUTE(SUBSTITUTE($A2663,CHAR(9)," ")," "," "),CHAR(13),""))</f>
        <v/>
      </c>
      <c r="H2663" s="58">
        <f>IF($G2663="","",IF(ISNUMBER(FIND(" ",$G2663)),$G2663,IFERROR(IF((LEN(SUBSTITUTE(SUBSTITUTE($G2663,"-"," ",LEN($G2663)-LEN(SUBSTITUTE($G2663,"-",""))),"-"," ",LEN($G2663)-LEN(SUBSTITUTE($G2663,"-",""))-1))-LEN(SUBSTITUTE(SUBSTITUTE(SUBSTITUTE($G2663,"-"," ",LEN($G2663)-LEN(SUBSTITUTE($G2663,"-",""))),"-"," ",LEN($G2663)-LEN(SUBSTITUTE($G2663,"-",""))-1),".","")))=0,SUBSTITUTE(SUBSTITUTE($G2663,"-"," ",LEN($G2663)-LEN(SUBSTITUTE($G2663,"-",""))),"-"," ",LEN($G2663)-LEN(SUBSTITUTE($G2663,"-",""))-1),SUBSTITUTE(SUBSTITUTE(SUBSTITUTE($G2663,"-"," ",LEN($G2663)-LEN(SUBSTITUTE($G2663,"-",""))),"-"," ",LEN($G2663)-LEN(SUBSTITUTE($G2663,"-",""))-1),"."," ",(LEN(SUBSTITUTE(SUBSTITUTE($G2663,"-"," ",LEN($G2663)-LEN(SUBSTITUTE($G2663,"-",""))),"-"," ",LEN($G2663)-LEN(SUBSTITUTE($G2663,"-",""))-1))-LEN(SUBSTITUTE(SUBSTITUTE(SUBSTITUTE($G2663,"-"," ",LEN($G2663)-LEN(SUBSTITUTE($G2663,"-",""))),"-"," ",LEN($G2663)-LEN(SUBSTITUTE($G2663,"-",""))-1),".",""))))),$G2663)))</f>
        <v/>
      </c>
    </row>
    <row r="2664">
      <c r="A2664" s="58" t="n"/>
      <c r="B2664" s="58">
        <f>IF($H2664="","",LEFT($H2664,FIND(" ",$H2664&amp;" ")-1))</f>
        <v/>
      </c>
      <c r="C2664" s="58">
        <f>IF($H2664="","",IFERROR(MID($H2664&amp;" ",FIND("|",SUBSTITUTE($H2664&amp;" "," ","|",1))+1,FIND("|",SUBSTITUTE($H2664&amp;" "," ","|",2))-FIND("|",SUBSTITUTE($H2664&amp;" "," ","|",1))-1),""))</f>
        <v/>
      </c>
      <c r="D2664" s="58">
        <f>IF($H2664="","",IFERROR(MID($H2664&amp;" ",FIND("|",SUBSTITUTE($H2664&amp;" "," ","|",2))+1,FIND("|",SUBSTITUTE($H2664&amp;" "," ","|",3))-FIND("|",SUBSTITUTE($H2664&amp;" "," ","|",2))-1),""))</f>
        <v/>
      </c>
      <c r="E2664" s="58">
        <f>IF($H2664="","",IFERROR(MID($H2664&amp;" ",FIND("|",SUBSTITUTE($H2664&amp;" "," ","|",3))+1,FIND("|",SUBSTITUTE($H2664&amp;" "," ","|",4))-FIND("|",SUBSTITUTE($H2664&amp;" "," ","|",3))-1),""))</f>
        <v/>
      </c>
      <c r="F2664" s="59">
        <f>IF($H2664="","",IFERROR(VALUE(IFERROR(MID($H2664&amp;" ",FIND("|",SUBSTITUTE($H2664&amp;" "," ","|",4))+1,FIND("|",SUBSTITUTE($H2664&amp;" "," ","|",5))-FIND("|",SUBSTITUTE($H2664&amp;" "," ","|",4))-1),""))/86400+25569+9/24,""))</f>
        <v/>
      </c>
      <c r="G2664" s="58">
        <f>TRIM(SUBSTITUTE(SUBSTITUTE(SUBSTITUTE($A2664,CHAR(9)," ")," "," "),CHAR(13),""))</f>
        <v/>
      </c>
      <c r="H2664" s="58">
        <f>IF($G2664="","",IF(ISNUMBER(FIND(" ",$G2664)),$G2664,IFERROR(IF((LEN(SUBSTITUTE(SUBSTITUTE($G2664,"-"," ",LEN($G2664)-LEN(SUBSTITUTE($G2664,"-",""))),"-"," ",LEN($G2664)-LEN(SUBSTITUTE($G2664,"-",""))-1))-LEN(SUBSTITUTE(SUBSTITUTE(SUBSTITUTE($G2664,"-"," ",LEN($G2664)-LEN(SUBSTITUTE($G2664,"-",""))),"-"," ",LEN($G2664)-LEN(SUBSTITUTE($G2664,"-",""))-1),".","")))=0,SUBSTITUTE(SUBSTITUTE($G2664,"-"," ",LEN($G2664)-LEN(SUBSTITUTE($G2664,"-",""))),"-"," ",LEN($G2664)-LEN(SUBSTITUTE($G2664,"-",""))-1),SUBSTITUTE(SUBSTITUTE(SUBSTITUTE($G2664,"-"," ",LEN($G2664)-LEN(SUBSTITUTE($G2664,"-",""))),"-"," ",LEN($G2664)-LEN(SUBSTITUTE($G2664,"-",""))-1),"."," ",(LEN(SUBSTITUTE(SUBSTITUTE($G2664,"-"," ",LEN($G2664)-LEN(SUBSTITUTE($G2664,"-",""))),"-"," ",LEN($G2664)-LEN(SUBSTITUTE($G2664,"-",""))-1))-LEN(SUBSTITUTE(SUBSTITUTE(SUBSTITUTE($G2664,"-"," ",LEN($G2664)-LEN(SUBSTITUTE($G2664,"-",""))),"-"," ",LEN($G2664)-LEN(SUBSTITUTE($G2664,"-",""))-1),".",""))))),$G2664)))</f>
        <v/>
      </c>
    </row>
    <row r="2665">
      <c r="A2665" s="58" t="n"/>
      <c r="B2665" s="58">
        <f>IF($H2665="","",LEFT($H2665,FIND(" ",$H2665&amp;" ")-1))</f>
        <v/>
      </c>
      <c r="C2665" s="58">
        <f>IF($H2665="","",IFERROR(MID($H2665&amp;" ",FIND("|",SUBSTITUTE($H2665&amp;" "," ","|",1))+1,FIND("|",SUBSTITUTE($H2665&amp;" "," ","|",2))-FIND("|",SUBSTITUTE($H2665&amp;" "," ","|",1))-1),""))</f>
        <v/>
      </c>
      <c r="D2665" s="58">
        <f>IF($H2665="","",IFERROR(MID($H2665&amp;" ",FIND("|",SUBSTITUTE($H2665&amp;" "," ","|",2))+1,FIND("|",SUBSTITUTE($H2665&amp;" "," ","|",3))-FIND("|",SUBSTITUTE($H2665&amp;" "," ","|",2))-1),""))</f>
        <v/>
      </c>
      <c r="E2665" s="58">
        <f>IF($H2665="","",IFERROR(MID($H2665&amp;" ",FIND("|",SUBSTITUTE($H2665&amp;" "," ","|",3))+1,FIND("|",SUBSTITUTE($H2665&amp;" "," ","|",4))-FIND("|",SUBSTITUTE($H2665&amp;" "," ","|",3))-1),""))</f>
        <v/>
      </c>
      <c r="F2665" s="59">
        <f>IF($H2665="","",IFERROR(VALUE(IFERROR(MID($H2665&amp;" ",FIND("|",SUBSTITUTE($H2665&amp;" "," ","|",4))+1,FIND("|",SUBSTITUTE($H2665&amp;" "," ","|",5))-FIND("|",SUBSTITUTE($H2665&amp;" "," ","|",4))-1),""))/86400+25569+9/24,""))</f>
        <v/>
      </c>
      <c r="G2665" s="58">
        <f>TRIM(SUBSTITUTE(SUBSTITUTE(SUBSTITUTE($A2665,CHAR(9)," ")," "," "),CHAR(13),""))</f>
        <v/>
      </c>
      <c r="H2665" s="58">
        <f>IF($G2665="","",IF(ISNUMBER(FIND(" ",$G2665)),$G2665,IFERROR(IF((LEN(SUBSTITUTE(SUBSTITUTE($G2665,"-"," ",LEN($G2665)-LEN(SUBSTITUTE($G2665,"-",""))),"-"," ",LEN($G2665)-LEN(SUBSTITUTE($G2665,"-",""))-1))-LEN(SUBSTITUTE(SUBSTITUTE(SUBSTITUTE($G2665,"-"," ",LEN($G2665)-LEN(SUBSTITUTE($G2665,"-",""))),"-"," ",LEN($G2665)-LEN(SUBSTITUTE($G2665,"-",""))-1),".","")))=0,SUBSTITUTE(SUBSTITUTE($G2665,"-"," ",LEN($G2665)-LEN(SUBSTITUTE($G2665,"-",""))),"-"," ",LEN($G2665)-LEN(SUBSTITUTE($G2665,"-",""))-1),SUBSTITUTE(SUBSTITUTE(SUBSTITUTE($G2665,"-"," ",LEN($G2665)-LEN(SUBSTITUTE($G2665,"-",""))),"-"," ",LEN($G2665)-LEN(SUBSTITUTE($G2665,"-",""))-1),"."," ",(LEN(SUBSTITUTE(SUBSTITUTE($G2665,"-"," ",LEN($G2665)-LEN(SUBSTITUTE($G2665,"-",""))),"-"," ",LEN($G2665)-LEN(SUBSTITUTE($G2665,"-",""))-1))-LEN(SUBSTITUTE(SUBSTITUTE(SUBSTITUTE($G2665,"-"," ",LEN($G2665)-LEN(SUBSTITUTE($G2665,"-",""))),"-"," ",LEN($G2665)-LEN(SUBSTITUTE($G2665,"-",""))-1),".",""))))),$G2665)))</f>
        <v/>
      </c>
    </row>
    <row r="2666">
      <c r="A2666" s="58" t="n"/>
      <c r="B2666" s="58">
        <f>IF($H2666="","",LEFT($H2666,FIND(" ",$H2666&amp;" ")-1))</f>
        <v/>
      </c>
      <c r="C2666" s="58">
        <f>IF($H2666="","",IFERROR(MID($H2666&amp;" ",FIND("|",SUBSTITUTE($H2666&amp;" "," ","|",1))+1,FIND("|",SUBSTITUTE($H2666&amp;" "," ","|",2))-FIND("|",SUBSTITUTE($H2666&amp;" "," ","|",1))-1),""))</f>
        <v/>
      </c>
      <c r="D2666" s="58">
        <f>IF($H2666="","",IFERROR(MID($H2666&amp;" ",FIND("|",SUBSTITUTE($H2666&amp;" "," ","|",2))+1,FIND("|",SUBSTITUTE($H2666&amp;" "," ","|",3))-FIND("|",SUBSTITUTE($H2666&amp;" "," ","|",2))-1),""))</f>
        <v/>
      </c>
      <c r="E2666" s="58">
        <f>IF($H2666="","",IFERROR(MID($H2666&amp;" ",FIND("|",SUBSTITUTE($H2666&amp;" "," ","|",3))+1,FIND("|",SUBSTITUTE($H2666&amp;" "," ","|",4))-FIND("|",SUBSTITUTE($H2666&amp;" "," ","|",3))-1),""))</f>
        <v/>
      </c>
      <c r="F2666" s="59">
        <f>IF($H2666="","",IFERROR(VALUE(IFERROR(MID($H2666&amp;" ",FIND("|",SUBSTITUTE($H2666&amp;" "," ","|",4))+1,FIND("|",SUBSTITUTE($H2666&amp;" "," ","|",5))-FIND("|",SUBSTITUTE($H2666&amp;" "," ","|",4))-1),""))/86400+25569+9/24,""))</f>
        <v/>
      </c>
      <c r="G2666" s="58">
        <f>TRIM(SUBSTITUTE(SUBSTITUTE(SUBSTITUTE($A2666,CHAR(9)," ")," "," "),CHAR(13),""))</f>
        <v/>
      </c>
      <c r="H2666" s="58">
        <f>IF($G2666="","",IF(ISNUMBER(FIND(" ",$G2666)),$G2666,IFERROR(IF((LEN(SUBSTITUTE(SUBSTITUTE($G2666,"-"," ",LEN($G2666)-LEN(SUBSTITUTE($G2666,"-",""))),"-"," ",LEN($G2666)-LEN(SUBSTITUTE($G2666,"-",""))-1))-LEN(SUBSTITUTE(SUBSTITUTE(SUBSTITUTE($G2666,"-"," ",LEN($G2666)-LEN(SUBSTITUTE($G2666,"-",""))),"-"," ",LEN($G2666)-LEN(SUBSTITUTE($G2666,"-",""))-1),".","")))=0,SUBSTITUTE(SUBSTITUTE($G2666,"-"," ",LEN($G2666)-LEN(SUBSTITUTE($G2666,"-",""))),"-"," ",LEN($G2666)-LEN(SUBSTITUTE($G2666,"-",""))-1),SUBSTITUTE(SUBSTITUTE(SUBSTITUTE($G2666,"-"," ",LEN($G2666)-LEN(SUBSTITUTE($G2666,"-",""))),"-"," ",LEN($G2666)-LEN(SUBSTITUTE($G2666,"-",""))-1),"."," ",(LEN(SUBSTITUTE(SUBSTITUTE($G2666,"-"," ",LEN($G2666)-LEN(SUBSTITUTE($G2666,"-",""))),"-"," ",LEN($G2666)-LEN(SUBSTITUTE($G2666,"-",""))-1))-LEN(SUBSTITUTE(SUBSTITUTE(SUBSTITUTE($G2666,"-"," ",LEN($G2666)-LEN(SUBSTITUTE($G2666,"-",""))),"-"," ",LEN($G2666)-LEN(SUBSTITUTE($G2666,"-",""))-1),".",""))))),$G2666)))</f>
        <v/>
      </c>
    </row>
    <row r="2667">
      <c r="A2667" s="58" t="n"/>
      <c r="B2667" s="58">
        <f>IF($H2667="","",LEFT($H2667,FIND(" ",$H2667&amp;" ")-1))</f>
        <v/>
      </c>
      <c r="C2667" s="58">
        <f>IF($H2667="","",IFERROR(MID($H2667&amp;" ",FIND("|",SUBSTITUTE($H2667&amp;" "," ","|",1))+1,FIND("|",SUBSTITUTE($H2667&amp;" "," ","|",2))-FIND("|",SUBSTITUTE($H2667&amp;" "," ","|",1))-1),""))</f>
        <v/>
      </c>
      <c r="D2667" s="58">
        <f>IF($H2667="","",IFERROR(MID($H2667&amp;" ",FIND("|",SUBSTITUTE($H2667&amp;" "," ","|",2))+1,FIND("|",SUBSTITUTE($H2667&amp;" "," ","|",3))-FIND("|",SUBSTITUTE($H2667&amp;" "," ","|",2))-1),""))</f>
        <v/>
      </c>
      <c r="E2667" s="58">
        <f>IF($H2667="","",IFERROR(MID($H2667&amp;" ",FIND("|",SUBSTITUTE($H2667&amp;" "," ","|",3))+1,FIND("|",SUBSTITUTE($H2667&amp;" "," ","|",4))-FIND("|",SUBSTITUTE($H2667&amp;" "," ","|",3))-1),""))</f>
        <v/>
      </c>
      <c r="F2667" s="59">
        <f>IF($H2667="","",IFERROR(VALUE(IFERROR(MID($H2667&amp;" ",FIND("|",SUBSTITUTE($H2667&amp;" "," ","|",4))+1,FIND("|",SUBSTITUTE($H2667&amp;" "," ","|",5))-FIND("|",SUBSTITUTE($H2667&amp;" "," ","|",4))-1),""))/86400+25569+9/24,""))</f>
        <v/>
      </c>
      <c r="G2667" s="58">
        <f>TRIM(SUBSTITUTE(SUBSTITUTE(SUBSTITUTE($A2667,CHAR(9)," ")," "," "),CHAR(13),""))</f>
        <v/>
      </c>
      <c r="H2667" s="58">
        <f>IF($G2667="","",IF(ISNUMBER(FIND(" ",$G2667)),$G2667,IFERROR(IF((LEN(SUBSTITUTE(SUBSTITUTE($G2667,"-"," ",LEN($G2667)-LEN(SUBSTITUTE($G2667,"-",""))),"-"," ",LEN($G2667)-LEN(SUBSTITUTE($G2667,"-",""))-1))-LEN(SUBSTITUTE(SUBSTITUTE(SUBSTITUTE($G2667,"-"," ",LEN($G2667)-LEN(SUBSTITUTE($G2667,"-",""))),"-"," ",LEN($G2667)-LEN(SUBSTITUTE($G2667,"-",""))-1),".","")))=0,SUBSTITUTE(SUBSTITUTE($G2667,"-"," ",LEN($G2667)-LEN(SUBSTITUTE($G2667,"-",""))),"-"," ",LEN($G2667)-LEN(SUBSTITUTE($G2667,"-",""))-1),SUBSTITUTE(SUBSTITUTE(SUBSTITUTE($G2667,"-"," ",LEN($G2667)-LEN(SUBSTITUTE($G2667,"-",""))),"-"," ",LEN($G2667)-LEN(SUBSTITUTE($G2667,"-",""))-1),"."," ",(LEN(SUBSTITUTE(SUBSTITUTE($G2667,"-"," ",LEN($G2667)-LEN(SUBSTITUTE($G2667,"-",""))),"-"," ",LEN($G2667)-LEN(SUBSTITUTE($G2667,"-",""))-1))-LEN(SUBSTITUTE(SUBSTITUTE(SUBSTITUTE($G2667,"-"," ",LEN($G2667)-LEN(SUBSTITUTE($G2667,"-",""))),"-"," ",LEN($G2667)-LEN(SUBSTITUTE($G2667,"-",""))-1),".",""))))),$G2667)))</f>
        <v/>
      </c>
    </row>
    <row r="2668">
      <c r="A2668" s="58" t="n"/>
      <c r="B2668" s="58">
        <f>IF($H2668="","",LEFT($H2668,FIND(" ",$H2668&amp;" ")-1))</f>
        <v/>
      </c>
      <c r="C2668" s="58">
        <f>IF($H2668="","",IFERROR(MID($H2668&amp;" ",FIND("|",SUBSTITUTE($H2668&amp;" "," ","|",1))+1,FIND("|",SUBSTITUTE($H2668&amp;" "," ","|",2))-FIND("|",SUBSTITUTE($H2668&amp;" "," ","|",1))-1),""))</f>
        <v/>
      </c>
      <c r="D2668" s="58">
        <f>IF($H2668="","",IFERROR(MID($H2668&amp;" ",FIND("|",SUBSTITUTE($H2668&amp;" "," ","|",2))+1,FIND("|",SUBSTITUTE($H2668&amp;" "," ","|",3))-FIND("|",SUBSTITUTE($H2668&amp;" "," ","|",2))-1),""))</f>
        <v/>
      </c>
      <c r="E2668" s="58">
        <f>IF($H2668="","",IFERROR(MID($H2668&amp;" ",FIND("|",SUBSTITUTE($H2668&amp;" "," ","|",3))+1,FIND("|",SUBSTITUTE($H2668&amp;" "," ","|",4))-FIND("|",SUBSTITUTE($H2668&amp;" "," ","|",3))-1),""))</f>
        <v/>
      </c>
      <c r="F2668" s="59">
        <f>IF($H2668="","",IFERROR(VALUE(IFERROR(MID($H2668&amp;" ",FIND("|",SUBSTITUTE($H2668&amp;" "," ","|",4))+1,FIND("|",SUBSTITUTE($H2668&amp;" "," ","|",5))-FIND("|",SUBSTITUTE($H2668&amp;" "," ","|",4))-1),""))/86400+25569+9/24,""))</f>
        <v/>
      </c>
      <c r="G2668" s="58">
        <f>TRIM(SUBSTITUTE(SUBSTITUTE(SUBSTITUTE($A2668,CHAR(9)," ")," "," "),CHAR(13),""))</f>
        <v/>
      </c>
      <c r="H2668" s="58">
        <f>IF($G2668="","",IF(ISNUMBER(FIND(" ",$G2668)),$G2668,IFERROR(IF((LEN(SUBSTITUTE(SUBSTITUTE($G2668,"-"," ",LEN($G2668)-LEN(SUBSTITUTE($G2668,"-",""))),"-"," ",LEN($G2668)-LEN(SUBSTITUTE($G2668,"-",""))-1))-LEN(SUBSTITUTE(SUBSTITUTE(SUBSTITUTE($G2668,"-"," ",LEN($G2668)-LEN(SUBSTITUTE($G2668,"-",""))),"-"," ",LEN($G2668)-LEN(SUBSTITUTE($G2668,"-",""))-1),".","")))=0,SUBSTITUTE(SUBSTITUTE($G2668,"-"," ",LEN($G2668)-LEN(SUBSTITUTE($G2668,"-",""))),"-"," ",LEN($G2668)-LEN(SUBSTITUTE($G2668,"-",""))-1),SUBSTITUTE(SUBSTITUTE(SUBSTITUTE($G2668,"-"," ",LEN($G2668)-LEN(SUBSTITUTE($G2668,"-",""))),"-"," ",LEN($G2668)-LEN(SUBSTITUTE($G2668,"-",""))-1),"."," ",(LEN(SUBSTITUTE(SUBSTITUTE($G2668,"-"," ",LEN($G2668)-LEN(SUBSTITUTE($G2668,"-",""))),"-"," ",LEN($G2668)-LEN(SUBSTITUTE($G2668,"-",""))-1))-LEN(SUBSTITUTE(SUBSTITUTE(SUBSTITUTE($G2668,"-"," ",LEN($G2668)-LEN(SUBSTITUTE($G2668,"-",""))),"-"," ",LEN($G2668)-LEN(SUBSTITUTE($G2668,"-",""))-1),".",""))))),$G2668)))</f>
        <v/>
      </c>
    </row>
    <row r="2669">
      <c r="A2669" s="58" t="n"/>
      <c r="B2669" s="58">
        <f>IF($H2669="","",LEFT($H2669,FIND(" ",$H2669&amp;" ")-1))</f>
        <v/>
      </c>
      <c r="C2669" s="58">
        <f>IF($H2669="","",IFERROR(MID($H2669&amp;" ",FIND("|",SUBSTITUTE($H2669&amp;" "," ","|",1))+1,FIND("|",SUBSTITUTE($H2669&amp;" "," ","|",2))-FIND("|",SUBSTITUTE($H2669&amp;" "," ","|",1))-1),""))</f>
        <v/>
      </c>
      <c r="D2669" s="58">
        <f>IF($H2669="","",IFERROR(MID($H2669&amp;" ",FIND("|",SUBSTITUTE($H2669&amp;" "," ","|",2))+1,FIND("|",SUBSTITUTE($H2669&amp;" "," ","|",3))-FIND("|",SUBSTITUTE($H2669&amp;" "," ","|",2))-1),""))</f>
        <v/>
      </c>
      <c r="E2669" s="58">
        <f>IF($H2669="","",IFERROR(MID($H2669&amp;" ",FIND("|",SUBSTITUTE($H2669&amp;" "," ","|",3))+1,FIND("|",SUBSTITUTE($H2669&amp;" "," ","|",4))-FIND("|",SUBSTITUTE($H2669&amp;" "," ","|",3))-1),""))</f>
        <v/>
      </c>
      <c r="F2669" s="59">
        <f>IF($H2669="","",IFERROR(VALUE(IFERROR(MID($H2669&amp;" ",FIND("|",SUBSTITUTE($H2669&amp;" "," ","|",4))+1,FIND("|",SUBSTITUTE($H2669&amp;" "," ","|",5))-FIND("|",SUBSTITUTE($H2669&amp;" "," ","|",4))-1),""))/86400+25569+9/24,""))</f>
        <v/>
      </c>
      <c r="G2669" s="58">
        <f>TRIM(SUBSTITUTE(SUBSTITUTE(SUBSTITUTE($A2669,CHAR(9)," ")," "," "),CHAR(13),""))</f>
        <v/>
      </c>
      <c r="H2669" s="58">
        <f>IF($G2669="","",IF(ISNUMBER(FIND(" ",$G2669)),$G2669,IFERROR(IF((LEN(SUBSTITUTE(SUBSTITUTE($G2669,"-"," ",LEN($G2669)-LEN(SUBSTITUTE($G2669,"-",""))),"-"," ",LEN($G2669)-LEN(SUBSTITUTE($G2669,"-",""))-1))-LEN(SUBSTITUTE(SUBSTITUTE(SUBSTITUTE($G2669,"-"," ",LEN($G2669)-LEN(SUBSTITUTE($G2669,"-",""))),"-"," ",LEN($G2669)-LEN(SUBSTITUTE($G2669,"-",""))-1),".","")))=0,SUBSTITUTE(SUBSTITUTE($G2669,"-"," ",LEN($G2669)-LEN(SUBSTITUTE($G2669,"-",""))),"-"," ",LEN($G2669)-LEN(SUBSTITUTE($G2669,"-",""))-1),SUBSTITUTE(SUBSTITUTE(SUBSTITUTE($G2669,"-"," ",LEN($G2669)-LEN(SUBSTITUTE($G2669,"-",""))),"-"," ",LEN($G2669)-LEN(SUBSTITUTE($G2669,"-",""))-1),"."," ",(LEN(SUBSTITUTE(SUBSTITUTE($G2669,"-"," ",LEN($G2669)-LEN(SUBSTITUTE($G2669,"-",""))),"-"," ",LEN($G2669)-LEN(SUBSTITUTE($G2669,"-",""))-1))-LEN(SUBSTITUTE(SUBSTITUTE(SUBSTITUTE($G2669,"-"," ",LEN($G2669)-LEN(SUBSTITUTE($G2669,"-",""))),"-"," ",LEN($G2669)-LEN(SUBSTITUTE($G2669,"-",""))-1),".",""))))),$G2669)))</f>
        <v/>
      </c>
    </row>
    <row r="2670">
      <c r="A2670" s="58" t="n"/>
      <c r="B2670" s="58">
        <f>IF($H2670="","",LEFT($H2670,FIND(" ",$H2670&amp;" ")-1))</f>
        <v/>
      </c>
      <c r="C2670" s="58">
        <f>IF($H2670="","",IFERROR(MID($H2670&amp;" ",FIND("|",SUBSTITUTE($H2670&amp;" "," ","|",1))+1,FIND("|",SUBSTITUTE($H2670&amp;" "," ","|",2))-FIND("|",SUBSTITUTE($H2670&amp;" "," ","|",1))-1),""))</f>
        <v/>
      </c>
      <c r="D2670" s="58">
        <f>IF($H2670="","",IFERROR(MID($H2670&amp;" ",FIND("|",SUBSTITUTE($H2670&amp;" "," ","|",2))+1,FIND("|",SUBSTITUTE($H2670&amp;" "," ","|",3))-FIND("|",SUBSTITUTE($H2670&amp;" "," ","|",2))-1),""))</f>
        <v/>
      </c>
      <c r="E2670" s="58">
        <f>IF($H2670="","",IFERROR(MID($H2670&amp;" ",FIND("|",SUBSTITUTE($H2670&amp;" "," ","|",3))+1,FIND("|",SUBSTITUTE($H2670&amp;" "," ","|",4))-FIND("|",SUBSTITUTE($H2670&amp;" "," ","|",3))-1),""))</f>
        <v/>
      </c>
      <c r="F2670" s="59">
        <f>IF($H2670="","",IFERROR(VALUE(IFERROR(MID($H2670&amp;" ",FIND("|",SUBSTITUTE($H2670&amp;" "," ","|",4))+1,FIND("|",SUBSTITUTE($H2670&amp;" "," ","|",5))-FIND("|",SUBSTITUTE($H2670&amp;" "," ","|",4))-1),""))/86400+25569+9/24,""))</f>
        <v/>
      </c>
      <c r="G2670" s="58">
        <f>TRIM(SUBSTITUTE(SUBSTITUTE(SUBSTITUTE($A2670,CHAR(9)," ")," "," "),CHAR(13),""))</f>
        <v/>
      </c>
      <c r="H2670" s="58">
        <f>IF($G2670="","",IF(ISNUMBER(FIND(" ",$G2670)),$G2670,IFERROR(IF((LEN(SUBSTITUTE(SUBSTITUTE($G2670,"-"," ",LEN($G2670)-LEN(SUBSTITUTE($G2670,"-",""))),"-"," ",LEN($G2670)-LEN(SUBSTITUTE($G2670,"-",""))-1))-LEN(SUBSTITUTE(SUBSTITUTE(SUBSTITUTE($G2670,"-"," ",LEN($G2670)-LEN(SUBSTITUTE($G2670,"-",""))),"-"," ",LEN($G2670)-LEN(SUBSTITUTE($G2670,"-",""))-1),".","")))=0,SUBSTITUTE(SUBSTITUTE($G2670,"-"," ",LEN($G2670)-LEN(SUBSTITUTE($G2670,"-",""))),"-"," ",LEN($G2670)-LEN(SUBSTITUTE($G2670,"-",""))-1),SUBSTITUTE(SUBSTITUTE(SUBSTITUTE($G2670,"-"," ",LEN($G2670)-LEN(SUBSTITUTE($G2670,"-",""))),"-"," ",LEN($G2670)-LEN(SUBSTITUTE($G2670,"-",""))-1),"."," ",(LEN(SUBSTITUTE(SUBSTITUTE($G2670,"-"," ",LEN($G2670)-LEN(SUBSTITUTE($G2670,"-",""))),"-"," ",LEN($G2670)-LEN(SUBSTITUTE($G2670,"-",""))-1))-LEN(SUBSTITUTE(SUBSTITUTE(SUBSTITUTE($G2670,"-"," ",LEN($G2670)-LEN(SUBSTITUTE($G2670,"-",""))),"-"," ",LEN($G2670)-LEN(SUBSTITUTE($G2670,"-",""))-1),".",""))))),$G2670)))</f>
        <v/>
      </c>
    </row>
    <row r="2671">
      <c r="A2671" s="58" t="n"/>
      <c r="B2671" s="58">
        <f>IF($H2671="","",LEFT($H2671,FIND(" ",$H2671&amp;" ")-1))</f>
        <v/>
      </c>
      <c r="C2671" s="58">
        <f>IF($H2671="","",IFERROR(MID($H2671&amp;" ",FIND("|",SUBSTITUTE($H2671&amp;" "," ","|",1))+1,FIND("|",SUBSTITUTE($H2671&amp;" "," ","|",2))-FIND("|",SUBSTITUTE($H2671&amp;" "," ","|",1))-1),""))</f>
        <v/>
      </c>
      <c r="D2671" s="58">
        <f>IF($H2671="","",IFERROR(MID($H2671&amp;" ",FIND("|",SUBSTITUTE($H2671&amp;" "," ","|",2))+1,FIND("|",SUBSTITUTE($H2671&amp;" "," ","|",3))-FIND("|",SUBSTITUTE($H2671&amp;" "," ","|",2))-1),""))</f>
        <v/>
      </c>
      <c r="E2671" s="58">
        <f>IF($H2671="","",IFERROR(MID($H2671&amp;" ",FIND("|",SUBSTITUTE($H2671&amp;" "," ","|",3))+1,FIND("|",SUBSTITUTE($H2671&amp;" "," ","|",4))-FIND("|",SUBSTITUTE($H2671&amp;" "," ","|",3))-1),""))</f>
        <v/>
      </c>
      <c r="F2671" s="59">
        <f>IF($H2671="","",IFERROR(VALUE(IFERROR(MID($H2671&amp;" ",FIND("|",SUBSTITUTE($H2671&amp;" "," ","|",4))+1,FIND("|",SUBSTITUTE($H2671&amp;" "," ","|",5))-FIND("|",SUBSTITUTE($H2671&amp;" "," ","|",4))-1),""))/86400+25569+9/24,""))</f>
        <v/>
      </c>
      <c r="G2671" s="58">
        <f>TRIM(SUBSTITUTE(SUBSTITUTE(SUBSTITUTE($A2671,CHAR(9)," ")," "," "),CHAR(13),""))</f>
        <v/>
      </c>
      <c r="H2671" s="58">
        <f>IF($G2671="","",IF(ISNUMBER(FIND(" ",$G2671)),$G2671,IFERROR(IF((LEN(SUBSTITUTE(SUBSTITUTE($G2671,"-"," ",LEN($G2671)-LEN(SUBSTITUTE($G2671,"-",""))),"-"," ",LEN($G2671)-LEN(SUBSTITUTE($G2671,"-",""))-1))-LEN(SUBSTITUTE(SUBSTITUTE(SUBSTITUTE($G2671,"-"," ",LEN($G2671)-LEN(SUBSTITUTE($G2671,"-",""))),"-"," ",LEN($G2671)-LEN(SUBSTITUTE($G2671,"-",""))-1),".","")))=0,SUBSTITUTE(SUBSTITUTE($G2671,"-"," ",LEN($G2671)-LEN(SUBSTITUTE($G2671,"-",""))),"-"," ",LEN($G2671)-LEN(SUBSTITUTE($G2671,"-",""))-1),SUBSTITUTE(SUBSTITUTE(SUBSTITUTE($G2671,"-"," ",LEN($G2671)-LEN(SUBSTITUTE($G2671,"-",""))),"-"," ",LEN($G2671)-LEN(SUBSTITUTE($G2671,"-",""))-1),"."," ",(LEN(SUBSTITUTE(SUBSTITUTE($G2671,"-"," ",LEN($G2671)-LEN(SUBSTITUTE($G2671,"-",""))),"-"," ",LEN($G2671)-LEN(SUBSTITUTE($G2671,"-",""))-1))-LEN(SUBSTITUTE(SUBSTITUTE(SUBSTITUTE($G2671,"-"," ",LEN($G2671)-LEN(SUBSTITUTE($G2671,"-",""))),"-"," ",LEN($G2671)-LEN(SUBSTITUTE($G2671,"-",""))-1),".",""))))),$G2671)))</f>
        <v/>
      </c>
    </row>
    <row r="2672">
      <c r="A2672" s="58" t="n"/>
      <c r="B2672" s="58">
        <f>IF($H2672="","",LEFT($H2672,FIND(" ",$H2672&amp;" ")-1))</f>
        <v/>
      </c>
      <c r="C2672" s="58">
        <f>IF($H2672="","",IFERROR(MID($H2672&amp;" ",FIND("|",SUBSTITUTE($H2672&amp;" "," ","|",1))+1,FIND("|",SUBSTITUTE($H2672&amp;" "," ","|",2))-FIND("|",SUBSTITUTE($H2672&amp;" "," ","|",1))-1),""))</f>
        <v/>
      </c>
      <c r="D2672" s="58">
        <f>IF($H2672="","",IFERROR(MID($H2672&amp;" ",FIND("|",SUBSTITUTE($H2672&amp;" "," ","|",2))+1,FIND("|",SUBSTITUTE($H2672&amp;" "," ","|",3))-FIND("|",SUBSTITUTE($H2672&amp;" "," ","|",2))-1),""))</f>
        <v/>
      </c>
      <c r="E2672" s="58">
        <f>IF($H2672="","",IFERROR(MID($H2672&amp;" ",FIND("|",SUBSTITUTE($H2672&amp;" "," ","|",3))+1,FIND("|",SUBSTITUTE($H2672&amp;" "," ","|",4))-FIND("|",SUBSTITUTE($H2672&amp;" "," ","|",3))-1),""))</f>
        <v/>
      </c>
      <c r="F2672" s="59">
        <f>IF($H2672="","",IFERROR(VALUE(IFERROR(MID($H2672&amp;" ",FIND("|",SUBSTITUTE($H2672&amp;" "," ","|",4))+1,FIND("|",SUBSTITUTE($H2672&amp;" "," ","|",5))-FIND("|",SUBSTITUTE($H2672&amp;" "," ","|",4))-1),""))/86400+25569+9/24,""))</f>
        <v/>
      </c>
      <c r="G2672" s="58">
        <f>TRIM(SUBSTITUTE(SUBSTITUTE(SUBSTITUTE($A2672,CHAR(9)," ")," "," "),CHAR(13),""))</f>
        <v/>
      </c>
      <c r="H2672" s="58">
        <f>IF($G2672="","",IF(ISNUMBER(FIND(" ",$G2672)),$G2672,IFERROR(IF((LEN(SUBSTITUTE(SUBSTITUTE($G2672,"-"," ",LEN($G2672)-LEN(SUBSTITUTE($G2672,"-",""))),"-"," ",LEN($G2672)-LEN(SUBSTITUTE($G2672,"-",""))-1))-LEN(SUBSTITUTE(SUBSTITUTE(SUBSTITUTE($G2672,"-"," ",LEN($G2672)-LEN(SUBSTITUTE($G2672,"-",""))),"-"," ",LEN($G2672)-LEN(SUBSTITUTE($G2672,"-",""))-1),".","")))=0,SUBSTITUTE(SUBSTITUTE($G2672,"-"," ",LEN($G2672)-LEN(SUBSTITUTE($G2672,"-",""))),"-"," ",LEN($G2672)-LEN(SUBSTITUTE($G2672,"-",""))-1),SUBSTITUTE(SUBSTITUTE(SUBSTITUTE($G2672,"-"," ",LEN($G2672)-LEN(SUBSTITUTE($G2672,"-",""))),"-"," ",LEN($G2672)-LEN(SUBSTITUTE($G2672,"-",""))-1),"."," ",(LEN(SUBSTITUTE(SUBSTITUTE($G2672,"-"," ",LEN($G2672)-LEN(SUBSTITUTE($G2672,"-",""))),"-"," ",LEN($G2672)-LEN(SUBSTITUTE($G2672,"-",""))-1))-LEN(SUBSTITUTE(SUBSTITUTE(SUBSTITUTE($G2672,"-"," ",LEN($G2672)-LEN(SUBSTITUTE($G2672,"-",""))),"-"," ",LEN($G2672)-LEN(SUBSTITUTE($G2672,"-",""))-1),".",""))))),$G2672)))</f>
        <v/>
      </c>
    </row>
    <row r="2673">
      <c r="A2673" s="58" t="n"/>
      <c r="B2673" s="58">
        <f>IF($H2673="","",LEFT($H2673,FIND(" ",$H2673&amp;" ")-1))</f>
        <v/>
      </c>
      <c r="C2673" s="58">
        <f>IF($H2673="","",IFERROR(MID($H2673&amp;" ",FIND("|",SUBSTITUTE($H2673&amp;" "," ","|",1))+1,FIND("|",SUBSTITUTE($H2673&amp;" "," ","|",2))-FIND("|",SUBSTITUTE($H2673&amp;" "," ","|",1))-1),""))</f>
        <v/>
      </c>
      <c r="D2673" s="58">
        <f>IF($H2673="","",IFERROR(MID($H2673&amp;" ",FIND("|",SUBSTITUTE($H2673&amp;" "," ","|",2))+1,FIND("|",SUBSTITUTE($H2673&amp;" "," ","|",3))-FIND("|",SUBSTITUTE($H2673&amp;" "," ","|",2))-1),""))</f>
        <v/>
      </c>
      <c r="E2673" s="58">
        <f>IF($H2673="","",IFERROR(MID($H2673&amp;" ",FIND("|",SUBSTITUTE($H2673&amp;" "," ","|",3))+1,FIND("|",SUBSTITUTE($H2673&amp;" "," ","|",4))-FIND("|",SUBSTITUTE($H2673&amp;" "," ","|",3))-1),""))</f>
        <v/>
      </c>
      <c r="F2673" s="59">
        <f>IF($H2673="","",IFERROR(VALUE(IFERROR(MID($H2673&amp;" ",FIND("|",SUBSTITUTE($H2673&amp;" "," ","|",4))+1,FIND("|",SUBSTITUTE($H2673&amp;" "," ","|",5))-FIND("|",SUBSTITUTE($H2673&amp;" "," ","|",4))-1),""))/86400+25569+9/24,""))</f>
        <v/>
      </c>
      <c r="G2673" s="58">
        <f>TRIM(SUBSTITUTE(SUBSTITUTE(SUBSTITUTE($A2673,CHAR(9)," ")," "," "),CHAR(13),""))</f>
        <v/>
      </c>
      <c r="H2673" s="58">
        <f>IF($G2673="","",IF(ISNUMBER(FIND(" ",$G2673)),$G2673,IFERROR(IF((LEN(SUBSTITUTE(SUBSTITUTE($G2673,"-"," ",LEN($G2673)-LEN(SUBSTITUTE($G2673,"-",""))),"-"," ",LEN($G2673)-LEN(SUBSTITUTE($G2673,"-",""))-1))-LEN(SUBSTITUTE(SUBSTITUTE(SUBSTITUTE($G2673,"-"," ",LEN($G2673)-LEN(SUBSTITUTE($G2673,"-",""))),"-"," ",LEN($G2673)-LEN(SUBSTITUTE($G2673,"-",""))-1),".","")))=0,SUBSTITUTE(SUBSTITUTE($G2673,"-"," ",LEN($G2673)-LEN(SUBSTITUTE($G2673,"-",""))),"-"," ",LEN($G2673)-LEN(SUBSTITUTE($G2673,"-",""))-1),SUBSTITUTE(SUBSTITUTE(SUBSTITUTE($G2673,"-"," ",LEN($G2673)-LEN(SUBSTITUTE($G2673,"-",""))),"-"," ",LEN($G2673)-LEN(SUBSTITUTE($G2673,"-",""))-1),"."," ",(LEN(SUBSTITUTE(SUBSTITUTE($G2673,"-"," ",LEN($G2673)-LEN(SUBSTITUTE($G2673,"-",""))),"-"," ",LEN($G2673)-LEN(SUBSTITUTE($G2673,"-",""))-1))-LEN(SUBSTITUTE(SUBSTITUTE(SUBSTITUTE($G2673,"-"," ",LEN($G2673)-LEN(SUBSTITUTE($G2673,"-",""))),"-"," ",LEN($G2673)-LEN(SUBSTITUTE($G2673,"-",""))-1),".",""))))),$G2673)))</f>
        <v/>
      </c>
    </row>
    <row r="2674">
      <c r="A2674" s="58" t="n"/>
      <c r="B2674" s="58">
        <f>IF($H2674="","",LEFT($H2674,FIND(" ",$H2674&amp;" ")-1))</f>
        <v/>
      </c>
      <c r="C2674" s="58">
        <f>IF($H2674="","",IFERROR(MID($H2674&amp;" ",FIND("|",SUBSTITUTE($H2674&amp;" "," ","|",1))+1,FIND("|",SUBSTITUTE($H2674&amp;" "," ","|",2))-FIND("|",SUBSTITUTE($H2674&amp;" "," ","|",1))-1),""))</f>
        <v/>
      </c>
      <c r="D2674" s="58">
        <f>IF($H2674="","",IFERROR(MID($H2674&amp;" ",FIND("|",SUBSTITUTE($H2674&amp;" "," ","|",2))+1,FIND("|",SUBSTITUTE($H2674&amp;" "," ","|",3))-FIND("|",SUBSTITUTE($H2674&amp;" "," ","|",2))-1),""))</f>
        <v/>
      </c>
      <c r="E2674" s="58">
        <f>IF($H2674="","",IFERROR(MID($H2674&amp;" ",FIND("|",SUBSTITUTE($H2674&amp;" "," ","|",3))+1,FIND("|",SUBSTITUTE($H2674&amp;" "," ","|",4))-FIND("|",SUBSTITUTE($H2674&amp;" "," ","|",3))-1),""))</f>
        <v/>
      </c>
      <c r="F2674" s="59">
        <f>IF($H2674="","",IFERROR(VALUE(IFERROR(MID($H2674&amp;" ",FIND("|",SUBSTITUTE($H2674&amp;" "," ","|",4))+1,FIND("|",SUBSTITUTE($H2674&amp;" "," ","|",5))-FIND("|",SUBSTITUTE($H2674&amp;" "," ","|",4))-1),""))/86400+25569+9/24,""))</f>
        <v/>
      </c>
      <c r="G2674" s="58">
        <f>TRIM(SUBSTITUTE(SUBSTITUTE(SUBSTITUTE($A2674,CHAR(9)," ")," "," "),CHAR(13),""))</f>
        <v/>
      </c>
      <c r="H2674" s="58">
        <f>IF($G2674="","",IF(ISNUMBER(FIND(" ",$G2674)),$G2674,IFERROR(IF((LEN(SUBSTITUTE(SUBSTITUTE($G2674,"-"," ",LEN($G2674)-LEN(SUBSTITUTE($G2674,"-",""))),"-"," ",LEN($G2674)-LEN(SUBSTITUTE($G2674,"-",""))-1))-LEN(SUBSTITUTE(SUBSTITUTE(SUBSTITUTE($G2674,"-"," ",LEN($G2674)-LEN(SUBSTITUTE($G2674,"-",""))),"-"," ",LEN($G2674)-LEN(SUBSTITUTE($G2674,"-",""))-1),".","")))=0,SUBSTITUTE(SUBSTITUTE($G2674,"-"," ",LEN($G2674)-LEN(SUBSTITUTE($G2674,"-",""))),"-"," ",LEN($G2674)-LEN(SUBSTITUTE($G2674,"-",""))-1),SUBSTITUTE(SUBSTITUTE(SUBSTITUTE($G2674,"-"," ",LEN($G2674)-LEN(SUBSTITUTE($G2674,"-",""))),"-"," ",LEN($G2674)-LEN(SUBSTITUTE($G2674,"-",""))-1),"."," ",(LEN(SUBSTITUTE(SUBSTITUTE($G2674,"-"," ",LEN($G2674)-LEN(SUBSTITUTE($G2674,"-",""))),"-"," ",LEN($G2674)-LEN(SUBSTITUTE($G2674,"-",""))-1))-LEN(SUBSTITUTE(SUBSTITUTE(SUBSTITUTE($G2674,"-"," ",LEN($G2674)-LEN(SUBSTITUTE($G2674,"-",""))),"-"," ",LEN($G2674)-LEN(SUBSTITUTE($G2674,"-",""))-1),".",""))))),$G2674)))</f>
        <v/>
      </c>
    </row>
    <row r="2675">
      <c r="A2675" s="58" t="n"/>
      <c r="B2675" s="58">
        <f>IF($H2675="","",LEFT($H2675,FIND(" ",$H2675&amp;" ")-1))</f>
        <v/>
      </c>
      <c r="C2675" s="58">
        <f>IF($H2675="","",IFERROR(MID($H2675&amp;" ",FIND("|",SUBSTITUTE($H2675&amp;" "," ","|",1))+1,FIND("|",SUBSTITUTE($H2675&amp;" "," ","|",2))-FIND("|",SUBSTITUTE($H2675&amp;" "," ","|",1))-1),""))</f>
        <v/>
      </c>
      <c r="D2675" s="58">
        <f>IF($H2675="","",IFERROR(MID($H2675&amp;" ",FIND("|",SUBSTITUTE($H2675&amp;" "," ","|",2))+1,FIND("|",SUBSTITUTE($H2675&amp;" "," ","|",3))-FIND("|",SUBSTITUTE($H2675&amp;" "," ","|",2))-1),""))</f>
        <v/>
      </c>
      <c r="E2675" s="58">
        <f>IF($H2675="","",IFERROR(MID($H2675&amp;" ",FIND("|",SUBSTITUTE($H2675&amp;" "," ","|",3))+1,FIND("|",SUBSTITUTE($H2675&amp;" "," ","|",4))-FIND("|",SUBSTITUTE($H2675&amp;" "," ","|",3))-1),""))</f>
        <v/>
      </c>
      <c r="F2675" s="59">
        <f>IF($H2675="","",IFERROR(VALUE(IFERROR(MID($H2675&amp;" ",FIND("|",SUBSTITUTE($H2675&amp;" "," ","|",4))+1,FIND("|",SUBSTITUTE($H2675&amp;" "," ","|",5))-FIND("|",SUBSTITUTE($H2675&amp;" "," ","|",4))-1),""))/86400+25569+9/24,""))</f>
        <v/>
      </c>
      <c r="G2675" s="58">
        <f>TRIM(SUBSTITUTE(SUBSTITUTE(SUBSTITUTE($A2675,CHAR(9)," ")," "," "),CHAR(13),""))</f>
        <v/>
      </c>
      <c r="H2675" s="58">
        <f>IF($G2675="","",IF(ISNUMBER(FIND(" ",$G2675)),$G2675,IFERROR(IF((LEN(SUBSTITUTE(SUBSTITUTE($G2675,"-"," ",LEN($G2675)-LEN(SUBSTITUTE($G2675,"-",""))),"-"," ",LEN($G2675)-LEN(SUBSTITUTE($G2675,"-",""))-1))-LEN(SUBSTITUTE(SUBSTITUTE(SUBSTITUTE($G2675,"-"," ",LEN($G2675)-LEN(SUBSTITUTE($G2675,"-",""))),"-"," ",LEN($G2675)-LEN(SUBSTITUTE($G2675,"-",""))-1),".","")))=0,SUBSTITUTE(SUBSTITUTE($G2675,"-"," ",LEN($G2675)-LEN(SUBSTITUTE($G2675,"-",""))),"-"," ",LEN($G2675)-LEN(SUBSTITUTE($G2675,"-",""))-1),SUBSTITUTE(SUBSTITUTE(SUBSTITUTE($G2675,"-"," ",LEN($G2675)-LEN(SUBSTITUTE($G2675,"-",""))),"-"," ",LEN($G2675)-LEN(SUBSTITUTE($G2675,"-",""))-1),"."," ",(LEN(SUBSTITUTE(SUBSTITUTE($G2675,"-"," ",LEN($G2675)-LEN(SUBSTITUTE($G2675,"-",""))),"-"," ",LEN($G2675)-LEN(SUBSTITUTE($G2675,"-",""))-1))-LEN(SUBSTITUTE(SUBSTITUTE(SUBSTITUTE($G2675,"-"," ",LEN($G2675)-LEN(SUBSTITUTE($G2675,"-",""))),"-"," ",LEN($G2675)-LEN(SUBSTITUTE($G2675,"-",""))-1),".",""))))),$G2675)))</f>
        <v/>
      </c>
    </row>
    <row r="2676">
      <c r="A2676" s="58" t="n"/>
      <c r="B2676" s="58">
        <f>IF($H2676="","",LEFT($H2676,FIND(" ",$H2676&amp;" ")-1))</f>
        <v/>
      </c>
      <c r="C2676" s="58">
        <f>IF($H2676="","",IFERROR(MID($H2676&amp;" ",FIND("|",SUBSTITUTE($H2676&amp;" "," ","|",1))+1,FIND("|",SUBSTITUTE($H2676&amp;" "," ","|",2))-FIND("|",SUBSTITUTE($H2676&amp;" "," ","|",1))-1),""))</f>
        <v/>
      </c>
      <c r="D2676" s="58">
        <f>IF($H2676="","",IFERROR(MID($H2676&amp;" ",FIND("|",SUBSTITUTE($H2676&amp;" "," ","|",2))+1,FIND("|",SUBSTITUTE($H2676&amp;" "," ","|",3))-FIND("|",SUBSTITUTE($H2676&amp;" "," ","|",2))-1),""))</f>
        <v/>
      </c>
      <c r="E2676" s="58">
        <f>IF($H2676="","",IFERROR(MID($H2676&amp;" ",FIND("|",SUBSTITUTE($H2676&amp;" "," ","|",3))+1,FIND("|",SUBSTITUTE($H2676&amp;" "," ","|",4))-FIND("|",SUBSTITUTE($H2676&amp;" "," ","|",3))-1),""))</f>
        <v/>
      </c>
      <c r="F2676" s="59">
        <f>IF($H2676="","",IFERROR(VALUE(IFERROR(MID($H2676&amp;" ",FIND("|",SUBSTITUTE($H2676&amp;" "," ","|",4))+1,FIND("|",SUBSTITUTE($H2676&amp;" "," ","|",5))-FIND("|",SUBSTITUTE($H2676&amp;" "," ","|",4))-1),""))/86400+25569+9/24,""))</f>
        <v/>
      </c>
      <c r="G2676" s="58">
        <f>TRIM(SUBSTITUTE(SUBSTITUTE(SUBSTITUTE($A2676,CHAR(9)," ")," "," "),CHAR(13),""))</f>
        <v/>
      </c>
      <c r="H2676" s="58">
        <f>IF($G2676="","",IF(ISNUMBER(FIND(" ",$G2676)),$G2676,IFERROR(IF((LEN(SUBSTITUTE(SUBSTITUTE($G2676,"-"," ",LEN($G2676)-LEN(SUBSTITUTE($G2676,"-",""))),"-"," ",LEN($G2676)-LEN(SUBSTITUTE($G2676,"-",""))-1))-LEN(SUBSTITUTE(SUBSTITUTE(SUBSTITUTE($G2676,"-"," ",LEN($G2676)-LEN(SUBSTITUTE($G2676,"-",""))),"-"," ",LEN($G2676)-LEN(SUBSTITUTE($G2676,"-",""))-1),".","")))=0,SUBSTITUTE(SUBSTITUTE($G2676,"-"," ",LEN($G2676)-LEN(SUBSTITUTE($G2676,"-",""))),"-"," ",LEN($G2676)-LEN(SUBSTITUTE($G2676,"-",""))-1),SUBSTITUTE(SUBSTITUTE(SUBSTITUTE($G2676,"-"," ",LEN($G2676)-LEN(SUBSTITUTE($G2676,"-",""))),"-"," ",LEN($G2676)-LEN(SUBSTITUTE($G2676,"-",""))-1),"."," ",(LEN(SUBSTITUTE(SUBSTITUTE($G2676,"-"," ",LEN($G2676)-LEN(SUBSTITUTE($G2676,"-",""))),"-"," ",LEN($G2676)-LEN(SUBSTITUTE($G2676,"-",""))-1))-LEN(SUBSTITUTE(SUBSTITUTE(SUBSTITUTE($G2676,"-"," ",LEN($G2676)-LEN(SUBSTITUTE($G2676,"-",""))),"-"," ",LEN($G2676)-LEN(SUBSTITUTE($G2676,"-",""))-1),".",""))))),$G2676)))</f>
        <v/>
      </c>
    </row>
    <row r="2677">
      <c r="A2677" s="58" t="n"/>
      <c r="B2677" s="58">
        <f>IF($H2677="","",LEFT($H2677,FIND(" ",$H2677&amp;" ")-1))</f>
        <v/>
      </c>
      <c r="C2677" s="58">
        <f>IF($H2677="","",IFERROR(MID($H2677&amp;" ",FIND("|",SUBSTITUTE($H2677&amp;" "," ","|",1))+1,FIND("|",SUBSTITUTE($H2677&amp;" "," ","|",2))-FIND("|",SUBSTITUTE($H2677&amp;" "," ","|",1))-1),""))</f>
        <v/>
      </c>
      <c r="D2677" s="58">
        <f>IF($H2677="","",IFERROR(MID($H2677&amp;" ",FIND("|",SUBSTITUTE($H2677&amp;" "," ","|",2))+1,FIND("|",SUBSTITUTE($H2677&amp;" "," ","|",3))-FIND("|",SUBSTITUTE($H2677&amp;" "," ","|",2))-1),""))</f>
        <v/>
      </c>
      <c r="E2677" s="58">
        <f>IF($H2677="","",IFERROR(MID($H2677&amp;" ",FIND("|",SUBSTITUTE($H2677&amp;" "," ","|",3))+1,FIND("|",SUBSTITUTE($H2677&amp;" "," ","|",4))-FIND("|",SUBSTITUTE($H2677&amp;" "," ","|",3))-1),""))</f>
        <v/>
      </c>
      <c r="F2677" s="59">
        <f>IF($H2677="","",IFERROR(VALUE(IFERROR(MID($H2677&amp;" ",FIND("|",SUBSTITUTE($H2677&amp;" "," ","|",4))+1,FIND("|",SUBSTITUTE($H2677&amp;" "," ","|",5))-FIND("|",SUBSTITUTE($H2677&amp;" "," ","|",4))-1),""))/86400+25569+9/24,""))</f>
        <v/>
      </c>
      <c r="G2677" s="58">
        <f>TRIM(SUBSTITUTE(SUBSTITUTE(SUBSTITUTE($A2677,CHAR(9)," ")," "," "),CHAR(13),""))</f>
        <v/>
      </c>
      <c r="H2677" s="58">
        <f>IF($G2677="","",IF(ISNUMBER(FIND(" ",$G2677)),$G2677,IFERROR(IF((LEN(SUBSTITUTE(SUBSTITUTE($G2677,"-"," ",LEN($G2677)-LEN(SUBSTITUTE($G2677,"-",""))),"-"," ",LEN($G2677)-LEN(SUBSTITUTE($G2677,"-",""))-1))-LEN(SUBSTITUTE(SUBSTITUTE(SUBSTITUTE($G2677,"-"," ",LEN($G2677)-LEN(SUBSTITUTE($G2677,"-",""))),"-"," ",LEN($G2677)-LEN(SUBSTITUTE($G2677,"-",""))-1),".","")))=0,SUBSTITUTE(SUBSTITUTE($G2677,"-"," ",LEN($G2677)-LEN(SUBSTITUTE($G2677,"-",""))),"-"," ",LEN($G2677)-LEN(SUBSTITUTE($G2677,"-",""))-1),SUBSTITUTE(SUBSTITUTE(SUBSTITUTE($G2677,"-"," ",LEN($G2677)-LEN(SUBSTITUTE($G2677,"-",""))),"-"," ",LEN($G2677)-LEN(SUBSTITUTE($G2677,"-",""))-1),"."," ",(LEN(SUBSTITUTE(SUBSTITUTE($G2677,"-"," ",LEN($G2677)-LEN(SUBSTITUTE($G2677,"-",""))),"-"," ",LEN($G2677)-LEN(SUBSTITUTE($G2677,"-",""))-1))-LEN(SUBSTITUTE(SUBSTITUTE(SUBSTITUTE($G2677,"-"," ",LEN($G2677)-LEN(SUBSTITUTE($G2677,"-",""))),"-"," ",LEN($G2677)-LEN(SUBSTITUTE($G2677,"-",""))-1),".",""))))),$G2677)))</f>
        <v/>
      </c>
    </row>
    <row r="2678">
      <c r="A2678" s="58" t="n"/>
      <c r="B2678" s="58">
        <f>IF($H2678="","",LEFT($H2678,FIND(" ",$H2678&amp;" ")-1))</f>
        <v/>
      </c>
      <c r="C2678" s="58">
        <f>IF($H2678="","",IFERROR(MID($H2678&amp;" ",FIND("|",SUBSTITUTE($H2678&amp;" "," ","|",1))+1,FIND("|",SUBSTITUTE($H2678&amp;" "," ","|",2))-FIND("|",SUBSTITUTE($H2678&amp;" "," ","|",1))-1),""))</f>
        <v/>
      </c>
      <c r="D2678" s="58">
        <f>IF($H2678="","",IFERROR(MID($H2678&amp;" ",FIND("|",SUBSTITUTE($H2678&amp;" "," ","|",2))+1,FIND("|",SUBSTITUTE($H2678&amp;" "," ","|",3))-FIND("|",SUBSTITUTE($H2678&amp;" "," ","|",2))-1),""))</f>
        <v/>
      </c>
      <c r="E2678" s="58">
        <f>IF($H2678="","",IFERROR(MID($H2678&amp;" ",FIND("|",SUBSTITUTE($H2678&amp;" "," ","|",3))+1,FIND("|",SUBSTITUTE($H2678&amp;" "," ","|",4))-FIND("|",SUBSTITUTE($H2678&amp;" "," ","|",3))-1),""))</f>
        <v/>
      </c>
      <c r="F2678" s="59">
        <f>IF($H2678="","",IFERROR(VALUE(IFERROR(MID($H2678&amp;" ",FIND("|",SUBSTITUTE($H2678&amp;" "," ","|",4))+1,FIND("|",SUBSTITUTE($H2678&amp;" "," ","|",5))-FIND("|",SUBSTITUTE($H2678&amp;" "," ","|",4))-1),""))/86400+25569+9/24,""))</f>
        <v/>
      </c>
      <c r="G2678" s="58">
        <f>TRIM(SUBSTITUTE(SUBSTITUTE(SUBSTITUTE($A2678,CHAR(9)," ")," "," "),CHAR(13),""))</f>
        <v/>
      </c>
      <c r="H2678" s="58">
        <f>IF($G2678="","",IF(ISNUMBER(FIND(" ",$G2678)),$G2678,IFERROR(IF((LEN(SUBSTITUTE(SUBSTITUTE($G2678,"-"," ",LEN($G2678)-LEN(SUBSTITUTE($G2678,"-",""))),"-"," ",LEN($G2678)-LEN(SUBSTITUTE($G2678,"-",""))-1))-LEN(SUBSTITUTE(SUBSTITUTE(SUBSTITUTE($G2678,"-"," ",LEN($G2678)-LEN(SUBSTITUTE($G2678,"-",""))),"-"," ",LEN($G2678)-LEN(SUBSTITUTE($G2678,"-",""))-1),".","")))=0,SUBSTITUTE(SUBSTITUTE($G2678,"-"," ",LEN($G2678)-LEN(SUBSTITUTE($G2678,"-",""))),"-"," ",LEN($G2678)-LEN(SUBSTITUTE($G2678,"-",""))-1),SUBSTITUTE(SUBSTITUTE(SUBSTITUTE($G2678,"-"," ",LEN($G2678)-LEN(SUBSTITUTE($G2678,"-",""))),"-"," ",LEN($G2678)-LEN(SUBSTITUTE($G2678,"-",""))-1),"."," ",(LEN(SUBSTITUTE(SUBSTITUTE($G2678,"-"," ",LEN($G2678)-LEN(SUBSTITUTE($G2678,"-",""))),"-"," ",LEN($G2678)-LEN(SUBSTITUTE($G2678,"-",""))-1))-LEN(SUBSTITUTE(SUBSTITUTE(SUBSTITUTE($G2678,"-"," ",LEN($G2678)-LEN(SUBSTITUTE($G2678,"-",""))),"-"," ",LEN($G2678)-LEN(SUBSTITUTE($G2678,"-",""))-1),".",""))))),$G2678)))</f>
        <v/>
      </c>
    </row>
    <row r="2679">
      <c r="A2679" s="58" t="n"/>
      <c r="B2679" s="58">
        <f>IF($H2679="","",LEFT($H2679,FIND(" ",$H2679&amp;" ")-1))</f>
        <v/>
      </c>
      <c r="C2679" s="58">
        <f>IF($H2679="","",IFERROR(MID($H2679&amp;" ",FIND("|",SUBSTITUTE($H2679&amp;" "," ","|",1))+1,FIND("|",SUBSTITUTE($H2679&amp;" "," ","|",2))-FIND("|",SUBSTITUTE($H2679&amp;" "," ","|",1))-1),""))</f>
        <v/>
      </c>
      <c r="D2679" s="58">
        <f>IF($H2679="","",IFERROR(MID($H2679&amp;" ",FIND("|",SUBSTITUTE($H2679&amp;" "," ","|",2))+1,FIND("|",SUBSTITUTE($H2679&amp;" "," ","|",3))-FIND("|",SUBSTITUTE($H2679&amp;" "," ","|",2))-1),""))</f>
        <v/>
      </c>
      <c r="E2679" s="58">
        <f>IF($H2679="","",IFERROR(MID($H2679&amp;" ",FIND("|",SUBSTITUTE($H2679&amp;" "," ","|",3))+1,FIND("|",SUBSTITUTE($H2679&amp;" "," ","|",4))-FIND("|",SUBSTITUTE($H2679&amp;" "," ","|",3))-1),""))</f>
        <v/>
      </c>
      <c r="F2679" s="59">
        <f>IF($H2679="","",IFERROR(VALUE(IFERROR(MID($H2679&amp;" ",FIND("|",SUBSTITUTE($H2679&amp;" "," ","|",4))+1,FIND("|",SUBSTITUTE($H2679&amp;" "," ","|",5))-FIND("|",SUBSTITUTE($H2679&amp;" "," ","|",4))-1),""))/86400+25569+9/24,""))</f>
        <v/>
      </c>
      <c r="G2679" s="58">
        <f>TRIM(SUBSTITUTE(SUBSTITUTE(SUBSTITUTE($A2679,CHAR(9)," ")," "," "),CHAR(13),""))</f>
        <v/>
      </c>
      <c r="H2679" s="58">
        <f>IF($G2679="","",IF(ISNUMBER(FIND(" ",$G2679)),$G2679,IFERROR(IF((LEN(SUBSTITUTE(SUBSTITUTE($G2679,"-"," ",LEN($G2679)-LEN(SUBSTITUTE($G2679,"-",""))),"-"," ",LEN($G2679)-LEN(SUBSTITUTE($G2679,"-",""))-1))-LEN(SUBSTITUTE(SUBSTITUTE(SUBSTITUTE($G2679,"-"," ",LEN($G2679)-LEN(SUBSTITUTE($G2679,"-",""))),"-"," ",LEN($G2679)-LEN(SUBSTITUTE($G2679,"-",""))-1),".","")))=0,SUBSTITUTE(SUBSTITUTE($G2679,"-"," ",LEN($G2679)-LEN(SUBSTITUTE($G2679,"-",""))),"-"," ",LEN($G2679)-LEN(SUBSTITUTE($G2679,"-",""))-1),SUBSTITUTE(SUBSTITUTE(SUBSTITUTE($G2679,"-"," ",LEN($G2679)-LEN(SUBSTITUTE($G2679,"-",""))),"-"," ",LEN($G2679)-LEN(SUBSTITUTE($G2679,"-",""))-1),"."," ",(LEN(SUBSTITUTE(SUBSTITUTE($G2679,"-"," ",LEN($G2679)-LEN(SUBSTITUTE($G2679,"-",""))),"-"," ",LEN($G2679)-LEN(SUBSTITUTE($G2679,"-",""))-1))-LEN(SUBSTITUTE(SUBSTITUTE(SUBSTITUTE($G2679,"-"," ",LEN($G2679)-LEN(SUBSTITUTE($G2679,"-",""))),"-"," ",LEN($G2679)-LEN(SUBSTITUTE($G2679,"-",""))-1),".",""))))),$G2679)))</f>
        <v/>
      </c>
    </row>
    <row r="2680">
      <c r="A2680" s="58" t="n"/>
      <c r="B2680" s="58">
        <f>IF($H2680="","",LEFT($H2680,FIND(" ",$H2680&amp;" ")-1))</f>
        <v/>
      </c>
      <c r="C2680" s="58">
        <f>IF($H2680="","",IFERROR(MID($H2680&amp;" ",FIND("|",SUBSTITUTE($H2680&amp;" "," ","|",1))+1,FIND("|",SUBSTITUTE($H2680&amp;" "," ","|",2))-FIND("|",SUBSTITUTE($H2680&amp;" "," ","|",1))-1),""))</f>
        <v/>
      </c>
      <c r="D2680" s="58">
        <f>IF($H2680="","",IFERROR(MID($H2680&amp;" ",FIND("|",SUBSTITUTE($H2680&amp;" "," ","|",2))+1,FIND("|",SUBSTITUTE($H2680&amp;" "," ","|",3))-FIND("|",SUBSTITUTE($H2680&amp;" "," ","|",2))-1),""))</f>
        <v/>
      </c>
      <c r="E2680" s="58">
        <f>IF($H2680="","",IFERROR(MID($H2680&amp;" ",FIND("|",SUBSTITUTE($H2680&amp;" "," ","|",3))+1,FIND("|",SUBSTITUTE($H2680&amp;" "," ","|",4))-FIND("|",SUBSTITUTE($H2680&amp;" "," ","|",3))-1),""))</f>
        <v/>
      </c>
      <c r="F2680" s="59">
        <f>IF($H2680="","",IFERROR(VALUE(IFERROR(MID($H2680&amp;" ",FIND("|",SUBSTITUTE($H2680&amp;" "," ","|",4))+1,FIND("|",SUBSTITUTE($H2680&amp;" "," ","|",5))-FIND("|",SUBSTITUTE($H2680&amp;" "," ","|",4))-1),""))/86400+25569+9/24,""))</f>
        <v/>
      </c>
      <c r="G2680" s="58">
        <f>TRIM(SUBSTITUTE(SUBSTITUTE(SUBSTITUTE($A2680,CHAR(9)," ")," "," "),CHAR(13),""))</f>
        <v/>
      </c>
      <c r="H2680" s="58">
        <f>IF($G2680="","",IF(ISNUMBER(FIND(" ",$G2680)),$G2680,IFERROR(IF((LEN(SUBSTITUTE(SUBSTITUTE($G2680,"-"," ",LEN($G2680)-LEN(SUBSTITUTE($G2680,"-",""))),"-"," ",LEN($G2680)-LEN(SUBSTITUTE($G2680,"-",""))-1))-LEN(SUBSTITUTE(SUBSTITUTE(SUBSTITUTE($G2680,"-"," ",LEN($G2680)-LEN(SUBSTITUTE($G2680,"-",""))),"-"," ",LEN($G2680)-LEN(SUBSTITUTE($G2680,"-",""))-1),".","")))=0,SUBSTITUTE(SUBSTITUTE($G2680,"-"," ",LEN($G2680)-LEN(SUBSTITUTE($G2680,"-",""))),"-"," ",LEN($G2680)-LEN(SUBSTITUTE($G2680,"-",""))-1),SUBSTITUTE(SUBSTITUTE(SUBSTITUTE($G2680,"-"," ",LEN($G2680)-LEN(SUBSTITUTE($G2680,"-",""))),"-"," ",LEN($G2680)-LEN(SUBSTITUTE($G2680,"-",""))-1),"."," ",(LEN(SUBSTITUTE(SUBSTITUTE($G2680,"-"," ",LEN($G2680)-LEN(SUBSTITUTE($G2680,"-",""))),"-"," ",LEN($G2680)-LEN(SUBSTITUTE($G2680,"-",""))-1))-LEN(SUBSTITUTE(SUBSTITUTE(SUBSTITUTE($G2680,"-"," ",LEN($G2680)-LEN(SUBSTITUTE($G2680,"-",""))),"-"," ",LEN($G2680)-LEN(SUBSTITUTE($G2680,"-",""))-1),".",""))))),$G2680)))</f>
        <v/>
      </c>
    </row>
    <row r="2681">
      <c r="A2681" s="58" t="n"/>
      <c r="B2681" s="58">
        <f>IF($H2681="","",LEFT($H2681,FIND(" ",$H2681&amp;" ")-1))</f>
        <v/>
      </c>
      <c r="C2681" s="58">
        <f>IF($H2681="","",IFERROR(MID($H2681&amp;" ",FIND("|",SUBSTITUTE($H2681&amp;" "," ","|",1))+1,FIND("|",SUBSTITUTE($H2681&amp;" "," ","|",2))-FIND("|",SUBSTITUTE($H2681&amp;" "," ","|",1))-1),""))</f>
        <v/>
      </c>
      <c r="D2681" s="58">
        <f>IF($H2681="","",IFERROR(MID($H2681&amp;" ",FIND("|",SUBSTITUTE($H2681&amp;" "," ","|",2))+1,FIND("|",SUBSTITUTE($H2681&amp;" "," ","|",3))-FIND("|",SUBSTITUTE($H2681&amp;" "," ","|",2))-1),""))</f>
        <v/>
      </c>
      <c r="E2681" s="58">
        <f>IF($H2681="","",IFERROR(MID($H2681&amp;" ",FIND("|",SUBSTITUTE($H2681&amp;" "," ","|",3))+1,FIND("|",SUBSTITUTE($H2681&amp;" "," ","|",4))-FIND("|",SUBSTITUTE($H2681&amp;" "," ","|",3))-1),""))</f>
        <v/>
      </c>
      <c r="F2681" s="59">
        <f>IF($H2681="","",IFERROR(VALUE(IFERROR(MID($H2681&amp;" ",FIND("|",SUBSTITUTE($H2681&amp;" "," ","|",4))+1,FIND("|",SUBSTITUTE($H2681&amp;" "," ","|",5))-FIND("|",SUBSTITUTE($H2681&amp;" "," ","|",4))-1),""))/86400+25569+9/24,""))</f>
        <v/>
      </c>
      <c r="G2681" s="58">
        <f>TRIM(SUBSTITUTE(SUBSTITUTE(SUBSTITUTE($A2681,CHAR(9)," ")," "," "),CHAR(13),""))</f>
        <v/>
      </c>
      <c r="H2681" s="58">
        <f>IF($G2681="","",IF(ISNUMBER(FIND(" ",$G2681)),$G2681,IFERROR(IF((LEN(SUBSTITUTE(SUBSTITUTE($G2681,"-"," ",LEN($G2681)-LEN(SUBSTITUTE($G2681,"-",""))),"-"," ",LEN($G2681)-LEN(SUBSTITUTE($G2681,"-",""))-1))-LEN(SUBSTITUTE(SUBSTITUTE(SUBSTITUTE($G2681,"-"," ",LEN($G2681)-LEN(SUBSTITUTE($G2681,"-",""))),"-"," ",LEN($G2681)-LEN(SUBSTITUTE($G2681,"-",""))-1),".","")))=0,SUBSTITUTE(SUBSTITUTE($G2681,"-"," ",LEN($G2681)-LEN(SUBSTITUTE($G2681,"-",""))),"-"," ",LEN($G2681)-LEN(SUBSTITUTE($G2681,"-",""))-1),SUBSTITUTE(SUBSTITUTE(SUBSTITUTE($G2681,"-"," ",LEN($G2681)-LEN(SUBSTITUTE($G2681,"-",""))),"-"," ",LEN($G2681)-LEN(SUBSTITUTE($G2681,"-",""))-1),"."," ",(LEN(SUBSTITUTE(SUBSTITUTE($G2681,"-"," ",LEN($G2681)-LEN(SUBSTITUTE($G2681,"-",""))),"-"," ",LEN($G2681)-LEN(SUBSTITUTE($G2681,"-",""))-1))-LEN(SUBSTITUTE(SUBSTITUTE(SUBSTITUTE($G2681,"-"," ",LEN($G2681)-LEN(SUBSTITUTE($G2681,"-",""))),"-"," ",LEN($G2681)-LEN(SUBSTITUTE($G2681,"-",""))-1),".",""))))),$G2681)))</f>
        <v/>
      </c>
    </row>
    <row r="2682">
      <c r="A2682" s="58" t="n"/>
      <c r="B2682" s="58">
        <f>IF($H2682="","",LEFT($H2682,FIND(" ",$H2682&amp;" ")-1))</f>
        <v/>
      </c>
      <c r="C2682" s="58">
        <f>IF($H2682="","",IFERROR(MID($H2682&amp;" ",FIND("|",SUBSTITUTE($H2682&amp;" "," ","|",1))+1,FIND("|",SUBSTITUTE($H2682&amp;" "," ","|",2))-FIND("|",SUBSTITUTE($H2682&amp;" "," ","|",1))-1),""))</f>
        <v/>
      </c>
      <c r="D2682" s="58">
        <f>IF($H2682="","",IFERROR(MID($H2682&amp;" ",FIND("|",SUBSTITUTE($H2682&amp;" "," ","|",2))+1,FIND("|",SUBSTITUTE($H2682&amp;" "," ","|",3))-FIND("|",SUBSTITUTE($H2682&amp;" "," ","|",2))-1),""))</f>
        <v/>
      </c>
      <c r="E2682" s="58">
        <f>IF($H2682="","",IFERROR(MID($H2682&amp;" ",FIND("|",SUBSTITUTE($H2682&amp;" "," ","|",3))+1,FIND("|",SUBSTITUTE($H2682&amp;" "," ","|",4))-FIND("|",SUBSTITUTE($H2682&amp;" "," ","|",3))-1),""))</f>
        <v/>
      </c>
      <c r="F2682" s="59">
        <f>IF($H2682="","",IFERROR(VALUE(IFERROR(MID($H2682&amp;" ",FIND("|",SUBSTITUTE($H2682&amp;" "," ","|",4))+1,FIND("|",SUBSTITUTE($H2682&amp;" "," ","|",5))-FIND("|",SUBSTITUTE($H2682&amp;" "," ","|",4))-1),""))/86400+25569+9/24,""))</f>
        <v/>
      </c>
      <c r="G2682" s="58">
        <f>TRIM(SUBSTITUTE(SUBSTITUTE(SUBSTITUTE($A2682,CHAR(9)," ")," "," "),CHAR(13),""))</f>
        <v/>
      </c>
      <c r="H2682" s="58">
        <f>IF($G2682="","",IF(ISNUMBER(FIND(" ",$G2682)),$G2682,IFERROR(IF((LEN(SUBSTITUTE(SUBSTITUTE($G2682,"-"," ",LEN($G2682)-LEN(SUBSTITUTE($G2682,"-",""))),"-"," ",LEN($G2682)-LEN(SUBSTITUTE($G2682,"-",""))-1))-LEN(SUBSTITUTE(SUBSTITUTE(SUBSTITUTE($G2682,"-"," ",LEN($G2682)-LEN(SUBSTITUTE($G2682,"-",""))),"-"," ",LEN($G2682)-LEN(SUBSTITUTE($G2682,"-",""))-1),".","")))=0,SUBSTITUTE(SUBSTITUTE($G2682,"-"," ",LEN($G2682)-LEN(SUBSTITUTE($G2682,"-",""))),"-"," ",LEN($G2682)-LEN(SUBSTITUTE($G2682,"-",""))-1),SUBSTITUTE(SUBSTITUTE(SUBSTITUTE($G2682,"-"," ",LEN($G2682)-LEN(SUBSTITUTE($G2682,"-",""))),"-"," ",LEN($G2682)-LEN(SUBSTITUTE($G2682,"-",""))-1),"."," ",(LEN(SUBSTITUTE(SUBSTITUTE($G2682,"-"," ",LEN($G2682)-LEN(SUBSTITUTE($G2682,"-",""))),"-"," ",LEN($G2682)-LEN(SUBSTITUTE($G2682,"-",""))-1))-LEN(SUBSTITUTE(SUBSTITUTE(SUBSTITUTE($G2682,"-"," ",LEN($G2682)-LEN(SUBSTITUTE($G2682,"-",""))),"-"," ",LEN($G2682)-LEN(SUBSTITUTE($G2682,"-",""))-1),".",""))))),$G2682)))</f>
        <v/>
      </c>
    </row>
    <row r="2683">
      <c r="A2683" s="58" t="n"/>
      <c r="B2683" s="58">
        <f>IF($H2683="","",LEFT($H2683,FIND(" ",$H2683&amp;" ")-1))</f>
        <v/>
      </c>
      <c r="C2683" s="58">
        <f>IF($H2683="","",IFERROR(MID($H2683&amp;" ",FIND("|",SUBSTITUTE($H2683&amp;" "," ","|",1))+1,FIND("|",SUBSTITUTE($H2683&amp;" "," ","|",2))-FIND("|",SUBSTITUTE($H2683&amp;" "," ","|",1))-1),""))</f>
        <v/>
      </c>
      <c r="D2683" s="58">
        <f>IF($H2683="","",IFERROR(MID($H2683&amp;" ",FIND("|",SUBSTITUTE($H2683&amp;" "," ","|",2))+1,FIND("|",SUBSTITUTE($H2683&amp;" "," ","|",3))-FIND("|",SUBSTITUTE($H2683&amp;" "," ","|",2))-1),""))</f>
        <v/>
      </c>
      <c r="E2683" s="58">
        <f>IF($H2683="","",IFERROR(MID($H2683&amp;" ",FIND("|",SUBSTITUTE($H2683&amp;" "," ","|",3))+1,FIND("|",SUBSTITUTE($H2683&amp;" "," ","|",4))-FIND("|",SUBSTITUTE($H2683&amp;" "," ","|",3))-1),""))</f>
        <v/>
      </c>
      <c r="F2683" s="59">
        <f>IF($H2683="","",IFERROR(VALUE(IFERROR(MID($H2683&amp;" ",FIND("|",SUBSTITUTE($H2683&amp;" "," ","|",4))+1,FIND("|",SUBSTITUTE($H2683&amp;" "," ","|",5))-FIND("|",SUBSTITUTE($H2683&amp;" "," ","|",4))-1),""))/86400+25569+9/24,""))</f>
        <v/>
      </c>
      <c r="G2683" s="58">
        <f>TRIM(SUBSTITUTE(SUBSTITUTE(SUBSTITUTE($A2683,CHAR(9)," ")," "," "),CHAR(13),""))</f>
        <v/>
      </c>
      <c r="H2683" s="58">
        <f>IF($G2683="","",IF(ISNUMBER(FIND(" ",$G2683)),$G2683,IFERROR(IF((LEN(SUBSTITUTE(SUBSTITUTE($G2683,"-"," ",LEN($G2683)-LEN(SUBSTITUTE($G2683,"-",""))),"-"," ",LEN($G2683)-LEN(SUBSTITUTE($G2683,"-",""))-1))-LEN(SUBSTITUTE(SUBSTITUTE(SUBSTITUTE($G2683,"-"," ",LEN($G2683)-LEN(SUBSTITUTE($G2683,"-",""))),"-"," ",LEN($G2683)-LEN(SUBSTITUTE($G2683,"-",""))-1),".","")))=0,SUBSTITUTE(SUBSTITUTE($G2683,"-"," ",LEN($G2683)-LEN(SUBSTITUTE($G2683,"-",""))),"-"," ",LEN($G2683)-LEN(SUBSTITUTE($G2683,"-",""))-1),SUBSTITUTE(SUBSTITUTE(SUBSTITUTE($G2683,"-"," ",LEN($G2683)-LEN(SUBSTITUTE($G2683,"-",""))),"-"," ",LEN($G2683)-LEN(SUBSTITUTE($G2683,"-",""))-1),"."," ",(LEN(SUBSTITUTE(SUBSTITUTE($G2683,"-"," ",LEN($G2683)-LEN(SUBSTITUTE($G2683,"-",""))),"-"," ",LEN($G2683)-LEN(SUBSTITUTE($G2683,"-",""))-1))-LEN(SUBSTITUTE(SUBSTITUTE(SUBSTITUTE($G2683,"-"," ",LEN($G2683)-LEN(SUBSTITUTE($G2683,"-",""))),"-"," ",LEN($G2683)-LEN(SUBSTITUTE($G2683,"-",""))-1),".",""))))),$G2683)))</f>
        <v/>
      </c>
    </row>
    <row r="2684">
      <c r="A2684" s="58" t="n"/>
      <c r="B2684" s="58">
        <f>IF($H2684="","",LEFT($H2684,FIND(" ",$H2684&amp;" ")-1))</f>
        <v/>
      </c>
      <c r="C2684" s="58">
        <f>IF($H2684="","",IFERROR(MID($H2684&amp;" ",FIND("|",SUBSTITUTE($H2684&amp;" "," ","|",1))+1,FIND("|",SUBSTITUTE($H2684&amp;" "," ","|",2))-FIND("|",SUBSTITUTE($H2684&amp;" "," ","|",1))-1),""))</f>
        <v/>
      </c>
      <c r="D2684" s="58">
        <f>IF($H2684="","",IFERROR(MID($H2684&amp;" ",FIND("|",SUBSTITUTE($H2684&amp;" "," ","|",2))+1,FIND("|",SUBSTITUTE($H2684&amp;" "," ","|",3))-FIND("|",SUBSTITUTE($H2684&amp;" "," ","|",2))-1),""))</f>
        <v/>
      </c>
      <c r="E2684" s="58">
        <f>IF($H2684="","",IFERROR(MID($H2684&amp;" ",FIND("|",SUBSTITUTE($H2684&amp;" "," ","|",3))+1,FIND("|",SUBSTITUTE($H2684&amp;" "," ","|",4))-FIND("|",SUBSTITUTE($H2684&amp;" "," ","|",3))-1),""))</f>
        <v/>
      </c>
      <c r="F2684" s="59">
        <f>IF($H2684="","",IFERROR(VALUE(IFERROR(MID($H2684&amp;" ",FIND("|",SUBSTITUTE($H2684&amp;" "," ","|",4))+1,FIND("|",SUBSTITUTE($H2684&amp;" "," ","|",5))-FIND("|",SUBSTITUTE($H2684&amp;" "," ","|",4))-1),""))/86400+25569+9/24,""))</f>
        <v/>
      </c>
      <c r="G2684" s="58">
        <f>TRIM(SUBSTITUTE(SUBSTITUTE(SUBSTITUTE($A2684,CHAR(9)," ")," "," "),CHAR(13),""))</f>
        <v/>
      </c>
      <c r="H2684" s="58">
        <f>IF($G2684="","",IF(ISNUMBER(FIND(" ",$G2684)),$G2684,IFERROR(IF((LEN(SUBSTITUTE(SUBSTITUTE($G2684,"-"," ",LEN($G2684)-LEN(SUBSTITUTE($G2684,"-",""))),"-"," ",LEN($G2684)-LEN(SUBSTITUTE($G2684,"-",""))-1))-LEN(SUBSTITUTE(SUBSTITUTE(SUBSTITUTE($G2684,"-"," ",LEN($G2684)-LEN(SUBSTITUTE($G2684,"-",""))),"-"," ",LEN($G2684)-LEN(SUBSTITUTE($G2684,"-",""))-1),".","")))=0,SUBSTITUTE(SUBSTITUTE($G2684,"-"," ",LEN($G2684)-LEN(SUBSTITUTE($G2684,"-",""))),"-"," ",LEN($G2684)-LEN(SUBSTITUTE($G2684,"-",""))-1),SUBSTITUTE(SUBSTITUTE(SUBSTITUTE($G2684,"-"," ",LEN($G2684)-LEN(SUBSTITUTE($G2684,"-",""))),"-"," ",LEN($G2684)-LEN(SUBSTITUTE($G2684,"-",""))-1),"."," ",(LEN(SUBSTITUTE(SUBSTITUTE($G2684,"-"," ",LEN($G2684)-LEN(SUBSTITUTE($G2684,"-",""))),"-"," ",LEN($G2684)-LEN(SUBSTITUTE($G2684,"-",""))-1))-LEN(SUBSTITUTE(SUBSTITUTE(SUBSTITUTE($G2684,"-"," ",LEN($G2684)-LEN(SUBSTITUTE($G2684,"-",""))),"-"," ",LEN($G2684)-LEN(SUBSTITUTE($G2684,"-",""))-1),".",""))))),$G2684)))</f>
        <v/>
      </c>
    </row>
    <row r="2685">
      <c r="A2685" s="58" t="n"/>
      <c r="B2685" s="58">
        <f>IF($H2685="","",LEFT($H2685,FIND(" ",$H2685&amp;" ")-1))</f>
        <v/>
      </c>
      <c r="C2685" s="58">
        <f>IF($H2685="","",IFERROR(MID($H2685&amp;" ",FIND("|",SUBSTITUTE($H2685&amp;" "," ","|",1))+1,FIND("|",SUBSTITUTE($H2685&amp;" "," ","|",2))-FIND("|",SUBSTITUTE($H2685&amp;" "," ","|",1))-1),""))</f>
        <v/>
      </c>
      <c r="D2685" s="58">
        <f>IF($H2685="","",IFERROR(MID($H2685&amp;" ",FIND("|",SUBSTITUTE($H2685&amp;" "," ","|",2))+1,FIND("|",SUBSTITUTE($H2685&amp;" "," ","|",3))-FIND("|",SUBSTITUTE($H2685&amp;" "," ","|",2))-1),""))</f>
        <v/>
      </c>
      <c r="E2685" s="58">
        <f>IF($H2685="","",IFERROR(MID($H2685&amp;" ",FIND("|",SUBSTITUTE($H2685&amp;" "," ","|",3))+1,FIND("|",SUBSTITUTE($H2685&amp;" "," ","|",4))-FIND("|",SUBSTITUTE($H2685&amp;" "," ","|",3))-1),""))</f>
        <v/>
      </c>
      <c r="F2685" s="59">
        <f>IF($H2685="","",IFERROR(VALUE(IFERROR(MID($H2685&amp;" ",FIND("|",SUBSTITUTE($H2685&amp;" "," ","|",4))+1,FIND("|",SUBSTITUTE($H2685&amp;" "," ","|",5))-FIND("|",SUBSTITUTE($H2685&amp;" "," ","|",4))-1),""))/86400+25569+9/24,""))</f>
        <v/>
      </c>
      <c r="G2685" s="58">
        <f>TRIM(SUBSTITUTE(SUBSTITUTE(SUBSTITUTE($A2685,CHAR(9)," ")," "," "),CHAR(13),""))</f>
        <v/>
      </c>
      <c r="H2685" s="58">
        <f>IF($G2685="","",IF(ISNUMBER(FIND(" ",$G2685)),$G2685,IFERROR(IF((LEN(SUBSTITUTE(SUBSTITUTE($G2685,"-"," ",LEN($G2685)-LEN(SUBSTITUTE($G2685,"-",""))),"-"," ",LEN($G2685)-LEN(SUBSTITUTE($G2685,"-",""))-1))-LEN(SUBSTITUTE(SUBSTITUTE(SUBSTITUTE($G2685,"-"," ",LEN($G2685)-LEN(SUBSTITUTE($G2685,"-",""))),"-"," ",LEN($G2685)-LEN(SUBSTITUTE($G2685,"-",""))-1),".","")))=0,SUBSTITUTE(SUBSTITUTE($G2685,"-"," ",LEN($G2685)-LEN(SUBSTITUTE($G2685,"-",""))),"-"," ",LEN($G2685)-LEN(SUBSTITUTE($G2685,"-",""))-1),SUBSTITUTE(SUBSTITUTE(SUBSTITUTE($G2685,"-"," ",LEN($G2685)-LEN(SUBSTITUTE($G2685,"-",""))),"-"," ",LEN($G2685)-LEN(SUBSTITUTE($G2685,"-",""))-1),"."," ",(LEN(SUBSTITUTE(SUBSTITUTE($G2685,"-"," ",LEN($G2685)-LEN(SUBSTITUTE($G2685,"-",""))),"-"," ",LEN($G2685)-LEN(SUBSTITUTE($G2685,"-",""))-1))-LEN(SUBSTITUTE(SUBSTITUTE(SUBSTITUTE($G2685,"-"," ",LEN($G2685)-LEN(SUBSTITUTE($G2685,"-",""))),"-"," ",LEN($G2685)-LEN(SUBSTITUTE($G2685,"-",""))-1),".",""))))),$G2685)))</f>
        <v/>
      </c>
    </row>
    <row r="2686">
      <c r="A2686" s="58" t="n"/>
      <c r="B2686" s="58">
        <f>IF($H2686="","",LEFT($H2686,FIND(" ",$H2686&amp;" ")-1))</f>
        <v/>
      </c>
      <c r="C2686" s="58">
        <f>IF($H2686="","",IFERROR(MID($H2686&amp;" ",FIND("|",SUBSTITUTE($H2686&amp;" "," ","|",1))+1,FIND("|",SUBSTITUTE($H2686&amp;" "," ","|",2))-FIND("|",SUBSTITUTE($H2686&amp;" "," ","|",1))-1),""))</f>
        <v/>
      </c>
      <c r="D2686" s="58">
        <f>IF($H2686="","",IFERROR(MID($H2686&amp;" ",FIND("|",SUBSTITUTE($H2686&amp;" "," ","|",2))+1,FIND("|",SUBSTITUTE($H2686&amp;" "," ","|",3))-FIND("|",SUBSTITUTE($H2686&amp;" "," ","|",2))-1),""))</f>
        <v/>
      </c>
      <c r="E2686" s="58">
        <f>IF($H2686="","",IFERROR(MID($H2686&amp;" ",FIND("|",SUBSTITUTE($H2686&amp;" "," ","|",3))+1,FIND("|",SUBSTITUTE($H2686&amp;" "," ","|",4))-FIND("|",SUBSTITUTE($H2686&amp;" "," ","|",3))-1),""))</f>
        <v/>
      </c>
      <c r="F2686" s="59">
        <f>IF($H2686="","",IFERROR(VALUE(IFERROR(MID($H2686&amp;" ",FIND("|",SUBSTITUTE($H2686&amp;" "," ","|",4))+1,FIND("|",SUBSTITUTE($H2686&amp;" "," ","|",5))-FIND("|",SUBSTITUTE($H2686&amp;" "," ","|",4))-1),""))/86400+25569+9/24,""))</f>
        <v/>
      </c>
      <c r="G2686" s="58">
        <f>TRIM(SUBSTITUTE(SUBSTITUTE(SUBSTITUTE($A2686,CHAR(9)," ")," "," "),CHAR(13),""))</f>
        <v/>
      </c>
      <c r="H2686" s="58">
        <f>IF($G2686="","",IF(ISNUMBER(FIND(" ",$G2686)),$G2686,IFERROR(IF((LEN(SUBSTITUTE(SUBSTITUTE($G2686,"-"," ",LEN($G2686)-LEN(SUBSTITUTE($G2686,"-",""))),"-"," ",LEN($G2686)-LEN(SUBSTITUTE($G2686,"-",""))-1))-LEN(SUBSTITUTE(SUBSTITUTE(SUBSTITUTE($G2686,"-"," ",LEN($G2686)-LEN(SUBSTITUTE($G2686,"-",""))),"-"," ",LEN($G2686)-LEN(SUBSTITUTE($G2686,"-",""))-1),".","")))=0,SUBSTITUTE(SUBSTITUTE($G2686,"-"," ",LEN($G2686)-LEN(SUBSTITUTE($G2686,"-",""))),"-"," ",LEN($G2686)-LEN(SUBSTITUTE($G2686,"-",""))-1),SUBSTITUTE(SUBSTITUTE(SUBSTITUTE($G2686,"-"," ",LEN($G2686)-LEN(SUBSTITUTE($G2686,"-",""))),"-"," ",LEN($G2686)-LEN(SUBSTITUTE($G2686,"-",""))-1),"."," ",(LEN(SUBSTITUTE(SUBSTITUTE($G2686,"-"," ",LEN($G2686)-LEN(SUBSTITUTE($G2686,"-",""))),"-"," ",LEN($G2686)-LEN(SUBSTITUTE($G2686,"-",""))-1))-LEN(SUBSTITUTE(SUBSTITUTE(SUBSTITUTE($G2686,"-"," ",LEN($G2686)-LEN(SUBSTITUTE($G2686,"-",""))),"-"," ",LEN($G2686)-LEN(SUBSTITUTE($G2686,"-",""))-1),".",""))))),$G2686)))</f>
        <v/>
      </c>
    </row>
    <row r="2687">
      <c r="A2687" s="58" t="n"/>
      <c r="B2687" s="58">
        <f>IF($H2687="","",LEFT($H2687,FIND(" ",$H2687&amp;" ")-1))</f>
        <v/>
      </c>
      <c r="C2687" s="58">
        <f>IF($H2687="","",IFERROR(MID($H2687&amp;" ",FIND("|",SUBSTITUTE($H2687&amp;" "," ","|",1))+1,FIND("|",SUBSTITUTE($H2687&amp;" "," ","|",2))-FIND("|",SUBSTITUTE($H2687&amp;" "," ","|",1))-1),""))</f>
        <v/>
      </c>
      <c r="D2687" s="58">
        <f>IF($H2687="","",IFERROR(MID($H2687&amp;" ",FIND("|",SUBSTITUTE($H2687&amp;" "," ","|",2))+1,FIND("|",SUBSTITUTE($H2687&amp;" "," ","|",3))-FIND("|",SUBSTITUTE($H2687&amp;" "," ","|",2))-1),""))</f>
        <v/>
      </c>
      <c r="E2687" s="58">
        <f>IF($H2687="","",IFERROR(MID($H2687&amp;" ",FIND("|",SUBSTITUTE($H2687&amp;" "," ","|",3))+1,FIND("|",SUBSTITUTE($H2687&amp;" "," ","|",4))-FIND("|",SUBSTITUTE($H2687&amp;" "," ","|",3))-1),""))</f>
        <v/>
      </c>
      <c r="F2687" s="59">
        <f>IF($H2687="","",IFERROR(VALUE(IFERROR(MID($H2687&amp;" ",FIND("|",SUBSTITUTE($H2687&amp;" "," ","|",4))+1,FIND("|",SUBSTITUTE($H2687&amp;" "," ","|",5))-FIND("|",SUBSTITUTE($H2687&amp;" "," ","|",4))-1),""))/86400+25569+9/24,""))</f>
        <v/>
      </c>
      <c r="G2687" s="58">
        <f>TRIM(SUBSTITUTE(SUBSTITUTE(SUBSTITUTE($A2687,CHAR(9)," ")," "," "),CHAR(13),""))</f>
        <v/>
      </c>
      <c r="H2687" s="58">
        <f>IF($G2687="","",IF(ISNUMBER(FIND(" ",$G2687)),$G2687,IFERROR(IF((LEN(SUBSTITUTE(SUBSTITUTE($G2687,"-"," ",LEN($G2687)-LEN(SUBSTITUTE($G2687,"-",""))),"-"," ",LEN($G2687)-LEN(SUBSTITUTE($G2687,"-",""))-1))-LEN(SUBSTITUTE(SUBSTITUTE(SUBSTITUTE($G2687,"-"," ",LEN($G2687)-LEN(SUBSTITUTE($G2687,"-",""))),"-"," ",LEN($G2687)-LEN(SUBSTITUTE($G2687,"-",""))-1),".","")))=0,SUBSTITUTE(SUBSTITUTE($G2687,"-"," ",LEN($G2687)-LEN(SUBSTITUTE($G2687,"-",""))),"-"," ",LEN($G2687)-LEN(SUBSTITUTE($G2687,"-",""))-1),SUBSTITUTE(SUBSTITUTE(SUBSTITUTE($G2687,"-"," ",LEN($G2687)-LEN(SUBSTITUTE($G2687,"-",""))),"-"," ",LEN($G2687)-LEN(SUBSTITUTE($G2687,"-",""))-1),"."," ",(LEN(SUBSTITUTE(SUBSTITUTE($G2687,"-"," ",LEN($G2687)-LEN(SUBSTITUTE($G2687,"-",""))),"-"," ",LEN($G2687)-LEN(SUBSTITUTE($G2687,"-",""))-1))-LEN(SUBSTITUTE(SUBSTITUTE(SUBSTITUTE($G2687,"-"," ",LEN($G2687)-LEN(SUBSTITUTE($G2687,"-",""))),"-"," ",LEN($G2687)-LEN(SUBSTITUTE($G2687,"-",""))-1),".",""))))),$G2687)))</f>
        <v/>
      </c>
    </row>
    <row r="2688">
      <c r="A2688" s="58" t="n"/>
      <c r="B2688" s="58">
        <f>IF($H2688="","",LEFT($H2688,FIND(" ",$H2688&amp;" ")-1))</f>
        <v/>
      </c>
      <c r="C2688" s="58">
        <f>IF($H2688="","",IFERROR(MID($H2688&amp;" ",FIND("|",SUBSTITUTE($H2688&amp;" "," ","|",1))+1,FIND("|",SUBSTITUTE($H2688&amp;" "," ","|",2))-FIND("|",SUBSTITUTE($H2688&amp;" "," ","|",1))-1),""))</f>
        <v/>
      </c>
      <c r="D2688" s="58">
        <f>IF($H2688="","",IFERROR(MID($H2688&amp;" ",FIND("|",SUBSTITUTE($H2688&amp;" "," ","|",2))+1,FIND("|",SUBSTITUTE($H2688&amp;" "," ","|",3))-FIND("|",SUBSTITUTE($H2688&amp;" "," ","|",2))-1),""))</f>
        <v/>
      </c>
      <c r="E2688" s="58">
        <f>IF($H2688="","",IFERROR(MID($H2688&amp;" ",FIND("|",SUBSTITUTE($H2688&amp;" "," ","|",3))+1,FIND("|",SUBSTITUTE($H2688&amp;" "," ","|",4))-FIND("|",SUBSTITUTE($H2688&amp;" "," ","|",3))-1),""))</f>
        <v/>
      </c>
      <c r="F2688" s="59">
        <f>IF($H2688="","",IFERROR(VALUE(IFERROR(MID($H2688&amp;" ",FIND("|",SUBSTITUTE($H2688&amp;" "," ","|",4))+1,FIND("|",SUBSTITUTE($H2688&amp;" "," ","|",5))-FIND("|",SUBSTITUTE($H2688&amp;" "," ","|",4))-1),""))/86400+25569+9/24,""))</f>
        <v/>
      </c>
      <c r="G2688" s="58">
        <f>TRIM(SUBSTITUTE(SUBSTITUTE(SUBSTITUTE($A2688,CHAR(9)," ")," "," "),CHAR(13),""))</f>
        <v/>
      </c>
      <c r="H2688" s="58">
        <f>IF($G2688="","",IF(ISNUMBER(FIND(" ",$G2688)),$G2688,IFERROR(IF((LEN(SUBSTITUTE(SUBSTITUTE($G2688,"-"," ",LEN($G2688)-LEN(SUBSTITUTE($G2688,"-",""))),"-"," ",LEN($G2688)-LEN(SUBSTITUTE($G2688,"-",""))-1))-LEN(SUBSTITUTE(SUBSTITUTE(SUBSTITUTE($G2688,"-"," ",LEN($G2688)-LEN(SUBSTITUTE($G2688,"-",""))),"-"," ",LEN($G2688)-LEN(SUBSTITUTE($G2688,"-",""))-1),".","")))=0,SUBSTITUTE(SUBSTITUTE($G2688,"-"," ",LEN($G2688)-LEN(SUBSTITUTE($G2688,"-",""))),"-"," ",LEN($G2688)-LEN(SUBSTITUTE($G2688,"-",""))-1),SUBSTITUTE(SUBSTITUTE(SUBSTITUTE($G2688,"-"," ",LEN($G2688)-LEN(SUBSTITUTE($G2688,"-",""))),"-"," ",LEN($G2688)-LEN(SUBSTITUTE($G2688,"-",""))-1),"."," ",(LEN(SUBSTITUTE(SUBSTITUTE($G2688,"-"," ",LEN($G2688)-LEN(SUBSTITUTE($G2688,"-",""))),"-"," ",LEN($G2688)-LEN(SUBSTITUTE($G2688,"-",""))-1))-LEN(SUBSTITUTE(SUBSTITUTE(SUBSTITUTE($G2688,"-"," ",LEN($G2688)-LEN(SUBSTITUTE($G2688,"-",""))),"-"," ",LEN($G2688)-LEN(SUBSTITUTE($G2688,"-",""))-1),".",""))))),$G2688)))</f>
        <v/>
      </c>
    </row>
    <row r="2689">
      <c r="A2689" s="58" t="n"/>
      <c r="B2689" s="58">
        <f>IF($H2689="","",LEFT($H2689,FIND(" ",$H2689&amp;" ")-1))</f>
        <v/>
      </c>
      <c r="C2689" s="58">
        <f>IF($H2689="","",IFERROR(MID($H2689&amp;" ",FIND("|",SUBSTITUTE($H2689&amp;" "," ","|",1))+1,FIND("|",SUBSTITUTE($H2689&amp;" "," ","|",2))-FIND("|",SUBSTITUTE($H2689&amp;" "," ","|",1))-1),""))</f>
        <v/>
      </c>
      <c r="D2689" s="58">
        <f>IF($H2689="","",IFERROR(MID($H2689&amp;" ",FIND("|",SUBSTITUTE($H2689&amp;" "," ","|",2))+1,FIND("|",SUBSTITUTE($H2689&amp;" "," ","|",3))-FIND("|",SUBSTITUTE($H2689&amp;" "," ","|",2))-1),""))</f>
        <v/>
      </c>
      <c r="E2689" s="58">
        <f>IF($H2689="","",IFERROR(MID($H2689&amp;" ",FIND("|",SUBSTITUTE($H2689&amp;" "," ","|",3))+1,FIND("|",SUBSTITUTE($H2689&amp;" "," ","|",4))-FIND("|",SUBSTITUTE($H2689&amp;" "," ","|",3))-1),""))</f>
        <v/>
      </c>
      <c r="F2689" s="59">
        <f>IF($H2689="","",IFERROR(VALUE(IFERROR(MID($H2689&amp;" ",FIND("|",SUBSTITUTE($H2689&amp;" "," ","|",4))+1,FIND("|",SUBSTITUTE($H2689&amp;" "," ","|",5))-FIND("|",SUBSTITUTE($H2689&amp;" "," ","|",4))-1),""))/86400+25569+9/24,""))</f>
        <v/>
      </c>
      <c r="G2689" s="58">
        <f>TRIM(SUBSTITUTE(SUBSTITUTE(SUBSTITUTE($A2689,CHAR(9)," ")," "," "),CHAR(13),""))</f>
        <v/>
      </c>
      <c r="H2689" s="58">
        <f>IF($G2689="","",IF(ISNUMBER(FIND(" ",$G2689)),$G2689,IFERROR(IF((LEN(SUBSTITUTE(SUBSTITUTE($G2689,"-"," ",LEN($G2689)-LEN(SUBSTITUTE($G2689,"-",""))),"-"," ",LEN($G2689)-LEN(SUBSTITUTE($G2689,"-",""))-1))-LEN(SUBSTITUTE(SUBSTITUTE(SUBSTITUTE($G2689,"-"," ",LEN($G2689)-LEN(SUBSTITUTE($G2689,"-",""))),"-"," ",LEN($G2689)-LEN(SUBSTITUTE($G2689,"-",""))-1),".","")))=0,SUBSTITUTE(SUBSTITUTE($G2689,"-"," ",LEN($G2689)-LEN(SUBSTITUTE($G2689,"-",""))),"-"," ",LEN($G2689)-LEN(SUBSTITUTE($G2689,"-",""))-1),SUBSTITUTE(SUBSTITUTE(SUBSTITUTE($G2689,"-"," ",LEN($G2689)-LEN(SUBSTITUTE($G2689,"-",""))),"-"," ",LEN($G2689)-LEN(SUBSTITUTE($G2689,"-",""))-1),"."," ",(LEN(SUBSTITUTE(SUBSTITUTE($G2689,"-"," ",LEN($G2689)-LEN(SUBSTITUTE($G2689,"-",""))),"-"," ",LEN($G2689)-LEN(SUBSTITUTE($G2689,"-",""))-1))-LEN(SUBSTITUTE(SUBSTITUTE(SUBSTITUTE($G2689,"-"," ",LEN($G2689)-LEN(SUBSTITUTE($G2689,"-",""))),"-"," ",LEN($G2689)-LEN(SUBSTITUTE($G2689,"-",""))-1),".",""))))),$G2689)))</f>
        <v/>
      </c>
    </row>
    <row r="2690">
      <c r="A2690" s="58" t="n"/>
      <c r="B2690" s="58">
        <f>IF($H2690="","",LEFT($H2690,FIND(" ",$H2690&amp;" ")-1))</f>
        <v/>
      </c>
      <c r="C2690" s="58">
        <f>IF($H2690="","",IFERROR(MID($H2690&amp;" ",FIND("|",SUBSTITUTE($H2690&amp;" "," ","|",1))+1,FIND("|",SUBSTITUTE($H2690&amp;" "," ","|",2))-FIND("|",SUBSTITUTE($H2690&amp;" "," ","|",1))-1),""))</f>
        <v/>
      </c>
      <c r="D2690" s="58">
        <f>IF($H2690="","",IFERROR(MID($H2690&amp;" ",FIND("|",SUBSTITUTE($H2690&amp;" "," ","|",2))+1,FIND("|",SUBSTITUTE($H2690&amp;" "," ","|",3))-FIND("|",SUBSTITUTE($H2690&amp;" "," ","|",2))-1),""))</f>
        <v/>
      </c>
      <c r="E2690" s="58">
        <f>IF($H2690="","",IFERROR(MID($H2690&amp;" ",FIND("|",SUBSTITUTE($H2690&amp;" "," ","|",3))+1,FIND("|",SUBSTITUTE($H2690&amp;" "," ","|",4))-FIND("|",SUBSTITUTE($H2690&amp;" "," ","|",3))-1),""))</f>
        <v/>
      </c>
      <c r="F2690" s="59">
        <f>IF($H2690="","",IFERROR(VALUE(IFERROR(MID($H2690&amp;" ",FIND("|",SUBSTITUTE($H2690&amp;" "," ","|",4))+1,FIND("|",SUBSTITUTE($H2690&amp;" "," ","|",5))-FIND("|",SUBSTITUTE($H2690&amp;" "," ","|",4))-1),""))/86400+25569+9/24,""))</f>
        <v/>
      </c>
      <c r="G2690" s="58">
        <f>TRIM(SUBSTITUTE(SUBSTITUTE(SUBSTITUTE($A2690,CHAR(9)," ")," "," "),CHAR(13),""))</f>
        <v/>
      </c>
      <c r="H2690" s="58">
        <f>IF($G2690="","",IF(ISNUMBER(FIND(" ",$G2690)),$G2690,IFERROR(IF((LEN(SUBSTITUTE(SUBSTITUTE($G2690,"-"," ",LEN($G2690)-LEN(SUBSTITUTE($G2690,"-",""))),"-"," ",LEN($G2690)-LEN(SUBSTITUTE($G2690,"-",""))-1))-LEN(SUBSTITUTE(SUBSTITUTE(SUBSTITUTE($G2690,"-"," ",LEN($G2690)-LEN(SUBSTITUTE($G2690,"-",""))),"-"," ",LEN($G2690)-LEN(SUBSTITUTE($G2690,"-",""))-1),".","")))=0,SUBSTITUTE(SUBSTITUTE($G2690,"-"," ",LEN($G2690)-LEN(SUBSTITUTE($G2690,"-",""))),"-"," ",LEN($G2690)-LEN(SUBSTITUTE($G2690,"-",""))-1),SUBSTITUTE(SUBSTITUTE(SUBSTITUTE($G2690,"-"," ",LEN($G2690)-LEN(SUBSTITUTE($G2690,"-",""))),"-"," ",LEN($G2690)-LEN(SUBSTITUTE($G2690,"-",""))-1),"."," ",(LEN(SUBSTITUTE(SUBSTITUTE($G2690,"-"," ",LEN($G2690)-LEN(SUBSTITUTE($G2690,"-",""))),"-"," ",LEN($G2690)-LEN(SUBSTITUTE($G2690,"-",""))-1))-LEN(SUBSTITUTE(SUBSTITUTE(SUBSTITUTE($G2690,"-"," ",LEN($G2690)-LEN(SUBSTITUTE($G2690,"-",""))),"-"," ",LEN($G2690)-LEN(SUBSTITUTE($G2690,"-",""))-1),".",""))))),$G2690)))</f>
        <v/>
      </c>
    </row>
    <row r="2691">
      <c r="A2691" s="58" t="n"/>
      <c r="B2691" s="58">
        <f>IF($H2691="","",LEFT($H2691,FIND(" ",$H2691&amp;" ")-1))</f>
        <v/>
      </c>
      <c r="C2691" s="58">
        <f>IF($H2691="","",IFERROR(MID($H2691&amp;" ",FIND("|",SUBSTITUTE($H2691&amp;" "," ","|",1))+1,FIND("|",SUBSTITUTE($H2691&amp;" "," ","|",2))-FIND("|",SUBSTITUTE($H2691&amp;" "," ","|",1))-1),""))</f>
        <v/>
      </c>
      <c r="D2691" s="58">
        <f>IF($H2691="","",IFERROR(MID($H2691&amp;" ",FIND("|",SUBSTITUTE($H2691&amp;" "," ","|",2))+1,FIND("|",SUBSTITUTE($H2691&amp;" "," ","|",3))-FIND("|",SUBSTITUTE($H2691&amp;" "," ","|",2))-1),""))</f>
        <v/>
      </c>
      <c r="E2691" s="58">
        <f>IF($H2691="","",IFERROR(MID($H2691&amp;" ",FIND("|",SUBSTITUTE($H2691&amp;" "," ","|",3))+1,FIND("|",SUBSTITUTE($H2691&amp;" "," ","|",4))-FIND("|",SUBSTITUTE($H2691&amp;" "," ","|",3))-1),""))</f>
        <v/>
      </c>
      <c r="F2691" s="59">
        <f>IF($H2691="","",IFERROR(VALUE(IFERROR(MID($H2691&amp;" ",FIND("|",SUBSTITUTE($H2691&amp;" "," ","|",4))+1,FIND("|",SUBSTITUTE($H2691&amp;" "," ","|",5))-FIND("|",SUBSTITUTE($H2691&amp;" "," ","|",4))-1),""))/86400+25569+9/24,""))</f>
        <v/>
      </c>
      <c r="G2691" s="58">
        <f>TRIM(SUBSTITUTE(SUBSTITUTE(SUBSTITUTE($A2691,CHAR(9)," ")," "," "),CHAR(13),""))</f>
        <v/>
      </c>
      <c r="H2691" s="58">
        <f>IF($G2691="","",IF(ISNUMBER(FIND(" ",$G2691)),$G2691,IFERROR(IF((LEN(SUBSTITUTE(SUBSTITUTE($G2691,"-"," ",LEN($G2691)-LEN(SUBSTITUTE($G2691,"-",""))),"-"," ",LEN($G2691)-LEN(SUBSTITUTE($G2691,"-",""))-1))-LEN(SUBSTITUTE(SUBSTITUTE(SUBSTITUTE($G2691,"-"," ",LEN($G2691)-LEN(SUBSTITUTE($G2691,"-",""))),"-"," ",LEN($G2691)-LEN(SUBSTITUTE($G2691,"-",""))-1),".","")))=0,SUBSTITUTE(SUBSTITUTE($G2691,"-"," ",LEN($G2691)-LEN(SUBSTITUTE($G2691,"-",""))),"-"," ",LEN($G2691)-LEN(SUBSTITUTE($G2691,"-",""))-1),SUBSTITUTE(SUBSTITUTE(SUBSTITUTE($G2691,"-"," ",LEN($G2691)-LEN(SUBSTITUTE($G2691,"-",""))),"-"," ",LEN($G2691)-LEN(SUBSTITUTE($G2691,"-",""))-1),"."," ",(LEN(SUBSTITUTE(SUBSTITUTE($G2691,"-"," ",LEN($G2691)-LEN(SUBSTITUTE($G2691,"-",""))),"-"," ",LEN($G2691)-LEN(SUBSTITUTE($G2691,"-",""))-1))-LEN(SUBSTITUTE(SUBSTITUTE(SUBSTITUTE($G2691,"-"," ",LEN($G2691)-LEN(SUBSTITUTE($G2691,"-",""))),"-"," ",LEN($G2691)-LEN(SUBSTITUTE($G2691,"-",""))-1),".",""))))),$G2691)))</f>
        <v/>
      </c>
    </row>
    <row r="2692">
      <c r="A2692" s="58" t="n"/>
      <c r="B2692" s="58">
        <f>IF($H2692="","",LEFT($H2692,FIND(" ",$H2692&amp;" ")-1))</f>
        <v/>
      </c>
      <c r="C2692" s="58">
        <f>IF($H2692="","",IFERROR(MID($H2692&amp;" ",FIND("|",SUBSTITUTE($H2692&amp;" "," ","|",1))+1,FIND("|",SUBSTITUTE($H2692&amp;" "," ","|",2))-FIND("|",SUBSTITUTE($H2692&amp;" "," ","|",1))-1),""))</f>
        <v/>
      </c>
      <c r="D2692" s="58">
        <f>IF($H2692="","",IFERROR(MID($H2692&amp;" ",FIND("|",SUBSTITUTE($H2692&amp;" "," ","|",2))+1,FIND("|",SUBSTITUTE($H2692&amp;" "," ","|",3))-FIND("|",SUBSTITUTE($H2692&amp;" "," ","|",2))-1),""))</f>
        <v/>
      </c>
      <c r="E2692" s="58">
        <f>IF($H2692="","",IFERROR(MID($H2692&amp;" ",FIND("|",SUBSTITUTE($H2692&amp;" "," ","|",3))+1,FIND("|",SUBSTITUTE($H2692&amp;" "," ","|",4))-FIND("|",SUBSTITUTE($H2692&amp;" "," ","|",3))-1),""))</f>
        <v/>
      </c>
      <c r="F2692" s="59">
        <f>IF($H2692="","",IFERROR(VALUE(IFERROR(MID($H2692&amp;" ",FIND("|",SUBSTITUTE($H2692&amp;" "," ","|",4))+1,FIND("|",SUBSTITUTE($H2692&amp;" "," ","|",5))-FIND("|",SUBSTITUTE($H2692&amp;" "," ","|",4))-1),""))/86400+25569+9/24,""))</f>
        <v/>
      </c>
      <c r="G2692" s="58">
        <f>TRIM(SUBSTITUTE(SUBSTITUTE(SUBSTITUTE($A2692,CHAR(9)," ")," "," "),CHAR(13),""))</f>
        <v/>
      </c>
      <c r="H2692" s="58">
        <f>IF($G2692="","",IF(ISNUMBER(FIND(" ",$G2692)),$G2692,IFERROR(IF((LEN(SUBSTITUTE(SUBSTITUTE($G2692,"-"," ",LEN($G2692)-LEN(SUBSTITUTE($G2692,"-",""))),"-"," ",LEN($G2692)-LEN(SUBSTITUTE($G2692,"-",""))-1))-LEN(SUBSTITUTE(SUBSTITUTE(SUBSTITUTE($G2692,"-"," ",LEN($G2692)-LEN(SUBSTITUTE($G2692,"-",""))),"-"," ",LEN($G2692)-LEN(SUBSTITUTE($G2692,"-",""))-1),".","")))=0,SUBSTITUTE(SUBSTITUTE($G2692,"-"," ",LEN($G2692)-LEN(SUBSTITUTE($G2692,"-",""))),"-"," ",LEN($G2692)-LEN(SUBSTITUTE($G2692,"-",""))-1),SUBSTITUTE(SUBSTITUTE(SUBSTITUTE($G2692,"-"," ",LEN($G2692)-LEN(SUBSTITUTE($G2692,"-",""))),"-"," ",LEN($G2692)-LEN(SUBSTITUTE($G2692,"-",""))-1),"."," ",(LEN(SUBSTITUTE(SUBSTITUTE($G2692,"-"," ",LEN($G2692)-LEN(SUBSTITUTE($G2692,"-",""))),"-"," ",LEN($G2692)-LEN(SUBSTITUTE($G2692,"-",""))-1))-LEN(SUBSTITUTE(SUBSTITUTE(SUBSTITUTE($G2692,"-"," ",LEN($G2692)-LEN(SUBSTITUTE($G2692,"-",""))),"-"," ",LEN($G2692)-LEN(SUBSTITUTE($G2692,"-",""))-1),".",""))))),$G2692)))</f>
        <v/>
      </c>
    </row>
    <row r="2693">
      <c r="A2693" s="58" t="n"/>
      <c r="B2693" s="58">
        <f>IF($H2693="","",LEFT($H2693,FIND(" ",$H2693&amp;" ")-1))</f>
        <v/>
      </c>
      <c r="C2693" s="58">
        <f>IF($H2693="","",IFERROR(MID($H2693&amp;" ",FIND("|",SUBSTITUTE($H2693&amp;" "," ","|",1))+1,FIND("|",SUBSTITUTE($H2693&amp;" "," ","|",2))-FIND("|",SUBSTITUTE($H2693&amp;" "," ","|",1))-1),""))</f>
        <v/>
      </c>
      <c r="D2693" s="58">
        <f>IF($H2693="","",IFERROR(MID($H2693&amp;" ",FIND("|",SUBSTITUTE($H2693&amp;" "," ","|",2))+1,FIND("|",SUBSTITUTE($H2693&amp;" "," ","|",3))-FIND("|",SUBSTITUTE($H2693&amp;" "," ","|",2))-1),""))</f>
        <v/>
      </c>
      <c r="E2693" s="58">
        <f>IF($H2693="","",IFERROR(MID($H2693&amp;" ",FIND("|",SUBSTITUTE($H2693&amp;" "," ","|",3))+1,FIND("|",SUBSTITUTE($H2693&amp;" "," ","|",4))-FIND("|",SUBSTITUTE($H2693&amp;" "," ","|",3))-1),""))</f>
        <v/>
      </c>
      <c r="F2693" s="59">
        <f>IF($H2693="","",IFERROR(VALUE(IFERROR(MID($H2693&amp;" ",FIND("|",SUBSTITUTE($H2693&amp;" "," ","|",4))+1,FIND("|",SUBSTITUTE($H2693&amp;" "," ","|",5))-FIND("|",SUBSTITUTE($H2693&amp;" "," ","|",4))-1),""))/86400+25569+9/24,""))</f>
        <v/>
      </c>
      <c r="G2693" s="58">
        <f>TRIM(SUBSTITUTE(SUBSTITUTE(SUBSTITUTE($A2693,CHAR(9)," ")," "," "),CHAR(13),""))</f>
        <v/>
      </c>
      <c r="H2693" s="58">
        <f>IF($G2693="","",IF(ISNUMBER(FIND(" ",$G2693)),$G2693,IFERROR(IF((LEN(SUBSTITUTE(SUBSTITUTE($G2693,"-"," ",LEN($G2693)-LEN(SUBSTITUTE($G2693,"-",""))),"-"," ",LEN($G2693)-LEN(SUBSTITUTE($G2693,"-",""))-1))-LEN(SUBSTITUTE(SUBSTITUTE(SUBSTITUTE($G2693,"-"," ",LEN($G2693)-LEN(SUBSTITUTE($G2693,"-",""))),"-"," ",LEN($G2693)-LEN(SUBSTITUTE($G2693,"-",""))-1),".","")))=0,SUBSTITUTE(SUBSTITUTE($G2693,"-"," ",LEN($G2693)-LEN(SUBSTITUTE($G2693,"-",""))),"-"," ",LEN($G2693)-LEN(SUBSTITUTE($G2693,"-",""))-1),SUBSTITUTE(SUBSTITUTE(SUBSTITUTE($G2693,"-"," ",LEN($G2693)-LEN(SUBSTITUTE($G2693,"-",""))),"-"," ",LEN($G2693)-LEN(SUBSTITUTE($G2693,"-",""))-1),"."," ",(LEN(SUBSTITUTE(SUBSTITUTE($G2693,"-"," ",LEN($G2693)-LEN(SUBSTITUTE($G2693,"-",""))),"-"," ",LEN($G2693)-LEN(SUBSTITUTE($G2693,"-",""))-1))-LEN(SUBSTITUTE(SUBSTITUTE(SUBSTITUTE($G2693,"-"," ",LEN($G2693)-LEN(SUBSTITUTE($G2693,"-",""))),"-"," ",LEN($G2693)-LEN(SUBSTITUTE($G2693,"-",""))-1),".",""))))),$G2693)))</f>
        <v/>
      </c>
    </row>
    <row r="2694">
      <c r="A2694" s="58" t="n"/>
      <c r="B2694" s="58">
        <f>IF($H2694="","",LEFT($H2694,FIND(" ",$H2694&amp;" ")-1))</f>
        <v/>
      </c>
      <c r="C2694" s="58">
        <f>IF($H2694="","",IFERROR(MID($H2694&amp;" ",FIND("|",SUBSTITUTE($H2694&amp;" "," ","|",1))+1,FIND("|",SUBSTITUTE($H2694&amp;" "," ","|",2))-FIND("|",SUBSTITUTE($H2694&amp;" "," ","|",1))-1),""))</f>
        <v/>
      </c>
      <c r="D2694" s="58">
        <f>IF($H2694="","",IFERROR(MID($H2694&amp;" ",FIND("|",SUBSTITUTE($H2694&amp;" "," ","|",2))+1,FIND("|",SUBSTITUTE($H2694&amp;" "," ","|",3))-FIND("|",SUBSTITUTE($H2694&amp;" "," ","|",2))-1),""))</f>
        <v/>
      </c>
      <c r="E2694" s="58">
        <f>IF($H2694="","",IFERROR(MID($H2694&amp;" ",FIND("|",SUBSTITUTE($H2694&amp;" "," ","|",3))+1,FIND("|",SUBSTITUTE($H2694&amp;" "," ","|",4))-FIND("|",SUBSTITUTE($H2694&amp;" "," ","|",3))-1),""))</f>
        <v/>
      </c>
      <c r="F2694" s="59">
        <f>IF($H2694="","",IFERROR(VALUE(IFERROR(MID($H2694&amp;" ",FIND("|",SUBSTITUTE($H2694&amp;" "," ","|",4))+1,FIND("|",SUBSTITUTE($H2694&amp;" "," ","|",5))-FIND("|",SUBSTITUTE($H2694&amp;" "," ","|",4))-1),""))/86400+25569+9/24,""))</f>
        <v/>
      </c>
      <c r="G2694" s="58">
        <f>TRIM(SUBSTITUTE(SUBSTITUTE(SUBSTITUTE($A2694,CHAR(9)," ")," "," "),CHAR(13),""))</f>
        <v/>
      </c>
      <c r="H2694" s="58">
        <f>IF($G2694="","",IF(ISNUMBER(FIND(" ",$G2694)),$G2694,IFERROR(IF((LEN(SUBSTITUTE(SUBSTITUTE($G2694,"-"," ",LEN($G2694)-LEN(SUBSTITUTE($G2694,"-",""))),"-"," ",LEN($G2694)-LEN(SUBSTITUTE($G2694,"-",""))-1))-LEN(SUBSTITUTE(SUBSTITUTE(SUBSTITUTE($G2694,"-"," ",LEN($G2694)-LEN(SUBSTITUTE($G2694,"-",""))),"-"," ",LEN($G2694)-LEN(SUBSTITUTE($G2694,"-",""))-1),".","")))=0,SUBSTITUTE(SUBSTITUTE($G2694,"-"," ",LEN($G2694)-LEN(SUBSTITUTE($G2694,"-",""))),"-"," ",LEN($G2694)-LEN(SUBSTITUTE($G2694,"-",""))-1),SUBSTITUTE(SUBSTITUTE(SUBSTITUTE($G2694,"-"," ",LEN($G2694)-LEN(SUBSTITUTE($G2694,"-",""))),"-"," ",LEN($G2694)-LEN(SUBSTITUTE($G2694,"-",""))-1),"."," ",(LEN(SUBSTITUTE(SUBSTITUTE($G2694,"-"," ",LEN($G2694)-LEN(SUBSTITUTE($G2694,"-",""))),"-"," ",LEN($G2694)-LEN(SUBSTITUTE($G2694,"-",""))-1))-LEN(SUBSTITUTE(SUBSTITUTE(SUBSTITUTE($G2694,"-"," ",LEN($G2694)-LEN(SUBSTITUTE($G2694,"-",""))),"-"," ",LEN($G2694)-LEN(SUBSTITUTE($G2694,"-",""))-1),".",""))))),$G2694)))</f>
        <v/>
      </c>
    </row>
    <row r="2695">
      <c r="A2695" s="58" t="n"/>
      <c r="B2695" s="58">
        <f>IF($H2695="","",LEFT($H2695,FIND(" ",$H2695&amp;" ")-1))</f>
        <v/>
      </c>
      <c r="C2695" s="58">
        <f>IF($H2695="","",IFERROR(MID($H2695&amp;" ",FIND("|",SUBSTITUTE($H2695&amp;" "," ","|",1))+1,FIND("|",SUBSTITUTE($H2695&amp;" "," ","|",2))-FIND("|",SUBSTITUTE($H2695&amp;" "," ","|",1))-1),""))</f>
        <v/>
      </c>
      <c r="D2695" s="58">
        <f>IF($H2695="","",IFERROR(MID($H2695&amp;" ",FIND("|",SUBSTITUTE($H2695&amp;" "," ","|",2))+1,FIND("|",SUBSTITUTE($H2695&amp;" "," ","|",3))-FIND("|",SUBSTITUTE($H2695&amp;" "," ","|",2))-1),""))</f>
        <v/>
      </c>
      <c r="E2695" s="58">
        <f>IF($H2695="","",IFERROR(MID($H2695&amp;" ",FIND("|",SUBSTITUTE($H2695&amp;" "," ","|",3))+1,FIND("|",SUBSTITUTE($H2695&amp;" "," ","|",4))-FIND("|",SUBSTITUTE($H2695&amp;" "," ","|",3))-1),""))</f>
        <v/>
      </c>
      <c r="F2695" s="59">
        <f>IF($H2695="","",IFERROR(VALUE(IFERROR(MID($H2695&amp;" ",FIND("|",SUBSTITUTE($H2695&amp;" "," ","|",4))+1,FIND("|",SUBSTITUTE($H2695&amp;" "," ","|",5))-FIND("|",SUBSTITUTE($H2695&amp;" "," ","|",4))-1),""))/86400+25569+9/24,""))</f>
        <v/>
      </c>
      <c r="G2695" s="58">
        <f>TRIM(SUBSTITUTE(SUBSTITUTE(SUBSTITUTE($A2695,CHAR(9)," ")," "," "),CHAR(13),""))</f>
        <v/>
      </c>
      <c r="H2695" s="58">
        <f>IF($G2695="","",IF(ISNUMBER(FIND(" ",$G2695)),$G2695,IFERROR(IF((LEN(SUBSTITUTE(SUBSTITUTE($G2695,"-"," ",LEN($G2695)-LEN(SUBSTITUTE($G2695,"-",""))),"-"," ",LEN($G2695)-LEN(SUBSTITUTE($G2695,"-",""))-1))-LEN(SUBSTITUTE(SUBSTITUTE(SUBSTITUTE($G2695,"-"," ",LEN($G2695)-LEN(SUBSTITUTE($G2695,"-",""))),"-"," ",LEN($G2695)-LEN(SUBSTITUTE($G2695,"-",""))-1),".","")))=0,SUBSTITUTE(SUBSTITUTE($G2695,"-"," ",LEN($G2695)-LEN(SUBSTITUTE($G2695,"-",""))),"-"," ",LEN($G2695)-LEN(SUBSTITUTE($G2695,"-",""))-1),SUBSTITUTE(SUBSTITUTE(SUBSTITUTE($G2695,"-"," ",LEN($G2695)-LEN(SUBSTITUTE($G2695,"-",""))),"-"," ",LEN($G2695)-LEN(SUBSTITUTE($G2695,"-",""))-1),"."," ",(LEN(SUBSTITUTE(SUBSTITUTE($G2695,"-"," ",LEN($G2695)-LEN(SUBSTITUTE($G2695,"-",""))),"-"," ",LEN($G2695)-LEN(SUBSTITUTE($G2695,"-",""))-1))-LEN(SUBSTITUTE(SUBSTITUTE(SUBSTITUTE($G2695,"-"," ",LEN($G2695)-LEN(SUBSTITUTE($G2695,"-",""))),"-"," ",LEN($G2695)-LEN(SUBSTITUTE($G2695,"-",""))-1),".",""))))),$G2695)))</f>
        <v/>
      </c>
    </row>
    <row r="2696">
      <c r="A2696" s="58" t="n"/>
      <c r="B2696" s="58">
        <f>IF($H2696="","",LEFT($H2696,FIND(" ",$H2696&amp;" ")-1))</f>
        <v/>
      </c>
      <c r="C2696" s="58">
        <f>IF($H2696="","",IFERROR(MID($H2696&amp;" ",FIND("|",SUBSTITUTE($H2696&amp;" "," ","|",1))+1,FIND("|",SUBSTITUTE($H2696&amp;" "," ","|",2))-FIND("|",SUBSTITUTE($H2696&amp;" "," ","|",1))-1),""))</f>
        <v/>
      </c>
      <c r="D2696" s="58">
        <f>IF($H2696="","",IFERROR(MID($H2696&amp;" ",FIND("|",SUBSTITUTE($H2696&amp;" "," ","|",2))+1,FIND("|",SUBSTITUTE($H2696&amp;" "," ","|",3))-FIND("|",SUBSTITUTE($H2696&amp;" "," ","|",2))-1),""))</f>
        <v/>
      </c>
      <c r="E2696" s="58">
        <f>IF($H2696="","",IFERROR(MID($H2696&amp;" ",FIND("|",SUBSTITUTE($H2696&amp;" "," ","|",3))+1,FIND("|",SUBSTITUTE($H2696&amp;" "," ","|",4))-FIND("|",SUBSTITUTE($H2696&amp;" "," ","|",3))-1),""))</f>
        <v/>
      </c>
      <c r="F2696" s="59">
        <f>IF($H2696="","",IFERROR(VALUE(IFERROR(MID($H2696&amp;" ",FIND("|",SUBSTITUTE($H2696&amp;" "," ","|",4))+1,FIND("|",SUBSTITUTE($H2696&amp;" "," ","|",5))-FIND("|",SUBSTITUTE($H2696&amp;" "," ","|",4))-1),""))/86400+25569+9/24,""))</f>
        <v/>
      </c>
      <c r="G2696" s="58">
        <f>TRIM(SUBSTITUTE(SUBSTITUTE(SUBSTITUTE($A2696,CHAR(9)," ")," "," "),CHAR(13),""))</f>
        <v/>
      </c>
      <c r="H2696" s="58">
        <f>IF($G2696="","",IF(ISNUMBER(FIND(" ",$G2696)),$G2696,IFERROR(IF((LEN(SUBSTITUTE(SUBSTITUTE($G2696,"-"," ",LEN($G2696)-LEN(SUBSTITUTE($G2696,"-",""))),"-"," ",LEN($G2696)-LEN(SUBSTITUTE($G2696,"-",""))-1))-LEN(SUBSTITUTE(SUBSTITUTE(SUBSTITUTE($G2696,"-"," ",LEN($G2696)-LEN(SUBSTITUTE($G2696,"-",""))),"-"," ",LEN($G2696)-LEN(SUBSTITUTE($G2696,"-",""))-1),".","")))=0,SUBSTITUTE(SUBSTITUTE($G2696,"-"," ",LEN($G2696)-LEN(SUBSTITUTE($G2696,"-",""))),"-"," ",LEN($G2696)-LEN(SUBSTITUTE($G2696,"-",""))-1),SUBSTITUTE(SUBSTITUTE(SUBSTITUTE($G2696,"-"," ",LEN($G2696)-LEN(SUBSTITUTE($G2696,"-",""))),"-"," ",LEN($G2696)-LEN(SUBSTITUTE($G2696,"-",""))-1),"."," ",(LEN(SUBSTITUTE(SUBSTITUTE($G2696,"-"," ",LEN($G2696)-LEN(SUBSTITUTE($G2696,"-",""))),"-"," ",LEN($G2696)-LEN(SUBSTITUTE($G2696,"-",""))-1))-LEN(SUBSTITUTE(SUBSTITUTE(SUBSTITUTE($G2696,"-"," ",LEN($G2696)-LEN(SUBSTITUTE($G2696,"-",""))),"-"," ",LEN($G2696)-LEN(SUBSTITUTE($G2696,"-",""))-1),".",""))))),$G2696)))</f>
        <v/>
      </c>
    </row>
    <row r="2697">
      <c r="A2697" s="58" t="n"/>
      <c r="B2697" s="58">
        <f>IF($H2697="","",LEFT($H2697,FIND(" ",$H2697&amp;" ")-1))</f>
        <v/>
      </c>
      <c r="C2697" s="58">
        <f>IF($H2697="","",IFERROR(MID($H2697&amp;" ",FIND("|",SUBSTITUTE($H2697&amp;" "," ","|",1))+1,FIND("|",SUBSTITUTE($H2697&amp;" "," ","|",2))-FIND("|",SUBSTITUTE($H2697&amp;" "," ","|",1))-1),""))</f>
        <v/>
      </c>
      <c r="D2697" s="58">
        <f>IF($H2697="","",IFERROR(MID($H2697&amp;" ",FIND("|",SUBSTITUTE($H2697&amp;" "," ","|",2))+1,FIND("|",SUBSTITUTE($H2697&amp;" "," ","|",3))-FIND("|",SUBSTITUTE($H2697&amp;" "," ","|",2))-1),""))</f>
        <v/>
      </c>
      <c r="E2697" s="58">
        <f>IF($H2697="","",IFERROR(MID($H2697&amp;" ",FIND("|",SUBSTITUTE($H2697&amp;" "," ","|",3))+1,FIND("|",SUBSTITUTE($H2697&amp;" "," ","|",4))-FIND("|",SUBSTITUTE($H2697&amp;" "," ","|",3))-1),""))</f>
        <v/>
      </c>
      <c r="F2697" s="59">
        <f>IF($H2697="","",IFERROR(VALUE(IFERROR(MID($H2697&amp;" ",FIND("|",SUBSTITUTE($H2697&amp;" "," ","|",4))+1,FIND("|",SUBSTITUTE($H2697&amp;" "," ","|",5))-FIND("|",SUBSTITUTE($H2697&amp;" "," ","|",4))-1),""))/86400+25569+9/24,""))</f>
        <v/>
      </c>
      <c r="G2697" s="58">
        <f>TRIM(SUBSTITUTE(SUBSTITUTE(SUBSTITUTE($A2697,CHAR(9)," ")," "," "),CHAR(13),""))</f>
        <v/>
      </c>
      <c r="H2697" s="58">
        <f>IF($G2697="","",IF(ISNUMBER(FIND(" ",$G2697)),$G2697,IFERROR(IF((LEN(SUBSTITUTE(SUBSTITUTE($G2697,"-"," ",LEN($G2697)-LEN(SUBSTITUTE($G2697,"-",""))),"-"," ",LEN($G2697)-LEN(SUBSTITUTE($G2697,"-",""))-1))-LEN(SUBSTITUTE(SUBSTITUTE(SUBSTITUTE($G2697,"-"," ",LEN($G2697)-LEN(SUBSTITUTE($G2697,"-",""))),"-"," ",LEN($G2697)-LEN(SUBSTITUTE($G2697,"-",""))-1),".","")))=0,SUBSTITUTE(SUBSTITUTE($G2697,"-"," ",LEN($G2697)-LEN(SUBSTITUTE($G2697,"-",""))),"-"," ",LEN($G2697)-LEN(SUBSTITUTE($G2697,"-",""))-1),SUBSTITUTE(SUBSTITUTE(SUBSTITUTE($G2697,"-"," ",LEN($G2697)-LEN(SUBSTITUTE($G2697,"-",""))),"-"," ",LEN($G2697)-LEN(SUBSTITUTE($G2697,"-",""))-1),"."," ",(LEN(SUBSTITUTE(SUBSTITUTE($G2697,"-"," ",LEN($G2697)-LEN(SUBSTITUTE($G2697,"-",""))),"-"," ",LEN($G2697)-LEN(SUBSTITUTE($G2697,"-",""))-1))-LEN(SUBSTITUTE(SUBSTITUTE(SUBSTITUTE($G2697,"-"," ",LEN($G2697)-LEN(SUBSTITUTE($G2697,"-",""))),"-"," ",LEN($G2697)-LEN(SUBSTITUTE($G2697,"-",""))-1),".",""))))),$G2697)))</f>
        <v/>
      </c>
    </row>
    <row r="2698">
      <c r="A2698" s="58" t="n"/>
      <c r="B2698" s="58">
        <f>IF($H2698="","",LEFT($H2698,FIND(" ",$H2698&amp;" ")-1))</f>
        <v/>
      </c>
      <c r="C2698" s="58">
        <f>IF($H2698="","",IFERROR(MID($H2698&amp;" ",FIND("|",SUBSTITUTE($H2698&amp;" "," ","|",1))+1,FIND("|",SUBSTITUTE($H2698&amp;" "," ","|",2))-FIND("|",SUBSTITUTE($H2698&amp;" "," ","|",1))-1),""))</f>
        <v/>
      </c>
      <c r="D2698" s="58">
        <f>IF($H2698="","",IFERROR(MID($H2698&amp;" ",FIND("|",SUBSTITUTE($H2698&amp;" "," ","|",2))+1,FIND("|",SUBSTITUTE($H2698&amp;" "," ","|",3))-FIND("|",SUBSTITUTE($H2698&amp;" "," ","|",2))-1),""))</f>
        <v/>
      </c>
      <c r="E2698" s="58">
        <f>IF($H2698="","",IFERROR(MID($H2698&amp;" ",FIND("|",SUBSTITUTE($H2698&amp;" "," ","|",3))+1,FIND("|",SUBSTITUTE($H2698&amp;" "," ","|",4))-FIND("|",SUBSTITUTE($H2698&amp;" "," ","|",3))-1),""))</f>
        <v/>
      </c>
      <c r="F2698" s="59">
        <f>IF($H2698="","",IFERROR(VALUE(IFERROR(MID($H2698&amp;" ",FIND("|",SUBSTITUTE($H2698&amp;" "," ","|",4))+1,FIND("|",SUBSTITUTE($H2698&amp;" "," ","|",5))-FIND("|",SUBSTITUTE($H2698&amp;" "," ","|",4))-1),""))/86400+25569+9/24,""))</f>
        <v/>
      </c>
      <c r="G2698" s="58">
        <f>TRIM(SUBSTITUTE(SUBSTITUTE(SUBSTITUTE($A2698,CHAR(9)," ")," "," "),CHAR(13),""))</f>
        <v/>
      </c>
      <c r="H2698" s="58">
        <f>IF($G2698="","",IF(ISNUMBER(FIND(" ",$G2698)),$G2698,IFERROR(IF((LEN(SUBSTITUTE(SUBSTITUTE($G2698,"-"," ",LEN($G2698)-LEN(SUBSTITUTE($G2698,"-",""))),"-"," ",LEN($G2698)-LEN(SUBSTITUTE($G2698,"-",""))-1))-LEN(SUBSTITUTE(SUBSTITUTE(SUBSTITUTE($G2698,"-"," ",LEN($G2698)-LEN(SUBSTITUTE($G2698,"-",""))),"-"," ",LEN($G2698)-LEN(SUBSTITUTE($G2698,"-",""))-1),".","")))=0,SUBSTITUTE(SUBSTITUTE($G2698,"-"," ",LEN($G2698)-LEN(SUBSTITUTE($G2698,"-",""))),"-"," ",LEN($G2698)-LEN(SUBSTITUTE($G2698,"-",""))-1),SUBSTITUTE(SUBSTITUTE(SUBSTITUTE($G2698,"-"," ",LEN($G2698)-LEN(SUBSTITUTE($G2698,"-",""))),"-"," ",LEN($G2698)-LEN(SUBSTITUTE($G2698,"-",""))-1),"."," ",(LEN(SUBSTITUTE(SUBSTITUTE($G2698,"-"," ",LEN($G2698)-LEN(SUBSTITUTE($G2698,"-",""))),"-"," ",LEN($G2698)-LEN(SUBSTITUTE($G2698,"-",""))-1))-LEN(SUBSTITUTE(SUBSTITUTE(SUBSTITUTE($G2698,"-"," ",LEN($G2698)-LEN(SUBSTITUTE($G2698,"-",""))),"-"," ",LEN($G2698)-LEN(SUBSTITUTE($G2698,"-",""))-1),".",""))))),$G2698)))</f>
        <v/>
      </c>
    </row>
    <row r="2699">
      <c r="A2699" s="58" t="n"/>
      <c r="B2699" s="58">
        <f>IF($H2699="","",LEFT($H2699,FIND(" ",$H2699&amp;" ")-1))</f>
        <v/>
      </c>
      <c r="C2699" s="58">
        <f>IF($H2699="","",IFERROR(MID($H2699&amp;" ",FIND("|",SUBSTITUTE($H2699&amp;" "," ","|",1))+1,FIND("|",SUBSTITUTE($H2699&amp;" "," ","|",2))-FIND("|",SUBSTITUTE($H2699&amp;" "," ","|",1))-1),""))</f>
        <v/>
      </c>
      <c r="D2699" s="58">
        <f>IF($H2699="","",IFERROR(MID($H2699&amp;" ",FIND("|",SUBSTITUTE($H2699&amp;" "," ","|",2))+1,FIND("|",SUBSTITUTE($H2699&amp;" "," ","|",3))-FIND("|",SUBSTITUTE($H2699&amp;" "," ","|",2))-1),""))</f>
        <v/>
      </c>
      <c r="E2699" s="58">
        <f>IF($H2699="","",IFERROR(MID($H2699&amp;" ",FIND("|",SUBSTITUTE($H2699&amp;" "," ","|",3))+1,FIND("|",SUBSTITUTE($H2699&amp;" "," ","|",4))-FIND("|",SUBSTITUTE($H2699&amp;" "," ","|",3))-1),""))</f>
        <v/>
      </c>
      <c r="F2699" s="59">
        <f>IF($H2699="","",IFERROR(VALUE(IFERROR(MID($H2699&amp;" ",FIND("|",SUBSTITUTE($H2699&amp;" "," ","|",4))+1,FIND("|",SUBSTITUTE($H2699&amp;" "," ","|",5))-FIND("|",SUBSTITUTE($H2699&amp;" "," ","|",4))-1),""))/86400+25569+9/24,""))</f>
        <v/>
      </c>
      <c r="G2699" s="58">
        <f>TRIM(SUBSTITUTE(SUBSTITUTE(SUBSTITUTE($A2699,CHAR(9)," ")," "," "),CHAR(13),""))</f>
        <v/>
      </c>
      <c r="H2699" s="58">
        <f>IF($G2699="","",IF(ISNUMBER(FIND(" ",$G2699)),$G2699,IFERROR(IF((LEN(SUBSTITUTE(SUBSTITUTE($G2699,"-"," ",LEN($G2699)-LEN(SUBSTITUTE($G2699,"-",""))),"-"," ",LEN($G2699)-LEN(SUBSTITUTE($G2699,"-",""))-1))-LEN(SUBSTITUTE(SUBSTITUTE(SUBSTITUTE($G2699,"-"," ",LEN($G2699)-LEN(SUBSTITUTE($G2699,"-",""))),"-"," ",LEN($G2699)-LEN(SUBSTITUTE($G2699,"-",""))-1),".","")))=0,SUBSTITUTE(SUBSTITUTE($G2699,"-"," ",LEN($G2699)-LEN(SUBSTITUTE($G2699,"-",""))),"-"," ",LEN($G2699)-LEN(SUBSTITUTE($G2699,"-",""))-1),SUBSTITUTE(SUBSTITUTE(SUBSTITUTE($G2699,"-"," ",LEN($G2699)-LEN(SUBSTITUTE($G2699,"-",""))),"-"," ",LEN($G2699)-LEN(SUBSTITUTE($G2699,"-",""))-1),"."," ",(LEN(SUBSTITUTE(SUBSTITUTE($G2699,"-"," ",LEN($G2699)-LEN(SUBSTITUTE($G2699,"-",""))),"-"," ",LEN($G2699)-LEN(SUBSTITUTE($G2699,"-",""))-1))-LEN(SUBSTITUTE(SUBSTITUTE(SUBSTITUTE($G2699,"-"," ",LEN($G2699)-LEN(SUBSTITUTE($G2699,"-",""))),"-"," ",LEN($G2699)-LEN(SUBSTITUTE($G2699,"-",""))-1),".",""))))),$G2699)))</f>
        <v/>
      </c>
    </row>
    <row r="2700">
      <c r="A2700" s="58" t="n"/>
      <c r="B2700" s="58">
        <f>IF($H2700="","",LEFT($H2700,FIND(" ",$H2700&amp;" ")-1))</f>
        <v/>
      </c>
      <c r="C2700" s="58">
        <f>IF($H2700="","",IFERROR(MID($H2700&amp;" ",FIND("|",SUBSTITUTE($H2700&amp;" "," ","|",1))+1,FIND("|",SUBSTITUTE($H2700&amp;" "," ","|",2))-FIND("|",SUBSTITUTE($H2700&amp;" "," ","|",1))-1),""))</f>
        <v/>
      </c>
      <c r="D2700" s="58">
        <f>IF($H2700="","",IFERROR(MID($H2700&amp;" ",FIND("|",SUBSTITUTE($H2700&amp;" "," ","|",2))+1,FIND("|",SUBSTITUTE($H2700&amp;" "," ","|",3))-FIND("|",SUBSTITUTE($H2700&amp;" "," ","|",2))-1),""))</f>
        <v/>
      </c>
      <c r="E2700" s="58">
        <f>IF($H2700="","",IFERROR(MID($H2700&amp;" ",FIND("|",SUBSTITUTE($H2700&amp;" "," ","|",3))+1,FIND("|",SUBSTITUTE($H2700&amp;" "," ","|",4))-FIND("|",SUBSTITUTE($H2700&amp;" "," ","|",3))-1),""))</f>
        <v/>
      </c>
      <c r="F2700" s="59">
        <f>IF($H2700="","",IFERROR(VALUE(IFERROR(MID($H2700&amp;" ",FIND("|",SUBSTITUTE($H2700&amp;" "," ","|",4))+1,FIND("|",SUBSTITUTE($H2700&amp;" "," ","|",5))-FIND("|",SUBSTITUTE($H2700&amp;" "," ","|",4))-1),""))/86400+25569+9/24,""))</f>
        <v/>
      </c>
      <c r="G2700" s="58">
        <f>TRIM(SUBSTITUTE(SUBSTITUTE(SUBSTITUTE($A2700,CHAR(9)," ")," "," "),CHAR(13),""))</f>
        <v/>
      </c>
      <c r="H2700" s="58">
        <f>IF($G2700="","",IF(ISNUMBER(FIND(" ",$G2700)),$G2700,IFERROR(IF((LEN(SUBSTITUTE(SUBSTITUTE($G2700,"-"," ",LEN($G2700)-LEN(SUBSTITUTE($G2700,"-",""))),"-"," ",LEN($G2700)-LEN(SUBSTITUTE($G2700,"-",""))-1))-LEN(SUBSTITUTE(SUBSTITUTE(SUBSTITUTE($G2700,"-"," ",LEN($G2700)-LEN(SUBSTITUTE($G2700,"-",""))),"-"," ",LEN($G2700)-LEN(SUBSTITUTE($G2700,"-",""))-1),".","")))=0,SUBSTITUTE(SUBSTITUTE($G2700,"-"," ",LEN($G2700)-LEN(SUBSTITUTE($G2700,"-",""))),"-"," ",LEN($G2700)-LEN(SUBSTITUTE($G2700,"-",""))-1),SUBSTITUTE(SUBSTITUTE(SUBSTITUTE($G2700,"-"," ",LEN($G2700)-LEN(SUBSTITUTE($G2700,"-",""))),"-"," ",LEN($G2700)-LEN(SUBSTITUTE($G2700,"-",""))-1),"."," ",(LEN(SUBSTITUTE(SUBSTITUTE($G2700,"-"," ",LEN($G2700)-LEN(SUBSTITUTE($G2700,"-",""))),"-"," ",LEN($G2700)-LEN(SUBSTITUTE($G2700,"-",""))-1))-LEN(SUBSTITUTE(SUBSTITUTE(SUBSTITUTE($G2700,"-"," ",LEN($G2700)-LEN(SUBSTITUTE($G2700,"-",""))),"-"," ",LEN($G2700)-LEN(SUBSTITUTE($G2700,"-",""))-1),".",""))))),$G2700)))</f>
        <v/>
      </c>
    </row>
    <row r="2701">
      <c r="A2701" s="58" t="n"/>
      <c r="B2701" s="58">
        <f>IF($H2701="","",LEFT($H2701,FIND(" ",$H2701&amp;" ")-1))</f>
        <v/>
      </c>
      <c r="C2701" s="58">
        <f>IF($H2701="","",IFERROR(MID($H2701&amp;" ",FIND("|",SUBSTITUTE($H2701&amp;" "," ","|",1))+1,FIND("|",SUBSTITUTE($H2701&amp;" "," ","|",2))-FIND("|",SUBSTITUTE($H2701&amp;" "," ","|",1))-1),""))</f>
        <v/>
      </c>
      <c r="D2701" s="58">
        <f>IF($H2701="","",IFERROR(MID($H2701&amp;" ",FIND("|",SUBSTITUTE($H2701&amp;" "," ","|",2))+1,FIND("|",SUBSTITUTE($H2701&amp;" "," ","|",3))-FIND("|",SUBSTITUTE($H2701&amp;" "," ","|",2))-1),""))</f>
        <v/>
      </c>
      <c r="E2701" s="58">
        <f>IF($H2701="","",IFERROR(MID($H2701&amp;" ",FIND("|",SUBSTITUTE($H2701&amp;" "," ","|",3))+1,FIND("|",SUBSTITUTE($H2701&amp;" "," ","|",4))-FIND("|",SUBSTITUTE($H2701&amp;" "," ","|",3))-1),""))</f>
        <v/>
      </c>
      <c r="F2701" s="59">
        <f>IF($H2701="","",IFERROR(VALUE(IFERROR(MID($H2701&amp;" ",FIND("|",SUBSTITUTE($H2701&amp;" "," ","|",4))+1,FIND("|",SUBSTITUTE($H2701&amp;" "," ","|",5))-FIND("|",SUBSTITUTE($H2701&amp;" "," ","|",4))-1),""))/86400+25569+9/24,""))</f>
        <v/>
      </c>
      <c r="G2701" s="58">
        <f>TRIM(SUBSTITUTE(SUBSTITUTE(SUBSTITUTE($A2701,CHAR(9)," ")," "," "),CHAR(13),""))</f>
        <v/>
      </c>
      <c r="H2701" s="58">
        <f>IF($G2701="","",IF(ISNUMBER(FIND(" ",$G2701)),$G2701,IFERROR(IF((LEN(SUBSTITUTE(SUBSTITUTE($G2701,"-"," ",LEN($G2701)-LEN(SUBSTITUTE($G2701,"-",""))),"-"," ",LEN($G2701)-LEN(SUBSTITUTE($G2701,"-",""))-1))-LEN(SUBSTITUTE(SUBSTITUTE(SUBSTITUTE($G2701,"-"," ",LEN($G2701)-LEN(SUBSTITUTE($G2701,"-",""))),"-"," ",LEN($G2701)-LEN(SUBSTITUTE($G2701,"-",""))-1),".","")))=0,SUBSTITUTE(SUBSTITUTE($G2701,"-"," ",LEN($G2701)-LEN(SUBSTITUTE($G2701,"-",""))),"-"," ",LEN($G2701)-LEN(SUBSTITUTE($G2701,"-",""))-1),SUBSTITUTE(SUBSTITUTE(SUBSTITUTE($G2701,"-"," ",LEN($G2701)-LEN(SUBSTITUTE($G2701,"-",""))),"-"," ",LEN($G2701)-LEN(SUBSTITUTE($G2701,"-",""))-1),"."," ",(LEN(SUBSTITUTE(SUBSTITUTE($G2701,"-"," ",LEN($G2701)-LEN(SUBSTITUTE($G2701,"-",""))),"-"," ",LEN($G2701)-LEN(SUBSTITUTE($G2701,"-",""))-1))-LEN(SUBSTITUTE(SUBSTITUTE(SUBSTITUTE($G2701,"-"," ",LEN($G2701)-LEN(SUBSTITUTE($G2701,"-",""))),"-"," ",LEN($G2701)-LEN(SUBSTITUTE($G2701,"-",""))-1),".",""))))),$G2701)))</f>
        <v/>
      </c>
    </row>
    <row r="2702">
      <c r="A2702" s="58" t="n"/>
      <c r="B2702" s="58">
        <f>IF($H2702="","",LEFT($H2702,FIND(" ",$H2702&amp;" ")-1))</f>
        <v/>
      </c>
      <c r="C2702" s="58">
        <f>IF($H2702="","",IFERROR(MID($H2702&amp;" ",FIND("|",SUBSTITUTE($H2702&amp;" "," ","|",1))+1,FIND("|",SUBSTITUTE($H2702&amp;" "," ","|",2))-FIND("|",SUBSTITUTE($H2702&amp;" "," ","|",1))-1),""))</f>
        <v/>
      </c>
      <c r="D2702" s="58">
        <f>IF($H2702="","",IFERROR(MID($H2702&amp;" ",FIND("|",SUBSTITUTE($H2702&amp;" "," ","|",2))+1,FIND("|",SUBSTITUTE($H2702&amp;" "," ","|",3))-FIND("|",SUBSTITUTE($H2702&amp;" "," ","|",2))-1),""))</f>
        <v/>
      </c>
      <c r="E2702" s="58">
        <f>IF($H2702="","",IFERROR(MID($H2702&amp;" ",FIND("|",SUBSTITUTE($H2702&amp;" "," ","|",3))+1,FIND("|",SUBSTITUTE($H2702&amp;" "," ","|",4))-FIND("|",SUBSTITUTE($H2702&amp;" "," ","|",3))-1),""))</f>
        <v/>
      </c>
      <c r="F2702" s="59">
        <f>IF($H2702="","",IFERROR(VALUE(IFERROR(MID($H2702&amp;" ",FIND("|",SUBSTITUTE($H2702&amp;" "," ","|",4))+1,FIND("|",SUBSTITUTE($H2702&amp;" "," ","|",5))-FIND("|",SUBSTITUTE($H2702&amp;" "," ","|",4))-1),""))/86400+25569+9/24,""))</f>
        <v/>
      </c>
      <c r="G2702" s="58">
        <f>TRIM(SUBSTITUTE(SUBSTITUTE(SUBSTITUTE($A2702,CHAR(9)," ")," "," "),CHAR(13),""))</f>
        <v/>
      </c>
      <c r="H2702" s="58">
        <f>IF($G2702="","",IF(ISNUMBER(FIND(" ",$G2702)),$G2702,IFERROR(IF((LEN(SUBSTITUTE(SUBSTITUTE($G2702,"-"," ",LEN($G2702)-LEN(SUBSTITUTE($G2702,"-",""))),"-"," ",LEN($G2702)-LEN(SUBSTITUTE($G2702,"-",""))-1))-LEN(SUBSTITUTE(SUBSTITUTE(SUBSTITUTE($G2702,"-"," ",LEN($G2702)-LEN(SUBSTITUTE($G2702,"-",""))),"-"," ",LEN($G2702)-LEN(SUBSTITUTE($G2702,"-",""))-1),".","")))=0,SUBSTITUTE(SUBSTITUTE($G2702,"-"," ",LEN($G2702)-LEN(SUBSTITUTE($G2702,"-",""))),"-"," ",LEN($G2702)-LEN(SUBSTITUTE($G2702,"-",""))-1),SUBSTITUTE(SUBSTITUTE(SUBSTITUTE($G2702,"-"," ",LEN($G2702)-LEN(SUBSTITUTE($G2702,"-",""))),"-"," ",LEN($G2702)-LEN(SUBSTITUTE($G2702,"-",""))-1),"."," ",(LEN(SUBSTITUTE(SUBSTITUTE($G2702,"-"," ",LEN($G2702)-LEN(SUBSTITUTE($G2702,"-",""))),"-"," ",LEN($G2702)-LEN(SUBSTITUTE($G2702,"-",""))-1))-LEN(SUBSTITUTE(SUBSTITUTE(SUBSTITUTE($G2702,"-"," ",LEN($G2702)-LEN(SUBSTITUTE($G2702,"-",""))),"-"," ",LEN($G2702)-LEN(SUBSTITUTE($G2702,"-",""))-1),".",""))))),$G2702)))</f>
        <v/>
      </c>
    </row>
    <row r="2703">
      <c r="A2703" s="58" t="n"/>
      <c r="B2703" s="58">
        <f>IF($H2703="","",LEFT($H2703,FIND(" ",$H2703&amp;" ")-1))</f>
        <v/>
      </c>
      <c r="C2703" s="58">
        <f>IF($H2703="","",IFERROR(MID($H2703&amp;" ",FIND("|",SUBSTITUTE($H2703&amp;" "," ","|",1))+1,FIND("|",SUBSTITUTE($H2703&amp;" "," ","|",2))-FIND("|",SUBSTITUTE($H2703&amp;" "," ","|",1))-1),""))</f>
        <v/>
      </c>
      <c r="D2703" s="58">
        <f>IF($H2703="","",IFERROR(MID($H2703&amp;" ",FIND("|",SUBSTITUTE($H2703&amp;" "," ","|",2))+1,FIND("|",SUBSTITUTE($H2703&amp;" "," ","|",3))-FIND("|",SUBSTITUTE($H2703&amp;" "," ","|",2))-1),""))</f>
        <v/>
      </c>
      <c r="E2703" s="58">
        <f>IF($H2703="","",IFERROR(MID($H2703&amp;" ",FIND("|",SUBSTITUTE($H2703&amp;" "," ","|",3))+1,FIND("|",SUBSTITUTE($H2703&amp;" "," ","|",4))-FIND("|",SUBSTITUTE($H2703&amp;" "," ","|",3))-1),""))</f>
        <v/>
      </c>
      <c r="F2703" s="59">
        <f>IF($H2703="","",IFERROR(VALUE(IFERROR(MID($H2703&amp;" ",FIND("|",SUBSTITUTE($H2703&amp;" "," ","|",4))+1,FIND("|",SUBSTITUTE($H2703&amp;" "," ","|",5))-FIND("|",SUBSTITUTE($H2703&amp;" "," ","|",4))-1),""))/86400+25569+9/24,""))</f>
        <v/>
      </c>
      <c r="G2703" s="58">
        <f>TRIM(SUBSTITUTE(SUBSTITUTE(SUBSTITUTE($A2703,CHAR(9)," ")," "," "),CHAR(13),""))</f>
        <v/>
      </c>
      <c r="H2703" s="58">
        <f>IF($G2703="","",IF(ISNUMBER(FIND(" ",$G2703)),$G2703,IFERROR(IF((LEN(SUBSTITUTE(SUBSTITUTE($G2703,"-"," ",LEN($G2703)-LEN(SUBSTITUTE($G2703,"-",""))),"-"," ",LEN($G2703)-LEN(SUBSTITUTE($G2703,"-",""))-1))-LEN(SUBSTITUTE(SUBSTITUTE(SUBSTITUTE($G2703,"-"," ",LEN($G2703)-LEN(SUBSTITUTE($G2703,"-",""))),"-"," ",LEN($G2703)-LEN(SUBSTITUTE($G2703,"-",""))-1),".","")))=0,SUBSTITUTE(SUBSTITUTE($G2703,"-"," ",LEN($G2703)-LEN(SUBSTITUTE($G2703,"-",""))),"-"," ",LEN($G2703)-LEN(SUBSTITUTE($G2703,"-",""))-1),SUBSTITUTE(SUBSTITUTE(SUBSTITUTE($G2703,"-"," ",LEN($G2703)-LEN(SUBSTITUTE($G2703,"-",""))),"-"," ",LEN($G2703)-LEN(SUBSTITUTE($G2703,"-",""))-1),"."," ",(LEN(SUBSTITUTE(SUBSTITUTE($G2703,"-"," ",LEN($G2703)-LEN(SUBSTITUTE($G2703,"-",""))),"-"," ",LEN($G2703)-LEN(SUBSTITUTE($G2703,"-",""))-1))-LEN(SUBSTITUTE(SUBSTITUTE(SUBSTITUTE($G2703,"-"," ",LEN($G2703)-LEN(SUBSTITUTE($G2703,"-",""))),"-"," ",LEN($G2703)-LEN(SUBSTITUTE($G2703,"-",""))-1),".",""))))),$G2703)))</f>
        <v/>
      </c>
    </row>
    <row r="2704">
      <c r="A2704" s="58" t="n"/>
      <c r="B2704" s="58">
        <f>IF($H2704="","",LEFT($H2704,FIND(" ",$H2704&amp;" ")-1))</f>
        <v/>
      </c>
      <c r="C2704" s="58">
        <f>IF($H2704="","",IFERROR(MID($H2704&amp;" ",FIND("|",SUBSTITUTE($H2704&amp;" "," ","|",1))+1,FIND("|",SUBSTITUTE($H2704&amp;" "," ","|",2))-FIND("|",SUBSTITUTE($H2704&amp;" "," ","|",1))-1),""))</f>
        <v/>
      </c>
      <c r="D2704" s="58">
        <f>IF($H2704="","",IFERROR(MID($H2704&amp;" ",FIND("|",SUBSTITUTE($H2704&amp;" "," ","|",2))+1,FIND("|",SUBSTITUTE($H2704&amp;" "," ","|",3))-FIND("|",SUBSTITUTE($H2704&amp;" "," ","|",2))-1),""))</f>
        <v/>
      </c>
      <c r="E2704" s="58">
        <f>IF($H2704="","",IFERROR(MID($H2704&amp;" ",FIND("|",SUBSTITUTE($H2704&amp;" "," ","|",3))+1,FIND("|",SUBSTITUTE($H2704&amp;" "," ","|",4))-FIND("|",SUBSTITUTE($H2704&amp;" "," ","|",3))-1),""))</f>
        <v/>
      </c>
      <c r="F2704" s="59">
        <f>IF($H2704="","",IFERROR(VALUE(IFERROR(MID($H2704&amp;" ",FIND("|",SUBSTITUTE($H2704&amp;" "," ","|",4))+1,FIND("|",SUBSTITUTE($H2704&amp;" "," ","|",5))-FIND("|",SUBSTITUTE($H2704&amp;" "," ","|",4))-1),""))/86400+25569+9/24,""))</f>
        <v/>
      </c>
      <c r="G2704" s="58">
        <f>TRIM(SUBSTITUTE(SUBSTITUTE(SUBSTITUTE($A2704,CHAR(9)," ")," "," "),CHAR(13),""))</f>
        <v/>
      </c>
      <c r="H2704" s="58">
        <f>IF($G2704="","",IF(ISNUMBER(FIND(" ",$G2704)),$G2704,IFERROR(IF((LEN(SUBSTITUTE(SUBSTITUTE($G2704,"-"," ",LEN($G2704)-LEN(SUBSTITUTE($G2704,"-",""))),"-"," ",LEN($G2704)-LEN(SUBSTITUTE($G2704,"-",""))-1))-LEN(SUBSTITUTE(SUBSTITUTE(SUBSTITUTE($G2704,"-"," ",LEN($G2704)-LEN(SUBSTITUTE($G2704,"-",""))),"-"," ",LEN($G2704)-LEN(SUBSTITUTE($G2704,"-",""))-1),".","")))=0,SUBSTITUTE(SUBSTITUTE($G2704,"-"," ",LEN($G2704)-LEN(SUBSTITUTE($G2704,"-",""))),"-"," ",LEN($G2704)-LEN(SUBSTITUTE($G2704,"-",""))-1),SUBSTITUTE(SUBSTITUTE(SUBSTITUTE($G2704,"-"," ",LEN($G2704)-LEN(SUBSTITUTE($G2704,"-",""))),"-"," ",LEN($G2704)-LEN(SUBSTITUTE($G2704,"-",""))-1),"."," ",(LEN(SUBSTITUTE(SUBSTITUTE($G2704,"-"," ",LEN($G2704)-LEN(SUBSTITUTE($G2704,"-",""))),"-"," ",LEN($G2704)-LEN(SUBSTITUTE($G2704,"-",""))-1))-LEN(SUBSTITUTE(SUBSTITUTE(SUBSTITUTE($G2704,"-"," ",LEN($G2704)-LEN(SUBSTITUTE($G2704,"-",""))),"-"," ",LEN($G2704)-LEN(SUBSTITUTE($G2704,"-",""))-1),".",""))))),$G2704)))</f>
        <v/>
      </c>
    </row>
    <row r="2705">
      <c r="A2705" s="58" t="n"/>
      <c r="B2705" s="58">
        <f>IF($H2705="","",LEFT($H2705,FIND(" ",$H2705&amp;" ")-1))</f>
        <v/>
      </c>
      <c r="C2705" s="58">
        <f>IF($H2705="","",IFERROR(MID($H2705&amp;" ",FIND("|",SUBSTITUTE($H2705&amp;" "," ","|",1))+1,FIND("|",SUBSTITUTE($H2705&amp;" "," ","|",2))-FIND("|",SUBSTITUTE($H2705&amp;" "," ","|",1))-1),""))</f>
        <v/>
      </c>
      <c r="D2705" s="58">
        <f>IF($H2705="","",IFERROR(MID($H2705&amp;" ",FIND("|",SUBSTITUTE($H2705&amp;" "," ","|",2))+1,FIND("|",SUBSTITUTE($H2705&amp;" "," ","|",3))-FIND("|",SUBSTITUTE($H2705&amp;" "," ","|",2))-1),""))</f>
        <v/>
      </c>
      <c r="E2705" s="58">
        <f>IF($H2705="","",IFERROR(MID($H2705&amp;" ",FIND("|",SUBSTITUTE($H2705&amp;" "," ","|",3))+1,FIND("|",SUBSTITUTE($H2705&amp;" "," ","|",4))-FIND("|",SUBSTITUTE($H2705&amp;" "," ","|",3))-1),""))</f>
        <v/>
      </c>
      <c r="F2705" s="59">
        <f>IF($H2705="","",IFERROR(VALUE(IFERROR(MID($H2705&amp;" ",FIND("|",SUBSTITUTE($H2705&amp;" "," ","|",4))+1,FIND("|",SUBSTITUTE($H2705&amp;" "," ","|",5))-FIND("|",SUBSTITUTE($H2705&amp;" "," ","|",4))-1),""))/86400+25569+9/24,""))</f>
        <v/>
      </c>
      <c r="G2705" s="58">
        <f>TRIM(SUBSTITUTE(SUBSTITUTE(SUBSTITUTE($A2705,CHAR(9)," ")," "," "),CHAR(13),""))</f>
        <v/>
      </c>
      <c r="H2705" s="58">
        <f>IF($G2705="","",IF(ISNUMBER(FIND(" ",$G2705)),$G2705,IFERROR(IF((LEN(SUBSTITUTE(SUBSTITUTE($G2705,"-"," ",LEN($G2705)-LEN(SUBSTITUTE($G2705,"-",""))),"-"," ",LEN($G2705)-LEN(SUBSTITUTE($G2705,"-",""))-1))-LEN(SUBSTITUTE(SUBSTITUTE(SUBSTITUTE($G2705,"-"," ",LEN($G2705)-LEN(SUBSTITUTE($G2705,"-",""))),"-"," ",LEN($G2705)-LEN(SUBSTITUTE($G2705,"-",""))-1),".","")))=0,SUBSTITUTE(SUBSTITUTE($G2705,"-"," ",LEN($G2705)-LEN(SUBSTITUTE($G2705,"-",""))),"-"," ",LEN($G2705)-LEN(SUBSTITUTE($G2705,"-",""))-1),SUBSTITUTE(SUBSTITUTE(SUBSTITUTE($G2705,"-"," ",LEN($G2705)-LEN(SUBSTITUTE($G2705,"-",""))),"-"," ",LEN($G2705)-LEN(SUBSTITUTE($G2705,"-",""))-1),"."," ",(LEN(SUBSTITUTE(SUBSTITUTE($G2705,"-"," ",LEN($G2705)-LEN(SUBSTITUTE($G2705,"-",""))),"-"," ",LEN($G2705)-LEN(SUBSTITUTE($G2705,"-",""))-1))-LEN(SUBSTITUTE(SUBSTITUTE(SUBSTITUTE($G2705,"-"," ",LEN($G2705)-LEN(SUBSTITUTE($G2705,"-",""))),"-"," ",LEN($G2705)-LEN(SUBSTITUTE($G2705,"-",""))-1),".",""))))),$G2705)))</f>
        <v/>
      </c>
    </row>
    <row r="2706">
      <c r="A2706" s="58" t="n"/>
      <c r="B2706" s="58">
        <f>IF($H2706="","",LEFT($H2706,FIND(" ",$H2706&amp;" ")-1))</f>
        <v/>
      </c>
      <c r="C2706" s="58">
        <f>IF($H2706="","",IFERROR(MID($H2706&amp;" ",FIND("|",SUBSTITUTE($H2706&amp;" "," ","|",1))+1,FIND("|",SUBSTITUTE($H2706&amp;" "," ","|",2))-FIND("|",SUBSTITUTE($H2706&amp;" "," ","|",1))-1),""))</f>
        <v/>
      </c>
      <c r="D2706" s="58">
        <f>IF($H2706="","",IFERROR(MID($H2706&amp;" ",FIND("|",SUBSTITUTE($H2706&amp;" "," ","|",2))+1,FIND("|",SUBSTITUTE($H2706&amp;" "," ","|",3))-FIND("|",SUBSTITUTE($H2706&amp;" "," ","|",2))-1),""))</f>
        <v/>
      </c>
      <c r="E2706" s="58">
        <f>IF($H2706="","",IFERROR(MID($H2706&amp;" ",FIND("|",SUBSTITUTE($H2706&amp;" "," ","|",3))+1,FIND("|",SUBSTITUTE($H2706&amp;" "," ","|",4))-FIND("|",SUBSTITUTE($H2706&amp;" "," ","|",3))-1),""))</f>
        <v/>
      </c>
      <c r="F2706" s="59">
        <f>IF($H2706="","",IFERROR(VALUE(IFERROR(MID($H2706&amp;" ",FIND("|",SUBSTITUTE($H2706&amp;" "," ","|",4))+1,FIND("|",SUBSTITUTE($H2706&amp;" "," ","|",5))-FIND("|",SUBSTITUTE($H2706&amp;" "," ","|",4))-1),""))/86400+25569+9/24,""))</f>
        <v/>
      </c>
      <c r="G2706" s="58">
        <f>TRIM(SUBSTITUTE(SUBSTITUTE(SUBSTITUTE($A2706,CHAR(9)," ")," "," "),CHAR(13),""))</f>
        <v/>
      </c>
      <c r="H2706" s="58">
        <f>IF($G2706="","",IF(ISNUMBER(FIND(" ",$G2706)),$G2706,IFERROR(IF((LEN(SUBSTITUTE(SUBSTITUTE($G2706,"-"," ",LEN($G2706)-LEN(SUBSTITUTE($G2706,"-",""))),"-"," ",LEN($G2706)-LEN(SUBSTITUTE($G2706,"-",""))-1))-LEN(SUBSTITUTE(SUBSTITUTE(SUBSTITUTE($G2706,"-"," ",LEN($G2706)-LEN(SUBSTITUTE($G2706,"-",""))),"-"," ",LEN($G2706)-LEN(SUBSTITUTE($G2706,"-",""))-1),".","")))=0,SUBSTITUTE(SUBSTITUTE($G2706,"-"," ",LEN($G2706)-LEN(SUBSTITUTE($G2706,"-",""))),"-"," ",LEN($G2706)-LEN(SUBSTITUTE($G2706,"-",""))-1),SUBSTITUTE(SUBSTITUTE(SUBSTITUTE($G2706,"-"," ",LEN($G2706)-LEN(SUBSTITUTE($G2706,"-",""))),"-"," ",LEN($G2706)-LEN(SUBSTITUTE($G2706,"-",""))-1),"."," ",(LEN(SUBSTITUTE(SUBSTITUTE($G2706,"-"," ",LEN($G2706)-LEN(SUBSTITUTE($G2706,"-",""))),"-"," ",LEN($G2706)-LEN(SUBSTITUTE($G2706,"-",""))-1))-LEN(SUBSTITUTE(SUBSTITUTE(SUBSTITUTE($G2706,"-"," ",LEN($G2706)-LEN(SUBSTITUTE($G2706,"-",""))),"-"," ",LEN($G2706)-LEN(SUBSTITUTE($G2706,"-",""))-1),".",""))))),$G2706)))</f>
        <v/>
      </c>
    </row>
    <row r="2707">
      <c r="A2707" s="58" t="n"/>
      <c r="B2707" s="58">
        <f>IF($H2707="","",LEFT($H2707,FIND(" ",$H2707&amp;" ")-1))</f>
        <v/>
      </c>
      <c r="C2707" s="58">
        <f>IF($H2707="","",IFERROR(MID($H2707&amp;" ",FIND("|",SUBSTITUTE($H2707&amp;" "," ","|",1))+1,FIND("|",SUBSTITUTE($H2707&amp;" "," ","|",2))-FIND("|",SUBSTITUTE($H2707&amp;" "," ","|",1))-1),""))</f>
        <v/>
      </c>
      <c r="D2707" s="58">
        <f>IF($H2707="","",IFERROR(MID($H2707&amp;" ",FIND("|",SUBSTITUTE($H2707&amp;" "," ","|",2))+1,FIND("|",SUBSTITUTE($H2707&amp;" "," ","|",3))-FIND("|",SUBSTITUTE($H2707&amp;" "," ","|",2))-1),""))</f>
        <v/>
      </c>
      <c r="E2707" s="58">
        <f>IF($H2707="","",IFERROR(MID($H2707&amp;" ",FIND("|",SUBSTITUTE($H2707&amp;" "," ","|",3))+1,FIND("|",SUBSTITUTE($H2707&amp;" "," ","|",4))-FIND("|",SUBSTITUTE($H2707&amp;" "," ","|",3))-1),""))</f>
        <v/>
      </c>
      <c r="F2707" s="59">
        <f>IF($H2707="","",IFERROR(VALUE(IFERROR(MID($H2707&amp;" ",FIND("|",SUBSTITUTE($H2707&amp;" "," ","|",4))+1,FIND("|",SUBSTITUTE($H2707&amp;" "," ","|",5))-FIND("|",SUBSTITUTE($H2707&amp;" "," ","|",4))-1),""))/86400+25569+9/24,""))</f>
        <v/>
      </c>
      <c r="G2707" s="58">
        <f>TRIM(SUBSTITUTE(SUBSTITUTE(SUBSTITUTE($A2707,CHAR(9)," ")," "," "),CHAR(13),""))</f>
        <v/>
      </c>
      <c r="H2707" s="58">
        <f>IF($G2707="","",IF(ISNUMBER(FIND(" ",$G2707)),$G2707,IFERROR(IF((LEN(SUBSTITUTE(SUBSTITUTE($G2707,"-"," ",LEN($G2707)-LEN(SUBSTITUTE($G2707,"-",""))),"-"," ",LEN($G2707)-LEN(SUBSTITUTE($G2707,"-",""))-1))-LEN(SUBSTITUTE(SUBSTITUTE(SUBSTITUTE($G2707,"-"," ",LEN($G2707)-LEN(SUBSTITUTE($G2707,"-",""))),"-"," ",LEN($G2707)-LEN(SUBSTITUTE($G2707,"-",""))-1),".","")))=0,SUBSTITUTE(SUBSTITUTE($G2707,"-"," ",LEN($G2707)-LEN(SUBSTITUTE($G2707,"-",""))),"-"," ",LEN($G2707)-LEN(SUBSTITUTE($G2707,"-",""))-1),SUBSTITUTE(SUBSTITUTE(SUBSTITUTE($G2707,"-"," ",LEN($G2707)-LEN(SUBSTITUTE($G2707,"-",""))),"-"," ",LEN($G2707)-LEN(SUBSTITUTE($G2707,"-",""))-1),"."," ",(LEN(SUBSTITUTE(SUBSTITUTE($G2707,"-"," ",LEN($G2707)-LEN(SUBSTITUTE($G2707,"-",""))),"-"," ",LEN($G2707)-LEN(SUBSTITUTE($G2707,"-",""))-1))-LEN(SUBSTITUTE(SUBSTITUTE(SUBSTITUTE($G2707,"-"," ",LEN($G2707)-LEN(SUBSTITUTE($G2707,"-",""))),"-"," ",LEN($G2707)-LEN(SUBSTITUTE($G2707,"-",""))-1),".",""))))),$G2707)))</f>
        <v/>
      </c>
    </row>
    <row r="2708">
      <c r="A2708" s="58" t="n"/>
      <c r="B2708" s="58">
        <f>IF($H2708="","",LEFT($H2708,FIND(" ",$H2708&amp;" ")-1))</f>
        <v/>
      </c>
      <c r="C2708" s="58">
        <f>IF($H2708="","",IFERROR(MID($H2708&amp;" ",FIND("|",SUBSTITUTE($H2708&amp;" "," ","|",1))+1,FIND("|",SUBSTITUTE($H2708&amp;" "," ","|",2))-FIND("|",SUBSTITUTE($H2708&amp;" "," ","|",1))-1),""))</f>
        <v/>
      </c>
      <c r="D2708" s="58">
        <f>IF($H2708="","",IFERROR(MID($H2708&amp;" ",FIND("|",SUBSTITUTE($H2708&amp;" "," ","|",2))+1,FIND("|",SUBSTITUTE($H2708&amp;" "," ","|",3))-FIND("|",SUBSTITUTE($H2708&amp;" "," ","|",2))-1),""))</f>
        <v/>
      </c>
      <c r="E2708" s="58">
        <f>IF($H2708="","",IFERROR(MID($H2708&amp;" ",FIND("|",SUBSTITUTE($H2708&amp;" "," ","|",3))+1,FIND("|",SUBSTITUTE($H2708&amp;" "," ","|",4))-FIND("|",SUBSTITUTE($H2708&amp;" "," ","|",3))-1),""))</f>
        <v/>
      </c>
      <c r="F2708" s="59">
        <f>IF($H2708="","",IFERROR(VALUE(IFERROR(MID($H2708&amp;" ",FIND("|",SUBSTITUTE($H2708&amp;" "," ","|",4))+1,FIND("|",SUBSTITUTE($H2708&amp;" "," ","|",5))-FIND("|",SUBSTITUTE($H2708&amp;" "," ","|",4))-1),""))/86400+25569+9/24,""))</f>
        <v/>
      </c>
      <c r="G2708" s="58">
        <f>TRIM(SUBSTITUTE(SUBSTITUTE(SUBSTITUTE($A2708,CHAR(9)," ")," "," "),CHAR(13),""))</f>
        <v/>
      </c>
      <c r="H2708" s="58">
        <f>IF($G2708="","",IF(ISNUMBER(FIND(" ",$G2708)),$G2708,IFERROR(IF((LEN(SUBSTITUTE(SUBSTITUTE($G2708,"-"," ",LEN($G2708)-LEN(SUBSTITUTE($G2708,"-",""))),"-"," ",LEN($G2708)-LEN(SUBSTITUTE($G2708,"-",""))-1))-LEN(SUBSTITUTE(SUBSTITUTE(SUBSTITUTE($G2708,"-"," ",LEN($G2708)-LEN(SUBSTITUTE($G2708,"-",""))),"-"," ",LEN($G2708)-LEN(SUBSTITUTE($G2708,"-",""))-1),".","")))=0,SUBSTITUTE(SUBSTITUTE($G2708,"-"," ",LEN($G2708)-LEN(SUBSTITUTE($G2708,"-",""))),"-"," ",LEN($G2708)-LEN(SUBSTITUTE($G2708,"-",""))-1),SUBSTITUTE(SUBSTITUTE(SUBSTITUTE($G2708,"-"," ",LEN($G2708)-LEN(SUBSTITUTE($G2708,"-",""))),"-"," ",LEN($G2708)-LEN(SUBSTITUTE($G2708,"-",""))-1),"."," ",(LEN(SUBSTITUTE(SUBSTITUTE($G2708,"-"," ",LEN($G2708)-LEN(SUBSTITUTE($G2708,"-",""))),"-"," ",LEN($G2708)-LEN(SUBSTITUTE($G2708,"-",""))-1))-LEN(SUBSTITUTE(SUBSTITUTE(SUBSTITUTE($G2708,"-"," ",LEN($G2708)-LEN(SUBSTITUTE($G2708,"-",""))),"-"," ",LEN($G2708)-LEN(SUBSTITUTE($G2708,"-",""))-1),".",""))))),$G2708)))</f>
        <v/>
      </c>
    </row>
    <row r="2709">
      <c r="A2709" s="58" t="n"/>
      <c r="B2709" s="58">
        <f>IF($H2709="","",LEFT($H2709,FIND(" ",$H2709&amp;" ")-1))</f>
        <v/>
      </c>
      <c r="C2709" s="58">
        <f>IF($H2709="","",IFERROR(MID($H2709&amp;" ",FIND("|",SUBSTITUTE($H2709&amp;" "," ","|",1))+1,FIND("|",SUBSTITUTE($H2709&amp;" "," ","|",2))-FIND("|",SUBSTITUTE($H2709&amp;" "," ","|",1))-1),""))</f>
        <v/>
      </c>
      <c r="D2709" s="58">
        <f>IF($H2709="","",IFERROR(MID($H2709&amp;" ",FIND("|",SUBSTITUTE($H2709&amp;" "," ","|",2))+1,FIND("|",SUBSTITUTE($H2709&amp;" "," ","|",3))-FIND("|",SUBSTITUTE($H2709&amp;" "," ","|",2))-1),""))</f>
        <v/>
      </c>
      <c r="E2709" s="58">
        <f>IF($H2709="","",IFERROR(MID($H2709&amp;" ",FIND("|",SUBSTITUTE($H2709&amp;" "," ","|",3))+1,FIND("|",SUBSTITUTE($H2709&amp;" "," ","|",4))-FIND("|",SUBSTITUTE($H2709&amp;" "," ","|",3))-1),""))</f>
        <v/>
      </c>
      <c r="F2709" s="59">
        <f>IF($H2709="","",IFERROR(VALUE(IFERROR(MID($H2709&amp;" ",FIND("|",SUBSTITUTE($H2709&amp;" "," ","|",4))+1,FIND("|",SUBSTITUTE($H2709&amp;" "," ","|",5))-FIND("|",SUBSTITUTE($H2709&amp;" "," ","|",4))-1),""))/86400+25569+9/24,""))</f>
        <v/>
      </c>
      <c r="G2709" s="58">
        <f>TRIM(SUBSTITUTE(SUBSTITUTE(SUBSTITUTE($A2709,CHAR(9)," ")," "," "),CHAR(13),""))</f>
        <v/>
      </c>
      <c r="H2709" s="58">
        <f>IF($G2709="","",IF(ISNUMBER(FIND(" ",$G2709)),$G2709,IFERROR(IF((LEN(SUBSTITUTE(SUBSTITUTE($G2709,"-"," ",LEN($G2709)-LEN(SUBSTITUTE($G2709,"-",""))),"-"," ",LEN($G2709)-LEN(SUBSTITUTE($G2709,"-",""))-1))-LEN(SUBSTITUTE(SUBSTITUTE(SUBSTITUTE($G2709,"-"," ",LEN($G2709)-LEN(SUBSTITUTE($G2709,"-",""))),"-"," ",LEN($G2709)-LEN(SUBSTITUTE($G2709,"-",""))-1),".","")))=0,SUBSTITUTE(SUBSTITUTE($G2709,"-"," ",LEN($G2709)-LEN(SUBSTITUTE($G2709,"-",""))),"-"," ",LEN($G2709)-LEN(SUBSTITUTE($G2709,"-",""))-1),SUBSTITUTE(SUBSTITUTE(SUBSTITUTE($G2709,"-"," ",LEN($G2709)-LEN(SUBSTITUTE($G2709,"-",""))),"-"," ",LEN($G2709)-LEN(SUBSTITUTE($G2709,"-",""))-1),"."," ",(LEN(SUBSTITUTE(SUBSTITUTE($G2709,"-"," ",LEN($G2709)-LEN(SUBSTITUTE($G2709,"-",""))),"-"," ",LEN($G2709)-LEN(SUBSTITUTE($G2709,"-",""))-1))-LEN(SUBSTITUTE(SUBSTITUTE(SUBSTITUTE($G2709,"-"," ",LEN($G2709)-LEN(SUBSTITUTE($G2709,"-",""))),"-"," ",LEN($G2709)-LEN(SUBSTITUTE($G2709,"-",""))-1),".",""))))),$G2709)))</f>
        <v/>
      </c>
    </row>
    <row r="2710">
      <c r="A2710" s="58" t="n"/>
      <c r="B2710" s="58">
        <f>IF($H2710="","",LEFT($H2710,FIND(" ",$H2710&amp;" ")-1))</f>
        <v/>
      </c>
      <c r="C2710" s="58">
        <f>IF($H2710="","",IFERROR(MID($H2710&amp;" ",FIND("|",SUBSTITUTE($H2710&amp;" "," ","|",1))+1,FIND("|",SUBSTITUTE($H2710&amp;" "," ","|",2))-FIND("|",SUBSTITUTE($H2710&amp;" "," ","|",1))-1),""))</f>
        <v/>
      </c>
      <c r="D2710" s="58">
        <f>IF($H2710="","",IFERROR(MID($H2710&amp;" ",FIND("|",SUBSTITUTE($H2710&amp;" "," ","|",2))+1,FIND("|",SUBSTITUTE($H2710&amp;" "," ","|",3))-FIND("|",SUBSTITUTE($H2710&amp;" "," ","|",2))-1),""))</f>
        <v/>
      </c>
      <c r="E2710" s="58">
        <f>IF($H2710="","",IFERROR(MID($H2710&amp;" ",FIND("|",SUBSTITUTE($H2710&amp;" "," ","|",3))+1,FIND("|",SUBSTITUTE($H2710&amp;" "," ","|",4))-FIND("|",SUBSTITUTE($H2710&amp;" "," ","|",3))-1),""))</f>
        <v/>
      </c>
      <c r="F2710" s="59">
        <f>IF($H2710="","",IFERROR(VALUE(IFERROR(MID($H2710&amp;" ",FIND("|",SUBSTITUTE($H2710&amp;" "," ","|",4))+1,FIND("|",SUBSTITUTE($H2710&amp;" "," ","|",5))-FIND("|",SUBSTITUTE($H2710&amp;" "," ","|",4))-1),""))/86400+25569+9/24,""))</f>
        <v/>
      </c>
      <c r="G2710" s="58">
        <f>TRIM(SUBSTITUTE(SUBSTITUTE(SUBSTITUTE($A2710,CHAR(9)," ")," "," "),CHAR(13),""))</f>
        <v/>
      </c>
      <c r="H2710" s="58">
        <f>IF($G2710="","",IF(ISNUMBER(FIND(" ",$G2710)),$G2710,IFERROR(IF((LEN(SUBSTITUTE(SUBSTITUTE($G2710,"-"," ",LEN($G2710)-LEN(SUBSTITUTE($G2710,"-",""))),"-"," ",LEN($G2710)-LEN(SUBSTITUTE($G2710,"-",""))-1))-LEN(SUBSTITUTE(SUBSTITUTE(SUBSTITUTE($G2710,"-"," ",LEN($G2710)-LEN(SUBSTITUTE($G2710,"-",""))),"-"," ",LEN($G2710)-LEN(SUBSTITUTE($G2710,"-",""))-1),".","")))=0,SUBSTITUTE(SUBSTITUTE($G2710,"-"," ",LEN($G2710)-LEN(SUBSTITUTE($G2710,"-",""))),"-"," ",LEN($G2710)-LEN(SUBSTITUTE($G2710,"-",""))-1),SUBSTITUTE(SUBSTITUTE(SUBSTITUTE($G2710,"-"," ",LEN($G2710)-LEN(SUBSTITUTE($G2710,"-",""))),"-"," ",LEN($G2710)-LEN(SUBSTITUTE($G2710,"-",""))-1),"."," ",(LEN(SUBSTITUTE(SUBSTITUTE($G2710,"-"," ",LEN($G2710)-LEN(SUBSTITUTE($G2710,"-",""))),"-"," ",LEN($G2710)-LEN(SUBSTITUTE($G2710,"-",""))-1))-LEN(SUBSTITUTE(SUBSTITUTE(SUBSTITUTE($G2710,"-"," ",LEN($G2710)-LEN(SUBSTITUTE($G2710,"-",""))),"-"," ",LEN($G2710)-LEN(SUBSTITUTE($G2710,"-",""))-1),".",""))))),$G2710)))</f>
        <v/>
      </c>
    </row>
    <row r="2711">
      <c r="A2711" s="58" t="n"/>
      <c r="B2711" s="58">
        <f>IF($H2711="","",LEFT($H2711,FIND(" ",$H2711&amp;" ")-1))</f>
        <v/>
      </c>
      <c r="C2711" s="58">
        <f>IF($H2711="","",IFERROR(MID($H2711&amp;" ",FIND("|",SUBSTITUTE($H2711&amp;" "," ","|",1))+1,FIND("|",SUBSTITUTE($H2711&amp;" "," ","|",2))-FIND("|",SUBSTITUTE($H2711&amp;" "," ","|",1))-1),""))</f>
        <v/>
      </c>
      <c r="D2711" s="58">
        <f>IF($H2711="","",IFERROR(MID($H2711&amp;" ",FIND("|",SUBSTITUTE($H2711&amp;" "," ","|",2))+1,FIND("|",SUBSTITUTE($H2711&amp;" "," ","|",3))-FIND("|",SUBSTITUTE($H2711&amp;" "," ","|",2))-1),""))</f>
        <v/>
      </c>
      <c r="E2711" s="58">
        <f>IF($H2711="","",IFERROR(MID($H2711&amp;" ",FIND("|",SUBSTITUTE($H2711&amp;" "," ","|",3))+1,FIND("|",SUBSTITUTE($H2711&amp;" "," ","|",4))-FIND("|",SUBSTITUTE($H2711&amp;" "," ","|",3))-1),""))</f>
        <v/>
      </c>
      <c r="F2711" s="59">
        <f>IF($H2711="","",IFERROR(VALUE(IFERROR(MID($H2711&amp;" ",FIND("|",SUBSTITUTE($H2711&amp;" "," ","|",4))+1,FIND("|",SUBSTITUTE($H2711&amp;" "," ","|",5))-FIND("|",SUBSTITUTE($H2711&amp;" "," ","|",4))-1),""))/86400+25569+9/24,""))</f>
        <v/>
      </c>
      <c r="G2711" s="58">
        <f>TRIM(SUBSTITUTE(SUBSTITUTE(SUBSTITUTE($A2711,CHAR(9)," ")," "," "),CHAR(13),""))</f>
        <v/>
      </c>
      <c r="H2711" s="58">
        <f>IF($G2711="","",IF(ISNUMBER(FIND(" ",$G2711)),$G2711,IFERROR(IF((LEN(SUBSTITUTE(SUBSTITUTE($G2711,"-"," ",LEN($G2711)-LEN(SUBSTITUTE($G2711,"-",""))),"-"," ",LEN($G2711)-LEN(SUBSTITUTE($G2711,"-",""))-1))-LEN(SUBSTITUTE(SUBSTITUTE(SUBSTITUTE($G2711,"-"," ",LEN($G2711)-LEN(SUBSTITUTE($G2711,"-",""))),"-"," ",LEN($G2711)-LEN(SUBSTITUTE($G2711,"-",""))-1),".","")))=0,SUBSTITUTE(SUBSTITUTE($G2711,"-"," ",LEN($G2711)-LEN(SUBSTITUTE($G2711,"-",""))),"-"," ",LEN($G2711)-LEN(SUBSTITUTE($G2711,"-",""))-1),SUBSTITUTE(SUBSTITUTE(SUBSTITUTE($G2711,"-"," ",LEN($G2711)-LEN(SUBSTITUTE($G2711,"-",""))),"-"," ",LEN($G2711)-LEN(SUBSTITUTE($G2711,"-",""))-1),"."," ",(LEN(SUBSTITUTE(SUBSTITUTE($G2711,"-"," ",LEN($G2711)-LEN(SUBSTITUTE($G2711,"-",""))),"-"," ",LEN($G2711)-LEN(SUBSTITUTE($G2711,"-",""))-1))-LEN(SUBSTITUTE(SUBSTITUTE(SUBSTITUTE($G2711,"-"," ",LEN($G2711)-LEN(SUBSTITUTE($G2711,"-",""))),"-"," ",LEN($G2711)-LEN(SUBSTITUTE($G2711,"-",""))-1),".",""))))),$G2711)))</f>
        <v/>
      </c>
    </row>
    <row r="2712">
      <c r="A2712" s="58" t="n"/>
      <c r="B2712" s="58">
        <f>IF($H2712="","",LEFT($H2712,FIND(" ",$H2712&amp;" ")-1))</f>
        <v/>
      </c>
      <c r="C2712" s="58">
        <f>IF($H2712="","",IFERROR(MID($H2712&amp;" ",FIND("|",SUBSTITUTE($H2712&amp;" "," ","|",1))+1,FIND("|",SUBSTITUTE($H2712&amp;" "," ","|",2))-FIND("|",SUBSTITUTE($H2712&amp;" "," ","|",1))-1),""))</f>
        <v/>
      </c>
      <c r="D2712" s="58">
        <f>IF($H2712="","",IFERROR(MID($H2712&amp;" ",FIND("|",SUBSTITUTE($H2712&amp;" "," ","|",2))+1,FIND("|",SUBSTITUTE($H2712&amp;" "," ","|",3))-FIND("|",SUBSTITUTE($H2712&amp;" "," ","|",2))-1),""))</f>
        <v/>
      </c>
      <c r="E2712" s="58">
        <f>IF($H2712="","",IFERROR(MID($H2712&amp;" ",FIND("|",SUBSTITUTE($H2712&amp;" "," ","|",3))+1,FIND("|",SUBSTITUTE($H2712&amp;" "," ","|",4))-FIND("|",SUBSTITUTE($H2712&amp;" "," ","|",3))-1),""))</f>
        <v/>
      </c>
      <c r="F2712" s="59">
        <f>IF($H2712="","",IFERROR(VALUE(IFERROR(MID($H2712&amp;" ",FIND("|",SUBSTITUTE($H2712&amp;" "," ","|",4))+1,FIND("|",SUBSTITUTE($H2712&amp;" "," ","|",5))-FIND("|",SUBSTITUTE($H2712&amp;" "," ","|",4))-1),""))/86400+25569+9/24,""))</f>
        <v/>
      </c>
      <c r="G2712" s="58">
        <f>TRIM(SUBSTITUTE(SUBSTITUTE(SUBSTITUTE($A2712,CHAR(9)," ")," "," "),CHAR(13),""))</f>
        <v/>
      </c>
      <c r="H2712" s="58">
        <f>IF($G2712="","",IF(ISNUMBER(FIND(" ",$G2712)),$G2712,IFERROR(IF((LEN(SUBSTITUTE(SUBSTITUTE($G2712,"-"," ",LEN($G2712)-LEN(SUBSTITUTE($G2712,"-",""))),"-"," ",LEN($G2712)-LEN(SUBSTITUTE($G2712,"-",""))-1))-LEN(SUBSTITUTE(SUBSTITUTE(SUBSTITUTE($G2712,"-"," ",LEN($G2712)-LEN(SUBSTITUTE($G2712,"-",""))),"-"," ",LEN($G2712)-LEN(SUBSTITUTE($G2712,"-",""))-1),".","")))=0,SUBSTITUTE(SUBSTITUTE($G2712,"-"," ",LEN($G2712)-LEN(SUBSTITUTE($G2712,"-",""))),"-"," ",LEN($G2712)-LEN(SUBSTITUTE($G2712,"-",""))-1),SUBSTITUTE(SUBSTITUTE(SUBSTITUTE($G2712,"-"," ",LEN($G2712)-LEN(SUBSTITUTE($G2712,"-",""))),"-"," ",LEN($G2712)-LEN(SUBSTITUTE($G2712,"-",""))-1),"."," ",(LEN(SUBSTITUTE(SUBSTITUTE($G2712,"-"," ",LEN($G2712)-LEN(SUBSTITUTE($G2712,"-",""))),"-"," ",LEN($G2712)-LEN(SUBSTITUTE($G2712,"-",""))-1))-LEN(SUBSTITUTE(SUBSTITUTE(SUBSTITUTE($G2712,"-"," ",LEN($G2712)-LEN(SUBSTITUTE($G2712,"-",""))),"-"," ",LEN($G2712)-LEN(SUBSTITUTE($G2712,"-",""))-1),".",""))))),$G2712)))</f>
        <v/>
      </c>
    </row>
    <row r="2713">
      <c r="A2713" s="58" t="n"/>
      <c r="B2713" s="58">
        <f>IF($H2713="","",LEFT($H2713,FIND(" ",$H2713&amp;" ")-1))</f>
        <v/>
      </c>
      <c r="C2713" s="58">
        <f>IF($H2713="","",IFERROR(MID($H2713&amp;" ",FIND("|",SUBSTITUTE($H2713&amp;" "," ","|",1))+1,FIND("|",SUBSTITUTE($H2713&amp;" "," ","|",2))-FIND("|",SUBSTITUTE($H2713&amp;" "," ","|",1))-1),""))</f>
        <v/>
      </c>
      <c r="D2713" s="58">
        <f>IF($H2713="","",IFERROR(MID($H2713&amp;" ",FIND("|",SUBSTITUTE($H2713&amp;" "," ","|",2))+1,FIND("|",SUBSTITUTE($H2713&amp;" "," ","|",3))-FIND("|",SUBSTITUTE($H2713&amp;" "," ","|",2))-1),""))</f>
        <v/>
      </c>
      <c r="E2713" s="58">
        <f>IF($H2713="","",IFERROR(MID($H2713&amp;" ",FIND("|",SUBSTITUTE($H2713&amp;" "," ","|",3))+1,FIND("|",SUBSTITUTE($H2713&amp;" "," ","|",4))-FIND("|",SUBSTITUTE($H2713&amp;" "," ","|",3))-1),""))</f>
        <v/>
      </c>
      <c r="F2713" s="59">
        <f>IF($H2713="","",IFERROR(VALUE(IFERROR(MID($H2713&amp;" ",FIND("|",SUBSTITUTE($H2713&amp;" "," ","|",4))+1,FIND("|",SUBSTITUTE($H2713&amp;" "," ","|",5))-FIND("|",SUBSTITUTE($H2713&amp;" "," ","|",4))-1),""))/86400+25569+9/24,""))</f>
        <v/>
      </c>
      <c r="G2713" s="58">
        <f>TRIM(SUBSTITUTE(SUBSTITUTE(SUBSTITUTE($A2713,CHAR(9)," ")," "," "),CHAR(13),""))</f>
        <v/>
      </c>
      <c r="H2713" s="58">
        <f>IF($G2713="","",IF(ISNUMBER(FIND(" ",$G2713)),$G2713,IFERROR(IF((LEN(SUBSTITUTE(SUBSTITUTE($G2713,"-"," ",LEN($G2713)-LEN(SUBSTITUTE($G2713,"-",""))),"-"," ",LEN($G2713)-LEN(SUBSTITUTE($G2713,"-",""))-1))-LEN(SUBSTITUTE(SUBSTITUTE(SUBSTITUTE($G2713,"-"," ",LEN($G2713)-LEN(SUBSTITUTE($G2713,"-",""))),"-"," ",LEN($G2713)-LEN(SUBSTITUTE($G2713,"-",""))-1),".","")))=0,SUBSTITUTE(SUBSTITUTE($G2713,"-"," ",LEN($G2713)-LEN(SUBSTITUTE($G2713,"-",""))),"-"," ",LEN($G2713)-LEN(SUBSTITUTE($G2713,"-",""))-1),SUBSTITUTE(SUBSTITUTE(SUBSTITUTE($G2713,"-"," ",LEN($G2713)-LEN(SUBSTITUTE($G2713,"-",""))),"-"," ",LEN($G2713)-LEN(SUBSTITUTE($G2713,"-",""))-1),"."," ",(LEN(SUBSTITUTE(SUBSTITUTE($G2713,"-"," ",LEN($G2713)-LEN(SUBSTITUTE($G2713,"-",""))),"-"," ",LEN($G2713)-LEN(SUBSTITUTE($G2713,"-",""))-1))-LEN(SUBSTITUTE(SUBSTITUTE(SUBSTITUTE($G2713,"-"," ",LEN($G2713)-LEN(SUBSTITUTE($G2713,"-",""))),"-"," ",LEN($G2713)-LEN(SUBSTITUTE($G2713,"-",""))-1),".",""))))),$G2713)))</f>
        <v/>
      </c>
    </row>
    <row r="2714">
      <c r="A2714" s="58" t="n"/>
      <c r="B2714" s="58">
        <f>IF($H2714="","",LEFT($H2714,FIND(" ",$H2714&amp;" ")-1))</f>
        <v/>
      </c>
      <c r="C2714" s="58">
        <f>IF($H2714="","",IFERROR(MID($H2714&amp;" ",FIND("|",SUBSTITUTE($H2714&amp;" "," ","|",1))+1,FIND("|",SUBSTITUTE($H2714&amp;" "," ","|",2))-FIND("|",SUBSTITUTE($H2714&amp;" "," ","|",1))-1),""))</f>
        <v/>
      </c>
      <c r="D2714" s="58">
        <f>IF($H2714="","",IFERROR(MID($H2714&amp;" ",FIND("|",SUBSTITUTE($H2714&amp;" "," ","|",2))+1,FIND("|",SUBSTITUTE($H2714&amp;" "," ","|",3))-FIND("|",SUBSTITUTE($H2714&amp;" "," ","|",2))-1),""))</f>
        <v/>
      </c>
      <c r="E2714" s="58">
        <f>IF($H2714="","",IFERROR(MID($H2714&amp;" ",FIND("|",SUBSTITUTE($H2714&amp;" "," ","|",3))+1,FIND("|",SUBSTITUTE($H2714&amp;" "," ","|",4))-FIND("|",SUBSTITUTE($H2714&amp;" "," ","|",3))-1),""))</f>
        <v/>
      </c>
      <c r="F2714" s="59">
        <f>IF($H2714="","",IFERROR(VALUE(IFERROR(MID($H2714&amp;" ",FIND("|",SUBSTITUTE($H2714&amp;" "," ","|",4))+1,FIND("|",SUBSTITUTE($H2714&amp;" "," ","|",5))-FIND("|",SUBSTITUTE($H2714&amp;" "," ","|",4))-1),""))/86400+25569+9/24,""))</f>
        <v/>
      </c>
      <c r="G2714" s="58">
        <f>TRIM(SUBSTITUTE(SUBSTITUTE(SUBSTITUTE($A2714,CHAR(9)," ")," "," "),CHAR(13),""))</f>
        <v/>
      </c>
      <c r="H2714" s="58">
        <f>IF($G2714="","",IF(ISNUMBER(FIND(" ",$G2714)),$G2714,IFERROR(IF((LEN(SUBSTITUTE(SUBSTITUTE($G2714,"-"," ",LEN($G2714)-LEN(SUBSTITUTE($G2714,"-",""))),"-"," ",LEN($G2714)-LEN(SUBSTITUTE($G2714,"-",""))-1))-LEN(SUBSTITUTE(SUBSTITUTE(SUBSTITUTE($G2714,"-"," ",LEN($G2714)-LEN(SUBSTITUTE($G2714,"-",""))),"-"," ",LEN($G2714)-LEN(SUBSTITUTE($G2714,"-",""))-1),".","")))=0,SUBSTITUTE(SUBSTITUTE($G2714,"-"," ",LEN($G2714)-LEN(SUBSTITUTE($G2714,"-",""))),"-"," ",LEN($G2714)-LEN(SUBSTITUTE($G2714,"-",""))-1),SUBSTITUTE(SUBSTITUTE(SUBSTITUTE($G2714,"-"," ",LEN($G2714)-LEN(SUBSTITUTE($G2714,"-",""))),"-"," ",LEN($G2714)-LEN(SUBSTITUTE($G2714,"-",""))-1),"."," ",(LEN(SUBSTITUTE(SUBSTITUTE($G2714,"-"," ",LEN($G2714)-LEN(SUBSTITUTE($G2714,"-",""))),"-"," ",LEN($G2714)-LEN(SUBSTITUTE($G2714,"-",""))-1))-LEN(SUBSTITUTE(SUBSTITUTE(SUBSTITUTE($G2714,"-"," ",LEN($G2714)-LEN(SUBSTITUTE($G2714,"-",""))),"-"," ",LEN($G2714)-LEN(SUBSTITUTE($G2714,"-",""))-1),".",""))))),$G2714)))</f>
        <v/>
      </c>
    </row>
    <row r="2715">
      <c r="A2715" s="58" t="n"/>
      <c r="B2715" s="58">
        <f>IF($H2715="","",LEFT($H2715,FIND(" ",$H2715&amp;" ")-1))</f>
        <v/>
      </c>
      <c r="C2715" s="58">
        <f>IF($H2715="","",IFERROR(MID($H2715&amp;" ",FIND("|",SUBSTITUTE($H2715&amp;" "," ","|",1))+1,FIND("|",SUBSTITUTE($H2715&amp;" "," ","|",2))-FIND("|",SUBSTITUTE($H2715&amp;" "," ","|",1))-1),""))</f>
        <v/>
      </c>
      <c r="D2715" s="58">
        <f>IF($H2715="","",IFERROR(MID($H2715&amp;" ",FIND("|",SUBSTITUTE($H2715&amp;" "," ","|",2))+1,FIND("|",SUBSTITUTE($H2715&amp;" "," ","|",3))-FIND("|",SUBSTITUTE($H2715&amp;" "," ","|",2))-1),""))</f>
        <v/>
      </c>
      <c r="E2715" s="58">
        <f>IF($H2715="","",IFERROR(MID($H2715&amp;" ",FIND("|",SUBSTITUTE($H2715&amp;" "," ","|",3))+1,FIND("|",SUBSTITUTE($H2715&amp;" "," ","|",4))-FIND("|",SUBSTITUTE($H2715&amp;" "," ","|",3))-1),""))</f>
        <v/>
      </c>
      <c r="F2715" s="59">
        <f>IF($H2715="","",IFERROR(VALUE(IFERROR(MID($H2715&amp;" ",FIND("|",SUBSTITUTE($H2715&amp;" "," ","|",4))+1,FIND("|",SUBSTITUTE($H2715&amp;" "," ","|",5))-FIND("|",SUBSTITUTE($H2715&amp;" "," ","|",4))-1),""))/86400+25569+9/24,""))</f>
        <v/>
      </c>
      <c r="G2715" s="58">
        <f>TRIM(SUBSTITUTE(SUBSTITUTE(SUBSTITUTE($A2715,CHAR(9)," ")," "," "),CHAR(13),""))</f>
        <v/>
      </c>
      <c r="H2715" s="58">
        <f>IF($G2715="","",IF(ISNUMBER(FIND(" ",$G2715)),$G2715,IFERROR(IF((LEN(SUBSTITUTE(SUBSTITUTE($G2715,"-"," ",LEN($G2715)-LEN(SUBSTITUTE($G2715,"-",""))),"-"," ",LEN($G2715)-LEN(SUBSTITUTE($G2715,"-",""))-1))-LEN(SUBSTITUTE(SUBSTITUTE(SUBSTITUTE($G2715,"-"," ",LEN($G2715)-LEN(SUBSTITUTE($G2715,"-",""))),"-"," ",LEN($G2715)-LEN(SUBSTITUTE($G2715,"-",""))-1),".","")))=0,SUBSTITUTE(SUBSTITUTE($G2715,"-"," ",LEN($G2715)-LEN(SUBSTITUTE($G2715,"-",""))),"-"," ",LEN($G2715)-LEN(SUBSTITUTE($G2715,"-",""))-1),SUBSTITUTE(SUBSTITUTE(SUBSTITUTE($G2715,"-"," ",LEN($G2715)-LEN(SUBSTITUTE($G2715,"-",""))),"-"," ",LEN($G2715)-LEN(SUBSTITUTE($G2715,"-",""))-1),"."," ",(LEN(SUBSTITUTE(SUBSTITUTE($G2715,"-"," ",LEN($G2715)-LEN(SUBSTITUTE($G2715,"-",""))),"-"," ",LEN($G2715)-LEN(SUBSTITUTE($G2715,"-",""))-1))-LEN(SUBSTITUTE(SUBSTITUTE(SUBSTITUTE($G2715,"-"," ",LEN($G2715)-LEN(SUBSTITUTE($G2715,"-",""))),"-"," ",LEN($G2715)-LEN(SUBSTITUTE($G2715,"-",""))-1),".",""))))),$G2715)))</f>
        <v/>
      </c>
    </row>
    <row r="2716">
      <c r="A2716" s="58" t="n"/>
      <c r="B2716" s="58">
        <f>IF($H2716="","",LEFT($H2716,FIND(" ",$H2716&amp;" ")-1))</f>
        <v/>
      </c>
      <c r="C2716" s="58">
        <f>IF($H2716="","",IFERROR(MID($H2716&amp;" ",FIND("|",SUBSTITUTE($H2716&amp;" "," ","|",1))+1,FIND("|",SUBSTITUTE($H2716&amp;" "," ","|",2))-FIND("|",SUBSTITUTE($H2716&amp;" "," ","|",1))-1),""))</f>
        <v/>
      </c>
      <c r="D2716" s="58">
        <f>IF($H2716="","",IFERROR(MID($H2716&amp;" ",FIND("|",SUBSTITUTE($H2716&amp;" "," ","|",2))+1,FIND("|",SUBSTITUTE($H2716&amp;" "," ","|",3))-FIND("|",SUBSTITUTE($H2716&amp;" "," ","|",2))-1),""))</f>
        <v/>
      </c>
      <c r="E2716" s="58">
        <f>IF($H2716="","",IFERROR(MID($H2716&amp;" ",FIND("|",SUBSTITUTE($H2716&amp;" "," ","|",3))+1,FIND("|",SUBSTITUTE($H2716&amp;" "," ","|",4))-FIND("|",SUBSTITUTE($H2716&amp;" "," ","|",3))-1),""))</f>
        <v/>
      </c>
      <c r="F2716" s="59">
        <f>IF($H2716="","",IFERROR(VALUE(IFERROR(MID($H2716&amp;" ",FIND("|",SUBSTITUTE($H2716&amp;" "," ","|",4))+1,FIND("|",SUBSTITUTE($H2716&amp;" "," ","|",5))-FIND("|",SUBSTITUTE($H2716&amp;" "," ","|",4))-1),""))/86400+25569+9/24,""))</f>
        <v/>
      </c>
      <c r="G2716" s="58">
        <f>TRIM(SUBSTITUTE(SUBSTITUTE(SUBSTITUTE($A2716,CHAR(9)," ")," "," "),CHAR(13),""))</f>
        <v/>
      </c>
      <c r="H2716" s="58">
        <f>IF($G2716="","",IF(ISNUMBER(FIND(" ",$G2716)),$G2716,IFERROR(IF((LEN(SUBSTITUTE(SUBSTITUTE($G2716,"-"," ",LEN($G2716)-LEN(SUBSTITUTE($G2716,"-",""))),"-"," ",LEN($G2716)-LEN(SUBSTITUTE($G2716,"-",""))-1))-LEN(SUBSTITUTE(SUBSTITUTE(SUBSTITUTE($G2716,"-"," ",LEN($G2716)-LEN(SUBSTITUTE($G2716,"-",""))),"-"," ",LEN($G2716)-LEN(SUBSTITUTE($G2716,"-",""))-1),".","")))=0,SUBSTITUTE(SUBSTITUTE($G2716,"-"," ",LEN($G2716)-LEN(SUBSTITUTE($G2716,"-",""))),"-"," ",LEN($G2716)-LEN(SUBSTITUTE($G2716,"-",""))-1),SUBSTITUTE(SUBSTITUTE(SUBSTITUTE($G2716,"-"," ",LEN($G2716)-LEN(SUBSTITUTE($G2716,"-",""))),"-"," ",LEN($G2716)-LEN(SUBSTITUTE($G2716,"-",""))-1),"."," ",(LEN(SUBSTITUTE(SUBSTITUTE($G2716,"-"," ",LEN($G2716)-LEN(SUBSTITUTE($G2716,"-",""))),"-"," ",LEN($G2716)-LEN(SUBSTITUTE($G2716,"-",""))-1))-LEN(SUBSTITUTE(SUBSTITUTE(SUBSTITUTE($G2716,"-"," ",LEN($G2716)-LEN(SUBSTITUTE($G2716,"-",""))),"-"," ",LEN($G2716)-LEN(SUBSTITUTE($G2716,"-",""))-1),".",""))))),$G2716)))</f>
        <v/>
      </c>
    </row>
    <row r="2717">
      <c r="A2717" s="58" t="n"/>
      <c r="B2717" s="58">
        <f>IF($H2717="","",LEFT($H2717,FIND(" ",$H2717&amp;" ")-1))</f>
        <v/>
      </c>
      <c r="C2717" s="58">
        <f>IF($H2717="","",IFERROR(MID($H2717&amp;" ",FIND("|",SUBSTITUTE($H2717&amp;" "," ","|",1))+1,FIND("|",SUBSTITUTE($H2717&amp;" "," ","|",2))-FIND("|",SUBSTITUTE($H2717&amp;" "," ","|",1))-1),""))</f>
        <v/>
      </c>
      <c r="D2717" s="58">
        <f>IF($H2717="","",IFERROR(MID($H2717&amp;" ",FIND("|",SUBSTITUTE($H2717&amp;" "," ","|",2))+1,FIND("|",SUBSTITUTE($H2717&amp;" "," ","|",3))-FIND("|",SUBSTITUTE($H2717&amp;" "," ","|",2))-1),""))</f>
        <v/>
      </c>
      <c r="E2717" s="58">
        <f>IF($H2717="","",IFERROR(MID($H2717&amp;" ",FIND("|",SUBSTITUTE($H2717&amp;" "," ","|",3))+1,FIND("|",SUBSTITUTE($H2717&amp;" "," ","|",4))-FIND("|",SUBSTITUTE($H2717&amp;" "," ","|",3))-1),""))</f>
        <v/>
      </c>
      <c r="F2717" s="59">
        <f>IF($H2717="","",IFERROR(VALUE(IFERROR(MID($H2717&amp;" ",FIND("|",SUBSTITUTE($H2717&amp;" "," ","|",4))+1,FIND("|",SUBSTITUTE($H2717&amp;" "," ","|",5))-FIND("|",SUBSTITUTE($H2717&amp;" "," ","|",4))-1),""))/86400+25569+9/24,""))</f>
        <v/>
      </c>
      <c r="G2717" s="58">
        <f>TRIM(SUBSTITUTE(SUBSTITUTE(SUBSTITUTE($A2717,CHAR(9)," ")," "," "),CHAR(13),""))</f>
        <v/>
      </c>
      <c r="H2717" s="58">
        <f>IF($G2717="","",IF(ISNUMBER(FIND(" ",$G2717)),$G2717,IFERROR(IF((LEN(SUBSTITUTE(SUBSTITUTE($G2717,"-"," ",LEN($G2717)-LEN(SUBSTITUTE($G2717,"-",""))),"-"," ",LEN($G2717)-LEN(SUBSTITUTE($G2717,"-",""))-1))-LEN(SUBSTITUTE(SUBSTITUTE(SUBSTITUTE($G2717,"-"," ",LEN($G2717)-LEN(SUBSTITUTE($G2717,"-",""))),"-"," ",LEN($G2717)-LEN(SUBSTITUTE($G2717,"-",""))-1),".","")))=0,SUBSTITUTE(SUBSTITUTE($G2717,"-"," ",LEN($G2717)-LEN(SUBSTITUTE($G2717,"-",""))),"-"," ",LEN($G2717)-LEN(SUBSTITUTE($G2717,"-",""))-1),SUBSTITUTE(SUBSTITUTE(SUBSTITUTE($G2717,"-"," ",LEN($G2717)-LEN(SUBSTITUTE($G2717,"-",""))),"-"," ",LEN($G2717)-LEN(SUBSTITUTE($G2717,"-",""))-1),"."," ",(LEN(SUBSTITUTE(SUBSTITUTE($G2717,"-"," ",LEN($G2717)-LEN(SUBSTITUTE($G2717,"-",""))),"-"," ",LEN($G2717)-LEN(SUBSTITUTE($G2717,"-",""))-1))-LEN(SUBSTITUTE(SUBSTITUTE(SUBSTITUTE($G2717,"-"," ",LEN($G2717)-LEN(SUBSTITUTE($G2717,"-",""))),"-"," ",LEN($G2717)-LEN(SUBSTITUTE($G2717,"-",""))-1),".",""))))),$G2717)))</f>
        <v/>
      </c>
    </row>
    <row r="2718">
      <c r="A2718" s="58" t="n"/>
      <c r="B2718" s="58">
        <f>IF($H2718="","",LEFT($H2718,FIND(" ",$H2718&amp;" ")-1))</f>
        <v/>
      </c>
      <c r="C2718" s="58">
        <f>IF($H2718="","",IFERROR(MID($H2718&amp;" ",FIND("|",SUBSTITUTE($H2718&amp;" "," ","|",1))+1,FIND("|",SUBSTITUTE($H2718&amp;" "," ","|",2))-FIND("|",SUBSTITUTE($H2718&amp;" "," ","|",1))-1),""))</f>
        <v/>
      </c>
      <c r="D2718" s="58">
        <f>IF($H2718="","",IFERROR(MID($H2718&amp;" ",FIND("|",SUBSTITUTE($H2718&amp;" "," ","|",2))+1,FIND("|",SUBSTITUTE($H2718&amp;" "," ","|",3))-FIND("|",SUBSTITUTE($H2718&amp;" "," ","|",2))-1),""))</f>
        <v/>
      </c>
      <c r="E2718" s="58">
        <f>IF($H2718="","",IFERROR(MID($H2718&amp;" ",FIND("|",SUBSTITUTE($H2718&amp;" "," ","|",3))+1,FIND("|",SUBSTITUTE($H2718&amp;" "," ","|",4))-FIND("|",SUBSTITUTE($H2718&amp;" "," ","|",3))-1),""))</f>
        <v/>
      </c>
      <c r="F2718" s="59">
        <f>IF($H2718="","",IFERROR(VALUE(IFERROR(MID($H2718&amp;" ",FIND("|",SUBSTITUTE($H2718&amp;" "," ","|",4))+1,FIND("|",SUBSTITUTE($H2718&amp;" "," ","|",5))-FIND("|",SUBSTITUTE($H2718&amp;" "," ","|",4))-1),""))/86400+25569+9/24,""))</f>
        <v/>
      </c>
      <c r="G2718" s="58">
        <f>TRIM(SUBSTITUTE(SUBSTITUTE(SUBSTITUTE($A2718,CHAR(9)," ")," "," "),CHAR(13),""))</f>
        <v/>
      </c>
      <c r="H2718" s="58">
        <f>IF($G2718="","",IF(ISNUMBER(FIND(" ",$G2718)),$G2718,IFERROR(IF((LEN(SUBSTITUTE(SUBSTITUTE($G2718,"-"," ",LEN($G2718)-LEN(SUBSTITUTE($G2718,"-",""))),"-"," ",LEN($G2718)-LEN(SUBSTITUTE($G2718,"-",""))-1))-LEN(SUBSTITUTE(SUBSTITUTE(SUBSTITUTE($G2718,"-"," ",LEN($G2718)-LEN(SUBSTITUTE($G2718,"-",""))),"-"," ",LEN($G2718)-LEN(SUBSTITUTE($G2718,"-",""))-1),".","")))=0,SUBSTITUTE(SUBSTITUTE($G2718,"-"," ",LEN($G2718)-LEN(SUBSTITUTE($G2718,"-",""))),"-"," ",LEN($G2718)-LEN(SUBSTITUTE($G2718,"-",""))-1),SUBSTITUTE(SUBSTITUTE(SUBSTITUTE($G2718,"-"," ",LEN($G2718)-LEN(SUBSTITUTE($G2718,"-",""))),"-"," ",LEN($G2718)-LEN(SUBSTITUTE($G2718,"-",""))-1),"."," ",(LEN(SUBSTITUTE(SUBSTITUTE($G2718,"-"," ",LEN($G2718)-LEN(SUBSTITUTE($G2718,"-",""))),"-"," ",LEN($G2718)-LEN(SUBSTITUTE($G2718,"-",""))-1))-LEN(SUBSTITUTE(SUBSTITUTE(SUBSTITUTE($G2718,"-"," ",LEN($G2718)-LEN(SUBSTITUTE($G2718,"-",""))),"-"," ",LEN($G2718)-LEN(SUBSTITUTE($G2718,"-",""))-1),".",""))))),$G2718)))</f>
        <v/>
      </c>
    </row>
    <row r="2719">
      <c r="A2719" s="58" t="n"/>
      <c r="B2719" s="58">
        <f>IF($H2719="","",LEFT($H2719,FIND(" ",$H2719&amp;" ")-1))</f>
        <v/>
      </c>
      <c r="C2719" s="58">
        <f>IF($H2719="","",IFERROR(MID($H2719&amp;" ",FIND("|",SUBSTITUTE($H2719&amp;" "," ","|",1))+1,FIND("|",SUBSTITUTE($H2719&amp;" "," ","|",2))-FIND("|",SUBSTITUTE($H2719&amp;" "," ","|",1))-1),""))</f>
        <v/>
      </c>
      <c r="D2719" s="58">
        <f>IF($H2719="","",IFERROR(MID($H2719&amp;" ",FIND("|",SUBSTITUTE($H2719&amp;" "," ","|",2))+1,FIND("|",SUBSTITUTE($H2719&amp;" "," ","|",3))-FIND("|",SUBSTITUTE($H2719&amp;" "," ","|",2))-1),""))</f>
        <v/>
      </c>
      <c r="E2719" s="58">
        <f>IF($H2719="","",IFERROR(MID($H2719&amp;" ",FIND("|",SUBSTITUTE($H2719&amp;" "," ","|",3))+1,FIND("|",SUBSTITUTE($H2719&amp;" "," ","|",4))-FIND("|",SUBSTITUTE($H2719&amp;" "," ","|",3))-1),""))</f>
        <v/>
      </c>
      <c r="F2719" s="59">
        <f>IF($H2719="","",IFERROR(VALUE(IFERROR(MID($H2719&amp;" ",FIND("|",SUBSTITUTE($H2719&amp;" "," ","|",4))+1,FIND("|",SUBSTITUTE($H2719&amp;" "," ","|",5))-FIND("|",SUBSTITUTE($H2719&amp;" "," ","|",4))-1),""))/86400+25569+9/24,""))</f>
        <v/>
      </c>
      <c r="G2719" s="58">
        <f>TRIM(SUBSTITUTE(SUBSTITUTE(SUBSTITUTE($A2719,CHAR(9)," ")," "," "),CHAR(13),""))</f>
        <v/>
      </c>
      <c r="H2719" s="58">
        <f>IF($G2719="","",IF(ISNUMBER(FIND(" ",$G2719)),$G2719,IFERROR(IF((LEN(SUBSTITUTE(SUBSTITUTE($G2719,"-"," ",LEN($G2719)-LEN(SUBSTITUTE($G2719,"-",""))),"-"," ",LEN($G2719)-LEN(SUBSTITUTE($G2719,"-",""))-1))-LEN(SUBSTITUTE(SUBSTITUTE(SUBSTITUTE($G2719,"-"," ",LEN($G2719)-LEN(SUBSTITUTE($G2719,"-",""))),"-"," ",LEN($G2719)-LEN(SUBSTITUTE($G2719,"-",""))-1),".","")))=0,SUBSTITUTE(SUBSTITUTE($G2719,"-"," ",LEN($G2719)-LEN(SUBSTITUTE($G2719,"-",""))),"-"," ",LEN($G2719)-LEN(SUBSTITUTE($G2719,"-",""))-1),SUBSTITUTE(SUBSTITUTE(SUBSTITUTE($G2719,"-"," ",LEN($G2719)-LEN(SUBSTITUTE($G2719,"-",""))),"-"," ",LEN($G2719)-LEN(SUBSTITUTE($G2719,"-",""))-1),"."," ",(LEN(SUBSTITUTE(SUBSTITUTE($G2719,"-"," ",LEN($G2719)-LEN(SUBSTITUTE($G2719,"-",""))),"-"," ",LEN($G2719)-LEN(SUBSTITUTE($G2719,"-",""))-1))-LEN(SUBSTITUTE(SUBSTITUTE(SUBSTITUTE($G2719,"-"," ",LEN($G2719)-LEN(SUBSTITUTE($G2719,"-",""))),"-"," ",LEN($G2719)-LEN(SUBSTITUTE($G2719,"-",""))-1),".",""))))),$G2719)))</f>
        <v/>
      </c>
    </row>
    <row r="2720">
      <c r="A2720" s="58" t="n"/>
      <c r="B2720" s="58">
        <f>IF($H2720="","",LEFT($H2720,FIND(" ",$H2720&amp;" ")-1))</f>
        <v/>
      </c>
      <c r="C2720" s="58">
        <f>IF($H2720="","",IFERROR(MID($H2720&amp;" ",FIND("|",SUBSTITUTE($H2720&amp;" "," ","|",1))+1,FIND("|",SUBSTITUTE($H2720&amp;" "," ","|",2))-FIND("|",SUBSTITUTE($H2720&amp;" "," ","|",1))-1),""))</f>
        <v/>
      </c>
      <c r="D2720" s="58">
        <f>IF($H2720="","",IFERROR(MID($H2720&amp;" ",FIND("|",SUBSTITUTE($H2720&amp;" "," ","|",2))+1,FIND("|",SUBSTITUTE($H2720&amp;" "," ","|",3))-FIND("|",SUBSTITUTE($H2720&amp;" "," ","|",2))-1),""))</f>
        <v/>
      </c>
      <c r="E2720" s="58">
        <f>IF($H2720="","",IFERROR(MID($H2720&amp;" ",FIND("|",SUBSTITUTE($H2720&amp;" "," ","|",3))+1,FIND("|",SUBSTITUTE($H2720&amp;" "," ","|",4))-FIND("|",SUBSTITUTE($H2720&amp;" "," ","|",3))-1),""))</f>
        <v/>
      </c>
      <c r="F2720" s="59">
        <f>IF($H2720="","",IFERROR(VALUE(IFERROR(MID($H2720&amp;" ",FIND("|",SUBSTITUTE($H2720&amp;" "," ","|",4))+1,FIND("|",SUBSTITUTE($H2720&amp;" "," ","|",5))-FIND("|",SUBSTITUTE($H2720&amp;" "," ","|",4))-1),""))/86400+25569+9/24,""))</f>
        <v/>
      </c>
      <c r="G2720" s="58">
        <f>TRIM(SUBSTITUTE(SUBSTITUTE(SUBSTITUTE($A2720,CHAR(9)," ")," "," "),CHAR(13),""))</f>
        <v/>
      </c>
      <c r="H2720" s="58">
        <f>IF($G2720="","",IF(ISNUMBER(FIND(" ",$G2720)),$G2720,IFERROR(IF((LEN(SUBSTITUTE(SUBSTITUTE($G2720,"-"," ",LEN($G2720)-LEN(SUBSTITUTE($G2720,"-",""))),"-"," ",LEN($G2720)-LEN(SUBSTITUTE($G2720,"-",""))-1))-LEN(SUBSTITUTE(SUBSTITUTE(SUBSTITUTE($G2720,"-"," ",LEN($G2720)-LEN(SUBSTITUTE($G2720,"-",""))),"-"," ",LEN($G2720)-LEN(SUBSTITUTE($G2720,"-",""))-1),".","")))=0,SUBSTITUTE(SUBSTITUTE($G2720,"-"," ",LEN($G2720)-LEN(SUBSTITUTE($G2720,"-",""))),"-"," ",LEN($G2720)-LEN(SUBSTITUTE($G2720,"-",""))-1),SUBSTITUTE(SUBSTITUTE(SUBSTITUTE($G2720,"-"," ",LEN($G2720)-LEN(SUBSTITUTE($G2720,"-",""))),"-"," ",LEN($G2720)-LEN(SUBSTITUTE($G2720,"-",""))-1),"."," ",(LEN(SUBSTITUTE(SUBSTITUTE($G2720,"-"," ",LEN($G2720)-LEN(SUBSTITUTE($G2720,"-",""))),"-"," ",LEN($G2720)-LEN(SUBSTITUTE($G2720,"-",""))-1))-LEN(SUBSTITUTE(SUBSTITUTE(SUBSTITUTE($G2720,"-"," ",LEN($G2720)-LEN(SUBSTITUTE($G2720,"-",""))),"-"," ",LEN($G2720)-LEN(SUBSTITUTE($G2720,"-",""))-1),".",""))))),$G2720)))</f>
        <v/>
      </c>
    </row>
    <row r="2721">
      <c r="A2721" s="58" t="n"/>
      <c r="B2721" s="58">
        <f>IF($H2721="","",LEFT($H2721,FIND(" ",$H2721&amp;" ")-1))</f>
        <v/>
      </c>
      <c r="C2721" s="58">
        <f>IF($H2721="","",IFERROR(MID($H2721&amp;" ",FIND("|",SUBSTITUTE($H2721&amp;" "," ","|",1))+1,FIND("|",SUBSTITUTE($H2721&amp;" "," ","|",2))-FIND("|",SUBSTITUTE($H2721&amp;" "," ","|",1))-1),""))</f>
        <v/>
      </c>
      <c r="D2721" s="58">
        <f>IF($H2721="","",IFERROR(MID($H2721&amp;" ",FIND("|",SUBSTITUTE($H2721&amp;" "," ","|",2))+1,FIND("|",SUBSTITUTE($H2721&amp;" "," ","|",3))-FIND("|",SUBSTITUTE($H2721&amp;" "," ","|",2))-1),""))</f>
        <v/>
      </c>
      <c r="E2721" s="58">
        <f>IF($H2721="","",IFERROR(MID($H2721&amp;" ",FIND("|",SUBSTITUTE($H2721&amp;" "," ","|",3))+1,FIND("|",SUBSTITUTE($H2721&amp;" "," ","|",4))-FIND("|",SUBSTITUTE($H2721&amp;" "," ","|",3))-1),""))</f>
        <v/>
      </c>
      <c r="F2721" s="59">
        <f>IF($H2721="","",IFERROR(VALUE(IFERROR(MID($H2721&amp;" ",FIND("|",SUBSTITUTE($H2721&amp;" "," ","|",4))+1,FIND("|",SUBSTITUTE($H2721&amp;" "," ","|",5))-FIND("|",SUBSTITUTE($H2721&amp;" "," ","|",4))-1),""))/86400+25569+9/24,""))</f>
        <v/>
      </c>
      <c r="G2721" s="58">
        <f>TRIM(SUBSTITUTE(SUBSTITUTE(SUBSTITUTE($A2721,CHAR(9)," ")," "," "),CHAR(13),""))</f>
        <v/>
      </c>
      <c r="H2721" s="58">
        <f>IF($G2721="","",IF(ISNUMBER(FIND(" ",$G2721)),$G2721,IFERROR(IF((LEN(SUBSTITUTE(SUBSTITUTE($G2721,"-"," ",LEN($G2721)-LEN(SUBSTITUTE($G2721,"-",""))),"-"," ",LEN($G2721)-LEN(SUBSTITUTE($G2721,"-",""))-1))-LEN(SUBSTITUTE(SUBSTITUTE(SUBSTITUTE($G2721,"-"," ",LEN($G2721)-LEN(SUBSTITUTE($G2721,"-",""))),"-"," ",LEN($G2721)-LEN(SUBSTITUTE($G2721,"-",""))-1),".","")))=0,SUBSTITUTE(SUBSTITUTE($G2721,"-"," ",LEN($G2721)-LEN(SUBSTITUTE($G2721,"-",""))),"-"," ",LEN($G2721)-LEN(SUBSTITUTE($G2721,"-",""))-1),SUBSTITUTE(SUBSTITUTE(SUBSTITUTE($G2721,"-"," ",LEN($G2721)-LEN(SUBSTITUTE($G2721,"-",""))),"-"," ",LEN($G2721)-LEN(SUBSTITUTE($G2721,"-",""))-1),"."," ",(LEN(SUBSTITUTE(SUBSTITUTE($G2721,"-"," ",LEN($G2721)-LEN(SUBSTITUTE($G2721,"-",""))),"-"," ",LEN($G2721)-LEN(SUBSTITUTE($G2721,"-",""))-1))-LEN(SUBSTITUTE(SUBSTITUTE(SUBSTITUTE($G2721,"-"," ",LEN($G2721)-LEN(SUBSTITUTE($G2721,"-",""))),"-"," ",LEN($G2721)-LEN(SUBSTITUTE($G2721,"-",""))-1),".",""))))),$G2721)))</f>
        <v/>
      </c>
    </row>
    <row r="2722">
      <c r="A2722" s="58" t="n"/>
      <c r="B2722" s="58">
        <f>IF($H2722="","",LEFT($H2722,FIND(" ",$H2722&amp;" ")-1))</f>
        <v/>
      </c>
      <c r="C2722" s="58">
        <f>IF($H2722="","",IFERROR(MID($H2722&amp;" ",FIND("|",SUBSTITUTE($H2722&amp;" "," ","|",1))+1,FIND("|",SUBSTITUTE($H2722&amp;" "," ","|",2))-FIND("|",SUBSTITUTE($H2722&amp;" "," ","|",1))-1),""))</f>
        <v/>
      </c>
      <c r="D2722" s="58">
        <f>IF($H2722="","",IFERROR(MID($H2722&amp;" ",FIND("|",SUBSTITUTE($H2722&amp;" "," ","|",2))+1,FIND("|",SUBSTITUTE($H2722&amp;" "," ","|",3))-FIND("|",SUBSTITUTE($H2722&amp;" "," ","|",2))-1),""))</f>
        <v/>
      </c>
      <c r="E2722" s="58">
        <f>IF($H2722="","",IFERROR(MID($H2722&amp;" ",FIND("|",SUBSTITUTE($H2722&amp;" "," ","|",3))+1,FIND("|",SUBSTITUTE($H2722&amp;" "," ","|",4))-FIND("|",SUBSTITUTE($H2722&amp;" "," ","|",3))-1),""))</f>
        <v/>
      </c>
      <c r="F2722" s="59">
        <f>IF($H2722="","",IFERROR(VALUE(IFERROR(MID($H2722&amp;" ",FIND("|",SUBSTITUTE($H2722&amp;" "," ","|",4))+1,FIND("|",SUBSTITUTE($H2722&amp;" "," ","|",5))-FIND("|",SUBSTITUTE($H2722&amp;" "," ","|",4))-1),""))/86400+25569+9/24,""))</f>
        <v/>
      </c>
      <c r="G2722" s="58">
        <f>TRIM(SUBSTITUTE(SUBSTITUTE(SUBSTITUTE($A2722,CHAR(9)," ")," "," "),CHAR(13),""))</f>
        <v/>
      </c>
      <c r="H2722" s="58">
        <f>IF($G2722="","",IF(ISNUMBER(FIND(" ",$G2722)),$G2722,IFERROR(IF((LEN(SUBSTITUTE(SUBSTITUTE($G2722,"-"," ",LEN($G2722)-LEN(SUBSTITUTE($G2722,"-",""))),"-"," ",LEN($G2722)-LEN(SUBSTITUTE($G2722,"-",""))-1))-LEN(SUBSTITUTE(SUBSTITUTE(SUBSTITUTE($G2722,"-"," ",LEN($G2722)-LEN(SUBSTITUTE($G2722,"-",""))),"-"," ",LEN($G2722)-LEN(SUBSTITUTE($G2722,"-",""))-1),".","")))=0,SUBSTITUTE(SUBSTITUTE($G2722,"-"," ",LEN($G2722)-LEN(SUBSTITUTE($G2722,"-",""))),"-"," ",LEN($G2722)-LEN(SUBSTITUTE($G2722,"-",""))-1),SUBSTITUTE(SUBSTITUTE(SUBSTITUTE($G2722,"-"," ",LEN($G2722)-LEN(SUBSTITUTE($G2722,"-",""))),"-"," ",LEN($G2722)-LEN(SUBSTITUTE($G2722,"-",""))-1),"."," ",(LEN(SUBSTITUTE(SUBSTITUTE($G2722,"-"," ",LEN($G2722)-LEN(SUBSTITUTE($G2722,"-",""))),"-"," ",LEN($G2722)-LEN(SUBSTITUTE($G2722,"-",""))-1))-LEN(SUBSTITUTE(SUBSTITUTE(SUBSTITUTE($G2722,"-"," ",LEN($G2722)-LEN(SUBSTITUTE($G2722,"-",""))),"-"," ",LEN($G2722)-LEN(SUBSTITUTE($G2722,"-",""))-1),".",""))))),$G2722)))</f>
        <v/>
      </c>
    </row>
    <row r="2723">
      <c r="A2723" s="58" t="n"/>
      <c r="B2723" s="58">
        <f>IF($H2723="","",LEFT($H2723,FIND(" ",$H2723&amp;" ")-1))</f>
        <v/>
      </c>
      <c r="C2723" s="58">
        <f>IF($H2723="","",IFERROR(MID($H2723&amp;" ",FIND("|",SUBSTITUTE($H2723&amp;" "," ","|",1))+1,FIND("|",SUBSTITUTE($H2723&amp;" "," ","|",2))-FIND("|",SUBSTITUTE($H2723&amp;" "," ","|",1))-1),""))</f>
        <v/>
      </c>
      <c r="D2723" s="58">
        <f>IF($H2723="","",IFERROR(MID($H2723&amp;" ",FIND("|",SUBSTITUTE($H2723&amp;" "," ","|",2))+1,FIND("|",SUBSTITUTE($H2723&amp;" "," ","|",3))-FIND("|",SUBSTITUTE($H2723&amp;" "," ","|",2))-1),""))</f>
        <v/>
      </c>
      <c r="E2723" s="58">
        <f>IF($H2723="","",IFERROR(MID($H2723&amp;" ",FIND("|",SUBSTITUTE($H2723&amp;" "," ","|",3))+1,FIND("|",SUBSTITUTE($H2723&amp;" "," ","|",4))-FIND("|",SUBSTITUTE($H2723&amp;" "," ","|",3))-1),""))</f>
        <v/>
      </c>
      <c r="F2723" s="59">
        <f>IF($H2723="","",IFERROR(VALUE(IFERROR(MID($H2723&amp;" ",FIND("|",SUBSTITUTE($H2723&amp;" "," ","|",4))+1,FIND("|",SUBSTITUTE($H2723&amp;" "," ","|",5))-FIND("|",SUBSTITUTE($H2723&amp;" "," ","|",4))-1),""))/86400+25569+9/24,""))</f>
        <v/>
      </c>
      <c r="G2723" s="58">
        <f>TRIM(SUBSTITUTE(SUBSTITUTE(SUBSTITUTE($A2723,CHAR(9)," ")," "," "),CHAR(13),""))</f>
        <v/>
      </c>
      <c r="H2723" s="58">
        <f>IF($G2723="","",IF(ISNUMBER(FIND(" ",$G2723)),$G2723,IFERROR(IF((LEN(SUBSTITUTE(SUBSTITUTE($G2723,"-"," ",LEN($G2723)-LEN(SUBSTITUTE($G2723,"-",""))),"-"," ",LEN($G2723)-LEN(SUBSTITUTE($G2723,"-",""))-1))-LEN(SUBSTITUTE(SUBSTITUTE(SUBSTITUTE($G2723,"-"," ",LEN($G2723)-LEN(SUBSTITUTE($G2723,"-",""))),"-"," ",LEN($G2723)-LEN(SUBSTITUTE($G2723,"-",""))-1),".","")))=0,SUBSTITUTE(SUBSTITUTE($G2723,"-"," ",LEN($G2723)-LEN(SUBSTITUTE($G2723,"-",""))),"-"," ",LEN($G2723)-LEN(SUBSTITUTE($G2723,"-",""))-1),SUBSTITUTE(SUBSTITUTE(SUBSTITUTE($G2723,"-"," ",LEN($G2723)-LEN(SUBSTITUTE($G2723,"-",""))),"-"," ",LEN($G2723)-LEN(SUBSTITUTE($G2723,"-",""))-1),"."," ",(LEN(SUBSTITUTE(SUBSTITUTE($G2723,"-"," ",LEN($G2723)-LEN(SUBSTITUTE($G2723,"-",""))),"-"," ",LEN($G2723)-LEN(SUBSTITUTE($G2723,"-",""))-1))-LEN(SUBSTITUTE(SUBSTITUTE(SUBSTITUTE($G2723,"-"," ",LEN($G2723)-LEN(SUBSTITUTE($G2723,"-",""))),"-"," ",LEN($G2723)-LEN(SUBSTITUTE($G2723,"-",""))-1),".",""))))),$G2723)))</f>
        <v/>
      </c>
    </row>
    <row r="2724">
      <c r="A2724" s="58" t="n"/>
      <c r="B2724" s="58">
        <f>IF($H2724="","",LEFT($H2724,FIND(" ",$H2724&amp;" ")-1))</f>
        <v/>
      </c>
      <c r="C2724" s="58">
        <f>IF($H2724="","",IFERROR(MID($H2724&amp;" ",FIND("|",SUBSTITUTE($H2724&amp;" "," ","|",1))+1,FIND("|",SUBSTITUTE($H2724&amp;" "," ","|",2))-FIND("|",SUBSTITUTE($H2724&amp;" "," ","|",1))-1),""))</f>
        <v/>
      </c>
      <c r="D2724" s="58">
        <f>IF($H2724="","",IFERROR(MID($H2724&amp;" ",FIND("|",SUBSTITUTE($H2724&amp;" "," ","|",2))+1,FIND("|",SUBSTITUTE($H2724&amp;" "," ","|",3))-FIND("|",SUBSTITUTE($H2724&amp;" "," ","|",2))-1),""))</f>
        <v/>
      </c>
      <c r="E2724" s="58">
        <f>IF($H2724="","",IFERROR(MID($H2724&amp;" ",FIND("|",SUBSTITUTE($H2724&amp;" "," ","|",3))+1,FIND("|",SUBSTITUTE($H2724&amp;" "," ","|",4))-FIND("|",SUBSTITUTE($H2724&amp;" "," ","|",3))-1),""))</f>
        <v/>
      </c>
      <c r="F2724" s="59">
        <f>IF($H2724="","",IFERROR(VALUE(IFERROR(MID($H2724&amp;" ",FIND("|",SUBSTITUTE($H2724&amp;" "," ","|",4))+1,FIND("|",SUBSTITUTE($H2724&amp;" "," ","|",5))-FIND("|",SUBSTITUTE($H2724&amp;" "," ","|",4))-1),""))/86400+25569+9/24,""))</f>
        <v/>
      </c>
      <c r="G2724" s="58">
        <f>TRIM(SUBSTITUTE(SUBSTITUTE(SUBSTITUTE($A2724,CHAR(9)," ")," "," "),CHAR(13),""))</f>
        <v/>
      </c>
      <c r="H2724" s="58">
        <f>IF($G2724="","",IF(ISNUMBER(FIND(" ",$G2724)),$G2724,IFERROR(IF((LEN(SUBSTITUTE(SUBSTITUTE($G2724,"-"," ",LEN($G2724)-LEN(SUBSTITUTE($G2724,"-",""))),"-"," ",LEN($G2724)-LEN(SUBSTITUTE($G2724,"-",""))-1))-LEN(SUBSTITUTE(SUBSTITUTE(SUBSTITUTE($G2724,"-"," ",LEN($G2724)-LEN(SUBSTITUTE($G2724,"-",""))),"-"," ",LEN($G2724)-LEN(SUBSTITUTE($G2724,"-",""))-1),".","")))=0,SUBSTITUTE(SUBSTITUTE($G2724,"-"," ",LEN($G2724)-LEN(SUBSTITUTE($G2724,"-",""))),"-"," ",LEN($G2724)-LEN(SUBSTITUTE($G2724,"-",""))-1),SUBSTITUTE(SUBSTITUTE(SUBSTITUTE($G2724,"-"," ",LEN($G2724)-LEN(SUBSTITUTE($G2724,"-",""))),"-"," ",LEN($G2724)-LEN(SUBSTITUTE($G2724,"-",""))-1),"."," ",(LEN(SUBSTITUTE(SUBSTITUTE($G2724,"-"," ",LEN($G2724)-LEN(SUBSTITUTE($G2724,"-",""))),"-"," ",LEN($G2724)-LEN(SUBSTITUTE($G2724,"-",""))-1))-LEN(SUBSTITUTE(SUBSTITUTE(SUBSTITUTE($G2724,"-"," ",LEN($G2724)-LEN(SUBSTITUTE($G2724,"-",""))),"-"," ",LEN($G2724)-LEN(SUBSTITUTE($G2724,"-",""))-1),".",""))))),$G2724)))</f>
        <v/>
      </c>
    </row>
    <row r="2725">
      <c r="A2725" s="58" t="n"/>
      <c r="B2725" s="58">
        <f>IF($H2725="","",LEFT($H2725,FIND(" ",$H2725&amp;" ")-1))</f>
        <v/>
      </c>
      <c r="C2725" s="58">
        <f>IF($H2725="","",IFERROR(MID($H2725&amp;" ",FIND("|",SUBSTITUTE($H2725&amp;" "," ","|",1))+1,FIND("|",SUBSTITUTE($H2725&amp;" "," ","|",2))-FIND("|",SUBSTITUTE($H2725&amp;" "," ","|",1))-1),""))</f>
        <v/>
      </c>
      <c r="D2725" s="58">
        <f>IF($H2725="","",IFERROR(MID($H2725&amp;" ",FIND("|",SUBSTITUTE($H2725&amp;" "," ","|",2))+1,FIND("|",SUBSTITUTE($H2725&amp;" "," ","|",3))-FIND("|",SUBSTITUTE($H2725&amp;" "," ","|",2))-1),""))</f>
        <v/>
      </c>
      <c r="E2725" s="58">
        <f>IF($H2725="","",IFERROR(MID($H2725&amp;" ",FIND("|",SUBSTITUTE($H2725&amp;" "," ","|",3))+1,FIND("|",SUBSTITUTE($H2725&amp;" "," ","|",4))-FIND("|",SUBSTITUTE($H2725&amp;" "," ","|",3))-1),""))</f>
        <v/>
      </c>
      <c r="F2725" s="59">
        <f>IF($H2725="","",IFERROR(VALUE(IFERROR(MID($H2725&amp;" ",FIND("|",SUBSTITUTE($H2725&amp;" "," ","|",4))+1,FIND("|",SUBSTITUTE($H2725&amp;" "," ","|",5))-FIND("|",SUBSTITUTE($H2725&amp;" "," ","|",4))-1),""))/86400+25569+9/24,""))</f>
        <v/>
      </c>
      <c r="G2725" s="58">
        <f>TRIM(SUBSTITUTE(SUBSTITUTE(SUBSTITUTE($A2725,CHAR(9)," ")," "," "),CHAR(13),""))</f>
        <v/>
      </c>
      <c r="H2725" s="58">
        <f>IF($G2725="","",IF(ISNUMBER(FIND(" ",$G2725)),$G2725,IFERROR(IF((LEN(SUBSTITUTE(SUBSTITUTE($G2725,"-"," ",LEN($G2725)-LEN(SUBSTITUTE($G2725,"-",""))),"-"," ",LEN($G2725)-LEN(SUBSTITUTE($G2725,"-",""))-1))-LEN(SUBSTITUTE(SUBSTITUTE(SUBSTITUTE($G2725,"-"," ",LEN($G2725)-LEN(SUBSTITUTE($G2725,"-",""))),"-"," ",LEN($G2725)-LEN(SUBSTITUTE($G2725,"-",""))-1),".","")))=0,SUBSTITUTE(SUBSTITUTE($G2725,"-"," ",LEN($G2725)-LEN(SUBSTITUTE($G2725,"-",""))),"-"," ",LEN($G2725)-LEN(SUBSTITUTE($G2725,"-",""))-1),SUBSTITUTE(SUBSTITUTE(SUBSTITUTE($G2725,"-"," ",LEN($G2725)-LEN(SUBSTITUTE($G2725,"-",""))),"-"," ",LEN($G2725)-LEN(SUBSTITUTE($G2725,"-",""))-1),"."," ",(LEN(SUBSTITUTE(SUBSTITUTE($G2725,"-"," ",LEN($G2725)-LEN(SUBSTITUTE($G2725,"-",""))),"-"," ",LEN($G2725)-LEN(SUBSTITUTE($G2725,"-",""))-1))-LEN(SUBSTITUTE(SUBSTITUTE(SUBSTITUTE($G2725,"-"," ",LEN($G2725)-LEN(SUBSTITUTE($G2725,"-",""))),"-"," ",LEN($G2725)-LEN(SUBSTITUTE($G2725,"-",""))-1),".",""))))),$G2725)))</f>
        <v/>
      </c>
    </row>
    <row r="2726">
      <c r="A2726" s="58" t="n"/>
      <c r="B2726" s="58">
        <f>IF($H2726="","",LEFT($H2726,FIND(" ",$H2726&amp;" ")-1))</f>
        <v/>
      </c>
      <c r="C2726" s="58">
        <f>IF($H2726="","",IFERROR(MID($H2726&amp;" ",FIND("|",SUBSTITUTE($H2726&amp;" "," ","|",1))+1,FIND("|",SUBSTITUTE($H2726&amp;" "," ","|",2))-FIND("|",SUBSTITUTE($H2726&amp;" "," ","|",1))-1),""))</f>
        <v/>
      </c>
      <c r="D2726" s="58">
        <f>IF($H2726="","",IFERROR(MID($H2726&amp;" ",FIND("|",SUBSTITUTE($H2726&amp;" "," ","|",2))+1,FIND("|",SUBSTITUTE($H2726&amp;" "," ","|",3))-FIND("|",SUBSTITUTE($H2726&amp;" "," ","|",2))-1),""))</f>
        <v/>
      </c>
      <c r="E2726" s="58">
        <f>IF($H2726="","",IFERROR(MID($H2726&amp;" ",FIND("|",SUBSTITUTE($H2726&amp;" "," ","|",3))+1,FIND("|",SUBSTITUTE($H2726&amp;" "," ","|",4))-FIND("|",SUBSTITUTE($H2726&amp;" "," ","|",3))-1),""))</f>
        <v/>
      </c>
      <c r="F2726" s="59">
        <f>IF($H2726="","",IFERROR(VALUE(IFERROR(MID($H2726&amp;" ",FIND("|",SUBSTITUTE($H2726&amp;" "," ","|",4))+1,FIND("|",SUBSTITUTE($H2726&amp;" "," ","|",5))-FIND("|",SUBSTITUTE($H2726&amp;" "," ","|",4))-1),""))/86400+25569+9/24,""))</f>
        <v/>
      </c>
      <c r="G2726" s="58">
        <f>TRIM(SUBSTITUTE(SUBSTITUTE(SUBSTITUTE($A2726,CHAR(9)," ")," "," "),CHAR(13),""))</f>
        <v/>
      </c>
      <c r="H2726" s="58">
        <f>IF($G2726="","",IF(ISNUMBER(FIND(" ",$G2726)),$G2726,IFERROR(IF((LEN(SUBSTITUTE(SUBSTITUTE($G2726,"-"," ",LEN($G2726)-LEN(SUBSTITUTE($G2726,"-",""))),"-"," ",LEN($G2726)-LEN(SUBSTITUTE($G2726,"-",""))-1))-LEN(SUBSTITUTE(SUBSTITUTE(SUBSTITUTE($G2726,"-"," ",LEN($G2726)-LEN(SUBSTITUTE($G2726,"-",""))),"-"," ",LEN($G2726)-LEN(SUBSTITUTE($G2726,"-",""))-1),".","")))=0,SUBSTITUTE(SUBSTITUTE($G2726,"-"," ",LEN($G2726)-LEN(SUBSTITUTE($G2726,"-",""))),"-"," ",LEN($G2726)-LEN(SUBSTITUTE($G2726,"-",""))-1),SUBSTITUTE(SUBSTITUTE(SUBSTITUTE($G2726,"-"," ",LEN($G2726)-LEN(SUBSTITUTE($G2726,"-",""))),"-"," ",LEN($G2726)-LEN(SUBSTITUTE($G2726,"-",""))-1),"."," ",(LEN(SUBSTITUTE(SUBSTITUTE($G2726,"-"," ",LEN($G2726)-LEN(SUBSTITUTE($G2726,"-",""))),"-"," ",LEN($G2726)-LEN(SUBSTITUTE($G2726,"-",""))-1))-LEN(SUBSTITUTE(SUBSTITUTE(SUBSTITUTE($G2726,"-"," ",LEN($G2726)-LEN(SUBSTITUTE($G2726,"-",""))),"-"," ",LEN($G2726)-LEN(SUBSTITUTE($G2726,"-",""))-1),".",""))))),$G2726)))</f>
        <v/>
      </c>
    </row>
    <row r="2727">
      <c r="A2727" s="58" t="n"/>
      <c r="B2727" s="58">
        <f>IF($H2727="","",LEFT($H2727,FIND(" ",$H2727&amp;" ")-1))</f>
        <v/>
      </c>
      <c r="C2727" s="58">
        <f>IF($H2727="","",IFERROR(MID($H2727&amp;" ",FIND("|",SUBSTITUTE($H2727&amp;" "," ","|",1))+1,FIND("|",SUBSTITUTE($H2727&amp;" "," ","|",2))-FIND("|",SUBSTITUTE($H2727&amp;" "," ","|",1))-1),""))</f>
        <v/>
      </c>
      <c r="D2727" s="58">
        <f>IF($H2727="","",IFERROR(MID($H2727&amp;" ",FIND("|",SUBSTITUTE($H2727&amp;" "," ","|",2))+1,FIND("|",SUBSTITUTE($H2727&amp;" "," ","|",3))-FIND("|",SUBSTITUTE($H2727&amp;" "," ","|",2))-1),""))</f>
        <v/>
      </c>
      <c r="E2727" s="58">
        <f>IF($H2727="","",IFERROR(MID($H2727&amp;" ",FIND("|",SUBSTITUTE($H2727&amp;" "," ","|",3))+1,FIND("|",SUBSTITUTE($H2727&amp;" "," ","|",4))-FIND("|",SUBSTITUTE($H2727&amp;" "," ","|",3))-1),""))</f>
        <v/>
      </c>
      <c r="F2727" s="59">
        <f>IF($H2727="","",IFERROR(VALUE(IFERROR(MID($H2727&amp;" ",FIND("|",SUBSTITUTE($H2727&amp;" "," ","|",4))+1,FIND("|",SUBSTITUTE($H2727&amp;" "," ","|",5))-FIND("|",SUBSTITUTE($H2727&amp;" "," ","|",4))-1),""))/86400+25569+9/24,""))</f>
        <v/>
      </c>
      <c r="G2727" s="58">
        <f>TRIM(SUBSTITUTE(SUBSTITUTE(SUBSTITUTE($A2727,CHAR(9)," ")," "," "),CHAR(13),""))</f>
        <v/>
      </c>
      <c r="H2727" s="58">
        <f>IF($G2727="","",IF(ISNUMBER(FIND(" ",$G2727)),$G2727,IFERROR(IF((LEN(SUBSTITUTE(SUBSTITUTE($G2727,"-"," ",LEN($G2727)-LEN(SUBSTITUTE($G2727,"-",""))),"-"," ",LEN($G2727)-LEN(SUBSTITUTE($G2727,"-",""))-1))-LEN(SUBSTITUTE(SUBSTITUTE(SUBSTITUTE($G2727,"-"," ",LEN($G2727)-LEN(SUBSTITUTE($G2727,"-",""))),"-"," ",LEN($G2727)-LEN(SUBSTITUTE($G2727,"-",""))-1),".","")))=0,SUBSTITUTE(SUBSTITUTE($G2727,"-"," ",LEN($G2727)-LEN(SUBSTITUTE($G2727,"-",""))),"-"," ",LEN($G2727)-LEN(SUBSTITUTE($G2727,"-",""))-1),SUBSTITUTE(SUBSTITUTE(SUBSTITUTE($G2727,"-"," ",LEN($G2727)-LEN(SUBSTITUTE($G2727,"-",""))),"-"," ",LEN($G2727)-LEN(SUBSTITUTE($G2727,"-",""))-1),"."," ",(LEN(SUBSTITUTE(SUBSTITUTE($G2727,"-"," ",LEN($G2727)-LEN(SUBSTITUTE($G2727,"-",""))),"-"," ",LEN($G2727)-LEN(SUBSTITUTE($G2727,"-",""))-1))-LEN(SUBSTITUTE(SUBSTITUTE(SUBSTITUTE($G2727,"-"," ",LEN($G2727)-LEN(SUBSTITUTE($G2727,"-",""))),"-"," ",LEN($G2727)-LEN(SUBSTITUTE($G2727,"-",""))-1),".",""))))),$G2727)))</f>
        <v/>
      </c>
    </row>
    <row r="2728">
      <c r="A2728" s="58" t="n"/>
      <c r="B2728" s="58">
        <f>IF($H2728="","",LEFT($H2728,FIND(" ",$H2728&amp;" ")-1))</f>
        <v/>
      </c>
      <c r="C2728" s="58">
        <f>IF($H2728="","",IFERROR(MID($H2728&amp;" ",FIND("|",SUBSTITUTE($H2728&amp;" "," ","|",1))+1,FIND("|",SUBSTITUTE($H2728&amp;" "," ","|",2))-FIND("|",SUBSTITUTE($H2728&amp;" "," ","|",1))-1),""))</f>
        <v/>
      </c>
      <c r="D2728" s="58">
        <f>IF($H2728="","",IFERROR(MID($H2728&amp;" ",FIND("|",SUBSTITUTE($H2728&amp;" "," ","|",2))+1,FIND("|",SUBSTITUTE($H2728&amp;" "," ","|",3))-FIND("|",SUBSTITUTE($H2728&amp;" "," ","|",2))-1),""))</f>
        <v/>
      </c>
      <c r="E2728" s="58">
        <f>IF($H2728="","",IFERROR(MID($H2728&amp;" ",FIND("|",SUBSTITUTE($H2728&amp;" "," ","|",3))+1,FIND("|",SUBSTITUTE($H2728&amp;" "," ","|",4))-FIND("|",SUBSTITUTE($H2728&amp;" "," ","|",3))-1),""))</f>
        <v/>
      </c>
      <c r="F2728" s="59">
        <f>IF($H2728="","",IFERROR(VALUE(IFERROR(MID($H2728&amp;" ",FIND("|",SUBSTITUTE($H2728&amp;" "," ","|",4))+1,FIND("|",SUBSTITUTE($H2728&amp;" "," ","|",5))-FIND("|",SUBSTITUTE($H2728&amp;" "," ","|",4))-1),""))/86400+25569+9/24,""))</f>
        <v/>
      </c>
      <c r="G2728" s="58">
        <f>TRIM(SUBSTITUTE(SUBSTITUTE(SUBSTITUTE($A2728,CHAR(9)," ")," "," "),CHAR(13),""))</f>
        <v/>
      </c>
      <c r="H2728" s="58">
        <f>IF($G2728="","",IF(ISNUMBER(FIND(" ",$G2728)),$G2728,IFERROR(IF((LEN(SUBSTITUTE(SUBSTITUTE($G2728,"-"," ",LEN($G2728)-LEN(SUBSTITUTE($G2728,"-",""))),"-"," ",LEN($G2728)-LEN(SUBSTITUTE($G2728,"-",""))-1))-LEN(SUBSTITUTE(SUBSTITUTE(SUBSTITUTE($G2728,"-"," ",LEN($G2728)-LEN(SUBSTITUTE($G2728,"-",""))),"-"," ",LEN($G2728)-LEN(SUBSTITUTE($G2728,"-",""))-1),".","")))=0,SUBSTITUTE(SUBSTITUTE($G2728,"-"," ",LEN($G2728)-LEN(SUBSTITUTE($G2728,"-",""))),"-"," ",LEN($G2728)-LEN(SUBSTITUTE($G2728,"-",""))-1),SUBSTITUTE(SUBSTITUTE(SUBSTITUTE($G2728,"-"," ",LEN($G2728)-LEN(SUBSTITUTE($G2728,"-",""))),"-"," ",LEN($G2728)-LEN(SUBSTITUTE($G2728,"-",""))-1),"."," ",(LEN(SUBSTITUTE(SUBSTITUTE($G2728,"-"," ",LEN($G2728)-LEN(SUBSTITUTE($G2728,"-",""))),"-"," ",LEN($G2728)-LEN(SUBSTITUTE($G2728,"-",""))-1))-LEN(SUBSTITUTE(SUBSTITUTE(SUBSTITUTE($G2728,"-"," ",LEN($G2728)-LEN(SUBSTITUTE($G2728,"-",""))),"-"," ",LEN($G2728)-LEN(SUBSTITUTE($G2728,"-",""))-1),".",""))))),$G2728)))</f>
        <v/>
      </c>
    </row>
    <row r="2729">
      <c r="A2729" s="58" t="n"/>
      <c r="B2729" s="58">
        <f>IF($H2729="","",LEFT($H2729,FIND(" ",$H2729&amp;" ")-1))</f>
        <v/>
      </c>
      <c r="C2729" s="58">
        <f>IF($H2729="","",IFERROR(MID($H2729&amp;" ",FIND("|",SUBSTITUTE($H2729&amp;" "," ","|",1))+1,FIND("|",SUBSTITUTE($H2729&amp;" "," ","|",2))-FIND("|",SUBSTITUTE($H2729&amp;" "," ","|",1))-1),""))</f>
        <v/>
      </c>
      <c r="D2729" s="58">
        <f>IF($H2729="","",IFERROR(MID($H2729&amp;" ",FIND("|",SUBSTITUTE($H2729&amp;" "," ","|",2))+1,FIND("|",SUBSTITUTE($H2729&amp;" "," ","|",3))-FIND("|",SUBSTITUTE($H2729&amp;" "," ","|",2))-1),""))</f>
        <v/>
      </c>
      <c r="E2729" s="58">
        <f>IF($H2729="","",IFERROR(MID($H2729&amp;" ",FIND("|",SUBSTITUTE($H2729&amp;" "," ","|",3))+1,FIND("|",SUBSTITUTE($H2729&amp;" "," ","|",4))-FIND("|",SUBSTITUTE($H2729&amp;" "," ","|",3))-1),""))</f>
        <v/>
      </c>
      <c r="F2729" s="59">
        <f>IF($H2729="","",IFERROR(VALUE(IFERROR(MID($H2729&amp;" ",FIND("|",SUBSTITUTE($H2729&amp;" "," ","|",4))+1,FIND("|",SUBSTITUTE($H2729&amp;" "," ","|",5))-FIND("|",SUBSTITUTE($H2729&amp;" "," ","|",4))-1),""))/86400+25569+9/24,""))</f>
        <v/>
      </c>
      <c r="G2729" s="58">
        <f>TRIM(SUBSTITUTE(SUBSTITUTE(SUBSTITUTE($A2729,CHAR(9)," ")," "," "),CHAR(13),""))</f>
        <v/>
      </c>
      <c r="H2729" s="58">
        <f>IF($G2729="","",IF(ISNUMBER(FIND(" ",$G2729)),$G2729,IFERROR(IF((LEN(SUBSTITUTE(SUBSTITUTE($G2729,"-"," ",LEN($G2729)-LEN(SUBSTITUTE($G2729,"-",""))),"-"," ",LEN($G2729)-LEN(SUBSTITUTE($G2729,"-",""))-1))-LEN(SUBSTITUTE(SUBSTITUTE(SUBSTITUTE($G2729,"-"," ",LEN($G2729)-LEN(SUBSTITUTE($G2729,"-",""))),"-"," ",LEN($G2729)-LEN(SUBSTITUTE($G2729,"-",""))-1),".","")))=0,SUBSTITUTE(SUBSTITUTE($G2729,"-"," ",LEN($G2729)-LEN(SUBSTITUTE($G2729,"-",""))),"-"," ",LEN($G2729)-LEN(SUBSTITUTE($G2729,"-",""))-1),SUBSTITUTE(SUBSTITUTE(SUBSTITUTE($G2729,"-"," ",LEN($G2729)-LEN(SUBSTITUTE($G2729,"-",""))),"-"," ",LEN($G2729)-LEN(SUBSTITUTE($G2729,"-",""))-1),"."," ",(LEN(SUBSTITUTE(SUBSTITUTE($G2729,"-"," ",LEN($G2729)-LEN(SUBSTITUTE($G2729,"-",""))),"-"," ",LEN($G2729)-LEN(SUBSTITUTE($G2729,"-",""))-1))-LEN(SUBSTITUTE(SUBSTITUTE(SUBSTITUTE($G2729,"-"," ",LEN($G2729)-LEN(SUBSTITUTE($G2729,"-",""))),"-"," ",LEN($G2729)-LEN(SUBSTITUTE($G2729,"-",""))-1),".",""))))),$G2729)))</f>
        <v/>
      </c>
    </row>
    <row r="2730">
      <c r="A2730" s="58" t="n"/>
      <c r="B2730" s="58">
        <f>IF($H2730="","",LEFT($H2730,FIND(" ",$H2730&amp;" ")-1))</f>
        <v/>
      </c>
      <c r="C2730" s="58">
        <f>IF($H2730="","",IFERROR(MID($H2730&amp;" ",FIND("|",SUBSTITUTE($H2730&amp;" "," ","|",1))+1,FIND("|",SUBSTITUTE($H2730&amp;" "," ","|",2))-FIND("|",SUBSTITUTE($H2730&amp;" "," ","|",1))-1),""))</f>
        <v/>
      </c>
      <c r="D2730" s="58">
        <f>IF($H2730="","",IFERROR(MID($H2730&amp;" ",FIND("|",SUBSTITUTE($H2730&amp;" "," ","|",2))+1,FIND("|",SUBSTITUTE($H2730&amp;" "," ","|",3))-FIND("|",SUBSTITUTE($H2730&amp;" "," ","|",2))-1),""))</f>
        <v/>
      </c>
      <c r="E2730" s="58">
        <f>IF($H2730="","",IFERROR(MID($H2730&amp;" ",FIND("|",SUBSTITUTE($H2730&amp;" "," ","|",3))+1,FIND("|",SUBSTITUTE($H2730&amp;" "," ","|",4))-FIND("|",SUBSTITUTE($H2730&amp;" "," ","|",3))-1),""))</f>
        <v/>
      </c>
      <c r="F2730" s="59">
        <f>IF($H2730="","",IFERROR(VALUE(IFERROR(MID($H2730&amp;" ",FIND("|",SUBSTITUTE($H2730&amp;" "," ","|",4))+1,FIND("|",SUBSTITUTE($H2730&amp;" "," ","|",5))-FIND("|",SUBSTITUTE($H2730&amp;" "," ","|",4))-1),""))/86400+25569+9/24,""))</f>
        <v/>
      </c>
      <c r="G2730" s="58">
        <f>TRIM(SUBSTITUTE(SUBSTITUTE(SUBSTITUTE($A2730,CHAR(9)," ")," "," "),CHAR(13),""))</f>
        <v/>
      </c>
      <c r="H2730" s="58">
        <f>IF($G2730="","",IF(ISNUMBER(FIND(" ",$G2730)),$G2730,IFERROR(IF((LEN(SUBSTITUTE(SUBSTITUTE($G2730,"-"," ",LEN($G2730)-LEN(SUBSTITUTE($G2730,"-",""))),"-"," ",LEN($G2730)-LEN(SUBSTITUTE($G2730,"-",""))-1))-LEN(SUBSTITUTE(SUBSTITUTE(SUBSTITUTE($G2730,"-"," ",LEN($G2730)-LEN(SUBSTITUTE($G2730,"-",""))),"-"," ",LEN($G2730)-LEN(SUBSTITUTE($G2730,"-",""))-1),".","")))=0,SUBSTITUTE(SUBSTITUTE($G2730,"-"," ",LEN($G2730)-LEN(SUBSTITUTE($G2730,"-",""))),"-"," ",LEN($G2730)-LEN(SUBSTITUTE($G2730,"-",""))-1),SUBSTITUTE(SUBSTITUTE(SUBSTITUTE($G2730,"-"," ",LEN($G2730)-LEN(SUBSTITUTE($G2730,"-",""))),"-"," ",LEN($G2730)-LEN(SUBSTITUTE($G2730,"-",""))-1),"."," ",(LEN(SUBSTITUTE(SUBSTITUTE($G2730,"-"," ",LEN($G2730)-LEN(SUBSTITUTE($G2730,"-",""))),"-"," ",LEN($G2730)-LEN(SUBSTITUTE($G2730,"-",""))-1))-LEN(SUBSTITUTE(SUBSTITUTE(SUBSTITUTE($G2730,"-"," ",LEN($G2730)-LEN(SUBSTITUTE($G2730,"-",""))),"-"," ",LEN($G2730)-LEN(SUBSTITUTE($G2730,"-",""))-1),".",""))))),$G2730)))</f>
        <v/>
      </c>
    </row>
    <row r="2731">
      <c r="A2731" s="58" t="n"/>
      <c r="B2731" s="58">
        <f>IF($H2731="","",LEFT($H2731,FIND(" ",$H2731&amp;" ")-1))</f>
        <v/>
      </c>
      <c r="C2731" s="58">
        <f>IF($H2731="","",IFERROR(MID($H2731&amp;" ",FIND("|",SUBSTITUTE($H2731&amp;" "," ","|",1))+1,FIND("|",SUBSTITUTE($H2731&amp;" "," ","|",2))-FIND("|",SUBSTITUTE($H2731&amp;" "," ","|",1))-1),""))</f>
        <v/>
      </c>
      <c r="D2731" s="58">
        <f>IF($H2731="","",IFERROR(MID($H2731&amp;" ",FIND("|",SUBSTITUTE($H2731&amp;" "," ","|",2))+1,FIND("|",SUBSTITUTE($H2731&amp;" "," ","|",3))-FIND("|",SUBSTITUTE($H2731&amp;" "," ","|",2))-1),""))</f>
        <v/>
      </c>
      <c r="E2731" s="58">
        <f>IF($H2731="","",IFERROR(MID($H2731&amp;" ",FIND("|",SUBSTITUTE($H2731&amp;" "," ","|",3))+1,FIND("|",SUBSTITUTE($H2731&amp;" "," ","|",4))-FIND("|",SUBSTITUTE($H2731&amp;" "," ","|",3))-1),""))</f>
        <v/>
      </c>
      <c r="F2731" s="59">
        <f>IF($H2731="","",IFERROR(VALUE(IFERROR(MID($H2731&amp;" ",FIND("|",SUBSTITUTE($H2731&amp;" "," ","|",4))+1,FIND("|",SUBSTITUTE($H2731&amp;" "," ","|",5))-FIND("|",SUBSTITUTE($H2731&amp;" "," ","|",4))-1),""))/86400+25569+9/24,""))</f>
        <v/>
      </c>
      <c r="G2731" s="58">
        <f>TRIM(SUBSTITUTE(SUBSTITUTE(SUBSTITUTE($A2731,CHAR(9)," ")," "," "),CHAR(13),""))</f>
        <v/>
      </c>
      <c r="H2731" s="58">
        <f>IF($G2731="","",IF(ISNUMBER(FIND(" ",$G2731)),$G2731,IFERROR(IF((LEN(SUBSTITUTE(SUBSTITUTE($G2731,"-"," ",LEN($G2731)-LEN(SUBSTITUTE($G2731,"-",""))),"-"," ",LEN($G2731)-LEN(SUBSTITUTE($G2731,"-",""))-1))-LEN(SUBSTITUTE(SUBSTITUTE(SUBSTITUTE($G2731,"-"," ",LEN($G2731)-LEN(SUBSTITUTE($G2731,"-",""))),"-"," ",LEN($G2731)-LEN(SUBSTITUTE($G2731,"-",""))-1),".","")))=0,SUBSTITUTE(SUBSTITUTE($G2731,"-"," ",LEN($G2731)-LEN(SUBSTITUTE($G2731,"-",""))),"-"," ",LEN($G2731)-LEN(SUBSTITUTE($G2731,"-",""))-1),SUBSTITUTE(SUBSTITUTE(SUBSTITUTE($G2731,"-"," ",LEN($G2731)-LEN(SUBSTITUTE($G2731,"-",""))),"-"," ",LEN($G2731)-LEN(SUBSTITUTE($G2731,"-",""))-1),"."," ",(LEN(SUBSTITUTE(SUBSTITUTE($G2731,"-"," ",LEN($G2731)-LEN(SUBSTITUTE($G2731,"-",""))),"-"," ",LEN($G2731)-LEN(SUBSTITUTE($G2731,"-",""))-1))-LEN(SUBSTITUTE(SUBSTITUTE(SUBSTITUTE($G2731,"-"," ",LEN($G2731)-LEN(SUBSTITUTE($G2731,"-",""))),"-"," ",LEN($G2731)-LEN(SUBSTITUTE($G2731,"-",""))-1),".",""))))),$G2731)))</f>
        <v/>
      </c>
    </row>
    <row r="2732">
      <c r="A2732" s="58" t="n"/>
      <c r="B2732" s="58">
        <f>IF($H2732="","",LEFT($H2732,FIND(" ",$H2732&amp;" ")-1))</f>
        <v/>
      </c>
      <c r="C2732" s="58">
        <f>IF($H2732="","",IFERROR(MID($H2732&amp;" ",FIND("|",SUBSTITUTE($H2732&amp;" "," ","|",1))+1,FIND("|",SUBSTITUTE($H2732&amp;" "," ","|",2))-FIND("|",SUBSTITUTE($H2732&amp;" "," ","|",1))-1),""))</f>
        <v/>
      </c>
      <c r="D2732" s="58">
        <f>IF($H2732="","",IFERROR(MID($H2732&amp;" ",FIND("|",SUBSTITUTE($H2732&amp;" "," ","|",2))+1,FIND("|",SUBSTITUTE($H2732&amp;" "," ","|",3))-FIND("|",SUBSTITUTE($H2732&amp;" "," ","|",2))-1),""))</f>
        <v/>
      </c>
      <c r="E2732" s="58">
        <f>IF($H2732="","",IFERROR(MID($H2732&amp;" ",FIND("|",SUBSTITUTE($H2732&amp;" "," ","|",3))+1,FIND("|",SUBSTITUTE($H2732&amp;" "," ","|",4))-FIND("|",SUBSTITUTE($H2732&amp;" "," ","|",3))-1),""))</f>
        <v/>
      </c>
      <c r="F2732" s="59">
        <f>IF($H2732="","",IFERROR(VALUE(IFERROR(MID($H2732&amp;" ",FIND("|",SUBSTITUTE($H2732&amp;" "," ","|",4))+1,FIND("|",SUBSTITUTE($H2732&amp;" "," ","|",5))-FIND("|",SUBSTITUTE($H2732&amp;" "," ","|",4))-1),""))/86400+25569+9/24,""))</f>
        <v/>
      </c>
      <c r="G2732" s="58">
        <f>TRIM(SUBSTITUTE(SUBSTITUTE(SUBSTITUTE($A2732,CHAR(9)," ")," "," "),CHAR(13),""))</f>
        <v/>
      </c>
      <c r="H2732" s="58">
        <f>IF($G2732="","",IF(ISNUMBER(FIND(" ",$G2732)),$G2732,IFERROR(IF((LEN(SUBSTITUTE(SUBSTITUTE($G2732,"-"," ",LEN($G2732)-LEN(SUBSTITUTE($G2732,"-",""))),"-"," ",LEN($G2732)-LEN(SUBSTITUTE($G2732,"-",""))-1))-LEN(SUBSTITUTE(SUBSTITUTE(SUBSTITUTE($G2732,"-"," ",LEN($G2732)-LEN(SUBSTITUTE($G2732,"-",""))),"-"," ",LEN($G2732)-LEN(SUBSTITUTE($G2732,"-",""))-1),".","")))=0,SUBSTITUTE(SUBSTITUTE($G2732,"-"," ",LEN($G2732)-LEN(SUBSTITUTE($G2732,"-",""))),"-"," ",LEN($G2732)-LEN(SUBSTITUTE($G2732,"-",""))-1),SUBSTITUTE(SUBSTITUTE(SUBSTITUTE($G2732,"-"," ",LEN($G2732)-LEN(SUBSTITUTE($G2732,"-",""))),"-"," ",LEN($G2732)-LEN(SUBSTITUTE($G2732,"-",""))-1),"."," ",(LEN(SUBSTITUTE(SUBSTITUTE($G2732,"-"," ",LEN($G2732)-LEN(SUBSTITUTE($G2732,"-",""))),"-"," ",LEN($G2732)-LEN(SUBSTITUTE($G2732,"-",""))-1))-LEN(SUBSTITUTE(SUBSTITUTE(SUBSTITUTE($G2732,"-"," ",LEN($G2732)-LEN(SUBSTITUTE($G2732,"-",""))),"-"," ",LEN($G2732)-LEN(SUBSTITUTE($G2732,"-",""))-1),".",""))))),$G2732)))</f>
        <v/>
      </c>
    </row>
    <row r="2733">
      <c r="A2733" s="58" t="n"/>
      <c r="B2733" s="58">
        <f>IF($H2733="","",LEFT($H2733,FIND(" ",$H2733&amp;" ")-1))</f>
        <v/>
      </c>
      <c r="C2733" s="58">
        <f>IF($H2733="","",IFERROR(MID($H2733&amp;" ",FIND("|",SUBSTITUTE($H2733&amp;" "," ","|",1))+1,FIND("|",SUBSTITUTE($H2733&amp;" "," ","|",2))-FIND("|",SUBSTITUTE($H2733&amp;" "," ","|",1))-1),""))</f>
        <v/>
      </c>
      <c r="D2733" s="58">
        <f>IF($H2733="","",IFERROR(MID($H2733&amp;" ",FIND("|",SUBSTITUTE($H2733&amp;" "," ","|",2))+1,FIND("|",SUBSTITUTE($H2733&amp;" "," ","|",3))-FIND("|",SUBSTITUTE($H2733&amp;" "," ","|",2))-1),""))</f>
        <v/>
      </c>
      <c r="E2733" s="58">
        <f>IF($H2733="","",IFERROR(MID($H2733&amp;" ",FIND("|",SUBSTITUTE($H2733&amp;" "," ","|",3))+1,FIND("|",SUBSTITUTE($H2733&amp;" "," ","|",4))-FIND("|",SUBSTITUTE($H2733&amp;" "," ","|",3))-1),""))</f>
        <v/>
      </c>
      <c r="F2733" s="59">
        <f>IF($H2733="","",IFERROR(VALUE(IFERROR(MID($H2733&amp;" ",FIND("|",SUBSTITUTE($H2733&amp;" "," ","|",4))+1,FIND("|",SUBSTITUTE($H2733&amp;" "," ","|",5))-FIND("|",SUBSTITUTE($H2733&amp;" "," ","|",4))-1),""))/86400+25569+9/24,""))</f>
        <v/>
      </c>
      <c r="G2733" s="58">
        <f>TRIM(SUBSTITUTE(SUBSTITUTE(SUBSTITUTE($A2733,CHAR(9)," ")," "," "),CHAR(13),""))</f>
        <v/>
      </c>
      <c r="H2733" s="58">
        <f>IF($G2733="","",IF(ISNUMBER(FIND(" ",$G2733)),$G2733,IFERROR(IF((LEN(SUBSTITUTE(SUBSTITUTE($G2733,"-"," ",LEN($G2733)-LEN(SUBSTITUTE($G2733,"-",""))),"-"," ",LEN($G2733)-LEN(SUBSTITUTE($G2733,"-",""))-1))-LEN(SUBSTITUTE(SUBSTITUTE(SUBSTITUTE($G2733,"-"," ",LEN($G2733)-LEN(SUBSTITUTE($G2733,"-",""))),"-"," ",LEN($G2733)-LEN(SUBSTITUTE($G2733,"-",""))-1),".","")))=0,SUBSTITUTE(SUBSTITUTE($G2733,"-"," ",LEN($G2733)-LEN(SUBSTITUTE($G2733,"-",""))),"-"," ",LEN($G2733)-LEN(SUBSTITUTE($G2733,"-",""))-1),SUBSTITUTE(SUBSTITUTE(SUBSTITUTE($G2733,"-"," ",LEN($G2733)-LEN(SUBSTITUTE($G2733,"-",""))),"-"," ",LEN($G2733)-LEN(SUBSTITUTE($G2733,"-",""))-1),"."," ",(LEN(SUBSTITUTE(SUBSTITUTE($G2733,"-"," ",LEN($G2733)-LEN(SUBSTITUTE($G2733,"-",""))),"-"," ",LEN($G2733)-LEN(SUBSTITUTE($G2733,"-",""))-1))-LEN(SUBSTITUTE(SUBSTITUTE(SUBSTITUTE($G2733,"-"," ",LEN($G2733)-LEN(SUBSTITUTE($G2733,"-",""))),"-"," ",LEN($G2733)-LEN(SUBSTITUTE($G2733,"-",""))-1),".",""))))),$G2733)))</f>
        <v/>
      </c>
    </row>
    <row r="2734">
      <c r="A2734" s="58" t="n"/>
      <c r="B2734" s="58">
        <f>IF($H2734="","",LEFT($H2734,FIND(" ",$H2734&amp;" ")-1))</f>
        <v/>
      </c>
      <c r="C2734" s="58">
        <f>IF($H2734="","",IFERROR(MID($H2734&amp;" ",FIND("|",SUBSTITUTE($H2734&amp;" "," ","|",1))+1,FIND("|",SUBSTITUTE($H2734&amp;" "," ","|",2))-FIND("|",SUBSTITUTE($H2734&amp;" "," ","|",1))-1),""))</f>
        <v/>
      </c>
      <c r="D2734" s="58">
        <f>IF($H2734="","",IFERROR(MID($H2734&amp;" ",FIND("|",SUBSTITUTE($H2734&amp;" "," ","|",2))+1,FIND("|",SUBSTITUTE($H2734&amp;" "," ","|",3))-FIND("|",SUBSTITUTE($H2734&amp;" "," ","|",2))-1),""))</f>
        <v/>
      </c>
      <c r="E2734" s="58">
        <f>IF($H2734="","",IFERROR(MID($H2734&amp;" ",FIND("|",SUBSTITUTE($H2734&amp;" "," ","|",3))+1,FIND("|",SUBSTITUTE($H2734&amp;" "," ","|",4))-FIND("|",SUBSTITUTE($H2734&amp;" "," ","|",3))-1),""))</f>
        <v/>
      </c>
      <c r="F2734" s="59">
        <f>IF($H2734="","",IFERROR(VALUE(IFERROR(MID($H2734&amp;" ",FIND("|",SUBSTITUTE($H2734&amp;" "," ","|",4))+1,FIND("|",SUBSTITUTE($H2734&amp;" "," ","|",5))-FIND("|",SUBSTITUTE($H2734&amp;" "," ","|",4))-1),""))/86400+25569+9/24,""))</f>
        <v/>
      </c>
      <c r="G2734" s="58">
        <f>TRIM(SUBSTITUTE(SUBSTITUTE(SUBSTITUTE($A2734,CHAR(9)," ")," "," "),CHAR(13),""))</f>
        <v/>
      </c>
      <c r="H2734" s="58">
        <f>IF($G2734="","",IF(ISNUMBER(FIND(" ",$G2734)),$G2734,IFERROR(IF((LEN(SUBSTITUTE(SUBSTITUTE($G2734,"-"," ",LEN($G2734)-LEN(SUBSTITUTE($G2734,"-",""))),"-"," ",LEN($G2734)-LEN(SUBSTITUTE($G2734,"-",""))-1))-LEN(SUBSTITUTE(SUBSTITUTE(SUBSTITUTE($G2734,"-"," ",LEN($G2734)-LEN(SUBSTITUTE($G2734,"-",""))),"-"," ",LEN($G2734)-LEN(SUBSTITUTE($G2734,"-",""))-1),".","")))=0,SUBSTITUTE(SUBSTITUTE($G2734,"-"," ",LEN($G2734)-LEN(SUBSTITUTE($G2734,"-",""))),"-"," ",LEN($G2734)-LEN(SUBSTITUTE($G2734,"-",""))-1),SUBSTITUTE(SUBSTITUTE(SUBSTITUTE($G2734,"-"," ",LEN($G2734)-LEN(SUBSTITUTE($G2734,"-",""))),"-"," ",LEN($G2734)-LEN(SUBSTITUTE($G2734,"-",""))-1),"."," ",(LEN(SUBSTITUTE(SUBSTITUTE($G2734,"-"," ",LEN($G2734)-LEN(SUBSTITUTE($G2734,"-",""))),"-"," ",LEN($G2734)-LEN(SUBSTITUTE($G2734,"-",""))-1))-LEN(SUBSTITUTE(SUBSTITUTE(SUBSTITUTE($G2734,"-"," ",LEN($G2734)-LEN(SUBSTITUTE($G2734,"-",""))),"-"," ",LEN($G2734)-LEN(SUBSTITUTE($G2734,"-",""))-1),".",""))))),$G2734)))</f>
        <v/>
      </c>
    </row>
    <row r="2735">
      <c r="A2735" s="58" t="n"/>
      <c r="B2735" s="58">
        <f>IF($H2735="","",LEFT($H2735,FIND(" ",$H2735&amp;" ")-1))</f>
        <v/>
      </c>
      <c r="C2735" s="58">
        <f>IF($H2735="","",IFERROR(MID($H2735&amp;" ",FIND("|",SUBSTITUTE($H2735&amp;" "," ","|",1))+1,FIND("|",SUBSTITUTE($H2735&amp;" "," ","|",2))-FIND("|",SUBSTITUTE($H2735&amp;" "," ","|",1))-1),""))</f>
        <v/>
      </c>
      <c r="D2735" s="58">
        <f>IF($H2735="","",IFERROR(MID($H2735&amp;" ",FIND("|",SUBSTITUTE($H2735&amp;" "," ","|",2))+1,FIND("|",SUBSTITUTE($H2735&amp;" "," ","|",3))-FIND("|",SUBSTITUTE($H2735&amp;" "," ","|",2))-1),""))</f>
        <v/>
      </c>
      <c r="E2735" s="58">
        <f>IF($H2735="","",IFERROR(MID($H2735&amp;" ",FIND("|",SUBSTITUTE($H2735&amp;" "," ","|",3))+1,FIND("|",SUBSTITUTE($H2735&amp;" "," ","|",4))-FIND("|",SUBSTITUTE($H2735&amp;" "," ","|",3))-1),""))</f>
        <v/>
      </c>
      <c r="F2735" s="59">
        <f>IF($H2735="","",IFERROR(VALUE(IFERROR(MID($H2735&amp;" ",FIND("|",SUBSTITUTE($H2735&amp;" "," ","|",4))+1,FIND("|",SUBSTITUTE($H2735&amp;" "," ","|",5))-FIND("|",SUBSTITUTE($H2735&amp;" "," ","|",4))-1),""))/86400+25569+9/24,""))</f>
        <v/>
      </c>
      <c r="G2735" s="58">
        <f>TRIM(SUBSTITUTE(SUBSTITUTE(SUBSTITUTE($A2735,CHAR(9)," ")," "," "),CHAR(13),""))</f>
        <v/>
      </c>
      <c r="H2735" s="58">
        <f>IF($G2735="","",IF(ISNUMBER(FIND(" ",$G2735)),$G2735,IFERROR(IF((LEN(SUBSTITUTE(SUBSTITUTE($G2735,"-"," ",LEN($G2735)-LEN(SUBSTITUTE($G2735,"-",""))),"-"," ",LEN($G2735)-LEN(SUBSTITUTE($G2735,"-",""))-1))-LEN(SUBSTITUTE(SUBSTITUTE(SUBSTITUTE($G2735,"-"," ",LEN($G2735)-LEN(SUBSTITUTE($G2735,"-",""))),"-"," ",LEN($G2735)-LEN(SUBSTITUTE($G2735,"-",""))-1),".","")))=0,SUBSTITUTE(SUBSTITUTE($G2735,"-"," ",LEN($G2735)-LEN(SUBSTITUTE($G2735,"-",""))),"-"," ",LEN($G2735)-LEN(SUBSTITUTE($G2735,"-",""))-1),SUBSTITUTE(SUBSTITUTE(SUBSTITUTE($G2735,"-"," ",LEN($G2735)-LEN(SUBSTITUTE($G2735,"-",""))),"-"," ",LEN($G2735)-LEN(SUBSTITUTE($G2735,"-",""))-1),"."," ",(LEN(SUBSTITUTE(SUBSTITUTE($G2735,"-"," ",LEN($G2735)-LEN(SUBSTITUTE($G2735,"-",""))),"-"," ",LEN($G2735)-LEN(SUBSTITUTE($G2735,"-",""))-1))-LEN(SUBSTITUTE(SUBSTITUTE(SUBSTITUTE($G2735,"-"," ",LEN($G2735)-LEN(SUBSTITUTE($G2735,"-",""))),"-"," ",LEN($G2735)-LEN(SUBSTITUTE($G2735,"-",""))-1),".",""))))),$G2735)))</f>
        <v/>
      </c>
    </row>
    <row r="2736">
      <c r="A2736" s="58" t="n"/>
      <c r="B2736" s="58">
        <f>IF($H2736="","",LEFT($H2736,FIND(" ",$H2736&amp;" ")-1))</f>
        <v/>
      </c>
      <c r="C2736" s="58">
        <f>IF($H2736="","",IFERROR(MID($H2736&amp;" ",FIND("|",SUBSTITUTE($H2736&amp;" "," ","|",1))+1,FIND("|",SUBSTITUTE($H2736&amp;" "," ","|",2))-FIND("|",SUBSTITUTE($H2736&amp;" "," ","|",1))-1),""))</f>
        <v/>
      </c>
      <c r="D2736" s="58">
        <f>IF($H2736="","",IFERROR(MID($H2736&amp;" ",FIND("|",SUBSTITUTE($H2736&amp;" "," ","|",2))+1,FIND("|",SUBSTITUTE($H2736&amp;" "," ","|",3))-FIND("|",SUBSTITUTE($H2736&amp;" "," ","|",2))-1),""))</f>
        <v/>
      </c>
      <c r="E2736" s="58">
        <f>IF($H2736="","",IFERROR(MID($H2736&amp;" ",FIND("|",SUBSTITUTE($H2736&amp;" "," ","|",3))+1,FIND("|",SUBSTITUTE($H2736&amp;" "," ","|",4))-FIND("|",SUBSTITUTE($H2736&amp;" "," ","|",3))-1),""))</f>
        <v/>
      </c>
      <c r="F2736" s="59">
        <f>IF($H2736="","",IFERROR(VALUE(IFERROR(MID($H2736&amp;" ",FIND("|",SUBSTITUTE($H2736&amp;" "," ","|",4))+1,FIND("|",SUBSTITUTE($H2736&amp;" "," ","|",5))-FIND("|",SUBSTITUTE($H2736&amp;" "," ","|",4))-1),""))/86400+25569+9/24,""))</f>
        <v/>
      </c>
      <c r="G2736" s="58">
        <f>TRIM(SUBSTITUTE(SUBSTITUTE(SUBSTITUTE($A2736,CHAR(9)," ")," "," "),CHAR(13),""))</f>
        <v/>
      </c>
      <c r="H2736" s="58">
        <f>IF($G2736="","",IF(ISNUMBER(FIND(" ",$G2736)),$G2736,IFERROR(IF((LEN(SUBSTITUTE(SUBSTITUTE($G2736,"-"," ",LEN($G2736)-LEN(SUBSTITUTE($G2736,"-",""))),"-"," ",LEN($G2736)-LEN(SUBSTITUTE($G2736,"-",""))-1))-LEN(SUBSTITUTE(SUBSTITUTE(SUBSTITUTE($G2736,"-"," ",LEN($G2736)-LEN(SUBSTITUTE($G2736,"-",""))),"-"," ",LEN($G2736)-LEN(SUBSTITUTE($G2736,"-",""))-1),".","")))=0,SUBSTITUTE(SUBSTITUTE($G2736,"-"," ",LEN($G2736)-LEN(SUBSTITUTE($G2736,"-",""))),"-"," ",LEN($G2736)-LEN(SUBSTITUTE($G2736,"-",""))-1),SUBSTITUTE(SUBSTITUTE(SUBSTITUTE($G2736,"-"," ",LEN($G2736)-LEN(SUBSTITUTE($G2736,"-",""))),"-"," ",LEN($G2736)-LEN(SUBSTITUTE($G2736,"-",""))-1),"."," ",(LEN(SUBSTITUTE(SUBSTITUTE($G2736,"-"," ",LEN($G2736)-LEN(SUBSTITUTE($G2736,"-",""))),"-"," ",LEN($G2736)-LEN(SUBSTITUTE($G2736,"-",""))-1))-LEN(SUBSTITUTE(SUBSTITUTE(SUBSTITUTE($G2736,"-"," ",LEN($G2736)-LEN(SUBSTITUTE($G2736,"-",""))),"-"," ",LEN($G2736)-LEN(SUBSTITUTE($G2736,"-",""))-1),".",""))))),$G2736)))</f>
        <v/>
      </c>
    </row>
    <row r="2737">
      <c r="A2737" s="58" t="n"/>
      <c r="B2737" s="58">
        <f>IF($H2737="","",LEFT($H2737,FIND(" ",$H2737&amp;" ")-1))</f>
        <v/>
      </c>
      <c r="C2737" s="58">
        <f>IF($H2737="","",IFERROR(MID($H2737&amp;" ",FIND("|",SUBSTITUTE($H2737&amp;" "," ","|",1))+1,FIND("|",SUBSTITUTE($H2737&amp;" "," ","|",2))-FIND("|",SUBSTITUTE($H2737&amp;" "," ","|",1))-1),""))</f>
        <v/>
      </c>
      <c r="D2737" s="58">
        <f>IF($H2737="","",IFERROR(MID($H2737&amp;" ",FIND("|",SUBSTITUTE($H2737&amp;" "," ","|",2))+1,FIND("|",SUBSTITUTE($H2737&amp;" "," ","|",3))-FIND("|",SUBSTITUTE($H2737&amp;" "," ","|",2))-1),""))</f>
        <v/>
      </c>
      <c r="E2737" s="58">
        <f>IF($H2737="","",IFERROR(MID($H2737&amp;" ",FIND("|",SUBSTITUTE($H2737&amp;" "," ","|",3))+1,FIND("|",SUBSTITUTE($H2737&amp;" "," ","|",4))-FIND("|",SUBSTITUTE($H2737&amp;" "," ","|",3))-1),""))</f>
        <v/>
      </c>
      <c r="F2737" s="59">
        <f>IF($H2737="","",IFERROR(VALUE(IFERROR(MID($H2737&amp;" ",FIND("|",SUBSTITUTE($H2737&amp;" "," ","|",4))+1,FIND("|",SUBSTITUTE($H2737&amp;" "," ","|",5))-FIND("|",SUBSTITUTE($H2737&amp;" "," ","|",4))-1),""))/86400+25569+9/24,""))</f>
        <v/>
      </c>
      <c r="G2737" s="58">
        <f>TRIM(SUBSTITUTE(SUBSTITUTE(SUBSTITUTE($A2737,CHAR(9)," ")," "," "),CHAR(13),""))</f>
        <v/>
      </c>
      <c r="H2737" s="58">
        <f>IF($G2737="","",IF(ISNUMBER(FIND(" ",$G2737)),$G2737,IFERROR(IF((LEN(SUBSTITUTE(SUBSTITUTE($G2737,"-"," ",LEN($G2737)-LEN(SUBSTITUTE($G2737,"-",""))),"-"," ",LEN($G2737)-LEN(SUBSTITUTE($G2737,"-",""))-1))-LEN(SUBSTITUTE(SUBSTITUTE(SUBSTITUTE($G2737,"-"," ",LEN($G2737)-LEN(SUBSTITUTE($G2737,"-",""))),"-"," ",LEN($G2737)-LEN(SUBSTITUTE($G2737,"-",""))-1),".","")))=0,SUBSTITUTE(SUBSTITUTE($G2737,"-"," ",LEN($G2737)-LEN(SUBSTITUTE($G2737,"-",""))),"-"," ",LEN($G2737)-LEN(SUBSTITUTE($G2737,"-",""))-1),SUBSTITUTE(SUBSTITUTE(SUBSTITUTE($G2737,"-"," ",LEN($G2737)-LEN(SUBSTITUTE($G2737,"-",""))),"-"," ",LEN($G2737)-LEN(SUBSTITUTE($G2737,"-",""))-1),"."," ",(LEN(SUBSTITUTE(SUBSTITUTE($G2737,"-"," ",LEN($G2737)-LEN(SUBSTITUTE($G2737,"-",""))),"-"," ",LEN($G2737)-LEN(SUBSTITUTE($G2737,"-",""))-1))-LEN(SUBSTITUTE(SUBSTITUTE(SUBSTITUTE($G2737,"-"," ",LEN($G2737)-LEN(SUBSTITUTE($G2737,"-",""))),"-"," ",LEN($G2737)-LEN(SUBSTITUTE($G2737,"-",""))-1),".",""))))),$G2737)))</f>
        <v/>
      </c>
    </row>
    <row r="2738">
      <c r="A2738" s="58" t="n"/>
      <c r="B2738" s="58">
        <f>IF($H2738="","",LEFT($H2738,FIND(" ",$H2738&amp;" ")-1))</f>
        <v/>
      </c>
      <c r="C2738" s="58">
        <f>IF($H2738="","",IFERROR(MID($H2738&amp;" ",FIND("|",SUBSTITUTE($H2738&amp;" "," ","|",1))+1,FIND("|",SUBSTITUTE($H2738&amp;" "," ","|",2))-FIND("|",SUBSTITUTE($H2738&amp;" "," ","|",1))-1),""))</f>
        <v/>
      </c>
      <c r="D2738" s="58">
        <f>IF($H2738="","",IFERROR(MID($H2738&amp;" ",FIND("|",SUBSTITUTE($H2738&amp;" "," ","|",2))+1,FIND("|",SUBSTITUTE($H2738&amp;" "," ","|",3))-FIND("|",SUBSTITUTE($H2738&amp;" "," ","|",2))-1),""))</f>
        <v/>
      </c>
      <c r="E2738" s="58">
        <f>IF($H2738="","",IFERROR(MID($H2738&amp;" ",FIND("|",SUBSTITUTE($H2738&amp;" "," ","|",3))+1,FIND("|",SUBSTITUTE($H2738&amp;" "," ","|",4))-FIND("|",SUBSTITUTE($H2738&amp;" "," ","|",3))-1),""))</f>
        <v/>
      </c>
      <c r="F2738" s="59">
        <f>IF($H2738="","",IFERROR(VALUE(IFERROR(MID($H2738&amp;" ",FIND("|",SUBSTITUTE($H2738&amp;" "," ","|",4))+1,FIND("|",SUBSTITUTE($H2738&amp;" "," ","|",5))-FIND("|",SUBSTITUTE($H2738&amp;" "," ","|",4))-1),""))/86400+25569+9/24,""))</f>
        <v/>
      </c>
      <c r="G2738" s="58">
        <f>TRIM(SUBSTITUTE(SUBSTITUTE(SUBSTITUTE($A2738,CHAR(9)," ")," "," "),CHAR(13),""))</f>
        <v/>
      </c>
      <c r="H2738" s="58">
        <f>IF($G2738="","",IF(ISNUMBER(FIND(" ",$G2738)),$G2738,IFERROR(IF((LEN(SUBSTITUTE(SUBSTITUTE($G2738,"-"," ",LEN($G2738)-LEN(SUBSTITUTE($G2738,"-",""))),"-"," ",LEN($G2738)-LEN(SUBSTITUTE($G2738,"-",""))-1))-LEN(SUBSTITUTE(SUBSTITUTE(SUBSTITUTE($G2738,"-"," ",LEN($G2738)-LEN(SUBSTITUTE($G2738,"-",""))),"-"," ",LEN($G2738)-LEN(SUBSTITUTE($G2738,"-",""))-1),".","")))=0,SUBSTITUTE(SUBSTITUTE($G2738,"-"," ",LEN($G2738)-LEN(SUBSTITUTE($G2738,"-",""))),"-"," ",LEN($G2738)-LEN(SUBSTITUTE($G2738,"-",""))-1),SUBSTITUTE(SUBSTITUTE(SUBSTITUTE($G2738,"-"," ",LEN($G2738)-LEN(SUBSTITUTE($G2738,"-",""))),"-"," ",LEN($G2738)-LEN(SUBSTITUTE($G2738,"-",""))-1),"."," ",(LEN(SUBSTITUTE(SUBSTITUTE($G2738,"-"," ",LEN($G2738)-LEN(SUBSTITUTE($G2738,"-",""))),"-"," ",LEN($G2738)-LEN(SUBSTITUTE($G2738,"-",""))-1))-LEN(SUBSTITUTE(SUBSTITUTE(SUBSTITUTE($G2738,"-"," ",LEN($G2738)-LEN(SUBSTITUTE($G2738,"-",""))),"-"," ",LEN($G2738)-LEN(SUBSTITUTE($G2738,"-",""))-1),".",""))))),$G2738)))</f>
        <v/>
      </c>
    </row>
    <row r="2739">
      <c r="A2739" s="58" t="n"/>
      <c r="B2739" s="58">
        <f>IF($H2739="","",LEFT($H2739,FIND(" ",$H2739&amp;" ")-1))</f>
        <v/>
      </c>
      <c r="C2739" s="58">
        <f>IF($H2739="","",IFERROR(MID($H2739&amp;" ",FIND("|",SUBSTITUTE($H2739&amp;" "," ","|",1))+1,FIND("|",SUBSTITUTE($H2739&amp;" "," ","|",2))-FIND("|",SUBSTITUTE($H2739&amp;" "," ","|",1))-1),""))</f>
        <v/>
      </c>
      <c r="D2739" s="58">
        <f>IF($H2739="","",IFERROR(MID($H2739&amp;" ",FIND("|",SUBSTITUTE($H2739&amp;" "," ","|",2))+1,FIND("|",SUBSTITUTE($H2739&amp;" "," ","|",3))-FIND("|",SUBSTITUTE($H2739&amp;" "," ","|",2))-1),""))</f>
        <v/>
      </c>
      <c r="E2739" s="58">
        <f>IF($H2739="","",IFERROR(MID($H2739&amp;" ",FIND("|",SUBSTITUTE($H2739&amp;" "," ","|",3))+1,FIND("|",SUBSTITUTE($H2739&amp;" "," ","|",4))-FIND("|",SUBSTITUTE($H2739&amp;" "," ","|",3))-1),""))</f>
        <v/>
      </c>
      <c r="F2739" s="59">
        <f>IF($H2739="","",IFERROR(VALUE(IFERROR(MID($H2739&amp;" ",FIND("|",SUBSTITUTE($H2739&amp;" "," ","|",4))+1,FIND("|",SUBSTITUTE($H2739&amp;" "," ","|",5))-FIND("|",SUBSTITUTE($H2739&amp;" "," ","|",4))-1),""))/86400+25569+9/24,""))</f>
        <v/>
      </c>
      <c r="G2739" s="58">
        <f>TRIM(SUBSTITUTE(SUBSTITUTE(SUBSTITUTE($A2739,CHAR(9)," ")," "," "),CHAR(13),""))</f>
        <v/>
      </c>
      <c r="H2739" s="58">
        <f>IF($G2739="","",IF(ISNUMBER(FIND(" ",$G2739)),$G2739,IFERROR(IF((LEN(SUBSTITUTE(SUBSTITUTE($G2739,"-"," ",LEN($G2739)-LEN(SUBSTITUTE($G2739,"-",""))),"-"," ",LEN($G2739)-LEN(SUBSTITUTE($G2739,"-",""))-1))-LEN(SUBSTITUTE(SUBSTITUTE(SUBSTITUTE($G2739,"-"," ",LEN($G2739)-LEN(SUBSTITUTE($G2739,"-",""))),"-"," ",LEN($G2739)-LEN(SUBSTITUTE($G2739,"-",""))-1),".","")))=0,SUBSTITUTE(SUBSTITUTE($G2739,"-"," ",LEN($G2739)-LEN(SUBSTITUTE($G2739,"-",""))),"-"," ",LEN($G2739)-LEN(SUBSTITUTE($G2739,"-",""))-1),SUBSTITUTE(SUBSTITUTE(SUBSTITUTE($G2739,"-"," ",LEN($G2739)-LEN(SUBSTITUTE($G2739,"-",""))),"-"," ",LEN($G2739)-LEN(SUBSTITUTE($G2739,"-",""))-1),"."," ",(LEN(SUBSTITUTE(SUBSTITUTE($G2739,"-"," ",LEN($G2739)-LEN(SUBSTITUTE($G2739,"-",""))),"-"," ",LEN($G2739)-LEN(SUBSTITUTE($G2739,"-",""))-1))-LEN(SUBSTITUTE(SUBSTITUTE(SUBSTITUTE($G2739,"-"," ",LEN($G2739)-LEN(SUBSTITUTE($G2739,"-",""))),"-"," ",LEN($G2739)-LEN(SUBSTITUTE($G2739,"-",""))-1),".",""))))),$G2739)))</f>
        <v/>
      </c>
    </row>
    <row r="2740">
      <c r="A2740" s="58" t="n"/>
      <c r="B2740" s="58">
        <f>IF($H2740="","",LEFT($H2740,FIND(" ",$H2740&amp;" ")-1))</f>
        <v/>
      </c>
      <c r="C2740" s="58">
        <f>IF($H2740="","",IFERROR(MID($H2740&amp;" ",FIND("|",SUBSTITUTE($H2740&amp;" "," ","|",1))+1,FIND("|",SUBSTITUTE($H2740&amp;" "," ","|",2))-FIND("|",SUBSTITUTE($H2740&amp;" "," ","|",1))-1),""))</f>
        <v/>
      </c>
      <c r="D2740" s="58">
        <f>IF($H2740="","",IFERROR(MID($H2740&amp;" ",FIND("|",SUBSTITUTE($H2740&amp;" "," ","|",2))+1,FIND("|",SUBSTITUTE($H2740&amp;" "," ","|",3))-FIND("|",SUBSTITUTE($H2740&amp;" "," ","|",2))-1),""))</f>
        <v/>
      </c>
      <c r="E2740" s="58">
        <f>IF($H2740="","",IFERROR(MID($H2740&amp;" ",FIND("|",SUBSTITUTE($H2740&amp;" "," ","|",3))+1,FIND("|",SUBSTITUTE($H2740&amp;" "," ","|",4))-FIND("|",SUBSTITUTE($H2740&amp;" "," ","|",3))-1),""))</f>
        <v/>
      </c>
      <c r="F2740" s="59">
        <f>IF($H2740="","",IFERROR(VALUE(IFERROR(MID($H2740&amp;" ",FIND("|",SUBSTITUTE($H2740&amp;" "," ","|",4))+1,FIND("|",SUBSTITUTE($H2740&amp;" "," ","|",5))-FIND("|",SUBSTITUTE($H2740&amp;" "," ","|",4))-1),""))/86400+25569+9/24,""))</f>
        <v/>
      </c>
      <c r="G2740" s="58">
        <f>TRIM(SUBSTITUTE(SUBSTITUTE(SUBSTITUTE($A2740,CHAR(9)," ")," "," "),CHAR(13),""))</f>
        <v/>
      </c>
      <c r="H2740" s="58">
        <f>IF($G2740="","",IF(ISNUMBER(FIND(" ",$G2740)),$G2740,IFERROR(IF((LEN(SUBSTITUTE(SUBSTITUTE($G2740,"-"," ",LEN($G2740)-LEN(SUBSTITUTE($G2740,"-",""))),"-"," ",LEN($G2740)-LEN(SUBSTITUTE($G2740,"-",""))-1))-LEN(SUBSTITUTE(SUBSTITUTE(SUBSTITUTE($G2740,"-"," ",LEN($G2740)-LEN(SUBSTITUTE($G2740,"-",""))),"-"," ",LEN($G2740)-LEN(SUBSTITUTE($G2740,"-",""))-1),".","")))=0,SUBSTITUTE(SUBSTITUTE($G2740,"-"," ",LEN($G2740)-LEN(SUBSTITUTE($G2740,"-",""))),"-"," ",LEN($G2740)-LEN(SUBSTITUTE($G2740,"-",""))-1),SUBSTITUTE(SUBSTITUTE(SUBSTITUTE($G2740,"-"," ",LEN($G2740)-LEN(SUBSTITUTE($G2740,"-",""))),"-"," ",LEN($G2740)-LEN(SUBSTITUTE($G2740,"-",""))-1),"."," ",(LEN(SUBSTITUTE(SUBSTITUTE($G2740,"-"," ",LEN($G2740)-LEN(SUBSTITUTE($G2740,"-",""))),"-"," ",LEN($G2740)-LEN(SUBSTITUTE($G2740,"-",""))-1))-LEN(SUBSTITUTE(SUBSTITUTE(SUBSTITUTE($G2740,"-"," ",LEN($G2740)-LEN(SUBSTITUTE($G2740,"-",""))),"-"," ",LEN($G2740)-LEN(SUBSTITUTE($G2740,"-",""))-1),".",""))))),$G2740)))</f>
        <v/>
      </c>
    </row>
    <row r="2741">
      <c r="A2741" s="58" t="n"/>
      <c r="B2741" s="58">
        <f>IF($H2741="","",LEFT($H2741,FIND(" ",$H2741&amp;" ")-1))</f>
        <v/>
      </c>
      <c r="C2741" s="58">
        <f>IF($H2741="","",IFERROR(MID($H2741&amp;" ",FIND("|",SUBSTITUTE($H2741&amp;" "," ","|",1))+1,FIND("|",SUBSTITUTE($H2741&amp;" "," ","|",2))-FIND("|",SUBSTITUTE($H2741&amp;" "," ","|",1))-1),""))</f>
        <v/>
      </c>
      <c r="D2741" s="58">
        <f>IF($H2741="","",IFERROR(MID($H2741&amp;" ",FIND("|",SUBSTITUTE($H2741&amp;" "," ","|",2))+1,FIND("|",SUBSTITUTE($H2741&amp;" "," ","|",3))-FIND("|",SUBSTITUTE($H2741&amp;" "," ","|",2))-1),""))</f>
        <v/>
      </c>
      <c r="E2741" s="58">
        <f>IF($H2741="","",IFERROR(MID($H2741&amp;" ",FIND("|",SUBSTITUTE($H2741&amp;" "," ","|",3))+1,FIND("|",SUBSTITUTE($H2741&amp;" "," ","|",4))-FIND("|",SUBSTITUTE($H2741&amp;" "," ","|",3))-1),""))</f>
        <v/>
      </c>
      <c r="F2741" s="59">
        <f>IF($H2741="","",IFERROR(VALUE(IFERROR(MID($H2741&amp;" ",FIND("|",SUBSTITUTE($H2741&amp;" "," ","|",4))+1,FIND("|",SUBSTITUTE($H2741&amp;" "," ","|",5))-FIND("|",SUBSTITUTE($H2741&amp;" "," ","|",4))-1),""))/86400+25569+9/24,""))</f>
        <v/>
      </c>
      <c r="G2741" s="58">
        <f>TRIM(SUBSTITUTE(SUBSTITUTE(SUBSTITUTE($A2741,CHAR(9)," ")," "," "),CHAR(13),""))</f>
        <v/>
      </c>
      <c r="H2741" s="58">
        <f>IF($G2741="","",IF(ISNUMBER(FIND(" ",$G2741)),$G2741,IFERROR(IF((LEN(SUBSTITUTE(SUBSTITUTE($G2741,"-"," ",LEN($G2741)-LEN(SUBSTITUTE($G2741,"-",""))),"-"," ",LEN($G2741)-LEN(SUBSTITUTE($G2741,"-",""))-1))-LEN(SUBSTITUTE(SUBSTITUTE(SUBSTITUTE($G2741,"-"," ",LEN($G2741)-LEN(SUBSTITUTE($G2741,"-",""))),"-"," ",LEN($G2741)-LEN(SUBSTITUTE($G2741,"-",""))-1),".","")))=0,SUBSTITUTE(SUBSTITUTE($G2741,"-"," ",LEN($G2741)-LEN(SUBSTITUTE($G2741,"-",""))),"-"," ",LEN($G2741)-LEN(SUBSTITUTE($G2741,"-",""))-1),SUBSTITUTE(SUBSTITUTE(SUBSTITUTE($G2741,"-"," ",LEN($G2741)-LEN(SUBSTITUTE($G2741,"-",""))),"-"," ",LEN($G2741)-LEN(SUBSTITUTE($G2741,"-",""))-1),"."," ",(LEN(SUBSTITUTE(SUBSTITUTE($G2741,"-"," ",LEN($G2741)-LEN(SUBSTITUTE($G2741,"-",""))),"-"," ",LEN($G2741)-LEN(SUBSTITUTE($G2741,"-",""))-1))-LEN(SUBSTITUTE(SUBSTITUTE(SUBSTITUTE($G2741,"-"," ",LEN($G2741)-LEN(SUBSTITUTE($G2741,"-",""))),"-"," ",LEN($G2741)-LEN(SUBSTITUTE($G2741,"-",""))-1),".",""))))),$G2741)))</f>
        <v/>
      </c>
    </row>
    <row r="2742">
      <c r="A2742" s="58" t="n"/>
      <c r="B2742" s="58">
        <f>IF($H2742="","",LEFT($H2742,FIND(" ",$H2742&amp;" ")-1))</f>
        <v/>
      </c>
      <c r="C2742" s="58">
        <f>IF($H2742="","",IFERROR(MID($H2742&amp;" ",FIND("|",SUBSTITUTE($H2742&amp;" "," ","|",1))+1,FIND("|",SUBSTITUTE($H2742&amp;" "," ","|",2))-FIND("|",SUBSTITUTE($H2742&amp;" "," ","|",1))-1),""))</f>
        <v/>
      </c>
      <c r="D2742" s="58">
        <f>IF($H2742="","",IFERROR(MID($H2742&amp;" ",FIND("|",SUBSTITUTE($H2742&amp;" "," ","|",2))+1,FIND("|",SUBSTITUTE($H2742&amp;" "," ","|",3))-FIND("|",SUBSTITUTE($H2742&amp;" "," ","|",2))-1),""))</f>
        <v/>
      </c>
      <c r="E2742" s="58">
        <f>IF($H2742="","",IFERROR(MID($H2742&amp;" ",FIND("|",SUBSTITUTE($H2742&amp;" "," ","|",3))+1,FIND("|",SUBSTITUTE($H2742&amp;" "," ","|",4))-FIND("|",SUBSTITUTE($H2742&amp;" "," ","|",3))-1),""))</f>
        <v/>
      </c>
      <c r="F2742" s="59">
        <f>IF($H2742="","",IFERROR(VALUE(IFERROR(MID($H2742&amp;" ",FIND("|",SUBSTITUTE($H2742&amp;" "," ","|",4))+1,FIND("|",SUBSTITUTE($H2742&amp;" "," ","|",5))-FIND("|",SUBSTITUTE($H2742&amp;" "," ","|",4))-1),""))/86400+25569+9/24,""))</f>
        <v/>
      </c>
      <c r="G2742" s="58">
        <f>TRIM(SUBSTITUTE(SUBSTITUTE(SUBSTITUTE($A2742,CHAR(9)," ")," "," "),CHAR(13),""))</f>
        <v/>
      </c>
      <c r="H2742" s="58">
        <f>IF($G2742="","",IF(ISNUMBER(FIND(" ",$G2742)),$G2742,IFERROR(IF((LEN(SUBSTITUTE(SUBSTITUTE($G2742,"-"," ",LEN($G2742)-LEN(SUBSTITUTE($G2742,"-",""))),"-"," ",LEN($G2742)-LEN(SUBSTITUTE($G2742,"-",""))-1))-LEN(SUBSTITUTE(SUBSTITUTE(SUBSTITUTE($G2742,"-"," ",LEN($G2742)-LEN(SUBSTITUTE($G2742,"-",""))),"-"," ",LEN($G2742)-LEN(SUBSTITUTE($G2742,"-",""))-1),".","")))=0,SUBSTITUTE(SUBSTITUTE($G2742,"-"," ",LEN($G2742)-LEN(SUBSTITUTE($G2742,"-",""))),"-"," ",LEN($G2742)-LEN(SUBSTITUTE($G2742,"-",""))-1),SUBSTITUTE(SUBSTITUTE(SUBSTITUTE($G2742,"-"," ",LEN($G2742)-LEN(SUBSTITUTE($G2742,"-",""))),"-"," ",LEN($G2742)-LEN(SUBSTITUTE($G2742,"-",""))-1),"."," ",(LEN(SUBSTITUTE(SUBSTITUTE($G2742,"-"," ",LEN($G2742)-LEN(SUBSTITUTE($G2742,"-",""))),"-"," ",LEN($G2742)-LEN(SUBSTITUTE($G2742,"-",""))-1))-LEN(SUBSTITUTE(SUBSTITUTE(SUBSTITUTE($G2742,"-"," ",LEN($G2742)-LEN(SUBSTITUTE($G2742,"-",""))),"-"," ",LEN($G2742)-LEN(SUBSTITUTE($G2742,"-",""))-1),".",""))))),$G2742)))</f>
        <v/>
      </c>
    </row>
    <row r="2743">
      <c r="A2743" s="58" t="n"/>
      <c r="B2743" s="58">
        <f>IF($H2743="","",LEFT($H2743,FIND(" ",$H2743&amp;" ")-1))</f>
        <v/>
      </c>
      <c r="C2743" s="58">
        <f>IF($H2743="","",IFERROR(MID($H2743&amp;" ",FIND("|",SUBSTITUTE($H2743&amp;" "," ","|",1))+1,FIND("|",SUBSTITUTE($H2743&amp;" "," ","|",2))-FIND("|",SUBSTITUTE($H2743&amp;" "," ","|",1))-1),""))</f>
        <v/>
      </c>
      <c r="D2743" s="58">
        <f>IF($H2743="","",IFERROR(MID($H2743&amp;" ",FIND("|",SUBSTITUTE($H2743&amp;" "," ","|",2))+1,FIND("|",SUBSTITUTE($H2743&amp;" "," ","|",3))-FIND("|",SUBSTITUTE($H2743&amp;" "," ","|",2))-1),""))</f>
        <v/>
      </c>
      <c r="E2743" s="58">
        <f>IF($H2743="","",IFERROR(MID($H2743&amp;" ",FIND("|",SUBSTITUTE($H2743&amp;" "," ","|",3))+1,FIND("|",SUBSTITUTE($H2743&amp;" "," ","|",4))-FIND("|",SUBSTITUTE($H2743&amp;" "," ","|",3))-1),""))</f>
        <v/>
      </c>
      <c r="F2743" s="59">
        <f>IF($H2743="","",IFERROR(VALUE(IFERROR(MID($H2743&amp;" ",FIND("|",SUBSTITUTE($H2743&amp;" "," ","|",4))+1,FIND("|",SUBSTITUTE($H2743&amp;" "," ","|",5))-FIND("|",SUBSTITUTE($H2743&amp;" "," ","|",4))-1),""))/86400+25569+9/24,""))</f>
        <v/>
      </c>
      <c r="G2743" s="58">
        <f>TRIM(SUBSTITUTE(SUBSTITUTE(SUBSTITUTE($A2743,CHAR(9)," ")," "," "),CHAR(13),""))</f>
        <v/>
      </c>
      <c r="H2743" s="58">
        <f>IF($G2743="","",IF(ISNUMBER(FIND(" ",$G2743)),$G2743,IFERROR(IF((LEN(SUBSTITUTE(SUBSTITUTE($G2743,"-"," ",LEN($G2743)-LEN(SUBSTITUTE($G2743,"-",""))),"-"," ",LEN($G2743)-LEN(SUBSTITUTE($G2743,"-",""))-1))-LEN(SUBSTITUTE(SUBSTITUTE(SUBSTITUTE($G2743,"-"," ",LEN($G2743)-LEN(SUBSTITUTE($G2743,"-",""))),"-"," ",LEN($G2743)-LEN(SUBSTITUTE($G2743,"-",""))-1),".","")))=0,SUBSTITUTE(SUBSTITUTE($G2743,"-"," ",LEN($G2743)-LEN(SUBSTITUTE($G2743,"-",""))),"-"," ",LEN($G2743)-LEN(SUBSTITUTE($G2743,"-",""))-1),SUBSTITUTE(SUBSTITUTE(SUBSTITUTE($G2743,"-"," ",LEN($G2743)-LEN(SUBSTITUTE($G2743,"-",""))),"-"," ",LEN($G2743)-LEN(SUBSTITUTE($G2743,"-",""))-1),"."," ",(LEN(SUBSTITUTE(SUBSTITUTE($G2743,"-"," ",LEN($G2743)-LEN(SUBSTITUTE($G2743,"-",""))),"-"," ",LEN($G2743)-LEN(SUBSTITUTE($G2743,"-",""))-1))-LEN(SUBSTITUTE(SUBSTITUTE(SUBSTITUTE($G2743,"-"," ",LEN($G2743)-LEN(SUBSTITUTE($G2743,"-",""))),"-"," ",LEN($G2743)-LEN(SUBSTITUTE($G2743,"-",""))-1),".",""))))),$G2743)))</f>
        <v/>
      </c>
    </row>
    <row r="2744">
      <c r="A2744" s="58" t="n"/>
      <c r="B2744" s="58">
        <f>IF($H2744="","",LEFT($H2744,FIND(" ",$H2744&amp;" ")-1))</f>
        <v/>
      </c>
      <c r="C2744" s="58">
        <f>IF($H2744="","",IFERROR(MID($H2744&amp;" ",FIND("|",SUBSTITUTE($H2744&amp;" "," ","|",1))+1,FIND("|",SUBSTITUTE($H2744&amp;" "," ","|",2))-FIND("|",SUBSTITUTE($H2744&amp;" "," ","|",1))-1),""))</f>
        <v/>
      </c>
      <c r="D2744" s="58">
        <f>IF($H2744="","",IFERROR(MID($H2744&amp;" ",FIND("|",SUBSTITUTE($H2744&amp;" "," ","|",2))+1,FIND("|",SUBSTITUTE($H2744&amp;" "," ","|",3))-FIND("|",SUBSTITUTE($H2744&amp;" "," ","|",2))-1),""))</f>
        <v/>
      </c>
      <c r="E2744" s="58">
        <f>IF($H2744="","",IFERROR(MID($H2744&amp;" ",FIND("|",SUBSTITUTE($H2744&amp;" "," ","|",3))+1,FIND("|",SUBSTITUTE($H2744&amp;" "," ","|",4))-FIND("|",SUBSTITUTE($H2744&amp;" "," ","|",3))-1),""))</f>
        <v/>
      </c>
      <c r="F2744" s="59">
        <f>IF($H2744="","",IFERROR(VALUE(IFERROR(MID($H2744&amp;" ",FIND("|",SUBSTITUTE($H2744&amp;" "," ","|",4))+1,FIND("|",SUBSTITUTE($H2744&amp;" "," ","|",5))-FIND("|",SUBSTITUTE($H2744&amp;" "," ","|",4))-1),""))/86400+25569+9/24,""))</f>
        <v/>
      </c>
      <c r="G2744" s="58">
        <f>TRIM(SUBSTITUTE(SUBSTITUTE(SUBSTITUTE($A2744,CHAR(9)," ")," "," "),CHAR(13),""))</f>
        <v/>
      </c>
      <c r="H2744" s="58">
        <f>IF($G2744="","",IF(ISNUMBER(FIND(" ",$G2744)),$G2744,IFERROR(IF((LEN(SUBSTITUTE(SUBSTITUTE($G2744,"-"," ",LEN($G2744)-LEN(SUBSTITUTE($G2744,"-",""))),"-"," ",LEN($G2744)-LEN(SUBSTITUTE($G2744,"-",""))-1))-LEN(SUBSTITUTE(SUBSTITUTE(SUBSTITUTE($G2744,"-"," ",LEN($G2744)-LEN(SUBSTITUTE($G2744,"-",""))),"-"," ",LEN($G2744)-LEN(SUBSTITUTE($G2744,"-",""))-1),".","")))=0,SUBSTITUTE(SUBSTITUTE($G2744,"-"," ",LEN($G2744)-LEN(SUBSTITUTE($G2744,"-",""))),"-"," ",LEN($G2744)-LEN(SUBSTITUTE($G2744,"-",""))-1),SUBSTITUTE(SUBSTITUTE(SUBSTITUTE($G2744,"-"," ",LEN($G2744)-LEN(SUBSTITUTE($G2744,"-",""))),"-"," ",LEN($G2744)-LEN(SUBSTITUTE($G2744,"-",""))-1),"."," ",(LEN(SUBSTITUTE(SUBSTITUTE($G2744,"-"," ",LEN($G2744)-LEN(SUBSTITUTE($G2744,"-",""))),"-"," ",LEN($G2744)-LEN(SUBSTITUTE($G2744,"-",""))-1))-LEN(SUBSTITUTE(SUBSTITUTE(SUBSTITUTE($G2744,"-"," ",LEN($G2744)-LEN(SUBSTITUTE($G2744,"-",""))),"-"," ",LEN($G2744)-LEN(SUBSTITUTE($G2744,"-",""))-1),".",""))))),$G2744)))</f>
        <v/>
      </c>
    </row>
    <row r="2745">
      <c r="A2745" s="58" t="n"/>
      <c r="B2745" s="58">
        <f>IF($H2745="","",LEFT($H2745,FIND(" ",$H2745&amp;" ")-1))</f>
        <v/>
      </c>
      <c r="C2745" s="58">
        <f>IF($H2745="","",IFERROR(MID($H2745&amp;" ",FIND("|",SUBSTITUTE($H2745&amp;" "," ","|",1))+1,FIND("|",SUBSTITUTE($H2745&amp;" "," ","|",2))-FIND("|",SUBSTITUTE($H2745&amp;" "," ","|",1))-1),""))</f>
        <v/>
      </c>
      <c r="D2745" s="58">
        <f>IF($H2745="","",IFERROR(MID($H2745&amp;" ",FIND("|",SUBSTITUTE($H2745&amp;" "," ","|",2))+1,FIND("|",SUBSTITUTE($H2745&amp;" "," ","|",3))-FIND("|",SUBSTITUTE($H2745&amp;" "," ","|",2))-1),""))</f>
        <v/>
      </c>
      <c r="E2745" s="58">
        <f>IF($H2745="","",IFERROR(MID($H2745&amp;" ",FIND("|",SUBSTITUTE($H2745&amp;" "," ","|",3))+1,FIND("|",SUBSTITUTE($H2745&amp;" "," ","|",4))-FIND("|",SUBSTITUTE($H2745&amp;" "," ","|",3))-1),""))</f>
        <v/>
      </c>
      <c r="F2745" s="59">
        <f>IF($H2745="","",IFERROR(VALUE(IFERROR(MID($H2745&amp;" ",FIND("|",SUBSTITUTE($H2745&amp;" "," ","|",4))+1,FIND("|",SUBSTITUTE($H2745&amp;" "," ","|",5))-FIND("|",SUBSTITUTE($H2745&amp;" "," ","|",4))-1),""))/86400+25569+9/24,""))</f>
        <v/>
      </c>
      <c r="G2745" s="58">
        <f>TRIM(SUBSTITUTE(SUBSTITUTE(SUBSTITUTE($A2745,CHAR(9)," ")," "," "),CHAR(13),""))</f>
        <v/>
      </c>
      <c r="H2745" s="58">
        <f>IF($G2745="","",IF(ISNUMBER(FIND(" ",$G2745)),$G2745,IFERROR(IF((LEN(SUBSTITUTE(SUBSTITUTE($G2745,"-"," ",LEN($G2745)-LEN(SUBSTITUTE($G2745,"-",""))),"-"," ",LEN($G2745)-LEN(SUBSTITUTE($G2745,"-",""))-1))-LEN(SUBSTITUTE(SUBSTITUTE(SUBSTITUTE($G2745,"-"," ",LEN($G2745)-LEN(SUBSTITUTE($G2745,"-",""))),"-"," ",LEN($G2745)-LEN(SUBSTITUTE($G2745,"-",""))-1),".","")))=0,SUBSTITUTE(SUBSTITUTE($G2745,"-"," ",LEN($G2745)-LEN(SUBSTITUTE($G2745,"-",""))),"-"," ",LEN($G2745)-LEN(SUBSTITUTE($G2745,"-",""))-1),SUBSTITUTE(SUBSTITUTE(SUBSTITUTE($G2745,"-"," ",LEN($G2745)-LEN(SUBSTITUTE($G2745,"-",""))),"-"," ",LEN($G2745)-LEN(SUBSTITUTE($G2745,"-",""))-1),"."," ",(LEN(SUBSTITUTE(SUBSTITUTE($G2745,"-"," ",LEN($G2745)-LEN(SUBSTITUTE($G2745,"-",""))),"-"," ",LEN($G2745)-LEN(SUBSTITUTE($G2745,"-",""))-1))-LEN(SUBSTITUTE(SUBSTITUTE(SUBSTITUTE($G2745,"-"," ",LEN($G2745)-LEN(SUBSTITUTE($G2745,"-",""))),"-"," ",LEN($G2745)-LEN(SUBSTITUTE($G2745,"-",""))-1),".",""))))),$G2745)))</f>
        <v/>
      </c>
    </row>
    <row r="2746">
      <c r="A2746" s="58" t="n"/>
      <c r="B2746" s="58">
        <f>IF($H2746="","",LEFT($H2746,FIND(" ",$H2746&amp;" ")-1))</f>
        <v/>
      </c>
      <c r="C2746" s="58">
        <f>IF($H2746="","",IFERROR(MID($H2746&amp;" ",FIND("|",SUBSTITUTE($H2746&amp;" "," ","|",1))+1,FIND("|",SUBSTITUTE($H2746&amp;" "," ","|",2))-FIND("|",SUBSTITUTE($H2746&amp;" "," ","|",1))-1),""))</f>
        <v/>
      </c>
      <c r="D2746" s="58">
        <f>IF($H2746="","",IFERROR(MID($H2746&amp;" ",FIND("|",SUBSTITUTE($H2746&amp;" "," ","|",2))+1,FIND("|",SUBSTITUTE($H2746&amp;" "," ","|",3))-FIND("|",SUBSTITUTE($H2746&amp;" "," ","|",2))-1),""))</f>
        <v/>
      </c>
      <c r="E2746" s="58">
        <f>IF($H2746="","",IFERROR(MID($H2746&amp;" ",FIND("|",SUBSTITUTE($H2746&amp;" "," ","|",3))+1,FIND("|",SUBSTITUTE($H2746&amp;" "," ","|",4))-FIND("|",SUBSTITUTE($H2746&amp;" "," ","|",3))-1),""))</f>
        <v/>
      </c>
      <c r="F2746" s="59">
        <f>IF($H2746="","",IFERROR(VALUE(IFERROR(MID($H2746&amp;" ",FIND("|",SUBSTITUTE($H2746&amp;" "," ","|",4))+1,FIND("|",SUBSTITUTE($H2746&amp;" "," ","|",5))-FIND("|",SUBSTITUTE($H2746&amp;" "," ","|",4))-1),""))/86400+25569+9/24,""))</f>
        <v/>
      </c>
      <c r="G2746" s="58">
        <f>TRIM(SUBSTITUTE(SUBSTITUTE(SUBSTITUTE($A2746,CHAR(9)," ")," "," "),CHAR(13),""))</f>
        <v/>
      </c>
      <c r="H2746" s="58">
        <f>IF($G2746="","",IF(ISNUMBER(FIND(" ",$G2746)),$G2746,IFERROR(IF((LEN(SUBSTITUTE(SUBSTITUTE($G2746,"-"," ",LEN($G2746)-LEN(SUBSTITUTE($G2746,"-",""))),"-"," ",LEN($G2746)-LEN(SUBSTITUTE($G2746,"-",""))-1))-LEN(SUBSTITUTE(SUBSTITUTE(SUBSTITUTE($G2746,"-"," ",LEN($G2746)-LEN(SUBSTITUTE($G2746,"-",""))),"-"," ",LEN($G2746)-LEN(SUBSTITUTE($G2746,"-",""))-1),".","")))=0,SUBSTITUTE(SUBSTITUTE($G2746,"-"," ",LEN($G2746)-LEN(SUBSTITUTE($G2746,"-",""))),"-"," ",LEN($G2746)-LEN(SUBSTITUTE($G2746,"-",""))-1),SUBSTITUTE(SUBSTITUTE(SUBSTITUTE($G2746,"-"," ",LEN($G2746)-LEN(SUBSTITUTE($G2746,"-",""))),"-"," ",LEN($G2746)-LEN(SUBSTITUTE($G2746,"-",""))-1),"."," ",(LEN(SUBSTITUTE(SUBSTITUTE($G2746,"-"," ",LEN($G2746)-LEN(SUBSTITUTE($G2746,"-",""))),"-"," ",LEN($G2746)-LEN(SUBSTITUTE($G2746,"-",""))-1))-LEN(SUBSTITUTE(SUBSTITUTE(SUBSTITUTE($G2746,"-"," ",LEN($G2746)-LEN(SUBSTITUTE($G2746,"-",""))),"-"," ",LEN($G2746)-LEN(SUBSTITUTE($G2746,"-",""))-1),".",""))))),$G2746)))</f>
        <v/>
      </c>
    </row>
    <row r="2747">
      <c r="A2747" s="58" t="n"/>
      <c r="B2747" s="58">
        <f>IF($H2747="","",LEFT($H2747,FIND(" ",$H2747&amp;" ")-1))</f>
        <v/>
      </c>
      <c r="C2747" s="58">
        <f>IF($H2747="","",IFERROR(MID($H2747&amp;" ",FIND("|",SUBSTITUTE($H2747&amp;" "," ","|",1))+1,FIND("|",SUBSTITUTE($H2747&amp;" "," ","|",2))-FIND("|",SUBSTITUTE($H2747&amp;" "," ","|",1))-1),""))</f>
        <v/>
      </c>
      <c r="D2747" s="58">
        <f>IF($H2747="","",IFERROR(MID($H2747&amp;" ",FIND("|",SUBSTITUTE($H2747&amp;" "," ","|",2))+1,FIND("|",SUBSTITUTE($H2747&amp;" "," ","|",3))-FIND("|",SUBSTITUTE($H2747&amp;" "," ","|",2))-1),""))</f>
        <v/>
      </c>
      <c r="E2747" s="58">
        <f>IF($H2747="","",IFERROR(MID($H2747&amp;" ",FIND("|",SUBSTITUTE($H2747&amp;" "," ","|",3))+1,FIND("|",SUBSTITUTE($H2747&amp;" "," ","|",4))-FIND("|",SUBSTITUTE($H2747&amp;" "," ","|",3))-1),""))</f>
        <v/>
      </c>
      <c r="F2747" s="59">
        <f>IF($H2747="","",IFERROR(VALUE(IFERROR(MID($H2747&amp;" ",FIND("|",SUBSTITUTE($H2747&amp;" "," ","|",4))+1,FIND("|",SUBSTITUTE($H2747&amp;" "," ","|",5))-FIND("|",SUBSTITUTE($H2747&amp;" "," ","|",4))-1),""))/86400+25569+9/24,""))</f>
        <v/>
      </c>
      <c r="G2747" s="58">
        <f>TRIM(SUBSTITUTE(SUBSTITUTE(SUBSTITUTE($A2747,CHAR(9)," ")," "," "),CHAR(13),""))</f>
        <v/>
      </c>
      <c r="H2747" s="58">
        <f>IF($G2747="","",IF(ISNUMBER(FIND(" ",$G2747)),$G2747,IFERROR(IF((LEN(SUBSTITUTE(SUBSTITUTE($G2747,"-"," ",LEN($G2747)-LEN(SUBSTITUTE($G2747,"-",""))),"-"," ",LEN($G2747)-LEN(SUBSTITUTE($G2747,"-",""))-1))-LEN(SUBSTITUTE(SUBSTITUTE(SUBSTITUTE($G2747,"-"," ",LEN($G2747)-LEN(SUBSTITUTE($G2747,"-",""))),"-"," ",LEN($G2747)-LEN(SUBSTITUTE($G2747,"-",""))-1),".","")))=0,SUBSTITUTE(SUBSTITUTE($G2747,"-"," ",LEN($G2747)-LEN(SUBSTITUTE($G2747,"-",""))),"-"," ",LEN($G2747)-LEN(SUBSTITUTE($G2747,"-",""))-1),SUBSTITUTE(SUBSTITUTE(SUBSTITUTE($G2747,"-"," ",LEN($G2747)-LEN(SUBSTITUTE($G2747,"-",""))),"-"," ",LEN($G2747)-LEN(SUBSTITUTE($G2747,"-",""))-1),"."," ",(LEN(SUBSTITUTE(SUBSTITUTE($G2747,"-"," ",LEN($G2747)-LEN(SUBSTITUTE($G2747,"-",""))),"-"," ",LEN($G2747)-LEN(SUBSTITUTE($G2747,"-",""))-1))-LEN(SUBSTITUTE(SUBSTITUTE(SUBSTITUTE($G2747,"-"," ",LEN($G2747)-LEN(SUBSTITUTE($G2747,"-",""))),"-"," ",LEN($G2747)-LEN(SUBSTITUTE($G2747,"-",""))-1),".",""))))),$G2747)))</f>
        <v/>
      </c>
    </row>
    <row r="2748">
      <c r="A2748" s="58" t="n"/>
      <c r="B2748" s="58">
        <f>IF($H2748="","",LEFT($H2748,FIND(" ",$H2748&amp;" ")-1))</f>
        <v/>
      </c>
      <c r="C2748" s="58">
        <f>IF($H2748="","",IFERROR(MID($H2748&amp;" ",FIND("|",SUBSTITUTE($H2748&amp;" "," ","|",1))+1,FIND("|",SUBSTITUTE($H2748&amp;" "," ","|",2))-FIND("|",SUBSTITUTE($H2748&amp;" "," ","|",1))-1),""))</f>
        <v/>
      </c>
      <c r="D2748" s="58">
        <f>IF($H2748="","",IFERROR(MID($H2748&amp;" ",FIND("|",SUBSTITUTE($H2748&amp;" "," ","|",2))+1,FIND("|",SUBSTITUTE($H2748&amp;" "," ","|",3))-FIND("|",SUBSTITUTE($H2748&amp;" "," ","|",2))-1),""))</f>
        <v/>
      </c>
      <c r="E2748" s="58">
        <f>IF($H2748="","",IFERROR(MID($H2748&amp;" ",FIND("|",SUBSTITUTE($H2748&amp;" "," ","|",3))+1,FIND("|",SUBSTITUTE($H2748&amp;" "," ","|",4))-FIND("|",SUBSTITUTE($H2748&amp;" "," ","|",3))-1),""))</f>
        <v/>
      </c>
      <c r="F2748" s="59">
        <f>IF($H2748="","",IFERROR(VALUE(IFERROR(MID($H2748&amp;" ",FIND("|",SUBSTITUTE($H2748&amp;" "," ","|",4))+1,FIND("|",SUBSTITUTE($H2748&amp;" "," ","|",5))-FIND("|",SUBSTITUTE($H2748&amp;" "," ","|",4))-1),""))/86400+25569+9/24,""))</f>
        <v/>
      </c>
      <c r="G2748" s="58">
        <f>TRIM(SUBSTITUTE(SUBSTITUTE(SUBSTITUTE($A2748,CHAR(9)," ")," "," "),CHAR(13),""))</f>
        <v/>
      </c>
      <c r="H2748" s="58">
        <f>IF($G2748="","",IF(ISNUMBER(FIND(" ",$G2748)),$G2748,IFERROR(IF((LEN(SUBSTITUTE(SUBSTITUTE($G2748,"-"," ",LEN($G2748)-LEN(SUBSTITUTE($G2748,"-",""))),"-"," ",LEN($G2748)-LEN(SUBSTITUTE($G2748,"-",""))-1))-LEN(SUBSTITUTE(SUBSTITUTE(SUBSTITUTE($G2748,"-"," ",LEN($G2748)-LEN(SUBSTITUTE($G2748,"-",""))),"-"," ",LEN($G2748)-LEN(SUBSTITUTE($G2748,"-",""))-1),".","")))=0,SUBSTITUTE(SUBSTITUTE($G2748,"-"," ",LEN($G2748)-LEN(SUBSTITUTE($G2748,"-",""))),"-"," ",LEN($G2748)-LEN(SUBSTITUTE($G2748,"-",""))-1),SUBSTITUTE(SUBSTITUTE(SUBSTITUTE($G2748,"-"," ",LEN($G2748)-LEN(SUBSTITUTE($G2748,"-",""))),"-"," ",LEN($G2748)-LEN(SUBSTITUTE($G2748,"-",""))-1),"."," ",(LEN(SUBSTITUTE(SUBSTITUTE($G2748,"-"," ",LEN($G2748)-LEN(SUBSTITUTE($G2748,"-",""))),"-"," ",LEN($G2748)-LEN(SUBSTITUTE($G2748,"-",""))-1))-LEN(SUBSTITUTE(SUBSTITUTE(SUBSTITUTE($G2748,"-"," ",LEN($G2748)-LEN(SUBSTITUTE($G2748,"-",""))),"-"," ",LEN($G2748)-LEN(SUBSTITUTE($G2748,"-",""))-1),".",""))))),$G2748)))</f>
        <v/>
      </c>
    </row>
    <row r="2749">
      <c r="A2749" s="58" t="n"/>
      <c r="B2749" s="58">
        <f>IF($H2749="","",LEFT($H2749,FIND(" ",$H2749&amp;" ")-1))</f>
        <v/>
      </c>
      <c r="C2749" s="58">
        <f>IF($H2749="","",IFERROR(MID($H2749&amp;" ",FIND("|",SUBSTITUTE($H2749&amp;" "," ","|",1))+1,FIND("|",SUBSTITUTE($H2749&amp;" "," ","|",2))-FIND("|",SUBSTITUTE($H2749&amp;" "," ","|",1))-1),""))</f>
        <v/>
      </c>
      <c r="D2749" s="58">
        <f>IF($H2749="","",IFERROR(MID($H2749&amp;" ",FIND("|",SUBSTITUTE($H2749&amp;" "," ","|",2))+1,FIND("|",SUBSTITUTE($H2749&amp;" "," ","|",3))-FIND("|",SUBSTITUTE($H2749&amp;" "," ","|",2))-1),""))</f>
        <v/>
      </c>
      <c r="E2749" s="58">
        <f>IF($H2749="","",IFERROR(MID($H2749&amp;" ",FIND("|",SUBSTITUTE($H2749&amp;" "," ","|",3))+1,FIND("|",SUBSTITUTE($H2749&amp;" "," ","|",4))-FIND("|",SUBSTITUTE($H2749&amp;" "," ","|",3))-1),""))</f>
        <v/>
      </c>
      <c r="F2749" s="59">
        <f>IF($H2749="","",IFERROR(VALUE(IFERROR(MID($H2749&amp;" ",FIND("|",SUBSTITUTE($H2749&amp;" "," ","|",4))+1,FIND("|",SUBSTITUTE($H2749&amp;" "," ","|",5))-FIND("|",SUBSTITUTE($H2749&amp;" "," ","|",4))-1),""))/86400+25569+9/24,""))</f>
        <v/>
      </c>
      <c r="G2749" s="58">
        <f>TRIM(SUBSTITUTE(SUBSTITUTE(SUBSTITUTE($A2749,CHAR(9)," ")," "," "),CHAR(13),""))</f>
        <v/>
      </c>
      <c r="H2749" s="58">
        <f>IF($G2749="","",IF(ISNUMBER(FIND(" ",$G2749)),$G2749,IFERROR(IF((LEN(SUBSTITUTE(SUBSTITUTE($G2749,"-"," ",LEN($G2749)-LEN(SUBSTITUTE($G2749,"-",""))),"-"," ",LEN($G2749)-LEN(SUBSTITUTE($G2749,"-",""))-1))-LEN(SUBSTITUTE(SUBSTITUTE(SUBSTITUTE($G2749,"-"," ",LEN($G2749)-LEN(SUBSTITUTE($G2749,"-",""))),"-"," ",LEN($G2749)-LEN(SUBSTITUTE($G2749,"-",""))-1),".","")))=0,SUBSTITUTE(SUBSTITUTE($G2749,"-"," ",LEN($G2749)-LEN(SUBSTITUTE($G2749,"-",""))),"-"," ",LEN($G2749)-LEN(SUBSTITUTE($G2749,"-",""))-1),SUBSTITUTE(SUBSTITUTE(SUBSTITUTE($G2749,"-"," ",LEN($G2749)-LEN(SUBSTITUTE($G2749,"-",""))),"-"," ",LEN($G2749)-LEN(SUBSTITUTE($G2749,"-",""))-1),"."," ",(LEN(SUBSTITUTE(SUBSTITUTE($G2749,"-"," ",LEN($G2749)-LEN(SUBSTITUTE($G2749,"-",""))),"-"," ",LEN($G2749)-LEN(SUBSTITUTE($G2749,"-",""))-1))-LEN(SUBSTITUTE(SUBSTITUTE(SUBSTITUTE($G2749,"-"," ",LEN($G2749)-LEN(SUBSTITUTE($G2749,"-",""))),"-"," ",LEN($G2749)-LEN(SUBSTITUTE($G2749,"-",""))-1),".",""))))),$G2749)))</f>
        <v/>
      </c>
    </row>
    <row r="2750">
      <c r="A2750" s="58" t="n"/>
      <c r="B2750" s="58">
        <f>IF($H2750="","",LEFT($H2750,FIND(" ",$H2750&amp;" ")-1))</f>
        <v/>
      </c>
      <c r="C2750" s="58">
        <f>IF($H2750="","",IFERROR(MID($H2750&amp;" ",FIND("|",SUBSTITUTE($H2750&amp;" "," ","|",1))+1,FIND("|",SUBSTITUTE($H2750&amp;" "," ","|",2))-FIND("|",SUBSTITUTE($H2750&amp;" "," ","|",1))-1),""))</f>
        <v/>
      </c>
      <c r="D2750" s="58">
        <f>IF($H2750="","",IFERROR(MID($H2750&amp;" ",FIND("|",SUBSTITUTE($H2750&amp;" "," ","|",2))+1,FIND("|",SUBSTITUTE($H2750&amp;" "," ","|",3))-FIND("|",SUBSTITUTE($H2750&amp;" "," ","|",2))-1),""))</f>
        <v/>
      </c>
      <c r="E2750" s="58">
        <f>IF($H2750="","",IFERROR(MID($H2750&amp;" ",FIND("|",SUBSTITUTE($H2750&amp;" "," ","|",3))+1,FIND("|",SUBSTITUTE($H2750&amp;" "," ","|",4))-FIND("|",SUBSTITUTE($H2750&amp;" "," ","|",3))-1),""))</f>
        <v/>
      </c>
      <c r="F2750" s="59">
        <f>IF($H2750="","",IFERROR(VALUE(IFERROR(MID($H2750&amp;" ",FIND("|",SUBSTITUTE($H2750&amp;" "," ","|",4))+1,FIND("|",SUBSTITUTE($H2750&amp;" "," ","|",5))-FIND("|",SUBSTITUTE($H2750&amp;" "," ","|",4))-1),""))/86400+25569+9/24,""))</f>
        <v/>
      </c>
      <c r="G2750" s="58">
        <f>TRIM(SUBSTITUTE(SUBSTITUTE(SUBSTITUTE($A2750,CHAR(9)," ")," "," "),CHAR(13),""))</f>
        <v/>
      </c>
      <c r="H2750" s="58">
        <f>IF($G2750="","",IF(ISNUMBER(FIND(" ",$G2750)),$G2750,IFERROR(IF((LEN(SUBSTITUTE(SUBSTITUTE($G2750,"-"," ",LEN($G2750)-LEN(SUBSTITUTE($G2750,"-",""))),"-"," ",LEN($G2750)-LEN(SUBSTITUTE($G2750,"-",""))-1))-LEN(SUBSTITUTE(SUBSTITUTE(SUBSTITUTE($G2750,"-"," ",LEN($G2750)-LEN(SUBSTITUTE($G2750,"-",""))),"-"," ",LEN($G2750)-LEN(SUBSTITUTE($G2750,"-",""))-1),".","")))=0,SUBSTITUTE(SUBSTITUTE($G2750,"-"," ",LEN($G2750)-LEN(SUBSTITUTE($G2750,"-",""))),"-"," ",LEN($G2750)-LEN(SUBSTITUTE($G2750,"-",""))-1),SUBSTITUTE(SUBSTITUTE(SUBSTITUTE($G2750,"-"," ",LEN($G2750)-LEN(SUBSTITUTE($G2750,"-",""))),"-"," ",LEN($G2750)-LEN(SUBSTITUTE($G2750,"-",""))-1),"."," ",(LEN(SUBSTITUTE(SUBSTITUTE($G2750,"-"," ",LEN($G2750)-LEN(SUBSTITUTE($G2750,"-",""))),"-"," ",LEN($G2750)-LEN(SUBSTITUTE($G2750,"-",""))-1))-LEN(SUBSTITUTE(SUBSTITUTE(SUBSTITUTE($G2750,"-"," ",LEN($G2750)-LEN(SUBSTITUTE($G2750,"-",""))),"-"," ",LEN($G2750)-LEN(SUBSTITUTE($G2750,"-",""))-1),".",""))))),$G2750)))</f>
        <v/>
      </c>
    </row>
    <row r="2751">
      <c r="A2751" s="58" t="n"/>
      <c r="B2751" s="58">
        <f>IF($H2751="","",LEFT($H2751,FIND(" ",$H2751&amp;" ")-1))</f>
        <v/>
      </c>
      <c r="C2751" s="58">
        <f>IF($H2751="","",IFERROR(MID($H2751&amp;" ",FIND("|",SUBSTITUTE($H2751&amp;" "," ","|",1))+1,FIND("|",SUBSTITUTE($H2751&amp;" "," ","|",2))-FIND("|",SUBSTITUTE($H2751&amp;" "," ","|",1))-1),""))</f>
        <v/>
      </c>
      <c r="D2751" s="58">
        <f>IF($H2751="","",IFERROR(MID($H2751&amp;" ",FIND("|",SUBSTITUTE($H2751&amp;" "," ","|",2))+1,FIND("|",SUBSTITUTE($H2751&amp;" "," ","|",3))-FIND("|",SUBSTITUTE($H2751&amp;" "," ","|",2))-1),""))</f>
        <v/>
      </c>
      <c r="E2751" s="58">
        <f>IF($H2751="","",IFERROR(MID($H2751&amp;" ",FIND("|",SUBSTITUTE($H2751&amp;" "," ","|",3))+1,FIND("|",SUBSTITUTE($H2751&amp;" "," ","|",4))-FIND("|",SUBSTITUTE($H2751&amp;" "," ","|",3))-1),""))</f>
        <v/>
      </c>
      <c r="F2751" s="59">
        <f>IF($H2751="","",IFERROR(VALUE(IFERROR(MID($H2751&amp;" ",FIND("|",SUBSTITUTE($H2751&amp;" "," ","|",4))+1,FIND("|",SUBSTITUTE($H2751&amp;" "," ","|",5))-FIND("|",SUBSTITUTE($H2751&amp;" "," ","|",4))-1),""))/86400+25569+9/24,""))</f>
        <v/>
      </c>
      <c r="G2751" s="58">
        <f>TRIM(SUBSTITUTE(SUBSTITUTE(SUBSTITUTE($A2751,CHAR(9)," ")," "," "),CHAR(13),""))</f>
        <v/>
      </c>
      <c r="H2751" s="58">
        <f>IF($G2751="","",IF(ISNUMBER(FIND(" ",$G2751)),$G2751,IFERROR(IF((LEN(SUBSTITUTE(SUBSTITUTE($G2751,"-"," ",LEN($G2751)-LEN(SUBSTITUTE($G2751,"-",""))),"-"," ",LEN($G2751)-LEN(SUBSTITUTE($G2751,"-",""))-1))-LEN(SUBSTITUTE(SUBSTITUTE(SUBSTITUTE($G2751,"-"," ",LEN($G2751)-LEN(SUBSTITUTE($G2751,"-",""))),"-"," ",LEN($G2751)-LEN(SUBSTITUTE($G2751,"-",""))-1),".","")))=0,SUBSTITUTE(SUBSTITUTE($G2751,"-"," ",LEN($G2751)-LEN(SUBSTITUTE($G2751,"-",""))),"-"," ",LEN($G2751)-LEN(SUBSTITUTE($G2751,"-",""))-1),SUBSTITUTE(SUBSTITUTE(SUBSTITUTE($G2751,"-"," ",LEN($G2751)-LEN(SUBSTITUTE($G2751,"-",""))),"-"," ",LEN($G2751)-LEN(SUBSTITUTE($G2751,"-",""))-1),"."," ",(LEN(SUBSTITUTE(SUBSTITUTE($G2751,"-"," ",LEN($G2751)-LEN(SUBSTITUTE($G2751,"-",""))),"-"," ",LEN($G2751)-LEN(SUBSTITUTE($G2751,"-",""))-1))-LEN(SUBSTITUTE(SUBSTITUTE(SUBSTITUTE($G2751,"-"," ",LEN($G2751)-LEN(SUBSTITUTE($G2751,"-",""))),"-"," ",LEN($G2751)-LEN(SUBSTITUTE($G2751,"-",""))-1),".",""))))),$G2751)))</f>
        <v/>
      </c>
    </row>
    <row r="2752">
      <c r="A2752" s="58" t="n"/>
      <c r="B2752" s="58">
        <f>IF($H2752="","",LEFT($H2752,FIND(" ",$H2752&amp;" ")-1))</f>
        <v/>
      </c>
      <c r="C2752" s="58">
        <f>IF($H2752="","",IFERROR(MID($H2752&amp;" ",FIND("|",SUBSTITUTE($H2752&amp;" "," ","|",1))+1,FIND("|",SUBSTITUTE($H2752&amp;" "," ","|",2))-FIND("|",SUBSTITUTE($H2752&amp;" "," ","|",1))-1),""))</f>
        <v/>
      </c>
      <c r="D2752" s="58">
        <f>IF($H2752="","",IFERROR(MID($H2752&amp;" ",FIND("|",SUBSTITUTE($H2752&amp;" "," ","|",2))+1,FIND("|",SUBSTITUTE($H2752&amp;" "," ","|",3))-FIND("|",SUBSTITUTE($H2752&amp;" "," ","|",2))-1),""))</f>
        <v/>
      </c>
      <c r="E2752" s="58">
        <f>IF($H2752="","",IFERROR(MID($H2752&amp;" ",FIND("|",SUBSTITUTE($H2752&amp;" "," ","|",3))+1,FIND("|",SUBSTITUTE($H2752&amp;" "," ","|",4))-FIND("|",SUBSTITUTE($H2752&amp;" "," ","|",3))-1),""))</f>
        <v/>
      </c>
      <c r="F2752" s="59">
        <f>IF($H2752="","",IFERROR(VALUE(IFERROR(MID($H2752&amp;" ",FIND("|",SUBSTITUTE($H2752&amp;" "," ","|",4))+1,FIND("|",SUBSTITUTE($H2752&amp;" "," ","|",5))-FIND("|",SUBSTITUTE($H2752&amp;" "," ","|",4))-1),""))/86400+25569+9/24,""))</f>
        <v/>
      </c>
      <c r="G2752" s="58">
        <f>TRIM(SUBSTITUTE(SUBSTITUTE(SUBSTITUTE($A2752,CHAR(9)," ")," "," "),CHAR(13),""))</f>
        <v/>
      </c>
      <c r="H2752" s="58">
        <f>IF($G2752="","",IF(ISNUMBER(FIND(" ",$G2752)),$G2752,IFERROR(IF((LEN(SUBSTITUTE(SUBSTITUTE($G2752,"-"," ",LEN($G2752)-LEN(SUBSTITUTE($G2752,"-",""))),"-"," ",LEN($G2752)-LEN(SUBSTITUTE($G2752,"-",""))-1))-LEN(SUBSTITUTE(SUBSTITUTE(SUBSTITUTE($G2752,"-"," ",LEN($G2752)-LEN(SUBSTITUTE($G2752,"-",""))),"-"," ",LEN($G2752)-LEN(SUBSTITUTE($G2752,"-",""))-1),".","")))=0,SUBSTITUTE(SUBSTITUTE($G2752,"-"," ",LEN($G2752)-LEN(SUBSTITUTE($G2752,"-",""))),"-"," ",LEN($G2752)-LEN(SUBSTITUTE($G2752,"-",""))-1),SUBSTITUTE(SUBSTITUTE(SUBSTITUTE($G2752,"-"," ",LEN($G2752)-LEN(SUBSTITUTE($G2752,"-",""))),"-"," ",LEN($G2752)-LEN(SUBSTITUTE($G2752,"-",""))-1),"."," ",(LEN(SUBSTITUTE(SUBSTITUTE($G2752,"-"," ",LEN($G2752)-LEN(SUBSTITUTE($G2752,"-",""))),"-"," ",LEN($G2752)-LEN(SUBSTITUTE($G2752,"-",""))-1))-LEN(SUBSTITUTE(SUBSTITUTE(SUBSTITUTE($G2752,"-"," ",LEN($G2752)-LEN(SUBSTITUTE($G2752,"-",""))),"-"," ",LEN($G2752)-LEN(SUBSTITUTE($G2752,"-",""))-1),".",""))))),$G2752)))</f>
        <v/>
      </c>
    </row>
    <row r="2753">
      <c r="A2753" s="58" t="n"/>
      <c r="B2753" s="58">
        <f>IF($H2753="","",LEFT($H2753,FIND(" ",$H2753&amp;" ")-1))</f>
        <v/>
      </c>
      <c r="C2753" s="58">
        <f>IF($H2753="","",IFERROR(MID($H2753&amp;" ",FIND("|",SUBSTITUTE($H2753&amp;" "," ","|",1))+1,FIND("|",SUBSTITUTE($H2753&amp;" "," ","|",2))-FIND("|",SUBSTITUTE($H2753&amp;" "," ","|",1))-1),""))</f>
        <v/>
      </c>
      <c r="D2753" s="58">
        <f>IF($H2753="","",IFERROR(MID($H2753&amp;" ",FIND("|",SUBSTITUTE($H2753&amp;" "," ","|",2))+1,FIND("|",SUBSTITUTE($H2753&amp;" "," ","|",3))-FIND("|",SUBSTITUTE($H2753&amp;" "," ","|",2))-1),""))</f>
        <v/>
      </c>
      <c r="E2753" s="58">
        <f>IF($H2753="","",IFERROR(MID($H2753&amp;" ",FIND("|",SUBSTITUTE($H2753&amp;" "," ","|",3))+1,FIND("|",SUBSTITUTE($H2753&amp;" "," ","|",4))-FIND("|",SUBSTITUTE($H2753&amp;" "," ","|",3))-1),""))</f>
        <v/>
      </c>
      <c r="F2753" s="59">
        <f>IF($H2753="","",IFERROR(VALUE(IFERROR(MID($H2753&amp;" ",FIND("|",SUBSTITUTE($H2753&amp;" "," ","|",4))+1,FIND("|",SUBSTITUTE($H2753&amp;" "," ","|",5))-FIND("|",SUBSTITUTE($H2753&amp;" "," ","|",4))-1),""))/86400+25569+9/24,""))</f>
        <v/>
      </c>
      <c r="G2753" s="58">
        <f>TRIM(SUBSTITUTE(SUBSTITUTE(SUBSTITUTE($A2753,CHAR(9)," ")," "," "),CHAR(13),""))</f>
        <v/>
      </c>
      <c r="H2753" s="58">
        <f>IF($G2753="","",IF(ISNUMBER(FIND(" ",$G2753)),$G2753,IFERROR(IF((LEN(SUBSTITUTE(SUBSTITUTE($G2753,"-"," ",LEN($G2753)-LEN(SUBSTITUTE($G2753,"-",""))),"-"," ",LEN($G2753)-LEN(SUBSTITUTE($G2753,"-",""))-1))-LEN(SUBSTITUTE(SUBSTITUTE(SUBSTITUTE($G2753,"-"," ",LEN($G2753)-LEN(SUBSTITUTE($G2753,"-",""))),"-"," ",LEN($G2753)-LEN(SUBSTITUTE($G2753,"-",""))-1),".","")))=0,SUBSTITUTE(SUBSTITUTE($G2753,"-"," ",LEN($G2753)-LEN(SUBSTITUTE($G2753,"-",""))),"-"," ",LEN($G2753)-LEN(SUBSTITUTE($G2753,"-",""))-1),SUBSTITUTE(SUBSTITUTE(SUBSTITUTE($G2753,"-"," ",LEN($G2753)-LEN(SUBSTITUTE($G2753,"-",""))),"-"," ",LEN($G2753)-LEN(SUBSTITUTE($G2753,"-",""))-1),"."," ",(LEN(SUBSTITUTE(SUBSTITUTE($G2753,"-"," ",LEN($G2753)-LEN(SUBSTITUTE($G2753,"-",""))),"-"," ",LEN($G2753)-LEN(SUBSTITUTE($G2753,"-",""))-1))-LEN(SUBSTITUTE(SUBSTITUTE(SUBSTITUTE($G2753,"-"," ",LEN($G2753)-LEN(SUBSTITUTE($G2753,"-",""))),"-"," ",LEN($G2753)-LEN(SUBSTITUTE($G2753,"-",""))-1),".",""))))),$G2753)))</f>
        <v/>
      </c>
    </row>
    <row r="2754">
      <c r="A2754" s="58" t="n"/>
      <c r="B2754" s="58">
        <f>IF($H2754="","",LEFT($H2754,FIND(" ",$H2754&amp;" ")-1))</f>
        <v/>
      </c>
      <c r="C2754" s="58">
        <f>IF($H2754="","",IFERROR(MID($H2754&amp;" ",FIND("|",SUBSTITUTE($H2754&amp;" "," ","|",1))+1,FIND("|",SUBSTITUTE($H2754&amp;" "," ","|",2))-FIND("|",SUBSTITUTE($H2754&amp;" "," ","|",1))-1),""))</f>
        <v/>
      </c>
      <c r="D2754" s="58">
        <f>IF($H2754="","",IFERROR(MID($H2754&amp;" ",FIND("|",SUBSTITUTE($H2754&amp;" "," ","|",2))+1,FIND("|",SUBSTITUTE($H2754&amp;" "," ","|",3))-FIND("|",SUBSTITUTE($H2754&amp;" "," ","|",2))-1),""))</f>
        <v/>
      </c>
      <c r="E2754" s="58">
        <f>IF($H2754="","",IFERROR(MID($H2754&amp;" ",FIND("|",SUBSTITUTE($H2754&amp;" "," ","|",3))+1,FIND("|",SUBSTITUTE($H2754&amp;" "," ","|",4))-FIND("|",SUBSTITUTE($H2754&amp;" "," ","|",3))-1),""))</f>
        <v/>
      </c>
      <c r="F2754" s="59">
        <f>IF($H2754="","",IFERROR(VALUE(IFERROR(MID($H2754&amp;" ",FIND("|",SUBSTITUTE($H2754&amp;" "," ","|",4))+1,FIND("|",SUBSTITUTE($H2754&amp;" "," ","|",5))-FIND("|",SUBSTITUTE($H2754&amp;" "," ","|",4))-1),""))/86400+25569+9/24,""))</f>
        <v/>
      </c>
      <c r="G2754" s="58">
        <f>TRIM(SUBSTITUTE(SUBSTITUTE(SUBSTITUTE($A2754,CHAR(9)," ")," "," "),CHAR(13),""))</f>
        <v/>
      </c>
      <c r="H2754" s="58">
        <f>IF($G2754="","",IF(ISNUMBER(FIND(" ",$G2754)),$G2754,IFERROR(IF((LEN(SUBSTITUTE(SUBSTITUTE($G2754,"-"," ",LEN($G2754)-LEN(SUBSTITUTE($G2754,"-",""))),"-"," ",LEN($G2754)-LEN(SUBSTITUTE($G2754,"-",""))-1))-LEN(SUBSTITUTE(SUBSTITUTE(SUBSTITUTE($G2754,"-"," ",LEN($G2754)-LEN(SUBSTITUTE($G2754,"-",""))),"-"," ",LEN($G2754)-LEN(SUBSTITUTE($G2754,"-",""))-1),".","")))=0,SUBSTITUTE(SUBSTITUTE($G2754,"-"," ",LEN($G2754)-LEN(SUBSTITUTE($G2754,"-",""))),"-"," ",LEN($G2754)-LEN(SUBSTITUTE($G2754,"-",""))-1),SUBSTITUTE(SUBSTITUTE(SUBSTITUTE($G2754,"-"," ",LEN($G2754)-LEN(SUBSTITUTE($G2754,"-",""))),"-"," ",LEN($G2754)-LEN(SUBSTITUTE($G2754,"-",""))-1),"."," ",(LEN(SUBSTITUTE(SUBSTITUTE($G2754,"-"," ",LEN($G2754)-LEN(SUBSTITUTE($G2754,"-",""))),"-"," ",LEN($G2754)-LEN(SUBSTITUTE($G2754,"-",""))-1))-LEN(SUBSTITUTE(SUBSTITUTE(SUBSTITUTE($G2754,"-"," ",LEN($G2754)-LEN(SUBSTITUTE($G2754,"-",""))),"-"," ",LEN($G2754)-LEN(SUBSTITUTE($G2754,"-",""))-1),".",""))))),$G2754)))</f>
        <v/>
      </c>
    </row>
    <row r="2755">
      <c r="A2755" s="58" t="n"/>
      <c r="B2755" s="58">
        <f>IF($H2755="","",LEFT($H2755,FIND(" ",$H2755&amp;" ")-1))</f>
        <v/>
      </c>
      <c r="C2755" s="58">
        <f>IF($H2755="","",IFERROR(MID($H2755&amp;" ",FIND("|",SUBSTITUTE($H2755&amp;" "," ","|",1))+1,FIND("|",SUBSTITUTE($H2755&amp;" "," ","|",2))-FIND("|",SUBSTITUTE($H2755&amp;" "," ","|",1))-1),""))</f>
        <v/>
      </c>
      <c r="D2755" s="58">
        <f>IF($H2755="","",IFERROR(MID($H2755&amp;" ",FIND("|",SUBSTITUTE($H2755&amp;" "," ","|",2))+1,FIND("|",SUBSTITUTE($H2755&amp;" "," ","|",3))-FIND("|",SUBSTITUTE($H2755&amp;" "," ","|",2))-1),""))</f>
        <v/>
      </c>
      <c r="E2755" s="58">
        <f>IF($H2755="","",IFERROR(MID($H2755&amp;" ",FIND("|",SUBSTITUTE($H2755&amp;" "," ","|",3))+1,FIND("|",SUBSTITUTE($H2755&amp;" "," ","|",4))-FIND("|",SUBSTITUTE($H2755&amp;" "," ","|",3))-1),""))</f>
        <v/>
      </c>
      <c r="F2755" s="59">
        <f>IF($H2755="","",IFERROR(VALUE(IFERROR(MID($H2755&amp;" ",FIND("|",SUBSTITUTE($H2755&amp;" "," ","|",4))+1,FIND("|",SUBSTITUTE($H2755&amp;" "," ","|",5))-FIND("|",SUBSTITUTE($H2755&amp;" "," ","|",4))-1),""))/86400+25569+9/24,""))</f>
        <v/>
      </c>
      <c r="G2755" s="58">
        <f>TRIM(SUBSTITUTE(SUBSTITUTE(SUBSTITUTE($A2755,CHAR(9)," ")," "," "),CHAR(13),""))</f>
        <v/>
      </c>
      <c r="H2755" s="58">
        <f>IF($G2755="","",IF(ISNUMBER(FIND(" ",$G2755)),$G2755,IFERROR(IF((LEN(SUBSTITUTE(SUBSTITUTE($G2755,"-"," ",LEN($G2755)-LEN(SUBSTITUTE($G2755,"-",""))),"-"," ",LEN($G2755)-LEN(SUBSTITUTE($G2755,"-",""))-1))-LEN(SUBSTITUTE(SUBSTITUTE(SUBSTITUTE($G2755,"-"," ",LEN($G2755)-LEN(SUBSTITUTE($G2755,"-",""))),"-"," ",LEN($G2755)-LEN(SUBSTITUTE($G2755,"-",""))-1),".","")))=0,SUBSTITUTE(SUBSTITUTE($G2755,"-"," ",LEN($G2755)-LEN(SUBSTITUTE($G2755,"-",""))),"-"," ",LEN($G2755)-LEN(SUBSTITUTE($G2755,"-",""))-1),SUBSTITUTE(SUBSTITUTE(SUBSTITUTE($G2755,"-"," ",LEN($G2755)-LEN(SUBSTITUTE($G2755,"-",""))),"-"," ",LEN($G2755)-LEN(SUBSTITUTE($G2755,"-",""))-1),"."," ",(LEN(SUBSTITUTE(SUBSTITUTE($G2755,"-"," ",LEN($G2755)-LEN(SUBSTITUTE($G2755,"-",""))),"-"," ",LEN($G2755)-LEN(SUBSTITUTE($G2755,"-",""))-1))-LEN(SUBSTITUTE(SUBSTITUTE(SUBSTITUTE($G2755,"-"," ",LEN($G2755)-LEN(SUBSTITUTE($G2755,"-",""))),"-"," ",LEN($G2755)-LEN(SUBSTITUTE($G2755,"-",""))-1),".",""))))),$G2755)))</f>
        <v/>
      </c>
    </row>
    <row r="2756">
      <c r="A2756" s="58" t="n"/>
      <c r="B2756" s="58">
        <f>IF($H2756="","",LEFT($H2756,FIND(" ",$H2756&amp;" ")-1))</f>
        <v/>
      </c>
      <c r="C2756" s="58">
        <f>IF($H2756="","",IFERROR(MID($H2756&amp;" ",FIND("|",SUBSTITUTE($H2756&amp;" "," ","|",1))+1,FIND("|",SUBSTITUTE($H2756&amp;" "," ","|",2))-FIND("|",SUBSTITUTE($H2756&amp;" "," ","|",1))-1),""))</f>
        <v/>
      </c>
      <c r="D2756" s="58">
        <f>IF($H2756="","",IFERROR(MID($H2756&amp;" ",FIND("|",SUBSTITUTE($H2756&amp;" "," ","|",2))+1,FIND("|",SUBSTITUTE($H2756&amp;" "," ","|",3))-FIND("|",SUBSTITUTE($H2756&amp;" "," ","|",2))-1),""))</f>
        <v/>
      </c>
      <c r="E2756" s="58">
        <f>IF($H2756="","",IFERROR(MID($H2756&amp;" ",FIND("|",SUBSTITUTE($H2756&amp;" "," ","|",3))+1,FIND("|",SUBSTITUTE($H2756&amp;" "," ","|",4))-FIND("|",SUBSTITUTE($H2756&amp;" "," ","|",3))-1),""))</f>
        <v/>
      </c>
      <c r="F2756" s="59">
        <f>IF($H2756="","",IFERROR(VALUE(IFERROR(MID($H2756&amp;" ",FIND("|",SUBSTITUTE($H2756&amp;" "," ","|",4))+1,FIND("|",SUBSTITUTE($H2756&amp;" "," ","|",5))-FIND("|",SUBSTITUTE($H2756&amp;" "," ","|",4))-1),""))/86400+25569+9/24,""))</f>
        <v/>
      </c>
      <c r="G2756" s="58">
        <f>TRIM(SUBSTITUTE(SUBSTITUTE(SUBSTITUTE($A2756,CHAR(9)," ")," "," "),CHAR(13),""))</f>
        <v/>
      </c>
      <c r="H2756" s="58">
        <f>IF($G2756="","",IF(ISNUMBER(FIND(" ",$G2756)),$G2756,IFERROR(IF((LEN(SUBSTITUTE(SUBSTITUTE($G2756,"-"," ",LEN($G2756)-LEN(SUBSTITUTE($G2756,"-",""))),"-"," ",LEN($G2756)-LEN(SUBSTITUTE($G2756,"-",""))-1))-LEN(SUBSTITUTE(SUBSTITUTE(SUBSTITUTE($G2756,"-"," ",LEN($G2756)-LEN(SUBSTITUTE($G2756,"-",""))),"-"," ",LEN($G2756)-LEN(SUBSTITUTE($G2756,"-",""))-1),".","")))=0,SUBSTITUTE(SUBSTITUTE($G2756,"-"," ",LEN($G2756)-LEN(SUBSTITUTE($G2756,"-",""))),"-"," ",LEN($G2756)-LEN(SUBSTITUTE($G2756,"-",""))-1),SUBSTITUTE(SUBSTITUTE(SUBSTITUTE($G2756,"-"," ",LEN($G2756)-LEN(SUBSTITUTE($G2756,"-",""))),"-"," ",LEN($G2756)-LEN(SUBSTITUTE($G2756,"-",""))-1),"."," ",(LEN(SUBSTITUTE(SUBSTITUTE($G2756,"-"," ",LEN($G2756)-LEN(SUBSTITUTE($G2756,"-",""))),"-"," ",LEN($G2756)-LEN(SUBSTITUTE($G2756,"-",""))-1))-LEN(SUBSTITUTE(SUBSTITUTE(SUBSTITUTE($G2756,"-"," ",LEN($G2756)-LEN(SUBSTITUTE($G2756,"-",""))),"-"," ",LEN($G2756)-LEN(SUBSTITUTE($G2756,"-",""))-1),".",""))))),$G2756)))</f>
        <v/>
      </c>
    </row>
    <row r="2757">
      <c r="A2757" s="58" t="n"/>
      <c r="B2757" s="58">
        <f>IF($H2757="","",LEFT($H2757,FIND(" ",$H2757&amp;" ")-1))</f>
        <v/>
      </c>
      <c r="C2757" s="58">
        <f>IF($H2757="","",IFERROR(MID($H2757&amp;" ",FIND("|",SUBSTITUTE($H2757&amp;" "," ","|",1))+1,FIND("|",SUBSTITUTE($H2757&amp;" "," ","|",2))-FIND("|",SUBSTITUTE($H2757&amp;" "," ","|",1))-1),""))</f>
        <v/>
      </c>
      <c r="D2757" s="58">
        <f>IF($H2757="","",IFERROR(MID($H2757&amp;" ",FIND("|",SUBSTITUTE($H2757&amp;" "," ","|",2))+1,FIND("|",SUBSTITUTE($H2757&amp;" "," ","|",3))-FIND("|",SUBSTITUTE($H2757&amp;" "," ","|",2))-1),""))</f>
        <v/>
      </c>
      <c r="E2757" s="58">
        <f>IF($H2757="","",IFERROR(MID($H2757&amp;" ",FIND("|",SUBSTITUTE($H2757&amp;" "," ","|",3))+1,FIND("|",SUBSTITUTE($H2757&amp;" "," ","|",4))-FIND("|",SUBSTITUTE($H2757&amp;" "," ","|",3))-1),""))</f>
        <v/>
      </c>
      <c r="F2757" s="59">
        <f>IF($H2757="","",IFERROR(VALUE(IFERROR(MID($H2757&amp;" ",FIND("|",SUBSTITUTE($H2757&amp;" "," ","|",4))+1,FIND("|",SUBSTITUTE($H2757&amp;" "," ","|",5))-FIND("|",SUBSTITUTE($H2757&amp;" "," ","|",4))-1),""))/86400+25569+9/24,""))</f>
        <v/>
      </c>
      <c r="G2757" s="58">
        <f>TRIM(SUBSTITUTE(SUBSTITUTE(SUBSTITUTE($A2757,CHAR(9)," ")," "," "),CHAR(13),""))</f>
        <v/>
      </c>
      <c r="H2757" s="58">
        <f>IF($G2757="","",IF(ISNUMBER(FIND(" ",$G2757)),$G2757,IFERROR(IF((LEN(SUBSTITUTE(SUBSTITUTE($G2757,"-"," ",LEN($G2757)-LEN(SUBSTITUTE($G2757,"-",""))),"-"," ",LEN($G2757)-LEN(SUBSTITUTE($G2757,"-",""))-1))-LEN(SUBSTITUTE(SUBSTITUTE(SUBSTITUTE($G2757,"-"," ",LEN($G2757)-LEN(SUBSTITUTE($G2757,"-",""))),"-"," ",LEN($G2757)-LEN(SUBSTITUTE($G2757,"-",""))-1),".","")))=0,SUBSTITUTE(SUBSTITUTE($G2757,"-"," ",LEN($G2757)-LEN(SUBSTITUTE($G2757,"-",""))),"-"," ",LEN($G2757)-LEN(SUBSTITUTE($G2757,"-",""))-1),SUBSTITUTE(SUBSTITUTE(SUBSTITUTE($G2757,"-"," ",LEN($G2757)-LEN(SUBSTITUTE($G2757,"-",""))),"-"," ",LEN($G2757)-LEN(SUBSTITUTE($G2757,"-",""))-1),"."," ",(LEN(SUBSTITUTE(SUBSTITUTE($G2757,"-"," ",LEN($G2757)-LEN(SUBSTITUTE($G2757,"-",""))),"-"," ",LEN($G2757)-LEN(SUBSTITUTE($G2757,"-",""))-1))-LEN(SUBSTITUTE(SUBSTITUTE(SUBSTITUTE($G2757,"-"," ",LEN($G2757)-LEN(SUBSTITUTE($G2757,"-",""))),"-"," ",LEN($G2757)-LEN(SUBSTITUTE($G2757,"-",""))-1),".",""))))),$G2757)))</f>
        <v/>
      </c>
    </row>
    <row r="2758">
      <c r="A2758" s="58" t="n"/>
      <c r="B2758" s="58">
        <f>IF($H2758="","",LEFT($H2758,FIND(" ",$H2758&amp;" ")-1))</f>
        <v/>
      </c>
      <c r="C2758" s="58">
        <f>IF($H2758="","",IFERROR(MID($H2758&amp;" ",FIND("|",SUBSTITUTE($H2758&amp;" "," ","|",1))+1,FIND("|",SUBSTITUTE($H2758&amp;" "," ","|",2))-FIND("|",SUBSTITUTE($H2758&amp;" "," ","|",1))-1),""))</f>
        <v/>
      </c>
      <c r="D2758" s="58">
        <f>IF($H2758="","",IFERROR(MID($H2758&amp;" ",FIND("|",SUBSTITUTE($H2758&amp;" "," ","|",2))+1,FIND("|",SUBSTITUTE($H2758&amp;" "," ","|",3))-FIND("|",SUBSTITUTE($H2758&amp;" "," ","|",2))-1),""))</f>
        <v/>
      </c>
      <c r="E2758" s="58">
        <f>IF($H2758="","",IFERROR(MID($H2758&amp;" ",FIND("|",SUBSTITUTE($H2758&amp;" "," ","|",3))+1,FIND("|",SUBSTITUTE($H2758&amp;" "," ","|",4))-FIND("|",SUBSTITUTE($H2758&amp;" "," ","|",3))-1),""))</f>
        <v/>
      </c>
      <c r="F2758" s="59">
        <f>IF($H2758="","",IFERROR(VALUE(IFERROR(MID($H2758&amp;" ",FIND("|",SUBSTITUTE($H2758&amp;" "," ","|",4))+1,FIND("|",SUBSTITUTE($H2758&amp;" "," ","|",5))-FIND("|",SUBSTITUTE($H2758&amp;" "," ","|",4))-1),""))/86400+25569+9/24,""))</f>
        <v/>
      </c>
      <c r="G2758" s="58">
        <f>TRIM(SUBSTITUTE(SUBSTITUTE(SUBSTITUTE($A2758,CHAR(9)," ")," "," "),CHAR(13),""))</f>
        <v/>
      </c>
      <c r="H2758" s="58">
        <f>IF($G2758="","",IF(ISNUMBER(FIND(" ",$G2758)),$G2758,IFERROR(IF((LEN(SUBSTITUTE(SUBSTITUTE($G2758,"-"," ",LEN($G2758)-LEN(SUBSTITUTE($G2758,"-",""))),"-"," ",LEN($G2758)-LEN(SUBSTITUTE($G2758,"-",""))-1))-LEN(SUBSTITUTE(SUBSTITUTE(SUBSTITUTE($G2758,"-"," ",LEN($G2758)-LEN(SUBSTITUTE($G2758,"-",""))),"-"," ",LEN($G2758)-LEN(SUBSTITUTE($G2758,"-",""))-1),".","")))=0,SUBSTITUTE(SUBSTITUTE($G2758,"-"," ",LEN($G2758)-LEN(SUBSTITUTE($G2758,"-",""))),"-"," ",LEN($G2758)-LEN(SUBSTITUTE($G2758,"-",""))-1),SUBSTITUTE(SUBSTITUTE(SUBSTITUTE($G2758,"-"," ",LEN($G2758)-LEN(SUBSTITUTE($G2758,"-",""))),"-"," ",LEN($G2758)-LEN(SUBSTITUTE($G2758,"-",""))-1),"."," ",(LEN(SUBSTITUTE(SUBSTITUTE($G2758,"-"," ",LEN($G2758)-LEN(SUBSTITUTE($G2758,"-",""))),"-"," ",LEN($G2758)-LEN(SUBSTITUTE($G2758,"-",""))-1))-LEN(SUBSTITUTE(SUBSTITUTE(SUBSTITUTE($G2758,"-"," ",LEN($G2758)-LEN(SUBSTITUTE($G2758,"-",""))),"-"," ",LEN($G2758)-LEN(SUBSTITUTE($G2758,"-",""))-1),".",""))))),$G2758)))</f>
        <v/>
      </c>
    </row>
    <row r="2759">
      <c r="A2759" s="58" t="n"/>
      <c r="B2759" s="58">
        <f>IF($H2759="","",LEFT($H2759,FIND(" ",$H2759&amp;" ")-1))</f>
        <v/>
      </c>
      <c r="C2759" s="58">
        <f>IF($H2759="","",IFERROR(MID($H2759&amp;" ",FIND("|",SUBSTITUTE($H2759&amp;" "," ","|",1))+1,FIND("|",SUBSTITUTE($H2759&amp;" "," ","|",2))-FIND("|",SUBSTITUTE($H2759&amp;" "," ","|",1))-1),""))</f>
        <v/>
      </c>
      <c r="D2759" s="58">
        <f>IF($H2759="","",IFERROR(MID($H2759&amp;" ",FIND("|",SUBSTITUTE($H2759&amp;" "," ","|",2))+1,FIND("|",SUBSTITUTE($H2759&amp;" "," ","|",3))-FIND("|",SUBSTITUTE($H2759&amp;" "," ","|",2))-1),""))</f>
        <v/>
      </c>
      <c r="E2759" s="58">
        <f>IF($H2759="","",IFERROR(MID($H2759&amp;" ",FIND("|",SUBSTITUTE($H2759&amp;" "," ","|",3))+1,FIND("|",SUBSTITUTE($H2759&amp;" "," ","|",4))-FIND("|",SUBSTITUTE($H2759&amp;" "," ","|",3))-1),""))</f>
        <v/>
      </c>
      <c r="F2759" s="59">
        <f>IF($H2759="","",IFERROR(VALUE(IFERROR(MID($H2759&amp;" ",FIND("|",SUBSTITUTE($H2759&amp;" "," ","|",4))+1,FIND("|",SUBSTITUTE($H2759&amp;" "," ","|",5))-FIND("|",SUBSTITUTE($H2759&amp;" "," ","|",4))-1),""))/86400+25569+9/24,""))</f>
        <v/>
      </c>
      <c r="G2759" s="58">
        <f>TRIM(SUBSTITUTE(SUBSTITUTE(SUBSTITUTE($A2759,CHAR(9)," ")," "," "),CHAR(13),""))</f>
        <v/>
      </c>
      <c r="H2759" s="58">
        <f>IF($G2759="","",IF(ISNUMBER(FIND(" ",$G2759)),$G2759,IFERROR(IF((LEN(SUBSTITUTE(SUBSTITUTE($G2759,"-"," ",LEN($G2759)-LEN(SUBSTITUTE($G2759,"-",""))),"-"," ",LEN($G2759)-LEN(SUBSTITUTE($G2759,"-",""))-1))-LEN(SUBSTITUTE(SUBSTITUTE(SUBSTITUTE($G2759,"-"," ",LEN($G2759)-LEN(SUBSTITUTE($G2759,"-",""))),"-"," ",LEN($G2759)-LEN(SUBSTITUTE($G2759,"-",""))-1),".","")))=0,SUBSTITUTE(SUBSTITUTE($G2759,"-"," ",LEN($G2759)-LEN(SUBSTITUTE($G2759,"-",""))),"-"," ",LEN($G2759)-LEN(SUBSTITUTE($G2759,"-",""))-1),SUBSTITUTE(SUBSTITUTE(SUBSTITUTE($G2759,"-"," ",LEN($G2759)-LEN(SUBSTITUTE($G2759,"-",""))),"-"," ",LEN($G2759)-LEN(SUBSTITUTE($G2759,"-",""))-1),"."," ",(LEN(SUBSTITUTE(SUBSTITUTE($G2759,"-"," ",LEN($G2759)-LEN(SUBSTITUTE($G2759,"-",""))),"-"," ",LEN($G2759)-LEN(SUBSTITUTE($G2759,"-",""))-1))-LEN(SUBSTITUTE(SUBSTITUTE(SUBSTITUTE($G2759,"-"," ",LEN($G2759)-LEN(SUBSTITUTE($G2759,"-",""))),"-"," ",LEN($G2759)-LEN(SUBSTITUTE($G2759,"-",""))-1),".",""))))),$G2759)))</f>
        <v/>
      </c>
    </row>
    <row r="2760">
      <c r="A2760" s="58" t="n"/>
      <c r="B2760" s="58">
        <f>IF($H2760="","",LEFT($H2760,FIND(" ",$H2760&amp;" ")-1))</f>
        <v/>
      </c>
      <c r="C2760" s="58">
        <f>IF($H2760="","",IFERROR(MID($H2760&amp;" ",FIND("|",SUBSTITUTE($H2760&amp;" "," ","|",1))+1,FIND("|",SUBSTITUTE($H2760&amp;" "," ","|",2))-FIND("|",SUBSTITUTE($H2760&amp;" "," ","|",1))-1),""))</f>
        <v/>
      </c>
      <c r="D2760" s="58">
        <f>IF($H2760="","",IFERROR(MID($H2760&amp;" ",FIND("|",SUBSTITUTE($H2760&amp;" "," ","|",2))+1,FIND("|",SUBSTITUTE($H2760&amp;" "," ","|",3))-FIND("|",SUBSTITUTE($H2760&amp;" "," ","|",2))-1),""))</f>
        <v/>
      </c>
      <c r="E2760" s="58">
        <f>IF($H2760="","",IFERROR(MID($H2760&amp;" ",FIND("|",SUBSTITUTE($H2760&amp;" "," ","|",3))+1,FIND("|",SUBSTITUTE($H2760&amp;" "," ","|",4))-FIND("|",SUBSTITUTE($H2760&amp;" "," ","|",3))-1),""))</f>
        <v/>
      </c>
      <c r="F2760" s="59">
        <f>IF($H2760="","",IFERROR(VALUE(IFERROR(MID($H2760&amp;" ",FIND("|",SUBSTITUTE($H2760&amp;" "," ","|",4))+1,FIND("|",SUBSTITUTE($H2760&amp;" "," ","|",5))-FIND("|",SUBSTITUTE($H2760&amp;" "," ","|",4))-1),""))/86400+25569+9/24,""))</f>
        <v/>
      </c>
      <c r="G2760" s="58">
        <f>TRIM(SUBSTITUTE(SUBSTITUTE(SUBSTITUTE($A2760,CHAR(9)," ")," "," "),CHAR(13),""))</f>
        <v/>
      </c>
      <c r="H2760" s="58">
        <f>IF($G2760="","",IF(ISNUMBER(FIND(" ",$G2760)),$G2760,IFERROR(IF((LEN(SUBSTITUTE(SUBSTITUTE($G2760,"-"," ",LEN($G2760)-LEN(SUBSTITUTE($G2760,"-",""))),"-"," ",LEN($G2760)-LEN(SUBSTITUTE($G2760,"-",""))-1))-LEN(SUBSTITUTE(SUBSTITUTE(SUBSTITUTE($G2760,"-"," ",LEN($G2760)-LEN(SUBSTITUTE($G2760,"-",""))),"-"," ",LEN($G2760)-LEN(SUBSTITUTE($G2760,"-",""))-1),".","")))=0,SUBSTITUTE(SUBSTITUTE($G2760,"-"," ",LEN($G2760)-LEN(SUBSTITUTE($G2760,"-",""))),"-"," ",LEN($G2760)-LEN(SUBSTITUTE($G2760,"-",""))-1),SUBSTITUTE(SUBSTITUTE(SUBSTITUTE($G2760,"-"," ",LEN($G2760)-LEN(SUBSTITUTE($G2760,"-",""))),"-"," ",LEN($G2760)-LEN(SUBSTITUTE($G2760,"-",""))-1),"."," ",(LEN(SUBSTITUTE(SUBSTITUTE($G2760,"-"," ",LEN($G2760)-LEN(SUBSTITUTE($G2760,"-",""))),"-"," ",LEN($G2760)-LEN(SUBSTITUTE($G2760,"-",""))-1))-LEN(SUBSTITUTE(SUBSTITUTE(SUBSTITUTE($G2760,"-"," ",LEN($G2760)-LEN(SUBSTITUTE($G2760,"-",""))),"-"," ",LEN($G2760)-LEN(SUBSTITUTE($G2760,"-",""))-1),".",""))))),$G2760)))</f>
        <v/>
      </c>
    </row>
    <row r="2761">
      <c r="A2761" s="58" t="n"/>
      <c r="B2761" s="58">
        <f>IF($H2761="","",LEFT($H2761,FIND(" ",$H2761&amp;" ")-1))</f>
        <v/>
      </c>
      <c r="C2761" s="58">
        <f>IF($H2761="","",IFERROR(MID($H2761&amp;" ",FIND("|",SUBSTITUTE($H2761&amp;" "," ","|",1))+1,FIND("|",SUBSTITUTE($H2761&amp;" "," ","|",2))-FIND("|",SUBSTITUTE($H2761&amp;" "," ","|",1))-1),""))</f>
        <v/>
      </c>
      <c r="D2761" s="58">
        <f>IF($H2761="","",IFERROR(MID($H2761&amp;" ",FIND("|",SUBSTITUTE($H2761&amp;" "," ","|",2))+1,FIND("|",SUBSTITUTE($H2761&amp;" "," ","|",3))-FIND("|",SUBSTITUTE($H2761&amp;" "," ","|",2))-1),""))</f>
        <v/>
      </c>
      <c r="E2761" s="58">
        <f>IF($H2761="","",IFERROR(MID($H2761&amp;" ",FIND("|",SUBSTITUTE($H2761&amp;" "," ","|",3))+1,FIND("|",SUBSTITUTE($H2761&amp;" "," ","|",4))-FIND("|",SUBSTITUTE($H2761&amp;" "," ","|",3))-1),""))</f>
        <v/>
      </c>
      <c r="F2761" s="59">
        <f>IF($H2761="","",IFERROR(VALUE(IFERROR(MID($H2761&amp;" ",FIND("|",SUBSTITUTE($H2761&amp;" "," ","|",4))+1,FIND("|",SUBSTITUTE($H2761&amp;" "," ","|",5))-FIND("|",SUBSTITUTE($H2761&amp;" "," ","|",4))-1),""))/86400+25569+9/24,""))</f>
        <v/>
      </c>
      <c r="G2761" s="58">
        <f>TRIM(SUBSTITUTE(SUBSTITUTE(SUBSTITUTE($A2761,CHAR(9)," ")," "," "),CHAR(13),""))</f>
        <v/>
      </c>
      <c r="H2761" s="58">
        <f>IF($G2761="","",IF(ISNUMBER(FIND(" ",$G2761)),$G2761,IFERROR(IF((LEN(SUBSTITUTE(SUBSTITUTE($G2761,"-"," ",LEN($G2761)-LEN(SUBSTITUTE($G2761,"-",""))),"-"," ",LEN($G2761)-LEN(SUBSTITUTE($G2761,"-",""))-1))-LEN(SUBSTITUTE(SUBSTITUTE(SUBSTITUTE($G2761,"-"," ",LEN($G2761)-LEN(SUBSTITUTE($G2761,"-",""))),"-"," ",LEN($G2761)-LEN(SUBSTITUTE($G2761,"-",""))-1),".","")))=0,SUBSTITUTE(SUBSTITUTE($G2761,"-"," ",LEN($G2761)-LEN(SUBSTITUTE($G2761,"-",""))),"-"," ",LEN($G2761)-LEN(SUBSTITUTE($G2761,"-",""))-1),SUBSTITUTE(SUBSTITUTE(SUBSTITUTE($G2761,"-"," ",LEN($G2761)-LEN(SUBSTITUTE($G2761,"-",""))),"-"," ",LEN($G2761)-LEN(SUBSTITUTE($G2761,"-",""))-1),"."," ",(LEN(SUBSTITUTE(SUBSTITUTE($G2761,"-"," ",LEN($G2761)-LEN(SUBSTITUTE($G2761,"-",""))),"-"," ",LEN($G2761)-LEN(SUBSTITUTE($G2761,"-",""))-1))-LEN(SUBSTITUTE(SUBSTITUTE(SUBSTITUTE($G2761,"-"," ",LEN($G2761)-LEN(SUBSTITUTE($G2761,"-",""))),"-"," ",LEN($G2761)-LEN(SUBSTITUTE($G2761,"-",""))-1),".",""))))),$G2761)))</f>
        <v/>
      </c>
    </row>
    <row r="2762">
      <c r="A2762" s="58" t="n"/>
      <c r="B2762" s="58">
        <f>IF($H2762="","",LEFT($H2762,FIND(" ",$H2762&amp;" ")-1))</f>
        <v/>
      </c>
      <c r="C2762" s="58">
        <f>IF($H2762="","",IFERROR(MID($H2762&amp;" ",FIND("|",SUBSTITUTE($H2762&amp;" "," ","|",1))+1,FIND("|",SUBSTITUTE($H2762&amp;" "," ","|",2))-FIND("|",SUBSTITUTE($H2762&amp;" "," ","|",1))-1),""))</f>
        <v/>
      </c>
      <c r="D2762" s="58">
        <f>IF($H2762="","",IFERROR(MID($H2762&amp;" ",FIND("|",SUBSTITUTE($H2762&amp;" "," ","|",2))+1,FIND("|",SUBSTITUTE($H2762&amp;" "," ","|",3))-FIND("|",SUBSTITUTE($H2762&amp;" "," ","|",2))-1),""))</f>
        <v/>
      </c>
      <c r="E2762" s="58">
        <f>IF($H2762="","",IFERROR(MID($H2762&amp;" ",FIND("|",SUBSTITUTE($H2762&amp;" "," ","|",3))+1,FIND("|",SUBSTITUTE($H2762&amp;" "," ","|",4))-FIND("|",SUBSTITUTE($H2762&amp;" "," ","|",3))-1),""))</f>
        <v/>
      </c>
      <c r="F2762" s="59">
        <f>IF($H2762="","",IFERROR(VALUE(IFERROR(MID($H2762&amp;" ",FIND("|",SUBSTITUTE($H2762&amp;" "," ","|",4))+1,FIND("|",SUBSTITUTE($H2762&amp;" "," ","|",5))-FIND("|",SUBSTITUTE($H2762&amp;" "," ","|",4))-1),""))/86400+25569+9/24,""))</f>
        <v/>
      </c>
      <c r="G2762" s="58">
        <f>TRIM(SUBSTITUTE(SUBSTITUTE(SUBSTITUTE($A2762,CHAR(9)," ")," "," "),CHAR(13),""))</f>
        <v/>
      </c>
      <c r="H2762" s="58">
        <f>IF($G2762="","",IF(ISNUMBER(FIND(" ",$G2762)),$G2762,IFERROR(IF((LEN(SUBSTITUTE(SUBSTITUTE($G2762,"-"," ",LEN($G2762)-LEN(SUBSTITUTE($G2762,"-",""))),"-"," ",LEN($G2762)-LEN(SUBSTITUTE($G2762,"-",""))-1))-LEN(SUBSTITUTE(SUBSTITUTE(SUBSTITUTE($G2762,"-"," ",LEN($G2762)-LEN(SUBSTITUTE($G2762,"-",""))),"-"," ",LEN($G2762)-LEN(SUBSTITUTE($G2762,"-",""))-1),".","")))=0,SUBSTITUTE(SUBSTITUTE($G2762,"-"," ",LEN($G2762)-LEN(SUBSTITUTE($G2762,"-",""))),"-"," ",LEN($G2762)-LEN(SUBSTITUTE($G2762,"-",""))-1),SUBSTITUTE(SUBSTITUTE(SUBSTITUTE($G2762,"-"," ",LEN($G2762)-LEN(SUBSTITUTE($G2762,"-",""))),"-"," ",LEN($G2762)-LEN(SUBSTITUTE($G2762,"-",""))-1),"."," ",(LEN(SUBSTITUTE(SUBSTITUTE($G2762,"-"," ",LEN($G2762)-LEN(SUBSTITUTE($G2762,"-",""))),"-"," ",LEN($G2762)-LEN(SUBSTITUTE($G2762,"-",""))-1))-LEN(SUBSTITUTE(SUBSTITUTE(SUBSTITUTE($G2762,"-"," ",LEN($G2762)-LEN(SUBSTITUTE($G2762,"-",""))),"-"," ",LEN($G2762)-LEN(SUBSTITUTE($G2762,"-",""))-1),".",""))))),$G2762)))</f>
        <v/>
      </c>
    </row>
    <row r="2763">
      <c r="A2763" s="58" t="n"/>
      <c r="B2763" s="58">
        <f>IF($H2763="","",LEFT($H2763,FIND(" ",$H2763&amp;" ")-1))</f>
        <v/>
      </c>
      <c r="C2763" s="58">
        <f>IF($H2763="","",IFERROR(MID($H2763&amp;" ",FIND("|",SUBSTITUTE($H2763&amp;" "," ","|",1))+1,FIND("|",SUBSTITUTE($H2763&amp;" "," ","|",2))-FIND("|",SUBSTITUTE($H2763&amp;" "," ","|",1))-1),""))</f>
        <v/>
      </c>
      <c r="D2763" s="58">
        <f>IF($H2763="","",IFERROR(MID($H2763&amp;" ",FIND("|",SUBSTITUTE($H2763&amp;" "," ","|",2))+1,FIND("|",SUBSTITUTE($H2763&amp;" "," ","|",3))-FIND("|",SUBSTITUTE($H2763&amp;" "," ","|",2))-1),""))</f>
        <v/>
      </c>
      <c r="E2763" s="58">
        <f>IF($H2763="","",IFERROR(MID($H2763&amp;" ",FIND("|",SUBSTITUTE($H2763&amp;" "," ","|",3))+1,FIND("|",SUBSTITUTE($H2763&amp;" "," ","|",4))-FIND("|",SUBSTITUTE($H2763&amp;" "," ","|",3))-1),""))</f>
        <v/>
      </c>
      <c r="F2763" s="59">
        <f>IF($H2763="","",IFERROR(VALUE(IFERROR(MID($H2763&amp;" ",FIND("|",SUBSTITUTE($H2763&amp;" "," ","|",4))+1,FIND("|",SUBSTITUTE($H2763&amp;" "," ","|",5))-FIND("|",SUBSTITUTE($H2763&amp;" "," ","|",4))-1),""))/86400+25569+9/24,""))</f>
        <v/>
      </c>
      <c r="G2763" s="58">
        <f>TRIM(SUBSTITUTE(SUBSTITUTE(SUBSTITUTE($A2763,CHAR(9)," ")," "," "),CHAR(13),""))</f>
        <v/>
      </c>
      <c r="H2763" s="58">
        <f>IF($G2763="","",IF(ISNUMBER(FIND(" ",$G2763)),$G2763,IFERROR(IF((LEN(SUBSTITUTE(SUBSTITUTE($G2763,"-"," ",LEN($G2763)-LEN(SUBSTITUTE($G2763,"-",""))),"-"," ",LEN($G2763)-LEN(SUBSTITUTE($G2763,"-",""))-1))-LEN(SUBSTITUTE(SUBSTITUTE(SUBSTITUTE($G2763,"-"," ",LEN($G2763)-LEN(SUBSTITUTE($G2763,"-",""))),"-"," ",LEN($G2763)-LEN(SUBSTITUTE($G2763,"-",""))-1),".","")))=0,SUBSTITUTE(SUBSTITUTE($G2763,"-"," ",LEN($G2763)-LEN(SUBSTITUTE($G2763,"-",""))),"-"," ",LEN($G2763)-LEN(SUBSTITUTE($G2763,"-",""))-1),SUBSTITUTE(SUBSTITUTE(SUBSTITUTE($G2763,"-"," ",LEN($G2763)-LEN(SUBSTITUTE($G2763,"-",""))),"-"," ",LEN($G2763)-LEN(SUBSTITUTE($G2763,"-",""))-1),"."," ",(LEN(SUBSTITUTE(SUBSTITUTE($G2763,"-"," ",LEN($G2763)-LEN(SUBSTITUTE($G2763,"-",""))),"-"," ",LEN($G2763)-LEN(SUBSTITUTE($G2763,"-",""))-1))-LEN(SUBSTITUTE(SUBSTITUTE(SUBSTITUTE($G2763,"-"," ",LEN($G2763)-LEN(SUBSTITUTE($G2763,"-",""))),"-"," ",LEN($G2763)-LEN(SUBSTITUTE($G2763,"-",""))-1),".",""))))),$G2763)))</f>
        <v/>
      </c>
    </row>
    <row r="2764">
      <c r="A2764" s="58" t="n"/>
      <c r="B2764" s="58">
        <f>IF($H2764="","",LEFT($H2764,FIND(" ",$H2764&amp;" ")-1))</f>
        <v/>
      </c>
      <c r="C2764" s="58">
        <f>IF($H2764="","",IFERROR(MID($H2764&amp;" ",FIND("|",SUBSTITUTE($H2764&amp;" "," ","|",1))+1,FIND("|",SUBSTITUTE($H2764&amp;" "," ","|",2))-FIND("|",SUBSTITUTE($H2764&amp;" "," ","|",1))-1),""))</f>
        <v/>
      </c>
      <c r="D2764" s="58">
        <f>IF($H2764="","",IFERROR(MID($H2764&amp;" ",FIND("|",SUBSTITUTE($H2764&amp;" "," ","|",2))+1,FIND("|",SUBSTITUTE($H2764&amp;" "," ","|",3))-FIND("|",SUBSTITUTE($H2764&amp;" "," ","|",2))-1),""))</f>
        <v/>
      </c>
      <c r="E2764" s="58">
        <f>IF($H2764="","",IFERROR(MID($H2764&amp;" ",FIND("|",SUBSTITUTE($H2764&amp;" "," ","|",3))+1,FIND("|",SUBSTITUTE($H2764&amp;" "," ","|",4))-FIND("|",SUBSTITUTE($H2764&amp;" "," ","|",3))-1),""))</f>
        <v/>
      </c>
      <c r="F2764" s="59">
        <f>IF($H2764="","",IFERROR(VALUE(IFERROR(MID($H2764&amp;" ",FIND("|",SUBSTITUTE($H2764&amp;" "," ","|",4))+1,FIND("|",SUBSTITUTE($H2764&amp;" "," ","|",5))-FIND("|",SUBSTITUTE($H2764&amp;" "," ","|",4))-1),""))/86400+25569+9/24,""))</f>
        <v/>
      </c>
      <c r="G2764" s="58">
        <f>TRIM(SUBSTITUTE(SUBSTITUTE(SUBSTITUTE($A2764,CHAR(9)," ")," "," "),CHAR(13),""))</f>
        <v/>
      </c>
      <c r="H2764" s="58">
        <f>IF($G2764="","",IF(ISNUMBER(FIND(" ",$G2764)),$G2764,IFERROR(IF((LEN(SUBSTITUTE(SUBSTITUTE($G2764,"-"," ",LEN($G2764)-LEN(SUBSTITUTE($G2764,"-",""))),"-"," ",LEN($G2764)-LEN(SUBSTITUTE($G2764,"-",""))-1))-LEN(SUBSTITUTE(SUBSTITUTE(SUBSTITUTE($G2764,"-"," ",LEN($G2764)-LEN(SUBSTITUTE($G2764,"-",""))),"-"," ",LEN($G2764)-LEN(SUBSTITUTE($G2764,"-",""))-1),".","")))=0,SUBSTITUTE(SUBSTITUTE($G2764,"-"," ",LEN($G2764)-LEN(SUBSTITUTE($G2764,"-",""))),"-"," ",LEN($G2764)-LEN(SUBSTITUTE($G2764,"-",""))-1),SUBSTITUTE(SUBSTITUTE(SUBSTITUTE($G2764,"-"," ",LEN($G2764)-LEN(SUBSTITUTE($G2764,"-",""))),"-"," ",LEN($G2764)-LEN(SUBSTITUTE($G2764,"-",""))-1),"."," ",(LEN(SUBSTITUTE(SUBSTITUTE($G2764,"-"," ",LEN($G2764)-LEN(SUBSTITUTE($G2764,"-",""))),"-"," ",LEN($G2764)-LEN(SUBSTITUTE($G2764,"-",""))-1))-LEN(SUBSTITUTE(SUBSTITUTE(SUBSTITUTE($G2764,"-"," ",LEN($G2764)-LEN(SUBSTITUTE($G2764,"-",""))),"-"," ",LEN($G2764)-LEN(SUBSTITUTE($G2764,"-",""))-1),".",""))))),$G2764)))</f>
        <v/>
      </c>
    </row>
    <row r="2765">
      <c r="A2765" s="58" t="n"/>
      <c r="B2765" s="58">
        <f>IF($H2765="","",LEFT($H2765,FIND(" ",$H2765&amp;" ")-1))</f>
        <v/>
      </c>
      <c r="C2765" s="58">
        <f>IF($H2765="","",IFERROR(MID($H2765&amp;" ",FIND("|",SUBSTITUTE($H2765&amp;" "," ","|",1))+1,FIND("|",SUBSTITUTE($H2765&amp;" "," ","|",2))-FIND("|",SUBSTITUTE($H2765&amp;" "," ","|",1))-1),""))</f>
        <v/>
      </c>
      <c r="D2765" s="58">
        <f>IF($H2765="","",IFERROR(MID($H2765&amp;" ",FIND("|",SUBSTITUTE($H2765&amp;" "," ","|",2))+1,FIND("|",SUBSTITUTE($H2765&amp;" "," ","|",3))-FIND("|",SUBSTITUTE($H2765&amp;" "," ","|",2))-1),""))</f>
        <v/>
      </c>
      <c r="E2765" s="58">
        <f>IF($H2765="","",IFERROR(MID($H2765&amp;" ",FIND("|",SUBSTITUTE($H2765&amp;" "," ","|",3))+1,FIND("|",SUBSTITUTE($H2765&amp;" "," ","|",4))-FIND("|",SUBSTITUTE($H2765&amp;" "," ","|",3))-1),""))</f>
        <v/>
      </c>
      <c r="F2765" s="59">
        <f>IF($H2765="","",IFERROR(VALUE(IFERROR(MID($H2765&amp;" ",FIND("|",SUBSTITUTE($H2765&amp;" "," ","|",4))+1,FIND("|",SUBSTITUTE($H2765&amp;" "," ","|",5))-FIND("|",SUBSTITUTE($H2765&amp;" "," ","|",4))-1),""))/86400+25569+9/24,""))</f>
        <v/>
      </c>
      <c r="G2765" s="58">
        <f>TRIM(SUBSTITUTE(SUBSTITUTE(SUBSTITUTE($A2765,CHAR(9)," ")," "," "),CHAR(13),""))</f>
        <v/>
      </c>
      <c r="H2765" s="58">
        <f>IF($G2765="","",IF(ISNUMBER(FIND(" ",$G2765)),$G2765,IFERROR(IF((LEN(SUBSTITUTE(SUBSTITUTE($G2765,"-"," ",LEN($G2765)-LEN(SUBSTITUTE($G2765,"-",""))),"-"," ",LEN($G2765)-LEN(SUBSTITUTE($G2765,"-",""))-1))-LEN(SUBSTITUTE(SUBSTITUTE(SUBSTITUTE($G2765,"-"," ",LEN($G2765)-LEN(SUBSTITUTE($G2765,"-",""))),"-"," ",LEN($G2765)-LEN(SUBSTITUTE($G2765,"-",""))-1),".","")))=0,SUBSTITUTE(SUBSTITUTE($G2765,"-"," ",LEN($G2765)-LEN(SUBSTITUTE($G2765,"-",""))),"-"," ",LEN($G2765)-LEN(SUBSTITUTE($G2765,"-",""))-1),SUBSTITUTE(SUBSTITUTE(SUBSTITUTE($G2765,"-"," ",LEN($G2765)-LEN(SUBSTITUTE($G2765,"-",""))),"-"," ",LEN($G2765)-LEN(SUBSTITUTE($G2765,"-",""))-1),"."," ",(LEN(SUBSTITUTE(SUBSTITUTE($G2765,"-"," ",LEN($G2765)-LEN(SUBSTITUTE($G2765,"-",""))),"-"," ",LEN($G2765)-LEN(SUBSTITUTE($G2765,"-",""))-1))-LEN(SUBSTITUTE(SUBSTITUTE(SUBSTITUTE($G2765,"-"," ",LEN($G2765)-LEN(SUBSTITUTE($G2765,"-",""))),"-"," ",LEN($G2765)-LEN(SUBSTITUTE($G2765,"-",""))-1),".",""))))),$G2765)))</f>
        <v/>
      </c>
    </row>
    <row r="2766">
      <c r="A2766" s="58" t="n"/>
      <c r="B2766" s="58">
        <f>IF($H2766="","",LEFT($H2766,FIND(" ",$H2766&amp;" ")-1))</f>
        <v/>
      </c>
      <c r="C2766" s="58">
        <f>IF($H2766="","",IFERROR(MID($H2766&amp;" ",FIND("|",SUBSTITUTE($H2766&amp;" "," ","|",1))+1,FIND("|",SUBSTITUTE($H2766&amp;" "," ","|",2))-FIND("|",SUBSTITUTE($H2766&amp;" "," ","|",1))-1),""))</f>
        <v/>
      </c>
      <c r="D2766" s="58">
        <f>IF($H2766="","",IFERROR(MID($H2766&amp;" ",FIND("|",SUBSTITUTE($H2766&amp;" "," ","|",2))+1,FIND("|",SUBSTITUTE($H2766&amp;" "," ","|",3))-FIND("|",SUBSTITUTE($H2766&amp;" "," ","|",2))-1),""))</f>
        <v/>
      </c>
      <c r="E2766" s="58">
        <f>IF($H2766="","",IFERROR(MID($H2766&amp;" ",FIND("|",SUBSTITUTE($H2766&amp;" "," ","|",3))+1,FIND("|",SUBSTITUTE($H2766&amp;" "," ","|",4))-FIND("|",SUBSTITUTE($H2766&amp;" "," ","|",3))-1),""))</f>
        <v/>
      </c>
      <c r="F2766" s="59">
        <f>IF($H2766="","",IFERROR(VALUE(IFERROR(MID($H2766&amp;" ",FIND("|",SUBSTITUTE($H2766&amp;" "," ","|",4))+1,FIND("|",SUBSTITUTE($H2766&amp;" "," ","|",5))-FIND("|",SUBSTITUTE($H2766&amp;" "," ","|",4))-1),""))/86400+25569+9/24,""))</f>
        <v/>
      </c>
      <c r="G2766" s="58">
        <f>TRIM(SUBSTITUTE(SUBSTITUTE(SUBSTITUTE($A2766,CHAR(9)," ")," "," "),CHAR(13),""))</f>
        <v/>
      </c>
      <c r="H2766" s="58">
        <f>IF($G2766="","",IF(ISNUMBER(FIND(" ",$G2766)),$G2766,IFERROR(IF((LEN(SUBSTITUTE(SUBSTITUTE($G2766,"-"," ",LEN($G2766)-LEN(SUBSTITUTE($G2766,"-",""))),"-"," ",LEN($G2766)-LEN(SUBSTITUTE($G2766,"-",""))-1))-LEN(SUBSTITUTE(SUBSTITUTE(SUBSTITUTE($G2766,"-"," ",LEN($G2766)-LEN(SUBSTITUTE($G2766,"-",""))),"-"," ",LEN($G2766)-LEN(SUBSTITUTE($G2766,"-",""))-1),".","")))=0,SUBSTITUTE(SUBSTITUTE($G2766,"-"," ",LEN($G2766)-LEN(SUBSTITUTE($G2766,"-",""))),"-"," ",LEN($G2766)-LEN(SUBSTITUTE($G2766,"-",""))-1),SUBSTITUTE(SUBSTITUTE(SUBSTITUTE($G2766,"-"," ",LEN($G2766)-LEN(SUBSTITUTE($G2766,"-",""))),"-"," ",LEN($G2766)-LEN(SUBSTITUTE($G2766,"-",""))-1),"."," ",(LEN(SUBSTITUTE(SUBSTITUTE($G2766,"-"," ",LEN($G2766)-LEN(SUBSTITUTE($G2766,"-",""))),"-"," ",LEN($G2766)-LEN(SUBSTITUTE($G2766,"-",""))-1))-LEN(SUBSTITUTE(SUBSTITUTE(SUBSTITUTE($G2766,"-"," ",LEN($G2766)-LEN(SUBSTITUTE($G2766,"-",""))),"-"," ",LEN($G2766)-LEN(SUBSTITUTE($G2766,"-",""))-1),".",""))))),$G2766)))</f>
        <v/>
      </c>
    </row>
    <row r="2767">
      <c r="A2767" s="58" t="n"/>
      <c r="B2767" s="58">
        <f>IF($H2767="","",LEFT($H2767,FIND(" ",$H2767&amp;" ")-1))</f>
        <v/>
      </c>
      <c r="C2767" s="58">
        <f>IF($H2767="","",IFERROR(MID($H2767&amp;" ",FIND("|",SUBSTITUTE($H2767&amp;" "," ","|",1))+1,FIND("|",SUBSTITUTE($H2767&amp;" "," ","|",2))-FIND("|",SUBSTITUTE($H2767&amp;" "," ","|",1))-1),""))</f>
        <v/>
      </c>
      <c r="D2767" s="58">
        <f>IF($H2767="","",IFERROR(MID($H2767&amp;" ",FIND("|",SUBSTITUTE($H2767&amp;" "," ","|",2))+1,FIND("|",SUBSTITUTE($H2767&amp;" "," ","|",3))-FIND("|",SUBSTITUTE($H2767&amp;" "," ","|",2))-1),""))</f>
        <v/>
      </c>
      <c r="E2767" s="58">
        <f>IF($H2767="","",IFERROR(MID($H2767&amp;" ",FIND("|",SUBSTITUTE($H2767&amp;" "," ","|",3))+1,FIND("|",SUBSTITUTE($H2767&amp;" "," ","|",4))-FIND("|",SUBSTITUTE($H2767&amp;" "," ","|",3))-1),""))</f>
        <v/>
      </c>
      <c r="F2767" s="59">
        <f>IF($H2767="","",IFERROR(VALUE(IFERROR(MID($H2767&amp;" ",FIND("|",SUBSTITUTE($H2767&amp;" "," ","|",4))+1,FIND("|",SUBSTITUTE($H2767&amp;" "," ","|",5))-FIND("|",SUBSTITUTE($H2767&amp;" "," ","|",4))-1),""))/86400+25569+9/24,""))</f>
        <v/>
      </c>
      <c r="G2767" s="58">
        <f>TRIM(SUBSTITUTE(SUBSTITUTE(SUBSTITUTE($A2767,CHAR(9)," ")," "," "),CHAR(13),""))</f>
        <v/>
      </c>
      <c r="H2767" s="58">
        <f>IF($G2767="","",IF(ISNUMBER(FIND(" ",$G2767)),$G2767,IFERROR(IF((LEN(SUBSTITUTE(SUBSTITUTE($G2767,"-"," ",LEN($G2767)-LEN(SUBSTITUTE($G2767,"-",""))),"-"," ",LEN($G2767)-LEN(SUBSTITUTE($G2767,"-",""))-1))-LEN(SUBSTITUTE(SUBSTITUTE(SUBSTITUTE($G2767,"-"," ",LEN($G2767)-LEN(SUBSTITUTE($G2767,"-",""))),"-"," ",LEN($G2767)-LEN(SUBSTITUTE($G2767,"-",""))-1),".","")))=0,SUBSTITUTE(SUBSTITUTE($G2767,"-"," ",LEN($G2767)-LEN(SUBSTITUTE($G2767,"-",""))),"-"," ",LEN($G2767)-LEN(SUBSTITUTE($G2767,"-",""))-1),SUBSTITUTE(SUBSTITUTE(SUBSTITUTE($G2767,"-"," ",LEN($G2767)-LEN(SUBSTITUTE($G2767,"-",""))),"-"," ",LEN($G2767)-LEN(SUBSTITUTE($G2767,"-",""))-1),"."," ",(LEN(SUBSTITUTE(SUBSTITUTE($G2767,"-"," ",LEN($G2767)-LEN(SUBSTITUTE($G2767,"-",""))),"-"," ",LEN($G2767)-LEN(SUBSTITUTE($G2767,"-",""))-1))-LEN(SUBSTITUTE(SUBSTITUTE(SUBSTITUTE($G2767,"-"," ",LEN($G2767)-LEN(SUBSTITUTE($G2767,"-",""))),"-"," ",LEN($G2767)-LEN(SUBSTITUTE($G2767,"-",""))-1),".",""))))),$G2767)))</f>
        <v/>
      </c>
    </row>
    <row r="2768">
      <c r="A2768" s="58" t="n"/>
      <c r="B2768" s="58">
        <f>IF($H2768="","",LEFT($H2768,FIND(" ",$H2768&amp;" ")-1))</f>
        <v/>
      </c>
      <c r="C2768" s="58">
        <f>IF($H2768="","",IFERROR(MID($H2768&amp;" ",FIND("|",SUBSTITUTE($H2768&amp;" "," ","|",1))+1,FIND("|",SUBSTITUTE($H2768&amp;" "," ","|",2))-FIND("|",SUBSTITUTE($H2768&amp;" "," ","|",1))-1),""))</f>
        <v/>
      </c>
      <c r="D2768" s="58">
        <f>IF($H2768="","",IFERROR(MID($H2768&amp;" ",FIND("|",SUBSTITUTE($H2768&amp;" "," ","|",2))+1,FIND("|",SUBSTITUTE($H2768&amp;" "," ","|",3))-FIND("|",SUBSTITUTE($H2768&amp;" "," ","|",2))-1),""))</f>
        <v/>
      </c>
      <c r="E2768" s="58">
        <f>IF($H2768="","",IFERROR(MID($H2768&amp;" ",FIND("|",SUBSTITUTE($H2768&amp;" "," ","|",3))+1,FIND("|",SUBSTITUTE($H2768&amp;" "," ","|",4))-FIND("|",SUBSTITUTE($H2768&amp;" "," ","|",3))-1),""))</f>
        <v/>
      </c>
      <c r="F2768" s="59">
        <f>IF($H2768="","",IFERROR(VALUE(IFERROR(MID($H2768&amp;" ",FIND("|",SUBSTITUTE($H2768&amp;" "," ","|",4))+1,FIND("|",SUBSTITUTE($H2768&amp;" "," ","|",5))-FIND("|",SUBSTITUTE($H2768&amp;" "," ","|",4))-1),""))/86400+25569+9/24,""))</f>
        <v/>
      </c>
      <c r="G2768" s="58">
        <f>TRIM(SUBSTITUTE(SUBSTITUTE(SUBSTITUTE($A2768,CHAR(9)," ")," "," "),CHAR(13),""))</f>
        <v/>
      </c>
      <c r="H2768" s="58">
        <f>IF($G2768="","",IF(ISNUMBER(FIND(" ",$G2768)),$G2768,IFERROR(IF((LEN(SUBSTITUTE(SUBSTITUTE($G2768,"-"," ",LEN($G2768)-LEN(SUBSTITUTE($G2768,"-",""))),"-"," ",LEN($G2768)-LEN(SUBSTITUTE($G2768,"-",""))-1))-LEN(SUBSTITUTE(SUBSTITUTE(SUBSTITUTE($G2768,"-"," ",LEN($G2768)-LEN(SUBSTITUTE($G2768,"-",""))),"-"," ",LEN($G2768)-LEN(SUBSTITUTE($G2768,"-",""))-1),".","")))=0,SUBSTITUTE(SUBSTITUTE($G2768,"-"," ",LEN($G2768)-LEN(SUBSTITUTE($G2768,"-",""))),"-"," ",LEN($G2768)-LEN(SUBSTITUTE($G2768,"-",""))-1),SUBSTITUTE(SUBSTITUTE(SUBSTITUTE($G2768,"-"," ",LEN($G2768)-LEN(SUBSTITUTE($G2768,"-",""))),"-"," ",LEN($G2768)-LEN(SUBSTITUTE($G2768,"-",""))-1),"."," ",(LEN(SUBSTITUTE(SUBSTITUTE($G2768,"-"," ",LEN($G2768)-LEN(SUBSTITUTE($G2768,"-",""))),"-"," ",LEN($G2768)-LEN(SUBSTITUTE($G2768,"-",""))-1))-LEN(SUBSTITUTE(SUBSTITUTE(SUBSTITUTE($G2768,"-"," ",LEN($G2768)-LEN(SUBSTITUTE($G2768,"-",""))),"-"," ",LEN($G2768)-LEN(SUBSTITUTE($G2768,"-",""))-1),".",""))))),$G2768)))</f>
        <v/>
      </c>
    </row>
    <row r="2769">
      <c r="A2769" s="58" t="n"/>
      <c r="B2769" s="58">
        <f>IF($H2769="","",LEFT($H2769,FIND(" ",$H2769&amp;" ")-1))</f>
        <v/>
      </c>
      <c r="C2769" s="58">
        <f>IF($H2769="","",IFERROR(MID($H2769&amp;" ",FIND("|",SUBSTITUTE($H2769&amp;" "," ","|",1))+1,FIND("|",SUBSTITUTE($H2769&amp;" "," ","|",2))-FIND("|",SUBSTITUTE($H2769&amp;" "," ","|",1))-1),""))</f>
        <v/>
      </c>
      <c r="D2769" s="58">
        <f>IF($H2769="","",IFERROR(MID($H2769&amp;" ",FIND("|",SUBSTITUTE($H2769&amp;" "," ","|",2))+1,FIND("|",SUBSTITUTE($H2769&amp;" "," ","|",3))-FIND("|",SUBSTITUTE($H2769&amp;" "," ","|",2))-1),""))</f>
        <v/>
      </c>
      <c r="E2769" s="58">
        <f>IF($H2769="","",IFERROR(MID($H2769&amp;" ",FIND("|",SUBSTITUTE($H2769&amp;" "," ","|",3))+1,FIND("|",SUBSTITUTE($H2769&amp;" "," ","|",4))-FIND("|",SUBSTITUTE($H2769&amp;" "," ","|",3))-1),""))</f>
        <v/>
      </c>
      <c r="F2769" s="59">
        <f>IF($H2769="","",IFERROR(VALUE(IFERROR(MID($H2769&amp;" ",FIND("|",SUBSTITUTE($H2769&amp;" "," ","|",4))+1,FIND("|",SUBSTITUTE($H2769&amp;" "," ","|",5))-FIND("|",SUBSTITUTE($H2769&amp;" "," ","|",4))-1),""))/86400+25569+9/24,""))</f>
        <v/>
      </c>
      <c r="G2769" s="58">
        <f>TRIM(SUBSTITUTE(SUBSTITUTE(SUBSTITUTE($A2769,CHAR(9)," ")," "," "),CHAR(13),""))</f>
        <v/>
      </c>
      <c r="H2769" s="58">
        <f>IF($G2769="","",IF(ISNUMBER(FIND(" ",$G2769)),$G2769,IFERROR(IF((LEN(SUBSTITUTE(SUBSTITUTE($G2769,"-"," ",LEN($G2769)-LEN(SUBSTITUTE($G2769,"-",""))),"-"," ",LEN($G2769)-LEN(SUBSTITUTE($G2769,"-",""))-1))-LEN(SUBSTITUTE(SUBSTITUTE(SUBSTITUTE($G2769,"-"," ",LEN($G2769)-LEN(SUBSTITUTE($G2769,"-",""))),"-"," ",LEN($G2769)-LEN(SUBSTITUTE($G2769,"-",""))-1),".","")))=0,SUBSTITUTE(SUBSTITUTE($G2769,"-"," ",LEN($G2769)-LEN(SUBSTITUTE($G2769,"-",""))),"-"," ",LEN($G2769)-LEN(SUBSTITUTE($G2769,"-",""))-1),SUBSTITUTE(SUBSTITUTE(SUBSTITUTE($G2769,"-"," ",LEN($G2769)-LEN(SUBSTITUTE($G2769,"-",""))),"-"," ",LEN($G2769)-LEN(SUBSTITUTE($G2769,"-",""))-1),"."," ",(LEN(SUBSTITUTE(SUBSTITUTE($G2769,"-"," ",LEN($G2769)-LEN(SUBSTITUTE($G2769,"-",""))),"-"," ",LEN($G2769)-LEN(SUBSTITUTE($G2769,"-",""))-1))-LEN(SUBSTITUTE(SUBSTITUTE(SUBSTITUTE($G2769,"-"," ",LEN($G2769)-LEN(SUBSTITUTE($G2769,"-",""))),"-"," ",LEN($G2769)-LEN(SUBSTITUTE($G2769,"-",""))-1),".",""))))),$G2769)))</f>
        <v/>
      </c>
    </row>
    <row r="2770">
      <c r="A2770" s="58" t="n"/>
      <c r="B2770" s="58">
        <f>IF($H2770="","",LEFT($H2770,FIND(" ",$H2770&amp;" ")-1))</f>
        <v/>
      </c>
      <c r="C2770" s="58">
        <f>IF($H2770="","",IFERROR(MID($H2770&amp;" ",FIND("|",SUBSTITUTE($H2770&amp;" "," ","|",1))+1,FIND("|",SUBSTITUTE($H2770&amp;" "," ","|",2))-FIND("|",SUBSTITUTE($H2770&amp;" "," ","|",1))-1),""))</f>
        <v/>
      </c>
      <c r="D2770" s="58">
        <f>IF($H2770="","",IFERROR(MID($H2770&amp;" ",FIND("|",SUBSTITUTE($H2770&amp;" "," ","|",2))+1,FIND("|",SUBSTITUTE($H2770&amp;" "," ","|",3))-FIND("|",SUBSTITUTE($H2770&amp;" "," ","|",2))-1),""))</f>
        <v/>
      </c>
      <c r="E2770" s="58">
        <f>IF($H2770="","",IFERROR(MID($H2770&amp;" ",FIND("|",SUBSTITUTE($H2770&amp;" "," ","|",3))+1,FIND("|",SUBSTITUTE($H2770&amp;" "," ","|",4))-FIND("|",SUBSTITUTE($H2770&amp;" "," ","|",3))-1),""))</f>
        <v/>
      </c>
      <c r="F2770" s="59">
        <f>IF($H2770="","",IFERROR(VALUE(IFERROR(MID($H2770&amp;" ",FIND("|",SUBSTITUTE($H2770&amp;" "," ","|",4))+1,FIND("|",SUBSTITUTE($H2770&amp;" "," ","|",5))-FIND("|",SUBSTITUTE($H2770&amp;" "," ","|",4))-1),""))/86400+25569+9/24,""))</f>
        <v/>
      </c>
      <c r="G2770" s="58">
        <f>TRIM(SUBSTITUTE(SUBSTITUTE(SUBSTITUTE($A2770,CHAR(9)," ")," "," "),CHAR(13),""))</f>
        <v/>
      </c>
      <c r="H2770" s="58">
        <f>IF($G2770="","",IF(ISNUMBER(FIND(" ",$G2770)),$G2770,IFERROR(IF((LEN(SUBSTITUTE(SUBSTITUTE($G2770,"-"," ",LEN($G2770)-LEN(SUBSTITUTE($G2770,"-",""))),"-"," ",LEN($G2770)-LEN(SUBSTITUTE($G2770,"-",""))-1))-LEN(SUBSTITUTE(SUBSTITUTE(SUBSTITUTE($G2770,"-"," ",LEN($G2770)-LEN(SUBSTITUTE($G2770,"-",""))),"-"," ",LEN($G2770)-LEN(SUBSTITUTE($G2770,"-",""))-1),".","")))=0,SUBSTITUTE(SUBSTITUTE($G2770,"-"," ",LEN($G2770)-LEN(SUBSTITUTE($G2770,"-",""))),"-"," ",LEN($G2770)-LEN(SUBSTITUTE($G2770,"-",""))-1),SUBSTITUTE(SUBSTITUTE(SUBSTITUTE($G2770,"-"," ",LEN($G2770)-LEN(SUBSTITUTE($G2770,"-",""))),"-"," ",LEN($G2770)-LEN(SUBSTITUTE($G2770,"-",""))-1),"."," ",(LEN(SUBSTITUTE(SUBSTITUTE($G2770,"-"," ",LEN($G2770)-LEN(SUBSTITUTE($G2770,"-",""))),"-"," ",LEN($G2770)-LEN(SUBSTITUTE($G2770,"-",""))-1))-LEN(SUBSTITUTE(SUBSTITUTE(SUBSTITUTE($G2770,"-"," ",LEN($G2770)-LEN(SUBSTITUTE($G2770,"-",""))),"-"," ",LEN($G2770)-LEN(SUBSTITUTE($G2770,"-",""))-1),".",""))))),$G2770)))</f>
        <v/>
      </c>
    </row>
    <row r="2771">
      <c r="A2771" s="58" t="n"/>
      <c r="B2771" s="58">
        <f>IF($H2771="","",LEFT($H2771,FIND(" ",$H2771&amp;" ")-1))</f>
        <v/>
      </c>
      <c r="C2771" s="58">
        <f>IF($H2771="","",IFERROR(MID($H2771&amp;" ",FIND("|",SUBSTITUTE($H2771&amp;" "," ","|",1))+1,FIND("|",SUBSTITUTE($H2771&amp;" "," ","|",2))-FIND("|",SUBSTITUTE($H2771&amp;" "," ","|",1))-1),""))</f>
        <v/>
      </c>
      <c r="D2771" s="58">
        <f>IF($H2771="","",IFERROR(MID($H2771&amp;" ",FIND("|",SUBSTITUTE($H2771&amp;" "," ","|",2))+1,FIND("|",SUBSTITUTE($H2771&amp;" "," ","|",3))-FIND("|",SUBSTITUTE($H2771&amp;" "," ","|",2))-1),""))</f>
        <v/>
      </c>
      <c r="E2771" s="58">
        <f>IF($H2771="","",IFERROR(MID($H2771&amp;" ",FIND("|",SUBSTITUTE($H2771&amp;" "," ","|",3))+1,FIND("|",SUBSTITUTE($H2771&amp;" "," ","|",4))-FIND("|",SUBSTITUTE($H2771&amp;" "," ","|",3))-1),""))</f>
        <v/>
      </c>
      <c r="F2771" s="59">
        <f>IF($H2771="","",IFERROR(VALUE(IFERROR(MID($H2771&amp;" ",FIND("|",SUBSTITUTE($H2771&amp;" "," ","|",4))+1,FIND("|",SUBSTITUTE($H2771&amp;" "," ","|",5))-FIND("|",SUBSTITUTE($H2771&amp;" "," ","|",4))-1),""))/86400+25569+9/24,""))</f>
        <v/>
      </c>
      <c r="G2771" s="58">
        <f>TRIM(SUBSTITUTE(SUBSTITUTE(SUBSTITUTE($A2771,CHAR(9)," ")," "," "),CHAR(13),""))</f>
        <v/>
      </c>
      <c r="H2771" s="58">
        <f>IF($G2771="","",IF(ISNUMBER(FIND(" ",$G2771)),$G2771,IFERROR(IF((LEN(SUBSTITUTE(SUBSTITUTE($G2771,"-"," ",LEN($G2771)-LEN(SUBSTITUTE($G2771,"-",""))),"-"," ",LEN($G2771)-LEN(SUBSTITUTE($G2771,"-",""))-1))-LEN(SUBSTITUTE(SUBSTITUTE(SUBSTITUTE($G2771,"-"," ",LEN($G2771)-LEN(SUBSTITUTE($G2771,"-",""))),"-"," ",LEN($G2771)-LEN(SUBSTITUTE($G2771,"-",""))-1),".","")))=0,SUBSTITUTE(SUBSTITUTE($G2771,"-"," ",LEN($G2771)-LEN(SUBSTITUTE($G2771,"-",""))),"-"," ",LEN($G2771)-LEN(SUBSTITUTE($G2771,"-",""))-1),SUBSTITUTE(SUBSTITUTE(SUBSTITUTE($G2771,"-"," ",LEN($G2771)-LEN(SUBSTITUTE($G2771,"-",""))),"-"," ",LEN($G2771)-LEN(SUBSTITUTE($G2771,"-",""))-1),"."," ",(LEN(SUBSTITUTE(SUBSTITUTE($G2771,"-"," ",LEN($G2771)-LEN(SUBSTITUTE($G2771,"-",""))),"-"," ",LEN($G2771)-LEN(SUBSTITUTE($G2771,"-",""))-1))-LEN(SUBSTITUTE(SUBSTITUTE(SUBSTITUTE($G2771,"-"," ",LEN($G2771)-LEN(SUBSTITUTE($G2771,"-",""))),"-"," ",LEN($G2771)-LEN(SUBSTITUTE($G2771,"-",""))-1),".",""))))),$G2771)))</f>
        <v/>
      </c>
    </row>
    <row r="2772">
      <c r="A2772" s="58" t="n"/>
      <c r="B2772" s="58">
        <f>IF($H2772="","",LEFT($H2772,FIND(" ",$H2772&amp;" ")-1))</f>
        <v/>
      </c>
      <c r="C2772" s="58">
        <f>IF($H2772="","",IFERROR(MID($H2772&amp;" ",FIND("|",SUBSTITUTE($H2772&amp;" "," ","|",1))+1,FIND("|",SUBSTITUTE($H2772&amp;" "," ","|",2))-FIND("|",SUBSTITUTE($H2772&amp;" "," ","|",1))-1),""))</f>
        <v/>
      </c>
      <c r="D2772" s="58">
        <f>IF($H2772="","",IFERROR(MID($H2772&amp;" ",FIND("|",SUBSTITUTE($H2772&amp;" "," ","|",2))+1,FIND("|",SUBSTITUTE($H2772&amp;" "," ","|",3))-FIND("|",SUBSTITUTE($H2772&amp;" "," ","|",2))-1),""))</f>
        <v/>
      </c>
      <c r="E2772" s="58">
        <f>IF($H2772="","",IFERROR(MID($H2772&amp;" ",FIND("|",SUBSTITUTE($H2772&amp;" "," ","|",3))+1,FIND("|",SUBSTITUTE($H2772&amp;" "," ","|",4))-FIND("|",SUBSTITUTE($H2772&amp;" "," ","|",3))-1),""))</f>
        <v/>
      </c>
      <c r="F2772" s="59">
        <f>IF($H2772="","",IFERROR(VALUE(IFERROR(MID($H2772&amp;" ",FIND("|",SUBSTITUTE($H2772&amp;" "," ","|",4))+1,FIND("|",SUBSTITUTE($H2772&amp;" "," ","|",5))-FIND("|",SUBSTITUTE($H2772&amp;" "," ","|",4))-1),""))/86400+25569+9/24,""))</f>
        <v/>
      </c>
      <c r="G2772" s="58">
        <f>TRIM(SUBSTITUTE(SUBSTITUTE(SUBSTITUTE($A2772,CHAR(9)," ")," "," "),CHAR(13),""))</f>
        <v/>
      </c>
      <c r="H2772" s="58">
        <f>IF($G2772="","",IF(ISNUMBER(FIND(" ",$G2772)),$G2772,IFERROR(IF((LEN(SUBSTITUTE(SUBSTITUTE($G2772,"-"," ",LEN($G2772)-LEN(SUBSTITUTE($G2772,"-",""))),"-"," ",LEN($G2772)-LEN(SUBSTITUTE($G2772,"-",""))-1))-LEN(SUBSTITUTE(SUBSTITUTE(SUBSTITUTE($G2772,"-"," ",LEN($G2772)-LEN(SUBSTITUTE($G2772,"-",""))),"-"," ",LEN($G2772)-LEN(SUBSTITUTE($G2772,"-",""))-1),".","")))=0,SUBSTITUTE(SUBSTITUTE($G2772,"-"," ",LEN($G2772)-LEN(SUBSTITUTE($G2772,"-",""))),"-"," ",LEN($G2772)-LEN(SUBSTITUTE($G2772,"-",""))-1),SUBSTITUTE(SUBSTITUTE(SUBSTITUTE($G2772,"-"," ",LEN($G2772)-LEN(SUBSTITUTE($G2772,"-",""))),"-"," ",LEN($G2772)-LEN(SUBSTITUTE($G2772,"-",""))-1),"."," ",(LEN(SUBSTITUTE(SUBSTITUTE($G2772,"-"," ",LEN($G2772)-LEN(SUBSTITUTE($G2772,"-",""))),"-"," ",LEN($G2772)-LEN(SUBSTITUTE($G2772,"-",""))-1))-LEN(SUBSTITUTE(SUBSTITUTE(SUBSTITUTE($G2772,"-"," ",LEN($G2772)-LEN(SUBSTITUTE($G2772,"-",""))),"-"," ",LEN($G2772)-LEN(SUBSTITUTE($G2772,"-",""))-1),".",""))))),$G2772)))</f>
        <v/>
      </c>
    </row>
    <row r="2773">
      <c r="A2773" s="58" t="n"/>
      <c r="B2773" s="58">
        <f>IF($H2773="","",LEFT($H2773,FIND(" ",$H2773&amp;" ")-1))</f>
        <v/>
      </c>
      <c r="C2773" s="58">
        <f>IF($H2773="","",IFERROR(MID($H2773&amp;" ",FIND("|",SUBSTITUTE($H2773&amp;" "," ","|",1))+1,FIND("|",SUBSTITUTE($H2773&amp;" "," ","|",2))-FIND("|",SUBSTITUTE($H2773&amp;" "," ","|",1))-1),""))</f>
        <v/>
      </c>
      <c r="D2773" s="58">
        <f>IF($H2773="","",IFERROR(MID($H2773&amp;" ",FIND("|",SUBSTITUTE($H2773&amp;" "," ","|",2))+1,FIND("|",SUBSTITUTE($H2773&amp;" "," ","|",3))-FIND("|",SUBSTITUTE($H2773&amp;" "," ","|",2))-1),""))</f>
        <v/>
      </c>
      <c r="E2773" s="58">
        <f>IF($H2773="","",IFERROR(MID($H2773&amp;" ",FIND("|",SUBSTITUTE($H2773&amp;" "," ","|",3))+1,FIND("|",SUBSTITUTE($H2773&amp;" "," ","|",4))-FIND("|",SUBSTITUTE($H2773&amp;" "," ","|",3))-1),""))</f>
        <v/>
      </c>
      <c r="F2773" s="59">
        <f>IF($H2773="","",IFERROR(VALUE(IFERROR(MID($H2773&amp;" ",FIND("|",SUBSTITUTE($H2773&amp;" "," ","|",4))+1,FIND("|",SUBSTITUTE($H2773&amp;" "," ","|",5))-FIND("|",SUBSTITUTE($H2773&amp;" "," ","|",4))-1),""))/86400+25569+9/24,""))</f>
        <v/>
      </c>
      <c r="G2773" s="58">
        <f>TRIM(SUBSTITUTE(SUBSTITUTE(SUBSTITUTE($A2773,CHAR(9)," ")," "," "),CHAR(13),""))</f>
        <v/>
      </c>
      <c r="H2773" s="58">
        <f>IF($G2773="","",IF(ISNUMBER(FIND(" ",$G2773)),$G2773,IFERROR(IF((LEN(SUBSTITUTE(SUBSTITUTE($G2773,"-"," ",LEN($G2773)-LEN(SUBSTITUTE($G2773,"-",""))),"-"," ",LEN($G2773)-LEN(SUBSTITUTE($G2773,"-",""))-1))-LEN(SUBSTITUTE(SUBSTITUTE(SUBSTITUTE($G2773,"-"," ",LEN($G2773)-LEN(SUBSTITUTE($G2773,"-",""))),"-"," ",LEN($G2773)-LEN(SUBSTITUTE($G2773,"-",""))-1),".","")))=0,SUBSTITUTE(SUBSTITUTE($G2773,"-"," ",LEN($G2773)-LEN(SUBSTITUTE($G2773,"-",""))),"-"," ",LEN($G2773)-LEN(SUBSTITUTE($G2773,"-",""))-1),SUBSTITUTE(SUBSTITUTE(SUBSTITUTE($G2773,"-"," ",LEN($G2773)-LEN(SUBSTITUTE($G2773,"-",""))),"-"," ",LEN($G2773)-LEN(SUBSTITUTE($G2773,"-",""))-1),"."," ",(LEN(SUBSTITUTE(SUBSTITUTE($G2773,"-"," ",LEN($G2773)-LEN(SUBSTITUTE($G2773,"-",""))),"-"," ",LEN($G2773)-LEN(SUBSTITUTE($G2773,"-",""))-1))-LEN(SUBSTITUTE(SUBSTITUTE(SUBSTITUTE($G2773,"-"," ",LEN($G2773)-LEN(SUBSTITUTE($G2773,"-",""))),"-"," ",LEN($G2773)-LEN(SUBSTITUTE($G2773,"-",""))-1),".",""))))),$G2773)))</f>
        <v/>
      </c>
    </row>
    <row r="2774">
      <c r="A2774" s="58" t="n"/>
      <c r="B2774" s="58">
        <f>IF($H2774="","",LEFT($H2774,FIND(" ",$H2774&amp;" ")-1))</f>
        <v/>
      </c>
      <c r="C2774" s="58">
        <f>IF($H2774="","",IFERROR(MID($H2774&amp;" ",FIND("|",SUBSTITUTE($H2774&amp;" "," ","|",1))+1,FIND("|",SUBSTITUTE($H2774&amp;" "," ","|",2))-FIND("|",SUBSTITUTE($H2774&amp;" "," ","|",1))-1),""))</f>
        <v/>
      </c>
      <c r="D2774" s="58">
        <f>IF($H2774="","",IFERROR(MID($H2774&amp;" ",FIND("|",SUBSTITUTE($H2774&amp;" "," ","|",2))+1,FIND("|",SUBSTITUTE($H2774&amp;" "," ","|",3))-FIND("|",SUBSTITUTE($H2774&amp;" "," ","|",2))-1),""))</f>
        <v/>
      </c>
      <c r="E2774" s="58">
        <f>IF($H2774="","",IFERROR(MID($H2774&amp;" ",FIND("|",SUBSTITUTE($H2774&amp;" "," ","|",3))+1,FIND("|",SUBSTITUTE($H2774&amp;" "," ","|",4))-FIND("|",SUBSTITUTE($H2774&amp;" "," ","|",3))-1),""))</f>
        <v/>
      </c>
      <c r="F2774" s="59">
        <f>IF($H2774="","",IFERROR(VALUE(IFERROR(MID($H2774&amp;" ",FIND("|",SUBSTITUTE($H2774&amp;" "," ","|",4))+1,FIND("|",SUBSTITUTE($H2774&amp;" "," ","|",5))-FIND("|",SUBSTITUTE($H2774&amp;" "," ","|",4))-1),""))/86400+25569+9/24,""))</f>
        <v/>
      </c>
      <c r="G2774" s="58">
        <f>TRIM(SUBSTITUTE(SUBSTITUTE(SUBSTITUTE($A2774,CHAR(9)," ")," "," "),CHAR(13),""))</f>
        <v/>
      </c>
      <c r="H2774" s="58">
        <f>IF($G2774="","",IF(ISNUMBER(FIND(" ",$G2774)),$G2774,IFERROR(IF((LEN(SUBSTITUTE(SUBSTITUTE($G2774,"-"," ",LEN($G2774)-LEN(SUBSTITUTE($G2774,"-",""))),"-"," ",LEN($G2774)-LEN(SUBSTITUTE($G2774,"-",""))-1))-LEN(SUBSTITUTE(SUBSTITUTE(SUBSTITUTE($G2774,"-"," ",LEN($G2774)-LEN(SUBSTITUTE($G2774,"-",""))),"-"," ",LEN($G2774)-LEN(SUBSTITUTE($G2774,"-",""))-1),".","")))=0,SUBSTITUTE(SUBSTITUTE($G2774,"-"," ",LEN($G2774)-LEN(SUBSTITUTE($G2774,"-",""))),"-"," ",LEN($G2774)-LEN(SUBSTITUTE($G2774,"-",""))-1),SUBSTITUTE(SUBSTITUTE(SUBSTITUTE($G2774,"-"," ",LEN($G2774)-LEN(SUBSTITUTE($G2774,"-",""))),"-"," ",LEN($G2774)-LEN(SUBSTITUTE($G2774,"-",""))-1),"."," ",(LEN(SUBSTITUTE(SUBSTITUTE($G2774,"-"," ",LEN($G2774)-LEN(SUBSTITUTE($G2774,"-",""))),"-"," ",LEN($G2774)-LEN(SUBSTITUTE($G2774,"-",""))-1))-LEN(SUBSTITUTE(SUBSTITUTE(SUBSTITUTE($G2774,"-"," ",LEN($G2774)-LEN(SUBSTITUTE($G2774,"-",""))),"-"," ",LEN($G2774)-LEN(SUBSTITUTE($G2774,"-",""))-1),".",""))))),$G2774)))</f>
        <v/>
      </c>
    </row>
    <row r="2775">
      <c r="A2775" s="58" t="n"/>
      <c r="B2775" s="58">
        <f>IF($H2775="","",LEFT($H2775,FIND(" ",$H2775&amp;" ")-1))</f>
        <v/>
      </c>
      <c r="C2775" s="58">
        <f>IF($H2775="","",IFERROR(MID($H2775&amp;" ",FIND("|",SUBSTITUTE($H2775&amp;" "," ","|",1))+1,FIND("|",SUBSTITUTE($H2775&amp;" "," ","|",2))-FIND("|",SUBSTITUTE($H2775&amp;" "," ","|",1))-1),""))</f>
        <v/>
      </c>
      <c r="D2775" s="58">
        <f>IF($H2775="","",IFERROR(MID($H2775&amp;" ",FIND("|",SUBSTITUTE($H2775&amp;" "," ","|",2))+1,FIND("|",SUBSTITUTE($H2775&amp;" "," ","|",3))-FIND("|",SUBSTITUTE($H2775&amp;" "," ","|",2))-1),""))</f>
        <v/>
      </c>
      <c r="E2775" s="58">
        <f>IF($H2775="","",IFERROR(MID($H2775&amp;" ",FIND("|",SUBSTITUTE($H2775&amp;" "," ","|",3))+1,FIND("|",SUBSTITUTE($H2775&amp;" "," ","|",4))-FIND("|",SUBSTITUTE($H2775&amp;" "," ","|",3))-1),""))</f>
        <v/>
      </c>
      <c r="F2775" s="59">
        <f>IF($H2775="","",IFERROR(VALUE(IFERROR(MID($H2775&amp;" ",FIND("|",SUBSTITUTE($H2775&amp;" "," ","|",4))+1,FIND("|",SUBSTITUTE($H2775&amp;" "," ","|",5))-FIND("|",SUBSTITUTE($H2775&amp;" "," ","|",4))-1),""))/86400+25569+9/24,""))</f>
        <v/>
      </c>
      <c r="G2775" s="58">
        <f>TRIM(SUBSTITUTE(SUBSTITUTE(SUBSTITUTE($A2775,CHAR(9)," ")," "," "),CHAR(13),""))</f>
        <v/>
      </c>
      <c r="H2775" s="58">
        <f>IF($G2775="","",IF(ISNUMBER(FIND(" ",$G2775)),$G2775,IFERROR(IF((LEN(SUBSTITUTE(SUBSTITUTE($G2775,"-"," ",LEN($G2775)-LEN(SUBSTITUTE($G2775,"-",""))),"-"," ",LEN($G2775)-LEN(SUBSTITUTE($G2775,"-",""))-1))-LEN(SUBSTITUTE(SUBSTITUTE(SUBSTITUTE($G2775,"-"," ",LEN($G2775)-LEN(SUBSTITUTE($G2775,"-",""))),"-"," ",LEN($G2775)-LEN(SUBSTITUTE($G2775,"-",""))-1),".","")))=0,SUBSTITUTE(SUBSTITUTE($G2775,"-"," ",LEN($G2775)-LEN(SUBSTITUTE($G2775,"-",""))),"-"," ",LEN($G2775)-LEN(SUBSTITUTE($G2775,"-",""))-1),SUBSTITUTE(SUBSTITUTE(SUBSTITUTE($G2775,"-"," ",LEN($G2775)-LEN(SUBSTITUTE($G2775,"-",""))),"-"," ",LEN($G2775)-LEN(SUBSTITUTE($G2775,"-",""))-1),"."," ",(LEN(SUBSTITUTE(SUBSTITUTE($G2775,"-"," ",LEN($G2775)-LEN(SUBSTITUTE($G2775,"-",""))),"-"," ",LEN($G2775)-LEN(SUBSTITUTE($G2775,"-",""))-1))-LEN(SUBSTITUTE(SUBSTITUTE(SUBSTITUTE($G2775,"-"," ",LEN($G2775)-LEN(SUBSTITUTE($G2775,"-",""))),"-"," ",LEN($G2775)-LEN(SUBSTITUTE($G2775,"-",""))-1),".",""))))),$G2775)))</f>
        <v/>
      </c>
    </row>
    <row r="2776">
      <c r="A2776" s="58" t="n"/>
      <c r="B2776" s="58">
        <f>IF($H2776="","",LEFT($H2776,FIND(" ",$H2776&amp;" ")-1))</f>
        <v/>
      </c>
      <c r="C2776" s="58">
        <f>IF($H2776="","",IFERROR(MID($H2776&amp;" ",FIND("|",SUBSTITUTE($H2776&amp;" "," ","|",1))+1,FIND("|",SUBSTITUTE($H2776&amp;" "," ","|",2))-FIND("|",SUBSTITUTE($H2776&amp;" "," ","|",1))-1),""))</f>
        <v/>
      </c>
      <c r="D2776" s="58">
        <f>IF($H2776="","",IFERROR(MID($H2776&amp;" ",FIND("|",SUBSTITUTE($H2776&amp;" "," ","|",2))+1,FIND("|",SUBSTITUTE($H2776&amp;" "," ","|",3))-FIND("|",SUBSTITUTE($H2776&amp;" "," ","|",2))-1),""))</f>
        <v/>
      </c>
      <c r="E2776" s="58">
        <f>IF($H2776="","",IFERROR(MID($H2776&amp;" ",FIND("|",SUBSTITUTE($H2776&amp;" "," ","|",3))+1,FIND("|",SUBSTITUTE($H2776&amp;" "," ","|",4))-FIND("|",SUBSTITUTE($H2776&amp;" "," ","|",3))-1),""))</f>
        <v/>
      </c>
      <c r="F2776" s="59">
        <f>IF($H2776="","",IFERROR(VALUE(IFERROR(MID($H2776&amp;" ",FIND("|",SUBSTITUTE($H2776&amp;" "," ","|",4))+1,FIND("|",SUBSTITUTE($H2776&amp;" "," ","|",5))-FIND("|",SUBSTITUTE($H2776&amp;" "," ","|",4))-1),""))/86400+25569+9/24,""))</f>
        <v/>
      </c>
      <c r="G2776" s="58">
        <f>TRIM(SUBSTITUTE(SUBSTITUTE(SUBSTITUTE($A2776,CHAR(9)," ")," "," "),CHAR(13),""))</f>
        <v/>
      </c>
      <c r="H2776" s="58">
        <f>IF($G2776="","",IF(ISNUMBER(FIND(" ",$G2776)),$G2776,IFERROR(IF((LEN(SUBSTITUTE(SUBSTITUTE($G2776,"-"," ",LEN($G2776)-LEN(SUBSTITUTE($G2776,"-",""))),"-"," ",LEN($G2776)-LEN(SUBSTITUTE($G2776,"-",""))-1))-LEN(SUBSTITUTE(SUBSTITUTE(SUBSTITUTE($G2776,"-"," ",LEN($G2776)-LEN(SUBSTITUTE($G2776,"-",""))),"-"," ",LEN($G2776)-LEN(SUBSTITUTE($G2776,"-",""))-1),".","")))=0,SUBSTITUTE(SUBSTITUTE($G2776,"-"," ",LEN($G2776)-LEN(SUBSTITUTE($G2776,"-",""))),"-"," ",LEN($G2776)-LEN(SUBSTITUTE($G2776,"-",""))-1),SUBSTITUTE(SUBSTITUTE(SUBSTITUTE($G2776,"-"," ",LEN($G2776)-LEN(SUBSTITUTE($G2776,"-",""))),"-"," ",LEN($G2776)-LEN(SUBSTITUTE($G2776,"-",""))-1),"."," ",(LEN(SUBSTITUTE(SUBSTITUTE($G2776,"-"," ",LEN($G2776)-LEN(SUBSTITUTE($G2776,"-",""))),"-"," ",LEN($G2776)-LEN(SUBSTITUTE($G2776,"-",""))-1))-LEN(SUBSTITUTE(SUBSTITUTE(SUBSTITUTE($G2776,"-"," ",LEN($G2776)-LEN(SUBSTITUTE($G2776,"-",""))),"-"," ",LEN($G2776)-LEN(SUBSTITUTE($G2776,"-",""))-1),".",""))))),$G2776)))</f>
        <v/>
      </c>
    </row>
    <row r="2777">
      <c r="A2777" s="58" t="n"/>
      <c r="B2777" s="58">
        <f>IF($H2777="","",LEFT($H2777,FIND(" ",$H2777&amp;" ")-1))</f>
        <v/>
      </c>
      <c r="C2777" s="58">
        <f>IF($H2777="","",IFERROR(MID($H2777&amp;" ",FIND("|",SUBSTITUTE($H2777&amp;" "," ","|",1))+1,FIND("|",SUBSTITUTE($H2777&amp;" "," ","|",2))-FIND("|",SUBSTITUTE($H2777&amp;" "," ","|",1))-1),""))</f>
        <v/>
      </c>
      <c r="D2777" s="58">
        <f>IF($H2777="","",IFERROR(MID($H2777&amp;" ",FIND("|",SUBSTITUTE($H2777&amp;" "," ","|",2))+1,FIND("|",SUBSTITUTE($H2777&amp;" "," ","|",3))-FIND("|",SUBSTITUTE($H2777&amp;" "," ","|",2))-1),""))</f>
        <v/>
      </c>
      <c r="E2777" s="58">
        <f>IF($H2777="","",IFERROR(MID($H2777&amp;" ",FIND("|",SUBSTITUTE($H2777&amp;" "," ","|",3))+1,FIND("|",SUBSTITUTE($H2777&amp;" "," ","|",4))-FIND("|",SUBSTITUTE($H2777&amp;" "," ","|",3))-1),""))</f>
        <v/>
      </c>
      <c r="F2777" s="59">
        <f>IF($H2777="","",IFERROR(VALUE(IFERROR(MID($H2777&amp;" ",FIND("|",SUBSTITUTE($H2777&amp;" "," ","|",4))+1,FIND("|",SUBSTITUTE($H2777&amp;" "," ","|",5))-FIND("|",SUBSTITUTE($H2777&amp;" "," ","|",4))-1),""))/86400+25569+9/24,""))</f>
        <v/>
      </c>
      <c r="G2777" s="58">
        <f>TRIM(SUBSTITUTE(SUBSTITUTE(SUBSTITUTE($A2777,CHAR(9)," ")," "," "),CHAR(13),""))</f>
        <v/>
      </c>
      <c r="H2777" s="58">
        <f>IF($G2777="","",IF(ISNUMBER(FIND(" ",$G2777)),$G2777,IFERROR(IF((LEN(SUBSTITUTE(SUBSTITUTE($G2777,"-"," ",LEN($G2777)-LEN(SUBSTITUTE($G2777,"-",""))),"-"," ",LEN($G2777)-LEN(SUBSTITUTE($G2777,"-",""))-1))-LEN(SUBSTITUTE(SUBSTITUTE(SUBSTITUTE($G2777,"-"," ",LEN($G2777)-LEN(SUBSTITUTE($G2777,"-",""))),"-"," ",LEN($G2777)-LEN(SUBSTITUTE($G2777,"-",""))-1),".","")))=0,SUBSTITUTE(SUBSTITUTE($G2777,"-"," ",LEN($G2777)-LEN(SUBSTITUTE($G2777,"-",""))),"-"," ",LEN($G2777)-LEN(SUBSTITUTE($G2777,"-",""))-1),SUBSTITUTE(SUBSTITUTE(SUBSTITUTE($G2777,"-"," ",LEN($G2777)-LEN(SUBSTITUTE($G2777,"-",""))),"-"," ",LEN($G2777)-LEN(SUBSTITUTE($G2777,"-",""))-1),"."," ",(LEN(SUBSTITUTE(SUBSTITUTE($G2777,"-"," ",LEN($G2777)-LEN(SUBSTITUTE($G2777,"-",""))),"-"," ",LEN($G2777)-LEN(SUBSTITUTE($G2777,"-",""))-1))-LEN(SUBSTITUTE(SUBSTITUTE(SUBSTITUTE($G2777,"-"," ",LEN($G2777)-LEN(SUBSTITUTE($G2777,"-",""))),"-"," ",LEN($G2777)-LEN(SUBSTITUTE($G2777,"-",""))-1),".",""))))),$G2777)))</f>
        <v/>
      </c>
    </row>
    <row r="2778">
      <c r="A2778" s="58" t="n"/>
      <c r="B2778" s="58">
        <f>IF($H2778="","",LEFT($H2778,FIND(" ",$H2778&amp;" ")-1))</f>
        <v/>
      </c>
      <c r="C2778" s="58">
        <f>IF($H2778="","",IFERROR(MID($H2778&amp;" ",FIND("|",SUBSTITUTE($H2778&amp;" "," ","|",1))+1,FIND("|",SUBSTITUTE($H2778&amp;" "," ","|",2))-FIND("|",SUBSTITUTE($H2778&amp;" "," ","|",1))-1),""))</f>
        <v/>
      </c>
      <c r="D2778" s="58">
        <f>IF($H2778="","",IFERROR(MID($H2778&amp;" ",FIND("|",SUBSTITUTE($H2778&amp;" "," ","|",2))+1,FIND("|",SUBSTITUTE($H2778&amp;" "," ","|",3))-FIND("|",SUBSTITUTE($H2778&amp;" "," ","|",2))-1),""))</f>
        <v/>
      </c>
      <c r="E2778" s="58">
        <f>IF($H2778="","",IFERROR(MID($H2778&amp;" ",FIND("|",SUBSTITUTE($H2778&amp;" "," ","|",3))+1,FIND("|",SUBSTITUTE($H2778&amp;" "," ","|",4))-FIND("|",SUBSTITUTE($H2778&amp;" "," ","|",3))-1),""))</f>
        <v/>
      </c>
      <c r="F2778" s="59">
        <f>IF($H2778="","",IFERROR(VALUE(IFERROR(MID($H2778&amp;" ",FIND("|",SUBSTITUTE($H2778&amp;" "," ","|",4))+1,FIND("|",SUBSTITUTE($H2778&amp;" "," ","|",5))-FIND("|",SUBSTITUTE($H2778&amp;" "," ","|",4))-1),""))/86400+25569+9/24,""))</f>
        <v/>
      </c>
      <c r="G2778" s="58">
        <f>TRIM(SUBSTITUTE(SUBSTITUTE(SUBSTITUTE($A2778,CHAR(9)," ")," "," "),CHAR(13),""))</f>
        <v/>
      </c>
      <c r="H2778" s="58">
        <f>IF($G2778="","",IF(ISNUMBER(FIND(" ",$G2778)),$G2778,IFERROR(IF((LEN(SUBSTITUTE(SUBSTITUTE($G2778,"-"," ",LEN($G2778)-LEN(SUBSTITUTE($G2778,"-",""))),"-"," ",LEN($G2778)-LEN(SUBSTITUTE($G2778,"-",""))-1))-LEN(SUBSTITUTE(SUBSTITUTE(SUBSTITUTE($G2778,"-"," ",LEN($G2778)-LEN(SUBSTITUTE($G2778,"-",""))),"-"," ",LEN($G2778)-LEN(SUBSTITUTE($G2778,"-",""))-1),".","")))=0,SUBSTITUTE(SUBSTITUTE($G2778,"-"," ",LEN($G2778)-LEN(SUBSTITUTE($G2778,"-",""))),"-"," ",LEN($G2778)-LEN(SUBSTITUTE($G2778,"-",""))-1),SUBSTITUTE(SUBSTITUTE(SUBSTITUTE($G2778,"-"," ",LEN($G2778)-LEN(SUBSTITUTE($G2778,"-",""))),"-"," ",LEN($G2778)-LEN(SUBSTITUTE($G2778,"-",""))-1),"."," ",(LEN(SUBSTITUTE(SUBSTITUTE($G2778,"-"," ",LEN($G2778)-LEN(SUBSTITUTE($G2778,"-",""))),"-"," ",LEN($G2778)-LEN(SUBSTITUTE($G2778,"-",""))-1))-LEN(SUBSTITUTE(SUBSTITUTE(SUBSTITUTE($G2778,"-"," ",LEN($G2778)-LEN(SUBSTITUTE($G2778,"-",""))),"-"," ",LEN($G2778)-LEN(SUBSTITUTE($G2778,"-",""))-1),".",""))))),$G2778)))</f>
        <v/>
      </c>
    </row>
    <row r="2779">
      <c r="A2779" s="58" t="n"/>
      <c r="B2779" s="58">
        <f>IF($H2779="","",LEFT($H2779,FIND(" ",$H2779&amp;" ")-1))</f>
        <v/>
      </c>
      <c r="C2779" s="58">
        <f>IF($H2779="","",IFERROR(MID($H2779&amp;" ",FIND("|",SUBSTITUTE($H2779&amp;" "," ","|",1))+1,FIND("|",SUBSTITUTE($H2779&amp;" "," ","|",2))-FIND("|",SUBSTITUTE($H2779&amp;" "," ","|",1))-1),""))</f>
        <v/>
      </c>
      <c r="D2779" s="58">
        <f>IF($H2779="","",IFERROR(MID($H2779&amp;" ",FIND("|",SUBSTITUTE($H2779&amp;" "," ","|",2))+1,FIND("|",SUBSTITUTE($H2779&amp;" "," ","|",3))-FIND("|",SUBSTITUTE($H2779&amp;" "," ","|",2))-1),""))</f>
        <v/>
      </c>
      <c r="E2779" s="58">
        <f>IF($H2779="","",IFERROR(MID($H2779&amp;" ",FIND("|",SUBSTITUTE($H2779&amp;" "," ","|",3))+1,FIND("|",SUBSTITUTE($H2779&amp;" "," ","|",4))-FIND("|",SUBSTITUTE($H2779&amp;" "," ","|",3))-1),""))</f>
        <v/>
      </c>
      <c r="F2779" s="59">
        <f>IF($H2779="","",IFERROR(VALUE(IFERROR(MID($H2779&amp;" ",FIND("|",SUBSTITUTE($H2779&amp;" "," ","|",4))+1,FIND("|",SUBSTITUTE($H2779&amp;" "," ","|",5))-FIND("|",SUBSTITUTE($H2779&amp;" "," ","|",4))-1),""))/86400+25569+9/24,""))</f>
        <v/>
      </c>
      <c r="G2779" s="58">
        <f>TRIM(SUBSTITUTE(SUBSTITUTE(SUBSTITUTE($A2779,CHAR(9)," ")," "," "),CHAR(13),""))</f>
        <v/>
      </c>
      <c r="H2779" s="58">
        <f>IF($G2779="","",IF(ISNUMBER(FIND(" ",$G2779)),$G2779,IFERROR(IF((LEN(SUBSTITUTE(SUBSTITUTE($G2779,"-"," ",LEN($G2779)-LEN(SUBSTITUTE($G2779,"-",""))),"-"," ",LEN($G2779)-LEN(SUBSTITUTE($G2779,"-",""))-1))-LEN(SUBSTITUTE(SUBSTITUTE(SUBSTITUTE($G2779,"-"," ",LEN($G2779)-LEN(SUBSTITUTE($G2779,"-",""))),"-"," ",LEN($G2779)-LEN(SUBSTITUTE($G2779,"-",""))-1),".","")))=0,SUBSTITUTE(SUBSTITUTE($G2779,"-"," ",LEN($G2779)-LEN(SUBSTITUTE($G2779,"-",""))),"-"," ",LEN($G2779)-LEN(SUBSTITUTE($G2779,"-",""))-1),SUBSTITUTE(SUBSTITUTE(SUBSTITUTE($G2779,"-"," ",LEN($G2779)-LEN(SUBSTITUTE($G2779,"-",""))),"-"," ",LEN($G2779)-LEN(SUBSTITUTE($G2779,"-",""))-1),"."," ",(LEN(SUBSTITUTE(SUBSTITUTE($G2779,"-"," ",LEN($G2779)-LEN(SUBSTITUTE($G2779,"-",""))),"-"," ",LEN($G2779)-LEN(SUBSTITUTE($G2779,"-",""))-1))-LEN(SUBSTITUTE(SUBSTITUTE(SUBSTITUTE($G2779,"-"," ",LEN($G2779)-LEN(SUBSTITUTE($G2779,"-",""))),"-"," ",LEN($G2779)-LEN(SUBSTITUTE($G2779,"-",""))-1),".",""))))),$G2779)))</f>
        <v/>
      </c>
    </row>
    <row r="2780">
      <c r="A2780" s="58" t="n"/>
      <c r="B2780" s="58">
        <f>IF($H2780="","",LEFT($H2780,FIND(" ",$H2780&amp;" ")-1))</f>
        <v/>
      </c>
      <c r="C2780" s="58">
        <f>IF($H2780="","",IFERROR(MID($H2780&amp;" ",FIND("|",SUBSTITUTE($H2780&amp;" "," ","|",1))+1,FIND("|",SUBSTITUTE($H2780&amp;" "," ","|",2))-FIND("|",SUBSTITUTE($H2780&amp;" "," ","|",1))-1),""))</f>
        <v/>
      </c>
      <c r="D2780" s="58">
        <f>IF($H2780="","",IFERROR(MID($H2780&amp;" ",FIND("|",SUBSTITUTE($H2780&amp;" "," ","|",2))+1,FIND("|",SUBSTITUTE($H2780&amp;" "," ","|",3))-FIND("|",SUBSTITUTE($H2780&amp;" "," ","|",2))-1),""))</f>
        <v/>
      </c>
      <c r="E2780" s="58">
        <f>IF($H2780="","",IFERROR(MID($H2780&amp;" ",FIND("|",SUBSTITUTE($H2780&amp;" "," ","|",3))+1,FIND("|",SUBSTITUTE($H2780&amp;" "," ","|",4))-FIND("|",SUBSTITUTE($H2780&amp;" "," ","|",3))-1),""))</f>
        <v/>
      </c>
      <c r="F2780" s="59">
        <f>IF($H2780="","",IFERROR(VALUE(IFERROR(MID($H2780&amp;" ",FIND("|",SUBSTITUTE($H2780&amp;" "," ","|",4))+1,FIND("|",SUBSTITUTE($H2780&amp;" "," ","|",5))-FIND("|",SUBSTITUTE($H2780&amp;" "," ","|",4))-1),""))/86400+25569+9/24,""))</f>
        <v/>
      </c>
      <c r="G2780" s="58">
        <f>TRIM(SUBSTITUTE(SUBSTITUTE(SUBSTITUTE($A2780,CHAR(9)," ")," "," "),CHAR(13),""))</f>
        <v/>
      </c>
      <c r="H2780" s="58">
        <f>IF($G2780="","",IF(ISNUMBER(FIND(" ",$G2780)),$G2780,IFERROR(IF((LEN(SUBSTITUTE(SUBSTITUTE($G2780,"-"," ",LEN($G2780)-LEN(SUBSTITUTE($G2780,"-",""))),"-"," ",LEN($G2780)-LEN(SUBSTITUTE($G2780,"-",""))-1))-LEN(SUBSTITUTE(SUBSTITUTE(SUBSTITUTE($G2780,"-"," ",LEN($G2780)-LEN(SUBSTITUTE($G2780,"-",""))),"-"," ",LEN($G2780)-LEN(SUBSTITUTE($G2780,"-",""))-1),".","")))=0,SUBSTITUTE(SUBSTITUTE($G2780,"-"," ",LEN($G2780)-LEN(SUBSTITUTE($G2780,"-",""))),"-"," ",LEN($G2780)-LEN(SUBSTITUTE($G2780,"-",""))-1),SUBSTITUTE(SUBSTITUTE(SUBSTITUTE($G2780,"-"," ",LEN($G2780)-LEN(SUBSTITUTE($G2780,"-",""))),"-"," ",LEN($G2780)-LEN(SUBSTITUTE($G2780,"-",""))-1),"."," ",(LEN(SUBSTITUTE(SUBSTITUTE($G2780,"-"," ",LEN($G2780)-LEN(SUBSTITUTE($G2780,"-",""))),"-"," ",LEN($G2780)-LEN(SUBSTITUTE($G2780,"-",""))-1))-LEN(SUBSTITUTE(SUBSTITUTE(SUBSTITUTE($G2780,"-"," ",LEN($G2780)-LEN(SUBSTITUTE($G2780,"-",""))),"-"," ",LEN($G2780)-LEN(SUBSTITUTE($G2780,"-",""))-1),".",""))))),$G2780)))</f>
        <v/>
      </c>
    </row>
    <row r="2781">
      <c r="A2781" s="58" t="n"/>
      <c r="B2781" s="58">
        <f>IF($H2781="","",LEFT($H2781,FIND(" ",$H2781&amp;" ")-1))</f>
        <v/>
      </c>
      <c r="C2781" s="58">
        <f>IF($H2781="","",IFERROR(MID($H2781&amp;" ",FIND("|",SUBSTITUTE($H2781&amp;" "," ","|",1))+1,FIND("|",SUBSTITUTE($H2781&amp;" "," ","|",2))-FIND("|",SUBSTITUTE($H2781&amp;" "," ","|",1))-1),""))</f>
        <v/>
      </c>
      <c r="D2781" s="58">
        <f>IF($H2781="","",IFERROR(MID($H2781&amp;" ",FIND("|",SUBSTITUTE($H2781&amp;" "," ","|",2))+1,FIND("|",SUBSTITUTE($H2781&amp;" "," ","|",3))-FIND("|",SUBSTITUTE($H2781&amp;" "," ","|",2))-1),""))</f>
        <v/>
      </c>
      <c r="E2781" s="58">
        <f>IF($H2781="","",IFERROR(MID($H2781&amp;" ",FIND("|",SUBSTITUTE($H2781&amp;" "," ","|",3))+1,FIND("|",SUBSTITUTE($H2781&amp;" "," ","|",4))-FIND("|",SUBSTITUTE($H2781&amp;" "," ","|",3))-1),""))</f>
        <v/>
      </c>
      <c r="F2781" s="59">
        <f>IF($H2781="","",IFERROR(VALUE(IFERROR(MID($H2781&amp;" ",FIND("|",SUBSTITUTE($H2781&amp;" "," ","|",4))+1,FIND("|",SUBSTITUTE($H2781&amp;" "," ","|",5))-FIND("|",SUBSTITUTE($H2781&amp;" "," ","|",4))-1),""))/86400+25569+9/24,""))</f>
        <v/>
      </c>
      <c r="G2781" s="58">
        <f>TRIM(SUBSTITUTE(SUBSTITUTE(SUBSTITUTE($A2781,CHAR(9)," ")," "," "),CHAR(13),""))</f>
        <v/>
      </c>
      <c r="H2781" s="58">
        <f>IF($G2781="","",IF(ISNUMBER(FIND(" ",$G2781)),$G2781,IFERROR(IF((LEN(SUBSTITUTE(SUBSTITUTE($G2781,"-"," ",LEN($G2781)-LEN(SUBSTITUTE($G2781,"-",""))),"-"," ",LEN($G2781)-LEN(SUBSTITUTE($G2781,"-",""))-1))-LEN(SUBSTITUTE(SUBSTITUTE(SUBSTITUTE($G2781,"-"," ",LEN($G2781)-LEN(SUBSTITUTE($G2781,"-",""))),"-"," ",LEN($G2781)-LEN(SUBSTITUTE($G2781,"-",""))-1),".","")))=0,SUBSTITUTE(SUBSTITUTE($G2781,"-"," ",LEN($G2781)-LEN(SUBSTITUTE($G2781,"-",""))),"-"," ",LEN($G2781)-LEN(SUBSTITUTE($G2781,"-",""))-1),SUBSTITUTE(SUBSTITUTE(SUBSTITUTE($G2781,"-"," ",LEN($G2781)-LEN(SUBSTITUTE($G2781,"-",""))),"-"," ",LEN($G2781)-LEN(SUBSTITUTE($G2781,"-",""))-1),"."," ",(LEN(SUBSTITUTE(SUBSTITUTE($G2781,"-"," ",LEN($G2781)-LEN(SUBSTITUTE($G2781,"-",""))),"-"," ",LEN($G2781)-LEN(SUBSTITUTE($G2781,"-",""))-1))-LEN(SUBSTITUTE(SUBSTITUTE(SUBSTITUTE($G2781,"-"," ",LEN($G2781)-LEN(SUBSTITUTE($G2781,"-",""))),"-"," ",LEN($G2781)-LEN(SUBSTITUTE($G2781,"-",""))-1),".",""))))),$G2781)))</f>
        <v/>
      </c>
    </row>
    <row r="2782">
      <c r="A2782" s="58" t="n"/>
      <c r="B2782" s="58">
        <f>IF($H2782="","",LEFT($H2782,FIND(" ",$H2782&amp;" ")-1))</f>
        <v/>
      </c>
      <c r="C2782" s="58">
        <f>IF($H2782="","",IFERROR(MID($H2782&amp;" ",FIND("|",SUBSTITUTE($H2782&amp;" "," ","|",1))+1,FIND("|",SUBSTITUTE($H2782&amp;" "," ","|",2))-FIND("|",SUBSTITUTE($H2782&amp;" "," ","|",1))-1),""))</f>
        <v/>
      </c>
      <c r="D2782" s="58">
        <f>IF($H2782="","",IFERROR(MID($H2782&amp;" ",FIND("|",SUBSTITUTE($H2782&amp;" "," ","|",2))+1,FIND("|",SUBSTITUTE($H2782&amp;" "," ","|",3))-FIND("|",SUBSTITUTE($H2782&amp;" "," ","|",2))-1),""))</f>
        <v/>
      </c>
      <c r="E2782" s="58">
        <f>IF($H2782="","",IFERROR(MID($H2782&amp;" ",FIND("|",SUBSTITUTE($H2782&amp;" "," ","|",3))+1,FIND("|",SUBSTITUTE($H2782&amp;" "," ","|",4))-FIND("|",SUBSTITUTE($H2782&amp;" "," ","|",3))-1),""))</f>
        <v/>
      </c>
      <c r="F2782" s="59">
        <f>IF($H2782="","",IFERROR(VALUE(IFERROR(MID($H2782&amp;" ",FIND("|",SUBSTITUTE($H2782&amp;" "," ","|",4))+1,FIND("|",SUBSTITUTE($H2782&amp;" "," ","|",5))-FIND("|",SUBSTITUTE($H2782&amp;" "," ","|",4))-1),""))/86400+25569+9/24,""))</f>
        <v/>
      </c>
      <c r="G2782" s="58">
        <f>TRIM(SUBSTITUTE(SUBSTITUTE(SUBSTITUTE($A2782,CHAR(9)," ")," "," "),CHAR(13),""))</f>
        <v/>
      </c>
      <c r="H2782" s="58">
        <f>IF($G2782="","",IF(ISNUMBER(FIND(" ",$G2782)),$G2782,IFERROR(IF((LEN(SUBSTITUTE(SUBSTITUTE($G2782,"-"," ",LEN($G2782)-LEN(SUBSTITUTE($G2782,"-",""))),"-"," ",LEN($G2782)-LEN(SUBSTITUTE($G2782,"-",""))-1))-LEN(SUBSTITUTE(SUBSTITUTE(SUBSTITUTE($G2782,"-"," ",LEN($G2782)-LEN(SUBSTITUTE($G2782,"-",""))),"-"," ",LEN($G2782)-LEN(SUBSTITUTE($G2782,"-",""))-1),".","")))=0,SUBSTITUTE(SUBSTITUTE($G2782,"-"," ",LEN($G2782)-LEN(SUBSTITUTE($G2782,"-",""))),"-"," ",LEN($G2782)-LEN(SUBSTITUTE($G2782,"-",""))-1),SUBSTITUTE(SUBSTITUTE(SUBSTITUTE($G2782,"-"," ",LEN($G2782)-LEN(SUBSTITUTE($G2782,"-",""))),"-"," ",LEN($G2782)-LEN(SUBSTITUTE($G2782,"-",""))-1),"."," ",(LEN(SUBSTITUTE(SUBSTITUTE($G2782,"-"," ",LEN($G2782)-LEN(SUBSTITUTE($G2782,"-",""))),"-"," ",LEN($G2782)-LEN(SUBSTITUTE($G2782,"-",""))-1))-LEN(SUBSTITUTE(SUBSTITUTE(SUBSTITUTE($G2782,"-"," ",LEN($G2782)-LEN(SUBSTITUTE($G2782,"-",""))),"-"," ",LEN($G2782)-LEN(SUBSTITUTE($G2782,"-",""))-1),".",""))))),$G2782)))</f>
        <v/>
      </c>
    </row>
    <row r="2783">
      <c r="A2783" s="58" t="n"/>
      <c r="B2783" s="58">
        <f>IF($H2783="","",LEFT($H2783,FIND(" ",$H2783&amp;" ")-1))</f>
        <v/>
      </c>
      <c r="C2783" s="58">
        <f>IF($H2783="","",IFERROR(MID($H2783&amp;" ",FIND("|",SUBSTITUTE($H2783&amp;" "," ","|",1))+1,FIND("|",SUBSTITUTE($H2783&amp;" "," ","|",2))-FIND("|",SUBSTITUTE($H2783&amp;" "," ","|",1))-1),""))</f>
        <v/>
      </c>
      <c r="D2783" s="58">
        <f>IF($H2783="","",IFERROR(MID($H2783&amp;" ",FIND("|",SUBSTITUTE($H2783&amp;" "," ","|",2))+1,FIND("|",SUBSTITUTE($H2783&amp;" "," ","|",3))-FIND("|",SUBSTITUTE($H2783&amp;" "," ","|",2))-1),""))</f>
        <v/>
      </c>
      <c r="E2783" s="58">
        <f>IF($H2783="","",IFERROR(MID($H2783&amp;" ",FIND("|",SUBSTITUTE($H2783&amp;" "," ","|",3))+1,FIND("|",SUBSTITUTE($H2783&amp;" "," ","|",4))-FIND("|",SUBSTITUTE($H2783&amp;" "," ","|",3))-1),""))</f>
        <v/>
      </c>
      <c r="F2783" s="59">
        <f>IF($H2783="","",IFERROR(VALUE(IFERROR(MID($H2783&amp;" ",FIND("|",SUBSTITUTE($H2783&amp;" "," ","|",4))+1,FIND("|",SUBSTITUTE($H2783&amp;" "," ","|",5))-FIND("|",SUBSTITUTE($H2783&amp;" "," ","|",4))-1),""))/86400+25569+9/24,""))</f>
        <v/>
      </c>
      <c r="G2783" s="58">
        <f>TRIM(SUBSTITUTE(SUBSTITUTE(SUBSTITUTE($A2783,CHAR(9)," ")," "," "),CHAR(13),""))</f>
        <v/>
      </c>
      <c r="H2783" s="58">
        <f>IF($G2783="","",IF(ISNUMBER(FIND(" ",$G2783)),$G2783,IFERROR(IF((LEN(SUBSTITUTE(SUBSTITUTE($G2783,"-"," ",LEN($G2783)-LEN(SUBSTITUTE($G2783,"-",""))),"-"," ",LEN($G2783)-LEN(SUBSTITUTE($G2783,"-",""))-1))-LEN(SUBSTITUTE(SUBSTITUTE(SUBSTITUTE($G2783,"-"," ",LEN($G2783)-LEN(SUBSTITUTE($G2783,"-",""))),"-"," ",LEN($G2783)-LEN(SUBSTITUTE($G2783,"-",""))-1),".","")))=0,SUBSTITUTE(SUBSTITUTE($G2783,"-"," ",LEN($G2783)-LEN(SUBSTITUTE($G2783,"-",""))),"-"," ",LEN($G2783)-LEN(SUBSTITUTE($G2783,"-",""))-1),SUBSTITUTE(SUBSTITUTE(SUBSTITUTE($G2783,"-"," ",LEN($G2783)-LEN(SUBSTITUTE($G2783,"-",""))),"-"," ",LEN($G2783)-LEN(SUBSTITUTE($G2783,"-",""))-1),"."," ",(LEN(SUBSTITUTE(SUBSTITUTE($G2783,"-"," ",LEN($G2783)-LEN(SUBSTITUTE($G2783,"-",""))),"-"," ",LEN($G2783)-LEN(SUBSTITUTE($G2783,"-",""))-1))-LEN(SUBSTITUTE(SUBSTITUTE(SUBSTITUTE($G2783,"-"," ",LEN($G2783)-LEN(SUBSTITUTE($G2783,"-",""))),"-"," ",LEN($G2783)-LEN(SUBSTITUTE($G2783,"-",""))-1),".",""))))),$G2783)))</f>
        <v/>
      </c>
    </row>
    <row r="2784">
      <c r="A2784" s="58" t="n"/>
      <c r="B2784" s="58">
        <f>IF($H2784="","",LEFT($H2784,FIND(" ",$H2784&amp;" ")-1))</f>
        <v/>
      </c>
      <c r="C2784" s="58">
        <f>IF($H2784="","",IFERROR(MID($H2784&amp;" ",FIND("|",SUBSTITUTE($H2784&amp;" "," ","|",1))+1,FIND("|",SUBSTITUTE($H2784&amp;" "," ","|",2))-FIND("|",SUBSTITUTE($H2784&amp;" "," ","|",1))-1),""))</f>
        <v/>
      </c>
      <c r="D2784" s="58">
        <f>IF($H2784="","",IFERROR(MID($H2784&amp;" ",FIND("|",SUBSTITUTE($H2784&amp;" "," ","|",2))+1,FIND("|",SUBSTITUTE($H2784&amp;" "," ","|",3))-FIND("|",SUBSTITUTE($H2784&amp;" "," ","|",2))-1),""))</f>
        <v/>
      </c>
      <c r="E2784" s="58">
        <f>IF($H2784="","",IFERROR(MID($H2784&amp;" ",FIND("|",SUBSTITUTE($H2784&amp;" "," ","|",3))+1,FIND("|",SUBSTITUTE($H2784&amp;" "," ","|",4))-FIND("|",SUBSTITUTE($H2784&amp;" "," ","|",3))-1),""))</f>
        <v/>
      </c>
      <c r="F2784" s="59">
        <f>IF($H2784="","",IFERROR(VALUE(IFERROR(MID($H2784&amp;" ",FIND("|",SUBSTITUTE($H2784&amp;" "," ","|",4))+1,FIND("|",SUBSTITUTE($H2784&amp;" "," ","|",5))-FIND("|",SUBSTITUTE($H2784&amp;" "," ","|",4))-1),""))/86400+25569+9/24,""))</f>
        <v/>
      </c>
      <c r="G2784" s="58">
        <f>TRIM(SUBSTITUTE(SUBSTITUTE(SUBSTITUTE($A2784,CHAR(9)," ")," "," "),CHAR(13),""))</f>
        <v/>
      </c>
      <c r="H2784" s="58">
        <f>IF($G2784="","",IF(ISNUMBER(FIND(" ",$G2784)),$G2784,IFERROR(IF((LEN(SUBSTITUTE(SUBSTITUTE($G2784,"-"," ",LEN($G2784)-LEN(SUBSTITUTE($G2784,"-",""))),"-"," ",LEN($G2784)-LEN(SUBSTITUTE($G2784,"-",""))-1))-LEN(SUBSTITUTE(SUBSTITUTE(SUBSTITUTE($G2784,"-"," ",LEN($G2784)-LEN(SUBSTITUTE($G2784,"-",""))),"-"," ",LEN($G2784)-LEN(SUBSTITUTE($G2784,"-",""))-1),".","")))=0,SUBSTITUTE(SUBSTITUTE($G2784,"-"," ",LEN($G2784)-LEN(SUBSTITUTE($G2784,"-",""))),"-"," ",LEN($G2784)-LEN(SUBSTITUTE($G2784,"-",""))-1),SUBSTITUTE(SUBSTITUTE(SUBSTITUTE($G2784,"-"," ",LEN($G2784)-LEN(SUBSTITUTE($G2784,"-",""))),"-"," ",LEN($G2784)-LEN(SUBSTITUTE($G2784,"-",""))-1),"."," ",(LEN(SUBSTITUTE(SUBSTITUTE($G2784,"-"," ",LEN($G2784)-LEN(SUBSTITUTE($G2784,"-",""))),"-"," ",LEN($G2784)-LEN(SUBSTITUTE($G2784,"-",""))-1))-LEN(SUBSTITUTE(SUBSTITUTE(SUBSTITUTE($G2784,"-"," ",LEN($G2784)-LEN(SUBSTITUTE($G2784,"-",""))),"-"," ",LEN($G2784)-LEN(SUBSTITUTE($G2784,"-",""))-1),".",""))))),$G2784)))</f>
        <v/>
      </c>
    </row>
    <row r="2785">
      <c r="A2785" s="58" t="n"/>
      <c r="B2785" s="58">
        <f>IF($H2785="","",LEFT($H2785,FIND(" ",$H2785&amp;" ")-1))</f>
        <v/>
      </c>
      <c r="C2785" s="58">
        <f>IF($H2785="","",IFERROR(MID($H2785&amp;" ",FIND("|",SUBSTITUTE($H2785&amp;" "," ","|",1))+1,FIND("|",SUBSTITUTE($H2785&amp;" "," ","|",2))-FIND("|",SUBSTITUTE($H2785&amp;" "," ","|",1))-1),""))</f>
        <v/>
      </c>
      <c r="D2785" s="58">
        <f>IF($H2785="","",IFERROR(MID($H2785&amp;" ",FIND("|",SUBSTITUTE($H2785&amp;" "," ","|",2))+1,FIND("|",SUBSTITUTE($H2785&amp;" "," ","|",3))-FIND("|",SUBSTITUTE($H2785&amp;" "," ","|",2))-1),""))</f>
        <v/>
      </c>
      <c r="E2785" s="58">
        <f>IF($H2785="","",IFERROR(MID($H2785&amp;" ",FIND("|",SUBSTITUTE($H2785&amp;" "," ","|",3))+1,FIND("|",SUBSTITUTE($H2785&amp;" "," ","|",4))-FIND("|",SUBSTITUTE($H2785&amp;" "," ","|",3))-1),""))</f>
        <v/>
      </c>
      <c r="F2785" s="59">
        <f>IF($H2785="","",IFERROR(VALUE(IFERROR(MID($H2785&amp;" ",FIND("|",SUBSTITUTE($H2785&amp;" "," ","|",4))+1,FIND("|",SUBSTITUTE($H2785&amp;" "," ","|",5))-FIND("|",SUBSTITUTE($H2785&amp;" "," ","|",4))-1),""))/86400+25569+9/24,""))</f>
        <v/>
      </c>
      <c r="G2785" s="58">
        <f>TRIM(SUBSTITUTE(SUBSTITUTE(SUBSTITUTE($A2785,CHAR(9)," ")," "," "),CHAR(13),""))</f>
        <v/>
      </c>
      <c r="H2785" s="58">
        <f>IF($G2785="","",IF(ISNUMBER(FIND(" ",$G2785)),$G2785,IFERROR(IF((LEN(SUBSTITUTE(SUBSTITUTE($G2785,"-"," ",LEN($G2785)-LEN(SUBSTITUTE($G2785,"-",""))),"-"," ",LEN($G2785)-LEN(SUBSTITUTE($G2785,"-",""))-1))-LEN(SUBSTITUTE(SUBSTITUTE(SUBSTITUTE($G2785,"-"," ",LEN($G2785)-LEN(SUBSTITUTE($G2785,"-",""))),"-"," ",LEN($G2785)-LEN(SUBSTITUTE($G2785,"-",""))-1),".","")))=0,SUBSTITUTE(SUBSTITUTE($G2785,"-"," ",LEN($G2785)-LEN(SUBSTITUTE($G2785,"-",""))),"-"," ",LEN($G2785)-LEN(SUBSTITUTE($G2785,"-",""))-1),SUBSTITUTE(SUBSTITUTE(SUBSTITUTE($G2785,"-"," ",LEN($G2785)-LEN(SUBSTITUTE($G2785,"-",""))),"-"," ",LEN($G2785)-LEN(SUBSTITUTE($G2785,"-",""))-1),"."," ",(LEN(SUBSTITUTE(SUBSTITUTE($G2785,"-"," ",LEN($G2785)-LEN(SUBSTITUTE($G2785,"-",""))),"-"," ",LEN($G2785)-LEN(SUBSTITUTE($G2785,"-",""))-1))-LEN(SUBSTITUTE(SUBSTITUTE(SUBSTITUTE($G2785,"-"," ",LEN($G2785)-LEN(SUBSTITUTE($G2785,"-",""))),"-"," ",LEN($G2785)-LEN(SUBSTITUTE($G2785,"-",""))-1),".",""))))),$G2785)))</f>
        <v/>
      </c>
    </row>
    <row r="2786">
      <c r="A2786" s="58" t="n"/>
      <c r="B2786" s="58">
        <f>IF($H2786="","",LEFT($H2786,FIND(" ",$H2786&amp;" ")-1))</f>
        <v/>
      </c>
      <c r="C2786" s="58">
        <f>IF($H2786="","",IFERROR(MID($H2786&amp;" ",FIND("|",SUBSTITUTE($H2786&amp;" "," ","|",1))+1,FIND("|",SUBSTITUTE($H2786&amp;" "," ","|",2))-FIND("|",SUBSTITUTE($H2786&amp;" "," ","|",1))-1),""))</f>
        <v/>
      </c>
      <c r="D2786" s="58">
        <f>IF($H2786="","",IFERROR(MID($H2786&amp;" ",FIND("|",SUBSTITUTE($H2786&amp;" "," ","|",2))+1,FIND("|",SUBSTITUTE($H2786&amp;" "," ","|",3))-FIND("|",SUBSTITUTE($H2786&amp;" "," ","|",2))-1),""))</f>
        <v/>
      </c>
      <c r="E2786" s="58">
        <f>IF($H2786="","",IFERROR(MID($H2786&amp;" ",FIND("|",SUBSTITUTE($H2786&amp;" "," ","|",3))+1,FIND("|",SUBSTITUTE($H2786&amp;" "," ","|",4))-FIND("|",SUBSTITUTE($H2786&amp;" "," ","|",3))-1),""))</f>
        <v/>
      </c>
      <c r="F2786" s="59">
        <f>IF($H2786="","",IFERROR(VALUE(IFERROR(MID($H2786&amp;" ",FIND("|",SUBSTITUTE($H2786&amp;" "," ","|",4))+1,FIND("|",SUBSTITUTE($H2786&amp;" "," ","|",5))-FIND("|",SUBSTITUTE($H2786&amp;" "," ","|",4))-1),""))/86400+25569+9/24,""))</f>
        <v/>
      </c>
      <c r="G2786" s="58">
        <f>TRIM(SUBSTITUTE(SUBSTITUTE(SUBSTITUTE($A2786,CHAR(9)," ")," "," "),CHAR(13),""))</f>
        <v/>
      </c>
      <c r="H2786" s="58">
        <f>IF($G2786="","",IF(ISNUMBER(FIND(" ",$G2786)),$G2786,IFERROR(IF((LEN(SUBSTITUTE(SUBSTITUTE($G2786,"-"," ",LEN($G2786)-LEN(SUBSTITUTE($G2786,"-",""))),"-"," ",LEN($G2786)-LEN(SUBSTITUTE($G2786,"-",""))-1))-LEN(SUBSTITUTE(SUBSTITUTE(SUBSTITUTE($G2786,"-"," ",LEN($G2786)-LEN(SUBSTITUTE($G2786,"-",""))),"-"," ",LEN($G2786)-LEN(SUBSTITUTE($G2786,"-",""))-1),".","")))=0,SUBSTITUTE(SUBSTITUTE($G2786,"-"," ",LEN($G2786)-LEN(SUBSTITUTE($G2786,"-",""))),"-"," ",LEN($G2786)-LEN(SUBSTITUTE($G2786,"-",""))-1),SUBSTITUTE(SUBSTITUTE(SUBSTITUTE($G2786,"-"," ",LEN($G2786)-LEN(SUBSTITUTE($G2786,"-",""))),"-"," ",LEN($G2786)-LEN(SUBSTITUTE($G2786,"-",""))-1),"."," ",(LEN(SUBSTITUTE(SUBSTITUTE($G2786,"-"," ",LEN($G2786)-LEN(SUBSTITUTE($G2786,"-",""))),"-"," ",LEN($G2786)-LEN(SUBSTITUTE($G2786,"-",""))-1))-LEN(SUBSTITUTE(SUBSTITUTE(SUBSTITUTE($G2786,"-"," ",LEN($G2786)-LEN(SUBSTITUTE($G2786,"-",""))),"-"," ",LEN($G2786)-LEN(SUBSTITUTE($G2786,"-",""))-1),".",""))))),$G2786)))</f>
        <v/>
      </c>
    </row>
    <row r="2787">
      <c r="A2787" s="58" t="n"/>
      <c r="B2787" s="58">
        <f>IF($H2787="","",LEFT($H2787,FIND(" ",$H2787&amp;" ")-1))</f>
        <v/>
      </c>
      <c r="C2787" s="58">
        <f>IF($H2787="","",IFERROR(MID($H2787&amp;" ",FIND("|",SUBSTITUTE($H2787&amp;" "," ","|",1))+1,FIND("|",SUBSTITUTE($H2787&amp;" "," ","|",2))-FIND("|",SUBSTITUTE($H2787&amp;" "," ","|",1))-1),""))</f>
        <v/>
      </c>
      <c r="D2787" s="58">
        <f>IF($H2787="","",IFERROR(MID($H2787&amp;" ",FIND("|",SUBSTITUTE($H2787&amp;" "," ","|",2))+1,FIND("|",SUBSTITUTE($H2787&amp;" "," ","|",3))-FIND("|",SUBSTITUTE($H2787&amp;" "," ","|",2))-1),""))</f>
        <v/>
      </c>
      <c r="E2787" s="58">
        <f>IF($H2787="","",IFERROR(MID($H2787&amp;" ",FIND("|",SUBSTITUTE($H2787&amp;" "," ","|",3))+1,FIND("|",SUBSTITUTE($H2787&amp;" "," ","|",4))-FIND("|",SUBSTITUTE($H2787&amp;" "," ","|",3))-1),""))</f>
        <v/>
      </c>
      <c r="F2787" s="59">
        <f>IF($H2787="","",IFERROR(VALUE(IFERROR(MID($H2787&amp;" ",FIND("|",SUBSTITUTE($H2787&amp;" "," ","|",4))+1,FIND("|",SUBSTITUTE($H2787&amp;" "," ","|",5))-FIND("|",SUBSTITUTE($H2787&amp;" "," ","|",4))-1),""))/86400+25569+9/24,""))</f>
        <v/>
      </c>
      <c r="G2787" s="58">
        <f>TRIM(SUBSTITUTE(SUBSTITUTE(SUBSTITUTE($A2787,CHAR(9)," ")," "," "),CHAR(13),""))</f>
        <v/>
      </c>
      <c r="H2787" s="58">
        <f>IF($G2787="","",IF(ISNUMBER(FIND(" ",$G2787)),$G2787,IFERROR(IF((LEN(SUBSTITUTE(SUBSTITUTE($G2787,"-"," ",LEN($G2787)-LEN(SUBSTITUTE($G2787,"-",""))),"-"," ",LEN($G2787)-LEN(SUBSTITUTE($G2787,"-",""))-1))-LEN(SUBSTITUTE(SUBSTITUTE(SUBSTITUTE($G2787,"-"," ",LEN($G2787)-LEN(SUBSTITUTE($G2787,"-",""))),"-"," ",LEN($G2787)-LEN(SUBSTITUTE($G2787,"-",""))-1),".","")))=0,SUBSTITUTE(SUBSTITUTE($G2787,"-"," ",LEN($G2787)-LEN(SUBSTITUTE($G2787,"-",""))),"-"," ",LEN($G2787)-LEN(SUBSTITUTE($G2787,"-",""))-1),SUBSTITUTE(SUBSTITUTE(SUBSTITUTE($G2787,"-"," ",LEN($G2787)-LEN(SUBSTITUTE($G2787,"-",""))),"-"," ",LEN($G2787)-LEN(SUBSTITUTE($G2787,"-",""))-1),"."," ",(LEN(SUBSTITUTE(SUBSTITUTE($G2787,"-"," ",LEN($G2787)-LEN(SUBSTITUTE($G2787,"-",""))),"-"," ",LEN($G2787)-LEN(SUBSTITUTE($G2787,"-",""))-1))-LEN(SUBSTITUTE(SUBSTITUTE(SUBSTITUTE($G2787,"-"," ",LEN($G2787)-LEN(SUBSTITUTE($G2787,"-",""))),"-"," ",LEN($G2787)-LEN(SUBSTITUTE($G2787,"-",""))-1),".",""))))),$G2787)))</f>
        <v/>
      </c>
    </row>
    <row r="2788">
      <c r="A2788" s="58" t="n"/>
      <c r="B2788" s="58">
        <f>IF($H2788="","",LEFT($H2788,FIND(" ",$H2788&amp;" ")-1))</f>
        <v/>
      </c>
      <c r="C2788" s="58">
        <f>IF($H2788="","",IFERROR(MID($H2788&amp;" ",FIND("|",SUBSTITUTE($H2788&amp;" "," ","|",1))+1,FIND("|",SUBSTITUTE($H2788&amp;" "," ","|",2))-FIND("|",SUBSTITUTE($H2788&amp;" "," ","|",1))-1),""))</f>
        <v/>
      </c>
      <c r="D2788" s="58">
        <f>IF($H2788="","",IFERROR(MID($H2788&amp;" ",FIND("|",SUBSTITUTE($H2788&amp;" "," ","|",2))+1,FIND("|",SUBSTITUTE($H2788&amp;" "," ","|",3))-FIND("|",SUBSTITUTE($H2788&amp;" "," ","|",2))-1),""))</f>
        <v/>
      </c>
      <c r="E2788" s="58">
        <f>IF($H2788="","",IFERROR(MID($H2788&amp;" ",FIND("|",SUBSTITUTE($H2788&amp;" "," ","|",3))+1,FIND("|",SUBSTITUTE($H2788&amp;" "," ","|",4))-FIND("|",SUBSTITUTE($H2788&amp;" "," ","|",3))-1),""))</f>
        <v/>
      </c>
      <c r="F2788" s="59">
        <f>IF($H2788="","",IFERROR(VALUE(IFERROR(MID($H2788&amp;" ",FIND("|",SUBSTITUTE($H2788&amp;" "," ","|",4))+1,FIND("|",SUBSTITUTE($H2788&amp;" "," ","|",5))-FIND("|",SUBSTITUTE($H2788&amp;" "," ","|",4))-1),""))/86400+25569+9/24,""))</f>
        <v/>
      </c>
      <c r="G2788" s="58">
        <f>TRIM(SUBSTITUTE(SUBSTITUTE(SUBSTITUTE($A2788,CHAR(9)," ")," "," "),CHAR(13),""))</f>
        <v/>
      </c>
      <c r="H2788" s="58">
        <f>IF($G2788="","",IF(ISNUMBER(FIND(" ",$G2788)),$G2788,IFERROR(IF((LEN(SUBSTITUTE(SUBSTITUTE($G2788,"-"," ",LEN($G2788)-LEN(SUBSTITUTE($G2788,"-",""))),"-"," ",LEN($G2788)-LEN(SUBSTITUTE($G2788,"-",""))-1))-LEN(SUBSTITUTE(SUBSTITUTE(SUBSTITUTE($G2788,"-"," ",LEN($G2788)-LEN(SUBSTITUTE($G2788,"-",""))),"-"," ",LEN($G2788)-LEN(SUBSTITUTE($G2788,"-",""))-1),".","")))=0,SUBSTITUTE(SUBSTITUTE($G2788,"-"," ",LEN($G2788)-LEN(SUBSTITUTE($G2788,"-",""))),"-"," ",LEN($G2788)-LEN(SUBSTITUTE($G2788,"-",""))-1),SUBSTITUTE(SUBSTITUTE(SUBSTITUTE($G2788,"-"," ",LEN($G2788)-LEN(SUBSTITUTE($G2788,"-",""))),"-"," ",LEN($G2788)-LEN(SUBSTITUTE($G2788,"-",""))-1),"."," ",(LEN(SUBSTITUTE(SUBSTITUTE($G2788,"-"," ",LEN($G2788)-LEN(SUBSTITUTE($G2788,"-",""))),"-"," ",LEN($G2788)-LEN(SUBSTITUTE($G2788,"-",""))-1))-LEN(SUBSTITUTE(SUBSTITUTE(SUBSTITUTE($G2788,"-"," ",LEN($G2788)-LEN(SUBSTITUTE($G2788,"-",""))),"-"," ",LEN($G2788)-LEN(SUBSTITUTE($G2788,"-",""))-1),".",""))))),$G2788)))</f>
        <v/>
      </c>
    </row>
    <row r="2789">
      <c r="A2789" s="58" t="n"/>
      <c r="B2789" s="58">
        <f>IF($H2789="","",LEFT($H2789,FIND(" ",$H2789&amp;" ")-1))</f>
        <v/>
      </c>
      <c r="C2789" s="58">
        <f>IF($H2789="","",IFERROR(MID($H2789&amp;" ",FIND("|",SUBSTITUTE($H2789&amp;" "," ","|",1))+1,FIND("|",SUBSTITUTE($H2789&amp;" "," ","|",2))-FIND("|",SUBSTITUTE($H2789&amp;" "," ","|",1))-1),""))</f>
        <v/>
      </c>
      <c r="D2789" s="58">
        <f>IF($H2789="","",IFERROR(MID($H2789&amp;" ",FIND("|",SUBSTITUTE($H2789&amp;" "," ","|",2))+1,FIND("|",SUBSTITUTE($H2789&amp;" "," ","|",3))-FIND("|",SUBSTITUTE($H2789&amp;" "," ","|",2))-1),""))</f>
        <v/>
      </c>
      <c r="E2789" s="58">
        <f>IF($H2789="","",IFERROR(MID($H2789&amp;" ",FIND("|",SUBSTITUTE($H2789&amp;" "," ","|",3))+1,FIND("|",SUBSTITUTE($H2789&amp;" "," ","|",4))-FIND("|",SUBSTITUTE($H2789&amp;" "," ","|",3))-1),""))</f>
        <v/>
      </c>
      <c r="F2789" s="59">
        <f>IF($H2789="","",IFERROR(VALUE(IFERROR(MID($H2789&amp;" ",FIND("|",SUBSTITUTE($H2789&amp;" "," ","|",4))+1,FIND("|",SUBSTITUTE($H2789&amp;" "," ","|",5))-FIND("|",SUBSTITUTE($H2789&amp;" "," ","|",4))-1),""))/86400+25569+9/24,""))</f>
        <v/>
      </c>
      <c r="G2789" s="58">
        <f>TRIM(SUBSTITUTE(SUBSTITUTE(SUBSTITUTE($A2789,CHAR(9)," ")," "," "),CHAR(13),""))</f>
        <v/>
      </c>
      <c r="H2789" s="58">
        <f>IF($G2789="","",IF(ISNUMBER(FIND(" ",$G2789)),$G2789,IFERROR(IF((LEN(SUBSTITUTE(SUBSTITUTE($G2789,"-"," ",LEN($G2789)-LEN(SUBSTITUTE($G2789,"-",""))),"-"," ",LEN($G2789)-LEN(SUBSTITUTE($G2789,"-",""))-1))-LEN(SUBSTITUTE(SUBSTITUTE(SUBSTITUTE($G2789,"-"," ",LEN($G2789)-LEN(SUBSTITUTE($G2789,"-",""))),"-"," ",LEN($G2789)-LEN(SUBSTITUTE($G2789,"-",""))-1),".","")))=0,SUBSTITUTE(SUBSTITUTE($G2789,"-"," ",LEN($G2789)-LEN(SUBSTITUTE($G2789,"-",""))),"-"," ",LEN($G2789)-LEN(SUBSTITUTE($G2789,"-",""))-1),SUBSTITUTE(SUBSTITUTE(SUBSTITUTE($G2789,"-"," ",LEN($G2789)-LEN(SUBSTITUTE($G2789,"-",""))),"-"," ",LEN($G2789)-LEN(SUBSTITUTE($G2789,"-",""))-1),"."," ",(LEN(SUBSTITUTE(SUBSTITUTE($G2789,"-"," ",LEN($G2789)-LEN(SUBSTITUTE($G2789,"-",""))),"-"," ",LEN($G2789)-LEN(SUBSTITUTE($G2789,"-",""))-1))-LEN(SUBSTITUTE(SUBSTITUTE(SUBSTITUTE($G2789,"-"," ",LEN($G2789)-LEN(SUBSTITUTE($G2789,"-",""))),"-"," ",LEN($G2789)-LEN(SUBSTITUTE($G2789,"-",""))-1),".",""))))),$G2789)))</f>
        <v/>
      </c>
    </row>
    <row r="2790">
      <c r="A2790" s="58" t="n"/>
      <c r="B2790" s="58">
        <f>IF($H2790="","",LEFT($H2790,FIND(" ",$H2790&amp;" ")-1))</f>
        <v/>
      </c>
      <c r="C2790" s="58">
        <f>IF($H2790="","",IFERROR(MID($H2790&amp;" ",FIND("|",SUBSTITUTE($H2790&amp;" "," ","|",1))+1,FIND("|",SUBSTITUTE($H2790&amp;" "," ","|",2))-FIND("|",SUBSTITUTE($H2790&amp;" "," ","|",1))-1),""))</f>
        <v/>
      </c>
      <c r="D2790" s="58">
        <f>IF($H2790="","",IFERROR(MID($H2790&amp;" ",FIND("|",SUBSTITUTE($H2790&amp;" "," ","|",2))+1,FIND("|",SUBSTITUTE($H2790&amp;" "," ","|",3))-FIND("|",SUBSTITUTE($H2790&amp;" "," ","|",2))-1),""))</f>
        <v/>
      </c>
      <c r="E2790" s="58">
        <f>IF($H2790="","",IFERROR(MID($H2790&amp;" ",FIND("|",SUBSTITUTE($H2790&amp;" "," ","|",3))+1,FIND("|",SUBSTITUTE($H2790&amp;" "," ","|",4))-FIND("|",SUBSTITUTE($H2790&amp;" "," ","|",3))-1),""))</f>
        <v/>
      </c>
      <c r="F2790" s="59">
        <f>IF($H2790="","",IFERROR(VALUE(IFERROR(MID($H2790&amp;" ",FIND("|",SUBSTITUTE($H2790&amp;" "," ","|",4))+1,FIND("|",SUBSTITUTE($H2790&amp;" "," ","|",5))-FIND("|",SUBSTITUTE($H2790&amp;" "," ","|",4))-1),""))/86400+25569+9/24,""))</f>
        <v/>
      </c>
      <c r="G2790" s="58">
        <f>TRIM(SUBSTITUTE(SUBSTITUTE(SUBSTITUTE($A2790,CHAR(9)," ")," "," "),CHAR(13),""))</f>
        <v/>
      </c>
      <c r="H2790" s="58">
        <f>IF($G2790="","",IF(ISNUMBER(FIND(" ",$G2790)),$G2790,IFERROR(IF((LEN(SUBSTITUTE(SUBSTITUTE($G2790,"-"," ",LEN($G2790)-LEN(SUBSTITUTE($G2790,"-",""))),"-"," ",LEN($G2790)-LEN(SUBSTITUTE($G2790,"-",""))-1))-LEN(SUBSTITUTE(SUBSTITUTE(SUBSTITUTE($G2790,"-"," ",LEN($G2790)-LEN(SUBSTITUTE($G2790,"-",""))),"-"," ",LEN($G2790)-LEN(SUBSTITUTE($G2790,"-",""))-1),".","")))=0,SUBSTITUTE(SUBSTITUTE($G2790,"-"," ",LEN($G2790)-LEN(SUBSTITUTE($G2790,"-",""))),"-"," ",LEN($G2790)-LEN(SUBSTITUTE($G2790,"-",""))-1),SUBSTITUTE(SUBSTITUTE(SUBSTITUTE($G2790,"-"," ",LEN($G2790)-LEN(SUBSTITUTE($G2790,"-",""))),"-"," ",LEN($G2790)-LEN(SUBSTITUTE($G2790,"-",""))-1),"."," ",(LEN(SUBSTITUTE(SUBSTITUTE($G2790,"-"," ",LEN($G2790)-LEN(SUBSTITUTE($G2790,"-",""))),"-"," ",LEN($G2790)-LEN(SUBSTITUTE($G2790,"-",""))-1))-LEN(SUBSTITUTE(SUBSTITUTE(SUBSTITUTE($G2790,"-"," ",LEN($G2790)-LEN(SUBSTITUTE($G2790,"-",""))),"-"," ",LEN($G2790)-LEN(SUBSTITUTE($G2790,"-",""))-1),".",""))))),$G2790)))</f>
        <v/>
      </c>
    </row>
    <row r="2791">
      <c r="A2791" s="58" t="n"/>
      <c r="B2791" s="58">
        <f>IF($H2791="","",LEFT($H2791,FIND(" ",$H2791&amp;" ")-1))</f>
        <v/>
      </c>
      <c r="C2791" s="58">
        <f>IF($H2791="","",IFERROR(MID($H2791&amp;" ",FIND("|",SUBSTITUTE($H2791&amp;" "," ","|",1))+1,FIND("|",SUBSTITUTE($H2791&amp;" "," ","|",2))-FIND("|",SUBSTITUTE($H2791&amp;" "," ","|",1))-1),""))</f>
        <v/>
      </c>
      <c r="D2791" s="58">
        <f>IF($H2791="","",IFERROR(MID($H2791&amp;" ",FIND("|",SUBSTITUTE($H2791&amp;" "," ","|",2))+1,FIND("|",SUBSTITUTE($H2791&amp;" "," ","|",3))-FIND("|",SUBSTITUTE($H2791&amp;" "," ","|",2))-1),""))</f>
        <v/>
      </c>
      <c r="E2791" s="58">
        <f>IF($H2791="","",IFERROR(MID($H2791&amp;" ",FIND("|",SUBSTITUTE($H2791&amp;" "," ","|",3))+1,FIND("|",SUBSTITUTE($H2791&amp;" "," ","|",4))-FIND("|",SUBSTITUTE($H2791&amp;" "," ","|",3))-1),""))</f>
        <v/>
      </c>
      <c r="F2791" s="59">
        <f>IF($H2791="","",IFERROR(VALUE(IFERROR(MID($H2791&amp;" ",FIND("|",SUBSTITUTE($H2791&amp;" "," ","|",4))+1,FIND("|",SUBSTITUTE($H2791&amp;" "," ","|",5))-FIND("|",SUBSTITUTE($H2791&amp;" "," ","|",4))-1),""))/86400+25569+9/24,""))</f>
        <v/>
      </c>
      <c r="G2791" s="58">
        <f>TRIM(SUBSTITUTE(SUBSTITUTE(SUBSTITUTE($A2791,CHAR(9)," ")," "," "),CHAR(13),""))</f>
        <v/>
      </c>
      <c r="H2791" s="58">
        <f>IF($G2791="","",IF(ISNUMBER(FIND(" ",$G2791)),$G2791,IFERROR(IF((LEN(SUBSTITUTE(SUBSTITUTE($G2791,"-"," ",LEN($G2791)-LEN(SUBSTITUTE($G2791,"-",""))),"-"," ",LEN($G2791)-LEN(SUBSTITUTE($G2791,"-",""))-1))-LEN(SUBSTITUTE(SUBSTITUTE(SUBSTITUTE($G2791,"-"," ",LEN($G2791)-LEN(SUBSTITUTE($G2791,"-",""))),"-"," ",LEN($G2791)-LEN(SUBSTITUTE($G2791,"-",""))-1),".","")))=0,SUBSTITUTE(SUBSTITUTE($G2791,"-"," ",LEN($G2791)-LEN(SUBSTITUTE($G2791,"-",""))),"-"," ",LEN($G2791)-LEN(SUBSTITUTE($G2791,"-",""))-1),SUBSTITUTE(SUBSTITUTE(SUBSTITUTE($G2791,"-"," ",LEN($G2791)-LEN(SUBSTITUTE($G2791,"-",""))),"-"," ",LEN($G2791)-LEN(SUBSTITUTE($G2791,"-",""))-1),"."," ",(LEN(SUBSTITUTE(SUBSTITUTE($G2791,"-"," ",LEN($G2791)-LEN(SUBSTITUTE($G2791,"-",""))),"-"," ",LEN($G2791)-LEN(SUBSTITUTE($G2791,"-",""))-1))-LEN(SUBSTITUTE(SUBSTITUTE(SUBSTITUTE($G2791,"-"," ",LEN($G2791)-LEN(SUBSTITUTE($G2791,"-",""))),"-"," ",LEN($G2791)-LEN(SUBSTITUTE($G2791,"-",""))-1),".",""))))),$G2791)))</f>
        <v/>
      </c>
    </row>
    <row r="2792">
      <c r="A2792" s="58" t="n"/>
      <c r="B2792" s="58">
        <f>IF($H2792="","",LEFT($H2792,FIND(" ",$H2792&amp;" ")-1))</f>
        <v/>
      </c>
      <c r="C2792" s="58">
        <f>IF($H2792="","",IFERROR(MID($H2792&amp;" ",FIND("|",SUBSTITUTE($H2792&amp;" "," ","|",1))+1,FIND("|",SUBSTITUTE($H2792&amp;" "," ","|",2))-FIND("|",SUBSTITUTE($H2792&amp;" "," ","|",1))-1),""))</f>
        <v/>
      </c>
      <c r="D2792" s="58">
        <f>IF($H2792="","",IFERROR(MID($H2792&amp;" ",FIND("|",SUBSTITUTE($H2792&amp;" "," ","|",2))+1,FIND("|",SUBSTITUTE($H2792&amp;" "," ","|",3))-FIND("|",SUBSTITUTE($H2792&amp;" "," ","|",2))-1),""))</f>
        <v/>
      </c>
      <c r="E2792" s="58">
        <f>IF($H2792="","",IFERROR(MID($H2792&amp;" ",FIND("|",SUBSTITUTE($H2792&amp;" "," ","|",3))+1,FIND("|",SUBSTITUTE($H2792&amp;" "," ","|",4))-FIND("|",SUBSTITUTE($H2792&amp;" "," ","|",3))-1),""))</f>
        <v/>
      </c>
      <c r="F2792" s="59">
        <f>IF($H2792="","",IFERROR(VALUE(IFERROR(MID($H2792&amp;" ",FIND("|",SUBSTITUTE($H2792&amp;" "," ","|",4))+1,FIND("|",SUBSTITUTE($H2792&amp;" "," ","|",5))-FIND("|",SUBSTITUTE($H2792&amp;" "," ","|",4))-1),""))/86400+25569+9/24,""))</f>
        <v/>
      </c>
      <c r="G2792" s="58">
        <f>TRIM(SUBSTITUTE(SUBSTITUTE(SUBSTITUTE($A2792,CHAR(9)," ")," "," "),CHAR(13),""))</f>
        <v/>
      </c>
      <c r="H2792" s="58">
        <f>IF($G2792="","",IF(ISNUMBER(FIND(" ",$G2792)),$G2792,IFERROR(IF((LEN(SUBSTITUTE(SUBSTITUTE($G2792,"-"," ",LEN($G2792)-LEN(SUBSTITUTE($G2792,"-",""))),"-"," ",LEN($G2792)-LEN(SUBSTITUTE($G2792,"-",""))-1))-LEN(SUBSTITUTE(SUBSTITUTE(SUBSTITUTE($G2792,"-"," ",LEN($G2792)-LEN(SUBSTITUTE($G2792,"-",""))),"-"," ",LEN($G2792)-LEN(SUBSTITUTE($G2792,"-",""))-1),".","")))=0,SUBSTITUTE(SUBSTITUTE($G2792,"-"," ",LEN($G2792)-LEN(SUBSTITUTE($G2792,"-",""))),"-"," ",LEN($G2792)-LEN(SUBSTITUTE($G2792,"-",""))-1),SUBSTITUTE(SUBSTITUTE(SUBSTITUTE($G2792,"-"," ",LEN($G2792)-LEN(SUBSTITUTE($G2792,"-",""))),"-"," ",LEN($G2792)-LEN(SUBSTITUTE($G2792,"-",""))-1),"."," ",(LEN(SUBSTITUTE(SUBSTITUTE($G2792,"-"," ",LEN($G2792)-LEN(SUBSTITUTE($G2792,"-",""))),"-"," ",LEN($G2792)-LEN(SUBSTITUTE($G2792,"-",""))-1))-LEN(SUBSTITUTE(SUBSTITUTE(SUBSTITUTE($G2792,"-"," ",LEN($G2792)-LEN(SUBSTITUTE($G2792,"-",""))),"-"," ",LEN($G2792)-LEN(SUBSTITUTE($G2792,"-",""))-1),".",""))))),$G2792)))</f>
        <v/>
      </c>
    </row>
    <row r="2793">
      <c r="A2793" s="58" t="n"/>
      <c r="B2793" s="58">
        <f>IF($H2793="","",LEFT($H2793,FIND(" ",$H2793&amp;" ")-1))</f>
        <v/>
      </c>
      <c r="C2793" s="58">
        <f>IF($H2793="","",IFERROR(MID($H2793&amp;" ",FIND("|",SUBSTITUTE($H2793&amp;" "," ","|",1))+1,FIND("|",SUBSTITUTE($H2793&amp;" "," ","|",2))-FIND("|",SUBSTITUTE($H2793&amp;" "," ","|",1))-1),""))</f>
        <v/>
      </c>
      <c r="D2793" s="58">
        <f>IF($H2793="","",IFERROR(MID($H2793&amp;" ",FIND("|",SUBSTITUTE($H2793&amp;" "," ","|",2))+1,FIND("|",SUBSTITUTE($H2793&amp;" "," ","|",3))-FIND("|",SUBSTITUTE($H2793&amp;" "," ","|",2))-1),""))</f>
        <v/>
      </c>
      <c r="E2793" s="58">
        <f>IF($H2793="","",IFERROR(MID($H2793&amp;" ",FIND("|",SUBSTITUTE($H2793&amp;" "," ","|",3))+1,FIND("|",SUBSTITUTE($H2793&amp;" "," ","|",4))-FIND("|",SUBSTITUTE($H2793&amp;" "," ","|",3))-1),""))</f>
        <v/>
      </c>
      <c r="F2793" s="59">
        <f>IF($H2793="","",IFERROR(VALUE(IFERROR(MID($H2793&amp;" ",FIND("|",SUBSTITUTE($H2793&amp;" "," ","|",4))+1,FIND("|",SUBSTITUTE($H2793&amp;" "," ","|",5))-FIND("|",SUBSTITUTE($H2793&amp;" "," ","|",4))-1),""))/86400+25569+9/24,""))</f>
        <v/>
      </c>
      <c r="G2793" s="58">
        <f>TRIM(SUBSTITUTE(SUBSTITUTE(SUBSTITUTE($A2793,CHAR(9)," ")," "," "),CHAR(13),""))</f>
        <v/>
      </c>
      <c r="H2793" s="58">
        <f>IF($G2793="","",IF(ISNUMBER(FIND(" ",$G2793)),$G2793,IFERROR(IF((LEN(SUBSTITUTE(SUBSTITUTE($G2793,"-"," ",LEN($G2793)-LEN(SUBSTITUTE($G2793,"-",""))),"-"," ",LEN($G2793)-LEN(SUBSTITUTE($G2793,"-",""))-1))-LEN(SUBSTITUTE(SUBSTITUTE(SUBSTITUTE($G2793,"-"," ",LEN($G2793)-LEN(SUBSTITUTE($G2793,"-",""))),"-"," ",LEN($G2793)-LEN(SUBSTITUTE($G2793,"-",""))-1),".","")))=0,SUBSTITUTE(SUBSTITUTE($G2793,"-"," ",LEN($G2793)-LEN(SUBSTITUTE($G2793,"-",""))),"-"," ",LEN($G2793)-LEN(SUBSTITUTE($G2793,"-",""))-1),SUBSTITUTE(SUBSTITUTE(SUBSTITUTE($G2793,"-"," ",LEN($G2793)-LEN(SUBSTITUTE($G2793,"-",""))),"-"," ",LEN($G2793)-LEN(SUBSTITUTE($G2793,"-",""))-1),"."," ",(LEN(SUBSTITUTE(SUBSTITUTE($G2793,"-"," ",LEN($G2793)-LEN(SUBSTITUTE($G2793,"-",""))),"-"," ",LEN($G2793)-LEN(SUBSTITUTE($G2793,"-",""))-1))-LEN(SUBSTITUTE(SUBSTITUTE(SUBSTITUTE($G2793,"-"," ",LEN($G2793)-LEN(SUBSTITUTE($G2793,"-",""))),"-"," ",LEN($G2793)-LEN(SUBSTITUTE($G2793,"-",""))-1),".",""))))),$G2793)))</f>
        <v/>
      </c>
    </row>
    <row r="2794">
      <c r="A2794" s="58" t="n"/>
      <c r="B2794" s="58">
        <f>IF($H2794="","",LEFT($H2794,FIND(" ",$H2794&amp;" ")-1))</f>
        <v/>
      </c>
      <c r="C2794" s="58">
        <f>IF($H2794="","",IFERROR(MID($H2794&amp;" ",FIND("|",SUBSTITUTE($H2794&amp;" "," ","|",1))+1,FIND("|",SUBSTITUTE($H2794&amp;" "," ","|",2))-FIND("|",SUBSTITUTE($H2794&amp;" "," ","|",1))-1),""))</f>
        <v/>
      </c>
      <c r="D2794" s="58">
        <f>IF($H2794="","",IFERROR(MID($H2794&amp;" ",FIND("|",SUBSTITUTE($H2794&amp;" "," ","|",2))+1,FIND("|",SUBSTITUTE($H2794&amp;" "," ","|",3))-FIND("|",SUBSTITUTE($H2794&amp;" "," ","|",2))-1),""))</f>
        <v/>
      </c>
      <c r="E2794" s="58">
        <f>IF($H2794="","",IFERROR(MID($H2794&amp;" ",FIND("|",SUBSTITUTE($H2794&amp;" "," ","|",3))+1,FIND("|",SUBSTITUTE($H2794&amp;" "," ","|",4))-FIND("|",SUBSTITUTE($H2794&amp;" "," ","|",3))-1),""))</f>
        <v/>
      </c>
      <c r="F2794" s="59">
        <f>IF($H2794="","",IFERROR(VALUE(IFERROR(MID($H2794&amp;" ",FIND("|",SUBSTITUTE($H2794&amp;" "," ","|",4))+1,FIND("|",SUBSTITUTE($H2794&amp;" "," ","|",5))-FIND("|",SUBSTITUTE($H2794&amp;" "," ","|",4))-1),""))/86400+25569+9/24,""))</f>
        <v/>
      </c>
      <c r="G2794" s="58">
        <f>TRIM(SUBSTITUTE(SUBSTITUTE(SUBSTITUTE($A2794,CHAR(9)," ")," "," "),CHAR(13),""))</f>
        <v/>
      </c>
      <c r="H2794" s="58">
        <f>IF($G2794="","",IF(ISNUMBER(FIND(" ",$G2794)),$G2794,IFERROR(IF((LEN(SUBSTITUTE(SUBSTITUTE($G2794,"-"," ",LEN($G2794)-LEN(SUBSTITUTE($G2794,"-",""))),"-"," ",LEN($G2794)-LEN(SUBSTITUTE($G2794,"-",""))-1))-LEN(SUBSTITUTE(SUBSTITUTE(SUBSTITUTE($G2794,"-"," ",LEN($G2794)-LEN(SUBSTITUTE($G2794,"-",""))),"-"," ",LEN($G2794)-LEN(SUBSTITUTE($G2794,"-",""))-1),".","")))=0,SUBSTITUTE(SUBSTITUTE($G2794,"-"," ",LEN($G2794)-LEN(SUBSTITUTE($G2794,"-",""))),"-"," ",LEN($G2794)-LEN(SUBSTITUTE($G2794,"-",""))-1),SUBSTITUTE(SUBSTITUTE(SUBSTITUTE($G2794,"-"," ",LEN($G2794)-LEN(SUBSTITUTE($G2794,"-",""))),"-"," ",LEN($G2794)-LEN(SUBSTITUTE($G2794,"-",""))-1),"."," ",(LEN(SUBSTITUTE(SUBSTITUTE($G2794,"-"," ",LEN($G2794)-LEN(SUBSTITUTE($G2794,"-",""))),"-"," ",LEN($G2794)-LEN(SUBSTITUTE($G2794,"-",""))-1))-LEN(SUBSTITUTE(SUBSTITUTE(SUBSTITUTE($G2794,"-"," ",LEN($G2794)-LEN(SUBSTITUTE($G2794,"-",""))),"-"," ",LEN($G2794)-LEN(SUBSTITUTE($G2794,"-",""))-1),".",""))))),$G2794)))</f>
        <v/>
      </c>
    </row>
    <row r="2795">
      <c r="A2795" s="58" t="n"/>
      <c r="B2795" s="58">
        <f>IF($H2795="","",LEFT($H2795,FIND(" ",$H2795&amp;" ")-1))</f>
        <v/>
      </c>
      <c r="C2795" s="58">
        <f>IF($H2795="","",IFERROR(MID($H2795&amp;" ",FIND("|",SUBSTITUTE($H2795&amp;" "," ","|",1))+1,FIND("|",SUBSTITUTE($H2795&amp;" "," ","|",2))-FIND("|",SUBSTITUTE($H2795&amp;" "," ","|",1))-1),""))</f>
        <v/>
      </c>
      <c r="D2795" s="58">
        <f>IF($H2795="","",IFERROR(MID($H2795&amp;" ",FIND("|",SUBSTITUTE($H2795&amp;" "," ","|",2))+1,FIND("|",SUBSTITUTE($H2795&amp;" "," ","|",3))-FIND("|",SUBSTITUTE($H2795&amp;" "," ","|",2))-1),""))</f>
        <v/>
      </c>
      <c r="E2795" s="58">
        <f>IF($H2795="","",IFERROR(MID($H2795&amp;" ",FIND("|",SUBSTITUTE($H2795&amp;" "," ","|",3))+1,FIND("|",SUBSTITUTE($H2795&amp;" "," ","|",4))-FIND("|",SUBSTITUTE($H2795&amp;" "," ","|",3))-1),""))</f>
        <v/>
      </c>
      <c r="F2795" s="59">
        <f>IF($H2795="","",IFERROR(VALUE(IFERROR(MID($H2795&amp;" ",FIND("|",SUBSTITUTE($H2795&amp;" "," ","|",4))+1,FIND("|",SUBSTITUTE($H2795&amp;" "," ","|",5))-FIND("|",SUBSTITUTE($H2795&amp;" "," ","|",4))-1),""))/86400+25569+9/24,""))</f>
        <v/>
      </c>
      <c r="G2795" s="58">
        <f>TRIM(SUBSTITUTE(SUBSTITUTE(SUBSTITUTE($A2795,CHAR(9)," ")," "," "),CHAR(13),""))</f>
        <v/>
      </c>
      <c r="H2795" s="58">
        <f>IF($G2795="","",IF(ISNUMBER(FIND(" ",$G2795)),$G2795,IFERROR(IF((LEN(SUBSTITUTE(SUBSTITUTE($G2795,"-"," ",LEN($G2795)-LEN(SUBSTITUTE($G2795,"-",""))),"-"," ",LEN($G2795)-LEN(SUBSTITUTE($G2795,"-",""))-1))-LEN(SUBSTITUTE(SUBSTITUTE(SUBSTITUTE($G2795,"-"," ",LEN($G2795)-LEN(SUBSTITUTE($G2795,"-",""))),"-"," ",LEN($G2795)-LEN(SUBSTITUTE($G2795,"-",""))-1),".","")))=0,SUBSTITUTE(SUBSTITUTE($G2795,"-"," ",LEN($G2795)-LEN(SUBSTITUTE($G2795,"-",""))),"-"," ",LEN($G2795)-LEN(SUBSTITUTE($G2795,"-",""))-1),SUBSTITUTE(SUBSTITUTE(SUBSTITUTE($G2795,"-"," ",LEN($G2795)-LEN(SUBSTITUTE($G2795,"-",""))),"-"," ",LEN($G2795)-LEN(SUBSTITUTE($G2795,"-",""))-1),"."," ",(LEN(SUBSTITUTE(SUBSTITUTE($G2795,"-"," ",LEN($G2795)-LEN(SUBSTITUTE($G2795,"-",""))),"-"," ",LEN($G2795)-LEN(SUBSTITUTE($G2795,"-",""))-1))-LEN(SUBSTITUTE(SUBSTITUTE(SUBSTITUTE($G2795,"-"," ",LEN($G2795)-LEN(SUBSTITUTE($G2795,"-",""))),"-"," ",LEN($G2795)-LEN(SUBSTITUTE($G2795,"-",""))-1),".",""))))),$G2795)))</f>
        <v/>
      </c>
    </row>
    <row r="2796">
      <c r="A2796" s="58" t="n"/>
      <c r="B2796" s="58">
        <f>IF($H2796="","",LEFT($H2796,FIND(" ",$H2796&amp;" ")-1))</f>
        <v/>
      </c>
      <c r="C2796" s="58">
        <f>IF($H2796="","",IFERROR(MID($H2796&amp;" ",FIND("|",SUBSTITUTE($H2796&amp;" "," ","|",1))+1,FIND("|",SUBSTITUTE($H2796&amp;" "," ","|",2))-FIND("|",SUBSTITUTE($H2796&amp;" "," ","|",1))-1),""))</f>
        <v/>
      </c>
      <c r="D2796" s="58">
        <f>IF($H2796="","",IFERROR(MID($H2796&amp;" ",FIND("|",SUBSTITUTE($H2796&amp;" "," ","|",2))+1,FIND("|",SUBSTITUTE($H2796&amp;" "," ","|",3))-FIND("|",SUBSTITUTE($H2796&amp;" "," ","|",2))-1),""))</f>
        <v/>
      </c>
      <c r="E2796" s="58">
        <f>IF($H2796="","",IFERROR(MID($H2796&amp;" ",FIND("|",SUBSTITUTE($H2796&amp;" "," ","|",3))+1,FIND("|",SUBSTITUTE($H2796&amp;" "," ","|",4))-FIND("|",SUBSTITUTE($H2796&amp;" "," ","|",3))-1),""))</f>
        <v/>
      </c>
      <c r="F2796" s="59">
        <f>IF($H2796="","",IFERROR(VALUE(IFERROR(MID($H2796&amp;" ",FIND("|",SUBSTITUTE($H2796&amp;" "," ","|",4))+1,FIND("|",SUBSTITUTE($H2796&amp;" "," ","|",5))-FIND("|",SUBSTITUTE($H2796&amp;" "," ","|",4))-1),""))/86400+25569+9/24,""))</f>
        <v/>
      </c>
      <c r="G2796" s="58">
        <f>TRIM(SUBSTITUTE(SUBSTITUTE(SUBSTITUTE($A2796,CHAR(9)," ")," "," "),CHAR(13),""))</f>
        <v/>
      </c>
      <c r="H2796" s="58">
        <f>IF($G2796="","",IF(ISNUMBER(FIND(" ",$G2796)),$G2796,IFERROR(IF((LEN(SUBSTITUTE(SUBSTITUTE($G2796,"-"," ",LEN($G2796)-LEN(SUBSTITUTE($G2796,"-",""))),"-"," ",LEN($G2796)-LEN(SUBSTITUTE($G2796,"-",""))-1))-LEN(SUBSTITUTE(SUBSTITUTE(SUBSTITUTE($G2796,"-"," ",LEN($G2796)-LEN(SUBSTITUTE($G2796,"-",""))),"-"," ",LEN($G2796)-LEN(SUBSTITUTE($G2796,"-",""))-1),".","")))=0,SUBSTITUTE(SUBSTITUTE($G2796,"-"," ",LEN($G2796)-LEN(SUBSTITUTE($G2796,"-",""))),"-"," ",LEN($G2796)-LEN(SUBSTITUTE($G2796,"-",""))-1),SUBSTITUTE(SUBSTITUTE(SUBSTITUTE($G2796,"-"," ",LEN($G2796)-LEN(SUBSTITUTE($G2796,"-",""))),"-"," ",LEN($G2796)-LEN(SUBSTITUTE($G2796,"-",""))-1),"."," ",(LEN(SUBSTITUTE(SUBSTITUTE($G2796,"-"," ",LEN($G2796)-LEN(SUBSTITUTE($G2796,"-",""))),"-"," ",LEN($G2796)-LEN(SUBSTITUTE($G2796,"-",""))-1))-LEN(SUBSTITUTE(SUBSTITUTE(SUBSTITUTE($G2796,"-"," ",LEN($G2796)-LEN(SUBSTITUTE($G2796,"-",""))),"-"," ",LEN($G2796)-LEN(SUBSTITUTE($G2796,"-",""))-1),".",""))))),$G2796)))</f>
        <v/>
      </c>
    </row>
    <row r="2797">
      <c r="A2797" s="58" t="n"/>
      <c r="B2797" s="58">
        <f>IF($H2797="","",LEFT($H2797,FIND(" ",$H2797&amp;" ")-1))</f>
        <v/>
      </c>
      <c r="C2797" s="58">
        <f>IF($H2797="","",IFERROR(MID($H2797&amp;" ",FIND("|",SUBSTITUTE($H2797&amp;" "," ","|",1))+1,FIND("|",SUBSTITUTE($H2797&amp;" "," ","|",2))-FIND("|",SUBSTITUTE($H2797&amp;" "," ","|",1))-1),""))</f>
        <v/>
      </c>
      <c r="D2797" s="58">
        <f>IF($H2797="","",IFERROR(MID($H2797&amp;" ",FIND("|",SUBSTITUTE($H2797&amp;" "," ","|",2))+1,FIND("|",SUBSTITUTE($H2797&amp;" "," ","|",3))-FIND("|",SUBSTITUTE($H2797&amp;" "," ","|",2))-1),""))</f>
        <v/>
      </c>
      <c r="E2797" s="58">
        <f>IF($H2797="","",IFERROR(MID($H2797&amp;" ",FIND("|",SUBSTITUTE($H2797&amp;" "," ","|",3))+1,FIND("|",SUBSTITUTE($H2797&amp;" "," ","|",4))-FIND("|",SUBSTITUTE($H2797&amp;" "," ","|",3))-1),""))</f>
        <v/>
      </c>
      <c r="F2797" s="59">
        <f>IF($H2797="","",IFERROR(VALUE(IFERROR(MID($H2797&amp;" ",FIND("|",SUBSTITUTE($H2797&amp;" "," ","|",4))+1,FIND("|",SUBSTITUTE($H2797&amp;" "," ","|",5))-FIND("|",SUBSTITUTE($H2797&amp;" "," ","|",4))-1),""))/86400+25569+9/24,""))</f>
        <v/>
      </c>
      <c r="G2797" s="58">
        <f>TRIM(SUBSTITUTE(SUBSTITUTE(SUBSTITUTE($A2797,CHAR(9)," ")," "," "),CHAR(13),""))</f>
        <v/>
      </c>
      <c r="H2797" s="58">
        <f>IF($G2797="","",IF(ISNUMBER(FIND(" ",$G2797)),$G2797,IFERROR(IF((LEN(SUBSTITUTE(SUBSTITUTE($G2797,"-"," ",LEN($G2797)-LEN(SUBSTITUTE($G2797,"-",""))),"-"," ",LEN($G2797)-LEN(SUBSTITUTE($G2797,"-",""))-1))-LEN(SUBSTITUTE(SUBSTITUTE(SUBSTITUTE($G2797,"-"," ",LEN($G2797)-LEN(SUBSTITUTE($G2797,"-",""))),"-"," ",LEN($G2797)-LEN(SUBSTITUTE($G2797,"-",""))-1),".","")))=0,SUBSTITUTE(SUBSTITUTE($G2797,"-"," ",LEN($G2797)-LEN(SUBSTITUTE($G2797,"-",""))),"-"," ",LEN($G2797)-LEN(SUBSTITUTE($G2797,"-",""))-1),SUBSTITUTE(SUBSTITUTE(SUBSTITUTE($G2797,"-"," ",LEN($G2797)-LEN(SUBSTITUTE($G2797,"-",""))),"-"," ",LEN($G2797)-LEN(SUBSTITUTE($G2797,"-",""))-1),"."," ",(LEN(SUBSTITUTE(SUBSTITUTE($G2797,"-"," ",LEN($G2797)-LEN(SUBSTITUTE($G2797,"-",""))),"-"," ",LEN($G2797)-LEN(SUBSTITUTE($G2797,"-",""))-1))-LEN(SUBSTITUTE(SUBSTITUTE(SUBSTITUTE($G2797,"-"," ",LEN($G2797)-LEN(SUBSTITUTE($G2797,"-",""))),"-"," ",LEN($G2797)-LEN(SUBSTITUTE($G2797,"-",""))-1),".",""))))),$G2797)))</f>
        <v/>
      </c>
    </row>
    <row r="2798">
      <c r="A2798" s="58" t="n"/>
      <c r="B2798" s="58">
        <f>IF($H2798="","",LEFT($H2798,FIND(" ",$H2798&amp;" ")-1))</f>
        <v/>
      </c>
      <c r="C2798" s="58">
        <f>IF($H2798="","",IFERROR(MID($H2798&amp;" ",FIND("|",SUBSTITUTE($H2798&amp;" "," ","|",1))+1,FIND("|",SUBSTITUTE($H2798&amp;" "," ","|",2))-FIND("|",SUBSTITUTE($H2798&amp;" "," ","|",1))-1),""))</f>
        <v/>
      </c>
      <c r="D2798" s="58">
        <f>IF($H2798="","",IFERROR(MID($H2798&amp;" ",FIND("|",SUBSTITUTE($H2798&amp;" "," ","|",2))+1,FIND("|",SUBSTITUTE($H2798&amp;" "," ","|",3))-FIND("|",SUBSTITUTE($H2798&amp;" "," ","|",2))-1),""))</f>
        <v/>
      </c>
      <c r="E2798" s="58">
        <f>IF($H2798="","",IFERROR(MID($H2798&amp;" ",FIND("|",SUBSTITUTE($H2798&amp;" "," ","|",3))+1,FIND("|",SUBSTITUTE($H2798&amp;" "," ","|",4))-FIND("|",SUBSTITUTE($H2798&amp;" "," ","|",3))-1),""))</f>
        <v/>
      </c>
      <c r="F2798" s="59">
        <f>IF($H2798="","",IFERROR(VALUE(IFERROR(MID($H2798&amp;" ",FIND("|",SUBSTITUTE($H2798&amp;" "," ","|",4))+1,FIND("|",SUBSTITUTE($H2798&amp;" "," ","|",5))-FIND("|",SUBSTITUTE($H2798&amp;" "," ","|",4))-1),""))/86400+25569+9/24,""))</f>
        <v/>
      </c>
      <c r="G2798" s="58">
        <f>TRIM(SUBSTITUTE(SUBSTITUTE(SUBSTITUTE($A2798,CHAR(9)," ")," "," "),CHAR(13),""))</f>
        <v/>
      </c>
      <c r="H2798" s="58">
        <f>IF($G2798="","",IF(ISNUMBER(FIND(" ",$G2798)),$G2798,IFERROR(IF((LEN(SUBSTITUTE(SUBSTITUTE($G2798,"-"," ",LEN($G2798)-LEN(SUBSTITUTE($G2798,"-",""))),"-"," ",LEN($G2798)-LEN(SUBSTITUTE($G2798,"-",""))-1))-LEN(SUBSTITUTE(SUBSTITUTE(SUBSTITUTE($G2798,"-"," ",LEN($G2798)-LEN(SUBSTITUTE($G2798,"-",""))),"-"," ",LEN($G2798)-LEN(SUBSTITUTE($G2798,"-",""))-1),".","")))=0,SUBSTITUTE(SUBSTITUTE($G2798,"-"," ",LEN($G2798)-LEN(SUBSTITUTE($G2798,"-",""))),"-"," ",LEN($G2798)-LEN(SUBSTITUTE($G2798,"-",""))-1),SUBSTITUTE(SUBSTITUTE(SUBSTITUTE($G2798,"-"," ",LEN($G2798)-LEN(SUBSTITUTE($G2798,"-",""))),"-"," ",LEN($G2798)-LEN(SUBSTITUTE($G2798,"-",""))-1),"."," ",(LEN(SUBSTITUTE(SUBSTITUTE($G2798,"-"," ",LEN($G2798)-LEN(SUBSTITUTE($G2798,"-",""))),"-"," ",LEN($G2798)-LEN(SUBSTITUTE($G2798,"-",""))-1))-LEN(SUBSTITUTE(SUBSTITUTE(SUBSTITUTE($G2798,"-"," ",LEN($G2798)-LEN(SUBSTITUTE($G2798,"-",""))),"-"," ",LEN($G2798)-LEN(SUBSTITUTE($G2798,"-",""))-1),".",""))))),$G2798)))</f>
        <v/>
      </c>
    </row>
    <row r="2799">
      <c r="A2799" s="58" t="n"/>
      <c r="B2799" s="58">
        <f>IF($H2799="","",LEFT($H2799,FIND(" ",$H2799&amp;" ")-1))</f>
        <v/>
      </c>
      <c r="C2799" s="58">
        <f>IF($H2799="","",IFERROR(MID($H2799&amp;" ",FIND("|",SUBSTITUTE($H2799&amp;" "," ","|",1))+1,FIND("|",SUBSTITUTE($H2799&amp;" "," ","|",2))-FIND("|",SUBSTITUTE($H2799&amp;" "," ","|",1))-1),""))</f>
        <v/>
      </c>
      <c r="D2799" s="58">
        <f>IF($H2799="","",IFERROR(MID($H2799&amp;" ",FIND("|",SUBSTITUTE($H2799&amp;" "," ","|",2))+1,FIND("|",SUBSTITUTE($H2799&amp;" "," ","|",3))-FIND("|",SUBSTITUTE($H2799&amp;" "," ","|",2))-1),""))</f>
        <v/>
      </c>
      <c r="E2799" s="58">
        <f>IF($H2799="","",IFERROR(MID($H2799&amp;" ",FIND("|",SUBSTITUTE($H2799&amp;" "," ","|",3))+1,FIND("|",SUBSTITUTE($H2799&amp;" "," ","|",4))-FIND("|",SUBSTITUTE($H2799&amp;" "," ","|",3))-1),""))</f>
        <v/>
      </c>
      <c r="F2799" s="59">
        <f>IF($H2799="","",IFERROR(VALUE(IFERROR(MID($H2799&amp;" ",FIND("|",SUBSTITUTE($H2799&amp;" "," ","|",4))+1,FIND("|",SUBSTITUTE($H2799&amp;" "," ","|",5))-FIND("|",SUBSTITUTE($H2799&amp;" "," ","|",4))-1),""))/86400+25569+9/24,""))</f>
        <v/>
      </c>
      <c r="G2799" s="58">
        <f>TRIM(SUBSTITUTE(SUBSTITUTE(SUBSTITUTE($A2799,CHAR(9)," ")," "," "),CHAR(13),""))</f>
        <v/>
      </c>
      <c r="H2799" s="58">
        <f>IF($G2799="","",IF(ISNUMBER(FIND(" ",$G2799)),$G2799,IFERROR(IF((LEN(SUBSTITUTE(SUBSTITUTE($G2799,"-"," ",LEN($G2799)-LEN(SUBSTITUTE($G2799,"-",""))),"-"," ",LEN($G2799)-LEN(SUBSTITUTE($G2799,"-",""))-1))-LEN(SUBSTITUTE(SUBSTITUTE(SUBSTITUTE($G2799,"-"," ",LEN($G2799)-LEN(SUBSTITUTE($G2799,"-",""))),"-"," ",LEN($G2799)-LEN(SUBSTITUTE($G2799,"-",""))-1),".","")))=0,SUBSTITUTE(SUBSTITUTE($G2799,"-"," ",LEN($G2799)-LEN(SUBSTITUTE($G2799,"-",""))),"-"," ",LEN($G2799)-LEN(SUBSTITUTE($G2799,"-",""))-1),SUBSTITUTE(SUBSTITUTE(SUBSTITUTE($G2799,"-"," ",LEN($G2799)-LEN(SUBSTITUTE($G2799,"-",""))),"-"," ",LEN($G2799)-LEN(SUBSTITUTE($G2799,"-",""))-1),"."," ",(LEN(SUBSTITUTE(SUBSTITUTE($G2799,"-"," ",LEN($G2799)-LEN(SUBSTITUTE($G2799,"-",""))),"-"," ",LEN($G2799)-LEN(SUBSTITUTE($G2799,"-",""))-1))-LEN(SUBSTITUTE(SUBSTITUTE(SUBSTITUTE($G2799,"-"," ",LEN($G2799)-LEN(SUBSTITUTE($G2799,"-",""))),"-"," ",LEN($G2799)-LEN(SUBSTITUTE($G2799,"-",""))-1),".",""))))),$G2799)))</f>
        <v/>
      </c>
    </row>
    <row r="2800">
      <c r="A2800" s="58" t="n"/>
      <c r="B2800" s="58">
        <f>IF($H2800="","",LEFT($H2800,FIND(" ",$H2800&amp;" ")-1))</f>
        <v/>
      </c>
      <c r="C2800" s="58">
        <f>IF($H2800="","",IFERROR(MID($H2800&amp;" ",FIND("|",SUBSTITUTE($H2800&amp;" "," ","|",1))+1,FIND("|",SUBSTITUTE($H2800&amp;" "," ","|",2))-FIND("|",SUBSTITUTE($H2800&amp;" "," ","|",1))-1),""))</f>
        <v/>
      </c>
      <c r="D2800" s="58">
        <f>IF($H2800="","",IFERROR(MID($H2800&amp;" ",FIND("|",SUBSTITUTE($H2800&amp;" "," ","|",2))+1,FIND("|",SUBSTITUTE($H2800&amp;" "," ","|",3))-FIND("|",SUBSTITUTE($H2800&amp;" "," ","|",2))-1),""))</f>
        <v/>
      </c>
      <c r="E2800" s="58">
        <f>IF($H2800="","",IFERROR(MID($H2800&amp;" ",FIND("|",SUBSTITUTE($H2800&amp;" "," ","|",3))+1,FIND("|",SUBSTITUTE($H2800&amp;" "," ","|",4))-FIND("|",SUBSTITUTE($H2800&amp;" "," ","|",3))-1),""))</f>
        <v/>
      </c>
      <c r="F2800" s="59">
        <f>IF($H2800="","",IFERROR(VALUE(IFERROR(MID($H2800&amp;" ",FIND("|",SUBSTITUTE($H2800&amp;" "," ","|",4))+1,FIND("|",SUBSTITUTE($H2800&amp;" "," ","|",5))-FIND("|",SUBSTITUTE($H2800&amp;" "," ","|",4))-1),""))/86400+25569+9/24,""))</f>
        <v/>
      </c>
      <c r="G2800" s="58">
        <f>TRIM(SUBSTITUTE(SUBSTITUTE(SUBSTITUTE($A2800,CHAR(9)," ")," "," "),CHAR(13),""))</f>
        <v/>
      </c>
      <c r="H2800" s="58">
        <f>IF($G2800="","",IF(ISNUMBER(FIND(" ",$G2800)),$G2800,IFERROR(IF((LEN(SUBSTITUTE(SUBSTITUTE($G2800,"-"," ",LEN($G2800)-LEN(SUBSTITUTE($G2800,"-",""))),"-"," ",LEN($G2800)-LEN(SUBSTITUTE($G2800,"-",""))-1))-LEN(SUBSTITUTE(SUBSTITUTE(SUBSTITUTE($G2800,"-"," ",LEN($G2800)-LEN(SUBSTITUTE($G2800,"-",""))),"-"," ",LEN($G2800)-LEN(SUBSTITUTE($G2800,"-",""))-1),".","")))=0,SUBSTITUTE(SUBSTITUTE($G2800,"-"," ",LEN($G2800)-LEN(SUBSTITUTE($G2800,"-",""))),"-"," ",LEN($G2800)-LEN(SUBSTITUTE($G2800,"-",""))-1),SUBSTITUTE(SUBSTITUTE(SUBSTITUTE($G2800,"-"," ",LEN($G2800)-LEN(SUBSTITUTE($G2800,"-",""))),"-"," ",LEN($G2800)-LEN(SUBSTITUTE($G2800,"-",""))-1),"."," ",(LEN(SUBSTITUTE(SUBSTITUTE($G2800,"-"," ",LEN($G2800)-LEN(SUBSTITUTE($G2800,"-",""))),"-"," ",LEN($G2800)-LEN(SUBSTITUTE($G2800,"-",""))-1))-LEN(SUBSTITUTE(SUBSTITUTE(SUBSTITUTE($G2800,"-"," ",LEN($G2800)-LEN(SUBSTITUTE($G2800,"-",""))),"-"," ",LEN($G2800)-LEN(SUBSTITUTE($G2800,"-",""))-1),".",""))))),$G2800)))</f>
        <v/>
      </c>
    </row>
    <row r="2801">
      <c r="A2801" s="58" t="n"/>
      <c r="B2801" s="58">
        <f>IF($H2801="","",LEFT($H2801,FIND(" ",$H2801&amp;" ")-1))</f>
        <v/>
      </c>
      <c r="C2801" s="58">
        <f>IF($H2801="","",IFERROR(MID($H2801&amp;" ",FIND("|",SUBSTITUTE($H2801&amp;" "," ","|",1))+1,FIND("|",SUBSTITUTE($H2801&amp;" "," ","|",2))-FIND("|",SUBSTITUTE($H2801&amp;" "," ","|",1))-1),""))</f>
        <v/>
      </c>
      <c r="D2801" s="58">
        <f>IF($H2801="","",IFERROR(MID($H2801&amp;" ",FIND("|",SUBSTITUTE($H2801&amp;" "," ","|",2))+1,FIND("|",SUBSTITUTE($H2801&amp;" "," ","|",3))-FIND("|",SUBSTITUTE($H2801&amp;" "," ","|",2))-1),""))</f>
        <v/>
      </c>
      <c r="E2801" s="58">
        <f>IF($H2801="","",IFERROR(MID($H2801&amp;" ",FIND("|",SUBSTITUTE($H2801&amp;" "," ","|",3))+1,FIND("|",SUBSTITUTE($H2801&amp;" "," ","|",4))-FIND("|",SUBSTITUTE($H2801&amp;" "," ","|",3))-1),""))</f>
        <v/>
      </c>
      <c r="F2801" s="59">
        <f>IF($H2801="","",IFERROR(VALUE(IFERROR(MID($H2801&amp;" ",FIND("|",SUBSTITUTE($H2801&amp;" "," ","|",4))+1,FIND("|",SUBSTITUTE($H2801&amp;" "," ","|",5))-FIND("|",SUBSTITUTE($H2801&amp;" "," ","|",4))-1),""))/86400+25569+9/24,""))</f>
        <v/>
      </c>
      <c r="G2801" s="58">
        <f>TRIM(SUBSTITUTE(SUBSTITUTE(SUBSTITUTE($A2801,CHAR(9)," ")," "," "),CHAR(13),""))</f>
        <v/>
      </c>
      <c r="H2801" s="58">
        <f>IF($G2801="","",IF(ISNUMBER(FIND(" ",$G2801)),$G2801,IFERROR(IF((LEN(SUBSTITUTE(SUBSTITUTE($G2801,"-"," ",LEN($G2801)-LEN(SUBSTITUTE($G2801,"-",""))),"-"," ",LEN($G2801)-LEN(SUBSTITUTE($G2801,"-",""))-1))-LEN(SUBSTITUTE(SUBSTITUTE(SUBSTITUTE($G2801,"-"," ",LEN($G2801)-LEN(SUBSTITUTE($G2801,"-",""))),"-"," ",LEN($G2801)-LEN(SUBSTITUTE($G2801,"-",""))-1),".","")))=0,SUBSTITUTE(SUBSTITUTE($G2801,"-"," ",LEN($G2801)-LEN(SUBSTITUTE($G2801,"-",""))),"-"," ",LEN($G2801)-LEN(SUBSTITUTE($G2801,"-",""))-1),SUBSTITUTE(SUBSTITUTE(SUBSTITUTE($G2801,"-"," ",LEN($G2801)-LEN(SUBSTITUTE($G2801,"-",""))),"-"," ",LEN($G2801)-LEN(SUBSTITUTE($G2801,"-",""))-1),"."," ",(LEN(SUBSTITUTE(SUBSTITUTE($G2801,"-"," ",LEN($G2801)-LEN(SUBSTITUTE($G2801,"-",""))),"-"," ",LEN($G2801)-LEN(SUBSTITUTE($G2801,"-",""))-1))-LEN(SUBSTITUTE(SUBSTITUTE(SUBSTITUTE($G2801,"-"," ",LEN($G2801)-LEN(SUBSTITUTE($G2801,"-",""))),"-"," ",LEN($G2801)-LEN(SUBSTITUTE($G2801,"-",""))-1),".",""))))),$G2801)))</f>
        <v/>
      </c>
    </row>
    <row r="2802">
      <c r="A2802" s="58" t="n"/>
      <c r="B2802" s="58">
        <f>IF($H2802="","",LEFT($H2802,FIND(" ",$H2802&amp;" ")-1))</f>
        <v/>
      </c>
      <c r="C2802" s="58">
        <f>IF($H2802="","",IFERROR(MID($H2802&amp;" ",FIND("|",SUBSTITUTE($H2802&amp;" "," ","|",1))+1,FIND("|",SUBSTITUTE($H2802&amp;" "," ","|",2))-FIND("|",SUBSTITUTE($H2802&amp;" "," ","|",1))-1),""))</f>
        <v/>
      </c>
      <c r="D2802" s="58">
        <f>IF($H2802="","",IFERROR(MID($H2802&amp;" ",FIND("|",SUBSTITUTE($H2802&amp;" "," ","|",2))+1,FIND("|",SUBSTITUTE($H2802&amp;" "," ","|",3))-FIND("|",SUBSTITUTE($H2802&amp;" "," ","|",2))-1),""))</f>
        <v/>
      </c>
      <c r="E2802" s="58">
        <f>IF($H2802="","",IFERROR(MID($H2802&amp;" ",FIND("|",SUBSTITUTE($H2802&amp;" "," ","|",3))+1,FIND("|",SUBSTITUTE($H2802&amp;" "," ","|",4))-FIND("|",SUBSTITUTE($H2802&amp;" "," ","|",3))-1),""))</f>
        <v/>
      </c>
      <c r="F2802" s="59">
        <f>IF($H2802="","",IFERROR(VALUE(IFERROR(MID($H2802&amp;" ",FIND("|",SUBSTITUTE($H2802&amp;" "," ","|",4))+1,FIND("|",SUBSTITUTE($H2802&amp;" "," ","|",5))-FIND("|",SUBSTITUTE($H2802&amp;" "," ","|",4))-1),""))/86400+25569+9/24,""))</f>
        <v/>
      </c>
      <c r="G2802" s="58">
        <f>TRIM(SUBSTITUTE(SUBSTITUTE(SUBSTITUTE($A2802,CHAR(9)," ")," "," "),CHAR(13),""))</f>
        <v/>
      </c>
      <c r="H2802" s="58">
        <f>IF($G2802="","",IF(ISNUMBER(FIND(" ",$G2802)),$G2802,IFERROR(IF((LEN(SUBSTITUTE(SUBSTITUTE($G2802,"-"," ",LEN($G2802)-LEN(SUBSTITUTE($G2802,"-",""))),"-"," ",LEN($G2802)-LEN(SUBSTITUTE($G2802,"-",""))-1))-LEN(SUBSTITUTE(SUBSTITUTE(SUBSTITUTE($G2802,"-"," ",LEN($G2802)-LEN(SUBSTITUTE($G2802,"-",""))),"-"," ",LEN($G2802)-LEN(SUBSTITUTE($G2802,"-",""))-1),".","")))=0,SUBSTITUTE(SUBSTITUTE($G2802,"-"," ",LEN($G2802)-LEN(SUBSTITUTE($G2802,"-",""))),"-"," ",LEN($G2802)-LEN(SUBSTITUTE($G2802,"-",""))-1),SUBSTITUTE(SUBSTITUTE(SUBSTITUTE($G2802,"-"," ",LEN($G2802)-LEN(SUBSTITUTE($G2802,"-",""))),"-"," ",LEN($G2802)-LEN(SUBSTITUTE($G2802,"-",""))-1),"."," ",(LEN(SUBSTITUTE(SUBSTITUTE($G2802,"-"," ",LEN($G2802)-LEN(SUBSTITUTE($G2802,"-",""))),"-"," ",LEN($G2802)-LEN(SUBSTITUTE($G2802,"-",""))-1))-LEN(SUBSTITUTE(SUBSTITUTE(SUBSTITUTE($G2802,"-"," ",LEN($G2802)-LEN(SUBSTITUTE($G2802,"-",""))),"-"," ",LEN($G2802)-LEN(SUBSTITUTE($G2802,"-",""))-1),".",""))))),$G2802)))</f>
        <v/>
      </c>
    </row>
    <row r="2803">
      <c r="A2803" s="58" t="n"/>
      <c r="B2803" s="58">
        <f>IF($H2803="","",LEFT($H2803,FIND(" ",$H2803&amp;" ")-1))</f>
        <v/>
      </c>
      <c r="C2803" s="58">
        <f>IF($H2803="","",IFERROR(MID($H2803&amp;" ",FIND("|",SUBSTITUTE($H2803&amp;" "," ","|",1))+1,FIND("|",SUBSTITUTE($H2803&amp;" "," ","|",2))-FIND("|",SUBSTITUTE($H2803&amp;" "," ","|",1))-1),""))</f>
        <v/>
      </c>
      <c r="D2803" s="58">
        <f>IF($H2803="","",IFERROR(MID($H2803&amp;" ",FIND("|",SUBSTITUTE($H2803&amp;" "," ","|",2))+1,FIND("|",SUBSTITUTE($H2803&amp;" "," ","|",3))-FIND("|",SUBSTITUTE($H2803&amp;" "," ","|",2))-1),""))</f>
        <v/>
      </c>
      <c r="E2803" s="58">
        <f>IF($H2803="","",IFERROR(MID($H2803&amp;" ",FIND("|",SUBSTITUTE($H2803&amp;" "," ","|",3))+1,FIND("|",SUBSTITUTE($H2803&amp;" "," ","|",4))-FIND("|",SUBSTITUTE($H2803&amp;" "," ","|",3))-1),""))</f>
        <v/>
      </c>
      <c r="F2803" s="59">
        <f>IF($H2803="","",IFERROR(VALUE(IFERROR(MID($H2803&amp;" ",FIND("|",SUBSTITUTE($H2803&amp;" "," ","|",4))+1,FIND("|",SUBSTITUTE($H2803&amp;" "," ","|",5))-FIND("|",SUBSTITUTE($H2803&amp;" "," ","|",4))-1),""))/86400+25569+9/24,""))</f>
        <v/>
      </c>
      <c r="G2803" s="58">
        <f>TRIM(SUBSTITUTE(SUBSTITUTE(SUBSTITUTE($A2803,CHAR(9)," ")," "," "),CHAR(13),""))</f>
        <v/>
      </c>
      <c r="H2803" s="58">
        <f>IF($G2803="","",IF(ISNUMBER(FIND(" ",$G2803)),$G2803,IFERROR(IF((LEN(SUBSTITUTE(SUBSTITUTE($G2803,"-"," ",LEN($G2803)-LEN(SUBSTITUTE($G2803,"-",""))),"-"," ",LEN($G2803)-LEN(SUBSTITUTE($G2803,"-",""))-1))-LEN(SUBSTITUTE(SUBSTITUTE(SUBSTITUTE($G2803,"-"," ",LEN($G2803)-LEN(SUBSTITUTE($G2803,"-",""))),"-"," ",LEN($G2803)-LEN(SUBSTITUTE($G2803,"-",""))-1),".","")))=0,SUBSTITUTE(SUBSTITUTE($G2803,"-"," ",LEN($G2803)-LEN(SUBSTITUTE($G2803,"-",""))),"-"," ",LEN($G2803)-LEN(SUBSTITUTE($G2803,"-",""))-1),SUBSTITUTE(SUBSTITUTE(SUBSTITUTE($G2803,"-"," ",LEN($G2803)-LEN(SUBSTITUTE($G2803,"-",""))),"-"," ",LEN($G2803)-LEN(SUBSTITUTE($G2803,"-",""))-1),"."," ",(LEN(SUBSTITUTE(SUBSTITUTE($G2803,"-"," ",LEN($G2803)-LEN(SUBSTITUTE($G2803,"-",""))),"-"," ",LEN($G2803)-LEN(SUBSTITUTE($G2803,"-",""))-1))-LEN(SUBSTITUTE(SUBSTITUTE(SUBSTITUTE($G2803,"-"," ",LEN($G2803)-LEN(SUBSTITUTE($G2803,"-",""))),"-"," ",LEN($G2803)-LEN(SUBSTITUTE($G2803,"-",""))-1),".",""))))),$G2803)))</f>
        <v/>
      </c>
    </row>
    <row r="2804">
      <c r="A2804" s="58" t="n"/>
      <c r="B2804" s="58">
        <f>IF($H2804="","",LEFT($H2804,FIND(" ",$H2804&amp;" ")-1))</f>
        <v/>
      </c>
      <c r="C2804" s="58">
        <f>IF($H2804="","",IFERROR(MID($H2804&amp;" ",FIND("|",SUBSTITUTE($H2804&amp;" "," ","|",1))+1,FIND("|",SUBSTITUTE($H2804&amp;" "," ","|",2))-FIND("|",SUBSTITUTE($H2804&amp;" "," ","|",1))-1),""))</f>
        <v/>
      </c>
      <c r="D2804" s="58">
        <f>IF($H2804="","",IFERROR(MID($H2804&amp;" ",FIND("|",SUBSTITUTE($H2804&amp;" "," ","|",2))+1,FIND("|",SUBSTITUTE($H2804&amp;" "," ","|",3))-FIND("|",SUBSTITUTE($H2804&amp;" "," ","|",2))-1),""))</f>
        <v/>
      </c>
      <c r="E2804" s="58">
        <f>IF($H2804="","",IFERROR(MID($H2804&amp;" ",FIND("|",SUBSTITUTE($H2804&amp;" "," ","|",3))+1,FIND("|",SUBSTITUTE($H2804&amp;" "," ","|",4))-FIND("|",SUBSTITUTE($H2804&amp;" "," ","|",3))-1),""))</f>
        <v/>
      </c>
      <c r="F2804" s="59">
        <f>IF($H2804="","",IFERROR(VALUE(IFERROR(MID($H2804&amp;" ",FIND("|",SUBSTITUTE($H2804&amp;" "," ","|",4))+1,FIND("|",SUBSTITUTE($H2804&amp;" "," ","|",5))-FIND("|",SUBSTITUTE($H2804&amp;" "," ","|",4))-1),""))/86400+25569+9/24,""))</f>
        <v/>
      </c>
      <c r="G2804" s="58">
        <f>TRIM(SUBSTITUTE(SUBSTITUTE(SUBSTITUTE($A2804,CHAR(9)," ")," "," "),CHAR(13),""))</f>
        <v/>
      </c>
      <c r="H2804" s="58">
        <f>IF($G2804="","",IF(ISNUMBER(FIND(" ",$G2804)),$G2804,IFERROR(IF((LEN(SUBSTITUTE(SUBSTITUTE($G2804,"-"," ",LEN($G2804)-LEN(SUBSTITUTE($G2804,"-",""))),"-"," ",LEN($G2804)-LEN(SUBSTITUTE($G2804,"-",""))-1))-LEN(SUBSTITUTE(SUBSTITUTE(SUBSTITUTE($G2804,"-"," ",LEN($G2804)-LEN(SUBSTITUTE($G2804,"-",""))),"-"," ",LEN($G2804)-LEN(SUBSTITUTE($G2804,"-",""))-1),".","")))=0,SUBSTITUTE(SUBSTITUTE($G2804,"-"," ",LEN($G2804)-LEN(SUBSTITUTE($G2804,"-",""))),"-"," ",LEN($G2804)-LEN(SUBSTITUTE($G2804,"-",""))-1),SUBSTITUTE(SUBSTITUTE(SUBSTITUTE($G2804,"-"," ",LEN($G2804)-LEN(SUBSTITUTE($G2804,"-",""))),"-"," ",LEN($G2804)-LEN(SUBSTITUTE($G2804,"-",""))-1),"."," ",(LEN(SUBSTITUTE(SUBSTITUTE($G2804,"-"," ",LEN($G2804)-LEN(SUBSTITUTE($G2804,"-",""))),"-"," ",LEN($G2804)-LEN(SUBSTITUTE($G2804,"-",""))-1))-LEN(SUBSTITUTE(SUBSTITUTE(SUBSTITUTE($G2804,"-"," ",LEN($G2804)-LEN(SUBSTITUTE($G2804,"-",""))),"-"," ",LEN($G2804)-LEN(SUBSTITUTE($G2804,"-",""))-1),".",""))))),$G2804)))</f>
        <v/>
      </c>
    </row>
    <row r="2805">
      <c r="A2805" s="58" t="n"/>
      <c r="B2805" s="58">
        <f>IF($H2805="","",LEFT($H2805,FIND(" ",$H2805&amp;" ")-1))</f>
        <v/>
      </c>
      <c r="C2805" s="58">
        <f>IF($H2805="","",IFERROR(MID($H2805&amp;" ",FIND("|",SUBSTITUTE($H2805&amp;" "," ","|",1))+1,FIND("|",SUBSTITUTE($H2805&amp;" "," ","|",2))-FIND("|",SUBSTITUTE($H2805&amp;" "," ","|",1))-1),""))</f>
        <v/>
      </c>
      <c r="D2805" s="58">
        <f>IF($H2805="","",IFERROR(MID($H2805&amp;" ",FIND("|",SUBSTITUTE($H2805&amp;" "," ","|",2))+1,FIND("|",SUBSTITUTE($H2805&amp;" "," ","|",3))-FIND("|",SUBSTITUTE($H2805&amp;" "," ","|",2))-1),""))</f>
        <v/>
      </c>
      <c r="E2805" s="58">
        <f>IF($H2805="","",IFERROR(MID($H2805&amp;" ",FIND("|",SUBSTITUTE($H2805&amp;" "," ","|",3))+1,FIND("|",SUBSTITUTE($H2805&amp;" "," ","|",4))-FIND("|",SUBSTITUTE($H2805&amp;" "," ","|",3))-1),""))</f>
        <v/>
      </c>
      <c r="F2805" s="59">
        <f>IF($H2805="","",IFERROR(VALUE(IFERROR(MID($H2805&amp;" ",FIND("|",SUBSTITUTE($H2805&amp;" "," ","|",4))+1,FIND("|",SUBSTITUTE($H2805&amp;" "," ","|",5))-FIND("|",SUBSTITUTE($H2805&amp;" "," ","|",4))-1),""))/86400+25569+9/24,""))</f>
        <v/>
      </c>
      <c r="G2805" s="58">
        <f>TRIM(SUBSTITUTE(SUBSTITUTE(SUBSTITUTE($A2805,CHAR(9)," ")," "," "),CHAR(13),""))</f>
        <v/>
      </c>
      <c r="H2805" s="58">
        <f>IF($G2805="","",IF(ISNUMBER(FIND(" ",$G2805)),$G2805,IFERROR(IF((LEN(SUBSTITUTE(SUBSTITUTE($G2805,"-"," ",LEN($G2805)-LEN(SUBSTITUTE($G2805,"-",""))),"-"," ",LEN($G2805)-LEN(SUBSTITUTE($G2805,"-",""))-1))-LEN(SUBSTITUTE(SUBSTITUTE(SUBSTITUTE($G2805,"-"," ",LEN($G2805)-LEN(SUBSTITUTE($G2805,"-",""))),"-"," ",LEN($G2805)-LEN(SUBSTITUTE($G2805,"-",""))-1),".","")))=0,SUBSTITUTE(SUBSTITUTE($G2805,"-"," ",LEN($G2805)-LEN(SUBSTITUTE($G2805,"-",""))),"-"," ",LEN($G2805)-LEN(SUBSTITUTE($G2805,"-",""))-1),SUBSTITUTE(SUBSTITUTE(SUBSTITUTE($G2805,"-"," ",LEN($G2805)-LEN(SUBSTITUTE($G2805,"-",""))),"-"," ",LEN($G2805)-LEN(SUBSTITUTE($G2805,"-",""))-1),"."," ",(LEN(SUBSTITUTE(SUBSTITUTE($G2805,"-"," ",LEN($G2805)-LEN(SUBSTITUTE($G2805,"-",""))),"-"," ",LEN($G2805)-LEN(SUBSTITUTE($G2805,"-",""))-1))-LEN(SUBSTITUTE(SUBSTITUTE(SUBSTITUTE($G2805,"-"," ",LEN($G2805)-LEN(SUBSTITUTE($G2805,"-",""))),"-"," ",LEN($G2805)-LEN(SUBSTITUTE($G2805,"-",""))-1),".",""))))),$G2805)))</f>
        <v/>
      </c>
    </row>
    <row r="2806">
      <c r="A2806" s="58" t="n"/>
      <c r="B2806" s="58">
        <f>IF($H2806="","",LEFT($H2806,FIND(" ",$H2806&amp;" ")-1))</f>
        <v/>
      </c>
      <c r="C2806" s="58">
        <f>IF($H2806="","",IFERROR(MID($H2806&amp;" ",FIND("|",SUBSTITUTE($H2806&amp;" "," ","|",1))+1,FIND("|",SUBSTITUTE($H2806&amp;" "," ","|",2))-FIND("|",SUBSTITUTE($H2806&amp;" "," ","|",1))-1),""))</f>
        <v/>
      </c>
      <c r="D2806" s="58">
        <f>IF($H2806="","",IFERROR(MID($H2806&amp;" ",FIND("|",SUBSTITUTE($H2806&amp;" "," ","|",2))+1,FIND("|",SUBSTITUTE($H2806&amp;" "," ","|",3))-FIND("|",SUBSTITUTE($H2806&amp;" "," ","|",2))-1),""))</f>
        <v/>
      </c>
      <c r="E2806" s="58">
        <f>IF($H2806="","",IFERROR(MID($H2806&amp;" ",FIND("|",SUBSTITUTE($H2806&amp;" "," ","|",3))+1,FIND("|",SUBSTITUTE($H2806&amp;" "," ","|",4))-FIND("|",SUBSTITUTE($H2806&amp;" "," ","|",3))-1),""))</f>
        <v/>
      </c>
      <c r="F2806" s="59">
        <f>IF($H2806="","",IFERROR(VALUE(IFERROR(MID($H2806&amp;" ",FIND("|",SUBSTITUTE($H2806&amp;" "," ","|",4))+1,FIND("|",SUBSTITUTE($H2806&amp;" "," ","|",5))-FIND("|",SUBSTITUTE($H2806&amp;" "," ","|",4))-1),""))/86400+25569+9/24,""))</f>
        <v/>
      </c>
      <c r="G2806" s="58">
        <f>TRIM(SUBSTITUTE(SUBSTITUTE(SUBSTITUTE($A2806,CHAR(9)," ")," "," "),CHAR(13),""))</f>
        <v/>
      </c>
      <c r="H2806" s="58">
        <f>IF($G2806="","",IF(ISNUMBER(FIND(" ",$G2806)),$G2806,IFERROR(IF((LEN(SUBSTITUTE(SUBSTITUTE($G2806,"-"," ",LEN($G2806)-LEN(SUBSTITUTE($G2806,"-",""))),"-"," ",LEN($G2806)-LEN(SUBSTITUTE($G2806,"-",""))-1))-LEN(SUBSTITUTE(SUBSTITUTE(SUBSTITUTE($G2806,"-"," ",LEN($G2806)-LEN(SUBSTITUTE($G2806,"-",""))),"-"," ",LEN($G2806)-LEN(SUBSTITUTE($G2806,"-",""))-1),".","")))=0,SUBSTITUTE(SUBSTITUTE($G2806,"-"," ",LEN($G2806)-LEN(SUBSTITUTE($G2806,"-",""))),"-"," ",LEN($G2806)-LEN(SUBSTITUTE($G2806,"-",""))-1),SUBSTITUTE(SUBSTITUTE(SUBSTITUTE($G2806,"-"," ",LEN($G2806)-LEN(SUBSTITUTE($G2806,"-",""))),"-"," ",LEN($G2806)-LEN(SUBSTITUTE($G2806,"-",""))-1),"."," ",(LEN(SUBSTITUTE(SUBSTITUTE($G2806,"-"," ",LEN($G2806)-LEN(SUBSTITUTE($G2806,"-",""))),"-"," ",LEN($G2806)-LEN(SUBSTITUTE($G2806,"-",""))-1))-LEN(SUBSTITUTE(SUBSTITUTE(SUBSTITUTE($G2806,"-"," ",LEN($G2806)-LEN(SUBSTITUTE($G2806,"-",""))),"-"," ",LEN($G2806)-LEN(SUBSTITUTE($G2806,"-",""))-1),".",""))))),$G2806)))</f>
        <v/>
      </c>
    </row>
    <row r="2807">
      <c r="A2807" s="58" t="n"/>
      <c r="B2807" s="58">
        <f>IF($H2807="","",LEFT($H2807,FIND(" ",$H2807&amp;" ")-1))</f>
        <v/>
      </c>
      <c r="C2807" s="58">
        <f>IF($H2807="","",IFERROR(MID($H2807&amp;" ",FIND("|",SUBSTITUTE($H2807&amp;" "," ","|",1))+1,FIND("|",SUBSTITUTE($H2807&amp;" "," ","|",2))-FIND("|",SUBSTITUTE($H2807&amp;" "," ","|",1))-1),""))</f>
        <v/>
      </c>
      <c r="D2807" s="58">
        <f>IF($H2807="","",IFERROR(MID($H2807&amp;" ",FIND("|",SUBSTITUTE($H2807&amp;" "," ","|",2))+1,FIND("|",SUBSTITUTE($H2807&amp;" "," ","|",3))-FIND("|",SUBSTITUTE($H2807&amp;" "," ","|",2))-1),""))</f>
        <v/>
      </c>
      <c r="E2807" s="58">
        <f>IF($H2807="","",IFERROR(MID($H2807&amp;" ",FIND("|",SUBSTITUTE($H2807&amp;" "," ","|",3))+1,FIND("|",SUBSTITUTE($H2807&amp;" "," ","|",4))-FIND("|",SUBSTITUTE($H2807&amp;" "," ","|",3))-1),""))</f>
        <v/>
      </c>
      <c r="F2807" s="59">
        <f>IF($H2807="","",IFERROR(VALUE(IFERROR(MID($H2807&amp;" ",FIND("|",SUBSTITUTE($H2807&amp;" "," ","|",4))+1,FIND("|",SUBSTITUTE($H2807&amp;" "," ","|",5))-FIND("|",SUBSTITUTE($H2807&amp;" "," ","|",4))-1),""))/86400+25569+9/24,""))</f>
        <v/>
      </c>
      <c r="G2807" s="58">
        <f>TRIM(SUBSTITUTE(SUBSTITUTE(SUBSTITUTE($A2807,CHAR(9)," ")," "," "),CHAR(13),""))</f>
        <v/>
      </c>
      <c r="H2807" s="58">
        <f>IF($G2807="","",IF(ISNUMBER(FIND(" ",$G2807)),$G2807,IFERROR(IF((LEN(SUBSTITUTE(SUBSTITUTE($G2807,"-"," ",LEN($G2807)-LEN(SUBSTITUTE($G2807,"-",""))),"-"," ",LEN($G2807)-LEN(SUBSTITUTE($G2807,"-",""))-1))-LEN(SUBSTITUTE(SUBSTITUTE(SUBSTITUTE($G2807,"-"," ",LEN($G2807)-LEN(SUBSTITUTE($G2807,"-",""))),"-"," ",LEN($G2807)-LEN(SUBSTITUTE($G2807,"-",""))-1),".","")))=0,SUBSTITUTE(SUBSTITUTE($G2807,"-"," ",LEN($G2807)-LEN(SUBSTITUTE($G2807,"-",""))),"-"," ",LEN($G2807)-LEN(SUBSTITUTE($G2807,"-",""))-1),SUBSTITUTE(SUBSTITUTE(SUBSTITUTE($G2807,"-"," ",LEN($G2807)-LEN(SUBSTITUTE($G2807,"-",""))),"-"," ",LEN($G2807)-LEN(SUBSTITUTE($G2807,"-",""))-1),"."," ",(LEN(SUBSTITUTE(SUBSTITUTE($G2807,"-"," ",LEN($G2807)-LEN(SUBSTITUTE($G2807,"-",""))),"-"," ",LEN($G2807)-LEN(SUBSTITUTE($G2807,"-",""))-1))-LEN(SUBSTITUTE(SUBSTITUTE(SUBSTITUTE($G2807,"-"," ",LEN($G2807)-LEN(SUBSTITUTE($G2807,"-",""))),"-"," ",LEN($G2807)-LEN(SUBSTITUTE($G2807,"-",""))-1),".",""))))),$G2807)))</f>
        <v/>
      </c>
    </row>
    <row r="2808">
      <c r="A2808" s="58" t="n"/>
      <c r="B2808" s="58">
        <f>IF($H2808="","",LEFT($H2808,FIND(" ",$H2808&amp;" ")-1))</f>
        <v/>
      </c>
      <c r="C2808" s="58">
        <f>IF($H2808="","",IFERROR(MID($H2808&amp;" ",FIND("|",SUBSTITUTE($H2808&amp;" "," ","|",1))+1,FIND("|",SUBSTITUTE($H2808&amp;" "," ","|",2))-FIND("|",SUBSTITUTE($H2808&amp;" "," ","|",1))-1),""))</f>
        <v/>
      </c>
      <c r="D2808" s="58">
        <f>IF($H2808="","",IFERROR(MID($H2808&amp;" ",FIND("|",SUBSTITUTE($H2808&amp;" "," ","|",2))+1,FIND("|",SUBSTITUTE($H2808&amp;" "," ","|",3))-FIND("|",SUBSTITUTE($H2808&amp;" "," ","|",2))-1),""))</f>
        <v/>
      </c>
      <c r="E2808" s="58">
        <f>IF($H2808="","",IFERROR(MID($H2808&amp;" ",FIND("|",SUBSTITUTE($H2808&amp;" "," ","|",3))+1,FIND("|",SUBSTITUTE($H2808&amp;" "," ","|",4))-FIND("|",SUBSTITUTE($H2808&amp;" "," ","|",3))-1),""))</f>
        <v/>
      </c>
      <c r="F2808" s="59">
        <f>IF($H2808="","",IFERROR(VALUE(IFERROR(MID($H2808&amp;" ",FIND("|",SUBSTITUTE($H2808&amp;" "," ","|",4))+1,FIND("|",SUBSTITUTE($H2808&amp;" "," ","|",5))-FIND("|",SUBSTITUTE($H2808&amp;" "," ","|",4))-1),""))/86400+25569+9/24,""))</f>
        <v/>
      </c>
      <c r="G2808" s="58">
        <f>TRIM(SUBSTITUTE(SUBSTITUTE(SUBSTITUTE($A2808,CHAR(9)," ")," "," "),CHAR(13),""))</f>
        <v/>
      </c>
      <c r="H2808" s="58">
        <f>IF($G2808="","",IF(ISNUMBER(FIND(" ",$G2808)),$G2808,IFERROR(IF((LEN(SUBSTITUTE(SUBSTITUTE($G2808,"-"," ",LEN($G2808)-LEN(SUBSTITUTE($G2808,"-",""))),"-"," ",LEN($G2808)-LEN(SUBSTITUTE($G2808,"-",""))-1))-LEN(SUBSTITUTE(SUBSTITUTE(SUBSTITUTE($G2808,"-"," ",LEN($G2808)-LEN(SUBSTITUTE($G2808,"-",""))),"-"," ",LEN($G2808)-LEN(SUBSTITUTE($G2808,"-",""))-1),".","")))=0,SUBSTITUTE(SUBSTITUTE($G2808,"-"," ",LEN($G2808)-LEN(SUBSTITUTE($G2808,"-",""))),"-"," ",LEN($G2808)-LEN(SUBSTITUTE($G2808,"-",""))-1),SUBSTITUTE(SUBSTITUTE(SUBSTITUTE($G2808,"-"," ",LEN($G2808)-LEN(SUBSTITUTE($G2808,"-",""))),"-"," ",LEN($G2808)-LEN(SUBSTITUTE($G2808,"-",""))-1),"."," ",(LEN(SUBSTITUTE(SUBSTITUTE($G2808,"-"," ",LEN($G2808)-LEN(SUBSTITUTE($G2808,"-",""))),"-"," ",LEN($G2808)-LEN(SUBSTITUTE($G2808,"-",""))-1))-LEN(SUBSTITUTE(SUBSTITUTE(SUBSTITUTE($G2808,"-"," ",LEN($G2808)-LEN(SUBSTITUTE($G2808,"-",""))),"-"," ",LEN($G2808)-LEN(SUBSTITUTE($G2808,"-",""))-1),".",""))))),$G2808)))</f>
        <v/>
      </c>
    </row>
    <row r="2809">
      <c r="A2809" s="58" t="n"/>
      <c r="B2809" s="58">
        <f>IF($H2809="","",LEFT($H2809,FIND(" ",$H2809&amp;" ")-1))</f>
        <v/>
      </c>
      <c r="C2809" s="58">
        <f>IF($H2809="","",IFERROR(MID($H2809&amp;" ",FIND("|",SUBSTITUTE($H2809&amp;" "," ","|",1))+1,FIND("|",SUBSTITUTE($H2809&amp;" "," ","|",2))-FIND("|",SUBSTITUTE($H2809&amp;" "," ","|",1))-1),""))</f>
        <v/>
      </c>
      <c r="D2809" s="58">
        <f>IF($H2809="","",IFERROR(MID($H2809&amp;" ",FIND("|",SUBSTITUTE($H2809&amp;" "," ","|",2))+1,FIND("|",SUBSTITUTE($H2809&amp;" "," ","|",3))-FIND("|",SUBSTITUTE($H2809&amp;" "," ","|",2))-1),""))</f>
        <v/>
      </c>
      <c r="E2809" s="58">
        <f>IF($H2809="","",IFERROR(MID($H2809&amp;" ",FIND("|",SUBSTITUTE($H2809&amp;" "," ","|",3))+1,FIND("|",SUBSTITUTE($H2809&amp;" "," ","|",4))-FIND("|",SUBSTITUTE($H2809&amp;" "," ","|",3))-1),""))</f>
        <v/>
      </c>
      <c r="F2809" s="59">
        <f>IF($H2809="","",IFERROR(VALUE(IFERROR(MID($H2809&amp;" ",FIND("|",SUBSTITUTE($H2809&amp;" "," ","|",4))+1,FIND("|",SUBSTITUTE($H2809&amp;" "," ","|",5))-FIND("|",SUBSTITUTE($H2809&amp;" "," ","|",4))-1),""))/86400+25569+9/24,""))</f>
        <v/>
      </c>
      <c r="G2809" s="58">
        <f>TRIM(SUBSTITUTE(SUBSTITUTE(SUBSTITUTE($A2809,CHAR(9)," ")," "," "),CHAR(13),""))</f>
        <v/>
      </c>
      <c r="H2809" s="58">
        <f>IF($G2809="","",IF(ISNUMBER(FIND(" ",$G2809)),$G2809,IFERROR(IF((LEN(SUBSTITUTE(SUBSTITUTE($G2809,"-"," ",LEN($G2809)-LEN(SUBSTITUTE($G2809,"-",""))),"-"," ",LEN($G2809)-LEN(SUBSTITUTE($G2809,"-",""))-1))-LEN(SUBSTITUTE(SUBSTITUTE(SUBSTITUTE($G2809,"-"," ",LEN($G2809)-LEN(SUBSTITUTE($G2809,"-",""))),"-"," ",LEN($G2809)-LEN(SUBSTITUTE($G2809,"-",""))-1),".","")))=0,SUBSTITUTE(SUBSTITUTE($G2809,"-"," ",LEN($G2809)-LEN(SUBSTITUTE($G2809,"-",""))),"-"," ",LEN($G2809)-LEN(SUBSTITUTE($G2809,"-",""))-1),SUBSTITUTE(SUBSTITUTE(SUBSTITUTE($G2809,"-"," ",LEN($G2809)-LEN(SUBSTITUTE($G2809,"-",""))),"-"," ",LEN($G2809)-LEN(SUBSTITUTE($G2809,"-",""))-1),"."," ",(LEN(SUBSTITUTE(SUBSTITUTE($G2809,"-"," ",LEN($G2809)-LEN(SUBSTITUTE($G2809,"-",""))),"-"," ",LEN($G2809)-LEN(SUBSTITUTE($G2809,"-",""))-1))-LEN(SUBSTITUTE(SUBSTITUTE(SUBSTITUTE($G2809,"-"," ",LEN($G2809)-LEN(SUBSTITUTE($G2809,"-",""))),"-"," ",LEN($G2809)-LEN(SUBSTITUTE($G2809,"-",""))-1),".",""))))),$G2809)))</f>
        <v/>
      </c>
    </row>
    <row r="2810">
      <c r="A2810" s="58" t="n"/>
      <c r="B2810" s="58">
        <f>IF($H2810="","",LEFT($H2810,FIND(" ",$H2810&amp;" ")-1))</f>
        <v/>
      </c>
      <c r="C2810" s="58">
        <f>IF($H2810="","",IFERROR(MID($H2810&amp;" ",FIND("|",SUBSTITUTE($H2810&amp;" "," ","|",1))+1,FIND("|",SUBSTITUTE($H2810&amp;" "," ","|",2))-FIND("|",SUBSTITUTE($H2810&amp;" "," ","|",1))-1),""))</f>
        <v/>
      </c>
      <c r="D2810" s="58">
        <f>IF($H2810="","",IFERROR(MID($H2810&amp;" ",FIND("|",SUBSTITUTE($H2810&amp;" "," ","|",2))+1,FIND("|",SUBSTITUTE($H2810&amp;" "," ","|",3))-FIND("|",SUBSTITUTE($H2810&amp;" "," ","|",2))-1),""))</f>
        <v/>
      </c>
      <c r="E2810" s="58">
        <f>IF($H2810="","",IFERROR(MID($H2810&amp;" ",FIND("|",SUBSTITUTE($H2810&amp;" "," ","|",3))+1,FIND("|",SUBSTITUTE($H2810&amp;" "," ","|",4))-FIND("|",SUBSTITUTE($H2810&amp;" "," ","|",3))-1),""))</f>
        <v/>
      </c>
      <c r="F2810" s="59">
        <f>IF($H2810="","",IFERROR(VALUE(IFERROR(MID($H2810&amp;" ",FIND("|",SUBSTITUTE($H2810&amp;" "," ","|",4))+1,FIND("|",SUBSTITUTE($H2810&amp;" "," ","|",5))-FIND("|",SUBSTITUTE($H2810&amp;" "," ","|",4))-1),""))/86400+25569+9/24,""))</f>
        <v/>
      </c>
      <c r="G2810" s="58">
        <f>TRIM(SUBSTITUTE(SUBSTITUTE(SUBSTITUTE($A2810,CHAR(9)," ")," "," "),CHAR(13),""))</f>
        <v/>
      </c>
      <c r="H2810" s="58">
        <f>IF($G2810="","",IF(ISNUMBER(FIND(" ",$G2810)),$G2810,IFERROR(IF((LEN(SUBSTITUTE(SUBSTITUTE($G2810,"-"," ",LEN($G2810)-LEN(SUBSTITUTE($G2810,"-",""))),"-"," ",LEN($G2810)-LEN(SUBSTITUTE($G2810,"-",""))-1))-LEN(SUBSTITUTE(SUBSTITUTE(SUBSTITUTE($G2810,"-"," ",LEN($G2810)-LEN(SUBSTITUTE($G2810,"-",""))),"-"," ",LEN($G2810)-LEN(SUBSTITUTE($G2810,"-",""))-1),".","")))=0,SUBSTITUTE(SUBSTITUTE($G2810,"-"," ",LEN($G2810)-LEN(SUBSTITUTE($G2810,"-",""))),"-"," ",LEN($G2810)-LEN(SUBSTITUTE($G2810,"-",""))-1),SUBSTITUTE(SUBSTITUTE(SUBSTITUTE($G2810,"-"," ",LEN($G2810)-LEN(SUBSTITUTE($G2810,"-",""))),"-"," ",LEN($G2810)-LEN(SUBSTITUTE($G2810,"-",""))-1),"."," ",(LEN(SUBSTITUTE(SUBSTITUTE($G2810,"-"," ",LEN($G2810)-LEN(SUBSTITUTE($G2810,"-",""))),"-"," ",LEN($G2810)-LEN(SUBSTITUTE($G2810,"-",""))-1))-LEN(SUBSTITUTE(SUBSTITUTE(SUBSTITUTE($G2810,"-"," ",LEN($G2810)-LEN(SUBSTITUTE($G2810,"-",""))),"-"," ",LEN($G2810)-LEN(SUBSTITUTE($G2810,"-",""))-1),".",""))))),$G2810)))</f>
        <v/>
      </c>
    </row>
    <row r="2811">
      <c r="A2811" s="58" t="n"/>
      <c r="B2811" s="58">
        <f>IF($H2811="","",LEFT($H2811,FIND(" ",$H2811&amp;" ")-1))</f>
        <v/>
      </c>
      <c r="C2811" s="58">
        <f>IF($H2811="","",IFERROR(MID($H2811&amp;" ",FIND("|",SUBSTITUTE($H2811&amp;" "," ","|",1))+1,FIND("|",SUBSTITUTE($H2811&amp;" "," ","|",2))-FIND("|",SUBSTITUTE($H2811&amp;" "," ","|",1))-1),""))</f>
        <v/>
      </c>
      <c r="D2811" s="58">
        <f>IF($H2811="","",IFERROR(MID($H2811&amp;" ",FIND("|",SUBSTITUTE($H2811&amp;" "," ","|",2))+1,FIND("|",SUBSTITUTE($H2811&amp;" "," ","|",3))-FIND("|",SUBSTITUTE($H2811&amp;" "," ","|",2))-1),""))</f>
        <v/>
      </c>
      <c r="E2811" s="58">
        <f>IF($H2811="","",IFERROR(MID($H2811&amp;" ",FIND("|",SUBSTITUTE($H2811&amp;" "," ","|",3))+1,FIND("|",SUBSTITUTE($H2811&amp;" "," ","|",4))-FIND("|",SUBSTITUTE($H2811&amp;" "," ","|",3))-1),""))</f>
        <v/>
      </c>
      <c r="F2811" s="59">
        <f>IF($H2811="","",IFERROR(VALUE(IFERROR(MID($H2811&amp;" ",FIND("|",SUBSTITUTE($H2811&amp;" "," ","|",4))+1,FIND("|",SUBSTITUTE($H2811&amp;" "," ","|",5))-FIND("|",SUBSTITUTE($H2811&amp;" "," ","|",4))-1),""))/86400+25569+9/24,""))</f>
        <v/>
      </c>
      <c r="G2811" s="58">
        <f>TRIM(SUBSTITUTE(SUBSTITUTE(SUBSTITUTE($A2811,CHAR(9)," ")," "," "),CHAR(13),""))</f>
        <v/>
      </c>
      <c r="H2811" s="58">
        <f>IF($G2811="","",IF(ISNUMBER(FIND(" ",$G2811)),$G2811,IFERROR(IF((LEN(SUBSTITUTE(SUBSTITUTE($G2811,"-"," ",LEN($G2811)-LEN(SUBSTITUTE($G2811,"-",""))),"-"," ",LEN($G2811)-LEN(SUBSTITUTE($G2811,"-",""))-1))-LEN(SUBSTITUTE(SUBSTITUTE(SUBSTITUTE($G2811,"-"," ",LEN($G2811)-LEN(SUBSTITUTE($G2811,"-",""))),"-"," ",LEN($G2811)-LEN(SUBSTITUTE($G2811,"-",""))-1),".","")))=0,SUBSTITUTE(SUBSTITUTE($G2811,"-"," ",LEN($G2811)-LEN(SUBSTITUTE($G2811,"-",""))),"-"," ",LEN($G2811)-LEN(SUBSTITUTE($G2811,"-",""))-1),SUBSTITUTE(SUBSTITUTE(SUBSTITUTE($G2811,"-"," ",LEN($G2811)-LEN(SUBSTITUTE($G2811,"-",""))),"-"," ",LEN($G2811)-LEN(SUBSTITUTE($G2811,"-",""))-1),"."," ",(LEN(SUBSTITUTE(SUBSTITUTE($G2811,"-"," ",LEN($G2811)-LEN(SUBSTITUTE($G2811,"-",""))),"-"," ",LEN($G2811)-LEN(SUBSTITUTE($G2811,"-",""))-1))-LEN(SUBSTITUTE(SUBSTITUTE(SUBSTITUTE($G2811,"-"," ",LEN($G2811)-LEN(SUBSTITUTE($G2811,"-",""))),"-"," ",LEN($G2811)-LEN(SUBSTITUTE($G2811,"-",""))-1),".",""))))),$G2811)))</f>
        <v/>
      </c>
    </row>
    <row r="2812">
      <c r="A2812" s="58" t="n"/>
      <c r="B2812" s="58">
        <f>IF($H2812="","",LEFT($H2812,FIND(" ",$H2812&amp;" ")-1))</f>
        <v/>
      </c>
      <c r="C2812" s="58">
        <f>IF($H2812="","",IFERROR(MID($H2812&amp;" ",FIND("|",SUBSTITUTE($H2812&amp;" "," ","|",1))+1,FIND("|",SUBSTITUTE($H2812&amp;" "," ","|",2))-FIND("|",SUBSTITUTE($H2812&amp;" "," ","|",1))-1),""))</f>
        <v/>
      </c>
      <c r="D2812" s="58">
        <f>IF($H2812="","",IFERROR(MID($H2812&amp;" ",FIND("|",SUBSTITUTE($H2812&amp;" "," ","|",2))+1,FIND("|",SUBSTITUTE($H2812&amp;" "," ","|",3))-FIND("|",SUBSTITUTE($H2812&amp;" "," ","|",2))-1),""))</f>
        <v/>
      </c>
      <c r="E2812" s="58">
        <f>IF($H2812="","",IFERROR(MID($H2812&amp;" ",FIND("|",SUBSTITUTE($H2812&amp;" "," ","|",3))+1,FIND("|",SUBSTITUTE($H2812&amp;" "," ","|",4))-FIND("|",SUBSTITUTE($H2812&amp;" "," ","|",3))-1),""))</f>
        <v/>
      </c>
      <c r="F2812" s="59">
        <f>IF($H2812="","",IFERROR(VALUE(IFERROR(MID($H2812&amp;" ",FIND("|",SUBSTITUTE($H2812&amp;" "," ","|",4))+1,FIND("|",SUBSTITUTE($H2812&amp;" "," ","|",5))-FIND("|",SUBSTITUTE($H2812&amp;" "," ","|",4))-1),""))/86400+25569+9/24,""))</f>
        <v/>
      </c>
      <c r="G2812" s="58">
        <f>TRIM(SUBSTITUTE(SUBSTITUTE(SUBSTITUTE($A2812,CHAR(9)," ")," "," "),CHAR(13),""))</f>
        <v/>
      </c>
      <c r="H2812" s="58">
        <f>IF($G2812="","",IF(ISNUMBER(FIND(" ",$G2812)),$G2812,IFERROR(IF((LEN(SUBSTITUTE(SUBSTITUTE($G2812,"-"," ",LEN($G2812)-LEN(SUBSTITUTE($G2812,"-",""))),"-"," ",LEN($G2812)-LEN(SUBSTITUTE($G2812,"-",""))-1))-LEN(SUBSTITUTE(SUBSTITUTE(SUBSTITUTE($G2812,"-"," ",LEN($G2812)-LEN(SUBSTITUTE($G2812,"-",""))),"-"," ",LEN($G2812)-LEN(SUBSTITUTE($G2812,"-",""))-1),".","")))=0,SUBSTITUTE(SUBSTITUTE($G2812,"-"," ",LEN($G2812)-LEN(SUBSTITUTE($G2812,"-",""))),"-"," ",LEN($G2812)-LEN(SUBSTITUTE($G2812,"-",""))-1),SUBSTITUTE(SUBSTITUTE(SUBSTITUTE($G2812,"-"," ",LEN($G2812)-LEN(SUBSTITUTE($G2812,"-",""))),"-"," ",LEN($G2812)-LEN(SUBSTITUTE($G2812,"-",""))-1),"."," ",(LEN(SUBSTITUTE(SUBSTITUTE($G2812,"-"," ",LEN($G2812)-LEN(SUBSTITUTE($G2812,"-",""))),"-"," ",LEN($G2812)-LEN(SUBSTITUTE($G2812,"-",""))-1))-LEN(SUBSTITUTE(SUBSTITUTE(SUBSTITUTE($G2812,"-"," ",LEN($G2812)-LEN(SUBSTITUTE($G2812,"-",""))),"-"," ",LEN($G2812)-LEN(SUBSTITUTE($G2812,"-",""))-1),".",""))))),$G2812)))</f>
        <v/>
      </c>
    </row>
    <row r="2813">
      <c r="A2813" s="58" t="n"/>
      <c r="B2813" s="58">
        <f>IF($H2813="","",LEFT($H2813,FIND(" ",$H2813&amp;" ")-1))</f>
        <v/>
      </c>
      <c r="C2813" s="58">
        <f>IF($H2813="","",IFERROR(MID($H2813&amp;" ",FIND("|",SUBSTITUTE($H2813&amp;" "," ","|",1))+1,FIND("|",SUBSTITUTE($H2813&amp;" "," ","|",2))-FIND("|",SUBSTITUTE($H2813&amp;" "," ","|",1))-1),""))</f>
        <v/>
      </c>
      <c r="D2813" s="58">
        <f>IF($H2813="","",IFERROR(MID($H2813&amp;" ",FIND("|",SUBSTITUTE($H2813&amp;" "," ","|",2))+1,FIND("|",SUBSTITUTE($H2813&amp;" "," ","|",3))-FIND("|",SUBSTITUTE($H2813&amp;" "," ","|",2))-1),""))</f>
        <v/>
      </c>
      <c r="E2813" s="58">
        <f>IF($H2813="","",IFERROR(MID($H2813&amp;" ",FIND("|",SUBSTITUTE($H2813&amp;" "," ","|",3))+1,FIND("|",SUBSTITUTE($H2813&amp;" "," ","|",4))-FIND("|",SUBSTITUTE($H2813&amp;" "," ","|",3))-1),""))</f>
        <v/>
      </c>
      <c r="F2813" s="59">
        <f>IF($H2813="","",IFERROR(VALUE(IFERROR(MID($H2813&amp;" ",FIND("|",SUBSTITUTE($H2813&amp;" "," ","|",4))+1,FIND("|",SUBSTITUTE($H2813&amp;" "," ","|",5))-FIND("|",SUBSTITUTE($H2813&amp;" "," ","|",4))-1),""))/86400+25569+9/24,""))</f>
        <v/>
      </c>
      <c r="G2813" s="58">
        <f>TRIM(SUBSTITUTE(SUBSTITUTE(SUBSTITUTE($A2813,CHAR(9)," ")," "," "),CHAR(13),""))</f>
        <v/>
      </c>
      <c r="H2813" s="58">
        <f>IF($G2813="","",IF(ISNUMBER(FIND(" ",$G2813)),$G2813,IFERROR(IF((LEN(SUBSTITUTE(SUBSTITUTE($G2813,"-"," ",LEN($G2813)-LEN(SUBSTITUTE($G2813,"-",""))),"-"," ",LEN($G2813)-LEN(SUBSTITUTE($G2813,"-",""))-1))-LEN(SUBSTITUTE(SUBSTITUTE(SUBSTITUTE($G2813,"-"," ",LEN($G2813)-LEN(SUBSTITUTE($G2813,"-",""))),"-"," ",LEN($G2813)-LEN(SUBSTITUTE($G2813,"-",""))-1),".","")))=0,SUBSTITUTE(SUBSTITUTE($G2813,"-"," ",LEN($G2813)-LEN(SUBSTITUTE($G2813,"-",""))),"-"," ",LEN($G2813)-LEN(SUBSTITUTE($G2813,"-",""))-1),SUBSTITUTE(SUBSTITUTE(SUBSTITUTE($G2813,"-"," ",LEN($G2813)-LEN(SUBSTITUTE($G2813,"-",""))),"-"," ",LEN($G2813)-LEN(SUBSTITUTE($G2813,"-",""))-1),"."," ",(LEN(SUBSTITUTE(SUBSTITUTE($G2813,"-"," ",LEN($G2813)-LEN(SUBSTITUTE($G2813,"-",""))),"-"," ",LEN($G2813)-LEN(SUBSTITUTE($G2813,"-",""))-1))-LEN(SUBSTITUTE(SUBSTITUTE(SUBSTITUTE($G2813,"-"," ",LEN($G2813)-LEN(SUBSTITUTE($G2813,"-",""))),"-"," ",LEN($G2813)-LEN(SUBSTITUTE($G2813,"-",""))-1),".",""))))),$G2813)))</f>
        <v/>
      </c>
    </row>
    <row r="2814">
      <c r="A2814" s="58" t="n"/>
      <c r="B2814" s="58">
        <f>IF($H2814="","",LEFT($H2814,FIND(" ",$H2814&amp;" ")-1))</f>
        <v/>
      </c>
      <c r="C2814" s="58">
        <f>IF($H2814="","",IFERROR(MID($H2814&amp;" ",FIND("|",SUBSTITUTE($H2814&amp;" "," ","|",1))+1,FIND("|",SUBSTITUTE($H2814&amp;" "," ","|",2))-FIND("|",SUBSTITUTE($H2814&amp;" "," ","|",1))-1),""))</f>
        <v/>
      </c>
      <c r="D2814" s="58">
        <f>IF($H2814="","",IFERROR(MID($H2814&amp;" ",FIND("|",SUBSTITUTE($H2814&amp;" "," ","|",2))+1,FIND("|",SUBSTITUTE($H2814&amp;" "," ","|",3))-FIND("|",SUBSTITUTE($H2814&amp;" "," ","|",2))-1),""))</f>
        <v/>
      </c>
      <c r="E2814" s="58">
        <f>IF($H2814="","",IFERROR(MID($H2814&amp;" ",FIND("|",SUBSTITUTE($H2814&amp;" "," ","|",3))+1,FIND("|",SUBSTITUTE($H2814&amp;" "," ","|",4))-FIND("|",SUBSTITUTE($H2814&amp;" "," ","|",3))-1),""))</f>
        <v/>
      </c>
      <c r="F2814" s="59">
        <f>IF($H2814="","",IFERROR(VALUE(IFERROR(MID($H2814&amp;" ",FIND("|",SUBSTITUTE($H2814&amp;" "," ","|",4))+1,FIND("|",SUBSTITUTE($H2814&amp;" "," ","|",5))-FIND("|",SUBSTITUTE($H2814&amp;" "," ","|",4))-1),""))/86400+25569+9/24,""))</f>
        <v/>
      </c>
      <c r="G2814" s="58">
        <f>TRIM(SUBSTITUTE(SUBSTITUTE(SUBSTITUTE($A2814,CHAR(9)," ")," "," "),CHAR(13),""))</f>
        <v/>
      </c>
      <c r="H2814" s="58">
        <f>IF($G2814="","",IF(ISNUMBER(FIND(" ",$G2814)),$G2814,IFERROR(IF((LEN(SUBSTITUTE(SUBSTITUTE($G2814,"-"," ",LEN($G2814)-LEN(SUBSTITUTE($G2814,"-",""))),"-"," ",LEN($G2814)-LEN(SUBSTITUTE($G2814,"-",""))-1))-LEN(SUBSTITUTE(SUBSTITUTE(SUBSTITUTE($G2814,"-"," ",LEN($G2814)-LEN(SUBSTITUTE($G2814,"-",""))),"-"," ",LEN($G2814)-LEN(SUBSTITUTE($G2814,"-",""))-1),".","")))=0,SUBSTITUTE(SUBSTITUTE($G2814,"-"," ",LEN($G2814)-LEN(SUBSTITUTE($G2814,"-",""))),"-"," ",LEN($G2814)-LEN(SUBSTITUTE($G2814,"-",""))-1),SUBSTITUTE(SUBSTITUTE(SUBSTITUTE($G2814,"-"," ",LEN($G2814)-LEN(SUBSTITUTE($G2814,"-",""))),"-"," ",LEN($G2814)-LEN(SUBSTITUTE($G2814,"-",""))-1),"."," ",(LEN(SUBSTITUTE(SUBSTITUTE($G2814,"-"," ",LEN($G2814)-LEN(SUBSTITUTE($G2814,"-",""))),"-"," ",LEN($G2814)-LEN(SUBSTITUTE($G2814,"-",""))-1))-LEN(SUBSTITUTE(SUBSTITUTE(SUBSTITUTE($G2814,"-"," ",LEN($G2814)-LEN(SUBSTITUTE($G2814,"-",""))),"-"," ",LEN($G2814)-LEN(SUBSTITUTE($G2814,"-",""))-1),".",""))))),$G2814)))</f>
        <v/>
      </c>
    </row>
    <row r="2815">
      <c r="A2815" s="58" t="n"/>
      <c r="B2815" s="58">
        <f>IF($H2815="","",LEFT($H2815,FIND(" ",$H2815&amp;" ")-1))</f>
        <v/>
      </c>
      <c r="C2815" s="58">
        <f>IF($H2815="","",IFERROR(MID($H2815&amp;" ",FIND("|",SUBSTITUTE($H2815&amp;" "," ","|",1))+1,FIND("|",SUBSTITUTE($H2815&amp;" "," ","|",2))-FIND("|",SUBSTITUTE($H2815&amp;" "," ","|",1))-1),""))</f>
        <v/>
      </c>
      <c r="D2815" s="58">
        <f>IF($H2815="","",IFERROR(MID($H2815&amp;" ",FIND("|",SUBSTITUTE($H2815&amp;" "," ","|",2))+1,FIND("|",SUBSTITUTE($H2815&amp;" "," ","|",3))-FIND("|",SUBSTITUTE($H2815&amp;" "," ","|",2))-1),""))</f>
        <v/>
      </c>
      <c r="E2815" s="58">
        <f>IF($H2815="","",IFERROR(MID($H2815&amp;" ",FIND("|",SUBSTITUTE($H2815&amp;" "," ","|",3))+1,FIND("|",SUBSTITUTE($H2815&amp;" "," ","|",4))-FIND("|",SUBSTITUTE($H2815&amp;" "," ","|",3))-1),""))</f>
        <v/>
      </c>
      <c r="F2815" s="59">
        <f>IF($H2815="","",IFERROR(VALUE(IFERROR(MID($H2815&amp;" ",FIND("|",SUBSTITUTE($H2815&amp;" "," ","|",4))+1,FIND("|",SUBSTITUTE($H2815&amp;" "," ","|",5))-FIND("|",SUBSTITUTE($H2815&amp;" "," ","|",4))-1),""))/86400+25569+9/24,""))</f>
        <v/>
      </c>
      <c r="G2815" s="58">
        <f>TRIM(SUBSTITUTE(SUBSTITUTE(SUBSTITUTE($A2815,CHAR(9)," ")," "," "),CHAR(13),""))</f>
        <v/>
      </c>
      <c r="H2815" s="58">
        <f>IF($G2815="","",IF(ISNUMBER(FIND(" ",$G2815)),$G2815,IFERROR(IF((LEN(SUBSTITUTE(SUBSTITUTE($G2815,"-"," ",LEN($G2815)-LEN(SUBSTITUTE($G2815,"-",""))),"-"," ",LEN($G2815)-LEN(SUBSTITUTE($G2815,"-",""))-1))-LEN(SUBSTITUTE(SUBSTITUTE(SUBSTITUTE($G2815,"-"," ",LEN($G2815)-LEN(SUBSTITUTE($G2815,"-",""))),"-"," ",LEN($G2815)-LEN(SUBSTITUTE($G2815,"-",""))-1),".","")))=0,SUBSTITUTE(SUBSTITUTE($G2815,"-"," ",LEN($G2815)-LEN(SUBSTITUTE($G2815,"-",""))),"-"," ",LEN($G2815)-LEN(SUBSTITUTE($G2815,"-",""))-1),SUBSTITUTE(SUBSTITUTE(SUBSTITUTE($G2815,"-"," ",LEN($G2815)-LEN(SUBSTITUTE($G2815,"-",""))),"-"," ",LEN($G2815)-LEN(SUBSTITUTE($G2815,"-",""))-1),"."," ",(LEN(SUBSTITUTE(SUBSTITUTE($G2815,"-"," ",LEN($G2815)-LEN(SUBSTITUTE($G2815,"-",""))),"-"," ",LEN($G2815)-LEN(SUBSTITUTE($G2815,"-",""))-1))-LEN(SUBSTITUTE(SUBSTITUTE(SUBSTITUTE($G2815,"-"," ",LEN($G2815)-LEN(SUBSTITUTE($G2815,"-",""))),"-"," ",LEN($G2815)-LEN(SUBSTITUTE($G2815,"-",""))-1),".",""))))),$G2815)))</f>
        <v/>
      </c>
    </row>
    <row r="2816">
      <c r="A2816" s="58" t="n"/>
      <c r="B2816" s="58">
        <f>IF($H2816="","",LEFT($H2816,FIND(" ",$H2816&amp;" ")-1))</f>
        <v/>
      </c>
      <c r="C2816" s="58">
        <f>IF($H2816="","",IFERROR(MID($H2816&amp;" ",FIND("|",SUBSTITUTE($H2816&amp;" "," ","|",1))+1,FIND("|",SUBSTITUTE($H2816&amp;" "," ","|",2))-FIND("|",SUBSTITUTE($H2816&amp;" "," ","|",1))-1),""))</f>
        <v/>
      </c>
      <c r="D2816" s="58">
        <f>IF($H2816="","",IFERROR(MID($H2816&amp;" ",FIND("|",SUBSTITUTE($H2816&amp;" "," ","|",2))+1,FIND("|",SUBSTITUTE($H2816&amp;" "," ","|",3))-FIND("|",SUBSTITUTE($H2816&amp;" "," ","|",2))-1),""))</f>
        <v/>
      </c>
      <c r="E2816" s="58">
        <f>IF($H2816="","",IFERROR(MID($H2816&amp;" ",FIND("|",SUBSTITUTE($H2816&amp;" "," ","|",3))+1,FIND("|",SUBSTITUTE($H2816&amp;" "," ","|",4))-FIND("|",SUBSTITUTE($H2816&amp;" "," ","|",3))-1),""))</f>
        <v/>
      </c>
      <c r="F2816" s="59">
        <f>IF($H2816="","",IFERROR(VALUE(IFERROR(MID($H2816&amp;" ",FIND("|",SUBSTITUTE($H2816&amp;" "," ","|",4))+1,FIND("|",SUBSTITUTE($H2816&amp;" "," ","|",5))-FIND("|",SUBSTITUTE($H2816&amp;" "," ","|",4))-1),""))/86400+25569+9/24,""))</f>
        <v/>
      </c>
      <c r="G2816" s="58">
        <f>TRIM(SUBSTITUTE(SUBSTITUTE(SUBSTITUTE($A2816,CHAR(9)," ")," "," "),CHAR(13),""))</f>
        <v/>
      </c>
      <c r="H2816" s="58">
        <f>IF($G2816="","",IF(ISNUMBER(FIND(" ",$G2816)),$G2816,IFERROR(IF((LEN(SUBSTITUTE(SUBSTITUTE($G2816,"-"," ",LEN($G2816)-LEN(SUBSTITUTE($G2816,"-",""))),"-"," ",LEN($G2816)-LEN(SUBSTITUTE($G2816,"-",""))-1))-LEN(SUBSTITUTE(SUBSTITUTE(SUBSTITUTE($G2816,"-"," ",LEN($G2816)-LEN(SUBSTITUTE($G2816,"-",""))),"-"," ",LEN($G2816)-LEN(SUBSTITUTE($G2816,"-",""))-1),".","")))=0,SUBSTITUTE(SUBSTITUTE($G2816,"-"," ",LEN($G2816)-LEN(SUBSTITUTE($G2816,"-",""))),"-"," ",LEN($G2816)-LEN(SUBSTITUTE($G2816,"-",""))-1),SUBSTITUTE(SUBSTITUTE(SUBSTITUTE($G2816,"-"," ",LEN($G2816)-LEN(SUBSTITUTE($G2816,"-",""))),"-"," ",LEN($G2816)-LEN(SUBSTITUTE($G2816,"-",""))-1),"."," ",(LEN(SUBSTITUTE(SUBSTITUTE($G2816,"-"," ",LEN($G2816)-LEN(SUBSTITUTE($G2816,"-",""))),"-"," ",LEN($G2816)-LEN(SUBSTITUTE($G2816,"-",""))-1))-LEN(SUBSTITUTE(SUBSTITUTE(SUBSTITUTE($G2816,"-"," ",LEN($G2816)-LEN(SUBSTITUTE($G2816,"-",""))),"-"," ",LEN($G2816)-LEN(SUBSTITUTE($G2816,"-",""))-1),".",""))))),$G2816)))</f>
        <v/>
      </c>
    </row>
    <row r="2817">
      <c r="A2817" s="58" t="n"/>
      <c r="B2817" s="58">
        <f>IF($H2817="","",LEFT($H2817,FIND(" ",$H2817&amp;" ")-1))</f>
        <v/>
      </c>
      <c r="C2817" s="58">
        <f>IF($H2817="","",IFERROR(MID($H2817&amp;" ",FIND("|",SUBSTITUTE($H2817&amp;" "," ","|",1))+1,FIND("|",SUBSTITUTE($H2817&amp;" "," ","|",2))-FIND("|",SUBSTITUTE($H2817&amp;" "," ","|",1))-1),""))</f>
        <v/>
      </c>
      <c r="D2817" s="58">
        <f>IF($H2817="","",IFERROR(MID($H2817&amp;" ",FIND("|",SUBSTITUTE($H2817&amp;" "," ","|",2))+1,FIND("|",SUBSTITUTE($H2817&amp;" "," ","|",3))-FIND("|",SUBSTITUTE($H2817&amp;" "," ","|",2))-1),""))</f>
        <v/>
      </c>
      <c r="E2817" s="58">
        <f>IF($H2817="","",IFERROR(MID($H2817&amp;" ",FIND("|",SUBSTITUTE($H2817&amp;" "," ","|",3))+1,FIND("|",SUBSTITUTE($H2817&amp;" "," ","|",4))-FIND("|",SUBSTITUTE($H2817&amp;" "," ","|",3))-1),""))</f>
        <v/>
      </c>
      <c r="F2817" s="59">
        <f>IF($H2817="","",IFERROR(VALUE(IFERROR(MID($H2817&amp;" ",FIND("|",SUBSTITUTE($H2817&amp;" "," ","|",4))+1,FIND("|",SUBSTITUTE($H2817&amp;" "," ","|",5))-FIND("|",SUBSTITUTE($H2817&amp;" "," ","|",4))-1),""))/86400+25569+9/24,""))</f>
        <v/>
      </c>
      <c r="G2817" s="58">
        <f>TRIM(SUBSTITUTE(SUBSTITUTE(SUBSTITUTE($A2817,CHAR(9)," ")," "," "),CHAR(13),""))</f>
        <v/>
      </c>
      <c r="H2817" s="58">
        <f>IF($G2817="","",IF(ISNUMBER(FIND(" ",$G2817)),$G2817,IFERROR(IF((LEN(SUBSTITUTE(SUBSTITUTE($G2817,"-"," ",LEN($G2817)-LEN(SUBSTITUTE($G2817,"-",""))),"-"," ",LEN($G2817)-LEN(SUBSTITUTE($G2817,"-",""))-1))-LEN(SUBSTITUTE(SUBSTITUTE(SUBSTITUTE($G2817,"-"," ",LEN($G2817)-LEN(SUBSTITUTE($G2817,"-",""))),"-"," ",LEN($G2817)-LEN(SUBSTITUTE($G2817,"-",""))-1),".","")))=0,SUBSTITUTE(SUBSTITUTE($G2817,"-"," ",LEN($G2817)-LEN(SUBSTITUTE($G2817,"-",""))),"-"," ",LEN($G2817)-LEN(SUBSTITUTE($G2817,"-",""))-1),SUBSTITUTE(SUBSTITUTE(SUBSTITUTE($G2817,"-"," ",LEN($G2817)-LEN(SUBSTITUTE($G2817,"-",""))),"-"," ",LEN($G2817)-LEN(SUBSTITUTE($G2817,"-",""))-1),"."," ",(LEN(SUBSTITUTE(SUBSTITUTE($G2817,"-"," ",LEN($G2817)-LEN(SUBSTITUTE($G2817,"-",""))),"-"," ",LEN($G2817)-LEN(SUBSTITUTE($G2817,"-",""))-1))-LEN(SUBSTITUTE(SUBSTITUTE(SUBSTITUTE($G2817,"-"," ",LEN($G2817)-LEN(SUBSTITUTE($G2817,"-",""))),"-"," ",LEN($G2817)-LEN(SUBSTITUTE($G2817,"-",""))-1),".",""))))),$G2817)))</f>
        <v/>
      </c>
    </row>
    <row r="2818">
      <c r="A2818" s="58" t="n"/>
      <c r="B2818" s="58">
        <f>IF($H2818="","",LEFT($H2818,FIND(" ",$H2818&amp;" ")-1))</f>
        <v/>
      </c>
      <c r="C2818" s="58">
        <f>IF($H2818="","",IFERROR(MID($H2818&amp;" ",FIND("|",SUBSTITUTE($H2818&amp;" "," ","|",1))+1,FIND("|",SUBSTITUTE($H2818&amp;" "," ","|",2))-FIND("|",SUBSTITUTE($H2818&amp;" "," ","|",1))-1),""))</f>
        <v/>
      </c>
      <c r="D2818" s="58">
        <f>IF($H2818="","",IFERROR(MID($H2818&amp;" ",FIND("|",SUBSTITUTE($H2818&amp;" "," ","|",2))+1,FIND("|",SUBSTITUTE($H2818&amp;" "," ","|",3))-FIND("|",SUBSTITUTE($H2818&amp;" "," ","|",2))-1),""))</f>
        <v/>
      </c>
      <c r="E2818" s="58">
        <f>IF($H2818="","",IFERROR(MID($H2818&amp;" ",FIND("|",SUBSTITUTE($H2818&amp;" "," ","|",3))+1,FIND("|",SUBSTITUTE($H2818&amp;" "," ","|",4))-FIND("|",SUBSTITUTE($H2818&amp;" "," ","|",3))-1),""))</f>
        <v/>
      </c>
      <c r="F2818" s="59">
        <f>IF($H2818="","",IFERROR(VALUE(IFERROR(MID($H2818&amp;" ",FIND("|",SUBSTITUTE($H2818&amp;" "," ","|",4))+1,FIND("|",SUBSTITUTE($H2818&amp;" "," ","|",5))-FIND("|",SUBSTITUTE($H2818&amp;" "," ","|",4))-1),""))/86400+25569+9/24,""))</f>
        <v/>
      </c>
      <c r="G2818" s="58">
        <f>TRIM(SUBSTITUTE(SUBSTITUTE(SUBSTITUTE($A2818,CHAR(9)," ")," "," "),CHAR(13),""))</f>
        <v/>
      </c>
      <c r="H2818" s="58">
        <f>IF($G2818="","",IF(ISNUMBER(FIND(" ",$G2818)),$G2818,IFERROR(IF((LEN(SUBSTITUTE(SUBSTITUTE($G2818,"-"," ",LEN($G2818)-LEN(SUBSTITUTE($G2818,"-",""))),"-"," ",LEN($G2818)-LEN(SUBSTITUTE($G2818,"-",""))-1))-LEN(SUBSTITUTE(SUBSTITUTE(SUBSTITUTE($G2818,"-"," ",LEN($G2818)-LEN(SUBSTITUTE($G2818,"-",""))),"-"," ",LEN($G2818)-LEN(SUBSTITUTE($G2818,"-",""))-1),".","")))=0,SUBSTITUTE(SUBSTITUTE($G2818,"-"," ",LEN($G2818)-LEN(SUBSTITUTE($G2818,"-",""))),"-"," ",LEN($G2818)-LEN(SUBSTITUTE($G2818,"-",""))-1),SUBSTITUTE(SUBSTITUTE(SUBSTITUTE($G2818,"-"," ",LEN($G2818)-LEN(SUBSTITUTE($G2818,"-",""))),"-"," ",LEN($G2818)-LEN(SUBSTITUTE($G2818,"-",""))-1),"."," ",(LEN(SUBSTITUTE(SUBSTITUTE($G2818,"-"," ",LEN($G2818)-LEN(SUBSTITUTE($G2818,"-",""))),"-"," ",LEN($G2818)-LEN(SUBSTITUTE($G2818,"-",""))-1))-LEN(SUBSTITUTE(SUBSTITUTE(SUBSTITUTE($G2818,"-"," ",LEN($G2818)-LEN(SUBSTITUTE($G2818,"-",""))),"-"," ",LEN($G2818)-LEN(SUBSTITUTE($G2818,"-",""))-1),".",""))))),$G2818)))</f>
        <v/>
      </c>
    </row>
    <row r="2819">
      <c r="A2819" s="58" t="n"/>
      <c r="B2819" s="58">
        <f>IF($H2819="","",LEFT($H2819,FIND(" ",$H2819&amp;" ")-1))</f>
        <v/>
      </c>
      <c r="C2819" s="58">
        <f>IF($H2819="","",IFERROR(MID($H2819&amp;" ",FIND("|",SUBSTITUTE($H2819&amp;" "," ","|",1))+1,FIND("|",SUBSTITUTE($H2819&amp;" "," ","|",2))-FIND("|",SUBSTITUTE($H2819&amp;" "," ","|",1))-1),""))</f>
        <v/>
      </c>
      <c r="D2819" s="58">
        <f>IF($H2819="","",IFERROR(MID($H2819&amp;" ",FIND("|",SUBSTITUTE($H2819&amp;" "," ","|",2))+1,FIND("|",SUBSTITUTE($H2819&amp;" "," ","|",3))-FIND("|",SUBSTITUTE($H2819&amp;" "," ","|",2))-1),""))</f>
        <v/>
      </c>
      <c r="E2819" s="58">
        <f>IF($H2819="","",IFERROR(MID($H2819&amp;" ",FIND("|",SUBSTITUTE($H2819&amp;" "," ","|",3))+1,FIND("|",SUBSTITUTE($H2819&amp;" "," ","|",4))-FIND("|",SUBSTITUTE($H2819&amp;" "," ","|",3))-1),""))</f>
        <v/>
      </c>
      <c r="F2819" s="59">
        <f>IF($H2819="","",IFERROR(VALUE(IFERROR(MID($H2819&amp;" ",FIND("|",SUBSTITUTE($H2819&amp;" "," ","|",4))+1,FIND("|",SUBSTITUTE($H2819&amp;" "," ","|",5))-FIND("|",SUBSTITUTE($H2819&amp;" "," ","|",4))-1),""))/86400+25569+9/24,""))</f>
        <v/>
      </c>
      <c r="G2819" s="58">
        <f>TRIM(SUBSTITUTE(SUBSTITUTE(SUBSTITUTE($A2819,CHAR(9)," ")," "," "),CHAR(13),""))</f>
        <v/>
      </c>
      <c r="H2819" s="58">
        <f>IF($G2819="","",IF(ISNUMBER(FIND(" ",$G2819)),$G2819,IFERROR(IF((LEN(SUBSTITUTE(SUBSTITUTE($G2819,"-"," ",LEN($G2819)-LEN(SUBSTITUTE($G2819,"-",""))),"-"," ",LEN($G2819)-LEN(SUBSTITUTE($G2819,"-",""))-1))-LEN(SUBSTITUTE(SUBSTITUTE(SUBSTITUTE($G2819,"-"," ",LEN($G2819)-LEN(SUBSTITUTE($G2819,"-",""))),"-"," ",LEN($G2819)-LEN(SUBSTITUTE($G2819,"-",""))-1),".","")))=0,SUBSTITUTE(SUBSTITUTE($G2819,"-"," ",LEN($G2819)-LEN(SUBSTITUTE($G2819,"-",""))),"-"," ",LEN($G2819)-LEN(SUBSTITUTE($G2819,"-",""))-1),SUBSTITUTE(SUBSTITUTE(SUBSTITUTE($G2819,"-"," ",LEN($G2819)-LEN(SUBSTITUTE($G2819,"-",""))),"-"," ",LEN($G2819)-LEN(SUBSTITUTE($G2819,"-",""))-1),"."," ",(LEN(SUBSTITUTE(SUBSTITUTE($G2819,"-"," ",LEN($G2819)-LEN(SUBSTITUTE($G2819,"-",""))),"-"," ",LEN($G2819)-LEN(SUBSTITUTE($G2819,"-",""))-1))-LEN(SUBSTITUTE(SUBSTITUTE(SUBSTITUTE($G2819,"-"," ",LEN($G2819)-LEN(SUBSTITUTE($G2819,"-",""))),"-"," ",LEN($G2819)-LEN(SUBSTITUTE($G2819,"-",""))-1),".",""))))),$G2819)))</f>
        <v/>
      </c>
    </row>
    <row r="2820">
      <c r="A2820" s="58" t="n"/>
      <c r="B2820" s="58">
        <f>IF($H2820="","",LEFT($H2820,FIND(" ",$H2820&amp;" ")-1))</f>
        <v/>
      </c>
      <c r="C2820" s="58">
        <f>IF($H2820="","",IFERROR(MID($H2820&amp;" ",FIND("|",SUBSTITUTE($H2820&amp;" "," ","|",1))+1,FIND("|",SUBSTITUTE($H2820&amp;" "," ","|",2))-FIND("|",SUBSTITUTE($H2820&amp;" "," ","|",1))-1),""))</f>
        <v/>
      </c>
      <c r="D2820" s="58">
        <f>IF($H2820="","",IFERROR(MID($H2820&amp;" ",FIND("|",SUBSTITUTE($H2820&amp;" "," ","|",2))+1,FIND("|",SUBSTITUTE($H2820&amp;" "," ","|",3))-FIND("|",SUBSTITUTE($H2820&amp;" "," ","|",2))-1),""))</f>
        <v/>
      </c>
      <c r="E2820" s="58">
        <f>IF($H2820="","",IFERROR(MID($H2820&amp;" ",FIND("|",SUBSTITUTE($H2820&amp;" "," ","|",3))+1,FIND("|",SUBSTITUTE($H2820&amp;" "," ","|",4))-FIND("|",SUBSTITUTE($H2820&amp;" "," ","|",3))-1),""))</f>
        <v/>
      </c>
      <c r="F2820" s="59">
        <f>IF($H2820="","",IFERROR(VALUE(IFERROR(MID($H2820&amp;" ",FIND("|",SUBSTITUTE($H2820&amp;" "," ","|",4))+1,FIND("|",SUBSTITUTE($H2820&amp;" "," ","|",5))-FIND("|",SUBSTITUTE($H2820&amp;" "," ","|",4))-1),""))/86400+25569+9/24,""))</f>
        <v/>
      </c>
      <c r="G2820" s="58">
        <f>TRIM(SUBSTITUTE(SUBSTITUTE(SUBSTITUTE($A2820,CHAR(9)," ")," "," "),CHAR(13),""))</f>
        <v/>
      </c>
      <c r="H2820" s="58">
        <f>IF($G2820="","",IF(ISNUMBER(FIND(" ",$G2820)),$G2820,IFERROR(IF((LEN(SUBSTITUTE(SUBSTITUTE($G2820,"-"," ",LEN($G2820)-LEN(SUBSTITUTE($G2820,"-",""))),"-"," ",LEN($G2820)-LEN(SUBSTITUTE($G2820,"-",""))-1))-LEN(SUBSTITUTE(SUBSTITUTE(SUBSTITUTE($G2820,"-"," ",LEN($G2820)-LEN(SUBSTITUTE($G2820,"-",""))),"-"," ",LEN($G2820)-LEN(SUBSTITUTE($G2820,"-",""))-1),".","")))=0,SUBSTITUTE(SUBSTITUTE($G2820,"-"," ",LEN($G2820)-LEN(SUBSTITUTE($G2820,"-",""))),"-"," ",LEN($G2820)-LEN(SUBSTITUTE($G2820,"-",""))-1),SUBSTITUTE(SUBSTITUTE(SUBSTITUTE($G2820,"-"," ",LEN($G2820)-LEN(SUBSTITUTE($G2820,"-",""))),"-"," ",LEN($G2820)-LEN(SUBSTITUTE($G2820,"-",""))-1),"."," ",(LEN(SUBSTITUTE(SUBSTITUTE($G2820,"-"," ",LEN($G2820)-LEN(SUBSTITUTE($G2820,"-",""))),"-"," ",LEN($G2820)-LEN(SUBSTITUTE($G2820,"-",""))-1))-LEN(SUBSTITUTE(SUBSTITUTE(SUBSTITUTE($G2820,"-"," ",LEN($G2820)-LEN(SUBSTITUTE($G2820,"-",""))),"-"," ",LEN($G2820)-LEN(SUBSTITUTE($G2820,"-",""))-1),".",""))))),$G2820)))</f>
        <v/>
      </c>
    </row>
    <row r="2821">
      <c r="A2821" s="58" t="n"/>
      <c r="B2821" s="58">
        <f>IF($H2821="","",LEFT($H2821,FIND(" ",$H2821&amp;" ")-1))</f>
        <v/>
      </c>
      <c r="C2821" s="58">
        <f>IF($H2821="","",IFERROR(MID($H2821&amp;" ",FIND("|",SUBSTITUTE($H2821&amp;" "," ","|",1))+1,FIND("|",SUBSTITUTE($H2821&amp;" "," ","|",2))-FIND("|",SUBSTITUTE($H2821&amp;" "," ","|",1))-1),""))</f>
        <v/>
      </c>
      <c r="D2821" s="58">
        <f>IF($H2821="","",IFERROR(MID($H2821&amp;" ",FIND("|",SUBSTITUTE($H2821&amp;" "," ","|",2))+1,FIND("|",SUBSTITUTE($H2821&amp;" "," ","|",3))-FIND("|",SUBSTITUTE($H2821&amp;" "," ","|",2))-1),""))</f>
        <v/>
      </c>
      <c r="E2821" s="58">
        <f>IF($H2821="","",IFERROR(MID($H2821&amp;" ",FIND("|",SUBSTITUTE($H2821&amp;" "," ","|",3))+1,FIND("|",SUBSTITUTE($H2821&amp;" "," ","|",4))-FIND("|",SUBSTITUTE($H2821&amp;" "," ","|",3))-1),""))</f>
        <v/>
      </c>
      <c r="F2821" s="59">
        <f>IF($H2821="","",IFERROR(VALUE(IFERROR(MID($H2821&amp;" ",FIND("|",SUBSTITUTE($H2821&amp;" "," ","|",4))+1,FIND("|",SUBSTITUTE($H2821&amp;" "," ","|",5))-FIND("|",SUBSTITUTE($H2821&amp;" "," ","|",4))-1),""))/86400+25569+9/24,""))</f>
        <v/>
      </c>
      <c r="G2821" s="58">
        <f>TRIM(SUBSTITUTE(SUBSTITUTE(SUBSTITUTE($A2821,CHAR(9)," ")," "," "),CHAR(13),""))</f>
        <v/>
      </c>
      <c r="H2821" s="58">
        <f>IF($G2821="","",IF(ISNUMBER(FIND(" ",$G2821)),$G2821,IFERROR(IF((LEN(SUBSTITUTE(SUBSTITUTE($G2821,"-"," ",LEN($G2821)-LEN(SUBSTITUTE($G2821,"-",""))),"-"," ",LEN($G2821)-LEN(SUBSTITUTE($G2821,"-",""))-1))-LEN(SUBSTITUTE(SUBSTITUTE(SUBSTITUTE($G2821,"-"," ",LEN($G2821)-LEN(SUBSTITUTE($G2821,"-",""))),"-"," ",LEN($G2821)-LEN(SUBSTITUTE($G2821,"-",""))-1),".","")))=0,SUBSTITUTE(SUBSTITUTE($G2821,"-"," ",LEN($G2821)-LEN(SUBSTITUTE($G2821,"-",""))),"-"," ",LEN($G2821)-LEN(SUBSTITUTE($G2821,"-",""))-1),SUBSTITUTE(SUBSTITUTE(SUBSTITUTE($G2821,"-"," ",LEN($G2821)-LEN(SUBSTITUTE($G2821,"-",""))),"-"," ",LEN($G2821)-LEN(SUBSTITUTE($G2821,"-",""))-1),"."," ",(LEN(SUBSTITUTE(SUBSTITUTE($G2821,"-"," ",LEN($G2821)-LEN(SUBSTITUTE($G2821,"-",""))),"-"," ",LEN($G2821)-LEN(SUBSTITUTE($G2821,"-",""))-1))-LEN(SUBSTITUTE(SUBSTITUTE(SUBSTITUTE($G2821,"-"," ",LEN($G2821)-LEN(SUBSTITUTE($G2821,"-",""))),"-"," ",LEN($G2821)-LEN(SUBSTITUTE($G2821,"-",""))-1),".",""))))),$G2821)))</f>
        <v/>
      </c>
    </row>
    <row r="2822">
      <c r="A2822" s="58" t="n"/>
      <c r="B2822" s="58">
        <f>IF($H2822="","",LEFT($H2822,FIND(" ",$H2822&amp;" ")-1))</f>
        <v/>
      </c>
      <c r="C2822" s="58">
        <f>IF($H2822="","",IFERROR(MID($H2822&amp;" ",FIND("|",SUBSTITUTE($H2822&amp;" "," ","|",1))+1,FIND("|",SUBSTITUTE($H2822&amp;" "," ","|",2))-FIND("|",SUBSTITUTE($H2822&amp;" "," ","|",1))-1),""))</f>
        <v/>
      </c>
      <c r="D2822" s="58">
        <f>IF($H2822="","",IFERROR(MID($H2822&amp;" ",FIND("|",SUBSTITUTE($H2822&amp;" "," ","|",2))+1,FIND("|",SUBSTITUTE($H2822&amp;" "," ","|",3))-FIND("|",SUBSTITUTE($H2822&amp;" "," ","|",2))-1),""))</f>
        <v/>
      </c>
      <c r="E2822" s="58">
        <f>IF($H2822="","",IFERROR(MID($H2822&amp;" ",FIND("|",SUBSTITUTE($H2822&amp;" "," ","|",3))+1,FIND("|",SUBSTITUTE($H2822&amp;" "," ","|",4))-FIND("|",SUBSTITUTE($H2822&amp;" "," ","|",3))-1),""))</f>
        <v/>
      </c>
      <c r="F2822" s="59">
        <f>IF($H2822="","",IFERROR(VALUE(IFERROR(MID($H2822&amp;" ",FIND("|",SUBSTITUTE($H2822&amp;" "," ","|",4))+1,FIND("|",SUBSTITUTE($H2822&amp;" "," ","|",5))-FIND("|",SUBSTITUTE($H2822&amp;" "," ","|",4))-1),""))/86400+25569+9/24,""))</f>
        <v/>
      </c>
      <c r="G2822" s="58">
        <f>TRIM(SUBSTITUTE(SUBSTITUTE(SUBSTITUTE($A2822,CHAR(9)," ")," "," "),CHAR(13),""))</f>
        <v/>
      </c>
      <c r="H2822" s="58">
        <f>IF($G2822="","",IF(ISNUMBER(FIND(" ",$G2822)),$G2822,IFERROR(IF((LEN(SUBSTITUTE(SUBSTITUTE($G2822,"-"," ",LEN($G2822)-LEN(SUBSTITUTE($G2822,"-",""))),"-"," ",LEN($G2822)-LEN(SUBSTITUTE($G2822,"-",""))-1))-LEN(SUBSTITUTE(SUBSTITUTE(SUBSTITUTE($G2822,"-"," ",LEN($G2822)-LEN(SUBSTITUTE($G2822,"-",""))),"-"," ",LEN($G2822)-LEN(SUBSTITUTE($G2822,"-",""))-1),".","")))=0,SUBSTITUTE(SUBSTITUTE($G2822,"-"," ",LEN($G2822)-LEN(SUBSTITUTE($G2822,"-",""))),"-"," ",LEN($G2822)-LEN(SUBSTITUTE($G2822,"-",""))-1),SUBSTITUTE(SUBSTITUTE(SUBSTITUTE($G2822,"-"," ",LEN($G2822)-LEN(SUBSTITUTE($G2822,"-",""))),"-"," ",LEN($G2822)-LEN(SUBSTITUTE($G2822,"-",""))-1),"."," ",(LEN(SUBSTITUTE(SUBSTITUTE($G2822,"-"," ",LEN($G2822)-LEN(SUBSTITUTE($G2822,"-",""))),"-"," ",LEN($G2822)-LEN(SUBSTITUTE($G2822,"-",""))-1))-LEN(SUBSTITUTE(SUBSTITUTE(SUBSTITUTE($G2822,"-"," ",LEN($G2822)-LEN(SUBSTITUTE($G2822,"-",""))),"-"," ",LEN($G2822)-LEN(SUBSTITUTE($G2822,"-",""))-1),".",""))))),$G2822)))</f>
        <v/>
      </c>
    </row>
    <row r="2823">
      <c r="A2823" s="58" t="n"/>
      <c r="B2823" s="58">
        <f>IF($H2823="","",LEFT($H2823,FIND(" ",$H2823&amp;" ")-1))</f>
        <v/>
      </c>
      <c r="C2823" s="58">
        <f>IF($H2823="","",IFERROR(MID($H2823&amp;" ",FIND("|",SUBSTITUTE($H2823&amp;" "," ","|",1))+1,FIND("|",SUBSTITUTE($H2823&amp;" "," ","|",2))-FIND("|",SUBSTITUTE($H2823&amp;" "," ","|",1))-1),""))</f>
        <v/>
      </c>
      <c r="D2823" s="58">
        <f>IF($H2823="","",IFERROR(MID($H2823&amp;" ",FIND("|",SUBSTITUTE($H2823&amp;" "," ","|",2))+1,FIND("|",SUBSTITUTE($H2823&amp;" "," ","|",3))-FIND("|",SUBSTITUTE($H2823&amp;" "," ","|",2))-1),""))</f>
        <v/>
      </c>
      <c r="E2823" s="58">
        <f>IF($H2823="","",IFERROR(MID($H2823&amp;" ",FIND("|",SUBSTITUTE($H2823&amp;" "," ","|",3))+1,FIND("|",SUBSTITUTE($H2823&amp;" "," ","|",4))-FIND("|",SUBSTITUTE($H2823&amp;" "," ","|",3))-1),""))</f>
        <v/>
      </c>
      <c r="F2823" s="59">
        <f>IF($H2823="","",IFERROR(VALUE(IFERROR(MID($H2823&amp;" ",FIND("|",SUBSTITUTE($H2823&amp;" "," ","|",4))+1,FIND("|",SUBSTITUTE($H2823&amp;" "," ","|",5))-FIND("|",SUBSTITUTE($H2823&amp;" "," ","|",4))-1),""))/86400+25569+9/24,""))</f>
        <v/>
      </c>
      <c r="G2823" s="58">
        <f>TRIM(SUBSTITUTE(SUBSTITUTE(SUBSTITUTE($A2823,CHAR(9)," ")," "," "),CHAR(13),""))</f>
        <v/>
      </c>
      <c r="H2823" s="58">
        <f>IF($G2823="","",IF(ISNUMBER(FIND(" ",$G2823)),$G2823,IFERROR(IF((LEN(SUBSTITUTE(SUBSTITUTE($G2823,"-"," ",LEN($G2823)-LEN(SUBSTITUTE($G2823,"-",""))),"-"," ",LEN($G2823)-LEN(SUBSTITUTE($G2823,"-",""))-1))-LEN(SUBSTITUTE(SUBSTITUTE(SUBSTITUTE($G2823,"-"," ",LEN($G2823)-LEN(SUBSTITUTE($G2823,"-",""))),"-"," ",LEN($G2823)-LEN(SUBSTITUTE($G2823,"-",""))-1),".","")))=0,SUBSTITUTE(SUBSTITUTE($G2823,"-"," ",LEN($G2823)-LEN(SUBSTITUTE($G2823,"-",""))),"-"," ",LEN($G2823)-LEN(SUBSTITUTE($G2823,"-",""))-1),SUBSTITUTE(SUBSTITUTE(SUBSTITUTE($G2823,"-"," ",LEN($G2823)-LEN(SUBSTITUTE($G2823,"-",""))),"-"," ",LEN($G2823)-LEN(SUBSTITUTE($G2823,"-",""))-1),"."," ",(LEN(SUBSTITUTE(SUBSTITUTE($G2823,"-"," ",LEN($G2823)-LEN(SUBSTITUTE($G2823,"-",""))),"-"," ",LEN($G2823)-LEN(SUBSTITUTE($G2823,"-",""))-1))-LEN(SUBSTITUTE(SUBSTITUTE(SUBSTITUTE($G2823,"-"," ",LEN($G2823)-LEN(SUBSTITUTE($G2823,"-",""))),"-"," ",LEN($G2823)-LEN(SUBSTITUTE($G2823,"-",""))-1),".",""))))),$G2823)))</f>
        <v/>
      </c>
    </row>
    <row r="2824">
      <c r="A2824" s="58" t="n"/>
      <c r="B2824" s="58">
        <f>IF($H2824="","",LEFT($H2824,FIND(" ",$H2824&amp;" ")-1))</f>
        <v/>
      </c>
      <c r="C2824" s="58">
        <f>IF($H2824="","",IFERROR(MID($H2824&amp;" ",FIND("|",SUBSTITUTE($H2824&amp;" "," ","|",1))+1,FIND("|",SUBSTITUTE($H2824&amp;" "," ","|",2))-FIND("|",SUBSTITUTE($H2824&amp;" "," ","|",1))-1),""))</f>
        <v/>
      </c>
      <c r="D2824" s="58">
        <f>IF($H2824="","",IFERROR(MID($H2824&amp;" ",FIND("|",SUBSTITUTE($H2824&amp;" "," ","|",2))+1,FIND("|",SUBSTITUTE($H2824&amp;" "," ","|",3))-FIND("|",SUBSTITUTE($H2824&amp;" "," ","|",2))-1),""))</f>
        <v/>
      </c>
      <c r="E2824" s="58">
        <f>IF($H2824="","",IFERROR(MID($H2824&amp;" ",FIND("|",SUBSTITUTE($H2824&amp;" "," ","|",3))+1,FIND("|",SUBSTITUTE($H2824&amp;" "," ","|",4))-FIND("|",SUBSTITUTE($H2824&amp;" "," ","|",3))-1),""))</f>
        <v/>
      </c>
      <c r="F2824" s="59">
        <f>IF($H2824="","",IFERROR(VALUE(IFERROR(MID($H2824&amp;" ",FIND("|",SUBSTITUTE($H2824&amp;" "," ","|",4))+1,FIND("|",SUBSTITUTE($H2824&amp;" "," ","|",5))-FIND("|",SUBSTITUTE($H2824&amp;" "," ","|",4))-1),""))/86400+25569+9/24,""))</f>
        <v/>
      </c>
      <c r="G2824" s="58">
        <f>TRIM(SUBSTITUTE(SUBSTITUTE(SUBSTITUTE($A2824,CHAR(9)," ")," "," "),CHAR(13),""))</f>
        <v/>
      </c>
      <c r="H2824" s="58">
        <f>IF($G2824="","",IF(ISNUMBER(FIND(" ",$G2824)),$G2824,IFERROR(IF((LEN(SUBSTITUTE(SUBSTITUTE($G2824,"-"," ",LEN($G2824)-LEN(SUBSTITUTE($G2824,"-",""))),"-"," ",LEN($G2824)-LEN(SUBSTITUTE($G2824,"-",""))-1))-LEN(SUBSTITUTE(SUBSTITUTE(SUBSTITUTE($G2824,"-"," ",LEN($G2824)-LEN(SUBSTITUTE($G2824,"-",""))),"-"," ",LEN($G2824)-LEN(SUBSTITUTE($G2824,"-",""))-1),".","")))=0,SUBSTITUTE(SUBSTITUTE($G2824,"-"," ",LEN($G2824)-LEN(SUBSTITUTE($G2824,"-",""))),"-"," ",LEN($G2824)-LEN(SUBSTITUTE($G2824,"-",""))-1),SUBSTITUTE(SUBSTITUTE(SUBSTITUTE($G2824,"-"," ",LEN($G2824)-LEN(SUBSTITUTE($G2824,"-",""))),"-"," ",LEN($G2824)-LEN(SUBSTITUTE($G2824,"-",""))-1),"."," ",(LEN(SUBSTITUTE(SUBSTITUTE($G2824,"-"," ",LEN($G2824)-LEN(SUBSTITUTE($G2824,"-",""))),"-"," ",LEN($G2824)-LEN(SUBSTITUTE($G2824,"-",""))-1))-LEN(SUBSTITUTE(SUBSTITUTE(SUBSTITUTE($G2824,"-"," ",LEN($G2824)-LEN(SUBSTITUTE($G2824,"-",""))),"-"," ",LEN($G2824)-LEN(SUBSTITUTE($G2824,"-",""))-1),".",""))))),$G2824)))</f>
        <v/>
      </c>
    </row>
    <row r="2825">
      <c r="A2825" s="58" t="n"/>
      <c r="B2825" s="58">
        <f>IF($H2825="","",LEFT($H2825,FIND(" ",$H2825&amp;" ")-1))</f>
        <v/>
      </c>
      <c r="C2825" s="58">
        <f>IF($H2825="","",IFERROR(MID($H2825&amp;" ",FIND("|",SUBSTITUTE($H2825&amp;" "," ","|",1))+1,FIND("|",SUBSTITUTE($H2825&amp;" "," ","|",2))-FIND("|",SUBSTITUTE($H2825&amp;" "," ","|",1))-1),""))</f>
        <v/>
      </c>
      <c r="D2825" s="58">
        <f>IF($H2825="","",IFERROR(MID($H2825&amp;" ",FIND("|",SUBSTITUTE($H2825&amp;" "," ","|",2))+1,FIND("|",SUBSTITUTE($H2825&amp;" "," ","|",3))-FIND("|",SUBSTITUTE($H2825&amp;" "," ","|",2))-1),""))</f>
        <v/>
      </c>
      <c r="E2825" s="58">
        <f>IF($H2825="","",IFERROR(MID($H2825&amp;" ",FIND("|",SUBSTITUTE($H2825&amp;" "," ","|",3))+1,FIND("|",SUBSTITUTE($H2825&amp;" "," ","|",4))-FIND("|",SUBSTITUTE($H2825&amp;" "," ","|",3))-1),""))</f>
        <v/>
      </c>
      <c r="F2825" s="59">
        <f>IF($H2825="","",IFERROR(VALUE(IFERROR(MID($H2825&amp;" ",FIND("|",SUBSTITUTE($H2825&amp;" "," ","|",4))+1,FIND("|",SUBSTITUTE($H2825&amp;" "," ","|",5))-FIND("|",SUBSTITUTE($H2825&amp;" "," ","|",4))-1),""))/86400+25569+9/24,""))</f>
        <v/>
      </c>
      <c r="G2825" s="58">
        <f>TRIM(SUBSTITUTE(SUBSTITUTE(SUBSTITUTE($A2825,CHAR(9)," ")," "," "),CHAR(13),""))</f>
        <v/>
      </c>
      <c r="H2825" s="58">
        <f>IF($G2825="","",IF(ISNUMBER(FIND(" ",$G2825)),$G2825,IFERROR(IF((LEN(SUBSTITUTE(SUBSTITUTE($G2825,"-"," ",LEN($G2825)-LEN(SUBSTITUTE($G2825,"-",""))),"-"," ",LEN($G2825)-LEN(SUBSTITUTE($G2825,"-",""))-1))-LEN(SUBSTITUTE(SUBSTITUTE(SUBSTITUTE($G2825,"-"," ",LEN($G2825)-LEN(SUBSTITUTE($G2825,"-",""))),"-"," ",LEN($G2825)-LEN(SUBSTITUTE($G2825,"-",""))-1),".","")))=0,SUBSTITUTE(SUBSTITUTE($G2825,"-"," ",LEN($G2825)-LEN(SUBSTITUTE($G2825,"-",""))),"-"," ",LEN($G2825)-LEN(SUBSTITUTE($G2825,"-",""))-1),SUBSTITUTE(SUBSTITUTE(SUBSTITUTE($G2825,"-"," ",LEN($G2825)-LEN(SUBSTITUTE($G2825,"-",""))),"-"," ",LEN($G2825)-LEN(SUBSTITUTE($G2825,"-",""))-1),"."," ",(LEN(SUBSTITUTE(SUBSTITUTE($G2825,"-"," ",LEN($G2825)-LEN(SUBSTITUTE($G2825,"-",""))),"-"," ",LEN($G2825)-LEN(SUBSTITUTE($G2825,"-",""))-1))-LEN(SUBSTITUTE(SUBSTITUTE(SUBSTITUTE($G2825,"-"," ",LEN($G2825)-LEN(SUBSTITUTE($G2825,"-",""))),"-"," ",LEN($G2825)-LEN(SUBSTITUTE($G2825,"-",""))-1),".",""))))),$G2825)))</f>
        <v/>
      </c>
    </row>
    <row r="2826">
      <c r="A2826" s="58" t="n"/>
      <c r="B2826" s="58">
        <f>IF($H2826="","",LEFT($H2826,FIND(" ",$H2826&amp;" ")-1))</f>
        <v/>
      </c>
      <c r="C2826" s="58">
        <f>IF($H2826="","",IFERROR(MID($H2826&amp;" ",FIND("|",SUBSTITUTE($H2826&amp;" "," ","|",1))+1,FIND("|",SUBSTITUTE($H2826&amp;" "," ","|",2))-FIND("|",SUBSTITUTE($H2826&amp;" "," ","|",1))-1),""))</f>
        <v/>
      </c>
      <c r="D2826" s="58">
        <f>IF($H2826="","",IFERROR(MID($H2826&amp;" ",FIND("|",SUBSTITUTE($H2826&amp;" "," ","|",2))+1,FIND("|",SUBSTITUTE($H2826&amp;" "," ","|",3))-FIND("|",SUBSTITUTE($H2826&amp;" "," ","|",2))-1),""))</f>
        <v/>
      </c>
      <c r="E2826" s="58">
        <f>IF($H2826="","",IFERROR(MID($H2826&amp;" ",FIND("|",SUBSTITUTE($H2826&amp;" "," ","|",3))+1,FIND("|",SUBSTITUTE($H2826&amp;" "," ","|",4))-FIND("|",SUBSTITUTE($H2826&amp;" "," ","|",3))-1),""))</f>
        <v/>
      </c>
      <c r="F2826" s="59">
        <f>IF($H2826="","",IFERROR(VALUE(IFERROR(MID($H2826&amp;" ",FIND("|",SUBSTITUTE($H2826&amp;" "," ","|",4))+1,FIND("|",SUBSTITUTE($H2826&amp;" "," ","|",5))-FIND("|",SUBSTITUTE($H2826&amp;" "," ","|",4))-1),""))/86400+25569+9/24,""))</f>
        <v/>
      </c>
      <c r="G2826" s="58">
        <f>TRIM(SUBSTITUTE(SUBSTITUTE(SUBSTITUTE($A2826,CHAR(9)," ")," "," "),CHAR(13),""))</f>
        <v/>
      </c>
      <c r="H2826" s="58">
        <f>IF($G2826="","",IF(ISNUMBER(FIND(" ",$G2826)),$G2826,IFERROR(IF((LEN(SUBSTITUTE(SUBSTITUTE($G2826,"-"," ",LEN($G2826)-LEN(SUBSTITUTE($G2826,"-",""))),"-"," ",LEN($G2826)-LEN(SUBSTITUTE($G2826,"-",""))-1))-LEN(SUBSTITUTE(SUBSTITUTE(SUBSTITUTE($G2826,"-"," ",LEN($G2826)-LEN(SUBSTITUTE($G2826,"-",""))),"-"," ",LEN($G2826)-LEN(SUBSTITUTE($G2826,"-",""))-1),".","")))=0,SUBSTITUTE(SUBSTITUTE($G2826,"-"," ",LEN($G2826)-LEN(SUBSTITUTE($G2826,"-",""))),"-"," ",LEN($G2826)-LEN(SUBSTITUTE($G2826,"-",""))-1),SUBSTITUTE(SUBSTITUTE(SUBSTITUTE($G2826,"-"," ",LEN($G2826)-LEN(SUBSTITUTE($G2826,"-",""))),"-"," ",LEN($G2826)-LEN(SUBSTITUTE($G2826,"-",""))-1),"."," ",(LEN(SUBSTITUTE(SUBSTITUTE($G2826,"-"," ",LEN($G2826)-LEN(SUBSTITUTE($G2826,"-",""))),"-"," ",LEN($G2826)-LEN(SUBSTITUTE($G2826,"-",""))-1))-LEN(SUBSTITUTE(SUBSTITUTE(SUBSTITUTE($G2826,"-"," ",LEN($G2826)-LEN(SUBSTITUTE($G2826,"-",""))),"-"," ",LEN($G2826)-LEN(SUBSTITUTE($G2826,"-",""))-1),".",""))))),$G2826)))</f>
        <v/>
      </c>
    </row>
    <row r="2827">
      <c r="A2827" s="58" t="n"/>
      <c r="B2827" s="58">
        <f>IF($H2827="","",LEFT($H2827,FIND(" ",$H2827&amp;" ")-1))</f>
        <v/>
      </c>
      <c r="C2827" s="58">
        <f>IF($H2827="","",IFERROR(MID($H2827&amp;" ",FIND("|",SUBSTITUTE($H2827&amp;" "," ","|",1))+1,FIND("|",SUBSTITUTE($H2827&amp;" "," ","|",2))-FIND("|",SUBSTITUTE($H2827&amp;" "," ","|",1))-1),""))</f>
        <v/>
      </c>
      <c r="D2827" s="58">
        <f>IF($H2827="","",IFERROR(MID($H2827&amp;" ",FIND("|",SUBSTITUTE($H2827&amp;" "," ","|",2))+1,FIND("|",SUBSTITUTE($H2827&amp;" "," ","|",3))-FIND("|",SUBSTITUTE($H2827&amp;" "," ","|",2))-1),""))</f>
        <v/>
      </c>
      <c r="E2827" s="58">
        <f>IF($H2827="","",IFERROR(MID($H2827&amp;" ",FIND("|",SUBSTITUTE($H2827&amp;" "," ","|",3))+1,FIND("|",SUBSTITUTE($H2827&amp;" "," ","|",4))-FIND("|",SUBSTITUTE($H2827&amp;" "," ","|",3))-1),""))</f>
        <v/>
      </c>
      <c r="F2827" s="59">
        <f>IF($H2827="","",IFERROR(VALUE(IFERROR(MID($H2827&amp;" ",FIND("|",SUBSTITUTE($H2827&amp;" "," ","|",4))+1,FIND("|",SUBSTITUTE($H2827&amp;" "," ","|",5))-FIND("|",SUBSTITUTE($H2827&amp;" "," ","|",4))-1),""))/86400+25569+9/24,""))</f>
        <v/>
      </c>
      <c r="G2827" s="58">
        <f>TRIM(SUBSTITUTE(SUBSTITUTE(SUBSTITUTE($A2827,CHAR(9)," ")," "," "),CHAR(13),""))</f>
        <v/>
      </c>
      <c r="H2827" s="58">
        <f>IF($G2827="","",IF(ISNUMBER(FIND(" ",$G2827)),$G2827,IFERROR(IF((LEN(SUBSTITUTE(SUBSTITUTE($G2827,"-"," ",LEN($G2827)-LEN(SUBSTITUTE($G2827,"-",""))),"-"," ",LEN($G2827)-LEN(SUBSTITUTE($G2827,"-",""))-1))-LEN(SUBSTITUTE(SUBSTITUTE(SUBSTITUTE($G2827,"-"," ",LEN($G2827)-LEN(SUBSTITUTE($G2827,"-",""))),"-"," ",LEN($G2827)-LEN(SUBSTITUTE($G2827,"-",""))-1),".","")))=0,SUBSTITUTE(SUBSTITUTE($G2827,"-"," ",LEN($G2827)-LEN(SUBSTITUTE($G2827,"-",""))),"-"," ",LEN($G2827)-LEN(SUBSTITUTE($G2827,"-",""))-1),SUBSTITUTE(SUBSTITUTE(SUBSTITUTE($G2827,"-"," ",LEN($G2827)-LEN(SUBSTITUTE($G2827,"-",""))),"-"," ",LEN($G2827)-LEN(SUBSTITUTE($G2827,"-",""))-1),"."," ",(LEN(SUBSTITUTE(SUBSTITUTE($G2827,"-"," ",LEN($G2827)-LEN(SUBSTITUTE($G2827,"-",""))),"-"," ",LEN($G2827)-LEN(SUBSTITUTE($G2827,"-",""))-1))-LEN(SUBSTITUTE(SUBSTITUTE(SUBSTITUTE($G2827,"-"," ",LEN($G2827)-LEN(SUBSTITUTE($G2827,"-",""))),"-"," ",LEN($G2827)-LEN(SUBSTITUTE($G2827,"-",""))-1),".",""))))),$G2827)))</f>
        <v/>
      </c>
    </row>
    <row r="2828">
      <c r="A2828" s="58" t="n"/>
      <c r="B2828" s="58">
        <f>IF($H2828="","",LEFT($H2828,FIND(" ",$H2828&amp;" ")-1))</f>
        <v/>
      </c>
      <c r="C2828" s="58">
        <f>IF($H2828="","",IFERROR(MID($H2828&amp;" ",FIND("|",SUBSTITUTE($H2828&amp;" "," ","|",1))+1,FIND("|",SUBSTITUTE($H2828&amp;" "," ","|",2))-FIND("|",SUBSTITUTE($H2828&amp;" "," ","|",1))-1),""))</f>
        <v/>
      </c>
      <c r="D2828" s="58">
        <f>IF($H2828="","",IFERROR(MID($H2828&amp;" ",FIND("|",SUBSTITUTE($H2828&amp;" "," ","|",2))+1,FIND("|",SUBSTITUTE($H2828&amp;" "," ","|",3))-FIND("|",SUBSTITUTE($H2828&amp;" "," ","|",2))-1),""))</f>
        <v/>
      </c>
      <c r="E2828" s="58">
        <f>IF($H2828="","",IFERROR(MID($H2828&amp;" ",FIND("|",SUBSTITUTE($H2828&amp;" "," ","|",3))+1,FIND("|",SUBSTITUTE($H2828&amp;" "," ","|",4))-FIND("|",SUBSTITUTE($H2828&amp;" "," ","|",3))-1),""))</f>
        <v/>
      </c>
      <c r="F2828" s="59">
        <f>IF($H2828="","",IFERROR(VALUE(IFERROR(MID($H2828&amp;" ",FIND("|",SUBSTITUTE($H2828&amp;" "," ","|",4))+1,FIND("|",SUBSTITUTE($H2828&amp;" "," ","|",5))-FIND("|",SUBSTITUTE($H2828&amp;" "," ","|",4))-1),""))/86400+25569+9/24,""))</f>
        <v/>
      </c>
      <c r="G2828" s="58">
        <f>TRIM(SUBSTITUTE(SUBSTITUTE(SUBSTITUTE($A2828,CHAR(9)," ")," "," "),CHAR(13),""))</f>
        <v/>
      </c>
      <c r="H2828" s="58">
        <f>IF($G2828="","",IF(ISNUMBER(FIND(" ",$G2828)),$G2828,IFERROR(IF((LEN(SUBSTITUTE(SUBSTITUTE($G2828,"-"," ",LEN($G2828)-LEN(SUBSTITUTE($G2828,"-",""))),"-"," ",LEN($G2828)-LEN(SUBSTITUTE($G2828,"-",""))-1))-LEN(SUBSTITUTE(SUBSTITUTE(SUBSTITUTE($G2828,"-"," ",LEN($G2828)-LEN(SUBSTITUTE($G2828,"-",""))),"-"," ",LEN($G2828)-LEN(SUBSTITUTE($G2828,"-",""))-1),".","")))=0,SUBSTITUTE(SUBSTITUTE($G2828,"-"," ",LEN($G2828)-LEN(SUBSTITUTE($G2828,"-",""))),"-"," ",LEN($G2828)-LEN(SUBSTITUTE($G2828,"-",""))-1),SUBSTITUTE(SUBSTITUTE(SUBSTITUTE($G2828,"-"," ",LEN($G2828)-LEN(SUBSTITUTE($G2828,"-",""))),"-"," ",LEN($G2828)-LEN(SUBSTITUTE($G2828,"-",""))-1),"."," ",(LEN(SUBSTITUTE(SUBSTITUTE($G2828,"-"," ",LEN($G2828)-LEN(SUBSTITUTE($G2828,"-",""))),"-"," ",LEN($G2828)-LEN(SUBSTITUTE($G2828,"-",""))-1))-LEN(SUBSTITUTE(SUBSTITUTE(SUBSTITUTE($G2828,"-"," ",LEN($G2828)-LEN(SUBSTITUTE($G2828,"-",""))),"-"," ",LEN($G2828)-LEN(SUBSTITUTE($G2828,"-",""))-1),".",""))))),$G2828)))</f>
        <v/>
      </c>
    </row>
    <row r="2829">
      <c r="A2829" s="58" t="n"/>
      <c r="B2829" s="58">
        <f>IF($H2829="","",LEFT($H2829,FIND(" ",$H2829&amp;" ")-1))</f>
        <v/>
      </c>
      <c r="C2829" s="58">
        <f>IF($H2829="","",IFERROR(MID($H2829&amp;" ",FIND("|",SUBSTITUTE($H2829&amp;" "," ","|",1))+1,FIND("|",SUBSTITUTE($H2829&amp;" "," ","|",2))-FIND("|",SUBSTITUTE($H2829&amp;" "," ","|",1))-1),""))</f>
        <v/>
      </c>
      <c r="D2829" s="58">
        <f>IF($H2829="","",IFERROR(MID($H2829&amp;" ",FIND("|",SUBSTITUTE($H2829&amp;" "," ","|",2))+1,FIND("|",SUBSTITUTE($H2829&amp;" "," ","|",3))-FIND("|",SUBSTITUTE($H2829&amp;" "," ","|",2))-1),""))</f>
        <v/>
      </c>
      <c r="E2829" s="58">
        <f>IF($H2829="","",IFERROR(MID($H2829&amp;" ",FIND("|",SUBSTITUTE($H2829&amp;" "," ","|",3))+1,FIND("|",SUBSTITUTE($H2829&amp;" "," ","|",4))-FIND("|",SUBSTITUTE($H2829&amp;" "," ","|",3))-1),""))</f>
        <v/>
      </c>
      <c r="F2829" s="59">
        <f>IF($H2829="","",IFERROR(VALUE(IFERROR(MID($H2829&amp;" ",FIND("|",SUBSTITUTE($H2829&amp;" "," ","|",4))+1,FIND("|",SUBSTITUTE($H2829&amp;" "," ","|",5))-FIND("|",SUBSTITUTE($H2829&amp;" "," ","|",4))-1),""))/86400+25569+9/24,""))</f>
        <v/>
      </c>
      <c r="G2829" s="58">
        <f>TRIM(SUBSTITUTE(SUBSTITUTE(SUBSTITUTE($A2829,CHAR(9)," ")," "," "),CHAR(13),""))</f>
        <v/>
      </c>
      <c r="H2829" s="58">
        <f>IF($G2829="","",IF(ISNUMBER(FIND(" ",$G2829)),$G2829,IFERROR(IF((LEN(SUBSTITUTE(SUBSTITUTE($G2829,"-"," ",LEN($G2829)-LEN(SUBSTITUTE($G2829,"-",""))),"-"," ",LEN($G2829)-LEN(SUBSTITUTE($G2829,"-",""))-1))-LEN(SUBSTITUTE(SUBSTITUTE(SUBSTITUTE($G2829,"-"," ",LEN($G2829)-LEN(SUBSTITUTE($G2829,"-",""))),"-"," ",LEN($G2829)-LEN(SUBSTITUTE($G2829,"-",""))-1),".","")))=0,SUBSTITUTE(SUBSTITUTE($G2829,"-"," ",LEN($G2829)-LEN(SUBSTITUTE($G2829,"-",""))),"-"," ",LEN($G2829)-LEN(SUBSTITUTE($G2829,"-",""))-1),SUBSTITUTE(SUBSTITUTE(SUBSTITUTE($G2829,"-"," ",LEN($G2829)-LEN(SUBSTITUTE($G2829,"-",""))),"-"," ",LEN($G2829)-LEN(SUBSTITUTE($G2829,"-",""))-1),"."," ",(LEN(SUBSTITUTE(SUBSTITUTE($G2829,"-"," ",LEN($G2829)-LEN(SUBSTITUTE($G2829,"-",""))),"-"," ",LEN($G2829)-LEN(SUBSTITUTE($G2829,"-",""))-1))-LEN(SUBSTITUTE(SUBSTITUTE(SUBSTITUTE($G2829,"-"," ",LEN($G2829)-LEN(SUBSTITUTE($G2829,"-",""))),"-"," ",LEN($G2829)-LEN(SUBSTITUTE($G2829,"-",""))-1),".",""))))),$G2829)))</f>
        <v/>
      </c>
    </row>
    <row r="2830">
      <c r="A2830" s="58" t="n"/>
      <c r="B2830" s="58">
        <f>IF($H2830="","",LEFT($H2830,FIND(" ",$H2830&amp;" ")-1))</f>
        <v/>
      </c>
      <c r="C2830" s="58">
        <f>IF($H2830="","",IFERROR(MID($H2830&amp;" ",FIND("|",SUBSTITUTE($H2830&amp;" "," ","|",1))+1,FIND("|",SUBSTITUTE($H2830&amp;" "," ","|",2))-FIND("|",SUBSTITUTE($H2830&amp;" "," ","|",1))-1),""))</f>
        <v/>
      </c>
      <c r="D2830" s="58">
        <f>IF($H2830="","",IFERROR(MID($H2830&amp;" ",FIND("|",SUBSTITUTE($H2830&amp;" "," ","|",2))+1,FIND("|",SUBSTITUTE($H2830&amp;" "," ","|",3))-FIND("|",SUBSTITUTE($H2830&amp;" "," ","|",2))-1),""))</f>
        <v/>
      </c>
      <c r="E2830" s="58">
        <f>IF($H2830="","",IFERROR(MID($H2830&amp;" ",FIND("|",SUBSTITUTE($H2830&amp;" "," ","|",3))+1,FIND("|",SUBSTITUTE($H2830&amp;" "," ","|",4))-FIND("|",SUBSTITUTE($H2830&amp;" "," ","|",3))-1),""))</f>
        <v/>
      </c>
      <c r="F2830" s="59">
        <f>IF($H2830="","",IFERROR(VALUE(IFERROR(MID($H2830&amp;" ",FIND("|",SUBSTITUTE($H2830&amp;" "," ","|",4))+1,FIND("|",SUBSTITUTE($H2830&amp;" "," ","|",5))-FIND("|",SUBSTITUTE($H2830&amp;" "," ","|",4))-1),""))/86400+25569+9/24,""))</f>
        <v/>
      </c>
      <c r="G2830" s="58">
        <f>TRIM(SUBSTITUTE(SUBSTITUTE(SUBSTITUTE($A2830,CHAR(9)," ")," "," "),CHAR(13),""))</f>
        <v/>
      </c>
      <c r="H2830" s="58">
        <f>IF($G2830="","",IF(ISNUMBER(FIND(" ",$G2830)),$G2830,IFERROR(IF((LEN(SUBSTITUTE(SUBSTITUTE($G2830,"-"," ",LEN($G2830)-LEN(SUBSTITUTE($G2830,"-",""))),"-"," ",LEN($G2830)-LEN(SUBSTITUTE($G2830,"-",""))-1))-LEN(SUBSTITUTE(SUBSTITUTE(SUBSTITUTE($G2830,"-"," ",LEN($G2830)-LEN(SUBSTITUTE($G2830,"-",""))),"-"," ",LEN($G2830)-LEN(SUBSTITUTE($G2830,"-",""))-1),".","")))=0,SUBSTITUTE(SUBSTITUTE($G2830,"-"," ",LEN($G2830)-LEN(SUBSTITUTE($G2830,"-",""))),"-"," ",LEN($G2830)-LEN(SUBSTITUTE($G2830,"-",""))-1),SUBSTITUTE(SUBSTITUTE(SUBSTITUTE($G2830,"-"," ",LEN($G2830)-LEN(SUBSTITUTE($G2830,"-",""))),"-"," ",LEN($G2830)-LEN(SUBSTITUTE($G2830,"-",""))-1),"."," ",(LEN(SUBSTITUTE(SUBSTITUTE($G2830,"-"," ",LEN($G2830)-LEN(SUBSTITUTE($G2830,"-",""))),"-"," ",LEN($G2830)-LEN(SUBSTITUTE($G2830,"-",""))-1))-LEN(SUBSTITUTE(SUBSTITUTE(SUBSTITUTE($G2830,"-"," ",LEN($G2830)-LEN(SUBSTITUTE($G2830,"-",""))),"-"," ",LEN($G2830)-LEN(SUBSTITUTE($G2830,"-",""))-1),".",""))))),$G2830)))</f>
        <v/>
      </c>
    </row>
    <row r="2831">
      <c r="A2831" s="58" t="n"/>
      <c r="B2831" s="58">
        <f>IF($H2831="","",LEFT($H2831,FIND(" ",$H2831&amp;" ")-1))</f>
        <v/>
      </c>
      <c r="C2831" s="58">
        <f>IF($H2831="","",IFERROR(MID($H2831&amp;" ",FIND("|",SUBSTITUTE($H2831&amp;" "," ","|",1))+1,FIND("|",SUBSTITUTE($H2831&amp;" "," ","|",2))-FIND("|",SUBSTITUTE($H2831&amp;" "," ","|",1))-1),""))</f>
        <v/>
      </c>
      <c r="D2831" s="58">
        <f>IF($H2831="","",IFERROR(MID($H2831&amp;" ",FIND("|",SUBSTITUTE($H2831&amp;" "," ","|",2))+1,FIND("|",SUBSTITUTE($H2831&amp;" "," ","|",3))-FIND("|",SUBSTITUTE($H2831&amp;" "," ","|",2))-1),""))</f>
        <v/>
      </c>
      <c r="E2831" s="58">
        <f>IF($H2831="","",IFERROR(MID($H2831&amp;" ",FIND("|",SUBSTITUTE($H2831&amp;" "," ","|",3))+1,FIND("|",SUBSTITUTE($H2831&amp;" "," ","|",4))-FIND("|",SUBSTITUTE($H2831&amp;" "," ","|",3))-1),""))</f>
        <v/>
      </c>
      <c r="F2831" s="59">
        <f>IF($H2831="","",IFERROR(VALUE(IFERROR(MID($H2831&amp;" ",FIND("|",SUBSTITUTE($H2831&amp;" "," ","|",4))+1,FIND("|",SUBSTITUTE($H2831&amp;" "," ","|",5))-FIND("|",SUBSTITUTE($H2831&amp;" "," ","|",4))-1),""))/86400+25569+9/24,""))</f>
        <v/>
      </c>
      <c r="G2831" s="58">
        <f>TRIM(SUBSTITUTE(SUBSTITUTE(SUBSTITUTE($A2831,CHAR(9)," ")," "," "),CHAR(13),""))</f>
        <v/>
      </c>
      <c r="H2831" s="58">
        <f>IF($G2831="","",IF(ISNUMBER(FIND(" ",$G2831)),$G2831,IFERROR(IF((LEN(SUBSTITUTE(SUBSTITUTE($G2831,"-"," ",LEN($G2831)-LEN(SUBSTITUTE($G2831,"-",""))),"-"," ",LEN($G2831)-LEN(SUBSTITUTE($G2831,"-",""))-1))-LEN(SUBSTITUTE(SUBSTITUTE(SUBSTITUTE($G2831,"-"," ",LEN($G2831)-LEN(SUBSTITUTE($G2831,"-",""))),"-"," ",LEN($G2831)-LEN(SUBSTITUTE($G2831,"-",""))-1),".","")))=0,SUBSTITUTE(SUBSTITUTE($G2831,"-"," ",LEN($G2831)-LEN(SUBSTITUTE($G2831,"-",""))),"-"," ",LEN($G2831)-LEN(SUBSTITUTE($G2831,"-",""))-1),SUBSTITUTE(SUBSTITUTE(SUBSTITUTE($G2831,"-"," ",LEN($G2831)-LEN(SUBSTITUTE($G2831,"-",""))),"-"," ",LEN($G2831)-LEN(SUBSTITUTE($G2831,"-",""))-1),"."," ",(LEN(SUBSTITUTE(SUBSTITUTE($G2831,"-"," ",LEN($G2831)-LEN(SUBSTITUTE($G2831,"-",""))),"-"," ",LEN($G2831)-LEN(SUBSTITUTE($G2831,"-",""))-1))-LEN(SUBSTITUTE(SUBSTITUTE(SUBSTITUTE($G2831,"-"," ",LEN($G2831)-LEN(SUBSTITUTE($G2831,"-",""))),"-"," ",LEN($G2831)-LEN(SUBSTITUTE($G2831,"-",""))-1),".",""))))),$G2831)))</f>
        <v/>
      </c>
    </row>
    <row r="2832">
      <c r="A2832" s="58" t="n"/>
      <c r="B2832" s="58">
        <f>IF($H2832="","",LEFT($H2832,FIND(" ",$H2832&amp;" ")-1))</f>
        <v/>
      </c>
      <c r="C2832" s="58">
        <f>IF($H2832="","",IFERROR(MID($H2832&amp;" ",FIND("|",SUBSTITUTE($H2832&amp;" "," ","|",1))+1,FIND("|",SUBSTITUTE($H2832&amp;" "," ","|",2))-FIND("|",SUBSTITUTE($H2832&amp;" "," ","|",1))-1),""))</f>
        <v/>
      </c>
      <c r="D2832" s="58">
        <f>IF($H2832="","",IFERROR(MID($H2832&amp;" ",FIND("|",SUBSTITUTE($H2832&amp;" "," ","|",2))+1,FIND("|",SUBSTITUTE($H2832&amp;" "," ","|",3))-FIND("|",SUBSTITUTE($H2832&amp;" "," ","|",2))-1),""))</f>
        <v/>
      </c>
      <c r="E2832" s="58">
        <f>IF($H2832="","",IFERROR(MID($H2832&amp;" ",FIND("|",SUBSTITUTE($H2832&amp;" "," ","|",3))+1,FIND("|",SUBSTITUTE($H2832&amp;" "," ","|",4))-FIND("|",SUBSTITUTE($H2832&amp;" "," ","|",3))-1),""))</f>
        <v/>
      </c>
      <c r="F2832" s="59">
        <f>IF($H2832="","",IFERROR(VALUE(IFERROR(MID($H2832&amp;" ",FIND("|",SUBSTITUTE($H2832&amp;" "," ","|",4))+1,FIND("|",SUBSTITUTE($H2832&amp;" "," ","|",5))-FIND("|",SUBSTITUTE($H2832&amp;" "," ","|",4))-1),""))/86400+25569+9/24,""))</f>
        <v/>
      </c>
      <c r="G2832" s="58">
        <f>TRIM(SUBSTITUTE(SUBSTITUTE(SUBSTITUTE($A2832,CHAR(9)," ")," "," "),CHAR(13),""))</f>
        <v/>
      </c>
      <c r="H2832" s="58">
        <f>IF($G2832="","",IF(ISNUMBER(FIND(" ",$G2832)),$G2832,IFERROR(IF((LEN(SUBSTITUTE(SUBSTITUTE($G2832,"-"," ",LEN($G2832)-LEN(SUBSTITUTE($G2832,"-",""))),"-"," ",LEN($G2832)-LEN(SUBSTITUTE($G2832,"-",""))-1))-LEN(SUBSTITUTE(SUBSTITUTE(SUBSTITUTE($G2832,"-"," ",LEN($G2832)-LEN(SUBSTITUTE($G2832,"-",""))),"-"," ",LEN($G2832)-LEN(SUBSTITUTE($G2832,"-",""))-1),".","")))=0,SUBSTITUTE(SUBSTITUTE($G2832,"-"," ",LEN($G2832)-LEN(SUBSTITUTE($G2832,"-",""))),"-"," ",LEN($G2832)-LEN(SUBSTITUTE($G2832,"-",""))-1),SUBSTITUTE(SUBSTITUTE(SUBSTITUTE($G2832,"-"," ",LEN($G2832)-LEN(SUBSTITUTE($G2832,"-",""))),"-"," ",LEN($G2832)-LEN(SUBSTITUTE($G2832,"-",""))-1),"."," ",(LEN(SUBSTITUTE(SUBSTITUTE($G2832,"-"," ",LEN($G2832)-LEN(SUBSTITUTE($G2832,"-",""))),"-"," ",LEN($G2832)-LEN(SUBSTITUTE($G2832,"-",""))-1))-LEN(SUBSTITUTE(SUBSTITUTE(SUBSTITUTE($G2832,"-"," ",LEN($G2832)-LEN(SUBSTITUTE($G2832,"-",""))),"-"," ",LEN($G2832)-LEN(SUBSTITUTE($G2832,"-",""))-1),".",""))))),$G2832)))</f>
        <v/>
      </c>
    </row>
    <row r="2833">
      <c r="A2833" s="58" t="n"/>
      <c r="B2833" s="58">
        <f>IF($H2833="","",LEFT($H2833,FIND(" ",$H2833&amp;" ")-1))</f>
        <v/>
      </c>
      <c r="C2833" s="58">
        <f>IF($H2833="","",IFERROR(MID($H2833&amp;" ",FIND("|",SUBSTITUTE($H2833&amp;" "," ","|",1))+1,FIND("|",SUBSTITUTE($H2833&amp;" "," ","|",2))-FIND("|",SUBSTITUTE($H2833&amp;" "," ","|",1))-1),""))</f>
        <v/>
      </c>
      <c r="D2833" s="58">
        <f>IF($H2833="","",IFERROR(MID($H2833&amp;" ",FIND("|",SUBSTITUTE($H2833&amp;" "," ","|",2))+1,FIND("|",SUBSTITUTE($H2833&amp;" "," ","|",3))-FIND("|",SUBSTITUTE($H2833&amp;" "," ","|",2))-1),""))</f>
        <v/>
      </c>
      <c r="E2833" s="58">
        <f>IF($H2833="","",IFERROR(MID($H2833&amp;" ",FIND("|",SUBSTITUTE($H2833&amp;" "," ","|",3))+1,FIND("|",SUBSTITUTE($H2833&amp;" "," ","|",4))-FIND("|",SUBSTITUTE($H2833&amp;" "," ","|",3))-1),""))</f>
        <v/>
      </c>
      <c r="F2833" s="59">
        <f>IF($H2833="","",IFERROR(VALUE(IFERROR(MID($H2833&amp;" ",FIND("|",SUBSTITUTE($H2833&amp;" "," ","|",4))+1,FIND("|",SUBSTITUTE($H2833&amp;" "," ","|",5))-FIND("|",SUBSTITUTE($H2833&amp;" "," ","|",4))-1),""))/86400+25569+9/24,""))</f>
        <v/>
      </c>
      <c r="G2833" s="58">
        <f>TRIM(SUBSTITUTE(SUBSTITUTE(SUBSTITUTE($A2833,CHAR(9)," ")," "," "),CHAR(13),""))</f>
        <v/>
      </c>
      <c r="H2833" s="58">
        <f>IF($G2833="","",IF(ISNUMBER(FIND(" ",$G2833)),$G2833,IFERROR(IF((LEN(SUBSTITUTE(SUBSTITUTE($G2833,"-"," ",LEN($G2833)-LEN(SUBSTITUTE($G2833,"-",""))),"-"," ",LEN($G2833)-LEN(SUBSTITUTE($G2833,"-",""))-1))-LEN(SUBSTITUTE(SUBSTITUTE(SUBSTITUTE($G2833,"-"," ",LEN($G2833)-LEN(SUBSTITUTE($G2833,"-",""))),"-"," ",LEN($G2833)-LEN(SUBSTITUTE($G2833,"-",""))-1),".","")))=0,SUBSTITUTE(SUBSTITUTE($G2833,"-"," ",LEN($G2833)-LEN(SUBSTITUTE($G2833,"-",""))),"-"," ",LEN($G2833)-LEN(SUBSTITUTE($G2833,"-",""))-1),SUBSTITUTE(SUBSTITUTE(SUBSTITUTE($G2833,"-"," ",LEN($G2833)-LEN(SUBSTITUTE($G2833,"-",""))),"-"," ",LEN($G2833)-LEN(SUBSTITUTE($G2833,"-",""))-1),"."," ",(LEN(SUBSTITUTE(SUBSTITUTE($G2833,"-"," ",LEN($G2833)-LEN(SUBSTITUTE($G2833,"-",""))),"-"," ",LEN($G2833)-LEN(SUBSTITUTE($G2833,"-",""))-1))-LEN(SUBSTITUTE(SUBSTITUTE(SUBSTITUTE($G2833,"-"," ",LEN($G2833)-LEN(SUBSTITUTE($G2833,"-",""))),"-"," ",LEN($G2833)-LEN(SUBSTITUTE($G2833,"-",""))-1),".",""))))),$G2833)))</f>
        <v/>
      </c>
    </row>
    <row r="2834">
      <c r="A2834" s="58" t="n"/>
      <c r="B2834" s="58">
        <f>IF($H2834="","",LEFT($H2834,FIND(" ",$H2834&amp;" ")-1))</f>
        <v/>
      </c>
      <c r="C2834" s="58">
        <f>IF($H2834="","",IFERROR(MID($H2834&amp;" ",FIND("|",SUBSTITUTE($H2834&amp;" "," ","|",1))+1,FIND("|",SUBSTITUTE($H2834&amp;" "," ","|",2))-FIND("|",SUBSTITUTE($H2834&amp;" "," ","|",1))-1),""))</f>
        <v/>
      </c>
      <c r="D2834" s="58">
        <f>IF($H2834="","",IFERROR(MID($H2834&amp;" ",FIND("|",SUBSTITUTE($H2834&amp;" "," ","|",2))+1,FIND("|",SUBSTITUTE($H2834&amp;" "," ","|",3))-FIND("|",SUBSTITUTE($H2834&amp;" "," ","|",2))-1),""))</f>
        <v/>
      </c>
      <c r="E2834" s="58">
        <f>IF($H2834="","",IFERROR(MID($H2834&amp;" ",FIND("|",SUBSTITUTE($H2834&amp;" "," ","|",3))+1,FIND("|",SUBSTITUTE($H2834&amp;" "," ","|",4))-FIND("|",SUBSTITUTE($H2834&amp;" "," ","|",3))-1),""))</f>
        <v/>
      </c>
      <c r="F2834" s="59">
        <f>IF($H2834="","",IFERROR(VALUE(IFERROR(MID($H2834&amp;" ",FIND("|",SUBSTITUTE($H2834&amp;" "," ","|",4))+1,FIND("|",SUBSTITUTE($H2834&amp;" "," ","|",5))-FIND("|",SUBSTITUTE($H2834&amp;" "," ","|",4))-1),""))/86400+25569+9/24,""))</f>
        <v/>
      </c>
      <c r="G2834" s="58">
        <f>TRIM(SUBSTITUTE(SUBSTITUTE(SUBSTITUTE($A2834,CHAR(9)," ")," "," "),CHAR(13),""))</f>
        <v/>
      </c>
      <c r="H2834" s="58">
        <f>IF($G2834="","",IF(ISNUMBER(FIND(" ",$G2834)),$G2834,IFERROR(IF((LEN(SUBSTITUTE(SUBSTITUTE($G2834,"-"," ",LEN($G2834)-LEN(SUBSTITUTE($G2834,"-",""))),"-"," ",LEN($G2834)-LEN(SUBSTITUTE($G2834,"-",""))-1))-LEN(SUBSTITUTE(SUBSTITUTE(SUBSTITUTE($G2834,"-"," ",LEN($G2834)-LEN(SUBSTITUTE($G2834,"-",""))),"-"," ",LEN($G2834)-LEN(SUBSTITUTE($G2834,"-",""))-1),".","")))=0,SUBSTITUTE(SUBSTITUTE($G2834,"-"," ",LEN($G2834)-LEN(SUBSTITUTE($G2834,"-",""))),"-"," ",LEN($G2834)-LEN(SUBSTITUTE($G2834,"-",""))-1),SUBSTITUTE(SUBSTITUTE(SUBSTITUTE($G2834,"-"," ",LEN($G2834)-LEN(SUBSTITUTE($G2834,"-",""))),"-"," ",LEN($G2834)-LEN(SUBSTITUTE($G2834,"-",""))-1),"."," ",(LEN(SUBSTITUTE(SUBSTITUTE($G2834,"-"," ",LEN($G2834)-LEN(SUBSTITUTE($G2834,"-",""))),"-"," ",LEN($G2834)-LEN(SUBSTITUTE($G2834,"-",""))-1))-LEN(SUBSTITUTE(SUBSTITUTE(SUBSTITUTE($G2834,"-"," ",LEN($G2834)-LEN(SUBSTITUTE($G2834,"-",""))),"-"," ",LEN($G2834)-LEN(SUBSTITUTE($G2834,"-",""))-1),".",""))))),$G2834)))</f>
        <v/>
      </c>
    </row>
    <row r="2835">
      <c r="A2835" s="58" t="n"/>
      <c r="B2835" s="58">
        <f>IF($H2835="","",LEFT($H2835,FIND(" ",$H2835&amp;" ")-1))</f>
        <v/>
      </c>
      <c r="C2835" s="58">
        <f>IF($H2835="","",IFERROR(MID($H2835&amp;" ",FIND("|",SUBSTITUTE($H2835&amp;" "," ","|",1))+1,FIND("|",SUBSTITUTE($H2835&amp;" "," ","|",2))-FIND("|",SUBSTITUTE($H2835&amp;" "," ","|",1))-1),""))</f>
        <v/>
      </c>
      <c r="D2835" s="58">
        <f>IF($H2835="","",IFERROR(MID($H2835&amp;" ",FIND("|",SUBSTITUTE($H2835&amp;" "," ","|",2))+1,FIND("|",SUBSTITUTE($H2835&amp;" "," ","|",3))-FIND("|",SUBSTITUTE($H2835&amp;" "," ","|",2))-1),""))</f>
        <v/>
      </c>
      <c r="E2835" s="58">
        <f>IF($H2835="","",IFERROR(MID($H2835&amp;" ",FIND("|",SUBSTITUTE($H2835&amp;" "," ","|",3))+1,FIND("|",SUBSTITUTE($H2835&amp;" "," ","|",4))-FIND("|",SUBSTITUTE($H2835&amp;" "," ","|",3))-1),""))</f>
        <v/>
      </c>
      <c r="F2835" s="59">
        <f>IF($H2835="","",IFERROR(VALUE(IFERROR(MID($H2835&amp;" ",FIND("|",SUBSTITUTE($H2835&amp;" "," ","|",4))+1,FIND("|",SUBSTITUTE($H2835&amp;" "," ","|",5))-FIND("|",SUBSTITUTE($H2835&amp;" "," ","|",4))-1),""))/86400+25569+9/24,""))</f>
        <v/>
      </c>
      <c r="G2835" s="58">
        <f>TRIM(SUBSTITUTE(SUBSTITUTE(SUBSTITUTE($A2835,CHAR(9)," ")," "," "),CHAR(13),""))</f>
        <v/>
      </c>
      <c r="H2835" s="58">
        <f>IF($G2835="","",IF(ISNUMBER(FIND(" ",$G2835)),$G2835,IFERROR(IF((LEN(SUBSTITUTE(SUBSTITUTE($G2835,"-"," ",LEN($G2835)-LEN(SUBSTITUTE($G2835,"-",""))),"-"," ",LEN($G2835)-LEN(SUBSTITUTE($G2835,"-",""))-1))-LEN(SUBSTITUTE(SUBSTITUTE(SUBSTITUTE($G2835,"-"," ",LEN($G2835)-LEN(SUBSTITUTE($G2835,"-",""))),"-"," ",LEN($G2835)-LEN(SUBSTITUTE($G2835,"-",""))-1),".","")))=0,SUBSTITUTE(SUBSTITUTE($G2835,"-"," ",LEN($G2835)-LEN(SUBSTITUTE($G2835,"-",""))),"-"," ",LEN($G2835)-LEN(SUBSTITUTE($G2835,"-",""))-1),SUBSTITUTE(SUBSTITUTE(SUBSTITUTE($G2835,"-"," ",LEN($G2835)-LEN(SUBSTITUTE($G2835,"-",""))),"-"," ",LEN($G2835)-LEN(SUBSTITUTE($G2835,"-",""))-1),"."," ",(LEN(SUBSTITUTE(SUBSTITUTE($G2835,"-"," ",LEN($G2835)-LEN(SUBSTITUTE($G2835,"-",""))),"-"," ",LEN($G2835)-LEN(SUBSTITUTE($G2835,"-",""))-1))-LEN(SUBSTITUTE(SUBSTITUTE(SUBSTITUTE($G2835,"-"," ",LEN($G2835)-LEN(SUBSTITUTE($G2835,"-",""))),"-"," ",LEN($G2835)-LEN(SUBSTITUTE($G2835,"-",""))-1),".",""))))),$G2835)))</f>
        <v/>
      </c>
    </row>
    <row r="2836">
      <c r="A2836" s="58" t="n"/>
      <c r="B2836" s="58">
        <f>IF($H2836="","",LEFT($H2836,FIND(" ",$H2836&amp;" ")-1))</f>
        <v/>
      </c>
      <c r="C2836" s="58">
        <f>IF($H2836="","",IFERROR(MID($H2836&amp;" ",FIND("|",SUBSTITUTE($H2836&amp;" "," ","|",1))+1,FIND("|",SUBSTITUTE($H2836&amp;" "," ","|",2))-FIND("|",SUBSTITUTE($H2836&amp;" "," ","|",1))-1),""))</f>
        <v/>
      </c>
      <c r="D2836" s="58">
        <f>IF($H2836="","",IFERROR(MID($H2836&amp;" ",FIND("|",SUBSTITUTE($H2836&amp;" "," ","|",2))+1,FIND("|",SUBSTITUTE($H2836&amp;" "," ","|",3))-FIND("|",SUBSTITUTE($H2836&amp;" "," ","|",2))-1),""))</f>
        <v/>
      </c>
      <c r="E2836" s="58">
        <f>IF($H2836="","",IFERROR(MID($H2836&amp;" ",FIND("|",SUBSTITUTE($H2836&amp;" "," ","|",3))+1,FIND("|",SUBSTITUTE($H2836&amp;" "," ","|",4))-FIND("|",SUBSTITUTE($H2836&amp;" "," ","|",3))-1),""))</f>
        <v/>
      </c>
      <c r="F2836" s="59">
        <f>IF($H2836="","",IFERROR(VALUE(IFERROR(MID($H2836&amp;" ",FIND("|",SUBSTITUTE($H2836&amp;" "," ","|",4))+1,FIND("|",SUBSTITUTE($H2836&amp;" "," ","|",5))-FIND("|",SUBSTITUTE($H2836&amp;" "," ","|",4))-1),""))/86400+25569+9/24,""))</f>
        <v/>
      </c>
      <c r="G2836" s="58">
        <f>TRIM(SUBSTITUTE(SUBSTITUTE(SUBSTITUTE($A2836,CHAR(9)," ")," "," "),CHAR(13),""))</f>
        <v/>
      </c>
      <c r="H2836" s="58">
        <f>IF($G2836="","",IF(ISNUMBER(FIND(" ",$G2836)),$G2836,IFERROR(IF((LEN(SUBSTITUTE(SUBSTITUTE($G2836,"-"," ",LEN($G2836)-LEN(SUBSTITUTE($G2836,"-",""))),"-"," ",LEN($G2836)-LEN(SUBSTITUTE($G2836,"-",""))-1))-LEN(SUBSTITUTE(SUBSTITUTE(SUBSTITUTE($G2836,"-"," ",LEN($G2836)-LEN(SUBSTITUTE($G2836,"-",""))),"-"," ",LEN($G2836)-LEN(SUBSTITUTE($G2836,"-",""))-1),".","")))=0,SUBSTITUTE(SUBSTITUTE($G2836,"-"," ",LEN($G2836)-LEN(SUBSTITUTE($G2836,"-",""))),"-"," ",LEN($G2836)-LEN(SUBSTITUTE($G2836,"-",""))-1),SUBSTITUTE(SUBSTITUTE(SUBSTITUTE($G2836,"-"," ",LEN($G2836)-LEN(SUBSTITUTE($G2836,"-",""))),"-"," ",LEN($G2836)-LEN(SUBSTITUTE($G2836,"-",""))-1),"."," ",(LEN(SUBSTITUTE(SUBSTITUTE($G2836,"-"," ",LEN($G2836)-LEN(SUBSTITUTE($G2836,"-",""))),"-"," ",LEN($G2836)-LEN(SUBSTITUTE($G2836,"-",""))-1))-LEN(SUBSTITUTE(SUBSTITUTE(SUBSTITUTE($G2836,"-"," ",LEN($G2836)-LEN(SUBSTITUTE($G2836,"-",""))),"-"," ",LEN($G2836)-LEN(SUBSTITUTE($G2836,"-",""))-1),".",""))))),$G2836)))</f>
        <v/>
      </c>
    </row>
    <row r="2837">
      <c r="A2837" s="58" t="n"/>
      <c r="B2837" s="58">
        <f>IF($H2837="","",LEFT($H2837,FIND(" ",$H2837&amp;" ")-1))</f>
        <v/>
      </c>
      <c r="C2837" s="58">
        <f>IF($H2837="","",IFERROR(MID($H2837&amp;" ",FIND("|",SUBSTITUTE($H2837&amp;" "," ","|",1))+1,FIND("|",SUBSTITUTE($H2837&amp;" "," ","|",2))-FIND("|",SUBSTITUTE($H2837&amp;" "," ","|",1))-1),""))</f>
        <v/>
      </c>
      <c r="D2837" s="58">
        <f>IF($H2837="","",IFERROR(MID($H2837&amp;" ",FIND("|",SUBSTITUTE($H2837&amp;" "," ","|",2))+1,FIND("|",SUBSTITUTE($H2837&amp;" "," ","|",3))-FIND("|",SUBSTITUTE($H2837&amp;" "," ","|",2))-1),""))</f>
        <v/>
      </c>
      <c r="E2837" s="58">
        <f>IF($H2837="","",IFERROR(MID($H2837&amp;" ",FIND("|",SUBSTITUTE($H2837&amp;" "," ","|",3))+1,FIND("|",SUBSTITUTE($H2837&amp;" "," ","|",4))-FIND("|",SUBSTITUTE($H2837&amp;" "," ","|",3))-1),""))</f>
        <v/>
      </c>
      <c r="F2837" s="59">
        <f>IF($H2837="","",IFERROR(VALUE(IFERROR(MID($H2837&amp;" ",FIND("|",SUBSTITUTE($H2837&amp;" "," ","|",4))+1,FIND("|",SUBSTITUTE($H2837&amp;" "," ","|",5))-FIND("|",SUBSTITUTE($H2837&amp;" "," ","|",4))-1),""))/86400+25569+9/24,""))</f>
        <v/>
      </c>
      <c r="G2837" s="58">
        <f>TRIM(SUBSTITUTE(SUBSTITUTE(SUBSTITUTE($A2837,CHAR(9)," ")," "," "),CHAR(13),""))</f>
        <v/>
      </c>
      <c r="H2837" s="58">
        <f>IF($G2837="","",IF(ISNUMBER(FIND(" ",$G2837)),$G2837,IFERROR(IF((LEN(SUBSTITUTE(SUBSTITUTE($G2837,"-"," ",LEN($G2837)-LEN(SUBSTITUTE($G2837,"-",""))),"-"," ",LEN($G2837)-LEN(SUBSTITUTE($G2837,"-",""))-1))-LEN(SUBSTITUTE(SUBSTITUTE(SUBSTITUTE($G2837,"-"," ",LEN($G2837)-LEN(SUBSTITUTE($G2837,"-",""))),"-"," ",LEN($G2837)-LEN(SUBSTITUTE($G2837,"-",""))-1),".","")))=0,SUBSTITUTE(SUBSTITUTE($G2837,"-"," ",LEN($G2837)-LEN(SUBSTITUTE($G2837,"-",""))),"-"," ",LEN($G2837)-LEN(SUBSTITUTE($G2837,"-",""))-1),SUBSTITUTE(SUBSTITUTE(SUBSTITUTE($G2837,"-"," ",LEN($G2837)-LEN(SUBSTITUTE($G2837,"-",""))),"-"," ",LEN($G2837)-LEN(SUBSTITUTE($G2837,"-",""))-1),"."," ",(LEN(SUBSTITUTE(SUBSTITUTE($G2837,"-"," ",LEN($G2837)-LEN(SUBSTITUTE($G2837,"-",""))),"-"," ",LEN($G2837)-LEN(SUBSTITUTE($G2837,"-",""))-1))-LEN(SUBSTITUTE(SUBSTITUTE(SUBSTITUTE($G2837,"-"," ",LEN($G2837)-LEN(SUBSTITUTE($G2837,"-",""))),"-"," ",LEN($G2837)-LEN(SUBSTITUTE($G2837,"-",""))-1),".",""))))),$G2837)))</f>
        <v/>
      </c>
    </row>
    <row r="2838">
      <c r="A2838" s="58" t="n"/>
      <c r="B2838" s="58">
        <f>IF($H2838="","",LEFT($H2838,FIND(" ",$H2838&amp;" ")-1))</f>
        <v/>
      </c>
      <c r="C2838" s="58">
        <f>IF($H2838="","",IFERROR(MID($H2838&amp;" ",FIND("|",SUBSTITUTE($H2838&amp;" "," ","|",1))+1,FIND("|",SUBSTITUTE($H2838&amp;" "," ","|",2))-FIND("|",SUBSTITUTE($H2838&amp;" "," ","|",1))-1),""))</f>
        <v/>
      </c>
      <c r="D2838" s="58">
        <f>IF($H2838="","",IFERROR(MID($H2838&amp;" ",FIND("|",SUBSTITUTE($H2838&amp;" "," ","|",2))+1,FIND("|",SUBSTITUTE($H2838&amp;" "," ","|",3))-FIND("|",SUBSTITUTE($H2838&amp;" "," ","|",2))-1),""))</f>
        <v/>
      </c>
      <c r="E2838" s="58">
        <f>IF($H2838="","",IFERROR(MID($H2838&amp;" ",FIND("|",SUBSTITUTE($H2838&amp;" "," ","|",3))+1,FIND("|",SUBSTITUTE($H2838&amp;" "," ","|",4))-FIND("|",SUBSTITUTE($H2838&amp;" "," ","|",3))-1),""))</f>
        <v/>
      </c>
      <c r="F2838" s="59">
        <f>IF($H2838="","",IFERROR(VALUE(IFERROR(MID($H2838&amp;" ",FIND("|",SUBSTITUTE($H2838&amp;" "," ","|",4))+1,FIND("|",SUBSTITUTE($H2838&amp;" "," ","|",5))-FIND("|",SUBSTITUTE($H2838&amp;" "," ","|",4))-1),""))/86400+25569+9/24,""))</f>
        <v/>
      </c>
      <c r="G2838" s="58">
        <f>TRIM(SUBSTITUTE(SUBSTITUTE(SUBSTITUTE($A2838,CHAR(9)," ")," "," "),CHAR(13),""))</f>
        <v/>
      </c>
      <c r="H2838" s="58">
        <f>IF($G2838="","",IF(ISNUMBER(FIND(" ",$G2838)),$G2838,IFERROR(IF((LEN(SUBSTITUTE(SUBSTITUTE($G2838,"-"," ",LEN($G2838)-LEN(SUBSTITUTE($G2838,"-",""))),"-"," ",LEN($G2838)-LEN(SUBSTITUTE($G2838,"-",""))-1))-LEN(SUBSTITUTE(SUBSTITUTE(SUBSTITUTE($G2838,"-"," ",LEN($G2838)-LEN(SUBSTITUTE($G2838,"-",""))),"-"," ",LEN($G2838)-LEN(SUBSTITUTE($G2838,"-",""))-1),".","")))=0,SUBSTITUTE(SUBSTITUTE($G2838,"-"," ",LEN($G2838)-LEN(SUBSTITUTE($G2838,"-",""))),"-"," ",LEN($G2838)-LEN(SUBSTITUTE($G2838,"-",""))-1),SUBSTITUTE(SUBSTITUTE(SUBSTITUTE($G2838,"-"," ",LEN($G2838)-LEN(SUBSTITUTE($G2838,"-",""))),"-"," ",LEN($G2838)-LEN(SUBSTITUTE($G2838,"-",""))-1),"."," ",(LEN(SUBSTITUTE(SUBSTITUTE($G2838,"-"," ",LEN($G2838)-LEN(SUBSTITUTE($G2838,"-",""))),"-"," ",LEN($G2838)-LEN(SUBSTITUTE($G2838,"-",""))-1))-LEN(SUBSTITUTE(SUBSTITUTE(SUBSTITUTE($G2838,"-"," ",LEN($G2838)-LEN(SUBSTITUTE($G2838,"-",""))),"-"," ",LEN($G2838)-LEN(SUBSTITUTE($G2838,"-",""))-1),".",""))))),$G2838)))</f>
        <v/>
      </c>
    </row>
    <row r="2839">
      <c r="A2839" s="58" t="n"/>
      <c r="B2839" s="58">
        <f>IF($H2839="","",LEFT($H2839,FIND(" ",$H2839&amp;" ")-1))</f>
        <v/>
      </c>
      <c r="C2839" s="58">
        <f>IF($H2839="","",IFERROR(MID($H2839&amp;" ",FIND("|",SUBSTITUTE($H2839&amp;" "," ","|",1))+1,FIND("|",SUBSTITUTE($H2839&amp;" "," ","|",2))-FIND("|",SUBSTITUTE($H2839&amp;" "," ","|",1))-1),""))</f>
        <v/>
      </c>
      <c r="D2839" s="58">
        <f>IF($H2839="","",IFERROR(MID($H2839&amp;" ",FIND("|",SUBSTITUTE($H2839&amp;" "," ","|",2))+1,FIND("|",SUBSTITUTE($H2839&amp;" "," ","|",3))-FIND("|",SUBSTITUTE($H2839&amp;" "," ","|",2))-1),""))</f>
        <v/>
      </c>
      <c r="E2839" s="58">
        <f>IF($H2839="","",IFERROR(MID($H2839&amp;" ",FIND("|",SUBSTITUTE($H2839&amp;" "," ","|",3))+1,FIND("|",SUBSTITUTE($H2839&amp;" "," ","|",4))-FIND("|",SUBSTITUTE($H2839&amp;" "," ","|",3))-1),""))</f>
        <v/>
      </c>
      <c r="F2839" s="59">
        <f>IF($H2839="","",IFERROR(VALUE(IFERROR(MID($H2839&amp;" ",FIND("|",SUBSTITUTE($H2839&amp;" "," ","|",4))+1,FIND("|",SUBSTITUTE($H2839&amp;" "," ","|",5))-FIND("|",SUBSTITUTE($H2839&amp;" "," ","|",4))-1),""))/86400+25569+9/24,""))</f>
        <v/>
      </c>
      <c r="G2839" s="58">
        <f>TRIM(SUBSTITUTE(SUBSTITUTE(SUBSTITUTE($A2839,CHAR(9)," ")," "," "),CHAR(13),""))</f>
        <v/>
      </c>
      <c r="H2839" s="58">
        <f>IF($G2839="","",IF(ISNUMBER(FIND(" ",$G2839)),$G2839,IFERROR(IF((LEN(SUBSTITUTE(SUBSTITUTE($G2839,"-"," ",LEN($G2839)-LEN(SUBSTITUTE($G2839,"-",""))),"-"," ",LEN($G2839)-LEN(SUBSTITUTE($G2839,"-",""))-1))-LEN(SUBSTITUTE(SUBSTITUTE(SUBSTITUTE($G2839,"-"," ",LEN($G2839)-LEN(SUBSTITUTE($G2839,"-",""))),"-"," ",LEN($G2839)-LEN(SUBSTITUTE($G2839,"-",""))-1),".","")))=0,SUBSTITUTE(SUBSTITUTE($G2839,"-"," ",LEN($G2839)-LEN(SUBSTITUTE($G2839,"-",""))),"-"," ",LEN($G2839)-LEN(SUBSTITUTE($G2839,"-",""))-1),SUBSTITUTE(SUBSTITUTE(SUBSTITUTE($G2839,"-"," ",LEN($G2839)-LEN(SUBSTITUTE($G2839,"-",""))),"-"," ",LEN($G2839)-LEN(SUBSTITUTE($G2839,"-",""))-1),"."," ",(LEN(SUBSTITUTE(SUBSTITUTE($G2839,"-"," ",LEN($G2839)-LEN(SUBSTITUTE($G2839,"-",""))),"-"," ",LEN($G2839)-LEN(SUBSTITUTE($G2839,"-",""))-1))-LEN(SUBSTITUTE(SUBSTITUTE(SUBSTITUTE($G2839,"-"," ",LEN($G2839)-LEN(SUBSTITUTE($G2839,"-",""))),"-"," ",LEN($G2839)-LEN(SUBSTITUTE($G2839,"-",""))-1),".",""))))),$G2839)))</f>
        <v/>
      </c>
    </row>
    <row r="2840">
      <c r="A2840" s="58" t="n"/>
      <c r="B2840" s="58">
        <f>IF($H2840="","",LEFT($H2840,FIND(" ",$H2840&amp;" ")-1))</f>
        <v/>
      </c>
      <c r="C2840" s="58">
        <f>IF($H2840="","",IFERROR(MID($H2840&amp;" ",FIND("|",SUBSTITUTE($H2840&amp;" "," ","|",1))+1,FIND("|",SUBSTITUTE($H2840&amp;" "," ","|",2))-FIND("|",SUBSTITUTE($H2840&amp;" "," ","|",1))-1),""))</f>
        <v/>
      </c>
      <c r="D2840" s="58">
        <f>IF($H2840="","",IFERROR(MID($H2840&amp;" ",FIND("|",SUBSTITUTE($H2840&amp;" "," ","|",2))+1,FIND("|",SUBSTITUTE($H2840&amp;" "," ","|",3))-FIND("|",SUBSTITUTE($H2840&amp;" "," ","|",2))-1),""))</f>
        <v/>
      </c>
      <c r="E2840" s="58">
        <f>IF($H2840="","",IFERROR(MID($H2840&amp;" ",FIND("|",SUBSTITUTE($H2840&amp;" "," ","|",3))+1,FIND("|",SUBSTITUTE($H2840&amp;" "," ","|",4))-FIND("|",SUBSTITUTE($H2840&amp;" "," ","|",3))-1),""))</f>
        <v/>
      </c>
      <c r="F2840" s="59">
        <f>IF($H2840="","",IFERROR(VALUE(IFERROR(MID($H2840&amp;" ",FIND("|",SUBSTITUTE($H2840&amp;" "," ","|",4))+1,FIND("|",SUBSTITUTE($H2840&amp;" "," ","|",5))-FIND("|",SUBSTITUTE($H2840&amp;" "," ","|",4))-1),""))/86400+25569+9/24,""))</f>
        <v/>
      </c>
      <c r="G2840" s="58">
        <f>TRIM(SUBSTITUTE(SUBSTITUTE(SUBSTITUTE($A2840,CHAR(9)," ")," "," "),CHAR(13),""))</f>
        <v/>
      </c>
      <c r="H2840" s="58">
        <f>IF($G2840="","",IF(ISNUMBER(FIND(" ",$G2840)),$G2840,IFERROR(IF((LEN(SUBSTITUTE(SUBSTITUTE($G2840,"-"," ",LEN($G2840)-LEN(SUBSTITUTE($G2840,"-",""))),"-"," ",LEN($G2840)-LEN(SUBSTITUTE($G2840,"-",""))-1))-LEN(SUBSTITUTE(SUBSTITUTE(SUBSTITUTE($G2840,"-"," ",LEN($G2840)-LEN(SUBSTITUTE($G2840,"-",""))),"-"," ",LEN($G2840)-LEN(SUBSTITUTE($G2840,"-",""))-1),".","")))=0,SUBSTITUTE(SUBSTITUTE($G2840,"-"," ",LEN($G2840)-LEN(SUBSTITUTE($G2840,"-",""))),"-"," ",LEN($G2840)-LEN(SUBSTITUTE($G2840,"-",""))-1),SUBSTITUTE(SUBSTITUTE(SUBSTITUTE($G2840,"-"," ",LEN($G2840)-LEN(SUBSTITUTE($G2840,"-",""))),"-"," ",LEN($G2840)-LEN(SUBSTITUTE($G2840,"-",""))-1),"."," ",(LEN(SUBSTITUTE(SUBSTITUTE($G2840,"-"," ",LEN($G2840)-LEN(SUBSTITUTE($G2840,"-",""))),"-"," ",LEN($G2840)-LEN(SUBSTITUTE($G2840,"-",""))-1))-LEN(SUBSTITUTE(SUBSTITUTE(SUBSTITUTE($G2840,"-"," ",LEN($G2840)-LEN(SUBSTITUTE($G2840,"-",""))),"-"," ",LEN($G2840)-LEN(SUBSTITUTE($G2840,"-",""))-1),".",""))))),$G2840)))</f>
        <v/>
      </c>
    </row>
    <row r="2841">
      <c r="A2841" s="58" t="n"/>
      <c r="B2841" s="58">
        <f>IF($H2841="","",LEFT($H2841,FIND(" ",$H2841&amp;" ")-1))</f>
        <v/>
      </c>
      <c r="C2841" s="58">
        <f>IF($H2841="","",IFERROR(MID($H2841&amp;" ",FIND("|",SUBSTITUTE($H2841&amp;" "," ","|",1))+1,FIND("|",SUBSTITUTE($H2841&amp;" "," ","|",2))-FIND("|",SUBSTITUTE($H2841&amp;" "," ","|",1))-1),""))</f>
        <v/>
      </c>
      <c r="D2841" s="58">
        <f>IF($H2841="","",IFERROR(MID($H2841&amp;" ",FIND("|",SUBSTITUTE($H2841&amp;" "," ","|",2))+1,FIND("|",SUBSTITUTE($H2841&amp;" "," ","|",3))-FIND("|",SUBSTITUTE($H2841&amp;" "," ","|",2))-1),""))</f>
        <v/>
      </c>
      <c r="E2841" s="58">
        <f>IF($H2841="","",IFERROR(MID($H2841&amp;" ",FIND("|",SUBSTITUTE($H2841&amp;" "," ","|",3))+1,FIND("|",SUBSTITUTE($H2841&amp;" "," ","|",4))-FIND("|",SUBSTITUTE($H2841&amp;" "," ","|",3))-1),""))</f>
        <v/>
      </c>
      <c r="F2841" s="59">
        <f>IF($H2841="","",IFERROR(VALUE(IFERROR(MID($H2841&amp;" ",FIND("|",SUBSTITUTE($H2841&amp;" "," ","|",4))+1,FIND("|",SUBSTITUTE($H2841&amp;" "," ","|",5))-FIND("|",SUBSTITUTE($H2841&amp;" "," ","|",4))-1),""))/86400+25569+9/24,""))</f>
        <v/>
      </c>
      <c r="G2841" s="58">
        <f>TRIM(SUBSTITUTE(SUBSTITUTE(SUBSTITUTE($A2841,CHAR(9)," ")," "," "),CHAR(13),""))</f>
        <v/>
      </c>
      <c r="H2841" s="58">
        <f>IF($G2841="","",IF(ISNUMBER(FIND(" ",$G2841)),$G2841,IFERROR(IF((LEN(SUBSTITUTE(SUBSTITUTE($G2841,"-"," ",LEN($G2841)-LEN(SUBSTITUTE($G2841,"-",""))),"-"," ",LEN($G2841)-LEN(SUBSTITUTE($G2841,"-",""))-1))-LEN(SUBSTITUTE(SUBSTITUTE(SUBSTITUTE($G2841,"-"," ",LEN($G2841)-LEN(SUBSTITUTE($G2841,"-",""))),"-"," ",LEN($G2841)-LEN(SUBSTITUTE($G2841,"-",""))-1),".","")))=0,SUBSTITUTE(SUBSTITUTE($G2841,"-"," ",LEN($G2841)-LEN(SUBSTITUTE($G2841,"-",""))),"-"," ",LEN($G2841)-LEN(SUBSTITUTE($G2841,"-",""))-1),SUBSTITUTE(SUBSTITUTE(SUBSTITUTE($G2841,"-"," ",LEN($G2841)-LEN(SUBSTITUTE($G2841,"-",""))),"-"," ",LEN($G2841)-LEN(SUBSTITUTE($G2841,"-",""))-1),"."," ",(LEN(SUBSTITUTE(SUBSTITUTE($G2841,"-"," ",LEN($G2841)-LEN(SUBSTITUTE($G2841,"-",""))),"-"," ",LEN($G2841)-LEN(SUBSTITUTE($G2841,"-",""))-1))-LEN(SUBSTITUTE(SUBSTITUTE(SUBSTITUTE($G2841,"-"," ",LEN($G2841)-LEN(SUBSTITUTE($G2841,"-",""))),"-"," ",LEN($G2841)-LEN(SUBSTITUTE($G2841,"-",""))-1),".",""))))),$G2841)))</f>
        <v/>
      </c>
    </row>
    <row r="2842">
      <c r="A2842" s="58" t="n"/>
      <c r="B2842" s="58">
        <f>IF($H2842="","",LEFT($H2842,FIND(" ",$H2842&amp;" ")-1))</f>
        <v/>
      </c>
      <c r="C2842" s="58">
        <f>IF($H2842="","",IFERROR(MID($H2842&amp;" ",FIND("|",SUBSTITUTE($H2842&amp;" "," ","|",1))+1,FIND("|",SUBSTITUTE($H2842&amp;" "," ","|",2))-FIND("|",SUBSTITUTE($H2842&amp;" "," ","|",1))-1),""))</f>
        <v/>
      </c>
      <c r="D2842" s="58">
        <f>IF($H2842="","",IFERROR(MID($H2842&amp;" ",FIND("|",SUBSTITUTE($H2842&amp;" "," ","|",2))+1,FIND("|",SUBSTITUTE($H2842&amp;" "," ","|",3))-FIND("|",SUBSTITUTE($H2842&amp;" "," ","|",2))-1),""))</f>
        <v/>
      </c>
      <c r="E2842" s="58">
        <f>IF($H2842="","",IFERROR(MID($H2842&amp;" ",FIND("|",SUBSTITUTE($H2842&amp;" "," ","|",3))+1,FIND("|",SUBSTITUTE($H2842&amp;" "," ","|",4))-FIND("|",SUBSTITUTE($H2842&amp;" "," ","|",3))-1),""))</f>
        <v/>
      </c>
      <c r="F2842" s="59">
        <f>IF($H2842="","",IFERROR(VALUE(IFERROR(MID($H2842&amp;" ",FIND("|",SUBSTITUTE($H2842&amp;" "," ","|",4))+1,FIND("|",SUBSTITUTE($H2842&amp;" "," ","|",5))-FIND("|",SUBSTITUTE($H2842&amp;" "," ","|",4))-1),""))/86400+25569+9/24,""))</f>
        <v/>
      </c>
      <c r="G2842" s="58">
        <f>TRIM(SUBSTITUTE(SUBSTITUTE(SUBSTITUTE($A2842,CHAR(9)," ")," "," "),CHAR(13),""))</f>
        <v/>
      </c>
      <c r="H2842" s="58">
        <f>IF($G2842="","",IF(ISNUMBER(FIND(" ",$G2842)),$G2842,IFERROR(IF((LEN(SUBSTITUTE(SUBSTITUTE($G2842,"-"," ",LEN($G2842)-LEN(SUBSTITUTE($G2842,"-",""))),"-"," ",LEN($G2842)-LEN(SUBSTITUTE($G2842,"-",""))-1))-LEN(SUBSTITUTE(SUBSTITUTE(SUBSTITUTE($G2842,"-"," ",LEN($G2842)-LEN(SUBSTITUTE($G2842,"-",""))),"-"," ",LEN($G2842)-LEN(SUBSTITUTE($G2842,"-",""))-1),".","")))=0,SUBSTITUTE(SUBSTITUTE($G2842,"-"," ",LEN($G2842)-LEN(SUBSTITUTE($G2842,"-",""))),"-"," ",LEN($G2842)-LEN(SUBSTITUTE($G2842,"-",""))-1),SUBSTITUTE(SUBSTITUTE(SUBSTITUTE($G2842,"-"," ",LEN($G2842)-LEN(SUBSTITUTE($G2842,"-",""))),"-"," ",LEN($G2842)-LEN(SUBSTITUTE($G2842,"-",""))-1),"."," ",(LEN(SUBSTITUTE(SUBSTITUTE($G2842,"-"," ",LEN($G2842)-LEN(SUBSTITUTE($G2842,"-",""))),"-"," ",LEN($G2842)-LEN(SUBSTITUTE($G2842,"-",""))-1))-LEN(SUBSTITUTE(SUBSTITUTE(SUBSTITUTE($G2842,"-"," ",LEN($G2842)-LEN(SUBSTITUTE($G2842,"-",""))),"-"," ",LEN($G2842)-LEN(SUBSTITUTE($G2842,"-",""))-1),".",""))))),$G2842)))</f>
        <v/>
      </c>
    </row>
    <row r="2843">
      <c r="A2843" s="58" t="n"/>
      <c r="B2843" s="58">
        <f>IF($H2843="","",LEFT($H2843,FIND(" ",$H2843&amp;" ")-1))</f>
        <v/>
      </c>
      <c r="C2843" s="58">
        <f>IF($H2843="","",IFERROR(MID($H2843&amp;" ",FIND("|",SUBSTITUTE($H2843&amp;" "," ","|",1))+1,FIND("|",SUBSTITUTE($H2843&amp;" "," ","|",2))-FIND("|",SUBSTITUTE($H2843&amp;" "," ","|",1))-1),""))</f>
        <v/>
      </c>
      <c r="D2843" s="58">
        <f>IF($H2843="","",IFERROR(MID($H2843&amp;" ",FIND("|",SUBSTITUTE($H2843&amp;" "," ","|",2))+1,FIND("|",SUBSTITUTE($H2843&amp;" "," ","|",3))-FIND("|",SUBSTITUTE($H2843&amp;" "," ","|",2))-1),""))</f>
        <v/>
      </c>
      <c r="E2843" s="58">
        <f>IF($H2843="","",IFERROR(MID($H2843&amp;" ",FIND("|",SUBSTITUTE($H2843&amp;" "," ","|",3))+1,FIND("|",SUBSTITUTE($H2843&amp;" "," ","|",4))-FIND("|",SUBSTITUTE($H2843&amp;" "," ","|",3))-1),""))</f>
        <v/>
      </c>
      <c r="F2843" s="59">
        <f>IF($H2843="","",IFERROR(VALUE(IFERROR(MID($H2843&amp;" ",FIND("|",SUBSTITUTE($H2843&amp;" "," ","|",4))+1,FIND("|",SUBSTITUTE($H2843&amp;" "," ","|",5))-FIND("|",SUBSTITUTE($H2843&amp;" "," ","|",4))-1),""))/86400+25569+9/24,""))</f>
        <v/>
      </c>
      <c r="G2843" s="58">
        <f>TRIM(SUBSTITUTE(SUBSTITUTE(SUBSTITUTE($A2843,CHAR(9)," ")," "," "),CHAR(13),""))</f>
        <v/>
      </c>
      <c r="H2843" s="58">
        <f>IF($G2843="","",IF(ISNUMBER(FIND(" ",$G2843)),$G2843,IFERROR(IF((LEN(SUBSTITUTE(SUBSTITUTE($G2843,"-"," ",LEN($G2843)-LEN(SUBSTITUTE($G2843,"-",""))),"-"," ",LEN($G2843)-LEN(SUBSTITUTE($G2843,"-",""))-1))-LEN(SUBSTITUTE(SUBSTITUTE(SUBSTITUTE($G2843,"-"," ",LEN($G2843)-LEN(SUBSTITUTE($G2843,"-",""))),"-"," ",LEN($G2843)-LEN(SUBSTITUTE($G2843,"-",""))-1),".","")))=0,SUBSTITUTE(SUBSTITUTE($G2843,"-"," ",LEN($G2843)-LEN(SUBSTITUTE($G2843,"-",""))),"-"," ",LEN($G2843)-LEN(SUBSTITUTE($G2843,"-",""))-1),SUBSTITUTE(SUBSTITUTE(SUBSTITUTE($G2843,"-"," ",LEN($G2843)-LEN(SUBSTITUTE($G2843,"-",""))),"-"," ",LEN($G2843)-LEN(SUBSTITUTE($G2843,"-",""))-1),"."," ",(LEN(SUBSTITUTE(SUBSTITUTE($G2843,"-"," ",LEN($G2843)-LEN(SUBSTITUTE($G2843,"-",""))),"-"," ",LEN($G2843)-LEN(SUBSTITUTE($G2843,"-",""))-1))-LEN(SUBSTITUTE(SUBSTITUTE(SUBSTITUTE($G2843,"-"," ",LEN($G2843)-LEN(SUBSTITUTE($G2843,"-",""))),"-"," ",LEN($G2843)-LEN(SUBSTITUTE($G2843,"-",""))-1),".",""))))),$G2843)))</f>
        <v/>
      </c>
    </row>
    <row r="2844">
      <c r="A2844" s="58" t="n"/>
      <c r="B2844" s="58">
        <f>IF($H2844="","",LEFT($H2844,FIND(" ",$H2844&amp;" ")-1))</f>
        <v/>
      </c>
      <c r="C2844" s="58">
        <f>IF($H2844="","",IFERROR(MID($H2844&amp;" ",FIND("|",SUBSTITUTE($H2844&amp;" "," ","|",1))+1,FIND("|",SUBSTITUTE($H2844&amp;" "," ","|",2))-FIND("|",SUBSTITUTE($H2844&amp;" "," ","|",1))-1),""))</f>
        <v/>
      </c>
      <c r="D2844" s="58">
        <f>IF($H2844="","",IFERROR(MID($H2844&amp;" ",FIND("|",SUBSTITUTE($H2844&amp;" "," ","|",2))+1,FIND("|",SUBSTITUTE($H2844&amp;" "," ","|",3))-FIND("|",SUBSTITUTE($H2844&amp;" "," ","|",2))-1),""))</f>
        <v/>
      </c>
      <c r="E2844" s="58">
        <f>IF($H2844="","",IFERROR(MID($H2844&amp;" ",FIND("|",SUBSTITUTE($H2844&amp;" "," ","|",3))+1,FIND("|",SUBSTITUTE($H2844&amp;" "," ","|",4))-FIND("|",SUBSTITUTE($H2844&amp;" "," ","|",3))-1),""))</f>
        <v/>
      </c>
      <c r="F2844" s="59">
        <f>IF($H2844="","",IFERROR(VALUE(IFERROR(MID($H2844&amp;" ",FIND("|",SUBSTITUTE($H2844&amp;" "," ","|",4))+1,FIND("|",SUBSTITUTE($H2844&amp;" "," ","|",5))-FIND("|",SUBSTITUTE($H2844&amp;" "," ","|",4))-1),""))/86400+25569+9/24,""))</f>
        <v/>
      </c>
      <c r="G2844" s="58">
        <f>TRIM(SUBSTITUTE(SUBSTITUTE(SUBSTITUTE($A2844,CHAR(9)," ")," "," "),CHAR(13),""))</f>
        <v/>
      </c>
      <c r="H2844" s="58">
        <f>IF($G2844="","",IF(ISNUMBER(FIND(" ",$G2844)),$G2844,IFERROR(IF((LEN(SUBSTITUTE(SUBSTITUTE($G2844,"-"," ",LEN($G2844)-LEN(SUBSTITUTE($G2844,"-",""))),"-"," ",LEN($G2844)-LEN(SUBSTITUTE($G2844,"-",""))-1))-LEN(SUBSTITUTE(SUBSTITUTE(SUBSTITUTE($G2844,"-"," ",LEN($G2844)-LEN(SUBSTITUTE($G2844,"-",""))),"-"," ",LEN($G2844)-LEN(SUBSTITUTE($G2844,"-",""))-1),".","")))=0,SUBSTITUTE(SUBSTITUTE($G2844,"-"," ",LEN($G2844)-LEN(SUBSTITUTE($G2844,"-",""))),"-"," ",LEN($G2844)-LEN(SUBSTITUTE($G2844,"-",""))-1),SUBSTITUTE(SUBSTITUTE(SUBSTITUTE($G2844,"-"," ",LEN($G2844)-LEN(SUBSTITUTE($G2844,"-",""))),"-"," ",LEN($G2844)-LEN(SUBSTITUTE($G2844,"-",""))-1),"."," ",(LEN(SUBSTITUTE(SUBSTITUTE($G2844,"-"," ",LEN($G2844)-LEN(SUBSTITUTE($G2844,"-",""))),"-"," ",LEN($G2844)-LEN(SUBSTITUTE($G2844,"-",""))-1))-LEN(SUBSTITUTE(SUBSTITUTE(SUBSTITUTE($G2844,"-"," ",LEN($G2844)-LEN(SUBSTITUTE($G2844,"-",""))),"-"," ",LEN($G2844)-LEN(SUBSTITUTE($G2844,"-",""))-1),".",""))))),$G2844)))</f>
        <v/>
      </c>
    </row>
    <row r="2845">
      <c r="A2845" s="58" t="n"/>
      <c r="B2845" s="58">
        <f>IF($H2845="","",LEFT($H2845,FIND(" ",$H2845&amp;" ")-1))</f>
        <v/>
      </c>
      <c r="C2845" s="58">
        <f>IF($H2845="","",IFERROR(MID($H2845&amp;" ",FIND("|",SUBSTITUTE($H2845&amp;" "," ","|",1))+1,FIND("|",SUBSTITUTE($H2845&amp;" "," ","|",2))-FIND("|",SUBSTITUTE($H2845&amp;" "," ","|",1))-1),""))</f>
        <v/>
      </c>
      <c r="D2845" s="58">
        <f>IF($H2845="","",IFERROR(MID($H2845&amp;" ",FIND("|",SUBSTITUTE($H2845&amp;" "," ","|",2))+1,FIND("|",SUBSTITUTE($H2845&amp;" "," ","|",3))-FIND("|",SUBSTITUTE($H2845&amp;" "," ","|",2))-1),""))</f>
        <v/>
      </c>
      <c r="E2845" s="58">
        <f>IF($H2845="","",IFERROR(MID($H2845&amp;" ",FIND("|",SUBSTITUTE($H2845&amp;" "," ","|",3))+1,FIND("|",SUBSTITUTE($H2845&amp;" "," ","|",4))-FIND("|",SUBSTITUTE($H2845&amp;" "," ","|",3))-1),""))</f>
        <v/>
      </c>
      <c r="F2845" s="59">
        <f>IF($H2845="","",IFERROR(VALUE(IFERROR(MID($H2845&amp;" ",FIND("|",SUBSTITUTE($H2845&amp;" "," ","|",4))+1,FIND("|",SUBSTITUTE($H2845&amp;" "," ","|",5))-FIND("|",SUBSTITUTE($H2845&amp;" "," ","|",4))-1),""))/86400+25569+9/24,""))</f>
        <v/>
      </c>
      <c r="G2845" s="58">
        <f>TRIM(SUBSTITUTE(SUBSTITUTE(SUBSTITUTE($A2845,CHAR(9)," ")," "," "),CHAR(13),""))</f>
        <v/>
      </c>
      <c r="H2845" s="58">
        <f>IF($G2845="","",IF(ISNUMBER(FIND(" ",$G2845)),$G2845,IFERROR(IF((LEN(SUBSTITUTE(SUBSTITUTE($G2845,"-"," ",LEN($G2845)-LEN(SUBSTITUTE($G2845,"-",""))),"-"," ",LEN($G2845)-LEN(SUBSTITUTE($G2845,"-",""))-1))-LEN(SUBSTITUTE(SUBSTITUTE(SUBSTITUTE($G2845,"-"," ",LEN($G2845)-LEN(SUBSTITUTE($G2845,"-",""))),"-"," ",LEN($G2845)-LEN(SUBSTITUTE($G2845,"-",""))-1),".","")))=0,SUBSTITUTE(SUBSTITUTE($G2845,"-"," ",LEN($G2845)-LEN(SUBSTITUTE($G2845,"-",""))),"-"," ",LEN($G2845)-LEN(SUBSTITUTE($G2845,"-",""))-1),SUBSTITUTE(SUBSTITUTE(SUBSTITUTE($G2845,"-"," ",LEN($G2845)-LEN(SUBSTITUTE($G2845,"-",""))),"-"," ",LEN($G2845)-LEN(SUBSTITUTE($G2845,"-",""))-1),"."," ",(LEN(SUBSTITUTE(SUBSTITUTE($G2845,"-"," ",LEN($G2845)-LEN(SUBSTITUTE($G2845,"-",""))),"-"," ",LEN($G2845)-LEN(SUBSTITUTE($G2845,"-",""))-1))-LEN(SUBSTITUTE(SUBSTITUTE(SUBSTITUTE($G2845,"-"," ",LEN($G2845)-LEN(SUBSTITUTE($G2845,"-",""))),"-"," ",LEN($G2845)-LEN(SUBSTITUTE($G2845,"-",""))-1),".",""))))),$G2845)))</f>
        <v/>
      </c>
    </row>
    <row r="2846">
      <c r="A2846" s="58" t="n"/>
      <c r="B2846" s="58">
        <f>IF($H2846="","",LEFT($H2846,FIND(" ",$H2846&amp;" ")-1))</f>
        <v/>
      </c>
      <c r="C2846" s="58">
        <f>IF($H2846="","",IFERROR(MID($H2846&amp;" ",FIND("|",SUBSTITUTE($H2846&amp;" "," ","|",1))+1,FIND("|",SUBSTITUTE($H2846&amp;" "," ","|",2))-FIND("|",SUBSTITUTE($H2846&amp;" "," ","|",1))-1),""))</f>
        <v/>
      </c>
      <c r="D2846" s="58">
        <f>IF($H2846="","",IFERROR(MID($H2846&amp;" ",FIND("|",SUBSTITUTE($H2846&amp;" "," ","|",2))+1,FIND("|",SUBSTITUTE($H2846&amp;" "," ","|",3))-FIND("|",SUBSTITUTE($H2846&amp;" "," ","|",2))-1),""))</f>
        <v/>
      </c>
      <c r="E2846" s="58">
        <f>IF($H2846="","",IFERROR(MID($H2846&amp;" ",FIND("|",SUBSTITUTE($H2846&amp;" "," ","|",3))+1,FIND("|",SUBSTITUTE($H2846&amp;" "," ","|",4))-FIND("|",SUBSTITUTE($H2846&amp;" "," ","|",3))-1),""))</f>
        <v/>
      </c>
      <c r="F2846" s="59">
        <f>IF($H2846="","",IFERROR(VALUE(IFERROR(MID($H2846&amp;" ",FIND("|",SUBSTITUTE($H2846&amp;" "," ","|",4))+1,FIND("|",SUBSTITUTE($H2846&amp;" "," ","|",5))-FIND("|",SUBSTITUTE($H2846&amp;" "," ","|",4))-1),""))/86400+25569+9/24,""))</f>
        <v/>
      </c>
      <c r="G2846" s="58">
        <f>TRIM(SUBSTITUTE(SUBSTITUTE(SUBSTITUTE($A2846,CHAR(9)," ")," "," "),CHAR(13),""))</f>
        <v/>
      </c>
      <c r="H2846" s="58">
        <f>IF($G2846="","",IF(ISNUMBER(FIND(" ",$G2846)),$G2846,IFERROR(IF((LEN(SUBSTITUTE(SUBSTITUTE($G2846,"-"," ",LEN($G2846)-LEN(SUBSTITUTE($G2846,"-",""))),"-"," ",LEN($G2846)-LEN(SUBSTITUTE($G2846,"-",""))-1))-LEN(SUBSTITUTE(SUBSTITUTE(SUBSTITUTE($G2846,"-"," ",LEN($G2846)-LEN(SUBSTITUTE($G2846,"-",""))),"-"," ",LEN($G2846)-LEN(SUBSTITUTE($G2846,"-",""))-1),".","")))=0,SUBSTITUTE(SUBSTITUTE($G2846,"-"," ",LEN($G2846)-LEN(SUBSTITUTE($G2846,"-",""))),"-"," ",LEN($G2846)-LEN(SUBSTITUTE($G2846,"-",""))-1),SUBSTITUTE(SUBSTITUTE(SUBSTITUTE($G2846,"-"," ",LEN($G2846)-LEN(SUBSTITUTE($G2846,"-",""))),"-"," ",LEN($G2846)-LEN(SUBSTITUTE($G2846,"-",""))-1),"."," ",(LEN(SUBSTITUTE(SUBSTITUTE($G2846,"-"," ",LEN($G2846)-LEN(SUBSTITUTE($G2846,"-",""))),"-"," ",LEN($G2846)-LEN(SUBSTITUTE($G2846,"-",""))-1))-LEN(SUBSTITUTE(SUBSTITUTE(SUBSTITUTE($G2846,"-"," ",LEN($G2846)-LEN(SUBSTITUTE($G2846,"-",""))),"-"," ",LEN($G2846)-LEN(SUBSTITUTE($G2846,"-",""))-1),".",""))))),$G2846)))</f>
        <v/>
      </c>
    </row>
    <row r="2847">
      <c r="A2847" s="58" t="n"/>
      <c r="B2847" s="58">
        <f>IF($H2847="","",LEFT($H2847,FIND(" ",$H2847&amp;" ")-1))</f>
        <v/>
      </c>
      <c r="C2847" s="58">
        <f>IF($H2847="","",IFERROR(MID($H2847&amp;" ",FIND("|",SUBSTITUTE($H2847&amp;" "," ","|",1))+1,FIND("|",SUBSTITUTE($H2847&amp;" "," ","|",2))-FIND("|",SUBSTITUTE($H2847&amp;" "," ","|",1))-1),""))</f>
        <v/>
      </c>
      <c r="D2847" s="58">
        <f>IF($H2847="","",IFERROR(MID($H2847&amp;" ",FIND("|",SUBSTITUTE($H2847&amp;" "," ","|",2))+1,FIND("|",SUBSTITUTE($H2847&amp;" "," ","|",3))-FIND("|",SUBSTITUTE($H2847&amp;" "," ","|",2))-1),""))</f>
        <v/>
      </c>
      <c r="E2847" s="58">
        <f>IF($H2847="","",IFERROR(MID($H2847&amp;" ",FIND("|",SUBSTITUTE($H2847&amp;" "," ","|",3))+1,FIND("|",SUBSTITUTE($H2847&amp;" "," ","|",4))-FIND("|",SUBSTITUTE($H2847&amp;" "," ","|",3))-1),""))</f>
        <v/>
      </c>
      <c r="F2847" s="59">
        <f>IF($H2847="","",IFERROR(VALUE(IFERROR(MID($H2847&amp;" ",FIND("|",SUBSTITUTE($H2847&amp;" "," ","|",4))+1,FIND("|",SUBSTITUTE($H2847&amp;" "," ","|",5))-FIND("|",SUBSTITUTE($H2847&amp;" "," ","|",4))-1),""))/86400+25569+9/24,""))</f>
        <v/>
      </c>
      <c r="G2847" s="58">
        <f>TRIM(SUBSTITUTE(SUBSTITUTE(SUBSTITUTE($A2847,CHAR(9)," ")," "," "),CHAR(13),""))</f>
        <v/>
      </c>
      <c r="H2847" s="58">
        <f>IF($G2847="","",IF(ISNUMBER(FIND(" ",$G2847)),$G2847,IFERROR(IF((LEN(SUBSTITUTE(SUBSTITUTE($G2847,"-"," ",LEN($G2847)-LEN(SUBSTITUTE($G2847,"-",""))),"-"," ",LEN($G2847)-LEN(SUBSTITUTE($G2847,"-",""))-1))-LEN(SUBSTITUTE(SUBSTITUTE(SUBSTITUTE($G2847,"-"," ",LEN($G2847)-LEN(SUBSTITUTE($G2847,"-",""))),"-"," ",LEN($G2847)-LEN(SUBSTITUTE($G2847,"-",""))-1),".","")))=0,SUBSTITUTE(SUBSTITUTE($G2847,"-"," ",LEN($G2847)-LEN(SUBSTITUTE($G2847,"-",""))),"-"," ",LEN($G2847)-LEN(SUBSTITUTE($G2847,"-",""))-1),SUBSTITUTE(SUBSTITUTE(SUBSTITUTE($G2847,"-"," ",LEN($G2847)-LEN(SUBSTITUTE($G2847,"-",""))),"-"," ",LEN($G2847)-LEN(SUBSTITUTE($G2847,"-",""))-1),"."," ",(LEN(SUBSTITUTE(SUBSTITUTE($G2847,"-"," ",LEN($G2847)-LEN(SUBSTITUTE($G2847,"-",""))),"-"," ",LEN($G2847)-LEN(SUBSTITUTE($G2847,"-",""))-1))-LEN(SUBSTITUTE(SUBSTITUTE(SUBSTITUTE($G2847,"-"," ",LEN($G2847)-LEN(SUBSTITUTE($G2847,"-",""))),"-"," ",LEN($G2847)-LEN(SUBSTITUTE($G2847,"-",""))-1),".",""))))),$G2847)))</f>
        <v/>
      </c>
    </row>
    <row r="2848">
      <c r="A2848" s="58" t="n"/>
      <c r="B2848" s="58">
        <f>IF($H2848="","",LEFT($H2848,FIND(" ",$H2848&amp;" ")-1))</f>
        <v/>
      </c>
      <c r="C2848" s="58">
        <f>IF($H2848="","",IFERROR(MID($H2848&amp;" ",FIND("|",SUBSTITUTE($H2848&amp;" "," ","|",1))+1,FIND("|",SUBSTITUTE($H2848&amp;" "," ","|",2))-FIND("|",SUBSTITUTE($H2848&amp;" "," ","|",1))-1),""))</f>
        <v/>
      </c>
      <c r="D2848" s="58">
        <f>IF($H2848="","",IFERROR(MID($H2848&amp;" ",FIND("|",SUBSTITUTE($H2848&amp;" "," ","|",2))+1,FIND("|",SUBSTITUTE($H2848&amp;" "," ","|",3))-FIND("|",SUBSTITUTE($H2848&amp;" "," ","|",2))-1),""))</f>
        <v/>
      </c>
      <c r="E2848" s="58">
        <f>IF($H2848="","",IFERROR(MID($H2848&amp;" ",FIND("|",SUBSTITUTE($H2848&amp;" "," ","|",3))+1,FIND("|",SUBSTITUTE($H2848&amp;" "," ","|",4))-FIND("|",SUBSTITUTE($H2848&amp;" "," ","|",3))-1),""))</f>
        <v/>
      </c>
      <c r="F2848" s="59">
        <f>IF($H2848="","",IFERROR(VALUE(IFERROR(MID($H2848&amp;" ",FIND("|",SUBSTITUTE($H2848&amp;" "," ","|",4))+1,FIND("|",SUBSTITUTE($H2848&amp;" "," ","|",5))-FIND("|",SUBSTITUTE($H2848&amp;" "," ","|",4))-1),""))/86400+25569+9/24,""))</f>
        <v/>
      </c>
      <c r="G2848" s="58">
        <f>TRIM(SUBSTITUTE(SUBSTITUTE(SUBSTITUTE($A2848,CHAR(9)," ")," "," "),CHAR(13),""))</f>
        <v/>
      </c>
      <c r="H2848" s="58">
        <f>IF($G2848="","",IF(ISNUMBER(FIND(" ",$G2848)),$G2848,IFERROR(IF((LEN(SUBSTITUTE(SUBSTITUTE($G2848,"-"," ",LEN($G2848)-LEN(SUBSTITUTE($G2848,"-",""))),"-"," ",LEN($G2848)-LEN(SUBSTITUTE($G2848,"-",""))-1))-LEN(SUBSTITUTE(SUBSTITUTE(SUBSTITUTE($G2848,"-"," ",LEN($G2848)-LEN(SUBSTITUTE($G2848,"-",""))),"-"," ",LEN($G2848)-LEN(SUBSTITUTE($G2848,"-",""))-1),".","")))=0,SUBSTITUTE(SUBSTITUTE($G2848,"-"," ",LEN($G2848)-LEN(SUBSTITUTE($G2848,"-",""))),"-"," ",LEN($G2848)-LEN(SUBSTITUTE($G2848,"-",""))-1),SUBSTITUTE(SUBSTITUTE(SUBSTITUTE($G2848,"-"," ",LEN($G2848)-LEN(SUBSTITUTE($G2848,"-",""))),"-"," ",LEN($G2848)-LEN(SUBSTITUTE($G2848,"-",""))-1),"."," ",(LEN(SUBSTITUTE(SUBSTITUTE($G2848,"-"," ",LEN($G2848)-LEN(SUBSTITUTE($G2848,"-",""))),"-"," ",LEN($G2848)-LEN(SUBSTITUTE($G2848,"-",""))-1))-LEN(SUBSTITUTE(SUBSTITUTE(SUBSTITUTE($G2848,"-"," ",LEN($G2848)-LEN(SUBSTITUTE($G2848,"-",""))),"-"," ",LEN($G2848)-LEN(SUBSTITUTE($G2848,"-",""))-1),".",""))))),$G2848)))</f>
        <v/>
      </c>
    </row>
    <row r="2849">
      <c r="A2849" s="58" t="n"/>
      <c r="B2849" s="58">
        <f>IF($H2849="","",LEFT($H2849,FIND(" ",$H2849&amp;" ")-1))</f>
        <v/>
      </c>
      <c r="C2849" s="58">
        <f>IF($H2849="","",IFERROR(MID($H2849&amp;" ",FIND("|",SUBSTITUTE($H2849&amp;" "," ","|",1))+1,FIND("|",SUBSTITUTE($H2849&amp;" "," ","|",2))-FIND("|",SUBSTITUTE($H2849&amp;" "," ","|",1))-1),""))</f>
        <v/>
      </c>
      <c r="D2849" s="58">
        <f>IF($H2849="","",IFERROR(MID($H2849&amp;" ",FIND("|",SUBSTITUTE($H2849&amp;" "," ","|",2))+1,FIND("|",SUBSTITUTE($H2849&amp;" "," ","|",3))-FIND("|",SUBSTITUTE($H2849&amp;" "," ","|",2))-1),""))</f>
        <v/>
      </c>
      <c r="E2849" s="58">
        <f>IF($H2849="","",IFERROR(MID($H2849&amp;" ",FIND("|",SUBSTITUTE($H2849&amp;" "," ","|",3))+1,FIND("|",SUBSTITUTE($H2849&amp;" "," ","|",4))-FIND("|",SUBSTITUTE($H2849&amp;" "," ","|",3))-1),""))</f>
        <v/>
      </c>
      <c r="F2849" s="59">
        <f>IF($H2849="","",IFERROR(VALUE(IFERROR(MID($H2849&amp;" ",FIND("|",SUBSTITUTE($H2849&amp;" "," ","|",4))+1,FIND("|",SUBSTITUTE($H2849&amp;" "," ","|",5))-FIND("|",SUBSTITUTE($H2849&amp;" "," ","|",4))-1),""))/86400+25569+9/24,""))</f>
        <v/>
      </c>
      <c r="G2849" s="58">
        <f>TRIM(SUBSTITUTE(SUBSTITUTE(SUBSTITUTE($A2849,CHAR(9)," ")," "," "),CHAR(13),""))</f>
        <v/>
      </c>
      <c r="H2849" s="58">
        <f>IF($G2849="","",IF(ISNUMBER(FIND(" ",$G2849)),$G2849,IFERROR(IF((LEN(SUBSTITUTE(SUBSTITUTE($G2849,"-"," ",LEN($G2849)-LEN(SUBSTITUTE($G2849,"-",""))),"-"," ",LEN($G2849)-LEN(SUBSTITUTE($G2849,"-",""))-1))-LEN(SUBSTITUTE(SUBSTITUTE(SUBSTITUTE($G2849,"-"," ",LEN($G2849)-LEN(SUBSTITUTE($G2849,"-",""))),"-"," ",LEN($G2849)-LEN(SUBSTITUTE($G2849,"-",""))-1),".","")))=0,SUBSTITUTE(SUBSTITUTE($G2849,"-"," ",LEN($G2849)-LEN(SUBSTITUTE($G2849,"-",""))),"-"," ",LEN($G2849)-LEN(SUBSTITUTE($G2849,"-",""))-1),SUBSTITUTE(SUBSTITUTE(SUBSTITUTE($G2849,"-"," ",LEN($G2849)-LEN(SUBSTITUTE($G2849,"-",""))),"-"," ",LEN($G2849)-LEN(SUBSTITUTE($G2849,"-",""))-1),"."," ",(LEN(SUBSTITUTE(SUBSTITUTE($G2849,"-"," ",LEN($G2849)-LEN(SUBSTITUTE($G2849,"-",""))),"-"," ",LEN($G2849)-LEN(SUBSTITUTE($G2849,"-",""))-1))-LEN(SUBSTITUTE(SUBSTITUTE(SUBSTITUTE($G2849,"-"," ",LEN($G2849)-LEN(SUBSTITUTE($G2849,"-",""))),"-"," ",LEN($G2849)-LEN(SUBSTITUTE($G2849,"-",""))-1),".",""))))),$G2849)))</f>
        <v/>
      </c>
    </row>
    <row r="2850">
      <c r="A2850" s="58" t="n"/>
      <c r="B2850" s="58">
        <f>IF($H2850="","",LEFT($H2850,FIND(" ",$H2850&amp;" ")-1))</f>
        <v/>
      </c>
      <c r="C2850" s="58">
        <f>IF($H2850="","",IFERROR(MID($H2850&amp;" ",FIND("|",SUBSTITUTE($H2850&amp;" "," ","|",1))+1,FIND("|",SUBSTITUTE($H2850&amp;" "," ","|",2))-FIND("|",SUBSTITUTE($H2850&amp;" "," ","|",1))-1),""))</f>
        <v/>
      </c>
      <c r="D2850" s="58">
        <f>IF($H2850="","",IFERROR(MID($H2850&amp;" ",FIND("|",SUBSTITUTE($H2850&amp;" "," ","|",2))+1,FIND("|",SUBSTITUTE($H2850&amp;" "," ","|",3))-FIND("|",SUBSTITUTE($H2850&amp;" "," ","|",2))-1),""))</f>
        <v/>
      </c>
      <c r="E2850" s="58">
        <f>IF($H2850="","",IFERROR(MID($H2850&amp;" ",FIND("|",SUBSTITUTE($H2850&amp;" "," ","|",3))+1,FIND("|",SUBSTITUTE($H2850&amp;" "," ","|",4))-FIND("|",SUBSTITUTE($H2850&amp;" "," ","|",3))-1),""))</f>
        <v/>
      </c>
      <c r="F2850" s="59">
        <f>IF($H2850="","",IFERROR(VALUE(IFERROR(MID($H2850&amp;" ",FIND("|",SUBSTITUTE($H2850&amp;" "," ","|",4))+1,FIND("|",SUBSTITUTE($H2850&amp;" "," ","|",5))-FIND("|",SUBSTITUTE($H2850&amp;" "," ","|",4))-1),""))/86400+25569+9/24,""))</f>
        <v/>
      </c>
      <c r="G2850" s="58">
        <f>TRIM(SUBSTITUTE(SUBSTITUTE(SUBSTITUTE($A2850,CHAR(9)," ")," "," "),CHAR(13),""))</f>
        <v/>
      </c>
      <c r="H2850" s="58">
        <f>IF($G2850="","",IF(ISNUMBER(FIND(" ",$G2850)),$G2850,IFERROR(IF((LEN(SUBSTITUTE(SUBSTITUTE($G2850,"-"," ",LEN($G2850)-LEN(SUBSTITUTE($G2850,"-",""))),"-"," ",LEN($G2850)-LEN(SUBSTITUTE($G2850,"-",""))-1))-LEN(SUBSTITUTE(SUBSTITUTE(SUBSTITUTE($G2850,"-"," ",LEN($G2850)-LEN(SUBSTITUTE($G2850,"-",""))),"-"," ",LEN($G2850)-LEN(SUBSTITUTE($G2850,"-",""))-1),".","")))=0,SUBSTITUTE(SUBSTITUTE($G2850,"-"," ",LEN($G2850)-LEN(SUBSTITUTE($G2850,"-",""))),"-"," ",LEN($G2850)-LEN(SUBSTITUTE($G2850,"-",""))-1),SUBSTITUTE(SUBSTITUTE(SUBSTITUTE($G2850,"-"," ",LEN($G2850)-LEN(SUBSTITUTE($G2850,"-",""))),"-"," ",LEN($G2850)-LEN(SUBSTITUTE($G2850,"-",""))-1),"."," ",(LEN(SUBSTITUTE(SUBSTITUTE($G2850,"-"," ",LEN($G2850)-LEN(SUBSTITUTE($G2850,"-",""))),"-"," ",LEN($G2850)-LEN(SUBSTITUTE($G2850,"-",""))-1))-LEN(SUBSTITUTE(SUBSTITUTE(SUBSTITUTE($G2850,"-"," ",LEN($G2850)-LEN(SUBSTITUTE($G2850,"-",""))),"-"," ",LEN($G2850)-LEN(SUBSTITUTE($G2850,"-",""))-1),".",""))))),$G2850)))</f>
        <v/>
      </c>
    </row>
    <row r="2851">
      <c r="A2851" s="58" t="n"/>
      <c r="B2851" s="58">
        <f>IF($H2851="","",LEFT($H2851,FIND(" ",$H2851&amp;" ")-1))</f>
        <v/>
      </c>
      <c r="C2851" s="58">
        <f>IF($H2851="","",IFERROR(MID($H2851&amp;" ",FIND("|",SUBSTITUTE($H2851&amp;" "," ","|",1))+1,FIND("|",SUBSTITUTE($H2851&amp;" "," ","|",2))-FIND("|",SUBSTITUTE($H2851&amp;" "," ","|",1))-1),""))</f>
        <v/>
      </c>
      <c r="D2851" s="58">
        <f>IF($H2851="","",IFERROR(MID($H2851&amp;" ",FIND("|",SUBSTITUTE($H2851&amp;" "," ","|",2))+1,FIND("|",SUBSTITUTE($H2851&amp;" "," ","|",3))-FIND("|",SUBSTITUTE($H2851&amp;" "," ","|",2))-1),""))</f>
        <v/>
      </c>
      <c r="E2851" s="58">
        <f>IF($H2851="","",IFERROR(MID($H2851&amp;" ",FIND("|",SUBSTITUTE($H2851&amp;" "," ","|",3))+1,FIND("|",SUBSTITUTE($H2851&amp;" "," ","|",4))-FIND("|",SUBSTITUTE($H2851&amp;" "," ","|",3))-1),""))</f>
        <v/>
      </c>
      <c r="F2851" s="59">
        <f>IF($H2851="","",IFERROR(VALUE(IFERROR(MID($H2851&amp;" ",FIND("|",SUBSTITUTE($H2851&amp;" "," ","|",4))+1,FIND("|",SUBSTITUTE($H2851&amp;" "," ","|",5))-FIND("|",SUBSTITUTE($H2851&amp;" "," ","|",4))-1),""))/86400+25569+9/24,""))</f>
        <v/>
      </c>
      <c r="G2851" s="58">
        <f>TRIM(SUBSTITUTE(SUBSTITUTE(SUBSTITUTE($A2851,CHAR(9)," ")," "," "),CHAR(13),""))</f>
        <v/>
      </c>
      <c r="H2851" s="58">
        <f>IF($G2851="","",IF(ISNUMBER(FIND(" ",$G2851)),$G2851,IFERROR(IF((LEN(SUBSTITUTE(SUBSTITUTE($G2851,"-"," ",LEN($G2851)-LEN(SUBSTITUTE($G2851,"-",""))),"-"," ",LEN($G2851)-LEN(SUBSTITUTE($G2851,"-",""))-1))-LEN(SUBSTITUTE(SUBSTITUTE(SUBSTITUTE($G2851,"-"," ",LEN($G2851)-LEN(SUBSTITUTE($G2851,"-",""))),"-"," ",LEN($G2851)-LEN(SUBSTITUTE($G2851,"-",""))-1),".","")))=0,SUBSTITUTE(SUBSTITUTE($G2851,"-"," ",LEN($G2851)-LEN(SUBSTITUTE($G2851,"-",""))),"-"," ",LEN($G2851)-LEN(SUBSTITUTE($G2851,"-",""))-1),SUBSTITUTE(SUBSTITUTE(SUBSTITUTE($G2851,"-"," ",LEN($G2851)-LEN(SUBSTITUTE($G2851,"-",""))),"-"," ",LEN($G2851)-LEN(SUBSTITUTE($G2851,"-",""))-1),"."," ",(LEN(SUBSTITUTE(SUBSTITUTE($G2851,"-"," ",LEN($G2851)-LEN(SUBSTITUTE($G2851,"-",""))),"-"," ",LEN($G2851)-LEN(SUBSTITUTE($G2851,"-",""))-1))-LEN(SUBSTITUTE(SUBSTITUTE(SUBSTITUTE($G2851,"-"," ",LEN($G2851)-LEN(SUBSTITUTE($G2851,"-",""))),"-"," ",LEN($G2851)-LEN(SUBSTITUTE($G2851,"-",""))-1),".",""))))),$G2851)))</f>
        <v/>
      </c>
    </row>
    <row r="2852">
      <c r="A2852" s="58" t="n"/>
      <c r="B2852" s="58">
        <f>IF($H2852="","",LEFT($H2852,FIND(" ",$H2852&amp;" ")-1))</f>
        <v/>
      </c>
      <c r="C2852" s="58">
        <f>IF($H2852="","",IFERROR(MID($H2852&amp;" ",FIND("|",SUBSTITUTE($H2852&amp;" "," ","|",1))+1,FIND("|",SUBSTITUTE($H2852&amp;" "," ","|",2))-FIND("|",SUBSTITUTE($H2852&amp;" "," ","|",1))-1),""))</f>
        <v/>
      </c>
      <c r="D2852" s="58">
        <f>IF($H2852="","",IFERROR(MID($H2852&amp;" ",FIND("|",SUBSTITUTE($H2852&amp;" "," ","|",2))+1,FIND("|",SUBSTITUTE($H2852&amp;" "," ","|",3))-FIND("|",SUBSTITUTE($H2852&amp;" "," ","|",2))-1),""))</f>
        <v/>
      </c>
      <c r="E2852" s="58">
        <f>IF($H2852="","",IFERROR(MID($H2852&amp;" ",FIND("|",SUBSTITUTE($H2852&amp;" "," ","|",3))+1,FIND("|",SUBSTITUTE($H2852&amp;" "," ","|",4))-FIND("|",SUBSTITUTE($H2852&amp;" "," ","|",3))-1),""))</f>
        <v/>
      </c>
      <c r="F2852" s="59">
        <f>IF($H2852="","",IFERROR(VALUE(IFERROR(MID($H2852&amp;" ",FIND("|",SUBSTITUTE($H2852&amp;" "," ","|",4))+1,FIND("|",SUBSTITUTE($H2852&amp;" "," ","|",5))-FIND("|",SUBSTITUTE($H2852&amp;" "," ","|",4))-1),""))/86400+25569+9/24,""))</f>
        <v/>
      </c>
      <c r="G2852" s="58">
        <f>TRIM(SUBSTITUTE(SUBSTITUTE(SUBSTITUTE($A2852,CHAR(9)," ")," "," "),CHAR(13),""))</f>
        <v/>
      </c>
      <c r="H2852" s="58">
        <f>IF($G2852="","",IF(ISNUMBER(FIND(" ",$G2852)),$G2852,IFERROR(IF((LEN(SUBSTITUTE(SUBSTITUTE($G2852,"-"," ",LEN($G2852)-LEN(SUBSTITUTE($G2852,"-",""))),"-"," ",LEN($G2852)-LEN(SUBSTITUTE($G2852,"-",""))-1))-LEN(SUBSTITUTE(SUBSTITUTE(SUBSTITUTE($G2852,"-"," ",LEN($G2852)-LEN(SUBSTITUTE($G2852,"-",""))),"-"," ",LEN($G2852)-LEN(SUBSTITUTE($G2852,"-",""))-1),".","")))=0,SUBSTITUTE(SUBSTITUTE($G2852,"-"," ",LEN($G2852)-LEN(SUBSTITUTE($G2852,"-",""))),"-"," ",LEN($G2852)-LEN(SUBSTITUTE($G2852,"-",""))-1),SUBSTITUTE(SUBSTITUTE(SUBSTITUTE($G2852,"-"," ",LEN($G2852)-LEN(SUBSTITUTE($G2852,"-",""))),"-"," ",LEN($G2852)-LEN(SUBSTITUTE($G2852,"-",""))-1),"."," ",(LEN(SUBSTITUTE(SUBSTITUTE($G2852,"-"," ",LEN($G2852)-LEN(SUBSTITUTE($G2852,"-",""))),"-"," ",LEN($G2852)-LEN(SUBSTITUTE($G2852,"-",""))-1))-LEN(SUBSTITUTE(SUBSTITUTE(SUBSTITUTE($G2852,"-"," ",LEN($G2852)-LEN(SUBSTITUTE($G2852,"-",""))),"-"," ",LEN($G2852)-LEN(SUBSTITUTE($G2852,"-",""))-1),".",""))))),$G2852)))</f>
        <v/>
      </c>
    </row>
    <row r="2853">
      <c r="A2853" s="58" t="n"/>
      <c r="B2853" s="58">
        <f>IF($H2853="","",LEFT($H2853,FIND(" ",$H2853&amp;" ")-1))</f>
        <v/>
      </c>
      <c r="C2853" s="58">
        <f>IF($H2853="","",IFERROR(MID($H2853&amp;" ",FIND("|",SUBSTITUTE($H2853&amp;" "," ","|",1))+1,FIND("|",SUBSTITUTE($H2853&amp;" "," ","|",2))-FIND("|",SUBSTITUTE($H2853&amp;" "," ","|",1))-1),""))</f>
        <v/>
      </c>
      <c r="D2853" s="58">
        <f>IF($H2853="","",IFERROR(MID($H2853&amp;" ",FIND("|",SUBSTITUTE($H2853&amp;" "," ","|",2))+1,FIND("|",SUBSTITUTE($H2853&amp;" "," ","|",3))-FIND("|",SUBSTITUTE($H2853&amp;" "," ","|",2))-1),""))</f>
        <v/>
      </c>
      <c r="E2853" s="58">
        <f>IF($H2853="","",IFERROR(MID($H2853&amp;" ",FIND("|",SUBSTITUTE($H2853&amp;" "," ","|",3))+1,FIND("|",SUBSTITUTE($H2853&amp;" "," ","|",4))-FIND("|",SUBSTITUTE($H2853&amp;" "," ","|",3))-1),""))</f>
        <v/>
      </c>
      <c r="F2853" s="59">
        <f>IF($H2853="","",IFERROR(VALUE(IFERROR(MID($H2853&amp;" ",FIND("|",SUBSTITUTE($H2853&amp;" "," ","|",4))+1,FIND("|",SUBSTITUTE($H2853&amp;" "," ","|",5))-FIND("|",SUBSTITUTE($H2853&amp;" "," ","|",4))-1),""))/86400+25569+9/24,""))</f>
        <v/>
      </c>
      <c r="G2853" s="58">
        <f>TRIM(SUBSTITUTE(SUBSTITUTE(SUBSTITUTE($A2853,CHAR(9)," ")," "," "),CHAR(13),""))</f>
        <v/>
      </c>
      <c r="H2853" s="58">
        <f>IF($G2853="","",IF(ISNUMBER(FIND(" ",$G2853)),$G2853,IFERROR(IF((LEN(SUBSTITUTE(SUBSTITUTE($G2853,"-"," ",LEN($G2853)-LEN(SUBSTITUTE($G2853,"-",""))),"-"," ",LEN($G2853)-LEN(SUBSTITUTE($G2853,"-",""))-1))-LEN(SUBSTITUTE(SUBSTITUTE(SUBSTITUTE($G2853,"-"," ",LEN($G2853)-LEN(SUBSTITUTE($G2853,"-",""))),"-"," ",LEN($G2853)-LEN(SUBSTITUTE($G2853,"-",""))-1),".","")))=0,SUBSTITUTE(SUBSTITUTE($G2853,"-"," ",LEN($G2853)-LEN(SUBSTITUTE($G2853,"-",""))),"-"," ",LEN($G2853)-LEN(SUBSTITUTE($G2853,"-",""))-1),SUBSTITUTE(SUBSTITUTE(SUBSTITUTE($G2853,"-"," ",LEN($G2853)-LEN(SUBSTITUTE($G2853,"-",""))),"-"," ",LEN($G2853)-LEN(SUBSTITUTE($G2853,"-",""))-1),"."," ",(LEN(SUBSTITUTE(SUBSTITUTE($G2853,"-"," ",LEN($G2853)-LEN(SUBSTITUTE($G2853,"-",""))),"-"," ",LEN($G2853)-LEN(SUBSTITUTE($G2853,"-",""))-1))-LEN(SUBSTITUTE(SUBSTITUTE(SUBSTITUTE($G2853,"-"," ",LEN($G2853)-LEN(SUBSTITUTE($G2853,"-",""))),"-"," ",LEN($G2853)-LEN(SUBSTITUTE($G2853,"-",""))-1),".",""))))),$G2853)))</f>
        <v/>
      </c>
    </row>
    <row r="2854">
      <c r="A2854" s="58" t="n"/>
      <c r="B2854" s="58">
        <f>IF($H2854="","",LEFT($H2854,FIND(" ",$H2854&amp;" ")-1))</f>
        <v/>
      </c>
      <c r="C2854" s="58">
        <f>IF($H2854="","",IFERROR(MID($H2854&amp;" ",FIND("|",SUBSTITUTE($H2854&amp;" "," ","|",1))+1,FIND("|",SUBSTITUTE($H2854&amp;" "," ","|",2))-FIND("|",SUBSTITUTE($H2854&amp;" "," ","|",1))-1),""))</f>
        <v/>
      </c>
      <c r="D2854" s="58">
        <f>IF($H2854="","",IFERROR(MID($H2854&amp;" ",FIND("|",SUBSTITUTE($H2854&amp;" "," ","|",2))+1,FIND("|",SUBSTITUTE($H2854&amp;" "," ","|",3))-FIND("|",SUBSTITUTE($H2854&amp;" "," ","|",2))-1),""))</f>
        <v/>
      </c>
      <c r="E2854" s="58">
        <f>IF($H2854="","",IFERROR(MID($H2854&amp;" ",FIND("|",SUBSTITUTE($H2854&amp;" "," ","|",3))+1,FIND("|",SUBSTITUTE($H2854&amp;" "," ","|",4))-FIND("|",SUBSTITUTE($H2854&amp;" "," ","|",3))-1),""))</f>
        <v/>
      </c>
      <c r="F2854" s="59">
        <f>IF($H2854="","",IFERROR(VALUE(IFERROR(MID($H2854&amp;" ",FIND("|",SUBSTITUTE($H2854&amp;" "," ","|",4))+1,FIND("|",SUBSTITUTE($H2854&amp;" "," ","|",5))-FIND("|",SUBSTITUTE($H2854&amp;" "," ","|",4))-1),""))/86400+25569+9/24,""))</f>
        <v/>
      </c>
      <c r="G2854" s="58">
        <f>TRIM(SUBSTITUTE(SUBSTITUTE(SUBSTITUTE($A2854,CHAR(9)," ")," "," "),CHAR(13),""))</f>
        <v/>
      </c>
      <c r="H2854" s="58">
        <f>IF($G2854="","",IF(ISNUMBER(FIND(" ",$G2854)),$G2854,IFERROR(IF((LEN(SUBSTITUTE(SUBSTITUTE($G2854,"-"," ",LEN($G2854)-LEN(SUBSTITUTE($G2854,"-",""))),"-"," ",LEN($G2854)-LEN(SUBSTITUTE($G2854,"-",""))-1))-LEN(SUBSTITUTE(SUBSTITUTE(SUBSTITUTE($G2854,"-"," ",LEN($G2854)-LEN(SUBSTITUTE($G2854,"-",""))),"-"," ",LEN($G2854)-LEN(SUBSTITUTE($G2854,"-",""))-1),".","")))=0,SUBSTITUTE(SUBSTITUTE($G2854,"-"," ",LEN($G2854)-LEN(SUBSTITUTE($G2854,"-",""))),"-"," ",LEN($G2854)-LEN(SUBSTITUTE($G2854,"-",""))-1),SUBSTITUTE(SUBSTITUTE(SUBSTITUTE($G2854,"-"," ",LEN($G2854)-LEN(SUBSTITUTE($G2854,"-",""))),"-"," ",LEN($G2854)-LEN(SUBSTITUTE($G2854,"-",""))-1),"."," ",(LEN(SUBSTITUTE(SUBSTITUTE($G2854,"-"," ",LEN($G2854)-LEN(SUBSTITUTE($G2854,"-",""))),"-"," ",LEN($G2854)-LEN(SUBSTITUTE($G2854,"-",""))-1))-LEN(SUBSTITUTE(SUBSTITUTE(SUBSTITUTE($G2854,"-"," ",LEN($G2854)-LEN(SUBSTITUTE($G2854,"-",""))),"-"," ",LEN($G2854)-LEN(SUBSTITUTE($G2854,"-",""))-1),".",""))))),$G2854)))</f>
        <v/>
      </c>
    </row>
    <row r="2855">
      <c r="A2855" s="58" t="n"/>
      <c r="B2855" s="58">
        <f>IF($H2855="","",LEFT($H2855,FIND(" ",$H2855&amp;" ")-1))</f>
        <v/>
      </c>
      <c r="C2855" s="58">
        <f>IF($H2855="","",IFERROR(MID($H2855&amp;" ",FIND("|",SUBSTITUTE($H2855&amp;" "," ","|",1))+1,FIND("|",SUBSTITUTE($H2855&amp;" "," ","|",2))-FIND("|",SUBSTITUTE($H2855&amp;" "," ","|",1))-1),""))</f>
        <v/>
      </c>
      <c r="D2855" s="58">
        <f>IF($H2855="","",IFERROR(MID($H2855&amp;" ",FIND("|",SUBSTITUTE($H2855&amp;" "," ","|",2))+1,FIND("|",SUBSTITUTE($H2855&amp;" "," ","|",3))-FIND("|",SUBSTITUTE($H2855&amp;" "," ","|",2))-1),""))</f>
        <v/>
      </c>
      <c r="E2855" s="58">
        <f>IF($H2855="","",IFERROR(MID($H2855&amp;" ",FIND("|",SUBSTITUTE($H2855&amp;" "," ","|",3))+1,FIND("|",SUBSTITUTE($H2855&amp;" "," ","|",4))-FIND("|",SUBSTITUTE($H2855&amp;" "," ","|",3))-1),""))</f>
        <v/>
      </c>
      <c r="F2855" s="59">
        <f>IF($H2855="","",IFERROR(VALUE(IFERROR(MID($H2855&amp;" ",FIND("|",SUBSTITUTE($H2855&amp;" "," ","|",4))+1,FIND("|",SUBSTITUTE($H2855&amp;" "," ","|",5))-FIND("|",SUBSTITUTE($H2855&amp;" "," ","|",4))-1),""))/86400+25569+9/24,""))</f>
        <v/>
      </c>
      <c r="G2855" s="58">
        <f>TRIM(SUBSTITUTE(SUBSTITUTE(SUBSTITUTE($A2855,CHAR(9)," ")," "," "),CHAR(13),""))</f>
        <v/>
      </c>
      <c r="H2855" s="58">
        <f>IF($G2855="","",IF(ISNUMBER(FIND(" ",$G2855)),$G2855,IFERROR(IF((LEN(SUBSTITUTE(SUBSTITUTE($G2855,"-"," ",LEN($G2855)-LEN(SUBSTITUTE($G2855,"-",""))),"-"," ",LEN($G2855)-LEN(SUBSTITUTE($G2855,"-",""))-1))-LEN(SUBSTITUTE(SUBSTITUTE(SUBSTITUTE($G2855,"-"," ",LEN($G2855)-LEN(SUBSTITUTE($G2855,"-",""))),"-"," ",LEN($G2855)-LEN(SUBSTITUTE($G2855,"-",""))-1),".","")))=0,SUBSTITUTE(SUBSTITUTE($G2855,"-"," ",LEN($G2855)-LEN(SUBSTITUTE($G2855,"-",""))),"-"," ",LEN($G2855)-LEN(SUBSTITUTE($G2855,"-",""))-1),SUBSTITUTE(SUBSTITUTE(SUBSTITUTE($G2855,"-"," ",LEN($G2855)-LEN(SUBSTITUTE($G2855,"-",""))),"-"," ",LEN($G2855)-LEN(SUBSTITUTE($G2855,"-",""))-1),"."," ",(LEN(SUBSTITUTE(SUBSTITUTE($G2855,"-"," ",LEN($G2855)-LEN(SUBSTITUTE($G2855,"-",""))),"-"," ",LEN($G2855)-LEN(SUBSTITUTE($G2855,"-",""))-1))-LEN(SUBSTITUTE(SUBSTITUTE(SUBSTITUTE($G2855,"-"," ",LEN($G2855)-LEN(SUBSTITUTE($G2855,"-",""))),"-"," ",LEN($G2855)-LEN(SUBSTITUTE($G2855,"-",""))-1),".",""))))),$G2855)))</f>
        <v/>
      </c>
    </row>
    <row r="2856">
      <c r="A2856" s="58" t="n"/>
      <c r="B2856" s="58">
        <f>IF($H2856="","",LEFT($H2856,FIND(" ",$H2856&amp;" ")-1))</f>
        <v/>
      </c>
      <c r="C2856" s="58">
        <f>IF($H2856="","",IFERROR(MID($H2856&amp;" ",FIND("|",SUBSTITUTE($H2856&amp;" "," ","|",1))+1,FIND("|",SUBSTITUTE($H2856&amp;" "," ","|",2))-FIND("|",SUBSTITUTE($H2856&amp;" "," ","|",1))-1),""))</f>
        <v/>
      </c>
      <c r="D2856" s="58">
        <f>IF($H2856="","",IFERROR(MID($H2856&amp;" ",FIND("|",SUBSTITUTE($H2856&amp;" "," ","|",2))+1,FIND("|",SUBSTITUTE($H2856&amp;" "," ","|",3))-FIND("|",SUBSTITUTE($H2856&amp;" "," ","|",2))-1),""))</f>
        <v/>
      </c>
      <c r="E2856" s="58">
        <f>IF($H2856="","",IFERROR(MID($H2856&amp;" ",FIND("|",SUBSTITUTE($H2856&amp;" "," ","|",3))+1,FIND("|",SUBSTITUTE($H2856&amp;" "," ","|",4))-FIND("|",SUBSTITUTE($H2856&amp;" "," ","|",3))-1),""))</f>
        <v/>
      </c>
      <c r="F2856" s="59">
        <f>IF($H2856="","",IFERROR(VALUE(IFERROR(MID($H2856&amp;" ",FIND("|",SUBSTITUTE($H2856&amp;" "," ","|",4))+1,FIND("|",SUBSTITUTE($H2856&amp;" "," ","|",5))-FIND("|",SUBSTITUTE($H2856&amp;" "," ","|",4))-1),""))/86400+25569+9/24,""))</f>
        <v/>
      </c>
      <c r="G2856" s="58">
        <f>TRIM(SUBSTITUTE(SUBSTITUTE(SUBSTITUTE($A2856,CHAR(9)," ")," "," "),CHAR(13),""))</f>
        <v/>
      </c>
      <c r="H2856" s="58">
        <f>IF($G2856="","",IF(ISNUMBER(FIND(" ",$G2856)),$G2856,IFERROR(IF((LEN(SUBSTITUTE(SUBSTITUTE($G2856,"-"," ",LEN($G2856)-LEN(SUBSTITUTE($G2856,"-",""))),"-"," ",LEN($G2856)-LEN(SUBSTITUTE($G2856,"-",""))-1))-LEN(SUBSTITUTE(SUBSTITUTE(SUBSTITUTE($G2856,"-"," ",LEN($G2856)-LEN(SUBSTITUTE($G2856,"-",""))),"-"," ",LEN($G2856)-LEN(SUBSTITUTE($G2856,"-",""))-1),".","")))=0,SUBSTITUTE(SUBSTITUTE($G2856,"-"," ",LEN($G2856)-LEN(SUBSTITUTE($G2856,"-",""))),"-"," ",LEN($G2856)-LEN(SUBSTITUTE($G2856,"-",""))-1),SUBSTITUTE(SUBSTITUTE(SUBSTITUTE($G2856,"-"," ",LEN($G2856)-LEN(SUBSTITUTE($G2856,"-",""))),"-"," ",LEN($G2856)-LEN(SUBSTITUTE($G2856,"-",""))-1),"."," ",(LEN(SUBSTITUTE(SUBSTITUTE($G2856,"-"," ",LEN($G2856)-LEN(SUBSTITUTE($G2856,"-",""))),"-"," ",LEN($G2856)-LEN(SUBSTITUTE($G2856,"-",""))-1))-LEN(SUBSTITUTE(SUBSTITUTE(SUBSTITUTE($G2856,"-"," ",LEN($G2856)-LEN(SUBSTITUTE($G2856,"-",""))),"-"," ",LEN($G2856)-LEN(SUBSTITUTE($G2856,"-",""))-1),".",""))))),$G2856)))</f>
        <v/>
      </c>
    </row>
    <row r="2857">
      <c r="A2857" s="58" t="n"/>
      <c r="B2857" s="58">
        <f>IF($H2857="","",LEFT($H2857,FIND(" ",$H2857&amp;" ")-1))</f>
        <v/>
      </c>
      <c r="C2857" s="58">
        <f>IF($H2857="","",IFERROR(MID($H2857&amp;" ",FIND("|",SUBSTITUTE($H2857&amp;" "," ","|",1))+1,FIND("|",SUBSTITUTE($H2857&amp;" "," ","|",2))-FIND("|",SUBSTITUTE($H2857&amp;" "," ","|",1))-1),""))</f>
        <v/>
      </c>
      <c r="D2857" s="58">
        <f>IF($H2857="","",IFERROR(MID($H2857&amp;" ",FIND("|",SUBSTITUTE($H2857&amp;" "," ","|",2))+1,FIND("|",SUBSTITUTE($H2857&amp;" "," ","|",3))-FIND("|",SUBSTITUTE($H2857&amp;" "," ","|",2))-1),""))</f>
        <v/>
      </c>
      <c r="E2857" s="58">
        <f>IF($H2857="","",IFERROR(MID($H2857&amp;" ",FIND("|",SUBSTITUTE($H2857&amp;" "," ","|",3))+1,FIND("|",SUBSTITUTE($H2857&amp;" "," ","|",4))-FIND("|",SUBSTITUTE($H2857&amp;" "," ","|",3))-1),""))</f>
        <v/>
      </c>
      <c r="F2857" s="59">
        <f>IF($H2857="","",IFERROR(VALUE(IFERROR(MID($H2857&amp;" ",FIND("|",SUBSTITUTE($H2857&amp;" "," ","|",4))+1,FIND("|",SUBSTITUTE($H2857&amp;" "," ","|",5))-FIND("|",SUBSTITUTE($H2857&amp;" "," ","|",4))-1),""))/86400+25569+9/24,""))</f>
        <v/>
      </c>
      <c r="G2857" s="58">
        <f>TRIM(SUBSTITUTE(SUBSTITUTE(SUBSTITUTE($A2857,CHAR(9)," ")," "," "),CHAR(13),""))</f>
        <v/>
      </c>
      <c r="H2857" s="58">
        <f>IF($G2857="","",IF(ISNUMBER(FIND(" ",$G2857)),$G2857,IFERROR(IF((LEN(SUBSTITUTE(SUBSTITUTE($G2857,"-"," ",LEN($G2857)-LEN(SUBSTITUTE($G2857,"-",""))),"-"," ",LEN($G2857)-LEN(SUBSTITUTE($G2857,"-",""))-1))-LEN(SUBSTITUTE(SUBSTITUTE(SUBSTITUTE($G2857,"-"," ",LEN($G2857)-LEN(SUBSTITUTE($G2857,"-",""))),"-"," ",LEN($G2857)-LEN(SUBSTITUTE($G2857,"-",""))-1),".","")))=0,SUBSTITUTE(SUBSTITUTE($G2857,"-"," ",LEN($G2857)-LEN(SUBSTITUTE($G2857,"-",""))),"-"," ",LEN($G2857)-LEN(SUBSTITUTE($G2857,"-",""))-1),SUBSTITUTE(SUBSTITUTE(SUBSTITUTE($G2857,"-"," ",LEN($G2857)-LEN(SUBSTITUTE($G2857,"-",""))),"-"," ",LEN($G2857)-LEN(SUBSTITUTE($G2857,"-",""))-1),"."," ",(LEN(SUBSTITUTE(SUBSTITUTE($G2857,"-"," ",LEN($G2857)-LEN(SUBSTITUTE($G2857,"-",""))),"-"," ",LEN($G2857)-LEN(SUBSTITUTE($G2857,"-",""))-1))-LEN(SUBSTITUTE(SUBSTITUTE(SUBSTITUTE($G2857,"-"," ",LEN($G2857)-LEN(SUBSTITUTE($G2857,"-",""))),"-"," ",LEN($G2857)-LEN(SUBSTITUTE($G2857,"-",""))-1),".",""))))),$G2857)))</f>
        <v/>
      </c>
    </row>
    <row r="2858">
      <c r="A2858" s="58" t="n"/>
      <c r="B2858" s="58">
        <f>IF($H2858="","",LEFT($H2858,FIND(" ",$H2858&amp;" ")-1))</f>
        <v/>
      </c>
      <c r="C2858" s="58">
        <f>IF($H2858="","",IFERROR(MID($H2858&amp;" ",FIND("|",SUBSTITUTE($H2858&amp;" "," ","|",1))+1,FIND("|",SUBSTITUTE($H2858&amp;" "," ","|",2))-FIND("|",SUBSTITUTE($H2858&amp;" "," ","|",1))-1),""))</f>
        <v/>
      </c>
      <c r="D2858" s="58">
        <f>IF($H2858="","",IFERROR(MID($H2858&amp;" ",FIND("|",SUBSTITUTE($H2858&amp;" "," ","|",2))+1,FIND("|",SUBSTITUTE($H2858&amp;" "," ","|",3))-FIND("|",SUBSTITUTE($H2858&amp;" "," ","|",2))-1),""))</f>
        <v/>
      </c>
      <c r="E2858" s="58">
        <f>IF($H2858="","",IFERROR(MID($H2858&amp;" ",FIND("|",SUBSTITUTE($H2858&amp;" "," ","|",3))+1,FIND("|",SUBSTITUTE($H2858&amp;" "," ","|",4))-FIND("|",SUBSTITUTE($H2858&amp;" "," ","|",3))-1),""))</f>
        <v/>
      </c>
      <c r="F2858" s="59">
        <f>IF($H2858="","",IFERROR(VALUE(IFERROR(MID($H2858&amp;" ",FIND("|",SUBSTITUTE($H2858&amp;" "," ","|",4))+1,FIND("|",SUBSTITUTE($H2858&amp;" "," ","|",5))-FIND("|",SUBSTITUTE($H2858&amp;" "," ","|",4))-1),""))/86400+25569+9/24,""))</f>
        <v/>
      </c>
      <c r="G2858" s="58">
        <f>TRIM(SUBSTITUTE(SUBSTITUTE(SUBSTITUTE($A2858,CHAR(9)," ")," "," "),CHAR(13),""))</f>
        <v/>
      </c>
      <c r="H2858" s="58">
        <f>IF($G2858="","",IF(ISNUMBER(FIND(" ",$G2858)),$G2858,IFERROR(IF((LEN(SUBSTITUTE(SUBSTITUTE($G2858,"-"," ",LEN($G2858)-LEN(SUBSTITUTE($G2858,"-",""))),"-"," ",LEN($G2858)-LEN(SUBSTITUTE($G2858,"-",""))-1))-LEN(SUBSTITUTE(SUBSTITUTE(SUBSTITUTE($G2858,"-"," ",LEN($G2858)-LEN(SUBSTITUTE($G2858,"-",""))),"-"," ",LEN($G2858)-LEN(SUBSTITUTE($G2858,"-",""))-1),".","")))=0,SUBSTITUTE(SUBSTITUTE($G2858,"-"," ",LEN($G2858)-LEN(SUBSTITUTE($G2858,"-",""))),"-"," ",LEN($G2858)-LEN(SUBSTITUTE($G2858,"-",""))-1),SUBSTITUTE(SUBSTITUTE(SUBSTITUTE($G2858,"-"," ",LEN($G2858)-LEN(SUBSTITUTE($G2858,"-",""))),"-"," ",LEN($G2858)-LEN(SUBSTITUTE($G2858,"-",""))-1),"."," ",(LEN(SUBSTITUTE(SUBSTITUTE($G2858,"-"," ",LEN($G2858)-LEN(SUBSTITUTE($G2858,"-",""))),"-"," ",LEN($G2858)-LEN(SUBSTITUTE($G2858,"-",""))-1))-LEN(SUBSTITUTE(SUBSTITUTE(SUBSTITUTE($G2858,"-"," ",LEN($G2858)-LEN(SUBSTITUTE($G2858,"-",""))),"-"," ",LEN($G2858)-LEN(SUBSTITUTE($G2858,"-",""))-1),".",""))))),$G2858)))</f>
        <v/>
      </c>
    </row>
    <row r="2859">
      <c r="A2859" s="58" t="n"/>
      <c r="B2859" s="58">
        <f>IF($H2859="","",LEFT($H2859,FIND(" ",$H2859&amp;" ")-1))</f>
        <v/>
      </c>
      <c r="C2859" s="58">
        <f>IF($H2859="","",IFERROR(MID($H2859&amp;" ",FIND("|",SUBSTITUTE($H2859&amp;" "," ","|",1))+1,FIND("|",SUBSTITUTE($H2859&amp;" "," ","|",2))-FIND("|",SUBSTITUTE($H2859&amp;" "," ","|",1))-1),""))</f>
        <v/>
      </c>
      <c r="D2859" s="58">
        <f>IF($H2859="","",IFERROR(MID($H2859&amp;" ",FIND("|",SUBSTITUTE($H2859&amp;" "," ","|",2))+1,FIND("|",SUBSTITUTE($H2859&amp;" "," ","|",3))-FIND("|",SUBSTITUTE($H2859&amp;" "," ","|",2))-1),""))</f>
        <v/>
      </c>
      <c r="E2859" s="58">
        <f>IF($H2859="","",IFERROR(MID($H2859&amp;" ",FIND("|",SUBSTITUTE($H2859&amp;" "," ","|",3))+1,FIND("|",SUBSTITUTE($H2859&amp;" "," ","|",4))-FIND("|",SUBSTITUTE($H2859&amp;" "," ","|",3))-1),""))</f>
        <v/>
      </c>
      <c r="F2859" s="59">
        <f>IF($H2859="","",IFERROR(VALUE(IFERROR(MID($H2859&amp;" ",FIND("|",SUBSTITUTE($H2859&amp;" "," ","|",4))+1,FIND("|",SUBSTITUTE($H2859&amp;" "," ","|",5))-FIND("|",SUBSTITUTE($H2859&amp;" "," ","|",4))-1),""))/86400+25569+9/24,""))</f>
        <v/>
      </c>
      <c r="G2859" s="58">
        <f>TRIM(SUBSTITUTE(SUBSTITUTE(SUBSTITUTE($A2859,CHAR(9)," ")," "," "),CHAR(13),""))</f>
        <v/>
      </c>
      <c r="H2859" s="58">
        <f>IF($G2859="","",IF(ISNUMBER(FIND(" ",$G2859)),$G2859,IFERROR(IF((LEN(SUBSTITUTE(SUBSTITUTE($G2859,"-"," ",LEN($G2859)-LEN(SUBSTITUTE($G2859,"-",""))),"-"," ",LEN($G2859)-LEN(SUBSTITUTE($G2859,"-",""))-1))-LEN(SUBSTITUTE(SUBSTITUTE(SUBSTITUTE($G2859,"-"," ",LEN($G2859)-LEN(SUBSTITUTE($G2859,"-",""))),"-"," ",LEN($G2859)-LEN(SUBSTITUTE($G2859,"-",""))-1),".","")))=0,SUBSTITUTE(SUBSTITUTE($G2859,"-"," ",LEN($G2859)-LEN(SUBSTITUTE($G2859,"-",""))),"-"," ",LEN($G2859)-LEN(SUBSTITUTE($G2859,"-",""))-1),SUBSTITUTE(SUBSTITUTE(SUBSTITUTE($G2859,"-"," ",LEN($G2859)-LEN(SUBSTITUTE($G2859,"-",""))),"-"," ",LEN($G2859)-LEN(SUBSTITUTE($G2859,"-",""))-1),"."," ",(LEN(SUBSTITUTE(SUBSTITUTE($G2859,"-"," ",LEN($G2859)-LEN(SUBSTITUTE($G2859,"-",""))),"-"," ",LEN($G2859)-LEN(SUBSTITUTE($G2859,"-",""))-1))-LEN(SUBSTITUTE(SUBSTITUTE(SUBSTITUTE($G2859,"-"," ",LEN($G2859)-LEN(SUBSTITUTE($G2859,"-",""))),"-"," ",LEN($G2859)-LEN(SUBSTITUTE($G2859,"-",""))-1),".",""))))),$G2859)))</f>
        <v/>
      </c>
    </row>
    <row r="2860">
      <c r="A2860" s="58" t="n"/>
      <c r="B2860" s="58">
        <f>IF($H2860="","",LEFT($H2860,FIND(" ",$H2860&amp;" ")-1))</f>
        <v/>
      </c>
      <c r="C2860" s="58">
        <f>IF($H2860="","",IFERROR(MID($H2860&amp;" ",FIND("|",SUBSTITUTE($H2860&amp;" "," ","|",1))+1,FIND("|",SUBSTITUTE($H2860&amp;" "," ","|",2))-FIND("|",SUBSTITUTE($H2860&amp;" "," ","|",1))-1),""))</f>
        <v/>
      </c>
      <c r="D2860" s="58">
        <f>IF($H2860="","",IFERROR(MID($H2860&amp;" ",FIND("|",SUBSTITUTE($H2860&amp;" "," ","|",2))+1,FIND("|",SUBSTITUTE($H2860&amp;" "," ","|",3))-FIND("|",SUBSTITUTE($H2860&amp;" "," ","|",2))-1),""))</f>
        <v/>
      </c>
      <c r="E2860" s="58">
        <f>IF($H2860="","",IFERROR(MID($H2860&amp;" ",FIND("|",SUBSTITUTE($H2860&amp;" "," ","|",3))+1,FIND("|",SUBSTITUTE($H2860&amp;" "," ","|",4))-FIND("|",SUBSTITUTE($H2860&amp;" "," ","|",3))-1),""))</f>
        <v/>
      </c>
      <c r="F2860" s="59">
        <f>IF($H2860="","",IFERROR(VALUE(IFERROR(MID($H2860&amp;" ",FIND("|",SUBSTITUTE($H2860&amp;" "," ","|",4))+1,FIND("|",SUBSTITUTE($H2860&amp;" "," ","|",5))-FIND("|",SUBSTITUTE($H2860&amp;" "," ","|",4))-1),""))/86400+25569+9/24,""))</f>
        <v/>
      </c>
      <c r="G2860" s="58">
        <f>TRIM(SUBSTITUTE(SUBSTITUTE(SUBSTITUTE($A2860,CHAR(9)," ")," "," "),CHAR(13),""))</f>
        <v/>
      </c>
      <c r="H2860" s="58">
        <f>IF($G2860="","",IF(ISNUMBER(FIND(" ",$G2860)),$G2860,IFERROR(IF((LEN(SUBSTITUTE(SUBSTITUTE($G2860,"-"," ",LEN($G2860)-LEN(SUBSTITUTE($G2860,"-",""))),"-"," ",LEN($G2860)-LEN(SUBSTITUTE($G2860,"-",""))-1))-LEN(SUBSTITUTE(SUBSTITUTE(SUBSTITUTE($G2860,"-"," ",LEN($G2860)-LEN(SUBSTITUTE($G2860,"-",""))),"-"," ",LEN($G2860)-LEN(SUBSTITUTE($G2860,"-",""))-1),".","")))=0,SUBSTITUTE(SUBSTITUTE($G2860,"-"," ",LEN($G2860)-LEN(SUBSTITUTE($G2860,"-",""))),"-"," ",LEN($G2860)-LEN(SUBSTITUTE($G2860,"-",""))-1),SUBSTITUTE(SUBSTITUTE(SUBSTITUTE($G2860,"-"," ",LEN($G2860)-LEN(SUBSTITUTE($G2860,"-",""))),"-"," ",LEN($G2860)-LEN(SUBSTITUTE($G2860,"-",""))-1),"."," ",(LEN(SUBSTITUTE(SUBSTITUTE($G2860,"-"," ",LEN($G2860)-LEN(SUBSTITUTE($G2860,"-",""))),"-"," ",LEN($G2860)-LEN(SUBSTITUTE($G2860,"-",""))-1))-LEN(SUBSTITUTE(SUBSTITUTE(SUBSTITUTE($G2860,"-"," ",LEN($G2860)-LEN(SUBSTITUTE($G2860,"-",""))),"-"," ",LEN($G2860)-LEN(SUBSTITUTE($G2860,"-",""))-1),".",""))))),$G2860)))</f>
        <v/>
      </c>
    </row>
    <row r="2861">
      <c r="A2861" s="58" t="n"/>
      <c r="B2861" s="58">
        <f>IF($H2861="","",LEFT($H2861,FIND(" ",$H2861&amp;" ")-1))</f>
        <v/>
      </c>
      <c r="C2861" s="58">
        <f>IF($H2861="","",IFERROR(MID($H2861&amp;" ",FIND("|",SUBSTITUTE($H2861&amp;" "," ","|",1))+1,FIND("|",SUBSTITUTE($H2861&amp;" "," ","|",2))-FIND("|",SUBSTITUTE($H2861&amp;" "," ","|",1))-1),""))</f>
        <v/>
      </c>
      <c r="D2861" s="58">
        <f>IF($H2861="","",IFERROR(MID($H2861&amp;" ",FIND("|",SUBSTITUTE($H2861&amp;" "," ","|",2))+1,FIND("|",SUBSTITUTE($H2861&amp;" "," ","|",3))-FIND("|",SUBSTITUTE($H2861&amp;" "," ","|",2))-1),""))</f>
        <v/>
      </c>
      <c r="E2861" s="58">
        <f>IF($H2861="","",IFERROR(MID($H2861&amp;" ",FIND("|",SUBSTITUTE($H2861&amp;" "," ","|",3))+1,FIND("|",SUBSTITUTE($H2861&amp;" "," ","|",4))-FIND("|",SUBSTITUTE($H2861&amp;" "," ","|",3))-1),""))</f>
        <v/>
      </c>
      <c r="F2861" s="59">
        <f>IF($H2861="","",IFERROR(VALUE(IFERROR(MID($H2861&amp;" ",FIND("|",SUBSTITUTE($H2861&amp;" "," ","|",4))+1,FIND("|",SUBSTITUTE($H2861&amp;" "," ","|",5))-FIND("|",SUBSTITUTE($H2861&amp;" "," ","|",4))-1),""))/86400+25569+9/24,""))</f>
        <v/>
      </c>
      <c r="G2861" s="58">
        <f>TRIM(SUBSTITUTE(SUBSTITUTE(SUBSTITUTE($A2861,CHAR(9)," ")," "," "),CHAR(13),""))</f>
        <v/>
      </c>
      <c r="H2861" s="58">
        <f>IF($G2861="","",IF(ISNUMBER(FIND(" ",$G2861)),$G2861,IFERROR(IF((LEN(SUBSTITUTE(SUBSTITUTE($G2861,"-"," ",LEN($G2861)-LEN(SUBSTITUTE($G2861,"-",""))),"-"," ",LEN($G2861)-LEN(SUBSTITUTE($G2861,"-",""))-1))-LEN(SUBSTITUTE(SUBSTITUTE(SUBSTITUTE($G2861,"-"," ",LEN($G2861)-LEN(SUBSTITUTE($G2861,"-",""))),"-"," ",LEN($G2861)-LEN(SUBSTITUTE($G2861,"-",""))-1),".","")))=0,SUBSTITUTE(SUBSTITUTE($G2861,"-"," ",LEN($G2861)-LEN(SUBSTITUTE($G2861,"-",""))),"-"," ",LEN($G2861)-LEN(SUBSTITUTE($G2861,"-",""))-1),SUBSTITUTE(SUBSTITUTE(SUBSTITUTE($G2861,"-"," ",LEN($G2861)-LEN(SUBSTITUTE($G2861,"-",""))),"-"," ",LEN($G2861)-LEN(SUBSTITUTE($G2861,"-",""))-1),"."," ",(LEN(SUBSTITUTE(SUBSTITUTE($G2861,"-"," ",LEN($G2861)-LEN(SUBSTITUTE($G2861,"-",""))),"-"," ",LEN($G2861)-LEN(SUBSTITUTE($G2861,"-",""))-1))-LEN(SUBSTITUTE(SUBSTITUTE(SUBSTITUTE($G2861,"-"," ",LEN($G2861)-LEN(SUBSTITUTE($G2861,"-",""))),"-"," ",LEN($G2861)-LEN(SUBSTITUTE($G2861,"-",""))-1),".",""))))),$G2861)))</f>
        <v/>
      </c>
    </row>
    <row r="2862">
      <c r="A2862" s="58" t="n"/>
      <c r="B2862" s="58">
        <f>IF($H2862="","",LEFT($H2862,FIND(" ",$H2862&amp;" ")-1))</f>
        <v/>
      </c>
      <c r="C2862" s="58">
        <f>IF($H2862="","",IFERROR(MID($H2862&amp;" ",FIND("|",SUBSTITUTE($H2862&amp;" "," ","|",1))+1,FIND("|",SUBSTITUTE($H2862&amp;" "," ","|",2))-FIND("|",SUBSTITUTE($H2862&amp;" "," ","|",1))-1),""))</f>
        <v/>
      </c>
      <c r="D2862" s="58">
        <f>IF($H2862="","",IFERROR(MID($H2862&amp;" ",FIND("|",SUBSTITUTE($H2862&amp;" "," ","|",2))+1,FIND("|",SUBSTITUTE($H2862&amp;" "," ","|",3))-FIND("|",SUBSTITUTE($H2862&amp;" "," ","|",2))-1),""))</f>
        <v/>
      </c>
      <c r="E2862" s="58">
        <f>IF($H2862="","",IFERROR(MID($H2862&amp;" ",FIND("|",SUBSTITUTE($H2862&amp;" "," ","|",3))+1,FIND("|",SUBSTITUTE($H2862&amp;" "," ","|",4))-FIND("|",SUBSTITUTE($H2862&amp;" "," ","|",3))-1),""))</f>
        <v/>
      </c>
      <c r="F2862" s="59">
        <f>IF($H2862="","",IFERROR(VALUE(IFERROR(MID($H2862&amp;" ",FIND("|",SUBSTITUTE($H2862&amp;" "," ","|",4))+1,FIND("|",SUBSTITUTE($H2862&amp;" "," ","|",5))-FIND("|",SUBSTITUTE($H2862&amp;" "," ","|",4))-1),""))/86400+25569+9/24,""))</f>
        <v/>
      </c>
      <c r="G2862" s="58">
        <f>TRIM(SUBSTITUTE(SUBSTITUTE(SUBSTITUTE($A2862,CHAR(9)," ")," "," "),CHAR(13),""))</f>
        <v/>
      </c>
      <c r="H2862" s="58">
        <f>IF($G2862="","",IF(ISNUMBER(FIND(" ",$G2862)),$G2862,IFERROR(IF((LEN(SUBSTITUTE(SUBSTITUTE($G2862,"-"," ",LEN($G2862)-LEN(SUBSTITUTE($G2862,"-",""))),"-"," ",LEN($G2862)-LEN(SUBSTITUTE($G2862,"-",""))-1))-LEN(SUBSTITUTE(SUBSTITUTE(SUBSTITUTE($G2862,"-"," ",LEN($G2862)-LEN(SUBSTITUTE($G2862,"-",""))),"-"," ",LEN($G2862)-LEN(SUBSTITUTE($G2862,"-",""))-1),".","")))=0,SUBSTITUTE(SUBSTITUTE($G2862,"-"," ",LEN($G2862)-LEN(SUBSTITUTE($G2862,"-",""))),"-"," ",LEN($G2862)-LEN(SUBSTITUTE($G2862,"-",""))-1),SUBSTITUTE(SUBSTITUTE(SUBSTITUTE($G2862,"-"," ",LEN($G2862)-LEN(SUBSTITUTE($G2862,"-",""))),"-"," ",LEN($G2862)-LEN(SUBSTITUTE($G2862,"-",""))-1),"."," ",(LEN(SUBSTITUTE(SUBSTITUTE($G2862,"-"," ",LEN($G2862)-LEN(SUBSTITUTE($G2862,"-",""))),"-"," ",LEN($G2862)-LEN(SUBSTITUTE($G2862,"-",""))-1))-LEN(SUBSTITUTE(SUBSTITUTE(SUBSTITUTE($G2862,"-"," ",LEN($G2862)-LEN(SUBSTITUTE($G2862,"-",""))),"-"," ",LEN($G2862)-LEN(SUBSTITUTE($G2862,"-",""))-1),".",""))))),$G2862)))</f>
        <v/>
      </c>
    </row>
    <row r="2863">
      <c r="A2863" s="58" t="n"/>
      <c r="B2863" s="58">
        <f>IF($H2863="","",LEFT($H2863,FIND(" ",$H2863&amp;" ")-1))</f>
        <v/>
      </c>
      <c r="C2863" s="58">
        <f>IF($H2863="","",IFERROR(MID($H2863&amp;" ",FIND("|",SUBSTITUTE($H2863&amp;" "," ","|",1))+1,FIND("|",SUBSTITUTE($H2863&amp;" "," ","|",2))-FIND("|",SUBSTITUTE($H2863&amp;" "," ","|",1))-1),""))</f>
        <v/>
      </c>
      <c r="D2863" s="58">
        <f>IF($H2863="","",IFERROR(MID($H2863&amp;" ",FIND("|",SUBSTITUTE($H2863&amp;" "," ","|",2))+1,FIND("|",SUBSTITUTE($H2863&amp;" "," ","|",3))-FIND("|",SUBSTITUTE($H2863&amp;" "," ","|",2))-1),""))</f>
        <v/>
      </c>
      <c r="E2863" s="58">
        <f>IF($H2863="","",IFERROR(MID($H2863&amp;" ",FIND("|",SUBSTITUTE($H2863&amp;" "," ","|",3))+1,FIND("|",SUBSTITUTE($H2863&amp;" "," ","|",4))-FIND("|",SUBSTITUTE($H2863&amp;" "," ","|",3))-1),""))</f>
        <v/>
      </c>
      <c r="F2863" s="59">
        <f>IF($H2863="","",IFERROR(VALUE(IFERROR(MID($H2863&amp;" ",FIND("|",SUBSTITUTE($H2863&amp;" "," ","|",4))+1,FIND("|",SUBSTITUTE($H2863&amp;" "," ","|",5))-FIND("|",SUBSTITUTE($H2863&amp;" "," ","|",4))-1),""))/86400+25569+9/24,""))</f>
        <v/>
      </c>
      <c r="G2863" s="58">
        <f>TRIM(SUBSTITUTE(SUBSTITUTE(SUBSTITUTE($A2863,CHAR(9)," ")," "," "),CHAR(13),""))</f>
        <v/>
      </c>
      <c r="H2863" s="58">
        <f>IF($G2863="","",IF(ISNUMBER(FIND(" ",$G2863)),$G2863,IFERROR(IF((LEN(SUBSTITUTE(SUBSTITUTE($G2863,"-"," ",LEN($G2863)-LEN(SUBSTITUTE($G2863,"-",""))),"-"," ",LEN($G2863)-LEN(SUBSTITUTE($G2863,"-",""))-1))-LEN(SUBSTITUTE(SUBSTITUTE(SUBSTITUTE($G2863,"-"," ",LEN($G2863)-LEN(SUBSTITUTE($G2863,"-",""))),"-"," ",LEN($G2863)-LEN(SUBSTITUTE($G2863,"-",""))-1),".","")))=0,SUBSTITUTE(SUBSTITUTE($G2863,"-"," ",LEN($G2863)-LEN(SUBSTITUTE($G2863,"-",""))),"-"," ",LEN($G2863)-LEN(SUBSTITUTE($G2863,"-",""))-1),SUBSTITUTE(SUBSTITUTE(SUBSTITUTE($G2863,"-"," ",LEN($G2863)-LEN(SUBSTITUTE($G2863,"-",""))),"-"," ",LEN($G2863)-LEN(SUBSTITUTE($G2863,"-",""))-1),"."," ",(LEN(SUBSTITUTE(SUBSTITUTE($G2863,"-"," ",LEN($G2863)-LEN(SUBSTITUTE($G2863,"-",""))),"-"," ",LEN($G2863)-LEN(SUBSTITUTE($G2863,"-",""))-1))-LEN(SUBSTITUTE(SUBSTITUTE(SUBSTITUTE($G2863,"-"," ",LEN($G2863)-LEN(SUBSTITUTE($G2863,"-",""))),"-"," ",LEN($G2863)-LEN(SUBSTITUTE($G2863,"-",""))-1),".",""))))),$G2863)))</f>
        <v/>
      </c>
    </row>
    <row r="2864">
      <c r="A2864" s="58" t="n"/>
      <c r="B2864" s="58">
        <f>IF($H2864="","",LEFT($H2864,FIND(" ",$H2864&amp;" ")-1))</f>
        <v/>
      </c>
      <c r="C2864" s="58">
        <f>IF($H2864="","",IFERROR(MID($H2864&amp;" ",FIND("|",SUBSTITUTE($H2864&amp;" "," ","|",1))+1,FIND("|",SUBSTITUTE($H2864&amp;" "," ","|",2))-FIND("|",SUBSTITUTE($H2864&amp;" "," ","|",1))-1),""))</f>
        <v/>
      </c>
      <c r="D2864" s="58">
        <f>IF($H2864="","",IFERROR(MID($H2864&amp;" ",FIND("|",SUBSTITUTE($H2864&amp;" "," ","|",2))+1,FIND("|",SUBSTITUTE($H2864&amp;" "," ","|",3))-FIND("|",SUBSTITUTE($H2864&amp;" "," ","|",2))-1),""))</f>
        <v/>
      </c>
      <c r="E2864" s="58">
        <f>IF($H2864="","",IFERROR(MID($H2864&amp;" ",FIND("|",SUBSTITUTE($H2864&amp;" "," ","|",3))+1,FIND("|",SUBSTITUTE($H2864&amp;" "," ","|",4))-FIND("|",SUBSTITUTE($H2864&amp;" "," ","|",3))-1),""))</f>
        <v/>
      </c>
      <c r="F2864" s="59">
        <f>IF($H2864="","",IFERROR(VALUE(IFERROR(MID($H2864&amp;" ",FIND("|",SUBSTITUTE($H2864&amp;" "," ","|",4))+1,FIND("|",SUBSTITUTE($H2864&amp;" "," ","|",5))-FIND("|",SUBSTITUTE($H2864&amp;" "," ","|",4))-1),""))/86400+25569+9/24,""))</f>
        <v/>
      </c>
      <c r="G2864" s="58">
        <f>TRIM(SUBSTITUTE(SUBSTITUTE(SUBSTITUTE($A2864,CHAR(9)," ")," "," "),CHAR(13),""))</f>
        <v/>
      </c>
      <c r="H2864" s="58">
        <f>IF($G2864="","",IF(ISNUMBER(FIND(" ",$G2864)),$G2864,IFERROR(IF((LEN(SUBSTITUTE(SUBSTITUTE($G2864,"-"," ",LEN($G2864)-LEN(SUBSTITUTE($G2864,"-",""))),"-"," ",LEN($G2864)-LEN(SUBSTITUTE($G2864,"-",""))-1))-LEN(SUBSTITUTE(SUBSTITUTE(SUBSTITUTE($G2864,"-"," ",LEN($G2864)-LEN(SUBSTITUTE($G2864,"-",""))),"-"," ",LEN($G2864)-LEN(SUBSTITUTE($G2864,"-",""))-1),".","")))=0,SUBSTITUTE(SUBSTITUTE($G2864,"-"," ",LEN($G2864)-LEN(SUBSTITUTE($G2864,"-",""))),"-"," ",LEN($G2864)-LEN(SUBSTITUTE($G2864,"-",""))-1),SUBSTITUTE(SUBSTITUTE(SUBSTITUTE($G2864,"-"," ",LEN($G2864)-LEN(SUBSTITUTE($G2864,"-",""))),"-"," ",LEN($G2864)-LEN(SUBSTITUTE($G2864,"-",""))-1),"."," ",(LEN(SUBSTITUTE(SUBSTITUTE($G2864,"-"," ",LEN($G2864)-LEN(SUBSTITUTE($G2864,"-",""))),"-"," ",LEN($G2864)-LEN(SUBSTITUTE($G2864,"-",""))-1))-LEN(SUBSTITUTE(SUBSTITUTE(SUBSTITUTE($G2864,"-"," ",LEN($G2864)-LEN(SUBSTITUTE($G2864,"-",""))),"-"," ",LEN($G2864)-LEN(SUBSTITUTE($G2864,"-",""))-1),".",""))))),$G2864)))</f>
        <v/>
      </c>
    </row>
    <row r="2865">
      <c r="A2865" s="58" t="n"/>
      <c r="B2865" s="58">
        <f>IF($H2865="","",LEFT($H2865,FIND(" ",$H2865&amp;" ")-1))</f>
        <v/>
      </c>
      <c r="C2865" s="58">
        <f>IF($H2865="","",IFERROR(MID($H2865&amp;" ",FIND("|",SUBSTITUTE($H2865&amp;" "," ","|",1))+1,FIND("|",SUBSTITUTE($H2865&amp;" "," ","|",2))-FIND("|",SUBSTITUTE($H2865&amp;" "," ","|",1))-1),""))</f>
        <v/>
      </c>
      <c r="D2865" s="58">
        <f>IF($H2865="","",IFERROR(MID($H2865&amp;" ",FIND("|",SUBSTITUTE($H2865&amp;" "," ","|",2))+1,FIND("|",SUBSTITUTE($H2865&amp;" "," ","|",3))-FIND("|",SUBSTITUTE($H2865&amp;" "," ","|",2))-1),""))</f>
        <v/>
      </c>
      <c r="E2865" s="58">
        <f>IF($H2865="","",IFERROR(MID($H2865&amp;" ",FIND("|",SUBSTITUTE($H2865&amp;" "," ","|",3))+1,FIND("|",SUBSTITUTE($H2865&amp;" "," ","|",4))-FIND("|",SUBSTITUTE($H2865&amp;" "," ","|",3))-1),""))</f>
        <v/>
      </c>
      <c r="F2865" s="59">
        <f>IF($H2865="","",IFERROR(VALUE(IFERROR(MID($H2865&amp;" ",FIND("|",SUBSTITUTE($H2865&amp;" "," ","|",4))+1,FIND("|",SUBSTITUTE($H2865&amp;" "," ","|",5))-FIND("|",SUBSTITUTE($H2865&amp;" "," ","|",4))-1),""))/86400+25569+9/24,""))</f>
        <v/>
      </c>
      <c r="G2865" s="58">
        <f>TRIM(SUBSTITUTE(SUBSTITUTE(SUBSTITUTE($A2865,CHAR(9)," ")," "," "),CHAR(13),""))</f>
        <v/>
      </c>
      <c r="H2865" s="58">
        <f>IF($G2865="","",IF(ISNUMBER(FIND(" ",$G2865)),$G2865,IFERROR(IF((LEN(SUBSTITUTE(SUBSTITUTE($G2865,"-"," ",LEN($G2865)-LEN(SUBSTITUTE($G2865,"-",""))),"-"," ",LEN($G2865)-LEN(SUBSTITUTE($G2865,"-",""))-1))-LEN(SUBSTITUTE(SUBSTITUTE(SUBSTITUTE($G2865,"-"," ",LEN($G2865)-LEN(SUBSTITUTE($G2865,"-",""))),"-"," ",LEN($G2865)-LEN(SUBSTITUTE($G2865,"-",""))-1),".","")))=0,SUBSTITUTE(SUBSTITUTE($G2865,"-"," ",LEN($G2865)-LEN(SUBSTITUTE($G2865,"-",""))),"-"," ",LEN($G2865)-LEN(SUBSTITUTE($G2865,"-",""))-1),SUBSTITUTE(SUBSTITUTE(SUBSTITUTE($G2865,"-"," ",LEN($G2865)-LEN(SUBSTITUTE($G2865,"-",""))),"-"," ",LEN($G2865)-LEN(SUBSTITUTE($G2865,"-",""))-1),"."," ",(LEN(SUBSTITUTE(SUBSTITUTE($G2865,"-"," ",LEN($G2865)-LEN(SUBSTITUTE($G2865,"-",""))),"-"," ",LEN($G2865)-LEN(SUBSTITUTE($G2865,"-",""))-1))-LEN(SUBSTITUTE(SUBSTITUTE(SUBSTITUTE($G2865,"-"," ",LEN($G2865)-LEN(SUBSTITUTE($G2865,"-",""))),"-"," ",LEN($G2865)-LEN(SUBSTITUTE($G2865,"-",""))-1),".",""))))),$G2865)))</f>
        <v/>
      </c>
    </row>
    <row r="2866">
      <c r="A2866" s="58" t="n"/>
      <c r="B2866" s="58">
        <f>IF($H2866="","",LEFT($H2866,FIND(" ",$H2866&amp;" ")-1))</f>
        <v/>
      </c>
      <c r="C2866" s="58">
        <f>IF($H2866="","",IFERROR(MID($H2866&amp;" ",FIND("|",SUBSTITUTE($H2866&amp;" "," ","|",1))+1,FIND("|",SUBSTITUTE($H2866&amp;" "," ","|",2))-FIND("|",SUBSTITUTE($H2866&amp;" "," ","|",1))-1),""))</f>
        <v/>
      </c>
      <c r="D2866" s="58">
        <f>IF($H2866="","",IFERROR(MID($H2866&amp;" ",FIND("|",SUBSTITUTE($H2866&amp;" "," ","|",2))+1,FIND("|",SUBSTITUTE($H2866&amp;" "," ","|",3))-FIND("|",SUBSTITUTE($H2866&amp;" "," ","|",2))-1),""))</f>
        <v/>
      </c>
      <c r="E2866" s="58">
        <f>IF($H2866="","",IFERROR(MID($H2866&amp;" ",FIND("|",SUBSTITUTE($H2866&amp;" "," ","|",3))+1,FIND("|",SUBSTITUTE($H2866&amp;" "," ","|",4))-FIND("|",SUBSTITUTE($H2866&amp;" "," ","|",3))-1),""))</f>
        <v/>
      </c>
      <c r="F2866" s="59">
        <f>IF($H2866="","",IFERROR(VALUE(IFERROR(MID($H2866&amp;" ",FIND("|",SUBSTITUTE($H2866&amp;" "," ","|",4))+1,FIND("|",SUBSTITUTE($H2866&amp;" "," ","|",5))-FIND("|",SUBSTITUTE($H2866&amp;" "," ","|",4))-1),""))/86400+25569+9/24,""))</f>
        <v/>
      </c>
      <c r="G2866" s="58">
        <f>TRIM(SUBSTITUTE(SUBSTITUTE(SUBSTITUTE($A2866,CHAR(9)," ")," "," "),CHAR(13),""))</f>
        <v/>
      </c>
      <c r="H2866" s="58">
        <f>IF($G2866="","",IF(ISNUMBER(FIND(" ",$G2866)),$G2866,IFERROR(IF((LEN(SUBSTITUTE(SUBSTITUTE($G2866,"-"," ",LEN($G2866)-LEN(SUBSTITUTE($G2866,"-",""))),"-"," ",LEN($G2866)-LEN(SUBSTITUTE($G2866,"-",""))-1))-LEN(SUBSTITUTE(SUBSTITUTE(SUBSTITUTE($G2866,"-"," ",LEN($G2866)-LEN(SUBSTITUTE($G2866,"-",""))),"-"," ",LEN($G2866)-LEN(SUBSTITUTE($G2866,"-",""))-1),".","")))=0,SUBSTITUTE(SUBSTITUTE($G2866,"-"," ",LEN($G2866)-LEN(SUBSTITUTE($G2866,"-",""))),"-"," ",LEN($G2866)-LEN(SUBSTITUTE($G2866,"-",""))-1),SUBSTITUTE(SUBSTITUTE(SUBSTITUTE($G2866,"-"," ",LEN($G2866)-LEN(SUBSTITUTE($G2866,"-",""))),"-"," ",LEN($G2866)-LEN(SUBSTITUTE($G2866,"-",""))-1),"."," ",(LEN(SUBSTITUTE(SUBSTITUTE($G2866,"-"," ",LEN($G2866)-LEN(SUBSTITUTE($G2866,"-",""))),"-"," ",LEN($G2866)-LEN(SUBSTITUTE($G2866,"-",""))-1))-LEN(SUBSTITUTE(SUBSTITUTE(SUBSTITUTE($G2866,"-"," ",LEN($G2866)-LEN(SUBSTITUTE($G2866,"-",""))),"-"," ",LEN($G2866)-LEN(SUBSTITUTE($G2866,"-",""))-1),".",""))))),$G2866)))</f>
        <v/>
      </c>
    </row>
    <row r="2867">
      <c r="A2867" s="58" t="n"/>
      <c r="B2867" s="58">
        <f>IF($H2867="","",LEFT($H2867,FIND(" ",$H2867&amp;" ")-1))</f>
        <v/>
      </c>
      <c r="C2867" s="58">
        <f>IF($H2867="","",IFERROR(MID($H2867&amp;" ",FIND("|",SUBSTITUTE($H2867&amp;" "," ","|",1))+1,FIND("|",SUBSTITUTE($H2867&amp;" "," ","|",2))-FIND("|",SUBSTITUTE($H2867&amp;" "," ","|",1))-1),""))</f>
        <v/>
      </c>
      <c r="D2867" s="58">
        <f>IF($H2867="","",IFERROR(MID($H2867&amp;" ",FIND("|",SUBSTITUTE($H2867&amp;" "," ","|",2))+1,FIND("|",SUBSTITUTE($H2867&amp;" "," ","|",3))-FIND("|",SUBSTITUTE($H2867&amp;" "," ","|",2))-1),""))</f>
        <v/>
      </c>
      <c r="E2867" s="58">
        <f>IF($H2867="","",IFERROR(MID($H2867&amp;" ",FIND("|",SUBSTITUTE($H2867&amp;" "," ","|",3))+1,FIND("|",SUBSTITUTE($H2867&amp;" "," ","|",4))-FIND("|",SUBSTITUTE($H2867&amp;" "," ","|",3))-1),""))</f>
        <v/>
      </c>
      <c r="F2867" s="59">
        <f>IF($H2867="","",IFERROR(VALUE(IFERROR(MID($H2867&amp;" ",FIND("|",SUBSTITUTE($H2867&amp;" "," ","|",4))+1,FIND("|",SUBSTITUTE($H2867&amp;" "," ","|",5))-FIND("|",SUBSTITUTE($H2867&amp;" "," ","|",4))-1),""))/86400+25569+9/24,""))</f>
        <v/>
      </c>
      <c r="G2867" s="58">
        <f>TRIM(SUBSTITUTE(SUBSTITUTE(SUBSTITUTE($A2867,CHAR(9)," ")," "," "),CHAR(13),""))</f>
        <v/>
      </c>
      <c r="H2867" s="58">
        <f>IF($G2867="","",IF(ISNUMBER(FIND(" ",$G2867)),$G2867,IFERROR(IF((LEN(SUBSTITUTE(SUBSTITUTE($G2867,"-"," ",LEN($G2867)-LEN(SUBSTITUTE($G2867,"-",""))),"-"," ",LEN($G2867)-LEN(SUBSTITUTE($G2867,"-",""))-1))-LEN(SUBSTITUTE(SUBSTITUTE(SUBSTITUTE($G2867,"-"," ",LEN($G2867)-LEN(SUBSTITUTE($G2867,"-",""))),"-"," ",LEN($G2867)-LEN(SUBSTITUTE($G2867,"-",""))-1),".","")))=0,SUBSTITUTE(SUBSTITUTE($G2867,"-"," ",LEN($G2867)-LEN(SUBSTITUTE($G2867,"-",""))),"-"," ",LEN($G2867)-LEN(SUBSTITUTE($G2867,"-",""))-1),SUBSTITUTE(SUBSTITUTE(SUBSTITUTE($G2867,"-"," ",LEN($G2867)-LEN(SUBSTITUTE($G2867,"-",""))),"-"," ",LEN($G2867)-LEN(SUBSTITUTE($G2867,"-",""))-1),"."," ",(LEN(SUBSTITUTE(SUBSTITUTE($G2867,"-"," ",LEN($G2867)-LEN(SUBSTITUTE($G2867,"-",""))),"-"," ",LEN($G2867)-LEN(SUBSTITUTE($G2867,"-",""))-1))-LEN(SUBSTITUTE(SUBSTITUTE(SUBSTITUTE($G2867,"-"," ",LEN($G2867)-LEN(SUBSTITUTE($G2867,"-",""))),"-"," ",LEN($G2867)-LEN(SUBSTITUTE($G2867,"-",""))-1),".",""))))),$G2867)))</f>
        <v/>
      </c>
    </row>
    <row r="2868">
      <c r="A2868" s="58" t="n"/>
      <c r="B2868" s="58">
        <f>IF($H2868="","",LEFT($H2868,FIND(" ",$H2868&amp;" ")-1))</f>
        <v/>
      </c>
      <c r="C2868" s="58">
        <f>IF($H2868="","",IFERROR(MID($H2868&amp;" ",FIND("|",SUBSTITUTE($H2868&amp;" "," ","|",1))+1,FIND("|",SUBSTITUTE($H2868&amp;" "," ","|",2))-FIND("|",SUBSTITUTE($H2868&amp;" "," ","|",1))-1),""))</f>
        <v/>
      </c>
      <c r="D2868" s="58">
        <f>IF($H2868="","",IFERROR(MID($H2868&amp;" ",FIND("|",SUBSTITUTE($H2868&amp;" "," ","|",2))+1,FIND("|",SUBSTITUTE($H2868&amp;" "," ","|",3))-FIND("|",SUBSTITUTE($H2868&amp;" "," ","|",2))-1),""))</f>
        <v/>
      </c>
      <c r="E2868" s="58">
        <f>IF($H2868="","",IFERROR(MID($H2868&amp;" ",FIND("|",SUBSTITUTE($H2868&amp;" "," ","|",3))+1,FIND("|",SUBSTITUTE($H2868&amp;" "," ","|",4))-FIND("|",SUBSTITUTE($H2868&amp;" "," ","|",3))-1),""))</f>
        <v/>
      </c>
      <c r="F2868" s="59">
        <f>IF($H2868="","",IFERROR(VALUE(IFERROR(MID($H2868&amp;" ",FIND("|",SUBSTITUTE($H2868&amp;" "," ","|",4))+1,FIND("|",SUBSTITUTE($H2868&amp;" "," ","|",5))-FIND("|",SUBSTITUTE($H2868&amp;" "," ","|",4))-1),""))/86400+25569+9/24,""))</f>
        <v/>
      </c>
      <c r="G2868" s="58">
        <f>TRIM(SUBSTITUTE(SUBSTITUTE(SUBSTITUTE($A2868,CHAR(9)," ")," "," "),CHAR(13),""))</f>
        <v/>
      </c>
      <c r="H2868" s="58">
        <f>IF($G2868="","",IF(ISNUMBER(FIND(" ",$G2868)),$G2868,IFERROR(IF((LEN(SUBSTITUTE(SUBSTITUTE($G2868,"-"," ",LEN($G2868)-LEN(SUBSTITUTE($G2868,"-",""))),"-"," ",LEN($G2868)-LEN(SUBSTITUTE($G2868,"-",""))-1))-LEN(SUBSTITUTE(SUBSTITUTE(SUBSTITUTE($G2868,"-"," ",LEN($G2868)-LEN(SUBSTITUTE($G2868,"-",""))),"-"," ",LEN($G2868)-LEN(SUBSTITUTE($G2868,"-",""))-1),".","")))=0,SUBSTITUTE(SUBSTITUTE($G2868,"-"," ",LEN($G2868)-LEN(SUBSTITUTE($G2868,"-",""))),"-"," ",LEN($G2868)-LEN(SUBSTITUTE($G2868,"-",""))-1),SUBSTITUTE(SUBSTITUTE(SUBSTITUTE($G2868,"-"," ",LEN($G2868)-LEN(SUBSTITUTE($G2868,"-",""))),"-"," ",LEN($G2868)-LEN(SUBSTITUTE($G2868,"-",""))-1),"."," ",(LEN(SUBSTITUTE(SUBSTITUTE($G2868,"-"," ",LEN($G2868)-LEN(SUBSTITUTE($G2868,"-",""))),"-"," ",LEN($G2868)-LEN(SUBSTITUTE($G2868,"-",""))-1))-LEN(SUBSTITUTE(SUBSTITUTE(SUBSTITUTE($G2868,"-"," ",LEN($G2868)-LEN(SUBSTITUTE($G2868,"-",""))),"-"," ",LEN($G2868)-LEN(SUBSTITUTE($G2868,"-",""))-1),".",""))))),$G2868)))</f>
        <v/>
      </c>
    </row>
    <row r="2869">
      <c r="A2869" s="58" t="n"/>
      <c r="B2869" s="58">
        <f>IF($H2869="","",LEFT($H2869,FIND(" ",$H2869&amp;" ")-1))</f>
        <v/>
      </c>
      <c r="C2869" s="58">
        <f>IF($H2869="","",IFERROR(MID($H2869&amp;" ",FIND("|",SUBSTITUTE($H2869&amp;" "," ","|",1))+1,FIND("|",SUBSTITUTE($H2869&amp;" "," ","|",2))-FIND("|",SUBSTITUTE($H2869&amp;" "," ","|",1))-1),""))</f>
        <v/>
      </c>
      <c r="D2869" s="58">
        <f>IF($H2869="","",IFERROR(MID($H2869&amp;" ",FIND("|",SUBSTITUTE($H2869&amp;" "," ","|",2))+1,FIND("|",SUBSTITUTE($H2869&amp;" "," ","|",3))-FIND("|",SUBSTITUTE($H2869&amp;" "," ","|",2))-1),""))</f>
        <v/>
      </c>
      <c r="E2869" s="58">
        <f>IF($H2869="","",IFERROR(MID($H2869&amp;" ",FIND("|",SUBSTITUTE($H2869&amp;" "," ","|",3))+1,FIND("|",SUBSTITUTE($H2869&amp;" "," ","|",4))-FIND("|",SUBSTITUTE($H2869&amp;" "," ","|",3))-1),""))</f>
        <v/>
      </c>
      <c r="F2869" s="59">
        <f>IF($H2869="","",IFERROR(VALUE(IFERROR(MID($H2869&amp;" ",FIND("|",SUBSTITUTE($H2869&amp;" "," ","|",4))+1,FIND("|",SUBSTITUTE($H2869&amp;" "," ","|",5))-FIND("|",SUBSTITUTE($H2869&amp;" "," ","|",4))-1),""))/86400+25569+9/24,""))</f>
        <v/>
      </c>
      <c r="G2869" s="58">
        <f>TRIM(SUBSTITUTE(SUBSTITUTE(SUBSTITUTE($A2869,CHAR(9)," ")," "," "),CHAR(13),""))</f>
        <v/>
      </c>
      <c r="H2869" s="58">
        <f>IF($G2869="","",IF(ISNUMBER(FIND(" ",$G2869)),$G2869,IFERROR(IF((LEN(SUBSTITUTE(SUBSTITUTE($G2869,"-"," ",LEN($G2869)-LEN(SUBSTITUTE($G2869,"-",""))),"-"," ",LEN($G2869)-LEN(SUBSTITUTE($G2869,"-",""))-1))-LEN(SUBSTITUTE(SUBSTITUTE(SUBSTITUTE($G2869,"-"," ",LEN($G2869)-LEN(SUBSTITUTE($G2869,"-",""))),"-"," ",LEN($G2869)-LEN(SUBSTITUTE($G2869,"-",""))-1),".","")))=0,SUBSTITUTE(SUBSTITUTE($G2869,"-"," ",LEN($G2869)-LEN(SUBSTITUTE($G2869,"-",""))),"-"," ",LEN($G2869)-LEN(SUBSTITUTE($G2869,"-",""))-1),SUBSTITUTE(SUBSTITUTE(SUBSTITUTE($G2869,"-"," ",LEN($G2869)-LEN(SUBSTITUTE($G2869,"-",""))),"-"," ",LEN($G2869)-LEN(SUBSTITUTE($G2869,"-",""))-1),"."," ",(LEN(SUBSTITUTE(SUBSTITUTE($G2869,"-"," ",LEN($G2869)-LEN(SUBSTITUTE($G2869,"-",""))),"-"," ",LEN($G2869)-LEN(SUBSTITUTE($G2869,"-",""))-1))-LEN(SUBSTITUTE(SUBSTITUTE(SUBSTITUTE($G2869,"-"," ",LEN($G2869)-LEN(SUBSTITUTE($G2869,"-",""))),"-"," ",LEN($G2869)-LEN(SUBSTITUTE($G2869,"-",""))-1),".",""))))),$G2869)))</f>
        <v/>
      </c>
    </row>
    <row r="2870">
      <c r="A2870" s="58" t="n"/>
      <c r="B2870" s="58">
        <f>IF($H2870="","",LEFT($H2870,FIND(" ",$H2870&amp;" ")-1))</f>
        <v/>
      </c>
      <c r="C2870" s="58">
        <f>IF($H2870="","",IFERROR(MID($H2870&amp;" ",FIND("|",SUBSTITUTE($H2870&amp;" "," ","|",1))+1,FIND("|",SUBSTITUTE($H2870&amp;" "," ","|",2))-FIND("|",SUBSTITUTE($H2870&amp;" "," ","|",1))-1),""))</f>
        <v/>
      </c>
      <c r="D2870" s="58">
        <f>IF($H2870="","",IFERROR(MID($H2870&amp;" ",FIND("|",SUBSTITUTE($H2870&amp;" "," ","|",2))+1,FIND("|",SUBSTITUTE($H2870&amp;" "," ","|",3))-FIND("|",SUBSTITUTE($H2870&amp;" "," ","|",2))-1),""))</f>
        <v/>
      </c>
      <c r="E2870" s="58">
        <f>IF($H2870="","",IFERROR(MID($H2870&amp;" ",FIND("|",SUBSTITUTE($H2870&amp;" "," ","|",3))+1,FIND("|",SUBSTITUTE($H2870&amp;" "," ","|",4))-FIND("|",SUBSTITUTE($H2870&amp;" "," ","|",3))-1),""))</f>
        <v/>
      </c>
      <c r="F2870" s="59">
        <f>IF($H2870="","",IFERROR(VALUE(IFERROR(MID($H2870&amp;" ",FIND("|",SUBSTITUTE($H2870&amp;" "," ","|",4))+1,FIND("|",SUBSTITUTE($H2870&amp;" "," ","|",5))-FIND("|",SUBSTITUTE($H2870&amp;" "," ","|",4))-1),""))/86400+25569+9/24,""))</f>
        <v/>
      </c>
      <c r="G2870" s="58">
        <f>TRIM(SUBSTITUTE(SUBSTITUTE(SUBSTITUTE($A2870,CHAR(9)," ")," "," "),CHAR(13),""))</f>
        <v/>
      </c>
      <c r="H2870" s="58">
        <f>IF($G2870="","",IF(ISNUMBER(FIND(" ",$G2870)),$G2870,IFERROR(IF((LEN(SUBSTITUTE(SUBSTITUTE($G2870,"-"," ",LEN($G2870)-LEN(SUBSTITUTE($G2870,"-",""))),"-"," ",LEN($G2870)-LEN(SUBSTITUTE($G2870,"-",""))-1))-LEN(SUBSTITUTE(SUBSTITUTE(SUBSTITUTE($G2870,"-"," ",LEN($G2870)-LEN(SUBSTITUTE($G2870,"-",""))),"-"," ",LEN($G2870)-LEN(SUBSTITUTE($G2870,"-",""))-1),".","")))=0,SUBSTITUTE(SUBSTITUTE($G2870,"-"," ",LEN($G2870)-LEN(SUBSTITUTE($G2870,"-",""))),"-"," ",LEN($G2870)-LEN(SUBSTITUTE($G2870,"-",""))-1),SUBSTITUTE(SUBSTITUTE(SUBSTITUTE($G2870,"-"," ",LEN($G2870)-LEN(SUBSTITUTE($G2870,"-",""))),"-"," ",LEN($G2870)-LEN(SUBSTITUTE($G2870,"-",""))-1),"."," ",(LEN(SUBSTITUTE(SUBSTITUTE($G2870,"-"," ",LEN($G2870)-LEN(SUBSTITUTE($G2870,"-",""))),"-"," ",LEN($G2870)-LEN(SUBSTITUTE($G2870,"-",""))-1))-LEN(SUBSTITUTE(SUBSTITUTE(SUBSTITUTE($G2870,"-"," ",LEN($G2870)-LEN(SUBSTITUTE($G2870,"-",""))),"-"," ",LEN($G2870)-LEN(SUBSTITUTE($G2870,"-",""))-1),".",""))))),$G2870)))</f>
        <v/>
      </c>
    </row>
    <row r="2871">
      <c r="A2871" s="58" t="n"/>
      <c r="B2871" s="58">
        <f>IF($H2871="","",LEFT($H2871,FIND(" ",$H2871&amp;" ")-1))</f>
        <v/>
      </c>
      <c r="C2871" s="58">
        <f>IF($H2871="","",IFERROR(MID($H2871&amp;" ",FIND("|",SUBSTITUTE($H2871&amp;" "," ","|",1))+1,FIND("|",SUBSTITUTE($H2871&amp;" "," ","|",2))-FIND("|",SUBSTITUTE($H2871&amp;" "," ","|",1))-1),""))</f>
        <v/>
      </c>
      <c r="D2871" s="58">
        <f>IF($H2871="","",IFERROR(MID($H2871&amp;" ",FIND("|",SUBSTITUTE($H2871&amp;" "," ","|",2))+1,FIND("|",SUBSTITUTE($H2871&amp;" "," ","|",3))-FIND("|",SUBSTITUTE($H2871&amp;" "," ","|",2))-1),""))</f>
        <v/>
      </c>
      <c r="E2871" s="58">
        <f>IF($H2871="","",IFERROR(MID($H2871&amp;" ",FIND("|",SUBSTITUTE($H2871&amp;" "," ","|",3))+1,FIND("|",SUBSTITUTE($H2871&amp;" "," ","|",4))-FIND("|",SUBSTITUTE($H2871&amp;" "," ","|",3))-1),""))</f>
        <v/>
      </c>
      <c r="F2871" s="59">
        <f>IF($H2871="","",IFERROR(VALUE(IFERROR(MID($H2871&amp;" ",FIND("|",SUBSTITUTE($H2871&amp;" "," ","|",4))+1,FIND("|",SUBSTITUTE($H2871&amp;" "," ","|",5))-FIND("|",SUBSTITUTE($H2871&amp;" "," ","|",4))-1),""))/86400+25569+9/24,""))</f>
        <v/>
      </c>
      <c r="G2871" s="58">
        <f>TRIM(SUBSTITUTE(SUBSTITUTE(SUBSTITUTE($A2871,CHAR(9)," ")," "," "),CHAR(13),""))</f>
        <v/>
      </c>
      <c r="H2871" s="58">
        <f>IF($G2871="","",IF(ISNUMBER(FIND(" ",$G2871)),$G2871,IFERROR(IF((LEN(SUBSTITUTE(SUBSTITUTE($G2871,"-"," ",LEN($G2871)-LEN(SUBSTITUTE($G2871,"-",""))),"-"," ",LEN($G2871)-LEN(SUBSTITUTE($G2871,"-",""))-1))-LEN(SUBSTITUTE(SUBSTITUTE(SUBSTITUTE($G2871,"-"," ",LEN($G2871)-LEN(SUBSTITUTE($G2871,"-",""))),"-"," ",LEN($G2871)-LEN(SUBSTITUTE($G2871,"-",""))-1),".","")))=0,SUBSTITUTE(SUBSTITUTE($G2871,"-"," ",LEN($G2871)-LEN(SUBSTITUTE($G2871,"-",""))),"-"," ",LEN($G2871)-LEN(SUBSTITUTE($G2871,"-",""))-1),SUBSTITUTE(SUBSTITUTE(SUBSTITUTE($G2871,"-"," ",LEN($G2871)-LEN(SUBSTITUTE($G2871,"-",""))),"-"," ",LEN($G2871)-LEN(SUBSTITUTE($G2871,"-",""))-1),"."," ",(LEN(SUBSTITUTE(SUBSTITUTE($G2871,"-"," ",LEN($G2871)-LEN(SUBSTITUTE($G2871,"-",""))),"-"," ",LEN($G2871)-LEN(SUBSTITUTE($G2871,"-",""))-1))-LEN(SUBSTITUTE(SUBSTITUTE(SUBSTITUTE($G2871,"-"," ",LEN($G2871)-LEN(SUBSTITUTE($G2871,"-",""))),"-"," ",LEN($G2871)-LEN(SUBSTITUTE($G2871,"-",""))-1),".",""))))),$G2871)))</f>
        <v/>
      </c>
    </row>
    <row r="2872">
      <c r="A2872" s="58" t="n"/>
      <c r="B2872" s="58">
        <f>IF($H2872="","",LEFT($H2872,FIND(" ",$H2872&amp;" ")-1))</f>
        <v/>
      </c>
      <c r="C2872" s="58">
        <f>IF($H2872="","",IFERROR(MID($H2872&amp;" ",FIND("|",SUBSTITUTE($H2872&amp;" "," ","|",1))+1,FIND("|",SUBSTITUTE($H2872&amp;" "," ","|",2))-FIND("|",SUBSTITUTE($H2872&amp;" "," ","|",1))-1),""))</f>
        <v/>
      </c>
      <c r="D2872" s="58">
        <f>IF($H2872="","",IFERROR(MID($H2872&amp;" ",FIND("|",SUBSTITUTE($H2872&amp;" "," ","|",2))+1,FIND("|",SUBSTITUTE($H2872&amp;" "," ","|",3))-FIND("|",SUBSTITUTE($H2872&amp;" "," ","|",2))-1),""))</f>
        <v/>
      </c>
      <c r="E2872" s="58">
        <f>IF($H2872="","",IFERROR(MID($H2872&amp;" ",FIND("|",SUBSTITUTE($H2872&amp;" "," ","|",3))+1,FIND("|",SUBSTITUTE($H2872&amp;" "," ","|",4))-FIND("|",SUBSTITUTE($H2872&amp;" "," ","|",3))-1),""))</f>
        <v/>
      </c>
      <c r="F2872" s="59">
        <f>IF($H2872="","",IFERROR(VALUE(IFERROR(MID($H2872&amp;" ",FIND("|",SUBSTITUTE($H2872&amp;" "," ","|",4))+1,FIND("|",SUBSTITUTE($H2872&amp;" "," ","|",5))-FIND("|",SUBSTITUTE($H2872&amp;" "," ","|",4))-1),""))/86400+25569+9/24,""))</f>
        <v/>
      </c>
      <c r="G2872" s="58">
        <f>TRIM(SUBSTITUTE(SUBSTITUTE(SUBSTITUTE($A2872,CHAR(9)," ")," "," "),CHAR(13),""))</f>
        <v/>
      </c>
      <c r="H2872" s="58">
        <f>IF($G2872="","",IF(ISNUMBER(FIND(" ",$G2872)),$G2872,IFERROR(IF((LEN(SUBSTITUTE(SUBSTITUTE($G2872,"-"," ",LEN($G2872)-LEN(SUBSTITUTE($G2872,"-",""))),"-"," ",LEN($G2872)-LEN(SUBSTITUTE($G2872,"-",""))-1))-LEN(SUBSTITUTE(SUBSTITUTE(SUBSTITUTE($G2872,"-"," ",LEN($G2872)-LEN(SUBSTITUTE($G2872,"-",""))),"-"," ",LEN($G2872)-LEN(SUBSTITUTE($G2872,"-",""))-1),".","")))=0,SUBSTITUTE(SUBSTITUTE($G2872,"-"," ",LEN($G2872)-LEN(SUBSTITUTE($G2872,"-",""))),"-"," ",LEN($G2872)-LEN(SUBSTITUTE($G2872,"-",""))-1),SUBSTITUTE(SUBSTITUTE(SUBSTITUTE($G2872,"-"," ",LEN($G2872)-LEN(SUBSTITUTE($G2872,"-",""))),"-"," ",LEN($G2872)-LEN(SUBSTITUTE($G2872,"-",""))-1),"."," ",(LEN(SUBSTITUTE(SUBSTITUTE($G2872,"-"," ",LEN($G2872)-LEN(SUBSTITUTE($G2872,"-",""))),"-"," ",LEN($G2872)-LEN(SUBSTITUTE($G2872,"-",""))-1))-LEN(SUBSTITUTE(SUBSTITUTE(SUBSTITUTE($G2872,"-"," ",LEN($G2872)-LEN(SUBSTITUTE($G2872,"-",""))),"-"," ",LEN($G2872)-LEN(SUBSTITUTE($G2872,"-",""))-1),".",""))))),$G2872)))</f>
        <v/>
      </c>
    </row>
    <row r="2873">
      <c r="A2873" s="58" t="n"/>
      <c r="B2873" s="58">
        <f>IF($H2873="","",LEFT($H2873,FIND(" ",$H2873&amp;" ")-1))</f>
        <v/>
      </c>
      <c r="C2873" s="58">
        <f>IF($H2873="","",IFERROR(MID($H2873&amp;" ",FIND("|",SUBSTITUTE($H2873&amp;" "," ","|",1))+1,FIND("|",SUBSTITUTE($H2873&amp;" "," ","|",2))-FIND("|",SUBSTITUTE($H2873&amp;" "," ","|",1))-1),""))</f>
        <v/>
      </c>
      <c r="D2873" s="58">
        <f>IF($H2873="","",IFERROR(MID($H2873&amp;" ",FIND("|",SUBSTITUTE($H2873&amp;" "," ","|",2))+1,FIND("|",SUBSTITUTE($H2873&amp;" "," ","|",3))-FIND("|",SUBSTITUTE($H2873&amp;" "," ","|",2))-1),""))</f>
        <v/>
      </c>
      <c r="E2873" s="58">
        <f>IF($H2873="","",IFERROR(MID($H2873&amp;" ",FIND("|",SUBSTITUTE($H2873&amp;" "," ","|",3))+1,FIND("|",SUBSTITUTE($H2873&amp;" "," ","|",4))-FIND("|",SUBSTITUTE($H2873&amp;" "," ","|",3))-1),""))</f>
        <v/>
      </c>
      <c r="F2873" s="59">
        <f>IF($H2873="","",IFERROR(VALUE(IFERROR(MID($H2873&amp;" ",FIND("|",SUBSTITUTE($H2873&amp;" "," ","|",4))+1,FIND("|",SUBSTITUTE($H2873&amp;" "," ","|",5))-FIND("|",SUBSTITUTE($H2873&amp;" "," ","|",4))-1),""))/86400+25569+9/24,""))</f>
        <v/>
      </c>
      <c r="G2873" s="58">
        <f>TRIM(SUBSTITUTE(SUBSTITUTE(SUBSTITUTE($A2873,CHAR(9)," ")," "," "),CHAR(13),""))</f>
        <v/>
      </c>
      <c r="H2873" s="58">
        <f>IF($G2873="","",IF(ISNUMBER(FIND(" ",$G2873)),$G2873,IFERROR(IF((LEN(SUBSTITUTE(SUBSTITUTE($G2873,"-"," ",LEN($G2873)-LEN(SUBSTITUTE($G2873,"-",""))),"-"," ",LEN($G2873)-LEN(SUBSTITUTE($G2873,"-",""))-1))-LEN(SUBSTITUTE(SUBSTITUTE(SUBSTITUTE($G2873,"-"," ",LEN($G2873)-LEN(SUBSTITUTE($G2873,"-",""))),"-"," ",LEN($G2873)-LEN(SUBSTITUTE($G2873,"-",""))-1),".","")))=0,SUBSTITUTE(SUBSTITUTE($G2873,"-"," ",LEN($G2873)-LEN(SUBSTITUTE($G2873,"-",""))),"-"," ",LEN($G2873)-LEN(SUBSTITUTE($G2873,"-",""))-1),SUBSTITUTE(SUBSTITUTE(SUBSTITUTE($G2873,"-"," ",LEN($G2873)-LEN(SUBSTITUTE($G2873,"-",""))),"-"," ",LEN($G2873)-LEN(SUBSTITUTE($G2873,"-",""))-1),"."," ",(LEN(SUBSTITUTE(SUBSTITUTE($G2873,"-"," ",LEN($G2873)-LEN(SUBSTITUTE($G2873,"-",""))),"-"," ",LEN($G2873)-LEN(SUBSTITUTE($G2873,"-",""))-1))-LEN(SUBSTITUTE(SUBSTITUTE(SUBSTITUTE($G2873,"-"," ",LEN($G2873)-LEN(SUBSTITUTE($G2873,"-",""))),"-"," ",LEN($G2873)-LEN(SUBSTITUTE($G2873,"-",""))-1),".",""))))),$G2873)))</f>
        <v/>
      </c>
    </row>
    <row r="2874">
      <c r="A2874" s="58" t="n"/>
      <c r="B2874" s="58">
        <f>IF($H2874="","",LEFT($H2874,FIND(" ",$H2874&amp;" ")-1))</f>
        <v/>
      </c>
      <c r="C2874" s="58">
        <f>IF($H2874="","",IFERROR(MID($H2874&amp;" ",FIND("|",SUBSTITUTE($H2874&amp;" "," ","|",1))+1,FIND("|",SUBSTITUTE($H2874&amp;" "," ","|",2))-FIND("|",SUBSTITUTE($H2874&amp;" "," ","|",1))-1),""))</f>
        <v/>
      </c>
      <c r="D2874" s="58">
        <f>IF($H2874="","",IFERROR(MID($H2874&amp;" ",FIND("|",SUBSTITUTE($H2874&amp;" "," ","|",2))+1,FIND("|",SUBSTITUTE($H2874&amp;" "," ","|",3))-FIND("|",SUBSTITUTE($H2874&amp;" "," ","|",2))-1),""))</f>
        <v/>
      </c>
      <c r="E2874" s="58">
        <f>IF($H2874="","",IFERROR(MID($H2874&amp;" ",FIND("|",SUBSTITUTE($H2874&amp;" "," ","|",3))+1,FIND("|",SUBSTITUTE($H2874&amp;" "," ","|",4))-FIND("|",SUBSTITUTE($H2874&amp;" "," ","|",3))-1),""))</f>
        <v/>
      </c>
      <c r="F2874" s="59">
        <f>IF($H2874="","",IFERROR(VALUE(IFERROR(MID($H2874&amp;" ",FIND("|",SUBSTITUTE($H2874&amp;" "," ","|",4))+1,FIND("|",SUBSTITUTE($H2874&amp;" "," ","|",5))-FIND("|",SUBSTITUTE($H2874&amp;" "," ","|",4))-1),""))/86400+25569+9/24,""))</f>
        <v/>
      </c>
      <c r="G2874" s="58">
        <f>TRIM(SUBSTITUTE(SUBSTITUTE(SUBSTITUTE($A2874,CHAR(9)," ")," "," "),CHAR(13),""))</f>
        <v/>
      </c>
      <c r="H2874" s="58">
        <f>IF($G2874="","",IF(ISNUMBER(FIND(" ",$G2874)),$G2874,IFERROR(IF((LEN(SUBSTITUTE(SUBSTITUTE($G2874,"-"," ",LEN($G2874)-LEN(SUBSTITUTE($G2874,"-",""))),"-"," ",LEN($G2874)-LEN(SUBSTITUTE($G2874,"-",""))-1))-LEN(SUBSTITUTE(SUBSTITUTE(SUBSTITUTE($G2874,"-"," ",LEN($G2874)-LEN(SUBSTITUTE($G2874,"-",""))),"-"," ",LEN($G2874)-LEN(SUBSTITUTE($G2874,"-",""))-1),".","")))=0,SUBSTITUTE(SUBSTITUTE($G2874,"-"," ",LEN($G2874)-LEN(SUBSTITUTE($G2874,"-",""))),"-"," ",LEN($G2874)-LEN(SUBSTITUTE($G2874,"-",""))-1),SUBSTITUTE(SUBSTITUTE(SUBSTITUTE($G2874,"-"," ",LEN($G2874)-LEN(SUBSTITUTE($G2874,"-",""))),"-"," ",LEN($G2874)-LEN(SUBSTITUTE($G2874,"-",""))-1),"."," ",(LEN(SUBSTITUTE(SUBSTITUTE($G2874,"-"," ",LEN($G2874)-LEN(SUBSTITUTE($G2874,"-",""))),"-"," ",LEN($G2874)-LEN(SUBSTITUTE($G2874,"-",""))-1))-LEN(SUBSTITUTE(SUBSTITUTE(SUBSTITUTE($G2874,"-"," ",LEN($G2874)-LEN(SUBSTITUTE($G2874,"-",""))),"-"," ",LEN($G2874)-LEN(SUBSTITUTE($G2874,"-",""))-1),".",""))))),$G2874)))</f>
        <v/>
      </c>
    </row>
    <row r="2875">
      <c r="A2875" s="58" t="n"/>
      <c r="B2875" s="58">
        <f>IF($H2875="","",LEFT($H2875,FIND(" ",$H2875&amp;" ")-1))</f>
        <v/>
      </c>
      <c r="C2875" s="58">
        <f>IF($H2875="","",IFERROR(MID($H2875&amp;" ",FIND("|",SUBSTITUTE($H2875&amp;" "," ","|",1))+1,FIND("|",SUBSTITUTE($H2875&amp;" "," ","|",2))-FIND("|",SUBSTITUTE($H2875&amp;" "," ","|",1))-1),""))</f>
        <v/>
      </c>
      <c r="D2875" s="58">
        <f>IF($H2875="","",IFERROR(MID($H2875&amp;" ",FIND("|",SUBSTITUTE($H2875&amp;" "," ","|",2))+1,FIND("|",SUBSTITUTE($H2875&amp;" "," ","|",3))-FIND("|",SUBSTITUTE($H2875&amp;" "," ","|",2))-1),""))</f>
        <v/>
      </c>
      <c r="E2875" s="58">
        <f>IF($H2875="","",IFERROR(MID($H2875&amp;" ",FIND("|",SUBSTITUTE($H2875&amp;" "," ","|",3))+1,FIND("|",SUBSTITUTE($H2875&amp;" "," ","|",4))-FIND("|",SUBSTITUTE($H2875&amp;" "," ","|",3))-1),""))</f>
        <v/>
      </c>
      <c r="F2875" s="59">
        <f>IF($H2875="","",IFERROR(VALUE(IFERROR(MID($H2875&amp;" ",FIND("|",SUBSTITUTE($H2875&amp;" "," ","|",4))+1,FIND("|",SUBSTITUTE($H2875&amp;" "," ","|",5))-FIND("|",SUBSTITUTE($H2875&amp;" "," ","|",4))-1),""))/86400+25569+9/24,""))</f>
        <v/>
      </c>
      <c r="G2875" s="58">
        <f>TRIM(SUBSTITUTE(SUBSTITUTE(SUBSTITUTE($A2875,CHAR(9)," ")," "," "),CHAR(13),""))</f>
        <v/>
      </c>
      <c r="H2875" s="58">
        <f>IF($G2875="","",IF(ISNUMBER(FIND(" ",$G2875)),$G2875,IFERROR(IF((LEN(SUBSTITUTE(SUBSTITUTE($G2875,"-"," ",LEN($G2875)-LEN(SUBSTITUTE($G2875,"-",""))),"-"," ",LEN($G2875)-LEN(SUBSTITUTE($G2875,"-",""))-1))-LEN(SUBSTITUTE(SUBSTITUTE(SUBSTITUTE($G2875,"-"," ",LEN($G2875)-LEN(SUBSTITUTE($G2875,"-",""))),"-"," ",LEN($G2875)-LEN(SUBSTITUTE($G2875,"-",""))-1),".","")))=0,SUBSTITUTE(SUBSTITUTE($G2875,"-"," ",LEN($G2875)-LEN(SUBSTITUTE($G2875,"-",""))),"-"," ",LEN($G2875)-LEN(SUBSTITUTE($G2875,"-",""))-1),SUBSTITUTE(SUBSTITUTE(SUBSTITUTE($G2875,"-"," ",LEN($G2875)-LEN(SUBSTITUTE($G2875,"-",""))),"-"," ",LEN($G2875)-LEN(SUBSTITUTE($G2875,"-",""))-1),"."," ",(LEN(SUBSTITUTE(SUBSTITUTE($G2875,"-"," ",LEN($G2875)-LEN(SUBSTITUTE($G2875,"-",""))),"-"," ",LEN($G2875)-LEN(SUBSTITUTE($G2875,"-",""))-1))-LEN(SUBSTITUTE(SUBSTITUTE(SUBSTITUTE($G2875,"-"," ",LEN($G2875)-LEN(SUBSTITUTE($G2875,"-",""))),"-"," ",LEN($G2875)-LEN(SUBSTITUTE($G2875,"-",""))-1),".",""))))),$G2875)))</f>
        <v/>
      </c>
    </row>
    <row r="2876">
      <c r="A2876" s="58" t="n"/>
      <c r="B2876" s="58">
        <f>IF($H2876="","",LEFT($H2876,FIND(" ",$H2876&amp;" ")-1))</f>
        <v/>
      </c>
      <c r="C2876" s="58">
        <f>IF($H2876="","",IFERROR(MID($H2876&amp;" ",FIND("|",SUBSTITUTE($H2876&amp;" "," ","|",1))+1,FIND("|",SUBSTITUTE($H2876&amp;" "," ","|",2))-FIND("|",SUBSTITUTE($H2876&amp;" "," ","|",1))-1),""))</f>
        <v/>
      </c>
      <c r="D2876" s="58">
        <f>IF($H2876="","",IFERROR(MID($H2876&amp;" ",FIND("|",SUBSTITUTE($H2876&amp;" "," ","|",2))+1,FIND("|",SUBSTITUTE($H2876&amp;" "," ","|",3))-FIND("|",SUBSTITUTE($H2876&amp;" "," ","|",2))-1),""))</f>
        <v/>
      </c>
      <c r="E2876" s="58">
        <f>IF($H2876="","",IFERROR(MID($H2876&amp;" ",FIND("|",SUBSTITUTE($H2876&amp;" "," ","|",3))+1,FIND("|",SUBSTITUTE($H2876&amp;" "," ","|",4))-FIND("|",SUBSTITUTE($H2876&amp;" "," ","|",3))-1),""))</f>
        <v/>
      </c>
      <c r="F2876" s="59">
        <f>IF($H2876="","",IFERROR(VALUE(IFERROR(MID($H2876&amp;" ",FIND("|",SUBSTITUTE($H2876&amp;" "," ","|",4))+1,FIND("|",SUBSTITUTE($H2876&amp;" "," ","|",5))-FIND("|",SUBSTITUTE($H2876&amp;" "," ","|",4))-1),""))/86400+25569+9/24,""))</f>
        <v/>
      </c>
      <c r="G2876" s="58">
        <f>TRIM(SUBSTITUTE(SUBSTITUTE(SUBSTITUTE($A2876,CHAR(9)," ")," "," "),CHAR(13),""))</f>
        <v/>
      </c>
      <c r="H2876" s="58">
        <f>IF($G2876="","",IF(ISNUMBER(FIND(" ",$G2876)),$G2876,IFERROR(IF((LEN(SUBSTITUTE(SUBSTITUTE($G2876,"-"," ",LEN($G2876)-LEN(SUBSTITUTE($G2876,"-",""))),"-"," ",LEN($G2876)-LEN(SUBSTITUTE($G2876,"-",""))-1))-LEN(SUBSTITUTE(SUBSTITUTE(SUBSTITUTE($G2876,"-"," ",LEN($G2876)-LEN(SUBSTITUTE($G2876,"-",""))),"-"," ",LEN($G2876)-LEN(SUBSTITUTE($G2876,"-",""))-1),".","")))=0,SUBSTITUTE(SUBSTITUTE($G2876,"-"," ",LEN($G2876)-LEN(SUBSTITUTE($G2876,"-",""))),"-"," ",LEN($G2876)-LEN(SUBSTITUTE($G2876,"-",""))-1),SUBSTITUTE(SUBSTITUTE(SUBSTITUTE($G2876,"-"," ",LEN($G2876)-LEN(SUBSTITUTE($G2876,"-",""))),"-"," ",LEN($G2876)-LEN(SUBSTITUTE($G2876,"-",""))-1),"."," ",(LEN(SUBSTITUTE(SUBSTITUTE($G2876,"-"," ",LEN($G2876)-LEN(SUBSTITUTE($G2876,"-",""))),"-"," ",LEN($G2876)-LEN(SUBSTITUTE($G2876,"-",""))-1))-LEN(SUBSTITUTE(SUBSTITUTE(SUBSTITUTE($G2876,"-"," ",LEN($G2876)-LEN(SUBSTITUTE($G2876,"-",""))),"-"," ",LEN($G2876)-LEN(SUBSTITUTE($G2876,"-",""))-1),".",""))))),$G2876)))</f>
        <v/>
      </c>
    </row>
    <row r="2877">
      <c r="A2877" s="58" t="n"/>
      <c r="B2877" s="58">
        <f>IF($H2877="","",LEFT($H2877,FIND(" ",$H2877&amp;" ")-1))</f>
        <v/>
      </c>
      <c r="C2877" s="58">
        <f>IF($H2877="","",IFERROR(MID($H2877&amp;" ",FIND("|",SUBSTITUTE($H2877&amp;" "," ","|",1))+1,FIND("|",SUBSTITUTE($H2877&amp;" "," ","|",2))-FIND("|",SUBSTITUTE($H2877&amp;" "," ","|",1))-1),""))</f>
        <v/>
      </c>
      <c r="D2877" s="58">
        <f>IF($H2877="","",IFERROR(MID($H2877&amp;" ",FIND("|",SUBSTITUTE($H2877&amp;" "," ","|",2))+1,FIND("|",SUBSTITUTE($H2877&amp;" "," ","|",3))-FIND("|",SUBSTITUTE($H2877&amp;" "," ","|",2))-1),""))</f>
        <v/>
      </c>
      <c r="E2877" s="58">
        <f>IF($H2877="","",IFERROR(MID($H2877&amp;" ",FIND("|",SUBSTITUTE($H2877&amp;" "," ","|",3))+1,FIND("|",SUBSTITUTE($H2877&amp;" "," ","|",4))-FIND("|",SUBSTITUTE($H2877&amp;" "," ","|",3))-1),""))</f>
        <v/>
      </c>
      <c r="F2877" s="59">
        <f>IF($H2877="","",IFERROR(VALUE(IFERROR(MID($H2877&amp;" ",FIND("|",SUBSTITUTE($H2877&amp;" "," ","|",4))+1,FIND("|",SUBSTITUTE($H2877&amp;" "," ","|",5))-FIND("|",SUBSTITUTE($H2877&amp;" "," ","|",4))-1),""))/86400+25569+9/24,""))</f>
        <v/>
      </c>
      <c r="G2877" s="58">
        <f>TRIM(SUBSTITUTE(SUBSTITUTE(SUBSTITUTE($A2877,CHAR(9)," ")," "," "),CHAR(13),""))</f>
        <v/>
      </c>
      <c r="H2877" s="58">
        <f>IF($G2877="","",IF(ISNUMBER(FIND(" ",$G2877)),$G2877,IFERROR(IF((LEN(SUBSTITUTE(SUBSTITUTE($G2877,"-"," ",LEN($G2877)-LEN(SUBSTITUTE($G2877,"-",""))),"-"," ",LEN($G2877)-LEN(SUBSTITUTE($G2877,"-",""))-1))-LEN(SUBSTITUTE(SUBSTITUTE(SUBSTITUTE($G2877,"-"," ",LEN($G2877)-LEN(SUBSTITUTE($G2877,"-",""))),"-"," ",LEN($G2877)-LEN(SUBSTITUTE($G2877,"-",""))-1),".","")))=0,SUBSTITUTE(SUBSTITUTE($G2877,"-"," ",LEN($G2877)-LEN(SUBSTITUTE($G2877,"-",""))),"-"," ",LEN($G2877)-LEN(SUBSTITUTE($G2877,"-",""))-1),SUBSTITUTE(SUBSTITUTE(SUBSTITUTE($G2877,"-"," ",LEN($G2877)-LEN(SUBSTITUTE($G2877,"-",""))),"-"," ",LEN($G2877)-LEN(SUBSTITUTE($G2877,"-",""))-1),"."," ",(LEN(SUBSTITUTE(SUBSTITUTE($G2877,"-"," ",LEN($G2877)-LEN(SUBSTITUTE($G2877,"-",""))),"-"," ",LEN($G2877)-LEN(SUBSTITUTE($G2877,"-",""))-1))-LEN(SUBSTITUTE(SUBSTITUTE(SUBSTITUTE($G2877,"-"," ",LEN($G2877)-LEN(SUBSTITUTE($G2877,"-",""))),"-"," ",LEN($G2877)-LEN(SUBSTITUTE($G2877,"-",""))-1),".",""))))),$G2877)))</f>
        <v/>
      </c>
    </row>
    <row r="2878">
      <c r="A2878" s="58" t="n"/>
      <c r="B2878" s="58">
        <f>IF($H2878="","",LEFT($H2878,FIND(" ",$H2878&amp;" ")-1))</f>
        <v/>
      </c>
      <c r="C2878" s="58">
        <f>IF($H2878="","",IFERROR(MID($H2878&amp;" ",FIND("|",SUBSTITUTE($H2878&amp;" "," ","|",1))+1,FIND("|",SUBSTITUTE($H2878&amp;" "," ","|",2))-FIND("|",SUBSTITUTE($H2878&amp;" "," ","|",1))-1),""))</f>
        <v/>
      </c>
      <c r="D2878" s="58">
        <f>IF($H2878="","",IFERROR(MID($H2878&amp;" ",FIND("|",SUBSTITUTE($H2878&amp;" "," ","|",2))+1,FIND("|",SUBSTITUTE($H2878&amp;" "," ","|",3))-FIND("|",SUBSTITUTE($H2878&amp;" "," ","|",2))-1),""))</f>
        <v/>
      </c>
      <c r="E2878" s="58">
        <f>IF($H2878="","",IFERROR(MID($H2878&amp;" ",FIND("|",SUBSTITUTE($H2878&amp;" "," ","|",3))+1,FIND("|",SUBSTITUTE($H2878&amp;" "," ","|",4))-FIND("|",SUBSTITUTE($H2878&amp;" "," ","|",3))-1),""))</f>
        <v/>
      </c>
      <c r="F2878" s="59">
        <f>IF($H2878="","",IFERROR(VALUE(IFERROR(MID($H2878&amp;" ",FIND("|",SUBSTITUTE($H2878&amp;" "," ","|",4))+1,FIND("|",SUBSTITUTE($H2878&amp;" "," ","|",5))-FIND("|",SUBSTITUTE($H2878&amp;" "," ","|",4))-1),""))/86400+25569+9/24,""))</f>
        <v/>
      </c>
      <c r="G2878" s="58">
        <f>TRIM(SUBSTITUTE(SUBSTITUTE(SUBSTITUTE($A2878,CHAR(9)," ")," "," "),CHAR(13),""))</f>
        <v/>
      </c>
      <c r="H2878" s="58">
        <f>IF($G2878="","",IF(ISNUMBER(FIND(" ",$G2878)),$G2878,IFERROR(IF((LEN(SUBSTITUTE(SUBSTITUTE($G2878,"-"," ",LEN($G2878)-LEN(SUBSTITUTE($G2878,"-",""))),"-"," ",LEN($G2878)-LEN(SUBSTITUTE($G2878,"-",""))-1))-LEN(SUBSTITUTE(SUBSTITUTE(SUBSTITUTE($G2878,"-"," ",LEN($G2878)-LEN(SUBSTITUTE($G2878,"-",""))),"-"," ",LEN($G2878)-LEN(SUBSTITUTE($G2878,"-",""))-1),".","")))=0,SUBSTITUTE(SUBSTITUTE($G2878,"-"," ",LEN($G2878)-LEN(SUBSTITUTE($G2878,"-",""))),"-"," ",LEN($G2878)-LEN(SUBSTITUTE($G2878,"-",""))-1),SUBSTITUTE(SUBSTITUTE(SUBSTITUTE($G2878,"-"," ",LEN($G2878)-LEN(SUBSTITUTE($G2878,"-",""))),"-"," ",LEN($G2878)-LEN(SUBSTITUTE($G2878,"-",""))-1),"."," ",(LEN(SUBSTITUTE(SUBSTITUTE($G2878,"-"," ",LEN($G2878)-LEN(SUBSTITUTE($G2878,"-",""))),"-"," ",LEN($G2878)-LEN(SUBSTITUTE($G2878,"-",""))-1))-LEN(SUBSTITUTE(SUBSTITUTE(SUBSTITUTE($G2878,"-"," ",LEN($G2878)-LEN(SUBSTITUTE($G2878,"-",""))),"-"," ",LEN($G2878)-LEN(SUBSTITUTE($G2878,"-",""))-1),".",""))))),$G2878)))</f>
        <v/>
      </c>
    </row>
    <row r="2879">
      <c r="A2879" s="58" t="n"/>
      <c r="B2879" s="58">
        <f>IF($H2879="","",LEFT($H2879,FIND(" ",$H2879&amp;" ")-1))</f>
        <v/>
      </c>
      <c r="C2879" s="58">
        <f>IF($H2879="","",IFERROR(MID($H2879&amp;" ",FIND("|",SUBSTITUTE($H2879&amp;" "," ","|",1))+1,FIND("|",SUBSTITUTE($H2879&amp;" "," ","|",2))-FIND("|",SUBSTITUTE($H2879&amp;" "," ","|",1))-1),""))</f>
        <v/>
      </c>
      <c r="D2879" s="58">
        <f>IF($H2879="","",IFERROR(MID($H2879&amp;" ",FIND("|",SUBSTITUTE($H2879&amp;" "," ","|",2))+1,FIND("|",SUBSTITUTE($H2879&amp;" "," ","|",3))-FIND("|",SUBSTITUTE($H2879&amp;" "," ","|",2))-1),""))</f>
        <v/>
      </c>
      <c r="E2879" s="58">
        <f>IF($H2879="","",IFERROR(MID($H2879&amp;" ",FIND("|",SUBSTITUTE($H2879&amp;" "," ","|",3))+1,FIND("|",SUBSTITUTE($H2879&amp;" "," ","|",4))-FIND("|",SUBSTITUTE($H2879&amp;" "," ","|",3))-1),""))</f>
        <v/>
      </c>
      <c r="F2879" s="59">
        <f>IF($H2879="","",IFERROR(VALUE(IFERROR(MID($H2879&amp;" ",FIND("|",SUBSTITUTE($H2879&amp;" "," ","|",4))+1,FIND("|",SUBSTITUTE($H2879&amp;" "," ","|",5))-FIND("|",SUBSTITUTE($H2879&amp;" "," ","|",4))-1),""))/86400+25569+9/24,""))</f>
        <v/>
      </c>
      <c r="G2879" s="58">
        <f>TRIM(SUBSTITUTE(SUBSTITUTE(SUBSTITUTE($A2879,CHAR(9)," ")," "," "),CHAR(13),""))</f>
        <v/>
      </c>
      <c r="H2879" s="58">
        <f>IF($G2879="","",IF(ISNUMBER(FIND(" ",$G2879)),$G2879,IFERROR(IF((LEN(SUBSTITUTE(SUBSTITUTE($G2879,"-"," ",LEN($G2879)-LEN(SUBSTITUTE($G2879,"-",""))),"-"," ",LEN($G2879)-LEN(SUBSTITUTE($G2879,"-",""))-1))-LEN(SUBSTITUTE(SUBSTITUTE(SUBSTITUTE($G2879,"-"," ",LEN($G2879)-LEN(SUBSTITUTE($G2879,"-",""))),"-"," ",LEN($G2879)-LEN(SUBSTITUTE($G2879,"-",""))-1),".","")))=0,SUBSTITUTE(SUBSTITUTE($G2879,"-"," ",LEN($G2879)-LEN(SUBSTITUTE($G2879,"-",""))),"-"," ",LEN($G2879)-LEN(SUBSTITUTE($G2879,"-",""))-1),SUBSTITUTE(SUBSTITUTE(SUBSTITUTE($G2879,"-"," ",LEN($G2879)-LEN(SUBSTITUTE($G2879,"-",""))),"-"," ",LEN($G2879)-LEN(SUBSTITUTE($G2879,"-",""))-1),"."," ",(LEN(SUBSTITUTE(SUBSTITUTE($G2879,"-"," ",LEN($G2879)-LEN(SUBSTITUTE($G2879,"-",""))),"-"," ",LEN($G2879)-LEN(SUBSTITUTE($G2879,"-",""))-1))-LEN(SUBSTITUTE(SUBSTITUTE(SUBSTITUTE($G2879,"-"," ",LEN($G2879)-LEN(SUBSTITUTE($G2879,"-",""))),"-"," ",LEN($G2879)-LEN(SUBSTITUTE($G2879,"-",""))-1),".",""))))),$G2879)))</f>
        <v/>
      </c>
    </row>
    <row r="2880">
      <c r="A2880" s="58" t="n"/>
      <c r="B2880" s="58">
        <f>IF($H2880="","",LEFT($H2880,FIND(" ",$H2880&amp;" ")-1))</f>
        <v/>
      </c>
      <c r="C2880" s="58">
        <f>IF($H2880="","",IFERROR(MID($H2880&amp;" ",FIND("|",SUBSTITUTE($H2880&amp;" "," ","|",1))+1,FIND("|",SUBSTITUTE($H2880&amp;" "," ","|",2))-FIND("|",SUBSTITUTE($H2880&amp;" "," ","|",1))-1),""))</f>
        <v/>
      </c>
      <c r="D2880" s="58">
        <f>IF($H2880="","",IFERROR(MID($H2880&amp;" ",FIND("|",SUBSTITUTE($H2880&amp;" "," ","|",2))+1,FIND("|",SUBSTITUTE($H2880&amp;" "," ","|",3))-FIND("|",SUBSTITUTE($H2880&amp;" "," ","|",2))-1),""))</f>
        <v/>
      </c>
      <c r="E2880" s="58">
        <f>IF($H2880="","",IFERROR(MID($H2880&amp;" ",FIND("|",SUBSTITUTE($H2880&amp;" "," ","|",3))+1,FIND("|",SUBSTITUTE($H2880&amp;" "," ","|",4))-FIND("|",SUBSTITUTE($H2880&amp;" "," ","|",3))-1),""))</f>
        <v/>
      </c>
      <c r="F2880" s="59">
        <f>IF($H2880="","",IFERROR(VALUE(IFERROR(MID($H2880&amp;" ",FIND("|",SUBSTITUTE($H2880&amp;" "," ","|",4))+1,FIND("|",SUBSTITUTE($H2880&amp;" "," ","|",5))-FIND("|",SUBSTITUTE($H2880&amp;" "," ","|",4))-1),""))/86400+25569+9/24,""))</f>
        <v/>
      </c>
      <c r="G2880" s="58">
        <f>TRIM(SUBSTITUTE(SUBSTITUTE(SUBSTITUTE($A2880,CHAR(9)," ")," "," "),CHAR(13),""))</f>
        <v/>
      </c>
      <c r="H2880" s="58">
        <f>IF($G2880="","",IF(ISNUMBER(FIND(" ",$G2880)),$G2880,IFERROR(IF((LEN(SUBSTITUTE(SUBSTITUTE($G2880,"-"," ",LEN($G2880)-LEN(SUBSTITUTE($G2880,"-",""))),"-"," ",LEN($G2880)-LEN(SUBSTITUTE($G2880,"-",""))-1))-LEN(SUBSTITUTE(SUBSTITUTE(SUBSTITUTE($G2880,"-"," ",LEN($G2880)-LEN(SUBSTITUTE($G2880,"-",""))),"-"," ",LEN($G2880)-LEN(SUBSTITUTE($G2880,"-",""))-1),".","")))=0,SUBSTITUTE(SUBSTITUTE($G2880,"-"," ",LEN($G2880)-LEN(SUBSTITUTE($G2880,"-",""))),"-"," ",LEN($G2880)-LEN(SUBSTITUTE($G2880,"-",""))-1),SUBSTITUTE(SUBSTITUTE(SUBSTITUTE($G2880,"-"," ",LEN($G2880)-LEN(SUBSTITUTE($G2880,"-",""))),"-"," ",LEN($G2880)-LEN(SUBSTITUTE($G2880,"-",""))-1),"."," ",(LEN(SUBSTITUTE(SUBSTITUTE($G2880,"-"," ",LEN($G2880)-LEN(SUBSTITUTE($G2880,"-",""))),"-"," ",LEN($G2880)-LEN(SUBSTITUTE($G2880,"-",""))-1))-LEN(SUBSTITUTE(SUBSTITUTE(SUBSTITUTE($G2880,"-"," ",LEN($G2880)-LEN(SUBSTITUTE($G2880,"-",""))),"-"," ",LEN($G2880)-LEN(SUBSTITUTE($G2880,"-",""))-1),".",""))))),$G2880)))</f>
        <v/>
      </c>
    </row>
    <row r="2881">
      <c r="A2881" s="58" t="n"/>
      <c r="B2881" s="58">
        <f>IF($H2881="","",LEFT($H2881,FIND(" ",$H2881&amp;" ")-1))</f>
        <v/>
      </c>
      <c r="C2881" s="58">
        <f>IF($H2881="","",IFERROR(MID($H2881&amp;" ",FIND("|",SUBSTITUTE($H2881&amp;" "," ","|",1))+1,FIND("|",SUBSTITUTE($H2881&amp;" "," ","|",2))-FIND("|",SUBSTITUTE($H2881&amp;" "," ","|",1))-1),""))</f>
        <v/>
      </c>
      <c r="D2881" s="58">
        <f>IF($H2881="","",IFERROR(MID($H2881&amp;" ",FIND("|",SUBSTITUTE($H2881&amp;" "," ","|",2))+1,FIND("|",SUBSTITUTE($H2881&amp;" "," ","|",3))-FIND("|",SUBSTITUTE($H2881&amp;" "," ","|",2))-1),""))</f>
        <v/>
      </c>
      <c r="E2881" s="58">
        <f>IF($H2881="","",IFERROR(MID($H2881&amp;" ",FIND("|",SUBSTITUTE($H2881&amp;" "," ","|",3))+1,FIND("|",SUBSTITUTE($H2881&amp;" "," ","|",4))-FIND("|",SUBSTITUTE($H2881&amp;" "," ","|",3))-1),""))</f>
        <v/>
      </c>
      <c r="F2881" s="59">
        <f>IF($H2881="","",IFERROR(VALUE(IFERROR(MID($H2881&amp;" ",FIND("|",SUBSTITUTE($H2881&amp;" "," ","|",4))+1,FIND("|",SUBSTITUTE($H2881&amp;" "," ","|",5))-FIND("|",SUBSTITUTE($H2881&amp;" "," ","|",4))-1),""))/86400+25569+9/24,""))</f>
        <v/>
      </c>
      <c r="G2881" s="58">
        <f>TRIM(SUBSTITUTE(SUBSTITUTE(SUBSTITUTE($A2881,CHAR(9)," ")," "," "),CHAR(13),""))</f>
        <v/>
      </c>
      <c r="H2881" s="58">
        <f>IF($G2881="","",IF(ISNUMBER(FIND(" ",$G2881)),$G2881,IFERROR(IF((LEN(SUBSTITUTE(SUBSTITUTE($G2881,"-"," ",LEN($G2881)-LEN(SUBSTITUTE($G2881,"-",""))),"-"," ",LEN($G2881)-LEN(SUBSTITUTE($G2881,"-",""))-1))-LEN(SUBSTITUTE(SUBSTITUTE(SUBSTITUTE($G2881,"-"," ",LEN($G2881)-LEN(SUBSTITUTE($G2881,"-",""))),"-"," ",LEN($G2881)-LEN(SUBSTITUTE($G2881,"-",""))-1),".","")))=0,SUBSTITUTE(SUBSTITUTE($G2881,"-"," ",LEN($G2881)-LEN(SUBSTITUTE($G2881,"-",""))),"-"," ",LEN($G2881)-LEN(SUBSTITUTE($G2881,"-",""))-1),SUBSTITUTE(SUBSTITUTE(SUBSTITUTE($G2881,"-"," ",LEN($G2881)-LEN(SUBSTITUTE($G2881,"-",""))),"-"," ",LEN($G2881)-LEN(SUBSTITUTE($G2881,"-",""))-1),"."," ",(LEN(SUBSTITUTE(SUBSTITUTE($G2881,"-"," ",LEN($G2881)-LEN(SUBSTITUTE($G2881,"-",""))),"-"," ",LEN($G2881)-LEN(SUBSTITUTE($G2881,"-",""))-1))-LEN(SUBSTITUTE(SUBSTITUTE(SUBSTITUTE($G2881,"-"," ",LEN($G2881)-LEN(SUBSTITUTE($G2881,"-",""))),"-"," ",LEN($G2881)-LEN(SUBSTITUTE($G2881,"-",""))-1),".",""))))),$G2881)))</f>
        <v/>
      </c>
    </row>
    <row r="2882">
      <c r="A2882" s="58" t="n"/>
      <c r="B2882" s="58">
        <f>IF($H2882="","",LEFT($H2882,FIND(" ",$H2882&amp;" ")-1))</f>
        <v/>
      </c>
      <c r="C2882" s="58">
        <f>IF($H2882="","",IFERROR(MID($H2882&amp;" ",FIND("|",SUBSTITUTE($H2882&amp;" "," ","|",1))+1,FIND("|",SUBSTITUTE($H2882&amp;" "," ","|",2))-FIND("|",SUBSTITUTE($H2882&amp;" "," ","|",1))-1),""))</f>
        <v/>
      </c>
      <c r="D2882" s="58">
        <f>IF($H2882="","",IFERROR(MID($H2882&amp;" ",FIND("|",SUBSTITUTE($H2882&amp;" "," ","|",2))+1,FIND("|",SUBSTITUTE($H2882&amp;" "," ","|",3))-FIND("|",SUBSTITUTE($H2882&amp;" "," ","|",2))-1),""))</f>
        <v/>
      </c>
      <c r="E2882" s="58">
        <f>IF($H2882="","",IFERROR(MID($H2882&amp;" ",FIND("|",SUBSTITUTE($H2882&amp;" "," ","|",3))+1,FIND("|",SUBSTITUTE($H2882&amp;" "," ","|",4))-FIND("|",SUBSTITUTE($H2882&amp;" "," ","|",3))-1),""))</f>
        <v/>
      </c>
      <c r="F2882" s="59">
        <f>IF($H2882="","",IFERROR(VALUE(IFERROR(MID($H2882&amp;" ",FIND("|",SUBSTITUTE($H2882&amp;" "," ","|",4))+1,FIND("|",SUBSTITUTE($H2882&amp;" "," ","|",5))-FIND("|",SUBSTITUTE($H2882&amp;" "," ","|",4))-1),""))/86400+25569+9/24,""))</f>
        <v/>
      </c>
      <c r="G2882" s="58">
        <f>TRIM(SUBSTITUTE(SUBSTITUTE(SUBSTITUTE($A2882,CHAR(9)," ")," "," "),CHAR(13),""))</f>
        <v/>
      </c>
      <c r="H2882" s="58">
        <f>IF($G2882="","",IF(ISNUMBER(FIND(" ",$G2882)),$G2882,IFERROR(IF((LEN(SUBSTITUTE(SUBSTITUTE($G2882,"-"," ",LEN($G2882)-LEN(SUBSTITUTE($G2882,"-",""))),"-"," ",LEN($G2882)-LEN(SUBSTITUTE($G2882,"-",""))-1))-LEN(SUBSTITUTE(SUBSTITUTE(SUBSTITUTE($G2882,"-"," ",LEN($G2882)-LEN(SUBSTITUTE($G2882,"-",""))),"-"," ",LEN($G2882)-LEN(SUBSTITUTE($G2882,"-",""))-1),".","")))=0,SUBSTITUTE(SUBSTITUTE($G2882,"-"," ",LEN($G2882)-LEN(SUBSTITUTE($G2882,"-",""))),"-"," ",LEN($G2882)-LEN(SUBSTITUTE($G2882,"-",""))-1),SUBSTITUTE(SUBSTITUTE(SUBSTITUTE($G2882,"-"," ",LEN($G2882)-LEN(SUBSTITUTE($G2882,"-",""))),"-"," ",LEN($G2882)-LEN(SUBSTITUTE($G2882,"-",""))-1),"."," ",(LEN(SUBSTITUTE(SUBSTITUTE($G2882,"-"," ",LEN($G2882)-LEN(SUBSTITUTE($G2882,"-",""))),"-"," ",LEN($G2882)-LEN(SUBSTITUTE($G2882,"-",""))-1))-LEN(SUBSTITUTE(SUBSTITUTE(SUBSTITUTE($G2882,"-"," ",LEN($G2882)-LEN(SUBSTITUTE($G2882,"-",""))),"-"," ",LEN($G2882)-LEN(SUBSTITUTE($G2882,"-",""))-1),".",""))))),$G2882)))</f>
        <v/>
      </c>
    </row>
    <row r="2883">
      <c r="A2883" s="58" t="n"/>
      <c r="B2883" s="58">
        <f>IF($H2883="","",LEFT($H2883,FIND(" ",$H2883&amp;" ")-1))</f>
        <v/>
      </c>
      <c r="C2883" s="58">
        <f>IF($H2883="","",IFERROR(MID($H2883&amp;" ",FIND("|",SUBSTITUTE($H2883&amp;" "," ","|",1))+1,FIND("|",SUBSTITUTE($H2883&amp;" "," ","|",2))-FIND("|",SUBSTITUTE($H2883&amp;" "," ","|",1))-1),""))</f>
        <v/>
      </c>
      <c r="D2883" s="58">
        <f>IF($H2883="","",IFERROR(MID($H2883&amp;" ",FIND("|",SUBSTITUTE($H2883&amp;" "," ","|",2))+1,FIND("|",SUBSTITUTE($H2883&amp;" "," ","|",3))-FIND("|",SUBSTITUTE($H2883&amp;" "," ","|",2))-1),""))</f>
        <v/>
      </c>
      <c r="E2883" s="58">
        <f>IF($H2883="","",IFERROR(MID($H2883&amp;" ",FIND("|",SUBSTITUTE($H2883&amp;" "," ","|",3))+1,FIND("|",SUBSTITUTE($H2883&amp;" "," ","|",4))-FIND("|",SUBSTITUTE($H2883&amp;" "," ","|",3))-1),""))</f>
        <v/>
      </c>
      <c r="F2883" s="59">
        <f>IF($H2883="","",IFERROR(VALUE(IFERROR(MID($H2883&amp;" ",FIND("|",SUBSTITUTE($H2883&amp;" "," ","|",4))+1,FIND("|",SUBSTITUTE($H2883&amp;" "," ","|",5))-FIND("|",SUBSTITUTE($H2883&amp;" "," ","|",4))-1),""))/86400+25569+9/24,""))</f>
        <v/>
      </c>
      <c r="G2883" s="58">
        <f>TRIM(SUBSTITUTE(SUBSTITUTE(SUBSTITUTE($A2883,CHAR(9)," ")," "," "),CHAR(13),""))</f>
        <v/>
      </c>
      <c r="H2883" s="58">
        <f>IF($G2883="","",IF(ISNUMBER(FIND(" ",$G2883)),$G2883,IFERROR(IF((LEN(SUBSTITUTE(SUBSTITUTE($G2883,"-"," ",LEN($G2883)-LEN(SUBSTITUTE($G2883,"-",""))),"-"," ",LEN($G2883)-LEN(SUBSTITUTE($G2883,"-",""))-1))-LEN(SUBSTITUTE(SUBSTITUTE(SUBSTITUTE($G2883,"-"," ",LEN($G2883)-LEN(SUBSTITUTE($G2883,"-",""))),"-"," ",LEN($G2883)-LEN(SUBSTITUTE($G2883,"-",""))-1),".","")))=0,SUBSTITUTE(SUBSTITUTE($G2883,"-"," ",LEN($G2883)-LEN(SUBSTITUTE($G2883,"-",""))),"-"," ",LEN($G2883)-LEN(SUBSTITUTE($G2883,"-",""))-1),SUBSTITUTE(SUBSTITUTE(SUBSTITUTE($G2883,"-"," ",LEN($G2883)-LEN(SUBSTITUTE($G2883,"-",""))),"-"," ",LEN($G2883)-LEN(SUBSTITUTE($G2883,"-",""))-1),"."," ",(LEN(SUBSTITUTE(SUBSTITUTE($G2883,"-"," ",LEN($G2883)-LEN(SUBSTITUTE($G2883,"-",""))),"-"," ",LEN($G2883)-LEN(SUBSTITUTE($G2883,"-",""))-1))-LEN(SUBSTITUTE(SUBSTITUTE(SUBSTITUTE($G2883,"-"," ",LEN($G2883)-LEN(SUBSTITUTE($G2883,"-",""))),"-"," ",LEN($G2883)-LEN(SUBSTITUTE($G2883,"-",""))-1),".",""))))),$G2883)))</f>
        <v/>
      </c>
    </row>
    <row r="2884">
      <c r="A2884" s="58" t="n"/>
      <c r="B2884" s="58">
        <f>IF($H2884="","",LEFT($H2884,FIND(" ",$H2884&amp;" ")-1))</f>
        <v/>
      </c>
      <c r="C2884" s="58">
        <f>IF($H2884="","",IFERROR(MID($H2884&amp;" ",FIND("|",SUBSTITUTE($H2884&amp;" "," ","|",1))+1,FIND("|",SUBSTITUTE($H2884&amp;" "," ","|",2))-FIND("|",SUBSTITUTE($H2884&amp;" "," ","|",1))-1),""))</f>
        <v/>
      </c>
      <c r="D2884" s="58">
        <f>IF($H2884="","",IFERROR(MID($H2884&amp;" ",FIND("|",SUBSTITUTE($H2884&amp;" "," ","|",2))+1,FIND("|",SUBSTITUTE($H2884&amp;" "," ","|",3))-FIND("|",SUBSTITUTE($H2884&amp;" "," ","|",2))-1),""))</f>
        <v/>
      </c>
      <c r="E2884" s="58">
        <f>IF($H2884="","",IFERROR(MID($H2884&amp;" ",FIND("|",SUBSTITUTE($H2884&amp;" "," ","|",3))+1,FIND("|",SUBSTITUTE($H2884&amp;" "," ","|",4))-FIND("|",SUBSTITUTE($H2884&amp;" "," ","|",3))-1),""))</f>
        <v/>
      </c>
      <c r="F2884" s="59">
        <f>IF($H2884="","",IFERROR(VALUE(IFERROR(MID($H2884&amp;" ",FIND("|",SUBSTITUTE($H2884&amp;" "," ","|",4))+1,FIND("|",SUBSTITUTE($H2884&amp;" "," ","|",5))-FIND("|",SUBSTITUTE($H2884&amp;" "," ","|",4))-1),""))/86400+25569+9/24,""))</f>
        <v/>
      </c>
      <c r="G2884" s="58">
        <f>TRIM(SUBSTITUTE(SUBSTITUTE(SUBSTITUTE($A2884,CHAR(9)," ")," "," "),CHAR(13),""))</f>
        <v/>
      </c>
      <c r="H2884" s="58">
        <f>IF($G2884="","",IF(ISNUMBER(FIND(" ",$G2884)),$G2884,IFERROR(IF((LEN(SUBSTITUTE(SUBSTITUTE($G2884,"-"," ",LEN($G2884)-LEN(SUBSTITUTE($G2884,"-",""))),"-"," ",LEN($G2884)-LEN(SUBSTITUTE($G2884,"-",""))-1))-LEN(SUBSTITUTE(SUBSTITUTE(SUBSTITUTE($G2884,"-"," ",LEN($G2884)-LEN(SUBSTITUTE($G2884,"-",""))),"-"," ",LEN($G2884)-LEN(SUBSTITUTE($G2884,"-",""))-1),".","")))=0,SUBSTITUTE(SUBSTITUTE($G2884,"-"," ",LEN($G2884)-LEN(SUBSTITUTE($G2884,"-",""))),"-"," ",LEN($G2884)-LEN(SUBSTITUTE($G2884,"-",""))-1),SUBSTITUTE(SUBSTITUTE(SUBSTITUTE($G2884,"-"," ",LEN($G2884)-LEN(SUBSTITUTE($G2884,"-",""))),"-"," ",LEN($G2884)-LEN(SUBSTITUTE($G2884,"-",""))-1),"."," ",(LEN(SUBSTITUTE(SUBSTITUTE($G2884,"-"," ",LEN($G2884)-LEN(SUBSTITUTE($G2884,"-",""))),"-"," ",LEN($G2884)-LEN(SUBSTITUTE($G2884,"-",""))-1))-LEN(SUBSTITUTE(SUBSTITUTE(SUBSTITUTE($G2884,"-"," ",LEN($G2884)-LEN(SUBSTITUTE($G2884,"-",""))),"-"," ",LEN($G2884)-LEN(SUBSTITUTE($G2884,"-",""))-1),".",""))))),$G2884)))</f>
        <v/>
      </c>
    </row>
    <row r="2885">
      <c r="A2885" s="58" t="n"/>
      <c r="B2885" s="58">
        <f>IF($H2885="","",LEFT($H2885,FIND(" ",$H2885&amp;" ")-1))</f>
        <v/>
      </c>
      <c r="C2885" s="58">
        <f>IF($H2885="","",IFERROR(MID($H2885&amp;" ",FIND("|",SUBSTITUTE($H2885&amp;" "," ","|",1))+1,FIND("|",SUBSTITUTE($H2885&amp;" "," ","|",2))-FIND("|",SUBSTITUTE($H2885&amp;" "," ","|",1))-1),""))</f>
        <v/>
      </c>
      <c r="D2885" s="58">
        <f>IF($H2885="","",IFERROR(MID($H2885&amp;" ",FIND("|",SUBSTITUTE($H2885&amp;" "," ","|",2))+1,FIND("|",SUBSTITUTE($H2885&amp;" "," ","|",3))-FIND("|",SUBSTITUTE($H2885&amp;" "," ","|",2))-1),""))</f>
        <v/>
      </c>
      <c r="E2885" s="58">
        <f>IF($H2885="","",IFERROR(MID($H2885&amp;" ",FIND("|",SUBSTITUTE($H2885&amp;" "," ","|",3))+1,FIND("|",SUBSTITUTE($H2885&amp;" "," ","|",4))-FIND("|",SUBSTITUTE($H2885&amp;" "," ","|",3))-1),""))</f>
        <v/>
      </c>
      <c r="F2885" s="59">
        <f>IF($H2885="","",IFERROR(VALUE(IFERROR(MID($H2885&amp;" ",FIND("|",SUBSTITUTE($H2885&amp;" "," ","|",4))+1,FIND("|",SUBSTITUTE($H2885&amp;" "," ","|",5))-FIND("|",SUBSTITUTE($H2885&amp;" "," ","|",4))-1),""))/86400+25569+9/24,""))</f>
        <v/>
      </c>
      <c r="G2885" s="58">
        <f>TRIM(SUBSTITUTE(SUBSTITUTE(SUBSTITUTE($A2885,CHAR(9)," ")," "," "),CHAR(13),""))</f>
        <v/>
      </c>
      <c r="H2885" s="58">
        <f>IF($G2885="","",IF(ISNUMBER(FIND(" ",$G2885)),$G2885,IFERROR(IF((LEN(SUBSTITUTE(SUBSTITUTE($G2885,"-"," ",LEN($G2885)-LEN(SUBSTITUTE($G2885,"-",""))),"-"," ",LEN($G2885)-LEN(SUBSTITUTE($G2885,"-",""))-1))-LEN(SUBSTITUTE(SUBSTITUTE(SUBSTITUTE($G2885,"-"," ",LEN($G2885)-LEN(SUBSTITUTE($G2885,"-",""))),"-"," ",LEN($G2885)-LEN(SUBSTITUTE($G2885,"-",""))-1),".","")))=0,SUBSTITUTE(SUBSTITUTE($G2885,"-"," ",LEN($G2885)-LEN(SUBSTITUTE($G2885,"-",""))),"-"," ",LEN($G2885)-LEN(SUBSTITUTE($G2885,"-",""))-1),SUBSTITUTE(SUBSTITUTE(SUBSTITUTE($G2885,"-"," ",LEN($G2885)-LEN(SUBSTITUTE($G2885,"-",""))),"-"," ",LEN($G2885)-LEN(SUBSTITUTE($G2885,"-",""))-1),"."," ",(LEN(SUBSTITUTE(SUBSTITUTE($G2885,"-"," ",LEN($G2885)-LEN(SUBSTITUTE($G2885,"-",""))),"-"," ",LEN($G2885)-LEN(SUBSTITUTE($G2885,"-",""))-1))-LEN(SUBSTITUTE(SUBSTITUTE(SUBSTITUTE($G2885,"-"," ",LEN($G2885)-LEN(SUBSTITUTE($G2885,"-",""))),"-"," ",LEN($G2885)-LEN(SUBSTITUTE($G2885,"-",""))-1),".",""))))),$G2885)))</f>
        <v/>
      </c>
    </row>
    <row r="2886">
      <c r="A2886" s="58" t="n"/>
      <c r="B2886" s="58">
        <f>IF($H2886="","",LEFT($H2886,FIND(" ",$H2886&amp;" ")-1))</f>
        <v/>
      </c>
      <c r="C2886" s="58">
        <f>IF($H2886="","",IFERROR(MID($H2886&amp;" ",FIND("|",SUBSTITUTE($H2886&amp;" "," ","|",1))+1,FIND("|",SUBSTITUTE($H2886&amp;" "," ","|",2))-FIND("|",SUBSTITUTE($H2886&amp;" "," ","|",1))-1),""))</f>
        <v/>
      </c>
      <c r="D2886" s="58">
        <f>IF($H2886="","",IFERROR(MID($H2886&amp;" ",FIND("|",SUBSTITUTE($H2886&amp;" "," ","|",2))+1,FIND("|",SUBSTITUTE($H2886&amp;" "," ","|",3))-FIND("|",SUBSTITUTE($H2886&amp;" "," ","|",2))-1),""))</f>
        <v/>
      </c>
      <c r="E2886" s="58">
        <f>IF($H2886="","",IFERROR(MID($H2886&amp;" ",FIND("|",SUBSTITUTE($H2886&amp;" "," ","|",3))+1,FIND("|",SUBSTITUTE($H2886&amp;" "," ","|",4))-FIND("|",SUBSTITUTE($H2886&amp;" "," ","|",3))-1),""))</f>
        <v/>
      </c>
      <c r="F2886" s="59">
        <f>IF($H2886="","",IFERROR(VALUE(IFERROR(MID($H2886&amp;" ",FIND("|",SUBSTITUTE($H2886&amp;" "," ","|",4))+1,FIND("|",SUBSTITUTE($H2886&amp;" "," ","|",5))-FIND("|",SUBSTITUTE($H2886&amp;" "," ","|",4))-1),""))/86400+25569+9/24,""))</f>
        <v/>
      </c>
      <c r="G2886" s="58">
        <f>TRIM(SUBSTITUTE(SUBSTITUTE(SUBSTITUTE($A2886,CHAR(9)," ")," "," "),CHAR(13),""))</f>
        <v/>
      </c>
      <c r="H2886" s="58">
        <f>IF($G2886="","",IF(ISNUMBER(FIND(" ",$G2886)),$G2886,IFERROR(IF((LEN(SUBSTITUTE(SUBSTITUTE($G2886,"-"," ",LEN($G2886)-LEN(SUBSTITUTE($G2886,"-",""))),"-"," ",LEN($G2886)-LEN(SUBSTITUTE($G2886,"-",""))-1))-LEN(SUBSTITUTE(SUBSTITUTE(SUBSTITUTE($G2886,"-"," ",LEN($G2886)-LEN(SUBSTITUTE($G2886,"-",""))),"-"," ",LEN($G2886)-LEN(SUBSTITUTE($G2886,"-",""))-1),".","")))=0,SUBSTITUTE(SUBSTITUTE($G2886,"-"," ",LEN($G2886)-LEN(SUBSTITUTE($G2886,"-",""))),"-"," ",LEN($G2886)-LEN(SUBSTITUTE($G2886,"-",""))-1),SUBSTITUTE(SUBSTITUTE(SUBSTITUTE($G2886,"-"," ",LEN($G2886)-LEN(SUBSTITUTE($G2886,"-",""))),"-"," ",LEN($G2886)-LEN(SUBSTITUTE($G2886,"-",""))-1),"."," ",(LEN(SUBSTITUTE(SUBSTITUTE($G2886,"-"," ",LEN($G2886)-LEN(SUBSTITUTE($G2886,"-",""))),"-"," ",LEN($G2886)-LEN(SUBSTITUTE($G2886,"-",""))-1))-LEN(SUBSTITUTE(SUBSTITUTE(SUBSTITUTE($G2886,"-"," ",LEN($G2886)-LEN(SUBSTITUTE($G2886,"-",""))),"-"," ",LEN($G2886)-LEN(SUBSTITUTE($G2886,"-",""))-1),".",""))))),$G2886)))</f>
        <v/>
      </c>
    </row>
    <row r="2887">
      <c r="A2887" s="58" t="n"/>
      <c r="B2887" s="58">
        <f>IF($H2887="","",LEFT($H2887,FIND(" ",$H2887&amp;" ")-1))</f>
        <v/>
      </c>
      <c r="C2887" s="58">
        <f>IF($H2887="","",IFERROR(MID($H2887&amp;" ",FIND("|",SUBSTITUTE($H2887&amp;" "," ","|",1))+1,FIND("|",SUBSTITUTE($H2887&amp;" "," ","|",2))-FIND("|",SUBSTITUTE($H2887&amp;" "," ","|",1))-1),""))</f>
        <v/>
      </c>
      <c r="D2887" s="58">
        <f>IF($H2887="","",IFERROR(MID($H2887&amp;" ",FIND("|",SUBSTITUTE($H2887&amp;" "," ","|",2))+1,FIND("|",SUBSTITUTE($H2887&amp;" "," ","|",3))-FIND("|",SUBSTITUTE($H2887&amp;" "," ","|",2))-1),""))</f>
        <v/>
      </c>
      <c r="E2887" s="58">
        <f>IF($H2887="","",IFERROR(MID($H2887&amp;" ",FIND("|",SUBSTITUTE($H2887&amp;" "," ","|",3))+1,FIND("|",SUBSTITUTE($H2887&amp;" "," ","|",4))-FIND("|",SUBSTITUTE($H2887&amp;" "," ","|",3))-1),""))</f>
        <v/>
      </c>
      <c r="F2887" s="59">
        <f>IF($H2887="","",IFERROR(VALUE(IFERROR(MID($H2887&amp;" ",FIND("|",SUBSTITUTE($H2887&amp;" "," ","|",4))+1,FIND("|",SUBSTITUTE($H2887&amp;" "," ","|",5))-FIND("|",SUBSTITUTE($H2887&amp;" "," ","|",4))-1),""))/86400+25569+9/24,""))</f>
        <v/>
      </c>
      <c r="G2887" s="58">
        <f>TRIM(SUBSTITUTE(SUBSTITUTE(SUBSTITUTE($A2887,CHAR(9)," ")," "," "),CHAR(13),""))</f>
        <v/>
      </c>
      <c r="H2887" s="58">
        <f>IF($G2887="","",IF(ISNUMBER(FIND(" ",$G2887)),$G2887,IFERROR(IF((LEN(SUBSTITUTE(SUBSTITUTE($G2887,"-"," ",LEN($G2887)-LEN(SUBSTITUTE($G2887,"-",""))),"-"," ",LEN($G2887)-LEN(SUBSTITUTE($G2887,"-",""))-1))-LEN(SUBSTITUTE(SUBSTITUTE(SUBSTITUTE($G2887,"-"," ",LEN($G2887)-LEN(SUBSTITUTE($G2887,"-",""))),"-"," ",LEN($G2887)-LEN(SUBSTITUTE($G2887,"-",""))-1),".","")))=0,SUBSTITUTE(SUBSTITUTE($G2887,"-"," ",LEN($G2887)-LEN(SUBSTITUTE($G2887,"-",""))),"-"," ",LEN($G2887)-LEN(SUBSTITUTE($G2887,"-",""))-1),SUBSTITUTE(SUBSTITUTE(SUBSTITUTE($G2887,"-"," ",LEN($G2887)-LEN(SUBSTITUTE($G2887,"-",""))),"-"," ",LEN($G2887)-LEN(SUBSTITUTE($G2887,"-",""))-1),"."," ",(LEN(SUBSTITUTE(SUBSTITUTE($G2887,"-"," ",LEN($G2887)-LEN(SUBSTITUTE($G2887,"-",""))),"-"," ",LEN($G2887)-LEN(SUBSTITUTE($G2887,"-",""))-1))-LEN(SUBSTITUTE(SUBSTITUTE(SUBSTITUTE($G2887,"-"," ",LEN($G2887)-LEN(SUBSTITUTE($G2887,"-",""))),"-"," ",LEN($G2887)-LEN(SUBSTITUTE($G2887,"-",""))-1),".",""))))),$G2887)))</f>
        <v/>
      </c>
    </row>
    <row r="2888">
      <c r="A2888" s="58" t="n"/>
      <c r="B2888" s="58">
        <f>IF($H2888="","",LEFT($H2888,FIND(" ",$H2888&amp;" ")-1))</f>
        <v/>
      </c>
      <c r="C2888" s="58">
        <f>IF($H2888="","",IFERROR(MID($H2888&amp;" ",FIND("|",SUBSTITUTE($H2888&amp;" "," ","|",1))+1,FIND("|",SUBSTITUTE($H2888&amp;" "," ","|",2))-FIND("|",SUBSTITUTE($H2888&amp;" "," ","|",1))-1),""))</f>
        <v/>
      </c>
      <c r="D2888" s="58">
        <f>IF($H2888="","",IFERROR(MID($H2888&amp;" ",FIND("|",SUBSTITUTE($H2888&amp;" "," ","|",2))+1,FIND("|",SUBSTITUTE($H2888&amp;" "," ","|",3))-FIND("|",SUBSTITUTE($H2888&amp;" "," ","|",2))-1),""))</f>
        <v/>
      </c>
      <c r="E2888" s="58">
        <f>IF($H2888="","",IFERROR(MID($H2888&amp;" ",FIND("|",SUBSTITUTE($H2888&amp;" "," ","|",3))+1,FIND("|",SUBSTITUTE($H2888&amp;" "," ","|",4))-FIND("|",SUBSTITUTE($H2888&amp;" "," ","|",3))-1),""))</f>
        <v/>
      </c>
      <c r="F2888" s="59">
        <f>IF($H2888="","",IFERROR(VALUE(IFERROR(MID($H2888&amp;" ",FIND("|",SUBSTITUTE($H2888&amp;" "," ","|",4))+1,FIND("|",SUBSTITUTE($H2888&amp;" "," ","|",5))-FIND("|",SUBSTITUTE($H2888&amp;" "," ","|",4))-1),""))/86400+25569+9/24,""))</f>
        <v/>
      </c>
      <c r="G2888" s="58">
        <f>TRIM(SUBSTITUTE(SUBSTITUTE(SUBSTITUTE($A2888,CHAR(9)," ")," "," "),CHAR(13),""))</f>
        <v/>
      </c>
      <c r="H2888" s="58">
        <f>IF($G2888="","",IF(ISNUMBER(FIND(" ",$G2888)),$G2888,IFERROR(IF((LEN(SUBSTITUTE(SUBSTITUTE($G2888,"-"," ",LEN($G2888)-LEN(SUBSTITUTE($G2888,"-",""))),"-"," ",LEN($G2888)-LEN(SUBSTITUTE($G2888,"-",""))-1))-LEN(SUBSTITUTE(SUBSTITUTE(SUBSTITUTE($G2888,"-"," ",LEN($G2888)-LEN(SUBSTITUTE($G2888,"-",""))),"-"," ",LEN($G2888)-LEN(SUBSTITUTE($G2888,"-",""))-1),".","")))=0,SUBSTITUTE(SUBSTITUTE($G2888,"-"," ",LEN($G2888)-LEN(SUBSTITUTE($G2888,"-",""))),"-"," ",LEN($G2888)-LEN(SUBSTITUTE($G2888,"-",""))-1),SUBSTITUTE(SUBSTITUTE(SUBSTITUTE($G2888,"-"," ",LEN($G2888)-LEN(SUBSTITUTE($G2888,"-",""))),"-"," ",LEN($G2888)-LEN(SUBSTITUTE($G2888,"-",""))-1),"."," ",(LEN(SUBSTITUTE(SUBSTITUTE($G2888,"-"," ",LEN($G2888)-LEN(SUBSTITUTE($G2888,"-",""))),"-"," ",LEN($G2888)-LEN(SUBSTITUTE($G2888,"-",""))-1))-LEN(SUBSTITUTE(SUBSTITUTE(SUBSTITUTE($G2888,"-"," ",LEN($G2888)-LEN(SUBSTITUTE($G2888,"-",""))),"-"," ",LEN($G2888)-LEN(SUBSTITUTE($G2888,"-",""))-1),".",""))))),$G2888)))</f>
        <v/>
      </c>
    </row>
    <row r="2889">
      <c r="A2889" s="58" t="n"/>
      <c r="B2889" s="58">
        <f>IF($H2889="","",LEFT($H2889,FIND(" ",$H2889&amp;" ")-1))</f>
        <v/>
      </c>
      <c r="C2889" s="58">
        <f>IF($H2889="","",IFERROR(MID($H2889&amp;" ",FIND("|",SUBSTITUTE($H2889&amp;" "," ","|",1))+1,FIND("|",SUBSTITUTE($H2889&amp;" "," ","|",2))-FIND("|",SUBSTITUTE($H2889&amp;" "," ","|",1))-1),""))</f>
        <v/>
      </c>
      <c r="D2889" s="58">
        <f>IF($H2889="","",IFERROR(MID($H2889&amp;" ",FIND("|",SUBSTITUTE($H2889&amp;" "," ","|",2))+1,FIND("|",SUBSTITUTE($H2889&amp;" "," ","|",3))-FIND("|",SUBSTITUTE($H2889&amp;" "," ","|",2))-1),""))</f>
        <v/>
      </c>
      <c r="E2889" s="58">
        <f>IF($H2889="","",IFERROR(MID($H2889&amp;" ",FIND("|",SUBSTITUTE($H2889&amp;" "," ","|",3))+1,FIND("|",SUBSTITUTE($H2889&amp;" "," ","|",4))-FIND("|",SUBSTITUTE($H2889&amp;" "," ","|",3))-1),""))</f>
        <v/>
      </c>
      <c r="F2889" s="59">
        <f>IF($H2889="","",IFERROR(VALUE(IFERROR(MID($H2889&amp;" ",FIND("|",SUBSTITUTE($H2889&amp;" "," ","|",4))+1,FIND("|",SUBSTITUTE($H2889&amp;" "," ","|",5))-FIND("|",SUBSTITUTE($H2889&amp;" "," ","|",4))-1),""))/86400+25569+9/24,""))</f>
        <v/>
      </c>
      <c r="G2889" s="58">
        <f>TRIM(SUBSTITUTE(SUBSTITUTE(SUBSTITUTE($A2889,CHAR(9)," ")," "," "),CHAR(13),""))</f>
        <v/>
      </c>
      <c r="H2889" s="58">
        <f>IF($G2889="","",IF(ISNUMBER(FIND(" ",$G2889)),$G2889,IFERROR(IF((LEN(SUBSTITUTE(SUBSTITUTE($G2889,"-"," ",LEN($G2889)-LEN(SUBSTITUTE($G2889,"-",""))),"-"," ",LEN($G2889)-LEN(SUBSTITUTE($G2889,"-",""))-1))-LEN(SUBSTITUTE(SUBSTITUTE(SUBSTITUTE($G2889,"-"," ",LEN($G2889)-LEN(SUBSTITUTE($G2889,"-",""))),"-"," ",LEN($G2889)-LEN(SUBSTITUTE($G2889,"-",""))-1),".","")))=0,SUBSTITUTE(SUBSTITUTE($G2889,"-"," ",LEN($G2889)-LEN(SUBSTITUTE($G2889,"-",""))),"-"," ",LEN($G2889)-LEN(SUBSTITUTE($G2889,"-",""))-1),SUBSTITUTE(SUBSTITUTE(SUBSTITUTE($G2889,"-"," ",LEN($G2889)-LEN(SUBSTITUTE($G2889,"-",""))),"-"," ",LEN($G2889)-LEN(SUBSTITUTE($G2889,"-",""))-1),"."," ",(LEN(SUBSTITUTE(SUBSTITUTE($G2889,"-"," ",LEN($G2889)-LEN(SUBSTITUTE($G2889,"-",""))),"-"," ",LEN($G2889)-LEN(SUBSTITUTE($G2889,"-",""))-1))-LEN(SUBSTITUTE(SUBSTITUTE(SUBSTITUTE($G2889,"-"," ",LEN($G2889)-LEN(SUBSTITUTE($G2889,"-",""))),"-"," ",LEN($G2889)-LEN(SUBSTITUTE($G2889,"-",""))-1),".",""))))),$G2889)))</f>
        <v/>
      </c>
    </row>
    <row r="2890">
      <c r="A2890" s="58" t="n"/>
      <c r="B2890" s="58">
        <f>IF($H2890="","",LEFT($H2890,FIND(" ",$H2890&amp;" ")-1))</f>
        <v/>
      </c>
      <c r="C2890" s="58">
        <f>IF($H2890="","",IFERROR(MID($H2890&amp;" ",FIND("|",SUBSTITUTE($H2890&amp;" "," ","|",1))+1,FIND("|",SUBSTITUTE($H2890&amp;" "," ","|",2))-FIND("|",SUBSTITUTE($H2890&amp;" "," ","|",1))-1),""))</f>
        <v/>
      </c>
      <c r="D2890" s="58">
        <f>IF($H2890="","",IFERROR(MID($H2890&amp;" ",FIND("|",SUBSTITUTE($H2890&amp;" "," ","|",2))+1,FIND("|",SUBSTITUTE($H2890&amp;" "," ","|",3))-FIND("|",SUBSTITUTE($H2890&amp;" "," ","|",2))-1),""))</f>
        <v/>
      </c>
      <c r="E2890" s="58">
        <f>IF($H2890="","",IFERROR(MID($H2890&amp;" ",FIND("|",SUBSTITUTE($H2890&amp;" "," ","|",3))+1,FIND("|",SUBSTITUTE($H2890&amp;" "," ","|",4))-FIND("|",SUBSTITUTE($H2890&amp;" "," ","|",3))-1),""))</f>
        <v/>
      </c>
      <c r="F2890" s="59">
        <f>IF($H2890="","",IFERROR(VALUE(IFERROR(MID($H2890&amp;" ",FIND("|",SUBSTITUTE($H2890&amp;" "," ","|",4))+1,FIND("|",SUBSTITUTE($H2890&amp;" "," ","|",5))-FIND("|",SUBSTITUTE($H2890&amp;" "," ","|",4))-1),""))/86400+25569+9/24,""))</f>
        <v/>
      </c>
      <c r="G2890" s="58">
        <f>TRIM(SUBSTITUTE(SUBSTITUTE(SUBSTITUTE($A2890,CHAR(9)," ")," "," "),CHAR(13),""))</f>
        <v/>
      </c>
      <c r="H2890" s="58">
        <f>IF($G2890="","",IF(ISNUMBER(FIND(" ",$G2890)),$G2890,IFERROR(IF((LEN(SUBSTITUTE(SUBSTITUTE($G2890,"-"," ",LEN($G2890)-LEN(SUBSTITUTE($G2890,"-",""))),"-"," ",LEN($G2890)-LEN(SUBSTITUTE($G2890,"-",""))-1))-LEN(SUBSTITUTE(SUBSTITUTE(SUBSTITUTE($G2890,"-"," ",LEN($G2890)-LEN(SUBSTITUTE($G2890,"-",""))),"-"," ",LEN($G2890)-LEN(SUBSTITUTE($G2890,"-",""))-1),".","")))=0,SUBSTITUTE(SUBSTITUTE($G2890,"-"," ",LEN($G2890)-LEN(SUBSTITUTE($G2890,"-",""))),"-"," ",LEN($G2890)-LEN(SUBSTITUTE($G2890,"-",""))-1),SUBSTITUTE(SUBSTITUTE(SUBSTITUTE($G2890,"-"," ",LEN($G2890)-LEN(SUBSTITUTE($G2890,"-",""))),"-"," ",LEN($G2890)-LEN(SUBSTITUTE($G2890,"-",""))-1),"."," ",(LEN(SUBSTITUTE(SUBSTITUTE($G2890,"-"," ",LEN($G2890)-LEN(SUBSTITUTE($G2890,"-",""))),"-"," ",LEN($G2890)-LEN(SUBSTITUTE($G2890,"-",""))-1))-LEN(SUBSTITUTE(SUBSTITUTE(SUBSTITUTE($G2890,"-"," ",LEN($G2890)-LEN(SUBSTITUTE($G2890,"-",""))),"-"," ",LEN($G2890)-LEN(SUBSTITUTE($G2890,"-",""))-1),".",""))))),$G2890)))</f>
        <v/>
      </c>
    </row>
    <row r="2891">
      <c r="A2891" s="58" t="n"/>
      <c r="B2891" s="58">
        <f>IF($H2891="","",LEFT($H2891,FIND(" ",$H2891&amp;" ")-1))</f>
        <v/>
      </c>
      <c r="C2891" s="58">
        <f>IF($H2891="","",IFERROR(MID($H2891&amp;" ",FIND("|",SUBSTITUTE($H2891&amp;" "," ","|",1))+1,FIND("|",SUBSTITUTE($H2891&amp;" "," ","|",2))-FIND("|",SUBSTITUTE($H2891&amp;" "," ","|",1))-1),""))</f>
        <v/>
      </c>
      <c r="D2891" s="58">
        <f>IF($H2891="","",IFERROR(MID($H2891&amp;" ",FIND("|",SUBSTITUTE($H2891&amp;" "," ","|",2))+1,FIND("|",SUBSTITUTE($H2891&amp;" "," ","|",3))-FIND("|",SUBSTITUTE($H2891&amp;" "," ","|",2))-1),""))</f>
        <v/>
      </c>
      <c r="E2891" s="58">
        <f>IF($H2891="","",IFERROR(MID($H2891&amp;" ",FIND("|",SUBSTITUTE($H2891&amp;" "," ","|",3))+1,FIND("|",SUBSTITUTE($H2891&amp;" "," ","|",4))-FIND("|",SUBSTITUTE($H2891&amp;" "," ","|",3))-1),""))</f>
        <v/>
      </c>
      <c r="F2891" s="59">
        <f>IF($H2891="","",IFERROR(VALUE(IFERROR(MID($H2891&amp;" ",FIND("|",SUBSTITUTE($H2891&amp;" "," ","|",4))+1,FIND("|",SUBSTITUTE($H2891&amp;" "," ","|",5))-FIND("|",SUBSTITUTE($H2891&amp;" "," ","|",4))-1),""))/86400+25569+9/24,""))</f>
        <v/>
      </c>
      <c r="G2891" s="58">
        <f>TRIM(SUBSTITUTE(SUBSTITUTE(SUBSTITUTE($A2891,CHAR(9)," ")," "," "),CHAR(13),""))</f>
        <v/>
      </c>
      <c r="H2891" s="58">
        <f>IF($G2891="","",IF(ISNUMBER(FIND(" ",$G2891)),$G2891,IFERROR(IF((LEN(SUBSTITUTE(SUBSTITUTE($G2891,"-"," ",LEN($G2891)-LEN(SUBSTITUTE($G2891,"-",""))),"-"," ",LEN($G2891)-LEN(SUBSTITUTE($G2891,"-",""))-1))-LEN(SUBSTITUTE(SUBSTITUTE(SUBSTITUTE($G2891,"-"," ",LEN($G2891)-LEN(SUBSTITUTE($G2891,"-",""))),"-"," ",LEN($G2891)-LEN(SUBSTITUTE($G2891,"-",""))-1),".","")))=0,SUBSTITUTE(SUBSTITUTE($G2891,"-"," ",LEN($G2891)-LEN(SUBSTITUTE($G2891,"-",""))),"-"," ",LEN($G2891)-LEN(SUBSTITUTE($G2891,"-",""))-1),SUBSTITUTE(SUBSTITUTE(SUBSTITUTE($G2891,"-"," ",LEN($G2891)-LEN(SUBSTITUTE($G2891,"-",""))),"-"," ",LEN($G2891)-LEN(SUBSTITUTE($G2891,"-",""))-1),"."," ",(LEN(SUBSTITUTE(SUBSTITUTE($G2891,"-"," ",LEN($G2891)-LEN(SUBSTITUTE($G2891,"-",""))),"-"," ",LEN($G2891)-LEN(SUBSTITUTE($G2891,"-",""))-1))-LEN(SUBSTITUTE(SUBSTITUTE(SUBSTITUTE($G2891,"-"," ",LEN($G2891)-LEN(SUBSTITUTE($G2891,"-",""))),"-"," ",LEN($G2891)-LEN(SUBSTITUTE($G2891,"-",""))-1),".",""))))),$G2891)))</f>
        <v/>
      </c>
    </row>
    <row r="2892">
      <c r="A2892" s="58" t="n"/>
      <c r="B2892" s="58">
        <f>IF($H2892="","",LEFT($H2892,FIND(" ",$H2892&amp;" ")-1))</f>
        <v/>
      </c>
      <c r="C2892" s="58">
        <f>IF($H2892="","",IFERROR(MID($H2892&amp;" ",FIND("|",SUBSTITUTE($H2892&amp;" "," ","|",1))+1,FIND("|",SUBSTITUTE($H2892&amp;" "," ","|",2))-FIND("|",SUBSTITUTE($H2892&amp;" "," ","|",1))-1),""))</f>
        <v/>
      </c>
      <c r="D2892" s="58">
        <f>IF($H2892="","",IFERROR(MID($H2892&amp;" ",FIND("|",SUBSTITUTE($H2892&amp;" "," ","|",2))+1,FIND("|",SUBSTITUTE($H2892&amp;" "," ","|",3))-FIND("|",SUBSTITUTE($H2892&amp;" "," ","|",2))-1),""))</f>
        <v/>
      </c>
      <c r="E2892" s="58">
        <f>IF($H2892="","",IFERROR(MID($H2892&amp;" ",FIND("|",SUBSTITUTE($H2892&amp;" "," ","|",3))+1,FIND("|",SUBSTITUTE($H2892&amp;" "," ","|",4))-FIND("|",SUBSTITUTE($H2892&amp;" "," ","|",3))-1),""))</f>
        <v/>
      </c>
      <c r="F2892" s="59">
        <f>IF($H2892="","",IFERROR(VALUE(IFERROR(MID($H2892&amp;" ",FIND("|",SUBSTITUTE($H2892&amp;" "," ","|",4))+1,FIND("|",SUBSTITUTE($H2892&amp;" "," ","|",5))-FIND("|",SUBSTITUTE($H2892&amp;" "," ","|",4))-1),""))/86400+25569+9/24,""))</f>
        <v/>
      </c>
      <c r="G2892" s="58">
        <f>TRIM(SUBSTITUTE(SUBSTITUTE(SUBSTITUTE($A2892,CHAR(9)," ")," "," "),CHAR(13),""))</f>
        <v/>
      </c>
      <c r="H2892" s="58">
        <f>IF($G2892="","",IF(ISNUMBER(FIND(" ",$G2892)),$G2892,IFERROR(IF((LEN(SUBSTITUTE(SUBSTITUTE($G2892,"-"," ",LEN($G2892)-LEN(SUBSTITUTE($G2892,"-",""))),"-"," ",LEN($G2892)-LEN(SUBSTITUTE($G2892,"-",""))-1))-LEN(SUBSTITUTE(SUBSTITUTE(SUBSTITUTE($G2892,"-"," ",LEN($G2892)-LEN(SUBSTITUTE($G2892,"-",""))),"-"," ",LEN($G2892)-LEN(SUBSTITUTE($G2892,"-",""))-1),".","")))=0,SUBSTITUTE(SUBSTITUTE($G2892,"-"," ",LEN($G2892)-LEN(SUBSTITUTE($G2892,"-",""))),"-"," ",LEN($G2892)-LEN(SUBSTITUTE($G2892,"-",""))-1),SUBSTITUTE(SUBSTITUTE(SUBSTITUTE($G2892,"-"," ",LEN($G2892)-LEN(SUBSTITUTE($G2892,"-",""))),"-"," ",LEN($G2892)-LEN(SUBSTITUTE($G2892,"-",""))-1),"."," ",(LEN(SUBSTITUTE(SUBSTITUTE($G2892,"-"," ",LEN($G2892)-LEN(SUBSTITUTE($G2892,"-",""))),"-"," ",LEN($G2892)-LEN(SUBSTITUTE($G2892,"-",""))-1))-LEN(SUBSTITUTE(SUBSTITUTE(SUBSTITUTE($G2892,"-"," ",LEN($G2892)-LEN(SUBSTITUTE($G2892,"-",""))),"-"," ",LEN($G2892)-LEN(SUBSTITUTE($G2892,"-",""))-1),".",""))))),$G2892)))</f>
        <v/>
      </c>
    </row>
    <row r="2893">
      <c r="A2893" s="58" t="n"/>
      <c r="B2893" s="58">
        <f>IF($H2893="","",LEFT($H2893,FIND(" ",$H2893&amp;" ")-1))</f>
        <v/>
      </c>
      <c r="C2893" s="58">
        <f>IF($H2893="","",IFERROR(MID($H2893&amp;" ",FIND("|",SUBSTITUTE($H2893&amp;" "," ","|",1))+1,FIND("|",SUBSTITUTE($H2893&amp;" "," ","|",2))-FIND("|",SUBSTITUTE($H2893&amp;" "," ","|",1))-1),""))</f>
        <v/>
      </c>
      <c r="D2893" s="58">
        <f>IF($H2893="","",IFERROR(MID($H2893&amp;" ",FIND("|",SUBSTITUTE($H2893&amp;" "," ","|",2))+1,FIND("|",SUBSTITUTE($H2893&amp;" "," ","|",3))-FIND("|",SUBSTITUTE($H2893&amp;" "," ","|",2))-1),""))</f>
        <v/>
      </c>
      <c r="E2893" s="58">
        <f>IF($H2893="","",IFERROR(MID($H2893&amp;" ",FIND("|",SUBSTITUTE($H2893&amp;" "," ","|",3))+1,FIND("|",SUBSTITUTE($H2893&amp;" "," ","|",4))-FIND("|",SUBSTITUTE($H2893&amp;" "," ","|",3))-1),""))</f>
        <v/>
      </c>
      <c r="F2893" s="59">
        <f>IF($H2893="","",IFERROR(VALUE(IFERROR(MID($H2893&amp;" ",FIND("|",SUBSTITUTE($H2893&amp;" "," ","|",4))+1,FIND("|",SUBSTITUTE($H2893&amp;" "," ","|",5))-FIND("|",SUBSTITUTE($H2893&amp;" "," ","|",4))-1),""))/86400+25569+9/24,""))</f>
        <v/>
      </c>
      <c r="G2893" s="58">
        <f>TRIM(SUBSTITUTE(SUBSTITUTE(SUBSTITUTE($A2893,CHAR(9)," ")," "," "),CHAR(13),""))</f>
        <v/>
      </c>
      <c r="H2893" s="58">
        <f>IF($G2893="","",IF(ISNUMBER(FIND(" ",$G2893)),$G2893,IFERROR(IF((LEN(SUBSTITUTE(SUBSTITUTE($G2893,"-"," ",LEN($G2893)-LEN(SUBSTITUTE($G2893,"-",""))),"-"," ",LEN($G2893)-LEN(SUBSTITUTE($G2893,"-",""))-1))-LEN(SUBSTITUTE(SUBSTITUTE(SUBSTITUTE($G2893,"-"," ",LEN($G2893)-LEN(SUBSTITUTE($G2893,"-",""))),"-"," ",LEN($G2893)-LEN(SUBSTITUTE($G2893,"-",""))-1),".","")))=0,SUBSTITUTE(SUBSTITUTE($G2893,"-"," ",LEN($G2893)-LEN(SUBSTITUTE($G2893,"-",""))),"-"," ",LEN($G2893)-LEN(SUBSTITUTE($G2893,"-",""))-1),SUBSTITUTE(SUBSTITUTE(SUBSTITUTE($G2893,"-"," ",LEN($G2893)-LEN(SUBSTITUTE($G2893,"-",""))),"-"," ",LEN($G2893)-LEN(SUBSTITUTE($G2893,"-",""))-1),"."," ",(LEN(SUBSTITUTE(SUBSTITUTE($G2893,"-"," ",LEN($G2893)-LEN(SUBSTITUTE($G2893,"-",""))),"-"," ",LEN($G2893)-LEN(SUBSTITUTE($G2893,"-",""))-1))-LEN(SUBSTITUTE(SUBSTITUTE(SUBSTITUTE($G2893,"-"," ",LEN($G2893)-LEN(SUBSTITUTE($G2893,"-",""))),"-"," ",LEN($G2893)-LEN(SUBSTITUTE($G2893,"-",""))-1),".",""))))),$G2893)))</f>
        <v/>
      </c>
    </row>
    <row r="2894">
      <c r="A2894" s="58" t="n"/>
      <c r="B2894" s="58">
        <f>IF($H2894="","",LEFT($H2894,FIND(" ",$H2894&amp;" ")-1))</f>
        <v/>
      </c>
      <c r="C2894" s="58">
        <f>IF($H2894="","",IFERROR(MID($H2894&amp;" ",FIND("|",SUBSTITUTE($H2894&amp;" "," ","|",1))+1,FIND("|",SUBSTITUTE($H2894&amp;" "," ","|",2))-FIND("|",SUBSTITUTE($H2894&amp;" "," ","|",1))-1),""))</f>
        <v/>
      </c>
      <c r="D2894" s="58">
        <f>IF($H2894="","",IFERROR(MID($H2894&amp;" ",FIND("|",SUBSTITUTE($H2894&amp;" "," ","|",2))+1,FIND("|",SUBSTITUTE($H2894&amp;" "," ","|",3))-FIND("|",SUBSTITUTE($H2894&amp;" "," ","|",2))-1),""))</f>
        <v/>
      </c>
      <c r="E2894" s="58">
        <f>IF($H2894="","",IFERROR(MID($H2894&amp;" ",FIND("|",SUBSTITUTE($H2894&amp;" "," ","|",3))+1,FIND("|",SUBSTITUTE($H2894&amp;" "," ","|",4))-FIND("|",SUBSTITUTE($H2894&amp;" "," ","|",3))-1),""))</f>
        <v/>
      </c>
      <c r="F2894" s="59">
        <f>IF($H2894="","",IFERROR(VALUE(IFERROR(MID($H2894&amp;" ",FIND("|",SUBSTITUTE($H2894&amp;" "," ","|",4))+1,FIND("|",SUBSTITUTE($H2894&amp;" "," ","|",5))-FIND("|",SUBSTITUTE($H2894&amp;" "," ","|",4))-1),""))/86400+25569+9/24,""))</f>
        <v/>
      </c>
      <c r="G2894" s="58">
        <f>TRIM(SUBSTITUTE(SUBSTITUTE(SUBSTITUTE($A2894,CHAR(9)," ")," "," "),CHAR(13),""))</f>
        <v/>
      </c>
      <c r="H2894" s="58">
        <f>IF($G2894="","",IF(ISNUMBER(FIND(" ",$G2894)),$G2894,IFERROR(IF((LEN(SUBSTITUTE(SUBSTITUTE($G2894,"-"," ",LEN($G2894)-LEN(SUBSTITUTE($G2894,"-",""))),"-"," ",LEN($G2894)-LEN(SUBSTITUTE($G2894,"-",""))-1))-LEN(SUBSTITUTE(SUBSTITUTE(SUBSTITUTE($G2894,"-"," ",LEN($G2894)-LEN(SUBSTITUTE($G2894,"-",""))),"-"," ",LEN($G2894)-LEN(SUBSTITUTE($G2894,"-",""))-1),".","")))=0,SUBSTITUTE(SUBSTITUTE($G2894,"-"," ",LEN($G2894)-LEN(SUBSTITUTE($G2894,"-",""))),"-"," ",LEN($G2894)-LEN(SUBSTITUTE($G2894,"-",""))-1),SUBSTITUTE(SUBSTITUTE(SUBSTITUTE($G2894,"-"," ",LEN($G2894)-LEN(SUBSTITUTE($G2894,"-",""))),"-"," ",LEN($G2894)-LEN(SUBSTITUTE($G2894,"-",""))-1),"."," ",(LEN(SUBSTITUTE(SUBSTITUTE($G2894,"-"," ",LEN($G2894)-LEN(SUBSTITUTE($G2894,"-",""))),"-"," ",LEN($G2894)-LEN(SUBSTITUTE($G2894,"-",""))-1))-LEN(SUBSTITUTE(SUBSTITUTE(SUBSTITUTE($G2894,"-"," ",LEN($G2894)-LEN(SUBSTITUTE($G2894,"-",""))),"-"," ",LEN($G2894)-LEN(SUBSTITUTE($G2894,"-",""))-1),".",""))))),$G2894)))</f>
        <v/>
      </c>
    </row>
    <row r="2895">
      <c r="A2895" s="58" t="n"/>
      <c r="B2895" s="58">
        <f>IF($H2895="","",LEFT($H2895,FIND(" ",$H2895&amp;" ")-1))</f>
        <v/>
      </c>
      <c r="C2895" s="58">
        <f>IF($H2895="","",IFERROR(MID($H2895&amp;" ",FIND("|",SUBSTITUTE($H2895&amp;" "," ","|",1))+1,FIND("|",SUBSTITUTE($H2895&amp;" "," ","|",2))-FIND("|",SUBSTITUTE($H2895&amp;" "," ","|",1))-1),""))</f>
        <v/>
      </c>
      <c r="D2895" s="58">
        <f>IF($H2895="","",IFERROR(MID($H2895&amp;" ",FIND("|",SUBSTITUTE($H2895&amp;" "," ","|",2))+1,FIND("|",SUBSTITUTE($H2895&amp;" "," ","|",3))-FIND("|",SUBSTITUTE($H2895&amp;" "," ","|",2))-1),""))</f>
        <v/>
      </c>
      <c r="E2895" s="58">
        <f>IF($H2895="","",IFERROR(MID($H2895&amp;" ",FIND("|",SUBSTITUTE($H2895&amp;" "," ","|",3))+1,FIND("|",SUBSTITUTE($H2895&amp;" "," ","|",4))-FIND("|",SUBSTITUTE($H2895&amp;" "," ","|",3))-1),""))</f>
        <v/>
      </c>
      <c r="F2895" s="59">
        <f>IF($H2895="","",IFERROR(VALUE(IFERROR(MID($H2895&amp;" ",FIND("|",SUBSTITUTE($H2895&amp;" "," ","|",4))+1,FIND("|",SUBSTITUTE($H2895&amp;" "," ","|",5))-FIND("|",SUBSTITUTE($H2895&amp;" "," ","|",4))-1),""))/86400+25569+9/24,""))</f>
        <v/>
      </c>
      <c r="G2895" s="58">
        <f>TRIM(SUBSTITUTE(SUBSTITUTE(SUBSTITUTE($A2895,CHAR(9)," ")," "," "),CHAR(13),""))</f>
        <v/>
      </c>
      <c r="H2895" s="58">
        <f>IF($G2895="","",IF(ISNUMBER(FIND(" ",$G2895)),$G2895,IFERROR(IF((LEN(SUBSTITUTE(SUBSTITUTE($G2895,"-"," ",LEN($G2895)-LEN(SUBSTITUTE($G2895,"-",""))),"-"," ",LEN($G2895)-LEN(SUBSTITUTE($G2895,"-",""))-1))-LEN(SUBSTITUTE(SUBSTITUTE(SUBSTITUTE($G2895,"-"," ",LEN($G2895)-LEN(SUBSTITUTE($G2895,"-",""))),"-"," ",LEN($G2895)-LEN(SUBSTITUTE($G2895,"-",""))-1),".","")))=0,SUBSTITUTE(SUBSTITUTE($G2895,"-"," ",LEN($G2895)-LEN(SUBSTITUTE($G2895,"-",""))),"-"," ",LEN($G2895)-LEN(SUBSTITUTE($G2895,"-",""))-1),SUBSTITUTE(SUBSTITUTE(SUBSTITUTE($G2895,"-"," ",LEN($G2895)-LEN(SUBSTITUTE($G2895,"-",""))),"-"," ",LEN($G2895)-LEN(SUBSTITUTE($G2895,"-",""))-1),"."," ",(LEN(SUBSTITUTE(SUBSTITUTE($G2895,"-"," ",LEN($G2895)-LEN(SUBSTITUTE($G2895,"-",""))),"-"," ",LEN($G2895)-LEN(SUBSTITUTE($G2895,"-",""))-1))-LEN(SUBSTITUTE(SUBSTITUTE(SUBSTITUTE($G2895,"-"," ",LEN($G2895)-LEN(SUBSTITUTE($G2895,"-",""))),"-"," ",LEN($G2895)-LEN(SUBSTITUTE($G2895,"-",""))-1),".",""))))),$G2895)))</f>
        <v/>
      </c>
    </row>
    <row r="2896">
      <c r="A2896" s="58" t="n"/>
      <c r="B2896" s="58">
        <f>IF($H2896="","",LEFT($H2896,FIND(" ",$H2896&amp;" ")-1))</f>
        <v/>
      </c>
      <c r="C2896" s="58">
        <f>IF($H2896="","",IFERROR(MID($H2896&amp;" ",FIND("|",SUBSTITUTE($H2896&amp;" "," ","|",1))+1,FIND("|",SUBSTITUTE($H2896&amp;" "," ","|",2))-FIND("|",SUBSTITUTE($H2896&amp;" "," ","|",1))-1),""))</f>
        <v/>
      </c>
      <c r="D2896" s="58">
        <f>IF($H2896="","",IFERROR(MID($H2896&amp;" ",FIND("|",SUBSTITUTE($H2896&amp;" "," ","|",2))+1,FIND("|",SUBSTITUTE($H2896&amp;" "," ","|",3))-FIND("|",SUBSTITUTE($H2896&amp;" "," ","|",2))-1),""))</f>
        <v/>
      </c>
      <c r="E2896" s="58">
        <f>IF($H2896="","",IFERROR(MID($H2896&amp;" ",FIND("|",SUBSTITUTE($H2896&amp;" "," ","|",3))+1,FIND("|",SUBSTITUTE($H2896&amp;" "," ","|",4))-FIND("|",SUBSTITUTE($H2896&amp;" "," ","|",3))-1),""))</f>
        <v/>
      </c>
      <c r="F2896" s="59">
        <f>IF($H2896="","",IFERROR(VALUE(IFERROR(MID($H2896&amp;" ",FIND("|",SUBSTITUTE($H2896&amp;" "," ","|",4))+1,FIND("|",SUBSTITUTE($H2896&amp;" "," ","|",5))-FIND("|",SUBSTITUTE($H2896&amp;" "," ","|",4))-1),""))/86400+25569+9/24,""))</f>
        <v/>
      </c>
      <c r="G2896" s="58">
        <f>TRIM(SUBSTITUTE(SUBSTITUTE(SUBSTITUTE($A2896,CHAR(9)," ")," "," "),CHAR(13),""))</f>
        <v/>
      </c>
      <c r="H2896" s="58">
        <f>IF($G2896="","",IF(ISNUMBER(FIND(" ",$G2896)),$G2896,IFERROR(IF((LEN(SUBSTITUTE(SUBSTITUTE($G2896,"-"," ",LEN($G2896)-LEN(SUBSTITUTE($G2896,"-",""))),"-"," ",LEN($G2896)-LEN(SUBSTITUTE($G2896,"-",""))-1))-LEN(SUBSTITUTE(SUBSTITUTE(SUBSTITUTE($G2896,"-"," ",LEN($G2896)-LEN(SUBSTITUTE($G2896,"-",""))),"-"," ",LEN($G2896)-LEN(SUBSTITUTE($G2896,"-",""))-1),".","")))=0,SUBSTITUTE(SUBSTITUTE($G2896,"-"," ",LEN($G2896)-LEN(SUBSTITUTE($G2896,"-",""))),"-"," ",LEN($G2896)-LEN(SUBSTITUTE($G2896,"-",""))-1),SUBSTITUTE(SUBSTITUTE(SUBSTITUTE($G2896,"-"," ",LEN($G2896)-LEN(SUBSTITUTE($G2896,"-",""))),"-"," ",LEN($G2896)-LEN(SUBSTITUTE($G2896,"-",""))-1),"."," ",(LEN(SUBSTITUTE(SUBSTITUTE($G2896,"-"," ",LEN($G2896)-LEN(SUBSTITUTE($G2896,"-",""))),"-"," ",LEN($G2896)-LEN(SUBSTITUTE($G2896,"-",""))-1))-LEN(SUBSTITUTE(SUBSTITUTE(SUBSTITUTE($G2896,"-"," ",LEN($G2896)-LEN(SUBSTITUTE($G2896,"-",""))),"-"," ",LEN($G2896)-LEN(SUBSTITUTE($G2896,"-",""))-1),".",""))))),$G2896)))</f>
        <v/>
      </c>
    </row>
    <row r="2897">
      <c r="A2897" s="58" t="n"/>
      <c r="B2897" s="58">
        <f>IF($H2897="","",LEFT($H2897,FIND(" ",$H2897&amp;" ")-1))</f>
        <v/>
      </c>
      <c r="C2897" s="58">
        <f>IF($H2897="","",IFERROR(MID($H2897&amp;" ",FIND("|",SUBSTITUTE($H2897&amp;" "," ","|",1))+1,FIND("|",SUBSTITUTE($H2897&amp;" "," ","|",2))-FIND("|",SUBSTITUTE($H2897&amp;" "," ","|",1))-1),""))</f>
        <v/>
      </c>
      <c r="D2897" s="58">
        <f>IF($H2897="","",IFERROR(MID($H2897&amp;" ",FIND("|",SUBSTITUTE($H2897&amp;" "," ","|",2))+1,FIND("|",SUBSTITUTE($H2897&amp;" "," ","|",3))-FIND("|",SUBSTITUTE($H2897&amp;" "," ","|",2))-1),""))</f>
        <v/>
      </c>
      <c r="E2897" s="58">
        <f>IF($H2897="","",IFERROR(MID($H2897&amp;" ",FIND("|",SUBSTITUTE($H2897&amp;" "," ","|",3))+1,FIND("|",SUBSTITUTE($H2897&amp;" "," ","|",4))-FIND("|",SUBSTITUTE($H2897&amp;" "," ","|",3))-1),""))</f>
        <v/>
      </c>
      <c r="F2897" s="59">
        <f>IF($H2897="","",IFERROR(VALUE(IFERROR(MID($H2897&amp;" ",FIND("|",SUBSTITUTE($H2897&amp;" "," ","|",4))+1,FIND("|",SUBSTITUTE($H2897&amp;" "," ","|",5))-FIND("|",SUBSTITUTE($H2897&amp;" "," ","|",4))-1),""))/86400+25569+9/24,""))</f>
        <v/>
      </c>
      <c r="G2897" s="58">
        <f>TRIM(SUBSTITUTE(SUBSTITUTE(SUBSTITUTE($A2897,CHAR(9)," ")," "," "),CHAR(13),""))</f>
        <v/>
      </c>
      <c r="H2897" s="58">
        <f>IF($G2897="","",IF(ISNUMBER(FIND(" ",$G2897)),$G2897,IFERROR(IF((LEN(SUBSTITUTE(SUBSTITUTE($G2897,"-"," ",LEN($G2897)-LEN(SUBSTITUTE($G2897,"-",""))),"-"," ",LEN($G2897)-LEN(SUBSTITUTE($G2897,"-",""))-1))-LEN(SUBSTITUTE(SUBSTITUTE(SUBSTITUTE($G2897,"-"," ",LEN($G2897)-LEN(SUBSTITUTE($G2897,"-",""))),"-"," ",LEN($G2897)-LEN(SUBSTITUTE($G2897,"-",""))-1),".","")))=0,SUBSTITUTE(SUBSTITUTE($G2897,"-"," ",LEN($G2897)-LEN(SUBSTITUTE($G2897,"-",""))),"-"," ",LEN($G2897)-LEN(SUBSTITUTE($G2897,"-",""))-1),SUBSTITUTE(SUBSTITUTE(SUBSTITUTE($G2897,"-"," ",LEN($G2897)-LEN(SUBSTITUTE($G2897,"-",""))),"-"," ",LEN($G2897)-LEN(SUBSTITUTE($G2897,"-",""))-1),"."," ",(LEN(SUBSTITUTE(SUBSTITUTE($G2897,"-"," ",LEN($G2897)-LEN(SUBSTITUTE($G2897,"-",""))),"-"," ",LEN($G2897)-LEN(SUBSTITUTE($G2897,"-",""))-1))-LEN(SUBSTITUTE(SUBSTITUTE(SUBSTITUTE($G2897,"-"," ",LEN($G2897)-LEN(SUBSTITUTE($G2897,"-",""))),"-"," ",LEN($G2897)-LEN(SUBSTITUTE($G2897,"-",""))-1),".",""))))),$G2897)))</f>
        <v/>
      </c>
    </row>
    <row r="2898">
      <c r="A2898" s="58" t="n"/>
      <c r="B2898" s="58">
        <f>IF($H2898="","",LEFT($H2898,FIND(" ",$H2898&amp;" ")-1))</f>
        <v/>
      </c>
      <c r="C2898" s="58">
        <f>IF($H2898="","",IFERROR(MID($H2898&amp;" ",FIND("|",SUBSTITUTE($H2898&amp;" "," ","|",1))+1,FIND("|",SUBSTITUTE($H2898&amp;" "," ","|",2))-FIND("|",SUBSTITUTE($H2898&amp;" "," ","|",1))-1),""))</f>
        <v/>
      </c>
      <c r="D2898" s="58">
        <f>IF($H2898="","",IFERROR(MID($H2898&amp;" ",FIND("|",SUBSTITUTE($H2898&amp;" "," ","|",2))+1,FIND("|",SUBSTITUTE($H2898&amp;" "," ","|",3))-FIND("|",SUBSTITUTE($H2898&amp;" "," ","|",2))-1),""))</f>
        <v/>
      </c>
      <c r="E2898" s="58">
        <f>IF($H2898="","",IFERROR(MID($H2898&amp;" ",FIND("|",SUBSTITUTE($H2898&amp;" "," ","|",3))+1,FIND("|",SUBSTITUTE($H2898&amp;" "," ","|",4))-FIND("|",SUBSTITUTE($H2898&amp;" "," ","|",3))-1),""))</f>
        <v/>
      </c>
      <c r="F2898" s="59">
        <f>IF($H2898="","",IFERROR(VALUE(IFERROR(MID($H2898&amp;" ",FIND("|",SUBSTITUTE($H2898&amp;" "," ","|",4))+1,FIND("|",SUBSTITUTE($H2898&amp;" "," ","|",5))-FIND("|",SUBSTITUTE($H2898&amp;" "," ","|",4))-1),""))/86400+25569+9/24,""))</f>
        <v/>
      </c>
      <c r="G2898" s="58">
        <f>TRIM(SUBSTITUTE(SUBSTITUTE(SUBSTITUTE($A2898,CHAR(9)," ")," "," "),CHAR(13),""))</f>
        <v/>
      </c>
      <c r="H2898" s="58">
        <f>IF($G2898="","",IF(ISNUMBER(FIND(" ",$G2898)),$G2898,IFERROR(IF((LEN(SUBSTITUTE(SUBSTITUTE($G2898,"-"," ",LEN($G2898)-LEN(SUBSTITUTE($G2898,"-",""))),"-"," ",LEN($G2898)-LEN(SUBSTITUTE($G2898,"-",""))-1))-LEN(SUBSTITUTE(SUBSTITUTE(SUBSTITUTE($G2898,"-"," ",LEN($G2898)-LEN(SUBSTITUTE($G2898,"-",""))),"-"," ",LEN($G2898)-LEN(SUBSTITUTE($G2898,"-",""))-1),".","")))=0,SUBSTITUTE(SUBSTITUTE($G2898,"-"," ",LEN($G2898)-LEN(SUBSTITUTE($G2898,"-",""))),"-"," ",LEN($G2898)-LEN(SUBSTITUTE($G2898,"-",""))-1),SUBSTITUTE(SUBSTITUTE(SUBSTITUTE($G2898,"-"," ",LEN($G2898)-LEN(SUBSTITUTE($G2898,"-",""))),"-"," ",LEN($G2898)-LEN(SUBSTITUTE($G2898,"-",""))-1),"."," ",(LEN(SUBSTITUTE(SUBSTITUTE($G2898,"-"," ",LEN($G2898)-LEN(SUBSTITUTE($G2898,"-",""))),"-"," ",LEN($G2898)-LEN(SUBSTITUTE($G2898,"-",""))-1))-LEN(SUBSTITUTE(SUBSTITUTE(SUBSTITUTE($G2898,"-"," ",LEN($G2898)-LEN(SUBSTITUTE($G2898,"-",""))),"-"," ",LEN($G2898)-LEN(SUBSTITUTE($G2898,"-",""))-1),".",""))))),$G2898)))</f>
        <v/>
      </c>
    </row>
    <row r="2899">
      <c r="A2899" s="58" t="n"/>
      <c r="B2899" s="58">
        <f>IF($H2899="","",LEFT($H2899,FIND(" ",$H2899&amp;" ")-1))</f>
        <v/>
      </c>
      <c r="C2899" s="58">
        <f>IF($H2899="","",IFERROR(MID($H2899&amp;" ",FIND("|",SUBSTITUTE($H2899&amp;" "," ","|",1))+1,FIND("|",SUBSTITUTE($H2899&amp;" "," ","|",2))-FIND("|",SUBSTITUTE($H2899&amp;" "," ","|",1))-1),""))</f>
        <v/>
      </c>
      <c r="D2899" s="58">
        <f>IF($H2899="","",IFERROR(MID($H2899&amp;" ",FIND("|",SUBSTITUTE($H2899&amp;" "," ","|",2))+1,FIND("|",SUBSTITUTE($H2899&amp;" "," ","|",3))-FIND("|",SUBSTITUTE($H2899&amp;" "," ","|",2))-1),""))</f>
        <v/>
      </c>
      <c r="E2899" s="58">
        <f>IF($H2899="","",IFERROR(MID($H2899&amp;" ",FIND("|",SUBSTITUTE($H2899&amp;" "," ","|",3))+1,FIND("|",SUBSTITUTE($H2899&amp;" "," ","|",4))-FIND("|",SUBSTITUTE($H2899&amp;" "," ","|",3))-1),""))</f>
        <v/>
      </c>
      <c r="F2899" s="59">
        <f>IF($H2899="","",IFERROR(VALUE(IFERROR(MID($H2899&amp;" ",FIND("|",SUBSTITUTE($H2899&amp;" "," ","|",4))+1,FIND("|",SUBSTITUTE($H2899&amp;" "," ","|",5))-FIND("|",SUBSTITUTE($H2899&amp;" "," ","|",4))-1),""))/86400+25569+9/24,""))</f>
        <v/>
      </c>
      <c r="G2899" s="58">
        <f>TRIM(SUBSTITUTE(SUBSTITUTE(SUBSTITUTE($A2899,CHAR(9)," ")," "," "),CHAR(13),""))</f>
        <v/>
      </c>
      <c r="H2899" s="58">
        <f>IF($G2899="","",IF(ISNUMBER(FIND(" ",$G2899)),$G2899,IFERROR(IF((LEN(SUBSTITUTE(SUBSTITUTE($G2899,"-"," ",LEN($G2899)-LEN(SUBSTITUTE($G2899,"-",""))),"-"," ",LEN($G2899)-LEN(SUBSTITUTE($G2899,"-",""))-1))-LEN(SUBSTITUTE(SUBSTITUTE(SUBSTITUTE($G2899,"-"," ",LEN($G2899)-LEN(SUBSTITUTE($G2899,"-",""))),"-"," ",LEN($G2899)-LEN(SUBSTITUTE($G2899,"-",""))-1),".","")))=0,SUBSTITUTE(SUBSTITUTE($G2899,"-"," ",LEN($G2899)-LEN(SUBSTITUTE($G2899,"-",""))),"-"," ",LEN($G2899)-LEN(SUBSTITUTE($G2899,"-",""))-1),SUBSTITUTE(SUBSTITUTE(SUBSTITUTE($G2899,"-"," ",LEN($G2899)-LEN(SUBSTITUTE($G2899,"-",""))),"-"," ",LEN($G2899)-LEN(SUBSTITUTE($G2899,"-",""))-1),"."," ",(LEN(SUBSTITUTE(SUBSTITUTE($G2899,"-"," ",LEN($G2899)-LEN(SUBSTITUTE($G2899,"-",""))),"-"," ",LEN($G2899)-LEN(SUBSTITUTE($G2899,"-",""))-1))-LEN(SUBSTITUTE(SUBSTITUTE(SUBSTITUTE($G2899,"-"," ",LEN($G2899)-LEN(SUBSTITUTE($G2899,"-",""))),"-"," ",LEN($G2899)-LEN(SUBSTITUTE($G2899,"-",""))-1),".",""))))),$G2899)))</f>
        <v/>
      </c>
    </row>
    <row r="2900">
      <c r="A2900" s="58" t="n"/>
      <c r="B2900" s="58">
        <f>IF($H2900="","",LEFT($H2900,FIND(" ",$H2900&amp;" ")-1))</f>
        <v/>
      </c>
      <c r="C2900" s="58">
        <f>IF($H2900="","",IFERROR(MID($H2900&amp;" ",FIND("|",SUBSTITUTE($H2900&amp;" "," ","|",1))+1,FIND("|",SUBSTITUTE($H2900&amp;" "," ","|",2))-FIND("|",SUBSTITUTE($H2900&amp;" "," ","|",1))-1),""))</f>
        <v/>
      </c>
      <c r="D2900" s="58">
        <f>IF($H2900="","",IFERROR(MID($H2900&amp;" ",FIND("|",SUBSTITUTE($H2900&amp;" "," ","|",2))+1,FIND("|",SUBSTITUTE($H2900&amp;" "," ","|",3))-FIND("|",SUBSTITUTE($H2900&amp;" "," ","|",2))-1),""))</f>
        <v/>
      </c>
      <c r="E2900" s="58">
        <f>IF($H2900="","",IFERROR(MID($H2900&amp;" ",FIND("|",SUBSTITUTE($H2900&amp;" "," ","|",3))+1,FIND("|",SUBSTITUTE($H2900&amp;" "," ","|",4))-FIND("|",SUBSTITUTE($H2900&amp;" "," ","|",3))-1),""))</f>
        <v/>
      </c>
      <c r="F2900" s="59">
        <f>IF($H2900="","",IFERROR(VALUE(IFERROR(MID($H2900&amp;" ",FIND("|",SUBSTITUTE($H2900&amp;" "," ","|",4))+1,FIND("|",SUBSTITUTE($H2900&amp;" "," ","|",5))-FIND("|",SUBSTITUTE($H2900&amp;" "," ","|",4))-1),""))/86400+25569+9/24,""))</f>
        <v/>
      </c>
      <c r="G2900" s="58">
        <f>TRIM(SUBSTITUTE(SUBSTITUTE(SUBSTITUTE($A2900,CHAR(9)," ")," "," "),CHAR(13),""))</f>
        <v/>
      </c>
      <c r="H2900" s="58">
        <f>IF($G2900="","",IF(ISNUMBER(FIND(" ",$G2900)),$G2900,IFERROR(IF((LEN(SUBSTITUTE(SUBSTITUTE($G2900,"-"," ",LEN($G2900)-LEN(SUBSTITUTE($G2900,"-",""))),"-"," ",LEN($G2900)-LEN(SUBSTITUTE($G2900,"-",""))-1))-LEN(SUBSTITUTE(SUBSTITUTE(SUBSTITUTE($G2900,"-"," ",LEN($G2900)-LEN(SUBSTITUTE($G2900,"-",""))),"-"," ",LEN($G2900)-LEN(SUBSTITUTE($G2900,"-",""))-1),".","")))=0,SUBSTITUTE(SUBSTITUTE($G2900,"-"," ",LEN($G2900)-LEN(SUBSTITUTE($G2900,"-",""))),"-"," ",LEN($G2900)-LEN(SUBSTITUTE($G2900,"-",""))-1),SUBSTITUTE(SUBSTITUTE(SUBSTITUTE($G2900,"-"," ",LEN($G2900)-LEN(SUBSTITUTE($G2900,"-",""))),"-"," ",LEN($G2900)-LEN(SUBSTITUTE($G2900,"-",""))-1),"."," ",(LEN(SUBSTITUTE(SUBSTITUTE($G2900,"-"," ",LEN($G2900)-LEN(SUBSTITUTE($G2900,"-",""))),"-"," ",LEN($G2900)-LEN(SUBSTITUTE($G2900,"-",""))-1))-LEN(SUBSTITUTE(SUBSTITUTE(SUBSTITUTE($G2900,"-"," ",LEN($G2900)-LEN(SUBSTITUTE($G2900,"-",""))),"-"," ",LEN($G2900)-LEN(SUBSTITUTE($G2900,"-",""))-1),".",""))))),$G2900)))</f>
        <v/>
      </c>
    </row>
    <row r="2901">
      <c r="A2901" s="58" t="n"/>
      <c r="B2901" s="58">
        <f>IF($H2901="","",LEFT($H2901,FIND(" ",$H2901&amp;" ")-1))</f>
        <v/>
      </c>
      <c r="C2901" s="58">
        <f>IF($H2901="","",IFERROR(MID($H2901&amp;" ",FIND("|",SUBSTITUTE($H2901&amp;" "," ","|",1))+1,FIND("|",SUBSTITUTE($H2901&amp;" "," ","|",2))-FIND("|",SUBSTITUTE($H2901&amp;" "," ","|",1))-1),""))</f>
        <v/>
      </c>
      <c r="D2901" s="58">
        <f>IF($H2901="","",IFERROR(MID($H2901&amp;" ",FIND("|",SUBSTITUTE($H2901&amp;" "," ","|",2))+1,FIND("|",SUBSTITUTE($H2901&amp;" "," ","|",3))-FIND("|",SUBSTITUTE($H2901&amp;" "," ","|",2))-1),""))</f>
        <v/>
      </c>
      <c r="E2901" s="58">
        <f>IF($H2901="","",IFERROR(MID($H2901&amp;" ",FIND("|",SUBSTITUTE($H2901&amp;" "," ","|",3))+1,FIND("|",SUBSTITUTE($H2901&amp;" "," ","|",4))-FIND("|",SUBSTITUTE($H2901&amp;" "," ","|",3))-1),""))</f>
        <v/>
      </c>
      <c r="F2901" s="59">
        <f>IF($H2901="","",IFERROR(VALUE(IFERROR(MID($H2901&amp;" ",FIND("|",SUBSTITUTE($H2901&amp;" "," ","|",4))+1,FIND("|",SUBSTITUTE($H2901&amp;" "," ","|",5))-FIND("|",SUBSTITUTE($H2901&amp;" "," ","|",4))-1),""))/86400+25569+9/24,""))</f>
        <v/>
      </c>
      <c r="G2901" s="58">
        <f>TRIM(SUBSTITUTE(SUBSTITUTE(SUBSTITUTE($A2901,CHAR(9)," ")," "," "),CHAR(13),""))</f>
        <v/>
      </c>
      <c r="H2901" s="58">
        <f>IF($G2901="","",IF(ISNUMBER(FIND(" ",$G2901)),$G2901,IFERROR(IF((LEN(SUBSTITUTE(SUBSTITUTE($G2901,"-"," ",LEN($G2901)-LEN(SUBSTITUTE($G2901,"-",""))),"-"," ",LEN($G2901)-LEN(SUBSTITUTE($G2901,"-",""))-1))-LEN(SUBSTITUTE(SUBSTITUTE(SUBSTITUTE($G2901,"-"," ",LEN($G2901)-LEN(SUBSTITUTE($G2901,"-",""))),"-"," ",LEN($G2901)-LEN(SUBSTITUTE($G2901,"-",""))-1),".","")))=0,SUBSTITUTE(SUBSTITUTE($G2901,"-"," ",LEN($G2901)-LEN(SUBSTITUTE($G2901,"-",""))),"-"," ",LEN($G2901)-LEN(SUBSTITUTE($G2901,"-",""))-1),SUBSTITUTE(SUBSTITUTE(SUBSTITUTE($G2901,"-"," ",LEN($G2901)-LEN(SUBSTITUTE($G2901,"-",""))),"-"," ",LEN($G2901)-LEN(SUBSTITUTE($G2901,"-",""))-1),"."," ",(LEN(SUBSTITUTE(SUBSTITUTE($G2901,"-"," ",LEN($G2901)-LEN(SUBSTITUTE($G2901,"-",""))),"-"," ",LEN($G2901)-LEN(SUBSTITUTE($G2901,"-",""))-1))-LEN(SUBSTITUTE(SUBSTITUTE(SUBSTITUTE($G2901,"-"," ",LEN($G2901)-LEN(SUBSTITUTE($G2901,"-",""))),"-"," ",LEN($G2901)-LEN(SUBSTITUTE($G2901,"-",""))-1),".",""))))),$G2901)))</f>
        <v/>
      </c>
    </row>
    <row r="2902">
      <c r="A2902" s="58" t="n"/>
      <c r="B2902" s="58">
        <f>IF($H2902="","",LEFT($H2902,FIND(" ",$H2902&amp;" ")-1))</f>
        <v/>
      </c>
      <c r="C2902" s="58">
        <f>IF($H2902="","",IFERROR(MID($H2902&amp;" ",FIND("|",SUBSTITUTE($H2902&amp;" "," ","|",1))+1,FIND("|",SUBSTITUTE($H2902&amp;" "," ","|",2))-FIND("|",SUBSTITUTE($H2902&amp;" "," ","|",1))-1),""))</f>
        <v/>
      </c>
      <c r="D2902" s="58">
        <f>IF($H2902="","",IFERROR(MID($H2902&amp;" ",FIND("|",SUBSTITUTE($H2902&amp;" "," ","|",2))+1,FIND("|",SUBSTITUTE($H2902&amp;" "," ","|",3))-FIND("|",SUBSTITUTE($H2902&amp;" "," ","|",2))-1),""))</f>
        <v/>
      </c>
      <c r="E2902" s="58">
        <f>IF($H2902="","",IFERROR(MID($H2902&amp;" ",FIND("|",SUBSTITUTE($H2902&amp;" "," ","|",3))+1,FIND("|",SUBSTITUTE($H2902&amp;" "," ","|",4))-FIND("|",SUBSTITUTE($H2902&amp;" "," ","|",3))-1),""))</f>
        <v/>
      </c>
      <c r="F2902" s="59">
        <f>IF($H2902="","",IFERROR(VALUE(IFERROR(MID($H2902&amp;" ",FIND("|",SUBSTITUTE($H2902&amp;" "," ","|",4))+1,FIND("|",SUBSTITUTE($H2902&amp;" "," ","|",5))-FIND("|",SUBSTITUTE($H2902&amp;" "," ","|",4))-1),""))/86400+25569+9/24,""))</f>
        <v/>
      </c>
      <c r="G2902" s="58">
        <f>TRIM(SUBSTITUTE(SUBSTITUTE(SUBSTITUTE($A2902,CHAR(9)," ")," "," "),CHAR(13),""))</f>
        <v/>
      </c>
      <c r="H2902" s="58">
        <f>IF($G2902="","",IF(ISNUMBER(FIND(" ",$G2902)),$G2902,IFERROR(IF((LEN(SUBSTITUTE(SUBSTITUTE($G2902,"-"," ",LEN($G2902)-LEN(SUBSTITUTE($G2902,"-",""))),"-"," ",LEN($G2902)-LEN(SUBSTITUTE($G2902,"-",""))-1))-LEN(SUBSTITUTE(SUBSTITUTE(SUBSTITUTE($G2902,"-"," ",LEN($G2902)-LEN(SUBSTITUTE($G2902,"-",""))),"-"," ",LEN($G2902)-LEN(SUBSTITUTE($G2902,"-",""))-1),".","")))=0,SUBSTITUTE(SUBSTITUTE($G2902,"-"," ",LEN($G2902)-LEN(SUBSTITUTE($G2902,"-",""))),"-"," ",LEN($G2902)-LEN(SUBSTITUTE($G2902,"-",""))-1),SUBSTITUTE(SUBSTITUTE(SUBSTITUTE($G2902,"-"," ",LEN($G2902)-LEN(SUBSTITUTE($G2902,"-",""))),"-"," ",LEN($G2902)-LEN(SUBSTITUTE($G2902,"-",""))-1),"."," ",(LEN(SUBSTITUTE(SUBSTITUTE($G2902,"-"," ",LEN($G2902)-LEN(SUBSTITUTE($G2902,"-",""))),"-"," ",LEN($G2902)-LEN(SUBSTITUTE($G2902,"-",""))-1))-LEN(SUBSTITUTE(SUBSTITUTE(SUBSTITUTE($G2902,"-"," ",LEN($G2902)-LEN(SUBSTITUTE($G2902,"-",""))),"-"," ",LEN($G2902)-LEN(SUBSTITUTE($G2902,"-",""))-1),".",""))))),$G2902)))</f>
        <v/>
      </c>
    </row>
    <row r="2903">
      <c r="A2903" s="58" t="n"/>
      <c r="B2903" s="58">
        <f>IF($H2903="","",LEFT($H2903,FIND(" ",$H2903&amp;" ")-1))</f>
        <v/>
      </c>
      <c r="C2903" s="58">
        <f>IF($H2903="","",IFERROR(MID($H2903&amp;" ",FIND("|",SUBSTITUTE($H2903&amp;" "," ","|",1))+1,FIND("|",SUBSTITUTE($H2903&amp;" "," ","|",2))-FIND("|",SUBSTITUTE($H2903&amp;" "," ","|",1))-1),""))</f>
        <v/>
      </c>
      <c r="D2903" s="58">
        <f>IF($H2903="","",IFERROR(MID($H2903&amp;" ",FIND("|",SUBSTITUTE($H2903&amp;" "," ","|",2))+1,FIND("|",SUBSTITUTE($H2903&amp;" "," ","|",3))-FIND("|",SUBSTITUTE($H2903&amp;" "," ","|",2))-1),""))</f>
        <v/>
      </c>
      <c r="E2903" s="58">
        <f>IF($H2903="","",IFERROR(MID($H2903&amp;" ",FIND("|",SUBSTITUTE($H2903&amp;" "," ","|",3))+1,FIND("|",SUBSTITUTE($H2903&amp;" "," ","|",4))-FIND("|",SUBSTITUTE($H2903&amp;" "," ","|",3))-1),""))</f>
        <v/>
      </c>
      <c r="F2903" s="59">
        <f>IF($H2903="","",IFERROR(VALUE(IFERROR(MID($H2903&amp;" ",FIND("|",SUBSTITUTE($H2903&amp;" "," ","|",4))+1,FIND("|",SUBSTITUTE($H2903&amp;" "," ","|",5))-FIND("|",SUBSTITUTE($H2903&amp;" "," ","|",4))-1),""))/86400+25569+9/24,""))</f>
        <v/>
      </c>
      <c r="G2903" s="58">
        <f>TRIM(SUBSTITUTE(SUBSTITUTE(SUBSTITUTE($A2903,CHAR(9)," ")," "," "),CHAR(13),""))</f>
        <v/>
      </c>
      <c r="H2903" s="58">
        <f>IF($G2903="","",IF(ISNUMBER(FIND(" ",$G2903)),$G2903,IFERROR(IF((LEN(SUBSTITUTE(SUBSTITUTE($G2903,"-"," ",LEN($G2903)-LEN(SUBSTITUTE($G2903,"-",""))),"-"," ",LEN($G2903)-LEN(SUBSTITUTE($G2903,"-",""))-1))-LEN(SUBSTITUTE(SUBSTITUTE(SUBSTITUTE($G2903,"-"," ",LEN($G2903)-LEN(SUBSTITUTE($G2903,"-",""))),"-"," ",LEN($G2903)-LEN(SUBSTITUTE($G2903,"-",""))-1),".","")))=0,SUBSTITUTE(SUBSTITUTE($G2903,"-"," ",LEN($G2903)-LEN(SUBSTITUTE($G2903,"-",""))),"-"," ",LEN($G2903)-LEN(SUBSTITUTE($G2903,"-",""))-1),SUBSTITUTE(SUBSTITUTE(SUBSTITUTE($G2903,"-"," ",LEN($G2903)-LEN(SUBSTITUTE($G2903,"-",""))),"-"," ",LEN($G2903)-LEN(SUBSTITUTE($G2903,"-",""))-1),"."," ",(LEN(SUBSTITUTE(SUBSTITUTE($G2903,"-"," ",LEN($G2903)-LEN(SUBSTITUTE($G2903,"-",""))),"-"," ",LEN($G2903)-LEN(SUBSTITUTE($G2903,"-",""))-1))-LEN(SUBSTITUTE(SUBSTITUTE(SUBSTITUTE($G2903,"-"," ",LEN($G2903)-LEN(SUBSTITUTE($G2903,"-",""))),"-"," ",LEN($G2903)-LEN(SUBSTITUTE($G2903,"-",""))-1),".",""))))),$G2903)))</f>
        <v/>
      </c>
    </row>
    <row r="2904">
      <c r="A2904" s="58" t="n"/>
      <c r="B2904" s="58">
        <f>IF($H2904="","",LEFT($H2904,FIND(" ",$H2904&amp;" ")-1))</f>
        <v/>
      </c>
      <c r="C2904" s="58">
        <f>IF($H2904="","",IFERROR(MID($H2904&amp;" ",FIND("|",SUBSTITUTE($H2904&amp;" "," ","|",1))+1,FIND("|",SUBSTITUTE($H2904&amp;" "," ","|",2))-FIND("|",SUBSTITUTE($H2904&amp;" "," ","|",1))-1),""))</f>
        <v/>
      </c>
      <c r="D2904" s="58">
        <f>IF($H2904="","",IFERROR(MID($H2904&amp;" ",FIND("|",SUBSTITUTE($H2904&amp;" "," ","|",2))+1,FIND("|",SUBSTITUTE($H2904&amp;" "," ","|",3))-FIND("|",SUBSTITUTE($H2904&amp;" "," ","|",2))-1),""))</f>
        <v/>
      </c>
      <c r="E2904" s="58">
        <f>IF($H2904="","",IFERROR(MID($H2904&amp;" ",FIND("|",SUBSTITUTE($H2904&amp;" "," ","|",3))+1,FIND("|",SUBSTITUTE($H2904&amp;" "," ","|",4))-FIND("|",SUBSTITUTE($H2904&amp;" "," ","|",3))-1),""))</f>
        <v/>
      </c>
      <c r="F2904" s="59">
        <f>IF($H2904="","",IFERROR(VALUE(IFERROR(MID($H2904&amp;" ",FIND("|",SUBSTITUTE($H2904&amp;" "," ","|",4))+1,FIND("|",SUBSTITUTE($H2904&amp;" "," ","|",5))-FIND("|",SUBSTITUTE($H2904&amp;" "," ","|",4))-1),""))/86400+25569+9/24,""))</f>
        <v/>
      </c>
      <c r="G2904" s="58">
        <f>TRIM(SUBSTITUTE(SUBSTITUTE(SUBSTITUTE($A2904,CHAR(9)," ")," "," "),CHAR(13),""))</f>
        <v/>
      </c>
      <c r="H2904" s="58">
        <f>IF($G2904="","",IF(ISNUMBER(FIND(" ",$G2904)),$G2904,IFERROR(IF((LEN(SUBSTITUTE(SUBSTITUTE($G2904,"-"," ",LEN($G2904)-LEN(SUBSTITUTE($G2904,"-",""))),"-"," ",LEN($G2904)-LEN(SUBSTITUTE($G2904,"-",""))-1))-LEN(SUBSTITUTE(SUBSTITUTE(SUBSTITUTE($G2904,"-"," ",LEN($G2904)-LEN(SUBSTITUTE($G2904,"-",""))),"-"," ",LEN($G2904)-LEN(SUBSTITUTE($G2904,"-",""))-1),".","")))=0,SUBSTITUTE(SUBSTITUTE($G2904,"-"," ",LEN($G2904)-LEN(SUBSTITUTE($G2904,"-",""))),"-"," ",LEN($G2904)-LEN(SUBSTITUTE($G2904,"-",""))-1),SUBSTITUTE(SUBSTITUTE(SUBSTITUTE($G2904,"-"," ",LEN($G2904)-LEN(SUBSTITUTE($G2904,"-",""))),"-"," ",LEN($G2904)-LEN(SUBSTITUTE($G2904,"-",""))-1),"."," ",(LEN(SUBSTITUTE(SUBSTITUTE($G2904,"-"," ",LEN($G2904)-LEN(SUBSTITUTE($G2904,"-",""))),"-"," ",LEN($G2904)-LEN(SUBSTITUTE($G2904,"-",""))-1))-LEN(SUBSTITUTE(SUBSTITUTE(SUBSTITUTE($G2904,"-"," ",LEN($G2904)-LEN(SUBSTITUTE($G2904,"-",""))),"-"," ",LEN($G2904)-LEN(SUBSTITUTE($G2904,"-",""))-1),".",""))))),$G2904)))</f>
        <v/>
      </c>
    </row>
    <row r="2905">
      <c r="A2905" s="58" t="n"/>
      <c r="B2905" s="58">
        <f>IF($H2905="","",LEFT($H2905,FIND(" ",$H2905&amp;" ")-1))</f>
        <v/>
      </c>
      <c r="C2905" s="58">
        <f>IF($H2905="","",IFERROR(MID($H2905&amp;" ",FIND("|",SUBSTITUTE($H2905&amp;" "," ","|",1))+1,FIND("|",SUBSTITUTE($H2905&amp;" "," ","|",2))-FIND("|",SUBSTITUTE($H2905&amp;" "," ","|",1))-1),""))</f>
        <v/>
      </c>
      <c r="D2905" s="58">
        <f>IF($H2905="","",IFERROR(MID($H2905&amp;" ",FIND("|",SUBSTITUTE($H2905&amp;" "," ","|",2))+1,FIND("|",SUBSTITUTE($H2905&amp;" "," ","|",3))-FIND("|",SUBSTITUTE($H2905&amp;" "," ","|",2))-1),""))</f>
        <v/>
      </c>
      <c r="E2905" s="58">
        <f>IF($H2905="","",IFERROR(MID($H2905&amp;" ",FIND("|",SUBSTITUTE($H2905&amp;" "," ","|",3))+1,FIND("|",SUBSTITUTE($H2905&amp;" "," ","|",4))-FIND("|",SUBSTITUTE($H2905&amp;" "," ","|",3))-1),""))</f>
        <v/>
      </c>
      <c r="F2905" s="59">
        <f>IF($H2905="","",IFERROR(VALUE(IFERROR(MID($H2905&amp;" ",FIND("|",SUBSTITUTE($H2905&amp;" "," ","|",4))+1,FIND("|",SUBSTITUTE($H2905&amp;" "," ","|",5))-FIND("|",SUBSTITUTE($H2905&amp;" "," ","|",4))-1),""))/86400+25569+9/24,""))</f>
        <v/>
      </c>
      <c r="G2905" s="58">
        <f>TRIM(SUBSTITUTE(SUBSTITUTE(SUBSTITUTE($A2905,CHAR(9)," ")," "," "),CHAR(13),""))</f>
        <v/>
      </c>
      <c r="H2905" s="58">
        <f>IF($G2905="","",IF(ISNUMBER(FIND(" ",$G2905)),$G2905,IFERROR(IF((LEN(SUBSTITUTE(SUBSTITUTE($G2905,"-"," ",LEN($G2905)-LEN(SUBSTITUTE($G2905,"-",""))),"-"," ",LEN($G2905)-LEN(SUBSTITUTE($G2905,"-",""))-1))-LEN(SUBSTITUTE(SUBSTITUTE(SUBSTITUTE($G2905,"-"," ",LEN($G2905)-LEN(SUBSTITUTE($G2905,"-",""))),"-"," ",LEN($G2905)-LEN(SUBSTITUTE($G2905,"-",""))-1),".","")))=0,SUBSTITUTE(SUBSTITUTE($G2905,"-"," ",LEN($G2905)-LEN(SUBSTITUTE($G2905,"-",""))),"-"," ",LEN($G2905)-LEN(SUBSTITUTE($G2905,"-",""))-1),SUBSTITUTE(SUBSTITUTE(SUBSTITUTE($G2905,"-"," ",LEN($G2905)-LEN(SUBSTITUTE($G2905,"-",""))),"-"," ",LEN($G2905)-LEN(SUBSTITUTE($G2905,"-",""))-1),"."," ",(LEN(SUBSTITUTE(SUBSTITUTE($G2905,"-"," ",LEN($G2905)-LEN(SUBSTITUTE($G2905,"-",""))),"-"," ",LEN($G2905)-LEN(SUBSTITUTE($G2905,"-",""))-1))-LEN(SUBSTITUTE(SUBSTITUTE(SUBSTITUTE($G2905,"-"," ",LEN($G2905)-LEN(SUBSTITUTE($G2905,"-",""))),"-"," ",LEN($G2905)-LEN(SUBSTITUTE($G2905,"-",""))-1),".",""))))),$G2905)))</f>
        <v/>
      </c>
    </row>
    <row r="2906">
      <c r="A2906" s="58" t="n"/>
      <c r="B2906" s="58">
        <f>IF($H2906="","",LEFT($H2906,FIND(" ",$H2906&amp;" ")-1))</f>
        <v/>
      </c>
      <c r="C2906" s="58">
        <f>IF($H2906="","",IFERROR(MID($H2906&amp;" ",FIND("|",SUBSTITUTE($H2906&amp;" "," ","|",1))+1,FIND("|",SUBSTITUTE($H2906&amp;" "," ","|",2))-FIND("|",SUBSTITUTE($H2906&amp;" "," ","|",1))-1),""))</f>
        <v/>
      </c>
      <c r="D2906" s="58">
        <f>IF($H2906="","",IFERROR(MID($H2906&amp;" ",FIND("|",SUBSTITUTE($H2906&amp;" "," ","|",2))+1,FIND("|",SUBSTITUTE($H2906&amp;" "," ","|",3))-FIND("|",SUBSTITUTE($H2906&amp;" "," ","|",2))-1),""))</f>
        <v/>
      </c>
      <c r="E2906" s="58">
        <f>IF($H2906="","",IFERROR(MID($H2906&amp;" ",FIND("|",SUBSTITUTE($H2906&amp;" "," ","|",3))+1,FIND("|",SUBSTITUTE($H2906&amp;" "," ","|",4))-FIND("|",SUBSTITUTE($H2906&amp;" "," ","|",3))-1),""))</f>
        <v/>
      </c>
      <c r="F2906" s="59">
        <f>IF($H2906="","",IFERROR(VALUE(IFERROR(MID($H2906&amp;" ",FIND("|",SUBSTITUTE($H2906&amp;" "," ","|",4))+1,FIND("|",SUBSTITUTE($H2906&amp;" "," ","|",5))-FIND("|",SUBSTITUTE($H2906&amp;" "," ","|",4))-1),""))/86400+25569+9/24,""))</f>
        <v/>
      </c>
      <c r="G2906" s="58">
        <f>TRIM(SUBSTITUTE(SUBSTITUTE(SUBSTITUTE($A2906,CHAR(9)," ")," "," "),CHAR(13),""))</f>
        <v/>
      </c>
      <c r="H2906" s="58">
        <f>IF($G2906="","",IF(ISNUMBER(FIND(" ",$G2906)),$G2906,IFERROR(IF((LEN(SUBSTITUTE(SUBSTITUTE($G2906,"-"," ",LEN($G2906)-LEN(SUBSTITUTE($G2906,"-",""))),"-"," ",LEN($G2906)-LEN(SUBSTITUTE($G2906,"-",""))-1))-LEN(SUBSTITUTE(SUBSTITUTE(SUBSTITUTE($G2906,"-"," ",LEN($G2906)-LEN(SUBSTITUTE($G2906,"-",""))),"-"," ",LEN($G2906)-LEN(SUBSTITUTE($G2906,"-",""))-1),".","")))=0,SUBSTITUTE(SUBSTITUTE($G2906,"-"," ",LEN($G2906)-LEN(SUBSTITUTE($G2906,"-",""))),"-"," ",LEN($G2906)-LEN(SUBSTITUTE($G2906,"-",""))-1),SUBSTITUTE(SUBSTITUTE(SUBSTITUTE($G2906,"-"," ",LEN($G2906)-LEN(SUBSTITUTE($G2906,"-",""))),"-"," ",LEN($G2906)-LEN(SUBSTITUTE($G2906,"-",""))-1),"."," ",(LEN(SUBSTITUTE(SUBSTITUTE($G2906,"-"," ",LEN($G2906)-LEN(SUBSTITUTE($G2906,"-",""))),"-"," ",LEN($G2906)-LEN(SUBSTITUTE($G2906,"-",""))-1))-LEN(SUBSTITUTE(SUBSTITUTE(SUBSTITUTE($G2906,"-"," ",LEN($G2906)-LEN(SUBSTITUTE($G2906,"-",""))),"-"," ",LEN($G2906)-LEN(SUBSTITUTE($G2906,"-",""))-1),".",""))))),$G2906)))</f>
        <v/>
      </c>
    </row>
    <row r="2907">
      <c r="A2907" s="58" t="n"/>
      <c r="B2907" s="58">
        <f>IF($H2907="","",LEFT($H2907,FIND(" ",$H2907&amp;" ")-1))</f>
        <v/>
      </c>
      <c r="C2907" s="58">
        <f>IF($H2907="","",IFERROR(MID($H2907&amp;" ",FIND("|",SUBSTITUTE($H2907&amp;" "," ","|",1))+1,FIND("|",SUBSTITUTE($H2907&amp;" "," ","|",2))-FIND("|",SUBSTITUTE($H2907&amp;" "," ","|",1))-1),""))</f>
        <v/>
      </c>
      <c r="D2907" s="58">
        <f>IF($H2907="","",IFERROR(MID($H2907&amp;" ",FIND("|",SUBSTITUTE($H2907&amp;" "," ","|",2))+1,FIND("|",SUBSTITUTE($H2907&amp;" "," ","|",3))-FIND("|",SUBSTITUTE($H2907&amp;" "," ","|",2))-1),""))</f>
        <v/>
      </c>
      <c r="E2907" s="58">
        <f>IF($H2907="","",IFERROR(MID($H2907&amp;" ",FIND("|",SUBSTITUTE($H2907&amp;" "," ","|",3))+1,FIND("|",SUBSTITUTE($H2907&amp;" "," ","|",4))-FIND("|",SUBSTITUTE($H2907&amp;" "," ","|",3))-1),""))</f>
        <v/>
      </c>
      <c r="F2907" s="59">
        <f>IF($H2907="","",IFERROR(VALUE(IFERROR(MID($H2907&amp;" ",FIND("|",SUBSTITUTE($H2907&amp;" "," ","|",4))+1,FIND("|",SUBSTITUTE($H2907&amp;" "," ","|",5))-FIND("|",SUBSTITUTE($H2907&amp;" "," ","|",4))-1),""))/86400+25569+9/24,""))</f>
        <v/>
      </c>
      <c r="G2907" s="58">
        <f>TRIM(SUBSTITUTE(SUBSTITUTE(SUBSTITUTE($A2907,CHAR(9)," ")," "," "),CHAR(13),""))</f>
        <v/>
      </c>
      <c r="H2907" s="58">
        <f>IF($G2907="","",IF(ISNUMBER(FIND(" ",$G2907)),$G2907,IFERROR(IF((LEN(SUBSTITUTE(SUBSTITUTE($G2907,"-"," ",LEN($G2907)-LEN(SUBSTITUTE($G2907,"-",""))),"-"," ",LEN($G2907)-LEN(SUBSTITUTE($G2907,"-",""))-1))-LEN(SUBSTITUTE(SUBSTITUTE(SUBSTITUTE($G2907,"-"," ",LEN($G2907)-LEN(SUBSTITUTE($G2907,"-",""))),"-"," ",LEN($G2907)-LEN(SUBSTITUTE($G2907,"-",""))-1),".","")))=0,SUBSTITUTE(SUBSTITUTE($G2907,"-"," ",LEN($G2907)-LEN(SUBSTITUTE($G2907,"-",""))),"-"," ",LEN($G2907)-LEN(SUBSTITUTE($G2907,"-",""))-1),SUBSTITUTE(SUBSTITUTE(SUBSTITUTE($G2907,"-"," ",LEN($G2907)-LEN(SUBSTITUTE($G2907,"-",""))),"-"," ",LEN($G2907)-LEN(SUBSTITUTE($G2907,"-",""))-1),"."," ",(LEN(SUBSTITUTE(SUBSTITUTE($G2907,"-"," ",LEN($G2907)-LEN(SUBSTITUTE($G2907,"-",""))),"-"," ",LEN($G2907)-LEN(SUBSTITUTE($G2907,"-",""))-1))-LEN(SUBSTITUTE(SUBSTITUTE(SUBSTITUTE($G2907,"-"," ",LEN($G2907)-LEN(SUBSTITUTE($G2907,"-",""))),"-"," ",LEN($G2907)-LEN(SUBSTITUTE($G2907,"-",""))-1),".",""))))),$G2907)))</f>
        <v/>
      </c>
    </row>
    <row r="2908">
      <c r="A2908" s="58" t="n"/>
      <c r="B2908" s="58">
        <f>IF($H2908="","",LEFT($H2908,FIND(" ",$H2908&amp;" ")-1))</f>
        <v/>
      </c>
      <c r="C2908" s="58">
        <f>IF($H2908="","",IFERROR(MID($H2908&amp;" ",FIND("|",SUBSTITUTE($H2908&amp;" "," ","|",1))+1,FIND("|",SUBSTITUTE($H2908&amp;" "," ","|",2))-FIND("|",SUBSTITUTE($H2908&amp;" "," ","|",1))-1),""))</f>
        <v/>
      </c>
      <c r="D2908" s="58">
        <f>IF($H2908="","",IFERROR(MID($H2908&amp;" ",FIND("|",SUBSTITUTE($H2908&amp;" "," ","|",2))+1,FIND("|",SUBSTITUTE($H2908&amp;" "," ","|",3))-FIND("|",SUBSTITUTE($H2908&amp;" "," ","|",2))-1),""))</f>
        <v/>
      </c>
      <c r="E2908" s="58">
        <f>IF($H2908="","",IFERROR(MID($H2908&amp;" ",FIND("|",SUBSTITUTE($H2908&amp;" "," ","|",3))+1,FIND("|",SUBSTITUTE($H2908&amp;" "," ","|",4))-FIND("|",SUBSTITUTE($H2908&amp;" "," ","|",3))-1),""))</f>
        <v/>
      </c>
      <c r="F2908" s="59">
        <f>IF($H2908="","",IFERROR(VALUE(IFERROR(MID($H2908&amp;" ",FIND("|",SUBSTITUTE($H2908&amp;" "," ","|",4))+1,FIND("|",SUBSTITUTE($H2908&amp;" "," ","|",5))-FIND("|",SUBSTITUTE($H2908&amp;" "," ","|",4))-1),""))/86400+25569+9/24,""))</f>
        <v/>
      </c>
      <c r="G2908" s="58">
        <f>TRIM(SUBSTITUTE(SUBSTITUTE(SUBSTITUTE($A2908,CHAR(9)," ")," "," "),CHAR(13),""))</f>
        <v/>
      </c>
      <c r="H2908" s="58">
        <f>IF($G2908="","",IF(ISNUMBER(FIND(" ",$G2908)),$G2908,IFERROR(IF((LEN(SUBSTITUTE(SUBSTITUTE($G2908,"-"," ",LEN($G2908)-LEN(SUBSTITUTE($G2908,"-",""))),"-"," ",LEN($G2908)-LEN(SUBSTITUTE($G2908,"-",""))-1))-LEN(SUBSTITUTE(SUBSTITUTE(SUBSTITUTE($G2908,"-"," ",LEN($G2908)-LEN(SUBSTITUTE($G2908,"-",""))),"-"," ",LEN($G2908)-LEN(SUBSTITUTE($G2908,"-",""))-1),".","")))=0,SUBSTITUTE(SUBSTITUTE($G2908,"-"," ",LEN($G2908)-LEN(SUBSTITUTE($G2908,"-",""))),"-"," ",LEN($G2908)-LEN(SUBSTITUTE($G2908,"-",""))-1),SUBSTITUTE(SUBSTITUTE(SUBSTITUTE($G2908,"-"," ",LEN($G2908)-LEN(SUBSTITUTE($G2908,"-",""))),"-"," ",LEN($G2908)-LEN(SUBSTITUTE($G2908,"-",""))-1),"."," ",(LEN(SUBSTITUTE(SUBSTITUTE($G2908,"-"," ",LEN($G2908)-LEN(SUBSTITUTE($G2908,"-",""))),"-"," ",LEN($G2908)-LEN(SUBSTITUTE($G2908,"-",""))-1))-LEN(SUBSTITUTE(SUBSTITUTE(SUBSTITUTE($G2908,"-"," ",LEN($G2908)-LEN(SUBSTITUTE($G2908,"-",""))),"-"," ",LEN($G2908)-LEN(SUBSTITUTE($G2908,"-",""))-1),".",""))))),$G2908)))</f>
        <v/>
      </c>
    </row>
    <row r="2909">
      <c r="A2909" s="58" t="n"/>
      <c r="B2909" s="58">
        <f>IF($H2909="","",LEFT($H2909,FIND(" ",$H2909&amp;" ")-1))</f>
        <v/>
      </c>
      <c r="C2909" s="58">
        <f>IF($H2909="","",IFERROR(MID($H2909&amp;" ",FIND("|",SUBSTITUTE($H2909&amp;" "," ","|",1))+1,FIND("|",SUBSTITUTE($H2909&amp;" "," ","|",2))-FIND("|",SUBSTITUTE($H2909&amp;" "," ","|",1))-1),""))</f>
        <v/>
      </c>
      <c r="D2909" s="58">
        <f>IF($H2909="","",IFERROR(MID($H2909&amp;" ",FIND("|",SUBSTITUTE($H2909&amp;" "," ","|",2))+1,FIND("|",SUBSTITUTE($H2909&amp;" "," ","|",3))-FIND("|",SUBSTITUTE($H2909&amp;" "," ","|",2))-1),""))</f>
        <v/>
      </c>
      <c r="E2909" s="58">
        <f>IF($H2909="","",IFERROR(MID($H2909&amp;" ",FIND("|",SUBSTITUTE($H2909&amp;" "," ","|",3))+1,FIND("|",SUBSTITUTE($H2909&amp;" "," ","|",4))-FIND("|",SUBSTITUTE($H2909&amp;" "," ","|",3))-1),""))</f>
        <v/>
      </c>
      <c r="F2909" s="59">
        <f>IF($H2909="","",IFERROR(VALUE(IFERROR(MID($H2909&amp;" ",FIND("|",SUBSTITUTE($H2909&amp;" "," ","|",4))+1,FIND("|",SUBSTITUTE($H2909&amp;" "," ","|",5))-FIND("|",SUBSTITUTE($H2909&amp;" "," ","|",4))-1),""))/86400+25569+9/24,""))</f>
        <v/>
      </c>
      <c r="G2909" s="58">
        <f>TRIM(SUBSTITUTE(SUBSTITUTE(SUBSTITUTE($A2909,CHAR(9)," ")," "," "),CHAR(13),""))</f>
        <v/>
      </c>
      <c r="H2909" s="58">
        <f>IF($G2909="","",IF(ISNUMBER(FIND(" ",$G2909)),$G2909,IFERROR(IF((LEN(SUBSTITUTE(SUBSTITUTE($G2909,"-"," ",LEN($G2909)-LEN(SUBSTITUTE($G2909,"-",""))),"-"," ",LEN($G2909)-LEN(SUBSTITUTE($G2909,"-",""))-1))-LEN(SUBSTITUTE(SUBSTITUTE(SUBSTITUTE($G2909,"-"," ",LEN($G2909)-LEN(SUBSTITUTE($G2909,"-",""))),"-"," ",LEN($G2909)-LEN(SUBSTITUTE($G2909,"-",""))-1),".","")))=0,SUBSTITUTE(SUBSTITUTE($G2909,"-"," ",LEN($G2909)-LEN(SUBSTITUTE($G2909,"-",""))),"-"," ",LEN($G2909)-LEN(SUBSTITUTE($G2909,"-",""))-1),SUBSTITUTE(SUBSTITUTE(SUBSTITUTE($G2909,"-"," ",LEN($G2909)-LEN(SUBSTITUTE($G2909,"-",""))),"-"," ",LEN($G2909)-LEN(SUBSTITUTE($G2909,"-",""))-1),"."," ",(LEN(SUBSTITUTE(SUBSTITUTE($G2909,"-"," ",LEN($G2909)-LEN(SUBSTITUTE($G2909,"-",""))),"-"," ",LEN($G2909)-LEN(SUBSTITUTE($G2909,"-",""))-1))-LEN(SUBSTITUTE(SUBSTITUTE(SUBSTITUTE($G2909,"-"," ",LEN($G2909)-LEN(SUBSTITUTE($G2909,"-",""))),"-"," ",LEN($G2909)-LEN(SUBSTITUTE($G2909,"-",""))-1),".",""))))),$G2909)))</f>
        <v/>
      </c>
    </row>
    <row r="2910">
      <c r="A2910" s="58" t="n"/>
      <c r="B2910" s="58">
        <f>IF($H2910="","",LEFT($H2910,FIND(" ",$H2910&amp;" ")-1))</f>
        <v/>
      </c>
      <c r="C2910" s="58">
        <f>IF($H2910="","",IFERROR(MID($H2910&amp;" ",FIND("|",SUBSTITUTE($H2910&amp;" "," ","|",1))+1,FIND("|",SUBSTITUTE($H2910&amp;" "," ","|",2))-FIND("|",SUBSTITUTE($H2910&amp;" "," ","|",1))-1),""))</f>
        <v/>
      </c>
      <c r="D2910" s="58">
        <f>IF($H2910="","",IFERROR(MID($H2910&amp;" ",FIND("|",SUBSTITUTE($H2910&amp;" "," ","|",2))+1,FIND("|",SUBSTITUTE($H2910&amp;" "," ","|",3))-FIND("|",SUBSTITUTE($H2910&amp;" "," ","|",2))-1),""))</f>
        <v/>
      </c>
      <c r="E2910" s="58">
        <f>IF($H2910="","",IFERROR(MID($H2910&amp;" ",FIND("|",SUBSTITUTE($H2910&amp;" "," ","|",3))+1,FIND("|",SUBSTITUTE($H2910&amp;" "," ","|",4))-FIND("|",SUBSTITUTE($H2910&amp;" "," ","|",3))-1),""))</f>
        <v/>
      </c>
      <c r="F2910" s="59">
        <f>IF($H2910="","",IFERROR(VALUE(IFERROR(MID($H2910&amp;" ",FIND("|",SUBSTITUTE($H2910&amp;" "," ","|",4))+1,FIND("|",SUBSTITUTE($H2910&amp;" "," ","|",5))-FIND("|",SUBSTITUTE($H2910&amp;" "," ","|",4))-1),""))/86400+25569+9/24,""))</f>
        <v/>
      </c>
      <c r="G2910" s="58">
        <f>TRIM(SUBSTITUTE(SUBSTITUTE(SUBSTITUTE($A2910,CHAR(9)," ")," "," "),CHAR(13),""))</f>
        <v/>
      </c>
      <c r="H2910" s="58">
        <f>IF($G2910="","",IF(ISNUMBER(FIND(" ",$G2910)),$G2910,IFERROR(IF((LEN(SUBSTITUTE(SUBSTITUTE($G2910,"-"," ",LEN($G2910)-LEN(SUBSTITUTE($G2910,"-",""))),"-"," ",LEN($G2910)-LEN(SUBSTITUTE($G2910,"-",""))-1))-LEN(SUBSTITUTE(SUBSTITUTE(SUBSTITUTE($G2910,"-"," ",LEN($G2910)-LEN(SUBSTITUTE($G2910,"-",""))),"-"," ",LEN($G2910)-LEN(SUBSTITUTE($G2910,"-",""))-1),".","")))=0,SUBSTITUTE(SUBSTITUTE($G2910,"-"," ",LEN($G2910)-LEN(SUBSTITUTE($G2910,"-",""))),"-"," ",LEN($G2910)-LEN(SUBSTITUTE($G2910,"-",""))-1),SUBSTITUTE(SUBSTITUTE(SUBSTITUTE($G2910,"-"," ",LEN($G2910)-LEN(SUBSTITUTE($G2910,"-",""))),"-"," ",LEN($G2910)-LEN(SUBSTITUTE($G2910,"-",""))-1),"."," ",(LEN(SUBSTITUTE(SUBSTITUTE($G2910,"-"," ",LEN($G2910)-LEN(SUBSTITUTE($G2910,"-",""))),"-"," ",LEN($G2910)-LEN(SUBSTITUTE($G2910,"-",""))-1))-LEN(SUBSTITUTE(SUBSTITUTE(SUBSTITUTE($G2910,"-"," ",LEN($G2910)-LEN(SUBSTITUTE($G2910,"-",""))),"-"," ",LEN($G2910)-LEN(SUBSTITUTE($G2910,"-",""))-1),".",""))))),$G2910)))</f>
        <v/>
      </c>
    </row>
    <row r="2911">
      <c r="A2911" s="58" t="n"/>
      <c r="B2911" s="58">
        <f>IF($H2911="","",LEFT($H2911,FIND(" ",$H2911&amp;" ")-1))</f>
        <v/>
      </c>
      <c r="C2911" s="58">
        <f>IF($H2911="","",IFERROR(MID($H2911&amp;" ",FIND("|",SUBSTITUTE($H2911&amp;" "," ","|",1))+1,FIND("|",SUBSTITUTE($H2911&amp;" "," ","|",2))-FIND("|",SUBSTITUTE($H2911&amp;" "," ","|",1))-1),""))</f>
        <v/>
      </c>
      <c r="D2911" s="58">
        <f>IF($H2911="","",IFERROR(MID($H2911&amp;" ",FIND("|",SUBSTITUTE($H2911&amp;" "," ","|",2))+1,FIND("|",SUBSTITUTE($H2911&amp;" "," ","|",3))-FIND("|",SUBSTITUTE($H2911&amp;" "," ","|",2))-1),""))</f>
        <v/>
      </c>
      <c r="E2911" s="58">
        <f>IF($H2911="","",IFERROR(MID($H2911&amp;" ",FIND("|",SUBSTITUTE($H2911&amp;" "," ","|",3))+1,FIND("|",SUBSTITUTE($H2911&amp;" "," ","|",4))-FIND("|",SUBSTITUTE($H2911&amp;" "," ","|",3))-1),""))</f>
        <v/>
      </c>
      <c r="F2911" s="59">
        <f>IF($H2911="","",IFERROR(VALUE(IFERROR(MID($H2911&amp;" ",FIND("|",SUBSTITUTE($H2911&amp;" "," ","|",4))+1,FIND("|",SUBSTITUTE($H2911&amp;" "," ","|",5))-FIND("|",SUBSTITUTE($H2911&amp;" "," ","|",4))-1),""))/86400+25569+9/24,""))</f>
        <v/>
      </c>
      <c r="G2911" s="58">
        <f>TRIM(SUBSTITUTE(SUBSTITUTE(SUBSTITUTE($A2911,CHAR(9)," ")," "," "),CHAR(13),""))</f>
        <v/>
      </c>
      <c r="H2911" s="58">
        <f>IF($G2911="","",IF(ISNUMBER(FIND(" ",$G2911)),$G2911,IFERROR(IF((LEN(SUBSTITUTE(SUBSTITUTE($G2911,"-"," ",LEN($G2911)-LEN(SUBSTITUTE($G2911,"-",""))),"-"," ",LEN($G2911)-LEN(SUBSTITUTE($G2911,"-",""))-1))-LEN(SUBSTITUTE(SUBSTITUTE(SUBSTITUTE($G2911,"-"," ",LEN($G2911)-LEN(SUBSTITUTE($G2911,"-",""))),"-"," ",LEN($G2911)-LEN(SUBSTITUTE($G2911,"-",""))-1),".","")))=0,SUBSTITUTE(SUBSTITUTE($G2911,"-"," ",LEN($G2911)-LEN(SUBSTITUTE($G2911,"-",""))),"-"," ",LEN($G2911)-LEN(SUBSTITUTE($G2911,"-",""))-1),SUBSTITUTE(SUBSTITUTE(SUBSTITUTE($G2911,"-"," ",LEN($G2911)-LEN(SUBSTITUTE($G2911,"-",""))),"-"," ",LEN($G2911)-LEN(SUBSTITUTE($G2911,"-",""))-1),"."," ",(LEN(SUBSTITUTE(SUBSTITUTE($G2911,"-"," ",LEN($G2911)-LEN(SUBSTITUTE($G2911,"-",""))),"-"," ",LEN($G2911)-LEN(SUBSTITUTE($G2911,"-",""))-1))-LEN(SUBSTITUTE(SUBSTITUTE(SUBSTITUTE($G2911,"-"," ",LEN($G2911)-LEN(SUBSTITUTE($G2911,"-",""))),"-"," ",LEN($G2911)-LEN(SUBSTITUTE($G2911,"-",""))-1),".",""))))),$G2911)))</f>
        <v/>
      </c>
    </row>
    <row r="2912">
      <c r="A2912" s="58" t="n"/>
      <c r="B2912" s="58">
        <f>IF($H2912="","",LEFT($H2912,FIND(" ",$H2912&amp;" ")-1))</f>
        <v/>
      </c>
      <c r="C2912" s="58">
        <f>IF($H2912="","",IFERROR(MID($H2912&amp;" ",FIND("|",SUBSTITUTE($H2912&amp;" "," ","|",1))+1,FIND("|",SUBSTITUTE($H2912&amp;" "," ","|",2))-FIND("|",SUBSTITUTE($H2912&amp;" "," ","|",1))-1),""))</f>
        <v/>
      </c>
      <c r="D2912" s="58">
        <f>IF($H2912="","",IFERROR(MID($H2912&amp;" ",FIND("|",SUBSTITUTE($H2912&amp;" "," ","|",2))+1,FIND("|",SUBSTITUTE($H2912&amp;" "," ","|",3))-FIND("|",SUBSTITUTE($H2912&amp;" "," ","|",2))-1),""))</f>
        <v/>
      </c>
      <c r="E2912" s="58">
        <f>IF($H2912="","",IFERROR(MID($H2912&amp;" ",FIND("|",SUBSTITUTE($H2912&amp;" "," ","|",3))+1,FIND("|",SUBSTITUTE($H2912&amp;" "," ","|",4))-FIND("|",SUBSTITUTE($H2912&amp;" "," ","|",3))-1),""))</f>
        <v/>
      </c>
      <c r="F2912" s="59">
        <f>IF($H2912="","",IFERROR(VALUE(IFERROR(MID($H2912&amp;" ",FIND("|",SUBSTITUTE($H2912&amp;" "," ","|",4))+1,FIND("|",SUBSTITUTE($H2912&amp;" "," ","|",5))-FIND("|",SUBSTITUTE($H2912&amp;" "," ","|",4))-1),""))/86400+25569+9/24,""))</f>
        <v/>
      </c>
      <c r="G2912" s="58">
        <f>TRIM(SUBSTITUTE(SUBSTITUTE(SUBSTITUTE($A2912,CHAR(9)," ")," "," "),CHAR(13),""))</f>
        <v/>
      </c>
      <c r="H2912" s="58">
        <f>IF($G2912="","",IF(ISNUMBER(FIND(" ",$G2912)),$G2912,IFERROR(IF((LEN(SUBSTITUTE(SUBSTITUTE($G2912,"-"," ",LEN($G2912)-LEN(SUBSTITUTE($G2912,"-",""))),"-"," ",LEN($G2912)-LEN(SUBSTITUTE($G2912,"-",""))-1))-LEN(SUBSTITUTE(SUBSTITUTE(SUBSTITUTE($G2912,"-"," ",LEN($G2912)-LEN(SUBSTITUTE($G2912,"-",""))),"-"," ",LEN($G2912)-LEN(SUBSTITUTE($G2912,"-",""))-1),".","")))=0,SUBSTITUTE(SUBSTITUTE($G2912,"-"," ",LEN($G2912)-LEN(SUBSTITUTE($G2912,"-",""))),"-"," ",LEN($G2912)-LEN(SUBSTITUTE($G2912,"-",""))-1),SUBSTITUTE(SUBSTITUTE(SUBSTITUTE($G2912,"-"," ",LEN($G2912)-LEN(SUBSTITUTE($G2912,"-",""))),"-"," ",LEN($G2912)-LEN(SUBSTITUTE($G2912,"-",""))-1),"."," ",(LEN(SUBSTITUTE(SUBSTITUTE($G2912,"-"," ",LEN($G2912)-LEN(SUBSTITUTE($G2912,"-",""))),"-"," ",LEN($G2912)-LEN(SUBSTITUTE($G2912,"-",""))-1))-LEN(SUBSTITUTE(SUBSTITUTE(SUBSTITUTE($G2912,"-"," ",LEN($G2912)-LEN(SUBSTITUTE($G2912,"-",""))),"-"," ",LEN($G2912)-LEN(SUBSTITUTE($G2912,"-",""))-1),".",""))))),$G2912)))</f>
        <v/>
      </c>
    </row>
    <row r="2913">
      <c r="A2913" s="58" t="n"/>
      <c r="B2913" s="58">
        <f>IF($H2913="","",LEFT($H2913,FIND(" ",$H2913&amp;" ")-1))</f>
        <v/>
      </c>
      <c r="C2913" s="58">
        <f>IF($H2913="","",IFERROR(MID($H2913&amp;" ",FIND("|",SUBSTITUTE($H2913&amp;" "," ","|",1))+1,FIND("|",SUBSTITUTE($H2913&amp;" "," ","|",2))-FIND("|",SUBSTITUTE($H2913&amp;" "," ","|",1))-1),""))</f>
        <v/>
      </c>
      <c r="D2913" s="58">
        <f>IF($H2913="","",IFERROR(MID($H2913&amp;" ",FIND("|",SUBSTITUTE($H2913&amp;" "," ","|",2))+1,FIND("|",SUBSTITUTE($H2913&amp;" "," ","|",3))-FIND("|",SUBSTITUTE($H2913&amp;" "," ","|",2))-1),""))</f>
        <v/>
      </c>
      <c r="E2913" s="58">
        <f>IF($H2913="","",IFERROR(MID($H2913&amp;" ",FIND("|",SUBSTITUTE($H2913&amp;" "," ","|",3))+1,FIND("|",SUBSTITUTE($H2913&amp;" "," ","|",4))-FIND("|",SUBSTITUTE($H2913&amp;" "," ","|",3))-1),""))</f>
        <v/>
      </c>
      <c r="F2913" s="59">
        <f>IF($H2913="","",IFERROR(VALUE(IFERROR(MID($H2913&amp;" ",FIND("|",SUBSTITUTE($H2913&amp;" "," ","|",4))+1,FIND("|",SUBSTITUTE($H2913&amp;" "," ","|",5))-FIND("|",SUBSTITUTE($H2913&amp;" "," ","|",4))-1),""))/86400+25569+9/24,""))</f>
        <v/>
      </c>
      <c r="G2913" s="58">
        <f>TRIM(SUBSTITUTE(SUBSTITUTE(SUBSTITUTE($A2913,CHAR(9)," ")," "," "),CHAR(13),""))</f>
        <v/>
      </c>
      <c r="H2913" s="58">
        <f>IF($G2913="","",IF(ISNUMBER(FIND(" ",$G2913)),$G2913,IFERROR(IF((LEN(SUBSTITUTE(SUBSTITUTE($G2913,"-"," ",LEN($G2913)-LEN(SUBSTITUTE($G2913,"-",""))),"-"," ",LEN($G2913)-LEN(SUBSTITUTE($G2913,"-",""))-1))-LEN(SUBSTITUTE(SUBSTITUTE(SUBSTITUTE($G2913,"-"," ",LEN($G2913)-LEN(SUBSTITUTE($G2913,"-",""))),"-"," ",LEN($G2913)-LEN(SUBSTITUTE($G2913,"-",""))-1),".","")))=0,SUBSTITUTE(SUBSTITUTE($G2913,"-"," ",LEN($G2913)-LEN(SUBSTITUTE($G2913,"-",""))),"-"," ",LEN($G2913)-LEN(SUBSTITUTE($G2913,"-",""))-1),SUBSTITUTE(SUBSTITUTE(SUBSTITUTE($G2913,"-"," ",LEN($G2913)-LEN(SUBSTITUTE($G2913,"-",""))),"-"," ",LEN($G2913)-LEN(SUBSTITUTE($G2913,"-",""))-1),"."," ",(LEN(SUBSTITUTE(SUBSTITUTE($G2913,"-"," ",LEN($G2913)-LEN(SUBSTITUTE($G2913,"-",""))),"-"," ",LEN($G2913)-LEN(SUBSTITUTE($G2913,"-",""))-1))-LEN(SUBSTITUTE(SUBSTITUTE(SUBSTITUTE($G2913,"-"," ",LEN($G2913)-LEN(SUBSTITUTE($G2913,"-",""))),"-"," ",LEN($G2913)-LEN(SUBSTITUTE($G2913,"-",""))-1),".",""))))),$G2913)))</f>
        <v/>
      </c>
    </row>
    <row r="2914">
      <c r="A2914" s="58" t="n"/>
      <c r="B2914" s="58">
        <f>IF($H2914="","",LEFT($H2914,FIND(" ",$H2914&amp;" ")-1))</f>
        <v/>
      </c>
      <c r="C2914" s="58">
        <f>IF($H2914="","",IFERROR(MID($H2914&amp;" ",FIND("|",SUBSTITUTE($H2914&amp;" "," ","|",1))+1,FIND("|",SUBSTITUTE($H2914&amp;" "," ","|",2))-FIND("|",SUBSTITUTE($H2914&amp;" "," ","|",1))-1),""))</f>
        <v/>
      </c>
      <c r="D2914" s="58">
        <f>IF($H2914="","",IFERROR(MID($H2914&amp;" ",FIND("|",SUBSTITUTE($H2914&amp;" "," ","|",2))+1,FIND("|",SUBSTITUTE($H2914&amp;" "," ","|",3))-FIND("|",SUBSTITUTE($H2914&amp;" "," ","|",2))-1),""))</f>
        <v/>
      </c>
      <c r="E2914" s="58">
        <f>IF($H2914="","",IFERROR(MID($H2914&amp;" ",FIND("|",SUBSTITUTE($H2914&amp;" "," ","|",3))+1,FIND("|",SUBSTITUTE($H2914&amp;" "," ","|",4))-FIND("|",SUBSTITUTE($H2914&amp;" "," ","|",3))-1),""))</f>
        <v/>
      </c>
      <c r="F2914" s="59">
        <f>IF($H2914="","",IFERROR(VALUE(IFERROR(MID($H2914&amp;" ",FIND("|",SUBSTITUTE($H2914&amp;" "," ","|",4))+1,FIND("|",SUBSTITUTE($H2914&amp;" "," ","|",5))-FIND("|",SUBSTITUTE($H2914&amp;" "," ","|",4))-1),""))/86400+25569+9/24,""))</f>
        <v/>
      </c>
      <c r="G2914" s="58">
        <f>TRIM(SUBSTITUTE(SUBSTITUTE(SUBSTITUTE($A2914,CHAR(9)," ")," "," "),CHAR(13),""))</f>
        <v/>
      </c>
      <c r="H2914" s="58">
        <f>IF($G2914="","",IF(ISNUMBER(FIND(" ",$G2914)),$G2914,IFERROR(IF((LEN(SUBSTITUTE(SUBSTITUTE($G2914,"-"," ",LEN($G2914)-LEN(SUBSTITUTE($G2914,"-",""))),"-"," ",LEN($G2914)-LEN(SUBSTITUTE($G2914,"-",""))-1))-LEN(SUBSTITUTE(SUBSTITUTE(SUBSTITUTE($G2914,"-"," ",LEN($G2914)-LEN(SUBSTITUTE($G2914,"-",""))),"-"," ",LEN($G2914)-LEN(SUBSTITUTE($G2914,"-",""))-1),".","")))=0,SUBSTITUTE(SUBSTITUTE($G2914,"-"," ",LEN($G2914)-LEN(SUBSTITUTE($G2914,"-",""))),"-"," ",LEN($G2914)-LEN(SUBSTITUTE($G2914,"-",""))-1),SUBSTITUTE(SUBSTITUTE(SUBSTITUTE($G2914,"-"," ",LEN($G2914)-LEN(SUBSTITUTE($G2914,"-",""))),"-"," ",LEN($G2914)-LEN(SUBSTITUTE($G2914,"-",""))-1),"."," ",(LEN(SUBSTITUTE(SUBSTITUTE($G2914,"-"," ",LEN($G2914)-LEN(SUBSTITUTE($G2914,"-",""))),"-"," ",LEN($G2914)-LEN(SUBSTITUTE($G2914,"-",""))-1))-LEN(SUBSTITUTE(SUBSTITUTE(SUBSTITUTE($G2914,"-"," ",LEN($G2914)-LEN(SUBSTITUTE($G2914,"-",""))),"-"," ",LEN($G2914)-LEN(SUBSTITUTE($G2914,"-",""))-1),".",""))))),$G2914)))</f>
        <v/>
      </c>
    </row>
    <row r="2915">
      <c r="A2915" s="58" t="n"/>
      <c r="B2915" s="58">
        <f>IF($H2915="","",LEFT($H2915,FIND(" ",$H2915&amp;" ")-1))</f>
        <v/>
      </c>
      <c r="C2915" s="58">
        <f>IF($H2915="","",IFERROR(MID($H2915&amp;" ",FIND("|",SUBSTITUTE($H2915&amp;" "," ","|",1))+1,FIND("|",SUBSTITUTE($H2915&amp;" "," ","|",2))-FIND("|",SUBSTITUTE($H2915&amp;" "," ","|",1))-1),""))</f>
        <v/>
      </c>
      <c r="D2915" s="58">
        <f>IF($H2915="","",IFERROR(MID($H2915&amp;" ",FIND("|",SUBSTITUTE($H2915&amp;" "," ","|",2))+1,FIND("|",SUBSTITUTE($H2915&amp;" "," ","|",3))-FIND("|",SUBSTITUTE($H2915&amp;" "," ","|",2))-1),""))</f>
        <v/>
      </c>
      <c r="E2915" s="58">
        <f>IF($H2915="","",IFERROR(MID($H2915&amp;" ",FIND("|",SUBSTITUTE($H2915&amp;" "," ","|",3))+1,FIND("|",SUBSTITUTE($H2915&amp;" "," ","|",4))-FIND("|",SUBSTITUTE($H2915&amp;" "," ","|",3))-1),""))</f>
        <v/>
      </c>
      <c r="F2915" s="59">
        <f>IF($H2915="","",IFERROR(VALUE(IFERROR(MID($H2915&amp;" ",FIND("|",SUBSTITUTE($H2915&amp;" "," ","|",4))+1,FIND("|",SUBSTITUTE($H2915&amp;" "," ","|",5))-FIND("|",SUBSTITUTE($H2915&amp;" "," ","|",4))-1),""))/86400+25569+9/24,""))</f>
        <v/>
      </c>
      <c r="G2915" s="58">
        <f>TRIM(SUBSTITUTE(SUBSTITUTE(SUBSTITUTE($A2915,CHAR(9)," ")," "," "),CHAR(13),""))</f>
        <v/>
      </c>
      <c r="H2915" s="58">
        <f>IF($G2915="","",IF(ISNUMBER(FIND(" ",$G2915)),$G2915,IFERROR(IF((LEN(SUBSTITUTE(SUBSTITUTE($G2915,"-"," ",LEN($G2915)-LEN(SUBSTITUTE($G2915,"-",""))),"-"," ",LEN($G2915)-LEN(SUBSTITUTE($G2915,"-",""))-1))-LEN(SUBSTITUTE(SUBSTITUTE(SUBSTITUTE($G2915,"-"," ",LEN($G2915)-LEN(SUBSTITUTE($G2915,"-",""))),"-"," ",LEN($G2915)-LEN(SUBSTITUTE($G2915,"-",""))-1),".","")))=0,SUBSTITUTE(SUBSTITUTE($G2915,"-"," ",LEN($G2915)-LEN(SUBSTITUTE($G2915,"-",""))),"-"," ",LEN($G2915)-LEN(SUBSTITUTE($G2915,"-",""))-1),SUBSTITUTE(SUBSTITUTE(SUBSTITUTE($G2915,"-"," ",LEN($G2915)-LEN(SUBSTITUTE($G2915,"-",""))),"-"," ",LEN($G2915)-LEN(SUBSTITUTE($G2915,"-",""))-1),"."," ",(LEN(SUBSTITUTE(SUBSTITUTE($G2915,"-"," ",LEN($G2915)-LEN(SUBSTITUTE($G2915,"-",""))),"-"," ",LEN($G2915)-LEN(SUBSTITUTE($G2915,"-",""))-1))-LEN(SUBSTITUTE(SUBSTITUTE(SUBSTITUTE($G2915,"-"," ",LEN($G2915)-LEN(SUBSTITUTE($G2915,"-",""))),"-"," ",LEN($G2915)-LEN(SUBSTITUTE($G2915,"-",""))-1),".",""))))),$G2915)))</f>
        <v/>
      </c>
    </row>
    <row r="2916">
      <c r="A2916" s="58" t="n"/>
      <c r="B2916" s="58">
        <f>IF($H2916="","",LEFT($H2916,FIND(" ",$H2916&amp;" ")-1))</f>
        <v/>
      </c>
      <c r="C2916" s="58">
        <f>IF($H2916="","",IFERROR(MID($H2916&amp;" ",FIND("|",SUBSTITUTE($H2916&amp;" "," ","|",1))+1,FIND("|",SUBSTITUTE($H2916&amp;" "," ","|",2))-FIND("|",SUBSTITUTE($H2916&amp;" "," ","|",1))-1),""))</f>
        <v/>
      </c>
      <c r="D2916" s="58">
        <f>IF($H2916="","",IFERROR(MID($H2916&amp;" ",FIND("|",SUBSTITUTE($H2916&amp;" "," ","|",2))+1,FIND("|",SUBSTITUTE($H2916&amp;" "," ","|",3))-FIND("|",SUBSTITUTE($H2916&amp;" "," ","|",2))-1),""))</f>
        <v/>
      </c>
      <c r="E2916" s="58">
        <f>IF($H2916="","",IFERROR(MID($H2916&amp;" ",FIND("|",SUBSTITUTE($H2916&amp;" "," ","|",3))+1,FIND("|",SUBSTITUTE($H2916&amp;" "," ","|",4))-FIND("|",SUBSTITUTE($H2916&amp;" "," ","|",3))-1),""))</f>
        <v/>
      </c>
      <c r="F2916" s="59">
        <f>IF($H2916="","",IFERROR(VALUE(IFERROR(MID($H2916&amp;" ",FIND("|",SUBSTITUTE($H2916&amp;" "," ","|",4))+1,FIND("|",SUBSTITUTE($H2916&amp;" "," ","|",5))-FIND("|",SUBSTITUTE($H2916&amp;" "," ","|",4))-1),""))/86400+25569+9/24,""))</f>
        <v/>
      </c>
      <c r="G2916" s="58">
        <f>TRIM(SUBSTITUTE(SUBSTITUTE(SUBSTITUTE($A2916,CHAR(9)," ")," "," "),CHAR(13),""))</f>
        <v/>
      </c>
      <c r="H2916" s="58">
        <f>IF($G2916="","",IF(ISNUMBER(FIND(" ",$G2916)),$G2916,IFERROR(IF((LEN(SUBSTITUTE(SUBSTITUTE($G2916,"-"," ",LEN($G2916)-LEN(SUBSTITUTE($G2916,"-",""))),"-"," ",LEN($G2916)-LEN(SUBSTITUTE($G2916,"-",""))-1))-LEN(SUBSTITUTE(SUBSTITUTE(SUBSTITUTE($G2916,"-"," ",LEN($G2916)-LEN(SUBSTITUTE($G2916,"-",""))),"-"," ",LEN($G2916)-LEN(SUBSTITUTE($G2916,"-",""))-1),".","")))=0,SUBSTITUTE(SUBSTITUTE($G2916,"-"," ",LEN($G2916)-LEN(SUBSTITUTE($G2916,"-",""))),"-"," ",LEN($G2916)-LEN(SUBSTITUTE($G2916,"-",""))-1),SUBSTITUTE(SUBSTITUTE(SUBSTITUTE($G2916,"-"," ",LEN($G2916)-LEN(SUBSTITUTE($G2916,"-",""))),"-"," ",LEN($G2916)-LEN(SUBSTITUTE($G2916,"-",""))-1),"."," ",(LEN(SUBSTITUTE(SUBSTITUTE($G2916,"-"," ",LEN($G2916)-LEN(SUBSTITUTE($G2916,"-",""))),"-"," ",LEN($G2916)-LEN(SUBSTITUTE($G2916,"-",""))-1))-LEN(SUBSTITUTE(SUBSTITUTE(SUBSTITUTE($G2916,"-"," ",LEN($G2916)-LEN(SUBSTITUTE($G2916,"-",""))),"-"," ",LEN($G2916)-LEN(SUBSTITUTE($G2916,"-",""))-1),".",""))))),$G2916)))</f>
        <v/>
      </c>
    </row>
    <row r="2917">
      <c r="A2917" s="58" t="n"/>
      <c r="B2917" s="58">
        <f>IF($H2917="","",LEFT($H2917,FIND(" ",$H2917&amp;" ")-1))</f>
        <v/>
      </c>
      <c r="C2917" s="58">
        <f>IF($H2917="","",IFERROR(MID($H2917&amp;" ",FIND("|",SUBSTITUTE($H2917&amp;" "," ","|",1))+1,FIND("|",SUBSTITUTE($H2917&amp;" "," ","|",2))-FIND("|",SUBSTITUTE($H2917&amp;" "," ","|",1))-1),""))</f>
        <v/>
      </c>
      <c r="D2917" s="58">
        <f>IF($H2917="","",IFERROR(MID($H2917&amp;" ",FIND("|",SUBSTITUTE($H2917&amp;" "," ","|",2))+1,FIND("|",SUBSTITUTE($H2917&amp;" "," ","|",3))-FIND("|",SUBSTITUTE($H2917&amp;" "," ","|",2))-1),""))</f>
        <v/>
      </c>
      <c r="E2917" s="58">
        <f>IF($H2917="","",IFERROR(MID($H2917&amp;" ",FIND("|",SUBSTITUTE($H2917&amp;" "," ","|",3))+1,FIND("|",SUBSTITUTE($H2917&amp;" "," ","|",4))-FIND("|",SUBSTITUTE($H2917&amp;" "," ","|",3))-1),""))</f>
        <v/>
      </c>
      <c r="F2917" s="59">
        <f>IF($H2917="","",IFERROR(VALUE(IFERROR(MID($H2917&amp;" ",FIND("|",SUBSTITUTE($H2917&amp;" "," ","|",4))+1,FIND("|",SUBSTITUTE($H2917&amp;" "," ","|",5))-FIND("|",SUBSTITUTE($H2917&amp;" "," ","|",4))-1),""))/86400+25569+9/24,""))</f>
        <v/>
      </c>
      <c r="G2917" s="58">
        <f>TRIM(SUBSTITUTE(SUBSTITUTE(SUBSTITUTE($A2917,CHAR(9)," ")," "," "),CHAR(13),""))</f>
        <v/>
      </c>
      <c r="H2917" s="58">
        <f>IF($G2917="","",IF(ISNUMBER(FIND(" ",$G2917)),$G2917,IFERROR(IF((LEN(SUBSTITUTE(SUBSTITUTE($G2917,"-"," ",LEN($G2917)-LEN(SUBSTITUTE($G2917,"-",""))),"-"," ",LEN($G2917)-LEN(SUBSTITUTE($G2917,"-",""))-1))-LEN(SUBSTITUTE(SUBSTITUTE(SUBSTITUTE($G2917,"-"," ",LEN($G2917)-LEN(SUBSTITUTE($G2917,"-",""))),"-"," ",LEN($G2917)-LEN(SUBSTITUTE($G2917,"-",""))-1),".","")))=0,SUBSTITUTE(SUBSTITUTE($G2917,"-"," ",LEN($G2917)-LEN(SUBSTITUTE($G2917,"-",""))),"-"," ",LEN($G2917)-LEN(SUBSTITUTE($G2917,"-",""))-1),SUBSTITUTE(SUBSTITUTE(SUBSTITUTE($G2917,"-"," ",LEN($G2917)-LEN(SUBSTITUTE($G2917,"-",""))),"-"," ",LEN($G2917)-LEN(SUBSTITUTE($G2917,"-",""))-1),"."," ",(LEN(SUBSTITUTE(SUBSTITUTE($G2917,"-"," ",LEN($G2917)-LEN(SUBSTITUTE($G2917,"-",""))),"-"," ",LEN($G2917)-LEN(SUBSTITUTE($G2917,"-",""))-1))-LEN(SUBSTITUTE(SUBSTITUTE(SUBSTITUTE($G2917,"-"," ",LEN($G2917)-LEN(SUBSTITUTE($G2917,"-",""))),"-"," ",LEN($G2917)-LEN(SUBSTITUTE($G2917,"-",""))-1),".",""))))),$G2917)))</f>
        <v/>
      </c>
    </row>
    <row r="2918">
      <c r="A2918" s="58" t="n"/>
      <c r="B2918" s="58">
        <f>IF($H2918="","",LEFT($H2918,FIND(" ",$H2918&amp;" ")-1))</f>
        <v/>
      </c>
      <c r="C2918" s="58">
        <f>IF($H2918="","",IFERROR(MID($H2918&amp;" ",FIND("|",SUBSTITUTE($H2918&amp;" "," ","|",1))+1,FIND("|",SUBSTITUTE($H2918&amp;" "," ","|",2))-FIND("|",SUBSTITUTE($H2918&amp;" "," ","|",1))-1),""))</f>
        <v/>
      </c>
      <c r="D2918" s="58">
        <f>IF($H2918="","",IFERROR(MID($H2918&amp;" ",FIND("|",SUBSTITUTE($H2918&amp;" "," ","|",2))+1,FIND("|",SUBSTITUTE($H2918&amp;" "," ","|",3))-FIND("|",SUBSTITUTE($H2918&amp;" "," ","|",2))-1),""))</f>
        <v/>
      </c>
      <c r="E2918" s="58">
        <f>IF($H2918="","",IFERROR(MID($H2918&amp;" ",FIND("|",SUBSTITUTE($H2918&amp;" "," ","|",3))+1,FIND("|",SUBSTITUTE($H2918&amp;" "," ","|",4))-FIND("|",SUBSTITUTE($H2918&amp;" "," ","|",3))-1),""))</f>
        <v/>
      </c>
      <c r="F2918" s="59">
        <f>IF($H2918="","",IFERROR(VALUE(IFERROR(MID($H2918&amp;" ",FIND("|",SUBSTITUTE($H2918&amp;" "," ","|",4))+1,FIND("|",SUBSTITUTE($H2918&amp;" "," ","|",5))-FIND("|",SUBSTITUTE($H2918&amp;" "," ","|",4))-1),""))/86400+25569+9/24,""))</f>
        <v/>
      </c>
      <c r="G2918" s="58">
        <f>TRIM(SUBSTITUTE(SUBSTITUTE(SUBSTITUTE($A2918,CHAR(9)," ")," "," "),CHAR(13),""))</f>
        <v/>
      </c>
      <c r="H2918" s="58">
        <f>IF($G2918="","",IF(ISNUMBER(FIND(" ",$G2918)),$G2918,IFERROR(IF((LEN(SUBSTITUTE(SUBSTITUTE($G2918,"-"," ",LEN($G2918)-LEN(SUBSTITUTE($G2918,"-",""))),"-"," ",LEN($G2918)-LEN(SUBSTITUTE($G2918,"-",""))-1))-LEN(SUBSTITUTE(SUBSTITUTE(SUBSTITUTE($G2918,"-"," ",LEN($G2918)-LEN(SUBSTITUTE($G2918,"-",""))),"-"," ",LEN($G2918)-LEN(SUBSTITUTE($G2918,"-",""))-1),".","")))=0,SUBSTITUTE(SUBSTITUTE($G2918,"-"," ",LEN($G2918)-LEN(SUBSTITUTE($G2918,"-",""))),"-"," ",LEN($G2918)-LEN(SUBSTITUTE($G2918,"-",""))-1),SUBSTITUTE(SUBSTITUTE(SUBSTITUTE($G2918,"-"," ",LEN($G2918)-LEN(SUBSTITUTE($G2918,"-",""))),"-"," ",LEN($G2918)-LEN(SUBSTITUTE($G2918,"-",""))-1),"."," ",(LEN(SUBSTITUTE(SUBSTITUTE($G2918,"-"," ",LEN($G2918)-LEN(SUBSTITUTE($G2918,"-",""))),"-"," ",LEN($G2918)-LEN(SUBSTITUTE($G2918,"-",""))-1))-LEN(SUBSTITUTE(SUBSTITUTE(SUBSTITUTE($G2918,"-"," ",LEN($G2918)-LEN(SUBSTITUTE($G2918,"-",""))),"-"," ",LEN($G2918)-LEN(SUBSTITUTE($G2918,"-",""))-1),".",""))))),$G2918)))</f>
        <v/>
      </c>
    </row>
    <row r="2919">
      <c r="A2919" s="58" t="n"/>
      <c r="B2919" s="58">
        <f>IF($H2919="","",LEFT($H2919,FIND(" ",$H2919&amp;" ")-1))</f>
        <v/>
      </c>
      <c r="C2919" s="58">
        <f>IF($H2919="","",IFERROR(MID($H2919&amp;" ",FIND("|",SUBSTITUTE($H2919&amp;" "," ","|",1))+1,FIND("|",SUBSTITUTE($H2919&amp;" "," ","|",2))-FIND("|",SUBSTITUTE($H2919&amp;" "," ","|",1))-1),""))</f>
        <v/>
      </c>
      <c r="D2919" s="58">
        <f>IF($H2919="","",IFERROR(MID($H2919&amp;" ",FIND("|",SUBSTITUTE($H2919&amp;" "," ","|",2))+1,FIND("|",SUBSTITUTE($H2919&amp;" "," ","|",3))-FIND("|",SUBSTITUTE($H2919&amp;" "," ","|",2))-1),""))</f>
        <v/>
      </c>
      <c r="E2919" s="58">
        <f>IF($H2919="","",IFERROR(MID($H2919&amp;" ",FIND("|",SUBSTITUTE($H2919&amp;" "," ","|",3))+1,FIND("|",SUBSTITUTE($H2919&amp;" "," ","|",4))-FIND("|",SUBSTITUTE($H2919&amp;" "," ","|",3))-1),""))</f>
        <v/>
      </c>
      <c r="F2919" s="59">
        <f>IF($H2919="","",IFERROR(VALUE(IFERROR(MID($H2919&amp;" ",FIND("|",SUBSTITUTE($H2919&amp;" "," ","|",4))+1,FIND("|",SUBSTITUTE($H2919&amp;" "," ","|",5))-FIND("|",SUBSTITUTE($H2919&amp;" "," ","|",4))-1),""))/86400+25569+9/24,""))</f>
        <v/>
      </c>
      <c r="G2919" s="58">
        <f>TRIM(SUBSTITUTE(SUBSTITUTE(SUBSTITUTE($A2919,CHAR(9)," ")," "," "),CHAR(13),""))</f>
        <v/>
      </c>
      <c r="H2919" s="58">
        <f>IF($G2919="","",IF(ISNUMBER(FIND(" ",$G2919)),$G2919,IFERROR(IF((LEN(SUBSTITUTE(SUBSTITUTE($G2919,"-"," ",LEN($G2919)-LEN(SUBSTITUTE($G2919,"-",""))),"-"," ",LEN($G2919)-LEN(SUBSTITUTE($G2919,"-",""))-1))-LEN(SUBSTITUTE(SUBSTITUTE(SUBSTITUTE($G2919,"-"," ",LEN($G2919)-LEN(SUBSTITUTE($G2919,"-",""))),"-"," ",LEN($G2919)-LEN(SUBSTITUTE($G2919,"-",""))-1),".","")))=0,SUBSTITUTE(SUBSTITUTE($G2919,"-"," ",LEN($G2919)-LEN(SUBSTITUTE($G2919,"-",""))),"-"," ",LEN($G2919)-LEN(SUBSTITUTE($G2919,"-",""))-1),SUBSTITUTE(SUBSTITUTE(SUBSTITUTE($G2919,"-"," ",LEN($G2919)-LEN(SUBSTITUTE($G2919,"-",""))),"-"," ",LEN($G2919)-LEN(SUBSTITUTE($G2919,"-",""))-1),"."," ",(LEN(SUBSTITUTE(SUBSTITUTE($G2919,"-"," ",LEN($G2919)-LEN(SUBSTITUTE($G2919,"-",""))),"-"," ",LEN($G2919)-LEN(SUBSTITUTE($G2919,"-",""))-1))-LEN(SUBSTITUTE(SUBSTITUTE(SUBSTITUTE($G2919,"-"," ",LEN($G2919)-LEN(SUBSTITUTE($G2919,"-",""))),"-"," ",LEN($G2919)-LEN(SUBSTITUTE($G2919,"-",""))-1),".",""))))),$G2919)))</f>
        <v/>
      </c>
    </row>
    <row r="2920">
      <c r="A2920" s="58" t="n"/>
      <c r="B2920" s="58">
        <f>IF($H2920="","",LEFT($H2920,FIND(" ",$H2920&amp;" ")-1))</f>
        <v/>
      </c>
      <c r="C2920" s="58">
        <f>IF($H2920="","",IFERROR(MID($H2920&amp;" ",FIND("|",SUBSTITUTE($H2920&amp;" "," ","|",1))+1,FIND("|",SUBSTITUTE($H2920&amp;" "," ","|",2))-FIND("|",SUBSTITUTE($H2920&amp;" "," ","|",1))-1),""))</f>
        <v/>
      </c>
      <c r="D2920" s="58">
        <f>IF($H2920="","",IFERROR(MID($H2920&amp;" ",FIND("|",SUBSTITUTE($H2920&amp;" "," ","|",2))+1,FIND("|",SUBSTITUTE($H2920&amp;" "," ","|",3))-FIND("|",SUBSTITUTE($H2920&amp;" "," ","|",2))-1),""))</f>
        <v/>
      </c>
      <c r="E2920" s="58">
        <f>IF($H2920="","",IFERROR(MID($H2920&amp;" ",FIND("|",SUBSTITUTE($H2920&amp;" "," ","|",3))+1,FIND("|",SUBSTITUTE($H2920&amp;" "," ","|",4))-FIND("|",SUBSTITUTE($H2920&amp;" "," ","|",3))-1),""))</f>
        <v/>
      </c>
      <c r="F2920" s="59">
        <f>IF($H2920="","",IFERROR(VALUE(IFERROR(MID($H2920&amp;" ",FIND("|",SUBSTITUTE($H2920&amp;" "," ","|",4))+1,FIND("|",SUBSTITUTE($H2920&amp;" "," ","|",5))-FIND("|",SUBSTITUTE($H2920&amp;" "," ","|",4))-1),""))/86400+25569+9/24,""))</f>
        <v/>
      </c>
      <c r="G2920" s="58">
        <f>TRIM(SUBSTITUTE(SUBSTITUTE(SUBSTITUTE($A2920,CHAR(9)," ")," "," "),CHAR(13),""))</f>
        <v/>
      </c>
      <c r="H2920" s="58">
        <f>IF($G2920="","",IF(ISNUMBER(FIND(" ",$G2920)),$G2920,IFERROR(IF((LEN(SUBSTITUTE(SUBSTITUTE($G2920,"-"," ",LEN($G2920)-LEN(SUBSTITUTE($G2920,"-",""))),"-"," ",LEN($G2920)-LEN(SUBSTITUTE($G2920,"-",""))-1))-LEN(SUBSTITUTE(SUBSTITUTE(SUBSTITUTE($G2920,"-"," ",LEN($G2920)-LEN(SUBSTITUTE($G2920,"-",""))),"-"," ",LEN($G2920)-LEN(SUBSTITUTE($G2920,"-",""))-1),".","")))=0,SUBSTITUTE(SUBSTITUTE($G2920,"-"," ",LEN($G2920)-LEN(SUBSTITUTE($G2920,"-",""))),"-"," ",LEN($G2920)-LEN(SUBSTITUTE($G2920,"-",""))-1),SUBSTITUTE(SUBSTITUTE(SUBSTITUTE($G2920,"-"," ",LEN($G2920)-LEN(SUBSTITUTE($G2920,"-",""))),"-"," ",LEN($G2920)-LEN(SUBSTITUTE($G2920,"-",""))-1),"."," ",(LEN(SUBSTITUTE(SUBSTITUTE($G2920,"-"," ",LEN($G2920)-LEN(SUBSTITUTE($G2920,"-",""))),"-"," ",LEN($G2920)-LEN(SUBSTITUTE($G2920,"-",""))-1))-LEN(SUBSTITUTE(SUBSTITUTE(SUBSTITUTE($G2920,"-"," ",LEN($G2920)-LEN(SUBSTITUTE($G2920,"-",""))),"-"," ",LEN($G2920)-LEN(SUBSTITUTE($G2920,"-",""))-1),".",""))))),$G2920)))</f>
        <v/>
      </c>
    </row>
    <row r="2921">
      <c r="A2921" s="58" t="n"/>
      <c r="B2921" s="58">
        <f>IF($H2921="","",LEFT($H2921,FIND(" ",$H2921&amp;" ")-1))</f>
        <v/>
      </c>
      <c r="C2921" s="58">
        <f>IF($H2921="","",IFERROR(MID($H2921&amp;" ",FIND("|",SUBSTITUTE($H2921&amp;" "," ","|",1))+1,FIND("|",SUBSTITUTE($H2921&amp;" "," ","|",2))-FIND("|",SUBSTITUTE($H2921&amp;" "," ","|",1))-1),""))</f>
        <v/>
      </c>
      <c r="D2921" s="58">
        <f>IF($H2921="","",IFERROR(MID($H2921&amp;" ",FIND("|",SUBSTITUTE($H2921&amp;" "," ","|",2))+1,FIND("|",SUBSTITUTE($H2921&amp;" "," ","|",3))-FIND("|",SUBSTITUTE($H2921&amp;" "," ","|",2))-1),""))</f>
        <v/>
      </c>
      <c r="E2921" s="58">
        <f>IF($H2921="","",IFERROR(MID($H2921&amp;" ",FIND("|",SUBSTITUTE($H2921&amp;" "," ","|",3))+1,FIND("|",SUBSTITUTE($H2921&amp;" "," ","|",4))-FIND("|",SUBSTITUTE($H2921&amp;" "," ","|",3))-1),""))</f>
        <v/>
      </c>
      <c r="F2921" s="59">
        <f>IF($H2921="","",IFERROR(VALUE(IFERROR(MID($H2921&amp;" ",FIND("|",SUBSTITUTE($H2921&amp;" "," ","|",4))+1,FIND("|",SUBSTITUTE($H2921&amp;" "," ","|",5))-FIND("|",SUBSTITUTE($H2921&amp;" "," ","|",4))-1),""))/86400+25569+9/24,""))</f>
        <v/>
      </c>
      <c r="G2921" s="58">
        <f>TRIM(SUBSTITUTE(SUBSTITUTE(SUBSTITUTE($A2921,CHAR(9)," ")," "," "),CHAR(13),""))</f>
        <v/>
      </c>
      <c r="H2921" s="58">
        <f>IF($G2921="","",IF(ISNUMBER(FIND(" ",$G2921)),$G2921,IFERROR(IF((LEN(SUBSTITUTE(SUBSTITUTE($G2921,"-"," ",LEN($G2921)-LEN(SUBSTITUTE($G2921,"-",""))),"-"," ",LEN($G2921)-LEN(SUBSTITUTE($G2921,"-",""))-1))-LEN(SUBSTITUTE(SUBSTITUTE(SUBSTITUTE($G2921,"-"," ",LEN($G2921)-LEN(SUBSTITUTE($G2921,"-",""))),"-"," ",LEN($G2921)-LEN(SUBSTITUTE($G2921,"-",""))-1),".","")))=0,SUBSTITUTE(SUBSTITUTE($G2921,"-"," ",LEN($G2921)-LEN(SUBSTITUTE($G2921,"-",""))),"-"," ",LEN($G2921)-LEN(SUBSTITUTE($G2921,"-",""))-1),SUBSTITUTE(SUBSTITUTE(SUBSTITUTE($G2921,"-"," ",LEN($G2921)-LEN(SUBSTITUTE($G2921,"-",""))),"-"," ",LEN($G2921)-LEN(SUBSTITUTE($G2921,"-",""))-1),"."," ",(LEN(SUBSTITUTE(SUBSTITUTE($G2921,"-"," ",LEN($G2921)-LEN(SUBSTITUTE($G2921,"-",""))),"-"," ",LEN($G2921)-LEN(SUBSTITUTE($G2921,"-",""))-1))-LEN(SUBSTITUTE(SUBSTITUTE(SUBSTITUTE($G2921,"-"," ",LEN($G2921)-LEN(SUBSTITUTE($G2921,"-",""))),"-"," ",LEN($G2921)-LEN(SUBSTITUTE($G2921,"-",""))-1),".",""))))),$G2921)))</f>
        <v/>
      </c>
    </row>
    <row r="2922">
      <c r="A2922" s="58" t="n"/>
      <c r="B2922" s="58">
        <f>IF($H2922="","",LEFT($H2922,FIND(" ",$H2922&amp;" ")-1))</f>
        <v/>
      </c>
      <c r="C2922" s="58">
        <f>IF($H2922="","",IFERROR(MID($H2922&amp;" ",FIND("|",SUBSTITUTE($H2922&amp;" "," ","|",1))+1,FIND("|",SUBSTITUTE($H2922&amp;" "," ","|",2))-FIND("|",SUBSTITUTE($H2922&amp;" "," ","|",1))-1),""))</f>
        <v/>
      </c>
      <c r="D2922" s="58">
        <f>IF($H2922="","",IFERROR(MID($H2922&amp;" ",FIND("|",SUBSTITUTE($H2922&amp;" "," ","|",2))+1,FIND("|",SUBSTITUTE($H2922&amp;" "," ","|",3))-FIND("|",SUBSTITUTE($H2922&amp;" "," ","|",2))-1),""))</f>
        <v/>
      </c>
      <c r="E2922" s="58">
        <f>IF($H2922="","",IFERROR(MID($H2922&amp;" ",FIND("|",SUBSTITUTE($H2922&amp;" "," ","|",3))+1,FIND("|",SUBSTITUTE($H2922&amp;" "," ","|",4))-FIND("|",SUBSTITUTE($H2922&amp;" "," ","|",3))-1),""))</f>
        <v/>
      </c>
      <c r="F2922" s="59">
        <f>IF($H2922="","",IFERROR(VALUE(IFERROR(MID($H2922&amp;" ",FIND("|",SUBSTITUTE($H2922&amp;" "," ","|",4))+1,FIND("|",SUBSTITUTE($H2922&amp;" "," ","|",5))-FIND("|",SUBSTITUTE($H2922&amp;" "," ","|",4))-1),""))/86400+25569+9/24,""))</f>
        <v/>
      </c>
      <c r="G2922" s="58">
        <f>TRIM(SUBSTITUTE(SUBSTITUTE(SUBSTITUTE($A2922,CHAR(9)," ")," "," "),CHAR(13),""))</f>
        <v/>
      </c>
      <c r="H2922" s="58">
        <f>IF($G2922="","",IF(ISNUMBER(FIND(" ",$G2922)),$G2922,IFERROR(IF((LEN(SUBSTITUTE(SUBSTITUTE($G2922,"-"," ",LEN($G2922)-LEN(SUBSTITUTE($G2922,"-",""))),"-"," ",LEN($G2922)-LEN(SUBSTITUTE($G2922,"-",""))-1))-LEN(SUBSTITUTE(SUBSTITUTE(SUBSTITUTE($G2922,"-"," ",LEN($G2922)-LEN(SUBSTITUTE($G2922,"-",""))),"-"," ",LEN($G2922)-LEN(SUBSTITUTE($G2922,"-",""))-1),".","")))=0,SUBSTITUTE(SUBSTITUTE($G2922,"-"," ",LEN($G2922)-LEN(SUBSTITUTE($G2922,"-",""))),"-"," ",LEN($G2922)-LEN(SUBSTITUTE($G2922,"-",""))-1),SUBSTITUTE(SUBSTITUTE(SUBSTITUTE($G2922,"-"," ",LEN($G2922)-LEN(SUBSTITUTE($G2922,"-",""))),"-"," ",LEN($G2922)-LEN(SUBSTITUTE($G2922,"-",""))-1),"."," ",(LEN(SUBSTITUTE(SUBSTITUTE($G2922,"-"," ",LEN($G2922)-LEN(SUBSTITUTE($G2922,"-",""))),"-"," ",LEN($G2922)-LEN(SUBSTITUTE($G2922,"-",""))-1))-LEN(SUBSTITUTE(SUBSTITUTE(SUBSTITUTE($G2922,"-"," ",LEN($G2922)-LEN(SUBSTITUTE($G2922,"-",""))),"-"," ",LEN($G2922)-LEN(SUBSTITUTE($G2922,"-",""))-1),".",""))))),$G2922)))</f>
        <v/>
      </c>
    </row>
    <row r="2923">
      <c r="A2923" s="58" t="n"/>
      <c r="B2923" s="58">
        <f>IF($H2923="","",LEFT($H2923,FIND(" ",$H2923&amp;" ")-1))</f>
        <v/>
      </c>
      <c r="C2923" s="58">
        <f>IF($H2923="","",IFERROR(MID($H2923&amp;" ",FIND("|",SUBSTITUTE($H2923&amp;" "," ","|",1))+1,FIND("|",SUBSTITUTE($H2923&amp;" "," ","|",2))-FIND("|",SUBSTITUTE($H2923&amp;" "," ","|",1))-1),""))</f>
        <v/>
      </c>
      <c r="D2923" s="58">
        <f>IF($H2923="","",IFERROR(MID($H2923&amp;" ",FIND("|",SUBSTITUTE($H2923&amp;" "," ","|",2))+1,FIND("|",SUBSTITUTE($H2923&amp;" "," ","|",3))-FIND("|",SUBSTITUTE($H2923&amp;" "," ","|",2))-1),""))</f>
        <v/>
      </c>
      <c r="E2923" s="58">
        <f>IF($H2923="","",IFERROR(MID($H2923&amp;" ",FIND("|",SUBSTITUTE($H2923&amp;" "," ","|",3))+1,FIND("|",SUBSTITUTE($H2923&amp;" "," ","|",4))-FIND("|",SUBSTITUTE($H2923&amp;" "," ","|",3))-1),""))</f>
        <v/>
      </c>
      <c r="F2923" s="59">
        <f>IF($H2923="","",IFERROR(VALUE(IFERROR(MID($H2923&amp;" ",FIND("|",SUBSTITUTE($H2923&amp;" "," ","|",4))+1,FIND("|",SUBSTITUTE($H2923&amp;" "," ","|",5))-FIND("|",SUBSTITUTE($H2923&amp;" "," ","|",4))-1),""))/86400+25569+9/24,""))</f>
        <v/>
      </c>
      <c r="G2923" s="58">
        <f>TRIM(SUBSTITUTE(SUBSTITUTE(SUBSTITUTE($A2923,CHAR(9)," ")," "," "),CHAR(13),""))</f>
        <v/>
      </c>
      <c r="H2923" s="58">
        <f>IF($G2923="","",IF(ISNUMBER(FIND(" ",$G2923)),$G2923,IFERROR(IF((LEN(SUBSTITUTE(SUBSTITUTE($G2923,"-"," ",LEN($G2923)-LEN(SUBSTITUTE($G2923,"-",""))),"-"," ",LEN($G2923)-LEN(SUBSTITUTE($G2923,"-",""))-1))-LEN(SUBSTITUTE(SUBSTITUTE(SUBSTITUTE($G2923,"-"," ",LEN($G2923)-LEN(SUBSTITUTE($G2923,"-",""))),"-"," ",LEN($G2923)-LEN(SUBSTITUTE($G2923,"-",""))-1),".","")))=0,SUBSTITUTE(SUBSTITUTE($G2923,"-"," ",LEN($G2923)-LEN(SUBSTITUTE($G2923,"-",""))),"-"," ",LEN($G2923)-LEN(SUBSTITUTE($G2923,"-",""))-1),SUBSTITUTE(SUBSTITUTE(SUBSTITUTE($G2923,"-"," ",LEN($G2923)-LEN(SUBSTITUTE($G2923,"-",""))),"-"," ",LEN($G2923)-LEN(SUBSTITUTE($G2923,"-",""))-1),"."," ",(LEN(SUBSTITUTE(SUBSTITUTE($G2923,"-"," ",LEN($G2923)-LEN(SUBSTITUTE($G2923,"-",""))),"-"," ",LEN($G2923)-LEN(SUBSTITUTE($G2923,"-",""))-1))-LEN(SUBSTITUTE(SUBSTITUTE(SUBSTITUTE($G2923,"-"," ",LEN($G2923)-LEN(SUBSTITUTE($G2923,"-",""))),"-"," ",LEN($G2923)-LEN(SUBSTITUTE($G2923,"-",""))-1),".",""))))),$G2923)))</f>
        <v/>
      </c>
    </row>
    <row r="2924">
      <c r="A2924" s="58" t="n"/>
      <c r="B2924" s="58">
        <f>IF($H2924="","",LEFT($H2924,FIND(" ",$H2924&amp;" ")-1))</f>
        <v/>
      </c>
      <c r="C2924" s="58">
        <f>IF($H2924="","",IFERROR(MID($H2924&amp;" ",FIND("|",SUBSTITUTE($H2924&amp;" "," ","|",1))+1,FIND("|",SUBSTITUTE($H2924&amp;" "," ","|",2))-FIND("|",SUBSTITUTE($H2924&amp;" "," ","|",1))-1),""))</f>
        <v/>
      </c>
      <c r="D2924" s="58">
        <f>IF($H2924="","",IFERROR(MID($H2924&amp;" ",FIND("|",SUBSTITUTE($H2924&amp;" "," ","|",2))+1,FIND("|",SUBSTITUTE($H2924&amp;" "," ","|",3))-FIND("|",SUBSTITUTE($H2924&amp;" "," ","|",2))-1),""))</f>
        <v/>
      </c>
      <c r="E2924" s="58">
        <f>IF($H2924="","",IFERROR(MID($H2924&amp;" ",FIND("|",SUBSTITUTE($H2924&amp;" "," ","|",3))+1,FIND("|",SUBSTITUTE($H2924&amp;" "," ","|",4))-FIND("|",SUBSTITUTE($H2924&amp;" "," ","|",3))-1),""))</f>
        <v/>
      </c>
      <c r="F2924" s="59">
        <f>IF($H2924="","",IFERROR(VALUE(IFERROR(MID($H2924&amp;" ",FIND("|",SUBSTITUTE($H2924&amp;" "," ","|",4))+1,FIND("|",SUBSTITUTE($H2924&amp;" "," ","|",5))-FIND("|",SUBSTITUTE($H2924&amp;" "," ","|",4))-1),""))/86400+25569+9/24,""))</f>
        <v/>
      </c>
      <c r="G2924" s="58">
        <f>TRIM(SUBSTITUTE(SUBSTITUTE(SUBSTITUTE($A2924,CHAR(9)," ")," "," "),CHAR(13),""))</f>
        <v/>
      </c>
      <c r="H2924" s="58">
        <f>IF($G2924="","",IF(ISNUMBER(FIND(" ",$G2924)),$G2924,IFERROR(IF((LEN(SUBSTITUTE(SUBSTITUTE($G2924,"-"," ",LEN($G2924)-LEN(SUBSTITUTE($G2924,"-",""))),"-"," ",LEN($G2924)-LEN(SUBSTITUTE($G2924,"-",""))-1))-LEN(SUBSTITUTE(SUBSTITUTE(SUBSTITUTE($G2924,"-"," ",LEN($G2924)-LEN(SUBSTITUTE($G2924,"-",""))),"-"," ",LEN($G2924)-LEN(SUBSTITUTE($G2924,"-",""))-1),".","")))=0,SUBSTITUTE(SUBSTITUTE($G2924,"-"," ",LEN($G2924)-LEN(SUBSTITUTE($G2924,"-",""))),"-"," ",LEN($G2924)-LEN(SUBSTITUTE($G2924,"-",""))-1),SUBSTITUTE(SUBSTITUTE(SUBSTITUTE($G2924,"-"," ",LEN($G2924)-LEN(SUBSTITUTE($G2924,"-",""))),"-"," ",LEN($G2924)-LEN(SUBSTITUTE($G2924,"-",""))-1),"."," ",(LEN(SUBSTITUTE(SUBSTITUTE($G2924,"-"," ",LEN($G2924)-LEN(SUBSTITUTE($G2924,"-",""))),"-"," ",LEN($G2924)-LEN(SUBSTITUTE($G2924,"-",""))-1))-LEN(SUBSTITUTE(SUBSTITUTE(SUBSTITUTE($G2924,"-"," ",LEN($G2924)-LEN(SUBSTITUTE($G2924,"-",""))),"-"," ",LEN($G2924)-LEN(SUBSTITUTE($G2924,"-",""))-1),".",""))))),$G2924)))</f>
        <v/>
      </c>
    </row>
    <row r="2925">
      <c r="A2925" s="58" t="n"/>
      <c r="B2925" s="58">
        <f>IF($H2925="","",LEFT($H2925,FIND(" ",$H2925&amp;" ")-1))</f>
        <v/>
      </c>
      <c r="C2925" s="58">
        <f>IF($H2925="","",IFERROR(MID($H2925&amp;" ",FIND("|",SUBSTITUTE($H2925&amp;" "," ","|",1))+1,FIND("|",SUBSTITUTE($H2925&amp;" "," ","|",2))-FIND("|",SUBSTITUTE($H2925&amp;" "," ","|",1))-1),""))</f>
        <v/>
      </c>
      <c r="D2925" s="58">
        <f>IF($H2925="","",IFERROR(MID($H2925&amp;" ",FIND("|",SUBSTITUTE($H2925&amp;" "," ","|",2))+1,FIND("|",SUBSTITUTE($H2925&amp;" "," ","|",3))-FIND("|",SUBSTITUTE($H2925&amp;" "," ","|",2))-1),""))</f>
        <v/>
      </c>
      <c r="E2925" s="58">
        <f>IF($H2925="","",IFERROR(MID($H2925&amp;" ",FIND("|",SUBSTITUTE($H2925&amp;" "," ","|",3))+1,FIND("|",SUBSTITUTE($H2925&amp;" "," ","|",4))-FIND("|",SUBSTITUTE($H2925&amp;" "," ","|",3))-1),""))</f>
        <v/>
      </c>
      <c r="F2925" s="59">
        <f>IF($H2925="","",IFERROR(VALUE(IFERROR(MID($H2925&amp;" ",FIND("|",SUBSTITUTE($H2925&amp;" "," ","|",4))+1,FIND("|",SUBSTITUTE($H2925&amp;" "," ","|",5))-FIND("|",SUBSTITUTE($H2925&amp;" "," ","|",4))-1),""))/86400+25569+9/24,""))</f>
        <v/>
      </c>
      <c r="G2925" s="58">
        <f>TRIM(SUBSTITUTE(SUBSTITUTE(SUBSTITUTE($A2925,CHAR(9)," ")," "," "),CHAR(13),""))</f>
        <v/>
      </c>
      <c r="H2925" s="58">
        <f>IF($G2925="","",IF(ISNUMBER(FIND(" ",$G2925)),$G2925,IFERROR(IF((LEN(SUBSTITUTE(SUBSTITUTE($G2925,"-"," ",LEN($G2925)-LEN(SUBSTITUTE($G2925,"-",""))),"-"," ",LEN($G2925)-LEN(SUBSTITUTE($G2925,"-",""))-1))-LEN(SUBSTITUTE(SUBSTITUTE(SUBSTITUTE($G2925,"-"," ",LEN($G2925)-LEN(SUBSTITUTE($G2925,"-",""))),"-"," ",LEN($G2925)-LEN(SUBSTITUTE($G2925,"-",""))-1),".","")))=0,SUBSTITUTE(SUBSTITUTE($G2925,"-"," ",LEN($G2925)-LEN(SUBSTITUTE($G2925,"-",""))),"-"," ",LEN($G2925)-LEN(SUBSTITUTE($G2925,"-",""))-1),SUBSTITUTE(SUBSTITUTE(SUBSTITUTE($G2925,"-"," ",LEN($G2925)-LEN(SUBSTITUTE($G2925,"-",""))),"-"," ",LEN($G2925)-LEN(SUBSTITUTE($G2925,"-",""))-1),"."," ",(LEN(SUBSTITUTE(SUBSTITUTE($G2925,"-"," ",LEN($G2925)-LEN(SUBSTITUTE($G2925,"-",""))),"-"," ",LEN($G2925)-LEN(SUBSTITUTE($G2925,"-",""))-1))-LEN(SUBSTITUTE(SUBSTITUTE(SUBSTITUTE($G2925,"-"," ",LEN($G2925)-LEN(SUBSTITUTE($G2925,"-",""))),"-"," ",LEN($G2925)-LEN(SUBSTITUTE($G2925,"-",""))-1),".",""))))),$G2925)))</f>
        <v/>
      </c>
    </row>
    <row r="2926">
      <c r="A2926" s="58" t="n"/>
      <c r="B2926" s="58">
        <f>IF($H2926="","",LEFT($H2926,FIND(" ",$H2926&amp;" ")-1))</f>
        <v/>
      </c>
      <c r="C2926" s="58">
        <f>IF($H2926="","",IFERROR(MID($H2926&amp;" ",FIND("|",SUBSTITUTE($H2926&amp;" "," ","|",1))+1,FIND("|",SUBSTITUTE($H2926&amp;" "," ","|",2))-FIND("|",SUBSTITUTE($H2926&amp;" "," ","|",1))-1),""))</f>
        <v/>
      </c>
      <c r="D2926" s="58">
        <f>IF($H2926="","",IFERROR(MID($H2926&amp;" ",FIND("|",SUBSTITUTE($H2926&amp;" "," ","|",2))+1,FIND("|",SUBSTITUTE($H2926&amp;" "," ","|",3))-FIND("|",SUBSTITUTE($H2926&amp;" "," ","|",2))-1),""))</f>
        <v/>
      </c>
      <c r="E2926" s="58">
        <f>IF($H2926="","",IFERROR(MID($H2926&amp;" ",FIND("|",SUBSTITUTE($H2926&amp;" "," ","|",3))+1,FIND("|",SUBSTITUTE($H2926&amp;" "," ","|",4))-FIND("|",SUBSTITUTE($H2926&amp;" "," ","|",3))-1),""))</f>
        <v/>
      </c>
      <c r="F2926" s="59">
        <f>IF($H2926="","",IFERROR(VALUE(IFERROR(MID($H2926&amp;" ",FIND("|",SUBSTITUTE($H2926&amp;" "," ","|",4))+1,FIND("|",SUBSTITUTE($H2926&amp;" "," ","|",5))-FIND("|",SUBSTITUTE($H2926&amp;" "," ","|",4))-1),""))/86400+25569+9/24,""))</f>
        <v/>
      </c>
      <c r="G2926" s="58">
        <f>TRIM(SUBSTITUTE(SUBSTITUTE(SUBSTITUTE($A2926,CHAR(9)," ")," "," "),CHAR(13),""))</f>
        <v/>
      </c>
      <c r="H2926" s="58">
        <f>IF($G2926="","",IF(ISNUMBER(FIND(" ",$G2926)),$G2926,IFERROR(IF((LEN(SUBSTITUTE(SUBSTITUTE($G2926,"-"," ",LEN($G2926)-LEN(SUBSTITUTE($G2926,"-",""))),"-"," ",LEN($G2926)-LEN(SUBSTITUTE($G2926,"-",""))-1))-LEN(SUBSTITUTE(SUBSTITUTE(SUBSTITUTE($G2926,"-"," ",LEN($G2926)-LEN(SUBSTITUTE($G2926,"-",""))),"-"," ",LEN($G2926)-LEN(SUBSTITUTE($G2926,"-",""))-1),".","")))=0,SUBSTITUTE(SUBSTITUTE($G2926,"-"," ",LEN($G2926)-LEN(SUBSTITUTE($G2926,"-",""))),"-"," ",LEN($G2926)-LEN(SUBSTITUTE($G2926,"-",""))-1),SUBSTITUTE(SUBSTITUTE(SUBSTITUTE($G2926,"-"," ",LEN($G2926)-LEN(SUBSTITUTE($G2926,"-",""))),"-"," ",LEN($G2926)-LEN(SUBSTITUTE($G2926,"-",""))-1),"."," ",(LEN(SUBSTITUTE(SUBSTITUTE($G2926,"-"," ",LEN($G2926)-LEN(SUBSTITUTE($G2926,"-",""))),"-"," ",LEN($G2926)-LEN(SUBSTITUTE($G2926,"-",""))-1))-LEN(SUBSTITUTE(SUBSTITUTE(SUBSTITUTE($G2926,"-"," ",LEN($G2926)-LEN(SUBSTITUTE($G2926,"-",""))),"-"," ",LEN($G2926)-LEN(SUBSTITUTE($G2926,"-",""))-1),".",""))))),$G2926)))</f>
        <v/>
      </c>
    </row>
    <row r="2927">
      <c r="A2927" s="58" t="n"/>
      <c r="B2927" s="58">
        <f>IF($H2927="","",LEFT($H2927,FIND(" ",$H2927&amp;" ")-1))</f>
        <v/>
      </c>
      <c r="C2927" s="58">
        <f>IF($H2927="","",IFERROR(MID($H2927&amp;" ",FIND("|",SUBSTITUTE($H2927&amp;" "," ","|",1))+1,FIND("|",SUBSTITUTE($H2927&amp;" "," ","|",2))-FIND("|",SUBSTITUTE($H2927&amp;" "," ","|",1))-1),""))</f>
        <v/>
      </c>
      <c r="D2927" s="58">
        <f>IF($H2927="","",IFERROR(MID($H2927&amp;" ",FIND("|",SUBSTITUTE($H2927&amp;" "," ","|",2))+1,FIND("|",SUBSTITUTE($H2927&amp;" "," ","|",3))-FIND("|",SUBSTITUTE($H2927&amp;" "," ","|",2))-1),""))</f>
        <v/>
      </c>
      <c r="E2927" s="58">
        <f>IF($H2927="","",IFERROR(MID($H2927&amp;" ",FIND("|",SUBSTITUTE($H2927&amp;" "," ","|",3))+1,FIND("|",SUBSTITUTE($H2927&amp;" "," ","|",4))-FIND("|",SUBSTITUTE($H2927&amp;" "," ","|",3))-1),""))</f>
        <v/>
      </c>
      <c r="F2927" s="59">
        <f>IF($H2927="","",IFERROR(VALUE(IFERROR(MID($H2927&amp;" ",FIND("|",SUBSTITUTE($H2927&amp;" "," ","|",4))+1,FIND("|",SUBSTITUTE($H2927&amp;" "," ","|",5))-FIND("|",SUBSTITUTE($H2927&amp;" "," ","|",4))-1),""))/86400+25569+9/24,""))</f>
        <v/>
      </c>
      <c r="G2927" s="58">
        <f>TRIM(SUBSTITUTE(SUBSTITUTE(SUBSTITUTE($A2927,CHAR(9)," ")," "," "),CHAR(13),""))</f>
        <v/>
      </c>
      <c r="H2927" s="58">
        <f>IF($G2927="","",IF(ISNUMBER(FIND(" ",$G2927)),$G2927,IFERROR(IF((LEN(SUBSTITUTE(SUBSTITUTE($G2927,"-"," ",LEN($G2927)-LEN(SUBSTITUTE($G2927,"-",""))),"-"," ",LEN($G2927)-LEN(SUBSTITUTE($G2927,"-",""))-1))-LEN(SUBSTITUTE(SUBSTITUTE(SUBSTITUTE($G2927,"-"," ",LEN($G2927)-LEN(SUBSTITUTE($G2927,"-",""))),"-"," ",LEN($G2927)-LEN(SUBSTITUTE($G2927,"-",""))-1),".","")))=0,SUBSTITUTE(SUBSTITUTE($G2927,"-"," ",LEN($G2927)-LEN(SUBSTITUTE($G2927,"-",""))),"-"," ",LEN($G2927)-LEN(SUBSTITUTE($G2927,"-",""))-1),SUBSTITUTE(SUBSTITUTE(SUBSTITUTE($G2927,"-"," ",LEN($G2927)-LEN(SUBSTITUTE($G2927,"-",""))),"-"," ",LEN($G2927)-LEN(SUBSTITUTE($G2927,"-",""))-1),"."," ",(LEN(SUBSTITUTE(SUBSTITUTE($G2927,"-"," ",LEN($G2927)-LEN(SUBSTITUTE($G2927,"-",""))),"-"," ",LEN($G2927)-LEN(SUBSTITUTE($G2927,"-",""))-1))-LEN(SUBSTITUTE(SUBSTITUTE(SUBSTITUTE($G2927,"-"," ",LEN($G2927)-LEN(SUBSTITUTE($G2927,"-",""))),"-"," ",LEN($G2927)-LEN(SUBSTITUTE($G2927,"-",""))-1),".",""))))),$G2927)))</f>
        <v/>
      </c>
    </row>
    <row r="2928">
      <c r="A2928" s="58" t="n"/>
      <c r="B2928" s="58">
        <f>IF($H2928="","",LEFT($H2928,FIND(" ",$H2928&amp;" ")-1))</f>
        <v/>
      </c>
      <c r="C2928" s="58">
        <f>IF($H2928="","",IFERROR(MID($H2928&amp;" ",FIND("|",SUBSTITUTE($H2928&amp;" "," ","|",1))+1,FIND("|",SUBSTITUTE($H2928&amp;" "," ","|",2))-FIND("|",SUBSTITUTE($H2928&amp;" "," ","|",1))-1),""))</f>
        <v/>
      </c>
      <c r="D2928" s="58">
        <f>IF($H2928="","",IFERROR(MID($H2928&amp;" ",FIND("|",SUBSTITUTE($H2928&amp;" "," ","|",2))+1,FIND("|",SUBSTITUTE($H2928&amp;" "," ","|",3))-FIND("|",SUBSTITUTE($H2928&amp;" "," ","|",2))-1),""))</f>
        <v/>
      </c>
      <c r="E2928" s="58">
        <f>IF($H2928="","",IFERROR(MID($H2928&amp;" ",FIND("|",SUBSTITUTE($H2928&amp;" "," ","|",3))+1,FIND("|",SUBSTITUTE($H2928&amp;" "," ","|",4))-FIND("|",SUBSTITUTE($H2928&amp;" "," ","|",3))-1),""))</f>
        <v/>
      </c>
      <c r="F2928" s="59">
        <f>IF($H2928="","",IFERROR(VALUE(IFERROR(MID($H2928&amp;" ",FIND("|",SUBSTITUTE($H2928&amp;" "," ","|",4))+1,FIND("|",SUBSTITUTE($H2928&amp;" "," ","|",5))-FIND("|",SUBSTITUTE($H2928&amp;" "," ","|",4))-1),""))/86400+25569+9/24,""))</f>
        <v/>
      </c>
      <c r="G2928" s="58">
        <f>TRIM(SUBSTITUTE(SUBSTITUTE(SUBSTITUTE($A2928,CHAR(9)," ")," "," "),CHAR(13),""))</f>
        <v/>
      </c>
      <c r="H2928" s="58">
        <f>IF($G2928="","",IF(ISNUMBER(FIND(" ",$G2928)),$G2928,IFERROR(IF((LEN(SUBSTITUTE(SUBSTITUTE($G2928,"-"," ",LEN($G2928)-LEN(SUBSTITUTE($G2928,"-",""))),"-"," ",LEN($G2928)-LEN(SUBSTITUTE($G2928,"-",""))-1))-LEN(SUBSTITUTE(SUBSTITUTE(SUBSTITUTE($G2928,"-"," ",LEN($G2928)-LEN(SUBSTITUTE($G2928,"-",""))),"-"," ",LEN($G2928)-LEN(SUBSTITUTE($G2928,"-",""))-1),".","")))=0,SUBSTITUTE(SUBSTITUTE($G2928,"-"," ",LEN($G2928)-LEN(SUBSTITUTE($G2928,"-",""))),"-"," ",LEN($G2928)-LEN(SUBSTITUTE($G2928,"-",""))-1),SUBSTITUTE(SUBSTITUTE(SUBSTITUTE($G2928,"-"," ",LEN($G2928)-LEN(SUBSTITUTE($G2928,"-",""))),"-"," ",LEN($G2928)-LEN(SUBSTITUTE($G2928,"-",""))-1),"."," ",(LEN(SUBSTITUTE(SUBSTITUTE($G2928,"-"," ",LEN($G2928)-LEN(SUBSTITUTE($G2928,"-",""))),"-"," ",LEN($G2928)-LEN(SUBSTITUTE($G2928,"-",""))-1))-LEN(SUBSTITUTE(SUBSTITUTE(SUBSTITUTE($G2928,"-"," ",LEN($G2928)-LEN(SUBSTITUTE($G2928,"-",""))),"-"," ",LEN($G2928)-LEN(SUBSTITUTE($G2928,"-",""))-1),".",""))))),$G2928)))</f>
        <v/>
      </c>
    </row>
    <row r="2929">
      <c r="A2929" s="58" t="n"/>
      <c r="B2929" s="58">
        <f>IF($H2929="","",LEFT($H2929,FIND(" ",$H2929&amp;" ")-1))</f>
        <v/>
      </c>
      <c r="C2929" s="58">
        <f>IF($H2929="","",IFERROR(MID($H2929&amp;" ",FIND("|",SUBSTITUTE($H2929&amp;" "," ","|",1))+1,FIND("|",SUBSTITUTE($H2929&amp;" "," ","|",2))-FIND("|",SUBSTITUTE($H2929&amp;" "," ","|",1))-1),""))</f>
        <v/>
      </c>
      <c r="D2929" s="58">
        <f>IF($H2929="","",IFERROR(MID($H2929&amp;" ",FIND("|",SUBSTITUTE($H2929&amp;" "," ","|",2))+1,FIND("|",SUBSTITUTE($H2929&amp;" "," ","|",3))-FIND("|",SUBSTITUTE($H2929&amp;" "," ","|",2))-1),""))</f>
        <v/>
      </c>
      <c r="E2929" s="58">
        <f>IF($H2929="","",IFERROR(MID($H2929&amp;" ",FIND("|",SUBSTITUTE($H2929&amp;" "," ","|",3))+1,FIND("|",SUBSTITUTE($H2929&amp;" "," ","|",4))-FIND("|",SUBSTITUTE($H2929&amp;" "," ","|",3))-1),""))</f>
        <v/>
      </c>
      <c r="F2929" s="59">
        <f>IF($H2929="","",IFERROR(VALUE(IFERROR(MID($H2929&amp;" ",FIND("|",SUBSTITUTE($H2929&amp;" "," ","|",4))+1,FIND("|",SUBSTITUTE($H2929&amp;" "," ","|",5))-FIND("|",SUBSTITUTE($H2929&amp;" "," ","|",4))-1),""))/86400+25569+9/24,""))</f>
        <v/>
      </c>
      <c r="G2929" s="58">
        <f>TRIM(SUBSTITUTE(SUBSTITUTE(SUBSTITUTE($A2929,CHAR(9)," ")," "," "),CHAR(13),""))</f>
        <v/>
      </c>
      <c r="H2929" s="58">
        <f>IF($G2929="","",IF(ISNUMBER(FIND(" ",$G2929)),$G2929,IFERROR(IF((LEN(SUBSTITUTE(SUBSTITUTE($G2929,"-"," ",LEN($G2929)-LEN(SUBSTITUTE($G2929,"-",""))),"-"," ",LEN($G2929)-LEN(SUBSTITUTE($G2929,"-",""))-1))-LEN(SUBSTITUTE(SUBSTITUTE(SUBSTITUTE($G2929,"-"," ",LEN($G2929)-LEN(SUBSTITUTE($G2929,"-",""))),"-"," ",LEN($G2929)-LEN(SUBSTITUTE($G2929,"-",""))-1),".","")))=0,SUBSTITUTE(SUBSTITUTE($G2929,"-"," ",LEN($G2929)-LEN(SUBSTITUTE($G2929,"-",""))),"-"," ",LEN($G2929)-LEN(SUBSTITUTE($G2929,"-",""))-1),SUBSTITUTE(SUBSTITUTE(SUBSTITUTE($G2929,"-"," ",LEN($G2929)-LEN(SUBSTITUTE($G2929,"-",""))),"-"," ",LEN($G2929)-LEN(SUBSTITUTE($G2929,"-",""))-1),"."," ",(LEN(SUBSTITUTE(SUBSTITUTE($G2929,"-"," ",LEN($G2929)-LEN(SUBSTITUTE($G2929,"-",""))),"-"," ",LEN($G2929)-LEN(SUBSTITUTE($G2929,"-",""))-1))-LEN(SUBSTITUTE(SUBSTITUTE(SUBSTITUTE($G2929,"-"," ",LEN($G2929)-LEN(SUBSTITUTE($G2929,"-",""))),"-"," ",LEN($G2929)-LEN(SUBSTITUTE($G2929,"-",""))-1),".",""))))),$G2929)))</f>
        <v/>
      </c>
    </row>
    <row r="2930">
      <c r="A2930" s="58" t="n"/>
      <c r="B2930" s="58">
        <f>IF($H2930="","",LEFT($H2930,FIND(" ",$H2930&amp;" ")-1))</f>
        <v/>
      </c>
      <c r="C2930" s="58">
        <f>IF($H2930="","",IFERROR(MID($H2930&amp;" ",FIND("|",SUBSTITUTE($H2930&amp;" "," ","|",1))+1,FIND("|",SUBSTITUTE($H2930&amp;" "," ","|",2))-FIND("|",SUBSTITUTE($H2930&amp;" "," ","|",1))-1),""))</f>
        <v/>
      </c>
      <c r="D2930" s="58">
        <f>IF($H2930="","",IFERROR(MID($H2930&amp;" ",FIND("|",SUBSTITUTE($H2930&amp;" "," ","|",2))+1,FIND("|",SUBSTITUTE($H2930&amp;" "," ","|",3))-FIND("|",SUBSTITUTE($H2930&amp;" "," ","|",2))-1),""))</f>
        <v/>
      </c>
      <c r="E2930" s="58">
        <f>IF($H2930="","",IFERROR(MID($H2930&amp;" ",FIND("|",SUBSTITUTE($H2930&amp;" "," ","|",3))+1,FIND("|",SUBSTITUTE($H2930&amp;" "," ","|",4))-FIND("|",SUBSTITUTE($H2930&amp;" "," ","|",3))-1),""))</f>
        <v/>
      </c>
      <c r="F2930" s="59">
        <f>IF($H2930="","",IFERROR(VALUE(IFERROR(MID($H2930&amp;" ",FIND("|",SUBSTITUTE($H2930&amp;" "," ","|",4))+1,FIND("|",SUBSTITUTE($H2930&amp;" "," ","|",5))-FIND("|",SUBSTITUTE($H2930&amp;" "," ","|",4))-1),""))/86400+25569+9/24,""))</f>
        <v/>
      </c>
      <c r="G2930" s="58">
        <f>TRIM(SUBSTITUTE(SUBSTITUTE(SUBSTITUTE($A2930,CHAR(9)," ")," "," "),CHAR(13),""))</f>
        <v/>
      </c>
      <c r="H2930" s="58">
        <f>IF($G2930="","",IF(ISNUMBER(FIND(" ",$G2930)),$G2930,IFERROR(IF((LEN(SUBSTITUTE(SUBSTITUTE($G2930,"-"," ",LEN($G2930)-LEN(SUBSTITUTE($G2930,"-",""))),"-"," ",LEN($G2930)-LEN(SUBSTITUTE($G2930,"-",""))-1))-LEN(SUBSTITUTE(SUBSTITUTE(SUBSTITUTE($G2930,"-"," ",LEN($G2930)-LEN(SUBSTITUTE($G2930,"-",""))),"-"," ",LEN($G2930)-LEN(SUBSTITUTE($G2930,"-",""))-1),".","")))=0,SUBSTITUTE(SUBSTITUTE($G2930,"-"," ",LEN($G2930)-LEN(SUBSTITUTE($G2930,"-",""))),"-"," ",LEN($G2930)-LEN(SUBSTITUTE($G2930,"-",""))-1),SUBSTITUTE(SUBSTITUTE(SUBSTITUTE($G2930,"-"," ",LEN($G2930)-LEN(SUBSTITUTE($G2930,"-",""))),"-"," ",LEN($G2930)-LEN(SUBSTITUTE($G2930,"-",""))-1),"."," ",(LEN(SUBSTITUTE(SUBSTITUTE($G2930,"-"," ",LEN($G2930)-LEN(SUBSTITUTE($G2930,"-",""))),"-"," ",LEN($G2930)-LEN(SUBSTITUTE($G2930,"-",""))-1))-LEN(SUBSTITUTE(SUBSTITUTE(SUBSTITUTE($G2930,"-"," ",LEN($G2930)-LEN(SUBSTITUTE($G2930,"-",""))),"-"," ",LEN($G2930)-LEN(SUBSTITUTE($G2930,"-",""))-1),".",""))))),$G2930)))</f>
        <v/>
      </c>
    </row>
    <row r="2931">
      <c r="A2931" s="58" t="n"/>
      <c r="B2931" s="58">
        <f>IF($H2931="","",LEFT($H2931,FIND(" ",$H2931&amp;" ")-1))</f>
        <v/>
      </c>
      <c r="C2931" s="58">
        <f>IF($H2931="","",IFERROR(MID($H2931&amp;" ",FIND("|",SUBSTITUTE($H2931&amp;" "," ","|",1))+1,FIND("|",SUBSTITUTE($H2931&amp;" "," ","|",2))-FIND("|",SUBSTITUTE($H2931&amp;" "," ","|",1))-1),""))</f>
        <v/>
      </c>
      <c r="D2931" s="58">
        <f>IF($H2931="","",IFERROR(MID($H2931&amp;" ",FIND("|",SUBSTITUTE($H2931&amp;" "," ","|",2))+1,FIND("|",SUBSTITUTE($H2931&amp;" "," ","|",3))-FIND("|",SUBSTITUTE($H2931&amp;" "," ","|",2))-1),""))</f>
        <v/>
      </c>
      <c r="E2931" s="58">
        <f>IF($H2931="","",IFERROR(MID($H2931&amp;" ",FIND("|",SUBSTITUTE($H2931&amp;" "," ","|",3))+1,FIND("|",SUBSTITUTE($H2931&amp;" "," ","|",4))-FIND("|",SUBSTITUTE($H2931&amp;" "," ","|",3))-1),""))</f>
        <v/>
      </c>
      <c r="F2931" s="59">
        <f>IF($H2931="","",IFERROR(VALUE(IFERROR(MID($H2931&amp;" ",FIND("|",SUBSTITUTE($H2931&amp;" "," ","|",4))+1,FIND("|",SUBSTITUTE($H2931&amp;" "," ","|",5))-FIND("|",SUBSTITUTE($H2931&amp;" "," ","|",4))-1),""))/86400+25569+9/24,""))</f>
        <v/>
      </c>
      <c r="G2931" s="58">
        <f>TRIM(SUBSTITUTE(SUBSTITUTE(SUBSTITUTE($A2931,CHAR(9)," ")," "," "),CHAR(13),""))</f>
        <v/>
      </c>
      <c r="H2931" s="58">
        <f>IF($G2931="","",IF(ISNUMBER(FIND(" ",$G2931)),$G2931,IFERROR(IF((LEN(SUBSTITUTE(SUBSTITUTE($G2931,"-"," ",LEN($G2931)-LEN(SUBSTITUTE($G2931,"-",""))),"-"," ",LEN($G2931)-LEN(SUBSTITUTE($G2931,"-",""))-1))-LEN(SUBSTITUTE(SUBSTITUTE(SUBSTITUTE($G2931,"-"," ",LEN($G2931)-LEN(SUBSTITUTE($G2931,"-",""))),"-"," ",LEN($G2931)-LEN(SUBSTITUTE($G2931,"-",""))-1),".","")))=0,SUBSTITUTE(SUBSTITUTE($G2931,"-"," ",LEN($G2931)-LEN(SUBSTITUTE($G2931,"-",""))),"-"," ",LEN($G2931)-LEN(SUBSTITUTE($G2931,"-",""))-1),SUBSTITUTE(SUBSTITUTE(SUBSTITUTE($G2931,"-"," ",LEN($G2931)-LEN(SUBSTITUTE($G2931,"-",""))),"-"," ",LEN($G2931)-LEN(SUBSTITUTE($G2931,"-",""))-1),"."," ",(LEN(SUBSTITUTE(SUBSTITUTE($G2931,"-"," ",LEN($G2931)-LEN(SUBSTITUTE($G2931,"-",""))),"-"," ",LEN($G2931)-LEN(SUBSTITUTE($G2931,"-",""))-1))-LEN(SUBSTITUTE(SUBSTITUTE(SUBSTITUTE($G2931,"-"," ",LEN($G2931)-LEN(SUBSTITUTE($G2931,"-",""))),"-"," ",LEN($G2931)-LEN(SUBSTITUTE($G2931,"-",""))-1),".",""))))),$G2931)))</f>
        <v/>
      </c>
    </row>
    <row r="2932">
      <c r="A2932" s="58" t="n"/>
      <c r="B2932" s="58">
        <f>IF($H2932="","",LEFT($H2932,FIND(" ",$H2932&amp;" ")-1))</f>
        <v/>
      </c>
      <c r="C2932" s="58">
        <f>IF($H2932="","",IFERROR(MID($H2932&amp;" ",FIND("|",SUBSTITUTE($H2932&amp;" "," ","|",1))+1,FIND("|",SUBSTITUTE($H2932&amp;" "," ","|",2))-FIND("|",SUBSTITUTE($H2932&amp;" "," ","|",1))-1),""))</f>
        <v/>
      </c>
      <c r="D2932" s="58">
        <f>IF($H2932="","",IFERROR(MID($H2932&amp;" ",FIND("|",SUBSTITUTE($H2932&amp;" "," ","|",2))+1,FIND("|",SUBSTITUTE($H2932&amp;" "," ","|",3))-FIND("|",SUBSTITUTE($H2932&amp;" "," ","|",2))-1),""))</f>
        <v/>
      </c>
      <c r="E2932" s="58">
        <f>IF($H2932="","",IFERROR(MID($H2932&amp;" ",FIND("|",SUBSTITUTE($H2932&amp;" "," ","|",3))+1,FIND("|",SUBSTITUTE($H2932&amp;" "," ","|",4))-FIND("|",SUBSTITUTE($H2932&amp;" "," ","|",3))-1),""))</f>
        <v/>
      </c>
      <c r="F2932" s="59">
        <f>IF($H2932="","",IFERROR(VALUE(IFERROR(MID($H2932&amp;" ",FIND("|",SUBSTITUTE($H2932&amp;" "," ","|",4))+1,FIND("|",SUBSTITUTE($H2932&amp;" "," ","|",5))-FIND("|",SUBSTITUTE($H2932&amp;" "," ","|",4))-1),""))/86400+25569+9/24,""))</f>
        <v/>
      </c>
      <c r="G2932" s="58">
        <f>TRIM(SUBSTITUTE(SUBSTITUTE(SUBSTITUTE($A2932,CHAR(9)," ")," "," "),CHAR(13),""))</f>
        <v/>
      </c>
      <c r="H2932" s="58">
        <f>IF($G2932="","",IF(ISNUMBER(FIND(" ",$G2932)),$G2932,IFERROR(IF((LEN(SUBSTITUTE(SUBSTITUTE($G2932,"-"," ",LEN($G2932)-LEN(SUBSTITUTE($G2932,"-",""))),"-"," ",LEN($G2932)-LEN(SUBSTITUTE($G2932,"-",""))-1))-LEN(SUBSTITUTE(SUBSTITUTE(SUBSTITUTE($G2932,"-"," ",LEN($G2932)-LEN(SUBSTITUTE($G2932,"-",""))),"-"," ",LEN($G2932)-LEN(SUBSTITUTE($G2932,"-",""))-1),".","")))=0,SUBSTITUTE(SUBSTITUTE($G2932,"-"," ",LEN($G2932)-LEN(SUBSTITUTE($G2932,"-",""))),"-"," ",LEN($G2932)-LEN(SUBSTITUTE($G2932,"-",""))-1),SUBSTITUTE(SUBSTITUTE(SUBSTITUTE($G2932,"-"," ",LEN($G2932)-LEN(SUBSTITUTE($G2932,"-",""))),"-"," ",LEN($G2932)-LEN(SUBSTITUTE($G2932,"-",""))-1),"."," ",(LEN(SUBSTITUTE(SUBSTITUTE($G2932,"-"," ",LEN($G2932)-LEN(SUBSTITUTE($G2932,"-",""))),"-"," ",LEN($G2932)-LEN(SUBSTITUTE($G2932,"-",""))-1))-LEN(SUBSTITUTE(SUBSTITUTE(SUBSTITUTE($G2932,"-"," ",LEN($G2932)-LEN(SUBSTITUTE($G2932,"-",""))),"-"," ",LEN($G2932)-LEN(SUBSTITUTE($G2932,"-",""))-1),".",""))))),$G2932)))</f>
        <v/>
      </c>
    </row>
    <row r="2933">
      <c r="A2933" s="58" t="n"/>
      <c r="B2933" s="58">
        <f>IF($H2933="","",LEFT($H2933,FIND(" ",$H2933&amp;" ")-1))</f>
        <v/>
      </c>
      <c r="C2933" s="58">
        <f>IF($H2933="","",IFERROR(MID($H2933&amp;" ",FIND("|",SUBSTITUTE($H2933&amp;" "," ","|",1))+1,FIND("|",SUBSTITUTE($H2933&amp;" "," ","|",2))-FIND("|",SUBSTITUTE($H2933&amp;" "," ","|",1))-1),""))</f>
        <v/>
      </c>
      <c r="D2933" s="58">
        <f>IF($H2933="","",IFERROR(MID($H2933&amp;" ",FIND("|",SUBSTITUTE($H2933&amp;" "," ","|",2))+1,FIND("|",SUBSTITUTE($H2933&amp;" "," ","|",3))-FIND("|",SUBSTITUTE($H2933&amp;" "," ","|",2))-1),""))</f>
        <v/>
      </c>
      <c r="E2933" s="58">
        <f>IF($H2933="","",IFERROR(MID($H2933&amp;" ",FIND("|",SUBSTITUTE($H2933&amp;" "," ","|",3))+1,FIND("|",SUBSTITUTE($H2933&amp;" "," ","|",4))-FIND("|",SUBSTITUTE($H2933&amp;" "," ","|",3))-1),""))</f>
        <v/>
      </c>
      <c r="F2933" s="59">
        <f>IF($H2933="","",IFERROR(VALUE(IFERROR(MID($H2933&amp;" ",FIND("|",SUBSTITUTE($H2933&amp;" "," ","|",4))+1,FIND("|",SUBSTITUTE($H2933&amp;" "," ","|",5))-FIND("|",SUBSTITUTE($H2933&amp;" "," ","|",4))-1),""))/86400+25569+9/24,""))</f>
        <v/>
      </c>
      <c r="G2933" s="58">
        <f>TRIM(SUBSTITUTE(SUBSTITUTE(SUBSTITUTE($A2933,CHAR(9)," ")," "," "),CHAR(13),""))</f>
        <v/>
      </c>
      <c r="H2933" s="58">
        <f>IF($G2933="","",IF(ISNUMBER(FIND(" ",$G2933)),$G2933,IFERROR(IF((LEN(SUBSTITUTE(SUBSTITUTE($G2933,"-"," ",LEN($G2933)-LEN(SUBSTITUTE($G2933,"-",""))),"-"," ",LEN($G2933)-LEN(SUBSTITUTE($G2933,"-",""))-1))-LEN(SUBSTITUTE(SUBSTITUTE(SUBSTITUTE($G2933,"-"," ",LEN($G2933)-LEN(SUBSTITUTE($G2933,"-",""))),"-"," ",LEN($G2933)-LEN(SUBSTITUTE($G2933,"-",""))-1),".","")))=0,SUBSTITUTE(SUBSTITUTE($G2933,"-"," ",LEN($G2933)-LEN(SUBSTITUTE($G2933,"-",""))),"-"," ",LEN($G2933)-LEN(SUBSTITUTE($G2933,"-",""))-1),SUBSTITUTE(SUBSTITUTE(SUBSTITUTE($G2933,"-"," ",LEN($G2933)-LEN(SUBSTITUTE($G2933,"-",""))),"-"," ",LEN($G2933)-LEN(SUBSTITUTE($G2933,"-",""))-1),"."," ",(LEN(SUBSTITUTE(SUBSTITUTE($G2933,"-"," ",LEN($G2933)-LEN(SUBSTITUTE($G2933,"-",""))),"-"," ",LEN($G2933)-LEN(SUBSTITUTE($G2933,"-",""))-1))-LEN(SUBSTITUTE(SUBSTITUTE(SUBSTITUTE($G2933,"-"," ",LEN($G2933)-LEN(SUBSTITUTE($G2933,"-",""))),"-"," ",LEN($G2933)-LEN(SUBSTITUTE($G2933,"-",""))-1),".",""))))),$G2933)))</f>
        <v/>
      </c>
    </row>
    <row r="2934">
      <c r="A2934" s="58" t="n"/>
      <c r="B2934" s="58">
        <f>IF($H2934="","",LEFT($H2934,FIND(" ",$H2934&amp;" ")-1))</f>
        <v/>
      </c>
      <c r="C2934" s="58">
        <f>IF($H2934="","",IFERROR(MID($H2934&amp;" ",FIND("|",SUBSTITUTE($H2934&amp;" "," ","|",1))+1,FIND("|",SUBSTITUTE($H2934&amp;" "," ","|",2))-FIND("|",SUBSTITUTE($H2934&amp;" "," ","|",1))-1),""))</f>
        <v/>
      </c>
      <c r="D2934" s="58">
        <f>IF($H2934="","",IFERROR(MID($H2934&amp;" ",FIND("|",SUBSTITUTE($H2934&amp;" "," ","|",2))+1,FIND("|",SUBSTITUTE($H2934&amp;" "," ","|",3))-FIND("|",SUBSTITUTE($H2934&amp;" "," ","|",2))-1),""))</f>
        <v/>
      </c>
      <c r="E2934" s="58">
        <f>IF($H2934="","",IFERROR(MID($H2934&amp;" ",FIND("|",SUBSTITUTE($H2934&amp;" "," ","|",3))+1,FIND("|",SUBSTITUTE($H2934&amp;" "," ","|",4))-FIND("|",SUBSTITUTE($H2934&amp;" "," ","|",3))-1),""))</f>
        <v/>
      </c>
      <c r="F2934" s="59">
        <f>IF($H2934="","",IFERROR(VALUE(IFERROR(MID($H2934&amp;" ",FIND("|",SUBSTITUTE($H2934&amp;" "," ","|",4))+1,FIND("|",SUBSTITUTE($H2934&amp;" "," ","|",5))-FIND("|",SUBSTITUTE($H2934&amp;" "," ","|",4))-1),""))/86400+25569+9/24,""))</f>
        <v/>
      </c>
      <c r="G2934" s="58">
        <f>TRIM(SUBSTITUTE(SUBSTITUTE(SUBSTITUTE($A2934,CHAR(9)," ")," "," "),CHAR(13),""))</f>
        <v/>
      </c>
      <c r="H2934" s="58">
        <f>IF($G2934="","",IF(ISNUMBER(FIND(" ",$G2934)),$G2934,IFERROR(IF((LEN(SUBSTITUTE(SUBSTITUTE($G2934,"-"," ",LEN($G2934)-LEN(SUBSTITUTE($G2934,"-",""))),"-"," ",LEN($G2934)-LEN(SUBSTITUTE($G2934,"-",""))-1))-LEN(SUBSTITUTE(SUBSTITUTE(SUBSTITUTE($G2934,"-"," ",LEN($G2934)-LEN(SUBSTITUTE($G2934,"-",""))),"-"," ",LEN($G2934)-LEN(SUBSTITUTE($G2934,"-",""))-1),".","")))=0,SUBSTITUTE(SUBSTITUTE($G2934,"-"," ",LEN($G2934)-LEN(SUBSTITUTE($G2934,"-",""))),"-"," ",LEN($G2934)-LEN(SUBSTITUTE($G2934,"-",""))-1),SUBSTITUTE(SUBSTITUTE(SUBSTITUTE($G2934,"-"," ",LEN($G2934)-LEN(SUBSTITUTE($G2934,"-",""))),"-"," ",LEN($G2934)-LEN(SUBSTITUTE($G2934,"-",""))-1),"."," ",(LEN(SUBSTITUTE(SUBSTITUTE($G2934,"-"," ",LEN($G2934)-LEN(SUBSTITUTE($G2934,"-",""))),"-"," ",LEN($G2934)-LEN(SUBSTITUTE($G2934,"-",""))-1))-LEN(SUBSTITUTE(SUBSTITUTE(SUBSTITUTE($G2934,"-"," ",LEN($G2934)-LEN(SUBSTITUTE($G2934,"-",""))),"-"," ",LEN($G2934)-LEN(SUBSTITUTE($G2934,"-",""))-1),".",""))))),$G2934)))</f>
        <v/>
      </c>
    </row>
    <row r="2935">
      <c r="A2935" s="58" t="n"/>
      <c r="B2935" s="58">
        <f>IF($H2935="","",LEFT($H2935,FIND(" ",$H2935&amp;" ")-1))</f>
        <v/>
      </c>
      <c r="C2935" s="58">
        <f>IF($H2935="","",IFERROR(MID($H2935&amp;" ",FIND("|",SUBSTITUTE($H2935&amp;" "," ","|",1))+1,FIND("|",SUBSTITUTE($H2935&amp;" "," ","|",2))-FIND("|",SUBSTITUTE($H2935&amp;" "," ","|",1))-1),""))</f>
        <v/>
      </c>
      <c r="D2935" s="58">
        <f>IF($H2935="","",IFERROR(MID($H2935&amp;" ",FIND("|",SUBSTITUTE($H2935&amp;" "," ","|",2))+1,FIND("|",SUBSTITUTE($H2935&amp;" "," ","|",3))-FIND("|",SUBSTITUTE($H2935&amp;" "," ","|",2))-1),""))</f>
        <v/>
      </c>
      <c r="E2935" s="58">
        <f>IF($H2935="","",IFERROR(MID($H2935&amp;" ",FIND("|",SUBSTITUTE($H2935&amp;" "," ","|",3))+1,FIND("|",SUBSTITUTE($H2935&amp;" "," ","|",4))-FIND("|",SUBSTITUTE($H2935&amp;" "," ","|",3))-1),""))</f>
        <v/>
      </c>
      <c r="F2935" s="59">
        <f>IF($H2935="","",IFERROR(VALUE(IFERROR(MID($H2935&amp;" ",FIND("|",SUBSTITUTE($H2935&amp;" "," ","|",4))+1,FIND("|",SUBSTITUTE($H2935&amp;" "," ","|",5))-FIND("|",SUBSTITUTE($H2935&amp;" "," ","|",4))-1),""))/86400+25569+9/24,""))</f>
        <v/>
      </c>
      <c r="G2935" s="58">
        <f>TRIM(SUBSTITUTE(SUBSTITUTE(SUBSTITUTE($A2935,CHAR(9)," ")," "," "),CHAR(13),""))</f>
        <v/>
      </c>
      <c r="H2935" s="58">
        <f>IF($G2935="","",IF(ISNUMBER(FIND(" ",$G2935)),$G2935,IFERROR(IF((LEN(SUBSTITUTE(SUBSTITUTE($G2935,"-"," ",LEN($G2935)-LEN(SUBSTITUTE($G2935,"-",""))),"-"," ",LEN($G2935)-LEN(SUBSTITUTE($G2935,"-",""))-1))-LEN(SUBSTITUTE(SUBSTITUTE(SUBSTITUTE($G2935,"-"," ",LEN($G2935)-LEN(SUBSTITUTE($G2935,"-",""))),"-"," ",LEN($G2935)-LEN(SUBSTITUTE($G2935,"-",""))-1),".","")))=0,SUBSTITUTE(SUBSTITUTE($G2935,"-"," ",LEN($G2935)-LEN(SUBSTITUTE($G2935,"-",""))),"-"," ",LEN($G2935)-LEN(SUBSTITUTE($G2935,"-",""))-1),SUBSTITUTE(SUBSTITUTE(SUBSTITUTE($G2935,"-"," ",LEN($G2935)-LEN(SUBSTITUTE($G2935,"-",""))),"-"," ",LEN($G2935)-LEN(SUBSTITUTE($G2935,"-",""))-1),"."," ",(LEN(SUBSTITUTE(SUBSTITUTE($G2935,"-"," ",LEN($G2935)-LEN(SUBSTITUTE($G2935,"-",""))),"-"," ",LEN($G2935)-LEN(SUBSTITUTE($G2935,"-",""))-1))-LEN(SUBSTITUTE(SUBSTITUTE(SUBSTITUTE($G2935,"-"," ",LEN($G2935)-LEN(SUBSTITUTE($G2935,"-",""))),"-"," ",LEN($G2935)-LEN(SUBSTITUTE($G2935,"-",""))-1),".",""))))),$G2935)))</f>
        <v/>
      </c>
    </row>
    <row r="2936">
      <c r="A2936" s="58" t="n"/>
      <c r="B2936" s="58">
        <f>IF($H2936="","",LEFT($H2936,FIND(" ",$H2936&amp;" ")-1))</f>
        <v/>
      </c>
      <c r="C2936" s="58">
        <f>IF($H2936="","",IFERROR(MID($H2936&amp;" ",FIND("|",SUBSTITUTE($H2936&amp;" "," ","|",1))+1,FIND("|",SUBSTITUTE($H2936&amp;" "," ","|",2))-FIND("|",SUBSTITUTE($H2936&amp;" "," ","|",1))-1),""))</f>
        <v/>
      </c>
      <c r="D2936" s="58">
        <f>IF($H2936="","",IFERROR(MID($H2936&amp;" ",FIND("|",SUBSTITUTE($H2936&amp;" "," ","|",2))+1,FIND("|",SUBSTITUTE($H2936&amp;" "," ","|",3))-FIND("|",SUBSTITUTE($H2936&amp;" "," ","|",2))-1),""))</f>
        <v/>
      </c>
      <c r="E2936" s="58">
        <f>IF($H2936="","",IFERROR(MID($H2936&amp;" ",FIND("|",SUBSTITUTE($H2936&amp;" "," ","|",3))+1,FIND("|",SUBSTITUTE($H2936&amp;" "," ","|",4))-FIND("|",SUBSTITUTE($H2936&amp;" "," ","|",3))-1),""))</f>
        <v/>
      </c>
      <c r="F2936" s="59">
        <f>IF($H2936="","",IFERROR(VALUE(IFERROR(MID($H2936&amp;" ",FIND("|",SUBSTITUTE($H2936&amp;" "," ","|",4))+1,FIND("|",SUBSTITUTE($H2936&amp;" "," ","|",5))-FIND("|",SUBSTITUTE($H2936&amp;" "," ","|",4))-1),""))/86400+25569+9/24,""))</f>
        <v/>
      </c>
      <c r="G2936" s="58">
        <f>TRIM(SUBSTITUTE(SUBSTITUTE(SUBSTITUTE($A2936,CHAR(9)," ")," "," "),CHAR(13),""))</f>
        <v/>
      </c>
      <c r="H2936" s="58">
        <f>IF($G2936="","",IF(ISNUMBER(FIND(" ",$G2936)),$G2936,IFERROR(IF((LEN(SUBSTITUTE(SUBSTITUTE($G2936,"-"," ",LEN($G2936)-LEN(SUBSTITUTE($G2936,"-",""))),"-"," ",LEN($G2936)-LEN(SUBSTITUTE($G2936,"-",""))-1))-LEN(SUBSTITUTE(SUBSTITUTE(SUBSTITUTE($G2936,"-"," ",LEN($G2936)-LEN(SUBSTITUTE($G2936,"-",""))),"-"," ",LEN($G2936)-LEN(SUBSTITUTE($G2936,"-",""))-1),".","")))=0,SUBSTITUTE(SUBSTITUTE($G2936,"-"," ",LEN($G2936)-LEN(SUBSTITUTE($G2936,"-",""))),"-"," ",LEN($G2936)-LEN(SUBSTITUTE($G2936,"-",""))-1),SUBSTITUTE(SUBSTITUTE(SUBSTITUTE($G2936,"-"," ",LEN($G2936)-LEN(SUBSTITUTE($G2936,"-",""))),"-"," ",LEN($G2936)-LEN(SUBSTITUTE($G2936,"-",""))-1),"."," ",(LEN(SUBSTITUTE(SUBSTITUTE($G2936,"-"," ",LEN($G2936)-LEN(SUBSTITUTE($G2936,"-",""))),"-"," ",LEN($G2936)-LEN(SUBSTITUTE($G2936,"-",""))-1))-LEN(SUBSTITUTE(SUBSTITUTE(SUBSTITUTE($G2936,"-"," ",LEN($G2936)-LEN(SUBSTITUTE($G2936,"-",""))),"-"," ",LEN($G2936)-LEN(SUBSTITUTE($G2936,"-",""))-1),".",""))))),$G2936)))</f>
        <v/>
      </c>
    </row>
    <row r="2937">
      <c r="A2937" s="58" t="n"/>
      <c r="B2937" s="58">
        <f>IF($H2937="","",LEFT($H2937,FIND(" ",$H2937&amp;" ")-1))</f>
        <v/>
      </c>
      <c r="C2937" s="58">
        <f>IF($H2937="","",IFERROR(MID($H2937&amp;" ",FIND("|",SUBSTITUTE($H2937&amp;" "," ","|",1))+1,FIND("|",SUBSTITUTE($H2937&amp;" "," ","|",2))-FIND("|",SUBSTITUTE($H2937&amp;" "," ","|",1))-1),""))</f>
        <v/>
      </c>
      <c r="D2937" s="58">
        <f>IF($H2937="","",IFERROR(MID($H2937&amp;" ",FIND("|",SUBSTITUTE($H2937&amp;" "," ","|",2))+1,FIND("|",SUBSTITUTE($H2937&amp;" "," ","|",3))-FIND("|",SUBSTITUTE($H2937&amp;" "," ","|",2))-1),""))</f>
        <v/>
      </c>
      <c r="E2937" s="58">
        <f>IF($H2937="","",IFERROR(MID($H2937&amp;" ",FIND("|",SUBSTITUTE($H2937&amp;" "," ","|",3))+1,FIND("|",SUBSTITUTE($H2937&amp;" "," ","|",4))-FIND("|",SUBSTITUTE($H2937&amp;" "," ","|",3))-1),""))</f>
        <v/>
      </c>
      <c r="F2937" s="59">
        <f>IF($H2937="","",IFERROR(VALUE(IFERROR(MID($H2937&amp;" ",FIND("|",SUBSTITUTE($H2937&amp;" "," ","|",4))+1,FIND("|",SUBSTITUTE($H2937&amp;" "," ","|",5))-FIND("|",SUBSTITUTE($H2937&amp;" "," ","|",4))-1),""))/86400+25569+9/24,""))</f>
        <v/>
      </c>
      <c r="G2937" s="58">
        <f>TRIM(SUBSTITUTE(SUBSTITUTE(SUBSTITUTE($A2937,CHAR(9)," ")," "," "),CHAR(13),""))</f>
        <v/>
      </c>
      <c r="H2937" s="58">
        <f>IF($G2937="","",IF(ISNUMBER(FIND(" ",$G2937)),$G2937,IFERROR(IF((LEN(SUBSTITUTE(SUBSTITUTE($G2937,"-"," ",LEN($G2937)-LEN(SUBSTITUTE($G2937,"-",""))),"-"," ",LEN($G2937)-LEN(SUBSTITUTE($G2937,"-",""))-1))-LEN(SUBSTITUTE(SUBSTITUTE(SUBSTITUTE($G2937,"-"," ",LEN($G2937)-LEN(SUBSTITUTE($G2937,"-",""))),"-"," ",LEN($G2937)-LEN(SUBSTITUTE($G2937,"-",""))-1),".","")))=0,SUBSTITUTE(SUBSTITUTE($G2937,"-"," ",LEN($G2937)-LEN(SUBSTITUTE($G2937,"-",""))),"-"," ",LEN($G2937)-LEN(SUBSTITUTE($G2937,"-",""))-1),SUBSTITUTE(SUBSTITUTE(SUBSTITUTE($G2937,"-"," ",LEN($G2937)-LEN(SUBSTITUTE($G2937,"-",""))),"-"," ",LEN($G2937)-LEN(SUBSTITUTE($G2937,"-",""))-1),"."," ",(LEN(SUBSTITUTE(SUBSTITUTE($G2937,"-"," ",LEN($G2937)-LEN(SUBSTITUTE($G2937,"-",""))),"-"," ",LEN($G2937)-LEN(SUBSTITUTE($G2937,"-",""))-1))-LEN(SUBSTITUTE(SUBSTITUTE(SUBSTITUTE($G2937,"-"," ",LEN($G2937)-LEN(SUBSTITUTE($G2937,"-",""))),"-"," ",LEN($G2937)-LEN(SUBSTITUTE($G2937,"-",""))-1),".",""))))),$G2937)))</f>
        <v/>
      </c>
    </row>
    <row r="2938">
      <c r="A2938" s="58" t="n"/>
      <c r="B2938" s="58">
        <f>IF($H2938="","",LEFT($H2938,FIND(" ",$H2938&amp;" ")-1))</f>
        <v/>
      </c>
      <c r="C2938" s="58">
        <f>IF($H2938="","",IFERROR(MID($H2938&amp;" ",FIND("|",SUBSTITUTE($H2938&amp;" "," ","|",1))+1,FIND("|",SUBSTITUTE($H2938&amp;" "," ","|",2))-FIND("|",SUBSTITUTE($H2938&amp;" "," ","|",1))-1),""))</f>
        <v/>
      </c>
      <c r="D2938" s="58">
        <f>IF($H2938="","",IFERROR(MID($H2938&amp;" ",FIND("|",SUBSTITUTE($H2938&amp;" "," ","|",2))+1,FIND("|",SUBSTITUTE($H2938&amp;" "," ","|",3))-FIND("|",SUBSTITUTE($H2938&amp;" "," ","|",2))-1),""))</f>
        <v/>
      </c>
      <c r="E2938" s="58">
        <f>IF($H2938="","",IFERROR(MID($H2938&amp;" ",FIND("|",SUBSTITUTE($H2938&amp;" "," ","|",3))+1,FIND("|",SUBSTITUTE($H2938&amp;" "," ","|",4))-FIND("|",SUBSTITUTE($H2938&amp;" "," ","|",3))-1),""))</f>
        <v/>
      </c>
      <c r="F2938" s="59">
        <f>IF($H2938="","",IFERROR(VALUE(IFERROR(MID($H2938&amp;" ",FIND("|",SUBSTITUTE($H2938&amp;" "," ","|",4))+1,FIND("|",SUBSTITUTE($H2938&amp;" "," ","|",5))-FIND("|",SUBSTITUTE($H2938&amp;" "," ","|",4))-1),""))/86400+25569+9/24,""))</f>
        <v/>
      </c>
      <c r="G2938" s="58">
        <f>TRIM(SUBSTITUTE(SUBSTITUTE(SUBSTITUTE($A2938,CHAR(9)," ")," "," "),CHAR(13),""))</f>
        <v/>
      </c>
      <c r="H2938" s="58">
        <f>IF($G2938="","",IF(ISNUMBER(FIND(" ",$G2938)),$G2938,IFERROR(IF((LEN(SUBSTITUTE(SUBSTITUTE($G2938,"-"," ",LEN($G2938)-LEN(SUBSTITUTE($G2938,"-",""))),"-"," ",LEN($G2938)-LEN(SUBSTITUTE($G2938,"-",""))-1))-LEN(SUBSTITUTE(SUBSTITUTE(SUBSTITUTE($G2938,"-"," ",LEN($G2938)-LEN(SUBSTITUTE($G2938,"-",""))),"-"," ",LEN($G2938)-LEN(SUBSTITUTE($G2938,"-",""))-1),".","")))=0,SUBSTITUTE(SUBSTITUTE($G2938,"-"," ",LEN($G2938)-LEN(SUBSTITUTE($G2938,"-",""))),"-"," ",LEN($G2938)-LEN(SUBSTITUTE($G2938,"-",""))-1),SUBSTITUTE(SUBSTITUTE(SUBSTITUTE($G2938,"-"," ",LEN($G2938)-LEN(SUBSTITUTE($G2938,"-",""))),"-"," ",LEN($G2938)-LEN(SUBSTITUTE($G2938,"-",""))-1),"."," ",(LEN(SUBSTITUTE(SUBSTITUTE($G2938,"-"," ",LEN($G2938)-LEN(SUBSTITUTE($G2938,"-",""))),"-"," ",LEN($G2938)-LEN(SUBSTITUTE($G2938,"-",""))-1))-LEN(SUBSTITUTE(SUBSTITUTE(SUBSTITUTE($G2938,"-"," ",LEN($G2938)-LEN(SUBSTITUTE($G2938,"-",""))),"-"," ",LEN($G2938)-LEN(SUBSTITUTE($G2938,"-",""))-1),".",""))))),$G2938)))</f>
        <v/>
      </c>
    </row>
    <row r="2939">
      <c r="A2939" s="58" t="n"/>
      <c r="B2939" s="58">
        <f>IF($H2939="","",LEFT($H2939,FIND(" ",$H2939&amp;" ")-1))</f>
        <v/>
      </c>
      <c r="C2939" s="58">
        <f>IF($H2939="","",IFERROR(MID($H2939&amp;" ",FIND("|",SUBSTITUTE($H2939&amp;" "," ","|",1))+1,FIND("|",SUBSTITUTE($H2939&amp;" "," ","|",2))-FIND("|",SUBSTITUTE($H2939&amp;" "," ","|",1))-1),""))</f>
        <v/>
      </c>
      <c r="D2939" s="58">
        <f>IF($H2939="","",IFERROR(MID($H2939&amp;" ",FIND("|",SUBSTITUTE($H2939&amp;" "," ","|",2))+1,FIND("|",SUBSTITUTE($H2939&amp;" "," ","|",3))-FIND("|",SUBSTITUTE($H2939&amp;" "," ","|",2))-1),""))</f>
        <v/>
      </c>
      <c r="E2939" s="58">
        <f>IF($H2939="","",IFERROR(MID($H2939&amp;" ",FIND("|",SUBSTITUTE($H2939&amp;" "," ","|",3))+1,FIND("|",SUBSTITUTE($H2939&amp;" "," ","|",4))-FIND("|",SUBSTITUTE($H2939&amp;" "," ","|",3))-1),""))</f>
        <v/>
      </c>
      <c r="F2939" s="59">
        <f>IF($H2939="","",IFERROR(VALUE(IFERROR(MID($H2939&amp;" ",FIND("|",SUBSTITUTE($H2939&amp;" "," ","|",4))+1,FIND("|",SUBSTITUTE($H2939&amp;" "," ","|",5))-FIND("|",SUBSTITUTE($H2939&amp;" "," ","|",4))-1),""))/86400+25569+9/24,""))</f>
        <v/>
      </c>
      <c r="G2939" s="58">
        <f>TRIM(SUBSTITUTE(SUBSTITUTE(SUBSTITUTE($A2939,CHAR(9)," ")," "," "),CHAR(13),""))</f>
        <v/>
      </c>
      <c r="H2939" s="58">
        <f>IF($G2939="","",IF(ISNUMBER(FIND(" ",$G2939)),$G2939,IFERROR(IF((LEN(SUBSTITUTE(SUBSTITUTE($G2939,"-"," ",LEN($G2939)-LEN(SUBSTITUTE($G2939,"-",""))),"-"," ",LEN($G2939)-LEN(SUBSTITUTE($G2939,"-",""))-1))-LEN(SUBSTITUTE(SUBSTITUTE(SUBSTITUTE($G2939,"-"," ",LEN($G2939)-LEN(SUBSTITUTE($G2939,"-",""))),"-"," ",LEN($G2939)-LEN(SUBSTITUTE($G2939,"-",""))-1),".","")))=0,SUBSTITUTE(SUBSTITUTE($G2939,"-"," ",LEN($G2939)-LEN(SUBSTITUTE($G2939,"-",""))),"-"," ",LEN($G2939)-LEN(SUBSTITUTE($G2939,"-",""))-1),SUBSTITUTE(SUBSTITUTE(SUBSTITUTE($G2939,"-"," ",LEN($G2939)-LEN(SUBSTITUTE($G2939,"-",""))),"-"," ",LEN($G2939)-LEN(SUBSTITUTE($G2939,"-",""))-1),"."," ",(LEN(SUBSTITUTE(SUBSTITUTE($G2939,"-"," ",LEN($G2939)-LEN(SUBSTITUTE($G2939,"-",""))),"-"," ",LEN($G2939)-LEN(SUBSTITUTE($G2939,"-",""))-1))-LEN(SUBSTITUTE(SUBSTITUTE(SUBSTITUTE($G2939,"-"," ",LEN($G2939)-LEN(SUBSTITUTE($G2939,"-",""))),"-"," ",LEN($G2939)-LEN(SUBSTITUTE($G2939,"-",""))-1),".",""))))),$G2939)))</f>
        <v/>
      </c>
    </row>
    <row r="2940">
      <c r="A2940" s="58" t="n"/>
      <c r="B2940" s="58">
        <f>IF($H2940="","",LEFT($H2940,FIND(" ",$H2940&amp;" ")-1))</f>
        <v/>
      </c>
      <c r="C2940" s="58">
        <f>IF($H2940="","",IFERROR(MID($H2940&amp;" ",FIND("|",SUBSTITUTE($H2940&amp;" "," ","|",1))+1,FIND("|",SUBSTITUTE($H2940&amp;" "," ","|",2))-FIND("|",SUBSTITUTE($H2940&amp;" "," ","|",1))-1),""))</f>
        <v/>
      </c>
      <c r="D2940" s="58">
        <f>IF($H2940="","",IFERROR(MID($H2940&amp;" ",FIND("|",SUBSTITUTE($H2940&amp;" "," ","|",2))+1,FIND("|",SUBSTITUTE($H2940&amp;" "," ","|",3))-FIND("|",SUBSTITUTE($H2940&amp;" "," ","|",2))-1),""))</f>
        <v/>
      </c>
      <c r="E2940" s="58">
        <f>IF($H2940="","",IFERROR(MID($H2940&amp;" ",FIND("|",SUBSTITUTE($H2940&amp;" "," ","|",3))+1,FIND("|",SUBSTITUTE($H2940&amp;" "," ","|",4))-FIND("|",SUBSTITUTE($H2940&amp;" "," ","|",3))-1),""))</f>
        <v/>
      </c>
      <c r="F2940" s="59">
        <f>IF($H2940="","",IFERROR(VALUE(IFERROR(MID($H2940&amp;" ",FIND("|",SUBSTITUTE($H2940&amp;" "," ","|",4))+1,FIND("|",SUBSTITUTE($H2940&amp;" "," ","|",5))-FIND("|",SUBSTITUTE($H2940&amp;" "," ","|",4))-1),""))/86400+25569+9/24,""))</f>
        <v/>
      </c>
      <c r="G2940" s="58">
        <f>TRIM(SUBSTITUTE(SUBSTITUTE(SUBSTITUTE($A2940,CHAR(9)," ")," "," "),CHAR(13),""))</f>
        <v/>
      </c>
      <c r="H2940" s="58">
        <f>IF($G2940="","",IF(ISNUMBER(FIND(" ",$G2940)),$G2940,IFERROR(IF((LEN(SUBSTITUTE(SUBSTITUTE($G2940,"-"," ",LEN($G2940)-LEN(SUBSTITUTE($G2940,"-",""))),"-"," ",LEN($G2940)-LEN(SUBSTITUTE($G2940,"-",""))-1))-LEN(SUBSTITUTE(SUBSTITUTE(SUBSTITUTE($G2940,"-"," ",LEN($G2940)-LEN(SUBSTITUTE($G2940,"-",""))),"-"," ",LEN($G2940)-LEN(SUBSTITUTE($G2940,"-",""))-1),".","")))=0,SUBSTITUTE(SUBSTITUTE($G2940,"-"," ",LEN($G2940)-LEN(SUBSTITUTE($G2940,"-",""))),"-"," ",LEN($G2940)-LEN(SUBSTITUTE($G2940,"-",""))-1),SUBSTITUTE(SUBSTITUTE(SUBSTITUTE($G2940,"-"," ",LEN($G2940)-LEN(SUBSTITUTE($G2940,"-",""))),"-"," ",LEN($G2940)-LEN(SUBSTITUTE($G2940,"-",""))-1),"."," ",(LEN(SUBSTITUTE(SUBSTITUTE($G2940,"-"," ",LEN($G2940)-LEN(SUBSTITUTE($G2940,"-",""))),"-"," ",LEN($G2940)-LEN(SUBSTITUTE($G2940,"-",""))-1))-LEN(SUBSTITUTE(SUBSTITUTE(SUBSTITUTE($G2940,"-"," ",LEN($G2940)-LEN(SUBSTITUTE($G2940,"-",""))),"-"," ",LEN($G2940)-LEN(SUBSTITUTE($G2940,"-",""))-1),".",""))))),$G2940)))</f>
        <v/>
      </c>
    </row>
    <row r="2941">
      <c r="A2941" s="58" t="n"/>
      <c r="B2941" s="58">
        <f>IF($H2941="","",LEFT($H2941,FIND(" ",$H2941&amp;" ")-1))</f>
        <v/>
      </c>
      <c r="C2941" s="58">
        <f>IF($H2941="","",IFERROR(MID($H2941&amp;" ",FIND("|",SUBSTITUTE($H2941&amp;" "," ","|",1))+1,FIND("|",SUBSTITUTE($H2941&amp;" "," ","|",2))-FIND("|",SUBSTITUTE($H2941&amp;" "," ","|",1))-1),""))</f>
        <v/>
      </c>
      <c r="D2941" s="58">
        <f>IF($H2941="","",IFERROR(MID($H2941&amp;" ",FIND("|",SUBSTITUTE($H2941&amp;" "," ","|",2))+1,FIND("|",SUBSTITUTE($H2941&amp;" "," ","|",3))-FIND("|",SUBSTITUTE($H2941&amp;" "," ","|",2))-1),""))</f>
        <v/>
      </c>
      <c r="E2941" s="58">
        <f>IF($H2941="","",IFERROR(MID($H2941&amp;" ",FIND("|",SUBSTITUTE($H2941&amp;" "," ","|",3))+1,FIND("|",SUBSTITUTE($H2941&amp;" "," ","|",4))-FIND("|",SUBSTITUTE($H2941&amp;" "," ","|",3))-1),""))</f>
        <v/>
      </c>
      <c r="F2941" s="59">
        <f>IF($H2941="","",IFERROR(VALUE(IFERROR(MID($H2941&amp;" ",FIND("|",SUBSTITUTE($H2941&amp;" "," ","|",4))+1,FIND("|",SUBSTITUTE($H2941&amp;" "," ","|",5))-FIND("|",SUBSTITUTE($H2941&amp;" "," ","|",4))-1),""))/86400+25569+9/24,""))</f>
        <v/>
      </c>
      <c r="G2941" s="58">
        <f>TRIM(SUBSTITUTE(SUBSTITUTE(SUBSTITUTE($A2941,CHAR(9)," ")," "," "),CHAR(13),""))</f>
        <v/>
      </c>
      <c r="H2941" s="58">
        <f>IF($G2941="","",IF(ISNUMBER(FIND(" ",$G2941)),$G2941,IFERROR(IF((LEN(SUBSTITUTE(SUBSTITUTE($G2941,"-"," ",LEN($G2941)-LEN(SUBSTITUTE($G2941,"-",""))),"-"," ",LEN($G2941)-LEN(SUBSTITUTE($G2941,"-",""))-1))-LEN(SUBSTITUTE(SUBSTITUTE(SUBSTITUTE($G2941,"-"," ",LEN($G2941)-LEN(SUBSTITUTE($G2941,"-",""))),"-"," ",LEN($G2941)-LEN(SUBSTITUTE($G2941,"-",""))-1),".","")))=0,SUBSTITUTE(SUBSTITUTE($G2941,"-"," ",LEN($G2941)-LEN(SUBSTITUTE($G2941,"-",""))),"-"," ",LEN($G2941)-LEN(SUBSTITUTE($G2941,"-",""))-1),SUBSTITUTE(SUBSTITUTE(SUBSTITUTE($G2941,"-"," ",LEN($G2941)-LEN(SUBSTITUTE($G2941,"-",""))),"-"," ",LEN($G2941)-LEN(SUBSTITUTE($G2941,"-",""))-1),"."," ",(LEN(SUBSTITUTE(SUBSTITUTE($G2941,"-"," ",LEN($G2941)-LEN(SUBSTITUTE($G2941,"-",""))),"-"," ",LEN($G2941)-LEN(SUBSTITUTE($G2941,"-",""))-1))-LEN(SUBSTITUTE(SUBSTITUTE(SUBSTITUTE($G2941,"-"," ",LEN($G2941)-LEN(SUBSTITUTE($G2941,"-",""))),"-"," ",LEN($G2941)-LEN(SUBSTITUTE($G2941,"-",""))-1),".",""))))),$G2941)))</f>
        <v/>
      </c>
    </row>
    <row r="2942">
      <c r="A2942" s="58" t="n"/>
      <c r="B2942" s="58">
        <f>IF($H2942="","",LEFT($H2942,FIND(" ",$H2942&amp;" ")-1))</f>
        <v/>
      </c>
      <c r="C2942" s="58">
        <f>IF($H2942="","",IFERROR(MID($H2942&amp;" ",FIND("|",SUBSTITUTE($H2942&amp;" "," ","|",1))+1,FIND("|",SUBSTITUTE($H2942&amp;" "," ","|",2))-FIND("|",SUBSTITUTE($H2942&amp;" "," ","|",1))-1),""))</f>
        <v/>
      </c>
      <c r="D2942" s="58">
        <f>IF($H2942="","",IFERROR(MID($H2942&amp;" ",FIND("|",SUBSTITUTE($H2942&amp;" "," ","|",2))+1,FIND("|",SUBSTITUTE($H2942&amp;" "," ","|",3))-FIND("|",SUBSTITUTE($H2942&amp;" "," ","|",2))-1),""))</f>
        <v/>
      </c>
      <c r="E2942" s="58">
        <f>IF($H2942="","",IFERROR(MID($H2942&amp;" ",FIND("|",SUBSTITUTE($H2942&amp;" "," ","|",3))+1,FIND("|",SUBSTITUTE($H2942&amp;" "," ","|",4))-FIND("|",SUBSTITUTE($H2942&amp;" "," ","|",3))-1),""))</f>
        <v/>
      </c>
      <c r="F2942" s="59">
        <f>IF($H2942="","",IFERROR(VALUE(IFERROR(MID($H2942&amp;" ",FIND("|",SUBSTITUTE($H2942&amp;" "," ","|",4))+1,FIND("|",SUBSTITUTE($H2942&amp;" "," ","|",5))-FIND("|",SUBSTITUTE($H2942&amp;" "," ","|",4))-1),""))/86400+25569+9/24,""))</f>
        <v/>
      </c>
      <c r="G2942" s="58">
        <f>TRIM(SUBSTITUTE(SUBSTITUTE(SUBSTITUTE($A2942,CHAR(9)," ")," "," "),CHAR(13),""))</f>
        <v/>
      </c>
      <c r="H2942" s="58">
        <f>IF($G2942="","",IF(ISNUMBER(FIND(" ",$G2942)),$G2942,IFERROR(IF((LEN(SUBSTITUTE(SUBSTITUTE($G2942,"-"," ",LEN($G2942)-LEN(SUBSTITUTE($G2942,"-",""))),"-"," ",LEN($G2942)-LEN(SUBSTITUTE($G2942,"-",""))-1))-LEN(SUBSTITUTE(SUBSTITUTE(SUBSTITUTE($G2942,"-"," ",LEN($G2942)-LEN(SUBSTITUTE($G2942,"-",""))),"-"," ",LEN($G2942)-LEN(SUBSTITUTE($G2942,"-",""))-1),".","")))=0,SUBSTITUTE(SUBSTITUTE($G2942,"-"," ",LEN($G2942)-LEN(SUBSTITUTE($G2942,"-",""))),"-"," ",LEN($G2942)-LEN(SUBSTITUTE($G2942,"-",""))-1),SUBSTITUTE(SUBSTITUTE(SUBSTITUTE($G2942,"-"," ",LEN($G2942)-LEN(SUBSTITUTE($G2942,"-",""))),"-"," ",LEN($G2942)-LEN(SUBSTITUTE($G2942,"-",""))-1),"."," ",(LEN(SUBSTITUTE(SUBSTITUTE($G2942,"-"," ",LEN($G2942)-LEN(SUBSTITUTE($G2942,"-",""))),"-"," ",LEN($G2942)-LEN(SUBSTITUTE($G2942,"-",""))-1))-LEN(SUBSTITUTE(SUBSTITUTE(SUBSTITUTE($G2942,"-"," ",LEN($G2942)-LEN(SUBSTITUTE($G2942,"-",""))),"-"," ",LEN($G2942)-LEN(SUBSTITUTE($G2942,"-",""))-1),".",""))))),$G2942)))</f>
        <v/>
      </c>
    </row>
    <row r="2943">
      <c r="A2943" s="58" t="n"/>
      <c r="B2943" s="58">
        <f>IF($H2943="","",LEFT($H2943,FIND(" ",$H2943&amp;" ")-1))</f>
        <v/>
      </c>
      <c r="C2943" s="58">
        <f>IF($H2943="","",IFERROR(MID($H2943&amp;" ",FIND("|",SUBSTITUTE($H2943&amp;" "," ","|",1))+1,FIND("|",SUBSTITUTE($H2943&amp;" "," ","|",2))-FIND("|",SUBSTITUTE($H2943&amp;" "," ","|",1))-1),""))</f>
        <v/>
      </c>
      <c r="D2943" s="58">
        <f>IF($H2943="","",IFERROR(MID($H2943&amp;" ",FIND("|",SUBSTITUTE($H2943&amp;" "," ","|",2))+1,FIND("|",SUBSTITUTE($H2943&amp;" "," ","|",3))-FIND("|",SUBSTITUTE($H2943&amp;" "," ","|",2))-1),""))</f>
        <v/>
      </c>
      <c r="E2943" s="58">
        <f>IF($H2943="","",IFERROR(MID($H2943&amp;" ",FIND("|",SUBSTITUTE($H2943&amp;" "," ","|",3))+1,FIND("|",SUBSTITUTE($H2943&amp;" "," ","|",4))-FIND("|",SUBSTITUTE($H2943&amp;" "," ","|",3))-1),""))</f>
        <v/>
      </c>
      <c r="F2943" s="59">
        <f>IF($H2943="","",IFERROR(VALUE(IFERROR(MID($H2943&amp;" ",FIND("|",SUBSTITUTE($H2943&amp;" "," ","|",4))+1,FIND("|",SUBSTITUTE($H2943&amp;" "," ","|",5))-FIND("|",SUBSTITUTE($H2943&amp;" "," ","|",4))-1),""))/86400+25569+9/24,""))</f>
        <v/>
      </c>
      <c r="G2943" s="58">
        <f>TRIM(SUBSTITUTE(SUBSTITUTE(SUBSTITUTE($A2943,CHAR(9)," ")," "," "),CHAR(13),""))</f>
        <v/>
      </c>
      <c r="H2943" s="58">
        <f>IF($G2943="","",IF(ISNUMBER(FIND(" ",$G2943)),$G2943,IFERROR(IF((LEN(SUBSTITUTE(SUBSTITUTE($G2943,"-"," ",LEN($G2943)-LEN(SUBSTITUTE($G2943,"-",""))),"-"," ",LEN($G2943)-LEN(SUBSTITUTE($G2943,"-",""))-1))-LEN(SUBSTITUTE(SUBSTITUTE(SUBSTITUTE($G2943,"-"," ",LEN($G2943)-LEN(SUBSTITUTE($G2943,"-",""))),"-"," ",LEN($G2943)-LEN(SUBSTITUTE($G2943,"-",""))-1),".","")))=0,SUBSTITUTE(SUBSTITUTE($G2943,"-"," ",LEN($G2943)-LEN(SUBSTITUTE($G2943,"-",""))),"-"," ",LEN($G2943)-LEN(SUBSTITUTE($G2943,"-",""))-1),SUBSTITUTE(SUBSTITUTE(SUBSTITUTE($G2943,"-"," ",LEN($G2943)-LEN(SUBSTITUTE($G2943,"-",""))),"-"," ",LEN($G2943)-LEN(SUBSTITUTE($G2943,"-",""))-1),"."," ",(LEN(SUBSTITUTE(SUBSTITUTE($G2943,"-"," ",LEN($G2943)-LEN(SUBSTITUTE($G2943,"-",""))),"-"," ",LEN($G2943)-LEN(SUBSTITUTE($G2943,"-",""))-1))-LEN(SUBSTITUTE(SUBSTITUTE(SUBSTITUTE($G2943,"-"," ",LEN($G2943)-LEN(SUBSTITUTE($G2943,"-",""))),"-"," ",LEN($G2943)-LEN(SUBSTITUTE($G2943,"-",""))-1),".",""))))),$G2943)))</f>
        <v/>
      </c>
    </row>
    <row r="2944">
      <c r="A2944" s="58" t="n"/>
      <c r="B2944" s="58">
        <f>IF($H2944="","",LEFT($H2944,FIND(" ",$H2944&amp;" ")-1))</f>
        <v/>
      </c>
      <c r="C2944" s="58">
        <f>IF($H2944="","",IFERROR(MID($H2944&amp;" ",FIND("|",SUBSTITUTE($H2944&amp;" "," ","|",1))+1,FIND("|",SUBSTITUTE($H2944&amp;" "," ","|",2))-FIND("|",SUBSTITUTE($H2944&amp;" "," ","|",1))-1),""))</f>
        <v/>
      </c>
      <c r="D2944" s="58">
        <f>IF($H2944="","",IFERROR(MID($H2944&amp;" ",FIND("|",SUBSTITUTE($H2944&amp;" "," ","|",2))+1,FIND("|",SUBSTITUTE($H2944&amp;" "," ","|",3))-FIND("|",SUBSTITUTE($H2944&amp;" "," ","|",2))-1),""))</f>
        <v/>
      </c>
      <c r="E2944" s="58">
        <f>IF($H2944="","",IFERROR(MID($H2944&amp;" ",FIND("|",SUBSTITUTE($H2944&amp;" "," ","|",3))+1,FIND("|",SUBSTITUTE($H2944&amp;" "," ","|",4))-FIND("|",SUBSTITUTE($H2944&amp;" "," ","|",3))-1),""))</f>
        <v/>
      </c>
      <c r="F2944" s="59">
        <f>IF($H2944="","",IFERROR(VALUE(IFERROR(MID($H2944&amp;" ",FIND("|",SUBSTITUTE($H2944&amp;" "," ","|",4))+1,FIND("|",SUBSTITUTE($H2944&amp;" "," ","|",5))-FIND("|",SUBSTITUTE($H2944&amp;" "," ","|",4))-1),""))/86400+25569+9/24,""))</f>
        <v/>
      </c>
      <c r="G2944" s="58">
        <f>TRIM(SUBSTITUTE(SUBSTITUTE(SUBSTITUTE($A2944,CHAR(9)," ")," "," "),CHAR(13),""))</f>
        <v/>
      </c>
      <c r="H2944" s="58">
        <f>IF($G2944="","",IF(ISNUMBER(FIND(" ",$G2944)),$G2944,IFERROR(IF((LEN(SUBSTITUTE(SUBSTITUTE($G2944,"-"," ",LEN($G2944)-LEN(SUBSTITUTE($G2944,"-",""))),"-"," ",LEN($G2944)-LEN(SUBSTITUTE($G2944,"-",""))-1))-LEN(SUBSTITUTE(SUBSTITUTE(SUBSTITUTE($G2944,"-"," ",LEN($G2944)-LEN(SUBSTITUTE($G2944,"-",""))),"-"," ",LEN($G2944)-LEN(SUBSTITUTE($G2944,"-",""))-1),".","")))=0,SUBSTITUTE(SUBSTITUTE($G2944,"-"," ",LEN($G2944)-LEN(SUBSTITUTE($G2944,"-",""))),"-"," ",LEN($G2944)-LEN(SUBSTITUTE($G2944,"-",""))-1),SUBSTITUTE(SUBSTITUTE(SUBSTITUTE($G2944,"-"," ",LEN($G2944)-LEN(SUBSTITUTE($G2944,"-",""))),"-"," ",LEN($G2944)-LEN(SUBSTITUTE($G2944,"-",""))-1),"."," ",(LEN(SUBSTITUTE(SUBSTITUTE($G2944,"-"," ",LEN($G2944)-LEN(SUBSTITUTE($G2944,"-",""))),"-"," ",LEN($G2944)-LEN(SUBSTITUTE($G2944,"-",""))-1))-LEN(SUBSTITUTE(SUBSTITUTE(SUBSTITUTE($G2944,"-"," ",LEN($G2944)-LEN(SUBSTITUTE($G2944,"-",""))),"-"," ",LEN($G2944)-LEN(SUBSTITUTE($G2944,"-",""))-1),".",""))))),$G2944)))</f>
        <v/>
      </c>
    </row>
    <row r="2945">
      <c r="A2945" s="58" t="n"/>
      <c r="B2945" s="58">
        <f>IF($H2945="","",LEFT($H2945,FIND(" ",$H2945&amp;" ")-1))</f>
        <v/>
      </c>
      <c r="C2945" s="58">
        <f>IF($H2945="","",IFERROR(MID($H2945&amp;" ",FIND("|",SUBSTITUTE($H2945&amp;" "," ","|",1))+1,FIND("|",SUBSTITUTE($H2945&amp;" "," ","|",2))-FIND("|",SUBSTITUTE($H2945&amp;" "," ","|",1))-1),""))</f>
        <v/>
      </c>
      <c r="D2945" s="58">
        <f>IF($H2945="","",IFERROR(MID($H2945&amp;" ",FIND("|",SUBSTITUTE($H2945&amp;" "," ","|",2))+1,FIND("|",SUBSTITUTE($H2945&amp;" "," ","|",3))-FIND("|",SUBSTITUTE($H2945&amp;" "," ","|",2))-1),""))</f>
        <v/>
      </c>
      <c r="E2945" s="58">
        <f>IF($H2945="","",IFERROR(MID($H2945&amp;" ",FIND("|",SUBSTITUTE($H2945&amp;" "," ","|",3))+1,FIND("|",SUBSTITUTE($H2945&amp;" "," ","|",4))-FIND("|",SUBSTITUTE($H2945&amp;" "," ","|",3))-1),""))</f>
        <v/>
      </c>
      <c r="F2945" s="59">
        <f>IF($H2945="","",IFERROR(VALUE(IFERROR(MID($H2945&amp;" ",FIND("|",SUBSTITUTE($H2945&amp;" "," ","|",4))+1,FIND("|",SUBSTITUTE($H2945&amp;" "," ","|",5))-FIND("|",SUBSTITUTE($H2945&amp;" "," ","|",4))-1),""))/86400+25569+9/24,""))</f>
        <v/>
      </c>
      <c r="G2945" s="58">
        <f>TRIM(SUBSTITUTE(SUBSTITUTE(SUBSTITUTE($A2945,CHAR(9)," ")," "," "),CHAR(13),""))</f>
        <v/>
      </c>
      <c r="H2945" s="58">
        <f>IF($G2945="","",IF(ISNUMBER(FIND(" ",$G2945)),$G2945,IFERROR(IF((LEN(SUBSTITUTE(SUBSTITUTE($G2945,"-"," ",LEN($G2945)-LEN(SUBSTITUTE($G2945,"-",""))),"-"," ",LEN($G2945)-LEN(SUBSTITUTE($G2945,"-",""))-1))-LEN(SUBSTITUTE(SUBSTITUTE(SUBSTITUTE($G2945,"-"," ",LEN($G2945)-LEN(SUBSTITUTE($G2945,"-",""))),"-"," ",LEN($G2945)-LEN(SUBSTITUTE($G2945,"-",""))-1),".","")))=0,SUBSTITUTE(SUBSTITUTE($G2945,"-"," ",LEN($G2945)-LEN(SUBSTITUTE($G2945,"-",""))),"-"," ",LEN($G2945)-LEN(SUBSTITUTE($G2945,"-",""))-1),SUBSTITUTE(SUBSTITUTE(SUBSTITUTE($G2945,"-"," ",LEN($G2945)-LEN(SUBSTITUTE($G2945,"-",""))),"-"," ",LEN($G2945)-LEN(SUBSTITUTE($G2945,"-",""))-1),"."," ",(LEN(SUBSTITUTE(SUBSTITUTE($G2945,"-"," ",LEN($G2945)-LEN(SUBSTITUTE($G2945,"-",""))),"-"," ",LEN($G2945)-LEN(SUBSTITUTE($G2945,"-",""))-1))-LEN(SUBSTITUTE(SUBSTITUTE(SUBSTITUTE($G2945,"-"," ",LEN($G2945)-LEN(SUBSTITUTE($G2945,"-",""))),"-"," ",LEN($G2945)-LEN(SUBSTITUTE($G2945,"-",""))-1),".",""))))),$G2945)))</f>
        <v/>
      </c>
    </row>
    <row r="2946">
      <c r="A2946" s="58" t="n"/>
      <c r="B2946" s="58">
        <f>IF($H2946="","",LEFT($H2946,FIND(" ",$H2946&amp;" ")-1))</f>
        <v/>
      </c>
      <c r="C2946" s="58">
        <f>IF($H2946="","",IFERROR(MID($H2946&amp;" ",FIND("|",SUBSTITUTE($H2946&amp;" "," ","|",1))+1,FIND("|",SUBSTITUTE($H2946&amp;" "," ","|",2))-FIND("|",SUBSTITUTE($H2946&amp;" "," ","|",1))-1),""))</f>
        <v/>
      </c>
      <c r="D2946" s="58">
        <f>IF($H2946="","",IFERROR(MID($H2946&amp;" ",FIND("|",SUBSTITUTE($H2946&amp;" "," ","|",2))+1,FIND("|",SUBSTITUTE($H2946&amp;" "," ","|",3))-FIND("|",SUBSTITUTE($H2946&amp;" "," ","|",2))-1),""))</f>
        <v/>
      </c>
      <c r="E2946" s="58">
        <f>IF($H2946="","",IFERROR(MID($H2946&amp;" ",FIND("|",SUBSTITUTE($H2946&amp;" "," ","|",3))+1,FIND("|",SUBSTITUTE($H2946&amp;" "," ","|",4))-FIND("|",SUBSTITUTE($H2946&amp;" "," ","|",3))-1),""))</f>
        <v/>
      </c>
      <c r="F2946" s="59">
        <f>IF($H2946="","",IFERROR(VALUE(IFERROR(MID($H2946&amp;" ",FIND("|",SUBSTITUTE($H2946&amp;" "," ","|",4))+1,FIND("|",SUBSTITUTE($H2946&amp;" "," ","|",5))-FIND("|",SUBSTITUTE($H2946&amp;" "," ","|",4))-1),""))/86400+25569+9/24,""))</f>
        <v/>
      </c>
      <c r="G2946" s="58">
        <f>TRIM(SUBSTITUTE(SUBSTITUTE(SUBSTITUTE($A2946,CHAR(9)," ")," "," "),CHAR(13),""))</f>
        <v/>
      </c>
      <c r="H2946" s="58">
        <f>IF($G2946="","",IF(ISNUMBER(FIND(" ",$G2946)),$G2946,IFERROR(IF((LEN(SUBSTITUTE(SUBSTITUTE($G2946,"-"," ",LEN($G2946)-LEN(SUBSTITUTE($G2946,"-",""))),"-"," ",LEN($G2946)-LEN(SUBSTITUTE($G2946,"-",""))-1))-LEN(SUBSTITUTE(SUBSTITUTE(SUBSTITUTE($G2946,"-"," ",LEN($G2946)-LEN(SUBSTITUTE($G2946,"-",""))),"-"," ",LEN($G2946)-LEN(SUBSTITUTE($G2946,"-",""))-1),".","")))=0,SUBSTITUTE(SUBSTITUTE($G2946,"-"," ",LEN($G2946)-LEN(SUBSTITUTE($G2946,"-",""))),"-"," ",LEN($G2946)-LEN(SUBSTITUTE($G2946,"-",""))-1),SUBSTITUTE(SUBSTITUTE(SUBSTITUTE($G2946,"-"," ",LEN($G2946)-LEN(SUBSTITUTE($G2946,"-",""))),"-"," ",LEN($G2946)-LEN(SUBSTITUTE($G2946,"-",""))-1),"."," ",(LEN(SUBSTITUTE(SUBSTITUTE($G2946,"-"," ",LEN($G2946)-LEN(SUBSTITUTE($G2946,"-",""))),"-"," ",LEN($G2946)-LEN(SUBSTITUTE($G2946,"-",""))-1))-LEN(SUBSTITUTE(SUBSTITUTE(SUBSTITUTE($G2946,"-"," ",LEN($G2946)-LEN(SUBSTITUTE($G2946,"-",""))),"-"," ",LEN($G2946)-LEN(SUBSTITUTE($G2946,"-",""))-1),".",""))))),$G2946)))</f>
        <v/>
      </c>
    </row>
    <row r="2947">
      <c r="A2947" s="58" t="n"/>
      <c r="B2947" s="58">
        <f>IF($H2947="","",LEFT($H2947,FIND(" ",$H2947&amp;" ")-1))</f>
        <v/>
      </c>
      <c r="C2947" s="58">
        <f>IF($H2947="","",IFERROR(MID($H2947&amp;" ",FIND("|",SUBSTITUTE($H2947&amp;" "," ","|",1))+1,FIND("|",SUBSTITUTE($H2947&amp;" "," ","|",2))-FIND("|",SUBSTITUTE($H2947&amp;" "," ","|",1))-1),""))</f>
        <v/>
      </c>
      <c r="D2947" s="58">
        <f>IF($H2947="","",IFERROR(MID($H2947&amp;" ",FIND("|",SUBSTITUTE($H2947&amp;" "," ","|",2))+1,FIND("|",SUBSTITUTE($H2947&amp;" "," ","|",3))-FIND("|",SUBSTITUTE($H2947&amp;" "," ","|",2))-1),""))</f>
        <v/>
      </c>
      <c r="E2947" s="58">
        <f>IF($H2947="","",IFERROR(MID($H2947&amp;" ",FIND("|",SUBSTITUTE($H2947&amp;" "," ","|",3))+1,FIND("|",SUBSTITUTE($H2947&amp;" "," ","|",4))-FIND("|",SUBSTITUTE($H2947&amp;" "," ","|",3))-1),""))</f>
        <v/>
      </c>
      <c r="F2947" s="59">
        <f>IF($H2947="","",IFERROR(VALUE(IFERROR(MID($H2947&amp;" ",FIND("|",SUBSTITUTE($H2947&amp;" "," ","|",4))+1,FIND("|",SUBSTITUTE($H2947&amp;" "," ","|",5))-FIND("|",SUBSTITUTE($H2947&amp;" "," ","|",4))-1),""))/86400+25569+9/24,""))</f>
        <v/>
      </c>
      <c r="G2947" s="58">
        <f>TRIM(SUBSTITUTE(SUBSTITUTE(SUBSTITUTE($A2947,CHAR(9)," ")," "," "),CHAR(13),""))</f>
        <v/>
      </c>
      <c r="H2947" s="58">
        <f>IF($G2947="","",IF(ISNUMBER(FIND(" ",$G2947)),$G2947,IFERROR(IF((LEN(SUBSTITUTE(SUBSTITUTE($G2947,"-"," ",LEN($G2947)-LEN(SUBSTITUTE($G2947,"-",""))),"-"," ",LEN($G2947)-LEN(SUBSTITUTE($G2947,"-",""))-1))-LEN(SUBSTITUTE(SUBSTITUTE(SUBSTITUTE($G2947,"-"," ",LEN($G2947)-LEN(SUBSTITUTE($G2947,"-",""))),"-"," ",LEN($G2947)-LEN(SUBSTITUTE($G2947,"-",""))-1),".","")))=0,SUBSTITUTE(SUBSTITUTE($G2947,"-"," ",LEN($G2947)-LEN(SUBSTITUTE($G2947,"-",""))),"-"," ",LEN($G2947)-LEN(SUBSTITUTE($G2947,"-",""))-1),SUBSTITUTE(SUBSTITUTE(SUBSTITUTE($G2947,"-"," ",LEN($G2947)-LEN(SUBSTITUTE($G2947,"-",""))),"-"," ",LEN($G2947)-LEN(SUBSTITUTE($G2947,"-",""))-1),"."," ",(LEN(SUBSTITUTE(SUBSTITUTE($G2947,"-"," ",LEN($G2947)-LEN(SUBSTITUTE($G2947,"-",""))),"-"," ",LEN($G2947)-LEN(SUBSTITUTE($G2947,"-",""))-1))-LEN(SUBSTITUTE(SUBSTITUTE(SUBSTITUTE($G2947,"-"," ",LEN($G2947)-LEN(SUBSTITUTE($G2947,"-",""))),"-"," ",LEN($G2947)-LEN(SUBSTITUTE($G2947,"-",""))-1),".",""))))),$G2947)))</f>
        <v/>
      </c>
    </row>
    <row r="2948">
      <c r="A2948" s="58" t="n"/>
      <c r="B2948" s="58">
        <f>IF($H2948="","",LEFT($H2948,FIND(" ",$H2948&amp;" ")-1))</f>
        <v/>
      </c>
      <c r="C2948" s="58">
        <f>IF($H2948="","",IFERROR(MID($H2948&amp;" ",FIND("|",SUBSTITUTE($H2948&amp;" "," ","|",1))+1,FIND("|",SUBSTITUTE($H2948&amp;" "," ","|",2))-FIND("|",SUBSTITUTE($H2948&amp;" "," ","|",1))-1),""))</f>
        <v/>
      </c>
      <c r="D2948" s="58">
        <f>IF($H2948="","",IFERROR(MID($H2948&amp;" ",FIND("|",SUBSTITUTE($H2948&amp;" "," ","|",2))+1,FIND("|",SUBSTITUTE($H2948&amp;" "," ","|",3))-FIND("|",SUBSTITUTE($H2948&amp;" "," ","|",2))-1),""))</f>
        <v/>
      </c>
      <c r="E2948" s="58">
        <f>IF($H2948="","",IFERROR(MID($H2948&amp;" ",FIND("|",SUBSTITUTE($H2948&amp;" "," ","|",3))+1,FIND("|",SUBSTITUTE($H2948&amp;" "," ","|",4))-FIND("|",SUBSTITUTE($H2948&amp;" "," ","|",3))-1),""))</f>
        <v/>
      </c>
      <c r="F2948" s="59">
        <f>IF($H2948="","",IFERROR(VALUE(IFERROR(MID($H2948&amp;" ",FIND("|",SUBSTITUTE($H2948&amp;" "," ","|",4))+1,FIND("|",SUBSTITUTE($H2948&amp;" "," ","|",5))-FIND("|",SUBSTITUTE($H2948&amp;" "," ","|",4))-1),""))/86400+25569+9/24,""))</f>
        <v/>
      </c>
      <c r="G2948" s="58">
        <f>TRIM(SUBSTITUTE(SUBSTITUTE(SUBSTITUTE($A2948,CHAR(9)," ")," "," "),CHAR(13),""))</f>
        <v/>
      </c>
      <c r="H2948" s="58">
        <f>IF($G2948="","",IF(ISNUMBER(FIND(" ",$G2948)),$G2948,IFERROR(IF((LEN(SUBSTITUTE(SUBSTITUTE($G2948,"-"," ",LEN($G2948)-LEN(SUBSTITUTE($G2948,"-",""))),"-"," ",LEN($G2948)-LEN(SUBSTITUTE($G2948,"-",""))-1))-LEN(SUBSTITUTE(SUBSTITUTE(SUBSTITUTE($G2948,"-"," ",LEN($G2948)-LEN(SUBSTITUTE($G2948,"-",""))),"-"," ",LEN($G2948)-LEN(SUBSTITUTE($G2948,"-",""))-1),".","")))=0,SUBSTITUTE(SUBSTITUTE($G2948,"-"," ",LEN($G2948)-LEN(SUBSTITUTE($G2948,"-",""))),"-"," ",LEN($G2948)-LEN(SUBSTITUTE($G2948,"-",""))-1),SUBSTITUTE(SUBSTITUTE(SUBSTITUTE($G2948,"-"," ",LEN($G2948)-LEN(SUBSTITUTE($G2948,"-",""))),"-"," ",LEN($G2948)-LEN(SUBSTITUTE($G2948,"-",""))-1),"."," ",(LEN(SUBSTITUTE(SUBSTITUTE($G2948,"-"," ",LEN($G2948)-LEN(SUBSTITUTE($G2948,"-",""))),"-"," ",LEN($G2948)-LEN(SUBSTITUTE($G2948,"-",""))-1))-LEN(SUBSTITUTE(SUBSTITUTE(SUBSTITUTE($G2948,"-"," ",LEN($G2948)-LEN(SUBSTITUTE($G2948,"-",""))),"-"," ",LEN($G2948)-LEN(SUBSTITUTE($G2948,"-",""))-1),".",""))))),$G2948)))</f>
        <v/>
      </c>
    </row>
    <row r="2949">
      <c r="A2949" s="58" t="n"/>
      <c r="B2949" s="58">
        <f>IF($H2949="","",LEFT($H2949,FIND(" ",$H2949&amp;" ")-1))</f>
        <v/>
      </c>
      <c r="C2949" s="58">
        <f>IF($H2949="","",IFERROR(MID($H2949&amp;" ",FIND("|",SUBSTITUTE($H2949&amp;" "," ","|",1))+1,FIND("|",SUBSTITUTE($H2949&amp;" "," ","|",2))-FIND("|",SUBSTITUTE($H2949&amp;" "," ","|",1))-1),""))</f>
        <v/>
      </c>
      <c r="D2949" s="58">
        <f>IF($H2949="","",IFERROR(MID($H2949&amp;" ",FIND("|",SUBSTITUTE($H2949&amp;" "," ","|",2))+1,FIND("|",SUBSTITUTE($H2949&amp;" "," ","|",3))-FIND("|",SUBSTITUTE($H2949&amp;" "," ","|",2))-1),""))</f>
        <v/>
      </c>
      <c r="E2949" s="58">
        <f>IF($H2949="","",IFERROR(MID($H2949&amp;" ",FIND("|",SUBSTITUTE($H2949&amp;" "," ","|",3))+1,FIND("|",SUBSTITUTE($H2949&amp;" "," ","|",4))-FIND("|",SUBSTITUTE($H2949&amp;" "," ","|",3))-1),""))</f>
        <v/>
      </c>
      <c r="F2949" s="59">
        <f>IF($H2949="","",IFERROR(VALUE(IFERROR(MID($H2949&amp;" ",FIND("|",SUBSTITUTE($H2949&amp;" "," ","|",4))+1,FIND("|",SUBSTITUTE($H2949&amp;" "," ","|",5))-FIND("|",SUBSTITUTE($H2949&amp;" "," ","|",4))-1),""))/86400+25569+9/24,""))</f>
        <v/>
      </c>
      <c r="G2949" s="58">
        <f>TRIM(SUBSTITUTE(SUBSTITUTE(SUBSTITUTE($A2949,CHAR(9)," ")," "," "),CHAR(13),""))</f>
        <v/>
      </c>
      <c r="H2949" s="58">
        <f>IF($G2949="","",IF(ISNUMBER(FIND(" ",$G2949)),$G2949,IFERROR(IF((LEN(SUBSTITUTE(SUBSTITUTE($G2949,"-"," ",LEN($G2949)-LEN(SUBSTITUTE($G2949,"-",""))),"-"," ",LEN($G2949)-LEN(SUBSTITUTE($G2949,"-",""))-1))-LEN(SUBSTITUTE(SUBSTITUTE(SUBSTITUTE($G2949,"-"," ",LEN($G2949)-LEN(SUBSTITUTE($G2949,"-",""))),"-"," ",LEN($G2949)-LEN(SUBSTITUTE($G2949,"-",""))-1),".","")))=0,SUBSTITUTE(SUBSTITUTE($G2949,"-"," ",LEN($G2949)-LEN(SUBSTITUTE($G2949,"-",""))),"-"," ",LEN($G2949)-LEN(SUBSTITUTE($G2949,"-",""))-1),SUBSTITUTE(SUBSTITUTE(SUBSTITUTE($G2949,"-"," ",LEN($G2949)-LEN(SUBSTITUTE($G2949,"-",""))),"-"," ",LEN($G2949)-LEN(SUBSTITUTE($G2949,"-",""))-1),"."," ",(LEN(SUBSTITUTE(SUBSTITUTE($G2949,"-"," ",LEN($G2949)-LEN(SUBSTITUTE($G2949,"-",""))),"-"," ",LEN($G2949)-LEN(SUBSTITUTE($G2949,"-",""))-1))-LEN(SUBSTITUTE(SUBSTITUTE(SUBSTITUTE($G2949,"-"," ",LEN($G2949)-LEN(SUBSTITUTE($G2949,"-",""))),"-"," ",LEN($G2949)-LEN(SUBSTITUTE($G2949,"-",""))-1),".",""))))),$G2949)))</f>
        <v/>
      </c>
    </row>
    <row r="2950">
      <c r="A2950" s="58" t="n"/>
      <c r="B2950" s="58">
        <f>IF($H2950="","",LEFT($H2950,FIND(" ",$H2950&amp;" ")-1))</f>
        <v/>
      </c>
      <c r="C2950" s="58">
        <f>IF($H2950="","",IFERROR(MID($H2950&amp;" ",FIND("|",SUBSTITUTE($H2950&amp;" "," ","|",1))+1,FIND("|",SUBSTITUTE($H2950&amp;" "," ","|",2))-FIND("|",SUBSTITUTE($H2950&amp;" "," ","|",1))-1),""))</f>
        <v/>
      </c>
      <c r="D2950" s="58">
        <f>IF($H2950="","",IFERROR(MID($H2950&amp;" ",FIND("|",SUBSTITUTE($H2950&amp;" "," ","|",2))+1,FIND("|",SUBSTITUTE($H2950&amp;" "," ","|",3))-FIND("|",SUBSTITUTE($H2950&amp;" "," ","|",2))-1),""))</f>
        <v/>
      </c>
      <c r="E2950" s="58">
        <f>IF($H2950="","",IFERROR(MID($H2950&amp;" ",FIND("|",SUBSTITUTE($H2950&amp;" "," ","|",3))+1,FIND("|",SUBSTITUTE($H2950&amp;" "," ","|",4))-FIND("|",SUBSTITUTE($H2950&amp;" "," ","|",3))-1),""))</f>
        <v/>
      </c>
      <c r="F2950" s="59">
        <f>IF($H2950="","",IFERROR(VALUE(IFERROR(MID($H2950&amp;" ",FIND("|",SUBSTITUTE($H2950&amp;" "," ","|",4))+1,FIND("|",SUBSTITUTE($H2950&amp;" "," ","|",5))-FIND("|",SUBSTITUTE($H2950&amp;" "," ","|",4))-1),""))/86400+25569+9/24,""))</f>
        <v/>
      </c>
      <c r="G2950" s="58">
        <f>TRIM(SUBSTITUTE(SUBSTITUTE(SUBSTITUTE($A2950,CHAR(9)," ")," "," "),CHAR(13),""))</f>
        <v/>
      </c>
      <c r="H2950" s="58">
        <f>IF($G2950="","",IF(ISNUMBER(FIND(" ",$G2950)),$G2950,IFERROR(IF((LEN(SUBSTITUTE(SUBSTITUTE($G2950,"-"," ",LEN($G2950)-LEN(SUBSTITUTE($G2950,"-",""))),"-"," ",LEN($G2950)-LEN(SUBSTITUTE($G2950,"-",""))-1))-LEN(SUBSTITUTE(SUBSTITUTE(SUBSTITUTE($G2950,"-"," ",LEN($G2950)-LEN(SUBSTITUTE($G2950,"-",""))),"-"," ",LEN($G2950)-LEN(SUBSTITUTE($G2950,"-",""))-1),".","")))=0,SUBSTITUTE(SUBSTITUTE($G2950,"-"," ",LEN($G2950)-LEN(SUBSTITUTE($G2950,"-",""))),"-"," ",LEN($G2950)-LEN(SUBSTITUTE($G2950,"-",""))-1),SUBSTITUTE(SUBSTITUTE(SUBSTITUTE($G2950,"-"," ",LEN($G2950)-LEN(SUBSTITUTE($G2950,"-",""))),"-"," ",LEN($G2950)-LEN(SUBSTITUTE($G2950,"-",""))-1),"."," ",(LEN(SUBSTITUTE(SUBSTITUTE($G2950,"-"," ",LEN($G2950)-LEN(SUBSTITUTE($G2950,"-",""))),"-"," ",LEN($G2950)-LEN(SUBSTITUTE($G2950,"-",""))-1))-LEN(SUBSTITUTE(SUBSTITUTE(SUBSTITUTE($G2950,"-"," ",LEN($G2950)-LEN(SUBSTITUTE($G2950,"-",""))),"-"," ",LEN($G2950)-LEN(SUBSTITUTE($G2950,"-",""))-1),".",""))))),$G2950)))</f>
        <v/>
      </c>
    </row>
    <row r="2951">
      <c r="A2951" s="58" t="n"/>
      <c r="B2951" s="58">
        <f>IF($H2951="","",LEFT($H2951,FIND(" ",$H2951&amp;" ")-1))</f>
        <v/>
      </c>
      <c r="C2951" s="58">
        <f>IF($H2951="","",IFERROR(MID($H2951&amp;" ",FIND("|",SUBSTITUTE($H2951&amp;" "," ","|",1))+1,FIND("|",SUBSTITUTE($H2951&amp;" "," ","|",2))-FIND("|",SUBSTITUTE($H2951&amp;" "," ","|",1))-1),""))</f>
        <v/>
      </c>
      <c r="D2951" s="58">
        <f>IF($H2951="","",IFERROR(MID($H2951&amp;" ",FIND("|",SUBSTITUTE($H2951&amp;" "," ","|",2))+1,FIND("|",SUBSTITUTE($H2951&amp;" "," ","|",3))-FIND("|",SUBSTITUTE($H2951&amp;" "," ","|",2))-1),""))</f>
        <v/>
      </c>
      <c r="E2951" s="58">
        <f>IF($H2951="","",IFERROR(MID($H2951&amp;" ",FIND("|",SUBSTITUTE($H2951&amp;" "," ","|",3))+1,FIND("|",SUBSTITUTE($H2951&amp;" "," ","|",4))-FIND("|",SUBSTITUTE($H2951&amp;" "," ","|",3))-1),""))</f>
        <v/>
      </c>
      <c r="F2951" s="59">
        <f>IF($H2951="","",IFERROR(VALUE(IFERROR(MID($H2951&amp;" ",FIND("|",SUBSTITUTE($H2951&amp;" "," ","|",4))+1,FIND("|",SUBSTITUTE($H2951&amp;" "," ","|",5))-FIND("|",SUBSTITUTE($H2951&amp;" "," ","|",4))-1),""))/86400+25569+9/24,""))</f>
        <v/>
      </c>
      <c r="G2951" s="58">
        <f>TRIM(SUBSTITUTE(SUBSTITUTE(SUBSTITUTE($A2951,CHAR(9)," ")," "," "),CHAR(13),""))</f>
        <v/>
      </c>
      <c r="H2951" s="58">
        <f>IF($G2951="","",IF(ISNUMBER(FIND(" ",$G2951)),$G2951,IFERROR(IF((LEN(SUBSTITUTE(SUBSTITUTE($G2951,"-"," ",LEN($G2951)-LEN(SUBSTITUTE($G2951,"-",""))),"-"," ",LEN($G2951)-LEN(SUBSTITUTE($G2951,"-",""))-1))-LEN(SUBSTITUTE(SUBSTITUTE(SUBSTITUTE($G2951,"-"," ",LEN($G2951)-LEN(SUBSTITUTE($G2951,"-",""))),"-"," ",LEN($G2951)-LEN(SUBSTITUTE($G2951,"-",""))-1),".","")))=0,SUBSTITUTE(SUBSTITUTE($G2951,"-"," ",LEN($G2951)-LEN(SUBSTITUTE($G2951,"-",""))),"-"," ",LEN($G2951)-LEN(SUBSTITUTE($G2951,"-",""))-1),SUBSTITUTE(SUBSTITUTE(SUBSTITUTE($G2951,"-"," ",LEN($G2951)-LEN(SUBSTITUTE($G2951,"-",""))),"-"," ",LEN($G2951)-LEN(SUBSTITUTE($G2951,"-",""))-1),"."," ",(LEN(SUBSTITUTE(SUBSTITUTE($G2951,"-"," ",LEN($G2951)-LEN(SUBSTITUTE($G2951,"-",""))),"-"," ",LEN($G2951)-LEN(SUBSTITUTE($G2951,"-",""))-1))-LEN(SUBSTITUTE(SUBSTITUTE(SUBSTITUTE($G2951,"-"," ",LEN($G2951)-LEN(SUBSTITUTE($G2951,"-",""))),"-"," ",LEN($G2951)-LEN(SUBSTITUTE($G2951,"-",""))-1),".",""))))),$G2951)))</f>
        <v/>
      </c>
    </row>
    <row r="2952">
      <c r="A2952" s="58" t="n"/>
      <c r="B2952" s="58">
        <f>IF($H2952="","",LEFT($H2952,FIND(" ",$H2952&amp;" ")-1))</f>
        <v/>
      </c>
      <c r="C2952" s="58">
        <f>IF($H2952="","",IFERROR(MID($H2952&amp;" ",FIND("|",SUBSTITUTE($H2952&amp;" "," ","|",1))+1,FIND("|",SUBSTITUTE($H2952&amp;" "," ","|",2))-FIND("|",SUBSTITUTE($H2952&amp;" "," ","|",1))-1),""))</f>
        <v/>
      </c>
      <c r="D2952" s="58">
        <f>IF($H2952="","",IFERROR(MID($H2952&amp;" ",FIND("|",SUBSTITUTE($H2952&amp;" "," ","|",2))+1,FIND("|",SUBSTITUTE($H2952&amp;" "," ","|",3))-FIND("|",SUBSTITUTE($H2952&amp;" "," ","|",2))-1),""))</f>
        <v/>
      </c>
      <c r="E2952" s="58">
        <f>IF($H2952="","",IFERROR(MID($H2952&amp;" ",FIND("|",SUBSTITUTE($H2952&amp;" "," ","|",3))+1,FIND("|",SUBSTITUTE($H2952&amp;" "," ","|",4))-FIND("|",SUBSTITUTE($H2952&amp;" "," ","|",3))-1),""))</f>
        <v/>
      </c>
      <c r="F2952" s="59">
        <f>IF($H2952="","",IFERROR(VALUE(IFERROR(MID($H2952&amp;" ",FIND("|",SUBSTITUTE($H2952&amp;" "," ","|",4))+1,FIND("|",SUBSTITUTE($H2952&amp;" "," ","|",5))-FIND("|",SUBSTITUTE($H2952&amp;" "," ","|",4))-1),""))/86400+25569+9/24,""))</f>
        <v/>
      </c>
      <c r="G2952" s="58">
        <f>TRIM(SUBSTITUTE(SUBSTITUTE(SUBSTITUTE($A2952,CHAR(9)," ")," "," "),CHAR(13),""))</f>
        <v/>
      </c>
      <c r="H2952" s="58">
        <f>IF($G2952="","",IF(ISNUMBER(FIND(" ",$G2952)),$G2952,IFERROR(IF((LEN(SUBSTITUTE(SUBSTITUTE($G2952,"-"," ",LEN($G2952)-LEN(SUBSTITUTE($G2952,"-",""))),"-"," ",LEN($G2952)-LEN(SUBSTITUTE($G2952,"-",""))-1))-LEN(SUBSTITUTE(SUBSTITUTE(SUBSTITUTE($G2952,"-"," ",LEN($G2952)-LEN(SUBSTITUTE($G2952,"-",""))),"-"," ",LEN($G2952)-LEN(SUBSTITUTE($G2952,"-",""))-1),".","")))=0,SUBSTITUTE(SUBSTITUTE($G2952,"-"," ",LEN($G2952)-LEN(SUBSTITUTE($G2952,"-",""))),"-"," ",LEN($G2952)-LEN(SUBSTITUTE($G2952,"-",""))-1),SUBSTITUTE(SUBSTITUTE(SUBSTITUTE($G2952,"-"," ",LEN($G2952)-LEN(SUBSTITUTE($G2952,"-",""))),"-"," ",LEN($G2952)-LEN(SUBSTITUTE($G2952,"-",""))-1),"."," ",(LEN(SUBSTITUTE(SUBSTITUTE($G2952,"-"," ",LEN($G2952)-LEN(SUBSTITUTE($G2952,"-",""))),"-"," ",LEN($G2952)-LEN(SUBSTITUTE($G2952,"-",""))-1))-LEN(SUBSTITUTE(SUBSTITUTE(SUBSTITUTE($G2952,"-"," ",LEN($G2952)-LEN(SUBSTITUTE($G2952,"-",""))),"-"," ",LEN($G2952)-LEN(SUBSTITUTE($G2952,"-",""))-1),".",""))))),$G2952)))</f>
        <v/>
      </c>
    </row>
    <row r="2953">
      <c r="A2953" s="58" t="n"/>
      <c r="B2953" s="58">
        <f>IF($H2953="","",LEFT($H2953,FIND(" ",$H2953&amp;" ")-1))</f>
        <v/>
      </c>
      <c r="C2953" s="58">
        <f>IF($H2953="","",IFERROR(MID($H2953&amp;" ",FIND("|",SUBSTITUTE($H2953&amp;" "," ","|",1))+1,FIND("|",SUBSTITUTE($H2953&amp;" "," ","|",2))-FIND("|",SUBSTITUTE($H2953&amp;" "," ","|",1))-1),""))</f>
        <v/>
      </c>
      <c r="D2953" s="58">
        <f>IF($H2953="","",IFERROR(MID($H2953&amp;" ",FIND("|",SUBSTITUTE($H2953&amp;" "," ","|",2))+1,FIND("|",SUBSTITUTE($H2953&amp;" "," ","|",3))-FIND("|",SUBSTITUTE($H2953&amp;" "," ","|",2))-1),""))</f>
        <v/>
      </c>
      <c r="E2953" s="58">
        <f>IF($H2953="","",IFERROR(MID($H2953&amp;" ",FIND("|",SUBSTITUTE($H2953&amp;" "," ","|",3))+1,FIND("|",SUBSTITUTE($H2953&amp;" "," ","|",4))-FIND("|",SUBSTITUTE($H2953&amp;" "," ","|",3))-1),""))</f>
        <v/>
      </c>
      <c r="F2953" s="59">
        <f>IF($H2953="","",IFERROR(VALUE(IFERROR(MID($H2953&amp;" ",FIND("|",SUBSTITUTE($H2953&amp;" "," ","|",4))+1,FIND("|",SUBSTITUTE($H2953&amp;" "," ","|",5))-FIND("|",SUBSTITUTE($H2953&amp;" "," ","|",4))-1),""))/86400+25569+9/24,""))</f>
        <v/>
      </c>
      <c r="G2953" s="58">
        <f>TRIM(SUBSTITUTE(SUBSTITUTE(SUBSTITUTE($A2953,CHAR(9)," ")," "," "),CHAR(13),""))</f>
        <v/>
      </c>
      <c r="H2953" s="58">
        <f>IF($G2953="","",IF(ISNUMBER(FIND(" ",$G2953)),$G2953,IFERROR(IF((LEN(SUBSTITUTE(SUBSTITUTE($G2953,"-"," ",LEN($G2953)-LEN(SUBSTITUTE($G2953,"-",""))),"-"," ",LEN($G2953)-LEN(SUBSTITUTE($G2953,"-",""))-1))-LEN(SUBSTITUTE(SUBSTITUTE(SUBSTITUTE($G2953,"-"," ",LEN($G2953)-LEN(SUBSTITUTE($G2953,"-",""))),"-"," ",LEN($G2953)-LEN(SUBSTITUTE($G2953,"-",""))-1),".","")))=0,SUBSTITUTE(SUBSTITUTE($G2953,"-"," ",LEN($G2953)-LEN(SUBSTITUTE($G2953,"-",""))),"-"," ",LEN($G2953)-LEN(SUBSTITUTE($G2953,"-",""))-1),SUBSTITUTE(SUBSTITUTE(SUBSTITUTE($G2953,"-"," ",LEN($G2953)-LEN(SUBSTITUTE($G2953,"-",""))),"-"," ",LEN($G2953)-LEN(SUBSTITUTE($G2953,"-",""))-1),"."," ",(LEN(SUBSTITUTE(SUBSTITUTE($G2953,"-"," ",LEN($G2953)-LEN(SUBSTITUTE($G2953,"-",""))),"-"," ",LEN($G2953)-LEN(SUBSTITUTE($G2953,"-",""))-1))-LEN(SUBSTITUTE(SUBSTITUTE(SUBSTITUTE($G2953,"-"," ",LEN($G2953)-LEN(SUBSTITUTE($G2953,"-",""))),"-"," ",LEN($G2953)-LEN(SUBSTITUTE($G2953,"-",""))-1),".",""))))),$G2953)))</f>
        <v/>
      </c>
    </row>
    <row r="2954">
      <c r="A2954" s="58" t="n"/>
      <c r="B2954" s="58">
        <f>IF($H2954="","",LEFT($H2954,FIND(" ",$H2954&amp;" ")-1))</f>
        <v/>
      </c>
      <c r="C2954" s="58">
        <f>IF($H2954="","",IFERROR(MID($H2954&amp;" ",FIND("|",SUBSTITUTE($H2954&amp;" "," ","|",1))+1,FIND("|",SUBSTITUTE($H2954&amp;" "," ","|",2))-FIND("|",SUBSTITUTE($H2954&amp;" "," ","|",1))-1),""))</f>
        <v/>
      </c>
      <c r="D2954" s="58">
        <f>IF($H2954="","",IFERROR(MID($H2954&amp;" ",FIND("|",SUBSTITUTE($H2954&amp;" "," ","|",2))+1,FIND("|",SUBSTITUTE($H2954&amp;" "," ","|",3))-FIND("|",SUBSTITUTE($H2954&amp;" "," ","|",2))-1),""))</f>
        <v/>
      </c>
      <c r="E2954" s="58">
        <f>IF($H2954="","",IFERROR(MID($H2954&amp;" ",FIND("|",SUBSTITUTE($H2954&amp;" "," ","|",3))+1,FIND("|",SUBSTITUTE($H2954&amp;" "," ","|",4))-FIND("|",SUBSTITUTE($H2954&amp;" "," ","|",3))-1),""))</f>
        <v/>
      </c>
      <c r="F2954" s="59">
        <f>IF($H2954="","",IFERROR(VALUE(IFERROR(MID($H2954&amp;" ",FIND("|",SUBSTITUTE($H2954&amp;" "," ","|",4))+1,FIND("|",SUBSTITUTE($H2954&amp;" "," ","|",5))-FIND("|",SUBSTITUTE($H2954&amp;" "," ","|",4))-1),""))/86400+25569+9/24,""))</f>
        <v/>
      </c>
      <c r="G2954" s="58">
        <f>TRIM(SUBSTITUTE(SUBSTITUTE(SUBSTITUTE($A2954,CHAR(9)," ")," "," "),CHAR(13),""))</f>
        <v/>
      </c>
      <c r="H2954" s="58">
        <f>IF($G2954="","",IF(ISNUMBER(FIND(" ",$G2954)),$G2954,IFERROR(IF((LEN(SUBSTITUTE(SUBSTITUTE($G2954,"-"," ",LEN($G2954)-LEN(SUBSTITUTE($G2954,"-",""))),"-"," ",LEN($G2954)-LEN(SUBSTITUTE($G2954,"-",""))-1))-LEN(SUBSTITUTE(SUBSTITUTE(SUBSTITUTE($G2954,"-"," ",LEN($G2954)-LEN(SUBSTITUTE($G2954,"-",""))),"-"," ",LEN($G2954)-LEN(SUBSTITUTE($G2954,"-",""))-1),".","")))=0,SUBSTITUTE(SUBSTITUTE($G2954,"-"," ",LEN($G2954)-LEN(SUBSTITUTE($G2954,"-",""))),"-"," ",LEN($G2954)-LEN(SUBSTITUTE($G2954,"-",""))-1),SUBSTITUTE(SUBSTITUTE(SUBSTITUTE($G2954,"-"," ",LEN($G2954)-LEN(SUBSTITUTE($G2954,"-",""))),"-"," ",LEN($G2954)-LEN(SUBSTITUTE($G2954,"-",""))-1),"."," ",(LEN(SUBSTITUTE(SUBSTITUTE($G2954,"-"," ",LEN($G2954)-LEN(SUBSTITUTE($G2954,"-",""))),"-"," ",LEN($G2954)-LEN(SUBSTITUTE($G2954,"-",""))-1))-LEN(SUBSTITUTE(SUBSTITUTE(SUBSTITUTE($G2954,"-"," ",LEN($G2954)-LEN(SUBSTITUTE($G2954,"-",""))),"-"," ",LEN($G2954)-LEN(SUBSTITUTE($G2954,"-",""))-1),".",""))))),$G2954)))</f>
        <v/>
      </c>
    </row>
    <row r="2955">
      <c r="A2955" s="58" t="n"/>
      <c r="B2955" s="58">
        <f>IF($H2955="","",LEFT($H2955,FIND(" ",$H2955&amp;" ")-1))</f>
        <v/>
      </c>
      <c r="C2955" s="58">
        <f>IF($H2955="","",IFERROR(MID($H2955&amp;" ",FIND("|",SUBSTITUTE($H2955&amp;" "," ","|",1))+1,FIND("|",SUBSTITUTE($H2955&amp;" "," ","|",2))-FIND("|",SUBSTITUTE($H2955&amp;" "," ","|",1))-1),""))</f>
        <v/>
      </c>
      <c r="D2955" s="58">
        <f>IF($H2955="","",IFERROR(MID($H2955&amp;" ",FIND("|",SUBSTITUTE($H2955&amp;" "," ","|",2))+1,FIND("|",SUBSTITUTE($H2955&amp;" "," ","|",3))-FIND("|",SUBSTITUTE($H2955&amp;" "," ","|",2))-1),""))</f>
        <v/>
      </c>
      <c r="E2955" s="58">
        <f>IF($H2955="","",IFERROR(MID($H2955&amp;" ",FIND("|",SUBSTITUTE($H2955&amp;" "," ","|",3))+1,FIND("|",SUBSTITUTE($H2955&amp;" "," ","|",4))-FIND("|",SUBSTITUTE($H2955&amp;" "," ","|",3))-1),""))</f>
        <v/>
      </c>
      <c r="F2955" s="59">
        <f>IF($H2955="","",IFERROR(VALUE(IFERROR(MID($H2955&amp;" ",FIND("|",SUBSTITUTE($H2955&amp;" "," ","|",4))+1,FIND("|",SUBSTITUTE($H2955&amp;" "," ","|",5))-FIND("|",SUBSTITUTE($H2955&amp;" "," ","|",4))-1),""))/86400+25569+9/24,""))</f>
        <v/>
      </c>
      <c r="G2955" s="58">
        <f>TRIM(SUBSTITUTE(SUBSTITUTE(SUBSTITUTE($A2955,CHAR(9)," ")," "," "),CHAR(13),""))</f>
        <v/>
      </c>
      <c r="H2955" s="58">
        <f>IF($G2955="","",IF(ISNUMBER(FIND(" ",$G2955)),$G2955,IFERROR(IF((LEN(SUBSTITUTE(SUBSTITUTE($G2955,"-"," ",LEN($G2955)-LEN(SUBSTITUTE($G2955,"-",""))),"-"," ",LEN($G2955)-LEN(SUBSTITUTE($G2955,"-",""))-1))-LEN(SUBSTITUTE(SUBSTITUTE(SUBSTITUTE($G2955,"-"," ",LEN($G2955)-LEN(SUBSTITUTE($G2955,"-",""))),"-"," ",LEN($G2955)-LEN(SUBSTITUTE($G2955,"-",""))-1),".","")))=0,SUBSTITUTE(SUBSTITUTE($G2955,"-"," ",LEN($G2955)-LEN(SUBSTITUTE($G2955,"-",""))),"-"," ",LEN($G2955)-LEN(SUBSTITUTE($G2955,"-",""))-1),SUBSTITUTE(SUBSTITUTE(SUBSTITUTE($G2955,"-"," ",LEN($G2955)-LEN(SUBSTITUTE($G2955,"-",""))),"-"," ",LEN($G2955)-LEN(SUBSTITUTE($G2955,"-",""))-1),"."," ",(LEN(SUBSTITUTE(SUBSTITUTE($G2955,"-"," ",LEN($G2955)-LEN(SUBSTITUTE($G2955,"-",""))),"-"," ",LEN($G2955)-LEN(SUBSTITUTE($G2955,"-",""))-1))-LEN(SUBSTITUTE(SUBSTITUTE(SUBSTITUTE($G2955,"-"," ",LEN($G2955)-LEN(SUBSTITUTE($G2955,"-",""))),"-"," ",LEN($G2955)-LEN(SUBSTITUTE($G2955,"-",""))-1),".",""))))),$G2955)))</f>
        <v/>
      </c>
    </row>
    <row r="2956">
      <c r="A2956" s="58" t="n"/>
      <c r="B2956" s="58">
        <f>IF($H2956="","",LEFT($H2956,FIND(" ",$H2956&amp;" ")-1))</f>
        <v/>
      </c>
      <c r="C2956" s="58">
        <f>IF($H2956="","",IFERROR(MID($H2956&amp;" ",FIND("|",SUBSTITUTE($H2956&amp;" "," ","|",1))+1,FIND("|",SUBSTITUTE($H2956&amp;" "," ","|",2))-FIND("|",SUBSTITUTE($H2956&amp;" "," ","|",1))-1),""))</f>
        <v/>
      </c>
      <c r="D2956" s="58">
        <f>IF($H2956="","",IFERROR(MID($H2956&amp;" ",FIND("|",SUBSTITUTE($H2956&amp;" "," ","|",2))+1,FIND("|",SUBSTITUTE($H2956&amp;" "," ","|",3))-FIND("|",SUBSTITUTE($H2956&amp;" "," ","|",2))-1),""))</f>
        <v/>
      </c>
      <c r="E2956" s="58">
        <f>IF($H2956="","",IFERROR(MID($H2956&amp;" ",FIND("|",SUBSTITUTE($H2956&amp;" "," ","|",3))+1,FIND("|",SUBSTITUTE($H2956&amp;" "," ","|",4))-FIND("|",SUBSTITUTE($H2956&amp;" "," ","|",3))-1),""))</f>
        <v/>
      </c>
      <c r="F2956" s="59">
        <f>IF($H2956="","",IFERROR(VALUE(IFERROR(MID($H2956&amp;" ",FIND("|",SUBSTITUTE($H2956&amp;" "," ","|",4))+1,FIND("|",SUBSTITUTE($H2956&amp;" "," ","|",5))-FIND("|",SUBSTITUTE($H2956&amp;" "," ","|",4))-1),""))/86400+25569+9/24,""))</f>
        <v/>
      </c>
      <c r="G2956" s="58">
        <f>TRIM(SUBSTITUTE(SUBSTITUTE(SUBSTITUTE($A2956,CHAR(9)," ")," "," "),CHAR(13),""))</f>
        <v/>
      </c>
      <c r="H2956" s="58">
        <f>IF($G2956="","",IF(ISNUMBER(FIND(" ",$G2956)),$G2956,IFERROR(IF((LEN(SUBSTITUTE(SUBSTITUTE($G2956,"-"," ",LEN($G2956)-LEN(SUBSTITUTE($G2956,"-",""))),"-"," ",LEN($G2956)-LEN(SUBSTITUTE($G2956,"-",""))-1))-LEN(SUBSTITUTE(SUBSTITUTE(SUBSTITUTE($G2956,"-"," ",LEN($G2956)-LEN(SUBSTITUTE($G2956,"-",""))),"-"," ",LEN($G2956)-LEN(SUBSTITUTE($G2956,"-",""))-1),".","")))=0,SUBSTITUTE(SUBSTITUTE($G2956,"-"," ",LEN($G2956)-LEN(SUBSTITUTE($G2956,"-",""))),"-"," ",LEN($G2956)-LEN(SUBSTITUTE($G2956,"-",""))-1),SUBSTITUTE(SUBSTITUTE(SUBSTITUTE($G2956,"-"," ",LEN($G2956)-LEN(SUBSTITUTE($G2956,"-",""))),"-"," ",LEN($G2956)-LEN(SUBSTITUTE($G2956,"-",""))-1),"."," ",(LEN(SUBSTITUTE(SUBSTITUTE($G2956,"-"," ",LEN($G2956)-LEN(SUBSTITUTE($G2956,"-",""))),"-"," ",LEN($G2956)-LEN(SUBSTITUTE($G2956,"-",""))-1))-LEN(SUBSTITUTE(SUBSTITUTE(SUBSTITUTE($G2956,"-"," ",LEN($G2956)-LEN(SUBSTITUTE($G2956,"-",""))),"-"," ",LEN($G2956)-LEN(SUBSTITUTE($G2956,"-",""))-1),".",""))))),$G2956)))</f>
        <v/>
      </c>
    </row>
    <row r="2957">
      <c r="A2957" s="58" t="n"/>
      <c r="B2957" s="58">
        <f>IF($H2957="","",LEFT($H2957,FIND(" ",$H2957&amp;" ")-1))</f>
        <v/>
      </c>
      <c r="C2957" s="58">
        <f>IF($H2957="","",IFERROR(MID($H2957&amp;" ",FIND("|",SUBSTITUTE($H2957&amp;" "," ","|",1))+1,FIND("|",SUBSTITUTE($H2957&amp;" "," ","|",2))-FIND("|",SUBSTITUTE($H2957&amp;" "," ","|",1))-1),""))</f>
        <v/>
      </c>
      <c r="D2957" s="58">
        <f>IF($H2957="","",IFERROR(MID($H2957&amp;" ",FIND("|",SUBSTITUTE($H2957&amp;" "," ","|",2))+1,FIND("|",SUBSTITUTE($H2957&amp;" "," ","|",3))-FIND("|",SUBSTITUTE($H2957&amp;" "," ","|",2))-1),""))</f>
        <v/>
      </c>
      <c r="E2957" s="58">
        <f>IF($H2957="","",IFERROR(MID($H2957&amp;" ",FIND("|",SUBSTITUTE($H2957&amp;" "," ","|",3))+1,FIND("|",SUBSTITUTE($H2957&amp;" "," ","|",4))-FIND("|",SUBSTITUTE($H2957&amp;" "," ","|",3))-1),""))</f>
        <v/>
      </c>
      <c r="F2957" s="59">
        <f>IF($H2957="","",IFERROR(VALUE(IFERROR(MID($H2957&amp;" ",FIND("|",SUBSTITUTE($H2957&amp;" "," ","|",4))+1,FIND("|",SUBSTITUTE($H2957&amp;" "," ","|",5))-FIND("|",SUBSTITUTE($H2957&amp;" "," ","|",4))-1),""))/86400+25569+9/24,""))</f>
        <v/>
      </c>
      <c r="G2957" s="58">
        <f>TRIM(SUBSTITUTE(SUBSTITUTE(SUBSTITUTE($A2957,CHAR(9)," ")," "," "),CHAR(13),""))</f>
        <v/>
      </c>
      <c r="H2957" s="58">
        <f>IF($G2957="","",IF(ISNUMBER(FIND(" ",$G2957)),$G2957,IFERROR(IF((LEN(SUBSTITUTE(SUBSTITUTE($G2957,"-"," ",LEN($G2957)-LEN(SUBSTITUTE($G2957,"-",""))),"-"," ",LEN($G2957)-LEN(SUBSTITUTE($G2957,"-",""))-1))-LEN(SUBSTITUTE(SUBSTITUTE(SUBSTITUTE($G2957,"-"," ",LEN($G2957)-LEN(SUBSTITUTE($G2957,"-",""))),"-"," ",LEN($G2957)-LEN(SUBSTITUTE($G2957,"-",""))-1),".","")))=0,SUBSTITUTE(SUBSTITUTE($G2957,"-"," ",LEN($G2957)-LEN(SUBSTITUTE($G2957,"-",""))),"-"," ",LEN($G2957)-LEN(SUBSTITUTE($G2957,"-",""))-1),SUBSTITUTE(SUBSTITUTE(SUBSTITUTE($G2957,"-"," ",LEN($G2957)-LEN(SUBSTITUTE($G2957,"-",""))),"-"," ",LEN($G2957)-LEN(SUBSTITUTE($G2957,"-",""))-1),"."," ",(LEN(SUBSTITUTE(SUBSTITUTE($G2957,"-"," ",LEN($G2957)-LEN(SUBSTITUTE($G2957,"-",""))),"-"," ",LEN($G2957)-LEN(SUBSTITUTE($G2957,"-",""))-1))-LEN(SUBSTITUTE(SUBSTITUTE(SUBSTITUTE($G2957,"-"," ",LEN($G2957)-LEN(SUBSTITUTE($G2957,"-",""))),"-"," ",LEN($G2957)-LEN(SUBSTITUTE($G2957,"-",""))-1),".",""))))),$G2957)))</f>
        <v/>
      </c>
    </row>
    <row r="2958">
      <c r="A2958" s="58" t="n"/>
      <c r="B2958" s="58">
        <f>IF($H2958="","",LEFT($H2958,FIND(" ",$H2958&amp;" ")-1))</f>
        <v/>
      </c>
      <c r="C2958" s="58">
        <f>IF($H2958="","",IFERROR(MID($H2958&amp;" ",FIND("|",SUBSTITUTE($H2958&amp;" "," ","|",1))+1,FIND("|",SUBSTITUTE($H2958&amp;" "," ","|",2))-FIND("|",SUBSTITUTE($H2958&amp;" "," ","|",1))-1),""))</f>
        <v/>
      </c>
      <c r="D2958" s="58">
        <f>IF($H2958="","",IFERROR(MID($H2958&amp;" ",FIND("|",SUBSTITUTE($H2958&amp;" "," ","|",2))+1,FIND("|",SUBSTITUTE($H2958&amp;" "," ","|",3))-FIND("|",SUBSTITUTE($H2958&amp;" "," ","|",2))-1),""))</f>
        <v/>
      </c>
      <c r="E2958" s="58">
        <f>IF($H2958="","",IFERROR(MID($H2958&amp;" ",FIND("|",SUBSTITUTE($H2958&amp;" "," ","|",3))+1,FIND("|",SUBSTITUTE($H2958&amp;" "," ","|",4))-FIND("|",SUBSTITUTE($H2958&amp;" "," ","|",3))-1),""))</f>
        <v/>
      </c>
      <c r="F2958" s="59">
        <f>IF($H2958="","",IFERROR(VALUE(IFERROR(MID($H2958&amp;" ",FIND("|",SUBSTITUTE($H2958&amp;" "," ","|",4))+1,FIND("|",SUBSTITUTE($H2958&amp;" "," ","|",5))-FIND("|",SUBSTITUTE($H2958&amp;" "," ","|",4))-1),""))/86400+25569+9/24,""))</f>
        <v/>
      </c>
      <c r="G2958" s="58">
        <f>TRIM(SUBSTITUTE(SUBSTITUTE(SUBSTITUTE($A2958,CHAR(9)," ")," "," "),CHAR(13),""))</f>
        <v/>
      </c>
      <c r="H2958" s="58">
        <f>IF($G2958="","",IF(ISNUMBER(FIND(" ",$G2958)),$G2958,IFERROR(IF((LEN(SUBSTITUTE(SUBSTITUTE($G2958,"-"," ",LEN($G2958)-LEN(SUBSTITUTE($G2958,"-",""))),"-"," ",LEN($G2958)-LEN(SUBSTITUTE($G2958,"-",""))-1))-LEN(SUBSTITUTE(SUBSTITUTE(SUBSTITUTE($G2958,"-"," ",LEN($G2958)-LEN(SUBSTITUTE($G2958,"-",""))),"-"," ",LEN($G2958)-LEN(SUBSTITUTE($G2958,"-",""))-1),".","")))=0,SUBSTITUTE(SUBSTITUTE($G2958,"-"," ",LEN($G2958)-LEN(SUBSTITUTE($G2958,"-",""))),"-"," ",LEN($G2958)-LEN(SUBSTITUTE($G2958,"-",""))-1),SUBSTITUTE(SUBSTITUTE(SUBSTITUTE($G2958,"-"," ",LEN($G2958)-LEN(SUBSTITUTE($G2958,"-",""))),"-"," ",LEN($G2958)-LEN(SUBSTITUTE($G2958,"-",""))-1),"."," ",(LEN(SUBSTITUTE(SUBSTITUTE($G2958,"-"," ",LEN($G2958)-LEN(SUBSTITUTE($G2958,"-",""))),"-"," ",LEN($G2958)-LEN(SUBSTITUTE($G2958,"-",""))-1))-LEN(SUBSTITUTE(SUBSTITUTE(SUBSTITUTE($G2958,"-"," ",LEN($G2958)-LEN(SUBSTITUTE($G2958,"-",""))),"-"," ",LEN($G2958)-LEN(SUBSTITUTE($G2958,"-",""))-1),".",""))))),$G2958)))</f>
        <v/>
      </c>
    </row>
    <row r="2959">
      <c r="A2959" s="58" t="n"/>
      <c r="B2959" s="58">
        <f>IF($H2959="","",LEFT($H2959,FIND(" ",$H2959&amp;" ")-1))</f>
        <v/>
      </c>
      <c r="C2959" s="58">
        <f>IF($H2959="","",IFERROR(MID($H2959&amp;" ",FIND("|",SUBSTITUTE($H2959&amp;" "," ","|",1))+1,FIND("|",SUBSTITUTE($H2959&amp;" "," ","|",2))-FIND("|",SUBSTITUTE($H2959&amp;" "," ","|",1))-1),""))</f>
        <v/>
      </c>
      <c r="D2959" s="58">
        <f>IF($H2959="","",IFERROR(MID($H2959&amp;" ",FIND("|",SUBSTITUTE($H2959&amp;" "," ","|",2))+1,FIND("|",SUBSTITUTE($H2959&amp;" "," ","|",3))-FIND("|",SUBSTITUTE($H2959&amp;" "," ","|",2))-1),""))</f>
        <v/>
      </c>
      <c r="E2959" s="58">
        <f>IF($H2959="","",IFERROR(MID($H2959&amp;" ",FIND("|",SUBSTITUTE($H2959&amp;" "," ","|",3))+1,FIND("|",SUBSTITUTE($H2959&amp;" "," ","|",4))-FIND("|",SUBSTITUTE($H2959&amp;" "," ","|",3))-1),""))</f>
        <v/>
      </c>
      <c r="F2959" s="59">
        <f>IF($H2959="","",IFERROR(VALUE(IFERROR(MID($H2959&amp;" ",FIND("|",SUBSTITUTE($H2959&amp;" "," ","|",4))+1,FIND("|",SUBSTITUTE($H2959&amp;" "," ","|",5))-FIND("|",SUBSTITUTE($H2959&amp;" "," ","|",4))-1),""))/86400+25569+9/24,""))</f>
        <v/>
      </c>
      <c r="G2959" s="58">
        <f>TRIM(SUBSTITUTE(SUBSTITUTE(SUBSTITUTE($A2959,CHAR(9)," ")," "," "),CHAR(13),""))</f>
        <v/>
      </c>
      <c r="H2959" s="58">
        <f>IF($G2959="","",IF(ISNUMBER(FIND(" ",$G2959)),$G2959,IFERROR(IF((LEN(SUBSTITUTE(SUBSTITUTE($G2959,"-"," ",LEN($G2959)-LEN(SUBSTITUTE($G2959,"-",""))),"-"," ",LEN($G2959)-LEN(SUBSTITUTE($G2959,"-",""))-1))-LEN(SUBSTITUTE(SUBSTITUTE(SUBSTITUTE($G2959,"-"," ",LEN($G2959)-LEN(SUBSTITUTE($G2959,"-",""))),"-"," ",LEN($G2959)-LEN(SUBSTITUTE($G2959,"-",""))-1),".","")))=0,SUBSTITUTE(SUBSTITUTE($G2959,"-"," ",LEN($G2959)-LEN(SUBSTITUTE($G2959,"-",""))),"-"," ",LEN($G2959)-LEN(SUBSTITUTE($G2959,"-",""))-1),SUBSTITUTE(SUBSTITUTE(SUBSTITUTE($G2959,"-"," ",LEN($G2959)-LEN(SUBSTITUTE($G2959,"-",""))),"-"," ",LEN($G2959)-LEN(SUBSTITUTE($G2959,"-",""))-1),"."," ",(LEN(SUBSTITUTE(SUBSTITUTE($G2959,"-"," ",LEN($G2959)-LEN(SUBSTITUTE($G2959,"-",""))),"-"," ",LEN($G2959)-LEN(SUBSTITUTE($G2959,"-",""))-1))-LEN(SUBSTITUTE(SUBSTITUTE(SUBSTITUTE($G2959,"-"," ",LEN($G2959)-LEN(SUBSTITUTE($G2959,"-",""))),"-"," ",LEN($G2959)-LEN(SUBSTITUTE($G2959,"-",""))-1),".",""))))),$G2959)))</f>
        <v/>
      </c>
    </row>
    <row r="2960">
      <c r="A2960" s="58" t="n"/>
      <c r="B2960" s="58">
        <f>IF($H2960="","",LEFT($H2960,FIND(" ",$H2960&amp;" ")-1))</f>
        <v/>
      </c>
      <c r="C2960" s="58">
        <f>IF($H2960="","",IFERROR(MID($H2960&amp;" ",FIND("|",SUBSTITUTE($H2960&amp;" "," ","|",1))+1,FIND("|",SUBSTITUTE($H2960&amp;" "," ","|",2))-FIND("|",SUBSTITUTE($H2960&amp;" "," ","|",1))-1),""))</f>
        <v/>
      </c>
      <c r="D2960" s="58">
        <f>IF($H2960="","",IFERROR(MID($H2960&amp;" ",FIND("|",SUBSTITUTE($H2960&amp;" "," ","|",2))+1,FIND("|",SUBSTITUTE($H2960&amp;" "," ","|",3))-FIND("|",SUBSTITUTE($H2960&amp;" "," ","|",2))-1),""))</f>
        <v/>
      </c>
      <c r="E2960" s="58">
        <f>IF($H2960="","",IFERROR(MID($H2960&amp;" ",FIND("|",SUBSTITUTE($H2960&amp;" "," ","|",3))+1,FIND("|",SUBSTITUTE($H2960&amp;" "," ","|",4))-FIND("|",SUBSTITUTE($H2960&amp;" "," ","|",3))-1),""))</f>
        <v/>
      </c>
      <c r="F2960" s="59">
        <f>IF($H2960="","",IFERROR(VALUE(IFERROR(MID($H2960&amp;" ",FIND("|",SUBSTITUTE($H2960&amp;" "," ","|",4))+1,FIND("|",SUBSTITUTE($H2960&amp;" "," ","|",5))-FIND("|",SUBSTITUTE($H2960&amp;" "," ","|",4))-1),""))/86400+25569+9/24,""))</f>
        <v/>
      </c>
      <c r="G2960" s="58">
        <f>TRIM(SUBSTITUTE(SUBSTITUTE(SUBSTITUTE($A2960,CHAR(9)," ")," "," "),CHAR(13),""))</f>
        <v/>
      </c>
      <c r="H2960" s="58">
        <f>IF($G2960="","",IF(ISNUMBER(FIND(" ",$G2960)),$G2960,IFERROR(IF((LEN(SUBSTITUTE(SUBSTITUTE($G2960,"-"," ",LEN($G2960)-LEN(SUBSTITUTE($G2960,"-",""))),"-"," ",LEN($G2960)-LEN(SUBSTITUTE($G2960,"-",""))-1))-LEN(SUBSTITUTE(SUBSTITUTE(SUBSTITUTE($G2960,"-"," ",LEN($G2960)-LEN(SUBSTITUTE($G2960,"-",""))),"-"," ",LEN($G2960)-LEN(SUBSTITUTE($G2960,"-",""))-1),".","")))=0,SUBSTITUTE(SUBSTITUTE($G2960,"-"," ",LEN($G2960)-LEN(SUBSTITUTE($G2960,"-",""))),"-"," ",LEN($G2960)-LEN(SUBSTITUTE($G2960,"-",""))-1),SUBSTITUTE(SUBSTITUTE(SUBSTITUTE($G2960,"-"," ",LEN($G2960)-LEN(SUBSTITUTE($G2960,"-",""))),"-"," ",LEN($G2960)-LEN(SUBSTITUTE($G2960,"-",""))-1),"."," ",(LEN(SUBSTITUTE(SUBSTITUTE($G2960,"-"," ",LEN($G2960)-LEN(SUBSTITUTE($G2960,"-",""))),"-"," ",LEN($G2960)-LEN(SUBSTITUTE($G2960,"-",""))-1))-LEN(SUBSTITUTE(SUBSTITUTE(SUBSTITUTE($G2960,"-"," ",LEN($G2960)-LEN(SUBSTITUTE($G2960,"-",""))),"-"," ",LEN($G2960)-LEN(SUBSTITUTE($G2960,"-",""))-1),".",""))))),$G2960)))</f>
        <v/>
      </c>
    </row>
    <row r="2961">
      <c r="A2961" s="58" t="n"/>
      <c r="B2961" s="58">
        <f>IF($H2961="","",LEFT($H2961,FIND(" ",$H2961&amp;" ")-1))</f>
        <v/>
      </c>
      <c r="C2961" s="58">
        <f>IF($H2961="","",IFERROR(MID($H2961&amp;" ",FIND("|",SUBSTITUTE($H2961&amp;" "," ","|",1))+1,FIND("|",SUBSTITUTE($H2961&amp;" "," ","|",2))-FIND("|",SUBSTITUTE($H2961&amp;" "," ","|",1))-1),""))</f>
        <v/>
      </c>
      <c r="D2961" s="58">
        <f>IF($H2961="","",IFERROR(MID($H2961&amp;" ",FIND("|",SUBSTITUTE($H2961&amp;" "," ","|",2))+1,FIND("|",SUBSTITUTE($H2961&amp;" "," ","|",3))-FIND("|",SUBSTITUTE($H2961&amp;" "," ","|",2))-1),""))</f>
        <v/>
      </c>
      <c r="E2961" s="58">
        <f>IF($H2961="","",IFERROR(MID($H2961&amp;" ",FIND("|",SUBSTITUTE($H2961&amp;" "," ","|",3))+1,FIND("|",SUBSTITUTE($H2961&amp;" "," ","|",4))-FIND("|",SUBSTITUTE($H2961&amp;" "," ","|",3))-1),""))</f>
        <v/>
      </c>
      <c r="F2961" s="59">
        <f>IF($H2961="","",IFERROR(VALUE(IFERROR(MID($H2961&amp;" ",FIND("|",SUBSTITUTE($H2961&amp;" "," ","|",4))+1,FIND("|",SUBSTITUTE($H2961&amp;" "," ","|",5))-FIND("|",SUBSTITUTE($H2961&amp;" "," ","|",4))-1),""))/86400+25569+9/24,""))</f>
        <v/>
      </c>
      <c r="G2961" s="58">
        <f>TRIM(SUBSTITUTE(SUBSTITUTE(SUBSTITUTE($A2961,CHAR(9)," ")," "," "),CHAR(13),""))</f>
        <v/>
      </c>
      <c r="H2961" s="58">
        <f>IF($G2961="","",IF(ISNUMBER(FIND(" ",$G2961)),$G2961,IFERROR(IF((LEN(SUBSTITUTE(SUBSTITUTE($G2961,"-"," ",LEN($G2961)-LEN(SUBSTITUTE($G2961,"-",""))),"-"," ",LEN($G2961)-LEN(SUBSTITUTE($G2961,"-",""))-1))-LEN(SUBSTITUTE(SUBSTITUTE(SUBSTITUTE($G2961,"-"," ",LEN($G2961)-LEN(SUBSTITUTE($G2961,"-",""))),"-"," ",LEN($G2961)-LEN(SUBSTITUTE($G2961,"-",""))-1),".","")))=0,SUBSTITUTE(SUBSTITUTE($G2961,"-"," ",LEN($G2961)-LEN(SUBSTITUTE($G2961,"-",""))),"-"," ",LEN($G2961)-LEN(SUBSTITUTE($G2961,"-",""))-1),SUBSTITUTE(SUBSTITUTE(SUBSTITUTE($G2961,"-"," ",LEN($G2961)-LEN(SUBSTITUTE($G2961,"-",""))),"-"," ",LEN($G2961)-LEN(SUBSTITUTE($G2961,"-",""))-1),"."," ",(LEN(SUBSTITUTE(SUBSTITUTE($G2961,"-"," ",LEN($G2961)-LEN(SUBSTITUTE($G2961,"-",""))),"-"," ",LEN($G2961)-LEN(SUBSTITUTE($G2961,"-",""))-1))-LEN(SUBSTITUTE(SUBSTITUTE(SUBSTITUTE($G2961,"-"," ",LEN($G2961)-LEN(SUBSTITUTE($G2961,"-",""))),"-"," ",LEN($G2961)-LEN(SUBSTITUTE($G2961,"-",""))-1),".",""))))),$G2961)))</f>
        <v/>
      </c>
    </row>
    <row r="2962">
      <c r="A2962" s="58" t="n"/>
      <c r="B2962" s="58">
        <f>IF($H2962="","",LEFT($H2962,FIND(" ",$H2962&amp;" ")-1))</f>
        <v/>
      </c>
      <c r="C2962" s="58">
        <f>IF($H2962="","",IFERROR(MID($H2962&amp;" ",FIND("|",SUBSTITUTE($H2962&amp;" "," ","|",1))+1,FIND("|",SUBSTITUTE($H2962&amp;" "," ","|",2))-FIND("|",SUBSTITUTE($H2962&amp;" "," ","|",1))-1),""))</f>
        <v/>
      </c>
      <c r="D2962" s="58">
        <f>IF($H2962="","",IFERROR(MID($H2962&amp;" ",FIND("|",SUBSTITUTE($H2962&amp;" "," ","|",2))+1,FIND("|",SUBSTITUTE($H2962&amp;" "," ","|",3))-FIND("|",SUBSTITUTE($H2962&amp;" "," ","|",2))-1),""))</f>
        <v/>
      </c>
      <c r="E2962" s="58">
        <f>IF($H2962="","",IFERROR(MID($H2962&amp;" ",FIND("|",SUBSTITUTE($H2962&amp;" "," ","|",3))+1,FIND("|",SUBSTITUTE($H2962&amp;" "," ","|",4))-FIND("|",SUBSTITUTE($H2962&amp;" "," ","|",3))-1),""))</f>
        <v/>
      </c>
      <c r="F2962" s="59">
        <f>IF($H2962="","",IFERROR(VALUE(IFERROR(MID($H2962&amp;" ",FIND("|",SUBSTITUTE($H2962&amp;" "," ","|",4))+1,FIND("|",SUBSTITUTE($H2962&amp;" "," ","|",5))-FIND("|",SUBSTITUTE($H2962&amp;" "," ","|",4))-1),""))/86400+25569+9/24,""))</f>
        <v/>
      </c>
      <c r="G2962" s="58">
        <f>TRIM(SUBSTITUTE(SUBSTITUTE(SUBSTITUTE($A2962,CHAR(9)," ")," "," "),CHAR(13),""))</f>
        <v/>
      </c>
      <c r="H2962" s="58">
        <f>IF($G2962="","",IF(ISNUMBER(FIND(" ",$G2962)),$G2962,IFERROR(IF((LEN(SUBSTITUTE(SUBSTITUTE($G2962,"-"," ",LEN($G2962)-LEN(SUBSTITUTE($G2962,"-",""))),"-"," ",LEN($G2962)-LEN(SUBSTITUTE($G2962,"-",""))-1))-LEN(SUBSTITUTE(SUBSTITUTE(SUBSTITUTE($G2962,"-"," ",LEN($G2962)-LEN(SUBSTITUTE($G2962,"-",""))),"-"," ",LEN($G2962)-LEN(SUBSTITUTE($G2962,"-",""))-1),".","")))=0,SUBSTITUTE(SUBSTITUTE($G2962,"-"," ",LEN($G2962)-LEN(SUBSTITUTE($G2962,"-",""))),"-"," ",LEN($G2962)-LEN(SUBSTITUTE($G2962,"-",""))-1),SUBSTITUTE(SUBSTITUTE(SUBSTITUTE($G2962,"-"," ",LEN($G2962)-LEN(SUBSTITUTE($G2962,"-",""))),"-"," ",LEN($G2962)-LEN(SUBSTITUTE($G2962,"-",""))-1),"."," ",(LEN(SUBSTITUTE(SUBSTITUTE($G2962,"-"," ",LEN($G2962)-LEN(SUBSTITUTE($G2962,"-",""))),"-"," ",LEN($G2962)-LEN(SUBSTITUTE($G2962,"-",""))-1))-LEN(SUBSTITUTE(SUBSTITUTE(SUBSTITUTE($G2962,"-"," ",LEN($G2962)-LEN(SUBSTITUTE($G2962,"-",""))),"-"," ",LEN($G2962)-LEN(SUBSTITUTE($G2962,"-",""))-1),".",""))))),$G2962)))</f>
        <v/>
      </c>
    </row>
    <row r="2963">
      <c r="A2963" s="58" t="n"/>
      <c r="B2963" s="58">
        <f>IF($H2963="","",LEFT($H2963,FIND(" ",$H2963&amp;" ")-1))</f>
        <v/>
      </c>
      <c r="C2963" s="58">
        <f>IF($H2963="","",IFERROR(MID($H2963&amp;" ",FIND("|",SUBSTITUTE($H2963&amp;" "," ","|",1))+1,FIND("|",SUBSTITUTE($H2963&amp;" "," ","|",2))-FIND("|",SUBSTITUTE($H2963&amp;" "," ","|",1))-1),""))</f>
        <v/>
      </c>
      <c r="D2963" s="58">
        <f>IF($H2963="","",IFERROR(MID($H2963&amp;" ",FIND("|",SUBSTITUTE($H2963&amp;" "," ","|",2))+1,FIND("|",SUBSTITUTE($H2963&amp;" "," ","|",3))-FIND("|",SUBSTITUTE($H2963&amp;" "," ","|",2))-1),""))</f>
        <v/>
      </c>
      <c r="E2963" s="58">
        <f>IF($H2963="","",IFERROR(MID($H2963&amp;" ",FIND("|",SUBSTITUTE($H2963&amp;" "," ","|",3))+1,FIND("|",SUBSTITUTE($H2963&amp;" "," ","|",4))-FIND("|",SUBSTITUTE($H2963&amp;" "," ","|",3))-1),""))</f>
        <v/>
      </c>
      <c r="F2963" s="59">
        <f>IF($H2963="","",IFERROR(VALUE(IFERROR(MID($H2963&amp;" ",FIND("|",SUBSTITUTE($H2963&amp;" "," ","|",4))+1,FIND("|",SUBSTITUTE($H2963&amp;" "," ","|",5))-FIND("|",SUBSTITUTE($H2963&amp;" "," ","|",4))-1),""))/86400+25569+9/24,""))</f>
        <v/>
      </c>
      <c r="G2963" s="58">
        <f>TRIM(SUBSTITUTE(SUBSTITUTE(SUBSTITUTE($A2963,CHAR(9)," ")," "," "),CHAR(13),""))</f>
        <v/>
      </c>
      <c r="H2963" s="58">
        <f>IF($G2963="","",IF(ISNUMBER(FIND(" ",$G2963)),$G2963,IFERROR(IF((LEN(SUBSTITUTE(SUBSTITUTE($G2963,"-"," ",LEN($G2963)-LEN(SUBSTITUTE($G2963,"-",""))),"-"," ",LEN($G2963)-LEN(SUBSTITUTE($G2963,"-",""))-1))-LEN(SUBSTITUTE(SUBSTITUTE(SUBSTITUTE($G2963,"-"," ",LEN($G2963)-LEN(SUBSTITUTE($G2963,"-",""))),"-"," ",LEN($G2963)-LEN(SUBSTITUTE($G2963,"-",""))-1),".","")))=0,SUBSTITUTE(SUBSTITUTE($G2963,"-"," ",LEN($G2963)-LEN(SUBSTITUTE($G2963,"-",""))),"-"," ",LEN($G2963)-LEN(SUBSTITUTE($G2963,"-",""))-1),SUBSTITUTE(SUBSTITUTE(SUBSTITUTE($G2963,"-"," ",LEN($G2963)-LEN(SUBSTITUTE($G2963,"-",""))),"-"," ",LEN($G2963)-LEN(SUBSTITUTE($G2963,"-",""))-1),"."," ",(LEN(SUBSTITUTE(SUBSTITUTE($G2963,"-"," ",LEN($G2963)-LEN(SUBSTITUTE($G2963,"-",""))),"-"," ",LEN($G2963)-LEN(SUBSTITUTE($G2963,"-",""))-1))-LEN(SUBSTITUTE(SUBSTITUTE(SUBSTITUTE($G2963,"-"," ",LEN($G2963)-LEN(SUBSTITUTE($G2963,"-",""))),"-"," ",LEN($G2963)-LEN(SUBSTITUTE($G2963,"-",""))-1),".",""))))),$G2963)))</f>
        <v/>
      </c>
    </row>
    <row r="2964">
      <c r="A2964" s="58" t="n"/>
      <c r="B2964" s="58">
        <f>IF($H2964="","",LEFT($H2964,FIND(" ",$H2964&amp;" ")-1))</f>
        <v/>
      </c>
      <c r="C2964" s="58">
        <f>IF($H2964="","",IFERROR(MID($H2964&amp;" ",FIND("|",SUBSTITUTE($H2964&amp;" "," ","|",1))+1,FIND("|",SUBSTITUTE($H2964&amp;" "," ","|",2))-FIND("|",SUBSTITUTE($H2964&amp;" "," ","|",1))-1),""))</f>
        <v/>
      </c>
      <c r="D2964" s="58">
        <f>IF($H2964="","",IFERROR(MID($H2964&amp;" ",FIND("|",SUBSTITUTE($H2964&amp;" "," ","|",2))+1,FIND("|",SUBSTITUTE($H2964&amp;" "," ","|",3))-FIND("|",SUBSTITUTE($H2964&amp;" "," ","|",2))-1),""))</f>
        <v/>
      </c>
      <c r="E2964" s="58">
        <f>IF($H2964="","",IFERROR(MID($H2964&amp;" ",FIND("|",SUBSTITUTE($H2964&amp;" "," ","|",3))+1,FIND("|",SUBSTITUTE($H2964&amp;" "," ","|",4))-FIND("|",SUBSTITUTE($H2964&amp;" "," ","|",3))-1),""))</f>
        <v/>
      </c>
      <c r="F2964" s="59">
        <f>IF($H2964="","",IFERROR(VALUE(IFERROR(MID($H2964&amp;" ",FIND("|",SUBSTITUTE($H2964&amp;" "," ","|",4))+1,FIND("|",SUBSTITUTE($H2964&amp;" "," ","|",5))-FIND("|",SUBSTITUTE($H2964&amp;" "," ","|",4))-1),""))/86400+25569+9/24,""))</f>
        <v/>
      </c>
      <c r="G2964" s="58">
        <f>TRIM(SUBSTITUTE(SUBSTITUTE(SUBSTITUTE($A2964,CHAR(9)," ")," "," "),CHAR(13),""))</f>
        <v/>
      </c>
      <c r="H2964" s="58">
        <f>IF($G2964="","",IF(ISNUMBER(FIND(" ",$G2964)),$G2964,IFERROR(IF((LEN(SUBSTITUTE(SUBSTITUTE($G2964,"-"," ",LEN($G2964)-LEN(SUBSTITUTE($G2964,"-",""))),"-"," ",LEN($G2964)-LEN(SUBSTITUTE($G2964,"-",""))-1))-LEN(SUBSTITUTE(SUBSTITUTE(SUBSTITUTE($G2964,"-"," ",LEN($G2964)-LEN(SUBSTITUTE($G2964,"-",""))),"-"," ",LEN($G2964)-LEN(SUBSTITUTE($G2964,"-",""))-1),".","")))=0,SUBSTITUTE(SUBSTITUTE($G2964,"-"," ",LEN($G2964)-LEN(SUBSTITUTE($G2964,"-",""))),"-"," ",LEN($G2964)-LEN(SUBSTITUTE($G2964,"-",""))-1),SUBSTITUTE(SUBSTITUTE(SUBSTITUTE($G2964,"-"," ",LEN($G2964)-LEN(SUBSTITUTE($G2964,"-",""))),"-"," ",LEN($G2964)-LEN(SUBSTITUTE($G2964,"-",""))-1),"."," ",(LEN(SUBSTITUTE(SUBSTITUTE($G2964,"-"," ",LEN($G2964)-LEN(SUBSTITUTE($G2964,"-",""))),"-"," ",LEN($G2964)-LEN(SUBSTITUTE($G2964,"-",""))-1))-LEN(SUBSTITUTE(SUBSTITUTE(SUBSTITUTE($G2964,"-"," ",LEN($G2964)-LEN(SUBSTITUTE($G2964,"-",""))),"-"," ",LEN($G2964)-LEN(SUBSTITUTE($G2964,"-",""))-1),".",""))))),$G2964)))</f>
        <v/>
      </c>
    </row>
    <row r="2965">
      <c r="A2965" s="58" t="n"/>
      <c r="B2965" s="58">
        <f>IF($H2965="","",LEFT($H2965,FIND(" ",$H2965&amp;" ")-1))</f>
        <v/>
      </c>
      <c r="C2965" s="58">
        <f>IF($H2965="","",IFERROR(MID($H2965&amp;" ",FIND("|",SUBSTITUTE($H2965&amp;" "," ","|",1))+1,FIND("|",SUBSTITUTE($H2965&amp;" "," ","|",2))-FIND("|",SUBSTITUTE($H2965&amp;" "," ","|",1))-1),""))</f>
        <v/>
      </c>
      <c r="D2965" s="58">
        <f>IF($H2965="","",IFERROR(MID($H2965&amp;" ",FIND("|",SUBSTITUTE($H2965&amp;" "," ","|",2))+1,FIND("|",SUBSTITUTE($H2965&amp;" "," ","|",3))-FIND("|",SUBSTITUTE($H2965&amp;" "," ","|",2))-1),""))</f>
        <v/>
      </c>
      <c r="E2965" s="58">
        <f>IF($H2965="","",IFERROR(MID($H2965&amp;" ",FIND("|",SUBSTITUTE($H2965&amp;" "," ","|",3))+1,FIND("|",SUBSTITUTE($H2965&amp;" "," ","|",4))-FIND("|",SUBSTITUTE($H2965&amp;" "," ","|",3))-1),""))</f>
        <v/>
      </c>
      <c r="F2965" s="59">
        <f>IF($H2965="","",IFERROR(VALUE(IFERROR(MID($H2965&amp;" ",FIND("|",SUBSTITUTE($H2965&amp;" "," ","|",4))+1,FIND("|",SUBSTITUTE($H2965&amp;" "," ","|",5))-FIND("|",SUBSTITUTE($H2965&amp;" "," ","|",4))-1),""))/86400+25569+9/24,""))</f>
        <v/>
      </c>
      <c r="G2965" s="58">
        <f>TRIM(SUBSTITUTE(SUBSTITUTE(SUBSTITUTE($A2965,CHAR(9)," ")," "," "),CHAR(13),""))</f>
        <v/>
      </c>
      <c r="H2965" s="58">
        <f>IF($G2965="","",IF(ISNUMBER(FIND(" ",$G2965)),$G2965,IFERROR(IF((LEN(SUBSTITUTE(SUBSTITUTE($G2965,"-"," ",LEN($G2965)-LEN(SUBSTITUTE($G2965,"-",""))),"-"," ",LEN($G2965)-LEN(SUBSTITUTE($G2965,"-",""))-1))-LEN(SUBSTITUTE(SUBSTITUTE(SUBSTITUTE($G2965,"-"," ",LEN($G2965)-LEN(SUBSTITUTE($G2965,"-",""))),"-"," ",LEN($G2965)-LEN(SUBSTITUTE($G2965,"-",""))-1),".","")))=0,SUBSTITUTE(SUBSTITUTE($G2965,"-"," ",LEN($G2965)-LEN(SUBSTITUTE($G2965,"-",""))),"-"," ",LEN($G2965)-LEN(SUBSTITUTE($G2965,"-",""))-1),SUBSTITUTE(SUBSTITUTE(SUBSTITUTE($G2965,"-"," ",LEN($G2965)-LEN(SUBSTITUTE($G2965,"-",""))),"-"," ",LEN($G2965)-LEN(SUBSTITUTE($G2965,"-",""))-1),"."," ",(LEN(SUBSTITUTE(SUBSTITUTE($G2965,"-"," ",LEN($G2965)-LEN(SUBSTITUTE($G2965,"-",""))),"-"," ",LEN($G2965)-LEN(SUBSTITUTE($G2965,"-",""))-1))-LEN(SUBSTITUTE(SUBSTITUTE(SUBSTITUTE($G2965,"-"," ",LEN($G2965)-LEN(SUBSTITUTE($G2965,"-",""))),"-"," ",LEN($G2965)-LEN(SUBSTITUTE($G2965,"-",""))-1),".",""))))),$G2965)))</f>
        <v/>
      </c>
    </row>
    <row r="2966">
      <c r="A2966" s="58" t="n"/>
      <c r="B2966" s="58">
        <f>IF($H2966="","",LEFT($H2966,FIND(" ",$H2966&amp;" ")-1))</f>
        <v/>
      </c>
      <c r="C2966" s="58">
        <f>IF($H2966="","",IFERROR(MID($H2966&amp;" ",FIND("|",SUBSTITUTE($H2966&amp;" "," ","|",1))+1,FIND("|",SUBSTITUTE($H2966&amp;" "," ","|",2))-FIND("|",SUBSTITUTE($H2966&amp;" "," ","|",1))-1),""))</f>
        <v/>
      </c>
      <c r="D2966" s="58">
        <f>IF($H2966="","",IFERROR(MID($H2966&amp;" ",FIND("|",SUBSTITUTE($H2966&amp;" "," ","|",2))+1,FIND("|",SUBSTITUTE($H2966&amp;" "," ","|",3))-FIND("|",SUBSTITUTE($H2966&amp;" "," ","|",2))-1),""))</f>
        <v/>
      </c>
      <c r="E2966" s="58">
        <f>IF($H2966="","",IFERROR(MID($H2966&amp;" ",FIND("|",SUBSTITUTE($H2966&amp;" "," ","|",3))+1,FIND("|",SUBSTITUTE($H2966&amp;" "," ","|",4))-FIND("|",SUBSTITUTE($H2966&amp;" "," ","|",3))-1),""))</f>
        <v/>
      </c>
      <c r="F2966" s="59">
        <f>IF($H2966="","",IFERROR(VALUE(IFERROR(MID($H2966&amp;" ",FIND("|",SUBSTITUTE($H2966&amp;" "," ","|",4))+1,FIND("|",SUBSTITUTE($H2966&amp;" "," ","|",5))-FIND("|",SUBSTITUTE($H2966&amp;" "," ","|",4))-1),""))/86400+25569+9/24,""))</f>
        <v/>
      </c>
      <c r="G2966" s="58">
        <f>TRIM(SUBSTITUTE(SUBSTITUTE(SUBSTITUTE($A2966,CHAR(9)," ")," "," "),CHAR(13),""))</f>
        <v/>
      </c>
      <c r="H2966" s="58">
        <f>IF($G2966="","",IF(ISNUMBER(FIND(" ",$G2966)),$G2966,IFERROR(IF((LEN(SUBSTITUTE(SUBSTITUTE($G2966,"-"," ",LEN($G2966)-LEN(SUBSTITUTE($G2966,"-",""))),"-"," ",LEN($G2966)-LEN(SUBSTITUTE($G2966,"-",""))-1))-LEN(SUBSTITUTE(SUBSTITUTE(SUBSTITUTE($G2966,"-"," ",LEN($G2966)-LEN(SUBSTITUTE($G2966,"-",""))),"-"," ",LEN($G2966)-LEN(SUBSTITUTE($G2966,"-",""))-1),".","")))=0,SUBSTITUTE(SUBSTITUTE($G2966,"-"," ",LEN($G2966)-LEN(SUBSTITUTE($G2966,"-",""))),"-"," ",LEN($G2966)-LEN(SUBSTITUTE($G2966,"-",""))-1),SUBSTITUTE(SUBSTITUTE(SUBSTITUTE($G2966,"-"," ",LEN($G2966)-LEN(SUBSTITUTE($G2966,"-",""))),"-"," ",LEN($G2966)-LEN(SUBSTITUTE($G2966,"-",""))-1),"."," ",(LEN(SUBSTITUTE(SUBSTITUTE($G2966,"-"," ",LEN($G2966)-LEN(SUBSTITUTE($G2966,"-",""))),"-"," ",LEN($G2966)-LEN(SUBSTITUTE($G2966,"-",""))-1))-LEN(SUBSTITUTE(SUBSTITUTE(SUBSTITUTE($G2966,"-"," ",LEN($G2966)-LEN(SUBSTITUTE($G2966,"-",""))),"-"," ",LEN($G2966)-LEN(SUBSTITUTE($G2966,"-",""))-1),".",""))))),$G2966)))</f>
        <v/>
      </c>
    </row>
    <row r="2967">
      <c r="A2967" s="58" t="n"/>
      <c r="B2967" s="58">
        <f>IF($H2967="","",LEFT($H2967,FIND(" ",$H2967&amp;" ")-1))</f>
        <v/>
      </c>
      <c r="C2967" s="58">
        <f>IF($H2967="","",IFERROR(MID($H2967&amp;" ",FIND("|",SUBSTITUTE($H2967&amp;" "," ","|",1))+1,FIND("|",SUBSTITUTE($H2967&amp;" "," ","|",2))-FIND("|",SUBSTITUTE($H2967&amp;" "," ","|",1))-1),""))</f>
        <v/>
      </c>
      <c r="D2967" s="58">
        <f>IF($H2967="","",IFERROR(MID($H2967&amp;" ",FIND("|",SUBSTITUTE($H2967&amp;" "," ","|",2))+1,FIND("|",SUBSTITUTE($H2967&amp;" "," ","|",3))-FIND("|",SUBSTITUTE($H2967&amp;" "," ","|",2))-1),""))</f>
        <v/>
      </c>
      <c r="E2967" s="58">
        <f>IF($H2967="","",IFERROR(MID($H2967&amp;" ",FIND("|",SUBSTITUTE($H2967&amp;" "," ","|",3))+1,FIND("|",SUBSTITUTE($H2967&amp;" "," ","|",4))-FIND("|",SUBSTITUTE($H2967&amp;" "," ","|",3))-1),""))</f>
        <v/>
      </c>
      <c r="F2967" s="59">
        <f>IF($H2967="","",IFERROR(VALUE(IFERROR(MID($H2967&amp;" ",FIND("|",SUBSTITUTE($H2967&amp;" "," ","|",4))+1,FIND("|",SUBSTITUTE($H2967&amp;" "," ","|",5))-FIND("|",SUBSTITUTE($H2967&amp;" "," ","|",4))-1),""))/86400+25569+9/24,""))</f>
        <v/>
      </c>
      <c r="G2967" s="58">
        <f>TRIM(SUBSTITUTE(SUBSTITUTE(SUBSTITUTE($A2967,CHAR(9)," ")," "," "),CHAR(13),""))</f>
        <v/>
      </c>
      <c r="H2967" s="58">
        <f>IF($G2967="","",IF(ISNUMBER(FIND(" ",$G2967)),$G2967,IFERROR(IF((LEN(SUBSTITUTE(SUBSTITUTE($G2967,"-"," ",LEN($G2967)-LEN(SUBSTITUTE($G2967,"-",""))),"-"," ",LEN($G2967)-LEN(SUBSTITUTE($G2967,"-",""))-1))-LEN(SUBSTITUTE(SUBSTITUTE(SUBSTITUTE($G2967,"-"," ",LEN($G2967)-LEN(SUBSTITUTE($G2967,"-",""))),"-"," ",LEN($G2967)-LEN(SUBSTITUTE($G2967,"-",""))-1),".","")))=0,SUBSTITUTE(SUBSTITUTE($G2967,"-"," ",LEN($G2967)-LEN(SUBSTITUTE($G2967,"-",""))),"-"," ",LEN($G2967)-LEN(SUBSTITUTE($G2967,"-",""))-1),SUBSTITUTE(SUBSTITUTE(SUBSTITUTE($G2967,"-"," ",LEN($G2967)-LEN(SUBSTITUTE($G2967,"-",""))),"-"," ",LEN($G2967)-LEN(SUBSTITUTE($G2967,"-",""))-1),"."," ",(LEN(SUBSTITUTE(SUBSTITUTE($G2967,"-"," ",LEN($G2967)-LEN(SUBSTITUTE($G2967,"-",""))),"-"," ",LEN($G2967)-LEN(SUBSTITUTE($G2967,"-",""))-1))-LEN(SUBSTITUTE(SUBSTITUTE(SUBSTITUTE($G2967,"-"," ",LEN($G2967)-LEN(SUBSTITUTE($G2967,"-",""))),"-"," ",LEN($G2967)-LEN(SUBSTITUTE($G2967,"-",""))-1),".",""))))),$G2967)))</f>
        <v/>
      </c>
    </row>
    <row r="2968">
      <c r="A2968" s="58" t="n"/>
      <c r="B2968" s="58">
        <f>IF($H2968="","",LEFT($H2968,FIND(" ",$H2968&amp;" ")-1))</f>
        <v/>
      </c>
      <c r="C2968" s="58">
        <f>IF($H2968="","",IFERROR(MID($H2968&amp;" ",FIND("|",SUBSTITUTE($H2968&amp;" "," ","|",1))+1,FIND("|",SUBSTITUTE($H2968&amp;" "," ","|",2))-FIND("|",SUBSTITUTE($H2968&amp;" "," ","|",1))-1),""))</f>
        <v/>
      </c>
      <c r="D2968" s="58">
        <f>IF($H2968="","",IFERROR(MID($H2968&amp;" ",FIND("|",SUBSTITUTE($H2968&amp;" "," ","|",2))+1,FIND("|",SUBSTITUTE($H2968&amp;" "," ","|",3))-FIND("|",SUBSTITUTE($H2968&amp;" "," ","|",2))-1),""))</f>
        <v/>
      </c>
      <c r="E2968" s="58">
        <f>IF($H2968="","",IFERROR(MID($H2968&amp;" ",FIND("|",SUBSTITUTE($H2968&amp;" "," ","|",3))+1,FIND("|",SUBSTITUTE($H2968&amp;" "," ","|",4))-FIND("|",SUBSTITUTE($H2968&amp;" "," ","|",3))-1),""))</f>
        <v/>
      </c>
      <c r="F2968" s="59">
        <f>IF($H2968="","",IFERROR(VALUE(IFERROR(MID($H2968&amp;" ",FIND("|",SUBSTITUTE($H2968&amp;" "," ","|",4))+1,FIND("|",SUBSTITUTE($H2968&amp;" "," ","|",5))-FIND("|",SUBSTITUTE($H2968&amp;" "," ","|",4))-1),""))/86400+25569+9/24,""))</f>
        <v/>
      </c>
      <c r="G2968" s="58">
        <f>TRIM(SUBSTITUTE(SUBSTITUTE(SUBSTITUTE($A2968,CHAR(9)," ")," "," "),CHAR(13),""))</f>
        <v/>
      </c>
      <c r="H2968" s="58">
        <f>IF($G2968="","",IF(ISNUMBER(FIND(" ",$G2968)),$G2968,IFERROR(IF((LEN(SUBSTITUTE(SUBSTITUTE($G2968,"-"," ",LEN($G2968)-LEN(SUBSTITUTE($G2968,"-",""))),"-"," ",LEN($G2968)-LEN(SUBSTITUTE($G2968,"-",""))-1))-LEN(SUBSTITUTE(SUBSTITUTE(SUBSTITUTE($G2968,"-"," ",LEN($G2968)-LEN(SUBSTITUTE($G2968,"-",""))),"-"," ",LEN($G2968)-LEN(SUBSTITUTE($G2968,"-",""))-1),".","")))=0,SUBSTITUTE(SUBSTITUTE($G2968,"-"," ",LEN($G2968)-LEN(SUBSTITUTE($G2968,"-",""))),"-"," ",LEN($G2968)-LEN(SUBSTITUTE($G2968,"-",""))-1),SUBSTITUTE(SUBSTITUTE(SUBSTITUTE($G2968,"-"," ",LEN($G2968)-LEN(SUBSTITUTE($G2968,"-",""))),"-"," ",LEN($G2968)-LEN(SUBSTITUTE($G2968,"-",""))-1),"."," ",(LEN(SUBSTITUTE(SUBSTITUTE($G2968,"-"," ",LEN($G2968)-LEN(SUBSTITUTE($G2968,"-",""))),"-"," ",LEN($G2968)-LEN(SUBSTITUTE($G2968,"-",""))-1))-LEN(SUBSTITUTE(SUBSTITUTE(SUBSTITUTE($G2968,"-"," ",LEN($G2968)-LEN(SUBSTITUTE($G2968,"-",""))),"-"," ",LEN($G2968)-LEN(SUBSTITUTE($G2968,"-",""))-1),".",""))))),$G2968)))</f>
        <v/>
      </c>
    </row>
    <row r="2969">
      <c r="A2969" s="58" t="n"/>
      <c r="B2969" s="58">
        <f>IF($H2969="","",LEFT($H2969,FIND(" ",$H2969&amp;" ")-1))</f>
        <v/>
      </c>
      <c r="C2969" s="58">
        <f>IF($H2969="","",IFERROR(MID($H2969&amp;" ",FIND("|",SUBSTITUTE($H2969&amp;" "," ","|",1))+1,FIND("|",SUBSTITUTE($H2969&amp;" "," ","|",2))-FIND("|",SUBSTITUTE($H2969&amp;" "," ","|",1))-1),""))</f>
        <v/>
      </c>
      <c r="D2969" s="58">
        <f>IF($H2969="","",IFERROR(MID($H2969&amp;" ",FIND("|",SUBSTITUTE($H2969&amp;" "," ","|",2))+1,FIND("|",SUBSTITUTE($H2969&amp;" "," ","|",3))-FIND("|",SUBSTITUTE($H2969&amp;" "," ","|",2))-1),""))</f>
        <v/>
      </c>
      <c r="E2969" s="58">
        <f>IF($H2969="","",IFERROR(MID($H2969&amp;" ",FIND("|",SUBSTITUTE($H2969&amp;" "," ","|",3))+1,FIND("|",SUBSTITUTE($H2969&amp;" "," ","|",4))-FIND("|",SUBSTITUTE($H2969&amp;" "," ","|",3))-1),""))</f>
        <v/>
      </c>
      <c r="F2969" s="59">
        <f>IF($H2969="","",IFERROR(VALUE(IFERROR(MID($H2969&amp;" ",FIND("|",SUBSTITUTE($H2969&amp;" "," ","|",4))+1,FIND("|",SUBSTITUTE($H2969&amp;" "," ","|",5))-FIND("|",SUBSTITUTE($H2969&amp;" "," ","|",4))-1),""))/86400+25569+9/24,""))</f>
        <v/>
      </c>
      <c r="G2969" s="58">
        <f>TRIM(SUBSTITUTE(SUBSTITUTE(SUBSTITUTE($A2969,CHAR(9)," ")," "," "),CHAR(13),""))</f>
        <v/>
      </c>
      <c r="H2969" s="58">
        <f>IF($G2969="","",IF(ISNUMBER(FIND(" ",$G2969)),$G2969,IFERROR(IF((LEN(SUBSTITUTE(SUBSTITUTE($G2969,"-"," ",LEN($G2969)-LEN(SUBSTITUTE($G2969,"-",""))),"-"," ",LEN($G2969)-LEN(SUBSTITUTE($G2969,"-",""))-1))-LEN(SUBSTITUTE(SUBSTITUTE(SUBSTITUTE($G2969,"-"," ",LEN($G2969)-LEN(SUBSTITUTE($G2969,"-",""))),"-"," ",LEN($G2969)-LEN(SUBSTITUTE($G2969,"-",""))-1),".","")))=0,SUBSTITUTE(SUBSTITUTE($G2969,"-"," ",LEN($G2969)-LEN(SUBSTITUTE($G2969,"-",""))),"-"," ",LEN($G2969)-LEN(SUBSTITUTE($G2969,"-",""))-1),SUBSTITUTE(SUBSTITUTE(SUBSTITUTE($G2969,"-"," ",LEN($G2969)-LEN(SUBSTITUTE($G2969,"-",""))),"-"," ",LEN($G2969)-LEN(SUBSTITUTE($G2969,"-",""))-1),"."," ",(LEN(SUBSTITUTE(SUBSTITUTE($G2969,"-"," ",LEN($G2969)-LEN(SUBSTITUTE($G2969,"-",""))),"-"," ",LEN($G2969)-LEN(SUBSTITUTE($G2969,"-",""))-1))-LEN(SUBSTITUTE(SUBSTITUTE(SUBSTITUTE($G2969,"-"," ",LEN($G2969)-LEN(SUBSTITUTE($G2969,"-",""))),"-"," ",LEN($G2969)-LEN(SUBSTITUTE($G2969,"-",""))-1),".",""))))),$G2969)))</f>
        <v/>
      </c>
    </row>
    <row r="2970">
      <c r="A2970" s="58" t="n"/>
      <c r="B2970" s="58">
        <f>IF($H2970="","",LEFT($H2970,FIND(" ",$H2970&amp;" ")-1))</f>
        <v/>
      </c>
      <c r="C2970" s="58">
        <f>IF($H2970="","",IFERROR(MID($H2970&amp;" ",FIND("|",SUBSTITUTE($H2970&amp;" "," ","|",1))+1,FIND("|",SUBSTITUTE($H2970&amp;" "," ","|",2))-FIND("|",SUBSTITUTE($H2970&amp;" "," ","|",1))-1),""))</f>
        <v/>
      </c>
      <c r="D2970" s="58">
        <f>IF($H2970="","",IFERROR(MID($H2970&amp;" ",FIND("|",SUBSTITUTE($H2970&amp;" "," ","|",2))+1,FIND("|",SUBSTITUTE($H2970&amp;" "," ","|",3))-FIND("|",SUBSTITUTE($H2970&amp;" "," ","|",2))-1),""))</f>
        <v/>
      </c>
      <c r="E2970" s="58">
        <f>IF($H2970="","",IFERROR(MID($H2970&amp;" ",FIND("|",SUBSTITUTE($H2970&amp;" "," ","|",3))+1,FIND("|",SUBSTITUTE($H2970&amp;" "," ","|",4))-FIND("|",SUBSTITUTE($H2970&amp;" "," ","|",3))-1),""))</f>
        <v/>
      </c>
      <c r="F2970" s="59">
        <f>IF($H2970="","",IFERROR(VALUE(IFERROR(MID($H2970&amp;" ",FIND("|",SUBSTITUTE($H2970&amp;" "," ","|",4))+1,FIND("|",SUBSTITUTE($H2970&amp;" "," ","|",5))-FIND("|",SUBSTITUTE($H2970&amp;" "," ","|",4))-1),""))/86400+25569+9/24,""))</f>
        <v/>
      </c>
      <c r="G2970" s="58">
        <f>TRIM(SUBSTITUTE(SUBSTITUTE(SUBSTITUTE($A2970,CHAR(9)," ")," "," "),CHAR(13),""))</f>
        <v/>
      </c>
      <c r="H2970" s="58">
        <f>IF($G2970="","",IF(ISNUMBER(FIND(" ",$G2970)),$G2970,IFERROR(IF((LEN(SUBSTITUTE(SUBSTITUTE($G2970,"-"," ",LEN($G2970)-LEN(SUBSTITUTE($G2970,"-",""))),"-"," ",LEN($G2970)-LEN(SUBSTITUTE($G2970,"-",""))-1))-LEN(SUBSTITUTE(SUBSTITUTE(SUBSTITUTE($G2970,"-"," ",LEN($G2970)-LEN(SUBSTITUTE($G2970,"-",""))),"-"," ",LEN($G2970)-LEN(SUBSTITUTE($G2970,"-",""))-1),".","")))=0,SUBSTITUTE(SUBSTITUTE($G2970,"-"," ",LEN($G2970)-LEN(SUBSTITUTE($G2970,"-",""))),"-"," ",LEN($G2970)-LEN(SUBSTITUTE($G2970,"-",""))-1),SUBSTITUTE(SUBSTITUTE(SUBSTITUTE($G2970,"-"," ",LEN($G2970)-LEN(SUBSTITUTE($G2970,"-",""))),"-"," ",LEN($G2970)-LEN(SUBSTITUTE($G2970,"-",""))-1),"."," ",(LEN(SUBSTITUTE(SUBSTITUTE($G2970,"-"," ",LEN($G2970)-LEN(SUBSTITUTE($G2970,"-",""))),"-"," ",LEN($G2970)-LEN(SUBSTITUTE($G2970,"-",""))-1))-LEN(SUBSTITUTE(SUBSTITUTE(SUBSTITUTE($G2970,"-"," ",LEN($G2970)-LEN(SUBSTITUTE($G2970,"-",""))),"-"," ",LEN($G2970)-LEN(SUBSTITUTE($G2970,"-",""))-1),".",""))))),$G2970)))</f>
        <v/>
      </c>
    </row>
    <row r="2971">
      <c r="A2971" s="58" t="n"/>
      <c r="B2971" s="58">
        <f>IF($H2971="","",LEFT($H2971,FIND(" ",$H2971&amp;" ")-1))</f>
        <v/>
      </c>
      <c r="C2971" s="58">
        <f>IF($H2971="","",IFERROR(MID($H2971&amp;" ",FIND("|",SUBSTITUTE($H2971&amp;" "," ","|",1))+1,FIND("|",SUBSTITUTE($H2971&amp;" "," ","|",2))-FIND("|",SUBSTITUTE($H2971&amp;" "," ","|",1))-1),""))</f>
        <v/>
      </c>
      <c r="D2971" s="58">
        <f>IF($H2971="","",IFERROR(MID($H2971&amp;" ",FIND("|",SUBSTITUTE($H2971&amp;" "," ","|",2))+1,FIND("|",SUBSTITUTE($H2971&amp;" "," ","|",3))-FIND("|",SUBSTITUTE($H2971&amp;" "," ","|",2))-1),""))</f>
        <v/>
      </c>
      <c r="E2971" s="58">
        <f>IF($H2971="","",IFERROR(MID($H2971&amp;" ",FIND("|",SUBSTITUTE($H2971&amp;" "," ","|",3))+1,FIND("|",SUBSTITUTE($H2971&amp;" "," ","|",4))-FIND("|",SUBSTITUTE($H2971&amp;" "," ","|",3))-1),""))</f>
        <v/>
      </c>
      <c r="F2971" s="59">
        <f>IF($H2971="","",IFERROR(VALUE(IFERROR(MID($H2971&amp;" ",FIND("|",SUBSTITUTE($H2971&amp;" "," ","|",4))+1,FIND("|",SUBSTITUTE($H2971&amp;" "," ","|",5))-FIND("|",SUBSTITUTE($H2971&amp;" "," ","|",4))-1),""))/86400+25569+9/24,""))</f>
        <v/>
      </c>
      <c r="G2971" s="58">
        <f>TRIM(SUBSTITUTE(SUBSTITUTE(SUBSTITUTE($A2971,CHAR(9)," ")," "," "),CHAR(13),""))</f>
        <v/>
      </c>
      <c r="H2971" s="58">
        <f>IF($G2971="","",IF(ISNUMBER(FIND(" ",$G2971)),$G2971,IFERROR(IF((LEN(SUBSTITUTE(SUBSTITUTE($G2971,"-"," ",LEN($G2971)-LEN(SUBSTITUTE($G2971,"-",""))),"-"," ",LEN($G2971)-LEN(SUBSTITUTE($G2971,"-",""))-1))-LEN(SUBSTITUTE(SUBSTITUTE(SUBSTITUTE($G2971,"-"," ",LEN($G2971)-LEN(SUBSTITUTE($G2971,"-",""))),"-"," ",LEN($G2971)-LEN(SUBSTITUTE($G2971,"-",""))-1),".","")))=0,SUBSTITUTE(SUBSTITUTE($G2971,"-"," ",LEN($G2971)-LEN(SUBSTITUTE($G2971,"-",""))),"-"," ",LEN($G2971)-LEN(SUBSTITUTE($G2971,"-",""))-1),SUBSTITUTE(SUBSTITUTE(SUBSTITUTE($G2971,"-"," ",LEN($G2971)-LEN(SUBSTITUTE($G2971,"-",""))),"-"," ",LEN($G2971)-LEN(SUBSTITUTE($G2971,"-",""))-1),"."," ",(LEN(SUBSTITUTE(SUBSTITUTE($G2971,"-"," ",LEN($G2971)-LEN(SUBSTITUTE($G2971,"-",""))),"-"," ",LEN($G2971)-LEN(SUBSTITUTE($G2971,"-",""))-1))-LEN(SUBSTITUTE(SUBSTITUTE(SUBSTITUTE($G2971,"-"," ",LEN($G2971)-LEN(SUBSTITUTE($G2971,"-",""))),"-"," ",LEN($G2971)-LEN(SUBSTITUTE($G2971,"-",""))-1),".",""))))),$G2971)))</f>
        <v/>
      </c>
    </row>
    <row r="2972">
      <c r="A2972" s="58" t="n"/>
      <c r="B2972" s="58">
        <f>IF($H2972="","",LEFT($H2972,FIND(" ",$H2972&amp;" ")-1))</f>
        <v/>
      </c>
      <c r="C2972" s="58">
        <f>IF($H2972="","",IFERROR(MID($H2972&amp;" ",FIND("|",SUBSTITUTE($H2972&amp;" "," ","|",1))+1,FIND("|",SUBSTITUTE($H2972&amp;" "," ","|",2))-FIND("|",SUBSTITUTE($H2972&amp;" "," ","|",1))-1),""))</f>
        <v/>
      </c>
      <c r="D2972" s="58">
        <f>IF($H2972="","",IFERROR(MID($H2972&amp;" ",FIND("|",SUBSTITUTE($H2972&amp;" "," ","|",2))+1,FIND("|",SUBSTITUTE($H2972&amp;" "," ","|",3))-FIND("|",SUBSTITUTE($H2972&amp;" "," ","|",2))-1),""))</f>
        <v/>
      </c>
      <c r="E2972" s="58">
        <f>IF($H2972="","",IFERROR(MID($H2972&amp;" ",FIND("|",SUBSTITUTE($H2972&amp;" "," ","|",3))+1,FIND("|",SUBSTITUTE($H2972&amp;" "," ","|",4))-FIND("|",SUBSTITUTE($H2972&amp;" "," ","|",3))-1),""))</f>
        <v/>
      </c>
      <c r="F2972" s="59">
        <f>IF($H2972="","",IFERROR(VALUE(IFERROR(MID($H2972&amp;" ",FIND("|",SUBSTITUTE($H2972&amp;" "," ","|",4))+1,FIND("|",SUBSTITUTE($H2972&amp;" "," ","|",5))-FIND("|",SUBSTITUTE($H2972&amp;" "," ","|",4))-1),""))/86400+25569+9/24,""))</f>
        <v/>
      </c>
      <c r="G2972" s="58">
        <f>TRIM(SUBSTITUTE(SUBSTITUTE(SUBSTITUTE($A2972,CHAR(9)," ")," "," "),CHAR(13),""))</f>
        <v/>
      </c>
      <c r="H2972" s="58">
        <f>IF($G2972="","",IF(ISNUMBER(FIND(" ",$G2972)),$G2972,IFERROR(IF((LEN(SUBSTITUTE(SUBSTITUTE($G2972,"-"," ",LEN($G2972)-LEN(SUBSTITUTE($G2972,"-",""))),"-"," ",LEN($G2972)-LEN(SUBSTITUTE($G2972,"-",""))-1))-LEN(SUBSTITUTE(SUBSTITUTE(SUBSTITUTE($G2972,"-"," ",LEN($G2972)-LEN(SUBSTITUTE($G2972,"-",""))),"-"," ",LEN($G2972)-LEN(SUBSTITUTE($G2972,"-",""))-1),".","")))=0,SUBSTITUTE(SUBSTITUTE($G2972,"-"," ",LEN($G2972)-LEN(SUBSTITUTE($G2972,"-",""))),"-"," ",LEN($G2972)-LEN(SUBSTITUTE($G2972,"-",""))-1),SUBSTITUTE(SUBSTITUTE(SUBSTITUTE($G2972,"-"," ",LEN($G2972)-LEN(SUBSTITUTE($G2972,"-",""))),"-"," ",LEN($G2972)-LEN(SUBSTITUTE($G2972,"-",""))-1),"."," ",(LEN(SUBSTITUTE(SUBSTITUTE($G2972,"-"," ",LEN($G2972)-LEN(SUBSTITUTE($G2972,"-",""))),"-"," ",LEN($G2972)-LEN(SUBSTITUTE($G2972,"-",""))-1))-LEN(SUBSTITUTE(SUBSTITUTE(SUBSTITUTE($G2972,"-"," ",LEN($G2972)-LEN(SUBSTITUTE($G2972,"-",""))),"-"," ",LEN($G2972)-LEN(SUBSTITUTE($G2972,"-",""))-1),".",""))))),$G2972)))</f>
        <v/>
      </c>
    </row>
    <row r="2973">
      <c r="A2973" s="58" t="n"/>
      <c r="B2973" s="58">
        <f>IF($H2973="","",LEFT($H2973,FIND(" ",$H2973&amp;" ")-1))</f>
        <v/>
      </c>
      <c r="C2973" s="58">
        <f>IF($H2973="","",IFERROR(MID($H2973&amp;" ",FIND("|",SUBSTITUTE($H2973&amp;" "," ","|",1))+1,FIND("|",SUBSTITUTE($H2973&amp;" "," ","|",2))-FIND("|",SUBSTITUTE($H2973&amp;" "," ","|",1))-1),""))</f>
        <v/>
      </c>
      <c r="D2973" s="58">
        <f>IF($H2973="","",IFERROR(MID($H2973&amp;" ",FIND("|",SUBSTITUTE($H2973&amp;" "," ","|",2))+1,FIND("|",SUBSTITUTE($H2973&amp;" "," ","|",3))-FIND("|",SUBSTITUTE($H2973&amp;" "," ","|",2))-1),""))</f>
        <v/>
      </c>
      <c r="E2973" s="58">
        <f>IF($H2973="","",IFERROR(MID($H2973&amp;" ",FIND("|",SUBSTITUTE($H2973&amp;" "," ","|",3))+1,FIND("|",SUBSTITUTE($H2973&amp;" "," ","|",4))-FIND("|",SUBSTITUTE($H2973&amp;" "," ","|",3))-1),""))</f>
        <v/>
      </c>
      <c r="F2973" s="59">
        <f>IF($H2973="","",IFERROR(VALUE(IFERROR(MID($H2973&amp;" ",FIND("|",SUBSTITUTE($H2973&amp;" "," ","|",4))+1,FIND("|",SUBSTITUTE($H2973&amp;" "," ","|",5))-FIND("|",SUBSTITUTE($H2973&amp;" "," ","|",4))-1),""))/86400+25569+9/24,""))</f>
        <v/>
      </c>
      <c r="G2973" s="58">
        <f>TRIM(SUBSTITUTE(SUBSTITUTE(SUBSTITUTE($A2973,CHAR(9)," ")," "," "),CHAR(13),""))</f>
        <v/>
      </c>
      <c r="H2973" s="58">
        <f>IF($G2973="","",IF(ISNUMBER(FIND(" ",$G2973)),$G2973,IFERROR(IF((LEN(SUBSTITUTE(SUBSTITUTE($G2973,"-"," ",LEN($G2973)-LEN(SUBSTITUTE($G2973,"-",""))),"-"," ",LEN($G2973)-LEN(SUBSTITUTE($G2973,"-",""))-1))-LEN(SUBSTITUTE(SUBSTITUTE(SUBSTITUTE($G2973,"-"," ",LEN($G2973)-LEN(SUBSTITUTE($G2973,"-",""))),"-"," ",LEN($G2973)-LEN(SUBSTITUTE($G2973,"-",""))-1),".","")))=0,SUBSTITUTE(SUBSTITUTE($G2973,"-"," ",LEN($G2973)-LEN(SUBSTITUTE($G2973,"-",""))),"-"," ",LEN($G2973)-LEN(SUBSTITUTE($G2973,"-",""))-1),SUBSTITUTE(SUBSTITUTE(SUBSTITUTE($G2973,"-"," ",LEN($G2973)-LEN(SUBSTITUTE($G2973,"-",""))),"-"," ",LEN($G2973)-LEN(SUBSTITUTE($G2973,"-",""))-1),"."," ",(LEN(SUBSTITUTE(SUBSTITUTE($G2973,"-"," ",LEN($G2973)-LEN(SUBSTITUTE($G2973,"-",""))),"-"," ",LEN($G2973)-LEN(SUBSTITUTE($G2973,"-",""))-1))-LEN(SUBSTITUTE(SUBSTITUTE(SUBSTITUTE($G2973,"-"," ",LEN($G2973)-LEN(SUBSTITUTE($G2973,"-",""))),"-"," ",LEN($G2973)-LEN(SUBSTITUTE($G2973,"-",""))-1),".",""))))),$G2973)))</f>
        <v/>
      </c>
    </row>
    <row r="2974">
      <c r="A2974" s="58" t="n"/>
      <c r="B2974" s="58">
        <f>IF($H2974="","",LEFT($H2974,FIND(" ",$H2974&amp;" ")-1))</f>
        <v/>
      </c>
      <c r="C2974" s="58">
        <f>IF($H2974="","",IFERROR(MID($H2974&amp;" ",FIND("|",SUBSTITUTE($H2974&amp;" "," ","|",1))+1,FIND("|",SUBSTITUTE($H2974&amp;" "," ","|",2))-FIND("|",SUBSTITUTE($H2974&amp;" "," ","|",1))-1),""))</f>
        <v/>
      </c>
      <c r="D2974" s="58">
        <f>IF($H2974="","",IFERROR(MID($H2974&amp;" ",FIND("|",SUBSTITUTE($H2974&amp;" "," ","|",2))+1,FIND("|",SUBSTITUTE($H2974&amp;" "," ","|",3))-FIND("|",SUBSTITUTE($H2974&amp;" "," ","|",2))-1),""))</f>
        <v/>
      </c>
      <c r="E2974" s="58">
        <f>IF($H2974="","",IFERROR(MID($H2974&amp;" ",FIND("|",SUBSTITUTE($H2974&amp;" "," ","|",3))+1,FIND("|",SUBSTITUTE($H2974&amp;" "," ","|",4))-FIND("|",SUBSTITUTE($H2974&amp;" "," ","|",3))-1),""))</f>
        <v/>
      </c>
      <c r="F2974" s="59">
        <f>IF($H2974="","",IFERROR(VALUE(IFERROR(MID($H2974&amp;" ",FIND("|",SUBSTITUTE($H2974&amp;" "," ","|",4))+1,FIND("|",SUBSTITUTE($H2974&amp;" "," ","|",5))-FIND("|",SUBSTITUTE($H2974&amp;" "," ","|",4))-1),""))/86400+25569+9/24,""))</f>
        <v/>
      </c>
      <c r="G2974" s="58">
        <f>TRIM(SUBSTITUTE(SUBSTITUTE(SUBSTITUTE($A2974,CHAR(9)," ")," "," "),CHAR(13),""))</f>
        <v/>
      </c>
      <c r="H2974" s="58">
        <f>IF($G2974="","",IF(ISNUMBER(FIND(" ",$G2974)),$G2974,IFERROR(IF((LEN(SUBSTITUTE(SUBSTITUTE($G2974,"-"," ",LEN($G2974)-LEN(SUBSTITUTE($G2974,"-",""))),"-"," ",LEN($G2974)-LEN(SUBSTITUTE($G2974,"-",""))-1))-LEN(SUBSTITUTE(SUBSTITUTE(SUBSTITUTE($G2974,"-"," ",LEN($G2974)-LEN(SUBSTITUTE($G2974,"-",""))),"-"," ",LEN($G2974)-LEN(SUBSTITUTE($G2974,"-",""))-1),".","")))=0,SUBSTITUTE(SUBSTITUTE($G2974,"-"," ",LEN($G2974)-LEN(SUBSTITUTE($G2974,"-",""))),"-"," ",LEN($G2974)-LEN(SUBSTITUTE($G2974,"-",""))-1),SUBSTITUTE(SUBSTITUTE(SUBSTITUTE($G2974,"-"," ",LEN($G2974)-LEN(SUBSTITUTE($G2974,"-",""))),"-"," ",LEN($G2974)-LEN(SUBSTITUTE($G2974,"-",""))-1),"."," ",(LEN(SUBSTITUTE(SUBSTITUTE($G2974,"-"," ",LEN($G2974)-LEN(SUBSTITUTE($G2974,"-",""))),"-"," ",LEN($G2974)-LEN(SUBSTITUTE($G2974,"-",""))-1))-LEN(SUBSTITUTE(SUBSTITUTE(SUBSTITUTE($G2974,"-"," ",LEN($G2974)-LEN(SUBSTITUTE($G2974,"-",""))),"-"," ",LEN($G2974)-LEN(SUBSTITUTE($G2974,"-",""))-1),".",""))))),$G2974)))</f>
        <v/>
      </c>
    </row>
    <row r="2975">
      <c r="A2975" s="58" t="n"/>
      <c r="B2975" s="58">
        <f>IF($H2975="","",LEFT($H2975,FIND(" ",$H2975&amp;" ")-1))</f>
        <v/>
      </c>
      <c r="C2975" s="58">
        <f>IF($H2975="","",IFERROR(MID($H2975&amp;" ",FIND("|",SUBSTITUTE($H2975&amp;" "," ","|",1))+1,FIND("|",SUBSTITUTE($H2975&amp;" "," ","|",2))-FIND("|",SUBSTITUTE($H2975&amp;" "," ","|",1))-1),""))</f>
        <v/>
      </c>
      <c r="D2975" s="58">
        <f>IF($H2975="","",IFERROR(MID($H2975&amp;" ",FIND("|",SUBSTITUTE($H2975&amp;" "," ","|",2))+1,FIND("|",SUBSTITUTE($H2975&amp;" "," ","|",3))-FIND("|",SUBSTITUTE($H2975&amp;" "," ","|",2))-1),""))</f>
        <v/>
      </c>
      <c r="E2975" s="58">
        <f>IF($H2975="","",IFERROR(MID($H2975&amp;" ",FIND("|",SUBSTITUTE($H2975&amp;" "," ","|",3))+1,FIND("|",SUBSTITUTE($H2975&amp;" "," ","|",4))-FIND("|",SUBSTITUTE($H2975&amp;" "," ","|",3))-1),""))</f>
        <v/>
      </c>
      <c r="F2975" s="59">
        <f>IF($H2975="","",IFERROR(VALUE(IFERROR(MID($H2975&amp;" ",FIND("|",SUBSTITUTE($H2975&amp;" "," ","|",4))+1,FIND("|",SUBSTITUTE($H2975&amp;" "," ","|",5))-FIND("|",SUBSTITUTE($H2975&amp;" "," ","|",4))-1),""))/86400+25569+9/24,""))</f>
        <v/>
      </c>
      <c r="G2975" s="58">
        <f>TRIM(SUBSTITUTE(SUBSTITUTE(SUBSTITUTE($A2975,CHAR(9)," ")," "," "),CHAR(13),""))</f>
        <v/>
      </c>
      <c r="H2975" s="58">
        <f>IF($G2975="","",IF(ISNUMBER(FIND(" ",$G2975)),$G2975,IFERROR(IF((LEN(SUBSTITUTE(SUBSTITUTE($G2975,"-"," ",LEN($G2975)-LEN(SUBSTITUTE($G2975,"-",""))),"-"," ",LEN($G2975)-LEN(SUBSTITUTE($G2975,"-",""))-1))-LEN(SUBSTITUTE(SUBSTITUTE(SUBSTITUTE($G2975,"-"," ",LEN($G2975)-LEN(SUBSTITUTE($G2975,"-",""))),"-"," ",LEN($G2975)-LEN(SUBSTITUTE($G2975,"-",""))-1),".","")))=0,SUBSTITUTE(SUBSTITUTE($G2975,"-"," ",LEN($G2975)-LEN(SUBSTITUTE($G2975,"-",""))),"-"," ",LEN($G2975)-LEN(SUBSTITUTE($G2975,"-",""))-1),SUBSTITUTE(SUBSTITUTE(SUBSTITUTE($G2975,"-"," ",LEN($G2975)-LEN(SUBSTITUTE($G2975,"-",""))),"-"," ",LEN($G2975)-LEN(SUBSTITUTE($G2975,"-",""))-1),"."," ",(LEN(SUBSTITUTE(SUBSTITUTE($G2975,"-"," ",LEN($G2975)-LEN(SUBSTITUTE($G2975,"-",""))),"-"," ",LEN($G2975)-LEN(SUBSTITUTE($G2975,"-",""))-1))-LEN(SUBSTITUTE(SUBSTITUTE(SUBSTITUTE($G2975,"-"," ",LEN($G2975)-LEN(SUBSTITUTE($G2975,"-",""))),"-"," ",LEN($G2975)-LEN(SUBSTITUTE($G2975,"-",""))-1),".",""))))),$G2975)))</f>
        <v/>
      </c>
    </row>
    <row r="2976">
      <c r="A2976" s="58" t="n"/>
      <c r="B2976" s="58">
        <f>IF($H2976="","",LEFT($H2976,FIND(" ",$H2976&amp;" ")-1))</f>
        <v/>
      </c>
      <c r="C2976" s="58">
        <f>IF($H2976="","",IFERROR(MID($H2976&amp;" ",FIND("|",SUBSTITUTE($H2976&amp;" "," ","|",1))+1,FIND("|",SUBSTITUTE($H2976&amp;" "," ","|",2))-FIND("|",SUBSTITUTE($H2976&amp;" "," ","|",1))-1),""))</f>
        <v/>
      </c>
      <c r="D2976" s="58">
        <f>IF($H2976="","",IFERROR(MID($H2976&amp;" ",FIND("|",SUBSTITUTE($H2976&amp;" "," ","|",2))+1,FIND("|",SUBSTITUTE($H2976&amp;" "," ","|",3))-FIND("|",SUBSTITUTE($H2976&amp;" "," ","|",2))-1),""))</f>
        <v/>
      </c>
      <c r="E2976" s="58">
        <f>IF($H2976="","",IFERROR(MID($H2976&amp;" ",FIND("|",SUBSTITUTE($H2976&amp;" "," ","|",3))+1,FIND("|",SUBSTITUTE($H2976&amp;" "," ","|",4))-FIND("|",SUBSTITUTE($H2976&amp;" "," ","|",3))-1),""))</f>
        <v/>
      </c>
      <c r="F2976" s="59">
        <f>IF($H2976="","",IFERROR(VALUE(IFERROR(MID($H2976&amp;" ",FIND("|",SUBSTITUTE($H2976&amp;" "," ","|",4))+1,FIND("|",SUBSTITUTE($H2976&amp;" "," ","|",5))-FIND("|",SUBSTITUTE($H2976&amp;" "," ","|",4))-1),""))/86400+25569+9/24,""))</f>
        <v/>
      </c>
      <c r="G2976" s="58">
        <f>TRIM(SUBSTITUTE(SUBSTITUTE(SUBSTITUTE($A2976,CHAR(9)," ")," "," "),CHAR(13),""))</f>
        <v/>
      </c>
      <c r="H2976" s="58">
        <f>IF($G2976="","",IF(ISNUMBER(FIND(" ",$G2976)),$G2976,IFERROR(IF((LEN(SUBSTITUTE(SUBSTITUTE($G2976,"-"," ",LEN($G2976)-LEN(SUBSTITUTE($G2976,"-",""))),"-"," ",LEN($G2976)-LEN(SUBSTITUTE($G2976,"-",""))-1))-LEN(SUBSTITUTE(SUBSTITUTE(SUBSTITUTE($G2976,"-"," ",LEN($G2976)-LEN(SUBSTITUTE($G2976,"-",""))),"-"," ",LEN($G2976)-LEN(SUBSTITUTE($G2976,"-",""))-1),".","")))=0,SUBSTITUTE(SUBSTITUTE($G2976,"-"," ",LEN($G2976)-LEN(SUBSTITUTE($G2976,"-",""))),"-"," ",LEN($G2976)-LEN(SUBSTITUTE($G2976,"-",""))-1),SUBSTITUTE(SUBSTITUTE(SUBSTITUTE($G2976,"-"," ",LEN($G2976)-LEN(SUBSTITUTE($G2976,"-",""))),"-"," ",LEN($G2976)-LEN(SUBSTITUTE($G2976,"-",""))-1),"."," ",(LEN(SUBSTITUTE(SUBSTITUTE($G2976,"-"," ",LEN($G2976)-LEN(SUBSTITUTE($G2976,"-",""))),"-"," ",LEN($G2976)-LEN(SUBSTITUTE($G2976,"-",""))-1))-LEN(SUBSTITUTE(SUBSTITUTE(SUBSTITUTE($G2976,"-"," ",LEN($G2976)-LEN(SUBSTITUTE($G2976,"-",""))),"-"," ",LEN($G2976)-LEN(SUBSTITUTE($G2976,"-",""))-1),".",""))))),$G2976)))</f>
        <v/>
      </c>
    </row>
    <row r="2977">
      <c r="A2977" s="58" t="n"/>
      <c r="B2977" s="58">
        <f>IF($H2977="","",LEFT($H2977,FIND(" ",$H2977&amp;" ")-1))</f>
        <v/>
      </c>
      <c r="C2977" s="58">
        <f>IF($H2977="","",IFERROR(MID($H2977&amp;" ",FIND("|",SUBSTITUTE($H2977&amp;" "," ","|",1))+1,FIND("|",SUBSTITUTE($H2977&amp;" "," ","|",2))-FIND("|",SUBSTITUTE($H2977&amp;" "," ","|",1))-1),""))</f>
        <v/>
      </c>
      <c r="D2977" s="58">
        <f>IF($H2977="","",IFERROR(MID($H2977&amp;" ",FIND("|",SUBSTITUTE($H2977&amp;" "," ","|",2))+1,FIND("|",SUBSTITUTE($H2977&amp;" "," ","|",3))-FIND("|",SUBSTITUTE($H2977&amp;" "," ","|",2))-1),""))</f>
        <v/>
      </c>
      <c r="E2977" s="58">
        <f>IF($H2977="","",IFERROR(MID($H2977&amp;" ",FIND("|",SUBSTITUTE($H2977&amp;" "," ","|",3))+1,FIND("|",SUBSTITUTE($H2977&amp;" "," ","|",4))-FIND("|",SUBSTITUTE($H2977&amp;" "," ","|",3))-1),""))</f>
        <v/>
      </c>
      <c r="F2977" s="59">
        <f>IF($H2977="","",IFERROR(VALUE(IFERROR(MID($H2977&amp;" ",FIND("|",SUBSTITUTE($H2977&amp;" "," ","|",4))+1,FIND("|",SUBSTITUTE($H2977&amp;" "," ","|",5))-FIND("|",SUBSTITUTE($H2977&amp;" "," ","|",4))-1),""))/86400+25569+9/24,""))</f>
        <v/>
      </c>
      <c r="G2977" s="58">
        <f>TRIM(SUBSTITUTE(SUBSTITUTE(SUBSTITUTE($A2977,CHAR(9)," ")," "," "),CHAR(13),""))</f>
        <v/>
      </c>
      <c r="H2977" s="58">
        <f>IF($G2977="","",IF(ISNUMBER(FIND(" ",$G2977)),$G2977,IFERROR(IF((LEN(SUBSTITUTE(SUBSTITUTE($G2977,"-"," ",LEN($G2977)-LEN(SUBSTITUTE($G2977,"-",""))),"-"," ",LEN($G2977)-LEN(SUBSTITUTE($G2977,"-",""))-1))-LEN(SUBSTITUTE(SUBSTITUTE(SUBSTITUTE($G2977,"-"," ",LEN($G2977)-LEN(SUBSTITUTE($G2977,"-",""))),"-"," ",LEN($G2977)-LEN(SUBSTITUTE($G2977,"-",""))-1),".","")))=0,SUBSTITUTE(SUBSTITUTE($G2977,"-"," ",LEN($G2977)-LEN(SUBSTITUTE($G2977,"-",""))),"-"," ",LEN($G2977)-LEN(SUBSTITUTE($G2977,"-",""))-1),SUBSTITUTE(SUBSTITUTE(SUBSTITUTE($G2977,"-"," ",LEN($G2977)-LEN(SUBSTITUTE($G2977,"-",""))),"-"," ",LEN($G2977)-LEN(SUBSTITUTE($G2977,"-",""))-1),"."," ",(LEN(SUBSTITUTE(SUBSTITUTE($G2977,"-"," ",LEN($G2977)-LEN(SUBSTITUTE($G2977,"-",""))),"-"," ",LEN($G2977)-LEN(SUBSTITUTE($G2977,"-",""))-1))-LEN(SUBSTITUTE(SUBSTITUTE(SUBSTITUTE($G2977,"-"," ",LEN($G2977)-LEN(SUBSTITUTE($G2977,"-",""))),"-"," ",LEN($G2977)-LEN(SUBSTITUTE($G2977,"-",""))-1),".",""))))),$G2977)))</f>
        <v/>
      </c>
    </row>
    <row r="2978">
      <c r="A2978" s="58" t="n"/>
      <c r="B2978" s="58">
        <f>IF($H2978="","",LEFT($H2978,FIND(" ",$H2978&amp;" ")-1))</f>
        <v/>
      </c>
      <c r="C2978" s="58">
        <f>IF($H2978="","",IFERROR(MID($H2978&amp;" ",FIND("|",SUBSTITUTE($H2978&amp;" "," ","|",1))+1,FIND("|",SUBSTITUTE($H2978&amp;" "," ","|",2))-FIND("|",SUBSTITUTE($H2978&amp;" "," ","|",1))-1),""))</f>
        <v/>
      </c>
      <c r="D2978" s="58">
        <f>IF($H2978="","",IFERROR(MID($H2978&amp;" ",FIND("|",SUBSTITUTE($H2978&amp;" "," ","|",2))+1,FIND("|",SUBSTITUTE($H2978&amp;" "," ","|",3))-FIND("|",SUBSTITUTE($H2978&amp;" "," ","|",2))-1),""))</f>
        <v/>
      </c>
      <c r="E2978" s="58">
        <f>IF($H2978="","",IFERROR(MID($H2978&amp;" ",FIND("|",SUBSTITUTE($H2978&amp;" "," ","|",3))+1,FIND("|",SUBSTITUTE($H2978&amp;" "," ","|",4))-FIND("|",SUBSTITUTE($H2978&amp;" "," ","|",3))-1),""))</f>
        <v/>
      </c>
      <c r="F2978" s="59">
        <f>IF($H2978="","",IFERROR(VALUE(IFERROR(MID($H2978&amp;" ",FIND("|",SUBSTITUTE($H2978&amp;" "," ","|",4))+1,FIND("|",SUBSTITUTE($H2978&amp;" "," ","|",5))-FIND("|",SUBSTITUTE($H2978&amp;" "," ","|",4))-1),""))/86400+25569+9/24,""))</f>
        <v/>
      </c>
      <c r="G2978" s="58">
        <f>TRIM(SUBSTITUTE(SUBSTITUTE(SUBSTITUTE($A2978,CHAR(9)," ")," "," "),CHAR(13),""))</f>
        <v/>
      </c>
      <c r="H2978" s="58">
        <f>IF($G2978="","",IF(ISNUMBER(FIND(" ",$G2978)),$G2978,IFERROR(IF((LEN(SUBSTITUTE(SUBSTITUTE($G2978,"-"," ",LEN($G2978)-LEN(SUBSTITUTE($G2978,"-",""))),"-"," ",LEN($G2978)-LEN(SUBSTITUTE($G2978,"-",""))-1))-LEN(SUBSTITUTE(SUBSTITUTE(SUBSTITUTE($G2978,"-"," ",LEN($G2978)-LEN(SUBSTITUTE($G2978,"-",""))),"-"," ",LEN($G2978)-LEN(SUBSTITUTE($G2978,"-",""))-1),".","")))=0,SUBSTITUTE(SUBSTITUTE($G2978,"-"," ",LEN($G2978)-LEN(SUBSTITUTE($G2978,"-",""))),"-"," ",LEN($G2978)-LEN(SUBSTITUTE($G2978,"-",""))-1),SUBSTITUTE(SUBSTITUTE(SUBSTITUTE($G2978,"-"," ",LEN($G2978)-LEN(SUBSTITUTE($G2978,"-",""))),"-"," ",LEN($G2978)-LEN(SUBSTITUTE($G2978,"-",""))-1),"."," ",(LEN(SUBSTITUTE(SUBSTITUTE($G2978,"-"," ",LEN($G2978)-LEN(SUBSTITUTE($G2978,"-",""))),"-"," ",LEN($G2978)-LEN(SUBSTITUTE($G2978,"-",""))-1))-LEN(SUBSTITUTE(SUBSTITUTE(SUBSTITUTE($G2978,"-"," ",LEN($G2978)-LEN(SUBSTITUTE($G2978,"-",""))),"-"," ",LEN($G2978)-LEN(SUBSTITUTE($G2978,"-",""))-1),".",""))))),$G2978)))</f>
        <v/>
      </c>
    </row>
    <row r="2979">
      <c r="A2979" s="58" t="n"/>
      <c r="B2979" s="58">
        <f>IF($H2979="","",LEFT($H2979,FIND(" ",$H2979&amp;" ")-1))</f>
        <v/>
      </c>
      <c r="C2979" s="58">
        <f>IF($H2979="","",IFERROR(MID($H2979&amp;" ",FIND("|",SUBSTITUTE($H2979&amp;" "," ","|",1))+1,FIND("|",SUBSTITUTE($H2979&amp;" "," ","|",2))-FIND("|",SUBSTITUTE($H2979&amp;" "," ","|",1))-1),""))</f>
        <v/>
      </c>
      <c r="D2979" s="58">
        <f>IF($H2979="","",IFERROR(MID($H2979&amp;" ",FIND("|",SUBSTITUTE($H2979&amp;" "," ","|",2))+1,FIND("|",SUBSTITUTE($H2979&amp;" "," ","|",3))-FIND("|",SUBSTITUTE($H2979&amp;" "," ","|",2))-1),""))</f>
        <v/>
      </c>
      <c r="E2979" s="58">
        <f>IF($H2979="","",IFERROR(MID($H2979&amp;" ",FIND("|",SUBSTITUTE($H2979&amp;" "," ","|",3))+1,FIND("|",SUBSTITUTE($H2979&amp;" "," ","|",4))-FIND("|",SUBSTITUTE($H2979&amp;" "," ","|",3))-1),""))</f>
        <v/>
      </c>
      <c r="F2979" s="59">
        <f>IF($H2979="","",IFERROR(VALUE(IFERROR(MID($H2979&amp;" ",FIND("|",SUBSTITUTE($H2979&amp;" "," ","|",4))+1,FIND("|",SUBSTITUTE($H2979&amp;" "," ","|",5))-FIND("|",SUBSTITUTE($H2979&amp;" "," ","|",4))-1),""))/86400+25569+9/24,""))</f>
        <v/>
      </c>
      <c r="G2979" s="58">
        <f>TRIM(SUBSTITUTE(SUBSTITUTE(SUBSTITUTE($A2979,CHAR(9)," ")," "," "),CHAR(13),""))</f>
        <v/>
      </c>
      <c r="H2979" s="58">
        <f>IF($G2979="","",IF(ISNUMBER(FIND(" ",$G2979)),$G2979,IFERROR(IF((LEN(SUBSTITUTE(SUBSTITUTE($G2979,"-"," ",LEN($G2979)-LEN(SUBSTITUTE($G2979,"-",""))),"-"," ",LEN($G2979)-LEN(SUBSTITUTE($G2979,"-",""))-1))-LEN(SUBSTITUTE(SUBSTITUTE(SUBSTITUTE($G2979,"-"," ",LEN($G2979)-LEN(SUBSTITUTE($G2979,"-",""))),"-"," ",LEN($G2979)-LEN(SUBSTITUTE($G2979,"-",""))-1),".","")))=0,SUBSTITUTE(SUBSTITUTE($G2979,"-"," ",LEN($G2979)-LEN(SUBSTITUTE($G2979,"-",""))),"-"," ",LEN($G2979)-LEN(SUBSTITUTE($G2979,"-",""))-1),SUBSTITUTE(SUBSTITUTE(SUBSTITUTE($G2979,"-"," ",LEN($G2979)-LEN(SUBSTITUTE($G2979,"-",""))),"-"," ",LEN($G2979)-LEN(SUBSTITUTE($G2979,"-",""))-1),"."," ",(LEN(SUBSTITUTE(SUBSTITUTE($G2979,"-"," ",LEN($G2979)-LEN(SUBSTITUTE($G2979,"-",""))),"-"," ",LEN($G2979)-LEN(SUBSTITUTE($G2979,"-",""))-1))-LEN(SUBSTITUTE(SUBSTITUTE(SUBSTITUTE($G2979,"-"," ",LEN($G2979)-LEN(SUBSTITUTE($G2979,"-",""))),"-"," ",LEN($G2979)-LEN(SUBSTITUTE($G2979,"-",""))-1),".",""))))),$G2979)))</f>
        <v/>
      </c>
    </row>
    <row r="2980">
      <c r="A2980" s="58" t="n"/>
      <c r="B2980" s="58">
        <f>IF($H2980="","",LEFT($H2980,FIND(" ",$H2980&amp;" ")-1))</f>
        <v/>
      </c>
      <c r="C2980" s="58">
        <f>IF($H2980="","",IFERROR(MID($H2980&amp;" ",FIND("|",SUBSTITUTE($H2980&amp;" "," ","|",1))+1,FIND("|",SUBSTITUTE($H2980&amp;" "," ","|",2))-FIND("|",SUBSTITUTE($H2980&amp;" "," ","|",1))-1),""))</f>
        <v/>
      </c>
      <c r="D2980" s="58">
        <f>IF($H2980="","",IFERROR(MID($H2980&amp;" ",FIND("|",SUBSTITUTE($H2980&amp;" "," ","|",2))+1,FIND("|",SUBSTITUTE($H2980&amp;" "," ","|",3))-FIND("|",SUBSTITUTE($H2980&amp;" "," ","|",2))-1),""))</f>
        <v/>
      </c>
      <c r="E2980" s="58">
        <f>IF($H2980="","",IFERROR(MID($H2980&amp;" ",FIND("|",SUBSTITUTE($H2980&amp;" "," ","|",3))+1,FIND("|",SUBSTITUTE($H2980&amp;" "," ","|",4))-FIND("|",SUBSTITUTE($H2980&amp;" "," ","|",3))-1),""))</f>
        <v/>
      </c>
      <c r="F2980" s="59">
        <f>IF($H2980="","",IFERROR(VALUE(IFERROR(MID($H2980&amp;" ",FIND("|",SUBSTITUTE($H2980&amp;" "," ","|",4))+1,FIND("|",SUBSTITUTE($H2980&amp;" "," ","|",5))-FIND("|",SUBSTITUTE($H2980&amp;" "," ","|",4))-1),""))/86400+25569+9/24,""))</f>
        <v/>
      </c>
      <c r="G2980" s="58">
        <f>TRIM(SUBSTITUTE(SUBSTITUTE(SUBSTITUTE($A2980,CHAR(9)," ")," "," "),CHAR(13),""))</f>
        <v/>
      </c>
      <c r="H2980" s="58">
        <f>IF($G2980="","",IF(ISNUMBER(FIND(" ",$G2980)),$G2980,IFERROR(IF((LEN(SUBSTITUTE(SUBSTITUTE($G2980,"-"," ",LEN($G2980)-LEN(SUBSTITUTE($G2980,"-",""))),"-"," ",LEN($G2980)-LEN(SUBSTITUTE($G2980,"-",""))-1))-LEN(SUBSTITUTE(SUBSTITUTE(SUBSTITUTE($G2980,"-"," ",LEN($G2980)-LEN(SUBSTITUTE($G2980,"-",""))),"-"," ",LEN($G2980)-LEN(SUBSTITUTE($G2980,"-",""))-1),".","")))=0,SUBSTITUTE(SUBSTITUTE($G2980,"-"," ",LEN($G2980)-LEN(SUBSTITUTE($G2980,"-",""))),"-"," ",LEN($G2980)-LEN(SUBSTITUTE($G2980,"-",""))-1),SUBSTITUTE(SUBSTITUTE(SUBSTITUTE($G2980,"-"," ",LEN($G2980)-LEN(SUBSTITUTE($G2980,"-",""))),"-"," ",LEN($G2980)-LEN(SUBSTITUTE($G2980,"-",""))-1),"."," ",(LEN(SUBSTITUTE(SUBSTITUTE($G2980,"-"," ",LEN($G2980)-LEN(SUBSTITUTE($G2980,"-",""))),"-"," ",LEN($G2980)-LEN(SUBSTITUTE($G2980,"-",""))-1))-LEN(SUBSTITUTE(SUBSTITUTE(SUBSTITUTE($G2980,"-"," ",LEN($G2980)-LEN(SUBSTITUTE($G2980,"-",""))),"-"," ",LEN($G2980)-LEN(SUBSTITUTE($G2980,"-",""))-1),".",""))))),$G2980)))</f>
        <v/>
      </c>
    </row>
    <row r="2981">
      <c r="A2981" s="58" t="n"/>
      <c r="B2981" s="58">
        <f>IF($H2981="","",LEFT($H2981,FIND(" ",$H2981&amp;" ")-1))</f>
        <v/>
      </c>
      <c r="C2981" s="58">
        <f>IF($H2981="","",IFERROR(MID($H2981&amp;" ",FIND("|",SUBSTITUTE($H2981&amp;" "," ","|",1))+1,FIND("|",SUBSTITUTE($H2981&amp;" "," ","|",2))-FIND("|",SUBSTITUTE($H2981&amp;" "," ","|",1))-1),""))</f>
        <v/>
      </c>
      <c r="D2981" s="58">
        <f>IF($H2981="","",IFERROR(MID($H2981&amp;" ",FIND("|",SUBSTITUTE($H2981&amp;" "," ","|",2))+1,FIND("|",SUBSTITUTE($H2981&amp;" "," ","|",3))-FIND("|",SUBSTITUTE($H2981&amp;" "," ","|",2))-1),""))</f>
        <v/>
      </c>
      <c r="E2981" s="58">
        <f>IF($H2981="","",IFERROR(MID($H2981&amp;" ",FIND("|",SUBSTITUTE($H2981&amp;" "," ","|",3))+1,FIND("|",SUBSTITUTE($H2981&amp;" "," ","|",4))-FIND("|",SUBSTITUTE($H2981&amp;" "," ","|",3))-1),""))</f>
        <v/>
      </c>
      <c r="F2981" s="59">
        <f>IF($H2981="","",IFERROR(VALUE(IFERROR(MID($H2981&amp;" ",FIND("|",SUBSTITUTE($H2981&amp;" "," ","|",4))+1,FIND("|",SUBSTITUTE($H2981&amp;" "," ","|",5))-FIND("|",SUBSTITUTE($H2981&amp;" "," ","|",4))-1),""))/86400+25569+9/24,""))</f>
        <v/>
      </c>
      <c r="G2981" s="58">
        <f>TRIM(SUBSTITUTE(SUBSTITUTE(SUBSTITUTE($A2981,CHAR(9)," ")," "," "),CHAR(13),""))</f>
        <v/>
      </c>
      <c r="H2981" s="58">
        <f>IF($G2981="","",IF(ISNUMBER(FIND(" ",$G2981)),$G2981,IFERROR(IF((LEN(SUBSTITUTE(SUBSTITUTE($G2981,"-"," ",LEN($G2981)-LEN(SUBSTITUTE($G2981,"-",""))),"-"," ",LEN($G2981)-LEN(SUBSTITUTE($G2981,"-",""))-1))-LEN(SUBSTITUTE(SUBSTITUTE(SUBSTITUTE($G2981,"-"," ",LEN($G2981)-LEN(SUBSTITUTE($G2981,"-",""))),"-"," ",LEN($G2981)-LEN(SUBSTITUTE($G2981,"-",""))-1),".","")))=0,SUBSTITUTE(SUBSTITUTE($G2981,"-"," ",LEN($G2981)-LEN(SUBSTITUTE($G2981,"-",""))),"-"," ",LEN($G2981)-LEN(SUBSTITUTE($G2981,"-",""))-1),SUBSTITUTE(SUBSTITUTE(SUBSTITUTE($G2981,"-"," ",LEN($G2981)-LEN(SUBSTITUTE($G2981,"-",""))),"-"," ",LEN($G2981)-LEN(SUBSTITUTE($G2981,"-",""))-1),"."," ",(LEN(SUBSTITUTE(SUBSTITUTE($G2981,"-"," ",LEN($G2981)-LEN(SUBSTITUTE($G2981,"-",""))),"-"," ",LEN($G2981)-LEN(SUBSTITUTE($G2981,"-",""))-1))-LEN(SUBSTITUTE(SUBSTITUTE(SUBSTITUTE($G2981,"-"," ",LEN($G2981)-LEN(SUBSTITUTE($G2981,"-",""))),"-"," ",LEN($G2981)-LEN(SUBSTITUTE($G2981,"-",""))-1),".",""))))),$G2981)))</f>
        <v/>
      </c>
    </row>
    <row r="2982">
      <c r="A2982" s="58" t="n"/>
      <c r="B2982" s="58">
        <f>IF($H2982="","",LEFT($H2982,FIND(" ",$H2982&amp;" ")-1))</f>
        <v/>
      </c>
      <c r="C2982" s="58">
        <f>IF($H2982="","",IFERROR(MID($H2982&amp;" ",FIND("|",SUBSTITUTE($H2982&amp;" "," ","|",1))+1,FIND("|",SUBSTITUTE($H2982&amp;" "," ","|",2))-FIND("|",SUBSTITUTE($H2982&amp;" "," ","|",1))-1),""))</f>
        <v/>
      </c>
      <c r="D2982" s="58">
        <f>IF($H2982="","",IFERROR(MID($H2982&amp;" ",FIND("|",SUBSTITUTE($H2982&amp;" "," ","|",2))+1,FIND("|",SUBSTITUTE($H2982&amp;" "," ","|",3))-FIND("|",SUBSTITUTE($H2982&amp;" "," ","|",2))-1),""))</f>
        <v/>
      </c>
      <c r="E2982" s="58">
        <f>IF($H2982="","",IFERROR(MID($H2982&amp;" ",FIND("|",SUBSTITUTE($H2982&amp;" "," ","|",3))+1,FIND("|",SUBSTITUTE($H2982&amp;" "," ","|",4))-FIND("|",SUBSTITUTE($H2982&amp;" "," ","|",3))-1),""))</f>
        <v/>
      </c>
      <c r="F2982" s="59">
        <f>IF($H2982="","",IFERROR(VALUE(IFERROR(MID($H2982&amp;" ",FIND("|",SUBSTITUTE($H2982&amp;" "," ","|",4))+1,FIND("|",SUBSTITUTE($H2982&amp;" "," ","|",5))-FIND("|",SUBSTITUTE($H2982&amp;" "," ","|",4))-1),""))/86400+25569+9/24,""))</f>
        <v/>
      </c>
      <c r="G2982" s="58">
        <f>TRIM(SUBSTITUTE(SUBSTITUTE(SUBSTITUTE($A2982,CHAR(9)," ")," "," "),CHAR(13),""))</f>
        <v/>
      </c>
      <c r="H2982" s="58">
        <f>IF($G2982="","",IF(ISNUMBER(FIND(" ",$G2982)),$G2982,IFERROR(IF((LEN(SUBSTITUTE(SUBSTITUTE($G2982,"-"," ",LEN($G2982)-LEN(SUBSTITUTE($G2982,"-",""))),"-"," ",LEN($G2982)-LEN(SUBSTITUTE($G2982,"-",""))-1))-LEN(SUBSTITUTE(SUBSTITUTE(SUBSTITUTE($G2982,"-"," ",LEN($G2982)-LEN(SUBSTITUTE($G2982,"-",""))),"-"," ",LEN($G2982)-LEN(SUBSTITUTE($G2982,"-",""))-1),".","")))=0,SUBSTITUTE(SUBSTITUTE($G2982,"-"," ",LEN($G2982)-LEN(SUBSTITUTE($G2982,"-",""))),"-"," ",LEN($G2982)-LEN(SUBSTITUTE($G2982,"-",""))-1),SUBSTITUTE(SUBSTITUTE(SUBSTITUTE($G2982,"-"," ",LEN($G2982)-LEN(SUBSTITUTE($G2982,"-",""))),"-"," ",LEN($G2982)-LEN(SUBSTITUTE($G2982,"-",""))-1),"."," ",(LEN(SUBSTITUTE(SUBSTITUTE($G2982,"-"," ",LEN($G2982)-LEN(SUBSTITUTE($G2982,"-",""))),"-"," ",LEN($G2982)-LEN(SUBSTITUTE($G2982,"-",""))-1))-LEN(SUBSTITUTE(SUBSTITUTE(SUBSTITUTE($G2982,"-"," ",LEN($G2982)-LEN(SUBSTITUTE($G2982,"-",""))),"-"," ",LEN($G2982)-LEN(SUBSTITUTE($G2982,"-",""))-1),".",""))))),$G2982)))</f>
        <v/>
      </c>
    </row>
    <row r="2983">
      <c r="A2983" s="58" t="n"/>
      <c r="B2983" s="58">
        <f>IF($H2983="","",LEFT($H2983,FIND(" ",$H2983&amp;" ")-1))</f>
        <v/>
      </c>
      <c r="C2983" s="58">
        <f>IF($H2983="","",IFERROR(MID($H2983&amp;" ",FIND("|",SUBSTITUTE($H2983&amp;" "," ","|",1))+1,FIND("|",SUBSTITUTE($H2983&amp;" "," ","|",2))-FIND("|",SUBSTITUTE($H2983&amp;" "," ","|",1))-1),""))</f>
        <v/>
      </c>
      <c r="D2983" s="58">
        <f>IF($H2983="","",IFERROR(MID($H2983&amp;" ",FIND("|",SUBSTITUTE($H2983&amp;" "," ","|",2))+1,FIND("|",SUBSTITUTE($H2983&amp;" "," ","|",3))-FIND("|",SUBSTITUTE($H2983&amp;" "," ","|",2))-1),""))</f>
        <v/>
      </c>
      <c r="E2983" s="58">
        <f>IF($H2983="","",IFERROR(MID($H2983&amp;" ",FIND("|",SUBSTITUTE($H2983&amp;" "," ","|",3))+1,FIND("|",SUBSTITUTE($H2983&amp;" "," ","|",4))-FIND("|",SUBSTITUTE($H2983&amp;" "," ","|",3))-1),""))</f>
        <v/>
      </c>
      <c r="F2983" s="59">
        <f>IF($H2983="","",IFERROR(VALUE(IFERROR(MID($H2983&amp;" ",FIND("|",SUBSTITUTE($H2983&amp;" "," ","|",4))+1,FIND("|",SUBSTITUTE($H2983&amp;" "," ","|",5))-FIND("|",SUBSTITUTE($H2983&amp;" "," ","|",4))-1),""))/86400+25569+9/24,""))</f>
        <v/>
      </c>
      <c r="G2983" s="58">
        <f>TRIM(SUBSTITUTE(SUBSTITUTE(SUBSTITUTE($A2983,CHAR(9)," ")," "," "),CHAR(13),""))</f>
        <v/>
      </c>
      <c r="H2983" s="58">
        <f>IF($G2983="","",IF(ISNUMBER(FIND(" ",$G2983)),$G2983,IFERROR(IF((LEN(SUBSTITUTE(SUBSTITUTE($G2983,"-"," ",LEN($G2983)-LEN(SUBSTITUTE($G2983,"-",""))),"-"," ",LEN($G2983)-LEN(SUBSTITUTE($G2983,"-",""))-1))-LEN(SUBSTITUTE(SUBSTITUTE(SUBSTITUTE($G2983,"-"," ",LEN($G2983)-LEN(SUBSTITUTE($G2983,"-",""))),"-"," ",LEN($G2983)-LEN(SUBSTITUTE($G2983,"-",""))-1),".","")))=0,SUBSTITUTE(SUBSTITUTE($G2983,"-"," ",LEN($G2983)-LEN(SUBSTITUTE($G2983,"-",""))),"-"," ",LEN($G2983)-LEN(SUBSTITUTE($G2983,"-",""))-1),SUBSTITUTE(SUBSTITUTE(SUBSTITUTE($G2983,"-"," ",LEN($G2983)-LEN(SUBSTITUTE($G2983,"-",""))),"-"," ",LEN($G2983)-LEN(SUBSTITUTE($G2983,"-",""))-1),"."," ",(LEN(SUBSTITUTE(SUBSTITUTE($G2983,"-"," ",LEN($G2983)-LEN(SUBSTITUTE($G2983,"-",""))),"-"," ",LEN($G2983)-LEN(SUBSTITUTE($G2983,"-",""))-1))-LEN(SUBSTITUTE(SUBSTITUTE(SUBSTITUTE($G2983,"-"," ",LEN($G2983)-LEN(SUBSTITUTE($G2983,"-",""))),"-"," ",LEN($G2983)-LEN(SUBSTITUTE($G2983,"-",""))-1),".",""))))),$G2983)))</f>
        <v/>
      </c>
    </row>
    <row r="2984">
      <c r="A2984" s="58" t="n"/>
      <c r="B2984" s="58">
        <f>IF($H2984="","",LEFT($H2984,FIND(" ",$H2984&amp;" ")-1))</f>
        <v/>
      </c>
      <c r="C2984" s="58">
        <f>IF($H2984="","",IFERROR(MID($H2984&amp;" ",FIND("|",SUBSTITUTE($H2984&amp;" "," ","|",1))+1,FIND("|",SUBSTITUTE($H2984&amp;" "," ","|",2))-FIND("|",SUBSTITUTE($H2984&amp;" "," ","|",1))-1),""))</f>
        <v/>
      </c>
      <c r="D2984" s="58">
        <f>IF($H2984="","",IFERROR(MID($H2984&amp;" ",FIND("|",SUBSTITUTE($H2984&amp;" "," ","|",2))+1,FIND("|",SUBSTITUTE($H2984&amp;" "," ","|",3))-FIND("|",SUBSTITUTE($H2984&amp;" "," ","|",2))-1),""))</f>
        <v/>
      </c>
      <c r="E2984" s="58">
        <f>IF($H2984="","",IFERROR(MID($H2984&amp;" ",FIND("|",SUBSTITUTE($H2984&amp;" "," ","|",3))+1,FIND("|",SUBSTITUTE($H2984&amp;" "," ","|",4))-FIND("|",SUBSTITUTE($H2984&amp;" "," ","|",3))-1),""))</f>
        <v/>
      </c>
      <c r="F2984" s="59">
        <f>IF($H2984="","",IFERROR(VALUE(IFERROR(MID($H2984&amp;" ",FIND("|",SUBSTITUTE($H2984&amp;" "," ","|",4))+1,FIND("|",SUBSTITUTE($H2984&amp;" "," ","|",5))-FIND("|",SUBSTITUTE($H2984&amp;" "," ","|",4))-1),""))/86400+25569+9/24,""))</f>
        <v/>
      </c>
      <c r="G2984" s="58">
        <f>TRIM(SUBSTITUTE(SUBSTITUTE(SUBSTITUTE($A2984,CHAR(9)," ")," "," "),CHAR(13),""))</f>
        <v/>
      </c>
      <c r="H2984" s="58">
        <f>IF($G2984="","",IF(ISNUMBER(FIND(" ",$G2984)),$G2984,IFERROR(IF((LEN(SUBSTITUTE(SUBSTITUTE($G2984,"-"," ",LEN($G2984)-LEN(SUBSTITUTE($G2984,"-",""))),"-"," ",LEN($G2984)-LEN(SUBSTITUTE($G2984,"-",""))-1))-LEN(SUBSTITUTE(SUBSTITUTE(SUBSTITUTE($G2984,"-"," ",LEN($G2984)-LEN(SUBSTITUTE($G2984,"-",""))),"-"," ",LEN($G2984)-LEN(SUBSTITUTE($G2984,"-",""))-1),".","")))=0,SUBSTITUTE(SUBSTITUTE($G2984,"-"," ",LEN($G2984)-LEN(SUBSTITUTE($G2984,"-",""))),"-"," ",LEN($G2984)-LEN(SUBSTITUTE($G2984,"-",""))-1),SUBSTITUTE(SUBSTITUTE(SUBSTITUTE($G2984,"-"," ",LEN($G2984)-LEN(SUBSTITUTE($G2984,"-",""))),"-"," ",LEN($G2984)-LEN(SUBSTITUTE($G2984,"-",""))-1),"."," ",(LEN(SUBSTITUTE(SUBSTITUTE($G2984,"-"," ",LEN($G2984)-LEN(SUBSTITUTE($G2984,"-",""))),"-"," ",LEN($G2984)-LEN(SUBSTITUTE($G2984,"-",""))-1))-LEN(SUBSTITUTE(SUBSTITUTE(SUBSTITUTE($G2984,"-"," ",LEN($G2984)-LEN(SUBSTITUTE($G2984,"-",""))),"-"," ",LEN($G2984)-LEN(SUBSTITUTE($G2984,"-",""))-1),".",""))))),$G2984)))</f>
        <v/>
      </c>
    </row>
    <row r="2985">
      <c r="A2985" s="58" t="n"/>
      <c r="B2985" s="58">
        <f>IF($H2985="","",LEFT($H2985,FIND(" ",$H2985&amp;" ")-1))</f>
        <v/>
      </c>
      <c r="C2985" s="58">
        <f>IF($H2985="","",IFERROR(MID($H2985&amp;" ",FIND("|",SUBSTITUTE($H2985&amp;" "," ","|",1))+1,FIND("|",SUBSTITUTE($H2985&amp;" "," ","|",2))-FIND("|",SUBSTITUTE($H2985&amp;" "," ","|",1))-1),""))</f>
        <v/>
      </c>
      <c r="D2985" s="58">
        <f>IF($H2985="","",IFERROR(MID($H2985&amp;" ",FIND("|",SUBSTITUTE($H2985&amp;" "," ","|",2))+1,FIND("|",SUBSTITUTE($H2985&amp;" "," ","|",3))-FIND("|",SUBSTITUTE($H2985&amp;" "," ","|",2))-1),""))</f>
        <v/>
      </c>
      <c r="E2985" s="58">
        <f>IF($H2985="","",IFERROR(MID($H2985&amp;" ",FIND("|",SUBSTITUTE($H2985&amp;" "," ","|",3))+1,FIND("|",SUBSTITUTE($H2985&amp;" "," ","|",4))-FIND("|",SUBSTITUTE($H2985&amp;" "," ","|",3))-1),""))</f>
        <v/>
      </c>
      <c r="F2985" s="59">
        <f>IF($H2985="","",IFERROR(VALUE(IFERROR(MID($H2985&amp;" ",FIND("|",SUBSTITUTE($H2985&amp;" "," ","|",4))+1,FIND("|",SUBSTITUTE($H2985&amp;" "," ","|",5))-FIND("|",SUBSTITUTE($H2985&amp;" "," ","|",4))-1),""))/86400+25569+9/24,""))</f>
        <v/>
      </c>
      <c r="G2985" s="58">
        <f>TRIM(SUBSTITUTE(SUBSTITUTE(SUBSTITUTE($A2985,CHAR(9)," ")," "," "),CHAR(13),""))</f>
        <v/>
      </c>
      <c r="H2985" s="58">
        <f>IF($G2985="","",IF(ISNUMBER(FIND(" ",$G2985)),$G2985,IFERROR(IF((LEN(SUBSTITUTE(SUBSTITUTE($G2985,"-"," ",LEN($G2985)-LEN(SUBSTITUTE($G2985,"-",""))),"-"," ",LEN($G2985)-LEN(SUBSTITUTE($G2985,"-",""))-1))-LEN(SUBSTITUTE(SUBSTITUTE(SUBSTITUTE($G2985,"-"," ",LEN($G2985)-LEN(SUBSTITUTE($G2985,"-",""))),"-"," ",LEN($G2985)-LEN(SUBSTITUTE($G2985,"-",""))-1),".","")))=0,SUBSTITUTE(SUBSTITUTE($G2985,"-"," ",LEN($G2985)-LEN(SUBSTITUTE($G2985,"-",""))),"-"," ",LEN($G2985)-LEN(SUBSTITUTE($G2985,"-",""))-1),SUBSTITUTE(SUBSTITUTE(SUBSTITUTE($G2985,"-"," ",LEN($G2985)-LEN(SUBSTITUTE($G2985,"-",""))),"-"," ",LEN($G2985)-LEN(SUBSTITUTE($G2985,"-",""))-1),"."," ",(LEN(SUBSTITUTE(SUBSTITUTE($G2985,"-"," ",LEN($G2985)-LEN(SUBSTITUTE($G2985,"-",""))),"-"," ",LEN($G2985)-LEN(SUBSTITUTE($G2985,"-",""))-1))-LEN(SUBSTITUTE(SUBSTITUTE(SUBSTITUTE($G2985,"-"," ",LEN($G2985)-LEN(SUBSTITUTE($G2985,"-",""))),"-"," ",LEN($G2985)-LEN(SUBSTITUTE($G2985,"-",""))-1),".",""))))),$G2985)))</f>
        <v/>
      </c>
    </row>
    <row r="2986">
      <c r="A2986" s="58" t="n"/>
      <c r="B2986" s="58">
        <f>IF($H2986="","",LEFT($H2986,FIND(" ",$H2986&amp;" ")-1))</f>
        <v/>
      </c>
      <c r="C2986" s="58">
        <f>IF($H2986="","",IFERROR(MID($H2986&amp;" ",FIND("|",SUBSTITUTE($H2986&amp;" "," ","|",1))+1,FIND("|",SUBSTITUTE($H2986&amp;" "," ","|",2))-FIND("|",SUBSTITUTE($H2986&amp;" "," ","|",1))-1),""))</f>
        <v/>
      </c>
      <c r="D2986" s="58">
        <f>IF($H2986="","",IFERROR(MID($H2986&amp;" ",FIND("|",SUBSTITUTE($H2986&amp;" "," ","|",2))+1,FIND("|",SUBSTITUTE($H2986&amp;" "," ","|",3))-FIND("|",SUBSTITUTE($H2986&amp;" "," ","|",2))-1),""))</f>
        <v/>
      </c>
      <c r="E2986" s="58">
        <f>IF($H2986="","",IFERROR(MID($H2986&amp;" ",FIND("|",SUBSTITUTE($H2986&amp;" "," ","|",3))+1,FIND("|",SUBSTITUTE($H2986&amp;" "," ","|",4))-FIND("|",SUBSTITUTE($H2986&amp;" "," ","|",3))-1),""))</f>
        <v/>
      </c>
      <c r="F2986" s="59">
        <f>IF($H2986="","",IFERROR(VALUE(IFERROR(MID($H2986&amp;" ",FIND("|",SUBSTITUTE($H2986&amp;" "," ","|",4))+1,FIND("|",SUBSTITUTE($H2986&amp;" "," ","|",5))-FIND("|",SUBSTITUTE($H2986&amp;" "," ","|",4))-1),""))/86400+25569+9/24,""))</f>
        <v/>
      </c>
      <c r="G2986" s="58">
        <f>TRIM(SUBSTITUTE(SUBSTITUTE(SUBSTITUTE($A2986,CHAR(9)," ")," "," "),CHAR(13),""))</f>
        <v/>
      </c>
      <c r="H2986" s="58">
        <f>IF($G2986="","",IF(ISNUMBER(FIND(" ",$G2986)),$G2986,IFERROR(IF((LEN(SUBSTITUTE(SUBSTITUTE($G2986,"-"," ",LEN($G2986)-LEN(SUBSTITUTE($G2986,"-",""))),"-"," ",LEN($G2986)-LEN(SUBSTITUTE($G2986,"-",""))-1))-LEN(SUBSTITUTE(SUBSTITUTE(SUBSTITUTE($G2986,"-"," ",LEN($G2986)-LEN(SUBSTITUTE($G2986,"-",""))),"-"," ",LEN($G2986)-LEN(SUBSTITUTE($G2986,"-",""))-1),".","")))=0,SUBSTITUTE(SUBSTITUTE($G2986,"-"," ",LEN($G2986)-LEN(SUBSTITUTE($G2986,"-",""))),"-"," ",LEN($G2986)-LEN(SUBSTITUTE($G2986,"-",""))-1),SUBSTITUTE(SUBSTITUTE(SUBSTITUTE($G2986,"-"," ",LEN($G2986)-LEN(SUBSTITUTE($G2986,"-",""))),"-"," ",LEN($G2986)-LEN(SUBSTITUTE($G2986,"-",""))-1),"."," ",(LEN(SUBSTITUTE(SUBSTITUTE($G2986,"-"," ",LEN($G2986)-LEN(SUBSTITUTE($G2986,"-",""))),"-"," ",LEN($G2986)-LEN(SUBSTITUTE($G2986,"-",""))-1))-LEN(SUBSTITUTE(SUBSTITUTE(SUBSTITUTE($G2986,"-"," ",LEN($G2986)-LEN(SUBSTITUTE($G2986,"-",""))),"-"," ",LEN($G2986)-LEN(SUBSTITUTE($G2986,"-",""))-1),".",""))))),$G2986)))</f>
        <v/>
      </c>
    </row>
    <row r="2987">
      <c r="A2987" s="58" t="n"/>
      <c r="B2987" s="58">
        <f>IF($H2987="","",LEFT($H2987,FIND(" ",$H2987&amp;" ")-1))</f>
        <v/>
      </c>
      <c r="C2987" s="58">
        <f>IF($H2987="","",IFERROR(MID($H2987&amp;" ",FIND("|",SUBSTITUTE($H2987&amp;" "," ","|",1))+1,FIND("|",SUBSTITUTE($H2987&amp;" "," ","|",2))-FIND("|",SUBSTITUTE($H2987&amp;" "," ","|",1))-1),""))</f>
        <v/>
      </c>
      <c r="D2987" s="58">
        <f>IF($H2987="","",IFERROR(MID($H2987&amp;" ",FIND("|",SUBSTITUTE($H2987&amp;" "," ","|",2))+1,FIND("|",SUBSTITUTE($H2987&amp;" "," ","|",3))-FIND("|",SUBSTITUTE($H2987&amp;" "," ","|",2))-1),""))</f>
        <v/>
      </c>
      <c r="E2987" s="58">
        <f>IF($H2987="","",IFERROR(MID($H2987&amp;" ",FIND("|",SUBSTITUTE($H2987&amp;" "," ","|",3))+1,FIND("|",SUBSTITUTE($H2987&amp;" "," ","|",4))-FIND("|",SUBSTITUTE($H2987&amp;" "," ","|",3))-1),""))</f>
        <v/>
      </c>
      <c r="F2987" s="59">
        <f>IF($H2987="","",IFERROR(VALUE(IFERROR(MID($H2987&amp;" ",FIND("|",SUBSTITUTE($H2987&amp;" "," ","|",4))+1,FIND("|",SUBSTITUTE($H2987&amp;" "," ","|",5))-FIND("|",SUBSTITUTE($H2987&amp;" "," ","|",4))-1),""))/86400+25569+9/24,""))</f>
        <v/>
      </c>
      <c r="G2987" s="58">
        <f>TRIM(SUBSTITUTE(SUBSTITUTE(SUBSTITUTE($A2987,CHAR(9)," ")," "," "),CHAR(13),""))</f>
        <v/>
      </c>
      <c r="H2987" s="58">
        <f>IF($G2987="","",IF(ISNUMBER(FIND(" ",$G2987)),$G2987,IFERROR(IF((LEN(SUBSTITUTE(SUBSTITUTE($G2987,"-"," ",LEN($G2987)-LEN(SUBSTITUTE($G2987,"-",""))),"-"," ",LEN($G2987)-LEN(SUBSTITUTE($G2987,"-",""))-1))-LEN(SUBSTITUTE(SUBSTITUTE(SUBSTITUTE($G2987,"-"," ",LEN($G2987)-LEN(SUBSTITUTE($G2987,"-",""))),"-"," ",LEN($G2987)-LEN(SUBSTITUTE($G2987,"-",""))-1),".","")))=0,SUBSTITUTE(SUBSTITUTE($G2987,"-"," ",LEN($G2987)-LEN(SUBSTITUTE($G2987,"-",""))),"-"," ",LEN($G2987)-LEN(SUBSTITUTE($G2987,"-",""))-1),SUBSTITUTE(SUBSTITUTE(SUBSTITUTE($G2987,"-"," ",LEN($G2987)-LEN(SUBSTITUTE($G2987,"-",""))),"-"," ",LEN($G2987)-LEN(SUBSTITUTE($G2987,"-",""))-1),"."," ",(LEN(SUBSTITUTE(SUBSTITUTE($G2987,"-"," ",LEN($G2987)-LEN(SUBSTITUTE($G2987,"-",""))),"-"," ",LEN($G2987)-LEN(SUBSTITUTE($G2987,"-",""))-1))-LEN(SUBSTITUTE(SUBSTITUTE(SUBSTITUTE($G2987,"-"," ",LEN($G2987)-LEN(SUBSTITUTE($G2987,"-",""))),"-"," ",LEN($G2987)-LEN(SUBSTITUTE($G2987,"-",""))-1),".",""))))),$G2987)))</f>
        <v/>
      </c>
    </row>
    <row r="2988">
      <c r="A2988" s="58" t="n"/>
      <c r="B2988" s="58">
        <f>IF($H2988="","",LEFT($H2988,FIND(" ",$H2988&amp;" ")-1))</f>
        <v/>
      </c>
      <c r="C2988" s="58">
        <f>IF($H2988="","",IFERROR(MID($H2988&amp;" ",FIND("|",SUBSTITUTE($H2988&amp;" "," ","|",1))+1,FIND("|",SUBSTITUTE($H2988&amp;" "," ","|",2))-FIND("|",SUBSTITUTE($H2988&amp;" "," ","|",1))-1),""))</f>
        <v/>
      </c>
      <c r="D2988" s="58">
        <f>IF($H2988="","",IFERROR(MID($H2988&amp;" ",FIND("|",SUBSTITUTE($H2988&amp;" "," ","|",2))+1,FIND("|",SUBSTITUTE($H2988&amp;" "," ","|",3))-FIND("|",SUBSTITUTE($H2988&amp;" "," ","|",2))-1),""))</f>
        <v/>
      </c>
      <c r="E2988" s="58">
        <f>IF($H2988="","",IFERROR(MID($H2988&amp;" ",FIND("|",SUBSTITUTE($H2988&amp;" "," ","|",3))+1,FIND("|",SUBSTITUTE($H2988&amp;" "," ","|",4))-FIND("|",SUBSTITUTE($H2988&amp;" "," ","|",3))-1),""))</f>
        <v/>
      </c>
      <c r="F2988" s="59">
        <f>IF($H2988="","",IFERROR(VALUE(IFERROR(MID($H2988&amp;" ",FIND("|",SUBSTITUTE($H2988&amp;" "," ","|",4))+1,FIND("|",SUBSTITUTE($H2988&amp;" "," ","|",5))-FIND("|",SUBSTITUTE($H2988&amp;" "," ","|",4))-1),""))/86400+25569+9/24,""))</f>
        <v/>
      </c>
      <c r="G2988" s="58">
        <f>TRIM(SUBSTITUTE(SUBSTITUTE(SUBSTITUTE($A2988,CHAR(9)," ")," "," "),CHAR(13),""))</f>
        <v/>
      </c>
      <c r="H2988" s="58">
        <f>IF($G2988="","",IF(ISNUMBER(FIND(" ",$G2988)),$G2988,IFERROR(IF((LEN(SUBSTITUTE(SUBSTITUTE($G2988,"-"," ",LEN($G2988)-LEN(SUBSTITUTE($G2988,"-",""))),"-"," ",LEN($G2988)-LEN(SUBSTITUTE($G2988,"-",""))-1))-LEN(SUBSTITUTE(SUBSTITUTE(SUBSTITUTE($G2988,"-"," ",LEN($G2988)-LEN(SUBSTITUTE($G2988,"-",""))),"-"," ",LEN($G2988)-LEN(SUBSTITUTE($G2988,"-",""))-1),".","")))=0,SUBSTITUTE(SUBSTITUTE($G2988,"-"," ",LEN($G2988)-LEN(SUBSTITUTE($G2988,"-",""))),"-"," ",LEN($G2988)-LEN(SUBSTITUTE($G2988,"-",""))-1),SUBSTITUTE(SUBSTITUTE(SUBSTITUTE($G2988,"-"," ",LEN($G2988)-LEN(SUBSTITUTE($G2988,"-",""))),"-"," ",LEN($G2988)-LEN(SUBSTITUTE($G2988,"-",""))-1),"."," ",(LEN(SUBSTITUTE(SUBSTITUTE($G2988,"-"," ",LEN($G2988)-LEN(SUBSTITUTE($G2988,"-",""))),"-"," ",LEN($G2988)-LEN(SUBSTITUTE($G2988,"-",""))-1))-LEN(SUBSTITUTE(SUBSTITUTE(SUBSTITUTE($G2988,"-"," ",LEN($G2988)-LEN(SUBSTITUTE($G2988,"-",""))),"-"," ",LEN($G2988)-LEN(SUBSTITUTE($G2988,"-",""))-1),".",""))))),$G2988)))</f>
        <v/>
      </c>
    </row>
    <row r="2989">
      <c r="A2989" s="58" t="n"/>
      <c r="B2989" s="58">
        <f>IF($H2989="","",LEFT($H2989,FIND(" ",$H2989&amp;" ")-1))</f>
        <v/>
      </c>
      <c r="C2989" s="58">
        <f>IF($H2989="","",IFERROR(MID($H2989&amp;" ",FIND("|",SUBSTITUTE($H2989&amp;" "," ","|",1))+1,FIND("|",SUBSTITUTE($H2989&amp;" "," ","|",2))-FIND("|",SUBSTITUTE($H2989&amp;" "," ","|",1))-1),""))</f>
        <v/>
      </c>
      <c r="D2989" s="58">
        <f>IF($H2989="","",IFERROR(MID($H2989&amp;" ",FIND("|",SUBSTITUTE($H2989&amp;" "," ","|",2))+1,FIND("|",SUBSTITUTE($H2989&amp;" "," ","|",3))-FIND("|",SUBSTITUTE($H2989&amp;" "," ","|",2))-1),""))</f>
        <v/>
      </c>
      <c r="E2989" s="58">
        <f>IF($H2989="","",IFERROR(MID($H2989&amp;" ",FIND("|",SUBSTITUTE($H2989&amp;" "," ","|",3))+1,FIND("|",SUBSTITUTE($H2989&amp;" "," ","|",4))-FIND("|",SUBSTITUTE($H2989&amp;" "," ","|",3))-1),""))</f>
        <v/>
      </c>
      <c r="F2989" s="59">
        <f>IF($H2989="","",IFERROR(VALUE(IFERROR(MID($H2989&amp;" ",FIND("|",SUBSTITUTE($H2989&amp;" "," ","|",4))+1,FIND("|",SUBSTITUTE($H2989&amp;" "," ","|",5))-FIND("|",SUBSTITUTE($H2989&amp;" "," ","|",4))-1),""))/86400+25569+9/24,""))</f>
        <v/>
      </c>
      <c r="G2989" s="58">
        <f>TRIM(SUBSTITUTE(SUBSTITUTE(SUBSTITUTE($A2989,CHAR(9)," ")," "," "),CHAR(13),""))</f>
        <v/>
      </c>
      <c r="H2989" s="58">
        <f>IF($G2989="","",IF(ISNUMBER(FIND(" ",$G2989)),$G2989,IFERROR(IF((LEN(SUBSTITUTE(SUBSTITUTE($G2989,"-"," ",LEN($G2989)-LEN(SUBSTITUTE($G2989,"-",""))),"-"," ",LEN($G2989)-LEN(SUBSTITUTE($G2989,"-",""))-1))-LEN(SUBSTITUTE(SUBSTITUTE(SUBSTITUTE($G2989,"-"," ",LEN($G2989)-LEN(SUBSTITUTE($G2989,"-",""))),"-"," ",LEN($G2989)-LEN(SUBSTITUTE($G2989,"-",""))-1),".","")))=0,SUBSTITUTE(SUBSTITUTE($G2989,"-"," ",LEN($G2989)-LEN(SUBSTITUTE($G2989,"-",""))),"-"," ",LEN($G2989)-LEN(SUBSTITUTE($G2989,"-",""))-1),SUBSTITUTE(SUBSTITUTE(SUBSTITUTE($G2989,"-"," ",LEN($G2989)-LEN(SUBSTITUTE($G2989,"-",""))),"-"," ",LEN($G2989)-LEN(SUBSTITUTE($G2989,"-",""))-1),"."," ",(LEN(SUBSTITUTE(SUBSTITUTE($G2989,"-"," ",LEN($G2989)-LEN(SUBSTITUTE($G2989,"-",""))),"-"," ",LEN($G2989)-LEN(SUBSTITUTE($G2989,"-",""))-1))-LEN(SUBSTITUTE(SUBSTITUTE(SUBSTITUTE($G2989,"-"," ",LEN($G2989)-LEN(SUBSTITUTE($G2989,"-",""))),"-"," ",LEN($G2989)-LEN(SUBSTITUTE($G2989,"-",""))-1),".",""))))),$G2989)))</f>
        <v/>
      </c>
    </row>
    <row r="2990">
      <c r="A2990" s="58" t="n"/>
      <c r="B2990" s="58">
        <f>IF($H2990="","",LEFT($H2990,FIND(" ",$H2990&amp;" ")-1))</f>
        <v/>
      </c>
      <c r="C2990" s="58">
        <f>IF($H2990="","",IFERROR(MID($H2990&amp;" ",FIND("|",SUBSTITUTE($H2990&amp;" "," ","|",1))+1,FIND("|",SUBSTITUTE($H2990&amp;" "," ","|",2))-FIND("|",SUBSTITUTE($H2990&amp;" "," ","|",1))-1),""))</f>
        <v/>
      </c>
      <c r="D2990" s="58">
        <f>IF($H2990="","",IFERROR(MID($H2990&amp;" ",FIND("|",SUBSTITUTE($H2990&amp;" "," ","|",2))+1,FIND("|",SUBSTITUTE($H2990&amp;" "," ","|",3))-FIND("|",SUBSTITUTE($H2990&amp;" "," ","|",2))-1),""))</f>
        <v/>
      </c>
      <c r="E2990" s="58">
        <f>IF($H2990="","",IFERROR(MID($H2990&amp;" ",FIND("|",SUBSTITUTE($H2990&amp;" "," ","|",3))+1,FIND("|",SUBSTITUTE($H2990&amp;" "," ","|",4))-FIND("|",SUBSTITUTE($H2990&amp;" "," ","|",3))-1),""))</f>
        <v/>
      </c>
      <c r="F2990" s="59">
        <f>IF($H2990="","",IFERROR(VALUE(IFERROR(MID($H2990&amp;" ",FIND("|",SUBSTITUTE($H2990&amp;" "," ","|",4))+1,FIND("|",SUBSTITUTE($H2990&amp;" "," ","|",5))-FIND("|",SUBSTITUTE($H2990&amp;" "," ","|",4))-1),""))/86400+25569+9/24,""))</f>
        <v/>
      </c>
      <c r="G2990" s="58">
        <f>TRIM(SUBSTITUTE(SUBSTITUTE(SUBSTITUTE($A2990,CHAR(9)," ")," "," "),CHAR(13),""))</f>
        <v/>
      </c>
      <c r="H2990" s="58">
        <f>IF($G2990="","",IF(ISNUMBER(FIND(" ",$G2990)),$G2990,IFERROR(IF((LEN(SUBSTITUTE(SUBSTITUTE($G2990,"-"," ",LEN($G2990)-LEN(SUBSTITUTE($G2990,"-",""))),"-"," ",LEN($G2990)-LEN(SUBSTITUTE($G2990,"-",""))-1))-LEN(SUBSTITUTE(SUBSTITUTE(SUBSTITUTE($G2990,"-"," ",LEN($G2990)-LEN(SUBSTITUTE($G2990,"-",""))),"-"," ",LEN($G2990)-LEN(SUBSTITUTE($G2990,"-",""))-1),".","")))=0,SUBSTITUTE(SUBSTITUTE($G2990,"-"," ",LEN($G2990)-LEN(SUBSTITUTE($G2990,"-",""))),"-"," ",LEN($G2990)-LEN(SUBSTITUTE($G2990,"-",""))-1),SUBSTITUTE(SUBSTITUTE(SUBSTITUTE($G2990,"-"," ",LEN($G2990)-LEN(SUBSTITUTE($G2990,"-",""))),"-"," ",LEN($G2990)-LEN(SUBSTITUTE($G2990,"-",""))-1),"."," ",(LEN(SUBSTITUTE(SUBSTITUTE($G2990,"-"," ",LEN($G2990)-LEN(SUBSTITUTE($G2990,"-",""))),"-"," ",LEN($G2990)-LEN(SUBSTITUTE($G2990,"-",""))-1))-LEN(SUBSTITUTE(SUBSTITUTE(SUBSTITUTE($G2990,"-"," ",LEN($G2990)-LEN(SUBSTITUTE($G2990,"-",""))),"-"," ",LEN($G2990)-LEN(SUBSTITUTE($G2990,"-",""))-1),".",""))))),$G2990)))</f>
        <v/>
      </c>
    </row>
    <row r="2991">
      <c r="A2991" s="58" t="n"/>
      <c r="B2991" s="58">
        <f>IF($H2991="","",LEFT($H2991,FIND(" ",$H2991&amp;" ")-1))</f>
        <v/>
      </c>
      <c r="C2991" s="58">
        <f>IF($H2991="","",IFERROR(MID($H2991&amp;" ",FIND("|",SUBSTITUTE($H2991&amp;" "," ","|",1))+1,FIND("|",SUBSTITUTE($H2991&amp;" "," ","|",2))-FIND("|",SUBSTITUTE($H2991&amp;" "," ","|",1))-1),""))</f>
        <v/>
      </c>
      <c r="D2991" s="58">
        <f>IF($H2991="","",IFERROR(MID($H2991&amp;" ",FIND("|",SUBSTITUTE($H2991&amp;" "," ","|",2))+1,FIND("|",SUBSTITUTE($H2991&amp;" "," ","|",3))-FIND("|",SUBSTITUTE($H2991&amp;" "," ","|",2))-1),""))</f>
        <v/>
      </c>
      <c r="E2991" s="58">
        <f>IF($H2991="","",IFERROR(MID($H2991&amp;" ",FIND("|",SUBSTITUTE($H2991&amp;" "," ","|",3))+1,FIND("|",SUBSTITUTE($H2991&amp;" "," ","|",4))-FIND("|",SUBSTITUTE($H2991&amp;" "," ","|",3))-1),""))</f>
        <v/>
      </c>
      <c r="F2991" s="59">
        <f>IF($H2991="","",IFERROR(VALUE(IFERROR(MID($H2991&amp;" ",FIND("|",SUBSTITUTE($H2991&amp;" "," ","|",4))+1,FIND("|",SUBSTITUTE($H2991&amp;" "," ","|",5))-FIND("|",SUBSTITUTE($H2991&amp;" "," ","|",4))-1),""))/86400+25569+9/24,""))</f>
        <v/>
      </c>
      <c r="G2991" s="58">
        <f>TRIM(SUBSTITUTE(SUBSTITUTE(SUBSTITUTE($A2991,CHAR(9)," ")," "," "),CHAR(13),""))</f>
        <v/>
      </c>
      <c r="H2991" s="58">
        <f>IF($G2991="","",IF(ISNUMBER(FIND(" ",$G2991)),$G2991,IFERROR(IF((LEN(SUBSTITUTE(SUBSTITUTE($G2991,"-"," ",LEN($G2991)-LEN(SUBSTITUTE($G2991,"-",""))),"-"," ",LEN($G2991)-LEN(SUBSTITUTE($G2991,"-",""))-1))-LEN(SUBSTITUTE(SUBSTITUTE(SUBSTITUTE($G2991,"-"," ",LEN($G2991)-LEN(SUBSTITUTE($G2991,"-",""))),"-"," ",LEN($G2991)-LEN(SUBSTITUTE($G2991,"-",""))-1),".","")))=0,SUBSTITUTE(SUBSTITUTE($G2991,"-"," ",LEN($G2991)-LEN(SUBSTITUTE($G2991,"-",""))),"-"," ",LEN($G2991)-LEN(SUBSTITUTE($G2991,"-",""))-1),SUBSTITUTE(SUBSTITUTE(SUBSTITUTE($G2991,"-"," ",LEN($G2991)-LEN(SUBSTITUTE($G2991,"-",""))),"-"," ",LEN($G2991)-LEN(SUBSTITUTE($G2991,"-",""))-1),"."," ",(LEN(SUBSTITUTE(SUBSTITUTE($G2991,"-"," ",LEN($G2991)-LEN(SUBSTITUTE($G2991,"-",""))),"-"," ",LEN($G2991)-LEN(SUBSTITUTE($G2991,"-",""))-1))-LEN(SUBSTITUTE(SUBSTITUTE(SUBSTITUTE($G2991,"-"," ",LEN($G2991)-LEN(SUBSTITUTE($G2991,"-",""))),"-"," ",LEN($G2991)-LEN(SUBSTITUTE($G2991,"-",""))-1),".",""))))),$G2991)))</f>
        <v/>
      </c>
    </row>
    <row r="2992">
      <c r="A2992" s="58" t="n"/>
      <c r="B2992" s="58">
        <f>IF($H2992="","",LEFT($H2992,FIND(" ",$H2992&amp;" ")-1))</f>
        <v/>
      </c>
      <c r="C2992" s="58">
        <f>IF($H2992="","",IFERROR(MID($H2992&amp;" ",FIND("|",SUBSTITUTE($H2992&amp;" "," ","|",1))+1,FIND("|",SUBSTITUTE($H2992&amp;" "," ","|",2))-FIND("|",SUBSTITUTE($H2992&amp;" "," ","|",1))-1),""))</f>
        <v/>
      </c>
      <c r="D2992" s="58">
        <f>IF($H2992="","",IFERROR(MID($H2992&amp;" ",FIND("|",SUBSTITUTE($H2992&amp;" "," ","|",2))+1,FIND("|",SUBSTITUTE($H2992&amp;" "," ","|",3))-FIND("|",SUBSTITUTE($H2992&amp;" "," ","|",2))-1),""))</f>
        <v/>
      </c>
      <c r="E2992" s="58">
        <f>IF($H2992="","",IFERROR(MID($H2992&amp;" ",FIND("|",SUBSTITUTE($H2992&amp;" "," ","|",3))+1,FIND("|",SUBSTITUTE($H2992&amp;" "," ","|",4))-FIND("|",SUBSTITUTE($H2992&amp;" "," ","|",3))-1),""))</f>
        <v/>
      </c>
      <c r="F2992" s="59">
        <f>IF($H2992="","",IFERROR(VALUE(IFERROR(MID($H2992&amp;" ",FIND("|",SUBSTITUTE($H2992&amp;" "," ","|",4))+1,FIND("|",SUBSTITUTE($H2992&amp;" "," ","|",5))-FIND("|",SUBSTITUTE($H2992&amp;" "," ","|",4))-1),""))/86400+25569+9/24,""))</f>
        <v/>
      </c>
      <c r="G2992" s="58">
        <f>TRIM(SUBSTITUTE(SUBSTITUTE(SUBSTITUTE($A2992,CHAR(9)," ")," "," "),CHAR(13),""))</f>
        <v/>
      </c>
      <c r="H2992" s="58">
        <f>IF($G2992="","",IF(ISNUMBER(FIND(" ",$G2992)),$G2992,IFERROR(IF((LEN(SUBSTITUTE(SUBSTITUTE($G2992,"-"," ",LEN($G2992)-LEN(SUBSTITUTE($G2992,"-",""))),"-"," ",LEN($G2992)-LEN(SUBSTITUTE($G2992,"-",""))-1))-LEN(SUBSTITUTE(SUBSTITUTE(SUBSTITUTE($G2992,"-"," ",LEN($G2992)-LEN(SUBSTITUTE($G2992,"-",""))),"-"," ",LEN($G2992)-LEN(SUBSTITUTE($G2992,"-",""))-1),".","")))=0,SUBSTITUTE(SUBSTITUTE($G2992,"-"," ",LEN($G2992)-LEN(SUBSTITUTE($G2992,"-",""))),"-"," ",LEN($G2992)-LEN(SUBSTITUTE($G2992,"-",""))-1),SUBSTITUTE(SUBSTITUTE(SUBSTITUTE($G2992,"-"," ",LEN($G2992)-LEN(SUBSTITUTE($G2992,"-",""))),"-"," ",LEN($G2992)-LEN(SUBSTITUTE($G2992,"-",""))-1),"."," ",(LEN(SUBSTITUTE(SUBSTITUTE($G2992,"-"," ",LEN($G2992)-LEN(SUBSTITUTE($G2992,"-",""))),"-"," ",LEN($G2992)-LEN(SUBSTITUTE($G2992,"-",""))-1))-LEN(SUBSTITUTE(SUBSTITUTE(SUBSTITUTE($G2992,"-"," ",LEN($G2992)-LEN(SUBSTITUTE($G2992,"-",""))),"-"," ",LEN($G2992)-LEN(SUBSTITUTE($G2992,"-",""))-1),".",""))))),$G2992)))</f>
        <v/>
      </c>
    </row>
    <row r="2993">
      <c r="A2993" s="58" t="n"/>
      <c r="B2993" s="58">
        <f>IF($H2993="","",LEFT($H2993,FIND(" ",$H2993&amp;" ")-1))</f>
        <v/>
      </c>
      <c r="C2993" s="58">
        <f>IF($H2993="","",IFERROR(MID($H2993&amp;" ",FIND("|",SUBSTITUTE($H2993&amp;" "," ","|",1))+1,FIND("|",SUBSTITUTE($H2993&amp;" "," ","|",2))-FIND("|",SUBSTITUTE($H2993&amp;" "," ","|",1))-1),""))</f>
        <v/>
      </c>
      <c r="D2993" s="58">
        <f>IF($H2993="","",IFERROR(MID($H2993&amp;" ",FIND("|",SUBSTITUTE($H2993&amp;" "," ","|",2))+1,FIND("|",SUBSTITUTE($H2993&amp;" "," ","|",3))-FIND("|",SUBSTITUTE($H2993&amp;" "," ","|",2))-1),""))</f>
        <v/>
      </c>
      <c r="E2993" s="58">
        <f>IF($H2993="","",IFERROR(MID($H2993&amp;" ",FIND("|",SUBSTITUTE($H2993&amp;" "," ","|",3))+1,FIND("|",SUBSTITUTE($H2993&amp;" "," ","|",4))-FIND("|",SUBSTITUTE($H2993&amp;" "," ","|",3))-1),""))</f>
        <v/>
      </c>
      <c r="F2993" s="59">
        <f>IF($H2993="","",IFERROR(VALUE(IFERROR(MID($H2993&amp;" ",FIND("|",SUBSTITUTE($H2993&amp;" "," ","|",4))+1,FIND("|",SUBSTITUTE($H2993&amp;" "," ","|",5))-FIND("|",SUBSTITUTE($H2993&amp;" "," ","|",4))-1),""))/86400+25569+9/24,""))</f>
        <v/>
      </c>
      <c r="G2993" s="58">
        <f>TRIM(SUBSTITUTE(SUBSTITUTE(SUBSTITUTE($A2993,CHAR(9)," ")," "," "),CHAR(13),""))</f>
        <v/>
      </c>
      <c r="H2993" s="58">
        <f>IF($G2993="","",IF(ISNUMBER(FIND(" ",$G2993)),$G2993,IFERROR(IF((LEN(SUBSTITUTE(SUBSTITUTE($G2993,"-"," ",LEN($G2993)-LEN(SUBSTITUTE($G2993,"-",""))),"-"," ",LEN($G2993)-LEN(SUBSTITUTE($G2993,"-",""))-1))-LEN(SUBSTITUTE(SUBSTITUTE(SUBSTITUTE($G2993,"-"," ",LEN($G2993)-LEN(SUBSTITUTE($G2993,"-",""))),"-"," ",LEN($G2993)-LEN(SUBSTITUTE($G2993,"-",""))-1),".","")))=0,SUBSTITUTE(SUBSTITUTE($G2993,"-"," ",LEN($G2993)-LEN(SUBSTITUTE($G2993,"-",""))),"-"," ",LEN($G2993)-LEN(SUBSTITUTE($G2993,"-",""))-1),SUBSTITUTE(SUBSTITUTE(SUBSTITUTE($G2993,"-"," ",LEN($G2993)-LEN(SUBSTITUTE($G2993,"-",""))),"-"," ",LEN($G2993)-LEN(SUBSTITUTE($G2993,"-",""))-1),"."," ",(LEN(SUBSTITUTE(SUBSTITUTE($G2993,"-"," ",LEN($G2993)-LEN(SUBSTITUTE($G2993,"-",""))),"-"," ",LEN($G2993)-LEN(SUBSTITUTE($G2993,"-",""))-1))-LEN(SUBSTITUTE(SUBSTITUTE(SUBSTITUTE($G2993,"-"," ",LEN($G2993)-LEN(SUBSTITUTE($G2993,"-",""))),"-"," ",LEN($G2993)-LEN(SUBSTITUTE($G2993,"-",""))-1),".",""))))),$G2993)))</f>
        <v/>
      </c>
    </row>
    <row r="2994">
      <c r="A2994" s="58" t="n"/>
      <c r="B2994" s="58">
        <f>IF($H2994="","",LEFT($H2994,FIND(" ",$H2994&amp;" ")-1))</f>
        <v/>
      </c>
      <c r="C2994" s="58">
        <f>IF($H2994="","",IFERROR(MID($H2994&amp;" ",FIND("|",SUBSTITUTE($H2994&amp;" "," ","|",1))+1,FIND("|",SUBSTITUTE($H2994&amp;" "," ","|",2))-FIND("|",SUBSTITUTE($H2994&amp;" "," ","|",1))-1),""))</f>
        <v/>
      </c>
      <c r="D2994" s="58">
        <f>IF($H2994="","",IFERROR(MID($H2994&amp;" ",FIND("|",SUBSTITUTE($H2994&amp;" "," ","|",2))+1,FIND("|",SUBSTITUTE($H2994&amp;" "," ","|",3))-FIND("|",SUBSTITUTE($H2994&amp;" "," ","|",2))-1),""))</f>
        <v/>
      </c>
      <c r="E2994" s="58">
        <f>IF($H2994="","",IFERROR(MID($H2994&amp;" ",FIND("|",SUBSTITUTE($H2994&amp;" "," ","|",3))+1,FIND("|",SUBSTITUTE($H2994&amp;" "," ","|",4))-FIND("|",SUBSTITUTE($H2994&amp;" "," ","|",3))-1),""))</f>
        <v/>
      </c>
      <c r="F2994" s="59">
        <f>IF($H2994="","",IFERROR(VALUE(IFERROR(MID($H2994&amp;" ",FIND("|",SUBSTITUTE($H2994&amp;" "," ","|",4))+1,FIND("|",SUBSTITUTE($H2994&amp;" "," ","|",5))-FIND("|",SUBSTITUTE($H2994&amp;" "," ","|",4))-1),""))/86400+25569+9/24,""))</f>
        <v/>
      </c>
      <c r="G2994" s="58">
        <f>TRIM(SUBSTITUTE(SUBSTITUTE(SUBSTITUTE($A2994,CHAR(9)," ")," "," "),CHAR(13),""))</f>
        <v/>
      </c>
      <c r="H2994" s="58">
        <f>IF($G2994="","",IF(ISNUMBER(FIND(" ",$G2994)),$G2994,IFERROR(IF((LEN(SUBSTITUTE(SUBSTITUTE($G2994,"-"," ",LEN($G2994)-LEN(SUBSTITUTE($G2994,"-",""))),"-"," ",LEN($G2994)-LEN(SUBSTITUTE($G2994,"-",""))-1))-LEN(SUBSTITUTE(SUBSTITUTE(SUBSTITUTE($G2994,"-"," ",LEN($G2994)-LEN(SUBSTITUTE($G2994,"-",""))),"-"," ",LEN($G2994)-LEN(SUBSTITUTE($G2994,"-",""))-1),".","")))=0,SUBSTITUTE(SUBSTITUTE($G2994,"-"," ",LEN($G2994)-LEN(SUBSTITUTE($G2994,"-",""))),"-"," ",LEN($G2994)-LEN(SUBSTITUTE($G2994,"-",""))-1),SUBSTITUTE(SUBSTITUTE(SUBSTITUTE($G2994,"-"," ",LEN($G2994)-LEN(SUBSTITUTE($G2994,"-",""))),"-"," ",LEN($G2994)-LEN(SUBSTITUTE($G2994,"-",""))-1),"."," ",(LEN(SUBSTITUTE(SUBSTITUTE($G2994,"-"," ",LEN($G2994)-LEN(SUBSTITUTE($G2994,"-",""))),"-"," ",LEN($G2994)-LEN(SUBSTITUTE($G2994,"-",""))-1))-LEN(SUBSTITUTE(SUBSTITUTE(SUBSTITUTE($G2994,"-"," ",LEN($G2994)-LEN(SUBSTITUTE($G2994,"-",""))),"-"," ",LEN($G2994)-LEN(SUBSTITUTE($G2994,"-",""))-1),".",""))))),$G2994)))</f>
        <v/>
      </c>
    </row>
    <row r="2995">
      <c r="A2995" s="58" t="n"/>
      <c r="B2995" s="58">
        <f>IF($H2995="","",LEFT($H2995,FIND(" ",$H2995&amp;" ")-1))</f>
        <v/>
      </c>
      <c r="C2995" s="58">
        <f>IF($H2995="","",IFERROR(MID($H2995&amp;" ",FIND("|",SUBSTITUTE($H2995&amp;" "," ","|",1))+1,FIND("|",SUBSTITUTE($H2995&amp;" "," ","|",2))-FIND("|",SUBSTITUTE($H2995&amp;" "," ","|",1))-1),""))</f>
        <v/>
      </c>
      <c r="D2995" s="58">
        <f>IF($H2995="","",IFERROR(MID($H2995&amp;" ",FIND("|",SUBSTITUTE($H2995&amp;" "," ","|",2))+1,FIND("|",SUBSTITUTE($H2995&amp;" "," ","|",3))-FIND("|",SUBSTITUTE($H2995&amp;" "," ","|",2))-1),""))</f>
        <v/>
      </c>
      <c r="E2995" s="58">
        <f>IF($H2995="","",IFERROR(MID($H2995&amp;" ",FIND("|",SUBSTITUTE($H2995&amp;" "," ","|",3))+1,FIND("|",SUBSTITUTE($H2995&amp;" "," ","|",4))-FIND("|",SUBSTITUTE($H2995&amp;" "," ","|",3))-1),""))</f>
        <v/>
      </c>
      <c r="F2995" s="59">
        <f>IF($H2995="","",IFERROR(VALUE(IFERROR(MID($H2995&amp;" ",FIND("|",SUBSTITUTE($H2995&amp;" "," ","|",4))+1,FIND("|",SUBSTITUTE($H2995&amp;" "," ","|",5))-FIND("|",SUBSTITUTE($H2995&amp;" "," ","|",4))-1),""))/86400+25569+9/24,""))</f>
        <v/>
      </c>
      <c r="G2995" s="58">
        <f>TRIM(SUBSTITUTE(SUBSTITUTE(SUBSTITUTE($A2995,CHAR(9)," ")," "," "),CHAR(13),""))</f>
        <v/>
      </c>
      <c r="H2995" s="58">
        <f>IF($G2995="","",IF(ISNUMBER(FIND(" ",$G2995)),$G2995,IFERROR(IF((LEN(SUBSTITUTE(SUBSTITUTE($G2995,"-"," ",LEN($G2995)-LEN(SUBSTITUTE($G2995,"-",""))),"-"," ",LEN($G2995)-LEN(SUBSTITUTE($G2995,"-",""))-1))-LEN(SUBSTITUTE(SUBSTITUTE(SUBSTITUTE($G2995,"-"," ",LEN($G2995)-LEN(SUBSTITUTE($G2995,"-",""))),"-"," ",LEN($G2995)-LEN(SUBSTITUTE($G2995,"-",""))-1),".","")))=0,SUBSTITUTE(SUBSTITUTE($G2995,"-"," ",LEN($G2995)-LEN(SUBSTITUTE($G2995,"-",""))),"-"," ",LEN($G2995)-LEN(SUBSTITUTE($G2995,"-",""))-1),SUBSTITUTE(SUBSTITUTE(SUBSTITUTE($G2995,"-"," ",LEN($G2995)-LEN(SUBSTITUTE($G2995,"-",""))),"-"," ",LEN($G2995)-LEN(SUBSTITUTE($G2995,"-",""))-1),"."," ",(LEN(SUBSTITUTE(SUBSTITUTE($G2995,"-"," ",LEN($G2995)-LEN(SUBSTITUTE($G2995,"-",""))),"-"," ",LEN($G2995)-LEN(SUBSTITUTE($G2995,"-",""))-1))-LEN(SUBSTITUTE(SUBSTITUTE(SUBSTITUTE($G2995,"-"," ",LEN($G2995)-LEN(SUBSTITUTE($G2995,"-",""))),"-"," ",LEN($G2995)-LEN(SUBSTITUTE($G2995,"-",""))-1),".",""))))),$G2995)))</f>
        <v/>
      </c>
    </row>
    <row r="2996">
      <c r="A2996" s="58" t="n"/>
      <c r="B2996" s="58">
        <f>IF($H2996="","",LEFT($H2996,FIND(" ",$H2996&amp;" ")-1))</f>
        <v/>
      </c>
      <c r="C2996" s="58">
        <f>IF($H2996="","",IFERROR(MID($H2996&amp;" ",FIND("|",SUBSTITUTE($H2996&amp;" "," ","|",1))+1,FIND("|",SUBSTITUTE($H2996&amp;" "," ","|",2))-FIND("|",SUBSTITUTE($H2996&amp;" "," ","|",1))-1),""))</f>
        <v/>
      </c>
      <c r="D2996" s="58">
        <f>IF($H2996="","",IFERROR(MID($H2996&amp;" ",FIND("|",SUBSTITUTE($H2996&amp;" "," ","|",2))+1,FIND("|",SUBSTITUTE($H2996&amp;" "," ","|",3))-FIND("|",SUBSTITUTE($H2996&amp;" "," ","|",2))-1),""))</f>
        <v/>
      </c>
      <c r="E2996" s="58">
        <f>IF($H2996="","",IFERROR(MID($H2996&amp;" ",FIND("|",SUBSTITUTE($H2996&amp;" "," ","|",3))+1,FIND("|",SUBSTITUTE($H2996&amp;" "," ","|",4))-FIND("|",SUBSTITUTE($H2996&amp;" "," ","|",3))-1),""))</f>
        <v/>
      </c>
      <c r="F2996" s="59">
        <f>IF($H2996="","",IFERROR(VALUE(IFERROR(MID($H2996&amp;" ",FIND("|",SUBSTITUTE($H2996&amp;" "," ","|",4))+1,FIND("|",SUBSTITUTE($H2996&amp;" "," ","|",5))-FIND("|",SUBSTITUTE($H2996&amp;" "," ","|",4))-1),""))/86400+25569+9/24,""))</f>
        <v/>
      </c>
      <c r="G2996" s="58">
        <f>TRIM(SUBSTITUTE(SUBSTITUTE(SUBSTITUTE($A2996,CHAR(9)," ")," "," "),CHAR(13),""))</f>
        <v/>
      </c>
      <c r="H2996" s="58">
        <f>IF($G2996="","",IF(ISNUMBER(FIND(" ",$G2996)),$G2996,IFERROR(IF((LEN(SUBSTITUTE(SUBSTITUTE($G2996,"-"," ",LEN($G2996)-LEN(SUBSTITUTE($G2996,"-",""))),"-"," ",LEN($G2996)-LEN(SUBSTITUTE($G2996,"-",""))-1))-LEN(SUBSTITUTE(SUBSTITUTE(SUBSTITUTE($G2996,"-"," ",LEN($G2996)-LEN(SUBSTITUTE($G2996,"-",""))),"-"," ",LEN($G2996)-LEN(SUBSTITUTE($G2996,"-",""))-1),".","")))=0,SUBSTITUTE(SUBSTITUTE($G2996,"-"," ",LEN($G2996)-LEN(SUBSTITUTE($G2996,"-",""))),"-"," ",LEN($G2996)-LEN(SUBSTITUTE($G2996,"-",""))-1),SUBSTITUTE(SUBSTITUTE(SUBSTITUTE($G2996,"-"," ",LEN($G2996)-LEN(SUBSTITUTE($G2996,"-",""))),"-"," ",LEN($G2996)-LEN(SUBSTITUTE($G2996,"-",""))-1),"."," ",(LEN(SUBSTITUTE(SUBSTITUTE($G2996,"-"," ",LEN($G2996)-LEN(SUBSTITUTE($G2996,"-",""))),"-"," ",LEN($G2996)-LEN(SUBSTITUTE($G2996,"-",""))-1))-LEN(SUBSTITUTE(SUBSTITUTE(SUBSTITUTE($G2996,"-"," ",LEN($G2996)-LEN(SUBSTITUTE($G2996,"-",""))),"-"," ",LEN($G2996)-LEN(SUBSTITUTE($G2996,"-",""))-1),".",""))))),$G2996)))</f>
        <v/>
      </c>
    </row>
    <row r="2997">
      <c r="A2997" s="58" t="n"/>
      <c r="B2997" s="58">
        <f>IF($H2997="","",LEFT($H2997,FIND(" ",$H2997&amp;" ")-1))</f>
        <v/>
      </c>
      <c r="C2997" s="58">
        <f>IF($H2997="","",IFERROR(MID($H2997&amp;" ",FIND("|",SUBSTITUTE($H2997&amp;" "," ","|",1))+1,FIND("|",SUBSTITUTE($H2997&amp;" "," ","|",2))-FIND("|",SUBSTITUTE($H2997&amp;" "," ","|",1))-1),""))</f>
        <v/>
      </c>
      <c r="D2997" s="58">
        <f>IF($H2997="","",IFERROR(MID($H2997&amp;" ",FIND("|",SUBSTITUTE($H2997&amp;" "," ","|",2))+1,FIND("|",SUBSTITUTE($H2997&amp;" "," ","|",3))-FIND("|",SUBSTITUTE($H2997&amp;" "," ","|",2))-1),""))</f>
        <v/>
      </c>
      <c r="E2997" s="58">
        <f>IF($H2997="","",IFERROR(MID($H2997&amp;" ",FIND("|",SUBSTITUTE($H2997&amp;" "," ","|",3))+1,FIND("|",SUBSTITUTE($H2997&amp;" "," ","|",4))-FIND("|",SUBSTITUTE($H2997&amp;" "," ","|",3))-1),""))</f>
        <v/>
      </c>
      <c r="F2997" s="59">
        <f>IF($H2997="","",IFERROR(VALUE(IFERROR(MID($H2997&amp;" ",FIND("|",SUBSTITUTE($H2997&amp;" "," ","|",4))+1,FIND("|",SUBSTITUTE($H2997&amp;" "," ","|",5))-FIND("|",SUBSTITUTE($H2997&amp;" "," ","|",4))-1),""))/86400+25569+9/24,""))</f>
        <v/>
      </c>
      <c r="G2997" s="58">
        <f>TRIM(SUBSTITUTE(SUBSTITUTE(SUBSTITUTE($A2997,CHAR(9)," ")," "," "),CHAR(13),""))</f>
        <v/>
      </c>
      <c r="H2997" s="58">
        <f>IF($G2997="","",IF(ISNUMBER(FIND(" ",$G2997)),$G2997,IFERROR(IF((LEN(SUBSTITUTE(SUBSTITUTE($G2997,"-"," ",LEN($G2997)-LEN(SUBSTITUTE($G2997,"-",""))),"-"," ",LEN($G2997)-LEN(SUBSTITUTE($G2997,"-",""))-1))-LEN(SUBSTITUTE(SUBSTITUTE(SUBSTITUTE($G2997,"-"," ",LEN($G2997)-LEN(SUBSTITUTE($G2997,"-",""))),"-"," ",LEN($G2997)-LEN(SUBSTITUTE($G2997,"-",""))-1),".","")))=0,SUBSTITUTE(SUBSTITUTE($G2997,"-"," ",LEN($G2997)-LEN(SUBSTITUTE($G2997,"-",""))),"-"," ",LEN($G2997)-LEN(SUBSTITUTE($G2997,"-",""))-1),SUBSTITUTE(SUBSTITUTE(SUBSTITUTE($G2997,"-"," ",LEN($G2997)-LEN(SUBSTITUTE($G2997,"-",""))),"-"," ",LEN($G2997)-LEN(SUBSTITUTE($G2997,"-",""))-1),"."," ",(LEN(SUBSTITUTE(SUBSTITUTE($G2997,"-"," ",LEN($G2997)-LEN(SUBSTITUTE($G2997,"-",""))),"-"," ",LEN($G2997)-LEN(SUBSTITUTE($G2997,"-",""))-1))-LEN(SUBSTITUTE(SUBSTITUTE(SUBSTITUTE($G2997,"-"," ",LEN($G2997)-LEN(SUBSTITUTE($G2997,"-",""))),"-"," ",LEN($G2997)-LEN(SUBSTITUTE($G2997,"-",""))-1),".",""))))),$G2997)))</f>
        <v/>
      </c>
    </row>
    <row r="2998">
      <c r="A2998" s="58" t="n"/>
      <c r="B2998" s="58">
        <f>IF($H2998="","",LEFT($H2998,FIND(" ",$H2998&amp;" ")-1))</f>
        <v/>
      </c>
      <c r="C2998" s="58">
        <f>IF($H2998="","",IFERROR(MID($H2998&amp;" ",FIND("|",SUBSTITUTE($H2998&amp;" "," ","|",1))+1,FIND("|",SUBSTITUTE($H2998&amp;" "," ","|",2))-FIND("|",SUBSTITUTE($H2998&amp;" "," ","|",1))-1),""))</f>
        <v/>
      </c>
      <c r="D2998" s="58">
        <f>IF($H2998="","",IFERROR(MID($H2998&amp;" ",FIND("|",SUBSTITUTE($H2998&amp;" "," ","|",2))+1,FIND("|",SUBSTITUTE($H2998&amp;" "," ","|",3))-FIND("|",SUBSTITUTE($H2998&amp;" "," ","|",2))-1),""))</f>
        <v/>
      </c>
      <c r="E2998" s="58">
        <f>IF($H2998="","",IFERROR(MID($H2998&amp;" ",FIND("|",SUBSTITUTE($H2998&amp;" "," ","|",3))+1,FIND("|",SUBSTITUTE($H2998&amp;" "," ","|",4))-FIND("|",SUBSTITUTE($H2998&amp;" "," ","|",3))-1),""))</f>
        <v/>
      </c>
      <c r="F2998" s="59">
        <f>IF($H2998="","",IFERROR(VALUE(IFERROR(MID($H2998&amp;" ",FIND("|",SUBSTITUTE($H2998&amp;" "," ","|",4))+1,FIND("|",SUBSTITUTE($H2998&amp;" "," ","|",5))-FIND("|",SUBSTITUTE($H2998&amp;" "," ","|",4))-1),""))/86400+25569+9/24,""))</f>
        <v/>
      </c>
      <c r="G2998" s="58">
        <f>TRIM(SUBSTITUTE(SUBSTITUTE(SUBSTITUTE($A2998,CHAR(9)," ")," "," "),CHAR(13),""))</f>
        <v/>
      </c>
      <c r="H2998" s="58">
        <f>IF($G2998="","",IF(ISNUMBER(FIND(" ",$G2998)),$G2998,IFERROR(IF((LEN(SUBSTITUTE(SUBSTITUTE($G2998,"-"," ",LEN($G2998)-LEN(SUBSTITUTE($G2998,"-",""))),"-"," ",LEN($G2998)-LEN(SUBSTITUTE($G2998,"-",""))-1))-LEN(SUBSTITUTE(SUBSTITUTE(SUBSTITUTE($G2998,"-"," ",LEN($G2998)-LEN(SUBSTITUTE($G2998,"-",""))),"-"," ",LEN($G2998)-LEN(SUBSTITUTE($G2998,"-",""))-1),".","")))=0,SUBSTITUTE(SUBSTITUTE($G2998,"-"," ",LEN($G2998)-LEN(SUBSTITUTE($G2998,"-",""))),"-"," ",LEN($G2998)-LEN(SUBSTITUTE($G2998,"-",""))-1),SUBSTITUTE(SUBSTITUTE(SUBSTITUTE($G2998,"-"," ",LEN($G2998)-LEN(SUBSTITUTE($G2998,"-",""))),"-"," ",LEN($G2998)-LEN(SUBSTITUTE($G2998,"-",""))-1),"."," ",(LEN(SUBSTITUTE(SUBSTITUTE($G2998,"-"," ",LEN($G2998)-LEN(SUBSTITUTE($G2998,"-",""))),"-"," ",LEN($G2998)-LEN(SUBSTITUTE($G2998,"-",""))-1))-LEN(SUBSTITUTE(SUBSTITUTE(SUBSTITUTE($G2998,"-"," ",LEN($G2998)-LEN(SUBSTITUTE($G2998,"-",""))),"-"," ",LEN($G2998)-LEN(SUBSTITUTE($G2998,"-",""))-1),".",""))))),$G2998)))</f>
        <v/>
      </c>
    </row>
    <row r="2999">
      <c r="A2999" s="58" t="n"/>
      <c r="B2999" s="58">
        <f>IF($H2999="","",LEFT($H2999,FIND(" ",$H2999&amp;" ")-1))</f>
        <v/>
      </c>
      <c r="C2999" s="58">
        <f>IF($H2999="","",IFERROR(MID($H2999&amp;" ",FIND("|",SUBSTITUTE($H2999&amp;" "," ","|",1))+1,FIND("|",SUBSTITUTE($H2999&amp;" "," ","|",2))-FIND("|",SUBSTITUTE($H2999&amp;" "," ","|",1))-1),""))</f>
        <v/>
      </c>
      <c r="D2999" s="58">
        <f>IF($H2999="","",IFERROR(MID($H2999&amp;" ",FIND("|",SUBSTITUTE($H2999&amp;" "," ","|",2))+1,FIND("|",SUBSTITUTE($H2999&amp;" "," ","|",3))-FIND("|",SUBSTITUTE($H2999&amp;" "," ","|",2))-1),""))</f>
        <v/>
      </c>
      <c r="E2999" s="58">
        <f>IF($H2999="","",IFERROR(MID($H2999&amp;" ",FIND("|",SUBSTITUTE($H2999&amp;" "," ","|",3))+1,FIND("|",SUBSTITUTE($H2999&amp;" "," ","|",4))-FIND("|",SUBSTITUTE($H2999&amp;" "," ","|",3))-1),""))</f>
        <v/>
      </c>
      <c r="F2999" s="59">
        <f>IF($H2999="","",IFERROR(VALUE(IFERROR(MID($H2999&amp;" ",FIND("|",SUBSTITUTE($H2999&amp;" "," ","|",4))+1,FIND("|",SUBSTITUTE($H2999&amp;" "," ","|",5))-FIND("|",SUBSTITUTE($H2999&amp;" "," ","|",4))-1),""))/86400+25569+9/24,""))</f>
        <v/>
      </c>
      <c r="G2999" s="58">
        <f>TRIM(SUBSTITUTE(SUBSTITUTE(SUBSTITUTE($A2999,CHAR(9)," ")," "," "),CHAR(13),""))</f>
        <v/>
      </c>
      <c r="H2999" s="58">
        <f>IF($G2999="","",IF(ISNUMBER(FIND(" ",$G2999)),$G2999,IFERROR(IF((LEN(SUBSTITUTE(SUBSTITUTE($G2999,"-"," ",LEN($G2999)-LEN(SUBSTITUTE($G2999,"-",""))),"-"," ",LEN($G2999)-LEN(SUBSTITUTE($G2999,"-",""))-1))-LEN(SUBSTITUTE(SUBSTITUTE(SUBSTITUTE($G2999,"-"," ",LEN($G2999)-LEN(SUBSTITUTE($G2999,"-",""))),"-"," ",LEN($G2999)-LEN(SUBSTITUTE($G2999,"-",""))-1),".","")))=0,SUBSTITUTE(SUBSTITUTE($G2999,"-"," ",LEN($G2999)-LEN(SUBSTITUTE($G2999,"-",""))),"-"," ",LEN($G2999)-LEN(SUBSTITUTE($G2999,"-",""))-1),SUBSTITUTE(SUBSTITUTE(SUBSTITUTE($G2999,"-"," ",LEN($G2999)-LEN(SUBSTITUTE($G2999,"-",""))),"-"," ",LEN($G2999)-LEN(SUBSTITUTE($G2999,"-",""))-1),"."," ",(LEN(SUBSTITUTE(SUBSTITUTE($G2999,"-"," ",LEN($G2999)-LEN(SUBSTITUTE($G2999,"-",""))),"-"," ",LEN($G2999)-LEN(SUBSTITUTE($G2999,"-",""))-1))-LEN(SUBSTITUTE(SUBSTITUTE(SUBSTITUTE($G2999,"-"," ",LEN($G2999)-LEN(SUBSTITUTE($G2999,"-",""))),"-"," ",LEN($G2999)-LEN(SUBSTITUTE($G2999,"-",""))-1),".",""))))),$G2999)))</f>
        <v/>
      </c>
    </row>
    <row r="3000">
      <c r="A3000" s="58" t="n"/>
      <c r="B3000" s="58">
        <f>IF($H3000="","",LEFT($H3000,FIND(" ",$H3000&amp;" ")-1))</f>
        <v/>
      </c>
      <c r="C3000" s="58">
        <f>IF($H3000="","",IFERROR(MID($H3000&amp;" ",FIND("|",SUBSTITUTE($H3000&amp;" "," ","|",1))+1,FIND("|",SUBSTITUTE($H3000&amp;" "," ","|",2))-FIND("|",SUBSTITUTE($H3000&amp;" "," ","|",1))-1),""))</f>
        <v/>
      </c>
      <c r="D3000" s="58">
        <f>IF($H3000="","",IFERROR(MID($H3000&amp;" ",FIND("|",SUBSTITUTE($H3000&amp;" "," ","|",2))+1,FIND("|",SUBSTITUTE($H3000&amp;" "," ","|",3))-FIND("|",SUBSTITUTE($H3000&amp;" "," ","|",2))-1),""))</f>
        <v/>
      </c>
      <c r="E3000" s="58">
        <f>IF($H3000="","",IFERROR(MID($H3000&amp;" ",FIND("|",SUBSTITUTE($H3000&amp;" "," ","|",3))+1,FIND("|",SUBSTITUTE($H3000&amp;" "," ","|",4))-FIND("|",SUBSTITUTE($H3000&amp;" "," ","|",3))-1),""))</f>
        <v/>
      </c>
      <c r="F3000" s="59">
        <f>IF($H3000="","",IFERROR(VALUE(IFERROR(MID($H3000&amp;" ",FIND("|",SUBSTITUTE($H3000&amp;" "," ","|",4))+1,FIND("|",SUBSTITUTE($H3000&amp;" "," ","|",5))-FIND("|",SUBSTITUTE($H3000&amp;" "," ","|",4))-1),""))/86400+25569+9/24,""))</f>
        <v/>
      </c>
      <c r="G3000" s="58">
        <f>TRIM(SUBSTITUTE(SUBSTITUTE(SUBSTITUTE($A3000,CHAR(9)," ")," "," "),CHAR(13),""))</f>
        <v/>
      </c>
      <c r="H3000" s="58">
        <f>IF($G3000="","",IF(ISNUMBER(FIND(" ",$G3000)),$G3000,IFERROR(IF((LEN(SUBSTITUTE(SUBSTITUTE($G3000,"-"," ",LEN($G3000)-LEN(SUBSTITUTE($G3000,"-",""))),"-"," ",LEN($G3000)-LEN(SUBSTITUTE($G3000,"-",""))-1))-LEN(SUBSTITUTE(SUBSTITUTE(SUBSTITUTE($G3000,"-"," ",LEN($G3000)-LEN(SUBSTITUTE($G3000,"-",""))),"-"," ",LEN($G3000)-LEN(SUBSTITUTE($G3000,"-",""))-1),".","")))=0,SUBSTITUTE(SUBSTITUTE($G3000,"-"," ",LEN($G3000)-LEN(SUBSTITUTE($G3000,"-",""))),"-"," ",LEN($G3000)-LEN(SUBSTITUTE($G3000,"-",""))-1),SUBSTITUTE(SUBSTITUTE(SUBSTITUTE($G3000,"-"," ",LEN($G3000)-LEN(SUBSTITUTE($G3000,"-",""))),"-"," ",LEN($G3000)-LEN(SUBSTITUTE($G3000,"-",""))-1),"."," ",(LEN(SUBSTITUTE(SUBSTITUTE($G3000,"-"," ",LEN($G3000)-LEN(SUBSTITUTE($G3000,"-",""))),"-"," ",LEN($G3000)-LEN(SUBSTITUTE($G3000,"-",""))-1))-LEN(SUBSTITUTE(SUBSTITUTE(SUBSTITUTE($G3000,"-"," ",LEN($G3000)-LEN(SUBSTITUTE($G3000,"-",""))),"-"," ",LEN($G3000)-LEN(SUBSTITUTE($G3000,"-",""))-1),".",""))))),$G3000)))</f>
        <v/>
      </c>
    </row>
    <row r="3001">
      <c r="A3001" s="58" t="n"/>
      <c r="B3001" s="58">
        <f>IF($H3001="","",LEFT($H3001,FIND(" ",$H3001&amp;" ")-1))</f>
        <v/>
      </c>
      <c r="C3001" s="58">
        <f>IF($H3001="","",IFERROR(MID($H3001&amp;" ",FIND("|",SUBSTITUTE($H3001&amp;" "," ","|",1))+1,FIND("|",SUBSTITUTE($H3001&amp;" "," ","|",2))-FIND("|",SUBSTITUTE($H3001&amp;" "," ","|",1))-1),""))</f>
        <v/>
      </c>
      <c r="D3001" s="58">
        <f>IF($H3001="","",IFERROR(MID($H3001&amp;" ",FIND("|",SUBSTITUTE($H3001&amp;" "," ","|",2))+1,FIND("|",SUBSTITUTE($H3001&amp;" "," ","|",3))-FIND("|",SUBSTITUTE($H3001&amp;" "," ","|",2))-1),""))</f>
        <v/>
      </c>
      <c r="E3001" s="58">
        <f>IF($H3001="","",IFERROR(MID($H3001&amp;" ",FIND("|",SUBSTITUTE($H3001&amp;" "," ","|",3))+1,FIND("|",SUBSTITUTE($H3001&amp;" "," ","|",4))-FIND("|",SUBSTITUTE($H3001&amp;" "," ","|",3))-1),""))</f>
        <v/>
      </c>
      <c r="F3001" s="59">
        <f>IF($H3001="","",IFERROR(VALUE(IFERROR(MID($H3001&amp;" ",FIND("|",SUBSTITUTE($H3001&amp;" "," ","|",4))+1,FIND("|",SUBSTITUTE($H3001&amp;" "," ","|",5))-FIND("|",SUBSTITUTE($H3001&amp;" "," ","|",4))-1),""))/86400+25569+9/24,""))</f>
        <v/>
      </c>
      <c r="G3001" s="58">
        <f>TRIM(SUBSTITUTE(SUBSTITUTE(SUBSTITUTE($A3001,CHAR(9)," ")," "," "),CHAR(13),""))</f>
        <v/>
      </c>
      <c r="H3001" s="58">
        <f>IF($G3001="","",IF(ISNUMBER(FIND(" ",$G3001)),$G3001,IFERROR(IF((LEN(SUBSTITUTE(SUBSTITUTE($G3001,"-"," ",LEN($G3001)-LEN(SUBSTITUTE($G3001,"-",""))),"-"," ",LEN($G3001)-LEN(SUBSTITUTE($G3001,"-",""))-1))-LEN(SUBSTITUTE(SUBSTITUTE(SUBSTITUTE($G3001,"-"," ",LEN($G3001)-LEN(SUBSTITUTE($G3001,"-",""))),"-"," ",LEN($G3001)-LEN(SUBSTITUTE($G3001,"-",""))-1),".","")))=0,SUBSTITUTE(SUBSTITUTE($G3001,"-"," ",LEN($G3001)-LEN(SUBSTITUTE($G3001,"-",""))),"-"," ",LEN($G3001)-LEN(SUBSTITUTE($G3001,"-",""))-1),SUBSTITUTE(SUBSTITUTE(SUBSTITUTE($G3001,"-"," ",LEN($G3001)-LEN(SUBSTITUTE($G3001,"-",""))),"-"," ",LEN($G3001)-LEN(SUBSTITUTE($G3001,"-",""))-1),"."," ",(LEN(SUBSTITUTE(SUBSTITUTE($G3001,"-"," ",LEN($G3001)-LEN(SUBSTITUTE($G3001,"-",""))),"-"," ",LEN($G3001)-LEN(SUBSTITUTE($G3001,"-",""))-1))-LEN(SUBSTITUTE(SUBSTITUTE(SUBSTITUTE($G3001,"-"," ",LEN($G3001)-LEN(SUBSTITUTE($G3001,"-",""))),"-"," ",LEN($G3001)-LEN(SUBSTITUTE($G3001,"-",""))-1),".",""))))),$G3001)))</f>
        <v/>
      </c>
    </row>
    <row r="3002">
      <c r="A3002" s="58" t="n"/>
      <c r="B3002" s="58">
        <f>IF($H3002="","",LEFT($H3002,FIND(" ",$H3002&amp;" ")-1))</f>
        <v/>
      </c>
      <c r="C3002" s="58">
        <f>IF($H3002="","",IFERROR(MID($H3002&amp;" ",FIND("|",SUBSTITUTE($H3002&amp;" "," ","|",1))+1,FIND("|",SUBSTITUTE($H3002&amp;" "," ","|",2))-FIND("|",SUBSTITUTE($H3002&amp;" "," ","|",1))-1),""))</f>
        <v/>
      </c>
      <c r="D3002" s="58">
        <f>IF($H3002="","",IFERROR(MID($H3002&amp;" ",FIND("|",SUBSTITUTE($H3002&amp;" "," ","|",2))+1,FIND("|",SUBSTITUTE($H3002&amp;" "," ","|",3))-FIND("|",SUBSTITUTE($H3002&amp;" "," ","|",2))-1),""))</f>
        <v/>
      </c>
      <c r="E3002" s="58">
        <f>IF($H3002="","",IFERROR(MID($H3002&amp;" ",FIND("|",SUBSTITUTE($H3002&amp;" "," ","|",3))+1,FIND("|",SUBSTITUTE($H3002&amp;" "," ","|",4))-FIND("|",SUBSTITUTE($H3002&amp;" "," ","|",3))-1),""))</f>
        <v/>
      </c>
      <c r="F3002" s="59">
        <f>IF($H3002="","",IFERROR(VALUE(IFERROR(MID($H3002&amp;" ",FIND("|",SUBSTITUTE($H3002&amp;" "," ","|",4))+1,FIND("|",SUBSTITUTE($H3002&amp;" "," ","|",5))-FIND("|",SUBSTITUTE($H3002&amp;" "," ","|",4))-1),""))/86400+25569+9/24,""))</f>
        <v/>
      </c>
      <c r="G3002" s="58">
        <f>TRIM(SUBSTITUTE(SUBSTITUTE(SUBSTITUTE($A3002,CHAR(9)," ")," "," "),CHAR(13),""))</f>
        <v/>
      </c>
      <c r="H3002" s="58">
        <f>IF($G3002="","",IF(ISNUMBER(FIND(" ",$G3002)),$G3002,IFERROR(IF((LEN(SUBSTITUTE(SUBSTITUTE($G3002,"-"," ",LEN($G3002)-LEN(SUBSTITUTE($G3002,"-",""))),"-"," ",LEN($G3002)-LEN(SUBSTITUTE($G3002,"-",""))-1))-LEN(SUBSTITUTE(SUBSTITUTE(SUBSTITUTE($G3002,"-"," ",LEN($G3002)-LEN(SUBSTITUTE($G3002,"-",""))),"-"," ",LEN($G3002)-LEN(SUBSTITUTE($G3002,"-",""))-1),".","")))=0,SUBSTITUTE(SUBSTITUTE($G3002,"-"," ",LEN($G3002)-LEN(SUBSTITUTE($G3002,"-",""))),"-"," ",LEN($G3002)-LEN(SUBSTITUTE($G3002,"-",""))-1),SUBSTITUTE(SUBSTITUTE(SUBSTITUTE($G3002,"-"," ",LEN($G3002)-LEN(SUBSTITUTE($G3002,"-",""))),"-"," ",LEN($G3002)-LEN(SUBSTITUTE($G3002,"-",""))-1),"."," ",(LEN(SUBSTITUTE(SUBSTITUTE($G3002,"-"," ",LEN($G3002)-LEN(SUBSTITUTE($G3002,"-",""))),"-"," ",LEN($G3002)-LEN(SUBSTITUTE($G3002,"-",""))-1))-LEN(SUBSTITUTE(SUBSTITUTE(SUBSTITUTE($G3002,"-"," ",LEN($G3002)-LEN(SUBSTITUTE($G3002,"-",""))),"-"," ",LEN($G3002)-LEN(SUBSTITUTE($G3002,"-",""))-1),".",""))))),$G3002)))</f>
        <v/>
      </c>
    </row>
    <row r="3003">
      <c r="A3003" s="58" t="n"/>
      <c r="B3003" s="58">
        <f>IF($H3003="","",LEFT($H3003,FIND(" ",$H3003&amp;" ")-1))</f>
        <v/>
      </c>
      <c r="C3003" s="58">
        <f>IF($H3003="","",IFERROR(MID($H3003&amp;" ",FIND("|",SUBSTITUTE($H3003&amp;" "," ","|",1))+1,FIND("|",SUBSTITUTE($H3003&amp;" "," ","|",2))-FIND("|",SUBSTITUTE($H3003&amp;" "," ","|",1))-1),""))</f>
        <v/>
      </c>
      <c r="D3003" s="58">
        <f>IF($H3003="","",IFERROR(MID($H3003&amp;" ",FIND("|",SUBSTITUTE($H3003&amp;" "," ","|",2))+1,FIND("|",SUBSTITUTE($H3003&amp;" "," ","|",3))-FIND("|",SUBSTITUTE($H3003&amp;" "," ","|",2))-1),""))</f>
        <v/>
      </c>
      <c r="E3003" s="58">
        <f>IF($H3003="","",IFERROR(MID($H3003&amp;" ",FIND("|",SUBSTITUTE($H3003&amp;" "," ","|",3))+1,FIND("|",SUBSTITUTE($H3003&amp;" "," ","|",4))-FIND("|",SUBSTITUTE($H3003&amp;" "," ","|",3))-1),""))</f>
        <v/>
      </c>
      <c r="F3003" s="59">
        <f>IF($H3003="","",IFERROR(VALUE(IFERROR(MID($H3003&amp;" ",FIND("|",SUBSTITUTE($H3003&amp;" "," ","|",4))+1,FIND("|",SUBSTITUTE($H3003&amp;" "," ","|",5))-FIND("|",SUBSTITUTE($H3003&amp;" "," ","|",4))-1),""))/86400+25569+9/24,""))</f>
        <v/>
      </c>
      <c r="G3003" s="58">
        <f>TRIM(SUBSTITUTE(SUBSTITUTE(SUBSTITUTE($A3003,CHAR(9)," ")," "," "),CHAR(13),""))</f>
        <v/>
      </c>
      <c r="H3003" s="58">
        <f>IF($G3003="","",IF(ISNUMBER(FIND(" ",$G3003)),$G3003,IFERROR(IF((LEN(SUBSTITUTE(SUBSTITUTE($G3003,"-"," ",LEN($G3003)-LEN(SUBSTITUTE($G3003,"-",""))),"-"," ",LEN($G3003)-LEN(SUBSTITUTE($G3003,"-",""))-1))-LEN(SUBSTITUTE(SUBSTITUTE(SUBSTITUTE($G3003,"-"," ",LEN($G3003)-LEN(SUBSTITUTE($G3003,"-",""))),"-"," ",LEN($G3003)-LEN(SUBSTITUTE($G3003,"-",""))-1),".","")))=0,SUBSTITUTE(SUBSTITUTE($G3003,"-"," ",LEN($G3003)-LEN(SUBSTITUTE($G3003,"-",""))),"-"," ",LEN($G3003)-LEN(SUBSTITUTE($G3003,"-",""))-1),SUBSTITUTE(SUBSTITUTE(SUBSTITUTE($G3003,"-"," ",LEN($G3003)-LEN(SUBSTITUTE($G3003,"-",""))),"-"," ",LEN($G3003)-LEN(SUBSTITUTE($G3003,"-",""))-1),"."," ",(LEN(SUBSTITUTE(SUBSTITUTE($G3003,"-"," ",LEN($G3003)-LEN(SUBSTITUTE($G3003,"-",""))),"-"," ",LEN($G3003)-LEN(SUBSTITUTE($G3003,"-",""))-1))-LEN(SUBSTITUTE(SUBSTITUTE(SUBSTITUTE($G3003,"-"," ",LEN($G3003)-LEN(SUBSTITUTE($G3003,"-",""))),"-"," ",LEN($G3003)-LEN(SUBSTITUTE($G3003,"-",""))-1),".",""))))),$G3003)))</f>
        <v/>
      </c>
    </row>
  </sheetData>
  <autoFilter ref="A3:F300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 ht="24" customHeight="1">
      <c r="A1" s="1" t="inlineStr">
        <is>
          <t>명령 출력</t>
        </is>
      </c>
    </row>
    <row r="3">
      <c r="A3" s="45" t="n"/>
    </row>
    <row r="4">
      <c r="A4" s="45" t="n"/>
    </row>
    <row r="5">
      <c r="A5" s="45" t="n"/>
    </row>
    <row r="6">
      <c r="A6" s="45" t="n"/>
    </row>
    <row r="7">
      <c r="A7" s="45" t="n"/>
    </row>
    <row r="8">
      <c r="A8" s="45" t="n"/>
    </row>
    <row r="9">
      <c r="A9" s="45" t="n"/>
    </row>
    <row r="10">
      <c r="A10" s="45" t="n"/>
    </row>
    <row r="11">
      <c r="A11" s="45" t="n"/>
    </row>
    <row r="12">
      <c r="A12" s="45" t="n"/>
    </row>
    <row r="13">
      <c r="A13" s="45" t="n"/>
    </row>
    <row r="14">
      <c r="A14" s="45" t="n"/>
    </row>
    <row r="15">
      <c r="A15" s="45" t="n"/>
    </row>
    <row r="16">
      <c r="A16" s="45" t="n"/>
    </row>
    <row r="17">
      <c r="A17" s="45" t="n"/>
    </row>
    <row r="18">
      <c r="A18" s="45" t="n"/>
    </row>
    <row r="19">
      <c r="A19" s="45" t="n"/>
    </row>
    <row r="20">
      <c r="A20" s="45" t="n"/>
    </row>
    <row r="21">
      <c r="A21" s="45" t="n"/>
    </row>
    <row r="22">
      <c r="A22" s="45" t="n"/>
    </row>
    <row r="23">
      <c r="A23" s="45" t="n"/>
    </row>
    <row r="24">
      <c r="A24" s="45" t="n"/>
    </row>
    <row r="25">
      <c r="A25" s="45" t="n"/>
    </row>
    <row r="26">
      <c r="A26" s="45" t="n"/>
    </row>
    <row r="27">
      <c r="A27" s="45" t="n"/>
    </row>
    <row r="28">
      <c r="A28" s="45" t="n"/>
    </row>
    <row r="29">
      <c r="A29" s="45" t="n"/>
    </row>
    <row r="30">
      <c r="A30" s="45" t="n"/>
    </row>
    <row r="31">
      <c r="A31" s="45" t="n"/>
    </row>
    <row r="32">
      <c r="A32" s="45" t="n"/>
    </row>
    <row r="33">
      <c r="A33" s="45" t="n"/>
    </row>
    <row r="34">
      <c r="A34" s="45" t="n"/>
    </row>
    <row r="35">
      <c r="A35" s="45" t="n"/>
    </row>
    <row r="36">
      <c r="A36" s="45" t="n"/>
    </row>
    <row r="37">
      <c r="A37" s="45" t="n"/>
    </row>
    <row r="38">
      <c r="A38" s="45" t="n"/>
    </row>
    <row r="39">
      <c r="A39" s="45" t="n"/>
    </row>
    <row r="40">
      <c r="A40" s="45" t="n"/>
    </row>
    <row r="41">
      <c r="A41" s="45" t="n"/>
    </row>
    <row r="42">
      <c r="A42" s="45" t="n"/>
    </row>
    <row r="43">
      <c r="A43" s="45" t="n"/>
    </row>
    <row r="44">
      <c r="A44" s="45" t="n"/>
    </row>
    <row r="45">
      <c r="A45" s="45" t="n"/>
    </row>
    <row r="46">
      <c r="A46" s="45" t="n"/>
    </row>
    <row r="47">
      <c r="A47" s="45" t="n"/>
    </row>
    <row r="48">
      <c r="A48" s="45" t="n"/>
    </row>
    <row r="49">
      <c r="A49" s="45" t="n"/>
    </row>
    <row r="50">
      <c r="A50" s="45" t="n"/>
    </row>
    <row r="51">
      <c r="A51" s="45" t="n"/>
    </row>
    <row r="52">
      <c r="A52" s="45" t="n"/>
    </row>
    <row r="53">
      <c r="A53" s="45" t="n"/>
    </row>
    <row r="54">
      <c r="A54" s="45" t="n"/>
    </row>
    <row r="55">
      <c r="A55" s="45" t="n"/>
    </row>
    <row r="56">
      <c r="A56" s="45" t="n"/>
    </row>
    <row r="57">
      <c r="A57" s="45" t="n"/>
    </row>
    <row r="58">
      <c r="A58" s="45" t="n"/>
    </row>
    <row r="59">
      <c r="A59" s="45" t="n"/>
    </row>
    <row r="60">
      <c r="A60" s="45" t="n"/>
    </row>
    <row r="61">
      <c r="A61" s="45" t="n"/>
    </row>
    <row r="62">
      <c r="A62" s="45" t="n"/>
    </row>
    <row r="63">
      <c r="A63" s="45" t="n"/>
    </row>
    <row r="64">
      <c r="A64" s="45" t="n"/>
    </row>
    <row r="65">
      <c r="A65" s="45" t="n"/>
    </row>
    <row r="66">
      <c r="A66" s="45" t="n"/>
    </row>
    <row r="67">
      <c r="A67" s="45" t="n"/>
    </row>
    <row r="68">
      <c r="A68" s="45" t="n"/>
    </row>
    <row r="69">
      <c r="A69" s="45" t="n"/>
    </row>
    <row r="70">
      <c r="A70" s="45" t="n"/>
    </row>
    <row r="71">
      <c r="A71" s="45" t="n"/>
    </row>
    <row r="72">
      <c r="A72" s="45" t="n"/>
    </row>
    <row r="73">
      <c r="A73" s="45" t="n"/>
    </row>
    <row r="74">
      <c r="A74" s="45" t="n"/>
    </row>
    <row r="75">
      <c r="A75" s="45" t="n"/>
    </row>
    <row r="76">
      <c r="A76" s="45" t="n"/>
    </row>
    <row r="77">
      <c r="A77" s="45" t="n"/>
    </row>
    <row r="78">
      <c r="A78" s="45" t="n"/>
    </row>
    <row r="79">
      <c r="A79" s="45" t="n"/>
    </row>
    <row r="80">
      <c r="A80" s="45" t="n"/>
    </row>
    <row r="81">
      <c r="A81" s="45" t="n"/>
    </row>
    <row r="82">
      <c r="A82" s="45" t="n"/>
    </row>
    <row r="83">
      <c r="A83" s="45" t="n"/>
    </row>
    <row r="84">
      <c r="A84" s="45" t="n"/>
    </row>
    <row r="85">
      <c r="A85" s="45" t="n"/>
    </row>
    <row r="86">
      <c r="A86" s="45" t="n"/>
    </row>
    <row r="87">
      <c r="A87" s="45" t="n"/>
    </row>
    <row r="88">
      <c r="A88" s="45" t="n"/>
    </row>
    <row r="89">
      <c r="A89" s="45" t="n"/>
    </row>
    <row r="90">
      <c r="A90" s="45" t="n"/>
    </row>
    <row r="91">
      <c r="A91" s="45" t="n"/>
    </row>
    <row r="92">
      <c r="A92" s="45" t="n"/>
    </row>
    <row r="93">
      <c r="A93" s="45" t="n"/>
    </row>
    <row r="94">
      <c r="A94" s="45" t="n"/>
    </row>
    <row r="95">
      <c r="A95" s="45" t="n"/>
    </row>
    <row r="96">
      <c r="A96" s="45" t="n"/>
    </row>
    <row r="97">
      <c r="A97" s="45" t="n"/>
    </row>
    <row r="98">
      <c r="A98" s="45" t="n"/>
    </row>
    <row r="99">
      <c r="A99" s="45" t="n"/>
    </row>
    <row r="100">
      <c r="A100" s="45" t="n"/>
    </row>
    <row r="101">
      <c r="A101" s="45" t="n"/>
    </row>
    <row r="102">
      <c r="A102" s="45" t="n"/>
    </row>
    <row r="103">
      <c r="A103" s="45" t="n"/>
    </row>
    <row r="104">
      <c r="A104" s="45" t="n"/>
    </row>
    <row r="105">
      <c r="A105" s="45" t="n"/>
    </row>
    <row r="106">
      <c r="A106" s="45" t="n"/>
    </row>
    <row r="107">
      <c r="A107" s="45" t="n"/>
    </row>
    <row r="108">
      <c r="A108" s="45" t="n"/>
    </row>
    <row r="109">
      <c r="A109" s="45" t="n"/>
    </row>
    <row r="110">
      <c r="A110" s="45" t="n"/>
    </row>
    <row r="111">
      <c r="A111" s="45" t="n"/>
    </row>
    <row r="112">
      <c r="A112" s="45" t="n"/>
    </row>
    <row r="113">
      <c r="A113" s="45" t="n"/>
    </row>
    <row r="114">
      <c r="A114" s="45" t="n"/>
    </row>
    <row r="115">
      <c r="A115" s="45" t="n"/>
    </row>
    <row r="116">
      <c r="A116" s="45" t="n"/>
    </row>
    <row r="117">
      <c r="A117" s="45" t="n"/>
    </row>
    <row r="118">
      <c r="A118" s="45" t="n"/>
    </row>
    <row r="119">
      <c r="A119" s="45" t="n"/>
    </row>
    <row r="120">
      <c r="A120" s="45" t="n"/>
    </row>
    <row r="121">
      <c r="A121" s="45" t="n"/>
    </row>
    <row r="122">
      <c r="A122" s="45" t="n"/>
    </row>
    <row r="123">
      <c r="A123" s="45" t="n"/>
    </row>
    <row r="124">
      <c r="A124" s="45" t="n"/>
    </row>
    <row r="125">
      <c r="A125" s="45" t="n"/>
    </row>
    <row r="126">
      <c r="A126" s="45" t="n"/>
    </row>
    <row r="127">
      <c r="A127" s="45" t="n"/>
    </row>
    <row r="128">
      <c r="A128" s="45" t="n"/>
    </row>
    <row r="129">
      <c r="A129" s="45" t="n"/>
    </row>
    <row r="130">
      <c r="A130" s="45" t="n"/>
    </row>
    <row r="131">
      <c r="A131" s="45" t="n"/>
    </row>
    <row r="132">
      <c r="A132" s="45" t="n"/>
    </row>
    <row r="133">
      <c r="A133" s="45" t="n"/>
    </row>
    <row r="134">
      <c r="A134" s="45" t="n"/>
    </row>
    <row r="135">
      <c r="A135" s="45" t="n"/>
    </row>
    <row r="136">
      <c r="A136" s="45" t="n"/>
    </row>
    <row r="137">
      <c r="A137" s="45" t="n"/>
    </row>
    <row r="138">
      <c r="A138" s="45" t="n"/>
    </row>
    <row r="139">
      <c r="A139" s="45" t="n"/>
    </row>
    <row r="140">
      <c r="A140" s="45" t="n"/>
    </row>
    <row r="141">
      <c r="A141" s="45" t="n"/>
    </row>
    <row r="142">
      <c r="A142" s="45" t="n"/>
    </row>
    <row r="143">
      <c r="A143" s="45" t="n"/>
    </row>
    <row r="144">
      <c r="A144" s="45" t="n"/>
    </row>
    <row r="145">
      <c r="A145" s="45" t="n"/>
    </row>
    <row r="146">
      <c r="A146" s="45" t="n"/>
    </row>
    <row r="147">
      <c r="A147" s="45" t="n"/>
    </row>
    <row r="148">
      <c r="A148" s="45" t="n"/>
    </row>
    <row r="149">
      <c r="A149" s="45" t="n"/>
    </row>
    <row r="150">
      <c r="A150" s="45" t="n"/>
    </row>
    <row r="151">
      <c r="A151" s="45" t="n"/>
    </row>
    <row r="152">
      <c r="A152" s="45" t="n"/>
    </row>
    <row r="153">
      <c r="A153" s="45" t="n"/>
    </row>
    <row r="154">
      <c r="A154" s="45" t="n"/>
    </row>
    <row r="155">
      <c r="A155" s="45" t="n"/>
    </row>
    <row r="156">
      <c r="A156" s="45" t="n"/>
    </row>
    <row r="157">
      <c r="A157" s="45" t="n"/>
    </row>
    <row r="158">
      <c r="A158" s="45" t="n"/>
    </row>
    <row r="159">
      <c r="A159" s="45" t="n"/>
    </row>
    <row r="160">
      <c r="A160" s="45" t="n"/>
    </row>
    <row r="161">
      <c r="A161" s="45" t="n"/>
    </row>
    <row r="162">
      <c r="A162" s="45" t="n"/>
    </row>
    <row r="163">
      <c r="A163" s="45" t="n"/>
    </row>
    <row r="164">
      <c r="A164" s="45" t="n"/>
    </row>
    <row r="165">
      <c r="A165" s="45" t="n"/>
    </row>
    <row r="166">
      <c r="A166" s="45" t="n"/>
    </row>
    <row r="167">
      <c r="A167" s="45" t="n"/>
    </row>
    <row r="168">
      <c r="A168" s="45" t="n"/>
    </row>
    <row r="169">
      <c r="A169" s="45" t="n"/>
    </row>
    <row r="170">
      <c r="A170" s="45" t="n"/>
    </row>
    <row r="171">
      <c r="A171" s="45" t="n"/>
    </row>
    <row r="172">
      <c r="A172" s="45" t="n"/>
    </row>
    <row r="173">
      <c r="A173" s="45" t="n"/>
    </row>
    <row r="174">
      <c r="A174" s="45" t="n"/>
    </row>
    <row r="175">
      <c r="A175" s="45" t="n"/>
    </row>
    <row r="176">
      <c r="A176" s="45" t="n"/>
    </row>
    <row r="177">
      <c r="A177" s="45" t="n"/>
    </row>
    <row r="178">
      <c r="A178" s="45" t="n"/>
    </row>
    <row r="179">
      <c r="A179" s="45" t="n"/>
    </row>
    <row r="180">
      <c r="A180" s="45" t="n"/>
    </row>
    <row r="181">
      <c r="A181" s="45" t="n"/>
    </row>
    <row r="182">
      <c r="A182" s="45" t="n"/>
    </row>
    <row r="183">
      <c r="A183" s="45" t="n"/>
    </row>
    <row r="184">
      <c r="A184" s="45" t="n"/>
    </row>
    <row r="185">
      <c r="A185" s="45" t="n"/>
    </row>
    <row r="186">
      <c r="A186" s="45" t="n"/>
    </row>
    <row r="187">
      <c r="A187" s="45" t="n"/>
    </row>
    <row r="188">
      <c r="A188" s="45" t="n"/>
    </row>
    <row r="189">
      <c r="A189" s="45" t="n"/>
    </row>
    <row r="190">
      <c r="A190" s="45" t="n"/>
    </row>
    <row r="191">
      <c r="A191" s="45" t="n"/>
    </row>
    <row r="192">
      <c r="A192" s="45" t="n"/>
    </row>
    <row r="193">
      <c r="A193" s="45" t="n"/>
    </row>
    <row r="194">
      <c r="A194" s="45" t="n"/>
    </row>
    <row r="195">
      <c r="A195" s="45" t="n"/>
    </row>
    <row r="196">
      <c r="A196" s="45" t="n"/>
    </row>
    <row r="197">
      <c r="A197" s="45" t="n"/>
    </row>
    <row r="198">
      <c r="A198" s="45" t="n"/>
    </row>
    <row r="199">
      <c r="A199" s="45" t="n"/>
    </row>
    <row r="200">
      <c r="A200" s="45" t="n"/>
    </row>
    <row r="201">
      <c r="A201" s="45" t="n"/>
    </row>
    <row r="202">
      <c r="A202" s="45" t="n"/>
    </row>
    <row r="203">
      <c r="A203" s="45" t="n"/>
    </row>
    <row r="204">
      <c r="A204" s="45" t="n"/>
    </row>
    <row r="205">
      <c r="A205" s="45" t="n"/>
    </row>
    <row r="206">
      <c r="A206" s="45" t="n"/>
    </row>
    <row r="207">
      <c r="A207" s="45" t="n"/>
    </row>
    <row r="208">
      <c r="A208" s="45" t="n"/>
    </row>
    <row r="209">
      <c r="A209" s="45" t="n"/>
    </row>
    <row r="210">
      <c r="A210" s="45" t="n"/>
    </row>
    <row r="211">
      <c r="A211" s="45" t="n"/>
    </row>
    <row r="212">
      <c r="A212" s="45" t="n"/>
    </row>
    <row r="213">
      <c r="A213" s="45" t="n"/>
    </row>
    <row r="214">
      <c r="A214" s="45" t="n"/>
    </row>
    <row r="215">
      <c r="A215" s="45" t="n"/>
    </row>
    <row r="216">
      <c r="A216" s="45" t="n"/>
    </row>
    <row r="217">
      <c r="A217" s="45" t="n"/>
    </row>
    <row r="218">
      <c r="A218" s="45" t="n"/>
    </row>
    <row r="219">
      <c r="A219" s="45" t="n"/>
    </row>
    <row r="220">
      <c r="A220" s="45" t="n"/>
    </row>
    <row r="221">
      <c r="A221" s="45" t="n"/>
    </row>
    <row r="222">
      <c r="A222" s="45" t="n"/>
    </row>
    <row r="223">
      <c r="A223" s="45" t="n"/>
    </row>
    <row r="224">
      <c r="A224" s="45" t="n"/>
    </row>
    <row r="225">
      <c r="A225" s="45" t="n"/>
    </row>
    <row r="226">
      <c r="A226" s="45" t="n"/>
    </row>
    <row r="227">
      <c r="A227" s="45" t="n"/>
    </row>
    <row r="228">
      <c r="A228" s="45" t="n"/>
    </row>
    <row r="229">
      <c r="A229" s="45" t="n"/>
    </row>
    <row r="230">
      <c r="A230" s="45" t="n"/>
    </row>
    <row r="231">
      <c r="A231" s="45" t="n"/>
    </row>
    <row r="232">
      <c r="A232" s="45" t="n"/>
    </row>
    <row r="233">
      <c r="A233" s="45" t="n"/>
    </row>
    <row r="234">
      <c r="A234" s="45" t="n"/>
    </row>
    <row r="235">
      <c r="A235" s="45" t="n"/>
    </row>
    <row r="236">
      <c r="A236" s="45" t="n"/>
    </row>
    <row r="237">
      <c r="A237" s="45" t="n"/>
    </row>
    <row r="238">
      <c r="A238" s="45" t="n"/>
    </row>
    <row r="239">
      <c r="A239" s="45" t="n"/>
    </row>
    <row r="240">
      <c r="A240" s="45" t="n"/>
    </row>
    <row r="241">
      <c r="A241" s="45" t="n"/>
    </row>
    <row r="242">
      <c r="A242" s="45" t="n"/>
    </row>
    <row r="243">
      <c r="A243" s="45" t="n"/>
    </row>
    <row r="244">
      <c r="A244" s="45" t="n"/>
    </row>
    <row r="245">
      <c r="A245" s="45" t="n"/>
    </row>
    <row r="246">
      <c r="A246" s="45" t="n"/>
    </row>
    <row r="247">
      <c r="A247" s="45" t="n"/>
    </row>
    <row r="248">
      <c r="A248" s="45" t="n"/>
    </row>
    <row r="249">
      <c r="A249" s="45" t="n"/>
    </row>
    <row r="250">
      <c r="A250" s="45" t="n"/>
    </row>
    <row r="251">
      <c r="A251" s="45" t="n"/>
    </row>
    <row r="252">
      <c r="A252" s="45" t="n"/>
    </row>
    <row r="253">
      <c r="A253" s="45" t="n"/>
    </row>
    <row r="254">
      <c r="A254" s="45" t="n"/>
    </row>
    <row r="255">
      <c r="A255" s="45" t="n"/>
    </row>
    <row r="256">
      <c r="A256" s="45" t="n"/>
    </row>
    <row r="257">
      <c r="A257" s="45" t="n"/>
    </row>
    <row r="258">
      <c r="A258" s="45" t="n"/>
    </row>
    <row r="259">
      <c r="A259" s="45" t="n"/>
    </row>
    <row r="260">
      <c r="A260" s="45" t="n"/>
    </row>
    <row r="261">
      <c r="A261" s="45" t="n"/>
    </row>
    <row r="262">
      <c r="A262" s="45" t="n"/>
    </row>
    <row r="263">
      <c r="A263" s="45" t="n"/>
    </row>
    <row r="264">
      <c r="A264" s="45" t="n"/>
    </row>
    <row r="265">
      <c r="A265" s="45" t="n"/>
    </row>
    <row r="266">
      <c r="A266" s="45" t="n"/>
    </row>
    <row r="267">
      <c r="A267" s="45" t="n"/>
    </row>
    <row r="268">
      <c r="A268" s="45" t="n"/>
    </row>
    <row r="269">
      <c r="A269" s="45" t="n"/>
    </row>
    <row r="270">
      <c r="A270" s="45" t="n"/>
    </row>
    <row r="271">
      <c r="A271" s="45" t="n"/>
    </row>
    <row r="272">
      <c r="A272" s="45" t="n"/>
    </row>
    <row r="273">
      <c r="A273" s="45" t="n"/>
    </row>
    <row r="274">
      <c r="A274" s="45" t="n"/>
    </row>
    <row r="275">
      <c r="A275" s="45" t="n"/>
    </row>
    <row r="276">
      <c r="A276" s="45" t="n"/>
    </row>
    <row r="277">
      <c r="A277" s="45" t="n"/>
    </row>
    <row r="278">
      <c r="A278" s="45" t="n"/>
    </row>
    <row r="279">
      <c r="A279" s="45" t="n"/>
    </row>
    <row r="280">
      <c r="A280" s="45" t="n"/>
    </row>
    <row r="281">
      <c r="A281" s="45" t="n"/>
    </row>
    <row r="282">
      <c r="A282" s="45" t="n"/>
    </row>
    <row r="283">
      <c r="A283" s="45" t="n"/>
    </row>
    <row r="284">
      <c r="A284" s="45" t="n"/>
    </row>
    <row r="285">
      <c r="A285" s="45" t="n"/>
    </row>
    <row r="286">
      <c r="A286" s="45" t="n"/>
    </row>
    <row r="287">
      <c r="A287" s="45" t="n"/>
    </row>
    <row r="288">
      <c r="A288" s="45" t="n"/>
    </row>
    <row r="289">
      <c r="A289" s="45" t="n"/>
    </row>
    <row r="290">
      <c r="A290" s="45" t="n"/>
    </row>
    <row r="291">
      <c r="A291" s="45" t="n"/>
    </row>
    <row r="292">
      <c r="A292" s="45" t="n"/>
    </row>
    <row r="293">
      <c r="A293" s="45" t="n"/>
    </row>
    <row r="294">
      <c r="A294" s="45" t="n"/>
    </row>
    <row r="295">
      <c r="A295" s="45" t="n"/>
    </row>
    <row r="296">
      <c r="A296" s="45" t="n"/>
    </row>
    <row r="297">
      <c r="A297" s="45" t="n"/>
    </row>
    <row r="298">
      <c r="A298" s="45" t="n"/>
    </row>
    <row r="299">
      <c r="A299" s="45" t="n"/>
    </row>
    <row r="300">
      <c r="A300" s="45" t="n"/>
    </row>
    <row r="301">
      <c r="A301" s="45" t="n"/>
    </row>
    <row r="302">
      <c r="A302" s="45" t="n"/>
    </row>
    <row r="303">
      <c r="A303" s="45" t="n"/>
    </row>
    <row r="304">
      <c r="A304" s="45" t="n"/>
    </row>
    <row r="305">
      <c r="A305" s="45" t="n"/>
    </row>
    <row r="306">
      <c r="A306" s="45" t="n"/>
    </row>
    <row r="307">
      <c r="A307" s="45" t="n"/>
    </row>
    <row r="308">
      <c r="A308" s="45" t="n"/>
    </row>
    <row r="309">
      <c r="A309" s="45" t="n"/>
    </row>
    <row r="310">
      <c r="A310" s="45" t="n"/>
    </row>
    <row r="311">
      <c r="A311" s="45" t="n"/>
    </row>
    <row r="312">
      <c r="A312" s="45" t="n"/>
    </row>
    <row r="313">
      <c r="A313" s="45" t="n"/>
    </row>
    <row r="314">
      <c r="A314" s="45" t="n"/>
    </row>
    <row r="315">
      <c r="A315" s="45" t="n"/>
    </row>
    <row r="316">
      <c r="A316" s="45" t="n"/>
    </row>
    <row r="317">
      <c r="A317" s="45" t="n"/>
    </row>
    <row r="318">
      <c r="A318" s="45" t="n"/>
    </row>
    <row r="319">
      <c r="A319" s="45" t="n"/>
    </row>
    <row r="320">
      <c r="A320" s="45" t="n"/>
    </row>
    <row r="321">
      <c r="A321" s="45" t="n"/>
    </row>
    <row r="322">
      <c r="A322" s="45" t="n"/>
    </row>
    <row r="323">
      <c r="A323" s="45" t="n"/>
    </row>
    <row r="324">
      <c r="A324" s="45" t="n"/>
    </row>
    <row r="325">
      <c r="A325" s="45" t="n"/>
    </row>
    <row r="326">
      <c r="A326" s="45" t="n"/>
    </row>
    <row r="327">
      <c r="A327" s="45" t="n"/>
    </row>
    <row r="328">
      <c r="A328" s="45" t="n"/>
    </row>
    <row r="329">
      <c r="A329" s="45" t="n"/>
    </row>
    <row r="330">
      <c r="A330" s="45" t="n"/>
    </row>
    <row r="331">
      <c r="A331" s="45" t="n"/>
    </row>
    <row r="332">
      <c r="A332" s="45" t="n"/>
    </row>
    <row r="333">
      <c r="A333" s="45" t="n"/>
    </row>
    <row r="334">
      <c r="A334" s="45" t="n"/>
    </row>
    <row r="335">
      <c r="A335" s="45" t="n"/>
    </row>
    <row r="336">
      <c r="A336" s="45" t="n"/>
    </row>
    <row r="337">
      <c r="A337" s="45" t="n"/>
    </row>
    <row r="338">
      <c r="A338" s="45" t="n"/>
    </row>
    <row r="339">
      <c r="A339" s="45" t="n"/>
    </row>
    <row r="340">
      <c r="A340" s="45" t="n"/>
    </row>
    <row r="341">
      <c r="A341" s="45" t="n"/>
    </row>
    <row r="342">
      <c r="A342" s="45" t="n"/>
    </row>
    <row r="343">
      <c r="A343" s="45" t="n"/>
    </row>
    <row r="344">
      <c r="A344" s="45" t="n"/>
    </row>
    <row r="345">
      <c r="A345" s="45" t="n"/>
    </row>
    <row r="346">
      <c r="A346" s="45" t="n"/>
    </row>
    <row r="347">
      <c r="A347" s="45" t="n"/>
    </row>
    <row r="348">
      <c r="A348" s="45" t="n"/>
    </row>
    <row r="349">
      <c r="A349" s="45" t="n"/>
    </row>
    <row r="350">
      <c r="A350" s="45" t="n"/>
    </row>
    <row r="351">
      <c r="A351" s="45" t="n"/>
    </row>
    <row r="352">
      <c r="A352" s="45" t="n"/>
    </row>
    <row r="353">
      <c r="A353" s="45" t="n"/>
    </row>
    <row r="354">
      <c r="A354" s="45" t="n"/>
    </row>
    <row r="355">
      <c r="A355" s="45" t="n"/>
    </row>
    <row r="356">
      <c r="A356" s="45" t="n"/>
    </row>
    <row r="357">
      <c r="A357" s="45" t="n"/>
    </row>
    <row r="358">
      <c r="A358" s="45" t="n"/>
    </row>
    <row r="359">
      <c r="A359" s="45" t="n"/>
    </row>
    <row r="360">
      <c r="A360" s="45" t="n"/>
    </row>
    <row r="361">
      <c r="A361" s="45" t="n"/>
    </row>
    <row r="362">
      <c r="A362" s="45" t="n"/>
    </row>
    <row r="363">
      <c r="A363" s="45" t="n"/>
    </row>
    <row r="364">
      <c r="A364" s="45" t="n"/>
    </row>
    <row r="365">
      <c r="A365" s="45" t="n"/>
    </row>
    <row r="366">
      <c r="A366" s="45" t="n"/>
    </row>
    <row r="367">
      <c r="A367" s="45" t="n"/>
    </row>
    <row r="368">
      <c r="A368" s="45" t="n"/>
    </row>
    <row r="369">
      <c r="A369" s="45" t="n"/>
    </row>
    <row r="370">
      <c r="A370" s="45" t="n"/>
    </row>
    <row r="371">
      <c r="A371" s="45" t="n"/>
    </row>
    <row r="372">
      <c r="A372" s="45" t="n"/>
    </row>
    <row r="373">
      <c r="A373" s="45" t="n"/>
    </row>
    <row r="374">
      <c r="A374" s="45" t="n"/>
    </row>
    <row r="375">
      <c r="A375" s="45" t="n"/>
    </row>
    <row r="376">
      <c r="A376" s="45" t="n"/>
    </row>
    <row r="377">
      <c r="A377" s="45" t="n"/>
    </row>
    <row r="378">
      <c r="A378" s="45" t="n"/>
    </row>
    <row r="379">
      <c r="A379" s="45" t="n"/>
    </row>
    <row r="380">
      <c r="A380" s="45" t="n"/>
    </row>
    <row r="381">
      <c r="A381" s="45" t="n"/>
    </row>
    <row r="382">
      <c r="A382" s="45" t="n"/>
    </row>
    <row r="383">
      <c r="A383" s="45" t="n"/>
    </row>
    <row r="384">
      <c r="A384" s="45" t="n"/>
    </row>
    <row r="385">
      <c r="A385" s="45" t="n"/>
    </row>
    <row r="386">
      <c r="A386" s="45" t="n"/>
    </row>
    <row r="387">
      <c r="A387" s="45" t="n"/>
    </row>
    <row r="388">
      <c r="A388" s="45" t="n"/>
    </row>
    <row r="389">
      <c r="A389" s="45" t="n"/>
    </row>
    <row r="390">
      <c r="A390" s="45" t="n"/>
    </row>
    <row r="391">
      <c r="A391" s="45" t="n"/>
    </row>
    <row r="392">
      <c r="A392" s="45" t="n"/>
    </row>
    <row r="393">
      <c r="A393" s="45" t="n"/>
    </row>
    <row r="394">
      <c r="A394" s="45" t="n"/>
    </row>
    <row r="395">
      <c r="A395" s="45" t="n"/>
    </row>
    <row r="396">
      <c r="A396" s="45" t="n"/>
    </row>
    <row r="397">
      <c r="A397" s="45" t="n"/>
    </row>
    <row r="398">
      <c r="A398" s="45" t="n"/>
    </row>
    <row r="399">
      <c r="A399" s="45" t="n"/>
    </row>
    <row r="400">
      <c r="A400" s="45" t="n"/>
    </row>
    <row r="401">
      <c r="A401" s="45" t="n"/>
    </row>
    <row r="402">
      <c r="A402" s="45" t="n"/>
    </row>
    <row r="403">
      <c r="A403" s="45" t="n"/>
    </row>
    <row r="404">
      <c r="A404" s="45" t="n"/>
    </row>
    <row r="405">
      <c r="A405" s="45" t="n"/>
    </row>
    <row r="406">
      <c r="A406" s="45" t="n"/>
    </row>
    <row r="407">
      <c r="A407" s="45" t="n"/>
    </row>
    <row r="408">
      <c r="A408" s="45" t="n"/>
    </row>
    <row r="409">
      <c r="A409" s="45" t="n"/>
    </row>
    <row r="410">
      <c r="A410" s="45" t="n"/>
    </row>
    <row r="411">
      <c r="A411" s="45" t="n"/>
    </row>
    <row r="412">
      <c r="A412" s="45" t="n"/>
    </row>
    <row r="413">
      <c r="A413" s="45" t="n"/>
    </row>
    <row r="414">
      <c r="A414" s="45" t="n"/>
    </row>
    <row r="415">
      <c r="A415" s="45" t="n"/>
    </row>
    <row r="416">
      <c r="A416" s="45" t="n"/>
    </row>
    <row r="417">
      <c r="A417" s="45" t="n"/>
    </row>
    <row r="418">
      <c r="A418" s="45" t="n"/>
    </row>
    <row r="419">
      <c r="A419" s="45" t="n"/>
    </row>
    <row r="420">
      <c r="A420" s="45" t="n"/>
    </row>
    <row r="421">
      <c r="A421" s="45" t="n"/>
    </row>
    <row r="422">
      <c r="A422" s="45" t="n"/>
    </row>
    <row r="423">
      <c r="A423" s="45" t="n"/>
    </row>
    <row r="424">
      <c r="A424" s="45" t="n"/>
    </row>
    <row r="425">
      <c r="A425" s="45" t="n"/>
    </row>
    <row r="426">
      <c r="A426" s="45" t="n"/>
    </row>
    <row r="427">
      <c r="A427" s="45" t="n"/>
    </row>
    <row r="428">
      <c r="A428" s="45" t="n"/>
    </row>
    <row r="429">
      <c r="A429" s="45" t="n"/>
    </row>
    <row r="430">
      <c r="A430" s="45" t="n"/>
    </row>
    <row r="431">
      <c r="A431" s="45" t="n"/>
    </row>
    <row r="432">
      <c r="A432" s="45" t="n"/>
    </row>
    <row r="433">
      <c r="A433" s="45" t="n"/>
    </row>
    <row r="434">
      <c r="A434" s="45" t="n"/>
    </row>
    <row r="435">
      <c r="A435" s="45" t="n"/>
    </row>
    <row r="436">
      <c r="A436" s="45" t="n"/>
    </row>
    <row r="437">
      <c r="A437" s="45" t="n"/>
    </row>
    <row r="438">
      <c r="A438" s="45" t="n"/>
    </row>
    <row r="439">
      <c r="A439" s="45" t="n"/>
    </row>
    <row r="440">
      <c r="A440" s="45" t="n"/>
    </row>
    <row r="441">
      <c r="A441" s="45" t="n"/>
    </row>
    <row r="442">
      <c r="A442" s="45" t="n"/>
    </row>
    <row r="443">
      <c r="A443" s="45" t="n"/>
    </row>
    <row r="444">
      <c r="A444" s="45" t="n"/>
    </row>
    <row r="445">
      <c r="A445" s="45" t="n"/>
    </row>
    <row r="446">
      <c r="A446" s="45" t="n"/>
    </row>
    <row r="447">
      <c r="A447" s="45" t="n"/>
    </row>
    <row r="448">
      <c r="A448" s="45" t="n"/>
    </row>
    <row r="449">
      <c r="A449" s="45" t="n"/>
    </row>
    <row r="450">
      <c r="A450" s="45" t="n"/>
    </row>
    <row r="451">
      <c r="A451" s="45" t="n"/>
    </row>
    <row r="452">
      <c r="A452" s="45" t="n"/>
    </row>
    <row r="453">
      <c r="A453" s="45" t="n"/>
    </row>
    <row r="454">
      <c r="A454" s="45" t="n"/>
    </row>
    <row r="455">
      <c r="A455" s="45" t="n"/>
    </row>
    <row r="456">
      <c r="A456" s="45" t="n"/>
    </row>
    <row r="457">
      <c r="A457" s="45" t="n"/>
    </row>
    <row r="458">
      <c r="A458" s="45" t="n"/>
    </row>
    <row r="459">
      <c r="A459" s="45" t="n"/>
    </row>
    <row r="460">
      <c r="A460" s="45" t="n"/>
    </row>
    <row r="461">
      <c r="A461" s="45" t="n"/>
    </row>
    <row r="462">
      <c r="A462" s="45" t="n"/>
    </row>
    <row r="463">
      <c r="A463" s="45" t="n"/>
    </row>
    <row r="464">
      <c r="A464" s="45" t="n"/>
    </row>
    <row r="465">
      <c r="A465" s="45" t="n"/>
    </row>
    <row r="466">
      <c r="A466" s="45" t="n"/>
    </row>
    <row r="467">
      <c r="A467" s="45" t="n"/>
    </row>
    <row r="468">
      <c r="A468" s="45" t="n"/>
    </row>
    <row r="469">
      <c r="A469" s="45" t="n"/>
    </row>
    <row r="470">
      <c r="A470" s="45" t="n"/>
    </row>
    <row r="471">
      <c r="A471" s="45" t="n"/>
    </row>
    <row r="472">
      <c r="A472" s="45" t="n"/>
    </row>
    <row r="473">
      <c r="A473" s="45" t="n"/>
    </row>
    <row r="474">
      <c r="A474" s="45" t="n"/>
    </row>
    <row r="475">
      <c r="A475" s="45" t="n"/>
    </row>
    <row r="476">
      <c r="A476" s="45" t="n"/>
    </row>
    <row r="477">
      <c r="A477" s="45" t="n"/>
    </row>
    <row r="478">
      <c r="A478" s="45" t="n"/>
    </row>
    <row r="479">
      <c r="A479" s="45" t="n"/>
    </row>
    <row r="480">
      <c r="A480" s="45" t="n"/>
    </row>
    <row r="481">
      <c r="A481" s="45" t="n"/>
    </row>
    <row r="482">
      <c r="A482" s="45" t="n"/>
    </row>
    <row r="483">
      <c r="A483" s="45" t="n"/>
    </row>
    <row r="484">
      <c r="A484" s="45" t="n"/>
    </row>
    <row r="485">
      <c r="A485" s="45" t="n"/>
    </row>
    <row r="486">
      <c r="A486" s="45" t="n"/>
    </row>
    <row r="487">
      <c r="A487" s="45" t="n"/>
    </row>
    <row r="488">
      <c r="A488" s="45" t="n"/>
    </row>
    <row r="489">
      <c r="A489" s="45" t="n"/>
    </row>
    <row r="490">
      <c r="A490" s="45" t="n"/>
    </row>
    <row r="491">
      <c r="A491" s="45" t="n"/>
    </row>
    <row r="492">
      <c r="A492" s="45" t="n"/>
    </row>
    <row r="493">
      <c r="A493" s="45" t="n"/>
    </row>
    <row r="494">
      <c r="A494" s="45" t="n"/>
    </row>
    <row r="495">
      <c r="A495" s="45" t="n"/>
    </row>
    <row r="496">
      <c r="A496" s="45" t="n"/>
    </row>
    <row r="497">
      <c r="A497" s="45" t="n"/>
    </row>
    <row r="498">
      <c r="A498" s="45" t="n"/>
    </row>
    <row r="499">
      <c r="A499" s="45" t="n"/>
    </row>
    <row r="500">
      <c r="A500" s="45" t="n"/>
    </row>
    <row r="501">
      <c r="A501" s="45" t="n"/>
    </row>
    <row r="502">
      <c r="A502" s="45" t="n"/>
    </row>
    <row r="503">
      <c r="A503" s="45" t="n"/>
    </row>
    <row r="504">
      <c r="A504" s="45" t="n"/>
    </row>
    <row r="505">
      <c r="A505" s="45" t="n"/>
    </row>
    <row r="506">
      <c r="A506" s="45" t="n"/>
    </row>
    <row r="507">
      <c r="A507" s="45" t="n"/>
    </row>
    <row r="508">
      <c r="A508" s="45" t="n"/>
    </row>
    <row r="509">
      <c r="A509" s="45" t="n"/>
    </row>
    <row r="510">
      <c r="A510" s="45" t="n"/>
    </row>
    <row r="511">
      <c r="A511" s="45" t="n"/>
    </row>
    <row r="512">
      <c r="A512" s="45" t="n"/>
    </row>
    <row r="513">
      <c r="A513" s="45" t="n"/>
    </row>
    <row r="514">
      <c r="A514" s="45" t="n"/>
    </row>
    <row r="515">
      <c r="A515" s="45" t="n"/>
    </row>
    <row r="516">
      <c r="A516" s="45" t="n"/>
    </row>
    <row r="517">
      <c r="A517" s="45" t="n"/>
    </row>
    <row r="518">
      <c r="A518" s="45" t="n"/>
    </row>
    <row r="519">
      <c r="A519" s="45" t="n"/>
    </row>
    <row r="520">
      <c r="A520" s="45" t="n"/>
    </row>
    <row r="521">
      <c r="A521" s="45" t="n"/>
    </row>
    <row r="522">
      <c r="A522" s="45" t="n"/>
    </row>
    <row r="523">
      <c r="A523" s="45" t="n"/>
    </row>
    <row r="524">
      <c r="A524" s="45" t="n"/>
    </row>
    <row r="525">
      <c r="A525" s="45" t="n"/>
    </row>
    <row r="526">
      <c r="A526" s="45" t="n"/>
    </row>
    <row r="527">
      <c r="A527" s="45" t="n"/>
    </row>
    <row r="528">
      <c r="A528" s="45" t="n"/>
    </row>
    <row r="529">
      <c r="A529" s="45" t="n"/>
    </row>
    <row r="530">
      <c r="A530" s="45" t="n"/>
    </row>
    <row r="531">
      <c r="A531" s="45" t="n"/>
    </row>
    <row r="532">
      <c r="A532" s="45" t="n"/>
    </row>
    <row r="533">
      <c r="A533" s="45" t="n"/>
    </row>
    <row r="534">
      <c r="A534" s="45" t="n"/>
    </row>
    <row r="535">
      <c r="A535" s="45" t="n"/>
    </row>
    <row r="536">
      <c r="A536" s="45" t="n"/>
    </row>
    <row r="537">
      <c r="A537" s="45" t="n"/>
    </row>
    <row r="538">
      <c r="A538" s="45" t="n"/>
    </row>
    <row r="539">
      <c r="A539" s="45" t="n"/>
    </row>
    <row r="540">
      <c r="A540" s="45" t="n"/>
    </row>
    <row r="541">
      <c r="A541" s="45" t="n"/>
    </row>
    <row r="542">
      <c r="A542" s="45" t="n"/>
    </row>
    <row r="543">
      <c r="A543" s="45" t="n"/>
    </row>
    <row r="544">
      <c r="A544" s="45" t="n"/>
    </row>
    <row r="545">
      <c r="A545" s="45" t="n"/>
    </row>
    <row r="546">
      <c r="A546" s="45" t="n"/>
    </row>
    <row r="547">
      <c r="A547" s="45" t="n"/>
    </row>
    <row r="548">
      <c r="A548" s="45" t="n"/>
    </row>
    <row r="549">
      <c r="A549" s="45" t="n"/>
    </row>
    <row r="550">
      <c r="A550" s="45" t="n"/>
    </row>
    <row r="551">
      <c r="A551" s="45" t="n"/>
    </row>
    <row r="552">
      <c r="A552" s="45" t="n"/>
    </row>
    <row r="553">
      <c r="A553" s="45" t="n"/>
    </row>
    <row r="554">
      <c r="A554" s="45" t="n"/>
    </row>
    <row r="555">
      <c r="A555" s="45" t="n"/>
    </row>
    <row r="556">
      <c r="A556" s="45" t="n"/>
    </row>
    <row r="557">
      <c r="A557" s="45" t="n"/>
    </row>
    <row r="558">
      <c r="A558" s="45" t="n"/>
    </row>
    <row r="559">
      <c r="A559" s="45" t="n"/>
    </row>
    <row r="560">
      <c r="A560" s="45" t="n"/>
    </row>
    <row r="561">
      <c r="A561" s="45" t="n"/>
    </row>
    <row r="562">
      <c r="A562" s="45" t="n"/>
    </row>
    <row r="563">
      <c r="A563" s="45" t="n"/>
    </row>
    <row r="564">
      <c r="A564" s="45" t="n"/>
    </row>
    <row r="565">
      <c r="A565" s="45" t="n"/>
    </row>
    <row r="566">
      <c r="A566" s="45" t="n"/>
    </row>
    <row r="567">
      <c r="A567" s="45" t="n"/>
    </row>
    <row r="568">
      <c r="A568" s="45" t="n"/>
    </row>
    <row r="569">
      <c r="A569" s="45" t="n"/>
    </row>
    <row r="570">
      <c r="A570" s="45" t="n"/>
    </row>
    <row r="571">
      <c r="A571" s="45" t="n"/>
    </row>
    <row r="572">
      <c r="A572" s="45" t="n"/>
    </row>
    <row r="573">
      <c r="A573" s="45" t="n"/>
    </row>
    <row r="574">
      <c r="A574" s="45" t="n"/>
    </row>
    <row r="575">
      <c r="A575" s="45" t="n"/>
    </row>
    <row r="576">
      <c r="A576" s="45" t="n"/>
    </row>
    <row r="577">
      <c r="A577" s="45" t="n"/>
    </row>
    <row r="578">
      <c r="A578" s="45" t="n"/>
    </row>
    <row r="579">
      <c r="A579" s="45" t="n"/>
    </row>
    <row r="580">
      <c r="A580" s="45" t="n"/>
    </row>
    <row r="581">
      <c r="A581" s="45" t="n"/>
    </row>
    <row r="582">
      <c r="A582" s="45" t="n"/>
    </row>
    <row r="583">
      <c r="A583" s="45" t="n"/>
    </row>
    <row r="584">
      <c r="A584" s="45" t="n"/>
    </row>
    <row r="585">
      <c r="A585" s="45" t="n"/>
    </row>
    <row r="586">
      <c r="A586" s="45" t="n"/>
    </row>
    <row r="587">
      <c r="A587" s="45" t="n"/>
    </row>
    <row r="588">
      <c r="A588" s="45" t="n"/>
    </row>
    <row r="589">
      <c r="A589" s="45" t="n"/>
    </row>
    <row r="590">
      <c r="A590" s="45" t="n"/>
    </row>
    <row r="591">
      <c r="A591" s="45" t="n"/>
    </row>
    <row r="592">
      <c r="A592" s="45" t="n"/>
    </row>
    <row r="593">
      <c r="A593" s="45" t="n"/>
    </row>
    <row r="594">
      <c r="A594" s="45" t="n"/>
    </row>
    <row r="595">
      <c r="A595" s="45" t="n"/>
    </row>
    <row r="596">
      <c r="A596" s="45" t="n"/>
    </row>
    <row r="597">
      <c r="A597" s="45" t="n"/>
    </row>
    <row r="598">
      <c r="A598" s="45" t="n"/>
    </row>
    <row r="599">
      <c r="A599" s="45" t="n"/>
    </row>
    <row r="600">
      <c r="A600" s="45" t="n"/>
    </row>
    <row r="601">
      <c r="A601" s="45" t="n"/>
    </row>
    <row r="602">
      <c r="A602" s="45" t="n"/>
    </row>
    <row r="603">
      <c r="A603" s="45" t="n"/>
    </row>
    <row r="604">
      <c r="A604" s="45" t="n"/>
    </row>
    <row r="605">
      <c r="A605" s="45" t="n"/>
    </row>
    <row r="606">
      <c r="A606" s="45" t="n"/>
    </row>
    <row r="607">
      <c r="A607" s="45" t="n"/>
    </row>
    <row r="608">
      <c r="A608" s="45" t="n"/>
    </row>
    <row r="609">
      <c r="A609" s="45" t="n"/>
    </row>
    <row r="610">
      <c r="A610" s="45" t="n"/>
    </row>
    <row r="611">
      <c r="A611" s="45" t="n"/>
    </row>
    <row r="612">
      <c r="A612" s="45" t="n"/>
    </row>
    <row r="613">
      <c r="A613" s="45" t="n"/>
    </row>
    <row r="614">
      <c r="A614" s="45" t="n"/>
    </row>
    <row r="615">
      <c r="A615" s="45" t="n"/>
    </row>
    <row r="616">
      <c r="A616" s="45" t="n"/>
    </row>
    <row r="617">
      <c r="A617" s="45" t="n"/>
    </row>
    <row r="618">
      <c r="A618" s="45" t="n"/>
    </row>
    <row r="619">
      <c r="A619" s="45" t="n"/>
    </row>
    <row r="620">
      <c r="A620" s="45" t="n"/>
    </row>
    <row r="621">
      <c r="A621" s="45" t="n"/>
    </row>
    <row r="622">
      <c r="A622" s="45" t="n"/>
    </row>
    <row r="623">
      <c r="A623" s="45" t="n"/>
    </row>
    <row r="624">
      <c r="A624" s="45" t="n"/>
    </row>
    <row r="625">
      <c r="A625" s="45" t="n"/>
    </row>
    <row r="626">
      <c r="A626" s="45" t="n"/>
    </row>
    <row r="627">
      <c r="A627" s="45" t="n"/>
    </row>
    <row r="628">
      <c r="A628" s="45" t="n"/>
    </row>
    <row r="629">
      <c r="A629" s="45" t="n"/>
    </row>
    <row r="630">
      <c r="A630" s="45" t="n"/>
    </row>
    <row r="631">
      <c r="A631" s="45" t="n"/>
    </row>
    <row r="632">
      <c r="A632" s="45" t="n"/>
    </row>
    <row r="633">
      <c r="A633" s="45" t="n"/>
    </row>
    <row r="634">
      <c r="A634" s="45" t="n"/>
    </row>
    <row r="635">
      <c r="A635" s="45" t="n"/>
    </row>
    <row r="636">
      <c r="A636" s="45" t="n"/>
    </row>
    <row r="637">
      <c r="A637" s="45" t="n"/>
    </row>
    <row r="638">
      <c r="A638" s="45" t="n"/>
    </row>
    <row r="639">
      <c r="A639" s="45" t="n"/>
    </row>
    <row r="640">
      <c r="A640" s="45" t="n"/>
    </row>
    <row r="641">
      <c r="A641" s="45" t="n"/>
    </row>
    <row r="642">
      <c r="A642" s="45" t="n"/>
    </row>
    <row r="643">
      <c r="A643" s="45" t="n"/>
    </row>
    <row r="644">
      <c r="A644" s="45" t="n"/>
    </row>
    <row r="645">
      <c r="A645" s="45" t="n"/>
    </row>
    <row r="646">
      <c r="A646" s="45" t="n"/>
    </row>
    <row r="647">
      <c r="A647" s="45" t="n"/>
    </row>
    <row r="648">
      <c r="A648" s="45" t="n"/>
    </row>
    <row r="649">
      <c r="A649" s="45" t="n"/>
    </row>
    <row r="650">
      <c r="A650" s="45" t="n"/>
    </row>
    <row r="651">
      <c r="A651" s="45" t="n"/>
    </row>
    <row r="652">
      <c r="A652" s="45" t="n"/>
    </row>
    <row r="653">
      <c r="A653" s="45" t="n"/>
    </row>
    <row r="654">
      <c r="A654" s="45" t="n"/>
    </row>
    <row r="655">
      <c r="A655" s="45" t="n"/>
    </row>
    <row r="656">
      <c r="A656" s="45" t="n"/>
    </row>
    <row r="657">
      <c r="A657" s="45" t="n"/>
    </row>
    <row r="658">
      <c r="A658" s="45" t="n"/>
    </row>
    <row r="659">
      <c r="A659" s="45" t="n"/>
    </row>
    <row r="660">
      <c r="A660" s="45" t="n"/>
    </row>
    <row r="661">
      <c r="A661" s="45" t="n"/>
    </row>
    <row r="662">
      <c r="A662" s="45" t="n"/>
    </row>
    <row r="663">
      <c r="A663" s="45" t="n"/>
    </row>
    <row r="664">
      <c r="A664" s="45" t="n"/>
    </row>
    <row r="665">
      <c r="A665" s="45" t="n"/>
    </row>
    <row r="666">
      <c r="A666" s="45" t="n"/>
    </row>
    <row r="667">
      <c r="A667" s="45" t="n"/>
    </row>
    <row r="668">
      <c r="A668" s="45" t="n"/>
    </row>
    <row r="669">
      <c r="A669" s="45" t="n"/>
    </row>
    <row r="670">
      <c r="A670" s="45" t="n"/>
    </row>
    <row r="671">
      <c r="A671" s="45" t="n"/>
    </row>
    <row r="672">
      <c r="A672" s="45" t="n"/>
    </row>
    <row r="673">
      <c r="A673" s="45" t="n"/>
    </row>
    <row r="674">
      <c r="A674" s="45" t="n"/>
    </row>
    <row r="675">
      <c r="A675" s="45" t="n"/>
    </row>
    <row r="676">
      <c r="A676" s="45" t="n"/>
    </row>
    <row r="677">
      <c r="A677" s="45" t="n"/>
    </row>
    <row r="678">
      <c r="A678" s="45" t="n"/>
    </row>
    <row r="679">
      <c r="A679" s="45" t="n"/>
    </row>
    <row r="680">
      <c r="A680" s="45" t="n"/>
    </row>
    <row r="681">
      <c r="A681" s="45" t="n"/>
    </row>
    <row r="682">
      <c r="A682" s="45" t="n"/>
    </row>
    <row r="683">
      <c r="A683" s="45" t="n"/>
    </row>
    <row r="684">
      <c r="A684" s="45" t="n"/>
    </row>
    <row r="685">
      <c r="A685" s="45" t="n"/>
    </row>
    <row r="686">
      <c r="A686" s="45" t="n"/>
    </row>
    <row r="687">
      <c r="A687" s="45" t="n"/>
    </row>
    <row r="688">
      <c r="A688" s="45" t="n"/>
    </row>
    <row r="689">
      <c r="A689" s="45" t="n"/>
    </row>
    <row r="690">
      <c r="A690" s="45" t="n"/>
    </row>
    <row r="691">
      <c r="A691" s="45" t="n"/>
    </row>
    <row r="692">
      <c r="A692" s="45" t="n"/>
    </row>
    <row r="693">
      <c r="A693" s="45" t="n"/>
    </row>
    <row r="694">
      <c r="A694" s="45" t="n"/>
    </row>
    <row r="695">
      <c r="A695" s="45" t="n"/>
    </row>
    <row r="696">
      <c r="A696" s="45" t="n"/>
    </row>
    <row r="697">
      <c r="A697" s="45" t="n"/>
    </row>
    <row r="698">
      <c r="A698" s="45" t="n"/>
    </row>
    <row r="699">
      <c r="A699" s="45" t="n"/>
    </row>
    <row r="700">
      <c r="A700" s="45" t="n"/>
    </row>
    <row r="701">
      <c r="A701" s="45" t="n"/>
    </row>
    <row r="702">
      <c r="A702" s="45" t="n"/>
    </row>
    <row r="703">
      <c r="A703" s="45" t="n"/>
    </row>
    <row r="704">
      <c r="A704" s="45" t="n"/>
    </row>
    <row r="705">
      <c r="A705" s="45" t="n"/>
    </row>
    <row r="706">
      <c r="A706" s="45" t="n"/>
    </row>
    <row r="707">
      <c r="A707" s="45" t="n"/>
    </row>
    <row r="708">
      <c r="A708" s="45" t="n"/>
    </row>
    <row r="709">
      <c r="A709" s="45" t="n"/>
    </row>
    <row r="710">
      <c r="A710" s="45" t="n"/>
    </row>
    <row r="711">
      <c r="A711" s="45" t="n"/>
    </row>
    <row r="712">
      <c r="A712" s="45" t="n"/>
    </row>
    <row r="713">
      <c r="A713" s="45" t="n"/>
    </row>
    <row r="714">
      <c r="A714" s="45" t="n"/>
    </row>
    <row r="715">
      <c r="A715" s="45" t="n"/>
    </row>
    <row r="716">
      <c r="A716" s="45" t="n"/>
    </row>
    <row r="717">
      <c r="A717" s="45" t="n"/>
    </row>
    <row r="718">
      <c r="A718" s="45" t="n"/>
    </row>
    <row r="719">
      <c r="A719" s="45" t="n"/>
    </row>
    <row r="720">
      <c r="A720" s="45" t="n"/>
    </row>
    <row r="721">
      <c r="A721" s="45" t="n"/>
    </row>
    <row r="722">
      <c r="A722" s="45" t="n"/>
    </row>
    <row r="723">
      <c r="A723" s="45" t="n"/>
    </row>
    <row r="724">
      <c r="A724" s="45" t="n"/>
    </row>
    <row r="725">
      <c r="A725" s="45" t="n"/>
    </row>
    <row r="726">
      <c r="A726" s="45" t="n"/>
    </row>
    <row r="727">
      <c r="A727" s="45" t="n"/>
    </row>
    <row r="728">
      <c r="A728" s="45" t="n"/>
    </row>
    <row r="729">
      <c r="A729" s="45" t="n"/>
    </row>
    <row r="730">
      <c r="A730" s="45" t="n"/>
    </row>
    <row r="731">
      <c r="A731" s="45" t="n"/>
    </row>
    <row r="732">
      <c r="A732" s="45" t="n"/>
    </row>
    <row r="733">
      <c r="A733" s="45" t="n"/>
    </row>
    <row r="734">
      <c r="A734" s="45" t="n"/>
    </row>
    <row r="735">
      <c r="A735" s="45" t="n"/>
    </row>
    <row r="736">
      <c r="A736" s="45" t="n"/>
    </row>
    <row r="737">
      <c r="A737" s="45" t="n"/>
    </row>
    <row r="738">
      <c r="A738" s="45" t="n"/>
    </row>
    <row r="739">
      <c r="A739" s="45" t="n"/>
    </row>
    <row r="740">
      <c r="A740" s="45" t="n"/>
    </row>
    <row r="741">
      <c r="A741" s="45" t="n"/>
    </row>
    <row r="742">
      <c r="A742" s="45" t="n"/>
    </row>
    <row r="743">
      <c r="A743" s="45" t="n"/>
    </row>
    <row r="744">
      <c r="A744" s="45" t="n"/>
    </row>
    <row r="745">
      <c r="A745" s="45" t="n"/>
    </row>
    <row r="746">
      <c r="A746" s="45" t="n"/>
    </row>
    <row r="747">
      <c r="A747" s="45" t="n"/>
    </row>
    <row r="748">
      <c r="A748" s="45" t="n"/>
    </row>
    <row r="749">
      <c r="A749" s="45" t="n"/>
    </row>
    <row r="750">
      <c r="A750" s="45" t="n"/>
    </row>
    <row r="751">
      <c r="A751" s="45" t="n"/>
    </row>
    <row r="752">
      <c r="A752" s="45" t="n"/>
    </row>
    <row r="753">
      <c r="A753" s="45" t="n"/>
    </row>
    <row r="754">
      <c r="A754" s="45" t="n"/>
    </row>
    <row r="755">
      <c r="A755" s="45" t="n"/>
    </row>
    <row r="756">
      <c r="A756" s="45" t="n"/>
    </row>
    <row r="757">
      <c r="A757" s="45" t="n"/>
    </row>
    <row r="758">
      <c r="A758" s="45" t="n"/>
    </row>
    <row r="759">
      <c r="A759" s="45" t="n"/>
    </row>
    <row r="760">
      <c r="A760" s="45" t="n"/>
    </row>
    <row r="761">
      <c r="A761" s="45" t="n"/>
    </row>
    <row r="762">
      <c r="A762" s="45" t="n"/>
    </row>
    <row r="763">
      <c r="A763" s="45" t="n"/>
    </row>
    <row r="764">
      <c r="A764" s="45" t="n"/>
    </row>
    <row r="765">
      <c r="A765" s="45" t="n"/>
    </row>
    <row r="766">
      <c r="A766" s="45" t="n"/>
    </row>
    <row r="767">
      <c r="A767" s="45" t="n"/>
    </row>
    <row r="768">
      <c r="A768" s="45" t="n"/>
    </row>
    <row r="769">
      <c r="A769" s="45" t="n"/>
    </row>
    <row r="770">
      <c r="A770" s="45" t="n"/>
    </row>
    <row r="771">
      <c r="A771" s="45" t="n"/>
    </row>
    <row r="772">
      <c r="A772" s="45" t="n"/>
    </row>
    <row r="773">
      <c r="A773" s="45" t="n"/>
    </row>
    <row r="774">
      <c r="A774" s="45" t="n"/>
    </row>
    <row r="775">
      <c r="A775" s="45" t="n"/>
    </row>
    <row r="776">
      <c r="A776" s="45" t="n"/>
    </row>
    <row r="777">
      <c r="A777" s="45" t="n"/>
    </row>
    <row r="778">
      <c r="A778" s="45" t="n"/>
    </row>
    <row r="779">
      <c r="A779" s="45" t="n"/>
    </row>
    <row r="780">
      <c r="A780" s="45" t="n"/>
    </row>
    <row r="781">
      <c r="A781" s="45" t="n"/>
    </row>
    <row r="782">
      <c r="A782" s="45" t="n"/>
    </row>
    <row r="783">
      <c r="A783" s="45" t="n"/>
    </row>
    <row r="784">
      <c r="A784" s="45" t="n"/>
    </row>
    <row r="785">
      <c r="A785" s="45" t="n"/>
    </row>
    <row r="786">
      <c r="A786" s="45" t="n"/>
    </row>
    <row r="787">
      <c r="A787" s="45" t="n"/>
    </row>
    <row r="788">
      <c r="A788" s="45" t="n"/>
    </row>
    <row r="789">
      <c r="A789" s="45" t="n"/>
    </row>
    <row r="790">
      <c r="A790" s="45" t="n"/>
    </row>
    <row r="791">
      <c r="A791" s="45" t="n"/>
    </row>
    <row r="792">
      <c r="A792" s="45" t="n"/>
    </row>
    <row r="793">
      <c r="A793" s="45" t="n"/>
    </row>
    <row r="794">
      <c r="A794" s="45" t="n"/>
    </row>
    <row r="795">
      <c r="A795" s="45" t="n"/>
    </row>
    <row r="796">
      <c r="A796" s="45" t="n"/>
    </row>
    <row r="797">
      <c r="A797" s="45" t="n"/>
    </row>
    <row r="798">
      <c r="A798" s="45" t="n"/>
    </row>
    <row r="799">
      <c r="A799" s="45" t="n"/>
    </row>
    <row r="800">
      <c r="A800" s="45" t="n"/>
    </row>
    <row r="801">
      <c r="A801" s="45" t="n"/>
    </row>
    <row r="802">
      <c r="A802" s="45" t="n"/>
    </row>
    <row r="803">
      <c r="A803" s="45" t="n"/>
    </row>
    <row r="804">
      <c r="A804" s="45" t="n"/>
    </row>
    <row r="805">
      <c r="A805" s="45" t="n"/>
    </row>
    <row r="806">
      <c r="A806" s="45" t="n"/>
    </row>
    <row r="807">
      <c r="A807" s="45" t="n"/>
    </row>
    <row r="808">
      <c r="A808" s="45" t="n"/>
    </row>
    <row r="809">
      <c r="A809" s="45" t="n"/>
    </row>
    <row r="810">
      <c r="A810" s="45" t="n"/>
    </row>
    <row r="811">
      <c r="A811" s="45" t="n"/>
    </row>
    <row r="812">
      <c r="A812" s="45" t="n"/>
    </row>
    <row r="813">
      <c r="A813" s="45" t="n"/>
    </row>
    <row r="814">
      <c r="A814" s="45" t="n"/>
    </row>
    <row r="815">
      <c r="A815" s="45" t="n"/>
    </row>
    <row r="816">
      <c r="A816" s="45" t="n"/>
    </row>
    <row r="817">
      <c r="A817" s="45" t="n"/>
    </row>
    <row r="818">
      <c r="A818" s="45" t="n"/>
    </row>
    <row r="819">
      <c r="A819" s="45" t="n"/>
    </row>
    <row r="820">
      <c r="A820" s="45" t="n"/>
    </row>
    <row r="821">
      <c r="A821" s="45" t="n"/>
    </row>
    <row r="822">
      <c r="A822" s="45" t="n"/>
    </row>
    <row r="823">
      <c r="A823" s="45" t="n"/>
    </row>
    <row r="824">
      <c r="A824" s="45" t="n"/>
    </row>
    <row r="825">
      <c r="A825" s="45" t="n"/>
    </row>
    <row r="826">
      <c r="A826" s="45" t="n"/>
    </row>
    <row r="827">
      <c r="A827" s="45" t="n"/>
    </row>
    <row r="828">
      <c r="A828" s="45" t="n"/>
    </row>
    <row r="829">
      <c r="A829" s="45" t="n"/>
    </row>
    <row r="830">
      <c r="A830" s="45" t="n"/>
    </row>
    <row r="831">
      <c r="A831" s="45" t="n"/>
    </row>
    <row r="832">
      <c r="A832" s="45" t="n"/>
    </row>
    <row r="833">
      <c r="A833" s="45" t="n"/>
    </row>
    <row r="834">
      <c r="A834" s="45" t="n"/>
    </row>
    <row r="835">
      <c r="A835" s="45" t="n"/>
    </row>
    <row r="836">
      <c r="A836" s="45" t="n"/>
    </row>
    <row r="837">
      <c r="A837" s="45" t="n"/>
    </row>
    <row r="838">
      <c r="A838" s="45" t="n"/>
    </row>
    <row r="839">
      <c r="A839" s="45" t="n"/>
    </row>
    <row r="840">
      <c r="A840" s="45" t="n"/>
    </row>
    <row r="841">
      <c r="A841" s="45" t="n"/>
    </row>
    <row r="842">
      <c r="A842" s="45" t="n"/>
    </row>
    <row r="843">
      <c r="A843" s="45" t="n"/>
    </row>
    <row r="844">
      <c r="A844" s="45" t="n"/>
    </row>
    <row r="845">
      <c r="A845" s="45" t="n"/>
    </row>
    <row r="846">
      <c r="A846" s="45" t="n"/>
    </row>
    <row r="847">
      <c r="A847" s="45" t="n"/>
    </row>
    <row r="848">
      <c r="A848" s="45" t="n"/>
    </row>
    <row r="849">
      <c r="A849" s="45" t="n"/>
    </row>
    <row r="850">
      <c r="A850" s="45" t="n"/>
    </row>
    <row r="851">
      <c r="A851" s="45" t="n"/>
    </row>
    <row r="852">
      <c r="A852" s="45" t="n"/>
    </row>
    <row r="853">
      <c r="A853" s="45" t="n"/>
    </row>
    <row r="854">
      <c r="A854" s="45" t="n"/>
    </row>
    <row r="855">
      <c r="A855" s="45" t="n"/>
    </row>
    <row r="856">
      <c r="A856" s="45" t="n"/>
    </row>
    <row r="857">
      <c r="A857" s="45" t="n"/>
    </row>
    <row r="858">
      <c r="A858" s="45" t="n"/>
    </row>
    <row r="859">
      <c r="A859" s="45" t="n"/>
    </row>
    <row r="860">
      <c r="A860" s="45" t="n"/>
    </row>
    <row r="861">
      <c r="A861" s="45" t="n"/>
    </row>
    <row r="862">
      <c r="A862" s="45" t="n"/>
    </row>
    <row r="863">
      <c r="A863" s="45" t="n"/>
    </row>
    <row r="864">
      <c r="A864" s="45" t="n"/>
    </row>
    <row r="865">
      <c r="A865" s="45" t="n"/>
    </row>
    <row r="866">
      <c r="A866" s="45" t="n"/>
    </row>
    <row r="867">
      <c r="A867" s="45" t="n"/>
    </row>
    <row r="868">
      <c r="A868" s="45" t="n"/>
    </row>
    <row r="869">
      <c r="A869" s="45" t="n"/>
    </row>
    <row r="870">
      <c r="A870" s="45" t="n"/>
    </row>
    <row r="871">
      <c r="A871" s="45" t="n"/>
    </row>
    <row r="872">
      <c r="A872" s="45" t="n"/>
    </row>
    <row r="873">
      <c r="A873" s="45" t="n"/>
    </row>
    <row r="874">
      <c r="A874" s="45" t="n"/>
    </row>
    <row r="875">
      <c r="A875" s="45" t="n"/>
    </row>
    <row r="876">
      <c r="A876" s="45" t="n"/>
    </row>
    <row r="877">
      <c r="A877" s="45" t="n"/>
    </row>
    <row r="878">
      <c r="A878" s="45" t="n"/>
    </row>
    <row r="879">
      <c r="A879" s="45" t="n"/>
    </row>
    <row r="880">
      <c r="A880" s="45" t="n"/>
    </row>
    <row r="881">
      <c r="A881" s="45" t="n"/>
    </row>
    <row r="882">
      <c r="A882" s="45" t="n"/>
    </row>
    <row r="883">
      <c r="A883" s="45" t="n"/>
    </row>
    <row r="884">
      <c r="A884" s="45" t="n"/>
    </row>
    <row r="885">
      <c r="A885" s="45" t="n"/>
    </row>
    <row r="886">
      <c r="A886" s="45" t="n"/>
    </row>
    <row r="887">
      <c r="A887" s="45" t="n"/>
    </row>
    <row r="888">
      <c r="A888" s="45" t="n"/>
    </row>
    <row r="889">
      <c r="A889" s="45" t="n"/>
    </row>
    <row r="890">
      <c r="A890" s="45" t="n"/>
    </row>
    <row r="891">
      <c r="A891" s="45" t="n"/>
    </row>
    <row r="892">
      <c r="A892" s="45" t="n"/>
    </row>
    <row r="893">
      <c r="A893" s="45" t="n"/>
    </row>
    <row r="894">
      <c r="A894" s="45" t="n"/>
    </row>
    <row r="895">
      <c r="A895" s="45" t="n"/>
    </row>
    <row r="896">
      <c r="A896" s="45" t="n"/>
    </row>
    <row r="897">
      <c r="A897" s="45" t="n"/>
    </row>
    <row r="898">
      <c r="A898" s="45" t="n"/>
    </row>
    <row r="899">
      <c r="A899" s="45" t="n"/>
    </row>
    <row r="900">
      <c r="A900" s="45" t="n"/>
    </row>
    <row r="901">
      <c r="A901" s="45" t="n"/>
    </row>
    <row r="902">
      <c r="A902" s="45" t="n"/>
    </row>
    <row r="903">
      <c r="A903" s="45" t="n"/>
    </row>
    <row r="904">
      <c r="A904" s="45" t="n"/>
    </row>
    <row r="905">
      <c r="A905" s="45" t="n"/>
    </row>
    <row r="906">
      <c r="A906" s="45" t="n"/>
    </row>
    <row r="907">
      <c r="A907" s="45" t="n"/>
    </row>
    <row r="908">
      <c r="A908" s="45" t="n"/>
    </row>
    <row r="909">
      <c r="A909" s="45" t="n"/>
    </row>
    <row r="910">
      <c r="A910" s="45" t="n"/>
    </row>
    <row r="911">
      <c r="A911" s="45" t="n"/>
    </row>
    <row r="912">
      <c r="A912" s="45" t="n"/>
    </row>
    <row r="913">
      <c r="A913" s="45" t="n"/>
    </row>
    <row r="914">
      <c r="A914" s="45" t="n"/>
    </row>
    <row r="915">
      <c r="A915" s="45" t="n"/>
    </row>
    <row r="916">
      <c r="A916" s="45" t="n"/>
    </row>
    <row r="917">
      <c r="A917" s="45" t="n"/>
    </row>
    <row r="918">
      <c r="A918" s="45" t="n"/>
    </row>
    <row r="919">
      <c r="A919" s="45" t="n"/>
    </row>
    <row r="920">
      <c r="A920" s="45" t="n"/>
    </row>
    <row r="921">
      <c r="A921" s="45" t="n"/>
    </row>
    <row r="922">
      <c r="A922" s="45" t="n"/>
    </row>
    <row r="923">
      <c r="A923" s="45" t="n"/>
    </row>
    <row r="924">
      <c r="A924" s="45" t="n"/>
    </row>
    <row r="925">
      <c r="A925" s="45" t="n"/>
    </row>
    <row r="926">
      <c r="A926" s="45" t="n"/>
    </row>
    <row r="927">
      <c r="A927" s="45" t="n"/>
    </row>
    <row r="928">
      <c r="A928" s="45" t="n"/>
    </row>
    <row r="929">
      <c r="A929" s="45" t="n"/>
    </row>
    <row r="930">
      <c r="A930" s="45" t="n"/>
    </row>
    <row r="931">
      <c r="A931" s="45" t="n"/>
    </row>
    <row r="932">
      <c r="A932" s="45" t="n"/>
    </row>
    <row r="933">
      <c r="A933" s="45" t="n"/>
    </row>
    <row r="934">
      <c r="A934" s="45" t="n"/>
    </row>
    <row r="935">
      <c r="A935" s="45" t="n"/>
    </row>
    <row r="936">
      <c r="A936" s="45" t="n"/>
    </row>
    <row r="937">
      <c r="A937" s="45" t="n"/>
    </row>
    <row r="938">
      <c r="A938" s="45" t="n"/>
    </row>
    <row r="939">
      <c r="A939" s="45" t="n"/>
    </row>
    <row r="940">
      <c r="A940" s="45" t="n"/>
    </row>
    <row r="941">
      <c r="A941" s="45" t="n"/>
    </row>
    <row r="942">
      <c r="A942" s="45" t="n"/>
    </row>
    <row r="943">
      <c r="A943" s="45" t="n"/>
    </row>
    <row r="944">
      <c r="A944" s="45" t="n"/>
    </row>
    <row r="945">
      <c r="A945" s="45" t="n"/>
    </row>
    <row r="946">
      <c r="A946" s="45" t="n"/>
    </row>
    <row r="947">
      <c r="A947" s="45" t="n"/>
    </row>
    <row r="948">
      <c r="A948" s="45" t="n"/>
    </row>
    <row r="949">
      <c r="A949" s="45" t="n"/>
    </row>
    <row r="950">
      <c r="A950" s="45" t="n"/>
    </row>
    <row r="951">
      <c r="A951" s="45" t="n"/>
    </row>
    <row r="952">
      <c r="A952" s="45" t="n"/>
    </row>
    <row r="953">
      <c r="A953" s="45" t="n"/>
    </row>
    <row r="954">
      <c r="A954" s="45" t="n"/>
    </row>
    <row r="955">
      <c r="A955" s="45" t="n"/>
    </row>
    <row r="956">
      <c r="A956" s="45" t="n"/>
    </row>
    <row r="957">
      <c r="A957" s="45" t="n"/>
    </row>
    <row r="958">
      <c r="A958" s="45" t="n"/>
    </row>
    <row r="959">
      <c r="A959" s="45" t="n"/>
    </row>
    <row r="960">
      <c r="A960" s="45" t="n"/>
    </row>
    <row r="961">
      <c r="A961" s="45" t="n"/>
    </row>
    <row r="962">
      <c r="A962" s="45" t="n"/>
    </row>
    <row r="963">
      <c r="A963" s="45" t="n"/>
    </row>
    <row r="964">
      <c r="A964" s="45" t="n"/>
    </row>
    <row r="965">
      <c r="A965" s="45" t="n"/>
    </row>
    <row r="966">
      <c r="A966" s="45" t="n"/>
    </row>
    <row r="967">
      <c r="A967" s="45" t="n"/>
    </row>
    <row r="968">
      <c r="A968" s="45" t="n"/>
    </row>
    <row r="969">
      <c r="A969" s="45" t="n"/>
    </row>
    <row r="970">
      <c r="A970" s="45" t="n"/>
    </row>
    <row r="971">
      <c r="A971" s="45" t="n"/>
    </row>
    <row r="972">
      <c r="A972" s="45" t="n"/>
    </row>
    <row r="973">
      <c r="A973" s="45" t="n"/>
    </row>
    <row r="974">
      <c r="A974" s="45" t="n"/>
    </row>
    <row r="975">
      <c r="A975" s="45" t="n"/>
    </row>
    <row r="976">
      <c r="A976" s="45" t="n"/>
    </row>
    <row r="977">
      <c r="A977" s="45" t="n"/>
    </row>
    <row r="978">
      <c r="A978" s="45" t="n"/>
    </row>
    <row r="979">
      <c r="A979" s="45" t="n"/>
    </row>
    <row r="980">
      <c r="A980" s="45" t="n"/>
    </row>
    <row r="981">
      <c r="A981" s="45" t="n"/>
    </row>
    <row r="982">
      <c r="A982" s="45" t="n"/>
    </row>
    <row r="983">
      <c r="A983" s="45" t="n"/>
    </row>
    <row r="984">
      <c r="A984" s="45" t="n"/>
    </row>
    <row r="985">
      <c r="A985" s="45" t="n"/>
    </row>
    <row r="986">
      <c r="A986" s="45" t="n"/>
    </row>
    <row r="987">
      <c r="A987" s="45" t="n"/>
    </row>
    <row r="988">
      <c r="A988" s="45" t="n"/>
    </row>
    <row r="989">
      <c r="A989" s="45" t="n"/>
    </row>
    <row r="990">
      <c r="A990" s="45" t="n"/>
    </row>
    <row r="991">
      <c r="A991" s="45" t="n"/>
    </row>
    <row r="992">
      <c r="A992" s="45" t="n"/>
    </row>
    <row r="993">
      <c r="A993" s="45" t="n"/>
    </row>
    <row r="994">
      <c r="A994" s="45" t="n"/>
    </row>
    <row r="995">
      <c r="A995" s="45" t="n"/>
    </row>
    <row r="996">
      <c r="A996" s="45" t="n"/>
    </row>
    <row r="997">
      <c r="A997" s="45" t="n"/>
    </row>
    <row r="998">
      <c r="A998" s="45" t="n"/>
    </row>
    <row r="999">
      <c r="A999" s="45" t="n"/>
    </row>
    <row r="1000">
      <c r="A1000" s="45" t="n"/>
    </row>
    <row r="1001">
      <c r="A1001" s="45" t="n"/>
    </row>
    <row r="1002">
      <c r="A1002" s="45" t="n"/>
    </row>
    <row r="1003">
      <c r="A1003" s="45" t="n"/>
    </row>
    <row r="1004">
      <c r="A1004" s="45" t="n"/>
    </row>
    <row r="1005">
      <c r="A1005" s="45" t="n"/>
    </row>
    <row r="1006">
      <c r="A1006" s="45" t="n"/>
    </row>
    <row r="1007">
      <c r="A1007" s="45" t="n"/>
    </row>
    <row r="1008">
      <c r="A1008" s="45" t="n"/>
    </row>
    <row r="1009">
      <c r="A1009" s="45" t="n"/>
    </row>
    <row r="1010">
      <c r="A1010" s="45" t="n"/>
    </row>
    <row r="1011">
      <c r="A1011" s="45" t="n"/>
    </row>
    <row r="1012">
      <c r="A1012" s="45" t="n"/>
    </row>
    <row r="1013">
      <c r="A1013" s="45" t="n"/>
    </row>
    <row r="1014">
      <c r="A1014" s="45" t="n"/>
    </row>
    <row r="1015">
      <c r="A1015" s="45" t="n"/>
    </row>
    <row r="1016">
      <c r="A1016" s="45" t="n"/>
    </row>
    <row r="1017">
      <c r="A1017" s="45" t="n"/>
    </row>
    <row r="1018">
      <c r="A1018" s="45" t="n"/>
    </row>
    <row r="1019">
      <c r="A1019" s="45" t="n"/>
    </row>
    <row r="1020">
      <c r="A1020" s="45" t="n"/>
    </row>
    <row r="1021">
      <c r="A1021" s="45" t="n"/>
    </row>
    <row r="1022">
      <c r="A1022" s="45" t="n"/>
    </row>
    <row r="1023">
      <c r="A1023" s="45" t="n"/>
    </row>
    <row r="1024">
      <c r="A1024" s="45" t="n"/>
    </row>
    <row r="1025">
      <c r="A1025" s="45" t="n"/>
    </row>
    <row r="1026">
      <c r="A1026" s="45" t="n"/>
    </row>
    <row r="1027">
      <c r="A1027" s="45" t="n"/>
    </row>
    <row r="1028">
      <c r="A1028" s="45" t="n"/>
    </row>
    <row r="1029">
      <c r="A1029" s="45" t="n"/>
    </row>
    <row r="1030">
      <c r="A1030" s="45" t="n"/>
    </row>
    <row r="1031">
      <c r="A1031" s="45" t="n"/>
    </row>
    <row r="1032">
      <c r="A1032" s="45" t="n"/>
    </row>
    <row r="1033">
      <c r="A1033" s="45" t="n"/>
    </row>
    <row r="1034">
      <c r="A1034" s="45" t="n"/>
    </row>
    <row r="1035">
      <c r="A1035" s="45" t="n"/>
    </row>
    <row r="1036">
      <c r="A1036" s="45" t="n"/>
    </row>
    <row r="1037">
      <c r="A1037" s="45" t="n"/>
    </row>
    <row r="1038">
      <c r="A1038" s="45" t="n"/>
    </row>
    <row r="1039">
      <c r="A1039" s="45" t="n"/>
    </row>
    <row r="1040">
      <c r="A1040" s="45" t="n"/>
    </row>
    <row r="1041">
      <c r="A1041" s="45" t="n"/>
    </row>
    <row r="1042">
      <c r="A1042" s="45" t="n"/>
    </row>
    <row r="1043">
      <c r="A1043" s="45" t="n"/>
    </row>
    <row r="1044">
      <c r="A1044" s="45" t="n"/>
    </row>
    <row r="1045">
      <c r="A1045" s="45" t="n"/>
    </row>
    <row r="1046">
      <c r="A1046" s="45" t="n"/>
    </row>
    <row r="1047">
      <c r="A1047" s="45" t="n"/>
    </row>
    <row r="1048">
      <c r="A1048" s="45" t="n"/>
    </row>
    <row r="1049">
      <c r="A1049" s="45" t="n"/>
    </row>
    <row r="1050">
      <c r="A1050" s="45" t="n"/>
    </row>
    <row r="1051">
      <c r="A1051" s="45" t="n"/>
    </row>
    <row r="1052">
      <c r="A1052" s="45" t="n"/>
    </row>
    <row r="1053">
      <c r="A1053" s="45" t="n"/>
    </row>
    <row r="1054">
      <c r="A1054" s="45" t="n"/>
    </row>
    <row r="1055">
      <c r="A1055" s="45" t="n"/>
    </row>
    <row r="1056">
      <c r="A1056" s="45" t="n"/>
    </row>
    <row r="1057">
      <c r="A1057" s="45" t="n"/>
    </row>
    <row r="1058">
      <c r="A1058" s="45" t="n"/>
    </row>
    <row r="1059">
      <c r="A1059" s="45" t="n"/>
    </row>
    <row r="1060">
      <c r="A1060" s="45" t="n"/>
    </row>
    <row r="1061">
      <c r="A1061" s="45" t="n"/>
    </row>
    <row r="1062">
      <c r="A1062" s="45" t="n"/>
    </row>
    <row r="1063">
      <c r="A1063" s="45" t="n"/>
    </row>
    <row r="1064">
      <c r="A1064" s="45" t="n"/>
    </row>
    <row r="1065">
      <c r="A1065" s="45" t="n"/>
    </row>
    <row r="1066">
      <c r="A1066" s="45" t="n"/>
    </row>
    <row r="1067">
      <c r="A1067" s="45" t="n"/>
    </row>
    <row r="1068">
      <c r="A1068" s="45" t="n"/>
    </row>
    <row r="1069">
      <c r="A1069" s="45" t="n"/>
    </row>
    <row r="1070">
      <c r="A1070" s="45" t="n"/>
    </row>
    <row r="1071">
      <c r="A1071" s="45" t="n"/>
    </row>
    <row r="1072">
      <c r="A1072" s="45" t="n"/>
    </row>
    <row r="1073">
      <c r="A1073" s="45" t="n"/>
    </row>
    <row r="1074">
      <c r="A1074" s="45" t="n"/>
    </row>
    <row r="1075">
      <c r="A1075" s="45" t="n"/>
    </row>
    <row r="1076">
      <c r="A1076" s="45" t="n"/>
    </row>
    <row r="1077">
      <c r="A1077" s="45" t="n"/>
    </row>
    <row r="1078">
      <c r="A1078" s="45" t="n"/>
    </row>
    <row r="1079">
      <c r="A1079" s="45" t="n"/>
    </row>
    <row r="1080">
      <c r="A1080" s="45" t="n"/>
    </row>
    <row r="1081">
      <c r="A1081" s="45" t="n"/>
    </row>
    <row r="1082">
      <c r="A1082" s="45" t="n"/>
    </row>
    <row r="1083">
      <c r="A1083" s="45" t="n"/>
    </row>
    <row r="1084">
      <c r="A1084" s="45" t="n"/>
    </row>
    <row r="1085">
      <c r="A1085" s="45" t="n"/>
    </row>
    <row r="1086">
      <c r="A1086" s="45" t="n"/>
    </row>
    <row r="1087">
      <c r="A1087" s="45" t="n"/>
    </row>
    <row r="1088">
      <c r="A1088" s="45" t="n"/>
    </row>
    <row r="1089">
      <c r="A1089" s="45" t="n"/>
    </row>
    <row r="1090">
      <c r="A1090" s="45" t="n"/>
    </row>
    <row r="1091">
      <c r="A1091" s="45" t="n"/>
    </row>
    <row r="1092">
      <c r="A1092" s="45" t="n"/>
    </row>
    <row r="1093">
      <c r="A1093" s="45" t="n"/>
    </row>
    <row r="1094">
      <c r="A1094" s="45" t="n"/>
    </row>
    <row r="1095">
      <c r="A1095" s="45" t="n"/>
    </row>
    <row r="1096">
      <c r="A1096" s="45" t="n"/>
    </row>
    <row r="1097">
      <c r="A1097" s="45" t="n"/>
    </row>
    <row r="1098">
      <c r="A1098" s="45" t="n"/>
    </row>
    <row r="1099">
      <c r="A1099" s="45" t="n"/>
    </row>
    <row r="1100">
      <c r="A1100" s="45" t="n"/>
    </row>
    <row r="1101">
      <c r="A1101" s="45" t="n"/>
    </row>
    <row r="1102">
      <c r="A1102" s="45" t="n"/>
    </row>
    <row r="1103">
      <c r="A1103" s="45" t="n"/>
    </row>
    <row r="1104">
      <c r="A1104" s="45" t="n"/>
    </row>
    <row r="1105">
      <c r="A1105" s="45" t="n"/>
    </row>
    <row r="1106">
      <c r="A1106" s="45" t="n"/>
    </row>
    <row r="1107">
      <c r="A1107" s="45" t="n"/>
    </row>
    <row r="1108">
      <c r="A1108" s="45" t="n"/>
    </row>
    <row r="1109">
      <c r="A1109" s="45" t="n"/>
    </row>
    <row r="1110">
      <c r="A1110" s="45" t="n"/>
    </row>
    <row r="1111">
      <c r="A1111" s="45" t="n"/>
    </row>
    <row r="1112">
      <c r="A1112" s="45" t="n"/>
    </row>
    <row r="1113">
      <c r="A1113" s="45" t="n"/>
    </row>
    <row r="1114">
      <c r="A1114" s="45" t="n"/>
    </row>
    <row r="1115">
      <c r="A1115" s="45" t="n"/>
    </row>
    <row r="1116">
      <c r="A1116" s="45" t="n"/>
    </row>
    <row r="1117">
      <c r="A1117" s="45" t="n"/>
    </row>
    <row r="1118">
      <c r="A1118" s="45" t="n"/>
    </row>
    <row r="1119">
      <c r="A1119" s="45" t="n"/>
    </row>
    <row r="1120">
      <c r="A1120" s="45" t="n"/>
    </row>
    <row r="1121">
      <c r="A1121" s="45" t="n"/>
    </row>
    <row r="1122">
      <c r="A1122" s="45" t="n"/>
    </row>
    <row r="1123">
      <c r="A1123" s="45" t="n"/>
    </row>
    <row r="1124">
      <c r="A1124" s="45" t="n"/>
    </row>
    <row r="1125">
      <c r="A1125" s="45" t="n"/>
    </row>
    <row r="1126">
      <c r="A1126" s="45" t="n"/>
    </row>
    <row r="1127">
      <c r="A1127" s="45" t="n"/>
    </row>
    <row r="1128">
      <c r="A1128" s="45" t="n"/>
    </row>
    <row r="1129">
      <c r="A1129" s="45" t="n"/>
    </row>
    <row r="1130">
      <c r="A1130" s="45" t="n"/>
    </row>
    <row r="1131">
      <c r="A1131" s="45" t="n"/>
    </row>
    <row r="1132">
      <c r="A1132" s="45" t="n"/>
    </row>
    <row r="1133">
      <c r="A1133" s="45" t="n"/>
    </row>
    <row r="1134">
      <c r="A1134" s="45" t="n"/>
    </row>
    <row r="1135">
      <c r="A1135" s="45" t="n"/>
    </row>
    <row r="1136">
      <c r="A1136" s="45" t="n"/>
    </row>
    <row r="1137">
      <c r="A1137" s="45" t="n"/>
    </row>
    <row r="1138">
      <c r="A1138" s="45" t="n"/>
    </row>
    <row r="1139">
      <c r="A1139" s="45" t="n"/>
    </row>
    <row r="1140">
      <c r="A1140" s="45" t="n"/>
    </row>
    <row r="1141">
      <c r="A1141" s="45" t="n"/>
    </row>
    <row r="1142">
      <c r="A1142" s="45" t="n"/>
    </row>
    <row r="1143">
      <c r="A1143" s="45" t="n"/>
    </row>
    <row r="1144">
      <c r="A1144" s="45" t="n"/>
    </row>
    <row r="1145">
      <c r="A1145" s="45" t="n"/>
    </row>
    <row r="1146">
      <c r="A1146" s="45" t="n"/>
    </row>
    <row r="1147">
      <c r="A1147" s="45" t="n"/>
    </row>
    <row r="1148">
      <c r="A1148" s="45" t="n"/>
    </row>
    <row r="1149">
      <c r="A1149" s="45" t="n"/>
    </row>
    <row r="1150">
      <c r="A1150" s="45" t="n"/>
    </row>
    <row r="1151">
      <c r="A1151" s="45" t="n"/>
    </row>
    <row r="1152">
      <c r="A1152" s="45" t="n"/>
    </row>
    <row r="1153">
      <c r="A1153" s="45" t="n"/>
    </row>
    <row r="1154">
      <c r="A1154" s="45" t="n"/>
    </row>
    <row r="1155">
      <c r="A1155" s="45" t="n"/>
    </row>
    <row r="1156">
      <c r="A1156" s="45" t="n"/>
    </row>
    <row r="1157">
      <c r="A1157" s="45" t="n"/>
    </row>
    <row r="1158">
      <c r="A1158" s="45" t="n"/>
    </row>
    <row r="1159">
      <c r="A1159" s="45" t="n"/>
    </row>
    <row r="1160">
      <c r="A1160" s="45" t="n"/>
    </row>
    <row r="1161">
      <c r="A1161" s="45" t="n"/>
    </row>
    <row r="1162">
      <c r="A1162" s="45" t="n"/>
    </row>
    <row r="1163">
      <c r="A1163" s="45" t="n"/>
    </row>
    <row r="1164">
      <c r="A1164" s="45" t="n"/>
    </row>
    <row r="1165">
      <c r="A1165" s="45" t="n"/>
    </row>
    <row r="1166">
      <c r="A1166" s="45" t="n"/>
    </row>
    <row r="1167">
      <c r="A1167" s="45" t="n"/>
    </row>
    <row r="1168">
      <c r="A1168" s="45" t="n"/>
    </row>
    <row r="1169">
      <c r="A1169" s="45" t="n"/>
    </row>
    <row r="1170">
      <c r="A1170" s="45" t="n"/>
    </row>
    <row r="1171">
      <c r="A1171" s="45" t="n"/>
    </row>
    <row r="1172">
      <c r="A1172" s="45" t="n"/>
    </row>
    <row r="1173">
      <c r="A1173" s="45" t="n"/>
    </row>
    <row r="1174">
      <c r="A1174" s="45" t="n"/>
    </row>
    <row r="1175">
      <c r="A1175" s="45" t="n"/>
    </row>
    <row r="1176">
      <c r="A1176" s="45" t="n"/>
    </row>
    <row r="1177">
      <c r="A1177" s="45" t="n"/>
    </row>
    <row r="1178">
      <c r="A1178" s="45" t="n"/>
    </row>
    <row r="1179">
      <c r="A1179" s="45" t="n"/>
    </row>
    <row r="1180">
      <c r="A1180" s="45" t="n"/>
    </row>
    <row r="1181">
      <c r="A1181" s="45" t="n"/>
    </row>
    <row r="1182">
      <c r="A1182" s="45" t="n"/>
    </row>
    <row r="1183">
      <c r="A1183" s="45" t="n"/>
    </row>
    <row r="1184">
      <c r="A1184" s="45" t="n"/>
    </row>
    <row r="1185">
      <c r="A1185" s="45" t="n"/>
    </row>
    <row r="1186">
      <c r="A1186" s="45" t="n"/>
    </row>
    <row r="1187">
      <c r="A1187" s="45" t="n"/>
    </row>
    <row r="1188">
      <c r="A1188" s="45" t="n"/>
    </row>
    <row r="1189">
      <c r="A1189" s="45" t="n"/>
    </row>
    <row r="1190">
      <c r="A1190" s="45" t="n"/>
    </row>
    <row r="1191">
      <c r="A1191" s="45" t="n"/>
    </row>
    <row r="1192">
      <c r="A1192" s="45" t="n"/>
    </row>
    <row r="1193">
      <c r="A1193" s="45" t="n"/>
    </row>
    <row r="1194">
      <c r="A1194" s="45" t="n"/>
    </row>
    <row r="1195">
      <c r="A1195" s="45" t="n"/>
    </row>
    <row r="1196">
      <c r="A1196" s="45" t="n"/>
    </row>
    <row r="1197">
      <c r="A1197" s="45" t="n"/>
    </row>
    <row r="1198">
      <c r="A1198" s="45" t="n"/>
    </row>
    <row r="1199">
      <c r="A1199" s="45" t="n"/>
    </row>
    <row r="1200">
      <c r="A1200" s="45" t="n"/>
    </row>
    <row r="1201">
      <c r="A1201" s="45" t="n"/>
    </row>
    <row r="1202">
      <c r="A1202" s="45" t="n"/>
    </row>
    <row r="1203">
      <c r="A1203" s="45" t="n"/>
    </row>
    <row r="1204">
      <c r="A1204" s="45" t="n"/>
    </row>
    <row r="1205">
      <c r="A1205" s="45" t="n"/>
    </row>
    <row r="1206">
      <c r="A1206" s="45" t="n"/>
    </row>
    <row r="1207">
      <c r="A1207" s="45" t="n"/>
    </row>
    <row r="1208">
      <c r="A1208" s="45" t="n"/>
    </row>
    <row r="1209">
      <c r="A1209" s="45" t="n"/>
    </row>
    <row r="1210">
      <c r="A1210" s="45" t="n"/>
    </row>
    <row r="1211">
      <c r="A1211" s="45" t="n"/>
    </row>
    <row r="1212">
      <c r="A1212" s="45" t="n"/>
    </row>
    <row r="1213">
      <c r="A1213" s="45" t="n"/>
    </row>
    <row r="1214">
      <c r="A1214" s="45" t="n"/>
    </row>
    <row r="1215">
      <c r="A1215" s="45" t="n"/>
    </row>
    <row r="1216">
      <c r="A1216" s="45" t="n"/>
    </row>
    <row r="1217">
      <c r="A1217" s="45" t="n"/>
    </row>
    <row r="1218">
      <c r="A1218" s="45" t="n"/>
    </row>
    <row r="1219">
      <c r="A1219" s="45" t="n"/>
    </row>
    <row r="1220">
      <c r="A1220" s="45" t="n"/>
    </row>
    <row r="1221">
      <c r="A1221" s="45" t="n"/>
    </row>
    <row r="1222">
      <c r="A1222" s="45" t="n"/>
    </row>
    <row r="1223">
      <c r="A1223" s="45" t="n"/>
    </row>
    <row r="1224">
      <c r="A1224" s="45" t="n"/>
    </row>
    <row r="1225">
      <c r="A1225" s="45" t="n"/>
    </row>
    <row r="1226">
      <c r="A1226" s="45" t="n"/>
    </row>
    <row r="1227">
      <c r="A1227" s="45" t="n"/>
    </row>
    <row r="1228">
      <c r="A1228" s="45" t="n"/>
    </row>
    <row r="1229">
      <c r="A1229" s="45" t="n"/>
    </row>
    <row r="1230">
      <c r="A1230" s="45" t="n"/>
    </row>
    <row r="1231">
      <c r="A1231" s="45" t="n"/>
    </row>
    <row r="1232">
      <c r="A1232" s="45" t="n"/>
    </row>
    <row r="1233">
      <c r="A1233" s="45" t="n"/>
    </row>
    <row r="1234">
      <c r="A1234" s="45" t="n"/>
    </row>
    <row r="1235">
      <c r="A1235" s="45" t="n"/>
    </row>
    <row r="1236">
      <c r="A1236" s="45" t="n"/>
    </row>
    <row r="1237">
      <c r="A1237" s="45" t="n"/>
    </row>
    <row r="1238">
      <c r="A1238" s="45" t="n"/>
    </row>
    <row r="1239">
      <c r="A1239" s="45" t="n"/>
    </row>
    <row r="1240">
      <c r="A1240" s="45" t="n"/>
    </row>
    <row r="1241">
      <c r="A1241" s="45" t="n"/>
    </row>
    <row r="1242">
      <c r="A1242" s="45" t="n"/>
    </row>
    <row r="1243">
      <c r="A1243" s="45" t="n"/>
    </row>
    <row r="1244">
      <c r="A1244" s="45" t="n"/>
    </row>
    <row r="1245">
      <c r="A1245" s="45" t="n"/>
    </row>
    <row r="1246">
      <c r="A1246" s="45" t="n"/>
    </row>
    <row r="1247">
      <c r="A1247" s="45" t="n"/>
    </row>
    <row r="1248">
      <c r="A1248" s="45" t="n"/>
    </row>
    <row r="1249">
      <c r="A1249" s="45" t="n"/>
    </row>
    <row r="1250">
      <c r="A1250" s="45" t="n"/>
    </row>
    <row r="1251">
      <c r="A1251" s="45" t="n"/>
    </row>
    <row r="1252">
      <c r="A1252" s="45" t="n"/>
    </row>
    <row r="1253">
      <c r="A1253" s="45" t="n"/>
    </row>
    <row r="1254">
      <c r="A1254" s="45" t="n"/>
    </row>
    <row r="1255">
      <c r="A1255" s="45" t="n"/>
    </row>
    <row r="1256">
      <c r="A1256" s="45" t="n"/>
    </row>
    <row r="1257">
      <c r="A1257" s="45" t="n"/>
    </row>
    <row r="1258">
      <c r="A1258" s="45" t="n"/>
    </row>
    <row r="1259">
      <c r="A1259" s="45" t="n"/>
    </row>
    <row r="1260">
      <c r="A1260" s="45" t="n"/>
    </row>
    <row r="1261">
      <c r="A1261" s="45" t="n"/>
    </row>
    <row r="1262">
      <c r="A1262" s="45" t="n"/>
    </row>
    <row r="1263">
      <c r="A1263" s="45" t="n"/>
    </row>
    <row r="1264">
      <c r="A1264" s="45" t="n"/>
    </row>
    <row r="1265">
      <c r="A1265" s="45" t="n"/>
    </row>
    <row r="1266">
      <c r="A1266" s="45" t="n"/>
    </row>
    <row r="1267">
      <c r="A1267" s="45" t="n"/>
    </row>
    <row r="1268">
      <c r="A1268" s="45" t="n"/>
    </row>
    <row r="1269">
      <c r="A1269" s="45" t="n"/>
    </row>
    <row r="1270">
      <c r="A1270" s="45" t="n"/>
    </row>
    <row r="1271">
      <c r="A1271" s="45" t="n"/>
    </row>
    <row r="1272">
      <c r="A1272" s="45" t="n"/>
    </row>
    <row r="1273">
      <c r="A1273" s="45" t="n"/>
    </row>
    <row r="1274">
      <c r="A1274" s="45" t="n"/>
    </row>
    <row r="1275">
      <c r="A1275" s="45" t="n"/>
    </row>
    <row r="1276">
      <c r="A1276" s="45" t="n"/>
    </row>
    <row r="1277">
      <c r="A1277" s="45" t="n"/>
    </row>
    <row r="1278">
      <c r="A1278" s="45" t="n"/>
    </row>
    <row r="1279">
      <c r="A1279" s="45" t="n"/>
    </row>
    <row r="1280">
      <c r="A1280" s="45" t="n"/>
    </row>
    <row r="1281">
      <c r="A1281" s="45" t="n"/>
    </row>
    <row r="1282">
      <c r="A1282" s="45" t="n"/>
    </row>
    <row r="1283">
      <c r="A1283" s="45" t="n"/>
    </row>
    <row r="1284">
      <c r="A1284" s="45" t="n"/>
    </row>
    <row r="1285">
      <c r="A1285" s="45" t="n"/>
    </row>
    <row r="1286">
      <c r="A1286" s="45" t="n"/>
    </row>
    <row r="1287">
      <c r="A1287" s="45" t="n"/>
    </row>
    <row r="1288">
      <c r="A1288" s="45" t="n"/>
    </row>
    <row r="1289">
      <c r="A1289" s="45" t="n"/>
    </row>
    <row r="1290">
      <c r="A1290" s="45" t="n"/>
    </row>
    <row r="1291">
      <c r="A1291" s="45" t="n"/>
    </row>
    <row r="1292">
      <c r="A1292" s="45" t="n"/>
    </row>
    <row r="1293">
      <c r="A1293" s="45" t="n"/>
    </row>
    <row r="1294">
      <c r="A1294" s="45" t="n"/>
    </row>
    <row r="1295">
      <c r="A1295" s="45" t="n"/>
    </row>
    <row r="1296">
      <c r="A1296" s="45" t="n"/>
    </row>
    <row r="1297">
      <c r="A1297" s="45" t="n"/>
    </row>
    <row r="1298">
      <c r="A1298" s="45" t="n"/>
    </row>
    <row r="1299">
      <c r="A1299" s="45" t="n"/>
    </row>
    <row r="1300">
      <c r="A1300" s="45" t="n"/>
    </row>
    <row r="1301">
      <c r="A1301" s="45" t="n"/>
    </row>
    <row r="1302">
      <c r="A1302" s="45" t="n"/>
    </row>
    <row r="1303">
      <c r="A1303" s="45" t="n"/>
    </row>
    <row r="1304">
      <c r="A1304" s="45" t="n"/>
    </row>
    <row r="1305">
      <c r="A1305" s="45" t="n"/>
    </row>
    <row r="1306">
      <c r="A1306" s="45" t="n"/>
    </row>
    <row r="1307">
      <c r="A1307" s="45" t="n"/>
    </row>
    <row r="1308">
      <c r="A1308" s="45" t="n"/>
    </row>
    <row r="1309">
      <c r="A1309" s="45" t="n"/>
    </row>
    <row r="1310">
      <c r="A1310" s="45" t="n"/>
    </row>
    <row r="1311">
      <c r="A1311" s="45" t="n"/>
    </row>
    <row r="1312">
      <c r="A1312" s="45" t="n"/>
    </row>
    <row r="1313">
      <c r="A1313" s="45" t="n"/>
    </row>
    <row r="1314">
      <c r="A1314" s="45" t="n"/>
    </row>
    <row r="1315">
      <c r="A1315" s="45" t="n"/>
    </row>
    <row r="1316">
      <c r="A1316" s="45" t="n"/>
    </row>
    <row r="1317">
      <c r="A1317" s="45" t="n"/>
    </row>
    <row r="1318">
      <c r="A1318" s="45" t="n"/>
    </row>
    <row r="1319">
      <c r="A1319" s="45" t="n"/>
    </row>
    <row r="1320">
      <c r="A1320" s="45" t="n"/>
    </row>
    <row r="1321">
      <c r="A1321" s="45" t="n"/>
    </row>
    <row r="1322">
      <c r="A1322" s="45" t="n"/>
    </row>
    <row r="1323">
      <c r="A1323" s="45" t="n"/>
    </row>
    <row r="1324">
      <c r="A1324" s="45" t="n"/>
    </row>
    <row r="1325">
      <c r="A1325" s="45" t="n"/>
    </row>
    <row r="1326">
      <c r="A1326" s="45" t="n"/>
    </row>
    <row r="1327">
      <c r="A1327" s="45" t="n"/>
    </row>
    <row r="1328">
      <c r="A1328" s="45" t="n"/>
    </row>
    <row r="1329">
      <c r="A1329" s="45" t="n"/>
    </row>
    <row r="1330">
      <c r="A1330" s="45" t="n"/>
    </row>
    <row r="1331">
      <c r="A1331" s="45" t="n"/>
    </row>
    <row r="1332">
      <c r="A1332" s="45" t="n"/>
    </row>
    <row r="1333">
      <c r="A1333" s="45" t="n"/>
    </row>
    <row r="1334">
      <c r="A1334" s="45" t="n"/>
    </row>
    <row r="1335">
      <c r="A1335" s="45" t="n"/>
    </row>
    <row r="1336">
      <c r="A1336" s="45" t="n"/>
    </row>
    <row r="1337">
      <c r="A1337" s="45" t="n"/>
    </row>
    <row r="1338">
      <c r="A1338" s="45" t="n"/>
    </row>
    <row r="1339">
      <c r="A1339" s="45" t="n"/>
    </row>
    <row r="1340">
      <c r="A1340" s="45" t="n"/>
    </row>
    <row r="1341">
      <c r="A1341" s="45" t="n"/>
    </row>
    <row r="1342">
      <c r="A1342" s="45" t="n"/>
    </row>
    <row r="1343">
      <c r="A1343" s="45" t="n"/>
    </row>
    <row r="1344">
      <c r="A1344" s="45" t="n"/>
    </row>
    <row r="1345">
      <c r="A1345" s="45" t="n"/>
    </row>
    <row r="1346">
      <c r="A1346" s="45" t="n"/>
    </row>
    <row r="1347">
      <c r="A1347" s="45" t="n"/>
    </row>
    <row r="1348">
      <c r="A1348" s="45" t="n"/>
    </row>
    <row r="1349">
      <c r="A1349" s="45" t="n"/>
    </row>
    <row r="1350">
      <c r="A1350" s="45" t="n"/>
    </row>
    <row r="1351">
      <c r="A1351" s="45" t="n"/>
    </row>
    <row r="1352">
      <c r="A1352" s="45" t="n"/>
    </row>
    <row r="1353">
      <c r="A1353" s="45" t="n"/>
    </row>
    <row r="1354">
      <c r="A1354" s="45" t="n"/>
    </row>
    <row r="1355">
      <c r="A1355" s="45" t="n"/>
    </row>
    <row r="1356">
      <c r="A1356" s="45" t="n"/>
    </row>
    <row r="1357">
      <c r="A1357" s="45" t="n"/>
    </row>
    <row r="1358">
      <c r="A1358" s="45" t="n"/>
    </row>
    <row r="1359">
      <c r="A1359" s="45" t="n"/>
    </row>
    <row r="1360">
      <c r="A1360" s="45" t="n"/>
    </row>
    <row r="1361">
      <c r="A1361" s="45" t="n"/>
    </row>
    <row r="1362">
      <c r="A1362" s="45" t="n"/>
    </row>
    <row r="1363">
      <c r="A1363" s="45" t="n"/>
    </row>
    <row r="1364">
      <c r="A1364" s="45" t="n"/>
    </row>
    <row r="1365">
      <c r="A1365" s="45" t="n"/>
    </row>
    <row r="1366">
      <c r="A1366" s="45" t="n"/>
    </row>
    <row r="1367">
      <c r="A1367" s="45" t="n"/>
    </row>
    <row r="1368">
      <c r="A1368" s="45" t="n"/>
    </row>
    <row r="1369">
      <c r="A1369" s="45" t="n"/>
    </row>
    <row r="1370">
      <c r="A1370" s="45" t="n"/>
    </row>
    <row r="1371">
      <c r="A1371" s="45" t="n"/>
    </row>
    <row r="1372">
      <c r="A1372" s="45" t="n"/>
    </row>
    <row r="1373">
      <c r="A1373" s="45" t="n"/>
    </row>
    <row r="1374">
      <c r="A1374" s="45" t="n"/>
    </row>
    <row r="1375">
      <c r="A1375" s="45" t="n"/>
    </row>
    <row r="1376">
      <c r="A1376" s="45" t="n"/>
    </row>
    <row r="1377">
      <c r="A1377" s="45" t="n"/>
    </row>
    <row r="1378">
      <c r="A1378" s="45" t="n"/>
    </row>
    <row r="1379">
      <c r="A1379" s="45" t="n"/>
    </row>
    <row r="1380">
      <c r="A1380" s="45" t="n"/>
    </row>
    <row r="1381">
      <c r="A1381" s="45" t="n"/>
    </row>
    <row r="1382">
      <c r="A1382" s="45" t="n"/>
    </row>
    <row r="1383">
      <c r="A1383" s="45" t="n"/>
    </row>
    <row r="1384">
      <c r="A1384" s="45" t="n"/>
    </row>
    <row r="1385">
      <c r="A1385" s="45" t="n"/>
    </row>
    <row r="1386">
      <c r="A1386" s="45" t="n"/>
    </row>
    <row r="1387">
      <c r="A1387" s="45" t="n"/>
    </row>
    <row r="1388">
      <c r="A1388" s="45" t="n"/>
    </row>
    <row r="1389">
      <c r="A1389" s="45" t="n"/>
    </row>
    <row r="1390">
      <c r="A1390" s="45" t="n"/>
    </row>
    <row r="1391">
      <c r="A1391" s="45" t="n"/>
    </row>
    <row r="1392">
      <c r="A1392" s="45" t="n"/>
    </row>
    <row r="1393">
      <c r="A1393" s="45" t="n"/>
    </row>
    <row r="1394">
      <c r="A1394" s="45" t="n"/>
    </row>
    <row r="1395">
      <c r="A1395" s="45" t="n"/>
    </row>
    <row r="1396">
      <c r="A1396" s="45" t="n"/>
    </row>
    <row r="1397">
      <c r="A1397" s="45" t="n"/>
    </row>
    <row r="1398">
      <c r="A1398" s="45" t="n"/>
    </row>
    <row r="1399">
      <c r="A1399" s="45" t="n"/>
    </row>
    <row r="1400">
      <c r="A1400" s="45" t="n"/>
    </row>
    <row r="1401">
      <c r="A1401" s="45" t="n"/>
    </row>
    <row r="1402">
      <c r="A1402" s="45" t="n"/>
    </row>
    <row r="1403">
      <c r="A1403" s="45" t="n"/>
    </row>
    <row r="1404">
      <c r="A1404" s="45" t="n"/>
    </row>
    <row r="1405">
      <c r="A1405" s="45" t="n"/>
    </row>
    <row r="1406">
      <c r="A1406" s="45" t="n"/>
    </row>
    <row r="1407">
      <c r="A1407" s="45" t="n"/>
    </row>
    <row r="1408">
      <c r="A1408" s="45" t="n"/>
    </row>
    <row r="1409">
      <c r="A1409" s="45" t="n"/>
    </row>
    <row r="1410">
      <c r="A1410" s="45" t="n"/>
    </row>
    <row r="1411">
      <c r="A1411" s="45" t="n"/>
    </row>
    <row r="1412">
      <c r="A1412" s="45" t="n"/>
    </row>
    <row r="1413">
      <c r="A1413" s="45" t="n"/>
    </row>
    <row r="1414">
      <c r="A1414" s="45" t="n"/>
    </row>
    <row r="1415">
      <c r="A1415" s="45" t="n"/>
    </row>
    <row r="1416">
      <c r="A1416" s="45" t="n"/>
    </row>
    <row r="1417">
      <c r="A1417" s="45" t="n"/>
    </row>
    <row r="1418">
      <c r="A1418" s="45" t="n"/>
    </row>
    <row r="1419">
      <c r="A1419" s="45" t="n"/>
    </row>
    <row r="1420">
      <c r="A1420" s="45" t="n"/>
    </row>
    <row r="1421">
      <c r="A1421" s="45" t="n"/>
    </row>
    <row r="1422">
      <c r="A1422" s="45" t="n"/>
    </row>
    <row r="1423">
      <c r="A1423" s="45" t="n"/>
    </row>
    <row r="1424">
      <c r="A1424" s="45" t="n"/>
    </row>
    <row r="1425">
      <c r="A1425" s="45" t="n"/>
    </row>
    <row r="1426">
      <c r="A1426" s="45" t="n"/>
    </row>
    <row r="1427">
      <c r="A1427" s="45" t="n"/>
    </row>
    <row r="1428">
      <c r="A1428" s="45" t="n"/>
    </row>
    <row r="1429">
      <c r="A1429" s="45" t="n"/>
    </row>
    <row r="1430">
      <c r="A1430" s="45" t="n"/>
    </row>
    <row r="1431">
      <c r="A1431" s="45" t="n"/>
    </row>
    <row r="1432">
      <c r="A1432" s="45" t="n"/>
    </row>
    <row r="1433">
      <c r="A1433" s="45" t="n"/>
    </row>
    <row r="1434">
      <c r="A1434" s="45" t="n"/>
    </row>
    <row r="1435">
      <c r="A1435" s="45" t="n"/>
    </row>
    <row r="1436">
      <c r="A1436" s="45" t="n"/>
    </row>
    <row r="1437">
      <c r="A1437" s="45" t="n"/>
    </row>
    <row r="1438">
      <c r="A1438" s="45" t="n"/>
    </row>
    <row r="1439">
      <c r="A1439" s="45" t="n"/>
    </row>
    <row r="1440">
      <c r="A1440" s="45" t="n"/>
    </row>
    <row r="1441">
      <c r="A1441" s="45" t="n"/>
    </row>
    <row r="1442">
      <c r="A1442" s="45" t="n"/>
    </row>
    <row r="1443">
      <c r="A1443" s="45" t="n"/>
    </row>
    <row r="1444">
      <c r="A1444" s="45" t="n"/>
    </row>
    <row r="1445">
      <c r="A1445" s="45" t="n"/>
    </row>
    <row r="1446">
      <c r="A1446" s="45" t="n"/>
    </row>
    <row r="1447">
      <c r="A1447" s="45" t="n"/>
    </row>
    <row r="1448">
      <c r="A1448" s="45" t="n"/>
    </row>
    <row r="1449">
      <c r="A1449" s="45" t="n"/>
    </row>
    <row r="1450">
      <c r="A1450" s="45" t="n"/>
    </row>
    <row r="1451">
      <c r="A1451" s="45" t="n"/>
    </row>
    <row r="1452">
      <c r="A1452" s="45" t="n"/>
    </row>
    <row r="1453">
      <c r="A1453" s="45" t="n"/>
    </row>
    <row r="1454">
      <c r="A1454" s="45" t="n"/>
    </row>
    <row r="1455">
      <c r="A1455" s="45" t="n"/>
    </row>
    <row r="1456">
      <c r="A1456" s="45" t="n"/>
    </row>
    <row r="1457">
      <c r="A1457" s="45" t="n"/>
    </row>
    <row r="1458">
      <c r="A1458" s="45" t="n"/>
    </row>
    <row r="1459">
      <c r="A1459" s="45" t="n"/>
    </row>
    <row r="1460">
      <c r="A1460" s="45" t="n"/>
    </row>
    <row r="1461">
      <c r="A1461" s="45" t="n"/>
    </row>
    <row r="1462">
      <c r="A1462" s="45" t="n"/>
    </row>
    <row r="1463">
      <c r="A1463" s="45" t="n"/>
    </row>
    <row r="1464">
      <c r="A1464" s="45" t="n"/>
    </row>
    <row r="1465">
      <c r="A1465" s="45" t="n"/>
    </row>
    <row r="1466">
      <c r="A1466" s="45" t="n"/>
    </row>
    <row r="1467">
      <c r="A1467" s="45" t="n"/>
    </row>
    <row r="1468">
      <c r="A1468" s="45" t="n"/>
    </row>
    <row r="1469">
      <c r="A1469" s="45" t="n"/>
    </row>
    <row r="1470">
      <c r="A1470" s="45" t="n"/>
    </row>
    <row r="1471">
      <c r="A1471" s="45" t="n"/>
    </row>
    <row r="1472">
      <c r="A1472" s="45" t="n"/>
    </row>
    <row r="1473">
      <c r="A1473" s="45" t="n"/>
    </row>
    <row r="1474">
      <c r="A1474" s="45" t="n"/>
    </row>
    <row r="1475">
      <c r="A1475" s="45" t="n"/>
    </row>
    <row r="1476">
      <c r="A1476" s="45" t="n"/>
    </row>
    <row r="1477">
      <c r="A1477" s="45" t="n"/>
    </row>
    <row r="1478">
      <c r="A1478" s="45" t="n"/>
    </row>
    <row r="1479">
      <c r="A1479" s="45" t="n"/>
    </row>
    <row r="1480">
      <c r="A1480" s="45" t="n"/>
    </row>
    <row r="1481">
      <c r="A1481" s="45" t="n"/>
    </row>
    <row r="1482">
      <c r="A1482" s="45" t="n"/>
    </row>
    <row r="1483">
      <c r="A1483" s="45" t="n"/>
    </row>
    <row r="1484">
      <c r="A1484" s="45" t="n"/>
    </row>
    <row r="1485">
      <c r="A1485" s="45" t="n"/>
    </row>
    <row r="1486">
      <c r="A1486" s="45" t="n"/>
    </row>
    <row r="1487">
      <c r="A1487" s="45" t="n"/>
    </row>
    <row r="1488">
      <c r="A1488" s="45" t="n"/>
    </row>
    <row r="1489">
      <c r="A1489" s="45" t="n"/>
    </row>
    <row r="1490">
      <c r="A1490" s="45" t="n"/>
    </row>
    <row r="1491">
      <c r="A1491" s="45" t="n"/>
    </row>
    <row r="1492">
      <c r="A1492" s="45" t="n"/>
    </row>
    <row r="1493">
      <c r="A1493" s="45" t="n"/>
    </row>
    <row r="1494">
      <c r="A1494" s="45" t="n"/>
    </row>
    <row r="1495">
      <c r="A1495" s="45" t="n"/>
    </row>
    <row r="1496">
      <c r="A1496" s="45" t="n"/>
    </row>
    <row r="1497">
      <c r="A1497" s="45" t="n"/>
    </row>
    <row r="1498">
      <c r="A1498" s="45" t="n"/>
    </row>
    <row r="1499">
      <c r="A1499" s="45" t="n"/>
    </row>
    <row r="1500">
      <c r="A1500" s="45" t="n"/>
    </row>
    <row r="1501">
      <c r="A1501" s="45" t="n"/>
    </row>
    <row r="1502">
      <c r="A1502" s="45" t="n"/>
    </row>
    <row r="1503">
      <c r="A1503" s="45" t="n"/>
    </row>
    <row r="1504">
      <c r="A1504" s="45" t="n"/>
    </row>
    <row r="1505">
      <c r="A1505" s="45" t="n"/>
    </row>
    <row r="1506">
      <c r="A1506" s="45" t="n"/>
    </row>
    <row r="1507">
      <c r="A1507" s="45" t="n"/>
    </row>
    <row r="1508">
      <c r="A1508" s="45" t="n"/>
    </row>
    <row r="1509">
      <c r="A1509" s="45" t="n"/>
    </row>
    <row r="1510">
      <c r="A1510" s="45" t="n"/>
    </row>
    <row r="1511">
      <c r="A1511" s="45" t="n"/>
    </row>
    <row r="1512">
      <c r="A1512" s="45" t="n"/>
    </row>
    <row r="1513">
      <c r="A1513" s="45" t="n"/>
    </row>
    <row r="1514">
      <c r="A1514" s="45" t="n"/>
    </row>
    <row r="1515">
      <c r="A1515" s="45" t="n"/>
    </row>
    <row r="1516">
      <c r="A1516" s="45" t="n"/>
    </row>
    <row r="1517">
      <c r="A1517" s="45" t="n"/>
    </row>
    <row r="1518">
      <c r="A1518" s="45" t="n"/>
    </row>
    <row r="1519">
      <c r="A1519" s="45" t="n"/>
    </row>
    <row r="1520">
      <c r="A1520" s="45" t="n"/>
    </row>
    <row r="1521">
      <c r="A1521" s="45" t="n"/>
    </row>
    <row r="1522">
      <c r="A1522" s="45" t="n"/>
    </row>
    <row r="1523">
      <c r="A1523" s="45" t="n"/>
    </row>
    <row r="1524">
      <c r="A1524" s="45" t="n"/>
    </row>
    <row r="1525">
      <c r="A1525" s="45" t="n"/>
    </row>
    <row r="1526">
      <c r="A1526" s="45" t="n"/>
    </row>
    <row r="1527">
      <c r="A1527" s="45" t="n"/>
    </row>
    <row r="1528">
      <c r="A1528" s="45" t="n"/>
    </row>
    <row r="1529">
      <c r="A1529" s="45" t="n"/>
    </row>
    <row r="1530">
      <c r="A1530" s="45" t="n"/>
    </row>
    <row r="1531">
      <c r="A1531" s="45" t="n"/>
    </row>
    <row r="1532">
      <c r="A1532" s="45" t="n"/>
    </row>
    <row r="1533">
      <c r="A1533" s="45" t="n"/>
    </row>
    <row r="1534">
      <c r="A1534" s="45" t="n"/>
    </row>
    <row r="1535">
      <c r="A1535" s="45" t="n"/>
    </row>
    <row r="1536">
      <c r="A1536" s="45" t="n"/>
    </row>
    <row r="1537">
      <c r="A1537" s="45" t="n"/>
    </row>
    <row r="1538">
      <c r="A1538" s="45" t="n"/>
    </row>
    <row r="1539">
      <c r="A1539" s="45" t="n"/>
    </row>
    <row r="1540">
      <c r="A1540" s="45" t="n"/>
    </row>
    <row r="1541">
      <c r="A1541" s="45" t="n"/>
    </row>
    <row r="1542">
      <c r="A1542" s="45" t="n"/>
    </row>
    <row r="1543">
      <c r="A1543" s="45" t="n"/>
    </row>
    <row r="1544">
      <c r="A1544" s="45" t="n"/>
    </row>
    <row r="1545">
      <c r="A1545" s="45" t="n"/>
    </row>
    <row r="1546">
      <c r="A1546" s="45" t="n"/>
    </row>
    <row r="1547">
      <c r="A1547" s="45" t="n"/>
    </row>
    <row r="1548">
      <c r="A1548" s="45" t="n"/>
    </row>
    <row r="1549">
      <c r="A1549" s="45" t="n"/>
    </row>
    <row r="1550">
      <c r="A1550" s="45" t="n"/>
    </row>
    <row r="1551">
      <c r="A1551" s="45" t="n"/>
    </row>
    <row r="1552">
      <c r="A1552" s="45" t="n"/>
    </row>
    <row r="1553">
      <c r="A1553" s="45" t="n"/>
    </row>
    <row r="1554">
      <c r="A1554" s="45" t="n"/>
    </row>
    <row r="1555">
      <c r="A1555" s="45" t="n"/>
    </row>
    <row r="1556">
      <c r="A1556" s="45" t="n"/>
    </row>
    <row r="1557">
      <c r="A1557" s="45" t="n"/>
    </row>
    <row r="1558">
      <c r="A1558" s="45" t="n"/>
    </row>
    <row r="1559">
      <c r="A1559" s="45" t="n"/>
    </row>
    <row r="1560">
      <c r="A1560" s="45" t="n"/>
    </row>
    <row r="1561">
      <c r="A1561" s="45" t="n"/>
    </row>
    <row r="1562">
      <c r="A1562" s="45" t="n"/>
    </row>
    <row r="1563">
      <c r="A1563" s="45" t="n"/>
    </row>
    <row r="1564">
      <c r="A1564" s="45" t="n"/>
    </row>
    <row r="1565">
      <c r="A1565" s="45" t="n"/>
    </row>
    <row r="1566">
      <c r="A1566" s="45" t="n"/>
    </row>
    <row r="1567">
      <c r="A1567" s="45" t="n"/>
    </row>
    <row r="1568">
      <c r="A1568" s="45" t="n"/>
    </row>
    <row r="1569">
      <c r="A1569" s="45" t="n"/>
    </row>
    <row r="1570">
      <c r="A1570" s="45" t="n"/>
    </row>
    <row r="1571">
      <c r="A1571" s="45" t="n"/>
    </row>
    <row r="1572">
      <c r="A1572" s="45" t="n"/>
    </row>
    <row r="1573">
      <c r="A1573" s="45" t="n"/>
    </row>
    <row r="1574">
      <c r="A1574" s="45" t="n"/>
    </row>
    <row r="1575">
      <c r="A1575" s="45" t="n"/>
    </row>
    <row r="1576">
      <c r="A1576" s="45" t="n"/>
    </row>
    <row r="1577">
      <c r="A1577" s="45" t="n"/>
    </row>
    <row r="1578">
      <c r="A1578" s="45" t="n"/>
    </row>
    <row r="1579">
      <c r="A1579" s="45" t="n"/>
    </row>
    <row r="1580">
      <c r="A1580" s="45" t="n"/>
    </row>
    <row r="1581">
      <c r="A1581" s="45" t="n"/>
    </row>
    <row r="1582">
      <c r="A1582" s="45" t="n"/>
    </row>
    <row r="1583">
      <c r="A1583" s="45" t="n"/>
    </row>
    <row r="1584">
      <c r="A1584" s="45" t="n"/>
    </row>
    <row r="1585">
      <c r="A1585" s="45" t="n"/>
    </row>
    <row r="1586">
      <c r="A1586" s="45" t="n"/>
    </row>
    <row r="1587">
      <c r="A1587" s="45" t="n"/>
    </row>
    <row r="1588">
      <c r="A1588" s="45" t="n"/>
    </row>
    <row r="1589">
      <c r="A1589" s="45" t="n"/>
    </row>
    <row r="1590">
      <c r="A1590" s="45" t="n"/>
    </row>
    <row r="1591">
      <c r="A1591" s="45" t="n"/>
    </row>
    <row r="1592">
      <c r="A1592" s="45" t="n"/>
    </row>
    <row r="1593">
      <c r="A1593" s="45" t="n"/>
    </row>
    <row r="1594">
      <c r="A1594" s="45" t="n"/>
    </row>
    <row r="1595">
      <c r="A1595" s="45" t="n"/>
    </row>
    <row r="1596">
      <c r="A1596" s="45" t="n"/>
    </row>
    <row r="1597">
      <c r="A1597" s="45" t="n"/>
    </row>
    <row r="1598">
      <c r="A1598" s="45" t="n"/>
    </row>
    <row r="1599">
      <c r="A1599" s="45" t="n"/>
    </row>
    <row r="1600">
      <c r="A1600" s="45" t="n"/>
    </row>
    <row r="1601">
      <c r="A1601" s="45" t="n"/>
    </row>
    <row r="1602">
      <c r="A1602" s="45" t="n"/>
    </row>
    <row r="1603">
      <c r="A1603" s="45" t="n"/>
    </row>
    <row r="1604">
      <c r="A1604" s="45" t="n"/>
    </row>
    <row r="1605">
      <c r="A1605" s="45" t="n"/>
    </row>
    <row r="1606">
      <c r="A1606" s="45" t="n"/>
    </row>
    <row r="1607">
      <c r="A1607" s="45" t="n"/>
    </row>
    <row r="1608">
      <c r="A1608" s="45" t="n"/>
    </row>
    <row r="1609">
      <c r="A1609" s="45" t="n"/>
    </row>
    <row r="1610">
      <c r="A1610" s="45" t="n"/>
    </row>
    <row r="1611">
      <c r="A1611" s="45" t="n"/>
    </row>
    <row r="1612">
      <c r="A1612" s="45" t="n"/>
    </row>
    <row r="1613">
      <c r="A1613" s="45" t="n"/>
    </row>
    <row r="1614">
      <c r="A1614" s="45" t="n"/>
    </row>
    <row r="1615">
      <c r="A1615" s="45" t="n"/>
    </row>
    <row r="1616">
      <c r="A1616" s="45" t="n"/>
    </row>
    <row r="1617">
      <c r="A1617" s="45" t="n"/>
    </row>
    <row r="1618">
      <c r="A1618" s="45" t="n"/>
    </row>
    <row r="1619">
      <c r="A1619" s="45" t="n"/>
    </row>
    <row r="1620">
      <c r="A1620" s="45" t="n"/>
    </row>
    <row r="1621">
      <c r="A1621" s="45" t="n"/>
    </row>
    <row r="1622">
      <c r="A1622" s="45" t="n"/>
    </row>
    <row r="1623">
      <c r="A1623" s="45" t="n"/>
    </row>
    <row r="1624">
      <c r="A1624" s="45" t="n"/>
    </row>
    <row r="1625">
      <c r="A1625" s="45" t="n"/>
    </row>
    <row r="1626">
      <c r="A1626" s="45" t="n"/>
    </row>
    <row r="1627">
      <c r="A1627" s="45" t="n"/>
    </row>
    <row r="1628">
      <c r="A1628" s="45" t="n"/>
    </row>
    <row r="1629">
      <c r="A1629" s="45" t="n"/>
    </row>
    <row r="1630">
      <c r="A1630" s="45" t="n"/>
    </row>
    <row r="1631">
      <c r="A1631" s="45" t="n"/>
    </row>
    <row r="1632">
      <c r="A1632" s="45" t="n"/>
    </row>
    <row r="1633">
      <c r="A1633" s="45" t="n"/>
    </row>
    <row r="1634">
      <c r="A1634" s="45" t="n"/>
    </row>
    <row r="1635">
      <c r="A1635" s="45" t="n"/>
    </row>
    <row r="1636">
      <c r="A1636" s="45" t="n"/>
    </row>
    <row r="1637">
      <c r="A1637" s="45" t="n"/>
    </row>
    <row r="1638">
      <c r="A1638" s="45" t="n"/>
    </row>
    <row r="1639">
      <c r="A1639" s="45" t="n"/>
    </row>
    <row r="1640">
      <c r="A1640" s="45" t="n"/>
    </row>
    <row r="1641">
      <c r="A1641" s="45" t="n"/>
    </row>
    <row r="1642">
      <c r="A1642" s="45" t="n"/>
    </row>
    <row r="1643">
      <c r="A1643" s="45" t="n"/>
    </row>
    <row r="1644">
      <c r="A1644" s="45" t="n"/>
    </row>
    <row r="1645">
      <c r="A1645" s="45" t="n"/>
    </row>
    <row r="1646">
      <c r="A1646" s="45" t="n"/>
    </row>
    <row r="1647">
      <c r="A1647" s="45" t="n"/>
    </row>
    <row r="1648">
      <c r="A1648" s="45" t="n"/>
    </row>
    <row r="1649">
      <c r="A1649" s="45" t="n"/>
    </row>
    <row r="1650">
      <c r="A1650" s="45" t="n"/>
    </row>
    <row r="1651">
      <c r="A1651" s="45" t="n"/>
    </row>
    <row r="1652">
      <c r="A1652" s="45" t="n"/>
    </row>
    <row r="1653">
      <c r="A1653" s="45" t="n"/>
    </row>
    <row r="1654">
      <c r="A1654" s="45" t="n"/>
    </row>
    <row r="1655">
      <c r="A1655" s="45" t="n"/>
    </row>
    <row r="1656">
      <c r="A1656" s="45" t="n"/>
    </row>
    <row r="1657">
      <c r="A1657" s="45" t="n"/>
    </row>
    <row r="1658">
      <c r="A1658" s="45" t="n"/>
    </row>
    <row r="1659">
      <c r="A1659" s="45" t="n"/>
    </row>
    <row r="1660">
      <c r="A1660" s="45" t="n"/>
    </row>
    <row r="1661">
      <c r="A1661" s="45" t="n"/>
    </row>
    <row r="1662">
      <c r="A1662" s="45" t="n"/>
    </row>
    <row r="1663">
      <c r="A1663" s="45" t="n"/>
    </row>
    <row r="1664">
      <c r="A1664" s="45" t="n"/>
    </row>
    <row r="1665">
      <c r="A1665" s="45" t="n"/>
    </row>
    <row r="1666">
      <c r="A1666" s="45" t="n"/>
    </row>
    <row r="1667">
      <c r="A1667" s="45" t="n"/>
    </row>
    <row r="1668">
      <c r="A1668" s="45" t="n"/>
    </row>
    <row r="1669">
      <c r="A1669" s="45" t="n"/>
    </row>
    <row r="1670">
      <c r="A1670" s="45" t="n"/>
    </row>
    <row r="1671">
      <c r="A1671" s="45" t="n"/>
    </row>
    <row r="1672">
      <c r="A1672" s="45" t="n"/>
    </row>
    <row r="1673">
      <c r="A1673" s="45" t="n"/>
    </row>
    <row r="1674">
      <c r="A1674" s="45" t="n"/>
    </row>
    <row r="1675">
      <c r="A1675" s="45" t="n"/>
    </row>
    <row r="1676">
      <c r="A1676" s="45" t="n"/>
    </row>
    <row r="1677">
      <c r="A1677" s="45" t="n"/>
    </row>
    <row r="1678">
      <c r="A1678" s="45" t="n"/>
    </row>
    <row r="1679">
      <c r="A1679" s="45" t="n"/>
    </row>
    <row r="1680">
      <c r="A1680" s="45" t="n"/>
    </row>
    <row r="1681">
      <c r="A1681" s="45" t="n"/>
    </row>
    <row r="1682">
      <c r="A1682" s="45" t="n"/>
    </row>
    <row r="1683">
      <c r="A1683" s="45" t="n"/>
    </row>
    <row r="1684">
      <c r="A1684" s="45" t="n"/>
    </row>
    <row r="1685">
      <c r="A1685" s="45" t="n"/>
    </row>
    <row r="1686">
      <c r="A1686" s="45" t="n"/>
    </row>
    <row r="1687">
      <c r="A1687" s="45" t="n"/>
    </row>
    <row r="1688">
      <c r="A1688" s="45" t="n"/>
    </row>
    <row r="1689">
      <c r="A1689" s="45" t="n"/>
    </row>
    <row r="1690">
      <c r="A1690" s="45" t="n"/>
    </row>
    <row r="1691">
      <c r="A1691" s="45" t="n"/>
    </row>
    <row r="1692">
      <c r="A1692" s="45" t="n"/>
    </row>
    <row r="1693">
      <c r="A1693" s="45" t="n"/>
    </row>
    <row r="1694">
      <c r="A1694" s="45" t="n"/>
    </row>
    <row r="1695">
      <c r="A1695" s="45" t="n"/>
    </row>
    <row r="1696">
      <c r="A1696" s="45" t="n"/>
    </row>
    <row r="1697">
      <c r="A1697" s="45" t="n"/>
    </row>
    <row r="1698">
      <c r="A1698" s="45" t="n"/>
    </row>
    <row r="1699">
      <c r="A1699" s="45" t="n"/>
    </row>
    <row r="1700">
      <c r="A1700" s="45" t="n"/>
    </row>
    <row r="1701">
      <c r="A1701" s="45" t="n"/>
    </row>
    <row r="1702">
      <c r="A1702" s="45" t="n"/>
    </row>
    <row r="1703">
      <c r="A1703" s="45" t="n"/>
    </row>
    <row r="1704">
      <c r="A1704" s="45" t="n"/>
    </row>
    <row r="1705">
      <c r="A1705" s="45" t="n"/>
    </row>
    <row r="1706">
      <c r="A1706" s="45" t="n"/>
    </row>
    <row r="1707">
      <c r="A1707" s="45" t="n"/>
    </row>
    <row r="1708">
      <c r="A1708" s="45" t="n"/>
    </row>
    <row r="1709">
      <c r="A1709" s="45" t="n"/>
    </row>
    <row r="1710">
      <c r="A1710" s="45" t="n"/>
    </row>
    <row r="1711">
      <c r="A1711" s="45" t="n"/>
    </row>
    <row r="1712">
      <c r="A1712" s="45" t="n"/>
    </row>
    <row r="1713">
      <c r="A1713" s="45" t="n"/>
    </row>
    <row r="1714">
      <c r="A1714" s="45" t="n"/>
    </row>
    <row r="1715">
      <c r="A1715" s="45" t="n"/>
    </row>
    <row r="1716">
      <c r="A1716" s="45" t="n"/>
    </row>
    <row r="1717">
      <c r="A1717" s="45" t="n"/>
    </row>
    <row r="1718">
      <c r="A1718" s="45" t="n"/>
    </row>
    <row r="1719">
      <c r="A1719" s="45" t="n"/>
    </row>
    <row r="1720">
      <c r="A1720" s="45" t="n"/>
    </row>
    <row r="1721">
      <c r="A1721" s="45" t="n"/>
    </row>
    <row r="1722">
      <c r="A1722" s="45" t="n"/>
    </row>
    <row r="1723">
      <c r="A1723" s="45" t="n"/>
    </row>
    <row r="1724">
      <c r="A1724" s="45" t="n"/>
    </row>
    <row r="1725">
      <c r="A1725" s="45" t="n"/>
    </row>
    <row r="1726">
      <c r="A1726" s="45" t="n"/>
    </row>
    <row r="1727">
      <c r="A1727" s="45" t="n"/>
    </row>
    <row r="1728">
      <c r="A1728" s="45" t="n"/>
    </row>
    <row r="1729">
      <c r="A1729" s="45" t="n"/>
    </row>
    <row r="1730">
      <c r="A1730" s="45" t="n"/>
    </row>
    <row r="1731">
      <c r="A1731" s="45" t="n"/>
    </row>
    <row r="1732">
      <c r="A1732" s="45" t="n"/>
    </row>
    <row r="1733">
      <c r="A1733" s="45" t="n"/>
    </row>
    <row r="1734">
      <c r="A1734" s="45" t="n"/>
    </row>
    <row r="1735">
      <c r="A1735" s="45" t="n"/>
    </row>
    <row r="1736">
      <c r="A1736" s="45" t="n"/>
    </row>
    <row r="1737">
      <c r="A1737" s="45" t="n"/>
    </row>
    <row r="1738">
      <c r="A1738" s="45" t="n"/>
    </row>
    <row r="1739">
      <c r="A1739" s="45" t="n"/>
    </row>
    <row r="1740">
      <c r="A1740" s="45" t="n"/>
    </row>
    <row r="1741">
      <c r="A1741" s="45" t="n"/>
    </row>
    <row r="1742">
      <c r="A1742" s="45" t="n"/>
    </row>
    <row r="1743">
      <c r="A1743" s="45" t="n"/>
    </row>
    <row r="1744">
      <c r="A1744" s="45" t="n"/>
    </row>
    <row r="1745">
      <c r="A1745" s="45" t="n"/>
    </row>
    <row r="1746">
      <c r="A1746" s="45" t="n"/>
    </row>
    <row r="1747">
      <c r="A1747" s="45" t="n"/>
    </row>
    <row r="1748">
      <c r="A1748" s="45" t="n"/>
    </row>
    <row r="1749">
      <c r="A1749" s="45" t="n"/>
    </row>
    <row r="1750">
      <c r="A1750" s="45" t="n"/>
    </row>
    <row r="1751">
      <c r="A1751" s="45" t="n"/>
    </row>
    <row r="1752">
      <c r="A1752" s="45" t="n"/>
    </row>
    <row r="1753">
      <c r="A1753" s="45" t="n"/>
    </row>
    <row r="1754">
      <c r="A1754" s="45" t="n"/>
    </row>
    <row r="1755">
      <c r="A1755" s="45" t="n"/>
    </row>
    <row r="1756">
      <c r="A1756" s="45" t="n"/>
    </row>
    <row r="1757">
      <c r="A1757" s="45" t="n"/>
    </row>
    <row r="1758">
      <c r="A1758" s="45" t="n"/>
    </row>
    <row r="1759">
      <c r="A1759" s="45" t="n"/>
    </row>
    <row r="1760">
      <c r="A1760" s="45" t="n"/>
    </row>
    <row r="1761">
      <c r="A1761" s="45" t="n"/>
    </row>
    <row r="1762">
      <c r="A1762" s="45" t="n"/>
    </row>
    <row r="1763">
      <c r="A1763" s="45" t="n"/>
    </row>
    <row r="1764">
      <c r="A1764" s="45" t="n"/>
    </row>
    <row r="1765">
      <c r="A1765" s="45" t="n"/>
    </row>
    <row r="1766">
      <c r="A1766" s="45" t="n"/>
    </row>
    <row r="1767">
      <c r="A1767" s="45" t="n"/>
    </row>
    <row r="1768">
      <c r="A1768" s="45" t="n"/>
    </row>
    <row r="1769">
      <c r="A1769" s="45" t="n"/>
    </row>
    <row r="1770">
      <c r="A1770" s="45" t="n"/>
    </row>
    <row r="1771">
      <c r="A1771" s="45" t="n"/>
    </row>
    <row r="1772">
      <c r="A1772" s="45" t="n"/>
    </row>
    <row r="1773">
      <c r="A1773" s="45" t="n"/>
    </row>
    <row r="1774">
      <c r="A1774" s="45" t="n"/>
    </row>
    <row r="1775">
      <c r="A1775" s="45" t="n"/>
    </row>
    <row r="1776">
      <c r="A1776" s="45" t="n"/>
    </row>
    <row r="1777">
      <c r="A1777" s="45" t="n"/>
    </row>
    <row r="1778">
      <c r="A1778" s="45" t="n"/>
    </row>
    <row r="1779">
      <c r="A1779" s="45" t="n"/>
    </row>
    <row r="1780">
      <c r="A1780" s="45" t="n"/>
    </row>
    <row r="1781">
      <c r="A1781" s="45" t="n"/>
    </row>
    <row r="1782">
      <c r="A1782" s="45" t="n"/>
    </row>
    <row r="1783">
      <c r="A1783" s="45" t="n"/>
    </row>
    <row r="1784">
      <c r="A1784" s="45" t="n"/>
    </row>
    <row r="1785">
      <c r="A1785" s="45" t="n"/>
    </row>
    <row r="1786">
      <c r="A1786" s="45" t="n"/>
    </row>
    <row r="1787">
      <c r="A1787" s="45" t="n"/>
    </row>
    <row r="1788">
      <c r="A1788" s="45" t="n"/>
    </row>
    <row r="1789">
      <c r="A1789" s="45" t="n"/>
    </row>
    <row r="1790">
      <c r="A1790" s="45" t="n"/>
    </row>
    <row r="1791">
      <c r="A1791" s="45" t="n"/>
    </row>
    <row r="1792">
      <c r="A1792" s="45" t="n"/>
    </row>
    <row r="1793">
      <c r="A1793" s="45" t="n"/>
    </row>
    <row r="1794">
      <c r="A1794" s="45" t="n"/>
    </row>
    <row r="1795">
      <c r="A1795" s="45" t="n"/>
    </row>
    <row r="1796">
      <c r="A1796" s="45" t="n"/>
    </row>
    <row r="1797">
      <c r="A1797" s="45" t="n"/>
    </row>
    <row r="1798">
      <c r="A1798" s="45" t="n"/>
    </row>
    <row r="1799">
      <c r="A1799" s="45" t="n"/>
    </row>
    <row r="1800">
      <c r="A1800" s="45" t="n"/>
    </row>
    <row r="1801">
      <c r="A1801" s="45" t="n"/>
    </row>
    <row r="1802">
      <c r="A1802" s="45" t="n"/>
    </row>
    <row r="1803">
      <c r="A1803" s="45" t="n"/>
    </row>
    <row r="1804">
      <c r="A1804" s="45" t="n"/>
    </row>
    <row r="1805">
      <c r="A1805" s="45" t="n"/>
    </row>
    <row r="1806">
      <c r="A1806" s="45" t="n"/>
    </row>
    <row r="1807">
      <c r="A1807" s="45" t="n"/>
    </row>
    <row r="1808">
      <c r="A1808" s="45" t="n"/>
    </row>
    <row r="1809">
      <c r="A1809" s="45" t="n"/>
    </row>
    <row r="1810">
      <c r="A1810" s="45" t="n"/>
    </row>
    <row r="1811">
      <c r="A1811" s="45" t="n"/>
    </row>
    <row r="1812">
      <c r="A1812" s="45" t="n"/>
    </row>
    <row r="1813">
      <c r="A1813" s="45" t="n"/>
    </row>
    <row r="1814">
      <c r="A1814" s="45" t="n"/>
    </row>
    <row r="1815">
      <c r="A1815" s="45" t="n"/>
    </row>
    <row r="1816">
      <c r="A1816" s="45" t="n"/>
    </row>
    <row r="1817">
      <c r="A1817" s="45" t="n"/>
    </row>
    <row r="1818">
      <c r="A1818" s="45" t="n"/>
    </row>
    <row r="1819">
      <c r="A1819" s="45" t="n"/>
    </row>
    <row r="1820">
      <c r="A1820" s="45" t="n"/>
    </row>
    <row r="1821">
      <c r="A1821" s="45" t="n"/>
    </row>
    <row r="1822">
      <c r="A1822" s="45" t="n"/>
    </row>
    <row r="1823">
      <c r="A1823" s="45" t="n"/>
    </row>
    <row r="1824">
      <c r="A1824" s="45" t="n"/>
    </row>
    <row r="1825">
      <c r="A1825" s="45" t="n"/>
    </row>
    <row r="1826">
      <c r="A1826" s="45" t="n"/>
    </row>
    <row r="1827">
      <c r="A1827" s="45" t="n"/>
    </row>
    <row r="1828">
      <c r="A1828" s="45" t="n"/>
    </row>
    <row r="1829">
      <c r="A1829" s="45" t="n"/>
    </row>
    <row r="1830">
      <c r="A1830" s="45" t="n"/>
    </row>
    <row r="1831">
      <c r="A1831" s="45" t="n"/>
    </row>
    <row r="1832">
      <c r="A1832" s="45" t="n"/>
    </row>
    <row r="1833">
      <c r="A1833" s="45" t="n"/>
    </row>
    <row r="1834">
      <c r="A1834" s="45" t="n"/>
    </row>
    <row r="1835">
      <c r="A1835" s="45" t="n"/>
    </row>
    <row r="1836">
      <c r="A1836" s="45" t="n"/>
    </row>
    <row r="1837">
      <c r="A1837" s="45" t="n"/>
    </row>
    <row r="1838">
      <c r="A1838" s="45" t="n"/>
    </row>
    <row r="1839">
      <c r="A1839" s="45" t="n"/>
    </row>
    <row r="1840">
      <c r="A1840" s="45" t="n"/>
    </row>
    <row r="1841">
      <c r="A1841" s="45" t="n"/>
    </row>
    <row r="1842">
      <c r="A1842" s="45" t="n"/>
    </row>
    <row r="1843">
      <c r="A1843" s="45" t="n"/>
    </row>
    <row r="1844">
      <c r="A1844" s="45" t="n"/>
    </row>
    <row r="1845">
      <c r="A1845" s="45" t="n"/>
    </row>
    <row r="1846">
      <c r="A1846" s="45" t="n"/>
    </row>
    <row r="1847">
      <c r="A1847" s="45" t="n"/>
    </row>
    <row r="1848">
      <c r="A1848" s="45" t="n"/>
    </row>
    <row r="1849">
      <c r="A1849" s="45" t="n"/>
    </row>
    <row r="1850">
      <c r="A1850" s="45" t="n"/>
    </row>
    <row r="1851">
      <c r="A1851" s="45" t="n"/>
    </row>
    <row r="1852">
      <c r="A1852" s="45" t="n"/>
    </row>
    <row r="1853">
      <c r="A1853" s="45" t="n"/>
    </row>
    <row r="1854">
      <c r="A1854" s="45" t="n"/>
    </row>
    <row r="1855">
      <c r="A1855" s="45" t="n"/>
    </row>
    <row r="1856">
      <c r="A1856" s="45" t="n"/>
    </row>
    <row r="1857">
      <c r="A1857" s="45" t="n"/>
    </row>
    <row r="1858">
      <c r="A1858" s="45" t="n"/>
    </row>
    <row r="1859">
      <c r="A1859" s="45" t="n"/>
    </row>
    <row r="1860">
      <c r="A1860" s="45" t="n"/>
    </row>
    <row r="1861">
      <c r="A1861" s="45" t="n"/>
    </row>
    <row r="1862">
      <c r="A1862" s="45" t="n"/>
    </row>
    <row r="1863">
      <c r="A1863" s="45" t="n"/>
    </row>
    <row r="1864">
      <c r="A1864" s="45" t="n"/>
    </row>
    <row r="1865">
      <c r="A1865" s="45" t="n"/>
    </row>
    <row r="1866">
      <c r="A1866" s="45" t="n"/>
    </row>
    <row r="1867">
      <c r="A1867" s="45" t="n"/>
    </row>
    <row r="1868">
      <c r="A1868" s="45" t="n"/>
    </row>
    <row r="1869">
      <c r="A1869" s="45" t="n"/>
    </row>
    <row r="1870">
      <c r="A1870" s="45" t="n"/>
    </row>
    <row r="1871">
      <c r="A1871" s="45" t="n"/>
    </row>
    <row r="1872">
      <c r="A1872" s="45" t="n"/>
    </row>
    <row r="1873">
      <c r="A1873" s="45" t="n"/>
    </row>
    <row r="1874">
      <c r="A1874" s="45" t="n"/>
    </row>
    <row r="1875">
      <c r="A1875" s="45" t="n"/>
    </row>
    <row r="1876">
      <c r="A1876" s="45" t="n"/>
    </row>
    <row r="1877">
      <c r="A1877" s="45" t="n"/>
    </row>
    <row r="1878">
      <c r="A1878" s="45" t="n"/>
    </row>
    <row r="1879">
      <c r="A1879" s="45" t="n"/>
    </row>
    <row r="1880">
      <c r="A1880" s="45" t="n"/>
    </row>
    <row r="1881">
      <c r="A1881" s="45" t="n"/>
    </row>
    <row r="1882">
      <c r="A1882" s="45" t="n"/>
    </row>
    <row r="1883">
      <c r="A1883" s="45" t="n"/>
    </row>
    <row r="1884">
      <c r="A1884" s="45" t="n"/>
    </row>
    <row r="1885">
      <c r="A1885" s="45" t="n"/>
    </row>
    <row r="1886">
      <c r="A1886" s="45" t="n"/>
    </row>
    <row r="1887">
      <c r="A1887" s="45" t="n"/>
    </row>
    <row r="1888">
      <c r="A1888" s="45" t="n"/>
    </row>
    <row r="1889">
      <c r="A1889" s="45" t="n"/>
    </row>
    <row r="1890">
      <c r="A1890" s="45" t="n"/>
    </row>
    <row r="1891">
      <c r="A1891" s="45" t="n"/>
    </row>
    <row r="1892">
      <c r="A1892" s="45" t="n"/>
    </row>
    <row r="1893">
      <c r="A1893" s="45" t="n"/>
    </row>
    <row r="1894">
      <c r="A1894" s="45" t="n"/>
    </row>
    <row r="1895">
      <c r="A1895" s="45" t="n"/>
    </row>
    <row r="1896">
      <c r="A1896" s="45" t="n"/>
    </row>
    <row r="1897">
      <c r="A1897" s="45" t="n"/>
    </row>
    <row r="1898">
      <c r="A1898" s="45" t="n"/>
    </row>
    <row r="1899">
      <c r="A1899" s="45" t="n"/>
    </row>
    <row r="1900">
      <c r="A1900" s="45" t="n"/>
    </row>
    <row r="1901">
      <c r="A1901" s="45" t="n"/>
    </row>
    <row r="1902">
      <c r="A1902" s="45" t="n"/>
    </row>
    <row r="1903">
      <c r="A1903" s="45" t="n"/>
    </row>
    <row r="1904">
      <c r="A1904" s="45" t="n"/>
    </row>
    <row r="1905">
      <c r="A1905" s="45" t="n"/>
    </row>
    <row r="1906">
      <c r="A1906" s="45" t="n"/>
    </row>
    <row r="1907">
      <c r="A1907" s="45" t="n"/>
    </row>
    <row r="1908">
      <c r="A1908" s="45" t="n"/>
    </row>
    <row r="1909">
      <c r="A1909" s="45" t="n"/>
    </row>
    <row r="1910">
      <c r="A1910" s="45" t="n"/>
    </row>
    <row r="1911">
      <c r="A1911" s="45" t="n"/>
    </row>
    <row r="1912">
      <c r="A1912" s="45" t="n"/>
    </row>
    <row r="1913">
      <c r="A1913" s="45" t="n"/>
    </row>
    <row r="1914">
      <c r="A1914" s="45" t="n"/>
    </row>
    <row r="1915">
      <c r="A1915" s="45" t="n"/>
    </row>
    <row r="1916">
      <c r="A1916" s="45" t="n"/>
    </row>
    <row r="1917">
      <c r="A1917" s="45" t="n"/>
    </row>
    <row r="1918">
      <c r="A1918" s="45" t="n"/>
    </row>
    <row r="1919">
      <c r="A1919" s="45" t="n"/>
    </row>
    <row r="1920">
      <c r="A1920" s="45" t="n"/>
    </row>
    <row r="1921">
      <c r="A1921" s="45" t="n"/>
    </row>
    <row r="1922">
      <c r="A1922" s="45" t="n"/>
    </row>
    <row r="1923">
      <c r="A1923" s="45" t="n"/>
    </row>
    <row r="1924">
      <c r="A1924" s="45" t="n"/>
    </row>
    <row r="1925">
      <c r="A1925" s="45" t="n"/>
    </row>
    <row r="1926">
      <c r="A1926" s="45" t="n"/>
    </row>
    <row r="1927">
      <c r="A1927" s="45" t="n"/>
    </row>
    <row r="1928">
      <c r="A1928" s="45" t="n"/>
    </row>
    <row r="1929">
      <c r="A1929" s="45" t="n"/>
    </row>
    <row r="1930">
      <c r="A1930" s="45" t="n"/>
    </row>
    <row r="1931">
      <c r="A1931" s="45" t="n"/>
    </row>
    <row r="1932">
      <c r="A1932" s="45" t="n"/>
    </row>
    <row r="1933">
      <c r="A1933" s="45" t="n"/>
    </row>
    <row r="1934">
      <c r="A1934" s="45" t="n"/>
    </row>
    <row r="1935">
      <c r="A1935" s="45" t="n"/>
    </row>
    <row r="1936">
      <c r="A1936" s="45" t="n"/>
    </row>
    <row r="1937">
      <c r="A1937" s="45" t="n"/>
    </row>
    <row r="1938">
      <c r="A1938" s="45" t="n"/>
    </row>
    <row r="1939">
      <c r="A1939" s="45" t="n"/>
    </row>
    <row r="1940">
      <c r="A1940" s="45" t="n"/>
    </row>
    <row r="1941">
      <c r="A1941" s="45" t="n"/>
    </row>
    <row r="1942">
      <c r="A1942" s="45" t="n"/>
    </row>
    <row r="1943">
      <c r="A1943" s="45" t="n"/>
    </row>
    <row r="1944">
      <c r="A1944" s="45" t="n"/>
    </row>
    <row r="1945">
      <c r="A1945" s="45" t="n"/>
    </row>
    <row r="1946">
      <c r="A1946" s="45" t="n"/>
    </row>
    <row r="1947">
      <c r="A1947" s="45" t="n"/>
    </row>
    <row r="1948">
      <c r="A1948" s="45" t="n"/>
    </row>
    <row r="1949">
      <c r="A1949" s="45" t="n"/>
    </row>
    <row r="1950">
      <c r="A1950" s="45" t="n"/>
    </row>
    <row r="1951">
      <c r="A1951" s="45" t="n"/>
    </row>
    <row r="1952">
      <c r="A1952" s="45" t="n"/>
    </row>
    <row r="1953">
      <c r="A1953" s="45" t="n"/>
    </row>
    <row r="1954">
      <c r="A1954" s="45" t="n"/>
    </row>
    <row r="1955">
      <c r="A1955" s="45" t="n"/>
    </row>
    <row r="1956">
      <c r="A1956" s="45" t="n"/>
    </row>
    <row r="1957">
      <c r="A1957" s="45" t="n"/>
    </row>
    <row r="1958">
      <c r="A1958" s="45" t="n"/>
    </row>
    <row r="1959">
      <c r="A1959" s="45" t="n"/>
    </row>
    <row r="1960">
      <c r="A1960" s="45" t="n"/>
    </row>
    <row r="1961">
      <c r="A1961" s="45" t="n"/>
    </row>
    <row r="1962">
      <c r="A1962" s="45" t="n"/>
    </row>
    <row r="1963">
      <c r="A1963" s="45" t="n"/>
    </row>
    <row r="1964">
      <c r="A1964" s="45" t="n"/>
    </row>
    <row r="1965">
      <c r="A1965" s="45" t="n"/>
    </row>
    <row r="1966">
      <c r="A1966" s="45" t="n"/>
    </row>
    <row r="1967">
      <c r="A1967" s="45" t="n"/>
    </row>
    <row r="1968">
      <c r="A1968" s="45" t="n"/>
    </row>
    <row r="1969">
      <c r="A1969" s="45" t="n"/>
    </row>
    <row r="1970">
      <c r="A1970" s="45" t="n"/>
    </row>
    <row r="1971">
      <c r="A1971" s="45" t="n"/>
    </row>
    <row r="1972">
      <c r="A1972" s="45" t="n"/>
    </row>
    <row r="1973">
      <c r="A1973" s="45" t="n"/>
    </row>
    <row r="1974">
      <c r="A1974" s="45" t="n"/>
    </row>
    <row r="1975">
      <c r="A1975" s="45" t="n"/>
    </row>
    <row r="1976">
      <c r="A1976" s="45" t="n"/>
    </row>
    <row r="1977">
      <c r="A1977" s="45" t="n"/>
    </row>
    <row r="1978">
      <c r="A1978" s="45" t="n"/>
    </row>
    <row r="1979">
      <c r="A1979" s="45" t="n"/>
    </row>
    <row r="1980">
      <c r="A1980" s="45" t="n"/>
    </row>
    <row r="1981">
      <c r="A1981" s="45" t="n"/>
    </row>
    <row r="1982">
      <c r="A1982" s="45" t="n"/>
    </row>
    <row r="1983">
      <c r="A1983" s="45" t="n"/>
    </row>
    <row r="1984">
      <c r="A1984" s="45" t="n"/>
    </row>
    <row r="1985">
      <c r="A1985" s="45" t="n"/>
    </row>
    <row r="1986">
      <c r="A1986" s="45" t="n"/>
    </row>
    <row r="1987">
      <c r="A1987" s="45" t="n"/>
    </row>
    <row r="1988">
      <c r="A1988" s="45" t="n"/>
    </row>
    <row r="1989">
      <c r="A1989" s="45" t="n"/>
    </row>
    <row r="1990">
      <c r="A1990" s="45" t="n"/>
    </row>
    <row r="1991">
      <c r="A1991" s="45" t="n"/>
    </row>
    <row r="1992">
      <c r="A1992" s="45" t="n"/>
    </row>
    <row r="1993">
      <c r="A1993" s="45" t="n"/>
    </row>
    <row r="1994">
      <c r="A1994" s="45" t="n"/>
    </row>
    <row r="1995">
      <c r="A1995" s="45" t="n"/>
    </row>
    <row r="1996">
      <c r="A1996" s="45" t="n"/>
    </row>
    <row r="1997">
      <c r="A1997" s="45" t="n"/>
    </row>
    <row r="1998">
      <c r="A1998" s="45" t="n"/>
    </row>
    <row r="1999">
      <c r="A1999" s="45" t="n"/>
    </row>
    <row r="2000">
      <c r="A2000" s="45" t="n"/>
    </row>
    <row r="2001">
      <c r="A2001" s="45" t="n"/>
    </row>
    <row r="2002">
      <c r="A2002" s="45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RHEL 계열 9 구성표</dc:title>
  <dcterms:created xmlns:dcterms="http://purl.org/dc/terms/" xmlns:xsi="http://www.w3.org/2001/XMLSchema-instance" xsi:type="dcterms:W3CDTF">2026-10-04T13:15:04Z</dcterms:created>
  <dcterms:modified xmlns:dcterms="http://purl.org/dc/terms/" xmlns:xsi="http://www.w3.org/2001/XMLSchema-instance" xsi:type="dcterms:W3CDTF">2026-10-08T04:33:25Z</dcterms:modified>
</cp:coreProperties>
</file>