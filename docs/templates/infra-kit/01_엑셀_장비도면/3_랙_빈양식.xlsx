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랙" sheetId="1" state="visible" r:id="rId1"/>
    <sheet xmlns:r="http://schemas.openxmlformats.org/officeDocument/2006/relationships" name="사용법" sheetId="2" state="visible" r:id="rId2"/>
  </sheets>
  <definedNames>
    <definedName name="_xlnm.Print_Titles" localSheetId="0">'랙'!$1:$5</definedName>
    <definedName name="_xlnm.Print_Area" localSheetId="0">'랙'!$B$1:$BK$51</definedName>
    <definedName name="_xlnm.Print_Titles" localSheetId="1">'사용법'!$1:$3</definedName>
    <definedName name="_xlnm.Print_Area" localSheetId="1">'사용법'!$B$1:$BK$71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8">
    <font>
      <name val="Calibri"/>
      <family val="2"/>
      <color theme="1"/>
      <sz val="11"/>
      <scheme val="minor"/>
    </font>
    <font>
      <name val="맑은 고딕"/>
      <sz val="11"/>
    </font>
    <font>
      <name val="맑은 고딕"/>
      <b val="1"/>
      <color rgb="00FFFFFF"/>
      <sz val="8"/>
    </font>
    <font>
      <name val="맑은 고딕"/>
      <color rgb="008C99A8"/>
      <sz val="8"/>
    </font>
    <font>
      <name val="맑은 고딕"/>
      <color rgb="00677789"/>
      <sz val="6.5"/>
    </font>
    <font>
      <name val="맑은 고딕"/>
      <b val="1"/>
      <color rgb="001E2A36"/>
      <sz val="7"/>
    </font>
    <font/>
    <font>
      <name val="맑은 고딕"/>
      <color rgb="001E2A36"/>
      <sz val="6"/>
    </font>
    <font>
      <name val="맑은 고딕"/>
      <color rgb="008C99A8"/>
      <sz val="6"/>
    </font>
    <font>
      <name val="맑은 고딕"/>
      <b val="1"/>
      <color rgb="001E2A36"/>
      <sz val="6.5"/>
    </font>
    <font>
      <name val="Consolas"/>
      <color rgb="001E2A36"/>
      <sz val="8.5"/>
    </font>
    <font>
      <name val="맑은 고딕"/>
      <b val="1"/>
      <color rgb="001F3A5F"/>
      <sz val="9"/>
    </font>
    <font>
      <name val="맑은 고딕"/>
      <color rgb="00677789"/>
      <sz val="7"/>
    </font>
    <font>
      <name val="맑은 고딕"/>
      <b val="1"/>
      <color rgb="001E2A36"/>
      <sz val="8"/>
    </font>
    <font>
      <name val="맑은 고딕"/>
      <color rgb="001E2A36"/>
      <sz val="8.5"/>
    </font>
    <font>
      <name val="맑은 고딕"/>
      <b val="1"/>
      <color rgb="001E2A36"/>
      <sz val="8.5"/>
    </font>
    <font>
      <name val="맑은 고딕"/>
      <b val="1"/>
      <color rgb="001E2A36"/>
      <sz val="16"/>
    </font>
    <font>
      <name val="맑은 고딕"/>
      <color rgb="003A4856"/>
      <sz val="11"/>
    </font>
    <font>
      <name val="맑은 고딕"/>
      <color rgb="00677789"/>
      <sz val="8"/>
    </font>
    <font>
      <name val="맑은 고딕"/>
      <color rgb="00677789"/>
      <sz val="7.5"/>
    </font>
    <font>
      <name val="맑은 고딕"/>
      <color rgb="001E2A36"/>
      <sz val="7.5"/>
    </font>
    <font>
      <name val="맑은 고딕"/>
      <b val="1"/>
      <color rgb="001E2A36"/>
      <sz val="7.5"/>
    </font>
    <font>
      <name val="맑은 고딕"/>
      <b val="1"/>
      <color rgb="002F6DB5"/>
      <sz val="8"/>
    </font>
    <font>
      <name val="맑은 고딕"/>
      <color rgb="003A4856"/>
      <sz val="7"/>
    </font>
    <font>
      <name val="맑은 고딕"/>
      <color rgb="003A4856"/>
      <sz val="10"/>
    </font>
    <font>
      <name val="맑은 고딕"/>
      <b val="1"/>
      <color rgb="001F3A5F"/>
      <sz val="9.5"/>
    </font>
    <font>
      <name val="Consolas"/>
      <color rgb="001E2A36"/>
      <sz val="7"/>
    </font>
    <font>
      <name val="맑은 고딕"/>
      <color rgb="001E2A36"/>
      <sz val="8"/>
    </font>
  </fonts>
  <fills count="21">
    <fill>
      <patternFill/>
    </fill>
    <fill>
      <patternFill patternType="gray125"/>
    </fill>
    <fill>
      <patternFill patternType="solid">
        <fgColor rgb="002F6DB5"/>
      </patternFill>
    </fill>
    <fill>
      <patternFill patternType="solid">
        <fgColor rgb="000B7C7C"/>
      </patternFill>
    </fill>
    <fill>
      <patternFill patternType="solid">
        <fgColor rgb="00377F3F"/>
      </patternFill>
    </fill>
    <fill>
      <patternFill patternType="solid">
        <fgColor rgb="00BF5B14"/>
      </patternFill>
    </fill>
    <fill>
      <patternFill patternType="solid">
        <fgColor rgb="007A55B3"/>
      </patternFill>
    </fill>
    <fill>
      <patternFill patternType="solid">
        <fgColor rgb="005E6B78"/>
      </patternFill>
    </fill>
    <fill>
      <patternFill patternType="solid">
        <fgColor rgb="00C73E3A"/>
      </patternFill>
    </fill>
    <fill>
      <patternFill patternType="solid">
        <fgColor rgb="00FFFFFF"/>
      </patternFill>
    </fill>
    <fill>
      <patternFill patternType="solid">
        <fgColor rgb="00E4E9EF"/>
      </patternFill>
    </fill>
    <fill>
      <patternFill patternType="solid">
        <fgColor rgb="00C3CCD6"/>
      </patternFill>
    </fill>
    <fill>
      <patternFill patternType="solid">
        <fgColor rgb="001F3A5F"/>
      </patternFill>
    </fill>
    <fill>
      <patternFill patternType="solid">
        <fgColor rgb="00FFF1BF"/>
      </patternFill>
    </fill>
    <fill>
      <patternFill patternType="solid">
        <fgColor rgb="00EEF2F6"/>
      </patternFill>
    </fill>
    <fill>
      <patternFill patternType="solid">
        <fgColor rgb="00DCE8F6"/>
      </patternFill>
    </fill>
    <fill>
      <patternFill patternType="solid">
        <fgColor rgb="00D5EEEE"/>
      </patternFill>
    </fill>
    <fill>
      <patternFill patternType="solid">
        <fgColor rgb="00FBE4D3"/>
      </patternFill>
    </fill>
    <fill>
      <patternFill patternType="solid">
        <fgColor rgb="00F8DCDA"/>
      </patternFill>
    </fill>
    <fill>
      <patternFill patternType="solid">
        <fgColor rgb="00EFE3F5"/>
      </patternFill>
    </fill>
    <fill>
      <patternFill patternType="solid">
        <fgColor rgb="00ECE7DC"/>
      </patternFill>
    </fill>
  </fills>
  <borders count="16">
    <border>
      <left/>
      <right/>
      <top/>
      <bottom/>
      <diagonal/>
    </border>
    <border/>
    <border>
      <bottom style="thin">
        <color rgb="00D5DCE4"/>
      </bottom>
    </border>
    <border>
      <top style="thin">
        <color rgb="008C99A8"/>
      </top>
      <bottom style="thin">
        <color rgb="008C99A8"/>
      </bottom>
    </border>
    <border>
      <left/>
      <right/>
      <top/>
      <bottom style="medium">
        <color rgb="001F3A5F"/>
      </bottom>
    </border>
    <border>
      <left/>
      <right/>
      <top/>
      <bottom style="dotted">
        <color rgb="00B4BFCB"/>
      </bottom>
    </border>
    <border>
      <left style="medium">
        <color rgb="003A4856"/>
      </left>
      <right/>
      <top/>
      <bottom/>
    </border>
    <border>
      <left/>
      <right style="medium">
        <color rgb="003A4856"/>
      </right>
      <top/>
      <bottom/>
    </border>
    <border>
      <top style="thin">
        <color rgb="008C99A8"/>
      </top>
      <bottom style="medium">
        <color rgb="003A4856"/>
      </bottom>
    </border>
    <border>
      <left/>
      <right/>
      <top style="medium">
        <color rgb="003A4856"/>
      </top>
      <bottom/>
    </border>
    <border>
      <left style="thin">
        <color rgb="003A4856"/>
      </left>
      <right style="thin">
        <color rgb="003A4856"/>
      </right>
      <top style="thin">
        <color rgb="003A4856"/>
      </top>
      <bottom style="thin">
        <color rgb="003A4856"/>
      </bottom>
    </border>
    <border>
      <left/>
      <right/>
      <top style="thin">
        <color rgb="008C99A8"/>
      </top>
      <bottom/>
      <diagonal/>
    </border>
    <border>
      <left/>
      <right/>
      <top style="thin">
        <color rgb="008C99A8"/>
      </top>
      <bottom style="thin">
        <color rgb="008C99A8"/>
      </bottom>
      <diagonal/>
    </border>
    <border>
      <left/>
      <right/>
      <top/>
      <bottom style="thin">
        <color rgb="00D5DCE4"/>
      </bottom>
      <diagonal/>
    </border>
    <border>
      <left/>
      <right/>
      <top/>
      <bottom style="thin">
        <color rgb="00B4BFCB"/>
      </bottom>
    </border>
    <border>
      <left style="medium">
        <color rgb="00E4E9EF"/>
      </left>
      <right style="medium">
        <color rgb="00E4E9EF"/>
      </right>
      <top style="medium">
        <color rgb="00E4E9EF"/>
      </top>
      <bottom style="medium">
        <color rgb="00E4E9EF"/>
      </bottom>
    </border>
  </borders>
  <cellStyleXfs count="22">
    <xf numFmtId="0" fontId="1" fillId="0" borderId="0"/>
    <xf numFmtId="0" fontId="2" fillId="2" borderId="1" applyAlignment="1" applyBorder="0">
      <alignment horizontal="center" vertical="center"/>
    </xf>
    <xf numFmtId="0" fontId="2" fillId="3" borderId="1" applyAlignment="1" applyBorder="0">
      <alignment horizontal="center" vertical="center"/>
    </xf>
    <xf numFmtId="0" fontId="2" fillId="4" borderId="1" applyAlignment="1" applyBorder="0">
      <alignment horizontal="center" vertical="center"/>
    </xf>
    <xf numFmtId="0" fontId="2" fillId="5" borderId="1" applyAlignment="1" applyBorder="0">
      <alignment horizontal="center" vertical="center"/>
    </xf>
    <xf numFmtId="0" fontId="2" fillId="6" borderId="1" applyAlignment="1" applyBorder="0">
      <alignment horizontal="center" vertical="center"/>
    </xf>
    <xf numFmtId="0" fontId="2" fillId="7" borderId="1" applyAlignment="1" applyBorder="0">
      <alignment horizontal="center" vertical="center"/>
    </xf>
    <xf numFmtId="0" fontId="2" fillId="8" borderId="1" applyAlignment="1" applyBorder="0">
      <alignment horizontal="center" vertical="center"/>
    </xf>
    <xf numFmtId="0" fontId="3" fillId="9" borderId="1" applyAlignment="1" applyBorder="0">
      <alignment horizontal="center" vertical="center"/>
    </xf>
    <xf numFmtId="0" fontId="4" fillId="0" borderId="1" applyAlignment="1" applyBorder="0">
      <alignment horizontal="center" vertical="center"/>
    </xf>
    <xf numFmtId="0" fontId="5" fillId="0" borderId="1" applyAlignment="1" applyBorder="0">
      <alignment horizontal="left" vertical="center"/>
    </xf>
    <xf numFmtId="0" fontId="6" fillId="10" borderId="1" applyBorder="0"/>
    <xf numFmtId="0" fontId="7" fillId="11" borderId="1" applyAlignment="1" applyBorder="0">
      <alignment horizontal="center" vertical="center" wrapText="1"/>
    </xf>
    <xf numFmtId="0" fontId="8" fillId="9" borderId="1" applyAlignment="1" applyBorder="0">
      <alignment horizontal="center" vertical="center" wrapText="1"/>
    </xf>
    <xf numFmtId="0" fontId="9" fillId="0" borderId="1" applyAlignment="1" applyBorder="0" applyFill="0">
      <alignment horizontal="left" vertical="center"/>
    </xf>
    <xf numFmtId="0" fontId="2" fillId="12" borderId="1" applyAlignment="1" applyBorder="0">
      <alignment horizontal="center" vertical="center"/>
    </xf>
    <xf numFmtId="0" fontId="10" fillId="13" borderId="2" applyAlignment="1">
      <alignment horizontal="left" vertical="center"/>
    </xf>
    <xf numFmtId="0" fontId="11" fillId="0" borderId="1" applyAlignment="1" applyBorder="0">
      <alignment horizontal="left" vertical="center"/>
    </xf>
    <xf numFmtId="0" fontId="12" fillId="0" borderId="1" applyAlignment="1" applyBorder="0">
      <alignment horizontal="left" vertical="center"/>
    </xf>
    <xf numFmtId="0" fontId="13" fillId="14" borderId="3" applyAlignment="1">
      <alignment horizontal="left" vertical="center"/>
    </xf>
    <xf numFmtId="0" fontId="14" fillId="0" borderId="2" applyAlignment="1">
      <alignment horizontal="left" vertical="center"/>
    </xf>
    <xf numFmtId="0" fontId="15" fillId="0" borderId="2" applyAlignment="1">
      <alignment horizontal="center" vertical="center"/>
    </xf>
  </cellStyleXfs>
  <cellXfs count="44">
    <xf numFmtId="0" fontId="0" fillId="0" borderId="0" pivotButton="0" quotePrefix="0" xfId="0"/>
    <xf numFmtId="0" fontId="16" fillId="0" borderId="4" applyAlignment="1" pivotButton="0" quotePrefix="0" xfId="0">
      <alignment horizontal="left" vertical="center"/>
    </xf>
    <xf numFmtId="0" fontId="0" fillId="0" borderId="4" pivotButton="0" quotePrefix="0" xfId="0"/>
    <xf numFmtId="0" fontId="17" fillId="0" borderId="4" applyAlignment="1" pivotButton="0" quotePrefix="0" xfId="0">
      <alignment horizontal="left" vertical="center"/>
    </xf>
    <xf numFmtId="0" fontId="18" fillId="0" borderId="4" applyAlignment="1" pivotButton="0" quotePrefix="0" xfId="0">
      <alignment horizontal="right" vertical="center"/>
    </xf>
    <xf numFmtId="0" fontId="19" fillId="0" borderId="0" applyAlignment="1" pivotButton="0" quotePrefix="0" xfId="0">
      <alignment horizontal="left" vertical="center"/>
    </xf>
    <xf numFmtId="0" fontId="15" fillId="0" borderId="0" applyAlignment="1" pivotButton="0" quotePrefix="0" xfId="0">
      <alignment horizontal="left" vertical="center"/>
    </xf>
    <xf numFmtId="0" fontId="11" fillId="0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left" vertical="center"/>
    </xf>
    <xf numFmtId="0" fontId="13" fillId="14" borderId="8" applyAlignment="1" pivotButton="0" quotePrefix="0" xfId="19">
      <alignment horizontal="center" vertical="center"/>
    </xf>
    <xf numFmtId="0" fontId="13" fillId="14" borderId="8" applyAlignment="1" pivotButton="0" quotePrefix="0" xfId="19">
      <alignment horizontal="left" vertical="center"/>
    </xf>
    <xf numFmtId="0" fontId="13" fillId="14" borderId="3" applyAlignment="1" pivotButton="0" quotePrefix="0" xfId="19">
      <alignment horizontal="center" vertical="center"/>
    </xf>
    <xf numFmtId="0" fontId="0" fillId="0" borderId="12" pivotButton="0" quotePrefix="0" xfId="0"/>
    <xf numFmtId="0" fontId="13" fillId="14" borderId="3" applyAlignment="1" pivotButton="0" quotePrefix="0" xfId="19">
      <alignment horizontal="left" vertical="center"/>
    </xf>
    <xf numFmtId="0" fontId="4" fillId="14" borderId="6" applyAlignment="1" pivotButton="0" quotePrefix="0" xfId="0">
      <alignment horizontal="center" vertical="center"/>
    </xf>
    <xf numFmtId="0" fontId="5" fillId="0" borderId="5" applyAlignment="1" pivotButton="0" quotePrefix="0" xfId="0">
      <alignment horizontal="left" vertical="center" indent="1"/>
    </xf>
    <xf numFmtId="0" fontId="0" fillId="0" borderId="5" pivotButton="0" quotePrefix="0" xfId="0"/>
    <xf numFmtId="0" fontId="0" fillId="14" borderId="7" pivotButton="0" quotePrefix="0" xfId="0"/>
    <xf numFmtId="0" fontId="0" fillId="14" borderId="6" pivotButton="0" quotePrefix="0" xfId="0"/>
    <xf numFmtId="0" fontId="4" fillId="14" borderId="7" applyAlignment="1" pivotButton="0" quotePrefix="0" xfId="0">
      <alignment horizontal="center" vertical="center"/>
    </xf>
    <xf numFmtId="0" fontId="20" fillId="0" borderId="2" applyAlignment="1" pivotButton="0" quotePrefix="0" xfId="20">
      <alignment horizontal="center" vertical="center"/>
    </xf>
    <xf numFmtId="0" fontId="0" fillId="0" borderId="13" pivotButton="0" quotePrefix="0" xfId="0"/>
    <xf numFmtId="0" fontId="20" fillId="0" borderId="2" applyAlignment="1" pivotButton="0" quotePrefix="0" xfId="20">
      <alignment horizontal="left" vertical="center"/>
    </xf>
    <xf numFmtId="0" fontId="21" fillId="0" borderId="2" applyAlignment="1" pivotButton="0" quotePrefix="0" xfId="20">
      <alignment horizontal="left" vertical="center"/>
    </xf>
    <xf numFmtId="0" fontId="22" fillId="0" borderId="2" applyAlignment="1" pivotButton="0" quotePrefix="0" xfId="20">
      <alignment horizontal="center" vertical="center"/>
    </xf>
    <xf numFmtId="0" fontId="0" fillId="0" borderId="9" pivotButton="0" quotePrefix="0" xfId="0"/>
    <xf numFmtId="0" fontId="15" fillId="0" borderId="0" pivotButton="0" quotePrefix="0" xfId="0"/>
    <xf numFmtId="0" fontId="0" fillId="15" borderId="10" pivotButton="0" quotePrefix="0" xfId="0"/>
    <xf numFmtId="0" fontId="23" fillId="0" borderId="0" applyAlignment="1" pivotButton="0" quotePrefix="0" xfId="0">
      <alignment horizontal="left" vertical="center"/>
    </xf>
    <xf numFmtId="0" fontId="0" fillId="16" borderId="10" pivotButton="0" quotePrefix="0" xfId="0"/>
    <xf numFmtId="0" fontId="0" fillId="17" borderId="10" pivotButton="0" quotePrefix="0" xfId="0"/>
    <xf numFmtId="0" fontId="0" fillId="18" borderId="10" pivotButton="0" quotePrefix="0" xfId="0"/>
    <xf numFmtId="0" fontId="0" fillId="19" borderId="10" pivotButton="0" quotePrefix="0" xfId="0"/>
    <xf numFmtId="0" fontId="0" fillId="20" borderId="10" pivotButton="0" quotePrefix="0" xfId="0"/>
    <xf numFmtId="0" fontId="0" fillId="10" borderId="10" pivotButton="0" quotePrefix="0" xfId="0"/>
    <xf numFmtId="0" fontId="24" fillId="0" borderId="4" applyAlignment="1" pivotButton="0" quotePrefix="0" xfId="0">
      <alignment horizontal="left" vertical="center"/>
    </xf>
    <xf numFmtId="0" fontId="2" fillId="12" borderId="1" applyAlignment="1" pivotButton="0" quotePrefix="0" xfId="15">
      <alignment horizontal="center" vertical="center"/>
    </xf>
    <xf numFmtId="0" fontId="25" fillId="0" borderId="14" applyAlignment="1" pivotButton="0" quotePrefix="0" xfId="0">
      <alignment horizontal="left" vertical="center"/>
    </xf>
    <xf numFmtId="0" fontId="0" fillId="0" borderId="14" pivotButton="0" quotePrefix="0" xfId="0"/>
    <xf numFmtId="0" fontId="0" fillId="0" borderId="0" applyAlignment="1" pivotButton="0" quotePrefix="0" xfId="0">
      <alignment horizontal="left" vertical="center"/>
    </xf>
    <xf numFmtId="0" fontId="2" fillId="2" borderId="15" applyAlignment="1" pivotButton="0" quotePrefix="0" xfId="1">
      <alignment horizontal="center" vertical="center"/>
    </xf>
    <xf numFmtId="0" fontId="4" fillId="0" borderId="0" applyAlignment="1" pivotButton="0" quotePrefix="0" xfId="0">
      <alignment horizontal="left" vertical="center"/>
    </xf>
    <xf numFmtId="0" fontId="26" fillId="13" borderId="2" applyAlignment="1" pivotButton="0" quotePrefix="0" xfId="16">
      <alignment horizontal="left" vertical="center"/>
    </xf>
    <xf numFmtId="0" fontId="27" fillId="0" borderId="0" applyAlignment="1" pivotButton="0" quotePrefix="0" xfId="0">
      <alignment horizontal="left" vertical="center"/>
    </xf>
  </cellXfs>
  <cellStyles count="22">
    <cellStyle name="Normal" xfId="0" builtinId="0" hidden="0"/>
    <cellStyle name="포트 서비스" xfId="1" hidden="0"/>
    <cellStyle name="포트 관리" xfId="2" hidden="0"/>
    <cellStyle name="포트 백업" xfId="3" hidden="0"/>
    <cellStyle name="포트 스토리지" xfId="4" hidden="0"/>
    <cellStyle name="포트 인터커넥트" xfId="5" hidden="0"/>
    <cellStyle name="포트 콘솔" xfId="6" hidden="0"/>
    <cellStyle name="포트 전원" xfId="7" hidden="0"/>
    <cellStyle name="포트 미연결" xfId="8" hidden="0"/>
    <cellStyle name="포트명" xfId="9" hidden="0"/>
    <cellStyle name="모듈 제목" xfId="10" hidden="0"/>
    <cellStyle name="모듈 채움" xfId="11" hidden="0"/>
    <cellStyle name="디스크 장착" xfId="12" hidden="0"/>
    <cellStyle name="디스크 빈칸" xfId="13" hidden="0"/>
    <cellStyle name="RAID 표시" xfId="14" hidden="0"/>
    <cellStyle name="번호 배지" xfId="15" hidden="0"/>
    <cellStyle name="케이블 라벨" xfId="16" hidden="0"/>
    <cellStyle name="구역 제목" xfId="17" hidden="0"/>
    <cellStyle name="메모" xfId="18" hidden="0"/>
    <cellStyle name="표 머리글" xfId="19" hidden="0"/>
    <cellStyle name="표 본문" xfId="20" hidden="0"/>
    <cellStyle name="표 번호" xfId="21" hidden="0"/>
  </cellStyles>
  <dxfs count="15">
    <dxf>
      <font>
        <b val="1"/>
        <color rgb="009B1C17"/>
      </font>
      <fill>
        <patternFill patternType="solid">
          <fgColor rgb="00F8D3D0"/>
          <bgColor rgb="00F8D3D0"/>
        </patternFill>
      </fill>
    </dxf>
    <dxf>
      <fill>
        <patternFill patternType="solid">
          <fgColor rgb="00DCE8F6"/>
          <bgColor rgb="00DCE8F6"/>
        </patternFill>
      </fill>
      <border>
        <top style="thin">
          <color rgb="003A4856"/>
        </top>
      </border>
    </dxf>
    <dxf>
      <fill>
        <patternFill patternType="solid">
          <fgColor rgb="00D5EEEE"/>
          <bgColor rgb="00D5EEEE"/>
        </patternFill>
      </fill>
      <border>
        <top style="thin">
          <color rgb="003A4856"/>
        </top>
      </border>
    </dxf>
    <dxf>
      <fill>
        <patternFill patternType="solid">
          <fgColor rgb="00FBE4D3"/>
          <bgColor rgb="00FBE4D3"/>
        </patternFill>
      </fill>
      <border>
        <top style="thin">
          <color rgb="003A4856"/>
        </top>
      </border>
    </dxf>
    <dxf>
      <fill>
        <patternFill patternType="solid">
          <fgColor rgb="00F8DCDA"/>
          <bgColor rgb="00F8DCDA"/>
        </patternFill>
      </fill>
      <border>
        <top style="thin">
          <color rgb="003A4856"/>
        </top>
      </border>
    </dxf>
    <dxf>
      <fill>
        <patternFill patternType="solid">
          <fgColor rgb="00EFE3F5"/>
          <bgColor rgb="00EFE3F5"/>
        </patternFill>
      </fill>
      <border>
        <top style="thin">
          <color rgb="003A4856"/>
        </top>
      </border>
    </dxf>
    <dxf>
      <fill>
        <patternFill patternType="solid">
          <fgColor rgb="00ECE7DC"/>
          <bgColor rgb="00ECE7DC"/>
        </patternFill>
      </fill>
      <border>
        <top style="thin">
          <color rgb="003A4856"/>
        </top>
      </border>
    </dxf>
    <dxf>
      <fill>
        <patternFill patternType="solid">
          <fgColor rgb="00E4E9EF"/>
          <bgColor rgb="00E4E9EF"/>
        </patternFill>
      </fill>
      <border>
        <top style="thin">
          <color rgb="003A4856"/>
        </top>
      </border>
    </dxf>
    <dxf>
      <fill>
        <patternFill patternType="solid">
          <fgColor rgb="00DCE8F6"/>
          <bgColor rgb="00DCE8F6"/>
        </patternFill>
      </fill>
    </dxf>
    <dxf>
      <fill>
        <patternFill patternType="solid">
          <fgColor rgb="00D5EEEE"/>
          <bgColor rgb="00D5EEEE"/>
        </patternFill>
      </fill>
    </dxf>
    <dxf>
      <fill>
        <patternFill patternType="solid">
          <fgColor rgb="00FBE4D3"/>
          <bgColor rgb="00FBE4D3"/>
        </patternFill>
      </fill>
    </dxf>
    <dxf>
      <fill>
        <patternFill patternType="solid">
          <fgColor rgb="00F8DCDA"/>
          <bgColor rgb="00F8DCDA"/>
        </patternFill>
      </fill>
    </dxf>
    <dxf>
      <fill>
        <patternFill patternType="solid">
          <fgColor rgb="00EFE3F5"/>
          <bgColor rgb="00EFE3F5"/>
        </patternFill>
      </fill>
    </dxf>
    <dxf>
      <fill>
        <patternFill patternType="solid">
          <fgColor rgb="00ECE7DC"/>
          <bgColor rgb="00ECE7DC"/>
        </patternFill>
      </fill>
    </dxf>
    <dxf>
      <fill>
        <patternFill patternType="solid">
          <fgColor rgb="00E4E9EF"/>
          <bgColor rgb="00E4E9EF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A5F"/>
    <outlinePr summaryBelow="1" summaryRight="1"/>
    <pageSetUpPr fitToPage="1"/>
  </sheetPr>
  <dimension ref="B1:BQ51"/>
  <sheetViews>
    <sheetView showGridLines="0" zoomScale="100" workbookViewId="0">
      <selection activeCell="A1" sqref="A1"/>
    </sheetView>
  </sheetViews>
  <sheetFormatPr baseColWidth="2" defaultColWidth="2" defaultRowHeight="12" customHeight="1"/>
  <cols>
    <col width="2" customWidth="1" min="1" max="1"/>
    <col width="2" customWidth="1" min="2" max="2"/>
    <col width="2" customWidth="1" min="3" max="3"/>
    <col width="2" customWidth="1" min="4" max="4"/>
    <col width="2" customWidth="1" min="5" max="5"/>
    <col width="2" customWidth="1" min="6" max="6"/>
    <col width="2" customWidth="1" min="7" max="7"/>
    <col width="2" customWidth="1" min="8" max="8"/>
    <col width="2" customWidth="1" min="9" max="9"/>
    <col width="2" customWidth="1" min="10" max="10"/>
    <col width="2" customWidth="1" min="11" max="11"/>
    <col width="2" customWidth="1" min="12" max="12"/>
    <col width="2" customWidth="1" min="13" max="13"/>
    <col width="2" customWidth="1" min="14" max="14"/>
    <col width="2" customWidth="1" min="15" max="15"/>
    <col width="2" customWidth="1" min="16" max="16"/>
    <col width="2" customWidth="1" min="17" max="17"/>
    <col width="2" customWidth="1" min="18" max="18"/>
    <col width="2" customWidth="1" min="19" max="19"/>
    <col width="2" customWidth="1" min="20" max="20"/>
    <col width="2" customWidth="1" min="21" max="21"/>
    <col width="2" customWidth="1" min="22" max="22"/>
    <col width="2" customWidth="1" min="23" max="23"/>
    <col width="2" customWidth="1" min="24" max="24"/>
    <col width="2" customWidth="1" min="25" max="25"/>
    <col width="2" customWidth="1" min="26" max="26"/>
    <col width="2" customWidth="1" min="27" max="27"/>
    <col width="2" customWidth="1" min="28" max="28"/>
    <col width="2" customWidth="1" min="29" max="29"/>
    <col width="2" customWidth="1" min="30" max="30"/>
    <col width="2" customWidth="1" min="31" max="31"/>
    <col width="2" customWidth="1" min="32" max="32"/>
    <col width="2" customWidth="1" min="33" max="33"/>
    <col width="2" customWidth="1" min="34" max="34"/>
    <col width="2" customWidth="1" min="35" max="35"/>
    <col width="2" customWidth="1" min="36" max="36"/>
    <col width="2" customWidth="1" min="37" max="37"/>
    <col width="2" customWidth="1" min="38" max="38"/>
    <col width="2" customWidth="1" min="39" max="39"/>
    <col width="2" customWidth="1" min="40" max="40"/>
    <col width="2" customWidth="1" min="41" max="41"/>
    <col width="2" customWidth="1" min="42" max="42"/>
    <col width="2" customWidth="1" min="43" max="43"/>
    <col width="2" customWidth="1" min="44" max="44"/>
    <col width="2" customWidth="1" min="45" max="45"/>
    <col width="2" customWidth="1" min="46" max="46"/>
    <col width="2" customWidth="1" min="47" max="47"/>
    <col width="2" customWidth="1" min="48" max="48"/>
    <col width="2" customWidth="1" min="49" max="49"/>
    <col width="2" customWidth="1" min="50" max="50"/>
    <col width="2" customWidth="1" min="51" max="51"/>
    <col width="2" customWidth="1" min="52" max="52"/>
    <col width="2" customWidth="1" min="53" max="53"/>
    <col width="2" customWidth="1" min="54" max="54"/>
    <col width="2" customWidth="1" min="55" max="55"/>
    <col width="2" customWidth="1" min="56" max="56"/>
    <col width="2" customWidth="1" min="57" max="57"/>
    <col width="2" customWidth="1" min="58" max="58"/>
    <col width="2" customWidth="1" min="59" max="59"/>
    <col width="2" customWidth="1" min="60" max="60"/>
    <col width="2" customWidth="1" min="61" max="61"/>
    <col width="2" customWidth="1" min="62" max="62"/>
    <col width="2" customWidth="1" min="63" max="63"/>
    <col width="2" customWidth="1" min="64" max="64"/>
    <col hidden="1" width="2" customWidth="1" min="65" max="65"/>
    <col hidden="1" width="2" customWidth="1" min="66" max="66"/>
    <col hidden="1" width="2" customWidth="1" min="67" max="67"/>
    <col hidden="1" width="2" customWidth="1" min="68" max="68"/>
    <col hidden="1" width="2" customWidth="1" min="69" max="69"/>
    <col width="2" customWidth="1" min="70" max="70"/>
  </cols>
  <sheetData>
    <row r="1" ht="24" customHeight="1">
      <c r="B1" s="1" t="inlineStr">
        <is>
          <t>DC?-R??</t>
        </is>
      </c>
      <c r="C1" s="2" t="n"/>
      <c r="D1" s="2" t="n"/>
      <c r="E1" s="2" t="n"/>
      <c r="F1" s="2" t="n"/>
      <c r="G1" s="2" t="n"/>
      <c r="H1" s="2" t="n"/>
      <c r="I1" s="3" t="inlineStr">
        <is>
          <t>랙 실장도 · 장비 목록</t>
        </is>
      </c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4" t="inlineStr">
        <is>
          <t>목록을 입력하면 실장도가 자동으로 그려집니다</t>
        </is>
      </c>
    </row>
    <row r="2" ht="16" customHeight="1">
      <c r="B2" s="5" t="inlineStr">
        <is>
          <t>설치 위치</t>
        </is>
      </c>
      <c r="F2" s="6" t="inlineStr"/>
      <c r="P2" s="5" t="inlineStr">
        <is>
          <t>규격</t>
        </is>
      </c>
      <c r="R2" s="6" t="inlineStr">
        <is>
          <t>42U</t>
        </is>
      </c>
      <c r="AB2" s="5" t="inlineStr">
        <is>
          <t>전원</t>
        </is>
      </c>
      <c r="AD2" s="6" t="inlineStr"/>
      <c r="AQ2" s="5" t="inlineStr">
        <is>
          <t>관리 담당</t>
        </is>
      </c>
      <c r="AU2" s="6" t="inlineStr"/>
      <c r="BC2" s="5" t="inlineStr">
        <is>
          <t>작성</t>
        </is>
      </c>
      <c r="BE2" s="6" t="inlineStr"/>
    </row>
    <row r="3" ht="5" customHeight="1"/>
    <row r="4" ht="14" customHeight="1">
      <c r="B4" s="7" t="inlineStr">
        <is>
          <t>전면</t>
        </is>
      </c>
      <c r="E4" s="8" t="inlineStr">
        <is>
          <t>앞에서 본 모습</t>
        </is>
      </c>
      <c r="R4" s="7" t="inlineStr">
        <is>
          <t>후면</t>
        </is>
      </c>
      <c r="U4" s="8" t="inlineStr">
        <is>
          <t>뒤에서 본 모습 (좌우 반대)</t>
        </is>
      </c>
      <c r="AH4" s="7" t="inlineStr">
        <is>
          <t>장비 목록</t>
        </is>
      </c>
      <c r="AM4" s="8" t="inlineStr">
        <is>
          <t>← 여기에 입력 (U = 장비 맨 아래 U 번호)</t>
        </is>
      </c>
      <c r="BM4" s="8" t="inlineStr">
        <is>
          <t>보조 계산 열 (숨김) — 지우지 마세요</t>
        </is>
      </c>
    </row>
    <row r="5" ht="14" customHeight="1">
      <c r="B5" s="9" t="inlineStr">
        <is>
          <t>U</t>
        </is>
      </c>
      <c r="C5" s="10" t="inlineStr">
        <is>
          <t>장비 (맨 위 U에 이름 표시)</t>
        </is>
      </c>
      <c r="D5" s="10" t="n"/>
      <c r="E5" s="10" t="n"/>
      <c r="F5" s="10" t="n"/>
      <c r="G5" s="10" t="n"/>
      <c r="H5" s="10" t="n"/>
      <c r="I5" s="10" t="n"/>
      <c r="J5" s="10" t="n"/>
      <c r="K5" s="10" t="n"/>
      <c r="L5" s="10" t="n"/>
      <c r="M5" s="10" t="n"/>
      <c r="N5" s="10" t="n"/>
      <c r="O5" s="10" t="n"/>
      <c r="P5" s="10" t="n"/>
      <c r="R5" s="10" t="n"/>
      <c r="S5" s="10" t="inlineStr">
        <is>
          <t>장비</t>
        </is>
      </c>
      <c r="T5" s="10" t="n"/>
      <c r="U5" s="10" t="n"/>
      <c r="V5" s="10" t="n"/>
      <c r="W5" s="10" t="n"/>
      <c r="X5" s="10" t="n"/>
      <c r="Y5" s="10" t="n"/>
      <c r="Z5" s="10" t="n"/>
      <c r="AA5" s="10" t="n"/>
      <c r="AB5" s="10" t="n"/>
      <c r="AC5" s="10" t="n"/>
      <c r="AD5" s="10" t="n"/>
      <c r="AE5" s="10" t="n"/>
      <c r="AF5" s="9" t="inlineStr">
        <is>
          <t>U</t>
        </is>
      </c>
      <c r="AH5" s="11" t="inlineStr">
        <is>
          <t>U</t>
        </is>
      </c>
      <c r="AI5" s="12" t="n"/>
      <c r="AJ5" s="11" t="inlineStr">
        <is>
          <t>높이</t>
        </is>
      </c>
      <c r="AK5" s="12" t="n"/>
      <c r="AL5" s="13" t="inlineStr">
        <is>
          <t>면</t>
        </is>
      </c>
      <c r="AM5" s="12" t="n"/>
      <c r="AN5" s="13" t="inlineStr">
        <is>
          <t>장비명</t>
        </is>
      </c>
      <c r="AO5" s="12" t="n"/>
      <c r="AP5" s="12" t="n"/>
      <c r="AQ5" s="12" t="n"/>
      <c r="AR5" s="12" t="n"/>
      <c r="AS5" s="13" t="inlineStr">
        <is>
          <t>시스템</t>
        </is>
      </c>
      <c r="AT5" s="12" t="n"/>
      <c r="AU5" s="12" t="n"/>
      <c r="AV5" s="13" t="inlineStr">
        <is>
          <t>모델</t>
        </is>
      </c>
      <c r="AW5" s="12" t="n"/>
      <c r="AX5" s="12" t="n"/>
      <c r="AY5" s="12" t="n"/>
      <c r="AZ5" s="12" t="n"/>
      <c r="BA5" s="12" t="n"/>
      <c r="BB5" s="13" t="inlineStr">
        <is>
          <t>구분</t>
        </is>
      </c>
      <c r="BC5" s="12" t="n"/>
      <c r="BD5" s="12" t="n"/>
      <c r="BE5" s="13" t="inlineStr">
        <is>
          <t>시트 이름</t>
        </is>
      </c>
      <c r="BF5" s="12" t="n"/>
      <c r="BG5" s="12" t="n"/>
      <c r="BH5" s="12" t="n"/>
      <c r="BI5" s="12" t="n"/>
      <c r="BJ5" s="12" t="n"/>
      <c r="BK5" s="11" t="inlineStr">
        <is>
          <t>▶</t>
        </is>
      </c>
    </row>
    <row r="6" ht="10" customHeight="1">
      <c r="B6" s="14" t="n">
        <v>42</v>
      </c>
      <c r="C6" s="15" t="str">
        <f>IF($BO6&lt;&gt;1,IF($BO6&gt;1,"⚠ U 겹침",""),IF($BM6=INDEX($AH$6:$AH$45,$BN6)+INDEX($AJ$6:$AJ$45,$BN6)+(INDEX($AJ$6:$AJ$45,$BN6)=0)-1,INDEX($AN$6:$AN$45,$BN6)&amp;IF(INDEX($AV$6:$AV$45,$BN6)="",""," · "&amp;INDEX($AV$6:$AV$45,$BN6)),""))</f>
        <v/>
      </c>
      <c r="D6" s="16" t="n"/>
      <c r="E6" s="16" t="n"/>
      <c r="F6" s="16" t="n"/>
      <c r="G6" s="16" t="n"/>
      <c r="H6" s="16" t="n"/>
      <c r="I6" s="16" t="n"/>
      <c r="J6" s="16" t="n"/>
      <c r="K6" s="16" t="n"/>
      <c r="L6" s="16" t="n"/>
      <c r="M6" s="16" t="n"/>
      <c r="N6" s="16" t="n"/>
      <c r="O6" s="16" t="n"/>
      <c r="P6" s="17" t="n"/>
      <c r="R6" s="18" t="n"/>
      <c r="S6" s="15" t="str">
        <f>IF($BQ6&lt;&gt;1,IF($BQ6&gt;1,"⚠ U 겹침",""),IF($BM6=INDEX($AH$6:$AH$45,$BP6)+INDEX($AJ$6:$AJ$45,$BP6)+(INDEX($AJ$6:$AJ$45,$BP6)=0)-1,INDEX($AN$6:$AN$45,$BP6)&amp;IF(INDEX($AV$6:$AV$45,$BP6)="",""," · "&amp;INDEX($AV$6:$AV$45,$BP6)),""))</f>
        <v/>
      </c>
      <c r="T6" s="16" t="n"/>
      <c r="U6" s="16" t="n"/>
      <c r="V6" s="16" t="n"/>
      <c r="W6" s="16" t="n"/>
      <c r="X6" s="16" t="n"/>
      <c r="Y6" s="16" t="n"/>
      <c r="Z6" s="16" t="n"/>
      <c r="AA6" s="16" t="n"/>
      <c r="AB6" s="16" t="n"/>
      <c r="AC6" s="16" t="n"/>
      <c r="AD6" s="16" t="n"/>
      <c r="AE6" s="16" t="n"/>
      <c r="AF6" s="19" t="n">
        <v>42</v>
      </c>
      <c r="AH6" s="20" t="n"/>
      <c r="AI6" s="21" t="n"/>
      <c r="AJ6" s="20" t="n"/>
      <c r="AK6" s="21" t="n"/>
      <c r="AL6" s="22" t="n"/>
      <c r="AM6" s="21" t="n"/>
      <c r="AN6" s="23" t="n"/>
      <c r="AO6" s="21" t="n"/>
      <c r="AP6" s="21" t="n"/>
      <c r="AQ6" s="21" t="n"/>
      <c r="AR6" s="21" t="n"/>
      <c r="AS6" s="22" t="n"/>
      <c r="AT6" s="21" t="n"/>
      <c r="AU6" s="21" t="n"/>
      <c r="AV6" s="22" t="n"/>
      <c r="AW6" s="21" t="n"/>
      <c r="AX6" s="21" t="n"/>
      <c r="AY6" s="21" t="n"/>
      <c r="AZ6" s="21" t="n"/>
      <c r="BA6" s="21" t="n"/>
      <c r="BB6" s="22" t="n"/>
      <c r="BC6" s="21" t="n"/>
      <c r="BD6" s="21" t="n"/>
      <c r="BE6" s="22" t="n"/>
      <c r="BF6" s="21" t="n"/>
      <c r="BG6" s="21" t="n"/>
      <c r="BH6" s="21" t="n"/>
      <c r="BI6" s="21" t="n"/>
      <c r="BJ6" s="21" t="n"/>
      <c r="BK6" s="24" t="str">
        <f>IF(BE6="","",HYPERLINK("#'"&amp;BE6&amp;"'!A1","▶"))</f>
        <v/>
      </c>
      <c r="BM6">
        <f>B6</f>
        <v>42</v>
      </c>
      <c r="BN6">
        <f>SUMPRODUCT(ISNUMBER($AH$6:$AH$45)*($AH$6:$AH$45&lt;=$BM6)*($AH$6:$AH$45+($AJ$6:$AJ$45+($AJ$6:$AJ$45=0))-1&gt;=$BM6)*($AL$6:$AL$45&lt;&gt;"0U")*($AL$6:$AL$45&lt;&gt;"선반")*($AL$6:$AL$45&lt;&gt;"후면")*(ROW($AH$6:$AH$45)-5))</f>
        <v>0</v>
      </c>
      <c r="BO6">
        <f>SUMPRODUCT(ISNUMBER($AH$6:$AH$45)*($AH$6:$AH$45&lt;=$BM6)*($AH$6:$AH$45+($AJ$6:$AJ$45+($AJ$6:$AJ$45=0))-1&gt;=$BM6)*($AL$6:$AL$45&lt;&gt;"0U")*($AL$6:$AL$45&lt;&gt;"선반")*($AL$6:$AL$45&lt;&gt;"후면"))</f>
        <v>0</v>
      </c>
      <c r="BP6">
        <f>SUMPRODUCT(ISNUMBER($AH$6:$AH$45)*($AH$6:$AH$45&lt;=$BM6)*($AH$6:$AH$45+($AJ$6:$AJ$45+($AJ$6:$AJ$45=0))-1&gt;=$BM6)*($AL$6:$AL$45&lt;&gt;"0U")*($AL$6:$AL$45&lt;&gt;"선반")*($AL$6:$AL$45&lt;&gt;"전면")*(ROW($AH$6:$AH$45)-5))</f>
        <v>0</v>
      </c>
      <c r="BQ6">
        <f>SUMPRODUCT(ISNUMBER($AH$6:$AH$45)*($AH$6:$AH$45&lt;=$BM6)*($AH$6:$AH$45+($AJ$6:$AJ$45+($AJ$6:$AJ$45=0))-1&gt;=$BM6)*($AL$6:$AL$45&lt;&gt;"0U")*($AL$6:$AL$45&lt;&gt;"선반")*($AL$6:$AL$45&lt;&gt;"전면"))</f>
        <v>0</v>
      </c>
    </row>
    <row r="7" ht="10" customHeight="1">
      <c r="B7" s="14" t="n">
        <v>41</v>
      </c>
      <c r="C7" s="15" t="str">
        <f>IF($BO7&lt;&gt;1,IF($BO7&gt;1,"⚠ U 겹침",""),IF($BM7=INDEX($AH$6:$AH$45,$BN7)+INDEX($AJ$6:$AJ$45,$BN7)+(INDEX($AJ$6:$AJ$45,$BN7)=0)-1,INDEX($AN$6:$AN$45,$BN7)&amp;IF(INDEX($AV$6:$AV$45,$BN7)="",""," · "&amp;INDEX($AV$6:$AV$45,$BN7)),""))</f>
        <v/>
      </c>
      <c r="D7" s="16" t="n"/>
      <c r="E7" s="16" t="n"/>
      <c r="F7" s="16" t="n"/>
      <c r="G7" s="16" t="n"/>
      <c r="H7" s="16" t="n"/>
      <c r="I7" s="16" t="n"/>
      <c r="J7" s="16" t="n"/>
      <c r="K7" s="16" t="n"/>
      <c r="L7" s="16" t="n"/>
      <c r="M7" s="16" t="n"/>
      <c r="N7" s="16" t="n"/>
      <c r="O7" s="16" t="n"/>
      <c r="P7" s="17" t="n"/>
      <c r="R7" s="18" t="n"/>
      <c r="S7" s="15" t="str">
        <f>IF($BQ7&lt;&gt;1,IF($BQ7&gt;1,"⚠ U 겹침",""),IF($BM7=INDEX($AH$6:$AH$45,$BP7)+INDEX($AJ$6:$AJ$45,$BP7)+(INDEX($AJ$6:$AJ$45,$BP7)=0)-1,INDEX($AN$6:$AN$45,$BP7)&amp;IF(INDEX($AV$6:$AV$45,$BP7)="",""," · "&amp;INDEX($AV$6:$AV$45,$BP7)),""))</f>
        <v/>
      </c>
      <c r="T7" s="16" t="n"/>
      <c r="U7" s="16" t="n"/>
      <c r="V7" s="16" t="n"/>
      <c r="W7" s="16" t="n"/>
      <c r="X7" s="16" t="n"/>
      <c r="Y7" s="16" t="n"/>
      <c r="Z7" s="16" t="n"/>
      <c r="AA7" s="16" t="n"/>
      <c r="AB7" s="16" t="n"/>
      <c r="AC7" s="16" t="n"/>
      <c r="AD7" s="16" t="n"/>
      <c r="AE7" s="16" t="n"/>
      <c r="AF7" s="19" t="n">
        <v>41</v>
      </c>
      <c r="AH7" s="20" t="n"/>
      <c r="AI7" s="21" t="n"/>
      <c r="AJ7" s="20" t="n"/>
      <c r="AK7" s="21" t="n"/>
      <c r="AL7" s="22" t="n"/>
      <c r="AM7" s="21" t="n"/>
      <c r="AN7" s="23" t="n"/>
      <c r="AO7" s="21" t="n"/>
      <c r="AP7" s="21" t="n"/>
      <c r="AQ7" s="21" t="n"/>
      <c r="AR7" s="21" t="n"/>
      <c r="AS7" s="22" t="n"/>
      <c r="AT7" s="21" t="n"/>
      <c r="AU7" s="21" t="n"/>
      <c r="AV7" s="22" t="n"/>
      <c r="AW7" s="21" t="n"/>
      <c r="AX7" s="21" t="n"/>
      <c r="AY7" s="21" t="n"/>
      <c r="AZ7" s="21" t="n"/>
      <c r="BA7" s="21" t="n"/>
      <c r="BB7" s="22" t="n"/>
      <c r="BC7" s="21" t="n"/>
      <c r="BD7" s="21" t="n"/>
      <c r="BE7" s="22" t="n"/>
      <c r="BF7" s="21" t="n"/>
      <c r="BG7" s="21" t="n"/>
      <c r="BH7" s="21" t="n"/>
      <c r="BI7" s="21" t="n"/>
      <c r="BJ7" s="21" t="n"/>
      <c r="BK7" s="24" t="str">
        <f>IF(BE7="","",HYPERLINK("#'"&amp;BE7&amp;"'!A1","▶"))</f>
        <v/>
      </c>
      <c r="BM7">
        <f>B7</f>
        <v>41</v>
      </c>
      <c r="BN7">
        <f>SUMPRODUCT(ISNUMBER($AH$6:$AH$45)*($AH$6:$AH$45&lt;=$BM7)*($AH$6:$AH$45+($AJ$6:$AJ$45+($AJ$6:$AJ$45=0))-1&gt;=$BM7)*($AL$6:$AL$45&lt;&gt;"0U")*($AL$6:$AL$45&lt;&gt;"선반")*($AL$6:$AL$45&lt;&gt;"후면")*(ROW($AH$6:$AH$45)-5))</f>
        <v>0</v>
      </c>
      <c r="BO7">
        <f>SUMPRODUCT(ISNUMBER($AH$6:$AH$45)*($AH$6:$AH$45&lt;=$BM7)*($AH$6:$AH$45+($AJ$6:$AJ$45+($AJ$6:$AJ$45=0))-1&gt;=$BM7)*($AL$6:$AL$45&lt;&gt;"0U")*($AL$6:$AL$45&lt;&gt;"선반")*($AL$6:$AL$45&lt;&gt;"후면"))</f>
        <v>0</v>
      </c>
      <c r="BP7">
        <f>SUMPRODUCT(ISNUMBER($AH$6:$AH$45)*($AH$6:$AH$45&lt;=$BM7)*($AH$6:$AH$45+($AJ$6:$AJ$45+($AJ$6:$AJ$45=0))-1&gt;=$BM7)*($AL$6:$AL$45&lt;&gt;"0U")*($AL$6:$AL$45&lt;&gt;"선반")*($AL$6:$AL$45&lt;&gt;"전면")*(ROW($AH$6:$AH$45)-5))</f>
        <v>0</v>
      </c>
      <c r="BQ7">
        <f>SUMPRODUCT(ISNUMBER($AH$6:$AH$45)*($AH$6:$AH$45&lt;=$BM7)*($AH$6:$AH$45+($AJ$6:$AJ$45+($AJ$6:$AJ$45=0))-1&gt;=$BM7)*($AL$6:$AL$45&lt;&gt;"0U")*($AL$6:$AL$45&lt;&gt;"선반")*($AL$6:$AL$45&lt;&gt;"전면"))</f>
        <v>0</v>
      </c>
    </row>
    <row r="8" ht="10" customHeight="1">
      <c r="B8" s="14" t="n">
        <v>40</v>
      </c>
      <c r="C8" s="15" t="str">
        <f>IF($BO8&lt;&gt;1,IF($BO8&gt;1,"⚠ U 겹침",""),IF($BM8=INDEX($AH$6:$AH$45,$BN8)+INDEX($AJ$6:$AJ$45,$BN8)+(INDEX($AJ$6:$AJ$45,$BN8)=0)-1,INDEX($AN$6:$AN$45,$BN8)&amp;IF(INDEX($AV$6:$AV$45,$BN8)="",""," · "&amp;INDEX($AV$6:$AV$45,$BN8)),""))</f>
        <v/>
      </c>
      <c r="D8" s="16" t="n"/>
      <c r="E8" s="16" t="n"/>
      <c r="F8" s="16" t="n"/>
      <c r="G8" s="16" t="n"/>
      <c r="H8" s="16" t="n"/>
      <c r="I8" s="16" t="n"/>
      <c r="J8" s="16" t="n"/>
      <c r="K8" s="16" t="n"/>
      <c r="L8" s="16" t="n"/>
      <c r="M8" s="16" t="n"/>
      <c r="N8" s="16" t="n"/>
      <c r="O8" s="16" t="n"/>
      <c r="P8" s="17" t="n"/>
      <c r="R8" s="18" t="n"/>
      <c r="S8" s="15" t="str">
        <f>IF($BQ8&lt;&gt;1,IF($BQ8&gt;1,"⚠ U 겹침",""),IF($BM8=INDEX($AH$6:$AH$45,$BP8)+INDEX($AJ$6:$AJ$45,$BP8)+(INDEX($AJ$6:$AJ$45,$BP8)=0)-1,INDEX($AN$6:$AN$45,$BP8)&amp;IF(INDEX($AV$6:$AV$45,$BP8)="",""," · "&amp;INDEX($AV$6:$AV$45,$BP8)),""))</f>
        <v/>
      </c>
      <c r="T8" s="16" t="n"/>
      <c r="U8" s="16" t="n"/>
      <c r="V8" s="16" t="n"/>
      <c r="W8" s="16" t="n"/>
      <c r="X8" s="16" t="n"/>
      <c r="Y8" s="16" t="n"/>
      <c r="Z8" s="16" t="n"/>
      <c r="AA8" s="16" t="n"/>
      <c r="AB8" s="16" t="n"/>
      <c r="AC8" s="16" t="n"/>
      <c r="AD8" s="16" t="n"/>
      <c r="AE8" s="16" t="n"/>
      <c r="AF8" s="19" t="n">
        <v>40</v>
      </c>
      <c r="AH8" s="20" t="n"/>
      <c r="AI8" s="21" t="n"/>
      <c r="AJ8" s="20" t="n"/>
      <c r="AK8" s="21" t="n"/>
      <c r="AL8" s="22" t="n"/>
      <c r="AM8" s="21" t="n"/>
      <c r="AN8" s="23" t="n"/>
      <c r="AO8" s="21" t="n"/>
      <c r="AP8" s="21" t="n"/>
      <c r="AQ8" s="21" t="n"/>
      <c r="AR8" s="21" t="n"/>
      <c r="AS8" s="22" t="n"/>
      <c r="AT8" s="21" t="n"/>
      <c r="AU8" s="21" t="n"/>
      <c r="AV8" s="22" t="n"/>
      <c r="AW8" s="21" t="n"/>
      <c r="AX8" s="21" t="n"/>
      <c r="AY8" s="21" t="n"/>
      <c r="AZ8" s="21" t="n"/>
      <c r="BA8" s="21" t="n"/>
      <c r="BB8" s="22" t="n"/>
      <c r="BC8" s="21" t="n"/>
      <c r="BD8" s="21" t="n"/>
      <c r="BE8" s="22" t="n"/>
      <c r="BF8" s="21" t="n"/>
      <c r="BG8" s="21" t="n"/>
      <c r="BH8" s="21" t="n"/>
      <c r="BI8" s="21" t="n"/>
      <c r="BJ8" s="21" t="n"/>
      <c r="BK8" s="24" t="str">
        <f>IF(BE8="","",HYPERLINK("#'"&amp;BE8&amp;"'!A1","▶"))</f>
        <v/>
      </c>
      <c r="BM8">
        <f>B8</f>
        <v>40</v>
      </c>
      <c r="BN8">
        <f>SUMPRODUCT(ISNUMBER($AH$6:$AH$45)*($AH$6:$AH$45&lt;=$BM8)*($AH$6:$AH$45+($AJ$6:$AJ$45+($AJ$6:$AJ$45=0))-1&gt;=$BM8)*($AL$6:$AL$45&lt;&gt;"0U")*($AL$6:$AL$45&lt;&gt;"선반")*($AL$6:$AL$45&lt;&gt;"후면")*(ROW($AH$6:$AH$45)-5))</f>
        <v>0</v>
      </c>
      <c r="BO8">
        <f>SUMPRODUCT(ISNUMBER($AH$6:$AH$45)*($AH$6:$AH$45&lt;=$BM8)*($AH$6:$AH$45+($AJ$6:$AJ$45+($AJ$6:$AJ$45=0))-1&gt;=$BM8)*($AL$6:$AL$45&lt;&gt;"0U")*($AL$6:$AL$45&lt;&gt;"선반")*($AL$6:$AL$45&lt;&gt;"후면"))</f>
        <v>0</v>
      </c>
      <c r="BP8">
        <f>SUMPRODUCT(ISNUMBER($AH$6:$AH$45)*($AH$6:$AH$45&lt;=$BM8)*($AH$6:$AH$45+($AJ$6:$AJ$45+($AJ$6:$AJ$45=0))-1&gt;=$BM8)*($AL$6:$AL$45&lt;&gt;"0U")*($AL$6:$AL$45&lt;&gt;"선반")*($AL$6:$AL$45&lt;&gt;"전면")*(ROW($AH$6:$AH$45)-5))</f>
        <v>0</v>
      </c>
      <c r="BQ8">
        <f>SUMPRODUCT(ISNUMBER($AH$6:$AH$45)*($AH$6:$AH$45&lt;=$BM8)*($AH$6:$AH$45+($AJ$6:$AJ$45+($AJ$6:$AJ$45=0))-1&gt;=$BM8)*($AL$6:$AL$45&lt;&gt;"0U")*($AL$6:$AL$45&lt;&gt;"선반")*($AL$6:$AL$45&lt;&gt;"전면"))</f>
        <v>0</v>
      </c>
    </row>
    <row r="9" ht="10" customHeight="1">
      <c r="B9" s="14" t="n">
        <v>39</v>
      </c>
      <c r="C9" s="15" t="str">
        <f>IF($BO9&lt;&gt;1,IF($BO9&gt;1,"⚠ U 겹침",""),IF($BM9=INDEX($AH$6:$AH$45,$BN9)+INDEX($AJ$6:$AJ$45,$BN9)+(INDEX($AJ$6:$AJ$45,$BN9)=0)-1,INDEX($AN$6:$AN$45,$BN9)&amp;IF(INDEX($AV$6:$AV$45,$BN9)="",""," · "&amp;INDEX($AV$6:$AV$45,$BN9)),""))</f>
        <v/>
      </c>
      <c r="D9" s="16" t="n"/>
      <c r="E9" s="16" t="n"/>
      <c r="F9" s="16" t="n"/>
      <c r="G9" s="16" t="n"/>
      <c r="H9" s="16" t="n"/>
      <c r="I9" s="16" t="n"/>
      <c r="J9" s="16" t="n"/>
      <c r="K9" s="16" t="n"/>
      <c r="L9" s="16" t="n"/>
      <c r="M9" s="16" t="n"/>
      <c r="N9" s="16" t="n"/>
      <c r="O9" s="16" t="n"/>
      <c r="P9" s="17" t="n"/>
      <c r="R9" s="18" t="n"/>
      <c r="S9" s="15" t="str">
        <f>IF($BQ9&lt;&gt;1,IF($BQ9&gt;1,"⚠ U 겹침",""),IF($BM9=INDEX($AH$6:$AH$45,$BP9)+INDEX($AJ$6:$AJ$45,$BP9)+(INDEX($AJ$6:$AJ$45,$BP9)=0)-1,INDEX($AN$6:$AN$45,$BP9)&amp;IF(INDEX($AV$6:$AV$45,$BP9)="",""," · "&amp;INDEX($AV$6:$AV$45,$BP9)),""))</f>
        <v/>
      </c>
      <c r="T9" s="16" t="n"/>
      <c r="U9" s="16" t="n"/>
      <c r="V9" s="16" t="n"/>
      <c r="W9" s="16" t="n"/>
      <c r="X9" s="16" t="n"/>
      <c r="Y9" s="16" t="n"/>
      <c r="Z9" s="16" t="n"/>
      <c r="AA9" s="16" t="n"/>
      <c r="AB9" s="16" t="n"/>
      <c r="AC9" s="16" t="n"/>
      <c r="AD9" s="16" t="n"/>
      <c r="AE9" s="16" t="n"/>
      <c r="AF9" s="19" t="n">
        <v>39</v>
      </c>
      <c r="AH9" s="20" t="n"/>
      <c r="AI9" s="21" t="n"/>
      <c r="AJ9" s="20" t="n"/>
      <c r="AK9" s="21" t="n"/>
      <c r="AL9" s="22" t="n"/>
      <c r="AM9" s="21" t="n"/>
      <c r="AN9" s="23" t="n"/>
      <c r="AO9" s="21" t="n"/>
      <c r="AP9" s="21" t="n"/>
      <c r="AQ9" s="21" t="n"/>
      <c r="AR9" s="21" t="n"/>
      <c r="AS9" s="22" t="n"/>
      <c r="AT9" s="21" t="n"/>
      <c r="AU9" s="21" t="n"/>
      <c r="AV9" s="22" t="n"/>
      <c r="AW9" s="21" t="n"/>
      <c r="AX9" s="21" t="n"/>
      <c r="AY9" s="21" t="n"/>
      <c r="AZ9" s="21" t="n"/>
      <c r="BA9" s="21" t="n"/>
      <c r="BB9" s="22" t="n"/>
      <c r="BC9" s="21" t="n"/>
      <c r="BD9" s="21" t="n"/>
      <c r="BE9" s="22" t="n"/>
      <c r="BF9" s="21" t="n"/>
      <c r="BG9" s="21" t="n"/>
      <c r="BH9" s="21" t="n"/>
      <c r="BI9" s="21" t="n"/>
      <c r="BJ9" s="21" t="n"/>
      <c r="BK9" s="24" t="str">
        <f>IF(BE9="","",HYPERLINK("#'"&amp;BE9&amp;"'!A1","▶"))</f>
        <v/>
      </c>
      <c r="BM9">
        <f>B9</f>
        <v>39</v>
      </c>
      <c r="BN9">
        <f>SUMPRODUCT(ISNUMBER($AH$6:$AH$45)*($AH$6:$AH$45&lt;=$BM9)*($AH$6:$AH$45+($AJ$6:$AJ$45+($AJ$6:$AJ$45=0))-1&gt;=$BM9)*($AL$6:$AL$45&lt;&gt;"0U")*($AL$6:$AL$45&lt;&gt;"선반")*($AL$6:$AL$45&lt;&gt;"후면")*(ROW($AH$6:$AH$45)-5))</f>
        <v>0</v>
      </c>
      <c r="BO9">
        <f>SUMPRODUCT(ISNUMBER($AH$6:$AH$45)*($AH$6:$AH$45&lt;=$BM9)*($AH$6:$AH$45+($AJ$6:$AJ$45+($AJ$6:$AJ$45=0))-1&gt;=$BM9)*($AL$6:$AL$45&lt;&gt;"0U")*($AL$6:$AL$45&lt;&gt;"선반")*($AL$6:$AL$45&lt;&gt;"후면"))</f>
        <v>0</v>
      </c>
      <c r="BP9">
        <f>SUMPRODUCT(ISNUMBER($AH$6:$AH$45)*($AH$6:$AH$45&lt;=$BM9)*($AH$6:$AH$45+($AJ$6:$AJ$45+($AJ$6:$AJ$45=0))-1&gt;=$BM9)*($AL$6:$AL$45&lt;&gt;"0U")*($AL$6:$AL$45&lt;&gt;"선반")*($AL$6:$AL$45&lt;&gt;"전면")*(ROW($AH$6:$AH$45)-5))</f>
        <v>0</v>
      </c>
      <c r="BQ9">
        <f>SUMPRODUCT(ISNUMBER($AH$6:$AH$45)*($AH$6:$AH$45&lt;=$BM9)*($AH$6:$AH$45+($AJ$6:$AJ$45+($AJ$6:$AJ$45=0))-1&gt;=$BM9)*($AL$6:$AL$45&lt;&gt;"0U")*($AL$6:$AL$45&lt;&gt;"선반")*($AL$6:$AL$45&lt;&gt;"전면"))</f>
        <v>0</v>
      </c>
    </row>
    <row r="10" ht="10" customHeight="1">
      <c r="B10" s="14" t="n">
        <v>38</v>
      </c>
      <c r="C10" s="15" t="str">
        <f>IF($BO10&lt;&gt;1,IF($BO10&gt;1,"⚠ U 겹침",""),IF($BM10=INDEX($AH$6:$AH$45,$BN10)+INDEX($AJ$6:$AJ$45,$BN10)+(INDEX($AJ$6:$AJ$45,$BN10)=0)-1,INDEX($AN$6:$AN$45,$BN10)&amp;IF(INDEX($AV$6:$AV$45,$BN10)="",""," · "&amp;INDEX($AV$6:$AV$45,$BN10)),""))</f>
        <v/>
      </c>
      <c r="D10" s="16" t="n"/>
      <c r="E10" s="16" t="n"/>
      <c r="F10" s="16" t="n"/>
      <c r="G10" s="16" t="n"/>
      <c r="H10" s="16" t="n"/>
      <c r="I10" s="16" t="n"/>
      <c r="J10" s="16" t="n"/>
      <c r="K10" s="16" t="n"/>
      <c r="L10" s="16" t="n"/>
      <c r="M10" s="16" t="n"/>
      <c r="N10" s="16" t="n"/>
      <c r="O10" s="16" t="n"/>
      <c r="P10" s="17" t="n"/>
      <c r="R10" s="18" t="n"/>
      <c r="S10" s="15" t="str">
        <f>IF($BQ10&lt;&gt;1,IF($BQ10&gt;1,"⚠ U 겹침",""),IF($BM10=INDEX($AH$6:$AH$45,$BP10)+INDEX($AJ$6:$AJ$45,$BP10)+(INDEX($AJ$6:$AJ$45,$BP10)=0)-1,INDEX($AN$6:$AN$45,$BP10)&amp;IF(INDEX($AV$6:$AV$45,$BP10)="",""," · "&amp;INDEX($AV$6:$AV$45,$BP10)),""))</f>
        <v/>
      </c>
      <c r="T10" s="16" t="n"/>
      <c r="U10" s="16" t="n"/>
      <c r="V10" s="16" t="n"/>
      <c r="W10" s="16" t="n"/>
      <c r="X10" s="16" t="n"/>
      <c r="Y10" s="16" t="n"/>
      <c r="Z10" s="16" t="n"/>
      <c r="AA10" s="16" t="n"/>
      <c r="AB10" s="16" t="n"/>
      <c r="AC10" s="16" t="n"/>
      <c r="AD10" s="16" t="n"/>
      <c r="AE10" s="16" t="n"/>
      <c r="AF10" s="19" t="n">
        <v>38</v>
      </c>
      <c r="AH10" s="20" t="n"/>
      <c r="AI10" s="21" t="n"/>
      <c r="AJ10" s="20" t="n"/>
      <c r="AK10" s="21" t="n"/>
      <c r="AL10" s="22" t="n"/>
      <c r="AM10" s="21" t="n"/>
      <c r="AN10" s="23" t="n"/>
      <c r="AO10" s="21" t="n"/>
      <c r="AP10" s="21" t="n"/>
      <c r="AQ10" s="21" t="n"/>
      <c r="AR10" s="21" t="n"/>
      <c r="AS10" s="22" t="n"/>
      <c r="AT10" s="21" t="n"/>
      <c r="AU10" s="21" t="n"/>
      <c r="AV10" s="22" t="n"/>
      <c r="AW10" s="21" t="n"/>
      <c r="AX10" s="21" t="n"/>
      <c r="AY10" s="21" t="n"/>
      <c r="AZ10" s="21" t="n"/>
      <c r="BA10" s="21" t="n"/>
      <c r="BB10" s="22" t="n"/>
      <c r="BC10" s="21" t="n"/>
      <c r="BD10" s="21" t="n"/>
      <c r="BE10" s="22" t="n"/>
      <c r="BF10" s="21" t="n"/>
      <c r="BG10" s="21" t="n"/>
      <c r="BH10" s="21" t="n"/>
      <c r="BI10" s="21" t="n"/>
      <c r="BJ10" s="21" t="n"/>
      <c r="BK10" s="24" t="str">
        <f>IF(BE10="","",HYPERLINK("#'"&amp;BE10&amp;"'!A1","▶"))</f>
        <v/>
      </c>
      <c r="BM10">
        <f>B10</f>
        <v>38</v>
      </c>
      <c r="BN10">
        <f>SUMPRODUCT(ISNUMBER($AH$6:$AH$45)*($AH$6:$AH$45&lt;=$BM10)*($AH$6:$AH$45+($AJ$6:$AJ$45+($AJ$6:$AJ$45=0))-1&gt;=$BM10)*($AL$6:$AL$45&lt;&gt;"0U")*($AL$6:$AL$45&lt;&gt;"선반")*($AL$6:$AL$45&lt;&gt;"후면")*(ROW($AH$6:$AH$45)-5))</f>
        <v>0</v>
      </c>
      <c r="BO10">
        <f>SUMPRODUCT(ISNUMBER($AH$6:$AH$45)*($AH$6:$AH$45&lt;=$BM10)*($AH$6:$AH$45+($AJ$6:$AJ$45+($AJ$6:$AJ$45=0))-1&gt;=$BM10)*($AL$6:$AL$45&lt;&gt;"0U")*($AL$6:$AL$45&lt;&gt;"선반")*($AL$6:$AL$45&lt;&gt;"후면"))</f>
        <v>0</v>
      </c>
      <c r="BP10">
        <f>SUMPRODUCT(ISNUMBER($AH$6:$AH$45)*($AH$6:$AH$45&lt;=$BM10)*($AH$6:$AH$45+($AJ$6:$AJ$45+($AJ$6:$AJ$45=0))-1&gt;=$BM10)*($AL$6:$AL$45&lt;&gt;"0U")*($AL$6:$AL$45&lt;&gt;"선반")*($AL$6:$AL$45&lt;&gt;"전면")*(ROW($AH$6:$AH$45)-5))</f>
        <v>0</v>
      </c>
      <c r="BQ10">
        <f>SUMPRODUCT(ISNUMBER($AH$6:$AH$45)*($AH$6:$AH$45&lt;=$BM10)*($AH$6:$AH$45+($AJ$6:$AJ$45+($AJ$6:$AJ$45=0))-1&gt;=$BM10)*($AL$6:$AL$45&lt;&gt;"0U")*($AL$6:$AL$45&lt;&gt;"선반")*($AL$6:$AL$45&lt;&gt;"전면"))</f>
        <v>0</v>
      </c>
    </row>
    <row r="11" ht="10" customHeight="1">
      <c r="B11" s="14" t="n">
        <v>37</v>
      </c>
      <c r="C11" s="15" t="str">
        <f>IF($BO11&lt;&gt;1,IF($BO11&gt;1,"⚠ U 겹침",""),IF($BM11=INDEX($AH$6:$AH$45,$BN11)+INDEX($AJ$6:$AJ$45,$BN11)+(INDEX($AJ$6:$AJ$45,$BN11)=0)-1,INDEX($AN$6:$AN$45,$BN11)&amp;IF(INDEX($AV$6:$AV$45,$BN11)="",""," · "&amp;INDEX($AV$6:$AV$45,$BN11)),""))</f>
        <v/>
      </c>
      <c r="D11" s="16" t="n"/>
      <c r="E11" s="16" t="n"/>
      <c r="F11" s="16" t="n"/>
      <c r="G11" s="16" t="n"/>
      <c r="H11" s="16" t="n"/>
      <c r="I11" s="16" t="n"/>
      <c r="J11" s="16" t="n"/>
      <c r="K11" s="16" t="n"/>
      <c r="L11" s="16" t="n"/>
      <c r="M11" s="16" t="n"/>
      <c r="N11" s="16" t="n"/>
      <c r="O11" s="16" t="n"/>
      <c r="P11" s="17" t="n"/>
      <c r="R11" s="18" t="n"/>
      <c r="S11" s="15" t="str">
        <f>IF($BQ11&lt;&gt;1,IF($BQ11&gt;1,"⚠ U 겹침",""),IF($BM11=INDEX($AH$6:$AH$45,$BP11)+INDEX($AJ$6:$AJ$45,$BP11)+(INDEX($AJ$6:$AJ$45,$BP11)=0)-1,INDEX($AN$6:$AN$45,$BP11)&amp;IF(INDEX($AV$6:$AV$45,$BP11)="",""," · "&amp;INDEX($AV$6:$AV$45,$BP11)),""))</f>
        <v/>
      </c>
      <c r="T11" s="16" t="n"/>
      <c r="U11" s="16" t="n"/>
      <c r="V11" s="16" t="n"/>
      <c r="W11" s="16" t="n"/>
      <c r="X11" s="16" t="n"/>
      <c r="Y11" s="16" t="n"/>
      <c r="Z11" s="16" t="n"/>
      <c r="AA11" s="16" t="n"/>
      <c r="AB11" s="16" t="n"/>
      <c r="AC11" s="16" t="n"/>
      <c r="AD11" s="16" t="n"/>
      <c r="AE11" s="16" t="n"/>
      <c r="AF11" s="19" t="n">
        <v>37</v>
      </c>
      <c r="AH11" s="20" t="n"/>
      <c r="AI11" s="21" t="n"/>
      <c r="AJ11" s="20" t="n"/>
      <c r="AK11" s="21" t="n"/>
      <c r="AL11" s="22" t="n"/>
      <c r="AM11" s="21" t="n"/>
      <c r="AN11" s="23" t="n"/>
      <c r="AO11" s="21" t="n"/>
      <c r="AP11" s="21" t="n"/>
      <c r="AQ11" s="21" t="n"/>
      <c r="AR11" s="21" t="n"/>
      <c r="AS11" s="22" t="n"/>
      <c r="AT11" s="21" t="n"/>
      <c r="AU11" s="21" t="n"/>
      <c r="AV11" s="22" t="n"/>
      <c r="AW11" s="21" t="n"/>
      <c r="AX11" s="21" t="n"/>
      <c r="AY11" s="21" t="n"/>
      <c r="AZ11" s="21" t="n"/>
      <c r="BA11" s="21" t="n"/>
      <c r="BB11" s="22" t="n"/>
      <c r="BC11" s="21" t="n"/>
      <c r="BD11" s="21" t="n"/>
      <c r="BE11" s="22" t="n"/>
      <c r="BF11" s="21" t="n"/>
      <c r="BG11" s="21" t="n"/>
      <c r="BH11" s="21" t="n"/>
      <c r="BI11" s="21" t="n"/>
      <c r="BJ11" s="21" t="n"/>
      <c r="BK11" s="24" t="str">
        <f>IF(BE11="","",HYPERLINK("#'"&amp;BE11&amp;"'!A1","▶"))</f>
        <v/>
      </c>
      <c r="BM11">
        <f>B11</f>
        <v>37</v>
      </c>
      <c r="BN11">
        <f>SUMPRODUCT(ISNUMBER($AH$6:$AH$45)*($AH$6:$AH$45&lt;=$BM11)*($AH$6:$AH$45+($AJ$6:$AJ$45+($AJ$6:$AJ$45=0))-1&gt;=$BM11)*($AL$6:$AL$45&lt;&gt;"0U")*($AL$6:$AL$45&lt;&gt;"선반")*($AL$6:$AL$45&lt;&gt;"후면")*(ROW($AH$6:$AH$45)-5))</f>
        <v>0</v>
      </c>
      <c r="BO11">
        <f>SUMPRODUCT(ISNUMBER($AH$6:$AH$45)*($AH$6:$AH$45&lt;=$BM11)*($AH$6:$AH$45+($AJ$6:$AJ$45+($AJ$6:$AJ$45=0))-1&gt;=$BM11)*($AL$6:$AL$45&lt;&gt;"0U")*($AL$6:$AL$45&lt;&gt;"선반")*($AL$6:$AL$45&lt;&gt;"후면"))</f>
        <v>0</v>
      </c>
      <c r="BP11">
        <f>SUMPRODUCT(ISNUMBER($AH$6:$AH$45)*($AH$6:$AH$45&lt;=$BM11)*($AH$6:$AH$45+($AJ$6:$AJ$45+($AJ$6:$AJ$45=0))-1&gt;=$BM11)*($AL$6:$AL$45&lt;&gt;"0U")*($AL$6:$AL$45&lt;&gt;"선반")*($AL$6:$AL$45&lt;&gt;"전면")*(ROW($AH$6:$AH$45)-5))</f>
        <v>0</v>
      </c>
      <c r="BQ11">
        <f>SUMPRODUCT(ISNUMBER($AH$6:$AH$45)*($AH$6:$AH$45&lt;=$BM11)*($AH$6:$AH$45+($AJ$6:$AJ$45+($AJ$6:$AJ$45=0))-1&gt;=$BM11)*($AL$6:$AL$45&lt;&gt;"0U")*($AL$6:$AL$45&lt;&gt;"선반")*($AL$6:$AL$45&lt;&gt;"전면"))</f>
        <v>0</v>
      </c>
    </row>
    <row r="12" ht="10" customHeight="1">
      <c r="B12" s="14" t="n">
        <v>36</v>
      </c>
      <c r="C12" s="15" t="str">
        <f>IF($BO12&lt;&gt;1,IF($BO12&gt;1,"⚠ U 겹침",""),IF($BM12=INDEX($AH$6:$AH$45,$BN12)+INDEX($AJ$6:$AJ$45,$BN12)+(INDEX($AJ$6:$AJ$45,$BN12)=0)-1,INDEX($AN$6:$AN$45,$BN12)&amp;IF(INDEX($AV$6:$AV$45,$BN12)="",""," · "&amp;INDEX($AV$6:$AV$45,$BN12)),""))</f>
        <v/>
      </c>
      <c r="D12" s="16" t="n"/>
      <c r="E12" s="16" t="n"/>
      <c r="F12" s="16" t="n"/>
      <c r="G12" s="16" t="n"/>
      <c r="H12" s="16" t="n"/>
      <c r="I12" s="16" t="n"/>
      <c r="J12" s="16" t="n"/>
      <c r="K12" s="16" t="n"/>
      <c r="L12" s="16" t="n"/>
      <c r="M12" s="16" t="n"/>
      <c r="N12" s="16" t="n"/>
      <c r="O12" s="16" t="n"/>
      <c r="P12" s="17" t="n"/>
      <c r="R12" s="18" t="n"/>
      <c r="S12" s="15" t="str">
        <f>IF($BQ12&lt;&gt;1,IF($BQ12&gt;1,"⚠ U 겹침",""),IF($BM12=INDEX($AH$6:$AH$45,$BP12)+INDEX($AJ$6:$AJ$45,$BP12)+(INDEX($AJ$6:$AJ$45,$BP12)=0)-1,INDEX($AN$6:$AN$45,$BP12)&amp;IF(INDEX($AV$6:$AV$45,$BP12)="",""," · "&amp;INDEX($AV$6:$AV$45,$BP12)),""))</f>
        <v/>
      </c>
      <c r="T12" s="16" t="n"/>
      <c r="U12" s="16" t="n"/>
      <c r="V12" s="16" t="n"/>
      <c r="W12" s="16" t="n"/>
      <c r="X12" s="16" t="n"/>
      <c r="Y12" s="16" t="n"/>
      <c r="Z12" s="16" t="n"/>
      <c r="AA12" s="16" t="n"/>
      <c r="AB12" s="16" t="n"/>
      <c r="AC12" s="16" t="n"/>
      <c r="AD12" s="16" t="n"/>
      <c r="AE12" s="16" t="n"/>
      <c r="AF12" s="19" t="n">
        <v>36</v>
      </c>
      <c r="AH12" s="20" t="n"/>
      <c r="AI12" s="21" t="n"/>
      <c r="AJ12" s="20" t="n"/>
      <c r="AK12" s="21" t="n"/>
      <c r="AL12" s="22" t="n"/>
      <c r="AM12" s="21" t="n"/>
      <c r="AN12" s="23" t="n"/>
      <c r="AO12" s="21" t="n"/>
      <c r="AP12" s="21" t="n"/>
      <c r="AQ12" s="21" t="n"/>
      <c r="AR12" s="21" t="n"/>
      <c r="AS12" s="22" t="n"/>
      <c r="AT12" s="21" t="n"/>
      <c r="AU12" s="21" t="n"/>
      <c r="AV12" s="22" t="n"/>
      <c r="AW12" s="21" t="n"/>
      <c r="AX12" s="21" t="n"/>
      <c r="AY12" s="21" t="n"/>
      <c r="AZ12" s="21" t="n"/>
      <c r="BA12" s="21" t="n"/>
      <c r="BB12" s="22" t="n"/>
      <c r="BC12" s="21" t="n"/>
      <c r="BD12" s="21" t="n"/>
      <c r="BE12" s="22" t="n"/>
      <c r="BF12" s="21" t="n"/>
      <c r="BG12" s="21" t="n"/>
      <c r="BH12" s="21" t="n"/>
      <c r="BI12" s="21" t="n"/>
      <c r="BJ12" s="21" t="n"/>
      <c r="BK12" s="24" t="str">
        <f>IF(BE12="","",HYPERLINK("#'"&amp;BE12&amp;"'!A1","▶"))</f>
        <v/>
      </c>
      <c r="BM12">
        <f>B12</f>
        <v>36</v>
      </c>
      <c r="BN12">
        <f>SUMPRODUCT(ISNUMBER($AH$6:$AH$45)*($AH$6:$AH$45&lt;=$BM12)*($AH$6:$AH$45+($AJ$6:$AJ$45+($AJ$6:$AJ$45=0))-1&gt;=$BM12)*($AL$6:$AL$45&lt;&gt;"0U")*($AL$6:$AL$45&lt;&gt;"선반")*($AL$6:$AL$45&lt;&gt;"후면")*(ROW($AH$6:$AH$45)-5))</f>
        <v>0</v>
      </c>
      <c r="BO12">
        <f>SUMPRODUCT(ISNUMBER($AH$6:$AH$45)*($AH$6:$AH$45&lt;=$BM12)*($AH$6:$AH$45+($AJ$6:$AJ$45+($AJ$6:$AJ$45=0))-1&gt;=$BM12)*($AL$6:$AL$45&lt;&gt;"0U")*($AL$6:$AL$45&lt;&gt;"선반")*($AL$6:$AL$45&lt;&gt;"후면"))</f>
        <v>0</v>
      </c>
      <c r="BP12">
        <f>SUMPRODUCT(ISNUMBER($AH$6:$AH$45)*($AH$6:$AH$45&lt;=$BM12)*($AH$6:$AH$45+($AJ$6:$AJ$45+($AJ$6:$AJ$45=0))-1&gt;=$BM12)*($AL$6:$AL$45&lt;&gt;"0U")*($AL$6:$AL$45&lt;&gt;"선반")*($AL$6:$AL$45&lt;&gt;"전면")*(ROW($AH$6:$AH$45)-5))</f>
        <v>0</v>
      </c>
      <c r="BQ12">
        <f>SUMPRODUCT(ISNUMBER($AH$6:$AH$45)*($AH$6:$AH$45&lt;=$BM12)*($AH$6:$AH$45+($AJ$6:$AJ$45+($AJ$6:$AJ$45=0))-1&gt;=$BM12)*($AL$6:$AL$45&lt;&gt;"0U")*($AL$6:$AL$45&lt;&gt;"선반")*($AL$6:$AL$45&lt;&gt;"전면"))</f>
        <v>0</v>
      </c>
    </row>
    <row r="13" ht="10" customHeight="1">
      <c r="B13" s="14" t="n">
        <v>35</v>
      </c>
      <c r="C13" s="15" t="str">
        <f>IF($BO13&lt;&gt;1,IF($BO13&gt;1,"⚠ U 겹침",""),IF($BM13=INDEX($AH$6:$AH$45,$BN13)+INDEX($AJ$6:$AJ$45,$BN13)+(INDEX($AJ$6:$AJ$45,$BN13)=0)-1,INDEX($AN$6:$AN$45,$BN13)&amp;IF(INDEX($AV$6:$AV$45,$BN13)="",""," · "&amp;INDEX($AV$6:$AV$45,$BN13)),""))</f>
        <v/>
      </c>
      <c r="D13" s="16" t="n"/>
      <c r="E13" s="16" t="n"/>
      <c r="F13" s="16" t="n"/>
      <c r="G13" s="16" t="n"/>
      <c r="H13" s="16" t="n"/>
      <c r="I13" s="16" t="n"/>
      <c r="J13" s="16" t="n"/>
      <c r="K13" s="16" t="n"/>
      <c r="L13" s="16" t="n"/>
      <c r="M13" s="16" t="n"/>
      <c r="N13" s="16" t="n"/>
      <c r="O13" s="16" t="n"/>
      <c r="P13" s="17" t="n"/>
      <c r="R13" s="18" t="n"/>
      <c r="S13" s="15" t="str">
        <f>IF($BQ13&lt;&gt;1,IF($BQ13&gt;1,"⚠ U 겹침",""),IF($BM13=INDEX($AH$6:$AH$45,$BP13)+INDEX($AJ$6:$AJ$45,$BP13)+(INDEX($AJ$6:$AJ$45,$BP13)=0)-1,INDEX($AN$6:$AN$45,$BP13)&amp;IF(INDEX($AV$6:$AV$45,$BP13)="",""," · "&amp;INDEX($AV$6:$AV$45,$BP13)),""))</f>
        <v/>
      </c>
      <c r="T13" s="16" t="n"/>
      <c r="U13" s="16" t="n"/>
      <c r="V13" s="16" t="n"/>
      <c r="W13" s="16" t="n"/>
      <c r="X13" s="16" t="n"/>
      <c r="Y13" s="16" t="n"/>
      <c r="Z13" s="16" t="n"/>
      <c r="AA13" s="16" t="n"/>
      <c r="AB13" s="16" t="n"/>
      <c r="AC13" s="16" t="n"/>
      <c r="AD13" s="16" t="n"/>
      <c r="AE13" s="16" t="n"/>
      <c r="AF13" s="19" t="n">
        <v>35</v>
      </c>
      <c r="AH13" s="20" t="n"/>
      <c r="AI13" s="21" t="n"/>
      <c r="AJ13" s="20" t="n"/>
      <c r="AK13" s="21" t="n"/>
      <c r="AL13" s="22" t="n"/>
      <c r="AM13" s="21" t="n"/>
      <c r="AN13" s="23" t="n"/>
      <c r="AO13" s="21" t="n"/>
      <c r="AP13" s="21" t="n"/>
      <c r="AQ13" s="21" t="n"/>
      <c r="AR13" s="21" t="n"/>
      <c r="AS13" s="22" t="n"/>
      <c r="AT13" s="21" t="n"/>
      <c r="AU13" s="21" t="n"/>
      <c r="AV13" s="22" t="n"/>
      <c r="AW13" s="21" t="n"/>
      <c r="AX13" s="21" t="n"/>
      <c r="AY13" s="21" t="n"/>
      <c r="AZ13" s="21" t="n"/>
      <c r="BA13" s="21" t="n"/>
      <c r="BB13" s="22" t="n"/>
      <c r="BC13" s="21" t="n"/>
      <c r="BD13" s="21" t="n"/>
      <c r="BE13" s="22" t="n"/>
      <c r="BF13" s="21" t="n"/>
      <c r="BG13" s="21" t="n"/>
      <c r="BH13" s="21" t="n"/>
      <c r="BI13" s="21" t="n"/>
      <c r="BJ13" s="21" t="n"/>
      <c r="BK13" s="24" t="str">
        <f>IF(BE13="","",HYPERLINK("#'"&amp;BE13&amp;"'!A1","▶"))</f>
        <v/>
      </c>
      <c r="BM13">
        <f>B13</f>
        <v>35</v>
      </c>
      <c r="BN13">
        <f>SUMPRODUCT(ISNUMBER($AH$6:$AH$45)*($AH$6:$AH$45&lt;=$BM13)*($AH$6:$AH$45+($AJ$6:$AJ$45+($AJ$6:$AJ$45=0))-1&gt;=$BM13)*($AL$6:$AL$45&lt;&gt;"0U")*($AL$6:$AL$45&lt;&gt;"선반")*($AL$6:$AL$45&lt;&gt;"후면")*(ROW($AH$6:$AH$45)-5))</f>
        <v>0</v>
      </c>
      <c r="BO13">
        <f>SUMPRODUCT(ISNUMBER($AH$6:$AH$45)*($AH$6:$AH$45&lt;=$BM13)*($AH$6:$AH$45+($AJ$6:$AJ$45+($AJ$6:$AJ$45=0))-1&gt;=$BM13)*($AL$6:$AL$45&lt;&gt;"0U")*($AL$6:$AL$45&lt;&gt;"선반")*($AL$6:$AL$45&lt;&gt;"후면"))</f>
        <v>0</v>
      </c>
      <c r="BP13">
        <f>SUMPRODUCT(ISNUMBER($AH$6:$AH$45)*($AH$6:$AH$45&lt;=$BM13)*($AH$6:$AH$45+($AJ$6:$AJ$45+($AJ$6:$AJ$45=0))-1&gt;=$BM13)*($AL$6:$AL$45&lt;&gt;"0U")*($AL$6:$AL$45&lt;&gt;"선반")*($AL$6:$AL$45&lt;&gt;"전면")*(ROW($AH$6:$AH$45)-5))</f>
        <v>0</v>
      </c>
      <c r="BQ13">
        <f>SUMPRODUCT(ISNUMBER($AH$6:$AH$45)*($AH$6:$AH$45&lt;=$BM13)*($AH$6:$AH$45+($AJ$6:$AJ$45+($AJ$6:$AJ$45=0))-1&gt;=$BM13)*($AL$6:$AL$45&lt;&gt;"0U")*($AL$6:$AL$45&lt;&gt;"선반")*($AL$6:$AL$45&lt;&gt;"전면"))</f>
        <v>0</v>
      </c>
    </row>
    <row r="14" ht="10" customHeight="1">
      <c r="B14" s="14" t="n">
        <v>34</v>
      </c>
      <c r="C14" s="15" t="str">
        <f>IF($BO14&lt;&gt;1,IF($BO14&gt;1,"⚠ U 겹침",""),IF($BM14=INDEX($AH$6:$AH$45,$BN14)+INDEX($AJ$6:$AJ$45,$BN14)+(INDEX($AJ$6:$AJ$45,$BN14)=0)-1,INDEX($AN$6:$AN$45,$BN14)&amp;IF(INDEX($AV$6:$AV$45,$BN14)="",""," · "&amp;INDEX($AV$6:$AV$45,$BN14)),""))</f>
        <v/>
      </c>
      <c r="D14" s="16" t="n"/>
      <c r="E14" s="16" t="n"/>
      <c r="F14" s="16" t="n"/>
      <c r="G14" s="16" t="n"/>
      <c r="H14" s="16" t="n"/>
      <c r="I14" s="16" t="n"/>
      <c r="J14" s="16" t="n"/>
      <c r="K14" s="16" t="n"/>
      <c r="L14" s="16" t="n"/>
      <c r="M14" s="16" t="n"/>
      <c r="N14" s="16" t="n"/>
      <c r="O14" s="16" t="n"/>
      <c r="P14" s="17" t="n"/>
      <c r="R14" s="18" t="n"/>
      <c r="S14" s="15" t="str">
        <f>IF($BQ14&lt;&gt;1,IF($BQ14&gt;1,"⚠ U 겹침",""),IF($BM14=INDEX($AH$6:$AH$45,$BP14)+INDEX($AJ$6:$AJ$45,$BP14)+(INDEX($AJ$6:$AJ$45,$BP14)=0)-1,INDEX($AN$6:$AN$45,$BP14)&amp;IF(INDEX($AV$6:$AV$45,$BP14)="",""," · "&amp;INDEX($AV$6:$AV$45,$BP14)),""))</f>
        <v/>
      </c>
      <c r="T14" s="16" t="n"/>
      <c r="U14" s="16" t="n"/>
      <c r="V14" s="16" t="n"/>
      <c r="W14" s="16" t="n"/>
      <c r="X14" s="16" t="n"/>
      <c r="Y14" s="16" t="n"/>
      <c r="Z14" s="16" t="n"/>
      <c r="AA14" s="16" t="n"/>
      <c r="AB14" s="16" t="n"/>
      <c r="AC14" s="16" t="n"/>
      <c r="AD14" s="16" t="n"/>
      <c r="AE14" s="16" t="n"/>
      <c r="AF14" s="19" t="n">
        <v>34</v>
      </c>
      <c r="AH14" s="20" t="n"/>
      <c r="AI14" s="21" t="n"/>
      <c r="AJ14" s="20" t="n"/>
      <c r="AK14" s="21" t="n"/>
      <c r="AL14" s="22" t="n"/>
      <c r="AM14" s="21" t="n"/>
      <c r="AN14" s="23" t="n"/>
      <c r="AO14" s="21" t="n"/>
      <c r="AP14" s="21" t="n"/>
      <c r="AQ14" s="21" t="n"/>
      <c r="AR14" s="21" t="n"/>
      <c r="AS14" s="22" t="n"/>
      <c r="AT14" s="21" t="n"/>
      <c r="AU14" s="21" t="n"/>
      <c r="AV14" s="22" t="n"/>
      <c r="AW14" s="21" t="n"/>
      <c r="AX14" s="21" t="n"/>
      <c r="AY14" s="21" t="n"/>
      <c r="AZ14" s="21" t="n"/>
      <c r="BA14" s="21" t="n"/>
      <c r="BB14" s="22" t="n"/>
      <c r="BC14" s="21" t="n"/>
      <c r="BD14" s="21" t="n"/>
      <c r="BE14" s="22" t="n"/>
      <c r="BF14" s="21" t="n"/>
      <c r="BG14" s="21" t="n"/>
      <c r="BH14" s="21" t="n"/>
      <c r="BI14" s="21" t="n"/>
      <c r="BJ14" s="21" t="n"/>
      <c r="BK14" s="24" t="str">
        <f>IF(BE14="","",HYPERLINK("#'"&amp;BE14&amp;"'!A1","▶"))</f>
        <v/>
      </c>
      <c r="BM14">
        <f>B14</f>
        <v>34</v>
      </c>
      <c r="BN14">
        <f>SUMPRODUCT(ISNUMBER($AH$6:$AH$45)*($AH$6:$AH$45&lt;=$BM14)*($AH$6:$AH$45+($AJ$6:$AJ$45+($AJ$6:$AJ$45=0))-1&gt;=$BM14)*($AL$6:$AL$45&lt;&gt;"0U")*($AL$6:$AL$45&lt;&gt;"선반")*($AL$6:$AL$45&lt;&gt;"후면")*(ROW($AH$6:$AH$45)-5))</f>
        <v>0</v>
      </c>
      <c r="BO14">
        <f>SUMPRODUCT(ISNUMBER($AH$6:$AH$45)*($AH$6:$AH$45&lt;=$BM14)*($AH$6:$AH$45+($AJ$6:$AJ$45+($AJ$6:$AJ$45=0))-1&gt;=$BM14)*($AL$6:$AL$45&lt;&gt;"0U")*($AL$6:$AL$45&lt;&gt;"선반")*($AL$6:$AL$45&lt;&gt;"후면"))</f>
        <v>0</v>
      </c>
      <c r="BP14">
        <f>SUMPRODUCT(ISNUMBER($AH$6:$AH$45)*($AH$6:$AH$45&lt;=$BM14)*($AH$6:$AH$45+($AJ$6:$AJ$45+($AJ$6:$AJ$45=0))-1&gt;=$BM14)*($AL$6:$AL$45&lt;&gt;"0U")*($AL$6:$AL$45&lt;&gt;"선반")*($AL$6:$AL$45&lt;&gt;"전면")*(ROW($AH$6:$AH$45)-5))</f>
        <v>0</v>
      </c>
      <c r="BQ14">
        <f>SUMPRODUCT(ISNUMBER($AH$6:$AH$45)*($AH$6:$AH$45&lt;=$BM14)*($AH$6:$AH$45+($AJ$6:$AJ$45+($AJ$6:$AJ$45=0))-1&gt;=$BM14)*($AL$6:$AL$45&lt;&gt;"0U")*($AL$6:$AL$45&lt;&gt;"선반")*($AL$6:$AL$45&lt;&gt;"전면"))</f>
        <v>0</v>
      </c>
    </row>
    <row r="15" ht="10" customHeight="1">
      <c r="B15" s="14" t="n">
        <v>33</v>
      </c>
      <c r="C15" s="15" t="str">
        <f>IF($BO15&lt;&gt;1,IF($BO15&gt;1,"⚠ U 겹침",""),IF($BM15=INDEX($AH$6:$AH$45,$BN15)+INDEX($AJ$6:$AJ$45,$BN15)+(INDEX($AJ$6:$AJ$45,$BN15)=0)-1,INDEX($AN$6:$AN$45,$BN15)&amp;IF(INDEX($AV$6:$AV$45,$BN15)="",""," · "&amp;INDEX($AV$6:$AV$45,$BN15)),""))</f>
        <v/>
      </c>
      <c r="D15" s="16" t="n"/>
      <c r="E15" s="16" t="n"/>
      <c r="F15" s="16" t="n"/>
      <c r="G15" s="16" t="n"/>
      <c r="H15" s="16" t="n"/>
      <c r="I15" s="16" t="n"/>
      <c r="J15" s="16" t="n"/>
      <c r="K15" s="16" t="n"/>
      <c r="L15" s="16" t="n"/>
      <c r="M15" s="16" t="n"/>
      <c r="N15" s="16" t="n"/>
      <c r="O15" s="16" t="n"/>
      <c r="P15" s="17" t="n"/>
      <c r="R15" s="18" t="n"/>
      <c r="S15" s="15" t="str">
        <f>IF($BQ15&lt;&gt;1,IF($BQ15&gt;1,"⚠ U 겹침",""),IF($BM15=INDEX($AH$6:$AH$45,$BP15)+INDEX($AJ$6:$AJ$45,$BP15)+(INDEX($AJ$6:$AJ$45,$BP15)=0)-1,INDEX($AN$6:$AN$45,$BP15)&amp;IF(INDEX($AV$6:$AV$45,$BP15)="",""," · "&amp;INDEX($AV$6:$AV$45,$BP15)),""))</f>
        <v/>
      </c>
      <c r="T15" s="16" t="n"/>
      <c r="U15" s="16" t="n"/>
      <c r="V15" s="16" t="n"/>
      <c r="W15" s="16" t="n"/>
      <c r="X15" s="16" t="n"/>
      <c r="Y15" s="16" t="n"/>
      <c r="Z15" s="16" t="n"/>
      <c r="AA15" s="16" t="n"/>
      <c r="AB15" s="16" t="n"/>
      <c r="AC15" s="16" t="n"/>
      <c r="AD15" s="16" t="n"/>
      <c r="AE15" s="16" t="n"/>
      <c r="AF15" s="19" t="n">
        <v>33</v>
      </c>
      <c r="AH15" s="20" t="n"/>
      <c r="AI15" s="21" t="n"/>
      <c r="AJ15" s="20" t="n"/>
      <c r="AK15" s="21" t="n"/>
      <c r="AL15" s="22" t="n"/>
      <c r="AM15" s="21" t="n"/>
      <c r="AN15" s="23" t="n"/>
      <c r="AO15" s="21" t="n"/>
      <c r="AP15" s="21" t="n"/>
      <c r="AQ15" s="21" t="n"/>
      <c r="AR15" s="21" t="n"/>
      <c r="AS15" s="22" t="n"/>
      <c r="AT15" s="21" t="n"/>
      <c r="AU15" s="21" t="n"/>
      <c r="AV15" s="22" t="n"/>
      <c r="AW15" s="21" t="n"/>
      <c r="AX15" s="21" t="n"/>
      <c r="AY15" s="21" t="n"/>
      <c r="AZ15" s="21" t="n"/>
      <c r="BA15" s="21" t="n"/>
      <c r="BB15" s="22" t="n"/>
      <c r="BC15" s="21" t="n"/>
      <c r="BD15" s="21" t="n"/>
      <c r="BE15" s="22" t="n"/>
      <c r="BF15" s="21" t="n"/>
      <c r="BG15" s="21" t="n"/>
      <c r="BH15" s="21" t="n"/>
      <c r="BI15" s="21" t="n"/>
      <c r="BJ15" s="21" t="n"/>
      <c r="BK15" s="24" t="str">
        <f>IF(BE15="","",HYPERLINK("#'"&amp;BE15&amp;"'!A1","▶"))</f>
        <v/>
      </c>
      <c r="BM15">
        <f>B15</f>
        <v>33</v>
      </c>
      <c r="BN15">
        <f>SUMPRODUCT(ISNUMBER($AH$6:$AH$45)*($AH$6:$AH$45&lt;=$BM15)*($AH$6:$AH$45+($AJ$6:$AJ$45+($AJ$6:$AJ$45=0))-1&gt;=$BM15)*($AL$6:$AL$45&lt;&gt;"0U")*($AL$6:$AL$45&lt;&gt;"선반")*($AL$6:$AL$45&lt;&gt;"후면")*(ROW($AH$6:$AH$45)-5))</f>
        <v>0</v>
      </c>
      <c r="BO15">
        <f>SUMPRODUCT(ISNUMBER($AH$6:$AH$45)*($AH$6:$AH$45&lt;=$BM15)*($AH$6:$AH$45+($AJ$6:$AJ$45+($AJ$6:$AJ$45=0))-1&gt;=$BM15)*($AL$6:$AL$45&lt;&gt;"0U")*($AL$6:$AL$45&lt;&gt;"선반")*($AL$6:$AL$45&lt;&gt;"후면"))</f>
        <v>0</v>
      </c>
      <c r="BP15">
        <f>SUMPRODUCT(ISNUMBER($AH$6:$AH$45)*($AH$6:$AH$45&lt;=$BM15)*($AH$6:$AH$45+($AJ$6:$AJ$45+($AJ$6:$AJ$45=0))-1&gt;=$BM15)*($AL$6:$AL$45&lt;&gt;"0U")*($AL$6:$AL$45&lt;&gt;"선반")*($AL$6:$AL$45&lt;&gt;"전면")*(ROW($AH$6:$AH$45)-5))</f>
        <v>0</v>
      </c>
      <c r="BQ15">
        <f>SUMPRODUCT(ISNUMBER($AH$6:$AH$45)*($AH$6:$AH$45&lt;=$BM15)*($AH$6:$AH$45+($AJ$6:$AJ$45+($AJ$6:$AJ$45=0))-1&gt;=$BM15)*($AL$6:$AL$45&lt;&gt;"0U")*($AL$6:$AL$45&lt;&gt;"선반")*($AL$6:$AL$45&lt;&gt;"전면"))</f>
        <v>0</v>
      </c>
    </row>
    <row r="16" ht="10" customHeight="1">
      <c r="B16" s="14" t="n">
        <v>32</v>
      </c>
      <c r="C16" s="15" t="str">
        <f>IF($BO16&lt;&gt;1,IF($BO16&gt;1,"⚠ U 겹침",""),IF($BM16=INDEX($AH$6:$AH$45,$BN16)+INDEX($AJ$6:$AJ$45,$BN16)+(INDEX($AJ$6:$AJ$45,$BN16)=0)-1,INDEX($AN$6:$AN$45,$BN16)&amp;IF(INDEX($AV$6:$AV$45,$BN16)="",""," · "&amp;INDEX($AV$6:$AV$45,$BN16)),""))</f>
        <v/>
      </c>
      <c r="D16" s="16" t="n"/>
      <c r="E16" s="16" t="n"/>
      <c r="F16" s="16" t="n"/>
      <c r="G16" s="16" t="n"/>
      <c r="H16" s="16" t="n"/>
      <c r="I16" s="16" t="n"/>
      <c r="J16" s="16" t="n"/>
      <c r="K16" s="16" t="n"/>
      <c r="L16" s="16" t="n"/>
      <c r="M16" s="16" t="n"/>
      <c r="N16" s="16" t="n"/>
      <c r="O16" s="16" t="n"/>
      <c r="P16" s="17" t="n"/>
      <c r="R16" s="18" t="n"/>
      <c r="S16" s="15" t="str">
        <f>IF($BQ16&lt;&gt;1,IF($BQ16&gt;1,"⚠ U 겹침",""),IF($BM16=INDEX($AH$6:$AH$45,$BP16)+INDEX($AJ$6:$AJ$45,$BP16)+(INDEX($AJ$6:$AJ$45,$BP16)=0)-1,INDEX($AN$6:$AN$45,$BP16)&amp;IF(INDEX($AV$6:$AV$45,$BP16)="",""," · "&amp;INDEX($AV$6:$AV$45,$BP16)),""))</f>
        <v/>
      </c>
      <c r="T16" s="16" t="n"/>
      <c r="U16" s="16" t="n"/>
      <c r="V16" s="16" t="n"/>
      <c r="W16" s="16" t="n"/>
      <c r="X16" s="16" t="n"/>
      <c r="Y16" s="16" t="n"/>
      <c r="Z16" s="16" t="n"/>
      <c r="AA16" s="16" t="n"/>
      <c r="AB16" s="16" t="n"/>
      <c r="AC16" s="16" t="n"/>
      <c r="AD16" s="16" t="n"/>
      <c r="AE16" s="16" t="n"/>
      <c r="AF16" s="19" t="n">
        <v>32</v>
      </c>
      <c r="AH16" s="20" t="n"/>
      <c r="AI16" s="21" t="n"/>
      <c r="AJ16" s="20" t="n"/>
      <c r="AK16" s="21" t="n"/>
      <c r="AL16" s="22" t="n"/>
      <c r="AM16" s="21" t="n"/>
      <c r="AN16" s="23" t="n"/>
      <c r="AO16" s="21" t="n"/>
      <c r="AP16" s="21" t="n"/>
      <c r="AQ16" s="21" t="n"/>
      <c r="AR16" s="21" t="n"/>
      <c r="AS16" s="22" t="n"/>
      <c r="AT16" s="21" t="n"/>
      <c r="AU16" s="21" t="n"/>
      <c r="AV16" s="22" t="n"/>
      <c r="AW16" s="21" t="n"/>
      <c r="AX16" s="21" t="n"/>
      <c r="AY16" s="21" t="n"/>
      <c r="AZ16" s="21" t="n"/>
      <c r="BA16" s="21" t="n"/>
      <c r="BB16" s="22" t="n"/>
      <c r="BC16" s="21" t="n"/>
      <c r="BD16" s="21" t="n"/>
      <c r="BE16" s="22" t="n"/>
      <c r="BF16" s="21" t="n"/>
      <c r="BG16" s="21" t="n"/>
      <c r="BH16" s="21" t="n"/>
      <c r="BI16" s="21" t="n"/>
      <c r="BJ16" s="21" t="n"/>
      <c r="BK16" s="24" t="str">
        <f>IF(BE16="","",HYPERLINK("#'"&amp;BE16&amp;"'!A1","▶"))</f>
        <v/>
      </c>
      <c r="BM16">
        <f>B16</f>
        <v>32</v>
      </c>
      <c r="BN16">
        <f>SUMPRODUCT(ISNUMBER($AH$6:$AH$45)*($AH$6:$AH$45&lt;=$BM16)*($AH$6:$AH$45+($AJ$6:$AJ$45+($AJ$6:$AJ$45=0))-1&gt;=$BM16)*($AL$6:$AL$45&lt;&gt;"0U")*($AL$6:$AL$45&lt;&gt;"선반")*($AL$6:$AL$45&lt;&gt;"후면")*(ROW($AH$6:$AH$45)-5))</f>
        <v>0</v>
      </c>
      <c r="BO16">
        <f>SUMPRODUCT(ISNUMBER($AH$6:$AH$45)*($AH$6:$AH$45&lt;=$BM16)*($AH$6:$AH$45+($AJ$6:$AJ$45+($AJ$6:$AJ$45=0))-1&gt;=$BM16)*($AL$6:$AL$45&lt;&gt;"0U")*($AL$6:$AL$45&lt;&gt;"선반")*($AL$6:$AL$45&lt;&gt;"후면"))</f>
        <v>0</v>
      </c>
      <c r="BP16">
        <f>SUMPRODUCT(ISNUMBER($AH$6:$AH$45)*($AH$6:$AH$45&lt;=$BM16)*($AH$6:$AH$45+($AJ$6:$AJ$45+($AJ$6:$AJ$45=0))-1&gt;=$BM16)*($AL$6:$AL$45&lt;&gt;"0U")*($AL$6:$AL$45&lt;&gt;"선반")*($AL$6:$AL$45&lt;&gt;"전면")*(ROW($AH$6:$AH$45)-5))</f>
        <v>0</v>
      </c>
      <c r="BQ16">
        <f>SUMPRODUCT(ISNUMBER($AH$6:$AH$45)*($AH$6:$AH$45&lt;=$BM16)*($AH$6:$AH$45+($AJ$6:$AJ$45+($AJ$6:$AJ$45=0))-1&gt;=$BM16)*($AL$6:$AL$45&lt;&gt;"0U")*($AL$6:$AL$45&lt;&gt;"선반")*($AL$6:$AL$45&lt;&gt;"전면"))</f>
        <v>0</v>
      </c>
    </row>
    <row r="17" ht="10" customHeight="1">
      <c r="B17" s="14" t="n">
        <v>31</v>
      </c>
      <c r="C17" s="15" t="str">
        <f>IF($BO17&lt;&gt;1,IF($BO17&gt;1,"⚠ U 겹침",""),IF($BM17=INDEX($AH$6:$AH$45,$BN17)+INDEX($AJ$6:$AJ$45,$BN17)+(INDEX($AJ$6:$AJ$45,$BN17)=0)-1,INDEX($AN$6:$AN$45,$BN17)&amp;IF(INDEX($AV$6:$AV$45,$BN17)="",""," · "&amp;INDEX($AV$6:$AV$45,$BN17)),""))</f>
        <v/>
      </c>
      <c r="D17" s="16" t="n"/>
      <c r="E17" s="16" t="n"/>
      <c r="F17" s="16" t="n"/>
      <c r="G17" s="16" t="n"/>
      <c r="H17" s="16" t="n"/>
      <c r="I17" s="16" t="n"/>
      <c r="J17" s="16" t="n"/>
      <c r="K17" s="16" t="n"/>
      <c r="L17" s="16" t="n"/>
      <c r="M17" s="16" t="n"/>
      <c r="N17" s="16" t="n"/>
      <c r="O17" s="16" t="n"/>
      <c r="P17" s="17" t="n"/>
      <c r="R17" s="18" t="n"/>
      <c r="S17" s="15" t="str">
        <f>IF($BQ17&lt;&gt;1,IF($BQ17&gt;1,"⚠ U 겹침",""),IF($BM17=INDEX($AH$6:$AH$45,$BP17)+INDEX($AJ$6:$AJ$45,$BP17)+(INDEX($AJ$6:$AJ$45,$BP17)=0)-1,INDEX($AN$6:$AN$45,$BP17)&amp;IF(INDEX($AV$6:$AV$45,$BP17)="",""," · "&amp;INDEX($AV$6:$AV$45,$BP17)),""))</f>
        <v/>
      </c>
      <c r="T17" s="16" t="n"/>
      <c r="U17" s="16" t="n"/>
      <c r="V17" s="16" t="n"/>
      <c r="W17" s="16" t="n"/>
      <c r="X17" s="16" t="n"/>
      <c r="Y17" s="16" t="n"/>
      <c r="Z17" s="16" t="n"/>
      <c r="AA17" s="16" t="n"/>
      <c r="AB17" s="16" t="n"/>
      <c r="AC17" s="16" t="n"/>
      <c r="AD17" s="16" t="n"/>
      <c r="AE17" s="16" t="n"/>
      <c r="AF17" s="19" t="n">
        <v>31</v>
      </c>
      <c r="AH17" s="20" t="n"/>
      <c r="AI17" s="21" t="n"/>
      <c r="AJ17" s="20" t="n"/>
      <c r="AK17" s="21" t="n"/>
      <c r="AL17" s="22" t="n"/>
      <c r="AM17" s="21" t="n"/>
      <c r="AN17" s="23" t="n"/>
      <c r="AO17" s="21" t="n"/>
      <c r="AP17" s="21" t="n"/>
      <c r="AQ17" s="21" t="n"/>
      <c r="AR17" s="21" t="n"/>
      <c r="AS17" s="22" t="n"/>
      <c r="AT17" s="21" t="n"/>
      <c r="AU17" s="21" t="n"/>
      <c r="AV17" s="22" t="n"/>
      <c r="AW17" s="21" t="n"/>
      <c r="AX17" s="21" t="n"/>
      <c r="AY17" s="21" t="n"/>
      <c r="AZ17" s="21" t="n"/>
      <c r="BA17" s="21" t="n"/>
      <c r="BB17" s="22" t="n"/>
      <c r="BC17" s="21" t="n"/>
      <c r="BD17" s="21" t="n"/>
      <c r="BE17" s="22" t="n"/>
      <c r="BF17" s="21" t="n"/>
      <c r="BG17" s="21" t="n"/>
      <c r="BH17" s="21" t="n"/>
      <c r="BI17" s="21" t="n"/>
      <c r="BJ17" s="21" t="n"/>
      <c r="BK17" s="24" t="str">
        <f>IF(BE17="","",HYPERLINK("#'"&amp;BE17&amp;"'!A1","▶"))</f>
        <v/>
      </c>
      <c r="BM17">
        <f>B17</f>
        <v>31</v>
      </c>
      <c r="BN17">
        <f>SUMPRODUCT(ISNUMBER($AH$6:$AH$45)*($AH$6:$AH$45&lt;=$BM17)*($AH$6:$AH$45+($AJ$6:$AJ$45+($AJ$6:$AJ$45=0))-1&gt;=$BM17)*($AL$6:$AL$45&lt;&gt;"0U")*($AL$6:$AL$45&lt;&gt;"선반")*($AL$6:$AL$45&lt;&gt;"후면")*(ROW($AH$6:$AH$45)-5))</f>
        <v>0</v>
      </c>
      <c r="BO17">
        <f>SUMPRODUCT(ISNUMBER($AH$6:$AH$45)*($AH$6:$AH$45&lt;=$BM17)*($AH$6:$AH$45+($AJ$6:$AJ$45+($AJ$6:$AJ$45=0))-1&gt;=$BM17)*($AL$6:$AL$45&lt;&gt;"0U")*($AL$6:$AL$45&lt;&gt;"선반")*($AL$6:$AL$45&lt;&gt;"후면"))</f>
        <v>0</v>
      </c>
      <c r="BP17">
        <f>SUMPRODUCT(ISNUMBER($AH$6:$AH$45)*($AH$6:$AH$45&lt;=$BM17)*($AH$6:$AH$45+($AJ$6:$AJ$45+($AJ$6:$AJ$45=0))-1&gt;=$BM17)*($AL$6:$AL$45&lt;&gt;"0U")*($AL$6:$AL$45&lt;&gt;"선반")*($AL$6:$AL$45&lt;&gt;"전면")*(ROW($AH$6:$AH$45)-5))</f>
        <v>0</v>
      </c>
      <c r="BQ17">
        <f>SUMPRODUCT(ISNUMBER($AH$6:$AH$45)*($AH$6:$AH$45&lt;=$BM17)*($AH$6:$AH$45+($AJ$6:$AJ$45+($AJ$6:$AJ$45=0))-1&gt;=$BM17)*($AL$6:$AL$45&lt;&gt;"0U")*($AL$6:$AL$45&lt;&gt;"선반")*($AL$6:$AL$45&lt;&gt;"전면"))</f>
        <v>0</v>
      </c>
    </row>
    <row r="18" ht="10" customHeight="1">
      <c r="B18" s="14" t="n">
        <v>30</v>
      </c>
      <c r="C18" s="15" t="str">
        <f>IF($BO18&lt;&gt;1,IF($BO18&gt;1,"⚠ U 겹침",""),IF($BM18=INDEX($AH$6:$AH$45,$BN18)+INDEX($AJ$6:$AJ$45,$BN18)+(INDEX($AJ$6:$AJ$45,$BN18)=0)-1,INDEX($AN$6:$AN$45,$BN18)&amp;IF(INDEX($AV$6:$AV$45,$BN18)="",""," · "&amp;INDEX($AV$6:$AV$45,$BN18)),""))</f>
        <v/>
      </c>
      <c r="D18" s="16" t="n"/>
      <c r="E18" s="16" t="n"/>
      <c r="F18" s="16" t="n"/>
      <c r="G18" s="16" t="n"/>
      <c r="H18" s="16" t="n"/>
      <c r="I18" s="16" t="n"/>
      <c r="J18" s="16" t="n"/>
      <c r="K18" s="16" t="n"/>
      <c r="L18" s="16" t="n"/>
      <c r="M18" s="16" t="n"/>
      <c r="N18" s="16" t="n"/>
      <c r="O18" s="16" t="n"/>
      <c r="P18" s="17" t="n"/>
      <c r="R18" s="18" t="n"/>
      <c r="S18" s="15" t="str">
        <f>IF($BQ18&lt;&gt;1,IF($BQ18&gt;1,"⚠ U 겹침",""),IF($BM18=INDEX($AH$6:$AH$45,$BP18)+INDEX($AJ$6:$AJ$45,$BP18)+(INDEX($AJ$6:$AJ$45,$BP18)=0)-1,INDEX($AN$6:$AN$45,$BP18)&amp;IF(INDEX($AV$6:$AV$45,$BP18)="",""," · "&amp;INDEX($AV$6:$AV$45,$BP18)),""))</f>
        <v/>
      </c>
      <c r="T18" s="16" t="n"/>
      <c r="U18" s="16" t="n"/>
      <c r="V18" s="16" t="n"/>
      <c r="W18" s="16" t="n"/>
      <c r="X18" s="16" t="n"/>
      <c r="Y18" s="16" t="n"/>
      <c r="Z18" s="16" t="n"/>
      <c r="AA18" s="16" t="n"/>
      <c r="AB18" s="16" t="n"/>
      <c r="AC18" s="16" t="n"/>
      <c r="AD18" s="16" t="n"/>
      <c r="AE18" s="16" t="n"/>
      <c r="AF18" s="19" t="n">
        <v>30</v>
      </c>
      <c r="AH18" s="20" t="n"/>
      <c r="AI18" s="21" t="n"/>
      <c r="AJ18" s="20" t="n"/>
      <c r="AK18" s="21" t="n"/>
      <c r="AL18" s="22" t="n"/>
      <c r="AM18" s="21" t="n"/>
      <c r="AN18" s="23" t="n"/>
      <c r="AO18" s="21" t="n"/>
      <c r="AP18" s="21" t="n"/>
      <c r="AQ18" s="21" t="n"/>
      <c r="AR18" s="21" t="n"/>
      <c r="AS18" s="22" t="n"/>
      <c r="AT18" s="21" t="n"/>
      <c r="AU18" s="21" t="n"/>
      <c r="AV18" s="22" t="n"/>
      <c r="AW18" s="21" t="n"/>
      <c r="AX18" s="21" t="n"/>
      <c r="AY18" s="21" t="n"/>
      <c r="AZ18" s="21" t="n"/>
      <c r="BA18" s="21" t="n"/>
      <c r="BB18" s="22" t="n"/>
      <c r="BC18" s="21" t="n"/>
      <c r="BD18" s="21" t="n"/>
      <c r="BE18" s="22" t="n"/>
      <c r="BF18" s="21" t="n"/>
      <c r="BG18" s="21" t="n"/>
      <c r="BH18" s="21" t="n"/>
      <c r="BI18" s="21" t="n"/>
      <c r="BJ18" s="21" t="n"/>
      <c r="BK18" s="24" t="str">
        <f>IF(BE18="","",HYPERLINK("#'"&amp;BE18&amp;"'!A1","▶"))</f>
        <v/>
      </c>
      <c r="BM18">
        <f>B18</f>
        <v>30</v>
      </c>
      <c r="BN18">
        <f>SUMPRODUCT(ISNUMBER($AH$6:$AH$45)*($AH$6:$AH$45&lt;=$BM18)*($AH$6:$AH$45+($AJ$6:$AJ$45+($AJ$6:$AJ$45=0))-1&gt;=$BM18)*($AL$6:$AL$45&lt;&gt;"0U")*($AL$6:$AL$45&lt;&gt;"선반")*($AL$6:$AL$45&lt;&gt;"후면")*(ROW($AH$6:$AH$45)-5))</f>
        <v>0</v>
      </c>
      <c r="BO18">
        <f>SUMPRODUCT(ISNUMBER($AH$6:$AH$45)*($AH$6:$AH$45&lt;=$BM18)*($AH$6:$AH$45+($AJ$6:$AJ$45+($AJ$6:$AJ$45=0))-1&gt;=$BM18)*($AL$6:$AL$45&lt;&gt;"0U")*($AL$6:$AL$45&lt;&gt;"선반")*($AL$6:$AL$45&lt;&gt;"후면"))</f>
        <v>0</v>
      </c>
      <c r="BP18">
        <f>SUMPRODUCT(ISNUMBER($AH$6:$AH$45)*($AH$6:$AH$45&lt;=$BM18)*($AH$6:$AH$45+($AJ$6:$AJ$45+($AJ$6:$AJ$45=0))-1&gt;=$BM18)*($AL$6:$AL$45&lt;&gt;"0U")*($AL$6:$AL$45&lt;&gt;"선반")*($AL$6:$AL$45&lt;&gt;"전면")*(ROW($AH$6:$AH$45)-5))</f>
        <v>0</v>
      </c>
      <c r="BQ18">
        <f>SUMPRODUCT(ISNUMBER($AH$6:$AH$45)*($AH$6:$AH$45&lt;=$BM18)*($AH$6:$AH$45+($AJ$6:$AJ$45+($AJ$6:$AJ$45=0))-1&gt;=$BM18)*($AL$6:$AL$45&lt;&gt;"0U")*($AL$6:$AL$45&lt;&gt;"선반")*($AL$6:$AL$45&lt;&gt;"전면"))</f>
        <v>0</v>
      </c>
    </row>
    <row r="19" ht="10" customHeight="1">
      <c r="B19" s="14" t="n">
        <v>29</v>
      </c>
      <c r="C19" s="15" t="str">
        <f>IF($BO19&lt;&gt;1,IF($BO19&gt;1,"⚠ U 겹침",""),IF($BM19=INDEX($AH$6:$AH$45,$BN19)+INDEX($AJ$6:$AJ$45,$BN19)+(INDEX($AJ$6:$AJ$45,$BN19)=0)-1,INDEX($AN$6:$AN$45,$BN19)&amp;IF(INDEX($AV$6:$AV$45,$BN19)="",""," · "&amp;INDEX($AV$6:$AV$45,$BN19)),""))</f>
        <v/>
      </c>
      <c r="D19" s="16" t="n"/>
      <c r="E19" s="16" t="n"/>
      <c r="F19" s="16" t="n"/>
      <c r="G19" s="16" t="n"/>
      <c r="H19" s="16" t="n"/>
      <c r="I19" s="16" t="n"/>
      <c r="J19" s="16" t="n"/>
      <c r="K19" s="16" t="n"/>
      <c r="L19" s="16" t="n"/>
      <c r="M19" s="16" t="n"/>
      <c r="N19" s="16" t="n"/>
      <c r="O19" s="16" t="n"/>
      <c r="P19" s="17" t="n"/>
      <c r="R19" s="18" t="n"/>
      <c r="S19" s="15" t="str">
        <f>IF($BQ19&lt;&gt;1,IF($BQ19&gt;1,"⚠ U 겹침",""),IF($BM19=INDEX($AH$6:$AH$45,$BP19)+INDEX($AJ$6:$AJ$45,$BP19)+(INDEX($AJ$6:$AJ$45,$BP19)=0)-1,INDEX($AN$6:$AN$45,$BP19)&amp;IF(INDEX($AV$6:$AV$45,$BP19)="",""," · "&amp;INDEX($AV$6:$AV$45,$BP19)),""))</f>
        <v/>
      </c>
      <c r="T19" s="16" t="n"/>
      <c r="U19" s="16" t="n"/>
      <c r="V19" s="16" t="n"/>
      <c r="W19" s="16" t="n"/>
      <c r="X19" s="16" t="n"/>
      <c r="Y19" s="16" t="n"/>
      <c r="Z19" s="16" t="n"/>
      <c r="AA19" s="16" t="n"/>
      <c r="AB19" s="16" t="n"/>
      <c r="AC19" s="16" t="n"/>
      <c r="AD19" s="16" t="n"/>
      <c r="AE19" s="16" t="n"/>
      <c r="AF19" s="19" t="n">
        <v>29</v>
      </c>
      <c r="AH19" s="20" t="n"/>
      <c r="AI19" s="21" t="n"/>
      <c r="AJ19" s="20" t="n"/>
      <c r="AK19" s="21" t="n"/>
      <c r="AL19" s="22" t="n"/>
      <c r="AM19" s="21" t="n"/>
      <c r="AN19" s="23" t="n"/>
      <c r="AO19" s="21" t="n"/>
      <c r="AP19" s="21" t="n"/>
      <c r="AQ19" s="21" t="n"/>
      <c r="AR19" s="21" t="n"/>
      <c r="AS19" s="22" t="n"/>
      <c r="AT19" s="21" t="n"/>
      <c r="AU19" s="21" t="n"/>
      <c r="AV19" s="22" t="n"/>
      <c r="AW19" s="21" t="n"/>
      <c r="AX19" s="21" t="n"/>
      <c r="AY19" s="21" t="n"/>
      <c r="AZ19" s="21" t="n"/>
      <c r="BA19" s="21" t="n"/>
      <c r="BB19" s="22" t="n"/>
      <c r="BC19" s="21" t="n"/>
      <c r="BD19" s="21" t="n"/>
      <c r="BE19" s="22" t="n"/>
      <c r="BF19" s="21" t="n"/>
      <c r="BG19" s="21" t="n"/>
      <c r="BH19" s="21" t="n"/>
      <c r="BI19" s="21" t="n"/>
      <c r="BJ19" s="21" t="n"/>
      <c r="BK19" s="24" t="str">
        <f>IF(BE19="","",HYPERLINK("#'"&amp;BE19&amp;"'!A1","▶"))</f>
        <v/>
      </c>
      <c r="BM19">
        <f>B19</f>
        <v>29</v>
      </c>
      <c r="BN19">
        <f>SUMPRODUCT(ISNUMBER($AH$6:$AH$45)*($AH$6:$AH$45&lt;=$BM19)*($AH$6:$AH$45+($AJ$6:$AJ$45+($AJ$6:$AJ$45=0))-1&gt;=$BM19)*($AL$6:$AL$45&lt;&gt;"0U")*($AL$6:$AL$45&lt;&gt;"선반")*($AL$6:$AL$45&lt;&gt;"후면")*(ROW($AH$6:$AH$45)-5))</f>
        <v>0</v>
      </c>
      <c r="BO19">
        <f>SUMPRODUCT(ISNUMBER($AH$6:$AH$45)*($AH$6:$AH$45&lt;=$BM19)*($AH$6:$AH$45+($AJ$6:$AJ$45+($AJ$6:$AJ$45=0))-1&gt;=$BM19)*($AL$6:$AL$45&lt;&gt;"0U")*($AL$6:$AL$45&lt;&gt;"선반")*($AL$6:$AL$45&lt;&gt;"후면"))</f>
        <v>0</v>
      </c>
      <c r="BP19">
        <f>SUMPRODUCT(ISNUMBER($AH$6:$AH$45)*($AH$6:$AH$45&lt;=$BM19)*($AH$6:$AH$45+($AJ$6:$AJ$45+($AJ$6:$AJ$45=0))-1&gt;=$BM19)*($AL$6:$AL$45&lt;&gt;"0U")*($AL$6:$AL$45&lt;&gt;"선반")*($AL$6:$AL$45&lt;&gt;"전면")*(ROW($AH$6:$AH$45)-5))</f>
        <v>0</v>
      </c>
      <c r="BQ19">
        <f>SUMPRODUCT(ISNUMBER($AH$6:$AH$45)*($AH$6:$AH$45&lt;=$BM19)*($AH$6:$AH$45+($AJ$6:$AJ$45+($AJ$6:$AJ$45=0))-1&gt;=$BM19)*($AL$6:$AL$45&lt;&gt;"0U")*($AL$6:$AL$45&lt;&gt;"선반")*($AL$6:$AL$45&lt;&gt;"전면"))</f>
        <v>0</v>
      </c>
    </row>
    <row r="20" ht="10" customHeight="1">
      <c r="B20" s="14" t="n">
        <v>28</v>
      </c>
      <c r="C20" s="15" t="str">
        <f>IF($BO20&lt;&gt;1,IF($BO20&gt;1,"⚠ U 겹침",""),IF($BM20=INDEX($AH$6:$AH$45,$BN20)+INDEX($AJ$6:$AJ$45,$BN20)+(INDEX($AJ$6:$AJ$45,$BN20)=0)-1,INDEX($AN$6:$AN$45,$BN20)&amp;IF(INDEX($AV$6:$AV$45,$BN20)="",""," · "&amp;INDEX($AV$6:$AV$45,$BN20)),""))</f>
        <v/>
      </c>
      <c r="D20" s="16" t="n"/>
      <c r="E20" s="16" t="n"/>
      <c r="F20" s="16" t="n"/>
      <c r="G20" s="16" t="n"/>
      <c r="H20" s="16" t="n"/>
      <c r="I20" s="16" t="n"/>
      <c r="J20" s="16" t="n"/>
      <c r="K20" s="16" t="n"/>
      <c r="L20" s="16" t="n"/>
      <c r="M20" s="16" t="n"/>
      <c r="N20" s="16" t="n"/>
      <c r="O20" s="16" t="n"/>
      <c r="P20" s="17" t="n"/>
      <c r="R20" s="18" t="n"/>
      <c r="S20" s="15" t="str">
        <f>IF($BQ20&lt;&gt;1,IF($BQ20&gt;1,"⚠ U 겹침",""),IF($BM20=INDEX($AH$6:$AH$45,$BP20)+INDEX($AJ$6:$AJ$45,$BP20)+(INDEX($AJ$6:$AJ$45,$BP20)=0)-1,INDEX($AN$6:$AN$45,$BP20)&amp;IF(INDEX($AV$6:$AV$45,$BP20)="",""," · "&amp;INDEX($AV$6:$AV$45,$BP20)),""))</f>
        <v/>
      </c>
      <c r="T20" s="16" t="n"/>
      <c r="U20" s="16" t="n"/>
      <c r="V20" s="16" t="n"/>
      <c r="W20" s="16" t="n"/>
      <c r="X20" s="16" t="n"/>
      <c r="Y20" s="16" t="n"/>
      <c r="Z20" s="16" t="n"/>
      <c r="AA20" s="16" t="n"/>
      <c r="AB20" s="16" t="n"/>
      <c r="AC20" s="16" t="n"/>
      <c r="AD20" s="16" t="n"/>
      <c r="AE20" s="16" t="n"/>
      <c r="AF20" s="19" t="n">
        <v>28</v>
      </c>
      <c r="AH20" s="20" t="n"/>
      <c r="AI20" s="21" t="n"/>
      <c r="AJ20" s="20" t="n"/>
      <c r="AK20" s="21" t="n"/>
      <c r="AL20" s="22" t="n"/>
      <c r="AM20" s="21" t="n"/>
      <c r="AN20" s="23" t="n"/>
      <c r="AO20" s="21" t="n"/>
      <c r="AP20" s="21" t="n"/>
      <c r="AQ20" s="21" t="n"/>
      <c r="AR20" s="21" t="n"/>
      <c r="AS20" s="22" t="n"/>
      <c r="AT20" s="21" t="n"/>
      <c r="AU20" s="21" t="n"/>
      <c r="AV20" s="22" t="n"/>
      <c r="AW20" s="21" t="n"/>
      <c r="AX20" s="21" t="n"/>
      <c r="AY20" s="21" t="n"/>
      <c r="AZ20" s="21" t="n"/>
      <c r="BA20" s="21" t="n"/>
      <c r="BB20" s="22" t="n"/>
      <c r="BC20" s="21" t="n"/>
      <c r="BD20" s="21" t="n"/>
      <c r="BE20" s="22" t="n"/>
      <c r="BF20" s="21" t="n"/>
      <c r="BG20" s="21" t="n"/>
      <c r="BH20" s="21" t="n"/>
      <c r="BI20" s="21" t="n"/>
      <c r="BJ20" s="21" t="n"/>
      <c r="BK20" s="24" t="str">
        <f>IF(BE20="","",HYPERLINK("#'"&amp;BE20&amp;"'!A1","▶"))</f>
        <v/>
      </c>
      <c r="BM20">
        <f>B20</f>
        <v>28</v>
      </c>
      <c r="BN20">
        <f>SUMPRODUCT(ISNUMBER($AH$6:$AH$45)*($AH$6:$AH$45&lt;=$BM20)*($AH$6:$AH$45+($AJ$6:$AJ$45+($AJ$6:$AJ$45=0))-1&gt;=$BM20)*($AL$6:$AL$45&lt;&gt;"0U")*($AL$6:$AL$45&lt;&gt;"선반")*($AL$6:$AL$45&lt;&gt;"후면")*(ROW($AH$6:$AH$45)-5))</f>
        <v>0</v>
      </c>
      <c r="BO20">
        <f>SUMPRODUCT(ISNUMBER($AH$6:$AH$45)*($AH$6:$AH$45&lt;=$BM20)*($AH$6:$AH$45+($AJ$6:$AJ$45+($AJ$6:$AJ$45=0))-1&gt;=$BM20)*($AL$6:$AL$45&lt;&gt;"0U")*($AL$6:$AL$45&lt;&gt;"선반")*($AL$6:$AL$45&lt;&gt;"후면"))</f>
        <v>0</v>
      </c>
      <c r="BP20">
        <f>SUMPRODUCT(ISNUMBER($AH$6:$AH$45)*($AH$6:$AH$45&lt;=$BM20)*($AH$6:$AH$45+($AJ$6:$AJ$45+($AJ$6:$AJ$45=0))-1&gt;=$BM20)*($AL$6:$AL$45&lt;&gt;"0U")*($AL$6:$AL$45&lt;&gt;"선반")*($AL$6:$AL$45&lt;&gt;"전면")*(ROW($AH$6:$AH$45)-5))</f>
        <v>0</v>
      </c>
      <c r="BQ20">
        <f>SUMPRODUCT(ISNUMBER($AH$6:$AH$45)*($AH$6:$AH$45&lt;=$BM20)*($AH$6:$AH$45+($AJ$6:$AJ$45+($AJ$6:$AJ$45=0))-1&gt;=$BM20)*($AL$6:$AL$45&lt;&gt;"0U")*($AL$6:$AL$45&lt;&gt;"선반")*($AL$6:$AL$45&lt;&gt;"전면"))</f>
        <v>0</v>
      </c>
    </row>
    <row r="21" ht="10" customHeight="1">
      <c r="B21" s="14" t="n">
        <v>27</v>
      </c>
      <c r="C21" s="15" t="str">
        <f>IF($BO21&lt;&gt;1,IF($BO21&gt;1,"⚠ U 겹침",""),IF($BM21=INDEX($AH$6:$AH$45,$BN21)+INDEX($AJ$6:$AJ$45,$BN21)+(INDEX($AJ$6:$AJ$45,$BN21)=0)-1,INDEX($AN$6:$AN$45,$BN21)&amp;IF(INDEX($AV$6:$AV$45,$BN21)="",""," · "&amp;INDEX($AV$6:$AV$45,$BN21)),""))</f>
        <v/>
      </c>
      <c r="D21" s="16" t="n"/>
      <c r="E21" s="16" t="n"/>
      <c r="F21" s="16" t="n"/>
      <c r="G21" s="16" t="n"/>
      <c r="H21" s="16" t="n"/>
      <c r="I21" s="16" t="n"/>
      <c r="J21" s="16" t="n"/>
      <c r="K21" s="16" t="n"/>
      <c r="L21" s="16" t="n"/>
      <c r="M21" s="16" t="n"/>
      <c r="N21" s="16" t="n"/>
      <c r="O21" s="16" t="n"/>
      <c r="P21" s="17" t="n"/>
      <c r="R21" s="18" t="n"/>
      <c r="S21" s="15" t="str">
        <f>IF($BQ21&lt;&gt;1,IF($BQ21&gt;1,"⚠ U 겹침",""),IF($BM21=INDEX($AH$6:$AH$45,$BP21)+INDEX($AJ$6:$AJ$45,$BP21)+(INDEX($AJ$6:$AJ$45,$BP21)=0)-1,INDEX($AN$6:$AN$45,$BP21)&amp;IF(INDEX($AV$6:$AV$45,$BP21)="",""," · "&amp;INDEX($AV$6:$AV$45,$BP21)),""))</f>
        <v/>
      </c>
      <c r="T21" s="16" t="n"/>
      <c r="U21" s="16" t="n"/>
      <c r="V21" s="16" t="n"/>
      <c r="W21" s="16" t="n"/>
      <c r="X21" s="16" t="n"/>
      <c r="Y21" s="16" t="n"/>
      <c r="Z21" s="16" t="n"/>
      <c r="AA21" s="16" t="n"/>
      <c r="AB21" s="16" t="n"/>
      <c r="AC21" s="16" t="n"/>
      <c r="AD21" s="16" t="n"/>
      <c r="AE21" s="16" t="n"/>
      <c r="AF21" s="19" t="n">
        <v>27</v>
      </c>
      <c r="AH21" s="20" t="n"/>
      <c r="AI21" s="21" t="n"/>
      <c r="AJ21" s="20" t="n"/>
      <c r="AK21" s="21" t="n"/>
      <c r="AL21" s="22" t="n"/>
      <c r="AM21" s="21" t="n"/>
      <c r="AN21" s="23" t="n"/>
      <c r="AO21" s="21" t="n"/>
      <c r="AP21" s="21" t="n"/>
      <c r="AQ21" s="21" t="n"/>
      <c r="AR21" s="21" t="n"/>
      <c r="AS21" s="22" t="n"/>
      <c r="AT21" s="21" t="n"/>
      <c r="AU21" s="21" t="n"/>
      <c r="AV21" s="22" t="n"/>
      <c r="AW21" s="21" t="n"/>
      <c r="AX21" s="21" t="n"/>
      <c r="AY21" s="21" t="n"/>
      <c r="AZ21" s="21" t="n"/>
      <c r="BA21" s="21" t="n"/>
      <c r="BB21" s="22" t="n"/>
      <c r="BC21" s="21" t="n"/>
      <c r="BD21" s="21" t="n"/>
      <c r="BE21" s="22" t="n"/>
      <c r="BF21" s="21" t="n"/>
      <c r="BG21" s="21" t="n"/>
      <c r="BH21" s="21" t="n"/>
      <c r="BI21" s="21" t="n"/>
      <c r="BJ21" s="21" t="n"/>
      <c r="BK21" s="24" t="str">
        <f>IF(BE21="","",HYPERLINK("#'"&amp;BE21&amp;"'!A1","▶"))</f>
        <v/>
      </c>
      <c r="BM21">
        <f>B21</f>
        <v>27</v>
      </c>
      <c r="BN21">
        <f>SUMPRODUCT(ISNUMBER($AH$6:$AH$45)*($AH$6:$AH$45&lt;=$BM21)*($AH$6:$AH$45+($AJ$6:$AJ$45+($AJ$6:$AJ$45=0))-1&gt;=$BM21)*($AL$6:$AL$45&lt;&gt;"0U")*($AL$6:$AL$45&lt;&gt;"선반")*($AL$6:$AL$45&lt;&gt;"후면")*(ROW($AH$6:$AH$45)-5))</f>
        <v>0</v>
      </c>
      <c r="BO21">
        <f>SUMPRODUCT(ISNUMBER($AH$6:$AH$45)*($AH$6:$AH$45&lt;=$BM21)*($AH$6:$AH$45+($AJ$6:$AJ$45+($AJ$6:$AJ$45=0))-1&gt;=$BM21)*($AL$6:$AL$45&lt;&gt;"0U")*($AL$6:$AL$45&lt;&gt;"선반")*($AL$6:$AL$45&lt;&gt;"후면"))</f>
        <v>0</v>
      </c>
      <c r="BP21">
        <f>SUMPRODUCT(ISNUMBER($AH$6:$AH$45)*($AH$6:$AH$45&lt;=$BM21)*($AH$6:$AH$45+($AJ$6:$AJ$45+($AJ$6:$AJ$45=0))-1&gt;=$BM21)*($AL$6:$AL$45&lt;&gt;"0U")*($AL$6:$AL$45&lt;&gt;"선반")*($AL$6:$AL$45&lt;&gt;"전면")*(ROW($AH$6:$AH$45)-5))</f>
        <v>0</v>
      </c>
      <c r="BQ21">
        <f>SUMPRODUCT(ISNUMBER($AH$6:$AH$45)*($AH$6:$AH$45&lt;=$BM21)*($AH$6:$AH$45+($AJ$6:$AJ$45+($AJ$6:$AJ$45=0))-1&gt;=$BM21)*($AL$6:$AL$45&lt;&gt;"0U")*($AL$6:$AL$45&lt;&gt;"선반")*($AL$6:$AL$45&lt;&gt;"전면"))</f>
        <v>0</v>
      </c>
    </row>
    <row r="22" ht="10" customHeight="1">
      <c r="B22" s="14" t="n">
        <v>26</v>
      </c>
      <c r="C22" s="15" t="str">
        <f>IF($BO22&lt;&gt;1,IF($BO22&gt;1,"⚠ U 겹침",""),IF($BM22=INDEX($AH$6:$AH$45,$BN22)+INDEX($AJ$6:$AJ$45,$BN22)+(INDEX($AJ$6:$AJ$45,$BN22)=0)-1,INDEX($AN$6:$AN$45,$BN22)&amp;IF(INDEX($AV$6:$AV$45,$BN22)="",""," · "&amp;INDEX($AV$6:$AV$45,$BN22)),""))</f>
        <v/>
      </c>
      <c r="D22" s="16" t="n"/>
      <c r="E22" s="16" t="n"/>
      <c r="F22" s="16" t="n"/>
      <c r="G22" s="16" t="n"/>
      <c r="H22" s="16" t="n"/>
      <c r="I22" s="16" t="n"/>
      <c r="J22" s="16" t="n"/>
      <c r="K22" s="16" t="n"/>
      <c r="L22" s="16" t="n"/>
      <c r="M22" s="16" t="n"/>
      <c r="N22" s="16" t="n"/>
      <c r="O22" s="16" t="n"/>
      <c r="P22" s="17" t="n"/>
      <c r="R22" s="18" t="n"/>
      <c r="S22" s="15" t="str">
        <f>IF($BQ22&lt;&gt;1,IF($BQ22&gt;1,"⚠ U 겹침",""),IF($BM22=INDEX($AH$6:$AH$45,$BP22)+INDEX($AJ$6:$AJ$45,$BP22)+(INDEX($AJ$6:$AJ$45,$BP22)=0)-1,INDEX($AN$6:$AN$45,$BP22)&amp;IF(INDEX($AV$6:$AV$45,$BP22)="",""," · "&amp;INDEX($AV$6:$AV$45,$BP22)),""))</f>
        <v/>
      </c>
      <c r="T22" s="16" t="n"/>
      <c r="U22" s="16" t="n"/>
      <c r="V22" s="16" t="n"/>
      <c r="W22" s="16" t="n"/>
      <c r="X22" s="16" t="n"/>
      <c r="Y22" s="16" t="n"/>
      <c r="Z22" s="16" t="n"/>
      <c r="AA22" s="16" t="n"/>
      <c r="AB22" s="16" t="n"/>
      <c r="AC22" s="16" t="n"/>
      <c r="AD22" s="16" t="n"/>
      <c r="AE22" s="16" t="n"/>
      <c r="AF22" s="19" t="n">
        <v>26</v>
      </c>
      <c r="AH22" s="20" t="n"/>
      <c r="AI22" s="21" t="n"/>
      <c r="AJ22" s="20" t="n"/>
      <c r="AK22" s="21" t="n"/>
      <c r="AL22" s="22" t="n"/>
      <c r="AM22" s="21" t="n"/>
      <c r="AN22" s="23" t="n"/>
      <c r="AO22" s="21" t="n"/>
      <c r="AP22" s="21" t="n"/>
      <c r="AQ22" s="21" t="n"/>
      <c r="AR22" s="21" t="n"/>
      <c r="AS22" s="22" t="n"/>
      <c r="AT22" s="21" t="n"/>
      <c r="AU22" s="21" t="n"/>
      <c r="AV22" s="22" t="n"/>
      <c r="AW22" s="21" t="n"/>
      <c r="AX22" s="21" t="n"/>
      <c r="AY22" s="21" t="n"/>
      <c r="AZ22" s="21" t="n"/>
      <c r="BA22" s="21" t="n"/>
      <c r="BB22" s="22" t="n"/>
      <c r="BC22" s="21" t="n"/>
      <c r="BD22" s="21" t="n"/>
      <c r="BE22" s="22" t="n"/>
      <c r="BF22" s="21" t="n"/>
      <c r="BG22" s="21" t="n"/>
      <c r="BH22" s="21" t="n"/>
      <c r="BI22" s="21" t="n"/>
      <c r="BJ22" s="21" t="n"/>
      <c r="BK22" s="24" t="str">
        <f>IF(BE22="","",HYPERLINK("#'"&amp;BE22&amp;"'!A1","▶"))</f>
        <v/>
      </c>
      <c r="BM22">
        <f>B22</f>
        <v>26</v>
      </c>
      <c r="BN22">
        <f>SUMPRODUCT(ISNUMBER($AH$6:$AH$45)*($AH$6:$AH$45&lt;=$BM22)*($AH$6:$AH$45+($AJ$6:$AJ$45+($AJ$6:$AJ$45=0))-1&gt;=$BM22)*($AL$6:$AL$45&lt;&gt;"0U")*($AL$6:$AL$45&lt;&gt;"선반")*($AL$6:$AL$45&lt;&gt;"후면")*(ROW($AH$6:$AH$45)-5))</f>
        <v>0</v>
      </c>
      <c r="BO22">
        <f>SUMPRODUCT(ISNUMBER($AH$6:$AH$45)*($AH$6:$AH$45&lt;=$BM22)*($AH$6:$AH$45+($AJ$6:$AJ$45+($AJ$6:$AJ$45=0))-1&gt;=$BM22)*($AL$6:$AL$45&lt;&gt;"0U")*($AL$6:$AL$45&lt;&gt;"선반")*($AL$6:$AL$45&lt;&gt;"후면"))</f>
        <v>0</v>
      </c>
      <c r="BP22">
        <f>SUMPRODUCT(ISNUMBER($AH$6:$AH$45)*($AH$6:$AH$45&lt;=$BM22)*($AH$6:$AH$45+($AJ$6:$AJ$45+($AJ$6:$AJ$45=0))-1&gt;=$BM22)*($AL$6:$AL$45&lt;&gt;"0U")*($AL$6:$AL$45&lt;&gt;"선반")*($AL$6:$AL$45&lt;&gt;"전면")*(ROW($AH$6:$AH$45)-5))</f>
        <v>0</v>
      </c>
      <c r="BQ22">
        <f>SUMPRODUCT(ISNUMBER($AH$6:$AH$45)*($AH$6:$AH$45&lt;=$BM22)*($AH$6:$AH$45+($AJ$6:$AJ$45+($AJ$6:$AJ$45=0))-1&gt;=$BM22)*($AL$6:$AL$45&lt;&gt;"0U")*($AL$6:$AL$45&lt;&gt;"선반")*($AL$6:$AL$45&lt;&gt;"전면"))</f>
        <v>0</v>
      </c>
    </row>
    <row r="23" ht="10" customHeight="1">
      <c r="B23" s="14" t="n">
        <v>25</v>
      </c>
      <c r="C23" s="15" t="str">
        <f>IF($BO23&lt;&gt;1,IF($BO23&gt;1,"⚠ U 겹침",""),IF($BM23=INDEX($AH$6:$AH$45,$BN23)+INDEX($AJ$6:$AJ$45,$BN23)+(INDEX($AJ$6:$AJ$45,$BN23)=0)-1,INDEX($AN$6:$AN$45,$BN23)&amp;IF(INDEX($AV$6:$AV$45,$BN23)="",""," · "&amp;INDEX($AV$6:$AV$45,$BN23)),""))</f>
        <v/>
      </c>
      <c r="D23" s="16" t="n"/>
      <c r="E23" s="16" t="n"/>
      <c r="F23" s="16" t="n"/>
      <c r="G23" s="16" t="n"/>
      <c r="H23" s="16" t="n"/>
      <c r="I23" s="16" t="n"/>
      <c r="J23" s="16" t="n"/>
      <c r="K23" s="16" t="n"/>
      <c r="L23" s="16" t="n"/>
      <c r="M23" s="16" t="n"/>
      <c r="N23" s="16" t="n"/>
      <c r="O23" s="16" t="n"/>
      <c r="P23" s="17" t="n"/>
      <c r="R23" s="18" t="n"/>
      <c r="S23" s="15" t="str">
        <f>IF($BQ23&lt;&gt;1,IF($BQ23&gt;1,"⚠ U 겹침",""),IF($BM23=INDEX($AH$6:$AH$45,$BP23)+INDEX($AJ$6:$AJ$45,$BP23)+(INDEX($AJ$6:$AJ$45,$BP23)=0)-1,INDEX($AN$6:$AN$45,$BP23)&amp;IF(INDEX($AV$6:$AV$45,$BP23)="",""," · "&amp;INDEX($AV$6:$AV$45,$BP23)),""))</f>
        <v/>
      </c>
      <c r="T23" s="16" t="n"/>
      <c r="U23" s="16" t="n"/>
      <c r="V23" s="16" t="n"/>
      <c r="W23" s="16" t="n"/>
      <c r="X23" s="16" t="n"/>
      <c r="Y23" s="16" t="n"/>
      <c r="Z23" s="16" t="n"/>
      <c r="AA23" s="16" t="n"/>
      <c r="AB23" s="16" t="n"/>
      <c r="AC23" s="16" t="n"/>
      <c r="AD23" s="16" t="n"/>
      <c r="AE23" s="16" t="n"/>
      <c r="AF23" s="19" t="n">
        <v>25</v>
      </c>
      <c r="AH23" s="20" t="n"/>
      <c r="AI23" s="21" t="n"/>
      <c r="AJ23" s="20" t="n"/>
      <c r="AK23" s="21" t="n"/>
      <c r="AL23" s="22" t="n"/>
      <c r="AM23" s="21" t="n"/>
      <c r="AN23" s="23" t="n"/>
      <c r="AO23" s="21" t="n"/>
      <c r="AP23" s="21" t="n"/>
      <c r="AQ23" s="21" t="n"/>
      <c r="AR23" s="21" t="n"/>
      <c r="AS23" s="22" t="n"/>
      <c r="AT23" s="21" t="n"/>
      <c r="AU23" s="21" t="n"/>
      <c r="AV23" s="22" t="n"/>
      <c r="AW23" s="21" t="n"/>
      <c r="AX23" s="21" t="n"/>
      <c r="AY23" s="21" t="n"/>
      <c r="AZ23" s="21" t="n"/>
      <c r="BA23" s="21" t="n"/>
      <c r="BB23" s="22" t="n"/>
      <c r="BC23" s="21" t="n"/>
      <c r="BD23" s="21" t="n"/>
      <c r="BE23" s="22" t="n"/>
      <c r="BF23" s="21" t="n"/>
      <c r="BG23" s="21" t="n"/>
      <c r="BH23" s="21" t="n"/>
      <c r="BI23" s="21" t="n"/>
      <c r="BJ23" s="21" t="n"/>
      <c r="BK23" s="24" t="str">
        <f>IF(BE23="","",HYPERLINK("#'"&amp;BE23&amp;"'!A1","▶"))</f>
        <v/>
      </c>
      <c r="BM23">
        <f>B23</f>
        <v>25</v>
      </c>
      <c r="BN23">
        <f>SUMPRODUCT(ISNUMBER($AH$6:$AH$45)*($AH$6:$AH$45&lt;=$BM23)*($AH$6:$AH$45+($AJ$6:$AJ$45+($AJ$6:$AJ$45=0))-1&gt;=$BM23)*($AL$6:$AL$45&lt;&gt;"0U")*($AL$6:$AL$45&lt;&gt;"선반")*($AL$6:$AL$45&lt;&gt;"후면")*(ROW($AH$6:$AH$45)-5))</f>
        <v>0</v>
      </c>
      <c r="BO23">
        <f>SUMPRODUCT(ISNUMBER($AH$6:$AH$45)*($AH$6:$AH$45&lt;=$BM23)*($AH$6:$AH$45+($AJ$6:$AJ$45+($AJ$6:$AJ$45=0))-1&gt;=$BM23)*($AL$6:$AL$45&lt;&gt;"0U")*($AL$6:$AL$45&lt;&gt;"선반")*($AL$6:$AL$45&lt;&gt;"후면"))</f>
        <v>0</v>
      </c>
      <c r="BP23">
        <f>SUMPRODUCT(ISNUMBER($AH$6:$AH$45)*($AH$6:$AH$45&lt;=$BM23)*($AH$6:$AH$45+($AJ$6:$AJ$45+($AJ$6:$AJ$45=0))-1&gt;=$BM23)*($AL$6:$AL$45&lt;&gt;"0U")*($AL$6:$AL$45&lt;&gt;"선반")*($AL$6:$AL$45&lt;&gt;"전면")*(ROW($AH$6:$AH$45)-5))</f>
        <v>0</v>
      </c>
      <c r="BQ23">
        <f>SUMPRODUCT(ISNUMBER($AH$6:$AH$45)*($AH$6:$AH$45&lt;=$BM23)*($AH$6:$AH$45+($AJ$6:$AJ$45+($AJ$6:$AJ$45=0))-1&gt;=$BM23)*($AL$6:$AL$45&lt;&gt;"0U")*($AL$6:$AL$45&lt;&gt;"선반")*($AL$6:$AL$45&lt;&gt;"전면"))</f>
        <v>0</v>
      </c>
    </row>
    <row r="24" ht="10" customHeight="1">
      <c r="B24" s="14" t="n">
        <v>24</v>
      </c>
      <c r="C24" s="15" t="str">
        <f>IF($BO24&lt;&gt;1,IF($BO24&gt;1,"⚠ U 겹침",""),IF($BM24=INDEX($AH$6:$AH$45,$BN24)+INDEX($AJ$6:$AJ$45,$BN24)+(INDEX($AJ$6:$AJ$45,$BN24)=0)-1,INDEX($AN$6:$AN$45,$BN24)&amp;IF(INDEX($AV$6:$AV$45,$BN24)="",""," · "&amp;INDEX($AV$6:$AV$45,$BN24)),""))</f>
        <v/>
      </c>
      <c r="D24" s="16" t="n"/>
      <c r="E24" s="16" t="n"/>
      <c r="F24" s="16" t="n"/>
      <c r="G24" s="16" t="n"/>
      <c r="H24" s="16" t="n"/>
      <c r="I24" s="16" t="n"/>
      <c r="J24" s="16" t="n"/>
      <c r="K24" s="16" t="n"/>
      <c r="L24" s="16" t="n"/>
      <c r="M24" s="16" t="n"/>
      <c r="N24" s="16" t="n"/>
      <c r="O24" s="16" t="n"/>
      <c r="P24" s="17" t="n"/>
      <c r="R24" s="18" t="n"/>
      <c r="S24" s="15" t="str">
        <f>IF($BQ24&lt;&gt;1,IF($BQ24&gt;1,"⚠ U 겹침",""),IF($BM24=INDEX($AH$6:$AH$45,$BP24)+INDEX($AJ$6:$AJ$45,$BP24)+(INDEX($AJ$6:$AJ$45,$BP24)=0)-1,INDEX($AN$6:$AN$45,$BP24)&amp;IF(INDEX($AV$6:$AV$45,$BP24)="",""," · "&amp;INDEX($AV$6:$AV$45,$BP24)),""))</f>
        <v/>
      </c>
      <c r="T24" s="16" t="n"/>
      <c r="U24" s="16" t="n"/>
      <c r="V24" s="16" t="n"/>
      <c r="W24" s="16" t="n"/>
      <c r="X24" s="16" t="n"/>
      <c r="Y24" s="16" t="n"/>
      <c r="Z24" s="16" t="n"/>
      <c r="AA24" s="16" t="n"/>
      <c r="AB24" s="16" t="n"/>
      <c r="AC24" s="16" t="n"/>
      <c r="AD24" s="16" t="n"/>
      <c r="AE24" s="16" t="n"/>
      <c r="AF24" s="19" t="n">
        <v>24</v>
      </c>
      <c r="AH24" s="20" t="n"/>
      <c r="AI24" s="21" t="n"/>
      <c r="AJ24" s="20" t="n"/>
      <c r="AK24" s="21" t="n"/>
      <c r="AL24" s="22" t="n"/>
      <c r="AM24" s="21" t="n"/>
      <c r="AN24" s="23" t="n"/>
      <c r="AO24" s="21" t="n"/>
      <c r="AP24" s="21" t="n"/>
      <c r="AQ24" s="21" t="n"/>
      <c r="AR24" s="21" t="n"/>
      <c r="AS24" s="22" t="n"/>
      <c r="AT24" s="21" t="n"/>
      <c r="AU24" s="21" t="n"/>
      <c r="AV24" s="22" t="n"/>
      <c r="AW24" s="21" t="n"/>
      <c r="AX24" s="21" t="n"/>
      <c r="AY24" s="21" t="n"/>
      <c r="AZ24" s="21" t="n"/>
      <c r="BA24" s="21" t="n"/>
      <c r="BB24" s="22" t="n"/>
      <c r="BC24" s="21" t="n"/>
      <c r="BD24" s="21" t="n"/>
      <c r="BE24" s="22" t="n"/>
      <c r="BF24" s="21" t="n"/>
      <c r="BG24" s="21" t="n"/>
      <c r="BH24" s="21" t="n"/>
      <c r="BI24" s="21" t="n"/>
      <c r="BJ24" s="21" t="n"/>
      <c r="BK24" s="24" t="str">
        <f>IF(BE24="","",HYPERLINK("#'"&amp;BE24&amp;"'!A1","▶"))</f>
        <v/>
      </c>
      <c r="BM24">
        <f>B24</f>
        <v>24</v>
      </c>
      <c r="BN24">
        <f>SUMPRODUCT(ISNUMBER($AH$6:$AH$45)*($AH$6:$AH$45&lt;=$BM24)*($AH$6:$AH$45+($AJ$6:$AJ$45+($AJ$6:$AJ$45=0))-1&gt;=$BM24)*($AL$6:$AL$45&lt;&gt;"0U")*($AL$6:$AL$45&lt;&gt;"선반")*($AL$6:$AL$45&lt;&gt;"후면")*(ROW($AH$6:$AH$45)-5))</f>
        <v>0</v>
      </c>
      <c r="BO24">
        <f>SUMPRODUCT(ISNUMBER($AH$6:$AH$45)*($AH$6:$AH$45&lt;=$BM24)*($AH$6:$AH$45+($AJ$6:$AJ$45+($AJ$6:$AJ$45=0))-1&gt;=$BM24)*($AL$6:$AL$45&lt;&gt;"0U")*($AL$6:$AL$45&lt;&gt;"선반")*($AL$6:$AL$45&lt;&gt;"후면"))</f>
        <v>0</v>
      </c>
      <c r="BP24">
        <f>SUMPRODUCT(ISNUMBER($AH$6:$AH$45)*($AH$6:$AH$45&lt;=$BM24)*($AH$6:$AH$45+($AJ$6:$AJ$45+($AJ$6:$AJ$45=0))-1&gt;=$BM24)*($AL$6:$AL$45&lt;&gt;"0U")*($AL$6:$AL$45&lt;&gt;"선반")*($AL$6:$AL$45&lt;&gt;"전면")*(ROW($AH$6:$AH$45)-5))</f>
        <v>0</v>
      </c>
      <c r="BQ24">
        <f>SUMPRODUCT(ISNUMBER($AH$6:$AH$45)*($AH$6:$AH$45&lt;=$BM24)*($AH$6:$AH$45+($AJ$6:$AJ$45+($AJ$6:$AJ$45=0))-1&gt;=$BM24)*($AL$6:$AL$45&lt;&gt;"0U")*($AL$6:$AL$45&lt;&gt;"선반")*($AL$6:$AL$45&lt;&gt;"전면"))</f>
        <v>0</v>
      </c>
    </row>
    <row r="25" ht="10" customHeight="1">
      <c r="B25" s="14" t="n">
        <v>23</v>
      </c>
      <c r="C25" s="15" t="str">
        <f>IF($BO25&lt;&gt;1,IF($BO25&gt;1,"⚠ U 겹침",""),IF($BM25=INDEX($AH$6:$AH$45,$BN25)+INDEX($AJ$6:$AJ$45,$BN25)+(INDEX($AJ$6:$AJ$45,$BN25)=0)-1,INDEX($AN$6:$AN$45,$BN25)&amp;IF(INDEX($AV$6:$AV$45,$BN25)="",""," · "&amp;INDEX($AV$6:$AV$45,$BN25)),""))</f>
        <v/>
      </c>
      <c r="D25" s="16" t="n"/>
      <c r="E25" s="16" t="n"/>
      <c r="F25" s="16" t="n"/>
      <c r="G25" s="16" t="n"/>
      <c r="H25" s="16" t="n"/>
      <c r="I25" s="16" t="n"/>
      <c r="J25" s="16" t="n"/>
      <c r="K25" s="16" t="n"/>
      <c r="L25" s="16" t="n"/>
      <c r="M25" s="16" t="n"/>
      <c r="N25" s="16" t="n"/>
      <c r="O25" s="16" t="n"/>
      <c r="P25" s="17" t="n"/>
      <c r="R25" s="18" t="n"/>
      <c r="S25" s="15" t="str">
        <f>IF($BQ25&lt;&gt;1,IF($BQ25&gt;1,"⚠ U 겹침",""),IF($BM25=INDEX($AH$6:$AH$45,$BP25)+INDEX($AJ$6:$AJ$45,$BP25)+(INDEX($AJ$6:$AJ$45,$BP25)=0)-1,INDEX($AN$6:$AN$45,$BP25)&amp;IF(INDEX($AV$6:$AV$45,$BP25)="",""," · "&amp;INDEX($AV$6:$AV$45,$BP25)),""))</f>
        <v/>
      </c>
      <c r="T25" s="16" t="n"/>
      <c r="U25" s="16" t="n"/>
      <c r="V25" s="16" t="n"/>
      <c r="W25" s="16" t="n"/>
      <c r="X25" s="16" t="n"/>
      <c r="Y25" s="16" t="n"/>
      <c r="Z25" s="16" t="n"/>
      <c r="AA25" s="16" t="n"/>
      <c r="AB25" s="16" t="n"/>
      <c r="AC25" s="16" t="n"/>
      <c r="AD25" s="16" t="n"/>
      <c r="AE25" s="16" t="n"/>
      <c r="AF25" s="19" t="n">
        <v>23</v>
      </c>
      <c r="AH25" s="20" t="n"/>
      <c r="AI25" s="21" t="n"/>
      <c r="AJ25" s="20" t="n"/>
      <c r="AK25" s="21" t="n"/>
      <c r="AL25" s="22" t="n"/>
      <c r="AM25" s="21" t="n"/>
      <c r="AN25" s="23" t="n"/>
      <c r="AO25" s="21" t="n"/>
      <c r="AP25" s="21" t="n"/>
      <c r="AQ25" s="21" t="n"/>
      <c r="AR25" s="21" t="n"/>
      <c r="AS25" s="22" t="n"/>
      <c r="AT25" s="21" t="n"/>
      <c r="AU25" s="21" t="n"/>
      <c r="AV25" s="22" t="n"/>
      <c r="AW25" s="21" t="n"/>
      <c r="AX25" s="21" t="n"/>
      <c r="AY25" s="21" t="n"/>
      <c r="AZ25" s="21" t="n"/>
      <c r="BA25" s="21" t="n"/>
      <c r="BB25" s="22" t="n"/>
      <c r="BC25" s="21" t="n"/>
      <c r="BD25" s="21" t="n"/>
      <c r="BE25" s="22" t="n"/>
      <c r="BF25" s="21" t="n"/>
      <c r="BG25" s="21" t="n"/>
      <c r="BH25" s="21" t="n"/>
      <c r="BI25" s="21" t="n"/>
      <c r="BJ25" s="21" t="n"/>
      <c r="BK25" s="24" t="str">
        <f>IF(BE25="","",HYPERLINK("#'"&amp;BE25&amp;"'!A1","▶"))</f>
        <v/>
      </c>
      <c r="BM25">
        <f>B25</f>
        <v>23</v>
      </c>
      <c r="BN25">
        <f>SUMPRODUCT(ISNUMBER($AH$6:$AH$45)*($AH$6:$AH$45&lt;=$BM25)*($AH$6:$AH$45+($AJ$6:$AJ$45+($AJ$6:$AJ$45=0))-1&gt;=$BM25)*($AL$6:$AL$45&lt;&gt;"0U")*($AL$6:$AL$45&lt;&gt;"선반")*($AL$6:$AL$45&lt;&gt;"후면")*(ROW($AH$6:$AH$45)-5))</f>
        <v>0</v>
      </c>
      <c r="BO25">
        <f>SUMPRODUCT(ISNUMBER($AH$6:$AH$45)*($AH$6:$AH$45&lt;=$BM25)*($AH$6:$AH$45+($AJ$6:$AJ$45+($AJ$6:$AJ$45=0))-1&gt;=$BM25)*($AL$6:$AL$45&lt;&gt;"0U")*($AL$6:$AL$45&lt;&gt;"선반")*($AL$6:$AL$45&lt;&gt;"후면"))</f>
        <v>0</v>
      </c>
      <c r="BP25">
        <f>SUMPRODUCT(ISNUMBER($AH$6:$AH$45)*($AH$6:$AH$45&lt;=$BM25)*($AH$6:$AH$45+($AJ$6:$AJ$45+($AJ$6:$AJ$45=0))-1&gt;=$BM25)*($AL$6:$AL$45&lt;&gt;"0U")*($AL$6:$AL$45&lt;&gt;"선반")*($AL$6:$AL$45&lt;&gt;"전면")*(ROW($AH$6:$AH$45)-5))</f>
        <v>0</v>
      </c>
      <c r="BQ25">
        <f>SUMPRODUCT(ISNUMBER($AH$6:$AH$45)*($AH$6:$AH$45&lt;=$BM25)*($AH$6:$AH$45+($AJ$6:$AJ$45+($AJ$6:$AJ$45=0))-1&gt;=$BM25)*($AL$6:$AL$45&lt;&gt;"0U")*($AL$6:$AL$45&lt;&gt;"선반")*($AL$6:$AL$45&lt;&gt;"전면"))</f>
        <v>0</v>
      </c>
    </row>
    <row r="26" ht="10" customHeight="1">
      <c r="B26" s="14" t="n">
        <v>22</v>
      </c>
      <c r="C26" s="15" t="str">
        <f>IF($BO26&lt;&gt;1,IF($BO26&gt;1,"⚠ U 겹침",""),IF($BM26=INDEX($AH$6:$AH$45,$BN26)+INDEX($AJ$6:$AJ$45,$BN26)+(INDEX($AJ$6:$AJ$45,$BN26)=0)-1,INDEX($AN$6:$AN$45,$BN26)&amp;IF(INDEX($AV$6:$AV$45,$BN26)="",""," · "&amp;INDEX($AV$6:$AV$45,$BN26)),""))</f>
        <v/>
      </c>
      <c r="D26" s="16" t="n"/>
      <c r="E26" s="16" t="n"/>
      <c r="F26" s="16" t="n"/>
      <c r="G26" s="16" t="n"/>
      <c r="H26" s="16" t="n"/>
      <c r="I26" s="16" t="n"/>
      <c r="J26" s="16" t="n"/>
      <c r="K26" s="16" t="n"/>
      <c r="L26" s="16" t="n"/>
      <c r="M26" s="16" t="n"/>
      <c r="N26" s="16" t="n"/>
      <c r="O26" s="16" t="n"/>
      <c r="P26" s="17" t="n"/>
      <c r="R26" s="18" t="n"/>
      <c r="S26" s="15" t="str">
        <f>IF($BQ26&lt;&gt;1,IF($BQ26&gt;1,"⚠ U 겹침",""),IF($BM26=INDEX($AH$6:$AH$45,$BP26)+INDEX($AJ$6:$AJ$45,$BP26)+(INDEX($AJ$6:$AJ$45,$BP26)=0)-1,INDEX($AN$6:$AN$45,$BP26)&amp;IF(INDEX($AV$6:$AV$45,$BP26)="",""," · "&amp;INDEX($AV$6:$AV$45,$BP26)),""))</f>
        <v/>
      </c>
      <c r="T26" s="16" t="n"/>
      <c r="U26" s="16" t="n"/>
      <c r="V26" s="16" t="n"/>
      <c r="W26" s="16" t="n"/>
      <c r="X26" s="16" t="n"/>
      <c r="Y26" s="16" t="n"/>
      <c r="Z26" s="16" t="n"/>
      <c r="AA26" s="16" t="n"/>
      <c r="AB26" s="16" t="n"/>
      <c r="AC26" s="16" t="n"/>
      <c r="AD26" s="16" t="n"/>
      <c r="AE26" s="16" t="n"/>
      <c r="AF26" s="19" t="n">
        <v>22</v>
      </c>
      <c r="AH26" s="20" t="n"/>
      <c r="AI26" s="21" t="n"/>
      <c r="AJ26" s="20" t="n"/>
      <c r="AK26" s="21" t="n"/>
      <c r="AL26" s="22" t="n"/>
      <c r="AM26" s="21" t="n"/>
      <c r="AN26" s="23" t="n"/>
      <c r="AO26" s="21" t="n"/>
      <c r="AP26" s="21" t="n"/>
      <c r="AQ26" s="21" t="n"/>
      <c r="AR26" s="21" t="n"/>
      <c r="AS26" s="22" t="n"/>
      <c r="AT26" s="21" t="n"/>
      <c r="AU26" s="21" t="n"/>
      <c r="AV26" s="22" t="n"/>
      <c r="AW26" s="21" t="n"/>
      <c r="AX26" s="21" t="n"/>
      <c r="AY26" s="21" t="n"/>
      <c r="AZ26" s="21" t="n"/>
      <c r="BA26" s="21" t="n"/>
      <c r="BB26" s="22" t="n"/>
      <c r="BC26" s="21" t="n"/>
      <c r="BD26" s="21" t="n"/>
      <c r="BE26" s="22" t="n"/>
      <c r="BF26" s="21" t="n"/>
      <c r="BG26" s="21" t="n"/>
      <c r="BH26" s="21" t="n"/>
      <c r="BI26" s="21" t="n"/>
      <c r="BJ26" s="21" t="n"/>
      <c r="BK26" s="24" t="str">
        <f>IF(BE26="","",HYPERLINK("#'"&amp;BE26&amp;"'!A1","▶"))</f>
        <v/>
      </c>
      <c r="BM26">
        <f>B26</f>
        <v>22</v>
      </c>
      <c r="BN26">
        <f>SUMPRODUCT(ISNUMBER($AH$6:$AH$45)*($AH$6:$AH$45&lt;=$BM26)*($AH$6:$AH$45+($AJ$6:$AJ$45+($AJ$6:$AJ$45=0))-1&gt;=$BM26)*($AL$6:$AL$45&lt;&gt;"0U")*($AL$6:$AL$45&lt;&gt;"선반")*($AL$6:$AL$45&lt;&gt;"후면")*(ROW($AH$6:$AH$45)-5))</f>
        <v>0</v>
      </c>
      <c r="BO26">
        <f>SUMPRODUCT(ISNUMBER($AH$6:$AH$45)*($AH$6:$AH$45&lt;=$BM26)*($AH$6:$AH$45+($AJ$6:$AJ$45+($AJ$6:$AJ$45=0))-1&gt;=$BM26)*($AL$6:$AL$45&lt;&gt;"0U")*($AL$6:$AL$45&lt;&gt;"선반")*($AL$6:$AL$45&lt;&gt;"후면"))</f>
        <v>0</v>
      </c>
      <c r="BP26">
        <f>SUMPRODUCT(ISNUMBER($AH$6:$AH$45)*($AH$6:$AH$45&lt;=$BM26)*($AH$6:$AH$45+($AJ$6:$AJ$45+($AJ$6:$AJ$45=0))-1&gt;=$BM26)*($AL$6:$AL$45&lt;&gt;"0U")*($AL$6:$AL$45&lt;&gt;"선반")*($AL$6:$AL$45&lt;&gt;"전면")*(ROW($AH$6:$AH$45)-5))</f>
        <v>0</v>
      </c>
      <c r="BQ26">
        <f>SUMPRODUCT(ISNUMBER($AH$6:$AH$45)*($AH$6:$AH$45&lt;=$BM26)*($AH$6:$AH$45+($AJ$6:$AJ$45+($AJ$6:$AJ$45=0))-1&gt;=$BM26)*($AL$6:$AL$45&lt;&gt;"0U")*($AL$6:$AL$45&lt;&gt;"선반")*($AL$6:$AL$45&lt;&gt;"전면"))</f>
        <v>0</v>
      </c>
    </row>
    <row r="27" ht="10" customHeight="1">
      <c r="B27" s="14" t="n">
        <v>21</v>
      </c>
      <c r="C27" s="15" t="str">
        <f>IF($BO27&lt;&gt;1,IF($BO27&gt;1,"⚠ U 겹침",""),IF($BM27=INDEX($AH$6:$AH$45,$BN27)+INDEX($AJ$6:$AJ$45,$BN27)+(INDEX($AJ$6:$AJ$45,$BN27)=0)-1,INDEX($AN$6:$AN$45,$BN27)&amp;IF(INDEX($AV$6:$AV$45,$BN27)="",""," · "&amp;INDEX($AV$6:$AV$45,$BN27)),""))</f>
        <v/>
      </c>
      <c r="D27" s="16" t="n"/>
      <c r="E27" s="16" t="n"/>
      <c r="F27" s="16" t="n"/>
      <c r="G27" s="16" t="n"/>
      <c r="H27" s="16" t="n"/>
      <c r="I27" s="16" t="n"/>
      <c r="J27" s="16" t="n"/>
      <c r="K27" s="16" t="n"/>
      <c r="L27" s="16" t="n"/>
      <c r="M27" s="16" t="n"/>
      <c r="N27" s="16" t="n"/>
      <c r="O27" s="16" t="n"/>
      <c r="P27" s="17" t="n"/>
      <c r="R27" s="18" t="n"/>
      <c r="S27" s="15" t="str">
        <f>IF($BQ27&lt;&gt;1,IF($BQ27&gt;1,"⚠ U 겹침",""),IF($BM27=INDEX($AH$6:$AH$45,$BP27)+INDEX($AJ$6:$AJ$45,$BP27)+(INDEX($AJ$6:$AJ$45,$BP27)=0)-1,INDEX($AN$6:$AN$45,$BP27)&amp;IF(INDEX($AV$6:$AV$45,$BP27)="",""," · "&amp;INDEX($AV$6:$AV$45,$BP27)),""))</f>
        <v/>
      </c>
      <c r="T27" s="16" t="n"/>
      <c r="U27" s="16" t="n"/>
      <c r="V27" s="16" t="n"/>
      <c r="W27" s="16" t="n"/>
      <c r="X27" s="16" t="n"/>
      <c r="Y27" s="16" t="n"/>
      <c r="Z27" s="16" t="n"/>
      <c r="AA27" s="16" t="n"/>
      <c r="AB27" s="16" t="n"/>
      <c r="AC27" s="16" t="n"/>
      <c r="AD27" s="16" t="n"/>
      <c r="AE27" s="16" t="n"/>
      <c r="AF27" s="19" t="n">
        <v>21</v>
      </c>
      <c r="AH27" s="20" t="n"/>
      <c r="AI27" s="21" t="n"/>
      <c r="AJ27" s="20" t="n"/>
      <c r="AK27" s="21" t="n"/>
      <c r="AL27" s="22" t="n"/>
      <c r="AM27" s="21" t="n"/>
      <c r="AN27" s="23" t="n"/>
      <c r="AO27" s="21" t="n"/>
      <c r="AP27" s="21" t="n"/>
      <c r="AQ27" s="21" t="n"/>
      <c r="AR27" s="21" t="n"/>
      <c r="AS27" s="22" t="n"/>
      <c r="AT27" s="21" t="n"/>
      <c r="AU27" s="21" t="n"/>
      <c r="AV27" s="22" t="n"/>
      <c r="AW27" s="21" t="n"/>
      <c r="AX27" s="21" t="n"/>
      <c r="AY27" s="21" t="n"/>
      <c r="AZ27" s="21" t="n"/>
      <c r="BA27" s="21" t="n"/>
      <c r="BB27" s="22" t="n"/>
      <c r="BC27" s="21" t="n"/>
      <c r="BD27" s="21" t="n"/>
      <c r="BE27" s="22" t="n"/>
      <c r="BF27" s="21" t="n"/>
      <c r="BG27" s="21" t="n"/>
      <c r="BH27" s="21" t="n"/>
      <c r="BI27" s="21" t="n"/>
      <c r="BJ27" s="21" t="n"/>
      <c r="BK27" s="24" t="str">
        <f>IF(BE27="","",HYPERLINK("#'"&amp;BE27&amp;"'!A1","▶"))</f>
        <v/>
      </c>
      <c r="BM27">
        <f>B27</f>
        <v>21</v>
      </c>
      <c r="BN27">
        <f>SUMPRODUCT(ISNUMBER($AH$6:$AH$45)*($AH$6:$AH$45&lt;=$BM27)*($AH$6:$AH$45+($AJ$6:$AJ$45+($AJ$6:$AJ$45=0))-1&gt;=$BM27)*($AL$6:$AL$45&lt;&gt;"0U")*($AL$6:$AL$45&lt;&gt;"선반")*($AL$6:$AL$45&lt;&gt;"후면")*(ROW($AH$6:$AH$45)-5))</f>
        <v>0</v>
      </c>
      <c r="BO27">
        <f>SUMPRODUCT(ISNUMBER($AH$6:$AH$45)*($AH$6:$AH$45&lt;=$BM27)*($AH$6:$AH$45+($AJ$6:$AJ$45+($AJ$6:$AJ$45=0))-1&gt;=$BM27)*($AL$6:$AL$45&lt;&gt;"0U")*($AL$6:$AL$45&lt;&gt;"선반")*($AL$6:$AL$45&lt;&gt;"후면"))</f>
        <v>0</v>
      </c>
      <c r="BP27">
        <f>SUMPRODUCT(ISNUMBER($AH$6:$AH$45)*($AH$6:$AH$45&lt;=$BM27)*($AH$6:$AH$45+($AJ$6:$AJ$45+($AJ$6:$AJ$45=0))-1&gt;=$BM27)*($AL$6:$AL$45&lt;&gt;"0U")*($AL$6:$AL$45&lt;&gt;"선반")*($AL$6:$AL$45&lt;&gt;"전면")*(ROW($AH$6:$AH$45)-5))</f>
        <v>0</v>
      </c>
      <c r="BQ27">
        <f>SUMPRODUCT(ISNUMBER($AH$6:$AH$45)*($AH$6:$AH$45&lt;=$BM27)*($AH$6:$AH$45+($AJ$6:$AJ$45+($AJ$6:$AJ$45=0))-1&gt;=$BM27)*($AL$6:$AL$45&lt;&gt;"0U")*($AL$6:$AL$45&lt;&gt;"선반")*($AL$6:$AL$45&lt;&gt;"전면"))</f>
        <v>0</v>
      </c>
    </row>
    <row r="28" ht="10" customHeight="1">
      <c r="B28" s="14" t="n">
        <v>20</v>
      </c>
      <c r="C28" s="15" t="str">
        <f>IF($BO28&lt;&gt;1,IF($BO28&gt;1,"⚠ U 겹침",""),IF($BM28=INDEX($AH$6:$AH$45,$BN28)+INDEX($AJ$6:$AJ$45,$BN28)+(INDEX($AJ$6:$AJ$45,$BN28)=0)-1,INDEX($AN$6:$AN$45,$BN28)&amp;IF(INDEX($AV$6:$AV$45,$BN28)="",""," · "&amp;INDEX($AV$6:$AV$45,$BN28)),""))</f>
        <v/>
      </c>
      <c r="D28" s="16" t="n"/>
      <c r="E28" s="16" t="n"/>
      <c r="F28" s="16" t="n"/>
      <c r="G28" s="16" t="n"/>
      <c r="H28" s="16" t="n"/>
      <c r="I28" s="16" t="n"/>
      <c r="J28" s="16" t="n"/>
      <c r="K28" s="16" t="n"/>
      <c r="L28" s="16" t="n"/>
      <c r="M28" s="16" t="n"/>
      <c r="N28" s="16" t="n"/>
      <c r="O28" s="16" t="n"/>
      <c r="P28" s="17" t="n"/>
      <c r="R28" s="18" t="n"/>
      <c r="S28" s="15" t="str">
        <f>IF($BQ28&lt;&gt;1,IF($BQ28&gt;1,"⚠ U 겹침",""),IF($BM28=INDEX($AH$6:$AH$45,$BP28)+INDEX($AJ$6:$AJ$45,$BP28)+(INDEX($AJ$6:$AJ$45,$BP28)=0)-1,INDEX($AN$6:$AN$45,$BP28)&amp;IF(INDEX($AV$6:$AV$45,$BP28)="",""," · "&amp;INDEX($AV$6:$AV$45,$BP28)),""))</f>
        <v/>
      </c>
      <c r="T28" s="16" t="n"/>
      <c r="U28" s="16" t="n"/>
      <c r="V28" s="16" t="n"/>
      <c r="W28" s="16" t="n"/>
      <c r="X28" s="16" t="n"/>
      <c r="Y28" s="16" t="n"/>
      <c r="Z28" s="16" t="n"/>
      <c r="AA28" s="16" t="n"/>
      <c r="AB28" s="16" t="n"/>
      <c r="AC28" s="16" t="n"/>
      <c r="AD28" s="16" t="n"/>
      <c r="AE28" s="16" t="n"/>
      <c r="AF28" s="19" t="n">
        <v>20</v>
      </c>
      <c r="AH28" s="20" t="n"/>
      <c r="AI28" s="21" t="n"/>
      <c r="AJ28" s="20" t="n"/>
      <c r="AK28" s="21" t="n"/>
      <c r="AL28" s="22" t="n"/>
      <c r="AM28" s="21" t="n"/>
      <c r="AN28" s="23" t="n"/>
      <c r="AO28" s="21" t="n"/>
      <c r="AP28" s="21" t="n"/>
      <c r="AQ28" s="21" t="n"/>
      <c r="AR28" s="21" t="n"/>
      <c r="AS28" s="22" t="n"/>
      <c r="AT28" s="21" t="n"/>
      <c r="AU28" s="21" t="n"/>
      <c r="AV28" s="22" t="n"/>
      <c r="AW28" s="21" t="n"/>
      <c r="AX28" s="21" t="n"/>
      <c r="AY28" s="21" t="n"/>
      <c r="AZ28" s="21" t="n"/>
      <c r="BA28" s="21" t="n"/>
      <c r="BB28" s="22" t="n"/>
      <c r="BC28" s="21" t="n"/>
      <c r="BD28" s="21" t="n"/>
      <c r="BE28" s="22" t="n"/>
      <c r="BF28" s="21" t="n"/>
      <c r="BG28" s="21" t="n"/>
      <c r="BH28" s="21" t="n"/>
      <c r="BI28" s="21" t="n"/>
      <c r="BJ28" s="21" t="n"/>
      <c r="BK28" s="24" t="str">
        <f>IF(BE28="","",HYPERLINK("#'"&amp;BE28&amp;"'!A1","▶"))</f>
        <v/>
      </c>
      <c r="BM28">
        <f>B28</f>
        <v>20</v>
      </c>
      <c r="BN28">
        <f>SUMPRODUCT(ISNUMBER($AH$6:$AH$45)*($AH$6:$AH$45&lt;=$BM28)*($AH$6:$AH$45+($AJ$6:$AJ$45+($AJ$6:$AJ$45=0))-1&gt;=$BM28)*($AL$6:$AL$45&lt;&gt;"0U")*($AL$6:$AL$45&lt;&gt;"선반")*($AL$6:$AL$45&lt;&gt;"후면")*(ROW($AH$6:$AH$45)-5))</f>
        <v>0</v>
      </c>
      <c r="BO28">
        <f>SUMPRODUCT(ISNUMBER($AH$6:$AH$45)*($AH$6:$AH$45&lt;=$BM28)*($AH$6:$AH$45+($AJ$6:$AJ$45+($AJ$6:$AJ$45=0))-1&gt;=$BM28)*($AL$6:$AL$45&lt;&gt;"0U")*($AL$6:$AL$45&lt;&gt;"선반")*($AL$6:$AL$45&lt;&gt;"후면"))</f>
        <v>0</v>
      </c>
      <c r="BP28">
        <f>SUMPRODUCT(ISNUMBER($AH$6:$AH$45)*($AH$6:$AH$45&lt;=$BM28)*($AH$6:$AH$45+($AJ$6:$AJ$45+($AJ$6:$AJ$45=0))-1&gt;=$BM28)*($AL$6:$AL$45&lt;&gt;"0U")*($AL$6:$AL$45&lt;&gt;"선반")*($AL$6:$AL$45&lt;&gt;"전면")*(ROW($AH$6:$AH$45)-5))</f>
        <v>0</v>
      </c>
      <c r="BQ28">
        <f>SUMPRODUCT(ISNUMBER($AH$6:$AH$45)*($AH$6:$AH$45&lt;=$BM28)*($AH$6:$AH$45+($AJ$6:$AJ$45+($AJ$6:$AJ$45=0))-1&gt;=$BM28)*($AL$6:$AL$45&lt;&gt;"0U")*($AL$6:$AL$45&lt;&gt;"선반")*($AL$6:$AL$45&lt;&gt;"전면"))</f>
        <v>0</v>
      </c>
    </row>
    <row r="29" ht="10" customHeight="1">
      <c r="B29" s="14" t="n">
        <v>19</v>
      </c>
      <c r="C29" s="15" t="str">
        <f>IF($BO29&lt;&gt;1,IF($BO29&gt;1,"⚠ U 겹침",""),IF($BM29=INDEX($AH$6:$AH$45,$BN29)+INDEX($AJ$6:$AJ$45,$BN29)+(INDEX($AJ$6:$AJ$45,$BN29)=0)-1,INDEX($AN$6:$AN$45,$BN29)&amp;IF(INDEX($AV$6:$AV$45,$BN29)="",""," · "&amp;INDEX($AV$6:$AV$45,$BN29)),""))</f>
        <v/>
      </c>
      <c r="D29" s="16" t="n"/>
      <c r="E29" s="16" t="n"/>
      <c r="F29" s="16" t="n"/>
      <c r="G29" s="16" t="n"/>
      <c r="H29" s="16" t="n"/>
      <c r="I29" s="16" t="n"/>
      <c r="J29" s="16" t="n"/>
      <c r="K29" s="16" t="n"/>
      <c r="L29" s="16" t="n"/>
      <c r="M29" s="16" t="n"/>
      <c r="N29" s="16" t="n"/>
      <c r="O29" s="16" t="n"/>
      <c r="P29" s="17" t="n"/>
      <c r="R29" s="18" t="n"/>
      <c r="S29" s="15" t="str">
        <f>IF($BQ29&lt;&gt;1,IF($BQ29&gt;1,"⚠ U 겹침",""),IF($BM29=INDEX($AH$6:$AH$45,$BP29)+INDEX($AJ$6:$AJ$45,$BP29)+(INDEX($AJ$6:$AJ$45,$BP29)=0)-1,INDEX($AN$6:$AN$45,$BP29)&amp;IF(INDEX($AV$6:$AV$45,$BP29)="",""," · "&amp;INDEX($AV$6:$AV$45,$BP29)),""))</f>
        <v/>
      </c>
      <c r="T29" s="16" t="n"/>
      <c r="U29" s="16" t="n"/>
      <c r="V29" s="16" t="n"/>
      <c r="W29" s="16" t="n"/>
      <c r="X29" s="16" t="n"/>
      <c r="Y29" s="16" t="n"/>
      <c r="Z29" s="16" t="n"/>
      <c r="AA29" s="16" t="n"/>
      <c r="AB29" s="16" t="n"/>
      <c r="AC29" s="16" t="n"/>
      <c r="AD29" s="16" t="n"/>
      <c r="AE29" s="16" t="n"/>
      <c r="AF29" s="19" t="n">
        <v>19</v>
      </c>
      <c r="AH29" s="20" t="n"/>
      <c r="AI29" s="21" t="n"/>
      <c r="AJ29" s="20" t="n"/>
      <c r="AK29" s="21" t="n"/>
      <c r="AL29" s="22" t="n"/>
      <c r="AM29" s="21" t="n"/>
      <c r="AN29" s="23" t="n"/>
      <c r="AO29" s="21" t="n"/>
      <c r="AP29" s="21" t="n"/>
      <c r="AQ29" s="21" t="n"/>
      <c r="AR29" s="21" t="n"/>
      <c r="AS29" s="22" t="n"/>
      <c r="AT29" s="21" t="n"/>
      <c r="AU29" s="21" t="n"/>
      <c r="AV29" s="22" t="n"/>
      <c r="AW29" s="21" t="n"/>
      <c r="AX29" s="21" t="n"/>
      <c r="AY29" s="21" t="n"/>
      <c r="AZ29" s="21" t="n"/>
      <c r="BA29" s="21" t="n"/>
      <c r="BB29" s="22" t="n"/>
      <c r="BC29" s="21" t="n"/>
      <c r="BD29" s="21" t="n"/>
      <c r="BE29" s="22" t="n"/>
      <c r="BF29" s="21" t="n"/>
      <c r="BG29" s="21" t="n"/>
      <c r="BH29" s="21" t="n"/>
      <c r="BI29" s="21" t="n"/>
      <c r="BJ29" s="21" t="n"/>
      <c r="BK29" s="24" t="str">
        <f>IF(BE29="","",HYPERLINK("#'"&amp;BE29&amp;"'!A1","▶"))</f>
        <v/>
      </c>
      <c r="BM29">
        <f>B29</f>
        <v>19</v>
      </c>
      <c r="BN29">
        <f>SUMPRODUCT(ISNUMBER($AH$6:$AH$45)*($AH$6:$AH$45&lt;=$BM29)*($AH$6:$AH$45+($AJ$6:$AJ$45+($AJ$6:$AJ$45=0))-1&gt;=$BM29)*($AL$6:$AL$45&lt;&gt;"0U")*($AL$6:$AL$45&lt;&gt;"선반")*($AL$6:$AL$45&lt;&gt;"후면")*(ROW($AH$6:$AH$45)-5))</f>
        <v>0</v>
      </c>
      <c r="BO29">
        <f>SUMPRODUCT(ISNUMBER($AH$6:$AH$45)*($AH$6:$AH$45&lt;=$BM29)*($AH$6:$AH$45+($AJ$6:$AJ$45+($AJ$6:$AJ$45=0))-1&gt;=$BM29)*($AL$6:$AL$45&lt;&gt;"0U")*($AL$6:$AL$45&lt;&gt;"선반")*($AL$6:$AL$45&lt;&gt;"후면"))</f>
        <v>0</v>
      </c>
      <c r="BP29">
        <f>SUMPRODUCT(ISNUMBER($AH$6:$AH$45)*($AH$6:$AH$45&lt;=$BM29)*($AH$6:$AH$45+($AJ$6:$AJ$45+($AJ$6:$AJ$45=0))-1&gt;=$BM29)*($AL$6:$AL$45&lt;&gt;"0U")*($AL$6:$AL$45&lt;&gt;"선반")*($AL$6:$AL$45&lt;&gt;"전면")*(ROW($AH$6:$AH$45)-5))</f>
        <v>0</v>
      </c>
      <c r="BQ29">
        <f>SUMPRODUCT(ISNUMBER($AH$6:$AH$45)*($AH$6:$AH$45&lt;=$BM29)*($AH$6:$AH$45+($AJ$6:$AJ$45+($AJ$6:$AJ$45=0))-1&gt;=$BM29)*($AL$6:$AL$45&lt;&gt;"0U")*($AL$6:$AL$45&lt;&gt;"선반")*($AL$6:$AL$45&lt;&gt;"전면"))</f>
        <v>0</v>
      </c>
    </row>
    <row r="30" ht="10" customHeight="1">
      <c r="B30" s="14" t="n">
        <v>18</v>
      </c>
      <c r="C30" s="15" t="str">
        <f>IF($BO30&lt;&gt;1,IF($BO30&gt;1,"⚠ U 겹침",""),IF($BM30=INDEX($AH$6:$AH$45,$BN30)+INDEX($AJ$6:$AJ$45,$BN30)+(INDEX($AJ$6:$AJ$45,$BN30)=0)-1,INDEX($AN$6:$AN$45,$BN30)&amp;IF(INDEX($AV$6:$AV$45,$BN30)="",""," · "&amp;INDEX($AV$6:$AV$45,$BN30)),""))</f>
        <v/>
      </c>
      <c r="D30" s="16" t="n"/>
      <c r="E30" s="16" t="n"/>
      <c r="F30" s="16" t="n"/>
      <c r="G30" s="16" t="n"/>
      <c r="H30" s="16" t="n"/>
      <c r="I30" s="16" t="n"/>
      <c r="J30" s="16" t="n"/>
      <c r="K30" s="16" t="n"/>
      <c r="L30" s="16" t="n"/>
      <c r="M30" s="16" t="n"/>
      <c r="N30" s="16" t="n"/>
      <c r="O30" s="16" t="n"/>
      <c r="P30" s="17" t="n"/>
      <c r="R30" s="18" t="n"/>
      <c r="S30" s="15" t="str">
        <f>IF($BQ30&lt;&gt;1,IF($BQ30&gt;1,"⚠ U 겹침",""),IF($BM30=INDEX($AH$6:$AH$45,$BP30)+INDEX($AJ$6:$AJ$45,$BP30)+(INDEX($AJ$6:$AJ$45,$BP30)=0)-1,INDEX($AN$6:$AN$45,$BP30)&amp;IF(INDEX($AV$6:$AV$45,$BP30)="",""," · "&amp;INDEX($AV$6:$AV$45,$BP30)),""))</f>
        <v/>
      </c>
      <c r="T30" s="16" t="n"/>
      <c r="U30" s="16" t="n"/>
      <c r="V30" s="16" t="n"/>
      <c r="W30" s="16" t="n"/>
      <c r="X30" s="16" t="n"/>
      <c r="Y30" s="16" t="n"/>
      <c r="Z30" s="16" t="n"/>
      <c r="AA30" s="16" t="n"/>
      <c r="AB30" s="16" t="n"/>
      <c r="AC30" s="16" t="n"/>
      <c r="AD30" s="16" t="n"/>
      <c r="AE30" s="16" t="n"/>
      <c r="AF30" s="19" t="n">
        <v>18</v>
      </c>
      <c r="AH30" s="20" t="n"/>
      <c r="AI30" s="21" t="n"/>
      <c r="AJ30" s="20" t="n"/>
      <c r="AK30" s="21" t="n"/>
      <c r="AL30" s="22" t="n"/>
      <c r="AM30" s="21" t="n"/>
      <c r="AN30" s="23" t="n"/>
      <c r="AO30" s="21" t="n"/>
      <c r="AP30" s="21" t="n"/>
      <c r="AQ30" s="21" t="n"/>
      <c r="AR30" s="21" t="n"/>
      <c r="AS30" s="22" t="n"/>
      <c r="AT30" s="21" t="n"/>
      <c r="AU30" s="21" t="n"/>
      <c r="AV30" s="22" t="n"/>
      <c r="AW30" s="21" t="n"/>
      <c r="AX30" s="21" t="n"/>
      <c r="AY30" s="21" t="n"/>
      <c r="AZ30" s="21" t="n"/>
      <c r="BA30" s="21" t="n"/>
      <c r="BB30" s="22" t="n"/>
      <c r="BC30" s="21" t="n"/>
      <c r="BD30" s="21" t="n"/>
      <c r="BE30" s="22" t="n"/>
      <c r="BF30" s="21" t="n"/>
      <c r="BG30" s="21" t="n"/>
      <c r="BH30" s="21" t="n"/>
      <c r="BI30" s="21" t="n"/>
      <c r="BJ30" s="21" t="n"/>
      <c r="BK30" s="24" t="str">
        <f>IF(BE30="","",HYPERLINK("#'"&amp;BE30&amp;"'!A1","▶"))</f>
        <v/>
      </c>
      <c r="BM30">
        <f>B30</f>
        <v>18</v>
      </c>
      <c r="BN30">
        <f>SUMPRODUCT(ISNUMBER($AH$6:$AH$45)*($AH$6:$AH$45&lt;=$BM30)*($AH$6:$AH$45+($AJ$6:$AJ$45+($AJ$6:$AJ$45=0))-1&gt;=$BM30)*($AL$6:$AL$45&lt;&gt;"0U")*($AL$6:$AL$45&lt;&gt;"선반")*($AL$6:$AL$45&lt;&gt;"후면")*(ROW($AH$6:$AH$45)-5))</f>
        <v>0</v>
      </c>
      <c r="BO30">
        <f>SUMPRODUCT(ISNUMBER($AH$6:$AH$45)*($AH$6:$AH$45&lt;=$BM30)*($AH$6:$AH$45+($AJ$6:$AJ$45+($AJ$6:$AJ$45=0))-1&gt;=$BM30)*($AL$6:$AL$45&lt;&gt;"0U")*($AL$6:$AL$45&lt;&gt;"선반")*($AL$6:$AL$45&lt;&gt;"후면"))</f>
        <v>0</v>
      </c>
      <c r="BP30">
        <f>SUMPRODUCT(ISNUMBER($AH$6:$AH$45)*($AH$6:$AH$45&lt;=$BM30)*($AH$6:$AH$45+($AJ$6:$AJ$45+($AJ$6:$AJ$45=0))-1&gt;=$BM30)*($AL$6:$AL$45&lt;&gt;"0U")*($AL$6:$AL$45&lt;&gt;"선반")*($AL$6:$AL$45&lt;&gt;"전면")*(ROW($AH$6:$AH$45)-5))</f>
        <v>0</v>
      </c>
      <c r="BQ30">
        <f>SUMPRODUCT(ISNUMBER($AH$6:$AH$45)*($AH$6:$AH$45&lt;=$BM30)*($AH$6:$AH$45+($AJ$6:$AJ$45+($AJ$6:$AJ$45=0))-1&gt;=$BM30)*($AL$6:$AL$45&lt;&gt;"0U")*($AL$6:$AL$45&lt;&gt;"선반")*($AL$6:$AL$45&lt;&gt;"전면"))</f>
        <v>0</v>
      </c>
    </row>
    <row r="31" ht="10" customHeight="1">
      <c r="B31" s="14" t="n">
        <v>17</v>
      </c>
      <c r="C31" s="15" t="str">
        <f>IF($BO31&lt;&gt;1,IF($BO31&gt;1,"⚠ U 겹침",""),IF($BM31=INDEX($AH$6:$AH$45,$BN31)+INDEX($AJ$6:$AJ$45,$BN31)+(INDEX($AJ$6:$AJ$45,$BN31)=0)-1,INDEX($AN$6:$AN$45,$BN31)&amp;IF(INDEX($AV$6:$AV$45,$BN31)="",""," · "&amp;INDEX($AV$6:$AV$45,$BN31)),""))</f>
        <v/>
      </c>
      <c r="D31" s="16" t="n"/>
      <c r="E31" s="16" t="n"/>
      <c r="F31" s="16" t="n"/>
      <c r="G31" s="16" t="n"/>
      <c r="H31" s="16" t="n"/>
      <c r="I31" s="16" t="n"/>
      <c r="J31" s="16" t="n"/>
      <c r="K31" s="16" t="n"/>
      <c r="L31" s="16" t="n"/>
      <c r="M31" s="16" t="n"/>
      <c r="N31" s="16" t="n"/>
      <c r="O31" s="16" t="n"/>
      <c r="P31" s="17" t="n"/>
      <c r="R31" s="18" t="n"/>
      <c r="S31" s="15" t="str">
        <f>IF($BQ31&lt;&gt;1,IF($BQ31&gt;1,"⚠ U 겹침",""),IF($BM31=INDEX($AH$6:$AH$45,$BP31)+INDEX($AJ$6:$AJ$45,$BP31)+(INDEX($AJ$6:$AJ$45,$BP31)=0)-1,INDEX($AN$6:$AN$45,$BP31)&amp;IF(INDEX($AV$6:$AV$45,$BP31)="",""," · "&amp;INDEX($AV$6:$AV$45,$BP31)),""))</f>
        <v/>
      </c>
      <c r="T31" s="16" t="n"/>
      <c r="U31" s="16" t="n"/>
      <c r="V31" s="16" t="n"/>
      <c r="W31" s="16" t="n"/>
      <c r="X31" s="16" t="n"/>
      <c r="Y31" s="16" t="n"/>
      <c r="Z31" s="16" t="n"/>
      <c r="AA31" s="16" t="n"/>
      <c r="AB31" s="16" t="n"/>
      <c r="AC31" s="16" t="n"/>
      <c r="AD31" s="16" t="n"/>
      <c r="AE31" s="16" t="n"/>
      <c r="AF31" s="19" t="n">
        <v>17</v>
      </c>
      <c r="AH31" s="20" t="n"/>
      <c r="AI31" s="21" t="n"/>
      <c r="AJ31" s="20" t="n"/>
      <c r="AK31" s="21" t="n"/>
      <c r="AL31" s="22" t="n"/>
      <c r="AM31" s="21" t="n"/>
      <c r="AN31" s="23" t="n"/>
      <c r="AO31" s="21" t="n"/>
      <c r="AP31" s="21" t="n"/>
      <c r="AQ31" s="21" t="n"/>
      <c r="AR31" s="21" t="n"/>
      <c r="AS31" s="22" t="n"/>
      <c r="AT31" s="21" t="n"/>
      <c r="AU31" s="21" t="n"/>
      <c r="AV31" s="22" t="n"/>
      <c r="AW31" s="21" t="n"/>
      <c r="AX31" s="21" t="n"/>
      <c r="AY31" s="21" t="n"/>
      <c r="AZ31" s="21" t="n"/>
      <c r="BA31" s="21" t="n"/>
      <c r="BB31" s="22" t="n"/>
      <c r="BC31" s="21" t="n"/>
      <c r="BD31" s="21" t="n"/>
      <c r="BE31" s="22" t="n"/>
      <c r="BF31" s="21" t="n"/>
      <c r="BG31" s="21" t="n"/>
      <c r="BH31" s="21" t="n"/>
      <c r="BI31" s="21" t="n"/>
      <c r="BJ31" s="21" t="n"/>
      <c r="BK31" s="24" t="str">
        <f>IF(BE31="","",HYPERLINK("#'"&amp;BE31&amp;"'!A1","▶"))</f>
        <v/>
      </c>
      <c r="BM31">
        <f>B31</f>
        <v>17</v>
      </c>
      <c r="BN31">
        <f>SUMPRODUCT(ISNUMBER($AH$6:$AH$45)*($AH$6:$AH$45&lt;=$BM31)*($AH$6:$AH$45+($AJ$6:$AJ$45+($AJ$6:$AJ$45=0))-1&gt;=$BM31)*($AL$6:$AL$45&lt;&gt;"0U")*($AL$6:$AL$45&lt;&gt;"선반")*($AL$6:$AL$45&lt;&gt;"후면")*(ROW($AH$6:$AH$45)-5))</f>
        <v>0</v>
      </c>
      <c r="BO31">
        <f>SUMPRODUCT(ISNUMBER($AH$6:$AH$45)*($AH$6:$AH$45&lt;=$BM31)*($AH$6:$AH$45+($AJ$6:$AJ$45+($AJ$6:$AJ$45=0))-1&gt;=$BM31)*($AL$6:$AL$45&lt;&gt;"0U")*($AL$6:$AL$45&lt;&gt;"선반")*($AL$6:$AL$45&lt;&gt;"후면"))</f>
        <v>0</v>
      </c>
      <c r="BP31">
        <f>SUMPRODUCT(ISNUMBER($AH$6:$AH$45)*($AH$6:$AH$45&lt;=$BM31)*($AH$6:$AH$45+($AJ$6:$AJ$45+($AJ$6:$AJ$45=0))-1&gt;=$BM31)*($AL$6:$AL$45&lt;&gt;"0U")*($AL$6:$AL$45&lt;&gt;"선반")*($AL$6:$AL$45&lt;&gt;"전면")*(ROW($AH$6:$AH$45)-5))</f>
        <v>0</v>
      </c>
      <c r="BQ31">
        <f>SUMPRODUCT(ISNUMBER($AH$6:$AH$45)*($AH$6:$AH$45&lt;=$BM31)*($AH$6:$AH$45+($AJ$6:$AJ$45+($AJ$6:$AJ$45=0))-1&gt;=$BM31)*($AL$6:$AL$45&lt;&gt;"0U")*($AL$6:$AL$45&lt;&gt;"선반")*($AL$6:$AL$45&lt;&gt;"전면"))</f>
        <v>0</v>
      </c>
    </row>
    <row r="32" ht="10" customHeight="1">
      <c r="B32" s="14" t="n">
        <v>16</v>
      </c>
      <c r="C32" s="15" t="str">
        <f>IF($BO32&lt;&gt;1,IF($BO32&gt;1,"⚠ U 겹침",""),IF($BM32=INDEX($AH$6:$AH$45,$BN32)+INDEX($AJ$6:$AJ$45,$BN32)+(INDEX($AJ$6:$AJ$45,$BN32)=0)-1,INDEX($AN$6:$AN$45,$BN32)&amp;IF(INDEX($AV$6:$AV$45,$BN32)="",""," · "&amp;INDEX($AV$6:$AV$45,$BN32)),""))</f>
        <v/>
      </c>
      <c r="D32" s="16" t="n"/>
      <c r="E32" s="16" t="n"/>
      <c r="F32" s="16" t="n"/>
      <c r="G32" s="16" t="n"/>
      <c r="H32" s="16" t="n"/>
      <c r="I32" s="16" t="n"/>
      <c r="J32" s="16" t="n"/>
      <c r="K32" s="16" t="n"/>
      <c r="L32" s="16" t="n"/>
      <c r="M32" s="16" t="n"/>
      <c r="N32" s="16" t="n"/>
      <c r="O32" s="16" t="n"/>
      <c r="P32" s="17" t="n"/>
      <c r="R32" s="18" t="n"/>
      <c r="S32" s="15" t="str">
        <f>IF($BQ32&lt;&gt;1,IF($BQ32&gt;1,"⚠ U 겹침",""),IF($BM32=INDEX($AH$6:$AH$45,$BP32)+INDEX($AJ$6:$AJ$45,$BP32)+(INDEX($AJ$6:$AJ$45,$BP32)=0)-1,INDEX($AN$6:$AN$45,$BP32)&amp;IF(INDEX($AV$6:$AV$45,$BP32)="",""," · "&amp;INDEX($AV$6:$AV$45,$BP32)),""))</f>
        <v/>
      </c>
      <c r="T32" s="16" t="n"/>
      <c r="U32" s="16" t="n"/>
      <c r="V32" s="16" t="n"/>
      <c r="W32" s="16" t="n"/>
      <c r="X32" s="16" t="n"/>
      <c r="Y32" s="16" t="n"/>
      <c r="Z32" s="16" t="n"/>
      <c r="AA32" s="16" t="n"/>
      <c r="AB32" s="16" t="n"/>
      <c r="AC32" s="16" t="n"/>
      <c r="AD32" s="16" t="n"/>
      <c r="AE32" s="16" t="n"/>
      <c r="AF32" s="19" t="n">
        <v>16</v>
      </c>
      <c r="AH32" s="20" t="n"/>
      <c r="AI32" s="21" t="n"/>
      <c r="AJ32" s="20" t="n"/>
      <c r="AK32" s="21" t="n"/>
      <c r="AL32" s="22" t="n"/>
      <c r="AM32" s="21" t="n"/>
      <c r="AN32" s="23" t="n"/>
      <c r="AO32" s="21" t="n"/>
      <c r="AP32" s="21" t="n"/>
      <c r="AQ32" s="21" t="n"/>
      <c r="AR32" s="21" t="n"/>
      <c r="AS32" s="22" t="n"/>
      <c r="AT32" s="21" t="n"/>
      <c r="AU32" s="21" t="n"/>
      <c r="AV32" s="22" t="n"/>
      <c r="AW32" s="21" t="n"/>
      <c r="AX32" s="21" t="n"/>
      <c r="AY32" s="21" t="n"/>
      <c r="AZ32" s="21" t="n"/>
      <c r="BA32" s="21" t="n"/>
      <c r="BB32" s="22" t="n"/>
      <c r="BC32" s="21" t="n"/>
      <c r="BD32" s="21" t="n"/>
      <c r="BE32" s="22" t="n"/>
      <c r="BF32" s="21" t="n"/>
      <c r="BG32" s="21" t="n"/>
      <c r="BH32" s="21" t="n"/>
      <c r="BI32" s="21" t="n"/>
      <c r="BJ32" s="21" t="n"/>
      <c r="BK32" s="24" t="str">
        <f>IF(BE32="","",HYPERLINK("#'"&amp;BE32&amp;"'!A1","▶"))</f>
        <v/>
      </c>
      <c r="BM32">
        <f>B32</f>
        <v>16</v>
      </c>
      <c r="BN32">
        <f>SUMPRODUCT(ISNUMBER($AH$6:$AH$45)*($AH$6:$AH$45&lt;=$BM32)*($AH$6:$AH$45+($AJ$6:$AJ$45+($AJ$6:$AJ$45=0))-1&gt;=$BM32)*($AL$6:$AL$45&lt;&gt;"0U")*($AL$6:$AL$45&lt;&gt;"선반")*($AL$6:$AL$45&lt;&gt;"후면")*(ROW($AH$6:$AH$45)-5))</f>
        <v>0</v>
      </c>
      <c r="BO32">
        <f>SUMPRODUCT(ISNUMBER($AH$6:$AH$45)*($AH$6:$AH$45&lt;=$BM32)*($AH$6:$AH$45+($AJ$6:$AJ$45+($AJ$6:$AJ$45=0))-1&gt;=$BM32)*($AL$6:$AL$45&lt;&gt;"0U")*($AL$6:$AL$45&lt;&gt;"선반")*($AL$6:$AL$45&lt;&gt;"후면"))</f>
        <v>0</v>
      </c>
      <c r="BP32">
        <f>SUMPRODUCT(ISNUMBER($AH$6:$AH$45)*($AH$6:$AH$45&lt;=$BM32)*($AH$6:$AH$45+($AJ$6:$AJ$45+($AJ$6:$AJ$45=0))-1&gt;=$BM32)*($AL$6:$AL$45&lt;&gt;"0U")*($AL$6:$AL$45&lt;&gt;"선반")*($AL$6:$AL$45&lt;&gt;"전면")*(ROW($AH$6:$AH$45)-5))</f>
        <v>0</v>
      </c>
      <c r="BQ32">
        <f>SUMPRODUCT(ISNUMBER($AH$6:$AH$45)*($AH$6:$AH$45&lt;=$BM32)*($AH$6:$AH$45+($AJ$6:$AJ$45+($AJ$6:$AJ$45=0))-1&gt;=$BM32)*($AL$6:$AL$45&lt;&gt;"0U")*($AL$6:$AL$45&lt;&gt;"선반")*($AL$6:$AL$45&lt;&gt;"전면"))</f>
        <v>0</v>
      </c>
    </row>
    <row r="33" ht="10" customHeight="1">
      <c r="B33" s="14" t="n">
        <v>15</v>
      </c>
      <c r="C33" s="15" t="str">
        <f>IF($BO33&lt;&gt;1,IF($BO33&gt;1,"⚠ U 겹침",""),IF($BM33=INDEX($AH$6:$AH$45,$BN33)+INDEX($AJ$6:$AJ$45,$BN33)+(INDEX($AJ$6:$AJ$45,$BN33)=0)-1,INDEX($AN$6:$AN$45,$BN33)&amp;IF(INDEX($AV$6:$AV$45,$BN33)="",""," · "&amp;INDEX($AV$6:$AV$45,$BN33)),""))</f>
        <v/>
      </c>
      <c r="D33" s="16" t="n"/>
      <c r="E33" s="16" t="n"/>
      <c r="F33" s="16" t="n"/>
      <c r="G33" s="16" t="n"/>
      <c r="H33" s="16" t="n"/>
      <c r="I33" s="16" t="n"/>
      <c r="J33" s="16" t="n"/>
      <c r="K33" s="16" t="n"/>
      <c r="L33" s="16" t="n"/>
      <c r="M33" s="16" t="n"/>
      <c r="N33" s="16" t="n"/>
      <c r="O33" s="16" t="n"/>
      <c r="P33" s="17" t="n"/>
      <c r="R33" s="18" t="n"/>
      <c r="S33" s="15" t="str">
        <f>IF($BQ33&lt;&gt;1,IF($BQ33&gt;1,"⚠ U 겹침",""),IF($BM33=INDEX($AH$6:$AH$45,$BP33)+INDEX($AJ$6:$AJ$45,$BP33)+(INDEX($AJ$6:$AJ$45,$BP33)=0)-1,INDEX($AN$6:$AN$45,$BP33)&amp;IF(INDEX($AV$6:$AV$45,$BP33)="",""," · "&amp;INDEX($AV$6:$AV$45,$BP33)),""))</f>
        <v/>
      </c>
      <c r="T33" s="16" t="n"/>
      <c r="U33" s="16" t="n"/>
      <c r="V33" s="16" t="n"/>
      <c r="W33" s="16" t="n"/>
      <c r="X33" s="16" t="n"/>
      <c r="Y33" s="16" t="n"/>
      <c r="Z33" s="16" t="n"/>
      <c r="AA33" s="16" t="n"/>
      <c r="AB33" s="16" t="n"/>
      <c r="AC33" s="16" t="n"/>
      <c r="AD33" s="16" t="n"/>
      <c r="AE33" s="16" t="n"/>
      <c r="AF33" s="19" t="n">
        <v>15</v>
      </c>
      <c r="AH33" s="20" t="n"/>
      <c r="AI33" s="21" t="n"/>
      <c r="AJ33" s="20" t="n"/>
      <c r="AK33" s="21" t="n"/>
      <c r="AL33" s="22" t="n"/>
      <c r="AM33" s="21" t="n"/>
      <c r="AN33" s="23" t="n"/>
      <c r="AO33" s="21" t="n"/>
      <c r="AP33" s="21" t="n"/>
      <c r="AQ33" s="21" t="n"/>
      <c r="AR33" s="21" t="n"/>
      <c r="AS33" s="22" t="n"/>
      <c r="AT33" s="21" t="n"/>
      <c r="AU33" s="21" t="n"/>
      <c r="AV33" s="22" t="n"/>
      <c r="AW33" s="21" t="n"/>
      <c r="AX33" s="21" t="n"/>
      <c r="AY33" s="21" t="n"/>
      <c r="AZ33" s="21" t="n"/>
      <c r="BA33" s="21" t="n"/>
      <c r="BB33" s="22" t="n"/>
      <c r="BC33" s="21" t="n"/>
      <c r="BD33" s="21" t="n"/>
      <c r="BE33" s="22" t="n"/>
      <c r="BF33" s="21" t="n"/>
      <c r="BG33" s="21" t="n"/>
      <c r="BH33" s="21" t="n"/>
      <c r="BI33" s="21" t="n"/>
      <c r="BJ33" s="21" t="n"/>
      <c r="BK33" s="24" t="str">
        <f>IF(BE33="","",HYPERLINK("#'"&amp;BE33&amp;"'!A1","▶"))</f>
        <v/>
      </c>
      <c r="BM33">
        <f>B33</f>
        <v>15</v>
      </c>
      <c r="BN33">
        <f>SUMPRODUCT(ISNUMBER($AH$6:$AH$45)*($AH$6:$AH$45&lt;=$BM33)*($AH$6:$AH$45+($AJ$6:$AJ$45+($AJ$6:$AJ$45=0))-1&gt;=$BM33)*($AL$6:$AL$45&lt;&gt;"0U")*($AL$6:$AL$45&lt;&gt;"선반")*($AL$6:$AL$45&lt;&gt;"후면")*(ROW($AH$6:$AH$45)-5))</f>
        <v>0</v>
      </c>
      <c r="BO33">
        <f>SUMPRODUCT(ISNUMBER($AH$6:$AH$45)*($AH$6:$AH$45&lt;=$BM33)*($AH$6:$AH$45+($AJ$6:$AJ$45+($AJ$6:$AJ$45=0))-1&gt;=$BM33)*($AL$6:$AL$45&lt;&gt;"0U")*($AL$6:$AL$45&lt;&gt;"선반")*($AL$6:$AL$45&lt;&gt;"후면"))</f>
        <v>0</v>
      </c>
      <c r="BP33">
        <f>SUMPRODUCT(ISNUMBER($AH$6:$AH$45)*($AH$6:$AH$45&lt;=$BM33)*($AH$6:$AH$45+($AJ$6:$AJ$45+($AJ$6:$AJ$45=0))-1&gt;=$BM33)*($AL$6:$AL$45&lt;&gt;"0U")*($AL$6:$AL$45&lt;&gt;"선반")*($AL$6:$AL$45&lt;&gt;"전면")*(ROW($AH$6:$AH$45)-5))</f>
        <v>0</v>
      </c>
      <c r="BQ33">
        <f>SUMPRODUCT(ISNUMBER($AH$6:$AH$45)*($AH$6:$AH$45&lt;=$BM33)*($AH$6:$AH$45+($AJ$6:$AJ$45+($AJ$6:$AJ$45=0))-1&gt;=$BM33)*($AL$6:$AL$45&lt;&gt;"0U")*($AL$6:$AL$45&lt;&gt;"선반")*($AL$6:$AL$45&lt;&gt;"전면"))</f>
        <v>0</v>
      </c>
    </row>
    <row r="34" ht="10" customHeight="1">
      <c r="B34" s="14" t="n">
        <v>14</v>
      </c>
      <c r="C34" s="15" t="str">
        <f>IF($BO34&lt;&gt;1,IF($BO34&gt;1,"⚠ U 겹침",""),IF($BM34=INDEX($AH$6:$AH$45,$BN34)+INDEX($AJ$6:$AJ$45,$BN34)+(INDEX($AJ$6:$AJ$45,$BN34)=0)-1,INDEX($AN$6:$AN$45,$BN34)&amp;IF(INDEX($AV$6:$AV$45,$BN34)="",""," · "&amp;INDEX($AV$6:$AV$45,$BN34)),""))</f>
        <v/>
      </c>
      <c r="D34" s="16" t="n"/>
      <c r="E34" s="16" t="n"/>
      <c r="F34" s="16" t="n"/>
      <c r="G34" s="16" t="n"/>
      <c r="H34" s="16" t="n"/>
      <c r="I34" s="16" t="n"/>
      <c r="J34" s="16" t="n"/>
      <c r="K34" s="16" t="n"/>
      <c r="L34" s="16" t="n"/>
      <c r="M34" s="16" t="n"/>
      <c r="N34" s="16" t="n"/>
      <c r="O34" s="16" t="n"/>
      <c r="P34" s="17" t="n"/>
      <c r="R34" s="18" t="n"/>
      <c r="S34" s="15" t="str">
        <f>IF($BQ34&lt;&gt;1,IF($BQ34&gt;1,"⚠ U 겹침",""),IF($BM34=INDEX($AH$6:$AH$45,$BP34)+INDEX($AJ$6:$AJ$45,$BP34)+(INDEX($AJ$6:$AJ$45,$BP34)=0)-1,INDEX($AN$6:$AN$45,$BP34)&amp;IF(INDEX($AV$6:$AV$45,$BP34)="",""," · "&amp;INDEX($AV$6:$AV$45,$BP34)),""))</f>
        <v/>
      </c>
      <c r="T34" s="16" t="n"/>
      <c r="U34" s="16" t="n"/>
      <c r="V34" s="16" t="n"/>
      <c r="W34" s="16" t="n"/>
      <c r="X34" s="16" t="n"/>
      <c r="Y34" s="16" t="n"/>
      <c r="Z34" s="16" t="n"/>
      <c r="AA34" s="16" t="n"/>
      <c r="AB34" s="16" t="n"/>
      <c r="AC34" s="16" t="n"/>
      <c r="AD34" s="16" t="n"/>
      <c r="AE34" s="16" t="n"/>
      <c r="AF34" s="19" t="n">
        <v>14</v>
      </c>
      <c r="AH34" s="20" t="n"/>
      <c r="AI34" s="21" t="n"/>
      <c r="AJ34" s="20" t="n"/>
      <c r="AK34" s="21" t="n"/>
      <c r="AL34" s="22" t="n"/>
      <c r="AM34" s="21" t="n"/>
      <c r="AN34" s="23" t="n"/>
      <c r="AO34" s="21" t="n"/>
      <c r="AP34" s="21" t="n"/>
      <c r="AQ34" s="21" t="n"/>
      <c r="AR34" s="21" t="n"/>
      <c r="AS34" s="22" t="n"/>
      <c r="AT34" s="21" t="n"/>
      <c r="AU34" s="21" t="n"/>
      <c r="AV34" s="22" t="n"/>
      <c r="AW34" s="21" t="n"/>
      <c r="AX34" s="21" t="n"/>
      <c r="AY34" s="21" t="n"/>
      <c r="AZ34" s="21" t="n"/>
      <c r="BA34" s="21" t="n"/>
      <c r="BB34" s="22" t="n"/>
      <c r="BC34" s="21" t="n"/>
      <c r="BD34" s="21" t="n"/>
      <c r="BE34" s="22" t="n"/>
      <c r="BF34" s="21" t="n"/>
      <c r="BG34" s="21" t="n"/>
      <c r="BH34" s="21" t="n"/>
      <c r="BI34" s="21" t="n"/>
      <c r="BJ34" s="21" t="n"/>
      <c r="BK34" s="24" t="str">
        <f>IF(BE34="","",HYPERLINK("#'"&amp;BE34&amp;"'!A1","▶"))</f>
        <v/>
      </c>
      <c r="BM34">
        <f>B34</f>
        <v>14</v>
      </c>
      <c r="BN34">
        <f>SUMPRODUCT(ISNUMBER($AH$6:$AH$45)*($AH$6:$AH$45&lt;=$BM34)*($AH$6:$AH$45+($AJ$6:$AJ$45+($AJ$6:$AJ$45=0))-1&gt;=$BM34)*($AL$6:$AL$45&lt;&gt;"0U")*($AL$6:$AL$45&lt;&gt;"선반")*($AL$6:$AL$45&lt;&gt;"후면")*(ROW($AH$6:$AH$45)-5))</f>
        <v>0</v>
      </c>
      <c r="BO34">
        <f>SUMPRODUCT(ISNUMBER($AH$6:$AH$45)*($AH$6:$AH$45&lt;=$BM34)*($AH$6:$AH$45+($AJ$6:$AJ$45+($AJ$6:$AJ$45=0))-1&gt;=$BM34)*($AL$6:$AL$45&lt;&gt;"0U")*($AL$6:$AL$45&lt;&gt;"선반")*($AL$6:$AL$45&lt;&gt;"후면"))</f>
        <v>0</v>
      </c>
      <c r="BP34">
        <f>SUMPRODUCT(ISNUMBER($AH$6:$AH$45)*($AH$6:$AH$45&lt;=$BM34)*($AH$6:$AH$45+($AJ$6:$AJ$45+($AJ$6:$AJ$45=0))-1&gt;=$BM34)*($AL$6:$AL$45&lt;&gt;"0U")*($AL$6:$AL$45&lt;&gt;"선반")*($AL$6:$AL$45&lt;&gt;"전면")*(ROW($AH$6:$AH$45)-5))</f>
        <v>0</v>
      </c>
      <c r="BQ34">
        <f>SUMPRODUCT(ISNUMBER($AH$6:$AH$45)*($AH$6:$AH$45&lt;=$BM34)*($AH$6:$AH$45+($AJ$6:$AJ$45+($AJ$6:$AJ$45=0))-1&gt;=$BM34)*($AL$6:$AL$45&lt;&gt;"0U")*($AL$6:$AL$45&lt;&gt;"선반")*($AL$6:$AL$45&lt;&gt;"전면"))</f>
        <v>0</v>
      </c>
    </row>
    <row r="35" ht="10" customHeight="1">
      <c r="B35" s="14" t="n">
        <v>13</v>
      </c>
      <c r="C35" s="15" t="str">
        <f>IF($BO35&lt;&gt;1,IF($BO35&gt;1,"⚠ U 겹침",""),IF($BM35=INDEX($AH$6:$AH$45,$BN35)+INDEX($AJ$6:$AJ$45,$BN35)+(INDEX($AJ$6:$AJ$45,$BN35)=0)-1,INDEX($AN$6:$AN$45,$BN35)&amp;IF(INDEX($AV$6:$AV$45,$BN35)="",""," · "&amp;INDEX($AV$6:$AV$45,$BN35)),""))</f>
        <v/>
      </c>
      <c r="D35" s="16" t="n"/>
      <c r="E35" s="16" t="n"/>
      <c r="F35" s="16" t="n"/>
      <c r="G35" s="16" t="n"/>
      <c r="H35" s="16" t="n"/>
      <c r="I35" s="16" t="n"/>
      <c r="J35" s="16" t="n"/>
      <c r="K35" s="16" t="n"/>
      <c r="L35" s="16" t="n"/>
      <c r="M35" s="16" t="n"/>
      <c r="N35" s="16" t="n"/>
      <c r="O35" s="16" t="n"/>
      <c r="P35" s="17" t="n"/>
      <c r="R35" s="18" t="n"/>
      <c r="S35" s="15" t="str">
        <f>IF($BQ35&lt;&gt;1,IF($BQ35&gt;1,"⚠ U 겹침",""),IF($BM35=INDEX($AH$6:$AH$45,$BP35)+INDEX($AJ$6:$AJ$45,$BP35)+(INDEX($AJ$6:$AJ$45,$BP35)=0)-1,INDEX($AN$6:$AN$45,$BP35)&amp;IF(INDEX($AV$6:$AV$45,$BP35)="",""," · "&amp;INDEX($AV$6:$AV$45,$BP35)),""))</f>
        <v/>
      </c>
      <c r="T35" s="16" t="n"/>
      <c r="U35" s="16" t="n"/>
      <c r="V35" s="16" t="n"/>
      <c r="W35" s="16" t="n"/>
      <c r="X35" s="16" t="n"/>
      <c r="Y35" s="16" t="n"/>
      <c r="Z35" s="16" t="n"/>
      <c r="AA35" s="16" t="n"/>
      <c r="AB35" s="16" t="n"/>
      <c r="AC35" s="16" t="n"/>
      <c r="AD35" s="16" t="n"/>
      <c r="AE35" s="16" t="n"/>
      <c r="AF35" s="19" t="n">
        <v>13</v>
      </c>
      <c r="AH35" s="20" t="n"/>
      <c r="AI35" s="21" t="n"/>
      <c r="AJ35" s="20" t="n"/>
      <c r="AK35" s="21" t="n"/>
      <c r="AL35" s="22" t="n"/>
      <c r="AM35" s="21" t="n"/>
      <c r="AN35" s="23" t="n"/>
      <c r="AO35" s="21" t="n"/>
      <c r="AP35" s="21" t="n"/>
      <c r="AQ35" s="21" t="n"/>
      <c r="AR35" s="21" t="n"/>
      <c r="AS35" s="22" t="n"/>
      <c r="AT35" s="21" t="n"/>
      <c r="AU35" s="21" t="n"/>
      <c r="AV35" s="22" t="n"/>
      <c r="AW35" s="21" t="n"/>
      <c r="AX35" s="21" t="n"/>
      <c r="AY35" s="21" t="n"/>
      <c r="AZ35" s="21" t="n"/>
      <c r="BA35" s="21" t="n"/>
      <c r="BB35" s="22" t="n"/>
      <c r="BC35" s="21" t="n"/>
      <c r="BD35" s="21" t="n"/>
      <c r="BE35" s="22" t="n"/>
      <c r="BF35" s="21" t="n"/>
      <c r="BG35" s="21" t="n"/>
      <c r="BH35" s="21" t="n"/>
      <c r="BI35" s="21" t="n"/>
      <c r="BJ35" s="21" t="n"/>
      <c r="BK35" s="24" t="str">
        <f>IF(BE35="","",HYPERLINK("#'"&amp;BE35&amp;"'!A1","▶"))</f>
        <v/>
      </c>
      <c r="BM35">
        <f>B35</f>
        <v>13</v>
      </c>
      <c r="BN35">
        <f>SUMPRODUCT(ISNUMBER($AH$6:$AH$45)*($AH$6:$AH$45&lt;=$BM35)*($AH$6:$AH$45+($AJ$6:$AJ$45+($AJ$6:$AJ$45=0))-1&gt;=$BM35)*($AL$6:$AL$45&lt;&gt;"0U")*($AL$6:$AL$45&lt;&gt;"선반")*($AL$6:$AL$45&lt;&gt;"후면")*(ROW($AH$6:$AH$45)-5))</f>
        <v>0</v>
      </c>
      <c r="BO35">
        <f>SUMPRODUCT(ISNUMBER($AH$6:$AH$45)*($AH$6:$AH$45&lt;=$BM35)*($AH$6:$AH$45+($AJ$6:$AJ$45+($AJ$6:$AJ$45=0))-1&gt;=$BM35)*($AL$6:$AL$45&lt;&gt;"0U")*($AL$6:$AL$45&lt;&gt;"선반")*($AL$6:$AL$45&lt;&gt;"후면"))</f>
        <v>0</v>
      </c>
      <c r="BP35">
        <f>SUMPRODUCT(ISNUMBER($AH$6:$AH$45)*($AH$6:$AH$45&lt;=$BM35)*($AH$6:$AH$45+($AJ$6:$AJ$45+($AJ$6:$AJ$45=0))-1&gt;=$BM35)*($AL$6:$AL$45&lt;&gt;"0U")*($AL$6:$AL$45&lt;&gt;"선반")*($AL$6:$AL$45&lt;&gt;"전면")*(ROW($AH$6:$AH$45)-5))</f>
        <v>0</v>
      </c>
      <c r="BQ35">
        <f>SUMPRODUCT(ISNUMBER($AH$6:$AH$45)*($AH$6:$AH$45&lt;=$BM35)*($AH$6:$AH$45+($AJ$6:$AJ$45+($AJ$6:$AJ$45=0))-1&gt;=$BM35)*($AL$6:$AL$45&lt;&gt;"0U")*($AL$6:$AL$45&lt;&gt;"선반")*($AL$6:$AL$45&lt;&gt;"전면"))</f>
        <v>0</v>
      </c>
    </row>
    <row r="36" ht="10" customHeight="1">
      <c r="B36" s="14" t="n">
        <v>12</v>
      </c>
      <c r="C36" s="15" t="str">
        <f>IF($BO36&lt;&gt;1,IF($BO36&gt;1,"⚠ U 겹침",""),IF($BM36=INDEX($AH$6:$AH$45,$BN36)+INDEX($AJ$6:$AJ$45,$BN36)+(INDEX($AJ$6:$AJ$45,$BN36)=0)-1,INDEX($AN$6:$AN$45,$BN36)&amp;IF(INDEX($AV$6:$AV$45,$BN36)="",""," · "&amp;INDEX($AV$6:$AV$45,$BN36)),""))</f>
        <v/>
      </c>
      <c r="D36" s="16" t="n"/>
      <c r="E36" s="16" t="n"/>
      <c r="F36" s="16" t="n"/>
      <c r="G36" s="16" t="n"/>
      <c r="H36" s="16" t="n"/>
      <c r="I36" s="16" t="n"/>
      <c r="J36" s="16" t="n"/>
      <c r="K36" s="16" t="n"/>
      <c r="L36" s="16" t="n"/>
      <c r="M36" s="16" t="n"/>
      <c r="N36" s="16" t="n"/>
      <c r="O36" s="16" t="n"/>
      <c r="P36" s="17" t="n"/>
      <c r="R36" s="18" t="n"/>
      <c r="S36" s="15" t="str">
        <f>IF($BQ36&lt;&gt;1,IF($BQ36&gt;1,"⚠ U 겹침",""),IF($BM36=INDEX($AH$6:$AH$45,$BP36)+INDEX($AJ$6:$AJ$45,$BP36)+(INDEX($AJ$6:$AJ$45,$BP36)=0)-1,INDEX($AN$6:$AN$45,$BP36)&amp;IF(INDEX($AV$6:$AV$45,$BP36)="",""," · "&amp;INDEX($AV$6:$AV$45,$BP36)),""))</f>
        <v/>
      </c>
      <c r="T36" s="16" t="n"/>
      <c r="U36" s="16" t="n"/>
      <c r="V36" s="16" t="n"/>
      <c r="W36" s="16" t="n"/>
      <c r="X36" s="16" t="n"/>
      <c r="Y36" s="16" t="n"/>
      <c r="Z36" s="16" t="n"/>
      <c r="AA36" s="16" t="n"/>
      <c r="AB36" s="16" t="n"/>
      <c r="AC36" s="16" t="n"/>
      <c r="AD36" s="16" t="n"/>
      <c r="AE36" s="16" t="n"/>
      <c r="AF36" s="19" t="n">
        <v>12</v>
      </c>
      <c r="AH36" s="20" t="n"/>
      <c r="AI36" s="21" t="n"/>
      <c r="AJ36" s="20" t="n"/>
      <c r="AK36" s="21" t="n"/>
      <c r="AL36" s="22" t="n"/>
      <c r="AM36" s="21" t="n"/>
      <c r="AN36" s="23" t="n"/>
      <c r="AO36" s="21" t="n"/>
      <c r="AP36" s="21" t="n"/>
      <c r="AQ36" s="21" t="n"/>
      <c r="AR36" s="21" t="n"/>
      <c r="AS36" s="22" t="n"/>
      <c r="AT36" s="21" t="n"/>
      <c r="AU36" s="21" t="n"/>
      <c r="AV36" s="22" t="n"/>
      <c r="AW36" s="21" t="n"/>
      <c r="AX36" s="21" t="n"/>
      <c r="AY36" s="21" t="n"/>
      <c r="AZ36" s="21" t="n"/>
      <c r="BA36" s="21" t="n"/>
      <c r="BB36" s="22" t="n"/>
      <c r="BC36" s="21" t="n"/>
      <c r="BD36" s="21" t="n"/>
      <c r="BE36" s="22" t="n"/>
      <c r="BF36" s="21" t="n"/>
      <c r="BG36" s="21" t="n"/>
      <c r="BH36" s="21" t="n"/>
      <c r="BI36" s="21" t="n"/>
      <c r="BJ36" s="21" t="n"/>
      <c r="BK36" s="24" t="str">
        <f>IF(BE36="","",HYPERLINK("#'"&amp;BE36&amp;"'!A1","▶"))</f>
        <v/>
      </c>
      <c r="BM36">
        <f>B36</f>
        <v>12</v>
      </c>
      <c r="BN36">
        <f>SUMPRODUCT(ISNUMBER($AH$6:$AH$45)*($AH$6:$AH$45&lt;=$BM36)*($AH$6:$AH$45+($AJ$6:$AJ$45+($AJ$6:$AJ$45=0))-1&gt;=$BM36)*($AL$6:$AL$45&lt;&gt;"0U")*($AL$6:$AL$45&lt;&gt;"선반")*($AL$6:$AL$45&lt;&gt;"후면")*(ROW($AH$6:$AH$45)-5))</f>
        <v>0</v>
      </c>
      <c r="BO36">
        <f>SUMPRODUCT(ISNUMBER($AH$6:$AH$45)*($AH$6:$AH$45&lt;=$BM36)*($AH$6:$AH$45+($AJ$6:$AJ$45+($AJ$6:$AJ$45=0))-1&gt;=$BM36)*($AL$6:$AL$45&lt;&gt;"0U")*($AL$6:$AL$45&lt;&gt;"선반")*($AL$6:$AL$45&lt;&gt;"후면"))</f>
        <v>0</v>
      </c>
      <c r="BP36">
        <f>SUMPRODUCT(ISNUMBER($AH$6:$AH$45)*($AH$6:$AH$45&lt;=$BM36)*($AH$6:$AH$45+($AJ$6:$AJ$45+($AJ$6:$AJ$45=0))-1&gt;=$BM36)*($AL$6:$AL$45&lt;&gt;"0U")*($AL$6:$AL$45&lt;&gt;"선반")*($AL$6:$AL$45&lt;&gt;"전면")*(ROW($AH$6:$AH$45)-5))</f>
        <v>0</v>
      </c>
      <c r="BQ36">
        <f>SUMPRODUCT(ISNUMBER($AH$6:$AH$45)*($AH$6:$AH$45&lt;=$BM36)*($AH$6:$AH$45+($AJ$6:$AJ$45+($AJ$6:$AJ$45=0))-1&gt;=$BM36)*($AL$6:$AL$45&lt;&gt;"0U")*($AL$6:$AL$45&lt;&gt;"선반")*($AL$6:$AL$45&lt;&gt;"전면"))</f>
        <v>0</v>
      </c>
    </row>
    <row r="37" ht="10" customHeight="1">
      <c r="B37" s="14" t="n">
        <v>11</v>
      </c>
      <c r="C37" s="15" t="str">
        <f>IF($BO37&lt;&gt;1,IF($BO37&gt;1,"⚠ U 겹침",""),IF($BM37=INDEX($AH$6:$AH$45,$BN37)+INDEX($AJ$6:$AJ$45,$BN37)+(INDEX($AJ$6:$AJ$45,$BN37)=0)-1,INDEX($AN$6:$AN$45,$BN37)&amp;IF(INDEX($AV$6:$AV$45,$BN37)="",""," · "&amp;INDEX($AV$6:$AV$45,$BN37)),""))</f>
        <v/>
      </c>
      <c r="D37" s="16" t="n"/>
      <c r="E37" s="16" t="n"/>
      <c r="F37" s="16" t="n"/>
      <c r="G37" s="16" t="n"/>
      <c r="H37" s="16" t="n"/>
      <c r="I37" s="16" t="n"/>
      <c r="J37" s="16" t="n"/>
      <c r="K37" s="16" t="n"/>
      <c r="L37" s="16" t="n"/>
      <c r="M37" s="16" t="n"/>
      <c r="N37" s="16" t="n"/>
      <c r="O37" s="16" t="n"/>
      <c r="P37" s="17" t="n"/>
      <c r="R37" s="18" t="n"/>
      <c r="S37" s="15" t="str">
        <f>IF($BQ37&lt;&gt;1,IF($BQ37&gt;1,"⚠ U 겹침",""),IF($BM37=INDEX($AH$6:$AH$45,$BP37)+INDEX($AJ$6:$AJ$45,$BP37)+(INDEX($AJ$6:$AJ$45,$BP37)=0)-1,INDEX($AN$6:$AN$45,$BP37)&amp;IF(INDEX($AV$6:$AV$45,$BP37)="",""," · "&amp;INDEX($AV$6:$AV$45,$BP37)),""))</f>
        <v/>
      </c>
      <c r="T37" s="16" t="n"/>
      <c r="U37" s="16" t="n"/>
      <c r="V37" s="16" t="n"/>
      <c r="W37" s="16" t="n"/>
      <c r="X37" s="16" t="n"/>
      <c r="Y37" s="16" t="n"/>
      <c r="Z37" s="16" t="n"/>
      <c r="AA37" s="16" t="n"/>
      <c r="AB37" s="16" t="n"/>
      <c r="AC37" s="16" t="n"/>
      <c r="AD37" s="16" t="n"/>
      <c r="AE37" s="16" t="n"/>
      <c r="AF37" s="19" t="n">
        <v>11</v>
      </c>
      <c r="AH37" s="20" t="n"/>
      <c r="AI37" s="21" t="n"/>
      <c r="AJ37" s="20" t="n"/>
      <c r="AK37" s="21" t="n"/>
      <c r="AL37" s="22" t="n"/>
      <c r="AM37" s="21" t="n"/>
      <c r="AN37" s="23" t="n"/>
      <c r="AO37" s="21" t="n"/>
      <c r="AP37" s="21" t="n"/>
      <c r="AQ37" s="21" t="n"/>
      <c r="AR37" s="21" t="n"/>
      <c r="AS37" s="22" t="n"/>
      <c r="AT37" s="21" t="n"/>
      <c r="AU37" s="21" t="n"/>
      <c r="AV37" s="22" t="n"/>
      <c r="AW37" s="21" t="n"/>
      <c r="AX37" s="21" t="n"/>
      <c r="AY37" s="21" t="n"/>
      <c r="AZ37" s="21" t="n"/>
      <c r="BA37" s="21" t="n"/>
      <c r="BB37" s="22" t="n"/>
      <c r="BC37" s="21" t="n"/>
      <c r="BD37" s="21" t="n"/>
      <c r="BE37" s="22" t="n"/>
      <c r="BF37" s="21" t="n"/>
      <c r="BG37" s="21" t="n"/>
      <c r="BH37" s="21" t="n"/>
      <c r="BI37" s="21" t="n"/>
      <c r="BJ37" s="21" t="n"/>
      <c r="BK37" s="24" t="str">
        <f>IF(BE37="","",HYPERLINK("#'"&amp;BE37&amp;"'!A1","▶"))</f>
        <v/>
      </c>
      <c r="BM37">
        <f>B37</f>
        <v>11</v>
      </c>
      <c r="BN37">
        <f>SUMPRODUCT(ISNUMBER($AH$6:$AH$45)*($AH$6:$AH$45&lt;=$BM37)*($AH$6:$AH$45+($AJ$6:$AJ$45+($AJ$6:$AJ$45=0))-1&gt;=$BM37)*($AL$6:$AL$45&lt;&gt;"0U")*($AL$6:$AL$45&lt;&gt;"선반")*($AL$6:$AL$45&lt;&gt;"후면")*(ROW($AH$6:$AH$45)-5))</f>
        <v>0</v>
      </c>
      <c r="BO37">
        <f>SUMPRODUCT(ISNUMBER($AH$6:$AH$45)*($AH$6:$AH$45&lt;=$BM37)*($AH$6:$AH$45+($AJ$6:$AJ$45+($AJ$6:$AJ$45=0))-1&gt;=$BM37)*($AL$6:$AL$45&lt;&gt;"0U")*($AL$6:$AL$45&lt;&gt;"선반")*($AL$6:$AL$45&lt;&gt;"후면"))</f>
        <v>0</v>
      </c>
      <c r="BP37">
        <f>SUMPRODUCT(ISNUMBER($AH$6:$AH$45)*($AH$6:$AH$45&lt;=$BM37)*($AH$6:$AH$45+($AJ$6:$AJ$45+($AJ$6:$AJ$45=0))-1&gt;=$BM37)*($AL$6:$AL$45&lt;&gt;"0U")*($AL$6:$AL$45&lt;&gt;"선반")*($AL$6:$AL$45&lt;&gt;"전면")*(ROW($AH$6:$AH$45)-5))</f>
        <v>0</v>
      </c>
      <c r="BQ37">
        <f>SUMPRODUCT(ISNUMBER($AH$6:$AH$45)*($AH$6:$AH$45&lt;=$BM37)*($AH$6:$AH$45+($AJ$6:$AJ$45+($AJ$6:$AJ$45=0))-1&gt;=$BM37)*($AL$6:$AL$45&lt;&gt;"0U")*($AL$6:$AL$45&lt;&gt;"선반")*($AL$6:$AL$45&lt;&gt;"전면"))</f>
        <v>0</v>
      </c>
    </row>
    <row r="38" ht="10" customHeight="1">
      <c r="B38" s="14" t="n">
        <v>10</v>
      </c>
      <c r="C38" s="15" t="str">
        <f>IF($BO38&lt;&gt;1,IF($BO38&gt;1,"⚠ U 겹침",""),IF($BM38=INDEX($AH$6:$AH$45,$BN38)+INDEX($AJ$6:$AJ$45,$BN38)+(INDEX($AJ$6:$AJ$45,$BN38)=0)-1,INDEX($AN$6:$AN$45,$BN38)&amp;IF(INDEX($AV$6:$AV$45,$BN38)="",""," · "&amp;INDEX($AV$6:$AV$45,$BN38)),""))</f>
        <v/>
      </c>
      <c r="D38" s="16" t="n"/>
      <c r="E38" s="16" t="n"/>
      <c r="F38" s="16" t="n"/>
      <c r="G38" s="16" t="n"/>
      <c r="H38" s="16" t="n"/>
      <c r="I38" s="16" t="n"/>
      <c r="J38" s="16" t="n"/>
      <c r="K38" s="16" t="n"/>
      <c r="L38" s="16" t="n"/>
      <c r="M38" s="16" t="n"/>
      <c r="N38" s="16" t="n"/>
      <c r="O38" s="16" t="n"/>
      <c r="P38" s="17" t="n"/>
      <c r="R38" s="18" t="n"/>
      <c r="S38" s="15" t="str">
        <f>IF($BQ38&lt;&gt;1,IF($BQ38&gt;1,"⚠ U 겹침",""),IF($BM38=INDEX($AH$6:$AH$45,$BP38)+INDEX($AJ$6:$AJ$45,$BP38)+(INDEX($AJ$6:$AJ$45,$BP38)=0)-1,INDEX($AN$6:$AN$45,$BP38)&amp;IF(INDEX($AV$6:$AV$45,$BP38)="",""," · "&amp;INDEX($AV$6:$AV$45,$BP38)),""))</f>
        <v/>
      </c>
      <c r="T38" s="16" t="n"/>
      <c r="U38" s="16" t="n"/>
      <c r="V38" s="16" t="n"/>
      <c r="W38" s="16" t="n"/>
      <c r="X38" s="16" t="n"/>
      <c r="Y38" s="16" t="n"/>
      <c r="Z38" s="16" t="n"/>
      <c r="AA38" s="16" t="n"/>
      <c r="AB38" s="16" t="n"/>
      <c r="AC38" s="16" t="n"/>
      <c r="AD38" s="16" t="n"/>
      <c r="AE38" s="16" t="n"/>
      <c r="AF38" s="19" t="n">
        <v>10</v>
      </c>
      <c r="AH38" s="20" t="n"/>
      <c r="AI38" s="21" t="n"/>
      <c r="AJ38" s="20" t="n"/>
      <c r="AK38" s="21" t="n"/>
      <c r="AL38" s="22" t="n"/>
      <c r="AM38" s="21" t="n"/>
      <c r="AN38" s="23" t="n"/>
      <c r="AO38" s="21" t="n"/>
      <c r="AP38" s="21" t="n"/>
      <c r="AQ38" s="21" t="n"/>
      <c r="AR38" s="21" t="n"/>
      <c r="AS38" s="22" t="n"/>
      <c r="AT38" s="21" t="n"/>
      <c r="AU38" s="21" t="n"/>
      <c r="AV38" s="22" t="n"/>
      <c r="AW38" s="21" t="n"/>
      <c r="AX38" s="21" t="n"/>
      <c r="AY38" s="21" t="n"/>
      <c r="AZ38" s="21" t="n"/>
      <c r="BA38" s="21" t="n"/>
      <c r="BB38" s="22" t="n"/>
      <c r="BC38" s="21" t="n"/>
      <c r="BD38" s="21" t="n"/>
      <c r="BE38" s="22" t="n"/>
      <c r="BF38" s="21" t="n"/>
      <c r="BG38" s="21" t="n"/>
      <c r="BH38" s="21" t="n"/>
      <c r="BI38" s="21" t="n"/>
      <c r="BJ38" s="21" t="n"/>
      <c r="BK38" s="24" t="str">
        <f>IF(BE38="","",HYPERLINK("#'"&amp;BE38&amp;"'!A1","▶"))</f>
        <v/>
      </c>
      <c r="BM38">
        <f>B38</f>
        <v>10</v>
      </c>
      <c r="BN38">
        <f>SUMPRODUCT(ISNUMBER($AH$6:$AH$45)*($AH$6:$AH$45&lt;=$BM38)*($AH$6:$AH$45+($AJ$6:$AJ$45+($AJ$6:$AJ$45=0))-1&gt;=$BM38)*($AL$6:$AL$45&lt;&gt;"0U")*($AL$6:$AL$45&lt;&gt;"선반")*($AL$6:$AL$45&lt;&gt;"후면")*(ROW($AH$6:$AH$45)-5))</f>
        <v>0</v>
      </c>
      <c r="BO38">
        <f>SUMPRODUCT(ISNUMBER($AH$6:$AH$45)*($AH$6:$AH$45&lt;=$BM38)*($AH$6:$AH$45+($AJ$6:$AJ$45+($AJ$6:$AJ$45=0))-1&gt;=$BM38)*($AL$6:$AL$45&lt;&gt;"0U")*($AL$6:$AL$45&lt;&gt;"선반")*($AL$6:$AL$45&lt;&gt;"후면"))</f>
        <v>0</v>
      </c>
      <c r="BP38">
        <f>SUMPRODUCT(ISNUMBER($AH$6:$AH$45)*($AH$6:$AH$45&lt;=$BM38)*($AH$6:$AH$45+($AJ$6:$AJ$45+($AJ$6:$AJ$45=0))-1&gt;=$BM38)*($AL$6:$AL$45&lt;&gt;"0U")*($AL$6:$AL$45&lt;&gt;"선반")*($AL$6:$AL$45&lt;&gt;"전면")*(ROW($AH$6:$AH$45)-5))</f>
        <v>0</v>
      </c>
      <c r="BQ38">
        <f>SUMPRODUCT(ISNUMBER($AH$6:$AH$45)*($AH$6:$AH$45&lt;=$BM38)*($AH$6:$AH$45+($AJ$6:$AJ$45+($AJ$6:$AJ$45=0))-1&gt;=$BM38)*($AL$6:$AL$45&lt;&gt;"0U")*($AL$6:$AL$45&lt;&gt;"선반")*($AL$6:$AL$45&lt;&gt;"전면"))</f>
        <v>0</v>
      </c>
    </row>
    <row r="39" ht="10" customHeight="1">
      <c r="B39" s="14" t="n">
        <v>9</v>
      </c>
      <c r="C39" s="15" t="str">
        <f>IF($BO39&lt;&gt;1,IF($BO39&gt;1,"⚠ U 겹침",""),IF($BM39=INDEX($AH$6:$AH$45,$BN39)+INDEX($AJ$6:$AJ$45,$BN39)+(INDEX($AJ$6:$AJ$45,$BN39)=0)-1,INDEX($AN$6:$AN$45,$BN39)&amp;IF(INDEX($AV$6:$AV$45,$BN39)="",""," · "&amp;INDEX($AV$6:$AV$45,$BN39)),""))</f>
        <v/>
      </c>
      <c r="D39" s="16" t="n"/>
      <c r="E39" s="16" t="n"/>
      <c r="F39" s="16" t="n"/>
      <c r="G39" s="16" t="n"/>
      <c r="H39" s="16" t="n"/>
      <c r="I39" s="16" t="n"/>
      <c r="J39" s="16" t="n"/>
      <c r="K39" s="16" t="n"/>
      <c r="L39" s="16" t="n"/>
      <c r="M39" s="16" t="n"/>
      <c r="N39" s="16" t="n"/>
      <c r="O39" s="16" t="n"/>
      <c r="P39" s="17" t="n"/>
      <c r="R39" s="18" t="n"/>
      <c r="S39" s="15" t="str">
        <f>IF($BQ39&lt;&gt;1,IF($BQ39&gt;1,"⚠ U 겹침",""),IF($BM39=INDEX($AH$6:$AH$45,$BP39)+INDEX($AJ$6:$AJ$45,$BP39)+(INDEX($AJ$6:$AJ$45,$BP39)=0)-1,INDEX($AN$6:$AN$45,$BP39)&amp;IF(INDEX($AV$6:$AV$45,$BP39)="",""," · "&amp;INDEX($AV$6:$AV$45,$BP39)),""))</f>
        <v/>
      </c>
      <c r="T39" s="16" t="n"/>
      <c r="U39" s="16" t="n"/>
      <c r="V39" s="16" t="n"/>
      <c r="W39" s="16" t="n"/>
      <c r="X39" s="16" t="n"/>
      <c r="Y39" s="16" t="n"/>
      <c r="Z39" s="16" t="n"/>
      <c r="AA39" s="16" t="n"/>
      <c r="AB39" s="16" t="n"/>
      <c r="AC39" s="16" t="n"/>
      <c r="AD39" s="16" t="n"/>
      <c r="AE39" s="16" t="n"/>
      <c r="AF39" s="19" t="n">
        <v>9</v>
      </c>
      <c r="AH39" s="20" t="n"/>
      <c r="AI39" s="21" t="n"/>
      <c r="AJ39" s="20" t="n"/>
      <c r="AK39" s="21" t="n"/>
      <c r="AL39" s="22" t="n"/>
      <c r="AM39" s="21" t="n"/>
      <c r="AN39" s="23" t="n"/>
      <c r="AO39" s="21" t="n"/>
      <c r="AP39" s="21" t="n"/>
      <c r="AQ39" s="21" t="n"/>
      <c r="AR39" s="21" t="n"/>
      <c r="AS39" s="22" t="n"/>
      <c r="AT39" s="21" t="n"/>
      <c r="AU39" s="21" t="n"/>
      <c r="AV39" s="22" t="n"/>
      <c r="AW39" s="21" t="n"/>
      <c r="AX39" s="21" t="n"/>
      <c r="AY39" s="21" t="n"/>
      <c r="AZ39" s="21" t="n"/>
      <c r="BA39" s="21" t="n"/>
      <c r="BB39" s="22" t="n"/>
      <c r="BC39" s="21" t="n"/>
      <c r="BD39" s="21" t="n"/>
      <c r="BE39" s="22" t="n"/>
      <c r="BF39" s="21" t="n"/>
      <c r="BG39" s="21" t="n"/>
      <c r="BH39" s="21" t="n"/>
      <c r="BI39" s="21" t="n"/>
      <c r="BJ39" s="21" t="n"/>
      <c r="BK39" s="24" t="str">
        <f>IF(BE39="","",HYPERLINK("#'"&amp;BE39&amp;"'!A1","▶"))</f>
        <v/>
      </c>
      <c r="BM39">
        <f>B39</f>
        <v>9</v>
      </c>
      <c r="BN39">
        <f>SUMPRODUCT(ISNUMBER($AH$6:$AH$45)*($AH$6:$AH$45&lt;=$BM39)*($AH$6:$AH$45+($AJ$6:$AJ$45+($AJ$6:$AJ$45=0))-1&gt;=$BM39)*($AL$6:$AL$45&lt;&gt;"0U")*($AL$6:$AL$45&lt;&gt;"선반")*($AL$6:$AL$45&lt;&gt;"후면")*(ROW($AH$6:$AH$45)-5))</f>
        <v>0</v>
      </c>
      <c r="BO39">
        <f>SUMPRODUCT(ISNUMBER($AH$6:$AH$45)*($AH$6:$AH$45&lt;=$BM39)*($AH$6:$AH$45+($AJ$6:$AJ$45+($AJ$6:$AJ$45=0))-1&gt;=$BM39)*($AL$6:$AL$45&lt;&gt;"0U")*($AL$6:$AL$45&lt;&gt;"선반")*($AL$6:$AL$45&lt;&gt;"후면"))</f>
        <v>0</v>
      </c>
      <c r="BP39">
        <f>SUMPRODUCT(ISNUMBER($AH$6:$AH$45)*($AH$6:$AH$45&lt;=$BM39)*($AH$6:$AH$45+($AJ$6:$AJ$45+($AJ$6:$AJ$45=0))-1&gt;=$BM39)*($AL$6:$AL$45&lt;&gt;"0U")*($AL$6:$AL$45&lt;&gt;"선반")*($AL$6:$AL$45&lt;&gt;"전면")*(ROW($AH$6:$AH$45)-5))</f>
        <v>0</v>
      </c>
      <c r="BQ39">
        <f>SUMPRODUCT(ISNUMBER($AH$6:$AH$45)*($AH$6:$AH$45&lt;=$BM39)*($AH$6:$AH$45+($AJ$6:$AJ$45+($AJ$6:$AJ$45=0))-1&gt;=$BM39)*($AL$6:$AL$45&lt;&gt;"0U")*($AL$6:$AL$45&lt;&gt;"선반")*($AL$6:$AL$45&lt;&gt;"전면"))</f>
        <v>0</v>
      </c>
    </row>
    <row r="40" ht="10" customHeight="1">
      <c r="B40" s="14" t="n">
        <v>8</v>
      </c>
      <c r="C40" s="15" t="str">
        <f>IF($BO40&lt;&gt;1,IF($BO40&gt;1,"⚠ U 겹침",""),IF($BM40=INDEX($AH$6:$AH$45,$BN40)+INDEX($AJ$6:$AJ$45,$BN40)+(INDEX($AJ$6:$AJ$45,$BN40)=0)-1,INDEX($AN$6:$AN$45,$BN40)&amp;IF(INDEX($AV$6:$AV$45,$BN40)="",""," · "&amp;INDEX($AV$6:$AV$45,$BN40)),""))</f>
        <v/>
      </c>
      <c r="D40" s="16" t="n"/>
      <c r="E40" s="16" t="n"/>
      <c r="F40" s="16" t="n"/>
      <c r="G40" s="16" t="n"/>
      <c r="H40" s="16" t="n"/>
      <c r="I40" s="16" t="n"/>
      <c r="J40" s="16" t="n"/>
      <c r="K40" s="16" t="n"/>
      <c r="L40" s="16" t="n"/>
      <c r="M40" s="16" t="n"/>
      <c r="N40" s="16" t="n"/>
      <c r="O40" s="16" t="n"/>
      <c r="P40" s="17" t="n"/>
      <c r="R40" s="18" t="n"/>
      <c r="S40" s="15" t="str">
        <f>IF($BQ40&lt;&gt;1,IF($BQ40&gt;1,"⚠ U 겹침",""),IF($BM40=INDEX($AH$6:$AH$45,$BP40)+INDEX($AJ$6:$AJ$45,$BP40)+(INDEX($AJ$6:$AJ$45,$BP40)=0)-1,INDEX($AN$6:$AN$45,$BP40)&amp;IF(INDEX($AV$6:$AV$45,$BP40)="",""," · "&amp;INDEX($AV$6:$AV$45,$BP40)),""))</f>
        <v/>
      </c>
      <c r="T40" s="16" t="n"/>
      <c r="U40" s="16" t="n"/>
      <c r="V40" s="16" t="n"/>
      <c r="W40" s="16" t="n"/>
      <c r="X40" s="16" t="n"/>
      <c r="Y40" s="16" t="n"/>
      <c r="Z40" s="16" t="n"/>
      <c r="AA40" s="16" t="n"/>
      <c r="AB40" s="16" t="n"/>
      <c r="AC40" s="16" t="n"/>
      <c r="AD40" s="16" t="n"/>
      <c r="AE40" s="16" t="n"/>
      <c r="AF40" s="19" t="n">
        <v>8</v>
      </c>
      <c r="AH40" s="20" t="n"/>
      <c r="AI40" s="21" t="n"/>
      <c r="AJ40" s="20" t="n"/>
      <c r="AK40" s="21" t="n"/>
      <c r="AL40" s="22" t="n"/>
      <c r="AM40" s="21" t="n"/>
      <c r="AN40" s="23" t="n"/>
      <c r="AO40" s="21" t="n"/>
      <c r="AP40" s="21" t="n"/>
      <c r="AQ40" s="21" t="n"/>
      <c r="AR40" s="21" t="n"/>
      <c r="AS40" s="22" t="n"/>
      <c r="AT40" s="21" t="n"/>
      <c r="AU40" s="21" t="n"/>
      <c r="AV40" s="22" t="n"/>
      <c r="AW40" s="21" t="n"/>
      <c r="AX40" s="21" t="n"/>
      <c r="AY40" s="21" t="n"/>
      <c r="AZ40" s="21" t="n"/>
      <c r="BA40" s="21" t="n"/>
      <c r="BB40" s="22" t="n"/>
      <c r="BC40" s="21" t="n"/>
      <c r="BD40" s="21" t="n"/>
      <c r="BE40" s="22" t="n"/>
      <c r="BF40" s="21" t="n"/>
      <c r="BG40" s="21" t="n"/>
      <c r="BH40" s="21" t="n"/>
      <c r="BI40" s="21" t="n"/>
      <c r="BJ40" s="21" t="n"/>
      <c r="BK40" s="24" t="str">
        <f>IF(BE40="","",HYPERLINK("#'"&amp;BE40&amp;"'!A1","▶"))</f>
        <v/>
      </c>
      <c r="BM40">
        <f>B40</f>
        <v>8</v>
      </c>
      <c r="BN40">
        <f>SUMPRODUCT(ISNUMBER($AH$6:$AH$45)*($AH$6:$AH$45&lt;=$BM40)*($AH$6:$AH$45+($AJ$6:$AJ$45+($AJ$6:$AJ$45=0))-1&gt;=$BM40)*($AL$6:$AL$45&lt;&gt;"0U")*($AL$6:$AL$45&lt;&gt;"선반")*($AL$6:$AL$45&lt;&gt;"후면")*(ROW($AH$6:$AH$45)-5))</f>
        <v>0</v>
      </c>
      <c r="BO40">
        <f>SUMPRODUCT(ISNUMBER($AH$6:$AH$45)*($AH$6:$AH$45&lt;=$BM40)*($AH$6:$AH$45+($AJ$6:$AJ$45+($AJ$6:$AJ$45=0))-1&gt;=$BM40)*($AL$6:$AL$45&lt;&gt;"0U")*($AL$6:$AL$45&lt;&gt;"선반")*($AL$6:$AL$45&lt;&gt;"후면"))</f>
        <v>0</v>
      </c>
      <c r="BP40">
        <f>SUMPRODUCT(ISNUMBER($AH$6:$AH$45)*($AH$6:$AH$45&lt;=$BM40)*($AH$6:$AH$45+($AJ$6:$AJ$45+($AJ$6:$AJ$45=0))-1&gt;=$BM40)*($AL$6:$AL$45&lt;&gt;"0U")*($AL$6:$AL$45&lt;&gt;"선반")*($AL$6:$AL$45&lt;&gt;"전면")*(ROW($AH$6:$AH$45)-5))</f>
        <v>0</v>
      </c>
      <c r="BQ40">
        <f>SUMPRODUCT(ISNUMBER($AH$6:$AH$45)*($AH$6:$AH$45&lt;=$BM40)*($AH$6:$AH$45+($AJ$6:$AJ$45+($AJ$6:$AJ$45=0))-1&gt;=$BM40)*($AL$6:$AL$45&lt;&gt;"0U")*($AL$6:$AL$45&lt;&gt;"선반")*($AL$6:$AL$45&lt;&gt;"전면"))</f>
        <v>0</v>
      </c>
    </row>
    <row r="41" ht="10" customHeight="1">
      <c r="B41" s="14" t="n">
        <v>7</v>
      </c>
      <c r="C41" s="15" t="str">
        <f>IF($BO41&lt;&gt;1,IF($BO41&gt;1,"⚠ U 겹침",""),IF($BM41=INDEX($AH$6:$AH$45,$BN41)+INDEX($AJ$6:$AJ$45,$BN41)+(INDEX($AJ$6:$AJ$45,$BN41)=0)-1,INDEX($AN$6:$AN$45,$BN41)&amp;IF(INDEX($AV$6:$AV$45,$BN41)="",""," · "&amp;INDEX($AV$6:$AV$45,$BN41)),""))</f>
        <v/>
      </c>
      <c r="D41" s="16" t="n"/>
      <c r="E41" s="16" t="n"/>
      <c r="F41" s="16" t="n"/>
      <c r="G41" s="16" t="n"/>
      <c r="H41" s="16" t="n"/>
      <c r="I41" s="16" t="n"/>
      <c r="J41" s="16" t="n"/>
      <c r="K41" s="16" t="n"/>
      <c r="L41" s="16" t="n"/>
      <c r="M41" s="16" t="n"/>
      <c r="N41" s="16" t="n"/>
      <c r="O41" s="16" t="n"/>
      <c r="P41" s="17" t="n"/>
      <c r="R41" s="18" t="n"/>
      <c r="S41" s="15" t="str">
        <f>IF($BQ41&lt;&gt;1,IF($BQ41&gt;1,"⚠ U 겹침",""),IF($BM41=INDEX($AH$6:$AH$45,$BP41)+INDEX($AJ$6:$AJ$45,$BP41)+(INDEX($AJ$6:$AJ$45,$BP41)=0)-1,INDEX($AN$6:$AN$45,$BP41)&amp;IF(INDEX($AV$6:$AV$45,$BP41)="",""," · "&amp;INDEX($AV$6:$AV$45,$BP41)),""))</f>
        <v/>
      </c>
      <c r="T41" s="16" t="n"/>
      <c r="U41" s="16" t="n"/>
      <c r="V41" s="16" t="n"/>
      <c r="W41" s="16" t="n"/>
      <c r="X41" s="16" t="n"/>
      <c r="Y41" s="16" t="n"/>
      <c r="Z41" s="16" t="n"/>
      <c r="AA41" s="16" t="n"/>
      <c r="AB41" s="16" t="n"/>
      <c r="AC41" s="16" t="n"/>
      <c r="AD41" s="16" t="n"/>
      <c r="AE41" s="16" t="n"/>
      <c r="AF41" s="19" t="n">
        <v>7</v>
      </c>
      <c r="AH41" s="20" t="n"/>
      <c r="AI41" s="21" t="n"/>
      <c r="AJ41" s="20" t="n"/>
      <c r="AK41" s="21" t="n"/>
      <c r="AL41" s="22" t="n"/>
      <c r="AM41" s="21" t="n"/>
      <c r="AN41" s="23" t="n"/>
      <c r="AO41" s="21" t="n"/>
      <c r="AP41" s="21" t="n"/>
      <c r="AQ41" s="21" t="n"/>
      <c r="AR41" s="21" t="n"/>
      <c r="AS41" s="22" t="n"/>
      <c r="AT41" s="21" t="n"/>
      <c r="AU41" s="21" t="n"/>
      <c r="AV41" s="22" t="n"/>
      <c r="AW41" s="21" t="n"/>
      <c r="AX41" s="21" t="n"/>
      <c r="AY41" s="21" t="n"/>
      <c r="AZ41" s="21" t="n"/>
      <c r="BA41" s="21" t="n"/>
      <c r="BB41" s="22" t="n"/>
      <c r="BC41" s="21" t="n"/>
      <c r="BD41" s="21" t="n"/>
      <c r="BE41" s="22" t="n"/>
      <c r="BF41" s="21" t="n"/>
      <c r="BG41" s="21" t="n"/>
      <c r="BH41" s="21" t="n"/>
      <c r="BI41" s="21" t="n"/>
      <c r="BJ41" s="21" t="n"/>
      <c r="BK41" s="24" t="str">
        <f>IF(BE41="","",HYPERLINK("#'"&amp;BE41&amp;"'!A1","▶"))</f>
        <v/>
      </c>
      <c r="BM41">
        <f>B41</f>
        <v>7</v>
      </c>
      <c r="BN41">
        <f>SUMPRODUCT(ISNUMBER($AH$6:$AH$45)*($AH$6:$AH$45&lt;=$BM41)*($AH$6:$AH$45+($AJ$6:$AJ$45+($AJ$6:$AJ$45=0))-1&gt;=$BM41)*($AL$6:$AL$45&lt;&gt;"0U")*($AL$6:$AL$45&lt;&gt;"선반")*($AL$6:$AL$45&lt;&gt;"후면")*(ROW($AH$6:$AH$45)-5))</f>
        <v>0</v>
      </c>
      <c r="BO41">
        <f>SUMPRODUCT(ISNUMBER($AH$6:$AH$45)*($AH$6:$AH$45&lt;=$BM41)*($AH$6:$AH$45+($AJ$6:$AJ$45+($AJ$6:$AJ$45=0))-1&gt;=$BM41)*($AL$6:$AL$45&lt;&gt;"0U")*($AL$6:$AL$45&lt;&gt;"선반")*($AL$6:$AL$45&lt;&gt;"후면"))</f>
        <v>0</v>
      </c>
      <c r="BP41">
        <f>SUMPRODUCT(ISNUMBER($AH$6:$AH$45)*($AH$6:$AH$45&lt;=$BM41)*($AH$6:$AH$45+($AJ$6:$AJ$45+($AJ$6:$AJ$45=0))-1&gt;=$BM41)*($AL$6:$AL$45&lt;&gt;"0U")*($AL$6:$AL$45&lt;&gt;"선반")*($AL$6:$AL$45&lt;&gt;"전면")*(ROW($AH$6:$AH$45)-5))</f>
        <v>0</v>
      </c>
      <c r="BQ41">
        <f>SUMPRODUCT(ISNUMBER($AH$6:$AH$45)*($AH$6:$AH$45&lt;=$BM41)*($AH$6:$AH$45+($AJ$6:$AJ$45+($AJ$6:$AJ$45=0))-1&gt;=$BM41)*($AL$6:$AL$45&lt;&gt;"0U")*($AL$6:$AL$45&lt;&gt;"선반")*($AL$6:$AL$45&lt;&gt;"전면"))</f>
        <v>0</v>
      </c>
    </row>
    <row r="42" ht="10" customHeight="1">
      <c r="B42" s="14" t="n">
        <v>6</v>
      </c>
      <c r="C42" s="15" t="str">
        <f>IF($BO42&lt;&gt;1,IF($BO42&gt;1,"⚠ U 겹침",""),IF($BM42=INDEX($AH$6:$AH$45,$BN42)+INDEX($AJ$6:$AJ$45,$BN42)+(INDEX($AJ$6:$AJ$45,$BN42)=0)-1,INDEX($AN$6:$AN$45,$BN42)&amp;IF(INDEX($AV$6:$AV$45,$BN42)="",""," · "&amp;INDEX($AV$6:$AV$45,$BN42)),""))</f>
        <v/>
      </c>
      <c r="D42" s="16" t="n"/>
      <c r="E42" s="16" t="n"/>
      <c r="F42" s="16" t="n"/>
      <c r="G42" s="16" t="n"/>
      <c r="H42" s="16" t="n"/>
      <c r="I42" s="16" t="n"/>
      <c r="J42" s="16" t="n"/>
      <c r="K42" s="16" t="n"/>
      <c r="L42" s="16" t="n"/>
      <c r="M42" s="16" t="n"/>
      <c r="N42" s="16" t="n"/>
      <c r="O42" s="16" t="n"/>
      <c r="P42" s="17" t="n"/>
      <c r="R42" s="18" t="n"/>
      <c r="S42" s="15" t="str">
        <f>IF($BQ42&lt;&gt;1,IF($BQ42&gt;1,"⚠ U 겹침",""),IF($BM42=INDEX($AH$6:$AH$45,$BP42)+INDEX($AJ$6:$AJ$45,$BP42)+(INDEX($AJ$6:$AJ$45,$BP42)=0)-1,INDEX($AN$6:$AN$45,$BP42)&amp;IF(INDEX($AV$6:$AV$45,$BP42)="",""," · "&amp;INDEX($AV$6:$AV$45,$BP42)),""))</f>
        <v/>
      </c>
      <c r="T42" s="16" t="n"/>
      <c r="U42" s="16" t="n"/>
      <c r="V42" s="16" t="n"/>
      <c r="W42" s="16" t="n"/>
      <c r="X42" s="16" t="n"/>
      <c r="Y42" s="16" t="n"/>
      <c r="Z42" s="16" t="n"/>
      <c r="AA42" s="16" t="n"/>
      <c r="AB42" s="16" t="n"/>
      <c r="AC42" s="16" t="n"/>
      <c r="AD42" s="16" t="n"/>
      <c r="AE42" s="16" t="n"/>
      <c r="AF42" s="19" t="n">
        <v>6</v>
      </c>
      <c r="AH42" s="20" t="n"/>
      <c r="AI42" s="21" t="n"/>
      <c r="AJ42" s="20" t="n"/>
      <c r="AK42" s="21" t="n"/>
      <c r="AL42" s="22" t="n"/>
      <c r="AM42" s="21" t="n"/>
      <c r="AN42" s="23" t="n"/>
      <c r="AO42" s="21" t="n"/>
      <c r="AP42" s="21" t="n"/>
      <c r="AQ42" s="21" t="n"/>
      <c r="AR42" s="21" t="n"/>
      <c r="AS42" s="22" t="n"/>
      <c r="AT42" s="21" t="n"/>
      <c r="AU42" s="21" t="n"/>
      <c r="AV42" s="22" t="n"/>
      <c r="AW42" s="21" t="n"/>
      <c r="AX42" s="21" t="n"/>
      <c r="AY42" s="21" t="n"/>
      <c r="AZ42" s="21" t="n"/>
      <c r="BA42" s="21" t="n"/>
      <c r="BB42" s="22" t="n"/>
      <c r="BC42" s="21" t="n"/>
      <c r="BD42" s="21" t="n"/>
      <c r="BE42" s="22" t="n"/>
      <c r="BF42" s="21" t="n"/>
      <c r="BG42" s="21" t="n"/>
      <c r="BH42" s="21" t="n"/>
      <c r="BI42" s="21" t="n"/>
      <c r="BJ42" s="21" t="n"/>
      <c r="BK42" s="24" t="str">
        <f>IF(BE42="","",HYPERLINK("#'"&amp;BE42&amp;"'!A1","▶"))</f>
        <v/>
      </c>
      <c r="BM42">
        <f>B42</f>
        <v>6</v>
      </c>
      <c r="BN42">
        <f>SUMPRODUCT(ISNUMBER($AH$6:$AH$45)*($AH$6:$AH$45&lt;=$BM42)*($AH$6:$AH$45+($AJ$6:$AJ$45+($AJ$6:$AJ$45=0))-1&gt;=$BM42)*($AL$6:$AL$45&lt;&gt;"0U")*($AL$6:$AL$45&lt;&gt;"선반")*($AL$6:$AL$45&lt;&gt;"후면")*(ROW($AH$6:$AH$45)-5))</f>
        <v>0</v>
      </c>
      <c r="BO42">
        <f>SUMPRODUCT(ISNUMBER($AH$6:$AH$45)*($AH$6:$AH$45&lt;=$BM42)*($AH$6:$AH$45+($AJ$6:$AJ$45+($AJ$6:$AJ$45=0))-1&gt;=$BM42)*($AL$6:$AL$45&lt;&gt;"0U")*($AL$6:$AL$45&lt;&gt;"선반")*($AL$6:$AL$45&lt;&gt;"후면"))</f>
        <v>0</v>
      </c>
      <c r="BP42">
        <f>SUMPRODUCT(ISNUMBER($AH$6:$AH$45)*($AH$6:$AH$45&lt;=$BM42)*($AH$6:$AH$45+($AJ$6:$AJ$45+($AJ$6:$AJ$45=0))-1&gt;=$BM42)*($AL$6:$AL$45&lt;&gt;"0U")*($AL$6:$AL$45&lt;&gt;"선반")*($AL$6:$AL$45&lt;&gt;"전면")*(ROW($AH$6:$AH$45)-5))</f>
        <v>0</v>
      </c>
      <c r="BQ42">
        <f>SUMPRODUCT(ISNUMBER($AH$6:$AH$45)*($AH$6:$AH$45&lt;=$BM42)*($AH$6:$AH$45+($AJ$6:$AJ$45+($AJ$6:$AJ$45=0))-1&gt;=$BM42)*($AL$6:$AL$45&lt;&gt;"0U")*($AL$6:$AL$45&lt;&gt;"선반")*($AL$6:$AL$45&lt;&gt;"전면"))</f>
        <v>0</v>
      </c>
    </row>
    <row r="43" ht="10" customHeight="1">
      <c r="B43" s="14" t="n">
        <v>5</v>
      </c>
      <c r="C43" s="15" t="str">
        <f>IF($BO43&lt;&gt;1,IF($BO43&gt;1,"⚠ U 겹침",""),IF($BM43=INDEX($AH$6:$AH$45,$BN43)+INDEX($AJ$6:$AJ$45,$BN43)+(INDEX($AJ$6:$AJ$45,$BN43)=0)-1,INDEX($AN$6:$AN$45,$BN43)&amp;IF(INDEX($AV$6:$AV$45,$BN43)="",""," · "&amp;INDEX($AV$6:$AV$45,$BN43)),""))</f>
        <v/>
      </c>
      <c r="D43" s="16" t="n"/>
      <c r="E43" s="16" t="n"/>
      <c r="F43" s="16" t="n"/>
      <c r="G43" s="16" t="n"/>
      <c r="H43" s="16" t="n"/>
      <c r="I43" s="16" t="n"/>
      <c r="J43" s="16" t="n"/>
      <c r="K43" s="16" t="n"/>
      <c r="L43" s="16" t="n"/>
      <c r="M43" s="16" t="n"/>
      <c r="N43" s="16" t="n"/>
      <c r="O43" s="16" t="n"/>
      <c r="P43" s="17" t="n"/>
      <c r="R43" s="18" t="n"/>
      <c r="S43" s="15" t="str">
        <f>IF($BQ43&lt;&gt;1,IF($BQ43&gt;1,"⚠ U 겹침",""),IF($BM43=INDEX($AH$6:$AH$45,$BP43)+INDEX($AJ$6:$AJ$45,$BP43)+(INDEX($AJ$6:$AJ$45,$BP43)=0)-1,INDEX($AN$6:$AN$45,$BP43)&amp;IF(INDEX($AV$6:$AV$45,$BP43)="",""," · "&amp;INDEX($AV$6:$AV$45,$BP43)),""))</f>
        <v/>
      </c>
      <c r="T43" s="16" t="n"/>
      <c r="U43" s="16" t="n"/>
      <c r="V43" s="16" t="n"/>
      <c r="W43" s="16" t="n"/>
      <c r="X43" s="16" t="n"/>
      <c r="Y43" s="16" t="n"/>
      <c r="Z43" s="16" t="n"/>
      <c r="AA43" s="16" t="n"/>
      <c r="AB43" s="16" t="n"/>
      <c r="AC43" s="16" t="n"/>
      <c r="AD43" s="16" t="n"/>
      <c r="AE43" s="16" t="n"/>
      <c r="AF43" s="19" t="n">
        <v>5</v>
      </c>
      <c r="AH43" s="20" t="n"/>
      <c r="AI43" s="21" t="n"/>
      <c r="AJ43" s="20" t="n"/>
      <c r="AK43" s="21" t="n"/>
      <c r="AL43" s="22" t="n"/>
      <c r="AM43" s="21" t="n"/>
      <c r="AN43" s="23" t="n"/>
      <c r="AO43" s="21" t="n"/>
      <c r="AP43" s="21" t="n"/>
      <c r="AQ43" s="21" t="n"/>
      <c r="AR43" s="21" t="n"/>
      <c r="AS43" s="22" t="n"/>
      <c r="AT43" s="21" t="n"/>
      <c r="AU43" s="21" t="n"/>
      <c r="AV43" s="22" t="n"/>
      <c r="AW43" s="21" t="n"/>
      <c r="AX43" s="21" t="n"/>
      <c r="AY43" s="21" t="n"/>
      <c r="AZ43" s="21" t="n"/>
      <c r="BA43" s="21" t="n"/>
      <c r="BB43" s="22" t="n"/>
      <c r="BC43" s="21" t="n"/>
      <c r="BD43" s="21" t="n"/>
      <c r="BE43" s="22" t="n"/>
      <c r="BF43" s="21" t="n"/>
      <c r="BG43" s="21" t="n"/>
      <c r="BH43" s="21" t="n"/>
      <c r="BI43" s="21" t="n"/>
      <c r="BJ43" s="21" t="n"/>
      <c r="BK43" s="24" t="str">
        <f>IF(BE43="","",HYPERLINK("#'"&amp;BE43&amp;"'!A1","▶"))</f>
        <v/>
      </c>
      <c r="BM43">
        <f>B43</f>
        <v>5</v>
      </c>
      <c r="BN43">
        <f>SUMPRODUCT(ISNUMBER($AH$6:$AH$45)*($AH$6:$AH$45&lt;=$BM43)*($AH$6:$AH$45+($AJ$6:$AJ$45+($AJ$6:$AJ$45=0))-1&gt;=$BM43)*($AL$6:$AL$45&lt;&gt;"0U")*($AL$6:$AL$45&lt;&gt;"선반")*($AL$6:$AL$45&lt;&gt;"후면")*(ROW($AH$6:$AH$45)-5))</f>
        <v>0</v>
      </c>
      <c r="BO43">
        <f>SUMPRODUCT(ISNUMBER($AH$6:$AH$45)*($AH$6:$AH$45&lt;=$BM43)*($AH$6:$AH$45+($AJ$6:$AJ$45+($AJ$6:$AJ$45=0))-1&gt;=$BM43)*($AL$6:$AL$45&lt;&gt;"0U")*($AL$6:$AL$45&lt;&gt;"선반")*($AL$6:$AL$45&lt;&gt;"후면"))</f>
        <v>0</v>
      </c>
      <c r="BP43">
        <f>SUMPRODUCT(ISNUMBER($AH$6:$AH$45)*($AH$6:$AH$45&lt;=$BM43)*($AH$6:$AH$45+($AJ$6:$AJ$45+($AJ$6:$AJ$45=0))-1&gt;=$BM43)*($AL$6:$AL$45&lt;&gt;"0U")*($AL$6:$AL$45&lt;&gt;"선반")*($AL$6:$AL$45&lt;&gt;"전면")*(ROW($AH$6:$AH$45)-5))</f>
        <v>0</v>
      </c>
      <c r="BQ43">
        <f>SUMPRODUCT(ISNUMBER($AH$6:$AH$45)*($AH$6:$AH$45&lt;=$BM43)*($AH$6:$AH$45+($AJ$6:$AJ$45+($AJ$6:$AJ$45=0))-1&gt;=$BM43)*($AL$6:$AL$45&lt;&gt;"0U")*($AL$6:$AL$45&lt;&gt;"선반")*($AL$6:$AL$45&lt;&gt;"전면"))</f>
        <v>0</v>
      </c>
    </row>
    <row r="44" ht="10" customHeight="1">
      <c r="B44" s="14" t="n">
        <v>4</v>
      </c>
      <c r="C44" s="15" t="str">
        <f>IF($BO44&lt;&gt;1,IF($BO44&gt;1,"⚠ U 겹침",""),IF($BM44=INDEX($AH$6:$AH$45,$BN44)+INDEX($AJ$6:$AJ$45,$BN44)+(INDEX($AJ$6:$AJ$45,$BN44)=0)-1,INDEX($AN$6:$AN$45,$BN44)&amp;IF(INDEX($AV$6:$AV$45,$BN44)="",""," · "&amp;INDEX($AV$6:$AV$45,$BN44)),""))</f>
        <v/>
      </c>
      <c r="D44" s="16" t="n"/>
      <c r="E44" s="16" t="n"/>
      <c r="F44" s="16" t="n"/>
      <c r="G44" s="16" t="n"/>
      <c r="H44" s="16" t="n"/>
      <c r="I44" s="16" t="n"/>
      <c r="J44" s="16" t="n"/>
      <c r="K44" s="16" t="n"/>
      <c r="L44" s="16" t="n"/>
      <c r="M44" s="16" t="n"/>
      <c r="N44" s="16" t="n"/>
      <c r="O44" s="16" t="n"/>
      <c r="P44" s="17" t="n"/>
      <c r="R44" s="18" t="n"/>
      <c r="S44" s="15" t="str">
        <f>IF($BQ44&lt;&gt;1,IF($BQ44&gt;1,"⚠ U 겹침",""),IF($BM44=INDEX($AH$6:$AH$45,$BP44)+INDEX($AJ$6:$AJ$45,$BP44)+(INDEX($AJ$6:$AJ$45,$BP44)=0)-1,INDEX($AN$6:$AN$45,$BP44)&amp;IF(INDEX($AV$6:$AV$45,$BP44)="",""," · "&amp;INDEX($AV$6:$AV$45,$BP44)),""))</f>
        <v/>
      </c>
      <c r="T44" s="16" t="n"/>
      <c r="U44" s="16" t="n"/>
      <c r="V44" s="16" t="n"/>
      <c r="W44" s="16" t="n"/>
      <c r="X44" s="16" t="n"/>
      <c r="Y44" s="16" t="n"/>
      <c r="Z44" s="16" t="n"/>
      <c r="AA44" s="16" t="n"/>
      <c r="AB44" s="16" t="n"/>
      <c r="AC44" s="16" t="n"/>
      <c r="AD44" s="16" t="n"/>
      <c r="AE44" s="16" t="n"/>
      <c r="AF44" s="19" t="n">
        <v>4</v>
      </c>
      <c r="AH44" s="20" t="n"/>
      <c r="AI44" s="21" t="n"/>
      <c r="AJ44" s="20" t="n"/>
      <c r="AK44" s="21" t="n"/>
      <c r="AL44" s="22" t="n"/>
      <c r="AM44" s="21" t="n"/>
      <c r="AN44" s="23" t="n"/>
      <c r="AO44" s="21" t="n"/>
      <c r="AP44" s="21" t="n"/>
      <c r="AQ44" s="21" t="n"/>
      <c r="AR44" s="21" t="n"/>
      <c r="AS44" s="22" t="n"/>
      <c r="AT44" s="21" t="n"/>
      <c r="AU44" s="21" t="n"/>
      <c r="AV44" s="22" t="n"/>
      <c r="AW44" s="21" t="n"/>
      <c r="AX44" s="21" t="n"/>
      <c r="AY44" s="21" t="n"/>
      <c r="AZ44" s="21" t="n"/>
      <c r="BA44" s="21" t="n"/>
      <c r="BB44" s="22" t="n"/>
      <c r="BC44" s="21" t="n"/>
      <c r="BD44" s="21" t="n"/>
      <c r="BE44" s="22" t="n"/>
      <c r="BF44" s="21" t="n"/>
      <c r="BG44" s="21" t="n"/>
      <c r="BH44" s="21" t="n"/>
      <c r="BI44" s="21" t="n"/>
      <c r="BJ44" s="21" t="n"/>
      <c r="BK44" s="24" t="str">
        <f>IF(BE44="","",HYPERLINK("#'"&amp;BE44&amp;"'!A1","▶"))</f>
        <v/>
      </c>
      <c r="BM44">
        <f>B44</f>
        <v>4</v>
      </c>
      <c r="BN44">
        <f>SUMPRODUCT(ISNUMBER($AH$6:$AH$45)*($AH$6:$AH$45&lt;=$BM44)*($AH$6:$AH$45+($AJ$6:$AJ$45+($AJ$6:$AJ$45=0))-1&gt;=$BM44)*($AL$6:$AL$45&lt;&gt;"0U")*($AL$6:$AL$45&lt;&gt;"선반")*($AL$6:$AL$45&lt;&gt;"후면")*(ROW($AH$6:$AH$45)-5))</f>
        <v>0</v>
      </c>
      <c r="BO44">
        <f>SUMPRODUCT(ISNUMBER($AH$6:$AH$45)*($AH$6:$AH$45&lt;=$BM44)*($AH$6:$AH$45+($AJ$6:$AJ$45+($AJ$6:$AJ$45=0))-1&gt;=$BM44)*($AL$6:$AL$45&lt;&gt;"0U")*($AL$6:$AL$45&lt;&gt;"선반")*($AL$6:$AL$45&lt;&gt;"후면"))</f>
        <v>0</v>
      </c>
      <c r="BP44">
        <f>SUMPRODUCT(ISNUMBER($AH$6:$AH$45)*($AH$6:$AH$45&lt;=$BM44)*($AH$6:$AH$45+($AJ$6:$AJ$45+($AJ$6:$AJ$45=0))-1&gt;=$BM44)*($AL$6:$AL$45&lt;&gt;"0U")*($AL$6:$AL$45&lt;&gt;"선반")*($AL$6:$AL$45&lt;&gt;"전면")*(ROW($AH$6:$AH$45)-5))</f>
        <v>0</v>
      </c>
      <c r="BQ44">
        <f>SUMPRODUCT(ISNUMBER($AH$6:$AH$45)*($AH$6:$AH$45&lt;=$BM44)*($AH$6:$AH$45+($AJ$6:$AJ$45+($AJ$6:$AJ$45=0))-1&gt;=$BM44)*($AL$6:$AL$45&lt;&gt;"0U")*($AL$6:$AL$45&lt;&gt;"선반")*($AL$6:$AL$45&lt;&gt;"전면"))</f>
        <v>0</v>
      </c>
    </row>
    <row r="45" ht="10" customHeight="1">
      <c r="B45" s="14" t="n">
        <v>3</v>
      </c>
      <c r="C45" s="15" t="str">
        <f>IF($BO45&lt;&gt;1,IF($BO45&gt;1,"⚠ U 겹침",""),IF($BM45=INDEX($AH$6:$AH$45,$BN45)+INDEX($AJ$6:$AJ$45,$BN45)+(INDEX($AJ$6:$AJ$45,$BN45)=0)-1,INDEX($AN$6:$AN$45,$BN45)&amp;IF(INDEX($AV$6:$AV$45,$BN45)="",""," · "&amp;INDEX($AV$6:$AV$45,$BN45)),""))</f>
        <v/>
      </c>
      <c r="D45" s="16" t="n"/>
      <c r="E45" s="16" t="n"/>
      <c r="F45" s="16" t="n"/>
      <c r="G45" s="16" t="n"/>
      <c r="H45" s="16" t="n"/>
      <c r="I45" s="16" t="n"/>
      <c r="J45" s="16" t="n"/>
      <c r="K45" s="16" t="n"/>
      <c r="L45" s="16" t="n"/>
      <c r="M45" s="16" t="n"/>
      <c r="N45" s="16" t="n"/>
      <c r="O45" s="16" t="n"/>
      <c r="P45" s="17" t="n"/>
      <c r="R45" s="18" t="n"/>
      <c r="S45" s="15" t="str">
        <f>IF($BQ45&lt;&gt;1,IF($BQ45&gt;1,"⚠ U 겹침",""),IF($BM45=INDEX($AH$6:$AH$45,$BP45)+INDEX($AJ$6:$AJ$45,$BP45)+(INDEX($AJ$6:$AJ$45,$BP45)=0)-1,INDEX($AN$6:$AN$45,$BP45)&amp;IF(INDEX($AV$6:$AV$45,$BP45)="",""," · "&amp;INDEX($AV$6:$AV$45,$BP45)),""))</f>
        <v/>
      </c>
      <c r="T45" s="16" t="n"/>
      <c r="U45" s="16" t="n"/>
      <c r="V45" s="16" t="n"/>
      <c r="W45" s="16" t="n"/>
      <c r="X45" s="16" t="n"/>
      <c r="Y45" s="16" t="n"/>
      <c r="Z45" s="16" t="n"/>
      <c r="AA45" s="16" t="n"/>
      <c r="AB45" s="16" t="n"/>
      <c r="AC45" s="16" t="n"/>
      <c r="AD45" s="16" t="n"/>
      <c r="AE45" s="16" t="n"/>
      <c r="AF45" s="19" t="n">
        <v>3</v>
      </c>
      <c r="AH45" s="20" t="n"/>
      <c r="AI45" s="21" t="n"/>
      <c r="AJ45" s="20" t="n"/>
      <c r="AK45" s="21" t="n"/>
      <c r="AL45" s="22" t="n"/>
      <c r="AM45" s="21" t="n"/>
      <c r="AN45" s="23" t="n"/>
      <c r="AO45" s="21" t="n"/>
      <c r="AP45" s="21" t="n"/>
      <c r="AQ45" s="21" t="n"/>
      <c r="AR45" s="21" t="n"/>
      <c r="AS45" s="22" t="n"/>
      <c r="AT45" s="21" t="n"/>
      <c r="AU45" s="21" t="n"/>
      <c r="AV45" s="22" t="n"/>
      <c r="AW45" s="21" t="n"/>
      <c r="AX45" s="21" t="n"/>
      <c r="AY45" s="21" t="n"/>
      <c r="AZ45" s="21" t="n"/>
      <c r="BA45" s="21" t="n"/>
      <c r="BB45" s="22" t="n"/>
      <c r="BC45" s="21" t="n"/>
      <c r="BD45" s="21" t="n"/>
      <c r="BE45" s="22" t="n"/>
      <c r="BF45" s="21" t="n"/>
      <c r="BG45" s="21" t="n"/>
      <c r="BH45" s="21" t="n"/>
      <c r="BI45" s="21" t="n"/>
      <c r="BJ45" s="21" t="n"/>
      <c r="BK45" s="24" t="str">
        <f>IF(BE45="","",HYPERLINK("#'"&amp;BE45&amp;"'!A1","▶"))</f>
        <v/>
      </c>
      <c r="BM45">
        <f>B45</f>
        <v>3</v>
      </c>
      <c r="BN45">
        <f>SUMPRODUCT(ISNUMBER($AH$6:$AH$45)*($AH$6:$AH$45&lt;=$BM45)*($AH$6:$AH$45+($AJ$6:$AJ$45+($AJ$6:$AJ$45=0))-1&gt;=$BM45)*($AL$6:$AL$45&lt;&gt;"0U")*($AL$6:$AL$45&lt;&gt;"선반")*($AL$6:$AL$45&lt;&gt;"후면")*(ROW($AH$6:$AH$45)-5))</f>
        <v>0</v>
      </c>
      <c r="BO45">
        <f>SUMPRODUCT(ISNUMBER($AH$6:$AH$45)*($AH$6:$AH$45&lt;=$BM45)*($AH$6:$AH$45+($AJ$6:$AJ$45+($AJ$6:$AJ$45=0))-1&gt;=$BM45)*($AL$6:$AL$45&lt;&gt;"0U")*($AL$6:$AL$45&lt;&gt;"선반")*($AL$6:$AL$45&lt;&gt;"후면"))</f>
        <v>0</v>
      </c>
      <c r="BP45">
        <f>SUMPRODUCT(ISNUMBER($AH$6:$AH$45)*($AH$6:$AH$45&lt;=$BM45)*($AH$6:$AH$45+($AJ$6:$AJ$45+($AJ$6:$AJ$45=0))-1&gt;=$BM45)*($AL$6:$AL$45&lt;&gt;"0U")*($AL$6:$AL$45&lt;&gt;"선반")*($AL$6:$AL$45&lt;&gt;"전면")*(ROW($AH$6:$AH$45)-5))</f>
        <v>0</v>
      </c>
      <c r="BQ45">
        <f>SUMPRODUCT(ISNUMBER($AH$6:$AH$45)*($AH$6:$AH$45&lt;=$BM45)*($AH$6:$AH$45+($AJ$6:$AJ$45+($AJ$6:$AJ$45=0))-1&gt;=$BM45)*($AL$6:$AL$45&lt;&gt;"0U")*($AL$6:$AL$45&lt;&gt;"선반")*($AL$6:$AL$45&lt;&gt;"전면"))</f>
        <v>0</v>
      </c>
    </row>
    <row r="46" ht="10" customHeight="1">
      <c r="B46" s="14" t="n">
        <v>2</v>
      </c>
      <c r="C46" s="15" t="str">
        <f>IF($BO46&lt;&gt;1,IF($BO46&gt;1,"⚠ U 겹침",""),IF($BM46=INDEX($AH$6:$AH$45,$BN46)+INDEX($AJ$6:$AJ$45,$BN46)+(INDEX($AJ$6:$AJ$45,$BN46)=0)-1,INDEX($AN$6:$AN$45,$BN46)&amp;IF(INDEX($AV$6:$AV$45,$BN46)="",""," · "&amp;INDEX($AV$6:$AV$45,$BN46)),""))</f>
        <v/>
      </c>
      <c r="D46" s="16" t="n"/>
      <c r="E46" s="16" t="n"/>
      <c r="F46" s="16" t="n"/>
      <c r="G46" s="16" t="n"/>
      <c r="H46" s="16" t="n"/>
      <c r="I46" s="16" t="n"/>
      <c r="J46" s="16" t="n"/>
      <c r="K46" s="16" t="n"/>
      <c r="L46" s="16" t="n"/>
      <c r="M46" s="16" t="n"/>
      <c r="N46" s="16" t="n"/>
      <c r="O46" s="16" t="n"/>
      <c r="P46" s="17" t="n"/>
      <c r="R46" s="18" t="n"/>
      <c r="S46" s="15" t="str">
        <f>IF($BQ46&lt;&gt;1,IF($BQ46&gt;1,"⚠ U 겹침",""),IF($BM46=INDEX($AH$6:$AH$45,$BP46)+INDEX($AJ$6:$AJ$45,$BP46)+(INDEX($AJ$6:$AJ$45,$BP46)=0)-1,INDEX($AN$6:$AN$45,$BP46)&amp;IF(INDEX($AV$6:$AV$45,$BP46)="",""," · "&amp;INDEX($AV$6:$AV$45,$BP46)),""))</f>
        <v/>
      </c>
      <c r="T46" s="16" t="n"/>
      <c r="U46" s="16" t="n"/>
      <c r="V46" s="16" t="n"/>
      <c r="W46" s="16" t="n"/>
      <c r="X46" s="16" t="n"/>
      <c r="Y46" s="16" t="n"/>
      <c r="Z46" s="16" t="n"/>
      <c r="AA46" s="16" t="n"/>
      <c r="AB46" s="16" t="n"/>
      <c r="AC46" s="16" t="n"/>
      <c r="AD46" s="16" t="n"/>
      <c r="AE46" s="16" t="n"/>
      <c r="AF46" s="19" t="n">
        <v>2</v>
      </c>
      <c r="BM46">
        <f>B46</f>
        <v>2</v>
      </c>
      <c r="BN46">
        <f>SUMPRODUCT(ISNUMBER($AH$6:$AH$45)*($AH$6:$AH$45&lt;=$BM46)*($AH$6:$AH$45+($AJ$6:$AJ$45+($AJ$6:$AJ$45=0))-1&gt;=$BM46)*($AL$6:$AL$45&lt;&gt;"0U")*($AL$6:$AL$45&lt;&gt;"선반")*($AL$6:$AL$45&lt;&gt;"후면")*(ROW($AH$6:$AH$45)-5))</f>
        <v>0</v>
      </c>
      <c r="BO46">
        <f>SUMPRODUCT(ISNUMBER($AH$6:$AH$45)*($AH$6:$AH$45&lt;=$BM46)*($AH$6:$AH$45+($AJ$6:$AJ$45+($AJ$6:$AJ$45=0))-1&gt;=$BM46)*($AL$6:$AL$45&lt;&gt;"0U")*($AL$6:$AL$45&lt;&gt;"선반")*($AL$6:$AL$45&lt;&gt;"후면"))</f>
        <v>0</v>
      </c>
      <c r="BP46">
        <f>SUMPRODUCT(ISNUMBER($AH$6:$AH$45)*($AH$6:$AH$45&lt;=$BM46)*($AH$6:$AH$45+($AJ$6:$AJ$45+($AJ$6:$AJ$45=0))-1&gt;=$BM46)*($AL$6:$AL$45&lt;&gt;"0U")*($AL$6:$AL$45&lt;&gt;"선반")*($AL$6:$AL$45&lt;&gt;"전면")*(ROW($AH$6:$AH$45)-5))</f>
        <v>0</v>
      </c>
      <c r="BQ46">
        <f>SUMPRODUCT(ISNUMBER($AH$6:$AH$45)*($AH$6:$AH$45&lt;=$BM46)*($AH$6:$AH$45+($AJ$6:$AJ$45+($AJ$6:$AJ$45=0))-1&gt;=$BM46)*($AL$6:$AL$45&lt;&gt;"0U")*($AL$6:$AL$45&lt;&gt;"선반")*($AL$6:$AL$45&lt;&gt;"전면"))</f>
        <v>0</v>
      </c>
    </row>
    <row r="47" ht="10" customHeight="1">
      <c r="B47" s="14" t="n">
        <v>1</v>
      </c>
      <c r="C47" s="15" t="str">
        <f>IF($BO47&lt;&gt;1,IF($BO47&gt;1,"⚠ U 겹침",""),IF($BM47=INDEX($AH$6:$AH$45,$BN47)+INDEX($AJ$6:$AJ$45,$BN47)+(INDEX($AJ$6:$AJ$45,$BN47)=0)-1,INDEX($AN$6:$AN$45,$BN47)&amp;IF(INDEX($AV$6:$AV$45,$BN47)="",""," · "&amp;INDEX($AV$6:$AV$45,$BN47)),""))</f>
        <v/>
      </c>
      <c r="D47" s="16" t="n"/>
      <c r="E47" s="16" t="n"/>
      <c r="F47" s="16" t="n"/>
      <c r="G47" s="16" t="n"/>
      <c r="H47" s="16" t="n"/>
      <c r="I47" s="16" t="n"/>
      <c r="J47" s="16" t="n"/>
      <c r="K47" s="16" t="n"/>
      <c r="L47" s="16" t="n"/>
      <c r="M47" s="16" t="n"/>
      <c r="N47" s="16" t="n"/>
      <c r="O47" s="16" t="n"/>
      <c r="P47" s="17" t="n"/>
      <c r="R47" s="18" t="n"/>
      <c r="S47" s="15" t="str">
        <f>IF($BQ47&lt;&gt;1,IF($BQ47&gt;1,"⚠ U 겹침",""),IF($BM47=INDEX($AH$6:$AH$45,$BP47)+INDEX($AJ$6:$AJ$45,$BP47)+(INDEX($AJ$6:$AJ$45,$BP47)=0)-1,INDEX($AN$6:$AN$45,$BP47)&amp;IF(INDEX($AV$6:$AV$45,$BP47)="",""," · "&amp;INDEX($AV$6:$AV$45,$BP47)),""))</f>
        <v/>
      </c>
      <c r="T47" s="16" t="n"/>
      <c r="U47" s="16" t="n"/>
      <c r="V47" s="16" t="n"/>
      <c r="W47" s="16" t="n"/>
      <c r="X47" s="16" t="n"/>
      <c r="Y47" s="16" t="n"/>
      <c r="Z47" s="16" t="n"/>
      <c r="AA47" s="16" t="n"/>
      <c r="AB47" s="16" t="n"/>
      <c r="AC47" s="16" t="n"/>
      <c r="AD47" s="16" t="n"/>
      <c r="AE47" s="16" t="n"/>
      <c r="AF47" s="19" t="n">
        <v>1</v>
      </c>
      <c r="BM47">
        <f>B47</f>
        <v>1</v>
      </c>
      <c r="BN47">
        <f>SUMPRODUCT(ISNUMBER($AH$6:$AH$45)*($AH$6:$AH$45&lt;=$BM47)*($AH$6:$AH$45+($AJ$6:$AJ$45+($AJ$6:$AJ$45=0))-1&gt;=$BM47)*($AL$6:$AL$45&lt;&gt;"0U")*($AL$6:$AL$45&lt;&gt;"선반")*($AL$6:$AL$45&lt;&gt;"후면")*(ROW($AH$6:$AH$45)-5))</f>
        <v>0</v>
      </c>
      <c r="BO47">
        <f>SUMPRODUCT(ISNUMBER($AH$6:$AH$45)*($AH$6:$AH$45&lt;=$BM47)*($AH$6:$AH$45+($AJ$6:$AJ$45+($AJ$6:$AJ$45=0))-1&gt;=$BM47)*($AL$6:$AL$45&lt;&gt;"0U")*($AL$6:$AL$45&lt;&gt;"선반")*($AL$6:$AL$45&lt;&gt;"후면"))</f>
        <v>0</v>
      </c>
      <c r="BP47">
        <f>SUMPRODUCT(ISNUMBER($AH$6:$AH$45)*($AH$6:$AH$45&lt;=$BM47)*($AH$6:$AH$45+($AJ$6:$AJ$45+($AJ$6:$AJ$45=0))-1&gt;=$BM47)*($AL$6:$AL$45&lt;&gt;"0U")*($AL$6:$AL$45&lt;&gt;"선반")*($AL$6:$AL$45&lt;&gt;"전면")*(ROW($AH$6:$AH$45)-5))</f>
        <v>0</v>
      </c>
      <c r="BQ47">
        <f>SUMPRODUCT(ISNUMBER($AH$6:$AH$45)*($AH$6:$AH$45&lt;=$BM47)*($AH$6:$AH$45+($AJ$6:$AJ$45+($AJ$6:$AJ$45=0))-1&gt;=$BM47)*($AL$6:$AL$45&lt;&gt;"0U")*($AL$6:$AL$45&lt;&gt;"선반")*($AL$6:$AL$45&lt;&gt;"전면"))</f>
        <v>0</v>
      </c>
    </row>
    <row r="48" ht="6" customHeight="1">
      <c r="B48" s="25" t="n"/>
      <c r="C48" s="25" t="n"/>
      <c r="D48" s="25" t="n"/>
      <c r="E48" s="25" t="n"/>
      <c r="F48" s="25" t="n"/>
      <c r="G48" s="25" t="n"/>
      <c r="H48" s="25" t="n"/>
      <c r="I48" s="25" t="n"/>
      <c r="J48" s="25" t="n"/>
      <c r="K48" s="25" t="n"/>
      <c r="L48" s="25" t="n"/>
      <c r="M48" s="25" t="n"/>
      <c r="N48" s="25" t="n"/>
      <c r="O48" s="25" t="n"/>
      <c r="P48" s="25" t="n"/>
      <c r="R48" s="25" t="n"/>
      <c r="S48" s="25" t="n"/>
      <c r="T48" s="25" t="n"/>
      <c r="U48" s="25" t="n"/>
      <c r="V48" s="25" t="n"/>
      <c r="W48" s="25" t="n"/>
      <c r="X48" s="25" t="n"/>
      <c r="Y48" s="25" t="n"/>
      <c r="Z48" s="25" t="n"/>
      <c r="AA48" s="25" t="n"/>
      <c r="AB48" s="25" t="n"/>
      <c r="AC48" s="25" t="n"/>
      <c r="AD48" s="25" t="n"/>
      <c r="AE48" s="25" t="n"/>
      <c r="AF48" s="25" t="n"/>
    </row>
    <row r="49" ht="14" customHeight="1">
      <c r="B49" s="5" t="inlineStr">
        <is>
          <t>전면 사용</t>
        </is>
      </c>
      <c r="F49" s="26" t="str">
        <f>SUMPRODUCT(ISNUMBER($AH$6:$AH$45)*($AL$6:$AL$45&lt;&gt;"후면")*($AL$6:$AL$45&lt;&gt;"0U")*($AL$6:$AL$45&lt;&gt;"선반")*($AJ$6:$AJ$45+($AJ$6:$AJ$45=0)))&amp;" U / 42 U"</f>
        <v>0 U / 42 U</v>
      </c>
      <c r="M49" s="5" t="inlineStr">
        <is>
          <t>장비</t>
        </is>
      </c>
      <c r="O49" s="26" t="str">
        <f>(COUNTA($AN$6:$AN$45)-COUNTIF($BB$6:$BB$45,"선반"))&amp;" 대"</f>
        <v>0 대</v>
      </c>
      <c r="U49" s="27" t="n"/>
      <c r="V49" s="28" t="inlineStr">
        <is>
          <t>서버</t>
        </is>
      </c>
      <c r="Y49" s="29" t="n"/>
      <c r="Z49" s="28" t="inlineStr">
        <is>
          <t>네트워크</t>
        </is>
      </c>
      <c r="AD49" s="30" t="n"/>
      <c r="AE49" s="28" t="inlineStr">
        <is>
          <t>스토리지</t>
        </is>
      </c>
      <c r="AI49" s="31" t="n"/>
      <c r="AJ49" s="28" t="inlineStr">
        <is>
          <t>보안</t>
        </is>
      </c>
      <c r="AM49" s="32" t="n"/>
      <c r="AN49" s="28" t="inlineStr">
        <is>
          <t>전원</t>
        </is>
      </c>
      <c r="AQ49" s="33" t="n"/>
      <c r="AR49" s="28" t="inlineStr">
        <is>
          <t>선반</t>
        </is>
      </c>
      <c r="AU49" s="34" t="n"/>
      <c r="AV49" s="28" t="inlineStr">
        <is>
          <t>기타</t>
        </is>
      </c>
    </row>
    <row r="50" ht="13" customHeight="1">
      <c r="B50" s="8" t="inlineStr">
        <is>
          <t>면: 양면 = 앞뒤 모두 차지 · 전면/후면 = 한쪽만 차지(짧은 장비) · 선반 = 선반·트레이 위 장비(선반은 구분 '선반'으로 한 줄 따로) · 0U = 세로 PDU  ·  U = 맨 아래 U · 높이 비우면 1U  ·  시스템 = 한 시스템인 박스끼리 같은 이름</t>
        </is>
      </c>
    </row>
    <row r="51" ht="13" customHeight="1">
      <c r="B51" s="8" t="inlineStr">
        <is>
          <t>입력 예: U 20 · 높이 2 · 면 양면 · 장비명 SRV-01 · 시스템 (한 대면 비움) · 모델 DL380 Gen10 · 구분 서버 · 시트 이름 U20 SRV-01</t>
        </is>
      </c>
    </row>
    <row r="52" ht="12" customHeight="1"/>
    <row r="53" ht="12" customHeight="1"/>
    <row r="54" ht="12" customHeight="1"/>
    <row r="55" ht="12" customHeight="1"/>
    <row r="56" ht="12" customHeight="1"/>
    <row r="57" ht="12" customHeight="1"/>
    <row r="58" ht="12" customHeight="1"/>
    <row r="59" ht="12" customHeight="1"/>
    <row r="60" ht="12" customHeight="1"/>
  </sheetData>
  <mergeCells count="328">
    <mergeCell ref="BE9:BJ9"/>
    <mergeCell ref="AJ42:AK42"/>
    <mergeCell ref="BE11:BJ11"/>
    <mergeCell ref="AN16:AR16"/>
    <mergeCell ref="AL37:AM37"/>
    <mergeCell ref="AL12:AM12"/>
    <mergeCell ref="AV41:BA41"/>
    <mergeCell ref="AN11:AR11"/>
    <mergeCell ref="AL14:AM14"/>
    <mergeCell ref="BB12:BD12"/>
    <mergeCell ref="BE37:BJ37"/>
    <mergeCell ref="BE24:BJ24"/>
    <mergeCell ref="AH45:AI45"/>
    <mergeCell ref="AH32:AI32"/>
    <mergeCell ref="AJ32:AK32"/>
    <mergeCell ref="AS9:AU9"/>
    <mergeCell ref="BE26:BJ26"/>
    <mergeCell ref="AN6:AR6"/>
    <mergeCell ref="AJ40:AK40"/>
    <mergeCell ref="BB26:BD26"/>
    <mergeCell ref="AJ27:AK27"/>
    <mergeCell ref="AL27:AM27"/>
    <mergeCell ref="AL25:AM25"/>
    <mergeCell ref="BE42:BJ42"/>
    <mergeCell ref="BB27:BD27"/>
    <mergeCell ref="AN42:AR42"/>
    <mergeCell ref="AJ45:AK45"/>
    <mergeCell ref="AV16:BA16"/>
    <mergeCell ref="AN17:AR17"/>
    <mergeCell ref="AJ20:AK20"/>
    <mergeCell ref="AL20:AM20"/>
    <mergeCell ref="BB37:BD37"/>
    <mergeCell ref="BE14:BJ14"/>
    <mergeCell ref="AL38:AM38"/>
    <mergeCell ref="AH22:AI22"/>
    <mergeCell ref="AV18:BA18"/>
    <mergeCell ref="AN19:AR19"/>
    <mergeCell ref="AJ22:AK22"/>
    <mergeCell ref="AL22:AM22"/>
    <mergeCell ref="AV17:BA17"/>
    <mergeCell ref="AL40:AM40"/>
    <mergeCell ref="AV11:BA11"/>
    <mergeCell ref="AL15:AM15"/>
    <mergeCell ref="BE32:BJ32"/>
    <mergeCell ref="BB38:BD38"/>
    <mergeCell ref="AS17:AU17"/>
    <mergeCell ref="AS11:AU11"/>
    <mergeCell ref="BB40:BD40"/>
    <mergeCell ref="BE40:BJ40"/>
    <mergeCell ref="BE27:BJ27"/>
    <mergeCell ref="AS19:AU19"/>
    <mergeCell ref="AN32:AR32"/>
    <mergeCell ref="AV6:BA6"/>
    <mergeCell ref="AJ33:AK33"/>
    <mergeCell ref="AL33:AM33"/>
    <mergeCell ref="AS14:AU14"/>
    <mergeCell ref="AL43:AM43"/>
    <mergeCell ref="AJ35:AK35"/>
    <mergeCell ref="AL35:AM35"/>
    <mergeCell ref="BB33:BD33"/>
    <mergeCell ref="BE45:BJ45"/>
    <mergeCell ref="BB43:BD43"/>
    <mergeCell ref="BE20:BJ20"/>
    <mergeCell ref="AL30:AM30"/>
    <mergeCell ref="BE22:BJ22"/>
    <mergeCell ref="AH5:AI5"/>
    <mergeCell ref="AS7:AU7"/>
    <mergeCell ref="AV19:BA19"/>
    <mergeCell ref="AN20:AR20"/>
    <mergeCell ref="AN22:AR22"/>
    <mergeCell ref="AS20:AU20"/>
    <mergeCell ref="BE33:BJ33"/>
    <mergeCell ref="AH16:AI16"/>
    <mergeCell ref="AN38:AR38"/>
    <mergeCell ref="AJ41:AK41"/>
    <mergeCell ref="AJ16:AK16"/>
    <mergeCell ref="BE41:BJ41"/>
    <mergeCell ref="AS22:AU22"/>
    <mergeCell ref="AL34:AM34"/>
    <mergeCell ref="AN40:AR40"/>
    <mergeCell ref="AJ43:AK43"/>
    <mergeCell ref="AV38:BA38"/>
    <mergeCell ref="AN33:AR33"/>
    <mergeCell ref="AV13:BA13"/>
    <mergeCell ref="AL36:AM36"/>
    <mergeCell ref="BB34:BD34"/>
    <mergeCell ref="AN35:AR35"/>
    <mergeCell ref="BB36:BD36"/>
    <mergeCell ref="AH6:AI6"/>
    <mergeCell ref="AS33:AU33"/>
    <mergeCell ref="AJ6:AK6"/>
    <mergeCell ref="AS35:AU35"/>
    <mergeCell ref="AS10:AU10"/>
    <mergeCell ref="AV35:BA35"/>
    <mergeCell ref="AV22:BA22"/>
    <mergeCell ref="BE16:BJ16"/>
    <mergeCell ref="AH24:AI24"/>
    <mergeCell ref="AH18:AI18"/>
    <mergeCell ref="BE43:BJ43"/>
    <mergeCell ref="AH17:AI17"/>
    <mergeCell ref="AJ17:AK17"/>
    <mergeCell ref="AS28:AU28"/>
    <mergeCell ref="BB9:BD9"/>
    <mergeCell ref="AH19:AI19"/>
    <mergeCell ref="AV40:BA40"/>
    <mergeCell ref="AN41:AR41"/>
    <mergeCell ref="AJ19:AK19"/>
    <mergeCell ref="AV15:BA15"/>
    <mergeCell ref="BB17:BD17"/>
    <mergeCell ref="BB11:BD11"/>
    <mergeCell ref="AN43:AR43"/>
    <mergeCell ref="AL39:AM39"/>
    <mergeCell ref="BE6:BJ6"/>
    <mergeCell ref="AS41:AU41"/>
    <mergeCell ref="AH37:AI37"/>
    <mergeCell ref="BB39:BD39"/>
    <mergeCell ref="AH12:AI12"/>
    <mergeCell ref="AN9:AR9"/>
    <mergeCell ref="AJ12:AK12"/>
    <mergeCell ref="AS43:AU43"/>
    <mergeCell ref="AV43:BA43"/>
    <mergeCell ref="AS36:AU36"/>
    <mergeCell ref="AH14:AI14"/>
    <mergeCell ref="AJ14:AK14"/>
    <mergeCell ref="AV34:BA34"/>
    <mergeCell ref="AV28:BA28"/>
    <mergeCell ref="AJ7:AK7"/>
    <mergeCell ref="AL7:AM7"/>
    <mergeCell ref="AH43:AI43"/>
    <mergeCell ref="AV36:BA36"/>
    <mergeCell ref="AV30:BA30"/>
    <mergeCell ref="BE17:BJ17"/>
    <mergeCell ref="BE19:BJ19"/>
    <mergeCell ref="AH27:AI27"/>
    <mergeCell ref="AV31:BA31"/>
    <mergeCell ref="AN18:AR18"/>
    <mergeCell ref="AS29:AU29"/>
    <mergeCell ref="BB19:BD19"/>
    <mergeCell ref="AH25:AI25"/>
    <mergeCell ref="AJ25:AK25"/>
    <mergeCell ref="AS44:AU44"/>
    <mergeCell ref="AS31:AU31"/>
    <mergeCell ref="BB20:BD20"/>
    <mergeCell ref="BB14:BD14"/>
    <mergeCell ref="BE12:BJ12"/>
    <mergeCell ref="AH38:AI38"/>
    <mergeCell ref="AJ38:AK38"/>
    <mergeCell ref="AV9:BA9"/>
    <mergeCell ref="AJ13:AK13"/>
    <mergeCell ref="AL13:AM13"/>
    <mergeCell ref="BE13:BJ13"/>
    <mergeCell ref="BE7:BJ7"/>
    <mergeCell ref="AH40:AI40"/>
    <mergeCell ref="AH15:AI15"/>
    <mergeCell ref="AN12:AR12"/>
    <mergeCell ref="AJ15:AK15"/>
    <mergeCell ref="AH30:AI30"/>
    <mergeCell ref="BB13:BD13"/>
    <mergeCell ref="BB7:BD7"/>
    <mergeCell ref="AL8:AM8"/>
    <mergeCell ref="AN14:AR14"/>
    <mergeCell ref="AN7:AR7"/>
    <mergeCell ref="AL10:AM10"/>
    <mergeCell ref="BB8:BD8"/>
    <mergeCell ref="AV39:BA39"/>
    <mergeCell ref="AS12:AU12"/>
    <mergeCell ref="BE25:BJ25"/>
    <mergeCell ref="AH33:AI33"/>
    <mergeCell ref="BE35:BJ35"/>
    <mergeCell ref="AS39:AU39"/>
    <mergeCell ref="AH35:AI35"/>
    <mergeCell ref="AS32:AU32"/>
    <mergeCell ref="BB22:BD22"/>
    <mergeCell ref="AN25:AR25"/>
    <mergeCell ref="AJ28:AK28"/>
    <mergeCell ref="AL28:AM28"/>
    <mergeCell ref="AL21:AM21"/>
    <mergeCell ref="AJ30:AK30"/>
    <mergeCell ref="BE38:BJ38"/>
    <mergeCell ref="AL23:AM23"/>
    <mergeCell ref="BE15:BJ15"/>
    <mergeCell ref="AH41:AI41"/>
    <mergeCell ref="AV12:BA12"/>
    <mergeCell ref="AN13:AR13"/>
    <mergeCell ref="AV14:BA14"/>
    <mergeCell ref="AN15:AR15"/>
    <mergeCell ref="BB41:BD41"/>
    <mergeCell ref="BB35:BD35"/>
    <mergeCell ref="BB10:BD10"/>
    <mergeCell ref="AS13:AU13"/>
    <mergeCell ref="AH34:AI34"/>
    <mergeCell ref="AH9:AI9"/>
    <mergeCell ref="AJ34:AK34"/>
    <mergeCell ref="BE34:BJ34"/>
    <mergeCell ref="AS15:AU15"/>
    <mergeCell ref="BE28:BJ28"/>
    <mergeCell ref="AH36:AI36"/>
    <mergeCell ref="AH11:AI11"/>
    <mergeCell ref="AJ36:AK36"/>
    <mergeCell ref="AV7:BA7"/>
    <mergeCell ref="BE30:BJ30"/>
    <mergeCell ref="AV25:BA25"/>
    <mergeCell ref="BB28:BD28"/>
    <mergeCell ref="AJ29:AK29"/>
    <mergeCell ref="AL29:AM29"/>
    <mergeCell ref="BE29:BJ29"/>
    <mergeCell ref="AJ44:AK44"/>
    <mergeCell ref="AL44:AM44"/>
    <mergeCell ref="AN28:AR28"/>
    <mergeCell ref="BB30:BD30"/>
    <mergeCell ref="AJ31:AK31"/>
    <mergeCell ref="AV8:BA8"/>
    <mergeCell ref="AS25:AU25"/>
    <mergeCell ref="AL31:AM31"/>
    <mergeCell ref="BB42:BD42"/>
    <mergeCell ref="BB29:BD29"/>
    <mergeCell ref="BB23:BD23"/>
    <mergeCell ref="AN30:AR30"/>
    <mergeCell ref="AN5:AR5"/>
    <mergeCell ref="AS8:AU8"/>
    <mergeCell ref="BB31:BD31"/>
    <mergeCell ref="AL26:AM26"/>
    <mergeCell ref="AS5:AU5"/>
    <mergeCell ref="AL42:AM42"/>
    <mergeCell ref="AL17:AM17"/>
    <mergeCell ref="AL19:AM19"/>
    <mergeCell ref="BE36:BJ36"/>
    <mergeCell ref="AS21:AU21"/>
    <mergeCell ref="AN34:AR34"/>
    <mergeCell ref="BE44:BJ44"/>
    <mergeCell ref="BE31:BJ31"/>
    <mergeCell ref="AN36:AR36"/>
    <mergeCell ref="AJ39:AK39"/>
    <mergeCell ref="AV10:BA10"/>
    <mergeCell ref="AS16:AU16"/>
    <mergeCell ref="BB44:BD44"/>
    <mergeCell ref="AL45:AM45"/>
    <mergeCell ref="AN29:AR29"/>
    <mergeCell ref="AL32:AM32"/>
    <mergeCell ref="AN44:AR44"/>
    <mergeCell ref="AN31:AR31"/>
    <mergeCell ref="AS34:AU34"/>
    <mergeCell ref="AV5:BA5"/>
    <mergeCell ref="BB45:BD45"/>
    <mergeCell ref="BB32:BD32"/>
    <mergeCell ref="AS30:AU30"/>
    <mergeCell ref="AS42:AU42"/>
    <mergeCell ref="AH7:AI7"/>
    <mergeCell ref="AV21:BA21"/>
    <mergeCell ref="AS6:AU6"/>
    <mergeCell ref="AV29:BA29"/>
    <mergeCell ref="AV23:BA23"/>
    <mergeCell ref="AN24:AR24"/>
    <mergeCell ref="AN26:AR26"/>
    <mergeCell ref="AS23:AU23"/>
    <mergeCell ref="AH20:AI20"/>
    <mergeCell ref="AV24:BA24"/>
    <mergeCell ref="BE39:BJ39"/>
    <mergeCell ref="AS24:AU24"/>
    <mergeCell ref="AS18:AU18"/>
    <mergeCell ref="AS26:AU26"/>
    <mergeCell ref="AN39:AR39"/>
    <mergeCell ref="AN37:AR37"/>
    <mergeCell ref="AH13:AI13"/>
    <mergeCell ref="AH8:AI8"/>
    <mergeCell ref="AJ8:AK8"/>
    <mergeCell ref="BB25:BD25"/>
    <mergeCell ref="AV44:BA44"/>
    <mergeCell ref="AH10:AI10"/>
    <mergeCell ref="AS37:AU37"/>
    <mergeCell ref="AJ10:AK10"/>
    <mergeCell ref="AV37:BA37"/>
    <mergeCell ref="AH39:AI39"/>
    <mergeCell ref="AV45:BA45"/>
    <mergeCell ref="AV32:BA32"/>
    <mergeCell ref="AV26:BA26"/>
    <mergeCell ref="AN27:AR27"/>
    <mergeCell ref="AJ5:AK5"/>
    <mergeCell ref="AL5:AM5"/>
    <mergeCell ref="AV27:BA27"/>
    <mergeCell ref="AH28:AI28"/>
    <mergeCell ref="BB15:BD15"/>
    <mergeCell ref="AH21:AI21"/>
    <mergeCell ref="AV42:BA42"/>
    <mergeCell ref="AJ21:AK21"/>
    <mergeCell ref="AS40:AU40"/>
    <mergeCell ref="AS27:AU27"/>
    <mergeCell ref="AH23:AI23"/>
    <mergeCell ref="AN45:AR45"/>
    <mergeCell ref="AJ23:AK23"/>
    <mergeCell ref="AL41:AM41"/>
    <mergeCell ref="AL16:AM16"/>
    <mergeCell ref="BE8:BJ8"/>
    <mergeCell ref="AJ18:AK18"/>
    <mergeCell ref="AV20:BA20"/>
    <mergeCell ref="AL18:AM18"/>
    <mergeCell ref="BE10:BJ10"/>
    <mergeCell ref="AS45:AU45"/>
    <mergeCell ref="AS38:AU38"/>
    <mergeCell ref="AN8:AR8"/>
    <mergeCell ref="BE5:BJ5"/>
    <mergeCell ref="AN10:AR10"/>
    <mergeCell ref="AJ9:AK9"/>
    <mergeCell ref="AL9:AM9"/>
    <mergeCell ref="BB5:BD5"/>
    <mergeCell ref="AL6:AM6"/>
    <mergeCell ref="AJ11:AK11"/>
    <mergeCell ref="AL11:AM11"/>
    <mergeCell ref="BE21:BJ21"/>
    <mergeCell ref="AH42:AI42"/>
    <mergeCell ref="AH29:AI29"/>
    <mergeCell ref="BB6:BD6"/>
    <mergeCell ref="AV33:BA33"/>
    <mergeCell ref="BE23:BJ23"/>
    <mergeCell ref="AH44:AI44"/>
    <mergeCell ref="BB21:BD21"/>
    <mergeCell ref="AH31:AI31"/>
    <mergeCell ref="AJ37:AK37"/>
    <mergeCell ref="AN21:AR21"/>
    <mergeCell ref="AJ24:AK24"/>
    <mergeCell ref="AL24:AM24"/>
    <mergeCell ref="BE18:BJ18"/>
    <mergeCell ref="BB16:BD16"/>
    <mergeCell ref="AH26:AI26"/>
    <mergeCell ref="AN23:AR23"/>
    <mergeCell ref="AJ26:AK26"/>
    <mergeCell ref="BB24:BD24"/>
    <mergeCell ref="BB18:BD18"/>
  </mergeCells>
  <conditionalFormatting sqref="C6:O47">
    <cfRule type="expression" priority="1" dxfId="0" stopIfTrue="1">
      <formula>$BO6&gt;1</formula>
    </cfRule>
    <cfRule type="expression" priority="2" dxfId="1" stopIfTrue="1">
      <formula>AND($BO6=1,$BM6=INDEX($AH$6:$AH$45,MAX(1,$BN6))+INDEX($AJ$6:$AJ$45,MAX(1,$BN6))+(INDEX($AJ$6:$AJ$45,MAX(1,$BN6))=0)-1,INDEX($BB$6:$BB$45,MAX(1,$BN6))="서버")</formula>
    </cfRule>
    <cfRule type="expression" priority="3" dxfId="2" stopIfTrue="1">
      <formula>AND($BO6=1,$BM6=INDEX($AH$6:$AH$45,MAX(1,$BN6))+INDEX($AJ$6:$AJ$45,MAX(1,$BN6))+(INDEX($AJ$6:$AJ$45,MAX(1,$BN6))=0)-1,INDEX($BB$6:$BB$45,MAX(1,$BN6))="네트워크")</formula>
    </cfRule>
    <cfRule type="expression" priority="4" dxfId="3" stopIfTrue="1">
      <formula>AND($BO6=1,$BM6=INDEX($AH$6:$AH$45,MAX(1,$BN6))+INDEX($AJ$6:$AJ$45,MAX(1,$BN6))+(INDEX($AJ$6:$AJ$45,MAX(1,$BN6))=0)-1,INDEX($BB$6:$BB$45,MAX(1,$BN6))="스토리지")</formula>
    </cfRule>
    <cfRule type="expression" priority="5" dxfId="4" stopIfTrue="1">
      <formula>AND($BO6=1,$BM6=INDEX($AH$6:$AH$45,MAX(1,$BN6))+INDEX($AJ$6:$AJ$45,MAX(1,$BN6))+(INDEX($AJ$6:$AJ$45,MAX(1,$BN6))=0)-1,INDEX($BB$6:$BB$45,MAX(1,$BN6))="보안")</formula>
    </cfRule>
    <cfRule type="expression" priority="6" dxfId="5" stopIfTrue="1">
      <formula>AND($BO6=1,$BM6=INDEX($AH$6:$AH$45,MAX(1,$BN6))+INDEX($AJ$6:$AJ$45,MAX(1,$BN6))+(INDEX($AJ$6:$AJ$45,MAX(1,$BN6))=0)-1,INDEX($BB$6:$BB$45,MAX(1,$BN6))="전원")</formula>
    </cfRule>
    <cfRule type="expression" priority="7" dxfId="6" stopIfTrue="1">
      <formula>AND($BO6=1,$BM6=INDEX($AH$6:$AH$45,MAX(1,$BN6))+INDEX($AJ$6:$AJ$45,MAX(1,$BN6))+(INDEX($AJ$6:$AJ$45,MAX(1,$BN6))=0)-1,INDEX($BB$6:$BB$45,MAX(1,$BN6))="선반")</formula>
    </cfRule>
    <cfRule type="expression" priority="8" dxfId="7" stopIfTrue="1">
      <formula>AND($BO6=1,$BM6=INDEX($AH$6:$AH$45,MAX(1,$BN6))+INDEX($AJ$6:$AJ$45,MAX(1,$BN6))+(INDEX($AJ$6:$AJ$45,MAX(1,$BN6))=0)-1,INDEX($BB$6:$BB$45,MAX(1,$BN6))="기타")</formula>
    </cfRule>
    <cfRule type="expression" priority="9" dxfId="7" stopIfTrue="1">
      <formula>AND($BO6=1,$BM6=INDEX($AH$6:$AH$45,MAX(1,$BN6))+INDEX($AJ$6:$AJ$45,MAX(1,$BN6))+(INDEX($AJ$6:$AJ$45,MAX(1,$BN6))=0)-1,TRUE)</formula>
    </cfRule>
    <cfRule type="expression" priority="10" dxfId="8" stopIfTrue="1">
      <formula>AND($BO6=1,INDEX($BB$6:$BB$45,MAX(1,$BN6))="서버")</formula>
    </cfRule>
    <cfRule type="expression" priority="11" dxfId="9" stopIfTrue="1">
      <formula>AND($BO6=1,INDEX($BB$6:$BB$45,MAX(1,$BN6))="네트워크")</formula>
    </cfRule>
    <cfRule type="expression" priority="12" dxfId="10" stopIfTrue="1">
      <formula>AND($BO6=1,INDEX($BB$6:$BB$45,MAX(1,$BN6))="스토리지")</formula>
    </cfRule>
    <cfRule type="expression" priority="13" dxfId="11" stopIfTrue="1">
      <formula>AND($BO6=1,INDEX($BB$6:$BB$45,MAX(1,$BN6))="보안")</formula>
    </cfRule>
    <cfRule type="expression" priority="14" dxfId="12" stopIfTrue="1">
      <formula>AND($BO6=1,INDEX($BB$6:$BB$45,MAX(1,$BN6))="전원")</formula>
    </cfRule>
    <cfRule type="expression" priority="15" dxfId="13" stopIfTrue="1">
      <formula>AND($BO6=1,INDEX($BB$6:$BB$45,MAX(1,$BN6))="선반")</formula>
    </cfRule>
    <cfRule type="expression" priority="16" dxfId="14" stopIfTrue="1">
      <formula>AND($BO6=1,INDEX($BB$6:$BB$45,MAX(1,$BN6))="기타")</formula>
    </cfRule>
    <cfRule type="expression" priority="17" dxfId="14" stopIfTrue="1">
      <formula>AND($BO6=1,TRUE)</formula>
    </cfRule>
  </conditionalFormatting>
  <conditionalFormatting sqref="S6:AE47">
    <cfRule type="expression" priority="18" dxfId="0" stopIfTrue="1">
      <formula>$BQ6&gt;1</formula>
    </cfRule>
    <cfRule type="expression" priority="19" dxfId="1" stopIfTrue="1">
      <formula>AND($BQ6=1,$BM6=INDEX($AH$6:$AH$45,MAX(1,$BP6))+INDEX($AJ$6:$AJ$45,MAX(1,$BP6))+(INDEX($AJ$6:$AJ$45,MAX(1,$BP6))=0)-1,INDEX($BB$6:$BB$45,MAX(1,$BP6))="서버")</formula>
    </cfRule>
    <cfRule type="expression" priority="20" dxfId="2" stopIfTrue="1">
      <formula>AND($BQ6=1,$BM6=INDEX($AH$6:$AH$45,MAX(1,$BP6))+INDEX($AJ$6:$AJ$45,MAX(1,$BP6))+(INDEX($AJ$6:$AJ$45,MAX(1,$BP6))=0)-1,INDEX($BB$6:$BB$45,MAX(1,$BP6))="네트워크")</formula>
    </cfRule>
    <cfRule type="expression" priority="21" dxfId="3" stopIfTrue="1">
      <formula>AND($BQ6=1,$BM6=INDEX($AH$6:$AH$45,MAX(1,$BP6))+INDEX($AJ$6:$AJ$45,MAX(1,$BP6))+(INDEX($AJ$6:$AJ$45,MAX(1,$BP6))=0)-1,INDEX($BB$6:$BB$45,MAX(1,$BP6))="스토리지")</formula>
    </cfRule>
    <cfRule type="expression" priority="22" dxfId="4" stopIfTrue="1">
      <formula>AND($BQ6=1,$BM6=INDEX($AH$6:$AH$45,MAX(1,$BP6))+INDEX($AJ$6:$AJ$45,MAX(1,$BP6))+(INDEX($AJ$6:$AJ$45,MAX(1,$BP6))=0)-1,INDEX($BB$6:$BB$45,MAX(1,$BP6))="보안")</formula>
    </cfRule>
    <cfRule type="expression" priority="23" dxfId="5" stopIfTrue="1">
      <formula>AND($BQ6=1,$BM6=INDEX($AH$6:$AH$45,MAX(1,$BP6))+INDEX($AJ$6:$AJ$45,MAX(1,$BP6))+(INDEX($AJ$6:$AJ$45,MAX(1,$BP6))=0)-1,INDEX($BB$6:$BB$45,MAX(1,$BP6))="전원")</formula>
    </cfRule>
    <cfRule type="expression" priority="24" dxfId="6" stopIfTrue="1">
      <formula>AND($BQ6=1,$BM6=INDEX($AH$6:$AH$45,MAX(1,$BP6))+INDEX($AJ$6:$AJ$45,MAX(1,$BP6))+(INDEX($AJ$6:$AJ$45,MAX(1,$BP6))=0)-1,INDEX($BB$6:$BB$45,MAX(1,$BP6))="선반")</formula>
    </cfRule>
    <cfRule type="expression" priority="25" dxfId="7" stopIfTrue="1">
      <formula>AND($BQ6=1,$BM6=INDEX($AH$6:$AH$45,MAX(1,$BP6))+INDEX($AJ$6:$AJ$45,MAX(1,$BP6))+(INDEX($AJ$6:$AJ$45,MAX(1,$BP6))=0)-1,INDEX($BB$6:$BB$45,MAX(1,$BP6))="기타")</formula>
    </cfRule>
    <cfRule type="expression" priority="26" dxfId="7" stopIfTrue="1">
      <formula>AND($BQ6=1,$BM6=INDEX($AH$6:$AH$45,MAX(1,$BP6))+INDEX($AJ$6:$AJ$45,MAX(1,$BP6))+(INDEX($AJ$6:$AJ$45,MAX(1,$BP6))=0)-1,TRUE)</formula>
    </cfRule>
    <cfRule type="expression" priority="27" dxfId="8" stopIfTrue="1">
      <formula>AND($BQ6=1,INDEX($BB$6:$BB$45,MAX(1,$BP6))="서버")</formula>
    </cfRule>
    <cfRule type="expression" priority="28" dxfId="9" stopIfTrue="1">
      <formula>AND($BQ6=1,INDEX($BB$6:$BB$45,MAX(1,$BP6))="네트워크")</formula>
    </cfRule>
    <cfRule type="expression" priority="29" dxfId="10" stopIfTrue="1">
      <formula>AND($BQ6=1,INDEX($BB$6:$BB$45,MAX(1,$BP6))="스토리지")</formula>
    </cfRule>
    <cfRule type="expression" priority="30" dxfId="11" stopIfTrue="1">
      <formula>AND($BQ6=1,INDEX($BB$6:$BB$45,MAX(1,$BP6))="보안")</formula>
    </cfRule>
    <cfRule type="expression" priority="31" dxfId="12" stopIfTrue="1">
      <formula>AND($BQ6=1,INDEX($BB$6:$BB$45,MAX(1,$BP6))="전원")</formula>
    </cfRule>
    <cfRule type="expression" priority="32" dxfId="13" stopIfTrue="1">
      <formula>AND($BQ6=1,INDEX($BB$6:$BB$45,MAX(1,$BP6))="선반")</formula>
    </cfRule>
    <cfRule type="expression" priority="33" dxfId="14" stopIfTrue="1">
      <formula>AND($BQ6=1,INDEX($BB$6:$BB$45,MAX(1,$BP6))="기타")</formula>
    </cfRule>
    <cfRule type="expression" priority="34" dxfId="14" stopIfTrue="1">
      <formula>AND($BQ6=1,TRUE)</formula>
    </cfRule>
  </conditionalFormatting>
  <conditionalFormatting sqref="BB6:BD45">
    <cfRule type="expression" priority="35" dxfId="8" stopIfTrue="0">
      <formula>$BB6="서버"</formula>
    </cfRule>
    <cfRule type="expression" priority="36" dxfId="9" stopIfTrue="0">
      <formula>$BB6="네트워크"</formula>
    </cfRule>
    <cfRule type="expression" priority="37" dxfId="10" stopIfTrue="0">
      <formula>$BB6="스토리지"</formula>
    </cfRule>
    <cfRule type="expression" priority="38" dxfId="11" stopIfTrue="0">
      <formula>$BB6="보안"</formula>
    </cfRule>
    <cfRule type="expression" priority="39" dxfId="12" stopIfTrue="0">
      <formula>$BB6="전원"</formula>
    </cfRule>
    <cfRule type="expression" priority="40" dxfId="13" stopIfTrue="0">
      <formula>$BB6="선반"</formula>
    </cfRule>
    <cfRule type="expression" priority="41" dxfId="14" stopIfTrue="0">
      <formula>$BB6="기타"</formula>
    </cfRule>
  </conditionalFormatting>
  <dataValidations count="2">
    <dataValidation sqref="AL6:AL45" showDropDown="0" showInputMessage="0" showErrorMessage="0" allowBlank="1" type="list">
      <formula1>"양면,전면,후면,선반,0U"</formula1>
    </dataValidation>
    <dataValidation sqref="BB6:BB45" showDropDown="0" showInputMessage="0" showErrorMessage="0" allowBlank="1" type="list">
      <formula1>"서버,네트워크,스토리지,보안,전원,선반,기타"</formula1>
    </dataValidation>
  </dataValidations>
  <printOptions horizontalCentered="1"/>
  <pageMargins left="0.39" right="0.39" top="0.47" bottom="0.47" header="0.2" footer="0.2"/>
  <pageSetup orientation="landscape" paperSize="9" fitToHeight="0" fitToWidth="1"/>
  <headerFooter>
    <oddHeader/>
    <oddFooter>&amp;L&amp;7 &amp;F  ·  &amp;A&amp;R&amp;7 &amp;P /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8C99A8"/>
    <outlinePr summaryBelow="1" summaryRight="1"/>
    <pageSetUpPr fitToPage="1"/>
  </sheetPr>
  <dimension ref="B1:BK70"/>
  <sheetViews>
    <sheetView showGridLines="0" zoomScale="100" workbookViewId="0">
      <selection activeCell="A1" sqref="A1"/>
    </sheetView>
  </sheetViews>
  <sheetFormatPr baseColWidth="2" defaultColWidth="2" defaultRowHeight="12" customHeight="1"/>
  <cols>
    <col width="2" customWidth="1" min="1" max="1"/>
    <col width="2" customWidth="1" min="2" max="2"/>
    <col width="2" customWidth="1" min="3" max="3"/>
    <col width="2" customWidth="1" min="4" max="4"/>
    <col width="2" customWidth="1" min="5" max="5"/>
    <col width="2" customWidth="1" min="6" max="6"/>
    <col width="2" customWidth="1" min="7" max="7"/>
    <col width="2" customWidth="1" min="8" max="8"/>
    <col width="2" customWidth="1" min="9" max="9"/>
    <col width="2" customWidth="1" min="10" max="10"/>
    <col width="2" customWidth="1" min="11" max="11"/>
    <col width="2" customWidth="1" min="12" max="12"/>
    <col width="2" customWidth="1" min="13" max="13"/>
    <col width="2" customWidth="1" min="14" max="14"/>
    <col width="2" customWidth="1" min="15" max="15"/>
    <col width="2" customWidth="1" min="16" max="16"/>
    <col width="2" customWidth="1" min="17" max="17"/>
    <col width="2" customWidth="1" min="18" max="18"/>
    <col width="2" customWidth="1" min="19" max="19"/>
    <col width="2" customWidth="1" min="20" max="20"/>
    <col width="2" customWidth="1" min="21" max="21"/>
    <col width="2" customWidth="1" min="22" max="22"/>
    <col width="2" customWidth="1" min="23" max="23"/>
    <col width="2" customWidth="1" min="24" max="24"/>
    <col width="2" customWidth="1" min="25" max="25"/>
    <col width="2" customWidth="1" min="26" max="26"/>
    <col width="2" customWidth="1" min="27" max="27"/>
    <col width="2" customWidth="1" min="28" max="28"/>
    <col width="2" customWidth="1" min="29" max="29"/>
    <col width="2" customWidth="1" min="30" max="30"/>
    <col width="2" customWidth="1" min="31" max="31"/>
    <col width="2" customWidth="1" min="32" max="32"/>
    <col width="2" customWidth="1" min="33" max="33"/>
    <col width="2" customWidth="1" min="34" max="34"/>
    <col width="2" customWidth="1" min="35" max="35"/>
    <col width="2" customWidth="1" min="36" max="36"/>
    <col width="2" customWidth="1" min="37" max="37"/>
    <col width="2" customWidth="1" min="38" max="38"/>
    <col width="2" customWidth="1" min="39" max="39"/>
    <col width="2" customWidth="1" min="40" max="40"/>
    <col width="2" customWidth="1" min="41" max="41"/>
    <col width="2" customWidth="1" min="42" max="42"/>
    <col width="2" customWidth="1" min="43" max="43"/>
    <col width="2" customWidth="1" min="44" max="44"/>
    <col width="2" customWidth="1" min="45" max="45"/>
    <col width="2" customWidth="1" min="46" max="46"/>
    <col width="2" customWidth="1" min="47" max="47"/>
    <col width="2" customWidth="1" min="48" max="48"/>
    <col width="2" customWidth="1" min="49" max="49"/>
    <col width="2" customWidth="1" min="50" max="50"/>
    <col width="2" customWidth="1" min="51" max="51"/>
    <col width="2" customWidth="1" min="52" max="52"/>
    <col width="2" customWidth="1" min="53" max="53"/>
    <col width="2" customWidth="1" min="54" max="54"/>
    <col width="2" customWidth="1" min="55" max="55"/>
    <col width="2" customWidth="1" min="56" max="56"/>
    <col width="2" customWidth="1" min="57" max="57"/>
    <col width="2" customWidth="1" min="58" max="58"/>
    <col width="2" customWidth="1" min="59" max="59"/>
    <col width="2" customWidth="1" min="60" max="60"/>
    <col width="2" customWidth="1" min="61" max="61"/>
    <col width="2" customWidth="1" min="62" max="62"/>
    <col width="2" customWidth="1" min="63" max="63"/>
    <col width="2" customWidth="1" min="64" max="64"/>
    <col width="2" customWidth="1" min="65" max="65"/>
    <col width="2" customWidth="1" min="66" max="66"/>
    <col width="2" customWidth="1" min="67" max="67"/>
    <col width="2" customWidth="1" min="68" max="68"/>
    <col width="2" customWidth="1" min="69" max="69"/>
    <col width="2" customWidth="1" min="70" max="70"/>
  </cols>
  <sheetData>
    <row r="1" ht="24" customHeight="1">
      <c r="B1" s="1" t="inlineStr">
        <is>
          <t>사용법</t>
        </is>
      </c>
      <c r="C1" s="2" t="n"/>
      <c r="D1" s="2" t="n"/>
      <c r="E1" s="2" t="n"/>
      <c r="F1" s="2" t="n"/>
      <c r="G1" s="2" t="n"/>
      <c r="H1" s="35" t="inlineStr">
        <is>
          <t>5분 요약 — 복사 · 수정 · 번호 · 랙 관리 · 인쇄</t>
        </is>
      </c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4" t="inlineStr">
        <is>
          <t>장비 전·후면도 라이브러리</t>
        </is>
      </c>
    </row>
    <row r="2" ht="6" customHeight="1"/>
    <row r="3" ht="4" customHeight="1"/>
    <row r="4" ht="12" customHeight="1"/>
    <row r="5" ht="15" customHeight="1">
      <c r="B5" s="36" t="n">
        <v>0</v>
      </c>
      <c r="C5" s="37" t="inlineStr">
        <is>
          <t xml:space="preserve">  파일 구성과 탭 색</t>
        </is>
      </c>
      <c r="D5" s="38" t="n"/>
      <c r="E5" s="38" t="n"/>
      <c r="F5" s="38" t="n"/>
      <c r="G5" s="38" t="n"/>
      <c r="H5" s="38" t="n"/>
      <c r="I5" s="38" t="n"/>
      <c r="J5" s="38" t="n"/>
      <c r="K5" s="38" t="n"/>
      <c r="L5" s="38" t="n"/>
      <c r="M5" s="38" t="n"/>
      <c r="N5" s="38" t="n"/>
      <c r="O5" s="38" t="n"/>
      <c r="P5" s="38" t="n"/>
      <c r="Q5" s="38" t="n"/>
      <c r="R5" s="38" t="n"/>
      <c r="S5" s="38" t="n"/>
      <c r="T5" s="38" t="n"/>
      <c r="U5" s="38" t="n"/>
      <c r="V5" s="38" t="n"/>
      <c r="W5" s="38" t="n"/>
      <c r="X5" s="38" t="n"/>
      <c r="Y5" s="38" t="n"/>
      <c r="Z5" s="38" t="n"/>
      <c r="AA5" s="38" t="n"/>
      <c r="AB5" s="38" t="n"/>
      <c r="AC5" s="38" t="n"/>
      <c r="AD5" s="38" t="n"/>
      <c r="AE5" s="38" t="n"/>
      <c r="AF5" s="38" t="n"/>
      <c r="AG5" s="38" t="n"/>
      <c r="AH5" s="38" t="n"/>
      <c r="AI5" s="38" t="n"/>
      <c r="AJ5" s="38" t="n"/>
      <c r="AK5" s="38" t="n"/>
      <c r="AL5" s="38" t="n"/>
      <c r="AM5" s="38" t="n"/>
      <c r="AN5" s="38" t="n"/>
      <c r="AO5" s="38" t="n"/>
      <c r="AP5" s="38" t="n"/>
      <c r="AQ5" s="38" t="n"/>
      <c r="AR5" s="38" t="n"/>
      <c r="AS5" s="38" t="n"/>
      <c r="AT5" s="38" t="n"/>
      <c r="AU5" s="38" t="n"/>
      <c r="AV5" s="38" t="n"/>
      <c r="AW5" s="38" t="n"/>
      <c r="AX5" s="38" t="n"/>
      <c r="AY5" s="38" t="n"/>
      <c r="AZ5" s="38" t="n"/>
      <c r="BA5" s="38" t="n"/>
      <c r="BB5" s="38" t="n"/>
      <c r="BC5" s="38" t="n"/>
      <c r="BD5" s="38" t="n"/>
      <c r="BE5" s="38" t="n"/>
      <c r="BF5" s="38" t="n"/>
      <c r="BG5" s="38" t="n"/>
      <c r="BH5" s="38" t="n"/>
      <c r="BI5" s="38" t="n"/>
      <c r="BJ5" s="38" t="n"/>
      <c r="BK5" s="38" t="n"/>
    </row>
    <row r="6" ht="13" customHeight="1">
      <c r="C6" s="39" t="inlineStr">
        <is>
          <r>
            <rPr>
              <rFont val="맑은 고딕"/>
              <color rgb="00677789"/>
              <sz val="8"/>
            </rPr>
            <t xml:space="preserve">· </t>
          </r>
          <r>
            <rPr>
              <rFont val="맑은 고딕"/>
              <b val="1"/>
              <color rgb="001F3A5F"/>
              <sz val="8"/>
            </rPr>
            <t>1_장비도면_라이브러리.xlsx</t>
          </r>
          <r>
            <rPr>
              <rFont val="맑은 고딕"/>
              <color rgb="001E2A36"/>
              <sz val="8"/>
            </rPr>
            <t xml:space="preserve">  사용법 · 기준 · 부품 · 빈 양식 21종 · 작성 예시 14종</t>
          </r>
        </is>
      </c>
    </row>
    <row r="7" ht="13" customHeight="1">
      <c r="C7" s="39" t="inlineStr">
        <is>
          <r>
            <rPr>
              <rFont val="맑은 고딕"/>
              <color rgb="00677789"/>
              <sz val="8"/>
            </rPr>
            <t xml:space="preserve">· </t>
          </r>
          <r>
            <rPr>
              <rFont val="맑은 고딕"/>
              <b val="1"/>
              <color rgb="001F3A5F"/>
              <sz val="8"/>
            </rPr>
            <t>2_랙예시_DC1-R02.xlsx</t>
          </r>
          <r>
            <rPr>
              <rFont val="맑은 고딕"/>
              <color rgb="001E2A36"/>
              <sz val="8"/>
            </rPr>
            <t xml:space="preserve">  랙 1대를 파일 1개로 관리하는 예 (랙 실장도 + 장비 시트 16개, 케이블 라벨 양쪽 일치)</t>
          </r>
        </is>
      </c>
    </row>
    <row r="8" ht="13" customHeight="1">
      <c r="C8" s="39" t="inlineStr">
        <is>
          <r>
            <rPr>
              <rFont val="맑은 고딕"/>
              <color rgb="00677789"/>
              <sz val="8"/>
            </rPr>
            <t xml:space="preserve">· </t>
          </r>
          <r>
            <rPr>
              <rFont val="맑은 고딕"/>
              <b val="1"/>
              <color rgb="001F3A5F"/>
              <sz val="8"/>
            </rPr>
            <t>3_랙_빈양식.xlsx</t>
          </r>
          <r>
            <rPr>
              <rFont val="맑은 고딕"/>
              <color rgb="001E2A36"/>
              <sz val="8"/>
            </rPr>
            <t xml:space="preserve">  새 랙 파일을 만들 때 복사해서 시작</t>
          </r>
        </is>
      </c>
    </row>
    <row r="9" ht="13" customHeight="1">
      <c r="C9" s="39" t="inlineStr">
        <is>
          <r>
            <rPr>
              <rFont val="맑은 고딕"/>
              <color rgb="00677789"/>
              <sz val="8"/>
            </rPr>
            <t xml:space="preserve">· </t>
          </r>
          <r>
            <rPr>
              <rFont val="맑은 고딕"/>
              <b val="1"/>
              <color rgb="001E2A36"/>
              <sz val="8"/>
            </rPr>
            <t>탭 색</t>
          </r>
          <r>
            <rPr>
              <rFont val="맑은 고딕"/>
              <color rgb="001E2A36"/>
              <sz val="8"/>
            </rPr>
            <t xml:space="preserve">  회색 = 안내   주황 = 부품   파랑 = 빈 양식(양식-)   초록 = 작성 예시(예시-)</t>
          </r>
        </is>
      </c>
    </row>
    <row r="10" ht="12" customHeight="1"/>
    <row r="11" ht="15" customHeight="1">
      <c r="B11" s="36" t="n">
        <v>1</v>
      </c>
      <c r="C11" s="37" t="inlineStr">
        <is>
          <t xml:space="preserve">  새 장비 시트 만들기 — 6단계</t>
        </is>
      </c>
      <c r="D11" s="38" t="n"/>
      <c r="E11" s="38" t="n"/>
      <c r="F11" s="38" t="n"/>
      <c r="G11" s="38" t="n"/>
      <c r="H11" s="38" t="n"/>
      <c r="I11" s="38" t="n"/>
      <c r="J11" s="38" t="n"/>
      <c r="K11" s="38" t="n"/>
      <c r="L11" s="38" t="n"/>
      <c r="M11" s="38" t="n"/>
      <c r="N11" s="38" t="n"/>
      <c r="O11" s="38" t="n"/>
      <c r="P11" s="38" t="n"/>
      <c r="Q11" s="38" t="n"/>
      <c r="R11" s="38" t="n"/>
      <c r="S11" s="38" t="n"/>
      <c r="T11" s="38" t="n"/>
      <c r="U11" s="38" t="n"/>
      <c r="V11" s="38" t="n"/>
      <c r="W11" s="38" t="n"/>
      <c r="X11" s="38" t="n"/>
      <c r="Y11" s="38" t="n"/>
      <c r="Z11" s="38" t="n"/>
      <c r="AA11" s="38" t="n"/>
      <c r="AB11" s="38" t="n"/>
      <c r="AC11" s="38" t="n"/>
      <c r="AD11" s="38" t="n"/>
      <c r="AE11" s="38" t="n"/>
      <c r="AF11" s="38" t="n"/>
      <c r="AG11" s="38" t="n"/>
      <c r="AH11" s="38" t="n"/>
      <c r="AI11" s="38" t="n"/>
      <c r="AJ11" s="38" t="n"/>
      <c r="AK11" s="38" t="n"/>
      <c r="AL11" s="38" t="n"/>
      <c r="AM11" s="38" t="n"/>
      <c r="AN11" s="38" t="n"/>
      <c r="AO11" s="38" t="n"/>
      <c r="AP11" s="38" t="n"/>
      <c r="AQ11" s="38" t="n"/>
      <c r="AR11" s="38" t="n"/>
      <c r="AS11" s="38" t="n"/>
      <c r="AT11" s="38" t="n"/>
      <c r="AU11" s="38" t="n"/>
      <c r="AV11" s="38" t="n"/>
      <c r="AW11" s="38" t="n"/>
      <c r="AX11" s="38" t="n"/>
      <c r="AY11" s="38" t="n"/>
      <c r="AZ11" s="38" t="n"/>
      <c r="BA11" s="38" t="n"/>
      <c r="BB11" s="38" t="n"/>
      <c r="BC11" s="38" t="n"/>
      <c r="BD11" s="38" t="n"/>
      <c r="BE11" s="38" t="n"/>
      <c r="BF11" s="38" t="n"/>
      <c r="BG11" s="38" t="n"/>
      <c r="BH11" s="38" t="n"/>
      <c r="BI11" s="38" t="n"/>
      <c r="BJ11" s="38" t="n"/>
      <c r="BK11" s="38" t="n"/>
    </row>
    <row r="12" ht="13" customHeight="1">
      <c r="C12" s="40" t="n">
        <v>1</v>
      </c>
      <c r="D12" s="39" t="inlineStr">
        <is>
          <r>
            <rPr>
              <rFont val="맑은 고딕"/>
              <color rgb="00677789"/>
              <sz val="8"/>
            </rPr>
            <t>  </t>
          </r>
          <r>
            <rPr>
              <rFont val="맑은 고딕"/>
              <color rgb="001E2A36"/>
              <sz val="8"/>
            </rPr>
            <t xml:space="preserve">가장 비슷한 </t>
          </r>
          <r>
            <rPr>
              <rFont val="맑은 고딕"/>
              <b val="1"/>
              <color rgb="001F3A5F"/>
              <sz val="8"/>
            </rPr>
            <t>예시-</t>
          </r>
          <r>
            <rPr>
              <rFont val="맑은 고딕"/>
              <color rgb="001E2A36"/>
              <sz val="8"/>
            </rPr>
            <t xml:space="preserve"> 또는 </t>
          </r>
          <r>
            <rPr>
              <rFont val="맑은 고딕"/>
              <b val="1"/>
              <color rgb="001F3A5F"/>
              <sz val="8"/>
            </rPr>
            <t>양식-</t>
          </r>
          <r>
            <rPr>
              <rFont val="맑은 고딕"/>
              <color rgb="001E2A36"/>
              <sz val="8"/>
            </rPr>
            <t xml:space="preserve"> 시트 탭 우클릭 → [이동/복사] → 대상 파일(랙 파일) 선택 → [복사본 만들기] 체크 → 확인</t>
          </r>
        </is>
      </c>
    </row>
    <row r="13" ht="13" customHeight="1">
      <c r="C13" s="40" t="n">
        <v>2</v>
      </c>
      <c r="D13" s="39" t="inlineStr">
        <is>
          <r>
            <rPr>
              <rFont val="맑은 고딕"/>
              <color rgb="00677789"/>
              <sz val="8"/>
            </rPr>
            <t>  </t>
          </r>
          <r>
            <rPr>
              <rFont val="맑은 고딕"/>
              <color rgb="001E2A36"/>
              <sz val="8"/>
            </rPr>
            <t xml:space="preserve">시트 이름 바꾸기: 탭 더블클릭 → </t>
          </r>
          <r>
            <rPr>
              <rFont val="Consolas"/>
              <color rgb="001E2A36"/>
              <sz val="8"/>
            </rPr>
            <t>U20 SRV-01</t>
          </r>
          <r>
            <rPr>
              <rFont val="맑은 고딕"/>
              <color rgb="001E2A36"/>
              <sz val="8"/>
            </rPr>
            <t xml:space="preserve"> 처럼 U 위치 + 장비명</t>
          </r>
        </is>
      </c>
    </row>
    <row r="14" ht="13" customHeight="1">
      <c r="C14" s="40" t="n">
        <v>3</v>
      </c>
      <c r="D14" s="39" t="inlineStr">
        <is>
          <r>
            <rPr>
              <rFont val="맑은 고딕"/>
              <color rgb="00677789"/>
              <sz val="8"/>
            </rPr>
            <t>  </t>
          </r>
          <r>
            <rPr>
              <rFont val="맑은 고딕"/>
              <color rgb="001E2A36"/>
              <sz val="8"/>
            </rPr>
            <t>1~2행 머리글 입력: 장비명 · 모델 · 설치 위치 · 랙·U · 구분 · 시리얼 · 관리 IP · 작성일</t>
          </r>
        </is>
      </c>
    </row>
    <row r="15" ht="13" customHeight="1">
      <c r="C15" s="40" t="n">
        <v>4</v>
      </c>
      <c r="D15" s="39" t="inlineStr">
        <is>
          <r>
            <rPr>
              <rFont val="맑은 고딕"/>
              <color rgb="00677789"/>
              <sz val="8"/>
            </rPr>
            <t>  </t>
          </r>
          <r>
            <rPr>
              <rFont val="맑은 고딕"/>
              <color rgb="001E2A36"/>
              <sz val="8"/>
            </rPr>
            <t xml:space="preserve">부품 바꾸기: [부품] 시트에서 부품 범위 복사 → 장비 시트에서 놓을 자리의 </t>
          </r>
          <r>
            <rPr>
              <rFont val="맑은 고딕"/>
              <b val="1"/>
              <color rgb="001E2A36"/>
              <sz val="8"/>
            </rPr>
            <t>왼쪽 위 칸</t>
          </r>
          <r>
            <rPr>
              <rFont val="맑은 고딕"/>
              <color rgb="001E2A36"/>
              <sz val="8"/>
            </rPr>
            <t xml:space="preserve"> 클릭 → 붙여넣기 (같은 크기면 그대로 덮어써짐)</t>
          </r>
        </is>
      </c>
    </row>
    <row r="16" ht="13" customHeight="1">
      <c r="C16" s="40" t="n">
        <v>5</v>
      </c>
      <c r="D16" s="39" t="inlineStr">
        <is>
          <r>
            <rPr>
              <rFont val="맑은 고딕"/>
              <color rgb="00677789"/>
              <sz val="8"/>
            </rPr>
            <t>  </t>
          </r>
          <r>
            <rPr>
              <rFont val="맑은 고딕"/>
              <color rgb="001E2A36"/>
              <sz val="8"/>
            </rPr>
            <t xml:space="preserve">연결된 포트 칸에 </t>
          </r>
          <r>
            <rPr>
              <rFont val="맑은 고딕"/>
              <b val="1"/>
              <color rgb="001E2A36"/>
              <sz val="8"/>
            </rPr>
            <t>도면 번호</t>
          </r>
          <r>
            <rPr>
              <rFont val="맑은 고딕"/>
              <color rgb="001E2A36"/>
              <sz val="8"/>
            </rPr>
            <t xml:space="preserve"> (1, 2, 3 …) 입력 → [홈 &gt; 셀 스타일]에서 '포트 서비스' 등 용도 색 선택</t>
          </r>
        </is>
      </c>
    </row>
    <row r="17" ht="13" customHeight="1">
      <c r="C17" s="40" t="n">
        <v>6</v>
      </c>
      <c r="D17" s="39" t="inlineStr">
        <is>
          <r>
            <rPr>
              <rFont val="맑은 고딕"/>
              <color rgb="00677789"/>
              <sz val="8"/>
            </rPr>
            <t>  </t>
          </r>
          <r>
            <rPr>
              <rFont val="맑은 고딕"/>
              <color rgb="001E2A36"/>
              <sz val="8"/>
            </rPr>
            <t xml:space="preserve">아래 표에 번호별 정보 입력 (용도·면은 목록 선택) → </t>
          </r>
          <r>
            <rPr>
              <rFont val="맑은 고딕"/>
              <b val="1"/>
              <color rgb="001E2A36"/>
              <sz val="8"/>
            </rPr>
            <t>번호 칸이 분홍색</t>
          </r>
          <r>
            <rPr>
              <rFont val="맑은 고딕"/>
              <color rgb="001E2A36"/>
              <sz val="8"/>
            </rPr>
            <t>이면 도면에 그 번호가 없거나 두 번 이상 있음</t>
          </r>
        </is>
      </c>
    </row>
    <row r="18" ht="12" customHeight="1"/>
    <row r="19" ht="15" customHeight="1">
      <c r="B19" s="36" t="n">
        <v>2</v>
      </c>
      <c r="C19" s="37" t="inlineStr">
        <is>
          <t xml:space="preserve">  부품 다루기</t>
        </is>
      </c>
      <c r="D19" s="38" t="n"/>
      <c r="E19" s="38" t="n"/>
      <c r="F19" s="38" t="n"/>
      <c r="G19" s="38" t="n"/>
      <c r="H19" s="38" t="n"/>
      <c r="I19" s="38" t="n"/>
      <c r="J19" s="38" t="n"/>
      <c r="K19" s="38" t="n"/>
      <c r="L19" s="38" t="n"/>
      <c r="M19" s="38" t="n"/>
      <c r="N19" s="38" t="n"/>
      <c r="O19" s="38" t="n"/>
      <c r="P19" s="38" t="n"/>
      <c r="Q19" s="38" t="n"/>
      <c r="R19" s="38" t="n"/>
      <c r="S19" s="38" t="n"/>
      <c r="T19" s="38" t="n"/>
      <c r="U19" s="38" t="n"/>
      <c r="V19" s="38" t="n"/>
      <c r="W19" s="38" t="n"/>
      <c r="X19" s="38" t="n"/>
      <c r="Y19" s="38" t="n"/>
      <c r="Z19" s="38" t="n"/>
      <c r="AA19" s="38" t="n"/>
      <c r="AB19" s="38" t="n"/>
      <c r="AC19" s="38" t="n"/>
      <c r="AD19" s="38" t="n"/>
      <c r="AE19" s="38" t="n"/>
      <c r="AF19" s="38" t="n"/>
      <c r="AG19" s="38" t="n"/>
      <c r="AH19" s="38" t="n"/>
      <c r="AI19" s="38" t="n"/>
      <c r="AJ19" s="38" t="n"/>
      <c r="AK19" s="38" t="n"/>
      <c r="AL19" s="38" t="n"/>
      <c r="AM19" s="38" t="n"/>
      <c r="AN19" s="38" t="n"/>
      <c r="AO19" s="38" t="n"/>
      <c r="AP19" s="38" t="n"/>
      <c r="AQ19" s="38" t="n"/>
      <c r="AR19" s="38" t="n"/>
      <c r="AS19" s="38" t="n"/>
      <c r="AT19" s="38" t="n"/>
      <c r="AU19" s="38" t="n"/>
      <c r="AV19" s="38" t="n"/>
      <c r="AW19" s="38" t="n"/>
      <c r="AX19" s="38" t="n"/>
      <c r="AY19" s="38" t="n"/>
      <c r="AZ19" s="38" t="n"/>
      <c r="BA19" s="38" t="n"/>
      <c r="BB19" s="38" t="n"/>
      <c r="BC19" s="38" t="n"/>
      <c r="BD19" s="38" t="n"/>
      <c r="BE19" s="38" t="n"/>
      <c r="BF19" s="38" t="n"/>
      <c r="BG19" s="38" t="n"/>
      <c r="BH19" s="38" t="n"/>
      <c r="BI19" s="38" t="n"/>
      <c r="BJ19" s="38" t="n"/>
      <c r="BK19" s="38" t="n"/>
    </row>
    <row r="20" ht="13" customHeight="1">
      <c r="C20" s="39" t="inlineStr">
        <is>
          <r>
            <rPr>
              <rFont val="맑은 고딕"/>
              <color rgb="00677789"/>
              <sz val="8"/>
            </rPr>
            <t xml:space="preserve">· </t>
          </r>
          <r>
            <rPr>
              <rFont val="맑은 고딕"/>
              <b val="1"/>
              <color rgb="001E2A36"/>
              <sz val="8"/>
            </rPr>
            <t>교체</t>
          </r>
          <r>
            <rPr>
              <rFont val="맑은 고딕"/>
              <color rgb="001E2A36"/>
              <sz val="8"/>
            </rPr>
            <t>: 슬롯 모듈은 19칸(1/3 폭) · 29칸(1/2 폭)으로 크기가 통일 → 같은 크기 부품을 그 자리에 붙이면 끝</t>
          </r>
        </is>
      </c>
    </row>
    <row r="21" ht="13" customHeight="1">
      <c r="C21" s="39" t="inlineStr">
        <is>
          <r>
            <rPr>
              <rFont val="맑은 고딕"/>
              <color rgb="00677789"/>
              <sz val="8"/>
            </rPr>
            <t xml:space="preserve">· </t>
          </r>
          <r>
            <rPr>
              <rFont val="맑은 고딕"/>
              <b val="1"/>
              <color rgb="001E2A36"/>
              <sz val="8"/>
            </rPr>
            <t>삭제</t>
          </r>
          <r>
            <rPr>
              <rFont val="맑은 고딕"/>
              <color rgb="001E2A36"/>
              <sz val="8"/>
            </rPr>
            <t>: 범위 선택 → [홈 &gt; 지우기 &gt; 모두 지우기]  (Delete 키는 글자만 지움) — 장비 바탕이 흰색이라 지운 자리가 자연스러움</t>
          </r>
        </is>
      </c>
    </row>
    <row r="22" ht="13" customHeight="1">
      <c r="C22" s="39" t="inlineStr">
        <is>
          <r>
            <rPr>
              <rFont val="맑은 고딕"/>
              <color rgb="00677789"/>
              <sz val="8"/>
            </rPr>
            <t xml:space="preserve">· </t>
          </r>
          <r>
            <rPr>
              <rFont val="맑은 고딕"/>
              <b val="1"/>
              <color rgb="001E2A36"/>
              <sz val="8"/>
            </rPr>
            <t>포트 색</t>
          </r>
          <r>
            <rPr>
              <rFont val="맑은 고딕"/>
              <color rgb="001E2A36"/>
              <sz val="8"/>
            </rPr>
            <t>: 포트 칸 선택 → 셀 스타일 클릭 (테두리는 그대로). 되돌리기 = '포트 미연결'</t>
          </r>
        </is>
      </c>
    </row>
    <row r="23" ht="13" customHeight="1">
      <c r="C23" s="39" t="inlineStr">
        <is>
          <r>
            <rPr>
              <rFont val="맑은 고딕"/>
              <color rgb="00677789"/>
              <sz val="8"/>
            </rPr>
            <t xml:space="preserve">· </t>
          </r>
          <r>
            <rPr>
              <rFont val="맑은 고딕"/>
              <b val="1"/>
              <color rgb="001E2A36"/>
              <sz val="8"/>
            </rPr>
            <t>포트 늘리기</t>
          </r>
          <r>
            <rPr>
              <rFont val="맑은 고딕"/>
              <color rgb="001E2A36"/>
              <sz val="8"/>
            </rPr>
            <t xml:space="preserve">: 옆 포트와 아래 포트명 칸을 함께 복사해 붙이기.  </t>
          </r>
          <r>
            <rPr>
              <rFont val="맑은 고딕"/>
              <b val="1"/>
              <color rgb="001E2A36"/>
              <sz val="8"/>
            </rPr>
            <t>연속 번호</t>
          </r>
          <r>
            <rPr>
              <rFont val="맑은 고딕"/>
              <color rgb="001E2A36"/>
              <sz val="8"/>
            </rPr>
            <t>: 1, 2 입력 → 두 칸 선택 → 채우기 핸들 끌기</t>
          </r>
        </is>
      </c>
    </row>
    <row r="24" ht="13" customHeight="1">
      <c r="C24" s="39" t="inlineStr">
        <is>
          <r>
            <rPr>
              <rFont val="맑은 고딕"/>
              <color rgb="00677789"/>
              <sz val="8"/>
            </rPr>
            <t xml:space="preserve">· </t>
          </r>
          <r>
            <rPr>
              <rFont val="맑은 고딕"/>
              <b val="1"/>
              <color rgb="001E2A36"/>
              <sz val="8"/>
            </rPr>
            <t>크기가 없는 모듈</t>
          </r>
          <r>
            <rPr>
              <rFont val="맑은 고딕"/>
              <color rgb="001E2A36"/>
              <sz val="8"/>
            </rPr>
            <t>: 범위 선택 → 셀 스타일 '모듈 채움' → [테두리 &gt; 바깥쪽 테두리]  (선 색 회색)</t>
          </r>
        </is>
      </c>
    </row>
    <row r="25" ht="13" customHeight="1">
      <c r="C25" s="39" t="inlineStr">
        <is>
          <r>
            <rPr>
              <rFont val="맑은 고딕"/>
              <color rgb="00677789"/>
              <sz val="8"/>
            </rPr>
            <t xml:space="preserve">· </t>
          </r>
          <r>
            <rPr>
              <rFont val="맑은 고딕"/>
              <b val="1"/>
              <color rgb="001E2A36"/>
              <sz val="8"/>
            </rPr>
            <t>열 너비 · 행 높이는 바꾸지 않기</t>
          </r>
          <r>
            <rPr>
              <rFont val="맑은 고딕"/>
              <color rgb="001E2A36"/>
              <sz val="8"/>
            </rPr>
            <t xml:space="preserve"> — 모든 시트가 같은 격자(1칸 ≈ 4.2mm)라서 어디에 붙여도 크기가 같음</t>
          </r>
        </is>
      </c>
    </row>
    <row r="26" ht="12" customHeight="1"/>
    <row r="27" ht="15" customHeight="1">
      <c r="B27" s="36" t="n">
        <v>3</v>
      </c>
      <c r="C27" s="37" t="inlineStr">
        <is>
          <t xml:space="preserve">  디스크 · 빈 칸 · RAID</t>
        </is>
      </c>
      <c r="D27" s="38" t="n"/>
      <c r="E27" s="38" t="n"/>
      <c r="F27" s="38" t="n"/>
      <c r="G27" s="38" t="n"/>
      <c r="H27" s="38" t="n"/>
      <c r="I27" s="38" t="n"/>
      <c r="J27" s="38" t="n"/>
      <c r="K27" s="38" t="n"/>
      <c r="L27" s="38" t="n"/>
      <c r="M27" s="38" t="n"/>
      <c r="N27" s="38" t="n"/>
      <c r="O27" s="38" t="n"/>
      <c r="P27" s="38" t="n"/>
      <c r="Q27" s="38" t="n"/>
      <c r="R27" s="38" t="n"/>
      <c r="S27" s="38" t="n"/>
      <c r="T27" s="38" t="n"/>
      <c r="U27" s="38" t="n"/>
      <c r="V27" s="38" t="n"/>
      <c r="W27" s="38" t="n"/>
      <c r="X27" s="38" t="n"/>
      <c r="Y27" s="38" t="n"/>
      <c r="Z27" s="38" t="n"/>
      <c r="AA27" s="38" t="n"/>
      <c r="AB27" s="38" t="n"/>
      <c r="AC27" s="38" t="n"/>
      <c r="AD27" s="38" t="n"/>
      <c r="AE27" s="38" t="n"/>
      <c r="AF27" s="38" t="n"/>
      <c r="AG27" s="38" t="n"/>
      <c r="AH27" s="38" t="n"/>
      <c r="AI27" s="38" t="n"/>
      <c r="AJ27" s="38" t="n"/>
      <c r="AK27" s="38" t="n"/>
      <c r="AL27" s="38" t="n"/>
      <c r="AM27" s="38" t="n"/>
      <c r="AN27" s="38" t="n"/>
      <c r="AO27" s="38" t="n"/>
      <c r="AP27" s="38" t="n"/>
      <c r="AQ27" s="38" t="n"/>
      <c r="AR27" s="38" t="n"/>
      <c r="AS27" s="38" t="n"/>
      <c r="AT27" s="38" t="n"/>
      <c r="AU27" s="38" t="n"/>
      <c r="AV27" s="38" t="n"/>
      <c r="AW27" s="38" t="n"/>
      <c r="AX27" s="38" t="n"/>
      <c r="AY27" s="38" t="n"/>
      <c r="AZ27" s="38" t="n"/>
      <c r="BA27" s="38" t="n"/>
      <c r="BB27" s="38" t="n"/>
      <c r="BC27" s="38" t="n"/>
      <c r="BD27" s="38" t="n"/>
      <c r="BE27" s="38" t="n"/>
      <c r="BF27" s="38" t="n"/>
      <c r="BG27" s="38" t="n"/>
      <c r="BH27" s="38" t="n"/>
      <c r="BI27" s="38" t="n"/>
      <c r="BJ27" s="38" t="n"/>
      <c r="BK27" s="38" t="n"/>
    </row>
    <row r="28" ht="13" customHeight="1">
      <c r="C28" s="39" t="inlineStr">
        <is>
          <r>
            <rPr>
              <rFont val="맑은 고딕"/>
              <color rgb="00677789"/>
              <sz val="8"/>
            </rPr>
            <t xml:space="preserve">· </t>
          </r>
          <r>
            <rPr>
              <rFont val="맑은 고딕"/>
              <b val="1"/>
              <color rgb="001E2A36"/>
              <sz val="8"/>
            </rPr>
            <t>디스크 칸 안 작은 글씨 = 용량 · 종류</t>
          </r>
          <r>
            <rPr>
              <rFont val="맑은 고딕"/>
              <color rgb="001E2A36"/>
              <sz val="8"/>
            </rPr>
            <t xml:space="preserve"> (예: 1.92T SSD). 한 칸에 입력 → 그 디스크 칸 복사 → 다른 디스크 칸들을 한꺼번에 선택해 붙여넣기 (베이 번호는 디스크 칸 밖이라 그대로)</t>
          </r>
        </is>
      </c>
    </row>
    <row r="29" ht="13" customHeight="1">
      <c r="C29" s="39" t="inlineStr">
        <is>
          <r>
            <rPr>
              <rFont val="맑은 고딕"/>
              <color rgb="00677789"/>
              <sz val="8"/>
            </rPr>
            <t xml:space="preserve">· </t>
          </r>
          <r>
            <rPr>
              <rFont val="맑은 고딕"/>
              <b val="1"/>
              <color rgb="001E2A36"/>
              <sz val="8"/>
            </rPr>
            <t>디스크 넣기 · 빼기</t>
          </r>
          <r>
            <rPr>
              <rFont val="맑은 고딕"/>
              <color rgb="001E2A36"/>
              <sz val="8"/>
            </rPr>
            <t>: 디스크 칸 선택 → 셀 스타일 '디스크 장착' / '디스크 빈칸' → 용량 또는 '빈' 입력</t>
          </r>
        </is>
      </c>
    </row>
    <row r="30" ht="13" customHeight="1">
      <c r="C30" s="39" t="inlineStr">
        <is>
          <r>
            <rPr>
              <rFont val="맑은 고딕"/>
              <color rgb="00677789"/>
              <sz val="8"/>
            </rPr>
            <t xml:space="preserve">· </t>
          </r>
          <r>
            <rPr>
              <rFont val="맑은 고딕"/>
              <b val="1"/>
              <color rgb="001E2A36"/>
              <sz val="8"/>
            </rPr>
            <t>RAID 묶음</t>
          </r>
          <r>
            <rPr>
              <rFont val="맑은 고딕"/>
              <color rgb="001E2A36"/>
              <sz val="8"/>
            </rPr>
            <t xml:space="preserve">: 묶을 디스크 범위 선택 → [테두리 ▾ &gt; 굵은 바깥쪽 테두리] → 바로 아래(또는 위) 빈 줄에 </t>
          </r>
          <r>
            <rPr>
              <rFont val="Consolas"/>
              <color rgb="001E2A36"/>
              <sz val="8"/>
            </rPr>
            <t>RAID5 · DATA</t>
          </r>
          <r>
            <rPr>
              <rFont val="맑은 고딕"/>
              <color rgb="001E2A36"/>
              <sz val="8"/>
            </rPr>
            <t xml:space="preserve"> 입력 → 셀 스타일 'RAID 표시'</t>
          </r>
        </is>
      </c>
    </row>
    <row r="31" ht="13" customHeight="1">
      <c r="C31" s="39" t="inlineStr">
        <is>
          <r>
            <rPr>
              <rFont val="맑은 고딕"/>
              <color rgb="00677789"/>
              <sz val="8"/>
            </rPr>
            <t xml:space="preserve">· </t>
          </r>
          <r>
            <rPr>
              <rFont val="맑은 고딕"/>
              <b val="1"/>
              <color rgb="001E2A36"/>
              <sz val="8"/>
            </rPr>
            <t>비어 있음도 기록</t>
          </r>
          <r>
            <rPr>
              <rFont val="맑은 고딕"/>
              <color rgb="001E2A36"/>
              <sz val="8"/>
            </rPr>
            <t>: 빈 슬롯 = 점선 모듈 '빈 슬롯' · 빈 베이 = 흰 칸 '빈'. 디스크를 한 개씩 표로 만들 필요는 없음</t>
          </r>
        </is>
      </c>
    </row>
    <row r="32" ht="12" customHeight="1"/>
    <row r="33" ht="15" customHeight="1">
      <c r="B33" s="36" t="n">
        <v>4</v>
      </c>
      <c r="C33" s="37" t="inlineStr">
        <is>
          <t xml:space="preserve">  도면 번호 · 포트명 · 케이블 라벨 — 서로 다른 세 가지</t>
        </is>
      </c>
      <c r="D33" s="38" t="n"/>
      <c r="E33" s="38" t="n"/>
      <c r="F33" s="38" t="n"/>
      <c r="G33" s="38" t="n"/>
      <c r="H33" s="38" t="n"/>
      <c r="I33" s="38" t="n"/>
      <c r="J33" s="38" t="n"/>
      <c r="K33" s="38" t="n"/>
      <c r="L33" s="38" t="n"/>
      <c r="M33" s="38" t="n"/>
      <c r="N33" s="38" t="n"/>
      <c r="O33" s="38" t="n"/>
      <c r="P33" s="38" t="n"/>
      <c r="Q33" s="38" t="n"/>
      <c r="R33" s="38" t="n"/>
      <c r="S33" s="38" t="n"/>
      <c r="T33" s="38" t="n"/>
      <c r="U33" s="38" t="n"/>
      <c r="V33" s="38" t="n"/>
      <c r="W33" s="38" t="n"/>
      <c r="X33" s="38" t="n"/>
      <c r="Y33" s="38" t="n"/>
      <c r="Z33" s="38" t="n"/>
      <c r="AA33" s="38" t="n"/>
      <c r="AB33" s="38" t="n"/>
      <c r="AC33" s="38" t="n"/>
      <c r="AD33" s="38" t="n"/>
      <c r="AE33" s="38" t="n"/>
      <c r="AF33" s="38" t="n"/>
      <c r="AG33" s="38" t="n"/>
      <c r="AH33" s="38" t="n"/>
      <c r="AI33" s="38" t="n"/>
      <c r="AJ33" s="38" t="n"/>
      <c r="AK33" s="38" t="n"/>
      <c r="AL33" s="38" t="n"/>
      <c r="AM33" s="38" t="n"/>
      <c r="AN33" s="38" t="n"/>
      <c r="AO33" s="38" t="n"/>
      <c r="AP33" s="38" t="n"/>
      <c r="AQ33" s="38" t="n"/>
      <c r="AR33" s="38" t="n"/>
      <c r="AS33" s="38" t="n"/>
      <c r="AT33" s="38" t="n"/>
      <c r="AU33" s="38" t="n"/>
      <c r="AV33" s="38" t="n"/>
      <c r="AW33" s="38" t="n"/>
      <c r="AX33" s="38" t="n"/>
      <c r="AY33" s="38" t="n"/>
      <c r="AZ33" s="38" t="n"/>
      <c r="BA33" s="38" t="n"/>
      <c r="BB33" s="38" t="n"/>
      <c r="BC33" s="38" t="n"/>
      <c r="BD33" s="38" t="n"/>
      <c r="BE33" s="38" t="n"/>
      <c r="BF33" s="38" t="n"/>
      <c r="BG33" s="38" t="n"/>
      <c r="BH33" s="38" t="n"/>
      <c r="BI33" s="38" t="n"/>
      <c r="BJ33" s="38" t="n"/>
      <c r="BK33" s="38" t="n"/>
    </row>
    <row r="34" ht="14" customHeight="1">
      <c r="C34" s="36" t="n">
        <v>7</v>
      </c>
      <c r="D34" s="28" t="inlineStr">
        <is>
          <t>도면 번호</t>
        </is>
      </c>
      <c r="H34" s="41" t="inlineStr">
        <is>
          <t>LOM1</t>
        </is>
      </c>
      <c r="J34" s="28" t="inlineStr">
        <is>
          <t>포트명(장비 표기)</t>
        </is>
      </c>
      <c r="P34" s="42" t="inlineStr">
        <is>
          <t>A-0001</t>
        </is>
      </c>
      <c r="Q34" s="21" t="n"/>
      <c r="R34" s="21" t="n"/>
      <c r="S34" s="21" t="n"/>
      <c r="T34" s="28" t="inlineStr">
        <is>
          <t>케이블 라벨</t>
        </is>
      </c>
    </row>
    <row r="35" ht="13" customHeight="1">
      <c r="C35" s="39" t="inlineStr">
        <is>
          <r>
            <rPr>
              <rFont val="맑은 고딕"/>
              <color rgb="00677789"/>
              <sz val="8"/>
            </rPr>
            <t xml:space="preserve">· </t>
          </r>
          <r>
            <rPr>
              <rFont val="맑은 고딕"/>
              <b val="1"/>
              <color rgb="001F3A5F"/>
              <sz val="8"/>
            </rPr>
            <t>도면 번호</t>
          </r>
          <r>
            <rPr>
              <rFont val="맑은 고딕"/>
              <color rgb="001E2A36"/>
              <sz val="8"/>
            </rPr>
            <t xml:space="preserve"> = 색 칸 안 흰 숫자. 장비 한 대 안에서 겹치지 않게 1부터, 전면 → 후면 · 위 → 아래 · 왼쪽 → 오른쪽 순서</t>
          </r>
        </is>
      </c>
    </row>
    <row r="36" ht="13" customHeight="1">
      <c r="E36" s="43" t="inlineStr">
        <is>
          <t>‣ 스위치 · 패치패널 · PDU처럼 번호가 인쇄된 장비는 인쇄된 번호를 그대로 도면 번호로 사용</t>
        </is>
      </c>
    </row>
    <row r="37" ht="13" customHeight="1">
      <c r="E37" s="43" t="inlineStr">
        <is>
          <t>‣ 슬롯마다 포트 번호가 반복되는 섀시는 슬롯 × 100 + 포트  (예: 슬롯 2의 3번 포트 = 203)</t>
        </is>
      </c>
    </row>
    <row r="38" ht="13" customHeight="1">
      <c r="C38" s="39" t="inlineStr">
        <is>
          <r>
            <rPr>
              <rFont val="맑은 고딕"/>
              <color rgb="00677789"/>
              <sz val="8"/>
            </rPr>
            <t xml:space="preserve">· </t>
          </r>
          <r>
            <rPr>
              <rFont val="맑은 고딕"/>
              <b val="1"/>
              <color rgb="001F3A5F"/>
              <sz val="8"/>
            </rPr>
            <t>포트명</t>
          </r>
          <r>
            <rPr>
              <rFont val="맑은 고딕"/>
              <color rgb="001E2A36"/>
              <sz val="8"/>
            </rPr>
            <t xml:space="preserve"> = 장비·OS에 표기된 이름 (iLO, LOM1, Eth1/21 …). 도면에서는 포트 아래 회색 작은 글씨, 표에서는 '포트명' 칸</t>
          </r>
        </is>
      </c>
    </row>
    <row r="39" ht="13" customHeight="1">
      <c r="C39" s="39" t="inlineStr">
        <is>
          <r>
            <rPr>
              <rFont val="맑은 고딕"/>
              <color rgb="00677789"/>
              <sz val="8"/>
            </rPr>
            <t xml:space="preserve">· </t>
          </r>
          <r>
            <rPr>
              <rFont val="맑은 고딕"/>
              <b val="1"/>
              <color rgb="001F3A5F"/>
              <sz val="8"/>
            </rPr>
            <t>케이블 라벨</t>
          </r>
          <r>
            <rPr>
              <rFont val="맑은 고딕"/>
              <color rgb="001E2A36"/>
              <sz val="8"/>
            </rPr>
            <t xml:space="preserve"> = 케이블에 실제로 붙이는 라벨. 표의 노란 칸에만 적고 도면에는 적지 않음. 케이블 양쪽 장비의 표에 같은 라벨</t>
          </r>
        </is>
      </c>
    </row>
    <row r="40" ht="12" customHeight="1"/>
    <row r="41" ht="15" customHeight="1">
      <c r="B41" s="36" t="n">
        <v>5</v>
      </c>
      <c r="C41" s="37" t="inlineStr">
        <is>
          <t xml:space="preserve">  앞·뒤 기준 · 여러 박스로 된 시스템 · 선반</t>
        </is>
      </c>
      <c r="D41" s="38" t="n"/>
      <c r="E41" s="38" t="n"/>
      <c r="F41" s="38" t="n"/>
      <c r="G41" s="38" t="n"/>
      <c r="H41" s="38" t="n"/>
      <c r="I41" s="38" t="n"/>
      <c r="J41" s="38" t="n"/>
      <c r="K41" s="38" t="n"/>
      <c r="L41" s="38" t="n"/>
      <c r="M41" s="38" t="n"/>
      <c r="N41" s="38" t="n"/>
      <c r="O41" s="38" t="n"/>
      <c r="P41" s="38" t="n"/>
      <c r="Q41" s="38" t="n"/>
      <c r="R41" s="38" t="n"/>
      <c r="S41" s="38" t="n"/>
      <c r="T41" s="38" t="n"/>
      <c r="U41" s="38" t="n"/>
      <c r="V41" s="38" t="n"/>
      <c r="W41" s="38" t="n"/>
      <c r="X41" s="38" t="n"/>
      <c r="Y41" s="38" t="n"/>
      <c r="Z41" s="38" t="n"/>
      <c r="AA41" s="38" t="n"/>
      <c r="AB41" s="38" t="n"/>
      <c r="AC41" s="38" t="n"/>
      <c r="AD41" s="38" t="n"/>
      <c r="AE41" s="38" t="n"/>
      <c r="AF41" s="38" t="n"/>
      <c r="AG41" s="38" t="n"/>
      <c r="AH41" s="38" t="n"/>
      <c r="AI41" s="38" t="n"/>
      <c r="AJ41" s="38" t="n"/>
      <c r="AK41" s="38" t="n"/>
      <c r="AL41" s="38" t="n"/>
      <c r="AM41" s="38" t="n"/>
      <c r="AN41" s="38" t="n"/>
      <c r="AO41" s="38" t="n"/>
      <c r="AP41" s="38" t="n"/>
      <c r="AQ41" s="38" t="n"/>
      <c r="AR41" s="38" t="n"/>
      <c r="AS41" s="38" t="n"/>
      <c r="AT41" s="38" t="n"/>
      <c r="AU41" s="38" t="n"/>
      <c r="AV41" s="38" t="n"/>
      <c r="AW41" s="38" t="n"/>
      <c r="AX41" s="38" t="n"/>
      <c r="AY41" s="38" t="n"/>
      <c r="AZ41" s="38" t="n"/>
      <c r="BA41" s="38" t="n"/>
      <c r="BB41" s="38" t="n"/>
      <c r="BC41" s="38" t="n"/>
      <c r="BD41" s="38" t="n"/>
      <c r="BE41" s="38" t="n"/>
      <c r="BF41" s="38" t="n"/>
      <c r="BG41" s="38" t="n"/>
      <c r="BH41" s="38" t="n"/>
      <c r="BI41" s="38" t="n"/>
      <c r="BJ41" s="38" t="n"/>
      <c r="BK41" s="38" t="n"/>
    </row>
    <row r="42" ht="13" customHeight="1">
      <c r="C42" s="39" t="inlineStr">
        <is>
          <r>
            <rPr>
              <rFont val="맑은 고딕"/>
              <color rgb="00677789"/>
              <sz val="8"/>
            </rPr>
            <t xml:space="preserve">· </t>
          </r>
          <r>
            <rPr>
              <rFont val="맑은 고딕"/>
              <b val="1"/>
              <color rgb="001F3A5F"/>
              <sz val="8"/>
            </rPr>
            <t>전면 = 랙 앞문 쪽에서 보이는 면</t>
          </r>
          <r>
            <rPr>
              <rFont val="맑은 고딕"/>
              <color rgb="001E2A36"/>
              <sz val="8"/>
            </rPr>
            <t xml:space="preserve"> (제조사가 부르는 앞·뒤와 달라도). 관리 포트가 앞에 있는 장비(예: Cray XD)는 전면 도면에, 뒤에 꽂는 디스크는 후면 도면에 — 부품은 어느 면에나 붙일 수 있음</t>
          </r>
        </is>
      </c>
    </row>
    <row r="43" ht="13" customHeight="1">
      <c r="C43" s="39" t="inlineStr">
        <is>
          <r>
            <rPr>
              <rFont val="맑은 고딕"/>
              <color rgb="00677789"/>
              <sz val="8"/>
            </rPr>
            <t xml:space="preserve">· </t>
          </r>
          <r>
            <rPr>
              <rFont val="맑은 고딕"/>
              <b val="1"/>
              <color rgb="001F3A5F"/>
              <sz val="8"/>
            </rPr>
            <t>여러 박스 = 한 시스템</t>
          </r>
          <r>
            <rPr>
              <rFont val="맑은 고딕"/>
              <color rgb="001E2A36"/>
              <sz val="8"/>
            </rPr>
            <t xml:space="preserve"> (본체 + I/O 드로어 · 컨트롤러 + 디스크 선반 · Superdome 2 + IOX): 박스마다 시트 1개, 랙 목록 '시스템' 칸에 같은 이름, 시트 제목 옆 배지(본체 · I/O 드로어 · 디스크 선반)</t>
          </r>
        </is>
      </c>
    </row>
    <row r="44" ht="13" customHeight="1">
      <c r="E44" s="43" t="inlineStr">
        <is>
          <t>‣ 박스 사이 케이블도 표에 한 줄씩: 드로어 광케이블 = 용도 '인터커넥트', 선반 SAS = '스토리지'. 다른 랙이면 상대 위치에 R03 U20처럼</t>
        </is>
      </c>
    </row>
    <row r="45" ht="13" customHeight="1">
      <c r="C45" s="39" t="inlineStr">
        <is>
          <r>
            <rPr>
              <rFont val="맑은 고딕"/>
              <color rgb="00677789"/>
              <sz val="8"/>
            </rPr>
            <t xml:space="preserve">· </t>
          </r>
          <r>
            <rPr>
              <rFont val="맑은 고딕"/>
              <b val="1"/>
              <color rgb="001F3A5F"/>
              <sz val="8"/>
            </rPr>
            <t>IBM Power 본체 vs I/O 드로어</t>
          </r>
          <r>
            <rPr>
              <rFont val="맑은 고딕"/>
              <color rgb="001E2A36"/>
              <sz val="8"/>
            </rPr>
            <t xml:space="preserve"> (앞 표기가 같을 때): 후면에 HMC 포트가 있으면 본체, 광케이블 포트(T1·T2)가 달린 모듈 2개 + 슬롯만 있으면 I/O 드로어 · 조작 패널(LCD)은 본체 · 드로어도 자기 시리얼이 있음</t>
          </r>
        </is>
      </c>
    </row>
    <row r="46" ht="13" customHeight="1">
      <c r="C46" s="39" t="inlineStr">
        <is>
          <r>
            <rPr>
              <rFont val="맑은 고딕"/>
              <color rgb="00677789"/>
              <sz val="8"/>
            </rPr>
            <t xml:space="preserve">· </t>
          </r>
          <r>
            <rPr>
              <rFont val="맑은 고딕"/>
              <b val="1"/>
              <color rgb="001F3A5F"/>
              <sz val="8"/>
            </rPr>
            <t>선반 · 트레이 · 소형 장비</t>
          </r>
          <r>
            <rPr>
              <rFont val="맑은 고딕"/>
              <color rgb="001E2A36"/>
              <sz val="8"/>
            </rPr>
            <t>: 랙 목록에 선반을 구분 '선반'으로 한 줄(U · 높이), 그 위 장비는 면 '선반'(실장도 · U 겹침에서 빠지고 링크는 그대로) · 도면은 [양식-소형장비] (틀 너비 = 실제 폭 mm ÷ 8칸)</t>
          </r>
        </is>
      </c>
    </row>
    <row r="47" ht="12" customHeight="1"/>
    <row r="48" ht="15" customHeight="1">
      <c r="B48" s="36" t="n">
        <v>6</v>
      </c>
      <c r="C48" s="37" t="inlineStr">
        <is>
          <t xml:space="preserve">  다른 파일로 복사</t>
        </is>
      </c>
      <c r="D48" s="38" t="n"/>
      <c r="E48" s="38" t="n"/>
      <c r="F48" s="38" t="n"/>
      <c r="G48" s="38" t="n"/>
      <c r="H48" s="38" t="n"/>
      <c r="I48" s="38" t="n"/>
      <c r="J48" s="38" t="n"/>
      <c r="K48" s="38" t="n"/>
      <c r="L48" s="38" t="n"/>
      <c r="M48" s="38" t="n"/>
      <c r="N48" s="38" t="n"/>
      <c r="O48" s="38" t="n"/>
      <c r="P48" s="38" t="n"/>
      <c r="Q48" s="38" t="n"/>
      <c r="R48" s="38" t="n"/>
      <c r="S48" s="38" t="n"/>
      <c r="T48" s="38" t="n"/>
      <c r="U48" s="38" t="n"/>
      <c r="V48" s="38" t="n"/>
      <c r="W48" s="38" t="n"/>
      <c r="X48" s="38" t="n"/>
      <c r="Y48" s="38" t="n"/>
      <c r="Z48" s="38" t="n"/>
      <c r="AA48" s="38" t="n"/>
      <c r="AB48" s="38" t="n"/>
      <c r="AC48" s="38" t="n"/>
      <c r="AD48" s="38" t="n"/>
      <c r="AE48" s="38" t="n"/>
      <c r="AF48" s="38" t="n"/>
      <c r="AG48" s="38" t="n"/>
      <c r="AH48" s="38" t="n"/>
      <c r="AI48" s="38" t="n"/>
      <c r="AJ48" s="38" t="n"/>
      <c r="AK48" s="38" t="n"/>
      <c r="AL48" s="38" t="n"/>
      <c r="AM48" s="38" t="n"/>
      <c r="AN48" s="38" t="n"/>
      <c r="AO48" s="38" t="n"/>
      <c r="AP48" s="38" t="n"/>
      <c r="AQ48" s="38" t="n"/>
      <c r="AR48" s="38" t="n"/>
      <c r="AS48" s="38" t="n"/>
      <c r="AT48" s="38" t="n"/>
      <c r="AU48" s="38" t="n"/>
      <c r="AV48" s="38" t="n"/>
      <c r="AW48" s="38" t="n"/>
      <c r="AX48" s="38" t="n"/>
      <c r="AY48" s="38" t="n"/>
      <c r="AZ48" s="38" t="n"/>
      <c r="BA48" s="38" t="n"/>
      <c r="BB48" s="38" t="n"/>
      <c r="BC48" s="38" t="n"/>
      <c r="BD48" s="38" t="n"/>
      <c r="BE48" s="38" t="n"/>
      <c r="BF48" s="38" t="n"/>
      <c r="BG48" s="38" t="n"/>
      <c r="BH48" s="38" t="n"/>
      <c r="BI48" s="38" t="n"/>
      <c r="BJ48" s="38" t="n"/>
      <c r="BK48" s="38" t="n"/>
    </row>
    <row r="49" ht="13" customHeight="1">
      <c r="C49" s="39" t="inlineStr">
        <is>
          <r>
            <rPr>
              <rFont val="맑은 고딕"/>
              <color rgb="00677789"/>
              <sz val="8"/>
            </rPr>
            <t xml:space="preserve">· </t>
          </r>
          <r>
            <rPr>
              <rFont val="맑은 고딕"/>
              <b val="1"/>
              <color rgb="001E2A36"/>
              <sz val="8"/>
            </rPr>
            <t>시트 통째로 (권장)</t>
          </r>
          <r>
            <rPr>
              <rFont val="맑은 고딕"/>
              <color rgb="001E2A36"/>
              <sz val="8"/>
            </rPr>
            <t>: 탭 우클릭 → [이동/복사] → 대상 파일 → [복사본 만들기]. 서식 · 인쇄 설정 · 목록 · 번호 확인이 모두 유지</t>
          </r>
        </is>
      </c>
    </row>
    <row r="50" ht="13" customHeight="1">
      <c r="C50" s="39" t="inlineStr">
        <is>
          <r>
            <rPr>
              <rFont val="맑은 고딕"/>
              <color rgb="00677789"/>
              <sz val="8"/>
            </rPr>
            <t xml:space="preserve">· </t>
          </r>
          <r>
            <rPr>
              <rFont val="맑은 고딕"/>
              <b val="1"/>
              <color rgb="001E2A36"/>
              <sz val="8"/>
            </rPr>
            <t>보고서에 도면만</t>
          </r>
          <r>
            <rPr>
              <rFont val="맑은 고딕"/>
              <color rgb="001E2A36"/>
              <sz val="8"/>
            </rPr>
            <t>: 도면 범위 선택 → [홈 &gt; 복사 ▾ &gt; 그림으로 복사] → 워드 · PPT · 다른 엑셀에 붙여넣기 (모양 그대로, 수정은 원본에서)</t>
          </r>
        </is>
      </c>
    </row>
    <row r="51" ht="13" customHeight="1">
      <c r="C51" s="39" t="inlineStr">
        <is>
          <r>
            <rPr>
              <rFont val="맑은 고딕"/>
              <color rgb="00677789"/>
              <sz val="8"/>
            </rPr>
            <t xml:space="preserve">· </t>
          </r>
          <r>
            <rPr>
              <rFont val="맑은 고딕"/>
              <b val="1"/>
              <color rgb="001E2A36"/>
              <sz val="8"/>
            </rPr>
            <t>셀째로 다른 시트에</t>
          </r>
          <r>
            <rPr>
              <rFont val="맑은 고딕"/>
              <color rgb="001E2A36"/>
              <sz val="8"/>
            </rPr>
            <t>: 받는 시트도 같은 격자여야 크기가 같음 → 양식 시트를 먼저 복사해 두고 그 위에 붙이기</t>
          </r>
        </is>
      </c>
    </row>
    <row r="52" ht="13" customHeight="1">
      <c r="C52" s="39" t="inlineStr">
        <is>
          <r>
            <rPr>
              <rFont val="맑은 고딕"/>
              <color rgb="00677789"/>
              <sz val="8"/>
            </rPr>
            <t xml:space="preserve">· </t>
          </r>
          <r>
            <rPr>
              <rFont val="맑은 고딕"/>
              <b val="1"/>
              <color rgb="001E2A36"/>
              <sz val="8"/>
            </rPr>
            <t>표만</t>
          </r>
          <r>
            <rPr>
              <rFont val="맑은 고딕"/>
              <color rgb="001E2A36"/>
              <sz val="8"/>
            </rPr>
            <t>: 표 범위 복사 → 받는 곳에서 [값 붙여넣기]. 병합 칸에는 여러 칸을 한 번에 붙일 수 없으니 한 열씩</t>
          </r>
        </is>
      </c>
    </row>
    <row r="53" ht="12" customHeight="1"/>
    <row r="54" ht="15" customHeight="1">
      <c r="B54" s="36" t="n">
        <v>7</v>
      </c>
      <c r="C54" s="37" t="inlineStr">
        <is>
          <t xml:space="preserve">  랙별로 묶어 관리 (장비 200대 → 랙 파일 10~20개)</t>
        </is>
      </c>
      <c r="D54" s="38" t="n"/>
      <c r="E54" s="38" t="n"/>
      <c r="F54" s="38" t="n"/>
      <c r="G54" s="38" t="n"/>
      <c r="H54" s="38" t="n"/>
      <c r="I54" s="38" t="n"/>
      <c r="J54" s="38" t="n"/>
      <c r="K54" s="38" t="n"/>
      <c r="L54" s="38" t="n"/>
      <c r="M54" s="38" t="n"/>
      <c r="N54" s="38" t="n"/>
      <c r="O54" s="38" t="n"/>
      <c r="P54" s="38" t="n"/>
      <c r="Q54" s="38" t="n"/>
      <c r="R54" s="38" t="n"/>
      <c r="S54" s="38" t="n"/>
      <c r="T54" s="38" t="n"/>
      <c r="U54" s="38" t="n"/>
      <c r="V54" s="38" t="n"/>
      <c r="W54" s="38" t="n"/>
      <c r="X54" s="38" t="n"/>
      <c r="Y54" s="38" t="n"/>
      <c r="Z54" s="38" t="n"/>
      <c r="AA54" s="38" t="n"/>
      <c r="AB54" s="38" t="n"/>
      <c r="AC54" s="38" t="n"/>
      <c r="AD54" s="38" t="n"/>
      <c r="AE54" s="38" t="n"/>
      <c r="AF54" s="38" t="n"/>
      <c r="AG54" s="38" t="n"/>
      <c r="AH54" s="38" t="n"/>
      <c r="AI54" s="38" t="n"/>
      <c r="AJ54" s="38" t="n"/>
      <c r="AK54" s="38" t="n"/>
      <c r="AL54" s="38" t="n"/>
      <c r="AM54" s="38" t="n"/>
      <c r="AN54" s="38" t="n"/>
      <c r="AO54" s="38" t="n"/>
      <c r="AP54" s="38" t="n"/>
      <c r="AQ54" s="38" t="n"/>
      <c r="AR54" s="38" t="n"/>
      <c r="AS54" s="38" t="n"/>
      <c r="AT54" s="38" t="n"/>
      <c r="AU54" s="38" t="n"/>
      <c r="AV54" s="38" t="n"/>
      <c r="AW54" s="38" t="n"/>
      <c r="AX54" s="38" t="n"/>
      <c r="AY54" s="38" t="n"/>
      <c r="AZ54" s="38" t="n"/>
      <c r="BA54" s="38" t="n"/>
      <c r="BB54" s="38" t="n"/>
      <c r="BC54" s="38" t="n"/>
      <c r="BD54" s="38" t="n"/>
      <c r="BE54" s="38" t="n"/>
      <c r="BF54" s="38" t="n"/>
      <c r="BG54" s="38" t="n"/>
      <c r="BH54" s="38" t="n"/>
      <c r="BI54" s="38" t="n"/>
      <c r="BJ54" s="38" t="n"/>
      <c r="BK54" s="38" t="n"/>
    </row>
    <row r="55" ht="13" customHeight="1">
      <c r="C55" s="39" t="inlineStr">
        <is>
          <r>
            <rPr>
              <rFont val="맑은 고딕"/>
              <color rgb="00677789"/>
              <sz val="8"/>
            </rPr>
            <t xml:space="preserve">· </t>
          </r>
          <r>
            <rPr>
              <rFont val="맑은 고딕"/>
              <b val="1"/>
              <color rgb="001E2A36"/>
              <sz val="8"/>
            </rPr>
            <t>랙 1대 = 파일 1개</t>
          </r>
          <r>
            <rPr>
              <rFont val="맑은 고딕"/>
              <color rgb="001E2A36"/>
              <sz val="8"/>
            </rPr>
            <t xml:space="preserve"> (예: DC1_R02.xlsx). 첫 시트 [랙] = 실장도 + 장비 목록, 나머지 시트 = 장비 1대씩</t>
          </r>
        </is>
      </c>
    </row>
    <row r="56" ht="13" customHeight="1">
      <c r="C56" s="39" t="inlineStr">
        <is>
          <r>
            <rPr>
              <rFont val="맑은 고딕"/>
              <color rgb="00677789"/>
              <sz val="8"/>
            </rPr>
            <t xml:space="preserve">· </t>
          </r>
          <r>
            <rPr>
              <rFont val="맑은 고딕"/>
              <b val="1"/>
              <color rgb="001E2A36"/>
              <sz val="8"/>
            </rPr>
            <t>장비 추가</t>
          </r>
          <r>
            <rPr>
              <rFont val="맑은 고딕"/>
              <color rgb="001E2A36"/>
              <sz val="8"/>
            </rPr>
            <t>: ① 장비 시트를 랙 파일로 복사  ② [랙] 목록 빈 줄에 U · 높이 · 면 · 장비명 · (시스템) · 모델 · 구분 · 시트 이름 → 실장도 자동 표시 + ▶ 링크</t>
          </r>
        </is>
      </c>
    </row>
    <row r="57" ht="13" customHeight="1">
      <c r="C57" s="39" t="inlineStr">
        <is>
          <r>
            <rPr>
              <rFont val="맑은 고딕"/>
              <color rgb="00677789"/>
              <sz val="8"/>
            </rPr>
            <t xml:space="preserve">· </t>
          </r>
          <r>
            <rPr>
              <rFont val="맑은 고딕"/>
              <b val="1"/>
              <color rgb="001E2A36"/>
              <sz val="8"/>
            </rPr>
            <t>장비 이동 · 제거</t>
          </r>
          <r>
            <rPr>
              <rFont val="맑은 고딕"/>
              <color rgb="001E2A36"/>
              <sz val="8"/>
            </rPr>
            <t>: 목록의 U 숫자만 고치면 실장도가 따라감. 제거는 목록 줄 내용 지우기 + 시트 삭제</t>
          </r>
        </is>
      </c>
    </row>
    <row r="58" ht="13" customHeight="1">
      <c r="C58" s="39" t="inlineStr">
        <is>
          <r>
            <rPr>
              <rFont val="맑은 고딕"/>
              <color rgb="00677789"/>
              <sz val="8"/>
            </rPr>
            <t xml:space="preserve">· </t>
          </r>
          <r>
            <rPr>
              <rFont val="맑은 고딕"/>
              <b val="1"/>
              <color rgb="001E2A36"/>
              <sz val="8"/>
            </rPr>
            <t>탭 순서</t>
          </r>
          <r>
            <rPr>
              <rFont val="맑은 고딕"/>
              <color rgb="001E2A36"/>
              <sz val="8"/>
            </rPr>
            <t>는 랙 위쪽 장비부터 (탭 끌어서 정렬). 랙이 적으면 한 파일에 [랙] 시트를 여러 개(랙_R01, 랙_R02…) 두어도 됨</t>
          </r>
        </is>
      </c>
    </row>
    <row r="59" ht="12" customHeight="1"/>
    <row r="60" ht="15" customHeight="1">
      <c r="B60" s="36" t="n">
        <v>8</v>
      </c>
      <c r="C60" s="37" t="inlineStr">
        <is>
          <t xml:space="preserve">  인쇄</t>
        </is>
      </c>
      <c r="D60" s="38" t="n"/>
      <c r="E60" s="38" t="n"/>
      <c r="F60" s="38" t="n"/>
      <c r="G60" s="38" t="n"/>
      <c r="H60" s="38" t="n"/>
      <c r="I60" s="38" t="n"/>
      <c r="J60" s="38" t="n"/>
      <c r="K60" s="38" t="n"/>
      <c r="L60" s="38" t="n"/>
      <c r="M60" s="38" t="n"/>
      <c r="N60" s="38" t="n"/>
      <c r="O60" s="38" t="n"/>
      <c r="P60" s="38" t="n"/>
      <c r="Q60" s="38" t="n"/>
      <c r="R60" s="38" t="n"/>
      <c r="S60" s="38" t="n"/>
      <c r="T60" s="38" t="n"/>
      <c r="U60" s="38" t="n"/>
      <c r="V60" s="38" t="n"/>
      <c r="W60" s="38" t="n"/>
      <c r="X60" s="38" t="n"/>
      <c r="Y60" s="38" t="n"/>
      <c r="Z60" s="38" t="n"/>
      <c r="AA60" s="38" t="n"/>
      <c r="AB60" s="38" t="n"/>
      <c r="AC60" s="38" t="n"/>
      <c r="AD60" s="38" t="n"/>
      <c r="AE60" s="38" t="n"/>
      <c r="AF60" s="38" t="n"/>
      <c r="AG60" s="38" t="n"/>
      <c r="AH60" s="38" t="n"/>
      <c r="AI60" s="38" t="n"/>
      <c r="AJ60" s="38" t="n"/>
      <c r="AK60" s="38" t="n"/>
      <c r="AL60" s="38" t="n"/>
      <c r="AM60" s="38" t="n"/>
      <c r="AN60" s="38" t="n"/>
      <c r="AO60" s="38" t="n"/>
      <c r="AP60" s="38" t="n"/>
      <c r="AQ60" s="38" t="n"/>
      <c r="AR60" s="38" t="n"/>
      <c r="AS60" s="38" t="n"/>
      <c r="AT60" s="38" t="n"/>
      <c r="AU60" s="38" t="n"/>
      <c r="AV60" s="38" t="n"/>
      <c r="AW60" s="38" t="n"/>
      <c r="AX60" s="38" t="n"/>
      <c r="AY60" s="38" t="n"/>
      <c r="AZ60" s="38" t="n"/>
      <c r="BA60" s="38" t="n"/>
      <c r="BB60" s="38" t="n"/>
      <c r="BC60" s="38" t="n"/>
      <c r="BD60" s="38" t="n"/>
      <c r="BE60" s="38" t="n"/>
      <c r="BF60" s="38" t="n"/>
      <c r="BG60" s="38" t="n"/>
      <c r="BH60" s="38" t="n"/>
      <c r="BI60" s="38" t="n"/>
      <c r="BJ60" s="38" t="n"/>
      <c r="BK60" s="38" t="n"/>
    </row>
    <row r="61" ht="13" customHeight="1">
      <c r="C61" s="39" t="inlineStr">
        <is>
          <r>
            <rPr>
              <rFont val="맑은 고딕"/>
              <color rgb="00677789"/>
              <sz val="8"/>
            </rPr>
            <t xml:space="preserve">· </t>
          </r>
          <r>
            <rPr>
              <rFont val="맑은 고딕"/>
              <color rgb="001E2A36"/>
              <sz val="8"/>
            </rPr>
            <t>모든 시트: A4 가로 · 배율 100% · 여백 좌우 10mm / 위아래 12mm · 바닥글(파일명 · 시트명 · 쪽 번호) 설정 완료</t>
          </r>
        </is>
      </c>
    </row>
    <row r="62" ht="13" customHeight="1">
      <c r="C62" s="39" t="inlineStr">
        <is>
          <r>
            <rPr>
              <rFont val="맑은 고딕"/>
              <color rgb="00677789"/>
              <sz val="8"/>
            </rPr>
            <t xml:space="preserve">· </t>
          </r>
          <r>
            <rPr>
              <rFont val="맑은 고딕"/>
              <color rgb="001E2A36"/>
              <sz val="8"/>
            </rPr>
            <t xml:space="preserve">Ctrl+P 미리보기로 확인. </t>
          </r>
          <r>
            <rPr>
              <rFont val="맑은 고딕"/>
              <b val="1"/>
              <color rgb="001E2A36"/>
              <sz val="8"/>
            </rPr>
            <t>배율을 줄이지 말 것</t>
          </r>
          <r>
            <rPr>
              <rFont val="맑은 고딕"/>
              <color rgb="001E2A36"/>
              <sz val="8"/>
            </rPr>
            <t xml:space="preserve"> — 장비마다 글자 크기가 달라짐 (너비가 넘칠 때만 자동으로 조금 줄어듦)</t>
          </r>
        </is>
      </c>
    </row>
    <row r="63" ht="13" customHeight="1">
      <c r="C63" s="39" t="inlineStr">
        <is>
          <r>
            <rPr>
              <rFont val="맑은 고딕"/>
              <color rgb="00677789"/>
              <sz val="8"/>
            </rPr>
            <t xml:space="preserve">· </t>
          </r>
          <r>
            <rPr>
              <rFont val="맑은 고딕"/>
              <color rgb="001E2A36"/>
              <sz val="8"/>
            </rPr>
            <t xml:space="preserve">표가 길면 다음 쪽으로 이어지고 1~3행 제목이 반복됨. </t>
          </r>
          <r>
            <rPr>
              <rFont val="맑은 고딕"/>
              <b val="1"/>
              <color rgb="001E2A36"/>
              <sz val="8"/>
            </rPr>
            <t>표 줄 추가</t>
          </r>
          <r>
            <rPr>
              <rFont val="맑은 고딕"/>
              <color rgb="001E2A36"/>
              <sz val="8"/>
            </rPr>
            <t>: 빈 줄의 행 번호를 눌러 복사 → 아래 행 번호 우클릭 [복사한 셀 삽입] (병합·확인 기능 유지)</t>
          </r>
        </is>
      </c>
    </row>
    <row r="64" ht="13" customHeight="1">
      <c r="C64" s="39" t="inlineStr">
        <is>
          <r>
            <rPr>
              <rFont val="맑은 고딕"/>
              <color rgb="00677789"/>
              <sz val="8"/>
            </rPr>
            <t xml:space="preserve">· </t>
          </r>
          <r>
            <rPr>
              <rFont val="맑은 고딕"/>
              <color rgb="001E2A36"/>
              <sz val="8"/>
            </rPr>
            <t>랙 파일 전체: [인쇄 &gt; 설정 &gt; 전체 통합 문서 인쇄] → 랙 실장도 + 모든 장비가 차례로. PDF는 [다른 이름으로 저장 &gt; PDF]</t>
          </r>
        </is>
      </c>
    </row>
    <row r="65" ht="12" customHeight="1"/>
    <row r="66" ht="15" customHeight="1">
      <c r="B66" s="36" t="n">
        <v>9</v>
      </c>
      <c r="C66" s="37" t="inlineStr">
        <is>
          <t xml:space="preserve">  자주 하는 실수</t>
        </is>
      </c>
      <c r="D66" s="38" t="n"/>
      <c r="E66" s="38" t="n"/>
      <c r="F66" s="38" t="n"/>
      <c r="G66" s="38" t="n"/>
      <c r="H66" s="38" t="n"/>
      <c r="I66" s="38" t="n"/>
      <c r="J66" s="38" t="n"/>
      <c r="K66" s="38" t="n"/>
      <c r="L66" s="38" t="n"/>
      <c r="M66" s="38" t="n"/>
      <c r="N66" s="38" t="n"/>
      <c r="O66" s="38" t="n"/>
      <c r="P66" s="38" t="n"/>
      <c r="Q66" s="38" t="n"/>
      <c r="R66" s="38" t="n"/>
      <c r="S66" s="38" t="n"/>
      <c r="T66" s="38" t="n"/>
      <c r="U66" s="38" t="n"/>
      <c r="V66" s="38" t="n"/>
      <c r="W66" s="38" t="n"/>
      <c r="X66" s="38" t="n"/>
      <c r="Y66" s="38" t="n"/>
      <c r="Z66" s="38" t="n"/>
      <c r="AA66" s="38" t="n"/>
      <c r="AB66" s="38" t="n"/>
      <c r="AC66" s="38" t="n"/>
      <c r="AD66" s="38" t="n"/>
      <c r="AE66" s="38" t="n"/>
      <c r="AF66" s="38" t="n"/>
      <c r="AG66" s="38" t="n"/>
      <c r="AH66" s="38" t="n"/>
      <c r="AI66" s="38" t="n"/>
      <c r="AJ66" s="38" t="n"/>
      <c r="AK66" s="38" t="n"/>
      <c r="AL66" s="38" t="n"/>
      <c r="AM66" s="38" t="n"/>
      <c r="AN66" s="38" t="n"/>
      <c r="AO66" s="38" t="n"/>
      <c r="AP66" s="38" t="n"/>
      <c r="AQ66" s="38" t="n"/>
      <c r="AR66" s="38" t="n"/>
      <c r="AS66" s="38" t="n"/>
      <c r="AT66" s="38" t="n"/>
      <c r="AU66" s="38" t="n"/>
      <c r="AV66" s="38" t="n"/>
      <c r="AW66" s="38" t="n"/>
      <c r="AX66" s="38" t="n"/>
      <c r="AY66" s="38" t="n"/>
      <c r="AZ66" s="38" t="n"/>
      <c r="BA66" s="38" t="n"/>
      <c r="BB66" s="38" t="n"/>
      <c r="BC66" s="38" t="n"/>
      <c r="BD66" s="38" t="n"/>
      <c r="BE66" s="38" t="n"/>
      <c r="BF66" s="38" t="n"/>
      <c r="BG66" s="38" t="n"/>
      <c r="BH66" s="38" t="n"/>
      <c r="BI66" s="38" t="n"/>
      <c r="BJ66" s="38" t="n"/>
      <c r="BK66" s="38" t="n"/>
    </row>
    <row r="67" ht="13" customHeight="1">
      <c r="C67" s="39" t="inlineStr">
        <is>
          <r>
            <rPr>
              <rFont val="맑은 고딕"/>
              <color rgb="00677789"/>
              <sz val="8"/>
            </rPr>
            <t xml:space="preserve">· </t>
          </r>
          <r>
            <rPr>
              <rFont val="맑은 고딕"/>
              <color rgb="001E2A36"/>
              <sz val="8"/>
            </rPr>
            <t>부품이 작거나 크게 붙음 → 받는 시트의 열 너비 · 행 높이가 다름. 양식 시트를 복사해서 시작</t>
          </r>
        </is>
      </c>
    </row>
    <row r="68" ht="13" customHeight="1">
      <c r="C68" s="39" t="inlineStr">
        <is>
          <r>
            <rPr>
              <rFont val="맑은 고딕"/>
              <color rgb="00677789"/>
              <sz val="8"/>
            </rPr>
            <t xml:space="preserve">· </t>
          </r>
          <r>
            <rPr>
              <rFont val="맑은 고딕"/>
              <color rgb="001E2A36"/>
              <sz val="8"/>
            </rPr>
            <t>'병합된 셀의 일부를 변경할 수 없습니다' → 모양이 다른 병합 칸에 붙여넣음. 같은 모양 칸(예: 디스크 칸 ↔ 디스크 칸)끼리 붙이거나 한 칸씩 입력</t>
          </r>
        </is>
      </c>
    </row>
    <row r="69" ht="13" customHeight="1">
      <c r="C69" s="39" t="inlineStr">
        <is>
          <r>
            <rPr>
              <rFont val="맑은 고딕"/>
              <color rgb="00677789"/>
              <sz val="8"/>
            </rPr>
            <t xml:space="preserve">· </t>
          </r>
          <r>
            <rPr>
              <rFont val="맑은 고딕"/>
              <color rgb="001E2A36"/>
              <sz val="8"/>
            </rPr>
            <t>번호 칸이 분홍색 → 그 번호가 도면에 없거나 두 번 이상 있음</t>
          </r>
        </is>
      </c>
    </row>
    <row r="70" ht="13" customHeight="1">
      <c r="C70" s="39" t="inlineStr">
        <is>
          <r>
            <rPr>
              <rFont val="맑은 고딕"/>
              <color rgb="00677789"/>
              <sz val="8"/>
            </rPr>
            <t xml:space="preserve">· </t>
          </r>
          <r>
            <rPr>
              <rFont val="맑은 고딕"/>
              <color rgb="001E2A36"/>
              <sz val="8"/>
            </rPr>
            <t>도형 · 그림은 쓰지 않음 → 전부 셀이라 복사 · 행 삽입 · 인쇄해도 어긋나지 않음</t>
          </r>
        </is>
      </c>
    </row>
    <row r="71" ht="12" customHeight="1"/>
    <row r="72" ht="12" customHeight="1"/>
    <row r="73" ht="12" customHeight="1"/>
    <row r="74" ht="12" customHeight="1"/>
    <row r="75" ht="12" customHeight="1"/>
    <row r="76" ht="12" customHeight="1"/>
    <row r="77" ht="12" customHeight="1"/>
    <row r="78" ht="12" customHeight="1"/>
    <row r="79" ht="12" customHeight="1"/>
    <row r="80" ht="12" customHeight="1"/>
    <row r="81" ht="12" customHeight="1"/>
    <row r="82" ht="12" customHeight="1"/>
    <row r="83" ht="12" customHeight="1"/>
    <row r="84" ht="12" customHeight="1"/>
    <row r="85" ht="12" customHeight="1"/>
    <row r="86" ht="12" customHeight="1"/>
    <row r="87" ht="12" customHeight="1"/>
    <row r="88" ht="12" customHeight="1"/>
    <row r="89" ht="12" customHeight="1"/>
    <row r="90" ht="12" customHeight="1"/>
    <row r="91" ht="12" customHeight="1"/>
    <row r="92" ht="12" customHeight="1"/>
    <row r="93" ht="12" customHeight="1"/>
    <row r="94" ht="12" customHeight="1"/>
    <row r="95" ht="12" customHeight="1"/>
    <row r="96" ht="12" customHeight="1"/>
    <row r="97" ht="12" customHeight="1"/>
    <row r="98" ht="12" customHeight="1"/>
    <row r="99" ht="12" customHeight="1"/>
    <row r="100" ht="12" customHeight="1"/>
    <row r="101" ht="12" customHeight="1"/>
    <row r="102" ht="12" customHeight="1"/>
    <row r="103" ht="12" customHeight="1"/>
    <row r="104" ht="12" customHeight="1"/>
    <row r="105" ht="12" customHeight="1"/>
    <row r="106" ht="12" customHeight="1"/>
    <row r="107" ht="12" customHeight="1"/>
    <row r="108" ht="12" customHeight="1"/>
    <row r="109" ht="12" customHeight="1"/>
  </sheetData>
  <mergeCells count="1">
    <mergeCell ref="P34:S34"/>
  </mergeCells>
  <printOptions horizontalCentered="1"/>
  <pageMargins left="0.39" right="0.39" top="0.47" bottom="0.47" header="0.2" footer="0.2"/>
  <pageSetup orientation="landscape" paperSize="9" fitToHeight="0" fitToWidth="1"/>
  <headerFooter>
    <oddHeader/>
    <oddFooter>&amp;L&amp;7 &amp;F  ·  &amp;A&amp;R&amp;7 &amp;P /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title xmlns:dc="http://purl.org/dc/elements/1.1/">랙 실장도 · 장비 도면 — 빈 양식</dc:title>
  <dcterms:created xmlns:dcterms="http://purl.org/dc/terms/" xmlns:xsi="http://www.w3.org/2001/XMLSchema-instance" xsi:type="dcterms:W3CDTF">2026-09-26T09:39:49Z</dcterms:created>
  <dcterms:modified xmlns:dcterms="http://purl.org/dc/terms/" xmlns:xsi="http://www.w3.org/2001/XMLSchema-instance" xsi:type="dcterms:W3CDTF">2026-09-26T09:39:50Z</dcterms:modified>
</cp:coreProperties>
</file>