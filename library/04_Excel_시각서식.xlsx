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셀 시각요소" sheetId="2" state="visible" r:id="rId2"/>
    <sheet xmlns:r="http://schemas.openxmlformats.org/officeDocument/2006/relationships" name="표 서식" sheetId="3" state="visible" r:id="rId3"/>
    <sheet xmlns:r="http://schemas.openxmlformats.org/officeDocument/2006/relationships" name="대시보드" sheetId="4" state="visible" r:id="rId4"/>
    <sheet xmlns:r="http://schemas.openxmlformats.org/officeDocument/2006/relationships" name="일정표" sheetId="5" state="visible" r:id="rId5"/>
    <sheet xmlns:r="http://schemas.openxmlformats.org/officeDocument/2006/relationships" name="실무 함수" sheetId="6" state="visible" r:id="rId6"/>
    <sheet xmlns:r="http://schemas.openxmlformats.org/officeDocument/2006/relationships" name="리본 기능" sheetId="7" state="visible" r:id="rId7"/>
  </sheets>
  <definedNames>
    <definedName name="상태목록">'리본 기능'!$M$6:$M$8</definedName>
    <definedName name="_xlnm.Print_Titles" localSheetId="4">'일정표'!$7:$7</definedName>
    <definedName name="_xlnm._FilterDatabase" localSheetId="6" hidden="1">'리본 기능'!$B$5:$G$23</definedName>
    <definedName name="_xlnm.Print_Titles" localSheetId="6">'리본 기능'!$5:$5</definedName>
    <definedName name="_xlnm.Print_Area" localSheetId="6">'리본 기능'!$A$1:$L$26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yyyy-mm-dd"/>
  </numFmts>
  <fonts count="41">
    <font>
      <name val="Calibri"/>
      <family val="2"/>
      <color theme="1"/>
      <sz val="11"/>
      <scheme val="minor"/>
    </font>
    <font>
      <name val="맑은 고딕"/>
      <b val="1"/>
      <color rgb="FF14466B"/>
      <sz val="15"/>
    </font>
    <font>
      <name val="맑은 고딕"/>
      <color rgb="FF5A6570"/>
      <sz val="9"/>
    </font>
    <font>
      <name val="맑은 고딕"/>
      <b val="1"/>
      <color rgb="FF14466B"/>
      <sz val="11"/>
    </font>
    <font>
      <name val="맑은 고딕"/>
      <b val="1"/>
      <color rgb="FF14466B"/>
      <sz val="9.5"/>
    </font>
    <font>
      <name val="맑은 고딕"/>
      <color rgb="FF1B1F24"/>
      <sz val="10"/>
    </font>
    <font>
      <name val="맑은 고딕"/>
      <color rgb="FF14466B"/>
      <sz val="11"/>
    </font>
    <font>
      <name val="Consolas"/>
      <color rgb="FF8A94A0"/>
      <sz val="9.5"/>
    </font>
    <font>
      <name val="맑은 고딕"/>
      <color rgb="FF2C6E9B"/>
      <sz val="11"/>
    </font>
    <font>
      <name val="맑은 고딕"/>
      <color rgb="FFE9F0F6"/>
      <sz val="11"/>
    </font>
    <font>
      <name val="맑은 고딕"/>
      <color rgb="FFF5F7F9"/>
      <sz val="11"/>
    </font>
    <font>
      <name val="맑은 고딕"/>
      <color rgb="FFD5DBE1"/>
      <sz val="11"/>
    </font>
    <font>
      <name val="맑은 고딕"/>
      <color rgb="FF2E8B57"/>
      <sz val="11"/>
    </font>
    <font>
      <name val="맑은 고딕"/>
      <color rgb="FFD19B10"/>
      <sz val="11"/>
    </font>
    <font>
      <name val="맑은 고딕"/>
      <color rgb="FFC0392B"/>
      <sz val="11"/>
    </font>
    <font>
      <name val="맑은 고딕"/>
      <color rgb="FF8A94A0"/>
      <sz val="9"/>
    </font>
    <font>
      <name val="맑은 고딕"/>
      <b val="1"/>
      <color rgb="FF14466B"/>
      <sz val="10"/>
    </font>
    <font>
      <name val="맑은 고딕"/>
      <b val="1"/>
      <color rgb="FF14466B"/>
      <sz val="20"/>
    </font>
    <font>
      <name val="맑은 고딕"/>
      <color rgb="FF5A6570"/>
      <sz val="10"/>
    </font>
    <font>
      <name val="맑은 고딕"/>
      <b val="1"/>
      <color rgb="FF2E8B57"/>
      <sz val="20"/>
    </font>
    <font>
      <name val="맑은 고딕"/>
      <b val="1"/>
      <color rgb="FFC0392B"/>
      <sz val="20"/>
    </font>
    <font>
      <name val="맑은 고딕"/>
      <b val="1"/>
      <color rgb="FF2E8B57"/>
      <sz val="10"/>
    </font>
    <font>
      <name val="맑은 고딕"/>
      <b val="1"/>
      <color rgb="FFD19B10"/>
      <sz val="10"/>
    </font>
    <font>
      <name val="맑은 고딕"/>
      <b val="1"/>
      <color rgb="FFC0392B"/>
      <sz val="10"/>
    </font>
    <font>
      <name val="맑은 고딕"/>
      <color rgb="FF2C6E9B"/>
      <sz val="10"/>
    </font>
    <font>
      <name val="맑은 고딕"/>
      <b val="1"/>
      <color rgb="FF2E8B57"/>
      <sz val="11"/>
    </font>
    <font>
      <name val="맑은 고딕"/>
      <b val="1"/>
      <color rgb="FFD19B10"/>
      <sz val="11"/>
    </font>
    <font>
      <name val="맑은 고딕"/>
      <b val="1"/>
      <color rgb="FFC0392B"/>
      <sz val="11"/>
    </font>
    <font>
      <name val="맑은 고딕"/>
      <b val="1"/>
      <color rgb="FF2C6E9B"/>
      <sz val="12"/>
    </font>
    <font>
      <name val="맑은 고딕"/>
      <b val="1"/>
      <color rgb="FF1B1F24"/>
      <sz val="10"/>
    </font>
    <font>
      <name val="맑은 고딕"/>
      <b val="1"/>
      <color rgb="FF14466B"/>
      <sz val="18"/>
    </font>
    <font>
      <name val="맑은 고딕"/>
      <b val="1"/>
      <color rgb="FF2E8B57"/>
      <sz val="18"/>
    </font>
    <font>
      <name val="맑은 고딕"/>
      <b val="1"/>
      <color rgb="FFC0392B"/>
      <sz val="18"/>
    </font>
    <font>
      <name val="맑은 고딕"/>
      <b val="1"/>
      <color rgb="FF2E8B57"/>
      <sz val="9.5"/>
    </font>
    <font>
      <name val="맑은 고딕"/>
      <b val="1"/>
      <color rgb="FFD19B10"/>
      <sz val="9.5"/>
    </font>
    <font>
      <name val="맑은 고딕"/>
      <b val="1"/>
      <color rgb="FFC0392B"/>
      <sz val="9.5"/>
    </font>
    <font>
      <name val="맑은 고딕"/>
      <b val="1"/>
      <color rgb="FF1B1F24"/>
      <sz val="10.5"/>
    </font>
    <font>
      <name val="맑은 고딕"/>
      <color rgb="FF5A6570"/>
      <sz val="9.5"/>
    </font>
    <font>
      <name val="맑은 고딕"/>
      <b val="1"/>
      <color rgb="FF14466B"/>
      <sz val="9"/>
    </font>
    <font>
      <name val="Consolas"/>
      <color rgb="FF17324A"/>
      <sz val="9.5"/>
    </font>
    <font>
      <name val="맑은 고딕"/>
      <b val="1"/>
      <color rgb="FF8A94A0"/>
      <sz val="9"/>
    </font>
  </fonts>
  <fills count="9">
    <fill>
      <patternFill/>
    </fill>
    <fill>
      <patternFill patternType="gray125"/>
    </fill>
    <fill>
      <patternFill patternType="solid">
        <fgColor rgb="FFE9F0F6"/>
      </patternFill>
    </fill>
    <fill>
      <patternFill patternType="solid">
        <fgColor rgb="FFEAF4EF"/>
      </patternFill>
    </fill>
    <fill>
      <patternFill patternType="solid">
        <fgColor rgb="FFFCF4E6"/>
      </patternFill>
    </fill>
    <fill>
      <patternFill patternType="solid">
        <fgColor rgb="FFFBEDED"/>
      </patternFill>
    </fill>
    <fill>
      <patternFill patternType="solid">
        <fgColor rgb="FF2C6E9B"/>
      </patternFill>
    </fill>
    <fill>
      <patternFill patternType="solid">
        <fgColor rgb="FFD5DBE1"/>
      </patternFill>
    </fill>
    <fill>
      <patternFill patternType="solid">
        <fgColor rgb="FFF5F7F9"/>
      </patternFill>
    </fill>
  </fills>
  <borders count="36">
    <border>
      <left/>
      <right/>
      <top/>
      <bottom/>
      <diagonal/>
    </border>
    <border>
      <bottom style="thin">
        <color rgb="FF2C6E9B"/>
      </bottom>
    </border>
    <border>
      <top style="medium">
        <color rgb="FF14466B"/>
      </top>
      <bottom style="thin">
        <color rgb="FF2C6E9B"/>
      </bottom>
    </border>
    <border>
      <bottom style="thin">
        <color rgb="FFE7EBEF"/>
      </bottom>
    </border>
    <border>
      <left style="thin">
        <color rgb="FFD5DBE1"/>
      </left>
      <right/>
      <top style="thin">
        <color rgb="FFD5DBE1"/>
      </top>
      <bottom/>
    </border>
    <border>
      <left/>
      <right style="thin">
        <color rgb="FFD5DBE1"/>
      </right>
      <top style="thin">
        <color rgb="FFD5DBE1"/>
      </top>
      <bottom/>
    </border>
    <border>
      <left style="thin">
        <color rgb="FFD5DBE1"/>
      </left>
      <right/>
      <top/>
      <bottom/>
    </border>
    <border>
      <left/>
      <right style="thin">
        <color rgb="FFD5DBE1"/>
      </right>
      <top/>
      <bottom/>
    </border>
    <border>
      <left style="thin">
        <color rgb="FFD5DBE1"/>
      </left>
      <right/>
      <top/>
      <bottom style="thin">
        <color rgb="FFD5DBE1"/>
      </bottom>
    </border>
    <border>
      <left/>
      <right style="thin">
        <color rgb="FFD5DBE1"/>
      </right>
      <top/>
      <bottom style="thin">
        <color rgb="FFD5DBE1"/>
      </bottom>
    </border>
    <border>
      <left style="thin">
        <color rgb="FFEAF4EF"/>
      </left>
      <right/>
      <top style="thin">
        <color rgb="FFEAF4EF"/>
      </top>
      <bottom style="thin">
        <color rgb="FFEAF4EF"/>
      </bottom>
    </border>
    <border>
      <left/>
      <right style="thin">
        <color rgb="FFEAF4EF"/>
      </right>
      <top style="thin">
        <color rgb="FFEAF4EF"/>
      </top>
      <bottom style="thin">
        <color rgb="FFEAF4EF"/>
      </bottom>
    </border>
    <border>
      <left style="thin">
        <color rgb="FFFCF4E6"/>
      </left>
      <right/>
      <top style="thin">
        <color rgb="FFFCF4E6"/>
      </top>
      <bottom style="thin">
        <color rgb="FFFCF4E6"/>
      </bottom>
    </border>
    <border>
      <left/>
      <right style="thin">
        <color rgb="FFFCF4E6"/>
      </right>
      <top style="thin">
        <color rgb="FFFCF4E6"/>
      </top>
      <bottom style="thin">
        <color rgb="FFFCF4E6"/>
      </bottom>
    </border>
    <border>
      <left style="thin">
        <color rgb="FFFBEDED"/>
      </left>
      <right/>
      <top style="thin">
        <color rgb="FFFBEDED"/>
      </top>
      <bottom style="thin">
        <color rgb="FFFBEDED"/>
      </bottom>
    </border>
    <border>
      <left/>
      <right style="thin">
        <color rgb="FFFBEDED"/>
      </right>
      <top style="thin">
        <color rgb="FFFBEDED"/>
      </top>
      <bottom style="thin">
        <color rgb="FFFBEDED"/>
      </bottom>
    </border>
    <border>
      <left style="thin">
        <color rgb="FFE9F0F6"/>
      </left>
      <right/>
      <top style="thin">
        <color rgb="FFE9F0F6"/>
      </top>
      <bottom style="thin">
        <color rgb="FFE9F0F6"/>
      </bottom>
    </border>
    <border>
      <left/>
      <right style="thin">
        <color rgb="FFE9F0F6"/>
      </right>
      <top style="thin">
        <color rgb="FFE9F0F6"/>
      </top>
      <bottom style="thin">
        <color rgb="FFE9F0F6"/>
      </bottom>
    </border>
    <border>
      <left style="thin">
        <color rgb="FF2C6E9B"/>
      </left>
      <right/>
      <top style="thin">
        <color rgb="FF2C6E9B"/>
      </top>
      <bottom/>
    </border>
    <border>
      <left/>
      <right style="thin">
        <color rgb="FF2C6E9B"/>
      </right>
      <top style="thin">
        <color rgb="FF2C6E9B"/>
      </top>
      <bottom/>
    </border>
    <border>
      <left style="thin">
        <color rgb="FF2C6E9B"/>
      </left>
      <right/>
      <top/>
      <bottom style="thin">
        <color rgb="FF2C6E9B"/>
      </bottom>
    </border>
    <border>
      <left/>
      <right style="thin">
        <color rgb="FF2C6E9B"/>
      </right>
      <top/>
      <bottom style="thin">
        <color rgb="FF2C6E9B"/>
      </bottom>
    </border>
    <border>
      <left/>
      <right/>
      <top style="thin">
        <color rgb="FFD5DBE1"/>
      </top>
      <bottom/>
    </border>
    <border>
      <left/>
      <right/>
      <top/>
      <bottom style="thin">
        <color rgb="FFD5DBE1"/>
      </bottom>
    </border>
    <border>
      <top style="thin">
        <color rgb="FF2C6E9B"/>
      </top>
      <bottom style="thin">
        <color rgb="FF2C6E9B"/>
      </bottom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</border>
    <border>
      <left style="thin">
        <color rgb="FFD5DBE1"/>
      </left>
      <right style="thin">
        <color rgb="FFD5DBE1"/>
      </right>
      <top style="medium">
        <color rgb="FF14466B"/>
      </top>
      <bottom style="thin">
        <color rgb="FF2C6E9B"/>
      </bottom>
    </border>
    <border>
      <left style="thin">
        <color rgb="FFD5DBE1"/>
      </left>
      <right style="thin">
        <color rgb="FFD5DBE1"/>
      </right>
      <top style="thin">
        <color rgb="FFD5DBE1"/>
      </top>
      <bottom/>
    </border>
    <border>
      <left style="thin">
        <color rgb="FFD5DBE1"/>
      </left>
      <right style="thin">
        <color rgb="FFD5DBE1"/>
      </right>
      <top/>
      <bottom style="thin">
        <color rgb="FFD5DBE1"/>
      </bottom>
    </border>
    <border>
      <left style="thick">
        <color rgb="FFC0392B"/>
      </left>
      <right style="thin">
        <color rgb="FFD5DBE1"/>
      </right>
      <top style="thin">
        <color rgb="FFD5DBE1"/>
      </top>
      <bottom/>
    </border>
    <border>
      <left style="thick">
        <color rgb="FFC0392B"/>
      </left>
      <right style="thin">
        <color rgb="FFD5DBE1"/>
      </right>
      <top/>
      <bottom style="thin">
        <color rgb="FFD5DBE1"/>
      </bottom>
    </border>
    <border>
      <left style="thick">
        <color rgb="FFD19B10"/>
      </left>
      <right style="thin">
        <color rgb="FFD5DBE1"/>
      </right>
      <top style="thin">
        <color rgb="FFD5DBE1"/>
      </top>
      <bottom/>
    </border>
    <border>
      <left style="thick">
        <color rgb="FFD19B10"/>
      </left>
      <right style="thin">
        <color rgb="FFD5DBE1"/>
      </right>
      <top/>
      <bottom style="thin">
        <color rgb="FFD5DBE1"/>
      </bottom>
    </border>
    <border>
      <left style="thick">
        <color rgb="FF2E8B57"/>
      </left>
      <right style="thin">
        <color rgb="FFD5DBE1"/>
      </right>
      <top style="thin">
        <color rgb="FFD5DBE1"/>
      </top>
      <bottom/>
    </border>
    <border>
      <left style="thick">
        <color rgb="FF2E8B57"/>
      </left>
      <right style="thin">
        <color rgb="FFD5DBE1"/>
      </right>
      <top/>
      <bottom style="thin">
        <color rgb="FFD5DBE1"/>
      </bottom>
    </border>
    <border>
      <right style="thin">
        <color rgb="FFEFF2F5"/>
      </right>
      <bottom style="thin">
        <color rgb="FFE7EBEF"/>
      </bottom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2" borderId="2" applyAlignment="1" pivotButton="0" quotePrefix="0" xfId="0">
      <alignment horizontal="left" vertical="center" indent="1"/>
    </xf>
    <xf numFmtId="0" fontId="5" fillId="0" borderId="3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2" fillId="0" borderId="0" applyAlignment="1" pivotButton="0" quotePrefix="0" xfId="0">
      <alignment horizontal="left" vertical="top" wrapText="1" indent="1"/>
    </xf>
    <xf numFmtId="0" fontId="17" fillId="0" borderId="6" applyAlignment="1" pivotButton="0" quotePrefix="0" xfId="0">
      <alignment horizontal="left" vertical="center" wrapText="1" indent="1"/>
    </xf>
    <xf numFmtId="0" fontId="18" fillId="0" borderId="7" applyAlignment="1" pivotButton="0" quotePrefix="0" xfId="0">
      <alignment horizontal="left" vertical="center"/>
    </xf>
    <xf numFmtId="0" fontId="19" fillId="0" borderId="6" applyAlignment="1" pivotButton="0" quotePrefix="0" xfId="0">
      <alignment horizontal="left" vertical="center" wrapText="1" indent="1"/>
    </xf>
    <xf numFmtId="0" fontId="20" fillId="0" borderId="6" applyAlignment="1" pivotButton="0" quotePrefix="0" xfId="0">
      <alignment horizontal="left" vertical="center" wrapText="1" indent="1"/>
    </xf>
    <xf numFmtId="0" fontId="2" fillId="0" borderId="8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21" fillId="3" borderId="10" applyAlignment="1" pivotButton="0" quotePrefix="0" xfId="0">
      <alignment horizontal="center" vertical="center"/>
    </xf>
    <xf numFmtId="0" fontId="0" fillId="0" borderId="11" pivotButton="0" quotePrefix="0" xfId="0"/>
    <xf numFmtId="0" fontId="22" fillId="4" borderId="12" applyAlignment="1" pivotButton="0" quotePrefix="0" xfId="0">
      <alignment horizontal="center" vertical="center"/>
    </xf>
    <xf numFmtId="0" fontId="0" fillId="0" borderId="13" pivotButton="0" quotePrefix="0" xfId="0"/>
    <xf numFmtId="0" fontId="23" fillId="5" borderId="14" applyAlignment="1" pivotButton="0" quotePrefix="0" xfId="0">
      <alignment horizontal="center" vertical="center"/>
    </xf>
    <xf numFmtId="0" fontId="0" fillId="0" borderId="15" pivotButton="0" quotePrefix="0" xfId="0"/>
    <xf numFmtId="0" fontId="16" fillId="2" borderId="16" applyAlignment="1" pivotButton="0" quotePrefix="0" xfId="0">
      <alignment horizontal="center" vertical="center"/>
    </xf>
    <xf numFmtId="0" fontId="0" fillId="0" borderId="17" pivotButton="0" quotePrefix="0" xfId="0"/>
    <xf numFmtId="0" fontId="5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9" fontId="5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left" vertical="center" wrapText="1" indent="1"/>
    </xf>
    <xf numFmtId="0" fontId="0" fillId="0" borderId="3" pivotButton="0" quotePrefix="0" xfId="0"/>
    <xf numFmtId="9" fontId="5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 wrapText="1" indent="1"/>
    </xf>
    <xf numFmtId="0" fontId="5" fillId="0" borderId="3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16" fillId="2" borderId="18" applyAlignment="1" pivotButton="0" quotePrefix="0" xfId="0">
      <alignment horizontal="center" vertical="center"/>
    </xf>
    <xf numFmtId="0" fontId="0" fillId="0" borderId="19" pivotButton="0" quotePrefix="0" xfId="0"/>
    <xf numFmtId="0" fontId="28" fillId="0" borderId="0" applyAlignment="1" pivotButton="0" quotePrefix="0" xfId="0">
      <alignment horizontal="center" vertical="center"/>
    </xf>
    <xf numFmtId="0" fontId="29" fillId="8" borderId="18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8" fillId="0" borderId="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8" pivotButton="0" quotePrefix="0" xfId="0"/>
    <xf numFmtId="0" fontId="0" fillId="0" borderId="23" pivotButton="0" quotePrefix="0" xfId="0"/>
    <xf numFmtId="0" fontId="5" fillId="0" borderId="3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16" fillId="0" borderId="24" applyAlignment="1" pivotButton="0" quotePrefix="0" xfId="0">
      <alignment horizontal="left" vertical="center" indent="1"/>
    </xf>
    <xf numFmtId="0" fontId="5" fillId="0" borderId="24" applyAlignment="1" pivotButton="0" quotePrefix="0" xfId="0">
      <alignment horizontal="left" vertical="center"/>
    </xf>
    <xf numFmtId="0" fontId="16" fillId="0" borderId="24" applyAlignment="1" pivotButton="0" quotePrefix="0" xfId="0">
      <alignment horizontal="right" vertical="center"/>
    </xf>
    <xf numFmtId="0" fontId="4" fillId="2" borderId="26" applyAlignment="1" pivotButton="0" quotePrefix="0" xfId="0">
      <alignment horizontal="left" vertical="center" indent="1"/>
    </xf>
    <xf numFmtId="0" fontId="4" fillId="2" borderId="26" applyAlignment="1" pivotButton="0" quotePrefix="0" xfId="0">
      <alignment horizontal="center" vertical="center" indent="1"/>
    </xf>
    <xf numFmtId="0" fontId="5" fillId="0" borderId="25" applyAlignment="1" pivotButton="0" quotePrefix="0" xfId="0">
      <alignment horizontal="left" vertical="center" indent="1"/>
    </xf>
    <xf numFmtId="0" fontId="5" fillId="0" borderId="25" applyAlignment="1" pivotButton="0" quotePrefix="0" xfId="0">
      <alignment horizontal="right" vertical="center"/>
    </xf>
    <xf numFmtId="0" fontId="5" fillId="0" borderId="25" applyAlignment="1" pivotButton="0" quotePrefix="0" xfId="0">
      <alignment horizontal="center" vertical="center"/>
    </xf>
    <xf numFmtId="0" fontId="15" fillId="0" borderId="4" applyAlignment="1" pivotButton="0" quotePrefix="0" xfId="0">
      <alignment horizontal="left" vertical="center" indent="1"/>
    </xf>
    <xf numFmtId="3" fontId="30" fillId="0" borderId="6" applyAlignment="1" pivotButton="0" quotePrefix="0" xfId="0">
      <alignment horizontal="left" vertical="center" indent="1"/>
    </xf>
    <xf numFmtId="164" fontId="31" fillId="0" borderId="6" applyAlignment="1" pivotButton="0" quotePrefix="0" xfId="0">
      <alignment horizontal="left" vertical="center" indent="1"/>
    </xf>
    <xf numFmtId="165" fontId="30" fillId="0" borderId="6" applyAlignment="1" pivotButton="0" quotePrefix="0" xfId="0">
      <alignment horizontal="left" vertical="center" indent="1"/>
    </xf>
    <xf numFmtId="3" fontId="32" fillId="0" borderId="6" applyAlignment="1" pivotButton="0" quotePrefix="0" xfId="0">
      <alignment horizontal="left" vertical="center" indent="1"/>
    </xf>
    <xf numFmtId="0" fontId="2" fillId="0" borderId="8" applyAlignment="1" pivotButton="0" quotePrefix="0" xfId="0">
      <alignment horizontal="left" vertical="center" indent="1"/>
    </xf>
    <xf numFmtId="0" fontId="36" fillId="0" borderId="29" applyAlignment="1" pivotButton="0" quotePrefix="0" xfId="0">
      <alignment horizontal="left" vertical="center" indent="2"/>
    </xf>
    <xf numFmtId="3" fontId="5" fillId="0" borderId="3" applyAlignment="1" pivotButton="0" quotePrefix="0" xfId="0">
      <alignment horizontal="center" vertical="center"/>
    </xf>
    <xf numFmtId="0" fontId="33" fillId="3" borderId="3" applyAlignment="1" pivotButton="0" quotePrefix="0" xfId="0">
      <alignment horizontal="center" vertical="center"/>
    </xf>
    <xf numFmtId="0" fontId="0" fillId="3" borderId="3" pivotButton="0" quotePrefix="0" xfId="0"/>
    <xf numFmtId="0" fontId="37" fillId="0" borderId="30" applyAlignment="1" pivotButton="0" quotePrefix="0" xfId="0">
      <alignment horizontal="left" vertical="center" indent="2"/>
    </xf>
    <xf numFmtId="0" fontId="34" fillId="4" borderId="3" applyAlignment="1" pivotButton="0" quotePrefix="0" xfId="0">
      <alignment horizontal="center" vertical="center"/>
    </xf>
    <xf numFmtId="0" fontId="0" fillId="4" borderId="3" pivotButton="0" quotePrefix="0" xfId="0"/>
    <xf numFmtId="0" fontId="36" fillId="0" borderId="31" applyAlignment="1" pivotButton="0" quotePrefix="0" xfId="0">
      <alignment horizontal="left" vertical="center" indent="2"/>
    </xf>
    <xf numFmtId="0" fontId="37" fillId="0" borderId="32" applyAlignment="1" pivotButton="0" quotePrefix="0" xfId="0">
      <alignment horizontal="left" vertical="center" indent="2"/>
    </xf>
    <xf numFmtId="3" fontId="5" fillId="0" borderId="1" applyAlignment="1" pivotButton="0" quotePrefix="0" xfId="0">
      <alignment horizontal="center" vertical="center"/>
    </xf>
    <xf numFmtId="0" fontId="3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6" fillId="0" borderId="33" applyAlignment="1" pivotButton="0" quotePrefix="0" xfId="0">
      <alignment horizontal="left" vertical="center" indent="2"/>
    </xf>
    <xf numFmtId="0" fontId="37" fillId="0" borderId="34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left" vertical="center" indent="1"/>
    </xf>
    <xf numFmtId="0" fontId="16" fillId="2" borderId="0" applyAlignment="1" pivotButton="0" quotePrefix="0" xfId="0">
      <alignment horizontal="center" vertical="center"/>
    </xf>
    <xf numFmtId="0" fontId="38" fillId="2" borderId="2" applyAlignment="1" pivotButton="0" quotePrefix="0" xfId="0">
      <alignment horizontal="center" vertical="center"/>
    </xf>
    <xf numFmtId="0" fontId="0" fillId="0" borderId="35" pivotButton="0" quotePrefix="0" xfId="0"/>
    <xf numFmtId="0" fontId="4" fillId="2" borderId="2" applyAlignment="1" pivotButton="0" quotePrefix="0" xfId="0">
      <alignment horizontal="center" vertical="center" indent="1"/>
    </xf>
    <xf numFmtId="3" fontId="5" fillId="0" borderId="3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37" fillId="0" borderId="0" applyAlignment="1" pivotButton="0" quotePrefix="0" xfId="0">
      <alignment horizontal="left" vertical="center"/>
    </xf>
    <xf numFmtId="0" fontId="39" fillId="0" borderId="3" applyAlignment="1" pivotButton="0" quotePrefix="0" xfId="0">
      <alignment horizontal="left" vertical="center" indent="1"/>
    </xf>
    <xf numFmtId="0" fontId="16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indent="1"/>
    </xf>
    <xf numFmtId="0" fontId="39" fillId="0" borderId="1" applyAlignment="1" pivotButton="0" quotePrefix="0" xfId="0">
      <alignment horizontal="left" vertical="center" indent="1"/>
    </xf>
    <xf numFmtId="0" fontId="1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center" vertical="center"/>
    </xf>
    <xf numFmtId="166" fontId="5" fillId="0" borderId="3" applyAlignment="1" pivotButton="0" quotePrefix="0" xfId="0">
      <alignment horizontal="center" vertical="center"/>
    </xf>
    <xf numFmtId="0" fontId="29" fillId="0" borderId="3" applyAlignment="1" pivotButton="0" quotePrefix="0" xfId="0">
      <alignment horizontal="left" vertical="center" indent="1"/>
    </xf>
    <xf numFmtId="0" fontId="37" fillId="0" borderId="3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29" fillId="0" borderId="1" applyAlignment="1" pivotButton="0" quotePrefix="0" xfId="0">
      <alignment horizontal="left" vertical="center" indent="1"/>
    </xf>
    <xf numFmtId="0" fontId="37" fillId="0" borderId="1" applyAlignment="1" pivotButton="0" quotePrefix="0" xfId="0">
      <alignment horizontal="left" vertical="center" indent="1"/>
    </xf>
    <xf numFmtId="166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ill>
        <patternFill patternType="solid">
          <fgColor rgb="FFF5F7F9"/>
        </patternFill>
      </fill>
    </dxf>
    <dxf>
      <fill>
        <patternFill patternType="solid">
          <fgColor rgb="FF2C6E9B"/>
        </patternFill>
      </fill>
    </dxf>
    <dxf>
      <fill>
        <patternFill patternType="solid">
          <fgColor rgb="FFFCF4E6"/>
        </patternFill>
      </fill>
    </dxf>
    <dxf>
      <font>
        <name val="맑은 고딕"/>
        <b val="1"/>
        <color rgb="FF2E8B57"/>
        <sz val="10"/>
      </font>
      <fill>
        <patternFill patternType="solid">
          <fgColor rgb="FFEAF4EF"/>
        </patternFill>
      </fill>
    </dxf>
    <dxf>
      <font>
        <name val="맑은 고딕"/>
        <b val="1"/>
        <color rgb="FFD19B10"/>
        <sz val="10"/>
      </font>
      <fill>
        <patternFill patternType="solid">
          <fgColor rgb="FFFCF4E6"/>
        </patternFill>
      </fill>
    </dxf>
    <dxf>
      <font>
        <name val="맑은 고딕"/>
        <b val="1"/>
        <color rgb="FF8A94A0"/>
        <sz val="10"/>
      </font>
      <fill>
        <patternFill patternType="solid">
          <fgColor rgb="FFF5F7F9"/>
        </patternFill>
      </fill>
    </dxf>
    <dxf>
      <font>
        <name val="맑은 고딕"/>
        <b val="1"/>
        <color rgb="FFC0392B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2" customWidth="1" min="3" max="3"/>
    <col width="3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Excel 시각 서식 도구</t>
        </is>
      </c>
    </row>
    <row r="2" ht="16" customHeight="1">
      <c r="A2" s="2" t="inlineStr">
        <is>
          <t>도형을 쓰지 않고 셀 서식만으로 만드는 시각 요소와, 실무 함수 · 리본 기능을 미리 적용해 둔 파일.</t>
        </is>
      </c>
    </row>
    <row r="3" ht="6" customHeight="1"/>
    <row r="5" ht="22" customHeight="1">
      <c r="B5" s="3" t="inlineStr">
        <is>
          <t>시트 안내</t>
        </is>
      </c>
      <c r="C5" s="4" t="n"/>
      <c r="D5" s="4" t="n"/>
    </row>
    <row r="6" ht="22" customHeight="1">
      <c r="B6" s="5" t="inlineStr">
        <is>
          <t>시트</t>
        </is>
      </c>
      <c r="C6" s="5" t="inlineStr">
        <is>
          <t>무엇이 들어 있나</t>
        </is>
      </c>
      <c r="D6" s="5" t="inlineStr">
        <is>
          <t>이럴 때 연다</t>
        </is>
      </c>
    </row>
    <row r="7" ht="22" customHeight="1">
      <c r="B7" s="6" t="inlineStr">
        <is>
          <t>셀 시각요소</t>
        </is>
      </c>
      <c r="C7" s="6" t="inlineStr">
        <is>
          <t>카드 · 배지 · 구분선 · 진행 막대 · 아이콘 · 셀로 그린 도식</t>
        </is>
      </c>
      <c r="D7" s="6" t="inlineStr">
        <is>
          <t>보고서를 보기 좋게 만들 때</t>
        </is>
      </c>
    </row>
    <row r="8" ht="22" customHeight="1">
      <c r="B8" s="6" t="inlineStr">
        <is>
          <t>표 서식</t>
        </is>
      </c>
      <c r="C8" s="6" t="inlineStr">
        <is>
          <t>머리글 · 줄무늬 · 합계 강조 · 인쇄용 표 네 가지</t>
        </is>
      </c>
      <c r="D8" s="6" t="inlineStr">
        <is>
          <t>표를 정리할 때</t>
        </is>
      </c>
    </row>
    <row r="9" ht="22" customHeight="1">
      <c r="B9" s="6" t="inlineStr">
        <is>
          <t>대시보드</t>
        </is>
      </c>
      <c r="C9" s="6" t="inlineStr">
        <is>
          <t>지표 카드 + 막대 + 상태를 한 화면에 모은 예</t>
        </is>
      </c>
      <c r="D9" s="6" t="inlineStr">
        <is>
          <t>한 장 요약이 필요할 때</t>
        </is>
      </c>
    </row>
    <row r="10" ht="22" customHeight="1">
      <c r="B10" s="6" t="inlineStr">
        <is>
          <t>일정표</t>
        </is>
      </c>
      <c r="C10" s="6" t="inlineStr">
        <is>
          <t>조건부 서식으로 기간을 칠하는 간트 표</t>
        </is>
      </c>
      <c r="D10" s="6" t="inlineStr">
        <is>
          <t>일정을 보여줄 때</t>
        </is>
      </c>
    </row>
    <row r="11" ht="22" customHeight="1">
      <c r="B11" s="6" t="inlineStr">
        <is>
          <t>실무 함수</t>
        </is>
      </c>
      <c r="C11" s="6" t="inlineStr">
        <is>
          <t>자주 쓰는 함수 18개의 수식과 결과</t>
        </is>
      </c>
      <c r="D11" s="6" t="inlineStr">
        <is>
          <t>수식이 기억나지 않을 때</t>
        </is>
      </c>
    </row>
    <row r="12" ht="22" customHeight="1">
      <c r="B12" s="7" t="inlineStr">
        <is>
          <t>리본 기능</t>
        </is>
      </c>
      <c r="C12" s="7" t="inlineStr">
        <is>
          <t>틀 고정 · 필터 · 드롭다운 · 조건부 서식이 적용된 연습 시트</t>
        </is>
      </c>
      <c r="D12" s="7" t="inlineStr">
        <is>
          <t>기능 위치를 찾을 때</t>
        </is>
      </c>
    </row>
    <row r="14" ht="22" customHeight="1">
      <c r="B14" s="3" t="inlineStr">
        <is>
          <t>쓰는 방법</t>
        </is>
      </c>
      <c r="C14" s="4" t="n"/>
      <c r="D14" s="4" t="n"/>
    </row>
    <row r="15" ht="17" customHeight="1">
      <c r="B15" s="2" t="inlineStr">
        <is>
          <t>· 시트째로 쓰기 — 시트 탭 오른쪽 클릭 › 이동/복사 › 복사본 만들기 › 대상 통합 문서 선택</t>
        </is>
      </c>
    </row>
    <row r="16" ht="17" customHeight="1">
      <c r="B16" s="2" t="inlineStr">
        <is>
          <t>· 일부만 쓰기 — 범위를 복사한 뒤, 붙여넣을 곳에서 오른쪽 클릭 › 선택하여 붙여넣기 › 서식</t>
        </is>
      </c>
    </row>
    <row r="17" ht="17" customHeight="1">
      <c r="B17" s="2" t="inlineStr">
        <is>
          <t>· 값은 그대로 두고 모양만 바꾸기 — 서식 복사(빗자루) 단추를 두 번 누르면 여러 곳에 연속 적용</t>
        </is>
      </c>
    </row>
    <row r="18" ht="17" customHeight="1">
      <c r="B18" s="2" t="inlineStr">
        <is>
          <t>· 행 높이 · 열 너비도 함께 옮기려면 행/열 전체를 선택해 복사한다</t>
        </is>
      </c>
    </row>
    <row r="19" ht="17" customHeight="1">
      <c r="B19" s="2" t="inlineStr">
        <is>
          <t>· 〈 〉 안의 글자는 실제 값으로 바꿔 넣는다</t>
        </is>
      </c>
    </row>
    <row r="21" ht="22" customHeight="1">
      <c r="B21" s="3" t="inlineStr">
        <is>
          <t>색과 크기 기준</t>
        </is>
      </c>
      <c r="C21" s="4" t="n"/>
      <c r="D21" s="4" t="n"/>
    </row>
    <row r="22" ht="18" customHeight="1">
      <c r="B22" s="8" t="inlineStr">
        <is>
          <t>██████</t>
        </is>
      </c>
      <c r="C22" s="9" t="inlineStr">
        <is>
          <t>주색 · 머리글 글자</t>
        </is>
      </c>
      <c r="D22" s="10" t="inlineStr">
        <is>
          <t>#14466B</t>
        </is>
      </c>
    </row>
    <row r="23" ht="18" customHeight="1">
      <c r="B23" s="11" t="inlineStr">
        <is>
          <t>██████</t>
        </is>
      </c>
      <c r="C23" s="9" t="inlineStr">
        <is>
          <t>보조 · 강조선</t>
        </is>
      </c>
      <c r="D23" s="10" t="inlineStr">
        <is>
          <t>#2C6E9B</t>
        </is>
      </c>
    </row>
    <row r="24" ht="18" customHeight="1">
      <c r="B24" s="12" t="inlineStr">
        <is>
          <t>██████</t>
        </is>
      </c>
      <c r="C24" s="9" t="inlineStr">
        <is>
          <t>머리글 바탕</t>
        </is>
      </c>
      <c r="D24" s="10" t="inlineStr">
        <is>
          <t>#E9F0F6</t>
        </is>
      </c>
    </row>
    <row r="25" ht="18" customHeight="1">
      <c r="B25" s="13" t="inlineStr">
        <is>
          <t>██████</t>
        </is>
      </c>
      <c r="C25" s="9" t="inlineStr">
        <is>
          <t>연한 바탕 · 줄무늬</t>
        </is>
      </c>
      <c r="D25" s="10" t="inlineStr">
        <is>
          <t>#F5F7F9</t>
        </is>
      </c>
    </row>
    <row r="26" ht="18" customHeight="1">
      <c r="B26" s="14" t="inlineStr">
        <is>
          <t>██████</t>
        </is>
      </c>
      <c r="C26" s="9" t="inlineStr">
        <is>
          <t>표 선</t>
        </is>
      </c>
      <c r="D26" s="10" t="inlineStr">
        <is>
          <t>#D5DBE1</t>
        </is>
      </c>
    </row>
    <row r="27" ht="18" customHeight="1">
      <c r="B27" s="15" t="inlineStr">
        <is>
          <t>██████</t>
        </is>
      </c>
      <c r="C27" s="9" t="inlineStr">
        <is>
          <t>정상</t>
        </is>
      </c>
      <c r="D27" s="10" t="inlineStr">
        <is>
          <t>#2E8B57</t>
        </is>
      </c>
    </row>
    <row r="28" ht="18" customHeight="1">
      <c r="B28" s="16" t="inlineStr">
        <is>
          <t>██████</t>
        </is>
      </c>
      <c r="C28" s="9" t="inlineStr">
        <is>
          <t>주의</t>
        </is>
      </c>
      <c r="D28" s="10" t="inlineStr">
        <is>
          <t>#D19B10</t>
        </is>
      </c>
    </row>
    <row r="29" ht="18" customHeight="1">
      <c r="B29" s="17" t="inlineStr">
        <is>
          <t>██████</t>
        </is>
      </c>
      <c r="C29" s="9" t="inlineStr">
        <is>
          <t>위험</t>
        </is>
      </c>
      <c r="D29" s="10" t="inlineStr">
        <is>
          <t>#C0392B</t>
        </is>
      </c>
    </row>
    <row r="31" ht="17" customHeight="1">
      <c r="B31" s="18" t="inlineStr">
        <is>
          <t>글꼴은 맑은 고딕 하나만 쓴다. 제목 15 · 구역 제목 11 · 본문 10 · 주석 9pt.</t>
        </is>
      </c>
    </row>
    <row r="32" ht="17" customHeight="1">
      <c r="B32" s="18" t="inlineStr">
        <is>
          <t>행 높이는 머리글 22, 본문 20, 구분선 6 을 기준으로 한다.</t>
        </is>
      </c>
    </row>
  </sheetData>
  <pageMargins left="0.5" right="0.5" top="0.6" bottom="0.55" header="0.3" footer="0.3"/>
  <pageSetup orientation="landscape" paperSize="9" fitToHeight="0" fitToWidth="1"/>
  <headerFooter>
    <oddHeader>&amp;L&amp;9 &amp;K888888Excel 시각 서식 도구 · 안내</oddHeader>
    <oddFooter>&amp;R&amp;9 &amp;K888888&amp;P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14" customWidth="1" min="2" max="2"/>
    <col width="14" customWidth="1" min="3" max="3"/>
    <col width="14" customWidth="1" min="4" max="4"/>
    <col width="3" customWidth="1" min="5" max="5"/>
    <col width="14" customWidth="1" min="6" max="6"/>
    <col width="14" customWidth="1" min="7" max="7"/>
    <col width="14" customWidth="1" min="8" max="8"/>
    <col width="3" customWidth="1" min="9" max="9"/>
    <col width="46" customWidth="1" min="10" max="10"/>
    <col width="12" customWidth="1" min="11" max="11"/>
  </cols>
  <sheetData>
    <row r="1" ht="26" customHeight="1">
      <c r="A1" s="1" t="inlineStr">
        <is>
          <t>셀로 만드는 시각 요소</t>
        </is>
      </c>
    </row>
    <row r="2" ht="16" customHeight="1">
      <c r="A2" s="2" t="inlineStr">
        <is>
          <t>도형을 쓰지 않는다. 행 높이 · 열 너비 · 테두리 · 채우기 · 조건부 서식만으로 만든다.</t>
        </is>
      </c>
    </row>
    <row r="3" ht="6" customHeight="1"/>
    <row r="5" ht="22" customHeight="1">
      <c r="B5" s="3" t="inlineStr">
        <is>
          <t>① 지표 카드</t>
        </is>
      </c>
      <c r="C5" s="4" t="n"/>
      <c r="D5" s="4" t="n"/>
      <c r="E5" s="4" t="n"/>
      <c r="F5" s="4" t="n"/>
      <c r="G5" s="4" t="n"/>
      <c r="H5" s="4" t="n"/>
    </row>
    <row r="6">
      <c r="J6" s="19" t="inlineStr">
        <is>
          <t>만드는 법</t>
        </is>
      </c>
    </row>
    <row r="7" ht="18" customHeight="1">
      <c r="B7" s="20" t="inlineStr">
        <is>
          <t>〈전체 건수〉</t>
        </is>
      </c>
      <c r="C7" s="21" t="n"/>
      <c r="D7" s="20" t="inlineStr">
        <is>
          <t>〈처리율〉</t>
        </is>
      </c>
      <c r="E7" s="21" t="n"/>
      <c r="F7" s="20" t="inlineStr">
        <is>
          <t>〈지연 건수〉</t>
        </is>
      </c>
      <c r="G7" s="21" t="n"/>
      <c r="J7" s="22" t="inlineStr">
        <is>
          <t>① 3×2 칸을 테두리로 묶는다  ② 숫자 칸 행 높이를 30으로 키우고 20pt 굵게  ③ 단위는 옆 칸에 10pt 회색  ④ 위·아래 칸에 이름과 비교 기준</t>
        </is>
      </c>
    </row>
    <row r="8" ht="30" customHeight="1">
      <c r="B8" s="23" t="inlineStr">
        <is>
          <t>1,240</t>
        </is>
      </c>
      <c r="C8" s="24" t="inlineStr">
        <is>
          <t>건</t>
        </is>
      </c>
      <c r="D8" s="25" t="inlineStr">
        <is>
          <t>98.2</t>
        </is>
      </c>
      <c r="E8" s="24" t="inlineStr">
        <is>
          <t>%</t>
        </is>
      </c>
      <c r="F8" s="26" t="inlineStr">
        <is>
          <t>12</t>
        </is>
      </c>
      <c r="G8" s="24" t="inlineStr">
        <is>
          <t>건</t>
        </is>
      </c>
    </row>
    <row r="9" ht="18" customHeight="1">
      <c r="B9" s="27" t="inlineStr">
        <is>
          <t>〈전월 대비 +8%〉</t>
        </is>
      </c>
      <c r="C9" s="28" t="n"/>
      <c r="D9" s="27" t="inlineStr">
        <is>
          <t>〈목표 95%〉</t>
        </is>
      </c>
      <c r="E9" s="28" t="n"/>
      <c r="F9" s="27" t="inlineStr">
        <is>
          <t>〈목표 10건 이하〉</t>
        </is>
      </c>
      <c r="G9" s="28" t="n"/>
    </row>
    <row r="11" ht="22" customHeight="1">
      <c r="B11" s="3" t="inlineStr">
        <is>
          <t>② 상태 배지 · 태그</t>
        </is>
      </c>
      <c r="C11" s="4" t="n"/>
      <c r="D11" s="4" t="n"/>
      <c r="E11" s="4" t="n"/>
      <c r="F11" s="4" t="n"/>
      <c r="G11" s="4" t="n"/>
      <c r="H11" s="4" t="n"/>
    </row>
    <row r="13" ht="22" customHeight="1">
      <c r="B13" s="29" t="inlineStr">
        <is>
          <t>정상</t>
        </is>
      </c>
      <c r="C13" s="30" t="n"/>
      <c r="D13" s="31" t="inlineStr">
        <is>
          <t>주의</t>
        </is>
      </c>
      <c r="E13" s="32" t="n"/>
      <c r="F13" s="33" t="inlineStr">
        <is>
          <t>위험</t>
        </is>
      </c>
      <c r="G13" s="34" t="n"/>
      <c r="H13" s="35" t="inlineStr">
        <is>
          <t>〈태그〉</t>
        </is>
      </c>
      <c r="I13" s="36" t="n"/>
      <c r="J13" s="22" t="inlineStr">
        <is>
          <t>글자색과 바탕색을 짝으로 쓴다. 홈 › 채우기 색 / 글꼴 색. 가운데 맞춤 + 굵게 + 양옆 칸 병합이면 배지처럼 보인다.</t>
        </is>
      </c>
    </row>
    <row r="14"/>
    <row r="16" ht="22" customHeight="1">
      <c r="B16" s="3" t="inlineStr">
        <is>
          <t>③ 구분선과 여백</t>
        </is>
      </c>
      <c r="C16" s="4" t="n"/>
      <c r="D16" s="4" t="n"/>
      <c r="E16" s="4" t="n"/>
      <c r="F16" s="4" t="n"/>
      <c r="G16" s="4" t="n"/>
      <c r="H16" s="4" t="n"/>
    </row>
    <row r="18">
      <c r="B18" s="18" t="inlineStr">
        <is>
          <t>〈굵은 구분선 — 행 높이 6 + 주색 채우기〉</t>
        </is>
      </c>
      <c r="J18" s="22" t="inlineStr">
        <is>
          <t>빈 행의 높이를 4~6 으로 줄이고 색을 채우면 선이 된다. 표와 표 사이에는 높이 8~10 의 빈 행을 두어 숨통을 틔운다.</t>
        </is>
      </c>
    </row>
    <row r="19" ht="6" customHeight="1">
      <c r="B19" s="37" t="inlineStr"/>
      <c r="C19" s="37" t="inlineStr"/>
      <c r="D19" s="37" t="inlineStr"/>
      <c r="E19" s="37" t="inlineStr"/>
      <c r="F19" s="37" t="inlineStr"/>
      <c r="G19" s="37" t="inlineStr"/>
      <c r="H19" s="37" t="inlineStr"/>
    </row>
    <row r="20">
      <c r="B20" s="18" t="inlineStr">
        <is>
          <t>〈얇은 구분선 — 행 높이 4 + 연한 채우기〉</t>
        </is>
      </c>
    </row>
    <row r="21" ht="4" customHeight="1">
      <c r="B21" s="38" t="inlineStr"/>
      <c r="C21" s="38" t="inlineStr"/>
      <c r="D21" s="38" t="inlineStr"/>
      <c r="E21" s="38" t="inlineStr"/>
      <c r="F21" s="38" t="inlineStr"/>
      <c r="G21" s="38" t="inlineStr"/>
      <c r="H21" s="38" t="inlineStr"/>
    </row>
    <row r="23" ht="22" customHeight="1">
      <c r="B23" s="3" t="inlineStr">
        <is>
          <t>④ 진행 막대 — 두 가지 방법</t>
        </is>
      </c>
      <c r="C23" s="4" t="n"/>
      <c r="D23" s="4" t="n"/>
      <c r="E23" s="4" t="n"/>
      <c r="F23" s="4" t="n"/>
      <c r="G23" s="4" t="n"/>
      <c r="H23" s="4" t="n"/>
    </row>
    <row r="25">
      <c r="B25" s="5" t="inlineStr">
        <is>
          <t>항목</t>
        </is>
      </c>
      <c r="C25" s="39" t="inlineStr">
        <is>
          <t>값</t>
        </is>
      </c>
      <c r="D25" s="5" t="inlineStr">
        <is>
          <t>REPT 함수 막대</t>
        </is>
      </c>
      <c r="E25" s="40" t="n"/>
      <c r="F25" s="39" t="inlineStr">
        <is>
          <t>조건부 서식 데이터 막대</t>
        </is>
      </c>
      <c r="J25" s="22" t="inlineStr">
        <is>
          <t>REPT 막대 — 수식으로 ■ 를 반복한다. 인쇄·복사에 강하다.
데이터 막대 — 범위 선택 › 홈 › 조건부 서식 › 데이터 막대. 값이 바뀌면 길이도 바뀐다.</t>
        </is>
      </c>
    </row>
    <row r="26" ht="20" customHeight="1">
      <c r="B26" s="6" t="inlineStr">
        <is>
          <t>〈항목 A〉</t>
        </is>
      </c>
      <c r="C26" s="41" t="n">
        <v>0.82</v>
      </c>
      <c r="D26" s="42">
        <f>REPT("■",ROUND(C26*10,0))&amp;" "&amp;TEXT(C26,"0%")</f>
        <v/>
      </c>
      <c r="E26" s="43" t="n"/>
      <c r="F26" s="41" t="n">
        <v>0.82</v>
      </c>
    </row>
    <row r="27" ht="20" customHeight="1">
      <c r="B27" s="6" t="inlineStr">
        <is>
          <t>〈항목 B〉</t>
        </is>
      </c>
      <c r="C27" s="41" t="n">
        <v>0.45</v>
      </c>
      <c r="D27" s="42">
        <f>REPT("■",ROUND(C27*10,0))&amp;" "&amp;TEXT(C27,"0%")</f>
        <v/>
      </c>
      <c r="E27" s="43" t="n"/>
      <c r="F27" s="41" t="n">
        <v>0.45</v>
      </c>
    </row>
    <row r="28" ht="20" customHeight="1">
      <c r="B28" s="7" t="inlineStr">
        <is>
          <t>〈항목 C〉</t>
        </is>
      </c>
      <c r="C28" s="44" t="n">
        <v>0.15</v>
      </c>
      <c r="D28" s="45">
        <f>REPT("■",ROUND(C28*10,0))&amp;" "&amp;TEXT(C28,"0%")</f>
        <v/>
      </c>
      <c r="E28" s="4" t="n"/>
      <c r="F28" s="44" t="n">
        <v>0.15</v>
      </c>
    </row>
    <row r="30" ht="22" customHeight="1">
      <c r="B30" s="3" t="inlineStr">
        <is>
          <t>⑤ 아이콘 집합 · 색조</t>
        </is>
      </c>
      <c r="C30" s="4" t="n"/>
      <c r="D30" s="4" t="n"/>
      <c r="E30" s="4" t="n"/>
      <c r="F30" s="4" t="n"/>
      <c r="G30" s="4" t="n"/>
      <c r="H30" s="4" t="n"/>
    </row>
    <row r="32">
      <c r="B32" s="5" t="inlineStr">
        <is>
          <t>구분</t>
        </is>
      </c>
      <c r="C32" s="39" t="inlineStr">
        <is>
          <t>아이콘</t>
        </is>
      </c>
      <c r="D32" s="39" t="inlineStr">
        <is>
          <t>색조</t>
        </is>
      </c>
      <c r="E32" s="39" t="inlineStr">
        <is>
          <t>O · △ · × 표기</t>
        </is>
      </c>
      <c r="F32" s="40" t="n"/>
      <c r="J32" s="22" t="inlineStr">
        <is>
          <t>아이콘 · 색조 — 범위 선택 › 홈 › 조건부 서식 › 아이콘 집합 / 색조.
기준값은 ‘규칙 관리 › 규칙 편집’에서 숫자로 직접 정한다.
O △ × 는 그냥 글자다. 색만 다르게 주면 인쇄에서도 잘 보인다.</t>
        </is>
      </c>
    </row>
    <row r="33" ht="20" customHeight="1">
      <c r="B33" s="6" t="inlineStr">
        <is>
          <t>〈좋음〉</t>
        </is>
      </c>
      <c r="C33" s="46" t="n">
        <v>95</v>
      </c>
      <c r="D33" s="46" t="n">
        <v>95</v>
      </c>
      <c r="E33" s="47" t="inlineStr">
        <is>
          <t>○</t>
        </is>
      </c>
      <c r="F33" s="43" t="n"/>
    </row>
    <row r="34" ht="20" customHeight="1">
      <c r="B34" s="6" t="inlineStr">
        <is>
          <t>〈보통〉</t>
        </is>
      </c>
      <c r="C34" s="46" t="n">
        <v>70</v>
      </c>
      <c r="D34" s="46" t="n">
        <v>70</v>
      </c>
      <c r="E34" s="48" t="inlineStr">
        <is>
          <t>△</t>
        </is>
      </c>
      <c r="F34" s="43" t="n"/>
    </row>
    <row r="35" ht="20" customHeight="1">
      <c r="B35" s="7" t="inlineStr">
        <is>
          <t>〈나쁨〉</t>
        </is>
      </c>
      <c r="C35" s="49" t="n">
        <v>35</v>
      </c>
      <c r="D35" s="49" t="n">
        <v>35</v>
      </c>
      <c r="E35" s="50" t="inlineStr">
        <is>
          <t>×</t>
        </is>
      </c>
      <c r="F35" s="4" t="n"/>
    </row>
    <row r="37" ht="22" customHeight="1">
      <c r="B37" s="3" t="inlineStr">
        <is>
          <t>⑥ 셀로 그린 도식</t>
        </is>
      </c>
      <c r="C37" s="4" t="n"/>
      <c r="D37" s="4" t="n"/>
      <c r="E37" s="4" t="n"/>
      <c r="F37" s="4" t="n"/>
      <c r="G37" s="4" t="n"/>
      <c r="H37" s="4" t="n"/>
    </row>
    <row r="39" ht="18" customHeight="1">
      <c r="B39" s="51" t="inlineStr">
        <is>
          <t>〈준비〉</t>
        </is>
      </c>
      <c r="C39" s="52" t="n"/>
      <c r="D39" s="53" t="inlineStr">
        <is>
          <t>→</t>
        </is>
      </c>
      <c r="E39" s="51" t="inlineStr">
        <is>
          <t>〈진행〉</t>
        </is>
      </c>
      <c r="F39" s="52" t="n"/>
      <c r="G39" s="53" t="inlineStr">
        <is>
          <t>→</t>
        </is>
      </c>
      <c r="H39" s="54" t="inlineStr">
        <is>
          <t>〈확인〉</t>
        </is>
      </c>
      <c r="I39" s="52" t="n"/>
      <c r="J39" s="22" t="inlineStr">
        <is>
          <t>열 너비를 2~3 으로 줄이면 셀이 모눈종이가 된다.
칸을 병합하고 테두리를 두르면 상자가, 화살표는 글자(→ ↓)를 넣으면 된다.
도형과 달리 셀에 붙어 있어 행·열을 옮겨도 흐트러지지 않는다.</t>
        </is>
      </c>
    </row>
    <row r="40" ht="18" customHeight="1">
      <c r="B40" s="55" t="n"/>
      <c r="C40" s="56" t="n"/>
      <c r="E40" s="55" t="n"/>
      <c r="F40" s="56" t="n"/>
      <c r="H40" s="55" t="n"/>
      <c r="I40" s="56" t="n"/>
    </row>
    <row r="41">
      <c r="D41" s="53" t="inlineStr">
        <is>
          <t>↓</t>
        </is>
      </c>
    </row>
    <row r="42">
      <c r="B42" s="57" t="inlineStr">
        <is>
          <t>〈아래로 이어지는 단계도 같은 방법으로 만든다〉</t>
        </is>
      </c>
      <c r="C42" s="58" t="n"/>
      <c r="D42" s="58" t="n"/>
      <c r="E42" s="58" t="n"/>
      <c r="F42" s="58" t="n"/>
      <c r="G42" s="21" t="n"/>
    </row>
    <row r="43">
      <c r="B43" s="59" t="n"/>
      <c r="C43" s="60" t="n"/>
      <c r="D43" s="60" t="n"/>
      <c r="E43" s="60" t="n"/>
      <c r="F43" s="60" t="n"/>
      <c r="G43" s="28" t="n"/>
    </row>
  </sheetData>
  <mergeCells count="30">
    <mergeCell ref="B7:C7"/>
    <mergeCell ref="E33:F33"/>
    <mergeCell ref="J32:K35"/>
    <mergeCell ref="G39:G40"/>
    <mergeCell ref="F7:G7"/>
    <mergeCell ref="E35:F35"/>
    <mergeCell ref="J25:K28"/>
    <mergeCell ref="D13:E13"/>
    <mergeCell ref="D27:E27"/>
    <mergeCell ref="B13:C13"/>
    <mergeCell ref="E34:F34"/>
    <mergeCell ref="D7:E7"/>
    <mergeCell ref="B42:G43"/>
    <mergeCell ref="D28:E28"/>
    <mergeCell ref="F13:G13"/>
    <mergeCell ref="B9:C9"/>
    <mergeCell ref="J39:K42"/>
    <mergeCell ref="H13:I13"/>
    <mergeCell ref="D9:E9"/>
    <mergeCell ref="J13:K14"/>
    <mergeCell ref="F9:G9"/>
    <mergeCell ref="E39:F40"/>
    <mergeCell ref="D25:E25"/>
    <mergeCell ref="D39:D40"/>
    <mergeCell ref="J7:K9"/>
    <mergeCell ref="E32:F32"/>
    <mergeCell ref="H39:I40"/>
    <mergeCell ref="J18:K20"/>
    <mergeCell ref="D26:E26"/>
    <mergeCell ref="B39:C40"/>
  </mergeCells>
  <conditionalFormatting sqref="F26:F28">
    <cfRule type="dataBar" priority="1">
      <dataBar showValue="1">
        <cfvo type="num" val="0"/>
        <cfvo type="num" val="1"/>
        <color rgb="002C6E9B"/>
      </dataBar>
    </cfRule>
  </conditionalFormatting>
  <conditionalFormatting sqref="C33:C35">
    <cfRule type="iconSet" priority="2">
      <iconSet iconSet="3TrafficLights1" showValue="1">
        <cfvo type="num" val="0"/>
        <cfvo type="num" val="60"/>
        <cfvo type="num" val="90"/>
      </iconSet>
    </cfRule>
  </conditionalFormatting>
  <conditionalFormatting sqref="D33:D35">
    <cfRule type="colorScale" priority="3">
      <colorScale>
        <cfvo type="num" val="0"/>
        <cfvo type="num" val="60"/>
        <cfvo type="num" val="100"/>
        <color rgb="FFFBEDED"/>
        <color rgb="FFFCF4E6"/>
        <color rgb="FFEAF4EF"/>
      </colorScale>
    </cfRule>
  </conditionalFormatting>
  <pageMargins left="0.5" right="0.5" top="0.6" bottom="0.55" header="0.3" footer="0.3"/>
  <pageSetup orientation="landscape" paperSize="9" fitToHeight="1" fitToWidth="1"/>
  <headerFooter>
    <oddHeader>&amp;L&amp;9 &amp;K888888셀로 만드는 시각 요소</oddHeader>
    <oddFooter>&amp;R&amp;9 &amp;K888888&amp;P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3" customWidth="1" min="7" max="7"/>
    <col width="46" customWidth="1" min="8" max="8"/>
  </cols>
  <sheetData>
    <row r="1" ht="26" customHeight="1">
      <c r="A1" s="1" t="inlineStr">
        <is>
          <t>표 서식 네 가지</t>
        </is>
      </c>
    </row>
    <row r="2" ht="16" customHeight="1">
      <c r="A2" s="2" t="inlineStr">
        <is>
          <t>쓰임에 맞는 표를 골라 복사한다. 선은 적게, 여백은 넉넉히.</t>
        </is>
      </c>
    </row>
    <row r="3" ht="6" customHeight="1"/>
    <row r="5" ht="22" customHeight="1">
      <c r="B5" s="3" t="inlineStr">
        <is>
          <t>① 기본 표 — 가장 많이 쓴다</t>
        </is>
      </c>
      <c r="C5" s="4" t="n"/>
      <c r="D5" s="4" t="n"/>
      <c r="E5" s="4" t="n"/>
      <c r="F5" s="4" t="n"/>
    </row>
    <row r="6">
      <c r="H6" s="19" t="inlineStr">
        <is>
          <t>만드는 법</t>
        </is>
      </c>
    </row>
    <row r="7" ht="22" customHeight="1">
      <c r="B7" s="5" t="inlineStr">
        <is>
          <t>구분</t>
        </is>
      </c>
      <c r="C7" s="5" t="inlineStr">
        <is>
          <t>항목</t>
        </is>
      </c>
      <c r="D7" s="5" t="inlineStr">
        <is>
          <t>〈값 1〉</t>
        </is>
      </c>
      <c r="E7" s="5" t="inlineStr">
        <is>
          <t>〈값 2〉</t>
        </is>
      </c>
      <c r="F7" s="5" t="inlineStr">
        <is>
          <t>비고</t>
        </is>
      </c>
      <c r="H7" s="22" t="inlineStr">
        <is>
          <t>머리글만 연한 색으로 채우고 아래 선을 굵게 둔다. 세로선은 넣지 않는다.
홈 › 테두리 › 다른 테두리 에서 아래쪽 선만 지정한다.</t>
        </is>
      </c>
    </row>
    <row r="8" ht="20" customHeight="1">
      <c r="B8" s="6" t="inlineStr">
        <is>
          <t>〈구분 A〉</t>
        </is>
      </c>
      <c r="C8" s="6" t="inlineStr">
        <is>
          <t>〈항목 이름〉</t>
        </is>
      </c>
      <c r="D8" s="61" t="n">
        <v>120</v>
      </c>
      <c r="E8" s="61" t="n">
        <v>100</v>
      </c>
      <c r="F8" s="6" t="inlineStr">
        <is>
          <t>〈메모〉</t>
        </is>
      </c>
    </row>
    <row r="9" ht="20" customHeight="1">
      <c r="B9" s="6" t="inlineStr">
        <is>
          <t>〈구분 A〉</t>
        </is>
      </c>
      <c r="C9" s="6" t="inlineStr">
        <is>
          <t>〈항목 이름〉</t>
        </is>
      </c>
      <c r="D9" s="61" t="n">
        <v>98</v>
      </c>
      <c r="E9" s="61" t="n">
        <v>102</v>
      </c>
      <c r="F9" s="6" t="inlineStr"/>
    </row>
    <row r="10" ht="20" customHeight="1">
      <c r="B10" s="7" t="inlineStr">
        <is>
          <t>〈구분 B〉</t>
        </is>
      </c>
      <c r="C10" s="7" t="inlineStr">
        <is>
          <t>〈항목 이름〉</t>
        </is>
      </c>
      <c r="D10" s="62" t="n">
        <v>45</v>
      </c>
      <c r="E10" s="62" t="n">
        <v>38</v>
      </c>
      <c r="F10" s="7" t="inlineStr"/>
    </row>
    <row r="12" ht="22" customHeight="1">
      <c r="B12" s="3" t="inlineStr">
        <is>
          <t>② 줄무늬 표 — 행이 많을 때</t>
        </is>
      </c>
      <c r="C12" s="4" t="n"/>
      <c r="D12" s="4" t="n"/>
      <c r="E12" s="4" t="n"/>
      <c r="F12" s="4" t="n"/>
    </row>
    <row r="13">
      <c r="H13" s="22" t="inlineStr">
        <is>
          <t>줄무늬는 색을 직접 칠하지 말고 조건부 서식 수식으로 준다.
새 규칙 › 수식 사용 › =MOD(ROW(),2)=0 › 서식 › 채우기</t>
        </is>
      </c>
    </row>
    <row r="14" ht="22" customHeight="1">
      <c r="B14" s="5" t="inlineStr">
        <is>
          <t>구분</t>
        </is>
      </c>
      <c r="C14" s="5" t="inlineStr">
        <is>
          <t>항목</t>
        </is>
      </c>
      <c r="D14" s="5" t="inlineStr">
        <is>
          <t>〈값 1〉</t>
        </is>
      </c>
      <c r="E14" s="5" t="inlineStr">
        <is>
          <t>〈값 2〉</t>
        </is>
      </c>
      <c r="F14" s="5" t="inlineStr">
        <is>
          <t>비고</t>
        </is>
      </c>
    </row>
    <row r="15" ht="20" customHeight="1">
      <c r="B15" s="6" t="inlineStr">
        <is>
          <t>〈구분 A〉</t>
        </is>
      </c>
      <c r="C15" s="6" t="inlineStr">
        <is>
          <t>〈항목 이름〉</t>
        </is>
      </c>
      <c r="D15" s="61" t="n">
        <v>100</v>
      </c>
      <c r="E15" s="61" t="n">
        <v>90</v>
      </c>
      <c r="F15" s="6" t="inlineStr"/>
    </row>
    <row r="16" ht="20" customHeight="1">
      <c r="B16" s="6" t="inlineStr">
        <is>
          <t>〈구분 A〉</t>
        </is>
      </c>
      <c r="C16" s="6" t="inlineStr">
        <is>
          <t>〈항목 이름〉</t>
        </is>
      </c>
      <c r="D16" s="61" t="n">
        <v>93</v>
      </c>
      <c r="E16" s="61" t="n">
        <v>85</v>
      </c>
      <c r="F16" s="6" t="inlineStr"/>
    </row>
    <row r="17" ht="20" customHeight="1">
      <c r="B17" s="6" t="inlineStr">
        <is>
          <t>〈구분 B〉</t>
        </is>
      </c>
      <c r="C17" s="6" t="inlineStr">
        <is>
          <t>〈항목 이름〉</t>
        </is>
      </c>
      <c r="D17" s="61" t="n">
        <v>86</v>
      </c>
      <c r="E17" s="61" t="n">
        <v>80</v>
      </c>
      <c r="F17" s="6" t="inlineStr"/>
    </row>
    <row r="18" ht="20" customHeight="1">
      <c r="B18" s="7" t="inlineStr">
        <is>
          <t>〈구분 B〉</t>
        </is>
      </c>
      <c r="C18" s="7" t="inlineStr">
        <is>
          <t>〈항목 이름〉</t>
        </is>
      </c>
      <c r="D18" s="62" t="n">
        <v>79</v>
      </c>
      <c r="E18" s="62" t="n">
        <v>75</v>
      </c>
      <c r="F18" s="7" t="inlineStr"/>
    </row>
    <row r="20" ht="22" customHeight="1">
      <c r="B20" s="3" t="inlineStr">
        <is>
          <t>③ 합계가 있는 표</t>
        </is>
      </c>
      <c r="C20" s="4" t="n"/>
      <c r="D20" s="4" t="n"/>
      <c r="E20" s="4" t="n"/>
      <c r="F20" s="4" t="n"/>
    </row>
    <row r="21">
      <c r="H21" s="22" t="inlineStr">
        <is>
          <t>합계 행은 위쪽에 얇은 선을 긋고 굵게 쓴다. 색은 쓰지 않아도 충분하다.
합계는 =SUM(위 범위) 로 넣어 두면 값이 바뀌어도 따라온다.</t>
        </is>
      </c>
    </row>
    <row r="22" ht="22" customHeight="1">
      <c r="B22" s="5" t="inlineStr">
        <is>
          <t>구분</t>
        </is>
      </c>
      <c r="C22" s="5" t="inlineStr">
        <is>
          <t>항목</t>
        </is>
      </c>
      <c r="D22" s="5" t="inlineStr">
        <is>
          <t>〈1월〉</t>
        </is>
      </c>
      <c r="E22" s="5" t="inlineStr">
        <is>
          <t>〈2월〉</t>
        </is>
      </c>
      <c r="F22" s="5" t="inlineStr">
        <is>
          <t>합계</t>
        </is>
      </c>
    </row>
    <row r="23" ht="20" customHeight="1">
      <c r="B23" s="6" t="inlineStr">
        <is>
          <t>〈구분 A〉</t>
        </is>
      </c>
      <c r="C23" s="6" t="inlineStr">
        <is>
          <t>〈항목〉</t>
        </is>
      </c>
      <c r="D23" s="61" t="n">
        <v>120</v>
      </c>
      <c r="E23" s="61" t="n">
        <v>135</v>
      </c>
      <c r="F23" s="61">
        <f>SUM(D23:E23)</f>
        <v/>
      </c>
    </row>
    <row r="24" ht="20" customHeight="1">
      <c r="B24" s="6" t="inlineStr">
        <is>
          <t>〈구분 B〉</t>
        </is>
      </c>
      <c r="C24" s="6" t="inlineStr">
        <is>
          <t>〈항목〉</t>
        </is>
      </c>
      <c r="D24" s="61" t="n">
        <v>80</v>
      </c>
      <c r="E24" s="61" t="n">
        <v>76</v>
      </c>
      <c r="F24" s="61">
        <f>SUM(D24:E24)</f>
        <v/>
      </c>
    </row>
    <row r="25" ht="20" customHeight="1">
      <c r="B25" s="7" t="inlineStr">
        <is>
          <t>〈구분 C〉</t>
        </is>
      </c>
      <c r="C25" s="7" t="inlineStr">
        <is>
          <t>〈항목〉</t>
        </is>
      </c>
      <c r="D25" s="62" t="n">
        <v>45</v>
      </c>
      <c r="E25" s="62" t="n">
        <v>52</v>
      </c>
      <c r="F25" s="62">
        <f>SUM(D25:E25)</f>
        <v/>
      </c>
    </row>
    <row r="26" ht="22" customHeight="1">
      <c r="B26" s="63" t="inlineStr">
        <is>
          <t>합계</t>
        </is>
      </c>
      <c r="C26" s="64" t="inlineStr"/>
      <c r="D26" s="65">
        <f>SUM(D23:D25)</f>
        <v/>
      </c>
      <c r="E26" s="65">
        <f>SUM(E23:E25)</f>
        <v/>
      </c>
      <c r="F26" s="65">
        <f>SUM(F23:F25)</f>
        <v/>
      </c>
    </row>
    <row r="28" ht="22" customHeight="1">
      <c r="B28" s="3" t="inlineStr">
        <is>
          <t>④ 인쇄용 표 — 나눠 주는 문서</t>
        </is>
      </c>
      <c r="C28" s="4" t="n"/>
      <c r="D28" s="4" t="n"/>
      <c r="E28" s="4" t="n"/>
      <c r="F28" s="4" t="n"/>
    </row>
    <row r="29">
      <c r="H29" s="22" t="inlineStr">
        <is>
          <t>인쇄물은 모든 칸에 얇은 선을 넣는 편이 읽기 쉽다.
페이지 레이아웃 › 인쇄 제목 › 반복할 행 에 머리글 행을 지정한다.</t>
        </is>
      </c>
    </row>
    <row r="30" ht="22" customHeight="1">
      <c r="B30" s="66" t="inlineStr">
        <is>
          <t>구분</t>
        </is>
      </c>
      <c r="C30" s="66" t="inlineStr">
        <is>
          <t>항목</t>
        </is>
      </c>
      <c r="D30" s="66" t="inlineStr">
        <is>
          <t>〈값 1〉</t>
        </is>
      </c>
      <c r="E30" s="66" t="inlineStr">
        <is>
          <t>〈값 2〉</t>
        </is>
      </c>
      <c r="F30" s="67" t="inlineStr">
        <is>
          <t>확인</t>
        </is>
      </c>
    </row>
    <row r="31" ht="20" customHeight="1">
      <c r="B31" s="68" t="inlineStr">
        <is>
          <t>〈구분〉</t>
        </is>
      </c>
      <c r="C31" s="68" t="inlineStr">
        <is>
          <t>〈항목 이름〉</t>
        </is>
      </c>
      <c r="D31" s="69" t="inlineStr"/>
      <c r="E31" s="69" t="inlineStr"/>
      <c r="F31" s="70" t="inlineStr"/>
    </row>
    <row r="32" ht="20" customHeight="1">
      <c r="B32" s="68" t="inlineStr">
        <is>
          <t>〈구분〉</t>
        </is>
      </c>
      <c r="C32" s="68" t="inlineStr">
        <is>
          <t>〈항목 이름〉</t>
        </is>
      </c>
      <c r="D32" s="69" t="inlineStr"/>
      <c r="E32" s="69" t="inlineStr"/>
      <c r="F32" s="70" t="inlineStr"/>
    </row>
    <row r="33" ht="20" customHeight="1">
      <c r="B33" s="68" t="inlineStr">
        <is>
          <t>〈구분〉</t>
        </is>
      </c>
      <c r="C33" s="68" t="inlineStr">
        <is>
          <t>〈항목 이름〉</t>
        </is>
      </c>
      <c r="D33" s="69" t="inlineStr"/>
      <c r="E33" s="69" t="inlineStr"/>
      <c r="F33" s="70" t="inlineStr"/>
    </row>
    <row r="34" ht="20" customHeight="1">
      <c r="B34" s="68" t="inlineStr">
        <is>
          <t>〈구분〉</t>
        </is>
      </c>
      <c r="C34" s="68" t="inlineStr">
        <is>
          <t>〈항목 이름〉</t>
        </is>
      </c>
      <c r="D34" s="69" t="inlineStr"/>
      <c r="E34" s="69" t="inlineStr"/>
      <c r="F34" s="70" t="inlineStr"/>
    </row>
  </sheetData>
  <mergeCells count="4">
    <mergeCell ref="H13:H15"/>
    <mergeCell ref="H7:H9"/>
    <mergeCell ref="H29:H31"/>
    <mergeCell ref="H21:H23"/>
  </mergeCells>
  <conditionalFormatting sqref="B15:F18">
    <cfRule type="expression" priority="1" dxfId="0">
      <formula>MOD(ROW(),2)=0</formula>
    </cfRule>
  </conditionalFormatting>
  <pageMargins left="0.5" right="0.5" top="0.6" bottom="0.55" header="0.3" footer="0.3"/>
  <pageSetup orientation="landscape" paperSize="9" fitToHeight="1" fitToWidth="1"/>
  <headerFooter>
    <oddHeader>&amp;L&amp;9 &amp;K888888표 서식</oddHeader>
    <oddFooter>&amp;R&amp;9 &amp;K888888&amp;P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6" customWidth="1" min="1" max="1"/>
    <col width="13" customWidth="1" min="2" max="2"/>
    <col width="7" customWidth="1" min="3" max="3"/>
    <col width="13" customWidth="1" min="4" max="4"/>
    <col width="7" customWidth="1" min="5" max="5"/>
    <col width="13" customWidth="1" min="6" max="6"/>
    <col width="7" customWidth="1" min="7" max="7"/>
    <col width="13" customWidth="1" min="8" max="8"/>
    <col width="7" customWidth="1" min="9" max="9"/>
    <col width="3" customWidth="1" min="10" max="10"/>
    <col width="40" customWidth="1" min="11" max="11"/>
  </cols>
  <sheetData>
    <row r="1" ht="26" customHeight="1">
      <c r="A1" s="1" t="inlineStr">
        <is>
          <t>한 장 요약 (대시보드)</t>
        </is>
      </c>
    </row>
    <row r="2" ht="16" customHeight="1">
      <c r="A2" s="2" t="inlineStr">
        <is>
          <t>〈기준일 2026-01-01〉 지표 · 막대 · 상태를 한 화면에 모은 예. 숫자만 바꿔 쓴다.</t>
        </is>
      </c>
    </row>
    <row r="3" ht="6" customHeight="1"/>
    <row r="5" ht="18" customHeight="1">
      <c r="B5" s="71" t="inlineStr">
        <is>
          <t>〈전체 건수〉</t>
        </is>
      </c>
      <c r="C5" s="21" t="n"/>
      <c r="D5" s="71" t="inlineStr">
        <is>
          <t>〈처리율〉</t>
        </is>
      </c>
      <c r="E5" s="21" t="n"/>
      <c r="F5" s="71" t="inlineStr">
        <is>
          <t>〈평균 소요〉</t>
        </is>
      </c>
      <c r="G5" s="21" t="n"/>
      <c r="H5" s="71" t="inlineStr">
        <is>
          <t>〈지연 건수〉</t>
        </is>
      </c>
      <c r="I5" s="21" t="n"/>
    </row>
    <row r="6" ht="30" customHeight="1">
      <c r="B6" s="72" t="n">
        <v>1240</v>
      </c>
      <c r="C6" s="24" t="inlineStr">
        <is>
          <t>건</t>
        </is>
      </c>
      <c r="D6" s="73" t="n">
        <v>0.982</v>
      </c>
      <c r="E6" s="24" t="inlineStr"/>
      <c r="F6" s="74" t="n">
        <v>2.4</v>
      </c>
      <c r="G6" s="24" t="inlineStr">
        <is>
          <t>일</t>
        </is>
      </c>
      <c r="H6" s="75" t="n">
        <v>12</v>
      </c>
      <c r="I6" s="24" t="inlineStr">
        <is>
          <t>건</t>
        </is>
      </c>
    </row>
    <row r="7" ht="18" customHeight="1">
      <c r="B7" s="76" t="inlineStr">
        <is>
          <t>〈전월 1,148〉</t>
        </is>
      </c>
      <c r="C7" s="28" t="n"/>
      <c r="D7" s="76" t="inlineStr">
        <is>
          <t>〈목표 95%〉</t>
        </is>
      </c>
      <c r="E7" s="28" t="n"/>
      <c r="F7" s="76" t="inlineStr">
        <is>
          <t>〈전월 2.9일〉</t>
        </is>
      </c>
      <c r="G7" s="28" t="n"/>
      <c r="H7" s="76" t="inlineStr">
        <is>
          <t>〈목표 10 이하〉</t>
        </is>
      </c>
      <c r="I7" s="28" t="n"/>
    </row>
    <row r="9" ht="22" customHeight="1">
      <c r="B9" s="3" t="inlineStr">
        <is>
          <t>항목별 현황</t>
        </is>
      </c>
      <c r="C9" s="4" t="n"/>
      <c r="D9" s="4" t="n"/>
      <c r="E9" s="4" t="n"/>
      <c r="F9" s="4" t="n"/>
      <c r="G9" s="4" t="n"/>
      <c r="H9" s="4" t="n"/>
      <c r="I9" s="4" t="n"/>
      <c r="K9" s="3" t="inlineStr">
        <is>
          <t>확인할 것</t>
        </is>
      </c>
    </row>
    <row r="10" ht="22" customHeight="1">
      <c r="B10" s="5" t="inlineStr">
        <is>
          <t>항목</t>
        </is>
      </c>
      <c r="C10" s="40" t="n"/>
      <c r="D10" s="39" t="inlineStr">
        <is>
          <t>건수</t>
        </is>
      </c>
      <c r="E10" s="39" t="inlineStr">
        <is>
          <t>비율</t>
        </is>
      </c>
      <c r="F10" s="5" t="inlineStr">
        <is>
          <t>막대</t>
        </is>
      </c>
      <c r="G10" s="40" t="n"/>
      <c r="H10" s="39" t="inlineStr">
        <is>
          <t>상태</t>
        </is>
      </c>
      <c r="I10" s="40" t="n"/>
      <c r="K10" s="77" t="inlineStr">
        <is>
          <t>〈지연 건수 증가〉</t>
        </is>
      </c>
    </row>
    <row r="11" ht="20" customHeight="1">
      <c r="B11" s="6" t="inlineStr">
        <is>
          <t>〈항목 A〉</t>
        </is>
      </c>
      <c r="C11" s="43" t="n"/>
      <c r="D11" s="78" t="n">
        <v>420</v>
      </c>
      <c r="E11" s="41" t="n">
        <v>0.92</v>
      </c>
      <c r="F11" s="42">
        <f>REPT("■",ROUND(E11*10,0))</f>
        <v/>
      </c>
      <c r="G11" s="43" t="n"/>
      <c r="H11" s="79" t="inlineStr">
        <is>
          <t>정상</t>
        </is>
      </c>
      <c r="I11" s="80" t="n"/>
      <c r="K11" s="81" t="inlineStr">
        <is>
          <t>〈원인 확인 후 조치 · 01-10까지〉</t>
        </is>
      </c>
    </row>
    <row r="12" ht="20" customHeight="1">
      <c r="B12" s="6" t="inlineStr">
        <is>
          <t>〈항목 B〉</t>
        </is>
      </c>
      <c r="C12" s="43" t="n"/>
      <c r="D12" s="78" t="n">
        <v>310</v>
      </c>
      <c r="E12" s="41" t="n">
        <v>0.78</v>
      </c>
      <c r="F12" s="42">
        <f>REPT("■",ROUND(E12*10,0))</f>
        <v/>
      </c>
      <c r="G12" s="43" t="n"/>
      <c r="H12" s="79" t="inlineStr">
        <is>
          <t>정상</t>
        </is>
      </c>
      <c r="I12" s="80" t="n"/>
    </row>
    <row r="13" ht="20" customHeight="1">
      <c r="B13" s="6" t="inlineStr">
        <is>
          <t>〈항목 C〉</t>
        </is>
      </c>
      <c r="C13" s="43" t="n"/>
      <c r="D13" s="78" t="n">
        <v>260</v>
      </c>
      <c r="E13" s="41" t="n">
        <v>0.61</v>
      </c>
      <c r="F13" s="42">
        <f>REPT("■",ROUND(E13*10,0))</f>
        <v/>
      </c>
      <c r="G13" s="43" t="n"/>
      <c r="H13" s="82" t="inlineStr">
        <is>
          <t>주의</t>
        </is>
      </c>
      <c r="I13" s="83" t="n"/>
      <c r="K13" s="84" t="inlineStr">
        <is>
          <t>〈항목 E 비율 낮음〉</t>
        </is>
      </c>
    </row>
    <row r="14" ht="20" customHeight="1">
      <c r="B14" s="6" t="inlineStr">
        <is>
          <t>〈항목 D〉</t>
        </is>
      </c>
      <c r="C14" s="43" t="n"/>
      <c r="D14" s="78" t="n">
        <v>150</v>
      </c>
      <c r="E14" s="41" t="n">
        <v>0.44</v>
      </c>
      <c r="F14" s="42">
        <f>REPT("■",ROUND(E14*10,0))</f>
        <v/>
      </c>
      <c r="G14" s="43" t="n"/>
      <c r="H14" s="82" t="inlineStr">
        <is>
          <t>주의</t>
        </is>
      </c>
      <c r="I14" s="83" t="n"/>
      <c r="K14" s="85" t="inlineStr">
        <is>
          <t>〈담당 배정 조정 · 01-15까지〉</t>
        </is>
      </c>
    </row>
    <row r="15" ht="20" customHeight="1">
      <c r="B15" s="7" t="inlineStr">
        <is>
          <t>〈항목 E〉</t>
        </is>
      </c>
      <c r="C15" s="4" t="n"/>
      <c r="D15" s="86" t="n">
        <v>100</v>
      </c>
      <c r="E15" s="44" t="n">
        <v>0.22</v>
      </c>
      <c r="F15" s="45">
        <f>REPT("■",ROUND(E15*10,0))</f>
        <v/>
      </c>
      <c r="G15" s="4" t="n"/>
      <c r="H15" s="87" t="inlineStr">
        <is>
          <t>위험</t>
        </is>
      </c>
      <c r="I15" s="88" t="n"/>
    </row>
    <row r="16">
      <c r="K16" s="89" t="inlineStr">
        <is>
          <t>〈전체 처리율 목표 달성〉</t>
        </is>
      </c>
    </row>
    <row r="17">
      <c r="K17" s="90" t="inlineStr">
        <is>
          <t>〈현행 유지〉</t>
        </is>
      </c>
    </row>
    <row r="21" ht="17" customHeight="1">
      <c r="B21" s="18" t="inlineStr">
        <is>
          <t>※ 〈기준일 · 산출 방법 · 제외 대상을 여기에 적는다. 숫자만 있으면 읽는 사람이 각자 해석한다.〉</t>
        </is>
      </c>
    </row>
    <row r="22" ht="17" customHeight="1">
      <c r="B22" s="18" t="inlineStr">
        <is>
          <t>※ 막대는 REPT 함수, 건수 칸은 조건부 서식 데이터 막대. 상태 칸은 채우기 색만 바꾼 것이다.</t>
        </is>
      </c>
    </row>
  </sheetData>
  <mergeCells count="26">
    <mergeCell ref="F11:G11"/>
    <mergeCell ref="B7:C7"/>
    <mergeCell ref="F10:G10"/>
    <mergeCell ref="H10:I10"/>
    <mergeCell ref="F7:G7"/>
    <mergeCell ref="B12:C12"/>
    <mergeCell ref="F12:G12"/>
    <mergeCell ref="B11:C11"/>
    <mergeCell ref="F15:G15"/>
    <mergeCell ref="F5:G5"/>
    <mergeCell ref="B14:C14"/>
    <mergeCell ref="B13:C13"/>
    <mergeCell ref="H11:I11"/>
    <mergeCell ref="D7:E7"/>
    <mergeCell ref="H7:I7"/>
    <mergeCell ref="B10:C10"/>
    <mergeCell ref="F13:G13"/>
    <mergeCell ref="H13:I13"/>
    <mergeCell ref="H12:I12"/>
    <mergeCell ref="B15:C15"/>
    <mergeCell ref="B5:C5"/>
    <mergeCell ref="D5:E5"/>
    <mergeCell ref="H15:I15"/>
    <mergeCell ref="H5:I5"/>
    <mergeCell ref="F14:G14"/>
    <mergeCell ref="H14:I14"/>
  </mergeCells>
  <conditionalFormatting sqref="D11:D15">
    <cfRule type="dataBar" priority="1">
      <dataBar showValue="1">
        <cfvo type="num" val="0"/>
        <cfvo type="num" val="500"/>
        <color rgb="00E9F0F6"/>
      </dataBar>
    </cfRule>
  </conditionalFormatting>
  <pageMargins left="0.5" right="0.5" top="0.6" bottom="0.55" header="0.3" footer="0.3"/>
  <pageSetup orientation="landscape" paperSize="9" fitToHeight="0" fitToWidth="1"/>
  <headerFooter>
    <oddHeader>&amp;L&amp;9 &amp;K888888한 장 요약</oddHeader>
    <oddFooter>&amp;R&amp;9 &amp;K888888&amp;P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1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6" customWidth="1" min="1" max="1"/>
    <col width="22" customWidth="1" min="2" max="2"/>
    <col width="10" customWidth="1" min="3" max="3"/>
    <col width="8" customWidth="1" min="4" max="4"/>
    <col width="8" customWidth="1" min="5" max="5"/>
    <col width="9" customWidth="1" min="6" max="6"/>
    <col width="4.4" customWidth="1" min="7" max="7"/>
    <col width="4.4" customWidth="1" min="8" max="8"/>
    <col width="4.4" customWidth="1" min="9" max="9"/>
    <col width="4.4" customWidth="1" min="10" max="10"/>
    <col width="4.4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3" customWidth="1" min="20" max="20"/>
    <col width="44" customWidth="1" min="21" max="21"/>
  </cols>
  <sheetData>
    <row r="1" ht="26" customHeight="1">
      <c r="A1" s="1" t="inlineStr">
        <is>
          <t>일정표 (간트)</t>
        </is>
      </c>
    </row>
    <row r="2" ht="16" customHeight="1">
      <c r="A2" s="2" t="inlineStr">
        <is>
          <t>시작 · 종료 주차만 입력하면 막대가 자동으로 칠해진다. 도형을 그리지 않는다.</t>
        </is>
      </c>
    </row>
    <row r="3" ht="6" customHeight="1"/>
    <row r="5" ht="20" customHeight="1">
      <c r="B5" s="91" t="inlineStr">
        <is>
          <t>현재 주차</t>
        </is>
      </c>
      <c r="C5" s="92" t="n">
        <v>5</v>
      </c>
      <c r="D5" s="18" t="inlineStr">
        <is>
          <t>← 이 숫자를 바꾸면 기준선이 옮겨진다</t>
        </is>
      </c>
    </row>
    <row r="7" ht="22" customHeight="1">
      <c r="B7" s="5" t="inlineStr">
        <is>
          <t>작업</t>
        </is>
      </c>
      <c r="C7" s="5" t="inlineStr">
        <is>
          <t>담당</t>
        </is>
      </c>
      <c r="D7" s="39" t="inlineStr">
        <is>
          <t>시작</t>
        </is>
      </c>
      <c r="E7" s="39" t="inlineStr">
        <is>
          <t>종료</t>
        </is>
      </c>
      <c r="F7" s="39" t="inlineStr">
        <is>
          <t>진행률</t>
        </is>
      </c>
      <c r="G7" s="93" t="n">
        <v>1</v>
      </c>
      <c r="H7" s="93" t="n">
        <v>2</v>
      </c>
      <c r="I7" s="93" t="n">
        <v>3</v>
      </c>
      <c r="J7" s="93" t="n">
        <v>4</v>
      </c>
      <c r="K7" s="93" t="n">
        <v>5</v>
      </c>
      <c r="L7" s="93" t="n">
        <v>6</v>
      </c>
      <c r="M7" s="93" t="n">
        <v>7</v>
      </c>
      <c r="N7" s="93" t="n">
        <v>8</v>
      </c>
      <c r="O7" s="93" t="n">
        <v>9</v>
      </c>
      <c r="P7" s="93" t="n">
        <v>10</v>
      </c>
      <c r="Q7" s="93" t="n">
        <v>11</v>
      </c>
      <c r="R7" s="93" t="n">
        <v>12</v>
      </c>
      <c r="U7" s="19" t="inlineStr">
        <is>
          <t>만드는 법</t>
        </is>
      </c>
    </row>
    <row r="8" ht="22" customHeight="1">
      <c r="B8" s="6" t="inlineStr">
        <is>
          <t>〈준비 단계〉</t>
        </is>
      </c>
      <c r="C8" s="6" t="inlineStr">
        <is>
          <t>〈이름〉</t>
        </is>
      </c>
      <c r="D8" s="46" t="n">
        <v>1</v>
      </c>
      <c r="E8" s="46" t="n">
        <v>3</v>
      </c>
      <c r="F8" s="41" t="n">
        <v>1</v>
      </c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U8" s="22" t="inlineStr">
        <is>
          <t>① 주차 머리글(1~12)과 시작 · 종료 칸을 숫자로 둔다
② 막대 범위를 선택하고 홈 › 조건부 서식 › 새 규칙 › 수식 사용
③ 수식  =AND(G$8&gt;=$D9,G$8&lt;=$E9)   ← 머리글 행은 행 고정($8), 시작 · 종료는 열 고정($D,$E)
④ 서식 › 채우기 에서 막대 색을 고른다
⑤ 기준선은 규칙을 하나 더 만들어  =G$8=$C$5  로 준다
⑥ 진행률 칸에는 조건부 서식 › 데이터 막대
주차 대신 날짜로 쓰려면 머리글에 날짜를 넣고 같은 수식을 쓰면 된다.</t>
        </is>
      </c>
    </row>
    <row r="9" ht="22" customHeight="1">
      <c r="B9" s="6" t="inlineStr">
        <is>
          <t>〈설계 · 검토〉</t>
        </is>
      </c>
      <c r="C9" s="6" t="inlineStr">
        <is>
          <t>〈이름〉</t>
        </is>
      </c>
      <c r="D9" s="46" t="n">
        <v>2</v>
      </c>
      <c r="E9" s="46" t="n">
        <v>5</v>
      </c>
      <c r="F9" s="41" t="n">
        <v>0.8</v>
      </c>
      <c r="G9" s="94" t="n"/>
      <c r="H9" s="94" t="n"/>
      <c r="I9" s="94" t="n"/>
      <c r="J9" s="94" t="n"/>
      <c r="K9" s="94" t="n"/>
      <c r="L9" s="94" t="n"/>
      <c r="M9" s="94" t="n"/>
      <c r="N9" s="94" t="n"/>
      <c r="O9" s="94" t="n"/>
      <c r="P9" s="94" t="n"/>
      <c r="Q9" s="94" t="n"/>
      <c r="R9" s="94" t="n"/>
    </row>
    <row r="10" ht="22" customHeight="1">
      <c r="B10" s="6" t="inlineStr">
        <is>
          <t>〈본 작업〉</t>
        </is>
      </c>
      <c r="C10" s="6" t="inlineStr">
        <is>
          <t>〈이름〉</t>
        </is>
      </c>
      <c r="D10" s="46" t="n">
        <v>4</v>
      </c>
      <c r="E10" s="46" t="n">
        <v>9</v>
      </c>
      <c r="F10" s="41" t="n">
        <v>0.45</v>
      </c>
      <c r="G10" s="94" t="n"/>
      <c r="H10" s="94" t="n"/>
      <c r="I10" s="94" t="n"/>
      <c r="J10" s="94" t="n"/>
      <c r="K10" s="94" t="n"/>
      <c r="L10" s="94" t="n"/>
      <c r="M10" s="94" t="n"/>
      <c r="N10" s="94" t="n"/>
      <c r="O10" s="94" t="n"/>
      <c r="P10" s="94" t="n"/>
      <c r="Q10" s="94" t="n"/>
      <c r="R10" s="94" t="n"/>
    </row>
    <row r="11" ht="22" customHeight="1">
      <c r="B11" s="6" t="inlineStr">
        <is>
          <t>〈검증〉</t>
        </is>
      </c>
      <c r="C11" s="6" t="inlineStr">
        <is>
          <t>〈이름〉</t>
        </is>
      </c>
      <c r="D11" s="46" t="n">
        <v>8</v>
      </c>
      <c r="E11" s="46" t="n">
        <v>10</v>
      </c>
      <c r="F11" s="41" t="n">
        <v>0.1</v>
      </c>
      <c r="G11" s="94" t="n"/>
      <c r="H11" s="94" t="n"/>
      <c r="I11" s="94" t="n"/>
      <c r="J11" s="94" t="n"/>
      <c r="K11" s="94" t="n"/>
      <c r="L11" s="94" t="n"/>
      <c r="M11" s="94" t="n"/>
      <c r="N11" s="94" t="n"/>
      <c r="O11" s="94" t="n"/>
      <c r="P11" s="94" t="n"/>
      <c r="Q11" s="94" t="n"/>
      <c r="R11" s="94" t="n"/>
    </row>
    <row r="12" ht="22" customHeight="1">
      <c r="B12" s="7" t="inlineStr">
        <is>
          <t>〈정리 · 보고〉</t>
        </is>
      </c>
      <c r="C12" s="7" t="inlineStr">
        <is>
          <t>〈이름〉</t>
        </is>
      </c>
      <c r="D12" s="49" t="n">
        <v>10</v>
      </c>
      <c r="E12" s="49" t="n">
        <v>12</v>
      </c>
      <c r="F12" s="44" t="n">
        <v>0</v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/>
    <row r="14"/>
    <row r="15"/>
    <row r="16"/>
    <row r="17"/>
    <row r="18"/>
    <row r="19"/>
  </sheetData>
  <mergeCells count="2">
    <mergeCell ref="U8:U19"/>
    <mergeCell ref="D5:H5"/>
  </mergeCells>
  <conditionalFormatting sqref="G8:R12">
    <cfRule type="expression" priority="1" dxfId="1" stopIfTrue="0">
      <formula>AND(G$7&gt;=$D8,G$7&lt;=$E8)</formula>
    </cfRule>
    <cfRule type="expression" priority="2" dxfId="2" stopIfTrue="0">
      <formula>G$7=$C$5</formula>
    </cfRule>
  </conditionalFormatting>
  <conditionalFormatting sqref="F8:F12">
    <cfRule type="dataBar" priority="3">
      <dataBar showValue="1">
        <cfvo type="num" val="0"/>
        <cfvo type="num" val="1"/>
        <color rgb="00E9F0F6"/>
      </dataBar>
    </cfRule>
  </conditionalFormatting>
  <pageMargins left="0.5" right="0.5" top="0.6" bottom="0.55" header="0.3" footer="0.3"/>
  <pageSetup orientation="landscape" paperSize="9" fitToHeight="0" fitToWidth="1"/>
  <headerFooter>
    <oddHeader>&amp;L&amp;9 &amp;K888888일정표</oddHeader>
    <oddFooter>&amp;R&amp;9 &amp;K888888&amp;P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3" customWidth="1" min="7" max="7"/>
    <col width="26" customWidth="1" min="8" max="8"/>
    <col width="44" customWidth="1" min="9" max="9"/>
    <col width="14" customWidth="1" min="10" max="10"/>
    <col width="30" customWidth="1" min="11" max="11"/>
  </cols>
  <sheetData>
    <row r="1" ht="26" customHeight="1">
      <c r="A1" s="1" t="inlineStr">
        <is>
          <t>자주 쓰는 함수</t>
        </is>
      </c>
    </row>
    <row r="2" ht="16" customHeight="1">
      <c r="A2" s="2" t="inlineStr">
        <is>
          <t>왼쪽 자료를 대상으로 실제 계산되는 수식이다. 수식 칸을 그대로 복사해 쓰면 된다.</t>
        </is>
      </c>
    </row>
    <row r="3" ht="6" customHeight="1"/>
    <row r="5" ht="22" customHeight="1">
      <c r="B5" s="3" t="inlineStr">
        <is>
          <t>자료</t>
        </is>
      </c>
      <c r="C5" s="4" t="n"/>
      <c r="D5" s="4" t="n"/>
      <c r="E5" s="4" t="n"/>
      <c r="F5" s="4" t="n"/>
    </row>
    <row r="6" ht="22" customHeight="1">
      <c r="B6" s="5" t="inlineStr">
        <is>
          <t>이름</t>
        </is>
      </c>
      <c r="C6" s="95" t="inlineStr">
        <is>
          <t>부서</t>
        </is>
      </c>
      <c r="D6" s="95" t="inlineStr">
        <is>
          <t>구분</t>
        </is>
      </c>
      <c r="E6" s="5" t="inlineStr">
        <is>
          <t>금액</t>
        </is>
      </c>
      <c r="F6" s="95" t="inlineStr">
        <is>
          <t>날짜</t>
        </is>
      </c>
      <c r="G6" s="95" t="inlineStr">
        <is>
          <t>상태</t>
        </is>
      </c>
    </row>
    <row r="7" ht="20" customHeight="1">
      <c r="B7" s="6" t="inlineStr">
        <is>
          <t>〈김하늘〉</t>
        </is>
      </c>
      <c r="C7" s="46" t="inlineStr">
        <is>
          <t>〈영업〉</t>
        </is>
      </c>
      <c r="D7" s="46" t="inlineStr">
        <is>
          <t>A</t>
        </is>
      </c>
      <c r="E7" s="96" t="n">
        <v>1200000</v>
      </c>
      <c r="F7" s="46" t="inlineStr">
        <is>
          <t>2026-01-05</t>
        </is>
      </c>
      <c r="G7" s="46" t="inlineStr">
        <is>
          <t>완료</t>
        </is>
      </c>
    </row>
    <row r="8" ht="20" customHeight="1">
      <c r="B8" s="6" t="inlineStr">
        <is>
          <t>〈이바다〉</t>
        </is>
      </c>
      <c r="C8" s="46" t="inlineStr">
        <is>
          <t>〈영업〉</t>
        </is>
      </c>
      <c r="D8" s="46" t="inlineStr">
        <is>
          <t>B</t>
        </is>
      </c>
      <c r="E8" s="96" t="n">
        <v>850000</v>
      </c>
      <c r="F8" s="46" t="inlineStr">
        <is>
          <t>2026-01-12</t>
        </is>
      </c>
      <c r="G8" s="46" t="inlineStr">
        <is>
          <t>진행</t>
        </is>
      </c>
    </row>
    <row r="9" ht="20" customHeight="1">
      <c r="B9" s="6" t="inlineStr">
        <is>
          <t>〈박구름〉</t>
        </is>
      </c>
      <c r="C9" s="46" t="inlineStr">
        <is>
          <t>〈지원〉</t>
        </is>
      </c>
      <c r="D9" s="46" t="inlineStr">
        <is>
          <t>A</t>
        </is>
      </c>
      <c r="E9" s="96" t="n">
        <v>430000</v>
      </c>
      <c r="F9" s="46" t="inlineStr">
        <is>
          <t>2026-01-18</t>
        </is>
      </c>
      <c r="G9" s="46" t="inlineStr">
        <is>
          <t>완료</t>
        </is>
      </c>
    </row>
    <row r="10" ht="20" customHeight="1">
      <c r="B10" s="6" t="inlineStr">
        <is>
          <t>〈최나무〉</t>
        </is>
      </c>
      <c r="C10" s="46" t="inlineStr">
        <is>
          <t>〈지원〉</t>
        </is>
      </c>
      <c r="D10" s="46" t="inlineStr">
        <is>
          <t>C</t>
        </is>
      </c>
      <c r="E10" s="96" t="n">
        <v>1750000</v>
      </c>
      <c r="F10" s="46" t="inlineStr">
        <is>
          <t>2026-02-02</t>
        </is>
      </c>
      <c r="G10" s="46" t="inlineStr">
        <is>
          <t>진행</t>
        </is>
      </c>
    </row>
    <row r="11" ht="20" customHeight="1">
      <c r="B11" s="6" t="inlineStr">
        <is>
          <t>〈정바람〉</t>
        </is>
      </c>
      <c r="C11" s="46" t="inlineStr">
        <is>
          <t>〈개발〉</t>
        </is>
      </c>
      <c r="D11" s="46" t="inlineStr">
        <is>
          <t>B</t>
        </is>
      </c>
      <c r="E11" s="96" t="n">
        <v>920000</v>
      </c>
      <c r="F11" s="46" t="inlineStr">
        <is>
          <t>2026-02-11</t>
        </is>
      </c>
      <c r="G11" s="46" t="inlineStr">
        <is>
          <t>보류</t>
        </is>
      </c>
    </row>
    <row r="12" ht="20" customHeight="1">
      <c r="B12" s="7" t="inlineStr">
        <is>
          <t>〈한소리〉</t>
        </is>
      </c>
      <c r="C12" s="49" t="inlineStr">
        <is>
          <t>〈개발〉</t>
        </is>
      </c>
      <c r="D12" s="49" t="inlineStr">
        <is>
          <t>A</t>
        </is>
      </c>
      <c r="E12" s="97" t="n">
        <v>2100000</v>
      </c>
      <c r="F12" s="49" t="inlineStr">
        <is>
          <t>2026-02-20</t>
        </is>
      </c>
      <c r="G12" s="49" t="inlineStr">
        <is>
          <t>완료</t>
        </is>
      </c>
    </row>
    <row r="14" ht="22" customHeight="1">
      <c r="B14" s="3" t="inlineStr">
        <is>
          <t>알아 두면 좋은 것</t>
        </is>
      </c>
      <c r="C14" s="4" t="n"/>
      <c r="D14" s="4" t="n"/>
      <c r="E14" s="4" t="n"/>
      <c r="F14" s="4" t="n"/>
    </row>
    <row r="15" ht="18" customHeight="1">
      <c r="B15" s="98" t="inlineStr">
        <is>
          <t>· $ 표시는 고정이다. F4 를 누르면 $A$1 → A$1 → $A1 순서로 바뀐다.</t>
        </is>
      </c>
      <c r="H15" s="5" t="inlineStr">
        <is>
          <t>하고 싶은 것</t>
        </is>
      </c>
      <c r="I15" s="5" t="inlineStr">
        <is>
          <t>수식</t>
        </is>
      </c>
      <c r="J15" s="95" t="inlineStr">
        <is>
          <t>결과</t>
        </is>
      </c>
      <c r="K15" s="5" t="inlineStr">
        <is>
          <t>메모</t>
        </is>
      </c>
    </row>
    <row r="16" ht="18" customHeight="1">
      <c r="B16" s="98" t="inlineStr">
        <is>
          <t>· 범위를 복사해 쓸 때는 조건 범위에 $ 를 붙여 둬야 어긋나지 않는다.</t>
        </is>
      </c>
      <c r="H16" s="6" t="inlineStr">
        <is>
          <t>이름으로 금액 찾기</t>
        </is>
      </c>
      <c r="I16" s="99">
        <f>VLOOKUP("〈박구름〉",$B$7:$F$12,4,FALSE)</f>
        <v/>
      </c>
      <c r="J16" s="100">
        <f>VLOOKUP("〈박구름〉",$B$7:$F$12,4,FALSE)</f>
        <v/>
      </c>
      <c r="K16" s="101" t="inlineStr">
        <is>
          <t>찾을 값이 첫 열에 있어야 한다</t>
        </is>
      </c>
    </row>
    <row r="17" ht="18" customHeight="1">
      <c r="B17" s="98" t="inlineStr">
        <is>
          <t>· 찾는 값이 없으면 #N/A 가 뜬다. IFERROR 로 감싼다.</t>
        </is>
      </c>
      <c r="H17" s="6" t="inlineStr">
        <is>
          <t>왼쪽 값도 찾기</t>
        </is>
      </c>
      <c r="I17" s="99">
        <f>INDEX($B$7:$B$12,MATCH(2100000,$E$7:$E$12,0))</f>
        <v/>
      </c>
      <c r="J17" s="100">
        <f>INDEX($B$7:$B$12,MATCH(2100000,$E$7:$E$12,0))</f>
        <v/>
      </c>
      <c r="K17" s="101" t="inlineStr">
        <is>
          <t>VLOOKUP 이 안 될 때</t>
        </is>
      </c>
    </row>
    <row r="18" ht="18" customHeight="1">
      <c r="B18" s="98" t="inlineStr">
        <is>
          <t>· 숫자처럼 보이는 글자는 계산되지 않는다. 데이터 › 텍스트 나누기 › 마침 으로 고친다.</t>
        </is>
      </c>
      <c r="H18" s="6" t="inlineStr">
        <is>
          <t>조건 하나로 세기</t>
        </is>
      </c>
      <c r="I18" s="99">
        <f>COUNTIF($C$7:$C$12,"〈영업〉")</f>
        <v/>
      </c>
      <c r="J18" s="100">
        <f>COUNTIF($C$7:$C$12,"〈영업〉")</f>
        <v/>
      </c>
      <c r="K18" s="101" t="inlineStr">
        <is>
          <t>몇 건인지</t>
        </is>
      </c>
    </row>
    <row r="19" ht="18" customHeight="1">
      <c r="B19" s="98" t="inlineStr">
        <is>
          <t>· 수식이 보이게 하려면 수식 › 수식 표시(Ctrl+`).</t>
        </is>
      </c>
      <c r="H19" s="6" t="inlineStr">
        <is>
          <t>조건 둘로 세기</t>
        </is>
      </c>
      <c r="I19" s="99">
        <f>COUNTIFS($C$7:$C$12,"〈개발〉",$G$7:$G$12,"완료")</f>
        <v/>
      </c>
      <c r="J19" s="100">
        <f>COUNTIFS($C$7:$C$12,"〈개발〉",$G$7:$G$12,"완료")</f>
        <v/>
      </c>
      <c r="K19" s="101" t="inlineStr">
        <is>
          <t>부서 + 상태</t>
        </is>
      </c>
    </row>
    <row r="20" ht="18" customHeight="1">
      <c r="B20" s="98" t="inlineStr">
        <is>
          <t>· SUBTOTAL(109, 범위) 는 필터로 숨긴 행을 빼고 합한다.</t>
        </is>
      </c>
      <c r="H20" s="6" t="inlineStr">
        <is>
          <t>조건으로 더하기</t>
        </is>
      </c>
      <c r="I20" s="99">
        <f>SUMIF($C$7:$C$12,"〈지원〉",$E$7:$E$12)</f>
        <v/>
      </c>
      <c r="J20" s="100">
        <f>SUMIF($C$7:$C$12,"〈지원〉",$E$7:$E$12)</f>
        <v/>
      </c>
      <c r="K20" s="101" t="inlineStr">
        <is>
          <t>해당 건만 합계</t>
        </is>
      </c>
    </row>
    <row r="21" ht="20" customHeight="1">
      <c r="H21" s="6" t="inlineStr">
        <is>
          <t>조건 둘로 더하기</t>
        </is>
      </c>
      <c r="I21" s="99">
        <f>SUMIFS($E$7:$E$12,$D$7:$D$12,"A",$G$7:$G$12,"완료")</f>
        <v/>
      </c>
      <c r="J21" s="100">
        <f>SUMIFS($E$7:$E$12,$D$7:$D$12,"A",$G$7:$G$12,"완료")</f>
        <v/>
      </c>
      <c r="K21" s="101" t="inlineStr">
        <is>
          <t>구분 + 상태</t>
        </is>
      </c>
    </row>
    <row r="22" ht="20" customHeight="1">
      <c r="H22" s="6" t="inlineStr">
        <is>
          <t>조건으로 평균</t>
        </is>
      </c>
      <c r="I22" s="99">
        <f>AVERAGEIF($D$7:$D$12,"A",$E$7:$E$12)</f>
        <v/>
      </c>
      <c r="J22" s="100">
        <f>AVERAGEIF($D$7:$D$12,"A",$E$7:$E$12)</f>
        <v/>
      </c>
      <c r="K22" s="101" t="inlineStr">
        <is>
          <t>0 으로 나누면 오류</t>
        </is>
      </c>
    </row>
    <row r="23" ht="20" customHeight="1">
      <c r="H23" s="6" t="inlineStr">
        <is>
          <t>오류 숨기기</t>
        </is>
      </c>
      <c r="I23" s="99">
        <f>IFERROR(VLOOKUP("없는이름",$B$7:$F$12,4,FALSE),"확인 필요")</f>
        <v/>
      </c>
      <c r="J23" s="100">
        <f>IFERROR(VLOOKUP("없는이름",$B$7:$F$12,4,FALSE),"확인 필요")</f>
        <v/>
      </c>
      <c r="K23" s="101" t="inlineStr">
        <is>
          <t>#N/A 대신 글자</t>
        </is>
      </c>
    </row>
    <row r="24" ht="20" customHeight="1">
      <c r="H24" s="6" t="inlineStr">
        <is>
          <t>조건 나누기</t>
        </is>
      </c>
      <c r="I24" s="99">
        <f>IF($E$7&gt;=1000000,"큰 건","일반")</f>
        <v/>
      </c>
      <c r="J24" s="100">
        <f>IF($E$7&gt;=1000000,"큰 건","일반")</f>
        <v/>
      </c>
      <c r="K24" s="101" t="inlineStr">
        <is>
          <t>IF 는 3단계까지만</t>
        </is>
      </c>
    </row>
    <row r="25" ht="20" customHeight="1">
      <c r="H25" s="6" t="inlineStr">
        <is>
          <t>여러 조건</t>
        </is>
      </c>
      <c r="I25" s="99">
        <f>IF($E$7&gt;=2000000,"상",IF($E$7&gt;=1000000,"중","하"))</f>
        <v/>
      </c>
      <c r="J25" s="100">
        <f>IF($E$7&gt;=2000000,"상",IF($E$7&gt;=1000000,"중","하"))</f>
        <v/>
      </c>
      <c r="K25" s="101" t="inlineStr">
        <is>
          <t>네 단계가 넘으면 표로</t>
        </is>
      </c>
    </row>
    <row r="26" ht="20" customHeight="1">
      <c r="H26" s="6" t="inlineStr">
        <is>
          <t>숫자를 글자로</t>
        </is>
      </c>
      <c r="I26" s="99">
        <f>TEXT($E$7,"#,##0")&amp;"원"</f>
        <v/>
      </c>
      <c r="J26" s="100">
        <f>TEXT($E$7,"#,##0")&amp;"원"</f>
        <v/>
      </c>
      <c r="K26" s="101" t="inlineStr">
        <is>
          <t>보고서 문장에 넣을 때</t>
        </is>
      </c>
    </row>
    <row r="27" ht="20" customHeight="1">
      <c r="H27" s="6" t="inlineStr">
        <is>
          <t>날짜 형식</t>
        </is>
      </c>
      <c r="I27" s="99">
        <f>TEXT($F$7,"yyyy-mm-dd(aaa)")</f>
        <v/>
      </c>
      <c r="J27" s="100">
        <f>TEXT($F$7,"yyyy-mm-dd(aaa)")</f>
        <v/>
      </c>
      <c r="K27" s="101" t="inlineStr">
        <is>
          <t>요일까지</t>
        </is>
      </c>
    </row>
    <row r="28" ht="20" customHeight="1">
      <c r="H28" s="6" t="inlineStr">
        <is>
          <t>월말 날짜</t>
        </is>
      </c>
      <c r="I28" s="99">
        <f>EOMONTH($F$7,0)</f>
        <v/>
      </c>
      <c r="J28" s="100">
        <f>EOMONTH($F$7,0)</f>
        <v/>
      </c>
      <c r="K28" s="101" t="inlineStr">
        <is>
          <t>0 은 이번 달, 1 은 다음 달</t>
        </is>
      </c>
    </row>
    <row r="29" ht="20" customHeight="1">
      <c r="H29" s="6" t="inlineStr">
        <is>
          <t>경과 일수</t>
        </is>
      </c>
      <c r="I29" s="99">
        <f>$F$12-$F$7</f>
        <v/>
      </c>
      <c r="J29" s="100">
        <f>$F$12-$F$7</f>
        <v/>
      </c>
      <c r="K29" s="101" t="inlineStr">
        <is>
          <t>날짜끼리 빼면 일수</t>
        </is>
      </c>
    </row>
    <row r="30" ht="20" customHeight="1">
      <c r="H30" s="6" t="inlineStr">
        <is>
          <t>글자 자르기</t>
        </is>
      </c>
      <c r="I30" s="99">
        <f>LEFT($B$7,3)&amp;"…"</f>
        <v/>
      </c>
      <c r="J30" s="100">
        <f>LEFT($B$7,3)&amp;"…"</f>
        <v/>
      </c>
      <c r="K30" s="101" t="inlineStr">
        <is>
          <t>긴 이름 줄이기</t>
        </is>
      </c>
    </row>
    <row r="31" ht="20" customHeight="1">
      <c r="H31" s="6" t="inlineStr">
        <is>
          <t>글자 합치기</t>
        </is>
      </c>
      <c r="I31" s="99">
        <f>$C$7&amp;" / "&amp;$B$7</f>
        <v/>
      </c>
      <c r="J31" s="100">
        <f>$C$7&amp;" / "&amp;$B$7</f>
        <v/>
      </c>
      <c r="K31" s="101" t="inlineStr">
        <is>
          <t>&amp; 로 잇는다</t>
        </is>
      </c>
    </row>
    <row r="32" ht="20" customHeight="1">
      <c r="H32" s="6" t="inlineStr">
        <is>
          <t>반올림</t>
        </is>
      </c>
      <c r="I32" s="99">
        <f>ROUND($E$7/10000,1)&amp;"만원"</f>
        <v/>
      </c>
      <c r="J32" s="100">
        <f>ROUND($E$7/10000,1)&amp;"만원"</f>
        <v/>
      </c>
      <c r="K32" s="101" t="inlineStr">
        <is>
          <t>자리수는 두 번째 인수</t>
        </is>
      </c>
    </row>
    <row r="33" ht="20" customHeight="1">
      <c r="H33" s="7" t="inlineStr">
        <is>
          <t>순위</t>
        </is>
      </c>
      <c r="I33" s="102">
        <f>RANK($E$7,$E$7:$E$12)</f>
        <v/>
      </c>
      <c r="J33" s="103">
        <f>RANK($E$7,$E$7:$E$12)</f>
        <v/>
      </c>
      <c r="K33" s="104" t="inlineStr">
        <is>
          <t>큰 값이 1위</t>
        </is>
      </c>
    </row>
  </sheetData>
  <mergeCells count="6">
    <mergeCell ref="B16:F16"/>
    <mergeCell ref="B20:F20"/>
    <mergeCell ref="B15:F15"/>
    <mergeCell ref="B19:F19"/>
    <mergeCell ref="B17:F17"/>
    <mergeCell ref="B18:F18"/>
  </mergeCells>
  <pageMargins left="0.5" right="0.5" top="0.6" bottom="0.55" header="0.3" footer="0.3"/>
  <pageSetup orientation="landscape" paperSize="9" fitToHeight="1" fitToWidth="1"/>
  <headerFooter>
    <oddHeader>&amp;L&amp;9 &amp;K888888자주 쓰는 함수</oddHeader>
    <oddFooter>&amp;R&amp;9 &amp;K888888&amp;P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8" max="8"/>
    <col width="18" customWidth="1" min="9" max="9"/>
    <col width="30" customWidth="1" min="10" max="10"/>
    <col width="26" customWidth="1" min="11" max="11"/>
  </cols>
  <sheetData>
    <row r="1" ht="26" customHeight="1">
      <c r="A1" s="1" t="inlineStr">
        <is>
          <t>미리 켜 둔 기능들</t>
        </is>
      </c>
    </row>
    <row r="2" ht="16" customHeight="1">
      <c r="A2" s="2" t="inlineStr">
        <is>
          <t>이 시트에는 아래 기능이 이미 적용되어 있다. 직접 눌러 보고, 같은 방법으로 내 파일에 적용한다.</t>
        </is>
      </c>
    </row>
    <row r="3" ht="6" customHeight="1"/>
    <row r="5" ht="22" customHeight="1">
      <c r="B5" s="39" t="inlineStr">
        <is>
          <t>날짜</t>
        </is>
      </c>
      <c r="C5" s="39" t="inlineStr">
        <is>
          <t>부서</t>
        </is>
      </c>
      <c r="D5" s="39" t="inlineStr">
        <is>
          <t>담당</t>
        </is>
      </c>
      <c r="E5" s="39" t="inlineStr">
        <is>
          <t>구분</t>
        </is>
      </c>
      <c r="F5" s="39" t="inlineStr">
        <is>
          <t>금액</t>
        </is>
      </c>
      <c r="G5" s="39" t="inlineStr">
        <is>
          <t>상태</t>
        </is>
      </c>
      <c r="I5" s="5" t="inlineStr">
        <is>
          <t>기능</t>
        </is>
      </c>
      <c r="J5" s="5" t="inlineStr">
        <is>
          <t>어디서 켜나</t>
        </is>
      </c>
      <c r="K5" s="5" t="inlineStr">
        <is>
          <t>이 시트에서 확인할 곳</t>
        </is>
      </c>
      <c r="M5" s="105" t="inlineStr">
        <is>
          <t>상태목록</t>
        </is>
      </c>
    </row>
    <row r="6" ht="20" customHeight="1">
      <c r="B6" s="106" t="n">
        <v>46023</v>
      </c>
      <c r="C6" s="46" t="inlineStr">
        <is>
          <t>〈영업〉</t>
        </is>
      </c>
      <c r="D6" s="46" t="inlineStr">
        <is>
          <t>〈김하늘〉</t>
        </is>
      </c>
      <c r="E6" s="46" t="inlineStr">
        <is>
          <t>A</t>
        </is>
      </c>
      <c r="F6" s="96" t="n">
        <v>300000</v>
      </c>
      <c r="G6" s="46" t="inlineStr">
        <is>
          <t>완료</t>
        </is>
      </c>
      <c r="I6" s="107" t="inlineStr">
        <is>
          <t>틀 고정</t>
        </is>
      </c>
      <c r="J6" s="108" t="inlineStr">
        <is>
          <t>보기 › 틀 고정 › 틀 고정</t>
        </is>
      </c>
      <c r="K6" s="108" t="inlineStr">
        <is>
          <t>아래로 내려도 머리글이 남는다</t>
        </is>
      </c>
      <c r="M6" s="109" t="inlineStr">
        <is>
          <t>완료</t>
        </is>
      </c>
    </row>
    <row r="7" ht="20" customHeight="1">
      <c r="B7" s="106" t="n">
        <v>46026</v>
      </c>
      <c r="C7" s="46" t="inlineStr">
        <is>
          <t>〈지원〉</t>
        </is>
      </c>
      <c r="D7" s="46" t="inlineStr">
        <is>
          <t>〈이바다〉</t>
        </is>
      </c>
      <c r="E7" s="46" t="inlineStr">
        <is>
          <t>B</t>
        </is>
      </c>
      <c r="F7" s="96" t="n">
        <v>437000</v>
      </c>
      <c r="G7" s="46" t="inlineStr">
        <is>
          <t>진행</t>
        </is>
      </c>
      <c r="I7" s="107" t="inlineStr">
        <is>
          <t>자동 필터</t>
        </is>
      </c>
      <c r="J7" s="108" t="inlineStr">
        <is>
          <t>데이터 › 필터 (Ctrl+Shift+L)</t>
        </is>
      </c>
      <c r="K7" s="108" t="inlineStr">
        <is>
          <t>머리글의 ▼ 를 눌러 골라 본다</t>
        </is>
      </c>
      <c r="M7" s="109" t="inlineStr">
        <is>
          <t>진행</t>
        </is>
      </c>
    </row>
    <row r="8" ht="20" customHeight="1">
      <c r="B8" s="106" t="n">
        <v>46029</v>
      </c>
      <c r="C8" s="46" t="inlineStr">
        <is>
          <t>〈개발〉</t>
        </is>
      </c>
      <c r="D8" s="46" t="inlineStr">
        <is>
          <t>〈박구름〉</t>
        </is>
      </c>
      <c r="E8" s="46" t="inlineStr">
        <is>
          <t>C</t>
        </is>
      </c>
      <c r="F8" s="96" t="n">
        <v>574000</v>
      </c>
      <c r="G8" s="46" t="inlineStr">
        <is>
          <t>보류</t>
        </is>
      </c>
      <c r="I8" s="107" t="inlineStr">
        <is>
          <t>드롭다운 목록</t>
        </is>
      </c>
      <c r="J8" s="108" t="inlineStr">
        <is>
          <t>데이터 › 데이터 유효성 검사 › 목록</t>
        </is>
      </c>
      <c r="K8" s="108" t="inlineStr">
        <is>
          <t>상태 칸을 누르면 목록이 뜬다</t>
        </is>
      </c>
      <c r="M8" s="109" t="inlineStr">
        <is>
          <t>보류</t>
        </is>
      </c>
    </row>
    <row r="9" ht="20" customHeight="1">
      <c r="B9" s="106" t="n">
        <v>46032</v>
      </c>
      <c r="C9" s="46" t="inlineStr">
        <is>
          <t>〈영업〉</t>
        </is>
      </c>
      <c r="D9" s="46" t="inlineStr">
        <is>
          <t>〈최나무〉</t>
        </is>
      </c>
      <c r="E9" s="46" t="inlineStr">
        <is>
          <t>A</t>
        </is>
      </c>
      <c r="F9" s="96" t="n">
        <v>711000</v>
      </c>
      <c r="G9" s="46" t="inlineStr">
        <is>
          <t>완료</t>
        </is>
      </c>
      <c r="I9" s="107" t="inlineStr">
        <is>
          <t>이름 정의</t>
        </is>
      </c>
      <c r="J9" s="108" t="inlineStr">
        <is>
          <t>수식 › 이름 관리자</t>
        </is>
      </c>
      <c r="K9" s="108" t="inlineStr">
        <is>
          <t>목록 범위를 ‘상태목록’으로 정의해 두었다</t>
        </is>
      </c>
    </row>
    <row r="10" ht="20" customHeight="1">
      <c r="B10" s="106" t="n">
        <v>46035</v>
      </c>
      <c r="C10" s="46" t="inlineStr">
        <is>
          <t>〈지원〉</t>
        </is>
      </c>
      <c r="D10" s="46" t="inlineStr">
        <is>
          <t>〈김하늘〉</t>
        </is>
      </c>
      <c r="E10" s="46" t="inlineStr">
        <is>
          <t>B</t>
        </is>
      </c>
      <c r="F10" s="96" t="n">
        <v>848000</v>
      </c>
      <c r="G10" s="46" t="inlineStr">
        <is>
          <t>진행</t>
        </is>
      </c>
      <c r="I10" s="107" t="inlineStr">
        <is>
          <t>조건부 서식</t>
        </is>
      </c>
      <c r="J10" s="108" t="inlineStr">
        <is>
          <t>홈 › 조건부 서식 › 셀 강조 규칙</t>
        </is>
      </c>
      <c r="K10" s="108" t="inlineStr">
        <is>
          <t>상태 색, 금액 150만 이상 빨강</t>
        </is>
      </c>
    </row>
    <row r="11" ht="20" customHeight="1">
      <c r="B11" s="106" t="n">
        <v>46038</v>
      </c>
      <c r="C11" s="46" t="inlineStr">
        <is>
          <t>〈개발〉</t>
        </is>
      </c>
      <c r="D11" s="46" t="inlineStr">
        <is>
          <t>〈이바다〉</t>
        </is>
      </c>
      <c r="E11" s="46" t="inlineStr">
        <is>
          <t>C</t>
        </is>
      </c>
      <c r="F11" s="96" t="n">
        <v>985000</v>
      </c>
      <c r="G11" s="46" t="inlineStr">
        <is>
          <t>보류</t>
        </is>
      </c>
      <c r="I11" s="107" t="inlineStr">
        <is>
          <t>표시 형식</t>
        </is>
      </c>
      <c r="J11" s="108" t="inlineStr">
        <is>
          <t>홈 › 표시 형식 (Ctrl+1)</t>
        </is>
      </c>
      <c r="K11" s="108" t="inlineStr">
        <is>
          <t>금액 #,##0 · 날짜 yyyy-mm-dd</t>
        </is>
      </c>
    </row>
    <row r="12" ht="20" customHeight="1">
      <c r="B12" s="106" t="n">
        <v>46041</v>
      </c>
      <c r="C12" s="46" t="inlineStr">
        <is>
          <t>〈영업〉</t>
        </is>
      </c>
      <c r="D12" s="46" t="inlineStr">
        <is>
          <t>〈박구름〉</t>
        </is>
      </c>
      <c r="E12" s="46" t="inlineStr">
        <is>
          <t>A</t>
        </is>
      </c>
      <c r="F12" s="96" t="n">
        <v>1122000</v>
      </c>
      <c r="G12" s="46" t="inlineStr">
        <is>
          <t>완료</t>
        </is>
      </c>
      <c r="I12" s="107" t="inlineStr">
        <is>
          <t>인쇄 제목</t>
        </is>
      </c>
      <c r="J12" s="108" t="inlineStr">
        <is>
          <t>페이지 레이아웃 › 인쇄 제목</t>
        </is>
      </c>
      <c r="K12" s="108" t="inlineStr">
        <is>
          <t>쪽마다 머리글 행이 반복된다</t>
        </is>
      </c>
    </row>
    <row r="13" ht="20" customHeight="1">
      <c r="B13" s="106" t="n">
        <v>46044</v>
      </c>
      <c r="C13" s="46" t="inlineStr">
        <is>
          <t>〈지원〉</t>
        </is>
      </c>
      <c r="D13" s="46" t="inlineStr">
        <is>
          <t>〈최나무〉</t>
        </is>
      </c>
      <c r="E13" s="46" t="inlineStr">
        <is>
          <t>B</t>
        </is>
      </c>
      <c r="F13" s="96" t="n">
        <v>1259000</v>
      </c>
      <c r="G13" s="46" t="inlineStr">
        <is>
          <t>진행</t>
        </is>
      </c>
      <c r="I13" s="107" t="inlineStr">
        <is>
          <t>페이지 맞춤</t>
        </is>
      </c>
      <c r="J13" s="108" t="inlineStr">
        <is>
          <t>페이지 레이아웃 › 너비: 1페이지</t>
        </is>
      </c>
      <c r="K13" s="108" t="inlineStr">
        <is>
          <t>가로로 잘리지 않는다</t>
        </is>
      </c>
    </row>
    <row r="14" ht="20" customHeight="1">
      <c r="B14" s="106" t="n">
        <v>46047</v>
      </c>
      <c r="C14" s="46" t="inlineStr">
        <is>
          <t>〈개발〉</t>
        </is>
      </c>
      <c r="D14" s="46" t="inlineStr">
        <is>
          <t>〈김하늘〉</t>
        </is>
      </c>
      <c r="E14" s="46" t="inlineStr">
        <is>
          <t>C</t>
        </is>
      </c>
      <c r="F14" s="96" t="n">
        <v>1396000</v>
      </c>
      <c r="G14" s="46" t="inlineStr">
        <is>
          <t>보류</t>
        </is>
      </c>
      <c r="I14" s="107" t="inlineStr">
        <is>
          <t>정렬</t>
        </is>
      </c>
      <c r="J14" s="108" t="inlineStr">
        <is>
          <t>데이터 › 정렬 (여러 기준 가능)</t>
        </is>
      </c>
      <c r="K14" s="108" t="inlineStr">
        <is>
          <t>부서 › 금액 순으로 정렬해 본다</t>
        </is>
      </c>
    </row>
    <row r="15" ht="20" customHeight="1">
      <c r="B15" s="106" t="n">
        <v>46054</v>
      </c>
      <c r="C15" s="46" t="inlineStr">
        <is>
          <t>〈영업〉</t>
        </is>
      </c>
      <c r="D15" s="46" t="inlineStr">
        <is>
          <t>〈이바다〉</t>
        </is>
      </c>
      <c r="E15" s="46" t="inlineStr">
        <is>
          <t>A</t>
        </is>
      </c>
      <c r="F15" s="96" t="n">
        <v>1533000</v>
      </c>
      <c r="G15" s="46" t="inlineStr">
        <is>
          <t>완료</t>
        </is>
      </c>
      <c r="I15" s="107" t="inlineStr">
        <is>
          <t>중복 제거</t>
        </is>
      </c>
      <c r="J15" s="108" t="inlineStr">
        <is>
          <t>데이터 › 중복된 항목 제거</t>
        </is>
      </c>
      <c r="K15" s="108" t="inlineStr">
        <is>
          <t>복사본에서 먼저 시험한다</t>
        </is>
      </c>
    </row>
    <row r="16" ht="20" customHeight="1">
      <c r="B16" s="106" t="n">
        <v>46057</v>
      </c>
      <c r="C16" s="46" t="inlineStr">
        <is>
          <t>〈지원〉</t>
        </is>
      </c>
      <c r="D16" s="46" t="inlineStr">
        <is>
          <t>〈박구름〉</t>
        </is>
      </c>
      <c r="E16" s="46" t="inlineStr">
        <is>
          <t>B</t>
        </is>
      </c>
      <c r="F16" s="96" t="n">
        <v>1670000</v>
      </c>
      <c r="G16" s="46" t="inlineStr">
        <is>
          <t>진행</t>
        </is>
      </c>
      <c r="I16" s="107" t="inlineStr">
        <is>
          <t>텍스트 나누기</t>
        </is>
      </c>
      <c r="J16" s="108" t="inlineStr">
        <is>
          <t>데이터 › 텍스트 나누기</t>
        </is>
      </c>
      <c r="K16" s="108" t="inlineStr">
        <is>
          <t>숫자처럼 보이는 글자를 고칠 때</t>
        </is>
      </c>
    </row>
    <row r="17" ht="20" customHeight="1">
      <c r="B17" s="106" t="n">
        <v>46060</v>
      </c>
      <c r="C17" s="46" t="inlineStr">
        <is>
          <t>〈개발〉</t>
        </is>
      </c>
      <c r="D17" s="46" t="inlineStr">
        <is>
          <t>〈최나무〉</t>
        </is>
      </c>
      <c r="E17" s="46" t="inlineStr">
        <is>
          <t>C</t>
        </is>
      </c>
      <c r="F17" s="96" t="n">
        <v>1807000</v>
      </c>
      <c r="G17" s="46" t="inlineStr">
        <is>
          <t>보류</t>
        </is>
      </c>
      <c r="I17" s="110" t="inlineStr">
        <is>
          <t>빠른 채우기</t>
        </is>
      </c>
      <c r="J17" s="111" t="inlineStr">
        <is>
          <t>데이터 › 빠른 채우기 (Ctrl+E)</t>
        </is>
      </c>
      <c r="K17" s="111" t="inlineStr">
        <is>
          <t>규칙을 한 번 보여 주면 나머지를 채운다</t>
        </is>
      </c>
    </row>
    <row r="18" ht="20" customHeight="1">
      <c r="B18" s="106" t="n">
        <v>46063</v>
      </c>
      <c r="C18" s="46" t="inlineStr">
        <is>
          <t>〈영업〉</t>
        </is>
      </c>
      <c r="D18" s="46" t="inlineStr">
        <is>
          <t>〈김하늘〉</t>
        </is>
      </c>
      <c r="E18" s="46" t="inlineStr">
        <is>
          <t>A</t>
        </is>
      </c>
      <c r="F18" s="96" t="n">
        <v>1944000</v>
      </c>
      <c r="G18" s="46" t="inlineStr">
        <is>
          <t>완료</t>
        </is>
      </c>
    </row>
    <row r="19" ht="20" customHeight="1">
      <c r="B19" s="106" t="n">
        <v>46066</v>
      </c>
      <c r="C19" s="46" t="inlineStr">
        <is>
          <t>〈지원〉</t>
        </is>
      </c>
      <c r="D19" s="46" t="inlineStr">
        <is>
          <t>〈이바다〉</t>
        </is>
      </c>
      <c r="E19" s="46" t="inlineStr">
        <is>
          <t>B</t>
        </is>
      </c>
      <c r="F19" s="96" t="n">
        <v>2081000</v>
      </c>
      <c r="G19" s="46" t="inlineStr">
        <is>
          <t>진행</t>
        </is>
      </c>
    </row>
    <row r="20" ht="20" customHeight="1">
      <c r="B20" s="106" t="n">
        <v>46069</v>
      </c>
      <c r="C20" s="46" t="inlineStr">
        <is>
          <t>〈개발〉</t>
        </is>
      </c>
      <c r="D20" s="46" t="inlineStr">
        <is>
          <t>〈박구름〉</t>
        </is>
      </c>
      <c r="E20" s="46" t="inlineStr">
        <is>
          <t>C</t>
        </is>
      </c>
      <c r="F20" s="96" t="n">
        <v>318000</v>
      </c>
      <c r="G20" s="46" t="inlineStr">
        <is>
          <t>보류</t>
        </is>
      </c>
    </row>
    <row r="21" ht="20" customHeight="1">
      <c r="B21" s="106" t="n">
        <v>46072</v>
      </c>
      <c r="C21" s="46" t="inlineStr">
        <is>
          <t>〈영업〉</t>
        </is>
      </c>
      <c r="D21" s="46" t="inlineStr">
        <is>
          <t>〈최나무〉</t>
        </is>
      </c>
      <c r="E21" s="46" t="inlineStr">
        <is>
          <t>A</t>
        </is>
      </c>
      <c r="F21" s="96" t="n">
        <v>455000</v>
      </c>
      <c r="G21" s="46" t="inlineStr">
        <is>
          <t>완료</t>
        </is>
      </c>
    </row>
    <row r="22" ht="20" customHeight="1">
      <c r="B22" s="106" t="n">
        <v>46075</v>
      </c>
      <c r="C22" s="46" t="inlineStr">
        <is>
          <t>〈지원〉</t>
        </is>
      </c>
      <c r="D22" s="46" t="inlineStr">
        <is>
          <t>〈김하늘〉</t>
        </is>
      </c>
      <c r="E22" s="46" t="inlineStr">
        <is>
          <t>B</t>
        </is>
      </c>
      <c r="F22" s="96" t="n">
        <v>592000</v>
      </c>
      <c r="G22" s="46" t="inlineStr">
        <is>
          <t>진행</t>
        </is>
      </c>
    </row>
    <row r="23" ht="20" customHeight="1">
      <c r="B23" s="112" t="n">
        <v>46078</v>
      </c>
      <c r="C23" s="49" t="inlineStr">
        <is>
          <t>〈개발〉</t>
        </is>
      </c>
      <c r="D23" s="49" t="inlineStr">
        <is>
          <t>〈이바다〉</t>
        </is>
      </c>
      <c r="E23" s="49" t="inlineStr">
        <is>
          <t>C</t>
        </is>
      </c>
      <c r="F23" s="97" t="n">
        <v>729000</v>
      </c>
      <c r="G23" s="49" t="inlineStr">
        <is>
          <t>보류</t>
        </is>
      </c>
    </row>
    <row r="25" ht="17" customHeight="1">
      <c r="B25" s="18" t="inlineStr">
        <is>
          <t>※ M 열의 ‘상태목록’은 드롭다운의 원본이다. 인쇄 영역 밖이라 출력에는 나오지 않는다.</t>
        </is>
      </c>
    </row>
  </sheetData>
  <autoFilter ref="B5:G23"/>
  <conditionalFormatting sqref="G6:G23">
    <cfRule type="cellIs" priority="1" operator="equal" dxfId="3">
      <formula>"완료"</formula>
    </cfRule>
    <cfRule type="cellIs" priority="2" operator="equal" dxfId="4">
      <formula>"진행"</formula>
    </cfRule>
    <cfRule type="cellIs" priority="3" operator="equal" dxfId="5">
      <formula>"보류"</formula>
    </cfRule>
  </conditionalFormatting>
  <conditionalFormatting sqref="F6:F23">
    <cfRule type="cellIs" priority="4" operator="greaterThanOrEqual" dxfId="6">
      <formula>1500000</formula>
    </cfRule>
  </conditionalFormatting>
  <dataValidations count="1">
    <dataValidation sqref="G6:G23" showDropDown="0" showInputMessage="0" showErrorMessage="0" allowBlank="1" promptTitle="상태" prompt="목록에서 고른다" type="list">
      <formula1>=상태목록</formula1>
    </dataValidation>
  </dataValidations>
  <pageMargins left="0.5" right="0.5" top="0.6" bottom="0.55" header="0.3" footer="0.3"/>
  <pageSetup orientation="landscape" paperSize="9" fitToHeight="0" fitToWidth="1"/>
  <headerFooter>
    <oddHeader>&amp;L&amp;9 &amp;K888888미리 켜 둔 기능들</oddHeader>
    <oddFooter>&amp;R&amp;9 &amp;K888888&amp;P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문서 작성 라이브러리</dc:creator>
  <dc:title xmlns:dc="http://purl.org/dc/elements/1.1/">Excel 시각 서식 도구</dc:title>
  <dcterms:created xmlns:dcterms="http://purl.org/dc/terms/" xmlns:xsi="http://www.w3.org/2001/XMLSchema-instance" xsi:type="dcterms:W3CDTF">2026-09-26T09:37:31Z</dcterms:created>
  <dcterms:modified xmlns:dcterms="http://purl.org/dc/terms/" xmlns:xsi="http://www.w3.org/2001/XMLSchema-instance" xsi:type="dcterms:W3CDTF">2026-09-26T09:37:31Z</dcterms:modified>
</cp:coreProperties>
</file>